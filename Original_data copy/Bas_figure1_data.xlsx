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Data\Documents\PhD\ELDER-BIOME\Luminex\Results\WB_Mono_PBMC\"/>
    </mc:Choice>
  </mc:AlternateContent>
  <xr:revisionPtr revIDLastSave="0" documentId="13_ncr:1_{8730DA4E-C70E-4A3F-91FD-39EAB01A23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jst" sheetId="3" r:id="rId1"/>
    <sheet name="OOR &gt; samples" sheetId="4" r:id="rId2"/>
    <sheet name="Redo samples final round" sheetId="9" r:id="rId3"/>
    <sheet name="Redo new results" sheetId="8" r:id="rId4"/>
    <sheet name="Plaat" sheetId="1" r:id="rId5"/>
    <sheet name="indeling biobank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" i="4" l="1"/>
  <c r="M10" i="4"/>
  <c r="N10" i="4"/>
  <c r="O10" i="4"/>
  <c r="P10" i="4"/>
  <c r="Q10" i="4"/>
  <c r="R10" i="4"/>
  <c r="S10" i="4"/>
  <c r="L11" i="4"/>
  <c r="M11" i="4"/>
  <c r="N11" i="4"/>
  <c r="O11" i="4"/>
  <c r="P11" i="4"/>
  <c r="Q11" i="4"/>
  <c r="R11" i="4"/>
  <c r="S11" i="4"/>
  <c r="L12" i="4"/>
  <c r="M12" i="4"/>
  <c r="N12" i="4"/>
  <c r="O12" i="4"/>
  <c r="P12" i="4"/>
  <c r="Q12" i="4"/>
  <c r="R12" i="4"/>
  <c r="S12" i="4"/>
  <c r="L13" i="4"/>
  <c r="M13" i="4"/>
  <c r="N13" i="4"/>
  <c r="O13" i="4"/>
  <c r="P13" i="4"/>
  <c r="Q13" i="4"/>
  <c r="R13" i="4"/>
  <c r="S13" i="4"/>
  <c r="L14" i="4"/>
  <c r="M14" i="4"/>
  <c r="N14" i="4"/>
  <c r="O14" i="4"/>
  <c r="P14" i="4"/>
  <c r="Q14" i="4"/>
  <c r="R14" i="4"/>
  <c r="S14" i="4"/>
  <c r="L15" i="4"/>
  <c r="M15" i="4"/>
  <c r="N15" i="4"/>
  <c r="O15" i="4"/>
  <c r="P15" i="4"/>
  <c r="Q15" i="4"/>
  <c r="R15" i="4"/>
  <c r="S15" i="4"/>
  <c r="L16" i="4"/>
  <c r="M16" i="4"/>
  <c r="N16" i="4"/>
  <c r="O16" i="4"/>
  <c r="P16" i="4"/>
  <c r="Q16" i="4"/>
  <c r="R16" i="4"/>
  <c r="S16" i="4"/>
  <c r="L17" i="4"/>
  <c r="M17" i="4"/>
  <c r="N17" i="4"/>
  <c r="O17" i="4"/>
  <c r="P17" i="4"/>
  <c r="Q17" i="4"/>
  <c r="R17" i="4"/>
  <c r="S17" i="4"/>
  <c r="L18" i="4"/>
  <c r="M18" i="4"/>
  <c r="N18" i="4"/>
  <c r="O18" i="4"/>
  <c r="P18" i="4"/>
  <c r="Q18" i="4"/>
  <c r="R18" i="4"/>
  <c r="S18" i="4"/>
  <c r="L19" i="4"/>
  <c r="M19" i="4"/>
  <c r="N19" i="4"/>
  <c r="O19" i="4"/>
  <c r="P19" i="4"/>
  <c r="Q19" i="4"/>
  <c r="R19" i="4"/>
  <c r="S19" i="4"/>
  <c r="L20" i="4"/>
  <c r="M20" i="4"/>
  <c r="N20" i="4"/>
  <c r="O20" i="4"/>
  <c r="P20" i="4"/>
  <c r="Q20" i="4"/>
  <c r="R20" i="4"/>
  <c r="S20" i="4"/>
  <c r="L21" i="4"/>
  <c r="M21" i="4"/>
  <c r="N21" i="4"/>
  <c r="O21" i="4"/>
  <c r="P21" i="4"/>
  <c r="Q21" i="4"/>
  <c r="R21" i="4"/>
  <c r="S21" i="4"/>
  <c r="L22" i="4"/>
  <c r="M22" i="4"/>
  <c r="N22" i="4"/>
  <c r="O22" i="4"/>
  <c r="P22" i="4"/>
  <c r="Q22" i="4"/>
  <c r="R22" i="4"/>
  <c r="S22" i="4"/>
  <c r="L23" i="4"/>
  <c r="M23" i="4"/>
  <c r="N23" i="4"/>
  <c r="O23" i="4"/>
  <c r="P23" i="4"/>
  <c r="Q23" i="4"/>
  <c r="R23" i="4"/>
  <c r="S23" i="4"/>
  <c r="L24" i="4"/>
  <c r="M24" i="4"/>
  <c r="N24" i="4"/>
  <c r="O24" i="4"/>
  <c r="P24" i="4"/>
  <c r="Q24" i="4"/>
  <c r="R24" i="4"/>
  <c r="S24" i="4"/>
  <c r="L25" i="4"/>
  <c r="M25" i="4"/>
  <c r="N25" i="4"/>
  <c r="O25" i="4"/>
  <c r="P25" i="4"/>
  <c r="Q25" i="4"/>
  <c r="R25" i="4"/>
  <c r="S25" i="4"/>
  <c r="L26" i="4"/>
  <c r="M26" i="4"/>
  <c r="N26" i="4"/>
  <c r="O26" i="4"/>
  <c r="P26" i="4"/>
  <c r="Q26" i="4"/>
  <c r="R26" i="4"/>
  <c r="S26" i="4"/>
  <c r="L27" i="4"/>
  <c r="M27" i="4"/>
  <c r="N27" i="4"/>
  <c r="O27" i="4"/>
  <c r="P27" i="4"/>
  <c r="Q27" i="4"/>
  <c r="R27" i="4"/>
  <c r="S27" i="4"/>
  <c r="L28" i="4"/>
  <c r="M28" i="4"/>
  <c r="N28" i="4"/>
  <c r="O28" i="4"/>
  <c r="P28" i="4"/>
  <c r="Q28" i="4"/>
  <c r="R28" i="4"/>
  <c r="S28" i="4"/>
  <c r="L29" i="4"/>
  <c r="M29" i="4"/>
  <c r="N29" i="4"/>
  <c r="O29" i="4"/>
  <c r="P29" i="4"/>
  <c r="Q29" i="4"/>
  <c r="R29" i="4"/>
  <c r="S29" i="4"/>
  <c r="L30" i="4"/>
  <c r="M30" i="4"/>
  <c r="N30" i="4"/>
  <c r="O30" i="4"/>
  <c r="P30" i="4"/>
  <c r="Q30" i="4"/>
  <c r="R30" i="4"/>
  <c r="S30" i="4"/>
  <c r="L31" i="4"/>
  <c r="M31" i="4"/>
  <c r="N31" i="4"/>
  <c r="O31" i="4"/>
  <c r="P31" i="4"/>
  <c r="Q31" i="4"/>
  <c r="R31" i="4"/>
  <c r="S31" i="4"/>
  <c r="L32" i="4"/>
  <c r="M32" i="4"/>
  <c r="N32" i="4"/>
  <c r="O32" i="4"/>
  <c r="P32" i="4"/>
  <c r="Q32" i="4"/>
  <c r="R32" i="4"/>
  <c r="S32" i="4"/>
  <c r="L33" i="4"/>
  <c r="M33" i="4"/>
  <c r="N33" i="4"/>
  <c r="O33" i="4"/>
  <c r="P33" i="4"/>
  <c r="Q33" i="4"/>
  <c r="R33" i="4"/>
  <c r="S33" i="4"/>
  <c r="L34" i="4"/>
  <c r="M34" i="4"/>
  <c r="N34" i="4"/>
  <c r="O34" i="4"/>
  <c r="P34" i="4"/>
  <c r="Q34" i="4"/>
  <c r="R34" i="4"/>
  <c r="S34" i="4"/>
  <c r="L35" i="4"/>
  <c r="M35" i="4"/>
  <c r="N35" i="4"/>
  <c r="O35" i="4"/>
  <c r="P35" i="4"/>
  <c r="Q35" i="4"/>
  <c r="R35" i="4"/>
  <c r="S35" i="4"/>
  <c r="L36" i="4"/>
  <c r="M36" i="4"/>
  <c r="N36" i="4"/>
  <c r="O36" i="4"/>
  <c r="P36" i="4"/>
  <c r="Q36" i="4"/>
  <c r="R36" i="4"/>
  <c r="S36" i="4"/>
  <c r="L37" i="4"/>
  <c r="M37" i="4"/>
  <c r="N37" i="4"/>
  <c r="O37" i="4"/>
  <c r="P37" i="4"/>
  <c r="Q37" i="4"/>
  <c r="R37" i="4"/>
  <c r="S37" i="4"/>
  <c r="L38" i="4"/>
  <c r="M38" i="4"/>
  <c r="N38" i="4"/>
  <c r="O38" i="4"/>
  <c r="P38" i="4"/>
  <c r="Q38" i="4"/>
  <c r="R38" i="4"/>
  <c r="S38" i="4"/>
  <c r="L39" i="4"/>
  <c r="M39" i="4"/>
  <c r="N39" i="4"/>
  <c r="O39" i="4"/>
  <c r="P39" i="4"/>
  <c r="Q39" i="4"/>
  <c r="R39" i="4"/>
  <c r="S39" i="4"/>
  <c r="L40" i="4"/>
  <c r="M40" i="4"/>
  <c r="N40" i="4"/>
  <c r="O40" i="4"/>
  <c r="P40" i="4"/>
  <c r="Q40" i="4"/>
  <c r="R40" i="4"/>
  <c r="S40" i="4"/>
  <c r="L41" i="4"/>
  <c r="M41" i="4"/>
  <c r="N41" i="4"/>
  <c r="O41" i="4"/>
  <c r="P41" i="4"/>
  <c r="Q41" i="4"/>
  <c r="R41" i="4"/>
  <c r="S41" i="4"/>
  <c r="L42" i="4"/>
  <c r="M42" i="4"/>
  <c r="N42" i="4"/>
  <c r="O42" i="4"/>
  <c r="P42" i="4"/>
  <c r="Q42" i="4"/>
  <c r="R42" i="4"/>
  <c r="S42" i="4"/>
  <c r="L43" i="4"/>
  <c r="M43" i="4"/>
  <c r="N43" i="4"/>
  <c r="O43" i="4"/>
  <c r="P43" i="4"/>
  <c r="Q43" i="4"/>
  <c r="R43" i="4"/>
  <c r="S43" i="4"/>
  <c r="L44" i="4"/>
  <c r="M44" i="4"/>
  <c r="N44" i="4"/>
  <c r="O44" i="4"/>
  <c r="P44" i="4"/>
  <c r="Q44" i="4"/>
  <c r="R44" i="4"/>
  <c r="S44" i="4"/>
  <c r="L45" i="4"/>
  <c r="M45" i="4"/>
  <c r="N45" i="4"/>
  <c r="O45" i="4"/>
  <c r="P45" i="4"/>
  <c r="Q45" i="4"/>
  <c r="R45" i="4"/>
  <c r="S45" i="4"/>
  <c r="L46" i="4"/>
  <c r="M46" i="4"/>
  <c r="N46" i="4"/>
  <c r="O46" i="4"/>
  <c r="P46" i="4"/>
  <c r="Q46" i="4"/>
  <c r="R46" i="4"/>
  <c r="S46" i="4"/>
  <c r="L47" i="4"/>
  <c r="M47" i="4"/>
  <c r="N47" i="4"/>
  <c r="O47" i="4"/>
  <c r="P47" i="4"/>
  <c r="Q47" i="4"/>
  <c r="R47" i="4"/>
  <c r="S47" i="4"/>
  <c r="L48" i="4"/>
  <c r="M48" i="4"/>
  <c r="N48" i="4"/>
  <c r="O48" i="4"/>
  <c r="P48" i="4"/>
  <c r="Q48" i="4"/>
  <c r="R48" i="4"/>
  <c r="S48" i="4"/>
  <c r="L49" i="4"/>
  <c r="M49" i="4"/>
  <c r="N49" i="4"/>
  <c r="O49" i="4"/>
  <c r="P49" i="4"/>
  <c r="Q49" i="4"/>
  <c r="R49" i="4"/>
  <c r="S49" i="4"/>
  <c r="L50" i="4"/>
  <c r="M50" i="4"/>
  <c r="N50" i="4"/>
  <c r="O50" i="4"/>
  <c r="P50" i="4"/>
  <c r="Q50" i="4"/>
  <c r="R50" i="4"/>
  <c r="S50" i="4"/>
  <c r="L51" i="4"/>
  <c r="M51" i="4"/>
  <c r="N51" i="4"/>
  <c r="O51" i="4"/>
  <c r="P51" i="4"/>
  <c r="Q51" i="4"/>
  <c r="R51" i="4"/>
  <c r="S51" i="4"/>
  <c r="L52" i="4"/>
  <c r="M52" i="4"/>
  <c r="N52" i="4"/>
  <c r="O52" i="4"/>
  <c r="P52" i="4"/>
  <c r="Q52" i="4"/>
  <c r="R52" i="4"/>
  <c r="S52" i="4"/>
  <c r="L53" i="4"/>
  <c r="M53" i="4"/>
  <c r="N53" i="4"/>
  <c r="O53" i="4"/>
  <c r="P53" i="4"/>
  <c r="Q53" i="4"/>
  <c r="R53" i="4"/>
  <c r="S53" i="4"/>
  <c r="L54" i="4"/>
  <c r="M54" i="4"/>
  <c r="N54" i="4"/>
  <c r="O54" i="4"/>
  <c r="P54" i="4"/>
  <c r="Q54" i="4"/>
  <c r="R54" i="4"/>
  <c r="S54" i="4"/>
  <c r="L55" i="4"/>
  <c r="M55" i="4"/>
  <c r="N55" i="4"/>
  <c r="O55" i="4"/>
  <c r="P55" i="4"/>
  <c r="Q55" i="4"/>
  <c r="R55" i="4"/>
  <c r="S55" i="4"/>
  <c r="L56" i="4"/>
  <c r="M56" i="4"/>
  <c r="N56" i="4"/>
  <c r="O56" i="4"/>
  <c r="P56" i="4"/>
  <c r="Q56" i="4"/>
  <c r="R56" i="4"/>
  <c r="S56" i="4"/>
  <c r="L57" i="4"/>
  <c r="M57" i="4"/>
  <c r="N57" i="4"/>
  <c r="O57" i="4"/>
  <c r="P57" i="4"/>
  <c r="Q57" i="4"/>
  <c r="R57" i="4"/>
  <c r="S57" i="4"/>
  <c r="L58" i="4"/>
  <c r="M58" i="4"/>
  <c r="N58" i="4"/>
  <c r="O58" i="4"/>
  <c r="P58" i="4"/>
  <c r="Q58" i="4"/>
  <c r="R58" i="4"/>
  <c r="S58" i="4"/>
  <c r="L59" i="4"/>
  <c r="M59" i="4"/>
  <c r="N59" i="4"/>
  <c r="O59" i="4"/>
  <c r="P59" i="4"/>
  <c r="Q59" i="4"/>
  <c r="R59" i="4"/>
  <c r="S59" i="4"/>
  <c r="L60" i="4"/>
  <c r="M60" i="4"/>
  <c r="N60" i="4"/>
  <c r="O60" i="4"/>
  <c r="P60" i="4"/>
  <c r="Q60" i="4"/>
  <c r="R60" i="4"/>
  <c r="S60" i="4"/>
  <c r="L61" i="4"/>
  <c r="M61" i="4"/>
  <c r="N61" i="4"/>
  <c r="O61" i="4"/>
  <c r="P61" i="4"/>
  <c r="Q61" i="4"/>
  <c r="R61" i="4"/>
  <c r="S61" i="4"/>
  <c r="L62" i="4"/>
  <c r="M62" i="4"/>
  <c r="N62" i="4"/>
  <c r="O62" i="4"/>
  <c r="P62" i="4"/>
  <c r="Q62" i="4"/>
  <c r="R62" i="4"/>
  <c r="S62" i="4"/>
  <c r="L63" i="4"/>
  <c r="M63" i="4"/>
  <c r="N63" i="4"/>
  <c r="O63" i="4"/>
  <c r="P63" i="4"/>
  <c r="Q63" i="4"/>
  <c r="R63" i="4"/>
  <c r="S63" i="4"/>
  <c r="L64" i="4"/>
  <c r="M64" i="4"/>
  <c r="N64" i="4"/>
  <c r="O64" i="4"/>
  <c r="P64" i="4"/>
  <c r="Q64" i="4"/>
  <c r="R64" i="4"/>
  <c r="S64" i="4"/>
  <c r="L65" i="4"/>
  <c r="M65" i="4"/>
  <c r="N65" i="4"/>
  <c r="O65" i="4"/>
  <c r="P65" i="4"/>
  <c r="Q65" i="4"/>
  <c r="R65" i="4"/>
  <c r="S65" i="4"/>
  <c r="L66" i="4"/>
  <c r="M66" i="4"/>
  <c r="N66" i="4"/>
  <c r="O66" i="4"/>
  <c r="P66" i="4"/>
  <c r="Q66" i="4"/>
  <c r="R66" i="4"/>
  <c r="S66" i="4"/>
  <c r="L67" i="4"/>
  <c r="M67" i="4"/>
  <c r="N67" i="4"/>
  <c r="O67" i="4"/>
  <c r="P67" i="4"/>
  <c r="Q67" i="4"/>
  <c r="R67" i="4"/>
  <c r="S67" i="4"/>
  <c r="L68" i="4"/>
  <c r="M68" i="4"/>
  <c r="N68" i="4"/>
  <c r="O68" i="4"/>
  <c r="P68" i="4"/>
  <c r="Q68" i="4"/>
  <c r="R68" i="4"/>
  <c r="S68" i="4"/>
  <c r="L69" i="4"/>
  <c r="M69" i="4"/>
  <c r="N69" i="4"/>
  <c r="O69" i="4"/>
  <c r="P69" i="4"/>
  <c r="Q69" i="4"/>
  <c r="R69" i="4"/>
  <c r="S69" i="4"/>
  <c r="L70" i="4"/>
  <c r="M70" i="4"/>
  <c r="N70" i="4"/>
  <c r="O70" i="4"/>
  <c r="P70" i="4"/>
  <c r="Q70" i="4"/>
  <c r="R70" i="4"/>
  <c r="S70" i="4"/>
  <c r="L71" i="4"/>
  <c r="M71" i="4"/>
  <c r="N71" i="4"/>
  <c r="O71" i="4"/>
  <c r="P71" i="4"/>
  <c r="Q71" i="4"/>
  <c r="R71" i="4"/>
  <c r="S71" i="4"/>
  <c r="L72" i="4"/>
  <c r="M72" i="4"/>
  <c r="N72" i="4"/>
  <c r="O72" i="4"/>
  <c r="P72" i="4"/>
  <c r="Q72" i="4"/>
  <c r="R72" i="4"/>
  <c r="S72" i="4"/>
  <c r="L73" i="4"/>
  <c r="M73" i="4"/>
  <c r="N73" i="4"/>
  <c r="O73" i="4"/>
  <c r="P73" i="4"/>
  <c r="Q73" i="4"/>
  <c r="R73" i="4"/>
  <c r="S73" i="4"/>
  <c r="L74" i="4"/>
  <c r="M74" i="4"/>
  <c r="N74" i="4"/>
  <c r="O74" i="4"/>
  <c r="P74" i="4"/>
  <c r="Q74" i="4"/>
  <c r="R74" i="4"/>
  <c r="S74" i="4"/>
  <c r="L75" i="4"/>
  <c r="M75" i="4"/>
  <c r="N75" i="4"/>
  <c r="O75" i="4"/>
  <c r="P75" i="4"/>
  <c r="Q75" i="4"/>
  <c r="R75" i="4"/>
  <c r="S75" i="4"/>
  <c r="L76" i="4"/>
  <c r="M76" i="4"/>
  <c r="N76" i="4"/>
  <c r="O76" i="4"/>
  <c r="P76" i="4"/>
  <c r="Q76" i="4"/>
  <c r="R76" i="4"/>
  <c r="S76" i="4"/>
  <c r="L77" i="4"/>
  <c r="M77" i="4"/>
  <c r="N77" i="4"/>
  <c r="O77" i="4"/>
  <c r="P77" i="4"/>
  <c r="Q77" i="4"/>
  <c r="R77" i="4"/>
  <c r="S77" i="4"/>
  <c r="L78" i="4"/>
  <c r="M78" i="4"/>
  <c r="N78" i="4"/>
  <c r="O78" i="4"/>
  <c r="P78" i="4"/>
  <c r="Q78" i="4"/>
  <c r="R78" i="4"/>
  <c r="S78" i="4"/>
  <c r="L79" i="4"/>
  <c r="M79" i="4"/>
  <c r="N79" i="4"/>
  <c r="O79" i="4"/>
  <c r="P79" i="4"/>
  <c r="Q79" i="4"/>
  <c r="R79" i="4"/>
  <c r="S79" i="4"/>
  <c r="L80" i="4"/>
  <c r="M80" i="4"/>
  <c r="N80" i="4"/>
  <c r="O80" i="4"/>
  <c r="P80" i="4"/>
  <c r="Q80" i="4"/>
  <c r="R80" i="4"/>
  <c r="S80" i="4"/>
  <c r="L81" i="4"/>
  <c r="M81" i="4"/>
  <c r="N81" i="4"/>
  <c r="O81" i="4"/>
  <c r="P81" i="4"/>
  <c r="Q81" i="4"/>
  <c r="R81" i="4"/>
  <c r="S81" i="4"/>
  <c r="L82" i="4"/>
  <c r="M82" i="4"/>
  <c r="N82" i="4"/>
  <c r="O82" i="4"/>
  <c r="P82" i="4"/>
  <c r="Q82" i="4"/>
  <c r="R82" i="4"/>
  <c r="S82" i="4"/>
  <c r="L83" i="4"/>
  <c r="M83" i="4"/>
  <c r="N83" i="4"/>
  <c r="O83" i="4"/>
  <c r="P83" i="4"/>
  <c r="Q83" i="4"/>
  <c r="R83" i="4"/>
  <c r="S83" i="4"/>
  <c r="L84" i="4"/>
  <c r="M84" i="4"/>
  <c r="N84" i="4"/>
  <c r="O84" i="4"/>
  <c r="P84" i="4"/>
  <c r="Q84" i="4"/>
  <c r="R84" i="4"/>
  <c r="S84" i="4"/>
  <c r="L85" i="4"/>
  <c r="M85" i="4"/>
  <c r="N85" i="4"/>
  <c r="O85" i="4"/>
  <c r="P85" i="4"/>
  <c r="Q85" i="4"/>
  <c r="R85" i="4"/>
  <c r="S85" i="4"/>
  <c r="L86" i="4"/>
  <c r="M86" i="4"/>
  <c r="N86" i="4"/>
  <c r="O86" i="4"/>
  <c r="P86" i="4"/>
  <c r="Q86" i="4"/>
  <c r="R86" i="4"/>
  <c r="S86" i="4"/>
  <c r="L87" i="4"/>
  <c r="M87" i="4"/>
  <c r="N87" i="4"/>
  <c r="O87" i="4"/>
  <c r="P87" i="4"/>
  <c r="Q87" i="4"/>
  <c r="R87" i="4"/>
  <c r="S87" i="4"/>
  <c r="L88" i="4"/>
  <c r="M88" i="4"/>
  <c r="N88" i="4"/>
  <c r="O88" i="4"/>
  <c r="P88" i="4"/>
  <c r="Q88" i="4"/>
  <c r="R88" i="4"/>
  <c r="S88" i="4"/>
  <c r="L89" i="4"/>
  <c r="M89" i="4"/>
  <c r="N89" i="4"/>
  <c r="O89" i="4"/>
  <c r="P89" i="4"/>
  <c r="Q89" i="4"/>
  <c r="R89" i="4"/>
  <c r="S89" i="4"/>
  <c r="L90" i="4"/>
  <c r="M90" i="4"/>
  <c r="N90" i="4"/>
  <c r="O90" i="4"/>
  <c r="P90" i="4"/>
  <c r="Q90" i="4"/>
  <c r="R90" i="4"/>
  <c r="S90" i="4"/>
  <c r="L91" i="4"/>
  <c r="M91" i="4"/>
  <c r="N91" i="4"/>
  <c r="O91" i="4"/>
  <c r="P91" i="4"/>
  <c r="Q91" i="4"/>
  <c r="R91" i="4"/>
  <c r="S91" i="4"/>
  <c r="L92" i="4"/>
  <c r="M92" i="4"/>
  <c r="N92" i="4"/>
  <c r="O92" i="4"/>
  <c r="P92" i="4"/>
  <c r="Q92" i="4"/>
  <c r="R92" i="4"/>
  <c r="S92" i="4"/>
  <c r="L93" i="4"/>
  <c r="M93" i="4"/>
  <c r="N93" i="4"/>
  <c r="O93" i="4"/>
  <c r="P93" i="4"/>
  <c r="Q93" i="4"/>
  <c r="R93" i="4"/>
  <c r="S93" i="4"/>
  <c r="L94" i="4"/>
  <c r="M94" i="4"/>
  <c r="N94" i="4"/>
  <c r="O94" i="4"/>
  <c r="P94" i="4"/>
  <c r="Q94" i="4"/>
  <c r="R94" i="4"/>
  <c r="S94" i="4"/>
  <c r="L95" i="4"/>
  <c r="M95" i="4"/>
  <c r="N95" i="4"/>
  <c r="O95" i="4"/>
  <c r="P95" i="4"/>
  <c r="Q95" i="4"/>
  <c r="R95" i="4"/>
  <c r="S95" i="4"/>
  <c r="L96" i="4"/>
  <c r="M96" i="4"/>
  <c r="N96" i="4"/>
  <c r="O96" i="4"/>
  <c r="P96" i="4"/>
  <c r="Q96" i="4"/>
  <c r="R96" i="4"/>
  <c r="S96" i="4"/>
  <c r="L97" i="4"/>
  <c r="M97" i="4"/>
  <c r="N97" i="4"/>
  <c r="O97" i="4"/>
  <c r="P97" i="4"/>
  <c r="Q97" i="4"/>
  <c r="R97" i="4"/>
  <c r="S97" i="4"/>
  <c r="L98" i="4"/>
  <c r="M98" i="4"/>
  <c r="N98" i="4"/>
  <c r="O98" i="4"/>
  <c r="P98" i="4"/>
  <c r="Q98" i="4"/>
  <c r="R98" i="4"/>
  <c r="S98" i="4"/>
  <c r="L99" i="4"/>
  <c r="M99" i="4"/>
  <c r="N99" i="4"/>
  <c r="O99" i="4"/>
  <c r="P99" i="4"/>
  <c r="Q99" i="4"/>
  <c r="R99" i="4"/>
  <c r="S99" i="4"/>
  <c r="L100" i="4"/>
  <c r="M100" i="4"/>
  <c r="N100" i="4"/>
  <c r="O100" i="4"/>
  <c r="P100" i="4"/>
  <c r="Q100" i="4"/>
  <c r="R100" i="4"/>
  <c r="S100" i="4"/>
  <c r="L101" i="4"/>
  <c r="M101" i="4"/>
  <c r="N101" i="4"/>
  <c r="O101" i="4"/>
  <c r="P101" i="4"/>
  <c r="Q101" i="4"/>
  <c r="R101" i="4"/>
  <c r="S101" i="4"/>
  <c r="L102" i="4"/>
  <c r="M102" i="4"/>
  <c r="N102" i="4"/>
  <c r="O102" i="4"/>
  <c r="P102" i="4"/>
  <c r="Q102" i="4"/>
  <c r="R102" i="4"/>
  <c r="S102" i="4"/>
  <c r="L103" i="4"/>
  <c r="M103" i="4"/>
  <c r="N103" i="4"/>
  <c r="O103" i="4"/>
  <c r="P103" i="4"/>
  <c r="Q103" i="4"/>
  <c r="R103" i="4"/>
  <c r="S103" i="4"/>
  <c r="L104" i="4"/>
  <c r="M104" i="4"/>
  <c r="N104" i="4"/>
  <c r="O104" i="4"/>
  <c r="P104" i="4"/>
  <c r="Q104" i="4"/>
  <c r="R104" i="4"/>
  <c r="S104" i="4"/>
  <c r="L105" i="4"/>
  <c r="M105" i="4"/>
  <c r="N105" i="4"/>
  <c r="O105" i="4"/>
  <c r="P105" i="4"/>
  <c r="Q105" i="4"/>
  <c r="R105" i="4"/>
  <c r="S105" i="4"/>
  <c r="L106" i="4"/>
  <c r="M106" i="4"/>
  <c r="N106" i="4"/>
  <c r="O106" i="4"/>
  <c r="P106" i="4"/>
  <c r="Q106" i="4"/>
  <c r="R106" i="4"/>
  <c r="S106" i="4"/>
  <c r="L107" i="4"/>
  <c r="M107" i="4"/>
  <c r="N107" i="4"/>
  <c r="O107" i="4"/>
  <c r="P107" i="4"/>
  <c r="Q107" i="4"/>
  <c r="R107" i="4"/>
  <c r="S107" i="4"/>
  <c r="L108" i="4"/>
  <c r="M108" i="4"/>
  <c r="N108" i="4"/>
  <c r="O108" i="4"/>
  <c r="P108" i="4"/>
  <c r="Q108" i="4"/>
  <c r="R108" i="4"/>
  <c r="S108" i="4"/>
  <c r="L109" i="4"/>
  <c r="M109" i="4"/>
  <c r="N109" i="4"/>
  <c r="O109" i="4"/>
  <c r="P109" i="4"/>
  <c r="Q109" i="4"/>
  <c r="R109" i="4"/>
  <c r="S109" i="4"/>
  <c r="L110" i="4"/>
  <c r="M110" i="4"/>
  <c r="N110" i="4"/>
  <c r="O110" i="4"/>
  <c r="P110" i="4"/>
  <c r="Q110" i="4"/>
  <c r="R110" i="4"/>
  <c r="S110" i="4"/>
  <c r="L111" i="4"/>
  <c r="M111" i="4"/>
  <c r="N111" i="4"/>
  <c r="O111" i="4"/>
  <c r="P111" i="4"/>
  <c r="Q111" i="4"/>
  <c r="R111" i="4"/>
  <c r="S111" i="4"/>
  <c r="L112" i="4"/>
  <c r="M112" i="4"/>
  <c r="N112" i="4"/>
  <c r="O112" i="4"/>
  <c r="P112" i="4"/>
  <c r="Q112" i="4"/>
  <c r="R112" i="4"/>
  <c r="S112" i="4"/>
  <c r="L113" i="4"/>
  <c r="M113" i="4"/>
  <c r="N113" i="4"/>
  <c r="O113" i="4"/>
  <c r="P113" i="4"/>
  <c r="Q113" i="4"/>
  <c r="R113" i="4"/>
  <c r="S113" i="4"/>
  <c r="L114" i="4"/>
  <c r="M114" i="4"/>
  <c r="N114" i="4"/>
  <c r="O114" i="4"/>
  <c r="P114" i="4"/>
  <c r="Q114" i="4"/>
  <c r="R114" i="4"/>
  <c r="S114" i="4"/>
  <c r="L115" i="4"/>
  <c r="M115" i="4"/>
  <c r="N115" i="4"/>
  <c r="O115" i="4"/>
  <c r="P115" i="4"/>
  <c r="Q115" i="4"/>
  <c r="R115" i="4"/>
  <c r="S115" i="4"/>
  <c r="L116" i="4"/>
  <c r="M116" i="4"/>
  <c r="N116" i="4"/>
  <c r="O116" i="4"/>
  <c r="P116" i="4"/>
  <c r="Q116" i="4"/>
  <c r="R116" i="4"/>
  <c r="S116" i="4"/>
  <c r="L117" i="4"/>
  <c r="M117" i="4"/>
  <c r="N117" i="4"/>
  <c r="O117" i="4"/>
  <c r="P117" i="4"/>
  <c r="Q117" i="4"/>
  <c r="R117" i="4"/>
  <c r="S117" i="4"/>
  <c r="L118" i="4"/>
  <c r="M118" i="4"/>
  <c r="N118" i="4"/>
  <c r="O118" i="4"/>
  <c r="P118" i="4"/>
  <c r="Q118" i="4"/>
  <c r="R118" i="4"/>
  <c r="S118" i="4"/>
  <c r="L119" i="4"/>
  <c r="M119" i="4"/>
  <c r="N119" i="4"/>
  <c r="O119" i="4"/>
  <c r="P119" i="4"/>
  <c r="Q119" i="4"/>
  <c r="R119" i="4"/>
  <c r="S119" i="4"/>
  <c r="L120" i="4"/>
  <c r="M120" i="4"/>
  <c r="N120" i="4"/>
  <c r="O120" i="4"/>
  <c r="P120" i="4"/>
  <c r="Q120" i="4"/>
  <c r="R120" i="4"/>
  <c r="S120" i="4"/>
  <c r="L121" i="4"/>
  <c r="M121" i="4"/>
  <c r="N121" i="4"/>
  <c r="O121" i="4"/>
  <c r="P121" i="4"/>
  <c r="Q121" i="4"/>
  <c r="R121" i="4"/>
  <c r="S121" i="4"/>
  <c r="L122" i="4"/>
  <c r="M122" i="4"/>
  <c r="N122" i="4"/>
  <c r="O122" i="4"/>
  <c r="P122" i="4"/>
  <c r="Q122" i="4"/>
  <c r="R122" i="4"/>
  <c r="S122" i="4"/>
  <c r="L123" i="4"/>
  <c r="M123" i="4"/>
  <c r="N123" i="4"/>
  <c r="O123" i="4"/>
  <c r="P123" i="4"/>
  <c r="Q123" i="4"/>
  <c r="R123" i="4"/>
  <c r="S123" i="4"/>
  <c r="L124" i="4"/>
  <c r="M124" i="4"/>
  <c r="N124" i="4"/>
  <c r="O124" i="4"/>
  <c r="P124" i="4"/>
  <c r="Q124" i="4"/>
  <c r="R124" i="4"/>
  <c r="S124" i="4"/>
  <c r="L125" i="4"/>
  <c r="M125" i="4"/>
  <c r="N125" i="4"/>
  <c r="O125" i="4"/>
  <c r="P125" i="4"/>
  <c r="Q125" i="4"/>
  <c r="R125" i="4"/>
  <c r="S125" i="4"/>
  <c r="L126" i="4"/>
  <c r="M126" i="4"/>
  <c r="N126" i="4"/>
  <c r="O126" i="4"/>
  <c r="P126" i="4"/>
  <c r="Q126" i="4"/>
  <c r="R126" i="4"/>
  <c r="S126" i="4"/>
  <c r="L127" i="4"/>
  <c r="M127" i="4"/>
  <c r="N127" i="4"/>
  <c r="O127" i="4"/>
  <c r="P127" i="4"/>
  <c r="Q127" i="4"/>
  <c r="R127" i="4"/>
  <c r="S127" i="4"/>
  <c r="L128" i="4"/>
  <c r="M128" i="4"/>
  <c r="N128" i="4"/>
  <c r="O128" i="4"/>
  <c r="P128" i="4"/>
  <c r="Q128" i="4"/>
  <c r="R128" i="4"/>
  <c r="S128" i="4"/>
  <c r="L129" i="4"/>
  <c r="M129" i="4"/>
  <c r="N129" i="4"/>
  <c r="O129" i="4"/>
  <c r="P129" i="4"/>
  <c r="Q129" i="4"/>
  <c r="R129" i="4"/>
  <c r="S129" i="4"/>
  <c r="L130" i="4"/>
  <c r="M130" i="4"/>
  <c r="N130" i="4"/>
  <c r="O130" i="4"/>
  <c r="P130" i="4"/>
  <c r="Q130" i="4"/>
  <c r="R130" i="4"/>
  <c r="S130" i="4"/>
  <c r="L131" i="4"/>
  <c r="M131" i="4"/>
  <c r="N131" i="4"/>
  <c r="O131" i="4"/>
  <c r="P131" i="4"/>
  <c r="Q131" i="4"/>
  <c r="R131" i="4"/>
  <c r="S131" i="4"/>
  <c r="L132" i="4"/>
  <c r="M132" i="4"/>
  <c r="N132" i="4"/>
  <c r="O132" i="4"/>
  <c r="P132" i="4"/>
  <c r="Q132" i="4"/>
  <c r="R132" i="4"/>
  <c r="S132" i="4"/>
  <c r="L133" i="4"/>
  <c r="M133" i="4"/>
  <c r="N133" i="4"/>
  <c r="O133" i="4"/>
  <c r="P133" i="4"/>
  <c r="Q133" i="4"/>
  <c r="R133" i="4"/>
  <c r="S133" i="4"/>
  <c r="L134" i="4"/>
  <c r="M134" i="4"/>
  <c r="N134" i="4"/>
  <c r="O134" i="4"/>
  <c r="P134" i="4"/>
  <c r="Q134" i="4"/>
  <c r="R134" i="4"/>
  <c r="S134" i="4"/>
  <c r="L135" i="4"/>
  <c r="M135" i="4"/>
  <c r="N135" i="4"/>
  <c r="O135" i="4"/>
  <c r="P135" i="4"/>
  <c r="Q135" i="4"/>
  <c r="R135" i="4"/>
  <c r="S135" i="4"/>
  <c r="L136" i="4"/>
  <c r="M136" i="4"/>
  <c r="N136" i="4"/>
  <c r="O136" i="4"/>
  <c r="P136" i="4"/>
  <c r="Q136" i="4"/>
  <c r="R136" i="4"/>
  <c r="S136" i="4"/>
  <c r="L137" i="4"/>
  <c r="M137" i="4"/>
  <c r="N137" i="4"/>
  <c r="O137" i="4"/>
  <c r="P137" i="4"/>
  <c r="Q137" i="4"/>
  <c r="R137" i="4"/>
  <c r="S137" i="4"/>
  <c r="L138" i="4"/>
  <c r="M138" i="4"/>
  <c r="N138" i="4"/>
  <c r="O138" i="4"/>
  <c r="P138" i="4"/>
  <c r="Q138" i="4"/>
  <c r="R138" i="4"/>
  <c r="S138" i="4"/>
  <c r="L139" i="4"/>
  <c r="M139" i="4"/>
  <c r="N139" i="4"/>
  <c r="O139" i="4"/>
  <c r="P139" i="4"/>
  <c r="Q139" i="4"/>
  <c r="R139" i="4"/>
  <c r="S139" i="4"/>
  <c r="L140" i="4"/>
  <c r="M140" i="4"/>
  <c r="N140" i="4"/>
  <c r="O140" i="4"/>
  <c r="P140" i="4"/>
  <c r="Q140" i="4"/>
  <c r="R140" i="4"/>
  <c r="S140" i="4"/>
  <c r="L141" i="4"/>
  <c r="M141" i="4"/>
  <c r="N141" i="4"/>
  <c r="O141" i="4"/>
  <c r="P141" i="4"/>
  <c r="Q141" i="4"/>
  <c r="R141" i="4"/>
  <c r="S141" i="4"/>
  <c r="L142" i="4"/>
  <c r="M142" i="4"/>
  <c r="N142" i="4"/>
  <c r="O142" i="4"/>
  <c r="P142" i="4"/>
  <c r="Q142" i="4"/>
  <c r="R142" i="4"/>
  <c r="S142" i="4"/>
  <c r="L143" i="4"/>
  <c r="M143" i="4"/>
  <c r="N143" i="4"/>
  <c r="O143" i="4"/>
  <c r="P143" i="4"/>
  <c r="Q143" i="4"/>
  <c r="R143" i="4"/>
  <c r="S143" i="4"/>
  <c r="L144" i="4"/>
  <c r="M144" i="4"/>
  <c r="N144" i="4"/>
  <c r="O144" i="4"/>
  <c r="P144" i="4"/>
  <c r="Q144" i="4"/>
  <c r="R144" i="4"/>
  <c r="S144" i="4"/>
  <c r="L145" i="4"/>
  <c r="M145" i="4"/>
  <c r="N145" i="4"/>
  <c r="O145" i="4"/>
  <c r="P145" i="4"/>
  <c r="Q145" i="4"/>
  <c r="R145" i="4"/>
  <c r="S145" i="4"/>
  <c r="L146" i="4"/>
  <c r="M146" i="4"/>
  <c r="N146" i="4"/>
  <c r="O146" i="4"/>
  <c r="P146" i="4"/>
  <c r="Q146" i="4"/>
  <c r="R146" i="4"/>
  <c r="S146" i="4"/>
  <c r="L147" i="4"/>
  <c r="M147" i="4"/>
  <c r="N147" i="4"/>
  <c r="O147" i="4"/>
  <c r="P147" i="4"/>
  <c r="Q147" i="4"/>
  <c r="R147" i="4"/>
  <c r="S147" i="4"/>
  <c r="L148" i="4"/>
  <c r="M148" i="4"/>
  <c r="N148" i="4"/>
  <c r="O148" i="4"/>
  <c r="P148" i="4"/>
  <c r="Q148" i="4"/>
  <c r="R148" i="4"/>
  <c r="S148" i="4"/>
  <c r="L149" i="4"/>
  <c r="M149" i="4"/>
  <c r="N149" i="4"/>
  <c r="O149" i="4"/>
  <c r="P149" i="4"/>
  <c r="Q149" i="4"/>
  <c r="R149" i="4"/>
  <c r="S149" i="4"/>
  <c r="L150" i="4"/>
  <c r="M150" i="4"/>
  <c r="N150" i="4"/>
  <c r="O150" i="4"/>
  <c r="P150" i="4"/>
  <c r="Q150" i="4"/>
  <c r="R150" i="4"/>
  <c r="S150" i="4"/>
  <c r="L151" i="4"/>
  <c r="M151" i="4"/>
  <c r="N151" i="4"/>
  <c r="O151" i="4"/>
  <c r="P151" i="4"/>
  <c r="Q151" i="4"/>
  <c r="R151" i="4"/>
  <c r="S151" i="4"/>
  <c r="L152" i="4"/>
  <c r="M152" i="4"/>
  <c r="N152" i="4"/>
  <c r="O152" i="4"/>
  <c r="P152" i="4"/>
  <c r="Q152" i="4"/>
  <c r="R152" i="4"/>
  <c r="S152" i="4"/>
  <c r="L153" i="4"/>
  <c r="M153" i="4"/>
  <c r="N153" i="4"/>
  <c r="O153" i="4"/>
  <c r="P153" i="4"/>
  <c r="Q153" i="4"/>
  <c r="R153" i="4"/>
  <c r="S153" i="4"/>
  <c r="L154" i="4"/>
  <c r="M154" i="4"/>
  <c r="N154" i="4"/>
  <c r="O154" i="4"/>
  <c r="P154" i="4"/>
  <c r="Q154" i="4"/>
  <c r="R154" i="4"/>
  <c r="S154" i="4"/>
  <c r="L155" i="4"/>
  <c r="M155" i="4"/>
  <c r="N155" i="4"/>
  <c r="O155" i="4"/>
  <c r="P155" i="4"/>
  <c r="Q155" i="4"/>
  <c r="R155" i="4"/>
  <c r="S155" i="4"/>
  <c r="L156" i="4"/>
  <c r="M156" i="4"/>
  <c r="N156" i="4"/>
  <c r="O156" i="4"/>
  <c r="P156" i="4"/>
  <c r="Q156" i="4"/>
  <c r="R156" i="4"/>
  <c r="S156" i="4"/>
  <c r="L157" i="4"/>
  <c r="M157" i="4"/>
  <c r="N157" i="4"/>
  <c r="O157" i="4"/>
  <c r="P157" i="4"/>
  <c r="Q157" i="4"/>
  <c r="R157" i="4"/>
  <c r="S157" i="4"/>
  <c r="L158" i="4"/>
  <c r="M158" i="4"/>
  <c r="N158" i="4"/>
  <c r="O158" i="4"/>
  <c r="P158" i="4"/>
  <c r="Q158" i="4"/>
  <c r="R158" i="4"/>
  <c r="S158" i="4"/>
  <c r="L159" i="4"/>
  <c r="M159" i="4"/>
  <c r="N159" i="4"/>
  <c r="O159" i="4"/>
  <c r="P159" i="4"/>
  <c r="Q159" i="4"/>
  <c r="R159" i="4"/>
  <c r="S159" i="4"/>
  <c r="L160" i="4"/>
  <c r="M160" i="4"/>
  <c r="N160" i="4"/>
  <c r="O160" i="4"/>
  <c r="P160" i="4"/>
  <c r="Q160" i="4"/>
  <c r="R160" i="4"/>
  <c r="S160" i="4"/>
  <c r="L161" i="4"/>
  <c r="M161" i="4"/>
  <c r="N161" i="4"/>
  <c r="O161" i="4"/>
  <c r="P161" i="4"/>
  <c r="Q161" i="4"/>
  <c r="R161" i="4"/>
  <c r="S161" i="4"/>
  <c r="L162" i="4"/>
  <c r="M162" i="4"/>
  <c r="N162" i="4"/>
  <c r="O162" i="4"/>
  <c r="P162" i="4"/>
  <c r="Q162" i="4"/>
  <c r="R162" i="4"/>
  <c r="S162" i="4"/>
  <c r="L163" i="4"/>
  <c r="M163" i="4"/>
  <c r="N163" i="4"/>
  <c r="O163" i="4"/>
  <c r="P163" i="4"/>
  <c r="Q163" i="4"/>
  <c r="R163" i="4"/>
  <c r="S163" i="4"/>
  <c r="L164" i="4"/>
  <c r="M164" i="4"/>
  <c r="N164" i="4"/>
  <c r="O164" i="4"/>
  <c r="P164" i="4"/>
  <c r="Q164" i="4"/>
  <c r="R164" i="4"/>
  <c r="S164" i="4"/>
  <c r="L165" i="4"/>
  <c r="M165" i="4"/>
  <c r="N165" i="4"/>
  <c r="O165" i="4"/>
  <c r="P165" i="4"/>
  <c r="Q165" i="4"/>
  <c r="R165" i="4"/>
  <c r="S165" i="4"/>
  <c r="L166" i="4"/>
  <c r="M166" i="4"/>
  <c r="N166" i="4"/>
  <c r="O166" i="4"/>
  <c r="P166" i="4"/>
  <c r="Q166" i="4"/>
  <c r="R166" i="4"/>
  <c r="S166" i="4"/>
  <c r="L167" i="4"/>
  <c r="M167" i="4"/>
  <c r="N167" i="4"/>
  <c r="O167" i="4"/>
  <c r="P167" i="4"/>
  <c r="Q167" i="4"/>
  <c r="R167" i="4"/>
  <c r="S167" i="4"/>
  <c r="L168" i="4"/>
  <c r="M168" i="4"/>
  <c r="N168" i="4"/>
  <c r="O168" i="4"/>
  <c r="P168" i="4"/>
  <c r="Q168" i="4"/>
  <c r="R168" i="4"/>
  <c r="S168" i="4"/>
  <c r="L169" i="4"/>
  <c r="M169" i="4"/>
  <c r="N169" i="4"/>
  <c r="O169" i="4"/>
  <c r="P169" i="4"/>
  <c r="Q169" i="4"/>
  <c r="R169" i="4"/>
  <c r="S169" i="4"/>
  <c r="L170" i="4"/>
  <c r="M170" i="4"/>
  <c r="N170" i="4"/>
  <c r="O170" i="4"/>
  <c r="P170" i="4"/>
  <c r="Q170" i="4"/>
  <c r="R170" i="4"/>
  <c r="S170" i="4"/>
  <c r="L171" i="4"/>
  <c r="M171" i="4"/>
  <c r="N171" i="4"/>
  <c r="O171" i="4"/>
  <c r="P171" i="4"/>
  <c r="Q171" i="4"/>
  <c r="R171" i="4"/>
  <c r="S171" i="4"/>
  <c r="L172" i="4"/>
  <c r="M172" i="4"/>
  <c r="N172" i="4"/>
  <c r="O172" i="4"/>
  <c r="P172" i="4"/>
  <c r="Q172" i="4"/>
  <c r="R172" i="4"/>
  <c r="S172" i="4"/>
  <c r="L173" i="4"/>
  <c r="M173" i="4"/>
  <c r="N173" i="4"/>
  <c r="O173" i="4"/>
  <c r="P173" i="4"/>
  <c r="Q173" i="4"/>
  <c r="R173" i="4"/>
  <c r="S173" i="4"/>
  <c r="L174" i="4"/>
  <c r="M174" i="4"/>
  <c r="N174" i="4"/>
  <c r="O174" i="4"/>
  <c r="P174" i="4"/>
  <c r="Q174" i="4"/>
  <c r="R174" i="4"/>
  <c r="S174" i="4"/>
  <c r="L175" i="4"/>
  <c r="M175" i="4"/>
  <c r="N175" i="4"/>
  <c r="O175" i="4"/>
  <c r="P175" i="4"/>
  <c r="Q175" i="4"/>
  <c r="R175" i="4"/>
  <c r="S175" i="4"/>
  <c r="L176" i="4"/>
  <c r="M176" i="4"/>
  <c r="N176" i="4"/>
  <c r="O176" i="4"/>
  <c r="P176" i="4"/>
  <c r="Q176" i="4"/>
  <c r="R176" i="4"/>
  <c r="S176" i="4"/>
  <c r="L177" i="4"/>
  <c r="M177" i="4"/>
  <c r="N177" i="4"/>
  <c r="O177" i="4"/>
  <c r="P177" i="4"/>
  <c r="Q177" i="4"/>
  <c r="R177" i="4"/>
  <c r="S177" i="4"/>
  <c r="L178" i="4"/>
  <c r="M178" i="4"/>
  <c r="N178" i="4"/>
  <c r="O178" i="4"/>
  <c r="P178" i="4"/>
  <c r="Q178" i="4"/>
  <c r="R178" i="4"/>
  <c r="S178" i="4"/>
  <c r="L179" i="4"/>
  <c r="M179" i="4"/>
  <c r="N179" i="4"/>
  <c r="O179" i="4"/>
  <c r="P179" i="4"/>
  <c r="Q179" i="4"/>
  <c r="R179" i="4"/>
  <c r="S179" i="4"/>
  <c r="L180" i="4"/>
  <c r="M180" i="4"/>
  <c r="N180" i="4"/>
  <c r="O180" i="4"/>
  <c r="P180" i="4"/>
  <c r="Q180" i="4"/>
  <c r="R180" i="4"/>
  <c r="S180" i="4"/>
  <c r="L181" i="4"/>
  <c r="M181" i="4"/>
  <c r="N181" i="4"/>
  <c r="O181" i="4"/>
  <c r="P181" i="4"/>
  <c r="Q181" i="4"/>
  <c r="R181" i="4"/>
  <c r="S181" i="4"/>
  <c r="L182" i="4"/>
  <c r="M182" i="4"/>
  <c r="N182" i="4"/>
  <c r="O182" i="4"/>
  <c r="P182" i="4"/>
  <c r="Q182" i="4"/>
  <c r="R182" i="4"/>
  <c r="S182" i="4"/>
  <c r="L183" i="4"/>
  <c r="M183" i="4"/>
  <c r="N183" i="4"/>
  <c r="O183" i="4"/>
  <c r="P183" i="4"/>
  <c r="Q183" i="4"/>
  <c r="R183" i="4"/>
  <c r="S183" i="4"/>
  <c r="L184" i="4"/>
  <c r="M184" i="4"/>
  <c r="N184" i="4"/>
  <c r="O184" i="4"/>
  <c r="P184" i="4"/>
  <c r="Q184" i="4"/>
  <c r="R184" i="4"/>
  <c r="S184" i="4"/>
  <c r="L185" i="4"/>
  <c r="M185" i="4"/>
  <c r="N185" i="4"/>
  <c r="O185" i="4"/>
  <c r="P185" i="4"/>
  <c r="Q185" i="4"/>
  <c r="R185" i="4"/>
  <c r="S185" i="4"/>
  <c r="L186" i="4"/>
  <c r="M186" i="4"/>
  <c r="N186" i="4"/>
  <c r="O186" i="4"/>
  <c r="P186" i="4"/>
  <c r="Q186" i="4"/>
  <c r="R186" i="4"/>
  <c r="S186" i="4"/>
  <c r="L187" i="4"/>
  <c r="M187" i="4"/>
  <c r="N187" i="4"/>
  <c r="O187" i="4"/>
  <c r="P187" i="4"/>
  <c r="Q187" i="4"/>
  <c r="R187" i="4"/>
  <c r="S187" i="4"/>
  <c r="L188" i="4"/>
  <c r="M188" i="4"/>
  <c r="N188" i="4"/>
  <c r="O188" i="4"/>
  <c r="P188" i="4"/>
  <c r="Q188" i="4"/>
  <c r="R188" i="4"/>
  <c r="S188" i="4"/>
  <c r="L189" i="4"/>
  <c r="M189" i="4"/>
  <c r="N189" i="4"/>
  <c r="O189" i="4"/>
  <c r="P189" i="4"/>
  <c r="Q189" i="4"/>
  <c r="R189" i="4"/>
  <c r="S189" i="4"/>
  <c r="L190" i="4"/>
  <c r="M190" i="4"/>
  <c r="N190" i="4"/>
  <c r="O190" i="4"/>
  <c r="P190" i="4"/>
  <c r="Q190" i="4"/>
  <c r="R190" i="4"/>
  <c r="S190" i="4"/>
  <c r="L191" i="4"/>
  <c r="M191" i="4"/>
  <c r="N191" i="4"/>
  <c r="O191" i="4"/>
  <c r="P191" i="4"/>
  <c r="Q191" i="4"/>
  <c r="R191" i="4"/>
  <c r="S191" i="4"/>
  <c r="L192" i="4"/>
  <c r="M192" i="4"/>
  <c r="N192" i="4"/>
  <c r="O192" i="4"/>
  <c r="P192" i="4"/>
  <c r="Q192" i="4"/>
  <c r="R192" i="4"/>
  <c r="S192" i="4"/>
  <c r="L193" i="4"/>
  <c r="M193" i="4"/>
  <c r="N193" i="4"/>
  <c r="O193" i="4"/>
  <c r="P193" i="4"/>
  <c r="Q193" i="4"/>
  <c r="R193" i="4"/>
  <c r="S193" i="4"/>
  <c r="L194" i="4"/>
  <c r="M194" i="4"/>
  <c r="N194" i="4"/>
  <c r="O194" i="4"/>
  <c r="P194" i="4"/>
  <c r="Q194" i="4"/>
  <c r="R194" i="4"/>
  <c r="S194" i="4"/>
  <c r="L195" i="4"/>
  <c r="M195" i="4"/>
  <c r="N195" i="4"/>
  <c r="O195" i="4"/>
  <c r="P195" i="4"/>
  <c r="Q195" i="4"/>
  <c r="R195" i="4"/>
  <c r="S195" i="4"/>
  <c r="L196" i="4"/>
  <c r="M196" i="4"/>
  <c r="N196" i="4"/>
  <c r="O196" i="4"/>
  <c r="P196" i="4"/>
  <c r="Q196" i="4"/>
  <c r="R196" i="4"/>
  <c r="S196" i="4"/>
  <c r="L197" i="4"/>
  <c r="M197" i="4"/>
  <c r="N197" i="4"/>
  <c r="O197" i="4"/>
  <c r="P197" i="4"/>
  <c r="Q197" i="4"/>
  <c r="R197" i="4"/>
  <c r="S197" i="4"/>
  <c r="L198" i="4"/>
  <c r="M198" i="4"/>
  <c r="N198" i="4"/>
  <c r="O198" i="4"/>
  <c r="P198" i="4"/>
  <c r="Q198" i="4"/>
  <c r="R198" i="4"/>
  <c r="S198" i="4"/>
  <c r="L199" i="4"/>
  <c r="M199" i="4"/>
  <c r="N199" i="4"/>
  <c r="O199" i="4"/>
  <c r="P199" i="4"/>
  <c r="Q199" i="4"/>
  <c r="R199" i="4"/>
  <c r="S199" i="4"/>
  <c r="L200" i="4"/>
  <c r="M200" i="4"/>
  <c r="N200" i="4"/>
  <c r="O200" i="4"/>
  <c r="P200" i="4"/>
  <c r="Q200" i="4"/>
  <c r="R200" i="4"/>
  <c r="S200" i="4"/>
  <c r="L201" i="4"/>
  <c r="M201" i="4"/>
  <c r="N201" i="4"/>
  <c r="O201" i="4"/>
  <c r="P201" i="4"/>
  <c r="Q201" i="4"/>
  <c r="R201" i="4"/>
  <c r="S201" i="4"/>
  <c r="L202" i="4"/>
  <c r="M202" i="4"/>
  <c r="N202" i="4"/>
  <c r="O202" i="4"/>
  <c r="P202" i="4"/>
  <c r="Q202" i="4"/>
  <c r="R202" i="4"/>
  <c r="S202" i="4"/>
  <c r="L203" i="4"/>
  <c r="M203" i="4"/>
  <c r="N203" i="4"/>
  <c r="O203" i="4"/>
  <c r="P203" i="4"/>
  <c r="Q203" i="4"/>
  <c r="R203" i="4"/>
  <c r="S203" i="4"/>
  <c r="L204" i="4"/>
  <c r="M204" i="4"/>
  <c r="N204" i="4"/>
  <c r="O204" i="4"/>
  <c r="P204" i="4"/>
  <c r="Q204" i="4"/>
  <c r="R204" i="4"/>
  <c r="S204" i="4"/>
  <c r="L205" i="4"/>
  <c r="M205" i="4"/>
  <c r="N205" i="4"/>
  <c r="O205" i="4"/>
  <c r="P205" i="4"/>
  <c r="Q205" i="4"/>
  <c r="R205" i="4"/>
  <c r="S205" i="4"/>
  <c r="L206" i="4"/>
  <c r="M206" i="4"/>
  <c r="N206" i="4"/>
  <c r="O206" i="4"/>
  <c r="P206" i="4"/>
  <c r="Q206" i="4"/>
  <c r="R206" i="4"/>
  <c r="S206" i="4"/>
  <c r="L207" i="4"/>
  <c r="M207" i="4"/>
  <c r="N207" i="4"/>
  <c r="O207" i="4"/>
  <c r="P207" i="4"/>
  <c r="Q207" i="4"/>
  <c r="R207" i="4"/>
  <c r="S207" i="4"/>
  <c r="L208" i="4"/>
  <c r="M208" i="4"/>
  <c r="N208" i="4"/>
  <c r="O208" i="4"/>
  <c r="P208" i="4"/>
  <c r="Q208" i="4"/>
  <c r="R208" i="4"/>
  <c r="S208" i="4"/>
  <c r="L209" i="4"/>
  <c r="M209" i="4"/>
  <c r="N209" i="4"/>
  <c r="O209" i="4"/>
  <c r="P209" i="4"/>
  <c r="Q209" i="4"/>
  <c r="R209" i="4"/>
  <c r="S209" i="4"/>
  <c r="L210" i="4"/>
  <c r="M210" i="4"/>
  <c r="N210" i="4"/>
  <c r="O210" i="4"/>
  <c r="P210" i="4"/>
  <c r="Q210" i="4"/>
  <c r="R210" i="4"/>
  <c r="S210" i="4"/>
  <c r="L211" i="4"/>
  <c r="M211" i="4"/>
  <c r="N211" i="4"/>
  <c r="O211" i="4"/>
  <c r="P211" i="4"/>
  <c r="Q211" i="4"/>
  <c r="R211" i="4"/>
  <c r="S211" i="4"/>
  <c r="L212" i="4"/>
  <c r="M212" i="4"/>
  <c r="N212" i="4"/>
  <c r="O212" i="4"/>
  <c r="P212" i="4"/>
  <c r="Q212" i="4"/>
  <c r="R212" i="4"/>
  <c r="S212" i="4"/>
  <c r="L213" i="4"/>
  <c r="M213" i="4"/>
  <c r="N213" i="4"/>
  <c r="O213" i="4"/>
  <c r="P213" i="4"/>
  <c r="Q213" i="4"/>
  <c r="R213" i="4"/>
  <c r="S213" i="4"/>
  <c r="L214" i="4"/>
  <c r="M214" i="4"/>
  <c r="N214" i="4"/>
  <c r="O214" i="4"/>
  <c r="P214" i="4"/>
  <c r="Q214" i="4"/>
  <c r="R214" i="4"/>
  <c r="S214" i="4"/>
  <c r="L215" i="4"/>
  <c r="M215" i="4"/>
  <c r="N215" i="4"/>
  <c r="O215" i="4"/>
  <c r="P215" i="4"/>
  <c r="Q215" i="4"/>
  <c r="R215" i="4"/>
  <c r="S215" i="4"/>
  <c r="L216" i="4"/>
  <c r="M216" i="4"/>
  <c r="N216" i="4"/>
  <c r="O216" i="4"/>
  <c r="P216" i="4"/>
  <c r="Q216" i="4"/>
  <c r="R216" i="4"/>
  <c r="S216" i="4"/>
  <c r="L217" i="4"/>
  <c r="M217" i="4"/>
  <c r="N217" i="4"/>
  <c r="O217" i="4"/>
  <c r="P217" i="4"/>
  <c r="Q217" i="4"/>
  <c r="R217" i="4"/>
  <c r="S217" i="4"/>
  <c r="L218" i="4"/>
  <c r="M218" i="4"/>
  <c r="N218" i="4"/>
  <c r="O218" i="4"/>
  <c r="P218" i="4"/>
  <c r="Q218" i="4"/>
  <c r="R218" i="4"/>
  <c r="S218" i="4"/>
  <c r="L219" i="4"/>
  <c r="M219" i="4"/>
  <c r="N219" i="4"/>
  <c r="O219" i="4"/>
  <c r="P219" i="4"/>
  <c r="Q219" i="4"/>
  <c r="R219" i="4"/>
  <c r="S219" i="4"/>
  <c r="L220" i="4"/>
  <c r="M220" i="4"/>
  <c r="N220" i="4"/>
  <c r="O220" i="4"/>
  <c r="P220" i="4"/>
  <c r="Q220" i="4"/>
  <c r="R220" i="4"/>
  <c r="S220" i="4"/>
  <c r="L221" i="4"/>
  <c r="M221" i="4"/>
  <c r="N221" i="4"/>
  <c r="O221" i="4"/>
  <c r="P221" i="4"/>
  <c r="Q221" i="4"/>
  <c r="R221" i="4"/>
  <c r="S221" i="4"/>
  <c r="L222" i="4"/>
  <c r="M222" i="4"/>
  <c r="N222" i="4"/>
  <c r="O222" i="4"/>
  <c r="P222" i="4"/>
  <c r="Q222" i="4"/>
  <c r="R222" i="4"/>
  <c r="S222" i="4"/>
  <c r="L223" i="4"/>
  <c r="M223" i="4"/>
  <c r="N223" i="4"/>
  <c r="O223" i="4"/>
  <c r="P223" i="4"/>
  <c r="Q223" i="4"/>
  <c r="R223" i="4"/>
  <c r="S223" i="4"/>
  <c r="L224" i="4"/>
  <c r="M224" i="4"/>
  <c r="N224" i="4"/>
  <c r="O224" i="4"/>
  <c r="P224" i="4"/>
  <c r="Q224" i="4"/>
  <c r="R224" i="4"/>
  <c r="S224" i="4"/>
  <c r="L225" i="4"/>
  <c r="M225" i="4"/>
  <c r="N225" i="4"/>
  <c r="O225" i="4"/>
  <c r="P225" i="4"/>
  <c r="Q225" i="4"/>
  <c r="R225" i="4"/>
  <c r="S225" i="4"/>
  <c r="L226" i="4"/>
  <c r="M226" i="4"/>
  <c r="N226" i="4"/>
  <c r="O226" i="4"/>
  <c r="P226" i="4"/>
  <c r="Q226" i="4"/>
  <c r="R226" i="4"/>
  <c r="S226" i="4"/>
  <c r="L227" i="4"/>
  <c r="M227" i="4"/>
  <c r="N227" i="4"/>
  <c r="O227" i="4"/>
  <c r="P227" i="4"/>
  <c r="Q227" i="4"/>
  <c r="R227" i="4"/>
  <c r="S227" i="4"/>
  <c r="L228" i="4"/>
  <c r="M228" i="4"/>
  <c r="N228" i="4"/>
  <c r="O228" i="4"/>
  <c r="P228" i="4"/>
  <c r="Q228" i="4"/>
  <c r="R228" i="4"/>
  <c r="S228" i="4"/>
  <c r="L229" i="4"/>
  <c r="M229" i="4"/>
  <c r="N229" i="4"/>
  <c r="O229" i="4"/>
  <c r="P229" i="4"/>
  <c r="Q229" i="4"/>
  <c r="R229" i="4"/>
  <c r="S229" i="4"/>
  <c r="L230" i="4"/>
  <c r="M230" i="4"/>
  <c r="N230" i="4"/>
  <c r="O230" i="4"/>
  <c r="P230" i="4"/>
  <c r="Q230" i="4"/>
  <c r="R230" i="4"/>
  <c r="S230" i="4"/>
  <c r="L231" i="4"/>
  <c r="M231" i="4"/>
  <c r="N231" i="4"/>
  <c r="O231" i="4"/>
  <c r="P231" i="4"/>
  <c r="Q231" i="4"/>
  <c r="R231" i="4"/>
  <c r="S231" i="4"/>
  <c r="L232" i="4"/>
  <c r="M232" i="4"/>
  <c r="N232" i="4"/>
  <c r="O232" i="4"/>
  <c r="P232" i="4"/>
  <c r="Q232" i="4"/>
  <c r="R232" i="4"/>
  <c r="S232" i="4"/>
  <c r="L233" i="4"/>
  <c r="M233" i="4"/>
  <c r="N233" i="4"/>
  <c r="O233" i="4"/>
  <c r="P233" i="4"/>
  <c r="Q233" i="4"/>
  <c r="R233" i="4"/>
  <c r="S233" i="4"/>
  <c r="L234" i="4"/>
  <c r="M234" i="4"/>
  <c r="N234" i="4"/>
  <c r="O234" i="4"/>
  <c r="P234" i="4"/>
  <c r="Q234" i="4"/>
  <c r="R234" i="4"/>
  <c r="S234" i="4"/>
  <c r="L235" i="4"/>
  <c r="M235" i="4"/>
  <c r="N235" i="4"/>
  <c r="O235" i="4"/>
  <c r="P235" i="4"/>
  <c r="Q235" i="4"/>
  <c r="R235" i="4"/>
  <c r="S235" i="4"/>
  <c r="L236" i="4"/>
  <c r="M236" i="4"/>
  <c r="N236" i="4"/>
  <c r="O236" i="4"/>
  <c r="P236" i="4"/>
  <c r="Q236" i="4"/>
  <c r="R236" i="4"/>
  <c r="S236" i="4"/>
  <c r="L237" i="4"/>
  <c r="M237" i="4"/>
  <c r="N237" i="4"/>
  <c r="O237" i="4"/>
  <c r="P237" i="4"/>
  <c r="Q237" i="4"/>
  <c r="R237" i="4"/>
  <c r="S237" i="4"/>
  <c r="L238" i="4"/>
  <c r="M238" i="4"/>
  <c r="N238" i="4"/>
  <c r="O238" i="4"/>
  <c r="P238" i="4"/>
  <c r="Q238" i="4"/>
  <c r="R238" i="4"/>
  <c r="S238" i="4"/>
  <c r="L239" i="4"/>
  <c r="M239" i="4"/>
  <c r="N239" i="4"/>
  <c r="O239" i="4"/>
  <c r="P239" i="4"/>
  <c r="Q239" i="4"/>
  <c r="R239" i="4"/>
  <c r="S239" i="4"/>
  <c r="L240" i="4"/>
  <c r="M240" i="4"/>
  <c r="N240" i="4"/>
  <c r="O240" i="4"/>
  <c r="P240" i="4"/>
  <c r="Q240" i="4"/>
  <c r="R240" i="4"/>
  <c r="S240" i="4"/>
  <c r="L241" i="4"/>
  <c r="M241" i="4"/>
  <c r="N241" i="4"/>
  <c r="O241" i="4"/>
  <c r="P241" i="4"/>
  <c r="Q241" i="4"/>
  <c r="R241" i="4"/>
  <c r="S241" i="4"/>
  <c r="L242" i="4"/>
  <c r="M242" i="4"/>
  <c r="N242" i="4"/>
  <c r="O242" i="4"/>
  <c r="P242" i="4"/>
  <c r="Q242" i="4"/>
  <c r="R242" i="4"/>
  <c r="S242" i="4"/>
  <c r="L243" i="4"/>
  <c r="M243" i="4"/>
  <c r="N243" i="4"/>
  <c r="O243" i="4"/>
  <c r="P243" i="4"/>
  <c r="Q243" i="4"/>
  <c r="R243" i="4"/>
  <c r="S243" i="4"/>
  <c r="L244" i="4"/>
  <c r="M244" i="4"/>
  <c r="N244" i="4"/>
  <c r="O244" i="4"/>
  <c r="P244" i="4"/>
  <c r="Q244" i="4"/>
  <c r="R244" i="4"/>
  <c r="S244" i="4"/>
  <c r="L245" i="4"/>
  <c r="M245" i="4"/>
  <c r="N245" i="4"/>
  <c r="O245" i="4"/>
  <c r="P245" i="4"/>
  <c r="Q245" i="4"/>
  <c r="R245" i="4"/>
  <c r="S245" i="4"/>
  <c r="L246" i="4"/>
  <c r="M246" i="4"/>
  <c r="N246" i="4"/>
  <c r="O246" i="4"/>
  <c r="P246" i="4"/>
  <c r="Q246" i="4"/>
  <c r="R246" i="4"/>
  <c r="S246" i="4"/>
  <c r="L247" i="4"/>
  <c r="M247" i="4"/>
  <c r="N247" i="4"/>
  <c r="O247" i="4"/>
  <c r="P247" i="4"/>
  <c r="Q247" i="4"/>
  <c r="R247" i="4"/>
  <c r="S247" i="4"/>
  <c r="L248" i="4"/>
  <c r="M248" i="4"/>
  <c r="N248" i="4"/>
  <c r="O248" i="4"/>
  <c r="P248" i="4"/>
  <c r="Q248" i="4"/>
  <c r="R248" i="4"/>
  <c r="S248" i="4"/>
  <c r="L249" i="4"/>
  <c r="M249" i="4"/>
  <c r="N249" i="4"/>
  <c r="O249" i="4"/>
  <c r="P249" i="4"/>
  <c r="Q249" i="4"/>
  <c r="R249" i="4"/>
  <c r="S249" i="4"/>
  <c r="L250" i="4"/>
  <c r="M250" i="4"/>
  <c r="N250" i="4"/>
  <c r="O250" i="4"/>
  <c r="P250" i="4"/>
  <c r="Q250" i="4"/>
  <c r="R250" i="4"/>
  <c r="S250" i="4"/>
  <c r="L251" i="4"/>
  <c r="M251" i="4"/>
  <c r="N251" i="4"/>
  <c r="O251" i="4"/>
  <c r="P251" i="4"/>
  <c r="Q251" i="4"/>
  <c r="R251" i="4"/>
  <c r="S251" i="4"/>
  <c r="L252" i="4"/>
  <c r="M252" i="4"/>
  <c r="N252" i="4"/>
  <c r="O252" i="4"/>
  <c r="P252" i="4"/>
  <c r="Q252" i="4"/>
  <c r="R252" i="4"/>
  <c r="S252" i="4"/>
  <c r="L253" i="4"/>
  <c r="M253" i="4"/>
  <c r="N253" i="4"/>
  <c r="O253" i="4"/>
  <c r="P253" i="4"/>
  <c r="Q253" i="4"/>
  <c r="R253" i="4"/>
  <c r="S253" i="4"/>
  <c r="L254" i="4"/>
  <c r="M254" i="4"/>
  <c r="N254" i="4"/>
  <c r="O254" i="4"/>
  <c r="P254" i="4"/>
  <c r="Q254" i="4"/>
  <c r="R254" i="4"/>
  <c r="S254" i="4"/>
  <c r="L255" i="4"/>
  <c r="M255" i="4"/>
  <c r="N255" i="4"/>
  <c r="O255" i="4"/>
  <c r="P255" i="4"/>
  <c r="Q255" i="4"/>
  <c r="R255" i="4"/>
  <c r="S255" i="4"/>
  <c r="L256" i="4"/>
  <c r="M256" i="4"/>
  <c r="N256" i="4"/>
  <c r="O256" i="4"/>
  <c r="P256" i="4"/>
  <c r="Q256" i="4"/>
  <c r="R256" i="4"/>
  <c r="S256" i="4"/>
  <c r="L257" i="4"/>
  <c r="M257" i="4"/>
  <c r="N257" i="4"/>
  <c r="O257" i="4"/>
  <c r="P257" i="4"/>
  <c r="Q257" i="4"/>
  <c r="R257" i="4"/>
  <c r="S257" i="4"/>
  <c r="L258" i="4"/>
  <c r="M258" i="4"/>
  <c r="N258" i="4"/>
  <c r="O258" i="4"/>
  <c r="P258" i="4"/>
  <c r="Q258" i="4"/>
  <c r="R258" i="4"/>
  <c r="S258" i="4"/>
  <c r="L259" i="4"/>
  <c r="M259" i="4"/>
  <c r="N259" i="4"/>
  <c r="O259" i="4"/>
  <c r="P259" i="4"/>
  <c r="Q259" i="4"/>
  <c r="R259" i="4"/>
  <c r="S259" i="4"/>
  <c r="L260" i="4"/>
  <c r="M260" i="4"/>
  <c r="N260" i="4"/>
  <c r="O260" i="4"/>
  <c r="P260" i="4"/>
  <c r="Q260" i="4"/>
  <c r="R260" i="4"/>
  <c r="S260" i="4"/>
  <c r="L261" i="4"/>
  <c r="M261" i="4"/>
  <c r="N261" i="4"/>
  <c r="O261" i="4"/>
  <c r="P261" i="4"/>
  <c r="Q261" i="4"/>
  <c r="R261" i="4"/>
  <c r="S261" i="4"/>
  <c r="L262" i="4"/>
  <c r="M262" i="4"/>
  <c r="N262" i="4"/>
  <c r="O262" i="4"/>
  <c r="P262" i="4"/>
  <c r="Q262" i="4"/>
  <c r="R262" i="4"/>
  <c r="S262" i="4"/>
  <c r="L263" i="4"/>
  <c r="M263" i="4"/>
  <c r="N263" i="4"/>
  <c r="O263" i="4"/>
  <c r="P263" i="4"/>
  <c r="Q263" i="4"/>
  <c r="R263" i="4"/>
  <c r="S263" i="4"/>
  <c r="L264" i="4"/>
  <c r="M264" i="4"/>
  <c r="N264" i="4"/>
  <c r="O264" i="4"/>
  <c r="P264" i="4"/>
  <c r="Q264" i="4"/>
  <c r="R264" i="4"/>
  <c r="S264" i="4"/>
  <c r="L265" i="4"/>
  <c r="M265" i="4"/>
  <c r="N265" i="4"/>
  <c r="O265" i="4"/>
  <c r="P265" i="4"/>
  <c r="Q265" i="4"/>
  <c r="R265" i="4"/>
  <c r="S265" i="4"/>
  <c r="L266" i="4"/>
  <c r="M266" i="4"/>
  <c r="N266" i="4"/>
  <c r="O266" i="4"/>
  <c r="P266" i="4"/>
  <c r="Q266" i="4"/>
  <c r="R266" i="4"/>
  <c r="S266" i="4"/>
  <c r="L267" i="4"/>
  <c r="M267" i="4"/>
  <c r="N267" i="4"/>
  <c r="O267" i="4"/>
  <c r="P267" i="4"/>
  <c r="Q267" i="4"/>
  <c r="R267" i="4"/>
  <c r="S267" i="4"/>
  <c r="L268" i="4"/>
  <c r="M268" i="4"/>
  <c r="N268" i="4"/>
  <c r="O268" i="4"/>
  <c r="P268" i="4"/>
  <c r="Q268" i="4"/>
  <c r="R268" i="4"/>
  <c r="S268" i="4"/>
  <c r="L269" i="4"/>
  <c r="M269" i="4"/>
  <c r="N269" i="4"/>
  <c r="O269" i="4"/>
  <c r="P269" i="4"/>
  <c r="Q269" i="4"/>
  <c r="R269" i="4"/>
  <c r="S269" i="4"/>
  <c r="L270" i="4"/>
  <c r="M270" i="4"/>
  <c r="N270" i="4"/>
  <c r="O270" i="4"/>
  <c r="P270" i="4"/>
  <c r="Q270" i="4"/>
  <c r="R270" i="4"/>
  <c r="S270" i="4"/>
  <c r="L271" i="4"/>
  <c r="M271" i="4"/>
  <c r="N271" i="4"/>
  <c r="O271" i="4"/>
  <c r="P271" i="4"/>
  <c r="Q271" i="4"/>
  <c r="R271" i="4"/>
  <c r="S271" i="4"/>
  <c r="L272" i="4"/>
  <c r="M272" i="4"/>
  <c r="N272" i="4"/>
  <c r="O272" i="4"/>
  <c r="P272" i="4"/>
  <c r="Q272" i="4"/>
  <c r="R272" i="4"/>
  <c r="S272" i="4"/>
  <c r="L273" i="4"/>
  <c r="M273" i="4"/>
  <c r="N273" i="4"/>
  <c r="O273" i="4"/>
  <c r="P273" i="4"/>
  <c r="Q273" i="4"/>
  <c r="R273" i="4"/>
  <c r="S273" i="4"/>
  <c r="L274" i="4"/>
  <c r="M274" i="4"/>
  <c r="N274" i="4"/>
  <c r="O274" i="4"/>
  <c r="P274" i="4"/>
  <c r="Q274" i="4"/>
  <c r="R274" i="4"/>
  <c r="S274" i="4"/>
  <c r="L275" i="4"/>
  <c r="M275" i="4"/>
  <c r="N275" i="4"/>
  <c r="O275" i="4"/>
  <c r="P275" i="4"/>
  <c r="Q275" i="4"/>
  <c r="R275" i="4"/>
  <c r="S275" i="4"/>
  <c r="L276" i="4"/>
  <c r="M276" i="4"/>
  <c r="N276" i="4"/>
  <c r="O276" i="4"/>
  <c r="P276" i="4"/>
  <c r="Q276" i="4"/>
  <c r="R276" i="4"/>
  <c r="S276" i="4"/>
  <c r="L277" i="4"/>
  <c r="M277" i="4"/>
  <c r="N277" i="4"/>
  <c r="O277" i="4"/>
  <c r="P277" i="4"/>
  <c r="Q277" i="4"/>
  <c r="R277" i="4"/>
  <c r="S277" i="4"/>
  <c r="L278" i="4"/>
  <c r="M278" i="4"/>
  <c r="N278" i="4"/>
  <c r="O278" i="4"/>
  <c r="P278" i="4"/>
  <c r="Q278" i="4"/>
  <c r="R278" i="4"/>
  <c r="S278" i="4"/>
  <c r="L279" i="4"/>
  <c r="M279" i="4"/>
  <c r="N279" i="4"/>
  <c r="O279" i="4"/>
  <c r="P279" i="4"/>
  <c r="Q279" i="4"/>
  <c r="R279" i="4"/>
  <c r="S279" i="4"/>
  <c r="L280" i="4"/>
  <c r="M280" i="4"/>
  <c r="N280" i="4"/>
  <c r="O280" i="4"/>
  <c r="P280" i="4"/>
  <c r="Q280" i="4"/>
  <c r="R280" i="4"/>
  <c r="S280" i="4"/>
  <c r="L281" i="4"/>
  <c r="M281" i="4"/>
  <c r="N281" i="4"/>
  <c r="O281" i="4"/>
  <c r="P281" i="4"/>
  <c r="Q281" i="4"/>
  <c r="R281" i="4"/>
  <c r="S281" i="4"/>
  <c r="L282" i="4"/>
  <c r="M282" i="4"/>
  <c r="N282" i="4"/>
  <c r="O282" i="4"/>
  <c r="P282" i="4"/>
  <c r="Q282" i="4"/>
  <c r="R282" i="4"/>
  <c r="S282" i="4"/>
  <c r="L283" i="4"/>
  <c r="M283" i="4"/>
  <c r="N283" i="4"/>
  <c r="O283" i="4"/>
  <c r="P283" i="4"/>
  <c r="Q283" i="4"/>
  <c r="R283" i="4"/>
  <c r="S283" i="4"/>
  <c r="L284" i="4"/>
  <c r="M284" i="4"/>
  <c r="N284" i="4"/>
  <c r="O284" i="4"/>
  <c r="P284" i="4"/>
  <c r="Q284" i="4"/>
  <c r="R284" i="4"/>
  <c r="S284" i="4"/>
  <c r="L285" i="4"/>
  <c r="M285" i="4"/>
  <c r="N285" i="4"/>
  <c r="O285" i="4"/>
  <c r="P285" i="4"/>
  <c r="Q285" i="4"/>
  <c r="R285" i="4"/>
  <c r="S285" i="4"/>
  <c r="L286" i="4"/>
  <c r="M286" i="4"/>
  <c r="N286" i="4"/>
  <c r="O286" i="4"/>
  <c r="P286" i="4"/>
  <c r="Q286" i="4"/>
  <c r="R286" i="4"/>
  <c r="S286" i="4"/>
  <c r="L287" i="4"/>
  <c r="M287" i="4"/>
  <c r="N287" i="4"/>
  <c r="O287" i="4"/>
  <c r="P287" i="4"/>
  <c r="Q287" i="4"/>
  <c r="R287" i="4"/>
  <c r="S287" i="4"/>
  <c r="L288" i="4"/>
  <c r="M288" i="4"/>
  <c r="N288" i="4"/>
  <c r="O288" i="4"/>
  <c r="P288" i="4"/>
  <c r="Q288" i="4"/>
  <c r="R288" i="4"/>
  <c r="S288" i="4"/>
  <c r="L289" i="4"/>
  <c r="M289" i="4"/>
  <c r="N289" i="4"/>
  <c r="O289" i="4"/>
  <c r="P289" i="4"/>
  <c r="Q289" i="4"/>
  <c r="R289" i="4"/>
  <c r="S289" i="4"/>
  <c r="L290" i="4"/>
  <c r="M290" i="4"/>
  <c r="N290" i="4"/>
  <c r="O290" i="4"/>
  <c r="P290" i="4"/>
  <c r="Q290" i="4"/>
  <c r="R290" i="4"/>
  <c r="S290" i="4"/>
  <c r="L291" i="4"/>
  <c r="M291" i="4"/>
  <c r="N291" i="4"/>
  <c r="O291" i="4"/>
  <c r="P291" i="4"/>
  <c r="Q291" i="4"/>
  <c r="R291" i="4"/>
  <c r="S291" i="4"/>
  <c r="L292" i="4"/>
  <c r="M292" i="4"/>
  <c r="N292" i="4"/>
  <c r="O292" i="4"/>
  <c r="P292" i="4"/>
  <c r="Q292" i="4"/>
  <c r="R292" i="4"/>
  <c r="S292" i="4"/>
  <c r="L293" i="4"/>
  <c r="M293" i="4"/>
  <c r="N293" i="4"/>
  <c r="O293" i="4"/>
  <c r="P293" i="4"/>
  <c r="Q293" i="4"/>
  <c r="R293" i="4"/>
  <c r="S293" i="4"/>
  <c r="L294" i="4"/>
  <c r="M294" i="4"/>
  <c r="N294" i="4"/>
  <c r="O294" i="4"/>
  <c r="P294" i="4"/>
  <c r="Q294" i="4"/>
  <c r="R294" i="4"/>
  <c r="S294" i="4"/>
  <c r="L295" i="4"/>
  <c r="M295" i="4"/>
  <c r="N295" i="4"/>
  <c r="O295" i="4"/>
  <c r="P295" i="4"/>
  <c r="Q295" i="4"/>
  <c r="R295" i="4"/>
  <c r="S295" i="4"/>
  <c r="L296" i="4"/>
  <c r="M296" i="4"/>
  <c r="N296" i="4"/>
  <c r="O296" i="4"/>
  <c r="P296" i="4"/>
  <c r="Q296" i="4"/>
  <c r="R296" i="4"/>
  <c r="S296" i="4"/>
  <c r="L297" i="4"/>
  <c r="M297" i="4"/>
  <c r="N297" i="4"/>
  <c r="O297" i="4"/>
  <c r="P297" i="4"/>
  <c r="Q297" i="4"/>
  <c r="R297" i="4"/>
  <c r="S297" i="4"/>
  <c r="L298" i="4"/>
  <c r="M298" i="4"/>
  <c r="N298" i="4"/>
  <c r="O298" i="4"/>
  <c r="P298" i="4"/>
  <c r="Q298" i="4"/>
  <c r="R298" i="4"/>
  <c r="S298" i="4"/>
  <c r="L299" i="4"/>
  <c r="M299" i="4"/>
  <c r="N299" i="4"/>
  <c r="O299" i="4"/>
  <c r="P299" i="4"/>
  <c r="Q299" i="4"/>
  <c r="R299" i="4"/>
  <c r="S299" i="4"/>
  <c r="L300" i="4"/>
  <c r="M300" i="4"/>
  <c r="N300" i="4"/>
  <c r="O300" i="4"/>
  <c r="P300" i="4"/>
  <c r="Q300" i="4"/>
  <c r="R300" i="4"/>
  <c r="S300" i="4"/>
  <c r="L301" i="4"/>
  <c r="M301" i="4"/>
  <c r="N301" i="4"/>
  <c r="O301" i="4"/>
  <c r="P301" i="4"/>
  <c r="Q301" i="4"/>
  <c r="R301" i="4"/>
  <c r="S301" i="4"/>
  <c r="L302" i="4"/>
  <c r="M302" i="4"/>
  <c r="N302" i="4"/>
  <c r="O302" i="4"/>
  <c r="P302" i="4"/>
  <c r="Q302" i="4"/>
  <c r="R302" i="4"/>
  <c r="S302" i="4"/>
  <c r="L303" i="4"/>
  <c r="M303" i="4"/>
  <c r="N303" i="4"/>
  <c r="O303" i="4"/>
  <c r="P303" i="4"/>
  <c r="Q303" i="4"/>
  <c r="R303" i="4"/>
  <c r="S303" i="4"/>
  <c r="L304" i="4"/>
  <c r="M304" i="4"/>
  <c r="N304" i="4"/>
  <c r="O304" i="4"/>
  <c r="P304" i="4"/>
  <c r="Q304" i="4"/>
  <c r="R304" i="4"/>
  <c r="S304" i="4"/>
  <c r="L305" i="4"/>
  <c r="M305" i="4"/>
  <c r="N305" i="4"/>
  <c r="O305" i="4"/>
  <c r="P305" i="4"/>
  <c r="Q305" i="4"/>
  <c r="R305" i="4"/>
  <c r="S305" i="4"/>
  <c r="L306" i="4"/>
  <c r="M306" i="4"/>
  <c r="N306" i="4"/>
  <c r="O306" i="4"/>
  <c r="P306" i="4"/>
  <c r="Q306" i="4"/>
  <c r="R306" i="4"/>
  <c r="S306" i="4"/>
  <c r="L307" i="4"/>
  <c r="M307" i="4"/>
  <c r="N307" i="4"/>
  <c r="O307" i="4"/>
  <c r="P307" i="4"/>
  <c r="Q307" i="4"/>
  <c r="R307" i="4"/>
  <c r="S307" i="4"/>
  <c r="L308" i="4"/>
  <c r="M308" i="4"/>
  <c r="N308" i="4"/>
  <c r="O308" i="4"/>
  <c r="P308" i="4"/>
  <c r="Q308" i="4"/>
  <c r="R308" i="4"/>
  <c r="S308" i="4"/>
  <c r="L309" i="4"/>
  <c r="M309" i="4"/>
  <c r="N309" i="4"/>
  <c r="O309" i="4"/>
  <c r="P309" i="4"/>
  <c r="Q309" i="4"/>
  <c r="R309" i="4"/>
  <c r="S309" i="4"/>
  <c r="L310" i="4"/>
  <c r="M310" i="4"/>
  <c r="N310" i="4"/>
  <c r="O310" i="4"/>
  <c r="P310" i="4"/>
  <c r="Q310" i="4"/>
  <c r="R310" i="4"/>
  <c r="S310" i="4"/>
  <c r="L311" i="4"/>
  <c r="M311" i="4"/>
  <c r="N311" i="4"/>
  <c r="O311" i="4"/>
  <c r="P311" i="4"/>
  <c r="Q311" i="4"/>
  <c r="R311" i="4"/>
  <c r="S311" i="4"/>
  <c r="L312" i="4"/>
  <c r="M312" i="4"/>
  <c r="N312" i="4"/>
  <c r="O312" i="4"/>
  <c r="P312" i="4"/>
  <c r="Q312" i="4"/>
  <c r="R312" i="4"/>
  <c r="S312" i="4"/>
  <c r="L313" i="4"/>
  <c r="M313" i="4"/>
  <c r="N313" i="4"/>
  <c r="O313" i="4"/>
  <c r="P313" i="4"/>
  <c r="Q313" i="4"/>
  <c r="R313" i="4"/>
  <c r="S313" i="4"/>
  <c r="L314" i="4"/>
  <c r="M314" i="4"/>
  <c r="N314" i="4"/>
  <c r="O314" i="4"/>
  <c r="P314" i="4"/>
  <c r="Q314" i="4"/>
  <c r="R314" i="4"/>
  <c r="S314" i="4"/>
  <c r="L315" i="4"/>
  <c r="M315" i="4"/>
  <c r="N315" i="4"/>
  <c r="O315" i="4"/>
  <c r="P315" i="4"/>
  <c r="Q315" i="4"/>
  <c r="R315" i="4"/>
  <c r="S315" i="4"/>
  <c r="L316" i="4"/>
  <c r="M316" i="4"/>
  <c r="N316" i="4"/>
  <c r="O316" i="4"/>
  <c r="P316" i="4"/>
  <c r="Q316" i="4"/>
  <c r="R316" i="4"/>
  <c r="S316" i="4"/>
  <c r="L317" i="4"/>
  <c r="M317" i="4"/>
  <c r="N317" i="4"/>
  <c r="O317" i="4"/>
  <c r="P317" i="4"/>
  <c r="Q317" i="4"/>
  <c r="R317" i="4"/>
  <c r="S317" i="4"/>
  <c r="L318" i="4"/>
  <c r="M318" i="4"/>
  <c r="N318" i="4"/>
  <c r="O318" i="4"/>
  <c r="P318" i="4"/>
  <c r="Q318" i="4"/>
  <c r="R318" i="4"/>
  <c r="S318" i="4"/>
  <c r="L319" i="4"/>
  <c r="M319" i="4"/>
  <c r="N319" i="4"/>
  <c r="O319" i="4"/>
  <c r="P319" i="4"/>
  <c r="Q319" i="4"/>
  <c r="R319" i="4"/>
  <c r="S319" i="4"/>
  <c r="L320" i="4"/>
  <c r="M320" i="4"/>
  <c r="N320" i="4"/>
  <c r="O320" i="4"/>
  <c r="P320" i="4"/>
  <c r="Q320" i="4"/>
  <c r="R320" i="4"/>
  <c r="S320" i="4"/>
  <c r="L321" i="4"/>
  <c r="M321" i="4"/>
  <c r="N321" i="4"/>
  <c r="O321" i="4"/>
  <c r="P321" i="4"/>
  <c r="Q321" i="4"/>
  <c r="R321" i="4"/>
  <c r="S321" i="4"/>
  <c r="L322" i="4"/>
  <c r="M322" i="4"/>
  <c r="N322" i="4"/>
  <c r="O322" i="4"/>
  <c r="P322" i="4"/>
  <c r="Q322" i="4"/>
  <c r="R322" i="4"/>
  <c r="S322" i="4"/>
  <c r="L323" i="4"/>
  <c r="M323" i="4"/>
  <c r="N323" i="4"/>
  <c r="O323" i="4"/>
  <c r="P323" i="4"/>
  <c r="Q323" i="4"/>
  <c r="R323" i="4"/>
  <c r="S323" i="4"/>
  <c r="L324" i="4"/>
  <c r="M324" i="4"/>
  <c r="N324" i="4"/>
  <c r="O324" i="4"/>
  <c r="P324" i="4"/>
  <c r="Q324" i="4"/>
  <c r="R324" i="4"/>
  <c r="S324" i="4"/>
  <c r="L325" i="4"/>
  <c r="M325" i="4"/>
  <c r="N325" i="4"/>
  <c r="O325" i="4"/>
  <c r="P325" i="4"/>
  <c r="Q325" i="4"/>
  <c r="R325" i="4"/>
  <c r="S325" i="4"/>
  <c r="L326" i="4"/>
  <c r="M326" i="4"/>
  <c r="N326" i="4"/>
  <c r="O326" i="4"/>
  <c r="P326" i="4"/>
  <c r="Q326" i="4"/>
  <c r="R326" i="4"/>
  <c r="S326" i="4"/>
  <c r="L327" i="4"/>
  <c r="M327" i="4"/>
  <c r="N327" i="4"/>
  <c r="O327" i="4"/>
  <c r="P327" i="4"/>
  <c r="Q327" i="4"/>
  <c r="R327" i="4"/>
  <c r="S327" i="4"/>
  <c r="L328" i="4"/>
  <c r="M328" i="4"/>
  <c r="N328" i="4"/>
  <c r="O328" i="4"/>
  <c r="P328" i="4"/>
  <c r="Q328" i="4"/>
  <c r="R328" i="4"/>
  <c r="S328" i="4"/>
  <c r="L329" i="4"/>
  <c r="M329" i="4"/>
  <c r="N329" i="4"/>
  <c r="O329" i="4"/>
  <c r="P329" i="4"/>
  <c r="Q329" i="4"/>
  <c r="R329" i="4"/>
  <c r="S329" i="4"/>
  <c r="L330" i="4"/>
  <c r="M330" i="4"/>
  <c r="N330" i="4"/>
  <c r="O330" i="4"/>
  <c r="P330" i="4"/>
  <c r="Q330" i="4"/>
  <c r="R330" i="4"/>
  <c r="S330" i="4"/>
  <c r="L331" i="4"/>
  <c r="M331" i="4"/>
  <c r="N331" i="4"/>
  <c r="O331" i="4"/>
  <c r="P331" i="4"/>
  <c r="Q331" i="4"/>
  <c r="R331" i="4"/>
  <c r="S331" i="4"/>
  <c r="L332" i="4"/>
  <c r="M332" i="4"/>
  <c r="N332" i="4"/>
  <c r="O332" i="4"/>
  <c r="P332" i="4"/>
  <c r="Q332" i="4"/>
  <c r="R332" i="4"/>
  <c r="S332" i="4"/>
  <c r="L333" i="4"/>
  <c r="M333" i="4"/>
  <c r="N333" i="4"/>
  <c r="O333" i="4"/>
  <c r="P333" i="4"/>
  <c r="Q333" i="4"/>
  <c r="R333" i="4"/>
  <c r="S333" i="4"/>
  <c r="L334" i="4"/>
  <c r="M334" i="4"/>
  <c r="N334" i="4"/>
  <c r="O334" i="4"/>
  <c r="P334" i="4"/>
  <c r="Q334" i="4"/>
  <c r="R334" i="4"/>
  <c r="S334" i="4"/>
  <c r="L335" i="4"/>
  <c r="M335" i="4"/>
  <c r="N335" i="4"/>
  <c r="O335" i="4"/>
  <c r="P335" i="4"/>
  <c r="Q335" i="4"/>
  <c r="R335" i="4"/>
  <c r="S335" i="4"/>
  <c r="L336" i="4"/>
  <c r="M336" i="4"/>
  <c r="N336" i="4"/>
  <c r="O336" i="4"/>
  <c r="P336" i="4"/>
  <c r="Q336" i="4"/>
  <c r="R336" i="4"/>
  <c r="S336" i="4"/>
  <c r="L337" i="4"/>
  <c r="M337" i="4"/>
  <c r="N337" i="4"/>
  <c r="O337" i="4"/>
  <c r="P337" i="4"/>
  <c r="Q337" i="4"/>
  <c r="R337" i="4"/>
  <c r="S337" i="4"/>
  <c r="L338" i="4"/>
  <c r="M338" i="4"/>
  <c r="N338" i="4"/>
  <c r="O338" i="4"/>
  <c r="P338" i="4"/>
  <c r="Q338" i="4"/>
  <c r="R338" i="4"/>
  <c r="S338" i="4"/>
  <c r="L339" i="4"/>
  <c r="M339" i="4"/>
  <c r="N339" i="4"/>
  <c r="O339" i="4"/>
  <c r="P339" i="4"/>
  <c r="Q339" i="4"/>
  <c r="R339" i="4"/>
  <c r="S339" i="4"/>
  <c r="L340" i="4"/>
  <c r="M340" i="4"/>
  <c r="N340" i="4"/>
  <c r="O340" i="4"/>
  <c r="P340" i="4"/>
  <c r="Q340" i="4"/>
  <c r="R340" i="4"/>
  <c r="S340" i="4"/>
  <c r="L341" i="4"/>
  <c r="M341" i="4"/>
  <c r="N341" i="4"/>
  <c r="O341" i="4"/>
  <c r="P341" i="4"/>
  <c r="Q341" i="4"/>
  <c r="R341" i="4"/>
  <c r="S341" i="4"/>
  <c r="L342" i="4"/>
  <c r="M342" i="4"/>
  <c r="N342" i="4"/>
  <c r="O342" i="4"/>
  <c r="P342" i="4"/>
  <c r="Q342" i="4"/>
  <c r="R342" i="4"/>
  <c r="S342" i="4"/>
  <c r="L343" i="4"/>
  <c r="M343" i="4"/>
  <c r="N343" i="4"/>
  <c r="O343" i="4"/>
  <c r="P343" i="4"/>
  <c r="Q343" i="4"/>
  <c r="R343" i="4"/>
  <c r="S343" i="4"/>
  <c r="L344" i="4"/>
  <c r="M344" i="4"/>
  <c r="N344" i="4"/>
  <c r="O344" i="4"/>
  <c r="P344" i="4"/>
  <c r="Q344" i="4"/>
  <c r="R344" i="4"/>
  <c r="S344" i="4"/>
  <c r="L345" i="4"/>
  <c r="M345" i="4"/>
  <c r="N345" i="4"/>
  <c r="O345" i="4"/>
  <c r="P345" i="4"/>
  <c r="Q345" i="4"/>
  <c r="R345" i="4"/>
  <c r="S345" i="4"/>
  <c r="L346" i="4"/>
  <c r="M346" i="4"/>
  <c r="N346" i="4"/>
  <c r="O346" i="4"/>
  <c r="P346" i="4"/>
  <c r="Q346" i="4"/>
  <c r="R346" i="4"/>
  <c r="S346" i="4"/>
  <c r="L347" i="4"/>
  <c r="M347" i="4"/>
  <c r="N347" i="4"/>
  <c r="O347" i="4"/>
  <c r="P347" i="4"/>
  <c r="Q347" i="4"/>
  <c r="R347" i="4"/>
  <c r="S347" i="4"/>
  <c r="L348" i="4"/>
  <c r="M348" i="4"/>
  <c r="N348" i="4"/>
  <c r="O348" i="4"/>
  <c r="P348" i="4"/>
  <c r="Q348" i="4"/>
  <c r="R348" i="4"/>
  <c r="S348" i="4"/>
  <c r="L349" i="4"/>
  <c r="M349" i="4"/>
  <c r="N349" i="4"/>
  <c r="O349" i="4"/>
  <c r="P349" i="4"/>
  <c r="Q349" i="4"/>
  <c r="R349" i="4"/>
  <c r="S349" i="4"/>
  <c r="L350" i="4"/>
  <c r="M350" i="4"/>
  <c r="N350" i="4"/>
  <c r="O350" i="4"/>
  <c r="P350" i="4"/>
  <c r="Q350" i="4"/>
  <c r="R350" i="4"/>
  <c r="S350" i="4"/>
  <c r="L351" i="4"/>
  <c r="M351" i="4"/>
  <c r="N351" i="4"/>
  <c r="O351" i="4"/>
  <c r="P351" i="4"/>
  <c r="Q351" i="4"/>
  <c r="R351" i="4"/>
  <c r="S351" i="4"/>
  <c r="L352" i="4"/>
  <c r="M352" i="4"/>
  <c r="N352" i="4"/>
  <c r="O352" i="4"/>
  <c r="P352" i="4"/>
  <c r="Q352" i="4"/>
  <c r="R352" i="4"/>
  <c r="S352" i="4"/>
  <c r="L353" i="4"/>
  <c r="M353" i="4"/>
  <c r="N353" i="4"/>
  <c r="O353" i="4"/>
  <c r="P353" i="4"/>
  <c r="Q353" i="4"/>
  <c r="R353" i="4"/>
  <c r="S353" i="4"/>
  <c r="L354" i="4"/>
  <c r="M354" i="4"/>
  <c r="N354" i="4"/>
  <c r="O354" i="4"/>
  <c r="P354" i="4"/>
  <c r="Q354" i="4"/>
  <c r="R354" i="4"/>
  <c r="S354" i="4"/>
  <c r="L355" i="4"/>
  <c r="M355" i="4"/>
  <c r="N355" i="4"/>
  <c r="O355" i="4"/>
  <c r="P355" i="4"/>
  <c r="Q355" i="4"/>
  <c r="R355" i="4"/>
  <c r="S355" i="4"/>
  <c r="L356" i="4"/>
  <c r="M356" i="4"/>
  <c r="N356" i="4"/>
  <c r="O356" i="4"/>
  <c r="P356" i="4"/>
  <c r="Q356" i="4"/>
  <c r="R356" i="4"/>
  <c r="S356" i="4"/>
  <c r="L357" i="4"/>
  <c r="M357" i="4"/>
  <c r="N357" i="4"/>
  <c r="O357" i="4"/>
  <c r="P357" i="4"/>
  <c r="Q357" i="4"/>
  <c r="R357" i="4"/>
  <c r="S357" i="4"/>
  <c r="L358" i="4"/>
  <c r="M358" i="4"/>
  <c r="N358" i="4"/>
  <c r="O358" i="4"/>
  <c r="P358" i="4"/>
  <c r="Q358" i="4"/>
  <c r="R358" i="4"/>
  <c r="S358" i="4"/>
  <c r="L359" i="4"/>
  <c r="M359" i="4"/>
  <c r="N359" i="4"/>
  <c r="O359" i="4"/>
  <c r="P359" i="4"/>
  <c r="Q359" i="4"/>
  <c r="R359" i="4"/>
  <c r="S359" i="4"/>
  <c r="L360" i="4"/>
  <c r="M360" i="4"/>
  <c r="N360" i="4"/>
  <c r="O360" i="4"/>
  <c r="P360" i="4"/>
  <c r="Q360" i="4"/>
  <c r="R360" i="4"/>
  <c r="S360" i="4"/>
  <c r="L361" i="4"/>
  <c r="M361" i="4"/>
  <c r="N361" i="4"/>
  <c r="O361" i="4"/>
  <c r="P361" i="4"/>
  <c r="Q361" i="4"/>
  <c r="R361" i="4"/>
  <c r="S361" i="4"/>
  <c r="L362" i="4"/>
  <c r="M362" i="4"/>
  <c r="N362" i="4"/>
  <c r="O362" i="4"/>
  <c r="P362" i="4"/>
  <c r="Q362" i="4"/>
  <c r="R362" i="4"/>
  <c r="S362" i="4"/>
  <c r="L363" i="4"/>
  <c r="M363" i="4"/>
  <c r="N363" i="4"/>
  <c r="O363" i="4"/>
  <c r="P363" i="4"/>
  <c r="Q363" i="4"/>
  <c r="R363" i="4"/>
  <c r="S363" i="4"/>
  <c r="L364" i="4"/>
  <c r="M364" i="4"/>
  <c r="N364" i="4"/>
  <c r="O364" i="4"/>
  <c r="P364" i="4"/>
  <c r="Q364" i="4"/>
  <c r="R364" i="4"/>
  <c r="S364" i="4"/>
  <c r="L365" i="4"/>
  <c r="M365" i="4"/>
  <c r="N365" i="4"/>
  <c r="O365" i="4"/>
  <c r="P365" i="4"/>
  <c r="Q365" i="4"/>
  <c r="R365" i="4"/>
  <c r="S365" i="4"/>
  <c r="L366" i="4"/>
  <c r="M366" i="4"/>
  <c r="N366" i="4"/>
  <c r="O366" i="4"/>
  <c r="P366" i="4"/>
  <c r="Q366" i="4"/>
  <c r="R366" i="4"/>
  <c r="S366" i="4"/>
  <c r="L367" i="4"/>
  <c r="M367" i="4"/>
  <c r="N367" i="4"/>
  <c r="O367" i="4"/>
  <c r="P367" i="4"/>
  <c r="Q367" i="4"/>
  <c r="R367" i="4"/>
  <c r="S367" i="4"/>
  <c r="L368" i="4"/>
  <c r="M368" i="4"/>
  <c r="N368" i="4"/>
  <c r="O368" i="4"/>
  <c r="P368" i="4"/>
  <c r="Q368" i="4"/>
  <c r="R368" i="4"/>
  <c r="S368" i="4"/>
  <c r="L369" i="4"/>
  <c r="M369" i="4"/>
  <c r="N369" i="4"/>
  <c r="O369" i="4"/>
  <c r="P369" i="4"/>
  <c r="Q369" i="4"/>
  <c r="R369" i="4"/>
  <c r="S369" i="4"/>
  <c r="L370" i="4"/>
  <c r="M370" i="4"/>
  <c r="N370" i="4"/>
  <c r="O370" i="4"/>
  <c r="P370" i="4"/>
  <c r="Q370" i="4"/>
  <c r="R370" i="4"/>
  <c r="S370" i="4"/>
  <c r="L371" i="4"/>
  <c r="M371" i="4"/>
  <c r="N371" i="4"/>
  <c r="O371" i="4"/>
  <c r="P371" i="4"/>
  <c r="Q371" i="4"/>
  <c r="R371" i="4"/>
  <c r="S371" i="4"/>
  <c r="L372" i="4"/>
  <c r="M372" i="4"/>
  <c r="N372" i="4"/>
  <c r="O372" i="4"/>
  <c r="P372" i="4"/>
  <c r="Q372" i="4"/>
  <c r="R372" i="4"/>
  <c r="S372" i="4"/>
  <c r="L373" i="4"/>
  <c r="M373" i="4"/>
  <c r="N373" i="4"/>
  <c r="O373" i="4"/>
  <c r="P373" i="4"/>
  <c r="Q373" i="4"/>
  <c r="R373" i="4"/>
  <c r="S373" i="4"/>
  <c r="L374" i="4"/>
  <c r="M374" i="4"/>
  <c r="N374" i="4"/>
  <c r="O374" i="4"/>
  <c r="P374" i="4"/>
  <c r="Q374" i="4"/>
  <c r="R374" i="4"/>
  <c r="S374" i="4"/>
  <c r="L375" i="4"/>
  <c r="M375" i="4"/>
  <c r="N375" i="4"/>
  <c r="O375" i="4"/>
  <c r="P375" i="4"/>
  <c r="Q375" i="4"/>
  <c r="R375" i="4"/>
  <c r="S375" i="4"/>
  <c r="L376" i="4"/>
  <c r="M376" i="4"/>
  <c r="N376" i="4"/>
  <c r="O376" i="4"/>
  <c r="P376" i="4"/>
  <c r="Q376" i="4"/>
  <c r="R376" i="4"/>
  <c r="S376" i="4"/>
  <c r="L377" i="4"/>
  <c r="M377" i="4"/>
  <c r="N377" i="4"/>
  <c r="O377" i="4"/>
  <c r="P377" i="4"/>
  <c r="Q377" i="4"/>
  <c r="R377" i="4"/>
  <c r="S377" i="4"/>
  <c r="L378" i="4"/>
  <c r="M378" i="4"/>
  <c r="N378" i="4"/>
  <c r="O378" i="4"/>
  <c r="P378" i="4"/>
  <c r="Q378" i="4"/>
  <c r="R378" i="4"/>
  <c r="S378" i="4"/>
  <c r="L379" i="4"/>
  <c r="M379" i="4"/>
  <c r="N379" i="4"/>
  <c r="O379" i="4"/>
  <c r="P379" i="4"/>
  <c r="Q379" i="4"/>
  <c r="R379" i="4"/>
  <c r="S379" i="4"/>
  <c r="L380" i="4"/>
  <c r="M380" i="4"/>
  <c r="N380" i="4"/>
  <c r="O380" i="4"/>
  <c r="P380" i="4"/>
  <c r="Q380" i="4"/>
  <c r="R380" i="4"/>
  <c r="S380" i="4"/>
  <c r="L381" i="4"/>
  <c r="M381" i="4"/>
  <c r="N381" i="4"/>
  <c r="O381" i="4"/>
  <c r="P381" i="4"/>
  <c r="Q381" i="4"/>
  <c r="R381" i="4"/>
  <c r="S381" i="4"/>
  <c r="L382" i="4"/>
  <c r="M382" i="4"/>
  <c r="N382" i="4"/>
  <c r="O382" i="4"/>
  <c r="P382" i="4"/>
  <c r="Q382" i="4"/>
  <c r="R382" i="4"/>
  <c r="S382" i="4"/>
  <c r="L383" i="4"/>
  <c r="M383" i="4"/>
  <c r="N383" i="4"/>
  <c r="O383" i="4"/>
  <c r="P383" i="4"/>
  <c r="Q383" i="4"/>
  <c r="R383" i="4"/>
  <c r="S383" i="4"/>
  <c r="L384" i="4"/>
  <c r="M384" i="4"/>
  <c r="N384" i="4"/>
  <c r="O384" i="4"/>
  <c r="P384" i="4"/>
  <c r="Q384" i="4"/>
  <c r="R384" i="4"/>
  <c r="S384" i="4"/>
  <c r="L385" i="4"/>
  <c r="M385" i="4"/>
  <c r="N385" i="4"/>
  <c r="O385" i="4"/>
  <c r="P385" i="4"/>
  <c r="Q385" i="4"/>
  <c r="R385" i="4"/>
  <c r="S385" i="4"/>
  <c r="L386" i="4"/>
  <c r="M386" i="4"/>
  <c r="N386" i="4"/>
  <c r="O386" i="4"/>
  <c r="P386" i="4"/>
  <c r="Q386" i="4"/>
  <c r="R386" i="4"/>
  <c r="S386" i="4"/>
  <c r="L387" i="4"/>
  <c r="M387" i="4"/>
  <c r="N387" i="4"/>
  <c r="O387" i="4"/>
  <c r="P387" i="4"/>
  <c r="Q387" i="4"/>
  <c r="R387" i="4"/>
  <c r="S387" i="4"/>
  <c r="L388" i="4"/>
  <c r="M388" i="4"/>
  <c r="N388" i="4"/>
  <c r="O388" i="4"/>
  <c r="P388" i="4"/>
  <c r="Q388" i="4"/>
  <c r="R388" i="4"/>
  <c r="S388" i="4"/>
  <c r="L389" i="4"/>
  <c r="M389" i="4"/>
  <c r="N389" i="4"/>
  <c r="O389" i="4"/>
  <c r="P389" i="4"/>
  <c r="Q389" i="4"/>
  <c r="R389" i="4"/>
  <c r="S389" i="4"/>
  <c r="L390" i="4"/>
  <c r="M390" i="4"/>
  <c r="N390" i="4"/>
  <c r="O390" i="4"/>
  <c r="P390" i="4"/>
  <c r="Q390" i="4"/>
  <c r="R390" i="4"/>
  <c r="S390" i="4"/>
  <c r="L391" i="4"/>
  <c r="M391" i="4"/>
  <c r="N391" i="4"/>
  <c r="O391" i="4"/>
  <c r="P391" i="4"/>
  <c r="Q391" i="4"/>
  <c r="R391" i="4"/>
  <c r="S391" i="4"/>
  <c r="L392" i="4"/>
  <c r="M392" i="4"/>
  <c r="N392" i="4"/>
  <c r="O392" i="4"/>
  <c r="P392" i="4"/>
  <c r="Q392" i="4"/>
  <c r="R392" i="4"/>
  <c r="S392" i="4"/>
  <c r="L393" i="4"/>
  <c r="M393" i="4"/>
  <c r="N393" i="4"/>
  <c r="O393" i="4"/>
  <c r="P393" i="4"/>
  <c r="Q393" i="4"/>
  <c r="R393" i="4"/>
  <c r="S393" i="4"/>
  <c r="L394" i="4"/>
  <c r="M394" i="4"/>
  <c r="N394" i="4"/>
  <c r="O394" i="4"/>
  <c r="P394" i="4"/>
  <c r="Q394" i="4"/>
  <c r="R394" i="4"/>
  <c r="S394" i="4"/>
  <c r="L395" i="4"/>
  <c r="M395" i="4"/>
  <c r="N395" i="4"/>
  <c r="O395" i="4"/>
  <c r="P395" i="4"/>
  <c r="Q395" i="4"/>
  <c r="R395" i="4"/>
  <c r="S395" i="4"/>
  <c r="L396" i="4"/>
  <c r="M396" i="4"/>
  <c r="N396" i="4"/>
  <c r="O396" i="4"/>
  <c r="P396" i="4"/>
  <c r="Q396" i="4"/>
  <c r="R396" i="4"/>
  <c r="S396" i="4"/>
  <c r="L397" i="4"/>
  <c r="M397" i="4"/>
  <c r="N397" i="4"/>
  <c r="O397" i="4"/>
  <c r="P397" i="4"/>
  <c r="Q397" i="4"/>
  <c r="R397" i="4"/>
  <c r="S397" i="4"/>
  <c r="L398" i="4"/>
  <c r="M398" i="4"/>
  <c r="N398" i="4"/>
  <c r="O398" i="4"/>
  <c r="P398" i="4"/>
  <c r="Q398" i="4"/>
  <c r="R398" i="4"/>
  <c r="S398" i="4"/>
  <c r="L399" i="4"/>
  <c r="M399" i="4"/>
  <c r="N399" i="4"/>
  <c r="O399" i="4"/>
  <c r="P399" i="4"/>
  <c r="Q399" i="4"/>
  <c r="R399" i="4"/>
  <c r="S399" i="4"/>
  <c r="L400" i="4"/>
  <c r="M400" i="4"/>
  <c r="N400" i="4"/>
  <c r="O400" i="4"/>
  <c r="P400" i="4"/>
  <c r="Q400" i="4"/>
  <c r="R400" i="4"/>
  <c r="S400" i="4"/>
  <c r="L401" i="4"/>
  <c r="M401" i="4"/>
  <c r="N401" i="4"/>
  <c r="O401" i="4"/>
  <c r="P401" i="4"/>
  <c r="Q401" i="4"/>
  <c r="R401" i="4"/>
  <c r="S401" i="4"/>
  <c r="L402" i="4"/>
  <c r="M402" i="4"/>
  <c r="N402" i="4"/>
  <c r="O402" i="4"/>
  <c r="P402" i="4"/>
  <c r="Q402" i="4"/>
  <c r="R402" i="4"/>
  <c r="S402" i="4"/>
  <c r="L403" i="4"/>
  <c r="M403" i="4"/>
  <c r="N403" i="4"/>
  <c r="O403" i="4"/>
  <c r="P403" i="4"/>
  <c r="Q403" i="4"/>
  <c r="R403" i="4"/>
  <c r="S403" i="4"/>
  <c r="L404" i="4"/>
  <c r="M404" i="4"/>
  <c r="N404" i="4"/>
  <c r="O404" i="4"/>
  <c r="P404" i="4"/>
  <c r="Q404" i="4"/>
  <c r="R404" i="4"/>
  <c r="S404" i="4"/>
  <c r="L405" i="4"/>
  <c r="M405" i="4"/>
  <c r="N405" i="4"/>
  <c r="O405" i="4"/>
  <c r="P405" i="4"/>
  <c r="Q405" i="4"/>
  <c r="R405" i="4"/>
  <c r="S405" i="4"/>
  <c r="L406" i="4"/>
  <c r="M406" i="4"/>
  <c r="N406" i="4"/>
  <c r="O406" i="4"/>
  <c r="P406" i="4"/>
  <c r="Q406" i="4"/>
  <c r="R406" i="4"/>
  <c r="S406" i="4"/>
  <c r="L407" i="4"/>
  <c r="M407" i="4"/>
  <c r="N407" i="4"/>
  <c r="O407" i="4"/>
  <c r="P407" i="4"/>
  <c r="Q407" i="4"/>
  <c r="R407" i="4"/>
  <c r="S407" i="4"/>
  <c r="L408" i="4"/>
  <c r="M408" i="4"/>
  <c r="N408" i="4"/>
  <c r="O408" i="4"/>
  <c r="P408" i="4"/>
  <c r="Q408" i="4"/>
  <c r="R408" i="4"/>
  <c r="S408" i="4"/>
  <c r="L409" i="4"/>
  <c r="M409" i="4"/>
  <c r="N409" i="4"/>
  <c r="O409" i="4"/>
  <c r="P409" i="4"/>
  <c r="Q409" i="4"/>
  <c r="R409" i="4"/>
  <c r="S409" i="4"/>
  <c r="L410" i="4"/>
  <c r="M410" i="4"/>
  <c r="N410" i="4"/>
  <c r="O410" i="4"/>
  <c r="P410" i="4"/>
  <c r="Q410" i="4"/>
  <c r="R410" i="4"/>
  <c r="S410" i="4"/>
  <c r="L411" i="4"/>
  <c r="M411" i="4"/>
  <c r="N411" i="4"/>
  <c r="O411" i="4"/>
  <c r="P411" i="4"/>
  <c r="Q411" i="4"/>
  <c r="R411" i="4"/>
  <c r="S411" i="4"/>
  <c r="L412" i="4"/>
  <c r="M412" i="4"/>
  <c r="N412" i="4"/>
  <c r="O412" i="4"/>
  <c r="P412" i="4"/>
  <c r="Q412" i="4"/>
  <c r="R412" i="4"/>
  <c r="S412" i="4"/>
  <c r="L413" i="4"/>
  <c r="M413" i="4"/>
  <c r="N413" i="4"/>
  <c r="O413" i="4"/>
  <c r="P413" i="4"/>
  <c r="Q413" i="4"/>
  <c r="R413" i="4"/>
  <c r="S413" i="4"/>
  <c r="L414" i="4"/>
  <c r="M414" i="4"/>
  <c r="N414" i="4"/>
  <c r="O414" i="4"/>
  <c r="P414" i="4"/>
  <c r="Q414" i="4"/>
  <c r="R414" i="4"/>
  <c r="S414" i="4"/>
  <c r="L415" i="4"/>
  <c r="M415" i="4"/>
  <c r="N415" i="4"/>
  <c r="O415" i="4"/>
  <c r="P415" i="4"/>
  <c r="Q415" i="4"/>
  <c r="R415" i="4"/>
  <c r="S415" i="4"/>
  <c r="L416" i="4"/>
  <c r="M416" i="4"/>
  <c r="N416" i="4"/>
  <c r="O416" i="4"/>
  <c r="P416" i="4"/>
  <c r="Q416" i="4"/>
  <c r="R416" i="4"/>
  <c r="S416" i="4"/>
  <c r="L417" i="4"/>
  <c r="M417" i="4"/>
  <c r="N417" i="4"/>
  <c r="O417" i="4"/>
  <c r="P417" i="4"/>
  <c r="Q417" i="4"/>
  <c r="R417" i="4"/>
  <c r="S417" i="4"/>
  <c r="L418" i="4"/>
  <c r="M418" i="4"/>
  <c r="N418" i="4"/>
  <c r="O418" i="4"/>
  <c r="P418" i="4"/>
  <c r="Q418" i="4"/>
  <c r="R418" i="4"/>
  <c r="S418" i="4"/>
  <c r="L419" i="4"/>
  <c r="M419" i="4"/>
  <c r="N419" i="4"/>
  <c r="O419" i="4"/>
  <c r="P419" i="4"/>
  <c r="Q419" i="4"/>
  <c r="R419" i="4"/>
  <c r="S419" i="4"/>
  <c r="L420" i="4"/>
  <c r="M420" i="4"/>
  <c r="N420" i="4"/>
  <c r="O420" i="4"/>
  <c r="P420" i="4"/>
  <c r="Q420" i="4"/>
  <c r="R420" i="4"/>
  <c r="S420" i="4"/>
  <c r="L421" i="4"/>
  <c r="M421" i="4"/>
  <c r="N421" i="4"/>
  <c r="O421" i="4"/>
  <c r="P421" i="4"/>
  <c r="Q421" i="4"/>
  <c r="R421" i="4"/>
  <c r="S421" i="4"/>
  <c r="L422" i="4"/>
  <c r="M422" i="4"/>
  <c r="N422" i="4"/>
  <c r="O422" i="4"/>
  <c r="P422" i="4"/>
  <c r="Q422" i="4"/>
  <c r="R422" i="4"/>
  <c r="S422" i="4"/>
  <c r="L423" i="4"/>
  <c r="M423" i="4"/>
  <c r="N423" i="4"/>
  <c r="O423" i="4"/>
  <c r="P423" i="4"/>
  <c r="Q423" i="4"/>
  <c r="R423" i="4"/>
  <c r="S423" i="4"/>
  <c r="L424" i="4"/>
  <c r="M424" i="4"/>
  <c r="N424" i="4"/>
  <c r="O424" i="4"/>
  <c r="P424" i="4"/>
  <c r="Q424" i="4"/>
  <c r="R424" i="4"/>
  <c r="S424" i="4"/>
  <c r="L425" i="4"/>
  <c r="M425" i="4"/>
  <c r="N425" i="4"/>
  <c r="O425" i="4"/>
  <c r="P425" i="4"/>
  <c r="Q425" i="4"/>
  <c r="R425" i="4"/>
  <c r="S425" i="4"/>
  <c r="L426" i="4"/>
  <c r="M426" i="4"/>
  <c r="N426" i="4"/>
  <c r="O426" i="4"/>
  <c r="P426" i="4"/>
  <c r="Q426" i="4"/>
  <c r="R426" i="4"/>
  <c r="S426" i="4"/>
  <c r="L427" i="4"/>
  <c r="M427" i="4"/>
  <c r="N427" i="4"/>
  <c r="O427" i="4"/>
  <c r="P427" i="4"/>
  <c r="Q427" i="4"/>
  <c r="R427" i="4"/>
  <c r="S427" i="4"/>
  <c r="L428" i="4"/>
  <c r="M428" i="4"/>
  <c r="N428" i="4"/>
  <c r="O428" i="4"/>
  <c r="P428" i="4"/>
  <c r="Q428" i="4"/>
  <c r="R428" i="4"/>
  <c r="S428" i="4"/>
  <c r="L429" i="4"/>
  <c r="M429" i="4"/>
  <c r="N429" i="4"/>
  <c r="O429" i="4"/>
  <c r="P429" i="4"/>
  <c r="Q429" i="4"/>
  <c r="R429" i="4"/>
  <c r="S429" i="4"/>
  <c r="L430" i="4"/>
  <c r="M430" i="4"/>
  <c r="N430" i="4"/>
  <c r="O430" i="4"/>
  <c r="P430" i="4"/>
  <c r="Q430" i="4"/>
  <c r="R430" i="4"/>
  <c r="S430" i="4"/>
  <c r="L431" i="4"/>
  <c r="M431" i="4"/>
  <c r="N431" i="4"/>
  <c r="O431" i="4"/>
  <c r="P431" i="4"/>
  <c r="Q431" i="4"/>
  <c r="R431" i="4"/>
  <c r="S431" i="4"/>
  <c r="L432" i="4"/>
  <c r="M432" i="4"/>
  <c r="N432" i="4"/>
  <c r="O432" i="4"/>
  <c r="P432" i="4"/>
  <c r="Q432" i="4"/>
  <c r="R432" i="4"/>
  <c r="S432" i="4"/>
  <c r="L433" i="4"/>
  <c r="M433" i="4"/>
  <c r="N433" i="4"/>
  <c r="O433" i="4"/>
  <c r="P433" i="4"/>
  <c r="Q433" i="4"/>
  <c r="R433" i="4"/>
  <c r="S433" i="4"/>
  <c r="L434" i="4"/>
  <c r="M434" i="4"/>
  <c r="N434" i="4"/>
  <c r="O434" i="4"/>
  <c r="P434" i="4"/>
  <c r="Q434" i="4"/>
  <c r="R434" i="4"/>
  <c r="S434" i="4"/>
  <c r="L435" i="4"/>
  <c r="M435" i="4"/>
  <c r="N435" i="4"/>
  <c r="O435" i="4"/>
  <c r="P435" i="4"/>
  <c r="Q435" i="4"/>
  <c r="R435" i="4"/>
  <c r="S435" i="4"/>
  <c r="L436" i="4"/>
  <c r="M436" i="4"/>
  <c r="N436" i="4"/>
  <c r="O436" i="4"/>
  <c r="P436" i="4"/>
  <c r="Q436" i="4"/>
  <c r="R436" i="4"/>
  <c r="S436" i="4"/>
  <c r="L437" i="4"/>
  <c r="M437" i="4"/>
  <c r="N437" i="4"/>
  <c r="O437" i="4"/>
  <c r="P437" i="4"/>
  <c r="Q437" i="4"/>
  <c r="R437" i="4"/>
  <c r="S437" i="4"/>
  <c r="L438" i="4"/>
  <c r="M438" i="4"/>
  <c r="N438" i="4"/>
  <c r="O438" i="4"/>
  <c r="P438" i="4"/>
  <c r="Q438" i="4"/>
  <c r="R438" i="4"/>
  <c r="S438" i="4"/>
  <c r="L439" i="4"/>
  <c r="M439" i="4"/>
  <c r="N439" i="4"/>
  <c r="O439" i="4"/>
  <c r="P439" i="4"/>
  <c r="Q439" i="4"/>
  <c r="R439" i="4"/>
  <c r="S439" i="4"/>
  <c r="L440" i="4"/>
  <c r="M440" i="4"/>
  <c r="N440" i="4"/>
  <c r="O440" i="4"/>
  <c r="P440" i="4"/>
  <c r="Q440" i="4"/>
  <c r="R440" i="4"/>
  <c r="S440" i="4"/>
  <c r="L441" i="4"/>
  <c r="M441" i="4"/>
  <c r="N441" i="4"/>
  <c r="O441" i="4"/>
  <c r="P441" i="4"/>
  <c r="Q441" i="4"/>
  <c r="R441" i="4"/>
  <c r="S441" i="4"/>
  <c r="L442" i="4"/>
  <c r="M442" i="4"/>
  <c r="N442" i="4"/>
  <c r="O442" i="4"/>
  <c r="P442" i="4"/>
  <c r="Q442" i="4"/>
  <c r="R442" i="4"/>
  <c r="S442" i="4"/>
  <c r="L443" i="4"/>
  <c r="M443" i="4"/>
  <c r="N443" i="4"/>
  <c r="O443" i="4"/>
  <c r="P443" i="4"/>
  <c r="Q443" i="4"/>
  <c r="R443" i="4"/>
  <c r="S443" i="4"/>
  <c r="L444" i="4"/>
  <c r="M444" i="4"/>
  <c r="N444" i="4"/>
  <c r="O444" i="4"/>
  <c r="P444" i="4"/>
  <c r="Q444" i="4"/>
  <c r="R444" i="4"/>
  <c r="S444" i="4"/>
  <c r="L445" i="4"/>
  <c r="M445" i="4"/>
  <c r="N445" i="4"/>
  <c r="O445" i="4"/>
  <c r="P445" i="4"/>
  <c r="Q445" i="4"/>
  <c r="R445" i="4"/>
  <c r="S445" i="4"/>
  <c r="L446" i="4"/>
  <c r="M446" i="4"/>
  <c r="N446" i="4"/>
  <c r="O446" i="4"/>
  <c r="P446" i="4"/>
  <c r="Q446" i="4"/>
  <c r="R446" i="4"/>
  <c r="S446" i="4"/>
  <c r="L447" i="4"/>
  <c r="M447" i="4"/>
  <c r="N447" i="4"/>
  <c r="O447" i="4"/>
  <c r="P447" i="4"/>
  <c r="Q447" i="4"/>
  <c r="R447" i="4"/>
  <c r="S447" i="4"/>
  <c r="L448" i="4"/>
  <c r="M448" i="4"/>
  <c r="N448" i="4"/>
  <c r="O448" i="4"/>
  <c r="P448" i="4"/>
  <c r="Q448" i="4"/>
  <c r="R448" i="4"/>
  <c r="S448" i="4"/>
  <c r="L449" i="4"/>
  <c r="M449" i="4"/>
  <c r="N449" i="4"/>
  <c r="O449" i="4"/>
  <c r="P449" i="4"/>
  <c r="Q449" i="4"/>
  <c r="R449" i="4"/>
  <c r="S449" i="4"/>
  <c r="L450" i="4"/>
  <c r="M450" i="4"/>
  <c r="N450" i="4"/>
  <c r="O450" i="4"/>
  <c r="P450" i="4"/>
  <c r="Q450" i="4"/>
  <c r="R450" i="4"/>
  <c r="S450" i="4"/>
  <c r="L451" i="4"/>
  <c r="M451" i="4"/>
  <c r="N451" i="4"/>
  <c r="O451" i="4"/>
  <c r="P451" i="4"/>
  <c r="Q451" i="4"/>
  <c r="R451" i="4"/>
  <c r="S451" i="4"/>
  <c r="L452" i="4"/>
  <c r="M452" i="4"/>
  <c r="N452" i="4"/>
  <c r="O452" i="4"/>
  <c r="P452" i="4"/>
  <c r="Q452" i="4"/>
  <c r="R452" i="4"/>
  <c r="S452" i="4"/>
  <c r="L453" i="4"/>
  <c r="M453" i="4"/>
  <c r="N453" i="4"/>
  <c r="O453" i="4"/>
  <c r="P453" i="4"/>
  <c r="Q453" i="4"/>
  <c r="R453" i="4"/>
  <c r="S453" i="4"/>
  <c r="L454" i="4"/>
  <c r="M454" i="4"/>
  <c r="N454" i="4"/>
  <c r="O454" i="4"/>
  <c r="P454" i="4"/>
  <c r="Q454" i="4"/>
  <c r="R454" i="4"/>
  <c r="S454" i="4"/>
  <c r="L455" i="4"/>
  <c r="M455" i="4"/>
  <c r="N455" i="4"/>
  <c r="O455" i="4"/>
  <c r="P455" i="4"/>
  <c r="Q455" i="4"/>
  <c r="R455" i="4"/>
  <c r="S455" i="4"/>
  <c r="L456" i="4"/>
  <c r="M456" i="4"/>
  <c r="N456" i="4"/>
  <c r="O456" i="4"/>
  <c r="P456" i="4"/>
  <c r="Q456" i="4"/>
  <c r="R456" i="4"/>
  <c r="S456" i="4"/>
  <c r="L457" i="4"/>
  <c r="M457" i="4"/>
  <c r="N457" i="4"/>
  <c r="O457" i="4"/>
  <c r="P457" i="4"/>
  <c r="Q457" i="4"/>
  <c r="R457" i="4"/>
  <c r="S457" i="4"/>
  <c r="L458" i="4"/>
  <c r="M458" i="4"/>
  <c r="N458" i="4"/>
  <c r="O458" i="4"/>
  <c r="P458" i="4"/>
  <c r="Q458" i="4"/>
  <c r="R458" i="4"/>
  <c r="S458" i="4"/>
  <c r="L459" i="4"/>
  <c r="M459" i="4"/>
  <c r="N459" i="4"/>
  <c r="O459" i="4"/>
  <c r="P459" i="4"/>
  <c r="Q459" i="4"/>
  <c r="R459" i="4"/>
  <c r="S459" i="4"/>
  <c r="L460" i="4"/>
  <c r="M460" i="4"/>
  <c r="N460" i="4"/>
  <c r="O460" i="4"/>
  <c r="P460" i="4"/>
  <c r="Q460" i="4"/>
  <c r="R460" i="4"/>
  <c r="S460" i="4"/>
  <c r="L461" i="4"/>
  <c r="M461" i="4"/>
  <c r="N461" i="4"/>
  <c r="O461" i="4"/>
  <c r="P461" i="4"/>
  <c r="Q461" i="4"/>
  <c r="R461" i="4"/>
  <c r="S461" i="4"/>
  <c r="L462" i="4"/>
  <c r="M462" i="4"/>
  <c r="N462" i="4"/>
  <c r="O462" i="4"/>
  <c r="P462" i="4"/>
  <c r="Q462" i="4"/>
  <c r="R462" i="4"/>
  <c r="S462" i="4"/>
  <c r="L463" i="4"/>
  <c r="M463" i="4"/>
  <c r="N463" i="4"/>
  <c r="O463" i="4"/>
  <c r="P463" i="4"/>
  <c r="Q463" i="4"/>
  <c r="R463" i="4"/>
  <c r="S463" i="4"/>
  <c r="L464" i="4"/>
  <c r="M464" i="4"/>
  <c r="N464" i="4"/>
  <c r="O464" i="4"/>
  <c r="P464" i="4"/>
  <c r="Q464" i="4"/>
  <c r="R464" i="4"/>
  <c r="S464" i="4"/>
  <c r="L465" i="4"/>
  <c r="M465" i="4"/>
  <c r="N465" i="4"/>
  <c r="O465" i="4"/>
  <c r="P465" i="4"/>
  <c r="Q465" i="4"/>
  <c r="R465" i="4"/>
  <c r="S465" i="4"/>
  <c r="L466" i="4"/>
  <c r="M466" i="4"/>
  <c r="N466" i="4"/>
  <c r="O466" i="4"/>
  <c r="P466" i="4"/>
  <c r="Q466" i="4"/>
  <c r="R466" i="4"/>
  <c r="S466" i="4"/>
  <c r="L467" i="4"/>
  <c r="M467" i="4"/>
  <c r="N467" i="4"/>
  <c r="O467" i="4"/>
  <c r="P467" i="4"/>
  <c r="Q467" i="4"/>
  <c r="R467" i="4"/>
  <c r="S467" i="4"/>
  <c r="L468" i="4"/>
  <c r="M468" i="4"/>
  <c r="N468" i="4"/>
  <c r="O468" i="4"/>
  <c r="P468" i="4"/>
  <c r="Q468" i="4"/>
  <c r="R468" i="4"/>
  <c r="S468" i="4"/>
  <c r="L469" i="4"/>
  <c r="M469" i="4"/>
  <c r="N469" i="4"/>
  <c r="O469" i="4"/>
  <c r="P469" i="4"/>
  <c r="Q469" i="4"/>
  <c r="R469" i="4"/>
  <c r="S469" i="4"/>
  <c r="L470" i="4"/>
  <c r="M470" i="4"/>
  <c r="N470" i="4"/>
  <c r="O470" i="4"/>
  <c r="P470" i="4"/>
  <c r="Q470" i="4"/>
  <c r="R470" i="4"/>
  <c r="S470" i="4"/>
  <c r="L471" i="4"/>
  <c r="M471" i="4"/>
  <c r="N471" i="4"/>
  <c r="O471" i="4"/>
  <c r="P471" i="4"/>
  <c r="Q471" i="4"/>
  <c r="R471" i="4"/>
  <c r="S471" i="4"/>
  <c r="L472" i="4"/>
  <c r="M472" i="4"/>
  <c r="N472" i="4"/>
  <c r="O472" i="4"/>
  <c r="P472" i="4"/>
  <c r="Q472" i="4"/>
  <c r="R472" i="4"/>
  <c r="S472" i="4"/>
  <c r="L473" i="4"/>
  <c r="M473" i="4"/>
  <c r="N473" i="4"/>
  <c r="O473" i="4"/>
  <c r="P473" i="4"/>
  <c r="Q473" i="4"/>
  <c r="R473" i="4"/>
  <c r="S473" i="4"/>
  <c r="L474" i="4"/>
  <c r="M474" i="4"/>
  <c r="N474" i="4"/>
  <c r="O474" i="4"/>
  <c r="P474" i="4"/>
  <c r="Q474" i="4"/>
  <c r="R474" i="4"/>
  <c r="S474" i="4"/>
  <c r="L475" i="4"/>
  <c r="M475" i="4"/>
  <c r="N475" i="4"/>
  <c r="O475" i="4"/>
  <c r="P475" i="4"/>
  <c r="Q475" i="4"/>
  <c r="R475" i="4"/>
  <c r="S475" i="4"/>
  <c r="L476" i="4"/>
  <c r="M476" i="4"/>
  <c r="N476" i="4"/>
  <c r="O476" i="4"/>
  <c r="P476" i="4"/>
  <c r="Q476" i="4"/>
  <c r="R476" i="4"/>
  <c r="S476" i="4"/>
  <c r="L477" i="4"/>
  <c r="M477" i="4"/>
  <c r="N477" i="4"/>
  <c r="O477" i="4"/>
  <c r="P477" i="4"/>
  <c r="Q477" i="4"/>
  <c r="R477" i="4"/>
  <c r="S477" i="4"/>
  <c r="L478" i="4"/>
  <c r="M478" i="4"/>
  <c r="N478" i="4"/>
  <c r="O478" i="4"/>
  <c r="P478" i="4"/>
  <c r="Q478" i="4"/>
  <c r="R478" i="4"/>
  <c r="S478" i="4"/>
  <c r="L479" i="4"/>
  <c r="M479" i="4"/>
  <c r="N479" i="4"/>
  <c r="O479" i="4"/>
  <c r="P479" i="4"/>
  <c r="Q479" i="4"/>
  <c r="R479" i="4"/>
  <c r="S479" i="4"/>
  <c r="L480" i="4"/>
  <c r="M480" i="4"/>
  <c r="N480" i="4"/>
  <c r="O480" i="4"/>
  <c r="P480" i="4"/>
  <c r="Q480" i="4"/>
  <c r="R480" i="4"/>
  <c r="S480" i="4"/>
  <c r="L481" i="4"/>
  <c r="M481" i="4"/>
  <c r="N481" i="4"/>
  <c r="O481" i="4"/>
  <c r="P481" i="4"/>
  <c r="Q481" i="4"/>
  <c r="R481" i="4"/>
  <c r="S481" i="4"/>
  <c r="L482" i="4"/>
  <c r="M482" i="4"/>
  <c r="N482" i="4"/>
  <c r="O482" i="4"/>
  <c r="P482" i="4"/>
  <c r="Q482" i="4"/>
  <c r="R482" i="4"/>
  <c r="S482" i="4"/>
  <c r="L483" i="4"/>
  <c r="M483" i="4"/>
  <c r="N483" i="4"/>
  <c r="O483" i="4"/>
  <c r="P483" i="4"/>
  <c r="Q483" i="4"/>
  <c r="R483" i="4"/>
  <c r="S483" i="4"/>
  <c r="L484" i="4"/>
  <c r="M484" i="4"/>
  <c r="N484" i="4"/>
  <c r="O484" i="4"/>
  <c r="P484" i="4"/>
  <c r="Q484" i="4"/>
  <c r="R484" i="4"/>
  <c r="S484" i="4"/>
  <c r="L485" i="4"/>
  <c r="M485" i="4"/>
  <c r="N485" i="4"/>
  <c r="O485" i="4"/>
  <c r="P485" i="4"/>
  <c r="Q485" i="4"/>
  <c r="R485" i="4"/>
  <c r="S485" i="4"/>
  <c r="L486" i="4"/>
  <c r="M486" i="4"/>
  <c r="N486" i="4"/>
  <c r="O486" i="4"/>
  <c r="P486" i="4"/>
  <c r="Q486" i="4"/>
  <c r="R486" i="4"/>
  <c r="S486" i="4"/>
  <c r="L487" i="4"/>
  <c r="M487" i="4"/>
  <c r="N487" i="4"/>
  <c r="O487" i="4"/>
  <c r="P487" i="4"/>
  <c r="Q487" i="4"/>
  <c r="R487" i="4"/>
  <c r="S487" i="4"/>
  <c r="L488" i="4"/>
  <c r="M488" i="4"/>
  <c r="N488" i="4"/>
  <c r="O488" i="4"/>
  <c r="P488" i="4"/>
  <c r="Q488" i="4"/>
  <c r="R488" i="4"/>
  <c r="S488" i="4"/>
  <c r="L489" i="4"/>
  <c r="M489" i="4"/>
  <c r="N489" i="4"/>
  <c r="O489" i="4"/>
  <c r="P489" i="4"/>
  <c r="Q489" i="4"/>
  <c r="R489" i="4"/>
  <c r="S489" i="4"/>
  <c r="L490" i="4"/>
  <c r="M490" i="4"/>
  <c r="N490" i="4"/>
  <c r="O490" i="4"/>
  <c r="P490" i="4"/>
  <c r="Q490" i="4"/>
  <c r="R490" i="4"/>
  <c r="S490" i="4"/>
  <c r="L491" i="4"/>
  <c r="M491" i="4"/>
  <c r="N491" i="4"/>
  <c r="O491" i="4"/>
  <c r="P491" i="4"/>
  <c r="Q491" i="4"/>
  <c r="R491" i="4"/>
  <c r="S491" i="4"/>
  <c r="L492" i="4"/>
  <c r="M492" i="4"/>
  <c r="N492" i="4"/>
  <c r="O492" i="4"/>
  <c r="P492" i="4"/>
  <c r="Q492" i="4"/>
  <c r="R492" i="4"/>
  <c r="S492" i="4"/>
  <c r="L493" i="4"/>
  <c r="M493" i="4"/>
  <c r="N493" i="4"/>
  <c r="O493" i="4"/>
  <c r="P493" i="4"/>
  <c r="Q493" i="4"/>
  <c r="R493" i="4"/>
  <c r="S493" i="4"/>
  <c r="L494" i="4"/>
  <c r="M494" i="4"/>
  <c r="N494" i="4"/>
  <c r="O494" i="4"/>
  <c r="P494" i="4"/>
  <c r="Q494" i="4"/>
  <c r="R494" i="4"/>
  <c r="S494" i="4"/>
  <c r="L495" i="4"/>
  <c r="M495" i="4"/>
  <c r="N495" i="4"/>
  <c r="O495" i="4"/>
  <c r="P495" i="4"/>
  <c r="Q495" i="4"/>
  <c r="R495" i="4"/>
  <c r="S495" i="4"/>
  <c r="L496" i="4"/>
  <c r="M496" i="4"/>
  <c r="N496" i="4"/>
  <c r="O496" i="4"/>
  <c r="P496" i="4"/>
  <c r="Q496" i="4"/>
  <c r="R496" i="4"/>
  <c r="S496" i="4"/>
  <c r="L497" i="4"/>
  <c r="M497" i="4"/>
  <c r="N497" i="4"/>
  <c r="O497" i="4"/>
  <c r="P497" i="4"/>
  <c r="Q497" i="4"/>
  <c r="R497" i="4"/>
  <c r="S497" i="4"/>
  <c r="L498" i="4"/>
  <c r="M498" i="4"/>
  <c r="N498" i="4"/>
  <c r="O498" i="4"/>
  <c r="P498" i="4"/>
  <c r="Q498" i="4"/>
  <c r="R498" i="4"/>
  <c r="S498" i="4"/>
  <c r="L499" i="4"/>
  <c r="M499" i="4"/>
  <c r="N499" i="4"/>
  <c r="O499" i="4"/>
  <c r="P499" i="4"/>
  <c r="Q499" i="4"/>
  <c r="R499" i="4"/>
  <c r="S499" i="4"/>
  <c r="L500" i="4"/>
  <c r="M500" i="4"/>
  <c r="N500" i="4"/>
  <c r="O500" i="4"/>
  <c r="P500" i="4"/>
  <c r="Q500" i="4"/>
  <c r="R500" i="4"/>
  <c r="S500" i="4"/>
  <c r="L501" i="4"/>
  <c r="M501" i="4"/>
  <c r="N501" i="4"/>
  <c r="O501" i="4"/>
  <c r="P501" i="4"/>
  <c r="Q501" i="4"/>
  <c r="R501" i="4"/>
  <c r="S501" i="4"/>
  <c r="L502" i="4"/>
  <c r="M502" i="4"/>
  <c r="N502" i="4"/>
  <c r="O502" i="4"/>
  <c r="P502" i="4"/>
  <c r="Q502" i="4"/>
  <c r="R502" i="4"/>
  <c r="S502" i="4"/>
  <c r="L503" i="4"/>
  <c r="M503" i="4"/>
  <c r="N503" i="4"/>
  <c r="O503" i="4"/>
  <c r="P503" i="4"/>
  <c r="Q503" i="4"/>
  <c r="R503" i="4"/>
  <c r="S503" i="4"/>
  <c r="L504" i="4"/>
  <c r="M504" i="4"/>
  <c r="N504" i="4"/>
  <c r="O504" i="4"/>
  <c r="P504" i="4"/>
  <c r="Q504" i="4"/>
  <c r="R504" i="4"/>
  <c r="S504" i="4"/>
  <c r="L505" i="4"/>
  <c r="M505" i="4"/>
  <c r="N505" i="4"/>
  <c r="O505" i="4"/>
  <c r="P505" i="4"/>
  <c r="Q505" i="4"/>
  <c r="R505" i="4"/>
  <c r="S505" i="4"/>
  <c r="L506" i="4"/>
  <c r="M506" i="4"/>
  <c r="N506" i="4"/>
  <c r="O506" i="4"/>
  <c r="P506" i="4"/>
  <c r="Q506" i="4"/>
  <c r="R506" i="4"/>
  <c r="S506" i="4"/>
  <c r="L507" i="4"/>
  <c r="M507" i="4"/>
  <c r="N507" i="4"/>
  <c r="O507" i="4"/>
  <c r="P507" i="4"/>
  <c r="Q507" i="4"/>
  <c r="R507" i="4"/>
  <c r="S507" i="4"/>
  <c r="L508" i="4"/>
  <c r="M508" i="4"/>
  <c r="N508" i="4"/>
  <c r="O508" i="4"/>
  <c r="P508" i="4"/>
  <c r="Q508" i="4"/>
  <c r="R508" i="4"/>
  <c r="S508" i="4"/>
  <c r="L509" i="4"/>
  <c r="M509" i="4"/>
  <c r="N509" i="4"/>
  <c r="O509" i="4"/>
  <c r="P509" i="4"/>
  <c r="Q509" i="4"/>
  <c r="R509" i="4"/>
  <c r="S509" i="4"/>
  <c r="L510" i="4"/>
  <c r="M510" i="4"/>
  <c r="N510" i="4"/>
  <c r="O510" i="4"/>
  <c r="P510" i="4"/>
  <c r="Q510" i="4"/>
  <c r="R510" i="4"/>
  <c r="S510" i="4"/>
  <c r="L511" i="4"/>
  <c r="M511" i="4"/>
  <c r="N511" i="4"/>
  <c r="O511" i="4"/>
  <c r="P511" i="4"/>
  <c r="Q511" i="4"/>
  <c r="R511" i="4"/>
  <c r="S511" i="4"/>
  <c r="L512" i="4"/>
  <c r="M512" i="4"/>
  <c r="N512" i="4"/>
  <c r="O512" i="4"/>
  <c r="P512" i="4"/>
  <c r="Q512" i="4"/>
  <c r="R512" i="4"/>
  <c r="S512" i="4"/>
  <c r="L513" i="4"/>
  <c r="M513" i="4"/>
  <c r="N513" i="4"/>
  <c r="O513" i="4"/>
  <c r="P513" i="4"/>
  <c r="Q513" i="4"/>
  <c r="R513" i="4"/>
  <c r="S513" i="4"/>
  <c r="L514" i="4"/>
  <c r="M514" i="4"/>
  <c r="N514" i="4"/>
  <c r="O514" i="4"/>
  <c r="P514" i="4"/>
  <c r="Q514" i="4"/>
  <c r="R514" i="4"/>
  <c r="S514" i="4"/>
  <c r="L515" i="4"/>
  <c r="M515" i="4"/>
  <c r="N515" i="4"/>
  <c r="O515" i="4"/>
  <c r="P515" i="4"/>
  <c r="Q515" i="4"/>
  <c r="R515" i="4"/>
  <c r="S515" i="4"/>
  <c r="L516" i="4"/>
  <c r="M516" i="4"/>
  <c r="N516" i="4"/>
  <c r="O516" i="4"/>
  <c r="P516" i="4"/>
  <c r="Q516" i="4"/>
  <c r="R516" i="4"/>
  <c r="S516" i="4"/>
  <c r="L517" i="4"/>
  <c r="M517" i="4"/>
  <c r="N517" i="4"/>
  <c r="O517" i="4"/>
  <c r="P517" i="4"/>
  <c r="Q517" i="4"/>
  <c r="R517" i="4"/>
  <c r="S517" i="4"/>
  <c r="L518" i="4"/>
  <c r="M518" i="4"/>
  <c r="N518" i="4"/>
  <c r="O518" i="4"/>
  <c r="P518" i="4"/>
  <c r="Q518" i="4"/>
  <c r="R518" i="4"/>
  <c r="S518" i="4"/>
  <c r="L519" i="4"/>
  <c r="M519" i="4"/>
  <c r="N519" i="4"/>
  <c r="O519" i="4"/>
  <c r="P519" i="4"/>
  <c r="Q519" i="4"/>
  <c r="R519" i="4"/>
  <c r="S519" i="4"/>
  <c r="L520" i="4"/>
  <c r="M520" i="4"/>
  <c r="N520" i="4"/>
  <c r="O520" i="4"/>
  <c r="P520" i="4"/>
  <c r="Q520" i="4"/>
  <c r="R520" i="4"/>
  <c r="S520" i="4"/>
  <c r="L521" i="4"/>
  <c r="M521" i="4"/>
  <c r="N521" i="4"/>
  <c r="O521" i="4"/>
  <c r="P521" i="4"/>
  <c r="Q521" i="4"/>
  <c r="R521" i="4"/>
  <c r="S521" i="4"/>
  <c r="L522" i="4"/>
  <c r="M522" i="4"/>
  <c r="N522" i="4"/>
  <c r="O522" i="4"/>
  <c r="P522" i="4"/>
  <c r="Q522" i="4"/>
  <c r="R522" i="4"/>
  <c r="S522" i="4"/>
  <c r="L523" i="4"/>
  <c r="M523" i="4"/>
  <c r="N523" i="4"/>
  <c r="O523" i="4"/>
  <c r="P523" i="4"/>
  <c r="Q523" i="4"/>
  <c r="R523" i="4"/>
  <c r="S523" i="4"/>
  <c r="L524" i="4"/>
  <c r="M524" i="4"/>
  <c r="N524" i="4"/>
  <c r="O524" i="4"/>
  <c r="P524" i="4"/>
  <c r="Q524" i="4"/>
  <c r="R524" i="4"/>
  <c r="S524" i="4"/>
  <c r="L525" i="4"/>
  <c r="M525" i="4"/>
  <c r="N525" i="4"/>
  <c r="O525" i="4"/>
  <c r="P525" i="4"/>
  <c r="Q525" i="4"/>
  <c r="R525" i="4"/>
  <c r="S525" i="4"/>
  <c r="L526" i="4"/>
  <c r="M526" i="4"/>
  <c r="N526" i="4"/>
  <c r="O526" i="4"/>
  <c r="P526" i="4"/>
  <c r="Q526" i="4"/>
  <c r="R526" i="4"/>
  <c r="S526" i="4"/>
  <c r="L527" i="4"/>
  <c r="M527" i="4"/>
  <c r="N527" i="4"/>
  <c r="O527" i="4"/>
  <c r="P527" i="4"/>
  <c r="Q527" i="4"/>
  <c r="R527" i="4"/>
  <c r="S527" i="4"/>
  <c r="L528" i="4"/>
  <c r="M528" i="4"/>
  <c r="N528" i="4"/>
  <c r="O528" i="4"/>
  <c r="P528" i="4"/>
  <c r="Q528" i="4"/>
  <c r="R528" i="4"/>
  <c r="S528" i="4"/>
  <c r="L529" i="4"/>
  <c r="M529" i="4"/>
  <c r="N529" i="4"/>
  <c r="O529" i="4"/>
  <c r="P529" i="4"/>
  <c r="Q529" i="4"/>
  <c r="R529" i="4"/>
  <c r="S529" i="4"/>
  <c r="L530" i="4"/>
  <c r="M530" i="4"/>
  <c r="N530" i="4"/>
  <c r="O530" i="4"/>
  <c r="P530" i="4"/>
  <c r="Q530" i="4"/>
  <c r="R530" i="4"/>
  <c r="S530" i="4"/>
  <c r="L531" i="4"/>
  <c r="M531" i="4"/>
  <c r="N531" i="4"/>
  <c r="O531" i="4"/>
  <c r="P531" i="4"/>
  <c r="Q531" i="4"/>
  <c r="R531" i="4"/>
  <c r="S531" i="4"/>
  <c r="L532" i="4"/>
  <c r="M532" i="4"/>
  <c r="N532" i="4"/>
  <c r="O532" i="4"/>
  <c r="P532" i="4"/>
  <c r="Q532" i="4"/>
  <c r="R532" i="4"/>
  <c r="S532" i="4"/>
  <c r="L533" i="4"/>
  <c r="M533" i="4"/>
  <c r="N533" i="4"/>
  <c r="O533" i="4"/>
  <c r="P533" i="4"/>
  <c r="Q533" i="4"/>
  <c r="R533" i="4"/>
  <c r="S533" i="4"/>
  <c r="L534" i="4"/>
  <c r="M534" i="4"/>
  <c r="N534" i="4"/>
  <c r="O534" i="4"/>
  <c r="P534" i="4"/>
  <c r="Q534" i="4"/>
  <c r="R534" i="4"/>
  <c r="S534" i="4"/>
  <c r="L535" i="4"/>
  <c r="M535" i="4"/>
  <c r="N535" i="4"/>
  <c r="O535" i="4"/>
  <c r="P535" i="4"/>
  <c r="Q535" i="4"/>
  <c r="R535" i="4"/>
  <c r="S535" i="4"/>
  <c r="L536" i="4"/>
  <c r="M536" i="4"/>
  <c r="N536" i="4"/>
  <c r="O536" i="4"/>
  <c r="P536" i="4"/>
  <c r="Q536" i="4"/>
  <c r="R536" i="4"/>
  <c r="S536" i="4"/>
  <c r="L537" i="4"/>
  <c r="M537" i="4"/>
  <c r="N537" i="4"/>
  <c r="O537" i="4"/>
  <c r="P537" i="4"/>
  <c r="Q537" i="4"/>
  <c r="R537" i="4"/>
  <c r="S537" i="4"/>
  <c r="L538" i="4"/>
  <c r="M538" i="4"/>
  <c r="N538" i="4"/>
  <c r="O538" i="4"/>
  <c r="P538" i="4"/>
  <c r="Q538" i="4"/>
  <c r="R538" i="4"/>
  <c r="S538" i="4"/>
  <c r="L539" i="4"/>
  <c r="M539" i="4"/>
  <c r="N539" i="4"/>
  <c r="O539" i="4"/>
  <c r="P539" i="4"/>
  <c r="Q539" i="4"/>
  <c r="R539" i="4"/>
  <c r="S539" i="4"/>
  <c r="L540" i="4"/>
  <c r="M540" i="4"/>
  <c r="N540" i="4"/>
  <c r="O540" i="4"/>
  <c r="P540" i="4"/>
  <c r="Q540" i="4"/>
  <c r="R540" i="4"/>
  <c r="S540" i="4"/>
  <c r="L541" i="4"/>
  <c r="M541" i="4"/>
  <c r="N541" i="4"/>
  <c r="O541" i="4"/>
  <c r="P541" i="4"/>
  <c r="Q541" i="4"/>
  <c r="R541" i="4"/>
  <c r="S541" i="4"/>
  <c r="L542" i="4"/>
  <c r="M542" i="4"/>
  <c r="N542" i="4"/>
  <c r="O542" i="4"/>
  <c r="P542" i="4"/>
  <c r="Q542" i="4"/>
  <c r="R542" i="4"/>
  <c r="S542" i="4"/>
  <c r="L543" i="4"/>
  <c r="M543" i="4"/>
  <c r="N543" i="4"/>
  <c r="O543" i="4"/>
  <c r="P543" i="4"/>
  <c r="Q543" i="4"/>
  <c r="R543" i="4"/>
  <c r="S543" i="4"/>
  <c r="L544" i="4"/>
  <c r="M544" i="4"/>
  <c r="N544" i="4"/>
  <c r="O544" i="4"/>
  <c r="P544" i="4"/>
  <c r="Q544" i="4"/>
  <c r="R544" i="4"/>
  <c r="S544" i="4"/>
  <c r="L545" i="4"/>
  <c r="M545" i="4"/>
  <c r="N545" i="4"/>
  <c r="O545" i="4"/>
  <c r="P545" i="4"/>
  <c r="Q545" i="4"/>
  <c r="R545" i="4"/>
  <c r="S545" i="4"/>
  <c r="L546" i="4"/>
  <c r="M546" i="4"/>
  <c r="N546" i="4"/>
  <c r="O546" i="4"/>
  <c r="P546" i="4"/>
  <c r="Q546" i="4"/>
  <c r="R546" i="4"/>
  <c r="S546" i="4"/>
  <c r="L547" i="4"/>
  <c r="M547" i="4"/>
  <c r="N547" i="4"/>
  <c r="O547" i="4"/>
  <c r="P547" i="4"/>
  <c r="Q547" i="4"/>
  <c r="R547" i="4"/>
  <c r="S547" i="4"/>
  <c r="L548" i="4"/>
  <c r="M548" i="4"/>
  <c r="N548" i="4"/>
  <c r="O548" i="4"/>
  <c r="P548" i="4"/>
  <c r="Q548" i="4"/>
  <c r="R548" i="4"/>
  <c r="S548" i="4"/>
  <c r="L549" i="4"/>
  <c r="M549" i="4"/>
  <c r="N549" i="4"/>
  <c r="O549" i="4"/>
  <c r="P549" i="4"/>
  <c r="Q549" i="4"/>
  <c r="R549" i="4"/>
  <c r="S549" i="4"/>
  <c r="L550" i="4"/>
  <c r="M550" i="4"/>
  <c r="N550" i="4"/>
  <c r="O550" i="4"/>
  <c r="P550" i="4"/>
  <c r="Q550" i="4"/>
  <c r="R550" i="4"/>
  <c r="S550" i="4"/>
  <c r="L551" i="4"/>
  <c r="M551" i="4"/>
  <c r="N551" i="4"/>
  <c r="O551" i="4"/>
  <c r="P551" i="4"/>
  <c r="Q551" i="4"/>
  <c r="R551" i="4"/>
  <c r="S551" i="4"/>
  <c r="L552" i="4"/>
  <c r="M552" i="4"/>
  <c r="N552" i="4"/>
  <c r="O552" i="4"/>
  <c r="P552" i="4"/>
  <c r="Q552" i="4"/>
  <c r="R552" i="4"/>
  <c r="S552" i="4"/>
  <c r="L553" i="4"/>
  <c r="M553" i="4"/>
  <c r="N553" i="4"/>
  <c r="O553" i="4"/>
  <c r="P553" i="4"/>
  <c r="Q553" i="4"/>
  <c r="R553" i="4"/>
  <c r="S553" i="4"/>
  <c r="L554" i="4"/>
  <c r="M554" i="4"/>
  <c r="N554" i="4"/>
  <c r="O554" i="4"/>
  <c r="P554" i="4"/>
  <c r="Q554" i="4"/>
  <c r="R554" i="4"/>
  <c r="S554" i="4"/>
  <c r="L555" i="4"/>
  <c r="M555" i="4"/>
  <c r="N555" i="4"/>
  <c r="O555" i="4"/>
  <c r="P555" i="4"/>
  <c r="Q555" i="4"/>
  <c r="R555" i="4"/>
  <c r="S555" i="4"/>
  <c r="L556" i="4"/>
  <c r="M556" i="4"/>
  <c r="N556" i="4"/>
  <c r="O556" i="4"/>
  <c r="P556" i="4"/>
  <c r="Q556" i="4"/>
  <c r="R556" i="4"/>
  <c r="S556" i="4"/>
  <c r="L557" i="4"/>
  <c r="M557" i="4"/>
  <c r="N557" i="4"/>
  <c r="O557" i="4"/>
  <c r="P557" i="4"/>
  <c r="Q557" i="4"/>
  <c r="R557" i="4"/>
  <c r="S557" i="4"/>
  <c r="L558" i="4"/>
  <c r="M558" i="4"/>
  <c r="N558" i="4"/>
  <c r="O558" i="4"/>
  <c r="P558" i="4"/>
  <c r="Q558" i="4"/>
  <c r="R558" i="4"/>
  <c r="S558" i="4"/>
  <c r="L559" i="4"/>
  <c r="M559" i="4"/>
  <c r="N559" i="4"/>
  <c r="O559" i="4"/>
  <c r="P559" i="4"/>
  <c r="Q559" i="4"/>
  <c r="R559" i="4"/>
  <c r="S559" i="4"/>
  <c r="L560" i="4"/>
  <c r="M560" i="4"/>
  <c r="N560" i="4"/>
  <c r="O560" i="4"/>
  <c r="P560" i="4"/>
  <c r="Q560" i="4"/>
  <c r="R560" i="4"/>
  <c r="S560" i="4"/>
  <c r="L561" i="4"/>
  <c r="M561" i="4"/>
  <c r="N561" i="4"/>
  <c r="O561" i="4"/>
  <c r="P561" i="4"/>
  <c r="Q561" i="4"/>
  <c r="R561" i="4"/>
  <c r="S561" i="4"/>
  <c r="L562" i="4"/>
  <c r="M562" i="4"/>
  <c r="N562" i="4"/>
  <c r="O562" i="4"/>
  <c r="P562" i="4"/>
  <c r="Q562" i="4"/>
  <c r="R562" i="4"/>
  <c r="S562" i="4"/>
  <c r="L563" i="4"/>
  <c r="M563" i="4"/>
  <c r="N563" i="4"/>
  <c r="O563" i="4"/>
  <c r="P563" i="4"/>
  <c r="Q563" i="4"/>
  <c r="R563" i="4"/>
  <c r="S563" i="4"/>
  <c r="L564" i="4"/>
  <c r="M564" i="4"/>
  <c r="N564" i="4"/>
  <c r="O564" i="4"/>
  <c r="P564" i="4"/>
  <c r="Q564" i="4"/>
  <c r="R564" i="4"/>
  <c r="S564" i="4"/>
  <c r="L565" i="4"/>
  <c r="M565" i="4"/>
  <c r="N565" i="4"/>
  <c r="O565" i="4"/>
  <c r="P565" i="4"/>
  <c r="Q565" i="4"/>
  <c r="R565" i="4"/>
  <c r="S565" i="4"/>
  <c r="L566" i="4"/>
  <c r="M566" i="4"/>
  <c r="N566" i="4"/>
  <c r="O566" i="4"/>
  <c r="P566" i="4"/>
  <c r="Q566" i="4"/>
  <c r="R566" i="4"/>
  <c r="S566" i="4"/>
  <c r="L567" i="4"/>
  <c r="M567" i="4"/>
  <c r="N567" i="4"/>
  <c r="O567" i="4"/>
  <c r="P567" i="4"/>
  <c r="Q567" i="4"/>
  <c r="R567" i="4"/>
  <c r="S567" i="4"/>
  <c r="L568" i="4"/>
  <c r="M568" i="4"/>
  <c r="N568" i="4"/>
  <c r="O568" i="4"/>
  <c r="P568" i="4"/>
  <c r="Q568" i="4"/>
  <c r="R568" i="4"/>
  <c r="S568" i="4"/>
  <c r="L569" i="4"/>
  <c r="M569" i="4"/>
  <c r="N569" i="4"/>
  <c r="O569" i="4"/>
  <c r="P569" i="4"/>
  <c r="Q569" i="4"/>
  <c r="R569" i="4"/>
  <c r="S569" i="4"/>
  <c r="L570" i="4"/>
  <c r="M570" i="4"/>
  <c r="N570" i="4"/>
  <c r="O570" i="4"/>
  <c r="P570" i="4"/>
  <c r="Q570" i="4"/>
  <c r="R570" i="4"/>
  <c r="S570" i="4"/>
  <c r="L571" i="4"/>
  <c r="M571" i="4"/>
  <c r="N571" i="4"/>
  <c r="O571" i="4"/>
  <c r="P571" i="4"/>
  <c r="Q571" i="4"/>
  <c r="R571" i="4"/>
  <c r="S571" i="4"/>
  <c r="L572" i="4"/>
  <c r="M572" i="4"/>
  <c r="N572" i="4"/>
  <c r="O572" i="4"/>
  <c r="P572" i="4"/>
  <c r="Q572" i="4"/>
  <c r="R572" i="4"/>
  <c r="S572" i="4"/>
  <c r="L573" i="4"/>
  <c r="M573" i="4"/>
  <c r="N573" i="4"/>
  <c r="O573" i="4"/>
  <c r="P573" i="4"/>
  <c r="Q573" i="4"/>
  <c r="R573" i="4"/>
  <c r="S573" i="4"/>
  <c r="L574" i="4"/>
  <c r="M574" i="4"/>
  <c r="N574" i="4"/>
  <c r="O574" i="4"/>
  <c r="P574" i="4"/>
  <c r="Q574" i="4"/>
  <c r="R574" i="4"/>
  <c r="S574" i="4"/>
  <c r="L575" i="4"/>
  <c r="M575" i="4"/>
  <c r="N575" i="4"/>
  <c r="O575" i="4"/>
  <c r="P575" i="4"/>
  <c r="Q575" i="4"/>
  <c r="R575" i="4"/>
  <c r="S575" i="4"/>
  <c r="L576" i="4"/>
  <c r="M576" i="4"/>
  <c r="N576" i="4"/>
  <c r="O576" i="4"/>
  <c r="P576" i="4"/>
  <c r="Q576" i="4"/>
  <c r="R576" i="4"/>
  <c r="S576" i="4"/>
  <c r="L577" i="4"/>
  <c r="M577" i="4"/>
  <c r="N577" i="4"/>
  <c r="O577" i="4"/>
  <c r="P577" i="4"/>
  <c r="Q577" i="4"/>
  <c r="R577" i="4"/>
  <c r="S577" i="4"/>
  <c r="L578" i="4"/>
  <c r="M578" i="4"/>
  <c r="N578" i="4"/>
  <c r="O578" i="4"/>
  <c r="P578" i="4"/>
  <c r="Q578" i="4"/>
  <c r="R578" i="4"/>
  <c r="S578" i="4"/>
  <c r="L579" i="4"/>
  <c r="M579" i="4"/>
  <c r="N579" i="4"/>
  <c r="O579" i="4"/>
  <c r="P579" i="4"/>
  <c r="Q579" i="4"/>
  <c r="R579" i="4"/>
  <c r="S579" i="4"/>
  <c r="L580" i="4"/>
  <c r="M580" i="4"/>
  <c r="N580" i="4"/>
  <c r="O580" i="4"/>
  <c r="P580" i="4"/>
  <c r="Q580" i="4"/>
  <c r="R580" i="4"/>
  <c r="S580" i="4"/>
  <c r="L581" i="4"/>
  <c r="M581" i="4"/>
  <c r="N581" i="4"/>
  <c r="O581" i="4"/>
  <c r="P581" i="4"/>
  <c r="Q581" i="4"/>
  <c r="R581" i="4"/>
  <c r="S581" i="4"/>
  <c r="L582" i="4"/>
  <c r="M582" i="4"/>
  <c r="N582" i="4"/>
  <c r="O582" i="4"/>
  <c r="P582" i="4"/>
  <c r="Q582" i="4"/>
  <c r="R582" i="4"/>
  <c r="S582" i="4"/>
  <c r="L583" i="4"/>
  <c r="M583" i="4"/>
  <c r="N583" i="4"/>
  <c r="O583" i="4"/>
  <c r="P583" i="4"/>
  <c r="Q583" i="4"/>
  <c r="R583" i="4"/>
  <c r="S583" i="4"/>
  <c r="L584" i="4"/>
  <c r="M584" i="4"/>
  <c r="N584" i="4"/>
  <c r="O584" i="4"/>
  <c r="P584" i="4"/>
  <c r="Q584" i="4"/>
  <c r="R584" i="4"/>
  <c r="S584" i="4"/>
  <c r="L585" i="4"/>
  <c r="M585" i="4"/>
  <c r="N585" i="4"/>
  <c r="O585" i="4"/>
  <c r="P585" i="4"/>
  <c r="Q585" i="4"/>
  <c r="R585" i="4"/>
  <c r="S585" i="4"/>
  <c r="L586" i="4"/>
  <c r="M586" i="4"/>
  <c r="N586" i="4"/>
  <c r="O586" i="4"/>
  <c r="P586" i="4"/>
  <c r="Q586" i="4"/>
  <c r="R586" i="4"/>
  <c r="S586" i="4"/>
  <c r="L587" i="4"/>
  <c r="M587" i="4"/>
  <c r="N587" i="4"/>
  <c r="O587" i="4"/>
  <c r="P587" i="4"/>
  <c r="Q587" i="4"/>
  <c r="R587" i="4"/>
  <c r="S587" i="4"/>
  <c r="L588" i="4"/>
  <c r="M588" i="4"/>
  <c r="N588" i="4"/>
  <c r="O588" i="4"/>
  <c r="P588" i="4"/>
  <c r="Q588" i="4"/>
  <c r="R588" i="4"/>
  <c r="S588" i="4"/>
  <c r="L589" i="4"/>
  <c r="M589" i="4"/>
  <c r="N589" i="4"/>
  <c r="O589" i="4"/>
  <c r="P589" i="4"/>
  <c r="Q589" i="4"/>
  <c r="R589" i="4"/>
  <c r="S589" i="4"/>
  <c r="L590" i="4"/>
  <c r="M590" i="4"/>
  <c r="N590" i="4"/>
  <c r="O590" i="4"/>
  <c r="P590" i="4"/>
  <c r="Q590" i="4"/>
  <c r="R590" i="4"/>
  <c r="S590" i="4"/>
  <c r="L591" i="4"/>
  <c r="M591" i="4"/>
  <c r="N591" i="4"/>
  <c r="O591" i="4"/>
  <c r="P591" i="4"/>
  <c r="Q591" i="4"/>
  <c r="R591" i="4"/>
  <c r="S591" i="4"/>
  <c r="L592" i="4"/>
  <c r="M592" i="4"/>
  <c r="N592" i="4"/>
  <c r="O592" i="4"/>
  <c r="P592" i="4"/>
  <c r="Q592" i="4"/>
  <c r="R592" i="4"/>
  <c r="S592" i="4"/>
  <c r="L593" i="4"/>
  <c r="M593" i="4"/>
  <c r="N593" i="4"/>
  <c r="O593" i="4"/>
  <c r="P593" i="4"/>
  <c r="Q593" i="4"/>
  <c r="R593" i="4"/>
  <c r="S593" i="4"/>
  <c r="L594" i="4"/>
  <c r="M594" i="4"/>
  <c r="N594" i="4"/>
  <c r="O594" i="4"/>
  <c r="P594" i="4"/>
  <c r="Q594" i="4"/>
  <c r="R594" i="4"/>
  <c r="S594" i="4"/>
  <c r="L595" i="4"/>
  <c r="M595" i="4"/>
  <c r="N595" i="4"/>
  <c r="O595" i="4"/>
  <c r="P595" i="4"/>
  <c r="Q595" i="4"/>
  <c r="R595" i="4"/>
  <c r="S595" i="4"/>
  <c r="L596" i="4"/>
  <c r="M596" i="4"/>
  <c r="N596" i="4"/>
  <c r="O596" i="4"/>
  <c r="P596" i="4"/>
  <c r="Q596" i="4"/>
  <c r="R596" i="4"/>
  <c r="S596" i="4"/>
  <c r="L597" i="4"/>
  <c r="M597" i="4"/>
  <c r="N597" i="4"/>
  <c r="O597" i="4"/>
  <c r="P597" i="4"/>
  <c r="Q597" i="4"/>
  <c r="R597" i="4"/>
  <c r="S597" i="4"/>
  <c r="L598" i="4"/>
  <c r="M598" i="4"/>
  <c r="N598" i="4"/>
  <c r="O598" i="4"/>
  <c r="P598" i="4"/>
  <c r="Q598" i="4"/>
  <c r="R598" i="4"/>
  <c r="S598" i="4"/>
  <c r="L599" i="4"/>
  <c r="M599" i="4"/>
  <c r="N599" i="4"/>
  <c r="O599" i="4"/>
  <c r="P599" i="4"/>
  <c r="Q599" i="4"/>
  <c r="R599" i="4"/>
  <c r="S599" i="4"/>
  <c r="L600" i="4"/>
  <c r="M600" i="4"/>
  <c r="N600" i="4"/>
  <c r="O600" i="4"/>
  <c r="P600" i="4"/>
  <c r="Q600" i="4"/>
  <c r="R600" i="4"/>
  <c r="S600" i="4"/>
  <c r="L601" i="4"/>
  <c r="M601" i="4"/>
  <c r="N601" i="4"/>
  <c r="O601" i="4"/>
  <c r="P601" i="4"/>
  <c r="Q601" i="4"/>
  <c r="R601" i="4"/>
  <c r="S601" i="4"/>
  <c r="L602" i="4"/>
  <c r="M602" i="4"/>
  <c r="N602" i="4"/>
  <c r="O602" i="4"/>
  <c r="P602" i="4"/>
  <c r="Q602" i="4"/>
  <c r="R602" i="4"/>
  <c r="S602" i="4"/>
  <c r="L603" i="4"/>
  <c r="M603" i="4"/>
  <c r="N603" i="4"/>
  <c r="O603" i="4"/>
  <c r="P603" i="4"/>
  <c r="Q603" i="4"/>
  <c r="R603" i="4"/>
  <c r="S603" i="4"/>
  <c r="L604" i="4"/>
  <c r="M604" i="4"/>
  <c r="N604" i="4"/>
  <c r="O604" i="4"/>
  <c r="P604" i="4"/>
  <c r="Q604" i="4"/>
  <c r="R604" i="4"/>
  <c r="S604" i="4"/>
  <c r="L605" i="4"/>
  <c r="M605" i="4"/>
  <c r="N605" i="4"/>
  <c r="O605" i="4"/>
  <c r="P605" i="4"/>
  <c r="Q605" i="4"/>
  <c r="R605" i="4"/>
  <c r="S605" i="4"/>
  <c r="L606" i="4"/>
  <c r="M606" i="4"/>
  <c r="N606" i="4"/>
  <c r="O606" i="4"/>
  <c r="P606" i="4"/>
  <c r="Q606" i="4"/>
  <c r="R606" i="4"/>
  <c r="S606" i="4"/>
  <c r="L607" i="4"/>
  <c r="M607" i="4"/>
  <c r="N607" i="4"/>
  <c r="O607" i="4"/>
  <c r="P607" i="4"/>
  <c r="Q607" i="4"/>
  <c r="R607" i="4"/>
  <c r="S607" i="4"/>
  <c r="L608" i="4"/>
  <c r="M608" i="4"/>
  <c r="N608" i="4"/>
  <c r="O608" i="4"/>
  <c r="P608" i="4"/>
  <c r="Q608" i="4"/>
  <c r="R608" i="4"/>
  <c r="S608" i="4"/>
  <c r="L609" i="4"/>
  <c r="M609" i="4"/>
  <c r="N609" i="4"/>
  <c r="O609" i="4"/>
  <c r="P609" i="4"/>
  <c r="Q609" i="4"/>
  <c r="R609" i="4"/>
  <c r="S609" i="4"/>
  <c r="L610" i="4"/>
  <c r="M610" i="4"/>
  <c r="N610" i="4"/>
  <c r="O610" i="4"/>
  <c r="P610" i="4"/>
  <c r="Q610" i="4"/>
  <c r="R610" i="4"/>
  <c r="S610" i="4"/>
  <c r="L611" i="4"/>
  <c r="M611" i="4"/>
  <c r="N611" i="4"/>
  <c r="O611" i="4"/>
  <c r="P611" i="4"/>
  <c r="Q611" i="4"/>
  <c r="R611" i="4"/>
  <c r="S611" i="4"/>
  <c r="L612" i="4"/>
  <c r="M612" i="4"/>
  <c r="N612" i="4"/>
  <c r="O612" i="4"/>
  <c r="P612" i="4"/>
  <c r="Q612" i="4"/>
  <c r="R612" i="4"/>
  <c r="S612" i="4"/>
  <c r="L613" i="4"/>
  <c r="M613" i="4"/>
  <c r="N613" i="4"/>
  <c r="O613" i="4"/>
  <c r="P613" i="4"/>
  <c r="Q613" i="4"/>
  <c r="R613" i="4"/>
  <c r="S613" i="4"/>
  <c r="L614" i="4"/>
  <c r="M614" i="4"/>
  <c r="N614" i="4"/>
  <c r="O614" i="4"/>
  <c r="P614" i="4"/>
  <c r="Q614" i="4"/>
  <c r="R614" i="4"/>
  <c r="S614" i="4"/>
  <c r="L615" i="4"/>
  <c r="M615" i="4"/>
  <c r="N615" i="4"/>
  <c r="O615" i="4"/>
  <c r="P615" i="4"/>
  <c r="Q615" i="4"/>
  <c r="R615" i="4"/>
  <c r="S615" i="4"/>
  <c r="L616" i="4"/>
  <c r="M616" i="4"/>
  <c r="N616" i="4"/>
  <c r="O616" i="4"/>
  <c r="P616" i="4"/>
  <c r="Q616" i="4"/>
  <c r="R616" i="4"/>
  <c r="S616" i="4"/>
  <c r="L617" i="4"/>
  <c r="M617" i="4"/>
  <c r="N617" i="4"/>
  <c r="O617" i="4"/>
  <c r="P617" i="4"/>
  <c r="Q617" i="4"/>
  <c r="R617" i="4"/>
  <c r="S617" i="4"/>
  <c r="L618" i="4"/>
  <c r="M618" i="4"/>
  <c r="N618" i="4"/>
  <c r="O618" i="4"/>
  <c r="P618" i="4"/>
  <c r="Q618" i="4"/>
  <c r="R618" i="4"/>
  <c r="S618" i="4"/>
  <c r="L619" i="4"/>
  <c r="M619" i="4"/>
  <c r="N619" i="4"/>
  <c r="O619" i="4"/>
  <c r="P619" i="4"/>
  <c r="Q619" i="4"/>
  <c r="R619" i="4"/>
  <c r="S619" i="4"/>
  <c r="L620" i="4"/>
  <c r="M620" i="4"/>
  <c r="N620" i="4"/>
  <c r="O620" i="4"/>
  <c r="P620" i="4"/>
  <c r="Q620" i="4"/>
  <c r="R620" i="4"/>
  <c r="S620" i="4"/>
  <c r="L621" i="4"/>
  <c r="M621" i="4"/>
  <c r="N621" i="4"/>
  <c r="O621" i="4"/>
  <c r="P621" i="4"/>
  <c r="Q621" i="4"/>
  <c r="R621" i="4"/>
  <c r="S621" i="4"/>
  <c r="L622" i="4"/>
  <c r="M622" i="4"/>
  <c r="N622" i="4"/>
  <c r="O622" i="4"/>
  <c r="P622" i="4"/>
  <c r="Q622" i="4"/>
  <c r="R622" i="4"/>
  <c r="S622" i="4"/>
  <c r="L623" i="4"/>
  <c r="M623" i="4"/>
  <c r="N623" i="4"/>
  <c r="O623" i="4"/>
  <c r="P623" i="4"/>
  <c r="Q623" i="4"/>
  <c r="R623" i="4"/>
  <c r="S623" i="4"/>
  <c r="L624" i="4"/>
  <c r="M624" i="4"/>
  <c r="N624" i="4"/>
  <c r="O624" i="4"/>
  <c r="P624" i="4"/>
  <c r="Q624" i="4"/>
  <c r="R624" i="4"/>
  <c r="S624" i="4"/>
  <c r="L625" i="4"/>
  <c r="M625" i="4"/>
  <c r="N625" i="4"/>
  <c r="O625" i="4"/>
  <c r="P625" i="4"/>
  <c r="Q625" i="4"/>
  <c r="R625" i="4"/>
  <c r="S625" i="4"/>
  <c r="L626" i="4"/>
  <c r="M626" i="4"/>
  <c r="N626" i="4"/>
  <c r="O626" i="4"/>
  <c r="P626" i="4"/>
  <c r="Q626" i="4"/>
  <c r="R626" i="4"/>
  <c r="S626" i="4"/>
  <c r="L627" i="4"/>
  <c r="M627" i="4"/>
  <c r="N627" i="4"/>
  <c r="O627" i="4"/>
  <c r="P627" i="4"/>
  <c r="Q627" i="4"/>
  <c r="R627" i="4"/>
  <c r="S627" i="4"/>
  <c r="L628" i="4"/>
  <c r="M628" i="4"/>
  <c r="N628" i="4"/>
  <c r="O628" i="4"/>
  <c r="P628" i="4"/>
  <c r="Q628" i="4"/>
  <c r="R628" i="4"/>
  <c r="S628" i="4"/>
  <c r="L629" i="4"/>
  <c r="M629" i="4"/>
  <c r="N629" i="4"/>
  <c r="O629" i="4"/>
  <c r="P629" i="4"/>
  <c r="Q629" i="4"/>
  <c r="R629" i="4"/>
  <c r="S629" i="4"/>
  <c r="L630" i="4"/>
  <c r="M630" i="4"/>
  <c r="N630" i="4"/>
  <c r="O630" i="4"/>
  <c r="P630" i="4"/>
  <c r="Q630" i="4"/>
  <c r="R630" i="4"/>
  <c r="S630" i="4"/>
  <c r="L631" i="4"/>
  <c r="M631" i="4"/>
  <c r="N631" i="4"/>
  <c r="O631" i="4"/>
  <c r="P631" i="4"/>
  <c r="Q631" i="4"/>
  <c r="R631" i="4"/>
  <c r="S631" i="4"/>
  <c r="L632" i="4"/>
  <c r="M632" i="4"/>
  <c r="N632" i="4"/>
  <c r="O632" i="4"/>
  <c r="P632" i="4"/>
  <c r="Q632" i="4"/>
  <c r="R632" i="4"/>
  <c r="S632" i="4"/>
  <c r="L633" i="4"/>
  <c r="M633" i="4"/>
  <c r="N633" i="4"/>
  <c r="O633" i="4"/>
  <c r="P633" i="4"/>
  <c r="Q633" i="4"/>
  <c r="R633" i="4"/>
  <c r="S633" i="4"/>
  <c r="L634" i="4"/>
  <c r="M634" i="4"/>
  <c r="N634" i="4"/>
  <c r="O634" i="4"/>
  <c r="P634" i="4"/>
  <c r="Q634" i="4"/>
  <c r="R634" i="4"/>
  <c r="S634" i="4"/>
  <c r="L635" i="4"/>
  <c r="M635" i="4"/>
  <c r="N635" i="4"/>
  <c r="O635" i="4"/>
  <c r="P635" i="4"/>
  <c r="Q635" i="4"/>
  <c r="R635" i="4"/>
  <c r="S635" i="4"/>
  <c r="L636" i="4"/>
  <c r="M636" i="4"/>
  <c r="N636" i="4"/>
  <c r="O636" i="4"/>
  <c r="P636" i="4"/>
  <c r="Q636" i="4"/>
  <c r="R636" i="4"/>
  <c r="S636" i="4"/>
  <c r="L637" i="4"/>
  <c r="M637" i="4"/>
  <c r="N637" i="4"/>
  <c r="O637" i="4"/>
  <c r="P637" i="4"/>
  <c r="Q637" i="4"/>
  <c r="R637" i="4"/>
  <c r="S637" i="4"/>
  <c r="L638" i="4"/>
  <c r="M638" i="4"/>
  <c r="N638" i="4"/>
  <c r="O638" i="4"/>
  <c r="P638" i="4"/>
  <c r="Q638" i="4"/>
  <c r="R638" i="4"/>
  <c r="S638" i="4"/>
  <c r="L639" i="4"/>
  <c r="M639" i="4"/>
  <c r="N639" i="4"/>
  <c r="O639" i="4"/>
  <c r="P639" i="4"/>
  <c r="Q639" i="4"/>
  <c r="R639" i="4"/>
  <c r="S639" i="4"/>
  <c r="L640" i="4"/>
  <c r="M640" i="4"/>
  <c r="N640" i="4"/>
  <c r="O640" i="4"/>
  <c r="P640" i="4"/>
  <c r="Q640" i="4"/>
  <c r="R640" i="4"/>
  <c r="S640" i="4"/>
  <c r="L641" i="4"/>
  <c r="M641" i="4"/>
  <c r="N641" i="4"/>
  <c r="O641" i="4"/>
  <c r="P641" i="4"/>
  <c r="Q641" i="4"/>
  <c r="R641" i="4"/>
  <c r="S641" i="4"/>
  <c r="L642" i="4"/>
  <c r="M642" i="4"/>
  <c r="N642" i="4"/>
  <c r="O642" i="4"/>
  <c r="P642" i="4"/>
  <c r="Q642" i="4"/>
  <c r="R642" i="4"/>
  <c r="S642" i="4"/>
  <c r="L643" i="4"/>
  <c r="M643" i="4"/>
  <c r="N643" i="4"/>
  <c r="O643" i="4"/>
  <c r="P643" i="4"/>
  <c r="Q643" i="4"/>
  <c r="R643" i="4"/>
  <c r="S643" i="4"/>
  <c r="L644" i="4"/>
  <c r="M644" i="4"/>
  <c r="N644" i="4"/>
  <c r="O644" i="4"/>
  <c r="P644" i="4"/>
  <c r="Q644" i="4"/>
  <c r="R644" i="4"/>
  <c r="S644" i="4"/>
  <c r="L645" i="4"/>
  <c r="M645" i="4"/>
  <c r="N645" i="4"/>
  <c r="O645" i="4"/>
  <c r="P645" i="4"/>
  <c r="Q645" i="4"/>
  <c r="R645" i="4"/>
  <c r="S645" i="4"/>
  <c r="L646" i="4"/>
  <c r="M646" i="4"/>
  <c r="N646" i="4"/>
  <c r="O646" i="4"/>
  <c r="P646" i="4"/>
  <c r="Q646" i="4"/>
  <c r="R646" i="4"/>
  <c r="S646" i="4"/>
  <c r="L647" i="4"/>
  <c r="M647" i="4"/>
  <c r="N647" i="4"/>
  <c r="O647" i="4"/>
  <c r="P647" i="4"/>
  <c r="Q647" i="4"/>
  <c r="R647" i="4"/>
  <c r="S647" i="4"/>
  <c r="L648" i="4"/>
  <c r="M648" i="4"/>
  <c r="N648" i="4"/>
  <c r="O648" i="4"/>
  <c r="P648" i="4"/>
  <c r="Q648" i="4"/>
  <c r="R648" i="4"/>
  <c r="S648" i="4"/>
  <c r="L649" i="4"/>
  <c r="M649" i="4"/>
  <c r="N649" i="4"/>
  <c r="O649" i="4"/>
  <c r="P649" i="4"/>
  <c r="Q649" i="4"/>
  <c r="R649" i="4"/>
  <c r="S649" i="4"/>
  <c r="L650" i="4"/>
  <c r="M650" i="4"/>
  <c r="N650" i="4"/>
  <c r="O650" i="4"/>
  <c r="P650" i="4"/>
  <c r="Q650" i="4"/>
  <c r="R650" i="4"/>
  <c r="S650" i="4"/>
  <c r="L651" i="4"/>
  <c r="M651" i="4"/>
  <c r="N651" i="4"/>
  <c r="O651" i="4"/>
  <c r="P651" i="4"/>
  <c r="Q651" i="4"/>
  <c r="R651" i="4"/>
  <c r="S651" i="4"/>
  <c r="L652" i="4"/>
  <c r="M652" i="4"/>
  <c r="N652" i="4"/>
  <c r="O652" i="4"/>
  <c r="P652" i="4"/>
  <c r="Q652" i="4"/>
  <c r="R652" i="4"/>
  <c r="S652" i="4"/>
  <c r="L653" i="4"/>
  <c r="M653" i="4"/>
  <c r="N653" i="4"/>
  <c r="O653" i="4"/>
  <c r="P653" i="4"/>
  <c r="Q653" i="4"/>
  <c r="R653" i="4"/>
  <c r="S653" i="4"/>
  <c r="L654" i="4"/>
  <c r="M654" i="4"/>
  <c r="N654" i="4"/>
  <c r="O654" i="4"/>
  <c r="P654" i="4"/>
  <c r="Q654" i="4"/>
  <c r="R654" i="4"/>
  <c r="S654" i="4"/>
  <c r="L655" i="4"/>
  <c r="M655" i="4"/>
  <c r="N655" i="4"/>
  <c r="O655" i="4"/>
  <c r="P655" i="4"/>
  <c r="Q655" i="4"/>
  <c r="R655" i="4"/>
  <c r="S655" i="4"/>
  <c r="L656" i="4"/>
  <c r="M656" i="4"/>
  <c r="N656" i="4"/>
  <c r="O656" i="4"/>
  <c r="P656" i="4"/>
  <c r="Q656" i="4"/>
  <c r="R656" i="4"/>
  <c r="S656" i="4"/>
  <c r="L657" i="4"/>
  <c r="M657" i="4"/>
  <c r="N657" i="4"/>
  <c r="O657" i="4"/>
  <c r="P657" i="4"/>
  <c r="Q657" i="4"/>
  <c r="R657" i="4"/>
  <c r="S657" i="4"/>
  <c r="L658" i="4"/>
  <c r="M658" i="4"/>
  <c r="N658" i="4"/>
  <c r="O658" i="4"/>
  <c r="P658" i="4"/>
  <c r="Q658" i="4"/>
  <c r="R658" i="4"/>
  <c r="S658" i="4"/>
  <c r="L659" i="4"/>
  <c r="M659" i="4"/>
  <c r="N659" i="4"/>
  <c r="O659" i="4"/>
  <c r="P659" i="4"/>
  <c r="Q659" i="4"/>
  <c r="R659" i="4"/>
  <c r="S659" i="4"/>
  <c r="L660" i="4"/>
  <c r="M660" i="4"/>
  <c r="N660" i="4"/>
  <c r="O660" i="4"/>
  <c r="P660" i="4"/>
  <c r="Q660" i="4"/>
  <c r="R660" i="4"/>
  <c r="S660" i="4"/>
  <c r="L661" i="4"/>
  <c r="M661" i="4"/>
  <c r="N661" i="4"/>
  <c r="O661" i="4"/>
  <c r="P661" i="4"/>
  <c r="Q661" i="4"/>
  <c r="R661" i="4"/>
  <c r="S661" i="4"/>
  <c r="L662" i="4"/>
  <c r="M662" i="4"/>
  <c r="N662" i="4"/>
  <c r="O662" i="4"/>
  <c r="P662" i="4"/>
  <c r="Q662" i="4"/>
  <c r="R662" i="4"/>
  <c r="S662" i="4"/>
  <c r="L663" i="4"/>
  <c r="M663" i="4"/>
  <c r="N663" i="4"/>
  <c r="O663" i="4"/>
  <c r="P663" i="4"/>
  <c r="Q663" i="4"/>
  <c r="R663" i="4"/>
  <c r="S663" i="4"/>
  <c r="L664" i="4"/>
  <c r="M664" i="4"/>
  <c r="N664" i="4"/>
  <c r="O664" i="4"/>
  <c r="P664" i="4"/>
  <c r="Q664" i="4"/>
  <c r="R664" i="4"/>
  <c r="S664" i="4"/>
  <c r="L665" i="4"/>
  <c r="M665" i="4"/>
  <c r="N665" i="4"/>
  <c r="O665" i="4"/>
  <c r="P665" i="4"/>
  <c r="Q665" i="4"/>
  <c r="R665" i="4"/>
  <c r="S665" i="4"/>
  <c r="L666" i="4"/>
  <c r="M666" i="4"/>
  <c r="N666" i="4"/>
  <c r="O666" i="4"/>
  <c r="P666" i="4"/>
  <c r="Q666" i="4"/>
  <c r="R666" i="4"/>
  <c r="S666" i="4"/>
  <c r="L667" i="4"/>
  <c r="M667" i="4"/>
  <c r="N667" i="4"/>
  <c r="O667" i="4"/>
  <c r="P667" i="4"/>
  <c r="Q667" i="4"/>
  <c r="R667" i="4"/>
  <c r="S667" i="4"/>
  <c r="L668" i="4"/>
  <c r="M668" i="4"/>
  <c r="N668" i="4"/>
  <c r="O668" i="4"/>
  <c r="P668" i="4"/>
  <c r="Q668" i="4"/>
  <c r="R668" i="4"/>
  <c r="S668" i="4"/>
  <c r="L669" i="4"/>
  <c r="M669" i="4"/>
  <c r="N669" i="4"/>
  <c r="O669" i="4"/>
  <c r="P669" i="4"/>
  <c r="Q669" i="4"/>
  <c r="R669" i="4"/>
  <c r="S669" i="4"/>
  <c r="L670" i="4"/>
  <c r="M670" i="4"/>
  <c r="N670" i="4"/>
  <c r="O670" i="4"/>
  <c r="P670" i="4"/>
  <c r="Q670" i="4"/>
  <c r="R670" i="4"/>
  <c r="S670" i="4"/>
  <c r="L671" i="4"/>
  <c r="M671" i="4"/>
  <c r="N671" i="4"/>
  <c r="O671" i="4"/>
  <c r="P671" i="4"/>
  <c r="Q671" i="4"/>
  <c r="R671" i="4"/>
  <c r="S671" i="4"/>
  <c r="L672" i="4"/>
  <c r="M672" i="4"/>
  <c r="N672" i="4"/>
  <c r="O672" i="4"/>
  <c r="P672" i="4"/>
  <c r="Q672" i="4"/>
  <c r="R672" i="4"/>
  <c r="S672" i="4"/>
  <c r="L673" i="4"/>
  <c r="M673" i="4"/>
  <c r="N673" i="4"/>
  <c r="O673" i="4"/>
  <c r="P673" i="4"/>
  <c r="Q673" i="4"/>
  <c r="R673" i="4"/>
  <c r="S673" i="4"/>
  <c r="L674" i="4"/>
  <c r="M674" i="4"/>
  <c r="N674" i="4"/>
  <c r="O674" i="4"/>
  <c r="P674" i="4"/>
  <c r="Q674" i="4"/>
  <c r="R674" i="4"/>
  <c r="S674" i="4"/>
  <c r="L675" i="4"/>
  <c r="M675" i="4"/>
  <c r="N675" i="4"/>
  <c r="O675" i="4"/>
  <c r="P675" i="4"/>
  <c r="Q675" i="4"/>
  <c r="R675" i="4"/>
  <c r="S675" i="4"/>
  <c r="L676" i="4"/>
  <c r="M676" i="4"/>
  <c r="N676" i="4"/>
  <c r="O676" i="4"/>
  <c r="P676" i="4"/>
  <c r="Q676" i="4"/>
  <c r="R676" i="4"/>
  <c r="S676" i="4"/>
  <c r="L677" i="4"/>
  <c r="M677" i="4"/>
  <c r="N677" i="4"/>
  <c r="O677" i="4"/>
  <c r="P677" i="4"/>
  <c r="Q677" i="4"/>
  <c r="R677" i="4"/>
  <c r="S677" i="4"/>
  <c r="L678" i="4"/>
  <c r="M678" i="4"/>
  <c r="N678" i="4"/>
  <c r="O678" i="4"/>
  <c r="P678" i="4"/>
  <c r="Q678" i="4"/>
  <c r="R678" i="4"/>
  <c r="S678" i="4"/>
  <c r="L679" i="4"/>
  <c r="M679" i="4"/>
  <c r="N679" i="4"/>
  <c r="O679" i="4"/>
  <c r="P679" i="4"/>
  <c r="Q679" i="4"/>
  <c r="R679" i="4"/>
  <c r="S679" i="4"/>
  <c r="L680" i="4"/>
  <c r="M680" i="4"/>
  <c r="N680" i="4"/>
  <c r="O680" i="4"/>
  <c r="P680" i="4"/>
  <c r="Q680" i="4"/>
  <c r="R680" i="4"/>
  <c r="S680" i="4"/>
  <c r="L681" i="4"/>
  <c r="M681" i="4"/>
  <c r="N681" i="4"/>
  <c r="O681" i="4"/>
  <c r="P681" i="4"/>
  <c r="Q681" i="4"/>
  <c r="R681" i="4"/>
  <c r="S681" i="4"/>
  <c r="L682" i="4"/>
  <c r="M682" i="4"/>
  <c r="N682" i="4"/>
  <c r="O682" i="4"/>
  <c r="P682" i="4"/>
  <c r="Q682" i="4"/>
  <c r="R682" i="4"/>
  <c r="S682" i="4"/>
  <c r="L683" i="4"/>
  <c r="M683" i="4"/>
  <c r="N683" i="4"/>
  <c r="O683" i="4"/>
  <c r="P683" i="4"/>
  <c r="Q683" i="4"/>
  <c r="R683" i="4"/>
  <c r="S683" i="4"/>
  <c r="L684" i="4"/>
  <c r="M684" i="4"/>
  <c r="N684" i="4"/>
  <c r="O684" i="4"/>
  <c r="P684" i="4"/>
  <c r="Q684" i="4"/>
  <c r="R684" i="4"/>
  <c r="S684" i="4"/>
  <c r="L685" i="4"/>
  <c r="M685" i="4"/>
  <c r="N685" i="4"/>
  <c r="O685" i="4"/>
  <c r="P685" i="4"/>
  <c r="Q685" i="4"/>
  <c r="R685" i="4"/>
  <c r="S685" i="4"/>
  <c r="L686" i="4"/>
  <c r="M686" i="4"/>
  <c r="N686" i="4"/>
  <c r="O686" i="4"/>
  <c r="P686" i="4"/>
  <c r="Q686" i="4"/>
  <c r="R686" i="4"/>
  <c r="S686" i="4"/>
  <c r="L687" i="4"/>
  <c r="M687" i="4"/>
  <c r="N687" i="4"/>
  <c r="O687" i="4"/>
  <c r="P687" i="4"/>
  <c r="Q687" i="4"/>
  <c r="R687" i="4"/>
  <c r="S687" i="4"/>
  <c r="L688" i="4"/>
  <c r="M688" i="4"/>
  <c r="N688" i="4"/>
  <c r="O688" i="4"/>
  <c r="P688" i="4"/>
  <c r="Q688" i="4"/>
  <c r="R688" i="4"/>
  <c r="S688" i="4"/>
  <c r="L689" i="4"/>
  <c r="M689" i="4"/>
  <c r="N689" i="4"/>
  <c r="O689" i="4"/>
  <c r="P689" i="4"/>
  <c r="Q689" i="4"/>
  <c r="R689" i="4"/>
  <c r="S689" i="4"/>
  <c r="L690" i="4"/>
  <c r="M690" i="4"/>
  <c r="N690" i="4"/>
  <c r="O690" i="4"/>
  <c r="P690" i="4"/>
  <c r="Q690" i="4"/>
  <c r="R690" i="4"/>
  <c r="S690" i="4"/>
  <c r="L691" i="4"/>
  <c r="M691" i="4"/>
  <c r="N691" i="4"/>
  <c r="O691" i="4"/>
  <c r="P691" i="4"/>
  <c r="Q691" i="4"/>
  <c r="R691" i="4"/>
  <c r="S691" i="4"/>
  <c r="L692" i="4"/>
  <c r="M692" i="4"/>
  <c r="N692" i="4"/>
  <c r="O692" i="4"/>
  <c r="P692" i="4"/>
  <c r="Q692" i="4"/>
  <c r="R692" i="4"/>
  <c r="S692" i="4"/>
  <c r="L693" i="4"/>
  <c r="M693" i="4"/>
  <c r="N693" i="4"/>
  <c r="O693" i="4"/>
  <c r="P693" i="4"/>
  <c r="Q693" i="4"/>
  <c r="R693" i="4"/>
  <c r="S693" i="4"/>
  <c r="L694" i="4"/>
  <c r="M694" i="4"/>
  <c r="N694" i="4"/>
  <c r="O694" i="4"/>
  <c r="P694" i="4"/>
  <c r="Q694" i="4"/>
  <c r="R694" i="4"/>
  <c r="S694" i="4"/>
  <c r="L695" i="4"/>
  <c r="M695" i="4"/>
  <c r="N695" i="4"/>
  <c r="O695" i="4"/>
  <c r="P695" i="4"/>
  <c r="Q695" i="4"/>
  <c r="R695" i="4"/>
  <c r="S695" i="4"/>
  <c r="L696" i="4"/>
  <c r="M696" i="4"/>
  <c r="N696" i="4"/>
  <c r="O696" i="4"/>
  <c r="P696" i="4"/>
  <c r="Q696" i="4"/>
  <c r="R696" i="4"/>
  <c r="S696" i="4"/>
  <c r="L697" i="4"/>
  <c r="M697" i="4"/>
  <c r="N697" i="4"/>
  <c r="O697" i="4"/>
  <c r="P697" i="4"/>
  <c r="Q697" i="4"/>
  <c r="R697" i="4"/>
  <c r="S697" i="4"/>
  <c r="L698" i="4"/>
  <c r="M698" i="4"/>
  <c r="N698" i="4"/>
  <c r="O698" i="4"/>
  <c r="P698" i="4"/>
  <c r="Q698" i="4"/>
  <c r="R698" i="4"/>
  <c r="S698" i="4"/>
  <c r="L699" i="4"/>
  <c r="M699" i="4"/>
  <c r="N699" i="4"/>
  <c r="O699" i="4"/>
  <c r="P699" i="4"/>
  <c r="Q699" i="4"/>
  <c r="R699" i="4"/>
  <c r="S699" i="4"/>
  <c r="L700" i="4"/>
  <c r="M700" i="4"/>
  <c r="N700" i="4"/>
  <c r="O700" i="4"/>
  <c r="P700" i="4"/>
  <c r="Q700" i="4"/>
  <c r="R700" i="4"/>
  <c r="S700" i="4"/>
  <c r="L701" i="4"/>
  <c r="M701" i="4"/>
  <c r="N701" i="4"/>
  <c r="O701" i="4"/>
  <c r="P701" i="4"/>
  <c r="Q701" i="4"/>
  <c r="R701" i="4"/>
  <c r="S701" i="4"/>
  <c r="L702" i="4"/>
  <c r="M702" i="4"/>
  <c r="N702" i="4"/>
  <c r="O702" i="4"/>
  <c r="P702" i="4"/>
  <c r="Q702" i="4"/>
  <c r="R702" i="4"/>
  <c r="S702" i="4"/>
  <c r="L703" i="4"/>
  <c r="M703" i="4"/>
  <c r="N703" i="4"/>
  <c r="O703" i="4"/>
  <c r="P703" i="4"/>
  <c r="Q703" i="4"/>
  <c r="R703" i="4"/>
  <c r="S703" i="4"/>
  <c r="L704" i="4"/>
  <c r="M704" i="4"/>
  <c r="N704" i="4"/>
  <c r="O704" i="4"/>
  <c r="P704" i="4"/>
  <c r="Q704" i="4"/>
  <c r="R704" i="4"/>
  <c r="S704" i="4"/>
  <c r="L705" i="4"/>
  <c r="M705" i="4"/>
  <c r="N705" i="4"/>
  <c r="O705" i="4"/>
  <c r="P705" i="4"/>
  <c r="Q705" i="4"/>
  <c r="R705" i="4"/>
  <c r="S705" i="4"/>
  <c r="L706" i="4"/>
  <c r="M706" i="4"/>
  <c r="N706" i="4"/>
  <c r="O706" i="4"/>
  <c r="P706" i="4"/>
  <c r="Q706" i="4"/>
  <c r="R706" i="4"/>
  <c r="S706" i="4"/>
  <c r="L707" i="4"/>
  <c r="M707" i="4"/>
  <c r="N707" i="4"/>
  <c r="O707" i="4"/>
  <c r="P707" i="4"/>
  <c r="Q707" i="4"/>
  <c r="R707" i="4"/>
  <c r="S707" i="4"/>
  <c r="L708" i="4"/>
  <c r="M708" i="4"/>
  <c r="N708" i="4"/>
  <c r="O708" i="4"/>
  <c r="P708" i="4"/>
  <c r="Q708" i="4"/>
  <c r="R708" i="4"/>
  <c r="S708" i="4"/>
  <c r="L709" i="4"/>
  <c r="M709" i="4"/>
  <c r="N709" i="4"/>
  <c r="O709" i="4"/>
  <c r="P709" i="4"/>
  <c r="Q709" i="4"/>
  <c r="R709" i="4"/>
  <c r="S709" i="4"/>
  <c r="L710" i="4"/>
  <c r="M710" i="4"/>
  <c r="N710" i="4"/>
  <c r="O710" i="4"/>
  <c r="P710" i="4"/>
  <c r="Q710" i="4"/>
  <c r="R710" i="4"/>
  <c r="S710" i="4"/>
  <c r="L711" i="4"/>
  <c r="M711" i="4"/>
  <c r="N711" i="4"/>
  <c r="O711" i="4"/>
  <c r="P711" i="4"/>
  <c r="Q711" i="4"/>
  <c r="R711" i="4"/>
  <c r="S711" i="4"/>
  <c r="L712" i="4"/>
  <c r="M712" i="4"/>
  <c r="N712" i="4"/>
  <c r="O712" i="4"/>
  <c r="P712" i="4"/>
  <c r="Q712" i="4"/>
  <c r="R712" i="4"/>
  <c r="S712" i="4"/>
  <c r="L713" i="4"/>
  <c r="M713" i="4"/>
  <c r="N713" i="4"/>
  <c r="O713" i="4"/>
  <c r="P713" i="4"/>
  <c r="Q713" i="4"/>
  <c r="R713" i="4"/>
  <c r="S713" i="4"/>
  <c r="L714" i="4"/>
  <c r="M714" i="4"/>
  <c r="N714" i="4"/>
  <c r="O714" i="4"/>
  <c r="P714" i="4"/>
  <c r="Q714" i="4"/>
  <c r="R714" i="4"/>
  <c r="S714" i="4"/>
  <c r="L715" i="4"/>
  <c r="M715" i="4"/>
  <c r="N715" i="4"/>
  <c r="O715" i="4"/>
  <c r="P715" i="4"/>
  <c r="Q715" i="4"/>
  <c r="R715" i="4"/>
  <c r="S715" i="4"/>
  <c r="L716" i="4"/>
  <c r="M716" i="4"/>
  <c r="N716" i="4"/>
  <c r="O716" i="4"/>
  <c r="P716" i="4"/>
  <c r="Q716" i="4"/>
  <c r="R716" i="4"/>
  <c r="S716" i="4"/>
  <c r="L717" i="4"/>
  <c r="M717" i="4"/>
  <c r="N717" i="4"/>
  <c r="O717" i="4"/>
  <c r="P717" i="4"/>
  <c r="Q717" i="4"/>
  <c r="R717" i="4"/>
  <c r="S717" i="4"/>
  <c r="L718" i="4"/>
  <c r="M718" i="4"/>
  <c r="N718" i="4"/>
  <c r="O718" i="4"/>
  <c r="P718" i="4"/>
  <c r="Q718" i="4"/>
  <c r="R718" i="4"/>
  <c r="S718" i="4"/>
  <c r="L719" i="4"/>
  <c r="M719" i="4"/>
  <c r="N719" i="4"/>
  <c r="O719" i="4"/>
  <c r="P719" i="4"/>
  <c r="Q719" i="4"/>
  <c r="R719" i="4"/>
  <c r="S719" i="4"/>
  <c r="L720" i="4"/>
  <c r="M720" i="4"/>
  <c r="N720" i="4"/>
  <c r="O720" i="4"/>
  <c r="P720" i="4"/>
  <c r="Q720" i="4"/>
  <c r="R720" i="4"/>
  <c r="S720" i="4"/>
  <c r="L721" i="4"/>
  <c r="M721" i="4"/>
  <c r="N721" i="4"/>
  <c r="O721" i="4"/>
  <c r="P721" i="4"/>
  <c r="Q721" i="4"/>
  <c r="R721" i="4"/>
  <c r="S721" i="4"/>
  <c r="L722" i="4"/>
  <c r="M722" i="4"/>
  <c r="N722" i="4"/>
  <c r="O722" i="4"/>
  <c r="P722" i="4"/>
  <c r="Q722" i="4"/>
  <c r="R722" i="4"/>
  <c r="S722" i="4"/>
  <c r="L723" i="4"/>
  <c r="M723" i="4"/>
  <c r="N723" i="4"/>
  <c r="O723" i="4"/>
  <c r="P723" i="4"/>
  <c r="Q723" i="4"/>
  <c r="R723" i="4"/>
  <c r="S723" i="4"/>
  <c r="L724" i="4"/>
  <c r="M724" i="4"/>
  <c r="N724" i="4"/>
  <c r="O724" i="4"/>
  <c r="P724" i="4"/>
  <c r="Q724" i="4"/>
  <c r="R724" i="4"/>
  <c r="S724" i="4"/>
  <c r="L725" i="4"/>
  <c r="M725" i="4"/>
  <c r="N725" i="4"/>
  <c r="O725" i="4"/>
  <c r="P725" i="4"/>
  <c r="Q725" i="4"/>
  <c r="R725" i="4"/>
  <c r="S725" i="4"/>
  <c r="L726" i="4"/>
  <c r="M726" i="4"/>
  <c r="N726" i="4"/>
  <c r="O726" i="4"/>
  <c r="P726" i="4"/>
  <c r="Q726" i="4"/>
  <c r="R726" i="4"/>
  <c r="S726" i="4"/>
  <c r="L727" i="4"/>
  <c r="M727" i="4"/>
  <c r="N727" i="4"/>
  <c r="O727" i="4"/>
  <c r="P727" i="4"/>
  <c r="Q727" i="4"/>
  <c r="R727" i="4"/>
  <c r="S727" i="4"/>
  <c r="L728" i="4"/>
  <c r="M728" i="4"/>
  <c r="N728" i="4"/>
  <c r="O728" i="4"/>
  <c r="P728" i="4"/>
  <c r="Q728" i="4"/>
  <c r="R728" i="4"/>
  <c r="S728" i="4"/>
  <c r="L729" i="4"/>
  <c r="M729" i="4"/>
  <c r="N729" i="4"/>
  <c r="O729" i="4"/>
  <c r="P729" i="4"/>
  <c r="Q729" i="4"/>
  <c r="R729" i="4"/>
  <c r="S729" i="4"/>
  <c r="L730" i="4"/>
  <c r="M730" i="4"/>
  <c r="N730" i="4"/>
  <c r="O730" i="4"/>
  <c r="P730" i="4"/>
  <c r="Q730" i="4"/>
  <c r="R730" i="4"/>
  <c r="S730" i="4"/>
  <c r="L731" i="4"/>
  <c r="M731" i="4"/>
  <c r="N731" i="4"/>
  <c r="O731" i="4"/>
  <c r="P731" i="4"/>
  <c r="Q731" i="4"/>
  <c r="R731" i="4"/>
  <c r="S731" i="4"/>
  <c r="L732" i="4"/>
  <c r="M732" i="4"/>
  <c r="N732" i="4"/>
  <c r="O732" i="4"/>
  <c r="P732" i="4"/>
  <c r="Q732" i="4"/>
  <c r="R732" i="4"/>
  <c r="S732" i="4"/>
  <c r="L733" i="4"/>
  <c r="M733" i="4"/>
  <c r="N733" i="4"/>
  <c r="O733" i="4"/>
  <c r="P733" i="4"/>
  <c r="Q733" i="4"/>
  <c r="R733" i="4"/>
  <c r="S733" i="4"/>
  <c r="L734" i="4"/>
  <c r="M734" i="4"/>
  <c r="N734" i="4"/>
  <c r="O734" i="4"/>
  <c r="P734" i="4"/>
  <c r="Q734" i="4"/>
  <c r="R734" i="4"/>
  <c r="S734" i="4"/>
  <c r="L735" i="4"/>
  <c r="M735" i="4"/>
  <c r="N735" i="4"/>
  <c r="O735" i="4"/>
  <c r="P735" i="4"/>
  <c r="Q735" i="4"/>
  <c r="R735" i="4"/>
  <c r="S735" i="4"/>
  <c r="L736" i="4"/>
  <c r="M736" i="4"/>
  <c r="N736" i="4"/>
  <c r="O736" i="4"/>
  <c r="P736" i="4"/>
  <c r="Q736" i="4"/>
  <c r="R736" i="4"/>
  <c r="S736" i="4"/>
  <c r="L737" i="4"/>
  <c r="M737" i="4"/>
  <c r="N737" i="4"/>
  <c r="O737" i="4"/>
  <c r="P737" i="4"/>
  <c r="Q737" i="4"/>
  <c r="R737" i="4"/>
  <c r="S737" i="4"/>
  <c r="L738" i="4"/>
  <c r="M738" i="4"/>
  <c r="N738" i="4"/>
  <c r="O738" i="4"/>
  <c r="P738" i="4"/>
  <c r="Q738" i="4"/>
  <c r="R738" i="4"/>
  <c r="S738" i="4"/>
  <c r="L739" i="4"/>
  <c r="M739" i="4"/>
  <c r="N739" i="4"/>
  <c r="O739" i="4"/>
  <c r="P739" i="4"/>
  <c r="Q739" i="4"/>
  <c r="R739" i="4"/>
  <c r="S739" i="4"/>
  <c r="L740" i="4"/>
  <c r="M740" i="4"/>
  <c r="N740" i="4"/>
  <c r="O740" i="4"/>
  <c r="P740" i="4"/>
  <c r="Q740" i="4"/>
  <c r="R740" i="4"/>
  <c r="S740" i="4"/>
  <c r="L741" i="4"/>
  <c r="M741" i="4"/>
  <c r="N741" i="4"/>
  <c r="O741" i="4"/>
  <c r="P741" i="4"/>
  <c r="Q741" i="4"/>
  <c r="R741" i="4"/>
  <c r="S741" i="4"/>
  <c r="L742" i="4"/>
  <c r="M742" i="4"/>
  <c r="N742" i="4"/>
  <c r="O742" i="4"/>
  <c r="P742" i="4"/>
  <c r="Q742" i="4"/>
  <c r="R742" i="4"/>
  <c r="S742" i="4"/>
  <c r="L743" i="4"/>
  <c r="M743" i="4"/>
  <c r="N743" i="4"/>
  <c r="O743" i="4"/>
  <c r="P743" i="4"/>
  <c r="Q743" i="4"/>
  <c r="R743" i="4"/>
  <c r="S743" i="4"/>
  <c r="L744" i="4"/>
  <c r="M744" i="4"/>
  <c r="N744" i="4"/>
  <c r="O744" i="4"/>
  <c r="P744" i="4"/>
  <c r="Q744" i="4"/>
  <c r="R744" i="4"/>
  <c r="S744" i="4"/>
  <c r="L745" i="4"/>
  <c r="M745" i="4"/>
  <c r="N745" i="4"/>
  <c r="O745" i="4"/>
  <c r="P745" i="4"/>
  <c r="Q745" i="4"/>
  <c r="R745" i="4"/>
  <c r="S745" i="4"/>
  <c r="L746" i="4"/>
  <c r="M746" i="4"/>
  <c r="N746" i="4"/>
  <c r="O746" i="4"/>
  <c r="P746" i="4"/>
  <c r="Q746" i="4"/>
  <c r="R746" i="4"/>
  <c r="S746" i="4"/>
  <c r="L747" i="4"/>
  <c r="M747" i="4"/>
  <c r="N747" i="4"/>
  <c r="O747" i="4"/>
  <c r="P747" i="4"/>
  <c r="Q747" i="4"/>
  <c r="R747" i="4"/>
  <c r="S747" i="4"/>
  <c r="L748" i="4"/>
  <c r="M748" i="4"/>
  <c r="N748" i="4"/>
  <c r="O748" i="4"/>
  <c r="P748" i="4"/>
  <c r="Q748" i="4"/>
  <c r="R748" i="4"/>
  <c r="S748" i="4"/>
  <c r="L749" i="4"/>
  <c r="M749" i="4"/>
  <c r="N749" i="4"/>
  <c r="O749" i="4"/>
  <c r="P749" i="4"/>
  <c r="Q749" i="4"/>
  <c r="R749" i="4"/>
  <c r="S749" i="4"/>
  <c r="L750" i="4"/>
  <c r="M750" i="4"/>
  <c r="N750" i="4"/>
  <c r="O750" i="4"/>
  <c r="P750" i="4"/>
  <c r="Q750" i="4"/>
  <c r="R750" i="4"/>
  <c r="S750" i="4"/>
  <c r="L751" i="4"/>
  <c r="M751" i="4"/>
  <c r="N751" i="4"/>
  <c r="O751" i="4"/>
  <c r="P751" i="4"/>
  <c r="Q751" i="4"/>
  <c r="R751" i="4"/>
  <c r="S751" i="4"/>
  <c r="L752" i="4"/>
  <c r="M752" i="4"/>
  <c r="N752" i="4"/>
  <c r="O752" i="4"/>
  <c r="P752" i="4"/>
  <c r="Q752" i="4"/>
  <c r="R752" i="4"/>
  <c r="S752" i="4"/>
  <c r="L753" i="4"/>
  <c r="M753" i="4"/>
  <c r="N753" i="4"/>
  <c r="O753" i="4"/>
  <c r="P753" i="4"/>
  <c r="Q753" i="4"/>
  <c r="R753" i="4"/>
  <c r="S753" i="4"/>
  <c r="L754" i="4"/>
  <c r="M754" i="4"/>
  <c r="N754" i="4"/>
  <c r="O754" i="4"/>
  <c r="P754" i="4"/>
  <c r="Q754" i="4"/>
  <c r="R754" i="4"/>
  <c r="S754" i="4"/>
  <c r="L755" i="4"/>
  <c r="M755" i="4"/>
  <c r="N755" i="4"/>
  <c r="O755" i="4"/>
  <c r="P755" i="4"/>
  <c r="Q755" i="4"/>
  <c r="R755" i="4"/>
  <c r="S755" i="4"/>
  <c r="L756" i="4"/>
  <c r="M756" i="4"/>
  <c r="N756" i="4"/>
  <c r="O756" i="4"/>
  <c r="P756" i="4"/>
  <c r="Q756" i="4"/>
  <c r="R756" i="4"/>
  <c r="S756" i="4"/>
  <c r="L757" i="4"/>
  <c r="M757" i="4"/>
  <c r="N757" i="4"/>
  <c r="O757" i="4"/>
  <c r="P757" i="4"/>
  <c r="Q757" i="4"/>
  <c r="R757" i="4"/>
  <c r="S757" i="4"/>
  <c r="L758" i="4"/>
  <c r="M758" i="4"/>
  <c r="N758" i="4"/>
  <c r="O758" i="4"/>
  <c r="P758" i="4"/>
  <c r="Q758" i="4"/>
  <c r="R758" i="4"/>
  <c r="S758" i="4"/>
  <c r="L759" i="4"/>
  <c r="M759" i="4"/>
  <c r="N759" i="4"/>
  <c r="O759" i="4"/>
  <c r="P759" i="4"/>
  <c r="Q759" i="4"/>
  <c r="R759" i="4"/>
  <c r="S759" i="4"/>
  <c r="L760" i="4"/>
  <c r="M760" i="4"/>
  <c r="N760" i="4"/>
  <c r="O760" i="4"/>
  <c r="P760" i="4"/>
  <c r="Q760" i="4"/>
  <c r="R760" i="4"/>
  <c r="S760" i="4"/>
  <c r="L761" i="4"/>
  <c r="M761" i="4"/>
  <c r="N761" i="4"/>
  <c r="O761" i="4"/>
  <c r="P761" i="4"/>
  <c r="Q761" i="4"/>
  <c r="R761" i="4"/>
  <c r="S761" i="4"/>
  <c r="L762" i="4"/>
  <c r="M762" i="4"/>
  <c r="N762" i="4"/>
  <c r="O762" i="4"/>
  <c r="P762" i="4"/>
  <c r="Q762" i="4"/>
  <c r="R762" i="4"/>
  <c r="S762" i="4"/>
  <c r="L763" i="4"/>
  <c r="M763" i="4"/>
  <c r="N763" i="4"/>
  <c r="O763" i="4"/>
  <c r="P763" i="4"/>
  <c r="Q763" i="4"/>
  <c r="R763" i="4"/>
  <c r="S763" i="4"/>
  <c r="L764" i="4"/>
  <c r="M764" i="4"/>
  <c r="N764" i="4"/>
  <c r="O764" i="4"/>
  <c r="P764" i="4"/>
  <c r="Q764" i="4"/>
  <c r="R764" i="4"/>
  <c r="S764" i="4"/>
  <c r="L765" i="4"/>
  <c r="M765" i="4"/>
  <c r="N765" i="4"/>
  <c r="O765" i="4"/>
  <c r="P765" i="4"/>
  <c r="Q765" i="4"/>
  <c r="R765" i="4"/>
  <c r="S765" i="4"/>
  <c r="L766" i="4"/>
  <c r="M766" i="4"/>
  <c r="N766" i="4"/>
  <c r="O766" i="4"/>
  <c r="P766" i="4"/>
  <c r="Q766" i="4"/>
  <c r="R766" i="4"/>
  <c r="S766" i="4"/>
  <c r="L767" i="4"/>
  <c r="M767" i="4"/>
  <c r="N767" i="4"/>
  <c r="O767" i="4"/>
  <c r="P767" i="4"/>
  <c r="Q767" i="4"/>
  <c r="R767" i="4"/>
  <c r="S767" i="4"/>
  <c r="L768" i="4"/>
  <c r="M768" i="4"/>
  <c r="N768" i="4"/>
  <c r="O768" i="4"/>
  <c r="P768" i="4"/>
  <c r="Q768" i="4"/>
  <c r="R768" i="4"/>
  <c r="S768" i="4"/>
  <c r="L769" i="4"/>
  <c r="M769" i="4"/>
  <c r="N769" i="4"/>
  <c r="O769" i="4"/>
  <c r="P769" i="4"/>
  <c r="Q769" i="4"/>
  <c r="R769" i="4"/>
  <c r="S769" i="4"/>
  <c r="L770" i="4"/>
  <c r="M770" i="4"/>
  <c r="N770" i="4"/>
  <c r="O770" i="4"/>
  <c r="P770" i="4"/>
  <c r="Q770" i="4"/>
  <c r="R770" i="4"/>
  <c r="S770" i="4"/>
  <c r="L771" i="4"/>
  <c r="M771" i="4"/>
  <c r="N771" i="4"/>
  <c r="O771" i="4"/>
  <c r="P771" i="4"/>
  <c r="Q771" i="4"/>
  <c r="R771" i="4"/>
  <c r="S771" i="4"/>
  <c r="L772" i="4"/>
  <c r="M772" i="4"/>
  <c r="N772" i="4"/>
  <c r="O772" i="4"/>
  <c r="P772" i="4"/>
  <c r="Q772" i="4"/>
  <c r="R772" i="4"/>
  <c r="S772" i="4"/>
  <c r="L773" i="4"/>
  <c r="M773" i="4"/>
  <c r="N773" i="4"/>
  <c r="O773" i="4"/>
  <c r="P773" i="4"/>
  <c r="Q773" i="4"/>
  <c r="R773" i="4"/>
  <c r="S773" i="4"/>
  <c r="L774" i="4"/>
  <c r="M774" i="4"/>
  <c r="N774" i="4"/>
  <c r="O774" i="4"/>
  <c r="P774" i="4"/>
  <c r="Q774" i="4"/>
  <c r="R774" i="4"/>
  <c r="S774" i="4"/>
  <c r="L775" i="4"/>
  <c r="M775" i="4"/>
  <c r="N775" i="4"/>
  <c r="O775" i="4"/>
  <c r="P775" i="4"/>
  <c r="Q775" i="4"/>
  <c r="R775" i="4"/>
  <c r="S775" i="4"/>
  <c r="L776" i="4"/>
  <c r="M776" i="4"/>
  <c r="N776" i="4"/>
  <c r="O776" i="4"/>
  <c r="P776" i="4"/>
  <c r="Q776" i="4"/>
  <c r="R776" i="4"/>
  <c r="S776" i="4"/>
  <c r="L777" i="4"/>
  <c r="M777" i="4"/>
  <c r="N777" i="4"/>
  <c r="O777" i="4"/>
  <c r="P777" i="4"/>
  <c r="Q777" i="4"/>
  <c r="R777" i="4"/>
  <c r="S777" i="4"/>
  <c r="L778" i="4"/>
  <c r="M778" i="4"/>
  <c r="N778" i="4"/>
  <c r="O778" i="4"/>
  <c r="P778" i="4"/>
  <c r="Q778" i="4"/>
  <c r="R778" i="4"/>
  <c r="S778" i="4"/>
  <c r="L779" i="4"/>
  <c r="M779" i="4"/>
  <c r="N779" i="4"/>
  <c r="O779" i="4"/>
  <c r="P779" i="4"/>
  <c r="Q779" i="4"/>
  <c r="R779" i="4"/>
  <c r="S779" i="4"/>
  <c r="L780" i="4"/>
  <c r="M780" i="4"/>
  <c r="N780" i="4"/>
  <c r="O780" i="4"/>
  <c r="P780" i="4"/>
  <c r="Q780" i="4"/>
  <c r="R780" i="4"/>
  <c r="S780" i="4"/>
  <c r="L781" i="4"/>
  <c r="M781" i="4"/>
  <c r="N781" i="4"/>
  <c r="O781" i="4"/>
  <c r="P781" i="4"/>
  <c r="Q781" i="4"/>
  <c r="R781" i="4"/>
  <c r="S781" i="4"/>
  <c r="L782" i="4"/>
  <c r="M782" i="4"/>
  <c r="N782" i="4"/>
  <c r="O782" i="4"/>
  <c r="P782" i="4"/>
  <c r="Q782" i="4"/>
  <c r="R782" i="4"/>
  <c r="S782" i="4"/>
  <c r="L783" i="4"/>
  <c r="M783" i="4"/>
  <c r="N783" i="4"/>
  <c r="O783" i="4"/>
  <c r="P783" i="4"/>
  <c r="Q783" i="4"/>
  <c r="R783" i="4"/>
  <c r="S783" i="4"/>
  <c r="L784" i="4"/>
  <c r="M784" i="4"/>
  <c r="N784" i="4"/>
  <c r="O784" i="4"/>
  <c r="P784" i="4"/>
  <c r="Q784" i="4"/>
  <c r="R784" i="4"/>
  <c r="S784" i="4"/>
  <c r="L785" i="4"/>
  <c r="M785" i="4"/>
  <c r="N785" i="4"/>
  <c r="O785" i="4"/>
  <c r="P785" i="4"/>
  <c r="Q785" i="4"/>
  <c r="R785" i="4"/>
  <c r="S785" i="4"/>
  <c r="L786" i="4"/>
  <c r="M786" i="4"/>
  <c r="N786" i="4"/>
  <c r="O786" i="4"/>
  <c r="P786" i="4"/>
  <c r="Q786" i="4"/>
  <c r="R786" i="4"/>
  <c r="S786" i="4"/>
  <c r="L787" i="4"/>
  <c r="M787" i="4"/>
  <c r="N787" i="4"/>
  <c r="O787" i="4"/>
  <c r="P787" i="4"/>
  <c r="Q787" i="4"/>
  <c r="R787" i="4"/>
  <c r="S787" i="4"/>
  <c r="L788" i="4"/>
  <c r="M788" i="4"/>
  <c r="N788" i="4"/>
  <c r="O788" i="4"/>
  <c r="P788" i="4"/>
  <c r="Q788" i="4"/>
  <c r="R788" i="4"/>
  <c r="S788" i="4"/>
  <c r="L789" i="4"/>
  <c r="M789" i="4"/>
  <c r="N789" i="4"/>
  <c r="O789" i="4"/>
  <c r="P789" i="4"/>
  <c r="Q789" i="4"/>
  <c r="R789" i="4"/>
  <c r="S789" i="4"/>
  <c r="L790" i="4"/>
  <c r="M790" i="4"/>
  <c r="N790" i="4"/>
  <c r="O790" i="4"/>
  <c r="P790" i="4"/>
  <c r="Q790" i="4"/>
  <c r="R790" i="4"/>
  <c r="S790" i="4"/>
  <c r="L791" i="4"/>
  <c r="M791" i="4"/>
  <c r="N791" i="4"/>
  <c r="O791" i="4"/>
  <c r="P791" i="4"/>
  <c r="Q791" i="4"/>
  <c r="R791" i="4"/>
  <c r="S791" i="4"/>
  <c r="L792" i="4"/>
  <c r="M792" i="4"/>
  <c r="N792" i="4"/>
  <c r="O792" i="4"/>
  <c r="P792" i="4"/>
  <c r="Q792" i="4"/>
  <c r="R792" i="4"/>
  <c r="S792" i="4"/>
  <c r="L793" i="4"/>
  <c r="M793" i="4"/>
  <c r="N793" i="4"/>
  <c r="O793" i="4"/>
  <c r="P793" i="4"/>
  <c r="Q793" i="4"/>
  <c r="R793" i="4"/>
  <c r="S793" i="4"/>
  <c r="L794" i="4"/>
  <c r="M794" i="4"/>
  <c r="N794" i="4"/>
  <c r="O794" i="4"/>
  <c r="P794" i="4"/>
  <c r="Q794" i="4"/>
  <c r="R794" i="4"/>
  <c r="S794" i="4"/>
  <c r="L795" i="4"/>
  <c r="M795" i="4"/>
  <c r="N795" i="4"/>
  <c r="O795" i="4"/>
  <c r="P795" i="4"/>
  <c r="Q795" i="4"/>
  <c r="R795" i="4"/>
  <c r="S795" i="4"/>
  <c r="L796" i="4"/>
  <c r="M796" i="4"/>
  <c r="N796" i="4"/>
  <c r="O796" i="4"/>
  <c r="P796" i="4"/>
  <c r="Q796" i="4"/>
  <c r="R796" i="4"/>
  <c r="S796" i="4"/>
  <c r="L797" i="4"/>
  <c r="M797" i="4"/>
  <c r="N797" i="4"/>
  <c r="O797" i="4"/>
  <c r="P797" i="4"/>
  <c r="Q797" i="4"/>
  <c r="R797" i="4"/>
  <c r="S797" i="4"/>
  <c r="L798" i="4"/>
  <c r="M798" i="4"/>
  <c r="N798" i="4"/>
  <c r="O798" i="4"/>
  <c r="P798" i="4"/>
  <c r="Q798" i="4"/>
  <c r="R798" i="4"/>
  <c r="S798" i="4"/>
  <c r="L799" i="4"/>
  <c r="M799" i="4"/>
  <c r="N799" i="4"/>
  <c r="O799" i="4"/>
  <c r="P799" i="4"/>
  <c r="Q799" i="4"/>
  <c r="R799" i="4"/>
  <c r="S799" i="4"/>
  <c r="L800" i="4"/>
  <c r="M800" i="4"/>
  <c r="N800" i="4"/>
  <c r="O800" i="4"/>
  <c r="P800" i="4"/>
  <c r="Q800" i="4"/>
  <c r="R800" i="4"/>
  <c r="S800" i="4"/>
  <c r="L801" i="4"/>
  <c r="M801" i="4"/>
  <c r="N801" i="4"/>
  <c r="O801" i="4"/>
  <c r="P801" i="4"/>
  <c r="Q801" i="4"/>
  <c r="R801" i="4"/>
  <c r="S801" i="4"/>
  <c r="L802" i="4"/>
  <c r="M802" i="4"/>
  <c r="N802" i="4"/>
  <c r="O802" i="4"/>
  <c r="P802" i="4"/>
  <c r="Q802" i="4"/>
  <c r="R802" i="4"/>
  <c r="S802" i="4"/>
  <c r="L803" i="4"/>
  <c r="M803" i="4"/>
  <c r="N803" i="4"/>
  <c r="O803" i="4"/>
  <c r="P803" i="4"/>
  <c r="Q803" i="4"/>
  <c r="R803" i="4"/>
  <c r="S803" i="4"/>
  <c r="L804" i="4"/>
  <c r="M804" i="4"/>
  <c r="N804" i="4"/>
  <c r="O804" i="4"/>
  <c r="P804" i="4"/>
  <c r="Q804" i="4"/>
  <c r="R804" i="4"/>
  <c r="S804" i="4"/>
  <c r="L805" i="4"/>
  <c r="M805" i="4"/>
  <c r="N805" i="4"/>
  <c r="O805" i="4"/>
  <c r="P805" i="4"/>
  <c r="Q805" i="4"/>
  <c r="R805" i="4"/>
  <c r="S805" i="4"/>
  <c r="L806" i="4"/>
  <c r="M806" i="4"/>
  <c r="N806" i="4"/>
  <c r="O806" i="4"/>
  <c r="P806" i="4"/>
  <c r="Q806" i="4"/>
  <c r="R806" i="4"/>
  <c r="S806" i="4"/>
  <c r="L807" i="4"/>
  <c r="M807" i="4"/>
  <c r="N807" i="4"/>
  <c r="O807" i="4"/>
  <c r="P807" i="4"/>
  <c r="Q807" i="4"/>
  <c r="R807" i="4"/>
  <c r="S807" i="4"/>
  <c r="L808" i="4"/>
  <c r="M808" i="4"/>
  <c r="N808" i="4"/>
  <c r="O808" i="4"/>
  <c r="P808" i="4"/>
  <c r="Q808" i="4"/>
  <c r="R808" i="4"/>
  <c r="S808" i="4"/>
  <c r="L809" i="4"/>
  <c r="M809" i="4"/>
  <c r="N809" i="4"/>
  <c r="O809" i="4"/>
  <c r="P809" i="4"/>
  <c r="Q809" i="4"/>
  <c r="R809" i="4"/>
  <c r="S809" i="4"/>
  <c r="L810" i="4"/>
  <c r="M810" i="4"/>
  <c r="N810" i="4"/>
  <c r="O810" i="4"/>
  <c r="P810" i="4"/>
  <c r="Q810" i="4"/>
  <c r="R810" i="4"/>
  <c r="S810" i="4"/>
  <c r="L811" i="4"/>
  <c r="M811" i="4"/>
  <c r="N811" i="4"/>
  <c r="O811" i="4"/>
  <c r="P811" i="4"/>
  <c r="Q811" i="4"/>
  <c r="R811" i="4"/>
  <c r="S811" i="4"/>
  <c r="L812" i="4"/>
  <c r="M812" i="4"/>
  <c r="N812" i="4"/>
  <c r="O812" i="4"/>
  <c r="P812" i="4"/>
  <c r="Q812" i="4"/>
  <c r="R812" i="4"/>
  <c r="S812" i="4"/>
  <c r="L813" i="4"/>
  <c r="M813" i="4"/>
  <c r="N813" i="4"/>
  <c r="O813" i="4"/>
  <c r="P813" i="4"/>
  <c r="Q813" i="4"/>
  <c r="R813" i="4"/>
  <c r="S813" i="4"/>
  <c r="L814" i="4"/>
  <c r="M814" i="4"/>
  <c r="N814" i="4"/>
  <c r="O814" i="4"/>
  <c r="P814" i="4"/>
  <c r="Q814" i="4"/>
  <c r="R814" i="4"/>
  <c r="S814" i="4"/>
  <c r="L815" i="4"/>
  <c r="M815" i="4"/>
  <c r="N815" i="4"/>
  <c r="O815" i="4"/>
  <c r="P815" i="4"/>
  <c r="Q815" i="4"/>
  <c r="R815" i="4"/>
  <c r="S815" i="4"/>
  <c r="L816" i="4"/>
  <c r="M816" i="4"/>
  <c r="N816" i="4"/>
  <c r="O816" i="4"/>
  <c r="P816" i="4"/>
  <c r="Q816" i="4"/>
  <c r="R816" i="4"/>
  <c r="S816" i="4"/>
  <c r="L817" i="4"/>
  <c r="M817" i="4"/>
  <c r="N817" i="4"/>
  <c r="O817" i="4"/>
  <c r="P817" i="4"/>
  <c r="Q817" i="4"/>
  <c r="R817" i="4"/>
  <c r="S817" i="4"/>
  <c r="L818" i="4"/>
  <c r="M818" i="4"/>
  <c r="N818" i="4"/>
  <c r="O818" i="4"/>
  <c r="P818" i="4"/>
  <c r="Q818" i="4"/>
  <c r="R818" i="4"/>
  <c r="S818" i="4"/>
  <c r="L819" i="4"/>
  <c r="M819" i="4"/>
  <c r="N819" i="4"/>
  <c r="O819" i="4"/>
  <c r="P819" i="4"/>
  <c r="Q819" i="4"/>
  <c r="R819" i="4"/>
  <c r="S819" i="4"/>
  <c r="L820" i="4"/>
  <c r="M820" i="4"/>
  <c r="N820" i="4"/>
  <c r="O820" i="4"/>
  <c r="P820" i="4"/>
  <c r="Q820" i="4"/>
  <c r="R820" i="4"/>
  <c r="S820" i="4"/>
  <c r="L821" i="4"/>
  <c r="M821" i="4"/>
  <c r="N821" i="4"/>
  <c r="O821" i="4"/>
  <c r="P821" i="4"/>
  <c r="Q821" i="4"/>
  <c r="R821" i="4"/>
  <c r="S821" i="4"/>
  <c r="L822" i="4"/>
  <c r="M822" i="4"/>
  <c r="N822" i="4"/>
  <c r="O822" i="4"/>
  <c r="P822" i="4"/>
  <c r="Q822" i="4"/>
  <c r="R822" i="4"/>
  <c r="S822" i="4"/>
  <c r="L823" i="4"/>
  <c r="M823" i="4"/>
  <c r="N823" i="4"/>
  <c r="O823" i="4"/>
  <c r="P823" i="4"/>
  <c r="Q823" i="4"/>
  <c r="R823" i="4"/>
  <c r="S823" i="4"/>
  <c r="L824" i="4"/>
  <c r="M824" i="4"/>
  <c r="N824" i="4"/>
  <c r="O824" i="4"/>
  <c r="P824" i="4"/>
  <c r="Q824" i="4"/>
  <c r="R824" i="4"/>
  <c r="S824" i="4"/>
  <c r="L825" i="4"/>
  <c r="M825" i="4"/>
  <c r="N825" i="4"/>
  <c r="O825" i="4"/>
  <c r="P825" i="4"/>
  <c r="Q825" i="4"/>
  <c r="R825" i="4"/>
  <c r="S825" i="4"/>
  <c r="L826" i="4"/>
  <c r="M826" i="4"/>
  <c r="N826" i="4"/>
  <c r="O826" i="4"/>
  <c r="P826" i="4"/>
  <c r="Q826" i="4"/>
  <c r="R826" i="4"/>
  <c r="S826" i="4"/>
  <c r="L827" i="4"/>
  <c r="M827" i="4"/>
  <c r="N827" i="4"/>
  <c r="O827" i="4"/>
  <c r="P827" i="4"/>
  <c r="Q827" i="4"/>
  <c r="R827" i="4"/>
  <c r="S827" i="4"/>
  <c r="L828" i="4"/>
  <c r="M828" i="4"/>
  <c r="N828" i="4"/>
  <c r="O828" i="4"/>
  <c r="P828" i="4"/>
  <c r="Q828" i="4"/>
  <c r="R828" i="4"/>
  <c r="S828" i="4"/>
  <c r="L829" i="4"/>
  <c r="M829" i="4"/>
  <c r="N829" i="4"/>
  <c r="O829" i="4"/>
  <c r="P829" i="4"/>
  <c r="Q829" i="4"/>
  <c r="R829" i="4"/>
  <c r="S829" i="4"/>
  <c r="L830" i="4"/>
  <c r="M830" i="4"/>
  <c r="N830" i="4"/>
  <c r="O830" i="4"/>
  <c r="P830" i="4"/>
  <c r="Q830" i="4"/>
  <c r="R830" i="4"/>
  <c r="S830" i="4"/>
  <c r="L831" i="4"/>
  <c r="M831" i="4"/>
  <c r="N831" i="4"/>
  <c r="O831" i="4"/>
  <c r="P831" i="4"/>
  <c r="Q831" i="4"/>
  <c r="R831" i="4"/>
  <c r="S831" i="4"/>
  <c r="L832" i="4"/>
  <c r="M832" i="4"/>
  <c r="N832" i="4"/>
  <c r="O832" i="4"/>
  <c r="P832" i="4"/>
  <c r="Q832" i="4"/>
  <c r="R832" i="4"/>
  <c r="S832" i="4"/>
  <c r="L833" i="4"/>
  <c r="M833" i="4"/>
  <c r="N833" i="4"/>
  <c r="O833" i="4"/>
  <c r="P833" i="4"/>
  <c r="Q833" i="4"/>
  <c r="R833" i="4"/>
  <c r="S833" i="4"/>
  <c r="L834" i="4"/>
  <c r="M834" i="4"/>
  <c r="N834" i="4"/>
  <c r="O834" i="4"/>
  <c r="P834" i="4"/>
  <c r="Q834" i="4"/>
  <c r="R834" i="4"/>
  <c r="S834" i="4"/>
  <c r="L835" i="4"/>
  <c r="M835" i="4"/>
  <c r="N835" i="4"/>
  <c r="O835" i="4"/>
  <c r="P835" i="4"/>
  <c r="Q835" i="4"/>
  <c r="R835" i="4"/>
  <c r="S835" i="4"/>
  <c r="L836" i="4"/>
  <c r="M836" i="4"/>
  <c r="N836" i="4"/>
  <c r="O836" i="4"/>
  <c r="P836" i="4"/>
  <c r="Q836" i="4"/>
  <c r="R836" i="4"/>
  <c r="S836" i="4"/>
  <c r="L837" i="4"/>
  <c r="M837" i="4"/>
  <c r="N837" i="4"/>
  <c r="O837" i="4"/>
  <c r="P837" i="4"/>
  <c r="Q837" i="4"/>
  <c r="R837" i="4"/>
  <c r="S837" i="4"/>
  <c r="L838" i="4"/>
  <c r="M838" i="4"/>
  <c r="N838" i="4"/>
  <c r="O838" i="4"/>
  <c r="P838" i="4"/>
  <c r="Q838" i="4"/>
  <c r="R838" i="4"/>
  <c r="S838" i="4"/>
  <c r="L839" i="4"/>
  <c r="M839" i="4"/>
  <c r="N839" i="4"/>
  <c r="O839" i="4"/>
  <c r="P839" i="4"/>
  <c r="Q839" i="4"/>
  <c r="R839" i="4"/>
  <c r="S839" i="4"/>
  <c r="L840" i="4"/>
  <c r="M840" i="4"/>
  <c r="N840" i="4"/>
  <c r="O840" i="4"/>
  <c r="P840" i="4"/>
  <c r="Q840" i="4"/>
  <c r="R840" i="4"/>
  <c r="S840" i="4"/>
  <c r="L841" i="4"/>
  <c r="M841" i="4"/>
  <c r="N841" i="4"/>
  <c r="O841" i="4"/>
  <c r="P841" i="4"/>
  <c r="Q841" i="4"/>
  <c r="R841" i="4"/>
  <c r="S841" i="4"/>
  <c r="L842" i="4"/>
  <c r="M842" i="4"/>
  <c r="N842" i="4"/>
  <c r="O842" i="4"/>
  <c r="P842" i="4"/>
  <c r="Q842" i="4"/>
  <c r="R842" i="4"/>
  <c r="S842" i="4"/>
  <c r="L843" i="4"/>
  <c r="M843" i="4"/>
  <c r="N843" i="4"/>
  <c r="O843" i="4"/>
  <c r="P843" i="4"/>
  <c r="Q843" i="4"/>
  <c r="R843" i="4"/>
  <c r="S843" i="4"/>
  <c r="L844" i="4"/>
  <c r="M844" i="4"/>
  <c r="N844" i="4"/>
  <c r="O844" i="4"/>
  <c r="P844" i="4"/>
  <c r="Q844" i="4"/>
  <c r="R844" i="4"/>
  <c r="S844" i="4"/>
  <c r="L845" i="4"/>
  <c r="M845" i="4"/>
  <c r="N845" i="4"/>
  <c r="O845" i="4"/>
  <c r="P845" i="4"/>
  <c r="Q845" i="4"/>
  <c r="R845" i="4"/>
  <c r="S845" i="4"/>
  <c r="L846" i="4"/>
  <c r="M846" i="4"/>
  <c r="N846" i="4"/>
  <c r="O846" i="4"/>
  <c r="P846" i="4"/>
  <c r="Q846" i="4"/>
  <c r="R846" i="4"/>
  <c r="S846" i="4"/>
  <c r="L847" i="4"/>
  <c r="M847" i="4"/>
  <c r="N847" i="4"/>
  <c r="O847" i="4"/>
  <c r="P847" i="4"/>
  <c r="Q847" i="4"/>
  <c r="R847" i="4"/>
  <c r="S847" i="4"/>
  <c r="L848" i="4"/>
  <c r="M848" i="4"/>
  <c r="N848" i="4"/>
  <c r="O848" i="4"/>
  <c r="P848" i="4"/>
  <c r="Q848" i="4"/>
  <c r="R848" i="4"/>
  <c r="S848" i="4"/>
  <c r="L849" i="4"/>
  <c r="M849" i="4"/>
  <c r="N849" i="4"/>
  <c r="O849" i="4"/>
  <c r="P849" i="4"/>
  <c r="Q849" i="4"/>
  <c r="R849" i="4"/>
  <c r="S849" i="4"/>
  <c r="L850" i="4"/>
  <c r="M850" i="4"/>
  <c r="N850" i="4"/>
  <c r="O850" i="4"/>
  <c r="P850" i="4"/>
  <c r="Q850" i="4"/>
  <c r="R850" i="4"/>
  <c r="S850" i="4"/>
  <c r="L851" i="4"/>
  <c r="M851" i="4"/>
  <c r="N851" i="4"/>
  <c r="O851" i="4"/>
  <c r="P851" i="4"/>
  <c r="Q851" i="4"/>
  <c r="R851" i="4"/>
  <c r="S851" i="4"/>
  <c r="L852" i="4"/>
  <c r="M852" i="4"/>
  <c r="N852" i="4"/>
  <c r="O852" i="4"/>
  <c r="P852" i="4"/>
  <c r="Q852" i="4"/>
  <c r="R852" i="4"/>
  <c r="S852" i="4"/>
  <c r="L853" i="4"/>
  <c r="M853" i="4"/>
  <c r="N853" i="4"/>
  <c r="O853" i="4"/>
  <c r="P853" i="4"/>
  <c r="Q853" i="4"/>
  <c r="R853" i="4"/>
  <c r="S853" i="4"/>
  <c r="L854" i="4"/>
  <c r="M854" i="4"/>
  <c r="N854" i="4"/>
  <c r="O854" i="4"/>
  <c r="P854" i="4"/>
  <c r="Q854" i="4"/>
  <c r="R854" i="4"/>
  <c r="S854" i="4"/>
  <c r="L855" i="4"/>
  <c r="M855" i="4"/>
  <c r="N855" i="4"/>
  <c r="O855" i="4"/>
  <c r="P855" i="4"/>
  <c r="Q855" i="4"/>
  <c r="R855" i="4"/>
  <c r="S855" i="4"/>
  <c r="L856" i="4"/>
  <c r="M856" i="4"/>
  <c r="N856" i="4"/>
  <c r="O856" i="4"/>
  <c r="P856" i="4"/>
  <c r="Q856" i="4"/>
  <c r="R856" i="4"/>
  <c r="S856" i="4"/>
  <c r="L857" i="4"/>
  <c r="M857" i="4"/>
  <c r="N857" i="4"/>
  <c r="O857" i="4"/>
  <c r="P857" i="4"/>
  <c r="Q857" i="4"/>
  <c r="R857" i="4"/>
  <c r="S857" i="4"/>
  <c r="L858" i="4"/>
  <c r="M858" i="4"/>
  <c r="N858" i="4"/>
  <c r="O858" i="4"/>
  <c r="P858" i="4"/>
  <c r="Q858" i="4"/>
  <c r="R858" i="4"/>
  <c r="S858" i="4"/>
  <c r="L859" i="4"/>
  <c r="M859" i="4"/>
  <c r="N859" i="4"/>
  <c r="O859" i="4"/>
  <c r="P859" i="4"/>
  <c r="Q859" i="4"/>
  <c r="R859" i="4"/>
  <c r="S859" i="4"/>
  <c r="L860" i="4"/>
  <c r="M860" i="4"/>
  <c r="N860" i="4"/>
  <c r="O860" i="4"/>
  <c r="P860" i="4"/>
  <c r="Q860" i="4"/>
  <c r="R860" i="4"/>
  <c r="S860" i="4"/>
  <c r="L861" i="4"/>
  <c r="M861" i="4"/>
  <c r="N861" i="4"/>
  <c r="O861" i="4"/>
  <c r="P861" i="4"/>
  <c r="Q861" i="4"/>
  <c r="R861" i="4"/>
  <c r="S861" i="4"/>
  <c r="L862" i="4"/>
  <c r="M862" i="4"/>
  <c r="N862" i="4"/>
  <c r="O862" i="4"/>
  <c r="P862" i="4"/>
  <c r="Q862" i="4"/>
  <c r="R862" i="4"/>
  <c r="S862" i="4"/>
  <c r="L863" i="4"/>
  <c r="M863" i="4"/>
  <c r="N863" i="4"/>
  <c r="O863" i="4"/>
  <c r="P863" i="4"/>
  <c r="Q863" i="4"/>
  <c r="R863" i="4"/>
  <c r="S863" i="4"/>
  <c r="L864" i="4"/>
  <c r="M864" i="4"/>
  <c r="N864" i="4"/>
  <c r="O864" i="4"/>
  <c r="P864" i="4"/>
  <c r="Q864" i="4"/>
  <c r="R864" i="4"/>
  <c r="S864" i="4"/>
  <c r="L865" i="4"/>
  <c r="M865" i="4"/>
  <c r="N865" i="4"/>
  <c r="O865" i="4"/>
  <c r="P865" i="4"/>
  <c r="Q865" i="4"/>
  <c r="R865" i="4"/>
  <c r="S865" i="4"/>
  <c r="L866" i="4"/>
  <c r="M866" i="4"/>
  <c r="N866" i="4"/>
  <c r="O866" i="4"/>
  <c r="P866" i="4"/>
  <c r="Q866" i="4"/>
  <c r="R866" i="4"/>
  <c r="S866" i="4"/>
  <c r="L867" i="4"/>
  <c r="M867" i="4"/>
  <c r="N867" i="4"/>
  <c r="O867" i="4"/>
  <c r="P867" i="4"/>
  <c r="Q867" i="4"/>
  <c r="R867" i="4"/>
  <c r="S867" i="4"/>
  <c r="L868" i="4"/>
  <c r="M868" i="4"/>
  <c r="N868" i="4"/>
  <c r="O868" i="4"/>
  <c r="P868" i="4"/>
  <c r="Q868" i="4"/>
  <c r="R868" i="4"/>
  <c r="S868" i="4"/>
  <c r="L869" i="4"/>
  <c r="M869" i="4"/>
  <c r="N869" i="4"/>
  <c r="O869" i="4"/>
  <c r="P869" i="4"/>
  <c r="Q869" i="4"/>
  <c r="R869" i="4"/>
  <c r="S869" i="4"/>
  <c r="L870" i="4"/>
  <c r="M870" i="4"/>
  <c r="N870" i="4"/>
  <c r="O870" i="4"/>
  <c r="P870" i="4"/>
  <c r="Q870" i="4"/>
  <c r="R870" i="4"/>
  <c r="S870" i="4"/>
  <c r="L871" i="4"/>
  <c r="M871" i="4"/>
  <c r="N871" i="4"/>
  <c r="O871" i="4"/>
  <c r="P871" i="4"/>
  <c r="Q871" i="4"/>
  <c r="R871" i="4"/>
  <c r="S871" i="4"/>
  <c r="L872" i="4"/>
  <c r="M872" i="4"/>
  <c r="N872" i="4"/>
  <c r="O872" i="4"/>
  <c r="P872" i="4"/>
  <c r="Q872" i="4"/>
  <c r="R872" i="4"/>
  <c r="S872" i="4"/>
  <c r="L873" i="4"/>
  <c r="M873" i="4"/>
  <c r="N873" i="4"/>
  <c r="O873" i="4"/>
  <c r="P873" i="4"/>
  <c r="Q873" i="4"/>
  <c r="R873" i="4"/>
  <c r="S873" i="4"/>
  <c r="L874" i="4"/>
  <c r="M874" i="4"/>
  <c r="N874" i="4"/>
  <c r="O874" i="4"/>
  <c r="P874" i="4"/>
  <c r="Q874" i="4"/>
  <c r="R874" i="4"/>
  <c r="S874" i="4"/>
  <c r="L875" i="4"/>
  <c r="M875" i="4"/>
  <c r="N875" i="4"/>
  <c r="O875" i="4"/>
  <c r="P875" i="4"/>
  <c r="Q875" i="4"/>
  <c r="R875" i="4"/>
  <c r="S875" i="4"/>
  <c r="L876" i="4"/>
  <c r="M876" i="4"/>
  <c r="N876" i="4"/>
  <c r="O876" i="4"/>
  <c r="P876" i="4"/>
  <c r="Q876" i="4"/>
  <c r="R876" i="4"/>
  <c r="S876" i="4"/>
  <c r="L877" i="4"/>
  <c r="M877" i="4"/>
  <c r="N877" i="4"/>
  <c r="O877" i="4"/>
  <c r="P877" i="4"/>
  <c r="Q877" i="4"/>
  <c r="R877" i="4"/>
  <c r="S877" i="4"/>
  <c r="L878" i="4"/>
  <c r="M878" i="4"/>
  <c r="N878" i="4"/>
  <c r="O878" i="4"/>
  <c r="P878" i="4"/>
  <c r="Q878" i="4"/>
  <c r="R878" i="4"/>
  <c r="S878" i="4"/>
  <c r="L879" i="4"/>
  <c r="M879" i="4"/>
  <c r="N879" i="4"/>
  <c r="O879" i="4"/>
  <c r="P879" i="4"/>
  <c r="Q879" i="4"/>
  <c r="R879" i="4"/>
  <c r="S879" i="4"/>
  <c r="L880" i="4"/>
  <c r="M880" i="4"/>
  <c r="N880" i="4"/>
  <c r="O880" i="4"/>
  <c r="P880" i="4"/>
  <c r="Q880" i="4"/>
  <c r="R880" i="4"/>
  <c r="S880" i="4"/>
  <c r="L881" i="4"/>
  <c r="M881" i="4"/>
  <c r="N881" i="4"/>
  <c r="O881" i="4"/>
  <c r="P881" i="4"/>
  <c r="Q881" i="4"/>
  <c r="R881" i="4"/>
  <c r="S881" i="4"/>
  <c r="L882" i="4"/>
  <c r="M882" i="4"/>
  <c r="N882" i="4"/>
  <c r="O882" i="4"/>
  <c r="P882" i="4"/>
  <c r="Q882" i="4"/>
  <c r="R882" i="4"/>
  <c r="S882" i="4"/>
  <c r="L883" i="4"/>
  <c r="M883" i="4"/>
  <c r="N883" i="4"/>
  <c r="O883" i="4"/>
  <c r="P883" i="4"/>
  <c r="Q883" i="4"/>
  <c r="R883" i="4"/>
  <c r="S883" i="4"/>
  <c r="L884" i="4"/>
  <c r="M884" i="4"/>
  <c r="N884" i="4"/>
  <c r="O884" i="4"/>
  <c r="P884" i="4"/>
  <c r="Q884" i="4"/>
  <c r="R884" i="4"/>
  <c r="S884" i="4"/>
  <c r="L885" i="4"/>
  <c r="M885" i="4"/>
  <c r="N885" i="4"/>
  <c r="O885" i="4"/>
  <c r="P885" i="4"/>
  <c r="Q885" i="4"/>
  <c r="R885" i="4"/>
  <c r="S885" i="4"/>
  <c r="L886" i="4"/>
  <c r="M886" i="4"/>
  <c r="N886" i="4"/>
  <c r="O886" i="4"/>
  <c r="P886" i="4"/>
  <c r="Q886" i="4"/>
  <c r="R886" i="4"/>
  <c r="S886" i="4"/>
  <c r="L887" i="4"/>
  <c r="M887" i="4"/>
  <c r="N887" i="4"/>
  <c r="O887" i="4"/>
  <c r="P887" i="4"/>
  <c r="Q887" i="4"/>
  <c r="R887" i="4"/>
  <c r="S887" i="4"/>
  <c r="L888" i="4"/>
  <c r="M888" i="4"/>
  <c r="N888" i="4"/>
  <c r="O888" i="4"/>
  <c r="P888" i="4"/>
  <c r="Q888" i="4"/>
  <c r="R888" i="4"/>
  <c r="S888" i="4"/>
  <c r="L889" i="4"/>
  <c r="M889" i="4"/>
  <c r="N889" i="4"/>
  <c r="O889" i="4"/>
  <c r="P889" i="4"/>
  <c r="Q889" i="4"/>
  <c r="R889" i="4"/>
  <c r="S889" i="4"/>
  <c r="L890" i="4"/>
  <c r="M890" i="4"/>
  <c r="N890" i="4"/>
  <c r="O890" i="4"/>
  <c r="P890" i="4"/>
  <c r="Q890" i="4"/>
  <c r="R890" i="4"/>
  <c r="S890" i="4"/>
  <c r="L891" i="4"/>
  <c r="M891" i="4"/>
  <c r="N891" i="4"/>
  <c r="O891" i="4"/>
  <c r="P891" i="4"/>
  <c r="Q891" i="4"/>
  <c r="R891" i="4"/>
  <c r="S891" i="4"/>
  <c r="L892" i="4"/>
  <c r="M892" i="4"/>
  <c r="N892" i="4"/>
  <c r="O892" i="4"/>
  <c r="P892" i="4"/>
  <c r="Q892" i="4"/>
  <c r="R892" i="4"/>
  <c r="S892" i="4"/>
  <c r="L893" i="4"/>
  <c r="M893" i="4"/>
  <c r="N893" i="4"/>
  <c r="O893" i="4"/>
  <c r="P893" i="4"/>
  <c r="Q893" i="4"/>
  <c r="R893" i="4"/>
  <c r="S893" i="4"/>
  <c r="L894" i="4"/>
  <c r="M894" i="4"/>
  <c r="N894" i="4"/>
  <c r="O894" i="4"/>
  <c r="P894" i="4"/>
  <c r="Q894" i="4"/>
  <c r="R894" i="4"/>
  <c r="S894" i="4"/>
  <c r="L895" i="4"/>
  <c r="M895" i="4"/>
  <c r="N895" i="4"/>
  <c r="O895" i="4"/>
  <c r="P895" i="4"/>
  <c r="Q895" i="4"/>
  <c r="R895" i="4"/>
  <c r="S895" i="4"/>
  <c r="L896" i="4"/>
  <c r="M896" i="4"/>
  <c r="N896" i="4"/>
  <c r="O896" i="4"/>
  <c r="P896" i="4"/>
  <c r="Q896" i="4"/>
  <c r="R896" i="4"/>
  <c r="S896" i="4"/>
  <c r="L897" i="4"/>
  <c r="M897" i="4"/>
  <c r="N897" i="4"/>
  <c r="O897" i="4"/>
  <c r="P897" i="4"/>
  <c r="Q897" i="4"/>
  <c r="R897" i="4"/>
  <c r="S897" i="4"/>
  <c r="L898" i="4"/>
  <c r="M898" i="4"/>
  <c r="N898" i="4"/>
  <c r="O898" i="4"/>
  <c r="P898" i="4"/>
  <c r="Q898" i="4"/>
  <c r="R898" i="4"/>
  <c r="S898" i="4"/>
  <c r="L899" i="4"/>
  <c r="M899" i="4"/>
  <c r="N899" i="4"/>
  <c r="O899" i="4"/>
  <c r="P899" i="4"/>
  <c r="Q899" i="4"/>
  <c r="R899" i="4"/>
  <c r="S899" i="4"/>
  <c r="L900" i="4"/>
  <c r="M900" i="4"/>
  <c r="N900" i="4"/>
  <c r="O900" i="4"/>
  <c r="P900" i="4"/>
  <c r="Q900" i="4"/>
  <c r="R900" i="4"/>
  <c r="S900" i="4"/>
  <c r="L901" i="4"/>
  <c r="M901" i="4"/>
  <c r="N901" i="4"/>
  <c r="O901" i="4"/>
  <c r="P901" i="4"/>
  <c r="Q901" i="4"/>
  <c r="R901" i="4"/>
  <c r="S901" i="4"/>
  <c r="L902" i="4"/>
  <c r="M902" i="4"/>
  <c r="N902" i="4"/>
  <c r="O902" i="4"/>
  <c r="P902" i="4"/>
  <c r="Q902" i="4"/>
  <c r="R902" i="4"/>
  <c r="S902" i="4"/>
  <c r="L903" i="4"/>
  <c r="M903" i="4"/>
  <c r="N903" i="4"/>
  <c r="O903" i="4"/>
  <c r="P903" i="4"/>
  <c r="Q903" i="4"/>
  <c r="R903" i="4"/>
  <c r="S903" i="4"/>
  <c r="L904" i="4"/>
  <c r="M904" i="4"/>
  <c r="N904" i="4"/>
  <c r="O904" i="4"/>
  <c r="P904" i="4"/>
  <c r="Q904" i="4"/>
  <c r="R904" i="4"/>
  <c r="S904" i="4"/>
  <c r="L905" i="4"/>
  <c r="M905" i="4"/>
  <c r="N905" i="4"/>
  <c r="O905" i="4"/>
  <c r="P905" i="4"/>
  <c r="Q905" i="4"/>
  <c r="R905" i="4"/>
  <c r="S905" i="4"/>
  <c r="L906" i="4"/>
  <c r="M906" i="4"/>
  <c r="N906" i="4"/>
  <c r="O906" i="4"/>
  <c r="P906" i="4"/>
  <c r="Q906" i="4"/>
  <c r="R906" i="4"/>
  <c r="S906" i="4"/>
  <c r="L907" i="4"/>
  <c r="M907" i="4"/>
  <c r="N907" i="4"/>
  <c r="O907" i="4"/>
  <c r="P907" i="4"/>
  <c r="Q907" i="4"/>
  <c r="R907" i="4"/>
  <c r="S907" i="4"/>
  <c r="L908" i="4"/>
  <c r="M908" i="4"/>
  <c r="N908" i="4"/>
  <c r="O908" i="4"/>
  <c r="P908" i="4"/>
  <c r="Q908" i="4"/>
  <c r="R908" i="4"/>
  <c r="S908" i="4"/>
  <c r="L909" i="4"/>
  <c r="M909" i="4"/>
  <c r="N909" i="4"/>
  <c r="O909" i="4"/>
  <c r="P909" i="4"/>
  <c r="Q909" i="4"/>
  <c r="R909" i="4"/>
  <c r="S909" i="4"/>
  <c r="L910" i="4"/>
  <c r="M910" i="4"/>
  <c r="N910" i="4"/>
  <c r="O910" i="4"/>
  <c r="P910" i="4"/>
  <c r="Q910" i="4"/>
  <c r="R910" i="4"/>
  <c r="S910" i="4"/>
  <c r="L911" i="4"/>
  <c r="M911" i="4"/>
  <c r="N911" i="4"/>
  <c r="O911" i="4"/>
  <c r="P911" i="4"/>
  <c r="Q911" i="4"/>
  <c r="R911" i="4"/>
  <c r="S911" i="4"/>
  <c r="L912" i="4"/>
  <c r="M912" i="4"/>
  <c r="N912" i="4"/>
  <c r="O912" i="4"/>
  <c r="P912" i="4"/>
  <c r="Q912" i="4"/>
  <c r="R912" i="4"/>
  <c r="S912" i="4"/>
  <c r="L913" i="4"/>
  <c r="M913" i="4"/>
  <c r="N913" i="4"/>
  <c r="O913" i="4"/>
  <c r="P913" i="4"/>
  <c r="Q913" i="4"/>
  <c r="R913" i="4"/>
  <c r="S913" i="4"/>
  <c r="L914" i="4"/>
  <c r="M914" i="4"/>
  <c r="N914" i="4"/>
  <c r="O914" i="4"/>
  <c r="P914" i="4"/>
  <c r="Q914" i="4"/>
  <c r="R914" i="4"/>
  <c r="S914" i="4"/>
  <c r="L915" i="4"/>
  <c r="M915" i="4"/>
  <c r="N915" i="4"/>
  <c r="O915" i="4"/>
  <c r="P915" i="4"/>
  <c r="Q915" i="4"/>
  <c r="R915" i="4"/>
  <c r="S915" i="4"/>
  <c r="L916" i="4"/>
  <c r="M916" i="4"/>
  <c r="N916" i="4"/>
  <c r="O916" i="4"/>
  <c r="P916" i="4"/>
  <c r="Q916" i="4"/>
  <c r="R916" i="4"/>
  <c r="S916" i="4"/>
  <c r="L917" i="4"/>
  <c r="M917" i="4"/>
  <c r="N917" i="4"/>
  <c r="O917" i="4"/>
  <c r="P917" i="4"/>
  <c r="Q917" i="4"/>
  <c r="R917" i="4"/>
  <c r="S917" i="4"/>
  <c r="L918" i="4"/>
  <c r="M918" i="4"/>
  <c r="N918" i="4"/>
  <c r="O918" i="4"/>
  <c r="P918" i="4"/>
  <c r="Q918" i="4"/>
  <c r="R918" i="4"/>
  <c r="S918" i="4"/>
  <c r="L919" i="4"/>
  <c r="M919" i="4"/>
  <c r="N919" i="4"/>
  <c r="O919" i="4"/>
  <c r="P919" i="4"/>
  <c r="Q919" i="4"/>
  <c r="R919" i="4"/>
  <c r="S919" i="4"/>
  <c r="L920" i="4"/>
  <c r="M920" i="4"/>
  <c r="N920" i="4"/>
  <c r="O920" i="4"/>
  <c r="P920" i="4"/>
  <c r="Q920" i="4"/>
  <c r="R920" i="4"/>
  <c r="S920" i="4"/>
  <c r="L921" i="4"/>
  <c r="M921" i="4"/>
  <c r="N921" i="4"/>
  <c r="O921" i="4"/>
  <c r="P921" i="4"/>
  <c r="Q921" i="4"/>
  <c r="R921" i="4"/>
  <c r="S921" i="4"/>
  <c r="L922" i="4"/>
  <c r="M922" i="4"/>
  <c r="N922" i="4"/>
  <c r="O922" i="4"/>
  <c r="P922" i="4"/>
  <c r="Q922" i="4"/>
  <c r="R922" i="4"/>
  <c r="S922" i="4"/>
  <c r="L923" i="4"/>
  <c r="M923" i="4"/>
  <c r="N923" i="4"/>
  <c r="O923" i="4"/>
  <c r="P923" i="4"/>
  <c r="Q923" i="4"/>
  <c r="R923" i="4"/>
  <c r="S923" i="4"/>
  <c r="L924" i="4"/>
  <c r="M924" i="4"/>
  <c r="N924" i="4"/>
  <c r="O924" i="4"/>
  <c r="P924" i="4"/>
  <c r="Q924" i="4"/>
  <c r="R924" i="4"/>
  <c r="S924" i="4"/>
  <c r="L925" i="4"/>
  <c r="M925" i="4"/>
  <c r="N925" i="4"/>
  <c r="O925" i="4"/>
  <c r="P925" i="4"/>
  <c r="Q925" i="4"/>
  <c r="R925" i="4"/>
  <c r="S925" i="4"/>
  <c r="L926" i="4"/>
  <c r="M926" i="4"/>
  <c r="N926" i="4"/>
  <c r="O926" i="4"/>
  <c r="P926" i="4"/>
  <c r="Q926" i="4"/>
  <c r="R926" i="4"/>
  <c r="S926" i="4"/>
  <c r="L927" i="4"/>
  <c r="M927" i="4"/>
  <c r="N927" i="4"/>
  <c r="O927" i="4"/>
  <c r="P927" i="4"/>
  <c r="Q927" i="4"/>
  <c r="R927" i="4"/>
  <c r="S927" i="4"/>
  <c r="L928" i="4"/>
  <c r="M928" i="4"/>
  <c r="N928" i="4"/>
  <c r="O928" i="4"/>
  <c r="P928" i="4"/>
  <c r="Q928" i="4"/>
  <c r="R928" i="4"/>
  <c r="S928" i="4"/>
  <c r="L929" i="4"/>
  <c r="M929" i="4"/>
  <c r="N929" i="4"/>
  <c r="O929" i="4"/>
  <c r="P929" i="4"/>
  <c r="Q929" i="4"/>
  <c r="R929" i="4"/>
  <c r="S929" i="4"/>
  <c r="L930" i="4"/>
  <c r="M930" i="4"/>
  <c r="N930" i="4"/>
  <c r="O930" i="4"/>
  <c r="P930" i="4"/>
  <c r="Q930" i="4"/>
  <c r="R930" i="4"/>
  <c r="S930" i="4"/>
  <c r="L931" i="4"/>
  <c r="M931" i="4"/>
  <c r="N931" i="4"/>
  <c r="O931" i="4"/>
  <c r="P931" i="4"/>
  <c r="Q931" i="4"/>
  <c r="R931" i="4"/>
  <c r="S931" i="4"/>
  <c r="L932" i="4"/>
  <c r="M932" i="4"/>
  <c r="N932" i="4"/>
  <c r="O932" i="4"/>
  <c r="P932" i="4"/>
  <c r="Q932" i="4"/>
  <c r="R932" i="4"/>
  <c r="S932" i="4"/>
  <c r="L933" i="4"/>
  <c r="M933" i="4"/>
  <c r="N933" i="4"/>
  <c r="O933" i="4"/>
  <c r="P933" i="4"/>
  <c r="Q933" i="4"/>
  <c r="R933" i="4"/>
  <c r="S933" i="4"/>
  <c r="L934" i="4"/>
  <c r="M934" i="4"/>
  <c r="N934" i="4"/>
  <c r="O934" i="4"/>
  <c r="P934" i="4"/>
  <c r="Q934" i="4"/>
  <c r="R934" i="4"/>
  <c r="S934" i="4"/>
  <c r="L935" i="4"/>
  <c r="M935" i="4"/>
  <c r="N935" i="4"/>
  <c r="O935" i="4"/>
  <c r="P935" i="4"/>
  <c r="Q935" i="4"/>
  <c r="R935" i="4"/>
  <c r="S935" i="4"/>
  <c r="L936" i="4"/>
  <c r="M936" i="4"/>
  <c r="N936" i="4"/>
  <c r="O936" i="4"/>
  <c r="P936" i="4"/>
  <c r="Q936" i="4"/>
  <c r="R936" i="4"/>
  <c r="S936" i="4"/>
  <c r="L937" i="4"/>
  <c r="M937" i="4"/>
  <c r="N937" i="4"/>
  <c r="O937" i="4"/>
  <c r="P937" i="4"/>
  <c r="Q937" i="4"/>
  <c r="R937" i="4"/>
  <c r="S937" i="4"/>
  <c r="L938" i="4"/>
  <c r="M938" i="4"/>
  <c r="N938" i="4"/>
  <c r="O938" i="4"/>
  <c r="P938" i="4"/>
  <c r="Q938" i="4"/>
  <c r="R938" i="4"/>
  <c r="S938" i="4"/>
  <c r="L939" i="4"/>
  <c r="M939" i="4"/>
  <c r="N939" i="4"/>
  <c r="O939" i="4"/>
  <c r="P939" i="4"/>
  <c r="Q939" i="4"/>
  <c r="R939" i="4"/>
  <c r="S939" i="4"/>
  <c r="L940" i="4"/>
  <c r="M940" i="4"/>
  <c r="N940" i="4"/>
  <c r="O940" i="4"/>
  <c r="P940" i="4"/>
  <c r="Q940" i="4"/>
  <c r="R940" i="4"/>
  <c r="S940" i="4"/>
  <c r="L941" i="4"/>
  <c r="M941" i="4"/>
  <c r="N941" i="4"/>
  <c r="O941" i="4"/>
  <c r="P941" i="4"/>
  <c r="Q941" i="4"/>
  <c r="R941" i="4"/>
  <c r="S941" i="4"/>
  <c r="L942" i="4"/>
  <c r="M942" i="4"/>
  <c r="N942" i="4"/>
  <c r="O942" i="4"/>
  <c r="P942" i="4"/>
  <c r="Q942" i="4"/>
  <c r="R942" i="4"/>
  <c r="S942" i="4"/>
  <c r="L943" i="4"/>
  <c r="M943" i="4"/>
  <c r="N943" i="4"/>
  <c r="O943" i="4"/>
  <c r="P943" i="4"/>
  <c r="Q943" i="4"/>
  <c r="R943" i="4"/>
  <c r="S943" i="4"/>
  <c r="L944" i="4"/>
  <c r="M944" i="4"/>
  <c r="N944" i="4"/>
  <c r="O944" i="4"/>
  <c r="P944" i="4"/>
  <c r="Q944" i="4"/>
  <c r="R944" i="4"/>
  <c r="S944" i="4"/>
  <c r="L945" i="4"/>
  <c r="M945" i="4"/>
  <c r="N945" i="4"/>
  <c r="O945" i="4"/>
  <c r="P945" i="4"/>
  <c r="Q945" i="4"/>
  <c r="R945" i="4"/>
  <c r="S945" i="4"/>
  <c r="L946" i="4"/>
  <c r="M946" i="4"/>
  <c r="N946" i="4"/>
  <c r="O946" i="4"/>
  <c r="P946" i="4"/>
  <c r="Q946" i="4"/>
  <c r="R946" i="4"/>
  <c r="S946" i="4"/>
  <c r="L947" i="4"/>
  <c r="M947" i="4"/>
  <c r="N947" i="4"/>
  <c r="O947" i="4"/>
  <c r="P947" i="4"/>
  <c r="Q947" i="4"/>
  <c r="R947" i="4"/>
  <c r="S947" i="4"/>
  <c r="L948" i="4"/>
  <c r="M948" i="4"/>
  <c r="N948" i="4"/>
  <c r="O948" i="4"/>
  <c r="P948" i="4"/>
  <c r="Q948" i="4"/>
  <c r="R948" i="4"/>
  <c r="S948" i="4"/>
  <c r="L949" i="4"/>
  <c r="M949" i="4"/>
  <c r="N949" i="4"/>
  <c r="O949" i="4"/>
  <c r="P949" i="4"/>
  <c r="Q949" i="4"/>
  <c r="R949" i="4"/>
  <c r="S949" i="4"/>
  <c r="L950" i="4"/>
  <c r="M950" i="4"/>
  <c r="N950" i="4"/>
  <c r="O950" i="4"/>
  <c r="P950" i="4"/>
  <c r="Q950" i="4"/>
  <c r="R950" i="4"/>
  <c r="S950" i="4"/>
  <c r="L951" i="4"/>
  <c r="M951" i="4"/>
  <c r="N951" i="4"/>
  <c r="O951" i="4"/>
  <c r="P951" i="4"/>
  <c r="Q951" i="4"/>
  <c r="R951" i="4"/>
  <c r="S951" i="4"/>
  <c r="L952" i="4"/>
  <c r="M952" i="4"/>
  <c r="N952" i="4"/>
  <c r="O952" i="4"/>
  <c r="P952" i="4"/>
  <c r="Q952" i="4"/>
  <c r="R952" i="4"/>
  <c r="S952" i="4"/>
  <c r="L953" i="4"/>
  <c r="M953" i="4"/>
  <c r="N953" i="4"/>
  <c r="O953" i="4"/>
  <c r="P953" i="4"/>
  <c r="Q953" i="4"/>
  <c r="R953" i="4"/>
  <c r="S953" i="4"/>
  <c r="L954" i="4"/>
  <c r="M954" i="4"/>
  <c r="N954" i="4"/>
  <c r="O954" i="4"/>
  <c r="P954" i="4"/>
  <c r="Q954" i="4"/>
  <c r="R954" i="4"/>
  <c r="S954" i="4"/>
  <c r="L955" i="4"/>
  <c r="M955" i="4"/>
  <c r="N955" i="4"/>
  <c r="O955" i="4"/>
  <c r="P955" i="4"/>
  <c r="Q955" i="4"/>
  <c r="R955" i="4"/>
  <c r="S955" i="4"/>
  <c r="L956" i="4"/>
  <c r="M956" i="4"/>
  <c r="N956" i="4"/>
  <c r="O956" i="4"/>
  <c r="P956" i="4"/>
  <c r="Q956" i="4"/>
  <c r="R956" i="4"/>
  <c r="S956" i="4"/>
  <c r="L957" i="4"/>
  <c r="M957" i="4"/>
  <c r="N957" i="4"/>
  <c r="O957" i="4"/>
  <c r="P957" i="4"/>
  <c r="Q957" i="4"/>
  <c r="R957" i="4"/>
  <c r="S957" i="4"/>
  <c r="L958" i="4"/>
  <c r="M958" i="4"/>
  <c r="N958" i="4"/>
  <c r="O958" i="4"/>
  <c r="P958" i="4"/>
  <c r="Q958" i="4"/>
  <c r="R958" i="4"/>
  <c r="S958" i="4"/>
  <c r="L959" i="4"/>
  <c r="M959" i="4"/>
  <c r="N959" i="4"/>
  <c r="O959" i="4"/>
  <c r="P959" i="4"/>
  <c r="Q959" i="4"/>
  <c r="R959" i="4"/>
  <c r="S959" i="4"/>
  <c r="L960" i="4"/>
  <c r="M960" i="4"/>
  <c r="N960" i="4"/>
  <c r="O960" i="4"/>
  <c r="P960" i="4"/>
  <c r="Q960" i="4"/>
  <c r="R960" i="4"/>
  <c r="S960" i="4"/>
  <c r="L961" i="4"/>
  <c r="M961" i="4"/>
  <c r="N961" i="4"/>
  <c r="O961" i="4"/>
  <c r="P961" i="4"/>
  <c r="Q961" i="4"/>
  <c r="R961" i="4"/>
  <c r="S961" i="4"/>
  <c r="L962" i="4"/>
  <c r="M962" i="4"/>
  <c r="N962" i="4"/>
  <c r="O962" i="4"/>
  <c r="P962" i="4"/>
  <c r="Q962" i="4"/>
  <c r="R962" i="4"/>
  <c r="S962" i="4"/>
  <c r="L963" i="4"/>
  <c r="M963" i="4"/>
  <c r="N963" i="4"/>
  <c r="O963" i="4"/>
  <c r="P963" i="4"/>
  <c r="Q963" i="4"/>
  <c r="R963" i="4"/>
  <c r="S963" i="4"/>
  <c r="L964" i="4"/>
  <c r="M964" i="4"/>
  <c r="N964" i="4"/>
  <c r="O964" i="4"/>
  <c r="P964" i="4"/>
  <c r="Q964" i="4"/>
  <c r="R964" i="4"/>
  <c r="S964" i="4"/>
  <c r="L965" i="4"/>
  <c r="M965" i="4"/>
  <c r="N965" i="4"/>
  <c r="O965" i="4"/>
  <c r="P965" i="4"/>
  <c r="Q965" i="4"/>
  <c r="R965" i="4"/>
  <c r="S965" i="4"/>
  <c r="L966" i="4"/>
  <c r="M966" i="4"/>
  <c r="N966" i="4"/>
  <c r="O966" i="4"/>
  <c r="P966" i="4"/>
  <c r="Q966" i="4"/>
  <c r="R966" i="4"/>
  <c r="S966" i="4"/>
  <c r="L967" i="4"/>
  <c r="M967" i="4"/>
  <c r="N967" i="4"/>
  <c r="O967" i="4"/>
  <c r="P967" i="4"/>
  <c r="Q967" i="4"/>
  <c r="R967" i="4"/>
  <c r="S967" i="4"/>
  <c r="L968" i="4"/>
  <c r="M968" i="4"/>
  <c r="N968" i="4"/>
  <c r="O968" i="4"/>
  <c r="P968" i="4"/>
  <c r="Q968" i="4"/>
  <c r="R968" i="4"/>
  <c r="S968" i="4"/>
  <c r="L969" i="4"/>
  <c r="M969" i="4"/>
  <c r="N969" i="4"/>
  <c r="O969" i="4"/>
  <c r="P969" i="4"/>
  <c r="Q969" i="4"/>
  <c r="R969" i="4"/>
  <c r="S969" i="4"/>
  <c r="L970" i="4"/>
  <c r="M970" i="4"/>
  <c r="N970" i="4"/>
  <c r="O970" i="4"/>
  <c r="P970" i="4"/>
  <c r="Q970" i="4"/>
  <c r="R970" i="4"/>
  <c r="S970" i="4"/>
  <c r="L971" i="4"/>
  <c r="M971" i="4"/>
  <c r="N971" i="4"/>
  <c r="O971" i="4"/>
  <c r="P971" i="4"/>
  <c r="Q971" i="4"/>
  <c r="R971" i="4"/>
  <c r="S971" i="4"/>
  <c r="L972" i="4"/>
  <c r="M972" i="4"/>
  <c r="N972" i="4"/>
  <c r="O972" i="4"/>
  <c r="P972" i="4"/>
  <c r="Q972" i="4"/>
  <c r="R972" i="4"/>
  <c r="S972" i="4"/>
  <c r="L973" i="4"/>
  <c r="M973" i="4"/>
  <c r="N973" i="4"/>
  <c r="O973" i="4"/>
  <c r="P973" i="4"/>
  <c r="Q973" i="4"/>
  <c r="R973" i="4"/>
  <c r="S973" i="4"/>
  <c r="L974" i="4"/>
  <c r="M974" i="4"/>
  <c r="N974" i="4"/>
  <c r="O974" i="4"/>
  <c r="P974" i="4"/>
  <c r="Q974" i="4"/>
  <c r="R974" i="4"/>
  <c r="S974" i="4"/>
  <c r="L975" i="4"/>
  <c r="M975" i="4"/>
  <c r="N975" i="4"/>
  <c r="O975" i="4"/>
  <c r="P975" i="4"/>
  <c r="Q975" i="4"/>
  <c r="R975" i="4"/>
  <c r="S975" i="4"/>
  <c r="L976" i="4"/>
  <c r="M976" i="4"/>
  <c r="N976" i="4"/>
  <c r="O976" i="4"/>
  <c r="P976" i="4"/>
  <c r="Q976" i="4"/>
  <c r="R976" i="4"/>
  <c r="S976" i="4"/>
  <c r="L977" i="4"/>
  <c r="M977" i="4"/>
  <c r="N977" i="4"/>
  <c r="O977" i="4"/>
  <c r="P977" i="4"/>
  <c r="Q977" i="4"/>
  <c r="R977" i="4"/>
  <c r="S977" i="4"/>
  <c r="L978" i="4"/>
  <c r="M978" i="4"/>
  <c r="N978" i="4"/>
  <c r="O978" i="4"/>
  <c r="P978" i="4"/>
  <c r="Q978" i="4"/>
  <c r="R978" i="4"/>
  <c r="S978" i="4"/>
  <c r="L979" i="4"/>
  <c r="M979" i="4"/>
  <c r="N979" i="4"/>
  <c r="O979" i="4"/>
  <c r="P979" i="4"/>
  <c r="Q979" i="4"/>
  <c r="R979" i="4"/>
  <c r="S979" i="4"/>
  <c r="L980" i="4"/>
  <c r="M980" i="4"/>
  <c r="N980" i="4"/>
  <c r="O980" i="4"/>
  <c r="P980" i="4"/>
  <c r="Q980" i="4"/>
  <c r="R980" i="4"/>
  <c r="S980" i="4"/>
  <c r="L981" i="4"/>
  <c r="M981" i="4"/>
  <c r="N981" i="4"/>
  <c r="O981" i="4"/>
  <c r="P981" i="4"/>
  <c r="Q981" i="4"/>
  <c r="R981" i="4"/>
  <c r="S981" i="4"/>
  <c r="L982" i="4"/>
  <c r="M982" i="4"/>
  <c r="N982" i="4"/>
  <c r="O982" i="4"/>
  <c r="P982" i="4"/>
  <c r="Q982" i="4"/>
  <c r="R982" i="4"/>
  <c r="S982" i="4"/>
  <c r="L983" i="4"/>
  <c r="M983" i="4"/>
  <c r="N983" i="4"/>
  <c r="O983" i="4"/>
  <c r="P983" i="4"/>
  <c r="Q983" i="4"/>
  <c r="R983" i="4"/>
  <c r="S983" i="4"/>
  <c r="L984" i="4"/>
  <c r="M984" i="4"/>
  <c r="N984" i="4"/>
  <c r="O984" i="4"/>
  <c r="P984" i="4"/>
  <c r="Q984" i="4"/>
  <c r="R984" i="4"/>
  <c r="S984" i="4"/>
  <c r="L985" i="4"/>
  <c r="M985" i="4"/>
  <c r="N985" i="4"/>
  <c r="O985" i="4"/>
  <c r="P985" i="4"/>
  <c r="Q985" i="4"/>
  <c r="R985" i="4"/>
  <c r="S985" i="4"/>
  <c r="L986" i="4"/>
  <c r="M986" i="4"/>
  <c r="N986" i="4"/>
  <c r="O986" i="4"/>
  <c r="P986" i="4"/>
  <c r="Q986" i="4"/>
  <c r="R986" i="4"/>
  <c r="S986" i="4"/>
  <c r="L987" i="4"/>
  <c r="M987" i="4"/>
  <c r="N987" i="4"/>
  <c r="O987" i="4"/>
  <c r="P987" i="4"/>
  <c r="Q987" i="4"/>
  <c r="R987" i="4"/>
  <c r="S987" i="4"/>
  <c r="L988" i="4"/>
  <c r="M988" i="4"/>
  <c r="N988" i="4"/>
  <c r="O988" i="4"/>
  <c r="P988" i="4"/>
  <c r="Q988" i="4"/>
  <c r="R988" i="4"/>
  <c r="S988" i="4"/>
  <c r="L989" i="4"/>
  <c r="M989" i="4"/>
  <c r="N989" i="4"/>
  <c r="O989" i="4"/>
  <c r="P989" i="4"/>
  <c r="Q989" i="4"/>
  <c r="R989" i="4"/>
  <c r="S989" i="4"/>
  <c r="L990" i="4"/>
  <c r="M990" i="4"/>
  <c r="N990" i="4"/>
  <c r="O990" i="4"/>
  <c r="P990" i="4"/>
  <c r="Q990" i="4"/>
  <c r="R990" i="4"/>
  <c r="S990" i="4"/>
  <c r="L991" i="4"/>
  <c r="M991" i="4"/>
  <c r="N991" i="4"/>
  <c r="O991" i="4"/>
  <c r="P991" i="4"/>
  <c r="Q991" i="4"/>
  <c r="R991" i="4"/>
  <c r="S991" i="4"/>
  <c r="L992" i="4"/>
  <c r="M992" i="4"/>
  <c r="N992" i="4"/>
  <c r="O992" i="4"/>
  <c r="P992" i="4"/>
  <c r="Q992" i="4"/>
  <c r="R992" i="4"/>
  <c r="S992" i="4"/>
  <c r="L993" i="4"/>
  <c r="M993" i="4"/>
  <c r="N993" i="4"/>
  <c r="O993" i="4"/>
  <c r="P993" i="4"/>
  <c r="Q993" i="4"/>
  <c r="R993" i="4"/>
  <c r="S993" i="4"/>
  <c r="L994" i="4"/>
  <c r="M994" i="4"/>
  <c r="N994" i="4"/>
  <c r="O994" i="4"/>
  <c r="P994" i="4"/>
  <c r="Q994" i="4"/>
  <c r="R994" i="4"/>
  <c r="S994" i="4"/>
  <c r="L995" i="4"/>
  <c r="M995" i="4"/>
  <c r="N995" i="4"/>
  <c r="O995" i="4"/>
  <c r="P995" i="4"/>
  <c r="Q995" i="4"/>
  <c r="R995" i="4"/>
  <c r="S995" i="4"/>
  <c r="L996" i="4"/>
  <c r="M996" i="4"/>
  <c r="N996" i="4"/>
  <c r="O996" i="4"/>
  <c r="P996" i="4"/>
  <c r="Q996" i="4"/>
  <c r="R996" i="4"/>
  <c r="S996" i="4"/>
  <c r="L997" i="4"/>
  <c r="M997" i="4"/>
  <c r="N997" i="4"/>
  <c r="O997" i="4"/>
  <c r="P997" i="4"/>
  <c r="Q997" i="4"/>
  <c r="R997" i="4"/>
  <c r="S997" i="4"/>
  <c r="L998" i="4"/>
  <c r="M998" i="4"/>
  <c r="N998" i="4"/>
  <c r="O998" i="4"/>
  <c r="P998" i="4"/>
  <c r="Q998" i="4"/>
  <c r="R998" i="4"/>
  <c r="S998" i="4"/>
  <c r="L999" i="4"/>
  <c r="M999" i="4"/>
  <c r="N999" i="4"/>
  <c r="O999" i="4"/>
  <c r="P999" i="4"/>
  <c r="Q999" i="4"/>
  <c r="R999" i="4"/>
  <c r="S999" i="4"/>
  <c r="L1000" i="4"/>
  <c r="M1000" i="4"/>
  <c r="N1000" i="4"/>
  <c r="O1000" i="4"/>
  <c r="P1000" i="4"/>
  <c r="Q1000" i="4"/>
  <c r="R1000" i="4"/>
  <c r="S1000" i="4"/>
  <c r="L1001" i="4"/>
  <c r="M1001" i="4"/>
  <c r="N1001" i="4"/>
  <c r="O1001" i="4"/>
  <c r="P1001" i="4"/>
  <c r="Q1001" i="4"/>
  <c r="R1001" i="4"/>
  <c r="S1001" i="4"/>
  <c r="L1002" i="4"/>
  <c r="M1002" i="4"/>
  <c r="N1002" i="4"/>
  <c r="O1002" i="4"/>
  <c r="P1002" i="4"/>
  <c r="Q1002" i="4"/>
  <c r="R1002" i="4"/>
  <c r="S1002" i="4"/>
  <c r="L1003" i="4"/>
  <c r="M1003" i="4"/>
  <c r="N1003" i="4"/>
  <c r="O1003" i="4"/>
  <c r="P1003" i="4"/>
  <c r="Q1003" i="4"/>
  <c r="R1003" i="4"/>
  <c r="S1003" i="4"/>
  <c r="L1004" i="4"/>
  <c r="M1004" i="4"/>
  <c r="N1004" i="4"/>
  <c r="O1004" i="4"/>
  <c r="P1004" i="4"/>
  <c r="Q1004" i="4"/>
  <c r="R1004" i="4"/>
  <c r="S1004" i="4"/>
  <c r="L1005" i="4"/>
  <c r="M1005" i="4"/>
  <c r="N1005" i="4"/>
  <c r="O1005" i="4"/>
  <c r="P1005" i="4"/>
  <c r="Q1005" i="4"/>
  <c r="R1005" i="4"/>
  <c r="S1005" i="4"/>
  <c r="L1006" i="4"/>
  <c r="M1006" i="4"/>
  <c r="N1006" i="4"/>
  <c r="O1006" i="4"/>
  <c r="P1006" i="4"/>
  <c r="Q1006" i="4"/>
  <c r="R1006" i="4"/>
  <c r="S1006" i="4"/>
  <c r="L1007" i="4"/>
  <c r="M1007" i="4"/>
  <c r="N1007" i="4"/>
  <c r="O1007" i="4"/>
  <c r="P1007" i="4"/>
  <c r="Q1007" i="4"/>
  <c r="R1007" i="4"/>
  <c r="S1007" i="4"/>
  <c r="L1008" i="4"/>
  <c r="M1008" i="4"/>
  <c r="N1008" i="4"/>
  <c r="O1008" i="4"/>
  <c r="P1008" i="4"/>
  <c r="Q1008" i="4"/>
  <c r="R1008" i="4"/>
  <c r="S1008" i="4"/>
  <c r="L1009" i="4"/>
  <c r="M1009" i="4"/>
  <c r="N1009" i="4"/>
  <c r="O1009" i="4"/>
  <c r="P1009" i="4"/>
  <c r="Q1009" i="4"/>
  <c r="R1009" i="4"/>
  <c r="S1009" i="4"/>
  <c r="L1010" i="4"/>
  <c r="M1010" i="4"/>
  <c r="N1010" i="4"/>
  <c r="O1010" i="4"/>
  <c r="P1010" i="4"/>
  <c r="Q1010" i="4"/>
  <c r="R1010" i="4"/>
  <c r="S1010" i="4"/>
  <c r="L1011" i="4"/>
  <c r="M1011" i="4"/>
  <c r="N1011" i="4"/>
  <c r="O1011" i="4"/>
  <c r="P1011" i="4"/>
  <c r="Q1011" i="4"/>
  <c r="R1011" i="4"/>
  <c r="S1011" i="4"/>
  <c r="L1012" i="4"/>
  <c r="M1012" i="4"/>
  <c r="N1012" i="4"/>
  <c r="O1012" i="4"/>
  <c r="P1012" i="4"/>
  <c r="Q1012" i="4"/>
  <c r="R1012" i="4"/>
  <c r="S1012" i="4"/>
  <c r="L1013" i="4"/>
  <c r="M1013" i="4"/>
  <c r="N1013" i="4"/>
  <c r="O1013" i="4"/>
  <c r="P1013" i="4"/>
  <c r="Q1013" i="4"/>
  <c r="R1013" i="4"/>
  <c r="S1013" i="4"/>
  <c r="L1014" i="4"/>
  <c r="M1014" i="4"/>
  <c r="N1014" i="4"/>
  <c r="O1014" i="4"/>
  <c r="P1014" i="4"/>
  <c r="Q1014" i="4"/>
  <c r="R1014" i="4"/>
  <c r="S1014" i="4"/>
  <c r="L1015" i="4"/>
  <c r="M1015" i="4"/>
  <c r="N1015" i="4"/>
  <c r="O1015" i="4"/>
  <c r="P1015" i="4"/>
  <c r="Q1015" i="4"/>
  <c r="R1015" i="4"/>
  <c r="S1015" i="4"/>
  <c r="L1016" i="4"/>
  <c r="M1016" i="4"/>
  <c r="N1016" i="4"/>
  <c r="O1016" i="4"/>
  <c r="P1016" i="4"/>
  <c r="Q1016" i="4"/>
  <c r="R1016" i="4"/>
  <c r="S1016" i="4"/>
  <c r="L1017" i="4"/>
  <c r="M1017" i="4"/>
  <c r="N1017" i="4"/>
  <c r="O1017" i="4"/>
  <c r="P1017" i="4"/>
  <c r="Q1017" i="4"/>
  <c r="R1017" i="4"/>
  <c r="S1017" i="4"/>
  <c r="L1018" i="4"/>
  <c r="M1018" i="4"/>
  <c r="N1018" i="4"/>
  <c r="O1018" i="4"/>
  <c r="P1018" i="4"/>
  <c r="Q1018" i="4"/>
  <c r="R1018" i="4"/>
  <c r="S1018" i="4"/>
  <c r="L1019" i="4"/>
  <c r="M1019" i="4"/>
  <c r="N1019" i="4"/>
  <c r="O1019" i="4"/>
  <c r="P1019" i="4"/>
  <c r="Q1019" i="4"/>
  <c r="R1019" i="4"/>
  <c r="S1019" i="4"/>
  <c r="L1020" i="4"/>
  <c r="M1020" i="4"/>
  <c r="N1020" i="4"/>
  <c r="O1020" i="4"/>
  <c r="P1020" i="4"/>
  <c r="Q1020" i="4"/>
  <c r="R1020" i="4"/>
  <c r="S1020" i="4"/>
  <c r="L1021" i="4"/>
  <c r="M1021" i="4"/>
  <c r="N1021" i="4"/>
  <c r="O1021" i="4"/>
  <c r="P1021" i="4"/>
  <c r="Q1021" i="4"/>
  <c r="R1021" i="4"/>
  <c r="S1021" i="4"/>
  <c r="L1022" i="4"/>
  <c r="M1022" i="4"/>
  <c r="N1022" i="4"/>
  <c r="O1022" i="4"/>
  <c r="P1022" i="4"/>
  <c r="Q1022" i="4"/>
  <c r="R1022" i="4"/>
  <c r="S1022" i="4"/>
  <c r="L1023" i="4"/>
  <c r="M1023" i="4"/>
  <c r="N1023" i="4"/>
  <c r="O1023" i="4"/>
  <c r="P1023" i="4"/>
  <c r="Q1023" i="4"/>
  <c r="R1023" i="4"/>
  <c r="S1023" i="4"/>
  <c r="L1024" i="4"/>
  <c r="M1024" i="4"/>
  <c r="N1024" i="4"/>
  <c r="O1024" i="4"/>
  <c r="P1024" i="4"/>
  <c r="Q1024" i="4"/>
  <c r="R1024" i="4"/>
  <c r="S1024" i="4"/>
  <c r="L1025" i="4"/>
  <c r="M1025" i="4"/>
  <c r="N1025" i="4"/>
  <c r="O1025" i="4"/>
  <c r="P1025" i="4"/>
  <c r="Q1025" i="4"/>
  <c r="R1025" i="4"/>
  <c r="S1025" i="4"/>
  <c r="L1026" i="4"/>
  <c r="M1026" i="4"/>
  <c r="N1026" i="4"/>
  <c r="O1026" i="4"/>
  <c r="P1026" i="4"/>
  <c r="Q1026" i="4"/>
  <c r="R1026" i="4"/>
  <c r="S1026" i="4"/>
  <c r="L1027" i="4"/>
  <c r="M1027" i="4"/>
  <c r="N1027" i="4"/>
  <c r="O1027" i="4"/>
  <c r="P1027" i="4"/>
  <c r="Q1027" i="4"/>
  <c r="R1027" i="4"/>
  <c r="S1027" i="4"/>
  <c r="L1028" i="4"/>
  <c r="M1028" i="4"/>
  <c r="N1028" i="4"/>
  <c r="O1028" i="4"/>
  <c r="P1028" i="4"/>
  <c r="Q1028" i="4"/>
  <c r="R1028" i="4"/>
  <c r="S1028" i="4"/>
  <c r="L1029" i="4"/>
  <c r="M1029" i="4"/>
  <c r="N1029" i="4"/>
  <c r="O1029" i="4"/>
  <c r="P1029" i="4"/>
  <c r="Q1029" i="4"/>
  <c r="R1029" i="4"/>
  <c r="S1029" i="4"/>
  <c r="L1030" i="4"/>
  <c r="M1030" i="4"/>
  <c r="N1030" i="4"/>
  <c r="O1030" i="4"/>
  <c r="P1030" i="4"/>
  <c r="Q1030" i="4"/>
  <c r="R1030" i="4"/>
  <c r="S1030" i="4"/>
  <c r="L1031" i="4"/>
  <c r="M1031" i="4"/>
  <c r="N1031" i="4"/>
  <c r="O1031" i="4"/>
  <c r="P1031" i="4"/>
  <c r="Q1031" i="4"/>
  <c r="R1031" i="4"/>
  <c r="S1031" i="4"/>
  <c r="L1032" i="4"/>
  <c r="M1032" i="4"/>
  <c r="N1032" i="4"/>
  <c r="O1032" i="4"/>
  <c r="P1032" i="4"/>
  <c r="Q1032" i="4"/>
  <c r="R1032" i="4"/>
  <c r="S1032" i="4"/>
  <c r="L1033" i="4"/>
  <c r="M1033" i="4"/>
  <c r="N1033" i="4"/>
  <c r="O1033" i="4"/>
  <c r="P1033" i="4"/>
  <c r="Q1033" i="4"/>
  <c r="R1033" i="4"/>
  <c r="S1033" i="4"/>
  <c r="L1034" i="4"/>
  <c r="M1034" i="4"/>
  <c r="N1034" i="4"/>
  <c r="O1034" i="4"/>
  <c r="P1034" i="4"/>
  <c r="Q1034" i="4"/>
  <c r="R1034" i="4"/>
  <c r="S1034" i="4"/>
  <c r="L1035" i="4"/>
  <c r="M1035" i="4"/>
  <c r="N1035" i="4"/>
  <c r="O1035" i="4"/>
  <c r="P1035" i="4"/>
  <c r="Q1035" i="4"/>
  <c r="R1035" i="4"/>
  <c r="S1035" i="4"/>
  <c r="L1036" i="4"/>
  <c r="M1036" i="4"/>
  <c r="N1036" i="4"/>
  <c r="O1036" i="4"/>
  <c r="P1036" i="4"/>
  <c r="Q1036" i="4"/>
  <c r="R1036" i="4"/>
  <c r="S1036" i="4"/>
  <c r="L1037" i="4"/>
  <c r="M1037" i="4"/>
  <c r="N1037" i="4"/>
  <c r="O1037" i="4"/>
  <c r="P1037" i="4"/>
  <c r="Q1037" i="4"/>
  <c r="R1037" i="4"/>
  <c r="S1037" i="4"/>
  <c r="L1038" i="4"/>
  <c r="M1038" i="4"/>
  <c r="N1038" i="4"/>
  <c r="O1038" i="4"/>
  <c r="P1038" i="4"/>
  <c r="Q1038" i="4"/>
  <c r="R1038" i="4"/>
  <c r="S1038" i="4"/>
  <c r="L1039" i="4"/>
  <c r="M1039" i="4"/>
  <c r="N1039" i="4"/>
  <c r="O1039" i="4"/>
  <c r="P1039" i="4"/>
  <c r="Q1039" i="4"/>
  <c r="R1039" i="4"/>
  <c r="S1039" i="4"/>
  <c r="L1040" i="4"/>
  <c r="M1040" i="4"/>
  <c r="N1040" i="4"/>
  <c r="O1040" i="4"/>
  <c r="P1040" i="4"/>
  <c r="Q1040" i="4"/>
  <c r="R1040" i="4"/>
  <c r="S1040" i="4"/>
  <c r="L1041" i="4"/>
  <c r="M1041" i="4"/>
  <c r="N1041" i="4"/>
  <c r="O1041" i="4"/>
  <c r="P1041" i="4"/>
  <c r="Q1041" i="4"/>
  <c r="R1041" i="4"/>
  <c r="S1041" i="4"/>
  <c r="L1042" i="4"/>
  <c r="M1042" i="4"/>
  <c r="N1042" i="4"/>
  <c r="O1042" i="4"/>
  <c r="P1042" i="4"/>
  <c r="Q1042" i="4"/>
  <c r="R1042" i="4"/>
  <c r="S1042" i="4"/>
  <c r="L1043" i="4"/>
  <c r="M1043" i="4"/>
  <c r="N1043" i="4"/>
  <c r="O1043" i="4"/>
  <c r="P1043" i="4"/>
  <c r="Q1043" i="4"/>
  <c r="R1043" i="4"/>
  <c r="S1043" i="4"/>
  <c r="L1044" i="4"/>
  <c r="M1044" i="4"/>
  <c r="N1044" i="4"/>
  <c r="O1044" i="4"/>
  <c r="P1044" i="4"/>
  <c r="Q1044" i="4"/>
  <c r="R1044" i="4"/>
  <c r="S1044" i="4"/>
  <c r="L1045" i="4"/>
  <c r="M1045" i="4"/>
  <c r="N1045" i="4"/>
  <c r="O1045" i="4"/>
  <c r="P1045" i="4"/>
  <c r="Q1045" i="4"/>
  <c r="R1045" i="4"/>
  <c r="S1045" i="4"/>
  <c r="L1046" i="4"/>
  <c r="M1046" i="4"/>
  <c r="N1046" i="4"/>
  <c r="O1046" i="4"/>
  <c r="P1046" i="4"/>
  <c r="Q1046" i="4"/>
  <c r="R1046" i="4"/>
  <c r="S1046" i="4"/>
  <c r="L1047" i="4"/>
  <c r="M1047" i="4"/>
  <c r="N1047" i="4"/>
  <c r="O1047" i="4"/>
  <c r="P1047" i="4"/>
  <c r="Q1047" i="4"/>
  <c r="R1047" i="4"/>
  <c r="S1047" i="4"/>
  <c r="L1048" i="4"/>
  <c r="M1048" i="4"/>
  <c r="N1048" i="4"/>
  <c r="O1048" i="4"/>
  <c r="P1048" i="4"/>
  <c r="Q1048" i="4"/>
  <c r="R1048" i="4"/>
  <c r="S1048" i="4"/>
  <c r="L1049" i="4"/>
  <c r="M1049" i="4"/>
  <c r="N1049" i="4"/>
  <c r="O1049" i="4"/>
  <c r="P1049" i="4"/>
  <c r="Q1049" i="4"/>
  <c r="R1049" i="4"/>
  <c r="S1049" i="4"/>
  <c r="L1050" i="4"/>
  <c r="M1050" i="4"/>
  <c r="N1050" i="4"/>
  <c r="O1050" i="4"/>
  <c r="P1050" i="4"/>
  <c r="Q1050" i="4"/>
  <c r="R1050" i="4"/>
  <c r="S1050" i="4"/>
  <c r="L1051" i="4"/>
  <c r="M1051" i="4"/>
  <c r="N1051" i="4"/>
  <c r="O1051" i="4"/>
  <c r="P1051" i="4"/>
  <c r="Q1051" i="4"/>
  <c r="R1051" i="4"/>
  <c r="S1051" i="4"/>
  <c r="L1052" i="4"/>
  <c r="M1052" i="4"/>
  <c r="N1052" i="4"/>
  <c r="O1052" i="4"/>
  <c r="P1052" i="4"/>
  <c r="Q1052" i="4"/>
  <c r="R1052" i="4"/>
  <c r="S1052" i="4"/>
  <c r="L1053" i="4"/>
  <c r="M1053" i="4"/>
  <c r="N1053" i="4"/>
  <c r="O1053" i="4"/>
  <c r="P1053" i="4"/>
  <c r="Q1053" i="4"/>
  <c r="R1053" i="4"/>
  <c r="S1053" i="4"/>
  <c r="L1054" i="4"/>
  <c r="M1054" i="4"/>
  <c r="N1054" i="4"/>
  <c r="O1054" i="4"/>
  <c r="P1054" i="4"/>
  <c r="Q1054" i="4"/>
  <c r="R1054" i="4"/>
  <c r="S1054" i="4"/>
  <c r="L1055" i="4"/>
  <c r="M1055" i="4"/>
  <c r="N1055" i="4"/>
  <c r="O1055" i="4"/>
  <c r="P1055" i="4"/>
  <c r="Q1055" i="4"/>
  <c r="R1055" i="4"/>
  <c r="S1055" i="4"/>
  <c r="L1056" i="4"/>
  <c r="M1056" i="4"/>
  <c r="N1056" i="4"/>
  <c r="O1056" i="4"/>
  <c r="P1056" i="4"/>
  <c r="Q1056" i="4"/>
  <c r="R1056" i="4"/>
  <c r="S1056" i="4"/>
  <c r="L1057" i="4"/>
  <c r="M1057" i="4"/>
  <c r="N1057" i="4"/>
  <c r="O1057" i="4"/>
  <c r="P1057" i="4"/>
  <c r="Q1057" i="4"/>
  <c r="R1057" i="4"/>
  <c r="S1057" i="4"/>
  <c r="L1058" i="4"/>
  <c r="M1058" i="4"/>
  <c r="N1058" i="4"/>
  <c r="O1058" i="4"/>
  <c r="P1058" i="4"/>
  <c r="Q1058" i="4"/>
  <c r="R1058" i="4"/>
  <c r="S1058" i="4"/>
  <c r="L1059" i="4"/>
  <c r="M1059" i="4"/>
  <c r="N1059" i="4"/>
  <c r="O1059" i="4"/>
  <c r="P1059" i="4"/>
  <c r="Q1059" i="4"/>
  <c r="R1059" i="4"/>
  <c r="S1059" i="4"/>
  <c r="L1060" i="4"/>
  <c r="M1060" i="4"/>
  <c r="N1060" i="4"/>
  <c r="O1060" i="4"/>
  <c r="P1060" i="4"/>
  <c r="Q1060" i="4"/>
  <c r="R1060" i="4"/>
  <c r="S1060" i="4"/>
  <c r="L1061" i="4"/>
  <c r="M1061" i="4"/>
  <c r="N1061" i="4"/>
  <c r="O1061" i="4"/>
  <c r="P1061" i="4"/>
  <c r="Q1061" i="4"/>
  <c r="R1061" i="4"/>
  <c r="S1061" i="4"/>
  <c r="L1062" i="4"/>
  <c r="M1062" i="4"/>
  <c r="N1062" i="4"/>
  <c r="O1062" i="4"/>
  <c r="P1062" i="4"/>
  <c r="Q1062" i="4"/>
  <c r="R1062" i="4"/>
  <c r="S1062" i="4"/>
  <c r="L1063" i="4"/>
  <c r="M1063" i="4"/>
  <c r="N1063" i="4"/>
  <c r="O1063" i="4"/>
  <c r="P1063" i="4"/>
  <c r="Q1063" i="4"/>
  <c r="R1063" i="4"/>
  <c r="S1063" i="4"/>
  <c r="L1064" i="4"/>
  <c r="M1064" i="4"/>
  <c r="N1064" i="4"/>
  <c r="O1064" i="4"/>
  <c r="P1064" i="4"/>
  <c r="Q1064" i="4"/>
  <c r="R1064" i="4"/>
  <c r="S1064" i="4"/>
  <c r="L1065" i="4"/>
  <c r="M1065" i="4"/>
  <c r="N1065" i="4"/>
  <c r="O1065" i="4"/>
  <c r="P1065" i="4"/>
  <c r="Q1065" i="4"/>
  <c r="R1065" i="4"/>
  <c r="S1065" i="4"/>
  <c r="L1066" i="4"/>
  <c r="M1066" i="4"/>
  <c r="N1066" i="4"/>
  <c r="O1066" i="4"/>
  <c r="P1066" i="4"/>
  <c r="Q1066" i="4"/>
  <c r="R1066" i="4"/>
  <c r="S1066" i="4"/>
  <c r="L1067" i="4"/>
  <c r="M1067" i="4"/>
  <c r="N1067" i="4"/>
  <c r="O1067" i="4"/>
  <c r="P1067" i="4"/>
  <c r="Q1067" i="4"/>
  <c r="R1067" i="4"/>
  <c r="S1067" i="4"/>
  <c r="L1068" i="4"/>
  <c r="M1068" i="4"/>
  <c r="N1068" i="4"/>
  <c r="O1068" i="4"/>
  <c r="P1068" i="4"/>
  <c r="Q1068" i="4"/>
  <c r="R1068" i="4"/>
  <c r="S1068" i="4"/>
  <c r="L1069" i="4"/>
  <c r="M1069" i="4"/>
  <c r="N1069" i="4"/>
  <c r="O1069" i="4"/>
  <c r="P1069" i="4"/>
  <c r="Q1069" i="4"/>
  <c r="R1069" i="4"/>
  <c r="S1069" i="4"/>
  <c r="L1070" i="4"/>
  <c r="M1070" i="4"/>
  <c r="N1070" i="4"/>
  <c r="O1070" i="4"/>
  <c r="P1070" i="4"/>
  <c r="Q1070" i="4"/>
  <c r="R1070" i="4"/>
  <c r="S1070" i="4"/>
  <c r="L1071" i="4"/>
  <c r="M1071" i="4"/>
  <c r="N1071" i="4"/>
  <c r="O1071" i="4"/>
  <c r="P1071" i="4"/>
  <c r="Q1071" i="4"/>
  <c r="R1071" i="4"/>
  <c r="S1071" i="4"/>
  <c r="L1072" i="4"/>
  <c r="M1072" i="4"/>
  <c r="N1072" i="4"/>
  <c r="O1072" i="4"/>
  <c r="P1072" i="4"/>
  <c r="Q1072" i="4"/>
  <c r="R1072" i="4"/>
  <c r="S1072" i="4"/>
  <c r="L1073" i="4"/>
  <c r="M1073" i="4"/>
  <c r="N1073" i="4"/>
  <c r="O1073" i="4"/>
  <c r="P1073" i="4"/>
  <c r="Q1073" i="4"/>
  <c r="R1073" i="4"/>
  <c r="S1073" i="4"/>
  <c r="L1074" i="4"/>
  <c r="M1074" i="4"/>
  <c r="N1074" i="4"/>
  <c r="O1074" i="4"/>
  <c r="P1074" i="4"/>
  <c r="Q1074" i="4"/>
  <c r="R1074" i="4"/>
  <c r="S1074" i="4"/>
  <c r="L1075" i="4"/>
  <c r="M1075" i="4"/>
  <c r="N1075" i="4"/>
  <c r="O1075" i="4"/>
  <c r="P1075" i="4"/>
  <c r="Q1075" i="4"/>
  <c r="R1075" i="4"/>
  <c r="S1075" i="4"/>
  <c r="L1076" i="4"/>
  <c r="M1076" i="4"/>
  <c r="N1076" i="4"/>
  <c r="O1076" i="4"/>
  <c r="P1076" i="4"/>
  <c r="Q1076" i="4"/>
  <c r="R1076" i="4"/>
  <c r="S1076" i="4"/>
  <c r="L1077" i="4"/>
  <c r="M1077" i="4"/>
  <c r="N1077" i="4"/>
  <c r="O1077" i="4"/>
  <c r="P1077" i="4"/>
  <c r="Q1077" i="4"/>
  <c r="R1077" i="4"/>
  <c r="S1077" i="4"/>
  <c r="L1078" i="4"/>
  <c r="M1078" i="4"/>
  <c r="N1078" i="4"/>
  <c r="O1078" i="4"/>
  <c r="P1078" i="4"/>
  <c r="Q1078" i="4"/>
  <c r="R1078" i="4"/>
  <c r="S1078" i="4"/>
  <c r="L1079" i="4"/>
  <c r="M1079" i="4"/>
  <c r="N1079" i="4"/>
  <c r="O1079" i="4"/>
  <c r="P1079" i="4"/>
  <c r="Q1079" i="4"/>
  <c r="R1079" i="4"/>
  <c r="S1079" i="4"/>
  <c r="L1080" i="4"/>
  <c r="M1080" i="4"/>
  <c r="N1080" i="4"/>
  <c r="O1080" i="4"/>
  <c r="P1080" i="4"/>
  <c r="Q1080" i="4"/>
  <c r="R1080" i="4"/>
  <c r="S1080" i="4"/>
  <c r="L1081" i="4"/>
  <c r="M1081" i="4"/>
  <c r="N1081" i="4"/>
  <c r="O1081" i="4"/>
  <c r="P1081" i="4"/>
  <c r="Q1081" i="4"/>
  <c r="R1081" i="4"/>
  <c r="S1081" i="4"/>
  <c r="L1082" i="4"/>
  <c r="M1082" i="4"/>
  <c r="N1082" i="4"/>
  <c r="O1082" i="4"/>
  <c r="P1082" i="4"/>
  <c r="Q1082" i="4"/>
  <c r="R1082" i="4"/>
  <c r="S1082" i="4"/>
  <c r="L1083" i="4"/>
  <c r="M1083" i="4"/>
  <c r="N1083" i="4"/>
  <c r="O1083" i="4"/>
  <c r="P1083" i="4"/>
  <c r="Q1083" i="4"/>
  <c r="R1083" i="4"/>
  <c r="S1083" i="4"/>
  <c r="L1084" i="4"/>
  <c r="M1084" i="4"/>
  <c r="N1084" i="4"/>
  <c r="O1084" i="4"/>
  <c r="P1084" i="4"/>
  <c r="Q1084" i="4"/>
  <c r="R1084" i="4"/>
  <c r="S1084" i="4"/>
  <c r="L1085" i="4"/>
  <c r="M1085" i="4"/>
  <c r="N1085" i="4"/>
  <c r="O1085" i="4"/>
  <c r="P1085" i="4"/>
  <c r="Q1085" i="4"/>
  <c r="R1085" i="4"/>
  <c r="S1085" i="4"/>
  <c r="L1086" i="4"/>
  <c r="M1086" i="4"/>
  <c r="N1086" i="4"/>
  <c r="O1086" i="4"/>
  <c r="P1086" i="4"/>
  <c r="Q1086" i="4"/>
  <c r="R1086" i="4"/>
  <c r="S1086" i="4"/>
  <c r="L1087" i="4"/>
  <c r="M1087" i="4"/>
  <c r="N1087" i="4"/>
  <c r="O1087" i="4"/>
  <c r="P1087" i="4"/>
  <c r="Q1087" i="4"/>
  <c r="R1087" i="4"/>
  <c r="S1087" i="4"/>
  <c r="L1088" i="4"/>
  <c r="M1088" i="4"/>
  <c r="N1088" i="4"/>
  <c r="O1088" i="4"/>
  <c r="P1088" i="4"/>
  <c r="Q1088" i="4"/>
  <c r="R1088" i="4"/>
  <c r="S1088" i="4"/>
  <c r="L1089" i="4"/>
  <c r="M1089" i="4"/>
  <c r="N1089" i="4"/>
  <c r="O1089" i="4"/>
  <c r="P1089" i="4"/>
  <c r="Q1089" i="4"/>
  <c r="R1089" i="4"/>
  <c r="S1089" i="4"/>
  <c r="L1090" i="4"/>
  <c r="M1090" i="4"/>
  <c r="N1090" i="4"/>
  <c r="O1090" i="4"/>
  <c r="P1090" i="4"/>
  <c r="Q1090" i="4"/>
  <c r="R1090" i="4"/>
  <c r="S1090" i="4"/>
  <c r="L1091" i="4"/>
  <c r="M1091" i="4"/>
  <c r="N1091" i="4"/>
  <c r="O1091" i="4"/>
  <c r="P1091" i="4"/>
  <c r="Q1091" i="4"/>
  <c r="R1091" i="4"/>
  <c r="S1091" i="4"/>
  <c r="L1092" i="4"/>
  <c r="M1092" i="4"/>
  <c r="N1092" i="4"/>
  <c r="O1092" i="4"/>
  <c r="P1092" i="4"/>
  <c r="Q1092" i="4"/>
  <c r="R1092" i="4"/>
  <c r="S1092" i="4"/>
  <c r="L1093" i="4"/>
  <c r="M1093" i="4"/>
  <c r="N1093" i="4"/>
  <c r="O1093" i="4"/>
  <c r="P1093" i="4"/>
  <c r="Q1093" i="4"/>
  <c r="R1093" i="4"/>
  <c r="S1093" i="4"/>
  <c r="L1094" i="4"/>
  <c r="M1094" i="4"/>
  <c r="N1094" i="4"/>
  <c r="O1094" i="4"/>
  <c r="P1094" i="4"/>
  <c r="Q1094" i="4"/>
  <c r="R1094" i="4"/>
  <c r="S1094" i="4"/>
  <c r="L1095" i="4"/>
  <c r="M1095" i="4"/>
  <c r="N1095" i="4"/>
  <c r="O1095" i="4"/>
  <c r="P1095" i="4"/>
  <c r="Q1095" i="4"/>
  <c r="R1095" i="4"/>
  <c r="S1095" i="4"/>
  <c r="L1096" i="4"/>
  <c r="M1096" i="4"/>
  <c r="N1096" i="4"/>
  <c r="O1096" i="4"/>
  <c r="P1096" i="4"/>
  <c r="Q1096" i="4"/>
  <c r="R1096" i="4"/>
  <c r="S1096" i="4"/>
  <c r="L1097" i="4"/>
  <c r="M1097" i="4"/>
  <c r="N1097" i="4"/>
  <c r="O1097" i="4"/>
  <c r="P1097" i="4"/>
  <c r="Q1097" i="4"/>
  <c r="R1097" i="4"/>
  <c r="S1097" i="4"/>
  <c r="L1098" i="4"/>
  <c r="M1098" i="4"/>
  <c r="N1098" i="4"/>
  <c r="O1098" i="4"/>
  <c r="P1098" i="4"/>
  <c r="Q1098" i="4"/>
  <c r="R1098" i="4"/>
  <c r="S1098" i="4"/>
  <c r="L1099" i="4"/>
  <c r="M1099" i="4"/>
  <c r="N1099" i="4"/>
  <c r="O1099" i="4"/>
  <c r="P1099" i="4"/>
  <c r="Q1099" i="4"/>
  <c r="R1099" i="4"/>
  <c r="S1099" i="4"/>
  <c r="L1100" i="4"/>
  <c r="M1100" i="4"/>
  <c r="N1100" i="4"/>
  <c r="O1100" i="4"/>
  <c r="P1100" i="4"/>
  <c r="Q1100" i="4"/>
  <c r="R1100" i="4"/>
  <c r="S1100" i="4"/>
  <c r="L1101" i="4"/>
  <c r="M1101" i="4"/>
  <c r="N1101" i="4"/>
  <c r="O1101" i="4"/>
  <c r="P1101" i="4"/>
  <c r="Q1101" i="4"/>
  <c r="R1101" i="4"/>
  <c r="S1101" i="4"/>
  <c r="L1102" i="4"/>
  <c r="M1102" i="4"/>
  <c r="N1102" i="4"/>
  <c r="O1102" i="4"/>
  <c r="P1102" i="4"/>
  <c r="Q1102" i="4"/>
  <c r="R1102" i="4"/>
  <c r="S1102" i="4"/>
  <c r="L1103" i="4"/>
  <c r="M1103" i="4"/>
  <c r="N1103" i="4"/>
  <c r="O1103" i="4"/>
  <c r="P1103" i="4"/>
  <c r="Q1103" i="4"/>
  <c r="R1103" i="4"/>
  <c r="S1103" i="4"/>
  <c r="L1104" i="4"/>
  <c r="M1104" i="4"/>
  <c r="N1104" i="4"/>
  <c r="O1104" i="4"/>
  <c r="P1104" i="4"/>
  <c r="Q1104" i="4"/>
  <c r="R1104" i="4"/>
  <c r="S1104" i="4"/>
  <c r="L1105" i="4"/>
  <c r="M1105" i="4"/>
  <c r="N1105" i="4"/>
  <c r="O1105" i="4"/>
  <c r="P1105" i="4"/>
  <c r="Q1105" i="4"/>
  <c r="R1105" i="4"/>
  <c r="S1105" i="4"/>
  <c r="L1106" i="4"/>
  <c r="M1106" i="4"/>
  <c r="N1106" i="4"/>
  <c r="O1106" i="4"/>
  <c r="P1106" i="4"/>
  <c r="Q1106" i="4"/>
  <c r="R1106" i="4"/>
  <c r="S1106" i="4"/>
  <c r="L1107" i="4"/>
  <c r="M1107" i="4"/>
  <c r="N1107" i="4"/>
  <c r="O1107" i="4"/>
  <c r="P1107" i="4"/>
  <c r="Q1107" i="4"/>
  <c r="R1107" i="4"/>
  <c r="S1107" i="4"/>
  <c r="L1108" i="4"/>
  <c r="M1108" i="4"/>
  <c r="N1108" i="4"/>
  <c r="O1108" i="4"/>
  <c r="P1108" i="4"/>
  <c r="Q1108" i="4"/>
  <c r="R1108" i="4"/>
  <c r="S1108" i="4"/>
  <c r="L1109" i="4"/>
  <c r="M1109" i="4"/>
  <c r="N1109" i="4"/>
  <c r="O1109" i="4"/>
  <c r="P1109" i="4"/>
  <c r="Q1109" i="4"/>
  <c r="R1109" i="4"/>
  <c r="S1109" i="4"/>
  <c r="L1110" i="4"/>
  <c r="M1110" i="4"/>
  <c r="N1110" i="4"/>
  <c r="O1110" i="4"/>
  <c r="P1110" i="4"/>
  <c r="Q1110" i="4"/>
  <c r="R1110" i="4"/>
  <c r="S1110" i="4"/>
  <c r="L1111" i="4"/>
  <c r="M1111" i="4"/>
  <c r="N1111" i="4"/>
  <c r="O1111" i="4"/>
  <c r="P1111" i="4"/>
  <c r="Q1111" i="4"/>
  <c r="R1111" i="4"/>
  <c r="S1111" i="4"/>
  <c r="L1112" i="4"/>
  <c r="M1112" i="4"/>
  <c r="N1112" i="4"/>
  <c r="O1112" i="4"/>
  <c r="P1112" i="4"/>
  <c r="Q1112" i="4"/>
  <c r="R1112" i="4"/>
  <c r="S1112" i="4"/>
  <c r="L1113" i="4"/>
  <c r="M1113" i="4"/>
  <c r="N1113" i="4"/>
  <c r="O1113" i="4"/>
  <c r="P1113" i="4"/>
  <c r="Q1113" i="4"/>
  <c r="R1113" i="4"/>
  <c r="S1113" i="4"/>
  <c r="L1114" i="4"/>
  <c r="M1114" i="4"/>
  <c r="N1114" i="4"/>
  <c r="O1114" i="4"/>
  <c r="P1114" i="4"/>
  <c r="Q1114" i="4"/>
  <c r="R1114" i="4"/>
  <c r="S1114" i="4"/>
  <c r="L1115" i="4"/>
  <c r="M1115" i="4"/>
  <c r="N1115" i="4"/>
  <c r="O1115" i="4"/>
  <c r="P1115" i="4"/>
  <c r="Q1115" i="4"/>
  <c r="R1115" i="4"/>
  <c r="S1115" i="4"/>
  <c r="L1116" i="4"/>
  <c r="M1116" i="4"/>
  <c r="N1116" i="4"/>
  <c r="O1116" i="4"/>
  <c r="P1116" i="4"/>
  <c r="Q1116" i="4"/>
  <c r="R1116" i="4"/>
  <c r="S1116" i="4"/>
  <c r="L1117" i="4"/>
  <c r="M1117" i="4"/>
  <c r="N1117" i="4"/>
  <c r="O1117" i="4"/>
  <c r="P1117" i="4"/>
  <c r="Q1117" i="4"/>
  <c r="R1117" i="4"/>
  <c r="S1117" i="4"/>
  <c r="L1118" i="4"/>
  <c r="M1118" i="4"/>
  <c r="N1118" i="4"/>
  <c r="O1118" i="4"/>
  <c r="P1118" i="4"/>
  <c r="Q1118" i="4"/>
  <c r="R1118" i="4"/>
  <c r="S1118" i="4"/>
  <c r="L1119" i="4"/>
  <c r="M1119" i="4"/>
  <c r="N1119" i="4"/>
  <c r="O1119" i="4"/>
  <c r="P1119" i="4"/>
  <c r="Q1119" i="4"/>
  <c r="R1119" i="4"/>
  <c r="S1119" i="4"/>
  <c r="L1120" i="4"/>
  <c r="M1120" i="4"/>
  <c r="N1120" i="4"/>
  <c r="O1120" i="4"/>
  <c r="P1120" i="4"/>
  <c r="Q1120" i="4"/>
  <c r="R1120" i="4"/>
  <c r="S1120" i="4"/>
  <c r="L1121" i="4"/>
  <c r="M1121" i="4"/>
  <c r="N1121" i="4"/>
  <c r="O1121" i="4"/>
  <c r="P1121" i="4"/>
  <c r="Q1121" i="4"/>
  <c r="R1121" i="4"/>
  <c r="S1121" i="4"/>
  <c r="L1122" i="4"/>
  <c r="M1122" i="4"/>
  <c r="N1122" i="4"/>
  <c r="O1122" i="4"/>
  <c r="P1122" i="4"/>
  <c r="Q1122" i="4"/>
  <c r="R1122" i="4"/>
  <c r="S1122" i="4"/>
  <c r="L1123" i="4"/>
  <c r="M1123" i="4"/>
  <c r="N1123" i="4"/>
  <c r="O1123" i="4"/>
  <c r="P1123" i="4"/>
  <c r="Q1123" i="4"/>
  <c r="R1123" i="4"/>
  <c r="S1123" i="4"/>
  <c r="L1124" i="4"/>
  <c r="M1124" i="4"/>
  <c r="N1124" i="4"/>
  <c r="O1124" i="4"/>
  <c r="P1124" i="4"/>
  <c r="Q1124" i="4"/>
  <c r="R1124" i="4"/>
  <c r="S1124" i="4"/>
  <c r="L1125" i="4"/>
  <c r="M1125" i="4"/>
  <c r="N1125" i="4"/>
  <c r="O1125" i="4"/>
  <c r="P1125" i="4"/>
  <c r="Q1125" i="4"/>
  <c r="R1125" i="4"/>
  <c r="S1125" i="4"/>
  <c r="L1126" i="4"/>
  <c r="M1126" i="4"/>
  <c r="N1126" i="4"/>
  <c r="O1126" i="4"/>
  <c r="P1126" i="4"/>
  <c r="Q1126" i="4"/>
  <c r="R1126" i="4"/>
  <c r="S1126" i="4"/>
  <c r="L1127" i="4"/>
  <c r="M1127" i="4"/>
  <c r="N1127" i="4"/>
  <c r="O1127" i="4"/>
  <c r="P1127" i="4"/>
  <c r="Q1127" i="4"/>
  <c r="R1127" i="4"/>
  <c r="S1127" i="4"/>
  <c r="L1128" i="4"/>
  <c r="M1128" i="4"/>
  <c r="N1128" i="4"/>
  <c r="O1128" i="4"/>
  <c r="P1128" i="4"/>
  <c r="Q1128" i="4"/>
  <c r="R1128" i="4"/>
  <c r="S1128" i="4"/>
  <c r="L1129" i="4"/>
  <c r="M1129" i="4"/>
  <c r="N1129" i="4"/>
  <c r="O1129" i="4"/>
  <c r="P1129" i="4"/>
  <c r="Q1129" i="4"/>
  <c r="R1129" i="4"/>
  <c r="S1129" i="4"/>
  <c r="L1130" i="4"/>
  <c r="M1130" i="4"/>
  <c r="N1130" i="4"/>
  <c r="O1130" i="4"/>
  <c r="P1130" i="4"/>
  <c r="Q1130" i="4"/>
  <c r="R1130" i="4"/>
  <c r="S1130" i="4"/>
  <c r="L1131" i="4"/>
  <c r="M1131" i="4"/>
  <c r="N1131" i="4"/>
  <c r="O1131" i="4"/>
  <c r="P1131" i="4"/>
  <c r="Q1131" i="4"/>
  <c r="R1131" i="4"/>
  <c r="S1131" i="4"/>
  <c r="L1132" i="4"/>
  <c r="M1132" i="4"/>
  <c r="N1132" i="4"/>
  <c r="O1132" i="4"/>
  <c r="P1132" i="4"/>
  <c r="Q1132" i="4"/>
  <c r="R1132" i="4"/>
  <c r="S1132" i="4"/>
  <c r="L1133" i="4"/>
  <c r="M1133" i="4"/>
  <c r="N1133" i="4"/>
  <c r="O1133" i="4"/>
  <c r="P1133" i="4"/>
  <c r="Q1133" i="4"/>
  <c r="R1133" i="4"/>
  <c r="S1133" i="4"/>
  <c r="L1134" i="4"/>
  <c r="M1134" i="4"/>
  <c r="N1134" i="4"/>
  <c r="O1134" i="4"/>
  <c r="P1134" i="4"/>
  <c r="Q1134" i="4"/>
  <c r="R1134" i="4"/>
  <c r="S1134" i="4"/>
  <c r="L1135" i="4"/>
  <c r="M1135" i="4"/>
  <c r="N1135" i="4"/>
  <c r="O1135" i="4"/>
  <c r="P1135" i="4"/>
  <c r="Q1135" i="4"/>
  <c r="R1135" i="4"/>
  <c r="S1135" i="4"/>
  <c r="L1136" i="4"/>
  <c r="M1136" i="4"/>
  <c r="N1136" i="4"/>
  <c r="O1136" i="4"/>
  <c r="P1136" i="4"/>
  <c r="Q1136" i="4"/>
  <c r="R1136" i="4"/>
  <c r="S1136" i="4"/>
  <c r="L1137" i="4"/>
  <c r="M1137" i="4"/>
  <c r="N1137" i="4"/>
  <c r="O1137" i="4"/>
  <c r="P1137" i="4"/>
  <c r="Q1137" i="4"/>
  <c r="R1137" i="4"/>
  <c r="S1137" i="4"/>
  <c r="L1138" i="4"/>
  <c r="M1138" i="4"/>
  <c r="N1138" i="4"/>
  <c r="O1138" i="4"/>
  <c r="P1138" i="4"/>
  <c r="Q1138" i="4"/>
  <c r="R1138" i="4"/>
  <c r="S1138" i="4"/>
  <c r="L1139" i="4"/>
  <c r="M1139" i="4"/>
  <c r="N1139" i="4"/>
  <c r="O1139" i="4"/>
  <c r="P1139" i="4"/>
  <c r="Q1139" i="4"/>
  <c r="R1139" i="4"/>
  <c r="S1139" i="4"/>
  <c r="L1140" i="4"/>
  <c r="M1140" i="4"/>
  <c r="N1140" i="4"/>
  <c r="O1140" i="4"/>
  <c r="P1140" i="4"/>
  <c r="Q1140" i="4"/>
  <c r="R1140" i="4"/>
  <c r="S1140" i="4"/>
  <c r="L1141" i="4"/>
  <c r="M1141" i="4"/>
  <c r="N1141" i="4"/>
  <c r="O1141" i="4"/>
  <c r="P1141" i="4"/>
  <c r="Q1141" i="4"/>
  <c r="R1141" i="4"/>
  <c r="S1141" i="4"/>
  <c r="L1142" i="4"/>
  <c r="M1142" i="4"/>
  <c r="N1142" i="4"/>
  <c r="O1142" i="4"/>
  <c r="P1142" i="4"/>
  <c r="Q1142" i="4"/>
  <c r="R1142" i="4"/>
  <c r="S1142" i="4"/>
  <c r="L1143" i="4"/>
  <c r="M1143" i="4"/>
  <c r="N1143" i="4"/>
  <c r="O1143" i="4"/>
  <c r="P1143" i="4"/>
  <c r="Q1143" i="4"/>
  <c r="R1143" i="4"/>
  <c r="S1143" i="4"/>
  <c r="L1144" i="4"/>
  <c r="M1144" i="4"/>
  <c r="N1144" i="4"/>
  <c r="O1144" i="4"/>
  <c r="P1144" i="4"/>
  <c r="Q1144" i="4"/>
  <c r="R1144" i="4"/>
  <c r="S1144" i="4"/>
  <c r="L1145" i="4"/>
  <c r="M1145" i="4"/>
  <c r="N1145" i="4"/>
  <c r="O1145" i="4"/>
  <c r="P1145" i="4"/>
  <c r="Q1145" i="4"/>
  <c r="R1145" i="4"/>
  <c r="S1145" i="4"/>
  <c r="L1146" i="4"/>
  <c r="M1146" i="4"/>
  <c r="N1146" i="4"/>
  <c r="O1146" i="4"/>
  <c r="P1146" i="4"/>
  <c r="Q1146" i="4"/>
  <c r="R1146" i="4"/>
  <c r="S1146" i="4"/>
  <c r="L1147" i="4"/>
  <c r="M1147" i="4"/>
  <c r="N1147" i="4"/>
  <c r="O1147" i="4"/>
  <c r="P1147" i="4"/>
  <c r="Q1147" i="4"/>
  <c r="R1147" i="4"/>
  <c r="S1147" i="4"/>
  <c r="L1148" i="4"/>
  <c r="M1148" i="4"/>
  <c r="N1148" i="4"/>
  <c r="O1148" i="4"/>
  <c r="P1148" i="4"/>
  <c r="Q1148" i="4"/>
  <c r="R1148" i="4"/>
  <c r="S1148" i="4"/>
  <c r="L1149" i="4"/>
  <c r="M1149" i="4"/>
  <c r="N1149" i="4"/>
  <c r="O1149" i="4"/>
  <c r="P1149" i="4"/>
  <c r="Q1149" i="4"/>
  <c r="R1149" i="4"/>
  <c r="S1149" i="4"/>
  <c r="L1150" i="4"/>
  <c r="M1150" i="4"/>
  <c r="N1150" i="4"/>
  <c r="O1150" i="4"/>
  <c r="P1150" i="4"/>
  <c r="Q1150" i="4"/>
  <c r="R1150" i="4"/>
  <c r="S1150" i="4"/>
  <c r="L1151" i="4"/>
  <c r="M1151" i="4"/>
  <c r="N1151" i="4"/>
  <c r="O1151" i="4"/>
  <c r="P1151" i="4"/>
  <c r="Q1151" i="4"/>
  <c r="R1151" i="4"/>
  <c r="S1151" i="4"/>
  <c r="L1152" i="4"/>
  <c r="M1152" i="4"/>
  <c r="N1152" i="4"/>
  <c r="O1152" i="4"/>
  <c r="P1152" i="4"/>
  <c r="Q1152" i="4"/>
  <c r="R1152" i="4"/>
  <c r="S1152" i="4"/>
  <c r="L1153" i="4"/>
  <c r="M1153" i="4"/>
  <c r="N1153" i="4"/>
  <c r="O1153" i="4"/>
  <c r="P1153" i="4"/>
  <c r="Q1153" i="4"/>
  <c r="R1153" i="4"/>
  <c r="S1153" i="4"/>
  <c r="L1154" i="4"/>
  <c r="M1154" i="4"/>
  <c r="N1154" i="4"/>
  <c r="O1154" i="4"/>
  <c r="P1154" i="4"/>
  <c r="Q1154" i="4"/>
  <c r="R1154" i="4"/>
  <c r="S1154" i="4"/>
  <c r="L1155" i="4"/>
  <c r="M1155" i="4"/>
  <c r="N1155" i="4"/>
  <c r="O1155" i="4"/>
  <c r="P1155" i="4"/>
  <c r="Q1155" i="4"/>
  <c r="R1155" i="4"/>
  <c r="S1155" i="4"/>
  <c r="L1156" i="4"/>
  <c r="M1156" i="4"/>
  <c r="N1156" i="4"/>
  <c r="O1156" i="4"/>
  <c r="P1156" i="4"/>
  <c r="Q1156" i="4"/>
  <c r="R1156" i="4"/>
  <c r="S1156" i="4"/>
  <c r="L1157" i="4"/>
  <c r="M1157" i="4"/>
  <c r="N1157" i="4"/>
  <c r="O1157" i="4"/>
  <c r="P1157" i="4"/>
  <c r="Q1157" i="4"/>
  <c r="R1157" i="4"/>
  <c r="S1157" i="4"/>
  <c r="L1158" i="4"/>
  <c r="M1158" i="4"/>
  <c r="N1158" i="4"/>
  <c r="O1158" i="4"/>
  <c r="P1158" i="4"/>
  <c r="Q1158" i="4"/>
  <c r="R1158" i="4"/>
  <c r="S1158" i="4"/>
  <c r="L1159" i="4"/>
  <c r="M1159" i="4"/>
  <c r="N1159" i="4"/>
  <c r="O1159" i="4"/>
  <c r="P1159" i="4"/>
  <c r="Q1159" i="4"/>
  <c r="R1159" i="4"/>
  <c r="S1159" i="4"/>
  <c r="L1160" i="4"/>
  <c r="M1160" i="4"/>
  <c r="N1160" i="4"/>
  <c r="O1160" i="4"/>
  <c r="P1160" i="4"/>
  <c r="Q1160" i="4"/>
  <c r="R1160" i="4"/>
  <c r="S1160" i="4"/>
  <c r="L1161" i="4"/>
  <c r="M1161" i="4"/>
  <c r="N1161" i="4"/>
  <c r="O1161" i="4"/>
  <c r="P1161" i="4"/>
  <c r="Q1161" i="4"/>
  <c r="R1161" i="4"/>
  <c r="S1161" i="4"/>
  <c r="L1162" i="4"/>
  <c r="M1162" i="4"/>
  <c r="N1162" i="4"/>
  <c r="O1162" i="4"/>
  <c r="P1162" i="4"/>
  <c r="Q1162" i="4"/>
  <c r="R1162" i="4"/>
  <c r="S1162" i="4"/>
  <c r="L1163" i="4"/>
  <c r="M1163" i="4"/>
  <c r="N1163" i="4"/>
  <c r="O1163" i="4"/>
  <c r="P1163" i="4"/>
  <c r="Q1163" i="4"/>
  <c r="R1163" i="4"/>
  <c r="S1163" i="4"/>
  <c r="L1164" i="4"/>
  <c r="M1164" i="4"/>
  <c r="N1164" i="4"/>
  <c r="O1164" i="4"/>
  <c r="P1164" i="4"/>
  <c r="Q1164" i="4"/>
  <c r="R1164" i="4"/>
  <c r="S1164" i="4"/>
  <c r="L1165" i="4"/>
  <c r="M1165" i="4"/>
  <c r="N1165" i="4"/>
  <c r="O1165" i="4"/>
  <c r="P1165" i="4"/>
  <c r="Q1165" i="4"/>
  <c r="R1165" i="4"/>
  <c r="S1165" i="4"/>
  <c r="L1166" i="4"/>
  <c r="M1166" i="4"/>
  <c r="N1166" i="4"/>
  <c r="O1166" i="4"/>
  <c r="P1166" i="4"/>
  <c r="Q1166" i="4"/>
  <c r="R1166" i="4"/>
  <c r="S1166" i="4"/>
  <c r="L1167" i="4"/>
  <c r="M1167" i="4"/>
  <c r="N1167" i="4"/>
  <c r="O1167" i="4"/>
  <c r="P1167" i="4"/>
  <c r="Q1167" i="4"/>
  <c r="R1167" i="4"/>
  <c r="S1167" i="4"/>
  <c r="L1168" i="4"/>
  <c r="M1168" i="4"/>
  <c r="N1168" i="4"/>
  <c r="O1168" i="4"/>
  <c r="P1168" i="4"/>
  <c r="Q1168" i="4"/>
  <c r="R1168" i="4"/>
  <c r="S1168" i="4"/>
  <c r="L1169" i="4"/>
  <c r="M1169" i="4"/>
  <c r="N1169" i="4"/>
  <c r="O1169" i="4"/>
  <c r="P1169" i="4"/>
  <c r="Q1169" i="4"/>
  <c r="R1169" i="4"/>
  <c r="S1169" i="4"/>
  <c r="L1170" i="4"/>
  <c r="M1170" i="4"/>
  <c r="N1170" i="4"/>
  <c r="O1170" i="4"/>
  <c r="P1170" i="4"/>
  <c r="Q1170" i="4"/>
  <c r="R1170" i="4"/>
  <c r="S1170" i="4"/>
  <c r="L1171" i="4"/>
  <c r="M1171" i="4"/>
  <c r="N1171" i="4"/>
  <c r="O1171" i="4"/>
  <c r="P1171" i="4"/>
  <c r="Q1171" i="4"/>
  <c r="R1171" i="4"/>
  <c r="S1171" i="4"/>
  <c r="L1172" i="4"/>
  <c r="M1172" i="4"/>
  <c r="N1172" i="4"/>
  <c r="O1172" i="4"/>
  <c r="P1172" i="4"/>
  <c r="Q1172" i="4"/>
  <c r="R1172" i="4"/>
  <c r="S1172" i="4"/>
  <c r="L1173" i="4"/>
  <c r="M1173" i="4"/>
  <c r="N1173" i="4"/>
  <c r="O1173" i="4"/>
  <c r="P1173" i="4"/>
  <c r="Q1173" i="4"/>
  <c r="R1173" i="4"/>
  <c r="S1173" i="4"/>
  <c r="L1174" i="4"/>
  <c r="M1174" i="4"/>
  <c r="N1174" i="4"/>
  <c r="O1174" i="4"/>
  <c r="P1174" i="4"/>
  <c r="Q1174" i="4"/>
  <c r="R1174" i="4"/>
  <c r="S1174" i="4"/>
  <c r="L1175" i="4"/>
  <c r="M1175" i="4"/>
  <c r="N1175" i="4"/>
  <c r="O1175" i="4"/>
  <c r="P1175" i="4"/>
  <c r="Q1175" i="4"/>
  <c r="R1175" i="4"/>
  <c r="S1175" i="4"/>
  <c r="L1176" i="4"/>
  <c r="M1176" i="4"/>
  <c r="N1176" i="4"/>
  <c r="O1176" i="4"/>
  <c r="P1176" i="4"/>
  <c r="Q1176" i="4"/>
  <c r="R1176" i="4"/>
  <c r="S1176" i="4"/>
  <c r="L1177" i="4"/>
  <c r="M1177" i="4"/>
  <c r="N1177" i="4"/>
  <c r="O1177" i="4"/>
  <c r="P1177" i="4"/>
  <c r="Q1177" i="4"/>
  <c r="R1177" i="4"/>
  <c r="S1177" i="4"/>
  <c r="L1178" i="4"/>
  <c r="M1178" i="4"/>
  <c r="N1178" i="4"/>
  <c r="O1178" i="4"/>
  <c r="P1178" i="4"/>
  <c r="Q1178" i="4"/>
  <c r="R1178" i="4"/>
  <c r="S1178" i="4"/>
  <c r="L1179" i="4"/>
  <c r="M1179" i="4"/>
  <c r="N1179" i="4"/>
  <c r="O1179" i="4"/>
  <c r="P1179" i="4"/>
  <c r="Q1179" i="4"/>
  <c r="R1179" i="4"/>
  <c r="S1179" i="4"/>
  <c r="L1180" i="4"/>
  <c r="M1180" i="4"/>
  <c r="N1180" i="4"/>
  <c r="O1180" i="4"/>
  <c r="P1180" i="4"/>
  <c r="Q1180" i="4"/>
  <c r="R1180" i="4"/>
  <c r="S1180" i="4"/>
  <c r="L1181" i="4"/>
  <c r="M1181" i="4"/>
  <c r="N1181" i="4"/>
  <c r="O1181" i="4"/>
  <c r="P1181" i="4"/>
  <c r="Q1181" i="4"/>
  <c r="R1181" i="4"/>
  <c r="S1181" i="4"/>
  <c r="L1182" i="4"/>
  <c r="M1182" i="4"/>
  <c r="N1182" i="4"/>
  <c r="O1182" i="4"/>
  <c r="P1182" i="4"/>
  <c r="Q1182" i="4"/>
  <c r="R1182" i="4"/>
  <c r="S1182" i="4"/>
  <c r="L1183" i="4"/>
  <c r="M1183" i="4"/>
  <c r="N1183" i="4"/>
  <c r="O1183" i="4"/>
  <c r="P1183" i="4"/>
  <c r="Q1183" i="4"/>
  <c r="R1183" i="4"/>
  <c r="S1183" i="4"/>
  <c r="L1184" i="4"/>
  <c r="M1184" i="4"/>
  <c r="N1184" i="4"/>
  <c r="O1184" i="4"/>
  <c r="P1184" i="4"/>
  <c r="Q1184" i="4"/>
  <c r="R1184" i="4"/>
  <c r="S1184" i="4"/>
  <c r="L1185" i="4"/>
  <c r="M1185" i="4"/>
  <c r="N1185" i="4"/>
  <c r="O1185" i="4"/>
  <c r="P1185" i="4"/>
  <c r="Q1185" i="4"/>
  <c r="R1185" i="4"/>
  <c r="S1185" i="4"/>
  <c r="L1186" i="4"/>
  <c r="M1186" i="4"/>
  <c r="N1186" i="4"/>
  <c r="O1186" i="4"/>
  <c r="P1186" i="4"/>
  <c r="Q1186" i="4"/>
  <c r="R1186" i="4"/>
  <c r="S1186" i="4"/>
  <c r="L1187" i="4"/>
  <c r="M1187" i="4"/>
  <c r="N1187" i="4"/>
  <c r="O1187" i="4"/>
  <c r="P1187" i="4"/>
  <c r="Q1187" i="4"/>
  <c r="R1187" i="4"/>
  <c r="S1187" i="4"/>
  <c r="L1188" i="4"/>
  <c r="M1188" i="4"/>
  <c r="N1188" i="4"/>
  <c r="O1188" i="4"/>
  <c r="P1188" i="4"/>
  <c r="Q1188" i="4"/>
  <c r="R1188" i="4"/>
  <c r="S1188" i="4"/>
  <c r="L1189" i="4"/>
  <c r="M1189" i="4"/>
  <c r="N1189" i="4"/>
  <c r="O1189" i="4"/>
  <c r="P1189" i="4"/>
  <c r="Q1189" i="4"/>
  <c r="R1189" i="4"/>
  <c r="S1189" i="4"/>
  <c r="L1190" i="4"/>
  <c r="M1190" i="4"/>
  <c r="N1190" i="4"/>
  <c r="O1190" i="4"/>
  <c r="P1190" i="4"/>
  <c r="Q1190" i="4"/>
  <c r="R1190" i="4"/>
  <c r="S1190" i="4"/>
  <c r="L1191" i="4"/>
  <c r="M1191" i="4"/>
  <c r="N1191" i="4"/>
  <c r="O1191" i="4"/>
  <c r="P1191" i="4"/>
  <c r="Q1191" i="4"/>
  <c r="R1191" i="4"/>
  <c r="S1191" i="4"/>
  <c r="L1192" i="4"/>
  <c r="M1192" i="4"/>
  <c r="N1192" i="4"/>
  <c r="O1192" i="4"/>
  <c r="P1192" i="4"/>
  <c r="Q1192" i="4"/>
  <c r="R1192" i="4"/>
  <c r="S1192" i="4"/>
  <c r="L1193" i="4"/>
  <c r="M1193" i="4"/>
  <c r="N1193" i="4"/>
  <c r="O1193" i="4"/>
  <c r="P1193" i="4"/>
  <c r="Q1193" i="4"/>
  <c r="R1193" i="4"/>
  <c r="S1193" i="4"/>
  <c r="L1194" i="4"/>
  <c r="M1194" i="4"/>
  <c r="N1194" i="4"/>
  <c r="O1194" i="4"/>
  <c r="P1194" i="4"/>
  <c r="Q1194" i="4"/>
  <c r="R1194" i="4"/>
  <c r="S1194" i="4"/>
  <c r="L1195" i="4"/>
  <c r="M1195" i="4"/>
  <c r="N1195" i="4"/>
  <c r="O1195" i="4"/>
  <c r="P1195" i="4"/>
  <c r="Q1195" i="4"/>
  <c r="R1195" i="4"/>
  <c r="S1195" i="4"/>
  <c r="L1196" i="4"/>
  <c r="M1196" i="4"/>
  <c r="N1196" i="4"/>
  <c r="O1196" i="4"/>
  <c r="P1196" i="4"/>
  <c r="Q1196" i="4"/>
  <c r="R1196" i="4"/>
  <c r="S1196" i="4"/>
  <c r="L1197" i="4"/>
  <c r="M1197" i="4"/>
  <c r="N1197" i="4"/>
  <c r="O1197" i="4"/>
  <c r="P1197" i="4"/>
  <c r="Q1197" i="4"/>
  <c r="R1197" i="4"/>
  <c r="S1197" i="4"/>
  <c r="L1198" i="4"/>
  <c r="M1198" i="4"/>
  <c r="N1198" i="4"/>
  <c r="O1198" i="4"/>
  <c r="P1198" i="4"/>
  <c r="Q1198" i="4"/>
  <c r="R1198" i="4"/>
  <c r="S1198" i="4"/>
  <c r="L1199" i="4"/>
  <c r="M1199" i="4"/>
  <c r="N1199" i="4"/>
  <c r="O1199" i="4"/>
  <c r="P1199" i="4"/>
  <c r="Q1199" i="4"/>
  <c r="R1199" i="4"/>
  <c r="S1199" i="4"/>
  <c r="L1200" i="4"/>
  <c r="M1200" i="4"/>
  <c r="N1200" i="4"/>
  <c r="O1200" i="4"/>
  <c r="P1200" i="4"/>
  <c r="Q1200" i="4"/>
  <c r="R1200" i="4"/>
  <c r="S1200" i="4"/>
  <c r="L1201" i="4"/>
  <c r="M1201" i="4"/>
  <c r="N1201" i="4"/>
  <c r="O1201" i="4"/>
  <c r="P1201" i="4"/>
  <c r="Q1201" i="4"/>
  <c r="R1201" i="4"/>
  <c r="S1201" i="4"/>
  <c r="L1202" i="4"/>
  <c r="M1202" i="4"/>
  <c r="N1202" i="4"/>
  <c r="O1202" i="4"/>
  <c r="P1202" i="4"/>
  <c r="Q1202" i="4"/>
  <c r="R1202" i="4"/>
  <c r="S1202" i="4"/>
  <c r="L1203" i="4"/>
  <c r="M1203" i="4"/>
  <c r="N1203" i="4"/>
  <c r="O1203" i="4"/>
  <c r="P1203" i="4"/>
  <c r="Q1203" i="4"/>
  <c r="R1203" i="4"/>
  <c r="S1203" i="4"/>
  <c r="L1204" i="4"/>
  <c r="M1204" i="4"/>
  <c r="N1204" i="4"/>
  <c r="O1204" i="4"/>
  <c r="P1204" i="4"/>
  <c r="Q1204" i="4"/>
  <c r="R1204" i="4"/>
  <c r="S1204" i="4"/>
  <c r="L1205" i="4"/>
  <c r="M1205" i="4"/>
  <c r="N1205" i="4"/>
  <c r="O1205" i="4"/>
  <c r="P1205" i="4"/>
  <c r="Q1205" i="4"/>
  <c r="R1205" i="4"/>
  <c r="S1205" i="4"/>
  <c r="L1206" i="4"/>
  <c r="M1206" i="4"/>
  <c r="N1206" i="4"/>
  <c r="O1206" i="4"/>
  <c r="P1206" i="4"/>
  <c r="Q1206" i="4"/>
  <c r="R1206" i="4"/>
  <c r="S1206" i="4"/>
  <c r="L1207" i="4"/>
  <c r="M1207" i="4"/>
  <c r="N1207" i="4"/>
  <c r="O1207" i="4"/>
  <c r="P1207" i="4"/>
  <c r="Q1207" i="4"/>
  <c r="R1207" i="4"/>
  <c r="S1207" i="4"/>
  <c r="L1208" i="4"/>
  <c r="M1208" i="4"/>
  <c r="N1208" i="4"/>
  <c r="O1208" i="4"/>
  <c r="P1208" i="4"/>
  <c r="Q1208" i="4"/>
  <c r="R1208" i="4"/>
  <c r="S1208" i="4"/>
  <c r="L1209" i="4"/>
  <c r="M1209" i="4"/>
  <c r="N1209" i="4"/>
  <c r="O1209" i="4"/>
  <c r="P1209" i="4"/>
  <c r="Q1209" i="4"/>
  <c r="R1209" i="4"/>
  <c r="S1209" i="4"/>
  <c r="L1210" i="4"/>
  <c r="M1210" i="4"/>
  <c r="N1210" i="4"/>
  <c r="O1210" i="4"/>
  <c r="P1210" i="4"/>
  <c r="Q1210" i="4"/>
  <c r="R1210" i="4"/>
  <c r="S1210" i="4"/>
  <c r="L1211" i="4"/>
  <c r="M1211" i="4"/>
  <c r="N1211" i="4"/>
  <c r="O1211" i="4"/>
  <c r="P1211" i="4"/>
  <c r="Q1211" i="4"/>
  <c r="R1211" i="4"/>
  <c r="S1211" i="4"/>
  <c r="L1212" i="4"/>
  <c r="M1212" i="4"/>
  <c r="N1212" i="4"/>
  <c r="O1212" i="4"/>
  <c r="P1212" i="4"/>
  <c r="Q1212" i="4"/>
  <c r="R1212" i="4"/>
  <c r="S1212" i="4"/>
  <c r="L1213" i="4"/>
  <c r="M1213" i="4"/>
  <c r="N1213" i="4"/>
  <c r="O1213" i="4"/>
  <c r="P1213" i="4"/>
  <c r="Q1213" i="4"/>
  <c r="R1213" i="4"/>
  <c r="S1213" i="4"/>
  <c r="L1214" i="4"/>
  <c r="M1214" i="4"/>
  <c r="N1214" i="4"/>
  <c r="O1214" i="4"/>
  <c r="P1214" i="4"/>
  <c r="Q1214" i="4"/>
  <c r="R1214" i="4"/>
  <c r="S1214" i="4"/>
  <c r="L1215" i="4"/>
  <c r="M1215" i="4"/>
  <c r="N1215" i="4"/>
  <c r="O1215" i="4"/>
  <c r="P1215" i="4"/>
  <c r="Q1215" i="4"/>
  <c r="R1215" i="4"/>
  <c r="S1215" i="4"/>
  <c r="L1216" i="4"/>
  <c r="M1216" i="4"/>
  <c r="N1216" i="4"/>
  <c r="O1216" i="4"/>
  <c r="P1216" i="4"/>
  <c r="Q1216" i="4"/>
  <c r="R1216" i="4"/>
  <c r="S1216" i="4"/>
  <c r="L1217" i="4"/>
  <c r="M1217" i="4"/>
  <c r="N1217" i="4"/>
  <c r="O1217" i="4"/>
  <c r="P1217" i="4"/>
  <c r="Q1217" i="4"/>
  <c r="R1217" i="4"/>
  <c r="S1217" i="4"/>
  <c r="L1218" i="4"/>
  <c r="M1218" i="4"/>
  <c r="N1218" i="4"/>
  <c r="O1218" i="4"/>
  <c r="P1218" i="4"/>
  <c r="Q1218" i="4"/>
  <c r="R1218" i="4"/>
  <c r="S1218" i="4"/>
  <c r="L1219" i="4"/>
  <c r="M1219" i="4"/>
  <c r="N1219" i="4"/>
  <c r="O1219" i="4"/>
  <c r="P1219" i="4"/>
  <c r="Q1219" i="4"/>
  <c r="R1219" i="4"/>
  <c r="S1219" i="4"/>
  <c r="L1220" i="4"/>
  <c r="M1220" i="4"/>
  <c r="N1220" i="4"/>
  <c r="O1220" i="4"/>
  <c r="P1220" i="4"/>
  <c r="Q1220" i="4"/>
  <c r="R1220" i="4"/>
  <c r="S1220" i="4"/>
  <c r="L1221" i="4"/>
  <c r="M1221" i="4"/>
  <c r="N1221" i="4"/>
  <c r="O1221" i="4"/>
  <c r="P1221" i="4"/>
  <c r="Q1221" i="4"/>
  <c r="R1221" i="4"/>
  <c r="S1221" i="4"/>
  <c r="L1222" i="4"/>
  <c r="M1222" i="4"/>
  <c r="N1222" i="4"/>
  <c r="O1222" i="4"/>
  <c r="P1222" i="4"/>
  <c r="Q1222" i="4"/>
  <c r="R1222" i="4"/>
  <c r="S1222" i="4"/>
  <c r="L1223" i="4"/>
  <c r="M1223" i="4"/>
  <c r="N1223" i="4"/>
  <c r="O1223" i="4"/>
  <c r="P1223" i="4"/>
  <c r="Q1223" i="4"/>
  <c r="R1223" i="4"/>
  <c r="S1223" i="4"/>
  <c r="L1224" i="4"/>
  <c r="M1224" i="4"/>
  <c r="N1224" i="4"/>
  <c r="O1224" i="4"/>
  <c r="P1224" i="4"/>
  <c r="Q1224" i="4"/>
  <c r="R1224" i="4"/>
  <c r="S1224" i="4"/>
  <c r="L1225" i="4"/>
  <c r="M1225" i="4"/>
  <c r="N1225" i="4"/>
  <c r="O1225" i="4"/>
  <c r="P1225" i="4"/>
  <c r="Q1225" i="4"/>
  <c r="R1225" i="4"/>
  <c r="S1225" i="4"/>
  <c r="L1226" i="4"/>
  <c r="M1226" i="4"/>
  <c r="N1226" i="4"/>
  <c r="O1226" i="4"/>
  <c r="P1226" i="4"/>
  <c r="Q1226" i="4"/>
  <c r="R1226" i="4"/>
  <c r="S1226" i="4"/>
  <c r="L1227" i="4"/>
  <c r="M1227" i="4"/>
  <c r="N1227" i="4"/>
  <c r="O1227" i="4"/>
  <c r="P1227" i="4"/>
  <c r="Q1227" i="4"/>
  <c r="R1227" i="4"/>
  <c r="S1227" i="4"/>
  <c r="L1228" i="4"/>
  <c r="M1228" i="4"/>
  <c r="N1228" i="4"/>
  <c r="O1228" i="4"/>
  <c r="P1228" i="4"/>
  <c r="Q1228" i="4"/>
  <c r="R1228" i="4"/>
  <c r="S1228" i="4"/>
  <c r="L1229" i="4"/>
  <c r="M1229" i="4"/>
  <c r="N1229" i="4"/>
  <c r="O1229" i="4"/>
  <c r="P1229" i="4"/>
  <c r="Q1229" i="4"/>
  <c r="R1229" i="4"/>
  <c r="S1229" i="4"/>
  <c r="L1230" i="4"/>
  <c r="M1230" i="4"/>
  <c r="N1230" i="4"/>
  <c r="O1230" i="4"/>
  <c r="P1230" i="4"/>
  <c r="Q1230" i="4"/>
  <c r="R1230" i="4"/>
  <c r="S1230" i="4"/>
  <c r="L1231" i="4"/>
  <c r="M1231" i="4"/>
  <c r="N1231" i="4"/>
  <c r="O1231" i="4"/>
  <c r="P1231" i="4"/>
  <c r="Q1231" i="4"/>
  <c r="R1231" i="4"/>
  <c r="S1231" i="4"/>
  <c r="L1232" i="4"/>
  <c r="M1232" i="4"/>
  <c r="N1232" i="4"/>
  <c r="O1232" i="4"/>
  <c r="P1232" i="4"/>
  <c r="Q1232" i="4"/>
  <c r="R1232" i="4"/>
  <c r="S1232" i="4"/>
  <c r="L1233" i="4"/>
  <c r="M1233" i="4"/>
  <c r="N1233" i="4"/>
  <c r="O1233" i="4"/>
  <c r="P1233" i="4"/>
  <c r="Q1233" i="4"/>
  <c r="R1233" i="4"/>
  <c r="S1233" i="4"/>
  <c r="L1234" i="4"/>
  <c r="M1234" i="4"/>
  <c r="N1234" i="4"/>
  <c r="O1234" i="4"/>
  <c r="P1234" i="4"/>
  <c r="Q1234" i="4"/>
  <c r="R1234" i="4"/>
  <c r="S1234" i="4"/>
  <c r="L1235" i="4"/>
  <c r="M1235" i="4"/>
  <c r="N1235" i="4"/>
  <c r="O1235" i="4"/>
  <c r="P1235" i="4"/>
  <c r="Q1235" i="4"/>
  <c r="R1235" i="4"/>
  <c r="S1235" i="4"/>
  <c r="L1236" i="4"/>
  <c r="M1236" i="4"/>
  <c r="N1236" i="4"/>
  <c r="O1236" i="4"/>
  <c r="P1236" i="4"/>
  <c r="Q1236" i="4"/>
  <c r="R1236" i="4"/>
  <c r="S1236" i="4"/>
  <c r="L1237" i="4"/>
  <c r="M1237" i="4"/>
  <c r="N1237" i="4"/>
  <c r="O1237" i="4"/>
  <c r="P1237" i="4"/>
  <c r="Q1237" i="4"/>
  <c r="R1237" i="4"/>
  <c r="S1237" i="4"/>
  <c r="L1238" i="4"/>
  <c r="M1238" i="4"/>
  <c r="N1238" i="4"/>
  <c r="O1238" i="4"/>
  <c r="P1238" i="4"/>
  <c r="Q1238" i="4"/>
  <c r="R1238" i="4"/>
  <c r="S1238" i="4"/>
  <c r="L1239" i="4"/>
  <c r="M1239" i="4"/>
  <c r="N1239" i="4"/>
  <c r="O1239" i="4"/>
  <c r="P1239" i="4"/>
  <c r="Q1239" i="4"/>
  <c r="R1239" i="4"/>
  <c r="S1239" i="4"/>
  <c r="L1240" i="4"/>
  <c r="M1240" i="4"/>
  <c r="N1240" i="4"/>
  <c r="O1240" i="4"/>
  <c r="P1240" i="4"/>
  <c r="Q1240" i="4"/>
  <c r="R1240" i="4"/>
  <c r="S1240" i="4"/>
  <c r="L1241" i="4"/>
  <c r="M1241" i="4"/>
  <c r="N1241" i="4"/>
  <c r="O1241" i="4"/>
  <c r="P1241" i="4"/>
  <c r="Q1241" i="4"/>
  <c r="R1241" i="4"/>
  <c r="S1241" i="4"/>
  <c r="L1242" i="4"/>
  <c r="M1242" i="4"/>
  <c r="N1242" i="4"/>
  <c r="O1242" i="4"/>
  <c r="P1242" i="4"/>
  <c r="Q1242" i="4"/>
  <c r="R1242" i="4"/>
  <c r="S1242" i="4"/>
  <c r="L1243" i="4"/>
  <c r="M1243" i="4"/>
  <c r="N1243" i="4"/>
  <c r="O1243" i="4"/>
  <c r="P1243" i="4"/>
  <c r="Q1243" i="4"/>
  <c r="R1243" i="4"/>
  <c r="S1243" i="4"/>
  <c r="L1244" i="4"/>
  <c r="M1244" i="4"/>
  <c r="N1244" i="4"/>
  <c r="O1244" i="4"/>
  <c r="P1244" i="4"/>
  <c r="Q1244" i="4"/>
  <c r="R1244" i="4"/>
  <c r="S1244" i="4"/>
  <c r="L1245" i="4"/>
  <c r="M1245" i="4"/>
  <c r="N1245" i="4"/>
  <c r="O1245" i="4"/>
  <c r="P1245" i="4"/>
  <c r="Q1245" i="4"/>
  <c r="R1245" i="4"/>
  <c r="S1245" i="4"/>
  <c r="L1246" i="4"/>
  <c r="M1246" i="4"/>
  <c r="N1246" i="4"/>
  <c r="O1246" i="4"/>
  <c r="P1246" i="4"/>
  <c r="Q1246" i="4"/>
  <c r="R1246" i="4"/>
  <c r="S1246" i="4"/>
  <c r="L1247" i="4"/>
  <c r="M1247" i="4"/>
  <c r="N1247" i="4"/>
  <c r="O1247" i="4"/>
  <c r="P1247" i="4"/>
  <c r="Q1247" i="4"/>
  <c r="R1247" i="4"/>
  <c r="S1247" i="4"/>
  <c r="L1248" i="4"/>
  <c r="M1248" i="4"/>
  <c r="N1248" i="4"/>
  <c r="O1248" i="4"/>
  <c r="P1248" i="4"/>
  <c r="Q1248" i="4"/>
  <c r="R1248" i="4"/>
  <c r="S1248" i="4"/>
  <c r="L1249" i="4"/>
  <c r="M1249" i="4"/>
  <c r="N1249" i="4"/>
  <c r="O1249" i="4"/>
  <c r="P1249" i="4"/>
  <c r="Q1249" i="4"/>
  <c r="R1249" i="4"/>
  <c r="S1249" i="4"/>
  <c r="L1250" i="4"/>
  <c r="M1250" i="4"/>
  <c r="N1250" i="4"/>
  <c r="O1250" i="4"/>
  <c r="P1250" i="4"/>
  <c r="Q1250" i="4"/>
  <c r="R1250" i="4"/>
  <c r="S1250" i="4"/>
  <c r="L1251" i="4"/>
  <c r="M1251" i="4"/>
  <c r="N1251" i="4"/>
  <c r="O1251" i="4"/>
  <c r="P1251" i="4"/>
  <c r="Q1251" i="4"/>
  <c r="R1251" i="4"/>
  <c r="S1251" i="4"/>
  <c r="L1252" i="4"/>
  <c r="M1252" i="4"/>
  <c r="N1252" i="4"/>
  <c r="O1252" i="4"/>
  <c r="P1252" i="4"/>
  <c r="Q1252" i="4"/>
  <c r="R1252" i="4"/>
  <c r="S1252" i="4"/>
  <c r="L1253" i="4"/>
  <c r="M1253" i="4"/>
  <c r="N1253" i="4"/>
  <c r="O1253" i="4"/>
  <c r="P1253" i="4"/>
  <c r="Q1253" i="4"/>
  <c r="R1253" i="4"/>
  <c r="S1253" i="4"/>
  <c r="L1254" i="4"/>
  <c r="M1254" i="4"/>
  <c r="N1254" i="4"/>
  <c r="O1254" i="4"/>
  <c r="P1254" i="4"/>
  <c r="Q1254" i="4"/>
  <c r="R1254" i="4"/>
  <c r="S1254" i="4"/>
  <c r="L1255" i="4"/>
  <c r="M1255" i="4"/>
  <c r="N1255" i="4"/>
  <c r="O1255" i="4"/>
  <c r="P1255" i="4"/>
  <c r="Q1255" i="4"/>
  <c r="R1255" i="4"/>
  <c r="S1255" i="4"/>
  <c r="L1256" i="4"/>
  <c r="M1256" i="4"/>
  <c r="N1256" i="4"/>
  <c r="O1256" i="4"/>
  <c r="P1256" i="4"/>
  <c r="Q1256" i="4"/>
  <c r="R1256" i="4"/>
  <c r="S1256" i="4"/>
  <c r="L1257" i="4"/>
  <c r="M1257" i="4"/>
  <c r="N1257" i="4"/>
  <c r="O1257" i="4"/>
  <c r="P1257" i="4"/>
  <c r="Q1257" i="4"/>
  <c r="R1257" i="4"/>
  <c r="S1257" i="4"/>
  <c r="L1258" i="4"/>
  <c r="M1258" i="4"/>
  <c r="N1258" i="4"/>
  <c r="O1258" i="4"/>
  <c r="P1258" i="4"/>
  <c r="Q1258" i="4"/>
  <c r="R1258" i="4"/>
  <c r="S1258" i="4"/>
  <c r="L1259" i="4"/>
  <c r="M1259" i="4"/>
  <c r="N1259" i="4"/>
  <c r="O1259" i="4"/>
  <c r="P1259" i="4"/>
  <c r="Q1259" i="4"/>
  <c r="R1259" i="4"/>
  <c r="S1259" i="4"/>
  <c r="L1260" i="4"/>
  <c r="M1260" i="4"/>
  <c r="N1260" i="4"/>
  <c r="O1260" i="4"/>
  <c r="P1260" i="4"/>
  <c r="Q1260" i="4"/>
  <c r="R1260" i="4"/>
  <c r="S1260" i="4"/>
  <c r="L1261" i="4"/>
  <c r="M1261" i="4"/>
  <c r="N1261" i="4"/>
  <c r="O1261" i="4"/>
  <c r="P1261" i="4"/>
  <c r="Q1261" i="4"/>
  <c r="R1261" i="4"/>
  <c r="S1261" i="4"/>
  <c r="L1262" i="4"/>
  <c r="M1262" i="4"/>
  <c r="N1262" i="4"/>
  <c r="O1262" i="4"/>
  <c r="P1262" i="4"/>
  <c r="Q1262" i="4"/>
  <c r="R1262" i="4"/>
  <c r="S1262" i="4"/>
  <c r="L1263" i="4"/>
  <c r="M1263" i="4"/>
  <c r="N1263" i="4"/>
  <c r="O1263" i="4"/>
  <c r="P1263" i="4"/>
  <c r="Q1263" i="4"/>
  <c r="R1263" i="4"/>
  <c r="S1263" i="4"/>
  <c r="L1264" i="4"/>
  <c r="M1264" i="4"/>
  <c r="N1264" i="4"/>
  <c r="O1264" i="4"/>
  <c r="P1264" i="4"/>
  <c r="Q1264" i="4"/>
  <c r="R1264" i="4"/>
  <c r="S1264" i="4"/>
  <c r="L1265" i="4"/>
  <c r="M1265" i="4"/>
  <c r="N1265" i="4"/>
  <c r="O1265" i="4"/>
  <c r="P1265" i="4"/>
  <c r="Q1265" i="4"/>
  <c r="R1265" i="4"/>
  <c r="S1265" i="4"/>
  <c r="L1266" i="4"/>
  <c r="M1266" i="4"/>
  <c r="N1266" i="4"/>
  <c r="O1266" i="4"/>
  <c r="P1266" i="4"/>
  <c r="Q1266" i="4"/>
  <c r="R1266" i="4"/>
  <c r="S1266" i="4"/>
  <c r="L1267" i="4"/>
  <c r="M1267" i="4"/>
  <c r="N1267" i="4"/>
  <c r="O1267" i="4"/>
  <c r="P1267" i="4"/>
  <c r="Q1267" i="4"/>
  <c r="R1267" i="4"/>
  <c r="S1267" i="4"/>
  <c r="L1268" i="4"/>
  <c r="M1268" i="4"/>
  <c r="N1268" i="4"/>
  <c r="O1268" i="4"/>
  <c r="P1268" i="4"/>
  <c r="Q1268" i="4"/>
  <c r="R1268" i="4"/>
  <c r="S1268" i="4"/>
  <c r="L1269" i="4"/>
  <c r="M1269" i="4"/>
  <c r="N1269" i="4"/>
  <c r="O1269" i="4"/>
  <c r="P1269" i="4"/>
  <c r="Q1269" i="4"/>
  <c r="R1269" i="4"/>
  <c r="S1269" i="4"/>
  <c r="L1270" i="4"/>
  <c r="M1270" i="4"/>
  <c r="N1270" i="4"/>
  <c r="O1270" i="4"/>
  <c r="P1270" i="4"/>
  <c r="Q1270" i="4"/>
  <c r="R1270" i="4"/>
  <c r="S1270" i="4"/>
  <c r="L1271" i="4"/>
  <c r="M1271" i="4"/>
  <c r="N1271" i="4"/>
  <c r="O1271" i="4"/>
  <c r="P1271" i="4"/>
  <c r="Q1271" i="4"/>
  <c r="R1271" i="4"/>
  <c r="S1271" i="4"/>
  <c r="L1272" i="4"/>
  <c r="M1272" i="4"/>
  <c r="N1272" i="4"/>
  <c r="O1272" i="4"/>
  <c r="P1272" i="4"/>
  <c r="Q1272" i="4"/>
  <c r="R1272" i="4"/>
  <c r="S1272" i="4"/>
  <c r="L1273" i="4"/>
  <c r="M1273" i="4"/>
  <c r="N1273" i="4"/>
  <c r="O1273" i="4"/>
  <c r="P1273" i="4"/>
  <c r="Q1273" i="4"/>
  <c r="R1273" i="4"/>
  <c r="S1273" i="4"/>
  <c r="L1274" i="4"/>
  <c r="M1274" i="4"/>
  <c r="N1274" i="4"/>
  <c r="O1274" i="4"/>
  <c r="P1274" i="4"/>
  <c r="Q1274" i="4"/>
  <c r="R1274" i="4"/>
  <c r="S1274" i="4"/>
  <c r="L1275" i="4"/>
  <c r="M1275" i="4"/>
  <c r="N1275" i="4"/>
  <c r="O1275" i="4"/>
  <c r="P1275" i="4"/>
  <c r="Q1275" i="4"/>
  <c r="R1275" i="4"/>
  <c r="S1275" i="4"/>
  <c r="L1276" i="4"/>
  <c r="M1276" i="4"/>
  <c r="N1276" i="4"/>
  <c r="O1276" i="4"/>
  <c r="P1276" i="4"/>
  <c r="Q1276" i="4"/>
  <c r="R1276" i="4"/>
  <c r="S1276" i="4"/>
  <c r="L1277" i="4"/>
  <c r="M1277" i="4"/>
  <c r="N1277" i="4"/>
  <c r="O1277" i="4"/>
  <c r="P1277" i="4"/>
  <c r="Q1277" i="4"/>
  <c r="R1277" i="4"/>
  <c r="S1277" i="4"/>
  <c r="L1278" i="4"/>
  <c r="M1278" i="4"/>
  <c r="N1278" i="4"/>
  <c r="O1278" i="4"/>
  <c r="P1278" i="4"/>
  <c r="Q1278" i="4"/>
  <c r="R1278" i="4"/>
  <c r="S1278" i="4"/>
  <c r="L1279" i="4"/>
  <c r="M1279" i="4"/>
  <c r="N1279" i="4"/>
  <c r="O1279" i="4"/>
  <c r="P1279" i="4"/>
  <c r="Q1279" i="4"/>
  <c r="R1279" i="4"/>
  <c r="S1279" i="4"/>
  <c r="L1280" i="4"/>
  <c r="M1280" i="4"/>
  <c r="N1280" i="4"/>
  <c r="O1280" i="4"/>
  <c r="P1280" i="4"/>
  <c r="Q1280" i="4"/>
  <c r="R1280" i="4"/>
  <c r="S1280" i="4"/>
  <c r="L1281" i="4"/>
  <c r="M1281" i="4"/>
  <c r="N1281" i="4"/>
  <c r="O1281" i="4"/>
  <c r="P1281" i="4"/>
  <c r="Q1281" i="4"/>
  <c r="R1281" i="4"/>
  <c r="S1281" i="4"/>
  <c r="L1282" i="4"/>
  <c r="M1282" i="4"/>
  <c r="N1282" i="4"/>
  <c r="O1282" i="4"/>
  <c r="P1282" i="4"/>
  <c r="Q1282" i="4"/>
  <c r="R1282" i="4"/>
  <c r="S1282" i="4"/>
  <c r="L1283" i="4"/>
  <c r="M1283" i="4"/>
  <c r="N1283" i="4"/>
  <c r="O1283" i="4"/>
  <c r="P1283" i="4"/>
  <c r="Q1283" i="4"/>
  <c r="R1283" i="4"/>
  <c r="S1283" i="4"/>
  <c r="L1284" i="4"/>
  <c r="M1284" i="4"/>
  <c r="N1284" i="4"/>
  <c r="O1284" i="4"/>
  <c r="P1284" i="4"/>
  <c r="Q1284" i="4"/>
  <c r="R1284" i="4"/>
  <c r="S1284" i="4"/>
  <c r="L1285" i="4"/>
  <c r="M1285" i="4"/>
  <c r="N1285" i="4"/>
  <c r="O1285" i="4"/>
  <c r="P1285" i="4"/>
  <c r="Q1285" i="4"/>
  <c r="R1285" i="4"/>
  <c r="S1285" i="4"/>
  <c r="L1286" i="4"/>
  <c r="M1286" i="4"/>
  <c r="N1286" i="4"/>
  <c r="O1286" i="4"/>
  <c r="P1286" i="4"/>
  <c r="Q1286" i="4"/>
  <c r="R1286" i="4"/>
  <c r="S1286" i="4"/>
  <c r="L1287" i="4"/>
  <c r="M1287" i="4"/>
  <c r="N1287" i="4"/>
  <c r="O1287" i="4"/>
  <c r="P1287" i="4"/>
  <c r="Q1287" i="4"/>
  <c r="R1287" i="4"/>
  <c r="S1287" i="4"/>
  <c r="L1288" i="4"/>
  <c r="M1288" i="4"/>
  <c r="N1288" i="4"/>
  <c r="O1288" i="4"/>
  <c r="P1288" i="4"/>
  <c r="Q1288" i="4"/>
  <c r="R1288" i="4"/>
  <c r="S1288" i="4"/>
  <c r="L1289" i="4"/>
  <c r="M1289" i="4"/>
  <c r="N1289" i="4"/>
  <c r="O1289" i="4"/>
  <c r="P1289" i="4"/>
  <c r="Q1289" i="4"/>
  <c r="R1289" i="4"/>
  <c r="S1289" i="4"/>
  <c r="L1290" i="4"/>
  <c r="M1290" i="4"/>
  <c r="N1290" i="4"/>
  <c r="O1290" i="4"/>
  <c r="P1290" i="4"/>
  <c r="Q1290" i="4"/>
  <c r="R1290" i="4"/>
  <c r="S1290" i="4"/>
  <c r="L1291" i="4"/>
  <c r="M1291" i="4"/>
  <c r="N1291" i="4"/>
  <c r="O1291" i="4"/>
  <c r="P1291" i="4"/>
  <c r="Q1291" i="4"/>
  <c r="R1291" i="4"/>
  <c r="S1291" i="4"/>
  <c r="L1292" i="4"/>
  <c r="M1292" i="4"/>
  <c r="N1292" i="4"/>
  <c r="O1292" i="4"/>
  <c r="P1292" i="4"/>
  <c r="Q1292" i="4"/>
  <c r="R1292" i="4"/>
  <c r="S1292" i="4"/>
  <c r="L1293" i="4"/>
  <c r="M1293" i="4"/>
  <c r="N1293" i="4"/>
  <c r="O1293" i="4"/>
  <c r="P1293" i="4"/>
  <c r="Q1293" i="4"/>
  <c r="R1293" i="4"/>
  <c r="S1293" i="4"/>
  <c r="L1294" i="4"/>
  <c r="M1294" i="4"/>
  <c r="N1294" i="4"/>
  <c r="O1294" i="4"/>
  <c r="P1294" i="4"/>
  <c r="Q1294" i="4"/>
  <c r="R1294" i="4"/>
  <c r="S1294" i="4"/>
  <c r="L1295" i="4"/>
  <c r="M1295" i="4"/>
  <c r="N1295" i="4"/>
  <c r="O1295" i="4"/>
  <c r="P1295" i="4"/>
  <c r="Q1295" i="4"/>
  <c r="R1295" i="4"/>
  <c r="S1295" i="4"/>
  <c r="L1296" i="4"/>
  <c r="M1296" i="4"/>
  <c r="N1296" i="4"/>
  <c r="O1296" i="4"/>
  <c r="P1296" i="4"/>
  <c r="Q1296" i="4"/>
  <c r="R1296" i="4"/>
  <c r="S1296" i="4"/>
  <c r="L1297" i="4"/>
  <c r="M1297" i="4"/>
  <c r="N1297" i="4"/>
  <c r="O1297" i="4"/>
  <c r="P1297" i="4"/>
  <c r="Q1297" i="4"/>
  <c r="R1297" i="4"/>
  <c r="S1297" i="4"/>
  <c r="L1298" i="4"/>
  <c r="M1298" i="4"/>
  <c r="N1298" i="4"/>
  <c r="O1298" i="4"/>
  <c r="P1298" i="4"/>
  <c r="Q1298" i="4"/>
  <c r="R1298" i="4"/>
  <c r="S1298" i="4"/>
  <c r="L1299" i="4"/>
  <c r="M1299" i="4"/>
  <c r="N1299" i="4"/>
  <c r="O1299" i="4"/>
  <c r="P1299" i="4"/>
  <c r="Q1299" i="4"/>
  <c r="R1299" i="4"/>
  <c r="S1299" i="4"/>
  <c r="L1300" i="4"/>
  <c r="M1300" i="4"/>
  <c r="N1300" i="4"/>
  <c r="O1300" i="4"/>
  <c r="P1300" i="4"/>
  <c r="Q1300" i="4"/>
  <c r="R1300" i="4"/>
  <c r="S1300" i="4"/>
  <c r="L1301" i="4"/>
  <c r="M1301" i="4"/>
  <c r="N1301" i="4"/>
  <c r="O1301" i="4"/>
  <c r="P1301" i="4"/>
  <c r="Q1301" i="4"/>
  <c r="R1301" i="4"/>
  <c r="S1301" i="4"/>
  <c r="L1302" i="4"/>
  <c r="M1302" i="4"/>
  <c r="N1302" i="4"/>
  <c r="O1302" i="4"/>
  <c r="P1302" i="4"/>
  <c r="Q1302" i="4"/>
  <c r="R1302" i="4"/>
  <c r="S1302" i="4"/>
  <c r="L1303" i="4"/>
  <c r="M1303" i="4"/>
  <c r="N1303" i="4"/>
  <c r="O1303" i="4"/>
  <c r="P1303" i="4"/>
  <c r="Q1303" i="4"/>
  <c r="R1303" i="4"/>
  <c r="S1303" i="4"/>
  <c r="L1304" i="4"/>
  <c r="M1304" i="4"/>
  <c r="N1304" i="4"/>
  <c r="O1304" i="4"/>
  <c r="P1304" i="4"/>
  <c r="Q1304" i="4"/>
  <c r="R1304" i="4"/>
  <c r="S1304" i="4"/>
  <c r="L1305" i="4"/>
  <c r="M1305" i="4"/>
  <c r="N1305" i="4"/>
  <c r="O1305" i="4"/>
  <c r="P1305" i="4"/>
  <c r="Q1305" i="4"/>
  <c r="R1305" i="4"/>
  <c r="S1305" i="4"/>
  <c r="L1306" i="4"/>
  <c r="M1306" i="4"/>
  <c r="N1306" i="4"/>
  <c r="O1306" i="4"/>
  <c r="P1306" i="4"/>
  <c r="Q1306" i="4"/>
  <c r="R1306" i="4"/>
  <c r="S1306" i="4"/>
  <c r="L1307" i="4"/>
  <c r="M1307" i="4"/>
  <c r="N1307" i="4"/>
  <c r="O1307" i="4"/>
  <c r="P1307" i="4"/>
  <c r="Q1307" i="4"/>
  <c r="R1307" i="4"/>
  <c r="S1307" i="4"/>
  <c r="L1308" i="4"/>
  <c r="M1308" i="4"/>
  <c r="N1308" i="4"/>
  <c r="O1308" i="4"/>
  <c r="P1308" i="4"/>
  <c r="Q1308" i="4"/>
  <c r="R1308" i="4"/>
  <c r="S1308" i="4"/>
  <c r="L1309" i="4"/>
  <c r="M1309" i="4"/>
  <c r="N1309" i="4"/>
  <c r="O1309" i="4"/>
  <c r="P1309" i="4"/>
  <c r="Q1309" i="4"/>
  <c r="R1309" i="4"/>
  <c r="S1309" i="4"/>
  <c r="L1310" i="4"/>
  <c r="M1310" i="4"/>
  <c r="N1310" i="4"/>
  <c r="O1310" i="4"/>
  <c r="P1310" i="4"/>
  <c r="Q1310" i="4"/>
  <c r="R1310" i="4"/>
  <c r="S1310" i="4"/>
  <c r="L1311" i="4"/>
  <c r="M1311" i="4"/>
  <c r="N1311" i="4"/>
  <c r="O1311" i="4"/>
  <c r="P1311" i="4"/>
  <c r="Q1311" i="4"/>
  <c r="R1311" i="4"/>
  <c r="S1311" i="4"/>
  <c r="L1312" i="4"/>
  <c r="M1312" i="4"/>
  <c r="N1312" i="4"/>
  <c r="O1312" i="4"/>
  <c r="P1312" i="4"/>
  <c r="Q1312" i="4"/>
  <c r="R1312" i="4"/>
  <c r="S1312" i="4"/>
  <c r="L1313" i="4"/>
  <c r="M1313" i="4"/>
  <c r="N1313" i="4"/>
  <c r="O1313" i="4"/>
  <c r="P1313" i="4"/>
  <c r="Q1313" i="4"/>
  <c r="R1313" i="4"/>
  <c r="S1313" i="4"/>
  <c r="L1314" i="4"/>
  <c r="M1314" i="4"/>
  <c r="N1314" i="4"/>
  <c r="O1314" i="4"/>
  <c r="P1314" i="4"/>
  <c r="Q1314" i="4"/>
  <c r="R1314" i="4"/>
  <c r="S1314" i="4"/>
  <c r="L1315" i="4"/>
  <c r="M1315" i="4"/>
  <c r="N1315" i="4"/>
  <c r="O1315" i="4"/>
  <c r="P1315" i="4"/>
  <c r="Q1315" i="4"/>
  <c r="R1315" i="4"/>
  <c r="S1315" i="4"/>
  <c r="L1316" i="4"/>
  <c r="M1316" i="4"/>
  <c r="N1316" i="4"/>
  <c r="O1316" i="4"/>
  <c r="P1316" i="4"/>
  <c r="Q1316" i="4"/>
  <c r="R1316" i="4"/>
  <c r="S1316" i="4"/>
  <c r="L1317" i="4"/>
  <c r="M1317" i="4"/>
  <c r="N1317" i="4"/>
  <c r="O1317" i="4"/>
  <c r="P1317" i="4"/>
  <c r="Q1317" i="4"/>
  <c r="R1317" i="4"/>
  <c r="S1317" i="4"/>
  <c r="L1318" i="4"/>
  <c r="M1318" i="4"/>
  <c r="N1318" i="4"/>
  <c r="O1318" i="4"/>
  <c r="P1318" i="4"/>
  <c r="Q1318" i="4"/>
  <c r="R1318" i="4"/>
  <c r="S1318" i="4"/>
  <c r="L1319" i="4"/>
  <c r="M1319" i="4"/>
  <c r="N1319" i="4"/>
  <c r="O1319" i="4"/>
  <c r="P1319" i="4"/>
  <c r="Q1319" i="4"/>
  <c r="R1319" i="4"/>
  <c r="S1319" i="4"/>
  <c r="L1320" i="4"/>
  <c r="M1320" i="4"/>
  <c r="N1320" i="4"/>
  <c r="O1320" i="4"/>
  <c r="P1320" i="4"/>
  <c r="Q1320" i="4"/>
  <c r="R1320" i="4"/>
  <c r="S1320" i="4"/>
  <c r="L1321" i="4"/>
  <c r="M1321" i="4"/>
  <c r="N1321" i="4"/>
  <c r="O1321" i="4"/>
  <c r="P1321" i="4"/>
  <c r="Q1321" i="4"/>
  <c r="R1321" i="4"/>
  <c r="S1321" i="4"/>
  <c r="L1322" i="4"/>
  <c r="M1322" i="4"/>
  <c r="N1322" i="4"/>
  <c r="O1322" i="4"/>
  <c r="P1322" i="4"/>
  <c r="Q1322" i="4"/>
  <c r="R1322" i="4"/>
  <c r="S1322" i="4"/>
  <c r="L1323" i="4"/>
  <c r="M1323" i="4"/>
  <c r="N1323" i="4"/>
  <c r="O1323" i="4"/>
  <c r="P1323" i="4"/>
  <c r="Q1323" i="4"/>
  <c r="R1323" i="4"/>
  <c r="S1323" i="4"/>
  <c r="L1324" i="4"/>
  <c r="M1324" i="4"/>
  <c r="N1324" i="4"/>
  <c r="O1324" i="4"/>
  <c r="P1324" i="4"/>
  <c r="Q1324" i="4"/>
  <c r="R1324" i="4"/>
  <c r="S1324" i="4"/>
  <c r="L1325" i="4"/>
  <c r="M1325" i="4"/>
  <c r="N1325" i="4"/>
  <c r="O1325" i="4"/>
  <c r="P1325" i="4"/>
  <c r="Q1325" i="4"/>
  <c r="R1325" i="4"/>
  <c r="S1325" i="4"/>
  <c r="L1326" i="4"/>
  <c r="M1326" i="4"/>
  <c r="N1326" i="4"/>
  <c r="O1326" i="4"/>
  <c r="P1326" i="4"/>
  <c r="Q1326" i="4"/>
  <c r="R1326" i="4"/>
  <c r="S1326" i="4"/>
  <c r="L1327" i="4"/>
  <c r="M1327" i="4"/>
  <c r="N1327" i="4"/>
  <c r="O1327" i="4"/>
  <c r="P1327" i="4"/>
  <c r="Q1327" i="4"/>
  <c r="R1327" i="4"/>
  <c r="S1327" i="4"/>
  <c r="L1328" i="4"/>
  <c r="M1328" i="4"/>
  <c r="N1328" i="4"/>
  <c r="O1328" i="4"/>
  <c r="P1328" i="4"/>
  <c r="Q1328" i="4"/>
  <c r="R1328" i="4"/>
  <c r="S1328" i="4"/>
  <c r="L1329" i="4"/>
  <c r="M1329" i="4"/>
  <c r="N1329" i="4"/>
  <c r="O1329" i="4"/>
  <c r="P1329" i="4"/>
  <c r="Q1329" i="4"/>
  <c r="R1329" i="4"/>
  <c r="S1329" i="4"/>
  <c r="L1330" i="4"/>
  <c r="M1330" i="4"/>
  <c r="N1330" i="4"/>
  <c r="O1330" i="4"/>
  <c r="P1330" i="4"/>
  <c r="Q1330" i="4"/>
  <c r="R1330" i="4"/>
  <c r="S1330" i="4"/>
  <c r="L1331" i="4"/>
  <c r="M1331" i="4"/>
  <c r="N1331" i="4"/>
  <c r="O1331" i="4"/>
  <c r="P1331" i="4"/>
  <c r="Q1331" i="4"/>
  <c r="R1331" i="4"/>
  <c r="S1331" i="4"/>
  <c r="L1332" i="4"/>
  <c r="M1332" i="4"/>
  <c r="N1332" i="4"/>
  <c r="O1332" i="4"/>
  <c r="P1332" i="4"/>
  <c r="Q1332" i="4"/>
  <c r="R1332" i="4"/>
  <c r="S1332" i="4"/>
  <c r="L1333" i="4"/>
  <c r="M1333" i="4"/>
  <c r="N1333" i="4"/>
  <c r="O1333" i="4"/>
  <c r="P1333" i="4"/>
  <c r="Q1333" i="4"/>
  <c r="R1333" i="4"/>
  <c r="S1333" i="4"/>
  <c r="L1334" i="4"/>
  <c r="M1334" i="4"/>
  <c r="N1334" i="4"/>
  <c r="O1334" i="4"/>
  <c r="P1334" i="4"/>
  <c r="Q1334" i="4"/>
  <c r="R1334" i="4"/>
  <c r="S1334" i="4"/>
  <c r="L1335" i="4"/>
  <c r="M1335" i="4"/>
  <c r="N1335" i="4"/>
  <c r="O1335" i="4"/>
  <c r="P1335" i="4"/>
  <c r="Q1335" i="4"/>
  <c r="R1335" i="4"/>
  <c r="S1335" i="4"/>
  <c r="L1336" i="4"/>
  <c r="M1336" i="4"/>
  <c r="N1336" i="4"/>
  <c r="O1336" i="4"/>
  <c r="P1336" i="4"/>
  <c r="Q1336" i="4"/>
  <c r="R1336" i="4"/>
  <c r="S1336" i="4"/>
  <c r="L1337" i="4"/>
  <c r="M1337" i="4"/>
  <c r="N1337" i="4"/>
  <c r="O1337" i="4"/>
  <c r="P1337" i="4"/>
  <c r="Q1337" i="4"/>
  <c r="R1337" i="4"/>
  <c r="S1337" i="4"/>
  <c r="L1338" i="4"/>
  <c r="M1338" i="4"/>
  <c r="N1338" i="4"/>
  <c r="O1338" i="4"/>
  <c r="P1338" i="4"/>
  <c r="Q1338" i="4"/>
  <c r="R1338" i="4"/>
  <c r="S1338" i="4"/>
  <c r="L1339" i="4"/>
  <c r="M1339" i="4"/>
  <c r="N1339" i="4"/>
  <c r="O1339" i="4"/>
  <c r="P1339" i="4"/>
  <c r="Q1339" i="4"/>
  <c r="R1339" i="4"/>
  <c r="S1339" i="4"/>
  <c r="L1340" i="4"/>
  <c r="M1340" i="4"/>
  <c r="N1340" i="4"/>
  <c r="O1340" i="4"/>
  <c r="P1340" i="4"/>
  <c r="Q1340" i="4"/>
  <c r="R1340" i="4"/>
  <c r="S1340" i="4"/>
  <c r="L1341" i="4"/>
  <c r="M1341" i="4"/>
  <c r="N1341" i="4"/>
  <c r="O1341" i="4"/>
  <c r="P1341" i="4"/>
  <c r="Q1341" i="4"/>
  <c r="R1341" i="4"/>
  <c r="S1341" i="4"/>
  <c r="L1342" i="4"/>
  <c r="M1342" i="4"/>
  <c r="N1342" i="4"/>
  <c r="O1342" i="4"/>
  <c r="P1342" i="4"/>
  <c r="Q1342" i="4"/>
  <c r="R1342" i="4"/>
  <c r="S1342" i="4"/>
  <c r="L1343" i="4"/>
  <c r="M1343" i="4"/>
  <c r="N1343" i="4"/>
  <c r="O1343" i="4"/>
  <c r="P1343" i="4"/>
  <c r="Q1343" i="4"/>
  <c r="R1343" i="4"/>
  <c r="S1343" i="4"/>
  <c r="L1344" i="4"/>
  <c r="M1344" i="4"/>
  <c r="N1344" i="4"/>
  <c r="O1344" i="4"/>
  <c r="P1344" i="4"/>
  <c r="Q1344" i="4"/>
  <c r="R1344" i="4"/>
  <c r="S1344" i="4"/>
  <c r="L1345" i="4"/>
  <c r="M1345" i="4"/>
  <c r="N1345" i="4"/>
  <c r="O1345" i="4"/>
  <c r="P1345" i="4"/>
  <c r="Q1345" i="4"/>
  <c r="R1345" i="4"/>
  <c r="S1345" i="4"/>
  <c r="L1346" i="4"/>
  <c r="M1346" i="4"/>
  <c r="N1346" i="4"/>
  <c r="O1346" i="4"/>
  <c r="P1346" i="4"/>
  <c r="Q1346" i="4"/>
  <c r="R1346" i="4"/>
  <c r="S1346" i="4"/>
  <c r="L1347" i="4"/>
  <c r="M1347" i="4"/>
  <c r="N1347" i="4"/>
  <c r="O1347" i="4"/>
  <c r="P1347" i="4"/>
  <c r="Q1347" i="4"/>
  <c r="R1347" i="4"/>
  <c r="S1347" i="4"/>
  <c r="L1348" i="4"/>
  <c r="M1348" i="4"/>
  <c r="N1348" i="4"/>
  <c r="O1348" i="4"/>
  <c r="P1348" i="4"/>
  <c r="Q1348" i="4"/>
  <c r="R1348" i="4"/>
  <c r="S1348" i="4"/>
  <c r="L1349" i="4"/>
  <c r="M1349" i="4"/>
  <c r="N1349" i="4"/>
  <c r="O1349" i="4"/>
  <c r="P1349" i="4"/>
  <c r="Q1349" i="4"/>
  <c r="R1349" i="4"/>
  <c r="S1349" i="4"/>
  <c r="L1350" i="4"/>
  <c r="M1350" i="4"/>
  <c r="N1350" i="4"/>
  <c r="O1350" i="4"/>
  <c r="P1350" i="4"/>
  <c r="Q1350" i="4"/>
  <c r="R1350" i="4"/>
  <c r="S1350" i="4"/>
  <c r="L1351" i="4"/>
  <c r="M1351" i="4"/>
  <c r="N1351" i="4"/>
  <c r="O1351" i="4"/>
  <c r="P1351" i="4"/>
  <c r="Q1351" i="4"/>
  <c r="R1351" i="4"/>
  <c r="S1351" i="4"/>
  <c r="L1352" i="4"/>
  <c r="M1352" i="4"/>
  <c r="N1352" i="4"/>
  <c r="O1352" i="4"/>
  <c r="P1352" i="4"/>
  <c r="Q1352" i="4"/>
  <c r="R1352" i="4"/>
  <c r="S1352" i="4"/>
  <c r="L1353" i="4"/>
  <c r="M1353" i="4"/>
  <c r="N1353" i="4"/>
  <c r="O1353" i="4"/>
  <c r="P1353" i="4"/>
  <c r="Q1353" i="4"/>
  <c r="R1353" i="4"/>
  <c r="S1353" i="4"/>
  <c r="L1354" i="4"/>
  <c r="M1354" i="4"/>
  <c r="N1354" i="4"/>
  <c r="O1354" i="4"/>
  <c r="P1354" i="4"/>
  <c r="Q1354" i="4"/>
  <c r="R1354" i="4"/>
  <c r="S1354" i="4"/>
  <c r="L1355" i="4"/>
  <c r="M1355" i="4"/>
  <c r="N1355" i="4"/>
  <c r="O1355" i="4"/>
  <c r="P1355" i="4"/>
  <c r="Q1355" i="4"/>
  <c r="R1355" i="4"/>
  <c r="S1355" i="4"/>
  <c r="L1356" i="4"/>
  <c r="M1356" i="4"/>
  <c r="N1356" i="4"/>
  <c r="O1356" i="4"/>
  <c r="P1356" i="4"/>
  <c r="Q1356" i="4"/>
  <c r="R1356" i="4"/>
  <c r="S1356" i="4"/>
  <c r="L1357" i="4"/>
  <c r="M1357" i="4"/>
  <c r="N1357" i="4"/>
  <c r="O1357" i="4"/>
  <c r="P1357" i="4"/>
  <c r="Q1357" i="4"/>
  <c r="R1357" i="4"/>
  <c r="S1357" i="4"/>
  <c r="L1358" i="4"/>
  <c r="M1358" i="4"/>
  <c r="N1358" i="4"/>
  <c r="O1358" i="4"/>
  <c r="P1358" i="4"/>
  <c r="Q1358" i="4"/>
  <c r="R1358" i="4"/>
  <c r="S1358" i="4"/>
  <c r="L1359" i="4"/>
  <c r="M1359" i="4"/>
  <c r="N1359" i="4"/>
  <c r="O1359" i="4"/>
  <c r="P1359" i="4"/>
  <c r="Q1359" i="4"/>
  <c r="R1359" i="4"/>
  <c r="S1359" i="4"/>
  <c r="L1360" i="4"/>
  <c r="M1360" i="4"/>
  <c r="N1360" i="4"/>
  <c r="O1360" i="4"/>
  <c r="P1360" i="4"/>
  <c r="Q1360" i="4"/>
  <c r="R1360" i="4"/>
  <c r="S1360" i="4"/>
  <c r="L1361" i="4"/>
  <c r="M1361" i="4"/>
  <c r="N1361" i="4"/>
  <c r="O1361" i="4"/>
  <c r="P1361" i="4"/>
  <c r="Q1361" i="4"/>
  <c r="R1361" i="4"/>
  <c r="S1361" i="4"/>
  <c r="L1362" i="4"/>
  <c r="M1362" i="4"/>
  <c r="N1362" i="4"/>
  <c r="O1362" i="4"/>
  <c r="P1362" i="4"/>
  <c r="Q1362" i="4"/>
  <c r="R1362" i="4"/>
  <c r="S1362" i="4"/>
  <c r="L1363" i="4"/>
  <c r="M1363" i="4"/>
  <c r="N1363" i="4"/>
  <c r="O1363" i="4"/>
  <c r="P1363" i="4"/>
  <c r="Q1363" i="4"/>
  <c r="R1363" i="4"/>
  <c r="S1363" i="4"/>
  <c r="L1364" i="4"/>
  <c r="M1364" i="4"/>
  <c r="N1364" i="4"/>
  <c r="O1364" i="4"/>
  <c r="P1364" i="4"/>
  <c r="Q1364" i="4"/>
  <c r="R1364" i="4"/>
  <c r="S1364" i="4"/>
  <c r="L1365" i="4"/>
  <c r="M1365" i="4"/>
  <c r="N1365" i="4"/>
  <c r="O1365" i="4"/>
  <c r="P1365" i="4"/>
  <c r="Q1365" i="4"/>
  <c r="R1365" i="4"/>
  <c r="S1365" i="4"/>
  <c r="L1366" i="4"/>
  <c r="M1366" i="4"/>
  <c r="N1366" i="4"/>
  <c r="O1366" i="4"/>
  <c r="P1366" i="4"/>
  <c r="Q1366" i="4"/>
  <c r="R1366" i="4"/>
  <c r="S1366" i="4"/>
  <c r="L1367" i="4"/>
  <c r="M1367" i="4"/>
  <c r="N1367" i="4"/>
  <c r="O1367" i="4"/>
  <c r="P1367" i="4"/>
  <c r="Q1367" i="4"/>
  <c r="R1367" i="4"/>
  <c r="S1367" i="4"/>
  <c r="L1368" i="4"/>
  <c r="M1368" i="4"/>
  <c r="N1368" i="4"/>
  <c r="O1368" i="4"/>
  <c r="P1368" i="4"/>
  <c r="Q1368" i="4"/>
  <c r="R1368" i="4"/>
  <c r="S1368" i="4"/>
  <c r="L1369" i="4"/>
  <c r="M1369" i="4"/>
  <c r="N1369" i="4"/>
  <c r="O1369" i="4"/>
  <c r="P1369" i="4"/>
  <c r="Q1369" i="4"/>
  <c r="R1369" i="4"/>
  <c r="S1369" i="4"/>
  <c r="L1370" i="4"/>
  <c r="M1370" i="4"/>
  <c r="N1370" i="4"/>
  <c r="O1370" i="4"/>
  <c r="P1370" i="4"/>
  <c r="Q1370" i="4"/>
  <c r="R1370" i="4"/>
  <c r="S1370" i="4"/>
  <c r="L1371" i="4"/>
  <c r="M1371" i="4"/>
  <c r="N1371" i="4"/>
  <c r="O1371" i="4"/>
  <c r="P1371" i="4"/>
  <c r="Q1371" i="4"/>
  <c r="R1371" i="4"/>
  <c r="S1371" i="4"/>
  <c r="L1372" i="4"/>
  <c r="M1372" i="4"/>
  <c r="N1372" i="4"/>
  <c r="O1372" i="4"/>
  <c r="P1372" i="4"/>
  <c r="Q1372" i="4"/>
  <c r="R1372" i="4"/>
  <c r="S1372" i="4"/>
  <c r="L1373" i="4"/>
  <c r="M1373" i="4"/>
  <c r="N1373" i="4"/>
  <c r="O1373" i="4"/>
  <c r="P1373" i="4"/>
  <c r="Q1373" i="4"/>
  <c r="R1373" i="4"/>
  <c r="S1373" i="4"/>
  <c r="L1374" i="4"/>
  <c r="M1374" i="4"/>
  <c r="N1374" i="4"/>
  <c r="O1374" i="4"/>
  <c r="P1374" i="4"/>
  <c r="Q1374" i="4"/>
  <c r="R1374" i="4"/>
  <c r="S1374" i="4"/>
  <c r="L1375" i="4"/>
  <c r="M1375" i="4"/>
  <c r="N1375" i="4"/>
  <c r="O1375" i="4"/>
  <c r="P1375" i="4"/>
  <c r="Q1375" i="4"/>
  <c r="R1375" i="4"/>
  <c r="S1375" i="4"/>
  <c r="L1376" i="4"/>
  <c r="M1376" i="4"/>
  <c r="N1376" i="4"/>
  <c r="O1376" i="4"/>
  <c r="P1376" i="4"/>
  <c r="Q1376" i="4"/>
  <c r="R1376" i="4"/>
  <c r="S1376" i="4"/>
  <c r="L1377" i="4"/>
  <c r="M1377" i="4"/>
  <c r="N1377" i="4"/>
  <c r="O1377" i="4"/>
  <c r="P1377" i="4"/>
  <c r="Q1377" i="4"/>
  <c r="R1377" i="4"/>
  <c r="S1377" i="4"/>
  <c r="L1378" i="4"/>
  <c r="M1378" i="4"/>
  <c r="N1378" i="4"/>
  <c r="O1378" i="4"/>
  <c r="P1378" i="4"/>
  <c r="Q1378" i="4"/>
  <c r="R1378" i="4"/>
  <c r="S1378" i="4"/>
  <c r="L1379" i="4"/>
  <c r="M1379" i="4"/>
  <c r="N1379" i="4"/>
  <c r="O1379" i="4"/>
  <c r="P1379" i="4"/>
  <c r="Q1379" i="4"/>
  <c r="R1379" i="4"/>
  <c r="S1379" i="4"/>
  <c r="L1380" i="4"/>
  <c r="M1380" i="4"/>
  <c r="N1380" i="4"/>
  <c r="O1380" i="4"/>
  <c r="P1380" i="4"/>
  <c r="Q1380" i="4"/>
  <c r="R1380" i="4"/>
  <c r="S1380" i="4"/>
  <c r="L1381" i="4"/>
  <c r="M1381" i="4"/>
  <c r="N1381" i="4"/>
  <c r="O1381" i="4"/>
  <c r="P1381" i="4"/>
  <c r="Q1381" i="4"/>
  <c r="R1381" i="4"/>
  <c r="S1381" i="4"/>
  <c r="L1382" i="4"/>
  <c r="M1382" i="4"/>
  <c r="N1382" i="4"/>
  <c r="O1382" i="4"/>
  <c r="P1382" i="4"/>
  <c r="Q1382" i="4"/>
  <c r="R1382" i="4"/>
  <c r="S1382" i="4"/>
  <c r="L1383" i="4"/>
  <c r="M1383" i="4"/>
  <c r="N1383" i="4"/>
  <c r="O1383" i="4"/>
  <c r="P1383" i="4"/>
  <c r="Q1383" i="4"/>
  <c r="R1383" i="4"/>
  <c r="S1383" i="4"/>
  <c r="L1384" i="4"/>
  <c r="M1384" i="4"/>
  <c r="N1384" i="4"/>
  <c r="O1384" i="4"/>
  <c r="P1384" i="4"/>
  <c r="Q1384" i="4"/>
  <c r="R1384" i="4"/>
  <c r="S1384" i="4"/>
  <c r="L1385" i="4"/>
  <c r="M1385" i="4"/>
  <c r="N1385" i="4"/>
  <c r="O1385" i="4"/>
  <c r="P1385" i="4"/>
  <c r="Q1385" i="4"/>
  <c r="R1385" i="4"/>
  <c r="S1385" i="4"/>
  <c r="L1386" i="4"/>
  <c r="M1386" i="4"/>
  <c r="N1386" i="4"/>
  <c r="O1386" i="4"/>
  <c r="P1386" i="4"/>
  <c r="Q1386" i="4"/>
  <c r="R1386" i="4"/>
  <c r="S1386" i="4"/>
  <c r="L1387" i="4"/>
  <c r="M1387" i="4"/>
  <c r="N1387" i="4"/>
  <c r="O1387" i="4"/>
  <c r="P1387" i="4"/>
  <c r="Q1387" i="4"/>
  <c r="R1387" i="4"/>
  <c r="S1387" i="4"/>
  <c r="L1388" i="4"/>
  <c r="M1388" i="4"/>
  <c r="N1388" i="4"/>
  <c r="O1388" i="4"/>
  <c r="P1388" i="4"/>
  <c r="Q1388" i="4"/>
  <c r="R1388" i="4"/>
  <c r="S1388" i="4"/>
  <c r="L1389" i="4"/>
  <c r="M1389" i="4"/>
  <c r="N1389" i="4"/>
  <c r="O1389" i="4"/>
  <c r="P1389" i="4"/>
  <c r="Q1389" i="4"/>
  <c r="R1389" i="4"/>
  <c r="S1389" i="4"/>
  <c r="L1390" i="4"/>
  <c r="M1390" i="4"/>
  <c r="N1390" i="4"/>
  <c r="O1390" i="4"/>
  <c r="P1390" i="4"/>
  <c r="Q1390" i="4"/>
  <c r="R1390" i="4"/>
  <c r="S1390" i="4"/>
  <c r="L1391" i="4"/>
  <c r="M1391" i="4"/>
  <c r="N1391" i="4"/>
  <c r="O1391" i="4"/>
  <c r="P1391" i="4"/>
  <c r="Q1391" i="4"/>
  <c r="R1391" i="4"/>
  <c r="S1391" i="4"/>
  <c r="L1392" i="4"/>
  <c r="M1392" i="4"/>
  <c r="N1392" i="4"/>
  <c r="O1392" i="4"/>
  <c r="P1392" i="4"/>
  <c r="Q1392" i="4"/>
  <c r="R1392" i="4"/>
  <c r="S1392" i="4"/>
  <c r="L1393" i="4"/>
  <c r="M1393" i="4"/>
  <c r="N1393" i="4"/>
  <c r="O1393" i="4"/>
  <c r="P1393" i="4"/>
  <c r="Q1393" i="4"/>
  <c r="R1393" i="4"/>
  <c r="S1393" i="4"/>
  <c r="L1394" i="4"/>
  <c r="M1394" i="4"/>
  <c r="N1394" i="4"/>
  <c r="O1394" i="4"/>
  <c r="P1394" i="4"/>
  <c r="Q1394" i="4"/>
  <c r="R1394" i="4"/>
  <c r="S1394" i="4"/>
  <c r="L1395" i="4"/>
  <c r="M1395" i="4"/>
  <c r="N1395" i="4"/>
  <c r="O1395" i="4"/>
  <c r="P1395" i="4"/>
  <c r="Q1395" i="4"/>
  <c r="R1395" i="4"/>
  <c r="S1395" i="4"/>
  <c r="L1396" i="4"/>
  <c r="M1396" i="4"/>
  <c r="N1396" i="4"/>
  <c r="O1396" i="4"/>
  <c r="P1396" i="4"/>
  <c r="Q1396" i="4"/>
  <c r="R1396" i="4"/>
  <c r="S1396" i="4"/>
  <c r="L1397" i="4"/>
  <c r="M1397" i="4"/>
  <c r="N1397" i="4"/>
  <c r="O1397" i="4"/>
  <c r="P1397" i="4"/>
  <c r="Q1397" i="4"/>
  <c r="R1397" i="4"/>
  <c r="S1397" i="4"/>
  <c r="L1398" i="4"/>
  <c r="M1398" i="4"/>
  <c r="N1398" i="4"/>
  <c r="O1398" i="4"/>
  <c r="P1398" i="4"/>
  <c r="Q1398" i="4"/>
  <c r="R1398" i="4"/>
  <c r="S1398" i="4"/>
  <c r="L1399" i="4"/>
  <c r="M1399" i="4"/>
  <c r="N1399" i="4"/>
  <c r="O1399" i="4"/>
  <c r="P1399" i="4"/>
  <c r="Q1399" i="4"/>
  <c r="R1399" i="4"/>
  <c r="S1399" i="4"/>
  <c r="L1400" i="4"/>
  <c r="M1400" i="4"/>
  <c r="N1400" i="4"/>
  <c r="O1400" i="4"/>
  <c r="P1400" i="4"/>
  <c r="Q1400" i="4"/>
  <c r="R1400" i="4"/>
  <c r="S1400" i="4"/>
  <c r="L1401" i="4"/>
  <c r="M1401" i="4"/>
  <c r="N1401" i="4"/>
  <c r="O1401" i="4"/>
  <c r="P1401" i="4"/>
  <c r="Q1401" i="4"/>
  <c r="R1401" i="4"/>
  <c r="S1401" i="4"/>
  <c r="L1402" i="4"/>
  <c r="M1402" i="4"/>
  <c r="N1402" i="4"/>
  <c r="O1402" i="4"/>
  <c r="P1402" i="4"/>
  <c r="Q1402" i="4"/>
  <c r="R1402" i="4"/>
  <c r="S1402" i="4"/>
  <c r="L1403" i="4"/>
  <c r="M1403" i="4"/>
  <c r="N1403" i="4"/>
  <c r="O1403" i="4"/>
  <c r="P1403" i="4"/>
  <c r="Q1403" i="4"/>
  <c r="R1403" i="4"/>
  <c r="S1403" i="4"/>
  <c r="L1404" i="4"/>
  <c r="M1404" i="4"/>
  <c r="N1404" i="4"/>
  <c r="O1404" i="4"/>
  <c r="P1404" i="4"/>
  <c r="Q1404" i="4"/>
  <c r="R1404" i="4"/>
  <c r="S1404" i="4"/>
  <c r="L1405" i="4"/>
  <c r="M1405" i="4"/>
  <c r="N1405" i="4"/>
  <c r="O1405" i="4"/>
  <c r="P1405" i="4"/>
  <c r="Q1405" i="4"/>
  <c r="R1405" i="4"/>
  <c r="S1405" i="4"/>
  <c r="L1406" i="4"/>
  <c r="M1406" i="4"/>
  <c r="N1406" i="4"/>
  <c r="O1406" i="4"/>
  <c r="P1406" i="4"/>
  <c r="Q1406" i="4"/>
  <c r="R1406" i="4"/>
  <c r="S1406" i="4"/>
  <c r="L1407" i="4"/>
  <c r="M1407" i="4"/>
  <c r="N1407" i="4"/>
  <c r="O1407" i="4"/>
  <c r="P1407" i="4"/>
  <c r="Q1407" i="4"/>
  <c r="R1407" i="4"/>
  <c r="S1407" i="4"/>
  <c r="L1408" i="4"/>
  <c r="M1408" i="4"/>
  <c r="N1408" i="4"/>
  <c r="O1408" i="4"/>
  <c r="P1408" i="4"/>
  <c r="Q1408" i="4"/>
  <c r="R1408" i="4"/>
  <c r="S1408" i="4"/>
  <c r="L1409" i="4"/>
  <c r="M1409" i="4"/>
  <c r="N1409" i="4"/>
  <c r="O1409" i="4"/>
  <c r="P1409" i="4"/>
  <c r="Q1409" i="4"/>
  <c r="R1409" i="4"/>
  <c r="S1409" i="4"/>
  <c r="L1410" i="4"/>
  <c r="M1410" i="4"/>
  <c r="N1410" i="4"/>
  <c r="O1410" i="4"/>
  <c r="P1410" i="4"/>
  <c r="Q1410" i="4"/>
  <c r="R1410" i="4"/>
  <c r="S1410" i="4"/>
  <c r="L1411" i="4"/>
  <c r="M1411" i="4"/>
  <c r="N1411" i="4"/>
  <c r="O1411" i="4"/>
  <c r="P1411" i="4"/>
  <c r="Q1411" i="4"/>
  <c r="R1411" i="4"/>
  <c r="S1411" i="4"/>
  <c r="L1412" i="4"/>
  <c r="M1412" i="4"/>
  <c r="N1412" i="4"/>
  <c r="O1412" i="4"/>
  <c r="P1412" i="4"/>
  <c r="Q1412" i="4"/>
  <c r="R1412" i="4"/>
  <c r="S1412" i="4"/>
  <c r="L1413" i="4"/>
  <c r="M1413" i="4"/>
  <c r="N1413" i="4"/>
  <c r="O1413" i="4"/>
  <c r="P1413" i="4"/>
  <c r="Q1413" i="4"/>
  <c r="R1413" i="4"/>
  <c r="S1413" i="4"/>
  <c r="L1414" i="4"/>
  <c r="M1414" i="4"/>
  <c r="N1414" i="4"/>
  <c r="O1414" i="4"/>
  <c r="P1414" i="4"/>
  <c r="Q1414" i="4"/>
  <c r="R1414" i="4"/>
  <c r="S1414" i="4"/>
  <c r="L1415" i="4"/>
  <c r="M1415" i="4"/>
  <c r="N1415" i="4"/>
  <c r="O1415" i="4"/>
  <c r="P1415" i="4"/>
  <c r="Q1415" i="4"/>
  <c r="R1415" i="4"/>
  <c r="S1415" i="4"/>
  <c r="L1416" i="4"/>
  <c r="M1416" i="4"/>
  <c r="N1416" i="4"/>
  <c r="O1416" i="4"/>
  <c r="P1416" i="4"/>
  <c r="Q1416" i="4"/>
  <c r="R1416" i="4"/>
  <c r="S1416" i="4"/>
  <c r="L1417" i="4"/>
  <c r="M1417" i="4"/>
  <c r="N1417" i="4"/>
  <c r="O1417" i="4"/>
  <c r="P1417" i="4"/>
  <c r="Q1417" i="4"/>
  <c r="R1417" i="4"/>
  <c r="S1417" i="4"/>
  <c r="L1418" i="4"/>
  <c r="M1418" i="4"/>
  <c r="N1418" i="4"/>
  <c r="O1418" i="4"/>
  <c r="P1418" i="4"/>
  <c r="Q1418" i="4"/>
  <c r="R1418" i="4"/>
  <c r="S1418" i="4"/>
  <c r="L1419" i="4"/>
  <c r="M1419" i="4"/>
  <c r="N1419" i="4"/>
  <c r="O1419" i="4"/>
  <c r="P1419" i="4"/>
  <c r="Q1419" i="4"/>
  <c r="R1419" i="4"/>
  <c r="S1419" i="4"/>
  <c r="L1420" i="4"/>
  <c r="M1420" i="4"/>
  <c r="N1420" i="4"/>
  <c r="O1420" i="4"/>
  <c r="P1420" i="4"/>
  <c r="Q1420" i="4"/>
  <c r="R1420" i="4"/>
  <c r="S1420" i="4"/>
  <c r="L1421" i="4"/>
  <c r="M1421" i="4"/>
  <c r="N1421" i="4"/>
  <c r="O1421" i="4"/>
  <c r="P1421" i="4"/>
  <c r="Q1421" i="4"/>
  <c r="R1421" i="4"/>
  <c r="S1421" i="4"/>
  <c r="L1422" i="4"/>
  <c r="M1422" i="4"/>
  <c r="N1422" i="4"/>
  <c r="O1422" i="4"/>
  <c r="P1422" i="4"/>
  <c r="Q1422" i="4"/>
  <c r="R1422" i="4"/>
  <c r="S1422" i="4"/>
  <c r="L1423" i="4"/>
  <c r="M1423" i="4"/>
  <c r="N1423" i="4"/>
  <c r="O1423" i="4"/>
  <c r="P1423" i="4"/>
  <c r="Q1423" i="4"/>
  <c r="R1423" i="4"/>
  <c r="S1423" i="4"/>
  <c r="L1424" i="4"/>
  <c r="M1424" i="4"/>
  <c r="N1424" i="4"/>
  <c r="O1424" i="4"/>
  <c r="P1424" i="4"/>
  <c r="Q1424" i="4"/>
  <c r="R1424" i="4"/>
  <c r="S1424" i="4"/>
  <c r="L1425" i="4"/>
  <c r="M1425" i="4"/>
  <c r="N1425" i="4"/>
  <c r="O1425" i="4"/>
  <c r="P1425" i="4"/>
  <c r="Q1425" i="4"/>
  <c r="R1425" i="4"/>
  <c r="S1425" i="4"/>
  <c r="L1426" i="4"/>
  <c r="M1426" i="4"/>
  <c r="N1426" i="4"/>
  <c r="O1426" i="4"/>
  <c r="P1426" i="4"/>
  <c r="Q1426" i="4"/>
  <c r="R1426" i="4"/>
  <c r="S1426" i="4"/>
  <c r="L1427" i="4"/>
  <c r="M1427" i="4"/>
  <c r="N1427" i="4"/>
  <c r="O1427" i="4"/>
  <c r="P1427" i="4"/>
  <c r="Q1427" i="4"/>
  <c r="R1427" i="4"/>
  <c r="S1427" i="4"/>
  <c r="L1428" i="4"/>
  <c r="M1428" i="4"/>
  <c r="N1428" i="4"/>
  <c r="O1428" i="4"/>
  <c r="P1428" i="4"/>
  <c r="Q1428" i="4"/>
  <c r="R1428" i="4"/>
  <c r="S1428" i="4"/>
  <c r="L1429" i="4"/>
  <c r="M1429" i="4"/>
  <c r="N1429" i="4"/>
  <c r="O1429" i="4"/>
  <c r="P1429" i="4"/>
  <c r="Q1429" i="4"/>
  <c r="R1429" i="4"/>
  <c r="S1429" i="4"/>
  <c r="L1430" i="4"/>
  <c r="M1430" i="4"/>
  <c r="N1430" i="4"/>
  <c r="O1430" i="4"/>
  <c r="P1430" i="4"/>
  <c r="Q1430" i="4"/>
  <c r="R1430" i="4"/>
  <c r="S1430" i="4"/>
  <c r="L1431" i="4"/>
  <c r="M1431" i="4"/>
  <c r="N1431" i="4"/>
  <c r="O1431" i="4"/>
  <c r="P1431" i="4"/>
  <c r="Q1431" i="4"/>
  <c r="R1431" i="4"/>
  <c r="S1431" i="4"/>
  <c r="L1432" i="4"/>
  <c r="M1432" i="4"/>
  <c r="N1432" i="4"/>
  <c r="O1432" i="4"/>
  <c r="P1432" i="4"/>
  <c r="Q1432" i="4"/>
  <c r="R1432" i="4"/>
  <c r="S1432" i="4"/>
  <c r="L1433" i="4"/>
  <c r="M1433" i="4"/>
  <c r="N1433" i="4"/>
  <c r="O1433" i="4"/>
  <c r="P1433" i="4"/>
  <c r="Q1433" i="4"/>
  <c r="R1433" i="4"/>
  <c r="S1433" i="4"/>
  <c r="L1434" i="4"/>
  <c r="M1434" i="4"/>
  <c r="N1434" i="4"/>
  <c r="O1434" i="4"/>
  <c r="P1434" i="4"/>
  <c r="Q1434" i="4"/>
  <c r="R1434" i="4"/>
  <c r="S1434" i="4"/>
  <c r="L1435" i="4"/>
  <c r="M1435" i="4"/>
  <c r="N1435" i="4"/>
  <c r="O1435" i="4"/>
  <c r="P1435" i="4"/>
  <c r="Q1435" i="4"/>
  <c r="R1435" i="4"/>
  <c r="S1435" i="4"/>
  <c r="L1436" i="4"/>
  <c r="M1436" i="4"/>
  <c r="N1436" i="4"/>
  <c r="O1436" i="4"/>
  <c r="P1436" i="4"/>
  <c r="Q1436" i="4"/>
  <c r="R1436" i="4"/>
  <c r="S1436" i="4"/>
  <c r="L1437" i="4"/>
  <c r="M1437" i="4"/>
  <c r="N1437" i="4"/>
  <c r="O1437" i="4"/>
  <c r="P1437" i="4"/>
  <c r="Q1437" i="4"/>
  <c r="R1437" i="4"/>
  <c r="S1437" i="4"/>
  <c r="L1438" i="4"/>
  <c r="M1438" i="4"/>
  <c r="N1438" i="4"/>
  <c r="O1438" i="4"/>
  <c r="P1438" i="4"/>
  <c r="Q1438" i="4"/>
  <c r="R1438" i="4"/>
  <c r="S1438" i="4"/>
  <c r="L1439" i="4"/>
  <c r="M1439" i="4"/>
  <c r="N1439" i="4"/>
  <c r="O1439" i="4"/>
  <c r="P1439" i="4"/>
  <c r="Q1439" i="4"/>
  <c r="R1439" i="4"/>
  <c r="S1439" i="4"/>
  <c r="L1440" i="4"/>
  <c r="M1440" i="4"/>
  <c r="N1440" i="4"/>
  <c r="O1440" i="4"/>
  <c r="P1440" i="4"/>
  <c r="Q1440" i="4"/>
  <c r="R1440" i="4"/>
  <c r="S1440" i="4"/>
  <c r="L1441" i="4"/>
  <c r="M1441" i="4"/>
  <c r="N1441" i="4"/>
  <c r="O1441" i="4"/>
  <c r="P1441" i="4"/>
  <c r="Q1441" i="4"/>
  <c r="R1441" i="4"/>
  <c r="S1441" i="4"/>
  <c r="L1442" i="4"/>
  <c r="M1442" i="4"/>
  <c r="N1442" i="4"/>
  <c r="O1442" i="4"/>
  <c r="P1442" i="4"/>
  <c r="Q1442" i="4"/>
  <c r="R1442" i="4"/>
  <c r="S1442" i="4"/>
  <c r="L1443" i="4"/>
  <c r="M1443" i="4"/>
  <c r="N1443" i="4"/>
  <c r="O1443" i="4"/>
  <c r="P1443" i="4"/>
  <c r="Q1443" i="4"/>
  <c r="R1443" i="4"/>
  <c r="S1443" i="4"/>
  <c r="L1444" i="4"/>
  <c r="M1444" i="4"/>
  <c r="N1444" i="4"/>
  <c r="O1444" i="4"/>
  <c r="P1444" i="4"/>
  <c r="Q1444" i="4"/>
  <c r="R1444" i="4"/>
  <c r="S1444" i="4"/>
  <c r="L1445" i="4"/>
  <c r="M1445" i="4"/>
  <c r="N1445" i="4"/>
  <c r="O1445" i="4"/>
  <c r="P1445" i="4"/>
  <c r="Q1445" i="4"/>
  <c r="R1445" i="4"/>
  <c r="S1445" i="4"/>
  <c r="L1446" i="4"/>
  <c r="M1446" i="4"/>
  <c r="N1446" i="4"/>
  <c r="O1446" i="4"/>
  <c r="P1446" i="4"/>
  <c r="Q1446" i="4"/>
  <c r="R1446" i="4"/>
  <c r="S1446" i="4"/>
  <c r="L1447" i="4"/>
  <c r="M1447" i="4"/>
  <c r="N1447" i="4"/>
  <c r="O1447" i="4"/>
  <c r="P1447" i="4"/>
  <c r="Q1447" i="4"/>
  <c r="R1447" i="4"/>
  <c r="S1447" i="4"/>
  <c r="L1448" i="4"/>
  <c r="M1448" i="4"/>
  <c r="N1448" i="4"/>
  <c r="O1448" i="4"/>
  <c r="P1448" i="4"/>
  <c r="Q1448" i="4"/>
  <c r="R1448" i="4"/>
  <c r="S1448" i="4"/>
  <c r="L1449" i="4"/>
  <c r="M1449" i="4"/>
  <c r="N1449" i="4"/>
  <c r="O1449" i="4"/>
  <c r="P1449" i="4"/>
  <c r="Q1449" i="4"/>
  <c r="R1449" i="4"/>
  <c r="S1449" i="4"/>
  <c r="L1450" i="4"/>
  <c r="M1450" i="4"/>
  <c r="N1450" i="4"/>
  <c r="O1450" i="4"/>
  <c r="P1450" i="4"/>
  <c r="Q1450" i="4"/>
  <c r="R1450" i="4"/>
  <c r="S1450" i="4"/>
  <c r="L1451" i="4"/>
  <c r="M1451" i="4"/>
  <c r="N1451" i="4"/>
  <c r="O1451" i="4"/>
  <c r="P1451" i="4"/>
  <c r="Q1451" i="4"/>
  <c r="R1451" i="4"/>
  <c r="S1451" i="4"/>
  <c r="L1452" i="4"/>
  <c r="M1452" i="4"/>
  <c r="N1452" i="4"/>
  <c r="O1452" i="4"/>
  <c r="P1452" i="4"/>
  <c r="Q1452" i="4"/>
  <c r="R1452" i="4"/>
  <c r="S1452" i="4"/>
  <c r="L1453" i="4"/>
  <c r="M1453" i="4"/>
  <c r="N1453" i="4"/>
  <c r="O1453" i="4"/>
  <c r="P1453" i="4"/>
  <c r="Q1453" i="4"/>
  <c r="R1453" i="4"/>
  <c r="S1453" i="4"/>
  <c r="L1454" i="4"/>
  <c r="M1454" i="4"/>
  <c r="N1454" i="4"/>
  <c r="O1454" i="4"/>
  <c r="P1454" i="4"/>
  <c r="Q1454" i="4"/>
  <c r="R1454" i="4"/>
  <c r="S1454" i="4"/>
  <c r="L1455" i="4"/>
  <c r="M1455" i="4"/>
  <c r="N1455" i="4"/>
  <c r="O1455" i="4"/>
  <c r="P1455" i="4"/>
  <c r="Q1455" i="4"/>
  <c r="R1455" i="4"/>
  <c r="S1455" i="4"/>
  <c r="L1456" i="4"/>
  <c r="M1456" i="4"/>
  <c r="N1456" i="4"/>
  <c r="O1456" i="4"/>
  <c r="P1456" i="4"/>
  <c r="Q1456" i="4"/>
  <c r="R1456" i="4"/>
  <c r="S1456" i="4"/>
  <c r="L1457" i="4"/>
  <c r="M1457" i="4"/>
  <c r="N1457" i="4"/>
  <c r="O1457" i="4"/>
  <c r="P1457" i="4"/>
  <c r="Q1457" i="4"/>
  <c r="R1457" i="4"/>
  <c r="S1457" i="4"/>
  <c r="L1458" i="4"/>
  <c r="M1458" i="4"/>
  <c r="N1458" i="4"/>
  <c r="O1458" i="4"/>
  <c r="P1458" i="4"/>
  <c r="Q1458" i="4"/>
  <c r="R1458" i="4"/>
  <c r="S1458" i="4"/>
  <c r="L1459" i="4"/>
  <c r="M1459" i="4"/>
  <c r="N1459" i="4"/>
  <c r="O1459" i="4"/>
  <c r="P1459" i="4"/>
  <c r="Q1459" i="4"/>
  <c r="R1459" i="4"/>
  <c r="S1459" i="4"/>
  <c r="L1460" i="4"/>
  <c r="M1460" i="4"/>
  <c r="N1460" i="4"/>
  <c r="O1460" i="4"/>
  <c r="P1460" i="4"/>
  <c r="Q1460" i="4"/>
  <c r="R1460" i="4"/>
  <c r="S1460" i="4"/>
  <c r="L1461" i="4"/>
  <c r="M1461" i="4"/>
  <c r="N1461" i="4"/>
  <c r="O1461" i="4"/>
  <c r="P1461" i="4"/>
  <c r="Q1461" i="4"/>
  <c r="R1461" i="4"/>
  <c r="S1461" i="4"/>
  <c r="L1462" i="4"/>
  <c r="M1462" i="4"/>
  <c r="N1462" i="4"/>
  <c r="O1462" i="4"/>
  <c r="P1462" i="4"/>
  <c r="Q1462" i="4"/>
  <c r="R1462" i="4"/>
  <c r="S1462" i="4"/>
  <c r="L1463" i="4"/>
  <c r="M1463" i="4"/>
  <c r="N1463" i="4"/>
  <c r="O1463" i="4"/>
  <c r="P1463" i="4"/>
  <c r="Q1463" i="4"/>
  <c r="R1463" i="4"/>
  <c r="S1463" i="4"/>
  <c r="L1464" i="4"/>
  <c r="M1464" i="4"/>
  <c r="N1464" i="4"/>
  <c r="O1464" i="4"/>
  <c r="P1464" i="4"/>
  <c r="Q1464" i="4"/>
  <c r="R1464" i="4"/>
  <c r="S1464" i="4"/>
  <c r="L1465" i="4"/>
  <c r="M1465" i="4"/>
  <c r="N1465" i="4"/>
  <c r="O1465" i="4"/>
  <c r="P1465" i="4"/>
  <c r="Q1465" i="4"/>
  <c r="R1465" i="4"/>
  <c r="S1465" i="4"/>
  <c r="L1466" i="4"/>
  <c r="M1466" i="4"/>
  <c r="N1466" i="4"/>
  <c r="O1466" i="4"/>
  <c r="P1466" i="4"/>
  <c r="Q1466" i="4"/>
  <c r="R1466" i="4"/>
  <c r="S1466" i="4"/>
  <c r="L1467" i="4"/>
  <c r="M1467" i="4"/>
  <c r="N1467" i="4"/>
  <c r="O1467" i="4"/>
  <c r="P1467" i="4"/>
  <c r="Q1467" i="4"/>
  <c r="R1467" i="4"/>
  <c r="S1467" i="4"/>
  <c r="L1468" i="4"/>
  <c r="M1468" i="4"/>
  <c r="N1468" i="4"/>
  <c r="O1468" i="4"/>
  <c r="P1468" i="4"/>
  <c r="Q1468" i="4"/>
  <c r="R1468" i="4"/>
  <c r="S1468" i="4"/>
  <c r="L1469" i="4"/>
  <c r="M1469" i="4"/>
  <c r="N1469" i="4"/>
  <c r="O1469" i="4"/>
  <c r="P1469" i="4"/>
  <c r="Q1469" i="4"/>
  <c r="R1469" i="4"/>
  <c r="S1469" i="4"/>
  <c r="L1470" i="4"/>
  <c r="M1470" i="4"/>
  <c r="N1470" i="4"/>
  <c r="O1470" i="4"/>
  <c r="P1470" i="4"/>
  <c r="Q1470" i="4"/>
  <c r="R1470" i="4"/>
  <c r="S1470" i="4"/>
  <c r="L1471" i="4"/>
  <c r="M1471" i="4"/>
  <c r="N1471" i="4"/>
  <c r="O1471" i="4"/>
  <c r="P1471" i="4"/>
  <c r="Q1471" i="4"/>
  <c r="R1471" i="4"/>
  <c r="S1471" i="4"/>
  <c r="L1472" i="4"/>
  <c r="M1472" i="4"/>
  <c r="N1472" i="4"/>
  <c r="O1472" i="4"/>
  <c r="P1472" i="4"/>
  <c r="Q1472" i="4"/>
  <c r="R1472" i="4"/>
  <c r="S1472" i="4"/>
  <c r="L1473" i="4"/>
  <c r="M1473" i="4"/>
  <c r="N1473" i="4"/>
  <c r="O1473" i="4"/>
  <c r="P1473" i="4"/>
  <c r="Q1473" i="4"/>
  <c r="R1473" i="4"/>
  <c r="S1473" i="4"/>
  <c r="L1474" i="4"/>
  <c r="M1474" i="4"/>
  <c r="N1474" i="4"/>
  <c r="O1474" i="4"/>
  <c r="P1474" i="4"/>
  <c r="Q1474" i="4"/>
  <c r="R1474" i="4"/>
  <c r="S1474" i="4"/>
  <c r="L1475" i="4"/>
  <c r="M1475" i="4"/>
  <c r="N1475" i="4"/>
  <c r="O1475" i="4"/>
  <c r="P1475" i="4"/>
  <c r="Q1475" i="4"/>
  <c r="R1475" i="4"/>
  <c r="S1475" i="4"/>
  <c r="L1476" i="4"/>
  <c r="M1476" i="4"/>
  <c r="N1476" i="4"/>
  <c r="O1476" i="4"/>
  <c r="P1476" i="4"/>
  <c r="Q1476" i="4"/>
  <c r="R1476" i="4"/>
  <c r="S1476" i="4"/>
  <c r="L1477" i="4"/>
  <c r="M1477" i="4"/>
  <c r="N1477" i="4"/>
  <c r="O1477" i="4"/>
  <c r="P1477" i="4"/>
  <c r="Q1477" i="4"/>
  <c r="R1477" i="4"/>
  <c r="S1477" i="4"/>
  <c r="L1478" i="4"/>
  <c r="M1478" i="4"/>
  <c r="N1478" i="4"/>
  <c r="O1478" i="4"/>
  <c r="P1478" i="4"/>
  <c r="Q1478" i="4"/>
  <c r="R1478" i="4"/>
  <c r="S1478" i="4"/>
  <c r="L1479" i="4"/>
  <c r="M1479" i="4"/>
  <c r="N1479" i="4"/>
  <c r="O1479" i="4"/>
  <c r="P1479" i="4"/>
  <c r="Q1479" i="4"/>
  <c r="R1479" i="4"/>
  <c r="S1479" i="4"/>
  <c r="L1480" i="4"/>
  <c r="M1480" i="4"/>
  <c r="N1480" i="4"/>
  <c r="O1480" i="4"/>
  <c r="P1480" i="4"/>
  <c r="Q1480" i="4"/>
  <c r="R1480" i="4"/>
  <c r="S1480" i="4"/>
  <c r="L1481" i="4"/>
  <c r="M1481" i="4"/>
  <c r="N1481" i="4"/>
  <c r="O1481" i="4"/>
  <c r="P1481" i="4"/>
  <c r="Q1481" i="4"/>
  <c r="R1481" i="4"/>
  <c r="S1481" i="4"/>
  <c r="L1482" i="4"/>
  <c r="M1482" i="4"/>
  <c r="N1482" i="4"/>
  <c r="O1482" i="4"/>
  <c r="P1482" i="4"/>
  <c r="Q1482" i="4"/>
  <c r="R1482" i="4"/>
  <c r="S1482" i="4"/>
  <c r="L1483" i="4"/>
  <c r="M1483" i="4"/>
  <c r="N1483" i="4"/>
  <c r="O1483" i="4"/>
  <c r="P1483" i="4"/>
  <c r="Q1483" i="4"/>
  <c r="R1483" i="4"/>
  <c r="S1483" i="4"/>
  <c r="L1484" i="4"/>
  <c r="M1484" i="4"/>
  <c r="N1484" i="4"/>
  <c r="O1484" i="4"/>
  <c r="P1484" i="4"/>
  <c r="Q1484" i="4"/>
  <c r="R1484" i="4"/>
  <c r="S1484" i="4"/>
  <c r="L1485" i="4"/>
  <c r="M1485" i="4"/>
  <c r="N1485" i="4"/>
  <c r="O1485" i="4"/>
  <c r="P1485" i="4"/>
  <c r="Q1485" i="4"/>
  <c r="R1485" i="4"/>
  <c r="S1485" i="4"/>
  <c r="L1486" i="4"/>
  <c r="M1486" i="4"/>
  <c r="N1486" i="4"/>
  <c r="O1486" i="4"/>
  <c r="P1486" i="4"/>
  <c r="Q1486" i="4"/>
  <c r="R1486" i="4"/>
  <c r="S1486" i="4"/>
  <c r="L1487" i="4"/>
  <c r="M1487" i="4"/>
  <c r="N1487" i="4"/>
  <c r="O1487" i="4"/>
  <c r="P1487" i="4"/>
  <c r="Q1487" i="4"/>
  <c r="R1487" i="4"/>
  <c r="S1487" i="4"/>
  <c r="L1488" i="4"/>
  <c r="M1488" i="4"/>
  <c r="N1488" i="4"/>
  <c r="O1488" i="4"/>
  <c r="P1488" i="4"/>
  <c r="Q1488" i="4"/>
  <c r="R1488" i="4"/>
  <c r="S1488" i="4"/>
  <c r="L1489" i="4"/>
  <c r="M1489" i="4"/>
  <c r="N1489" i="4"/>
  <c r="O1489" i="4"/>
  <c r="P1489" i="4"/>
  <c r="Q1489" i="4"/>
  <c r="R1489" i="4"/>
  <c r="S1489" i="4"/>
  <c r="L1490" i="4"/>
  <c r="M1490" i="4"/>
  <c r="N1490" i="4"/>
  <c r="O1490" i="4"/>
  <c r="P1490" i="4"/>
  <c r="Q1490" i="4"/>
  <c r="R1490" i="4"/>
  <c r="S1490" i="4"/>
  <c r="L1491" i="4"/>
  <c r="M1491" i="4"/>
  <c r="N1491" i="4"/>
  <c r="O1491" i="4"/>
  <c r="P1491" i="4"/>
  <c r="Q1491" i="4"/>
  <c r="R1491" i="4"/>
  <c r="S1491" i="4"/>
  <c r="L1492" i="4"/>
  <c r="M1492" i="4"/>
  <c r="N1492" i="4"/>
  <c r="O1492" i="4"/>
  <c r="P1492" i="4"/>
  <c r="Q1492" i="4"/>
  <c r="R1492" i="4"/>
  <c r="S1492" i="4"/>
  <c r="L1493" i="4"/>
  <c r="M1493" i="4"/>
  <c r="N1493" i="4"/>
  <c r="O1493" i="4"/>
  <c r="P1493" i="4"/>
  <c r="Q1493" i="4"/>
  <c r="R1493" i="4"/>
  <c r="S1493" i="4"/>
  <c r="L1494" i="4"/>
  <c r="M1494" i="4"/>
  <c r="N1494" i="4"/>
  <c r="O1494" i="4"/>
  <c r="P1494" i="4"/>
  <c r="Q1494" i="4"/>
  <c r="R1494" i="4"/>
  <c r="S1494" i="4"/>
  <c r="L1495" i="4"/>
  <c r="M1495" i="4"/>
  <c r="N1495" i="4"/>
  <c r="O1495" i="4"/>
  <c r="P1495" i="4"/>
  <c r="Q1495" i="4"/>
  <c r="R1495" i="4"/>
  <c r="S1495" i="4"/>
  <c r="L1496" i="4"/>
  <c r="M1496" i="4"/>
  <c r="N1496" i="4"/>
  <c r="O1496" i="4"/>
  <c r="P1496" i="4"/>
  <c r="Q1496" i="4"/>
  <c r="R1496" i="4"/>
  <c r="S1496" i="4"/>
  <c r="L1497" i="4"/>
  <c r="M1497" i="4"/>
  <c r="N1497" i="4"/>
  <c r="O1497" i="4"/>
  <c r="P1497" i="4"/>
  <c r="Q1497" i="4"/>
  <c r="R1497" i="4"/>
  <c r="S1497" i="4"/>
  <c r="L1498" i="4"/>
  <c r="M1498" i="4"/>
  <c r="N1498" i="4"/>
  <c r="O1498" i="4"/>
  <c r="P1498" i="4"/>
  <c r="Q1498" i="4"/>
  <c r="R1498" i="4"/>
  <c r="S1498" i="4"/>
  <c r="L1499" i="4"/>
  <c r="M1499" i="4"/>
  <c r="N1499" i="4"/>
  <c r="O1499" i="4"/>
  <c r="P1499" i="4"/>
  <c r="Q1499" i="4"/>
  <c r="R1499" i="4"/>
  <c r="S1499" i="4"/>
  <c r="L1500" i="4"/>
  <c r="M1500" i="4"/>
  <c r="N1500" i="4"/>
  <c r="O1500" i="4"/>
  <c r="P1500" i="4"/>
  <c r="Q1500" i="4"/>
  <c r="R1500" i="4"/>
  <c r="S1500" i="4"/>
  <c r="L1501" i="4"/>
  <c r="M1501" i="4"/>
  <c r="N1501" i="4"/>
  <c r="O1501" i="4"/>
  <c r="P1501" i="4"/>
  <c r="Q1501" i="4"/>
  <c r="R1501" i="4"/>
  <c r="S1501" i="4"/>
  <c r="L1502" i="4"/>
  <c r="M1502" i="4"/>
  <c r="N1502" i="4"/>
  <c r="O1502" i="4"/>
  <c r="P1502" i="4"/>
  <c r="Q1502" i="4"/>
  <c r="R1502" i="4"/>
  <c r="S1502" i="4"/>
  <c r="L1503" i="4"/>
  <c r="M1503" i="4"/>
  <c r="N1503" i="4"/>
  <c r="O1503" i="4"/>
  <c r="P1503" i="4"/>
  <c r="Q1503" i="4"/>
  <c r="R1503" i="4"/>
  <c r="S1503" i="4"/>
  <c r="L1504" i="4"/>
  <c r="M1504" i="4"/>
  <c r="N1504" i="4"/>
  <c r="O1504" i="4"/>
  <c r="P1504" i="4"/>
  <c r="Q1504" i="4"/>
  <c r="R1504" i="4"/>
  <c r="S1504" i="4"/>
  <c r="L1505" i="4"/>
  <c r="M1505" i="4"/>
  <c r="N1505" i="4"/>
  <c r="O1505" i="4"/>
  <c r="P1505" i="4"/>
  <c r="Q1505" i="4"/>
  <c r="R1505" i="4"/>
  <c r="S1505" i="4"/>
  <c r="L1506" i="4"/>
  <c r="M1506" i="4"/>
  <c r="N1506" i="4"/>
  <c r="O1506" i="4"/>
  <c r="P1506" i="4"/>
  <c r="Q1506" i="4"/>
  <c r="R1506" i="4"/>
  <c r="S1506" i="4"/>
  <c r="L1507" i="4"/>
  <c r="M1507" i="4"/>
  <c r="N1507" i="4"/>
  <c r="O1507" i="4"/>
  <c r="P1507" i="4"/>
  <c r="Q1507" i="4"/>
  <c r="R1507" i="4"/>
  <c r="S1507" i="4"/>
  <c r="L1508" i="4"/>
  <c r="M1508" i="4"/>
  <c r="N1508" i="4"/>
  <c r="O1508" i="4"/>
  <c r="P1508" i="4"/>
  <c r="Q1508" i="4"/>
  <c r="R1508" i="4"/>
  <c r="S1508" i="4"/>
  <c r="L1509" i="4"/>
  <c r="M1509" i="4"/>
  <c r="N1509" i="4"/>
  <c r="O1509" i="4"/>
  <c r="P1509" i="4"/>
  <c r="Q1509" i="4"/>
  <c r="R1509" i="4"/>
  <c r="S1509" i="4"/>
  <c r="L1510" i="4"/>
  <c r="M1510" i="4"/>
  <c r="N1510" i="4"/>
  <c r="O1510" i="4"/>
  <c r="P1510" i="4"/>
  <c r="Q1510" i="4"/>
  <c r="R1510" i="4"/>
  <c r="S1510" i="4"/>
  <c r="L1511" i="4"/>
  <c r="M1511" i="4"/>
  <c r="N1511" i="4"/>
  <c r="O1511" i="4"/>
  <c r="P1511" i="4"/>
  <c r="Q1511" i="4"/>
  <c r="R1511" i="4"/>
  <c r="S1511" i="4"/>
  <c r="L1512" i="4"/>
  <c r="M1512" i="4"/>
  <c r="N1512" i="4"/>
  <c r="O1512" i="4"/>
  <c r="P1512" i="4"/>
  <c r="Q1512" i="4"/>
  <c r="R1512" i="4"/>
  <c r="S1512" i="4"/>
  <c r="L1513" i="4"/>
  <c r="M1513" i="4"/>
  <c r="N1513" i="4"/>
  <c r="O1513" i="4"/>
  <c r="P1513" i="4"/>
  <c r="Q1513" i="4"/>
  <c r="R1513" i="4"/>
  <c r="S1513" i="4"/>
  <c r="L1514" i="4"/>
  <c r="M1514" i="4"/>
  <c r="N1514" i="4"/>
  <c r="O1514" i="4"/>
  <c r="P1514" i="4"/>
  <c r="Q1514" i="4"/>
  <c r="R1514" i="4"/>
  <c r="S1514" i="4"/>
  <c r="L1515" i="4"/>
  <c r="M1515" i="4"/>
  <c r="N1515" i="4"/>
  <c r="O1515" i="4"/>
  <c r="P1515" i="4"/>
  <c r="Q1515" i="4"/>
  <c r="R1515" i="4"/>
  <c r="S1515" i="4"/>
  <c r="L1516" i="4"/>
  <c r="M1516" i="4"/>
  <c r="N1516" i="4"/>
  <c r="O1516" i="4"/>
  <c r="P1516" i="4"/>
  <c r="Q1516" i="4"/>
  <c r="R1516" i="4"/>
  <c r="S1516" i="4"/>
  <c r="L1517" i="4"/>
  <c r="M1517" i="4"/>
  <c r="N1517" i="4"/>
  <c r="O1517" i="4"/>
  <c r="P1517" i="4"/>
  <c r="Q1517" i="4"/>
  <c r="R1517" i="4"/>
  <c r="S1517" i="4"/>
  <c r="L1518" i="4"/>
  <c r="M1518" i="4"/>
  <c r="N1518" i="4"/>
  <c r="O1518" i="4"/>
  <c r="P1518" i="4"/>
  <c r="Q1518" i="4"/>
  <c r="R1518" i="4"/>
  <c r="S1518" i="4"/>
  <c r="L1519" i="4"/>
  <c r="M1519" i="4"/>
  <c r="N1519" i="4"/>
  <c r="O1519" i="4"/>
  <c r="P1519" i="4"/>
  <c r="Q1519" i="4"/>
  <c r="R1519" i="4"/>
  <c r="S1519" i="4"/>
  <c r="L1520" i="4"/>
  <c r="M1520" i="4"/>
  <c r="N1520" i="4"/>
  <c r="O1520" i="4"/>
  <c r="P1520" i="4"/>
  <c r="Q1520" i="4"/>
  <c r="R1520" i="4"/>
  <c r="S1520" i="4"/>
  <c r="L1521" i="4"/>
  <c r="M1521" i="4"/>
  <c r="N1521" i="4"/>
  <c r="O1521" i="4"/>
  <c r="P1521" i="4"/>
  <c r="Q1521" i="4"/>
  <c r="R1521" i="4"/>
  <c r="S1521" i="4"/>
  <c r="L1522" i="4"/>
  <c r="M1522" i="4"/>
  <c r="N1522" i="4"/>
  <c r="O1522" i="4"/>
  <c r="P1522" i="4"/>
  <c r="Q1522" i="4"/>
  <c r="R1522" i="4"/>
  <c r="S1522" i="4"/>
  <c r="L1523" i="4"/>
  <c r="M1523" i="4"/>
  <c r="N1523" i="4"/>
  <c r="O1523" i="4"/>
  <c r="P1523" i="4"/>
  <c r="Q1523" i="4"/>
  <c r="R1523" i="4"/>
  <c r="S1523" i="4"/>
  <c r="L1524" i="4"/>
  <c r="M1524" i="4"/>
  <c r="N1524" i="4"/>
  <c r="O1524" i="4"/>
  <c r="P1524" i="4"/>
  <c r="Q1524" i="4"/>
  <c r="R1524" i="4"/>
  <c r="S1524" i="4"/>
  <c r="L1525" i="4"/>
  <c r="M1525" i="4"/>
  <c r="N1525" i="4"/>
  <c r="O1525" i="4"/>
  <c r="P1525" i="4"/>
  <c r="Q1525" i="4"/>
  <c r="R1525" i="4"/>
  <c r="S1525" i="4"/>
  <c r="L1526" i="4"/>
  <c r="M1526" i="4"/>
  <c r="N1526" i="4"/>
  <c r="O1526" i="4"/>
  <c r="P1526" i="4"/>
  <c r="Q1526" i="4"/>
  <c r="R1526" i="4"/>
  <c r="S1526" i="4"/>
  <c r="L1527" i="4"/>
  <c r="M1527" i="4"/>
  <c r="N1527" i="4"/>
  <c r="O1527" i="4"/>
  <c r="P1527" i="4"/>
  <c r="Q1527" i="4"/>
  <c r="R1527" i="4"/>
  <c r="S1527" i="4"/>
  <c r="L1528" i="4"/>
  <c r="M1528" i="4"/>
  <c r="N1528" i="4"/>
  <c r="O1528" i="4"/>
  <c r="P1528" i="4"/>
  <c r="Q1528" i="4"/>
  <c r="R1528" i="4"/>
  <c r="S1528" i="4"/>
  <c r="L1529" i="4"/>
  <c r="M1529" i="4"/>
  <c r="N1529" i="4"/>
  <c r="O1529" i="4"/>
  <c r="P1529" i="4"/>
  <c r="Q1529" i="4"/>
  <c r="R1529" i="4"/>
  <c r="S1529" i="4"/>
  <c r="L1530" i="4"/>
  <c r="M1530" i="4"/>
  <c r="N1530" i="4"/>
  <c r="O1530" i="4"/>
  <c r="P1530" i="4"/>
  <c r="Q1530" i="4"/>
  <c r="R1530" i="4"/>
  <c r="S1530" i="4"/>
  <c r="L1531" i="4"/>
  <c r="M1531" i="4"/>
  <c r="N1531" i="4"/>
  <c r="O1531" i="4"/>
  <c r="P1531" i="4"/>
  <c r="Q1531" i="4"/>
  <c r="R1531" i="4"/>
  <c r="S1531" i="4"/>
  <c r="L1532" i="4"/>
  <c r="M1532" i="4"/>
  <c r="N1532" i="4"/>
  <c r="O1532" i="4"/>
  <c r="P1532" i="4"/>
  <c r="Q1532" i="4"/>
  <c r="R1532" i="4"/>
  <c r="S1532" i="4"/>
  <c r="L1533" i="4"/>
  <c r="M1533" i="4"/>
  <c r="N1533" i="4"/>
  <c r="O1533" i="4"/>
  <c r="P1533" i="4"/>
  <c r="Q1533" i="4"/>
  <c r="R1533" i="4"/>
  <c r="S1533" i="4"/>
  <c r="L1534" i="4"/>
  <c r="M1534" i="4"/>
  <c r="N1534" i="4"/>
  <c r="O1534" i="4"/>
  <c r="P1534" i="4"/>
  <c r="Q1534" i="4"/>
  <c r="R1534" i="4"/>
  <c r="S1534" i="4"/>
  <c r="L1535" i="4"/>
  <c r="M1535" i="4"/>
  <c r="N1535" i="4"/>
  <c r="O1535" i="4"/>
  <c r="P1535" i="4"/>
  <c r="Q1535" i="4"/>
  <c r="R1535" i="4"/>
  <c r="S1535" i="4"/>
  <c r="L1536" i="4"/>
  <c r="M1536" i="4"/>
  <c r="N1536" i="4"/>
  <c r="O1536" i="4"/>
  <c r="P1536" i="4"/>
  <c r="Q1536" i="4"/>
  <c r="R1536" i="4"/>
  <c r="S1536" i="4"/>
  <c r="L1537" i="4"/>
  <c r="M1537" i="4"/>
  <c r="N1537" i="4"/>
  <c r="O1537" i="4"/>
  <c r="P1537" i="4"/>
  <c r="Q1537" i="4"/>
  <c r="R1537" i="4"/>
  <c r="S1537" i="4"/>
  <c r="L1538" i="4"/>
  <c r="M1538" i="4"/>
  <c r="N1538" i="4"/>
  <c r="O1538" i="4"/>
  <c r="P1538" i="4"/>
  <c r="Q1538" i="4"/>
  <c r="R1538" i="4"/>
  <c r="S1538" i="4"/>
  <c r="L1539" i="4"/>
  <c r="M1539" i="4"/>
  <c r="N1539" i="4"/>
  <c r="O1539" i="4"/>
  <c r="P1539" i="4"/>
  <c r="Q1539" i="4"/>
  <c r="R1539" i="4"/>
  <c r="S1539" i="4"/>
  <c r="L1540" i="4"/>
  <c r="M1540" i="4"/>
  <c r="N1540" i="4"/>
  <c r="O1540" i="4"/>
  <c r="P1540" i="4"/>
  <c r="Q1540" i="4"/>
  <c r="R1540" i="4"/>
  <c r="S1540" i="4"/>
  <c r="L1541" i="4"/>
  <c r="M1541" i="4"/>
  <c r="N1541" i="4"/>
  <c r="O1541" i="4"/>
  <c r="P1541" i="4"/>
  <c r="Q1541" i="4"/>
  <c r="R1541" i="4"/>
  <c r="S1541" i="4"/>
  <c r="L1542" i="4"/>
  <c r="M1542" i="4"/>
  <c r="N1542" i="4"/>
  <c r="O1542" i="4"/>
  <c r="P1542" i="4"/>
  <c r="Q1542" i="4"/>
  <c r="R1542" i="4"/>
  <c r="S1542" i="4"/>
  <c r="L1543" i="4"/>
  <c r="M1543" i="4"/>
  <c r="N1543" i="4"/>
  <c r="O1543" i="4"/>
  <c r="P1543" i="4"/>
  <c r="Q1543" i="4"/>
  <c r="R1543" i="4"/>
  <c r="S1543" i="4"/>
  <c r="L1544" i="4"/>
  <c r="M1544" i="4"/>
  <c r="N1544" i="4"/>
  <c r="O1544" i="4"/>
  <c r="P1544" i="4"/>
  <c r="Q1544" i="4"/>
  <c r="R1544" i="4"/>
  <c r="S1544" i="4"/>
  <c r="L1545" i="4"/>
  <c r="M1545" i="4"/>
  <c r="N1545" i="4"/>
  <c r="O1545" i="4"/>
  <c r="P1545" i="4"/>
  <c r="Q1545" i="4"/>
  <c r="R1545" i="4"/>
  <c r="S1545" i="4"/>
  <c r="L1546" i="4"/>
  <c r="M1546" i="4"/>
  <c r="N1546" i="4"/>
  <c r="O1546" i="4"/>
  <c r="P1546" i="4"/>
  <c r="Q1546" i="4"/>
  <c r="R1546" i="4"/>
  <c r="S1546" i="4"/>
  <c r="L1547" i="4"/>
  <c r="M1547" i="4"/>
  <c r="N1547" i="4"/>
  <c r="O1547" i="4"/>
  <c r="P1547" i="4"/>
  <c r="Q1547" i="4"/>
  <c r="R1547" i="4"/>
  <c r="S1547" i="4"/>
  <c r="L1548" i="4"/>
  <c r="M1548" i="4"/>
  <c r="N1548" i="4"/>
  <c r="O1548" i="4"/>
  <c r="P1548" i="4"/>
  <c r="Q1548" i="4"/>
  <c r="R1548" i="4"/>
  <c r="S1548" i="4"/>
  <c r="L1549" i="4"/>
  <c r="M1549" i="4"/>
  <c r="N1549" i="4"/>
  <c r="O1549" i="4"/>
  <c r="P1549" i="4"/>
  <c r="Q1549" i="4"/>
  <c r="R1549" i="4"/>
  <c r="S1549" i="4"/>
  <c r="L1550" i="4"/>
  <c r="M1550" i="4"/>
  <c r="N1550" i="4"/>
  <c r="O1550" i="4"/>
  <c r="P1550" i="4"/>
  <c r="Q1550" i="4"/>
  <c r="R1550" i="4"/>
  <c r="S1550" i="4"/>
  <c r="L1551" i="4"/>
  <c r="M1551" i="4"/>
  <c r="N1551" i="4"/>
  <c r="O1551" i="4"/>
  <c r="P1551" i="4"/>
  <c r="Q1551" i="4"/>
  <c r="R1551" i="4"/>
  <c r="S1551" i="4"/>
  <c r="L1552" i="4"/>
  <c r="M1552" i="4"/>
  <c r="N1552" i="4"/>
  <c r="O1552" i="4"/>
  <c r="P1552" i="4"/>
  <c r="Q1552" i="4"/>
  <c r="R1552" i="4"/>
  <c r="S1552" i="4"/>
  <c r="L1553" i="4"/>
  <c r="M1553" i="4"/>
  <c r="N1553" i="4"/>
  <c r="O1553" i="4"/>
  <c r="P1553" i="4"/>
  <c r="Q1553" i="4"/>
  <c r="R1553" i="4"/>
  <c r="S1553" i="4"/>
  <c r="L1554" i="4"/>
  <c r="M1554" i="4"/>
  <c r="N1554" i="4"/>
  <c r="O1554" i="4"/>
  <c r="P1554" i="4"/>
  <c r="Q1554" i="4"/>
  <c r="R1554" i="4"/>
  <c r="S1554" i="4"/>
  <c r="L1555" i="4"/>
  <c r="M1555" i="4"/>
  <c r="N1555" i="4"/>
  <c r="O1555" i="4"/>
  <c r="P1555" i="4"/>
  <c r="Q1555" i="4"/>
  <c r="R1555" i="4"/>
  <c r="S1555" i="4"/>
  <c r="L1556" i="4"/>
  <c r="M1556" i="4"/>
  <c r="N1556" i="4"/>
  <c r="O1556" i="4"/>
  <c r="P1556" i="4"/>
  <c r="Q1556" i="4"/>
  <c r="R1556" i="4"/>
  <c r="S1556" i="4"/>
  <c r="L1557" i="4"/>
  <c r="M1557" i="4"/>
  <c r="N1557" i="4"/>
  <c r="O1557" i="4"/>
  <c r="P1557" i="4"/>
  <c r="Q1557" i="4"/>
  <c r="R1557" i="4"/>
  <c r="S1557" i="4"/>
  <c r="L1558" i="4"/>
  <c r="M1558" i="4"/>
  <c r="N1558" i="4"/>
  <c r="O1558" i="4"/>
  <c r="P1558" i="4"/>
  <c r="Q1558" i="4"/>
  <c r="R1558" i="4"/>
  <c r="S1558" i="4"/>
  <c r="L1559" i="4"/>
  <c r="M1559" i="4"/>
  <c r="N1559" i="4"/>
  <c r="O1559" i="4"/>
  <c r="P1559" i="4"/>
  <c r="Q1559" i="4"/>
  <c r="R1559" i="4"/>
  <c r="S1559" i="4"/>
  <c r="L1560" i="4"/>
  <c r="M1560" i="4"/>
  <c r="N1560" i="4"/>
  <c r="O1560" i="4"/>
  <c r="P1560" i="4"/>
  <c r="Q1560" i="4"/>
  <c r="R1560" i="4"/>
  <c r="S1560" i="4"/>
  <c r="L1561" i="4"/>
  <c r="M1561" i="4"/>
  <c r="N1561" i="4"/>
  <c r="O1561" i="4"/>
  <c r="P1561" i="4"/>
  <c r="Q1561" i="4"/>
  <c r="R1561" i="4"/>
  <c r="S1561" i="4"/>
  <c r="L1562" i="4"/>
  <c r="M1562" i="4"/>
  <c r="N1562" i="4"/>
  <c r="O1562" i="4"/>
  <c r="P1562" i="4"/>
  <c r="Q1562" i="4"/>
  <c r="R1562" i="4"/>
  <c r="S1562" i="4"/>
  <c r="L1563" i="4"/>
  <c r="M1563" i="4"/>
  <c r="N1563" i="4"/>
  <c r="O1563" i="4"/>
  <c r="P1563" i="4"/>
  <c r="Q1563" i="4"/>
  <c r="R1563" i="4"/>
  <c r="S1563" i="4"/>
  <c r="L1564" i="4"/>
  <c r="M1564" i="4"/>
  <c r="N1564" i="4"/>
  <c r="O1564" i="4"/>
  <c r="P1564" i="4"/>
  <c r="Q1564" i="4"/>
  <c r="R1564" i="4"/>
  <c r="S1564" i="4"/>
  <c r="L1565" i="4"/>
  <c r="M1565" i="4"/>
  <c r="N1565" i="4"/>
  <c r="O1565" i="4"/>
  <c r="P1565" i="4"/>
  <c r="Q1565" i="4"/>
  <c r="R1565" i="4"/>
  <c r="S1565" i="4"/>
  <c r="L1566" i="4"/>
  <c r="M1566" i="4"/>
  <c r="N1566" i="4"/>
  <c r="O1566" i="4"/>
  <c r="P1566" i="4"/>
  <c r="Q1566" i="4"/>
  <c r="R1566" i="4"/>
  <c r="S1566" i="4"/>
  <c r="L1567" i="4"/>
  <c r="M1567" i="4"/>
  <c r="N1567" i="4"/>
  <c r="O1567" i="4"/>
  <c r="P1567" i="4"/>
  <c r="Q1567" i="4"/>
  <c r="R1567" i="4"/>
  <c r="S1567" i="4"/>
  <c r="L1568" i="4"/>
  <c r="M1568" i="4"/>
  <c r="N1568" i="4"/>
  <c r="O1568" i="4"/>
  <c r="P1568" i="4"/>
  <c r="Q1568" i="4"/>
  <c r="R1568" i="4"/>
  <c r="S1568" i="4"/>
  <c r="L1569" i="4"/>
  <c r="M1569" i="4"/>
  <c r="N1569" i="4"/>
  <c r="O1569" i="4"/>
  <c r="P1569" i="4"/>
  <c r="Q1569" i="4"/>
  <c r="R1569" i="4"/>
  <c r="S1569" i="4"/>
  <c r="L1570" i="4"/>
  <c r="M1570" i="4"/>
  <c r="N1570" i="4"/>
  <c r="O1570" i="4"/>
  <c r="P1570" i="4"/>
  <c r="Q1570" i="4"/>
  <c r="R1570" i="4"/>
  <c r="S1570" i="4"/>
  <c r="L1571" i="4"/>
  <c r="M1571" i="4"/>
  <c r="N1571" i="4"/>
  <c r="O1571" i="4"/>
  <c r="P1571" i="4"/>
  <c r="Q1571" i="4"/>
  <c r="R1571" i="4"/>
  <c r="S1571" i="4"/>
  <c r="L1572" i="4"/>
  <c r="M1572" i="4"/>
  <c r="N1572" i="4"/>
  <c r="O1572" i="4"/>
  <c r="P1572" i="4"/>
  <c r="Q1572" i="4"/>
  <c r="R1572" i="4"/>
  <c r="S1572" i="4"/>
  <c r="L1573" i="4"/>
  <c r="M1573" i="4"/>
  <c r="N1573" i="4"/>
  <c r="O1573" i="4"/>
  <c r="P1573" i="4"/>
  <c r="Q1573" i="4"/>
  <c r="R1573" i="4"/>
  <c r="S1573" i="4"/>
  <c r="L1574" i="4"/>
  <c r="M1574" i="4"/>
  <c r="N1574" i="4"/>
  <c r="O1574" i="4"/>
  <c r="P1574" i="4"/>
  <c r="Q1574" i="4"/>
  <c r="R1574" i="4"/>
  <c r="S1574" i="4"/>
  <c r="L1575" i="4"/>
  <c r="M1575" i="4"/>
  <c r="N1575" i="4"/>
  <c r="O1575" i="4"/>
  <c r="P1575" i="4"/>
  <c r="Q1575" i="4"/>
  <c r="R1575" i="4"/>
  <c r="S1575" i="4"/>
  <c r="L1576" i="4"/>
  <c r="M1576" i="4"/>
  <c r="N1576" i="4"/>
  <c r="O1576" i="4"/>
  <c r="P1576" i="4"/>
  <c r="Q1576" i="4"/>
  <c r="R1576" i="4"/>
  <c r="S1576" i="4"/>
  <c r="L1577" i="4"/>
  <c r="M1577" i="4"/>
  <c r="N1577" i="4"/>
  <c r="O1577" i="4"/>
  <c r="P1577" i="4"/>
  <c r="Q1577" i="4"/>
  <c r="R1577" i="4"/>
  <c r="S1577" i="4"/>
  <c r="L1578" i="4"/>
  <c r="M1578" i="4"/>
  <c r="N1578" i="4"/>
  <c r="O1578" i="4"/>
  <c r="P1578" i="4"/>
  <c r="Q1578" i="4"/>
  <c r="R1578" i="4"/>
  <c r="S1578" i="4"/>
  <c r="L1579" i="4"/>
  <c r="M1579" i="4"/>
  <c r="N1579" i="4"/>
  <c r="O1579" i="4"/>
  <c r="P1579" i="4"/>
  <c r="Q1579" i="4"/>
  <c r="R1579" i="4"/>
  <c r="S1579" i="4"/>
  <c r="L1580" i="4"/>
  <c r="M1580" i="4"/>
  <c r="N1580" i="4"/>
  <c r="O1580" i="4"/>
  <c r="P1580" i="4"/>
  <c r="Q1580" i="4"/>
  <c r="R1580" i="4"/>
  <c r="S1580" i="4"/>
  <c r="L1581" i="4"/>
  <c r="M1581" i="4"/>
  <c r="N1581" i="4"/>
  <c r="O1581" i="4"/>
  <c r="P1581" i="4"/>
  <c r="Q1581" i="4"/>
  <c r="R1581" i="4"/>
  <c r="S1581" i="4"/>
  <c r="L1582" i="4"/>
  <c r="M1582" i="4"/>
  <c r="N1582" i="4"/>
  <c r="O1582" i="4"/>
  <c r="P1582" i="4"/>
  <c r="Q1582" i="4"/>
  <c r="R1582" i="4"/>
  <c r="S1582" i="4"/>
  <c r="L1583" i="4"/>
  <c r="M1583" i="4"/>
  <c r="N1583" i="4"/>
  <c r="O1583" i="4"/>
  <c r="P1583" i="4"/>
  <c r="Q1583" i="4"/>
  <c r="R1583" i="4"/>
  <c r="S1583" i="4"/>
  <c r="L1584" i="4"/>
  <c r="M1584" i="4"/>
  <c r="N1584" i="4"/>
  <c r="O1584" i="4"/>
  <c r="P1584" i="4"/>
  <c r="Q1584" i="4"/>
  <c r="R1584" i="4"/>
  <c r="S1584" i="4"/>
  <c r="L1585" i="4"/>
  <c r="M1585" i="4"/>
  <c r="N1585" i="4"/>
  <c r="O1585" i="4"/>
  <c r="P1585" i="4"/>
  <c r="Q1585" i="4"/>
  <c r="R1585" i="4"/>
  <c r="S1585" i="4"/>
  <c r="L1586" i="4"/>
  <c r="M1586" i="4"/>
  <c r="N1586" i="4"/>
  <c r="O1586" i="4"/>
  <c r="P1586" i="4"/>
  <c r="Q1586" i="4"/>
  <c r="R1586" i="4"/>
  <c r="S1586" i="4"/>
  <c r="L1587" i="4"/>
  <c r="M1587" i="4"/>
  <c r="N1587" i="4"/>
  <c r="O1587" i="4"/>
  <c r="P1587" i="4"/>
  <c r="Q1587" i="4"/>
  <c r="R1587" i="4"/>
  <c r="S1587" i="4"/>
  <c r="L1588" i="4"/>
  <c r="M1588" i="4"/>
  <c r="N1588" i="4"/>
  <c r="O1588" i="4"/>
  <c r="P1588" i="4"/>
  <c r="Q1588" i="4"/>
  <c r="R1588" i="4"/>
  <c r="S1588" i="4"/>
  <c r="L1589" i="4"/>
  <c r="M1589" i="4"/>
  <c r="N1589" i="4"/>
  <c r="O1589" i="4"/>
  <c r="P1589" i="4"/>
  <c r="Q1589" i="4"/>
  <c r="R1589" i="4"/>
  <c r="S1589" i="4"/>
  <c r="L1590" i="4"/>
  <c r="M1590" i="4"/>
  <c r="N1590" i="4"/>
  <c r="O1590" i="4"/>
  <c r="P1590" i="4"/>
  <c r="Q1590" i="4"/>
  <c r="R1590" i="4"/>
  <c r="S1590" i="4"/>
  <c r="L1591" i="4"/>
  <c r="M1591" i="4"/>
  <c r="N1591" i="4"/>
  <c r="O1591" i="4"/>
  <c r="P1591" i="4"/>
  <c r="Q1591" i="4"/>
  <c r="R1591" i="4"/>
  <c r="S1591" i="4"/>
  <c r="L1592" i="4"/>
  <c r="M1592" i="4"/>
  <c r="N1592" i="4"/>
  <c r="O1592" i="4"/>
  <c r="P1592" i="4"/>
  <c r="Q1592" i="4"/>
  <c r="R1592" i="4"/>
  <c r="S1592" i="4"/>
  <c r="L1593" i="4"/>
  <c r="M1593" i="4"/>
  <c r="N1593" i="4"/>
  <c r="O1593" i="4"/>
  <c r="P1593" i="4"/>
  <c r="Q1593" i="4"/>
  <c r="R1593" i="4"/>
  <c r="S1593" i="4"/>
  <c r="L1594" i="4"/>
  <c r="M1594" i="4"/>
  <c r="N1594" i="4"/>
  <c r="O1594" i="4"/>
  <c r="P1594" i="4"/>
  <c r="Q1594" i="4"/>
  <c r="R1594" i="4"/>
  <c r="S1594" i="4"/>
  <c r="L1595" i="4"/>
  <c r="M1595" i="4"/>
  <c r="N1595" i="4"/>
  <c r="O1595" i="4"/>
  <c r="P1595" i="4"/>
  <c r="Q1595" i="4"/>
  <c r="R1595" i="4"/>
  <c r="S1595" i="4"/>
  <c r="L1596" i="4"/>
  <c r="M1596" i="4"/>
  <c r="N1596" i="4"/>
  <c r="O1596" i="4"/>
  <c r="P1596" i="4"/>
  <c r="Q1596" i="4"/>
  <c r="R1596" i="4"/>
  <c r="S1596" i="4"/>
  <c r="L1597" i="4"/>
  <c r="M1597" i="4"/>
  <c r="N1597" i="4"/>
  <c r="O1597" i="4"/>
  <c r="P1597" i="4"/>
  <c r="Q1597" i="4"/>
  <c r="R1597" i="4"/>
  <c r="S1597" i="4"/>
  <c r="L1598" i="4"/>
  <c r="M1598" i="4"/>
  <c r="N1598" i="4"/>
  <c r="O1598" i="4"/>
  <c r="P1598" i="4"/>
  <c r="Q1598" i="4"/>
  <c r="R1598" i="4"/>
  <c r="S1598" i="4"/>
  <c r="L1599" i="4"/>
  <c r="M1599" i="4"/>
  <c r="N1599" i="4"/>
  <c r="O1599" i="4"/>
  <c r="P1599" i="4"/>
  <c r="Q1599" i="4"/>
  <c r="R1599" i="4"/>
  <c r="S1599" i="4"/>
  <c r="L1600" i="4"/>
  <c r="M1600" i="4"/>
  <c r="N1600" i="4"/>
  <c r="O1600" i="4"/>
  <c r="P1600" i="4"/>
  <c r="Q1600" i="4"/>
  <c r="R1600" i="4"/>
  <c r="S1600" i="4"/>
  <c r="L1601" i="4"/>
  <c r="M1601" i="4"/>
  <c r="N1601" i="4"/>
  <c r="O1601" i="4"/>
  <c r="P1601" i="4"/>
  <c r="Q1601" i="4"/>
  <c r="R1601" i="4"/>
  <c r="S1601" i="4"/>
  <c r="L1602" i="4"/>
  <c r="M1602" i="4"/>
  <c r="N1602" i="4"/>
  <c r="O1602" i="4"/>
  <c r="P1602" i="4"/>
  <c r="Q1602" i="4"/>
  <c r="R1602" i="4"/>
  <c r="S1602" i="4"/>
  <c r="L1603" i="4"/>
  <c r="M1603" i="4"/>
  <c r="N1603" i="4"/>
  <c r="O1603" i="4"/>
  <c r="P1603" i="4"/>
  <c r="Q1603" i="4"/>
  <c r="R1603" i="4"/>
  <c r="S1603" i="4"/>
  <c r="L1604" i="4"/>
  <c r="M1604" i="4"/>
  <c r="N1604" i="4"/>
  <c r="O1604" i="4"/>
  <c r="P1604" i="4"/>
  <c r="Q1604" i="4"/>
  <c r="R1604" i="4"/>
  <c r="S1604" i="4"/>
  <c r="L1605" i="4"/>
  <c r="M1605" i="4"/>
  <c r="N1605" i="4"/>
  <c r="O1605" i="4"/>
  <c r="P1605" i="4"/>
  <c r="Q1605" i="4"/>
  <c r="R1605" i="4"/>
  <c r="S1605" i="4"/>
  <c r="L1606" i="4"/>
  <c r="M1606" i="4"/>
  <c r="N1606" i="4"/>
  <c r="O1606" i="4"/>
  <c r="P1606" i="4"/>
  <c r="Q1606" i="4"/>
  <c r="R1606" i="4"/>
  <c r="S1606" i="4"/>
  <c r="L1607" i="4"/>
  <c r="M1607" i="4"/>
  <c r="N1607" i="4"/>
  <c r="O1607" i="4"/>
  <c r="P1607" i="4"/>
  <c r="Q1607" i="4"/>
  <c r="R1607" i="4"/>
  <c r="S1607" i="4"/>
  <c r="L1608" i="4"/>
  <c r="M1608" i="4"/>
  <c r="N1608" i="4"/>
  <c r="O1608" i="4"/>
  <c r="P1608" i="4"/>
  <c r="Q1608" i="4"/>
  <c r="R1608" i="4"/>
  <c r="S1608" i="4"/>
  <c r="L1609" i="4"/>
  <c r="M1609" i="4"/>
  <c r="N1609" i="4"/>
  <c r="O1609" i="4"/>
  <c r="P1609" i="4"/>
  <c r="Q1609" i="4"/>
  <c r="R1609" i="4"/>
  <c r="S1609" i="4"/>
  <c r="L1610" i="4"/>
  <c r="M1610" i="4"/>
  <c r="N1610" i="4"/>
  <c r="O1610" i="4"/>
  <c r="P1610" i="4"/>
  <c r="Q1610" i="4"/>
  <c r="R1610" i="4"/>
  <c r="S1610" i="4"/>
  <c r="L1611" i="4"/>
  <c r="M1611" i="4"/>
  <c r="N1611" i="4"/>
  <c r="O1611" i="4"/>
  <c r="P1611" i="4"/>
  <c r="Q1611" i="4"/>
  <c r="R1611" i="4"/>
  <c r="S1611" i="4"/>
  <c r="L1612" i="4"/>
  <c r="M1612" i="4"/>
  <c r="N1612" i="4"/>
  <c r="O1612" i="4"/>
  <c r="P1612" i="4"/>
  <c r="Q1612" i="4"/>
  <c r="R1612" i="4"/>
  <c r="S1612" i="4"/>
  <c r="L1613" i="4"/>
  <c r="M1613" i="4"/>
  <c r="N1613" i="4"/>
  <c r="O1613" i="4"/>
  <c r="P1613" i="4"/>
  <c r="Q1613" i="4"/>
  <c r="R1613" i="4"/>
  <c r="S1613" i="4"/>
  <c r="L1614" i="4"/>
  <c r="M1614" i="4"/>
  <c r="N1614" i="4"/>
  <c r="O1614" i="4"/>
  <c r="P1614" i="4"/>
  <c r="Q1614" i="4"/>
  <c r="R1614" i="4"/>
  <c r="S1614" i="4"/>
  <c r="L1615" i="4"/>
  <c r="M1615" i="4"/>
  <c r="N1615" i="4"/>
  <c r="O1615" i="4"/>
  <c r="P1615" i="4"/>
  <c r="Q1615" i="4"/>
  <c r="R1615" i="4"/>
  <c r="S1615" i="4"/>
  <c r="L1616" i="4"/>
  <c r="M1616" i="4"/>
  <c r="N1616" i="4"/>
  <c r="O1616" i="4"/>
  <c r="P1616" i="4"/>
  <c r="Q1616" i="4"/>
  <c r="R1616" i="4"/>
  <c r="S1616" i="4"/>
  <c r="L1617" i="4"/>
  <c r="M1617" i="4"/>
  <c r="N1617" i="4"/>
  <c r="O1617" i="4"/>
  <c r="P1617" i="4"/>
  <c r="Q1617" i="4"/>
  <c r="R1617" i="4"/>
  <c r="S1617" i="4"/>
  <c r="L1618" i="4"/>
  <c r="M1618" i="4"/>
  <c r="N1618" i="4"/>
  <c r="O1618" i="4"/>
  <c r="P1618" i="4"/>
  <c r="Q1618" i="4"/>
  <c r="R1618" i="4"/>
  <c r="S1618" i="4"/>
  <c r="L1619" i="4"/>
  <c r="M1619" i="4"/>
  <c r="N1619" i="4"/>
  <c r="O1619" i="4"/>
  <c r="P1619" i="4"/>
  <c r="Q1619" i="4"/>
  <c r="R1619" i="4"/>
  <c r="S1619" i="4"/>
  <c r="L1620" i="4"/>
  <c r="M1620" i="4"/>
  <c r="N1620" i="4"/>
  <c r="O1620" i="4"/>
  <c r="P1620" i="4"/>
  <c r="Q1620" i="4"/>
  <c r="R1620" i="4"/>
  <c r="S1620" i="4"/>
  <c r="L1621" i="4"/>
  <c r="M1621" i="4"/>
  <c r="N1621" i="4"/>
  <c r="O1621" i="4"/>
  <c r="P1621" i="4"/>
  <c r="Q1621" i="4"/>
  <c r="R1621" i="4"/>
  <c r="S1621" i="4"/>
  <c r="L1622" i="4"/>
  <c r="M1622" i="4"/>
  <c r="N1622" i="4"/>
  <c r="O1622" i="4"/>
  <c r="P1622" i="4"/>
  <c r="Q1622" i="4"/>
  <c r="R1622" i="4"/>
  <c r="S1622" i="4"/>
  <c r="L1623" i="4"/>
  <c r="M1623" i="4"/>
  <c r="N1623" i="4"/>
  <c r="O1623" i="4"/>
  <c r="P1623" i="4"/>
  <c r="Q1623" i="4"/>
  <c r="R1623" i="4"/>
  <c r="S1623" i="4"/>
  <c r="L1624" i="4"/>
  <c r="M1624" i="4"/>
  <c r="N1624" i="4"/>
  <c r="O1624" i="4"/>
  <c r="P1624" i="4"/>
  <c r="Q1624" i="4"/>
  <c r="R1624" i="4"/>
  <c r="S1624" i="4"/>
  <c r="L1625" i="4"/>
  <c r="M1625" i="4"/>
  <c r="N1625" i="4"/>
  <c r="O1625" i="4"/>
  <c r="P1625" i="4"/>
  <c r="Q1625" i="4"/>
  <c r="R1625" i="4"/>
  <c r="S1625" i="4"/>
  <c r="L1626" i="4"/>
  <c r="M1626" i="4"/>
  <c r="N1626" i="4"/>
  <c r="O1626" i="4"/>
  <c r="P1626" i="4"/>
  <c r="Q1626" i="4"/>
  <c r="R1626" i="4"/>
  <c r="S1626" i="4"/>
  <c r="L1627" i="4"/>
  <c r="M1627" i="4"/>
  <c r="N1627" i="4"/>
  <c r="O1627" i="4"/>
  <c r="P1627" i="4"/>
  <c r="Q1627" i="4"/>
  <c r="R1627" i="4"/>
  <c r="S1627" i="4"/>
  <c r="L1628" i="4"/>
  <c r="M1628" i="4"/>
  <c r="N1628" i="4"/>
  <c r="O1628" i="4"/>
  <c r="P1628" i="4"/>
  <c r="Q1628" i="4"/>
  <c r="R1628" i="4"/>
  <c r="S1628" i="4"/>
  <c r="L1629" i="4"/>
  <c r="M1629" i="4"/>
  <c r="N1629" i="4"/>
  <c r="O1629" i="4"/>
  <c r="P1629" i="4"/>
  <c r="Q1629" i="4"/>
  <c r="R1629" i="4"/>
  <c r="S1629" i="4"/>
  <c r="L1630" i="4"/>
  <c r="M1630" i="4"/>
  <c r="N1630" i="4"/>
  <c r="O1630" i="4"/>
  <c r="P1630" i="4"/>
  <c r="Q1630" i="4"/>
  <c r="R1630" i="4"/>
  <c r="S1630" i="4"/>
  <c r="L1631" i="4"/>
  <c r="M1631" i="4"/>
  <c r="N1631" i="4"/>
  <c r="O1631" i="4"/>
  <c r="P1631" i="4"/>
  <c r="Q1631" i="4"/>
  <c r="R1631" i="4"/>
  <c r="S1631" i="4"/>
  <c r="L1632" i="4"/>
  <c r="M1632" i="4"/>
  <c r="N1632" i="4"/>
  <c r="O1632" i="4"/>
  <c r="P1632" i="4"/>
  <c r="Q1632" i="4"/>
  <c r="R1632" i="4"/>
  <c r="S1632" i="4"/>
  <c r="L1633" i="4"/>
  <c r="M1633" i="4"/>
  <c r="N1633" i="4"/>
  <c r="O1633" i="4"/>
  <c r="P1633" i="4"/>
  <c r="Q1633" i="4"/>
  <c r="R1633" i="4"/>
  <c r="S1633" i="4"/>
  <c r="L1634" i="4"/>
  <c r="M1634" i="4"/>
  <c r="N1634" i="4"/>
  <c r="O1634" i="4"/>
  <c r="P1634" i="4"/>
  <c r="Q1634" i="4"/>
  <c r="R1634" i="4"/>
  <c r="S1634" i="4"/>
  <c r="L1635" i="4"/>
  <c r="M1635" i="4"/>
  <c r="N1635" i="4"/>
  <c r="O1635" i="4"/>
  <c r="P1635" i="4"/>
  <c r="Q1635" i="4"/>
  <c r="R1635" i="4"/>
  <c r="S1635" i="4"/>
  <c r="L1636" i="4"/>
  <c r="M1636" i="4"/>
  <c r="N1636" i="4"/>
  <c r="O1636" i="4"/>
  <c r="P1636" i="4"/>
  <c r="Q1636" i="4"/>
  <c r="R1636" i="4"/>
  <c r="S1636" i="4"/>
  <c r="L1637" i="4"/>
  <c r="M1637" i="4"/>
  <c r="N1637" i="4"/>
  <c r="O1637" i="4"/>
  <c r="P1637" i="4"/>
  <c r="Q1637" i="4"/>
  <c r="R1637" i="4"/>
  <c r="S1637" i="4"/>
  <c r="L1638" i="4"/>
  <c r="M1638" i="4"/>
  <c r="N1638" i="4"/>
  <c r="O1638" i="4"/>
  <c r="P1638" i="4"/>
  <c r="Q1638" i="4"/>
  <c r="R1638" i="4"/>
  <c r="S1638" i="4"/>
  <c r="L1639" i="4"/>
  <c r="M1639" i="4"/>
  <c r="N1639" i="4"/>
  <c r="O1639" i="4"/>
  <c r="P1639" i="4"/>
  <c r="Q1639" i="4"/>
  <c r="R1639" i="4"/>
  <c r="S1639" i="4"/>
  <c r="L1640" i="4"/>
  <c r="M1640" i="4"/>
  <c r="N1640" i="4"/>
  <c r="O1640" i="4"/>
  <c r="P1640" i="4"/>
  <c r="Q1640" i="4"/>
  <c r="R1640" i="4"/>
  <c r="S1640" i="4"/>
  <c r="L1641" i="4"/>
  <c r="M1641" i="4"/>
  <c r="N1641" i="4"/>
  <c r="O1641" i="4"/>
  <c r="P1641" i="4"/>
  <c r="Q1641" i="4"/>
  <c r="R1641" i="4"/>
  <c r="S1641" i="4"/>
  <c r="L1642" i="4"/>
  <c r="M1642" i="4"/>
  <c r="N1642" i="4"/>
  <c r="O1642" i="4"/>
  <c r="P1642" i="4"/>
  <c r="Q1642" i="4"/>
  <c r="R1642" i="4"/>
  <c r="S1642" i="4"/>
  <c r="L1643" i="4"/>
  <c r="M1643" i="4"/>
  <c r="N1643" i="4"/>
  <c r="O1643" i="4"/>
  <c r="P1643" i="4"/>
  <c r="Q1643" i="4"/>
  <c r="R1643" i="4"/>
  <c r="S1643" i="4"/>
  <c r="L1644" i="4"/>
  <c r="M1644" i="4"/>
  <c r="N1644" i="4"/>
  <c r="O1644" i="4"/>
  <c r="P1644" i="4"/>
  <c r="Q1644" i="4"/>
  <c r="R1644" i="4"/>
  <c r="S1644" i="4"/>
  <c r="L1645" i="4"/>
  <c r="M1645" i="4"/>
  <c r="N1645" i="4"/>
  <c r="O1645" i="4"/>
  <c r="P1645" i="4"/>
  <c r="Q1645" i="4"/>
  <c r="R1645" i="4"/>
  <c r="S1645" i="4"/>
  <c r="L1646" i="4"/>
  <c r="M1646" i="4"/>
  <c r="N1646" i="4"/>
  <c r="O1646" i="4"/>
  <c r="P1646" i="4"/>
  <c r="Q1646" i="4"/>
  <c r="R1646" i="4"/>
  <c r="S1646" i="4"/>
  <c r="L1647" i="4"/>
  <c r="M1647" i="4"/>
  <c r="N1647" i="4"/>
  <c r="O1647" i="4"/>
  <c r="P1647" i="4"/>
  <c r="Q1647" i="4"/>
  <c r="R1647" i="4"/>
  <c r="S1647" i="4"/>
  <c r="L1648" i="4"/>
  <c r="M1648" i="4"/>
  <c r="N1648" i="4"/>
  <c r="O1648" i="4"/>
  <c r="P1648" i="4"/>
  <c r="Q1648" i="4"/>
  <c r="R1648" i="4"/>
  <c r="S1648" i="4"/>
  <c r="L1649" i="4"/>
  <c r="M1649" i="4"/>
  <c r="N1649" i="4"/>
  <c r="O1649" i="4"/>
  <c r="P1649" i="4"/>
  <c r="Q1649" i="4"/>
  <c r="R1649" i="4"/>
  <c r="S1649" i="4"/>
  <c r="L1650" i="4"/>
  <c r="M1650" i="4"/>
  <c r="N1650" i="4"/>
  <c r="O1650" i="4"/>
  <c r="P1650" i="4"/>
  <c r="Q1650" i="4"/>
  <c r="R1650" i="4"/>
  <c r="S1650" i="4"/>
  <c r="L1651" i="4"/>
  <c r="M1651" i="4"/>
  <c r="N1651" i="4"/>
  <c r="O1651" i="4"/>
  <c r="P1651" i="4"/>
  <c r="Q1651" i="4"/>
  <c r="R1651" i="4"/>
  <c r="S1651" i="4"/>
  <c r="L1652" i="4"/>
  <c r="M1652" i="4"/>
  <c r="N1652" i="4"/>
  <c r="O1652" i="4"/>
  <c r="P1652" i="4"/>
  <c r="Q1652" i="4"/>
  <c r="R1652" i="4"/>
  <c r="S1652" i="4"/>
  <c r="L1653" i="4"/>
  <c r="M1653" i="4"/>
  <c r="N1653" i="4"/>
  <c r="O1653" i="4"/>
  <c r="P1653" i="4"/>
  <c r="Q1653" i="4"/>
  <c r="R1653" i="4"/>
  <c r="S1653" i="4"/>
  <c r="L1654" i="4"/>
  <c r="M1654" i="4"/>
  <c r="N1654" i="4"/>
  <c r="O1654" i="4"/>
  <c r="P1654" i="4"/>
  <c r="Q1654" i="4"/>
  <c r="R1654" i="4"/>
  <c r="S1654" i="4"/>
  <c r="L1655" i="4"/>
  <c r="M1655" i="4"/>
  <c r="N1655" i="4"/>
  <c r="O1655" i="4"/>
  <c r="P1655" i="4"/>
  <c r="Q1655" i="4"/>
  <c r="R1655" i="4"/>
  <c r="S1655" i="4"/>
  <c r="L1656" i="4"/>
  <c r="M1656" i="4"/>
  <c r="N1656" i="4"/>
  <c r="O1656" i="4"/>
  <c r="P1656" i="4"/>
  <c r="Q1656" i="4"/>
  <c r="R1656" i="4"/>
  <c r="S1656" i="4"/>
  <c r="L1657" i="4"/>
  <c r="M1657" i="4"/>
  <c r="N1657" i="4"/>
  <c r="O1657" i="4"/>
  <c r="P1657" i="4"/>
  <c r="Q1657" i="4"/>
  <c r="R1657" i="4"/>
  <c r="S1657" i="4"/>
  <c r="L1658" i="4"/>
  <c r="M1658" i="4"/>
  <c r="N1658" i="4"/>
  <c r="O1658" i="4"/>
  <c r="P1658" i="4"/>
  <c r="Q1658" i="4"/>
  <c r="R1658" i="4"/>
  <c r="S1658" i="4"/>
  <c r="L1659" i="4"/>
  <c r="M1659" i="4"/>
  <c r="N1659" i="4"/>
  <c r="O1659" i="4"/>
  <c r="P1659" i="4"/>
  <c r="Q1659" i="4"/>
  <c r="R1659" i="4"/>
  <c r="S1659" i="4"/>
  <c r="L1660" i="4"/>
  <c r="M1660" i="4"/>
  <c r="N1660" i="4"/>
  <c r="O1660" i="4"/>
  <c r="P1660" i="4"/>
  <c r="Q1660" i="4"/>
  <c r="R1660" i="4"/>
  <c r="S1660" i="4"/>
  <c r="L1661" i="4"/>
  <c r="M1661" i="4"/>
  <c r="N1661" i="4"/>
  <c r="O1661" i="4"/>
  <c r="P1661" i="4"/>
  <c r="Q1661" i="4"/>
  <c r="R1661" i="4"/>
  <c r="S1661" i="4"/>
  <c r="L1662" i="4"/>
  <c r="M1662" i="4"/>
  <c r="N1662" i="4"/>
  <c r="O1662" i="4"/>
  <c r="P1662" i="4"/>
  <c r="Q1662" i="4"/>
  <c r="R1662" i="4"/>
  <c r="S1662" i="4"/>
  <c r="L1663" i="4"/>
  <c r="M1663" i="4"/>
  <c r="N1663" i="4"/>
  <c r="O1663" i="4"/>
  <c r="P1663" i="4"/>
  <c r="Q1663" i="4"/>
  <c r="R1663" i="4"/>
  <c r="S1663" i="4"/>
  <c r="L1664" i="4"/>
  <c r="M1664" i="4"/>
  <c r="N1664" i="4"/>
  <c r="O1664" i="4"/>
  <c r="P1664" i="4"/>
  <c r="Q1664" i="4"/>
  <c r="R1664" i="4"/>
  <c r="S1664" i="4"/>
  <c r="L1665" i="4"/>
  <c r="M1665" i="4"/>
  <c r="N1665" i="4"/>
  <c r="O1665" i="4"/>
  <c r="P1665" i="4"/>
  <c r="Q1665" i="4"/>
  <c r="R1665" i="4"/>
  <c r="S1665" i="4"/>
  <c r="L1666" i="4"/>
  <c r="M1666" i="4"/>
  <c r="N1666" i="4"/>
  <c r="O1666" i="4"/>
  <c r="P1666" i="4"/>
  <c r="Q1666" i="4"/>
  <c r="R1666" i="4"/>
  <c r="S1666" i="4"/>
  <c r="L1667" i="4"/>
  <c r="M1667" i="4"/>
  <c r="N1667" i="4"/>
  <c r="O1667" i="4"/>
  <c r="P1667" i="4"/>
  <c r="Q1667" i="4"/>
  <c r="R1667" i="4"/>
  <c r="S1667" i="4"/>
  <c r="L1668" i="4"/>
  <c r="M1668" i="4"/>
  <c r="N1668" i="4"/>
  <c r="O1668" i="4"/>
  <c r="P1668" i="4"/>
  <c r="Q1668" i="4"/>
  <c r="R1668" i="4"/>
  <c r="S1668" i="4"/>
  <c r="L1669" i="4"/>
  <c r="M1669" i="4"/>
  <c r="N1669" i="4"/>
  <c r="O1669" i="4"/>
  <c r="P1669" i="4"/>
  <c r="Q1669" i="4"/>
  <c r="R1669" i="4"/>
  <c r="S1669" i="4"/>
  <c r="L1670" i="4"/>
  <c r="M1670" i="4"/>
  <c r="N1670" i="4"/>
  <c r="O1670" i="4"/>
  <c r="P1670" i="4"/>
  <c r="Q1670" i="4"/>
  <c r="R1670" i="4"/>
  <c r="S1670" i="4"/>
  <c r="L1671" i="4"/>
  <c r="M1671" i="4"/>
  <c r="N1671" i="4"/>
  <c r="O1671" i="4"/>
  <c r="P1671" i="4"/>
  <c r="Q1671" i="4"/>
  <c r="R1671" i="4"/>
  <c r="S1671" i="4"/>
  <c r="L1672" i="4"/>
  <c r="M1672" i="4"/>
  <c r="N1672" i="4"/>
  <c r="O1672" i="4"/>
  <c r="P1672" i="4"/>
  <c r="Q1672" i="4"/>
  <c r="R1672" i="4"/>
  <c r="S1672" i="4"/>
  <c r="L1673" i="4"/>
  <c r="M1673" i="4"/>
  <c r="N1673" i="4"/>
  <c r="O1673" i="4"/>
  <c r="P1673" i="4"/>
  <c r="Q1673" i="4"/>
  <c r="R1673" i="4"/>
  <c r="S1673" i="4"/>
  <c r="L1674" i="4"/>
  <c r="M1674" i="4"/>
  <c r="N1674" i="4"/>
  <c r="O1674" i="4"/>
  <c r="P1674" i="4"/>
  <c r="Q1674" i="4"/>
  <c r="R1674" i="4"/>
  <c r="S1674" i="4"/>
  <c r="L1675" i="4"/>
  <c r="M1675" i="4"/>
  <c r="N1675" i="4"/>
  <c r="O1675" i="4"/>
  <c r="P1675" i="4"/>
  <c r="Q1675" i="4"/>
  <c r="R1675" i="4"/>
  <c r="S1675" i="4"/>
  <c r="L1676" i="4"/>
  <c r="M1676" i="4"/>
  <c r="N1676" i="4"/>
  <c r="O1676" i="4"/>
  <c r="P1676" i="4"/>
  <c r="Q1676" i="4"/>
  <c r="R1676" i="4"/>
  <c r="S1676" i="4"/>
  <c r="L1677" i="4"/>
  <c r="M1677" i="4"/>
  <c r="N1677" i="4"/>
  <c r="O1677" i="4"/>
  <c r="P1677" i="4"/>
  <c r="Q1677" i="4"/>
  <c r="R1677" i="4"/>
  <c r="S1677" i="4"/>
  <c r="L1678" i="4"/>
  <c r="M1678" i="4"/>
  <c r="N1678" i="4"/>
  <c r="O1678" i="4"/>
  <c r="P1678" i="4"/>
  <c r="Q1678" i="4"/>
  <c r="R1678" i="4"/>
  <c r="S1678" i="4"/>
  <c r="L1679" i="4"/>
  <c r="M1679" i="4"/>
  <c r="N1679" i="4"/>
  <c r="O1679" i="4"/>
  <c r="P1679" i="4"/>
  <c r="Q1679" i="4"/>
  <c r="R1679" i="4"/>
  <c r="S1679" i="4"/>
  <c r="L1680" i="4"/>
  <c r="M1680" i="4"/>
  <c r="N1680" i="4"/>
  <c r="O1680" i="4"/>
  <c r="P1680" i="4"/>
  <c r="Q1680" i="4"/>
  <c r="R1680" i="4"/>
  <c r="S1680" i="4"/>
  <c r="L1681" i="4"/>
  <c r="M1681" i="4"/>
  <c r="N1681" i="4"/>
  <c r="O1681" i="4"/>
  <c r="P1681" i="4"/>
  <c r="Q1681" i="4"/>
  <c r="R1681" i="4"/>
  <c r="S1681" i="4"/>
  <c r="L1682" i="4"/>
  <c r="M1682" i="4"/>
  <c r="N1682" i="4"/>
  <c r="O1682" i="4"/>
  <c r="P1682" i="4"/>
  <c r="Q1682" i="4"/>
  <c r="R1682" i="4"/>
  <c r="S1682" i="4"/>
  <c r="L1683" i="4"/>
  <c r="M1683" i="4"/>
  <c r="N1683" i="4"/>
  <c r="O1683" i="4"/>
  <c r="P1683" i="4"/>
  <c r="Q1683" i="4"/>
  <c r="R1683" i="4"/>
  <c r="S1683" i="4"/>
  <c r="L1684" i="4"/>
  <c r="M1684" i="4"/>
  <c r="N1684" i="4"/>
  <c r="O1684" i="4"/>
  <c r="P1684" i="4"/>
  <c r="Q1684" i="4"/>
  <c r="R1684" i="4"/>
  <c r="S1684" i="4"/>
  <c r="L1685" i="4"/>
  <c r="M1685" i="4"/>
  <c r="N1685" i="4"/>
  <c r="O1685" i="4"/>
  <c r="P1685" i="4"/>
  <c r="Q1685" i="4"/>
  <c r="R1685" i="4"/>
  <c r="S1685" i="4"/>
  <c r="L1686" i="4"/>
  <c r="M1686" i="4"/>
  <c r="N1686" i="4"/>
  <c r="O1686" i="4"/>
  <c r="P1686" i="4"/>
  <c r="Q1686" i="4"/>
  <c r="R1686" i="4"/>
  <c r="S1686" i="4"/>
  <c r="L1687" i="4"/>
  <c r="M1687" i="4"/>
  <c r="N1687" i="4"/>
  <c r="O1687" i="4"/>
  <c r="P1687" i="4"/>
  <c r="Q1687" i="4"/>
  <c r="R1687" i="4"/>
  <c r="S1687" i="4"/>
  <c r="L1688" i="4"/>
  <c r="M1688" i="4"/>
  <c r="N1688" i="4"/>
  <c r="O1688" i="4"/>
  <c r="P1688" i="4"/>
  <c r="Q1688" i="4"/>
  <c r="R1688" i="4"/>
  <c r="S1688" i="4"/>
  <c r="L1689" i="4"/>
  <c r="M1689" i="4"/>
  <c r="N1689" i="4"/>
  <c r="O1689" i="4"/>
  <c r="P1689" i="4"/>
  <c r="Q1689" i="4"/>
  <c r="R1689" i="4"/>
  <c r="S1689" i="4"/>
  <c r="L1690" i="4"/>
  <c r="M1690" i="4"/>
  <c r="N1690" i="4"/>
  <c r="O1690" i="4"/>
  <c r="P1690" i="4"/>
  <c r="Q1690" i="4"/>
  <c r="R1690" i="4"/>
  <c r="S1690" i="4"/>
  <c r="L1691" i="4"/>
  <c r="M1691" i="4"/>
  <c r="N1691" i="4"/>
  <c r="O1691" i="4"/>
  <c r="P1691" i="4"/>
  <c r="Q1691" i="4"/>
  <c r="R1691" i="4"/>
  <c r="S1691" i="4"/>
  <c r="L1692" i="4"/>
  <c r="M1692" i="4"/>
  <c r="N1692" i="4"/>
  <c r="O1692" i="4"/>
  <c r="P1692" i="4"/>
  <c r="Q1692" i="4"/>
  <c r="R1692" i="4"/>
  <c r="S1692" i="4"/>
  <c r="L1693" i="4"/>
  <c r="M1693" i="4"/>
  <c r="N1693" i="4"/>
  <c r="O1693" i="4"/>
  <c r="P1693" i="4"/>
  <c r="Q1693" i="4"/>
  <c r="R1693" i="4"/>
  <c r="S1693" i="4"/>
  <c r="L1694" i="4"/>
  <c r="M1694" i="4"/>
  <c r="N1694" i="4"/>
  <c r="O1694" i="4"/>
  <c r="P1694" i="4"/>
  <c r="Q1694" i="4"/>
  <c r="R1694" i="4"/>
  <c r="S1694" i="4"/>
  <c r="L1695" i="4"/>
  <c r="M1695" i="4"/>
  <c r="N1695" i="4"/>
  <c r="O1695" i="4"/>
  <c r="P1695" i="4"/>
  <c r="Q1695" i="4"/>
  <c r="R1695" i="4"/>
  <c r="S1695" i="4"/>
  <c r="L1696" i="4"/>
  <c r="M1696" i="4"/>
  <c r="N1696" i="4"/>
  <c r="O1696" i="4"/>
  <c r="P1696" i="4"/>
  <c r="Q1696" i="4"/>
  <c r="R1696" i="4"/>
  <c r="S1696" i="4"/>
  <c r="L1697" i="4"/>
  <c r="M1697" i="4"/>
  <c r="N1697" i="4"/>
  <c r="O1697" i="4"/>
  <c r="P1697" i="4"/>
  <c r="Q1697" i="4"/>
  <c r="R1697" i="4"/>
  <c r="S1697" i="4"/>
  <c r="L1698" i="4"/>
  <c r="M1698" i="4"/>
  <c r="N1698" i="4"/>
  <c r="O1698" i="4"/>
  <c r="P1698" i="4"/>
  <c r="Q1698" i="4"/>
  <c r="R1698" i="4"/>
  <c r="S1698" i="4"/>
  <c r="L1699" i="4"/>
  <c r="M1699" i="4"/>
  <c r="N1699" i="4"/>
  <c r="O1699" i="4"/>
  <c r="P1699" i="4"/>
  <c r="Q1699" i="4"/>
  <c r="R1699" i="4"/>
  <c r="S1699" i="4"/>
  <c r="L1700" i="4"/>
  <c r="M1700" i="4"/>
  <c r="N1700" i="4"/>
  <c r="O1700" i="4"/>
  <c r="P1700" i="4"/>
  <c r="Q1700" i="4"/>
  <c r="R1700" i="4"/>
  <c r="S1700" i="4"/>
  <c r="L1701" i="4"/>
  <c r="M1701" i="4"/>
  <c r="N1701" i="4"/>
  <c r="O1701" i="4"/>
  <c r="P1701" i="4"/>
  <c r="Q1701" i="4"/>
  <c r="R1701" i="4"/>
  <c r="S1701" i="4"/>
  <c r="L1702" i="4"/>
  <c r="M1702" i="4"/>
  <c r="N1702" i="4"/>
  <c r="O1702" i="4"/>
  <c r="P1702" i="4"/>
  <c r="Q1702" i="4"/>
  <c r="R1702" i="4"/>
  <c r="S1702" i="4"/>
  <c r="L1703" i="4"/>
  <c r="M1703" i="4"/>
  <c r="N1703" i="4"/>
  <c r="O1703" i="4"/>
  <c r="P1703" i="4"/>
  <c r="Q1703" i="4"/>
  <c r="R1703" i="4"/>
  <c r="S1703" i="4"/>
  <c r="L1704" i="4"/>
  <c r="M1704" i="4"/>
  <c r="N1704" i="4"/>
  <c r="O1704" i="4"/>
  <c r="P1704" i="4"/>
  <c r="Q1704" i="4"/>
  <c r="R1704" i="4"/>
  <c r="S1704" i="4"/>
  <c r="L1705" i="4"/>
  <c r="M1705" i="4"/>
  <c r="N1705" i="4"/>
  <c r="O1705" i="4"/>
  <c r="P1705" i="4"/>
  <c r="Q1705" i="4"/>
  <c r="R1705" i="4"/>
  <c r="S1705" i="4"/>
  <c r="L1706" i="4"/>
  <c r="M1706" i="4"/>
  <c r="N1706" i="4"/>
  <c r="O1706" i="4"/>
  <c r="P1706" i="4"/>
  <c r="Q1706" i="4"/>
  <c r="R1706" i="4"/>
  <c r="S1706" i="4"/>
  <c r="L1707" i="4"/>
  <c r="M1707" i="4"/>
  <c r="N1707" i="4"/>
  <c r="O1707" i="4"/>
  <c r="P1707" i="4"/>
  <c r="Q1707" i="4"/>
  <c r="R1707" i="4"/>
  <c r="S1707" i="4"/>
  <c r="L1708" i="4"/>
  <c r="M1708" i="4"/>
  <c r="N1708" i="4"/>
  <c r="O1708" i="4"/>
  <c r="P1708" i="4"/>
  <c r="Q1708" i="4"/>
  <c r="R1708" i="4"/>
  <c r="S1708" i="4"/>
  <c r="L1709" i="4"/>
  <c r="M1709" i="4"/>
  <c r="N1709" i="4"/>
  <c r="O1709" i="4"/>
  <c r="P1709" i="4"/>
  <c r="Q1709" i="4"/>
  <c r="R1709" i="4"/>
  <c r="S1709" i="4"/>
  <c r="L1710" i="4"/>
  <c r="M1710" i="4"/>
  <c r="N1710" i="4"/>
  <c r="O1710" i="4"/>
  <c r="P1710" i="4"/>
  <c r="Q1710" i="4"/>
  <c r="R1710" i="4"/>
  <c r="S1710" i="4"/>
  <c r="L1711" i="4"/>
  <c r="M1711" i="4"/>
  <c r="N1711" i="4"/>
  <c r="O1711" i="4"/>
  <c r="P1711" i="4"/>
  <c r="Q1711" i="4"/>
  <c r="R1711" i="4"/>
  <c r="S1711" i="4"/>
  <c r="L1712" i="4"/>
  <c r="M1712" i="4"/>
  <c r="N1712" i="4"/>
  <c r="O1712" i="4"/>
  <c r="P1712" i="4"/>
  <c r="Q1712" i="4"/>
  <c r="R1712" i="4"/>
  <c r="S1712" i="4"/>
  <c r="L1713" i="4"/>
  <c r="M1713" i="4"/>
  <c r="N1713" i="4"/>
  <c r="O1713" i="4"/>
  <c r="P1713" i="4"/>
  <c r="Q1713" i="4"/>
  <c r="R1713" i="4"/>
  <c r="S1713" i="4"/>
  <c r="L1714" i="4"/>
  <c r="M1714" i="4"/>
  <c r="N1714" i="4"/>
  <c r="O1714" i="4"/>
  <c r="P1714" i="4"/>
  <c r="Q1714" i="4"/>
  <c r="R1714" i="4"/>
  <c r="S1714" i="4"/>
  <c r="L1715" i="4"/>
  <c r="M1715" i="4"/>
  <c r="N1715" i="4"/>
  <c r="O1715" i="4"/>
  <c r="P1715" i="4"/>
  <c r="Q1715" i="4"/>
  <c r="R1715" i="4"/>
  <c r="S1715" i="4"/>
  <c r="L1716" i="4"/>
  <c r="M1716" i="4"/>
  <c r="N1716" i="4"/>
  <c r="O1716" i="4"/>
  <c r="P1716" i="4"/>
  <c r="Q1716" i="4"/>
  <c r="R1716" i="4"/>
  <c r="S1716" i="4"/>
  <c r="L1717" i="4"/>
  <c r="M1717" i="4"/>
  <c r="N1717" i="4"/>
  <c r="O1717" i="4"/>
  <c r="P1717" i="4"/>
  <c r="Q1717" i="4"/>
  <c r="R1717" i="4"/>
  <c r="S1717" i="4"/>
  <c r="L1718" i="4"/>
  <c r="M1718" i="4"/>
  <c r="N1718" i="4"/>
  <c r="O1718" i="4"/>
  <c r="P1718" i="4"/>
  <c r="Q1718" i="4"/>
  <c r="R1718" i="4"/>
  <c r="S1718" i="4"/>
  <c r="L1719" i="4"/>
  <c r="M1719" i="4"/>
  <c r="N1719" i="4"/>
  <c r="O1719" i="4"/>
  <c r="P1719" i="4"/>
  <c r="Q1719" i="4"/>
  <c r="R1719" i="4"/>
  <c r="S1719" i="4"/>
  <c r="L1720" i="4"/>
  <c r="M1720" i="4"/>
  <c r="N1720" i="4"/>
  <c r="O1720" i="4"/>
  <c r="P1720" i="4"/>
  <c r="Q1720" i="4"/>
  <c r="R1720" i="4"/>
  <c r="S1720" i="4"/>
  <c r="L1721" i="4"/>
  <c r="M1721" i="4"/>
  <c r="N1721" i="4"/>
  <c r="O1721" i="4"/>
  <c r="P1721" i="4"/>
  <c r="Q1721" i="4"/>
  <c r="R1721" i="4"/>
  <c r="S1721" i="4"/>
  <c r="L1722" i="4"/>
  <c r="M1722" i="4"/>
  <c r="N1722" i="4"/>
  <c r="O1722" i="4"/>
  <c r="P1722" i="4"/>
  <c r="Q1722" i="4"/>
  <c r="R1722" i="4"/>
  <c r="S1722" i="4"/>
  <c r="L1723" i="4"/>
  <c r="M1723" i="4"/>
  <c r="N1723" i="4"/>
  <c r="O1723" i="4"/>
  <c r="P1723" i="4"/>
  <c r="Q1723" i="4"/>
  <c r="R1723" i="4"/>
  <c r="S1723" i="4"/>
  <c r="L1724" i="4"/>
  <c r="M1724" i="4"/>
  <c r="N1724" i="4"/>
  <c r="O1724" i="4"/>
  <c r="P1724" i="4"/>
  <c r="Q1724" i="4"/>
  <c r="R1724" i="4"/>
  <c r="S1724" i="4"/>
  <c r="L1725" i="4"/>
  <c r="M1725" i="4"/>
  <c r="N1725" i="4"/>
  <c r="O1725" i="4"/>
  <c r="P1725" i="4"/>
  <c r="Q1725" i="4"/>
  <c r="R1725" i="4"/>
  <c r="S1725" i="4"/>
  <c r="L1726" i="4"/>
  <c r="M1726" i="4"/>
  <c r="N1726" i="4"/>
  <c r="O1726" i="4"/>
  <c r="P1726" i="4"/>
  <c r="Q1726" i="4"/>
  <c r="R1726" i="4"/>
  <c r="S1726" i="4"/>
  <c r="L1727" i="4"/>
  <c r="M1727" i="4"/>
  <c r="N1727" i="4"/>
  <c r="O1727" i="4"/>
  <c r="P1727" i="4"/>
  <c r="Q1727" i="4"/>
  <c r="R1727" i="4"/>
  <c r="S1727" i="4"/>
  <c r="L1728" i="4"/>
  <c r="M1728" i="4"/>
  <c r="N1728" i="4"/>
  <c r="O1728" i="4"/>
  <c r="P1728" i="4"/>
  <c r="Q1728" i="4"/>
  <c r="R1728" i="4"/>
  <c r="S1728" i="4"/>
  <c r="L1729" i="4"/>
  <c r="M1729" i="4"/>
  <c r="N1729" i="4"/>
  <c r="O1729" i="4"/>
  <c r="P1729" i="4"/>
  <c r="Q1729" i="4"/>
  <c r="R1729" i="4"/>
  <c r="S1729" i="4"/>
  <c r="L1730" i="4"/>
  <c r="M1730" i="4"/>
  <c r="N1730" i="4"/>
  <c r="O1730" i="4"/>
  <c r="P1730" i="4"/>
  <c r="Q1730" i="4"/>
  <c r="R1730" i="4"/>
  <c r="S1730" i="4"/>
  <c r="L1731" i="4"/>
  <c r="M1731" i="4"/>
  <c r="N1731" i="4"/>
  <c r="O1731" i="4"/>
  <c r="P1731" i="4"/>
  <c r="Q1731" i="4"/>
  <c r="R1731" i="4"/>
  <c r="S1731" i="4"/>
  <c r="L1732" i="4"/>
  <c r="M1732" i="4"/>
  <c r="N1732" i="4"/>
  <c r="O1732" i="4"/>
  <c r="P1732" i="4"/>
  <c r="Q1732" i="4"/>
  <c r="R1732" i="4"/>
  <c r="S1732" i="4"/>
  <c r="L1733" i="4"/>
  <c r="M1733" i="4"/>
  <c r="N1733" i="4"/>
  <c r="O1733" i="4"/>
  <c r="P1733" i="4"/>
  <c r="Q1733" i="4"/>
  <c r="R1733" i="4"/>
  <c r="S1733" i="4"/>
  <c r="L1734" i="4"/>
  <c r="M1734" i="4"/>
  <c r="N1734" i="4"/>
  <c r="O1734" i="4"/>
  <c r="P1734" i="4"/>
  <c r="Q1734" i="4"/>
  <c r="R1734" i="4"/>
  <c r="S1734" i="4"/>
  <c r="L1735" i="4"/>
  <c r="M1735" i="4"/>
  <c r="N1735" i="4"/>
  <c r="O1735" i="4"/>
  <c r="P1735" i="4"/>
  <c r="Q1735" i="4"/>
  <c r="R1735" i="4"/>
  <c r="S1735" i="4"/>
  <c r="L1736" i="4"/>
  <c r="M1736" i="4"/>
  <c r="N1736" i="4"/>
  <c r="O1736" i="4"/>
  <c r="P1736" i="4"/>
  <c r="Q1736" i="4"/>
  <c r="R1736" i="4"/>
  <c r="S1736" i="4"/>
  <c r="L1737" i="4"/>
  <c r="M1737" i="4"/>
  <c r="N1737" i="4"/>
  <c r="O1737" i="4"/>
  <c r="P1737" i="4"/>
  <c r="Q1737" i="4"/>
  <c r="R1737" i="4"/>
  <c r="S1737" i="4"/>
  <c r="L1738" i="4"/>
  <c r="M1738" i="4"/>
  <c r="N1738" i="4"/>
  <c r="O1738" i="4"/>
  <c r="P1738" i="4"/>
  <c r="Q1738" i="4"/>
  <c r="R1738" i="4"/>
  <c r="S1738" i="4"/>
  <c r="L1739" i="4"/>
  <c r="M1739" i="4"/>
  <c r="N1739" i="4"/>
  <c r="O1739" i="4"/>
  <c r="P1739" i="4"/>
  <c r="Q1739" i="4"/>
  <c r="R1739" i="4"/>
  <c r="S1739" i="4"/>
  <c r="L1740" i="4"/>
  <c r="M1740" i="4"/>
  <c r="N1740" i="4"/>
  <c r="O1740" i="4"/>
  <c r="P1740" i="4"/>
  <c r="Q1740" i="4"/>
  <c r="R1740" i="4"/>
  <c r="S1740" i="4"/>
  <c r="L1741" i="4"/>
  <c r="M1741" i="4"/>
  <c r="N1741" i="4"/>
  <c r="O1741" i="4"/>
  <c r="P1741" i="4"/>
  <c r="Q1741" i="4"/>
  <c r="R1741" i="4"/>
  <c r="S1741" i="4"/>
  <c r="L1742" i="4"/>
  <c r="M1742" i="4"/>
  <c r="N1742" i="4"/>
  <c r="O1742" i="4"/>
  <c r="P1742" i="4"/>
  <c r="Q1742" i="4"/>
  <c r="R1742" i="4"/>
  <c r="S1742" i="4"/>
  <c r="L1743" i="4"/>
  <c r="M1743" i="4"/>
  <c r="N1743" i="4"/>
  <c r="O1743" i="4"/>
  <c r="P1743" i="4"/>
  <c r="Q1743" i="4"/>
  <c r="R1743" i="4"/>
  <c r="S1743" i="4"/>
  <c r="L1744" i="4"/>
  <c r="M1744" i="4"/>
  <c r="N1744" i="4"/>
  <c r="O1744" i="4"/>
  <c r="P1744" i="4"/>
  <c r="Q1744" i="4"/>
  <c r="R1744" i="4"/>
  <c r="S1744" i="4"/>
  <c r="L1745" i="4"/>
  <c r="M1745" i="4"/>
  <c r="N1745" i="4"/>
  <c r="O1745" i="4"/>
  <c r="P1745" i="4"/>
  <c r="Q1745" i="4"/>
  <c r="R1745" i="4"/>
  <c r="S1745" i="4"/>
  <c r="L1746" i="4"/>
  <c r="M1746" i="4"/>
  <c r="N1746" i="4"/>
  <c r="O1746" i="4"/>
  <c r="P1746" i="4"/>
  <c r="Q1746" i="4"/>
  <c r="R1746" i="4"/>
  <c r="S1746" i="4"/>
  <c r="L1747" i="4"/>
  <c r="M1747" i="4"/>
  <c r="N1747" i="4"/>
  <c r="O1747" i="4"/>
  <c r="P1747" i="4"/>
  <c r="Q1747" i="4"/>
  <c r="R1747" i="4"/>
  <c r="S1747" i="4"/>
  <c r="L1748" i="4"/>
  <c r="M1748" i="4"/>
  <c r="N1748" i="4"/>
  <c r="O1748" i="4"/>
  <c r="P1748" i="4"/>
  <c r="Q1748" i="4"/>
  <c r="R1748" i="4"/>
  <c r="S1748" i="4"/>
  <c r="L1749" i="4"/>
  <c r="M1749" i="4"/>
  <c r="N1749" i="4"/>
  <c r="O1749" i="4"/>
  <c r="P1749" i="4"/>
  <c r="Q1749" i="4"/>
  <c r="R1749" i="4"/>
  <c r="S1749" i="4"/>
  <c r="L1750" i="4"/>
  <c r="M1750" i="4"/>
  <c r="N1750" i="4"/>
  <c r="O1750" i="4"/>
  <c r="P1750" i="4"/>
  <c r="Q1750" i="4"/>
  <c r="R1750" i="4"/>
  <c r="S1750" i="4"/>
  <c r="L1751" i="4"/>
  <c r="M1751" i="4"/>
  <c r="N1751" i="4"/>
  <c r="O1751" i="4"/>
  <c r="P1751" i="4"/>
  <c r="Q1751" i="4"/>
  <c r="R1751" i="4"/>
  <c r="S1751" i="4"/>
  <c r="L1752" i="4"/>
  <c r="M1752" i="4"/>
  <c r="N1752" i="4"/>
  <c r="O1752" i="4"/>
  <c r="P1752" i="4"/>
  <c r="Q1752" i="4"/>
  <c r="R1752" i="4"/>
  <c r="S1752" i="4"/>
  <c r="L1753" i="4"/>
  <c r="M1753" i="4"/>
  <c r="N1753" i="4"/>
  <c r="O1753" i="4"/>
  <c r="P1753" i="4"/>
  <c r="Q1753" i="4"/>
  <c r="R1753" i="4"/>
  <c r="S1753" i="4"/>
  <c r="L1754" i="4"/>
  <c r="M1754" i="4"/>
  <c r="N1754" i="4"/>
  <c r="O1754" i="4"/>
  <c r="P1754" i="4"/>
  <c r="Q1754" i="4"/>
  <c r="R1754" i="4"/>
  <c r="S1754" i="4"/>
  <c r="L1755" i="4"/>
  <c r="M1755" i="4"/>
  <c r="N1755" i="4"/>
  <c r="O1755" i="4"/>
  <c r="P1755" i="4"/>
  <c r="Q1755" i="4"/>
  <c r="R1755" i="4"/>
  <c r="S1755" i="4"/>
  <c r="L1756" i="4"/>
  <c r="M1756" i="4"/>
  <c r="N1756" i="4"/>
  <c r="O1756" i="4"/>
  <c r="P1756" i="4"/>
  <c r="Q1756" i="4"/>
  <c r="R1756" i="4"/>
  <c r="S1756" i="4"/>
  <c r="L1757" i="4"/>
  <c r="M1757" i="4"/>
  <c r="N1757" i="4"/>
  <c r="O1757" i="4"/>
  <c r="P1757" i="4"/>
  <c r="Q1757" i="4"/>
  <c r="R1757" i="4"/>
  <c r="S1757" i="4"/>
  <c r="L1758" i="4"/>
  <c r="M1758" i="4"/>
  <c r="N1758" i="4"/>
  <c r="O1758" i="4"/>
  <c r="P1758" i="4"/>
  <c r="Q1758" i="4"/>
  <c r="R1758" i="4"/>
  <c r="S1758" i="4"/>
  <c r="L1759" i="4"/>
  <c r="M1759" i="4"/>
  <c r="N1759" i="4"/>
  <c r="O1759" i="4"/>
  <c r="P1759" i="4"/>
  <c r="Q1759" i="4"/>
  <c r="R1759" i="4"/>
  <c r="S1759" i="4"/>
  <c r="L1760" i="4"/>
  <c r="M1760" i="4"/>
  <c r="N1760" i="4"/>
  <c r="O1760" i="4"/>
  <c r="P1760" i="4"/>
  <c r="Q1760" i="4"/>
  <c r="R1760" i="4"/>
  <c r="S1760" i="4"/>
  <c r="L1761" i="4"/>
  <c r="M1761" i="4"/>
  <c r="N1761" i="4"/>
  <c r="O1761" i="4"/>
  <c r="P1761" i="4"/>
  <c r="Q1761" i="4"/>
  <c r="R1761" i="4"/>
  <c r="S1761" i="4"/>
  <c r="L1762" i="4"/>
  <c r="M1762" i="4"/>
  <c r="N1762" i="4"/>
  <c r="O1762" i="4"/>
  <c r="P1762" i="4"/>
  <c r="Q1762" i="4"/>
  <c r="R1762" i="4"/>
  <c r="S1762" i="4"/>
  <c r="L1763" i="4"/>
  <c r="M1763" i="4"/>
  <c r="N1763" i="4"/>
  <c r="O1763" i="4"/>
  <c r="P1763" i="4"/>
  <c r="Q1763" i="4"/>
  <c r="R1763" i="4"/>
  <c r="S1763" i="4"/>
  <c r="L1764" i="4"/>
  <c r="M1764" i="4"/>
  <c r="N1764" i="4"/>
  <c r="O1764" i="4"/>
  <c r="P1764" i="4"/>
  <c r="Q1764" i="4"/>
  <c r="R1764" i="4"/>
  <c r="S1764" i="4"/>
  <c r="L1765" i="4"/>
  <c r="M1765" i="4"/>
  <c r="N1765" i="4"/>
  <c r="O1765" i="4"/>
  <c r="P1765" i="4"/>
  <c r="Q1765" i="4"/>
  <c r="R1765" i="4"/>
  <c r="S1765" i="4"/>
  <c r="L1766" i="4"/>
  <c r="M1766" i="4"/>
  <c r="N1766" i="4"/>
  <c r="O1766" i="4"/>
  <c r="P1766" i="4"/>
  <c r="Q1766" i="4"/>
  <c r="R1766" i="4"/>
  <c r="S1766" i="4"/>
  <c r="L1767" i="4"/>
  <c r="M1767" i="4"/>
  <c r="N1767" i="4"/>
  <c r="O1767" i="4"/>
  <c r="P1767" i="4"/>
  <c r="Q1767" i="4"/>
  <c r="R1767" i="4"/>
  <c r="S1767" i="4"/>
  <c r="L1768" i="4"/>
  <c r="M1768" i="4"/>
  <c r="N1768" i="4"/>
  <c r="O1768" i="4"/>
  <c r="P1768" i="4"/>
  <c r="Q1768" i="4"/>
  <c r="R1768" i="4"/>
  <c r="S1768" i="4"/>
  <c r="L1769" i="4"/>
  <c r="M1769" i="4"/>
  <c r="N1769" i="4"/>
  <c r="O1769" i="4"/>
  <c r="P1769" i="4"/>
  <c r="Q1769" i="4"/>
  <c r="R1769" i="4"/>
  <c r="S1769" i="4"/>
  <c r="L1770" i="4"/>
  <c r="M1770" i="4"/>
  <c r="N1770" i="4"/>
  <c r="O1770" i="4"/>
  <c r="P1770" i="4"/>
  <c r="Q1770" i="4"/>
  <c r="R1770" i="4"/>
  <c r="S1770" i="4"/>
  <c r="L1771" i="4"/>
  <c r="M1771" i="4"/>
  <c r="N1771" i="4"/>
  <c r="O1771" i="4"/>
  <c r="P1771" i="4"/>
  <c r="Q1771" i="4"/>
  <c r="R1771" i="4"/>
  <c r="S1771" i="4"/>
  <c r="L1772" i="4"/>
  <c r="M1772" i="4"/>
  <c r="N1772" i="4"/>
  <c r="O1772" i="4"/>
  <c r="P1772" i="4"/>
  <c r="Q1772" i="4"/>
  <c r="R1772" i="4"/>
  <c r="S1772" i="4"/>
  <c r="L1773" i="4"/>
  <c r="M1773" i="4"/>
  <c r="N1773" i="4"/>
  <c r="O1773" i="4"/>
  <c r="P1773" i="4"/>
  <c r="Q1773" i="4"/>
  <c r="R1773" i="4"/>
  <c r="S1773" i="4"/>
  <c r="L1774" i="4"/>
  <c r="M1774" i="4"/>
  <c r="N1774" i="4"/>
  <c r="O1774" i="4"/>
  <c r="P1774" i="4"/>
  <c r="Q1774" i="4"/>
  <c r="R1774" i="4"/>
  <c r="S1774" i="4"/>
  <c r="L1775" i="4"/>
  <c r="M1775" i="4"/>
  <c r="N1775" i="4"/>
  <c r="O1775" i="4"/>
  <c r="P1775" i="4"/>
  <c r="Q1775" i="4"/>
  <c r="R1775" i="4"/>
  <c r="S1775" i="4"/>
  <c r="L1776" i="4"/>
  <c r="M1776" i="4"/>
  <c r="N1776" i="4"/>
  <c r="O1776" i="4"/>
  <c r="P1776" i="4"/>
  <c r="Q1776" i="4"/>
  <c r="R1776" i="4"/>
  <c r="S1776" i="4"/>
  <c r="L1777" i="4"/>
  <c r="M1777" i="4"/>
  <c r="N1777" i="4"/>
  <c r="O1777" i="4"/>
  <c r="P1777" i="4"/>
  <c r="Q1777" i="4"/>
  <c r="R1777" i="4"/>
  <c r="S1777" i="4"/>
  <c r="L1778" i="4"/>
  <c r="M1778" i="4"/>
  <c r="N1778" i="4"/>
  <c r="O1778" i="4"/>
  <c r="P1778" i="4"/>
  <c r="Q1778" i="4"/>
  <c r="R1778" i="4"/>
  <c r="S1778" i="4"/>
  <c r="L1779" i="4"/>
  <c r="M1779" i="4"/>
  <c r="N1779" i="4"/>
  <c r="O1779" i="4"/>
  <c r="P1779" i="4"/>
  <c r="Q1779" i="4"/>
  <c r="R1779" i="4"/>
  <c r="S1779" i="4"/>
  <c r="L1780" i="4"/>
  <c r="M1780" i="4"/>
  <c r="N1780" i="4"/>
  <c r="O1780" i="4"/>
  <c r="P1780" i="4"/>
  <c r="Q1780" i="4"/>
  <c r="R1780" i="4"/>
  <c r="S1780" i="4"/>
  <c r="L1781" i="4"/>
  <c r="M1781" i="4"/>
  <c r="N1781" i="4"/>
  <c r="O1781" i="4"/>
  <c r="P1781" i="4"/>
  <c r="Q1781" i="4"/>
  <c r="R1781" i="4"/>
  <c r="S1781" i="4"/>
  <c r="L1782" i="4"/>
  <c r="M1782" i="4"/>
  <c r="N1782" i="4"/>
  <c r="O1782" i="4"/>
  <c r="P1782" i="4"/>
  <c r="Q1782" i="4"/>
  <c r="R1782" i="4"/>
  <c r="S1782" i="4"/>
  <c r="L1783" i="4"/>
  <c r="M1783" i="4"/>
  <c r="N1783" i="4"/>
  <c r="O1783" i="4"/>
  <c r="P1783" i="4"/>
  <c r="Q1783" i="4"/>
  <c r="R1783" i="4"/>
  <c r="S1783" i="4"/>
  <c r="L1784" i="4"/>
  <c r="M1784" i="4"/>
  <c r="N1784" i="4"/>
  <c r="O1784" i="4"/>
  <c r="P1784" i="4"/>
  <c r="Q1784" i="4"/>
  <c r="R1784" i="4"/>
  <c r="S1784" i="4"/>
  <c r="L1785" i="4"/>
  <c r="M1785" i="4"/>
  <c r="N1785" i="4"/>
  <c r="O1785" i="4"/>
  <c r="P1785" i="4"/>
  <c r="Q1785" i="4"/>
  <c r="R1785" i="4"/>
  <c r="S1785" i="4"/>
  <c r="L1786" i="4"/>
  <c r="M1786" i="4"/>
  <c r="N1786" i="4"/>
  <c r="O1786" i="4"/>
  <c r="P1786" i="4"/>
  <c r="Q1786" i="4"/>
  <c r="R1786" i="4"/>
  <c r="S1786" i="4"/>
  <c r="L1787" i="4"/>
  <c r="M1787" i="4"/>
  <c r="N1787" i="4"/>
  <c r="O1787" i="4"/>
  <c r="P1787" i="4"/>
  <c r="Q1787" i="4"/>
  <c r="R1787" i="4"/>
  <c r="S1787" i="4"/>
  <c r="L1788" i="4"/>
  <c r="M1788" i="4"/>
  <c r="N1788" i="4"/>
  <c r="O1788" i="4"/>
  <c r="P1788" i="4"/>
  <c r="Q1788" i="4"/>
  <c r="R1788" i="4"/>
  <c r="S1788" i="4"/>
  <c r="L1789" i="4"/>
  <c r="M1789" i="4"/>
  <c r="N1789" i="4"/>
  <c r="O1789" i="4"/>
  <c r="P1789" i="4"/>
  <c r="Q1789" i="4"/>
  <c r="R1789" i="4"/>
  <c r="S1789" i="4"/>
  <c r="L1790" i="4"/>
  <c r="M1790" i="4"/>
  <c r="N1790" i="4"/>
  <c r="O1790" i="4"/>
  <c r="P1790" i="4"/>
  <c r="Q1790" i="4"/>
  <c r="R1790" i="4"/>
  <c r="S1790" i="4"/>
  <c r="L1791" i="4"/>
  <c r="M1791" i="4"/>
  <c r="N1791" i="4"/>
  <c r="O1791" i="4"/>
  <c r="P1791" i="4"/>
  <c r="Q1791" i="4"/>
  <c r="R1791" i="4"/>
  <c r="S1791" i="4"/>
  <c r="L1792" i="4"/>
  <c r="M1792" i="4"/>
  <c r="N1792" i="4"/>
  <c r="O1792" i="4"/>
  <c r="P1792" i="4"/>
  <c r="Q1792" i="4"/>
  <c r="R1792" i="4"/>
  <c r="S1792" i="4"/>
  <c r="L1793" i="4"/>
  <c r="M1793" i="4"/>
  <c r="N1793" i="4"/>
  <c r="O1793" i="4"/>
  <c r="P1793" i="4"/>
  <c r="Q1793" i="4"/>
  <c r="R1793" i="4"/>
  <c r="S1793" i="4"/>
  <c r="L1794" i="4"/>
  <c r="M1794" i="4"/>
  <c r="N1794" i="4"/>
  <c r="O1794" i="4"/>
  <c r="P1794" i="4"/>
  <c r="Q1794" i="4"/>
  <c r="R1794" i="4"/>
  <c r="S1794" i="4"/>
  <c r="L1795" i="4"/>
  <c r="M1795" i="4"/>
  <c r="N1795" i="4"/>
  <c r="O1795" i="4"/>
  <c r="P1795" i="4"/>
  <c r="Q1795" i="4"/>
  <c r="R1795" i="4"/>
  <c r="S1795" i="4"/>
  <c r="L1796" i="4"/>
  <c r="M1796" i="4"/>
  <c r="N1796" i="4"/>
  <c r="O1796" i="4"/>
  <c r="P1796" i="4"/>
  <c r="Q1796" i="4"/>
  <c r="R1796" i="4"/>
  <c r="S1796" i="4"/>
  <c r="L1797" i="4"/>
  <c r="M1797" i="4"/>
  <c r="N1797" i="4"/>
  <c r="O1797" i="4"/>
  <c r="P1797" i="4"/>
  <c r="Q1797" i="4"/>
  <c r="R1797" i="4"/>
  <c r="S1797" i="4"/>
  <c r="L1798" i="4"/>
  <c r="M1798" i="4"/>
  <c r="N1798" i="4"/>
  <c r="O1798" i="4"/>
  <c r="P1798" i="4"/>
  <c r="Q1798" i="4"/>
  <c r="R1798" i="4"/>
  <c r="S1798" i="4"/>
  <c r="L1799" i="4"/>
  <c r="M1799" i="4"/>
  <c r="N1799" i="4"/>
  <c r="O1799" i="4"/>
  <c r="P1799" i="4"/>
  <c r="Q1799" i="4"/>
  <c r="R1799" i="4"/>
  <c r="S1799" i="4"/>
  <c r="L1800" i="4"/>
  <c r="M1800" i="4"/>
  <c r="N1800" i="4"/>
  <c r="O1800" i="4"/>
  <c r="P1800" i="4"/>
  <c r="Q1800" i="4"/>
  <c r="R1800" i="4"/>
  <c r="S1800" i="4"/>
  <c r="L1801" i="4"/>
  <c r="M1801" i="4"/>
  <c r="N1801" i="4"/>
  <c r="O1801" i="4"/>
  <c r="P1801" i="4"/>
  <c r="Q1801" i="4"/>
  <c r="R1801" i="4"/>
  <c r="S1801" i="4"/>
  <c r="L1802" i="4"/>
  <c r="M1802" i="4"/>
  <c r="N1802" i="4"/>
  <c r="O1802" i="4"/>
  <c r="P1802" i="4"/>
  <c r="Q1802" i="4"/>
  <c r="R1802" i="4"/>
  <c r="S1802" i="4"/>
  <c r="L1803" i="4"/>
  <c r="M1803" i="4"/>
  <c r="N1803" i="4"/>
  <c r="O1803" i="4"/>
  <c r="P1803" i="4"/>
  <c r="Q1803" i="4"/>
  <c r="R1803" i="4"/>
  <c r="S1803" i="4"/>
  <c r="L1804" i="4"/>
  <c r="M1804" i="4"/>
  <c r="N1804" i="4"/>
  <c r="O1804" i="4"/>
  <c r="P1804" i="4"/>
  <c r="Q1804" i="4"/>
  <c r="R1804" i="4"/>
  <c r="S1804" i="4"/>
  <c r="L1805" i="4"/>
  <c r="M1805" i="4"/>
  <c r="N1805" i="4"/>
  <c r="O1805" i="4"/>
  <c r="P1805" i="4"/>
  <c r="Q1805" i="4"/>
  <c r="R1805" i="4"/>
  <c r="S1805" i="4"/>
  <c r="L1806" i="4"/>
  <c r="M1806" i="4"/>
  <c r="N1806" i="4"/>
  <c r="O1806" i="4"/>
  <c r="P1806" i="4"/>
  <c r="Q1806" i="4"/>
  <c r="R1806" i="4"/>
  <c r="S1806" i="4"/>
  <c r="L1807" i="4"/>
  <c r="M1807" i="4"/>
  <c r="N1807" i="4"/>
  <c r="O1807" i="4"/>
  <c r="P1807" i="4"/>
  <c r="Q1807" i="4"/>
  <c r="R1807" i="4"/>
  <c r="S1807" i="4"/>
  <c r="L1808" i="4"/>
  <c r="M1808" i="4"/>
  <c r="N1808" i="4"/>
  <c r="O1808" i="4"/>
  <c r="P1808" i="4"/>
  <c r="Q1808" i="4"/>
  <c r="R1808" i="4"/>
  <c r="S1808" i="4"/>
  <c r="L1809" i="4"/>
  <c r="M1809" i="4"/>
  <c r="N1809" i="4"/>
  <c r="O1809" i="4"/>
  <c r="P1809" i="4"/>
  <c r="Q1809" i="4"/>
  <c r="R1809" i="4"/>
  <c r="S1809" i="4"/>
  <c r="L1810" i="4"/>
  <c r="M1810" i="4"/>
  <c r="N1810" i="4"/>
  <c r="O1810" i="4"/>
  <c r="P1810" i="4"/>
  <c r="Q1810" i="4"/>
  <c r="R1810" i="4"/>
  <c r="S1810" i="4"/>
  <c r="L1811" i="4"/>
  <c r="M1811" i="4"/>
  <c r="N1811" i="4"/>
  <c r="O1811" i="4"/>
  <c r="P1811" i="4"/>
  <c r="Q1811" i="4"/>
  <c r="R1811" i="4"/>
  <c r="S1811" i="4"/>
  <c r="L1812" i="4"/>
  <c r="M1812" i="4"/>
  <c r="N1812" i="4"/>
  <c r="O1812" i="4"/>
  <c r="P1812" i="4"/>
  <c r="Q1812" i="4"/>
  <c r="R1812" i="4"/>
  <c r="S1812" i="4"/>
  <c r="L1813" i="4"/>
  <c r="M1813" i="4"/>
  <c r="N1813" i="4"/>
  <c r="O1813" i="4"/>
  <c r="P1813" i="4"/>
  <c r="Q1813" i="4"/>
  <c r="R1813" i="4"/>
  <c r="S1813" i="4"/>
  <c r="L1814" i="4"/>
  <c r="M1814" i="4"/>
  <c r="N1814" i="4"/>
  <c r="O1814" i="4"/>
  <c r="P1814" i="4"/>
  <c r="Q1814" i="4"/>
  <c r="R1814" i="4"/>
  <c r="S1814" i="4"/>
  <c r="L1815" i="4"/>
  <c r="M1815" i="4"/>
  <c r="N1815" i="4"/>
  <c r="O1815" i="4"/>
  <c r="P1815" i="4"/>
  <c r="Q1815" i="4"/>
  <c r="R1815" i="4"/>
  <c r="S1815" i="4"/>
  <c r="L1816" i="4"/>
  <c r="M1816" i="4"/>
  <c r="N1816" i="4"/>
  <c r="O1816" i="4"/>
  <c r="P1816" i="4"/>
  <c r="Q1816" i="4"/>
  <c r="R1816" i="4"/>
  <c r="S1816" i="4"/>
  <c r="L1817" i="4"/>
  <c r="M1817" i="4"/>
  <c r="N1817" i="4"/>
  <c r="O1817" i="4"/>
  <c r="P1817" i="4"/>
  <c r="Q1817" i="4"/>
  <c r="R1817" i="4"/>
  <c r="S1817" i="4"/>
  <c r="L1818" i="4"/>
  <c r="M1818" i="4"/>
  <c r="N1818" i="4"/>
  <c r="O1818" i="4"/>
  <c r="P1818" i="4"/>
  <c r="Q1818" i="4"/>
  <c r="R1818" i="4"/>
  <c r="S1818" i="4"/>
  <c r="L1819" i="4"/>
  <c r="M1819" i="4"/>
  <c r="N1819" i="4"/>
  <c r="O1819" i="4"/>
  <c r="P1819" i="4"/>
  <c r="Q1819" i="4"/>
  <c r="R1819" i="4"/>
  <c r="S1819" i="4"/>
  <c r="L1820" i="4"/>
  <c r="M1820" i="4"/>
  <c r="N1820" i="4"/>
  <c r="O1820" i="4"/>
  <c r="P1820" i="4"/>
  <c r="Q1820" i="4"/>
  <c r="R1820" i="4"/>
  <c r="S1820" i="4"/>
  <c r="L1821" i="4"/>
  <c r="M1821" i="4"/>
  <c r="N1821" i="4"/>
  <c r="O1821" i="4"/>
  <c r="P1821" i="4"/>
  <c r="Q1821" i="4"/>
  <c r="R1821" i="4"/>
  <c r="S1821" i="4"/>
  <c r="L1822" i="4"/>
  <c r="M1822" i="4"/>
  <c r="N1822" i="4"/>
  <c r="O1822" i="4"/>
  <c r="P1822" i="4"/>
  <c r="Q1822" i="4"/>
  <c r="R1822" i="4"/>
  <c r="S1822" i="4"/>
  <c r="L1823" i="4"/>
  <c r="M1823" i="4"/>
  <c r="N1823" i="4"/>
  <c r="O1823" i="4"/>
  <c r="P1823" i="4"/>
  <c r="Q1823" i="4"/>
  <c r="R1823" i="4"/>
  <c r="S1823" i="4"/>
  <c r="L1824" i="4"/>
  <c r="M1824" i="4"/>
  <c r="N1824" i="4"/>
  <c r="O1824" i="4"/>
  <c r="P1824" i="4"/>
  <c r="Q1824" i="4"/>
  <c r="R1824" i="4"/>
  <c r="S1824" i="4"/>
  <c r="L1825" i="4"/>
  <c r="M1825" i="4"/>
  <c r="N1825" i="4"/>
  <c r="O1825" i="4"/>
  <c r="P1825" i="4"/>
  <c r="Q1825" i="4"/>
  <c r="R1825" i="4"/>
  <c r="S1825" i="4"/>
  <c r="L1826" i="4"/>
  <c r="M1826" i="4"/>
  <c r="N1826" i="4"/>
  <c r="O1826" i="4"/>
  <c r="P1826" i="4"/>
  <c r="Q1826" i="4"/>
  <c r="R1826" i="4"/>
  <c r="S1826" i="4"/>
  <c r="L1827" i="4"/>
  <c r="M1827" i="4"/>
  <c r="N1827" i="4"/>
  <c r="O1827" i="4"/>
  <c r="P1827" i="4"/>
  <c r="Q1827" i="4"/>
  <c r="R1827" i="4"/>
  <c r="S1827" i="4"/>
  <c r="L1828" i="4"/>
  <c r="M1828" i="4"/>
  <c r="N1828" i="4"/>
  <c r="O1828" i="4"/>
  <c r="P1828" i="4"/>
  <c r="Q1828" i="4"/>
  <c r="R1828" i="4"/>
  <c r="S1828" i="4"/>
  <c r="L1829" i="4"/>
  <c r="M1829" i="4"/>
  <c r="N1829" i="4"/>
  <c r="O1829" i="4"/>
  <c r="P1829" i="4"/>
  <c r="Q1829" i="4"/>
  <c r="R1829" i="4"/>
  <c r="S1829" i="4"/>
  <c r="L1830" i="4"/>
  <c r="M1830" i="4"/>
  <c r="N1830" i="4"/>
  <c r="O1830" i="4"/>
  <c r="P1830" i="4"/>
  <c r="Q1830" i="4"/>
  <c r="R1830" i="4"/>
  <c r="S1830" i="4"/>
  <c r="L1831" i="4"/>
  <c r="M1831" i="4"/>
  <c r="N1831" i="4"/>
  <c r="O1831" i="4"/>
  <c r="P1831" i="4"/>
  <c r="Q1831" i="4"/>
  <c r="R1831" i="4"/>
  <c r="S1831" i="4"/>
  <c r="L1832" i="4"/>
  <c r="M1832" i="4"/>
  <c r="N1832" i="4"/>
  <c r="O1832" i="4"/>
  <c r="P1832" i="4"/>
  <c r="Q1832" i="4"/>
  <c r="R1832" i="4"/>
  <c r="S1832" i="4"/>
  <c r="L1833" i="4"/>
  <c r="M1833" i="4"/>
  <c r="N1833" i="4"/>
  <c r="O1833" i="4"/>
  <c r="P1833" i="4"/>
  <c r="Q1833" i="4"/>
  <c r="R1833" i="4"/>
  <c r="S1833" i="4"/>
  <c r="L1834" i="4"/>
  <c r="M1834" i="4"/>
  <c r="N1834" i="4"/>
  <c r="O1834" i="4"/>
  <c r="P1834" i="4"/>
  <c r="Q1834" i="4"/>
  <c r="R1834" i="4"/>
  <c r="S1834" i="4"/>
  <c r="L1835" i="4"/>
  <c r="M1835" i="4"/>
  <c r="N1835" i="4"/>
  <c r="O1835" i="4"/>
  <c r="P1835" i="4"/>
  <c r="Q1835" i="4"/>
  <c r="R1835" i="4"/>
  <c r="S1835" i="4"/>
  <c r="L1836" i="4"/>
  <c r="M1836" i="4"/>
  <c r="N1836" i="4"/>
  <c r="O1836" i="4"/>
  <c r="P1836" i="4"/>
  <c r="Q1836" i="4"/>
  <c r="R1836" i="4"/>
  <c r="S1836" i="4"/>
  <c r="L1837" i="4"/>
  <c r="M1837" i="4"/>
  <c r="N1837" i="4"/>
  <c r="O1837" i="4"/>
  <c r="P1837" i="4"/>
  <c r="Q1837" i="4"/>
  <c r="R1837" i="4"/>
  <c r="S1837" i="4"/>
  <c r="L1838" i="4"/>
  <c r="M1838" i="4"/>
  <c r="N1838" i="4"/>
  <c r="O1838" i="4"/>
  <c r="P1838" i="4"/>
  <c r="Q1838" i="4"/>
  <c r="R1838" i="4"/>
  <c r="S1838" i="4"/>
  <c r="L1839" i="4"/>
  <c r="M1839" i="4"/>
  <c r="N1839" i="4"/>
  <c r="O1839" i="4"/>
  <c r="P1839" i="4"/>
  <c r="Q1839" i="4"/>
  <c r="R1839" i="4"/>
  <c r="S1839" i="4"/>
  <c r="L1840" i="4"/>
  <c r="M1840" i="4"/>
  <c r="N1840" i="4"/>
  <c r="O1840" i="4"/>
  <c r="P1840" i="4"/>
  <c r="Q1840" i="4"/>
  <c r="R1840" i="4"/>
  <c r="S1840" i="4"/>
  <c r="L1841" i="4"/>
  <c r="M1841" i="4"/>
  <c r="N1841" i="4"/>
  <c r="O1841" i="4"/>
  <c r="P1841" i="4"/>
  <c r="Q1841" i="4"/>
  <c r="R1841" i="4"/>
  <c r="S1841" i="4"/>
  <c r="L1842" i="4"/>
  <c r="M1842" i="4"/>
  <c r="N1842" i="4"/>
  <c r="O1842" i="4"/>
  <c r="P1842" i="4"/>
  <c r="Q1842" i="4"/>
  <c r="R1842" i="4"/>
  <c r="S1842" i="4"/>
  <c r="L1843" i="4"/>
  <c r="M1843" i="4"/>
  <c r="N1843" i="4"/>
  <c r="O1843" i="4"/>
  <c r="P1843" i="4"/>
  <c r="Q1843" i="4"/>
  <c r="R1843" i="4"/>
  <c r="S1843" i="4"/>
  <c r="L1844" i="4"/>
  <c r="M1844" i="4"/>
  <c r="N1844" i="4"/>
  <c r="O1844" i="4"/>
  <c r="P1844" i="4"/>
  <c r="Q1844" i="4"/>
  <c r="R1844" i="4"/>
  <c r="S1844" i="4"/>
  <c r="L1845" i="4"/>
  <c r="M1845" i="4"/>
  <c r="N1845" i="4"/>
  <c r="O1845" i="4"/>
  <c r="P1845" i="4"/>
  <c r="Q1845" i="4"/>
  <c r="R1845" i="4"/>
  <c r="S1845" i="4"/>
  <c r="L1846" i="4"/>
  <c r="M1846" i="4"/>
  <c r="N1846" i="4"/>
  <c r="O1846" i="4"/>
  <c r="P1846" i="4"/>
  <c r="Q1846" i="4"/>
  <c r="R1846" i="4"/>
  <c r="S1846" i="4"/>
  <c r="L1847" i="4"/>
  <c r="M1847" i="4"/>
  <c r="N1847" i="4"/>
  <c r="O1847" i="4"/>
  <c r="P1847" i="4"/>
  <c r="Q1847" i="4"/>
  <c r="R1847" i="4"/>
  <c r="S1847" i="4"/>
  <c r="L1848" i="4"/>
  <c r="M1848" i="4"/>
  <c r="N1848" i="4"/>
  <c r="O1848" i="4"/>
  <c r="P1848" i="4"/>
  <c r="Q1848" i="4"/>
  <c r="R1848" i="4"/>
  <c r="S1848" i="4"/>
  <c r="L1849" i="4"/>
  <c r="M1849" i="4"/>
  <c r="N1849" i="4"/>
  <c r="O1849" i="4"/>
  <c r="P1849" i="4"/>
  <c r="Q1849" i="4"/>
  <c r="R1849" i="4"/>
  <c r="S1849" i="4"/>
  <c r="L1850" i="4"/>
  <c r="M1850" i="4"/>
  <c r="N1850" i="4"/>
  <c r="O1850" i="4"/>
  <c r="P1850" i="4"/>
  <c r="Q1850" i="4"/>
  <c r="R1850" i="4"/>
  <c r="S1850" i="4"/>
  <c r="L1851" i="4"/>
  <c r="M1851" i="4"/>
  <c r="N1851" i="4"/>
  <c r="O1851" i="4"/>
  <c r="P1851" i="4"/>
  <c r="Q1851" i="4"/>
  <c r="R1851" i="4"/>
  <c r="S1851" i="4"/>
  <c r="L1852" i="4"/>
  <c r="M1852" i="4"/>
  <c r="N1852" i="4"/>
  <c r="O1852" i="4"/>
  <c r="P1852" i="4"/>
  <c r="Q1852" i="4"/>
  <c r="R1852" i="4"/>
  <c r="S1852" i="4"/>
  <c r="L1853" i="4"/>
  <c r="M1853" i="4"/>
  <c r="N1853" i="4"/>
  <c r="O1853" i="4"/>
  <c r="P1853" i="4"/>
  <c r="Q1853" i="4"/>
  <c r="R1853" i="4"/>
  <c r="S1853" i="4"/>
  <c r="L1854" i="4"/>
  <c r="M1854" i="4"/>
  <c r="N1854" i="4"/>
  <c r="O1854" i="4"/>
  <c r="P1854" i="4"/>
  <c r="Q1854" i="4"/>
  <c r="R1854" i="4"/>
  <c r="S1854" i="4"/>
  <c r="L1855" i="4"/>
  <c r="M1855" i="4"/>
  <c r="N1855" i="4"/>
  <c r="O1855" i="4"/>
  <c r="P1855" i="4"/>
  <c r="Q1855" i="4"/>
  <c r="R1855" i="4"/>
  <c r="S1855" i="4"/>
  <c r="L1856" i="4"/>
  <c r="M1856" i="4"/>
  <c r="N1856" i="4"/>
  <c r="O1856" i="4"/>
  <c r="P1856" i="4"/>
  <c r="Q1856" i="4"/>
  <c r="R1856" i="4"/>
  <c r="S1856" i="4"/>
  <c r="L1857" i="4"/>
  <c r="M1857" i="4"/>
  <c r="N1857" i="4"/>
  <c r="O1857" i="4"/>
  <c r="P1857" i="4"/>
  <c r="Q1857" i="4"/>
  <c r="R1857" i="4"/>
  <c r="S1857" i="4"/>
  <c r="L1858" i="4"/>
  <c r="M1858" i="4"/>
  <c r="N1858" i="4"/>
  <c r="O1858" i="4"/>
  <c r="P1858" i="4"/>
  <c r="Q1858" i="4"/>
  <c r="R1858" i="4"/>
  <c r="S1858" i="4"/>
  <c r="L1859" i="4"/>
  <c r="M1859" i="4"/>
  <c r="N1859" i="4"/>
  <c r="O1859" i="4"/>
  <c r="P1859" i="4"/>
  <c r="Q1859" i="4"/>
  <c r="R1859" i="4"/>
  <c r="S1859" i="4"/>
  <c r="L1860" i="4"/>
  <c r="M1860" i="4"/>
  <c r="N1860" i="4"/>
  <c r="O1860" i="4"/>
  <c r="P1860" i="4"/>
  <c r="Q1860" i="4"/>
  <c r="R1860" i="4"/>
  <c r="S1860" i="4"/>
  <c r="L1861" i="4"/>
  <c r="M1861" i="4"/>
  <c r="N1861" i="4"/>
  <c r="O1861" i="4"/>
  <c r="P1861" i="4"/>
  <c r="Q1861" i="4"/>
  <c r="R1861" i="4"/>
  <c r="S1861" i="4"/>
  <c r="L1862" i="4"/>
  <c r="M1862" i="4"/>
  <c r="N1862" i="4"/>
  <c r="O1862" i="4"/>
  <c r="P1862" i="4"/>
  <c r="Q1862" i="4"/>
  <c r="R1862" i="4"/>
  <c r="S1862" i="4"/>
  <c r="L1863" i="4"/>
  <c r="M1863" i="4"/>
  <c r="N1863" i="4"/>
  <c r="O1863" i="4"/>
  <c r="P1863" i="4"/>
  <c r="Q1863" i="4"/>
  <c r="R1863" i="4"/>
  <c r="S1863" i="4"/>
  <c r="L1864" i="4"/>
  <c r="M1864" i="4"/>
  <c r="N1864" i="4"/>
  <c r="O1864" i="4"/>
  <c r="P1864" i="4"/>
  <c r="Q1864" i="4"/>
  <c r="R1864" i="4"/>
  <c r="S1864" i="4"/>
  <c r="L1865" i="4"/>
  <c r="M1865" i="4"/>
  <c r="N1865" i="4"/>
  <c r="O1865" i="4"/>
  <c r="P1865" i="4"/>
  <c r="Q1865" i="4"/>
  <c r="R1865" i="4"/>
  <c r="S1865" i="4"/>
  <c r="L1866" i="4"/>
  <c r="M1866" i="4"/>
  <c r="N1866" i="4"/>
  <c r="O1866" i="4"/>
  <c r="P1866" i="4"/>
  <c r="Q1866" i="4"/>
  <c r="R1866" i="4"/>
  <c r="S1866" i="4"/>
  <c r="L1867" i="4"/>
  <c r="M1867" i="4"/>
  <c r="N1867" i="4"/>
  <c r="O1867" i="4"/>
  <c r="P1867" i="4"/>
  <c r="Q1867" i="4"/>
  <c r="R1867" i="4"/>
  <c r="S1867" i="4"/>
  <c r="L1868" i="4"/>
  <c r="M1868" i="4"/>
  <c r="N1868" i="4"/>
  <c r="O1868" i="4"/>
  <c r="P1868" i="4"/>
  <c r="Q1868" i="4"/>
  <c r="R1868" i="4"/>
  <c r="S1868" i="4"/>
  <c r="L1869" i="4"/>
  <c r="M1869" i="4"/>
  <c r="N1869" i="4"/>
  <c r="O1869" i="4"/>
  <c r="P1869" i="4"/>
  <c r="Q1869" i="4"/>
  <c r="R1869" i="4"/>
  <c r="S1869" i="4"/>
  <c r="L1870" i="4"/>
  <c r="M1870" i="4"/>
  <c r="N1870" i="4"/>
  <c r="O1870" i="4"/>
  <c r="P1870" i="4"/>
  <c r="Q1870" i="4"/>
  <c r="R1870" i="4"/>
  <c r="S1870" i="4"/>
  <c r="L1871" i="4"/>
  <c r="M1871" i="4"/>
  <c r="N1871" i="4"/>
  <c r="O1871" i="4"/>
  <c r="P1871" i="4"/>
  <c r="Q1871" i="4"/>
  <c r="R1871" i="4"/>
  <c r="S1871" i="4"/>
  <c r="L1872" i="4"/>
  <c r="M1872" i="4"/>
  <c r="N1872" i="4"/>
  <c r="O1872" i="4"/>
  <c r="P1872" i="4"/>
  <c r="Q1872" i="4"/>
  <c r="R1872" i="4"/>
  <c r="S1872" i="4"/>
  <c r="L1873" i="4"/>
  <c r="M1873" i="4"/>
  <c r="N1873" i="4"/>
  <c r="O1873" i="4"/>
  <c r="P1873" i="4"/>
  <c r="Q1873" i="4"/>
  <c r="R1873" i="4"/>
  <c r="S1873" i="4"/>
  <c r="L1874" i="4"/>
  <c r="M1874" i="4"/>
  <c r="N1874" i="4"/>
  <c r="O1874" i="4"/>
  <c r="P1874" i="4"/>
  <c r="Q1874" i="4"/>
  <c r="R1874" i="4"/>
  <c r="S1874" i="4"/>
  <c r="L1875" i="4"/>
  <c r="M1875" i="4"/>
  <c r="N1875" i="4"/>
  <c r="O1875" i="4"/>
  <c r="P1875" i="4"/>
  <c r="Q1875" i="4"/>
  <c r="R1875" i="4"/>
  <c r="S1875" i="4"/>
  <c r="L1876" i="4"/>
  <c r="M1876" i="4"/>
  <c r="N1876" i="4"/>
  <c r="O1876" i="4"/>
  <c r="P1876" i="4"/>
  <c r="Q1876" i="4"/>
  <c r="R1876" i="4"/>
  <c r="S1876" i="4"/>
  <c r="L1877" i="4"/>
  <c r="M1877" i="4"/>
  <c r="N1877" i="4"/>
  <c r="O1877" i="4"/>
  <c r="P1877" i="4"/>
  <c r="Q1877" i="4"/>
  <c r="R1877" i="4"/>
  <c r="S1877" i="4"/>
  <c r="L1878" i="4"/>
  <c r="M1878" i="4"/>
  <c r="N1878" i="4"/>
  <c r="O1878" i="4"/>
  <c r="P1878" i="4"/>
  <c r="Q1878" i="4"/>
  <c r="R1878" i="4"/>
  <c r="S1878" i="4"/>
  <c r="L1879" i="4"/>
  <c r="M1879" i="4"/>
  <c r="N1879" i="4"/>
  <c r="O1879" i="4"/>
  <c r="P1879" i="4"/>
  <c r="Q1879" i="4"/>
  <c r="R1879" i="4"/>
  <c r="S1879" i="4"/>
  <c r="L1880" i="4"/>
  <c r="M1880" i="4"/>
  <c r="N1880" i="4"/>
  <c r="O1880" i="4"/>
  <c r="P1880" i="4"/>
  <c r="Q1880" i="4"/>
  <c r="R1880" i="4"/>
  <c r="S1880" i="4"/>
  <c r="L1881" i="4"/>
  <c r="M1881" i="4"/>
  <c r="N1881" i="4"/>
  <c r="O1881" i="4"/>
  <c r="P1881" i="4"/>
  <c r="Q1881" i="4"/>
  <c r="R1881" i="4"/>
  <c r="S1881" i="4"/>
  <c r="L1882" i="4"/>
  <c r="M1882" i="4"/>
  <c r="N1882" i="4"/>
  <c r="O1882" i="4"/>
  <c r="P1882" i="4"/>
  <c r="Q1882" i="4"/>
  <c r="R1882" i="4"/>
  <c r="S1882" i="4"/>
  <c r="L1883" i="4"/>
  <c r="M1883" i="4"/>
  <c r="N1883" i="4"/>
  <c r="O1883" i="4"/>
  <c r="P1883" i="4"/>
  <c r="Q1883" i="4"/>
  <c r="R1883" i="4"/>
  <c r="S1883" i="4"/>
  <c r="L1884" i="4"/>
  <c r="M1884" i="4"/>
  <c r="N1884" i="4"/>
  <c r="O1884" i="4"/>
  <c r="P1884" i="4"/>
  <c r="Q1884" i="4"/>
  <c r="R1884" i="4"/>
  <c r="S1884" i="4"/>
  <c r="L1885" i="4"/>
  <c r="M1885" i="4"/>
  <c r="N1885" i="4"/>
  <c r="O1885" i="4"/>
  <c r="P1885" i="4"/>
  <c r="Q1885" i="4"/>
  <c r="R1885" i="4"/>
  <c r="S1885" i="4"/>
  <c r="L1886" i="4"/>
  <c r="M1886" i="4"/>
  <c r="N1886" i="4"/>
  <c r="O1886" i="4"/>
  <c r="P1886" i="4"/>
  <c r="Q1886" i="4"/>
  <c r="R1886" i="4"/>
  <c r="S1886" i="4"/>
  <c r="L1887" i="4"/>
  <c r="M1887" i="4"/>
  <c r="N1887" i="4"/>
  <c r="O1887" i="4"/>
  <c r="P1887" i="4"/>
  <c r="Q1887" i="4"/>
  <c r="R1887" i="4"/>
  <c r="S1887" i="4"/>
  <c r="L1888" i="4"/>
  <c r="M1888" i="4"/>
  <c r="N1888" i="4"/>
  <c r="O1888" i="4"/>
  <c r="P1888" i="4"/>
  <c r="Q1888" i="4"/>
  <c r="R1888" i="4"/>
  <c r="S1888" i="4"/>
  <c r="L1889" i="4"/>
  <c r="M1889" i="4"/>
  <c r="N1889" i="4"/>
  <c r="O1889" i="4"/>
  <c r="P1889" i="4"/>
  <c r="Q1889" i="4"/>
  <c r="R1889" i="4"/>
  <c r="S1889" i="4"/>
  <c r="L1890" i="4"/>
  <c r="M1890" i="4"/>
  <c r="N1890" i="4"/>
  <c r="O1890" i="4"/>
  <c r="P1890" i="4"/>
  <c r="Q1890" i="4"/>
  <c r="R1890" i="4"/>
  <c r="S1890" i="4"/>
  <c r="L1891" i="4"/>
  <c r="M1891" i="4"/>
  <c r="N1891" i="4"/>
  <c r="O1891" i="4"/>
  <c r="P1891" i="4"/>
  <c r="Q1891" i="4"/>
  <c r="R1891" i="4"/>
  <c r="S1891" i="4"/>
  <c r="L1892" i="4"/>
  <c r="M1892" i="4"/>
  <c r="N1892" i="4"/>
  <c r="O1892" i="4"/>
  <c r="P1892" i="4"/>
  <c r="Q1892" i="4"/>
  <c r="R1892" i="4"/>
  <c r="S1892" i="4"/>
  <c r="L1893" i="4"/>
  <c r="M1893" i="4"/>
  <c r="N1893" i="4"/>
  <c r="O1893" i="4"/>
  <c r="P1893" i="4"/>
  <c r="Q1893" i="4"/>
  <c r="R1893" i="4"/>
  <c r="S1893" i="4"/>
  <c r="L1894" i="4"/>
  <c r="M1894" i="4"/>
  <c r="N1894" i="4"/>
  <c r="O1894" i="4"/>
  <c r="P1894" i="4"/>
  <c r="Q1894" i="4"/>
  <c r="R1894" i="4"/>
  <c r="S1894" i="4"/>
  <c r="L1895" i="4"/>
  <c r="M1895" i="4"/>
  <c r="N1895" i="4"/>
  <c r="O1895" i="4"/>
  <c r="P1895" i="4"/>
  <c r="Q1895" i="4"/>
  <c r="R1895" i="4"/>
  <c r="S1895" i="4"/>
  <c r="L1896" i="4"/>
  <c r="M1896" i="4"/>
  <c r="N1896" i="4"/>
  <c r="O1896" i="4"/>
  <c r="P1896" i="4"/>
  <c r="Q1896" i="4"/>
  <c r="R1896" i="4"/>
  <c r="S1896" i="4"/>
  <c r="L1897" i="4"/>
  <c r="M1897" i="4"/>
  <c r="N1897" i="4"/>
  <c r="O1897" i="4"/>
  <c r="P1897" i="4"/>
  <c r="Q1897" i="4"/>
  <c r="R1897" i="4"/>
  <c r="S1897" i="4"/>
  <c r="L1898" i="4"/>
  <c r="M1898" i="4"/>
  <c r="N1898" i="4"/>
  <c r="O1898" i="4"/>
  <c r="P1898" i="4"/>
  <c r="Q1898" i="4"/>
  <c r="R1898" i="4"/>
  <c r="S1898" i="4"/>
  <c r="L1899" i="4"/>
  <c r="M1899" i="4"/>
  <c r="N1899" i="4"/>
  <c r="O1899" i="4"/>
  <c r="P1899" i="4"/>
  <c r="Q1899" i="4"/>
  <c r="R1899" i="4"/>
  <c r="S1899" i="4"/>
  <c r="L1900" i="4"/>
  <c r="M1900" i="4"/>
  <c r="N1900" i="4"/>
  <c r="O1900" i="4"/>
  <c r="P1900" i="4"/>
  <c r="Q1900" i="4"/>
  <c r="R1900" i="4"/>
  <c r="S1900" i="4"/>
  <c r="L1901" i="4"/>
  <c r="M1901" i="4"/>
  <c r="N1901" i="4"/>
  <c r="O1901" i="4"/>
  <c r="P1901" i="4"/>
  <c r="Q1901" i="4"/>
  <c r="R1901" i="4"/>
  <c r="S1901" i="4"/>
  <c r="L1902" i="4"/>
  <c r="M1902" i="4"/>
  <c r="N1902" i="4"/>
  <c r="O1902" i="4"/>
  <c r="P1902" i="4"/>
  <c r="Q1902" i="4"/>
  <c r="R1902" i="4"/>
  <c r="S1902" i="4"/>
  <c r="L1903" i="4"/>
  <c r="M1903" i="4"/>
  <c r="N1903" i="4"/>
  <c r="O1903" i="4"/>
  <c r="P1903" i="4"/>
  <c r="Q1903" i="4"/>
  <c r="R1903" i="4"/>
  <c r="S1903" i="4"/>
  <c r="L1904" i="4"/>
  <c r="M1904" i="4"/>
  <c r="N1904" i="4"/>
  <c r="O1904" i="4"/>
  <c r="P1904" i="4"/>
  <c r="Q1904" i="4"/>
  <c r="R1904" i="4"/>
  <c r="S1904" i="4"/>
  <c r="L1905" i="4"/>
  <c r="M1905" i="4"/>
  <c r="N1905" i="4"/>
  <c r="O1905" i="4"/>
  <c r="P1905" i="4"/>
  <c r="Q1905" i="4"/>
  <c r="R1905" i="4"/>
  <c r="S1905" i="4"/>
  <c r="L1906" i="4"/>
  <c r="M1906" i="4"/>
  <c r="N1906" i="4"/>
  <c r="O1906" i="4"/>
  <c r="P1906" i="4"/>
  <c r="Q1906" i="4"/>
  <c r="R1906" i="4"/>
  <c r="S1906" i="4"/>
  <c r="L1907" i="4"/>
  <c r="M1907" i="4"/>
  <c r="N1907" i="4"/>
  <c r="O1907" i="4"/>
  <c r="P1907" i="4"/>
  <c r="Q1907" i="4"/>
  <c r="R1907" i="4"/>
  <c r="S1907" i="4"/>
  <c r="L1908" i="4"/>
  <c r="M1908" i="4"/>
  <c r="N1908" i="4"/>
  <c r="O1908" i="4"/>
  <c r="P1908" i="4"/>
  <c r="Q1908" i="4"/>
  <c r="R1908" i="4"/>
  <c r="S1908" i="4"/>
  <c r="L1909" i="4"/>
  <c r="M1909" i="4"/>
  <c r="N1909" i="4"/>
  <c r="O1909" i="4"/>
  <c r="P1909" i="4"/>
  <c r="Q1909" i="4"/>
  <c r="R1909" i="4"/>
  <c r="S1909" i="4"/>
  <c r="L1910" i="4"/>
  <c r="M1910" i="4"/>
  <c r="N1910" i="4"/>
  <c r="O1910" i="4"/>
  <c r="P1910" i="4"/>
  <c r="Q1910" i="4"/>
  <c r="R1910" i="4"/>
  <c r="S1910" i="4"/>
  <c r="L1911" i="4"/>
  <c r="M1911" i="4"/>
  <c r="N1911" i="4"/>
  <c r="O1911" i="4"/>
  <c r="P1911" i="4"/>
  <c r="Q1911" i="4"/>
  <c r="R1911" i="4"/>
  <c r="S1911" i="4"/>
  <c r="L1912" i="4"/>
  <c r="M1912" i="4"/>
  <c r="N1912" i="4"/>
  <c r="O1912" i="4"/>
  <c r="P1912" i="4"/>
  <c r="Q1912" i="4"/>
  <c r="R1912" i="4"/>
  <c r="S1912" i="4"/>
  <c r="L1913" i="4"/>
  <c r="M1913" i="4"/>
  <c r="N1913" i="4"/>
  <c r="O1913" i="4"/>
  <c r="P1913" i="4"/>
  <c r="Q1913" i="4"/>
  <c r="R1913" i="4"/>
  <c r="S1913" i="4"/>
  <c r="L1914" i="4"/>
  <c r="M1914" i="4"/>
  <c r="N1914" i="4"/>
  <c r="O1914" i="4"/>
  <c r="P1914" i="4"/>
  <c r="Q1914" i="4"/>
  <c r="R1914" i="4"/>
  <c r="S1914" i="4"/>
  <c r="L1915" i="4"/>
  <c r="M1915" i="4"/>
  <c r="N1915" i="4"/>
  <c r="O1915" i="4"/>
  <c r="P1915" i="4"/>
  <c r="Q1915" i="4"/>
  <c r="R1915" i="4"/>
  <c r="S1915" i="4"/>
  <c r="L1916" i="4"/>
  <c r="M1916" i="4"/>
  <c r="N1916" i="4"/>
  <c r="O1916" i="4"/>
  <c r="P1916" i="4"/>
  <c r="Q1916" i="4"/>
  <c r="R1916" i="4"/>
  <c r="S1916" i="4"/>
  <c r="L1917" i="4"/>
  <c r="M1917" i="4"/>
  <c r="N1917" i="4"/>
  <c r="O1917" i="4"/>
  <c r="P1917" i="4"/>
  <c r="Q1917" i="4"/>
  <c r="R1917" i="4"/>
  <c r="S1917" i="4"/>
  <c r="L1918" i="4"/>
  <c r="M1918" i="4"/>
  <c r="N1918" i="4"/>
  <c r="O1918" i="4"/>
  <c r="P1918" i="4"/>
  <c r="Q1918" i="4"/>
  <c r="R1918" i="4"/>
  <c r="S1918" i="4"/>
  <c r="L1919" i="4"/>
  <c r="M1919" i="4"/>
  <c r="N1919" i="4"/>
  <c r="O1919" i="4"/>
  <c r="P1919" i="4"/>
  <c r="Q1919" i="4"/>
  <c r="R1919" i="4"/>
  <c r="S1919" i="4"/>
  <c r="L1920" i="4"/>
  <c r="M1920" i="4"/>
  <c r="N1920" i="4"/>
  <c r="O1920" i="4"/>
  <c r="P1920" i="4"/>
  <c r="Q1920" i="4"/>
  <c r="R1920" i="4"/>
  <c r="S1920" i="4"/>
  <c r="L1921" i="4"/>
  <c r="M1921" i="4"/>
  <c r="N1921" i="4"/>
  <c r="O1921" i="4"/>
  <c r="P1921" i="4"/>
  <c r="Q1921" i="4"/>
  <c r="R1921" i="4"/>
  <c r="S1921" i="4"/>
  <c r="L1922" i="4"/>
  <c r="M1922" i="4"/>
  <c r="N1922" i="4"/>
  <c r="O1922" i="4"/>
  <c r="P1922" i="4"/>
  <c r="Q1922" i="4"/>
  <c r="R1922" i="4"/>
  <c r="S1922" i="4"/>
  <c r="L1923" i="4"/>
  <c r="M1923" i="4"/>
  <c r="N1923" i="4"/>
  <c r="O1923" i="4"/>
  <c r="P1923" i="4"/>
  <c r="Q1923" i="4"/>
  <c r="R1923" i="4"/>
  <c r="S1923" i="4"/>
  <c r="L1924" i="4"/>
  <c r="M1924" i="4"/>
  <c r="N1924" i="4"/>
  <c r="O1924" i="4"/>
  <c r="P1924" i="4"/>
  <c r="Q1924" i="4"/>
  <c r="R1924" i="4"/>
  <c r="S1924" i="4"/>
  <c r="L1925" i="4"/>
  <c r="M1925" i="4"/>
  <c r="N1925" i="4"/>
  <c r="O1925" i="4"/>
  <c r="P1925" i="4"/>
  <c r="Q1925" i="4"/>
  <c r="R1925" i="4"/>
  <c r="S1925" i="4"/>
  <c r="L1926" i="4"/>
  <c r="M1926" i="4"/>
  <c r="N1926" i="4"/>
  <c r="O1926" i="4"/>
  <c r="P1926" i="4"/>
  <c r="Q1926" i="4"/>
  <c r="R1926" i="4"/>
  <c r="S1926" i="4"/>
  <c r="L1927" i="4"/>
  <c r="M1927" i="4"/>
  <c r="N1927" i="4"/>
  <c r="O1927" i="4"/>
  <c r="P1927" i="4"/>
  <c r="Q1927" i="4"/>
  <c r="R1927" i="4"/>
  <c r="S1927" i="4"/>
  <c r="L1928" i="4"/>
  <c r="M1928" i="4"/>
  <c r="N1928" i="4"/>
  <c r="O1928" i="4"/>
  <c r="P1928" i="4"/>
  <c r="Q1928" i="4"/>
  <c r="R1928" i="4"/>
  <c r="S1928" i="4"/>
  <c r="L1929" i="4"/>
  <c r="M1929" i="4"/>
  <c r="N1929" i="4"/>
  <c r="O1929" i="4"/>
  <c r="P1929" i="4"/>
  <c r="Q1929" i="4"/>
  <c r="R1929" i="4"/>
  <c r="S1929" i="4"/>
  <c r="L1930" i="4"/>
  <c r="M1930" i="4"/>
  <c r="N1930" i="4"/>
  <c r="O1930" i="4"/>
  <c r="P1930" i="4"/>
  <c r="Q1930" i="4"/>
  <c r="R1930" i="4"/>
  <c r="S1930" i="4"/>
  <c r="L1931" i="4"/>
  <c r="M1931" i="4"/>
  <c r="N1931" i="4"/>
  <c r="O1931" i="4"/>
  <c r="P1931" i="4"/>
  <c r="Q1931" i="4"/>
  <c r="R1931" i="4"/>
  <c r="S1931" i="4"/>
  <c r="L1932" i="4"/>
  <c r="M1932" i="4"/>
  <c r="N1932" i="4"/>
  <c r="O1932" i="4"/>
  <c r="P1932" i="4"/>
  <c r="Q1932" i="4"/>
  <c r="R1932" i="4"/>
  <c r="S1932" i="4"/>
  <c r="L1933" i="4"/>
  <c r="M1933" i="4"/>
  <c r="N1933" i="4"/>
  <c r="O1933" i="4"/>
  <c r="P1933" i="4"/>
  <c r="Q1933" i="4"/>
  <c r="R1933" i="4"/>
  <c r="S1933" i="4"/>
  <c r="L1934" i="4"/>
  <c r="M1934" i="4"/>
  <c r="N1934" i="4"/>
  <c r="O1934" i="4"/>
  <c r="P1934" i="4"/>
  <c r="Q1934" i="4"/>
  <c r="R1934" i="4"/>
  <c r="S1934" i="4"/>
  <c r="L1935" i="4"/>
  <c r="M1935" i="4"/>
  <c r="N1935" i="4"/>
  <c r="O1935" i="4"/>
  <c r="P1935" i="4"/>
  <c r="Q1935" i="4"/>
  <c r="R1935" i="4"/>
  <c r="S1935" i="4"/>
  <c r="L1936" i="4"/>
  <c r="M1936" i="4"/>
  <c r="N1936" i="4"/>
  <c r="O1936" i="4"/>
  <c r="P1936" i="4"/>
  <c r="Q1936" i="4"/>
  <c r="R1936" i="4"/>
  <c r="S1936" i="4"/>
  <c r="L1937" i="4"/>
  <c r="M1937" i="4"/>
  <c r="N1937" i="4"/>
  <c r="O1937" i="4"/>
  <c r="P1937" i="4"/>
  <c r="Q1937" i="4"/>
  <c r="R1937" i="4"/>
  <c r="S1937" i="4"/>
  <c r="L1938" i="4"/>
  <c r="M1938" i="4"/>
  <c r="N1938" i="4"/>
  <c r="O1938" i="4"/>
  <c r="P1938" i="4"/>
  <c r="Q1938" i="4"/>
  <c r="R1938" i="4"/>
  <c r="S1938" i="4"/>
  <c r="L1939" i="4"/>
  <c r="M1939" i="4"/>
  <c r="N1939" i="4"/>
  <c r="O1939" i="4"/>
  <c r="P1939" i="4"/>
  <c r="Q1939" i="4"/>
  <c r="R1939" i="4"/>
  <c r="S1939" i="4"/>
  <c r="L1940" i="4"/>
  <c r="M1940" i="4"/>
  <c r="N1940" i="4"/>
  <c r="O1940" i="4"/>
  <c r="P1940" i="4"/>
  <c r="Q1940" i="4"/>
  <c r="R1940" i="4"/>
  <c r="S1940" i="4"/>
  <c r="L1941" i="4"/>
  <c r="M1941" i="4"/>
  <c r="N1941" i="4"/>
  <c r="O1941" i="4"/>
  <c r="P1941" i="4"/>
  <c r="Q1941" i="4"/>
  <c r="R1941" i="4"/>
  <c r="S1941" i="4"/>
  <c r="L1942" i="4"/>
  <c r="M1942" i="4"/>
  <c r="N1942" i="4"/>
  <c r="O1942" i="4"/>
  <c r="P1942" i="4"/>
  <c r="Q1942" i="4"/>
  <c r="R1942" i="4"/>
  <c r="S1942" i="4"/>
  <c r="L1943" i="4"/>
  <c r="M1943" i="4"/>
  <c r="N1943" i="4"/>
  <c r="O1943" i="4"/>
  <c r="P1943" i="4"/>
  <c r="Q1943" i="4"/>
  <c r="R1943" i="4"/>
  <c r="S1943" i="4"/>
  <c r="L1944" i="4"/>
  <c r="M1944" i="4"/>
  <c r="N1944" i="4"/>
  <c r="O1944" i="4"/>
  <c r="P1944" i="4"/>
  <c r="Q1944" i="4"/>
  <c r="R1944" i="4"/>
  <c r="S1944" i="4"/>
  <c r="L1945" i="4"/>
  <c r="M1945" i="4"/>
  <c r="N1945" i="4"/>
  <c r="O1945" i="4"/>
  <c r="P1945" i="4"/>
  <c r="Q1945" i="4"/>
  <c r="R1945" i="4"/>
  <c r="S1945" i="4"/>
  <c r="L1946" i="4"/>
  <c r="M1946" i="4"/>
  <c r="N1946" i="4"/>
  <c r="O1946" i="4"/>
  <c r="P1946" i="4"/>
  <c r="Q1946" i="4"/>
  <c r="R1946" i="4"/>
  <c r="S1946" i="4"/>
  <c r="L1947" i="4"/>
  <c r="M1947" i="4"/>
  <c r="N1947" i="4"/>
  <c r="O1947" i="4"/>
  <c r="P1947" i="4"/>
  <c r="Q1947" i="4"/>
  <c r="R1947" i="4"/>
  <c r="S1947" i="4"/>
  <c r="L1948" i="4"/>
  <c r="M1948" i="4"/>
  <c r="N1948" i="4"/>
  <c r="O1948" i="4"/>
  <c r="P1948" i="4"/>
  <c r="Q1948" i="4"/>
  <c r="R1948" i="4"/>
  <c r="S1948" i="4"/>
  <c r="L1949" i="4"/>
  <c r="M1949" i="4"/>
  <c r="N1949" i="4"/>
  <c r="O1949" i="4"/>
  <c r="P1949" i="4"/>
  <c r="Q1949" i="4"/>
  <c r="R1949" i="4"/>
  <c r="S1949" i="4"/>
  <c r="L1950" i="4"/>
  <c r="M1950" i="4"/>
  <c r="N1950" i="4"/>
  <c r="O1950" i="4"/>
  <c r="P1950" i="4"/>
  <c r="Q1950" i="4"/>
  <c r="R1950" i="4"/>
  <c r="S1950" i="4"/>
  <c r="L1951" i="4"/>
  <c r="M1951" i="4"/>
  <c r="N1951" i="4"/>
  <c r="O1951" i="4"/>
  <c r="P1951" i="4"/>
  <c r="Q1951" i="4"/>
  <c r="R1951" i="4"/>
  <c r="S1951" i="4"/>
  <c r="L1952" i="4"/>
  <c r="M1952" i="4"/>
  <c r="N1952" i="4"/>
  <c r="O1952" i="4"/>
  <c r="P1952" i="4"/>
  <c r="Q1952" i="4"/>
  <c r="R1952" i="4"/>
  <c r="S1952" i="4"/>
  <c r="L1953" i="4"/>
  <c r="M1953" i="4"/>
  <c r="N1953" i="4"/>
  <c r="O1953" i="4"/>
  <c r="P1953" i="4"/>
  <c r="Q1953" i="4"/>
  <c r="R1953" i="4"/>
  <c r="S1953" i="4"/>
  <c r="L1954" i="4"/>
  <c r="M1954" i="4"/>
  <c r="N1954" i="4"/>
  <c r="O1954" i="4"/>
  <c r="P1954" i="4"/>
  <c r="Q1954" i="4"/>
  <c r="R1954" i="4"/>
  <c r="S1954" i="4"/>
  <c r="L1955" i="4"/>
  <c r="M1955" i="4"/>
  <c r="N1955" i="4"/>
  <c r="O1955" i="4"/>
  <c r="P1955" i="4"/>
  <c r="Q1955" i="4"/>
  <c r="R1955" i="4"/>
  <c r="S1955" i="4"/>
  <c r="L1956" i="4"/>
  <c r="M1956" i="4"/>
  <c r="N1956" i="4"/>
  <c r="O1956" i="4"/>
  <c r="P1956" i="4"/>
  <c r="Q1956" i="4"/>
  <c r="R1956" i="4"/>
  <c r="S1956" i="4"/>
  <c r="L1957" i="4"/>
  <c r="M1957" i="4"/>
  <c r="N1957" i="4"/>
  <c r="O1957" i="4"/>
  <c r="P1957" i="4"/>
  <c r="Q1957" i="4"/>
  <c r="R1957" i="4"/>
  <c r="S1957" i="4"/>
  <c r="L1958" i="4"/>
  <c r="M1958" i="4"/>
  <c r="N1958" i="4"/>
  <c r="O1958" i="4"/>
  <c r="P1958" i="4"/>
  <c r="Q1958" i="4"/>
  <c r="R1958" i="4"/>
  <c r="S1958" i="4"/>
  <c r="L1959" i="4"/>
  <c r="M1959" i="4"/>
  <c r="N1959" i="4"/>
  <c r="O1959" i="4"/>
  <c r="P1959" i="4"/>
  <c r="Q1959" i="4"/>
  <c r="R1959" i="4"/>
  <c r="S1959" i="4"/>
  <c r="L1960" i="4"/>
  <c r="M1960" i="4"/>
  <c r="N1960" i="4"/>
  <c r="O1960" i="4"/>
  <c r="P1960" i="4"/>
  <c r="Q1960" i="4"/>
  <c r="R1960" i="4"/>
  <c r="S1960" i="4"/>
  <c r="L1961" i="4"/>
  <c r="M1961" i="4"/>
  <c r="N1961" i="4"/>
  <c r="O1961" i="4"/>
  <c r="P1961" i="4"/>
  <c r="Q1961" i="4"/>
  <c r="R1961" i="4"/>
  <c r="S1961" i="4"/>
  <c r="L1962" i="4"/>
  <c r="M1962" i="4"/>
  <c r="N1962" i="4"/>
  <c r="O1962" i="4"/>
  <c r="P1962" i="4"/>
  <c r="Q1962" i="4"/>
  <c r="R1962" i="4"/>
  <c r="S1962" i="4"/>
  <c r="L1963" i="4"/>
  <c r="M1963" i="4"/>
  <c r="N1963" i="4"/>
  <c r="O1963" i="4"/>
  <c r="P1963" i="4"/>
  <c r="Q1963" i="4"/>
  <c r="R1963" i="4"/>
  <c r="S1963" i="4"/>
  <c r="L1964" i="4"/>
  <c r="M1964" i="4"/>
  <c r="N1964" i="4"/>
  <c r="O1964" i="4"/>
  <c r="P1964" i="4"/>
  <c r="Q1964" i="4"/>
  <c r="R1964" i="4"/>
  <c r="S1964" i="4"/>
  <c r="L1965" i="4"/>
  <c r="M1965" i="4"/>
  <c r="N1965" i="4"/>
  <c r="O1965" i="4"/>
  <c r="P1965" i="4"/>
  <c r="Q1965" i="4"/>
  <c r="R1965" i="4"/>
  <c r="S1965" i="4"/>
  <c r="L1966" i="4"/>
  <c r="M1966" i="4"/>
  <c r="N1966" i="4"/>
  <c r="O1966" i="4"/>
  <c r="P1966" i="4"/>
  <c r="Q1966" i="4"/>
  <c r="R1966" i="4"/>
  <c r="S1966" i="4"/>
  <c r="L1967" i="4"/>
  <c r="M1967" i="4"/>
  <c r="N1967" i="4"/>
  <c r="O1967" i="4"/>
  <c r="P1967" i="4"/>
  <c r="Q1967" i="4"/>
  <c r="R1967" i="4"/>
  <c r="S1967" i="4"/>
  <c r="L1968" i="4"/>
  <c r="M1968" i="4"/>
  <c r="N1968" i="4"/>
  <c r="O1968" i="4"/>
  <c r="P1968" i="4"/>
  <c r="Q1968" i="4"/>
  <c r="R1968" i="4"/>
  <c r="S1968" i="4"/>
  <c r="L1969" i="4"/>
  <c r="M1969" i="4"/>
  <c r="N1969" i="4"/>
  <c r="O1969" i="4"/>
  <c r="P1969" i="4"/>
  <c r="Q1969" i="4"/>
  <c r="R1969" i="4"/>
  <c r="S1969" i="4"/>
  <c r="L1970" i="4"/>
  <c r="M1970" i="4"/>
  <c r="N1970" i="4"/>
  <c r="O1970" i="4"/>
  <c r="P1970" i="4"/>
  <c r="Q1970" i="4"/>
  <c r="R1970" i="4"/>
  <c r="S1970" i="4"/>
  <c r="L1971" i="4"/>
  <c r="M1971" i="4"/>
  <c r="N1971" i="4"/>
  <c r="O1971" i="4"/>
  <c r="P1971" i="4"/>
  <c r="Q1971" i="4"/>
  <c r="R1971" i="4"/>
  <c r="S1971" i="4"/>
  <c r="L1972" i="4"/>
  <c r="M1972" i="4"/>
  <c r="N1972" i="4"/>
  <c r="O1972" i="4"/>
  <c r="P1972" i="4"/>
  <c r="Q1972" i="4"/>
  <c r="R1972" i="4"/>
  <c r="S1972" i="4"/>
  <c r="L1973" i="4"/>
  <c r="M1973" i="4"/>
  <c r="N1973" i="4"/>
  <c r="O1973" i="4"/>
  <c r="P1973" i="4"/>
  <c r="Q1973" i="4"/>
  <c r="R1973" i="4"/>
  <c r="S1973" i="4"/>
  <c r="L1974" i="4"/>
  <c r="M1974" i="4"/>
  <c r="N1974" i="4"/>
  <c r="O1974" i="4"/>
  <c r="P1974" i="4"/>
  <c r="Q1974" i="4"/>
  <c r="R1974" i="4"/>
  <c r="S1974" i="4"/>
  <c r="L1975" i="4"/>
  <c r="M1975" i="4"/>
  <c r="N1975" i="4"/>
  <c r="O1975" i="4"/>
  <c r="P1975" i="4"/>
  <c r="Q1975" i="4"/>
  <c r="R1975" i="4"/>
  <c r="S1975" i="4"/>
  <c r="L1976" i="4"/>
  <c r="M1976" i="4"/>
  <c r="N1976" i="4"/>
  <c r="O1976" i="4"/>
  <c r="P1976" i="4"/>
  <c r="Q1976" i="4"/>
  <c r="R1976" i="4"/>
  <c r="S1976" i="4"/>
  <c r="L1977" i="4"/>
  <c r="M1977" i="4"/>
  <c r="N1977" i="4"/>
  <c r="O1977" i="4"/>
  <c r="P1977" i="4"/>
  <c r="Q1977" i="4"/>
  <c r="R1977" i="4"/>
  <c r="S1977" i="4"/>
  <c r="L1978" i="4"/>
  <c r="M1978" i="4"/>
  <c r="N1978" i="4"/>
  <c r="O1978" i="4"/>
  <c r="P1978" i="4"/>
  <c r="Q1978" i="4"/>
  <c r="R1978" i="4"/>
  <c r="S1978" i="4"/>
  <c r="L1979" i="4"/>
  <c r="M1979" i="4"/>
  <c r="N1979" i="4"/>
  <c r="O1979" i="4"/>
  <c r="P1979" i="4"/>
  <c r="Q1979" i="4"/>
  <c r="R1979" i="4"/>
  <c r="S1979" i="4"/>
  <c r="L1980" i="4"/>
  <c r="M1980" i="4"/>
  <c r="N1980" i="4"/>
  <c r="O1980" i="4"/>
  <c r="P1980" i="4"/>
  <c r="Q1980" i="4"/>
  <c r="R1980" i="4"/>
  <c r="S1980" i="4"/>
  <c r="L1981" i="4"/>
  <c r="M1981" i="4"/>
  <c r="N1981" i="4"/>
  <c r="O1981" i="4"/>
  <c r="P1981" i="4"/>
  <c r="Q1981" i="4"/>
  <c r="R1981" i="4"/>
  <c r="S1981" i="4"/>
  <c r="L1982" i="4"/>
  <c r="M1982" i="4"/>
  <c r="N1982" i="4"/>
  <c r="O1982" i="4"/>
  <c r="P1982" i="4"/>
  <c r="Q1982" i="4"/>
  <c r="R1982" i="4"/>
  <c r="S1982" i="4"/>
  <c r="L1983" i="4"/>
  <c r="M1983" i="4"/>
  <c r="N1983" i="4"/>
  <c r="O1983" i="4"/>
  <c r="P1983" i="4"/>
  <c r="Q1983" i="4"/>
  <c r="R1983" i="4"/>
  <c r="S1983" i="4"/>
  <c r="L1984" i="4"/>
  <c r="M1984" i="4"/>
  <c r="N1984" i="4"/>
  <c r="O1984" i="4"/>
  <c r="P1984" i="4"/>
  <c r="Q1984" i="4"/>
  <c r="R1984" i="4"/>
  <c r="S1984" i="4"/>
  <c r="L1985" i="4"/>
  <c r="M1985" i="4"/>
  <c r="N1985" i="4"/>
  <c r="O1985" i="4"/>
  <c r="P1985" i="4"/>
  <c r="Q1985" i="4"/>
  <c r="R1985" i="4"/>
  <c r="S1985" i="4"/>
  <c r="L1986" i="4"/>
  <c r="M1986" i="4"/>
  <c r="N1986" i="4"/>
  <c r="O1986" i="4"/>
  <c r="P1986" i="4"/>
  <c r="Q1986" i="4"/>
  <c r="R1986" i="4"/>
  <c r="S1986" i="4"/>
  <c r="L1987" i="4"/>
  <c r="M1987" i="4"/>
  <c r="N1987" i="4"/>
  <c r="O1987" i="4"/>
  <c r="P1987" i="4"/>
  <c r="Q1987" i="4"/>
  <c r="R1987" i="4"/>
  <c r="S1987" i="4"/>
  <c r="L1988" i="4"/>
  <c r="M1988" i="4"/>
  <c r="N1988" i="4"/>
  <c r="O1988" i="4"/>
  <c r="P1988" i="4"/>
  <c r="Q1988" i="4"/>
  <c r="R1988" i="4"/>
  <c r="S1988" i="4"/>
  <c r="L1989" i="4"/>
  <c r="M1989" i="4"/>
  <c r="N1989" i="4"/>
  <c r="O1989" i="4"/>
  <c r="P1989" i="4"/>
  <c r="Q1989" i="4"/>
  <c r="R1989" i="4"/>
  <c r="S1989" i="4"/>
  <c r="L1990" i="4"/>
  <c r="M1990" i="4"/>
  <c r="N1990" i="4"/>
  <c r="O1990" i="4"/>
  <c r="P1990" i="4"/>
  <c r="Q1990" i="4"/>
  <c r="R1990" i="4"/>
  <c r="S1990" i="4"/>
  <c r="L1991" i="4"/>
  <c r="M1991" i="4"/>
  <c r="N1991" i="4"/>
  <c r="O1991" i="4"/>
  <c r="P1991" i="4"/>
  <c r="Q1991" i="4"/>
  <c r="R1991" i="4"/>
  <c r="S1991" i="4"/>
  <c r="L1992" i="4"/>
  <c r="M1992" i="4"/>
  <c r="N1992" i="4"/>
  <c r="O1992" i="4"/>
  <c r="P1992" i="4"/>
  <c r="Q1992" i="4"/>
  <c r="R1992" i="4"/>
  <c r="S1992" i="4"/>
  <c r="L1993" i="4"/>
  <c r="M1993" i="4"/>
  <c r="N1993" i="4"/>
  <c r="O1993" i="4"/>
  <c r="P1993" i="4"/>
  <c r="Q1993" i="4"/>
  <c r="R1993" i="4"/>
  <c r="S1993" i="4"/>
  <c r="L1994" i="4"/>
  <c r="M1994" i="4"/>
  <c r="N1994" i="4"/>
  <c r="O1994" i="4"/>
  <c r="P1994" i="4"/>
  <c r="Q1994" i="4"/>
  <c r="R1994" i="4"/>
  <c r="S1994" i="4"/>
  <c r="L1995" i="4"/>
  <c r="M1995" i="4"/>
  <c r="N1995" i="4"/>
  <c r="O1995" i="4"/>
  <c r="P1995" i="4"/>
  <c r="Q1995" i="4"/>
  <c r="R1995" i="4"/>
  <c r="S1995" i="4"/>
  <c r="L1996" i="4"/>
  <c r="M1996" i="4"/>
  <c r="N1996" i="4"/>
  <c r="O1996" i="4"/>
  <c r="P1996" i="4"/>
  <c r="Q1996" i="4"/>
  <c r="R1996" i="4"/>
  <c r="S1996" i="4"/>
  <c r="L1997" i="4"/>
  <c r="M1997" i="4"/>
  <c r="N1997" i="4"/>
  <c r="O1997" i="4"/>
  <c r="P1997" i="4"/>
  <c r="Q1997" i="4"/>
  <c r="R1997" i="4"/>
  <c r="S1997" i="4"/>
  <c r="L1998" i="4"/>
  <c r="M1998" i="4"/>
  <c r="N1998" i="4"/>
  <c r="O1998" i="4"/>
  <c r="P1998" i="4"/>
  <c r="Q1998" i="4"/>
  <c r="R1998" i="4"/>
  <c r="S1998" i="4"/>
  <c r="L1999" i="4"/>
  <c r="M1999" i="4"/>
  <c r="N1999" i="4"/>
  <c r="O1999" i="4"/>
  <c r="P1999" i="4"/>
  <c r="Q1999" i="4"/>
  <c r="R1999" i="4"/>
  <c r="S1999" i="4"/>
  <c r="L2000" i="4"/>
  <c r="M2000" i="4"/>
  <c r="N2000" i="4"/>
  <c r="O2000" i="4"/>
  <c r="P2000" i="4"/>
  <c r="Q2000" i="4"/>
  <c r="R2000" i="4"/>
  <c r="S2000" i="4"/>
  <c r="L2001" i="4"/>
  <c r="M2001" i="4"/>
  <c r="N2001" i="4"/>
  <c r="O2001" i="4"/>
  <c r="P2001" i="4"/>
  <c r="Q2001" i="4"/>
  <c r="R2001" i="4"/>
  <c r="S2001" i="4"/>
  <c r="L2002" i="4"/>
  <c r="M2002" i="4"/>
  <c r="N2002" i="4"/>
  <c r="O2002" i="4"/>
  <c r="P2002" i="4"/>
  <c r="Q2002" i="4"/>
  <c r="R2002" i="4"/>
  <c r="S2002" i="4"/>
  <c r="L2003" i="4"/>
  <c r="M2003" i="4"/>
  <c r="N2003" i="4"/>
  <c r="O2003" i="4"/>
  <c r="P2003" i="4"/>
  <c r="Q2003" i="4"/>
  <c r="R2003" i="4"/>
  <c r="S2003" i="4"/>
  <c r="L2004" i="4"/>
  <c r="M2004" i="4"/>
  <c r="N2004" i="4"/>
  <c r="O2004" i="4"/>
  <c r="P2004" i="4"/>
  <c r="Q2004" i="4"/>
  <c r="R2004" i="4"/>
  <c r="S2004" i="4"/>
  <c r="L2005" i="4"/>
  <c r="M2005" i="4"/>
  <c r="N2005" i="4"/>
  <c r="O2005" i="4"/>
  <c r="P2005" i="4"/>
  <c r="Q2005" i="4"/>
  <c r="R2005" i="4"/>
  <c r="S2005" i="4"/>
  <c r="L2006" i="4"/>
  <c r="M2006" i="4"/>
  <c r="N2006" i="4"/>
  <c r="O2006" i="4"/>
  <c r="P2006" i="4"/>
  <c r="Q2006" i="4"/>
  <c r="R2006" i="4"/>
  <c r="S2006" i="4"/>
  <c r="L2007" i="4"/>
  <c r="M2007" i="4"/>
  <c r="N2007" i="4"/>
  <c r="O2007" i="4"/>
  <c r="P2007" i="4"/>
  <c r="Q2007" i="4"/>
  <c r="R2007" i="4"/>
  <c r="S2007" i="4"/>
  <c r="L2008" i="4"/>
  <c r="M2008" i="4"/>
  <c r="N2008" i="4"/>
  <c r="O2008" i="4"/>
  <c r="P2008" i="4"/>
  <c r="Q2008" i="4"/>
  <c r="R2008" i="4"/>
  <c r="S2008" i="4"/>
  <c r="L2009" i="4"/>
  <c r="M2009" i="4"/>
  <c r="N2009" i="4"/>
  <c r="O2009" i="4"/>
  <c r="P2009" i="4"/>
  <c r="Q2009" i="4"/>
  <c r="R2009" i="4"/>
  <c r="S2009" i="4"/>
  <c r="L2010" i="4"/>
  <c r="M2010" i="4"/>
  <c r="N2010" i="4"/>
  <c r="O2010" i="4"/>
  <c r="P2010" i="4"/>
  <c r="Q2010" i="4"/>
  <c r="R2010" i="4"/>
  <c r="S2010" i="4"/>
  <c r="L2011" i="4"/>
  <c r="M2011" i="4"/>
  <c r="N2011" i="4"/>
  <c r="O2011" i="4"/>
  <c r="P2011" i="4"/>
  <c r="Q2011" i="4"/>
  <c r="R2011" i="4"/>
  <c r="S2011" i="4"/>
  <c r="L2012" i="4"/>
  <c r="M2012" i="4"/>
  <c r="N2012" i="4"/>
  <c r="O2012" i="4"/>
  <c r="P2012" i="4"/>
  <c r="Q2012" i="4"/>
  <c r="R2012" i="4"/>
  <c r="S2012" i="4"/>
  <c r="L2013" i="4"/>
  <c r="M2013" i="4"/>
  <c r="N2013" i="4"/>
  <c r="O2013" i="4"/>
  <c r="P2013" i="4"/>
  <c r="Q2013" i="4"/>
  <c r="R2013" i="4"/>
  <c r="S2013" i="4"/>
  <c r="L2014" i="4"/>
  <c r="M2014" i="4"/>
  <c r="N2014" i="4"/>
  <c r="O2014" i="4"/>
  <c r="P2014" i="4"/>
  <c r="Q2014" i="4"/>
  <c r="R2014" i="4"/>
  <c r="S2014" i="4"/>
  <c r="L2015" i="4"/>
  <c r="M2015" i="4"/>
  <c r="N2015" i="4"/>
  <c r="O2015" i="4"/>
  <c r="P2015" i="4"/>
  <c r="Q2015" i="4"/>
  <c r="R2015" i="4"/>
  <c r="S2015" i="4"/>
  <c r="L2016" i="4"/>
  <c r="M2016" i="4"/>
  <c r="N2016" i="4"/>
  <c r="O2016" i="4"/>
  <c r="P2016" i="4"/>
  <c r="Q2016" i="4"/>
  <c r="R2016" i="4"/>
  <c r="S2016" i="4"/>
  <c r="L2017" i="4"/>
  <c r="M2017" i="4"/>
  <c r="N2017" i="4"/>
  <c r="O2017" i="4"/>
  <c r="P2017" i="4"/>
  <c r="Q2017" i="4"/>
  <c r="R2017" i="4"/>
  <c r="S2017" i="4"/>
  <c r="L2018" i="4"/>
  <c r="M2018" i="4"/>
  <c r="N2018" i="4"/>
  <c r="O2018" i="4"/>
  <c r="P2018" i="4"/>
  <c r="Q2018" i="4"/>
  <c r="R2018" i="4"/>
  <c r="S2018" i="4"/>
  <c r="L2019" i="4"/>
  <c r="M2019" i="4"/>
  <c r="N2019" i="4"/>
  <c r="O2019" i="4"/>
  <c r="P2019" i="4"/>
  <c r="Q2019" i="4"/>
  <c r="R2019" i="4"/>
  <c r="S2019" i="4"/>
  <c r="L2020" i="4"/>
  <c r="M2020" i="4"/>
  <c r="N2020" i="4"/>
  <c r="O2020" i="4"/>
  <c r="P2020" i="4"/>
  <c r="Q2020" i="4"/>
  <c r="R2020" i="4"/>
  <c r="S2020" i="4"/>
  <c r="L2021" i="4"/>
  <c r="M2021" i="4"/>
  <c r="N2021" i="4"/>
  <c r="O2021" i="4"/>
  <c r="P2021" i="4"/>
  <c r="Q2021" i="4"/>
  <c r="R2021" i="4"/>
  <c r="S2021" i="4"/>
  <c r="L2022" i="4"/>
  <c r="M2022" i="4"/>
  <c r="N2022" i="4"/>
  <c r="O2022" i="4"/>
  <c r="P2022" i="4"/>
  <c r="Q2022" i="4"/>
  <c r="R2022" i="4"/>
  <c r="S2022" i="4"/>
  <c r="L2023" i="4"/>
  <c r="M2023" i="4"/>
  <c r="N2023" i="4"/>
  <c r="O2023" i="4"/>
  <c r="P2023" i="4"/>
  <c r="Q2023" i="4"/>
  <c r="R2023" i="4"/>
  <c r="S2023" i="4"/>
  <c r="L2024" i="4"/>
  <c r="M2024" i="4"/>
  <c r="N2024" i="4"/>
  <c r="O2024" i="4"/>
  <c r="P2024" i="4"/>
  <c r="Q2024" i="4"/>
  <c r="R2024" i="4"/>
  <c r="S2024" i="4"/>
  <c r="L2025" i="4"/>
  <c r="M2025" i="4"/>
  <c r="N2025" i="4"/>
  <c r="O2025" i="4"/>
  <c r="P2025" i="4"/>
  <c r="Q2025" i="4"/>
  <c r="R2025" i="4"/>
  <c r="S2025" i="4"/>
  <c r="L2026" i="4"/>
  <c r="M2026" i="4"/>
  <c r="N2026" i="4"/>
  <c r="O2026" i="4"/>
  <c r="P2026" i="4"/>
  <c r="Q2026" i="4"/>
  <c r="R2026" i="4"/>
  <c r="S2026" i="4"/>
  <c r="L2027" i="4"/>
  <c r="M2027" i="4"/>
  <c r="N2027" i="4"/>
  <c r="O2027" i="4"/>
  <c r="P2027" i="4"/>
  <c r="Q2027" i="4"/>
  <c r="R2027" i="4"/>
  <c r="S2027" i="4"/>
  <c r="L2028" i="4"/>
  <c r="M2028" i="4"/>
  <c r="N2028" i="4"/>
  <c r="O2028" i="4"/>
  <c r="P2028" i="4"/>
  <c r="Q2028" i="4"/>
  <c r="R2028" i="4"/>
  <c r="S2028" i="4"/>
  <c r="L2029" i="4"/>
  <c r="M2029" i="4"/>
  <c r="N2029" i="4"/>
  <c r="O2029" i="4"/>
  <c r="P2029" i="4"/>
  <c r="Q2029" i="4"/>
  <c r="R2029" i="4"/>
  <c r="S2029" i="4"/>
  <c r="L2030" i="4"/>
  <c r="M2030" i="4"/>
  <c r="N2030" i="4"/>
  <c r="O2030" i="4"/>
  <c r="P2030" i="4"/>
  <c r="Q2030" i="4"/>
  <c r="R2030" i="4"/>
  <c r="S2030" i="4"/>
  <c r="L2031" i="4"/>
  <c r="M2031" i="4"/>
  <c r="N2031" i="4"/>
  <c r="O2031" i="4"/>
  <c r="P2031" i="4"/>
  <c r="Q2031" i="4"/>
  <c r="R2031" i="4"/>
  <c r="S2031" i="4"/>
  <c r="L2032" i="4"/>
  <c r="M2032" i="4"/>
  <c r="N2032" i="4"/>
  <c r="O2032" i="4"/>
  <c r="P2032" i="4"/>
  <c r="Q2032" i="4"/>
  <c r="R2032" i="4"/>
  <c r="S2032" i="4"/>
  <c r="L2033" i="4"/>
  <c r="M2033" i="4"/>
  <c r="N2033" i="4"/>
  <c r="O2033" i="4"/>
  <c r="P2033" i="4"/>
  <c r="Q2033" i="4"/>
  <c r="R2033" i="4"/>
  <c r="S2033" i="4"/>
  <c r="L2034" i="4"/>
  <c r="M2034" i="4"/>
  <c r="N2034" i="4"/>
  <c r="O2034" i="4"/>
  <c r="P2034" i="4"/>
  <c r="Q2034" i="4"/>
  <c r="R2034" i="4"/>
  <c r="S2034" i="4"/>
  <c r="L2035" i="4"/>
  <c r="M2035" i="4"/>
  <c r="N2035" i="4"/>
  <c r="O2035" i="4"/>
  <c r="P2035" i="4"/>
  <c r="Q2035" i="4"/>
  <c r="R2035" i="4"/>
  <c r="S2035" i="4"/>
  <c r="L2036" i="4"/>
  <c r="M2036" i="4"/>
  <c r="N2036" i="4"/>
  <c r="O2036" i="4"/>
  <c r="P2036" i="4"/>
  <c r="Q2036" i="4"/>
  <c r="R2036" i="4"/>
  <c r="S2036" i="4"/>
  <c r="L2037" i="4"/>
  <c r="M2037" i="4"/>
  <c r="N2037" i="4"/>
  <c r="O2037" i="4"/>
  <c r="P2037" i="4"/>
  <c r="Q2037" i="4"/>
  <c r="R2037" i="4"/>
  <c r="S2037" i="4"/>
  <c r="L2038" i="4"/>
  <c r="M2038" i="4"/>
  <c r="N2038" i="4"/>
  <c r="O2038" i="4"/>
  <c r="P2038" i="4"/>
  <c r="Q2038" i="4"/>
  <c r="R2038" i="4"/>
  <c r="S2038" i="4"/>
  <c r="L2039" i="4"/>
  <c r="M2039" i="4"/>
  <c r="N2039" i="4"/>
  <c r="O2039" i="4"/>
  <c r="P2039" i="4"/>
  <c r="Q2039" i="4"/>
  <c r="R2039" i="4"/>
  <c r="S2039" i="4"/>
  <c r="L2040" i="4"/>
  <c r="M2040" i="4"/>
  <c r="N2040" i="4"/>
  <c r="O2040" i="4"/>
  <c r="P2040" i="4"/>
  <c r="Q2040" i="4"/>
  <c r="R2040" i="4"/>
  <c r="S2040" i="4"/>
  <c r="L2041" i="4"/>
  <c r="M2041" i="4"/>
  <c r="N2041" i="4"/>
  <c r="O2041" i="4"/>
  <c r="P2041" i="4"/>
  <c r="Q2041" i="4"/>
  <c r="R2041" i="4"/>
  <c r="S2041" i="4"/>
  <c r="L2042" i="4"/>
  <c r="M2042" i="4"/>
  <c r="N2042" i="4"/>
  <c r="O2042" i="4"/>
  <c r="P2042" i="4"/>
  <c r="Q2042" i="4"/>
  <c r="R2042" i="4"/>
  <c r="S2042" i="4"/>
  <c r="L2043" i="4"/>
  <c r="M2043" i="4"/>
  <c r="N2043" i="4"/>
  <c r="O2043" i="4"/>
  <c r="P2043" i="4"/>
  <c r="Q2043" i="4"/>
  <c r="R2043" i="4"/>
  <c r="S2043" i="4"/>
  <c r="L2044" i="4"/>
  <c r="M2044" i="4"/>
  <c r="N2044" i="4"/>
  <c r="O2044" i="4"/>
  <c r="P2044" i="4"/>
  <c r="Q2044" i="4"/>
  <c r="R2044" i="4"/>
  <c r="S2044" i="4"/>
  <c r="L2045" i="4"/>
  <c r="M2045" i="4"/>
  <c r="N2045" i="4"/>
  <c r="O2045" i="4"/>
  <c r="P2045" i="4"/>
  <c r="Q2045" i="4"/>
  <c r="R2045" i="4"/>
  <c r="S2045" i="4"/>
  <c r="L2046" i="4"/>
  <c r="M2046" i="4"/>
  <c r="N2046" i="4"/>
  <c r="O2046" i="4"/>
  <c r="P2046" i="4"/>
  <c r="Q2046" i="4"/>
  <c r="R2046" i="4"/>
  <c r="S2046" i="4"/>
  <c r="L2047" i="4"/>
  <c r="M2047" i="4"/>
  <c r="N2047" i="4"/>
  <c r="O2047" i="4"/>
  <c r="P2047" i="4"/>
  <c r="Q2047" i="4"/>
  <c r="R2047" i="4"/>
  <c r="S2047" i="4"/>
  <c r="L2048" i="4"/>
  <c r="M2048" i="4"/>
  <c r="N2048" i="4"/>
  <c r="O2048" i="4"/>
  <c r="P2048" i="4"/>
  <c r="Q2048" i="4"/>
  <c r="R2048" i="4"/>
  <c r="S2048" i="4"/>
  <c r="L2049" i="4"/>
  <c r="M2049" i="4"/>
  <c r="N2049" i="4"/>
  <c r="O2049" i="4"/>
  <c r="P2049" i="4"/>
  <c r="Q2049" i="4"/>
  <c r="R2049" i="4"/>
  <c r="S2049" i="4"/>
  <c r="L2050" i="4"/>
  <c r="M2050" i="4"/>
  <c r="N2050" i="4"/>
  <c r="O2050" i="4"/>
  <c r="P2050" i="4"/>
  <c r="Q2050" i="4"/>
  <c r="R2050" i="4"/>
  <c r="S2050" i="4"/>
  <c r="L2051" i="4"/>
  <c r="M2051" i="4"/>
  <c r="N2051" i="4"/>
  <c r="O2051" i="4"/>
  <c r="P2051" i="4"/>
  <c r="Q2051" i="4"/>
  <c r="R2051" i="4"/>
  <c r="S2051" i="4"/>
  <c r="L2052" i="4"/>
  <c r="M2052" i="4"/>
  <c r="N2052" i="4"/>
  <c r="O2052" i="4"/>
  <c r="P2052" i="4"/>
  <c r="Q2052" i="4"/>
  <c r="R2052" i="4"/>
  <c r="S2052" i="4"/>
  <c r="L2053" i="4"/>
  <c r="M2053" i="4"/>
  <c r="N2053" i="4"/>
  <c r="O2053" i="4"/>
  <c r="P2053" i="4"/>
  <c r="Q2053" i="4"/>
  <c r="R2053" i="4"/>
  <c r="S2053" i="4"/>
  <c r="L2054" i="4"/>
  <c r="M2054" i="4"/>
  <c r="N2054" i="4"/>
  <c r="O2054" i="4"/>
  <c r="P2054" i="4"/>
  <c r="Q2054" i="4"/>
  <c r="R2054" i="4"/>
  <c r="S2054" i="4"/>
  <c r="L2055" i="4"/>
  <c r="M2055" i="4"/>
  <c r="N2055" i="4"/>
  <c r="O2055" i="4"/>
  <c r="P2055" i="4"/>
  <c r="Q2055" i="4"/>
  <c r="R2055" i="4"/>
  <c r="S2055" i="4"/>
  <c r="L2056" i="4"/>
  <c r="M2056" i="4"/>
  <c r="N2056" i="4"/>
  <c r="O2056" i="4"/>
  <c r="P2056" i="4"/>
  <c r="Q2056" i="4"/>
  <c r="R2056" i="4"/>
  <c r="S2056" i="4"/>
  <c r="L2057" i="4"/>
  <c r="M2057" i="4"/>
  <c r="N2057" i="4"/>
  <c r="O2057" i="4"/>
  <c r="P2057" i="4"/>
  <c r="Q2057" i="4"/>
  <c r="R2057" i="4"/>
  <c r="S2057" i="4"/>
  <c r="L2058" i="4"/>
  <c r="M2058" i="4"/>
  <c r="N2058" i="4"/>
  <c r="O2058" i="4"/>
  <c r="P2058" i="4"/>
  <c r="Q2058" i="4"/>
  <c r="R2058" i="4"/>
  <c r="S2058" i="4"/>
  <c r="L2059" i="4"/>
  <c r="M2059" i="4"/>
  <c r="N2059" i="4"/>
  <c r="O2059" i="4"/>
  <c r="P2059" i="4"/>
  <c r="Q2059" i="4"/>
  <c r="R2059" i="4"/>
  <c r="S2059" i="4"/>
  <c r="L2060" i="4"/>
  <c r="M2060" i="4"/>
  <c r="N2060" i="4"/>
  <c r="O2060" i="4"/>
  <c r="P2060" i="4"/>
  <c r="Q2060" i="4"/>
  <c r="R2060" i="4"/>
  <c r="S2060" i="4"/>
  <c r="L2061" i="4"/>
  <c r="M2061" i="4"/>
  <c r="N2061" i="4"/>
  <c r="O2061" i="4"/>
  <c r="P2061" i="4"/>
  <c r="Q2061" i="4"/>
  <c r="R2061" i="4"/>
  <c r="S2061" i="4"/>
  <c r="L2062" i="4"/>
  <c r="M2062" i="4"/>
  <c r="N2062" i="4"/>
  <c r="O2062" i="4"/>
  <c r="P2062" i="4"/>
  <c r="Q2062" i="4"/>
  <c r="R2062" i="4"/>
  <c r="S2062" i="4"/>
  <c r="L2063" i="4"/>
  <c r="M2063" i="4"/>
  <c r="N2063" i="4"/>
  <c r="O2063" i="4"/>
  <c r="P2063" i="4"/>
  <c r="Q2063" i="4"/>
  <c r="R2063" i="4"/>
  <c r="S2063" i="4"/>
  <c r="L2064" i="4"/>
  <c r="M2064" i="4"/>
  <c r="N2064" i="4"/>
  <c r="O2064" i="4"/>
  <c r="P2064" i="4"/>
  <c r="Q2064" i="4"/>
  <c r="R2064" i="4"/>
  <c r="S2064" i="4"/>
  <c r="L2065" i="4"/>
  <c r="M2065" i="4"/>
  <c r="N2065" i="4"/>
  <c r="O2065" i="4"/>
  <c r="P2065" i="4"/>
  <c r="Q2065" i="4"/>
  <c r="R2065" i="4"/>
  <c r="S2065" i="4"/>
  <c r="L2066" i="4"/>
  <c r="M2066" i="4"/>
  <c r="N2066" i="4"/>
  <c r="O2066" i="4"/>
  <c r="P2066" i="4"/>
  <c r="Q2066" i="4"/>
  <c r="R2066" i="4"/>
  <c r="S2066" i="4"/>
  <c r="L2067" i="4"/>
  <c r="M2067" i="4"/>
  <c r="N2067" i="4"/>
  <c r="O2067" i="4"/>
  <c r="P2067" i="4"/>
  <c r="Q2067" i="4"/>
  <c r="R2067" i="4"/>
  <c r="S2067" i="4"/>
  <c r="L2068" i="4"/>
  <c r="M2068" i="4"/>
  <c r="N2068" i="4"/>
  <c r="O2068" i="4"/>
  <c r="P2068" i="4"/>
  <c r="Q2068" i="4"/>
  <c r="R2068" i="4"/>
  <c r="S2068" i="4"/>
  <c r="L2069" i="4"/>
  <c r="M2069" i="4"/>
  <c r="N2069" i="4"/>
  <c r="O2069" i="4"/>
  <c r="P2069" i="4"/>
  <c r="Q2069" i="4"/>
  <c r="R2069" i="4"/>
  <c r="S2069" i="4"/>
  <c r="L2070" i="4"/>
  <c r="M2070" i="4"/>
  <c r="N2070" i="4"/>
  <c r="O2070" i="4"/>
  <c r="P2070" i="4"/>
  <c r="Q2070" i="4"/>
  <c r="R2070" i="4"/>
  <c r="S2070" i="4"/>
  <c r="L2071" i="4"/>
  <c r="M2071" i="4"/>
  <c r="N2071" i="4"/>
  <c r="O2071" i="4"/>
  <c r="P2071" i="4"/>
  <c r="Q2071" i="4"/>
  <c r="R2071" i="4"/>
  <c r="S2071" i="4"/>
  <c r="L2072" i="4"/>
  <c r="M2072" i="4"/>
  <c r="N2072" i="4"/>
  <c r="O2072" i="4"/>
  <c r="P2072" i="4"/>
  <c r="Q2072" i="4"/>
  <c r="R2072" i="4"/>
  <c r="S2072" i="4"/>
  <c r="L2073" i="4"/>
  <c r="M2073" i="4"/>
  <c r="N2073" i="4"/>
  <c r="O2073" i="4"/>
  <c r="P2073" i="4"/>
  <c r="Q2073" i="4"/>
  <c r="R2073" i="4"/>
  <c r="S2073" i="4"/>
  <c r="L2074" i="4"/>
  <c r="M2074" i="4"/>
  <c r="N2074" i="4"/>
  <c r="O2074" i="4"/>
  <c r="P2074" i="4"/>
  <c r="Q2074" i="4"/>
  <c r="R2074" i="4"/>
  <c r="S2074" i="4"/>
  <c r="L2075" i="4"/>
  <c r="M2075" i="4"/>
  <c r="N2075" i="4"/>
  <c r="O2075" i="4"/>
  <c r="P2075" i="4"/>
  <c r="Q2075" i="4"/>
  <c r="R2075" i="4"/>
  <c r="S2075" i="4"/>
  <c r="L2076" i="4"/>
  <c r="M2076" i="4"/>
  <c r="N2076" i="4"/>
  <c r="O2076" i="4"/>
  <c r="P2076" i="4"/>
  <c r="Q2076" i="4"/>
  <c r="R2076" i="4"/>
  <c r="S2076" i="4"/>
  <c r="L2077" i="4"/>
  <c r="M2077" i="4"/>
  <c r="N2077" i="4"/>
  <c r="O2077" i="4"/>
  <c r="P2077" i="4"/>
  <c r="Q2077" i="4"/>
  <c r="R2077" i="4"/>
  <c r="S2077" i="4"/>
  <c r="L2078" i="4"/>
  <c r="M2078" i="4"/>
  <c r="N2078" i="4"/>
  <c r="O2078" i="4"/>
  <c r="P2078" i="4"/>
  <c r="Q2078" i="4"/>
  <c r="R2078" i="4"/>
  <c r="S2078" i="4"/>
  <c r="L2079" i="4"/>
  <c r="M2079" i="4"/>
  <c r="N2079" i="4"/>
  <c r="O2079" i="4"/>
  <c r="P2079" i="4"/>
  <c r="Q2079" i="4"/>
  <c r="R2079" i="4"/>
  <c r="S2079" i="4"/>
  <c r="L2080" i="4"/>
  <c r="M2080" i="4"/>
  <c r="N2080" i="4"/>
  <c r="O2080" i="4"/>
  <c r="P2080" i="4"/>
  <c r="Q2080" i="4"/>
  <c r="R2080" i="4"/>
  <c r="S2080" i="4"/>
  <c r="L2081" i="4"/>
  <c r="M2081" i="4"/>
  <c r="N2081" i="4"/>
  <c r="O2081" i="4"/>
  <c r="P2081" i="4"/>
  <c r="Q2081" i="4"/>
  <c r="R2081" i="4"/>
  <c r="S2081" i="4"/>
  <c r="L2082" i="4"/>
  <c r="M2082" i="4"/>
  <c r="N2082" i="4"/>
  <c r="O2082" i="4"/>
  <c r="P2082" i="4"/>
  <c r="Q2082" i="4"/>
  <c r="R2082" i="4"/>
  <c r="S2082" i="4"/>
  <c r="L2083" i="4"/>
  <c r="M2083" i="4"/>
  <c r="N2083" i="4"/>
  <c r="O2083" i="4"/>
  <c r="P2083" i="4"/>
  <c r="Q2083" i="4"/>
  <c r="R2083" i="4"/>
  <c r="S2083" i="4"/>
  <c r="L2084" i="4"/>
  <c r="M2084" i="4"/>
  <c r="N2084" i="4"/>
  <c r="O2084" i="4"/>
  <c r="P2084" i="4"/>
  <c r="Q2084" i="4"/>
  <c r="R2084" i="4"/>
  <c r="S2084" i="4"/>
  <c r="L2085" i="4"/>
  <c r="M2085" i="4"/>
  <c r="N2085" i="4"/>
  <c r="O2085" i="4"/>
  <c r="P2085" i="4"/>
  <c r="Q2085" i="4"/>
  <c r="R2085" i="4"/>
  <c r="S2085" i="4"/>
  <c r="L2086" i="4"/>
  <c r="M2086" i="4"/>
  <c r="N2086" i="4"/>
  <c r="O2086" i="4"/>
  <c r="P2086" i="4"/>
  <c r="Q2086" i="4"/>
  <c r="R2086" i="4"/>
  <c r="S2086" i="4"/>
  <c r="L2087" i="4"/>
  <c r="M2087" i="4"/>
  <c r="N2087" i="4"/>
  <c r="O2087" i="4"/>
  <c r="P2087" i="4"/>
  <c r="Q2087" i="4"/>
  <c r="R2087" i="4"/>
  <c r="S2087" i="4"/>
  <c r="L2088" i="4"/>
  <c r="M2088" i="4"/>
  <c r="N2088" i="4"/>
  <c r="O2088" i="4"/>
  <c r="P2088" i="4"/>
  <c r="Q2088" i="4"/>
  <c r="R2088" i="4"/>
  <c r="S2088" i="4"/>
  <c r="L2089" i="4"/>
  <c r="M2089" i="4"/>
  <c r="N2089" i="4"/>
  <c r="O2089" i="4"/>
  <c r="P2089" i="4"/>
  <c r="Q2089" i="4"/>
  <c r="R2089" i="4"/>
  <c r="S2089" i="4"/>
  <c r="L2090" i="4"/>
  <c r="M2090" i="4"/>
  <c r="N2090" i="4"/>
  <c r="O2090" i="4"/>
  <c r="P2090" i="4"/>
  <c r="Q2090" i="4"/>
  <c r="R2090" i="4"/>
  <c r="S2090" i="4"/>
  <c r="L2091" i="4"/>
  <c r="M2091" i="4"/>
  <c r="N2091" i="4"/>
  <c r="O2091" i="4"/>
  <c r="P2091" i="4"/>
  <c r="Q2091" i="4"/>
  <c r="R2091" i="4"/>
  <c r="S2091" i="4"/>
  <c r="L2092" i="4"/>
  <c r="M2092" i="4"/>
  <c r="N2092" i="4"/>
  <c r="O2092" i="4"/>
  <c r="P2092" i="4"/>
  <c r="Q2092" i="4"/>
  <c r="R2092" i="4"/>
  <c r="S2092" i="4"/>
  <c r="L2093" i="4"/>
  <c r="M2093" i="4"/>
  <c r="N2093" i="4"/>
  <c r="O2093" i="4"/>
  <c r="P2093" i="4"/>
  <c r="Q2093" i="4"/>
  <c r="R2093" i="4"/>
  <c r="S2093" i="4"/>
  <c r="L2094" i="4"/>
  <c r="M2094" i="4"/>
  <c r="N2094" i="4"/>
  <c r="O2094" i="4"/>
  <c r="P2094" i="4"/>
  <c r="Q2094" i="4"/>
  <c r="R2094" i="4"/>
  <c r="S2094" i="4"/>
  <c r="L2095" i="4"/>
  <c r="M2095" i="4"/>
  <c r="N2095" i="4"/>
  <c r="O2095" i="4"/>
  <c r="P2095" i="4"/>
  <c r="Q2095" i="4"/>
  <c r="R2095" i="4"/>
  <c r="S2095" i="4"/>
  <c r="L2096" i="4"/>
  <c r="M2096" i="4"/>
  <c r="N2096" i="4"/>
  <c r="O2096" i="4"/>
  <c r="P2096" i="4"/>
  <c r="Q2096" i="4"/>
  <c r="R2096" i="4"/>
  <c r="S2096" i="4"/>
  <c r="L2097" i="4"/>
  <c r="M2097" i="4"/>
  <c r="N2097" i="4"/>
  <c r="O2097" i="4"/>
  <c r="P2097" i="4"/>
  <c r="Q2097" i="4"/>
  <c r="R2097" i="4"/>
  <c r="S2097" i="4"/>
  <c r="L2098" i="4"/>
  <c r="M2098" i="4"/>
  <c r="N2098" i="4"/>
  <c r="O2098" i="4"/>
  <c r="P2098" i="4"/>
  <c r="Q2098" i="4"/>
  <c r="R2098" i="4"/>
  <c r="S2098" i="4"/>
  <c r="L2099" i="4"/>
  <c r="M2099" i="4"/>
  <c r="N2099" i="4"/>
  <c r="O2099" i="4"/>
  <c r="P2099" i="4"/>
  <c r="Q2099" i="4"/>
  <c r="R2099" i="4"/>
  <c r="S2099" i="4"/>
  <c r="L2100" i="4"/>
  <c r="M2100" i="4"/>
  <c r="N2100" i="4"/>
  <c r="O2100" i="4"/>
  <c r="P2100" i="4"/>
  <c r="Q2100" i="4"/>
  <c r="R2100" i="4"/>
  <c r="S2100" i="4"/>
  <c r="L2101" i="4"/>
  <c r="M2101" i="4"/>
  <c r="N2101" i="4"/>
  <c r="O2101" i="4"/>
  <c r="P2101" i="4"/>
  <c r="Q2101" i="4"/>
  <c r="R2101" i="4"/>
  <c r="S2101" i="4"/>
  <c r="L2102" i="4"/>
  <c r="M2102" i="4"/>
  <c r="N2102" i="4"/>
  <c r="O2102" i="4"/>
  <c r="P2102" i="4"/>
  <c r="Q2102" i="4"/>
  <c r="R2102" i="4"/>
  <c r="S2102" i="4"/>
  <c r="L2103" i="4"/>
  <c r="M2103" i="4"/>
  <c r="N2103" i="4"/>
  <c r="O2103" i="4"/>
  <c r="P2103" i="4"/>
  <c r="Q2103" i="4"/>
  <c r="R2103" i="4"/>
  <c r="S2103" i="4"/>
  <c r="L2104" i="4"/>
  <c r="M2104" i="4"/>
  <c r="N2104" i="4"/>
  <c r="O2104" i="4"/>
  <c r="P2104" i="4"/>
  <c r="Q2104" i="4"/>
  <c r="R2104" i="4"/>
  <c r="S2104" i="4"/>
  <c r="L2105" i="4"/>
  <c r="M2105" i="4"/>
  <c r="N2105" i="4"/>
  <c r="O2105" i="4"/>
  <c r="P2105" i="4"/>
  <c r="Q2105" i="4"/>
  <c r="R2105" i="4"/>
  <c r="S2105" i="4"/>
  <c r="L2106" i="4"/>
  <c r="M2106" i="4"/>
  <c r="N2106" i="4"/>
  <c r="O2106" i="4"/>
  <c r="P2106" i="4"/>
  <c r="Q2106" i="4"/>
  <c r="R2106" i="4"/>
  <c r="S2106" i="4"/>
  <c r="L2107" i="4"/>
  <c r="M2107" i="4"/>
  <c r="N2107" i="4"/>
  <c r="O2107" i="4"/>
  <c r="P2107" i="4"/>
  <c r="Q2107" i="4"/>
  <c r="R2107" i="4"/>
  <c r="S2107" i="4"/>
  <c r="L2108" i="4"/>
  <c r="M2108" i="4"/>
  <c r="N2108" i="4"/>
  <c r="O2108" i="4"/>
  <c r="P2108" i="4"/>
  <c r="Q2108" i="4"/>
  <c r="R2108" i="4"/>
  <c r="S2108" i="4"/>
  <c r="L2109" i="4"/>
  <c r="M2109" i="4"/>
  <c r="N2109" i="4"/>
  <c r="O2109" i="4"/>
  <c r="P2109" i="4"/>
  <c r="Q2109" i="4"/>
  <c r="R2109" i="4"/>
  <c r="S2109" i="4"/>
  <c r="L2110" i="4"/>
  <c r="M2110" i="4"/>
  <c r="N2110" i="4"/>
  <c r="O2110" i="4"/>
  <c r="P2110" i="4"/>
  <c r="Q2110" i="4"/>
  <c r="R2110" i="4"/>
  <c r="S2110" i="4"/>
  <c r="L2111" i="4"/>
  <c r="M2111" i="4"/>
  <c r="N2111" i="4"/>
  <c r="O2111" i="4"/>
  <c r="P2111" i="4"/>
  <c r="Q2111" i="4"/>
  <c r="R2111" i="4"/>
  <c r="S2111" i="4"/>
  <c r="L2112" i="4"/>
  <c r="M2112" i="4"/>
  <c r="N2112" i="4"/>
  <c r="O2112" i="4"/>
  <c r="P2112" i="4"/>
  <c r="Q2112" i="4"/>
  <c r="R2112" i="4"/>
  <c r="S2112" i="4"/>
  <c r="L2113" i="4"/>
  <c r="M2113" i="4"/>
  <c r="N2113" i="4"/>
  <c r="O2113" i="4"/>
  <c r="P2113" i="4"/>
  <c r="Q2113" i="4"/>
  <c r="R2113" i="4"/>
  <c r="S2113" i="4"/>
  <c r="L2114" i="4"/>
  <c r="M2114" i="4"/>
  <c r="N2114" i="4"/>
  <c r="O2114" i="4"/>
  <c r="P2114" i="4"/>
  <c r="Q2114" i="4"/>
  <c r="R2114" i="4"/>
  <c r="S2114" i="4"/>
  <c r="L2115" i="4"/>
  <c r="M2115" i="4"/>
  <c r="N2115" i="4"/>
  <c r="O2115" i="4"/>
  <c r="P2115" i="4"/>
  <c r="Q2115" i="4"/>
  <c r="R2115" i="4"/>
  <c r="S2115" i="4"/>
  <c r="L2116" i="4"/>
  <c r="M2116" i="4"/>
  <c r="N2116" i="4"/>
  <c r="O2116" i="4"/>
  <c r="P2116" i="4"/>
  <c r="Q2116" i="4"/>
  <c r="R2116" i="4"/>
  <c r="S2116" i="4"/>
  <c r="L2117" i="4"/>
  <c r="M2117" i="4"/>
  <c r="N2117" i="4"/>
  <c r="O2117" i="4"/>
  <c r="P2117" i="4"/>
  <c r="Q2117" i="4"/>
  <c r="R2117" i="4"/>
  <c r="S2117" i="4"/>
  <c r="L2118" i="4"/>
  <c r="M2118" i="4"/>
  <c r="N2118" i="4"/>
  <c r="O2118" i="4"/>
  <c r="P2118" i="4"/>
  <c r="Q2118" i="4"/>
  <c r="R2118" i="4"/>
  <c r="S2118" i="4"/>
  <c r="L2119" i="4"/>
  <c r="M2119" i="4"/>
  <c r="N2119" i="4"/>
  <c r="O2119" i="4"/>
  <c r="P2119" i="4"/>
  <c r="Q2119" i="4"/>
  <c r="R2119" i="4"/>
  <c r="S2119" i="4"/>
  <c r="L2120" i="4"/>
  <c r="M2120" i="4"/>
  <c r="N2120" i="4"/>
  <c r="O2120" i="4"/>
  <c r="P2120" i="4"/>
  <c r="Q2120" i="4"/>
  <c r="R2120" i="4"/>
  <c r="S2120" i="4"/>
  <c r="L2121" i="4"/>
  <c r="M2121" i="4"/>
  <c r="N2121" i="4"/>
  <c r="O2121" i="4"/>
  <c r="P2121" i="4"/>
  <c r="Q2121" i="4"/>
  <c r="R2121" i="4"/>
  <c r="S2121" i="4"/>
  <c r="L2122" i="4"/>
  <c r="M2122" i="4"/>
  <c r="N2122" i="4"/>
  <c r="O2122" i="4"/>
  <c r="P2122" i="4"/>
  <c r="Q2122" i="4"/>
  <c r="R2122" i="4"/>
  <c r="S2122" i="4"/>
  <c r="L2123" i="4"/>
  <c r="M2123" i="4"/>
  <c r="N2123" i="4"/>
  <c r="O2123" i="4"/>
  <c r="P2123" i="4"/>
  <c r="Q2123" i="4"/>
  <c r="R2123" i="4"/>
  <c r="S2123" i="4"/>
  <c r="L2124" i="4"/>
  <c r="M2124" i="4"/>
  <c r="N2124" i="4"/>
  <c r="O2124" i="4"/>
  <c r="P2124" i="4"/>
  <c r="Q2124" i="4"/>
  <c r="R2124" i="4"/>
  <c r="S2124" i="4"/>
  <c r="L2125" i="4"/>
  <c r="M2125" i="4"/>
  <c r="N2125" i="4"/>
  <c r="O2125" i="4"/>
  <c r="P2125" i="4"/>
  <c r="Q2125" i="4"/>
  <c r="R2125" i="4"/>
  <c r="S2125" i="4"/>
  <c r="L2126" i="4"/>
  <c r="M2126" i="4"/>
  <c r="N2126" i="4"/>
  <c r="O2126" i="4"/>
  <c r="P2126" i="4"/>
  <c r="Q2126" i="4"/>
  <c r="R2126" i="4"/>
  <c r="S2126" i="4"/>
  <c r="L2127" i="4"/>
  <c r="M2127" i="4"/>
  <c r="N2127" i="4"/>
  <c r="O2127" i="4"/>
  <c r="P2127" i="4"/>
  <c r="Q2127" i="4"/>
  <c r="R2127" i="4"/>
  <c r="S2127" i="4"/>
  <c r="L2128" i="4"/>
  <c r="M2128" i="4"/>
  <c r="N2128" i="4"/>
  <c r="O2128" i="4"/>
  <c r="P2128" i="4"/>
  <c r="Q2128" i="4"/>
  <c r="R2128" i="4"/>
  <c r="S2128" i="4"/>
  <c r="L2129" i="4"/>
  <c r="M2129" i="4"/>
  <c r="N2129" i="4"/>
  <c r="O2129" i="4"/>
  <c r="P2129" i="4"/>
  <c r="Q2129" i="4"/>
  <c r="R2129" i="4"/>
  <c r="S2129" i="4"/>
  <c r="L2130" i="4"/>
  <c r="M2130" i="4"/>
  <c r="N2130" i="4"/>
  <c r="O2130" i="4"/>
  <c r="P2130" i="4"/>
  <c r="Q2130" i="4"/>
  <c r="R2130" i="4"/>
  <c r="S2130" i="4"/>
  <c r="L2131" i="4"/>
  <c r="M2131" i="4"/>
  <c r="N2131" i="4"/>
  <c r="O2131" i="4"/>
  <c r="P2131" i="4"/>
  <c r="Q2131" i="4"/>
  <c r="R2131" i="4"/>
  <c r="S2131" i="4"/>
  <c r="L2132" i="4"/>
  <c r="M2132" i="4"/>
  <c r="N2132" i="4"/>
  <c r="O2132" i="4"/>
  <c r="P2132" i="4"/>
  <c r="Q2132" i="4"/>
  <c r="R2132" i="4"/>
  <c r="S2132" i="4"/>
  <c r="L2133" i="4"/>
  <c r="M2133" i="4"/>
  <c r="N2133" i="4"/>
  <c r="O2133" i="4"/>
  <c r="P2133" i="4"/>
  <c r="Q2133" i="4"/>
  <c r="R2133" i="4"/>
  <c r="S2133" i="4"/>
  <c r="L2134" i="4"/>
  <c r="M2134" i="4"/>
  <c r="N2134" i="4"/>
  <c r="O2134" i="4"/>
  <c r="P2134" i="4"/>
  <c r="Q2134" i="4"/>
  <c r="R2134" i="4"/>
  <c r="S2134" i="4"/>
  <c r="L2135" i="4"/>
  <c r="M2135" i="4"/>
  <c r="N2135" i="4"/>
  <c r="O2135" i="4"/>
  <c r="P2135" i="4"/>
  <c r="Q2135" i="4"/>
  <c r="R2135" i="4"/>
  <c r="S2135" i="4"/>
  <c r="L2136" i="4"/>
  <c r="M2136" i="4"/>
  <c r="N2136" i="4"/>
  <c r="O2136" i="4"/>
  <c r="P2136" i="4"/>
  <c r="Q2136" i="4"/>
  <c r="R2136" i="4"/>
  <c r="S2136" i="4"/>
  <c r="L2137" i="4"/>
  <c r="M2137" i="4"/>
  <c r="N2137" i="4"/>
  <c r="O2137" i="4"/>
  <c r="P2137" i="4"/>
  <c r="Q2137" i="4"/>
  <c r="R2137" i="4"/>
  <c r="S2137" i="4"/>
  <c r="L2138" i="4"/>
  <c r="M2138" i="4"/>
  <c r="N2138" i="4"/>
  <c r="O2138" i="4"/>
  <c r="P2138" i="4"/>
  <c r="Q2138" i="4"/>
  <c r="R2138" i="4"/>
  <c r="S2138" i="4"/>
  <c r="L2139" i="4"/>
  <c r="M2139" i="4"/>
  <c r="N2139" i="4"/>
  <c r="O2139" i="4"/>
  <c r="P2139" i="4"/>
  <c r="Q2139" i="4"/>
  <c r="R2139" i="4"/>
  <c r="S2139" i="4"/>
  <c r="L2140" i="4"/>
  <c r="M2140" i="4"/>
  <c r="N2140" i="4"/>
  <c r="O2140" i="4"/>
  <c r="P2140" i="4"/>
  <c r="Q2140" i="4"/>
  <c r="R2140" i="4"/>
  <c r="S2140" i="4"/>
  <c r="L2141" i="4"/>
  <c r="M2141" i="4"/>
  <c r="N2141" i="4"/>
  <c r="O2141" i="4"/>
  <c r="P2141" i="4"/>
  <c r="Q2141" i="4"/>
  <c r="R2141" i="4"/>
  <c r="S2141" i="4"/>
  <c r="L2142" i="4"/>
  <c r="M2142" i="4"/>
  <c r="N2142" i="4"/>
  <c r="O2142" i="4"/>
  <c r="P2142" i="4"/>
  <c r="Q2142" i="4"/>
  <c r="R2142" i="4"/>
  <c r="S2142" i="4"/>
  <c r="L2143" i="4"/>
  <c r="M2143" i="4"/>
  <c r="N2143" i="4"/>
  <c r="O2143" i="4"/>
  <c r="P2143" i="4"/>
  <c r="Q2143" i="4"/>
  <c r="R2143" i="4"/>
  <c r="S2143" i="4"/>
  <c r="L2144" i="4"/>
  <c r="M2144" i="4"/>
  <c r="N2144" i="4"/>
  <c r="O2144" i="4"/>
  <c r="P2144" i="4"/>
  <c r="Q2144" i="4"/>
  <c r="R2144" i="4"/>
  <c r="S2144" i="4"/>
  <c r="L2145" i="4"/>
  <c r="M2145" i="4"/>
  <c r="N2145" i="4"/>
  <c r="O2145" i="4"/>
  <c r="P2145" i="4"/>
  <c r="Q2145" i="4"/>
  <c r="R2145" i="4"/>
  <c r="S2145" i="4"/>
  <c r="L2146" i="4"/>
  <c r="M2146" i="4"/>
  <c r="N2146" i="4"/>
  <c r="O2146" i="4"/>
  <c r="P2146" i="4"/>
  <c r="Q2146" i="4"/>
  <c r="R2146" i="4"/>
  <c r="S2146" i="4"/>
  <c r="L2147" i="4"/>
  <c r="M2147" i="4"/>
  <c r="N2147" i="4"/>
  <c r="O2147" i="4"/>
  <c r="P2147" i="4"/>
  <c r="Q2147" i="4"/>
  <c r="R2147" i="4"/>
  <c r="S2147" i="4"/>
  <c r="L2148" i="4"/>
  <c r="M2148" i="4"/>
  <c r="N2148" i="4"/>
  <c r="O2148" i="4"/>
  <c r="P2148" i="4"/>
  <c r="Q2148" i="4"/>
  <c r="R2148" i="4"/>
  <c r="S2148" i="4"/>
  <c r="L2149" i="4"/>
  <c r="M2149" i="4"/>
  <c r="N2149" i="4"/>
  <c r="O2149" i="4"/>
  <c r="P2149" i="4"/>
  <c r="Q2149" i="4"/>
  <c r="R2149" i="4"/>
  <c r="S2149" i="4"/>
  <c r="L2150" i="4"/>
  <c r="M2150" i="4"/>
  <c r="N2150" i="4"/>
  <c r="O2150" i="4"/>
  <c r="P2150" i="4"/>
  <c r="Q2150" i="4"/>
  <c r="R2150" i="4"/>
  <c r="S2150" i="4"/>
  <c r="L2151" i="4"/>
  <c r="M2151" i="4"/>
  <c r="N2151" i="4"/>
  <c r="O2151" i="4"/>
  <c r="P2151" i="4"/>
  <c r="Q2151" i="4"/>
  <c r="R2151" i="4"/>
  <c r="S2151" i="4"/>
  <c r="L2152" i="4"/>
  <c r="M2152" i="4"/>
  <c r="N2152" i="4"/>
  <c r="O2152" i="4"/>
  <c r="P2152" i="4"/>
  <c r="Q2152" i="4"/>
  <c r="R2152" i="4"/>
  <c r="S2152" i="4"/>
  <c r="L2153" i="4"/>
  <c r="M2153" i="4"/>
  <c r="N2153" i="4"/>
  <c r="O2153" i="4"/>
  <c r="P2153" i="4"/>
  <c r="Q2153" i="4"/>
  <c r="R2153" i="4"/>
  <c r="S2153" i="4"/>
  <c r="L2154" i="4"/>
  <c r="M2154" i="4"/>
  <c r="N2154" i="4"/>
  <c r="O2154" i="4"/>
  <c r="P2154" i="4"/>
  <c r="Q2154" i="4"/>
  <c r="R2154" i="4"/>
  <c r="S2154" i="4"/>
  <c r="L2155" i="4"/>
  <c r="M2155" i="4"/>
  <c r="N2155" i="4"/>
  <c r="O2155" i="4"/>
  <c r="P2155" i="4"/>
  <c r="Q2155" i="4"/>
  <c r="R2155" i="4"/>
  <c r="S2155" i="4"/>
  <c r="L2156" i="4"/>
  <c r="M2156" i="4"/>
  <c r="N2156" i="4"/>
  <c r="O2156" i="4"/>
  <c r="P2156" i="4"/>
  <c r="Q2156" i="4"/>
  <c r="R2156" i="4"/>
  <c r="S2156" i="4"/>
  <c r="L2157" i="4"/>
  <c r="M2157" i="4"/>
  <c r="N2157" i="4"/>
  <c r="O2157" i="4"/>
  <c r="P2157" i="4"/>
  <c r="Q2157" i="4"/>
  <c r="R2157" i="4"/>
  <c r="S2157" i="4"/>
  <c r="L2158" i="4"/>
  <c r="M2158" i="4"/>
  <c r="N2158" i="4"/>
  <c r="O2158" i="4"/>
  <c r="P2158" i="4"/>
  <c r="Q2158" i="4"/>
  <c r="R2158" i="4"/>
  <c r="S2158" i="4"/>
  <c r="L2159" i="4"/>
  <c r="M2159" i="4"/>
  <c r="N2159" i="4"/>
  <c r="O2159" i="4"/>
  <c r="P2159" i="4"/>
  <c r="Q2159" i="4"/>
  <c r="R2159" i="4"/>
  <c r="S2159" i="4"/>
  <c r="L2160" i="4"/>
  <c r="M2160" i="4"/>
  <c r="N2160" i="4"/>
  <c r="O2160" i="4"/>
  <c r="P2160" i="4"/>
  <c r="Q2160" i="4"/>
  <c r="R2160" i="4"/>
  <c r="S2160" i="4"/>
  <c r="L2161" i="4"/>
  <c r="M2161" i="4"/>
  <c r="N2161" i="4"/>
  <c r="O2161" i="4"/>
  <c r="P2161" i="4"/>
  <c r="Q2161" i="4"/>
  <c r="R2161" i="4"/>
  <c r="S2161" i="4"/>
  <c r="L2162" i="4"/>
  <c r="M2162" i="4"/>
  <c r="N2162" i="4"/>
  <c r="O2162" i="4"/>
  <c r="P2162" i="4"/>
  <c r="Q2162" i="4"/>
  <c r="R2162" i="4"/>
  <c r="S2162" i="4"/>
  <c r="L2163" i="4"/>
  <c r="M2163" i="4"/>
  <c r="N2163" i="4"/>
  <c r="O2163" i="4"/>
  <c r="P2163" i="4"/>
  <c r="Q2163" i="4"/>
  <c r="R2163" i="4"/>
  <c r="S2163" i="4"/>
  <c r="L2164" i="4"/>
  <c r="M2164" i="4"/>
  <c r="N2164" i="4"/>
  <c r="O2164" i="4"/>
  <c r="P2164" i="4"/>
  <c r="Q2164" i="4"/>
  <c r="R2164" i="4"/>
  <c r="S2164" i="4"/>
  <c r="L2165" i="4"/>
  <c r="M2165" i="4"/>
  <c r="N2165" i="4"/>
  <c r="O2165" i="4"/>
  <c r="P2165" i="4"/>
  <c r="Q2165" i="4"/>
  <c r="R2165" i="4"/>
  <c r="S2165" i="4"/>
  <c r="L2166" i="4"/>
  <c r="M2166" i="4"/>
  <c r="N2166" i="4"/>
  <c r="O2166" i="4"/>
  <c r="P2166" i="4"/>
  <c r="Q2166" i="4"/>
  <c r="R2166" i="4"/>
  <c r="S2166" i="4"/>
  <c r="L2167" i="4"/>
  <c r="M2167" i="4"/>
  <c r="N2167" i="4"/>
  <c r="O2167" i="4"/>
  <c r="P2167" i="4"/>
  <c r="Q2167" i="4"/>
  <c r="R2167" i="4"/>
  <c r="S2167" i="4"/>
  <c r="L2168" i="4"/>
  <c r="M2168" i="4"/>
  <c r="N2168" i="4"/>
  <c r="O2168" i="4"/>
  <c r="P2168" i="4"/>
  <c r="Q2168" i="4"/>
  <c r="R2168" i="4"/>
  <c r="S2168" i="4"/>
  <c r="L2169" i="4"/>
  <c r="M2169" i="4"/>
  <c r="N2169" i="4"/>
  <c r="O2169" i="4"/>
  <c r="P2169" i="4"/>
  <c r="Q2169" i="4"/>
  <c r="R2169" i="4"/>
  <c r="S2169" i="4"/>
  <c r="L2170" i="4"/>
  <c r="M2170" i="4"/>
  <c r="N2170" i="4"/>
  <c r="O2170" i="4"/>
  <c r="P2170" i="4"/>
  <c r="Q2170" i="4"/>
  <c r="R2170" i="4"/>
  <c r="S2170" i="4"/>
  <c r="L2171" i="4"/>
  <c r="M2171" i="4"/>
  <c r="N2171" i="4"/>
  <c r="O2171" i="4"/>
  <c r="P2171" i="4"/>
  <c r="Q2171" i="4"/>
  <c r="R2171" i="4"/>
  <c r="S2171" i="4"/>
  <c r="L2172" i="4"/>
  <c r="M2172" i="4"/>
  <c r="N2172" i="4"/>
  <c r="O2172" i="4"/>
  <c r="P2172" i="4"/>
  <c r="Q2172" i="4"/>
  <c r="R2172" i="4"/>
  <c r="S2172" i="4"/>
  <c r="L2173" i="4"/>
  <c r="M2173" i="4"/>
  <c r="N2173" i="4"/>
  <c r="O2173" i="4"/>
  <c r="P2173" i="4"/>
  <c r="Q2173" i="4"/>
  <c r="R2173" i="4"/>
  <c r="S2173" i="4"/>
  <c r="L2174" i="4"/>
  <c r="M2174" i="4"/>
  <c r="N2174" i="4"/>
  <c r="O2174" i="4"/>
  <c r="P2174" i="4"/>
  <c r="Q2174" i="4"/>
  <c r="R2174" i="4"/>
  <c r="S2174" i="4"/>
  <c r="L2175" i="4"/>
  <c r="M2175" i="4"/>
  <c r="N2175" i="4"/>
  <c r="O2175" i="4"/>
  <c r="P2175" i="4"/>
  <c r="Q2175" i="4"/>
  <c r="R2175" i="4"/>
  <c r="S2175" i="4"/>
  <c r="L2176" i="4"/>
  <c r="M2176" i="4"/>
  <c r="N2176" i="4"/>
  <c r="O2176" i="4"/>
  <c r="P2176" i="4"/>
  <c r="Q2176" i="4"/>
  <c r="R2176" i="4"/>
  <c r="S2176" i="4"/>
  <c r="L2177" i="4"/>
  <c r="M2177" i="4"/>
  <c r="N2177" i="4"/>
  <c r="O2177" i="4"/>
  <c r="P2177" i="4"/>
  <c r="Q2177" i="4"/>
  <c r="R2177" i="4"/>
  <c r="S2177" i="4"/>
  <c r="L2178" i="4"/>
  <c r="M2178" i="4"/>
  <c r="N2178" i="4"/>
  <c r="O2178" i="4"/>
  <c r="P2178" i="4"/>
  <c r="Q2178" i="4"/>
  <c r="R2178" i="4"/>
  <c r="S2178" i="4"/>
  <c r="L2179" i="4"/>
  <c r="M2179" i="4"/>
  <c r="N2179" i="4"/>
  <c r="O2179" i="4"/>
  <c r="P2179" i="4"/>
  <c r="Q2179" i="4"/>
  <c r="R2179" i="4"/>
  <c r="S2179" i="4"/>
  <c r="L2180" i="4"/>
  <c r="M2180" i="4"/>
  <c r="N2180" i="4"/>
  <c r="O2180" i="4"/>
  <c r="P2180" i="4"/>
  <c r="Q2180" i="4"/>
  <c r="R2180" i="4"/>
  <c r="S2180" i="4"/>
  <c r="L2181" i="4"/>
  <c r="M2181" i="4"/>
  <c r="N2181" i="4"/>
  <c r="O2181" i="4"/>
  <c r="P2181" i="4"/>
  <c r="Q2181" i="4"/>
  <c r="R2181" i="4"/>
  <c r="S2181" i="4"/>
  <c r="L2182" i="4"/>
  <c r="M2182" i="4"/>
  <c r="N2182" i="4"/>
  <c r="O2182" i="4"/>
  <c r="P2182" i="4"/>
  <c r="Q2182" i="4"/>
  <c r="R2182" i="4"/>
  <c r="S2182" i="4"/>
  <c r="L2183" i="4"/>
  <c r="M2183" i="4"/>
  <c r="N2183" i="4"/>
  <c r="O2183" i="4"/>
  <c r="P2183" i="4"/>
  <c r="Q2183" i="4"/>
  <c r="R2183" i="4"/>
  <c r="S2183" i="4"/>
  <c r="L2184" i="4"/>
  <c r="M2184" i="4"/>
  <c r="N2184" i="4"/>
  <c r="O2184" i="4"/>
  <c r="P2184" i="4"/>
  <c r="Q2184" i="4"/>
  <c r="R2184" i="4"/>
  <c r="S2184" i="4"/>
  <c r="L2185" i="4"/>
  <c r="M2185" i="4"/>
  <c r="N2185" i="4"/>
  <c r="O2185" i="4"/>
  <c r="P2185" i="4"/>
  <c r="Q2185" i="4"/>
  <c r="R2185" i="4"/>
  <c r="S2185" i="4"/>
  <c r="L2186" i="4"/>
  <c r="M2186" i="4"/>
  <c r="N2186" i="4"/>
  <c r="O2186" i="4"/>
  <c r="P2186" i="4"/>
  <c r="Q2186" i="4"/>
  <c r="R2186" i="4"/>
  <c r="S2186" i="4"/>
  <c r="L2187" i="4"/>
  <c r="M2187" i="4"/>
  <c r="N2187" i="4"/>
  <c r="O2187" i="4"/>
  <c r="P2187" i="4"/>
  <c r="Q2187" i="4"/>
  <c r="R2187" i="4"/>
  <c r="S2187" i="4"/>
  <c r="L2188" i="4"/>
  <c r="M2188" i="4"/>
  <c r="N2188" i="4"/>
  <c r="O2188" i="4"/>
  <c r="P2188" i="4"/>
  <c r="Q2188" i="4"/>
  <c r="R2188" i="4"/>
  <c r="S2188" i="4"/>
  <c r="L2189" i="4"/>
  <c r="M2189" i="4"/>
  <c r="N2189" i="4"/>
  <c r="O2189" i="4"/>
  <c r="P2189" i="4"/>
  <c r="Q2189" i="4"/>
  <c r="R2189" i="4"/>
  <c r="S2189" i="4"/>
  <c r="L2190" i="4"/>
  <c r="M2190" i="4"/>
  <c r="N2190" i="4"/>
  <c r="O2190" i="4"/>
  <c r="P2190" i="4"/>
  <c r="Q2190" i="4"/>
  <c r="R2190" i="4"/>
  <c r="S2190" i="4"/>
  <c r="L2191" i="4"/>
  <c r="M2191" i="4"/>
  <c r="N2191" i="4"/>
  <c r="O2191" i="4"/>
  <c r="P2191" i="4"/>
  <c r="Q2191" i="4"/>
  <c r="R2191" i="4"/>
  <c r="S2191" i="4"/>
  <c r="L2192" i="4"/>
  <c r="M2192" i="4"/>
  <c r="N2192" i="4"/>
  <c r="O2192" i="4"/>
  <c r="P2192" i="4"/>
  <c r="Q2192" i="4"/>
  <c r="R2192" i="4"/>
  <c r="S2192" i="4"/>
  <c r="L2193" i="4"/>
  <c r="M2193" i="4"/>
  <c r="N2193" i="4"/>
  <c r="O2193" i="4"/>
  <c r="P2193" i="4"/>
  <c r="Q2193" i="4"/>
  <c r="R2193" i="4"/>
  <c r="S2193" i="4"/>
  <c r="L2194" i="4"/>
  <c r="M2194" i="4"/>
  <c r="N2194" i="4"/>
  <c r="O2194" i="4"/>
  <c r="P2194" i="4"/>
  <c r="Q2194" i="4"/>
  <c r="R2194" i="4"/>
  <c r="S2194" i="4"/>
  <c r="L2195" i="4"/>
  <c r="M2195" i="4"/>
  <c r="N2195" i="4"/>
  <c r="O2195" i="4"/>
  <c r="P2195" i="4"/>
  <c r="Q2195" i="4"/>
  <c r="R2195" i="4"/>
  <c r="S2195" i="4"/>
  <c r="L2196" i="4"/>
  <c r="M2196" i="4"/>
  <c r="N2196" i="4"/>
  <c r="O2196" i="4"/>
  <c r="P2196" i="4"/>
  <c r="Q2196" i="4"/>
  <c r="R2196" i="4"/>
  <c r="S2196" i="4"/>
  <c r="L2197" i="4"/>
  <c r="M2197" i="4"/>
  <c r="N2197" i="4"/>
  <c r="O2197" i="4"/>
  <c r="P2197" i="4"/>
  <c r="Q2197" i="4"/>
  <c r="R2197" i="4"/>
  <c r="S2197" i="4"/>
  <c r="L2198" i="4"/>
  <c r="M2198" i="4"/>
  <c r="N2198" i="4"/>
  <c r="O2198" i="4"/>
  <c r="P2198" i="4"/>
  <c r="Q2198" i="4"/>
  <c r="R2198" i="4"/>
  <c r="S2198" i="4"/>
  <c r="L2199" i="4"/>
  <c r="M2199" i="4"/>
  <c r="N2199" i="4"/>
  <c r="O2199" i="4"/>
  <c r="P2199" i="4"/>
  <c r="Q2199" i="4"/>
  <c r="R2199" i="4"/>
  <c r="S2199" i="4"/>
  <c r="L2200" i="4"/>
  <c r="M2200" i="4"/>
  <c r="N2200" i="4"/>
  <c r="O2200" i="4"/>
  <c r="P2200" i="4"/>
  <c r="Q2200" i="4"/>
  <c r="R2200" i="4"/>
  <c r="S2200" i="4"/>
  <c r="L2201" i="4"/>
  <c r="M2201" i="4"/>
  <c r="N2201" i="4"/>
  <c r="O2201" i="4"/>
  <c r="P2201" i="4"/>
  <c r="Q2201" i="4"/>
  <c r="R2201" i="4"/>
  <c r="S2201" i="4"/>
  <c r="L2202" i="4"/>
  <c r="M2202" i="4"/>
  <c r="N2202" i="4"/>
  <c r="O2202" i="4"/>
  <c r="P2202" i="4"/>
  <c r="Q2202" i="4"/>
  <c r="R2202" i="4"/>
  <c r="S2202" i="4"/>
  <c r="L2203" i="4"/>
  <c r="M2203" i="4"/>
  <c r="N2203" i="4"/>
  <c r="O2203" i="4"/>
  <c r="P2203" i="4"/>
  <c r="Q2203" i="4"/>
  <c r="R2203" i="4"/>
  <c r="S2203" i="4"/>
  <c r="L2204" i="4"/>
  <c r="M2204" i="4"/>
  <c r="N2204" i="4"/>
  <c r="O2204" i="4"/>
  <c r="P2204" i="4"/>
  <c r="Q2204" i="4"/>
  <c r="R2204" i="4"/>
  <c r="S2204" i="4"/>
  <c r="L2205" i="4"/>
  <c r="M2205" i="4"/>
  <c r="N2205" i="4"/>
  <c r="O2205" i="4"/>
  <c r="P2205" i="4"/>
  <c r="Q2205" i="4"/>
  <c r="R2205" i="4"/>
  <c r="S2205" i="4"/>
  <c r="L2206" i="4"/>
  <c r="M2206" i="4"/>
  <c r="N2206" i="4"/>
  <c r="O2206" i="4"/>
  <c r="P2206" i="4"/>
  <c r="Q2206" i="4"/>
  <c r="R2206" i="4"/>
  <c r="S2206" i="4"/>
  <c r="L2207" i="4"/>
  <c r="M2207" i="4"/>
  <c r="N2207" i="4"/>
  <c r="O2207" i="4"/>
  <c r="P2207" i="4"/>
  <c r="Q2207" i="4"/>
  <c r="R2207" i="4"/>
  <c r="S2207" i="4"/>
  <c r="L2208" i="4"/>
  <c r="M2208" i="4"/>
  <c r="N2208" i="4"/>
  <c r="O2208" i="4"/>
  <c r="P2208" i="4"/>
  <c r="Q2208" i="4"/>
  <c r="R2208" i="4"/>
  <c r="S2208" i="4"/>
  <c r="L2209" i="4"/>
  <c r="M2209" i="4"/>
  <c r="N2209" i="4"/>
  <c r="O2209" i="4"/>
  <c r="P2209" i="4"/>
  <c r="Q2209" i="4"/>
  <c r="R2209" i="4"/>
  <c r="S2209" i="4"/>
  <c r="L2210" i="4"/>
  <c r="M2210" i="4"/>
  <c r="N2210" i="4"/>
  <c r="O2210" i="4"/>
  <c r="P2210" i="4"/>
  <c r="Q2210" i="4"/>
  <c r="R2210" i="4"/>
  <c r="S2210" i="4"/>
  <c r="L2211" i="4"/>
  <c r="M2211" i="4"/>
  <c r="N2211" i="4"/>
  <c r="O2211" i="4"/>
  <c r="P2211" i="4"/>
  <c r="Q2211" i="4"/>
  <c r="R2211" i="4"/>
  <c r="S2211" i="4"/>
  <c r="L2212" i="4"/>
  <c r="M2212" i="4"/>
  <c r="N2212" i="4"/>
  <c r="O2212" i="4"/>
  <c r="P2212" i="4"/>
  <c r="Q2212" i="4"/>
  <c r="R2212" i="4"/>
  <c r="S2212" i="4"/>
  <c r="L2213" i="4"/>
  <c r="M2213" i="4"/>
  <c r="N2213" i="4"/>
  <c r="O2213" i="4"/>
  <c r="P2213" i="4"/>
  <c r="Q2213" i="4"/>
  <c r="R2213" i="4"/>
  <c r="S2213" i="4"/>
  <c r="L2214" i="4"/>
  <c r="M2214" i="4"/>
  <c r="N2214" i="4"/>
  <c r="O2214" i="4"/>
  <c r="P2214" i="4"/>
  <c r="Q2214" i="4"/>
  <c r="R2214" i="4"/>
  <c r="S2214" i="4"/>
  <c r="L2215" i="4"/>
  <c r="M2215" i="4"/>
  <c r="N2215" i="4"/>
  <c r="O2215" i="4"/>
  <c r="P2215" i="4"/>
  <c r="Q2215" i="4"/>
  <c r="R2215" i="4"/>
  <c r="S2215" i="4"/>
  <c r="L2216" i="4"/>
  <c r="M2216" i="4"/>
  <c r="N2216" i="4"/>
  <c r="O2216" i="4"/>
  <c r="P2216" i="4"/>
  <c r="Q2216" i="4"/>
  <c r="R2216" i="4"/>
  <c r="S2216" i="4"/>
  <c r="L2217" i="4"/>
  <c r="M2217" i="4"/>
  <c r="N2217" i="4"/>
  <c r="O2217" i="4"/>
  <c r="P2217" i="4"/>
  <c r="Q2217" i="4"/>
  <c r="R2217" i="4"/>
  <c r="S2217" i="4"/>
  <c r="L2218" i="4"/>
  <c r="M2218" i="4"/>
  <c r="N2218" i="4"/>
  <c r="O2218" i="4"/>
  <c r="P2218" i="4"/>
  <c r="Q2218" i="4"/>
  <c r="R2218" i="4"/>
  <c r="S2218" i="4"/>
  <c r="L2219" i="4"/>
  <c r="M2219" i="4"/>
  <c r="N2219" i="4"/>
  <c r="O2219" i="4"/>
  <c r="P2219" i="4"/>
  <c r="Q2219" i="4"/>
  <c r="R2219" i="4"/>
  <c r="S2219" i="4"/>
  <c r="L2220" i="4"/>
  <c r="M2220" i="4"/>
  <c r="N2220" i="4"/>
  <c r="O2220" i="4"/>
  <c r="P2220" i="4"/>
  <c r="Q2220" i="4"/>
  <c r="R2220" i="4"/>
  <c r="S2220" i="4"/>
  <c r="L2221" i="4"/>
  <c r="M2221" i="4"/>
  <c r="N2221" i="4"/>
  <c r="O2221" i="4"/>
  <c r="P2221" i="4"/>
  <c r="Q2221" i="4"/>
  <c r="R2221" i="4"/>
  <c r="S2221" i="4"/>
  <c r="L2222" i="4"/>
  <c r="M2222" i="4"/>
  <c r="N2222" i="4"/>
  <c r="O2222" i="4"/>
  <c r="P2222" i="4"/>
  <c r="Q2222" i="4"/>
  <c r="R2222" i="4"/>
  <c r="S2222" i="4"/>
  <c r="L2223" i="4"/>
  <c r="M2223" i="4"/>
  <c r="N2223" i="4"/>
  <c r="O2223" i="4"/>
  <c r="P2223" i="4"/>
  <c r="Q2223" i="4"/>
  <c r="R2223" i="4"/>
  <c r="S2223" i="4"/>
  <c r="L2224" i="4"/>
  <c r="M2224" i="4"/>
  <c r="N2224" i="4"/>
  <c r="O2224" i="4"/>
  <c r="P2224" i="4"/>
  <c r="Q2224" i="4"/>
  <c r="R2224" i="4"/>
  <c r="S2224" i="4"/>
  <c r="L2225" i="4"/>
  <c r="M2225" i="4"/>
  <c r="N2225" i="4"/>
  <c r="O2225" i="4"/>
  <c r="P2225" i="4"/>
  <c r="Q2225" i="4"/>
  <c r="R2225" i="4"/>
  <c r="S2225" i="4"/>
  <c r="L2226" i="4"/>
  <c r="M2226" i="4"/>
  <c r="N2226" i="4"/>
  <c r="O2226" i="4"/>
  <c r="P2226" i="4"/>
  <c r="Q2226" i="4"/>
  <c r="R2226" i="4"/>
  <c r="S2226" i="4"/>
  <c r="L2227" i="4"/>
  <c r="M2227" i="4"/>
  <c r="N2227" i="4"/>
  <c r="O2227" i="4"/>
  <c r="P2227" i="4"/>
  <c r="Q2227" i="4"/>
  <c r="R2227" i="4"/>
  <c r="S2227" i="4"/>
  <c r="L2228" i="4"/>
  <c r="M2228" i="4"/>
  <c r="N2228" i="4"/>
  <c r="O2228" i="4"/>
  <c r="P2228" i="4"/>
  <c r="Q2228" i="4"/>
  <c r="R2228" i="4"/>
  <c r="S2228" i="4"/>
  <c r="L2229" i="4"/>
  <c r="M2229" i="4"/>
  <c r="N2229" i="4"/>
  <c r="O2229" i="4"/>
  <c r="P2229" i="4"/>
  <c r="Q2229" i="4"/>
  <c r="R2229" i="4"/>
  <c r="S2229" i="4"/>
  <c r="L2230" i="4"/>
  <c r="M2230" i="4"/>
  <c r="N2230" i="4"/>
  <c r="O2230" i="4"/>
  <c r="P2230" i="4"/>
  <c r="Q2230" i="4"/>
  <c r="R2230" i="4"/>
  <c r="S2230" i="4"/>
  <c r="L2231" i="4"/>
  <c r="M2231" i="4"/>
  <c r="N2231" i="4"/>
  <c r="O2231" i="4"/>
  <c r="P2231" i="4"/>
  <c r="Q2231" i="4"/>
  <c r="R2231" i="4"/>
  <c r="S2231" i="4"/>
  <c r="L2232" i="4"/>
  <c r="M2232" i="4"/>
  <c r="N2232" i="4"/>
  <c r="O2232" i="4"/>
  <c r="P2232" i="4"/>
  <c r="Q2232" i="4"/>
  <c r="R2232" i="4"/>
  <c r="S2232" i="4"/>
  <c r="L2233" i="4"/>
  <c r="M2233" i="4"/>
  <c r="N2233" i="4"/>
  <c r="O2233" i="4"/>
  <c r="P2233" i="4"/>
  <c r="Q2233" i="4"/>
  <c r="R2233" i="4"/>
  <c r="S2233" i="4"/>
  <c r="L2234" i="4"/>
  <c r="M2234" i="4"/>
  <c r="N2234" i="4"/>
  <c r="O2234" i="4"/>
  <c r="P2234" i="4"/>
  <c r="Q2234" i="4"/>
  <c r="R2234" i="4"/>
  <c r="S2234" i="4"/>
  <c r="L2235" i="4"/>
  <c r="M2235" i="4"/>
  <c r="N2235" i="4"/>
  <c r="O2235" i="4"/>
  <c r="P2235" i="4"/>
  <c r="Q2235" i="4"/>
  <c r="R2235" i="4"/>
  <c r="S2235" i="4"/>
  <c r="L2236" i="4"/>
  <c r="M2236" i="4"/>
  <c r="N2236" i="4"/>
  <c r="O2236" i="4"/>
  <c r="P2236" i="4"/>
  <c r="Q2236" i="4"/>
  <c r="R2236" i="4"/>
  <c r="S2236" i="4"/>
  <c r="L2237" i="4"/>
  <c r="M2237" i="4"/>
  <c r="N2237" i="4"/>
  <c r="O2237" i="4"/>
  <c r="P2237" i="4"/>
  <c r="Q2237" i="4"/>
  <c r="R2237" i="4"/>
  <c r="S2237" i="4"/>
  <c r="L2238" i="4"/>
  <c r="M2238" i="4"/>
  <c r="N2238" i="4"/>
  <c r="O2238" i="4"/>
  <c r="P2238" i="4"/>
  <c r="Q2238" i="4"/>
  <c r="R2238" i="4"/>
  <c r="S2238" i="4"/>
  <c r="L2239" i="4"/>
  <c r="M2239" i="4"/>
  <c r="N2239" i="4"/>
  <c r="O2239" i="4"/>
  <c r="P2239" i="4"/>
  <c r="Q2239" i="4"/>
  <c r="R2239" i="4"/>
  <c r="S2239" i="4"/>
  <c r="L2240" i="4"/>
  <c r="M2240" i="4"/>
  <c r="N2240" i="4"/>
  <c r="O2240" i="4"/>
  <c r="P2240" i="4"/>
  <c r="Q2240" i="4"/>
  <c r="R2240" i="4"/>
  <c r="S2240" i="4"/>
  <c r="L2241" i="4"/>
  <c r="M2241" i="4"/>
  <c r="N2241" i="4"/>
  <c r="O2241" i="4"/>
  <c r="P2241" i="4"/>
  <c r="Q2241" i="4"/>
  <c r="R2241" i="4"/>
  <c r="S2241" i="4"/>
  <c r="L2242" i="4"/>
  <c r="M2242" i="4"/>
  <c r="N2242" i="4"/>
  <c r="O2242" i="4"/>
  <c r="P2242" i="4"/>
  <c r="Q2242" i="4"/>
  <c r="R2242" i="4"/>
  <c r="S2242" i="4"/>
  <c r="L2243" i="4"/>
  <c r="M2243" i="4"/>
  <c r="N2243" i="4"/>
  <c r="O2243" i="4"/>
  <c r="P2243" i="4"/>
  <c r="Q2243" i="4"/>
  <c r="R2243" i="4"/>
  <c r="S2243" i="4"/>
  <c r="L2244" i="4"/>
  <c r="M2244" i="4"/>
  <c r="N2244" i="4"/>
  <c r="O2244" i="4"/>
  <c r="P2244" i="4"/>
  <c r="Q2244" i="4"/>
  <c r="R2244" i="4"/>
  <c r="S2244" i="4"/>
  <c r="L2245" i="4"/>
  <c r="M2245" i="4"/>
  <c r="N2245" i="4"/>
  <c r="O2245" i="4"/>
  <c r="P2245" i="4"/>
  <c r="Q2245" i="4"/>
  <c r="R2245" i="4"/>
  <c r="S2245" i="4"/>
  <c r="L2246" i="4"/>
  <c r="M2246" i="4"/>
  <c r="N2246" i="4"/>
  <c r="O2246" i="4"/>
  <c r="P2246" i="4"/>
  <c r="Q2246" i="4"/>
  <c r="R2246" i="4"/>
  <c r="S2246" i="4"/>
  <c r="L2247" i="4"/>
  <c r="M2247" i="4"/>
  <c r="N2247" i="4"/>
  <c r="O2247" i="4"/>
  <c r="P2247" i="4"/>
  <c r="Q2247" i="4"/>
  <c r="R2247" i="4"/>
  <c r="S2247" i="4"/>
  <c r="L2248" i="4"/>
  <c r="M2248" i="4"/>
  <c r="N2248" i="4"/>
  <c r="O2248" i="4"/>
  <c r="P2248" i="4"/>
  <c r="Q2248" i="4"/>
  <c r="R2248" i="4"/>
  <c r="S2248" i="4"/>
  <c r="L2249" i="4"/>
  <c r="M2249" i="4"/>
  <c r="N2249" i="4"/>
  <c r="O2249" i="4"/>
  <c r="P2249" i="4"/>
  <c r="Q2249" i="4"/>
  <c r="R2249" i="4"/>
  <c r="S2249" i="4"/>
  <c r="L2250" i="4"/>
  <c r="M2250" i="4"/>
  <c r="N2250" i="4"/>
  <c r="O2250" i="4"/>
  <c r="P2250" i="4"/>
  <c r="Q2250" i="4"/>
  <c r="R2250" i="4"/>
  <c r="S2250" i="4"/>
  <c r="L2251" i="4"/>
  <c r="M2251" i="4"/>
  <c r="N2251" i="4"/>
  <c r="O2251" i="4"/>
  <c r="P2251" i="4"/>
  <c r="Q2251" i="4"/>
  <c r="R2251" i="4"/>
  <c r="S2251" i="4"/>
  <c r="L2252" i="4"/>
  <c r="M2252" i="4"/>
  <c r="N2252" i="4"/>
  <c r="O2252" i="4"/>
  <c r="P2252" i="4"/>
  <c r="Q2252" i="4"/>
  <c r="R2252" i="4"/>
  <c r="S2252" i="4"/>
  <c r="L2253" i="4"/>
  <c r="M2253" i="4"/>
  <c r="N2253" i="4"/>
  <c r="O2253" i="4"/>
  <c r="P2253" i="4"/>
  <c r="Q2253" i="4"/>
  <c r="R2253" i="4"/>
  <c r="S2253" i="4"/>
  <c r="L2254" i="4"/>
  <c r="M2254" i="4"/>
  <c r="N2254" i="4"/>
  <c r="O2254" i="4"/>
  <c r="P2254" i="4"/>
  <c r="Q2254" i="4"/>
  <c r="R2254" i="4"/>
  <c r="S2254" i="4"/>
  <c r="L2255" i="4"/>
  <c r="M2255" i="4"/>
  <c r="N2255" i="4"/>
  <c r="O2255" i="4"/>
  <c r="P2255" i="4"/>
  <c r="Q2255" i="4"/>
  <c r="R2255" i="4"/>
  <c r="S2255" i="4"/>
  <c r="L2256" i="4"/>
  <c r="M2256" i="4"/>
  <c r="N2256" i="4"/>
  <c r="O2256" i="4"/>
  <c r="P2256" i="4"/>
  <c r="Q2256" i="4"/>
  <c r="R2256" i="4"/>
  <c r="S2256" i="4"/>
  <c r="L2257" i="4"/>
  <c r="M2257" i="4"/>
  <c r="N2257" i="4"/>
  <c r="O2257" i="4"/>
  <c r="P2257" i="4"/>
  <c r="Q2257" i="4"/>
  <c r="R2257" i="4"/>
  <c r="S2257" i="4"/>
  <c r="L2258" i="4"/>
  <c r="M2258" i="4"/>
  <c r="N2258" i="4"/>
  <c r="O2258" i="4"/>
  <c r="P2258" i="4"/>
  <c r="Q2258" i="4"/>
  <c r="R2258" i="4"/>
  <c r="S2258" i="4"/>
  <c r="L2259" i="4"/>
  <c r="M2259" i="4"/>
  <c r="N2259" i="4"/>
  <c r="O2259" i="4"/>
  <c r="P2259" i="4"/>
  <c r="Q2259" i="4"/>
  <c r="R2259" i="4"/>
  <c r="S2259" i="4"/>
  <c r="L2260" i="4"/>
  <c r="M2260" i="4"/>
  <c r="N2260" i="4"/>
  <c r="O2260" i="4"/>
  <c r="P2260" i="4"/>
  <c r="Q2260" i="4"/>
  <c r="R2260" i="4"/>
  <c r="S2260" i="4"/>
  <c r="L2261" i="4"/>
  <c r="M2261" i="4"/>
  <c r="N2261" i="4"/>
  <c r="O2261" i="4"/>
  <c r="P2261" i="4"/>
  <c r="Q2261" i="4"/>
  <c r="R2261" i="4"/>
  <c r="S2261" i="4"/>
  <c r="L2262" i="4"/>
  <c r="M2262" i="4"/>
  <c r="N2262" i="4"/>
  <c r="O2262" i="4"/>
  <c r="P2262" i="4"/>
  <c r="Q2262" i="4"/>
  <c r="R2262" i="4"/>
  <c r="S2262" i="4"/>
  <c r="L2263" i="4"/>
  <c r="M2263" i="4"/>
  <c r="N2263" i="4"/>
  <c r="O2263" i="4"/>
  <c r="P2263" i="4"/>
  <c r="Q2263" i="4"/>
  <c r="R2263" i="4"/>
  <c r="S2263" i="4"/>
  <c r="L2264" i="4"/>
  <c r="M2264" i="4"/>
  <c r="N2264" i="4"/>
  <c r="O2264" i="4"/>
  <c r="P2264" i="4"/>
  <c r="Q2264" i="4"/>
  <c r="R2264" i="4"/>
  <c r="S2264" i="4"/>
  <c r="L2265" i="4"/>
  <c r="M2265" i="4"/>
  <c r="N2265" i="4"/>
  <c r="O2265" i="4"/>
  <c r="P2265" i="4"/>
  <c r="Q2265" i="4"/>
  <c r="R2265" i="4"/>
  <c r="S2265" i="4"/>
  <c r="L2266" i="4"/>
  <c r="M2266" i="4"/>
  <c r="N2266" i="4"/>
  <c r="O2266" i="4"/>
  <c r="P2266" i="4"/>
  <c r="Q2266" i="4"/>
  <c r="R2266" i="4"/>
  <c r="S2266" i="4"/>
  <c r="L2267" i="4"/>
  <c r="M2267" i="4"/>
  <c r="N2267" i="4"/>
  <c r="O2267" i="4"/>
  <c r="P2267" i="4"/>
  <c r="Q2267" i="4"/>
  <c r="R2267" i="4"/>
  <c r="S2267" i="4"/>
  <c r="L2268" i="4"/>
  <c r="M2268" i="4"/>
  <c r="N2268" i="4"/>
  <c r="O2268" i="4"/>
  <c r="P2268" i="4"/>
  <c r="Q2268" i="4"/>
  <c r="R2268" i="4"/>
  <c r="S2268" i="4"/>
  <c r="L2269" i="4"/>
  <c r="M2269" i="4"/>
  <c r="N2269" i="4"/>
  <c r="O2269" i="4"/>
  <c r="P2269" i="4"/>
  <c r="Q2269" i="4"/>
  <c r="R2269" i="4"/>
  <c r="S2269" i="4"/>
  <c r="L2270" i="4"/>
  <c r="M2270" i="4"/>
  <c r="N2270" i="4"/>
  <c r="O2270" i="4"/>
  <c r="P2270" i="4"/>
  <c r="Q2270" i="4"/>
  <c r="R2270" i="4"/>
  <c r="S2270" i="4"/>
  <c r="L2271" i="4"/>
  <c r="M2271" i="4"/>
  <c r="N2271" i="4"/>
  <c r="O2271" i="4"/>
  <c r="P2271" i="4"/>
  <c r="Q2271" i="4"/>
  <c r="R2271" i="4"/>
  <c r="S2271" i="4"/>
  <c r="L2272" i="4"/>
  <c r="M2272" i="4"/>
  <c r="N2272" i="4"/>
  <c r="O2272" i="4"/>
  <c r="P2272" i="4"/>
  <c r="Q2272" i="4"/>
  <c r="R2272" i="4"/>
  <c r="S2272" i="4"/>
  <c r="L2273" i="4"/>
  <c r="M2273" i="4"/>
  <c r="N2273" i="4"/>
  <c r="O2273" i="4"/>
  <c r="P2273" i="4"/>
  <c r="Q2273" i="4"/>
  <c r="R2273" i="4"/>
  <c r="S2273" i="4"/>
  <c r="L2274" i="4"/>
  <c r="M2274" i="4"/>
  <c r="N2274" i="4"/>
  <c r="O2274" i="4"/>
  <c r="P2274" i="4"/>
  <c r="Q2274" i="4"/>
  <c r="R2274" i="4"/>
  <c r="S2274" i="4"/>
  <c r="L2275" i="4"/>
  <c r="M2275" i="4"/>
  <c r="N2275" i="4"/>
  <c r="O2275" i="4"/>
  <c r="P2275" i="4"/>
  <c r="Q2275" i="4"/>
  <c r="R2275" i="4"/>
  <c r="S2275" i="4"/>
  <c r="L2276" i="4"/>
  <c r="M2276" i="4"/>
  <c r="N2276" i="4"/>
  <c r="O2276" i="4"/>
  <c r="P2276" i="4"/>
  <c r="Q2276" i="4"/>
  <c r="R2276" i="4"/>
  <c r="S2276" i="4"/>
  <c r="L2277" i="4"/>
  <c r="M2277" i="4"/>
  <c r="N2277" i="4"/>
  <c r="O2277" i="4"/>
  <c r="P2277" i="4"/>
  <c r="Q2277" i="4"/>
  <c r="R2277" i="4"/>
  <c r="S2277" i="4"/>
  <c r="L2278" i="4"/>
  <c r="M2278" i="4"/>
  <c r="N2278" i="4"/>
  <c r="O2278" i="4"/>
  <c r="P2278" i="4"/>
  <c r="Q2278" i="4"/>
  <c r="R2278" i="4"/>
  <c r="S2278" i="4"/>
  <c r="L2279" i="4"/>
  <c r="M2279" i="4"/>
  <c r="N2279" i="4"/>
  <c r="O2279" i="4"/>
  <c r="P2279" i="4"/>
  <c r="Q2279" i="4"/>
  <c r="R2279" i="4"/>
  <c r="S2279" i="4"/>
  <c r="L2280" i="4"/>
  <c r="M2280" i="4"/>
  <c r="N2280" i="4"/>
  <c r="O2280" i="4"/>
  <c r="P2280" i="4"/>
  <c r="Q2280" i="4"/>
  <c r="R2280" i="4"/>
  <c r="S2280" i="4"/>
  <c r="L2281" i="4"/>
  <c r="M2281" i="4"/>
  <c r="N2281" i="4"/>
  <c r="O2281" i="4"/>
  <c r="P2281" i="4"/>
  <c r="Q2281" i="4"/>
  <c r="R2281" i="4"/>
  <c r="S2281" i="4"/>
  <c r="L2282" i="4"/>
  <c r="M2282" i="4"/>
  <c r="N2282" i="4"/>
  <c r="O2282" i="4"/>
  <c r="P2282" i="4"/>
  <c r="Q2282" i="4"/>
  <c r="R2282" i="4"/>
  <c r="S2282" i="4"/>
  <c r="L2283" i="4"/>
  <c r="M2283" i="4"/>
  <c r="N2283" i="4"/>
  <c r="O2283" i="4"/>
  <c r="P2283" i="4"/>
  <c r="Q2283" i="4"/>
  <c r="R2283" i="4"/>
  <c r="S2283" i="4"/>
  <c r="L2284" i="4"/>
  <c r="M2284" i="4"/>
  <c r="N2284" i="4"/>
  <c r="O2284" i="4"/>
  <c r="P2284" i="4"/>
  <c r="Q2284" i="4"/>
  <c r="R2284" i="4"/>
  <c r="S2284" i="4"/>
  <c r="L2285" i="4"/>
  <c r="M2285" i="4"/>
  <c r="N2285" i="4"/>
  <c r="O2285" i="4"/>
  <c r="P2285" i="4"/>
  <c r="Q2285" i="4"/>
  <c r="R2285" i="4"/>
  <c r="S2285" i="4"/>
  <c r="L2286" i="4"/>
  <c r="M2286" i="4"/>
  <c r="N2286" i="4"/>
  <c r="O2286" i="4"/>
  <c r="P2286" i="4"/>
  <c r="Q2286" i="4"/>
  <c r="R2286" i="4"/>
  <c r="S2286" i="4"/>
  <c r="L2287" i="4"/>
  <c r="M2287" i="4"/>
  <c r="N2287" i="4"/>
  <c r="O2287" i="4"/>
  <c r="P2287" i="4"/>
  <c r="Q2287" i="4"/>
  <c r="R2287" i="4"/>
  <c r="S2287" i="4"/>
  <c r="L2288" i="4"/>
  <c r="M2288" i="4"/>
  <c r="N2288" i="4"/>
  <c r="O2288" i="4"/>
  <c r="P2288" i="4"/>
  <c r="Q2288" i="4"/>
  <c r="R2288" i="4"/>
  <c r="S2288" i="4"/>
  <c r="L2289" i="4"/>
  <c r="M2289" i="4"/>
  <c r="N2289" i="4"/>
  <c r="O2289" i="4"/>
  <c r="P2289" i="4"/>
  <c r="Q2289" i="4"/>
  <c r="R2289" i="4"/>
  <c r="S2289" i="4"/>
  <c r="L2290" i="4"/>
  <c r="M2290" i="4"/>
  <c r="N2290" i="4"/>
  <c r="O2290" i="4"/>
  <c r="P2290" i="4"/>
  <c r="Q2290" i="4"/>
  <c r="R2290" i="4"/>
  <c r="S2290" i="4"/>
  <c r="L2291" i="4"/>
  <c r="M2291" i="4"/>
  <c r="N2291" i="4"/>
  <c r="O2291" i="4"/>
  <c r="P2291" i="4"/>
  <c r="Q2291" i="4"/>
  <c r="R2291" i="4"/>
  <c r="S2291" i="4"/>
  <c r="L2292" i="4"/>
  <c r="M2292" i="4"/>
  <c r="N2292" i="4"/>
  <c r="O2292" i="4"/>
  <c r="P2292" i="4"/>
  <c r="Q2292" i="4"/>
  <c r="R2292" i="4"/>
  <c r="S2292" i="4"/>
  <c r="L2293" i="4"/>
  <c r="M2293" i="4"/>
  <c r="N2293" i="4"/>
  <c r="O2293" i="4"/>
  <c r="P2293" i="4"/>
  <c r="Q2293" i="4"/>
  <c r="R2293" i="4"/>
  <c r="S2293" i="4"/>
  <c r="L2294" i="4"/>
  <c r="M2294" i="4"/>
  <c r="N2294" i="4"/>
  <c r="O2294" i="4"/>
  <c r="P2294" i="4"/>
  <c r="Q2294" i="4"/>
  <c r="R2294" i="4"/>
  <c r="S2294" i="4"/>
  <c r="L2295" i="4"/>
  <c r="M2295" i="4"/>
  <c r="N2295" i="4"/>
  <c r="O2295" i="4"/>
  <c r="P2295" i="4"/>
  <c r="Q2295" i="4"/>
  <c r="R2295" i="4"/>
  <c r="S2295" i="4"/>
  <c r="L2296" i="4"/>
  <c r="M2296" i="4"/>
  <c r="N2296" i="4"/>
  <c r="O2296" i="4"/>
  <c r="P2296" i="4"/>
  <c r="Q2296" i="4"/>
  <c r="R2296" i="4"/>
  <c r="S2296" i="4"/>
  <c r="L2297" i="4"/>
  <c r="M2297" i="4"/>
  <c r="N2297" i="4"/>
  <c r="O2297" i="4"/>
  <c r="P2297" i="4"/>
  <c r="Q2297" i="4"/>
  <c r="R2297" i="4"/>
  <c r="S2297" i="4"/>
  <c r="L2298" i="4"/>
  <c r="M2298" i="4"/>
  <c r="N2298" i="4"/>
  <c r="O2298" i="4"/>
  <c r="P2298" i="4"/>
  <c r="Q2298" i="4"/>
  <c r="R2298" i="4"/>
  <c r="S2298" i="4"/>
  <c r="L2299" i="4"/>
  <c r="M2299" i="4"/>
  <c r="N2299" i="4"/>
  <c r="O2299" i="4"/>
  <c r="P2299" i="4"/>
  <c r="Q2299" i="4"/>
  <c r="R2299" i="4"/>
  <c r="S2299" i="4"/>
  <c r="L2300" i="4"/>
  <c r="M2300" i="4"/>
  <c r="N2300" i="4"/>
  <c r="O2300" i="4"/>
  <c r="P2300" i="4"/>
  <c r="Q2300" i="4"/>
  <c r="R2300" i="4"/>
  <c r="S2300" i="4"/>
  <c r="L2301" i="4"/>
  <c r="M2301" i="4"/>
  <c r="N2301" i="4"/>
  <c r="O2301" i="4"/>
  <c r="P2301" i="4"/>
  <c r="Q2301" i="4"/>
  <c r="R2301" i="4"/>
  <c r="S2301" i="4"/>
  <c r="L2302" i="4"/>
  <c r="M2302" i="4"/>
  <c r="N2302" i="4"/>
  <c r="O2302" i="4"/>
  <c r="P2302" i="4"/>
  <c r="Q2302" i="4"/>
  <c r="R2302" i="4"/>
  <c r="S2302" i="4"/>
  <c r="L2303" i="4"/>
  <c r="M2303" i="4"/>
  <c r="N2303" i="4"/>
  <c r="O2303" i="4"/>
  <c r="P2303" i="4"/>
  <c r="Q2303" i="4"/>
  <c r="R2303" i="4"/>
  <c r="S2303" i="4"/>
  <c r="L2304" i="4"/>
  <c r="M2304" i="4"/>
  <c r="N2304" i="4"/>
  <c r="O2304" i="4"/>
  <c r="P2304" i="4"/>
  <c r="Q2304" i="4"/>
  <c r="R2304" i="4"/>
  <c r="S2304" i="4"/>
  <c r="L2305" i="4"/>
  <c r="M2305" i="4"/>
  <c r="N2305" i="4"/>
  <c r="O2305" i="4"/>
  <c r="P2305" i="4"/>
  <c r="Q2305" i="4"/>
  <c r="R2305" i="4"/>
  <c r="S2305" i="4"/>
  <c r="L2306" i="4"/>
  <c r="M2306" i="4"/>
  <c r="N2306" i="4"/>
  <c r="O2306" i="4"/>
  <c r="P2306" i="4"/>
  <c r="Q2306" i="4"/>
  <c r="R2306" i="4"/>
  <c r="S2306" i="4"/>
  <c r="L2307" i="4"/>
  <c r="M2307" i="4"/>
  <c r="N2307" i="4"/>
  <c r="O2307" i="4"/>
  <c r="P2307" i="4"/>
  <c r="Q2307" i="4"/>
  <c r="R2307" i="4"/>
  <c r="S2307" i="4"/>
  <c r="L2308" i="4"/>
  <c r="M2308" i="4"/>
  <c r="N2308" i="4"/>
  <c r="O2308" i="4"/>
  <c r="P2308" i="4"/>
  <c r="Q2308" i="4"/>
  <c r="R2308" i="4"/>
  <c r="S2308" i="4"/>
  <c r="L2309" i="4"/>
  <c r="M2309" i="4"/>
  <c r="N2309" i="4"/>
  <c r="O2309" i="4"/>
  <c r="P2309" i="4"/>
  <c r="Q2309" i="4"/>
  <c r="R2309" i="4"/>
  <c r="S2309" i="4"/>
  <c r="L2310" i="4"/>
  <c r="M2310" i="4"/>
  <c r="N2310" i="4"/>
  <c r="O2310" i="4"/>
  <c r="P2310" i="4"/>
  <c r="Q2310" i="4"/>
  <c r="R2310" i="4"/>
  <c r="S2310" i="4"/>
  <c r="L2311" i="4"/>
  <c r="M2311" i="4"/>
  <c r="N2311" i="4"/>
  <c r="O2311" i="4"/>
  <c r="P2311" i="4"/>
  <c r="Q2311" i="4"/>
  <c r="R2311" i="4"/>
  <c r="S2311" i="4"/>
  <c r="L2312" i="4"/>
  <c r="M2312" i="4"/>
  <c r="N2312" i="4"/>
  <c r="O2312" i="4"/>
  <c r="P2312" i="4"/>
  <c r="Q2312" i="4"/>
  <c r="R2312" i="4"/>
  <c r="S2312" i="4"/>
  <c r="L2313" i="4"/>
  <c r="M2313" i="4"/>
  <c r="N2313" i="4"/>
  <c r="O2313" i="4"/>
  <c r="P2313" i="4"/>
  <c r="Q2313" i="4"/>
  <c r="R2313" i="4"/>
  <c r="S2313" i="4"/>
  <c r="L2314" i="4"/>
  <c r="M2314" i="4"/>
  <c r="N2314" i="4"/>
  <c r="O2314" i="4"/>
  <c r="P2314" i="4"/>
  <c r="Q2314" i="4"/>
  <c r="R2314" i="4"/>
  <c r="S2314" i="4"/>
  <c r="L2315" i="4"/>
  <c r="M2315" i="4"/>
  <c r="N2315" i="4"/>
  <c r="O2315" i="4"/>
  <c r="P2315" i="4"/>
  <c r="Q2315" i="4"/>
  <c r="R2315" i="4"/>
  <c r="S2315" i="4"/>
  <c r="L2316" i="4"/>
  <c r="M2316" i="4"/>
  <c r="N2316" i="4"/>
  <c r="O2316" i="4"/>
  <c r="P2316" i="4"/>
  <c r="Q2316" i="4"/>
  <c r="R2316" i="4"/>
  <c r="S2316" i="4"/>
  <c r="L2317" i="4"/>
  <c r="M2317" i="4"/>
  <c r="N2317" i="4"/>
  <c r="O2317" i="4"/>
  <c r="P2317" i="4"/>
  <c r="Q2317" i="4"/>
  <c r="R2317" i="4"/>
  <c r="S2317" i="4"/>
  <c r="L2318" i="4"/>
  <c r="M2318" i="4"/>
  <c r="N2318" i="4"/>
  <c r="O2318" i="4"/>
  <c r="P2318" i="4"/>
  <c r="Q2318" i="4"/>
  <c r="R2318" i="4"/>
  <c r="S2318" i="4"/>
  <c r="L2319" i="4"/>
  <c r="M2319" i="4"/>
  <c r="N2319" i="4"/>
  <c r="O2319" i="4"/>
  <c r="P2319" i="4"/>
  <c r="Q2319" i="4"/>
  <c r="R2319" i="4"/>
  <c r="S2319" i="4"/>
  <c r="L2320" i="4"/>
  <c r="M2320" i="4"/>
  <c r="N2320" i="4"/>
  <c r="O2320" i="4"/>
  <c r="P2320" i="4"/>
  <c r="Q2320" i="4"/>
  <c r="R2320" i="4"/>
  <c r="S2320" i="4"/>
  <c r="L2321" i="4"/>
  <c r="M2321" i="4"/>
  <c r="N2321" i="4"/>
  <c r="O2321" i="4"/>
  <c r="P2321" i="4"/>
  <c r="Q2321" i="4"/>
  <c r="R2321" i="4"/>
  <c r="S2321" i="4"/>
  <c r="L2322" i="4"/>
  <c r="M2322" i="4"/>
  <c r="N2322" i="4"/>
  <c r="O2322" i="4"/>
  <c r="P2322" i="4"/>
  <c r="Q2322" i="4"/>
  <c r="R2322" i="4"/>
  <c r="S2322" i="4"/>
  <c r="L2323" i="4"/>
  <c r="M2323" i="4"/>
  <c r="N2323" i="4"/>
  <c r="O2323" i="4"/>
  <c r="P2323" i="4"/>
  <c r="Q2323" i="4"/>
  <c r="R2323" i="4"/>
  <c r="S2323" i="4"/>
  <c r="L2324" i="4"/>
  <c r="M2324" i="4"/>
  <c r="N2324" i="4"/>
  <c r="O2324" i="4"/>
  <c r="P2324" i="4"/>
  <c r="Q2324" i="4"/>
  <c r="R2324" i="4"/>
  <c r="S2324" i="4"/>
  <c r="L2325" i="4"/>
  <c r="M2325" i="4"/>
  <c r="N2325" i="4"/>
  <c r="O2325" i="4"/>
  <c r="P2325" i="4"/>
  <c r="Q2325" i="4"/>
  <c r="R2325" i="4"/>
  <c r="S2325" i="4"/>
  <c r="L2326" i="4"/>
  <c r="M2326" i="4"/>
  <c r="N2326" i="4"/>
  <c r="O2326" i="4"/>
  <c r="P2326" i="4"/>
  <c r="Q2326" i="4"/>
  <c r="R2326" i="4"/>
  <c r="S2326" i="4"/>
  <c r="L2327" i="4"/>
  <c r="M2327" i="4"/>
  <c r="N2327" i="4"/>
  <c r="O2327" i="4"/>
  <c r="P2327" i="4"/>
  <c r="Q2327" i="4"/>
  <c r="R2327" i="4"/>
  <c r="S2327" i="4"/>
  <c r="L2328" i="4"/>
  <c r="M2328" i="4"/>
  <c r="N2328" i="4"/>
  <c r="O2328" i="4"/>
  <c r="P2328" i="4"/>
  <c r="Q2328" i="4"/>
  <c r="R2328" i="4"/>
  <c r="S2328" i="4"/>
  <c r="L2329" i="4"/>
  <c r="M2329" i="4"/>
  <c r="N2329" i="4"/>
  <c r="O2329" i="4"/>
  <c r="P2329" i="4"/>
  <c r="Q2329" i="4"/>
  <c r="R2329" i="4"/>
  <c r="S2329" i="4"/>
  <c r="L2330" i="4"/>
  <c r="M2330" i="4"/>
  <c r="N2330" i="4"/>
  <c r="O2330" i="4"/>
  <c r="P2330" i="4"/>
  <c r="Q2330" i="4"/>
  <c r="R2330" i="4"/>
  <c r="S2330" i="4"/>
  <c r="L2331" i="4"/>
  <c r="M2331" i="4"/>
  <c r="N2331" i="4"/>
  <c r="O2331" i="4"/>
  <c r="P2331" i="4"/>
  <c r="Q2331" i="4"/>
  <c r="R2331" i="4"/>
  <c r="S2331" i="4"/>
  <c r="L2332" i="4"/>
  <c r="M2332" i="4"/>
  <c r="N2332" i="4"/>
  <c r="O2332" i="4"/>
  <c r="P2332" i="4"/>
  <c r="Q2332" i="4"/>
  <c r="R2332" i="4"/>
  <c r="S2332" i="4"/>
  <c r="L2333" i="4"/>
  <c r="M2333" i="4"/>
  <c r="N2333" i="4"/>
  <c r="O2333" i="4"/>
  <c r="P2333" i="4"/>
  <c r="Q2333" i="4"/>
  <c r="R2333" i="4"/>
  <c r="S2333" i="4"/>
  <c r="L2334" i="4"/>
  <c r="M2334" i="4"/>
  <c r="N2334" i="4"/>
  <c r="O2334" i="4"/>
  <c r="P2334" i="4"/>
  <c r="Q2334" i="4"/>
  <c r="R2334" i="4"/>
  <c r="S2334" i="4"/>
  <c r="L2335" i="4"/>
  <c r="M2335" i="4"/>
  <c r="N2335" i="4"/>
  <c r="O2335" i="4"/>
  <c r="P2335" i="4"/>
  <c r="Q2335" i="4"/>
  <c r="R2335" i="4"/>
  <c r="S2335" i="4"/>
  <c r="L2336" i="4"/>
  <c r="M2336" i="4"/>
  <c r="N2336" i="4"/>
  <c r="O2336" i="4"/>
  <c r="P2336" i="4"/>
  <c r="Q2336" i="4"/>
  <c r="R2336" i="4"/>
  <c r="S2336" i="4"/>
  <c r="L2337" i="4"/>
  <c r="M2337" i="4"/>
  <c r="N2337" i="4"/>
  <c r="O2337" i="4"/>
  <c r="P2337" i="4"/>
  <c r="Q2337" i="4"/>
  <c r="R2337" i="4"/>
  <c r="S2337" i="4"/>
  <c r="L2338" i="4"/>
  <c r="M2338" i="4"/>
  <c r="N2338" i="4"/>
  <c r="O2338" i="4"/>
  <c r="P2338" i="4"/>
  <c r="Q2338" i="4"/>
  <c r="R2338" i="4"/>
  <c r="S2338" i="4"/>
  <c r="L2339" i="4"/>
  <c r="M2339" i="4"/>
  <c r="N2339" i="4"/>
  <c r="O2339" i="4"/>
  <c r="P2339" i="4"/>
  <c r="Q2339" i="4"/>
  <c r="R2339" i="4"/>
  <c r="S2339" i="4"/>
  <c r="L2340" i="4"/>
  <c r="M2340" i="4"/>
  <c r="N2340" i="4"/>
  <c r="O2340" i="4"/>
  <c r="P2340" i="4"/>
  <c r="Q2340" i="4"/>
  <c r="R2340" i="4"/>
  <c r="S2340" i="4"/>
  <c r="L2341" i="4"/>
  <c r="M2341" i="4"/>
  <c r="N2341" i="4"/>
  <c r="O2341" i="4"/>
  <c r="P2341" i="4"/>
  <c r="Q2341" i="4"/>
  <c r="R2341" i="4"/>
  <c r="S2341" i="4"/>
  <c r="L2342" i="4"/>
  <c r="M2342" i="4"/>
  <c r="N2342" i="4"/>
  <c r="O2342" i="4"/>
  <c r="P2342" i="4"/>
  <c r="Q2342" i="4"/>
  <c r="R2342" i="4"/>
  <c r="S2342" i="4"/>
  <c r="L2343" i="4"/>
  <c r="M2343" i="4"/>
  <c r="N2343" i="4"/>
  <c r="O2343" i="4"/>
  <c r="P2343" i="4"/>
  <c r="Q2343" i="4"/>
  <c r="R2343" i="4"/>
  <c r="S2343" i="4"/>
  <c r="L2344" i="4"/>
  <c r="M2344" i="4"/>
  <c r="N2344" i="4"/>
  <c r="O2344" i="4"/>
  <c r="P2344" i="4"/>
  <c r="Q2344" i="4"/>
  <c r="R2344" i="4"/>
  <c r="S2344" i="4"/>
  <c r="L2345" i="4"/>
  <c r="M2345" i="4"/>
  <c r="N2345" i="4"/>
  <c r="O2345" i="4"/>
  <c r="P2345" i="4"/>
  <c r="Q2345" i="4"/>
  <c r="R2345" i="4"/>
  <c r="S2345" i="4"/>
  <c r="L2346" i="4"/>
  <c r="M2346" i="4"/>
  <c r="N2346" i="4"/>
  <c r="O2346" i="4"/>
  <c r="P2346" i="4"/>
  <c r="Q2346" i="4"/>
  <c r="R2346" i="4"/>
  <c r="S2346" i="4"/>
  <c r="L2347" i="4"/>
  <c r="M2347" i="4"/>
  <c r="N2347" i="4"/>
  <c r="O2347" i="4"/>
  <c r="P2347" i="4"/>
  <c r="Q2347" i="4"/>
  <c r="R2347" i="4"/>
  <c r="S2347" i="4"/>
  <c r="L2348" i="4"/>
  <c r="M2348" i="4"/>
  <c r="N2348" i="4"/>
  <c r="O2348" i="4"/>
  <c r="P2348" i="4"/>
  <c r="Q2348" i="4"/>
  <c r="R2348" i="4"/>
  <c r="S2348" i="4"/>
  <c r="L2349" i="4"/>
  <c r="M2349" i="4"/>
  <c r="N2349" i="4"/>
  <c r="O2349" i="4"/>
  <c r="P2349" i="4"/>
  <c r="Q2349" i="4"/>
  <c r="R2349" i="4"/>
  <c r="S2349" i="4"/>
  <c r="L2350" i="4"/>
  <c r="M2350" i="4"/>
  <c r="N2350" i="4"/>
  <c r="O2350" i="4"/>
  <c r="P2350" i="4"/>
  <c r="Q2350" i="4"/>
  <c r="R2350" i="4"/>
  <c r="S2350" i="4"/>
  <c r="L2351" i="4"/>
  <c r="M2351" i="4"/>
  <c r="N2351" i="4"/>
  <c r="O2351" i="4"/>
  <c r="P2351" i="4"/>
  <c r="Q2351" i="4"/>
  <c r="R2351" i="4"/>
  <c r="S2351" i="4"/>
  <c r="L2352" i="4"/>
  <c r="M2352" i="4"/>
  <c r="N2352" i="4"/>
  <c r="O2352" i="4"/>
  <c r="P2352" i="4"/>
  <c r="Q2352" i="4"/>
  <c r="R2352" i="4"/>
  <c r="S2352" i="4"/>
  <c r="L2353" i="4"/>
  <c r="M2353" i="4"/>
  <c r="N2353" i="4"/>
  <c r="O2353" i="4"/>
  <c r="P2353" i="4"/>
  <c r="Q2353" i="4"/>
  <c r="R2353" i="4"/>
  <c r="S2353" i="4"/>
  <c r="L2354" i="4"/>
  <c r="M2354" i="4"/>
  <c r="N2354" i="4"/>
  <c r="O2354" i="4"/>
  <c r="P2354" i="4"/>
  <c r="Q2354" i="4"/>
  <c r="R2354" i="4"/>
  <c r="S2354" i="4"/>
  <c r="L2355" i="4"/>
  <c r="M2355" i="4"/>
  <c r="N2355" i="4"/>
  <c r="O2355" i="4"/>
  <c r="P2355" i="4"/>
  <c r="Q2355" i="4"/>
  <c r="R2355" i="4"/>
  <c r="S2355" i="4"/>
  <c r="L2356" i="4"/>
  <c r="M2356" i="4"/>
  <c r="N2356" i="4"/>
  <c r="O2356" i="4"/>
  <c r="P2356" i="4"/>
  <c r="Q2356" i="4"/>
  <c r="R2356" i="4"/>
  <c r="S2356" i="4"/>
  <c r="L2357" i="4"/>
  <c r="M2357" i="4"/>
  <c r="N2357" i="4"/>
  <c r="O2357" i="4"/>
  <c r="P2357" i="4"/>
  <c r="Q2357" i="4"/>
  <c r="R2357" i="4"/>
  <c r="S2357" i="4"/>
  <c r="L2358" i="4"/>
  <c r="M2358" i="4"/>
  <c r="N2358" i="4"/>
  <c r="O2358" i="4"/>
  <c r="P2358" i="4"/>
  <c r="Q2358" i="4"/>
  <c r="R2358" i="4"/>
  <c r="S2358" i="4"/>
  <c r="L2359" i="4"/>
  <c r="M2359" i="4"/>
  <c r="N2359" i="4"/>
  <c r="O2359" i="4"/>
  <c r="P2359" i="4"/>
  <c r="Q2359" i="4"/>
  <c r="R2359" i="4"/>
  <c r="S2359" i="4"/>
  <c r="L2360" i="4"/>
  <c r="M2360" i="4"/>
  <c r="N2360" i="4"/>
  <c r="O2360" i="4"/>
  <c r="P2360" i="4"/>
  <c r="Q2360" i="4"/>
  <c r="R2360" i="4"/>
  <c r="S2360" i="4"/>
  <c r="L2361" i="4"/>
  <c r="M2361" i="4"/>
  <c r="N2361" i="4"/>
  <c r="O2361" i="4"/>
  <c r="P2361" i="4"/>
  <c r="Q2361" i="4"/>
  <c r="R2361" i="4"/>
  <c r="S2361" i="4"/>
  <c r="L2362" i="4"/>
  <c r="M2362" i="4"/>
  <c r="N2362" i="4"/>
  <c r="O2362" i="4"/>
  <c r="P2362" i="4"/>
  <c r="Q2362" i="4"/>
  <c r="R2362" i="4"/>
  <c r="S2362" i="4"/>
  <c r="L2363" i="4"/>
  <c r="M2363" i="4"/>
  <c r="N2363" i="4"/>
  <c r="O2363" i="4"/>
  <c r="P2363" i="4"/>
  <c r="Q2363" i="4"/>
  <c r="R2363" i="4"/>
  <c r="S2363" i="4"/>
  <c r="L2364" i="4"/>
  <c r="M2364" i="4"/>
  <c r="N2364" i="4"/>
  <c r="O2364" i="4"/>
  <c r="P2364" i="4"/>
  <c r="Q2364" i="4"/>
  <c r="R2364" i="4"/>
  <c r="S2364" i="4"/>
  <c r="L2365" i="4"/>
  <c r="M2365" i="4"/>
  <c r="N2365" i="4"/>
  <c r="O2365" i="4"/>
  <c r="P2365" i="4"/>
  <c r="Q2365" i="4"/>
  <c r="R2365" i="4"/>
  <c r="S2365" i="4"/>
  <c r="L2366" i="4"/>
  <c r="M2366" i="4"/>
  <c r="N2366" i="4"/>
  <c r="O2366" i="4"/>
  <c r="P2366" i="4"/>
  <c r="Q2366" i="4"/>
  <c r="R2366" i="4"/>
  <c r="S2366" i="4"/>
  <c r="L2367" i="4"/>
  <c r="M2367" i="4"/>
  <c r="N2367" i="4"/>
  <c r="O2367" i="4"/>
  <c r="P2367" i="4"/>
  <c r="Q2367" i="4"/>
  <c r="R2367" i="4"/>
  <c r="S2367" i="4"/>
  <c r="L2368" i="4"/>
  <c r="M2368" i="4"/>
  <c r="N2368" i="4"/>
  <c r="O2368" i="4"/>
  <c r="P2368" i="4"/>
  <c r="Q2368" i="4"/>
  <c r="R2368" i="4"/>
  <c r="S2368" i="4"/>
  <c r="L2369" i="4"/>
  <c r="M2369" i="4"/>
  <c r="N2369" i="4"/>
  <c r="O2369" i="4"/>
  <c r="P2369" i="4"/>
  <c r="Q2369" i="4"/>
  <c r="R2369" i="4"/>
  <c r="S2369" i="4"/>
  <c r="L2370" i="4"/>
  <c r="M2370" i="4"/>
  <c r="N2370" i="4"/>
  <c r="O2370" i="4"/>
  <c r="P2370" i="4"/>
  <c r="Q2370" i="4"/>
  <c r="R2370" i="4"/>
  <c r="S2370" i="4"/>
  <c r="L2371" i="4"/>
  <c r="M2371" i="4"/>
  <c r="N2371" i="4"/>
  <c r="O2371" i="4"/>
  <c r="P2371" i="4"/>
  <c r="Q2371" i="4"/>
  <c r="R2371" i="4"/>
  <c r="S2371" i="4"/>
  <c r="L2372" i="4"/>
  <c r="M2372" i="4"/>
  <c r="N2372" i="4"/>
  <c r="O2372" i="4"/>
  <c r="P2372" i="4"/>
  <c r="Q2372" i="4"/>
  <c r="R2372" i="4"/>
  <c r="S2372" i="4"/>
  <c r="L2373" i="4"/>
  <c r="M2373" i="4"/>
  <c r="N2373" i="4"/>
  <c r="O2373" i="4"/>
  <c r="P2373" i="4"/>
  <c r="Q2373" i="4"/>
  <c r="R2373" i="4"/>
  <c r="S2373" i="4"/>
  <c r="L2374" i="4"/>
  <c r="M2374" i="4"/>
  <c r="N2374" i="4"/>
  <c r="O2374" i="4"/>
  <c r="P2374" i="4"/>
  <c r="Q2374" i="4"/>
  <c r="R2374" i="4"/>
  <c r="S2374" i="4"/>
  <c r="L2375" i="4"/>
  <c r="M2375" i="4"/>
  <c r="N2375" i="4"/>
  <c r="O2375" i="4"/>
  <c r="P2375" i="4"/>
  <c r="Q2375" i="4"/>
  <c r="R2375" i="4"/>
  <c r="S2375" i="4"/>
  <c r="L2376" i="4"/>
  <c r="M2376" i="4"/>
  <c r="N2376" i="4"/>
  <c r="O2376" i="4"/>
  <c r="P2376" i="4"/>
  <c r="Q2376" i="4"/>
  <c r="R2376" i="4"/>
  <c r="S2376" i="4"/>
  <c r="L2377" i="4"/>
  <c r="M2377" i="4"/>
  <c r="N2377" i="4"/>
  <c r="O2377" i="4"/>
  <c r="P2377" i="4"/>
  <c r="Q2377" i="4"/>
  <c r="R2377" i="4"/>
  <c r="S2377" i="4"/>
  <c r="L2378" i="4"/>
  <c r="M2378" i="4"/>
  <c r="N2378" i="4"/>
  <c r="O2378" i="4"/>
  <c r="P2378" i="4"/>
  <c r="Q2378" i="4"/>
  <c r="R2378" i="4"/>
  <c r="S2378" i="4"/>
  <c r="L2379" i="4"/>
  <c r="M2379" i="4"/>
  <c r="N2379" i="4"/>
  <c r="O2379" i="4"/>
  <c r="P2379" i="4"/>
  <c r="Q2379" i="4"/>
  <c r="R2379" i="4"/>
  <c r="S2379" i="4"/>
  <c r="L2380" i="4"/>
  <c r="M2380" i="4"/>
  <c r="N2380" i="4"/>
  <c r="O2380" i="4"/>
  <c r="P2380" i="4"/>
  <c r="Q2380" i="4"/>
  <c r="R2380" i="4"/>
  <c r="S2380" i="4"/>
  <c r="L2381" i="4"/>
  <c r="M2381" i="4"/>
  <c r="N2381" i="4"/>
  <c r="O2381" i="4"/>
  <c r="P2381" i="4"/>
  <c r="Q2381" i="4"/>
  <c r="R2381" i="4"/>
  <c r="S2381" i="4"/>
  <c r="L2382" i="4"/>
  <c r="M2382" i="4"/>
  <c r="N2382" i="4"/>
  <c r="O2382" i="4"/>
  <c r="P2382" i="4"/>
  <c r="Q2382" i="4"/>
  <c r="R2382" i="4"/>
  <c r="S2382" i="4"/>
  <c r="L2383" i="4"/>
  <c r="M2383" i="4"/>
  <c r="N2383" i="4"/>
  <c r="O2383" i="4"/>
  <c r="P2383" i="4"/>
  <c r="Q2383" i="4"/>
  <c r="R2383" i="4"/>
  <c r="S2383" i="4"/>
  <c r="L2384" i="4"/>
  <c r="M2384" i="4"/>
  <c r="N2384" i="4"/>
  <c r="O2384" i="4"/>
  <c r="P2384" i="4"/>
  <c r="Q2384" i="4"/>
  <c r="R2384" i="4"/>
  <c r="S2384" i="4"/>
  <c r="L2385" i="4"/>
  <c r="M2385" i="4"/>
  <c r="N2385" i="4"/>
  <c r="O2385" i="4"/>
  <c r="P2385" i="4"/>
  <c r="Q2385" i="4"/>
  <c r="R2385" i="4"/>
  <c r="S2385" i="4"/>
  <c r="L2386" i="4"/>
  <c r="M2386" i="4"/>
  <c r="N2386" i="4"/>
  <c r="O2386" i="4"/>
  <c r="P2386" i="4"/>
  <c r="Q2386" i="4"/>
  <c r="R2386" i="4"/>
  <c r="S2386" i="4"/>
  <c r="L2387" i="4"/>
  <c r="M2387" i="4"/>
  <c r="N2387" i="4"/>
  <c r="O2387" i="4"/>
  <c r="P2387" i="4"/>
  <c r="Q2387" i="4"/>
  <c r="R2387" i="4"/>
  <c r="S2387" i="4"/>
  <c r="L2388" i="4"/>
  <c r="M2388" i="4"/>
  <c r="N2388" i="4"/>
  <c r="O2388" i="4"/>
  <c r="P2388" i="4"/>
  <c r="Q2388" i="4"/>
  <c r="R2388" i="4"/>
  <c r="S2388" i="4"/>
  <c r="L2389" i="4"/>
  <c r="M2389" i="4"/>
  <c r="N2389" i="4"/>
  <c r="O2389" i="4"/>
  <c r="P2389" i="4"/>
  <c r="Q2389" i="4"/>
  <c r="R2389" i="4"/>
  <c r="S2389" i="4"/>
  <c r="L2390" i="4"/>
  <c r="M2390" i="4"/>
  <c r="N2390" i="4"/>
  <c r="O2390" i="4"/>
  <c r="P2390" i="4"/>
  <c r="Q2390" i="4"/>
  <c r="R2390" i="4"/>
  <c r="S2390" i="4"/>
  <c r="L2391" i="4"/>
  <c r="M2391" i="4"/>
  <c r="N2391" i="4"/>
  <c r="O2391" i="4"/>
  <c r="P2391" i="4"/>
  <c r="Q2391" i="4"/>
  <c r="R2391" i="4"/>
  <c r="S2391" i="4"/>
  <c r="L2392" i="4"/>
  <c r="M2392" i="4"/>
  <c r="N2392" i="4"/>
  <c r="O2392" i="4"/>
  <c r="P2392" i="4"/>
  <c r="Q2392" i="4"/>
  <c r="R2392" i="4"/>
  <c r="S2392" i="4"/>
  <c r="L2393" i="4"/>
  <c r="M2393" i="4"/>
  <c r="N2393" i="4"/>
  <c r="O2393" i="4"/>
  <c r="P2393" i="4"/>
  <c r="Q2393" i="4"/>
  <c r="R2393" i="4"/>
  <c r="S2393" i="4"/>
  <c r="L2394" i="4"/>
  <c r="M2394" i="4"/>
  <c r="N2394" i="4"/>
  <c r="O2394" i="4"/>
  <c r="P2394" i="4"/>
  <c r="Q2394" i="4"/>
  <c r="R2394" i="4"/>
  <c r="S2394" i="4"/>
  <c r="L2395" i="4"/>
  <c r="M2395" i="4"/>
  <c r="N2395" i="4"/>
  <c r="O2395" i="4"/>
  <c r="P2395" i="4"/>
  <c r="Q2395" i="4"/>
  <c r="R2395" i="4"/>
  <c r="S2395" i="4"/>
  <c r="L2396" i="4"/>
  <c r="M2396" i="4"/>
  <c r="N2396" i="4"/>
  <c r="O2396" i="4"/>
  <c r="P2396" i="4"/>
  <c r="Q2396" i="4"/>
  <c r="R2396" i="4"/>
  <c r="S2396" i="4"/>
  <c r="L2397" i="4"/>
  <c r="M2397" i="4"/>
  <c r="N2397" i="4"/>
  <c r="O2397" i="4"/>
  <c r="P2397" i="4"/>
  <c r="Q2397" i="4"/>
  <c r="R2397" i="4"/>
  <c r="S2397" i="4"/>
  <c r="L2398" i="4"/>
  <c r="M2398" i="4"/>
  <c r="N2398" i="4"/>
  <c r="O2398" i="4"/>
  <c r="P2398" i="4"/>
  <c r="Q2398" i="4"/>
  <c r="R2398" i="4"/>
  <c r="S2398" i="4"/>
  <c r="L2399" i="4"/>
  <c r="M2399" i="4"/>
  <c r="N2399" i="4"/>
  <c r="O2399" i="4"/>
  <c r="P2399" i="4"/>
  <c r="Q2399" i="4"/>
  <c r="R2399" i="4"/>
  <c r="S2399" i="4"/>
  <c r="L2400" i="4"/>
  <c r="M2400" i="4"/>
  <c r="N2400" i="4"/>
  <c r="O2400" i="4"/>
  <c r="P2400" i="4"/>
  <c r="Q2400" i="4"/>
  <c r="R2400" i="4"/>
  <c r="S2400" i="4"/>
  <c r="L2401" i="4"/>
  <c r="M2401" i="4"/>
  <c r="N2401" i="4"/>
  <c r="O2401" i="4"/>
  <c r="P2401" i="4"/>
  <c r="Q2401" i="4"/>
  <c r="R2401" i="4"/>
  <c r="S2401" i="4"/>
  <c r="L2402" i="4"/>
  <c r="M2402" i="4"/>
  <c r="N2402" i="4"/>
  <c r="O2402" i="4"/>
  <c r="P2402" i="4"/>
  <c r="Q2402" i="4"/>
  <c r="R2402" i="4"/>
  <c r="S2402" i="4"/>
  <c r="L2403" i="4"/>
  <c r="M2403" i="4"/>
  <c r="N2403" i="4"/>
  <c r="O2403" i="4"/>
  <c r="P2403" i="4"/>
  <c r="Q2403" i="4"/>
  <c r="R2403" i="4"/>
  <c r="S2403" i="4"/>
  <c r="L2404" i="4"/>
  <c r="M2404" i="4"/>
  <c r="N2404" i="4"/>
  <c r="O2404" i="4"/>
  <c r="P2404" i="4"/>
  <c r="Q2404" i="4"/>
  <c r="R2404" i="4"/>
  <c r="S2404" i="4"/>
  <c r="L2405" i="4"/>
  <c r="M2405" i="4"/>
  <c r="N2405" i="4"/>
  <c r="O2405" i="4"/>
  <c r="P2405" i="4"/>
  <c r="Q2405" i="4"/>
  <c r="R2405" i="4"/>
  <c r="S2405" i="4"/>
  <c r="L2406" i="4"/>
  <c r="M2406" i="4"/>
  <c r="N2406" i="4"/>
  <c r="O2406" i="4"/>
  <c r="P2406" i="4"/>
  <c r="Q2406" i="4"/>
  <c r="R2406" i="4"/>
  <c r="S2406" i="4"/>
  <c r="L2407" i="4"/>
  <c r="M2407" i="4"/>
  <c r="N2407" i="4"/>
  <c r="O2407" i="4"/>
  <c r="P2407" i="4"/>
  <c r="Q2407" i="4"/>
  <c r="R2407" i="4"/>
  <c r="S2407" i="4"/>
  <c r="L2408" i="4"/>
  <c r="M2408" i="4"/>
  <c r="N2408" i="4"/>
  <c r="O2408" i="4"/>
  <c r="P2408" i="4"/>
  <c r="Q2408" i="4"/>
  <c r="R2408" i="4"/>
  <c r="S2408" i="4"/>
  <c r="L2409" i="4"/>
  <c r="M2409" i="4"/>
  <c r="N2409" i="4"/>
  <c r="O2409" i="4"/>
  <c r="P2409" i="4"/>
  <c r="Q2409" i="4"/>
  <c r="R2409" i="4"/>
  <c r="S2409" i="4"/>
  <c r="L2410" i="4"/>
  <c r="M2410" i="4"/>
  <c r="N2410" i="4"/>
  <c r="O2410" i="4"/>
  <c r="P2410" i="4"/>
  <c r="Q2410" i="4"/>
  <c r="R2410" i="4"/>
  <c r="S2410" i="4"/>
  <c r="L2411" i="4"/>
  <c r="M2411" i="4"/>
  <c r="N2411" i="4"/>
  <c r="O2411" i="4"/>
  <c r="P2411" i="4"/>
  <c r="Q2411" i="4"/>
  <c r="R2411" i="4"/>
  <c r="S2411" i="4"/>
  <c r="L2412" i="4"/>
  <c r="M2412" i="4"/>
  <c r="N2412" i="4"/>
  <c r="O2412" i="4"/>
  <c r="P2412" i="4"/>
  <c r="Q2412" i="4"/>
  <c r="R2412" i="4"/>
  <c r="S2412" i="4"/>
  <c r="L2413" i="4"/>
  <c r="M2413" i="4"/>
  <c r="N2413" i="4"/>
  <c r="O2413" i="4"/>
  <c r="P2413" i="4"/>
  <c r="Q2413" i="4"/>
  <c r="R2413" i="4"/>
  <c r="S2413" i="4"/>
  <c r="L2414" i="4"/>
  <c r="M2414" i="4"/>
  <c r="N2414" i="4"/>
  <c r="O2414" i="4"/>
  <c r="P2414" i="4"/>
  <c r="Q2414" i="4"/>
  <c r="R2414" i="4"/>
  <c r="S2414" i="4"/>
  <c r="L2415" i="4"/>
  <c r="M2415" i="4"/>
  <c r="N2415" i="4"/>
  <c r="O2415" i="4"/>
  <c r="P2415" i="4"/>
  <c r="Q2415" i="4"/>
  <c r="R2415" i="4"/>
  <c r="S2415" i="4"/>
  <c r="L2416" i="4"/>
  <c r="M2416" i="4"/>
  <c r="N2416" i="4"/>
  <c r="O2416" i="4"/>
  <c r="P2416" i="4"/>
  <c r="Q2416" i="4"/>
  <c r="R2416" i="4"/>
  <c r="S2416" i="4"/>
  <c r="L2417" i="4"/>
  <c r="M2417" i="4"/>
  <c r="N2417" i="4"/>
  <c r="O2417" i="4"/>
  <c r="P2417" i="4"/>
  <c r="Q2417" i="4"/>
  <c r="R2417" i="4"/>
  <c r="S2417" i="4"/>
  <c r="L2418" i="4"/>
  <c r="M2418" i="4"/>
  <c r="N2418" i="4"/>
  <c r="O2418" i="4"/>
  <c r="P2418" i="4"/>
  <c r="Q2418" i="4"/>
  <c r="R2418" i="4"/>
  <c r="S2418" i="4"/>
  <c r="L2419" i="4"/>
  <c r="M2419" i="4"/>
  <c r="N2419" i="4"/>
  <c r="O2419" i="4"/>
  <c r="P2419" i="4"/>
  <c r="Q2419" i="4"/>
  <c r="R2419" i="4"/>
  <c r="S2419" i="4"/>
  <c r="L2420" i="4"/>
  <c r="M2420" i="4"/>
  <c r="N2420" i="4"/>
  <c r="O2420" i="4"/>
  <c r="P2420" i="4"/>
  <c r="Q2420" i="4"/>
  <c r="R2420" i="4"/>
  <c r="S2420" i="4"/>
  <c r="L2421" i="4"/>
  <c r="M2421" i="4"/>
  <c r="N2421" i="4"/>
  <c r="O2421" i="4"/>
  <c r="P2421" i="4"/>
  <c r="Q2421" i="4"/>
  <c r="R2421" i="4"/>
  <c r="S2421" i="4"/>
  <c r="L2422" i="4"/>
  <c r="M2422" i="4"/>
  <c r="N2422" i="4"/>
  <c r="O2422" i="4"/>
  <c r="P2422" i="4"/>
  <c r="Q2422" i="4"/>
  <c r="R2422" i="4"/>
  <c r="S2422" i="4"/>
  <c r="L2423" i="4"/>
  <c r="M2423" i="4"/>
  <c r="N2423" i="4"/>
  <c r="O2423" i="4"/>
  <c r="P2423" i="4"/>
  <c r="Q2423" i="4"/>
  <c r="R2423" i="4"/>
  <c r="S2423" i="4"/>
  <c r="L2424" i="4"/>
  <c r="M2424" i="4"/>
  <c r="N2424" i="4"/>
  <c r="O2424" i="4"/>
  <c r="P2424" i="4"/>
  <c r="Q2424" i="4"/>
  <c r="R2424" i="4"/>
  <c r="S2424" i="4"/>
  <c r="L2425" i="4"/>
  <c r="M2425" i="4"/>
  <c r="N2425" i="4"/>
  <c r="O2425" i="4"/>
  <c r="P2425" i="4"/>
  <c r="Q2425" i="4"/>
  <c r="R2425" i="4"/>
  <c r="S2425" i="4"/>
  <c r="L2426" i="4"/>
  <c r="M2426" i="4"/>
  <c r="N2426" i="4"/>
  <c r="O2426" i="4"/>
  <c r="P2426" i="4"/>
  <c r="Q2426" i="4"/>
  <c r="R2426" i="4"/>
  <c r="S2426" i="4"/>
  <c r="L2427" i="4"/>
  <c r="M2427" i="4"/>
  <c r="N2427" i="4"/>
  <c r="O2427" i="4"/>
  <c r="P2427" i="4"/>
  <c r="Q2427" i="4"/>
  <c r="R2427" i="4"/>
  <c r="S2427" i="4"/>
  <c r="L2428" i="4"/>
  <c r="M2428" i="4"/>
  <c r="N2428" i="4"/>
  <c r="O2428" i="4"/>
  <c r="P2428" i="4"/>
  <c r="Q2428" i="4"/>
  <c r="R2428" i="4"/>
  <c r="S2428" i="4"/>
  <c r="L2429" i="4"/>
  <c r="M2429" i="4"/>
  <c r="N2429" i="4"/>
  <c r="O2429" i="4"/>
  <c r="P2429" i="4"/>
  <c r="Q2429" i="4"/>
  <c r="R2429" i="4"/>
  <c r="S2429" i="4"/>
  <c r="L2430" i="4"/>
  <c r="M2430" i="4"/>
  <c r="N2430" i="4"/>
  <c r="O2430" i="4"/>
  <c r="P2430" i="4"/>
  <c r="Q2430" i="4"/>
  <c r="R2430" i="4"/>
  <c r="S2430" i="4"/>
  <c r="L2431" i="4"/>
  <c r="M2431" i="4"/>
  <c r="N2431" i="4"/>
  <c r="O2431" i="4"/>
  <c r="P2431" i="4"/>
  <c r="Q2431" i="4"/>
  <c r="R2431" i="4"/>
  <c r="S2431" i="4"/>
  <c r="L2432" i="4"/>
  <c r="M2432" i="4"/>
  <c r="N2432" i="4"/>
  <c r="O2432" i="4"/>
  <c r="P2432" i="4"/>
  <c r="Q2432" i="4"/>
  <c r="R2432" i="4"/>
  <c r="S2432" i="4"/>
  <c r="L2433" i="4"/>
  <c r="M2433" i="4"/>
  <c r="N2433" i="4"/>
  <c r="O2433" i="4"/>
  <c r="P2433" i="4"/>
  <c r="Q2433" i="4"/>
  <c r="R2433" i="4"/>
  <c r="S2433" i="4"/>
  <c r="L2434" i="4"/>
  <c r="M2434" i="4"/>
  <c r="N2434" i="4"/>
  <c r="O2434" i="4"/>
  <c r="P2434" i="4"/>
  <c r="Q2434" i="4"/>
  <c r="R2434" i="4"/>
  <c r="S2434" i="4"/>
  <c r="L2435" i="4"/>
  <c r="M2435" i="4"/>
  <c r="N2435" i="4"/>
  <c r="O2435" i="4"/>
  <c r="P2435" i="4"/>
  <c r="Q2435" i="4"/>
  <c r="R2435" i="4"/>
  <c r="S2435" i="4"/>
  <c r="L2436" i="4"/>
  <c r="M2436" i="4"/>
  <c r="N2436" i="4"/>
  <c r="O2436" i="4"/>
  <c r="P2436" i="4"/>
  <c r="Q2436" i="4"/>
  <c r="R2436" i="4"/>
  <c r="S2436" i="4"/>
  <c r="L2437" i="4"/>
  <c r="M2437" i="4"/>
  <c r="N2437" i="4"/>
  <c r="O2437" i="4"/>
  <c r="P2437" i="4"/>
  <c r="Q2437" i="4"/>
  <c r="R2437" i="4"/>
  <c r="S2437" i="4"/>
  <c r="L2438" i="4"/>
  <c r="M2438" i="4"/>
  <c r="N2438" i="4"/>
  <c r="O2438" i="4"/>
  <c r="P2438" i="4"/>
  <c r="Q2438" i="4"/>
  <c r="R2438" i="4"/>
  <c r="S2438" i="4"/>
  <c r="L2439" i="4"/>
  <c r="M2439" i="4"/>
  <c r="N2439" i="4"/>
  <c r="O2439" i="4"/>
  <c r="P2439" i="4"/>
  <c r="Q2439" i="4"/>
  <c r="R2439" i="4"/>
  <c r="S2439" i="4"/>
  <c r="L2440" i="4"/>
  <c r="M2440" i="4"/>
  <c r="N2440" i="4"/>
  <c r="O2440" i="4"/>
  <c r="P2440" i="4"/>
  <c r="Q2440" i="4"/>
  <c r="R2440" i="4"/>
  <c r="S2440" i="4"/>
  <c r="L2441" i="4"/>
  <c r="M2441" i="4"/>
  <c r="N2441" i="4"/>
  <c r="O2441" i="4"/>
  <c r="P2441" i="4"/>
  <c r="Q2441" i="4"/>
  <c r="R2441" i="4"/>
  <c r="S2441" i="4"/>
  <c r="L2442" i="4"/>
  <c r="M2442" i="4"/>
  <c r="N2442" i="4"/>
  <c r="O2442" i="4"/>
  <c r="P2442" i="4"/>
  <c r="Q2442" i="4"/>
  <c r="R2442" i="4"/>
  <c r="S2442" i="4"/>
  <c r="L2443" i="4"/>
  <c r="M2443" i="4"/>
  <c r="N2443" i="4"/>
  <c r="O2443" i="4"/>
  <c r="P2443" i="4"/>
  <c r="Q2443" i="4"/>
  <c r="R2443" i="4"/>
  <c r="S2443" i="4"/>
  <c r="L2444" i="4"/>
  <c r="M2444" i="4"/>
  <c r="N2444" i="4"/>
  <c r="O2444" i="4"/>
  <c r="P2444" i="4"/>
  <c r="Q2444" i="4"/>
  <c r="R2444" i="4"/>
  <c r="S2444" i="4"/>
  <c r="L2445" i="4"/>
  <c r="M2445" i="4"/>
  <c r="N2445" i="4"/>
  <c r="O2445" i="4"/>
  <c r="P2445" i="4"/>
  <c r="Q2445" i="4"/>
  <c r="R2445" i="4"/>
  <c r="S2445" i="4"/>
  <c r="L2446" i="4"/>
  <c r="M2446" i="4"/>
  <c r="N2446" i="4"/>
  <c r="O2446" i="4"/>
  <c r="P2446" i="4"/>
  <c r="Q2446" i="4"/>
  <c r="R2446" i="4"/>
  <c r="S2446" i="4"/>
  <c r="L2447" i="4"/>
  <c r="M2447" i="4"/>
  <c r="N2447" i="4"/>
  <c r="O2447" i="4"/>
  <c r="P2447" i="4"/>
  <c r="Q2447" i="4"/>
  <c r="R2447" i="4"/>
  <c r="S2447" i="4"/>
  <c r="L2448" i="4"/>
  <c r="M2448" i="4"/>
  <c r="N2448" i="4"/>
  <c r="O2448" i="4"/>
  <c r="P2448" i="4"/>
  <c r="Q2448" i="4"/>
  <c r="R2448" i="4"/>
  <c r="S2448" i="4"/>
  <c r="L2449" i="4"/>
  <c r="M2449" i="4"/>
  <c r="N2449" i="4"/>
  <c r="O2449" i="4"/>
  <c r="P2449" i="4"/>
  <c r="Q2449" i="4"/>
  <c r="R2449" i="4"/>
  <c r="S2449" i="4"/>
  <c r="L2450" i="4"/>
  <c r="M2450" i="4"/>
  <c r="N2450" i="4"/>
  <c r="O2450" i="4"/>
  <c r="P2450" i="4"/>
  <c r="Q2450" i="4"/>
  <c r="R2450" i="4"/>
  <c r="S2450" i="4"/>
  <c r="L2451" i="4"/>
  <c r="M2451" i="4"/>
  <c r="N2451" i="4"/>
  <c r="O2451" i="4"/>
  <c r="P2451" i="4"/>
  <c r="Q2451" i="4"/>
  <c r="R2451" i="4"/>
  <c r="S2451" i="4"/>
  <c r="L2452" i="4"/>
  <c r="M2452" i="4"/>
  <c r="N2452" i="4"/>
  <c r="O2452" i="4"/>
  <c r="P2452" i="4"/>
  <c r="Q2452" i="4"/>
  <c r="R2452" i="4"/>
  <c r="S2452" i="4"/>
  <c r="L2453" i="4"/>
  <c r="M2453" i="4"/>
  <c r="N2453" i="4"/>
  <c r="O2453" i="4"/>
  <c r="P2453" i="4"/>
  <c r="Q2453" i="4"/>
  <c r="R2453" i="4"/>
  <c r="S2453" i="4"/>
  <c r="L2454" i="4"/>
  <c r="M2454" i="4"/>
  <c r="N2454" i="4"/>
  <c r="O2454" i="4"/>
  <c r="P2454" i="4"/>
  <c r="Q2454" i="4"/>
  <c r="R2454" i="4"/>
  <c r="S2454" i="4"/>
  <c r="L2455" i="4"/>
  <c r="M2455" i="4"/>
  <c r="N2455" i="4"/>
  <c r="O2455" i="4"/>
  <c r="P2455" i="4"/>
  <c r="Q2455" i="4"/>
  <c r="R2455" i="4"/>
  <c r="S2455" i="4"/>
  <c r="L2456" i="4"/>
  <c r="M2456" i="4"/>
  <c r="N2456" i="4"/>
  <c r="O2456" i="4"/>
  <c r="P2456" i="4"/>
  <c r="Q2456" i="4"/>
  <c r="R2456" i="4"/>
  <c r="S2456" i="4"/>
  <c r="L2457" i="4"/>
  <c r="M2457" i="4"/>
  <c r="N2457" i="4"/>
  <c r="O2457" i="4"/>
  <c r="P2457" i="4"/>
  <c r="Q2457" i="4"/>
  <c r="R2457" i="4"/>
  <c r="S2457" i="4"/>
  <c r="L2458" i="4"/>
  <c r="M2458" i="4"/>
  <c r="N2458" i="4"/>
  <c r="O2458" i="4"/>
  <c r="P2458" i="4"/>
  <c r="Q2458" i="4"/>
  <c r="R2458" i="4"/>
  <c r="S2458" i="4"/>
  <c r="L2459" i="4"/>
  <c r="M2459" i="4"/>
  <c r="N2459" i="4"/>
  <c r="O2459" i="4"/>
  <c r="P2459" i="4"/>
  <c r="Q2459" i="4"/>
  <c r="R2459" i="4"/>
  <c r="S2459" i="4"/>
  <c r="L2460" i="4"/>
  <c r="M2460" i="4"/>
  <c r="N2460" i="4"/>
  <c r="O2460" i="4"/>
  <c r="P2460" i="4"/>
  <c r="Q2460" i="4"/>
  <c r="R2460" i="4"/>
  <c r="S2460" i="4"/>
  <c r="L2461" i="4"/>
  <c r="M2461" i="4"/>
  <c r="N2461" i="4"/>
  <c r="O2461" i="4"/>
  <c r="P2461" i="4"/>
  <c r="Q2461" i="4"/>
  <c r="R2461" i="4"/>
  <c r="S2461" i="4"/>
  <c r="L2462" i="4"/>
  <c r="M2462" i="4"/>
  <c r="N2462" i="4"/>
  <c r="O2462" i="4"/>
  <c r="P2462" i="4"/>
  <c r="Q2462" i="4"/>
  <c r="R2462" i="4"/>
  <c r="S2462" i="4"/>
  <c r="L2463" i="4"/>
  <c r="M2463" i="4"/>
  <c r="N2463" i="4"/>
  <c r="O2463" i="4"/>
  <c r="P2463" i="4"/>
  <c r="Q2463" i="4"/>
  <c r="R2463" i="4"/>
  <c r="S2463" i="4"/>
  <c r="L2464" i="4"/>
  <c r="M2464" i="4"/>
  <c r="N2464" i="4"/>
  <c r="O2464" i="4"/>
  <c r="P2464" i="4"/>
  <c r="Q2464" i="4"/>
  <c r="R2464" i="4"/>
  <c r="S2464" i="4"/>
  <c r="L2465" i="4"/>
  <c r="M2465" i="4"/>
  <c r="N2465" i="4"/>
  <c r="O2465" i="4"/>
  <c r="P2465" i="4"/>
  <c r="Q2465" i="4"/>
  <c r="R2465" i="4"/>
  <c r="S2465" i="4"/>
  <c r="L2466" i="4"/>
  <c r="M2466" i="4"/>
  <c r="N2466" i="4"/>
  <c r="O2466" i="4"/>
  <c r="P2466" i="4"/>
  <c r="Q2466" i="4"/>
  <c r="R2466" i="4"/>
  <c r="S2466" i="4"/>
  <c r="L2467" i="4"/>
  <c r="M2467" i="4"/>
  <c r="N2467" i="4"/>
  <c r="O2467" i="4"/>
  <c r="P2467" i="4"/>
  <c r="Q2467" i="4"/>
  <c r="R2467" i="4"/>
  <c r="S2467" i="4"/>
  <c r="L2468" i="4"/>
  <c r="M2468" i="4"/>
  <c r="N2468" i="4"/>
  <c r="O2468" i="4"/>
  <c r="P2468" i="4"/>
  <c r="Q2468" i="4"/>
  <c r="R2468" i="4"/>
  <c r="S2468" i="4"/>
  <c r="L2469" i="4"/>
  <c r="M2469" i="4"/>
  <c r="N2469" i="4"/>
  <c r="O2469" i="4"/>
  <c r="P2469" i="4"/>
  <c r="Q2469" i="4"/>
  <c r="R2469" i="4"/>
  <c r="S2469" i="4"/>
  <c r="L2470" i="4"/>
  <c r="M2470" i="4"/>
  <c r="N2470" i="4"/>
  <c r="O2470" i="4"/>
  <c r="P2470" i="4"/>
  <c r="Q2470" i="4"/>
  <c r="R2470" i="4"/>
  <c r="S2470" i="4"/>
  <c r="L2471" i="4"/>
  <c r="M2471" i="4"/>
  <c r="N2471" i="4"/>
  <c r="O2471" i="4"/>
  <c r="P2471" i="4"/>
  <c r="Q2471" i="4"/>
  <c r="R2471" i="4"/>
  <c r="S2471" i="4"/>
  <c r="L2472" i="4"/>
  <c r="M2472" i="4"/>
  <c r="N2472" i="4"/>
  <c r="O2472" i="4"/>
  <c r="P2472" i="4"/>
  <c r="Q2472" i="4"/>
  <c r="R2472" i="4"/>
  <c r="S2472" i="4"/>
  <c r="L2473" i="4"/>
  <c r="M2473" i="4"/>
  <c r="N2473" i="4"/>
  <c r="O2473" i="4"/>
  <c r="P2473" i="4"/>
  <c r="Q2473" i="4"/>
  <c r="R2473" i="4"/>
  <c r="S2473" i="4"/>
  <c r="L2474" i="4"/>
  <c r="M2474" i="4"/>
  <c r="N2474" i="4"/>
  <c r="O2474" i="4"/>
  <c r="P2474" i="4"/>
  <c r="Q2474" i="4"/>
  <c r="R2474" i="4"/>
  <c r="S2474" i="4"/>
  <c r="L2475" i="4"/>
  <c r="M2475" i="4"/>
  <c r="N2475" i="4"/>
  <c r="O2475" i="4"/>
  <c r="P2475" i="4"/>
  <c r="Q2475" i="4"/>
  <c r="R2475" i="4"/>
  <c r="S2475" i="4"/>
  <c r="L2476" i="4"/>
  <c r="M2476" i="4"/>
  <c r="N2476" i="4"/>
  <c r="O2476" i="4"/>
  <c r="P2476" i="4"/>
  <c r="Q2476" i="4"/>
  <c r="R2476" i="4"/>
  <c r="S2476" i="4"/>
  <c r="L2477" i="4"/>
  <c r="M2477" i="4"/>
  <c r="N2477" i="4"/>
  <c r="O2477" i="4"/>
  <c r="P2477" i="4"/>
  <c r="Q2477" i="4"/>
  <c r="R2477" i="4"/>
  <c r="S2477" i="4"/>
  <c r="L2478" i="4"/>
  <c r="M2478" i="4"/>
  <c r="N2478" i="4"/>
  <c r="O2478" i="4"/>
  <c r="P2478" i="4"/>
  <c r="Q2478" i="4"/>
  <c r="R2478" i="4"/>
  <c r="S2478" i="4"/>
  <c r="L2479" i="4"/>
  <c r="M2479" i="4"/>
  <c r="N2479" i="4"/>
  <c r="O2479" i="4"/>
  <c r="P2479" i="4"/>
  <c r="Q2479" i="4"/>
  <c r="R2479" i="4"/>
  <c r="S2479" i="4"/>
  <c r="L2480" i="4"/>
  <c r="M2480" i="4"/>
  <c r="N2480" i="4"/>
  <c r="O2480" i="4"/>
  <c r="P2480" i="4"/>
  <c r="Q2480" i="4"/>
  <c r="R2480" i="4"/>
  <c r="S2480" i="4"/>
  <c r="L2481" i="4"/>
  <c r="M2481" i="4"/>
  <c r="N2481" i="4"/>
  <c r="O2481" i="4"/>
  <c r="P2481" i="4"/>
  <c r="Q2481" i="4"/>
  <c r="R2481" i="4"/>
  <c r="S2481" i="4"/>
  <c r="L2482" i="4"/>
  <c r="M2482" i="4"/>
  <c r="N2482" i="4"/>
  <c r="O2482" i="4"/>
  <c r="P2482" i="4"/>
  <c r="Q2482" i="4"/>
  <c r="R2482" i="4"/>
  <c r="S2482" i="4"/>
  <c r="L2483" i="4"/>
  <c r="M2483" i="4"/>
  <c r="N2483" i="4"/>
  <c r="O2483" i="4"/>
  <c r="P2483" i="4"/>
  <c r="Q2483" i="4"/>
  <c r="R2483" i="4"/>
  <c r="S2483" i="4"/>
  <c r="L2484" i="4"/>
  <c r="M2484" i="4"/>
  <c r="N2484" i="4"/>
  <c r="O2484" i="4"/>
  <c r="P2484" i="4"/>
  <c r="Q2484" i="4"/>
  <c r="R2484" i="4"/>
  <c r="S2484" i="4"/>
  <c r="L2485" i="4"/>
  <c r="M2485" i="4"/>
  <c r="N2485" i="4"/>
  <c r="O2485" i="4"/>
  <c r="P2485" i="4"/>
  <c r="Q2485" i="4"/>
  <c r="R2485" i="4"/>
  <c r="S2485" i="4"/>
  <c r="L2486" i="4"/>
  <c r="M2486" i="4"/>
  <c r="N2486" i="4"/>
  <c r="O2486" i="4"/>
  <c r="P2486" i="4"/>
  <c r="Q2486" i="4"/>
  <c r="R2486" i="4"/>
  <c r="S2486" i="4"/>
  <c r="L2487" i="4"/>
  <c r="M2487" i="4"/>
  <c r="N2487" i="4"/>
  <c r="O2487" i="4"/>
  <c r="P2487" i="4"/>
  <c r="Q2487" i="4"/>
  <c r="R2487" i="4"/>
  <c r="S2487" i="4"/>
  <c r="L2488" i="4"/>
  <c r="M2488" i="4"/>
  <c r="N2488" i="4"/>
  <c r="O2488" i="4"/>
  <c r="P2488" i="4"/>
  <c r="Q2488" i="4"/>
  <c r="R2488" i="4"/>
  <c r="S2488" i="4"/>
  <c r="L2489" i="4"/>
  <c r="M2489" i="4"/>
  <c r="N2489" i="4"/>
  <c r="O2489" i="4"/>
  <c r="P2489" i="4"/>
  <c r="Q2489" i="4"/>
  <c r="R2489" i="4"/>
  <c r="S2489" i="4"/>
  <c r="L2490" i="4"/>
  <c r="M2490" i="4"/>
  <c r="N2490" i="4"/>
  <c r="O2490" i="4"/>
  <c r="P2490" i="4"/>
  <c r="Q2490" i="4"/>
  <c r="R2490" i="4"/>
  <c r="S2490" i="4"/>
  <c r="L2491" i="4"/>
  <c r="M2491" i="4"/>
  <c r="N2491" i="4"/>
  <c r="O2491" i="4"/>
  <c r="P2491" i="4"/>
  <c r="Q2491" i="4"/>
  <c r="R2491" i="4"/>
  <c r="S2491" i="4"/>
  <c r="L2492" i="4"/>
  <c r="M2492" i="4"/>
  <c r="N2492" i="4"/>
  <c r="O2492" i="4"/>
  <c r="P2492" i="4"/>
  <c r="Q2492" i="4"/>
  <c r="R2492" i="4"/>
  <c r="S2492" i="4"/>
  <c r="L2493" i="4"/>
  <c r="M2493" i="4"/>
  <c r="N2493" i="4"/>
  <c r="O2493" i="4"/>
  <c r="P2493" i="4"/>
  <c r="Q2493" i="4"/>
  <c r="R2493" i="4"/>
  <c r="S2493" i="4"/>
  <c r="L2494" i="4"/>
  <c r="M2494" i="4"/>
  <c r="N2494" i="4"/>
  <c r="O2494" i="4"/>
  <c r="P2494" i="4"/>
  <c r="Q2494" i="4"/>
  <c r="R2494" i="4"/>
  <c r="S2494" i="4"/>
  <c r="L2495" i="4"/>
  <c r="M2495" i="4"/>
  <c r="N2495" i="4"/>
  <c r="O2495" i="4"/>
  <c r="P2495" i="4"/>
  <c r="Q2495" i="4"/>
  <c r="R2495" i="4"/>
  <c r="S2495" i="4"/>
  <c r="L2496" i="4"/>
  <c r="M2496" i="4"/>
  <c r="N2496" i="4"/>
  <c r="O2496" i="4"/>
  <c r="P2496" i="4"/>
  <c r="Q2496" i="4"/>
  <c r="R2496" i="4"/>
  <c r="S2496" i="4"/>
  <c r="L2497" i="4"/>
  <c r="M2497" i="4"/>
  <c r="N2497" i="4"/>
  <c r="O2497" i="4"/>
  <c r="P2497" i="4"/>
  <c r="Q2497" i="4"/>
  <c r="R2497" i="4"/>
  <c r="S2497" i="4"/>
  <c r="L2498" i="4"/>
  <c r="M2498" i="4"/>
  <c r="N2498" i="4"/>
  <c r="O2498" i="4"/>
  <c r="P2498" i="4"/>
  <c r="Q2498" i="4"/>
  <c r="R2498" i="4"/>
  <c r="S2498" i="4"/>
  <c r="L2499" i="4"/>
  <c r="M2499" i="4"/>
  <c r="N2499" i="4"/>
  <c r="O2499" i="4"/>
  <c r="P2499" i="4"/>
  <c r="Q2499" i="4"/>
  <c r="R2499" i="4"/>
  <c r="S2499" i="4"/>
  <c r="L2500" i="4"/>
  <c r="M2500" i="4"/>
  <c r="N2500" i="4"/>
  <c r="O2500" i="4"/>
  <c r="P2500" i="4"/>
  <c r="Q2500" i="4"/>
  <c r="R2500" i="4"/>
  <c r="S2500" i="4"/>
  <c r="L2501" i="4"/>
  <c r="M2501" i="4"/>
  <c r="N2501" i="4"/>
  <c r="O2501" i="4"/>
  <c r="P2501" i="4"/>
  <c r="Q2501" i="4"/>
  <c r="R2501" i="4"/>
  <c r="S2501" i="4"/>
  <c r="L2502" i="4"/>
  <c r="M2502" i="4"/>
  <c r="N2502" i="4"/>
  <c r="O2502" i="4"/>
  <c r="P2502" i="4"/>
  <c r="Q2502" i="4"/>
  <c r="R2502" i="4"/>
  <c r="S2502" i="4"/>
  <c r="L2503" i="4"/>
  <c r="M2503" i="4"/>
  <c r="N2503" i="4"/>
  <c r="O2503" i="4"/>
  <c r="P2503" i="4"/>
  <c r="Q2503" i="4"/>
  <c r="R2503" i="4"/>
  <c r="S2503" i="4"/>
  <c r="L2504" i="4"/>
  <c r="M2504" i="4"/>
  <c r="N2504" i="4"/>
  <c r="O2504" i="4"/>
  <c r="P2504" i="4"/>
  <c r="Q2504" i="4"/>
  <c r="R2504" i="4"/>
  <c r="S2504" i="4"/>
  <c r="L2505" i="4"/>
  <c r="M2505" i="4"/>
  <c r="N2505" i="4"/>
  <c r="O2505" i="4"/>
  <c r="P2505" i="4"/>
  <c r="Q2505" i="4"/>
  <c r="R2505" i="4"/>
  <c r="S2505" i="4"/>
  <c r="L2506" i="4"/>
  <c r="M2506" i="4"/>
  <c r="N2506" i="4"/>
  <c r="O2506" i="4"/>
  <c r="P2506" i="4"/>
  <c r="Q2506" i="4"/>
  <c r="R2506" i="4"/>
  <c r="S2506" i="4"/>
  <c r="L2507" i="4"/>
  <c r="M2507" i="4"/>
  <c r="N2507" i="4"/>
  <c r="O2507" i="4"/>
  <c r="P2507" i="4"/>
  <c r="Q2507" i="4"/>
  <c r="R2507" i="4"/>
  <c r="S2507" i="4"/>
  <c r="L2508" i="4"/>
  <c r="M2508" i="4"/>
  <c r="N2508" i="4"/>
  <c r="O2508" i="4"/>
  <c r="P2508" i="4"/>
  <c r="Q2508" i="4"/>
  <c r="R2508" i="4"/>
  <c r="S2508" i="4"/>
  <c r="L2509" i="4"/>
  <c r="M2509" i="4"/>
  <c r="N2509" i="4"/>
  <c r="O2509" i="4"/>
  <c r="P2509" i="4"/>
  <c r="Q2509" i="4"/>
  <c r="R2509" i="4"/>
  <c r="S2509" i="4"/>
  <c r="L2510" i="4"/>
  <c r="M2510" i="4"/>
  <c r="N2510" i="4"/>
  <c r="O2510" i="4"/>
  <c r="P2510" i="4"/>
  <c r="Q2510" i="4"/>
  <c r="R2510" i="4"/>
  <c r="S2510" i="4"/>
  <c r="L2511" i="4"/>
  <c r="M2511" i="4"/>
  <c r="N2511" i="4"/>
  <c r="O2511" i="4"/>
  <c r="P2511" i="4"/>
  <c r="Q2511" i="4"/>
  <c r="R2511" i="4"/>
  <c r="S2511" i="4"/>
  <c r="L2512" i="4"/>
  <c r="M2512" i="4"/>
  <c r="N2512" i="4"/>
  <c r="O2512" i="4"/>
  <c r="P2512" i="4"/>
  <c r="Q2512" i="4"/>
  <c r="R2512" i="4"/>
  <c r="S2512" i="4"/>
  <c r="L2513" i="4"/>
  <c r="M2513" i="4"/>
  <c r="N2513" i="4"/>
  <c r="O2513" i="4"/>
  <c r="P2513" i="4"/>
  <c r="Q2513" i="4"/>
  <c r="R2513" i="4"/>
  <c r="S2513" i="4"/>
  <c r="L2514" i="4"/>
  <c r="M2514" i="4"/>
  <c r="N2514" i="4"/>
  <c r="O2514" i="4"/>
  <c r="P2514" i="4"/>
  <c r="Q2514" i="4"/>
  <c r="R2514" i="4"/>
  <c r="S2514" i="4"/>
  <c r="L2515" i="4"/>
  <c r="M2515" i="4"/>
  <c r="N2515" i="4"/>
  <c r="O2515" i="4"/>
  <c r="P2515" i="4"/>
  <c r="Q2515" i="4"/>
  <c r="R2515" i="4"/>
  <c r="S2515" i="4"/>
  <c r="L2516" i="4"/>
  <c r="M2516" i="4"/>
  <c r="N2516" i="4"/>
  <c r="O2516" i="4"/>
  <c r="P2516" i="4"/>
  <c r="Q2516" i="4"/>
  <c r="R2516" i="4"/>
  <c r="S2516" i="4"/>
  <c r="L2517" i="4"/>
  <c r="M2517" i="4"/>
  <c r="N2517" i="4"/>
  <c r="O2517" i="4"/>
  <c r="P2517" i="4"/>
  <c r="Q2517" i="4"/>
  <c r="R2517" i="4"/>
  <c r="S2517" i="4"/>
  <c r="L2518" i="4"/>
  <c r="M2518" i="4"/>
  <c r="N2518" i="4"/>
  <c r="O2518" i="4"/>
  <c r="P2518" i="4"/>
  <c r="Q2518" i="4"/>
  <c r="R2518" i="4"/>
  <c r="S2518" i="4"/>
  <c r="L2519" i="4"/>
  <c r="M2519" i="4"/>
  <c r="N2519" i="4"/>
  <c r="O2519" i="4"/>
  <c r="P2519" i="4"/>
  <c r="Q2519" i="4"/>
  <c r="R2519" i="4"/>
  <c r="S2519" i="4"/>
  <c r="L2520" i="4"/>
  <c r="M2520" i="4"/>
  <c r="N2520" i="4"/>
  <c r="O2520" i="4"/>
  <c r="P2520" i="4"/>
  <c r="Q2520" i="4"/>
  <c r="R2520" i="4"/>
  <c r="S2520" i="4"/>
  <c r="L2521" i="4"/>
  <c r="M2521" i="4"/>
  <c r="N2521" i="4"/>
  <c r="O2521" i="4"/>
  <c r="P2521" i="4"/>
  <c r="Q2521" i="4"/>
  <c r="R2521" i="4"/>
  <c r="S2521" i="4"/>
  <c r="L2522" i="4"/>
  <c r="M2522" i="4"/>
  <c r="N2522" i="4"/>
  <c r="O2522" i="4"/>
  <c r="P2522" i="4"/>
  <c r="Q2522" i="4"/>
  <c r="R2522" i="4"/>
  <c r="S2522" i="4"/>
  <c r="L2523" i="4"/>
  <c r="M2523" i="4"/>
  <c r="N2523" i="4"/>
  <c r="O2523" i="4"/>
  <c r="P2523" i="4"/>
  <c r="Q2523" i="4"/>
  <c r="R2523" i="4"/>
  <c r="S2523" i="4"/>
  <c r="L2524" i="4"/>
  <c r="M2524" i="4"/>
  <c r="N2524" i="4"/>
  <c r="O2524" i="4"/>
  <c r="P2524" i="4"/>
  <c r="Q2524" i="4"/>
  <c r="R2524" i="4"/>
  <c r="S2524" i="4"/>
  <c r="L2525" i="4"/>
  <c r="M2525" i="4"/>
  <c r="N2525" i="4"/>
  <c r="O2525" i="4"/>
  <c r="P2525" i="4"/>
  <c r="Q2525" i="4"/>
  <c r="R2525" i="4"/>
  <c r="S2525" i="4"/>
  <c r="L2526" i="4"/>
  <c r="M2526" i="4"/>
  <c r="N2526" i="4"/>
  <c r="O2526" i="4"/>
  <c r="P2526" i="4"/>
  <c r="Q2526" i="4"/>
  <c r="R2526" i="4"/>
  <c r="S2526" i="4"/>
  <c r="L2527" i="4"/>
  <c r="M2527" i="4"/>
  <c r="N2527" i="4"/>
  <c r="O2527" i="4"/>
  <c r="P2527" i="4"/>
  <c r="Q2527" i="4"/>
  <c r="R2527" i="4"/>
  <c r="S2527" i="4"/>
  <c r="L2528" i="4"/>
  <c r="M2528" i="4"/>
  <c r="N2528" i="4"/>
  <c r="O2528" i="4"/>
  <c r="P2528" i="4"/>
  <c r="Q2528" i="4"/>
  <c r="R2528" i="4"/>
  <c r="S2528" i="4"/>
  <c r="L2529" i="4"/>
  <c r="M2529" i="4"/>
  <c r="N2529" i="4"/>
  <c r="O2529" i="4"/>
  <c r="P2529" i="4"/>
  <c r="Q2529" i="4"/>
  <c r="R2529" i="4"/>
  <c r="S2529" i="4"/>
  <c r="L2530" i="4"/>
  <c r="M2530" i="4"/>
  <c r="N2530" i="4"/>
  <c r="O2530" i="4"/>
  <c r="P2530" i="4"/>
  <c r="Q2530" i="4"/>
  <c r="R2530" i="4"/>
  <c r="S2530" i="4"/>
  <c r="L2531" i="4"/>
  <c r="M2531" i="4"/>
  <c r="N2531" i="4"/>
  <c r="O2531" i="4"/>
  <c r="P2531" i="4"/>
  <c r="Q2531" i="4"/>
  <c r="R2531" i="4"/>
  <c r="S2531" i="4"/>
  <c r="L2532" i="4"/>
  <c r="M2532" i="4"/>
  <c r="N2532" i="4"/>
  <c r="O2532" i="4"/>
  <c r="P2532" i="4"/>
  <c r="Q2532" i="4"/>
  <c r="R2532" i="4"/>
  <c r="S2532" i="4"/>
  <c r="L2533" i="4"/>
  <c r="M2533" i="4"/>
  <c r="N2533" i="4"/>
  <c r="O2533" i="4"/>
  <c r="P2533" i="4"/>
  <c r="Q2533" i="4"/>
  <c r="R2533" i="4"/>
  <c r="S2533" i="4"/>
  <c r="L2534" i="4"/>
  <c r="M2534" i="4"/>
  <c r="N2534" i="4"/>
  <c r="O2534" i="4"/>
  <c r="P2534" i="4"/>
  <c r="Q2534" i="4"/>
  <c r="R2534" i="4"/>
  <c r="S2534" i="4"/>
  <c r="L2535" i="4"/>
  <c r="M2535" i="4"/>
  <c r="N2535" i="4"/>
  <c r="O2535" i="4"/>
  <c r="P2535" i="4"/>
  <c r="Q2535" i="4"/>
  <c r="R2535" i="4"/>
  <c r="S2535" i="4"/>
  <c r="L2536" i="4"/>
  <c r="M2536" i="4"/>
  <c r="N2536" i="4"/>
  <c r="O2536" i="4"/>
  <c r="P2536" i="4"/>
  <c r="Q2536" i="4"/>
  <c r="R2536" i="4"/>
  <c r="S2536" i="4"/>
  <c r="L2537" i="4"/>
  <c r="M2537" i="4"/>
  <c r="N2537" i="4"/>
  <c r="O2537" i="4"/>
  <c r="P2537" i="4"/>
  <c r="Q2537" i="4"/>
  <c r="R2537" i="4"/>
  <c r="S2537" i="4"/>
  <c r="L2538" i="4"/>
  <c r="M2538" i="4"/>
  <c r="N2538" i="4"/>
  <c r="O2538" i="4"/>
  <c r="P2538" i="4"/>
  <c r="Q2538" i="4"/>
  <c r="R2538" i="4"/>
  <c r="S2538" i="4"/>
  <c r="L2539" i="4"/>
  <c r="M2539" i="4"/>
  <c r="N2539" i="4"/>
  <c r="O2539" i="4"/>
  <c r="P2539" i="4"/>
  <c r="Q2539" i="4"/>
  <c r="R2539" i="4"/>
  <c r="S2539" i="4"/>
  <c r="L2540" i="4"/>
  <c r="M2540" i="4"/>
  <c r="N2540" i="4"/>
  <c r="O2540" i="4"/>
  <c r="P2540" i="4"/>
  <c r="Q2540" i="4"/>
  <c r="R2540" i="4"/>
  <c r="S2540" i="4"/>
  <c r="L2541" i="4"/>
  <c r="M2541" i="4"/>
  <c r="N2541" i="4"/>
  <c r="O2541" i="4"/>
  <c r="P2541" i="4"/>
  <c r="Q2541" i="4"/>
  <c r="R2541" i="4"/>
  <c r="S2541" i="4"/>
  <c r="L2542" i="4"/>
  <c r="M2542" i="4"/>
  <c r="N2542" i="4"/>
  <c r="O2542" i="4"/>
  <c r="P2542" i="4"/>
  <c r="Q2542" i="4"/>
  <c r="R2542" i="4"/>
  <c r="S2542" i="4"/>
  <c r="L2543" i="4"/>
  <c r="M2543" i="4"/>
  <c r="N2543" i="4"/>
  <c r="O2543" i="4"/>
  <c r="P2543" i="4"/>
  <c r="Q2543" i="4"/>
  <c r="R2543" i="4"/>
  <c r="S2543" i="4"/>
  <c r="L2544" i="4"/>
  <c r="M2544" i="4"/>
  <c r="N2544" i="4"/>
  <c r="O2544" i="4"/>
  <c r="P2544" i="4"/>
  <c r="Q2544" i="4"/>
  <c r="R2544" i="4"/>
  <c r="S2544" i="4"/>
  <c r="L2545" i="4"/>
  <c r="M2545" i="4"/>
  <c r="N2545" i="4"/>
  <c r="O2545" i="4"/>
  <c r="P2545" i="4"/>
  <c r="Q2545" i="4"/>
  <c r="R2545" i="4"/>
  <c r="S2545" i="4"/>
  <c r="L2546" i="4"/>
  <c r="M2546" i="4"/>
  <c r="N2546" i="4"/>
  <c r="O2546" i="4"/>
  <c r="P2546" i="4"/>
  <c r="Q2546" i="4"/>
  <c r="R2546" i="4"/>
  <c r="S2546" i="4"/>
  <c r="L2547" i="4"/>
  <c r="M2547" i="4"/>
  <c r="N2547" i="4"/>
  <c r="O2547" i="4"/>
  <c r="P2547" i="4"/>
  <c r="Q2547" i="4"/>
  <c r="R2547" i="4"/>
  <c r="S2547" i="4"/>
  <c r="L2548" i="4"/>
  <c r="M2548" i="4"/>
  <c r="N2548" i="4"/>
  <c r="O2548" i="4"/>
  <c r="P2548" i="4"/>
  <c r="Q2548" i="4"/>
  <c r="R2548" i="4"/>
  <c r="S2548" i="4"/>
  <c r="L2549" i="4"/>
  <c r="M2549" i="4"/>
  <c r="N2549" i="4"/>
  <c r="O2549" i="4"/>
  <c r="P2549" i="4"/>
  <c r="Q2549" i="4"/>
  <c r="R2549" i="4"/>
  <c r="S2549" i="4"/>
  <c r="L2550" i="4"/>
  <c r="M2550" i="4"/>
  <c r="N2550" i="4"/>
  <c r="O2550" i="4"/>
  <c r="P2550" i="4"/>
  <c r="Q2550" i="4"/>
  <c r="R2550" i="4"/>
  <c r="S2550" i="4"/>
  <c r="L2551" i="4"/>
  <c r="M2551" i="4"/>
  <c r="N2551" i="4"/>
  <c r="O2551" i="4"/>
  <c r="P2551" i="4"/>
  <c r="Q2551" i="4"/>
  <c r="R2551" i="4"/>
  <c r="S2551" i="4"/>
  <c r="L2552" i="4"/>
  <c r="M2552" i="4"/>
  <c r="N2552" i="4"/>
  <c r="O2552" i="4"/>
  <c r="P2552" i="4"/>
  <c r="Q2552" i="4"/>
  <c r="R2552" i="4"/>
  <c r="S2552" i="4"/>
  <c r="L2553" i="4"/>
  <c r="M2553" i="4"/>
  <c r="N2553" i="4"/>
  <c r="O2553" i="4"/>
  <c r="P2553" i="4"/>
  <c r="Q2553" i="4"/>
  <c r="R2553" i="4"/>
  <c r="S2553" i="4"/>
  <c r="L2554" i="4"/>
  <c r="M2554" i="4"/>
  <c r="N2554" i="4"/>
  <c r="O2554" i="4"/>
  <c r="P2554" i="4"/>
  <c r="Q2554" i="4"/>
  <c r="R2554" i="4"/>
  <c r="S2554" i="4"/>
  <c r="L2555" i="4"/>
  <c r="M2555" i="4"/>
  <c r="N2555" i="4"/>
  <c r="O2555" i="4"/>
  <c r="P2555" i="4"/>
  <c r="Q2555" i="4"/>
  <c r="R2555" i="4"/>
  <c r="S2555" i="4"/>
  <c r="L2556" i="4"/>
  <c r="M2556" i="4"/>
  <c r="N2556" i="4"/>
  <c r="O2556" i="4"/>
  <c r="P2556" i="4"/>
  <c r="Q2556" i="4"/>
  <c r="R2556" i="4"/>
  <c r="S2556" i="4"/>
  <c r="L2557" i="4"/>
  <c r="M2557" i="4"/>
  <c r="N2557" i="4"/>
  <c r="O2557" i="4"/>
  <c r="P2557" i="4"/>
  <c r="Q2557" i="4"/>
  <c r="R2557" i="4"/>
  <c r="S2557" i="4"/>
  <c r="L2558" i="4"/>
  <c r="M2558" i="4"/>
  <c r="N2558" i="4"/>
  <c r="O2558" i="4"/>
  <c r="P2558" i="4"/>
  <c r="Q2558" i="4"/>
  <c r="R2558" i="4"/>
  <c r="S2558" i="4"/>
  <c r="L2559" i="4"/>
  <c r="M2559" i="4"/>
  <c r="N2559" i="4"/>
  <c r="O2559" i="4"/>
  <c r="P2559" i="4"/>
  <c r="Q2559" i="4"/>
  <c r="R2559" i="4"/>
  <c r="S2559" i="4"/>
  <c r="L2560" i="4"/>
  <c r="M2560" i="4"/>
  <c r="N2560" i="4"/>
  <c r="O2560" i="4"/>
  <c r="P2560" i="4"/>
  <c r="Q2560" i="4"/>
  <c r="R2560" i="4"/>
  <c r="S2560" i="4"/>
  <c r="L2561" i="4"/>
  <c r="M2561" i="4"/>
  <c r="N2561" i="4"/>
  <c r="O2561" i="4"/>
  <c r="P2561" i="4"/>
  <c r="Q2561" i="4"/>
  <c r="R2561" i="4"/>
  <c r="S2561" i="4"/>
  <c r="L2562" i="4"/>
  <c r="M2562" i="4"/>
  <c r="N2562" i="4"/>
  <c r="O2562" i="4"/>
  <c r="P2562" i="4"/>
  <c r="Q2562" i="4"/>
  <c r="R2562" i="4"/>
  <c r="S2562" i="4"/>
  <c r="L2563" i="4"/>
  <c r="M2563" i="4"/>
  <c r="N2563" i="4"/>
  <c r="O2563" i="4"/>
  <c r="P2563" i="4"/>
  <c r="Q2563" i="4"/>
  <c r="R2563" i="4"/>
  <c r="S2563" i="4"/>
  <c r="L2564" i="4"/>
  <c r="M2564" i="4"/>
  <c r="N2564" i="4"/>
  <c r="O2564" i="4"/>
  <c r="P2564" i="4"/>
  <c r="Q2564" i="4"/>
  <c r="R2564" i="4"/>
  <c r="S2564" i="4"/>
  <c r="L2565" i="4"/>
  <c r="M2565" i="4"/>
  <c r="N2565" i="4"/>
  <c r="O2565" i="4"/>
  <c r="P2565" i="4"/>
  <c r="Q2565" i="4"/>
  <c r="R2565" i="4"/>
  <c r="S2565" i="4"/>
  <c r="L2566" i="4"/>
  <c r="M2566" i="4"/>
  <c r="N2566" i="4"/>
  <c r="O2566" i="4"/>
  <c r="P2566" i="4"/>
  <c r="Q2566" i="4"/>
  <c r="R2566" i="4"/>
  <c r="S2566" i="4"/>
  <c r="L2567" i="4"/>
  <c r="M2567" i="4"/>
  <c r="N2567" i="4"/>
  <c r="O2567" i="4"/>
  <c r="P2567" i="4"/>
  <c r="Q2567" i="4"/>
  <c r="R2567" i="4"/>
  <c r="S2567" i="4"/>
  <c r="L2568" i="4"/>
  <c r="M2568" i="4"/>
  <c r="N2568" i="4"/>
  <c r="O2568" i="4"/>
  <c r="P2568" i="4"/>
  <c r="Q2568" i="4"/>
  <c r="R2568" i="4"/>
  <c r="S2568" i="4"/>
  <c r="L2569" i="4"/>
  <c r="M2569" i="4"/>
  <c r="N2569" i="4"/>
  <c r="O2569" i="4"/>
  <c r="P2569" i="4"/>
  <c r="Q2569" i="4"/>
  <c r="R2569" i="4"/>
  <c r="S2569" i="4"/>
  <c r="L2570" i="4"/>
  <c r="M2570" i="4"/>
  <c r="N2570" i="4"/>
  <c r="O2570" i="4"/>
  <c r="P2570" i="4"/>
  <c r="Q2570" i="4"/>
  <c r="R2570" i="4"/>
  <c r="S2570" i="4"/>
  <c r="L2571" i="4"/>
  <c r="M2571" i="4"/>
  <c r="N2571" i="4"/>
  <c r="O2571" i="4"/>
  <c r="P2571" i="4"/>
  <c r="Q2571" i="4"/>
  <c r="R2571" i="4"/>
  <c r="S2571" i="4"/>
  <c r="L2572" i="4"/>
  <c r="M2572" i="4"/>
  <c r="N2572" i="4"/>
  <c r="O2572" i="4"/>
  <c r="P2572" i="4"/>
  <c r="Q2572" i="4"/>
  <c r="R2572" i="4"/>
  <c r="S2572" i="4"/>
  <c r="L2573" i="4"/>
  <c r="M2573" i="4"/>
  <c r="N2573" i="4"/>
  <c r="O2573" i="4"/>
  <c r="P2573" i="4"/>
  <c r="Q2573" i="4"/>
  <c r="R2573" i="4"/>
  <c r="S2573" i="4"/>
  <c r="L2574" i="4"/>
  <c r="M2574" i="4"/>
  <c r="N2574" i="4"/>
  <c r="O2574" i="4"/>
  <c r="P2574" i="4"/>
  <c r="Q2574" i="4"/>
  <c r="R2574" i="4"/>
  <c r="S2574" i="4"/>
  <c r="L2575" i="4"/>
  <c r="M2575" i="4"/>
  <c r="N2575" i="4"/>
  <c r="O2575" i="4"/>
  <c r="P2575" i="4"/>
  <c r="Q2575" i="4"/>
  <c r="R2575" i="4"/>
  <c r="S2575" i="4"/>
  <c r="L2576" i="4"/>
  <c r="M2576" i="4"/>
  <c r="N2576" i="4"/>
  <c r="O2576" i="4"/>
  <c r="P2576" i="4"/>
  <c r="Q2576" i="4"/>
  <c r="R2576" i="4"/>
  <c r="S2576" i="4"/>
  <c r="L2577" i="4"/>
  <c r="M2577" i="4"/>
  <c r="N2577" i="4"/>
  <c r="O2577" i="4"/>
  <c r="P2577" i="4"/>
  <c r="Q2577" i="4"/>
  <c r="R2577" i="4"/>
  <c r="S2577" i="4"/>
  <c r="L2578" i="4"/>
  <c r="M2578" i="4"/>
  <c r="N2578" i="4"/>
  <c r="O2578" i="4"/>
  <c r="P2578" i="4"/>
  <c r="Q2578" i="4"/>
  <c r="R2578" i="4"/>
  <c r="S2578" i="4"/>
  <c r="L2579" i="4"/>
  <c r="M2579" i="4"/>
  <c r="N2579" i="4"/>
  <c r="O2579" i="4"/>
  <c r="P2579" i="4"/>
  <c r="Q2579" i="4"/>
  <c r="R2579" i="4"/>
  <c r="S2579" i="4"/>
  <c r="L2580" i="4"/>
  <c r="M2580" i="4"/>
  <c r="N2580" i="4"/>
  <c r="O2580" i="4"/>
  <c r="P2580" i="4"/>
  <c r="Q2580" i="4"/>
  <c r="R2580" i="4"/>
  <c r="S2580" i="4"/>
  <c r="L2581" i="4"/>
  <c r="M2581" i="4"/>
  <c r="N2581" i="4"/>
  <c r="O2581" i="4"/>
  <c r="P2581" i="4"/>
  <c r="Q2581" i="4"/>
  <c r="R2581" i="4"/>
  <c r="S2581" i="4"/>
  <c r="L2582" i="4"/>
  <c r="M2582" i="4"/>
  <c r="N2582" i="4"/>
  <c r="O2582" i="4"/>
  <c r="P2582" i="4"/>
  <c r="Q2582" i="4"/>
  <c r="R2582" i="4"/>
  <c r="S2582" i="4"/>
  <c r="L2583" i="4"/>
  <c r="M2583" i="4"/>
  <c r="N2583" i="4"/>
  <c r="O2583" i="4"/>
  <c r="P2583" i="4"/>
  <c r="Q2583" i="4"/>
  <c r="R2583" i="4"/>
  <c r="S2583" i="4"/>
  <c r="L2584" i="4"/>
  <c r="M2584" i="4"/>
  <c r="N2584" i="4"/>
  <c r="O2584" i="4"/>
  <c r="P2584" i="4"/>
  <c r="Q2584" i="4"/>
  <c r="R2584" i="4"/>
  <c r="S2584" i="4"/>
  <c r="L2585" i="4"/>
  <c r="M2585" i="4"/>
  <c r="N2585" i="4"/>
  <c r="O2585" i="4"/>
  <c r="P2585" i="4"/>
  <c r="Q2585" i="4"/>
  <c r="R2585" i="4"/>
  <c r="S2585" i="4"/>
  <c r="L2586" i="4"/>
  <c r="M2586" i="4"/>
  <c r="N2586" i="4"/>
  <c r="O2586" i="4"/>
  <c r="P2586" i="4"/>
  <c r="Q2586" i="4"/>
  <c r="R2586" i="4"/>
  <c r="S2586" i="4"/>
  <c r="L2587" i="4"/>
  <c r="M2587" i="4"/>
  <c r="N2587" i="4"/>
  <c r="O2587" i="4"/>
  <c r="P2587" i="4"/>
  <c r="Q2587" i="4"/>
  <c r="R2587" i="4"/>
  <c r="S2587" i="4"/>
  <c r="L2588" i="4"/>
  <c r="M2588" i="4"/>
  <c r="N2588" i="4"/>
  <c r="O2588" i="4"/>
  <c r="P2588" i="4"/>
  <c r="Q2588" i="4"/>
  <c r="R2588" i="4"/>
  <c r="S2588" i="4"/>
  <c r="L2589" i="4"/>
  <c r="M2589" i="4"/>
  <c r="N2589" i="4"/>
  <c r="O2589" i="4"/>
  <c r="P2589" i="4"/>
  <c r="Q2589" i="4"/>
  <c r="R2589" i="4"/>
  <c r="S2589" i="4"/>
  <c r="L2590" i="4"/>
  <c r="M2590" i="4"/>
  <c r="N2590" i="4"/>
  <c r="O2590" i="4"/>
  <c r="P2590" i="4"/>
  <c r="Q2590" i="4"/>
  <c r="R2590" i="4"/>
  <c r="S2590" i="4"/>
  <c r="L2591" i="4"/>
  <c r="M2591" i="4"/>
  <c r="N2591" i="4"/>
  <c r="O2591" i="4"/>
  <c r="P2591" i="4"/>
  <c r="Q2591" i="4"/>
  <c r="R2591" i="4"/>
  <c r="S2591" i="4"/>
  <c r="L2592" i="4"/>
  <c r="M2592" i="4"/>
  <c r="N2592" i="4"/>
  <c r="O2592" i="4"/>
  <c r="P2592" i="4"/>
  <c r="Q2592" i="4"/>
  <c r="R2592" i="4"/>
  <c r="S2592" i="4"/>
  <c r="L2593" i="4"/>
  <c r="M2593" i="4"/>
  <c r="N2593" i="4"/>
  <c r="O2593" i="4"/>
  <c r="P2593" i="4"/>
  <c r="Q2593" i="4"/>
  <c r="R2593" i="4"/>
  <c r="S2593" i="4"/>
  <c r="L2594" i="4"/>
  <c r="M2594" i="4"/>
  <c r="N2594" i="4"/>
  <c r="O2594" i="4"/>
  <c r="P2594" i="4"/>
  <c r="Q2594" i="4"/>
  <c r="R2594" i="4"/>
  <c r="S2594" i="4"/>
  <c r="L2595" i="4"/>
  <c r="M2595" i="4"/>
  <c r="N2595" i="4"/>
  <c r="O2595" i="4"/>
  <c r="P2595" i="4"/>
  <c r="Q2595" i="4"/>
  <c r="R2595" i="4"/>
  <c r="S2595" i="4"/>
  <c r="L2596" i="4"/>
  <c r="M2596" i="4"/>
  <c r="N2596" i="4"/>
  <c r="O2596" i="4"/>
  <c r="P2596" i="4"/>
  <c r="Q2596" i="4"/>
  <c r="R2596" i="4"/>
  <c r="S2596" i="4"/>
  <c r="L2597" i="4"/>
  <c r="M2597" i="4"/>
  <c r="N2597" i="4"/>
  <c r="O2597" i="4"/>
  <c r="P2597" i="4"/>
  <c r="Q2597" i="4"/>
  <c r="R2597" i="4"/>
  <c r="S2597" i="4"/>
  <c r="L2598" i="4"/>
  <c r="M2598" i="4"/>
  <c r="N2598" i="4"/>
  <c r="O2598" i="4"/>
  <c r="P2598" i="4"/>
  <c r="Q2598" i="4"/>
  <c r="R2598" i="4"/>
  <c r="S2598" i="4"/>
  <c r="L2599" i="4"/>
  <c r="M2599" i="4"/>
  <c r="N2599" i="4"/>
  <c r="O2599" i="4"/>
  <c r="P2599" i="4"/>
  <c r="Q2599" i="4"/>
  <c r="R2599" i="4"/>
  <c r="S2599" i="4"/>
  <c r="L2600" i="4"/>
  <c r="M2600" i="4"/>
  <c r="N2600" i="4"/>
  <c r="O2600" i="4"/>
  <c r="P2600" i="4"/>
  <c r="Q2600" i="4"/>
  <c r="R2600" i="4"/>
  <c r="S2600" i="4"/>
  <c r="L2601" i="4"/>
  <c r="M2601" i="4"/>
  <c r="N2601" i="4"/>
  <c r="O2601" i="4"/>
  <c r="P2601" i="4"/>
  <c r="Q2601" i="4"/>
  <c r="R2601" i="4"/>
  <c r="S2601" i="4"/>
  <c r="L2602" i="4"/>
  <c r="M2602" i="4"/>
  <c r="N2602" i="4"/>
  <c r="O2602" i="4"/>
  <c r="P2602" i="4"/>
  <c r="Q2602" i="4"/>
  <c r="R2602" i="4"/>
  <c r="S2602" i="4"/>
  <c r="L2603" i="4"/>
  <c r="M2603" i="4"/>
  <c r="N2603" i="4"/>
  <c r="O2603" i="4"/>
  <c r="P2603" i="4"/>
  <c r="Q2603" i="4"/>
  <c r="R2603" i="4"/>
  <c r="S2603" i="4"/>
  <c r="L2604" i="4"/>
  <c r="M2604" i="4"/>
  <c r="N2604" i="4"/>
  <c r="O2604" i="4"/>
  <c r="P2604" i="4"/>
  <c r="Q2604" i="4"/>
  <c r="R2604" i="4"/>
  <c r="S2604" i="4"/>
  <c r="L2605" i="4"/>
  <c r="M2605" i="4"/>
  <c r="N2605" i="4"/>
  <c r="O2605" i="4"/>
  <c r="P2605" i="4"/>
  <c r="Q2605" i="4"/>
  <c r="R2605" i="4"/>
  <c r="S2605" i="4"/>
  <c r="L2606" i="4"/>
  <c r="M2606" i="4"/>
  <c r="N2606" i="4"/>
  <c r="O2606" i="4"/>
  <c r="P2606" i="4"/>
  <c r="Q2606" i="4"/>
  <c r="R2606" i="4"/>
  <c r="S2606" i="4"/>
  <c r="L2607" i="4"/>
  <c r="M2607" i="4"/>
  <c r="N2607" i="4"/>
  <c r="O2607" i="4"/>
  <c r="P2607" i="4"/>
  <c r="Q2607" i="4"/>
  <c r="R2607" i="4"/>
  <c r="S2607" i="4"/>
  <c r="L2608" i="4"/>
  <c r="M2608" i="4"/>
  <c r="N2608" i="4"/>
  <c r="O2608" i="4"/>
  <c r="P2608" i="4"/>
  <c r="Q2608" i="4"/>
  <c r="R2608" i="4"/>
  <c r="S2608" i="4"/>
  <c r="L2609" i="4"/>
  <c r="M2609" i="4"/>
  <c r="N2609" i="4"/>
  <c r="O2609" i="4"/>
  <c r="P2609" i="4"/>
  <c r="Q2609" i="4"/>
  <c r="R2609" i="4"/>
  <c r="S2609" i="4"/>
  <c r="L2610" i="4"/>
  <c r="M2610" i="4"/>
  <c r="N2610" i="4"/>
  <c r="O2610" i="4"/>
  <c r="P2610" i="4"/>
  <c r="Q2610" i="4"/>
  <c r="R2610" i="4"/>
  <c r="S2610" i="4"/>
  <c r="L2611" i="4"/>
  <c r="M2611" i="4"/>
  <c r="N2611" i="4"/>
  <c r="O2611" i="4"/>
  <c r="P2611" i="4"/>
  <c r="Q2611" i="4"/>
  <c r="R2611" i="4"/>
  <c r="S2611" i="4"/>
  <c r="L2612" i="4"/>
  <c r="M2612" i="4"/>
  <c r="N2612" i="4"/>
  <c r="O2612" i="4"/>
  <c r="P2612" i="4"/>
  <c r="Q2612" i="4"/>
  <c r="R2612" i="4"/>
  <c r="S2612" i="4"/>
  <c r="L2613" i="4"/>
  <c r="M2613" i="4"/>
  <c r="N2613" i="4"/>
  <c r="O2613" i="4"/>
  <c r="P2613" i="4"/>
  <c r="Q2613" i="4"/>
  <c r="R2613" i="4"/>
  <c r="S2613" i="4"/>
  <c r="L2614" i="4"/>
  <c r="M2614" i="4"/>
  <c r="N2614" i="4"/>
  <c r="O2614" i="4"/>
  <c r="P2614" i="4"/>
  <c r="Q2614" i="4"/>
  <c r="R2614" i="4"/>
  <c r="S2614" i="4"/>
  <c r="L2615" i="4"/>
  <c r="M2615" i="4"/>
  <c r="N2615" i="4"/>
  <c r="O2615" i="4"/>
  <c r="P2615" i="4"/>
  <c r="Q2615" i="4"/>
  <c r="R2615" i="4"/>
  <c r="S2615" i="4"/>
  <c r="L2616" i="4"/>
  <c r="M2616" i="4"/>
  <c r="N2616" i="4"/>
  <c r="O2616" i="4"/>
  <c r="P2616" i="4"/>
  <c r="Q2616" i="4"/>
  <c r="R2616" i="4"/>
  <c r="S2616" i="4"/>
  <c r="L2617" i="4"/>
  <c r="M2617" i="4"/>
  <c r="N2617" i="4"/>
  <c r="O2617" i="4"/>
  <c r="P2617" i="4"/>
  <c r="Q2617" i="4"/>
  <c r="R2617" i="4"/>
  <c r="S2617" i="4"/>
  <c r="L2618" i="4"/>
  <c r="M2618" i="4"/>
  <c r="N2618" i="4"/>
  <c r="O2618" i="4"/>
  <c r="P2618" i="4"/>
  <c r="Q2618" i="4"/>
  <c r="R2618" i="4"/>
  <c r="S2618" i="4"/>
  <c r="L2619" i="4"/>
  <c r="M2619" i="4"/>
  <c r="N2619" i="4"/>
  <c r="O2619" i="4"/>
  <c r="P2619" i="4"/>
  <c r="Q2619" i="4"/>
  <c r="R2619" i="4"/>
  <c r="S2619" i="4"/>
  <c r="L2620" i="4"/>
  <c r="M2620" i="4"/>
  <c r="N2620" i="4"/>
  <c r="O2620" i="4"/>
  <c r="P2620" i="4"/>
  <c r="Q2620" i="4"/>
  <c r="R2620" i="4"/>
  <c r="S2620" i="4"/>
  <c r="L2621" i="4"/>
  <c r="M2621" i="4"/>
  <c r="N2621" i="4"/>
  <c r="O2621" i="4"/>
  <c r="P2621" i="4"/>
  <c r="Q2621" i="4"/>
  <c r="R2621" i="4"/>
  <c r="S2621" i="4"/>
  <c r="L2622" i="4"/>
  <c r="M2622" i="4"/>
  <c r="N2622" i="4"/>
  <c r="O2622" i="4"/>
  <c r="P2622" i="4"/>
  <c r="Q2622" i="4"/>
  <c r="R2622" i="4"/>
  <c r="S2622" i="4"/>
  <c r="L2623" i="4"/>
  <c r="M2623" i="4"/>
  <c r="N2623" i="4"/>
  <c r="O2623" i="4"/>
  <c r="P2623" i="4"/>
  <c r="Q2623" i="4"/>
  <c r="R2623" i="4"/>
  <c r="S2623" i="4"/>
  <c r="L2624" i="4"/>
  <c r="M2624" i="4"/>
  <c r="N2624" i="4"/>
  <c r="O2624" i="4"/>
  <c r="P2624" i="4"/>
  <c r="Q2624" i="4"/>
  <c r="R2624" i="4"/>
  <c r="S2624" i="4"/>
  <c r="L2625" i="4"/>
  <c r="M2625" i="4"/>
  <c r="N2625" i="4"/>
  <c r="O2625" i="4"/>
  <c r="P2625" i="4"/>
  <c r="Q2625" i="4"/>
  <c r="R2625" i="4"/>
  <c r="S2625" i="4"/>
  <c r="L2626" i="4"/>
  <c r="M2626" i="4"/>
  <c r="N2626" i="4"/>
  <c r="O2626" i="4"/>
  <c r="P2626" i="4"/>
  <c r="Q2626" i="4"/>
  <c r="R2626" i="4"/>
  <c r="S2626" i="4"/>
  <c r="L2627" i="4"/>
  <c r="M2627" i="4"/>
  <c r="N2627" i="4"/>
  <c r="O2627" i="4"/>
  <c r="P2627" i="4"/>
  <c r="Q2627" i="4"/>
  <c r="R2627" i="4"/>
  <c r="S2627" i="4"/>
  <c r="L2628" i="4"/>
  <c r="M2628" i="4"/>
  <c r="N2628" i="4"/>
  <c r="O2628" i="4"/>
  <c r="P2628" i="4"/>
  <c r="Q2628" i="4"/>
  <c r="R2628" i="4"/>
  <c r="S2628" i="4"/>
  <c r="L2629" i="4"/>
  <c r="M2629" i="4"/>
  <c r="N2629" i="4"/>
  <c r="O2629" i="4"/>
  <c r="P2629" i="4"/>
  <c r="Q2629" i="4"/>
  <c r="R2629" i="4"/>
  <c r="S2629" i="4"/>
  <c r="L2630" i="4"/>
  <c r="M2630" i="4"/>
  <c r="N2630" i="4"/>
  <c r="O2630" i="4"/>
  <c r="P2630" i="4"/>
  <c r="Q2630" i="4"/>
  <c r="R2630" i="4"/>
  <c r="S2630" i="4"/>
  <c r="L2631" i="4"/>
  <c r="M2631" i="4"/>
  <c r="N2631" i="4"/>
  <c r="O2631" i="4"/>
  <c r="P2631" i="4"/>
  <c r="Q2631" i="4"/>
  <c r="R2631" i="4"/>
  <c r="S2631" i="4"/>
  <c r="L2632" i="4"/>
  <c r="M2632" i="4"/>
  <c r="N2632" i="4"/>
  <c r="O2632" i="4"/>
  <c r="P2632" i="4"/>
  <c r="Q2632" i="4"/>
  <c r="R2632" i="4"/>
  <c r="S2632" i="4"/>
  <c r="L2633" i="4"/>
  <c r="M2633" i="4"/>
  <c r="N2633" i="4"/>
  <c r="O2633" i="4"/>
  <c r="P2633" i="4"/>
  <c r="Q2633" i="4"/>
  <c r="R2633" i="4"/>
  <c r="S2633" i="4"/>
  <c r="L2634" i="4"/>
  <c r="M2634" i="4"/>
  <c r="N2634" i="4"/>
  <c r="O2634" i="4"/>
  <c r="P2634" i="4"/>
  <c r="Q2634" i="4"/>
  <c r="R2634" i="4"/>
  <c r="S2634" i="4"/>
  <c r="L2635" i="4"/>
  <c r="M2635" i="4"/>
  <c r="N2635" i="4"/>
  <c r="O2635" i="4"/>
  <c r="P2635" i="4"/>
  <c r="Q2635" i="4"/>
  <c r="R2635" i="4"/>
  <c r="S2635" i="4"/>
  <c r="L2636" i="4"/>
  <c r="M2636" i="4"/>
  <c r="N2636" i="4"/>
  <c r="O2636" i="4"/>
  <c r="P2636" i="4"/>
  <c r="Q2636" i="4"/>
  <c r="R2636" i="4"/>
  <c r="S2636" i="4"/>
  <c r="L2637" i="4"/>
  <c r="M2637" i="4"/>
  <c r="N2637" i="4"/>
  <c r="O2637" i="4"/>
  <c r="P2637" i="4"/>
  <c r="Q2637" i="4"/>
  <c r="R2637" i="4"/>
  <c r="S2637" i="4"/>
  <c r="L2638" i="4"/>
  <c r="M2638" i="4"/>
  <c r="N2638" i="4"/>
  <c r="O2638" i="4"/>
  <c r="P2638" i="4"/>
  <c r="Q2638" i="4"/>
  <c r="R2638" i="4"/>
  <c r="S2638" i="4"/>
  <c r="L2639" i="4"/>
  <c r="M2639" i="4"/>
  <c r="N2639" i="4"/>
  <c r="O2639" i="4"/>
  <c r="P2639" i="4"/>
  <c r="Q2639" i="4"/>
  <c r="R2639" i="4"/>
  <c r="S2639" i="4"/>
  <c r="L2640" i="4"/>
  <c r="M2640" i="4"/>
  <c r="N2640" i="4"/>
  <c r="O2640" i="4"/>
  <c r="P2640" i="4"/>
  <c r="Q2640" i="4"/>
  <c r="R2640" i="4"/>
  <c r="S2640" i="4"/>
  <c r="L2641" i="4"/>
  <c r="M2641" i="4"/>
  <c r="N2641" i="4"/>
  <c r="O2641" i="4"/>
  <c r="P2641" i="4"/>
  <c r="Q2641" i="4"/>
  <c r="R2641" i="4"/>
  <c r="S2641" i="4"/>
  <c r="L2642" i="4"/>
  <c r="M2642" i="4"/>
  <c r="N2642" i="4"/>
  <c r="O2642" i="4"/>
  <c r="P2642" i="4"/>
  <c r="Q2642" i="4"/>
  <c r="R2642" i="4"/>
  <c r="S2642" i="4"/>
  <c r="L2643" i="4"/>
  <c r="M2643" i="4"/>
  <c r="N2643" i="4"/>
  <c r="O2643" i="4"/>
  <c r="P2643" i="4"/>
  <c r="Q2643" i="4"/>
  <c r="R2643" i="4"/>
  <c r="S2643" i="4"/>
  <c r="L2644" i="4"/>
  <c r="M2644" i="4"/>
  <c r="N2644" i="4"/>
  <c r="O2644" i="4"/>
  <c r="P2644" i="4"/>
  <c r="Q2644" i="4"/>
  <c r="R2644" i="4"/>
  <c r="S2644" i="4"/>
  <c r="L2645" i="4"/>
  <c r="M2645" i="4"/>
  <c r="N2645" i="4"/>
  <c r="O2645" i="4"/>
  <c r="P2645" i="4"/>
  <c r="Q2645" i="4"/>
  <c r="R2645" i="4"/>
  <c r="S2645" i="4"/>
  <c r="L2646" i="4"/>
  <c r="M2646" i="4"/>
  <c r="N2646" i="4"/>
  <c r="O2646" i="4"/>
  <c r="P2646" i="4"/>
  <c r="Q2646" i="4"/>
  <c r="R2646" i="4"/>
  <c r="S2646" i="4"/>
  <c r="L2647" i="4"/>
  <c r="M2647" i="4"/>
  <c r="N2647" i="4"/>
  <c r="O2647" i="4"/>
  <c r="P2647" i="4"/>
  <c r="Q2647" i="4"/>
  <c r="R2647" i="4"/>
  <c r="S2647" i="4"/>
  <c r="L2648" i="4"/>
  <c r="M2648" i="4"/>
  <c r="N2648" i="4"/>
  <c r="O2648" i="4"/>
  <c r="P2648" i="4"/>
  <c r="Q2648" i="4"/>
  <c r="R2648" i="4"/>
  <c r="S2648" i="4"/>
  <c r="L2649" i="4"/>
  <c r="M2649" i="4"/>
  <c r="N2649" i="4"/>
  <c r="O2649" i="4"/>
  <c r="P2649" i="4"/>
  <c r="Q2649" i="4"/>
  <c r="R2649" i="4"/>
  <c r="S2649" i="4"/>
  <c r="L2650" i="4"/>
  <c r="M2650" i="4"/>
  <c r="N2650" i="4"/>
  <c r="O2650" i="4"/>
  <c r="P2650" i="4"/>
  <c r="Q2650" i="4"/>
  <c r="R2650" i="4"/>
  <c r="S2650" i="4"/>
  <c r="L2651" i="4"/>
  <c r="M2651" i="4"/>
  <c r="N2651" i="4"/>
  <c r="O2651" i="4"/>
  <c r="P2651" i="4"/>
  <c r="Q2651" i="4"/>
  <c r="R2651" i="4"/>
  <c r="S2651" i="4"/>
  <c r="L2652" i="4"/>
  <c r="M2652" i="4"/>
  <c r="N2652" i="4"/>
  <c r="O2652" i="4"/>
  <c r="P2652" i="4"/>
  <c r="Q2652" i="4"/>
  <c r="R2652" i="4"/>
  <c r="S2652" i="4"/>
  <c r="L2653" i="4"/>
  <c r="M2653" i="4"/>
  <c r="N2653" i="4"/>
  <c r="O2653" i="4"/>
  <c r="P2653" i="4"/>
  <c r="Q2653" i="4"/>
  <c r="R2653" i="4"/>
  <c r="S2653" i="4"/>
  <c r="L2654" i="4"/>
  <c r="M2654" i="4"/>
  <c r="N2654" i="4"/>
  <c r="O2654" i="4"/>
  <c r="P2654" i="4"/>
  <c r="Q2654" i="4"/>
  <c r="R2654" i="4"/>
  <c r="S2654" i="4"/>
  <c r="L2655" i="4"/>
  <c r="M2655" i="4"/>
  <c r="N2655" i="4"/>
  <c r="O2655" i="4"/>
  <c r="P2655" i="4"/>
  <c r="Q2655" i="4"/>
  <c r="R2655" i="4"/>
  <c r="S2655" i="4"/>
  <c r="L2656" i="4"/>
  <c r="M2656" i="4"/>
  <c r="N2656" i="4"/>
  <c r="O2656" i="4"/>
  <c r="P2656" i="4"/>
  <c r="Q2656" i="4"/>
  <c r="R2656" i="4"/>
  <c r="S2656" i="4"/>
  <c r="L2657" i="4"/>
  <c r="M2657" i="4"/>
  <c r="N2657" i="4"/>
  <c r="O2657" i="4"/>
  <c r="P2657" i="4"/>
  <c r="Q2657" i="4"/>
  <c r="R2657" i="4"/>
  <c r="S2657" i="4"/>
  <c r="L2658" i="4"/>
  <c r="M2658" i="4"/>
  <c r="N2658" i="4"/>
  <c r="O2658" i="4"/>
  <c r="P2658" i="4"/>
  <c r="Q2658" i="4"/>
  <c r="R2658" i="4"/>
  <c r="S2658" i="4"/>
  <c r="L2659" i="4"/>
  <c r="M2659" i="4"/>
  <c r="N2659" i="4"/>
  <c r="O2659" i="4"/>
  <c r="P2659" i="4"/>
  <c r="Q2659" i="4"/>
  <c r="R2659" i="4"/>
  <c r="S2659" i="4"/>
  <c r="L2660" i="4"/>
  <c r="M2660" i="4"/>
  <c r="N2660" i="4"/>
  <c r="O2660" i="4"/>
  <c r="P2660" i="4"/>
  <c r="Q2660" i="4"/>
  <c r="R2660" i="4"/>
  <c r="S2660" i="4"/>
  <c r="L2661" i="4"/>
  <c r="M2661" i="4"/>
  <c r="N2661" i="4"/>
  <c r="O2661" i="4"/>
  <c r="P2661" i="4"/>
  <c r="Q2661" i="4"/>
  <c r="R2661" i="4"/>
  <c r="S2661" i="4"/>
  <c r="L2662" i="4"/>
  <c r="M2662" i="4"/>
  <c r="N2662" i="4"/>
  <c r="O2662" i="4"/>
  <c r="P2662" i="4"/>
  <c r="Q2662" i="4"/>
  <c r="R2662" i="4"/>
  <c r="S2662" i="4"/>
  <c r="L2663" i="4"/>
  <c r="M2663" i="4"/>
  <c r="N2663" i="4"/>
  <c r="O2663" i="4"/>
  <c r="P2663" i="4"/>
  <c r="Q2663" i="4"/>
  <c r="R2663" i="4"/>
  <c r="S2663" i="4"/>
  <c r="L2664" i="4"/>
  <c r="M2664" i="4"/>
  <c r="N2664" i="4"/>
  <c r="O2664" i="4"/>
  <c r="P2664" i="4"/>
  <c r="Q2664" i="4"/>
  <c r="R2664" i="4"/>
  <c r="S2664" i="4"/>
  <c r="L2665" i="4"/>
  <c r="M2665" i="4"/>
  <c r="N2665" i="4"/>
  <c r="O2665" i="4"/>
  <c r="P2665" i="4"/>
  <c r="Q2665" i="4"/>
  <c r="R2665" i="4"/>
  <c r="S2665" i="4"/>
  <c r="L2666" i="4"/>
  <c r="M2666" i="4"/>
  <c r="N2666" i="4"/>
  <c r="O2666" i="4"/>
  <c r="P2666" i="4"/>
  <c r="Q2666" i="4"/>
  <c r="R2666" i="4"/>
  <c r="S2666" i="4"/>
  <c r="L2667" i="4"/>
  <c r="M2667" i="4"/>
  <c r="N2667" i="4"/>
  <c r="O2667" i="4"/>
  <c r="P2667" i="4"/>
  <c r="Q2667" i="4"/>
  <c r="R2667" i="4"/>
  <c r="S2667" i="4"/>
  <c r="L2668" i="4"/>
  <c r="M2668" i="4"/>
  <c r="N2668" i="4"/>
  <c r="O2668" i="4"/>
  <c r="P2668" i="4"/>
  <c r="Q2668" i="4"/>
  <c r="R2668" i="4"/>
  <c r="S2668" i="4"/>
  <c r="L2669" i="4"/>
  <c r="M2669" i="4"/>
  <c r="N2669" i="4"/>
  <c r="O2669" i="4"/>
  <c r="P2669" i="4"/>
  <c r="Q2669" i="4"/>
  <c r="R2669" i="4"/>
  <c r="S2669" i="4"/>
  <c r="L2670" i="4"/>
  <c r="M2670" i="4"/>
  <c r="N2670" i="4"/>
  <c r="O2670" i="4"/>
  <c r="P2670" i="4"/>
  <c r="Q2670" i="4"/>
  <c r="R2670" i="4"/>
  <c r="S2670" i="4"/>
  <c r="L2671" i="4"/>
  <c r="M2671" i="4"/>
  <c r="N2671" i="4"/>
  <c r="O2671" i="4"/>
  <c r="P2671" i="4"/>
  <c r="Q2671" i="4"/>
  <c r="R2671" i="4"/>
  <c r="S2671" i="4"/>
  <c r="L2672" i="4"/>
  <c r="M2672" i="4"/>
  <c r="N2672" i="4"/>
  <c r="O2672" i="4"/>
  <c r="P2672" i="4"/>
  <c r="Q2672" i="4"/>
  <c r="R2672" i="4"/>
  <c r="S2672" i="4"/>
  <c r="L2673" i="4"/>
  <c r="M2673" i="4"/>
  <c r="N2673" i="4"/>
  <c r="O2673" i="4"/>
  <c r="P2673" i="4"/>
  <c r="Q2673" i="4"/>
  <c r="R2673" i="4"/>
  <c r="S2673" i="4"/>
  <c r="L2674" i="4"/>
  <c r="M2674" i="4"/>
  <c r="N2674" i="4"/>
  <c r="O2674" i="4"/>
  <c r="P2674" i="4"/>
  <c r="Q2674" i="4"/>
  <c r="R2674" i="4"/>
  <c r="S2674" i="4"/>
  <c r="L2675" i="4"/>
  <c r="M2675" i="4"/>
  <c r="N2675" i="4"/>
  <c r="O2675" i="4"/>
  <c r="P2675" i="4"/>
  <c r="Q2675" i="4"/>
  <c r="R2675" i="4"/>
  <c r="S2675" i="4"/>
  <c r="L2676" i="4"/>
  <c r="M2676" i="4"/>
  <c r="N2676" i="4"/>
  <c r="O2676" i="4"/>
  <c r="P2676" i="4"/>
  <c r="Q2676" i="4"/>
  <c r="R2676" i="4"/>
  <c r="S2676" i="4"/>
  <c r="L2677" i="4"/>
  <c r="M2677" i="4"/>
  <c r="N2677" i="4"/>
  <c r="O2677" i="4"/>
  <c r="P2677" i="4"/>
  <c r="Q2677" i="4"/>
  <c r="R2677" i="4"/>
  <c r="S2677" i="4"/>
  <c r="L2678" i="4"/>
  <c r="M2678" i="4"/>
  <c r="N2678" i="4"/>
  <c r="O2678" i="4"/>
  <c r="P2678" i="4"/>
  <c r="Q2678" i="4"/>
  <c r="R2678" i="4"/>
  <c r="S2678" i="4"/>
  <c r="L2679" i="4"/>
  <c r="M2679" i="4"/>
  <c r="N2679" i="4"/>
  <c r="O2679" i="4"/>
  <c r="P2679" i="4"/>
  <c r="Q2679" i="4"/>
  <c r="R2679" i="4"/>
  <c r="S2679" i="4"/>
  <c r="L2680" i="4"/>
  <c r="M2680" i="4"/>
  <c r="N2680" i="4"/>
  <c r="O2680" i="4"/>
  <c r="P2680" i="4"/>
  <c r="Q2680" i="4"/>
  <c r="R2680" i="4"/>
  <c r="S2680" i="4"/>
  <c r="L2681" i="4"/>
  <c r="M2681" i="4"/>
  <c r="N2681" i="4"/>
  <c r="O2681" i="4"/>
  <c r="P2681" i="4"/>
  <c r="Q2681" i="4"/>
  <c r="R2681" i="4"/>
  <c r="S2681" i="4"/>
  <c r="L2682" i="4"/>
  <c r="M2682" i="4"/>
  <c r="N2682" i="4"/>
  <c r="O2682" i="4"/>
  <c r="P2682" i="4"/>
  <c r="Q2682" i="4"/>
  <c r="R2682" i="4"/>
  <c r="S2682" i="4"/>
  <c r="L2683" i="4"/>
  <c r="M2683" i="4"/>
  <c r="N2683" i="4"/>
  <c r="O2683" i="4"/>
  <c r="P2683" i="4"/>
  <c r="Q2683" i="4"/>
  <c r="R2683" i="4"/>
  <c r="S2683" i="4"/>
  <c r="L2684" i="4"/>
  <c r="M2684" i="4"/>
  <c r="N2684" i="4"/>
  <c r="O2684" i="4"/>
  <c r="P2684" i="4"/>
  <c r="Q2684" i="4"/>
  <c r="R2684" i="4"/>
  <c r="S2684" i="4"/>
  <c r="L2685" i="4"/>
  <c r="M2685" i="4"/>
  <c r="N2685" i="4"/>
  <c r="O2685" i="4"/>
  <c r="P2685" i="4"/>
  <c r="Q2685" i="4"/>
  <c r="R2685" i="4"/>
  <c r="S2685" i="4"/>
  <c r="L2686" i="4"/>
  <c r="M2686" i="4"/>
  <c r="N2686" i="4"/>
  <c r="O2686" i="4"/>
  <c r="P2686" i="4"/>
  <c r="Q2686" i="4"/>
  <c r="R2686" i="4"/>
  <c r="S2686" i="4"/>
  <c r="L2687" i="4"/>
  <c r="M2687" i="4"/>
  <c r="N2687" i="4"/>
  <c r="O2687" i="4"/>
  <c r="P2687" i="4"/>
  <c r="Q2687" i="4"/>
  <c r="R2687" i="4"/>
  <c r="S2687" i="4"/>
  <c r="L2688" i="4"/>
  <c r="M2688" i="4"/>
  <c r="N2688" i="4"/>
  <c r="O2688" i="4"/>
  <c r="P2688" i="4"/>
  <c r="Q2688" i="4"/>
  <c r="R2688" i="4"/>
  <c r="S2688" i="4"/>
  <c r="L2689" i="4"/>
  <c r="M2689" i="4"/>
  <c r="N2689" i="4"/>
  <c r="O2689" i="4"/>
  <c r="P2689" i="4"/>
  <c r="Q2689" i="4"/>
  <c r="R2689" i="4"/>
  <c r="S2689" i="4"/>
  <c r="L2690" i="4"/>
  <c r="M2690" i="4"/>
  <c r="N2690" i="4"/>
  <c r="O2690" i="4"/>
  <c r="P2690" i="4"/>
  <c r="Q2690" i="4"/>
  <c r="R2690" i="4"/>
  <c r="S2690" i="4"/>
  <c r="L2691" i="4"/>
  <c r="M2691" i="4"/>
  <c r="N2691" i="4"/>
  <c r="O2691" i="4"/>
  <c r="P2691" i="4"/>
  <c r="Q2691" i="4"/>
  <c r="R2691" i="4"/>
  <c r="S2691" i="4"/>
  <c r="L2692" i="4"/>
  <c r="M2692" i="4"/>
  <c r="N2692" i="4"/>
  <c r="O2692" i="4"/>
  <c r="P2692" i="4"/>
  <c r="Q2692" i="4"/>
  <c r="R2692" i="4"/>
  <c r="S2692" i="4"/>
  <c r="L2693" i="4"/>
  <c r="M2693" i="4"/>
  <c r="N2693" i="4"/>
  <c r="O2693" i="4"/>
  <c r="P2693" i="4"/>
  <c r="Q2693" i="4"/>
  <c r="R2693" i="4"/>
  <c r="S2693" i="4"/>
  <c r="L2694" i="4"/>
  <c r="M2694" i="4"/>
  <c r="N2694" i="4"/>
  <c r="O2694" i="4"/>
  <c r="P2694" i="4"/>
  <c r="Q2694" i="4"/>
  <c r="R2694" i="4"/>
  <c r="S2694" i="4"/>
  <c r="L2695" i="4"/>
  <c r="M2695" i="4"/>
  <c r="N2695" i="4"/>
  <c r="O2695" i="4"/>
  <c r="P2695" i="4"/>
  <c r="Q2695" i="4"/>
  <c r="R2695" i="4"/>
  <c r="S2695" i="4"/>
  <c r="L2696" i="4"/>
  <c r="M2696" i="4"/>
  <c r="N2696" i="4"/>
  <c r="O2696" i="4"/>
  <c r="P2696" i="4"/>
  <c r="Q2696" i="4"/>
  <c r="R2696" i="4"/>
  <c r="S2696" i="4"/>
  <c r="L2697" i="4"/>
  <c r="M2697" i="4"/>
  <c r="N2697" i="4"/>
  <c r="O2697" i="4"/>
  <c r="P2697" i="4"/>
  <c r="Q2697" i="4"/>
  <c r="R2697" i="4"/>
  <c r="S2697" i="4"/>
  <c r="L2698" i="4"/>
  <c r="M2698" i="4"/>
  <c r="N2698" i="4"/>
  <c r="O2698" i="4"/>
  <c r="P2698" i="4"/>
  <c r="Q2698" i="4"/>
  <c r="R2698" i="4"/>
  <c r="S2698" i="4"/>
  <c r="L2699" i="4"/>
  <c r="M2699" i="4"/>
  <c r="N2699" i="4"/>
  <c r="O2699" i="4"/>
  <c r="P2699" i="4"/>
  <c r="Q2699" i="4"/>
  <c r="R2699" i="4"/>
  <c r="S2699" i="4"/>
  <c r="L2700" i="4"/>
  <c r="M2700" i="4"/>
  <c r="N2700" i="4"/>
  <c r="O2700" i="4"/>
  <c r="P2700" i="4"/>
  <c r="Q2700" i="4"/>
  <c r="R2700" i="4"/>
  <c r="S2700" i="4"/>
  <c r="L2701" i="4"/>
  <c r="M2701" i="4"/>
  <c r="N2701" i="4"/>
  <c r="O2701" i="4"/>
  <c r="P2701" i="4"/>
  <c r="Q2701" i="4"/>
  <c r="R2701" i="4"/>
  <c r="S2701" i="4"/>
  <c r="L2702" i="4"/>
  <c r="M2702" i="4"/>
  <c r="N2702" i="4"/>
  <c r="O2702" i="4"/>
  <c r="P2702" i="4"/>
  <c r="Q2702" i="4"/>
  <c r="R2702" i="4"/>
  <c r="S2702" i="4"/>
  <c r="L2703" i="4"/>
  <c r="M2703" i="4"/>
  <c r="N2703" i="4"/>
  <c r="O2703" i="4"/>
  <c r="P2703" i="4"/>
  <c r="Q2703" i="4"/>
  <c r="R2703" i="4"/>
  <c r="S2703" i="4"/>
  <c r="L2704" i="4"/>
  <c r="M2704" i="4"/>
  <c r="N2704" i="4"/>
  <c r="O2704" i="4"/>
  <c r="P2704" i="4"/>
  <c r="Q2704" i="4"/>
  <c r="R2704" i="4"/>
  <c r="S2704" i="4"/>
  <c r="L2705" i="4"/>
  <c r="M2705" i="4"/>
  <c r="N2705" i="4"/>
  <c r="O2705" i="4"/>
  <c r="P2705" i="4"/>
  <c r="Q2705" i="4"/>
  <c r="R2705" i="4"/>
  <c r="S2705" i="4"/>
  <c r="L2706" i="4"/>
  <c r="M2706" i="4"/>
  <c r="N2706" i="4"/>
  <c r="O2706" i="4"/>
  <c r="P2706" i="4"/>
  <c r="Q2706" i="4"/>
  <c r="R2706" i="4"/>
  <c r="S2706" i="4"/>
  <c r="L2707" i="4"/>
  <c r="M2707" i="4"/>
  <c r="N2707" i="4"/>
  <c r="O2707" i="4"/>
  <c r="P2707" i="4"/>
  <c r="Q2707" i="4"/>
  <c r="R2707" i="4"/>
  <c r="S2707" i="4"/>
  <c r="L2708" i="4"/>
  <c r="M2708" i="4"/>
  <c r="N2708" i="4"/>
  <c r="O2708" i="4"/>
  <c r="P2708" i="4"/>
  <c r="Q2708" i="4"/>
  <c r="R2708" i="4"/>
  <c r="S2708" i="4"/>
  <c r="L2709" i="4"/>
  <c r="M2709" i="4"/>
  <c r="N2709" i="4"/>
  <c r="O2709" i="4"/>
  <c r="P2709" i="4"/>
  <c r="Q2709" i="4"/>
  <c r="R2709" i="4"/>
  <c r="S2709" i="4"/>
  <c r="L2710" i="4"/>
  <c r="M2710" i="4"/>
  <c r="N2710" i="4"/>
  <c r="O2710" i="4"/>
  <c r="P2710" i="4"/>
  <c r="Q2710" i="4"/>
  <c r="R2710" i="4"/>
  <c r="S2710" i="4"/>
  <c r="L2711" i="4"/>
  <c r="M2711" i="4"/>
  <c r="N2711" i="4"/>
  <c r="O2711" i="4"/>
  <c r="P2711" i="4"/>
  <c r="Q2711" i="4"/>
  <c r="R2711" i="4"/>
  <c r="S2711" i="4"/>
  <c r="L2712" i="4"/>
  <c r="M2712" i="4"/>
  <c r="N2712" i="4"/>
  <c r="O2712" i="4"/>
  <c r="P2712" i="4"/>
  <c r="Q2712" i="4"/>
  <c r="R2712" i="4"/>
  <c r="S2712" i="4"/>
  <c r="L2713" i="4"/>
  <c r="M2713" i="4"/>
  <c r="N2713" i="4"/>
  <c r="O2713" i="4"/>
  <c r="P2713" i="4"/>
  <c r="Q2713" i="4"/>
  <c r="R2713" i="4"/>
  <c r="S2713" i="4"/>
  <c r="L2714" i="4"/>
  <c r="M2714" i="4"/>
  <c r="N2714" i="4"/>
  <c r="O2714" i="4"/>
  <c r="P2714" i="4"/>
  <c r="Q2714" i="4"/>
  <c r="R2714" i="4"/>
  <c r="S2714" i="4"/>
  <c r="L2715" i="4"/>
  <c r="M2715" i="4"/>
  <c r="N2715" i="4"/>
  <c r="O2715" i="4"/>
  <c r="P2715" i="4"/>
  <c r="Q2715" i="4"/>
  <c r="R2715" i="4"/>
  <c r="S2715" i="4"/>
  <c r="L2716" i="4"/>
  <c r="M2716" i="4"/>
  <c r="N2716" i="4"/>
  <c r="O2716" i="4"/>
  <c r="P2716" i="4"/>
  <c r="Q2716" i="4"/>
  <c r="R2716" i="4"/>
  <c r="S2716" i="4"/>
  <c r="L2717" i="4"/>
  <c r="M2717" i="4"/>
  <c r="N2717" i="4"/>
  <c r="O2717" i="4"/>
  <c r="P2717" i="4"/>
  <c r="Q2717" i="4"/>
  <c r="R2717" i="4"/>
  <c r="S2717" i="4"/>
  <c r="L2718" i="4"/>
  <c r="M2718" i="4"/>
  <c r="N2718" i="4"/>
  <c r="O2718" i="4"/>
  <c r="P2718" i="4"/>
  <c r="Q2718" i="4"/>
  <c r="R2718" i="4"/>
  <c r="S2718" i="4"/>
  <c r="L2719" i="4"/>
  <c r="M2719" i="4"/>
  <c r="N2719" i="4"/>
  <c r="O2719" i="4"/>
  <c r="P2719" i="4"/>
  <c r="Q2719" i="4"/>
  <c r="R2719" i="4"/>
  <c r="S2719" i="4"/>
  <c r="L2720" i="4"/>
  <c r="M2720" i="4"/>
  <c r="N2720" i="4"/>
  <c r="O2720" i="4"/>
  <c r="P2720" i="4"/>
  <c r="Q2720" i="4"/>
  <c r="R2720" i="4"/>
  <c r="S2720" i="4"/>
  <c r="L2721" i="4"/>
  <c r="M2721" i="4"/>
  <c r="N2721" i="4"/>
  <c r="O2721" i="4"/>
  <c r="P2721" i="4"/>
  <c r="Q2721" i="4"/>
  <c r="R2721" i="4"/>
  <c r="S2721" i="4"/>
  <c r="L2722" i="4"/>
  <c r="M2722" i="4"/>
  <c r="N2722" i="4"/>
  <c r="O2722" i="4"/>
  <c r="P2722" i="4"/>
  <c r="Q2722" i="4"/>
  <c r="R2722" i="4"/>
  <c r="S2722" i="4"/>
  <c r="L2723" i="4"/>
  <c r="M2723" i="4"/>
  <c r="N2723" i="4"/>
  <c r="O2723" i="4"/>
  <c r="P2723" i="4"/>
  <c r="Q2723" i="4"/>
  <c r="R2723" i="4"/>
  <c r="S2723" i="4"/>
  <c r="L2724" i="4"/>
  <c r="M2724" i="4"/>
  <c r="N2724" i="4"/>
  <c r="O2724" i="4"/>
  <c r="P2724" i="4"/>
  <c r="Q2724" i="4"/>
  <c r="R2724" i="4"/>
  <c r="S2724" i="4"/>
  <c r="L2725" i="4"/>
  <c r="M2725" i="4"/>
  <c r="N2725" i="4"/>
  <c r="O2725" i="4"/>
  <c r="P2725" i="4"/>
  <c r="Q2725" i="4"/>
  <c r="R2725" i="4"/>
  <c r="S2725" i="4"/>
  <c r="L2726" i="4"/>
  <c r="M2726" i="4"/>
  <c r="N2726" i="4"/>
  <c r="O2726" i="4"/>
  <c r="P2726" i="4"/>
  <c r="Q2726" i="4"/>
  <c r="R2726" i="4"/>
  <c r="S2726" i="4"/>
  <c r="L2727" i="4"/>
  <c r="M2727" i="4"/>
  <c r="N2727" i="4"/>
  <c r="O2727" i="4"/>
  <c r="P2727" i="4"/>
  <c r="Q2727" i="4"/>
  <c r="R2727" i="4"/>
  <c r="S2727" i="4"/>
  <c r="L2728" i="4"/>
  <c r="M2728" i="4"/>
  <c r="N2728" i="4"/>
  <c r="O2728" i="4"/>
  <c r="P2728" i="4"/>
  <c r="Q2728" i="4"/>
  <c r="R2728" i="4"/>
  <c r="S2728" i="4"/>
  <c r="L2729" i="4"/>
  <c r="M2729" i="4"/>
  <c r="N2729" i="4"/>
  <c r="O2729" i="4"/>
  <c r="P2729" i="4"/>
  <c r="Q2729" i="4"/>
  <c r="R2729" i="4"/>
  <c r="S2729" i="4"/>
  <c r="L2730" i="4"/>
  <c r="M2730" i="4"/>
  <c r="N2730" i="4"/>
  <c r="O2730" i="4"/>
  <c r="P2730" i="4"/>
  <c r="Q2730" i="4"/>
  <c r="R2730" i="4"/>
  <c r="S2730" i="4"/>
  <c r="L2731" i="4"/>
  <c r="M2731" i="4"/>
  <c r="N2731" i="4"/>
  <c r="O2731" i="4"/>
  <c r="P2731" i="4"/>
  <c r="Q2731" i="4"/>
  <c r="R2731" i="4"/>
  <c r="S2731" i="4"/>
  <c r="L2732" i="4"/>
  <c r="M2732" i="4"/>
  <c r="N2732" i="4"/>
  <c r="O2732" i="4"/>
  <c r="P2732" i="4"/>
  <c r="Q2732" i="4"/>
  <c r="R2732" i="4"/>
  <c r="S2732" i="4"/>
  <c r="L2733" i="4"/>
  <c r="M2733" i="4"/>
  <c r="N2733" i="4"/>
  <c r="O2733" i="4"/>
  <c r="P2733" i="4"/>
  <c r="Q2733" i="4"/>
  <c r="R2733" i="4"/>
  <c r="S2733" i="4"/>
  <c r="L2734" i="4"/>
  <c r="M2734" i="4"/>
  <c r="N2734" i="4"/>
  <c r="O2734" i="4"/>
  <c r="P2734" i="4"/>
  <c r="Q2734" i="4"/>
  <c r="R2734" i="4"/>
  <c r="S2734" i="4"/>
  <c r="L2735" i="4"/>
  <c r="M2735" i="4"/>
  <c r="N2735" i="4"/>
  <c r="O2735" i="4"/>
  <c r="P2735" i="4"/>
  <c r="Q2735" i="4"/>
  <c r="R2735" i="4"/>
  <c r="S2735" i="4"/>
  <c r="L2736" i="4"/>
  <c r="M2736" i="4"/>
  <c r="N2736" i="4"/>
  <c r="O2736" i="4"/>
  <c r="P2736" i="4"/>
  <c r="Q2736" i="4"/>
  <c r="R2736" i="4"/>
  <c r="S2736" i="4"/>
  <c r="L2737" i="4"/>
  <c r="M2737" i="4"/>
  <c r="N2737" i="4"/>
  <c r="O2737" i="4"/>
  <c r="P2737" i="4"/>
  <c r="Q2737" i="4"/>
  <c r="R2737" i="4"/>
  <c r="S2737" i="4"/>
  <c r="L2738" i="4"/>
  <c r="M2738" i="4"/>
  <c r="N2738" i="4"/>
  <c r="O2738" i="4"/>
  <c r="P2738" i="4"/>
  <c r="Q2738" i="4"/>
  <c r="R2738" i="4"/>
  <c r="S2738" i="4"/>
  <c r="L2739" i="4"/>
  <c r="M2739" i="4"/>
  <c r="N2739" i="4"/>
  <c r="O2739" i="4"/>
  <c r="P2739" i="4"/>
  <c r="Q2739" i="4"/>
  <c r="R2739" i="4"/>
  <c r="S2739" i="4"/>
  <c r="L2740" i="4"/>
  <c r="M2740" i="4"/>
  <c r="N2740" i="4"/>
  <c r="O2740" i="4"/>
  <c r="P2740" i="4"/>
  <c r="Q2740" i="4"/>
  <c r="R2740" i="4"/>
  <c r="S2740" i="4"/>
  <c r="L2741" i="4"/>
  <c r="M2741" i="4"/>
  <c r="N2741" i="4"/>
  <c r="O2741" i="4"/>
  <c r="P2741" i="4"/>
  <c r="Q2741" i="4"/>
  <c r="R2741" i="4"/>
  <c r="S2741" i="4"/>
  <c r="L2742" i="4"/>
  <c r="M2742" i="4"/>
  <c r="N2742" i="4"/>
  <c r="O2742" i="4"/>
  <c r="P2742" i="4"/>
  <c r="Q2742" i="4"/>
  <c r="R2742" i="4"/>
  <c r="S2742" i="4"/>
  <c r="L2743" i="4"/>
  <c r="M2743" i="4"/>
  <c r="N2743" i="4"/>
  <c r="O2743" i="4"/>
  <c r="P2743" i="4"/>
  <c r="Q2743" i="4"/>
  <c r="R2743" i="4"/>
  <c r="S2743" i="4"/>
  <c r="L2744" i="4"/>
  <c r="M2744" i="4"/>
  <c r="N2744" i="4"/>
  <c r="O2744" i="4"/>
  <c r="P2744" i="4"/>
  <c r="Q2744" i="4"/>
  <c r="R2744" i="4"/>
  <c r="S2744" i="4"/>
  <c r="L2745" i="4"/>
  <c r="M2745" i="4"/>
  <c r="N2745" i="4"/>
  <c r="O2745" i="4"/>
  <c r="P2745" i="4"/>
  <c r="Q2745" i="4"/>
  <c r="R2745" i="4"/>
  <c r="S2745" i="4"/>
  <c r="L2746" i="4"/>
  <c r="M2746" i="4"/>
  <c r="N2746" i="4"/>
  <c r="O2746" i="4"/>
  <c r="P2746" i="4"/>
  <c r="Q2746" i="4"/>
  <c r="R2746" i="4"/>
  <c r="S2746" i="4"/>
  <c r="L2747" i="4"/>
  <c r="M2747" i="4"/>
  <c r="N2747" i="4"/>
  <c r="O2747" i="4"/>
  <c r="P2747" i="4"/>
  <c r="Q2747" i="4"/>
  <c r="R2747" i="4"/>
  <c r="S2747" i="4"/>
  <c r="L2748" i="4"/>
  <c r="M2748" i="4"/>
  <c r="N2748" i="4"/>
  <c r="O2748" i="4"/>
  <c r="P2748" i="4"/>
  <c r="Q2748" i="4"/>
  <c r="R2748" i="4"/>
  <c r="S2748" i="4"/>
  <c r="L2749" i="4"/>
  <c r="M2749" i="4"/>
  <c r="N2749" i="4"/>
  <c r="O2749" i="4"/>
  <c r="P2749" i="4"/>
  <c r="Q2749" i="4"/>
  <c r="R2749" i="4"/>
  <c r="S2749" i="4"/>
  <c r="L2750" i="4"/>
  <c r="M2750" i="4"/>
  <c r="N2750" i="4"/>
  <c r="O2750" i="4"/>
  <c r="P2750" i="4"/>
  <c r="Q2750" i="4"/>
  <c r="R2750" i="4"/>
  <c r="S2750" i="4"/>
  <c r="L2751" i="4"/>
  <c r="M2751" i="4"/>
  <c r="N2751" i="4"/>
  <c r="O2751" i="4"/>
  <c r="P2751" i="4"/>
  <c r="Q2751" i="4"/>
  <c r="R2751" i="4"/>
  <c r="S2751" i="4"/>
  <c r="L2752" i="4"/>
  <c r="M2752" i="4"/>
  <c r="N2752" i="4"/>
  <c r="O2752" i="4"/>
  <c r="P2752" i="4"/>
  <c r="Q2752" i="4"/>
  <c r="R2752" i="4"/>
  <c r="S2752" i="4"/>
  <c r="L2753" i="4"/>
  <c r="M2753" i="4"/>
  <c r="N2753" i="4"/>
  <c r="O2753" i="4"/>
  <c r="P2753" i="4"/>
  <c r="Q2753" i="4"/>
  <c r="R2753" i="4"/>
  <c r="S2753" i="4"/>
  <c r="L2754" i="4"/>
  <c r="M2754" i="4"/>
  <c r="N2754" i="4"/>
  <c r="O2754" i="4"/>
  <c r="P2754" i="4"/>
  <c r="Q2754" i="4"/>
  <c r="R2754" i="4"/>
  <c r="S2754" i="4"/>
  <c r="L2755" i="4"/>
  <c r="M2755" i="4"/>
  <c r="N2755" i="4"/>
  <c r="O2755" i="4"/>
  <c r="P2755" i="4"/>
  <c r="Q2755" i="4"/>
  <c r="R2755" i="4"/>
  <c r="S2755" i="4"/>
  <c r="L2756" i="4"/>
  <c r="M2756" i="4"/>
  <c r="N2756" i="4"/>
  <c r="O2756" i="4"/>
  <c r="P2756" i="4"/>
  <c r="Q2756" i="4"/>
  <c r="R2756" i="4"/>
  <c r="S2756" i="4"/>
  <c r="L2757" i="4"/>
  <c r="M2757" i="4"/>
  <c r="N2757" i="4"/>
  <c r="O2757" i="4"/>
  <c r="P2757" i="4"/>
  <c r="Q2757" i="4"/>
  <c r="R2757" i="4"/>
  <c r="S2757" i="4"/>
  <c r="L2758" i="4"/>
  <c r="M2758" i="4"/>
  <c r="N2758" i="4"/>
  <c r="O2758" i="4"/>
  <c r="P2758" i="4"/>
  <c r="Q2758" i="4"/>
  <c r="R2758" i="4"/>
  <c r="S2758" i="4"/>
  <c r="L2759" i="4"/>
  <c r="M2759" i="4"/>
  <c r="N2759" i="4"/>
  <c r="O2759" i="4"/>
  <c r="P2759" i="4"/>
  <c r="Q2759" i="4"/>
  <c r="R2759" i="4"/>
  <c r="S2759" i="4"/>
  <c r="L2760" i="4"/>
  <c r="M2760" i="4"/>
  <c r="N2760" i="4"/>
  <c r="O2760" i="4"/>
  <c r="P2760" i="4"/>
  <c r="Q2760" i="4"/>
  <c r="R2760" i="4"/>
  <c r="S2760" i="4"/>
  <c r="L2761" i="4"/>
  <c r="M2761" i="4"/>
  <c r="N2761" i="4"/>
  <c r="O2761" i="4"/>
  <c r="P2761" i="4"/>
  <c r="Q2761" i="4"/>
  <c r="R2761" i="4"/>
  <c r="S2761" i="4"/>
  <c r="L2762" i="4"/>
  <c r="M2762" i="4"/>
  <c r="N2762" i="4"/>
  <c r="O2762" i="4"/>
  <c r="P2762" i="4"/>
  <c r="Q2762" i="4"/>
  <c r="R2762" i="4"/>
  <c r="S2762" i="4"/>
  <c r="L2763" i="4"/>
  <c r="M2763" i="4"/>
  <c r="N2763" i="4"/>
  <c r="O2763" i="4"/>
  <c r="P2763" i="4"/>
  <c r="Q2763" i="4"/>
  <c r="R2763" i="4"/>
  <c r="S2763" i="4"/>
  <c r="L2764" i="4"/>
  <c r="M2764" i="4"/>
  <c r="N2764" i="4"/>
  <c r="O2764" i="4"/>
  <c r="P2764" i="4"/>
  <c r="Q2764" i="4"/>
  <c r="R2764" i="4"/>
  <c r="S2764" i="4"/>
  <c r="L2765" i="4"/>
  <c r="M2765" i="4"/>
  <c r="N2765" i="4"/>
  <c r="O2765" i="4"/>
  <c r="P2765" i="4"/>
  <c r="Q2765" i="4"/>
  <c r="R2765" i="4"/>
  <c r="S2765" i="4"/>
  <c r="L2766" i="4"/>
  <c r="M2766" i="4"/>
  <c r="N2766" i="4"/>
  <c r="O2766" i="4"/>
  <c r="P2766" i="4"/>
  <c r="Q2766" i="4"/>
  <c r="R2766" i="4"/>
  <c r="S2766" i="4"/>
  <c r="L2767" i="4"/>
  <c r="M2767" i="4"/>
  <c r="N2767" i="4"/>
  <c r="O2767" i="4"/>
  <c r="P2767" i="4"/>
  <c r="Q2767" i="4"/>
  <c r="R2767" i="4"/>
  <c r="S2767" i="4"/>
  <c r="L2768" i="4"/>
  <c r="M2768" i="4"/>
  <c r="N2768" i="4"/>
  <c r="O2768" i="4"/>
  <c r="P2768" i="4"/>
  <c r="Q2768" i="4"/>
  <c r="R2768" i="4"/>
  <c r="S2768" i="4"/>
  <c r="L2769" i="4"/>
  <c r="M2769" i="4"/>
  <c r="N2769" i="4"/>
  <c r="O2769" i="4"/>
  <c r="P2769" i="4"/>
  <c r="Q2769" i="4"/>
  <c r="R2769" i="4"/>
  <c r="S2769" i="4"/>
  <c r="L2770" i="4"/>
  <c r="M2770" i="4"/>
  <c r="N2770" i="4"/>
  <c r="O2770" i="4"/>
  <c r="P2770" i="4"/>
  <c r="Q2770" i="4"/>
  <c r="R2770" i="4"/>
  <c r="S2770" i="4"/>
  <c r="L2771" i="4"/>
  <c r="M2771" i="4"/>
  <c r="N2771" i="4"/>
  <c r="O2771" i="4"/>
  <c r="P2771" i="4"/>
  <c r="Q2771" i="4"/>
  <c r="R2771" i="4"/>
  <c r="S2771" i="4"/>
  <c r="L2772" i="4"/>
  <c r="M2772" i="4"/>
  <c r="N2772" i="4"/>
  <c r="O2772" i="4"/>
  <c r="P2772" i="4"/>
  <c r="Q2772" i="4"/>
  <c r="R2772" i="4"/>
  <c r="S2772" i="4"/>
  <c r="L2773" i="4"/>
  <c r="M2773" i="4"/>
  <c r="N2773" i="4"/>
  <c r="O2773" i="4"/>
  <c r="P2773" i="4"/>
  <c r="Q2773" i="4"/>
  <c r="R2773" i="4"/>
  <c r="S2773" i="4"/>
  <c r="L2774" i="4"/>
  <c r="M2774" i="4"/>
  <c r="N2774" i="4"/>
  <c r="O2774" i="4"/>
  <c r="P2774" i="4"/>
  <c r="Q2774" i="4"/>
  <c r="R2774" i="4"/>
  <c r="S2774" i="4"/>
  <c r="L2775" i="4"/>
  <c r="M2775" i="4"/>
  <c r="N2775" i="4"/>
  <c r="O2775" i="4"/>
  <c r="P2775" i="4"/>
  <c r="Q2775" i="4"/>
  <c r="R2775" i="4"/>
  <c r="S2775" i="4"/>
  <c r="L2776" i="4"/>
  <c r="M2776" i="4"/>
  <c r="N2776" i="4"/>
  <c r="O2776" i="4"/>
  <c r="P2776" i="4"/>
  <c r="Q2776" i="4"/>
  <c r="R2776" i="4"/>
  <c r="S2776" i="4"/>
  <c r="L2777" i="4"/>
  <c r="M2777" i="4"/>
  <c r="N2777" i="4"/>
  <c r="O2777" i="4"/>
  <c r="P2777" i="4"/>
  <c r="Q2777" i="4"/>
  <c r="R2777" i="4"/>
  <c r="S2777" i="4"/>
  <c r="L2778" i="4"/>
  <c r="M2778" i="4"/>
  <c r="N2778" i="4"/>
  <c r="O2778" i="4"/>
  <c r="P2778" i="4"/>
  <c r="Q2778" i="4"/>
  <c r="R2778" i="4"/>
  <c r="S2778" i="4"/>
  <c r="L2779" i="4"/>
  <c r="M2779" i="4"/>
  <c r="N2779" i="4"/>
  <c r="O2779" i="4"/>
  <c r="P2779" i="4"/>
  <c r="Q2779" i="4"/>
  <c r="R2779" i="4"/>
  <c r="S2779" i="4"/>
  <c r="L2780" i="4"/>
  <c r="M2780" i="4"/>
  <c r="N2780" i="4"/>
  <c r="O2780" i="4"/>
  <c r="P2780" i="4"/>
  <c r="Q2780" i="4"/>
  <c r="R2780" i="4"/>
  <c r="S2780" i="4"/>
  <c r="L2781" i="4"/>
  <c r="M2781" i="4"/>
  <c r="N2781" i="4"/>
  <c r="O2781" i="4"/>
  <c r="P2781" i="4"/>
  <c r="Q2781" i="4"/>
  <c r="R2781" i="4"/>
  <c r="S2781" i="4"/>
  <c r="L2782" i="4"/>
  <c r="M2782" i="4"/>
  <c r="N2782" i="4"/>
  <c r="O2782" i="4"/>
  <c r="P2782" i="4"/>
  <c r="Q2782" i="4"/>
  <c r="R2782" i="4"/>
  <c r="S2782" i="4"/>
  <c r="L2783" i="4"/>
  <c r="M2783" i="4"/>
  <c r="N2783" i="4"/>
  <c r="O2783" i="4"/>
  <c r="P2783" i="4"/>
  <c r="Q2783" i="4"/>
  <c r="R2783" i="4"/>
  <c r="S2783" i="4"/>
  <c r="L2784" i="4"/>
  <c r="M2784" i="4"/>
  <c r="N2784" i="4"/>
  <c r="O2784" i="4"/>
  <c r="P2784" i="4"/>
  <c r="Q2784" i="4"/>
  <c r="R2784" i="4"/>
  <c r="S2784" i="4"/>
  <c r="L2785" i="4"/>
  <c r="M2785" i="4"/>
  <c r="N2785" i="4"/>
  <c r="O2785" i="4"/>
  <c r="P2785" i="4"/>
  <c r="Q2785" i="4"/>
  <c r="R2785" i="4"/>
  <c r="S2785" i="4"/>
  <c r="L2786" i="4"/>
  <c r="M2786" i="4"/>
  <c r="N2786" i="4"/>
  <c r="O2786" i="4"/>
  <c r="P2786" i="4"/>
  <c r="Q2786" i="4"/>
  <c r="R2786" i="4"/>
  <c r="S2786" i="4"/>
  <c r="L2787" i="4"/>
  <c r="M2787" i="4"/>
  <c r="N2787" i="4"/>
  <c r="O2787" i="4"/>
  <c r="P2787" i="4"/>
  <c r="Q2787" i="4"/>
  <c r="R2787" i="4"/>
  <c r="S2787" i="4"/>
  <c r="L2788" i="4"/>
  <c r="M2788" i="4"/>
  <c r="N2788" i="4"/>
  <c r="O2788" i="4"/>
  <c r="P2788" i="4"/>
  <c r="Q2788" i="4"/>
  <c r="R2788" i="4"/>
  <c r="S2788" i="4"/>
  <c r="L2789" i="4"/>
  <c r="M2789" i="4"/>
  <c r="N2789" i="4"/>
  <c r="O2789" i="4"/>
  <c r="P2789" i="4"/>
  <c r="Q2789" i="4"/>
  <c r="R2789" i="4"/>
  <c r="S2789" i="4"/>
  <c r="L2790" i="4"/>
  <c r="M2790" i="4"/>
  <c r="N2790" i="4"/>
  <c r="O2790" i="4"/>
  <c r="P2790" i="4"/>
  <c r="Q2790" i="4"/>
  <c r="R2790" i="4"/>
  <c r="S2790" i="4"/>
  <c r="L2791" i="4"/>
  <c r="M2791" i="4"/>
  <c r="N2791" i="4"/>
  <c r="O2791" i="4"/>
  <c r="P2791" i="4"/>
  <c r="Q2791" i="4"/>
  <c r="R2791" i="4"/>
  <c r="S2791" i="4"/>
  <c r="L2792" i="4"/>
  <c r="M2792" i="4"/>
  <c r="N2792" i="4"/>
  <c r="O2792" i="4"/>
  <c r="P2792" i="4"/>
  <c r="Q2792" i="4"/>
  <c r="R2792" i="4"/>
  <c r="S2792" i="4"/>
  <c r="L2793" i="4"/>
  <c r="M2793" i="4"/>
  <c r="N2793" i="4"/>
  <c r="O2793" i="4"/>
  <c r="P2793" i="4"/>
  <c r="Q2793" i="4"/>
  <c r="R2793" i="4"/>
  <c r="S2793" i="4"/>
  <c r="L2794" i="4"/>
  <c r="M2794" i="4"/>
  <c r="N2794" i="4"/>
  <c r="O2794" i="4"/>
  <c r="P2794" i="4"/>
  <c r="Q2794" i="4"/>
  <c r="R2794" i="4"/>
  <c r="S2794" i="4"/>
  <c r="L2795" i="4"/>
  <c r="M2795" i="4"/>
  <c r="N2795" i="4"/>
  <c r="O2795" i="4"/>
  <c r="P2795" i="4"/>
  <c r="Q2795" i="4"/>
  <c r="R2795" i="4"/>
  <c r="S2795" i="4"/>
  <c r="L2796" i="4"/>
  <c r="M2796" i="4"/>
  <c r="N2796" i="4"/>
  <c r="O2796" i="4"/>
  <c r="P2796" i="4"/>
  <c r="Q2796" i="4"/>
  <c r="R2796" i="4"/>
  <c r="S2796" i="4"/>
  <c r="L2797" i="4"/>
  <c r="M2797" i="4"/>
  <c r="N2797" i="4"/>
  <c r="O2797" i="4"/>
  <c r="P2797" i="4"/>
  <c r="Q2797" i="4"/>
  <c r="R2797" i="4"/>
  <c r="S2797" i="4"/>
  <c r="L2798" i="4"/>
  <c r="M2798" i="4"/>
  <c r="N2798" i="4"/>
  <c r="O2798" i="4"/>
  <c r="P2798" i="4"/>
  <c r="Q2798" i="4"/>
  <c r="R2798" i="4"/>
  <c r="S2798" i="4"/>
  <c r="L2799" i="4"/>
  <c r="M2799" i="4"/>
  <c r="N2799" i="4"/>
  <c r="O2799" i="4"/>
  <c r="P2799" i="4"/>
  <c r="Q2799" i="4"/>
  <c r="R2799" i="4"/>
  <c r="S2799" i="4"/>
  <c r="L2800" i="4"/>
  <c r="M2800" i="4"/>
  <c r="N2800" i="4"/>
  <c r="O2800" i="4"/>
  <c r="P2800" i="4"/>
  <c r="Q2800" i="4"/>
  <c r="R2800" i="4"/>
  <c r="S2800" i="4"/>
  <c r="L2801" i="4"/>
  <c r="M2801" i="4"/>
  <c r="N2801" i="4"/>
  <c r="O2801" i="4"/>
  <c r="P2801" i="4"/>
  <c r="Q2801" i="4"/>
  <c r="R2801" i="4"/>
  <c r="S2801" i="4"/>
  <c r="L2802" i="4"/>
  <c r="M2802" i="4"/>
  <c r="N2802" i="4"/>
  <c r="O2802" i="4"/>
  <c r="P2802" i="4"/>
  <c r="Q2802" i="4"/>
  <c r="R2802" i="4"/>
  <c r="S2802" i="4"/>
  <c r="L2803" i="4"/>
  <c r="M2803" i="4"/>
  <c r="N2803" i="4"/>
  <c r="O2803" i="4"/>
  <c r="P2803" i="4"/>
  <c r="Q2803" i="4"/>
  <c r="R2803" i="4"/>
  <c r="S2803" i="4"/>
  <c r="L2804" i="4"/>
  <c r="M2804" i="4"/>
  <c r="N2804" i="4"/>
  <c r="O2804" i="4"/>
  <c r="P2804" i="4"/>
  <c r="Q2804" i="4"/>
  <c r="R2804" i="4"/>
  <c r="S2804" i="4"/>
  <c r="L2805" i="4"/>
  <c r="M2805" i="4"/>
  <c r="N2805" i="4"/>
  <c r="O2805" i="4"/>
  <c r="P2805" i="4"/>
  <c r="Q2805" i="4"/>
  <c r="R2805" i="4"/>
  <c r="S2805" i="4"/>
  <c r="L2806" i="4"/>
  <c r="M2806" i="4"/>
  <c r="N2806" i="4"/>
  <c r="O2806" i="4"/>
  <c r="P2806" i="4"/>
  <c r="Q2806" i="4"/>
  <c r="R2806" i="4"/>
  <c r="S2806" i="4"/>
  <c r="L2807" i="4"/>
  <c r="M2807" i="4"/>
  <c r="N2807" i="4"/>
  <c r="O2807" i="4"/>
  <c r="P2807" i="4"/>
  <c r="Q2807" i="4"/>
  <c r="R2807" i="4"/>
  <c r="S2807" i="4"/>
  <c r="L2808" i="4"/>
  <c r="M2808" i="4"/>
  <c r="N2808" i="4"/>
  <c r="O2808" i="4"/>
  <c r="P2808" i="4"/>
  <c r="Q2808" i="4"/>
  <c r="R2808" i="4"/>
  <c r="S2808" i="4"/>
  <c r="L2809" i="4"/>
  <c r="M2809" i="4"/>
  <c r="N2809" i="4"/>
  <c r="O2809" i="4"/>
  <c r="P2809" i="4"/>
  <c r="Q2809" i="4"/>
  <c r="R2809" i="4"/>
  <c r="S2809" i="4"/>
  <c r="L2810" i="4"/>
  <c r="M2810" i="4"/>
  <c r="N2810" i="4"/>
  <c r="O2810" i="4"/>
  <c r="P2810" i="4"/>
  <c r="Q2810" i="4"/>
  <c r="R2810" i="4"/>
  <c r="S2810" i="4"/>
  <c r="L2811" i="4"/>
  <c r="M2811" i="4"/>
  <c r="N2811" i="4"/>
  <c r="O2811" i="4"/>
  <c r="P2811" i="4"/>
  <c r="Q2811" i="4"/>
  <c r="R2811" i="4"/>
  <c r="S2811" i="4"/>
  <c r="L2812" i="4"/>
  <c r="M2812" i="4"/>
  <c r="N2812" i="4"/>
  <c r="O2812" i="4"/>
  <c r="P2812" i="4"/>
  <c r="Q2812" i="4"/>
  <c r="R2812" i="4"/>
  <c r="S2812" i="4"/>
  <c r="L2813" i="4"/>
  <c r="M2813" i="4"/>
  <c r="N2813" i="4"/>
  <c r="O2813" i="4"/>
  <c r="P2813" i="4"/>
  <c r="Q2813" i="4"/>
  <c r="R2813" i="4"/>
  <c r="S2813" i="4"/>
  <c r="L2814" i="4"/>
  <c r="M2814" i="4"/>
  <c r="N2814" i="4"/>
  <c r="O2814" i="4"/>
  <c r="P2814" i="4"/>
  <c r="Q2814" i="4"/>
  <c r="R2814" i="4"/>
  <c r="S2814" i="4"/>
  <c r="L2815" i="4"/>
  <c r="M2815" i="4"/>
  <c r="N2815" i="4"/>
  <c r="O2815" i="4"/>
  <c r="P2815" i="4"/>
  <c r="Q2815" i="4"/>
  <c r="R2815" i="4"/>
  <c r="S2815" i="4"/>
  <c r="L2816" i="4"/>
  <c r="M2816" i="4"/>
  <c r="N2816" i="4"/>
  <c r="O2816" i="4"/>
  <c r="P2816" i="4"/>
  <c r="Q2816" i="4"/>
  <c r="R2816" i="4"/>
  <c r="S2816" i="4"/>
  <c r="L2817" i="4"/>
  <c r="M2817" i="4"/>
  <c r="N2817" i="4"/>
  <c r="O2817" i="4"/>
  <c r="P2817" i="4"/>
  <c r="Q2817" i="4"/>
  <c r="R2817" i="4"/>
  <c r="S2817" i="4"/>
  <c r="L2818" i="4"/>
  <c r="M2818" i="4"/>
  <c r="N2818" i="4"/>
  <c r="O2818" i="4"/>
  <c r="P2818" i="4"/>
  <c r="Q2818" i="4"/>
  <c r="R2818" i="4"/>
  <c r="S2818" i="4"/>
  <c r="L2819" i="4"/>
  <c r="M2819" i="4"/>
  <c r="N2819" i="4"/>
  <c r="O2819" i="4"/>
  <c r="P2819" i="4"/>
  <c r="Q2819" i="4"/>
  <c r="R2819" i="4"/>
  <c r="S2819" i="4"/>
  <c r="L2820" i="4"/>
  <c r="M2820" i="4"/>
  <c r="N2820" i="4"/>
  <c r="O2820" i="4"/>
  <c r="P2820" i="4"/>
  <c r="Q2820" i="4"/>
  <c r="R2820" i="4"/>
  <c r="S2820" i="4"/>
  <c r="L2821" i="4"/>
  <c r="M2821" i="4"/>
  <c r="N2821" i="4"/>
  <c r="O2821" i="4"/>
  <c r="P2821" i="4"/>
  <c r="Q2821" i="4"/>
  <c r="R2821" i="4"/>
  <c r="S2821" i="4"/>
  <c r="L2822" i="4"/>
  <c r="M2822" i="4"/>
  <c r="N2822" i="4"/>
  <c r="O2822" i="4"/>
  <c r="P2822" i="4"/>
  <c r="Q2822" i="4"/>
  <c r="R2822" i="4"/>
  <c r="S2822" i="4"/>
  <c r="L2823" i="4"/>
  <c r="M2823" i="4"/>
  <c r="N2823" i="4"/>
  <c r="O2823" i="4"/>
  <c r="P2823" i="4"/>
  <c r="Q2823" i="4"/>
  <c r="R2823" i="4"/>
  <c r="S2823" i="4"/>
  <c r="L2824" i="4"/>
  <c r="M2824" i="4"/>
  <c r="N2824" i="4"/>
  <c r="O2824" i="4"/>
  <c r="P2824" i="4"/>
  <c r="Q2824" i="4"/>
  <c r="R2824" i="4"/>
  <c r="S2824" i="4"/>
  <c r="L2825" i="4"/>
  <c r="M2825" i="4"/>
  <c r="N2825" i="4"/>
  <c r="O2825" i="4"/>
  <c r="P2825" i="4"/>
  <c r="Q2825" i="4"/>
  <c r="R2825" i="4"/>
  <c r="S2825" i="4"/>
  <c r="L2826" i="4"/>
  <c r="M2826" i="4"/>
  <c r="N2826" i="4"/>
  <c r="O2826" i="4"/>
  <c r="P2826" i="4"/>
  <c r="Q2826" i="4"/>
  <c r="R2826" i="4"/>
  <c r="S2826" i="4"/>
  <c r="L2827" i="4"/>
  <c r="M2827" i="4"/>
  <c r="N2827" i="4"/>
  <c r="O2827" i="4"/>
  <c r="P2827" i="4"/>
  <c r="Q2827" i="4"/>
  <c r="R2827" i="4"/>
  <c r="S2827" i="4"/>
  <c r="L2828" i="4"/>
  <c r="M2828" i="4"/>
  <c r="N2828" i="4"/>
  <c r="O2828" i="4"/>
  <c r="P2828" i="4"/>
  <c r="Q2828" i="4"/>
  <c r="R2828" i="4"/>
  <c r="S2828" i="4"/>
  <c r="L2829" i="4"/>
  <c r="M2829" i="4"/>
  <c r="N2829" i="4"/>
  <c r="O2829" i="4"/>
  <c r="P2829" i="4"/>
  <c r="Q2829" i="4"/>
  <c r="R2829" i="4"/>
  <c r="S2829" i="4"/>
  <c r="L2830" i="4"/>
  <c r="M2830" i="4"/>
  <c r="N2830" i="4"/>
  <c r="O2830" i="4"/>
  <c r="P2830" i="4"/>
  <c r="Q2830" i="4"/>
  <c r="R2830" i="4"/>
  <c r="S2830" i="4"/>
  <c r="L2831" i="4"/>
  <c r="M2831" i="4"/>
  <c r="N2831" i="4"/>
  <c r="O2831" i="4"/>
  <c r="P2831" i="4"/>
  <c r="Q2831" i="4"/>
  <c r="R2831" i="4"/>
  <c r="S2831" i="4"/>
  <c r="L2832" i="4"/>
  <c r="M2832" i="4"/>
  <c r="N2832" i="4"/>
  <c r="O2832" i="4"/>
  <c r="P2832" i="4"/>
  <c r="Q2832" i="4"/>
  <c r="R2832" i="4"/>
  <c r="S2832" i="4"/>
  <c r="L2833" i="4"/>
  <c r="M2833" i="4"/>
  <c r="N2833" i="4"/>
  <c r="O2833" i="4"/>
  <c r="P2833" i="4"/>
  <c r="Q2833" i="4"/>
  <c r="R2833" i="4"/>
  <c r="S2833" i="4"/>
  <c r="L2834" i="4"/>
  <c r="M2834" i="4"/>
  <c r="N2834" i="4"/>
  <c r="O2834" i="4"/>
  <c r="P2834" i="4"/>
  <c r="Q2834" i="4"/>
  <c r="R2834" i="4"/>
  <c r="S2834" i="4"/>
  <c r="L2835" i="4"/>
  <c r="M2835" i="4"/>
  <c r="N2835" i="4"/>
  <c r="O2835" i="4"/>
  <c r="P2835" i="4"/>
  <c r="Q2835" i="4"/>
  <c r="R2835" i="4"/>
  <c r="S2835" i="4"/>
  <c r="L2836" i="4"/>
  <c r="M2836" i="4"/>
  <c r="N2836" i="4"/>
  <c r="O2836" i="4"/>
  <c r="P2836" i="4"/>
  <c r="Q2836" i="4"/>
  <c r="R2836" i="4"/>
  <c r="S2836" i="4"/>
  <c r="L2837" i="4"/>
  <c r="M2837" i="4"/>
  <c r="N2837" i="4"/>
  <c r="O2837" i="4"/>
  <c r="P2837" i="4"/>
  <c r="Q2837" i="4"/>
  <c r="R2837" i="4"/>
  <c r="S2837" i="4"/>
  <c r="L2838" i="4"/>
  <c r="M2838" i="4"/>
  <c r="N2838" i="4"/>
  <c r="O2838" i="4"/>
  <c r="P2838" i="4"/>
  <c r="Q2838" i="4"/>
  <c r="R2838" i="4"/>
  <c r="S2838" i="4"/>
  <c r="L2839" i="4"/>
  <c r="M2839" i="4"/>
  <c r="N2839" i="4"/>
  <c r="O2839" i="4"/>
  <c r="P2839" i="4"/>
  <c r="Q2839" i="4"/>
  <c r="R2839" i="4"/>
  <c r="S2839" i="4"/>
  <c r="L2840" i="4"/>
  <c r="M2840" i="4"/>
  <c r="N2840" i="4"/>
  <c r="O2840" i="4"/>
  <c r="P2840" i="4"/>
  <c r="Q2840" i="4"/>
  <c r="R2840" i="4"/>
  <c r="S2840" i="4"/>
  <c r="L2841" i="4"/>
  <c r="M2841" i="4"/>
  <c r="N2841" i="4"/>
  <c r="O2841" i="4"/>
  <c r="P2841" i="4"/>
  <c r="Q2841" i="4"/>
  <c r="R2841" i="4"/>
  <c r="S2841" i="4"/>
  <c r="L2842" i="4"/>
  <c r="M2842" i="4"/>
  <c r="N2842" i="4"/>
  <c r="O2842" i="4"/>
  <c r="P2842" i="4"/>
  <c r="Q2842" i="4"/>
  <c r="R2842" i="4"/>
  <c r="S2842" i="4"/>
  <c r="L2843" i="4"/>
  <c r="M2843" i="4"/>
  <c r="N2843" i="4"/>
  <c r="O2843" i="4"/>
  <c r="P2843" i="4"/>
  <c r="Q2843" i="4"/>
  <c r="R2843" i="4"/>
  <c r="S2843" i="4"/>
  <c r="L2844" i="4"/>
  <c r="M2844" i="4"/>
  <c r="N2844" i="4"/>
  <c r="O2844" i="4"/>
  <c r="P2844" i="4"/>
  <c r="Q2844" i="4"/>
  <c r="R2844" i="4"/>
  <c r="S2844" i="4"/>
  <c r="L2845" i="4"/>
  <c r="M2845" i="4"/>
  <c r="N2845" i="4"/>
  <c r="O2845" i="4"/>
  <c r="P2845" i="4"/>
  <c r="Q2845" i="4"/>
  <c r="R2845" i="4"/>
  <c r="S2845" i="4"/>
  <c r="L2846" i="4"/>
  <c r="M2846" i="4"/>
  <c r="N2846" i="4"/>
  <c r="O2846" i="4"/>
  <c r="P2846" i="4"/>
  <c r="Q2846" i="4"/>
  <c r="R2846" i="4"/>
  <c r="S2846" i="4"/>
  <c r="L2847" i="4"/>
  <c r="M2847" i="4"/>
  <c r="N2847" i="4"/>
  <c r="O2847" i="4"/>
  <c r="P2847" i="4"/>
  <c r="Q2847" i="4"/>
  <c r="R2847" i="4"/>
  <c r="S2847" i="4"/>
  <c r="L2848" i="4"/>
  <c r="M2848" i="4"/>
  <c r="N2848" i="4"/>
  <c r="O2848" i="4"/>
  <c r="P2848" i="4"/>
  <c r="Q2848" i="4"/>
  <c r="R2848" i="4"/>
  <c r="S2848" i="4"/>
  <c r="L2849" i="4"/>
  <c r="M2849" i="4"/>
  <c r="N2849" i="4"/>
  <c r="O2849" i="4"/>
  <c r="P2849" i="4"/>
  <c r="Q2849" i="4"/>
  <c r="R2849" i="4"/>
  <c r="S2849" i="4"/>
  <c r="L2850" i="4"/>
  <c r="M2850" i="4"/>
  <c r="N2850" i="4"/>
  <c r="O2850" i="4"/>
  <c r="P2850" i="4"/>
  <c r="Q2850" i="4"/>
  <c r="R2850" i="4"/>
  <c r="S2850" i="4"/>
  <c r="L2851" i="4"/>
  <c r="M2851" i="4"/>
  <c r="N2851" i="4"/>
  <c r="O2851" i="4"/>
  <c r="P2851" i="4"/>
  <c r="Q2851" i="4"/>
  <c r="R2851" i="4"/>
  <c r="S2851" i="4"/>
  <c r="L2852" i="4"/>
  <c r="M2852" i="4"/>
  <c r="N2852" i="4"/>
  <c r="O2852" i="4"/>
  <c r="P2852" i="4"/>
  <c r="Q2852" i="4"/>
  <c r="R2852" i="4"/>
  <c r="S2852" i="4"/>
  <c r="L2853" i="4"/>
  <c r="M2853" i="4"/>
  <c r="N2853" i="4"/>
  <c r="O2853" i="4"/>
  <c r="P2853" i="4"/>
  <c r="Q2853" i="4"/>
  <c r="R2853" i="4"/>
  <c r="S2853" i="4"/>
  <c r="L2854" i="4"/>
  <c r="M2854" i="4"/>
  <c r="N2854" i="4"/>
  <c r="O2854" i="4"/>
  <c r="P2854" i="4"/>
  <c r="Q2854" i="4"/>
  <c r="R2854" i="4"/>
  <c r="S2854" i="4"/>
  <c r="L2855" i="4"/>
  <c r="M2855" i="4"/>
  <c r="N2855" i="4"/>
  <c r="O2855" i="4"/>
  <c r="P2855" i="4"/>
  <c r="Q2855" i="4"/>
  <c r="R2855" i="4"/>
  <c r="S2855" i="4"/>
  <c r="L2856" i="4"/>
  <c r="M2856" i="4"/>
  <c r="N2856" i="4"/>
  <c r="O2856" i="4"/>
  <c r="P2856" i="4"/>
  <c r="Q2856" i="4"/>
  <c r="R2856" i="4"/>
  <c r="S2856" i="4"/>
  <c r="L2857" i="4"/>
  <c r="M2857" i="4"/>
  <c r="N2857" i="4"/>
  <c r="O2857" i="4"/>
  <c r="P2857" i="4"/>
  <c r="Q2857" i="4"/>
  <c r="R2857" i="4"/>
  <c r="S2857" i="4"/>
  <c r="L2858" i="4"/>
  <c r="M2858" i="4"/>
  <c r="N2858" i="4"/>
  <c r="O2858" i="4"/>
  <c r="P2858" i="4"/>
  <c r="Q2858" i="4"/>
  <c r="R2858" i="4"/>
  <c r="S2858" i="4"/>
  <c r="L2859" i="4"/>
  <c r="M2859" i="4"/>
  <c r="N2859" i="4"/>
  <c r="O2859" i="4"/>
  <c r="P2859" i="4"/>
  <c r="Q2859" i="4"/>
  <c r="R2859" i="4"/>
  <c r="S2859" i="4"/>
  <c r="L2860" i="4"/>
  <c r="M2860" i="4"/>
  <c r="N2860" i="4"/>
  <c r="O2860" i="4"/>
  <c r="P2860" i="4"/>
  <c r="Q2860" i="4"/>
  <c r="R2860" i="4"/>
  <c r="S2860" i="4"/>
  <c r="L2861" i="4"/>
  <c r="M2861" i="4"/>
  <c r="N2861" i="4"/>
  <c r="O2861" i="4"/>
  <c r="P2861" i="4"/>
  <c r="Q2861" i="4"/>
  <c r="R2861" i="4"/>
  <c r="S2861" i="4"/>
  <c r="L2862" i="4"/>
  <c r="M2862" i="4"/>
  <c r="N2862" i="4"/>
  <c r="O2862" i="4"/>
  <c r="P2862" i="4"/>
  <c r="Q2862" i="4"/>
  <c r="R2862" i="4"/>
  <c r="S2862" i="4"/>
  <c r="L2863" i="4"/>
  <c r="M2863" i="4"/>
  <c r="N2863" i="4"/>
  <c r="O2863" i="4"/>
  <c r="P2863" i="4"/>
  <c r="Q2863" i="4"/>
  <c r="R2863" i="4"/>
  <c r="S2863" i="4"/>
  <c r="L2864" i="4"/>
  <c r="M2864" i="4"/>
  <c r="N2864" i="4"/>
  <c r="O2864" i="4"/>
  <c r="P2864" i="4"/>
  <c r="Q2864" i="4"/>
  <c r="R2864" i="4"/>
  <c r="S2864" i="4"/>
  <c r="L2865" i="4"/>
  <c r="M2865" i="4"/>
  <c r="N2865" i="4"/>
  <c r="O2865" i="4"/>
  <c r="P2865" i="4"/>
  <c r="Q2865" i="4"/>
  <c r="R2865" i="4"/>
  <c r="S2865" i="4"/>
  <c r="L2866" i="4"/>
  <c r="M2866" i="4"/>
  <c r="N2866" i="4"/>
  <c r="O2866" i="4"/>
  <c r="P2866" i="4"/>
  <c r="Q2866" i="4"/>
  <c r="R2866" i="4"/>
  <c r="S2866" i="4"/>
  <c r="L2867" i="4"/>
  <c r="M2867" i="4"/>
  <c r="N2867" i="4"/>
  <c r="O2867" i="4"/>
  <c r="P2867" i="4"/>
  <c r="Q2867" i="4"/>
  <c r="R2867" i="4"/>
  <c r="S2867" i="4"/>
  <c r="L2868" i="4"/>
  <c r="M2868" i="4"/>
  <c r="N2868" i="4"/>
  <c r="O2868" i="4"/>
  <c r="P2868" i="4"/>
  <c r="Q2868" i="4"/>
  <c r="R2868" i="4"/>
  <c r="S2868" i="4"/>
  <c r="L2869" i="4"/>
  <c r="M2869" i="4"/>
  <c r="N2869" i="4"/>
  <c r="O2869" i="4"/>
  <c r="P2869" i="4"/>
  <c r="Q2869" i="4"/>
  <c r="R2869" i="4"/>
  <c r="S2869" i="4"/>
  <c r="L2870" i="4"/>
  <c r="M2870" i="4"/>
  <c r="N2870" i="4"/>
  <c r="O2870" i="4"/>
  <c r="P2870" i="4"/>
  <c r="Q2870" i="4"/>
  <c r="R2870" i="4"/>
  <c r="S2870" i="4"/>
  <c r="L2871" i="4"/>
  <c r="M2871" i="4"/>
  <c r="N2871" i="4"/>
  <c r="O2871" i="4"/>
  <c r="P2871" i="4"/>
  <c r="Q2871" i="4"/>
  <c r="R2871" i="4"/>
  <c r="S2871" i="4"/>
  <c r="L2872" i="4"/>
  <c r="M2872" i="4"/>
  <c r="N2872" i="4"/>
  <c r="O2872" i="4"/>
  <c r="P2872" i="4"/>
  <c r="Q2872" i="4"/>
  <c r="R2872" i="4"/>
  <c r="S2872" i="4"/>
  <c r="L2873" i="4"/>
  <c r="M2873" i="4"/>
  <c r="N2873" i="4"/>
  <c r="O2873" i="4"/>
  <c r="P2873" i="4"/>
  <c r="Q2873" i="4"/>
  <c r="R2873" i="4"/>
  <c r="S2873" i="4"/>
  <c r="L2874" i="4"/>
  <c r="M2874" i="4"/>
  <c r="N2874" i="4"/>
  <c r="O2874" i="4"/>
  <c r="P2874" i="4"/>
  <c r="Q2874" i="4"/>
  <c r="R2874" i="4"/>
  <c r="S2874" i="4"/>
  <c r="L2875" i="4"/>
  <c r="M2875" i="4"/>
  <c r="N2875" i="4"/>
  <c r="O2875" i="4"/>
  <c r="P2875" i="4"/>
  <c r="Q2875" i="4"/>
  <c r="R2875" i="4"/>
  <c r="S2875" i="4"/>
  <c r="L2876" i="4"/>
  <c r="M2876" i="4"/>
  <c r="N2876" i="4"/>
  <c r="O2876" i="4"/>
  <c r="P2876" i="4"/>
  <c r="Q2876" i="4"/>
  <c r="R2876" i="4"/>
  <c r="S2876" i="4"/>
  <c r="L2877" i="4"/>
  <c r="M2877" i="4"/>
  <c r="N2877" i="4"/>
  <c r="O2877" i="4"/>
  <c r="P2877" i="4"/>
  <c r="Q2877" i="4"/>
  <c r="R2877" i="4"/>
  <c r="S2877" i="4"/>
  <c r="L2878" i="4"/>
  <c r="M2878" i="4"/>
  <c r="N2878" i="4"/>
  <c r="O2878" i="4"/>
  <c r="P2878" i="4"/>
  <c r="Q2878" i="4"/>
  <c r="R2878" i="4"/>
  <c r="S2878" i="4"/>
  <c r="L2879" i="4"/>
  <c r="M2879" i="4"/>
  <c r="N2879" i="4"/>
  <c r="O2879" i="4"/>
  <c r="P2879" i="4"/>
  <c r="Q2879" i="4"/>
  <c r="R2879" i="4"/>
  <c r="S2879" i="4"/>
  <c r="L2880" i="4"/>
  <c r="M2880" i="4"/>
  <c r="N2880" i="4"/>
  <c r="O2880" i="4"/>
  <c r="P2880" i="4"/>
  <c r="Q2880" i="4"/>
  <c r="R2880" i="4"/>
  <c r="S2880" i="4"/>
  <c r="L2881" i="4"/>
  <c r="M2881" i="4"/>
  <c r="N2881" i="4"/>
  <c r="O2881" i="4"/>
  <c r="P2881" i="4"/>
  <c r="Q2881" i="4"/>
  <c r="R2881" i="4"/>
  <c r="S2881" i="4"/>
  <c r="L2882" i="4"/>
  <c r="M2882" i="4"/>
  <c r="N2882" i="4"/>
  <c r="O2882" i="4"/>
  <c r="P2882" i="4"/>
  <c r="Q2882" i="4"/>
  <c r="R2882" i="4"/>
  <c r="S2882" i="4"/>
  <c r="L2883" i="4"/>
  <c r="M2883" i="4"/>
  <c r="N2883" i="4"/>
  <c r="O2883" i="4"/>
  <c r="P2883" i="4"/>
  <c r="Q2883" i="4"/>
  <c r="R2883" i="4"/>
  <c r="S2883" i="4"/>
  <c r="L2884" i="4"/>
  <c r="M2884" i="4"/>
  <c r="N2884" i="4"/>
  <c r="O2884" i="4"/>
  <c r="P2884" i="4"/>
  <c r="Q2884" i="4"/>
  <c r="R2884" i="4"/>
  <c r="S2884" i="4"/>
  <c r="L2885" i="4"/>
  <c r="M2885" i="4"/>
  <c r="N2885" i="4"/>
  <c r="O2885" i="4"/>
  <c r="P2885" i="4"/>
  <c r="Q2885" i="4"/>
  <c r="R2885" i="4"/>
  <c r="S2885" i="4"/>
  <c r="L2886" i="4"/>
  <c r="M2886" i="4"/>
  <c r="N2886" i="4"/>
  <c r="O2886" i="4"/>
  <c r="P2886" i="4"/>
  <c r="Q2886" i="4"/>
  <c r="R2886" i="4"/>
  <c r="S2886" i="4"/>
  <c r="L2887" i="4"/>
  <c r="M2887" i="4"/>
  <c r="N2887" i="4"/>
  <c r="O2887" i="4"/>
  <c r="P2887" i="4"/>
  <c r="Q2887" i="4"/>
  <c r="R2887" i="4"/>
  <c r="S2887" i="4"/>
  <c r="L2888" i="4"/>
  <c r="M2888" i="4"/>
  <c r="N2888" i="4"/>
  <c r="O2888" i="4"/>
  <c r="P2888" i="4"/>
  <c r="Q2888" i="4"/>
  <c r="R2888" i="4"/>
  <c r="S2888" i="4"/>
  <c r="L2889" i="4"/>
  <c r="M2889" i="4"/>
  <c r="N2889" i="4"/>
  <c r="O2889" i="4"/>
  <c r="P2889" i="4"/>
  <c r="Q2889" i="4"/>
  <c r="R2889" i="4"/>
  <c r="S2889" i="4"/>
  <c r="L2890" i="4"/>
  <c r="M2890" i="4"/>
  <c r="N2890" i="4"/>
  <c r="O2890" i="4"/>
  <c r="P2890" i="4"/>
  <c r="Q2890" i="4"/>
  <c r="R2890" i="4"/>
  <c r="S2890" i="4"/>
  <c r="L2891" i="4"/>
  <c r="M2891" i="4"/>
  <c r="N2891" i="4"/>
  <c r="O2891" i="4"/>
  <c r="P2891" i="4"/>
  <c r="Q2891" i="4"/>
  <c r="R2891" i="4"/>
  <c r="S2891" i="4"/>
  <c r="L2892" i="4"/>
  <c r="M2892" i="4"/>
  <c r="N2892" i="4"/>
  <c r="O2892" i="4"/>
  <c r="P2892" i="4"/>
  <c r="Q2892" i="4"/>
  <c r="R2892" i="4"/>
  <c r="S2892" i="4"/>
  <c r="L2893" i="4"/>
  <c r="M2893" i="4"/>
  <c r="N2893" i="4"/>
  <c r="O2893" i="4"/>
  <c r="P2893" i="4"/>
  <c r="Q2893" i="4"/>
  <c r="R2893" i="4"/>
  <c r="S2893" i="4"/>
  <c r="L2894" i="4"/>
  <c r="M2894" i="4"/>
  <c r="N2894" i="4"/>
  <c r="O2894" i="4"/>
  <c r="P2894" i="4"/>
  <c r="Q2894" i="4"/>
  <c r="R2894" i="4"/>
  <c r="S2894" i="4"/>
  <c r="L2895" i="4"/>
  <c r="M2895" i="4"/>
  <c r="N2895" i="4"/>
  <c r="O2895" i="4"/>
  <c r="P2895" i="4"/>
  <c r="Q2895" i="4"/>
  <c r="R2895" i="4"/>
  <c r="S2895" i="4"/>
  <c r="L2896" i="4"/>
  <c r="M2896" i="4"/>
  <c r="N2896" i="4"/>
  <c r="O2896" i="4"/>
  <c r="P2896" i="4"/>
  <c r="Q2896" i="4"/>
  <c r="R2896" i="4"/>
  <c r="S2896" i="4"/>
  <c r="L2897" i="4"/>
  <c r="M2897" i="4"/>
  <c r="N2897" i="4"/>
  <c r="O2897" i="4"/>
  <c r="P2897" i="4"/>
  <c r="Q2897" i="4"/>
  <c r="R2897" i="4"/>
  <c r="S2897" i="4"/>
  <c r="L2898" i="4"/>
  <c r="M2898" i="4"/>
  <c r="N2898" i="4"/>
  <c r="O2898" i="4"/>
  <c r="P2898" i="4"/>
  <c r="Q2898" i="4"/>
  <c r="R2898" i="4"/>
  <c r="S2898" i="4"/>
  <c r="L2899" i="4"/>
  <c r="M2899" i="4"/>
  <c r="N2899" i="4"/>
  <c r="O2899" i="4"/>
  <c r="P2899" i="4"/>
  <c r="Q2899" i="4"/>
  <c r="R2899" i="4"/>
  <c r="S2899" i="4"/>
  <c r="L2900" i="4"/>
  <c r="M2900" i="4"/>
  <c r="N2900" i="4"/>
  <c r="O2900" i="4"/>
  <c r="P2900" i="4"/>
  <c r="Q2900" i="4"/>
  <c r="R2900" i="4"/>
  <c r="S2900" i="4"/>
  <c r="L2901" i="4"/>
  <c r="M2901" i="4"/>
  <c r="N2901" i="4"/>
  <c r="O2901" i="4"/>
  <c r="P2901" i="4"/>
  <c r="Q2901" i="4"/>
  <c r="R2901" i="4"/>
  <c r="S2901" i="4"/>
  <c r="L2902" i="4"/>
  <c r="M2902" i="4"/>
  <c r="N2902" i="4"/>
  <c r="O2902" i="4"/>
  <c r="P2902" i="4"/>
  <c r="Q2902" i="4"/>
  <c r="R2902" i="4"/>
  <c r="S2902" i="4"/>
  <c r="L2903" i="4"/>
  <c r="M2903" i="4"/>
  <c r="N2903" i="4"/>
  <c r="O2903" i="4"/>
  <c r="P2903" i="4"/>
  <c r="Q2903" i="4"/>
  <c r="R2903" i="4"/>
  <c r="S2903" i="4"/>
  <c r="L2904" i="4"/>
  <c r="M2904" i="4"/>
  <c r="N2904" i="4"/>
  <c r="O2904" i="4"/>
  <c r="P2904" i="4"/>
  <c r="Q2904" i="4"/>
  <c r="R2904" i="4"/>
  <c r="S2904" i="4"/>
  <c r="L2905" i="4"/>
  <c r="M2905" i="4"/>
  <c r="N2905" i="4"/>
  <c r="O2905" i="4"/>
  <c r="P2905" i="4"/>
  <c r="Q2905" i="4"/>
  <c r="R2905" i="4"/>
  <c r="S2905" i="4"/>
  <c r="L2906" i="4"/>
  <c r="M2906" i="4"/>
  <c r="N2906" i="4"/>
  <c r="O2906" i="4"/>
  <c r="P2906" i="4"/>
  <c r="Q2906" i="4"/>
  <c r="R2906" i="4"/>
  <c r="S2906" i="4"/>
  <c r="L2907" i="4"/>
  <c r="M2907" i="4"/>
  <c r="N2907" i="4"/>
  <c r="O2907" i="4"/>
  <c r="P2907" i="4"/>
  <c r="Q2907" i="4"/>
  <c r="R2907" i="4"/>
  <c r="S2907" i="4"/>
  <c r="L2908" i="4"/>
  <c r="M2908" i="4"/>
  <c r="N2908" i="4"/>
  <c r="O2908" i="4"/>
  <c r="P2908" i="4"/>
  <c r="Q2908" i="4"/>
  <c r="R2908" i="4"/>
  <c r="S2908" i="4"/>
  <c r="L2909" i="4"/>
  <c r="M2909" i="4"/>
  <c r="N2909" i="4"/>
  <c r="O2909" i="4"/>
  <c r="P2909" i="4"/>
  <c r="Q2909" i="4"/>
  <c r="R2909" i="4"/>
  <c r="S2909" i="4"/>
  <c r="L2910" i="4"/>
  <c r="M2910" i="4"/>
  <c r="N2910" i="4"/>
  <c r="O2910" i="4"/>
  <c r="P2910" i="4"/>
  <c r="Q2910" i="4"/>
  <c r="R2910" i="4"/>
  <c r="S2910" i="4"/>
  <c r="L2911" i="4"/>
  <c r="M2911" i="4"/>
  <c r="N2911" i="4"/>
  <c r="O2911" i="4"/>
  <c r="P2911" i="4"/>
  <c r="Q2911" i="4"/>
  <c r="R2911" i="4"/>
  <c r="S2911" i="4"/>
  <c r="L2912" i="4"/>
  <c r="M2912" i="4"/>
  <c r="N2912" i="4"/>
  <c r="O2912" i="4"/>
  <c r="P2912" i="4"/>
  <c r="Q2912" i="4"/>
  <c r="R2912" i="4"/>
  <c r="S2912" i="4"/>
  <c r="L2913" i="4"/>
  <c r="M2913" i="4"/>
  <c r="N2913" i="4"/>
  <c r="O2913" i="4"/>
  <c r="P2913" i="4"/>
  <c r="Q2913" i="4"/>
  <c r="R2913" i="4"/>
  <c r="S2913" i="4"/>
  <c r="L2914" i="4"/>
  <c r="M2914" i="4"/>
  <c r="N2914" i="4"/>
  <c r="O2914" i="4"/>
  <c r="P2914" i="4"/>
  <c r="Q2914" i="4"/>
  <c r="R2914" i="4"/>
  <c r="S2914" i="4"/>
  <c r="L2915" i="4"/>
  <c r="M2915" i="4"/>
  <c r="N2915" i="4"/>
  <c r="O2915" i="4"/>
  <c r="P2915" i="4"/>
  <c r="Q2915" i="4"/>
  <c r="R2915" i="4"/>
  <c r="S2915" i="4"/>
  <c r="L2916" i="4"/>
  <c r="M2916" i="4"/>
  <c r="N2916" i="4"/>
  <c r="O2916" i="4"/>
  <c r="P2916" i="4"/>
  <c r="Q2916" i="4"/>
  <c r="R2916" i="4"/>
  <c r="S2916" i="4"/>
  <c r="L2917" i="4"/>
  <c r="M2917" i="4"/>
  <c r="N2917" i="4"/>
  <c r="O2917" i="4"/>
  <c r="P2917" i="4"/>
  <c r="Q2917" i="4"/>
  <c r="R2917" i="4"/>
  <c r="S2917" i="4"/>
  <c r="L2918" i="4"/>
  <c r="M2918" i="4"/>
  <c r="N2918" i="4"/>
  <c r="O2918" i="4"/>
  <c r="P2918" i="4"/>
  <c r="Q2918" i="4"/>
  <c r="R2918" i="4"/>
  <c r="S2918" i="4"/>
  <c r="L2919" i="4"/>
  <c r="M2919" i="4"/>
  <c r="N2919" i="4"/>
  <c r="O2919" i="4"/>
  <c r="P2919" i="4"/>
  <c r="Q2919" i="4"/>
  <c r="R2919" i="4"/>
  <c r="S2919" i="4"/>
  <c r="L2920" i="4"/>
  <c r="M2920" i="4"/>
  <c r="N2920" i="4"/>
  <c r="O2920" i="4"/>
  <c r="P2920" i="4"/>
  <c r="Q2920" i="4"/>
  <c r="R2920" i="4"/>
  <c r="S2920" i="4"/>
  <c r="L2921" i="4"/>
  <c r="M2921" i="4"/>
  <c r="N2921" i="4"/>
  <c r="O2921" i="4"/>
  <c r="P2921" i="4"/>
  <c r="Q2921" i="4"/>
  <c r="R2921" i="4"/>
  <c r="S2921" i="4"/>
  <c r="L2922" i="4"/>
  <c r="M2922" i="4"/>
  <c r="N2922" i="4"/>
  <c r="O2922" i="4"/>
  <c r="P2922" i="4"/>
  <c r="Q2922" i="4"/>
  <c r="R2922" i="4"/>
  <c r="S2922" i="4"/>
  <c r="L2923" i="4"/>
  <c r="M2923" i="4"/>
  <c r="N2923" i="4"/>
  <c r="O2923" i="4"/>
  <c r="P2923" i="4"/>
  <c r="Q2923" i="4"/>
  <c r="R2923" i="4"/>
  <c r="S2923" i="4"/>
  <c r="L2924" i="4"/>
  <c r="M2924" i="4"/>
  <c r="N2924" i="4"/>
  <c r="O2924" i="4"/>
  <c r="P2924" i="4"/>
  <c r="Q2924" i="4"/>
  <c r="R2924" i="4"/>
  <c r="S2924" i="4"/>
  <c r="L2925" i="4"/>
  <c r="M2925" i="4"/>
  <c r="N2925" i="4"/>
  <c r="O2925" i="4"/>
  <c r="P2925" i="4"/>
  <c r="Q2925" i="4"/>
  <c r="R2925" i="4"/>
  <c r="S2925" i="4"/>
  <c r="L2926" i="4"/>
  <c r="M2926" i="4"/>
  <c r="N2926" i="4"/>
  <c r="O2926" i="4"/>
  <c r="P2926" i="4"/>
  <c r="Q2926" i="4"/>
  <c r="R2926" i="4"/>
  <c r="S2926" i="4"/>
  <c r="L2927" i="4"/>
  <c r="M2927" i="4"/>
  <c r="N2927" i="4"/>
  <c r="O2927" i="4"/>
  <c r="P2927" i="4"/>
  <c r="Q2927" i="4"/>
  <c r="R2927" i="4"/>
  <c r="S2927" i="4"/>
  <c r="L2928" i="4"/>
  <c r="M2928" i="4"/>
  <c r="N2928" i="4"/>
  <c r="O2928" i="4"/>
  <c r="P2928" i="4"/>
  <c r="Q2928" i="4"/>
  <c r="R2928" i="4"/>
  <c r="S2928" i="4"/>
  <c r="L2929" i="4"/>
  <c r="M2929" i="4"/>
  <c r="N2929" i="4"/>
  <c r="O2929" i="4"/>
  <c r="P2929" i="4"/>
  <c r="Q2929" i="4"/>
  <c r="R2929" i="4"/>
  <c r="S2929" i="4"/>
  <c r="L2930" i="4"/>
  <c r="M2930" i="4"/>
  <c r="N2930" i="4"/>
  <c r="O2930" i="4"/>
  <c r="P2930" i="4"/>
  <c r="Q2930" i="4"/>
  <c r="R2930" i="4"/>
  <c r="S2930" i="4"/>
  <c r="L2931" i="4"/>
  <c r="M2931" i="4"/>
  <c r="N2931" i="4"/>
  <c r="O2931" i="4"/>
  <c r="P2931" i="4"/>
  <c r="Q2931" i="4"/>
  <c r="R2931" i="4"/>
  <c r="S2931" i="4"/>
  <c r="L2932" i="4"/>
  <c r="M2932" i="4"/>
  <c r="N2932" i="4"/>
  <c r="O2932" i="4"/>
  <c r="P2932" i="4"/>
  <c r="Q2932" i="4"/>
  <c r="R2932" i="4"/>
  <c r="S2932" i="4"/>
  <c r="L2933" i="4"/>
  <c r="M2933" i="4"/>
  <c r="N2933" i="4"/>
  <c r="O2933" i="4"/>
  <c r="P2933" i="4"/>
  <c r="Q2933" i="4"/>
  <c r="R2933" i="4"/>
  <c r="S2933" i="4"/>
  <c r="L2934" i="4"/>
  <c r="M2934" i="4"/>
  <c r="N2934" i="4"/>
  <c r="O2934" i="4"/>
  <c r="P2934" i="4"/>
  <c r="Q2934" i="4"/>
  <c r="R2934" i="4"/>
  <c r="S2934" i="4"/>
  <c r="L2935" i="4"/>
  <c r="M2935" i="4"/>
  <c r="N2935" i="4"/>
  <c r="O2935" i="4"/>
  <c r="P2935" i="4"/>
  <c r="Q2935" i="4"/>
  <c r="R2935" i="4"/>
  <c r="S2935" i="4"/>
  <c r="L2936" i="4"/>
  <c r="M2936" i="4"/>
  <c r="N2936" i="4"/>
  <c r="O2936" i="4"/>
  <c r="P2936" i="4"/>
  <c r="Q2936" i="4"/>
  <c r="R2936" i="4"/>
  <c r="S2936" i="4"/>
  <c r="L2937" i="4"/>
  <c r="M2937" i="4"/>
  <c r="N2937" i="4"/>
  <c r="O2937" i="4"/>
  <c r="P2937" i="4"/>
  <c r="Q2937" i="4"/>
  <c r="R2937" i="4"/>
  <c r="S2937" i="4"/>
  <c r="L2938" i="4"/>
  <c r="M2938" i="4"/>
  <c r="N2938" i="4"/>
  <c r="O2938" i="4"/>
  <c r="P2938" i="4"/>
  <c r="Q2938" i="4"/>
  <c r="R2938" i="4"/>
  <c r="S2938" i="4"/>
  <c r="L2939" i="4"/>
  <c r="M2939" i="4"/>
  <c r="N2939" i="4"/>
  <c r="O2939" i="4"/>
  <c r="P2939" i="4"/>
  <c r="Q2939" i="4"/>
  <c r="R2939" i="4"/>
  <c r="S2939" i="4"/>
  <c r="L2940" i="4"/>
  <c r="M2940" i="4"/>
  <c r="N2940" i="4"/>
  <c r="O2940" i="4"/>
  <c r="P2940" i="4"/>
  <c r="Q2940" i="4"/>
  <c r="R2940" i="4"/>
  <c r="S2940" i="4"/>
  <c r="L2941" i="4"/>
  <c r="M2941" i="4"/>
  <c r="N2941" i="4"/>
  <c r="O2941" i="4"/>
  <c r="P2941" i="4"/>
  <c r="Q2941" i="4"/>
  <c r="R2941" i="4"/>
  <c r="S2941" i="4"/>
  <c r="L2942" i="4"/>
  <c r="M2942" i="4"/>
  <c r="N2942" i="4"/>
  <c r="O2942" i="4"/>
  <c r="P2942" i="4"/>
  <c r="Q2942" i="4"/>
  <c r="R2942" i="4"/>
  <c r="S2942" i="4"/>
  <c r="L2943" i="4"/>
  <c r="M2943" i="4"/>
  <c r="N2943" i="4"/>
  <c r="O2943" i="4"/>
  <c r="P2943" i="4"/>
  <c r="Q2943" i="4"/>
  <c r="R2943" i="4"/>
  <c r="S2943" i="4"/>
  <c r="L2944" i="4"/>
  <c r="M2944" i="4"/>
  <c r="N2944" i="4"/>
  <c r="O2944" i="4"/>
  <c r="P2944" i="4"/>
  <c r="Q2944" i="4"/>
  <c r="R2944" i="4"/>
  <c r="S2944" i="4"/>
  <c r="L2945" i="4"/>
  <c r="M2945" i="4"/>
  <c r="N2945" i="4"/>
  <c r="O2945" i="4"/>
  <c r="P2945" i="4"/>
  <c r="Q2945" i="4"/>
  <c r="R2945" i="4"/>
  <c r="S2945" i="4"/>
  <c r="L2946" i="4"/>
  <c r="M2946" i="4"/>
  <c r="N2946" i="4"/>
  <c r="O2946" i="4"/>
  <c r="P2946" i="4"/>
  <c r="Q2946" i="4"/>
  <c r="R2946" i="4"/>
  <c r="S2946" i="4"/>
  <c r="L2947" i="4"/>
  <c r="M2947" i="4"/>
  <c r="N2947" i="4"/>
  <c r="O2947" i="4"/>
  <c r="P2947" i="4"/>
  <c r="Q2947" i="4"/>
  <c r="R2947" i="4"/>
  <c r="S2947" i="4"/>
  <c r="L2948" i="4"/>
  <c r="M2948" i="4"/>
  <c r="N2948" i="4"/>
  <c r="O2948" i="4"/>
  <c r="P2948" i="4"/>
  <c r="Q2948" i="4"/>
  <c r="R2948" i="4"/>
  <c r="S2948" i="4"/>
  <c r="L2949" i="4"/>
  <c r="M2949" i="4"/>
  <c r="N2949" i="4"/>
  <c r="O2949" i="4"/>
  <c r="P2949" i="4"/>
  <c r="Q2949" i="4"/>
  <c r="R2949" i="4"/>
  <c r="S2949" i="4"/>
  <c r="L2950" i="4"/>
  <c r="M2950" i="4"/>
  <c r="N2950" i="4"/>
  <c r="O2950" i="4"/>
  <c r="P2950" i="4"/>
  <c r="Q2950" i="4"/>
  <c r="R2950" i="4"/>
  <c r="S2950" i="4"/>
  <c r="L2951" i="4"/>
  <c r="M2951" i="4"/>
  <c r="N2951" i="4"/>
  <c r="O2951" i="4"/>
  <c r="P2951" i="4"/>
  <c r="Q2951" i="4"/>
  <c r="R2951" i="4"/>
  <c r="S2951" i="4"/>
  <c r="L2952" i="4"/>
  <c r="M2952" i="4"/>
  <c r="N2952" i="4"/>
  <c r="O2952" i="4"/>
  <c r="P2952" i="4"/>
  <c r="Q2952" i="4"/>
  <c r="R2952" i="4"/>
  <c r="S2952" i="4"/>
  <c r="L2953" i="4"/>
  <c r="M2953" i="4"/>
  <c r="N2953" i="4"/>
  <c r="O2953" i="4"/>
  <c r="P2953" i="4"/>
  <c r="Q2953" i="4"/>
  <c r="R2953" i="4"/>
  <c r="S2953" i="4"/>
  <c r="L2954" i="4"/>
  <c r="M2954" i="4"/>
  <c r="N2954" i="4"/>
  <c r="O2954" i="4"/>
  <c r="P2954" i="4"/>
  <c r="Q2954" i="4"/>
  <c r="R2954" i="4"/>
  <c r="S2954" i="4"/>
  <c r="L2955" i="4"/>
  <c r="M2955" i="4"/>
  <c r="N2955" i="4"/>
  <c r="O2955" i="4"/>
  <c r="P2955" i="4"/>
  <c r="Q2955" i="4"/>
  <c r="R2955" i="4"/>
  <c r="S2955" i="4"/>
  <c r="L2956" i="4"/>
  <c r="M2956" i="4"/>
  <c r="N2956" i="4"/>
  <c r="O2956" i="4"/>
  <c r="P2956" i="4"/>
  <c r="Q2956" i="4"/>
  <c r="R2956" i="4"/>
  <c r="S2956" i="4"/>
  <c r="L2957" i="4"/>
  <c r="M2957" i="4"/>
  <c r="N2957" i="4"/>
  <c r="O2957" i="4"/>
  <c r="P2957" i="4"/>
  <c r="Q2957" i="4"/>
  <c r="R2957" i="4"/>
  <c r="S2957" i="4"/>
  <c r="L2958" i="4"/>
  <c r="M2958" i="4"/>
  <c r="N2958" i="4"/>
  <c r="O2958" i="4"/>
  <c r="P2958" i="4"/>
  <c r="Q2958" i="4"/>
  <c r="R2958" i="4"/>
  <c r="S2958" i="4"/>
  <c r="L2959" i="4"/>
  <c r="M2959" i="4"/>
  <c r="N2959" i="4"/>
  <c r="O2959" i="4"/>
  <c r="P2959" i="4"/>
  <c r="Q2959" i="4"/>
  <c r="R2959" i="4"/>
  <c r="S2959" i="4"/>
  <c r="L2960" i="4"/>
  <c r="M2960" i="4"/>
  <c r="N2960" i="4"/>
  <c r="O2960" i="4"/>
  <c r="P2960" i="4"/>
  <c r="Q2960" i="4"/>
  <c r="R2960" i="4"/>
  <c r="S2960" i="4"/>
  <c r="L2961" i="4"/>
  <c r="M2961" i="4"/>
  <c r="N2961" i="4"/>
  <c r="O2961" i="4"/>
  <c r="P2961" i="4"/>
  <c r="Q2961" i="4"/>
  <c r="R2961" i="4"/>
  <c r="S2961" i="4"/>
  <c r="L2962" i="4"/>
  <c r="M2962" i="4"/>
  <c r="N2962" i="4"/>
  <c r="O2962" i="4"/>
  <c r="P2962" i="4"/>
  <c r="Q2962" i="4"/>
  <c r="R2962" i="4"/>
  <c r="S2962" i="4"/>
  <c r="L2963" i="4"/>
  <c r="M2963" i="4"/>
  <c r="N2963" i="4"/>
  <c r="O2963" i="4"/>
  <c r="P2963" i="4"/>
  <c r="Q2963" i="4"/>
  <c r="R2963" i="4"/>
  <c r="S2963" i="4"/>
  <c r="L2964" i="4"/>
  <c r="M2964" i="4"/>
  <c r="N2964" i="4"/>
  <c r="O2964" i="4"/>
  <c r="P2964" i="4"/>
  <c r="Q2964" i="4"/>
  <c r="R2964" i="4"/>
  <c r="S2964" i="4"/>
  <c r="L2965" i="4"/>
  <c r="M2965" i="4"/>
  <c r="N2965" i="4"/>
  <c r="O2965" i="4"/>
  <c r="P2965" i="4"/>
  <c r="Q2965" i="4"/>
  <c r="R2965" i="4"/>
  <c r="S2965" i="4"/>
  <c r="L2966" i="4"/>
  <c r="M2966" i="4"/>
  <c r="N2966" i="4"/>
  <c r="O2966" i="4"/>
  <c r="P2966" i="4"/>
  <c r="Q2966" i="4"/>
  <c r="R2966" i="4"/>
  <c r="S2966" i="4"/>
  <c r="L3" i="4"/>
  <c r="M3" i="4"/>
  <c r="N3" i="4"/>
  <c r="O3" i="4"/>
  <c r="P3" i="4"/>
  <c r="Q3" i="4"/>
  <c r="R3" i="4"/>
  <c r="S3" i="4"/>
  <c r="L4" i="4"/>
  <c r="M4" i="4"/>
  <c r="N4" i="4"/>
  <c r="O4" i="4"/>
  <c r="P4" i="4"/>
  <c r="Q4" i="4"/>
  <c r="R4" i="4"/>
  <c r="S4" i="4"/>
  <c r="L5" i="4"/>
  <c r="M5" i="4"/>
  <c r="N5" i="4"/>
  <c r="O5" i="4"/>
  <c r="P5" i="4"/>
  <c r="Q5" i="4"/>
  <c r="R5" i="4"/>
  <c r="S5" i="4"/>
  <c r="L6" i="4"/>
  <c r="M6" i="4"/>
  <c r="N6" i="4"/>
  <c r="O6" i="4"/>
  <c r="P6" i="4"/>
  <c r="Q6" i="4"/>
  <c r="R6" i="4"/>
  <c r="S6" i="4"/>
  <c r="L7" i="4"/>
  <c r="M7" i="4"/>
  <c r="N7" i="4"/>
  <c r="O7" i="4"/>
  <c r="P7" i="4"/>
  <c r="Q7" i="4"/>
  <c r="R7" i="4"/>
  <c r="S7" i="4"/>
  <c r="L8" i="4"/>
  <c r="M8" i="4"/>
  <c r="N8" i="4"/>
  <c r="O8" i="4"/>
  <c r="P8" i="4"/>
  <c r="Q8" i="4"/>
  <c r="R8" i="4"/>
  <c r="S8" i="4"/>
  <c r="L9" i="4"/>
  <c r="M9" i="4"/>
  <c r="N9" i="4"/>
  <c r="O9" i="4"/>
  <c r="P9" i="4"/>
  <c r="Q9" i="4"/>
  <c r="R9" i="4"/>
  <c r="S9" i="4"/>
  <c r="Q2" i="4"/>
  <c r="R2" i="4"/>
  <c r="R2967" i="4" s="1"/>
  <c r="S2" i="4"/>
  <c r="S2967" i="4" s="1"/>
  <c r="M2" i="4"/>
  <c r="N2" i="4"/>
  <c r="O2" i="4"/>
  <c r="P2" i="4"/>
  <c r="L2" i="4"/>
  <c r="P2967" i="4" l="1"/>
  <c r="O2967" i="4"/>
  <c r="Q2967" i="4"/>
  <c r="L2967" i="4"/>
  <c r="N2967" i="4"/>
  <c r="M2967" i="4"/>
  <c r="T9" i="4"/>
  <c r="U9" i="4" s="1"/>
  <c r="T8" i="4"/>
  <c r="U8" i="4" s="1"/>
  <c r="T7" i="4"/>
  <c r="U7" i="4" s="1"/>
  <c r="T6" i="4"/>
  <c r="U6" i="4" s="1"/>
  <c r="T5" i="4"/>
  <c r="U5" i="4" s="1"/>
  <c r="T4" i="4"/>
  <c r="U4" i="4" s="1"/>
  <c r="T3" i="4"/>
  <c r="U3" i="4" s="1"/>
  <c r="T2966" i="4"/>
  <c r="U2966" i="4" s="1"/>
  <c r="T2965" i="4"/>
  <c r="U2965" i="4" s="1"/>
  <c r="T2964" i="4"/>
  <c r="U2964" i="4" s="1"/>
  <c r="T2963" i="4"/>
  <c r="U2963" i="4" s="1"/>
  <c r="T2962" i="4"/>
  <c r="U2962" i="4" s="1"/>
  <c r="T2961" i="4"/>
  <c r="U2961" i="4" s="1"/>
  <c r="T2960" i="4"/>
  <c r="U2960" i="4" s="1"/>
  <c r="T2959" i="4"/>
  <c r="U2959" i="4" s="1"/>
  <c r="T2958" i="4"/>
  <c r="U2958" i="4" s="1"/>
  <c r="T2957" i="4"/>
  <c r="U2957" i="4" s="1"/>
  <c r="T2956" i="4"/>
  <c r="U2956" i="4" s="1"/>
  <c r="T2955" i="4"/>
  <c r="U2955" i="4" s="1"/>
  <c r="T2954" i="4"/>
  <c r="U2954" i="4" s="1"/>
  <c r="T2953" i="4"/>
  <c r="U2953" i="4" s="1"/>
  <c r="T2952" i="4"/>
  <c r="U2952" i="4" s="1"/>
  <c r="T2951" i="4"/>
  <c r="U2951" i="4" s="1"/>
  <c r="T2950" i="4"/>
  <c r="U2950" i="4" s="1"/>
  <c r="T2949" i="4"/>
  <c r="U2949" i="4" s="1"/>
  <c r="T2948" i="4"/>
  <c r="U2948" i="4" s="1"/>
  <c r="T2947" i="4"/>
  <c r="U2947" i="4" s="1"/>
  <c r="T2946" i="4"/>
  <c r="U2946" i="4" s="1"/>
  <c r="T2945" i="4"/>
  <c r="U2945" i="4" s="1"/>
  <c r="T2944" i="4"/>
  <c r="U2944" i="4" s="1"/>
  <c r="T2943" i="4"/>
  <c r="U2943" i="4" s="1"/>
  <c r="T2942" i="4"/>
  <c r="U2942" i="4" s="1"/>
  <c r="T2941" i="4"/>
  <c r="U2941" i="4" s="1"/>
  <c r="T2940" i="4"/>
  <c r="U2940" i="4" s="1"/>
  <c r="T2939" i="4"/>
  <c r="U2939" i="4" s="1"/>
  <c r="T2938" i="4"/>
  <c r="U2938" i="4" s="1"/>
  <c r="T2937" i="4"/>
  <c r="U2937" i="4" s="1"/>
  <c r="T2936" i="4"/>
  <c r="U2936" i="4" s="1"/>
  <c r="T2935" i="4"/>
  <c r="U2935" i="4" s="1"/>
  <c r="T2934" i="4"/>
  <c r="U2934" i="4" s="1"/>
  <c r="T2933" i="4"/>
  <c r="U2933" i="4" s="1"/>
  <c r="T2932" i="4"/>
  <c r="U2932" i="4" s="1"/>
  <c r="T2931" i="4"/>
  <c r="U2931" i="4" s="1"/>
  <c r="T2930" i="4"/>
  <c r="U2930" i="4" s="1"/>
  <c r="T2929" i="4"/>
  <c r="U2929" i="4" s="1"/>
  <c r="T2928" i="4"/>
  <c r="U2928" i="4" s="1"/>
  <c r="T2927" i="4"/>
  <c r="U2927" i="4" s="1"/>
  <c r="T2926" i="4"/>
  <c r="U2926" i="4" s="1"/>
  <c r="T2925" i="4"/>
  <c r="U2925" i="4" s="1"/>
  <c r="T2924" i="4"/>
  <c r="U2924" i="4" s="1"/>
  <c r="T2923" i="4"/>
  <c r="U2923" i="4" s="1"/>
  <c r="T2922" i="4"/>
  <c r="U2922" i="4" s="1"/>
  <c r="T2921" i="4"/>
  <c r="U2921" i="4" s="1"/>
  <c r="T2920" i="4"/>
  <c r="U2920" i="4" s="1"/>
  <c r="T2919" i="4"/>
  <c r="U2919" i="4" s="1"/>
  <c r="T2918" i="4"/>
  <c r="U2918" i="4" s="1"/>
  <c r="T2917" i="4"/>
  <c r="U2917" i="4" s="1"/>
  <c r="T2916" i="4"/>
  <c r="U2916" i="4" s="1"/>
  <c r="T2915" i="4"/>
  <c r="U2915" i="4" s="1"/>
  <c r="T2914" i="4"/>
  <c r="U2914" i="4" s="1"/>
  <c r="T2913" i="4"/>
  <c r="U2913" i="4" s="1"/>
  <c r="T2912" i="4"/>
  <c r="U2912" i="4" s="1"/>
  <c r="T2911" i="4"/>
  <c r="U2911" i="4" s="1"/>
  <c r="T2910" i="4"/>
  <c r="U2910" i="4" s="1"/>
  <c r="T2909" i="4"/>
  <c r="U2909" i="4" s="1"/>
  <c r="T2908" i="4"/>
  <c r="U2908" i="4" s="1"/>
  <c r="T2907" i="4"/>
  <c r="U2907" i="4" s="1"/>
  <c r="T2906" i="4"/>
  <c r="U2906" i="4" s="1"/>
  <c r="T2905" i="4"/>
  <c r="U2905" i="4" s="1"/>
  <c r="T2904" i="4"/>
  <c r="U2904" i="4" s="1"/>
  <c r="T2903" i="4"/>
  <c r="U2903" i="4" s="1"/>
  <c r="T2902" i="4"/>
  <c r="U2902" i="4" s="1"/>
  <c r="T2901" i="4"/>
  <c r="U2901" i="4" s="1"/>
  <c r="T2900" i="4"/>
  <c r="U2900" i="4" s="1"/>
  <c r="T2899" i="4"/>
  <c r="U2899" i="4" s="1"/>
  <c r="T2898" i="4"/>
  <c r="U2898" i="4" s="1"/>
  <c r="T2897" i="4"/>
  <c r="U2897" i="4" s="1"/>
  <c r="T2896" i="4"/>
  <c r="U2896" i="4" s="1"/>
  <c r="T2895" i="4"/>
  <c r="U2895" i="4" s="1"/>
  <c r="T2894" i="4"/>
  <c r="U2894" i="4" s="1"/>
  <c r="T2893" i="4"/>
  <c r="U2893" i="4" s="1"/>
  <c r="T2892" i="4"/>
  <c r="U2892" i="4" s="1"/>
  <c r="T2891" i="4"/>
  <c r="U2891" i="4" s="1"/>
  <c r="T2890" i="4"/>
  <c r="U2890" i="4" s="1"/>
  <c r="T2889" i="4"/>
  <c r="U2889" i="4" s="1"/>
  <c r="T2888" i="4"/>
  <c r="U2888" i="4" s="1"/>
  <c r="T2887" i="4"/>
  <c r="U2887" i="4" s="1"/>
  <c r="T2886" i="4"/>
  <c r="U2886" i="4" s="1"/>
  <c r="T2885" i="4"/>
  <c r="U2885" i="4" s="1"/>
  <c r="T2884" i="4"/>
  <c r="U2884" i="4" s="1"/>
  <c r="T2883" i="4"/>
  <c r="U2883" i="4" s="1"/>
  <c r="T2882" i="4"/>
  <c r="U2882" i="4" s="1"/>
  <c r="T2881" i="4"/>
  <c r="U2881" i="4" s="1"/>
  <c r="T2880" i="4"/>
  <c r="U2880" i="4" s="1"/>
  <c r="T2879" i="4"/>
  <c r="U2879" i="4" s="1"/>
  <c r="T2878" i="4"/>
  <c r="U2878" i="4" s="1"/>
  <c r="T2877" i="4"/>
  <c r="U2877" i="4" s="1"/>
  <c r="T2876" i="4"/>
  <c r="U2876" i="4" s="1"/>
  <c r="T2875" i="4"/>
  <c r="U2875" i="4" s="1"/>
  <c r="T2874" i="4"/>
  <c r="U2874" i="4" s="1"/>
  <c r="T2873" i="4"/>
  <c r="U2873" i="4" s="1"/>
  <c r="T2872" i="4"/>
  <c r="U2872" i="4" s="1"/>
  <c r="T2871" i="4"/>
  <c r="U2871" i="4" s="1"/>
  <c r="T2870" i="4"/>
  <c r="U2870" i="4" s="1"/>
  <c r="T2869" i="4"/>
  <c r="U2869" i="4" s="1"/>
  <c r="T2868" i="4"/>
  <c r="U2868" i="4" s="1"/>
  <c r="T2867" i="4"/>
  <c r="U2867" i="4" s="1"/>
  <c r="T2866" i="4"/>
  <c r="U2866" i="4" s="1"/>
  <c r="T2865" i="4"/>
  <c r="U2865" i="4" s="1"/>
  <c r="T2864" i="4"/>
  <c r="U2864" i="4" s="1"/>
  <c r="T2863" i="4"/>
  <c r="U2863" i="4" s="1"/>
  <c r="T2862" i="4"/>
  <c r="U2862" i="4" s="1"/>
  <c r="T2861" i="4"/>
  <c r="U2861" i="4" s="1"/>
  <c r="T2860" i="4"/>
  <c r="U2860" i="4" s="1"/>
  <c r="T2859" i="4"/>
  <c r="U2859" i="4" s="1"/>
  <c r="T2858" i="4"/>
  <c r="U2858" i="4" s="1"/>
  <c r="T2857" i="4"/>
  <c r="U2857" i="4" s="1"/>
  <c r="T2856" i="4"/>
  <c r="U2856" i="4" s="1"/>
  <c r="T2855" i="4"/>
  <c r="U2855" i="4" s="1"/>
  <c r="T2854" i="4"/>
  <c r="U2854" i="4" s="1"/>
  <c r="T2853" i="4"/>
  <c r="U2853" i="4" s="1"/>
  <c r="T2852" i="4"/>
  <c r="U2852" i="4" s="1"/>
  <c r="T2851" i="4"/>
  <c r="U2851" i="4" s="1"/>
  <c r="T2850" i="4"/>
  <c r="U2850" i="4" s="1"/>
  <c r="T2849" i="4"/>
  <c r="U2849" i="4" s="1"/>
  <c r="T2848" i="4"/>
  <c r="U2848" i="4" s="1"/>
  <c r="T2847" i="4"/>
  <c r="U2847" i="4" s="1"/>
  <c r="T2846" i="4"/>
  <c r="U2846" i="4" s="1"/>
  <c r="T2845" i="4"/>
  <c r="U2845" i="4" s="1"/>
  <c r="T2844" i="4"/>
  <c r="U2844" i="4" s="1"/>
  <c r="T2843" i="4"/>
  <c r="U2843" i="4" s="1"/>
  <c r="T2842" i="4"/>
  <c r="U2842" i="4" s="1"/>
  <c r="T2841" i="4"/>
  <c r="U2841" i="4" s="1"/>
  <c r="T2840" i="4"/>
  <c r="U2840" i="4" s="1"/>
  <c r="T2839" i="4"/>
  <c r="U2839" i="4" s="1"/>
  <c r="T2838" i="4"/>
  <c r="U2838" i="4" s="1"/>
  <c r="T2837" i="4"/>
  <c r="U2837" i="4" s="1"/>
  <c r="T2836" i="4"/>
  <c r="U2836" i="4" s="1"/>
  <c r="T2835" i="4"/>
  <c r="U2835" i="4" s="1"/>
  <c r="T2834" i="4"/>
  <c r="U2834" i="4" s="1"/>
  <c r="T2833" i="4"/>
  <c r="U2833" i="4" s="1"/>
  <c r="T2832" i="4"/>
  <c r="U2832" i="4" s="1"/>
  <c r="T2831" i="4"/>
  <c r="U2831" i="4" s="1"/>
  <c r="T2830" i="4"/>
  <c r="U2830" i="4" s="1"/>
  <c r="T2829" i="4"/>
  <c r="U2829" i="4" s="1"/>
  <c r="T2828" i="4"/>
  <c r="U2828" i="4" s="1"/>
  <c r="T2827" i="4"/>
  <c r="U2827" i="4" s="1"/>
  <c r="T2826" i="4"/>
  <c r="U2826" i="4" s="1"/>
  <c r="T2825" i="4"/>
  <c r="U2825" i="4" s="1"/>
  <c r="T2824" i="4"/>
  <c r="U2824" i="4" s="1"/>
  <c r="T2823" i="4"/>
  <c r="U2823" i="4" s="1"/>
  <c r="T2822" i="4"/>
  <c r="U2822" i="4" s="1"/>
  <c r="T2821" i="4"/>
  <c r="U2821" i="4" s="1"/>
  <c r="T2820" i="4"/>
  <c r="U2820" i="4" s="1"/>
  <c r="T2819" i="4"/>
  <c r="U2819" i="4" s="1"/>
  <c r="T2818" i="4"/>
  <c r="U2818" i="4" s="1"/>
  <c r="T2817" i="4"/>
  <c r="U2817" i="4" s="1"/>
  <c r="T2816" i="4"/>
  <c r="U2816" i="4" s="1"/>
  <c r="T2815" i="4"/>
  <c r="U2815" i="4" s="1"/>
  <c r="T2814" i="4"/>
  <c r="U2814" i="4" s="1"/>
  <c r="T2813" i="4"/>
  <c r="U2813" i="4" s="1"/>
  <c r="T2812" i="4"/>
  <c r="U2812" i="4" s="1"/>
  <c r="T2811" i="4"/>
  <c r="U2811" i="4" s="1"/>
  <c r="T2810" i="4"/>
  <c r="U2810" i="4" s="1"/>
  <c r="T2809" i="4"/>
  <c r="U2809" i="4" s="1"/>
  <c r="T2808" i="4"/>
  <c r="U2808" i="4" s="1"/>
  <c r="T2807" i="4"/>
  <c r="U2807" i="4" s="1"/>
  <c r="T2806" i="4"/>
  <c r="U2806" i="4" s="1"/>
  <c r="T2805" i="4"/>
  <c r="U2805" i="4" s="1"/>
  <c r="T2804" i="4"/>
  <c r="U2804" i="4" s="1"/>
  <c r="T2803" i="4"/>
  <c r="U2803" i="4" s="1"/>
  <c r="T2802" i="4"/>
  <c r="U2802" i="4" s="1"/>
  <c r="T2801" i="4"/>
  <c r="U2801" i="4" s="1"/>
  <c r="T2800" i="4"/>
  <c r="U2800" i="4" s="1"/>
  <c r="T2799" i="4"/>
  <c r="U2799" i="4" s="1"/>
  <c r="T2798" i="4"/>
  <c r="U2798" i="4" s="1"/>
  <c r="T2797" i="4"/>
  <c r="U2797" i="4" s="1"/>
  <c r="T2796" i="4"/>
  <c r="U2796" i="4" s="1"/>
  <c r="T2795" i="4"/>
  <c r="U2795" i="4" s="1"/>
  <c r="T2794" i="4"/>
  <c r="U2794" i="4" s="1"/>
  <c r="T2793" i="4"/>
  <c r="U2793" i="4" s="1"/>
  <c r="T2792" i="4"/>
  <c r="U2792" i="4" s="1"/>
  <c r="T2791" i="4"/>
  <c r="U2791" i="4" s="1"/>
  <c r="T2790" i="4"/>
  <c r="U2790" i="4" s="1"/>
  <c r="T2789" i="4"/>
  <c r="U2789" i="4" s="1"/>
  <c r="T2788" i="4"/>
  <c r="U2788" i="4" s="1"/>
  <c r="T2787" i="4"/>
  <c r="U2787" i="4" s="1"/>
  <c r="T2786" i="4"/>
  <c r="U2786" i="4" s="1"/>
  <c r="T2785" i="4"/>
  <c r="U2785" i="4" s="1"/>
  <c r="T2784" i="4"/>
  <c r="U2784" i="4" s="1"/>
  <c r="T2783" i="4"/>
  <c r="U2783" i="4" s="1"/>
  <c r="T2782" i="4"/>
  <c r="U2782" i="4" s="1"/>
  <c r="T2781" i="4"/>
  <c r="U2781" i="4" s="1"/>
  <c r="T2780" i="4"/>
  <c r="U2780" i="4" s="1"/>
  <c r="T2779" i="4"/>
  <c r="U2779" i="4" s="1"/>
  <c r="T2778" i="4"/>
  <c r="U2778" i="4" s="1"/>
  <c r="T2777" i="4"/>
  <c r="U2777" i="4" s="1"/>
  <c r="T2776" i="4"/>
  <c r="U2776" i="4" s="1"/>
  <c r="T2775" i="4"/>
  <c r="U2775" i="4" s="1"/>
  <c r="T2774" i="4"/>
  <c r="U2774" i="4" s="1"/>
  <c r="T2773" i="4"/>
  <c r="U2773" i="4" s="1"/>
  <c r="T2772" i="4"/>
  <c r="U2772" i="4" s="1"/>
  <c r="T2771" i="4"/>
  <c r="U2771" i="4" s="1"/>
  <c r="T2770" i="4"/>
  <c r="U2770" i="4" s="1"/>
  <c r="T2769" i="4"/>
  <c r="U2769" i="4" s="1"/>
  <c r="T2768" i="4"/>
  <c r="U2768" i="4" s="1"/>
  <c r="T2767" i="4"/>
  <c r="U2767" i="4" s="1"/>
  <c r="T2766" i="4"/>
  <c r="U2766" i="4" s="1"/>
  <c r="T2765" i="4"/>
  <c r="U2765" i="4" s="1"/>
  <c r="T2764" i="4"/>
  <c r="U2764" i="4" s="1"/>
  <c r="T2763" i="4"/>
  <c r="U2763" i="4" s="1"/>
  <c r="T2762" i="4"/>
  <c r="U2762" i="4" s="1"/>
  <c r="T2761" i="4"/>
  <c r="U2761" i="4" s="1"/>
  <c r="T2760" i="4"/>
  <c r="U2760" i="4" s="1"/>
  <c r="T2759" i="4"/>
  <c r="U2759" i="4" s="1"/>
  <c r="T2758" i="4"/>
  <c r="U2758" i="4" s="1"/>
  <c r="T2757" i="4"/>
  <c r="U2757" i="4" s="1"/>
  <c r="T2756" i="4"/>
  <c r="U2756" i="4" s="1"/>
  <c r="T2755" i="4"/>
  <c r="U2755" i="4" s="1"/>
  <c r="T2754" i="4"/>
  <c r="U2754" i="4" s="1"/>
  <c r="T2753" i="4"/>
  <c r="U2753" i="4" s="1"/>
  <c r="T2752" i="4"/>
  <c r="U2752" i="4" s="1"/>
  <c r="T2751" i="4"/>
  <c r="U2751" i="4" s="1"/>
  <c r="T2750" i="4"/>
  <c r="U2750" i="4" s="1"/>
  <c r="T2749" i="4"/>
  <c r="U2749" i="4" s="1"/>
  <c r="T2748" i="4"/>
  <c r="U2748" i="4" s="1"/>
  <c r="T2747" i="4"/>
  <c r="U2747" i="4" s="1"/>
  <c r="T2746" i="4"/>
  <c r="U2746" i="4" s="1"/>
  <c r="T2745" i="4"/>
  <c r="U2745" i="4" s="1"/>
  <c r="T2744" i="4"/>
  <c r="U2744" i="4" s="1"/>
  <c r="T2743" i="4"/>
  <c r="U2743" i="4" s="1"/>
  <c r="T2742" i="4"/>
  <c r="U2742" i="4" s="1"/>
  <c r="T2741" i="4"/>
  <c r="U2741" i="4" s="1"/>
  <c r="T2740" i="4"/>
  <c r="U2740" i="4" s="1"/>
  <c r="T2739" i="4"/>
  <c r="U2739" i="4" s="1"/>
  <c r="T2738" i="4"/>
  <c r="U2738" i="4" s="1"/>
  <c r="T2737" i="4"/>
  <c r="U2737" i="4" s="1"/>
  <c r="T2736" i="4"/>
  <c r="U2736" i="4" s="1"/>
  <c r="T2735" i="4"/>
  <c r="U2735" i="4" s="1"/>
  <c r="T2734" i="4"/>
  <c r="U2734" i="4" s="1"/>
  <c r="T2733" i="4"/>
  <c r="U2733" i="4" s="1"/>
  <c r="T2732" i="4"/>
  <c r="U2732" i="4" s="1"/>
  <c r="T2731" i="4"/>
  <c r="U2731" i="4" s="1"/>
  <c r="T2730" i="4"/>
  <c r="U2730" i="4" s="1"/>
  <c r="T2729" i="4"/>
  <c r="U2729" i="4" s="1"/>
  <c r="T2728" i="4"/>
  <c r="U2728" i="4" s="1"/>
  <c r="T2727" i="4"/>
  <c r="U2727" i="4" s="1"/>
  <c r="T2726" i="4"/>
  <c r="U2726" i="4" s="1"/>
  <c r="T2725" i="4"/>
  <c r="U2725" i="4" s="1"/>
  <c r="T2724" i="4"/>
  <c r="U2724" i="4" s="1"/>
  <c r="T2723" i="4"/>
  <c r="U2723" i="4" s="1"/>
  <c r="T2722" i="4"/>
  <c r="U2722" i="4" s="1"/>
  <c r="T2721" i="4"/>
  <c r="U2721" i="4" s="1"/>
  <c r="T2720" i="4"/>
  <c r="U2720" i="4" s="1"/>
  <c r="T2719" i="4"/>
  <c r="U2719" i="4" s="1"/>
  <c r="T2718" i="4"/>
  <c r="U2718" i="4" s="1"/>
  <c r="T2717" i="4"/>
  <c r="U2717" i="4" s="1"/>
  <c r="T2716" i="4"/>
  <c r="U2716" i="4" s="1"/>
  <c r="T2715" i="4"/>
  <c r="U2715" i="4" s="1"/>
  <c r="T2714" i="4"/>
  <c r="U2714" i="4" s="1"/>
  <c r="T2713" i="4"/>
  <c r="U2713" i="4" s="1"/>
  <c r="T2712" i="4"/>
  <c r="U2712" i="4" s="1"/>
  <c r="T2711" i="4"/>
  <c r="U2711" i="4" s="1"/>
  <c r="T2710" i="4"/>
  <c r="U2710" i="4" s="1"/>
  <c r="T2709" i="4"/>
  <c r="U2709" i="4" s="1"/>
  <c r="T2708" i="4"/>
  <c r="U2708" i="4" s="1"/>
  <c r="T2707" i="4"/>
  <c r="U2707" i="4" s="1"/>
  <c r="T2706" i="4"/>
  <c r="U2706" i="4" s="1"/>
  <c r="T2705" i="4"/>
  <c r="U2705" i="4" s="1"/>
  <c r="T2704" i="4"/>
  <c r="U2704" i="4" s="1"/>
  <c r="T2703" i="4"/>
  <c r="U2703" i="4" s="1"/>
  <c r="T2702" i="4"/>
  <c r="U2702" i="4" s="1"/>
  <c r="T2701" i="4"/>
  <c r="U2701" i="4" s="1"/>
  <c r="T2700" i="4"/>
  <c r="U2700" i="4" s="1"/>
  <c r="T2699" i="4"/>
  <c r="U2699" i="4" s="1"/>
  <c r="T2698" i="4"/>
  <c r="U2698" i="4" s="1"/>
  <c r="T2697" i="4"/>
  <c r="U2697" i="4" s="1"/>
  <c r="T2696" i="4"/>
  <c r="U2696" i="4" s="1"/>
  <c r="T2695" i="4"/>
  <c r="U2695" i="4" s="1"/>
  <c r="T2694" i="4"/>
  <c r="U2694" i="4" s="1"/>
  <c r="T2693" i="4"/>
  <c r="U2693" i="4" s="1"/>
  <c r="T2692" i="4"/>
  <c r="U2692" i="4" s="1"/>
  <c r="T2691" i="4"/>
  <c r="U2691" i="4" s="1"/>
  <c r="T2690" i="4"/>
  <c r="U2690" i="4" s="1"/>
  <c r="T2689" i="4"/>
  <c r="U2689" i="4" s="1"/>
  <c r="T2688" i="4"/>
  <c r="U2688" i="4" s="1"/>
  <c r="T2687" i="4"/>
  <c r="U2687" i="4" s="1"/>
  <c r="T2686" i="4"/>
  <c r="U2686" i="4" s="1"/>
  <c r="T2685" i="4"/>
  <c r="U2685" i="4" s="1"/>
  <c r="T2684" i="4"/>
  <c r="U2684" i="4" s="1"/>
  <c r="T2683" i="4"/>
  <c r="U2683" i="4" s="1"/>
  <c r="T2682" i="4"/>
  <c r="U2682" i="4" s="1"/>
  <c r="T2681" i="4"/>
  <c r="U2681" i="4" s="1"/>
  <c r="T2680" i="4"/>
  <c r="U2680" i="4" s="1"/>
  <c r="T2679" i="4"/>
  <c r="U2679" i="4" s="1"/>
  <c r="T2678" i="4"/>
  <c r="U2678" i="4" s="1"/>
  <c r="T2677" i="4"/>
  <c r="U2677" i="4" s="1"/>
  <c r="T2676" i="4"/>
  <c r="U2676" i="4" s="1"/>
  <c r="T2675" i="4"/>
  <c r="U2675" i="4" s="1"/>
  <c r="T2674" i="4"/>
  <c r="U2674" i="4" s="1"/>
  <c r="T2673" i="4"/>
  <c r="U2673" i="4" s="1"/>
  <c r="T2672" i="4"/>
  <c r="U2672" i="4" s="1"/>
  <c r="T2671" i="4"/>
  <c r="U2671" i="4" s="1"/>
  <c r="T2670" i="4"/>
  <c r="U2670" i="4" s="1"/>
  <c r="T2669" i="4"/>
  <c r="U2669" i="4" s="1"/>
  <c r="T2668" i="4"/>
  <c r="U2668" i="4" s="1"/>
  <c r="T2667" i="4"/>
  <c r="U2667" i="4" s="1"/>
  <c r="T2666" i="4"/>
  <c r="U2666" i="4" s="1"/>
  <c r="T2665" i="4"/>
  <c r="U2665" i="4" s="1"/>
  <c r="T2664" i="4"/>
  <c r="U2664" i="4" s="1"/>
  <c r="T2663" i="4"/>
  <c r="U2663" i="4" s="1"/>
  <c r="T2662" i="4"/>
  <c r="U2662" i="4" s="1"/>
  <c r="T2661" i="4"/>
  <c r="U2661" i="4" s="1"/>
  <c r="T2660" i="4"/>
  <c r="U2660" i="4" s="1"/>
  <c r="T2659" i="4"/>
  <c r="U2659" i="4" s="1"/>
  <c r="T2658" i="4"/>
  <c r="U2658" i="4" s="1"/>
  <c r="T2657" i="4"/>
  <c r="U2657" i="4" s="1"/>
  <c r="T2656" i="4"/>
  <c r="U2656" i="4" s="1"/>
  <c r="T2655" i="4"/>
  <c r="U2655" i="4" s="1"/>
  <c r="T2654" i="4"/>
  <c r="U2654" i="4" s="1"/>
  <c r="T2653" i="4"/>
  <c r="U2653" i="4" s="1"/>
  <c r="T2652" i="4"/>
  <c r="U2652" i="4" s="1"/>
  <c r="T2651" i="4"/>
  <c r="U2651" i="4" s="1"/>
  <c r="T2650" i="4"/>
  <c r="U2650" i="4" s="1"/>
  <c r="T2649" i="4"/>
  <c r="U2649" i="4" s="1"/>
  <c r="T2648" i="4"/>
  <c r="U2648" i="4" s="1"/>
  <c r="T2647" i="4"/>
  <c r="U2647" i="4" s="1"/>
  <c r="T2646" i="4"/>
  <c r="U2646" i="4" s="1"/>
  <c r="T2645" i="4"/>
  <c r="U2645" i="4" s="1"/>
  <c r="T2644" i="4"/>
  <c r="U2644" i="4" s="1"/>
  <c r="T2643" i="4"/>
  <c r="U2643" i="4" s="1"/>
  <c r="T2642" i="4"/>
  <c r="U2642" i="4" s="1"/>
  <c r="T2641" i="4"/>
  <c r="U2641" i="4" s="1"/>
  <c r="T2640" i="4"/>
  <c r="U2640" i="4" s="1"/>
  <c r="T2639" i="4"/>
  <c r="U2639" i="4" s="1"/>
  <c r="T2638" i="4"/>
  <c r="U2638" i="4" s="1"/>
  <c r="T2637" i="4"/>
  <c r="U2637" i="4" s="1"/>
  <c r="T2636" i="4"/>
  <c r="U2636" i="4" s="1"/>
  <c r="T2635" i="4"/>
  <c r="U2635" i="4" s="1"/>
  <c r="T2634" i="4"/>
  <c r="U2634" i="4" s="1"/>
  <c r="T2633" i="4"/>
  <c r="U2633" i="4" s="1"/>
  <c r="T2632" i="4"/>
  <c r="U2632" i="4" s="1"/>
  <c r="T2631" i="4"/>
  <c r="U2631" i="4" s="1"/>
  <c r="T2630" i="4"/>
  <c r="U2630" i="4" s="1"/>
  <c r="T2629" i="4"/>
  <c r="U2629" i="4" s="1"/>
  <c r="T2628" i="4"/>
  <c r="U2628" i="4" s="1"/>
  <c r="T2627" i="4"/>
  <c r="U2627" i="4" s="1"/>
  <c r="T2626" i="4"/>
  <c r="U2626" i="4" s="1"/>
  <c r="T2625" i="4"/>
  <c r="U2625" i="4" s="1"/>
  <c r="T2624" i="4"/>
  <c r="U2624" i="4" s="1"/>
  <c r="T2623" i="4"/>
  <c r="U2623" i="4" s="1"/>
  <c r="T2622" i="4"/>
  <c r="U2622" i="4" s="1"/>
  <c r="T2621" i="4"/>
  <c r="U2621" i="4" s="1"/>
  <c r="T2620" i="4"/>
  <c r="U2620" i="4" s="1"/>
  <c r="T2619" i="4"/>
  <c r="U2619" i="4" s="1"/>
  <c r="T2618" i="4"/>
  <c r="U2618" i="4" s="1"/>
  <c r="T2617" i="4"/>
  <c r="U2617" i="4" s="1"/>
  <c r="T2616" i="4"/>
  <c r="U2616" i="4" s="1"/>
  <c r="T2615" i="4"/>
  <c r="U2615" i="4" s="1"/>
  <c r="T2614" i="4"/>
  <c r="U2614" i="4" s="1"/>
  <c r="T2613" i="4"/>
  <c r="U2613" i="4" s="1"/>
  <c r="T2612" i="4"/>
  <c r="U2612" i="4" s="1"/>
  <c r="T2611" i="4"/>
  <c r="U2611" i="4" s="1"/>
  <c r="T2610" i="4"/>
  <c r="U2610" i="4" s="1"/>
  <c r="T2609" i="4"/>
  <c r="U2609" i="4" s="1"/>
  <c r="T2608" i="4"/>
  <c r="U2608" i="4" s="1"/>
  <c r="T2607" i="4"/>
  <c r="U2607" i="4" s="1"/>
  <c r="T2606" i="4"/>
  <c r="U2606" i="4" s="1"/>
  <c r="T2605" i="4"/>
  <c r="U2605" i="4" s="1"/>
  <c r="T2604" i="4"/>
  <c r="U2604" i="4" s="1"/>
  <c r="T2603" i="4"/>
  <c r="U2603" i="4" s="1"/>
  <c r="T2602" i="4"/>
  <c r="U2602" i="4" s="1"/>
  <c r="T2601" i="4"/>
  <c r="U2601" i="4" s="1"/>
  <c r="T2600" i="4"/>
  <c r="U2600" i="4" s="1"/>
  <c r="T2599" i="4"/>
  <c r="U2599" i="4" s="1"/>
  <c r="T2598" i="4"/>
  <c r="U2598" i="4" s="1"/>
  <c r="T2597" i="4"/>
  <c r="U2597" i="4" s="1"/>
  <c r="T2596" i="4"/>
  <c r="U2596" i="4" s="1"/>
  <c r="T2595" i="4"/>
  <c r="U2595" i="4" s="1"/>
  <c r="T2594" i="4"/>
  <c r="U2594" i="4" s="1"/>
  <c r="T2593" i="4"/>
  <c r="U2593" i="4" s="1"/>
  <c r="T2592" i="4"/>
  <c r="U2592" i="4" s="1"/>
  <c r="T2591" i="4"/>
  <c r="U2591" i="4" s="1"/>
  <c r="T2590" i="4"/>
  <c r="U2590" i="4" s="1"/>
  <c r="T2589" i="4"/>
  <c r="U2589" i="4" s="1"/>
  <c r="T2588" i="4"/>
  <c r="U2588" i="4" s="1"/>
  <c r="T2587" i="4"/>
  <c r="U2587" i="4" s="1"/>
  <c r="T2586" i="4"/>
  <c r="U2586" i="4" s="1"/>
  <c r="T2585" i="4"/>
  <c r="U2585" i="4" s="1"/>
  <c r="T2584" i="4"/>
  <c r="U2584" i="4" s="1"/>
  <c r="T2583" i="4"/>
  <c r="U2583" i="4" s="1"/>
  <c r="T2582" i="4"/>
  <c r="U2582" i="4" s="1"/>
  <c r="T2581" i="4"/>
  <c r="U2581" i="4" s="1"/>
  <c r="T2580" i="4"/>
  <c r="U2580" i="4" s="1"/>
  <c r="T2579" i="4"/>
  <c r="U2579" i="4" s="1"/>
  <c r="T2578" i="4"/>
  <c r="U2578" i="4" s="1"/>
  <c r="T2577" i="4"/>
  <c r="U2577" i="4" s="1"/>
  <c r="T2576" i="4"/>
  <c r="U2576" i="4" s="1"/>
  <c r="T2575" i="4"/>
  <c r="U2575" i="4" s="1"/>
  <c r="T2574" i="4"/>
  <c r="U2574" i="4" s="1"/>
  <c r="T2573" i="4"/>
  <c r="U2573" i="4" s="1"/>
  <c r="T2572" i="4"/>
  <c r="U2572" i="4" s="1"/>
  <c r="T2571" i="4"/>
  <c r="U2571" i="4" s="1"/>
  <c r="T2570" i="4"/>
  <c r="U2570" i="4" s="1"/>
  <c r="T2569" i="4"/>
  <c r="U2569" i="4" s="1"/>
  <c r="T2568" i="4"/>
  <c r="U2568" i="4" s="1"/>
  <c r="T2567" i="4"/>
  <c r="U2567" i="4" s="1"/>
  <c r="T2566" i="4"/>
  <c r="U2566" i="4" s="1"/>
  <c r="T2565" i="4"/>
  <c r="U2565" i="4" s="1"/>
  <c r="T2564" i="4"/>
  <c r="U2564" i="4" s="1"/>
  <c r="T2563" i="4"/>
  <c r="U2563" i="4" s="1"/>
  <c r="T2562" i="4"/>
  <c r="U2562" i="4" s="1"/>
  <c r="T2561" i="4"/>
  <c r="U2561" i="4" s="1"/>
  <c r="T2560" i="4"/>
  <c r="U2560" i="4" s="1"/>
  <c r="T2559" i="4"/>
  <c r="U2559" i="4" s="1"/>
  <c r="T2558" i="4"/>
  <c r="U2558" i="4" s="1"/>
  <c r="T2557" i="4"/>
  <c r="U2557" i="4" s="1"/>
  <c r="T2556" i="4"/>
  <c r="U2556" i="4" s="1"/>
  <c r="T2555" i="4"/>
  <c r="U2555" i="4" s="1"/>
  <c r="T2554" i="4"/>
  <c r="U2554" i="4" s="1"/>
  <c r="T2553" i="4"/>
  <c r="U2553" i="4" s="1"/>
  <c r="T2552" i="4"/>
  <c r="U2552" i="4" s="1"/>
  <c r="T2551" i="4"/>
  <c r="U2551" i="4" s="1"/>
  <c r="T2550" i="4"/>
  <c r="U2550" i="4" s="1"/>
  <c r="T2549" i="4"/>
  <c r="U2549" i="4" s="1"/>
  <c r="T2548" i="4"/>
  <c r="U2548" i="4" s="1"/>
  <c r="T2547" i="4"/>
  <c r="U2547" i="4" s="1"/>
  <c r="T2546" i="4"/>
  <c r="U2546" i="4" s="1"/>
  <c r="T2545" i="4"/>
  <c r="U2545" i="4" s="1"/>
  <c r="T2544" i="4"/>
  <c r="U2544" i="4" s="1"/>
  <c r="T2543" i="4"/>
  <c r="U2543" i="4" s="1"/>
  <c r="T2542" i="4"/>
  <c r="U2542" i="4" s="1"/>
  <c r="T2541" i="4"/>
  <c r="U2541" i="4" s="1"/>
  <c r="T2540" i="4"/>
  <c r="U2540" i="4" s="1"/>
  <c r="T2539" i="4"/>
  <c r="U2539" i="4" s="1"/>
  <c r="T2538" i="4"/>
  <c r="U2538" i="4" s="1"/>
  <c r="T2537" i="4"/>
  <c r="U2537" i="4" s="1"/>
  <c r="T2536" i="4"/>
  <c r="U2536" i="4" s="1"/>
  <c r="T2535" i="4"/>
  <c r="U2535" i="4" s="1"/>
  <c r="T2534" i="4"/>
  <c r="U2534" i="4" s="1"/>
  <c r="T2533" i="4"/>
  <c r="U2533" i="4" s="1"/>
  <c r="T2532" i="4"/>
  <c r="U2532" i="4" s="1"/>
  <c r="T2531" i="4"/>
  <c r="U2531" i="4" s="1"/>
  <c r="T2530" i="4"/>
  <c r="U2530" i="4" s="1"/>
  <c r="T2529" i="4"/>
  <c r="U2529" i="4" s="1"/>
  <c r="T2528" i="4"/>
  <c r="U2528" i="4" s="1"/>
  <c r="T2527" i="4"/>
  <c r="U2527" i="4" s="1"/>
  <c r="T2526" i="4"/>
  <c r="U2526" i="4" s="1"/>
  <c r="T2525" i="4"/>
  <c r="U2525" i="4" s="1"/>
  <c r="T2524" i="4"/>
  <c r="U2524" i="4" s="1"/>
  <c r="T2523" i="4"/>
  <c r="U2523" i="4" s="1"/>
  <c r="T2522" i="4"/>
  <c r="U2522" i="4" s="1"/>
  <c r="T2521" i="4"/>
  <c r="U2521" i="4" s="1"/>
  <c r="T2520" i="4"/>
  <c r="U2520" i="4" s="1"/>
  <c r="T2519" i="4"/>
  <c r="U2519" i="4" s="1"/>
  <c r="T2518" i="4"/>
  <c r="U2518" i="4" s="1"/>
  <c r="T2517" i="4"/>
  <c r="U2517" i="4" s="1"/>
  <c r="T2516" i="4"/>
  <c r="U2516" i="4" s="1"/>
  <c r="T2515" i="4"/>
  <c r="U2515" i="4" s="1"/>
  <c r="T2514" i="4"/>
  <c r="U2514" i="4" s="1"/>
  <c r="T2513" i="4"/>
  <c r="U2513" i="4" s="1"/>
  <c r="T2512" i="4"/>
  <c r="U2512" i="4" s="1"/>
  <c r="T2511" i="4"/>
  <c r="U2511" i="4" s="1"/>
  <c r="T2510" i="4"/>
  <c r="U2510" i="4" s="1"/>
  <c r="T2509" i="4"/>
  <c r="U2509" i="4" s="1"/>
  <c r="T2508" i="4"/>
  <c r="U2508" i="4" s="1"/>
  <c r="T2507" i="4"/>
  <c r="U2507" i="4" s="1"/>
  <c r="T2506" i="4"/>
  <c r="U2506" i="4" s="1"/>
  <c r="T2505" i="4"/>
  <c r="U2505" i="4" s="1"/>
  <c r="T2504" i="4"/>
  <c r="U2504" i="4" s="1"/>
  <c r="T2503" i="4"/>
  <c r="U2503" i="4" s="1"/>
  <c r="T2502" i="4"/>
  <c r="U2502" i="4" s="1"/>
  <c r="T2501" i="4"/>
  <c r="U2501" i="4" s="1"/>
  <c r="T2500" i="4"/>
  <c r="U2500" i="4" s="1"/>
  <c r="T2499" i="4"/>
  <c r="U2499" i="4" s="1"/>
  <c r="T2498" i="4"/>
  <c r="U2498" i="4" s="1"/>
  <c r="T2497" i="4"/>
  <c r="U2497" i="4" s="1"/>
  <c r="T2496" i="4"/>
  <c r="U2496" i="4" s="1"/>
  <c r="T2495" i="4"/>
  <c r="U2495" i="4" s="1"/>
  <c r="T2494" i="4"/>
  <c r="U2494" i="4" s="1"/>
  <c r="T2493" i="4"/>
  <c r="U2493" i="4" s="1"/>
  <c r="T2492" i="4"/>
  <c r="U2492" i="4" s="1"/>
  <c r="T2491" i="4"/>
  <c r="U2491" i="4" s="1"/>
  <c r="T2490" i="4"/>
  <c r="U2490" i="4" s="1"/>
  <c r="T2489" i="4"/>
  <c r="U2489" i="4" s="1"/>
  <c r="T2488" i="4"/>
  <c r="U2488" i="4" s="1"/>
  <c r="T2487" i="4"/>
  <c r="U2487" i="4" s="1"/>
  <c r="T2486" i="4"/>
  <c r="U2486" i="4" s="1"/>
  <c r="T2485" i="4"/>
  <c r="U2485" i="4" s="1"/>
  <c r="T2484" i="4"/>
  <c r="U2484" i="4" s="1"/>
  <c r="T2483" i="4"/>
  <c r="U2483" i="4" s="1"/>
  <c r="T2482" i="4"/>
  <c r="U2482" i="4" s="1"/>
  <c r="T2481" i="4"/>
  <c r="U2481" i="4" s="1"/>
  <c r="T2480" i="4"/>
  <c r="U2480" i="4" s="1"/>
  <c r="T2479" i="4"/>
  <c r="U2479" i="4" s="1"/>
  <c r="T2478" i="4"/>
  <c r="U2478" i="4" s="1"/>
  <c r="T2477" i="4"/>
  <c r="U2477" i="4" s="1"/>
  <c r="T2476" i="4"/>
  <c r="U2476" i="4" s="1"/>
  <c r="T2475" i="4"/>
  <c r="U2475" i="4" s="1"/>
  <c r="T2474" i="4"/>
  <c r="U2474" i="4" s="1"/>
  <c r="T2473" i="4"/>
  <c r="U2473" i="4" s="1"/>
  <c r="T2472" i="4"/>
  <c r="U2472" i="4" s="1"/>
  <c r="T2471" i="4"/>
  <c r="U2471" i="4" s="1"/>
  <c r="T2470" i="4"/>
  <c r="U2470" i="4" s="1"/>
  <c r="T2469" i="4"/>
  <c r="U2469" i="4" s="1"/>
  <c r="T2468" i="4"/>
  <c r="U2468" i="4" s="1"/>
  <c r="T2467" i="4"/>
  <c r="U2467" i="4" s="1"/>
  <c r="T2466" i="4"/>
  <c r="U2466" i="4" s="1"/>
  <c r="T2465" i="4"/>
  <c r="U2465" i="4" s="1"/>
  <c r="T2464" i="4"/>
  <c r="U2464" i="4" s="1"/>
  <c r="T2463" i="4"/>
  <c r="U2463" i="4" s="1"/>
  <c r="T2462" i="4"/>
  <c r="U2462" i="4" s="1"/>
  <c r="T2461" i="4"/>
  <c r="U2461" i="4" s="1"/>
  <c r="T2460" i="4"/>
  <c r="U2460" i="4" s="1"/>
  <c r="T2459" i="4"/>
  <c r="U2459" i="4" s="1"/>
  <c r="T2458" i="4"/>
  <c r="U2458" i="4" s="1"/>
  <c r="T2457" i="4"/>
  <c r="U2457" i="4" s="1"/>
  <c r="T2456" i="4"/>
  <c r="U2456" i="4" s="1"/>
  <c r="T2455" i="4"/>
  <c r="U2455" i="4" s="1"/>
  <c r="T2454" i="4"/>
  <c r="U2454" i="4" s="1"/>
  <c r="T2453" i="4"/>
  <c r="U2453" i="4" s="1"/>
  <c r="T2452" i="4"/>
  <c r="U2452" i="4" s="1"/>
  <c r="T2451" i="4"/>
  <c r="U2451" i="4" s="1"/>
  <c r="T2450" i="4"/>
  <c r="U2450" i="4" s="1"/>
  <c r="T2449" i="4"/>
  <c r="U2449" i="4" s="1"/>
  <c r="T2448" i="4"/>
  <c r="U2448" i="4" s="1"/>
  <c r="T2447" i="4"/>
  <c r="U2447" i="4" s="1"/>
  <c r="T2446" i="4"/>
  <c r="U2446" i="4" s="1"/>
  <c r="T2445" i="4"/>
  <c r="U2445" i="4" s="1"/>
  <c r="T2444" i="4"/>
  <c r="U2444" i="4" s="1"/>
  <c r="T2443" i="4"/>
  <c r="U2443" i="4" s="1"/>
  <c r="T2442" i="4"/>
  <c r="U2442" i="4" s="1"/>
  <c r="T2441" i="4"/>
  <c r="U2441" i="4" s="1"/>
  <c r="T2440" i="4"/>
  <c r="U2440" i="4" s="1"/>
  <c r="T2439" i="4"/>
  <c r="U2439" i="4" s="1"/>
  <c r="T2438" i="4"/>
  <c r="U2438" i="4" s="1"/>
  <c r="T2437" i="4"/>
  <c r="U2437" i="4" s="1"/>
  <c r="T2436" i="4"/>
  <c r="U2436" i="4" s="1"/>
  <c r="T2435" i="4"/>
  <c r="U2435" i="4" s="1"/>
  <c r="T2434" i="4"/>
  <c r="U2434" i="4" s="1"/>
  <c r="T2433" i="4"/>
  <c r="U2433" i="4" s="1"/>
  <c r="T2432" i="4"/>
  <c r="U2432" i="4" s="1"/>
  <c r="T2431" i="4"/>
  <c r="U2431" i="4" s="1"/>
  <c r="T2430" i="4"/>
  <c r="U2430" i="4" s="1"/>
  <c r="T2429" i="4"/>
  <c r="U2429" i="4" s="1"/>
  <c r="T2428" i="4"/>
  <c r="U2428" i="4" s="1"/>
  <c r="T2427" i="4"/>
  <c r="U2427" i="4" s="1"/>
  <c r="T2426" i="4"/>
  <c r="U2426" i="4" s="1"/>
  <c r="T2425" i="4"/>
  <c r="U2425" i="4" s="1"/>
  <c r="T2424" i="4"/>
  <c r="U2424" i="4" s="1"/>
  <c r="T2423" i="4"/>
  <c r="U2423" i="4" s="1"/>
  <c r="T2422" i="4"/>
  <c r="U2422" i="4" s="1"/>
  <c r="T2421" i="4"/>
  <c r="U2421" i="4" s="1"/>
  <c r="T2420" i="4"/>
  <c r="U2420" i="4" s="1"/>
  <c r="T2419" i="4"/>
  <c r="U2419" i="4" s="1"/>
  <c r="T2418" i="4"/>
  <c r="U2418" i="4" s="1"/>
  <c r="T2417" i="4"/>
  <c r="U2417" i="4" s="1"/>
  <c r="T2416" i="4"/>
  <c r="U2416" i="4" s="1"/>
  <c r="T2415" i="4"/>
  <c r="U2415" i="4" s="1"/>
  <c r="T2414" i="4"/>
  <c r="U2414" i="4" s="1"/>
  <c r="T2413" i="4"/>
  <c r="U2413" i="4" s="1"/>
  <c r="T2412" i="4"/>
  <c r="U2412" i="4" s="1"/>
  <c r="T2411" i="4"/>
  <c r="U2411" i="4" s="1"/>
  <c r="T2410" i="4"/>
  <c r="U2410" i="4" s="1"/>
  <c r="T2409" i="4"/>
  <c r="U2409" i="4" s="1"/>
  <c r="T2408" i="4"/>
  <c r="U2408" i="4" s="1"/>
  <c r="T2407" i="4"/>
  <c r="U2407" i="4" s="1"/>
  <c r="T2406" i="4"/>
  <c r="U2406" i="4" s="1"/>
  <c r="T2405" i="4"/>
  <c r="U2405" i="4" s="1"/>
  <c r="T2404" i="4"/>
  <c r="U2404" i="4" s="1"/>
  <c r="T2403" i="4"/>
  <c r="U2403" i="4" s="1"/>
  <c r="T2402" i="4"/>
  <c r="U2402" i="4" s="1"/>
  <c r="T2401" i="4"/>
  <c r="U2401" i="4" s="1"/>
  <c r="T2400" i="4"/>
  <c r="U2400" i="4" s="1"/>
  <c r="T2399" i="4"/>
  <c r="U2399" i="4" s="1"/>
  <c r="T2398" i="4"/>
  <c r="U2398" i="4" s="1"/>
  <c r="T2397" i="4"/>
  <c r="U2397" i="4" s="1"/>
  <c r="T2396" i="4"/>
  <c r="U2396" i="4" s="1"/>
  <c r="T2395" i="4"/>
  <c r="U2395" i="4" s="1"/>
  <c r="T2394" i="4"/>
  <c r="U2394" i="4" s="1"/>
  <c r="T2393" i="4"/>
  <c r="U2393" i="4" s="1"/>
  <c r="T2392" i="4"/>
  <c r="U2392" i="4" s="1"/>
  <c r="T2391" i="4"/>
  <c r="U2391" i="4" s="1"/>
  <c r="T2390" i="4"/>
  <c r="U2390" i="4" s="1"/>
  <c r="T2389" i="4"/>
  <c r="U2389" i="4" s="1"/>
  <c r="T2388" i="4"/>
  <c r="U2388" i="4" s="1"/>
  <c r="T2387" i="4"/>
  <c r="U2387" i="4" s="1"/>
  <c r="T2386" i="4"/>
  <c r="U2386" i="4" s="1"/>
  <c r="T2385" i="4"/>
  <c r="U2385" i="4" s="1"/>
  <c r="T2384" i="4"/>
  <c r="U2384" i="4" s="1"/>
  <c r="T2383" i="4"/>
  <c r="U2383" i="4" s="1"/>
  <c r="T2382" i="4"/>
  <c r="U2382" i="4" s="1"/>
  <c r="T2381" i="4"/>
  <c r="U2381" i="4" s="1"/>
  <c r="T2380" i="4"/>
  <c r="U2380" i="4" s="1"/>
  <c r="T2379" i="4"/>
  <c r="U2379" i="4" s="1"/>
  <c r="T2378" i="4"/>
  <c r="U2378" i="4" s="1"/>
  <c r="T2377" i="4"/>
  <c r="U2377" i="4" s="1"/>
  <c r="T2376" i="4"/>
  <c r="U2376" i="4" s="1"/>
  <c r="T2375" i="4"/>
  <c r="U2375" i="4" s="1"/>
  <c r="T2374" i="4"/>
  <c r="U2374" i="4" s="1"/>
  <c r="T2373" i="4"/>
  <c r="U2373" i="4" s="1"/>
  <c r="T2372" i="4"/>
  <c r="U2372" i="4" s="1"/>
  <c r="T2371" i="4"/>
  <c r="U2371" i="4" s="1"/>
  <c r="T2370" i="4"/>
  <c r="U2370" i="4" s="1"/>
  <c r="T2369" i="4"/>
  <c r="U2369" i="4" s="1"/>
  <c r="T2368" i="4"/>
  <c r="U2368" i="4" s="1"/>
  <c r="T2367" i="4"/>
  <c r="U2367" i="4" s="1"/>
  <c r="T2366" i="4"/>
  <c r="U2366" i="4" s="1"/>
  <c r="T2365" i="4"/>
  <c r="U2365" i="4" s="1"/>
  <c r="T2364" i="4"/>
  <c r="U2364" i="4" s="1"/>
  <c r="T2363" i="4"/>
  <c r="U2363" i="4" s="1"/>
  <c r="T2362" i="4"/>
  <c r="U2362" i="4" s="1"/>
  <c r="T2361" i="4"/>
  <c r="U2361" i="4" s="1"/>
  <c r="T2360" i="4"/>
  <c r="U2360" i="4" s="1"/>
  <c r="T2359" i="4"/>
  <c r="U2359" i="4" s="1"/>
  <c r="T2358" i="4"/>
  <c r="U2358" i="4" s="1"/>
  <c r="T2357" i="4"/>
  <c r="U2357" i="4" s="1"/>
  <c r="T2356" i="4"/>
  <c r="U2356" i="4" s="1"/>
  <c r="T2355" i="4"/>
  <c r="U2355" i="4" s="1"/>
  <c r="T2354" i="4"/>
  <c r="U2354" i="4" s="1"/>
  <c r="T2353" i="4"/>
  <c r="U2353" i="4" s="1"/>
  <c r="T2352" i="4"/>
  <c r="U2352" i="4" s="1"/>
  <c r="T2351" i="4"/>
  <c r="U2351" i="4" s="1"/>
  <c r="T2350" i="4"/>
  <c r="U2350" i="4" s="1"/>
  <c r="T2349" i="4"/>
  <c r="U2349" i="4" s="1"/>
  <c r="T2348" i="4"/>
  <c r="U2348" i="4" s="1"/>
  <c r="T2347" i="4"/>
  <c r="U2347" i="4" s="1"/>
  <c r="T2346" i="4"/>
  <c r="U2346" i="4" s="1"/>
  <c r="T2345" i="4"/>
  <c r="U2345" i="4" s="1"/>
  <c r="T2344" i="4"/>
  <c r="U2344" i="4" s="1"/>
  <c r="T2343" i="4"/>
  <c r="U2343" i="4" s="1"/>
  <c r="T2342" i="4"/>
  <c r="U2342" i="4" s="1"/>
  <c r="T2341" i="4"/>
  <c r="U2341" i="4" s="1"/>
  <c r="T2340" i="4"/>
  <c r="U2340" i="4" s="1"/>
  <c r="T2339" i="4"/>
  <c r="U2339" i="4" s="1"/>
  <c r="T2338" i="4"/>
  <c r="U2338" i="4" s="1"/>
  <c r="T2337" i="4"/>
  <c r="U2337" i="4" s="1"/>
  <c r="T2336" i="4"/>
  <c r="U2336" i="4" s="1"/>
  <c r="T2335" i="4"/>
  <c r="U2335" i="4" s="1"/>
  <c r="T2334" i="4"/>
  <c r="U2334" i="4" s="1"/>
  <c r="T2333" i="4"/>
  <c r="U2333" i="4" s="1"/>
  <c r="T2332" i="4"/>
  <c r="U2332" i="4" s="1"/>
  <c r="T2331" i="4"/>
  <c r="U2331" i="4" s="1"/>
  <c r="T2330" i="4"/>
  <c r="U2330" i="4" s="1"/>
  <c r="T2329" i="4"/>
  <c r="U2329" i="4" s="1"/>
  <c r="T2328" i="4"/>
  <c r="U2328" i="4" s="1"/>
  <c r="T2327" i="4"/>
  <c r="U2327" i="4" s="1"/>
  <c r="T2326" i="4"/>
  <c r="U2326" i="4" s="1"/>
  <c r="T2325" i="4"/>
  <c r="U2325" i="4" s="1"/>
  <c r="T2324" i="4"/>
  <c r="U2324" i="4" s="1"/>
  <c r="T2323" i="4"/>
  <c r="U2323" i="4" s="1"/>
  <c r="T2322" i="4"/>
  <c r="U2322" i="4" s="1"/>
  <c r="T2321" i="4"/>
  <c r="U2321" i="4" s="1"/>
  <c r="T2320" i="4"/>
  <c r="U2320" i="4" s="1"/>
  <c r="T2319" i="4"/>
  <c r="U2319" i="4" s="1"/>
  <c r="T2318" i="4"/>
  <c r="U2318" i="4" s="1"/>
  <c r="T2317" i="4"/>
  <c r="U2317" i="4" s="1"/>
  <c r="T2316" i="4"/>
  <c r="U2316" i="4" s="1"/>
  <c r="T2315" i="4"/>
  <c r="U2315" i="4" s="1"/>
  <c r="T2314" i="4"/>
  <c r="U2314" i="4" s="1"/>
  <c r="T2313" i="4"/>
  <c r="U2313" i="4" s="1"/>
  <c r="T2312" i="4"/>
  <c r="U2312" i="4" s="1"/>
  <c r="T2311" i="4"/>
  <c r="U2311" i="4" s="1"/>
  <c r="T2310" i="4"/>
  <c r="U2310" i="4" s="1"/>
  <c r="T2309" i="4"/>
  <c r="U2309" i="4" s="1"/>
  <c r="T2308" i="4"/>
  <c r="U2308" i="4" s="1"/>
  <c r="T2307" i="4"/>
  <c r="U2307" i="4" s="1"/>
  <c r="T2306" i="4"/>
  <c r="U2306" i="4" s="1"/>
  <c r="T2305" i="4"/>
  <c r="U2305" i="4" s="1"/>
  <c r="T2304" i="4"/>
  <c r="U2304" i="4" s="1"/>
  <c r="T2303" i="4"/>
  <c r="U2303" i="4" s="1"/>
  <c r="T2302" i="4"/>
  <c r="U2302" i="4" s="1"/>
  <c r="T2301" i="4"/>
  <c r="U2301" i="4" s="1"/>
  <c r="T2300" i="4"/>
  <c r="U2300" i="4" s="1"/>
  <c r="T2299" i="4"/>
  <c r="U2299" i="4" s="1"/>
  <c r="T2298" i="4"/>
  <c r="U2298" i="4" s="1"/>
  <c r="T2297" i="4"/>
  <c r="U2297" i="4" s="1"/>
  <c r="T2296" i="4"/>
  <c r="U2296" i="4" s="1"/>
  <c r="T2295" i="4"/>
  <c r="U2295" i="4" s="1"/>
  <c r="T2294" i="4"/>
  <c r="U2294" i="4" s="1"/>
  <c r="T2293" i="4"/>
  <c r="U2293" i="4" s="1"/>
  <c r="T2292" i="4"/>
  <c r="U2292" i="4" s="1"/>
  <c r="T2291" i="4"/>
  <c r="U2291" i="4" s="1"/>
  <c r="T2290" i="4"/>
  <c r="U2290" i="4" s="1"/>
  <c r="T2289" i="4"/>
  <c r="U2289" i="4" s="1"/>
  <c r="T2288" i="4"/>
  <c r="U2288" i="4" s="1"/>
  <c r="T2287" i="4"/>
  <c r="U2287" i="4" s="1"/>
  <c r="T2286" i="4"/>
  <c r="U2286" i="4" s="1"/>
  <c r="T2285" i="4"/>
  <c r="U2285" i="4" s="1"/>
  <c r="T2284" i="4"/>
  <c r="U2284" i="4" s="1"/>
  <c r="T2283" i="4"/>
  <c r="U2283" i="4" s="1"/>
  <c r="T2282" i="4"/>
  <c r="U2282" i="4" s="1"/>
  <c r="T2281" i="4"/>
  <c r="U2281" i="4" s="1"/>
  <c r="T2280" i="4"/>
  <c r="U2280" i="4" s="1"/>
  <c r="T2279" i="4"/>
  <c r="U2279" i="4" s="1"/>
  <c r="T2278" i="4"/>
  <c r="U2278" i="4" s="1"/>
  <c r="T2277" i="4"/>
  <c r="U2277" i="4" s="1"/>
  <c r="T2276" i="4"/>
  <c r="U2276" i="4" s="1"/>
  <c r="T2275" i="4"/>
  <c r="U2275" i="4" s="1"/>
  <c r="T2274" i="4"/>
  <c r="U2274" i="4" s="1"/>
  <c r="T2273" i="4"/>
  <c r="U2273" i="4" s="1"/>
  <c r="T2272" i="4"/>
  <c r="U2272" i="4" s="1"/>
  <c r="T2271" i="4"/>
  <c r="U2271" i="4" s="1"/>
  <c r="T2270" i="4"/>
  <c r="U2270" i="4" s="1"/>
  <c r="T2269" i="4"/>
  <c r="U2269" i="4" s="1"/>
  <c r="T2268" i="4"/>
  <c r="U2268" i="4" s="1"/>
  <c r="T2267" i="4"/>
  <c r="U2267" i="4" s="1"/>
  <c r="T2266" i="4"/>
  <c r="U2266" i="4" s="1"/>
  <c r="T2265" i="4"/>
  <c r="U2265" i="4" s="1"/>
  <c r="T2264" i="4"/>
  <c r="U2264" i="4" s="1"/>
  <c r="T2263" i="4"/>
  <c r="U2263" i="4" s="1"/>
  <c r="T2262" i="4"/>
  <c r="U2262" i="4" s="1"/>
  <c r="T2261" i="4"/>
  <c r="U2261" i="4" s="1"/>
  <c r="T2260" i="4"/>
  <c r="U2260" i="4" s="1"/>
  <c r="T2259" i="4"/>
  <c r="U2259" i="4" s="1"/>
  <c r="T2258" i="4"/>
  <c r="U2258" i="4" s="1"/>
  <c r="T2257" i="4"/>
  <c r="U2257" i="4" s="1"/>
  <c r="T2256" i="4"/>
  <c r="U2256" i="4" s="1"/>
  <c r="T2255" i="4"/>
  <c r="U2255" i="4" s="1"/>
  <c r="T2254" i="4"/>
  <c r="U2254" i="4" s="1"/>
  <c r="T2253" i="4"/>
  <c r="U2253" i="4" s="1"/>
  <c r="T2252" i="4"/>
  <c r="U2252" i="4" s="1"/>
  <c r="T2251" i="4"/>
  <c r="U2251" i="4" s="1"/>
  <c r="T2250" i="4"/>
  <c r="U2250" i="4" s="1"/>
  <c r="T2249" i="4"/>
  <c r="U2249" i="4" s="1"/>
  <c r="T2248" i="4"/>
  <c r="U2248" i="4" s="1"/>
  <c r="T2247" i="4"/>
  <c r="U2247" i="4" s="1"/>
  <c r="T2246" i="4"/>
  <c r="U2246" i="4" s="1"/>
  <c r="T2245" i="4"/>
  <c r="U2245" i="4" s="1"/>
  <c r="T2244" i="4"/>
  <c r="U2244" i="4" s="1"/>
  <c r="T2243" i="4"/>
  <c r="U2243" i="4" s="1"/>
  <c r="T2242" i="4"/>
  <c r="U2242" i="4" s="1"/>
  <c r="T2241" i="4"/>
  <c r="U2241" i="4" s="1"/>
  <c r="T2240" i="4"/>
  <c r="U2240" i="4" s="1"/>
  <c r="T2239" i="4"/>
  <c r="U2239" i="4" s="1"/>
  <c r="T2238" i="4"/>
  <c r="U2238" i="4" s="1"/>
  <c r="T2237" i="4"/>
  <c r="U2237" i="4" s="1"/>
  <c r="T2236" i="4"/>
  <c r="U2236" i="4" s="1"/>
  <c r="T2235" i="4"/>
  <c r="U2235" i="4" s="1"/>
  <c r="T2234" i="4"/>
  <c r="U2234" i="4" s="1"/>
  <c r="T2233" i="4"/>
  <c r="U2233" i="4" s="1"/>
  <c r="T2232" i="4"/>
  <c r="U2232" i="4" s="1"/>
  <c r="T2231" i="4"/>
  <c r="U2231" i="4" s="1"/>
  <c r="T2230" i="4"/>
  <c r="U2230" i="4" s="1"/>
  <c r="T2229" i="4"/>
  <c r="U2229" i="4" s="1"/>
  <c r="T2228" i="4"/>
  <c r="U2228" i="4" s="1"/>
  <c r="T2227" i="4"/>
  <c r="U2227" i="4" s="1"/>
  <c r="T2226" i="4"/>
  <c r="U2226" i="4" s="1"/>
  <c r="T2225" i="4"/>
  <c r="U2225" i="4" s="1"/>
  <c r="T2224" i="4"/>
  <c r="U2224" i="4" s="1"/>
  <c r="T2223" i="4"/>
  <c r="U2223" i="4" s="1"/>
  <c r="T2222" i="4"/>
  <c r="U2222" i="4" s="1"/>
  <c r="T2221" i="4"/>
  <c r="U2221" i="4" s="1"/>
  <c r="T2220" i="4"/>
  <c r="U2220" i="4" s="1"/>
  <c r="T2219" i="4"/>
  <c r="U2219" i="4" s="1"/>
  <c r="T2218" i="4"/>
  <c r="U2218" i="4" s="1"/>
  <c r="T2217" i="4"/>
  <c r="U2217" i="4" s="1"/>
  <c r="T2216" i="4"/>
  <c r="U2216" i="4" s="1"/>
  <c r="T2215" i="4"/>
  <c r="U2215" i="4" s="1"/>
  <c r="T2214" i="4"/>
  <c r="U2214" i="4" s="1"/>
  <c r="T2213" i="4"/>
  <c r="U2213" i="4" s="1"/>
  <c r="T2212" i="4"/>
  <c r="U2212" i="4" s="1"/>
  <c r="T2211" i="4"/>
  <c r="U2211" i="4" s="1"/>
  <c r="T2210" i="4"/>
  <c r="U2210" i="4" s="1"/>
  <c r="T2209" i="4"/>
  <c r="U2209" i="4" s="1"/>
  <c r="T2208" i="4"/>
  <c r="U2208" i="4" s="1"/>
  <c r="T2207" i="4"/>
  <c r="U2207" i="4" s="1"/>
  <c r="T2206" i="4"/>
  <c r="U2206" i="4" s="1"/>
  <c r="T2205" i="4"/>
  <c r="U2205" i="4" s="1"/>
  <c r="T2204" i="4"/>
  <c r="U2204" i="4" s="1"/>
  <c r="T2203" i="4"/>
  <c r="U2203" i="4" s="1"/>
  <c r="T2202" i="4"/>
  <c r="U2202" i="4" s="1"/>
  <c r="T2201" i="4"/>
  <c r="U2201" i="4" s="1"/>
  <c r="T2200" i="4"/>
  <c r="U2200" i="4" s="1"/>
  <c r="T2199" i="4"/>
  <c r="U2199" i="4" s="1"/>
  <c r="T2198" i="4"/>
  <c r="U2198" i="4" s="1"/>
  <c r="T2197" i="4"/>
  <c r="U2197" i="4" s="1"/>
  <c r="T2196" i="4"/>
  <c r="U2196" i="4" s="1"/>
  <c r="T2195" i="4"/>
  <c r="U2195" i="4" s="1"/>
  <c r="T2194" i="4"/>
  <c r="U2194" i="4" s="1"/>
  <c r="T2193" i="4"/>
  <c r="U2193" i="4" s="1"/>
  <c r="T2192" i="4"/>
  <c r="U2192" i="4" s="1"/>
  <c r="T2191" i="4"/>
  <c r="U2191" i="4" s="1"/>
  <c r="T2190" i="4"/>
  <c r="U2190" i="4" s="1"/>
  <c r="T2189" i="4"/>
  <c r="U2189" i="4" s="1"/>
  <c r="T2188" i="4"/>
  <c r="U2188" i="4" s="1"/>
  <c r="T2187" i="4"/>
  <c r="U2187" i="4" s="1"/>
  <c r="T2186" i="4"/>
  <c r="U2186" i="4" s="1"/>
  <c r="T2185" i="4"/>
  <c r="U2185" i="4" s="1"/>
  <c r="T2184" i="4"/>
  <c r="U2184" i="4" s="1"/>
  <c r="T2183" i="4"/>
  <c r="U2183" i="4" s="1"/>
  <c r="T2182" i="4"/>
  <c r="U2182" i="4" s="1"/>
  <c r="T2181" i="4"/>
  <c r="U2181" i="4" s="1"/>
  <c r="T2180" i="4"/>
  <c r="U2180" i="4" s="1"/>
  <c r="T2179" i="4"/>
  <c r="U2179" i="4" s="1"/>
  <c r="T2178" i="4"/>
  <c r="U2178" i="4" s="1"/>
  <c r="T2177" i="4"/>
  <c r="U2177" i="4" s="1"/>
  <c r="T2176" i="4"/>
  <c r="U2176" i="4" s="1"/>
  <c r="T2175" i="4"/>
  <c r="U2175" i="4" s="1"/>
  <c r="T2174" i="4"/>
  <c r="U2174" i="4" s="1"/>
  <c r="T2173" i="4"/>
  <c r="U2173" i="4" s="1"/>
  <c r="T2172" i="4"/>
  <c r="U2172" i="4" s="1"/>
  <c r="T2171" i="4"/>
  <c r="U2171" i="4" s="1"/>
  <c r="T2170" i="4"/>
  <c r="U2170" i="4" s="1"/>
  <c r="T2169" i="4"/>
  <c r="U2169" i="4" s="1"/>
  <c r="T2168" i="4"/>
  <c r="U2168" i="4" s="1"/>
  <c r="T2167" i="4"/>
  <c r="U2167" i="4" s="1"/>
  <c r="T2166" i="4"/>
  <c r="U2166" i="4" s="1"/>
  <c r="T2165" i="4"/>
  <c r="U2165" i="4" s="1"/>
  <c r="T2164" i="4"/>
  <c r="U2164" i="4" s="1"/>
  <c r="T2163" i="4"/>
  <c r="U2163" i="4" s="1"/>
  <c r="T2162" i="4"/>
  <c r="U2162" i="4" s="1"/>
  <c r="T2161" i="4"/>
  <c r="U2161" i="4" s="1"/>
  <c r="T2160" i="4"/>
  <c r="U2160" i="4" s="1"/>
  <c r="T2159" i="4"/>
  <c r="U2159" i="4" s="1"/>
  <c r="T2158" i="4"/>
  <c r="U2158" i="4" s="1"/>
  <c r="T2157" i="4"/>
  <c r="U2157" i="4" s="1"/>
  <c r="T2156" i="4"/>
  <c r="U2156" i="4" s="1"/>
  <c r="T2155" i="4"/>
  <c r="U2155" i="4" s="1"/>
  <c r="T2154" i="4"/>
  <c r="U2154" i="4" s="1"/>
  <c r="T2153" i="4"/>
  <c r="U2153" i="4" s="1"/>
  <c r="T2152" i="4"/>
  <c r="U2152" i="4" s="1"/>
  <c r="T2151" i="4"/>
  <c r="U2151" i="4" s="1"/>
  <c r="T2150" i="4"/>
  <c r="U2150" i="4" s="1"/>
  <c r="T2149" i="4"/>
  <c r="U2149" i="4" s="1"/>
  <c r="T2148" i="4"/>
  <c r="U2148" i="4" s="1"/>
  <c r="T2147" i="4"/>
  <c r="U2147" i="4" s="1"/>
  <c r="T2146" i="4"/>
  <c r="U2146" i="4" s="1"/>
  <c r="T2145" i="4"/>
  <c r="U2145" i="4" s="1"/>
  <c r="T2144" i="4"/>
  <c r="U2144" i="4" s="1"/>
  <c r="T2143" i="4"/>
  <c r="U2143" i="4" s="1"/>
  <c r="T2142" i="4"/>
  <c r="U2142" i="4" s="1"/>
  <c r="T2141" i="4"/>
  <c r="U2141" i="4" s="1"/>
  <c r="T2140" i="4"/>
  <c r="U2140" i="4" s="1"/>
  <c r="T2139" i="4"/>
  <c r="U2139" i="4" s="1"/>
  <c r="T2138" i="4"/>
  <c r="U2138" i="4" s="1"/>
  <c r="T2137" i="4"/>
  <c r="U2137" i="4" s="1"/>
  <c r="T2136" i="4"/>
  <c r="U2136" i="4" s="1"/>
  <c r="T2135" i="4"/>
  <c r="U2135" i="4" s="1"/>
  <c r="T2134" i="4"/>
  <c r="U2134" i="4" s="1"/>
  <c r="T2133" i="4"/>
  <c r="U2133" i="4" s="1"/>
  <c r="T2132" i="4"/>
  <c r="U2132" i="4" s="1"/>
  <c r="T2131" i="4"/>
  <c r="U2131" i="4" s="1"/>
  <c r="T2130" i="4"/>
  <c r="U2130" i="4" s="1"/>
  <c r="T2129" i="4"/>
  <c r="U2129" i="4" s="1"/>
  <c r="T2128" i="4"/>
  <c r="U2128" i="4" s="1"/>
  <c r="T2127" i="4"/>
  <c r="U2127" i="4" s="1"/>
  <c r="T2126" i="4"/>
  <c r="U2126" i="4" s="1"/>
  <c r="T2125" i="4"/>
  <c r="U2125" i="4" s="1"/>
  <c r="T2124" i="4"/>
  <c r="U2124" i="4" s="1"/>
  <c r="T2123" i="4"/>
  <c r="U2123" i="4" s="1"/>
  <c r="T2122" i="4"/>
  <c r="U2122" i="4" s="1"/>
  <c r="T2121" i="4"/>
  <c r="U2121" i="4" s="1"/>
  <c r="T2120" i="4"/>
  <c r="U2120" i="4" s="1"/>
  <c r="T2119" i="4"/>
  <c r="U2119" i="4" s="1"/>
  <c r="T2118" i="4"/>
  <c r="U2118" i="4" s="1"/>
  <c r="T2117" i="4"/>
  <c r="U2117" i="4" s="1"/>
  <c r="T2116" i="4"/>
  <c r="U2116" i="4" s="1"/>
  <c r="T2115" i="4"/>
  <c r="U2115" i="4" s="1"/>
  <c r="T2114" i="4"/>
  <c r="U2114" i="4" s="1"/>
  <c r="T2113" i="4"/>
  <c r="U2113" i="4" s="1"/>
  <c r="T2112" i="4"/>
  <c r="U2112" i="4" s="1"/>
  <c r="T2111" i="4"/>
  <c r="U2111" i="4" s="1"/>
  <c r="T2110" i="4"/>
  <c r="U2110" i="4" s="1"/>
  <c r="T2109" i="4"/>
  <c r="U2109" i="4" s="1"/>
  <c r="T2108" i="4"/>
  <c r="U2108" i="4" s="1"/>
  <c r="T2107" i="4"/>
  <c r="U2107" i="4" s="1"/>
  <c r="T2106" i="4"/>
  <c r="U2106" i="4" s="1"/>
  <c r="T2105" i="4"/>
  <c r="U2105" i="4" s="1"/>
  <c r="T2104" i="4"/>
  <c r="U2104" i="4" s="1"/>
  <c r="T2103" i="4"/>
  <c r="U2103" i="4" s="1"/>
  <c r="T2102" i="4"/>
  <c r="U2102" i="4" s="1"/>
  <c r="T2101" i="4"/>
  <c r="U2101" i="4" s="1"/>
  <c r="T2100" i="4"/>
  <c r="U2100" i="4" s="1"/>
  <c r="T2099" i="4"/>
  <c r="U2099" i="4" s="1"/>
  <c r="T2098" i="4"/>
  <c r="U2098" i="4" s="1"/>
  <c r="T2097" i="4"/>
  <c r="U2097" i="4" s="1"/>
  <c r="T2096" i="4"/>
  <c r="U2096" i="4" s="1"/>
  <c r="T2095" i="4"/>
  <c r="U2095" i="4" s="1"/>
  <c r="T2094" i="4"/>
  <c r="U2094" i="4" s="1"/>
  <c r="T2093" i="4"/>
  <c r="U2093" i="4" s="1"/>
  <c r="T2092" i="4"/>
  <c r="U2092" i="4" s="1"/>
  <c r="T2091" i="4"/>
  <c r="U2091" i="4" s="1"/>
  <c r="T2090" i="4"/>
  <c r="U2090" i="4" s="1"/>
  <c r="T2089" i="4"/>
  <c r="U2089" i="4" s="1"/>
  <c r="T2088" i="4"/>
  <c r="U2088" i="4" s="1"/>
  <c r="T2087" i="4"/>
  <c r="U2087" i="4" s="1"/>
  <c r="T2086" i="4"/>
  <c r="U2086" i="4" s="1"/>
  <c r="T2085" i="4"/>
  <c r="U2085" i="4" s="1"/>
  <c r="T2084" i="4"/>
  <c r="U2084" i="4" s="1"/>
  <c r="T2083" i="4"/>
  <c r="U2083" i="4" s="1"/>
  <c r="T2082" i="4"/>
  <c r="U2082" i="4" s="1"/>
  <c r="T2081" i="4"/>
  <c r="U2081" i="4" s="1"/>
  <c r="T2080" i="4"/>
  <c r="U2080" i="4" s="1"/>
  <c r="T2079" i="4"/>
  <c r="U2079" i="4" s="1"/>
  <c r="T2078" i="4"/>
  <c r="U2078" i="4" s="1"/>
  <c r="T2077" i="4"/>
  <c r="U2077" i="4" s="1"/>
  <c r="T2076" i="4"/>
  <c r="U2076" i="4" s="1"/>
  <c r="T2075" i="4"/>
  <c r="U2075" i="4" s="1"/>
  <c r="T2074" i="4"/>
  <c r="U2074" i="4" s="1"/>
  <c r="T2073" i="4"/>
  <c r="U2073" i="4" s="1"/>
  <c r="T2072" i="4"/>
  <c r="U2072" i="4" s="1"/>
  <c r="T2071" i="4"/>
  <c r="U2071" i="4" s="1"/>
  <c r="T2070" i="4"/>
  <c r="U2070" i="4" s="1"/>
  <c r="T2069" i="4"/>
  <c r="U2069" i="4" s="1"/>
  <c r="T2068" i="4"/>
  <c r="U2068" i="4" s="1"/>
  <c r="T2067" i="4"/>
  <c r="U2067" i="4" s="1"/>
  <c r="T2066" i="4"/>
  <c r="U2066" i="4" s="1"/>
  <c r="T2065" i="4"/>
  <c r="U2065" i="4" s="1"/>
  <c r="T2064" i="4"/>
  <c r="U2064" i="4" s="1"/>
  <c r="T2063" i="4"/>
  <c r="U2063" i="4" s="1"/>
  <c r="T2062" i="4"/>
  <c r="U2062" i="4" s="1"/>
  <c r="T2061" i="4"/>
  <c r="U2061" i="4" s="1"/>
  <c r="T2060" i="4"/>
  <c r="U2060" i="4" s="1"/>
  <c r="T2059" i="4"/>
  <c r="U2059" i="4" s="1"/>
  <c r="T2058" i="4"/>
  <c r="U2058" i="4" s="1"/>
  <c r="T2057" i="4"/>
  <c r="U2057" i="4" s="1"/>
  <c r="T2056" i="4"/>
  <c r="U2056" i="4" s="1"/>
  <c r="T2055" i="4"/>
  <c r="U2055" i="4" s="1"/>
  <c r="T2054" i="4"/>
  <c r="U2054" i="4" s="1"/>
  <c r="T2053" i="4"/>
  <c r="U2053" i="4" s="1"/>
  <c r="T2052" i="4"/>
  <c r="U2052" i="4" s="1"/>
  <c r="T2051" i="4"/>
  <c r="U2051" i="4" s="1"/>
  <c r="T2050" i="4"/>
  <c r="U2050" i="4" s="1"/>
  <c r="T2049" i="4"/>
  <c r="U2049" i="4" s="1"/>
  <c r="T2048" i="4"/>
  <c r="U2048" i="4" s="1"/>
  <c r="T2047" i="4"/>
  <c r="U2047" i="4" s="1"/>
  <c r="T2046" i="4"/>
  <c r="U2046" i="4" s="1"/>
  <c r="T2045" i="4"/>
  <c r="U2045" i="4" s="1"/>
  <c r="T2044" i="4"/>
  <c r="U2044" i="4" s="1"/>
  <c r="T2043" i="4"/>
  <c r="U2043" i="4" s="1"/>
  <c r="T2042" i="4"/>
  <c r="U2042" i="4" s="1"/>
  <c r="T2041" i="4"/>
  <c r="U2041" i="4" s="1"/>
  <c r="T2040" i="4"/>
  <c r="U2040" i="4" s="1"/>
  <c r="T2039" i="4"/>
  <c r="U2039" i="4" s="1"/>
  <c r="T2038" i="4"/>
  <c r="U2038" i="4" s="1"/>
  <c r="T2037" i="4"/>
  <c r="U2037" i="4" s="1"/>
  <c r="T2036" i="4"/>
  <c r="U2036" i="4" s="1"/>
  <c r="T2035" i="4"/>
  <c r="U2035" i="4" s="1"/>
  <c r="T2034" i="4"/>
  <c r="U2034" i="4" s="1"/>
  <c r="T2033" i="4"/>
  <c r="U2033" i="4" s="1"/>
  <c r="T2032" i="4"/>
  <c r="U2032" i="4" s="1"/>
  <c r="T2031" i="4"/>
  <c r="U2031" i="4" s="1"/>
  <c r="T2030" i="4"/>
  <c r="U2030" i="4" s="1"/>
  <c r="T2029" i="4"/>
  <c r="U2029" i="4" s="1"/>
  <c r="T2028" i="4"/>
  <c r="U2028" i="4" s="1"/>
  <c r="T2027" i="4"/>
  <c r="U2027" i="4" s="1"/>
  <c r="T2026" i="4"/>
  <c r="U2026" i="4" s="1"/>
  <c r="T2025" i="4"/>
  <c r="U2025" i="4" s="1"/>
  <c r="T2024" i="4"/>
  <c r="U2024" i="4" s="1"/>
  <c r="T2023" i="4"/>
  <c r="U2023" i="4" s="1"/>
  <c r="T2022" i="4"/>
  <c r="U2022" i="4" s="1"/>
  <c r="T2021" i="4"/>
  <c r="U2021" i="4" s="1"/>
  <c r="T2020" i="4"/>
  <c r="U2020" i="4" s="1"/>
  <c r="T2019" i="4"/>
  <c r="U2019" i="4" s="1"/>
  <c r="T2018" i="4"/>
  <c r="U2018" i="4" s="1"/>
  <c r="T2017" i="4"/>
  <c r="U2017" i="4" s="1"/>
  <c r="T2016" i="4"/>
  <c r="U2016" i="4" s="1"/>
  <c r="T2015" i="4"/>
  <c r="U2015" i="4" s="1"/>
  <c r="T2014" i="4"/>
  <c r="U2014" i="4" s="1"/>
  <c r="T2013" i="4"/>
  <c r="U2013" i="4" s="1"/>
  <c r="T2012" i="4"/>
  <c r="U2012" i="4" s="1"/>
  <c r="T2011" i="4"/>
  <c r="U2011" i="4" s="1"/>
  <c r="T2010" i="4"/>
  <c r="U2010" i="4" s="1"/>
  <c r="T2009" i="4"/>
  <c r="U2009" i="4" s="1"/>
  <c r="T2008" i="4"/>
  <c r="U2008" i="4" s="1"/>
  <c r="T2007" i="4"/>
  <c r="U2007" i="4" s="1"/>
  <c r="T2006" i="4"/>
  <c r="U2006" i="4" s="1"/>
  <c r="T2005" i="4"/>
  <c r="U2005" i="4" s="1"/>
  <c r="T2004" i="4"/>
  <c r="U2004" i="4" s="1"/>
  <c r="T2003" i="4"/>
  <c r="U2003" i="4" s="1"/>
  <c r="T2002" i="4"/>
  <c r="U2002" i="4" s="1"/>
  <c r="T2001" i="4"/>
  <c r="U2001" i="4" s="1"/>
  <c r="T2000" i="4"/>
  <c r="U2000" i="4" s="1"/>
  <c r="T1999" i="4"/>
  <c r="U1999" i="4" s="1"/>
  <c r="T1998" i="4"/>
  <c r="U1998" i="4" s="1"/>
  <c r="T1997" i="4"/>
  <c r="U1997" i="4" s="1"/>
  <c r="T1996" i="4"/>
  <c r="U1996" i="4" s="1"/>
  <c r="T1995" i="4"/>
  <c r="U1995" i="4" s="1"/>
  <c r="T1994" i="4"/>
  <c r="U1994" i="4" s="1"/>
  <c r="T1993" i="4"/>
  <c r="U1993" i="4" s="1"/>
  <c r="T1992" i="4"/>
  <c r="U1992" i="4" s="1"/>
  <c r="T1991" i="4"/>
  <c r="U1991" i="4" s="1"/>
  <c r="T1990" i="4"/>
  <c r="U1990" i="4" s="1"/>
  <c r="T1989" i="4"/>
  <c r="U1989" i="4" s="1"/>
  <c r="T1988" i="4"/>
  <c r="U1988" i="4" s="1"/>
  <c r="T1987" i="4"/>
  <c r="U1987" i="4" s="1"/>
  <c r="T1986" i="4"/>
  <c r="U1986" i="4" s="1"/>
  <c r="T1985" i="4"/>
  <c r="U1985" i="4" s="1"/>
  <c r="T1984" i="4"/>
  <c r="U1984" i="4" s="1"/>
  <c r="T1983" i="4"/>
  <c r="U1983" i="4" s="1"/>
  <c r="T1982" i="4"/>
  <c r="U1982" i="4" s="1"/>
  <c r="T1981" i="4"/>
  <c r="U1981" i="4" s="1"/>
  <c r="T1980" i="4"/>
  <c r="U1980" i="4" s="1"/>
  <c r="T1979" i="4"/>
  <c r="U1979" i="4" s="1"/>
  <c r="T1978" i="4"/>
  <c r="U1978" i="4" s="1"/>
  <c r="T1977" i="4"/>
  <c r="U1977" i="4" s="1"/>
  <c r="T1976" i="4"/>
  <c r="U1976" i="4" s="1"/>
  <c r="T1975" i="4"/>
  <c r="U1975" i="4" s="1"/>
  <c r="T1974" i="4"/>
  <c r="U1974" i="4" s="1"/>
  <c r="T1973" i="4"/>
  <c r="U1973" i="4" s="1"/>
  <c r="T1972" i="4"/>
  <c r="U1972" i="4" s="1"/>
  <c r="T1971" i="4"/>
  <c r="U1971" i="4" s="1"/>
  <c r="T1970" i="4"/>
  <c r="U1970" i="4" s="1"/>
  <c r="T1969" i="4"/>
  <c r="U1969" i="4" s="1"/>
  <c r="T1968" i="4"/>
  <c r="U1968" i="4" s="1"/>
  <c r="T1967" i="4"/>
  <c r="U1967" i="4" s="1"/>
  <c r="T1966" i="4"/>
  <c r="U1966" i="4" s="1"/>
  <c r="T1965" i="4"/>
  <c r="U1965" i="4" s="1"/>
  <c r="T1964" i="4"/>
  <c r="U1964" i="4" s="1"/>
  <c r="T1963" i="4"/>
  <c r="U1963" i="4" s="1"/>
  <c r="T1962" i="4"/>
  <c r="U1962" i="4" s="1"/>
  <c r="T1961" i="4"/>
  <c r="U1961" i="4" s="1"/>
  <c r="T1960" i="4"/>
  <c r="U1960" i="4" s="1"/>
  <c r="T1959" i="4"/>
  <c r="U1959" i="4" s="1"/>
  <c r="T1958" i="4"/>
  <c r="U1958" i="4" s="1"/>
  <c r="T1957" i="4"/>
  <c r="U1957" i="4" s="1"/>
  <c r="T1956" i="4"/>
  <c r="U1956" i="4" s="1"/>
  <c r="T1955" i="4"/>
  <c r="U1955" i="4" s="1"/>
  <c r="T1954" i="4"/>
  <c r="U1954" i="4" s="1"/>
  <c r="T1953" i="4"/>
  <c r="U1953" i="4" s="1"/>
  <c r="T1952" i="4"/>
  <c r="U1952" i="4" s="1"/>
  <c r="T1951" i="4"/>
  <c r="U1951" i="4" s="1"/>
  <c r="T1950" i="4"/>
  <c r="U1950" i="4" s="1"/>
  <c r="T1949" i="4"/>
  <c r="U1949" i="4" s="1"/>
  <c r="T1948" i="4"/>
  <c r="U1948" i="4" s="1"/>
  <c r="T1947" i="4"/>
  <c r="U1947" i="4" s="1"/>
  <c r="T1946" i="4"/>
  <c r="U1946" i="4" s="1"/>
  <c r="T1945" i="4"/>
  <c r="U1945" i="4" s="1"/>
  <c r="T1944" i="4"/>
  <c r="U1944" i="4" s="1"/>
  <c r="T1943" i="4"/>
  <c r="U1943" i="4" s="1"/>
  <c r="T1942" i="4"/>
  <c r="U1942" i="4" s="1"/>
  <c r="T1941" i="4"/>
  <c r="U1941" i="4" s="1"/>
  <c r="T1940" i="4"/>
  <c r="U1940" i="4" s="1"/>
  <c r="T1939" i="4"/>
  <c r="U1939" i="4" s="1"/>
  <c r="T1938" i="4"/>
  <c r="U1938" i="4" s="1"/>
  <c r="T1937" i="4"/>
  <c r="U1937" i="4" s="1"/>
  <c r="T1936" i="4"/>
  <c r="U1936" i="4" s="1"/>
  <c r="T1935" i="4"/>
  <c r="U1935" i="4" s="1"/>
  <c r="T1934" i="4"/>
  <c r="U1934" i="4" s="1"/>
  <c r="T1933" i="4"/>
  <c r="U1933" i="4" s="1"/>
  <c r="T1932" i="4"/>
  <c r="U1932" i="4" s="1"/>
  <c r="T1931" i="4"/>
  <c r="U1931" i="4" s="1"/>
  <c r="T1930" i="4"/>
  <c r="U1930" i="4" s="1"/>
  <c r="T1929" i="4"/>
  <c r="U1929" i="4" s="1"/>
  <c r="T1928" i="4"/>
  <c r="U1928" i="4" s="1"/>
  <c r="T1927" i="4"/>
  <c r="U1927" i="4" s="1"/>
  <c r="T1926" i="4"/>
  <c r="U1926" i="4" s="1"/>
  <c r="T1925" i="4"/>
  <c r="U1925" i="4" s="1"/>
  <c r="T1924" i="4"/>
  <c r="U1924" i="4" s="1"/>
  <c r="T1923" i="4"/>
  <c r="U1923" i="4" s="1"/>
  <c r="T1922" i="4"/>
  <c r="U1922" i="4" s="1"/>
  <c r="T1921" i="4"/>
  <c r="U1921" i="4" s="1"/>
  <c r="T1920" i="4"/>
  <c r="U1920" i="4" s="1"/>
  <c r="T1919" i="4"/>
  <c r="U1919" i="4" s="1"/>
  <c r="T1918" i="4"/>
  <c r="U1918" i="4" s="1"/>
  <c r="T1917" i="4"/>
  <c r="U1917" i="4" s="1"/>
  <c r="T1916" i="4"/>
  <c r="U1916" i="4" s="1"/>
  <c r="T1915" i="4"/>
  <c r="U1915" i="4" s="1"/>
  <c r="T1914" i="4"/>
  <c r="U1914" i="4" s="1"/>
  <c r="T1913" i="4"/>
  <c r="U1913" i="4" s="1"/>
  <c r="T1912" i="4"/>
  <c r="U1912" i="4" s="1"/>
  <c r="T1911" i="4"/>
  <c r="U1911" i="4" s="1"/>
  <c r="T1910" i="4"/>
  <c r="U1910" i="4" s="1"/>
  <c r="T1909" i="4"/>
  <c r="U1909" i="4" s="1"/>
  <c r="T1908" i="4"/>
  <c r="U1908" i="4" s="1"/>
  <c r="T1907" i="4"/>
  <c r="U1907" i="4" s="1"/>
  <c r="T1906" i="4"/>
  <c r="U1906" i="4" s="1"/>
  <c r="T1905" i="4"/>
  <c r="U1905" i="4" s="1"/>
  <c r="T1904" i="4"/>
  <c r="U1904" i="4" s="1"/>
  <c r="T1903" i="4"/>
  <c r="U1903" i="4" s="1"/>
  <c r="T1902" i="4"/>
  <c r="U1902" i="4" s="1"/>
  <c r="T1901" i="4"/>
  <c r="U1901" i="4" s="1"/>
  <c r="T1900" i="4"/>
  <c r="U1900" i="4" s="1"/>
  <c r="T1899" i="4"/>
  <c r="U1899" i="4" s="1"/>
  <c r="T1898" i="4"/>
  <c r="U1898" i="4" s="1"/>
  <c r="T1897" i="4"/>
  <c r="U1897" i="4" s="1"/>
  <c r="T1896" i="4"/>
  <c r="U1896" i="4" s="1"/>
  <c r="T1895" i="4"/>
  <c r="U1895" i="4" s="1"/>
  <c r="T1894" i="4"/>
  <c r="U1894" i="4" s="1"/>
  <c r="T1893" i="4"/>
  <c r="U1893" i="4" s="1"/>
  <c r="T1892" i="4"/>
  <c r="U1892" i="4" s="1"/>
  <c r="T1891" i="4"/>
  <c r="U1891" i="4" s="1"/>
  <c r="T1890" i="4"/>
  <c r="U1890" i="4" s="1"/>
  <c r="T1889" i="4"/>
  <c r="U1889" i="4" s="1"/>
  <c r="T1888" i="4"/>
  <c r="U1888" i="4" s="1"/>
  <c r="T1887" i="4"/>
  <c r="U1887" i="4" s="1"/>
  <c r="T1886" i="4"/>
  <c r="U1886" i="4" s="1"/>
  <c r="T1885" i="4"/>
  <c r="U1885" i="4" s="1"/>
  <c r="T1884" i="4"/>
  <c r="U1884" i="4" s="1"/>
  <c r="T1883" i="4"/>
  <c r="U1883" i="4" s="1"/>
  <c r="T1882" i="4"/>
  <c r="U1882" i="4" s="1"/>
  <c r="T1881" i="4"/>
  <c r="U1881" i="4" s="1"/>
  <c r="T1880" i="4"/>
  <c r="U1880" i="4" s="1"/>
  <c r="T1879" i="4"/>
  <c r="U1879" i="4" s="1"/>
  <c r="T1878" i="4"/>
  <c r="U1878" i="4" s="1"/>
  <c r="T1877" i="4"/>
  <c r="U1877" i="4" s="1"/>
  <c r="T1876" i="4"/>
  <c r="U1876" i="4" s="1"/>
  <c r="T1875" i="4"/>
  <c r="U1875" i="4" s="1"/>
  <c r="T1874" i="4"/>
  <c r="U1874" i="4" s="1"/>
  <c r="T1873" i="4"/>
  <c r="U1873" i="4" s="1"/>
  <c r="T1872" i="4"/>
  <c r="U1872" i="4" s="1"/>
  <c r="T1871" i="4"/>
  <c r="U1871" i="4" s="1"/>
  <c r="T1870" i="4"/>
  <c r="U1870" i="4" s="1"/>
  <c r="T1869" i="4"/>
  <c r="U1869" i="4" s="1"/>
  <c r="T1868" i="4"/>
  <c r="U1868" i="4" s="1"/>
  <c r="T1867" i="4"/>
  <c r="U1867" i="4" s="1"/>
  <c r="T1866" i="4"/>
  <c r="U1866" i="4" s="1"/>
  <c r="T1865" i="4"/>
  <c r="U1865" i="4" s="1"/>
  <c r="T1864" i="4"/>
  <c r="U1864" i="4" s="1"/>
  <c r="T1863" i="4"/>
  <c r="U1863" i="4" s="1"/>
  <c r="T1862" i="4"/>
  <c r="U1862" i="4" s="1"/>
  <c r="T1861" i="4"/>
  <c r="U1861" i="4" s="1"/>
  <c r="T1860" i="4"/>
  <c r="U1860" i="4" s="1"/>
  <c r="T1859" i="4"/>
  <c r="U1859" i="4" s="1"/>
  <c r="T1858" i="4"/>
  <c r="U1858" i="4" s="1"/>
  <c r="T1857" i="4"/>
  <c r="U1857" i="4" s="1"/>
  <c r="T1856" i="4"/>
  <c r="U1856" i="4" s="1"/>
  <c r="T1855" i="4"/>
  <c r="U1855" i="4" s="1"/>
  <c r="T1854" i="4"/>
  <c r="U1854" i="4" s="1"/>
  <c r="T1853" i="4"/>
  <c r="U1853" i="4" s="1"/>
  <c r="T1852" i="4"/>
  <c r="U1852" i="4" s="1"/>
  <c r="T1851" i="4"/>
  <c r="U1851" i="4" s="1"/>
  <c r="T1850" i="4"/>
  <c r="U1850" i="4" s="1"/>
  <c r="T1849" i="4"/>
  <c r="U1849" i="4" s="1"/>
  <c r="T1848" i="4"/>
  <c r="U1848" i="4" s="1"/>
  <c r="T1847" i="4"/>
  <c r="U1847" i="4" s="1"/>
  <c r="T1846" i="4"/>
  <c r="U1846" i="4" s="1"/>
  <c r="T1845" i="4"/>
  <c r="U1845" i="4" s="1"/>
  <c r="T1844" i="4"/>
  <c r="U1844" i="4" s="1"/>
  <c r="T1843" i="4"/>
  <c r="U1843" i="4" s="1"/>
  <c r="T1842" i="4"/>
  <c r="U1842" i="4" s="1"/>
  <c r="T1841" i="4"/>
  <c r="U1841" i="4" s="1"/>
  <c r="T1840" i="4"/>
  <c r="U1840" i="4" s="1"/>
  <c r="T1839" i="4"/>
  <c r="U1839" i="4" s="1"/>
  <c r="T1838" i="4"/>
  <c r="U1838" i="4" s="1"/>
  <c r="T1837" i="4"/>
  <c r="U1837" i="4" s="1"/>
  <c r="T1836" i="4"/>
  <c r="U1836" i="4" s="1"/>
  <c r="T1835" i="4"/>
  <c r="U1835" i="4" s="1"/>
  <c r="T1834" i="4"/>
  <c r="U1834" i="4" s="1"/>
  <c r="T1833" i="4"/>
  <c r="U1833" i="4" s="1"/>
  <c r="T1832" i="4"/>
  <c r="U1832" i="4" s="1"/>
  <c r="T1831" i="4"/>
  <c r="U1831" i="4" s="1"/>
  <c r="T1830" i="4"/>
  <c r="U1830" i="4" s="1"/>
  <c r="T1829" i="4"/>
  <c r="U1829" i="4" s="1"/>
  <c r="T1828" i="4"/>
  <c r="U1828" i="4" s="1"/>
  <c r="T1827" i="4"/>
  <c r="U1827" i="4" s="1"/>
  <c r="T1826" i="4"/>
  <c r="U1826" i="4" s="1"/>
  <c r="T1825" i="4"/>
  <c r="U1825" i="4" s="1"/>
  <c r="T1824" i="4"/>
  <c r="U1824" i="4" s="1"/>
  <c r="T1823" i="4"/>
  <c r="U1823" i="4" s="1"/>
  <c r="T1822" i="4"/>
  <c r="U1822" i="4" s="1"/>
  <c r="T1821" i="4"/>
  <c r="U1821" i="4" s="1"/>
  <c r="T1820" i="4"/>
  <c r="U1820" i="4" s="1"/>
  <c r="T1819" i="4"/>
  <c r="U1819" i="4" s="1"/>
  <c r="T1818" i="4"/>
  <c r="U1818" i="4" s="1"/>
  <c r="T1817" i="4"/>
  <c r="U1817" i="4" s="1"/>
  <c r="T1816" i="4"/>
  <c r="U1816" i="4" s="1"/>
  <c r="T1815" i="4"/>
  <c r="U1815" i="4" s="1"/>
  <c r="T1814" i="4"/>
  <c r="U1814" i="4" s="1"/>
  <c r="T1813" i="4"/>
  <c r="U1813" i="4" s="1"/>
  <c r="T1812" i="4"/>
  <c r="U1812" i="4" s="1"/>
  <c r="T1811" i="4"/>
  <c r="U1811" i="4" s="1"/>
  <c r="T1810" i="4"/>
  <c r="U1810" i="4" s="1"/>
  <c r="T1809" i="4"/>
  <c r="U1809" i="4" s="1"/>
  <c r="T1808" i="4"/>
  <c r="U1808" i="4" s="1"/>
  <c r="T1807" i="4"/>
  <c r="U1807" i="4" s="1"/>
  <c r="T1806" i="4"/>
  <c r="U1806" i="4" s="1"/>
  <c r="T1805" i="4"/>
  <c r="U1805" i="4" s="1"/>
  <c r="T1804" i="4"/>
  <c r="U1804" i="4" s="1"/>
  <c r="T1803" i="4"/>
  <c r="U1803" i="4" s="1"/>
  <c r="T1802" i="4"/>
  <c r="U1802" i="4" s="1"/>
  <c r="T1801" i="4"/>
  <c r="U1801" i="4" s="1"/>
  <c r="T1800" i="4"/>
  <c r="U1800" i="4" s="1"/>
  <c r="T1799" i="4"/>
  <c r="U1799" i="4" s="1"/>
  <c r="T1798" i="4"/>
  <c r="U1798" i="4" s="1"/>
  <c r="T1797" i="4"/>
  <c r="U1797" i="4" s="1"/>
  <c r="T1796" i="4"/>
  <c r="U1796" i="4" s="1"/>
  <c r="T1795" i="4"/>
  <c r="U1795" i="4" s="1"/>
  <c r="T1794" i="4"/>
  <c r="U1794" i="4" s="1"/>
  <c r="T1793" i="4"/>
  <c r="U1793" i="4" s="1"/>
  <c r="T1792" i="4"/>
  <c r="U1792" i="4" s="1"/>
  <c r="T1791" i="4"/>
  <c r="U1791" i="4" s="1"/>
  <c r="T1790" i="4"/>
  <c r="U1790" i="4" s="1"/>
  <c r="T1789" i="4"/>
  <c r="U1789" i="4" s="1"/>
  <c r="T1788" i="4"/>
  <c r="U1788" i="4" s="1"/>
  <c r="T1787" i="4"/>
  <c r="U1787" i="4" s="1"/>
  <c r="T1786" i="4"/>
  <c r="U1786" i="4" s="1"/>
  <c r="T1785" i="4"/>
  <c r="U1785" i="4" s="1"/>
  <c r="T1784" i="4"/>
  <c r="U1784" i="4" s="1"/>
  <c r="T1783" i="4"/>
  <c r="U1783" i="4" s="1"/>
  <c r="T1782" i="4"/>
  <c r="U1782" i="4" s="1"/>
  <c r="T1781" i="4"/>
  <c r="U1781" i="4" s="1"/>
  <c r="T1780" i="4"/>
  <c r="U1780" i="4" s="1"/>
  <c r="T1779" i="4"/>
  <c r="U1779" i="4" s="1"/>
  <c r="T1778" i="4"/>
  <c r="U1778" i="4" s="1"/>
  <c r="T1777" i="4"/>
  <c r="U1777" i="4" s="1"/>
  <c r="T1776" i="4"/>
  <c r="U1776" i="4" s="1"/>
  <c r="T1775" i="4"/>
  <c r="U1775" i="4" s="1"/>
  <c r="T1774" i="4"/>
  <c r="U1774" i="4" s="1"/>
  <c r="T1773" i="4"/>
  <c r="U1773" i="4" s="1"/>
  <c r="T1772" i="4"/>
  <c r="U1772" i="4" s="1"/>
  <c r="T1771" i="4"/>
  <c r="U1771" i="4" s="1"/>
  <c r="T1770" i="4"/>
  <c r="U1770" i="4" s="1"/>
  <c r="T1769" i="4"/>
  <c r="U1769" i="4" s="1"/>
  <c r="T1768" i="4"/>
  <c r="U1768" i="4" s="1"/>
  <c r="T1767" i="4"/>
  <c r="U1767" i="4" s="1"/>
  <c r="T1766" i="4"/>
  <c r="U1766" i="4" s="1"/>
  <c r="T1765" i="4"/>
  <c r="U1765" i="4" s="1"/>
  <c r="T1764" i="4"/>
  <c r="U1764" i="4" s="1"/>
  <c r="T1763" i="4"/>
  <c r="U1763" i="4" s="1"/>
  <c r="T1762" i="4"/>
  <c r="U1762" i="4" s="1"/>
  <c r="T1761" i="4"/>
  <c r="U1761" i="4" s="1"/>
  <c r="T1760" i="4"/>
  <c r="U1760" i="4" s="1"/>
  <c r="T1759" i="4"/>
  <c r="U1759" i="4" s="1"/>
  <c r="T1758" i="4"/>
  <c r="U1758" i="4" s="1"/>
  <c r="T1757" i="4"/>
  <c r="U1757" i="4" s="1"/>
  <c r="T1756" i="4"/>
  <c r="U1756" i="4" s="1"/>
  <c r="T1755" i="4"/>
  <c r="U1755" i="4" s="1"/>
  <c r="T1754" i="4"/>
  <c r="U1754" i="4" s="1"/>
  <c r="T1753" i="4"/>
  <c r="U1753" i="4" s="1"/>
  <c r="T1752" i="4"/>
  <c r="U1752" i="4" s="1"/>
  <c r="T1751" i="4"/>
  <c r="U1751" i="4" s="1"/>
  <c r="T1750" i="4"/>
  <c r="U1750" i="4" s="1"/>
  <c r="T1749" i="4"/>
  <c r="U1749" i="4" s="1"/>
  <c r="T1748" i="4"/>
  <c r="U1748" i="4" s="1"/>
  <c r="T1747" i="4"/>
  <c r="U1747" i="4" s="1"/>
  <c r="T1746" i="4"/>
  <c r="U1746" i="4" s="1"/>
  <c r="T1745" i="4"/>
  <c r="U1745" i="4" s="1"/>
  <c r="T1744" i="4"/>
  <c r="U1744" i="4" s="1"/>
  <c r="T1743" i="4"/>
  <c r="U1743" i="4" s="1"/>
  <c r="T1742" i="4"/>
  <c r="U1742" i="4" s="1"/>
  <c r="T1741" i="4"/>
  <c r="U1741" i="4" s="1"/>
  <c r="T1740" i="4"/>
  <c r="U1740" i="4" s="1"/>
  <c r="T1739" i="4"/>
  <c r="U1739" i="4" s="1"/>
  <c r="T1738" i="4"/>
  <c r="U1738" i="4" s="1"/>
  <c r="T1737" i="4"/>
  <c r="U1737" i="4" s="1"/>
  <c r="T1736" i="4"/>
  <c r="U1736" i="4" s="1"/>
  <c r="T1735" i="4"/>
  <c r="U1735" i="4" s="1"/>
  <c r="T1734" i="4"/>
  <c r="U1734" i="4" s="1"/>
  <c r="T1733" i="4"/>
  <c r="U1733" i="4" s="1"/>
  <c r="T1732" i="4"/>
  <c r="U1732" i="4" s="1"/>
  <c r="T1731" i="4"/>
  <c r="U1731" i="4" s="1"/>
  <c r="T1730" i="4"/>
  <c r="U1730" i="4" s="1"/>
  <c r="T1729" i="4"/>
  <c r="U1729" i="4" s="1"/>
  <c r="T1728" i="4"/>
  <c r="U1728" i="4" s="1"/>
  <c r="T1727" i="4"/>
  <c r="U1727" i="4" s="1"/>
  <c r="T1726" i="4"/>
  <c r="U1726" i="4" s="1"/>
  <c r="T1725" i="4"/>
  <c r="U1725" i="4" s="1"/>
  <c r="T1724" i="4"/>
  <c r="U1724" i="4" s="1"/>
  <c r="T1723" i="4"/>
  <c r="U1723" i="4" s="1"/>
  <c r="T1722" i="4"/>
  <c r="U1722" i="4" s="1"/>
  <c r="T1721" i="4"/>
  <c r="U1721" i="4" s="1"/>
  <c r="T1720" i="4"/>
  <c r="U1720" i="4" s="1"/>
  <c r="T1719" i="4"/>
  <c r="U1719" i="4" s="1"/>
  <c r="T1718" i="4"/>
  <c r="U1718" i="4" s="1"/>
  <c r="T1717" i="4"/>
  <c r="U1717" i="4" s="1"/>
  <c r="T1716" i="4"/>
  <c r="U1716" i="4" s="1"/>
  <c r="T1715" i="4"/>
  <c r="U1715" i="4" s="1"/>
  <c r="T1714" i="4"/>
  <c r="U1714" i="4" s="1"/>
  <c r="T1713" i="4"/>
  <c r="U1713" i="4" s="1"/>
  <c r="T1712" i="4"/>
  <c r="U1712" i="4" s="1"/>
  <c r="T1711" i="4"/>
  <c r="U1711" i="4" s="1"/>
  <c r="T1710" i="4"/>
  <c r="U1710" i="4" s="1"/>
  <c r="T1709" i="4"/>
  <c r="U1709" i="4" s="1"/>
  <c r="T1708" i="4"/>
  <c r="U1708" i="4" s="1"/>
  <c r="T1707" i="4"/>
  <c r="U1707" i="4" s="1"/>
  <c r="T1706" i="4"/>
  <c r="U1706" i="4" s="1"/>
  <c r="T1705" i="4"/>
  <c r="U1705" i="4" s="1"/>
  <c r="T1704" i="4"/>
  <c r="U1704" i="4" s="1"/>
  <c r="T1703" i="4"/>
  <c r="U1703" i="4" s="1"/>
  <c r="T1702" i="4"/>
  <c r="U1702" i="4" s="1"/>
  <c r="T1701" i="4"/>
  <c r="U1701" i="4" s="1"/>
  <c r="T1700" i="4"/>
  <c r="U1700" i="4" s="1"/>
  <c r="T1699" i="4"/>
  <c r="U1699" i="4" s="1"/>
  <c r="T1698" i="4"/>
  <c r="U1698" i="4" s="1"/>
  <c r="T1697" i="4"/>
  <c r="U1697" i="4" s="1"/>
  <c r="T1696" i="4"/>
  <c r="U1696" i="4" s="1"/>
  <c r="T1695" i="4"/>
  <c r="U1695" i="4" s="1"/>
  <c r="T1694" i="4"/>
  <c r="U1694" i="4" s="1"/>
  <c r="T1693" i="4"/>
  <c r="U1693" i="4" s="1"/>
  <c r="T1692" i="4"/>
  <c r="U1692" i="4" s="1"/>
  <c r="T1691" i="4"/>
  <c r="U1691" i="4" s="1"/>
  <c r="T1690" i="4"/>
  <c r="U1690" i="4" s="1"/>
  <c r="T1689" i="4"/>
  <c r="U1689" i="4" s="1"/>
  <c r="T1688" i="4"/>
  <c r="U1688" i="4" s="1"/>
  <c r="T1687" i="4"/>
  <c r="U1687" i="4" s="1"/>
  <c r="T1686" i="4"/>
  <c r="U1686" i="4" s="1"/>
  <c r="T1685" i="4"/>
  <c r="U1685" i="4" s="1"/>
  <c r="T1684" i="4"/>
  <c r="U1684" i="4" s="1"/>
  <c r="T1683" i="4"/>
  <c r="U1683" i="4" s="1"/>
  <c r="T1682" i="4"/>
  <c r="U1682" i="4" s="1"/>
  <c r="T1681" i="4"/>
  <c r="U1681" i="4" s="1"/>
  <c r="T1680" i="4"/>
  <c r="U1680" i="4" s="1"/>
  <c r="T1679" i="4"/>
  <c r="U1679" i="4" s="1"/>
  <c r="T1678" i="4"/>
  <c r="U1678" i="4" s="1"/>
  <c r="T1677" i="4"/>
  <c r="U1677" i="4" s="1"/>
  <c r="T1676" i="4"/>
  <c r="U1676" i="4" s="1"/>
  <c r="T1675" i="4"/>
  <c r="U1675" i="4" s="1"/>
  <c r="T1674" i="4"/>
  <c r="U1674" i="4" s="1"/>
  <c r="T1673" i="4"/>
  <c r="U1673" i="4" s="1"/>
  <c r="T1672" i="4"/>
  <c r="U1672" i="4" s="1"/>
  <c r="T1671" i="4"/>
  <c r="U1671" i="4" s="1"/>
  <c r="T1670" i="4"/>
  <c r="U1670" i="4" s="1"/>
  <c r="T1669" i="4"/>
  <c r="U1669" i="4" s="1"/>
  <c r="T1668" i="4"/>
  <c r="U1668" i="4" s="1"/>
  <c r="T1667" i="4"/>
  <c r="U1667" i="4" s="1"/>
  <c r="T1666" i="4"/>
  <c r="U1666" i="4" s="1"/>
  <c r="T1665" i="4"/>
  <c r="U1665" i="4" s="1"/>
  <c r="T1664" i="4"/>
  <c r="U1664" i="4" s="1"/>
  <c r="T1663" i="4"/>
  <c r="U1663" i="4" s="1"/>
  <c r="T1662" i="4"/>
  <c r="U1662" i="4" s="1"/>
  <c r="T1661" i="4"/>
  <c r="U1661" i="4" s="1"/>
  <c r="T1660" i="4"/>
  <c r="U1660" i="4" s="1"/>
  <c r="T1659" i="4"/>
  <c r="U1659" i="4" s="1"/>
  <c r="T1658" i="4"/>
  <c r="U1658" i="4" s="1"/>
  <c r="T1657" i="4"/>
  <c r="U1657" i="4" s="1"/>
  <c r="T1656" i="4"/>
  <c r="U1656" i="4" s="1"/>
  <c r="T1655" i="4"/>
  <c r="U1655" i="4" s="1"/>
  <c r="T1654" i="4"/>
  <c r="U1654" i="4" s="1"/>
  <c r="T1653" i="4"/>
  <c r="U1653" i="4" s="1"/>
  <c r="T1652" i="4"/>
  <c r="U1652" i="4" s="1"/>
  <c r="T1651" i="4"/>
  <c r="U1651" i="4" s="1"/>
  <c r="T1650" i="4"/>
  <c r="U1650" i="4" s="1"/>
  <c r="T1649" i="4"/>
  <c r="U1649" i="4" s="1"/>
  <c r="T1648" i="4"/>
  <c r="U1648" i="4" s="1"/>
  <c r="T1647" i="4"/>
  <c r="U1647" i="4" s="1"/>
  <c r="T1646" i="4"/>
  <c r="U1646" i="4" s="1"/>
  <c r="T1645" i="4"/>
  <c r="U1645" i="4" s="1"/>
  <c r="T1644" i="4"/>
  <c r="U1644" i="4" s="1"/>
  <c r="T1643" i="4"/>
  <c r="U1643" i="4" s="1"/>
  <c r="T1642" i="4"/>
  <c r="U1642" i="4" s="1"/>
  <c r="T1641" i="4"/>
  <c r="U1641" i="4" s="1"/>
  <c r="T1640" i="4"/>
  <c r="U1640" i="4" s="1"/>
  <c r="T1639" i="4"/>
  <c r="U1639" i="4" s="1"/>
  <c r="T1638" i="4"/>
  <c r="U1638" i="4" s="1"/>
  <c r="T1637" i="4"/>
  <c r="U1637" i="4" s="1"/>
  <c r="T1636" i="4"/>
  <c r="U1636" i="4" s="1"/>
  <c r="T1635" i="4"/>
  <c r="U1635" i="4" s="1"/>
  <c r="T1634" i="4"/>
  <c r="U1634" i="4" s="1"/>
  <c r="T1633" i="4"/>
  <c r="U1633" i="4" s="1"/>
  <c r="T1632" i="4"/>
  <c r="U1632" i="4" s="1"/>
  <c r="T1631" i="4"/>
  <c r="U1631" i="4" s="1"/>
  <c r="T1630" i="4"/>
  <c r="U1630" i="4" s="1"/>
  <c r="T1629" i="4"/>
  <c r="U1629" i="4" s="1"/>
  <c r="T1628" i="4"/>
  <c r="U1628" i="4" s="1"/>
  <c r="T1627" i="4"/>
  <c r="U1627" i="4" s="1"/>
  <c r="T1626" i="4"/>
  <c r="U1626" i="4" s="1"/>
  <c r="T1625" i="4"/>
  <c r="U1625" i="4" s="1"/>
  <c r="T1624" i="4"/>
  <c r="U1624" i="4" s="1"/>
  <c r="T1623" i="4"/>
  <c r="U1623" i="4" s="1"/>
  <c r="T1622" i="4"/>
  <c r="U1622" i="4" s="1"/>
  <c r="T1621" i="4"/>
  <c r="U1621" i="4" s="1"/>
  <c r="T1620" i="4"/>
  <c r="U1620" i="4" s="1"/>
  <c r="T1619" i="4"/>
  <c r="U1619" i="4" s="1"/>
  <c r="T1618" i="4"/>
  <c r="U1618" i="4" s="1"/>
  <c r="T1617" i="4"/>
  <c r="U1617" i="4" s="1"/>
  <c r="T1616" i="4"/>
  <c r="U1616" i="4" s="1"/>
  <c r="T1615" i="4"/>
  <c r="U1615" i="4" s="1"/>
  <c r="T1614" i="4"/>
  <c r="U1614" i="4" s="1"/>
  <c r="T1613" i="4"/>
  <c r="U1613" i="4" s="1"/>
  <c r="T1612" i="4"/>
  <c r="U1612" i="4" s="1"/>
  <c r="T1611" i="4"/>
  <c r="U1611" i="4" s="1"/>
  <c r="T1610" i="4"/>
  <c r="U1610" i="4" s="1"/>
  <c r="T1609" i="4"/>
  <c r="U1609" i="4" s="1"/>
  <c r="T1608" i="4"/>
  <c r="U1608" i="4" s="1"/>
  <c r="T1607" i="4"/>
  <c r="U1607" i="4" s="1"/>
  <c r="T1606" i="4"/>
  <c r="U1606" i="4" s="1"/>
  <c r="T1605" i="4"/>
  <c r="U1605" i="4" s="1"/>
  <c r="T1604" i="4"/>
  <c r="U1604" i="4" s="1"/>
  <c r="T1603" i="4"/>
  <c r="U1603" i="4" s="1"/>
  <c r="T1602" i="4"/>
  <c r="U1602" i="4" s="1"/>
  <c r="T1601" i="4"/>
  <c r="U1601" i="4" s="1"/>
  <c r="T1600" i="4"/>
  <c r="U1600" i="4" s="1"/>
  <c r="T1599" i="4"/>
  <c r="U1599" i="4" s="1"/>
  <c r="T1598" i="4"/>
  <c r="U1598" i="4" s="1"/>
  <c r="T1597" i="4"/>
  <c r="U1597" i="4" s="1"/>
  <c r="T1596" i="4"/>
  <c r="U1596" i="4" s="1"/>
  <c r="T1595" i="4"/>
  <c r="U1595" i="4" s="1"/>
  <c r="T1594" i="4"/>
  <c r="U1594" i="4" s="1"/>
  <c r="T1593" i="4"/>
  <c r="U1593" i="4" s="1"/>
  <c r="T1592" i="4"/>
  <c r="U1592" i="4" s="1"/>
  <c r="T1591" i="4"/>
  <c r="U1591" i="4" s="1"/>
  <c r="T1590" i="4"/>
  <c r="U1590" i="4" s="1"/>
  <c r="T1589" i="4"/>
  <c r="U1589" i="4" s="1"/>
  <c r="T1588" i="4"/>
  <c r="U1588" i="4" s="1"/>
  <c r="T1587" i="4"/>
  <c r="U1587" i="4" s="1"/>
  <c r="T1586" i="4"/>
  <c r="U1586" i="4" s="1"/>
  <c r="T1585" i="4"/>
  <c r="U1585" i="4" s="1"/>
  <c r="T1584" i="4"/>
  <c r="U1584" i="4" s="1"/>
  <c r="T1583" i="4"/>
  <c r="U1583" i="4" s="1"/>
  <c r="T1582" i="4"/>
  <c r="U1582" i="4" s="1"/>
  <c r="T1581" i="4"/>
  <c r="U1581" i="4" s="1"/>
  <c r="T1580" i="4"/>
  <c r="U1580" i="4" s="1"/>
  <c r="T1579" i="4"/>
  <c r="U1579" i="4" s="1"/>
  <c r="T1578" i="4"/>
  <c r="U1578" i="4" s="1"/>
  <c r="T1577" i="4"/>
  <c r="U1577" i="4" s="1"/>
  <c r="T1576" i="4"/>
  <c r="U1576" i="4" s="1"/>
  <c r="T1575" i="4"/>
  <c r="U1575" i="4" s="1"/>
  <c r="T1574" i="4"/>
  <c r="U1574" i="4" s="1"/>
  <c r="T1573" i="4"/>
  <c r="U1573" i="4" s="1"/>
  <c r="T1572" i="4"/>
  <c r="U1572" i="4" s="1"/>
  <c r="T1571" i="4"/>
  <c r="U1571" i="4" s="1"/>
  <c r="T1570" i="4"/>
  <c r="U1570" i="4" s="1"/>
  <c r="T1569" i="4"/>
  <c r="U1569" i="4" s="1"/>
  <c r="T1568" i="4"/>
  <c r="U1568" i="4" s="1"/>
  <c r="T1567" i="4"/>
  <c r="U1567" i="4" s="1"/>
  <c r="T1566" i="4"/>
  <c r="U1566" i="4" s="1"/>
  <c r="T1565" i="4"/>
  <c r="U1565" i="4" s="1"/>
  <c r="T1564" i="4"/>
  <c r="U1564" i="4" s="1"/>
  <c r="T1563" i="4"/>
  <c r="U1563" i="4" s="1"/>
  <c r="T1562" i="4"/>
  <c r="U1562" i="4" s="1"/>
  <c r="T1561" i="4"/>
  <c r="U1561" i="4" s="1"/>
  <c r="T1560" i="4"/>
  <c r="U1560" i="4" s="1"/>
  <c r="T1559" i="4"/>
  <c r="U1559" i="4" s="1"/>
  <c r="T1558" i="4"/>
  <c r="U1558" i="4" s="1"/>
  <c r="T1557" i="4"/>
  <c r="U1557" i="4" s="1"/>
  <c r="T1556" i="4"/>
  <c r="U1556" i="4" s="1"/>
  <c r="T1555" i="4"/>
  <c r="U1555" i="4" s="1"/>
  <c r="T1554" i="4"/>
  <c r="U1554" i="4" s="1"/>
  <c r="T1553" i="4"/>
  <c r="U1553" i="4" s="1"/>
  <c r="T1552" i="4"/>
  <c r="U1552" i="4" s="1"/>
  <c r="T1551" i="4"/>
  <c r="U1551" i="4" s="1"/>
  <c r="T1550" i="4"/>
  <c r="U1550" i="4" s="1"/>
  <c r="T1549" i="4"/>
  <c r="U1549" i="4" s="1"/>
  <c r="T1548" i="4"/>
  <c r="U1548" i="4" s="1"/>
  <c r="T1547" i="4"/>
  <c r="U1547" i="4" s="1"/>
  <c r="T1546" i="4"/>
  <c r="U1546" i="4" s="1"/>
  <c r="T1545" i="4"/>
  <c r="U1545" i="4" s="1"/>
  <c r="T1544" i="4"/>
  <c r="U1544" i="4" s="1"/>
  <c r="T1543" i="4"/>
  <c r="U1543" i="4" s="1"/>
  <c r="T1542" i="4"/>
  <c r="U1542" i="4" s="1"/>
  <c r="T1541" i="4"/>
  <c r="U1541" i="4" s="1"/>
  <c r="T1540" i="4"/>
  <c r="U1540" i="4" s="1"/>
  <c r="T1539" i="4"/>
  <c r="U1539" i="4" s="1"/>
  <c r="T1538" i="4"/>
  <c r="U1538" i="4" s="1"/>
  <c r="T1537" i="4"/>
  <c r="U1537" i="4" s="1"/>
  <c r="T1536" i="4"/>
  <c r="U1536" i="4" s="1"/>
  <c r="T1535" i="4"/>
  <c r="U1535" i="4" s="1"/>
  <c r="T1534" i="4"/>
  <c r="U1534" i="4" s="1"/>
  <c r="T1533" i="4"/>
  <c r="U1533" i="4" s="1"/>
  <c r="T1532" i="4"/>
  <c r="U1532" i="4" s="1"/>
  <c r="T1531" i="4"/>
  <c r="U1531" i="4" s="1"/>
  <c r="T1530" i="4"/>
  <c r="U1530" i="4" s="1"/>
  <c r="T1529" i="4"/>
  <c r="U1529" i="4" s="1"/>
  <c r="T1528" i="4"/>
  <c r="U1528" i="4" s="1"/>
  <c r="T1527" i="4"/>
  <c r="U1527" i="4" s="1"/>
  <c r="T1526" i="4"/>
  <c r="U1526" i="4" s="1"/>
  <c r="T1525" i="4"/>
  <c r="U1525" i="4" s="1"/>
  <c r="T1524" i="4"/>
  <c r="U1524" i="4" s="1"/>
  <c r="T1523" i="4"/>
  <c r="U1523" i="4" s="1"/>
  <c r="T1522" i="4"/>
  <c r="U1522" i="4" s="1"/>
  <c r="T1521" i="4"/>
  <c r="U1521" i="4" s="1"/>
  <c r="T1520" i="4"/>
  <c r="U1520" i="4" s="1"/>
  <c r="T1519" i="4"/>
  <c r="U1519" i="4" s="1"/>
  <c r="T1518" i="4"/>
  <c r="U1518" i="4" s="1"/>
  <c r="T1517" i="4"/>
  <c r="U1517" i="4" s="1"/>
  <c r="T1516" i="4"/>
  <c r="U1516" i="4" s="1"/>
  <c r="T1515" i="4"/>
  <c r="U1515" i="4" s="1"/>
  <c r="T1514" i="4"/>
  <c r="U1514" i="4" s="1"/>
  <c r="T1513" i="4"/>
  <c r="U1513" i="4" s="1"/>
  <c r="T1512" i="4"/>
  <c r="U1512" i="4" s="1"/>
  <c r="T1511" i="4"/>
  <c r="U1511" i="4" s="1"/>
  <c r="T1510" i="4"/>
  <c r="U1510" i="4" s="1"/>
  <c r="T1509" i="4"/>
  <c r="U1509" i="4" s="1"/>
  <c r="T1508" i="4"/>
  <c r="U1508" i="4" s="1"/>
  <c r="T1507" i="4"/>
  <c r="U1507" i="4" s="1"/>
  <c r="T1506" i="4"/>
  <c r="U1506" i="4" s="1"/>
  <c r="T1505" i="4"/>
  <c r="U1505" i="4" s="1"/>
  <c r="T1504" i="4"/>
  <c r="U1504" i="4" s="1"/>
  <c r="T1503" i="4"/>
  <c r="U1503" i="4" s="1"/>
  <c r="T1502" i="4"/>
  <c r="U1502" i="4" s="1"/>
  <c r="T1501" i="4"/>
  <c r="U1501" i="4" s="1"/>
  <c r="T1500" i="4"/>
  <c r="U1500" i="4" s="1"/>
  <c r="T1499" i="4"/>
  <c r="U1499" i="4" s="1"/>
  <c r="T1498" i="4"/>
  <c r="U1498" i="4" s="1"/>
  <c r="T1497" i="4"/>
  <c r="U1497" i="4" s="1"/>
  <c r="T1496" i="4"/>
  <c r="U1496" i="4" s="1"/>
  <c r="T1495" i="4"/>
  <c r="U1495" i="4" s="1"/>
  <c r="T1494" i="4"/>
  <c r="U1494" i="4" s="1"/>
  <c r="T1493" i="4"/>
  <c r="U1493" i="4" s="1"/>
  <c r="T1492" i="4"/>
  <c r="U1492" i="4" s="1"/>
  <c r="T1491" i="4"/>
  <c r="U1491" i="4" s="1"/>
  <c r="T1490" i="4"/>
  <c r="U1490" i="4" s="1"/>
  <c r="T1489" i="4"/>
  <c r="U1489" i="4" s="1"/>
  <c r="T1488" i="4"/>
  <c r="U1488" i="4" s="1"/>
  <c r="T1487" i="4"/>
  <c r="U1487" i="4" s="1"/>
  <c r="T1486" i="4"/>
  <c r="U1486" i="4" s="1"/>
  <c r="T1485" i="4"/>
  <c r="U1485" i="4" s="1"/>
  <c r="T1484" i="4"/>
  <c r="U1484" i="4" s="1"/>
  <c r="T1483" i="4"/>
  <c r="U1483" i="4" s="1"/>
  <c r="T1482" i="4"/>
  <c r="U1482" i="4" s="1"/>
  <c r="T1481" i="4"/>
  <c r="U1481" i="4" s="1"/>
  <c r="T1480" i="4"/>
  <c r="U1480" i="4" s="1"/>
  <c r="T1479" i="4"/>
  <c r="U1479" i="4" s="1"/>
  <c r="T1478" i="4"/>
  <c r="U1478" i="4" s="1"/>
  <c r="T1477" i="4"/>
  <c r="U1477" i="4" s="1"/>
  <c r="T1476" i="4"/>
  <c r="U1476" i="4" s="1"/>
  <c r="T1475" i="4"/>
  <c r="U1475" i="4" s="1"/>
  <c r="T1474" i="4"/>
  <c r="U1474" i="4" s="1"/>
  <c r="T1473" i="4"/>
  <c r="U1473" i="4" s="1"/>
  <c r="T1472" i="4"/>
  <c r="U1472" i="4" s="1"/>
  <c r="T1471" i="4"/>
  <c r="U1471" i="4" s="1"/>
  <c r="T1470" i="4"/>
  <c r="U1470" i="4" s="1"/>
  <c r="T1469" i="4"/>
  <c r="U1469" i="4" s="1"/>
  <c r="T1468" i="4"/>
  <c r="U1468" i="4" s="1"/>
  <c r="T1467" i="4"/>
  <c r="U1467" i="4" s="1"/>
  <c r="T1466" i="4"/>
  <c r="U1466" i="4" s="1"/>
  <c r="T1465" i="4"/>
  <c r="U1465" i="4" s="1"/>
  <c r="T1464" i="4"/>
  <c r="U1464" i="4" s="1"/>
  <c r="T1463" i="4"/>
  <c r="U1463" i="4" s="1"/>
  <c r="T1462" i="4"/>
  <c r="U1462" i="4" s="1"/>
  <c r="T1461" i="4"/>
  <c r="U1461" i="4" s="1"/>
  <c r="T1460" i="4"/>
  <c r="U1460" i="4" s="1"/>
  <c r="T1459" i="4"/>
  <c r="U1459" i="4" s="1"/>
  <c r="T1458" i="4"/>
  <c r="U1458" i="4" s="1"/>
  <c r="T1457" i="4"/>
  <c r="U1457" i="4" s="1"/>
  <c r="T1456" i="4"/>
  <c r="U1456" i="4" s="1"/>
  <c r="T1455" i="4"/>
  <c r="U1455" i="4" s="1"/>
  <c r="T1454" i="4"/>
  <c r="U1454" i="4" s="1"/>
  <c r="T1453" i="4"/>
  <c r="U1453" i="4" s="1"/>
  <c r="T1452" i="4"/>
  <c r="U1452" i="4" s="1"/>
  <c r="T1451" i="4"/>
  <c r="U1451" i="4" s="1"/>
  <c r="T1450" i="4"/>
  <c r="U1450" i="4" s="1"/>
  <c r="T1449" i="4"/>
  <c r="U1449" i="4" s="1"/>
  <c r="T1448" i="4"/>
  <c r="U1448" i="4" s="1"/>
  <c r="T1447" i="4"/>
  <c r="U1447" i="4" s="1"/>
  <c r="T1446" i="4"/>
  <c r="U1446" i="4" s="1"/>
  <c r="T1445" i="4"/>
  <c r="U1445" i="4" s="1"/>
  <c r="T1444" i="4"/>
  <c r="U1444" i="4" s="1"/>
  <c r="T1443" i="4"/>
  <c r="U1443" i="4" s="1"/>
  <c r="T1442" i="4"/>
  <c r="U1442" i="4" s="1"/>
  <c r="T1441" i="4"/>
  <c r="U1441" i="4" s="1"/>
  <c r="T1440" i="4"/>
  <c r="U1440" i="4" s="1"/>
  <c r="T1439" i="4"/>
  <c r="U1439" i="4" s="1"/>
  <c r="T1438" i="4"/>
  <c r="U1438" i="4" s="1"/>
  <c r="T1437" i="4"/>
  <c r="U1437" i="4" s="1"/>
  <c r="T1436" i="4"/>
  <c r="U1436" i="4" s="1"/>
  <c r="T1435" i="4"/>
  <c r="U1435" i="4" s="1"/>
  <c r="T1434" i="4"/>
  <c r="U1434" i="4" s="1"/>
  <c r="T1433" i="4"/>
  <c r="U1433" i="4" s="1"/>
  <c r="T1432" i="4"/>
  <c r="U1432" i="4" s="1"/>
  <c r="T1431" i="4"/>
  <c r="U1431" i="4" s="1"/>
  <c r="T1430" i="4"/>
  <c r="U1430" i="4" s="1"/>
  <c r="T1429" i="4"/>
  <c r="U1429" i="4" s="1"/>
  <c r="T1428" i="4"/>
  <c r="U1428" i="4" s="1"/>
  <c r="T1427" i="4"/>
  <c r="U1427" i="4" s="1"/>
  <c r="T1426" i="4"/>
  <c r="U1426" i="4" s="1"/>
  <c r="T1425" i="4"/>
  <c r="U1425" i="4" s="1"/>
  <c r="T1424" i="4"/>
  <c r="U1424" i="4" s="1"/>
  <c r="T1423" i="4"/>
  <c r="U1423" i="4" s="1"/>
  <c r="T1422" i="4"/>
  <c r="U1422" i="4" s="1"/>
  <c r="T1421" i="4"/>
  <c r="U1421" i="4" s="1"/>
  <c r="T1420" i="4"/>
  <c r="U1420" i="4" s="1"/>
  <c r="T1419" i="4"/>
  <c r="U1419" i="4" s="1"/>
  <c r="T1418" i="4"/>
  <c r="U1418" i="4" s="1"/>
  <c r="T1417" i="4"/>
  <c r="U1417" i="4" s="1"/>
  <c r="T1416" i="4"/>
  <c r="U1416" i="4" s="1"/>
  <c r="T1415" i="4"/>
  <c r="U1415" i="4" s="1"/>
  <c r="T1414" i="4"/>
  <c r="U1414" i="4" s="1"/>
  <c r="T1413" i="4"/>
  <c r="U1413" i="4" s="1"/>
  <c r="T1412" i="4"/>
  <c r="U1412" i="4" s="1"/>
  <c r="T1411" i="4"/>
  <c r="U1411" i="4" s="1"/>
  <c r="T1410" i="4"/>
  <c r="U1410" i="4" s="1"/>
  <c r="T1409" i="4"/>
  <c r="U1409" i="4" s="1"/>
  <c r="T1408" i="4"/>
  <c r="U1408" i="4" s="1"/>
  <c r="T1407" i="4"/>
  <c r="U1407" i="4" s="1"/>
  <c r="T1406" i="4"/>
  <c r="U1406" i="4" s="1"/>
  <c r="T1405" i="4"/>
  <c r="U1405" i="4" s="1"/>
  <c r="T1404" i="4"/>
  <c r="U1404" i="4" s="1"/>
  <c r="T1403" i="4"/>
  <c r="U1403" i="4" s="1"/>
  <c r="T1402" i="4"/>
  <c r="U1402" i="4" s="1"/>
  <c r="T1401" i="4"/>
  <c r="U1401" i="4" s="1"/>
  <c r="T1400" i="4"/>
  <c r="U1400" i="4" s="1"/>
  <c r="T1399" i="4"/>
  <c r="U1399" i="4" s="1"/>
  <c r="T1398" i="4"/>
  <c r="U1398" i="4" s="1"/>
  <c r="T1397" i="4"/>
  <c r="U1397" i="4" s="1"/>
  <c r="T1396" i="4"/>
  <c r="U1396" i="4" s="1"/>
  <c r="T1395" i="4"/>
  <c r="U1395" i="4" s="1"/>
  <c r="T1394" i="4"/>
  <c r="U1394" i="4" s="1"/>
  <c r="T1393" i="4"/>
  <c r="U1393" i="4" s="1"/>
  <c r="T1392" i="4"/>
  <c r="U1392" i="4" s="1"/>
  <c r="T1391" i="4"/>
  <c r="U1391" i="4" s="1"/>
  <c r="T1390" i="4"/>
  <c r="U1390" i="4" s="1"/>
  <c r="T1389" i="4"/>
  <c r="U1389" i="4" s="1"/>
  <c r="T1388" i="4"/>
  <c r="U1388" i="4" s="1"/>
  <c r="T1387" i="4"/>
  <c r="U1387" i="4" s="1"/>
  <c r="T1386" i="4"/>
  <c r="U1386" i="4" s="1"/>
  <c r="T1385" i="4"/>
  <c r="U1385" i="4" s="1"/>
  <c r="T1384" i="4"/>
  <c r="U1384" i="4" s="1"/>
  <c r="T1383" i="4"/>
  <c r="U1383" i="4" s="1"/>
  <c r="T1382" i="4"/>
  <c r="U1382" i="4" s="1"/>
  <c r="T1381" i="4"/>
  <c r="U1381" i="4" s="1"/>
  <c r="T1380" i="4"/>
  <c r="U1380" i="4" s="1"/>
  <c r="T1379" i="4"/>
  <c r="U1379" i="4" s="1"/>
  <c r="T1378" i="4"/>
  <c r="U1378" i="4" s="1"/>
  <c r="T1377" i="4"/>
  <c r="U1377" i="4" s="1"/>
  <c r="T1376" i="4"/>
  <c r="U1376" i="4" s="1"/>
  <c r="T1375" i="4"/>
  <c r="U1375" i="4" s="1"/>
  <c r="T1374" i="4"/>
  <c r="U1374" i="4" s="1"/>
  <c r="T1373" i="4"/>
  <c r="U1373" i="4" s="1"/>
  <c r="T1372" i="4"/>
  <c r="U1372" i="4" s="1"/>
  <c r="T1371" i="4"/>
  <c r="U1371" i="4" s="1"/>
  <c r="T1370" i="4"/>
  <c r="U1370" i="4" s="1"/>
  <c r="T1369" i="4"/>
  <c r="U1369" i="4" s="1"/>
  <c r="T1368" i="4"/>
  <c r="U1368" i="4" s="1"/>
  <c r="T1367" i="4"/>
  <c r="U1367" i="4" s="1"/>
  <c r="T1366" i="4"/>
  <c r="U1366" i="4" s="1"/>
  <c r="T1365" i="4"/>
  <c r="U1365" i="4" s="1"/>
  <c r="T1364" i="4"/>
  <c r="U1364" i="4" s="1"/>
  <c r="T1363" i="4"/>
  <c r="U1363" i="4" s="1"/>
  <c r="T1362" i="4"/>
  <c r="U1362" i="4" s="1"/>
  <c r="T1361" i="4"/>
  <c r="U1361" i="4" s="1"/>
  <c r="T1360" i="4"/>
  <c r="U1360" i="4" s="1"/>
  <c r="T1359" i="4"/>
  <c r="U1359" i="4" s="1"/>
  <c r="T1358" i="4"/>
  <c r="U1358" i="4" s="1"/>
  <c r="T1357" i="4"/>
  <c r="U1357" i="4" s="1"/>
  <c r="T1356" i="4"/>
  <c r="U1356" i="4" s="1"/>
  <c r="T1355" i="4"/>
  <c r="U1355" i="4" s="1"/>
  <c r="T1354" i="4"/>
  <c r="U1354" i="4" s="1"/>
  <c r="T1353" i="4"/>
  <c r="U1353" i="4" s="1"/>
  <c r="T1352" i="4"/>
  <c r="U1352" i="4" s="1"/>
  <c r="T1351" i="4"/>
  <c r="U1351" i="4" s="1"/>
  <c r="T1350" i="4"/>
  <c r="U1350" i="4" s="1"/>
  <c r="T1349" i="4"/>
  <c r="U1349" i="4" s="1"/>
  <c r="T1348" i="4"/>
  <c r="U1348" i="4" s="1"/>
  <c r="T1347" i="4"/>
  <c r="U1347" i="4" s="1"/>
  <c r="T1346" i="4"/>
  <c r="U1346" i="4" s="1"/>
  <c r="T1345" i="4"/>
  <c r="U1345" i="4" s="1"/>
  <c r="T1344" i="4"/>
  <c r="U1344" i="4" s="1"/>
  <c r="T1343" i="4"/>
  <c r="U1343" i="4" s="1"/>
  <c r="T1342" i="4"/>
  <c r="U1342" i="4" s="1"/>
  <c r="T1341" i="4"/>
  <c r="U1341" i="4" s="1"/>
  <c r="T1340" i="4"/>
  <c r="U1340" i="4" s="1"/>
  <c r="T1339" i="4"/>
  <c r="U1339" i="4" s="1"/>
  <c r="T1338" i="4"/>
  <c r="U1338" i="4" s="1"/>
  <c r="T1337" i="4"/>
  <c r="U1337" i="4" s="1"/>
  <c r="T1336" i="4"/>
  <c r="U1336" i="4" s="1"/>
  <c r="T1335" i="4"/>
  <c r="U1335" i="4" s="1"/>
  <c r="T1334" i="4"/>
  <c r="U1334" i="4" s="1"/>
  <c r="T1333" i="4"/>
  <c r="U1333" i="4" s="1"/>
  <c r="T1332" i="4"/>
  <c r="U1332" i="4" s="1"/>
  <c r="T1331" i="4"/>
  <c r="U1331" i="4" s="1"/>
  <c r="T1330" i="4"/>
  <c r="U1330" i="4" s="1"/>
  <c r="T1329" i="4"/>
  <c r="U1329" i="4" s="1"/>
  <c r="T1328" i="4"/>
  <c r="U1328" i="4" s="1"/>
  <c r="T1327" i="4"/>
  <c r="U1327" i="4" s="1"/>
  <c r="T1326" i="4"/>
  <c r="U1326" i="4" s="1"/>
  <c r="T1325" i="4"/>
  <c r="U1325" i="4" s="1"/>
  <c r="T1324" i="4"/>
  <c r="U1324" i="4" s="1"/>
  <c r="T1323" i="4"/>
  <c r="U1323" i="4" s="1"/>
  <c r="T1322" i="4"/>
  <c r="U1322" i="4" s="1"/>
  <c r="T1321" i="4"/>
  <c r="U1321" i="4" s="1"/>
  <c r="T1320" i="4"/>
  <c r="U1320" i="4" s="1"/>
  <c r="T1319" i="4"/>
  <c r="U1319" i="4" s="1"/>
  <c r="T1318" i="4"/>
  <c r="U1318" i="4" s="1"/>
  <c r="T1317" i="4"/>
  <c r="U1317" i="4" s="1"/>
  <c r="T1316" i="4"/>
  <c r="U1316" i="4" s="1"/>
  <c r="T1315" i="4"/>
  <c r="U1315" i="4" s="1"/>
  <c r="T1314" i="4"/>
  <c r="U1314" i="4" s="1"/>
  <c r="T1313" i="4"/>
  <c r="U1313" i="4" s="1"/>
  <c r="T1312" i="4"/>
  <c r="U1312" i="4" s="1"/>
  <c r="T1311" i="4"/>
  <c r="U1311" i="4" s="1"/>
  <c r="T1310" i="4"/>
  <c r="U1310" i="4" s="1"/>
  <c r="T1309" i="4"/>
  <c r="U1309" i="4" s="1"/>
  <c r="T1308" i="4"/>
  <c r="U1308" i="4" s="1"/>
  <c r="T1307" i="4"/>
  <c r="U1307" i="4" s="1"/>
  <c r="T1306" i="4"/>
  <c r="U1306" i="4" s="1"/>
  <c r="T1305" i="4"/>
  <c r="U1305" i="4" s="1"/>
  <c r="T1304" i="4"/>
  <c r="U1304" i="4" s="1"/>
  <c r="T1303" i="4"/>
  <c r="U1303" i="4" s="1"/>
  <c r="T1302" i="4"/>
  <c r="U1302" i="4" s="1"/>
  <c r="T1301" i="4"/>
  <c r="U1301" i="4" s="1"/>
  <c r="T1300" i="4"/>
  <c r="U1300" i="4" s="1"/>
  <c r="T1299" i="4"/>
  <c r="U1299" i="4" s="1"/>
  <c r="T1298" i="4"/>
  <c r="U1298" i="4" s="1"/>
  <c r="T1297" i="4"/>
  <c r="U1297" i="4" s="1"/>
  <c r="T1296" i="4"/>
  <c r="U1296" i="4" s="1"/>
  <c r="T1295" i="4"/>
  <c r="U1295" i="4" s="1"/>
  <c r="T1294" i="4"/>
  <c r="U1294" i="4" s="1"/>
  <c r="T1293" i="4"/>
  <c r="U1293" i="4" s="1"/>
  <c r="T1292" i="4"/>
  <c r="U1292" i="4" s="1"/>
  <c r="T1291" i="4"/>
  <c r="U1291" i="4" s="1"/>
  <c r="T1290" i="4"/>
  <c r="U1290" i="4" s="1"/>
  <c r="T1289" i="4"/>
  <c r="U1289" i="4" s="1"/>
  <c r="T1288" i="4"/>
  <c r="U1288" i="4" s="1"/>
  <c r="T1287" i="4"/>
  <c r="U1287" i="4" s="1"/>
  <c r="T1286" i="4"/>
  <c r="U1286" i="4" s="1"/>
  <c r="T1285" i="4"/>
  <c r="U1285" i="4" s="1"/>
  <c r="T1284" i="4"/>
  <c r="U1284" i="4" s="1"/>
  <c r="T1283" i="4"/>
  <c r="U1283" i="4" s="1"/>
  <c r="T1282" i="4"/>
  <c r="U1282" i="4" s="1"/>
  <c r="T1281" i="4"/>
  <c r="U1281" i="4" s="1"/>
  <c r="T1280" i="4"/>
  <c r="U1280" i="4" s="1"/>
  <c r="T1279" i="4"/>
  <c r="U1279" i="4" s="1"/>
  <c r="T1278" i="4"/>
  <c r="U1278" i="4" s="1"/>
  <c r="T1277" i="4"/>
  <c r="U1277" i="4" s="1"/>
  <c r="T1276" i="4"/>
  <c r="U1276" i="4" s="1"/>
  <c r="T1275" i="4"/>
  <c r="U1275" i="4" s="1"/>
  <c r="T1274" i="4"/>
  <c r="U1274" i="4" s="1"/>
  <c r="T1273" i="4"/>
  <c r="U1273" i="4" s="1"/>
  <c r="T1272" i="4"/>
  <c r="U1272" i="4" s="1"/>
  <c r="T1271" i="4"/>
  <c r="U1271" i="4" s="1"/>
  <c r="T1270" i="4"/>
  <c r="U1270" i="4" s="1"/>
  <c r="T1269" i="4"/>
  <c r="U1269" i="4" s="1"/>
  <c r="T1268" i="4"/>
  <c r="U1268" i="4" s="1"/>
  <c r="T1267" i="4"/>
  <c r="U1267" i="4" s="1"/>
  <c r="T1266" i="4"/>
  <c r="U1266" i="4" s="1"/>
  <c r="T1265" i="4"/>
  <c r="U1265" i="4" s="1"/>
  <c r="T1264" i="4"/>
  <c r="U1264" i="4" s="1"/>
  <c r="T1263" i="4"/>
  <c r="U1263" i="4" s="1"/>
  <c r="T1262" i="4"/>
  <c r="U1262" i="4" s="1"/>
  <c r="T1261" i="4"/>
  <c r="U1261" i="4" s="1"/>
  <c r="T1260" i="4"/>
  <c r="U1260" i="4" s="1"/>
  <c r="T1259" i="4"/>
  <c r="U1259" i="4" s="1"/>
  <c r="T1258" i="4"/>
  <c r="U1258" i="4" s="1"/>
  <c r="T1257" i="4"/>
  <c r="U1257" i="4" s="1"/>
  <c r="T1256" i="4"/>
  <c r="U1256" i="4" s="1"/>
  <c r="T1255" i="4"/>
  <c r="U1255" i="4" s="1"/>
  <c r="T1254" i="4"/>
  <c r="U1254" i="4" s="1"/>
  <c r="T1253" i="4"/>
  <c r="U1253" i="4" s="1"/>
  <c r="T1252" i="4"/>
  <c r="U1252" i="4" s="1"/>
  <c r="T1251" i="4"/>
  <c r="U1251" i="4" s="1"/>
  <c r="T1250" i="4"/>
  <c r="U1250" i="4" s="1"/>
  <c r="T1249" i="4"/>
  <c r="U1249" i="4" s="1"/>
  <c r="T1248" i="4"/>
  <c r="U1248" i="4" s="1"/>
  <c r="T1247" i="4"/>
  <c r="U1247" i="4" s="1"/>
  <c r="T1246" i="4"/>
  <c r="U1246" i="4" s="1"/>
  <c r="T1245" i="4"/>
  <c r="U1245" i="4" s="1"/>
  <c r="T1244" i="4"/>
  <c r="U1244" i="4" s="1"/>
  <c r="T1243" i="4"/>
  <c r="U1243" i="4" s="1"/>
  <c r="T1242" i="4"/>
  <c r="U1242" i="4" s="1"/>
  <c r="T1241" i="4"/>
  <c r="U1241" i="4" s="1"/>
  <c r="T1240" i="4"/>
  <c r="U1240" i="4" s="1"/>
  <c r="T1239" i="4"/>
  <c r="U1239" i="4" s="1"/>
  <c r="T1238" i="4"/>
  <c r="U1238" i="4" s="1"/>
  <c r="T1237" i="4"/>
  <c r="U1237" i="4" s="1"/>
  <c r="T1236" i="4"/>
  <c r="U1236" i="4" s="1"/>
  <c r="T1235" i="4"/>
  <c r="U1235" i="4" s="1"/>
  <c r="T1234" i="4"/>
  <c r="U1234" i="4" s="1"/>
  <c r="T1233" i="4"/>
  <c r="U1233" i="4" s="1"/>
  <c r="T1232" i="4"/>
  <c r="U1232" i="4" s="1"/>
  <c r="T1231" i="4"/>
  <c r="U1231" i="4" s="1"/>
  <c r="T1230" i="4"/>
  <c r="U1230" i="4" s="1"/>
  <c r="T1229" i="4"/>
  <c r="U1229" i="4" s="1"/>
  <c r="T1228" i="4"/>
  <c r="U1228" i="4" s="1"/>
  <c r="T1227" i="4"/>
  <c r="U1227" i="4" s="1"/>
  <c r="T1226" i="4"/>
  <c r="U1226" i="4" s="1"/>
  <c r="T1225" i="4"/>
  <c r="U1225" i="4" s="1"/>
  <c r="T1224" i="4"/>
  <c r="U1224" i="4" s="1"/>
  <c r="T1223" i="4"/>
  <c r="U1223" i="4" s="1"/>
  <c r="T1222" i="4"/>
  <c r="U1222" i="4" s="1"/>
  <c r="T1221" i="4"/>
  <c r="U1221" i="4" s="1"/>
  <c r="T1220" i="4"/>
  <c r="U1220" i="4" s="1"/>
  <c r="T2" i="4"/>
  <c r="T1219" i="4"/>
  <c r="U1219" i="4" s="1"/>
  <c r="T1218" i="4"/>
  <c r="U1218" i="4" s="1"/>
  <c r="T1217" i="4"/>
  <c r="U1217" i="4" s="1"/>
  <c r="T1216" i="4"/>
  <c r="U1216" i="4" s="1"/>
  <c r="T1215" i="4"/>
  <c r="U1215" i="4" s="1"/>
  <c r="T1214" i="4"/>
  <c r="U1214" i="4" s="1"/>
  <c r="T1213" i="4"/>
  <c r="U1213" i="4" s="1"/>
  <c r="T1212" i="4"/>
  <c r="U1212" i="4" s="1"/>
  <c r="T1211" i="4"/>
  <c r="U1211" i="4" s="1"/>
  <c r="T1210" i="4"/>
  <c r="U1210" i="4" s="1"/>
  <c r="T1209" i="4"/>
  <c r="U1209" i="4" s="1"/>
  <c r="T1208" i="4"/>
  <c r="U1208" i="4" s="1"/>
  <c r="T1207" i="4"/>
  <c r="U1207" i="4" s="1"/>
  <c r="T1206" i="4"/>
  <c r="U1206" i="4" s="1"/>
  <c r="T1205" i="4"/>
  <c r="U1205" i="4" s="1"/>
  <c r="T1204" i="4"/>
  <c r="U1204" i="4" s="1"/>
  <c r="T1203" i="4"/>
  <c r="U1203" i="4" s="1"/>
  <c r="T1202" i="4"/>
  <c r="U1202" i="4" s="1"/>
  <c r="T1201" i="4"/>
  <c r="U1201" i="4" s="1"/>
  <c r="T1200" i="4"/>
  <c r="U1200" i="4" s="1"/>
  <c r="T1199" i="4"/>
  <c r="U1199" i="4" s="1"/>
  <c r="T1198" i="4"/>
  <c r="U1198" i="4" s="1"/>
  <c r="T1197" i="4"/>
  <c r="U1197" i="4" s="1"/>
  <c r="T1196" i="4"/>
  <c r="U1196" i="4" s="1"/>
  <c r="T1195" i="4"/>
  <c r="U1195" i="4" s="1"/>
  <c r="T1194" i="4"/>
  <c r="U1194" i="4" s="1"/>
  <c r="T1193" i="4"/>
  <c r="U1193" i="4" s="1"/>
  <c r="T1192" i="4"/>
  <c r="U1192" i="4" s="1"/>
  <c r="T1191" i="4"/>
  <c r="U1191" i="4" s="1"/>
  <c r="T1190" i="4"/>
  <c r="U1190" i="4" s="1"/>
  <c r="T1189" i="4"/>
  <c r="U1189" i="4" s="1"/>
  <c r="T1188" i="4"/>
  <c r="U1188" i="4" s="1"/>
  <c r="T1187" i="4"/>
  <c r="U1187" i="4" s="1"/>
  <c r="T1186" i="4"/>
  <c r="U1186" i="4" s="1"/>
  <c r="T1185" i="4"/>
  <c r="U1185" i="4" s="1"/>
  <c r="T1184" i="4"/>
  <c r="U1184" i="4" s="1"/>
  <c r="T1183" i="4"/>
  <c r="U1183" i="4" s="1"/>
  <c r="T1182" i="4"/>
  <c r="U1182" i="4" s="1"/>
  <c r="T1181" i="4"/>
  <c r="U1181" i="4" s="1"/>
  <c r="T1180" i="4"/>
  <c r="U1180" i="4" s="1"/>
  <c r="T1179" i="4"/>
  <c r="U1179" i="4" s="1"/>
  <c r="T1178" i="4"/>
  <c r="U1178" i="4" s="1"/>
  <c r="T1177" i="4"/>
  <c r="U1177" i="4" s="1"/>
  <c r="T1176" i="4"/>
  <c r="U1176" i="4" s="1"/>
  <c r="T1175" i="4"/>
  <c r="U1175" i="4" s="1"/>
  <c r="T1174" i="4"/>
  <c r="U1174" i="4" s="1"/>
  <c r="T1173" i="4"/>
  <c r="U1173" i="4" s="1"/>
  <c r="T1172" i="4"/>
  <c r="U1172" i="4" s="1"/>
  <c r="T1171" i="4"/>
  <c r="U1171" i="4" s="1"/>
  <c r="T1170" i="4"/>
  <c r="U1170" i="4" s="1"/>
  <c r="T1169" i="4"/>
  <c r="U1169" i="4" s="1"/>
  <c r="T1168" i="4"/>
  <c r="U1168" i="4" s="1"/>
  <c r="T1167" i="4"/>
  <c r="U1167" i="4" s="1"/>
  <c r="T1166" i="4"/>
  <c r="U1166" i="4" s="1"/>
  <c r="T1165" i="4"/>
  <c r="U1165" i="4" s="1"/>
  <c r="T1164" i="4"/>
  <c r="U1164" i="4" s="1"/>
  <c r="T1163" i="4"/>
  <c r="U1163" i="4" s="1"/>
  <c r="T1162" i="4"/>
  <c r="U1162" i="4" s="1"/>
  <c r="T1161" i="4"/>
  <c r="U1161" i="4" s="1"/>
  <c r="T1160" i="4"/>
  <c r="U1160" i="4" s="1"/>
  <c r="T1159" i="4"/>
  <c r="U1159" i="4" s="1"/>
  <c r="T1158" i="4"/>
  <c r="U1158" i="4" s="1"/>
  <c r="T1157" i="4"/>
  <c r="U1157" i="4" s="1"/>
  <c r="T1156" i="4"/>
  <c r="U1156" i="4" s="1"/>
  <c r="T1155" i="4"/>
  <c r="U1155" i="4" s="1"/>
  <c r="T1154" i="4"/>
  <c r="U1154" i="4" s="1"/>
  <c r="T1153" i="4"/>
  <c r="U1153" i="4" s="1"/>
  <c r="T1152" i="4"/>
  <c r="U1152" i="4" s="1"/>
  <c r="T1151" i="4"/>
  <c r="U1151" i="4" s="1"/>
  <c r="T1150" i="4"/>
  <c r="U1150" i="4" s="1"/>
  <c r="T1149" i="4"/>
  <c r="U1149" i="4" s="1"/>
  <c r="T1148" i="4"/>
  <c r="U1148" i="4" s="1"/>
  <c r="T1147" i="4"/>
  <c r="U1147" i="4" s="1"/>
  <c r="T1146" i="4"/>
  <c r="U1146" i="4" s="1"/>
  <c r="T1145" i="4"/>
  <c r="U1145" i="4" s="1"/>
  <c r="T1144" i="4"/>
  <c r="U1144" i="4" s="1"/>
  <c r="T1143" i="4"/>
  <c r="U1143" i="4" s="1"/>
  <c r="T1142" i="4"/>
  <c r="U1142" i="4" s="1"/>
  <c r="T1141" i="4"/>
  <c r="U1141" i="4" s="1"/>
  <c r="T1140" i="4"/>
  <c r="U1140" i="4" s="1"/>
  <c r="T1139" i="4"/>
  <c r="U1139" i="4" s="1"/>
  <c r="T1138" i="4"/>
  <c r="U1138" i="4" s="1"/>
  <c r="T1137" i="4"/>
  <c r="U1137" i="4" s="1"/>
  <c r="T1136" i="4"/>
  <c r="U1136" i="4" s="1"/>
  <c r="T1135" i="4"/>
  <c r="U1135" i="4" s="1"/>
  <c r="T1134" i="4"/>
  <c r="U1134" i="4" s="1"/>
  <c r="T1133" i="4"/>
  <c r="U1133" i="4" s="1"/>
  <c r="T1132" i="4"/>
  <c r="U1132" i="4" s="1"/>
  <c r="T1131" i="4"/>
  <c r="U1131" i="4" s="1"/>
  <c r="T1130" i="4"/>
  <c r="U1130" i="4" s="1"/>
  <c r="T1129" i="4"/>
  <c r="U1129" i="4" s="1"/>
  <c r="T1128" i="4"/>
  <c r="U1128" i="4" s="1"/>
  <c r="T1127" i="4"/>
  <c r="U1127" i="4" s="1"/>
  <c r="T1126" i="4"/>
  <c r="U1126" i="4" s="1"/>
  <c r="T1125" i="4"/>
  <c r="U1125" i="4" s="1"/>
  <c r="T1124" i="4"/>
  <c r="U1124" i="4" s="1"/>
  <c r="T1123" i="4"/>
  <c r="U1123" i="4" s="1"/>
  <c r="T1122" i="4"/>
  <c r="U1122" i="4" s="1"/>
  <c r="T1121" i="4"/>
  <c r="U1121" i="4" s="1"/>
  <c r="T1120" i="4"/>
  <c r="U1120" i="4" s="1"/>
  <c r="T1119" i="4"/>
  <c r="U1119" i="4" s="1"/>
  <c r="T1118" i="4"/>
  <c r="U1118" i="4" s="1"/>
  <c r="T1117" i="4"/>
  <c r="U1117" i="4" s="1"/>
  <c r="T1116" i="4"/>
  <c r="U1116" i="4" s="1"/>
  <c r="T1115" i="4"/>
  <c r="U1115" i="4" s="1"/>
  <c r="T1114" i="4"/>
  <c r="U1114" i="4" s="1"/>
  <c r="T1113" i="4"/>
  <c r="U1113" i="4" s="1"/>
  <c r="T1112" i="4"/>
  <c r="U1112" i="4" s="1"/>
  <c r="T1111" i="4"/>
  <c r="U1111" i="4" s="1"/>
  <c r="T1110" i="4"/>
  <c r="U1110" i="4" s="1"/>
  <c r="T1109" i="4"/>
  <c r="U1109" i="4" s="1"/>
  <c r="T1108" i="4"/>
  <c r="U1108" i="4" s="1"/>
  <c r="T1107" i="4"/>
  <c r="U1107" i="4" s="1"/>
  <c r="T1106" i="4"/>
  <c r="U1106" i="4" s="1"/>
  <c r="T1105" i="4"/>
  <c r="U1105" i="4" s="1"/>
  <c r="T1104" i="4"/>
  <c r="U1104" i="4" s="1"/>
  <c r="T1103" i="4"/>
  <c r="U1103" i="4" s="1"/>
  <c r="T1102" i="4"/>
  <c r="U1102" i="4" s="1"/>
  <c r="T1101" i="4"/>
  <c r="U1101" i="4" s="1"/>
  <c r="T1100" i="4"/>
  <c r="U1100" i="4" s="1"/>
  <c r="T1099" i="4"/>
  <c r="U1099" i="4" s="1"/>
  <c r="T1098" i="4"/>
  <c r="U1098" i="4" s="1"/>
  <c r="T1097" i="4"/>
  <c r="U1097" i="4" s="1"/>
  <c r="T1096" i="4"/>
  <c r="U1096" i="4" s="1"/>
  <c r="T1095" i="4"/>
  <c r="U1095" i="4" s="1"/>
  <c r="T1094" i="4"/>
  <c r="U1094" i="4" s="1"/>
  <c r="T1093" i="4"/>
  <c r="U1093" i="4" s="1"/>
  <c r="T1092" i="4"/>
  <c r="U1092" i="4" s="1"/>
  <c r="T1091" i="4"/>
  <c r="U1091" i="4" s="1"/>
  <c r="T1090" i="4"/>
  <c r="U1090" i="4" s="1"/>
  <c r="T1089" i="4"/>
  <c r="U1089" i="4" s="1"/>
  <c r="T1088" i="4"/>
  <c r="U1088" i="4" s="1"/>
  <c r="T1087" i="4"/>
  <c r="U1087" i="4" s="1"/>
  <c r="T1086" i="4"/>
  <c r="U1086" i="4" s="1"/>
  <c r="T1085" i="4"/>
  <c r="U1085" i="4" s="1"/>
  <c r="T1084" i="4"/>
  <c r="U1084" i="4" s="1"/>
  <c r="T1083" i="4"/>
  <c r="U1083" i="4" s="1"/>
  <c r="T1082" i="4"/>
  <c r="U1082" i="4" s="1"/>
  <c r="T1081" i="4"/>
  <c r="U1081" i="4" s="1"/>
  <c r="T1080" i="4"/>
  <c r="U1080" i="4" s="1"/>
  <c r="T1079" i="4"/>
  <c r="U1079" i="4" s="1"/>
  <c r="T1078" i="4"/>
  <c r="U1078" i="4" s="1"/>
  <c r="T1077" i="4"/>
  <c r="U1077" i="4" s="1"/>
  <c r="T1076" i="4"/>
  <c r="U1076" i="4" s="1"/>
  <c r="T1075" i="4"/>
  <c r="U1075" i="4" s="1"/>
  <c r="T1074" i="4"/>
  <c r="U1074" i="4" s="1"/>
  <c r="T1073" i="4"/>
  <c r="U1073" i="4" s="1"/>
  <c r="T1072" i="4"/>
  <c r="U1072" i="4" s="1"/>
  <c r="T1071" i="4"/>
  <c r="U1071" i="4" s="1"/>
  <c r="T1070" i="4"/>
  <c r="U1070" i="4" s="1"/>
  <c r="T1069" i="4"/>
  <c r="U1069" i="4" s="1"/>
  <c r="T1068" i="4"/>
  <c r="U1068" i="4" s="1"/>
  <c r="T1067" i="4"/>
  <c r="U1067" i="4" s="1"/>
  <c r="T1066" i="4"/>
  <c r="U1066" i="4" s="1"/>
  <c r="T1065" i="4"/>
  <c r="U1065" i="4" s="1"/>
  <c r="T1064" i="4"/>
  <c r="U1064" i="4" s="1"/>
  <c r="T1063" i="4"/>
  <c r="U1063" i="4" s="1"/>
  <c r="T1062" i="4"/>
  <c r="U1062" i="4" s="1"/>
  <c r="T1061" i="4"/>
  <c r="U1061" i="4" s="1"/>
  <c r="T1060" i="4"/>
  <c r="U1060" i="4" s="1"/>
  <c r="T1059" i="4"/>
  <c r="U1059" i="4" s="1"/>
  <c r="T1058" i="4"/>
  <c r="U1058" i="4" s="1"/>
  <c r="T1057" i="4"/>
  <c r="U1057" i="4" s="1"/>
  <c r="T1056" i="4"/>
  <c r="U1056" i="4" s="1"/>
  <c r="T1055" i="4"/>
  <c r="U1055" i="4" s="1"/>
  <c r="T1054" i="4"/>
  <c r="U1054" i="4" s="1"/>
  <c r="T1053" i="4"/>
  <c r="U1053" i="4" s="1"/>
  <c r="T1052" i="4"/>
  <c r="U1052" i="4" s="1"/>
  <c r="T1051" i="4"/>
  <c r="U1051" i="4" s="1"/>
  <c r="T1050" i="4"/>
  <c r="U1050" i="4" s="1"/>
  <c r="T1049" i="4"/>
  <c r="U1049" i="4" s="1"/>
  <c r="T1048" i="4"/>
  <c r="U1048" i="4" s="1"/>
  <c r="T1047" i="4"/>
  <c r="U1047" i="4" s="1"/>
  <c r="T1046" i="4"/>
  <c r="U1046" i="4" s="1"/>
  <c r="T1045" i="4"/>
  <c r="U1045" i="4" s="1"/>
  <c r="T1044" i="4"/>
  <c r="U1044" i="4" s="1"/>
  <c r="T1043" i="4"/>
  <c r="U1043" i="4" s="1"/>
  <c r="T1042" i="4"/>
  <c r="U1042" i="4" s="1"/>
  <c r="T1041" i="4"/>
  <c r="U1041" i="4" s="1"/>
  <c r="T1040" i="4"/>
  <c r="U1040" i="4" s="1"/>
  <c r="T1039" i="4"/>
  <c r="U1039" i="4" s="1"/>
  <c r="T1038" i="4"/>
  <c r="U1038" i="4" s="1"/>
  <c r="T1037" i="4"/>
  <c r="U1037" i="4" s="1"/>
  <c r="T1036" i="4"/>
  <c r="U1036" i="4" s="1"/>
  <c r="T1035" i="4"/>
  <c r="U1035" i="4" s="1"/>
  <c r="T1034" i="4"/>
  <c r="U1034" i="4" s="1"/>
  <c r="T1033" i="4"/>
  <c r="U1033" i="4" s="1"/>
  <c r="T1032" i="4"/>
  <c r="U1032" i="4" s="1"/>
  <c r="T1031" i="4"/>
  <c r="U1031" i="4" s="1"/>
  <c r="T1030" i="4"/>
  <c r="U1030" i="4" s="1"/>
  <c r="T1029" i="4"/>
  <c r="U1029" i="4" s="1"/>
  <c r="T1028" i="4"/>
  <c r="U1028" i="4" s="1"/>
  <c r="T1027" i="4"/>
  <c r="U1027" i="4" s="1"/>
  <c r="T1026" i="4"/>
  <c r="U1026" i="4" s="1"/>
  <c r="T1025" i="4"/>
  <c r="U1025" i="4" s="1"/>
  <c r="T1024" i="4"/>
  <c r="U1024" i="4" s="1"/>
  <c r="T1023" i="4"/>
  <c r="U1023" i="4" s="1"/>
  <c r="T1022" i="4"/>
  <c r="U1022" i="4" s="1"/>
  <c r="T1021" i="4"/>
  <c r="U1021" i="4" s="1"/>
  <c r="T1020" i="4"/>
  <c r="U1020" i="4" s="1"/>
  <c r="T1019" i="4"/>
  <c r="U1019" i="4" s="1"/>
  <c r="T1018" i="4"/>
  <c r="U1018" i="4" s="1"/>
  <c r="T1017" i="4"/>
  <c r="U1017" i="4" s="1"/>
  <c r="T1016" i="4"/>
  <c r="U1016" i="4" s="1"/>
  <c r="T1015" i="4"/>
  <c r="U1015" i="4" s="1"/>
  <c r="T1014" i="4"/>
  <c r="U1014" i="4" s="1"/>
  <c r="T1013" i="4"/>
  <c r="U1013" i="4" s="1"/>
  <c r="T1012" i="4"/>
  <c r="U1012" i="4" s="1"/>
  <c r="T1011" i="4"/>
  <c r="U1011" i="4" s="1"/>
  <c r="T1010" i="4"/>
  <c r="U1010" i="4" s="1"/>
  <c r="T1009" i="4"/>
  <c r="U1009" i="4" s="1"/>
  <c r="T1008" i="4"/>
  <c r="U1008" i="4" s="1"/>
  <c r="T1007" i="4"/>
  <c r="U1007" i="4" s="1"/>
  <c r="T1006" i="4"/>
  <c r="U1006" i="4" s="1"/>
  <c r="T1005" i="4"/>
  <c r="U1005" i="4" s="1"/>
  <c r="T1004" i="4"/>
  <c r="U1004" i="4" s="1"/>
  <c r="T1003" i="4"/>
  <c r="U1003" i="4" s="1"/>
  <c r="T1002" i="4"/>
  <c r="U1002" i="4" s="1"/>
  <c r="T1001" i="4"/>
  <c r="U1001" i="4" s="1"/>
  <c r="T1000" i="4"/>
  <c r="U1000" i="4" s="1"/>
  <c r="T999" i="4"/>
  <c r="U999" i="4" s="1"/>
  <c r="T998" i="4"/>
  <c r="U998" i="4" s="1"/>
  <c r="T997" i="4"/>
  <c r="U997" i="4" s="1"/>
  <c r="T996" i="4"/>
  <c r="U996" i="4" s="1"/>
  <c r="T995" i="4"/>
  <c r="U995" i="4" s="1"/>
  <c r="T994" i="4"/>
  <c r="U994" i="4" s="1"/>
  <c r="T993" i="4"/>
  <c r="U993" i="4" s="1"/>
  <c r="T992" i="4"/>
  <c r="U992" i="4" s="1"/>
  <c r="T991" i="4"/>
  <c r="U991" i="4" s="1"/>
  <c r="T990" i="4"/>
  <c r="U990" i="4" s="1"/>
  <c r="T989" i="4"/>
  <c r="U989" i="4" s="1"/>
  <c r="T988" i="4"/>
  <c r="U988" i="4" s="1"/>
  <c r="T987" i="4"/>
  <c r="U987" i="4" s="1"/>
  <c r="T986" i="4"/>
  <c r="U986" i="4" s="1"/>
  <c r="T985" i="4"/>
  <c r="U985" i="4" s="1"/>
  <c r="T984" i="4"/>
  <c r="U984" i="4" s="1"/>
  <c r="T983" i="4"/>
  <c r="U983" i="4" s="1"/>
  <c r="T982" i="4"/>
  <c r="U982" i="4" s="1"/>
  <c r="T981" i="4"/>
  <c r="U981" i="4" s="1"/>
  <c r="T980" i="4"/>
  <c r="U980" i="4" s="1"/>
  <c r="T979" i="4"/>
  <c r="U979" i="4" s="1"/>
  <c r="T978" i="4"/>
  <c r="U978" i="4" s="1"/>
  <c r="T977" i="4"/>
  <c r="U977" i="4" s="1"/>
  <c r="T976" i="4"/>
  <c r="U976" i="4" s="1"/>
  <c r="T975" i="4"/>
  <c r="U975" i="4" s="1"/>
  <c r="T974" i="4"/>
  <c r="U974" i="4" s="1"/>
  <c r="T973" i="4"/>
  <c r="U973" i="4" s="1"/>
  <c r="T972" i="4"/>
  <c r="U972" i="4" s="1"/>
  <c r="T971" i="4"/>
  <c r="U971" i="4" s="1"/>
  <c r="T970" i="4"/>
  <c r="U970" i="4" s="1"/>
  <c r="T969" i="4"/>
  <c r="U969" i="4" s="1"/>
  <c r="T968" i="4"/>
  <c r="U968" i="4" s="1"/>
  <c r="T967" i="4"/>
  <c r="U967" i="4" s="1"/>
  <c r="T966" i="4"/>
  <c r="U966" i="4" s="1"/>
  <c r="T965" i="4"/>
  <c r="U965" i="4" s="1"/>
  <c r="T964" i="4"/>
  <c r="U964" i="4" s="1"/>
  <c r="T963" i="4"/>
  <c r="U963" i="4" s="1"/>
  <c r="T962" i="4"/>
  <c r="U962" i="4" s="1"/>
  <c r="T961" i="4"/>
  <c r="U961" i="4" s="1"/>
  <c r="T960" i="4"/>
  <c r="U960" i="4" s="1"/>
  <c r="T959" i="4"/>
  <c r="U959" i="4" s="1"/>
  <c r="T958" i="4"/>
  <c r="U958" i="4" s="1"/>
  <c r="T957" i="4"/>
  <c r="U957" i="4" s="1"/>
  <c r="T956" i="4"/>
  <c r="U956" i="4" s="1"/>
  <c r="T955" i="4"/>
  <c r="U955" i="4" s="1"/>
  <c r="T954" i="4"/>
  <c r="U954" i="4" s="1"/>
  <c r="T953" i="4"/>
  <c r="U953" i="4" s="1"/>
  <c r="T952" i="4"/>
  <c r="U952" i="4" s="1"/>
  <c r="T951" i="4"/>
  <c r="U951" i="4" s="1"/>
  <c r="T950" i="4"/>
  <c r="U950" i="4" s="1"/>
  <c r="T949" i="4"/>
  <c r="U949" i="4" s="1"/>
  <c r="T948" i="4"/>
  <c r="U948" i="4" s="1"/>
  <c r="T947" i="4"/>
  <c r="U947" i="4" s="1"/>
  <c r="T946" i="4"/>
  <c r="U946" i="4" s="1"/>
  <c r="T945" i="4"/>
  <c r="U945" i="4" s="1"/>
  <c r="T944" i="4"/>
  <c r="U944" i="4" s="1"/>
  <c r="T943" i="4"/>
  <c r="U943" i="4" s="1"/>
  <c r="T942" i="4"/>
  <c r="U942" i="4" s="1"/>
  <c r="T941" i="4"/>
  <c r="U941" i="4" s="1"/>
  <c r="T940" i="4"/>
  <c r="U940" i="4" s="1"/>
  <c r="T939" i="4"/>
  <c r="U939" i="4" s="1"/>
  <c r="T938" i="4"/>
  <c r="U938" i="4" s="1"/>
  <c r="T937" i="4"/>
  <c r="U937" i="4" s="1"/>
  <c r="T936" i="4"/>
  <c r="U936" i="4" s="1"/>
  <c r="T935" i="4"/>
  <c r="U935" i="4" s="1"/>
  <c r="T934" i="4"/>
  <c r="U934" i="4" s="1"/>
  <c r="T933" i="4"/>
  <c r="U933" i="4" s="1"/>
  <c r="T932" i="4"/>
  <c r="U932" i="4" s="1"/>
  <c r="T931" i="4"/>
  <c r="U931" i="4" s="1"/>
  <c r="T930" i="4"/>
  <c r="U930" i="4" s="1"/>
  <c r="T929" i="4"/>
  <c r="U929" i="4" s="1"/>
  <c r="T928" i="4"/>
  <c r="U928" i="4" s="1"/>
  <c r="T927" i="4"/>
  <c r="U927" i="4" s="1"/>
  <c r="T926" i="4"/>
  <c r="U926" i="4" s="1"/>
  <c r="T925" i="4"/>
  <c r="U925" i="4" s="1"/>
  <c r="T924" i="4"/>
  <c r="U924" i="4" s="1"/>
  <c r="T923" i="4"/>
  <c r="U923" i="4" s="1"/>
  <c r="T922" i="4"/>
  <c r="U922" i="4" s="1"/>
  <c r="T921" i="4"/>
  <c r="U921" i="4" s="1"/>
  <c r="T920" i="4"/>
  <c r="U920" i="4" s="1"/>
  <c r="T919" i="4"/>
  <c r="U919" i="4" s="1"/>
  <c r="T918" i="4"/>
  <c r="U918" i="4" s="1"/>
  <c r="T917" i="4"/>
  <c r="U917" i="4" s="1"/>
  <c r="T916" i="4"/>
  <c r="U916" i="4" s="1"/>
  <c r="T915" i="4"/>
  <c r="U915" i="4" s="1"/>
  <c r="T914" i="4"/>
  <c r="U914" i="4" s="1"/>
  <c r="T913" i="4"/>
  <c r="U913" i="4" s="1"/>
  <c r="T912" i="4"/>
  <c r="U912" i="4" s="1"/>
  <c r="T911" i="4"/>
  <c r="U911" i="4" s="1"/>
  <c r="T910" i="4"/>
  <c r="U910" i="4" s="1"/>
  <c r="T909" i="4"/>
  <c r="U909" i="4" s="1"/>
  <c r="T908" i="4"/>
  <c r="U908" i="4" s="1"/>
  <c r="T907" i="4"/>
  <c r="U907" i="4" s="1"/>
  <c r="T906" i="4"/>
  <c r="U906" i="4" s="1"/>
  <c r="T905" i="4"/>
  <c r="U905" i="4" s="1"/>
  <c r="T904" i="4"/>
  <c r="U904" i="4" s="1"/>
  <c r="T903" i="4"/>
  <c r="U903" i="4" s="1"/>
  <c r="T902" i="4"/>
  <c r="U902" i="4" s="1"/>
  <c r="T901" i="4"/>
  <c r="U901" i="4" s="1"/>
  <c r="T900" i="4"/>
  <c r="U900" i="4" s="1"/>
  <c r="T899" i="4"/>
  <c r="U899" i="4" s="1"/>
  <c r="T898" i="4"/>
  <c r="U898" i="4" s="1"/>
  <c r="T897" i="4"/>
  <c r="U897" i="4" s="1"/>
  <c r="T896" i="4"/>
  <c r="U896" i="4" s="1"/>
  <c r="T895" i="4"/>
  <c r="U895" i="4" s="1"/>
  <c r="T894" i="4"/>
  <c r="U894" i="4" s="1"/>
  <c r="T893" i="4"/>
  <c r="U893" i="4" s="1"/>
  <c r="T892" i="4"/>
  <c r="U892" i="4" s="1"/>
  <c r="T891" i="4"/>
  <c r="U891" i="4" s="1"/>
  <c r="T890" i="4"/>
  <c r="U890" i="4" s="1"/>
  <c r="T889" i="4"/>
  <c r="U889" i="4" s="1"/>
  <c r="T888" i="4"/>
  <c r="U888" i="4" s="1"/>
  <c r="T887" i="4"/>
  <c r="U887" i="4" s="1"/>
  <c r="T886" i="4"/>
  <c r="U886" i="4" s="1"/>
  <c r="T885" i="4"/>
  <c r="U885" i="4" s="1"/>
  <c r="T884" i="4"/>
  <c r="U884" i="4" s="1"/>
  <c r="T883" i="4"/>
  <c r="U883" i="4" s="1"/>
  <c r="T882" i="4"/>
  <c r="U882" i="4" s="1"/>
  <c r="T881" i="4"/>
  <c r="U881" i="4" s="1"/>
  <c r="T880" i="4"/>
  <c r="U880" i="4" s="1"/>
  <c r="T879" i="4"/>
  <c r="U879" i="4" s="1"/>
  <c r="T878" i="4"/>
  <c r="U878" i="4" s="1"/>
  <c r="T877" i="4"/>
  <c r="U877" i="4" s="1"/>
  <c r="T876" i="4"/>
  <c r="U876" i="4" s="1"/>
  <c r="T875" i="4"/>
  <c r="U875" i="4" s="1"/>
  <c r="T874" i="4"/>
  <c r="U874" i="4" s="1"/>
  <c r="T873" i="4"/>
  <c r="U873" i="4" s="1"/>
  <c r="T872" i="4"/>
  <c r="U872" i="4" s="1"/>
  <c r="T871" i="4"/>
  <c r="U871" i="4" s="1"/>
  <c r="T870" i="4"/>
  <c r="U870" i="4" s="1"/>
  <c r="T869" i="4"/>
  <c r="U869" i="4" s="1"/>
  <c r="T868" i="4"/>
  <c r="U868" i="4" s="1"/>
  <c r="T867" i="4"/>
  <c r="U867" i="4" s="1"/>
  <c r="T866" i="4"/>
  <c r="U866" i="4" s="1"/>
  <c r="T865" i="4"/>
  <c r="U865" i="4" s="1"/>
  <c r="T864" i="4"/>
  <c r="U864" i="4" s="1"/>
  <c r="T863" i="4"/>
  <c r="U863" i="4" s="1"/>
  <c r="T862" i="4"/>
  <c r="U862" i="4" s="1"/>
  <c r="T861" i="4"/>
  <c r="U861" i="4" s="1"/>
  <c r="T860" i="4"/>
  <c r="U860" i="4" s="1"/>
  <c r="T859" i="4"/>
  <c r="U859" i="4" s="1"/>
  <c r="T858" i="4"/>
  <c r="U858" i="4" s="1"/>
  <c r="T857" i="4"/>
  <c r="U857" i="4" s="1"/>
  <c r="T856" i="4"/>
  <c r="U856" i="4" s="1"/>
  <c r="T855" i="4"/>
  <c r="U855" i="4" s="1"/>
  <c r="T854" i="4"/>
  <c r="U854" i="4" s="1"/>
  <c r="T853" i="4"/>
  <c r="U853" i="4" s="1"/>
  <c r="T852" i="4"/>
  <c r="U852" i="4" s="1"/>
  <c r="T851" i="4"/>
  <c r="U851" i="4" s="1"/>
  <c r="T850" i="4"/>
  <c r="U850" i="4" s="1"/>
  <c r="T849" i="4"/>
  <c r="U849" i="4" s="1"/>
  <c r="T848" i="4"/>
  <c r="U848" i="4" s="1"/>
  <c r="T847" i="4"/>
  <c r="U847" i="4" s="1"/>
  <c r="T846" i="4"/>
  <c r="U846" i="4" s="1"/>
  <c r="T845" i="4"/>
  <c r="U845" i="4" s="1"/>
  <c r="T844" i="4"/>
  <c r="U844" i="4" s="1"/>
  <c r="T843" i="4"/>
  <c r="U843" i="4" s="1"/>
  <c r="T842" i="4"/>
  <c r="U842" i="4" s="1"/>
  <c r="T841" i="4"/>
  <c r="U841" i="4" s="1"/>
  <c r="T840" i="4"/>
  <c r="U840" i="4" s="1"/>
  <c r="T839" i="4"/>
  <c r="U839" i="4" s="1"/>
  <c r="T838" i="4"/>
  <c r="U838" i="4" s="1"/>
  <c r="T837" i="4"/>
  <c r="U837" i="4" s="1"/>
  <c r="T836" i="4"/>
  <c r="U836" i="4" s="1"/>
  <c r="T835" i="4"/>
  <c r="U835" i="4" s="1"/>
  <c r="T834" i="4"/>
  <c r="U834" i="4" s="1"/>
  <c r="T833" i="4"/>
  <c r="U833" i="4" s="1"/>
  <c r="T832" i="4"/>
  <c r="U832" i="4" s="1"/>
  <c r="T831" i="4"/>
  <c r="U831" i="4" s="1"/>
  <c r="T830" i="4"/>
  <c r="U830" i="4" s="1"/>
  <c r="T829" i="4"/>
  <c r="U829" i="4" s="1"/>
  <c r="T828" i="4"/>
  <c r="U828" i="4" s="1"/>
  <c r="T827" i="4"/>
  <c r="U827" i="4" s="1"/>
  <c r="T826" i="4"/>
  <c r="U826" i="4" s="1"/>
  <c r="T825" i="4"/>
  <c r="U825" i="4" s="1"/>
  <c r="T824" i="4"/>
  <c r="U824" i="4" s="1"/>
  <c r="T823" i="4"/>
  <c r="U823" i="4" s="1"/>
  <c r="T822" i="4"/>
  <c r="U822" i="4" s="1"/>
  <c r="T821" i="4"/>
  <c r="U821" i="4" s="1"/>
  <c r="T820" i="4"/>
  <c r="U820" i="4" s="1"/>
  <c r="T819" i="4"/>
  <c r="U819" i="4" s="1"/>
  <c r="T818" i="4"/>
  <c r="U818" i="4" s="1"/>
  <c r="T817" i="4"/>
  <c r="U817" i="4" s="1"/>
  <c r="T816" i="4"/>
  <c r="U816" i="4" s="1"/>
  <c r="T815" i="4"/>
  <c r="U815" i="4" s="1"/>
  <c r="T814" i="4"/>
  <c r="U814" i="4" s="1"/>
  <c r="T813" i="4"/>
  <c r="U813" i="4" s="1"/>
  <c r="T812" i="4"/>
  <c r="U812" i="4" s="1"/>
  <c r="T811" i="4"/>
  <c r="U811" i="4" s="1"/>
  <c r="T810" i="4"/>
  <c r="U810" i="4" s="1"/>
  <c r="T809" i="4"/>
  <c r="U809" i="4" s="1"/>
  <c r="T808" i="4"/>
  <c r="U808" i="4" s="1"/>
  <c r="T807" i="4"/>
  <c r="U807" i="4" s="1"/>
  <c r="T806" i="4"/>
  <c r="U806" i="4" s="1"/>
  <c r="T805" i="4"/>
  <c r="U805" i="4" s="1"/>
  <c r="T804" i="4"/>
  <c r="U804" i="4" s="1"/>
  <c r="T803" i="4"/>
  <c r="U803" i="4" s="1"/>
  <c r="T802" i="4"/>
  <c r="U802" i="4" s="1"/>
  <c r="T801" i="4"/>
  <c r="U801" i="4" s="1"/>
  <c r="T800" i="4"/>
  <c r="U800" i="4" s="1"/>
  <c r="T799" i="4"/>
  <c r="U799" i="4" s="1"/>
  <c r="T798" i="4"/>
  <c r="U798" i="4" s="1"/>
  <c r="T797" i="4"/>
  <c r="U797" i="4" s="1"/>
  <c r="T796" i="4"/>
  <c r="U796" i="4" s="1"/>
  <c r="T795" i="4"/>
  <c r="U795" i="4" s="1"/>
  <c r="T794" i="4"/>
  <c r="U794" i="4" s="1"/>
  <c r="T793" i="4"/>
  <c r="U793" i="4" s="1"/>
  <c r="T792" i="4"/>
  <c r="U792" i="4" s="1"/>
  <c r="T791" i="4"/>
  <c r="U791" i="4" s="1"/>
  <c r="T790" i="4"/>
  <c r="U790" i="4" s="1"/>
  <c r="T789" i="4"/>
  <c r="U789" i="4" s="1"/>
  <c r="T788" i="4"/>
  <c r="U788" i="4" s="1"/>
  <c r="T787" i="4"/>
  <c r="U787" i="4" s="1"/>
  <c r="T786" i="4"/>
  <c r="U786" i="4" s="1"/>
  <c r="T785" i="4"/>
  <c r="U785" i="4" s="1"/>
  <c r="T784" i="4"/>
  <c r="U784" i="4" s="1"/>
  <c r="T783" i="4"/>
  <c r="U783" i="4" s="1"/>
  <c r="T782" i="4"/>
  <c r="U782" i="4" s="1"/>
  <c r="T781" i="4"/>
  <c r="U781" i="4" s="1"/>
  <c r="T780" i="4"/>
  <c r="U780" i="4" s="1"/>
  <c r="T779" i="4"/>
  <c r="U779" i="4" s="1"/>
  <c r="T778" i="4"/>
  <c r="U778" i="4" s="1"/>
  <c r="T777" i="4"/>
  <c r="U777" i="4" s="1"/>
  <c r="T776" i="4"/>
  <c r="U776" i="4" s="1"/>
  <c r="T775" i="4"/>
  <c r="U775" i="4" s="1"/>
  <c r="T774" i="4"/>
  <c r="U774" i="4" s="1"/>
  <c r="T773" i="4"/>
  <c r="U773" i="4" s="1"/>
  <c r="T772" i="4"/>
  <c r="U772" i="4" s="1"/>
  <c r="T771" i="4"/>
  <c r="U771" i="4" s="1"/>
  <c r="T770" i="4"/>
  <c r="U770" i="4" s="1"/>
  <c r="T769" i="4"/>
  <c r="U769" i="4" s="1"/>
  <c r="T768" i="4"/>
  <c r="U768" i="4" s="1"/>
  <c r="T767" i="4"/>
  <c r="U767" i="4" s="1"/>
  <c r="T766" i="4"/>
  <c r="U766" i="4" s="1"/>
  <c r="T765" i="4"/>
  <c r="U765" i="4" s="1"/>
  <c r="T764" i="4"/>
  <c r="U764" i="4" s="1"/>
  <c r="T763" i="4"/>
  <c r="U763" i="4" s="1"/>
  <c r="T762" i="4"/>
  <c r="U762" i="4" s="1"/>
  <c r="T761" i="4"/>
  <c r="U761" i="4" s="1"/>
  <c r="T760" i="4"/>
  <c r="U760" i="4" s="1"/>
  <c r="T759" i="4"/>
  <c r="U759" i="4" s="1"/>
  <c r="T758" i="4"/>
  <c r="U758" i="4" s="1"/>
  <c r="T757" i="4"/>
  <c r="U757" i="4" s="1"/>
  <c r="T756" i="4"/>
  <c r="U756" i="4" s="1"/>
  <c r="T755" i="4"/>
  <c r="U755" i="4" s="1"/>
  <c r="T754" i="4"/>
  <c r="U754" i="4" s="1"/>
  <c r="T753" i="4"/>
  <c r="U753" i="4" s="1"/>
  <c r="T752" i="4"/>
  <c r="U752" i="4" s="1"/>
  <c r="T751" i="4"/>
  <c r="U751" i="4" s="1"/>
  <c r="T750" i="4"/>
  <c r="U750" i="4" s="1"/>
  <c r="T749" i="4"/>
  <c r="U749" i="4" s="1"/>
  <c r="T748" i="4"/>
  <c r="U748" i="4" s="1"/>
  <c r="T747" i="4"/>
  <c r="U747" i="4" s="1"/>
  <c r="T746" i="4"/>
  <c r="U746" i="4" s="1"/>
  <c r="T745" i="4"/>
  <c r="U745" i="4" s="1"/>
  <c r="T744" i="4"/>
  <c r="U744" i="4" s="1"/>
  <c r="T743" i="4"/>
  <c r="U743" i="4" s="1"/>
  <c r="T742" i="4"/>
  <c r="U742" i="4" s="1"/>
  <c r="T741" i="4"/>
  <c r="U741" i="4" s="1"/>
  <c r="T740" i="4"/>
  <c r="U740" i="4" s="1"/>
  <c r="T739" i="4"/>
  <c r="U739" i="4" s="1"/>
  <c r="T738" i="4"/>
  <c r="U738" i="4" s="1"/>
  <c r="T737" i="4"/>
  <c r="U737" i="4" s="1"/>
  <c r="T736" i="4"/>
  <c r="U736" i="4" s="1"/>
  <c r="T735" i="4"/>
  <c r="U735" i="4" s="1"/>
  <c r="T734" i="4"/>
  <c r="U734" i="4" s="1"/>
  <c r="T733" i="4"/>
  <c r="U733" i="4" s="1"/>
  <c r="T732" i="4"/>
  <c r="U732" i="4" s="1"/>
  <c r="T731" i="4"/>
  <c r="U731" i="4" s="1"/>
  <c r="T730" i="4"/>
  <c r="U730" i="4" s="1"/>
  <c r="T729" i="4"/>
  <c r="U729" i="4" s="1"/>
  <c r="T728" i="4"/>
  <c r="U728" i="4" s="1"/>
  <c r="T727" i="4"/>
  <c r="U727" i="4" s="1"/>
  <c r="T726" i="4"/>
  <c r="U726" i="4" s="1"/>
  <c r="T725" i="4"/>
  <c r="U725" i="4" s="1"/>
  <c r="T724" i="4"/>
  <c r="U724" i="4" s="1"/>
  <c r="T723" i="4"/>
  <c r="U723" i="4" s="1"/>
  <c r="T722" i="4"/>
  <c r="U722" i="4" s="1"/>
  <c r="T721" i="4"/>
  <c r="U721" i="4" s="1"/>
  <c r="T720" i="4"/>
  <c r="U720" i="4" s="1"/>
  <c r="T719" i="4"/>
  <c r="U719" i="4" s="1"/>
  <c r="T718" i="4"/>
  <c r="U718" i="4" s="1"/>
  <c r="T717" i="4"/>
  <c r="U717" i="4" s="1"/>
  <c r="T716" i="4"/>
  <c r="U716" i="4" s="1"/>
  <c r="T715" i="4"/>
  <c r="U715" i="4" s="1"/>
  <c r="T714" i="4"/>
  <c r="U714" i="4" s="1"/>
  <c r="T713" i="4"/>
  <c r="U713" i="4" s="1"/>
  <c r="T712" i="4"/>
  <c r="U712" i="4" s="1"/>
  <c r="T711" i="4"/>
  <c r="U711" i="4" s="1"/>
  <c r="T710" i="4"/>
  <c r="U710" i="4" s="1"/>
  <c r="T709" i="4"/>
  <c r="U709" i="4" s="1"/>
  <c r="T708" i="4"/>
  <c r="U708" i="4" s="1"/>
  <c r="T707" i="4"/>
  <c r="U707" i="4" s="1"/>
  <c r="T706" i="4"/>
  <c r="U706" i="4" s="1"/>
  <c r="T705" i="4"/>
  <c r="U705" i="4" s="1"/>
  <c r="T704" i="4"/>
  <c r="U704" i="4" s="1"/>
  <c r="T703" i="4"/>
  <c r="U703" i="4" s="1"/>
  <c r="T702" i="4"/>
  <c r="U702" i="4" s="1"/>
  <c r="T701" i="4"/>
  <c r="U701" i="4" s="1"/>
  <c r="T700" i="4"/>
  <c r="U700" i="4" s="1"/>
  <c r="T699" i="4"/>
  <c r="U699" i="4" s="1"/>
  <c r="T698" i="4"/>
  <c r="U698" i="4" s="1"/>
  <c r="T697" i="4"/>
  <c r="U697" i="4" s="1"/>
  <c r="T696" i="4"/>
  <c r="U696" i="4" s="1"/>
  <c r="T695" i="4"/>
  <c r="U695" i="4" s="1"/>
  <c r="T694" i="4"/>
  <c r="U694" i="4" s="1"/>
  <c r="T693" i="4"/>
  <c r="U693" i="4" s="1"/>
  <c r="T692" i="4"/>
  <c r="U692" i="4" s="1"/>
  <c r="T691" i="4"/>
  <c r="U691" i="4" s="1"/>
  <c r="T690" i="4"/>
  <c r="U690" i="4" s="1"/>
  <c r="T689" i="4"/>
  <c r="U689" i="4" s="1"/>
  <c r="T688" i="4"/>
  <c r="U688" i="4" s="1"/>
  <c r="T687" i="4"/>
  <c r="U687" i="4" s="1"/>
  <c r="T686" i="4"/>
  <c r="U686" i="4" s="1"/>
  <c r="T685" i="4"/>
  <c r="U685" i="4" s="1"/>
  <c r="T684" i="4"/>
  <c r="U684" i="4" s="1"/>
  <c r="T683" i="4"/>
  <c r="U683" i="4" s="1"/>
  <c r="T682" i="4"/>
  <c r="U682" i="4" s="1"/>
  <c r="T681" i="4"/>
  <c r="U681" i="4" s="1"/>
  <c r="T680" i="4"/>
  <c r="U680" i="4" s="1"/>
  <c r="T679" i="4"/>
  <c r="U679" i="4" s="1"/>
  <c r="T678" i="4"/>
  <c r="U678" i="4" s="1"/>
  <c r="T677" i="4"/>
  <c r="U677" i="4" s="1"/>
  <c r="T676" i="4"/>
  <c r="U676" i="4" s="1"/>
  <c r="T675" i="4"/>
  <c r="U675" i="4" s="1"/>
  <c r="T674" i="4"/>
  <c r="U674" i="4" s="1"/>
  <c r="T673" i="4"/>
  <c r="U673" i="4" s="1"/>
  <c r="T672" i="4"/>
  <c r="U672" i="4" s="1"/>
  <c r="T671" i="4"/>
  <c r="U671" i="4" s="1"/>
  <c r="T670" i="4"/>
  <c r="U670" i="4" s="1"/>
  <c r="T669" i="4"/>
  <c r="U669" i="4" s="1"/>
  <c r="T668" i="4"/>
  <c r="U668" i="4" s="1"/>
  <c r="T667" i="4"/>
  <c r="U667" i="4" s="1"/>
  <c r="T666" i="4"/>
  <c r="U666" i="4" s="1"/>
  <c r="T665" i="4"/>
  <c r="U665" i="4" s="1"/>
  <c r="T664" i="4"/>
  <c r="U664" i="4" s="1"/>
  <c r="T663" i="4"/>
  <c r="U663" i="4" s="1"/>
  <c r="T662" i="4"/>
  <c r="U662" i="4" s="1"/>
  <c r="T661" i="4"/>
  <c r="U661" i="4" s="1"/>
  <c r="T660" i="4"/>
  <c r="U660" i="4" s="1"/>
  <c r="T659" i="4"/>
  <c r="U659" i="4" s="1"/>
  <c r="T658" i="4"/>
  <c r="U658" i="4" s="1"/>
  <c r="T657" i="4"/>
  <c r="U657" i="4" s="1"/>
  <c r="T656" i="4"/>
  <c r="U656" i="4" s="1"/>
  <c r="T655" i="4"/>
  <c r="U655" i="4" s="1"/>
  <c r="T654" i="4"/>
  <c r="U654" i="4" s="1"/>
  <c r="T653" i="4"/>
  <c r="U653" i="4" s="1"/>
  <c r="T652" i="4"/>
  <c r="U652" i="4" s="1"/>
  <c r="T651" i="4"/>
  <c r="U651" i="4" s="1"/>
  <c r="T650" i="4"/>
  <c r="U650" i="4" s="1"/>
  <c r="T649" i="4"/>
  <c r="U649" i="4" s="1"/>
  <c r="T648" i="4"/>
  <c r="U648" i="4" s="1"/>
  <c r="T647" i="4"/>
  <c r="U647" i="4" s="1"/>
  <c r="T646" i="4"/>
  <c r="U646" i="4" s="1"/>
  <c r="T645" i="4"/>
  <c r="U645" i="4" s="1"/>
  <c r="T644" i="4"/>
  <c r="U644" i="4" s="1"/>
  <c r="T643" i="4"/>
  <c r="U643" i="4" s="1"/>
  <c r="T642" i="4"/>
  <c r="U642" i="4" s="1"/>
  <c r="T641" i="4"/>
  <c r="U641" i="4" s="1"/>
  <c r="T640" i="4"/>
  <c r="U640" i="4" s="1"/>
  <c r="T639" i="4"/>
  <c r="U639" i="4" s="1"/>
  <c r="T638" i="4"/>
  <c r="U638" i="4" s="1"/>
  <c r="T637" i="4"/>
  <c r="U637" i="4" s="1"/>
  <c r="T636" i="4"/>
  <c r="U636" i="4" s="1"/>
  <c r="T635" i="4"/>
  <c r="U635" i="4" s="1"/>
  <c r="T634" i="4"/>
  <c r="U634" i="4" s="1"/>
  <c r="T633" i="4"/>
  <c r="U633" i="4" s="1"/>
  <c r="T632" i="4"/>
  <c r="U632" i="4" s="1"/>
  <c r="T631" i="4"/>
  <c r="U631" i="4" s="1"/>
  <c r="T630" i="4"/>
  <c r="U630" i="4" s="1"/>
  <c r="T629" i="4"/>
  <c r="U629" i="4" s="1"/>
  <c r="T628" i="4"/>
  <c r="U628" i="4" s="1"/>
  <c r="T627" i="4"/>
  <c r="U627" i="4" s="1"/>
  <c r="T626" i="4"/>
  <c r="U626" i="4" s="1"/>
  <c r="T625" i="4"/>
  <c r="U625" i="4" s="1"/>
  <c r="T624" i="4"/>
  <c r="U624" i="4" s="1"/>
  <c r="T623" i="4"/>
  <c r="U623" i="4" s="1"/>
  <c r="T622" i="4"/>
  <c r="U622" i="4" s="1"/>
  <c r="T621" i="4"/>
  <c r="U621" i="4" s="1"/>
  <c r="T620" i="4"/>
  <c r="U620" i="4" s="1"/>
  <c r="T619" i="4"/>
  <c r="U619" i="4" s="1"/>
  <c r="T618" i="4"/>
  <c r="U618" i="4" s="1"/>
  <c r="T617" i="4"/>
  <c r="U617" i="4" s="1"/>
  <c r="T616" i="4"/>
  <c r="U616" i="4" s="1"/>
  <c r="T615" i="4"/>
  <c r="U615" i="4" s="1"/>
  <c r="T614" i="4"/>
  <c r="U614" i="4" s="1"/>
  <c r="T613" i="4"/>
  <c r="U613" i="4" s="1"/>
  <c r="T612" i="4"/>
  <c r="U612" i="4" s="1"/>
  <c r="T611" i="4"/>
  <c r="U611" i="4" s="1"/>
  <c r="T610" i="4"/>
  <c r="U610" i="4" s="1"/>
  <c r="T609" i="4"/>
  <c r="U609" i="4" s="1"/>
  <c r="T608" i="4"/>
  <c r="U608" i="4" s="1"/>
  <c r="T607" i="4"/>
  <c r="U607" i="4" s="1"/>
  <c r="T606" i="4"/>
  <c r="U606" i="4" s="1"/>
  <c r="T605" i="4"/>
  <c r="U605" i="4" s="1"/>
  <c r="T604" i="4"/>
  <c r="U604" i="4" s="1"/>
  <c r="T603" i="4"/>
  <c r="U603" i="4" s="1"/>
  <c r="T602" i="4"/>
  <c r="U602" i="4" s="1"/>
  <c r="T601" i="4"/>
  <c r="U601" i="4" s="1"/>
  <c r="T600" i="4"/>
  <c r="U600" i="4" s="1"/>
  <c r="T599" i="4"/>
  <c r="U599" i="4" s="1"/>
  <c r="T598" i="4"/>
  <c r="U598" i="4" s="1"/>
  <c r="T597" i="4"/>
  <c r="U597" i="4" s="1"/>
  <c r="T596" i="4"/>
  <c r="U596" i="4" s="1"/>
  <c r="T595" i="4"/>
  <c r="U595" i="4" s="1"/>
  <c r="T594" i="4"/>
  <c r="U594" i="4" s="1"/>
  <c r="T593" i="4"/>
  <c r="U593" i="4" s="1"/>
  <c r="T592" i="4"/>
  <c r="U592" i="4" s="1"/>
  <c r="T591" i="4"/>
  <c r="U591" i="4" s="1"/>
  <c r="T590" i="4"/>
  <c r="U590" i="4" s="1"/>
  <c r="T589" i="4"/>
  <c r="U589" i="4" s="1"/>
  <c r="T588" i="4"/>
  <c r="U588" i="4" s="1"/>
  <c r="T587" i="4"/>
  <c r="U587" i="4" s="1"/>
  <c r="T586" i="4"/>
  <c r="U586" i="4" s="1"/>
  <c r="T585" i="4"/>
  <c r="U585" i="4" s="1"/>
  <c r="T584" i="4"/>
  <c r="U584" i="4" s="1"/>
  <c r="T583" i="4"/>
  <c r="U583" i="4" s="1"/>
  <c r="T582" i="4"/>
  <c r="U582" i="4" s="1"/>
  <c r="T581" i="4"/>
  <c r="U581" i="4" s="1"/>
  <c r="T580" i="4"/>
  <c r="U580" i="4" s="1"/>
  <c r="T579" i="4"/>
  <c r="U579" i="4" s="1"/>
  <c r="T578" i="4"/>
  <c r="U578" i="4" s="1"/>
  <c r="T577" i="4"/>
  <c r="U577" i="4" s="1"/>
  <c r="T576" i="4"/>
  <c r="U576" i="4" s="1"/>
  <c r="T575" i="4"/>
  <c r="U575" i="4" s="1"/>
  <c r="T574" i="4"/>
  <c r="U574" i="4" s="1"/>
  <c r="T573" i="4"/>
  <c r="U573" i="4" s="1"/>
  <c r="T572" i="4"/>
  <c r="U572" i="4" s="1"/>
  <c r="T571" i="4"/>
  <c r="U571" i="4" s="1"/>
  <c r="T570" i="4"/>
  <c r="U570" i="4" s="1"/>
  <c r="T569" i="4"/>
  <c r="U569" i="4" s="1"/>
  <c r="T568" i="4"/>
  <c r="U568" i="4" s="1"/>
  <c r="T567" i="4"/>
  <c r="U567" i="4" s="1"/>
  <c r="T566" i="4"/>
  <c r="U566" i="4" s="1"/>
  <c r="T565" i="4"/>
  <c r="U565" i="4" s="1"/>
  <c r="T564" i="4"/>
  <c r="U564" i="4" s="1"/>
  <c r="T563" i="4"/>
  <c r="U563" i="4" s="1"/>
  <c r="T562" i="4"/>
  <c r="U562" i="4" s="1"/>
  <c r="T561" i="4"/>
  <c r="U561" i="4" s="1"/>
  <c r="T560" i="4"/>
  <c r="U560" i="4" s="1"/>
  <c r="T559" i="4"/>
  <c r="U559" i="4" s="1"/>
  <c r="T558" i="4"/>
  <c r="U558" i="4" s="1"/>
  <c r="T557" i="4"/>
  <c r="U557" i="4" s="1"/>
  <c r="T556" i="4"/>
  <c r="U556" i="4" s="1"/>
  <c r="T555" i="4"/>
  <c r="U555" i="4" s="1"/>
  <c r="T554" i="4"/>
  <c r="U554" i="4" s="1"/>
  <c r="T553" i="4"/>
  <c r="U553" i="4" s="1"/>
  <c r="T552" i="4"/>
  <c r="U552" i="4" s="1"/>
  <c r="T551" i="4"/>
  <c r="U551" i="4" s="1"/>
  <c r="T550" i="4"/>
  <c r="U550" i="4" s="1"/>
  <c r="T549" i="4"/>
  <c r="U549" i="4" s="1"/>
  <c r="T548" i="4"/>
  <c r="U548" i="4" s="1"/>
  <c r="T547" i="4"/>
  <c r="U547" i="4" s="1"/>
  <c r="T546" i="4"/>
  <c r="U546" i="4" s="1"/>
  <c r="T545" i="4"/>
  <c r="U545" i="4" s="1"/>
  <c r="T544" i="4"/>
  <c r="U544" i="4" s="1"/>
  <c r="T543" i="4"/>
  <c r="U543" i="4" s="1"/>
  <c r="T542" i="4"/>
  <c r="U542" i="4" s="1"/>
  <c r="T541" i="4"/>
  <c r="U541" i="4" s="1"/>
  <c r="T540" i="4"/>
  <c r="U540" i="4" s="1"/>
  <c r="T539" i="4"/>
  <c r="U539" i="4" s="1"/>
  <c r="T538" i="4"/>
  <c r="U538" i="4" s="1"/>
  <c r="T537" i="4"/>
  <c r="U537" i="4" s="1"/>
  <c r="T536" i="4"/>
  <c r="U536" i="4" s="1"/>
  <c r="T535" i="4"/>
  <c r="U535" i="4" s="1"/>
  <c r="T534" i="4"/>
  <c r="U534" i="4" s="1"/>
  <c r="T533" i="4"/>
  <c r="U533" i="4" s="1"/>
  <c r="T532" i="4"/>
  <c r="U532" i="4" s="1"/>
  <c r="T531" i="4"/>
  <c r="U531" i="4" s="1"/>
  <c r="T530" i="4"/>
  <c r="U530" i="4" s="1"/>
  <c r="T529" i="4"/>
  <c r="U529" i="4" s="1"/>
  <c r="T528" i="4"/>
  <c r="U528" i="4" s="1"/>
  <c r="T527" i="4"/>
  <c r="U527" i="4" s="1"/>
  <c r="T526" i="4"/>
  <c r="U526" i="4" s="1"/>
  <c r="T525" i="4"/>
  <c r="U525" i="4" s="1"/>
  <c r="T524" i="4"/>
  <c r="U524" i="4" s="1"/>
  <c r="T523" i="4"/>
  <c r="U523" i="4" s="1"/>
  <c r="T522" i="4"/>
  <c r="U522" i="4" s="1"/>
  <c r="T521" i="4"/>
  <c r="U521" i="4" s="1"/>
  <c r="T520" i="4"/>
  <c r="U520" i="4" s="1"/>
  <c r="T519" i="4"/>
  <c r="U519" i="4" s="1"/>
  <c r="T518" i="4"/>
  <c r="U518" i="4" s="1"/>
  <c r="T517" i="4"/>
  <c r="U517" i="4" s="1"/>
  <c r="T516" i="4"/>
  <c r="U516" i="4" s="1"/>
  <c r="T515" i="4"/>
  <c r="U515" i="4" s="1"/>
  <c r="T514" i="4"/>
  <c r="U514" i="4" s="1"/>
  <c r="T513" i="4"/>
  <c r="U513" i="4" s="1"/>
  <c r="T512" i="4"/>
  <c r="U512" i="4" s="1"/>
  <c r="T511" i="4"/>
  <c r="U511" i="4" s="1"/>
  <c r="T510" i="4"/>
  <c r="U510" i="4" s="1"/>
  <c r="T509" i="4"/>
  <c r="U509" i="4" s="1"/>
  <c r="T508" i="4"/>
  <c r="U508" i="4" s="1"/>
  <c r="T507" i="4"/>
  <c r="U507" i="4" s="1"/>
  <c r="T506" i="4"/>
  <c r="U506" i="4" s="1"/>
  <c r="T505" i="4"/>
  <c r="U505" i="4" s="1"/>
  <c r="T504" i="4"/>
  <c r="U504" i="4" s="1"/>
  <c r="T503" i="4"/>
  <c r="U503" i="4" s="1"/>
  <c r="T502" i="4"/>
  <c r="U502" i="4" s="1"/>
  <c r="T501" i="4"/>
  <c r="U501" i="4" s="1"/>
  <c r="T500" i="4"/>
  <c r="U500" i="4" s="1"/>
  <c r="T499" i="4"/>
  <c r="U499" i="4" s="1"/>
  <c r="T498" i="4"/>
  <c r="U498" i="4" s="1"/>
  <c r="T497" i="4"/>
  <c r="U497" i="4" s="1"/>
  <c r="T496" i="4"/>
  <c r="U496" i="4" s="1"/>
  <c r="T495" i="4"/>
  <c r="U495" i="4" s="1"/>
  <c r="T494" i="4"/>
  <c r="U494" i="4" s="1"/>
  <c r="T493" i="4"/>
  <c r="U493" i="4" s="1"/>
  <c r="T492" i="4"/>
  <c r="U492" i="4" s="1"/>
  <c r="T491" i="4"/>
  <c r="U491" i="4" s="1"/>
  <c r="T490" i="4"/>
  <c r="U490" i="4" s="1"/>
  <c r="T489" i="4"/>
  <c r="U489" i="4" s="1"/>
  <c r="T488" i="4"/>
  <c r="U488" i="4" s="1"/>
  <c r="T487" i="4"/>
  <c r="U487" i="4" s="1"/>
  <c r="T486" i="4"/>
  <c r="U486" i="4" s="1"/>
  <c r="T485" i="4"/>
  <c r="U485" i="4" s="1"/>
  <c r="T484" i="4"/>
  <c r="U484" i="4" s="1"/>
  <c r="T483" i="4"/>
  <c r="U483" i="4" s="1"/>
  <c r="T482" i="4"/>
  <c r="U482" i="4" s="1"/>
  <c r="T481" i="4"/>
  <c r="U481" i="4" s="1"/>
  <c r="T480" i="4"/>
  <c r="U480" i="4" s="1"/>
  <c r="T479" i="4"/>
  <c r="U479" i="4" s="1"/>
  <c r="T478" i="4"/>
  <c r="U478" i="4" s="1"/>
  <c r="T477" i="4"/>
  <c r="U477" i="4" s="1"/>
  <c r="T476" i="4"/>
  <c r="U476" i="4" s="1"/>
  <c r="T475" i="4"/>
  <c r="U475" i="4" s="1"/>
  <c r="T474" i="4"/>
  <c r="U474" i="4" s="1"/>
  <c r="T473" i="4"/>
  <c r="U473" i="4" s="1"/>
  <c r="T472" i="4"/>
  <c r="U472" i="4" s="1"/>
  <c r="T471" i="4"/>
  <c r="U471" i="4" s="1"/>
  <c r="T470" i="4"/>
  <c r="U470" i="4" s="1"/>
  <c r="T469" i="4"/>
  <c r="U469" i="4" s="1"/>
  <c r="T468" i="4"/>
  <c r="U468" i="4" s="1"/>
  <c r="T467" i="4"/>
  <c r="U467" i="4" s="1"/>
  <c r="T466" i="4"/>
  <c r="U466" i="4" s="1"/>
  <c r="T465" i="4"/>
  <c r="U465" i="4" s="1"/>
  <c r="T464" i="4"/>
  <c r="U464" i="4" s="1"/>
  <c r="T463" i="4"/>
  <c r="U463" i="4" s="1"/>
  <c r="T462" i="4"/>
  <c r="U462" i="4" s="1"/>
  <c r="T461" i="4"/>
  <c r="U461" i="4" s="1"/>
  <c r="T460" i="4"/>
  <c r="U460" i="4" s="1"/>
  <c r="T459" i="4"/>
  <c r="U459" i="4" s="1"/>
  <c r="T458" i="4"/>
  <c r="U458" i="4" s="1"/>
  <c r="T457" i="4"/>
  <c r="U457" i="4" s="1"/>
  <c r="T456" i="4"/>
  <c r="U456" i="4" s="1"/>
  <c r="T455" i="4"/>
  <c r="U455" i="4" s="1"/>
  <c r="T454" i="4"/>
  <c r="U454" i="4" s="1"/>
  <c r="T453" i="4"/>
  <c r="U453" i="4" s="1"/>
  <c r="T452" i="4"/>
  <c r="U452" i="4" s="1"/>
  <c r="T451" i="4"/>
  <c r="U451" i="4" s="1"/>
  <c r="T450" i="4"/>
  <c r="U450" i="4" s="1"/>
  <c r="T449" i="4"/>
  <c r="U449" i="4" s="1"/>
  <c r="T448" i="4"/>
  <c r="U448" i="4" s="1"/>
  <c r="T447" i="4"/>
  <c r="U447" i="4" s="1"/>
  <c r="T446" i="4"/>
  <c r="U446" i="4" s="1"/>
  <c r="T445" i="4"/>
  <c r="U445" i="4" s="1"/>
  <c r="T444" i="4"/>
  <c r="U444" i="4" s="1"/>
  <c r="T443" i="4"/>
  <c r="U443" i="4" s="1"/>
  <c r="T442" i="4"/>
  <c r="U442" i="4" s="1"/>
  <c r="T441" i="4"/>
  <c r="U441" i="4" s="1"/>
  <c r="T440" i="4"/>
  <c r="U440" i="4" s="1"/>
  <c r="T439" i="4"/>
  <c r="U439" i="4" s="1"/>
  <c r="T438" i="4"/>
  <c r="U438" i="4" s="1"/>
  <c r="T437" i="4"/>
  <c r="U437" i="4" s="1"/>
  <c r="T436" i="4"/>
  <c r="U436" i="4" s="1"/>
  <c r="T435" i="4"/>
  <c r="U435" i="4" s="1"/>
  <c r="T434" i="4"/>
  <c r="U434" i="4" s="1"/>
  <c r="T433" i="4"/>
  <c r="U433" i="4" s="1"/>
  <c r="T432" i="4"/>
  <c r="U432" i="4" s="1"/>
  <c r="T431" i="4"/>
  <c r="U431" i="4" s="1"/>
  <c r="T430" i="4"/>
  <c r="U430" i="4" s="1"/>
  <c r="T429" i="4"/>
  <c r="U429" i="4" s="1"/>
  <c r="T428" i="4"/>
  <c r="U428" i="4" s="1"/>
  <c r="T427" i="4"/>
  <c r="U427" i="4" s="1"/>
  <c r="T426" i="4"/>
  <c r="U426" i="4" s="1"/>
  <c r="T425" i="4"/>
  <c r="U425" i="4" s="1"/>
  <c r="T424" i="4"/>
  <c r="U424" i="4" s="1"/>
  <c r="T423" i="4"/>
  <c r="U423" i="4" s="1"/>
  <c r="T422" i="4"/>
  <c r="U422" i="4" s="1"/>
  <c r="T421" i="4"/>
  <c r="U421" i="4" s="1"/>
  <c r="T420" i="4"/>
  <c r="U420" i="4" s="1"/>
  <c r="T419" i="4"/>
  <c r="U419" i="4" s="1"/>
  <c r="T418" i="4"/>
  <c r="U418" i="4" s="1"/>
  <c r="T417" i="4"/>
  <c r="U417" i="4" s="1"/>
  <c r="T416" i="4"/>
  <c r="U416" i="4" s="1"/>
  <c r="T415" i="4"/>
  <c r="U415" i="4" s="1"/>
  <c r="T414" i="4"/>
  <c r="U414" i="4" s="1"/>
  <c r="T413" i="4"/>
  <c r="U413" i="4" s="1"/>
  <c r="T412" i="4"/>
  <c r="U412" i="4" s="1"/>
  <c r="T411" i="4"/>
  <c r="U411" i="4" s="1"/>
  <c r="T410" i="4"/>
  <c r="U410" i="4" s="1"/>
  <c r="T409" i="4"/>
  <c r="U409" i="4" s="1"/>
  <c r="T408" i="4"/>
  <c r="U408" i="4" s="1"/>
  <c r="T407" i="4"/>
  <c r="U407" i="4" s="1"/>
  <c r="T406" i="4"/>
  <c r="U406" i="4" s="1"/>
  <c r="T405" i="4"/>
  <c r="U405" i="4" s="1"/>
  <c r="T404" i="4"/>
  <c r="U404" i="4" s="1"/>
  <c r="T403" i="4"/>
  <c r="U403" i="4" s="1"/>
  <c r="T402" i="4"/>
  <c r="U402" i="4" s="1"/>
  <c r="T401" i="4"/>
  <c r="U401" i="4" s="1"/>
  <c r="T400" i="4"/>
  <c r="U400" i="4" s="1"/>
  <c r="T399" i="4"/>
  <c r="U399" i="4" s="1"/>
  <c r="T398" i="4"/>
  <c r="U398" i="4" s="1"/>
  <c r="T397" i="4"/>
  <c r="U397" i="4" s="1"/>
  <c r="T396" i="4"/>
  <c r="U396" i="4" s="1"/>
  <c r="T395" i="4"/>
  <c r="U395" i="4" s="1"/>
  <c r="T394" i="4"/>
  <c r="U394" i="4" s="1"/>
  <c r="T393" i="4"/>
  <c r="U393" i="4" s="1"/>
  <c r="T392" i="4"/>
  <c r="U392" i="4" s="1"/>
  <c r="T391" i="4"/>
  <c r="U391" i="4" s="1"/>
  <c r="T390" i="4"/>
  <c r="U390" i="4" s="1"/>
  <c r="T389" i="4"/>
  <c r="U389" i="4" s="1"/>
  <c r="T388" i="4"/>
  <c r="U388" i="4" s="1"/>
  <c r="T387" i="4"/>
  <c r="U387" i="4" s="1"/>
  <c r="T386" i="4"/>
  <c r="U386" i="4" s="1"/>
  <c r="T385" i="4"/>
  <c r="U385" i="4" s="1"/>
  <c r="T384" i="4"/>
  <c r="U384" i="4" s="1"/>
  <c r="T383" i="4"/>
  <c r="U383" i="4" s="1"/>
  <c r="T382" i="4"/>
  <c r="U382" i="4" s="1"/>
  <c r="T381" i="4"/>
  <c r="U381" i="4" s="1"/>
  <c r="T380" i="4"/>
  <c r="U380" i="4" s="1"/>
  <c r="T379" i="4"/>
  <c r="U379" i="4" s="1"/>
  <c r="T378" i="4"/>
  <c r="U378" i="4" s="1"/>
  <c r="T377" i="4"/>
  <c r="U377" i="4" s="1"/>
  <c r="T376" i="4"/>
  <c r="U376" i="4" s="1"/>
  <c r="T375" i="4"/>
  <c r="U375" i="4" s="1"/>
  <c r="T374" i="4"/>
  <c r="U374" i="4" s="1"/>
  <c r="T373" i="4"/>
  <c r="U373" i="4" s="1"/>
  <c r="T372" i="4"/>
  <c r="U372" i="4" s="1"/>
  <c r="T371" i="4"/>
  <c r="U371" i="4" s="1"/>
  <c r="T370" i="4"/>
  <c r="U370" i="4" s="1"/>
  <c r="T369" i="4"/>
  <c r="U369" i="4" s="1"/>
  <c r="T368" i="4"/>
  <c r="U368" i="4" s="1"/>
  <c r="T367" i="4"/>
  <c r="U367" i="4" s="1"/>
  <c r="T366" i="4"/>
  <c r="U366" i="4" s="1"/>
  <c r="T365" i="4"/>
  <c r="U365" i="4" s="1"/>
  <c r="T364" i="4"/>
  <c r="U364" i="4" s="1"/>
  <c r="T363" i="4"/>
  <c r="U363" i="4" s="1"/>
  <c r="T362" i="4"/>
  <c r="U362" i="4" s="1"/>
  <c r="T361" i="4"/>
  <c r="U361" i="4" s="1"/>
  <c r="T360" i="4"/>
  <c r="U360" i="4" s="1"/>
  <c r="T359" i="4"/>
  <c r="U359" i="4" s="1"/>
  <c r="T358" i="4"/>
  <c r="U358" i="4" s="1"/>
  <c r="T357" i="4"/>
  <c r="U357" i="4" s="1"/>
  <c r="T356" i="4"/>
  <c r="U356" i="4" s="1"/>
  <c r="T355" i="4"/>
  <c r="U355" i="4" s="1"/>
  <c r="T354" i="4"/>
  <c r="U354" i="4" s="1"/>
  <c r="T353" i="4"/>
  <c r="U353" i="4" s="1"/>
  <c r="T352" i="4"/>
  <c r="U352" i="4" s="1"/>
  <c r="T351" i="4"/>
  <c r="U351" i="4" s="1"/>
  <c r="T350" i="4"/>
  <c r="U350" i="4" s="1"/>
  <c r="T349" i="4"/>
  <c r="U349" i="4" s="1"/>
  <c r="T348" i="4"/>
  <c r="U348" i="4" s="1"/>
  <c r="T347" i="4"/>
  <c r="U347" i="4" s="1"/>
  <c r="T346" i="4"/>
  <c r="U346" i="4" s="1"/>
  <c r="T345" i="4"/>
  <c r="U345" i="4" s="1"/>
  <c r="T344" i="4"/>
  <c r="U344" i="4" s="1"/>
  <c r="T343" i="4"/>
  <c r="U343" i="4" s="1"/>
  <c r="T342" i="4"/>
  <c r="U342" i="4" s="1"/>
  <c r="T341" i="4"/>
  <c r="U341" i="4" s="1"/>
  <c r="T340" i="4"/>
  <c r="U340" i="4" s="1"/>
  <c r="T339" i="4"/>
  <c r="U339" i="4" s="1"/>
  <c r="T338" i="4"/>
  <c r="U338" i="4" s="1"/>
  <c r="T337" i="4"/>
  <c r="U337" i="4" s="1"/>
  <c r="T336" i="4"/>
  <c r="U336" i="4" s="1"/>
  <c r="T335" i="4"/>
  <c r="U335" i="4" s="1"/>
  <c r="T334" i="4"/>
  <c r="U334" i="4" s="1"/>
  <c r="T333" i="4"/>
  <c r="U333" i="4" s="1"/>
  <c r="T332" i="4"/>
  <c r="U332" i="4" s="1"/>
  <c r="T331" i="4"/>
  <c r="U331" i="4" s="1"/>
  <c r="T330" i="4"/>
  <c r="U330" i="4" s="1"/>
  <c r="T329" i="4"/>
  <c r="U329" i="4" s="1"/>
  <c r="T328" i="4"/>
  <c r="U328" i="4" s="1"/>
  <c r="T327" i="4"/>
  <c r="U327" i="4" s="1"/>
  <c r="T326" i="4"/>
  <c r="U326" i="4" s="1"/>
  <c r="T325" i="4"/>
  <c r="U325" i="4" s="1"/>
  <c r="T324" i="4"/>
  <c r="U324" i="4" s="1"/>
  <c r="T323" i="4"/>
  <c r="U323" i="4" s="1"/>
  <c r="T322" i="4"/>
  <c r="U322" i="4" s="1"/>
  <c r="T321" i="4"/>
  <c r="U321" i="4" s="1"/>
  <c r="T320" i="4"/>
  <c r="U320" i="4" s="1"/>
  <c r="T319" i="4"/>
  <c r="U319" i="4" s="1"/>
  <c r="T318" i="4"/>
  <c r="U318" i="4" s="1"/>
  <c r="T317" i="4"/>
  <c r="U317" i="4" s="1"/>
  <c r="T316" i="4"/>
  <c r="U316" i="4" s="1"/>
  <c r="T315" i="4"/>
  <c r="U315" i="4" s="1"/>
  <c r="T314" i="4"/>
  <c r="U314" i="4" s="1"/>
  <c r="T313" i="4"/>
  <c r="U313" i="4" s="1"/>
  <c r="T312" i="4"/>
  <c r="U312" i="4" s="1"/>
  <c r="T311" i="4"/>
  <c r="U311" i="4" s="1"/>
  <c r="T310" i="4"/>
  <c r="U310" i="4" s="1"/>
  <c r="T309" i="4"/>
  <c r="U309" i="4" s="1"/>
  <c r="T308" i="4"/>
  <c r="U308" i="4" s="1"/>
  <c r="T307" i="4"/>
  <c r="U307" i="4" s="1"/>
  <c r="T306" i="4"/>
  <c r="U306" i="4" s="1"/>
  <c r="T305" i="4"/>
  <c r="U305" i="4" s="1"/>
  <c r="T304" i="4"/>
  <c r="U304" i="4" s="1"/>
  <c r="T303" i="4"/>
  <c r="U303" i="4" s="1"/>
  <c r="T302" i="4"/>
  <c r="U302" i="4" s="1"/>
  <c r="T301" i="4"/>
  <c r="U301" i="4" s="1"/>
  <c r="T300" i="4"/>
  <c r="U300" i="4" s="1"/>
  <c r="T299" i="4"/>
  <c r="U299" i="4" s="1"/>
  <c r="T298" i="4"/>
  <c r="U298" i="4" s="1"/>
  <c r="T297" i="4"/>
  <c r="U297" i="4" s="1"/>
  <c r="T296" i="4"/>
  <c r="U296" i="4" s="1"/>
  <c r="T295" i="4"/>
  <c r="U295" i="4" s="1"/>
  <c r="T294" i="4"/>
  <c r="U294" i="4" s="1"/>
  <c r="T293" i="4"/>
  <c r="U293" i="4" s="1"/>
  <c r="T292" i="4"/>
  <c r="U292" i="4" s="1"/>
  <c r="T291" i="4"/>
  <c r="U291" i="4" s="1"/>
  <c r="T290" i="4"/>
  <c r="U290" i="4" s="1"/>
  <c r="T289" i="4"/>
  <c r="U289" i="4" s="1"/>
  <c r="T288" i="4"/>
  <c r="U288" i="4" s="1"/>
  <c r="T287" i="4"/>
  <c r="U287" i="4" s="1"/>
  <c r="T286" i="4"/>
  <c r="U286" i="4" s="1"/>
  <c r="T285" i="4"/>
  <c r="U285" i="4" s="1"/>
  <c r="T284" i="4"/>
  <c r="U284" i="4" s="1"/>
  <c r="T283" i="4"/>
  <c r="U283" i="4" s="1"/>
  <c r="T282" i="4"/>
  <c r="U282" i="4" s="1"/>
  <c r="T281" i="4"/>
  <c r="U281" i="4" s="1"/>
  <c r="T280" i="4"/>
  <c r="U280" i="4" s="1"/>
  <c r="T279" i="4"/>
  <c r="U279" i="4" s="1"/>
  <c r="T278" i="4"/>
  <c r="U278" i="4" s="1"/>
  <c r="T277" i="4"/>
  <c r="U277" i="4" s="1"/>
  <c r="T276" i="4"/>
  <c r="U276" i="4" s="1"/>
  <c r="T275" i="4"/>
  <c r="U275" i="4" s="1"/>
  <c r="T274" i="4"/>
  <c r="U274" i="4" s="1"/>
  <c r="T273" i="4"/>
  <c r="U273" i="4" s="1"/>
  <c r="T272" i="4"/>
  <c r="U272" i="4" s="1"/>
  <c r="T271" i="4"/>
  <c r="U271" i="4" s="1"/>
  <c r="T270" i="4"/>
  <c r="U270" i="4" s="1"/>
  <c r="T269" i="4"/>
  <c r="U269" i="4" s="1"/>
  <c r="T268" i="4"/>
  <c r="U268" i="4" s="1"/>
  <c r="T267" i="4"/>
  <c r="U267" i="4" s="1"/>
  <c r="T266" i="4"/>
  <c r="U266" i="4" s="1"/>
  <c r="T265" i="4"/>
  <c r="U265" i="4" s="1"/>
  <c r="T264" i="4"/>
  <c r="U264" i="4" s="1"/>
  <c r="T263" i="4"/>
  <c r="U263" i="4" s="1"/>
  <c r="T262" i="4"/>
  <c r="U262" i="4" s="1"/>
  <c r="T261" i="4"/>
  <c r="U261" i="4" s="1"/>
  <c r="T260" i="4"/>
  <c r="U260" i="4" s="1"/>
  <c r="T259" i="4"/>
  <c r="U259" i="4" s="1"/>
  <c r="T258" i="4"/>
  <c r="U258" i="4" s="1"/>
  <c r="T257" i="4"/>
  <c r="U257" i="4" s="1"/>
  <c r="T256" i="4"/>
  <c r="U256" i="4" s="1"/>
  <c r="T255" i="4"/>
  <c r="U255" i="4" s="1"/>
  <c r="T254" i="4"/>
  <c r="U254" i="4" s="1"/>
  <c r="T253" i="4"/>
  <c r="U253" i="4" s="1"/>
  <c r="T252" i="4"/>
  <c r="U252" i="4" s="1"/>
  <c r="T251" i="4"/>
  <c r="U251" i="4" s="1"/>
  <c r="T250" i="4"/>
  <c r="U250" i="4" s="1"/>
  <c r="T249" i="4"/>
  <c r="U249" i="4" s="1"/>
  <c r="T248" i="4"/>
  <c r="U248" i="4" s="1"/>
  <c r="T247" i="4"/>
  <c r="U247" i="4" s="1"/>
  <c r="T246" i="4"/>
  <c r="U246" i="4" s="1"/>
  <c r="T245" i="4"/>
  <c r="U245" i="4" s="1"/>
  <c r="T244" i="4"/>
  <c r="U244" i="4" s="1"/>
  <c r="T243" i="4"/>
  <c r="U243" i="4" s="1"/>
  <c r="T242" i="4"/>
  <c r="U242" i="4" s="1"/>
  <c r="T241" i="4"/>
  <c r="U241" i="4" s="1"/>
  <c r="T240" i="4"/>
  <c r="U240" i="4" s="1"/>
  <c r="T239" i="4"/>
  <c r="U239" i="4" s="1"/>
  <c r="T238" i="4"/>
  <c r="U238" i="4" s="1"/>
  <c r="T237" i="4"/>
  <c r="U237" i="4" s="1"/>
  <c r="T236" i="4"/>
  <c r="U236" i="4" s="1"/>
  <c r="T235" i="4"/>
  <c r="U235" i="4" s="1"/>
  <c r="T234" i="4"/>
  <c r="U234" i="4" s="1"/>
  <c r="T233" i="4"/>
  <c r="U233" i="4" s="1"/>
  <c r="T232" i="4"/>
  <c r="U232" i="4" s="1"/>
  <c r="T231" i="4"/>
  <c r="U231" i="4" s="1"/>
  <c r="T230" i="4"/>
  <c r="U230" i="4" s="1"/>
  <c r="T229" i="4"/>
  <c r="U229" i="4" s="1"/>
  <c r="T228" i="4"/>
  <c r="U228" i="4" s="1"/>
  <c r="T227" i="4"/>
  <c r="U227" i="4" s="1"/>
  <c r="T226" i="4"/>
  <c r="U226" i="4" s="1"/>
  <c r="T225" i="4"/>
  <c r="U225" i="4" s="1"/>
  <c r="T224" i="4"/>
  <c r="U224" i="4" s="1"/>
  <c r="T223" i="4"/>
  <c r="U223" i="4" s="1"/>
  <c r="T222" i="4"/>
  <c r="U222" i="4" s="1"/>
  <c r="T221" i="4"/>
  <c r="U221" i="4" s="1"/>
  <c r="T220" i="4"/>
  <c r="U220" i="4" s="1"/>
  <c r="T219" i="4"/>
  <c r="U219" i="4" s="1"/>
  <c r="T218" i="4"/>
  <c r="U218" i="4" s="1"/>
  <c r="T217" i="4"/>
  <c r="U217" i="4" s="1"/>
  <c r="T216" i="4"/>
  <c r="U216" i="4" s="1"/>
  <c r="T215" i="4"/>
  <c r="U215" i="4" s="1"/>
  <c r="T214" i="4"/>
  <c r="U214" i="4" s="1"/>
  <c r="T213" i="4"/>
  <c r="U213" i="4" s="1"/>
  <c r="T212" i="4"/>
  <c r="U212" i="4" s="1"/>
  <c r="T211" i="4"/>
  <c r="U211" i="4" s="1"/>
  <c r="T210" i="4"/>
  <c r="U210" i="4" s="1"/>
  <c r="T209" i="4"/>
  <c r="U209" i="4" s="1"/>
  <c r="T208" i="4"/>
  <c r="U208" i="4" s="1"/>
  <c r="T207" i="4"/>
  <c r="U207" i="4" s="1"/>
  <c r="T206" i="4"/>
  <c r="U206" i="4" s="1"/>
  <c r="T205" i="4"/>
  <c r="U205" i="4" s="1"/>
  <c r="T204" i="4"/>
  <c r="U204" i="4" s="1"/>
  <c r="T203" i="4"/>
  <c r="U203" i="4" s="1"/>
  <c r="T202" i="4"/>
  <c r="U202" i="4" s="1"/>
  <c r="T201" i="4"/>
  <c r="U201" i="4" s="1"/>
  <c r="T200" i="4"/>
  <c r="U200" i="4" s="1"/>
  <c r="T199" i="4"/>
  <c r="U199" i="4" s="1"/>
  <c r="T198" i="4"/>
  <c r="U198" i="4" s="1"/>
  <c r="T197" i="4"/>
  <c r="U197" i="4" s="1"/>
  <c r="T196" i="4"/>
  <c r="U196" i="4" s="1"/>
  <c r="T195" i="4"/>
  <c r="U195" i="4" s="1"/>
  <c r="T194" i="4"/>
  <c r="U194" i="4" s="1"/>
  <c r="T193" i="4"/>
  <c r="U193" i="4" s="1"/>
  <c r="T192" i="4"/>
  <c r="U192" i="4" s="1"/>
  <c r="T191" i="4"/>
  <c r="U191" i="4" s="1"/>
  <c r="T190" i="4"/>
  <c r="U190" i="4" s="1"/>
  <c r="T189" i="4"/>
  <c r="U189" i="4" s="1"/>
  <c r="T188" i="4"/>
  <c r="U188" i="4" s="1"/>
  <c r="T187" i="4"/>
  <c r="U187" i="4" s="1"/>
  <c r="T186" i="4"/>
  <c r="U186" i="4" s="1"/>
  <c r="T185" i="4"/>
  <c r="U185" i="4" s="1"/>
  <c r="T184" i="4"/>
  <c r="U184" i="4" s="1"/>
  <c r="T183" i="4"/>
  <c r="U183" i="4" s="1"/>
  <c r="T182" i="4"/>
  <c r="U182" i="4" s="1"/>
  <c r="T181" i="4"/>
  <c r="U181" i="4" s="1"/>
  <c r="T180" i="4"/>
  <c r="U180" i="4" s="1"/>
  <c r="T179" i="4"/>
  <c r="U179" i="4" s="1"/>
  <c r="T178" i="4"/>
  <c r="U178" i="4" s="1"/>
  <c r="T177" i="4"/>
  <c r="U177" i="4" s="1"/>
  <c r="T176" i="4"/>
  <c r="U176" i="4" s="1"/>
  <c r="T175" i="4"/>
  <c r="U175" i="4" s="1"/>
  <c r="T174" i="4"/>
  <c r="U174" i="4" s="1"/>
  <c r="T173" i="4"/>
  <c r="U173" i="4" s="1"/>
  <c r="T172" i="4"/>
  <c r="U172" i="4" s="1"/>
  <c r="T171" i="4"/>
  <c r="U171" i="4" s="1"/>
  <c r="T170" i="4"/>
  <c r="U170" i="4" s="1"/>
  <c r="T169" i="4"/>
  <c r="U169" i="4" s="1"/>
  <c r="T168" i="4"/>
  <c r="U168" i="4" s="1"/>
  <c r="T167" i="4"/>
  <c r="U167" i="4" s="1"/>
  <c r="T166" i="4"/>
  <c r="U166" i="4" s="1"/>
  <c r="T165" i="4"/>
  <c r="U165" i="4" s="1"/>
  <c r="T164" i="4"/>
  <c r="U164" i="4" s="1"/>
  <c r="T163" i="4"/>
  <c r="U163" i="4" s="1"/>
  <c r="T162" i="4"/>
  <c r="U162" i="4" s="1"/>
  <c r="T161" i="4"/>
  <c r="U161" i="4" s="1"/>
  <c r="T160" i="4"/>
  <c r="U160" i="4" s="1"/>
  <c r="T159" i="4"/>
  <c r="U159" i="4" s="1"/>
  <c r="T158" i="4"/>
  <c r="U158" i="4" s="1"/>
  <c r="T157" i="4"/>
  <c r="U157" i="4" s="1"/>
  <c r="T156" i="4"/>
  <c r="U156" i="4" s="1"/>
  <c r="T155" i="4"/>
  <c r="U155" i="4" s="1"/>
  <c r="T154" i="4"/>
  <c r="U154" i="4" s="1"/>
  <c r="T153" i="4"/>
  <c r="U153" i="4" s="1"/>
  <c r="T152" i="4"/>
  <c r="U152" i="4" s="1"/>
  <c r="T151" i="4"/>
  <c r="U151" i="4" s="1"/>
  <c r="T150" i="4"/>
  <c r="U150" i="4" s="1"/>
  <c r="T149" i="4"/>
  <c r="U149" i="4" s="1"/>
  <c r="T148" i="4"/>
  <c r="U148" i="4" s="1"/>
  <c r="T147" i="4"/>
  <c r="U147" i="4" s="1"/>
  <c r="T146" i="4"/>
  <c r="U146" i="4" s="1"/>
  <c r="T145" i="4"/>
  <c r="U145" i="4" s="1"/>
  <c r="T144" i="4"/>
  <c r="U144" i="4" s="1"/>
  <c r="T143" i="4"/>
  <c r="U143" i="4" s="1"/>
  <c r="T142" i="4"/>
  <c r="U142" i="4" s="1"/>
  <c r="T141" i="4"/>
  <c r="U141" i="4" s="1"/>
  <c r="T140" i="4"/>
  <c r="U140" i="4" s="1"/>
  <c r="T139" i="4"/>
  <c r="U139" i="4" s="1"/>
  <c r="T138" i="4"/>
  <c r="U138" i="4" s="1"/>
  <c r="T137" i="4"/>
  <c r="U137" i="4" s="1"/>
  <c r="T136" i="4"/>
  <c r="U136" i="4" s="1"/>
  <c r="T135" i="4"/>
  <c r="U135" i="4" s="1"/>
  <c r="T134" i="4"/>
  <c r="U134" i="4" s="1"/>
  <c r="T133" i="4"/>
  <c r="U133" i="4" s="1"/>
  <c r="T132" i="4"/>
  <c r="U132" i="4" s="1"/>
  <c r="T131" i="4"/>
  <c r="U131" i="4" s="1"/>
  <c r="T130" i="4"/>
  <c r="U130" i="4" s="1"/>
  <c r="T129" i="4"/>
  <c r="U129" i="4" s="1"/>
  <c r="T128" i="4"/>
  <c r="U128" i="4" s="1"/>
  <c r="T127" i="4"/>
  <c r="U127" i="4" s="1"/>
  <c r="T126" i="4"/>
  <c r="U126" i="4" s="1"/>
  <c r="T125" i="4"/>
  <c r="U125" i="4" s="1"/>
  <c r="T124" i="4"/>
  <c r="U124" i="4" s="1"/>
  <c r="T123" i="4"/>
  <c r="U123" i="4" s="1"/>
  <c r="T122" i="4"/>
  <c r="U122" i="4" s="1"/>
  <c r="T121" i="4"/>
  <c r="U121" i="4" s="1"/>
  <c r="T120" i="4"/>
  <c r="U120" i="4" s="1"/>
  <c r="T119" i="4"/>
  <c r="U119" i="4" s="1"/>
  <c r="T118" i="4"/>
  <c r="U118" i="4" s="1"/>
  <c r="T117" i="4"/>
  <c r="U117" i="4" s="1"/>
  <c r="T116" i="4"/>
  <c r="U116" i="4" s="1"/>
  <c r="T115" i="4"/>
  <c r="U115" i="4" s="1"/>
  <c r="T114" i="4"/>
  <c r="U114" i="4" s="1"/>
  <c r="T113" i="4"/>
  <c r="U113" i="4" s="1"/>
  <c r="T112" i="4"/>
  <c r="U112" i="4" s="1"/>
  <c r="T111" i="4"/>
  <c r="U111" i="4" s="1"/>
  <c r="T110" i="4"/>
  <c r="U110" i="4" s="1"/>
  <c r="T109" i="4"/>
  <c r="U109" i="4" s="1"/>
  <c r="T108" i="4"/>
  <c r="U108" i="4" s="1"/>
  <c r="T107" i="4"/>
  <c r="U107" i="4" s="1"/>
  <c r="T106" i="4"/>
  <c r="U106" i="4" s="1"/>
  <c r="T105" i="4"/>
  <c r="U105" i="4" s="1"/>
  <c r="T104" i="4"/>
  <c r="U104" i="4" s="1"/>
  <c r="T103" i="4"/>
  <c r="U103" i="4" s="1"/>
  <c r="T102" i="4"/>
  <c r="U102" i="4" s="1"/>
  <c r="T101" i="4"/>
  <c r="U101" i="4" s="1"/>
  <c r="T100" i="4"/>
  <c r="U100" i="4" s="1"/>
  <c r="T99" i="4"/>
  <c r="U99" i="4" s="1"/>
  <c r="T98" i="4"/>
  <c r="U98" i="4" s="1"/>
  <c r="T97" i="4"/>
  <c r="U97" i="4" s="1"/>
  <c r="T96" i="4"/>
  <c r="U96" i="4" s="1"/>
  <c r="T95" i="4"/>
  <c r="U95" i="4" s="1"/>
  <c r="T94" i="4"/>
  <c r="U94" i="4" s="1"/>
  <c r="T93" i="4"/>
  <c r="U93" i="4" s="1"/>
  <c r="T92" i="4"/>
  <c r="U92" i="4" s="1"/>
  <c r="T91" i="4"/>
  <c r="U91" i="4" s="1"/>
  <c r="T90" i="4"/>
  <c r="U90" i="4" s="1"/>
  <c r="T89" i="4"/>
  <c r="U89" i="4" s="1"/>
  <c r="T88" i="4"/>
  <c r="U88" i="4" s="1"/>
  <c r="T87" i="4"/>
  <c r="U87" i="4" s="1"/>
  <c r="T86" i="4"/>
  <c r="U86" i="4" s="1"/>
  <c r="T85" i="4"/>
  <c r="U85" i="4" s="1"/>
  <c r="T84" i="4"/>
  <c r="U84" i="4" s="1"/>
  <c r="T83" i="4"/>
  <c r="U83" i="4" s="1"/>
  <c r="T82" i="4"/>
  <c r="U82" i="4" s="1"/>
  <c r="T81" i="4"/>
  <c r="U81" i="4" s="1"/>
  <c r="T80" i="4"/>
  <c r="U80" i="4" s="1"/>
  <c r="T79" i="4"/>
  <c r="U79" i="4" s="1"/>
  <c r="T78" i="4"/>
  <c r="U78" i="4" s="1"/>
  <c r="T77" i="4"/>
  <c r="U77" i="4" s="1"/>
  <c r="T76" i="4"/>
  <c r="U76" i="4" s="1"/>
  <c r="T75" i="4"/>
  <c r="U75" i="4" s="1"/>
  <c r="T74" i="4"/>
  <c r="U74" i="4" s="1"/>
  <c r="T73" i="4"/>
  <c r="U73" i="4" s="1"/>
  <c r="T72" i="4"/>
  <c r="U72" i="4" s="1"/>
  <c r="T71" i="4"/>
  <c r="U71" i="4" s="1"/>
  <c r="T70" i="4"/>
  <c r="U70" i="4" s="1"/>
  <c r="T69" i="4"/>
  <c r="U69" i="4" s="1"/>
  <c r="T68" i="4"/>
  <c r="U68" i="4" s="1"/>
  <c r="T67" i="4"/>
  <c r="U67" i="4" s="1"/>
  <c r="T66" i="4"/>
  <c r="U66" i="4" s="1"/>
  <c r="T65" i="4"/>
  <c r="U65" i="4" s="1"/>
  <c r="T64" i="4"/>
  <c r="U64" i="4" s="1"/>
  <c r="T63" i="4"/>
  <c r="U63" i="4" s="1"/>
  <c r="T62" i="4"/>
  <c r="U62" i="4" s="1"/>
  <c r="T61" i="4"/>
  <c r="U61" i="4" s="1"/>
  <c r="T60" i="4"/>
  <c r="U60" i="4" s="1"/>
  <c r="T59" i="4"/>
  <c r="U59" i="4" s="1"/>
  <c r="T58" i="4"/>
  <c r="U58" i="4" s="1"/>
  <c r="T57" i="4"/>
  <c r="U57" i="4" s="1"/>
  <c r="T56" i="4"/>
  <c r="U56" i="4" s="1"/>
  <c r="T55" i="4"/>
  <c r="U55" i="4" s="1"/>
  <c r="T54" i="4"/>
  <c r="U54" i="4" s="1"/>
  <c r="T53" i="4"/>
  <c r="U53" i="4" s="1"/>
  <c r="T52" i="4"/>
  <c r="U52" i="4" s="1"/>
  <c r="T51" i="4"/>
  <c r="U51" i="4" s="1"/>
  <c r="T50" i="4"/>
  <c r="U50" i="4" s="1"/>
  <c r="T49" i="4"/>
  <c r="U49" i="4" s="1"/>
  <c r="T48" i="4"/>
  <c r="U48" i="4" s="1"/>
  <c r="T47" i="4"/>
  <c r="U47" i="4" s="1"/>
  <c r="T46" i="4"/>
  <c r="U46" i="4" s="1"/>
  <c r="T45" i="4"/>
  <c r="U45" i="4" s="1"/>
  <c r="T44" i="4"/>
  <c r="U44" i="4" s="1"/>
  <c r="T43" i="4"/>
  <c r="U43" i="4" s="1"/>
  <c r="T42" i="4"/>
  <c r="U42" i="4" s="1"/>
  <c r="T41" i="4"/>
  <c r="U41" i="4" s="1"/>
  <c r="T40" i="4"/>
  <c r="U40" i="4" s="1"/>
  <c r="T39" i="4"/>
  <c r="U39" i="4" s="1"/>
  <c r="T38" i="4"/>
  <c r="U38" i="4" s="1"/>
  <c r="T37" i="4"/>
  <c r="U37" i="4" s="1"/>
  <c r="T36" i="4"/>
  <c r="U36" i="4" s="1"/>
  <c r="T35" i="4"/>
  <c r="U35" i="4" s="1"/>
  <c r="T34" i="4"/>
  <c r="U34" i="4" s="1"/>
  <c r="T33" i="4"/>
  <c r="U33" i="4" s="1"/>
  <c r="T32" i="4"/>
  <c r="U32" i="4" s="1"/>
  <c r="T31" i="4"/>
  <c r="U31" i="4" s="1"/>
  <c r="T30" i="4"/>
  <c r="U30" i="4" s="1"/>
  <c r="T29" i="4"/>
  <c r="U29" i="4" s="1"/>
  <c r="T28" i="4"/>
  <c r="U28" i="4" s="1"/>
  <c r="T27" i="4"/>
  <c r="U27" i="4" s="1"/>
  <c r="T26" i="4"/>
  <c r="U26" i="4" s="1"/>
  <c r="T25" i="4"/>
  <c r="U25" i="4" s="1"/>
  <c r="T24" i="4"/>
  <c r="U24" i="4" s="1"/>
  <c r="T23" i="4"/>
  <c r="U23" i="4" s="1"/>
  <c r="T22" i="4"/>
  <c r="U22" i="4" s="1"/>
  <c r="T21" i="4"/>
  <c r="U21" i="4" s="1"/>
  <c r="T20" i="4"/>
  <c r="U20" i="4" s="1"/>
  <c r="T19" i="4"/>
  <c r="U19" i="4" s="1"/>
  <c r="T18" i="4"/>
  <c r="U18" i="4" s="1"/>
  <c r="T17" i="4"/>
  <c r="U17" i="4" s="1"/>
  <c r="T16" i="4"/>
  <c r="U16" i="4" s="1"/>
  <c r="T15" i="4"/>
  <c r="U15" i="4" s="1"/>
  <c r="T14" i="4"/>
  <c r="U14" i="4" s="1"/>
  <c r="T13" i="4"/>
  <c r="U13" i="4" s="1"/>
  <c r="T12" i="4"/>
  <c r="U12" i="4" s="1"/>
  <c r="T11" i="4"/>
  <c r="U11" i="4" s="1"/>
  <c r="T10" i="4"/>
  <c r="U10" i="4" s="1"/>
  <c r="T2967" i="4" l="1"/>
  <c r="U2" i="4"/>
  <c r="U2967" i="4" s="1"/>
</calcChain>
</file>

<file path=xl/sharedStrings.xml><?xml version="1.0" encoding="utf-8"?>
<sst xmlns="http://schemas.openxmlformats.org/spreadsheetml/2006/main" count="60724" uniqueCount="15748">
  <si>
    <t>A</t>
  </si>
  <si>
    <t>1035_D0</t>
  </si>
  <si>
    <t>1023_D28</t>
  </si>
  <si>
    <t>1026_D0</t>
  </si>
  <si>
    <t>1028_D0</t>
  </si>
  <si>
    <t>1015_D28</t>
  </si>
  <si>
    <t>1010_*D28*</t>
  </si>
  <si>
    <t>1044-D28</t>
  </si>
  <si>
    <t>1068-D28</t>
  </si>
  <si>
    <t>B</t>
  </si>
  <si>
    <t>1044-D29</t>
  </si>
  <si>
    <t>1068-D29</t>
  </si>
  <si>
    <t>C</t>
  </si>
  <si>
    <t>1044-D30</t>
  </si>
  <si>
    <t>1068-D30</t>
  </si>
  <si>
    <t>D</t>
  </si>
  <si>
    <t>1044-D31</t>
  </si>
  <si>
    <t>1068-D31</t>
  </si>
  <si>
    <t>E</t>
  </si>
  <si>
    <t>1036_D0</t>
  </si>
  <si>
    <t>1032_D0</t>
  </si>
  <si>
    <t>1025_D0</t>
  </si>
  <si>
    <t>1027_D0</t>
  </si>
  <si>
    <t>1019_D28</t>
  </si>
  <si>
    <t>1025_D28</t>
  </si>
  <si>
    <t>1067-D28</t>
  </si>
  <si>
    <t>1009-D28</t>
  </si>
  <si>
    <t>1052-D28</t>
  </si>
  <si>
    <t>3009-D28</t>
  </si>
  <si>
    <t>F</t>
  </si>
  <si>
    <t>1067-D29</t>
  </si>
  <si>
    <t>1009-D29</t>
  </si>
  <si>
    <t>1052-D29</t>
  </si>
  <si>
    <t>3009-D29</t>
  </si>
  <si>
    <t>G</t>
  </si>
  <si>
    <t>1067-D30</t>
  </si>
  <si>
    <t>1009-D30</t>
  </si>
  <si>
    <t>1052-D30</t>
  </si>
  <si>
    <t>3009-D30</t>
  </si>
  <si>
    <t>H</t>
  </si>
  <si>
    <t>1067-D31</t>
  </si>
  <si>
    <t>1009-D31</t>
  </si>
  <si>
    <t>1052-D31</t>
  </si>
  <si>
    <t>3009-D31</t>
  </si>
  <si>
    <t>1031-D28</t>
  </si>
  <si>
    <t>1016-D28</t>
  </si>
  <si>
    <t>1030-D28</t>
  </si>
  <si>
    <t>1035-D28</t>
  </si>
  <si>
    <t>1011-D28</t>
  </si>
  <si>
    <t>3001 D28</t>
  </si>
  <si>
    <t>1018_D28</t>
  </si>
  <si>
    <t>1026-D28</t>
  </si>
  <si>
    <t>1017-D28</t>
  </si>
  <si>
    <t>1012-D28</t>
  </si>
  <si>
    <t>1014-D28</t>
  </si>
  <si>
    <t>1028-D28</t>
  </si>
  <si>
    <t>1024-D28</t>
  </si>
  <si>
    <t>1033-D28</t>
  </si>
  <si>
    <t>1072 D28</t>
  </si>
  <si>
    <t>1032-D28</t>
  </si>
  <si>
    <t>1027-D28</t>
  </si>
  <si>
    <t>1021-D28</t>
  </si>
  <si>
    <t>1010-D28</t>
  </si>
  <si>
    <t>1054 D28</t>
  </si>
  <si>
    <t>1055 D28</t>
  </si>
  <si>
    <t>1071 D28</t>
  </si>
  <si>
    <t>1076 D28</t>
  </si>
  <si>
    <t>1074 D28</t>
  </si>
  <si>
    <t>3018 D28</t>
  </si>
  <si>
    <t>3012 D28</t>
  </si>
  <si>
    <t>1021-D29</t>
  </si>
  <si>
    <t>1010-D29</t>
  </si>
  <si>
    <t>1021-D30</t>
  </si>
  <si>
    <t>1010-D30</t>
  </si>
  <si>
    <t>1021-D31</t>
  </si>
  <si>
    <t>1010-D31</t>
  </si>
  <si>
    <t>1036-D28</t>
  </si>
  <si>
    <t>1034-D28</t>
  </si>
  <si>
    <t>1040-D28</t>
  </si>
  <si>
    <t>3015 D28</t>
  </si>
  <si>
    <t>3023 D28</t>
  </si>
  <si>
    <t>1075 D28</t>
  </si>
  <si>
    <t>1078 D28</t>
  </si>
  <si>
    <t>3024 D28</t>
  </si>
  <si>
    <t>1040-D29</t>
  </si>
  <si>
    <t>1040-D30</t>
  </si>
  <si>
    <t>1040-D31</t>
  </si>
  <si>
    <t>3026 D28</t>
  </si>
  <si>
    <t>1087 D28</t>
  </si>
  <si>
    <t>3021 D28</t>
  </si>
  <si>
    <t>3030 D28</t>
  </si>
  <si>
    <t>1037-D28</t>
  </si>
  <si>
    <t>1081 D28</t>
  </si>
  <si>
    <t>3028 D28</t>
  </si>
  <si>
    <t>1086 D28</t>
  </si>
  <si>
    <t>1083 D28</t>
  </si>
  <si>
    <t>3027 D28</t>
  </si>
  <si>
    <t>1091 D28</t>
  </si>
  <si>
    <t>1043-D28</t>
  </si>
  <si>
    <t>1045-D28</t>
  </si>
  <si>
    <t>3031 D28</t>
  </si>
  <si>
    <t>1089 D28</t>
  </si>
  <si>
    <t>1093 D28</t>
  </si>
  <si>
    <t>3008 D28</t>
  </si>
  <si>
    <t>1046-D28</t>
  </si>
  <si>
    <t>1047-D28</t>
  </si>
  <si>
    <t>3032 D28</t>
  </si>
  <si>
    <t>1090 D28</t>
  </si>
  <si>
    <t>3010 D28</t>
  </si>
  <si>
    <t>1070 D28</t>
  </si>
  <si>
    <t>1060-D28</t>
  </si>
  <si>
    <t>1058-D28</t>
  </si>
  <si>
    <t>3002-D28</t>
  </si>
  <si>
    <t>3006-D28</t>
  </si>
  <si>
    <t>1063-D29</t>
  </si>
  <si>
    <t>3006-D29</t>
  </si>
  <si>
    <t>1063-D30</t>
  </si>
  <si>
    <t>3006-D30</t>
  </si>
  <si>
    <t>1063-D31</t>
  </si>
  <si>
    <t>3006-D31</t>
  </si>
  <si>
    <t>1063-D32</t>
  </si>
  <si>
    <t>1065-D28</t>
  </si>
  <si>
    <t>1053-D28</t>
  </si>
  <si>
    <t>1062-D28</t>
  </si>
  <si>
    <t>3003-D28</t>
  </si>
  <si>
    <t>1059-D28</t>
  </si>
  <si>
    <t>3003-D29</t>
  </si>
  <si>
    <t>1059-D29</t>
  </si>
  <si>
    <t>3003-D30</t>
  </si>
  <si>
    <t>1059-D30</t>
  </si>
  <si>
    <t>3003-D31</t>
  </si>
  <si>
    <t>1059-D31</t>
  </si>
  <si>
    <t>BOX 1</t>
  </si>
  <si>
    <t>BOX 2</t>
  </si>
  <si>
    <t>BOX 3</t>
  </si>
  <si>
    <t>BOX 4</t>
  </si>
  <si>
    <t>BOX 5</t>
  </si>
  <si>
    <t>ali</t>
  </si>
  <si>
    <t>BOX 6</t>
  </si>
  <si>
    <t>BOX 7</t>
  </si>
  <si>
    <t>BOX 8</t>
  </si>
  <si>
    <t>BOX 9</t>
  </si>
  <si>
    <t>BOX 10</t>
  </si>
  <si>
    <t>Shelf</t>
  </si>
  <si>
    <t>Box</t>
  </si>
  <si>
    <t>Row</t>
  </si>
  <si>
    <t>Column</t>
  </si>
  <si>
    <t>Study</t>
  </si>
  <si>
    <t>number</t>
  </si>
  <si>
    <t>Patiënt</t>
  </si>
  <si>
    <t>Sample</t>
  </si>
  <si>
    <t>PMN_Sup_1</t>
  </si>
  <si>
    <t>ELDER-BIOME</t>
  </si>
  <si>
    <t>1004_d0</t>
  </si>
  <si>
    <t>PMN_T=0 M_sup</t>
  </si>
  <si>
    <t>PMN_Sup_2</t>
  </si>
  <si>
    <t>2006_d0</t>
  </si>
  <si>
    <t>PMN_T=24 LPS_sup</t>
  </si>
  <si>
    <t>1008_d28</t>
  </si>
  <si>
    <t>PMN_T=2 KP_sup</t>
  </si>
  <si>
    <t>PBMC_T=0 M_sup</t>
  </si>
  <si>
    <t>mono_T=2 M_sup</t>
  </si>
  <si>
    <t>PBMC_T=24 M_sup</t>
  </si>
  <si>
    <t>PBMC_T=24 SP_sup</t>
  </si>
  <si>
    <t>PBMC_T=2 KP_sup</t>
  </si>
  <si>
    <t>PMN_T=2 M_sup</t>
  </si>
  <si>
    <t>PMN_T=24 KP_sup</t>
  </si>
  <si>
    <t>PMN_T=2 SP_sup</t>
  </si>
  <si>
    <t>PBMC_T=2 M_sup</t>
  </si>
  <si>
    <t>mono_T=2 LPS_sup</t>
  </si>
  <si>
    <t>PBMC_T=24 LPS_sup</t>
  </si>
  <si>
    <t>mono_T=0 M_sup</t>
  </si>
  <si>
    <t>PBMC_T=2 SP_sup</t>
  </si>
  <si>
    <t>PMN_T=2 LPS_sup</t>
  </si>
  <si>
    <t>PMN_T=24 SP_sup</t>
  </si>
  <si>
    <t>PMN_T=24 M_sup</t>
  </si>
  <si>
    <t>PBMC_T=2 LPS_sup</t>
  </si>
  <si>
    <t>mono_T=2 KP_sup</t>
  </si>
  <si>
    <t>PBMC_T=24 KP_sup</t>
  </si>
  <si>
    <t>2007_d0</t>
  </si>
  <si>
    <t>mono_T=2 SP_sup</t>
  </si>
  <si>
    <t>mono_T=24 M_sup</t>
  </si>
  <si>
    <t>WB_T=24 M_sup</t>
  </si>
  <si>
    <t>mono_T=24 LPS_sup</t>
  </si>
  <si>
    <t>WB_T=24 LPS_sup</t>
  </si>
  <si>
    <t>1009_d28</t>
  </si>
  <si>
    <t>mono_T=24 KP_sup</t>
  </si>
  <si>
    <t>WB_T=24 KP_sup</t>
  </si>
  <si>
    <t>mono_T=24 SP_sup</t>
  </si>
  <si>
    <t>WB_T=24 SP_sup</t>
  </si>
  <si>
    <t>1005_d0</t>
  </si>
  <si>
    <t>2008_d0</t>
  </si>
  <si>
    <t>1037_d0</t>
  </si>
  <si>
    <t>1014_d0</t>
  </si>
  <si>
    <t>1006_d0</t>
  </si>
  <si>
    <t>1010_d0</t>
  </si>
  <si>
    <t>1015_d0</t>
  </si>
  <si>
    <t>1007_d0</t>
  </si>
  <si>
    <t>1003_d28</t>
  </si>
  <si>
    <t>2011_d0</t>
  </si>
  <si>
    <t>1008_d0</t>
  </si>
  <si>
    <t>1011_d0</t>
  </si>
  <si>
    <t>2012_d0</t>
  </si>
  <si>
    <t>1001_d28</t>
  </si>
  <si>
    <t>2009_d0</t>
  </si>
  <si>
    <t>1016_d0</t>
  </si>
  <si>
    <t>2003_d0</t>
  </si>
  <si>
    <t>2010_d0</t>
  </si>
  <si>
    <t>1017_d0</t>
  </si>
  <si>
    <t>1002_d28</t>
  </si>
  <si>
    <t>1007_d28</t>
  </si>
  <si>
    <t>2004_d0</t>
  </si>
  <si>
    <t>1012_d0</t>
  </si>
  <si>
    <t>2005_d0</t>
  </si>
  <si>
    <t>1013_d0</t>
  </si>
  <si>
    <t>BOX 11</t>
  </si>
  <si>
    <t>BOX 12</t>
  </si>
  <si>
    <t>BOX 13</t>
  </si>
  <si>
    <t>BOX 14</t>
  </si>
  <si>
    <t>BOX 15</t>
  </si>
  <si>
    <t>Box 16</t>
  </si>
  <si>
    <t>Box 17</t>
  </si>
  <si>
    <t>Box 18</t>
  </si>
  <si>
    <t>Box 19</t>
  </si>
  <si>
    <t>Box 20</t>
  </si>
  <si>
    <t>1038-d28</t>
  </si>
  <si>
    <t>1038-d29</t>
  </si>
  <si>
    <t>1038-d30</t>
  </si>
  <si>
    <t>1021-D32</t>
  </si>
  <si>
    <t>1021-D33</t>
  </si>
  <si>
    <t>1021-D34</t>
  </si>
  <si>
    <t>1021-D35</t>
  </si>
  <si>
    <t>1021-D36</t>
  </si>
  <si>
    <t>1021-D37</t>
  </si>
  <si>
    <t>1021-D38</t>
  </si>
  <si>
    <t>1021-D39</t>
  </si>
  <si>
    <t>1021-D40</t>
  </si>
  <si>
    <t>1021-D41</t>
  </si>
  <si>
    <t>monocyten 2x volle supjes op T=24</t>
  </si>
  <si>
    <t>1021-D42</t>
  </si>
  <si>
    <t>PMN 2x lege supjes op T=24</t>
  </si>
  <si>
    <t>1021-D43</t>
  </si>
  <si>
    <t>Mist</t>
  </si>
  <si>
    <t>1021-D44</t>
  </si>
  <si>
    <t>1021-D45</t>
  </si>
  <si>
    <t>1021-D46</t>
  </si>
  <si>
    <t>1021-D47</t>
  </si>
  <si>
    <t>1010-D32</t>
  </si>
  <si>
    <t>1021-D48</t>
  </si>
  <si>
    <t>1010-D33</t>
  </si>
  <si>
    <t>1021-D49</t>
  </si>
  <si>
    <t>1010-D34</t>
  </si>
  <si>
    <t>1010-D35</t>
  </si>
  <si>
    <t>1010-D36</t>
  </si>
  <si>
    <t>1010-D37</t>
  </si>
  <si>
    <t>1010-D38</t>
  </si>
  <si>
    <t>1040-D32</t>
  </si>
  <si>
    <t>1010-D39</t>
  </si>
  <si>
    <t>1040-D33</t>
  </si>
  <si>
    <t>1010-D40</t>
  </si>
  <si>
    <t>1040-D34</t>
  </si>
  <si>
    <t>1010-D41</t>
  </si>
  <si>
    <t>1040-D35</t>
  </si>
  <si>
    <t>1010-D42</t>
  </si>
  <si>
    <t>1040-D36</t>
  </si>
  <si>
    <t>1010-D43</t>
  </si>
  <si>
    <t>1040-D37</t>
  </si>
  <si>
    <t>1010-D44</t>
  </si>
  <si>
    <t>1040-D38</t>
  </si>
  <si>
    <t>1010-D45</t>
  </si>
  <si>
    <t>1013_D28</t>
  </si>
  <si>
    <t>1040-D39</t>
  </si>
  <si>
    <t>1010-D46</t>
  </si>
  <si>
    <t>1040-D40</t>
  </si>
  <si>
    <t>1010-D47</t>
  </si>
  <si>
    <t>1040-D41</t>
  </si>
  <si>
    <t>1010-D48</t>
  </si>
  <si>
    <t>1040-D42</t>
  </si>
  <si>
    <t>1010-D49</t>
  </si>
  <si>
    <t>1040-D43</t>
  </si>
  <si>
    <t>1040-D44</t>
  </si>
  <si>
    <t>1040-D45</t>
  </si>
  <si>
    <t>1040-D46</t>
  </si>
  <si>
    <t>1040-D47</t>
  </si>
  <si>
    <t>1040-D48</t>
  </si>
  <si>
    <t>1040-D49</t>
  </si>
  <si>
    <t>1039-d28</t>
  </si>
  <si>
    <t>1039-d29</t>
  </si>
  <si>
    <t>1039-d30</t>
  </si>
  <si>
    <t>1039-d31</t>
  </si>
  <si>
    <t>1039-d32</t>
  </si>
  <si>
    <t>1039-d33</t>
  </si>
  <si>
    <t>PMN t=24 2x leeg</t>
  </si>
  <si>
    <t>1039-d34</t>
  </si>
  <si>
    <t>PBMc 2x vol</t>
  </si>
  <si>
    <t>1039-d35</t>
  </si>
  <si>
    <t>1039-d36</t>
  </si>
  <si>
    <t>1039-d37</t>
  </si>
  <si>
    <t>1039-d38</t>
  </si>
  <si>
    <t>1038-d31</t>
  </si>
  <si>
    <t>1039-d39</t>
  </si>
  <si>
    <t>1038-d32</t>
  </si>
  <si>
    <t>1039-d40</t>
  </si>
  <si>
    <t>1038-d33</t>
  </si>
  <si>
    <t>1039-d41</t>
  </si>
  <si>
    <t>1038-d34</t>
  </si>
  <si>
    <t>1039-d42</t>
  </si>
  <si>
    <t>1038-d35</t>
  </si>
  <si>
    <t>1039-d43</t>
  </si>
  <si>
    <t>1038-d36</t>
  </si>
  <si>
    <t>1039-d44</t>
  </si>
  <si>
    <t>1038-d37</t>
  </si>
  <si>
    <t>1039-d45</t>
  </si>
  <si>
    <t>1038-d38</t>
  </si>
  <si>
    <t>1039-d46</t>
  </si>
  <si>
    <t>1038-d39</t>
  </si>
  <si>
    <t>1039-d47</t>
  </si>
  <si>
    <t>1038-d40</t>
  </si>
  <si>
    <t>1039-d48</t>
  </si>
  <si>
    <t>1038-d41</t>
  </si>
  <si>
    <t>1039-d49</t>
  </si>
  <si>
    <t>1038-d42</t>
  </si>
  <si>
    <t>1038-d43</t>
  </si>
  <si>
    <t>1038-d44</t>
  </si>
  <si>
    <t>1038-d45</t>
  </si>
  <si>
    <t>1038-d46</t>
  </si>
  <si>
    <t>Box 21</t>
  </si>
  <si>
    <t>Box 22</t>
  </si>
  <si>
    <t>Box 23</t>
  </si>
  <si>
    <t>Box 24</t>
  </si>
  <si>
    <t>Box 25</t>
  </si>
  <si>
    <t>Box 26</t>
  </si>
  <si>
    <t>Box 27</t>
  </si>
  <si>
    <t>Box 28</t>
  </si>
  <si>
    <t>Box 29</t>
  </si>
  <si>
    <t>Box 30</t>
  </si>
  <si>
    <t>leeg</t>
  </si>
  <si>
    <t>Missen</t>
  </si>
  <si>
    <t>Box 31</t>
  </si>
  <si>
    <t>Box 32</t>
  </si>
  <si>
    <t>Box 33</t>
  </si>
  <si>
    <t>Box 34</t>
  </si>
  <si>
    <t>Box 35</t>
  </si>
  <si>
    <t>Box 36</t>
  </si>
  <si>
    <t>Box 37</t>
  </si>
  <si>
    <t>Box 38</t>
  </si>
  <si>
    <t>1016532 ali</t>
  </si>
  <si>
    <t>Box 39</t>
  </si>
  <si>
    <t>1016521 ALI</t>
  </si>
  <si>
    <t>Box 40</t>
  </si>
  <si>
    <t>1016726 ALI</t>
  </si>
  <si>
    <t>3005-D28</t>
  </si>
  <si>
    <t>3005-D29</t>
  </si>
  <si>
    <t>3005-D30</t>
  </si>
  <si>
    <t>3005-D31</t>
  </si>
  <si>
    <t>3005-D32</t>
  </si>
  <si>
    <t>1068-D32</t>
  </si>
  <si>
    <t>3005-D33</t>
  </si>
  <si>
    <t>1068-D33</t>
  </si>
  <si>
    <t>3005-D34</t>
  </si>
  <si>
    <t>1068-D34</t>
  </si>
  <si>
    <t>3005-D35</t>
  </si>
  <si>
    <t>1068-D35</t>
  </si>
  <si>
    <t>3005-D36</t>
  </si>
  <si>
    <t>1068-D36</t>
  </si>
  <si>
    <t>3005-D37</t>
  </si>
  <si>
    <t>1068-D37</t>
  </si>
  <si>
    <t>3005-D38</t>
  </si>
  <si>
    <t>1068-D38</t>
  </si>
  <si>
    <t>3005-D39</t>
  </si>
  <si>
    <t>1068-D39</t>
  </si>
  <si>
    <t>1068-D40</t>
  </si>
  <si>
    <t>1068-D41</t>
  </si>
  <si>
    <t>1068-D42</t>
  </si>
  <si>
    <t>1068-D43</t>
  </si>
  <si>
    <t>3006-D32</t>
  </si>
  <si>
    <t>1068-D44</t>
  </si>
  <si>
    <t>3006-D33</t>
  </si>
  <si>
    <t>1068-D45</t>
  </si>
  <si>
    <t>3006-D34</t>
  </si>
  <si>
    <t>1068-D46</t>
  </si>
  <si>
    <t>3006-D35</t>
  </si>
  <si>
    <t>1068-D47</t>
  </si>
  <si>
    <t>3006-D36</t>
  </si>
  <si>
    <t>1068-D48</t>
  </si>
  <si>
    <t>3006-D37</t>
  </si>
  <si>
    <t>1068-D49</t>
  </si>
  <si>
    <t>3006-D38</t>
  </si>
  <si>
    <t>3006-D39</t>
  </si>
  <si>
    <t>3006-D40</t>
  </si>
  <si>
    <t>3006-D41</t>
  </si>
  <si>
    <t>3006-D42</t>
  </si>
  <si>
    <t>3009-D32</t>
  </si>
  <si>
    <t>3006-D43</t>
  </si>
  <si>
    <t>3009-D33</t>
  </si>
  <si>
    <t>3006-D44</t>
  </si>
  <si>
    <t>3009-D34</t>
  </si>
  <si>
    <t>3006-D45</t>
  </si>
  <si>
    <t>3009-D35</t>
  </si>
  <si>
    <t>3006-D46</t>
  </si>
  <si>
    <t>1067-D32</t>
  </si>
  <si>
    <t>3009-D36</t>
  </si>
  <si>
    <t>3006-D47</t>
  </si>
  <si>
    <t>1067-D33</t>
  </si>
  <si>
    <t>3009-D37</t>
  </si>
  <si>
    <t>3006-D48</t>
  </si>
  <si>
    <t>1067-D34</t>
  </si>
  <si>
    <t>3009-D38</t>
  </si>
  <si>
    <t>3006-D49</t>
  </si>
  <si>
    <t>1067-D35</t>
  </si>
  <si>
    <t>3009-D39</t>
  </si>
  <si>
    <t>1067-D36</t>
  </si>
  <si>
    <t>3009-D40</t>
  </si>
  <si>
    <t>1067-D37</t>
  </si>
  <si>
    <t>3009-D41</t>
  </si>
  <si>
    <t>1067-D38</t>
  </si>
  <si>
    <t>3009-D42</t>
  </si>
  <si>
    <t>1067-D39</t>
  </si>
  <si>
    <t>3009-D43</t>
  </si>
  <si>
    <t>3003-D32</t>
  </si>
  <si>
    <t>1067-D40</t>
  </si>
  <si>
    <t>3009-D44</t>
  </si>
  <si>
    <t>3003-D33</t>
  </si>
  <si>
    <t>1067-D41</t>
  </si>
  <si>
    <t>3009-D45</t>
  </si>
  <si>
    <t>3003-D34</t>
  </si>
  <si>
    <t>1067-D42</t>
  </si>
  <si>
    <t>3009-D46</t>
  </si>
  <si>
    <t>3003-D35</t>
  </si>
  <si>
    <t>1067-D43</t>
  </si>
  <si>
    <t>3009-D47</t>
  </si>
  <si>
    <t>3003-D36</t>
  </si>
  <si>
    <t>1067-D44</t>
  </si>
  <si>
    <t>3009-D48</t>
  </si>
  <si>
    <t>3003-D37</t>
  </si>
  <si>
    <t>1067-D45</t>
  </si>
  <si>
    <t>3009-D49</t>
  </si>
  <si>
    <t>3003-D38</t>
  </si>
  <si>
    <t>1067-D46</t>
  </si>
  <si>
    <t>3003-D39</t>
  </si>
  <si>
    <t>1067-D47</t>
  </si>
  <si>
    <t>3003-D40</t>
  </si>
  <si>
    <t>1067-D48</t>
  </si>
  <si>
    <t>3003-D41</t>
  </si>
  <si>
    <t>1067-D49</t>
  </si>
  <si>
    <t>3003-D42</t>
  </si>
  <si>
    <t>3007-D28</t>
  </si>
  <si>
    <t>3003-D43</t>
  </si>
  <si>
    <t>3007-D29</t>
  </si>
  <si>
    <t>3003-D44</t>
  </si>
  <si>
    <t>3007-D30</t>
  </si>
  <si>
    <t>3003-D45</t>
  </si>
  <si>
    <t>3007-D31</t>
  </si>
  <si>
    <t>3003-D46</t>
  </si>
  <si>
    <t>3007-D32</t>
  </si>
  <si>
    <t>1052-D32</t>
  </si>
  <si>
    <t>3003-D47</t>
  </si>
  <si>
    <t>3007-D33</t>
  </si>
  <si>
    <t>1052-D33</t>
  </si>
  <si>
    <t>3003-D48</t>
  </si>
  <si>
    <t>3007-D34</t>
  </si>
  <si>
    <t>1052-D34</t>
  </si>
  <si>
    <t>3003-D49</t>
  </si>
  <si>
    <t>3007-D35</t>
  </si>
  <si>
    <t>1052-D35</t>
  </si>
  <si>
    <t>1063-D28</t>
  </si>
  <si>
    <t>3007-D36</t>
  </si>
  <si>
    <t>1052-D36</t>
  </si>
  <si>
    <t>3007-D37</t>
  </si>
  <si>
    <t>1052-D37</t>
  </si>
  <si>
    <t>3007-D38</t>
  </si>
  <si>
    <t>1052-D38</t>
  </si>
  <si>
    <t>3007-D39</t>
  </si>
  <si>
    <t>1052-D39</t>
  </si>
  <si>
    <t>3007-D40</t>
  </si>
  <si>
    <t>1052-D40</t>
  </si>
  <si>
    <t>1063-D33</t>
  </si>
  <si>
    <t>3007-D41</t>
  </si>
  <si>
    <t>1063-D34</t>
  </si>
  <si>
    <t>3007-D42</t>
  </si>
  <si>
    <t>1063-D35</t>
  </si>
  <si>
    <t>3007-D43</t>
  </si>
  <si>
    <t>1061 D28</t>
  </si>
  <si>
    <t>1063-D36</t>
  </si>
  <si>
    <t>3007-D44</t>
  </si>
  <si>
    <t>1063-D37</t>
  </si>
  <si>
    <t>3007-D45</t>
  </si>
  <si>
    <t>1044-D32</t>
  </si>
  <si>
    <t>1063-D38</t>
  </si>
  <si>
    <t>3007-D46</t>
  </si>
  <si>
    <t>1044-D33</t>
  </si>
  <si>
    <t>1063-D39</t>
  </si>
  <si>
    <t>3007-D47</t>
  </si>
  <si>
    <t>1044-D34</t>
  </si>
  <si>
    <t>1063-D40</t>
  </si>
  <si>
    <t>3007-D48</t>
  </si>
  <si>
    <t>1044-D35</t>
  </si>
  <si>
    <t>1063-D41</t>
  </si>
  <si>
    <t>3007-D49</t>
  </si>
  <si>
    <t>1044-D36</t>
  </si>
  <si>
    <t>1063-D42</t>
  </si>
  <si>
    <t>1044-D37</t>
  </si>
  <si>
    <t>1063-D43</t>
  </si>
  <si>
    <t>1044-D38</t>
  </si>
  <si>
    <t>1063-D44</t>
  </si>
  <si>
    <t>1044-D39</t>
  </si>
  <si>
    <t>1063-D45</t>
  </si>
  <si>
    <t>1044-D40</t>
  </si>
  <si>
    <t>1063-D46</t>
  </si>
  <si>
    <t>1044-D41</t>
  </si>
  <si>
    <t>1063-D47</t>
  </si>
  <si>
    <t>1044-D42</t>
  </si>
  <si>
    <t>1063-D48</t>
  </si>
  <si>
    <t>1044-D43</t>
  </si>
  <si>
    <t>1063-D49</t>
  </si>
  <si>
    <t>1044-D44</t>
  </si>
  <si>
    <t>1044-D45</t>
  </si>
  <si>
    <t>1044-D46</t>
  </si>
  <si>
    <t>1044-D47</t>
  </si>
  <si>
    <t>1044-D48</t>
  </si>
  <si>
    <t>1059-D32</t>
  </si>
  <si>
    <t>1044-D49</t>
  </si>
  <si>
    <t>1059-D33</t>
  </si>
  <si>
    <t>1059-D34</t>
  </si>
  <si>
    <t>1059-D35</t>
  </si>
  <si>
    <t>3005-d28</t>
  </si>
  <si>
    <t>1059-D36</t>
  </si>
  <si>
    <t>3005-d29</t>
  </si>
  <si>
    <t>1059-D37</t>
  </si>
  <si>
    <t>3005-d30</t>
  </si>
  <si>
    <t>1059-D38</t>
  </si>
  <si>
    <t>3005-d31</t>
  </si>
  <si>
    <t>1059-D39</t>
  </si>
  <si>
    <t>3005-d32</t>
  </si>
  <si>
    <t>1059-D40</t>
  </si>
  <si>
    <t>3005-d33</t>
  </si>
  <si>
    <t>1059-D41</t>
  </si>
  <si>
    <t>3005-d34</t>
  </si>
  <si>
    <t>1059-D42</t>
  </si>
  <si>
    <t>3005-d35</t>
  </si>
  <si>
    <t>1059-D43</t>
  </si>
  <si>
    <t>3005-d36</t>
  </si>
  <si>
    <t>1059-D44</t>
  </si>
  <si>
    <t>3005-d37</t>
  </si>
  <si>
    <t>1059-D45</t>
  </si>
  <si>
    <t>Box 41</t>
  </si>
  <si>
    <t>1016744 ALI</t>
  </si>
  <si>
    <t>Box 42</t>
  </si>
  <si>
    <t>1016742 ALI</t>
  </si>
  <si>
    <t>Box 43</t>
  </si>
  <si>
    <t>1016448 ALI</t>
  </si>
  <si>
    <t>Box 44</t>
  </si>
  <si>
    <t>1016728 ALI</t>
  </si>
  <si>
    <t>Box 45</t>
  </si>
  <si>
    <t>1016730 ALI</t>
  </si>
  <si>
    <t>Box 46</t>
  </si>
  <si>
    <t>1017397 ALI</t>
  </si>
  <si>
    <t>Box 47</t>
  </si>
  <si>
    <t>1017417 ALI</t>
  </si>
  <si>
    <t>Box 48</t>
  </si>
  <si>
    <t>1017414 ALI</t>
  </si>
  <si>
    <t>Box 49</t>
  </si>
  <si>
    <t>1017415 ALI</t>
  </si>
  <si>
    <t>Box 50</t>
  </si>
  <si>
    <t>1016529 ALI</t>
  </si>
  <si>
    <t>LEEG LPS IS 2X VOL</t>
  </si>
  <si>
    <t>3019 d28</t>
  </si>
  <si>
    <t>Box 551</t>
  </si>
  <si>
    <t>1015621 ALI</t>
  </si>
  <si>
    <t>Box 52</t>
  </si>
  <si>
    <t>1016484 ALI</t>
  </si>
  <si>
    <t>Box 53</t>
  </si>
  <si>
    <t>1017407 ALI</t>
  </si>
  <si>
    <t>Box 54</t>
  </si>
  <si>
    <t>1017409 ALI</t>
  </si>
  <si>
    <t>Box 55</t>
  </si>
  <si>
    <t>1017411 ALI</t>
  </si>
  <si>
    <t>1A</t>
  </si>
  <si>
    <t>1B</t>
  </si>
  <si>
    <t>Nr</t>
  </si>
  <si>
    <t>Inhoud</t>
  </si>
  <si>
    <t>ID</t>
  </si>
  <si>
    <t>OOR &gt;</t>
  </si>
  <si>
    <t>OOR &lt;</t>
  </si>
  <si>
    <t>IFN_gamma</t>
  </si>
  <si>
    <t xml:space="preserve">IL_1RA </t>
  </si>
  <si>
    <t xml:space="preserve">IL_10 </t>
  </si>
  <si>
    <t xml:space="preserve">IL_27 </t>
  </si>
  <si>
    <t xml:space="preserve">IL_1b </t>
  </si>
  <si>
    <t xml:space="preserve">IL_6 </t>
  </si>
  <si>
    <t xml:space="preserve">IL_12p70 </t>
  </si>
  <si>
    <t>TNF_alpha</t>
  </si>
  <si>
    <t>1010_D28</t>
  </si>
  <si>
    <t>1043_D28</t>
  </si>
  <si>
    <t>1026_D28</t>
  </si>
  <si>
    <t>1031_D28</t>
  </si>
  <si>
    <t>1017_D28</t>
  </si>
  <si>
    <t>1012_D28</t>
  </si>
  <si>
    <t>1016_D28</t>
  </si>
  <si>
    <t>1014_D28</t>
  </si>
  <si>
    <t>1030_D28</t>
  </si>
  <si>
    <t>1028_D28</t>
  </si>
  <si>
    <t>1024_D28</t>
  </si>
  <si>
    <t>1035_D28</t>
  </si>
  <si>
    <t>1011_D28</t>
  </si>
  <si>
    <t>1033_D28</t>
  </si>
  <si>
    <t>1036_D28</t>
  </si>
  <si>
    <t>1032_D28</t>
  </si>
  <si>
    <t>1034_D28</t>
  </si>
  <si>
    <t>1027_D28</t>
  </si>
  <si>
    <t>1044_D28</t>
  </si>
  <si>
    <t>1038_D28</t>
  </si>
  <si>
    <t>1037_D28</t>
  </si>
  <si>
    <t>1046_D28</t>
  </si>
  <si>
    <t>1045_D28</t>
  </si>
  <si>
    <t>1047_D28</t>
  </si>
  <si>
    <t>1060_D28</t>
  </si>
  <si>
    <t>1053_D28</t>
  </si>
  <si>
    <t>1058_D28</t>
  </si>
  <si>
    <t>1062_D28</t>
  </si>
  <si>
    <t>3002_D28</t>
  </si>
  <si>
    <t>1059_D28</t>
  </si>
  <si>
    <t>1009_D28</t>
  </si>
  <si>
    <t>3005_D28</t>
  </si>
  <si>
    <t>3006_D28</t>
  </si>
  <si>
    <t>3003_D28</t>
  </si>
  <si>
    <t>1063_D28</t>
  </si>
  <si>
    <t>1052_D28</t>
  </si>
  <si>
    <t>1067_D28</t>
  </si>
  <si>
    <t>3007_D28</t>
  </si>
  <si>
    <t>1039_D28</t>
  </si>
  <si>
    <t>1021_D28</t>
  </si>
  <si>
    <t>1040_D28</t>
  </si>
  <si>
    <t>1068_D28</t>
  </si>
  <si>
    <t>3009_D28</t>
  </si>
  <si>
    <t>1072_D28</t>
  </si>
  <si>
    <t>3001_D28</t>
  </si>
  <si>
    <t>1061_D28</t>
  </si>
  <si>
    <t>1054_D28</t>
  </si>
  <si>
    <t>3015_D28</t>
  </si>
  <si>
    <t>1055_D28</t>
  </si>
  <si>
    <t>3023_D28</t>
  </si>
  <si>
    <t>1071_D28</t>
  </si>
  <si>
    <t>1075_D28</t>
  </si>
  <si>
    <t>1001-D28</t>
  </si>
  <si>
    <t>1007-D28</t>
  </si>
  <si>
    <t>1003-D28</t>
  </si>
  <si>
    <t>1008-D28</t>
  </si>
  <si>
    <t>1002-D28</t>
  </si>
  <si>
    <t>3008-D28</t>
  </si>
  <si>
    <t>IFN-gamma_OOR</t>
  </si>
  <si>
    <t xml:space="preserve">IL_1RA_OOR </t>
  </si>
  <si>
    <t>IL_10_OOR</t>
  </si>
  <si>
    <t>IL_27_OOR</t>
  </si>
  <si>
    <t>IL_1b_OOR</t>
  </si>
  <si>
    <t>IL_6_OOR</t>
  </si>
  <si>
    <t>IL_12p70_OOR</t>
  </si>
  <si>
    <t>TNF_alpha_OOR</t>
  </si>
  <si>
    <t>OOR</t>
  </si>
  <si>
    <t>SOM_OOR</t>
  </si>
  <si>
    <t>1076_D28</t>
  </si>
  <si>
    <t>3019_D28</t>
  </si>
  <si>
    <t>1074_D28</t>
  </si>
  <si>
    <t>1078_D28</t>
  </si>
  <si>
    <t>3018_D28</t>
  </si>
  <si>
    <t>3024_D28</t>
  </si>
  <si>
    <t>3012_D28</t>
  </si>
  <si>
    <t>1081_D28</t>
  </si>
  <si>
    <t>3028_D28</t>
  </si>
  <si>
    <t>3026_D28</t>
  </si>
  <si>
    <t>1086_D28</t>
  </si>
  <si>
    <t>1087_D28</t>
  </si>
  <si>
    <t>1083_D28</t>
  </si>
  <si>
    <t>3021_D28</t>
  </si>
  <si>
    <t>3027_D28</t>
  </si>
  <si>
    <t>3030_D28</t>
  </si>
  <si>
    <t>1091_D28</t>
  </si>
  <si>
    <t>3032_D28</t>
  </si>
  <si>
    <t>3031_D28</t>
  </si>
  <si>
    <t>1089_D28</t>
  </si>
  <si>
    <t>1090_D28</t>
  </si>
  <si>
    <t>1093_D28</t>
  </si>
  <si>
    <t>3010_D28</t>
  </si>
  <si>
    <t>3008_D28</t>
  </si>
  <si>
    <t>1070_D28</t>
  </si>
  <si>
    <t>1065_D28</t>
  </si>
  <si>
    <t>1001_D28</t>
  </si>
  <si>
    <t>1007_D28</t>
  </si>
  <si>
    <t>1003_D28</t>
  </si>
  <si>
    <t>1008_D28</t>
  </si>
  <si>
    <t>1002_D28</t>
  </si>
  <si>
    <t>Plaat</t>
  </si>
  <si>
    <t>20555,20</t>
  </si>
  <si>
    <t>40867,70</t>
  </si>
  <si>
    <t>53020,36</t>
  </si>
  <si>
    <t>233992,05</t>
  </si>
  <si>
    <t>25097,41</t>
  </si>
  <si>
    <t>97810,84</t>
  </si>
  <si>
    <t>239567,21</t>
  </si>
  <si>
    <t>101652,96</t>
  </si>
  <si>
    <t>81233,84</t>
  </si>
  <si>
    <t>18363,01</t>
  </si>
  <si>
    <t>14831,05</t>
  </si>
  <si>
    <t>3105,97</t>
  </si>
  <si>
    <t>13858,16</t>
  </si>
  <si>
    <t>61528,50</t>
  </si>
  <si>
    <t>72834,06</t>
  </si>
  <si>
    <t>26250,89</t>
  </si>
  <si>
    <t>14601,68</t>
  </si>
  <si>
    <t>3115,25</t>
  </si>
  <si>
    <t>9543,13</t>
  </si>
  <si>
    <t>112134,51</t>
  </si>
  <si>
    <t>9847,25</t>
  </si>
  <si>
    <t>6957,00</t>
  </si>
  <si>
    <t>706,59</t>
  </si>
  <si>
    <t>13341,95</t>
  </si>
  <si>
    <t>26716,19</t>
  </si>
  <si>
    <t>12528,31</t>
  </si>
  <si>
    <t>59437,83</t>
  </si>
  <si>
    <t>16649,86</t>
  </si>
  <si>
    <t>56297,67</t>
  </si>
  <si>
    <t>2245,84</t>
  </si>
  <si>
    <t>90137,30</t>
  </si>
  <si>
    <t>14537,66</t>
  </si>
  <si>
    <t>34056,17</t>
  </si>
  <si>
    <t>35027,85</t>
  </si>
  <si>
    <t>155320,18</t>
  </si>
  <si>
    <t>34211,72</t>
  </si>
  <si>
    <t>51978,40</t>
  </si>
  <si>
    <t>47873,22</t>
  </si>
  <si>
    <t>119016,17</t>
  </si>
  <si>
    <t>7433,94</t>
  </si>
  <si>
    <t>97180,65</t>
  </si>
  <si>
    <t>28752,03</t>
  </si>
  <si>
    <t>57,65</t>
  </si>
  <si>
    <t>5374,91</t>
  </si>
  <si>
    <t>22026,97</t>
  </si>
  <si>
    <t>313,00</t>
  </si>
  <si>
    <t>5906,27</t>
  </si>
  <si>
    <t>6607,32</t>
  </si>
  <si>
    <t>6903,60</t>
  </si>
  <si>
    <t>299,78</t>
  </si>
  <si>
    <t>157,13</t>
  </si>
  <si>
    <t>1041,77</t>
  </si>
  <si>
    <t>1968,02</t>
  </si>
  <si>
    <t>11323,82</t>
  </si>
  <si>
    <t>10366,73</t>
  </si>
  <si>
    <t>1795,35</t>
  </si>
  <si>
    <t>14915,67</t>
  </si>
  <si>
    <t>1990,37</t>
  </si>
  <si>
    <t>1402,42</t>
  </si>
  <si>
    <t>1745,46</t>
  </si>
  <si>
    <t>4237,32</t>
  </si>
  <si>
    <t>19638,42</t>
  </si>
  <si>
    <t>5447,09</t>
  </si>
  <si>
    <t>101087,94</t>
  </si>
  <si>
    <t>14486,81</t>
  </si>
  <si>
    <t>125257,58</t>
  </si>
  <si>
    <t>43583,81</t>
  </si>
  <si>
    <t>214252,70</t>
  </si>
  <si>
    <t>55869,70</t>
  </si>
  <si>
    <t>40764,65</t>
  </si>
  <si>
    <t>57002,65</t>
  </si>
  <si>
    <t>11263,29</t>
  </si>
  <si>
    <t>*264548,39</t>
  </si>
  <si>
    <t>82520,84</t>
  </si>
  <si>
    <t>45568,92</t>
  </si>
  <si>
    <t>190179,78</t>
  </si>
  <si>
    <t>97033,38</t>
  </si>
  <si>
    <t>60613,79</t>
  </si>
  <si>
    <t>16313,70</t>
  </si>
  <si>
    <t>161478,32</t>
  </si>
  <si>
    <t>71136,80</t>
  </si>
  <si>
    <t>135763,15</t>
  </si>
  <si>
    <t>68821,53</t>
  </si>
  <si>
    <t>105046,54</t>
  </si>
  <si>
    <t>906,57</t>
  </si>
  <si>
    <t>10805,72</t>
  </si>
  <si>
    <t>46581,88</t>
  </si>
  <si>
    <t>100467,82</t>
  </si>
  <si>
    <t>46353,26</t>
  </si>
  <si>
    <t>222764,86</t>
  </si>
  <si>
    <t>*187852,40</t>
  </si>
  <si>
    <t>60193,51</t>
  </si>
  <si>
    <t>49262,80</t>
  </si>
  <si>
    <t>57039,10</t>
  </si>
  <si>
    <t>11152,79</t>
  </si>
  <si>
    <t>92651,70</t>
  </si>
  <si>
    <t>68566,71</t>
  </si>
  <si>
    <t>0,84</t>
  </si>
  <si>
    <t>1042_D28</t>
  </si>
  <si>
    <t>496885.72</t>
  </si>
  <si>
    <t>183.50</t>
  </si>
  <si>
    <t>59944.03</t>
  </si>
  <si>
    <t>17512.94</t>
  </si>
  <si>
    <t>63831.06</t>
  </si>
  <si>
    <t>3025.00</t>
  </si>
  <si>
    <t>142779.59</t>
  </si>
  <si>
    <t>22476.04</t>
  </si>
  <si>
    <t>84356.99</t>
  </si>
  <si>
    <t>8714.22</t>
  </si>
  <si>
    <t>90071.45</t>
  </si>
  <si>
    <t>47917.59</t>
  </si>
  <si>
    <t>333226.23</t>
  </si>
  <si>
    <t>40160.34</t>
  </si>
  <si>
    <t>35916.16</t>
  </si>
  <si>
    <t>69156.01</t>
  </si>
  <si>
    <t>542549.92</t>
  </si>
  <si>
    <t>83.75</t>
  </si>
  <si>
    <t>193867.02</t>
  </si>
  <si>
    <t>19594.28</t>
  </si>
  <si>
    <t>58517.83</t>
  </si>
  <si>
    <t>16620.95</t>
  </si>
  <si>
    <t>190693.83</t>
  </si>
  <si>
    <t>4.63</t>
  </si>
  <si>
    <t>186057.37</t>
  </si>
  <si>
    <t>3032.85</t>
  </si>
  <si>
    <t>182498.04</t>
  </si>
  <si>
    <t>27743.69</t>
  </si>
  <si>
    <t>442166.51</t>
  </si>
  <si>
    <t>52.19</t>
  </si>
  <si>
    <t>322771.46</t>
  </si>
  <si>
    <t>2696.89</t>
  </si>
  <si>
    <t>246864.03</t>
  </si>
  <si>
    <t>8194.94</t>
  </si>
  <si>
    <t>290849.57</t>
  </si>
  <si>
    <t>21666.07</t>
  </si>
  <si>
    <t>78445.48</t>
  </si>
  <si>
    <t>1952.44</t>
  </si>
  <si>
    <t>339168.80</t>
  </si>
  <si>
    <t>35.13</t>
  </si>
  <si>
    <t>204558.80</t>
  </si>
  <si>
    <t>2008.55</t>
  </si>
  <si>
    <t>231289.03</t>
  </si>
  <si>
    <t>6288.81</t>
  </si>
  <si>
    <t>301554.01</t>
  </si>
  <si>
    <t>11514.74</t>
  </si>
  <si>
    <t>443731.36</t>
  </si>
  <si>
    <t>495.76</t>
  </si>
  <si>
    <t>322077.33</t>
  </si>
  <si>
    <t>32852.45</t>
  </si>
  <si>
    <t>409085.08</t>
  </si>
  <si>
    <t>11.56</t>
  </si>
  <si>
    <t>33779.54</t>
  </si>
  <si>
    <t>37718.59</t>
  </si>
  <si>
    <t>373176.43</t>
  </si>
  <si>
    <t>59.95</t>
  </si>
  <si>
    <t>289600.57</t>
  </si>
  <si>
    <t>93363.23</t>
  </si>
  <si>
    <t>275134.88</t>
  </si>
  <si>
    <t>57019.87</t>
  </si>
  <si>
    <t>49504.57</t>
  </si>
  <si>
    <t>59132.82</t>
  </si>
  <si>
    <t>170981.44</t>
  </si>
  <si>
    <t>146809.57</t>
  </si>
  <si>
    <t>647708.87</t>
  </si>
  <si>
    <t>15.09</t>
  </si>
  <si>
    <t>376428.47</t>
  </si>
  <si>
    <t>47782.06</t>
  </si>
  <si>
    <t>127862.69</t>
  </si>
  <si>
    <t>268225.21</t>
  </si>
  <si>
    <t>32321.29</t>
  </si>
  <si>
    <t>339901.01</t>
  </si>
  <si>
    <t>281489.15</t>
  </si>
  <si>
    <t>88191.10</t>
  </si>
  <si>
    <t>80886.37</t>
  </si>
  <si>
    <t>308775.01</t>
  </si>
  <si>
    <t>109125.61</t>
  </si>
  <si>
    <t>90470.35</t>
  </si>
  <si>
    <t>61105.89</t>
  </si>
  <si>
    <t>465901.74</t>
  </si>
  <si>
    <t>356.73</t>
  </si>
  <si>
    <t>410698.83</t>
  </si>
  <si>
    <t>66016.16</t>
  </si>
  <si>
    <t>99520.51</t>
  </si>
  <si>
    <t>87849.03</t>
  </si>
  <si>
    <t>187.94</t>
  </si>
  <si>
    <t>179421.10</t>
  </si>
  <si>
    <t>281488.33</t>
  </si>
  <si>
    <t>3611.97</t>
  </si>
  <si>
    <t>866681.98</t>
  </si>
  <si>
    <t>106347.85</t>
  </si>
  <si>
    <t>268688.34</t>
  </si>
  <si>
    <t>123623.08</t>
  </si>
  <si>
    <t>22074.76</t>
  </si>
  <si>
    <t>2.91</t>
  </si>
  <si>
    <t>29272.44</t>
  </si>
  <si>
    <t>675.25</t>
  </si>
  <si>
    <t>10209.86</t>
  </si>
  <si>
    <t>529.76</t>
  </si>
  <si>
    <t>1461.44</t>
  </si>
  <si>
    <t>2415.98</t>
  </si>
  <si>
    <t>3249.26</t>
  </si>
  <si>
    <t>5316.87</t>
  </si>
  <si>
    <t>295.06</t>
  </si>
  <si>
    <t>429.04</t>
  </si>
  <si>
    <t>1967.05</t>
  </si>
  <si>
    <t>1427.00</t>
  </si>
  <si>
    <t>17719.06</t>
  </si>
  <si>
    <t>5137.74</t>
  </si>
  <si>
    <t>57576.40</t>
  </si>
  <si>
    <t>20579.61</t>
  </si>
  <si>
    <t>176743.53</t>
  </si>
  <si>
    <t>231135.37</t>
  </si>
  <si>
    <t>146336.71</t>
  </si>
  <si>
    <t>49620.54</t>
  </si>
  <si>
    <t>394700.17</t>
  </si>
  <si>
    <t>25.90</t>
  </si>
  <si>
    <t>203656.47</t>
  </si>
  <si>
    <t>149245.98</t>
  </si>
  <si>
    <t>623604.08</t>
  </si>
  <si>
    <t>129.26</t>
  </si>
  <si>
    <t>578925.33</t>
  </si>
  <si>
    <t>131341.71</t>
  </si>
  <si>
    <t>204920.70</t>
  </si>
  <si>
    <t>15118.53</t>
  </si>
  <si>
    <t>36746.51</t>
  </si>
  <si>
    <t>18.66</t>
  </si>
  <si>
    <t>3577.60</t>
  </si>
  <si>
    <t>1066.34</t>
  </si>
  <si>
    <t>5001.26</t>
  </si>
  <si>
    <t>873.41</t>
  </si>
  <si>
    <t>10558.22</t>
  </si>
  <si>
    <t>2504.98</t>
  </si>
  <si>
    <t>124268.99</t>
  </si>
  <si>
    <t>63948.23</t>
  </si>
  <si>
    <t>3682.47</t>
  </si>
  <si>
    <t>8493.43</t>
  </si>
  <si>
    <t>10101.57</t>
  </si>
  <si>
    <t>14165.47</t>
  </si>
  <si>
    <t>34402.72</t>
  </si>
  <si>
    <t>1.20</t>
  </si>
  <si>
    <t>420070.24</t>
  </si>
  <si>
    <t>33817.56</t>
  </si>
  <si>
    <t>294818.80</t>
  </si>
  <si>
    <t>12066.66</t>
  </si>
  <si>
    <t>396683.60</t>
  </si>
  <si>
    <t>7941.92</t>
  </si>
  <si>
    <t>25265.75</t>
  </si>
  <si>
    <t>47896.72</t>
  </si>
  <si>
    <t>108028.46</t>
  </si>
  <si>
    <t>39017.22</t>
  </si>
  <si>
    <t>239635.85</t>
  </si>
  <si>
    <t>91994.26</t>
  </si>
  <si>
    <t>106860.61</t>
  </si>
  <si>
    <t>95986.69</t>
  </si>
  <si>
    <t>156499.92</t>
  </si>
  <si>
    <t>75150.60</t>
  </si>
  <si>
    <t>336764.15</t>
  </si>
  <si>
    <t>31.41</t>
  </si>
  <si>
    <t>84716.70</t>
  </si>
  <si>
    <t>84711.93</t>
  </si>
  <si>
    <t>259064.98</t>
  </si>
  <si>
    <t>114.54</t>
  </si>
  <si>
    <t>96453.18</t>
  </si>
  <si>
    <t>3765.29</t>
  </si>
  <si>
    <t>355128.18</t>
  </si>
  <si>
    <t>9.81</t>
  </si>
  <si>
    <t>427138.12</t>
  </si>
  <si>
    <t>30783.89</t>
  </si>
  <si>
    <t>828776.13</t>
  </si>
  <si>
    <t>54.12</t>
  </si>
  <si>
    <t>477356.45</t>
  </si>
  <si>
    <t>157.16</t>
  </si>
  <si>
    <t>422473.36</t>
  </si>
  <si>
    <t>91952.07</t>
  </si>
  <si>
    <t>571075.05</t>
  </si>
  <si>
    <t>348140.29</t>
  </si>
  <si>
    <t>118.72</t>
  </si>
  <si>
    <t>994497.95</t>
  </si>
  <si>
    <t>553.53</t>
  </si>
  <si>
    <t>325493.26</t>
  </si>
  <si>
    <t>11425.62</t>
  </si>
  <si>
    <t>252212.60</t>
  </si>
  <si>
    <t>93.89</t>
  </si>
  <si>
    <t>319935.20</t>
  </si>
  <si>
    <t>69.77</t>
  </si>
  <si>
    <t>292166.74</t>
  </si>
  <si>
    <t>1482.30</t>
  </si>
  <si>
    <t>507859.52</t>
  </si>
  <si>
    <t>3452.34</t>
  </si>
  <si>
    <t>566610.23</t>
  </si>
  <si>
    <t>131944.61</t>
  </si>
  <si>
    <t>26576.71</t>
  </si>
  <si>
    <t>90995.51</t>
  </si>
  <si>
    <t>73.74</t>
  </si>
  <si>
    <t>150840.74</t>
  </si>
  <si>
    <t>284.42</t>
  </si>
  <si>
    <t>122407.79</t>
  </si>
  <si>
    <t>4749.41</t>
  </si>
  <si>
    <t>28641.61</t>
  </si>
  <si>
    <t>1179.76</t>
  </si>
  <si>
    <t>249930.44</t>
  </si>
  <si>
    <t>143628.72</t>
  </si>
  <si>
    <t>4077.34</t>
  </si>
  <si>
    <t>239323.79</t>
  </si>
  <si>
    <t>13504.92</t>
  </si>
  <si>
    <t>178228.46</t>
  </si>
  <si>
    <t>88496.76</t>
  </si>
  <si>
    <t>284106.20</t>
  </si>
  <si>
    <t>320.24</t>
  </si>
  <si>
    <t>177745.76</t>
  </si>
  <si>
    <t>14024.79</t>
  </si>
  <si>
    <t>180007.55</t>
  </si>
  <si>
    <t>48157.77</t>
  </si>
  <si>
    <t>288543.08</t>
  </si>
  <si>
    <t>101102.97</t>
  </si>
  <si>
    <t>570020.66</t>
  </si>
  <si>
    <t>548.23</t>
  </si>
  <si>
    <t>194342.48</t>
  </si>
  <si>
    <t>20322.37</t>
  </si>
  <si>
    <t>768124.98</t>
  </si>
  <si>
    <t>1657.83</t>
  </si>
  <si>
    <t>416402.88</t>
  </si>
  <si>
    <t>97991.72</t>
  </si>
  <si>
    <t>131178.26</t>
  </si>
  <si>
    <t>67419.59</t>
  </si>
  <si>
    <t>212322.84</t>
  </si>
  <si>
    <t>98049.71</t>
  </si>
  <si>
    <t>197303.67</t>
  </si>
  <si>
    <t>14261.68</t>
  </si>
  <si>
    <t>160017.33</t>
  </si>
  <si>
    <t>19717.34</t>
  </si>
  <si>
    <t>100556.37</t>
  </si>
  <si>
    <t>2193.63</t>
  </si>
  <si>
    <t>79622.08</t>
  </si>
  <si>
    <t>6066.32</t>
  </si>
  <si>
    <t>345147.34</t>
  </si>
  <si>
    <t>108.30</t>
  </si>
  <si>
    <t>329442.77</t>
  </si>
  <si>
    <t>32595.27</t>
  </si>
  <si>
    <t>189631.72</t>
  </si>
  <si>
    <t>57335.74</t>
  </si>
  <si>
    <t>308575.79</t>
  </si>
  <si>
    <t>38285.04</t>
  </si>
  <si>
    <t>370837.59</t>
  </si>
  <si>
    <t>219.44</t>
  </si>
  <si>
    <t>55312.70</t>
  </si>
  <si>
    <t>80505.23</t>
  </si>
  <si>
    <t>33092.64</t>
  </si>
  <si>
    <t>373095.51</t>
  </si>
  <si>
    <t>87.79</t>
  </si>
  <si>
    <t>95573.01</t>
  </si>
  <si>
    <t>1889.80</t>
  </si>
  <si>
    <t>122104.53</t>
  </si>
  <si>
    <t>11401.89</t>
  </si>
  <si>
    <t>229932.23</t>
  </si>
  <si>
    <t>39919.02</t>
  </si>
  <si>
    <t>137201.96</t>
  </si>
  <si>
    <t>13.32</t>
  </si>
  <si>
    <t>291413.35</t>
  </si>
  <si>
    <t>34322.55</t>
  </si>
  <si>
    <t>14778.80</t>
  </si>
  <si>
    <t>247238.71</t>
  </si>
  <si>
    <t>266437.78</t>
  </si>
  <si>
    <t>10214.93</t>
  </si>
  <si>
    <t>200747.47</t>
  </si>
  <si>
    <t>19768.09</t>
  </si>
  <si>
    <t>189971.05</t>
  </si>
  <si>
    <t>32215.49</t>
  </si>
  <si>
    <t>457594.66</t>
  </si>
  <si>
    <t>142.05</t>
  </si>
  <si>
    <t>184187.84</t>
  </si>
  <si>
    <t>15072.63</t>
  </si>
  <si>
    <t>127893.99</t>
  </si>
  <si>
    <t>21605.98</t>
  </si>
  <si>
    <t>233261.66</t>
  </si>
  <si>
    <t>24523.92</t>
  </si>
  <si>
    <t>513627.81</t>
  </si>
  <si>
    <t>223.99</t>
  </si>
  <si>
    <t>229631.69</t>
  </si>
  <si>
    <t>25678.56</t>
  </si>
  <si>
    <t>260186.51</t>
  </si>
  <si>
    <t>78065.36</t>
  </si>
  <si>
    <t>265519.70</t>
  </si>
  <si>
    <t>114457.73</t>
  </si>
  <si>
    <t>253964.45</t>
  </si>
  <si>
    <t>6254.79</t>
  </si>
  <si>
    <t>282155.77</t>
  </si>
  <si>
    <t>94072.67</t>
  </si>
  <si>
    <t>264148.23</t>
  </si>
  <si>
    <t>4098.68</t>
  </si>
  <si>
    <t>805413.30</t>
  </si>
  <si>
    <t>52332.30</t>
  </si>
  <si>
    <t>154332.06</t>
  </si>
  <si>
    <t>827.21</t>
  </si>
  <si>
    <t>230433.90</t>
  </si>
  <si>
    <t>3996.54</t>
  </si>
  <si>
    <t>477143.35</t>
  </si>
  <si>
    <t>14377.45</t>
  </si>
  <si>
    <t>181473.95</t>
  </si>
  <si>
    <t>48.35</t>
  </si>
  <si>
    <t>283617.36</t>
  </si>
  <si>
    <t>313.02</t>
  </si>
  <si>
    <t>364624.55</t>
  </si>
  <si>
    <t>279.69</t>
  </si>
  <si>
    <t>207698.42</t>
  </si>
  <si>
    <t>40363.53</t>
  </si>
  <si>
    <t>127518.82</t>
  </si>
  <si>
    <t>3258.70</t>
  </si>
  <si>
    <t>63769.38</t>
  </si>
  <si>
    <t>48095.07</t>
  </si>
  <si>
    <t>121378.82</t>
  </si>
  <si>
    <t>56099.33</t>
  </si>
  <si>
    <t>205691.57</t>
  </si>
  <si>
    <t>16.87</t>
  </si>
  <si>
    <t>142949.12</t>
  </si>
  <si>
    <t>95213.14</t>
  </si>
  <si>
    <t>283129.34</t>
  </si>
  <si>
    <t>274188,02</t>
  </si>
  <si>
    <t>20949,25</t>
  </si>
  <si>
    <t>208846,22</t>
  </si>
  <si>
    <t>42905,48</t>
  </si>
  <si>
    <t>267878,36</t>
  </si>
  <si>
    <t>51694,22</t>
  </si>
  <si>
    <t>190,17</t>
  </si>
  <si>
    <t>167352,05</t>
  </si>
  <si>
    <t>20388,40</t>
  </si>
  <si>
    <t>66072,14</t>
  </si>
  <si>
    <t>29116,57</t>
  </si>
  <si>
    <t>112239,08</t>
  </si>
  <si>
    <t>17672,56</t>
  </si>
  <si>
    <t>225116,78</t>
  </si>
  <si>
    <t>22,26</t>
  </si>
  <si>
    <t>129,26</t>
  </si>
  <si>
    <t>230,85</t>
  </si>
  <si>
    <t>151371,19</t>
  </si>
  <si>
    <t>19076,38</t>
  </si>
  <si>
    <t>238960,20</t>
  </si>
  <si>
    <t>20,45</t>
  </si>
  <si>
    <t>266495,26</t>
  </si>
  <si>
    <t>110,37</t>
  </si>
  <si>
    <t>105288,85</t>
  </si>
  <si>
    <t>31009,06</t>
  </si>
  <si>
    <t>39579,60</t>
  </si>
  <si>
    <t>16573,42</t>
  </si>
  <si>
    <t>149398,05</t>
  </si>
  <si>
    <t>56884,74</t>
  </si>
  <si>
    <t>162433,60</t>
  </si>
  <si>
    <t>585,53</t>
  </si>
  <si>
    <t>159611,21</t>
  </si>
  <si>
    <t>10536,25</t>
  </si>
  <si>
    <t>132296,92</t>
  </si>
  <si>
    <t>10605,55</t>
  </si>
  <si>
    <t>172701,78</t>
  </si>
  <si>
    <t>118,72</t>
  </si>
  <si>
    <t>96583,04</t>
  </si>
  <si>
    <t>11976,05</t>
  </si>
  <si>
    <t>122559,61</t>
  </si>
  <si>
    <t>46220,17</t>
  </si>
  <si>
    <t>44387,95</t>
  </si>
  <si>
    <t>39524,61</t>
  </si>
  <si>
    <t>335387,70</t>
  </si>
  <si>
    <t>125,03</t>
  </si>
  <si>
    <t>257335,64</t>
  </si>
  <si>
    <t>45056,00</t>
  </si>
  <si>
    <t>200614,08</t>
  </si>
  <si>
    <t>24,07</t>
  </si>
  <si>
    <t>150100,49</t>
  </si>
  <si>
    <t>44,54</t>
  </si>
  <si>
    <t>49468,18</t>
  </si>
  <si>
    <t>30680,19</t>
  </si>
  <si>
    <t>100050,87</t>
  </si>
  <si>
    <t>29,57</t>
  </si>
  <si>
    <t>206829,75</t>
  </si>
  <si>
    <t>376,45</t>
  </si>
  <si>
    <t>114080,57</t>
  </si>
  <si>
    <t>702,92</t>
  </si>
  <si>
    <t>26130,14</t>
  </si>
  <si>
    <t>172780,31</t>
  </si>
  <si>
    <t>251395,32</t>
  </si>
  <si>
    <t>3874,11</t>
  </si>
  <si>
    <t>336691,56</t>
  </si>
  <si>
    <t>15079,18</t>
  </si>
  <si>
    <t>10890,15</t>
  </si>
  <si>
    <t>65654,11</t>
  </si>
  <si>
    <t>58208,42</t>
  </si>
  <si>
    <t>269036,20</t>
  </si>
  <si>
    <t>48,35</t>
  </si>
  <si>
    <t>107777,51</t>
  </si>
  <si>
    <t>159,33</t>
  </si>
  <si>
    <t>238752,65</t>
  </si>
  <si>
    <t>208,11</t>
  </si>
  <si>
    <t>52380,49</t>
  </si>
  <si>
    <t>41151,35</t>
  </si>
  <si>
    <t>37,00</t>
  </si>
  <si>
    <t>237924,13</t>
  </si>
  <si>
    <t>15072,63</t>
  </si>
  <si>
    <t>131146,40</t>
  </si>
  <si>
    <t>25294,00</t>
  </si>
  <si>
    <t>255341,03</t>
  </si>
  <si>
    <t>176,86</t>
  </si>
  <si>
    <t>285025,00</t>
  </si>
  <si>
    <t>32215,49</t>
  </si>
  <si>
    <t>84836,79</t>
  </si>
  <si>
    <t>19097,85</t>
  </si>
  <si>
    <t>180698,80</t>
  </si>
  <si>
    <t>26487,15</t>
  </si>
  <si>
    <t>224429,29</t>
  </si>
  <si>
    <t>34033,60</t>
  </si>
  <si>
    <t>263977,28</t>
  </si>
  <si>
    <t>58310,81</t>
  </si>
  <si>
    <t>189335,21</t>
  </si>
  <si>
    <t>69796,96</t>
  </si>
  <si>
    <t>61346,95</t>
  </si>
  <si>
    <t>955,51</t>
  </si>
  <si>
    <t>75941,16</t>
  </si>
  <si>
    <t>2542,31</t>
  </si>
  <si>
    <t>106335,01</t>
  </si>
  <si>
    <t>52397,38</t>
  </si>
  <si>
    <t>197172,22</t>
  </si>
  <si>
    <t>88437,16</t>
  </si>
  <si>
    <t>9521,25</t>
  </si>
  <si>
    <t>8344,82</t>
  </si>
  <si>
    <t>20897,34</t>
  </si>
  <si>
    <t>44492,05</t>
  </si>
  <si>
    <t>35800,98</t>
  </si>
  <si>
    <t>168272,81</t>
  </si>
  <si>
    <t>45118,83</t>
  </si>
  <si>
    <t>24240,53</t>
  </si>
  <si>
    <t>27035,67</t>
  </si>
  <si>
    <t>11963,99</t>
  </si>
  <si>
    <t>56,06</t>
  </si>
  <si>
    <t>70632,23</t>
  </si>
  <si>
    <t>69846,38</t>
  </si>
  <si>
    <t>102136,37</t>
  </si>
  <si>
    <t>716,83</t>
  </si>
  <si>
    <t>156899,90</t>
  </si>
  <si>
    <t>4594,02</t>
  </si>
  <si>
    <t>103922,48</t>
  </si>
  <si>
    <t>39428,66</t>
  </si>
  <si>
    <t>266265,41</t>
  </si>
  <si>
    <t>87464,23</t>
  </si>
  <si>
    <t>62888,56</t>
  </si>
  <si>
    <t>47480,34</t>
  </si>
  <si>
    <t>27437,72</t>
  </si>
  <si>
    <t>14351,69</t>
  </si>
  <si>
    <t>43146,98</t>
  </si>
  <si>
    <t>21756,33</t>
  </si>
  <si>
    <t>173252,07</t>
  </si>
  <si>
    <t>161,51</t>
  </si>
  <si>
    <t>56991,78</t>
  </si>
  <si>
    <t>16975,65</t>
  </si>
  <si>
    <t>27408,94</t>
  </si>
  <si>
    <t>21741,28</t>
  </si>
  <si>
    <t>126615,36</t>
  </si>
  <si>
    <t>57188,99</t>
  </si>
  <si>
    <t>101974,98</t>
  </si>
  <si>
    <t>3924,64</t>
  </si>
  <si>
    <t>102513,59</t>
  </si>
  <si>
    <t>16832,07</t>
  </si>
  <si>
    <t>78215,93</t>
  </si>
  <si>
    <t>20498,63</t>
  </si>
  <si>
    <t>278954,06</t>
  </si>
  <si>
    <t>50,27</t>
  </si>
  <si>
    <t>210972,60</t>
  </si>
  <si>
    <t>38124,18</t>
  </si>
  <si>
    <t>195600,70</t>
  </si>
  <si>
    <t>52256,41</t>
  </si>
  <si>
    <t>149959,80</t>
  </si>
  <si>
    <t>29702,21</t>
  </si>
  <si>
    <t>327391,37</t>
  </si>
  <si>
    <t>104,16</t>
  </si>
  <si>
    <t>173724,87</t>
  </si>
  <si>
    <t>78307,71</t>
  </si>
  <si>
    <t>14506,48</t>
  </si>
  <si>
    <t>263635,68</t>
  </si>
  <si>
    <t>87,79</t>
  </si>
  <si>
    <t>311980,30</t>
  </si>
  <si>
    <t>66740,38</t>
  </si>
  <si>
    <t>231490,65</t>
  </si>
  <si>
    <t>52,19</t>
  </si>
  <si>
    <t>155160,33</t>
  </si>
  <si>
    <t>48168,23</t>
  </si>
  <si>
    <t>96895,15</t>
  </si>
  <si>
    <t>57595,79</t>
  </si>
  <si>
    <t>212462,95</t>
  </si>
  <si>
    <t>40732,31</t>
  </si>
  <si>
    <t>113272,46</t>
  </si>
  <si>
    <t>11,56</t>
  </si>
  <si>
    <t>144892,32</t>
  </si>
  <si>
    <t>21261,71</t>
  </si>
  <si>
    <t>269733,20</t>
  </si>
  <si>
    <t>19026,31</t>
  </si>
  <si>
    <t>169506,76</t>
  </si>
  <si>
    <t>22240,19</t>
  </si>
  <si>
    <t>163558,38</t>
  </si>
  <si>
    <t>52668,95</t>
  </si>
  <si>
    <t>56875,21</t>
  </si>
  <si>
    <t>19833,42</t>
  </si>
  <si>
    <t>140354,83</t>
  </si>
  <si>
    <t>63,86</t>
  </si>
  <si>
    <t>190523,56</t>
  </si>
  <si>
    <t>80542,73</t>
  </si>
  <si>
    <t>140221,01</t>
  </si>
  <si>
    <t>25,90</t>
  </si>
  <si>
    <t>98202,34</t>
  </si>
  <si>
    <t>40605,99</t>
  </si>
  <si>
    <t>117942,55</t>
  </si>
  <si>
    <t>1108,96</t>
  </si>
  <si>
    <t>175228,94</t>
  </si>
  <si>
    <t>53981,15</t>
  </si>
  <si>
    <t>101277,48</t>
  </si>
  <si>
    <t>23483,44</t>
  </si>
  <si>
    <t>95753,82</t>
  </si>
  <si>
    <t>34512,73</t>
  </si>
  <si>
    <t>96427,23</t>
  </si>
  <si>
    <t>48210,06</t>
  </si>
  <si>
    <t>197962,00</t>
  </si>
  <si>
    <t>59,95</t>
  </si>
  <si>
    <t>198137,87</t>
  </si>
  <si>
    <t>32444,90</t>
  </si>
  <si>
    <t>40776,79</t>
  </si>
  <si>
    <t>26430,23</t>
  </si>
  <si>
    <t>101867,47</t>
  </si>
  <si>
    <t>4888,33</t>
  </si>
  <si>
    <t>89276,83</t>
  </si>
  <si>
    <t>36987,55</t>
  </si>
  <si>
    <t>33748,49</t>
  </si>
  <si>
    <t>5690,13</t>
  </si>
  <si>
    <t>16552,41</t>
  </si>
  <si>
    <t>19623,21</t>
  </si>
  <si>
    <t>31009.06</t>
  </si>
  <si>
    <t>46.79</t>
  </si>
  <si>
    <t>8356.91</t>
  </si>
  <si>
    <t>5.64</t>
  </si>
  <si>
    <t>345.98</t>
  </si>
  <si>
    <t>4.82</t>
  </si>
  <si>
    <t>1.99</t>
  </si>
  <si>
    <t>75.12</t>
  </si>
  <si>
    <t>3.94</t>
  </si>
  <si>
    <t>81.8</t>
  </si>
  <si>
    <t>20459.25</t>
  </si>
  <si>
    <t>276.07</t>
  </si>
  <si>
    <t>774.22</t>
  </si>
  <si>
    <t>1504.72</t>
  </si>
  <si>
    <t>17431.29</t>
  </si>
  <si>
    <t>176.21</t>
  </si>
  <si>
    <t>1828.81</t>
  </si>
  <si>
    <t>113.57</t>
  </si>
  <si>
    <t>24707.3</t>
  </si>
  <si>
    <t>1764.24</t>
  </si>
  <si>
    <t>991.24</t>
  </si>
  <si>
    <t>9040.07</t>
  </si>
  <si>
    <t>32544.9</t>
  </si>
  <si>
    <t>298.42</t>
  </si>
  <si>
    <t>153.9</t>
  </si>
  <si>
    <t>53761.72</t>
  </si>
  <si>
    <t>1216.09</t>
  </si>
  <si>
    <t>1613.03</t>
  </si>
  <si>
    <t>7316.87</t>
  </si>
  <si>
    <t>28810.43</t>
  </si>
  <si>
    <t>426.77</t>
  </si>
  <si>
    <t>89650.86</t>
  </si>
  <si>
    <t>105.58</t>
  </si>
  <si>
    <t>20555.20</t>
  </si>
  <si>
    <t>9.63</t>
  </si>
  <si>
    <t>141.64</t>
  </si>
  <si>
    <t>575.01</t>
  </si>
  <si>
    <t>206.93</t>
  </si>
  <si>
    <t>195.34</t>
  </si>
  <si>
    <t>157.97</t>
  </si>
  <si>
    <t>40867.70</t>
  </si>
  <si>
    <t>981.75</t>
  </si>
  <si>
    <t>1209.65</t>
  </si>
  <si>
    <t>2610.63</t>
  </si>
  <si>
    <t>37877.07</t>
  </si>
  <si>
    <t>404.2</t>
  </si>
  <si>
    <t>5330.46</t>
  </si>
  <si>
    <t>182.46</t>
  </si>
  <si>
    <t>53020.36</t>
  </si>
  <si>
    <t>4443.51</t>
  </si>
  <si>
    <t>1465.94</t>
  </si>
  <si>
    <t>11432.19</t>
  </si>
  <si>
    <t>43905.23</t>
  </si>
  <si>
    <t>464.31</t>
  </si>
  <si>
    <t>22806.07</t>
  </si>
  <si>
    <t>215.37</t>
  </si>
  <si>
    <t>233992.05</t>
  </si>
  <si>
    <t>1113.06</t>
  </si>
  <si>
    <t>1539.43</t>
  </si>
  <si>
    <t>10888.97</t>
  </si>
  <si>
    <t>35745.46</t>
  </si>
  <si>
    <t>583.91</t>
  </si>
  <si>
    <t>25097.41</t>
  </si>
  <si>
    <t>2.65</t>
  </si>
  <si>
    <t>1155.78</t>
  </si>
  <si>
    <t>0.67</t>
  </si>
  <si>
    <t>68.59</t>
  </si>
  <si>
    <t>1.65</t>
  </si>
  <si>
    <t>2.46</t>
  </si>
  <si>
    <t>16.77</t>
  </si>
  <si>
    <t>52.08</t>
  </si>
  <si>
    <t>240.74</t>
  </si>
  <si>
    <t>153.84</t>
  </si>
  <si>
    <t>4514.24</t>
  </si>
  <si>
    <t>67.23</t>
  </si>
  <si>
    <t>97.85</t>
  </si>
  <si>
    <t>73.94</t>
  </si>
  <si>
    <t>23471.66</t>
  </si>
  <si>
    <t>381.51</t>
  </si>
  <si>
    <t>416.65</t>
  </si>
  <si>
    <t>2006.28</t>
  </si>
  <si>
    <t>14669.64</t>
  </si>
  <si>
    <t>1350.85</t>
  </si>
  <si>
    <t>62.23</t>
  </si>
  <si>
    <t>15654.4</t>
  </si>
  <si>
    <t>162.63</t>
  </si>
  <si>
    <t>487.65</t>
  </si>
  <si>
    <t>977.3</t>
  </si>
  <si>
    <t>6753.73</t>
  </si>
  <si>
    <t>137.59</t>
  </si>
  <si>
    <t>1698.39</t>
  </si>
  <si>
    <t>85.74</t>
  </si>
  <si>
    <t>97810.84</t>
  </si>
  <si>
    <t>738.21</t>
  </si>
  <si>
    <t>17.46</t>
  </si>
  <si>
    <t>25.14</t>
  </si>
  <si>
    <t>26.23</t>
  </si>
  <si>
    <t>53500.59</t>
  </si>
  <si>
    <t>926.46</t>
  </si>
  <si>
    <t>918.73</t>
  </si>
  <si>
    <t>4481.56</t>
  </si>
  <si>
    <t>25449.51</t>
  </si>
  <si>
    <t>268.02</t>
  </si>
  <si>
    <t>1621.91</t>
  </si>
  <si>
    <t>36048.57</t>
  </si>
  <si>
    <t>2293.53</t>
  </si>
  <si>
    <t>1982.5</t>
  </si>
  <si>
    <t>29851.43</t>
  </si>
  <si>
    <t>28152.08</t>
  </si>
  <si>
    <t>358.97</t>
  </si>
  <si>
    <t>4864.49</t>
  </si>
  <si>
    <t>31.6</t>
  </si>
  <si>
    <t>7014.98</t>
  </si>
  <si>
    <t>33.65</t>
  </si>
  <si>
    <t>136.77</t>
  </si>
  <si>
    <t>607.71</t>
  </si>
  <si>
    <t>1798.27</t>
  </si>
  <si>
    <t>35.36</t>
  </si>
  <si>
    <t>854.18</t>
  </si>
  <si>
    <t>125.61</t>
  </si>
  <si>
    <t>239567.21</t>
  </si>
  <si>
    <t>10.49</t>
  </si>
  <si>
    <t>1114.78</t>
  </si>
  <si>
    <t>1813.49</t>
  </si>
  <si>
    <t>445.13</t>
  </si>
  <si>
    <t>178.37</t>
  </si>
  <si>
    <t>101652.96</t>
  </si>
  <si>
    <t>2724.05</t>
  </si>
  <si>
    <t>1392.57</t>
  </si>
  <si>
    <t>28773.23</t>
  </si>
  <si>
    <t>43368.28</t>
  </si>
  <si>
    <t>494.28</t>
  </si>
  <si>
    <t>13138.43</t>
  </si>
  <si>
    <t>174.28</t>
  </si>
  <si>
    <t>58043.02</t>
  </si>
  <si>
    <t>2299.58</t>
  </si>
  <si>
    <t>1723.61</t>
  </si>
  <si>
    <t>81233.84</t>
  </si>
  <si>
    <t>41751.98</t>
  </si>
  <si>
    <t>509.24</t>
  </si>
  <si>
    <t>18363.01</t>
  </si>
  <si>
    <t>190.66</t>
  </si>
  <si>
    <t>14831.05</t>
  </si>
  <si>
    <t>3087.02</t>
  </si>
  <si>
    <t>1649.86</t>
  </si>
  <si>
    <t>47755.24</t>
  </si>
  <si>
    <t>38724.73</t>
  </si>
  <si>
    <t>688.04</t>
  </si>
  <si>
    <t>3105.97</t>
  </si>
  <si>
    <t>4287.24</t>
  </si>
  <si>
    <t>310.79</t>
  </si>
  <si>
    <t>78.28</t>
  </si>
  <si>
    <t>2701.48</t>
  </si>
  <si>
    <t>72.62</t>
  </si>
  <si>
    <t>11813.98</t>
  </si>
  <si>
    <t>77.9</t>
  </si>
  <si>
    <t>630.48</t>
  </si>
  <si>
    <t>12579.69</t>
  </si>
  <si>
    <t>16435.32</t>
  </si>
  <si>
    <t>168.51</t>
  </si>
  <si>
    <t>1464.37</t>
  </si>
  <si>
    <t>66.12</t>
  </si>
  <si>
    <t>10681.82</t>
  </si>
  <si>
    <t>58.22</t>
  </si>
  <si>
    <t>15971.8</t>
  </si>
  <si>
    <t>10067.42</t>
  </si>
  <si>
    <t>199.26</t>
  </si>
  <si>
    <t>2816.07</t>
  </si>
  <si>
    <t>442.9</t>
  </si>
  <si>
    <t>83122.84</t>
  </si>
  <si>
    <t>1160.43</t>
  </si>
  <si>
    <t>11553.68</t>
  </si>
  <si>
    <t>25850.13</t>
  </si>
  <si>
    <t>449.3</t>
  </si>
  <si>
    <t>650.6</t>
  </si>
  <si>
    <t>47547.59</t>
  </si>
  <si>
    <t>294.42</t>
  </si>
  <si>
    <t>4014.03</t>
  </si>
  <si>
    <t>10538.29</t>
  </si>
  <si>
    <t>222.25</t>
  </si>
  <si>
    <t>1454.23</t>
  </si>
  <si>
    <t>924.16</t>
  </si>
  <si>
    <t>83844.8</t>
  </si>
  <si>
    <t>767.37</t>
  </si>
  <si>
    <t>7744.31</t>
  </si>
  <si>
    <t>14621.17</t>
  </si>
  <si>
    <t>283.23</t>
  </si>
  <si>
    <t>1711.34</t>
  </si>
  <si>
    <t>2742.85</t>
  </si>
  <si>
    <t>54834.57</t>
  </si>
  <si>
    <t>1778.05</t>
  </si>
  <si>
    <t>33135.16</t>
  </si>
  <si>
    <t>19257.8</t>
  </si>
  <si>
    <t>321.16</t>
  </si>
  <si>
    <t>2967.9</t>
  </si>
  <si>
    <t>16264.18</t>
  </si>
  <si>
    <t>50740.36</t>
  </si>
  <si>
    <t>312.22</t>
  </si>
  <si>
    <t>1173.16</t>
  </si>
  <si>
    <t>10495.11</t>
  </si>
  <si>
    <t>9758.09</t>
  </si>
  <si>
    <t>419.25</t>
  </si>
  <si>
    <t>15117.35</t>
  </si>
  <si>
    <t>77.86</t>
  </si>
  <si>
    <t>13858.16</t>
  </si>
  <si>
    <t>666.34</t>
  </si>
  <si>
    <t>114.33</t>
  </si>
  <si>
    <t>367.24</t>
  </si>
  <si>
    <t>237.53</t>
  </si>
  <si>
    <t>162.87</t>
  </si>
  <si>
    <t>198.88</t>
  </si>
  <si>
    <t>61528.50</t>
  </si>
  <si>
    <t>8729.8</t>
  </si>
  <si>
    <t>1429.24</t>
  </si>
  <si>
    <t>42525.71</t>
  </si>
  <si>
    <t>38415.82</t>
  </si>
  <si>
    <t>8520.38</t>
  </si>
  <si>
    <t>72834.06</t>
  </si>
  <si>
    <t>984.79</t>
  </si>
  <si>
    <t>1355.92</t>
  </si>
  <si>
    <t>9562.85</t>
  </si>
  <si>
    <t>20414.91</t>
  </si>
  <si>
    <t>554.08</t>
  </si>
  <si>
    <t>33969.72</t>
  </si>
  <si>
    <t>1425.69</t>
  </si>
  <si>
    <t>1.77</t>
  </si>
  <si>
    <t>0.66</t>
  </si>
  <si>
    <t>8002.77</t>
  </si>
  <si>
    <t>101.42</t>
  </si>
  <si>
    <t>452.11</t>
  </si>
  <si>
    <t>7361.17</t>
  </si>
  <si>
    <t>11822.4</t>
  </si>
  <si>
    <t>98.67</t>
  </si>
  <si>
    <t>528.94</t>
  </si>
  <si>
    <t>9212.47</t>
  </si>
  <si>
    <t>217.83</t>
  </si>
  <si>
    <t>558.94</t>
  </si>
  <si>
    <t>14447.02</t>
  </si>
  <si>
    <t>10443.89</t>
  </si>
  <si>
    <t>129.84</t>
  </si>
  <si>
    <t>32.57</t>
  </si>
  <si>
    <t>633.14</t>
  </si>
  <si>
    <t>9186.77</t>
  </si>
  <si>
    <t>14.66</t>
  </si>
  <si>
    <t>7141.89</t>
  </si>
  <si>
    <t>3368.72</t>
  </si>
  <si>
    <t>145.34</t>
  </si>
  <si>
    <t>32.05</t>
  </si>
  <si>
    <t>17344.65</t>
  </si>
  <si>
    <t>3.04</t>
  </si>
  <si>
    <t>6.46</t>
  </si>
  <si>
    <t>12.15</t>
  </si>
  <si>
    <t>15.64</t>
  </si>
  <si>
    <t>109.57</t>
  </si>
  <si>
    <t>36705.66</t>
  </si>
  <si>
    <t>688.76</t>
  </si>
  <si>
    <t>954.97</t>
  </si>
  <si>
    <t>1977.83</t>
  </si>
  <si>
    <t>26313.09</t>
  </si>
  <si>
    <t>252.79</t>
  </si>
  <si>
    <t>3074.88</t>
  </si>
  <si>
    <t>26250.89</t>
  </si>
  <si>
    <t>2944.52</t>
  </si>
  <si>
    <t>21465.84</t>
  </si>
  <si>
    <t>36484.02</t>
  </si>
  <si>
    <t>539.14</t>
  </si>
  <si>
    <t>14601.68</t>
  </si>
  <si>
    <t>141.74</t>
  </si>
  <si>
    <t>87695.33</t>
  </si>
  <si>
    <t>5463.36</t>
  </si>
  <si>
    <t>17414.4</t>
  </si>
  <si>
    <t>38912.92</t>
  </si>
  <si>
    <t>10439.1</t>
  </si>
  <si>
    <t>70.03</t>
  </si>
  <si>
    <t>106488.19</t>
  </si>
  <si>
    <t>4.25</t>
  </si>
  <si>
    <t>741.16</t>
  </si>
  <si>
    <t>460.77</t>
  </si>
  <si>
    <t>214.17</t>
  </si>
  <si>
    <t>43112.61</t>
  </si>
  <si>
    <t>512.02</t>
  </si>
  <si>
    <t>1027.55</t>
  </si>
  <si>
    <t>7617.57</t>
  </si>
  <si>
    <t>37836.35</t>
  </si>
  <si>
    <t>11707.93</t>
  </si>
  <si>
    <t>29047.95</t>
  </si>
  <si>
    <t>1074.05</t>
  </si>
  <si>
    <t>20929.2</t>
  </si>
  <si>
    <t>42975.39</t>
  </si>
  <si>
    <t>479.3</t>
  </si>
  <si>
    <t>3115.25</t>
  </si>
  <si>
    <t>1180.31</t>
  </si>
  <si>
    <t>36.87</t>
  </si>
  <si>
    <t>156.85</t>
  </si>
  <si>
    <t>1163.18</t>
  </si>
  <si>
    <t>24.13</t>
  </si>
  <si>
    <t>6928.41</t>
  </si>
  <si>
    <t>24.57</t>
  </si>
  <si>
    <t>205.92</t>
  </si>
  <si>
    <t>145.72</t>
  </si>
  <si>
    <t>7463.51</t>
  </si>
  <si>
    <t>51.37</t>
  </si>
  <si>
    <t>33.63</t>
  </si>
  <si>
    <t>30567.08</t>
  </si>
  <si>
    <t>375.7</t>
  </si>
  <si>
    <t>18790.72</t>
  </si>
  <si>
    <t>31884.22</t>
  </si>
  <si>
    <t>336.3</t>
  </si>
  <si>
    <t>5812.36</t>
  </si>
  <si>
    <t>33647.47</t>
  </si>
  <si>
    <t>517.56</t>
  </si>
  <si>
    <t>487597.08</t>
  </si>
  <si>
    <t>32343.3</t>
  </si>
  <si>
    <t>524.2</t>
  </si>
  <si>
    <t>9543.13</t>
  </si>
  <si>
    <t>23310.53</t>
  </si>
  <si>
    <t>166.95</t>
  </si>
  <si>
    <t>1063.9</t>
  </si>
  <si>
    <t>24553.89</t>
  </si>
  <si>
    <t>27493.75</t>
  </si>
  <si>
    <t>434.28</t>
  </si>
  <si>
    <t>32056.69</t>
  </si>
  <si>
    <t>12354.6</t>
  </si>
  <si>
    <t>4.72</t>
  </si>
  <si>
    <t>275.71</t>
  </si>
  <si>
    <t>3.98</t>
  </si>
  <si>
    <t>3.35</t>
  </si>
  <si>
    <t>6.07</t>
  </si>
  <si>
    <t>22921.38</t>
  </si>
  <si>
    <t>190.53</t>
  </si>
  <si>
    <t>2748.64</t>
  </si>
  <si>
    <t>12024.91</t>
  </si>
  <si>
    <t>1542.47</t>
  </si>
  <si>
    <t>554.9</t>
  </si>
  <si>
    <t>49008.53</t>
  </si>
  <si>
    <t>1237.6</t>
  </si>
  <si>
    <t>17373.64</t>
  </si>
  <si>
    <t>23754.26</t>
  </si>
  <si>
    <t>328.73</t>
  </si>
  <si>
    <t>3844.5</t>
  </si>
  <si>
    <t>624.42</t>
  </si>
  <si>
    <t>50567.11</t>
  </si>
  <si>
    <t>479.83</t>
  </si>
  <si>
    <t>1246.17</t>
  </si>
  <si>
    <t>5900.42</t>
  </si>
  <si>
    <t>13915.35</t>
  </si>
  <si>
    <t>10890.07</t>
  </si>
  <si>
    <t>112134.51</t>
  </si>
  <si>
    <t>920.96</t>
  </si>
  <si>
    <t>7666.32</t>
  </si>
  <si>
    <t>32291.48</t>
  </si>
  <si>
    <t>19652.12</t>
  </si>
  <si>
    <t>223.64</t>
  </si>
  <si>
    <t>9847.25</t>
  </si>
  <si>
    <t>10907.91</t>
  </si>
  <si>
    <t>6957.00</t>
  </si>
  <si>
    <t>42367.49</t>
  </si>
  <si>
    <t>628.59</t>
  </si>
  <si>
    <t>706.59</t>
  </si>
  <si>
    <t>186.56</t>
  </si>
  <si>
    <t>13341.95</t>
  </si>
  <si>
    <t>2025.62</t>
  </si>
  <si>
    <t>1686.73</t>
  </si>
  <si>
    <t>20282.19</t>
  </si>
  <si>
    <t>39753.17</t>
  </si>
  <si>
    <t>12761.04</t>
  </si>
  <si>
    <t>26716.19</t>
  </si>
  <si>
    <t>702.25</t>
  </si>
  <si>
    <t>101.93</t>
  </si>
  <si>
    <t>258.56</t>
  </si>
  <si>
    <t>150.3</t>
  </si>
  <si>
    <t>54.48</t>
  </si>
  <si>
    <t>6613.75</t>
  </si>
  <si>
    <t>222.17</t>
  </si>
  <si>
    <t>3803.53</t>
  </si>
  <si>
    <t>17259.46</t>
  </si>
  <si>
    <t>2165.74</t>
  </si>
  <si>
    <t>101.6</t>
  </si>
  <si>
    <t>14202.94</t>
  </si>
  <si>
    <t>598.33</t>
  </si>
  <si>
    <t>14233.48</t>
  </si>
  <si>
    <t>23496.47</t>
  </si>
  <si>
    <t>214.59</t>
  </si>
  <si>
    <t>2021.44</t>
  </si>
  <si>
    <t>149.84</t>
  </si>
  <si>
    <t>16732.5</t>
  </si>
  <si>
    <t>874.13</t>
  </si>
  <si>
    <t>38597.36</t>
  </si>
  <si>
    <t>26247.98</t>
  </si>
  <si>
    <t>5221.81</t>
  </si>
  <si>
    <t>10695.72</t>
  </si>
  <si>
    <t>770.24</t>
  </si>
  <si>
    <t>846.39</t>
  </si>
  <si>
    <t>14658.9</t>
  </si>
  <si>
    <t>23299.33</t>
  </si>
  <si>
    <t>7516.77</t>
  </si>
  <si>
    <t>27759.59</t>
  </si>
  <si>
    <t>5.18</t>
  </si>
  <si>
    <t>594.68</t>
  </si>
  <si>
    <t>24.28</t>
  </si>
  <si>
    <t>29.38</t>
  </si>
  <si>
    <t>36.8</t>
  </si>
  <si>
    <t>93.65</t>
  </si>
  <si>
    <t>65308.47</t>
  </si>
  <si>
    <t>135.91</t>
  </si>
  <si>
    <t>1431.43</t>
  </si>
  <si>
    <t>15971.15</t>
  </si>
  <si>
    <t>562.14</t>
  </si>
  <si>
    <t>126365.54</t>
  </si>
  <si>
    <t>609.45</t>
  </si>
  <si>
    <t>5200.95</t>
  </si>
  <si>
    <t>23892.18</t>
  </si>
  <si>
    <t>1111.95</t>
  </si>
  <si>
    <t>12528.31</t>
  </si>
  <si>
    <t>830.15</t>
  </si>
  <si>
    <t>1100.29</t>
  </si>
  <si>
    <t>10895.09</t>
  </si>
  <si>
    <t>21344.56</t>
  </si>
  <si>
    <t>0.84</t>
  </si>
  <si>
    <t>77993.41</t>
  </si>
  <si>
    <t>20.09</t>
  </si>
  <si>
    <t>277.92</t>
  </si>
  <si>
    <t>1258.96</t>
  </si>
  <si>
    <t>106.25</t>
  </si>
  <si>
    <t>133.66</t>
  </si>
  <si>
    <t>59437.83</t>
  </si>
  <si>
    <t>263.33</t>
  </si>
  <si>
    <t>979.95</t>
  </si>
  <si>
    <t>27321.48</t>
  </si>
  <si>
    <t>313.59</t>
  </si>
  <si>
    <t>1309.4</t>
  </si>
  <si>
    <t>16649.86</t>
  </si>
  <si>
    <t>917.11</t>
  </si>
  <si>
    <t>3823.43</t>
  </si>
  <si>
    <t>34022.14</t>
  </si>
  <si>
    <t>343.86</t>
  </si>
  <si>
    <t>2149.71</t>
  </si>
  <si>
    <t>56297.67</t>
  </si>
  <si>
    <t>713.37</t>
  </si>
  <si>
    <t>8391.31</t>
  </si>
  <si>
    <t>28182.19</t>
  </si>
  <si>
    <t>2245.84</t>
  </si>
  <si>
    <t>3010.65</t>
  </si>
  <si>
    <t>1.4</t>
  </si>
  <si>
    <t>7.95</t>
  </si>
  <si>
    <t>135750.39</t>
  </si>
  <si>
    <t>96.84</t>
  </si>
  <si>
    <t>920.28</t>
  </si>
  <si>
    <t>16991.31</t>
  </si>
  <si>
    <t>183.9</t>
  </si>
  <si>
    <t>266.47</t>
  </si>
  <si>
    <t>90137.30</t>
  </si>
  <si>
    <t>197.5</t>
  </si>
  <si>
    <t>1136.71</t>
  </si>
  <si>
    <t>6495.8</t>
  </si>
  <si>
    <t>22976.24</t>
  </si>
  <si>
    <t>2657.98</t>
  </si>
  <si>
    <t>14537.66</t>
  </si>
  <si>
    <t>82.43</t>
  </si>
  <si>
    <t>3551.78</t>
  </si>
  <si>
    <t>11374.39</t>
  </si>
  <si>
    <t>3240.76</t>
  </si>
  <si>
    <t>34056.17</t>
  </si>
  <si>
    <t>7.89</t>
  </si>
  <si>
    <t>19.81</t>
  </si>
  <si>
    <t>191.59</t>
  </si>
  <si>
    <t>232.31</t>
  </si>
  <si>
    <t>1416.63</t>
  </si>
  <si>
    <t>18408.87</t>
  </si>
  <si>
    <t>1066.59</t>
  </si>
  <si>
    <t>145.79</t>
  </si>
  <si>
    <t>35027.85</t>
  </si>
  <si>
    <t>1095.14</t>
  </si>
  <si>
    <t>6654.69</t>
  </si>
  <si>
    <t>28796.96</t>
  </si>
  <si>
    <t>275.63</t>
  </si>
  <si>
    <t>2018.69</t>
  </si>
  <si>
    <t>1040.33</t>
  </si>
  <si>
    <t>155320.18</t>
  </si>
  <si>
    <t>575.51</t>
  </si>
  <si>
    <t>19171.32</t>
  </si>
  <si>
    <t>22152.7</t>
  </si>
  <si>
    <t>621.15</t>
  </si>
  <si>
    <t>34211.72</t>
  </si>
  <si>
    <t>51978.40</t>
  </si>
  <si>
    <t>6.33</t>
  </si>
  <si>
    <t>222.58</t>
  </si>
  <si>
    <t>118.98</t>
  </si>
  <si>
    <t>126.19</t>
  </si>
  <si>
    <t>47873.22</t>
  </si>
  <si>
    <t>2180.71</t>
  </si>
  <si>
    <t>4739.5</t>
  </si>
  <si>
    <t>32730.28</t>
  </si>
  <si>
    <t>5855.5</t>
  </si>
  <si>
    <t>170.19</t>
  </si>
  <si>
    <t>119016.17</t>
  </si>
  <si>
    <t>7433.94</t>
  </si>
  <si>
    <t>1282.73</t>
  </si>
  <si>
    <t>13860.68</t>
  </si>
  <si>
    <t>39451.44</t>
  </si>
  <si>
    <t>12191.79</t>
  </si>
  <si>
    <t>97180.65</t>
  </si>
  <si>
    <t>856.72</t>
  </si>
  <si>
    <t>1502.67</t>
  </si>
  <si>
    <t>15496.64</t>
  </si>
  <si>
    <t>28929.99</t>
  </si>
  <si>
    <t>576.46</t>
  </si>
  <si>
    <t>28752.03</t>
  </si>
  <si>
    <t>27.85</t>
  </si>
  <si>
    <t>2925.35</t>
  </si>
  <si>
    <t>17.84</t>
  </si>
  <si>
    <t>400.45</t>
  </si>
  <si>
    <t>16.7</t>
  </si>
  <si>
    <t>15849.59</t>
  </si>
  <si>
    <t>541.33</t>
  </si>
  <si>
    <t>19926.99</t>
  </si>
  <si>
    <t>29079.16</t>
  </si>
  <si>
    <t>290.83</t>
  </si>
  <si>
    <t>3320.68</t>
  </si>
  <si>
    <t>507.36</t>
  </si>
  <si>
    <t>21331.22</t>
  </si>
  <si>
    <t>1409.82</t>
  </si>
  <si>
    <t>670036.33</t>
  </si>
  <si>
    <t>28174.66</t>
  </si>
  <si>
    <t>381.61</t>
  </si>
  <si>
    <t>13958.61</t>
  </si>
  <si>
    <t>194.77</t>
  </si>
  <si>
    <t>15243.59</t>
  </si>
  <si>
    <t>278.55</t>
  </si>
  <si>
    <t>17912.39</t>
  </si>
  <si>
    <t>25113.72</t>
  </si>
  <si>
    <t>351.42</t>
  </si>
  <si>
    <t>12634.69</t>
  </si>
  <si>
    <t>50.63</t>
  </si>
  <si>
    <t>24362.8</t>
  </si>
  <si>
    <t>2.54</t>
  </si>
  <si>
    <t>381.27</t>
  </si>
  <si>
    <t>8.48</t>
  </si>
  <si>
    <t>6.52</t>
  </si>
  <si>
    <t>16.17</t>
  </si>
  <si>
    <t>129.63</t>
  </si>
  <si>
    <t>20057.71</t>
  </si>
  <si>
    <t>173.42</t>
  </si>
  <si>
    <t>2135.38</t>
  </si>
  <si>
    <t>9319.94</t>
  </si>
  <si>
    <t>153.07</t>
  </si>
  <si>
    <t>1155.26</t>
  </si>
  <si>
    <t>959.82</t>
  </si>
  <si>
    <t>23949.23</t>
  </si>
  <si>
    <t>912.02</t>
  </si>
  <si>
    <t>10157.33</t>
  </si>
  <si>
    <t>17055.63</t>
  </si>
  <si>
    <t>2628.86</t>
  </si>
  <si>
    <t>277.72</t>
  </si>
  <si>
    <t>52796.41</t>
  </si>
  <si>
    <t>24.76</t>
  </si>
  <si>
    <t>544.71</t>
  </si>
  <si>
    <t>1408.33</t>
  </si>
  <si>
    <t>3048.93</t>
  </si>
  <si>
    <t>97.62</t>
  </si>
  <si>
    <t>243.18</t>
  </si>
  <si>
    <t>265.33</t>
  </si>
  <si>
    <t>197.43</t>
  </si>
  <si>
    <t>89.69</t>
  </si>
  <si>
    <t>11644.69</t>
  </si>
  <si>
    <t>310.05</t>
  </si>
  <si>
    <t>6664.92</t>
  </si>
  <si>
    <t>16025.46</t>
  </si>
  <si>
    <t>6023.99</t>
  </si>
  <si>
    <t>10744.45</t>
  </si>
  <si>
    <t>641.54</t>
  </si>
  <si>
    <t>11192.55</t>
  </si>
  <si>
    <t>18825.3</t>
  </si>
  <si>
    <t>7570.41</t>
  </si>
  <si>
    <t>27368.45</t>
  </si>
  <si>
    <t>41.9</t>
  </si>
  <si>
    <t>523.26</t>
  </si>
  <si>
    <t>1720.32</t>
  </si>
  <si>
    <t>4009.82</t>
  </si>
  <si>
    <t>4356.34</t>
  </si>
  <si>
    <t>13.14</t>
  </si>
  <si>
    <t>1136.15</t>
  </si>
  <si>
    <t>0.36</t>
  </si>
  <si>
    <t>2.67</t>
  </si>
  <si>
    <t>0.99</t>
  </si>
  <si>
    <t>1206.93</t>
  </si>
  <si>
    <t>11549.71</t>
  </si>
  <si>
    <t>502.6</t>
  </si>
  <si>
    <t>6870.85</t>
  </si>
  <si>
    <t>20303.71</t>
  </si>
  <si>
    <t>2410.97</t>
  </si>
  <si>
    <t>3466.99</t>
  </si>
  <si>
    <t>9167.52</t>
  </si>
  <si>
    <t>432.22</t>
  </si>
  <si>
    <t>23054.61</t>
  </si>
  <si>
    <t>18327.56</t>
  </si>
  <si>
    <t>5625.82</t>
  </si>
  <si>
    <t>1116.69</t>
  </si>
  <si>
    <t>10039.99</t>
  </si>
  <si>
    <t>29.15</t>
  </si>
  <si>
    <t>12398.99</t>
  </si>
  <si>
    <t>12452.49</t>
  </si>
  <si>
    <t>7222.64</t>
  </si>
  <si>
    <t>58.35</t>
  </si>
  <si>
    <t>22237.13</t>
  </si>
  <si>
    <t>5.41</t>
  </si>
  <si>
    <t>13.07</t>
  </si>
  <si>
    <t>90.84</t>
  </si>
  <si>
    <t>27665.68</t>
  </si>
  <si>
    <t>324.74</t>
  </si>
  <si>
    <t>1034.86</t>
  </si>
  <si>
    <t>6440.89</t>
  </si>
  <si>
    <t>641.06</t>
  </si>
  <si>
    <t>62513.57</t>
  </si>
  <si>
    <t>2038.97</t>
  </si>
  <si>
    <t>882.54</t>
  </si>
  <si>
    <t>7820.8</t>
  </si>
  <si>
    <t>18290.82</t>
  </si>
  <si>
    <t>2554.92</t>
  </si>
  <si>
    <t>100965.93</t>
  </si>
  <si>
    <t>968.49</t>
  </si>
  <si>
    <t>8647.01</t>
  </si>
  <si>
    <t>11050.82</t>
  </si>
  <si>
    <t>17071.77</t>
  </si>
  <si>
    <t>64118.04</t>
  </si>
  <si>
    <t>4.01</t>
  </si>
  <si>
    <t>254.45</t>
  </si>
  <si>
    <t>73.9</t>
  </si>
  <si>
    <t>273.79</t>
  </si>
  <si>
    <t>121.59</t>
  </si>
  <si>
    <t>76641.45</t>
  </si>
  <si>
    <t>836.99</t>
  </si>
  <si>
    <t>5164.02</t>
  </si>
  <si>
    <t>27048.74</t>
  </si>
  <si>
    <t>306.01</t>
  </si>
  <si>
    <t>7330.75</t>
  </si>
  <si>
    <t>61258.8</t>
  </si>
  <si>
    <t>2232.05</t>
  </si>
  <si>
    <t>23996.79</t>
  </si>
  <si>
    <t>35964.16</t>
  </si>
  <si>
    <t>456.8</t>
  </si>
  <si>
    <t>25088.36</t>
  </si>
  <si>
    <t>162.04</t>
  </si>
  <si>
    <t>230.08</t>
  </si>
  <si>
    <t>5457.58</t>
  </si>
  <si>
    <t>11121.67</t>
  </si>
  <si>
    <t>6.05</t>
  </si>
  <si>
    <t>1057.61</t>
  </si>
  <si>
    <t>102.53</t>
  </si>
  <si>
    <t>0.35</t>
  </si>
  <si>
    <t>11082.16</t>
  </si>
  <si>
    <t>137.18</t>
  </si>
  <si>
    <t>1646.18</t>
  </si>
  <si>
    <t>9246.72</t>
  </si>
  <si>
    <t>917.7</t>
  </si>
  <si>
    <t>16113.42</t>
  </si>
  <si>
    <t>223.51</t>
  </si>
  <si>
    <t>11224.17</t>
  </si>
  <si>
    <t>13431.23</t>
  </si>
  <si>
    <t>245.16</t>
  </si>
  <si>
    <t>4518.87</t>
  </si>
  <si>
    <t>12747.82</t>
  </si>
  <si>
    <t>52.61</t>
  </si>
  <si>
    <t>5501.98</t>
  </si>
  <si>
    <t>3875.83</t>
  </si>
  <si>
    <t>4001.58</t>
  </si>
  <si>
    <t>2159.15</t>
  </si>
  <si>
    <t>2.03</t>
  </si>
  <si>
    <t>1.8</t>
  </si>
  <si>
    <t>9477.85</t>
  </si>
  <si>
    <t>347.53</t>
  </si>
  <si>
    <t>2408.47</t>
  </si>
  <si>
    <t>6144.73</t>
  </si>
  <si>
    <t>553.25</t>
  </si>
  <si>
    <t>378.92</t>
  </si>
  <si>
    <t>10371.8</t>
  </si>
  <si>
    <t>929.76</t>
  </si>
  <si>
    <t>7032.3</t>
  </si>
  <si>
    <t>10444.71</t>
  </si>
  <si>
    <t>122.07</t>
  </si>
  <si>
    <t>1161.07</t>
  </si>
  <si>
    <t>10730.52</t>
  </si>
  <si>
    <t>389.72</t>
  </si>
  <si>
    <t>2111.7</t>
  </si>
  <si>
    <t>3561.73</t>
  </si>
  <si>
    <t>2904.27</t>
  </si>
  <si>
    <t>1435.51</t>
  </si>
  <si>
    <t>0.96</t>
  </si>
  <si>
    <t>6.87</t>
  </si>
  <si>
    <t>33.66</t>
  </si>
  <si>
    <t>252.69</t>
  </si>
  <si>
    <t>9621.76</t>
  </si>
  <si>
    <t>642.91</t>
  </si>
  <si>
    <t>9542.46</t>
  </si>
  <si>
    <t>18550.64</t>
  </si>
  <si>
    <t>1358.3</t>
  </si>
  <si>
    <t>738.27</t>
  </si>
  <si>
    <t>8717.31</t>
  </si>
  <si>
    <t>685.34</t>
  </si>
  <si>
    <t>17173.71</t>
  </si>
  <si>
    <t>13101.61</t>
  </si>
  <si>
    <t>3793.31</t>
  </si>
  <si>
    <t>328.13</t>
  </si>
  <si>
    <t>8252.48</t>
  </si>
  <si>
    <t>125.29</t>
  </si>
  <si>
    <t>7462.4</t>
  </si>
  <si>
    <t>11592.41</t>
  </si>
  <si>
    <t>4499.83</t>
  </si>
  <si>
    <t>35641.56</t>
  </si>
  <si>
    <t>9.42</t>
  </si>
  <si>
    <t>810.28</t>
  </si>
  <si>
    <t>32.83</t>
  </si>
  <si>
    <t>151.57</t>
  </si>
  <si>
    <t>106.49</t>
  </si>
  <si>
    <t>34.69</t>
  </si>
  <si>
    <t>72507.7</t>
  </si>
  <si>
    <t>456.84</t>
  </si>
  <si>
    <t>3058.39</t>
  </si>
  <si>
    <t>18123.12</t>
  </si>
  <si>
    <t>229.89</t>
  </si>
  <si>
    <t>2472.89</t>
  </si>
  <si>
    <t>572.24</t>
  </si>
  <si>
    <t>3277.41</t>
  </si>
  <si>
    <t>1319.31</t>
  </si>
  <si>
    <t>15057.09</t>
  </si>
  <si>
    <t>27689.29</t>
  </si>
  <si>
    <t>396.68</t>
  </si>
  <si>
    <t>6535.96</t>
  </si>
  <si>
    <t>3962.72</t>
  </si>
  <si>
    <t>200.68</t>
  </si>
  <si>
    <t>6834.22</t>
  </si>
  <si>
    <t>15054.43</t>
  </si>
  <si>
    <t>546.61</t>
  </si>
  <si>
    <t>26632.04</t>
  </si>
  <si>
    <t>120659.94</t>
  </si>
  <si>
    <t>7.67</t>
  </si>
  <si>
    <t>95.36</t>
  </si>
  <si>
    <t>353.6</t>
  </si>
  <si>
    <t>113.6</t>
  </si>
  <si>
    <t>166.11</t>
  </si>
  <si>
    <t>1683.88</t>
  </si>
  <si>
    <t>12005.69</t>
  </si>
  <si>
    <t>34721.33</t>
  </si>
  <si>
    <t>10697.9</t>
  </si>
  <si>
    <t>57657.64</t>
  </si>
  <si>
    <t>3288.43</t>
  </si>
  <si>
    <t>44591.3</t>
  </si>
  <si>
    <t>36858.05</t>
  </si>
  <si>
    <t>197.35</t>
  </si>
  <si>
    <t>3081.52</t>
  </si>
  <si>
    <t>16329.18</t>
  </si>
  <si>
    <t>14713.69</t>
  </si>
  <si>
    <t>683.91</t>
  </si>
  <si>
    <t>0.82</t>
  </si>
  <si>
    <t>6517.36</t>
  </si>
  <si>
    <t>328.48</t>
  </si>
  <si>
    <t>4460.48</t>
  </si>
  <si>
    <t>19220.77</t>
  </si>
  <si>
    <t>2952.7</t>
  </si>
  <si>
    <t>1288.5</t>
  </si>
  <si>
    <t>7311.9</t>
  </si>
  <si>
    <t>372.3</t>
  </si>
  <si>
    <t>17419.97</t>
  </si>
  <si>
    <t>20242.78</t>
  </si>
  <si>
    <t>10764.62</t>
  </si>
  <si>
    <t>1306.67</t>
  </si>
  <si>
    <t>7851.96</t>
  </si>
  <si>
    <t>11.13</t>
  </si>
  <si>
    <t>8778.04</t>
  </si>
  <si>
    <t>6846.22</t>
  </si>
  <si>
    <t>7909.87</t>
  </si>
  <si>
    <t>15452.31</t>
  </si>
  <si>
    <t>4.48</t>
  </si>
  <si>
    <t>3.56</t>
  </si>
  <si>
    <t>7.59</t>
  </si>
  <si>
    <t>12.46</t>
  </si>
  <si>
    <t>17832.09</t>
  </si>
  <si>
    <t>452.65</t>
  </si>
  <si>
    <t>3749.95</t>
  </si>
  <si>
    <t>14629.59</t>
  </si>
  <si>
    <t>1217.67</t>
  </si>
  <si>
    <t>244.37</t>
  </si>
  <si>
    <t>16791.73</t>
  </si>
  <si>
    <t>1386.91</t>
  </si>
  <si>
    <t>15777.77</t>
  </si>
  <si>
    <t>18874.67</t>
  </si>
  <si>
    <t>260.41</t>
  </si>
  <si>
    <t>2370.02</t>
  </si>
  <si>
    <t>4937.18</t>
  </si>
  <si>
    <t>13808.82</t>
  </si>
  <si>
    <t>18640.36</t>
  </si>
  <si>
    <t>14728.81</t>
  </si>
  <si>
    <t>441.79</t>
  </si>
  <si>
    <t>137.7</t>
  </si>
  <si>
    <t>9.85</t>
  </si>
  <si>
    <t>37.23</t>
  </si>
  <si>
    <t>345.59</t>
  </si>
  <si>
    <t>305.14</t>
  </si>
  <si>
    <t>3664.72</t>
  </si>
  <si>
    <t>15569.46</t>
  </si>
  <si>
    <t>486.79</t>
  </si>
  <si>
    <t>16460.67</t>
  </si>
  <si>
    <t>211.24</t>
  </si>
  <si>
    <t>95098.38</t>
  </si>
  <si>
    <t>57.65</t>
  </si>
  <si>
    <t>134764.7</t>
  </si>
  <si>
    <t>37537.49</t>
  </si>
  <si>
    <t>516.72</t>
  </si>
  <si>
    <t>5374.91</t>
  </si>
  <si>
    <t>340.79</t>
  </si>
  <si>
    <t>2131.13</t>
  </si>
  <si>
    <t>35620.03</t>
  </si>
  <si>
    <t>37635.99</t>
  </si>
  <si>
    <t>799.15</t>
  </si>
  <si>
    <t>9.57</t>
  </si>
  <si>
    <t>4997.84</t>
  </si>
  <si>
    <t>98.13</t>
  </si>
  <si>
    <t>717.49</t>
  </si>
  <si>
    <t>10.9</t>
  </si>
  <si>
    <t>24.12</t>
  </si>
  <si>
    <t>2800.53</t>
  </si>
  <si>
    <t>7113.51</t>
  </si>
  <si>
    <t>293.84</t>
  </si>
  <si>
    <t>11784.4</t>
  </si>
  <si>
    <t>26105.97</t>
  </si>
  <si>
    <t>5381.57</t>
  </si>
  <si>
    <t>4660.02</t>
  </si>
  <si>
    <t>5963.66</t>
  </si>
  <si>
    <t>601.49</t>
  </si>
  <si>
    <t>33895.73</t>
  </si>
  <si>
    <t>20135.17</t>
  </si>
  <si>
    <t>12809.59</t>
  </si>
  <si>
    <t>7394.57</t>
  </si>
  <si>
    <t>7624.78</t>
  </si>
  <si>
    <t>15.68</t>
  </si>
  <si>
    <t>12215.58</t>
  </si>
  <si>
    <t>11051.67</t>
  </si>
  <si>
    <t>16538.6</t>
  </si>
  <si>
    <t>6.78</t>
  </si>
  <si>
    <t>26.9</t>
  </si>
  <si>
    <t>11.23</t>
  </si>
  <si>
    <t>41.02</t>
  </si>
  <si>
    <t>50914.88</t>
  </si>
  <si>
    <t>100.28</t>
  </si>
  <si>
    <t>615.87</t>
  </si>
  <si>
    <t>15544.29</t>
  </si>
  <si>
    <t>598.72</t>
  </si>
  <si>
    <t>1061.92</t>
  </si>
  <si>
    <t>6784.76</t>
  </si>
  <si>
    <t>33082.16</t>
  </si>
  <si>
    <t>3015.99</t>
  </si>
  <si>
    <t>859.6</t>
  </si>
  <si>
    <t>8616.54</t>
  </si>
  <si>
    <t>28918.4</t>
  </si>
  <si>
    <t>471.8</t>
  </si>
  <si>
    <t>31997.93</t>
  </si>
  <si>
    <t>11.55</t>
  </si>
  <si>
    <t>41.61</t>
  </si>
  <si>
    <t>129.54</t>
  </si>
  <si>
    <t>146.63</t>
  </si>
  <si>
    <t>3287.59</t>
  </si>
  <si>
    <t>37668.88</t>
  </si>
  <si>
    <t>3977.15</t>
  </si>
  <si>
    <t>1187.14</t>
  </si>
  <si>
    <t>12862.36</t>
  </si>
  <si>
    <t>41842.55</t>
  </si>
  <si>
    <t>9286.7</t>
  </si>
  <si>
    <t>484.14</t>
  </si>
  <si>
    <t>8651.83</t>
  </si>
  <si>
    <t>36126.08</t>
  </si>
  <si>
    <t>4354.94</t>
  </si>
  <si>
    <t>4.22</t>
  </si>
  <si>
    <t>0.72</t>
  </si>
  <si>
    <t>134554.09</t>
  </si>
  <si>
    <t>84.26</t>
  </si>
  <si>
    <t>1068.24</t>
  </si>
  <si>
    <t>14503.71</t>
  </si>
  <si>
    <t>325.52</t>
  </si>
  <si>
    <t>343.38</t>
  </si>
  <si>
    <t>6673.88</t>
  </si>
  <si>
    <t>24560.07</t>
  </si>
  <si>
    <t>4218.36</t>
  </si>
  <si>
    <t>49116.49</t>
  </si>
  <si>
    <t>69.93</t>
  </si>
  <si>
    <t>1369.94</t>
  </si>
  <si>
    <t>11936.39</t>
  </si>
  <si>
    <t>1908.79</t>
  </si>
  <si>
    <t>339168.8</t>
  </si>
  <si>
    <t>31.35</t>
  </si>
  <si>
    <t>164.37</t>
  </si>
  <si>
    <t>53.67</t>
  </si>
  <si>
    <t>204558.8</t>
  </si>
  <si>
    <t>631.26</t>
  </si>
  <si>
    <t>4233.47</t>
  </si>
  <si>
    <t>21113.68</t>
  </si>
  <si>
    <t>1715.66</t>
  </si>
  <si>
    <t>546.24</t>
  </si>
  <si>
    <t>4313.12</t>
  </si>
  <si>
    <t>24886.74</t>
  </si>
  <si>
    <t>32244.06</t>
  </si>
  <si>
    <t>4459.86</t>
  </si>
  <si>
    <t>269.37</t>
  </si>
  <si>
    <t>289.77</t>
  </si>
  <si>
    <t>3548.71</t>
  </si>
  <si>
    <t>16002.82</t>
  </si>
  <si>
    <t>366.52</t>
  </si>
  <si>
    <t>8381.66</t>
  </si>
  <si>
    <t>332.9</t>
  </si>
  <si>
    <t>1340.36</t>
  </si>
  <si>
    <t>469.15</t>
  </si>
  <si>
    <t>28411.7</t>
  </si>
  <si>
    <t>943.67</t>
  </si>
  <si>
    <t>11880.9</t>
  </si>
  <si>
    <t>27828.45</t>
  </si>
  <si>
    <t>8033.75</t>
  </si>
  <si>
    <t>20324.33</t>
  </si>
  <si>
    <t>1440.25</t>
  </si>
  <si>
    <t>42731.62</t>
  </si>
  <si>
    <t>33826.99</t>
  </si>
  <si>
    <t>18900.4</t>
  </si>
  <si>
    <t>620.29</t>
  </si>
  <si>
    <t>6981.69</t>
  </si>
  <si>
    <t>22487.93</t>
  </si>
  <si>
    <t>12559.55</t>
  </si>
  <si>
    <t>35.37</t>
  </si>
  <si>
    <t>7785.95</t>
  </si>
  <si>
    <t>40.99</t>
  </si>
  <si>
    <t>856.54</t>
  </si>
  <si>
    <t>7320.6</t>
  </si>
  <si>
    <t>296.26</t>
  </si>
  <si>
    <t>261.02</t>
  </si>
  <si>
    <t>15064.17</t>
  </si>
  <si>
    <t>289.91</t>
  </si>
  <si>
    <t>9958.98</t>
  </si>
  <si>
    <t>27409.32</t>
  </si>
  <si>
    <t>2929.34</t>
  </si>
  <si>
    <t>1867.97</t>
  </si>
  <si>
    <t>16712.8</t>
  </si>
  <si>
    <t>775.16</t>
  </si>
  <si>
    <t>27086.15</t>
  </si>
  <si>
    <t>26337.77</t>
  </si>
  <si>
    <t>11674.13</t>
  </si>
  <si>
    <t>567.9</t>
  </si>
  <si>
    <t>14851.34</t>
  </si>
  <si>
    <t>46.04</t>
  </si>
  <si>
    <t>6498.94</t>
  </si>
  <si>
    <t>21833.87</t>
  </si>
  <si>
    <t>10343.25</t>
  </si>
  <si>
    <t>117.57</t>
  </si>
  <si>
    <t>10.7</t>
  </si>
  <si>
    <t>20.88</t>
  </si>
  <si>
    <t>12.33</t>
  </si>
  <si>
    <t>30.46</t>
  </si>
  <si>
    <t>119.04</t>
  </si>
  <si>
    <t>46522.77</t>
  </si>
  <si>
    <t>264.37</t>
  </si>
  <si>
    <t>521.25</t>
  </si>
  <si>
    <t>3411.02</t>
  </si>
  <si>
    <t>16827.17</t>
  </si>
  <si>
    <t>356.34</t>
  </si>
  <si>
    <t>2253.92</t>
  </si>
  <si>
    <t>163.49</t>
  </si>
  <si>
    <t>55677.13</t>
  </si>
  <si>
    <t>1168.9</t>
  </si>
  <si>
    <t>739.73</t>
  </si>
  <si>
    <t>11635.83</t>
  </si>
  <si>
    <t>18909.55</t>
  </si>
  <si>
    <t>462.97</t>
  </si>
  <si>
    <t>4189.95</t>
  </si>
  <si>
    <t>193.79</t>
  </si>
  <si>
    <t>66428.11</t>
  </si>
  <si>
    <t>842.43</t>
  </si>
  <si>
    <t>1065.05</t>
  </si>
  <si>
    <t>11796.02</t>
  </si>
  <si>
    <t>17905.78</t>
  </si>
  <si>
    <t>644.86</t>
  </si>
  <si>
    <t>14430.33</t>
  </si>
  <si>
    <t>86.68</t>
  </si>
  <si>
    <t>55239.71</t>
  </si>
  <si>
    <t>10.57</t>
  </si>
  <si>
    <t>500.16</t>
  </si>
  <si>
    <t>234.91</t>
  </si>
  <si>
    <t>321.83</t>
  </si>
  <si>
    <t>279.87</t>
  </si>
  <si>
    <t>156.47</t>
  </si>
  <si>
    <t>171.02</t>
  </si>
  <si>
    <t>53794.48</t>
  </si>
  <si>
    <t>299.49</t>
  </si>
  <si>
    <t>695.01</t>
  </si>
  <si>
    <t>4015.03</t>
  </si>
  <si>
    <t>18647.07</t>
  </si>
  <si>
    <t>432.55</t>
  </si>
  <si>
    <t>4289.07</t>
  </si>
  <si>
    <t>178.58</t>
  </si>
  <si>
    <t>54149.95</t>
  </si>
  <si>
    <t>1245.11</t>
  </si>
  <si>
    <t>853.55</t>
  </si>
  <si>
    <t>12950.79</t>
  </si>
  <si>
    <t>19589.12</t>
  </si>
  <si>
    <t>569.19</t>
  </si>
  <si>
    <t>7611.19</t>
  </si>
  <si>
    <t>186.17</t>
  </si>
  <si>
    <t>66573.85</t>
  </si>
  <si>
    <t>71.65</t>
  </si>
  <si>
    <t>807.69</t>
  </si>
  <si>
    <t>2719.64</t>
  </si>
  <si>
    <t>14907.72</t>
  </si>
  <si>
    <t>546.46</t>
  </si>
  <si>
    <t>5137.62</t>
  </si>
  <si>
    <t>4.92</t>
  </si>
  <si>
    <t>4304.21</t>
  </si>
  <si>
    <t>279.34</t>
  </si>
  <si>
    <t>29.8</t>
  </si>
  <si>
    <t>2.17</t>
  </si>
  <si>
    <t>97.36</t>
  </si>
  <si>
    <t>33773.12</t>
  </si>
  <si>
    <t>250.67</t>
  </si>
  <si>
    <t>563.87</t>
  </si>
  <si>
    <t>1121.94</t>
  </si>
  <si>
    <t>14342.28</t>
  </si>
  <si>
    <t>249.18</t>
  </si>
  <si>
    <t>1792.81</t>
  </si>
  <si>
    <t>137.4</t>
  </si>
  <si>
    <t>44044.12</t>
  </si>
  <si>
    <t>385.02</t>
  </si>
  <si>
    <t>899.85</t>
  </si>
  <si>
    <t>7471.36</t>
  </si>
  <si>
    <t>16323.95</t>
  </si>
  <si>
    <t>7948.59</t>
  </si>
  <si>
    <t>126.35</t>
  </si>
  <si>
    <t>36465.43</t>
  </si>
  <si>
    <t>290.92</t>
  </si>
  <si>
    <t>1495.42</t>
  </si>
  <si>
    <t>13331.37</t>
  </si>
  <si>
    <t>7456.62</t>
  </si>
  <si>
    <t>16.51</t>
  </si>
  <si>
    <t>9256.76</t>
  </si>
  <si>
    <t>6.81</t>
  </si>
  <si>
    <t>135.48</t>
  </si>
  <si>
    <t>23.82</t>
  </si>
  <si>
    <t>65.76</t>
  </si>
  <si>
    <t>39.62</t>
  </si>
  <si>
    <t>29.29</t>
  </si>
  <si>
    <t>8447.19</t>
  </si>
  <si>
    <t>13.29</t>
  </si>
  <si>
    <t>169.72</t>
  </si>
  <si>
    <t>201.29</t>
  </si>
  <si>
    <t>833.31</t>
  </si>
  <si>
    <t>31.69</t>
  </si>
  <si>
    <t>71.49</t>
  </si>
  <si>
    <t>28.99</t>
  </si>
  <si>
    <t>5408.82</t>
  </si>
  <si>
    <t>4.81</t>
  </si>
  <si>
    <t>59.16</t>
  </si>
  <si>
    <t>184.7</t>
  </si>
  <si>
    <t>22.08</t>
  </si>
  <si>
    <t>217.09</t>
  </si>
  <si>
    <t>17.04</t>
  </si>
  <si>
    <t>0.01</t>
  </si>
  <si>
    <t>1667.49</t>
  </si>
  <si>
    <t>0.58</t>
  </si>
  <si>
    <t>2.1</t>
  </si>
  <si>
    <t>0.97</t>
  </si>
  <si>
    <t>44411.01</t>
  </si>
  <si>
    <t>384.67</t>
  </si>
  <si>
    <t>6511.59</t>
  </si>
  <si>
    <t>13296.29</t>
  </si>
  <si>
    <t>310.49</t>
  </si>
  <si>
    <t>750.85</t>
  </si>
  <si>
    <t>255.7</t>
  </si>
  <si>
    <t>52682.46</t>
  </si>
  <si>
    <t>970.06</t>
  </si>
  <si>
    <t>27299.23</t>
  </si>
  <si>
    <t>14916.34</t>
  </si>
  <si>
    <t>523.71</t>
  </si>
  <si>
    <t>7131.26</t>
  </si>
  <si>
    <t>141.1</t>
  </si>
  <si>
    <t>46180.27</t>
  </si>
  <si>
    <t>596.28</t>
  </si>
  <si>
    <t>762.27</t>
  </si>
  <si>
    <t>5880.31</t>
  </si>
  <si>
    <t>11738.41</t>
  </si>
  <si>
    <t>6235.85</t>
  </si>
  <si>
    <t>62.25</t>
  </si>
  <si>
    <t>30712.56</t>
  </si>
  <si>
    <t>9.6</t>
  </si>
  <si>
    <t>13.22</t>
  </si>
  <si>
    <t>17.56</t>
  </si>
  <si>
    <t>141.23</t>
  </si>
  <si>
    <t>19.7</t>
  </si>
  <si>
    <t>90.22</t>
  </si>
  <si>
    <t>25114.73</t>
  </si>
  <si>
    <t>383.64</t>
  </si>
  <si>
    <t>357.06</t>
  </si>
  <si>
    <t>11292.97</t>
  </si>
  <si>
    <t>187.62</t>
  </si>
  <si>
    <t>1236.88</t>
  </si>
  <si>
    <t>335.08</t>
  </si>
  <si>
    <t>34846.18</t>
  </si>
  <si>
    <t>1967.68</t>
  </si>
  <si>
    <t>607.06</t>
  </si>
  <si>
    <t>7037.88</t>
  </si>
  <si>
    <t>14704.19</t>
  </si>
  <si>
    <t>341.07</t>
  </si>
  <si>
    <t>3037.03</t>
  </si>
  <si>
    <t>14268.11</t>
  </si>
  <si>
    <t>26137.78</t>
  </si>
  <si>
    <t>636.99</t>
  </si>
  <si>
    <t>628.85</t>
  </si>
  <si>
    <t>23798.42</t>
  </si>
  <si>
    <t>13371.43</t>
  </si>
  <si>
    <t>554.04</t>
  </si>
  <si>
    <t>13418.07</t>
  </si>
  <si>
    <t>122.69</t>
  </si>
  <si>
    <t>70338.88</t>
  </si>
  <si>
    <t>16.11</t>
  </si>
  <si>
    <t>588.4</t>
  </si>
  <si>
    <t>1399.55</t>
  </si>
  <si>
    <t>402.1</t>
  </si>
  <si>
    <t>380.31</t>
  </si>
  <si>
    <t>62145.78</t>
  </si>
  <si>
    <t>5946.68</t>
  </si>
  <si>
    <t>923.15</t>
  </si>
  <si>
    <t>16121.91</t>
  </si>
  <si>
    <t>19111.03</t>
  </si>
  <si>
    <t>584.34</t>
  </si>
  <si>
    <t>10061.25</t>
  </si>
  <si>
    <t>263.54</t>
  </si>
  <si>
    <t>59733.25</t>
  </si>
  <si>
    <t>13008.31</t>
  </si>
  <si>
    <t>1113.11</t>
  </si>
  <si>
    <t>22026.97</t>
  </si>
  <si>
    <t>19401.53</t>
  </si>
  <si>
    <t>788.26</t>
  </si>
  <si>
    <t>16274.26</t>
  </si>
  <si>
    <t>287.21</t>
  </si>
  <si>
    <t>69463.65</t>
  </si>
  <si>
    <t>4816.69</t>
  </si>
  <si>
    <t>1433.85</t>
  </si>
  <si>
    <t>87486.4</t>
  </si>
  <si>
    <t>18973.96</t>
  </si>
  <si>
    <t>976.32</t>
  </si>
  <si>
    <t>19553.13</t>
  </si>
  <si>
    <t>1640.17</t>
  </si>
  <si>
    <t>0.71</t>
  </si>
  <si>
    <t>7.03</t>
  </si>
  <si>
    <t>93.31</t>
  </si>
  <si>
    <t>3.41</t>
  </si>
  <si>
    <t>549.28</t>
  </si>
  <si>
    <t>13221.88</t>
  </si>
  <si>
    <t>253.07</t>
  </si>
  <si>
    <t>397.08</t>
  </si>
  <si>
    <t>4596.37</t>
  </si>
  <si>
    <t>15243.28</t>
  </si>
  <si>
    <t>233.82</t>
  </si>
  <si>
    <t>3114.77</t>
  </si>
  <si>
    <t>3156.88</t>
  </si>
  <si>
    <t>16836.88</t>
  </si>
  <si>
    <t>1072.51</t>
  </si>
  <si>
    <t>15071.29</t>
  </si>
  <si>
    <t>16033.97</t>
  </si>
  <si>
    <t>417.33</t>
  </si>
  <si>
    <t>9834.72</t>
  </si>
  <si>
    <t>7561.25</t>
  </si>
  <si>
    <t>10238.53</t>
  </si>
  <si>
    <t>22.33</t>
  </si>
  <si>
    <t>479.22</t>
  </si>
  <si>
    <t>10805.91</t>
  </si>
  <si>
    <t>11642.4</t>
  </si>
  <si>
    <t>447.76</t>
  </si>
  <si>
    <t>10394.84</t>
  </si>
  <si>
    <t>31850.47</t>
  </si>
  <si>
    <t>7.55</t>
  </si>
  <si>
    <t>14.75</t>
  </si>
  <si>
    <t>7.25</t>
  </si>
  <si>
    <t>164.45</t>
  </si>
  <si>
    <t>26.87</t>
  </si>
  <si>
    <t>55.42</t>
  </si>
  <si>
    <t>22778.16</t>
  </si>
  <si>
    <t>60.82</t>
  </si>
  <si>
    <t>646.96</t>
  </si>
  <si>
    <t>3546.01</t>
  </si>
  <si>
    <t>156.72</t>
  </si>
  <si>
    <t>353.83</t>
  </si>
  <si>
    <t>240.07</t>
  </si>
  <si>
    <t>34481.73</t>
  </si>
  <si>
    <t>659.13</t>
  </si>
  <si>
    <t>5278.83</t>
  </si>
  <si>
    <t>9557.61</t>
  </si>
  <si>
    <t>264.53</t>
  </si>
  <si>
    <t>1651.6</t>
  </si>
  <si>
    <t>583.04</t>
  </si>
  <si>
    <t>32821.8</t>
  </si>
  <si>
    <t>368.31</t>
  </si>
  <si>
    <t>16468.11</t>
  </si>
  <si>
    <t>8794.72</t>
  </si>
  <si>
    <t>12849.44</t>
  </si>
  <si>
    <t>56195.17</t>
  </si>
  <si>
    <t>10.88</t>
  </si>
  <si>
    <t>122.29</t>
  </si>
  <si>
    <t>116.87</t>
  </si>
  <si>
    <t>172.83</t>
  </si>
  <si>
    <t>155.99</t>
  </si>
  <si>
    <t>53183.63</t>
  </si>
  <si>
    <t>769.94</t>
  </si>
  <si>
    <t>2731.12</t>
  </si>
  <si>
    <t>15494.54</t>
  </si>
  <si>
    <t>371.61</t>
  </si>
  <si>
    <t>3602.65</t>
  </si>
  <si>
    <t>209.11</t>
  </si>
  <si>
    <t>52986.95</t>
  </si>
  <si>
    <t>3566.25</t>
  </si>
  <si>
    <t>13418.21</t>
  </si>
  <si>
    <t>18600.02</t>
  </si>
  <si>
    <t>614.61</t>
  </si>
  <si>
    <t>9815.32</t>
  </si>
  <si>
    <t>56394.74</t>
  </si>
  <si>
    <t>1025.77</t>
  </si>
  <si>
    <t>946.56</t>
  </si>
  <si>
    <t>18015.9</t>
  </si>
  <si>
    <t>16186.82</t>
  </si>
  <si>
    <t>712.85</t>
  </si>
  <si>
    <t>17325.65</t>
  </si>
  <si>
    <t>1865.47</t>
  </si>
  <si>
    <t>56.86</t>
  </si>
  <si>
    <t>2.25</t>
  </si>
  <si>
    <t>0.77</t>
  </si>
  <si>
    <t>0.23</t>
  </si>
  <si>
    <t>42.01</t>
  </si>
  <si>
    <t>15834.77</t>
  </si>
  <si>
    <t>93.34</t>
  </si>
  <si>
    <t>205.2</t>
  </si>
  <si>
    <t>1781.12</t>
  </si>
  <si>
    <t>9716.93</t>
  </si>
  <si>
    <t>1139.05</t>
  </si>
  <si>
    <t>18844.72</t>
  </si>
  <si>
    <t>110.08</t>
  </si>
  <si>
    <t>9051.37</t>
  </si>
  <si>
    <t>9613.26</t>
  </si>
  <si>
    <t>4294.51</t>
  </si>
  <si>
    <t>72.63</t>
  </si>
  <si>
    <t>13955.17</t>
  </si>
  <si>
    <t>241.78</t>
  </si>
  <si>
    <t>4795.55</t>
  </si>
  <si>
    <t>3738.09</t>
  </si>
  <si>
    <t>218.44</t>
  </si>
  <si>
    <t>4456.44</t>
  </si>
  <si>
    <t>48.67</t>
  </si>
  <si>
    <t>33587.66</t>
  </si>
  <si>
    <t>260.44</t>
  </si>
  <si>
    <t>13.21</t>
  </si>
  <si>
    <t>17.82</t>
  </si>
  <si>
    <t>36240.78</t>
  </si>
  <si>
    <t>538.93</t>
  </si>
  <si>
    <t>5209.39</t>
  </si>
  <si>
    <t>16635.43</t>
  </si>
  <si>
    <t>2157.76</t>
  </si>
  <si>
    <t>42099.66</t>
  </si>
  <si>
    <t>2282.67</t>
  </si>
  <si>
    <t>36677.77</t>
  </si>
  <si>
    <t>18737.5</t>
  </si>
  <si>
    <t>493.36</t>
  </si>
  <si>
    <t>6145.31</t>
  </si>
  <si>
    <t>789.22</t>
  </si>
  <si>
    <t>47439.07</t>
  </si>
  <si>
    <t>604.97</t>
  </si>
  <si>
    <t>31782.98</t>
  </si>
  <si>
    <t>17444.94</t>
  </si>
  <si>
    <t>17563.97</t>
  </si>
  <si>
    <t>79.62</t>
  </si>
  <si>
    <t>42378.83</t>
  </si>
  <si>
    <t>10.25</t>
  </si>
  <si>
    <t>120.87</t>
  </si>
  <si>
    <t>350.03</t>
  </si>
  <si>
    <t>70.46</t>
  </si>
  <si>
    <t>148.53</t>
  </si>
  <si>
    <t>53814.21</t>
  </si>
  <si>
    <t>731.46</t>
  </si>
  <si>
    <t>830.57</t>
  </si>
  <si>
    <t>7034.12</t>
  </si>
  <si>
    <t>19268.81</t>
  </si>
  <si>
    <t>3553.65</t>
  </si>
  <si>
    <t>54684.25</t>
  </si>
  <si>
    <t>2863.84</t>
  </si>
  <si>
    <t>26602.94</t>
  </si>
  <si>
    <t>19667.64</t>
  </si>
  <si>
    <t>7075.02</t>
  </si>
  <si>
    <t>63273.72</t>
  </si>
  <si>
    <t>565.69</t>
  </si>
  <si>
    <t>18834.87</t>
  </si>
  <si>
    <t>19164.3</t>
  </si>
  <si>
    <t>690.2</t>
  </si>
  <si>
    <t>17176.34</t>
  </si>
  <si>
    <t>13.5</t>
  </si>
  <si>
    <t>2200.2</t>
  </si>
  <si>
    <t>24.38</t>
  </si>
  <si>
    <t>40360.22</t>
  </si>
  <si>
    <t>331.21</t>
  </si>
  <si>
    <t>437.82</t>
  </si>
  <si>
    <t>4570.76</t>
  </si>
  <si>
    <t>826.01</t>
  </si>
  <si>
    <t>391.75</t>
  </si>
  <si>
    <t>843.54</t>
  </si>
  <si>
    <t>62070.47</t>
  </si>
  <si>
    <t>17687.4</t>
  </si>
  <si>
    <t>10417.21</t>
  </si>
  <si>
    <t>224.54</t>
  </si>
  <si>
    <t>42341.58</t>
  </si>
  <si>
    <t>294.69</t>
  </si>
  <si>
    <t>26045.05</t>
  </si>
  <si>
    <t>17060.76</t>
  </si>
  <si>
    <t>538.88</t>
  </si>
  <si>
    <t>10719.04</t>
  </si>
  <si>
    <t>100.94</t>
  </si>
  <si>
    <t>60250.35</t>
  </si>
  <si>
    <t>14.44</t>
  </si>
  <si>
    <t>64.97</t>
  </si>
  <si>
    <t>263.53</t>
  </si>
  <si>
    <t>214.73</t>
  </si>
  <si>
    <t>62248.11</t>
  </si>
  <si>
    <t>371.07</t>
  </si>
  <si>
    <t>6945.36</t>
  </si>
  <si>
    <t>19466.35</t>
  </si>
  <si>
    <t>7643.69</t>
  </si>
  <si>
    <t>59895.36</t>
  </si>
  <si>
    <t>1968.11</t>
  </si>
  <si>
    <t>1259.41</t>
  </si>
  <si>
    <t>33016.87</t>
  </si>
  <si>
    <t>20090.25</t>
  </si>
  <si>
    <t>735.48</t>
  </si>
  <si>
    <t>15157.95</t>
  </si>
  <si>
    <t>247.87</t>
  </si>
  <si>
    <t>70243.84</t>
  </si>
  <si>
    <t>169.36</t>
  </si>
  <si>
    <t>7720.56</t>
  </si>
  <si>
    <t>18413.73</t>
  </si>
  <si>
    <t>659.98</t>
  </si>
  <si>
    <t>12921.89</t>
  </si>
  <si>
    <t>3348.82</t>
  </si>
  <si>
    <t>3.86</t>
  </si>
  <si>
    <t>11.37</t>
  </si>
  <si>
    <t>15.72</t>
  </si>
  <si>
    <t>2.58</t>
  </si>
  <si>
    <t>83.14</t>
  </si>
  <si>
    <t>24536.42</t>
  </si>
  <si>
    <t>135.57</t>
  </si>
  <si>
    <t>2157.61</t>
  </si>
  <si>
    <t>13374.89</t>
  </si>
  <si>
    <t>1274.41</t>
  </si>
  <si>
    <t>104.54</t>
  </si>
  <si>
    <t>26338.41</t>
  </si>
  <si>
    <t>261.98</t>
  </si>
  <si>
    <t>8748.46</t>
  </si>
  <si>
    <t>13492.74</t>
  </si>
  <si>
    <t>348.71</t>
  </si>
  <si>
    <t>4446.91</t>
  </si>
  <si>
    <t>31354.22</t>
  </si>
  <si>
    <t>100.66</t>
  </si>
  <si>
    <t>2145.16</t>
  </si>
  <si>
    <t>10548.09</t>
  </si>
  <si>
    <t>4374.75</t>
  </si>
  <si>
    <t>19094.88</t>
  </si>
  <si>
    <t>19.3</t>
  </si>
  <si>
    <t>50.07</t>
  </si>
  <si>
    <t>110.17</t>
  </si>
  <si>
    <t>26539.37</t>
  </si>
  <si>
    <t>360.75</t>
  </si>
  <si>
    <t>4035.52</t>
  </si>
  <si>
    <t>9270.32</t>
  </si>
  <si>
    <t>1537.83</t>
  </si>
  <si>
    <t>604.23</t>
  </si>
  <si>
    <t>30920.34</t>
  </si>
  <si>
    <t>1836.11</t>
  </si>
  <si>
    <t>650.77</t>
  </si>
  <si>
    <t>17120.18</t>
  </si>
  <si>
    <t>13175.38</t>
  </si>
  <si>
    <t>302.84</t>
  </si>
  <si>
    <t>3104.13</t>
  </si>
  <si>
    <t>319.05</t>
  </si>
  <si>
    <t>34614.96</t>
  </si>
  <si>
    <t>338.58</t>
  </si>
  <si>
    <t>3004.64</t>
  </si>
  <si>
    <t>9461.64</t>
  </si>
  <si>
    <t>6661.19</t>
  </si>
  <si>
    <t>58359.84</t>
  </si>
  <si>
    <t>396.91</t>
  </si>
  <si>
    <t>876.65</t>
  </si>
  <si>
    <t>8091.95</t>
  </si>
  <si>
    <t>14297.06</t>
  </si>
  <si>
    <t>675.09</t>
  </si>
  <si>
    <t>14290.26</t>
  </si>
  <si>
    <t>167.25</t>
  </si>
  <si>
    <t>40166.99</t>
  </si>
  <si>
    <t>4128.78</t>
  </si>
  <si>
    <t>94291.98</t>
  </si>
  <si>
    <t>18404.67</t>
  </si>
  <si>
    <t>11626.48</t>
  </si>
  <si>
    <t>47238.26</t>
  </si>
  <si>
    <t>2021.27</t>
  </si>
  <si>
    <t>784.92</t>
  </si>
  <si>
    <t>19368.76</t>
  </si>
  <si>
    <t>17814.76</t>
  </si>
  <si>
    <t>478.17</t>
  </si>
  <si>
    <t>7427.01</t>
  </si>
  <si>
    <t>52231.43</t>
  </si>
  <si>
    <t>12.11</t>
  </si>
  <si>
    <t>458.44</t>
  </si>
  <si>
    <t>64.24</t>
  </si>
  <si>
    <t>215.41</t>
  </si>
  <si>
    <t>69.43</t>
  </si>
  <si>
    <t>7.69</t>
  </si>
  <si>
    <t>1744.22</t>
  </si>
  <si>
    <t>12.66</t>
  </si>
  <si>
    <t>1.36</t>
  </si>
  <si>
    <t>279.3</t>
  </si>
  <si>
    <t>13738.09</t>
  </si>
  <si>
    <t>193.86</t>
  </si>
  <si>
    <t>294.29</t>
  </si>
  <si>
    <t>14895.85</t>
  </si>
  <si>
    <t>12215.23</t>
  </si>
  <si>
    <t>226.13</t>
  </si>
  <si>
    <t>2342.52</t>
  </si>
  <si>
    <t>1659.03</t>
  </si>
  <si>
    <t>9603.99</t>
  </si>
  <si>
    <t>277.82</t>
  </si>
  <si>
    <t>356.22</t>
  </si>
  <si>
    <t>35900.66</t>
  </si>
  <si>
    <t>11983.05</t>
  </si>
  <si>
    <t>7159.39</t>
  </si>
  <si>
    <t>1621.66</t>
  </si>
  <si>
    <t>8538.42</t>
  </si>
  <si>
    <t>11.65</t>
  </si>
  <si>
    <t>274.07</t>
  </si>
  <si>
    <t>15241.44</t>
  </si>
  <si>
    <t>5517.15</t>
  </si>
  <si>
    <t>272.2</t>
  </si>
  <si>
    <t>6528.29</t>
  </si>
  <si>
    <t>31785.07</t>
  </si>
  <si>
    <t>9.76</t>
  </si>
  <si>
    <t>9.75</t>
  </si>
  <si>
    <t>9.19</t>
  </si>
  <si>
    <t>26.39</t>
  </si>
  <si>
    <t>30976.67</t>
  </si>
  <si>
    <t>384.93</t>
  </si>
  <si>
    <t>441.45</t>
  </si>
  <si>
    <t>6774.41</t>
  </si>
  <si>
    <t>10784.78</t>
  </si>
  <si>
    <t>1912.23</t>
  </si>
  <si>
    <t>428.6</t>
  </si>
  <si>
    <t>26728.06</t>
  </si>
  <si>
    <t>1055.09</t>
  </si>
  <si>
    <t>574.16</t>
  </si>
  <si>
    <t>26766.09</t>
  </si>
  <si>
    <t>13107.39</t>
  </si>
  <si>
    <t>4367.94</t>
  </si>
  <si>
    <t>1180.27</t>
  </si>
  <si>
    <t>34699.41</t>
  </si>
  <si>
    <t>97.83</t>
  </si>
  <si>
    <t>7359.98</t>
  </si>
  <si>
    <t>7713.17</t>
  </si>
  <si>
    <t>394.48</t>
  </si>
  <si>
    <t>9983.54</t>
  </si>
  <si>
    <t>53208.23</t>
  </si>
  <si>
    <t>13.44</t>
  </si>
  <si>
    <t>84.08</t>
  </si>
  <si>
    <t>233.03</t>
  </si>
  <si>
    <t>272.4</t>
  </si>
  <si>
    <t>174.8</t>
  </si>
  <si>
    <t>45596.57</t>
  </si>
  <si>
    <t>1808.8</t>
  </si>
  <si>
    <t>758.71</t>
  </si>
  <si>
    <t>15370.87</t>
  </si>
  <si>
    <t>18416.93</t>
  </si>
  <si>
    <t>500.95</t>
  </si>
  <si>
    <t>10355.18</t>
  </si>
  <si>
    <t>40383.24</t>
  </si>
  <si>
    <t>3514.01</t>
  </si>
  <si>
    <t>926.23</t>
  </si>
  <si>
    <t>247421.45</t>
  </si>
  <si>
    <t>18724.65</t>
  </si>
  <si>
    <t>591.91</t>
  </si>
  <si>
    <t>14611.08</t>
  </si>
  <si>
    <t>51620.15</t>
  </si>
  <si>
    <t>189.37</t>
  </si>
  <si>
    <t>665.44</t>
  </si>
  <si>
    <t>4177.78</t>
  </si>
  <si>
    <t>11899.62</t>
  </si>
  <si>
    <t>531.3</t>
  </si>
  <si>
    <t>11702.08</t>
  </si>
  <si>
    <t>15057.39</t>
  </si>
  <si>
    <t>54.68</t>
  </si>
  <si>
    <t>12.84</t>
  </si>
  <si>
    <t>4.35</t>
  </si>
  <si>
    <t>71.12</t>
  </si>
  <si>
    <t>6.86</t>
  </si>
  <si>
    <t>133.71</t>
  </si>
  <si>
    <t>14691.96</t>
  </si>
  <si>
    <t>165.79</t>
  </si>
  <si>
    <t>6715.83</t>
  </si>
  <si>
    <t>15156.17</t>
  </si>
  <si>
    <t>5302.18</t>
  </si>
  <si>
    <t>646.83</t>
  </si>
  <si>
    <t>12081.96</t>
  </si>
  <si>
    <t>212.82</t>
  </si>
  <si>
    <t>27017.95</t>
  </si>
  <si>
    <t>13776.43</t>
  </si>
  <si>
    <t>333.43</t>
  </si>
  <si>
    <t>10811.58</t>
  </si>
  <si>
    <t>18210.57</t>
  </si>
  <si>
    <t>21.96</t>
  </si>
  <si>
    <t>6860.46</t>
  </si>
  <si>
    <t>8812.34</t>
  </si>
  <si>
    <t>11452.15</t>
  </si>
  <si>
    <t>234.33</t>
  </si>
  <si>
    <t>8.2</t>
  </si>
  <si>
    <t>117.94</t>
  </si>
  <si>
    <t>5.11</t>
  </si>
  <si>
    <t>76.12</t>
  </si>
  <si>
    <t>32475.4</t>
  </si>
  <si>
    <t>70.22</t>
  </si>
  <si>
    <t>932.37</t>
  </si>
  <si>
    <t>9715.55</t>
  </si>
  <si>
    <t>463.98</t>
  </si>
  <si>
    <t>111.77</t>
  </si>
  <si>
    <t>38333.14</t>
  </si>
  <si>
    <t>360.66</t>
  </si>
  <si>
    <t>4678.05</t>
  </si>
  <si>
    <t>12936.77</t>
  </si>
  <si>
    <t>943.29</t>
  </si>
  <si>
    <t>482.35</t>
  </si>
  <si>
    <t>43663.88</t>
  </si>
  <si>
    <t>140.07</t>
  </si>
  <si>
    <t>551.67</t>
  </si>
  <si>
    <t>3139.03</t>
  </si>
  <si>
    <t>6614.93</t>
  </si>
  <si>
    <t>6455.62</t>
  </si>
  <si>
    <t>69.15</t>
  </si>
  <si>
    <t>45113.89</t>
  </si>
  <si>
    <t>47.13</t>
  </si>
  <si>
    <t>15.46</t>
  </si>
  <si>
    <t>48797.49</t>
  </si>
  <si>
    <t>614.82</t>
  </si>
  <si>
    <t>6999.65</t>
  </si>
  <si>
    <t>17877.19</t>
  </si>
  <si>
    <t>4840.39</t>
  </si>
  <si>
    <t>144.81</t>
  </si>
  <si>
    <t>45539.72</t>
  </si>
  <si>
    <t>1935.66</t>
  </si>
  <si>
    <t>735.22</t>
  </si>
  <si>
    <t>35086.45</t>
  </si>
  <si>
    <t>18700.03</t>
  </si>
  <si>
    <t>470.57</t>
  </si>
  <si>
    <t>9071.47</t>
  </si>
  <si>
    <t>58717.56</t>
  </si>
  <si>
    <t>105.83</t>
  </si>
  <si>
    <t>711.84</t>
  </si>
  <si>
    <t>4199.55</t>
  </si>
  <si>
    <t>9837.95</t>
  </si>
  <si>
    <t>516.13</t>
  </si>
  <si>
    <t>2001.45</t>
  </si>
  <si>
    <t>1.21</t>
  </si>
  <si>
    <t>121.83</t>
  </si>
  <si>
    <t>3.46</t>
  </si>
  <si>
    <t>30.61</t>
  </si>
  <si>
    <t>15808.36</t>
  </si>
  <si>
    <t>195.24</t>
  </si>
  <si>
    <t>5852.88</t>
  </si>
  <si>
    <t>15758.58</t>
  </si>
  <si>
    <t>822.36</t>
  </si>
  <si>
    <t>22879.64</t>
  </si>
  <si>
    <t>356.36</t>
  </si>
  <si>
    <t>10048.51</t>
  </si>
  <si>
    <t>15823.85</t>
  </si>
  <si>
    <t>3252.62</t>
  </si>
  <si>
    <t>21395.5</t>
  </si>
  <si>
    <t>127.69</t>
  </si>
  <si>
    <t>314.73</t>
  </si>
  <si>
    <t>4082.72</t>
  </si>
  <si>
    <t>12513.65</t>
  </si>
  <si>
    <t>4558.71</t>
  </si>
  <si>
    <t>49656.66</t>
  </si>
  <si>
    <t>128.93</t>
  </si>
  <si>
    <t>596.78</t>
  </si>
  <si>
    <t>1149.51</t>
  </si>
  <si>
    <t>7921.75</t>
  </si>
  <si>
    <t>965.39</t>
  </si>
  <si>
    <t>48076.32</t>
  </si>
  <si>
    <t>87.53</t>
  </si>
  <si>
    <t>398.48</t>
  </si>
  <si>
    <t>923.18</t>
  </si>
  <si>
    <t>7066.61</t>
  </si>
  <si>
    <t>711.05</t>
  </si>
  <si>
    <t>216.82</t>
  </si>
  <si>
    <t>49792.14</t>
  </si>
  <si>
    <t>2795.55</t>
  </si>
  <si>
    <t>975.01</t>
  </si>
  <si>
    <t>19762.84</t>
  </si>
  <si>
    <t>17905.25</t>
  </si>
  <si>
    <t>8279.14</t>
  </si>
  <si>
    <t>64298.44</t>
  </si>
  <si>
    <t>139.71</t>
  </si>
  <si>
    <t>901.99</t>
  </si>
  <si>
    <t>4532.96</t>
  </si>
  <si>
    <t>10339.64</t>
  </si>
  <si>
    <t>10169.25</t>
  </si>
  <si>
    <t>52599.04</t>
  </si>
  <si>
    <t>11.96</t>
  </si>
  <si>
    <t>245.74</t>
  </si>
  <si>
    <t>39.48</t>
  </si>
  <si>
    <t>66.35</t>
  </si>
  <si>
    <t>57520.6</t>
  </si>
  <si>
    <t>195.76</t>
  </si>
  <si>
    <t>6506.22</t>
  </si>
  <si>
    <t>16147.03</t>
  </si>
  <si>
    <t>485.76</t>
  </si>
  <si>
    <t>8408.48</t>
  </si>
  <si>
    <t>46432.33</t>
  </si>
  <si>
    <t>1335.51</t>
  </si>
  <si>
    <t>806.04</t>
  </si>
  <si>
    <t>22388.29</t>
  </si>
  <si>
    <t>19409.63</t>
  </si>
  <si>
    <t>629.74</t>
  </si>
  <si>
    <t>15467.44</t>
  </si>
  <si>
    <t>69647.95</t>
  </si>
  <si>
    <t>37.16</t>
  </si>
  <si>
    <t>3004.22</t>
  </si>
  <si>
    <t>5974.98</t>
  </si>
  <si>
    <t>8450.44</t>
  </si>
  <si>
    <t>10.56</t>
  </si>
  <si>
    <t>4063.98</t>
  </si>
  <si>
    <t>87.23</t>
  </si>
  <si>
    <t>5.06</t>
  </si>
  <si>
    <t>5.02</t>
  </si>
  <si>
    <t>634.02</t>
  </si>
  <si>
    <t>33318.72</t>
  </si>
  <si>
    <t>514.28</t>
  </si>
  <si>
    <t>10675.63</t>
  </si>
  <si>
    <t>15995.81</t>
  </si>
  <si>
    <t>4157.39</t>
  </si>
  <si>
    <t>6060.1</t>
  </si>
  <si>
    <t>38506.06</t>
  </si>
  <si>
    <t>754.94</t>
  </si>
  <si>
    <t>853.8</t>
  </si>
  <si>
    <t>100770.61</t>
  </si>
  <si>
    <t>17235.27</t>
  </si>
  <si>
    <t>14212.16</t>
  </si>
  <si>
    <t>2051.41</t>
  </si>
  <si>
    <t>33901.31</t>
  </si>
  <si>
    <t>90.49</t>
  </si>
  <si>
    <t>17304.03</t>
  </si>
  <si>
    <t>16483.67</t>
  </si>
  <si>
    <t>12364.96</t>
  </si>
  <si>
    <t>30855.38</t>
  </si>
  <si>
    <t>9.1</t>
  </si>
  <si>
    <t>15.89</t>
  </si>
  <si>
    <t>13.96</t>
  </si>
  <si>
    <t>133.48</t>
  </si>
  <si>
    <t>15.48</t>
  </si>
  <si>
    <t>29802.88</t>
  </si>
  <si>
    <t>374.25</t>
  </si>
  <si>
    <t>3230.76</t>
  </si>
  <si>
    <t>9549.8</t>
  </si>
  <si>
    <t>195.33</t>
  </si>
  <si>
    <t>850.96</t>
  </si>
  <si>
    <t>32230.35</t>
  </si>
  <si>
    <t>1722.93</t>
  </si>
  <si>
    <t>14513.1</t>
  </si>
  <si>
    <t>13639.13</t>
  </si>
  <si>
    <t>2322.95</t>
  </si>
  <si>
    <t>867.96</t>
  </si>
  <si>
    <t>36514.89</t>
  </si>
  <si>
    <t>269.26</t>
  </si>
  <si>
    <t>619.54</t>
  </si>
  <si>
    <t>11193.04</t>
  </si>
  <si>
    <t>11026.87</t>
  </si>
  <si>
    <t>11697.72</t>
  </si>
  <si>
    <t>49888.96</t>
  </si>
  <si>
    <t>6094.97</t>
  </si>
  <si>
    <t>13562.66</t>
  </si>
  <si>
    <t>4786.97</t>
  </si>
  <si>
    <t>33680.36</t>
  </si>
  <si>
    <t>1884.94</t>
  </si>
  <si>
    <t>12429.88</t>
  </si>
  <si>
    <t>17775.1</t>
  </si>
  <si>
    <t>9612.84</t>
  </si>
  <si>
    <t>30751.5</t>
  </si>
  <si>
    <t>2852.41</t>
  </si>
  <si>
    <t>27451.68</t>
  </si>
  <si>
    <t>18447.33</t>
  </si>
  <si>
    <t>11439.08</t>
  </si>
  <si>
    <t>34273.23</t>
  </si>
  <si>
    <t>3585.97</t>
  </si>
  <si>
    <t>84613.34</t>
  </si>
  <si>
    <t>18783.02</t>
  </si>
  <si>
    <t>15894.62</t>
  </si>
  <si>
    <t>108.15</t>
  </si>
  <si>
    <t>9894.39</t>
  </si>
  <si>
    <t>18.91</t>
  </si>
  <si>
    <t>4540.81</t>
  </si>
  <si>
    <t>9485.5</t>
  </si>
  <si>
    <t>241.5</t>
  </si>
  <si>
    <t>6238.64</t>
  </si>
  <si>
    <t>416.28</t>
  </si>
  <si>
    <t>9949.88</t>
  </si>
  <si>
    <t>424.99</t>
  </si>
  <si>
    <t>11205.96</t>
  </si>
  <si>
    <t>13959.97</t>
  </si>
  <si>
    <t>5802.75</t>
  </si>
  <si>
    <t>4270.65</t>
  </si>
  <si>
    <t>8.08</t>
  </si>
  <si>
    <t>346.09</t>
  </si>
  <si>
    <t>5422.57</t>
  </si>
  <si>
    <t>47.53</t>
  </si>
  <si>
    <t>325.76</t>
  </si>
  <si>
    <t>7793.18</t>
  </si>
  <si>
    <t>136.54</t>
  </si>
  <si>
    <t>5018.83</t>
  </si>
  <si>
    <t>13623.73</t>
  </si>
  <si>
    <t>1482.1</t>
  </si>
  <si>
    <t>43588.86</t>
  </si>
  <si>
    <t>335.38</t>
  </si>
  <si>
    <t>14.37</t>
  </si>
  <si>
    <t>11.73</t>
  </si>
  <si>
    <t>210.74</t>
  </si>
  <si>
    <t>19.23</t>
  </si>
  <si>
    <t>37010.4</t>
  </si>
  <si>
    <t>370.12</t>
  </si>
  <si>
    <t>485.08</t>
  </si>
  <si>
    <t>4228.03</t>
  </si>
  <si>
    <t>15954.07</t>
  </si>
  <si>
    <t>1299.47</t>
  </si>
  <si>
    <t>41380.52</t>
  </si>
  <si>
    <t>2161.76</t>
  </si>
  <si>
    <t>35267.57</t>
  </si>
  <si>
    <t>17744.98</t>
  </si>
  <si>
    <t>4370.66</t>
  </si>
  <si>
    <t>465.74</t>
  </si>
  <si>
    <t>49850.23</t>
  </si>
  <si>
    <t>1372.63</t>
  </si>
  <si>
    <t>37735.02</t>
  </si>
  <si>
    <t>17831.68</t>
  </si>
  <si>
    <t>667.54</t>
  </si>
  <si>
    <t>18570.53</t>
  </si>
  <si>
    <t>0.94</t>
  </si>
  <si>
    <t>37.06</t>
  </si>
  <si>
    <t>1.92</t>
  </si>
  <si>
    <t>0.12</t>
  </si>
  <si>
    <t>24.99</t>
  </si>
  <si>
    <t>1615.62</t>
  </si>
  <si>
    <t>0.15</t>
  </si>
  <si>
    <t>5.7</t>
  </si>
  <si>
    <t>30035.12</t>
  </si>
  <si>
    <t>613.05</t>
  </si>
  <si>
    <t>15277.55</t>
  </si>
  <si>
    <t>15264.18</t>
  </si>
  <si>
    <t>3672.54</t>
  </si>
  <si>
    <t>271.41</t>
  </si>
  <si>
    <t>28196.93</t>
  </si>
  <si>
    <t>935.05</t>
  </si>
  <si>
    <t>58783.72</t>
  </si>
  <si>
    <t>15552.39</t>
  </si>
  <si>
    <t>9570.52</t>
  </si>
  <si>
    <t>220.68</t>
  </si>
  <si>
    <t>22498.59</t>
  </si>
  <si>
    <t>65.6</t>
  </si>
  <si>
    <t>26310.91</t>
  </si>
  <si>
    <t>12316.63</t>
  </si>
  <si>
    <t>11465.22</t>
  </si>
  <si>
    <t>28417.87</t>
  </si>
  <si>
    <t>7.73</t>
  </si>
  <si>
    <t>195.61</t>
  </si>
  <si>
    <t>6.21</t>
  </si>
  <si>
    <t>148.98</t>
  </si>
  <si>
    <t>13.17</t>
  </si>
  <si>
    <t>40567.49</t>
  </si>
  <si>
    <t>728.66</t>
  </si>
  <si>
    <t>6371.2</t>
  </si>
  <si>
    <t>12517.06</t>
  </si>
  <si>
    <t>287.53</t>
  </si>
  <si>
    <t>1321.42</t>
  </si>
  <si>
    <t>440.95</t>
  </si>
  <si>
    <t>42980.5</t>
  </si>
  <si>
    <t>2149.48</t>
  </si>
  <si>
    <t>29898.31</t>
  </si>
  <si>
    <t>14739.58</t>
  </si>
  <si>
    <t>386.86</t>
  </si>
  <si>
    <t>3060.27</t>
  </si>
  <si>
    <t>45473.42</t>
  </si>
  <si>
    <t>441.28</t>
  </si>
  <si>
    <t>829.87</t>
  </si>
  <si>
    <t>9708.9</t>
  </si>
  <si>
    <t>11873.6</t>
  </si>
  <si>
    <t>455.37</t>
  </si>
  <si>
    <t>10265.79</t>
  </si>
  <si>
    <t>53050.85</t>
  </si>
  <si>
    <t>60.25</t>
  </si>
  <si>
    <t>100.71</t>
  </si>
  <si>
    <t>76.14</t>
  </si>
  <si>
    <t>48287.6</t>
  </si>
  <si>
    <t>1730.02</t>
  </si>
  <si>
    <t>15885.67</t>
  </si>
  <si>
    <t>18452.13</t>
  </si>
  <si>
    <t>8427.68</t>
  </si>
  <si>
    <t>40235.98</t>
  </si>
  <si>
    <t>2897.73</t>
  </si>
  <si>
    <t>66182.59</t>
  </si>
  <si>
    <t>18474.54</t>
  </si>
  <si>
    <t>12186.25</t>
  </si>
  <si>
    <t>182.37</t>
  </si>
  <si>
    <t>58002.66</t>
  </si>
  <si>
    <t>468.38</t>
  </si>
  <si>
    <t>877.84</t>
  </si>
  <si>
    <t>11771.75</t>
  </si>
  <si>
    <t>15270.3</t>
  </si>
  <si>
    <t>15197.16</t>
  </si>
  <si>
    <t>1016.78</t>
  </si>
  <si>
    <t>6.64</t>
  </si>
  <si>
    <t>8.13</t>
  </si>
  <si>
    <t>629.76</t>
  </si>
  <si>
    <t>26610.62</t>
  </si>
  <si>
    <t>422.05</t>
  </si>
  <si>
    <t>507.13</t>
  </si>
  <si>
    <t>11916.15</t>
  </si>
  <si>
    <t>15429.08</t>
  </si>
  <si>
    <t>2608.34</t>
  </si>
  <si>
    <t>6933.96</t>
  </si>
  <si>
    <t>32160.41</t>
  </si>
  <si>
    <t>574.6</t>
  </si>
  <si>
    <t>38365.67</t>
  </si>
  <si>
    <t>14885.92</t>
  </si>
  <si>
    <t>6173.16</t>
  </si>
  <si>
    <t>3880.25</t>
  </si>
  <si>
    <t>22668.68</t>
  </si>
  <si>
    <t>82.32</t>
  </si>
  <si>
    <t>18183.29</t>
  </si>
  <si>
    <t>11051.52</t>
  </si>
  <si>
    <t>7197.38</t>
  </si>
  <si>
    <t>696.47</t>
  </si>
  <si>
    <t>2079.59</t>
  </si>
  <si>
    <t>2.26</t>
  </si>
  <si>
    <t>23.73</t>
  </si>
  <si>
    <t>2623.6</t>
  </si>
  <si>
    <t>18.92</t>
  </si>
  <si>
    <t>17.94</t>
  </si>
  <si>
    <t>7.64</t>
  </si>
  <si>
    <t>11.34</t>
  </si>
  <si>
    <t>1388.24</t>
  </si>
  <si>
    <t>2.41</t>
  </si>
  <si>
    <t>5.98</t>
  </si>
  <si>
    <t>43860.94</t>
  </si>
  <si>
    <t>10.41</t>
  </si>
  <si>
    <t>50.05</t>
  </si>
  <si>
    <t>56.15</t>
  </si>
  <si>
    <t>522.69</t>
  </si>
  <si>
    <t>138696.28</t>
  </si>
  <si>
    <t>4214.46</t>
  </si>
  <si>
    <t>2425.4</t>
  </si>
  <si>
    <t>32423.93</t>
  </si>
  <si>
    <t>71869.74</t>
  </si>
  <si>
    <t>1590.72</t>
  </si>
  <si>
    <t>28920.16</t>
  </si>
  <si>
    <t>576.99</t>
  </si>
  <si>
    <t>106497.14</t>
  </si>
  <si>
    <t>9170.5</t>
  </si>
  <si>
    <t>2983.9</t>
  </si>
  <si>
    <t>102205.34</t>
  </si>
  <si>
    <t>83052.32</t>
  </si>
  <si>
    <t>2048.57</t>
  </si>
  <si>
    <t>49565.34</t>
  </si>
  <si>
    <t>705.51</t>
  </si>
  <si>
    <t>245578.17</t>
  </si>
  <si>
    <t>3792.86</t>
  </si>
  <si>
    <t>3559.19</t>
  </si>
  <si>
    <t>30635.42</t>
  </si>
  <si>
    <t>59888.72</t>
  </si>
  <si>
    <t>3073.07</t>
  </si>
  <si>
    <t>87808.64</t>
  </si>
  <si>
    <t>5346.19</t>
  </si>
  <si>
    <t>124.97</t>
  </si>
  <si>
    <t>0.73</t>
  </si>
  <si>
    <t>1.15</t>
  </si>
  <si>
    <t>2872.89</t>
  </si>
  <si>
    <t>50722.38</t>
  </si>
  <si>
    <t>1414.79</t>
  </si>
  <si>
    <t>1471.44</t>
  </si>
  <si>
    <t>28697.54</t>
  </si>
  <si>
    <t>61515.15</t>
  </si>
  <si>
    <t>822.26</t>
  </si>
  <si>
    <t>13074.57</t>
  </si>
  <si>
    <t>7342.13</t>
  </si>
  <si>
    <t>58477.29</t>
  </si>
  <si>
    <t>4109.69</t>
  </si>
  <si>
    <t>2099.41</t>
  </si>
  <si>
    <t>76880.37</t>
  </si>
  <si>
    <t>56645.97</t>
  </si>
  <si>
    <t>1628.95</t>
  </si>
  <si>
    <t>34693.81</t>
  </si>
  <si>
    <t>18508.15</t>
  </si>
  <si>
    <t>30590.56</t>
  </si>
  <si>
    <t>65.73</t>
  </si>
  <si>
    <t>1370.34</t>
  </si>
  <si>
    <t>50134.35</t>
  </si>
  <si>
    <t>17914.58</t>
  </si>
  <si>
    <t>1437.65</t>
  </si>
  <si>
    <t>38356.22</t>
  </si>
  <si>
    <t>52.79</t>
  </si>
  <si>
    <t>14213.42</t>
  </si>
  <si>
    <t>12.94</t>
  </si>
  <si>
    <t>273.39</t>
  </si>
  <si>
    <t>38.18</t>
  </si>
  <si>
    <t>4.87</t>
  </si>
  <si>
    <t>260.19</t>
  </si>
  <si>
    <t>143110.71</t>
  </si>
  <si>
    <t>124.47</t>
  </si>
  <si>
    <t>1573.64</t>
  </si>
  <si>
    <t>283.08</t>
  </si>
  <si>
    <t>7347.21</t>
  </si>
  <si>
    <t>744.89</t>
  </si>
  <si>
    <t>806.83</t>
  </si>
  <si>
    <t>415.71</t>
  </si>
  <si>
    <t>161108.01</t>
  </si>
  <si>
    <t>1781.11</t>
  </si>
  <si>
    <t>3491.47</t>
  </si>
  <si>
    <t>60962.24</t>
  </si>
  <si>
    <t>1207.52</t>
  </si>
  <si>
    <t>5261.44</t>
  </si>
  <si>
    <t>163604.32</t>
  </si>
  <si>
    <t>3588.19</t>
  </si>
  <si>
    <t>2207.26</t>
  </si>
  <si>
    <t>14218.67</t>
  </si>
  <si>
    <t>57637.12</t>
  </si>
  <si>
    <t>48925.72</t>
  </si>
  <si>
    <t>243.36</t>
  </si>
  <si>
    <t>177061.72</t>
  </si>
  <si>
    <t>40.39</t>
  </si>
  <si>
    <t>1074.15</t>
  </si>
  <si>
    <t>79.45</t>
  </si>
  <si>
    <t>31.91</t>
  </si>
  <si>
    <t>589.72</t>
  </si>
  <si>
    <t>75.09</t>
  </si>
  <si>
    <t>57.12</t>
  </si>
  <si>
    <t>48129.12</t>
  </si>
  <si>
    <t>96.19</t>
  </si>
  <si>
    <t>314.61</t>
  </si>
  <si>
    <t>176.7</t>
  </si>
  <si>
    <t>7022.56</t>
  </si>
  <si>
    <t>191.48</t>
  </si>
  <si>
    <t>484.19</t>
  </si>
  <si>
    <t>88.45</t>
  </si>
  <si>
    <t>47075.85</t>
  </si>
  <si>
    <t>1634.27</t>
  </si>
  <si>
    <t>448.02</t>
  </si>
  <si>
    <t>1286.03</t>
  </si>
  <si>
    <t>16887.19</t>
  </si>
  <si>
    <t>329.61</t>
  </si>
  <si>
    <t>2051.88</t>
  </si>
  <si>
    <t>120.86</t>
  </si>
  <si>
    <t>50000.37</t>
  </si>
  <si>
    <t>765.48</t>
  </si>
  <si>
    <t>730.98</t>
  </si>
  <si>
    <t>1888.52</t>
  </si>
  <si>
    <t>13842.2</t>
  </si>
  <si>
    <t>428.75</t>
  </si>
  <si>
    <t>12016.1</t>
  </si>
  <si>
    <t>3.58</t>
  </si>
  <si>
    <t>3136.95</t>
  </si>
  <si>
    <t>110.45</t>
  </si>
  <si>
    <t>3.55</t>
  </si>
  <si>
    <t>2.78</t>
  </si>
  <si>
    <t>30263.44</t>
  </si>
  <si>
    <t>570.9</t>
  </si>
  <si>
    <t>402.85</t>
  </si>
  <si>
    <t>1730.04</t>
  </si>
  <si>
    <t>15076.81</t>
  </si>
  <si>
    <t>206.89</t>
  </si>
  <si>
    <t>2144.47</t>
  </si>
  <si>
    <t>117.22</t>
  </si>
  <si>
    <t>36339.58</t>
  </si>
  <si>
    <t>647.96</t>
  </si>
  <si>
    <t>658.53</t>
  </si>
  <si>
    <t>10293.61</t>
  </si>
  <si>
    <t>16927.41</t>
  </si>
  <si>
    <t>390.67</t>
  </si>
  <si>
    <t>10370.68</t>
  </si>
  <si>
    <t>95.57</t>
  </si>
  <si>
    <t>26992.71</t>
  </si>
  <si>
    <t>176.22</t>
  </si>
  <si>
    <t>587.16</t>
  </si>
  <si>
    <t>8274.2</t>
  </si>
  <si>
    <t>13481.83</t>
  </si>
  <si>
    <t>10835.09</t>
  </si>
  <si>
    <t>33.82</t>
  </si>
  <si>
    <t>29609.66</t>
  </si>
  <si>
    <t>8.43</t>
  </si>
  <si>
    <t>271.68</t>
  </si>
  <si>
    <t>15.51</t>
  </si>
  <si>
    <t>23.99</t>
  </si>
  <si>
    <t>19.94</t>
  </si>
  <si>
    <t>102.74</t>
  </si>
  <si>
    <t>34410.72</t>
  </si>
  <si>
    <t>1055.66</t>
  </si>
  <si>
    <t>516.95</t>
  </si>
  <si>
    <t>12453.49</t>
  </si>
  <si>
    <t>17323.48</t>
  </si>
  <si>
    <t>314.32</t>
  </si>
  <si>
    <t>4353.32</t>
  </si>
  <si>
    <t>161.61</t>
  </si>
  <si>
    <t>39487.84</t>
  </si>
  <si>
    <t>2704.35</t>
  </si>
  <si>
    <t>779.84</t>
  </si>
  <si>
    <t>95447.23</t>
  </si>
  <si>
    <t>18583.46</t>
  </si>
  <si>
    <t>512.33</t>
  </si>
  <si>
    <t>9037.52</t>
  </si>
  <si>
    <t>253.74</t>
  </si>
  <si>
    <t>45800.43</t>
  </si>
  <si>
    <t>1865.84</t>
  </si>
  <si>
    <t>1004.66</t>
  </si>
  <si>
    <t>27940.79</t>
  </si>
  <si>
    <t>18238.01</t>
  </si>
  <si>
    <t>572.98</t>
  </si>
  <si>
    <t>17755.01</t>
  </si>
  <si>
    <t>74.37</t>
  </si>
  <si>
    <t>51595.73</t>
  </si>
  <si>
    <t>152.74</t>
  </si>
  <si>
    <t>104.43</t>
  </si>
  <si>
    <t>222.29</t>
  </si>
  <si>
    <t>148.06</t>
  </si>
  <si>
    <t>139.25</t>
  </si>
  <si>
    <t>48763.78</t>
  </si>
  <si>
    <t>1601.17</t>
  </si>
  <si>
    <t>755.36</t>
  </si>
  <si>
    <t>19316.55</t>
  </si>
  <si>
    <t>19666.56</t>
  </si>
  <si>
    <t>527.5</t>
  </si>
  <si>
    <t>9714.4</t>
  </si>
  <si>
    <t>154.12</t>
  </si>
  <si>
    <t>44759.76</t>
  </si>
  <si>
    <t>2995.18</t>
  </si>
  <si>
    <t>829.12</t>
  </si>
  <si>
    <t>114776.31</t>
  </si>
  <si>
    <t>19857.49</t>
  </si>
  <si>
    <t>13201.34</t>
  </si>
  <si>
    <t>169.14</t>
  </si>
  <si>
    <t>52476.43</t>
  </si>
  <si>
    <t>1224.91</t>
  </si>
  <si>
    <t>878.8</t>
  </si>
  <si>
    <t>22717.82</t>
  </si>
  <si>
    <t>19186.38</t>
  </si>
  <si>
    <t>648.64</t>
  </si>
  <si>
    <t>18003.48</t>
  </si>
  <si>
    <t>31562.95</t>
  </si>
  <si>
    <t>66.56</t>
  </si>
  <si>
    <t>358.36</t>
  </si>
  <si>
    <t>9275.34</t>
  </si>
  <si>
    <t>160.59</t>
  </si>
  <si>
    <t>265.35</t>
  </si>
  <si>
    <t>131.87</t>
  </si>
  <si>
    <t>43275.07</t>
  </si>
  <si>
    <t>664.41</t>
  </si>
  <si>
    <t>634.62</t>
  </si>
  <si>
    <t>19905.05</t>
  </si>
  <si>
    <t>16341.56</t>
  </si>
  <si>
    <t>375.42</t>
  </si>
  <si>
    <t>4360.12</t>
  </si>
  <si>
    <t>325.05</t>
  </si>
  <si>
    <t>41079.81</t>
  </si>
  <si>
    <t>439.55</t>
  </si>
  <si>
    <t>804.43</t>
  </si>
  <si>
    <t>185940.79</t>
  </si>
  <si>
    <t>16867.87</t>
  </si>
  <si>
    <t>497.15</t>
  </si>
  <si>
    <t>10798.93</t>
  </si>
  <si>
    <t>113.58</t>
  </si>
  <si>
    <t>37729.33</t>
  </si>
  <si>
    <t>156.73</t>
  </si>
  <si>
    <t>682.57</t>
  </si>
  <si>
    <t>13828.03</t>
  </si>
  <si>
    <t>15022.93</t>
  </si>
  <si>
    <t>352.53</t>
  </si>
  <si>
    <t>8499.17</t>
  </si>
  <si>
    <t>29386.72</t>
  </si>
  <si>
    <t>188.66</t>
  </si>
  <si>
    <t>9.37</t>
  </si>
  <si>
    <t>7.77</t>
  </si>
  <si>
    <t>114.06</t>
  </si>
  <si>
    <t>18.52</t>
  </si>
  <si>
    <t>365.33</t>
  </si>
  <si>
    <t>45061.91</t>
  </si>
  <si>
    <t>159.35</t>
  </si>
  <si>
    <t>540.22</t>
  </si>
  <si>
    <t>6636.42</t>
  </si>
  <si>
    <t>15715.44</t>
  </si>
  <si>
    <t>283.7</t>
  </si>
  <si>
    <t>2724.49</t>
  </si>
  <si>
    <t>1132.86</t>
  </si>
  <si>
    <t>46265.83</t>
  </si>
  <si>
    <t>778.04</t>
  </si>
  <si>
    <t>22195.54</t>
  </si>
  <si>
    <t>17535.5</t>
  </si>
  <si>
    <t>3558.68</t>
  </si>
  <si>
    <t>12276.22</t>
  </si>
  <si>
    <t>45961.77</t>
  </si>
  <si>
    <t>171.88</t>
  </si>
  <si>
    <t>22730.89</t>
  </si>
  <si>
    <t>14953.88</t>
  </si>
  <si>
    <t>709.07</t>
  </si>
  <si>
    <t>16791.93</t>
  </si>
  <si>
    <t>47802.96</t>
  </si>
  <si>
    <t>9.44</t>
  </si>
  <si>
    <t>31.28</t>
  </si>
  <si>
    <t>218.21</t>
  </si>
  <si>
    <t>237.66</t>
  </si>
  <si>
    <t>85.76</t>
  </si>
  <si>
    <t>44015.93</t>
  </si>
  <si>
    <t>935.79</t>
  </si>
  <si>
    <t>6396.53</t>
  </si>
  <si>
    <t>17854.96</t>
  </si>
  <si>
    <t>5574.56</t>
  </si>
  <si>
    <t>45355.08</t>
  </si>
  <si>
    <t>4670.71</t>
  </si>
  <si>
    <t>37517.52</t>
  </si>
  <si>
    <t>19244.56</t>
  </si>
  <si>
    <t>542.67</t>
  </si>
  <si>
    <t>11259.5</t>
  </si>
  <si>
    <t>146.67</t>
  </si>
  <si>
    <t>53390.34</t>
  </si>
  <si>
    <t>402.35</t>
  </si>
  <si>
    <t>12677.54</t>
  </si>
  <si>
    <t>16289.77</t>
  </si>
  <si>
    <t>588.12</t>
  </si>
  <si>
    <t>17118.51</t>
  </si>
  <si>
    <t>2228.35</t>
  </si>
  <si>
    <t>2.89</t>
  </si>
  <si>
    <t>1.17</t>
  </si>
  <si>
    <t>1873.11</t>
  </si>
  <si>
    <t>24561.15</t>
  </si>
  <si>
    <t>480.57</t>
  </si>
  <si>
    <t>21001.04</t>
  </si>
  <si>
    <t>17586.63</t>
  </si>
  <si>
    <t>5942.6</t>
  </si>
  <si>
    <t>6341.03</t>
  </si>
  <si>
    <t>25845.78</t>
  </si>
  <si>
    <t>921.8</t>
  </si>
  <si>
    <t>610.83</t>
  </si>
  <si>
    <t>59693.41</t>
  </si>
  <si>
    <t>17082.22</t>
  </si>
  <si>
    <t>504.74</t>
  </si>
  <si>
    <t>11721.35</t>
  </si>
  <si>
    <t>5033.12</t>
  </si>
  <si>
    <t>17158.2</t>
  </si>
  <si>
    <t>15.42</t>
  </si>
  <si>
    <t>27869.67</t>
  </si>
  <si>
    <t>10354.6</t>
  </si>
  <si>
    <t>413.52</t>
  </si>
  <si>
    <t>12748.13</t>
  </si>
  <si>
    <t>17.03</t>
  </si>
  <si>
    <t>27.98</t>
  </si>
  <si>
    <t>32.46</t>
  </si>
  <si>
    <t>199.52</t>
  </si>
  <si>
    <t>38128.59</t>
  </si>
  <si>
    <t>472.73</t>
  </si>
  <si>
    <t>5846.74</t>
  </si>
  <si>
    <t>16978.1</t>
  </si>
  <si>
    <t>4627.31</t>
  </si>
  <si>
    <t>547.17</t>
  </si>
  <si>
    <t>40240.58</t>
  </si>
  <si>
    <t>3575.16</t>
  </si>
  <si>
    <t>45522.43</t>
  </si>
  <si>
    <t>18694.68</t>
  </si>
  <si>
    <t>9946.5</t>
  </si>
  <si>
    <t>980.66</t>
  </si>
  <si>
    <t>42807.72</t>
  </si>
  <si>
    <t>446.48</t>
  </si>
  <si>
    <t>16138.45</t>
  </si>
  <si>
    <t>16738.01</t>
  </si>
  <si>
    <t>14743.61</t>
  </si>
  <si>
    <t>60.54</t>
  </si>
  <si>
    <t>41.62</t>
  </si>
  <si>
    <t>284.99</t>
  </si>
  <si>
    <t>176.04</t>
  </si>
  <si>
    <t>75.88</t>
  </si>
  <si>
    <t>23331.3</t>
  </si>
  <si>
    <t>524.62</t>
  </si>
  <si>
    <t>7119.84</t>
  </si>
  <si>
    <t>17019.42</t>
  </si>
  <si>
    <t>253.02</t>
  </si>
  <si>
    <t>5363.2</t>
  </si>
  <si>
    <t>37005.88</t>
  </si>
  <si>
    <t>2652.01</t>
  </si>
  <si>
    <t>19511.22</t>
  </si>
  <si>
    <t>565.4</t>
  </si>
  <si>
    <t>16370.56</t>
  </si>
  <si>
    <t>51254.23</t>
  </si>
  <si>
    <t>209.2</t>
  </si>
  <si>
    <t>5875.82</t>
  </si>
  <si>
    <t>16677.07</t>
  </si>
  <si>
    <t>15085.81</t>
  </si>
  <si>
    <t>5763.45</t>
  </si>
  <si>
    <t>9.33</t>
  </si>
  <si>
    <t>12.1</t>
  </si>
  <si>
    <t>16959.15</t>
  </si>
  <si>
    <t>204.55</t>
  </si>
  <si>
    <t>336.39</t>
  </si>
  <si>
    <t>9989.52</t>
  </si>
  <si>
    <t>17181.25</t>
  </si>
  <si>
    <t>5131.08</t>
  </si>
  <si>
    <t>555.59</t>
  </si>
  <si>
    <t>16791.07</t>
  </si>
  <si>
    <t>482.83</t>
  </si>
  <si>
    <t>493.83</t>
  </si>
  <si>
    <t>42121.41</t>
  </si>
  <si>
    <t>15837.74</t>
  </si>
  <si>
    <t>10987.06</t>
  </si>
  <si>
    <t>269.44</t>
  </si>
  <si>
    <t>18688.7</t>
  </si>
  <si>
    <t>62.49</t>
  </si>
  <si>
    <t>12713.2</t>
  </si>
  <si>
    <t>15364.19</t>
  </si>
  <si>
    <t>344.89</t>
  </si>
  <si>
    <t>9830.05</t>
  </si>
  <si>
    <t>26816.22</t>
  </si>
  <si>
    <t>5.44</t>
  </si>
  <si>
    <t>148.85</t>
  </si>
  <si>
    <t>7.81</t>
  </si>
  <si>
    <t>82.86</t>
  </si>
  <si>
    <t>12.48</t>
  </si>
  <si>
    <t>38793.15</t>
  </si>
  <si>
    <t>388.38</t>
  </si>
  <si>
    <t>380.52</t>
  </si>
  <si>
    <t>2992.86</t>
  </si>
  <si>
    <t>11930.47</t>
  </si>
  <si>
    <t>1154.9</t>
  </si>
  <si>
    <t>191.88</t>
  </si>
  <si>
    <t>35711.87</t>
  </si>
  <si>
    <t>1436.79</t>
  </si>
  <si>
    <t>11262.42</t>
  </si>
  <si>
    <t>12974.09</t>
  </si>
  <si>
    <t>2029.9</t>
  </si>
  <si>
    <t>509.44</t>
  </si>
  <si>
    <t>36366.54</t>
  </si>
  <si>
    <t>2743.44</t>
  </si>
  <si>
    <t>3324.89</t>
  </si>
  <si>
    <t>268.37</t>
  </si>
  <si>
    <t>5397.01</t>
  </si>
  <si>
    <t>40.36</t>
  </si>
  <si>
    <t>46846.8</t>
  </si>
  <si>
    <t>8.77</t>
  </si>
  <si>
    <t>37.94</t>
  </si>
  <si>
    <t>34.91</t>
  </si>
  <si>
    <t>48.83</t>
  </si>
  <si>
    <t>42313.65</t>
  </si>
  <si>
    <t>846.21</t>
  </si>
  <si>
    <t>16908.6</t>
  </si>
  <si>
    <t>405.91</t>
  </si>
  <si>
    <t>5693.6</t>
  </si>
  <si>
    <t>41181.53</t>
  </si>
  <si>
    <t>3441.48</t>
  </si>
  <si>
    <t>87346.3</t>
  </si>
  <si>
    <t>18551.41</t>
  </si>
  <si>
    <t>11137.71</t>
  </si>
  <si>
    <t>53715.56</t>
  </si>
  <si>
    <t>104.2</t>
  </si>
  <si>
    <t>563.62</t>
  </si>
  <si>
    <t>3554.89</t>
  </si>
  <si>
    <t>6693.5</t>
  </si>
  <si>
    <t>421.13</t>
  </si>
  <si>
    <t>9827.17</t>
  </si>
  <si>
    <t>1733.24</t>
  </si>
  <si>
    <t>3.65</t>
  </si>
  <si>
    <t>39.58</t>
  </si>
  <si>
    <t>18.55</t>
  </si>
  <si>
    <t>360.03</t>
  </si>
  <si>
    <t>16.18</t>
  </si>
  <si>
    <t>77.87</t>
  </si>
  <si>
    <t>14785.02</t>
  </si>
  <si>
    <t>238.41</t>
  </si>
  <si>
    <t>14764.91</t>
  </si>
  <si>
    <t>13154.68</t>
  </si>
  <si>
    <t>1792.48</t>
  </si>
  <si>
    <t>496.92</t>
  </si>
  <si>
    <t>15518.41</t>
  </si>
  <si>
    <t>372.19</t>
  </si>
  <si>
    <t>33258.95</t>
  </si>
  <si>
    <t>11660.15</t>
  </si>
  <si>
    <t>5170.29</t>
  </si>
  <si>
    <t>13690.34</t>
  </si>
  <si>
    <t>43.34</t>
  </si>
  <si>
    <t>8435.21</t>
  </si>
  <si>
    <t>7991.67</t>
  </si>
  <si>
    <t>229.98</t>
  </si>
  <si>
    <t>5681.13</t>
  </si>
  <si>
    <t>27.39</t>
  </si>
  <si>
    <t>32523.58</t>
  </si>
  <si>
    <t>12.45</t>
  </si>
  <si>
    <t>6.04</t>
  </si>
  <si>
    <t>18.05</t>
  </si>
  <si>
    <t>29901.75</t>
  </si>
  <si>
    <t>393.9</t>
  </si>
  <si>
    <t>2383.21</t>
  </si>
  <si>
    <t>15549.83</t>
  </si>
  <si>
    <t>2104.94</t>
  </si>
  <si>
    <t>39698.64</t>
  </si>
  <si>
    <t>1905.79</t>
  </si>
  <si>
    <t>12602.39</t>
  </si>
  <si>
    <t>18303.99</t>
  </si>
  <si>
    <t>4876.36</t>
  </si>
  <si>
    <t>109.96</t>
  </si>
  <si>
    <t>44326.28</t>
  </si>
  <si>
    <t>717.28</t>
  </si>
  <si>
    <t>3544.23</t>
  </si>
  <si>
    <t>16316.7</t>
  </si>
  <si>
    <t>7354.05</t>
  </si>
  <si>
    <t>53.73</t>
  </si>
  <si>
    <t>43265.71</t>
  </si>
  <si>
    <t>86.59</t>
  </si>
  <si>
    <t>148.75</t>
  </si>
  <si>
    <t>116.89</t>
  </si>
  <si>
    <t>51908.45</t>
  </si>
  <si>
    <t>495.57</t>
  </si>
  <si>
    <t>4105.69</t>
  </si>
  <si>
    <t>19451.22</t>
  </si>
  <si>
    <t>8603.81</t>
  </si>
  <si>
    <t>48417.35</t>
  </si>
  <si>
    <t>1977.66</t>
  </si>
  <si>
    <t>14465.76</t>
  </si>
  <si>
    <t>19679.56</t>
  </si>
  <si>
    <t>11816.63</t>
  </si>
  <si>
    <t>61685.84</t>
  </si>
  <si>
    <t>3790.52</t>
  </si>
  <si>
    <t>18150.3</t>
  </si>
  <si>
    <t>519.92</t>
  </si>
  <si>
    <t>9359.44</t>
  </si>
  <si>
    <t>3729.62</t>
  </si>
  <si>
    <t>9.55</t>
  </si>
  <si>
    <t>1.96</t>
  </si>
  <si>
    <t>22106.78</t>
  </si>
  <si>
    <t>82.51</t>
  </si>
  <si>
    <t>319.3</t>
  </si>
  <si>
    <t>4678.89</t>
  </si>
  <si>
    <t>98.48</t>
  </si>
  <si>
    <t>81.07</t>
  </si>
  <si>
    <t>33534.72</t>
  </si>
  <si>
    <t>299.06</t>
  </si>
  <si>
    <t>4247.53</t>
  </si>
  <si>
    <t>11288.69</t>
  </si>
  <si>
    <t>1886.83</t>
  </si>
  <si>
    <t>21255.42</t>
  </si>
  <si>
    <t>47.28</t>
  </si>
  <si>
    <t>172.48</t>
  </si>
  <si>
    <t>2961.61</t>
  </si>
  <si>
    <t>166.54</t>
  </si>
  <si>
    <t>532.22</t>
  </si>
  <si>
    <t>13.98</t>
  </si>
  <si>
    <t>25.67</t>
  </si>
  <si>
    <t>724.53</t>
  </si>
  <si>
    <t>4.59</t>
  </si>
  <si>
    <t>154.15</t>
  </si>
  <si>
    <t>378.51</t>
  </si>
  <si>
    <t>35.4</t>
  </si>
  <si>
    <t>412.7</t>
  </si>
  <si>
    <t>500.04</t>
  </si>
  <si>
    <t>917.25</t>
  </si>
  <si>
    <t>107.33</t>
  </si>
  <si>
    <t>29446.71</t>
  </si>
  <si>
    <t>209.02</t>
  </si>
  <si>
    <t>10.91</t>
  </si>
  <si>
    <t>3.69</t>
  </si>
  <si>
    <t>40507.58</t>
  </si>
  <si>
    <t>229.65</t>
  </si>
  <si>
    <t>121.58</t>
  </si>
  <si>
    <t>25.18</t>
  </si>
  <si>
    <t>25.19</t>
  </si>
  <si>
    <t>56774.41</t>
  </si>
  <si>
    <t>247.84</t>
  </si>
  <si>
    <t>4826.79</t>
  </si>
  <si>
    <t>451.57</t>
  </si>
  <si>
    <t>6210.42</t>
  </si>
  <si>
    <t>47783.79</t>
  </si>
  <si>
    <t>1604.45</t>
  </si>
  <si>
    <t>25233.31</t>
  </si>
  <si>
    <t>19035.75</t>
  </si>
  <si>
    <t>11237.02</t>
  </si>
  <si>
    <t>59885.22</t>
  </si>
  <si>
    <t>16.25</t>
  </si>
  <si>
    <t>574.47</t>
  </si>
  <si>
    <t>2246.48</t>
  </si>
  <si>
    <t>582.77</t>
  </si>
  <si>
    <t>1482.59</t>
  </si>
  <si>
    <t>2.73</t>
  </si>
  <si>
    <t>22324.72</t>
  </si>
  <si>
    <t>730.11</t>
  </si>
  <si>
    <t>7350.27</t>
  </si>
  <si>
    <t>15293.76</t>
  </si>
  <si>
    <t>3391.21</t>
  </si>
  <si>
    <t>26288.22</t>
  </si>
  <si>
    <t>709.16</t>
  </si>
  <si>
    <t>35603.74</t>
  </si>
  <si>
    <t>16222.5</t>
  </si>
  <si>
    <t>11193.52</t>
  </si>
  <si>
    <t>27819.65</t>
  </si>
  <si>
    <t>52.98</t>
  </si>
  <si>
    <t>3369.91</t>
  </si>
  <si>
    <t>10921.76</t>
  </si>
  <si>
    <t>7740.87</t>
  </si>
  <si>
    <t>21.11</t>
  </si>
  <si>
    <t>24034.79</t>
  </si>
  <si>
    <t>6.24</t>
  </si>
  <si>
    <t>19298.62</t>
  </si>
  <si>
    <t>216.26</t>
  </si>
  <si>
    <t>1840.75</t>
  </si>
  <si>
    <t>8228.92</t>
  </si>
  <si>
    <t>1373.9</t>
  </si>
  <si>
    <t>81.38</t>
  </si>
  <si>
    <t>17634.68</t>
  </si>
  <si>
    <t>1395.55</t>
  </si>
  <si>
    <t>8010.27</t>
  </si>
  <si>
    <t>13518.52</t>
  </si>
  <si>
    <t>276.03</t>
  </si>
  <si>
    <t>3141.71</t>
  </si>
  <si>
    <t>35238.26</t>
  </si>
  <si>
    <t>71.37</t>
  </si>
  <si>
    <t>1301.24</t>
  </si>
  <si>
    <t>2586.27</t>
  </si>
  <si>
    <t>5132.46</t>
  </si>
  <si>
    <t>43340.59</t>
  </si>
  <si>
    <t>250.55</t>
  </si>
  <si>
    <t>197.72</t>
  </si>
  <si>
    <t>172.01</t>
  </si>
  <si>
    <t>29918.95</t>
  </si>
  <si>
    <t>281.25</t>
  </si>
  <si>
    <t>6380.03</t>
  </si>
  <si>
    <t>13818.27</t>
  </si>
  <si>
    <t>299.02</t>
  </si>
  <si>
    <t>7788.96</t>
  </si>
  <si>
    <t>47104.5</t>
  </si>
  <si>
    <t>139.36</t>
  </si>
  <si>
    <t>2133.51</t>
  </si>
  <si>
    <t>7606.45</t>
  </si>
  <si>
    <t>10926.25</t>
  </si>
  <si>
    <t>2460.65</t>
  </si>
  <si>
    <t>3.06</t>
  </si>
  <si>
    <t>0.91</t>
  </si>
  <si>
    <t>1.56</t>
  </si>
  <si>
    <t>674.66</t>
  </si>
  <si>
    <t>4475.6</t>
  </si>
  <si>
    <t>90.12</t>
  </si>
  <si>
    <t>9579.61</t>
  </si>
  <si>
    <t>12842.58</t>
  </si>
  <si>
    <t>2197.04</t>
  </si>
  <si>
    <t>1007.37</t>
  </si>
  <si>
    <t>5718.94</t>
  </si>
  <si>
    <t>148.15</t>
  </si>
  <si>
    <t>11968.09</t>
  </si>
  <si>
    <t>5233.62</t>
  </si>
  <si>
    <t>614.85</t>
  </si>
  <si>
    <t>6204.85</t>
  </si>
  <si>
    <t>12.56</t>
  </si>
  <si>
    <t>168.59</t>
  </si>
  <si>
    <t>7219.06</t>
  </si>
  <si>
    <t>6566.33</t>
  </si>
  <si>
    <t>199.19</t>
  </si>
  <si>
    <t>6958.77</t>
  </si>
  <si>
    <t>19746.79</t>
  </si>
  <si>
    <t>7.37</t>
  </si>
  <si>
    <t>3.05</t>
  </si>
  <si>
    <t>51.47</t>
  </si>
  <si>
    <t>7.96</t>
  </si>
  <si>
    <t>19526.38</t>
  </si>
  <si>
    <t>139.54</t>
  </si>
  <si>
    <t>1861.96</t>
  </si>
  <si>
    <t>12895.05</t>
  </si>
  <si>
    <t>129.6</t>
  </si>
  <si>
    <t>699.92</t>
  </si>
  <si>
    <t>31828.66</t>
  </si>
  <si>
    <t>767.75</t>
  </si>
  <si>
    <t>9768.02</t>
  </si>
  <si>
    <t>16567.05</t>
  </si>
  <si>
    <t>1721.15</t>
  </si>
  <si>
    <t>37064.54</t>
  </si>
  <si>
    <t>268.99</t>
  </si>
  <si>
    <t>3040.08</t>
  </si>
  <si>
    <t>14362.13</t>
  </si>
  <si>
    <t>6229.58</t>
  </si>
  <si>
    <t>35.44</t>
  </si>
  <si>
    <t>42999.19</t>
  </si>
  <si>
    <t>6.53</t>
  </si>
  <si>
    <t>129.39</t>
  </si>
  <si>
    <t>57.75</t>
  </si>
  <si>
    <t>137.35</t>
  </si>
  <si>
    <t>30.26</t>
  </si>
  <si>
    <t>45416.61</t>
  </si>
  <si>
    <t>387.47</t>
  </si>
  <si>
    <t>417.37</t>
  </si>
  <si>
    <t>4738.38</t>
  </si>
  <si>
    <t>19147.89</t>
  </si>
  <si>
    <t>2935.58</t>
  </si>
  <si>
    <t>49608.29</t>
  </si>
  <si>
    <t>2642.14</t>
  </si>
  <si>
    <t>26109.12</t>
  </si>
  <si>
    <t>19134.97</t>
  </si>
  <si>
    <t>9740.61</t>
  </si>
  <si>
    <t>55175.17</t>
  </si>
  <si>
    <t>84.62</t>
  </si>
  <si>
    <t>3123.26</t>
  </si>
  <si>
    <t>16140.57</t>
  </si>
  <si>
    <t>4299.95</t>
  </si>
  <si>
    <t>25.81</t>
  </si>
  <si>
    <t>3601.12</t>
  </si>
  <si>
    <t>12.38</t>
  </si>
  <si>
    <t>43.58</t>
  </si>
  <si>
    <t>37552.69</t>
  </si>
  <si>
    <t>37.26</t>
  </si>
  <si>
    <t>1443.31</t>
  </si>
  <si>
    <t>7275.72</t>
  </si>
  <si>
    <t>126.24</t>
  </si>
  <si>
    <t>115.4</t>
  </si>
  <si>
    <t>51991.59</t>
  </si>
  <si>
    <t>259.23</t>
  </si>
  <si>
    <t>9193.74</t>
  </si>
  <si>
    <t>14703.43</t>
  </si>
  <si>
    <t>1449.23</t>
  </si>
  <si>
    <t>45445.01</t>
  </si>
  <si>
    <t>86.48</t>
  </si>
  <si>
    <t>2950.03</t>
  </si>
  <si>
    <t>11196.59</t>
  </si>
  <si>
    <t>168.32</t>
  </si>
  <si>
    <t>985.68</t>
  </si>
  <si>
    <t>51874.22</t>
  </si>
  <si>
    <t>13.05</t>
  </si>
  <si>
    <t>9.82</t>
  </si>
  <si>
    <t>183.76</t>
  </si>
  <si>
    <t>40.59</t>
  </si>
  <si>
    <t>33724.53</t>
  </si>
  <si>
    <t>713.01</t>
  </si>
  <si>
    <t>376.98</t>
  </si>
  <si>
    <t>5490.07</t>
  </si>
  <si>
    <t>12354.76</t>
  </si>
  <si>
    <t>1610.86</t>
  </si>
  <si>
    <t>32422.85</t>
  </si>
  <si>
    <t>3078.15</t>
  </si>
  <si>
    <t>29769.89</t>
  </si>
  <si>
    <t>16081.7</t>
  </si>
  <si>
    <t>4925.38</t>
  </si>
  <si>
    <t>40438.49</t>
  </si>
  <si>
    <t>1097.97</t>
  </si>
  <si>
    <t>11735.93</t>
  </si>
  <si>
    <t>12978.76</t>
  </si>
  <si>
    <t>474.37</t>
  </si>
  <si>
    <t>12333.59</t>
  </si>
  <si>
    <t>130.03</t>
  </si>
  <si>
    <t>53621.88</t>
  </si>
  <si>
    <t>15.33</t>
  </si>
  <si>
    <t>481.96</t>
  </si>
  <si>
    <t>171.91</t>
  </si>
  <si>
    <t>310.37</t>
  </si>
  <si>
    <t>22183.41</t>
  </si>
  <si>
    <t>445.94</t>
  </si>
  <si>
    <t>9854.45</t>
  </si>
  <si>
    <t>15131.49</t>
  </si>
  <si>
    <t>367.79</t>
  </si>
  <si>
    <t>6701.8</t>
  </si>
  <si>
    <t>20470.5</t>
  </si>
  <si>
    <t>907.4</t>
  </si>
  <si>
    <t>32262.85</t>
  </si>
  <si>
    <t>16636.21</t>
  </si>
  <si>
    <t>398.29</t>
  </si>
  <si>
    <t>10538.45</t>
  </si>
  <si>
    <t>46527.53</t>
  </si>
  <si>
    <t>348.57</t>
  </si>
  <si>
    <t>5953.43</t>
  </si>
  <si>
    <t>11161.41</t>
  </si>
  <si>
    <t>443.96</t>
  </si>
  <si>
    <t>13661.11</t>
  </si>
  <si>
    <t>5.34</t>
  </si>
  <si>
    <t>118.88</t>
  </si>
  <si>
    <t>4.66</t>
  </si>
  <si>
    <t>1.28</t>
  </si>
  <si>
    <t>19900.58</t>
  </si>
  <si>
    <t>465.05</t>
  </si>
  <si>
    <t>16561.79</t>
  </si>
  <si>
    <t>16548.34</t>
  </si>
  <si>
    <t>2086.48</t>
  </si>
  <si>
    <t>1673.07</t>
  </si>
  <si>
    <t>23229.41</t>
  </si>
  <si>
    <t>854.98</t>
  </si>
  <si>
    <t>108868.49</t>
  </si>
  <si>
    <t>16550.42</t>
  </si>
  <si>
    <t>10126.76</t>
  </si>
  <si>
    <t>3332.33</t>
  </si>
  <si>
    <t>13378.92</t>
  </si>
  <si>
    <t>48.19</t>
  </si>
  <si>
    <t>39174.68</t>
  </si>
  <si>
    <t>9321.73</t>
  </si>
  <si>
    <t>436.35</t>
  </si>
  <si>
    <t>11383.92</t>
  </si>
  <si>
    <t>1813.01</t>
  </si>
  <si>
    <t>102.68</t>
  </si>
  <si>
    <t>4.6</t>
  </si>
  <si>
    <t>27.71</t>
  </si>
  <si>
    <t>13532.63</t>
  </si>
  <si>
    <t>75.61</t>
  </si>
  <si>
    <t>700.74</t>
  </si>
  <si>
    <t>5001.83</t>
  </si>
  <si>
    <t>526.24</t>
  </si>
  <si>
    <t>14535.87</t>
  </si>
  <si>
    <t>245.68</t>
  </si>
  <si>
    <t>298.45</t>
  </si>
  <si>
    <t>2909.05</t>
  </si>
  <si>
    <t>7341.85</t>
  </si>
  <si>
    <t>792.01</t>
  </si>
  <si>
    <t>22078.56</t>
  </si>
  <si>
    <t>596.22</t>
  </si>
  <si>
    <t>6652.13</t>
  </si>
  <si>
    <t>10752.48</t>
  </si>
  <si>
    <t>9538.24</t>
  </si>
  <si>
    <t>22.66</t>
  </si>
  <si>
    <t>6660.79</t>
  </si>
  <si>
    <t>152.44</t>
  </si>
  <si>
    <t>341.57</t>
  </si>
  <si>
    <t>22.31</t>
  </si>
  <si>
    <t>135.37</t>
  </si>
  <si>
    <t>19365.32</t>
  </si>
  <si>
    <t>396.96</t>
  </si>
  <si>
    <t>317.79</t>
  </si>
  <si>
    <t>6389.46</t>
  </si>
  <si>
    <t>14405.89</t>
  </si>
  <si>
    <t>5653.09</t>
  </si>
  <si>
    <t>18459.05</t>
  </si>
  <si>
    <t>980.53</t>
  </si>
  <si>
    <t>14717.85</t>
  </si>
  <si>
    <t>16889.54</t>
  </si>
  <si>
    <t>7790.73</t>
  </si>
  <si>
    <t>20296.01</t>
  </si>
  <si>
    <t>80.51</t>
  </si>
  <si>
    <t>2789.55</t>
  </si>
  <si>
    <t>7694.04</t>
  </si>
  <si>
    <t>337.25</t>
  </si>
  <si>
    <t>8952.88</t>
  </si>
  <si>
    <t>1195.98</t>
  </si>
  <si>
    <t>25475.55</t>
  </si>
  <si>
    <t>357.16</t>
  </si>
  <si>
    <t>1828.65</t>
  </si>
  <si>
    <t>13043.65</t>
  </si>
  <si>
    <t>245.34</t>
  </si>
  <si>
    <t>27781.56</t>
  </si>
  <si>
    <t>570.56</t>
  </si>
  <si>
    <t>10852.35</t>
  </si>
  <si>
    <t>13619.01</t>
  </si>
  <si>
    <t>306.67</t>
  </si>
  <si>
    <t>3803.14</t>
  </si>
  <si>
    <t>93.78</t>
  </si>
  <si>
    <t>22571.45</t>
  </si>
  <si>
    <t>251.51</t>
  </si>
  <si>
    <t>4746.38</t>
  </si>
  <si>
    <t>10166.78</t>
  </si>
  <si>
    <t>260.7</t>
  </si>
  <si>
    <t>4493.24</t>
  </si>
  <si>
    <t>42635.11</t>
  </si>
  <si>
    <t>8.33</t>
  </si>
  <si>
    <t>23.07</t>
  </si>
  <si>
    <t>36.46</t>
  </si>
  <si>
    <t>34.17</t>
  </si>
  <si>
    <t>35340.9</t>
  </si>
  <si>
    <t>700.75</t>
  </si>
  <si>
    <t>4319.21</t>
  </si>
  <si>
    <t>14169.37</t>
  </si>
  <si>
    <t>2007.62</t>
  </si>
  <si>
    <t>282.2</t>
  </si>
  <si>
    <t>73029.79</t>
  </si>
  <si>
    <t>5945.25</t>
  </si>
  <si>
    <t>1390.01</t>
  </si>
  <si>
    <t>41722.97</t>
  </si>
  <si>
    <t>857.49</t>
  </si>
  <si>
    <t>10891.35</t>
  </si>
  <si>
    <t>43158.12</t>
  </si>
  <si>
    <t>1410.51</t>
  </si>
  <si>
    <t>11312.63</t>
  </si>
  <si>
    <t>14742.36</t>
  </si>
  <si>
    <t>535.09</t>
  </si>
  <si>
    <t>14746.93</t>
  </si>
  <si>
    <t>53385.41</t>
  </si>
  <si>
    <t>14.77</t>
  </si>
  <si>
    <t>159.8</t>
  </si>
  <si>
    <t>200.36</t>
  </si>
  <si>
    <t>321.97</t>
  </si>
  <si>
    <t>243.17</t>
  </si>
  <si>
    <t>1179.8</t>
  </si>
  <si>
    <t>6214.17</t>
  </si>
  <si>
    <t>18300.53</t>
  </si>
  <si>
    <t>8239.37</t>
  </si>
  <si>
    <t>46441.84</t>
  </si>
  <si>
    <t>3659.47</t>
  </si>
  <si>
    <t>30121.01</t>
  </si>
  <si>
    <t>18211.68</t>
  </si>
  <si>
    <t>12718.52</t>
  </si>
  <si>
    <t>62724.49</t>
  </si>
  <si>
    <t>525.85</t>
  </si>
  <si>
    <t>1017.37</t>
  </si>
  <si>
    <t>16704.98</t>
  </si>
  <si>
    <t>16981.5</t>
  </si>
  <si>
    <t>769.42</t>
  </si>
  <si>
    <t>18287.78</t>
  </si>
  <si>
    <t>2101.97</t>
  </si>
  <si>
    <t>4.03</t>
  </si>
  <si>
    <t>1.13</t>
  </si>
  <si>
    <t>52.04</t>
  </si>
  <si>
    <t>18490.15</t>
  </si>
  <si>
    <t>134.82</t>
  </si>
  <si>
    <t>3832.47</t>
  </si>
  <si>
    <t>11129.11</t>
  </si>
  <si>
    <t>1726.26</t>
  </si>
  <si>
    <t>26242.23</t>
  </si>
  <si>
    <t>132.35</t>
  </si>
  <si>
    <t>16946.11</t>
  </si>
  <si>
    <t>10195.66</t>
  </si>
  <si>
    <t>6097.28</t>
  </si>
  <si>
    <t>26526.8</t>
  </si>
  <si>
    <t>96.61</t>
  </si>
  <si>
    <t>6649.71</t>
  </si>
  <si>
    <t>7008.53</t>
  </si>
  <si>
    <t>5592.2</t>
  </si>
  <si>
    <t>48730.07</t>
  </si>
  <si>
    <t>29.79</t>
  </si>
  <si>
    <t>34.6</t>
  </si>
  <si>
    <t>27.35</t>
  </si>
  <si>
    <t>43692.02</t>
  </si>
  <si>
    <t>1354.92</t>
  </si>
  <si>
    <t>3786.88</t>
  </si>
  <si>
    <t>14657.95</t>
  </si>
  <si>
    <t>383.04</t>
  </si>
  <si>
    <t>1704.54</t>
  </si>
  <si>
    <t>51025.25</t>
  </si>
  <si>
    <t>6174.45</t>
  </si>
  <si>
    <t>27840.12</t>
  </si>
  <si>
    <t>17966.97</t>
  </si>
  <si>
    <t>4821.21</t>
  </si>
  <si>
    <t>540.87</t>
  </si>
  <si>
    <t>49424.61</t>
  </si>
  <si>
    <t>1707.47</t>
  </si>
  <si>
    <t>20476.75</t>
  </si>
  <si>
    <t>14784.36</t>
  </si>
  <si>
    <t>12735.34</t>
  </si>
  <si>
    <t>49202.49</t>
  </si>
  <si>
    <t>110.24</t>
  </si>
  <si>
    <t>48527.95</t>
  </si>
  <si>
    <t>4911.69</t>
  </si>
  <si>
    <t>717.31</t>
  </si>
  <si>
    <t>13929.75</t>
  </si>
  <si>
    <t>18785.96</t>
  </si>
  <si>
    <t>489.56</t>
  </si>
  <si>
    <t>11789.35</t>
  </si>
  <si>
    <t>45274.65</t>
  </si>
  <si>
    <t>6765.24</t>
  </si>
  <si>
    <t>1041.16</t>
  </si>
  <si>
    <t>129955.8</t>
  </si>
  <si>
    <t>19266.93</t>
  </si>
  <si>
    <t>15232.69</t>
  </si>
  <si>
    <t>51854.67</t>
  </si>
  <si>
    <t>1113.68</t>
  </si>
  <si>
    <t>12057.39</t>
  </si>
  <si>
    <t>16733.06</t>
  </si>
  <si>
    <t>603.26</t>
  </si>
  <si>
    <t>14380.93</t>
  </si>
  <si>
    <t>5906.85</t>
  </si>
  <si>
    <t>41.54</t>
  </si>
  <si>
    <t>180.22</t>
  </si>
  <si>
    <t>4746.68</t>
  </si>
  <si>
    <t>427.24</t>
  </si>
  <si>
    <t>22944.63</t>
  </si>
  <si>
    <t>659.81</t>
  </si>
  <si>
    <t>16335.82</t>
  </si>
  <si>
    <t>15041.99</t>
  </si>
  <si>
    <t>3104.79</t>
  </si>
  <si>
    <t>14773.85</t>
  </si>
  <si>
    <t>468.88</t>
  </si>
  <si>
    <t>19912.28</t>
  </si>
  <si>
    <t>12412.62</t>
  </si>
  <si>
    <t>4433.29</t>
  </si>
  <si>
    <t>20137.65</t>
  </si>
  <si>
    <t>152.23</t>
  </si>
  <si>
    <t>11426.88</t>
  </si>
  <si>
    <t>13422.64</t>
  </si>
  <si>
    <t>5867.97</t>
  </si>
  <si>
    <t>30371.27</t>
  </si>
  <si>
    <t>8.04</t>
  </si>
  <si>
    <t>15.95</t>
  </si>
  <si>
    <t>32177.89</t>
  </si>
  <si>
    <t>2900.71</t>
  </si>
  <si>
    <t>8028.24</t>
  </si>
  <si>
    <t>857.67</t>
  </si>
  <si>
    <t>251.78</t>
  </si>
  <si>
    <t>33019.49</t>
  </si>
  <si>
    <t>1349.96</t>
  </si>
  <si>
    <t>9722.64</t>
  </si>
  <si>
    <t>11647.44</t>
  </si>
  <si>
    <t>291.36</t>
  </si>
  <si>
    <t>1943.13</t>
  </si>
  <si>
    <t>41602.91</t>
  </si>
  <si>
    <t>286.64</t>
  </si>
  <si>
    <t>4102.88</t>
  </si>
  <si>
    <t>7604.92</t>
  </si>
  <si>
    <t>7586.48</t>
  </si>
  <si>
    <t>49501.93</t>
  </si>
  <si>
    <t>9.34</t>
  </si>
  <si>
    <t>331.83</t>
  </si>
  <si>
    <t>140.39</t>
  </si>
  <si>
    <t>173.38</t>
  </si>
  <si>
    <t>35537.45</t>
  </si>
  <si>
    <t>922.48</t>
  </si>
  <si>
    <t>11745.6</t>
  </si>
  <si>
    <t>15770.14</t>
  </si>
  <si>
    <t>7381.89</t>
  </si>
  <si>
    <t>24203.13</t>
  </si>
  <si>
    <t>1426.53</t>
  </si>
  <si>
    <t>21292.02</t>
  </si>
  <si>
    <t>15951.75</t>
  </si>
  <si>
    <t>8398.53</t>
  </si>
  <si>
    <t>54402.1</t>
  </si>
  <si>
    <t>341.01</t>
  </si>
  <si>
    <t>5247.21</t>
  </si>
  <si>
    <t>10150.01</t>
  </si>
  <si>
    <t>12894.08</t>
  </si>
  <si>
    <t>2023.74</t>
  </si>
  <si>
    <t>0.57</t>
  </si>
  <si>
    <t>0.59</t>
  </si>
  <si>
    <t>15296.94</t>
  </si>
  <si>
    <t>388.33</t>
  </si>
  <si>
    <t>8919.86</t>
  </si>
  <si>
    <t>13514.8</t>
  </si>
  <si>
    <t>1539.1</t>
  </si>
  <si>
    <t>1486.92</t>
  </si>
  <si>
    <t>18303.67</t>
  </si>
  <si>
    <t>883.45</t>
  </si>
  <si>
    <t>23719.43</t>
  </si>
  <si>
    <t>13410.27</t>
  </si>
  <si>
    <t>5509.23</t>
  </si>
  <si>
    <t>1473.05</t>
  </si>
  <si>
    <t>9521.28</t>
  </si>
  <si>
    <t>18581.83</t>
  </si>
  <si>
    <t>3888.81</t>
  </si>
  <si>
    <t>6474.48</t>
  </si>
  <si>
    <t>21869.15</t>
  </si>
  <si>
    <t>3.77</t>
  </si>
  <si>
    <t>75.04</t>
  </si>
  <si>
    <t>9.53</t>
  </si>
  <si>
    <t>29545.31</t>
  </si>
  <si>
    <t>361.98</t>
  </si>
  <si>
    <t>2960.93</t>
  </si>
  <si>
    <t>9962.29</t>
  </si>
  <si>
    <t>1296.96</t>
  </si>
  <si>
    <t>698.3</t>
  </si>
  <si>
    <t>27460.37</t>
  </si>
  <si>
    <t>1377.78</t>
  </si>
  <si>
    <t>15424.31</t>
  </si>
  <si>
    <t>14050.7</t>
  </si>
  <si>
    <t>3126.74</t>
  </si>
  <si>
    <t>37172.89</t>
  </si>
  <si>
    <t>187.53</t>
  </si>
  <si>
    <t>2499.8</t>
  </si>
  <si>
    <t>7317.47</t>
  </si>
  <si>
    <t>5752.84</t>
  </si>
  <si>
    <t>49821.18</t>
  </si>
  <si>
    <t>229.31</t>
  </si>
  <si>
    <t>222.92</t>
  </si>
  <si>
    <t>136.99</t>
  </si>
  <si>
    <t>41473.14</t>
  </si>
  <si>
    <t>1424.93</t>
  </si>
  <si>
    <t>13180.06</t>
  </si>
  <si>
    <t>17922.46</t>
  </si>
  <si>
    <t>8583.52</t>
  </si>
  <si>
    <t>37951.52</t>
  </si>
  <si>
    <t>3366.76</t>
  </si>
  <si>
    <t>19201.73</t>
  </si>
  <si>
    <t>57500.54</t>
  </si>
  <si>
    <t>185.45</t>
  </si>
  <si>
    <t>2673.02</t>
  </si>
  <si>
    <t>10263.28</t>
  </si>
  <si>
    <t>1339.94</t>
  </si>
  <si>
    <t>29.9</t>
  </si>
  <si>
    <t>35.66</t>
  </si>
  <si>
    <t>991.78</t>
  </si>
  <si>
    <t>9219.08</t>
  </si>
  <si>
    <t>193.4</t>
  </si>
  <si>
    <t>8951.46</t>
  </si>
  <si>
    <t>14318.41</t>
  </si>
  <si>
    <t>3896.23</t>
  </si>
  <si>
    <t>3798.47</t>
  </si>
  <si>
    <t>12687.6</t>
  </si>
  <si>
    <t>343.07</t>
  </si>
  <si>
    <t>17426.47</t>
  </si>
  <si>
    <t>14435.58</t>
  </si>
  <si>
    <t>8301.87</t>
  </si>
  <si>
    <t>3453.25</t>
  </si>
  <si>
    <t>8322.45</t>
  </si>
  <si>
    <t>11.86</t>
  </si>
  <si>
    <t>12121.15</t>
  </si>
  <si>
    <t>7592.2</t>
  </si>
  <si>
    <t>9245.96</t>
  </si>
  <si>
    <t>53957.33</t>
  </si>
  <si>
    <t>9.99</t>
  </si>
  <si>
    <t>633.01</t>
  </si>
  <si>
    <t>206.16</t>
  </si>
  <si>
    <t>352.68</t>
  </si>
  <si>
    <t>41195.4</t>
  </si>
  <si>
    <t>270.36</t>
  </si>
  <si>
    <t>3676.52</t>
  </si>
  <si>
    <t>15728.54</t>
  </si>
  <si>
    <t>5160.32</t>
  </si>
  <si>
    <t>34681.63</t>
  </si>
  <si>
    <t>1118.48</t>
  </si>
  <si>
    <t>672.83</t>
  </si>
  <si>
    <t>13075.7</t>
  </si>
  <si>
    <t>18862.61</t>
  </si>
  <si>
    <t>11455.05</t>
  </si>
  <si>
    <t>46832.49</t>
  </si>
  <si>
    <t>48.6</t>
  </si>
  <si>
    <t>3967.69</t>
  </si>
  <si>
    <t>7618.95</t>
  </si>
  <si>
    <t>6959.82</t>
  </si>
  <si>
    <t>1037.74</t>
  </si>
  <si>
    <t>106.27</t>
  </si>
  <si>
    <t>7355.38</t>
  </si>
  <si>
    <t>237.45</t>
  </si>
  <si>
    <t>961.74</t>
  </si>
  <si>
    <t>10529.56</t>
  </si>
  <si>
    <t>611.62</t>
  </si>
  <si>
    <t>13944.12</t>
  </si>
  <si>
    <t>548.88</t>
  </si>
  <si>
    <t>3787.79</t>
  </si>
  <si>
    <t>13587.23</t>
  </si>
  <si>
    <t>3967.83</t>
  </si>
  <si>
    <t>38.71</t>
  </si>
  <si>
    <t>9369.98</t>
  </si>
  <si>
    <t>152.41</t>
  </si>
  <si>
    <t>1064.79</t>
  </si>
  <si>
    <t>6977.05</t>
  </si>
  <si>
    <t>2288.42</t>
  </si>
  <si>
    <t>52011.16</t>
  </si>
  <si>
    <t>21.33</t>
  </si>
  <si>
    <t>27316.94</t>
  </si>
  <si>
    <t>432.93</t>
  </si>
  <si>
    <t>5673.96</t>
  </si>
  <si>
    <t>12590.94</t>
  </si>
  <si>
    <t>1116.7</t>
  </si>
  <si>
    <t>24010.18</t>
  </si>
  <si>
    <t>21341.72</t>
  </si>
  <si>
    <t>14741.6</t>
  </si>
  <si>
    <t>2783.84</t>
  </si>
  <si>
    <t>30652.02</t>
  </si>
  <si>
    <t>1213.07</t>
  </si>
  <si>
    <t>8335.9</t>
  </si>
  <si>
    <t>13199.05</t>
  </si>
  <si>
    <t>6934.2</t>
  </si>
  <si>
    <t>42295.03</t>
  </si>
  <si>
    <t>4.85</t>
  </si>
  <si>
    <t>1086.55</t>
  </si>
  <si>
    <t>448.27</t>
  </si>
  <si>
    <t>206.69</t>
  </si>
  <si>
    <t>417.42</t>
  </si>
  <si>
    <t>9892.99</t>
  </si>
  <si>
    <t>17006.34</t>
  </si>
  <si>
    <t>6711.25</t>
  </si>
  <si>
    <t>22122.9</t>
  </si>
  <si>
    <t>808.58</t>
  </si>
  <si>
    <t>32206.88</t>
  </si>
  <si>
    <t>17152.94</t>
  </si>
  <si>
    <t>9413.16</t>
  </si>
  <si>
    <t>39946.43</t>
  </si>
  <si>
    <t>527.99</t>
  </si>
  <si>
    <t>8207.25</t>
  </si>
  <si>
    <t>14717.33</t>
  </si>
  <si>
    <t>10568.41</t>
  </si>
  <si>
    <t>7876.55</t>
  </si>
  <si>
    <t>15.31</t>
  </si>
  <si>
    <t>100.56</t>
  </si>
  <si>
    <t>986.76</t>
  </si>
  <si>
    <t>12.02</t>
  </si>
  <si>
    <t>212.96</t>
  </si>
  <si>
    <t>27895.87</t>
  </si>
  <si>
    <t>207.03</t>
  </si>
  <si>
    <t>928.86</t>
  </si>
  <si>
    <t>12333.87</t>
  </si>
  <si>
    <t>14251.87</t>
  </si>
  <si>
    <t>79.51</t>
  </si>
  <si>
    <t>25679.25</t>
  </si>
  <si>
    <t>339.4</t>
  </si>
  <si>
    <t>31713.82</t>
  </si>
  <si>
    <t>12590.7</t>
  </si>
  <si>
    <t>101.51</t>
  </si>
  <si>
    <t>189.98</t>
  </si>
  <si>
    <t>26891.83</t>
  </si>
  <si>
    <t>193.58</t>
  </si>
  <si>
    <t>1081.24</t>
  </si>
  <si>
    <t>10842.51</t>
  </si>
  <si>
    <t>12697.18</t>
  </si>
  <si>
    <t>119.56</t>
  </si>
  <si>
    <t>65.69</t>
  </si>
  <si>
    <t>47410.37</t>
  </si>
  <si>
    <t>28.33</t>
  </si>
  <si>
    <t>15.13</t>
  </si>
  <si>
    <t>4.52</t>
  </si>
  <si>
    <t>37765.58</t>
  </si>
  <si>
    <t>274.11</t>
  </si>
  <si>
    <t>777.43</t>
  </si>
  <si>
    <t>5313.57</t>
  </si>
  <si>
    <t>1077.34</t>
  </si>
  <si>
    <t>38975.68</t>
  </si>
  <si>
    <t>1121.43</t>
  </si>
  <si>
    <t>3465.95</t>
  </si>
  <si>
    <t>8862.53</t>
  </si>
  <si>
    <t>1547.66</t>
  </si>
  <si>
    <t>45620.27</t>
  </si>
  <si>
    <t>221.47</t>
  </si>
  <si>
    <t>1700.46</t>
  </si>
  <si>
    <t>1844.7</t>
  </si>
  <si>
    <t>3611.04</t>
  </si>
  <si>
    <t>60646.55</t>
  </si>
  <si>
    <t>18.02</t>
  </si>
  <si>
    <t>470.85</t>
  </si>
  <si>
    <t>98.41</t>
  </si>
  <si>
    <t>58.95</t>
  </si>
  <si>
    <t>360.16</t>
  </si>
  <si>
    <t>211.68</t>
  </si>
  <si>
    <t>412.18</t>
  </si>
  <si>
    <t>48138.72</t>
  </si>
  <si>
    <t>491.59</t>
  </si>
  <si>
    <t>2050.29</t>
  </si>
  <si>
    <t>2139.34</t>
  </si>
  <si>
    <t>11798.99</t>
  </si>
  <si>
    <t>927.49</t>
  </si>
  <si>
    <t>2147.06</t>
  </si>
  <si>
    <t>46837.26</t>
  </si>
  <si>
    <t>1517.79</t>
  </si>
  <si>
    <t>6740.2</t>
  </si>
  <si>
    <t>13595.92</t>
  </si>
  <si>
    <t>3443.4</t>
  </si>
  <si>
    <t>201.44</t>
  </si>
  <si>
    <t>152.08</t>
  </si>
  <si>
    <t>853.91</t>
  </si>
  <si>
    <t>3339.84</t>
  </si>
  <si>
    <t>3716.62</t>
  </si>
  <si>
    <t>459.17</t>
  </si>
  <si>
    <t>8182.22</t>
  </si>
  <si>
    <t>45.33</t>
  </si>
  <si>
    <t>15751.79</t>
  </si>
  <si>
    <t>62.78</t>
  </si>
  <si>
    <t>73.82</t>
  </si>
  <si>
    <t>2442.55</t>
  </si>
  <si>
    <t>9271.23</t>
  </si>
  <si>
    <t>2040.89</t>
  </si>
  <si>
    <t>14703.12</t>
  </si>
  <si>
    <t>203.76</t>
  </si>
  <si>
    <t>7521.91</t>
  </si>
  <si>
    <t>14163.6</t>
  </si>
  <si>
    <t>2572.55</t>
  </si>
  <si>
    <t>259.62</t>
  </si>
  <si>
    <t>17135.21</t>
  </si>
  <si>
    <t>795.78</t>
  </si>
  <si>
    <t>18260.49</t>
  </si>
  <si>
    <t>13753.02</t>
  </si>
  <si>
    <t>8375.42</t>
  </si>
  <si>
    <t>20363.39</t>
  </si>
  <si>
    <t>83.72</t>
  </si>
  <si>
    <t>12222.49</t>
  </si>
  <si>
    <t>8943.15</t>
  </si>
  <si>
    <t>9895.45</t>
  </si>
  <si>
    <t>18899.38</t>
  </si>
  <si>
    <t>15.86</t>
  </si>
  <si>
    <t>20.43</t>
  </si>
  <si>
    <t>14.79</t>
  </si>
  <si>
    <t>267.47</t>
  </si>
  <si>
    <t>19967.69</t>
  </si>
  <si>
    <t>147.52</t>
  </si>
  <si>
    <t>1800.46</t>
  </si>
  <si>
    <t>676.63</t>
  </si>
  <si>
    <t>10380.33</t>
  </si>
  <si>
    <t>811.73</t>
  </si>
  <si>
    <t>243.97</t>
  </si>
  <si>
    <t>23813.46</t>
  </si>
  <si>
    <t>2432.2</t>
  </si>
  <si>
    <t>1341.73</t>
  </si>
  <si>
    <t>12473.03</t>
  </si>
  <si>
    <t>17090.08</t>
  </si>
  <si>
    <t>580.55</t>
  </si>
  <si>
    <t>7323.75</t>
  </si>
  <si>
    <t>38866.14</t>
  </si>
  <si>
    <t>579.94</t>
  </si>
  <si>
    <t>7277.39</t>
  </si>
  <si>
    <t>14755.26</t>
  </si>
  <si>
    <t>13004.26</t>
  </si>
  <si>
    <t>30375.58</t>
  </si>
  <si>
    <t>2.93</t>
  </si>
  <si>
    <t>212.16</t>
  </si>
  <si>
    <t>340.86</t>
  </si>
  <si>
    <t>92.04</t>
  </si>
  <si>
    <t>26967.48</t>
  </si>
  <si>
    <t>146.47</t>
  </si>
  <si>
    <t>293.04</t>
  </si>
  <si>
    <t>4450.02</t>
  </si>
  <si>
    <t>15266.73</t>
  </si>
  <si>
    <t>5814.2</t>
  </si>
  <si>
    <t>58.83</t>
  </si>
  <si>
    <t>15510.89</t>
  </si>
  <si>
    <t>488.28</t>
  </si>
  <si>
    <t>8034.43</t>
  </si>
  <si>
    <t>16691.13</t>
  </si>
  <si>
    <t>9215.55</t>
  </si>
  <si>
    <t>39323.05</t>
  </si>
  <si>
    <t>26.69</t>
  </si>
  <si>
    <t>2425.79</t>
  </si>
  <si>
    <t>7725.49</t>
  </si>
  <si>
    <t>8156.67</t>
  </si>
  <si>
    <t>2296.08</t>
  </si>
  <si>
    <t>8.63</t>
  </si>
  <si>
    <t>13.6</t>
  </si>
  <si>
    <t>7.52</t>
  </si>
  <si>
    <t>17657.8</t>
  </si>
  <si>
    <t>364.49</t>
  </si>
  <si>
    <t>1184.51</t>
  </si>
  <si>
    <t>2507.43</t>
  </si>
  <si>
    <t>14941.2</t>
  </si>
  <si>
    <t>814.77</t>
  </si>
  <si>
    <t>436.83</t>
  </si>
  <si>
    <t>27709.65</t>
  </si>
  <si>
    <t>1077.98</t>
  </si>
  <si>
    <t>1938.7</t>
  </si>
  <si>
    <t>15451.77</t>
  </si>
  <si>
    <t>15699.53</t>
  </si>
  <si>
    <t>867.33</t>
  </si>
  <si>
    <t>7665.94</t>
  </si>
  <si>
    <t>23682.5</t>
  </si>
  <si>
    <t>207.54</t>
  </si>
  <si>
    <t>6311.37</t>
  </si>
  <si>
    <t>15339.18</t>
  </si>
  <si>
    <t>7542.35</t>
  </si>
  <si>
    <t>51527.39</t>
  </si>
  <si>
    <t>31.53</t>
  </si>
  <si>
    <t>13.77</t>
  </si>
  <si>
    <t>89.94</t>
  </si>
  <si>
    <t>38446.88</t>
  </si>
  <si>
    <t>599.41</t>
  </si>
  <si>
    <t>2105.21</t>
  </si>
  <si>
    <t>9548.88</t>
  </si>
  <si>
    <t>1046.42</t>
  </si>
  <si>
    <t>43490.45</t>
  </si>
  <si>
    <t>2277.6</t>
  </si>
  <si>
    <t>7861.69</t>
  </si>
  <si>
    <t>12604.36</t>
  </si>
  <si>
    <t>2945.84</t>
  </si>
  <si>
    <t>42667.75</t>
  </si>
  <si>
    <t>1171.74</t>
  </si>
  <si>
    <t>5146.16</t>
  </si>
  <si>
    <t>9762.62</t>
  </si>
  <si>
    <t>5597.38</t>
  </si>
  <si>
    <t>497.2</t>
  </si>
  <si>
    <t>1.95</t>
  </si>
  <si>
    <t>145.1</t>
  </si>
  <si>
    <t>6.2</t>
  </si>
  <si>
    <t>395.83</t>
  </si>
  <si>
    <t>3958.15</t>
  </si>
  <si>
    <t>32.43</t>
  </si>
  <si>
    <t>2022.31</t>
  </si>
  <si>
    <t>95.55</t>
  </si>
  <si>
    <t>48.57</t>
  </si>
  <si>
    <t>701.52</t>
  </si>
  <si>
    <t>65.07</t>
  </si>
  <si>
    <t>22.1</t>
  </si>
  <si>
    <t>68.95</t>
  </si>
  <si>
    <t>57.21</t>
  </si>
  <si>
    <t>47.32</t>
  </si>
  <si>
    <t>1198.63</t>
  </si>
  <si>
    <t>1.84</t>
  </si>
  <si>
    <t>2.37</t>
  </si>
  <si>
    <t>801.41</t>
  </si>
  <si>
    <t>996.23</t>
  </si>
  <si>
    <t>12495.96</t>
  </si>
  <si>
    <t>78.85</t>
  </si>
  <si>
    <t>6773.19</t>
  </si>
  <si>
    <t>12695.23</t>
  </si>
  <si>
    <t>4105.54</t>
  </si>
  <si>
    <t>1184.8</t>
  </si>
  <si>
    <t>11165.94</t>
  </si>
  <si>
    <t>321.05</t>
  </si>
  <si>
    <t>15381.28</t>
  </si>
  <si>
    <t>12923.51</t>
  </si>
  <si>
    <t>7045.86</t>
  </si>
  <si>
    <t>681.1</t>
  </si>
  <si>
    <t>15691.5</t>
  </si>
  <si>
    <t>22.6</t>
  </si>
  <si>
    <t>6264.69</t>
  </si>
  <si>
    <t>6010.96</t>
  </si>
  <si>
    <t>6864.04</t>
  </si>
  <si>
    <t>48831.21</t>
  </si>
  <si>
    <t>20.6</t>
  </si>
  <si>
    <t>34.61</t>
  </si>
  <si>
    <t>16.79</t>
  </si>
  <si>
    <t>96.24</t>
  </si>
  <si>
    <t>41200.03</t>
  </si>
  <si>
    <t>503.3</t>
  </si>
  <si>
    <t>2447.24</t>
  </si>
  <si>
    <t>4189.13</t>
  </si>
  <si>
    <t>12586.79</t>
  </si>
  <si>
    <t>807.1</t>
  </si>
  <si>
    <t>2355.89</t>
  </si>
  <si>
    <t>2166.35</t>
  </si>
  <si>
    <t>45459.22</t>
  </si>
  <si>
    <t>2873.65</t>
  </si>
  <si>
    <t>1262.78</t>
  </si>
  <si>
    <t>18537.35</t>
  </si>
  <si>
    <t>15279.99</t>
  </si>
  <si>
    <t>595.69</t>
  </si>
  <si>
    <t>4738.73</t>
  </si>
  <si>
    <t>8434.35</t>
  </si>
  <si>
    <t>46437.08</t>
  </si>
  <si>
    <t>244.47</t>
  </si>
  <si>
    <t>3365.98</t>
  </si>
  <si>
    <t>11673.11</t>
  </si>
  <si>
    <t>12288.72</t>
  </si>
  <si>
    <t>52055.2</t>
  </si>
  <si>
    <t>12.43</t>
  </si>
  <si>
    <t>221.26</t>
  </si>
  <si>
    <t>327.71</t>
  </si>
  <si>
    <t>327.19</t>
  </si>
  <si>
    <t>39964.8</t>
  </si>
  <si>
    <t>2835.24</t>
  </si>
  <si>
    <t>10476.5</t>
  </si>
  <si>
    <t>16763.55</t>
  </si>
  <si>
    <t>8228.36</t>
  </si>
  <si>
    <t>30825.07</t>
  </si>
  <si>
    <t>4017.51</t>
  </si>
  <si>
    <t>21647.48</t>
  </si>
  <si>
    <t>17421.79</t>
  </si>
  <si>
    <t>11087.72</t>
  </si>
  <si>
    <t>49352.15</t>
  </si>
  <si>
    <t>205.13</t>
  </si>
  <si>
    <t>1692.99</t>
  </si>
  <si>
    <t>8048.86</t>
  </si>
  <si>
    <t>6279.42</t>
  </si>
  <si>
    <t>1251.79</t>
  </si>
  <si>
    <t>7.94</t>
  </si>
  <si>
    <t>16.65</t>
  </si>
  <si>
    <t>4.9</t>
  </si>
  <si>
    <t>758.8</t>
  </si>
  <si>
    <t>20490.35</t>
  </si>
  <si>
    <t>538.17</t>
  </si>
  <si>
    <t>2247.56</t>
  </si>
  <si>
    <t>5388.69</t>
  </si>
  <si>
    <t>14266.93</t>
  </si>
  <si>
    <t>844.75</t>
  </si>
  <si>
    <t>2997.55</t>
  </si>
  <si>
    <t>27878.93</t>
  </si>
  <si>
    <t>2218.68</t>
  </si>
  <si>
    <t>2678.21</t>
  </si>
  <si>
    <t>15447.49</t>
  </si>
  <si>
    <t>1107.62</t>
  </si>
  <si>
    <t>10689.77</t>
  </si>
  <si>
    <t>2228.88</t>
  </si>
  <si>
    <t>20840.3</t>
  </si>
  <si>
    <t>112.77</t>
  </si>
  <si>
    <t>10964.79</t>
  </si>
  <si>
    <t>12726.53</t>
  </si>
  <si>
    <t>9928.53</t>
  </si>
  <si>
    <t>31484.64</t>
  </si>
  <si>
    <t>5.85</t>
  </si>
  <si>
    <t>10.21</t>
  </si>
  <si>
    <t>29979.17</t>
  </si>
  <si>
    <t>582.06</t>
  </si>
  <si>
    <t>3947.8</t>
  </si>
  <si>
    <t>14260.91</t>
  </si>
  <si>
    <t>2251.64</t>
  </si>
  <si>
    <t>36762.45</t>
  </si>
  <si>
    <t>3964.74</t>
  </si>
  <si>
    <t>17243.97</t>
  </si>
  <si>
    <t>16945.7</t>
  </si>
  <si>
    <t>5376.31</t>
  </si>
  <si>
    <t>44844.69</t>
  </si>
  <si>
    <t>788.1</t>
  </si>
  <si>
    <t>8311.74</t>
  </si>
  <si>
    <t>16084.54</t>
  </si>
  <si>
    <t>12487.97</t>
  </si>
  <si>
    <t>37956.06</t>
  </si>
  <si>
    <t>13.9</t>
  </si>
  <si>
    <t>76.89</t>
  </si>
  <si>
    <t>266.13</t>
  </si>
  <si>
    <t>94.66</t>
  </si>
  <si>
    <t>359.26</t>
  </si>
  <si>
    <t>41385.15</t>
  </si>
  <si>
    <t>1792.9</t>
  </si>
  <si>
    <t>1718.2</t>
  </si>
  <si>
    <t>14078.04</t>
  </si>
  <si>
    <t>17243.15</t>
  </si>
  <si>
    <t>11287.79</t>
  </si>
  <si>
    <t>453.33</t>
  </si>
  <si>
    <t>40811.92</t>
  </si>
  <si>
    <t>4402.84</t>
  </si>
  <si>
    <t>2418.57</t>
  </si>
  <si>
    <t>39874.32</t>
  </si>
  <si>
    <t>17774.57</t>
  </si>
  <si>
    <t>13673.97</t>
  </si>
  <si>
    <t>48966.14</t>
  </si>
  <si>
    <t>246.01</t>
  </si>
  <si>
    <t>4733.88</t>
  </si>
  <si>
    <t>15776.56</t>
  </si>
  <si>
    <t>8903.98</t>
  </si>
  <si>
    <t>842.62</t>
  </si>
  <si>
    <t>32.2</t>
  </si>
  <si>
    <t>18105.94</t>
  </si>
  <si>
    <t>423.65</t>
  </si>
  <si>
    <t>4919.55</t>
  </si>
  <si>
    <t>12830.81</t>
  </si>
  <si>
    <t>90.68</t>
  </si>
  <si>
    <t>2055.11</t>
  </si>
  <si>
    <t>19620.78</t>
  </si>
  <si>
    <t>582.59</t>
  </si>
  <si>
    <t>19221.33</t>
  </si>
  <si>
    <t>13654.54</t>
  </si>
  <si>
    <t>7768.45</t>
  </si>
  <si>
    <t>16084.18</t>
  </si>
  <si>
    <t>223.36</t>
  </si>
  <si>
    <t>5222.5</t>
  </si>
  <si>
    <t>13001.61</t>
  </si>
  <si>
    <t>10044.34</t>
  </si>
  <si>
    <t>39579.46</t>
  </si>
  <si>
    <t>19.84</t>
  </si>
  <si>
    <t>33.13</t>
  </si>
  <si>
    <t>14.71</t>
  </si>
  <si>
    <t>37.86</t>
  </si>
  <si>
    <t>741.46</t>
  </si>
  <si>
    <t>33252.66</t>
  </si>
  <si>
    <t>1274.25</t>
  </si>
  <si>
    <t>4055.79</t>
  </si>
  <si>
    <t>7220.98</t>
  </si>
  <si>
    <t>13169.46</t>
  </si>
  <si>
    <t>1302.26</t>
  </si>
  <si>
    <t>2560.08</t>
  </si>
  <si>
    <t>32663.84</t>
  </si>
  <si>
    <t>3835.71</t>
  </si>
  <si>
    <t>1855.59</t>
  </si>
  <si>
    <t>33531.83</t>
  </si>
  <si>
    <t>15654.89</t>
  </si>
  <si>
    <t>7421.01</t>
  </si>
  <si>
    <t>40130.21</t>
  </si>
  <si>
    <t>468.76</t>
  </si>
  <si>
    <t>3933.94</t>
  </si>
  <si>
    <t>9377.78</t>
  </si>
  <si>
    <t>10670.98</t>
  </si>
  <si>
    <t>45544.46</t>
  </si>
  <si>
    <t>13.03</t>
  </si>
  <si>
    <t>152.39</t>
  </si>
  <si>
    <t>325.57</t>
  </si>
  <si>
    <t>214.45</t>
  </si>
  <si>
    <t>35899.92</t>
  </si>
  <si>
    <t>2784.09</t>
  </si>
  <si>
    <t>13282.03</t>
  </si>
  <si>
    <t>12778.12</t>
  </si>
  <si>
    <t>4167.87</t>
  </si>
  <si>
    <t>39927.8</t>
  </si>
  <si>
    <t>16807.87</t>
  </si>
  <si>
    <t>14422.59</t>
  </si>
  <si>
    <t>44053.52</t>
  </si>
  <si>
    <t>475.38</t>
  </si>
  <si>
    <t>3159.54</t>
  </si>
  <si>
    <t>12368.61</t>
  </si>
  <si>
    <t>11887.22</t>
  </si>
  <si>
    <t>19.56</t>
  </si>
  <si>
    <t>2985.01</t>
  </si>
  <si>
    <t>9.3</t>
  </si>
  <si>
    <t>95.39</t>
  </si>
  <si>
    <t>621.24</t>
  </si>
  <si>
    <t>15616.2</t>
  </si>
  <si>
    <t>2332.85</t>
  </si>
  <si>
    <t>12649.31</t>
  </si>
  <si>
    <t>912.45</t>
  </si>
  <si>
    <t>4154.34</t>
  </si>
  <si>
    <t>898.77</t>
  </si>
  <si>
    <t>16920.92</t>
  </si>
  <si>
    <t>525.01</t>
  </si>
  <si>
    <t>1772.98</t>
  </si>
  <si>
    <t>26616.7</t>
  </si>
  <si>
    <t>11164.97</t>
  </si>
  <si>
    <t>8240.43</t>
  </si>
  <si>
    <t>17842.97</t>
  </si>
  <si>
    <t>54.29</t>
  </si>
  <si>
    <t>14087.44</t>
  </si>
  <si>
    <t>8621.15</t>
  </si>
  <si>
    <t>10519.32</t>
  </si>
  <si>
    <t>17858.42</t>
  </si>
  <si>
    <t>6.85</t>
  </si>
  <si>
    <t>1.01</t>
  </si>
  <si>
    <t>3.2</t>
  </si>
  <si>
    <t>17373.07</t>
  </si>
  <si>
    <t>367.07</t>
  </si>
  <si>
    <t>944.39</t>
  </si>
  <si>
    <t>7305.51</t>
  </si>
  <si>
    <t>11.69</t>
  </si>
  <si>
    <t>733.04</t>
  </si>
  <si>
    <t>21752.55</t>
  </si>
  <si>
    <t>2521.85</t>
  </si>
  <si>
    <t>4991.1</t>
  </si>
  <si>
    <t>12579.96</t>
  </si>
  <si>
    <t>2079.69</t>
  </si>
  <si>
    <t>25695.89</t>
  </si>
  <si>
    <t>636.75</t>
  </si>
  <si>
    <t>2702.03</t>
  </si>
  <si>
    <t>7775.67</t>
  </si>
  <si>
    <t>5732.39</t>
  </si>
  <si>
    <t>38902.65</t>
  </si>
  <si>
    <t>13.61</t>
  </si>
  <si>
    <t>50.78</t>
  </si>
  <si>
    <t>27.38</t>
  </si>
  <si>
    <t>50.84</t>
  </si>
  <si>
    <t>595.74</t>
  </si>
  <si>
    <t>39588.62</t>
  </si>
  <si>
    <t>1457.95</t>
  </si>
  <si>
    <t>2794.75</t>
  </si>
  <si>
    <t>2510.64</t>
  </si>
  <si>
    <t>15818.2</t>
  </si>
  <si>
    <t>1077.63</t>
  </si>
  <si>
    <t>38410.48</t>
  </si>
  <si>
    <t>6005.94</t>
  </si>
  <si>
    <t>2504.71</t>
  </si>
  <si>
    <t>10226.54</t>
  </si>
  <si>
    <t>17575.56</t>
  </si>
  <si>
    <t>987.59</t>
  </si>
  <si>
    <t>8909.69</t>
  </si>
  <si>
    <t>159.74</t>
  </si>
  <si>
    <t>52918.16</t>
  </si>
  <si>
    <t>157.67</t>
  </si>
  <si>
    <t>1384.47</t>
  </si>
  <si>
    <t>7127.59</t>
  </si>
  <si>
    <t>7611.55</t>
  </si>
  <si>
    <t>8110.74</t>
  </si>
  <si>
    <t>1.69</t>
  </si>
  <si>
    <t>25.69</t>
  </si>
  <si>
    <t>191.45</t>
  </si>
  <si>
    <t>4.04</t>
  </si>
  <si>
    <t>14346.75</t>
  </si>
  <si>
    <t>526.76</t>
  </si>
  <si>
    <t>7093.92</t>
  </si>
  <si>
    <t>13456.56</t>
  </si>
  <si>
    <t>2438.87</t>
  </si>
  <si>
    <t>385.64</t>
  </si>
  <si>
    <t>18797.89</t>
  </si>
  <si>
    <t>1161.49</t>
  </si>
  <si>
    <t>1210.52</t>
  </si>
  <si>
    <t>34707.75</t>
  </si>
  <si>
    <t>14414.44</t>
  </si>
  <si>
    <t>10070.97</t>
  </si>
  <si>
    <t>994.01</t>
  </si>
  <si>
    <t>19212.37</t>
  </si>
  <si>
    <t>156.97</t>
  </si>
  <si>
    <t>12648.26</t>
  </si>
  <si>
    <t>13179.08</t>
  </si>
  <si>
    <t>8834.04</t>
  </si>
  <si>
    <t>24.23</t>
  </si>
  <si>
    <t>16562.4</t>
  </si>
  <si>
    <t>7.58</t>
  </si>
  <si>
    <t>59.34</t>
  </si>
  <si>
    <t>50.35</t>
  </si>
  <si>
    <t>25829.12</t>
  </si>
  <si>
    <t>749.52</t>
  </si>
  <si>
    <t>4295.26</t>
  </si>
  <si>
    <t>15546.5</t>
  </si>
  <si>
    <t>152.85</t>
  </si>
  <si>
    <t>4960.71</t>
  </si>
  <si>
    <t>99.15</t>
  </si>
  <si>
    <t>30022.21</t>
  </si>
  <si>
    <t>2126.86</t>
  </si>
  <si>
    <t>706.72</t>
  </si>
  <si>
    <t>15175.93</t>
  </si>
  <si>
    <t>17047.41</t>
  </si>
  <si>
    <t>10850.28</t>
  </si>
  <si>
    <t>165.37</t>
  </si>
  <si>
    <t>35980.58</t>
  </si>
  <si>
    <t>1339.13</t>
  </si>
  <si>
    <t>8112.82</t>
  </si>
  <si>
    <t>16244.48</t>
  </si>
  <si>
    <t>16051.68</t>
  </si>
  <si>
    <t>32892.06</t>
  </si>
  <si>
    <t>202.69</t>
  </si>
  <si>
    <t>155.2</t>
  </si>
  <si>
    <t>115.3</t>
  </si>
  <si>
    <t>128.19</t>
  </si>
  <si>
    <t>33411.25</t>
  </si>
  <si>
    <t>564.4</t>
  </si>
  <si>
    <t>1030.1</t>
  </si>
  <si>
    <t>5599.56</t>
  </si>
  <si>
    <t>16837.86</t>
  </si>
  <si>
    <t>9036.09</t>
  </si>
  <si>
    <t>29575.34</t>
  </si>
  <si>
    <t>1245.64</t>
  </si>
  <si>
    <t>11834.95</t>
  </si>
  <si>
    <t>17539.98</t>
  </si>
  <si>
    <t>12370.44</t>
  </si>
  <si>
    <t>42276.42</t>
  </si>
  <si>
    <t>690.64</t>
  </si>
  <si>
    <t>5934.25</t>
  </si>
  <si>
    <t>17101.86</t>
  </si>
  <si>
    <t>13314.26</t>
  </si>
  <si>
    <t>18.03</t>
  </si>
  <si>
    <t>5.68</t>
  </si>
  <si>
    <t>20.81</t>
  </si>
  <si>
    <t>85.64</t>
  </si>
  <si>
    <t>30.59</t>
  </si>
  <si>
    <t>33834.99</t>
  </si>
  <si>
    <t>454.51</t>
  </si>
  <si>
    <t>13203.73</t>
  </si>
  <si>
    <t>448.5</t>
  </si>
  <si>
    <t>42388.14</t>
  </si>
  <si>
    <t>1753.07</t>
  </si>
  <si>
    <t>10317.49</t>
  </si>
  <si>
    <t>15845.71</t>
  </si>
  <si>
    <t>3296.33</t>
  </si>
  <si>
    <t>70.89</t>
  </si>
  <si>
    <t>35631.34</t>
  </si>
  <si>
    <t>523.78</t>
  </si>
  <si>
    <t>1622.57</t>
  </si>
  <si>
    <t>12017.57</t>
  </si>
  <si>
    <t>1255.95</t>
  </si>
  <si>
    <t>43959.55</t>
  </si>
  <si>
    <t>18.28</t>
  </si>
  <si>
    <t>32.76</t>
  </si>
  <si>
    <t>9.28</t>
  </si>
  <si>
    <t>34419.59</t>
  </si>
  <si>
    <t>452.25</t>
  </si>
  <si>
    <t>629.52</t>
  </si>
  <si>
    <t>7188.9</t>
  </si>
  <si>
    <t>856.75</t>
  </si>
  <si>
    <t>39249.86</t>
  </si>
  <si>
    <t>4754.75</t>
  </si>
  <si>
    <t>8064.19</t>
  </si>
  <si>
    <t>14302.83</t>
  </si>
  <si>
    <t>3327.04</t>
  </si>
  <si>
    <t>142.96</t>
  </si>
  <si>
    <t>47219.15</t>
  </si>
  <si>
    <t>1773.38</t>
  </si>
  <si>
    <t>5112.36</t>
  </si>
  <si>
    <t>8743.47</t>
  </si>
  <si>
    <t>9301.44</t>
  </si>
  <si>
    <t>43.67</t>
  </si>
  <si>
    <t>51879.11</t>
  </si>
  <si>
    <t>12.73</t>
  </si>
  <si>
    <t>1627.77</t>
  </si>
  <si>
    <t>204.39</t>
  </si>
  <si>
    <t>722.79</t>
  </si>
  <si>
    <t>36133.06</t>
  </si>
  <si>
    <t>1103.02</t>
  </si>
  <si>
    <t>8044.8</t>
  </si>
  <si>
    <t>13383.55</t>
  </si>
  <si>
    <t>7247.7</t>
  </si>
  <si>
    <t>29035.92</t>
  </si>
  <si>
    <t>2636.07</t>
  </si>
  <si>
    <t>19668.21</t>
  </si>
  <si>
    <t>15768.6</t>
  </si>
  <si>
    <t>10898.03</t>
  </si>
  <si>
    <t>47506.05</t>
  </si>
  <si>
    <t>375.5</t>
  </si>
  <si>
    <t>5159.19</t>
  </si>
  <si>
    <t>7431.66</t>
  </si>
  <si>
    <t>10666.65</t>
  </si>
  <si>
    <t>84.91</t>
  </si>
  <si>
    <t>14391.21</t>
  </si>
  <si>
    <t>219.51</t>
  </si>
  <si>
    <t>2170.83</t>
  </si>
  <si>
    <t>64.56</t>
  </si>
  <si>
    <t>29095.75</t>
  </si>
  <si>
    <t>455.2</t>
  </si>
  <si>
    <t>4687.5</t>
  </si>
  <si>
    <t>12450.09</t>
  </si>
  <si>
    <t>157.87</t>
  </si>
  <si>
    <t>32164.78</t>
  </si>
  <si>
    <t>895.6</t>
  </si>
  <si>
    <t>25177.52</t>
  </si>
  <si>
    <t>14121.27</t>
  </si>
  <si>
    <t>6347.77</t>
  </si>
  <si>
    <t>30963.67</t>
  </si>
  <si>
    <t>206.68</t>
  </si>
  <si>
    <t>5193.68</t>
  </si>
  <si>
    <t>11288.45</t>
  </si>
  <si>
    <t>5157.91</t>
  </si>
  <si>
    <t>51537.15</t>
  </si>
  <si>
    <t>14.47</t>
  </si>
  <si>
    <t>11.68</t>
  </si>
  <si>
    <t>5.78</t>
  </si>
  <si>
    <t>38.85</t>
  </si>
  <si>
    <t>37.07</t>
  </si>
  <si>
    <t>281.3</t>
  </si>
  <si>
    <t>756.04</t>
  </si>
  <si>
    <t>12201.41</t>
  </si>
  <si>
    <t>1660.84</t>
  </si>
  <si>
    <t>106.34</t>
  </si>
  <si>
    <t>49855.07</t>
  </si>
  <si>
    <t>60.83</t>
  </si>
  <si>
    <t>920.7</t>
  </si>
  <si>
    <t>4276.13</t>
  </si>
  <si>
    <t>4162.48</t>
  </si>
  <si>
    <t>33481.79</t>
  </si>
  <si>
    <t>2231.05</t>
  </si>
  <si>
    <t>6970.29</t>
  </si>
  <si>
    <t>16982.03</t>
  </si>
  <si>
    <t>4298.93</t>
  </si>
  <si>
    <t>27464.59</t>
  </si>
  <si>
    <t>18.8</t>
  </si>
  <si>
    <t>110.9</t>
  </si>
  <si>
    <t>44.21</t>
  </si>
  <si>
    <t>67.12</t>
  </si>
  <si>
    <t>22770.05</t>
  </si>
  <si>
    <t>31.76</t>
  </si>
  <si>
    <t>4478.73</t>
  </si>
  <si>
    <t>9707.94</t>
  </si>
  <si>
    <t>3464.16</t>
  </si>
  <si>
    <t>14495.04</t>
  </si>
  <si>
    <t>126.7</t>
  </si>
  <si>
    <t>6463.99</t>
  </si>
  <si>
    <t>14108.25</t>
  </si>
  <si>
    <t>6128.25</t>
  </si>
  <si>
    <t>36825.53</t>
  </si>
  <si>
    <t>17.48</t>
  </si>
  <si>
    <t>775.67</t>
  </si>
  <si>
    <t>1289.88</t>
  </si>
  <si>
    <t>1380.18</t>
  </si>
  <si>
    <t>2.18</t>
  </si>
  <si>
    <t>14599.01</t>
  </si>
  <si>
    <t>382.04</t>
  </si>
  <si>
    <t>91.89</t>
  </si>
  <si>
    <t>13494.15</t>
  </si>
  <si>
    <t>14216.5</t>
  </si>
  <si>
    <t>4834.56</t>
  </si>
  <si>
    <t>19494.93</t>
  </si>
  <si>
    <t>872.63</t>
  </si>
  <si>
    <t>23384.6</t>
  </si>
  <si>
    <t>15402.25</t>
  </si>
  <si>
    <t>7713.3</t>
  </si>
  <si>
    <t>14287.51</t>
  </si>
  <si>
    <t>710.09</t>
  </si>
  <si>
    <t>7929.22</t>
  </si>
  <si>
    <t>14728.2</t>
  </si>
  <si>
    <t>9166.91</t>
  </si>
  <si>
    <t>203.36</t>
  </si>
  <si>
    <t>36097.17</t>
  </si>
  <si>
    <t>22.85</t>
  </si>
  <si>
    <t>48.96</t>
  </si>
  <si>
    <t>51.85</t>
  </si>
  <si>
    <t>242.02</t>
  </si>
  <si>
    <t>24957.48</t>
  </si>
  <si>
    <t>174.38</t>
  </si>
  <si>
    <t>1474.71</t>
  </si>
  <si>
    <t>1009.28</t>
  </si>
  <si>
    <t>11912.39</t>
  </si>
  <si>
    <t>989.07</t>
  </si>
  <si>
    <t>1006.8</t>
  </si>
  <si>
    <t>5915.11</t>
  </si>
  <si>
    <t>15398.67</t>
  </si>
  <si>
    <t>2137.98</t>
  </si>
  <si>
    <t>638.35</t>
  </si>
  <si>
    <t>6505.63</t>
  </si>
  <si>
    <t>13117.97</t>
  </si>
  <si>
    <t>11831.91</t>
  </si>
  <si>
    <t>46389.5</t>
  </si>
  <si>
    <t>15.03</t>
  </si>
  <si>
    <t>54.79</t>
  </si>
  <si>
    <t>583.5</t>
  </si>
  <si>
    <t>141.03</t>
  </si>
  <si>
    <t>63.97</t>
  </si>
  <si>
    <t>42527.89</t>
  </si>
  <si>
    <t>440.62</t>
  </si>
  <si>
    <t>3022.35</t>
  </si>
  <si>
    <t>17178.37</t>
  </si>
  <si>
    <t>3646.65</t>
  </si>
  <si>
    <t>45601.31</t>
  </si>
  <si>
    <t>2499.08</t>
  </si>
  <si>
    <t>903.78</t>
  </si>
  <si>
    <t>15990.29</t>
  </si>
  <si>
    <t>17824.54</t>
  </si>
  <si>
    <t>8526.21</t>
  </si>
  <si>
    <t>180.48</t>
  </si>
  <si>
    <t>52564.71</t>
  </si>
  <si>
    <t>130.78</t>
  </si>
  <si>
    <t>3529.15</t>
  </si>
  <si>
    <t>12683.74</t>
  </si>
  <si>
    <t>7701.99</t>
  </si>
  <si>
    <t>135.55</t>
  </si>
  <si>
    <t>5465.59</t>
  </si>
  <si>
    <t>17.75</t>
  </si>
  <si>
    <t>77.49</t>
  </si>
  <si>
    <t>19.47</t>
  </si>
  <si>
    <t>19510.65</t>
  </si>
  <si>
    <t>105.92</t>
  </si>
  <si>
    <t>1106.94</t>
  </si>
  <si>
    <t>796.02</t>
  </si>
  <si>
    <t>8852.81</t>
  </si>
  <si>
    <t>189.02</t>
  </si>
  <si>
    <t>124.52</t>
  </si>
  <si>
    <t>31449.85</t>
  </si>
  <si>
    <t>716.4</t>
  </si>
  <si>
    <t>6088.68</t>
  </si>
  <si>
    <t>14010.19</t>
  </si>
  <si>
    <t>3539.23</t>
  </si>
  <si>
    <t>23895.38</t>
  </si>
  <si>
    <t>211.5</t>
  </si>
  <si>
    <t>9588.19</t>
  </si>
  <si>
    <t>3959.38</t>
  </si>
  <si>
    <t>6.29</t>
  </si>
  <si>
    <t>15586.1</t>
  </si>
  <si>
    <t>11.83</t>
  </si>
  <si>
    <t>67.2</t>
  </si>
  <si>
    <t>8.41</t>
  </si>
  <si>
    <t>25263.9</t>
  </si>
  <si>
    <t>538.87</t>
  </si>
  <si>
    <t>1228.96</t>
  </si>
  <si>
    <t>8566.53</t>
  </si>
  <si>
    <t>610.13</t>
  </si>
  <si>
    <t>27980.6</t>
  </si>
  <si>
    <t>2494.08</t>
  </si>
  <si>
    <t>6609.88</t>
  </si>
  <si>
    <t>13094.34</t>
  </si>
  <si>
    <t>1319.23</t>
  </si>
  <si>
    <t>31137.11</t>
  </si>
  <si>
    <t>570.57</t>
  </si>
  <si>
    <t>1578.07</t>
  </si>
  <si>
    <t>5771.77</t>
  </si>
  <si>
    <t>4234.4</t>
  </si>
  <si>
    <t>195.7</t>
  </si>
  <si>
    <t>47018.56</t>
  </si>
  <si>
    <t>21.36</t>
  </si>
  <si>
    <t>954.04</t>
  </si>
  <si>
    <t>237.01</t>
  </si>
  <si>
    <t>235.62</t>
  </si>
  <si>
    <t>226.48</t>
  </si>
  <si>
    <t>49990.68</t>
  </si>
  <si>
    <t>3481.45</t>
  </si>
  <si>
    <t>5638.88</t>
  </si>
  <si>
    <t>18255.29</t>
  </si>
  <si>
    <t>6478.32</t>
  </si>
  <si>
    <t>257.65</t>
  </si>
  <si>
    <t>49313.52</t>
  </si>
  <si>
    <t>10693.11</t>
  </si>
  <si>
    <t>29182.03</t>
  </si>
  <si>
    <t>18489.74</t>
  </si>
  <si>
    <t>686.42</t>
  </si>
  <si>
    <t>11984.78</t>
  </si>
  <si>
    <t>150.39</t>
  </si>
  <si>
    <t>52270.61</t>
  </si>
  <si>
    <t>1186.46</t>
  </si>
  <si>
    <t>3636.11</t>
  </si>
  <si>
    <t>12916.89</t>
  </si>
  <si>
    <t>7031.1</t>
  </si>
  <si>
    <t>4079.13</t>
  </si>
  <si>
    <t>30.4</t>
  </si>
  <si>
    <t>23.76</t>
  </si>
  <si>
    <t>62.07</t>
  </si>
  <si>
    <t>1571.57</t>
  </si>
  <si>
    <t>86.81</t>
  </si>
  <si>
    <t>17288.59</t>
  </si>
  <si>
    <t>608.1</t>
  </si>
  <si>
    <t>3412.77</t>
  </si>
  <si>
    <t>13272.33</t>
  </si>
  <si>
    <t>1161.75</t>
  </si>
  <si>
    <t>329.06</t>
  </si>
  <si>
    <t>20284.13</t>
  </si>
  <si>
    <t>9774.52</t>
  </si>
  <si>
    <t>14322.93</t>
  </si>
  <si>
    <t>5779.53</t>
  </si>
  <si>
    <t>377.5</t>
  </si>
  <si>
    <t>17673.21</t>
  </si>
  <si>
    <t>261.95</t>
  </si>
  <si>
    <t>4224.7</t>
  </si>
  <si>
    <t>11034.21</t>
  </si>
  <si>
    <t>4877.73</t>
  </si>
  <si>
    <t>25496.32</t>
  </si>
  <si>
    <t>15.59</t>
  </si>
  <si>
    <t>28.3</t>
  </si>
  <si>
    <t>12.19</t>
  </si>
  <si>
    <t>22761.94</t>
  </si>
  <si>
    <t>122.43</t>
  </si>
  <si>
    <t>683.27</t>
  </si>
  <si>
    <t>10062.1</t>
  </si>
  <si>
    <t>28379.6</t>
  </si>
  <si>
    <t>593.74</t>
  </si>
  <si>
    <t>3502.58</t>
  </si>
  <si>
    <t>13263.94</t>
  </si>
  <si>
    <t>1191.01</t>
  </si>
  <si>
    <t>33340.75</t>
  </si>
  <si>
    <t>249.44</t>
  </si>
  <si>
    <t>3332.44</t>
  </si>
  <si>
    <t>13014.64</t>
  </si>
  <si>
    <t>6193.01</t>
  </si>
  <si>
    <t>67.42</t>
  </si>
  <si>
    <t>45497.1</t>
  </si>
  <si>
    <t>10.28</t>
  </si>
  <si>
    <t>63.52</t>
  </si>
  <si>
    <t>172.9</t>
  </si>
  <si>
    <t>99.4</t>
  </si>
  <si>
    <t>48677.12</t>
  </si>
  <si>
    <t>365.18</t>
  </si>
  <si>
    <t>425.36</t>
  </si>
  <si>
    <t>2284.38</t>
  </si>
  <si>
    <t>16523.4</t>
  </si>
  <si>
    <t>2259.45</t>
  </si>
  <si>
    <t>51918.23</t>
  </si>
  <si>
    <t>3513.66</t>
  </si>
  <si>
    <t>8969.55</t>
  </si>
  <si>
    <t>17927.23</t>
  </si>
  <si>
    <t>4934.64</t>
  </si>
  <si>
    <t>172.91</t>
  </si>
  <si>
    <t>52016.05</t>
  </si>
  <si>
    <t>203.93</t>
  </si>
  <si>
    <t>4490.43</t>
  </si>
  <si>
    <t>15958.45</t>
  </si>
  <si>
    <t>5668.67</t>
  </si>
  <si>
    <t>3556.43</t>
  </si>
  <si>
    <t>8.29</t>
  </si>
  <si>
    <t>45.91</t>
  </si>
  <si>
    <t>13.86</t>
  </si>
  <si>
    <t>231.43</t>
  </si>
  <si>
    <t>5733.43</t>
  </si>
  <si>
    <t>13816.03</t>
  </si>
  <si>
    <t>1333.04</t>
  </si>
  <si>
    <t>27236.86</t>
  </si>
  <si>
    <t>12115.16</t>
  </si>
  <si>
    <t>12778.16</t>
  </si>
  <si>
    <t>3652.7</t>
  </si>
  <si>
    <t>32392.21</t>
  </si>
  <si>
    <t>192.55</t>
  </si>
  <si>
    <t>7640.38</t>
  </si>
  <si>
    <t>12726.77</t>
  </si>
  <si>
    <t>6592.27</t>
  </si>
  <si>
    <t>13141.66</t>
  </si>
  <si>
    <t>4.41</t>
  </si>
  <si>
    <t>129.46</t>
  </si>
  <si>
    <t>1.57</t>
  </si>
  <si>
    <t>8083.92</t>
  </si>
  <si>
    <t>196.34</t>
  </si>
  <si>
    <t>1252.77</t>
  </si>
  <si>
    <t>4638.37</t>
  </si>
  <si>
    <t>511.81</t>
  </si>
  <si>
    <t>9099.34</t>
  </si>
  <si>
    <t>596.75</t>
  </si>
  <si>
    <t>4883.46</t>
  </si>
  <si>
    <t>7116.56</t>
  </si>
  <si>
    <t>1136.88</t>
  </si>
  <si>
    <t>18136.93</t>
  </si>
  <si>
    <t>1415.2</t>
  </si>
  <si>
    <t>8888.36</t>
  </si>
  <si>
    <t>11882.51</t>
  </si>
  <si>
    <t>3151.02</t>
  </si>
  <si>
    <t>34597.19</t>
  </si>
  <si>
    <t>96.63</t>
  </si>
  <si>
    <t>210.46</t>
  </si>
  <si>
    <t>28882.2</t>
  </si>
  <si>
    <t>2465.7</t>
  </si>
  <si>
    <t>7012.8</t>
  </si>
  <si>
    <t>14509.11</t>
  </si>
  <si>
    <t>6679.74</t>
  </si>
  <si>
    <t>21543.79</t>
  </si>
  <si>
    <t>2924.3</t>
  </si>
  <si>
    <t>13409.3</t>
  </si>
  <si>
    <t>14928.26</t>
  </si>
  <si>
    <t>7644.04</t>
  </si>
  <si>
    <t>34668.29</t>
  </si>
  <si>
    <t>637.64</t>
  </si>
  <si>
    <t>2326.97</t>
  </si>
  <si>
    <t>10137.91</t>
  </si>
  <si>
    <t>7347.71</t>
  </si>
  <si>
    <t>1477.18</t>
  </si>
  <si>
    <t>3.45</t>
  </si>
  <si>
    <t>383.83</t>
  </si>
  <si>
    <t>5935.59</t>
  </si>
  <si>
    <t>249.1</t>
  </si>
  <si>
    <t>7150.27</t>
  </si>
  <si>
    <t>10298.76</t>
  </si>
  <si>
    <t>945.44</t>
  </si>
  <si>
    <t>7036.24</t>
  </si>
  <si>
    <t>508.37</t>
  </si>
  <si>
    <t>10225.69</t>
  </si>
  <si>
    <t>8979.66</t>
  </si>
  <si>
    <t>2873.03</t>
  </si>
  <si>
    <t>6560.13</t>
  </si>
  <si>
    <t>138.91</t>
  </si>
  <si>
    <t>3381.26</t>
  </si>
  <si>
    <t>2692.21</t>
  </si>
  <si>
    <t>45.48</t>
  </si>
  <si>
    <t>27692.73</t>
  </si>
  <si>
    <t>122.08</t>
  </si>
  <si>
    <t>295.62</t>
  </si>
  <si>
    <t>11015.73</t>
  </si>
  <si>
    <t>498.86</t>
  </si>
  <si>
    <t>1358.7</t>
  </si>
  <si>
    <t>5.46</t>
  </si>
  <si>
    <t>20.16</t>
  </si>
  <si>
    <t>21784.7</t>
  </si>
  <si>
    <t>205.31</t>
  </si>
  <si>
    <t>375.64</t>
  </si>
  <si>
    <t>7170.69</t>
  </si>
  <si>
    <t>456.67</t>
  </si>
  <si>
    <t>1.07</t>
  </si>
  <si>
    <t>10581.16</t>
  </si>
  <si>
    <t>16.14</t>
  </si>
  <si>
    <t>1790.08</t>
  </si>
  <si>
    <t>56.34</t>
  </si>
  <si>
    <t>103.62</t>
  </si>
  <si>
    <t>8.83</t>
  </si>
  <si>
    <t>7882.78</t>
  </si>
  <si>
    <t>15.9</t>
  </si>
  <si>
    <t>32.64</t>
  </si>
  <si>
    <t>2605.55</t>
  </si>
  <si>
    <t>358.65</t>
  </si>
  <si>
    <t>28.26</t>
  </si>
  <si>
    <t>2546.56</t>
  </si>
  <si>
    <t>11.41</t>
  </si>
  <si>
    <t>7457.54</t>
  </si>
  <si>
    <t>18.36</t>
  </si>
  <si>
    <t>3746.22</t>
  </si>
  <si>
    <t>463.25</t>
  </si>
  <si>
    <t>25.83</t>
  </si>
  <si>
    <t>2661.15</t>
  </si>
  <si>
    <t>6.4</t>
  </si>
  <si>
    <t>5656.08</t>
  </si>
  <si>
    <t>14.49</t>
  </si>
  <si>
    <t>3274.16</t>
  </si>
  <si>
    <t>347.51</t>
  </si>
  <si>
    <t>2515.21</t>
  </si>
  <si>
    <t>5485.13</t>
  </si>
  <si>
    <t>15.16</t>
  </si>
  <si>
    <t>28.01</t>
  </si>
  <si>
    <t>2791.2</t>
  </si>
  <si>
    <t>624.88</t>
  </si>
  <si>
    <t>18.83</t>
  </si>
  <si>
    <t>2691.95</t>
  </si>
  <si>
    <t>21.83</t>
  </si>
  <si>
    <t>36779.16</t>
  </si>
  <si>
    <t>124.98</t>
  </si>
  <si>
    <t>69.4</t>
  </si>
  <si>
    <t>9646.39</t>
  </si>
  <si>
    <t>3781.95</t>
  </si>
  <si>
    <t>54.55</t>
  </si>
  <si>
    <t>9967.45</t>
  </si>
  <si>
    <t>38782.79</t>
  </si>
  <si>
    <t>130.12</t>
  </si>
  <si>
    <t>93.19</t>
  </si>
  <si>
    <t>8669.11</t>
  </si>
  <si>
    <t>3534.29</t>
  </si>
  <si>
    <t>60.18</t>
  </si>
  <si>
    <t>11602.46</t>
  </si>
  <si>
    <t>26.96</t>
  </si>
  <si>
    <t>35087.11</t>
  </si>
  <si>
    <t>110.84</t>
  </si>
  <si>
    <t>9705.81</t>
  </si>
  <si>
    <t>3206.33</t>
  </si>
  <si>
    <t>61.6</t>
  </si>
  <si>
    <t>10457.3</t>
  </si>
  <si>
    <t>24.88</t>
  </si>
  <si>
    <t>34780.66</t>
  </si>
  <si>
    <t>166.88</t>
  </si>
  <si>
    <t>105.73</t>
  </si>
  <si>
    <t>10319.29</t>
  </si>
  <si>
    <t>9161.65</t>
  </si>
  <si>
    <t>10875.78</t>
  </si>
  <si>
    <t>420.73</t>
  </si>
  <si>
    <t>0.07</t>
  </si>
  <si>
    <t>4.96</t>
  </si>
  <si>
    <t>2.43</t>
  </si>
  <si>
    <t>202.6</t>
  </si>
  <si>
    <t>0.4</t>
  </si>
  <si>
    <t>61.56</t>
  </si>
  <si>
    <t>4304.68</t>
  </si>
  <si>
    <t>84.53</t>
  </si>
  <si>
    <t>58.21</t>
  </si>
  <si>
    <t>9933.03</t>
  </si>
  <si>
    <t>17086.08</t>
  </si>
  <si>
    <t>1340.8</t>
  </si>
  <si>
    <t>286.74</t>
  </si>
  <si>
    <t>4003.52</t>
  </si>
  <si>
    <t>99.21</t>
  </si>
  <si>
    <t>22051.51</t>
  </si>
  <si>
    <t>14586.53</t>
  </si>
  <si>
    <t>50.4</t>
  </si>
  <si>
    <t>4262.52</t>
  </si>
  <si>
    <t>165.28</t>
  </si>
  <si>
    <t>3126.83</t>
  </si>
  <si>
    <t>1.12</t>
  </si>
  <si>
    <t>99.41</t>
  </si>
  <si>
    <t>10556.11</t>
  </si>
  <si>
    <t>4607.3</t>
  </si>
  <si>
    <t>30.73</t>
  </si>
  <si>
    <t>4073.35</t>
  </si>
  <si>
    <t>20417.48</t>
  </si>
  <si>
    <t>0.7</t>
  </si>
  <si>
    <t>1.03</t>
  </si>
  <si>
    <t>1.05</t>
  </si>
  <si>
    <t>12.3</t>
  </si>
  <si>
    <t>31.22</t>
  </si>
  <si>
    <t>40560.42</t>
  </si>
  <si>
    <t>708.15</t>
  </si>
  <si>
    <t>211.03</t>
  </si>
  <si>
    <t>1322.55</t>
  </si>
  <si>
    <t>12255.39</t>
  </si>
  <si>
    <t>684.19</t>
  </si>
  <si>
    <t>106.55</t>
  </si>
  <si>
    <t>49269.86</t>
  </si>
  <si>
    <t>2731.75</t>
  </si>
  <si>
    <t>226.37</t>
  </si>
  <si>
    <t>9439.72</t>
  </si>
  <si>
    <t>21488.97</t>
  </si>
  <si>
    <t>51.78</t>
  </si>
  <si>
    <t>2642.73</t>
  </si>
  <si>
    <t>130.83</t>
  </si>
  <si>
    <t>215.49</t>
  </si>
  <si>
    <t>203.46</t>
  </si>
  <si>
    <t>1975.33</t>
  </si>
  <si>
    <t>7111.96</t>
  </si>
  <si>
    <t>49.03</t>
  </si>
  <si>
    <t>5974.77</t>
  </si>
  <si>
    <t>16.93</t>
  </si>
  <si>
    <t>52295.54</t>
  </si>
  <si>
    <t>5.51</t>
  </si>
  <si>
    <t>14.98</t>
  </si>
  <si>
    <t>29.08</t>
  </si>
  <si>
    <t>26717.82</t>
  </si>
  <si>
    <t>665.13</t>
  </si>
  <si>
    <t>188.54</t>
  </si>
  <si>
    <t>10382.15</t>
  </si>
  <si>
    <t>24510.44</t>
  </si>
  <si>
    <t>68.82</t>
  </si>
  <si>
    <t>6792.72</t>
  </si>
  <si>
    <t>33.4</t>
  </si>
  <si>
    <t>18953.82</t>
  </si>
  <si>
    <t>1111.8</t>
  </si>
  <si>
    <t>152.57</t>
  </si>
  <si>
    <t>20012.16</t>
  </si>
  <si>
    <t>28893.19</t>
  </si>
  <si>
    <t>77.68</t>
  </si>
  <si>
    <t>10182.23</t>
  </si>
  <si>
    <t>76040.24</t>
  </si>
  <si>
    <t>66.43</t>
  </si>
  <si>
    <t>701.56</t>
  </si>
  <si>
    <t>7155.71</t>
  </si>
  <si>
    <t>5236.57</t>
  </si>
  <si>
    <t>2255.12</t>
  </si>
  <si>
    <t>2.61</t>
  </si>
  <si>
    <t>42.42</t>
  </si>
  <si>
    <t>54.49</t>
  </si>
  <si>
    <t>2210.75</t>
  </si>
  <si>
    <t>14.34</t>
  </si>
  <si>
    <t>135.22</t>
  </si>
  <si>
    <t>9099.33</t>
  </si>
  <si>
    <t>161.06</t>
  </si>
  <si>
    <t>6878.44</t>
  </si>
  <si>
    <t>21481.75</t>
  </si>
  <si>
    <t>1339.35</t>
  </si>
  <si>
    <t>681.97</t>
  </si>
  <si>
    <t>10613.1</t>
  </si>
  <si>
    <t>333.23</t>
  </si>
  <si>
    <t>131.97</t>
  </si>
  <si>
    <t>15767.37</t>
  </si>
  <si>
    <t>21554.05</t>
  </si>
  <si>
    <t>5321.18</t>
  </si>
  <si>
    <t>1005.17</t>
  </si>
  <si>
    <t>7521.19</t>
  </si>
  <si>
    <t>6.62</t>
  </si>
  <si>
    <t>6275.98</t>
  </si>
  <si>
    <t>10695.19</t>
  </si>
  <si>
    <t>42.31</t>
  </si>
  <si>
    <t>4731.78</t>
  </si>
  <si>
    <t>9.68</t>
  </si>
  <si>
    <t>22495.64</t>
  </si>
  <si>
    <t>125.27</t>
  </si>
  <si>
    <t>1.85</t>
  </si>
  <si>
    <t>2.35</t>
  </si>
  <si>
    <t>86.07</t>
  </si>
  <si>
    <t>55463.42</t>
  </si>
  <si>
    <t>151.35</t>
  </si>
  <si>
    <t>159.61</t>
  </si>
  <si>
    <t>1788.35</t>
  </si>
  <si>
    <t>10652.06</t>
  </si>
  <si>
    <t>171.9</t>
  </si>
  <si>
    <t>1636.86</t>
  </si>
  <si>
    <t>70502.61</t>
  </si>
  <si>
    <t>1414.9</t>
  </si>
  <si>
    <t>218.66</t>
  </si>
  <si>
    <t>16060.15</t>
  </si>
  <si>
    <t>21383.13</t>
  </si>
  <si>
    <t>55.95</t>
  </si>
  <si>
    <t>884.57</t>
  </si>
  <si>
    <t>117.84</t>
  </si>
  <si>
    <t>65141.76</t>
  </si>
  <si>
    <t>196.21</t>
  </si>
  <si>
    <t>145.62</t>
  </si>
  <si>
    <t>2492.16</t>
  </si>
  <si>
    <t>4735.13</t>
  </si>
  <si>
    <t>2547.77</t>
  </si>
  <si>
    <t>55033.13</t>
  </si>
  <si>
    <t>0.45</t>
  </si>
  <si>
    <t>9.87</t>
  </si>
  <si>
    <t>8.24</t>
  </si>
  <si>
    <t>6.5</t>
  </si>
  <si>
    <t>34857.03</t>
  </si>
  <si>
    <t>735.71</t>
  </si>
  <si>
    <t>9556.74</t>
  </si>
  <si>
    <t>26528.55</t>
  </si>
  <si>
    <t>3651.78</t>
  </si>
  <si>
    <t>40.1</t>
  </si>
  <si>
    <t>25917.49</t>
  </si>
  <si>
    <t>1230.36</t>
  </si>
  <si>
    <t>33124.62</t>
  </si>
  <si>
    <t>29522.67</t>
  </si>
  <si>
    <t>80.68</t>
  </si>
  <si>
    <t>6672.3</t>
  </si>
  <si>
    <t>44.7</t>
  </si>
  <si>
    <t>182691.86</t>
  </si>
  <si>
    <t>49.63</t>
  </si>
  <si>
    <t>425.45</t>
  </si>
  <si>
    <t>5304.93</t>
  </si>
  <si>
    <t>4744.38</t>
  </si>
  <si>
    <t>2539.93</t>
  </si>
  <si>
    <t>3.42</t>
  </si>
  <si>
    <t>23.57</t>
  </si>
  <si>
    <t>90.13</t>
  </si>
  <si>
    <t>4166.58</t>
  </si>
  <si>
    <t>69.79</t>
  </si>
  <si>
    <t>439.01</t>
  </si>
  <si>
    <t>8441.95</t>
  </si>
  <si>
    <t>49.7</t>
  </si>
  <si>
    <t>138.75</t>
  </si>
  <si>
    <t>22336.77</t>
  </si>
  <si>
    <t>22129.4</t>
  </si>
  <si>
    <t>35.79</t>
  </si>
  <si>
    <t>1026.66</t>
  </si>
  <si>
    <t>705.76</t>
  </si>
  <si>
    <t>6364.21</t>
  </si>
  <si>
    <t>103.76</t>
  </si>
  <si>
    <t>21387.71</t>
  </si>
  <si>
    <t>15811.63</t>
  </si>
  <si>
    <t>2424.43</t>
  </si>
  <si>
    <t>1771.98</t>
  </si>
  <si>
    <t>7106.21</t>
  </si>
  <si>
    <t>12629.62</t>
  </si>
  <si>
    <t>12517.02</t>
  </si>
  <si>
    <t>46.32</t>
  </si>
  <si>
    <t>4347.6</t>
  </si>
  <si>
    <t>2.75</t>
  </si>
  <si>
    <t>5305.76</t>
  </si>
  <si>
    <t>0.28</t>
  </si>
  <si>
    <t>37.45</t>
  </si>
  <si>
    <t>0.81</t>
  </si>
  <si>
    <t>15.04</t>
  </si>
  <si>
    <t>24280.67</t>
  </si>
  <si>
    <t>85.47</t>
  </si>
  <si>
    <t>118.66</t>
  </si>
  <si>
    <t>418.95</t>
  </si>
  <si>
    <t>4470.5</t>
  </si>
  <si>
    <t>255.98</t>
  </si>
  <si>
    <t>51.79</t>
  </si>
  <si>
    <t>26747.87</t>
  </si>
  <si>
    <t>931.41</t>
  </si>
  <si>
    <t>195.96</t>
  </si>
  <si>
    <t>5493.77</t>
  </si>
  <si>
    <t>17215.6</t>
  </si>
  <si>
    <t>38.37</t>
  </si>
  <si>
    <t>1685.13</t>
  </si>
  <si>
    <t>237.37</t>
  </si>
  <si>
    <t>32940.1</t>
  </si>
  <si>
    <t>130.47</t>
  </si>
  <si>
    <t>1763.04</t>
  </si>
  <si>
    <t>3670.88</t>
  </si>
  <si>
    <t>7623.68</t>
  </si>
  <si>
    <t>28036.57</t>
  </si>
  <si>
    <t>0.32</t>
  </si>
  <si>
    <t>35.99</t>
  </si>
  <si>
    <t>5.71</t>
  </si>
  <si>
    <t>12.04</t>
  </si>
  <si>
    <t>20.83</t>
  </si>
  <si>
    <t>24197.71</t>
  </si>
  <si>
    <t>299.29</t>
  </si>
  <si>
    <t>2207.08</t>
  </si>
  <si>
    <t>14618.51</t>
  </si>
  <si>
    <t>3103.74</t>
  </si>
  <si>
    <t>16870.99</t>
  </si>
  <si>
    <t>815.47</t>
  </si>
  <si>
    <t>10833.75</t>
  </si>
  <si>
    <t>21927.06</t>
  </si>
  <si>
    <t>7016.87</t>
  </si>
  <si>
    <t>58517.25</t>
  </si>
  <si>
    <t>79.81</t>
  </si>
  <si>
    <t>166.73</t>
  </si>
  <si>
    <t>809.04</t>
  </si>
  <si>
    <t>3663.38</t>
  </si>
  <si>
    <t>63.03</t>
  </si>
  <si>
    <t>9982.86</t>
  </si>
  <si>
    <t>603.6</t>
  </si>
  <si>
    <t>0.2</t>
  </si>
  <si>
    <t>19.33</t>
  </si>
  <si>
    <t>0.52</t>
  </si>
  <si>
    <t>0.61</t>
  </si>
  <si>
    <t>1.49</t>
  </si>
  <si>
    <t>0.34</t>
  </si>
  <si>
    <t>92.79</t>
  </si>
  <si>
    <t>10428.89</t>
  </si>
  <si>
    <t>312.55</t>
  </si>
  <si>
    <t>5590.82</t>
  </si>
  <si>
    <t>19297.09</t>
  </si>
  <si>
    <t>2057.2</t>
  </si>
  <si>
    <t>1053.4</t>
  </si>
  <si>
    <t>13049.05</t>
  </si>
  <si>
    <t>397.53</t>
  </si>
  <si>
    <t>9767.75</t>
  </si>
  <si>
    <t>19335.96</t>
  </si>
  <si>
    <t>7399.75</t>
  </si>
  <si>
    <t>1634.08</t>
  </si>
  <si>
    <t>8819.24</t>
  </si>
  <si>
    <t>7363.81</t>
  </si>
  <si>
    <t>7058.33</t>
  </si>
  <si>
    <t>7281.33</t>
  </si>
  <si>
    <t>17409.82</t>
  </si>
  <si>
    <t>2.07</t>
  </si>
  <si>
    <t>14.41</t>
  </si>
  <si>
    <t>1.79</t>
  </si>
  <si>
    <t>25.92</t>
  </si>
  <si>
    <t>33876.49</t>
  </si>
  <si>
    <t>87.58</t>
  </si>
  <si>
    <t>173.92</t>
  </si>
  <si>
    <t>1372.09</t>
  </si>
  <si>
    <t>17454.26</t>
  </si>
  <si>
    <t>770.88</t>
  </si>
  <si>
    <t>56.63</t>
  </si>
  <si>
    <t>39144.84</t>
  </si>
  <si>
    <t>676.78</t>
  </si>
  <si>
    <t>11486.43</t>
  </si>
  <si>
    <t>24008.1</t>
  </si>
  <si>
    <t>1715.4</t>
  </si>
  <si>
    <t>174.55</t>
  </si>
  <si>
    <t>45974.83</t>
  </si>
  <si>
    <t>70.2</t>
  </si>
  <si>
    <t>4519.84</t>
  </si>
  <si>
    <t>12218.62</t>
  </si>
  <si>
    <t>65.91</t>
  </si>
  <si>
    <t>7710.66</t>
  </si>
  <si>
    <t>48757.34</t>
  </si>
  <si>
    <t>0.8</t>
  </si>
  <si>
    <t>113.99</t>
  </si>
  <si>
    <t>167.74</t>
  </si>
  <si>
    <t>37.14</t>
  </si>
  <si>
    <t>35.6</t>
  </si>
  <si>
    <t>391.05</t>
  </si>
  <si>
    <t>15632.87</t>
  </si>
  <si>
    <t>29525.49</t>
  </si>
  <si>
    <t>74.7</t>
  </si>
  <si>
    <t>7274.46</t>
  </si>
  <si>
    <t>18.86</t>
  </si>
  <si>
    <t>8448.73</t>
  </si>
  <si>
    <t>279.13</t>
  </si>
  <si>
    <t>22266.28</t>
  </si>
  <si>
    <t>27106.21</t>
  </si>
  <si>
    <t>7199.08</t>
  </si>
  <si>
    <t>39748.48</t>
  </si>
  <si>
    <t>36.49</t>
  </si>
  <si>
    <t>2177.14</t>
  </si>
  <si>
    <t>14396.36</t>
  </si>
  <si>
    <t>7956.42</t>
  </si>
  <si>
    <t>0.04</t>
  </si>
  <si>
    <t>1674.4</t>
  </si>
  <si>
    <t>5403.26</t>
  </si>
  <si>
    <t>27.81</t>
  </si>
  <si>
    <t>6699.21</t>
  </si>
  <si>
    <t>20658.85</t>
  </si>
  <si>
    <t>2324.4</t>
  </si>
  <si>
    <t>65.32</t>
  </si>
  <si>
    <t>6927.63</t>
  </si>
  <si>
    <t>67.02</t>
  </si>
  <si>
    <t>16724.94</t>
  </si>
  <si>
    <t>17064.54</t>
  </si>
  <si>
    <t>5519.52</t>
  </si>
  <si>
    <t>45.87</t>
  </si>
  <si>
    <t>8557.61</t>
  </si>
  <si>
    <t>0.88</t>
  </si>
  <si>
    <t>3768.07</t>
  </si>
  <si>
    <t>9979.83</t>
  </si>
  <si>
    <t>4734.93</t>
  </si>
  <si>
    <t>619.55</t>
  </si>
  <si>
    <t>0.24</t>
  </si>
  <si>
    <t>47.54</t>
  </si>
  <si>
    <t>0.41</t>
  </si>
  <si>
    <t>2.97</t>
  </si>
  <si>
    <t>26538.16</t>
  </si>
  <si>
    <t>127.12</t>
  </si>
  <si>
    <t>323.37</t>
  </si>
  <si>
    <t>12741.87</t>
  </si>
  <si>
    <t>215.74</t>
  </si>
  <si>
    <t>71.67</t>
  </si>
  <si>
    <t>35125.6</t>
  </si>
  <si>
    <t>948.68</t>
  </si>
  <si>
    <t>3780.11</t>
  </si>
  <si>
    <t>21995.21</t>
  </si>
  <si>
    <t>29972.42</t>
  </si>
  <si>
    <t>46.9</t>
  </si>
  <si>
    <t>342.49</t>
  </si>
  <si>
    <t>4789.09</t>
  </si>
  <si>
    <t>1493.42</t>
  </si>
  <si>
    <t>14.11</t>
  </si>
  <si>
    <t>24614.89</t>
  </si>
  <si>
    <t>0.55</t>
  </si>
  <si>
    <t>7.14</t>
  </si>
  <si>
    <t>64.27</t>
  </si>
  <si>
    <t>16.59</t>
  </si>
  <si>
    <t>51378.59</t>
  </si>
  <si>
    <t>1421.87</t>
  </si>
  <si>
    <t>13413.09</t>
  </si>
  <si>
    <t>33369.37</t>
  </si>
  <si>
    <t>7688.36</t>
  </si>
  <si>
    <t>50.6</t>
  </si>
  <si>
    <t>44536.75</t>
  </si>
  <si>
    <t>2204.28</t>
  </si>
  <si>
    <t>234.14</t>
  </si>
  <si>
    <t>48301.6</t>
  </si>
  <si>
    <t>34479.04</t>
  </si>
  <si>
    <t>96.01</t>
  </si>
  <si>
    <t>13353.99</t>
  </si>
  <si>
    <t>32.31</t>
  </si>
  <si>
    <t>87947.79</t>
  </si>
  <si>
    <t>119.55</t>
  </si>
  <si>
    <t>963.81</t>
  </si>
  <si>
    <t>14438.07</t>
  </si>
  <si>
    <t>57.35</t>
  </si>
  <si>
    <t>4400.68</t>
  </si>
  <si>
    <t>317.51</t>
  </si>
  <si>
    <t>2.36</t>
  </si>
  <si>
    <t>257.54</t>
  </si>
  <si>
    <t>4187.04</t>
  </si>
  <si>
    <t>22.03</t>
  </si>
  <si>
    <t>6735.42</t>
  </si>
  <si>
    <t>22699.82</t>
  </si>
  <si>
    <t>3808.56</t>
  </si>
  <si>
    <t>417.96</t>
  </si>
  <si>
    <t>6235.7</t>
  </si>
  <si>
    <t>287.51</t>
  </si>
  <si>
    <t>17751.62</t>
  </si>
  <si>
    <t>23202.29</t>
  </si>
  <si>
    <t>105.45</t>
  </si>
  <si>
    <t>10429.21</t>
  </si>
  <si>
    <t>7312.2</t>
  </si>
  <si>
    <t>1.78</t>
  </si>
  <si>
    <t>2529.63</t>
  </si>
  <si>
    <t>5220.99</t>
  </si>
  <si>
    <t>3144.37</t>
  </si>
  <si>
    <t>14.57</t>
  </si>
  <si>
    <t>43453.19</t>
  </si>
  <si>
    <t>0.86</t>
  </si>
  <si>
    <t>87.08</t>
  </si>
  <si>
    <t>1.63</t>
  </si>
  <si>
    <t>19.96</t>
  </si>
  <si>
    <t>28.54</t>
  </si>
  <si>
    <t>57833.43</t>
  </si>
  <si>
    <t>502.28</t>
  </si>
  <si>
    <t>736.86</t>
  </si>
  <si>
    <t>14866.46</t>
  </si>
  <si>
    <t>478.81</t>
  </si>
  <si>
    <t>79006.55</t>
  </si>
  <si>
    <t>313.00</t>
  </si>
  <si>
    <t>249.89</t>
  </si>
  <si>
    <t>13871.8</t>
  </si>
  <si>
    <t>29710.44</t>
  </si>
  <si>
    <t>76.19</t>
  </si>
  <si>
    <t>4063.81</t>
  </si>
  <si>
    <t>158.4</t>
  </si>
  <si>
    <t>89295.6</t>
  </si>
  <si>
    <t>387.09</t>
  </si>
  <si>
    <t>375.81</t>
  </si>
  <si>
    <t>3975.2</t>
  </si>
  <si>
    <t>14948.2</t>
  </si>
  <si>
    <t>79.18</t>
  </si>
  <si>
    <t>14476.09</t>
  </si>
  <si>
    <t>63497.99</t>
  </si>
  <si>
    <t>7.65</t>
  </si>
  <si>
    <t>55.52</t>
  </si>
  <si>
    <t>9.84</t>
  </si>
  <si>
    <t>35.05</t>
  </si>
  <si>
    <t>45349.12</t>
  </si>
  <si>
    <t>770.9</t>
  </si>
  <si>
    <t>6480.18</t>
  </si>
  <si>
    <t>29884.62</t>
  </si>
  <si>
    <t>70.28</t>
  </si>
  <si>
    <t>6631.18</t>
  </si>
  <si>
    <t>41.81</t>
  </si>
  <si>
    <t>35884.22</t>
  </si>
  <si>
    <t>1517.14</t>
  </si>
  <si>
    <t>241.98</t>
  </si>
  <si>
    <t>27609.1</t>
  </si>
  <si>
    <t>33766.37</t>
  </si>
  <si>
    <t>110.23</t>
  </si>
  <si>
    <t>14384.35</t>
  </si>
  <si>
    <t>44.12</t>
  </si>
  <si>
    <t>114401.64</t>
  </si>
  <si>
    <t>159.3</t>
  </si>
  <si>
    <t>1316.49</t>
  </si>
  <si>
    <t>15593.35</t>
  </si>
  <si>
    <t>85.22</t>
  </si>
  <si>
    <t>10983.98</t>
  </si>
  <si>
    <t>2037.87</t>
  </si>
  <si>
    <t>0.33</t>
  </si>
  <si>
    <t>1.54</t>
  </si>
  <si>
    <t>3.78</t>
  </si>
  <si>
    <t>53.6</t>
  </si>
  <si>
    <t>7255.72</t>
  </si>
  <si>
    <t>42.24</t>
  </si>
  <si>
    <t>112.15</t>
  </si>
  <si>
    <t>10848.28</t>
  </si>
  <si>
    <t>25185.63</t>
  </si>
  <si>
    <t>2243.78</t>
  </si>
  <si>
    <t>313.99</t>
  </si>
  <si>
    <t>9127.6</t>
  </si>
  <si>
    <t>161.01</t>
  </si>
  <si>
    <t>27256.26</t>
  </si>
  <si>
    <t>23933.13</t>
  </si>
  <si>
    <t>67.36</t>
  </si>
  <si>
    <t>8717.67</t>
  </si>
  <si>
    <t>956.41</t>
  </si>
  <si>
    <t>10513.08</t>
  </si>
  <si>
    <t>13859.79</t>
  </si>
  <si>
    <t>13965.71</t>
  </si>
  <si>
    <t>9373.42</t>
  </si>
  <si>
    <t>131262.98</t>
  </si>
  <si>
    <t>1.43</t>
  </si>
  <si>
    <t>3.93</t>
  </si>
  <si>
    <t>1.41</t>
  </si>
  <si>
    <t>5.67</t>
  </si>
  <si>
    <t>24046.23</t>
  </si>
  <si>
    <t>3.3</t>
  </si>
  <si>
    <t>51.09</t>
  </si>
  <si>
    <t>1881.2</t>
  </si>
  <si>
    <t>27.04</t>
  </si>
  <si>
    <t>346.42</t>
  </si>
  <si>
    <t>43121.65</t>
  </si>
  <si>
    <t>69.72</t>
  </si>
  <si>
    <t>543.19</t>
  </si>
  <si>
    <t>11920.88</t>
  </si>
  <si>
    <t>752.66</t>
  </si>
  <si>
    <t>1110.9</t>
  </si>
  <si>
    <t>201125.46</t>
  </si>
  <si>
    <t>35.63</t>
  </si>
  <si>
    <t>349.59</t>
  </si>
  <si>
    <t>24065.75</t>
  </si>
  <si>
    <t>16600.35</t>
  </si>
  <si>
    <t>156.8</t>
  </si>
  <si>
    <t>30505.87</t>
  </si>
  <si>
    <t>70380.64</t>
  </si>
  <si>
    <t>0.92</t>
  </si>
  <si>
    <t>47.5</t>
  </si>
  <si>
    <t>2.31</t>
  </si>
  <si>
    <t>11.06</t>
  </si>
  <si>
    <t>30.68</t>
  </si>
  <si>
    <t>127875.91</t>
  </si>
  <si>
    <t>7.16</t>
  </si>
  <si>
    <t>690.09</t>
  </si>
  <si>
    <t>6676.21</t>
  </si>
  <si>
    <t>53.16</t>
  </si>
  <si>
    <t>1820.66</t>
  </si>
  <si>
    <t>32.85</t>
  </si>
  <si>
    <t>61173.1</t>
  </si>
  <si>
    <t>293.7</t>
  </si>
  <si>
    <t>181.19</t>
  </si>
  <si>
    <t>2369.33</t>
  </si>
  <si>
    <t>26559.29</t>
  </si>
  <si>
    <t>5404.78</t>
  </si>
  <si>
    <t>51.19</t>
  </si>
  <si>
    <t>129020.93</t>
  </si>
  <si>
    <t>30.69</t>
  </si>
  <si>
    <t>5314.4</t>
  </si>
  <si>
    <t>11741.73</t>
  </si>
  <si>
    <t>126.48</t>
  </si>
  <si>
    <t>24904.62</t>
  </si>
  <si>
    <t>0.22</t>
  </si>
  <si>
    <t>2162.76</t>
  </si>
  <si>
    <t>0.44</t>
  </si>
  <si>
    <t>1.16</t>
  </si>
  <si>
    <t>0.29</t>
  </si>
  <si>
    <t>2.21</t>
  </si>
  <si>
    <t>0.6</t>
  </si>
  <si>
    <t>16.45</t>
  </si>
  <si>
    <t>53318.95</t>
  </si>
  <si>
    <t>98.2</t>
  </si>
  <si>
    <t>1042.28</t>
  </si>
  <si>
    <t>18321.01</t>
  </si>
  <si>
    <t>43.64</t>
  </si>
  <si>
    <t>648.36</t>
  </si>
  <si>
    <t>100.31</t>
  </si>
  <si>
    <t>90892.07</t>
  </si>
  <si>
    <t>588.59</t>
  </si>
  <si>
    <t>11344.7</t>
  </si>
  <si>
    <t>26930.92</t>
  </si>
  <si>
    <t>4752.26</t>
  </si>
  <si>
    <t>203.81</t>
  </si>
  <si>
    <t>68384.31</t>
  </si>
  <si>
    <t>96.51</t>
  </si>
  <si>
    <t>7856.82</t>
  </si>
  <si>
    <t>15137.74</t>
  </si>
  <si>
    <t>9855.27</t>
  </si>
  <si>
    <t>34837.93</t>
  </si>
  <si>
    <t>2.87</t>
  </si>
  <si>
    <t>2.64</t>
  </si>
  <si>
    <t>27864.79</t>
  </si>
  <si>
    <t>112.13</t>
  </si>
  <si>
    <t>2129.55</t>
  </si>
  <si>
    <t>13181.98</t>
  </si>
  <si>
    <t>31.98</t>
  </si>
  <si>
    <t>217.46</t>
  </si>
  <si>
    <t>33.95</t>
  </si>
  <si>
    <t>41095.96</t>
  </si>
  <si>
    <t>763.06</t>
  </si>
  <si>
    <t>7258.39</t>
  </si>
  <si>
    <t>20652.94</t>
  </si>
  <si>
    <t>561.23</t>
  </si>
  <si>
    <t>62.19</t>
  </si>
  <si>
    <t>36418.62</t>
  </si>
  <si>
    <t>375.89</t>
  </si>
  <si>
    <t>20469.49</t>
  </si>
  <si>
    <t>21433.61</t>
  </si>
  <si>
    <t>14159.89</t>
  </si>
  <si>
    <t>26.44</t>
  </si>
  <si>
    <t>149564.21</t>
  </si>
  <si>
    <t>1.08</t>
  </si>
  <si>
    <t>41.35</t>
  </si>
  <si>
    <t>111.9</t>
  </si>
  <si>
    <t>39.67</t>
  </si>
  <si>
    <t>34.39</t>
  </si>
  <si>
    <t>178403.13</t>
  </si>
  <si>
    <t>904.22</t>
  </si>
  <si>
    <t>6147.17</t>
  </si>
  <si>
    <t>33816.16</t>
  </si>
  <si>
    <t>2613.37</t>
  </si>
  <si>
    <t>65.95</t>
  </si>
  <si>
    <t>207653.06</t>
  </si>
  <si>
    <t>340.96</t>
  </si>
  <si>
    <t>36394.41</t>
  </si>
  <si>
    <t>37771.75</t>
  </si>
  <si>
    <t>8237.21</t>
  </si>
  <si>
    <t>0.47</t>
  </si>
  <si>
    <t>10.04</t>
  </si>
  <si>
    <t>27.82</t>
  </si>
  <si>
    <t>16.28</t>
  </si>
  <si>
    <t>627.57</t>
  </si>
  <si>
    <t>0.42</t>
  </si>
  <si>
    <t>0.17</t>
  </si>
  <si>
    <t>0.89</t>
  </si>
  <si>
    <t>20381.37</t>
  </si>
  <si>
    <t>55.09</t>
  </si>
  <si>
    <t>75.18</t>
  </si>
  <si>
    <t>5000.01</t>
  </si>
  <si>
    <t>15786.73</t>
  </si>
  <si>
    <t>343.17</t>
  </si>
  <si>
    <t>27833.65</t>
  </si>
  <si>
    <t>62.96</t>
  </si>
  <si>
    <t>17880.25</t>
  </si>
  <si>
    <t>15304.9</t>
  </si>
  <si>
    <t>44.97</t>
  </si>
  <si>
    <t>2018.82</t>
  </si>
  <si>
    <t>24.37</t>
  </si>
  <si>
    <t>26838.18</t>
  </si>
  <si>
    <t>22.28</t>
  </si>
  <si>
    <t>7114.49</t>
  </si>
  <si>
    <t>11373.01</t>
  </si>
  <si>
    <t>2422.06</t>
  </si>
  <si>
    <t>60487.98</t>
  </si>
  <si>
    <t>2.57</t>
  </si>
  <si>
    <t>6.75</t>
  </si>
  <si>
    <t>37367.32</t>
  </si>
  <si>
    <t>84.96</t>
  </si>
  <si>
    <t>894.12</t>
  </si>
  <si>
    <t>17053.78</t>
  </si>
  <si>
    <t>686.55</t>
  </si>
  <si>
    <t>125.74</t>
  </si>
  <si>
    <t>56872.08</t>
  </si>
  <si>
    <t>692.62</t>
  </si>
  <si>
    <t>7488.3</t>
  </si>
  <si>
    <t>23712.7</t>
  </si>
  <si>
    <t>1435.86</t>
  </si>
  <si>
    <t>494.7</t>
  </si>
  <si>
    <t>62534.81</t>
  </si>
  <si>
    <t>67.94</t>
  </si>
  <si>
    <t>2290.22</t>
  </si>
  <si>
    <t>15605.72</t>
  </si>
  <si>
    <t>73.22</t>
  </si>
  <si>
    <t>9755.58</t>
  </si>
  <si>
    <t>133745.37</t>
  </si>
  <si>
    <t>4.4</t>
  </si>
  <si>
    <t>4.44</t>
  </si>
  <si>
    <t>108028.78</t>
  </si>
  <si>
    <t>1670.09</t>
  </si>
  <si>
    <t>10996.93</t>
  </si>
  <si>
    <t>33531.5</t>
  </si>
  <si>
    <t>88.28</t>
  </si>
  <si>
    <t>4451.78</t>
  </si>
  <si>
    <t>82067.42</t>
  </si>
  <si>
    <t>5906.27</t>
  </si>
  <si>
    <t>298.67</t>
  </si>
  <si>
    <t>50674.28</t>
  </si>
  <si>
    <t>34297.88</t>
  </si>
  <si>
    <t>107.04</t>
  </si>
  <si>
    <t>9332.43</t>
  </si>
  <si>
    <t>63.44</t>
  </si>
  <si>
    <t>185486.81</t>
  </si>
  <si>
    <t>357.77</t>
  </si>
  <si>
    <t>282.16</t>
  </si>
  <si>
    <t>10086.96</t>
  </si>
  <si>
    <t>27681.89</t>
  </si>
  <si>
    <t>143.16</t>
  </si>
  <si>
    <t>30459.14</t>
  </si>
  <si>
    <t>836.3</t>
  </si>
  <si>
    <t>0.65</t>
  </si>
  <si>
    <t>4.78</t>
  </si>
  <si>
    <t>6440.74</t>
  </si>
  <si>
    <t>82.63</t>
  </si>
  <si>
    <t>4386.49</t>
  </si>
  <si>
    <t>25394.4</t>
  </si>
  <si>
    <t>29.49</t>
  </si>
  <si>
    <t>676.35</t>
  </si>
  <si>
    <t>103.07</t>
  </si>
  <si>
    <t>10940.09</t>
  </si>
  <si>
    <t>353.95</t>
  </si>
  <si>
    <t>16166.91</t>
  </si>
  <si>
    <t>25261.21</t>
  </si>
  <si>
    <t>4478.57</t>
  </si>
  <si>
    <t>1399.63</t>
  </si>
  <si>
    <t>7143.44</t>
  </si>
  <si>
    <t>13372.07</t>
  </si>
  <si>
    <t>13783.66</t>
  </si>
  <si>
    <t>20165.72</t>
  </si>
  <si>
    <t>0.78</t>
  </si>
  <si>
    <t>14.9</t>
  </si>
  <si>
    <t>15.5</t>
  </si>
  <si>
    <t>20.33</t>
  </si>
  <si>
    <t>24938.79</t>
  </si>
  <si>
    <t>210.89</t>
  </si>
  <si>
    <t>1080.6</t>
  </si>
  <si>
    <t>13847.56</t>
  </si>
  <si>
    <t>48.81</t>
  </si>
  <si>
    <t>16181.44</t>
  </si>
  <si>
    <t>92.44</t>
  </si>
  <si>
    <t>1928.02</t>
  </si>
  <si>
    <t>5992.31</t>
  </si>
  <si>
    <t>3503.34</t>
  </si>
  <si>
    <t>114.29</t>
  </si>
  <si>
    <t>32976.36</t>
  </si>
  <si>
    <t>40.92</t>
  </si>
  <si>
    <t>1898.03</t>
  </si>
  <si>
    <t>10830.24</t>
  </si>
  <si>
    <t>5953.6</t>
  </si>
  <si>
    <t>54334.23</t>
  </si>
  <si>
    <t>21.14</t>
  </si>
  <si>
    <t>57.15</t>
  </si>
  <si>
    <t>15.38</t>
  </si>
  <si>
    <t>34382.31</t>
  </si>
  <si>
    <t>460.02</t>
  </si>
  <si>
    <t>5468.29</t>
  </si>
  <si>
    <t>27665.51</t>
  </si>
  <si>
    <t>4676.08</t>
  </si>
  <si>
    <t>25990.72</t>
  </si>
  <si>
    <t>1078.47</t>
  </si>
  <si>
    <t>21779.01</t>
  </si>
  <si>
    <t>30840.95</t>
  </si>
  <si>
    <t>10820.69</t>
  </si>
  <si>
    <t>65625.81</t>
  </si>
  <si>
    <t>20.65</t>
  </si>
  <si>
    <t>766.17</t>
  </si>
  <si>
    <t>10304.92</t>
  </si>
  <si>
    <t>4249.04</t>
  </si>
  <si>
    <t>839.19</t>
  </si>
  <si>
    <t>5976.72</t>
  </si>
  <si>
    <t>144.29</t>
  </si>
  <si>
    <t>9388.09</t>
  </si>
  <si>
    <t>21356.71</t>
  </si>
  <si>
    <t>24.64</t>
  </si>
  <si>
    <t>987.91</t>
  </si>
  <si>
    <t>18.37</t>
  </si>
  <si>
    <t>7694.43</t>
  </si>
  <si>
    <t>386.98</t>
  </si>
  <si>
    <t>12119.32</t>
  </si>
  <si>
    <t>20084.01</t>
  </si>
  <si>
    <t>34.51</t>
  </si>
  <si>
    <t>12.75</t>
  </si>
  <si>
    <t>21.21</t>
  </si>
  <si>
    <t>63.74</t>
  </si>
  <si>
    <t>2816.65</t>
  </si>
  <si>
    <t>13849.51</t>
  </si>
  <si>
    <t>2709.88</t>
  </si>
  <si>
    <t>342.65</t>
  </si>
  <si>
    <t>17700.09</t>
  </si>
  <si>
    <t>185.04</t>
  </si>
  <si>
    <t>316.73</t>
  </si>
  <si>
    <t>5106.69</t>
  </si>
  <si>
    <t>74.59</t>
  </si>
  <si>
    <t>657.2</t>
  </si>
  <si>
    <t>61.27</t>
  </si>
  <si>
    <t>5.5</t>
  </si>
  <si>
    <t>3.03</t>
  </si>
  <si>
    <t>4.5</t>
  </si>
  <si>
    <t>739.75</t>
  </si>
  <si>
    <t>0.25</t>
  </si>
  <si>
    <t>11.1</t>
  </si>
  <si>
    <t>4.21</t>
  </si>
  <si>
    <t>5.43</t>
  </si>
  <si>
    <t>92582.05</t>
  </si>
  <si>
    <t>237.1</t>
  </si>
  <si>
    <t>135.17</t>
  </si>
  <si>
    <t>147.71</t>
  </si>
  <si>
    <t>27601.12</t>
  </si>
  <si>
    <t>273.84</t>
  </si>
  <si>
    <t>4829.72</t>
  </si>
  <si>
    <t>21359.11</t>
  </si>
  <si>
    <t>4907.98</t>
  </si>
  <si>
    <t>27400.96</t>
  </si>
  <si>
    <t>1246.68</t>
  </si>
  <si>
    <t>41317.76</t>
  </si>
  <si>
    <t>34948.62</t>
  </si>
  <si>
    <t>10986.51</t>
  </si>
  <si>
    <t>86835.45</t>
  </si>
  <si>
    <t>515.69</t>
  </si>
  <si>
    <t>4994.71</t>
  </si>
  <si>
    <t>94.45</t>
  </si>
  <si>
    <t>12185.8</t>
  </si>
  <si>
    <t>1294.61</t>
  </si>
  <si>
    <t>1991.95</t>
  </si>
  <si>
    <t>1.7</t>
  </si>
  <si>
    <t>10.97</t>
  </si>
  <si>
    <t>4681.02</t>
  </si>
  <si>
    <t>52.8</t>
  </si>
  <si>
    <t>9260.03</t>
  </si>
  <si>
    <t>22190.52</t>
  </si>
  <si>
    <t>4109.36</t>
  </si>
  <si>
    <t>102.82</t>
  </si>
  <si>
    <t>18395.84</t>
  </si>
  <si>
    <t>14268.59</t>
  </si>
  <si>
    <t>29.22</t>
  </si>
  <si>
    <t>9.25</t>
  </si>
  <si>
    <t>4508.77</t>
  </si>
  <si>
    <t>31.12</t>
  </si>
  <si>
    <t>5167.71</t>
  </si>
  <si>
    <t>8212.91</t>
  </si>
  <si>
    <t>11.27</t>
  </si>
  <si>
    <t>42.61</t>
  </si>
  <si>
    <t>150329.71</t>
  </si>
  <si>
    <t>1.14</t>
  </si>
  <si>
    <t>4.71</t>
  </si>
  <si>
    <t>3.99</t>
  </si>
  <si>
    <t>50.83</t>
  </si>
  <si>
    <t>77.5</t>
  </si>
  <si>
    <t>112247.28</t>
  </si>
  <si>
    <t>198.82</t>
  </si>
  <si>
    <t>4506.26</t>
  </si>
  <si>
    <t>30361.61</t>
  </si>
  <si>
    <t>3236.92</t>
  </si>
  <si>
    <t>173.77</t>
  </si>
  <si>
    <t>117934.45</t>
  </si>
  <si>
    <t>1553.4</t>
  </si>
  <si>
    <t>32394.53</t>
  </si>
  <si>
    <t>33477.41</t>
  </si>
  <si>
    <t>7118.31</t>
  </si>
  <si>
    <t>1308.06</t>
  </si>
  <si>
    <t>125798.43</t>
  </si>
  <si>
    <t>142.44</t>
  </si>
  <si>
    <t>290.38</t>
  </si>
  <si>
    <t>22745.13</t>
  </si>
  <si>
    <t>30643.88</t>
  </si>
  <si>
    <t>158.52</t>
  </si>
  <si>
    <t>26663.59</t>
  </si>
  <si>
    <t>39.53</t>
  </si>
  <si>
    <t>368794.09</t>
  </si>
  <si>
    <t>11.98</t>
  </si>
  <si>
    <t>492.4</t>
  </si>
  <si>
    <t>64.47</t>
  </si>
  <si>
    <t>54.81</t>
  </si>
  <si>
    <t>209601.9</t>
  </si>
  <si>
    <t>1194.89</t>
  </si>
  <si>
    <t>7484.72</t>
  </si>
  <si>
    <t>36420.63</t>
  </si>
  <si>
    <t>7369.05</t>
  </si>
  <si>
    <t>193466.77</t>
  </si>
  <si>
    <t>6607.32</t>
  </si>
  <si>
    <t>89404.47</t>
  </si>
  <si>
    <t>40083.93</t>
  </si>
  <si>
    <t>146.55</t>
  </si>
  <si>
    <t>24297.92</t>
  </si>
  <si>
    <t>68.48</t>
  </si>
  <si>
    <t>255226.92</t>
  </si>
  <si>
    <t>433.1</t>
  </si>
  <si>
    <t>18197.97</t>
  </si>
  <si>
    <t>31513.14</t>
  </si>
  <si>
    <t>131.44</t>
  </si>
  <si>
    <t>23875.53</t>
  </si>
  <si>
    <t>338.05</t>
  </si>
  <si>
    <t>0.83</t>
  </si>
  <si>
    <t>67.21</t>
  </si>
  <si>
    <t>42073.4</t>
  </si>
  <si>
    <t>384.2</t>
  </si>
  <si>
    <t>3677.96</t>
  </si>
  <si>
    <t>25722.32</t>
  </si>
  <si>
    <t>58.76</t>
  </si>
  <si>
    <t>5395.55</t>
  </si>
  <si>
    <t>335.47</t>
  </si>
  <si>
    <t>36698.74</t>
  </si>
  <si>
    <t>1705.06</t>
  </si>
  <si>
    <t>21935.63</t>
  </si>
  <si>
    <t>30096.3</t>
  </si>
  <si>
    <t>103.86</t>
  </si>
  <si>
    <t>13033.15</t>
  </si>
  <si>
    <t>238.2</t>
  </si>
  <si>
    <t>39510.24</t>
  </si>
  <si>
    <t>105.44</t>
  </si>
  <si>
    <t>8683.19</t>
  </si>
  <si>
    <t>29172.74</t>
  </si>
  <si>
    <t>91.35</t>
  </si>
  <si>
    <t>10874.52</t>
  </si>
  <si>
    <t>37244.88</t>
  </si>
  <si>
    <t>2.28</t>
  </si>
  <si>
    <t>4.3</t>
  </si>
  <si>
    <t>92.12</t>
  </si>
  <si>
    <t>29249.2</t>
  </si>
  <si>
    <t>265.76</t>
  </si>
  <si>
    <t>2263.65</t>
  </si>
  <si>
    <t>13611.73</t>
  </si>
  <si>
    <t>815.97</t>
  </si>
  <si>
    <t>305.13</t>
  </si>
  <si>
    <t>36022.04</t>
  </si>
  <si>
    <t>1545.63</t>
  </si>
  <si>
    <t>14889.37</t>
  </si>
  <si>
    <t>21191.35</t>
  </si>
  <si>
    <t>1756.4</t>
  </si>
  <si>
    <t>923.51</t>
  </si>
  <si>
    <t>40516.11</t>
  </si>
  <si>
    <t>157.85</t>
  </si>
  <si>
    <t>3057.81</t>
  </si>
  <si>
    <t>8178.54</t>
  </si>
  <si>
    <t>7188.34</t>
  </si>
  <si>
    <t>157009.17</t>
  </si>
  <si>
    <t>98.55</t>
  </si>
  <si>
    <t>574.99</t>
  </si>
  <si>
    <t>206.03</t>
  </si>
  <si>
    <t>53141.96</t>
  </si>
  <si>
    <t>3391.42</t>
  </si>
  <si>
    <t>21847.97</t>
  </si>
  <si>
    <t>28013.17</t>
  </si>
  <si>
    <t>7540.26</t>
  </si>
  <si>
    <t>46.45</t>
  </si>
  <si>
    <t>38382.07</t>
  </si>
  <si>
    <t>6903.60</t>
  </si>
  <si>
    <t>78979.98</t>
  </si>
  <si>
    <t>33986.95</t>
  </si>
  <si>
    <t>12334.05</t>
  </si>
  <si>
    <t>56.02</t>
  </si>
  <si>
    <t>104483.52</t>
  </si>
  <si>
    <t>701.05</t>
  </si>
  <si>
    <t>12148.67</t>
  </si>
  <si>
    <t>23654.6</t>
  </si>
  <si>
    <t>116.68</t>
  </si>
  <si>
    <t>23810.79</t>
  </si>
  <si>
    <t>1447.05</t>
  </si>
  <si>
    <t>0.19</t>
  </si>
  <si>
    <t>0.27</t>
  </si>
  <si>
    <t>671.23</t>
  </si>
  <si>
    <t>7236.95</t>
  </si>
  <si>
    <t>28.98</t>
  </si>
  <si>
    <t>21494.39</t>
  </si>
  <si>
    <t>33.24</t>
  </si>
  <si>
    <t>1209.91</t>
  </si>
  <si>
    <t>2506.52</t>
  </si>
  <si>
    <t>8812.3</t>
  </si>
  <si>
    <t>247.48</t>
  </si>
  <si>
    <t>32907.28</t>
  </si>
  <si>
    <t>21798.94</t>
  </si>
  <si>
    <t>5192.05</t>
  </si>
  <si>
    <t>626.6</t>
  </si>
  <si>
    <t>6143.02</t>
  </si>
  <si>
    <t>5.63</t>
  </si>
  <si>
    <t>13167.34</t>
  </si>
  <si>
    <t>7362.82</t>
  </si>
  <si>
    <t>5969.47</t>
  </si>
  <si>
    <t>215430.22</t>
  </si>
  <si>
    <t>2.33</t>
  </si>
  <si>
    <t>9.43</t>
  </si>
  <si>
    <t>58157.93</t>
  </si>
  <si>
    <t>886.51</t>
  </si>
  <si>
    <t>25707.19</t>
  </si>
  <si>
    <t>788.83</t>
  </si>
  <si>
    <t>42.39</t>
  </si>
  <si>
    <t>63462.02</t>
  </si>
  <si>
    <t>899.47</t>
  </si>
  <si>
    <t>22346.18</t>
  </si>
  <si>
    <t>35601.7</t>
  </si>
  <si>
    <t>82.19</t>
  </si>
  <si>
    <t>5731.01</t>
  </si>
  <si>
    <t>178966.38</t>
  </si>
  <si>
    <t>199.68</t>
  </si>
  <si>
    <t>7884.74</t>
  </si>
  <si>
    <t>33033.65</t>
  </si>
  <si>
    <t>17459.95</t>
  </si>
  <si>
    <t>89132.49</t>
  </si>
  <si>
    <t>450.22</t>
  </si>
  <si>
    <t>551.25</t>
  </si>
  <si>
    <t>116.06</t>
  </si>
  <si>
    <t>65067.66</t>
  </si>
  <si>
    <t>36.07</t>
  </si>
  <si>
    <t>4118.56</t>
  </si>
  <si>
    <t>27756.32</t>
  </si>
  <si>
    <t>3641.29</t>
  </si>
  <si>
    <t>44124.16</t>
  </si>
  <si>
    <t>294.32</t>
  </si>
  <si>
    <t>16434.95</t>
  </si>
  <si>
    <t>37756.58</t>
  </si>
  <si>
    <t>9790.69</t>
  </si>
  <si>
    <t>120802.86</t>
  </si>
  <si>
    <t>2.56</t>
  </si>
  <si>
    <t>1628.55</t>
  </si>
  <si>
    <t>9342.89</t>
  </si>
  <si>
    <t>3506.09</t>
  </si>
  <si>
    <t>484.87</t>
  </si>
  <si>
    <t>0.05</t>
  </si>
  <si>
    <t>0.08</t>
  </si>
  <si>
    <t>15.98</t>
  </si>
  <si>
    <t>37041.69</t>
  </si>
  <si>
    <t>36.2</t>
  </si>
  <si>
    <t>269.07</t>
  </si>
  <si>
    <t>11371.68</t>
  </si>
  <si>
    <t>59.61</t>
  </si>
  <si>
    <t>49.41</t>
  </si>
  <si>
    <t>101474.03</t>
  </si>
  <si>
    <t>726.09</t>
  </si>
  <si>
    <t>26092.8</t>
  </si>
  <si>
    <t>33154.58</t>
  </si>
  <si>
    <t>5818.65</t>
  </si>
  <si>
    <t>71487.48</t>
  </si>
  <si>
    <t>203.11</t>
  </si>
  <si>
    <t>6955.88</t>
  </si>
  <si>
    <t>29640.48</t>
  </si>
  <si>
    <t>8124.84</t>
  </si>
  <si>
    <t>27385.62</t>
  </si>
  <si>
    <t>1.44</t>
  </si>
  <si>
    <t>17.7</t>
  </si>
  <si>
    <t>2.16</t>
  </si>
  <si>
    <t>44977.97</t>
  </si>
  <si>
    <t>103.88</t>
  </si>
  <si>
    <t>1144.34</t>
  </si>
  <si>
    <t>24277.8</t>
  </si>
  <si>
    <t>662.7</t>
  </si>
  <si>
    <t>66340.85</t>
  </si>
  <si>
    <t>1363.27</t>
  </si>
  <si>
    <t>20643.04</t>
  </si>
  <si>
    <t>31547.38</t>
  </si>
  <si>
    <t>2925.48</t>
  </si>
  <si>
    <t>50982.93</t>
  </si>
  <si>
    <t>393.89</t>
  </si>
  <si>
    <t>2897.55</t>
  </si>
  <si>
    <t>23966.79</t>
  </si>
  <si>
    <t>5957.12</t>
  </si>
  <si>
    <t>22.84</t>
  </si>
  <si>
    <t>75067.15</t>
  </si>
  <si>
    <t>17.69</t>
  </si>
  <si>
    <t>210.14</t>
  </si>
  <si>
    <t>44.34</t>
  </si>
  <si>
    <t>56209.8</t>
  </si>
  <si>
    <t>219.72</t>
  </si>
  <si>
    <t>5515.08</t>
  </si>
  <si>
    <t>37016.36</t>
  </si>
  <si>
    <t>11430.46</t>
  </si>
  <si>
    <t>43715.52</t>
  </si>
  <si>
    <t>537.81</t>
  </si>
  <si>
    <t>48588.61</t>
  </si>
  <si>
    <t>38404.37</t>
  </si>
  <si>
    <t>18926.58</t>
  </si>
  <si>
    <t>38.97</t>
  </si>
  <si>
    <t>140692.87</t>
  </si>
  <si>
    <t>1075.08</t>
  </si>
  <si>
    <t>22159.34</t>
  </si>
  <si>
    <t>71.75</t>
  </si>
  <si>
    <t>5450.19</t>
  </si>
  <si>
    <t>3771.8</t>
  </si>
  <si>
    <t>0.03</t>
  </si>
  <si>
    <t>0.9</t>
  </si>
  <si>
    <t>11.54</t>
  </si>
  <si>
    <t>7.33</t>
  </si>
  <si>
    <t>24924.63</t>
  </si>
  <si>
    <t>96.03</t>
  </si>
  <si>
    <t>3178.06</t>
  </si>
  <si>
    <t>468.9</t>
  </si>
  <si>
    <t>52643.98</t>
  </si>
  <si>
    <t>203.69</t>
  </si>
  <si>
    <t>26828.74</t>
  </si>
  <si>
    <t>29736.6</t>
  </si>
  <si>
    <t>7024.57</t>
  </si>
  <si>
    <t>36259.48</t>
  </si>
  <si>
    <t>41.78</t>
  </si>
  <si>
    <t>2601.2</t>
  </si>
  <si>
    <t>20138.22</t>
  </si>
  <si>
    <t>47.67</t>
  </si>
  <si>
    <t>3819.97</t>
  </si>
  <si>
    <t>47253.57</t>
  </si>
  <si>
    <t>4.08</t>
  </si>
  <si>
    <t>39102.07</t>
  </si>
  <si>
    <t>94.43</t>
  </si>
  <si>
    <t>2784.85</t>
  </si>
  <si>
    <t>25009.49</t>
  </si>
  <si>
    <t>979.17</t>
  </si>
  <si>
    <t>70.39</t>
  </si>
  <si>
    <t>86993.27</t>
  </si>
  <si>
    <t>758.63</t>
  </si>
  <si>
    <t>40089.6</t>
  </si>
  <si>
    <t>35184.63</t>
  </si>
  <si>
    <t>3584.86</t>
  </si>
  <si>
    <t>78.15</t>
  </si>
  <si>
    <t>93039.49</t>
  </si>
  <si>
    <t>322.8</t>
  </si>
  <si>
    <t>16445.48</t>
  </si>
  <si>
    <t>29791.8</t>
  </si>
  <si>
    <t>16085.99</t>
  </si>
  <si>
    <t>42699.18</t>
  </si>
  <si>
    <t>0.63</t>
  </si>
  <si>
    <t>53.35</t>
  </si>
  <si>
    <t>85.11</t>
  </si>
  <si>
    <t>27.83</t>
  </si>
  <si>
    <t>44100.01</t>
  </si>
  <si>
    <t>157.58</t>
  </si>
  <si>
    <t>4629.51</t>
  </si>
  <si>
    <t>34731.79</t>
  </si>
  <si>
    <t>3917.57</t>
  </si>
  <si>
    <t>61104.19</t>
  </si>
  <si>
    <t>582.71</t>
  </si>
  <si>
    <t>23283.13</t>
  </si>
  <si>
    <t>38507.51</t>
  </si>
  <si>
    <t>9254.18</t>
  </si>
  <si>
    <t>68659.72</t>
  </si>
  <si>
    <t>43.37</t>
  </si>
  <si>
    <t>3302.23</t>
  </si>
  <si>
    <t>25833.63</t>
  </si>
  <si>
    <t>8166.74</t>
  </si>
  <si>
    <t>9865.36</t>
  </si>
  <si>
    <t>2.22</t>
  </si>
  <si>
    <t>47.95</t>
  </si>
  <si>
    <t>3211.64</t>
  </si>
  <si>
    <t>13.35</t>
  </si>
  <si>
    <t>43811.32</t>
  </si>
  <si>
    <t>173.07</t>
  </si>
  <si>
    <t>17055.97</t>
  </si>
  <si>
    <t>25856.06</t>
  </si>
  <si>
    <t>2989.58</t>
  </si>
  <si>
    <t>51549.17</t>
  </si>
  <si>
    <t>194.36</t>
  </si>
  <si>
    <t>50730.22</t>
  </si>
  <si>
    <t>26561.3</t>
  </si>
  <si>
    <t>12384.66</t>
  </si>
  <si>
    <t>37.84</t>
  </si>
  <si>
    <t>37061.96</t>
  </si>
  <si>
    <t>132.24</t>
  </si>
  <si>
    <t>11184.57</t>
  </si>
  <si>
    <t>22613.92</t>
  </si>
  <si>
    <t>10373.19</t>
  </si>
  <si>
    <t>17.89</t>
  </si>
  <si>
    <t>65963.38</t>
  </si>
  <si>
    <t>115614.06</t>
  </si>
  <si>
    <t>177.6</t>
  </si>
  <si>
    <t>3197.73</t>
  </si>
  <si>
    <t>24905.79</t>
  </si>
  <si>
    <t>992.29</t>
  </si>
  <si>
    <t>3209.36</t>
  </si>
  <si>
    <t>152996.97</t>
  </si>
  <si>
    <t>1624.32</t>
  </si>
  <si>
    <t>119399.1</t>
  </si>
  <si>
    <t>35471.68</t>
  </si>
  <si>
    <t>113.45</t>
  </si>
  <si>
    <t>9471.79</t>
  </si>
  <si>
    <t>11400.25</t>
  </si>
  <si>
    <t>100898.54</t>
  </si>
  <si>
    <t>791.23</t>
  </si>
  <si>
    <t>358.27</t>
  </si>
  <si>
    <t>107829.7</t>
  </si>
  <si>
    <t>35161.53</t>
  </si>
  <si>
    <t>181.24</t>
  </si>
  <si>
    <t>31467.73</t>
  </si>
  <si>
    <t>163873.05</t>
  </si>
  <si>
    <t>0.68</t>
  </si>
  <si>
    <t>102.84</t>
  </si>
  <si>
    <t>34.03</t>
  </si>
  <si>
    <t>54.2</t>
  </si>
  <si>
    <t>78866.55</t>
  </si>
  <si>
    <t>243.28</t>
  </si>
  <si>
    <t>265.9</t>
  </si>
  <si>
    <t>21541.58</t>
  </si>
  <si>
    <t>35326.46</t>
  </si>
  <si>
    <t>13382.91</t>
  </si>
  <si>
    <t>65104.7</t>
  </si>
  <si>
    <t>432.41</t>
  </si>
  <si>
    <t>68214.24</t>
  </si>
  <si>
    <t>36872.68</t>
  </si>
  <si>
    <t>19240.93</t>
  </si>
  <si>
    <t>122108.16</t>
  </si>
  <si>
    <t>18.44</t>
  </si>
  <si>
    <t>7744.06</t>
  </si>
  <si>
    <t>30060.02</t>
  </si>
  <si>
    <t>97.57</t>
  </si>
  <si>
    <t>15278.47</t>
  </si>
  <si>
    <t>15277.02</t>
  </si>
  <si>
    <t>5.1</t>
  </si>
  <si>
    <t>38.11</t>
  </si>
  <si>
    <t>6193.14</t>
  </si>
  <si>
    <t>48250.51</t>
  </si>
  <si>
    <t>196.73</t>
  </si>
  <si>
    <t>16767.77</t>
  </si>
  <si>
    <t>25823.08</t>
  </si>
  <si>
    <t>2819.69</t>
  </si>
  <si>
    <t>5482.95</t>
  </si>
  <si>
    <t>147.21</t>
  </si>
  <si>
    <t>74504.89</t>
  </si>
  <si>
    <t>26861.63</t>
  </si>
  <si>
    <t>8790.93</t>
  </si>
  <si>
    <t>5996.83</t>
  </si>
  <si>
    <t>30105.62</t>
  </si>
  <si>
    <t>28.14</t>
  </si>
  <si>
    <t>75701.37</t>
  </si>
  <si>
    <t>30928.18</t>
  </si>
  <si>
    <t>14955.49</t>
  </si>
  <si>
    <t>73850.4</t>
  </si>
  <si>
    <t>2.19</t>
  </si>
  <si>
    <t>24600.89</t>
  </si>
  <si>
    <t>341.42</t>
  </si>
  <si>
    <t>9155.62</t>
  </si>
  <si>
    <t>307.36</t>
  </si>
  <si>
    <t>69214.48</t>
  </si>
  <si>
    <t>723.64</t>
  </si>
  <si>
    <t>14329.07</t>
  </si>
  <si>
    <t>26393.1</t>
  </si>
  <si>
    <t>162147.8</t>
  </si>
  <si>
    <t>6187.3</t>
  </si>
  <si>
    <t>17194.52</t>
  </si>
  <si>
    <t>13607.09</t>
  </si>
  <si>
    <t>144876.56</t>
  </si>
  <si>
    <t>33.46</t>
  </si>
  <si>
    <t>17.01</t>
  </si>
  <si>
    <t>34.94</t>
  </si>
  <si>
    <t>63678.24</t>
  </si>
  <si>
    <t>6602.81</t>
  </si>
  <si>
    <t>34040.69</t>
  </si>
  <si>
    <t>9383.69</t>
  </si>
  <si>
    <t>47.04</t>
  </si>
  <si>
    <t>54123.47</t>
  </si>
  <si>
    <t>872.72</t>
  </si>
  <si>
    <t>38651.27</t>
  </si>
  <si>
    <t>39296.97</t>
  </si>
  <si>
    <t>18924.69</t>
  </si>
  <si>
    <t>381637.68</t>
  </si>
  <si>
    <t>11.75</t>
  </si>
  <si>
    <t>2223.73</t>
  </si>
  <si>
    <t>10578.52</t>
  </si>
  <si>
    <t>12454.65</t>
  </si>
  <si>
    <t>1324.04</t>
  </si>
  <si>
    <t>0.06</t>
  </si>
  <si>
    <t>0.3</t>
  </si>
  <si>
    <t>28893.48</t>
  </si>
  <si>
    <t>50.28</t>
  </si>
  <si>
    <t>3518.69</t>
  </si>
  <si>
    <t>14217.73</t>
  </si>
  <si>
    <t>215.45</t>
  </si>
  <si>
    <t>47072.31</t>
  </si>
  <si>
    <t>124.25</t>
  </si>
  <si>
    <t>12239.79</t>
  </si>
  <si>
    <t>17170.75</t>
  </si>
  <si>
    <t>1476.97</t>
  </si>
  <si>
    <t>36219.81</t>
  </si>
  <si>
    <t>45.11</t>
  </si>
  <si>
    <t>4401.04</t>
  </si>
  <si>
    <t>11202.62</t>
  </si>
  <si>
    <t>1708.08</t>
  </si>
  <si>
    <t>111662.55</t>
  </si>
  <si>
    <t>9.01</t>
  </si>
  <si>
    <t>36.05</t>
  </si>
  <si>
    <t>11.62</t>
  </si>
  <si>
    <t>53973.48</t>
  </si>
  <si>
    <t>280.21</t>
  </si>
  <si>
    <t>4864.75</t>
  </si>
  <si>
    <t>32340.77</t>
  </si>
  <si>
    <t>1743.75</t>
  </si>
  <si>
    <t>70016.24</t>
  </si>
  <si>
    <t>1395.17</t>
  </si>
  <si>
    <t>44359.37</t>
  </si>
  <si>
    <t>37932.4</t>
  </si>
  <si>
    <t>5015.82</t>
  </si>
  <si>
    <t>65327.44</t>
  </si>
  <si>
    <t>672.66</t>
  </si>
  <si>
    <t>12191.48</t>
  </si>
  <si>
    <t>33691.75</t>
  </si>
  <si>
    <t>11650.98</t>
  </si>
  <si>
    <t>200790.43</t>
  </si>
  <si>
    <t>175.52</t>
  </si>
  <si>
    <t>1009.51</t>
  </si>
  <si>
    <t>149782.36</t>
  </si>
  <si>
    <t>710.14</t>
  </si>
  <si>
    <t>11455.93</t>
  </si>
  <si>
    <t>37579.58</t>
  </si>
  <si>
    <t>3847.13</t>
  </si>
  <si>
    <t>187435.57</t>
  </si>
  <si>
    <t>299.78</t>
  </si>
  <si>
    <t>307.01</t>
  </si>
  <si>
    <t>92726.73</t>
  </si>
  <si>
    <t>40943.78</t>
  </si>
  <si>
    <t>11874.37</t>
  </si>
  <si>
    <t>175625.4</t>
  </si>
  <si>
    <t>160.47</t>
  </si>
  <si>
    <t>8796.56</t>
  </si>
  <si>
    <t>38068.55</t>
  </si>
  <si>
    <t>6255.41</t>
  </si>
  <si>
    <t>4923.68</t>
  </si>
  <si>
    <t>0.11</t>
  </si>
  <si>
    <t>5.62</t>
  </si>
  <si>
    <t>9.26</t>
  </si>
  <si>
    <t>43524.57</t>
  </si>
  <si>
    <t>23451.15</t>
  </si>
  <si>
    <t>398.45</t>
  </si>
  <si>
    <t>95.51</t>
  </si>
  <si>
    <t>81433.97</t>
  </si>
  <si>
    <t>224.79</t>
  </si>
  <si>
    <t>26525.15</t>
  </si>
  <si>
    <t>34431.04</t>
  </si>
  <si>
    <t>5301.21</t>
  </si>
  <si>
    <t>66227.35</t>
  </si>
  <si>
    <t>114.46</t>
  </si>
  <si>
    <t>6307.32</t>
  </si>
  <si>
    <t>27236.7</t>
  </si>
  <si>
    <t>6217.48</t>
  </si>
  <si>
    <t>30882.02</t>
  </si>
  <si>
    <t>94.15</t>
  </si>
  <si>
    <t>34552.5</t>
  </si>
  <si>
    <t>42.64</t>
  </si>
  <si>
    <t>1753.95</t>
  </si>
  <si>
    <t>15581.49</t>
  </si>
  <si>
    <t>1343.21</t>
  </si>
  <si>
    <t>291.97</t>
  </si>
  <si>
    <t>41889.79</t>
  </si>
  <si>
    <t>639.04</t>
  </si>
  <si>
    <t>29154.04</t>
  </si>
  <si>
    <t>29498.01</t>
  </si>
  <si>
    <t>4602.03</t>
  </si>
  <si>
    <t>714.47</t>
  </si>
  <si>
    <t>35067.88</t>
  </si>
  <si>
    <t>23.08</t>
  </si>
  <si>
    <t>7429.41</t>
  </si>
  <si>
    <t>22068.97</t>
  </si>
  <si>
    <t>13891.89</t>
  </si>
  <si>
    <t>40827.31</t>
  </si>
  <si>
    <t>993.92</t>
  </si>
  <si>
    <t>235.28</t>
  </si>
  <si>
    <t>23.45</t>
  </si>
  <si>
    <t>508.88</t>
  </si>
  <si>
    <t>27477.79</t>
  </si>
  <si>
    <t>181.31</t>
  </si>
  <si>
    <t>10754.14</t>
  </si>
  <si>
    <t>26838.78</t>
  </si>
  <si>
    <t>10231.56</t>
  </si>
  <si>
    <t>28.02</t>
  </si>
  <si>
    <t>21763.99</t>
  </si>
  <si>
    <t>443.75</t>
  </si>
  <si>
    <t>18290.83</t>
  </si>
  <si>
    <t>29864.06</t>
  </si>
  <si>
    <t>12780.75</t>
  </si>
  <si>
    <t>25080.72</t>
  </si>
  <si>
    <t>19.15</t>
  </si>
  <si>
    <t>6664.77</t>
  </si>
  <si>
    <t>20000.79</t>
  </si>
  <si>
    <t>12849.5</t>
  </si>
  <si>
    <t>2844.7</t>
  </si>
  <si>
    <t>7.31</t>
  </si>
  <si>
    <t>996.55</t>
  </si>
  <si>
    <t>133.75</t>
  </si>
  <si>
    <t>17292.56</t>
  </si>
  <si>
    <t>73.01</t>
  </si>
  <si>
    <t>13178.81</t>
  </si>
  <si>
    <t>24081.28</t>
  </si>
  <si>
    <t>3152.26</t>
  </si>
  <si>
    <t>306.02</t>
  </si>
  <si>
    <t>11915.91</t>
  </si>
  <si>
    <t>44.1</t>
  </si>
  <si>
    <t>15479.51</t>
  </si>
  <si>
    <t>13608.35</t>
  </si>
  <si>
    <t>4063.07</t>
  </si>
  <si>
    <t>112.17</t>
  </si>
  <si>
    <t>10809.58</t>
  </si>
  <si>
    <t>22616.39</t>
  </si>
  <si>
    <t>9911.85</t>
  </si>
  <si>
    <t>89023.96</t>
  </si>
  <si>
    <t>3.47</t>
  </si>
  <si>
    <t>12.87</t>
  </si>
  <si>
    <t>9.04</t>
  </si>
  <si>
    <t>59811.61</t>
  </si>
  <si>
    <t>202.64</t>
  </si>
  <si>
    <t>550.3</t>
  </si>
  <si>
    <t>28418.97</t>
  </si>
  <si>
    <t>476.68</t>
  </si>
  <si>
    <t>1975.83</t>
  </si>
  <si>
    <t>8183.68</t>
  </si>
  <si>
    <t>35721.11</t>
  </si>
  <si>
    <t>2022.14</t>
  </si>
  <si>
    <t>79053.28</t>
  </si>
  <si>
    <t>357.22</t>
  </si>
  <si>
    <t>1709.55</t>
  </si>
  <si>
    <t>27244.83</t>
  </si>
  <si>
    <t>6619.05</t>
  </si>
  <si>
    <t>182111.35</t>
  </si>
  <si>
    <t>23.59</t>
  </si>
  <si>
    <t>143.33</t>
  </si>
  <si>
    <t>24.6</t>
  </si>
  <si>
    <t>126055.57</t>
  </si>
  <si>
    <t>418.48</t>
  </si>
  <si>
    <t>1370.55</t>
  </si>
  <si>
    <t>34236.34</t>
  </si>
  <si>
    <t>1344.65</t>
  </si>
  <si>
    <t>125371.46</t>
  </si>
  <si>
    <t>2169.78</t>
  </si>
  <si>
    <t>6724.71</t>
  </si>
  <si>
    <t>35787.88</t>
  </si>
  <si>
    <t>3607.11</t>
  </si>
  <si>
    <t>217301.7</t>
  </si>
  <si>
    <t>98.32</t>
  </si>
  <si>
    <t>960.41</t>
  </si>
  <si>
    <t>27634.82</t>
  </si>
  <si>
    <t>3325.19</t>
  </si>
  <si>
    <t>3495.54</t>
  </si>
  <si>
    <t>4.02</t>
  </si>
  <si>
    <t>0.46</t>
  </si>
  <si>
    <t>58060.36</t>
  </si>
  <si>
    <t>49.28</t>
  </si>
  <si>
    <t>486.07</t>
  </si>
  <si>
    <t>17472.23</t>
  </si>
  <si>
    <t>96444.26</t>
  </si>
  <si>
    <t>224.65</t>
  </si>
  <si>
    <t>5977.23</t>
  </si>
  <si>
    <t>22547.29</t>
  </si>
  <si>
    <t>4228.11</t>
  </si>
  <si>
    <t>56967.4</t>
  </si>
  <si>
    <t>43.27</t>
  </si>
  <si>
    <t>2165.77</t>
  </si>
  <si>
    <t>16724.35</t>
  </si>
  <si>
    <t>3309.74</t>
  </si>
  <si>
    <t>3623.44</t>
  </si>
  <si>
    <t>4.86</t>
  </si>
  <si>
    <t>13.2</t>
  </si>
  <si>
    <t>21802.01</t>
  </si>
  <si>
    <t>132.37</t>
  </si>
  <si>
    <t>292.78</t>
  </si>
  <si>
    <t>10443.23</t>
  </si>
  <si>
    <t>54.06</t>
  </si>
  <si>
    <t>37326.46</t>
  </si>
  <si>
    <t>1054.39</t>
  </si>
  <si>
    <t>2504.47</t>
  </si>
  <si>
    <t>21061.77</t>
  </si>
  <si>
    <t>163.29</t>
  </si>
  <si>
    <t>348.05</t>
  </si>
  <si>
    <t>9938.49</t>
  </si>
  <si>
    <t>404.88</t>
  </si>
  <si>
    <t>13609.05</t>
  </si>
  <si>
    <t>9.96</t>
  </si>
  <si>
    <t>106.24</t>
  </si>
  <si>
    <t>1.53</t>
  </si>
  <si>
    <t>57318.46</t>
  </si>
  <si>
    <t>618.29</t>
  </si>
  <si>
    <t>3489.98</t>
  </si>
  <si>
    <t>29906.6</t>
  </si>
  <si>
    <t>536.52</t>
  </si>
  <si>
    <t>75154.98</t>
  </si>
  <si>
    <t>1956.45</t>
  </si>
  <si>
    <t>13987.9</t>
  </si>
  <si>
    <t>35172.31</t>
  </si>
  <si>
    <t>1194.56</t>
  </si>
  <si>
    <t>52731.49</t>
  </si>
  <si>
    <t>132.28</t>
  </si>
  <si>
    <t>279.25</t>
  </si>
  <si>
    <t>13872.42</t>
  </si>
  <si>
    <t>302.33</t>
  </si>
  <si>
    <t>1477.46</t>
  </si>
  <si>
    <t>102.7</t>
  </si>
  <si>
    <t>10.54</t>
  </si>
  <si>
    <t>8749.98</t>
  </si>
  <si>
    <t>155.65</t>
  </si>
  <si>
    <t>2031.94</t>
  </si>
  <si>
    <t>23707.01</t>
  </si>
  <si>
    <t>155.05</t>
  </si>
  <si>
    <t>15969.49</t>
  </si>
  <si>
    <t>791.96</t>
  </si>
  <si>
    <t>11953.71</t>
  </si>
  <si>
    <t>23942.65</t>
  </si>
  <si>
    <t>2065.02</t>
  </si>
  <si>
    <t>19102.2</t>
  </si>
  <si>
    <t>124.89</t>
  </si>
  <si>
    <t>3586.62</t>
  </si>
  <si>
    <t>22680.65</t>
  </si>
  <si>
    <t>2931.23</t>
  </si>
  <si>
    <t>31869.38</t>
  </si>
  <si>
    <t>4.16</t>
  </si>
  <si>
    <t>13.55</t>
  </si>
  <si>
    <t>6.38</t>
  </si>
  <si>
    <t>1970.78</t>
  </si>
  <si>
    <t>4013.29</t>
  </si>
  <si>
    <t>30955.6</t>
  </si>
  <si>
    <t>2317.98</t>
  </si>
  <si>
    <t>105.69</t>
  </si>
  <si>
    <t>2045.37</t>
  </si>
  <si>
    <t>39.71</t>
  </si>
  <si>
    <t>2214.61</t>
  </si>
  <si>
    <t>8000.5</t>
  </si>
  <si>
    <t>364.09</t>
  </si>
  <si>
    <t>2629.26</t>
  </si>
  <si>
    <t>59.6</t>
  </si>
  <si>
    <t>5418.28</t>
  </si>
  <si>
    <t>10872.39</t>
  </si>
  <si>
    <t>1575.57</t>
  </si>
  <si>
    <t>1661.07</t>
  </si>
  <si>
    <t>5.01</t>
  </si>
  <si>
    <t>47.14</t>
  </si>
  <si>
    <t>617.13</t>
  </si>
  <si>
    <t>1999.41</t>
  </si>
  <si>
    <t>569.2</t>
  </si>
  <si>
    <t>4.13</t>
  </si>
  <si>
    <t>7591.52</t>
  </si>
  <si>
    <t>0.02</t>
  </si>
  <si>
    <t>1.2</t>
  </si>
  <si>
    <t>28733.07</t>
  </si>
  <si>
    <t>75.47</t>
  </si>
  <si>
    <t>4372.58</t>
  </si>
  <si>
    <t>29788.97</t>
  </si>
  <si>
    <t>5687.87</t>
  </si>
  <si>
    <t>180.79</t>
  </si>
  <si>
    <t>40449.74</t>
  </si>
  <si>
    <t>316.79</t>
  </si>
  <si>
    <t>29305.31</t>
  </si>
  <si>
    <t>35110.74</t>
  </si>
  <si>
    <t>92.9</t>
  </si>
  <si>
    <t>12038.79</t>
  </si>
  <si>
    <t>76.84</t>
  </si>
  <si>
    <t>36859.74</t>
  </si>
  <si>
    <t>3582.39</t>
  </si>
  <si>
    <t>30882.03</t>
  </si>
  <si>
    <t>14699.6</t>
  </si>
  <si>
    <t>148804.22</t>
  </si>
  <si>
    <t>1.33</t>
  </si>
  <si>
    <t>212.11</t>
  </si>
  <si>
    <t>30.27</t>
  </si>
  <si>
    <t>158537.76</t>
  </si>
  <si>
    <t>364.06</t>
  </si>
  <si>
    <t>12123.32</t>
  </si>
  <si>
    <t>37742.21</t>
  </si>
  <si>
    <t>83.7</t>
  </si>
  <si>
    <t>5674.1</t>
  </si>
  <si>
    <t>216362.9</t>
  </si>
  <si>
    <t>2374.45</t>
  </si>
  <si>
    <t>54404.31</t>
  </si>
  <si>
    <t>38402.76</t>
  </si>
  <si>
    <t>124.84</t>
  </si>
  <si>
    <t>15813.8</t>
  </si>
  <si>
    <t>134212.2</t>
  </si>
  <si>
    <t>79.05</t>
  </si>
  <si>
    <t>257.86</t>
  </si>
  <si>
    <t>4323.23</t>
  </si>
  <si>
    <t>32110.97</t>
  </si>
  <si>
    <t>86.75</t>
  </si>
  <si>
    <t>9852.91</t>
  </si>
  <si>
    <t>3554.7</t>
  </si>
  <si>
    <t>5.27</t>
  </si>
  <si>
    <t>0.74</t>
  </si>
  <si>
    <t>35202.69</t>
  </si>
  <si>
    <t>28.47</t>
  </si>
  <si>
    <t>3409.37</t>
  </si>
  <si>
    <t>28779.66</t>
  </si>
  <si>
    <t>3555.06</t>
  </si>
  <si>
    <t>42536.04</t>
  </si>
  <si>
    <t>59.74</t>
  </si>
  <si>
    <t>12211.59</t>
  </si>
  <si>
    <t>31981.71</t>
  </si>
  <si>
    <t>9859.97</t>
  </si>
  <si>
    <t>26211.48</t>
  </si>
  <si>
    <t>5.24</t>
  </si>
  <si>
    <t>329.18</t>
  </si>
  <si>
    <t>19741.17</t>
  </si>
  <si>
    <t>3443.75</t>
  </si>
  <si>
    <t>105896.47</t>
  </si>
  <si>
    <t>6.48</t>
  </si>
  <si>
    <t>86888.02</t>
  </si>
  <si>
    <t>417.57</t>
  </si>
  <si>
    <t>2909.15</t>
  </si>
  <si>
    <t>26257.32</t>
  </si>
  <si>
    <t>1075.3</t>
  </si>
  <si>
    <t>66.58</t>
  </si>
  <si>
    <t>99634.87</t>
  </si>
  <si>
    <t>4055.68</t>
  </si>
  <si>
    <t>18875.52</t>
  </si>
  <si>
    <t>32011.06</t>
  </si>
  <si>
    <t>2711.12</t>
  </si>
  <si>
    <t>132.29</t>
  </si>
  <si>
    <t>118248.57</t>
  </si>
  <si>
    <t>187.81</t>
  </si>
  <si>
    <t>4613.82</t>
  </si>
  <si>
    <t>16869.67</t>
  </si>
  <si>
    <t>6954.47</t>
  </si>
  <si>
    <t>273793.45</t>
  </si>
  <si>
    <t>125542.01</t>
  </si>
  <si>
    <t>1649.69</t>
  </si>
  <si>
    <t>35409.85</t>
  </si>
  <si>
    <t>5774.31</t>
  </si>
  <si>
    <t>1835.16</t>
  </si>
  <si>
    <t>59.09</t>
  </si>
  <si>
    <t>9769.52</t>
  </si>
  <si>
    <t>73.65</t>
  </si>
  <si>
    <t>13006.2</t>
  </si>
  <si>
    <t>24395.59</t>
  </si>
  <si>
    <t>3162.13</t>
  </si>
  <si>
    <t>10216.37</t>
  </si>
  <si>
    <t>294.06</t>
  </si>
  <si>
    <t>26227.83</t>
  </si>
  <si>
    <t>25095.21</t>
  </si>
  <si>
    <t>9263.23</t>
  </si>
  <si>
    <t>10713.68</t>
  </si>
  <si>
    <t>170.17</t>
  </si>
  <si>
    <t>11243.14</t>
  </si>
  <si>
    <t>22415.56</t>
  </si>
  <si>
    <t>9839.98</t>
  </si>
  <si>
    <t>22756.99</t>
  </si>
  <si>
    <t>0.37</t>
  </si>
  <si>
    <t>158.65</t>
  </si>
  <si>
    <t>83.41</t>
  </si>
  <si>
    <t>40582.6</t>
  </si>
  <si>
    <t>581.54</t>
  </si>
  <si>
    <t>8263.68</t>
  </si>
  <si>
    <t>24095.29</t>
  </si>
  <si>
    <t>1721.16</t>
  </si>
  <si>
    <t>290.22</t>
  </si>
  <si>
    <t>39316.37</t>
  </si>
  <si>
    <t>1617.16</t>
  </si>
  <si>
    <t>37065.73</t>
  </si>
  <si>
    <t>29277.22</t>
  </si>
  <si>
    <t>4106.45</t>
  </si>
  <si>
    <t>234.04</t>
  </si>
  <si>
    <t>45027.27</t>
  </si>
  <si>
    <t>315.09</t>
  </si>
  <si>
    <t>8568.02</t>
  </si>
  <si>
    <t>22312.41</t>
  </si>
  <si>
    <t>10619.45</t>
  </si>
  <si>
    <t>45874.11</t>
  </si>
  <si>
    <t>90.51</t>
  </si>
  <si>
    <t>288.03</t>
  </si>
  <si>
    <t>83.5</t>
  </si>
  <si>
    <t>18896.99</t>
  </si>
  <si>
    <t>425.74</t>
  </si>
  <si>
    <t>7579.13</t>
  </si>
  <si>
    <t>25473.57</t>
  </si>
  <si>
    <t>6696.67</t>
  </si>
  <si>
    <t>14268.14</t>
  </si>
  <si>
    <t>471.93</t>
  </si>
  <si>
    <t>18312.18</t>
  </si>
  <si>
    <t>25627.01</t>
  </si>
  <si>
    <t>7868.87</t>
  </si>
  <si>
    <t>64186.08</t>
  </si>
  <si>
    <t>264.18</t>
  </si>
  <si>
    <t>5279.17</t>
  </si>
  <si>
    <t>22522.64</t>
  </si>
  <si>
    <t>2777.77</t>
  </si>
  <si>
    <t>19.67</t>
  </si>
  <si>
    <t>1061.09</t>
  </si>
  <si>
    <t>19605.07</t>
  </si>
  <si>
    <t>410.31</t>
  </si>
  <si>
    <t>747.37</t>
  </si>
  <si>
    <t>8993.73</t>
  </si>
  <si>
    <t>100.51</t>
  </si>
  <si>
    <t>26183.66</t>
  </si>
  <si>
    <t>26112.62</t>
  </si>
  <si>
    <t>3383.91</t>
  </si>
  <si>
    <t>910.68</t>
  </si>
  <si>
    <t>9917.19</t>
  </si>
  <si>
    <t>173.21</t>
  </si>
  <si>
    <t>31497.27</t>
  </si>
  <si>
    <t>22968.41</t>
  </si>
  <si>
    <t>6218.39</t>
  </si>
  <si>
    <t>402.81</t>
  </si>
  <si>
    <t>10223.92</t>
  </si>
  <si>
    <t>14.54</t>
  </si>
  <si>
    <t>10784.24</t>
  </si>
  <si>
    <t>20660.62</t>
  </si>
  <si>
    <t>6316.17</t>
  </si>
  <si>
    <t>19148.03</t>
  </si>
  <si>
    <t>1.5</t>
  </si>
  <si>
    <t>15.57</t>
  </si>
  <si>
    <t>23704.86</t>
  </si>
  <si>
    <t>96.79</t>
  </si>
  <si>
    <t>2047.09</t>
  </si>
  <si>
    <t>12847.47</t>
  </si>
  <si>
    <t>403.18</t>
  </si>
  <si>
    <t>21738.67</t>
  </si>
  <si>
    <t>552.82</t>
  </si>
  <si>
    <t>9851.22</t>
  </si>
  <si>
    <t>18691.05</t>
  </si>
  <si>
    <t>1010.31</t>
  </si>
  <si>
    <t>24294.52</t>
  </si>
  <si>
    <t>348.02</t>
  </si>
  <si>
    <t>4871.9</t>
  </si>
  <si>
    <t>13391.72</t>
  </si>
  <si>
    <t>4513.91</t>
  </si>
  <si>
    <t>143737.11</t>
  </si>
  <si>
    <t>25.98</t>
  </si>
  <si>
    <t>804.03</t>
  </si>
  <si>
    <t>111.91</t>
  </si>
  <si>
    <t>95016.25</t>
  </si>
  <si>
    <t>2016.22</t>
  </si>
  <si>
    <t>21735.44</t>
  </si>
  <si>
    <t>34446.27</t>
  </si>
  <si>
    <t>9621.72</t>
  </si>
  <si>
    <t>73721.46</t>
  </si>
  <si>
    <t>157.13</t>
  </si>
  <si>
    <t>62202.33</t>
  </si>
  <si>
    <t>36352.48</t>
  </si>
  <si>
    <t>108.63</t>
  </si>
  <si>
    <t>16571.5</t>
  </si>
  <si>
    <t>36.72</t>
  </si>
  <si>
    <t>131081.64</t>
  </si>
  <si>
    <t>395.96</t>
  </si>
  <si>
    <t>2537.76</t>
  </si>
  <si>
    <t>26559.96</t>
  </si>
  <si>
    <t>8317.58</t>
  </si>
  <si>
    <t>1239.55</t>
  </si>
  <si>
    <t>10.83</t>
  </si>
  <si>
    <t>1330.65</t>
  </si>
  <si>
    <t>98.25</t>
  </si>
  <si>
    <t>7324.78</t>
  </si>
  <si>
    <t>68.05</t>
  </si>
  <si>
    <t>8254.01</t>
  </si>
  <si>
    <t>23280.5</t>
  </si>
  <si>
    <t>1220.19</t>
  </si>
  <si>
    <t>361.87</t>
  </si>
  <si>
    <t>6334.89</t>
  </si>
  <si>
    <t>105.64</t>
  </si>
  <si>
    <t>15931.87</t>
  </si>
  <si>
    <t>19993.82</t>
  </si>
  <si>
    <t>3579.31</t>
  </si>
  <si>
    <t>5745.26</t>
  </si>
  <si>
    <t>6.88</t>
  </si>
  <si>
    <t>7398.33</t>
  </si>
  <si>
    <t>11224.68</t>
  </si>
  <si>
    <t>2703.69</t>
  </si>
  <si>
    <t>3.43</t>
  </si>
  <si>
    <t>5767.65</t>
  </si>
  <si>
    <t>7.23</t>
  </si>
  <si>
    <t>2954.68</t>
  </si>
  <si>
    <t>16.05</t>
  </si>
  <si>
    <t>726.8</t>
  </si>
  <si>
    <t>4869.01</t>
  </si>
  <si>
    <t>98.98</t>
  </si>
  <si>
    <t>97.28</t>
  </si>
  <si>
    <t>5463.34</t>
  </si>
  <si>
    <t>10227.42</t>
  </si>
  <si>
    <t>437.78</t>
  </si>
  <si>
    <t>11899.36</t>
  </si>
  <si>
    <t>5.45</t>
  </si>
  <si>
    <t>1270.01</t>
  </si>
  <si>
    <t>3947.08</t>
  </si>
  <si>
    <t>1916.65</t>
  </si>
  <si>
    <t>685.16</t>
  </si>
  <si>
    <t>197.84</t>
  </si>
  <si>
    <t>37408.22</t>
  </si>
  <si>
    <t>402.8</t>
  </si>
  <si>
    <t>17908.74</t>
  </si>
  <si>
    <t>33215.88</t>
  </si>
  <si>
    <t>12864.97</t>
  </si>
  <si>
    <t>32063.23</t>
  </si>
  <si>
    <t>812.68</t>
  </si>
  <si>
    <t>46992.12</t>
  </si>
  <si>
    <t>35691.63</t>
  </si>
  <si>
    <t>17306.37</t>
  </si>
  <si>
    <t>99135.18</t>
  </si>
  <si>
    <t>62.63</t>
  </si>
  <si>
    <t>6931.4</t>
  </si>
  <si>
    <t>26099.36</t>
  </si>
  <si>
    <t>18620.24</t>
  </si>
  <si>
    <t>1249.21</t>
  </si>
  <si>
    <t>109.09</t>
  </si>
  <si>
    <t>2372.39</t>
  </si>
  <si>
    <t>2233.67</t>
  </si>
  <si>
    <t>15651.65</t>
  </si>
  <si>
    <t>250.89</t>
  </si>
  <si>
    <t>283.27</t>
  </si>
  <si>
    <t>3214.26</t>
  </si>
  <si>
    <t>30.17</t>
  </si>
  <si>
    <t>8996.81</t>
  </si>
  <si>
    <t>17428.69</t>
  </si>
  <si>
    <t>1404.91</t>
  </si>
  <si>
    <t>533.73</t>
  </si>
  <si>
    <t>4235.89</t>
  </si>
  <si>
    <t>2.99</t>
  </si>
  <si>
    <t>4264.75</t>
  </si>
  <si>
    <t>12001.37</t>
  </si>
  <si>
    <t>1550.72</t>
  </si>
  <si>
    <t>19587.59</t>
  </si>
  <si>
    <t>59.08</t>
  </si>
  <si>
    <t>14614.98</t>
  </si>
  <si>
    <t>124.3</t>
  </si>
  <si>
    <t>2896.16</t>
  </si>
  <si>
    <t>15047.9</t>
  </si>
  <si>
    <t>842.96</t>
  </si>
  <si>
    <t>74.25</t>
  </si>
  <si>
    <t>15492.35</t>
  </si>
  <si>
    <t>659.83</t>
  </si>
  <si>
    <t>16175.55</t>
  </si>
  <si>
    <t>21311.71</t>
  </si>
  <si>
    <t>2573.81</t>
  </si>
  <si>
    <t>29281.73</t>
  </si>
  <si>
    <t>39.97</t>
  </si>
  <si>
    <t>4534.07</t>
  </si>
  <si>
    <t>13562.96</t>
  </si>
  <si>
    <t>7192.25</t>
  </si>
  <si>
    <t>109363.87</t>
  </si>
  <si>
    <t>17.78</t>
  </si>
  <si>
    <t>2340.68</t>
  </si>
  <si>
    <t>158.23</t>
  </si>
  <si>
    <t>105625.41</t>
  </si>
  <si>
    <t>1056.65</t>
  </si>
  <si>
    <t>14318.25</t>
  </si>
  <si>
    <t>35465.49</t>
  </si>
  <si>
    <t>8981.81</t>
  </si>
  <si>
    <t>60.32</t>
  </si>
  <si>
    <t>91901.28</t>
  </si>
  <si>
    <t>1041.77</t>
  </si>
  <si>
    <t>55062.87</t>
  </si>
  <si>
    <t>36719.85</t>
  </si>
  <si>
    <t>17028.48</t>
  </si>
  <si>
    <t>163997.29</t>
  </si>
  <si>
    <t>236.07</t>
  </si>
  <si>
    <t>8196.17</t>
  </si>
  <si>
    <t>30709.26</t>
  </si>
  <si>
    <t>12370.97</t>
  </si>
  <si>
    <t>952.34</t>
  </si>
  <si>
    <t>13.4</t>
  </si>
  <si>
    <t>116.13</t>
  </si>
  <si>
    <t>1482.64</t>
  </si>
  <si>
    <t>5.09</t>
  </si>
  <si>
    <t>148.58</t>
  </si>
  <si>
    <t>2817.44</t>
  </si>
  <si>
    <t>13.52</t>
  </si>
  <si>
    <t>50.15</t>
  </si>
  <si>
    <t>7549.36</t>
  </si>
  <si>
    <t>18875.44</t>
  </si>
  <si>
    <t>1718.54</t>
  </si>
  <si>
    <t>427.5</t>
  </si>
  <si>
    <t>3644.16</t>
  </si>
  <si>
    <t>82.67</t>
  </si>
  <si>
    <t>66.55</t>
  </si>
  <si>
    <t>14749.05</t>
  </si>
  <si>
    <t>19071.5</t>
  </si>
  <si>
    <t>6208.47</t>
  </si>
  <si>
    <t>230.73</t>
  </si>
  <si>
    <t>3972.46</t>
  </si>
  <si>
    <t>11753.69</t>
  </si>
  <si>
    <t>13726.98</t>
  </si>
  <si>
    <t>7039.02</t>
  </si>
  <si>
    <t>13256.15</t>
  </si>
  <si>
    <t>44.96</t>
  </si>
  <si>
    <t>1.97</t>
  </si>
  <si>
    <t>12844.06</t>
  </si>
  <si>
    <t>27.15</t>
  </si>
  <si>
    <t>171.4</t>
  </si>
  <si>
    <t>10180.55</t>
  </si>
  <si>
    <t>414.74</t>
  </si>
  <si>
    <t>20836.38</t>
  </si>
  <si>
    <t>884.79</t>
  </si>
  <si>
    <t>135.35</t>
  </si>
  <si>
    <t>7838.24</t>
  </si>
  <si>
    <t>28822.12</t>
  </si>
  <si>
    <t>2587.78</t>
  </si>
  <si>
    <t>28949.82</t>
  </si>
  <si>
    <t>278.1</t>
  </si>
  <si>
    <t>163.16</t>
  </si>
  <si>
    <t>2465.12</t>
  </si>
  <si>
    <t>21724.42</t>
  </si>
  <si>
    <t>11091.63</t>
  </si>
  <si>
    <t>76375.48</t>
  </si>
  <si>
    <t>0.85</t>
  </si>
  <si>
    <t>77.94</t>
  </si>
  <si>
    <t>460.18</t>
  </si>
  <si>
    <t>60.44</t>
  </si>
  <si>
    <t>68956.25</t>
  </si>
  <si>
    <t>657.94</t>
  </si>
  <si>
    <t>3531.27</t>
  </si>
  <si>
    <t>33144.87</t>
  </si>
  <si>
    <t>7009.17</t>
  </si>
  <si>
    <t>52.99</t>
  </si>
  <si>
    <t>79971.4</t>
  </si>
  <si>
    <t>1968.02</t>
  </si>
  <si>
    <t>286.26</t>
  </si>
  <si>
    <t>37629.28</t>
  </si>
  <si>
    <t>35844.6</t>
  </si>
  <si>
    <t>19063.22</t>
  </si>
  <si>
    <t>76644.97</t>
  </si>
  <si>
    <t>905.38</t>
  </si>
  <si>
    <t>192.24</t>
  </si>
  <si>
    <t>5689.11</t>
  </si>
  <si>
    <t>35059.22</t>
  </si>
  <si>
    <t>16036.23</t>
  </si>
  <si>
    <t>5465.97</t>
  </si>
  <si>
    <t>35.03</t>
  </si>
  <si>
    <t>5.03</t>
  </si>
  <si>
    <t>586.03</t>
  </si>
  <si>
    <t>30839.36</t>
  </si>
  <si>
    <t>236.27</t>
  </si>
  <si>
    <t>9859.04</t>
  </si>
  <si>
    <t>27512.91</t>
  </si>
  <si>
    <t>1780.2</t>
  </si>
  <si>
    <t>25532.28</t>
  </si>
  <si>
    <t>429.27</t>
  </si>
  <si>
    <t>184.86</t>
  </si>
  <si>
    <t>34059.91</t>
  </si>
  <si>
    <t>26455.11</t>
  </si>
  <si>
    <t>7761.5</t>
  </si>
  <si>
    <t>24706.07</t>
  </si>
  <si>
    <t>90.02</t>
  </si>
  <si>
    <t>177.55</t>
  </si>
  <si>
    <t>11144.84</t>
  </si>
  <si>
    <t>22790.21</t>
  </si>
  <si>
    <t>7193.22</t>
  </si>
  <si>
    <t>49719.62</t>
  </si>
  <si>
    <t>72.27</t>
  </si>
  <si>
    <t>3.17</t>
  </si>
  <si>
    <t>33904.4</t>
  </si>
  <si>
    <t>54.35</t>
  </si>
  <si>
    <t>78.11</t>
  </si>
  <si>
    <t>326.54</t>
  </si>
  <si>
    <t>7929.26</t>
  </si>
  <si>
    <t>349.02</t>
  </si>
  <si>
    <t>45685.89</t>
  </si>
  <si>
    <t>552.46</t>
  </si>
  <si>
    <t>108.93</t>
  </si>
  <si>
    <t>2985.51</t>
  </si>
  <si>
    <t>18201.97</t>
  </si>
  <si>
    <t>696.39</t>
  </si>
  <si>
    <t>166.81</t>
  </si>
  <si>
    <t>57623.6</t>
  </si>
  <si>
    <t>56.61</t>
  </si>
  <si>
    <t>170.31</t>
  </si>
  <si>
    <t>1090.55</t>
  </si>
  <si>
    <t>5036.44</t>
  </si>
  <si>
    <t>5121.53</t>
  </si>
  <si>
    <t>107300.23</t>
  </si>
  <si>
    <t>0.5</t>
  </si>
  <si>
    <t>32.91</t>
  </si>
  <si>
    <t>42.03</t>
  </si>
  <si>
    <t>69075.29</t>
  </si>
  <si>
    <t>2167.4</t>
  </si>
  <si>
    <t>199.7</t>
  </si>
  <si>
    <t>11704.47</t>
  </si>
  <si>
    <t>31476.73</t>
  </si>
  <si>
    <t>6077.66</t>
  </si>
  <si>
    <t>57078.84</t>
  </si>
  <si>
    <t>2791.35</t>
  </si>
  <si>
    <t>46700.28</t>
  </si>
  <si>
    <t>34712.66</t>
  </si>
  <si>
    <t>11446.02</t>
  </si>
  <si>
    <t>264766.46</t>
  </si>
  <si>
    <t>81.89</t>
  </si>
  <si>
    <t>214.84</t>
  </si>
  <si>
    <t>3354.77</t>
  </si>
  <si>
    <t>8324.1</t>
  </si>
  <si>
    <t>7935.77</t>
  </si>
  <si>
    <t>586.43</t>
  </si>
  <si>
    <t>0.18</t>
  </si>
  <si>
    <t>17716.32</t>
  </si>
  <si>
    <t>159.7</t>
  </si>
  <si>
    <t>60.96</t>
  </si>
  <si>
    <t>15095.65</t>
  </si>
  <si>
    <t>17533.8</t>
  </si>
  <si>
    <t>153.73</t>
  </si>
  <si>
    <t>91.44</t>
  </si>
  <si>
    <t>18665.3</t>
  </si>
  <si>
    <t>117.78</t>
  </si>
  <si>
    <t>96.29</t>
  </si>
  <si>
    <t>34674.32</t>
  </si>
  <si>
    <t>19476.89</t>
  </si>
  <si>
    <t>2103.15</t>
  </si>
  <si>
    <t>107.95</t>
  </si>
  <si>
    <t>15087.88</t>
  </si>
  <si>
    <t>20.95</t>
  </si>
  <si>
    <t>10084.69</t>
  </si>
  <si>
    <t>11875.52</t>
  </si>
  <si>
    <t>3643.38</t>
  </si>
  <si>
    <t>102.56</t>
  </si>
  <si>
    <t>10.93</t>
  </si>
  <si>
    <t>11.76</t>
  </si>
  <si>
    <t>36930.4</t>
  </si>
  <si>
    <t>867.87</t>
  </si>
  <si>
    <t>12889.36</t>
  </si>
  <si>
    <t>644.11</t>
  </si>
  <si>
    <t>84.74</t>
  </si>
  <si>
    <t>35933.38</t>
  </si>
  <si>
    <t>940.86</t>
  </si>
  <si>
    <t>128.61</t>
  </si>
  <si>
    <t>4678.69</t>
  </si>
  <si>
    <t>20177.32</t>
  </si>
  <si>
    <t>1058.71</t>
  </si>
  <si>
    <t>38329.65</t>
  </si>
  <si>
    <t>211.81</t>
  </si>
  <si>
    <t>3571.28</t>
  </si>
  <si>
    <t>11931.78</t>
  </si>
  <si>
    <t>6557.68</t>
  </si>
  <si>
    <t>100866.7</t>
  </si>
  <si>
    <t>486.67</t>
  </si>
  <si>
    <t>356.93</t>
  </si>
  <si>
    <t>209.16</t>
  </si>
  <si>
    <t>52600.28</t>
  </si>
  <si>
    <t>1313.63</t>
  </si>
  <si>
    <t>19764.23</t>
  </si>
  <si>
    <t>30851.04</t>
  </si>
  <si>
    <t>11605.07</t>
  </si>
  <si>
    <t>37051.83</t>
  </si>
  <si>
    <t>2094.71</t>
  </si>
  <si>
    <t>207.23</t>
  </si>
  <si>
    <t>36675.47</t>
  </si>
  <si>
    <t>33352.88</t>
  </si>
  <si>
    <t>17331.01</t>
  </si>
  <si>
    <t>136150.08</t>
  </si>
  <si>
    <t>186.4</t>
  </si>
  <si>
    <t>7659.88</t>
  </si>
  <si>
    <t>20256.8</t>
  </si>
  <si>
    <t>11805.33</t>
  </si>
  <si>
    <t>0.43</t>
  </si>
  <si>
    <t>1676.17</t>
  </si>
  <si>
    <t>6.47</t>
  </si>
  <si>
    <t>86.86</t>
  </si>
  <si>
    <t>4594.9</t>
  </si>
  <si>
    <t>119.27</t>
  </si>
  <si>
    <t>9510.52</t>
  </si>
  <si>
    <t>115.26</t>
  </si>
  <si>
    <t>9631.03</t>
  </si>
  <si>
    <t>23739.25</t>
  </si>
  <si>
    <t>1565.92</t>
  </si>
  <si>
    <t>950.51</t>
  </si>
  <si>
    <t>9251.88</t>
  </si>
  <si>
    <t>158.62</t>
  </si>
  <si>
    <t>19885.73</t>
  </si>
  <si>
    <t>19118.1</t>
  </si>
  <si>
    <t>5664.65</t>
  </si>
  <si>
    <t>742.96</t>
  </si>
  <si>
    <t>6863.53</t>
  </si>
  <si>
    <t>3.21</t>
  </si>
  <si>
    <t>9758.88</t>
  </si>
  <si>
    <t>11914.53</t>
  </si>
  <si>
    <t>5281.28</t>
  </si>
  <si>
    <t>46878.92</t>
  </si>
  <si>
    <t>3.25</t>
  </si>
  <si>
    <t>109.35</t>
  </si>
  <si>
    <t>43703.56</t>
  </si>
  <si>
    <t>208.63</t>
  </si>
  <si>
    <t>4645.86</t>
  </si>
  <si>
    <t>25810.56</t>
  </si>
  <si>
    <t>1235.65</t>
  </si>
  <si>
    <t>1221.45</t>
  </si>
  <si>
    <t>31228.23</t>
  </si>
  <si>
    <t>31527.7</t>
  </si>
  <si>
    <t>4226.61</t>
  </si>
  <si>
    <t>15525.72</t>
  </si>
  <si>
    <t>61190.34</t>
  </si>
  <si>
    <t>238.06</t>
  </si>
  <si>
    <t>15373.64</t>
  </si>
  <si>
    <t>23571.35</t>
  </si>
  <si>
    <t>118.3</t>
  </si>
  <si>
    <t>23952.04</t>
  </si>
  <si>
    <t>158478.58</t>
  </si>
  <si>
    <t>121.95</t>
  </si>
  <si>
    <t>72.1</t>
  </si>
  <si>
    <t>720.6</t>
  </si>
  <si>
    <t>77.23</t>
  </si>
  <si>
    <t>80638.67</t>
  </si>
  <si>
    <t>1000.65</t>
  </si>
  <si>
    <t>21838.76</t>
  </si>
  <si>
    <t>35763.8</t>
  </si>
  <si>
    <t>8168.84</t>
  </si>
  <si>
    <t>73785.9</t>
  </si>
  <si>
    <t>2755.52</t>
  </si>
  <si>
    <t>253.87</t>
  </si>
  <si>
    <t>83618.04</t>
  </si>
  <si>
    <t>38029.28</t>
  </si>
  <si>
    <t>111.84</t>
  </si>
  <si>
    <t>18266.49</t>
  </si>
  <si>
    <t>118919.86</t>
  </si>
  <si>
    <t>269.18</t>
  </si>
  <si>
    <t>27198.13</t>
  </si>
  <si>
    <t>102.28</t>
  </si>
  <si>
    <t>14946.07</t>
  </si>
  <si>
    <t>7.19</t>
  </si>
  <si>
    <t>4145.7</t>
  </si>
  <si>
    <t>401.53</t>
  </si>
  <si>
    <t>27492.5</t>
  </si>
  <si>
    <t>321.62</t>
  </si>
  <si>
    <t>3248.4</t>
  </si>
  <si>
    <t>16595.8</t>
  </si>
  <si>
    <t>91.76</t>
  </si>
  <si>
    <t>14372.44</t>
  </si>
  <si>
    <t>29355.17</t>
  </si>
  <si>
    <t>3108.97</t>
  </si>
  <si>
    <t>21187.34</t>
  </si>
  <si>
    <t>23093.79</t>
  </si>
  <si>
    <t>1023.1</t>
  </si>
  <si>
    <t>37061.77</t>
  </si>
  <si>
    <t>27763.84</t>
  </si>
  <si>
    <t>15163.88</t>
  </si>
  <si>
    <t>30537.21</t>
  </si>
  <si>
    <t>21230.91</t>
  </si>
  <si>
    <t>8.7</t>
  </si>
  <si>
    <t>32039.24</t>
  </si>
  <si>
    <t>27767.94</t>
  </si>
  <si>
    <t>18156.5</t>
  </si>
  <si>
    <t>9431.06</t>
  </si>
  <si>
    <t>25.77</t>
  </si>
  <si>
    <t>0.64</t>
  </si>
  <si>
    <t>1.45</t>
  </si>
  <si>
    <t>32338.24</t>
  </si>
  <si>
    <t>104.91</t>
  </si>
  <si>
    <t>438.16</t>
  </si>
  <si>
    <t>13253.47</t>
  </si>
  <si>
    <t>251.19</t>
  </si>
  <si>
    <t>54168.56</t>
  </si>
  <si>
    <t>1471.25</t>
  </si>
  <si>
    <t>149.09</t>
  </si>
  <si>
    <t>7342.63</t>
  </si>
  <si>
    <t>26106.65</t>
  </si>
  <si>
    <t>1351.41</t>
  </si>
  <si>
    <t>34.5</t>
  </si>
  <si>
    <t>99980.31</t>
  </si>
  <si>
    <t>38.29</t>
  </si>
  <si>
    <t>142.17</t>
  </si>
  <si>
    <t>705.24</t>
  </si>
  <si>
    <t>6757.89</t>
  </si>
  <si>
    <t>2205.3</t>
  </si>
  <si>
    <t>109328.46</t>
  </si>
  <si>
    <t>1559.7</t>
  </si>
  <si>
    <t>6773.45</t>
  </si>
  <si>
    <t>34337.42</t>
  </si>
  <si>
    <t>5230.79</t>
  </si>
  <si>
    <t>70482.26</t>
  </si>
  <si>
    <t>84.06</t>
  </si>
  <si>
    <t>14.51</t>
  </si>
  <si>
    <t>11.2</t>
  </si>
  <si>
    <t>57.86</t>
  </si>
  <si>
    <t>115805.06</t>
  </si>
  <si>
    <t>11323.82</t>
  </si>
  <si>
    <t>311.2</t>
  </si>
  <si>
    <t>49920.46</t>
  </si>
  <si>
    <t>38138.32</t>
  </si>
  <si>
    <t>115.06</t>
  </si>
  <si>
    <t>16964.32</t>
  </si>
  <si>
    <t>153957.79</t>
  </si>
  <si>
    <t>33.7</t>
  </si>
  <si>
    <t>1049.89</t>
  </si>
  <si>
    <t>11552.21</t>
  </si>
  <si>
    <t>4104.97</t>
  </si>
  <si>
    <t>483.62</t>
  </si>
  <si>
    <t>1.38</t>
  </si>
  <si>
    <t>17.29</t>
  </si>
  <si>
    <t>300.78</t>
  </si>
  <si>
    <t>5.2</t>
  </si>
  <si>
    <t>7384.69</t>
  </si>
  <si>
    <t>201.92</t>
  </si>
  <si>
    <t>1690.31</t>
  </si>
  <si>
    <t>25181.72</t>
  </si>
  <si>
    <t>916.49</t>
  </si>
  <si>
    <t>8608.91</t>
  </si>
  <si>
    <t>288.34</t>
  </si>
  <si>
    <t>26491.64</t>
  </si>
  <si>
    <t>27372.94</t>
  </si>
  <si>
    <t>7172.75</t>
  </si>
  <si>
    <t>5731.28</t>
  </si>
  <si>
    <t>37.77</t>
  </si>
  <si>
    <t>1918.48</t>
  </si>
  <si>
    <t>20832.85</t>
  </si>
  <si>
    <t>7590.45</t>
  </si>
  <si>
    <t>10991.22</t>
  </si>
  <si>
    <t>55.49</t>
  </si>
  <si>
    <t>0.38</t>
  </si>
  <si>
    <t>22921.59</t>
  </si>
  <si>
    <t>119.38</t>
  </si>
  <si>
    <t>574.4</t>
  </si>
  <si>
    <t>14194.55</t>
  </si>
  <si>
    <t>161.69</t>
  </si>
  <si>
    <t>23.85</t>
  </si>
  <si>
    <t>33058.08</t>
  </si>
  <si>
    <t>1011.23</t>
  </si>
  <si>
    <t>5830.01</t>
  </si>
  <si>
    <t>23358.85</t>
  </si>
  <si>
    <t>397.1</t>
  </si>
  <si>
    <t>46827.49</t>
  </si>
  <si>
    <t>268.16</t>
  </si>
  <si>
    <t>2869.81</t>
  </si>
  <si>
    <t>13259.2</t>
  </si>
  <si>
    <t>5058.79</t>
  </si>
  <si>
    <t>30113.97</t>
  </si>
  <si>
    <t>31.34</t>
  </si>
  <si>
    <t>47709.94</t>
  </si>
  <si>
    <t>669.69</t>
  </si>
  <si>
    <t>5231.78</t>
  </si>
  <si>
    <t>32689.25</t>
  </si>
  <si>
    <t>3886.59</t>
  </si>
  <si>
    <t>36688.7</t>
  </si>
  <si>
    <t>1515.99</t>
  </si>
  <si>
    <t>29852.2</t>
  </si>
  <si>
    <t>36667.14</t>
  </si>
  <si>
    <t>11203.82</t>
  </si>
  <si>
    <t>83627.91</t>
  </si>
  <si>
    <t>119.8</t>
  </si>
  <si>
    <t>1831.66</t>
  </si>
  <si>
    <t>14569.56</t>
  </si>
  <si>
    <t>6956.38</t>
  </si>
  <si>
    <t>77.52</t>
  </si>
  <si>
    <t>9670.56</t>
  </si>
  <si>
    <t>108.52</t>
  </si>
  <si>
    <t>506.08</t>
  </si>
  <si>
    <t>20624.61</t>
  </si>
  <si>
    <t>90.35</t>
  </si>
  <si>
    <t>30.15</t>
  </si>
  <si>
    <t>24454.27</t>
  </si>
  <si>
    <t>751.92</t>
  </si>
  <si>
    <t>5676.03</t>
  </si>
  <si>
    <t>25533.19</t>
  </si>
  <si>
    <t>1909.58</t>
  </si>
  <si>
    <t>14263.49</t>
  </si>
  <si>
    <t>80.74</t>
  </si>
  <si>
    <t>2032.32</t>
  </si>
  <si>
    <t>11101.84</t>
  </si>
  <si>
    <t>1871.68</t>
  </si>
  <si>
    <t>62.81</t>
  </si>
  <si>
    <t>34467.3</t>
  </si>
  <si>
    <t>336.67</t>
  </si>
  <si>
    <t>2.6</t>
  </si>
  <si>
    <t>9.97</t>
  </si>
  <si>
    <t>34203.53</t>
  </si>
  <si>
    <t>223.77</t>
  </si>
  <si>
    <t>2489.62</t>
  </si>
  <si>
    <t>13420.03</t>
  </si>
  <si>
    <t>351.3</t>
  </si>
  <si>
    <t>204.61</t>
  </si>
  <si>
    <t>26710.32</t>
  </si>
  <si>
    <t>1118.93</t>
  </si>
  <si>
    <t>12866.47</t>
  </si>
  <si>
    <t>22410.03</t>
  </si>
  <si>
    <t>1362.06</t>
  </si>
  <si>
    <t>247.41</t>
  </si>
  <si>
    <t>24565.92</t>
  </si>
  <si>
    <t>606.64</t>
  </si>
  <si>
    <t>21007.73</t>
  </si>
  <si>
    <t>19936.31</t>
  </si>
  <si>
    <t>4736.5</t>
  </si>
  <si>
    <t>83979.69</t>
  </si>
  <si>
    <t>0.62</t>
  </si>
  <si>
    <t>13.59</t>
  </si>
  <si>
    <t>13.18</t>
  </si>
  <si>
    <t>71013.53</t>
  </si>
  <si>
    <t>1438.89</t>
  </si>
  <si>
    <t>6012.75</t>
  </si>
  <si>
    <t>30477.51</t>
  </si>
  <si>
    <t>4690.96</t>
  </si>
  <si>
    <t>263.18</t>
  </si>
  <si>
    <t>349.06</t>
  </si>
  <si>
    <t>4228.55</t>
  </si>
  <si>
    <t>21.18</t>
  </si>
  <si>
    <t>4491.47</t>
  </si>
  <si>
    <t>15996.91</t>
  </si>
  <si>
    <t>1225.8</t>
  </si>
  <si>
    <t>503.64</t>
  </si>
  <si>
    <t>6343.68</t>
  </si>
  <si>
    <t>141.96</t>
  </si>
  <si>
    <t>8719.5</t>
  </si>
  <si>
    <t>17824.02</t>
  </si>
  <si>
    <t>3490.98</t>
  </si>
  <si>
    <t>1046.13</t>
  </si>
  <si>
    <t>3.91</t>
  </si>
  <si>
    <t>9491.58</t>
  </si>
  <si>
    <t>11179.26</t>
  </si>
  <si>
    <t>5044.17</t>
  </si>
  <si>
    <t>14733.44</t>
  </si>
  <si>
    <t>1.71</t>
  </si>
  <si>
    <t>36150.47</t>
  </si>
  <si>
    <t>42.94</t>
  </si>
  <si>
    <t>428.14</t>
  </si>
  <si>
    <t>13933.44</t>
  </si>
  <si>
    <t>495.93</t>
  </si>
  <si>
    <t>50465.15</t>
  </si>
  <si>
    <t>424.27</t>
  </si>
  <si>
    <t>4051.62</t>
  </si>
  <si>
    <t>19694.41</t>
  </si>
  <si>
    <t>986.16</t>
  </si>
  <si>
    <t>127.92</t>
  </si>
  <si>
    <t>35697.99</t>
  </si>
  <si>
    <t>39.52</t>
  </si>
  <si>
    <t>2307.21</t>
  </si>
  <si>
    <t>10527.47</t>
  </si>
  <si>
    <t>4377.9</t>
  </si>
  <si>
    <t>82484.91</t>
  </si>
  <si>
    <t>8.71</t>
  </si>
  <si>
    <t>88780.37</t>
  </si>
  <si>
    <t>1666.51</t>
  </si>
  <si>
    <t>10982.24</t>
  </si>
  <si>
    <t>35478.64</t>
  </si>
  <si>
    <t>5573.08</t>
  </si>
  <si>
    <t>41.24</t>
  </si>
  <si>
    <t>74869.97</t>
  </si>
  <si>
    <t>10366.73</t>
  </si>
  <si>
    <t>38226.63</t>
  </si>
  <si>
    <t>34987.77</t>
  </si>
  <si>
    <t>13659.89</t>
  </si>
  <si>
    <t>132588.1</t>
  </si>
  <si>
    <t>216.22</t>
  </si>
  <si>
    <t>10035.81</t>
  </si>
  <si>
    <t>27150.13</t>
  </si>
  <si>
    <t>16072.71</t>
  </si>
  <si>
    <t>1089.41</t>
  </si>
  <si>
    <t>123.91</t>
  </si>
  <si>
    <t>5053.92</t>
  </si>
  <si>
    <t>27247.54</t>
  </si>
  <si>
    <t>12313.14</t>
  </si>
  <si>
    <t>307.11</t>
  </si>
  <si>
    <t>15955.74</t>
  </si>
  <si>
    <t>26265.3</t>
  </si>
  <si>
    <t>6136.62</t>
  </si>
  <si>
    <t>566.32</t>
  </si>
  <si>
    <t>10250.35</t>
  </si>
  <si>
    <t>12912.9</t>
  </si>
  <si>
    <t>22055.55</t>
  </si>
  <si>
    <t>7130.93</t>
  </si>
  <si>
    <t>11157.41</t>
  </si>
  <si>
    <t>3.07</t>
  </si>
  <si>
    <t>29551.35</t>
  </si>
  <si>
    <t>41.06</t>
  </si>
  <si>
    <t>1186.89</t>
  </si>
  <si>
    <t>12908.68</t>
  </si>
  <si>
    <t>463.97</t>
  </si>
  <si>
    <t>198.19</t>
  </si>
  <si>
    <t>30013.99</t>
  </si>
  <si>
    <t>10362.33</t>
  </si>
  <si>
    <t>22871.46</t>
  </si>
  <si>
    <t>1204.79</t>
  </si>
  <si>
    <t>1832.19</t>
  </si>
  <si>
    <t>36170.27</t>
  </si>
  <si>
    <t>24.18</t>
  </si>
  <si>
    <t>3769.71</t>
  </si>
  <si>
    <t>8793.41</t>
  </si>
  <si>
    <t>6223.8</t>
  </si>
  <si>
    <t>35600.35</t>
  </si>
  <si>
    <t>0.31</t>
  </si>
  <si>
    <t>6.99</t>
  </si>
  <si>
    <t>84.41</t>
  </si>
  <si>
    <t>5130.48</t>
  </si>
  <si>
    <t>18035.18</t>
  </si>
  <si>
    <t>3137.8</t>
  </si>
  <si>
    <t>7435.33</t>
  </si>
  <si>
    <t>229.41</t>
  </si>
  <si>
    <t>12246.51</t>
  </si>
  <si>
    <t>22084.83</t>
  </si>
  <si>
    <t>3740.41</t>
  </si>
  <si>
    <t>41947.08</t>
  </si>
  <si>
    <t>11.61</t>
  </si>
  <si>
    <t>999.51</t>
  </si>
  <si>
    <t>7405.8</t>
  </si>
  <si>
    <t>3968.23</t>
  </si>
  <si>
    <t>3416.51</t>
  </si>
  <si>
    <t>4.47</t>
  </si>
  <si>
    <t>117.21</t>
  </si>
  <si>
    <t>266.05</t>
  </si>
  <si>
    <t>17191.76</t>
  </si>
  <si>
    <t>149.52</t>
  </si>
  <si>
    <t>11700.59</t>
  </si>
  <si>
    <t>26563.97</t>
  </si>
  <si>
    <t>2929.31</t>
  </si>
  <si>
    <t>2732.28</t>
  </si>
  <si>
    <t>19085.03</t>
  </si>
  <si>
    <t>294.95</t>
  </si>
  <si>
    <t>36742.17</t>
  </si>
  <si>
    <t>27868.51</t>
  </si>
  <si>
    <t>9692.58</t>
  </si>
  <si>
    <t>3072.47</t>
  </si>
  <si>
    <t>16918.04</t>
  </si>
  <si>
    <t>9436.48</t>
  </si>
  <si>
    <t>17416.73</t>
  </si>
  <si>
    <t>7106.68</t>
  </si>
  <si>
    <t>38687.51</t>
  </si>
  <si>
    <t>70279.19</t>
  </si>
  <si>
    <t>149.34</t>
  </si>
  <si>
    <t>2406.97</t>
  </si>
  <si>
    <t>17388.47</t>
  </si>
  <si>
    <t>549.76</t>
  </si>
  <si>
    <t>1925.24</t>
  </si>
  <si>
    <t>66435.61</t>
  </si>
  <si>
    <t>1390.95</t>
  </si>
  <si>
    <t>56991.33</t>
  </si>
  <si>
    <t>23385.83</t>
  </si>
  <si>
    <t>4022.09</t>
  </si>
  <si>
    <t>18115.18</t>
  </si>
  <si>
    <t>87177.84</t>
  </si>
  <si>
    <t>483.44</t>
  </si>
  <si>
    <t>332.39</t>
  </si>
  <si>
    <t>72895.97</t>
  </si>
  <si>
    <t>23448.64</t>
  </si>
  <si>
    <t>139.8</t>
  </si>
  <si>
    <t>24863.74</t>
  </si>
  <si>
    <t>59127.24</t>
  </si>
  <si>
    <t>4.79</t>
  </si>
  <si>
    <t>23562.68</t>
  </si>
  <si>
    <t>38.25</t>
  </si>
  <si>
    <t>24762.28</t>
  </si>
  <si>
    <t>30624.49</t>
  </si>
  <si>
    <t>4993.19</t>
  </si>
  <si>
    <t>18164.16</t>
  </si>
  <si>
    <t>76.34</t>
  </si>
  <si>
    <t>58180.12</t>
  </si>
  <si>
    <t>28724.02</t>
  </si>
  <si>
    <t>7041.91</t>
  </si>
  <si>
    <t>43.54</t>
  </si>
  <si>
    <t>82435.66</t>
  </si>
  <si>
    <t>1624.19</t>
  </si>
  <si>
    <t>13503.2</t>
  </si>
  <si>
    <t>9297.22</t>
  </si>
  <si>
    <t>14422.12</t>
  </si>
  <si>
    <t>4.95</t>
  </si>
  <si>
    <t>1.62</t>
  </si>
  <si>
    <t>30856.41</t>
  </si>
  <si>
    <t>91.96</t>
  </si>
  <si>
    <t>12048.86</t>
  </si>
  <si>
    <t>27269.21</t>
  </si>
  <si>
    <t>1754.29</t>
  </si>
  <si>
    <t>20398.36</t>
  </si>
  <si>
    <t>19698.67</t>
  </si>
  <si>
    <t>101.77</t>
  </si>
  <si>
    <t>72102.68</t>
  </si>
  <si>
    <t>28450.78</t>
  </si>
  <si>
    <t>11482.4</t>
  </si>
  <si>
    <t>33992.11</t>
  </si>
  <si>
    <t>18285.73</t>
  </si>
  <si>
    <t>9.09</t>
  </si>
  <si>
    <t>58838.08</t>
  </si>
  <si>
    <t>20419.15</t>
  </si>
  <si>
    <t>14352.34</t>
  </si>
  <si>
    <t>29534.95</t>
  </si>
  <si>
    <t>12.5</t>
  </si>
  <si>
    <t>33830.01</t>
  </si>
  <si>
    <t>291.4</t>
  </si>
  <si>
    <t>2430.3</t>
  </si>
  <si>
    <t>29131.42</t>
  </si>
  <si>
    <t>1836.18</t>
  </si>
  <si>
    <t>22502.14</t>
  </si>
  <si>
    <t>880.8</t>
  </si>
  <si>
    <t>15969.4</t>
  </si>
  <si>
    <t>31236.28</t>
  </si>
  <si>
    <t>5286.26</t>
  </si>
  <si>
    <t>38518.7</t>
  </si>
  <si>
    <t>575.37</t>
  </si>
  <si>
    <t>8494.57</t>
  </si>
  <si>
    <t>32043.37</t>
  </si>
  <si>
    <t>20228.36</t>
  </si>
  <si>
    <t>249895.55</t>
  </si>
  <si>
    <t>1.58</t>
  </si>
  <si>
    <t>133.1</t>
  </si>
  <si>
    <t>4865.99</t>
  </si>
  <si>
    <t>262.61</t>
  </si>
  <si>
    <t>1056.86</t>
  </si>
  <si>
    <t>3873.51</t>
  </si>
  <si>
    <t>36150.77</t>
  </si>
  <si>
    <t>14089.16</t>
  </si>
  <si>
    <t>48.22</t>
  </si>
  <si>
    <t>117348.5</t>
  </si>
  <si>
    <t>1795.35</t>
  </si>
  <si>
    <t>18641.12</t>
  </si>
  <si>
    <t>39779.17</t>
  </si>
  <si>
    <t>23043.93</t>
  </si>
  <si>
    <t>152156.27</t>
  </si>
  <si>
    <t>1514.52</t>
  </si>
  <si>
    <t>17123.27</t>
  </si>
  <si>
    <t>35258.59</t>
  </si>
  <si>
    <t>30186.03</t>
  </si>
  <si>
    <t>578.55</t>
  </si>
  <si>
    <t>7556.31</t>
  </si>
  <si>
    <t>47.27</t>
  </si>
  <si>
    <t>1406.55</t>
  </si>
  <si>
    <t>19943.86</t>
  </si>
  <si>
    <t>1996.69</t>
  </si>
  <si>
    <t>196.6</t>
  </si>
  <si>
    <t>7658.97</t>
  </si>
  <si>
    <t>53.75</t>
  </si>
  <si>
    <t>9128.17</t>
  </si>
  <si>
    <t>20607.5</t>
  </si>
  <si>
    <t>5546.69</t>
  </si>
  <si>
    <t>1644.56</t>
  </si>
  <si>
    <t>6.6</t>
  </si>
  <si>
    <t>7.49</t>
  </si>
  <si>
    <t>11986.4</t>
  </si>
  <si>
    <t>253.11</t>
  </si>
  <si>
    <t>1476.2</t>
  </si>
  <si>
    <t>2001.66</t>
  </si>
  <si>
    <t>110.76</t>
  </si>
  <si>
    <t>27686.18</t>
  </si>
  <si>
    <t>73.46</t>
  </si>
  <si>
    <t>5161.6</t>
  </si>
  <si>
    <t>19536.04</t>
  </si>
  <si>
    <t>2810.9</t>
  </si>
  <si>
    <t>274.63</t>
  </si>
  <si>
    <t>21082.28</t>
  </si>
  <si>
    <t>606.33</t>
  </si>
  <si>
    <t>27035.94</t>
  </si>
  <si>
    <t>26063.59</t>
  </si>
  <si>
    <t>4777.52</t>
  </si>
  <si>
    <t>1275.82</t>
  </si>
  <si>
    <t>22398.25</t>
  </si>
  <si>
    <t>6513.09</t>
  </si>
  <si>
    <t>23926.15</t>
  </si>
  <si>
    <t>16003.13</t>
  </si>
  <si>
    <t>40505.04</t>
  </si>
  <si>
    <t>413.05</t>
  </si>
  <si>
    <t>2075.43</t>
  </si>
  <si>
    <t>2061.66</t>
  </si>
  <si>
    <t>21355.4</t>
  </si>
  <si>
    <t>272.81</t>
  </si>
  <si>
    <t>11916.89</t>
  </si>
  <si>
    <t>29319.34</t>
  </si>
  <si>
    <t>8518.37</t>
  </si>
  <si>
    <t>16065.13</t>
  </si>
  <si>
    <t>427.05</t>
  </si>
  <si>
    <t>27887.09</t>
  </si>
  <si>
    <t>30353.74</t>
  </si>
  <si>
    <t>11173.15</t>
  </si>
  <si>
    <t>30703.21</t>
  </si>
  <si>
    <t>127.76</t>
  </si>
  <si>
    <t>6741.2</t>
  </si>
  <si>
    <t>25792.77</t>
  </si>
  <si>
    <t>15848.25</t>
  </si>
  <si>
    <t>843.53</t>
  </si>
  <si>
    <t>270.29</t>
  </si>
  <si>
    <t>3.34</t>
  </si>
  <si>
    <t>52.57</t>
  </si>
  <si>
    <t>11533.58</t>
  </si>
  <si>
    <t>22794.55</t>
  </si>
  <si>
    <t>2287.73</t>
  </si>
  <si>
    <t>356.37</t>
  </si>
  <si>
    <t>6285.2</t>
  </si>
  <si>
    <t>29.23</t>
  </si>
  <si>
    <t>24715.4</t>
  </si>
  <si>
    <t>21965.38</t>
  </si>
  <si>
    <t>5164.11</t>
  </si>
  <si>
    <t>320.22</t>
  </si>
  <si>
    <t>4106.94</t>
  </si>
  <si>
    <t>0.76</t>
  </si>
  <si>
    <t>11396.41</t>
  </si>
  <si>
    <t>6316.89</t>
  </si>
  <si>
    <t>3898.83</t>
  </si>
  <si>
    <t>14394.04</t>
  </si>
  <si>
    <t>2.05</t>
  </si>
  <si>
    <t>23752.41</t>
  </si>
  <si>
    <t>76.87</t>
  </si>
  <si>
    <t>3176.59</t>
  </si>
  <si>
    <t>15146.38</t>
  </si>
  <si>
    <t>641.79</t>
  </si>
  <si>
    <t>332.76</t>
  </si>
  <si>
    <t>19593.42</t>
  </si>
  <si>
    <t>551.8</t>
  </si>
  <si>
    <t>20776.33</t>
  </si>
  <si>
    <t>22372.55</t>
  </si>
  <si>
    <t>1901.98</t>
  </si>
  <si>
    <t>224.13</t>
  </si>
  <si>
    <t>28725.07</t>
  </si>
  <si>
    <t>94.99</t>
  </si>
  <si>
    <t>5987.79</t>
  </si>
  <si>
    <t>14391.89</t>
  </si>
  <si>
    <t>11354.14</t>
  </si>
  <si>
    <t>436791.44</t>
  </si>
  <si>
    <t>24.94</t>
  </si>
  <si>
    <t>855.12</t>
  </si>
  <si>
    <t>19554.44</t>
  </si>
  <si>
    <t>19017.59</t>
  </si>
  <si>
    <t>110254.22</t>
  </si>
  <si>
    <t>3353.52</t>
  </si>
  <si>
    <t>17901.14</t>
  </si>
  <si>
    <t>33643.56</t>
  </si>
  <si>
    <t>11722.04</t>
  </si>
  <si>
    <t>91310.85</t>
  </si>
  <si>
    <t>14915.67</t>
  </si>
  <si>
    <t>74723.15</t>
  </si>
  <si>
    <t>36452.77</t>
  </si>
  <si>
    <t>18633.31</t>
  </si>
  <si>
    <t>193704.45</t>
  </si>
  <si>
    <t>1473.62</t>
  </si>
  <si>
    <t>22091.04</t>
  </si>
  <si>
    <t>34245.45</t>
  </si>
  <si>
    <t>26512.67</t>
  </si>
  <si>
    <t>1811.65</t>
  </si>
  <si>
    <t>83.99</t>
  </si>
  <si>
    <t>5659.83</t>
  </si>
  <si>
    <t>271.19</t>
  </si>
  <si>
    <t>95.63</t>
  </si>
  <si>
    <t>10793.89</t>
  </si>
  <si>
    <t>23810.76</t>
  </si>
  <si>
    <t>1035.54</t>
  </si>
  <si>
    <t>2226.04</t>
  </si>
  <si>
    <t>11062.26</t>
  </si>
  <si>
    <t>300.7</t>
  </si>
  <si>
    <t>33247.98</t>
  </si>
  <si>
    <t>24970.58</t>
  </si>
  <si>
    <t>6731.42</t>
  </si>
  <si>
    <t>1780.54</t>
  </si>
  <si>
    <t>5843.53</t>
  </si>
  <si>
    <t>1.67</t>
  </si>
  <si>
    <t>18092.11</t>
  </si>
  <si>
    <t>11336.18</t>
  </si>
  <si>
    <t>8108.11</t>
  </si>
  <si>
    <t>101956.88</t>
  </si>
  <si>
    <t>577.69</t>
  </si>
  <si>
    <t>6580.9</t>
  </si>
  <si>
    <t>36233.57</t>
  </si>
  <si>
    <t>168.93</t>
  </si>
  <si>
    <t>27791.11</t>
  </si>
  <si>
    <t>54018.43</t>
  </si>
  <si>
    <t>1280.68</t>
  </si>
  <si>
    <t>12884.74</t>
  </si>
  <si>
    <t>36987.92</t>
  </si>
  <si>
    <t>9477.53</t>
  </si>
  <si>
    <t>43727.48</t>
  </si>
  <si>
    <t>1577.87</t>
  </si>
  <si>
    <t>20536.57</t>
  </si>
  <si>
    <t>39306.74</t>
  </si>
  <si>
    <t>6288.02</t>
  </si>
  <si>
    <t>47893.8</t>
  </si>
  <si>
    <t>757.06</t>
  </si>
  <si>
    <t>23816.21</t>
  </si>
  <si>
    <t>38727.15</t>
  </si>
  <si>
    <t>23307.61</t>
  </si>
  <si>
    <t>206339.85</t>
  </si>
  <si>
    <t>1018.7</t>
  </si>
  <si>
    <t>3175.61</t>
  </si>
  <si>
    <t>33989.22</t>
  </si>
  <si>
    <t>27462.13</t>
  </si>
  <si>
    <t>97563.98</t>
  </si>
  <si>
    <t>2878.55</t>
  </si>
  <si>
    <t>10439.48</t>
  </si>
  <si>
    <t>35335.72</t>
  </si>
  <si>
    <t>9885.89</t>
  </si>
  <si>
    <t>75176.96</t>
  </si>
  <si>
    <t>1990.37</t>
  </si>
  <si>
    <t>19737.1</t>
  </si>
  <si>
    <t>35809.63</t>
  </si>
  <si>
    <t>12922.74</t>
  </si>
  <si>
    <t>173785.98</t>
  </si>
  <si>
    <t>1402.42</t>
  </si>
  <si>
    <t>12845.41</t>
  </si>
  <si>
    <t>36836.42</t>
  </si>
  <si>
    <t>24527.09</t>
  </si>
  <si>
    <t>0.93</t>
  </si>
  <si>
    <t>3260.52</t>
  </si>
  <si>
    <t>3.24</t>
  </si>
  <si>
    <t>708.25</t>
  </si>
  <si>
    <t>25259.1</t>
  </si>
  <si>
    <t>36.52</t>
  </si>
  <si>
    <t>5824.83</t>
  </si>
  <si>
    <t>23548.04</t>
  </si>
  <si>
    <t>1441.29</t>
  </si>
  <si>
    <t>17372.45</t>
  </si>
  <si>
    <t>48.02</t>
  </si>
  <si>
    <t>9048.75</t>
  </si>
  <si>
    <t>20948.64</t>
  </si>
  <si>
    <t>2878.41</t>
  </si>
  <si>
    <t>13070.99</t>
  </si>
  <si>
    <t>5.88</t>
  </si>
  <si>
    <t>6501.84</t>
  </si>
  <si>
    <t>18094.94</t>
  </si>
  <si>
    <t>3849.28</t>
  </si>
  <si>
    <t>12757.46</t>
  </si>
  <si>
    <t>280.11</t>
  </si>
  <si>
    <t>1252.82</t>
  </si>
  <si>
    <t>13069.39</t>
  </si>
  <si>
    <t>7925.46</t>
  </si>
  <si>
    <t>17212.95</t>
  </si>
  <si>
    <t>546.6</t>
  </si>
  <si>
    <t>13458.35</t>
  </si>
  <si>
    <t>24068.54</t>
  </si>
  <si>
    <t>17001.93</t>
  </si>
  <si>
    <t>1179.1</t>
  </si>
  <si>
    <t>17105.06</t>
  </si>
  <si>
    <t>27324.77</t>
  </si>
  <si>
    <t>5014.2</t>
  </si>
  <si>
    <t>16709.64</t>
  </si>
  <si>
    <t>1075.21</t>
  </si>
  <si>
    <t>28654.55</t>
  </si>
  <si>
    <t>12824.21</t>
  </si>
  <si>
    <t>55726.49</t>
  </si>
  <si>
    <t>1359.07</t>
  </si>
  <si>
    <t>1310.15</t>
  </si>
  <si>
    <t>28005.62</t>
  </si>
  <si>
    <t>21658.62</t>
  </si>
  <si>
    <t>29617.05</t>
  </si>
  <si>
    <t>1839.05</t>
  </si>
  <si>
    <t>4314.84</t>
  </si>
  <si>
    <t>31486.2</t>
  </si>
  <si>
    <t>9881.17</t>
  </si>
  <si>
    <t>20028.87</t>
  </si>
  <si>
    <t>1666.91</t>
  </si>
  <si>
    <t>5158.89</t>
  </si>
  <si>
    <t>28546.34</t>
  </si>
  <si>
    <t>9462.62</t>
  </si>
  <si>
    <t>49283.42</t>
  </si>
  <si>
    <t>1719.5</t>
  </si>
  <si>
    <t>5191.5</t>
  </si>
  <si>
    <t>28435.57</t>
  </si>
  <si>
    <t>22054.4</t>
  </si>
  <si>
    <t>451.29</t>
  </si>
  <si>
    <t>3566.12</t>
  </si>
  <si>
    <t>30.63</t>
  </si>
  <si>
    <t>18696.68</t>
  </si>
  <si>
    <t>3471.78</t>
  </si>
  <si>
    <t>3251.69</t>
  </si>
  <si>
    <t>71.06</t>
  </si>
  <si>
    <t>14846.19</t>
  </si>
  <si>
    <t>15008.39</t>
  </si>
  <si>
    <t>8141.58</t>
  </si>
  <si>
    <t>14373.99</t>
  </si>
  <si>
    <t>4627.71</t>
  </si>
  <si>
    <t>7563.32</t>
  </si>
  <si>
    <t>41039.85</t>
  </si>
  <si>
    <t>129.74</t>
  </si>
  <si>
    <t>10486.47</t>
  </si>
  <si>
    <t>41402.75</t>
  </si>
  <si>
    <t>12741.59</t>
  </si>
  <si>
    <t>35173.76</t>
  </si>
  <si>
    <t>171.05</t>
  </si>
  <si>
    <t>16203.22</t>
  </si>
  <si>
    <t>38108.64</t>
  </si>
  <si>
    <t>7356.2</t>
  </si>
  <si>
    <t>34.04</t>
  </si>
  <si>
    <t>25810.53</t>
  </si>
  <si>
    <t>222.93</t>
  </si>
  <si>
    <t>156.94</t>
  </si>
  <si>
    <t>28715.81</t>
  </si>
  <si>
    <t>24172.47</t>
  </si>
  <si>
    <t>91.12</t>
  </si>
  <si>
    <t>8596.17</t>
  </si>
  <si>
    <t>25935.77</t>
  </si>
  <si>
    <t>202.61</t>
  </si>
  <si>
    <t>163.31</t>
  </si>
  <si>
    <t>21191.87</t>
  </si>
  <si>
    <t>24566.58</t>
  </si>
  <si>
    <t>104.39</t>
  </si>
  <si>
    <t>36293.31</t>
  </si>
  <si>
    <t>52.65</t>
  </si>
  <si>
    <t>276.63</t>
  </si>
  <si>
    <t>230.51</t>
  </si>
  <si>
    <t>12208.81</t>
  </si>
  <si>
    <t>25560.67</t>
  </si>
  <si>
    <t>160.68</t>
  </si>
  <si>
    <t>37.99</t>
  </si>
  <si>
    <t>56911.66</t>
  </si>
  <si>
    <t>265.36</t>
  </si>
  <si>
    <t>189.46</t>
  </si>
  <si>
    <t>15485.6</t>
  </si>
  <si>
    <t>25378.85</t>
  </si>
  <si>
    <t>116.04</t>
  </si>
  <si>
    <t>43213.04</t>
  </si>
  <si>
    <t>227.22</t>
  </si>
  <si>
    <t>202.91</t>
  </si>
  <si>
    <t>16941.89</t>
  </si>
  <si>
    <t>25177.85</t>
  </si>
  <si>
    <t>108.24</t>
  </si>
  <si>
    <t>18282.71</t>
  </si>
  <si>
    <t>46.21</t>
  </si>
  <si>
    <t>59253.15</t>
  </si>
  <si>
    <t>231.91</t>
  </si>
  <si>
    <t>169.76</t>
  </si>
  <si>
    <t>16114.59</t>
  </si>
  <si>
    <t>25714.97</t>
  </si>
  <si>
    <t>3.83</t>
  </si>
  <si>
    <t>7306.07</t>
  </si>
  <si>
    <t>65.18</t>
  </si>
  <si>
    <t>1.1</t>
  </si>
  <si>
    <t>26.43</t>
  </si>
  <si>
    <t>14.64</t>
  </si>
  <si>
    <t>36150.01</t>
  </si>
  <si>
    <t>76.76</t>
  </si>
  <si>
    <t>138.22</t>
  </si>
  <si>
    <t>511.95</t>
  </si>
  <si>
    <t>13352.04</t>
  </si>
  <si>
    <t>43.79</t>
  </si>
  <si>
    <t>217.97</t>
  </si>
  <si>
    <t>28.34</t>
  </si>
  <si>
    <t>108879.47</t>
  </si>
  <si>
    <t>129.45</t>
  </si>
  <si>
    <t>3861.99</t>
  </si>
  <si>
    <t>16750.12</t>
  </si>
  <si>
    <t>71.03</t>
  </si>
  <si>
    <t>2119.05</t>
  </si>
  <si>
    <t>24.7</t>
  </si>
  <si>
    <t>47457.54</t>
  </si>
  <si>
    <t>38.22</t>
  </si>
  <si>
    <t>1164.14</t>
  </si>
  <si>
    <t>13648.61</t>
  </si>
  <si>
    <t>53.7</t>
  </si>
  <si>
    <t>2111.73</t>
  </si>
  <si>
    <t>16.22</t>
  </si>
  <si>
    <t>62620.76</t>
  </si>
  <si>
    <t>1.29</t>
  </si>
  <si>
    <t>108.48</t>
  </si>
  <si>
    <t>8.59</t>
  </si>
  <si>
    <t>71.33</t>
  </si>
  <si>
    <t>35.86</t>
  </si>
  <si>
    <t>109111.63</t>
  </si>
  <si>
    <t>734.13</t>
  </si>
  <si>
    <t>244.65</t>
  </si>
  <si>
    <t>2325.85</t>
  </si>
  <si>
    <t>16609.79</t>
  </si>
  <si>
    <t>96.76</t>
  </si>
  <si>
    <t>7391.06</t>
  </si>
  <si>
    <t>70.84</t>
  </si>
  <si>
    <t>90185.56</t>
  </si>
  <si>
    <t>5552.51</t>
  </si>
  <si>
    <t>288.36</t>
  </si>
  <si>
    <t>19822.66</t>
  </si>
  <si>
    <t>19317.98</t>
  </si>
  <si>
    <t>144.12</t>
  </si>
  <si>
    <t>15953.92</t>
  </si>
  <si>
    <t>47051.98</t>
  </si>
  <si>
    <t>1682.56</t>
  </si>
  <si>
    <t>216.59</t>
  </si>
  <si>
    <t>3831.31</t>
  </si>
  <si>
    <t>15935.68</t>
  </si>
  <si>
    <t>66065.25</t>
  </si>
  <si>
    <t>187893.15</t>
  </si>
  <si>
    <t>1.34</t>
  </si>
  <si>
    <t>91.58</t>
  </si>
  <si>
    <t>102.38</t>
  </si>
  <si>
    <t>82.64</t>
  </si>
  <si>
    <t>42.18</t>
  </si>
  <si>
    <t>149.98</t>
  </si>
  <si>
    <t>42.05</t>
  </si>
  <si>
    <t>79273.61</t>
  </si>
  <si>
    <t>701.98</t>
  </si>
  <si>
    <t>3117.2</t>
  </si>
  <si>
    <t>19332.98</t>
  </si>
  <si>
    <t>127809.8</t>
  </si>
  <si>
    <t>2277.88</t>
  </si>
  <si>
    <t>273.58</t>
  </si>
  <si>
    <t>11385.95</t>
  </si>
  <si>
    <t>20266.65</t>
  </si>
  <si>
    <t>169.1</t>
  </si>
  <si>
    <t>101801.71</t>
  </si>
  <si>
    <t>134.53</t>
  </si>
  <si>
    <t>2586.24</t>
  </si>
  <si>
    <t>15056.56</t>
  </si>
  <si>
    <t>129.93</t>
  </si>
  <si>
    <t>29755.57</t>
  </si>
  <si>
    <t>6.18</t>
  </si>
  <si>
    <t>5835.77</t>
  </si>
  <si>
    <t>32.65</t>
  </si>
  <si>
    <t>11.38</t>
  </si>
  <si>
    <t>167.15</t>
  </si>
  <si>
    <t>2.11</t>
  </si>
  <si>
    <t>95.46</t>
  </si>
  <si>
    <t>19561.88</t>
  </si>
  <si>
    <t>150.63</t>
  </si>
  <si>
    <t>13095.34</t>
  </si>
  <si>
    <t>17080.93</t>
  </si>
  <si>
    <t>80.04</t>
  </si>
  <si>
    <t>6656.42</t>
  </si>
  <si>
    <t>181.08</t>
  </si>
  <si>
    <t>19992.17</t>
  </si>
  <si>
    <t>177.33</t>
  </si>
  <si>
    <t>15891.42</t>
  </si>
  <si>
    <t>16592.63</t>
  </si>
  <si>
    <t>13484.59</t>
  </si>
  <si>
    <t>13810.61</t>
  </si>
  <si>
    <t>15.41</t>
  </si>
  <si>
    <t>120.15</t>
  </si>
  <si>
    <t>7260.64</t>
  </si>
  <si>
    <t>14772.57</t>
  </si>
  <si>
    <t>92.99</t>
  </si>
  <si>
    <t>11871.26</t>
  </si>
  <si>
    <t>23824.73</t>
  </si>
  <si>
    <t>41.34</t>
  </si>
  <si>
    <t>58.56</t>
  </si>
  <si>
    <t>99.64</t>
  </si>
  <si>
    <t>25.33</t>
  </si>
  <si>
    <t>121.08</t>
  </si>
  <si>
    <t>22.06</t>
  </si>
  <si>
    <t>20598.01</t>
  </si>
  <si>
    <t>190.4</t>
  </si>
  <si>
    <t>102.76</t>
  </si>
  <si>
    <t>2380.22</t>
  </si>
  <si>
    <t>16384.34</t>
  </si>
  <si>
    <t>78.22</t>
  </si>
  <si>
    <t>6926.24</t>
  </si>
  <si>
    <t>32.11</t>
  </si>
  <si>
    <t>19889.33</t>
  </si>
  <si>
    <t>579.08</t>
  </si>
  <si>
    <t>7553.04</t>
  </si>
  <si>
    <t>18792.18</t>
  </si>
  <si>
    <t>14025.25</t>
  </si>
  <si>
    <t>22.93</t>
  </si>
  <si>
    <t>30760.47</t>
  </si>
  <si>
    <t>11.88</t>
  </si>
  <si>
    <t>126.1</t>
  </si>
  <si>
    <t>1214.1</t>
  </si>
  <si>
    <t>5480.53</t>
  </si>
  <si>
    <t>6255.08</t>
  </si>
  <si>
    <t>4.97</t>
  </si>
  <si>
    <t>3461.8</t>
  </si>
  <si>
    <t>4.75</t>
  </si>
  <si>
    <t>86.29</t>
  </si>
  <si>
    <t>3029.46</t>
  </si>
  <si>
    <t>4.84</t>
  </si>
  <si>
    <t>41.66</t>
  </si>
  <si>
    <t>20.34</t>
  </si>
  <si>
    <t>15252.79</t>
  </si>
  <si>
    <t>123.81</t>
  </si>
  <si>
    <t>10454.25</t>
  </si>
  <si>
    <t>14724.38</t>
  </si>
  <si>
    <t>1722.67</t>
  </si>
  <si>
    <t>29.27</t>
  </si>
  <si>
    <t>17582.96</t>
  </si>
  <si>
    <t>103.57</t>
  </si>
  <si>
    <t>182.83</t>
  </si>
  <si>
    <t>21770.97</t>
  </si>
  <si>
    <t>14824.27</t>
  </si>
  <si>
    <t>63.98</t>
  </si>
  <si>
    <t>5290.42</t>
  </si>
  <si>
    <t>12797.62</t>
  </si>
  <si>
    <t>33.18</t>
  </si>
  <si>
    <t>5886.11</t>
  </si>
  <si>
    <t>9704.93</t>
  </si>
  <si>
    <t>47.05</t>
  </si>
  <si>
    <t>4818.75</t>
  </si>
  <si>
    <t>21.19</t>
  </si>
  <si>
    <t>46376.85</t>
  </si>
  <si>
    <t>187.02</t>
  </si>
  <si>
    <t>1884.49</t>
  </si>
  <si>
    <t>12646.3</t>
  </si>
  <si>
    <t>735.19</t>
  </si>
  <si>
    <t>27.42</t>
  </si>
  <si>
    <t>31367.15</t>
  </si>
  <si>
    <t>515.76</t>
  </si>
  <si>
    <t>132.13</t>
  </si>
  <si>
    <t>4356.24</t>
  </si>
  <si>
    <t>16429.21</t>
  </si>
  <si>
    <t>1949.47</t>
  </si>
  <si>
    <t>20740.73</t>
  </si>
  <si>
    <t>1271.25</t>
  </si>
  <si>
    <t>11841.7</t>
  </si>
  <si>
    <t>16131.53</t>
  </si>
  <si>
    <t>67.49</t>
  </si>
  <si>
    <t>3191.02</t>
  </si>
  <si>
    <t>59.31</t>
  </si>
  <si>
    <t>30463.61</t>
  </si>
  <si>
    <t>722.11</t>
  </si>
  <si>
    <t>8482.69</t>
  </si>
  <si>
    <t>15329.02</t>
  </si>
  <si>
    <t>110.18</t>
  </si>
  <si>
    <t>15641.03</t>
  </si>
  <si>
    <t>1.52</t>
  </si>
  <si>
    <t>41.46</t>
  </si>
  <si>
    <t>83.04</t>
  </si>
  <si>
    <t>55.39</t>
  </si>
  <si>
    <t>45.35</t>
  </si>
  <si>
    <t>35.02</t>
  </si>
  <si>
    <t>1359.38</t>
  </si>
  <si>
    <t>4461.13</t>
  </si>
  <si>
    <t>19230.27</t>
  </si>
  <si>
    <t>6711.29</t>
  </si>
  <si>
    <t>54.85</t>
  </si>
  <si>
    <t>409866.03</t>
  </si>
  <si>
    <t>3938.44</t>
  </si>
  <si>
    <t>266.27</t>
  </si>
  <si>
    <t>25737.37</t>
  </si>
  <si>
    <t>20606.49</t>
  </si>
  <si>
    <t>140.03</t>
  </si>
  <si>
    <t>27366.09</t>
  </si>
  <si>
    <t>644.62</t>
  </si>
  <si>
    <t>11139.72</t>
  </si>
  <si>
    <t>19759.15</t>
  </si>
  <si>
    <t>154.43</t>
  </si>
  <si>
    <t>1265.85</t>
  </si>
  <si>
    <t>0.51</t>
  </si>
  <si>
    <t>0.14</t>
  </si>
  <si>
    <t>44561.97</t>
  </si>
  <si>
    <t>142.12</t>
  </si>
  <si>
    <t>4283.34</t>
  </si>
  <si>
    <t>14835.99</t>
  </si>
  <si>
    <t>58.8</t>
  </si>
  <si>
    <t>265.61</t>
  </si>
  <si>
    <t>100818.89</t>
  </si>
  <si>
    <t>233.48</t>
  </si>
  <si>
    <t>16310.7</t>
  </si>
  <si>
    <t>16050.83</t>
  </si>
  <si>
    <t>3972.12</t>
  </si>
  <si>
    <t>69448.55</t>
  </si>
  <si>
    <t>98.91</t>
  </si>
  <si>
    <t>13867.49</t>
  </si>
  <si>
    <t>74.61</t>
  </si>
  <si>
    <t>3301.57</t>
  </si>
  <si>
    <t>32182.87</t>
  </si>
  <si>
    <t>0.98</t>
  </si>
  <si>
    <t>70.27</t>
  </si>
  <si>
    <t>1.81</t>
  </si>
  <si>
    <t>1.6</t>
  </si>
  <si>
    <t>31.26</t>
  </si>
  <si>
    <t>2.62</t>
  </si>
  <si>
    <t>30365.59</t>
  </si>
  <si>
    <t>198.05</t>
  </si>
  <si>
    <t>2636.77</t>
  </si>
  <si>
    <t>16451.3</t>
  </si>
  <si>
    <t>57.09</t>
  </si>
  <si>
    <t>1347.1</t>
  </si>
  <si>
    <t>138.57</t>
  </si>
  <si>
    <t>50168.23</t>
  </si>
  <si>
    <t>865.25</t>
  </si>
  <si>
    <t>18109.6</t>
  </si>
  <si>
    <t>18272.48</t>
  </si>
  <si>
    <t>4179.65</t>
  </si>
  <si>
    <t>479.69</t>
  </si>
  <si>
    <t>31949.6</t>
  </si>
  <si>
    <t>195.12</t>
  </si>
  <si>
    <t>32027.37</t>
  </si>
  <si>
    <t>16801.76</t>
  </si>
  <si>
    <t>152.36</t>
  </si>
  <si>
    <t>41582.58</t>
  </si>
  <si>
    <t>57435.66</t>
  </si>
  <si>
    <t>1.11</t>
  </si>
  <si>
    <t>163.05</t>
  </si>
  <si>
    <t>146.77</t>
  </si>
  <si>
    <t>43247.61</t>
  </si>
  <si>
    <t>460.54</t>
  </si>
  <si>
    <t>5942.34</t>
  </si>
  <si>
    <t>20109.19</t>
  </si>
  <si>
    <t>119.97</t>
  </si>
  <si>
    <t>10537.5</t>
  </si>
  <si>
    <t>38.99</t>
  </si>
  <si>
    <t>37602.03</t>
  </si>
  <si>
    <t>814.78</t>
  </si>
  <si>
    <t>12247.06</t>
  </si>
  <si>
    <t>20562.1</t>
  </si>
  <si>
    <t>15544.59</t>
  </si>
  <si>
    <t>17.02</t>
  </si>
  <si>
    <t>5873.85</t>
  </si>
  <si>
    <t>13490.06</t>
  </si>
  <si>
    <t>15299.75</t>
  </si>
  <si>
    <t>85.54</t>
  </si>
  <si>
    <t>13215.75</t>
  </si>
  <si>
    <t>1974.96</t>
  </si>
  <si>
    <t>9.77</t>
  </si>
  <si>
    <t>2.85</t>
  </si>
  <si>
    <t>14549.84</t>
  </si>
  <si>
    <t>32.56</t>
  </si>
  <si>
    <t>50.53</t>
  </si>
  <si>
    <t>788.43</t>
  </si>
  <si>
    <t>10046.83</t>
  </si>
  <si>
    <t>54.92</t>
  </si>
  <si>
    <t>30.21</t>
  </si>
  <si>
    <t>38548.19</t>
  </si>
  <si>
    <t>70.93</t>
  </si>
  <si>
    <t>5427.04</t>
  </si>
  <si>
    <t>14225.43</t>
  </si>
  <si>
    <t>1510.72</t>
  </si>
  <si>
    <t>30035.73</t>
  </si>
  <si>
    <t>43.87</t>
  </si>
  <si>
    <t>3220.6</t>
  </si>
  <si>
    <t>11059.52</t>
  </si>
  <si>
    <t>60.51</t>
  </si>
  <si>
    <t>3061.78</t>
  </si>
  <si>
    <t>32311.19</t>
  </si>
  <si>
    <t>29.75</t>
  </si>
  <si>
    <t>5.35</t>
  </si>
  <si>
    <t>19.5</t>
  </si>
  <si>
    <t>23025.13</t>
  </si>
  <si>
    <t>169.02</t>
  </si>
  <si>
    <t>1215.09</t>
  </si>
  <si>
    <t>11584.33</t>
  </si>
  <si>
    <t>40.58</t>
  </si>
  <si>
    <t>757.93</t>
  </si>
  <si>
    <t>50.48</t>
  </si>
  <si>
    <t>31387.68</t>
  </si>
  <si>
    <t>860.03</t>
  </si>
  <si>
    <t>6048.19</t>
  </si>
  <si>
    <t>15839.8</t>
  </si>
  <si>
    <t>1689.25</t>
  </si>
  <si>
    <t>31346.64</t>
  </si>
  <si>
    <t>392.62</t>
  </si>
  <si>
    <t>3586.75</t>
  </si>
  <si>
    <t>12045.7</t>
  </si>
  <si>
    <t>7665.23</t>
  </si>
  <si>
    <t>4.33</t>
  </si>
  <si>
    <t>906.06</t>
  </si>
  <si>
    <t>1239.29</t>
  </si>
  <si>
    <t>156.93</t>
  </si>
  <si>
    <t>55780.1</t>
  </si>
  <si>
    <t>1478.77</t>
  </si>
  <si>
    <t>6960.83</t>
  </si>
  <si>
    <t>19447.14</t>
  </si>
  <si>
    <t>5906.89</t>
  </si>
  <si>
    <t>44163.89</t>
  </si>
  <si>
    <t>2486.4</t>
  </si>
  <si>
    <t>26260.85</t>
  </si>
  <si>
    <t>19651.95</t>
  </si>
  <si>
    <t>131.94</t>
  </si>
  <si>
    <t>14394.15</t>
  </si>
  <si>
    <t>82620.06</t>
  </si>
  <si>
    <t>913.84</t>
  </si>
  <si>
    <t>12263.49</t>
  </si>
  <si>
    <t>19131.48</t>
  </si>
  <si>
    <t>15122.31</t>
  </si>
  <si>
    <t>107.26</t>
  </si>
  <si>
    <t>944.76</t>
  </si>
  <si>
    <t>14730.57</t>
  </si>
  <si>
    <t>4138.58</t>
  </si>
  <si>
    <t>20015.1</t>
  </si>
  <si>
    <t>80.42</t>
  </si>
  <si>
    <t>114.28</t>
  </si>
  <si>
    <t>33643.83</t>
  </si>
  <si>
    <t>17630.51</t>
  </si>
  <si>
    <t>2199.05</t>
  </si>
  <si>
    <t>16809.22</t>
  </si>
  <si>
    <t>182.35</t>
  </si>
  <si>
    <t>28615.35</t>
  </si>
  <si>
    <t>15763.09</t>
  </si>
  <si>
    <t>87.39</t>
  </si>
  <si>
    <t>5231.63</t>
  </si>
  <si>
    <t>22051.82</t>
  </si>
  <si>
    <t>73.76</t>
  </si>
  <si>
    <t>144.39</t>
  </si>
  <si>
    <t>16816.42</t>
  </si>
  <si>
    <t>16519.78</t>
  </si>
  <si>
    <t>89.25</t>
  </si>
  <si>
    <t>9707.44</t>
  </si>
  <si>
    <t>517.71</t>
  </si>
  <si>
    <t>5.15</t>
  </si>
  <si>
    <t>1418.29</t>
  </si>
  <si>
    <t>25.17</t>
  </si>
  <si>
    <t>24.53</t>
  </si>
  <si>
    <t>1399.46</t>
  </si>
  <si>
    <t>8211.64</t>
  </si>
  <si>
    <t>430.92</t>
  </si>
  <si>
    <t>1800.09</t>
  </si>
  <si>
    <t>3037.3</t>
  </si>
  <si>
    <t>9564.19</t>
  </si>
  <si>
    <t>1656.02</t>
  </si>
  <si>
    <t>1554.57</t>
  </si>
  <si>
    <t>8.61</t>
  </si>
  <si>
    <t>4134.98</t>
  </si>
  <si>
    <t>1433.41</t>
  </si>
  <si>
    <t>44416.48</t>
  </si>
  <si>
    <t>60.19</t>
  </si>
  <si>
    <t>4.32</t>
  </si>
  <si>
    <t>28766.69</t>
  </si>
  <si>
    <t>361.16</t>
  </si>
  <si>
    <t>1197.84</t>
  </si>
  <si>
    <t>14525.24</t>
  </si>
  <si>
    <t>1852.64</t>
  </si>
  <si>
    <t>50632.45</t>
  </si>
  <si>
    <t>2098.18</t>
  </si>
  <si>
    <t>156.08</t>
  </si>
  <si>
    <t>9409.57</t>
  </si>
  <si>
    <t>31570.7</t>
  </si>
  <si>
    <t>5672.81</t>
  </si>
  <si>
    <t>40615.88</t>
  </si>
  <si>
    <t>1791.27</t>
  </si>
  <si>
    <t>23608.99</t>
  </si>
  <si>
    <t>31355.3</t>
  </si>
  <si>
    <t>24395.73</t>
  </si>
  <si>
    <t>19372.64</t>
  </si>
  <si>
    <t>0.21</t>
  </si>
  <si>
    <t>33.67</t>
  </si>
  <si>
    <t>10.68</t>
  </si>
  <si>
    <t>3055.38</t>
  </si>
  <si>
    <t>1078.94</t>
  </si>
  <si>
    <t>14804.54</t>
  </si>
  <si>
    <t>2169.63</t>
  </si>
  <si>
    <t>3924.87</t>
  </si>
  <si>
    <t>98.12</t>
  </si>
  <si>
    <t>3438.69</t>
  </si>
  <si>
    <t>18767.63</t>
  </si>
  <si>
    <t>3701.96</t>
  </si>
  <si>
    <t>11730.58</t>
  </si>
  <si>
    <t>20.2</t>
  </si>
  <si>
    <t>1612.46</t>
  </si>
  <si>
    <t>15826.69</t>
  </si>
  <si>
    <t>7626.2</t>
  </si>
  <si>
    <t>5455.04</t>
  </si>
  <si>
    <t>10.82</t>
  </si>
  <si>
    <t>41855.45</t>
  </si>
  <si>
    <t>306.27</t>
  </si>
  <si>
    <t>9587.27</t>
  </si>
  <si>
    <t>27493.18</t>
  </si>
  <si>
    <t>3651.43</t>
  </si>
  <si>
    <t>388.73</t>
  </si>
  <si>
    <t>42570.95</t>
  </si>
  <si>
    <t>560.15</t>
  </si>
  <si>
    <t>36998.4</t>
  </si>
  <si>
    <t>29228.11</t>
  </si>
  <si>
    <t>15218.71</t>
  </si>
  <si>
    <t>346.33</t>
  </si>
  <si>
    <t>33533.97</t>
  </si>
  <si>
    <t>129.48</t>
  </si>
  <si>
    <t>230.25</t>
  </si>
  <si>
    <t>25645.96</t>
  </si>
  <si>
    <t>20575.66</t>
  </si>
  <si>
    <t>18217.84</t>
  </si>
  <si>
    <t>285.06</t>
  </si>
  <si>
    <t>16834.46</t>
  </si>
  <si>
    <t>67.64</t>
  </si>
  <si>
    <t>2776.71</t>
  </si>
  <si>
    <t>14638.01</t>
  </si>
  <si>
    <t>1138.09</t>
  </si>
  <si>
    <t>6420.09</t>
  </si>
  <si>
    <t>54.88</t>
  </si>
  <si>
    <t>41829.5</t>
  </si>
  <si>
    <t>18632.59</t>
  </si>
  <si>
    <t>1529.27</t>
  </si>
  <si>
    <t>1231.51</t>
  </si>
  <si>
    <t>2.94</t>
  </si>
  <si>
    <t>25570.45</t>
  </si>
  <si>
    <t>7758.19</t>
  </si>
  <si>
    <t>3605.37</t>
  </si>
  <si>
    <t>8.47</t>
  </si>
  <si>
    <t>8.19</t>
  </si>
  <si>
    <t>47.63</t>
  </si>
  <si>
    <t>677.61</t>
  </si>
  <si>
    <t>63843.5</t>
  </si>
  <si>
    <t>33756.57</t>
  </si>
  <si>
    <t>10310.69</t>
  </si>
  <si>
    <t>60.94</t>
  </si>
  <si>
    <t>96414.22</t>
  </si>
  <si>
    <t>2229.41</t>
  </si>
  <si>
    <t>245.93</t>
  </si>
  <si>
    <t>45404.23</t>
  </si>
  <si>
    <t>35143.06</t>
  </si>
  <si>
    <t>17189.71</t>
  </si>
  <si>
    <t>98484.26</t>
  </si>
  <si>
    <t>298.71</t>
  </si>
  <si>
    <t>3376.14</t>
  </si>
  <si>
    <t>24027.82</t>
  </si>
  <si>
    <t>14902.95</t>
  </si>
  <si>
    <t>323.18</t>
  </si>
  <si>
    <t>2792.36</t>
  </si>
  <si>
    <t>19.37</t>
  </si>
  <si>
    <t>9.78</t>
  </si>
  <si>
    <t>452.18</t>
  </si>
  <si>
    <t>10380.14</t>
  </si>
  <si>
    <t>76.24</t>
  </si>
  <si>
    <t>5753.65</t>
  </si>
  <si>
    <t>75.58</t>
  </si>
  <si>
    <t>1602.45</t>
  </si>
  <si>
    <t>12634.81</t>
  </si>
  <si>
    <t>700.14</t>
  </si>
  <si>
    <t>6.79</t>
  </si>
  <si>
    <t>3896.43</t>
  </si>
  <si>
    <t>1059.72</t>
  </si>
  <si>
    <t>4054.37</t>
  </si>
  <si>
    <t>770.68</t>
  </si>
  <si>
    <t>6.01</t>
  </si>
  <si>
    <t>12654.03</t>
  </si>
  <si>
    <t>24832.78</t>
  </si>
  <si>
    <t>19.43</t>
  </si>
  <si>
    <t>65.65</t>
  </si>
  <si>
    <t>9249.85</t>
  </si>
  <si>
    <t>198.26</t>
  </si>
  <si>
    <t>45411.29</t>
  </si>
  <si>
    <t>93.15</t>
  </si>
  <si>
    <t>551.98</t>
  </si>
  <si>
    <t>16755.29</t>
  </si>
  <si>
    <t>382.17</t>
  </si>
  <si>
    <t>32624.41</t>
  </si>
  <si>
    <t>8.22</t>
  </si>
  <si>
    <t>143.25</t>
  </si>
  <si>
    <t>2084.3</t>
  </si>
  <si>
    <t>843.17</t>
  </si>
  <si>
    <t>9067.58</t>
  </si>
  <si>
    <t>0.16</t>
  </si>
  <si>
    <t>102150.86</t>
  </si>
  <si>
    <t>218.26</t>
  </si>
  <si>
    <t>935.15</t>
  </si>
  <si>
    <t>25066.62</t>
  </si>
  <si>
    <t>679.68</t>
  </si>
  <si>
    <t>131854.72</t>
  </si>
  <si>
    <t>1184.74</t>
  </si>
  <si>
    <t>6406.8</t>
  </si>
  <si>
    <t>31874.67</t>
  </si>
  <si>
    <t>2193.58</t>
  </si>
  <si>
    <t>660.19</t>
  </si>
  <si>
    <t>10298.56</t>
  </si>
  <si>
    <t>1496.17</t>
  </si>
  <si>
    <t>3.09</t>
  </si>
  <si>
    <t>1322.4</t>
  </si>
  <si>
    <t>1201.63</t>
  </si>
  <si>
    <t>1.24</t>
  </si>
  <si>
    <t>11197.2</t>
  </si>
  <si>
    <t>140.69</t>
  </si>
  <si>
    <t>6999.94</t>
  </si>
  <si>
    <t>26713.93</t>
  </si>
  <si>
    <t>1084.52</t>
  </si>
  <si>
    <t>16369.79</t>
  </si>
  <si>
    <t>188.04</t>
  </si>
  <si>
    <t>11246.89</t>
  </si>
  <si>
    <t>25899.61</t>
  </si>
  <si>
    <t>3582.43</t>
  </si>
  <si>
    <t>15694.89</t>
  </si>
  <si>
    <t>4063.11</t>
  </si>
  <si>
    <t>23785.43</t>
  </si>
  <si>
    <t>5222.12</t>
  </si>
  <si>
    <t>78610.69</t>
  </si>
  <si>
    <t>1.48</t>
  </si>
  <si>
    <t>4.8</t>
  </si>
  <si>
    <t>44208.78</t>
  </si>
  <si>
    <t>220.79</t>
  </si>
  <si>
    <t>788.21</t>
  </si>
  <si>
    <t>15203.38</t>
  </si>
  <si>
    <t>883.51</t>
  </si>
  <si>
    <t>64240.77</t>
  </si>
  <si>
    <t>1648.98</t>
  </si>
  <si>
    <t>6470.58</t>
  </si>
  <si>
    <t>23590.89</t>
  </si>
  <si>
    <t>2589.3</t>
  </si>
  <si>
    <t>81798.68</t>
  </si>
  <si>
    <t>278.07</t>
  </si>
  <si>
    <t>3015.82</t>
  </si>
  <si>
    <t>16507.51</t>
  </si>
  <si>
    <t>5511.46</t>
  </si>
  <si>
    <t>186307.62</t>
  </si>
  <si>
    <t>71.84</t>
  </si>
  <si>
    <t>82.49</t>
  </si>
  <si>
    <t>111335.43</t>
  </si>
  <si>
    <t>690.07</t>
  </si>
  <si>
    <t>2362.74</t>
  </si>
  <si>
    <t>30750.97</t>
  </si>
  <si>
    <t>5172.73</t>
  </si>
  <si>
    <t>94108.46</t>
  </si>
  <si>
    <t>2512.43</t>
  </si>
  <si>
    <t>14553.36</t>
  </si>
  <si>
    <t>36089.9</t>
  </si>
  <si>
    <t>12640.57</t>
  </si>
  <si>
    <t>192598.97</t>
  </si>
  <si>
    <t>204.45</t>
  </si>
  <si>
    <t>2211.83</t>
  </si>
  <si>
    <t>20186.08</t>
  </si>
  <si>
    <t>5385.91</t>
  </si>
  <si>
    <t>7846.88</t>
  </si>
  <si>
    <t>47.06</t>
  </si>
  <si>
    <t>4433.53</t>
  </si>
  <si>
    <t>22281.84</t>
  </si>
  <si>
    <t>48.98</t>
  </si>
  <si>
    <t>2434.06</t>
  </si>
  <si>
    <t>18323.79</t>
  </si>
  <si>
    <t>475.44</t>
  </si>
  <si>
    <t>29.61</t>
  </si>
  <si>
    <t>37459.4</t>
  </si>
  <si>
    <t>236.42</t>
  </si>
  <si>
    <t>16494.68</t>
  </si>
  <si>
    <t>20744.57</t>
  </si>
  <si>
    <t>6510.93</t>
  </si>
  <si>
    <t>27.49</t>
  </si>
  <si>
    <t>46.12</t>
  </si>
  <si>
    <t>7427.63</t>
  </si>
  <si>
    <t>14466.41</t>
  </si>
  <si>
    <t>5694.33</t>
  </si>
  <si>
    <t>33978.95</t>
  </si>
  <si>
    <t>1.82</t>
  </si>
  <si>
    <t>3.92</t>
  </si>
  <si>
    <t>25045.18</t>
  </si>
  <si>
    <t>230.69</t>
  </si>
  <si>
    <t>4814.21</t>
  </si>
  <si>
    <t>23545.52</t>
  </si>
  <si>
    <t>1223.7</t>
  </si>
  <si>
    <t>122.86</t>
  </si>
  <si>
    <t>28375.02</t>
  </si>
  <si>
    <t>625.06</t>
  </si>
  <si>
    <t>17914.45</t>
  </si>
  <si>
    <t>26349.13</t>
  </si>
  <si>
    <t>2676.84</t>
  </si>
  <si>
    <t>21317.99</t>
  </si>
  <si>
    <t>361.38</t>
  </si>
  <si>
    <t>15350.57</t>
  </si>
  <si>
    <t>25974.92</t>
  </si>
  <si>
    <t>15008.17</t>
  </si>
  <si>
    <t>25.4</t>
  </si>
  <si>
    <t>131126.94</t>
  </si>
  <si>
    <t>144.66</t>
  </si>
  <si>
    <t>427.73</t>
  </si>
  <si>
    <t>103.36</t>
  </si>
  <si>
    <t>37.28</t>
  </si>
  <si>
    <t>56413.86</t>
  </si>
  <si>
    <t>669.37</t>
  </si>
  <si>
    <t>36441.8</t>
  </si>
  <si>
    <t>7044.32</t>
  </si>
  <si>
    <t>49664.87</t>
  </si>
  <si>
    <t>1244.19</t>
  </si>
  <si>
    <t>38312.79</t>
  </si>
  <si>
    <t>33421.12</t>
  </si>
  <si>
    <t>9569.08</t>
  </si>
  <si>
    <t>84485.45</t>
  </si>
  <si>
    <t>650.71</t>
  </si>
  <si>
    <t>17523.03</t>
  </si>
  <si>
    <t>33966.52</t>
  </si>
  <si>
    <t>19773.56</t>
  </si>
  <si>
    <t>1186.77</t>
  </si>
  <si>
    <t>21.42</t>
  </si>
  <si>
    <t>38708.67</t>
  </si>
  <si>
    <t>27.84</t>
  </si>
  <si>
    <t>3528.12</t>
  </si>
  <si>
    <t>16746.75</t>
  </si>
  <si>
    <t>201.08</t>
  </si>
  <si>
    <t>38942.11</t>
  </si>
  <si>
    <t>48.43</t>
  </si>
  <si>
    <t>10730.12</t>
  </si>
  <si>
    <t>19436.16</t>
  </si>
  <si>
    <t>942.49</t>
  </si>
  <si>
    <t>36329.02</t>
  </si>
  <si>
    <t>15.45</t>
  </si>
  <si>
    <t>5311.63</t>
  </si>
  <si>
    <t>12346.16</t>
  </si>
  <si>
    <t>3042.23</t>
  </si>
  <si>
    <t>10.1</t>
  </si>
  <si>
    <t>23806.84</t>
  </si>
  <si>
    <t>2.3</t>
  </si>
  <si>
    <t>52892.33</t>
  </si>
  <si>
    <t>4137.16</t>
  </si>
  <si>
    <t>27043.45</t>
  </si>
  <si>
    <t>3302.02</t>
  </si>
  <si>
    <t>48797.59</t>
  </si>
  <si>
    <t>1299.61</t>
  </si>
  <si>
    <t>16368.43</t>
  </si>
  <si>
    <t>29828.63</t>
  </si>
  <si>
    <t>52804.53</t>
  </si>
  <si>
    <t>481.68</t>
  </si>
  <si>
    <t>14304.35</t>
  </si>
  <si>
    <t>25573.19</t>
  </si>
  <si>
    <t>18908.62</t>
  </si>
  <si>
    <t>131581.15</t>
  </si>
  <si>
    <t>28.71</t>
  </si>
  <si>
    <t>164.23</t>
  </si>
  <si>
    <t>58.47</t>
  </si>
  <si>
    <t>151377.53</t>
  </si>
  <si>
    <t>1497.11</t>
  </si>
  <si>
    <t>302.83</t>
  </si>
  <si>
    <t>20599.52</t>
  </si>
  <si>
    <t>37414.13</t>
  </si>
  <si>
    <t>25247.26</t>
  </si>
  <si>
    <t>137495.98</t>
  </si>
  <si>
    <t>1745.46</t>
  </si>
  <si>
    <t>389.1</t>
  </si>
  <si>
    <t>95164.77</t>
  </si>
  <si>
    <t>37675.2</t>
  </si>
  <si>
    <t>33175.86</t>
  </si>
  <si>
    <t>78.8</t>
  </si>
  <si>
    <t>246664.33</t>
  </si>
  <si>
    <t>1152.41</t>
  </si>
  <si>
    <t>362.64</t>
  </si>
  <si>
    <t>49744.92</t>
  </si>
  <si>
    <t>36225.76</t>
  </si>
  <si>
    <t>144.85</t>
  </si>
  <si>
    <t>35628.91</t>
  </si>
  <si>
    <t>3385.09</t>
  </si>
  <si>
    <t>14991.52</t>
  </si>
  <si>
    <t>44.91</t>
  </si>
  <si>
    <t>12170.06</t>
  </si>
  <si>
    <t>26912.75</t>
  </si>
  <si>
    <t>3895.59</t>
  </si>
  <si>
    <t>112.87</t>
  </si>
  <si>
    <t>14866.87</t>
  </si>
  <si>
    <t>124.85</t>
  </si>
  <si>
    <t>26280.37</t>
  </si>
  <si>
    <t>28374.73</t>
  </si>
  <si>
    <t>9846.44</t>
  </si>
  <si>
    <t>93.47</t>
  </si>
  <si>
    <t>16145.98</t>
  </si>
  <si>
    <t>17198.14</t>
  </si>
  <si>
    <t>17663.3</t>
  </si>
  <si>
    <t>8631.22</t>
  </si>
  <si>
    <t>30030.63</t>
  </si>
  <si>
    <t>2.88</t>
  </si>
  <si>
    <t>33626.22</t>
  </si>
  <si>
    <t>522.6</t>
  </si>
  <si>
    <t>2170.08</t>
  </si>
  <si>
    <t>24890.25</t>
  </si>
  <si>
    <t>1220.89</t>
  </si>
  <si>
    <t>80.11</t>
  </si>
  <si>
    <t>37173.64</t>
  </si>
  <si>
    <t>1873.2</t>
  </si>
  <si>
    <t>11324.58</t>
  </si>
  <si>
    <t>29808.79</t>
  </si>
  <si>
    <t>2528.76</t>
  </si>
  <si>
    <t>94.83</t>
  </si>
  <si>
    <t>35135.23</t>
  </si>
  <si>
    <t>54.66</t>
  </si>
  <si>
    <t>349.3</t>
  </si>
  <si>
    <t>4823.1</t>
  </si>
  <si>
    <t>3204.07</t>
  </si>
  <si>
    <t>155099.22</t>
  </si>
  <si>
    <t>8.01</t>
  </si>
  <si>
    <t>18.2</t>
  </si>
  <si>
    <t>52.39</t>
  </si>
  <si>
    <t>129866.64</t>
  </si>
  <si>
    <t>4237.32</t>
  </si>
  <si>
    <t>13907.89</t>
  </si>
  <si>
    <t>37974.02</t>
  </si>
  <si>
    <t>16295.44</t>
  </si>
  <si>
    <t>59.71</t>
  </si>
  <si>
    <t>92269.24</t>
  </si>
  <si>
    <t>19638.42</t>
  </si>
  <si>
    <t>261.87</t>
  </si>
  <si>
    <t>50506.91</t>
  </si>
  <si>
    <t>36249.21</t>
  </si>
  <si>
    <t>24939.53</t>
  </si>
  <si>
    <t>179745.11</t>
  </si>
  <si>
    <t>367.85</t>
  </si>
  <si>
    <t>613.67</t>
  </si>
  <si>
    <t>17045.71</t>
  </si>
  <si>
    <t>5740.09</t>
  </si>
  <si>
    <t>1114.31</t>
  </si>
  <si>
    <t>16.84</t>
  </si>
  <si>
    <t>298.1</t>
  </si>
  <si>
    <t>11470.08</t>
  </si>
  <si>
    <t>51.45</t>
  </si>
  <si>
    <t>11201.99</t>
  </si>
  <si>
    <t>29976.16</t>
  </si>
  <si>
    <t>4146.7</t>
  </si>
  <si>
    <t>795.2</t>
  </si>
  <si>
    <t>13986.41</t>
  </si>
  <si>
    <t>404.09</t>
  </si>
  <si>
    <t>20853.19</t>
  </si>
  <si>
    <t>27905.49</t>
  </si>
  <si>
    <t>13421.29</t>
  </si>
  <si>
    <t>285.87</t>
  </si>
  <si>
    <t>2.59</t>
  </si>
  <si>
    <t>4183.89</t>
  </si>
  <si>
    <t>13493.57</t>
  </si>
  <si>
    <t>6620.45</t>
  </si>
  <si>
    <t>1098.73</t>
  </si>
  <si>
    <t>15.49</t>
  </si>
  <si>
    <t>2750.74</t>
  </si>
  <si>
    <t>1.31</t>
  </si>
  <si>
    <t>82.12</t>
  </si>
  <si>
    <t>2592.09</t>
  </si>
  <si>
    <t>47.76</t>
  </si>
  <si>
    <t>4001.13</t>
  </si>
  <si>
    <t>698.34</t>
  </si>
  <si>
    <t>6146.77</t>
  </si>
  <si>
    <t>593.58</t>
  </si>
  <si>
    <t>2191.49</t>
  </si>
  <si>
    <t>156.31</t>
  </si>
  <si>
    <t>501.98</t>
  </si>
  <si>
    <t>308.15</t>
  </si>
  <si>
    <t>28597.34</t>
  </si>
  <si>
    <t>31354.82</t>
  </si>
  <si>
    <t>171.41</t>
  </si>
  <si>
    <t>3965.01</t>
  </si>
  <si>
    <t>27129.85</t>
  </si>
  <si>
    <t>1908.23</t>
  </si>
  <si>
    <t>37092.39</t>
  </si>
  <si>
    <t>827.88</t>
  </si>
  <si>
    <t>35678.95</t>
  </si>
  <si>
    <t>31756.12</t>
  </si>
  <si>
    <t>4264.39</t>
  </si>
  <si>
    <t>45262.24</t>
  </si>
  <si>
    <t>454.46</t>
  </si>
  <si>
    <t>32435.79</t>
  </si>
  <si>
    <t>33218.87</t>
  </si>
  <si>
    <t>22431.36</t>
  </si>
  <si>
    <t>137206.01</t>
  </si>
  <si>
    <t>598.89</t>
  </si>
  <si>
    <t>916.24</t>
  </si>
  <si>
    <t>62.43</t>
  </si>
  <si>
    <t>126012.67</t>
  </si>
  <si>
    <t>869.08</t>
  </si>
  <si>
    <t>38494.01</t>
  </si>
  <si>
    <t>37573.21</t>
  </si>
  <si>
    <t>11440.19</t>
  </si>
  <si>
    <t>108168.29</t>
  </si>
  <si>
    <t>1457.03</t>
  </si>
  <si>
    <t>68909.83</t>
  </si>
  <si>
    <t>37131.03</t>
  </si>
  <si>
    <t>123.2</t>
  </si>
  <si>
    <t>19425.82</t>
  </si>
  <si>
    <t>316211.5</t>
  </si>
  <si>
    <t>750.88</t>
  </si>
  <si>
    <t>25468.33</t>
  </si>
  <si>
    <t>35698.61</t>
  </si>
  <si>
    <t>119.93</t>
  </si>
  <si>
    <t>23963.65</t>
  </si>
  <si>
    <t>2752.81</t>
  </si>
  <si>
    <t>39.91</t>
  </si>
  <si>
    <t>6.02</t>
  </si>
  <si>
    <t>70788.18</t>
  </si>
  <si>
    <t>206.9</t>
  </si>
  <si>
    <t>11560.42</t>
  </si>
  <si>
    <t>29025.81</t>
  </si>
  <si>
    <t>598.67</t>
  </si>
  <si>
    <t>74760.7</t>
  </si>
  <si>
    <t>347.16</t>
  </si>
  <si>
    <t>34067.16</t>
  </si>
  <si>
    <t>29456.46</t>
  </si>
  <si>
    <t>8088.27</t>
  </si>
  <si>
    <t>56935.61</t>
  </si>
  <si>
    <t>173.58</t>
  </si>
  <si>
    <t>21230.44</t>
  </si>
  <si>
    <t>27375.65</t>
  </si>
  <si>
    <t>14093.67</t>
  </si>
  <si>
    <t>36940.5</t>
  </si>
  <si>
    <t>24.96</t>
  </si>
  <si>
    <t>17260.68</t>
  </si>
  <si>
    <t>40.17</t>
  </si>
  <si>
    <t>1751.86</t>
  </si>
  <si>
    <t>14282.43</t>
  </si>
  <si>
    <t>449.6</t>
  </si>
  <si>
    <t>463.09</t>
  </si>
  <si>
    <t>12544.2</t>
  </si>
  <si>
    <t>24334.74</t>
  </si>
  <si>
    <t>1005.47</t>
  </si>
  <si>
    <t>28941.76</t>
  </si>
  <si>
    <t>158.35</t>
  </si>
  <si>
    <t>6142.55</t>
  </si>
  <si>
    <t>20913.57</t>
  </si>
  <si>
    <t>5998.64</t>
  </si>
  <si>
    <t>99572.23</t>
  </si>
  <si>
    <t>12.34</t>
  </si>
  <si>
    <t>599.22</t>
  </si>
  <si>
    <t>62.32</t>
  </si>
  <si>
    <t>84156.27</t>
  </si>
  <si>
    <t>709.95</t>
  </si>
  <si>
    <t>15060.01</t>
  </si>
  <si>
    <t>34179.41</t>
  </si>
  <si>
    <t>4434.21</t>
  </si>
  <si>
    <t>82263.56</t>
  </si>
  <si>
    <t>2106.48</t>
  </si>
  <si>
    <t>37613.16</t>
  </si>
  <si>
    <t>35500.3</t>
  </si>
  <si>
    <t>5761.3</t>
  </si>
  <si>
    <t>84358.65</t>
  </si>
  <si>
    <t>180.99</t>
  </si>
  <si>
    <t>5600.88</t>
  </si>
  <si>
    <t>28152.01</t>
  </si>
  <si>
    <t>4462.49</t>
  </si>
  <si>
    <t>1653.32</t>
  </si>
  <si>
    <t>4.68</t>
  </si>
  <si>
    <t>636.55</t>
  </si>
  <si>
    <t>15861.49</t>
  </si>
  <si>
    <t>157.17</t>
  </si>
  <si>
    <t>4768.18</t>
  </si>
  <si>
    <t>36.81</t>
  </si>
  <si>
    <t>9319.61</t>
  </si>
  <si>
    <t>20525.58</t>
  </si>
  <si>
    <t>456.59</t>
  </si>
  <si>
    <t>474.97</t>
  </si>
  <si>
    <t>128.15</t>
  </si>
  <si>
    <t>20884.01</t>
  </si>
  <si>
    <t>24821.04</t>
  </si>
  <si>
    <t>3238.91</t>
  </si>
  <si>
    <t>2289.57</t>
  </si>
  <si>
    <t>6848.31</t>
  </si>
  <si>
    <t>7.4</t>
  </si>
  <si>
    <t>14144.56</t>
  </si>
  <si>
    <t>22348.61</t>
  </si>
  <si>
    <t>6694.79</t>
  </si>
  <si>
    <t>4284.98</t>
  </si>
  <si>
    <t>35.9</t>
  </si>
  <si>
    <t>111.46</t>
  </si>
  <si>
    <t>27755.95</t>
  </si>
  <si>
    <t>354.22</t>
  </si>
  <si>
    <t>11499.15</t>
  </si>
  <si>
    <t>26873.06</t>
  </si>
  <si>
    <t>2992.15</t>
  </si>
  <si>
    <t>506.63</t>
  </si>
  <si>
    <t>19880.94</t>
  </si>
  <si>
    <t>853.98</t>
  </si>
  <si>
    <t>39160.84</t>
  </si>
  <si>
    <t>28017.29</t>
  </si>
  <si>
    <t>5292.9</t>
  </si>
  <si>
    <t>11711.57</t>
  </si>
  <si>
    <t>18772.4</t>
  </si>
  <si>
    <t>36.17</t>
  </si>
  <si>
    <t>23853.85</t>
  </si>
  <si>
    <t>25082.86</t>
  </si>
  <si>
    <t>16534.14</t>
  </si>
  <si>
    <t>85276.93</t>
  </si>
  <si>
    <t>7.48</t>
  </si>
  <si>
    <t>299.77</t>
  </si>
  <si>
    <t>12.6</t>
  </si>
  <si>
    <t>106236.6</t>
  </si>
  <si>
    <t>58056.06</t>
  </si>
  <si>
    <t>35886.59</t>
  </si>
  <si>
    <t>12886.08</t>
  </si>
  <si>
    <t>96624.7</t>
  </si>
  <si>
    <t>5447.09</t>
  </si>
  <si>
    <t>103814.27</t>
  </si>
  <si>
    <t>35888.15</t>
  </si>
  <si>
    <t>133.11</t>
  </si>
  <si>
    <t>20220.36</t>
  </si>
  <si>
    <t>110865.18</t>
  </si>
  <si>
    <t>230.44</t>
  </si>
  <si>
    <t>24070.81</t>
  </si>
  <si>
    <t>32658.1</t>
  </si>
  <si>
    <t>20015.22</t>
  </si>
  <si>
    <t>874.04</t>
  </si>
  <si>
    <t>110.31</t>
  </si>
  <si>
    <t>161.45</t>
  </si>
  <si>
    <t>5392.39</t>
  </si>
  <si>
    <t>27.51</t>
  </si>
  <si>
    <t>7095.59</t>
  </si>
  <si>
    <t>25476.84</t>
  </si>
  <si>
    <t>2279.61</t>
  </si>
  <si>
    <t>555.06</t>
  </si>
  <si>
    <t>6903.17</t>
  </si>
  <si>
    <t>202.87</t>
  </si>
  <si>
    <t>23361.71</t>
  </si>
  <si>
    <t>27737.88</t>
  </si>
  <si>
    <t>9933.12</t>
  </si>
  <si>
    <t>1856.76</t>
  </si>
  <si>
    <t>4955.04</t>
  </si>
  <si>
    <t>10080.13</t>
  </si>
  <si>
    <t>19994.4</t>
  </si>
  <si>
    <t>7217.64</t>
  </si>
  <si>
    <t>48596.68</t>
  </si>
  <si>
    <t>1.09</t>
  </si>
  <si>
    <t>29526.75</t>
  </si>
  <si>
    <t>30.23</t>
  </si>
  <si>
    <t>280.77</t>
  </si>
  <si>
    <t>8136.62</t>
  </si>
  <si>
    <t>222.95</t>
  </si>
  <si>
    <t>49733.32</t>
  </si>
  <si>
    <t>318.6</t>
  </si>
  <si>
    <t>17860.33</t>
  </si>
  <si>
    <t>482.01</t>
  </si>
  <si>
    <t>81.43</t>
  </si>
  <si>
    <t>51406.98</t>
  </si>
  <si>
    <t>58.03</t>
  </si>
  <si>
    <t>2700.53</t>
  </si>
  <si>
    <t>5885.05</t>
  </si>
  <si>
    <t>76667.48</t>
  </si>
  <si>
    <t>0.75</t>
  </si>
  <si>
    <t>9.35</t>
  </si>
  <si>
    <t>12.39</t>
  </si>
  <si>
    <t>9.7</t>
  </si>
  <si>
    <t>64368.59</t>
  </si>
  <si>
    <t>9020.67</t>
  </si>
  <si>
    <t>32042.63</t>
  </si>
  <si>
    <t>7025.53</t>
  </si>
  <si>
    <t>45002.61</t>
  </si>
  <si>
    <t>806.2</t>
  </si>
  <si>
    <t>34453.55</t>
  </si>
  <si>
    <t>33615.71</t>
  </si>
  <si>
    <t>14171.96</t>
  </si>
  <si>
    <t>121943.95</t>
  </si>
  <si>
    <t>50.8</t>
  </si>
  <si>
    <t>4180.37</t>
  </si>
  <si>
    <t>14802.02</t>
  </si>
  <si>
    <t>89.81</t>
  </si>
  <si>
    <t>11460.3</t>
  </si>
  <si>
    <t>962.82</t>
  </si>
  <si>
    <t>10081.1</t>
  </si>
  <si>
    <t>37.13</t>
  </si>
  <si>
    <t>2638.74</t>
  </si>
  <si>
    <t>18376.76</t>
  </si>
  <si>
    <t>323.86</t>
  </si>
  <si>
    <t>17732.56</t>
  </si>
  <si>
    <t>222.4</t>
  </si>
  <si>
    <t>22222.34</t>
  </si>
  <si>
    <t>3695.98</t>
  </si>
  <si>
    <t>12325.81</t>
  </si>
  <si>
    <t>3963.88</t>
  </si>
  <si>
    <t>10863.26</t>
  </si>
  <si>
    <t>4134.49</t>
  </si>
  <si>
    <t>13.65</t>
  </si>
  <si>
    <t>3.1</t>
  </si>
  <si>
    <t>37082.24</t>
  </si>
  <si>
    <t>327.02</t>
  </si>
  <si>
    <t>1838.1</t>
  </si>
  <si>
    <t>15386.76</t>
  </si>
  <si>
    <t>622.23</t>
  </si>
  <si>
    <t>1603.79</t>
  </si>
  <si>
    <t>9569.81</t>
  </si>
  <si>
    <t>21319.51</t>
  </si>
  <si>
    <t>1403.93</t>
  </si>
  <si>
    <t>748.47</t>
  </si>
  <si>
    <t>32633.39</t>
  </si>
  <si>
    <t>495.61</t>
  </si>
  <si>
    <t>19743.36</t>
  </si>
  <si>
    <t>16535.6</t>
  </si>
  <si>
    <t>16251.04</t>
  </si>
  <si>
    <t>62853.99</t>
  </si>
  <si>
    <t>10.64</t>
  </si>
  <si>
    <t>48623.41</t>
  </si>
  <si>
    <t>884.52</t>
  </si>
  <si>
    <t>2131.87</t>
  </si>
  <si>
    <t>23414.08</t>
  </si>
  <si>
    <t>2960.67</t>
  </si>
  <si>
    <t>51691.8</t>
  </si>
  <si>
    <t>2549.05</t>
  </si>
  <si>
    <t>222.51</t>
  </si>
  <si>
    <t>17370.95</t>
  </si>
  <si>
    <t>30790.54</t>
  </si>
  <si>
    <t>6571.6</t>
  </si>
  <si>
    <t>66265.16</t>
  </si>
  <si>
    <t>152.87</t>
  </si>
  <si>
    <t>826.66</t>
  </si>
  <si>
    <t>11729.11</t>
  </si>
  <si>
    <t>7200.05</t>
  </si>
  <si>
    <t>821.91</t>
  </si>
  <si>
    <t>10096.08</t>
  </si>
  <si>
    <t>191.57</t>
  </si>
  <si>
    <t>4873.86</t>
  </si>
  <si>
    <t>18468.37</t>
  </si>
  <si>
    <t>1310.06</t>
  </si>
  <si>
    <t>9902.36</t>
  </si>
  <si>
    <t>62.41</t>
  </si>
  <si>
    <t>14866.96</t>
  </si>
  <si>
    <t>16952.75</t>
  </si>
  <si>
    <t>3252.23</t>
  </si>
  <si>
    <t>134.48</t>
  </si>
  <si>
    <t>3818.64</t>
  </si>
  <si>
    <t>8311.2</t>
  </si>
  <si>
    <t>6161.2</t>
  </si>
  <si>
    <t>5097.85</t>
  </si>
  <si>
    <t>47801.78</t>
  </si>
  <si>
    <t>3.32</t>
  </si>
  <si>
    <t>22.99</t>
  </si>
  <si>
    <t>35376.75</t>
  </si>
  <si>
    <t>246.73</t>
  </si>
  <si>
    <t>2780.33</t>
  </si>
  <si>
    <t>24787.43</t>
  </si>
  <si>
    <t>52848.41</t>
  </si>
  <si>
    <t>942.09</t>
  </si>
  <si>
    <t>11923.46</t>
  </si>
  <si>
    <t>31386.55</t>
  </si>
  <si>
    <t>1604.64</t>
  </si>
  <si>
    <t>65476.43</t>
  </si>
  <si>
    <t>496.32</t>
  </si>
  <si>
    <t>5908.89</t>
  </si>
  <si>
    <t>29727.41</t>
  </si>
  <si>
    <t>8400.54</t>
  </si>
  <si>
    <t>132910.73</t>
  </si>
  <si>
    <t>40.91</t>
  </si>
  <si>
    <t>4445.45</t>
  </si>
  <si>
    <t>120.75</t>
  </si>
  <si>
    <t>121616.43</t>
  </si>
  <si>
    <t>1195.25</t>
  </si>
  <si>
    <t>6502.64</t>
  </si>
  <si>
    <t>36810.41</t>
  </si>
  <si>
    <t>3586.25</t>
  </si>
  <si>
    <t>42.96</t>
  </si>
  <si>
    <t>147835.11</t>
  </si>
  <si>
    <t>2801.18</t>
  </si>
  <si>
    <t>23000.46</t>
  </si>
  <si>
    <t>38295.75</t>
  </si>
  <si>
    <t>99.13</t>
  </si>
  <si>
    <t>5324.51</t>
  </si>
  <si>
    <t>97108.02</t>
  </si>
  <si>
    <t>134.01</t>
  </si>
  <si>
    <t>2994.02</t>
  </si>
  <si>
    <t>30717.16</t>
  </si>
  <si>
    <t>3953.72</t>
  </si>
  <si>
    <t>301.74</t>
  </si>
  <si>
    <t>5.54</t>
  </si>
  <si>
    <t>13663.19</t>
  </si>
  <si>
    <t>41.75</t>
  </si>
  <si>
    <t>531.13</t>
  </si>
  <si>
    <t>20645.86</t>
  </si>
  <si>
    <t>309.89</t>
  </si>
  <si>
    <t>23827.28</t>
  </si>
  <si>
    <t>251.44</t>
  </si>
  <si>
    <t>4495.17</t>
  </si>
  <si>
    <t>24062.81</t>
  </si>
  <si>
    <t>2599.34</t>
  </si>
  <si>
    <t>22404.73</t>
  </si>
  <si>
    <t>64.45</t>
  </si>
  <si>
    <t>1778.49</t>
  </si>
  <si>
    <t>17357.52</t>
  </si>
  <si>
    <t>3632.9</t>
  </si>
  <si>
    <t>16808.4</t>
  </si>
  <si>
    <t>1.3</t>
  </si>
  <si>
    <t>43405.66</t>
  </si>
  <si>
    <t>127.46</t>
  </si>
  <si>
    <t>2854.17</t>
  </si>
  <si>
    <t>21697.79</t>
  </si>
  <si>
    <t>1018.26</t>
  </si>
  <si>
    <t>231.56</t>
  </si>
  <si>
    <t>50090.89</t>
  </si>
  <si>
    <t>494.43</t>
  </si>
  <si>
    <t>15666.4</t>
  </si>
  <si>
    <t>29014.63</t>
  </si>
  <si>
    <t>1887.89</t>
  </si>
  <si>
    <t>455.44</t>
  </si>
  <si>
    <t>21.57</t>
  </si>
  <si>
    <t>1848.14</t>
  </si>
  <si>
    <t>10987.93</t>
  </si>
  <si>
    <t>3245.57</t>
  </si>
  <si>
    <t>22327.06</t>
  </si>
  <si>
    <t>4.24</t>
  </si>
  <si>
    <t>38.4</t>
  </si>
  <si>
    <t>1438.13</t>
  </si>
  <si>
    <t>11683.8</t>
  </si>
  <si>
    <t>34231.02</t>
  </si>
  <si>
    <t>8676.28</t>
  </si>
  <si>
    <t>54819.37</t>
  </si>
  <si>
    <t>2860.44</t>
  </si>
  <si>
    <t>28890.5</t>
  </si>
  <si>
    <t>37273.63</t>
  </si>
  <si>
    <t>13569.05</t>
  </si>
  <si>
    <t>36438.56</t>
  </si>
  <si>
    <t>854.37</t>
  </si>
  <si>
    <t>12045.59</t>
  </si>
  <si>
    <t>2438.08</t>
  </si>
  <si>
    <t>457.47</t>
  </si>
  <si>
    <t>2081.13</t>
  </si>
  <si>
    <t>143.35</t>
  </si>
  <si>
    <t>5182.33</t>
  </si>
  <si>
    <t>72.67</t>
  </si>
  <si>
    <t>12334.21</t>
  </si>
  <si>
    <t>23942.02</t>
  </si>
  <si>
    <t>1146.1</t>
  </si>
  <si>
    <t>1402.28</t>
  </si>
  <si>
    <t>145.04</t>
  </si>
  <si>
    <t>40055.09</t>
  </si>
  <si>
    <t>24766.77</t>
  </si>
  <si>
    <t>6665.75</t>
  </si>
  <si>
    <t>1078.98</t>
  </si>
  <si>
    <t>8173.14</t>
  </si>
  <si>
    <t>7.05</t>
  </si>
  <si>
    <t>9298.29</t>
  </si>
  <si>
    <t>13755.14</t>
  </si>
  <si>
    <t>4567.15</t>
  </si>
  <si>
    <t>43643.81</t>
  </si>
  <si>
    <t>3.44</t>
  </si>
  <si>
    <t>31415.47</t>
  </si>
  <si>
    <t>188.28</t>
  </si>
  <si>
    <t>827.15</t>
  </si>
  <si>
    <t>1162.65</t>
  </si>
  <si>
    <t>47749.28</t>
  </si>
  <si>
    <t>2061.45</t>
  </si>
  <si>
    <t>6969.41</t>
  </si>
  <si>
    <t>27792.55</t>
  </si>
  <si>
    <t>4243.8</t>
  </si>
  <si>
    <t>49080.37</t>
  </si>
  <si>
    <t>1041.32</t>
  </si>
  <si>
    <t>35398.49</t>
  </si>
  <si>
    <t>27421.82</t>
  </si>
  <si>
    <t>25934.5</t>
  </si>
  <si>
    <t>74065.92</t>
  </si>
  <si>
    <t>67.08</t>
  </si>
  <si>
    <t>30.18</t>
  </si>
  <si>
    <t>35.3</t>
  </si>
  <si>
    <t>45299.45</t>
  </si>
  <si>
    <t>832.61</t>
  </si>
  <si>
    <t>5560.72</t>
  </si>
  <si>
    <t>31929.63</t>
  </si>
  <si>
    <t>8202.45</t>
  </si>
  <si>
    <t>42652.51</t>
  </si>
  <si>
    <t>922.26</t>
  </si>
  <si>
    <t>10511.21</t>
  </si>
  <si>
    <t>29876.11</t>
  </si>
  <si>
    <t>15152.78</t>
  </si>
  <si>
    <t>613.94</t>
  </si>
  <si>
    <t>8375.55</t>
  </si>
  <si>
    <t>28596.95</t>
  </si>
  <si>
    <t>12783.55</t>
  </si>
  <si>
    <t>1681.45</t>
  </si>
  <si>
    <t>9652.29</t>
  </si>
  <si>
    <t>3467.64</t>
  </si>
  <si>
    <t>22723.33</t>
  </si>
  <si>
    <t>1679.93</t>
  </si>
  <si>
    <t>228.25</t>
  </si>
  <si>
    <t>13331.58</t>
  </si>
  <si>
    <t>381.71</t>
  </si>
  <si>
    <t>15706.71</t>
  </si>
  <si>
    <t>25943.86</t>
  </si>
  <si>
    <t>11353.21</t>
  </si>
  <si>
    <t>16.58</t>
  </si>
  <si>
    <t>8757.96</t>
  </si>
  <si>
    <t>15499.65</t>
  </si>
  <si>
    <t>8837.04</t>
  </si>
  <si>
    <t>44075.88</t>
  </si>
  <si>
    <t>47959.64</t>
  </si>
  <si>
    <t>513.84</t>
  </si>
  <si>
    <t>7506.22</t>
  </si>
  <si>
    <t>27696.91</t>
  </si>
  <si>
    <t>1060.95</t>
  </si>
  <si>
    <t>29767.97</t>
  </si>
  <si>
    <t>1648.83</t>
  </si>
  <si>
    <t>30885.28</t>
  </si>
  <si>
    <t>19451.65</t>
  </si>
  <si>
    <t>73.71</t>
  </si>
  <si>
    <t>3281.04</t>
  </si>
  <si>
    <t>286.53</t>
  </si>
  <si>
    <t>23434.51</t>
  </si>
  <si>
    <t>394.83</t>
  </si>
  <si>
    <t>53443.04</t>
  </si>
  <si>
    <t>17804.93</t>
  </si>
  <si>
    <t>143.1</t>
  </si>
  <si>
    <t>123.17</t>
  </si>
  <si>
    <t>173.33</t>
  </si>
  <si>
    <t>52.86</t>
  </si>
  <si>
    <t>44.79</t>
  </si>
  <si>
    <t>56624.58</t>
  </si>
  <si>
    <t>1219.8</t>
  </si>
  <si>
    <t>18292.55</t>
  </si>
  <si>
    <t>21066.76</t>
  </si>
  <si>
    <t>95.81</t>
  </si>
  <si>
    <t>7048.03</t>
  </si>
  <si>
    <t>45949.31</t>
  </si>
  <si>
    <t>1935.7</t>
  </si>
  <si>
    <t>196.15</t>
  </si>
  <si>
    <t>65096.51</t>
  </si>
  <si>
    <t>21843.09</t>
  </si>
  <si>
    <t>15847.05</t>
  </si>
  <si>
    <t>185408.27</t>
  </si>
  <si>
    <t>1113.71</t>
  </si>
  <si>
    <t>20649.36</t>
  </si>
  <si>
    <t>19569.79</t>
  </si>
  <si>
    <t>126.92</t>
  </si>
  <si>
    <t>1803.22</t>
  </si>
  <si>
    <t>17.05</t>
  </si>
  <si>
    <t>108.51</t>
  </si>
  <si>
    <t>16972.85</t>
  </si>
  <si>
    <t>180.67</t>
  </si>
  <si>
    <t>7400.64</t>
  </si>
  <si>
    <t>16738.65</t>
  </si>
  <si>
    <t>46.23</t>
  </si>
  <si>
    <t>1028.32</t>
  </si>
  <si>
    <t>17663.25</t>
  </si>
  <si>
    <t>241.37</t>
  </si>
  <si>
    <t>20330.78</t>
  </si>
  <si>
    <t>17073.72</t>
  </si>
  <si>
    <t>2754.19</t>
  </si>
  <si>
    <t>82.91</t>
  </si>
  <si>
    <t>17216.31</t>
  </si>
  <si>
    <t>45.18</t>
  </si>
  <si>
    <t>14004.47</t>
  </si>
  <si>
    <t>14789.8</t>
  </si>
  <si>
    <t>77.31</t>
  </si>
  <si>
    <t>5948.48</t>
  </si>
  <si>
    <t>13118.16</t>
  </si>
  <si>
    <t>13.1</t>
  </si>
  <si>
    <t>15052.66</t>
  </si>
  <si>
    <t>32.21</t>
  </si>
  <si>
    <t>388.79</t>
  </si>
  <si>
    <t>6395.77</t>
  </si>
  <si>
    <t>23.17</t>
  </si>
  <si>
    <t>235.97</t>
  </si>
  <si>
    <t>20257.66</t>
  </si>
  <si>
    <t>314.08</t>
  </si>
  <si>
    <t>2602.06</t>
  </si>
  <si>
    <t>10357.97</t>
  </si>
  <si>
    <t>42.98</t>
  </si>
  <si>
    <t>583.55</t>
  </si>
  <si>
    <t>321.49</t>
  </si>
  <si>
    <t>17294.94</t>
  </si>
  <si>
    <t>95.77</t>
  </si>
  <si>
    <t>97.13</t>
  </si>
  <si>
    <t>7126.26</t>
  </si>
  <si>
    <t>7501.4</t>
  </si>
  <si>
    <t>66.61</t>
  </si>
  <si>
    <t>8195.66</t>
  </si>
  <si>
    <t>190460.41</t>
  </si>
  <si>
    <t>445.04</t>
  </si>
  <si>
    <t>82000.16</t>
  </si>
  <si>
    <t>1496.43</t>
  </si>
  <si>
    <t>9746.56</t>
  </si>
  <si>
    <t>19253.5</t>
  </si>
  <si>
    <t>6301.66</t>
  </si>
  <si>
    <t>48.33</t>
  </si>
  <si>
    <t>63541.76</t>
  </si>
  <si>
    <t>3265.86</t>
  </si>
  <si>
    <t>60530.21</t>
  </si>
  <si>
    <t>21555.09</t>
  </si>
  <si>
    <t>124.93</t>
  </si>
  <si>
    <t>13512.71</t>
  </si>
  <si>
    <t>1620.98</t>
  </si>
  <si>
    <t>15683.18</t>
  </si>
  <si>
    <t>18134.83</t>
  </si>
  <si>
    <t>147.2</t>
  </si>
  <si>
    <t>3175.97</t>
  </si>
  <si>
    <t>10.38</t>
  </si>
  <si>
    <t>94.88</t>
  </si>
  <si>
    <t>8887.82</t>
  </si>
  <si>
    <t>48.61</t>
  </si>
  <si>
    <t>8380.45</t>
  </si>
  <si>
    <t>14613.72</t>
  </si>
  <si>
    <t>36.64</t>
  </si>
  <si>
    <t>1203.02</t>
  </si>
  <si>
    <t>220.08</t>
  </si>
  <si>
    <t>11822.17</t>
  </si>
  <si>
    <t>290.88</t>
  </si>
  <si>
    <t>20115.27</t>
  </si>
  <si>
    <t>15044.78</t>
  </si>
  <si>
    <t>56.23</t>
  </si>
  <si>
    <t>4087.15</t>
  </si>
  <si>
    <t>411.64</t>
  </si>
  <si>
    <t>7263.78</t>
  </si>
  <si>
    <t>10.11</t>
  </si>
  <si>
    <t>13769.49</t>
  </si>
  <si>
    <t>7708.97</t>
  </si>
  <si>
    <t>7545.79</t>
  </si>
  <si>
    <t>16666.11</t>
  </si>
  <si>
    <t>0.69</t>
  </si>
  <si>
    <t>36.93</t>
  </si>
  <si>
    <t>2.8</t>
  </si>
  <si>
    <t>17896.14</t>
  </si>
  <si>
    <t>119.25</t>
  </si>
  <si>
    <t>2199.52</t>
  </si>
  <si>
    <t>8224.79</t>
  </si>
  <si>
    <t>38.2</t>
  </si>
  <si>
    <t>346.59</t>
  </si>
  <si>
    <t>158.71</t>
  </si>
  <si>
    <t>20538.88</t>
  </si>
  <si>
    <t>449.28</t>
  </si>
  <si>
    <t>10017.97</t>
  </si>
  <si>
    <t>12076.06</t>
  </si>
  <si>
    <t>49.52</t>
  </si>
  <si>
    <t>765.82</t>
  </si>
  <si>
    <t>2469.8</t>
  </si>
  <si>
    <t>21847.87</t>
  </si>
  <si>
    <t>153.38</t>
  </si>
  <si>
    <t>13377.15</t>
  </si>
  <si>
    <t>9309.05</t>
  </si>
  <si>
    <t>88.32</t>
  </si>
  <si>
    <t>10034.71</t>
  </si>
  <si>
    <t>7.45</t>
  </si>
  <si>
    <t>27829.64</t>
  </si>
  <si>
    <t>27.52</t>
  </si>
  <si>
    <t>4.12</t>
  </si>
  <si>
    <t>22401.12</t>
  </si>
  <si>
    <t>1385.99</t>
  </si>
  <si>
    <t>11910.38</t>
  </si>
  <si>
    <t>17447.19</t>
  </si>
  <si>
    <t>6358.55</t>
  </si>
  <si>
    <t>16895.66</t>
  </si>
  <si>
    <t>1303.86</t>
  </si>
  <si>
    <t>28960.72</t>
  </si>
  <si>
    <t>18578.41</t>
  </si>
  <si>
    <t>8437.4</t>
  </si>
  <si>
    <t>43.08</t>
  </si>
  <si>
    <t>61726.37</t>
  </si>
  <si>
    <t>646.89</t>
  </si>
  <si>
    <t>209.72</t>
  </si>
  <si>
    <t>11348.25</t>
  </si>
  <si>
    <t>16307.51</t>
  </si>
  <si>
    <t>82128.81</t>
  </si>
  <si>
    <t>1.83</t>
  </si>
  <si>
    <t>2000.8</t>
  </si>
  <si>
    <t>13.57</t>
  </si>
  <si>
    <t>10.36</t>
  </si>
  <si>
    <t>711.54</t>
  </si>
  <si>
    <t>7889.51</t>
  </si>
  <si>
    <t>13.66</t>
  </si>
  <si>
    <t>511.37</t>
  </si>
  <si>
    <t>4379.37</t>
  </si>
  <si>
    <t>54.99</t>
  </si>
  <si>
    <t>11389.71</t>
  </si>
  <si>
    <t>651.39</t>
  </si>
  <si>
    <t>57.06</t>
  </si>
  <si>
    <t>4519.43</t>
  </si>
  <si>
    <t>83.95</t>
  </si>
  <si>
    <t>11515.19</t>
  </si>
  <si>
    <t>8127.73</t>
  </si>
  <si>
    <t>1212.85</t>
  </si>
  <si>
    <t>92.91</t>
  </si>
  <si>
    <t>3346.44</t>
  </si>
  <si>
    <t>5993.73</t>
  </si>
  <si>
    <t>4907.65</t>
  </si>
  <si>
    <t>30.5</t>
  </si>
  <si>
    <t>2841.53</t>
  </si>
  <si>
    <t>9768.27</t>
  </si>
  <si>
    <t>1.19</t>
  </si>
  <si>
    <t>8.78</t>
  </si>
  <si>
    <t>12729.74</t>
  </si>
  <si>
    <t>85.48</t>
  </si>
  <si>
    <t>556.95</t>
  </si>
  <si>
    <t>7539.21</t>
  </si>
  <si>
    <t>259.96</t>
  </si>
  <si>
    <t>20095.59</t>
  </si>
  <si>
    <t>4114.84</t>
  </si>
  <si>
    <t>13342.7</t>
  </si>
  <si>
    <t>980.75</t>
  </si>
  <si>
    <t>346.61</t>
  </si>
  <si>
    <t>25030.52</t>
  </si>
  <si>
    <t>91.42</t>
  </si>
  <si>
    <t>3023.86</t>
  </si>
  <si>
    <t>11562.65</t>
  </si>
  <si>
    <t>99.61</t>
  </si>
  <si>
    <t>11728.76</t>
  </si>
  <si>
    <t>58512.67</t>
  </si>
  <si>
    <t>207.48</t>
  </si>
  <si>
    <t>120.91</t>
  </si>
  <si>
    <t>31.79</t>
  </si>
  <si>
    <t>47375.92</t>
  </si>
  <si>
    <t>1018.12</t>
  </si>
  <si>
    <t>6044.19</t>
  </si>
  <si>
    <t>18669.61</t>
  </si>
  <si>
    <t>70.14</t>
  </si>
  <si>
    <t>2972.77</t>
  </si>
  <si>
    <t>35895.77</t>
  </si>
  <si>
    <t>2671.96</t>
  </si>
  <si>
    <t>29555.87</t>
  </si>
  <si>
    <t>20786.68</t>
  </si>
  <si>
    <t>117.02</t>
  </si>
  <si>
    <t>9493.27</t>
  </si>
  <si>
    <t>36.99</t>
  </si>
  <si>
    <t>224420.02</t>
  </si>
  <si>
    <t>187.96</t>
  </si>
  <si>
    <t>3466.05</t>
  </si>
  <si>
    <t>16208.09</t>
  </si>
  <si>
    <t>8563.28</t>
  </si>
  <si>
    <t>3403.95</t>
  </si>
  <si>
    <t>39.85</t>
  </si>
  <si>
    <t>200.21</t>
  </si>
  <si>
    <t>7475.31</t>
  </si>
  <si>
    <t>64.55</t>
  </si>
  <si>
    <t>9324.72</t>
  </si>
  <si>
    <t>257.91</t>
  </si>
  <si>
    <t>5275.78</t>
  </si>
  <si>
    <t>13030.4</t>
  </si>
  <si>
    <t>697.95</t>
  </si>
  <si>
    <t>163.12</t>
  </si>
  <si>
    <t>8735.22</t>
  </si>
  <si>
    <t>281.12</t>
  </si>
  <si>
    <t>14603.42</t>
  </si>
  <si>
    <t>13491.03</t>
  </si>
  <si>
    <t>2757.59</t>
  </si>
  <si>
    <t>87.87</t>
  </si>
  <si>
    <t>8440.32</t>
  </si>
  <si>
    <t>36.11</t>
  </si>
  <si>
    <t>7436.04</t>
  </si>
  <si>
    <t>11754.35</t>
  </si>
  <si>
    <t>4079.26</t>
  </si>
  <si>
    <t>27555.11</t>
  </si>
  <si>
    <t>417.36</t>
  </si>
  <si>
    <t>33983.55</t>
  </si>
  <si>
    <t>62.11</t>
  </si>
  <si>
    <t>5979.2</t>
  </si>
  <si>
    <t>16155.62</t>
  </si>
  <si>
    <t>4332.25</t>
  </si>
  <si>
    <t>745.08</t>
  </si>
  <si>
    <t>33389.01</t>
  </si>
  <si>
    <t>614.53</t>
  </si>
  <si>
    <t>30745.63</t>
  </si>
  <si>
    <t>18262.17</t>
  </si>
  <si>
    <t>103.43</t>
  </si>
  <si>
    <t>8056.93</t>
  </si>
  <si>
    <t>239.51</t>
  </si>
  <si>
    <t>22245.07</t>
  </si>
  <si>
    <t>144.6</t>
  </si>
  <si>
    <t>37195.61</t>
  </si>
  <si>
    <t>17591.17</t>
  </si>
  <si>
    <t>118.99</t>
  </si>
  <si>
    <t>39534.69</t>
  </si>
  <si>
    <t>288.38</t>
  </si>
  <si>
    <t>658.67</t>
  </si>
  <si>
    <t>240.9</t>
  </si>
  <si>
    <t>134.09</t>
  </si>
  <si>
    <t>13235.36</t>
  </si>
  <si>
    <t>19256.5</t>
  </si>
  <si>
    <t>12458.91</t>
  </si>
  <si>
    <t>26.5</t>
  </si>
  <si>
    <t>22984.68</t>
  </si>
  <si>
    <t>269.61</t>
  </si>
  <si>
    <t>29626.03</t>
  </si>
  <si>
    <t>18788.46</t>
  </si>
  <si>
    <t>107.28</t>
  </si>
  <si>
    <t>20965.85</t>
  </si>
  <si>
    <t>38209.79</t>
  </si>
  <si>
    <t>72.42</t>
  </si>
  <si>
    <t>16326.21</t>
  </si>
  <si>
    <t>18711.92</t>
  </si>
  <si>
    <t>134.96</t>
  </si>
  <si>
    <t>903.61</t>
  </si>
  <si>
    <t>166.31</t>
  </si>
  <si>
    <t>167.56</t>
  </si>
  <si>
    <t>13674.57</t>
  </si>
  <si>
    <t>7590.79</t>
  </si>
  <si>
    <t>14191.41</t>
  </si>
  <si>
    <t>2791.18</t>
  </si>
  <si>
    <t>182.6</t>
  </si>
  <si>
    <t>11207.68</t>
  </si>
  <si>
    <t>28.12</t>
  </si>
  <si>
    <t>12089.49</t>
  </si>
  <si>
    <t>13216.17</t>
  </si>
  <si>
    <t>4175.67</t>
  </si>
  <si>
    <t>7090.63</t>
  </si>
  <si>
    <t>1.94</t>
  </si>
  <si>
    <t>86.11</t>
  </si>
  <si>
    <t>9127.37</t>
  </si>
  <si>
    <t>6957.87</t>
  </si>
  <si>
    <t>63.11</t>
  </si>
  <si>
    <t>6218.66</t>
  </si>
  <si>
    <t>5.56</t>
  </si>
  <si>
    <t>169344.02</t>
  </si>
  <si>
    <t>3016.75</t>
  </si>
  <si>
    <t>17270.99</t>
  </si>
  <si>
    <t>1444.18</t>
  </si>
  <si>
    <t>508388.71</t>
  </si>
  <si>
    <t>224.49</t>
  </si>
  <si>
    <t>11525.4</t>
  </si>
  <si>
    <t>19647.43</t>
  </si>
  <si>
    <t>92.05</t>
  </si>
  <si>
    <t>3456.42</t>
  </si>
  <si>
    <t>6763.51</t>
  </si>
  <si>
    <t>16495.52</t>
  </si>
  <si>
    <t>122.94</t>
  </si>
  <si>
    <t>77.11</t>
  </si>
  <si>
    <t>108.2</t>
  </si>
  <si>
    <t>31326.15</t>
  </si>
  <si>
    <t>21.17</t>
  </si>
  <si>
    <t>3715.77</t>
  </si>
  <si>
    <t>20114.51</t>
  </si>
  <si>
    <t>80.95</t>
  </si>
  <si>
    <t>8415.9</t>
  </si>
  <si>
    <t>26140.99</t>
  </si>
  <si>
    <t>72.5</t>
  </si>
  <si>
    <t>10243.65</t>
  </si>
  <si>
    <t>20904.26</t>
  </si>
  <si>
    <t>13911.86</t>
  </si>
  <si>
    <t>59948.47</t>
  </si>
  <si>
    <t>2497.44</t>
  </si>
  <si>
    <t>16176.88</t>
  </si>
  <si>
    <t>11917.68</t>
  </si>
  <si>
    <t>24022.88</t>
  </si>
  <si>
    <t>479.54</t>
  </si>
  <si>
    <t>1742.4</t>
  </si>
  <si>
    <t>16564.77</t>
  </si>
  <si>
    <t>3504.51</t>
  </si>
  <si>
    <t>130.16</t>
  </si>
  <si>
    <t>63469.94</t>
  </si>
  <si>
    <t>409.76</t>
  </si>
  <si>
    <t>237.55</t>
  </si>
  <si>
    <t>39966.44</t>
  </si>
  <si>
    <t>18748.32</t>
  </si>
  <si>
    <t>79.13</t>
  </si>
  <si>
    <t>3821.32</t>
  </si>
  <si>
    <t>1885.36</t>
  </si>
  <si>
    <t>552.43</t>
  </si>
  <si>
    <t>259.01</t>
  </si>
  <si>
    <t>53839.94</t>
  </si>
  <si>
    <t>18633.26</t>
  </si>
  <si>
    <t>111.15</t>
  </si>
  <si>
    <t>14825.51</t>
  </si>
  <si>
    <t>1909.5</t>
  </si>
  <si>
    <t>110.47</t>
  </si>
  <si>
    <t>45896.12</t>
  </si>
  <si>
    <t>18372.8</t>
  </si>
  <si>
    <t>6.8</t>
  </si>
  <si>
    <t>19262.25</t>
  </si>
  <si>
    <t>0.49</t>
  </si>
  <si>
    <t>18008.63</t>
  </si>
  <si>
    <t>64.57</t>
  </si>
  <si>
    <t>1019.31</t>
  </si>
  <si>
    <t>14315.37</t>
  </si>
  <si>
    <t>39.79</t>
  </si>
  <si>
    <t>1144.99</t>
  </si>
  <si>
    <t>24910.96</t>
  </si>
  <si>
    <t>332.15</t>
  </si>
  <si>
    <t>5393.12</t>
  </si>
  <si>
    <t>17969.64</t>
  </si>
  <si>
    <t>64.86</t>
  </si>
  <si>
    <t>4309.34</t>
  </si>
  <si>
    <t>32613.66</t>
  </si>
  <si>
    <t>182.53</t>
  </si>
  <si>
    <t>8162.01</t>
  </si>
  <si>
    <t>18088.53</t>
  </si>
  <si>
    <t>52982.49</t>
  </si>
  <si>
    <t>27.94</t>
  </si>
  <si>
    <t>35.48</t>
  </si>
  <si>
    <t>41641.08</t>
  </si>
  <si>
    <t>420.2</t>
  </si>
  <si>
    <t>1419.46</t>
  </si>
  <si>
    <t>19833.23</t>
  </si>
  <si>
    <t>59.65</t>
  </si>
  <si>
    <t>5135.69</t>
  </si>
  <si>
    <t>49718.97</t>
  </si>
  <si>
    <t>1082.82</t>
  </si>
  <si>
    <t>176.26</t>
  </si>
  <si>
    <t>5579.44</t>
  </si>
  <si>
    <t>20526.91</t>
  </si>
  <si>
    <t>16081.22</t>
  </si>
  <si>
    <t>128146.45</t>
  </si>
  <si>
    <t>760.34</t>
  </si>
  <si>
    <t>9337.81</t>
  </si>
  <si>
    <t>19136.71</t>
  </si>
  <si>
    <t>5945.55</t>
  </si>
  <si>
    <t>56.98</t>
  </si>
  <si>
    <t>8.74</t>
  </si>
  <si>
    <t>15184.39</t>
  </si>
  <si>
    <t>18013.64</t>
  </si>
  <si>
    <t>5310.59</t>
  </si>
  <si>
    <t>30502.95</t>
  </si>
  <si>
    <t>556.18</t>
  </si>
  <si>
    <t>22947.23</t>
  </si>
  <si>
    <t>18508.07</t>
  </si>
  <si>
    <t>9607.74</t>
  </si>
  <si>
    <t>22077.47</t>
  </si>
  <si>
    <t>66.42</t>
  </si>
  <si>
    <t>22242.95</t>
  </si>
  <si>
    <t>14069.83</t>
  </si>
  <si>
    <t>86.47</t>
  </si>
  <si>
    <t>26103.84</t>
  </si>
  <si>
    <t>210.07</t>
  </si>
  <si>
    <t>2295.12</t>
  </si>
  <si>
    <t>38.73</t>
  </si>
  <si>
    <t>3972.74</t>
  </si>
  <si>
    <t>6.45</t>
  </si>
  <si>
    <t>74.15</t>
  </si>
  <si>
    <t>11.35</t>
  </si>
  <si>
    <t>7058.99</t>
  </si>
  <si>
    <t>815.99</t>
  </si>
  <si>
    <t>984.33</t>
  </si>
  <si>
    <t>639.24</t>
  </si>
  <si>
    <t>3291.26</t>
  </si>
  <si>
    <t>1220.9</t>
  </si>
  <si>
    <t>128.67</t>
  </si>
  <si>
    <t>2665.26</t>
  </si>
  <si>
    <t>8.27</t>
  </si>
  <si>
    <t>1364.87</t>
  </si>
  <si>
    <t>9071.82</t>
  </si>
  <si>
    <t>59.07</t>
  </si>
  <si>
    <t>190.12</t>
  </si>
  <si>
    <t>4732.87</t>
  </si>
  <si>
    <t>2497.04</t>
  </si>
  <si>
    <t>13.81</t>
  </si>
  <si>
    <t>139.06</t>
  </si>
  <si>
    <t>1945.68</t>
  </si>
  <si>
    <t>265.01</t>
  </si>
  <si>
    <t>9000.33</t>
  </si>
  <si>
    <t>12609.76</t>
  </si>
  <si>
    <t>30.43</t>
  </si>
  <si>
    <t>45.88</t>
  </si>
  <si>
    <t>5431.82</t>
  </si>
  <si>
    <t>194.84</t>
  </si>
  <si>
    <t>23.81</t>
  </si>
  <si>
    <t>19284.28</t>
  </si>
  <si>
    <t>353.91</t>
  </si>
  <si>
    <t>83.42</t>
  </si>
  <si>
    <t>1629.83</t>
  </si>
  <si>
    <t>9234.19</t>
  </si>
  <si>
    <t>33.54</t>
  </si>
  <si>
    <t>495.13</t>
  </si>
  <si>
    <t>49.4</t>
  </si>
  <si>
    <t>18529.1</t>
  </si>
  <si>
    <t>599.97</t>
  </si>
  <si>
    <t>3215.82</t>
  </si>
  <si>
    <t>2219.72</t>
  </si>
  <si>
    <t>12.35</t>
  </si>
  <si>
    <t>40844.82</t>
  </si>
  <si>
    <t>62.67</t>
  </si>
  <si>
    <t>2.38</t>
  </si>
  <si>
    <t>6.54</t>
  </si>
  <si>
    <t>45604.76</t>
  </si>
  <si>
    <t>839.77</t>
  </si>
  <si>
    <t>129.1</t>
  </si>
  <si>
    <t>7856.83</t>
  </si>
  <si>
    <t>17376.78</t>
  </si>
  <si>
    <t>68.37</t>
  </si>
  <si>
    <t>5158.48</t>
  </si>
  <si>
    <t>24381.9</t>
  </si>
  <si>
    <t>1136.17</t>
  </si>
  <si>
    <t>153.78</t>
  </si>
  <si>
    <t>22097.58</t>
  </si>
  <si>
    <t>18164.98</t>
  </si>
  <si>
    <t>9951.53</t>
  </si>
  <si>
    <t>398667.45</t>
  </si>
  <si>
    <t>42.79</t>
  </si>
  <si>
    <t>117.2</t>
  </si>
  <si>
    <t>1339.69</t>
  </si>
  <si>
    <t>6349.88</t>
  </si>
  <si>
    <t>6874.45</t>
  </si>
  <si>
    <t>335.94</t>
  </si>
  <si>
    <t>26.53</t>
  </si>
  <si>
    <t>6206.96</t>
  </si>
  <si>
    <t>213.92</t>
  </si>
  <si>
    <t>3075.49</t>
  </si>
  <si>
    <t>13951.97</t>
  </si>
  <si>
    <t>1393.78</t>
  </si>
  <si>
    <t>485.66</t>
  </si>
  <si>
    <t>7589.5</t>
  </si>
  <si>
    <t>332.79</t>
  </si>
  <si>
    <t>94.34</t>
  </si>
  <si>
    <t>9501.57</t>
  </si>
  <si>
    <t>13715.16</t>
  </si>
  <si>
    <t>6559.72</t>
  </si>
  <si>
    <t>224.89</t>
  </si>
  <si>
    <t>5878.62</t>
  </si>
  <si>
    <t>72.85</t>
  </si>
  <si>
    <t>3801.73</t>
  </si>
  <si>
    <t>8598.09</t>
  </si>
  <si>
    <t>47.87</t>
  </si>
  <si>
    <t>4870.01</t>
  </si>
  <si>
    <t>65164.79</t>
  </si>
  <si>
    <t>13.63</t>
  </si>
  <si>
    <t>28213.35</t>
  </si>
  <si>
    <t>156.36</t>
  </si>
  <si>
    <t>1430.03</t>
  </si>
  <si>
    <t>10399.23</t>
  </si>
  <si>
    <t>782.84</t>
  </si>
  <si>
    <t>185.65</t>
  </si>
  <si>
    <t>29224.17</t>
  </si>
  <si>
    <t>1043.43</t>
  </si>
  <si>
    <t>141.3</t>
  </si>
  <si>
    <t>6420.7</t>
  </si>
  <si>
    <t>1926.53</t>
  </si>
  <si>
    <t>6830.33</t>
  </si>
  <si>
    <t>27487.06</t>
  </si>
  <si>
    <t>278.77</t>
  </si>
  <si>
    <t>213.15</t>
  </si>
  <si>
    <t>11920.99</t>
  </si>
  <si>
    <t>11835.16</t>
  </si>
  <si>
    <t>2.32</t>
  </si>
  <si>
    <t>28.74</t>
  </si>
  <si>
    <t>164.16</t>
  </si>
  <si>
    <t>260.85</t>
  </si>
  <si>
    <t>33.07</t>
  </si>
  <si>
    <t>1526.14</t>
  </si>
  <si>
    <t>8375.01</t>
  </si>
  <si>
    <t>19178.61</t>
  </si>
  <si>
    <t>8390.17</t>
  </si>
  <si>
    <t>27812.37</t>
  </si>
  <si>
    <t>2141.15</t>
  </si>
  <si>
    <t>186.14</t>
  </si>
  <si>
    <t>21028.73</t>
  </si>
  <si>
    <t>18961.21</t>
  </si>
  <si>
    <t>109.21</t>
  </si>
  <si>
    <t>11713.66</t>
  </si>
  <si>
    <t>924.36</t>
  </si>
  <si>
    <t>206.31</t>
  </si>
  <si>
    <t>4185.59</t>
  </si>
  <si>
    <t>16381.49</t>
  </si>
  <si>
    <t>952.86</t>
  </si>
  <si>
    <t>0.1</t>
  </si>
  <si>
    <t>749.6</t>
  </si>
  <si>
    <t>7327.27</t>
  </si>
  <si>
    <t>49.64</t>
  </si>
  <si>
    <t>43.59</t>
  </si>
  <si>
    <t>2576.4</t>
  </si>
  <si>
    <t>7955.99</t>
  </si>
  <si>
    <t>143.54</t>
  </si>
  <si>
    <t>52.91</t>
  </si>
  <si>
    <t>10435.95</t>
  </si>
  <si>
    <t>13856.01</t>
  </si>
  <si>
    <t>29.6</t>
  </si>
  <si>
    <t>3227.97</t>
  </si>
  <si>
    <t>9036.03</t>
  </si>
  <si>
    <t>6.42</t>
  </si>
  <si>
    <t>5505.25</t>
  </si>
  <si>
    <t>9208.09</t>
  </si>
  <si>
    <t>4.39</t>
  </si>
  <si>
    <t>7922.79</t>
  </si>
  <si>
    <t>15.3</t>
  </si>
  <si>
    <t>58.18</t>
  </si>
  <si>
    <t>20072.56</t>
  </si>
  <si>
    <t>1742.2</t>
  </si>
  <si>
    <t>105.61</t>
  </si>
  <si>
    <t>9933.1</t>
  </si>
  <si>
    <t>15159.94</t>
  </si>
  <si>
    <t>1501.71</t>
  </si>
  <si>
    <t>155.14</t>
  </si>
  <si>
    <t>154.17</t>
  </si>
  <si>
    <t>155.38</t>
  </si>
  <si>
    <t>120.54</t>
  </si>
  <si>
    <t>24792.13</t>
  </si>
  <si>
    <t>494.04</t>
  </si>
  <si>
    <t>8501.07</t>
  </si>
  <si>
    <t>14113.27</t>
  </si>
  <si>
    <t>11691.91</t>
  </si>
  <si>
    <t>34882.7</t>
  </si>
  <si>
    <t>67.71</t>
  </si>
  <si>
    <t>171.69</t>
  </si>
  <si>
    <t>531.67</t>
  </si>
  <si>
    <t>17147.8</t>
  </si>
  <si>
    <t>660.45</t>
  </si>
  <si>
    <t>8523.19</t>
  </si>
  <si>
    <t>17130.01</t>
  </si>
  <si>
    <t>6003.97</t>
  </si>
  <si>
    <t>326.85</t>
  </si>
  <si>
    <t>1633.2</t>
  </si>
  <si>
    <t>9794.89</t>
  </si>
  <si>
    <t>510.3</t>
  </si>
  <si>
    <t>32591.91</t>
  </si>
  <si>
    <t>636.43</t>
  </si>
  <si>
    <t>179.54</t>
  </si>
  <si>
    <t>11100.49</t>
  </si>
  <si>
    <t>17402.9</t>
  </si>
  <si>
    <t>32740.31</t>
  </si>
  <si>
    <t>203.18</t>
  </si>
  <si>
    <t>65.01</t>
  </si>
  <si>
    <t>5530.46</t>
  </si>
  <si>
    <t>170.12</t>
  </si>
  <si>
    <t>5646.94</t>
  </si>
  <si>
    <t>14905.03</t>
  </si>
  <si>
    <t>2394.22</t>
  </si>
  <si>
    <t>257.71</t>
  </si>
  <si>
    <t>5401.15</t>
  </si>
  <si>
    <t>133.74</t>
  </si>
  <si>
    <t>99.94</t>
  </si>
  <si>
    <t>12200.63</t>
  </si>
  <si>
    <t>14296.28</t>
  </si>
  <si>
    <t>6078.49</t>
  </si>
  <si>
    <t>3027.01</t>
  </si>
  <si>
    <t>5667.07</t>
  </si>
  <si>
    <t>6810.82</t>
  </si>
  <si>
    <t>7995.58</t>
  </si>
  <si>
    <t>292612.84</t>
  </si>
  <si>
    <t>63.72</t>
  </si>
  <si>
    <t>2735.82</t>
  </si>
  <si>
    <t>326.28</t>
  </si>
  <si>
    <t>65776.19</t>
  </si>
  <si>
    <t>2850.02</t>
  </si>
  <si>
    <t>3905.99</t>
  </si>
  <si>
    <t>17891.99</t>
  </si>
  <si>
    <t>5114.43</t>
  </si>
  <si>
    <t>89.12</t>
  </si>
  <si>
    <t>103010.15</t>
  </si>
  <si>
    <t>8877.07</t>
  </si>
  <si>
    <t>262.63</t>
  </si>
  <si>
    <t>42065.53</t>
  </si>
  <si>
    <t>20303.22</t>
  </si>
  <si>
    <t>20303.81</t>
  </si>
  <si>
    <t>208.95</t>
  </si>
  <si>
    <t>69104.97</t>
  </si>
  <si>
    <t>850.43</t>
  </si>
  <si>
    <t>234.02</t>
  </si>
  <si>
    <t>24253.07</t>
  </si>
  <si>
    <t>18173.07</t>
  </si>
  <si>
    <t>151.32</t>
  </si>
  <si>
    <t>1.75</t>
  </si>
  <si>
    <t>14.48</t>
  </si>
  <si>
    <t>141.7</t>
  </si>
  <si>
    <t>89.63</t>
  </si>
  <si>
    <t>63613.75</t>
  </si>
  <si>
    <t>1488.83</t>
  </si>
  <si>
    <t>5976.56</t>
  </si>
  <si>
    <t>8581.9</t>
  </si>
  <si>
    <t>33524.77</t>
  </si>
  <si>
    <t>1473.18</t>
  </si>
  <si>
    <t>23094.25</t>
  </si>
  <si>
    <t>20099.31</t>
  </si>
  <si>
    <t>19648.82</t>
  </si>
  <si>
    <t>897.37</t>
  </si>
  <si>
    <t>277.26</t>
  </si>
  <si>
    <t>13738.1</t>
  </si>
  <si>
    <t>18816.72</t>
  </si>
  <si>
    <t>179421.1</t>
  </si>
  <si>
    <t>550.59</t>
  </si>
  <si>
    <t>14332.92</t>
  </si>
  <si>
    <t>139.81</t>
  </si>
  <si>
    <t>14952.81</t>
  </si>
  <si>
    <t>17961.58</t>
  </si>
  <si>
    <t>5836.14</t>
  </si>
  <si>
    <t>1739.77</t>
  </si>
  <si>
    <t>11772.42</t>
  </si>
  <si>
    <t>322.82</t>
  </si>
  <si>
    <t>16547.62</t>
  </si>
  <si>
    <t>7410.96</t>
  </si>
  <si>
    <t>2290.36</t>
  </si>
  <si>
    <t>8224.35</t>
  </si>
  <si>
    <t>14023.74</t>
  </si>
  <si>
    <t>11347.88</t>
  </si>
  <si>
    <t>11696.92</t>
  </si>
  <si>
    <t>23038.63</t>
  </si>
  <si>
    <t>34.77</t>
  </si>
  <si>
    <t>3.68</t>
  </si>
  <si>
    <t>17.62</t>
  </si>
  <si>
    <t>156267.01</t>
  </si>
  <si>
    <t>383.45</t>
  </si>
  <si>
    <t>4425.96</t>
  </si>
  <si>
    <t>19353.25</t>
  </si>
  <si>
    <t>1495.08</t>
  </si>
  <si>
    <t>1664.29</t>
  </si>
  <si>
    <t>14323.18</t>
  </si>
  <si>
    <t>19930.89</t>
  </si>
  <si>
    <t>3987.73</t>
  </si>
  <si>
    <t>395.39</t>
  </si>
  <si>
    <t>11494.81</t>
  </si>
  <si>
    <t>19046.29</t>
  </si>
  <si>
    <t>149.26</t>
  </si>
  <si>
    <t>842.46</t>
  </si>
  <si>
    <t>15813.3</t>
  </si>
  <si>
    <t>1388.46</t>
  </si>
  <si>
    <t>11432.87</t>
  </si>
  <si>
    <t>264.12</t>
  </si>
  <si>
    <t>25577.86</t>
  </si>
  <si>
    <t>70.62</t>
  </si>
  <si>
    <t>4227.27</t>
  </si>
  <si>
    <t>12651.54</t>
  </si>
  <si>
    <t>1128.3</t>
  </si>
  <si>
    <t>17423.47</t>
  </si>
  <si>
    <t>26.11</t>
  </si>
  <si>
    <t>3592.06</t>
  </si>
  <si>
    <t>7553.13</t>
  </si>
  <si>
    <t>3045.32</t>
  </si>
  <si>
    <t>528.78</t>
  </si>
  <si>
    <t>65.41</t>
  </si>
  <si>
    <t>62.98</t>
  </si>
  <si>
    <t>6.1</t>
  </si>
  <si>
    <t>1.39</t>
  </si>
  <si>
    <t>671.14</t>
  </si>
  <si>
    <t>317.77</t>
  </si>
  <si>
    <t>370.94</t>
  </si>
  <si>
    <t>39.3</t>
  </si>
  <si>
    <t>578.23</t>
  </si>
  <si>
    <t>5.97</t>
  </si>
  <si>
    <t>555.82</t>
  </si>
  <si>
    <t>928.99</t>
  </si>
  <si>
    <t>247.01</t>
  </si>
  <si>
    <t>753.02</t>
  </si>
  <si>
    <t>59.92</t>
  </si>
  <si>
    <t>93.22</t>
  </si>
  <si>
    <t>30.77</t>
  </si>
  <si>
    <t>69.56</t>
  </si>
  <si>
    <t>2.29</t>
  </si>
  <si>
    <t>3300.68</t>
  </si>
  <si>
    <t>8.1</t>
  </si>
  <si>
    <t>2730.18</t>
  </si>
  <si>
    <t>4.62</t>
  </si>
  <si>
    <t>13079.67</t>
  </si>
  <si>
    <t>102.24</t>
  </si>
  <si>
    <t>1744.14</t>
  </si>
  <si>
    <t>7306.11</t>
  </si>
  <si>
    <t>1228.97</t>
  </si>
  <si>
    <t>6765.92</t>
  </si>
  <si>
    <t>755.04</t>
  </si>
  <si>
    <t>2471.77</t>
  </si>
  <si>
    <t>18.98</t>
  </si>
  <si>
    <t>1199.9</t>
  </si>
  <si>
    <t>236.45</t>
  </si>
  <si>
    <t>9.47</t>
  </si>
  <si>
    <t>6493.55</t>
  </si>
  <si>
    <t>65.96</t>
  </si>
  <si>
    <t>256.32</t>
  </si>
  <si>
    <t>16169.08</t>
  </si>
  <si>
    <t>614.24</t>
  </si>
  <si>
    <t>11567.94</t>
  </si>
  <si>
    <t>347.55</t>
  </si>
  <si>
    <t>1182.65</t>
  </si>
  <si>
    <t>17894.18</t>
  </si>
  <si>
    <t>1943.85</t>
  </si>
  <si>
    <t>9409.97</t>
  </si>
  <si>
    <t>20.98</t>
  </si>
  <si>
    <t>204.57</t>
  </si>
  <si>
    <t>11289.64</t>
  </si>
  <si>
    <t>3295.53</t>
  </si>
  <si>
    <t>164.79</t>
  </si>
  <si>
    <t>1530.61</t>
  </si>
  <si>
    <t>18.85</t>
  </si>
  <si>
    <t>4.34</t>
  </si>
  <si>
    <t>445.27</t>
  </si>
  <si>
    <t>2858.72</t>
  </si>
  <si>
    <t>21.69</t>
  </si>
  <si>
    <t>114.35</t>
  </si>
  <si>
    <t>4713.2</t>
  </si>
  <si>
    <t>154.86</t>
  </si>
  <si>
    <t>1518.67</t>
  </si>
  <si>
    <t>11.95</t>
  </si>
  <si>
    <t>86.53</t>
  </si>
  <si>
    <t>477.16</t>
  </si>
  <si>
    <t>168.18</t>
  </si>
  <si>
    <t>159589.45</t>
  </si>
  <si>
    <t>15.36</t>
  </si>
  <si>
    <t>236.75</t>
  </si>
  <si>
    <t>63.94</t>
  </si>
  <si>
    <t>49497.15</t>
  </si>
  <si>
    <t>543.26</t>
  </si>
  <si>
    <t>2168.22</t>
  </si>
  <si>
    <t>18859.88</t>
  </si>
  <si>
    <t>2617.88</t>
  </si>
  <si>
    <t>69190.54</t>
  </si>
  <si>
    <t>2328.55</t>
  </si>
  <si>
    <t>192.8</t>
  </si>
  <si>
    <t>9360.15</t>
  </si>
  <si>
    <t>19967.27</t>
  </si>
  <si>
    <t>6750.7</t>
  </si>
  <si>
    <t>140146.99</t>
  </si>
  <si>
    <t>957.85</t>
  </si>
  <si>
    <t>19892.77</t>
  </si>
  <si>
    <t>18926.18</t>
  </si>
  <si>
    <t>675.89</t>
  </si>
  <si>
    <t>19010.9</t>
  </si>
  <si>
    <t>109.54</t>
  </si>
  <si>
    <t>11228.56</t>
  </si>
  <si>
    <t>16479.82</t>
  </si>
  <si>
    <t>3105.44</t>
  </si>
  <si>
    <t>16934.21</t>
  </si>
  <si>
    <t>126.41</t>
  </si>
  <si>
    <t>13214.39</t>
  </si>
  <si>
    <t>14612.34</t>
  </si>
  <si>
    <t>6217.01</t>
  </si>
  <si>
    <t>9681.01</t>
  </si>
  <si>
    <t>17.66</t>
  </si>
  <si>
    <t>6375.83</t>
  </si>
  <si>
    <t>10619.96</t>
  </si>
  <si>
    <t>57.94</t>
  </si>
  <si>
    <t>7811.29</t>
  </si>
  <si>
    <t>709.35</t>
  </si>
  <si>
    <t>13.48</t>
  </si>
  <si>
    <t>9089.74</t>
  </si>
  <si>
    <t>73.92</t>
  </si>
  <si>
    <t>453.46</t>
  </si>
  <si>
    <t>9275.76</t>
  </si>
  <si>
    <t>8578.37</t>
  </si>
  <si>
    <t>654.99</t>
  </si>
  <si>
    <t>2418.7</t>
  </si>
  <si>
    <t>13625.77</t>
  </si>
  <si>
    <t>1121.3</t>
  </si>
  <si>
    <t>9179.69</t>
  </si>
  <si>
    <t>185.52</t>
  </si>
  <si>
    <t>4805.13</t>
  </si>
  <si>
    <t>14769.82</t>
  </si>
  <si>
    <t>7965.08</t>
  </si>
  <si>
    <t>9712.12</t>
  </si>
  <si>
    <t>7.79</t>
  </si>
  <si>
    <t>459.18</t>
  </si>
  <si>
    <t>321.35</t>
  </si>
  <si>
    <t>88.83</t>
  </si>
  <si>
    <t>1693.38</t>
  </si>
  <si>
    <t>17946.92</t>
  </si>
  <si>
    <t>3511.31</t>
  </si>
  <si>
    <t>25.6</t>
  </si>
  <si>
    <t>1523.81</t>
  </si>
  <si>
    <t>6992.71</t>
  </si>
  <si>
    <t>18419.33</t>
  </si>
  <si>
    <t>5255.4</t>
  </si>
  <si>
    <t>23572.96</t>
  </si>
  <si>
    <t>117.19</t>
  </si>
  <si>
    <t>2994.71</t>
  </si>
  <si>
    <t>15058.64</t>
  </si>
  <si>
    <t>6074.42</t>
  </si>
  <si>
    <t>293.51</t>
  </si>
  <si>
    <t>351.83</t>
  </si>
  <si>
    <t>4756.7</t>
  </si>
  <si>
    <t>79.15</t>
  </si>
  <si>
    <t>39.12</t>
  </si>
  <si>
    <t>1681.95</t>
  </si>
  <si>
    <t>9774.34</t>
  </si>
  <si>
    <t>530.25</t>
  </si>
  <si>
    <t>8371.78</t>
  </si>
  <si>
    <t>106.93</t>
  </si>
  <si>
    <t>6585.75</t>
  </si>
  <si>
    <t>11927.73</t>
  </si>
  <si>
    <t>3154.67</t>
  </si>
  <si>
    <t>6032.11</t>
  </si>
  <si>
    <t>22.34</t>
  </si>
  <si>
    <t>5649.45</t>
  </si>
  <si>
    <t>8325.66</t>
  </si>
  <si>
    <t>3819.4</t>
  </si>
  <si>
    <t>18.06</t>
  </si>
  <si>
    <t>35.58</t>
  </si>
  <si>
    <t>29298.33</t>
  </si>
  <si>
    <t>813.03</t>
  </si>
  <si>
    <t>5825.19</t>
  </si>
  <si>
    <t>17968.91</t>
  </si>
  <si>
    <t>6088.25</t>
  </si>
  <si>
    <t>21114.62</t>
  </si>
  <si>
    <t>1370.5</t>
  </si>
  <si>
    <t>17130.3</t>
  </si>
  <si>
    <t>17562.78</t>
  </si>
  <si>
    <t>98.66</t>
  </si>
  <si>
    <t>13006.1</t>
  </si>
  <si>
    <t>55.03</t>
  </si>
  <si>
    <t>2582.66</t>
  </si>
  <si>
    <t>9393.06</t>
  </si>
  <si>
    <t>11299.48</t>
  </si>
  <si>
    <t>619.57</t>
  </si>
  <si>
    <t>9.5</t>
  </si>
  <si>
    <t>5034.47</t>
  </si>
  <si>
    <t>2234.37</t>
  </si>
  <si>
    <t>9006.62</t>
  </si>
  <si>
    <t>19.66</t>
  </si>
  <si>
    <t>455.66</t>
  </si>
  <si>
    <t>9264.13</t>
  </si>
  <si>
    <t>60.93</t>
  </si>
  <si>
    <t>5563.3</t>
  </si>
  <si>
    <t>8907.3</t>
  </si>
  <si>
    <t>1935.44</t>
  </si>
  <si>
    <t>8.11</t>
  </si>
  <si>
    <t>8624.67</t>
  </si>
  <si>
    <t>28.51</t>
  </si>
  <si>
    <t>1351.03</t>
  </si>
  <si>
    <t>4902.79</t>
  </si>
  <si>
    <t>21.05</t>
  </si>
  <si>
    <t>1428.03</t>
  </si>
  <si>
    <t>10.17</t>
  </si>
  <si>
    <t>18298.21</t>
  </si>
  <si>
    <t>0.54</t>
  </si>
  <si>
    <t>3.5</t>
  </si>
  <si>
    <t>11.22</t>
  </si>
  <si>
    <t>15.61</t>
  </si>
  <si>
    <t>2.84</t>
  </si>
  <si>
    <t>18319.08</t>
  </si>
  <si>
    <t>219.39</t>
  </si>
  <si>
    <t>75.46</t>
  </si>
  <si>
    <t>729.08</t>
  </si>
  <si>
    <t>7621.15</t>
  </si>
  <si>
    <t>156.03</t>
  </si>
  <si>
    <t>27284.29</t>
  </si>
  <si>
    <t>2196.21</t>
  </si>
  <si>
    <t>3820.2</t>
  </si>
  <si>
    <t>13642.56</t>
  </si>
  <si>
    <t>524.35</t>
  </si>
  <si>
    <t>45339.99</t>
  </si>
  <si>
    <t>1405.59</t>
  </si>
  <si>
    <t>8768.51</t>
  </si>
  <si>
    <t>13027.75</t>
  </si>
  <si>
    <t>9252.06</t>
  </si>
  <si>
    <t>34475.88</t>
  </si>
  <si>
    <t>109.48</t>
  </si>
  <si>
    <t>164.99</t>
  </si>
  <si>
    <t>23.89</t>
  </si>
  <si>
    <t>58.98</t>
  </si>
  <si>
    <t>28425.76</t>
  </si>
  <si>
    <t>722.83</t>
  </si>
  <si>
    <t>2442.94</t>
  </si>
  <si>
    <t>15580.59</t>
  </si>
  <si>
    <t>3583.02</t>
  </si>
  <si>
    <t>32354.14</t>
  </si>
  <si>
    <t>2803.96</t>
  </si>
  <si>
    <t>7365.4</t>
  </si>
  <si>
    <t>17880.27</t>
  </si>
  <si>
    <t>7753.25</t>
  </si>
  <si>
    <t>40074.3</t>
  </si>
  <si>
    <t>314.77</t>
  </si>
  <si>
    <t>3242.87</t>
  </si>
  <si>
    <t>12441.59</t>
  </si>
  <si>
    <t>76.41</t>
  </si>
  <si>
    <t>9018.85</t>
  </si>
  <si>
    <t>1013.43</t>
  </si>
  <si>
    <t>112.21</t>
  </si>
  <si>
    <t>13023.78</t>
  </si>
  <si>
    <t>18.29</t>
  </si>
  <si>
    <t>1138.62</t>
  </si>
  <si>
    <t>1121.23</t>
  </si>
  <si>
    <t>241.81</t>
  </si>
  <si>
    <t>9358.12</t>
  </si>
  <si>
    <t>14007.47</t>
  </si>
  <si>
    <t>1174.8</t>
  </si>
  <si>
    <t>1882.15</t>
  </si>
  <si>
    <t>828.4</t>
  </si>
  <si>
    <t>12057.19</t>
  </si>
  <si>
    <t>14293.55</t>
  </si>
  <si>
    <t>2414.07</t>
  </si>
  <si>
    <t>2421.12</t>
  </si>
  <si>
    <t>414.19</t>
  </si>
  <si>
    <t>20.7</t>
  </si>
  <si>
    <t>5262.74</t>
  </si>
  <si>
    <t>15164.11</t>
  </si>
  <si>
    <t>52.02</t>
  </si>
  <si>
    <t>4799.95</t>
  </si>
  <si>
    <t>232559.15</t>
  </si>
  <si>
    <t>40.41</t>
  </si>
  <si>
    <t>17.95</t>
  </si>
  <si>
    <t>37.43</t>
  </si>
  <si>
    <t>81149.07</t>
  </si>
  <si>
    <t>386.82</t>
  </si>
  <si>
    <t>4040.16</t>
  </si>
  <si>
    <t>20644.79</t>
  </si>
  <si>
    <t>6365.68</t>
  </si>
  <si>
    <t>51706.37</t>
  </si>
  <si>
    <t>1099.49</t>
  </si>
  <si>
    <t>13697.42</t>
  </si>
  <si>
    <t>19279.73</t>
  </si>
  <si>
    <t>106.31</t>
  </si>
  <si>
    <t>15348.58</t>
  </si>
  <si>
    <t>270.58</t>
  </si>
  <si>
    <t>6060.2</t>
  </si>
  <si>
    <t>17753.79</t>
  </si>
  <si>
    <t>24215.1</t>
  </si>
  <si>
    <t>13203.15</t>
  </si>
  <si>
    <t>97.71</t>
  </si>
  <si>
    <t>4590.19</t>
  </si>
  <si>
    <t>12699.44</t>
  </si>
  <si>
    <t>1321.63</t>
  </si>
  <si>
    <t>12880.97</t>
  </si>
  <si>
    <t>142.78</t>
  </si>
  <si>
    <t>55.31</t>
  </si>
  <si>
    <t>10110.24</t>
  </si>
  <si>
    <t>13204.2</t>
  </si>
  <si>
    <t>3060.9</t>
  </si>
  <si>
    <t>11836.42</t>
  </si>
  <si>
    <t>46.74</t>
  </si>
  <si>
    <t>5255.64</t>
  </si>
  <si>
    <t>12325.65</t>
  </si>
  <si>
    <t>62.24</t>
  </si>
  <si>
    <t>6312.09</t>
  </si>
  <si>
    <t>63.86</t>
  </si>
  <si>
    <t>9119.67</t>
  </si>
  <si>
    <t>5.74</t>
  </si>
  <si>
    <t>46661.45</t>
  </si>
  <si>
    <t>12584.05</t>
  </si>
  <si>
    <t>26905.96</t>
  </si>
  <si>
    <t>5974.34</t>
  </si>
  <si>
    <t>2.24</t>
  </si>
  <si>
    <t>98189.05</t>
  </si>
  <si>
    <t>10594.54</t>
  </si>
  <si>
    <t>12354.43</t>
  </si>
  <si>
    <t>5689.25</t>
  </si>
  <si>
    <t>37619.68</t>
  </si>
  <si>
    <t>9653.73</t>
  </si>
  <si>
    <t>72.81</t>
  </si>
  <si>
    <t>11488.52</t>
  </si>
  <si>
    <t>8326.26</t>
  </si>
  <si>
    <t>5.9</t>
  </si>
  <si>
    <t>36381.1</t>
  </si>
  <si>
    <t>11311.78</t>
  </si>
  <si>
    <t>10080.66</t>
  </si>
  <si>
    <t>16402.07</t>
  </si>
  <si>
    <t>3.84</t>
  </si>
  <si>
    <t>46137.46</t>
  </si>
  <si>
    <t>14386.36</t>
  </si>
  <si>
    <t>13311.95</t>
  </si>
  <si>
    <t>2.34</t>
  </si>
  <si>
    <t>55244.43</t>
  </si>
  <si>
    <t>13431.5</t>
  </si>
  <si>
    <t>12372.4</t>
  </si>
  <si>
    <t>37183.24</t>
  </si>
  <si>
    <t>13666.75</t>
  </si>
  <si>
    <t>15958.62</t>
  </si>
  <si>
    <t>6.95</t>
  </si>
  <si>
    <t>36524.96</t>
  </si>
  <si>
    <t>15684.39</t>
  </si>
  <si>
    <t>94.87</t>
  </si>
  <si>
    <t>945.03</t>
  </si>
  <si>
    <t>18.69</t>
  </si>
  <si>
    <t>0.39</t>
  </si>
  <si>
    <t>316.18</t>
  </si>
  <si>
    <t>8383.18</t>
  </si>
  <si>
    <t>138.71</t>
  </si>
  <si>
    <t>5550.9</t>
  </si>
  <si>
    <t>13688.93</t>
  </si>
  <si>
    <t>1742.66</t>
  </si>
  <si>
    <t>811.28</t>
  </si>
  <si>
    <t>7967.08</t>
  </si>
  <si>
    <t>253.65</t>
  </si>
  <si>
    <t>15452.97</t>
  </si>
  <si>
    <t>15191.9</t>
  </si>
  <si>
    <t>7363.19</t>
  </si>
  <si>
    <t>1575.35</t>
  </si>
  <si>
    <t>4923.47</t>
  </si>
  <si>
    <t>3.23</t>
  </si>
  <si>
    <t>11512.64</t>
  </si>
  <si>
    <t>6830.23</t>
  </si>
  <si>
    <t>10143.73</t>
  </si>
  <si>
    <t>12594.82</t>
  </si>
  <si>
    <t>10.53</t>
  </si>
  <si>
    <t>7.63</t>
  </si>
  <si>
    <t>6608.9</t>
  </si>
  <si>
    <t>72.3</t>
  </si>
  <si>
    <t>618.15</t>
  </si>
  <si>
    <t>5665.05</t>
  </si>
  <si>
    <t>340.37</t>
  </si>
  <si>
    <t>7697.93</t>
  </si>
  <si>
    <t>200.66</t>
  </si>
  <si>
    <t>2201.48</t>
  </si>
  <si>
    <t>7934.15</t>
  </si>
  <si>
    <t>649.31</t>
  </si>
  <si>
    <t>1900.43</t>
  </si>
  <si>
    <t>7487.25</t>
  </si>
  <si>
    <t>75.14</t>
  </si>
  <si>
    <t>2797.17</t>
  </si>
  <si>
    <t>5762.89</t>
  </si>
  <si>
    <t>4834.03</t>
  </si>
  <si>
    <t>117194.49</t>
  </si>
  <si>
    <t>2.63</t>
  </si>
  <si>
    <t>25.21</t>
  </si>
  <si>
    <t>787.44</t>
  </si>
  <si>
    <t>217.55</t>
  </si>
  <si>
    <t>41255.57</t>
  </si>
  <si>
    <t>1376.75</t>
  </si>
  <si>
    <t>10818.26</t>
  </si>
  <si>
    <t>18695.59</t>
  </si>
  <si>
    <t>7077.61</t>
  </si>
  <si>
    <t>23147.02</t>
  </si>
  <si>
    <t>2070.34</t>
  </si>
  <si>
    <t>23261.21</t>
  </si>
  <si>
    <t>17653.83</t>
  </si>
  <si>
    <t>10684.76</t>
  </si>
  <si>
    <t>46298.58</t>
  </si>
  <si>
    <t>681.57</t>
  </si>
  <si>
    <t>6085.63</t>
  </si>
  <si>
    <t>23017.07</t>
  </si>
  <si>
    <t>328.11</t>
  </si>
  <si>
    <t>425.02</t>
  </si>
  <si>
    <t>1709.86</t>
  </si>
  <si>
    <t>4244.24</t>
  </si>
  <si>
    <t>8945.46</t>
  </si>
  <si>
    <t>26.79</t>
  </si>
  <si>
    <t>1781.35</t>
  </si>
  <si>
    <t>711.5</t>
  </si>
  <si>
    <t>2397.12</t>
  </si>
  <si>
    <t>29.58</t>
  </si>
  <si>
    <t>7594.08</t>
  </si>
  <si>
    <t>9186.16</t>
  </si>
  <si>
    <t>3404.01</t>
  </si>
  <si>
    <t>2137.67</t>
  </si>
  <si>
    <t>1936.39</t>
  </si>
  <si>
    <t>4839.32</t>
  </si>
  <si>
    <t>2682.34</t>
  </si>
  <si>
    <t>32.78</t>
  </si>
  <si>
    <t>4642.53</t>
  </si>
  <si>
    <t>39953.32</t>
  </si>
  <si>
    <t>4.98</t>
  </si>
  <si>
    <t>27521.05</t>
  </si>
  <si>
    <t>455.76</t>
  </si>
  <si>
    <t>3290.22</t>
  </si>
  <si>
    <t>17598.46</t>
  </si>
  <si>
    <t>2311.3</t>
  </si>
  <si>
    <t>28694.44</t>
  </si>
  <si>
    <t>1195.95</t>
  </si>
  <si>
    <t>18003.61</t>
  </si>
  <si>
    <t>18245.96</t>
  </si>
  <si>
    <t>5544.28</t>
  </si>
  <si>
    <t>34762.26</t>
  </si>
  <si>
    <t>1599.49</t>
  </si>
  <si>
    <t>9439.81</t>
  </si>
  <si>
    <t>16825.45</t>
  </si>
  <si>
    <t>68178.11</t>
  </si>
  <si>
    <t>88.97</t>
  </si>
  <si>
    <t>285.17</t>
  </si>
  <si>
    <t>80.7</t>
  </si>
  <si>
    <t>28784.8</t>
  </si>
  <si>
    <t>767.43</t>
  </si>
  <si>
    <t>4433.18</t>
  </si>
  <si>
    <t>18193.68</t>
  </si>
  <si>
    <t>9675.12</t>
  </si>
  <si>
    <t>26077.62</t>
  </si>
  <si>
    <t>993.51</t>
  </si>
  <si>
    <t>18464.29</t>
  </si>
  <si>
    <t>19709.3</t>
  </si>
  <si>
    <t>102.47</t>
  </si>
  <si>
    <t>18563.29</t>
  </si>
  <si>
    <t>39653.54</t>
  </si>
  <si>
    <t>619.33</t>
  </si>
  <si>
    <t>11865.42</t>
  </si>
  <si>
    <t>20100.07</t>
  </si>
  <si>
    <t>412.72</t>
  </si>
  <si>
    <t>173.3</t>
  </si>
  <si>
    <t>1859.44</t>
  </si>
  <si>
    <t>10962.95</t>
  </si>
  <si>
    <t>238.45</t>
  </si>
  <si>
    <t>10055.21</t>
  </si>
  <si>
    <t>13064.84</t>
  </si>
  <si>
    <t>4292.19</t>
  </si>
  <si>
    <t>11262.58</t>
  </si>
  <si>
    <t>90.15</t>
  </si>
  <si>
    <t>4859.26</t>
  </si>
  <si>
    <t>10634.85</t>
  </si>
  <si>
    <t>48.69</t>
  </si>
  <si>
    <t>6559.29</t>
  </si>
  <si>
    <t>155195.87</t>
  </si>
  <si>
    <t>100.07</t>
  </si>
  <si>
    <t>194.7</t>
  </si>
  <si>
    <t>36458.95</t>
  </si>
  <si>
    <t>943.18</t>
  </si>
  <si>
    <t>6238.81</t>
  </si>
  <si>
    <t>19208.56</t>
  </si>
  <si>
    <t>11321.65</t>
  </si>
  <si>
    <t>37010.01</t>
  </si>
  <si>
    <t>3058.48</t>
  </si>
  <si>
    <t>26852.94</t>
  </si>
  <si>
    <t>19547.95</t>
  </si>
  <si>
    <t>32461.89</t>
  </si>
  <si>
    <t>1664.03</t>
  </si>
  <si>
    <t>25644.44</t>
  </si>
  <si>
    <t>19573.56</t>
  </si>
  <si>
    <t>133.95</t>
  </si>
  <si>
    <t>1.68</t>
  </si>
  <si>
    <t>247.46</t>
  </si>
  <si>
    <t>2521.14</t>
  </si>
  <si>
    <t>1387.98</t>
  </si>
  <si>
    <t>42531.67</t>
  </si>
  <si>
    <t>664.96</t>
  </si>
  <si>
    <t>6956.28</t>
  </si>
  <si>
    <t>19922.56</t>
  </si>
  <si>
    <t>18310.5</t>
  </si>
  <si>
    <t>25150.83</t>
  </si>
  <si>
    <t>756.97</t>
  </si>
  <si>
    <t>11812.78</t>
  </si>
  <si>
    <t>20765.95</t>
  </si>
  <si>
    <t>20465.42</t>
  </si>
  <si>
    <t>252.35</t>
  </si>
  <si>
    <t>8595.49</t>
  </si>
  <si>
    <t>18095.87</t>
  </si>
  <si>
    <t>1322.79</t>
  </si>
  <si>
    <t>34.57</t>
  </si>
  <si>
    <t>3.82</t>
  </si>
  <si>
    <t>14566.64</t>
  </si>
  <si>
    <t>250.06</t>
  </si>
  <si>
    <t>5080.69</t>
  </si>
  <si>
    <t>17057.85</t>
  </si>
  <si>
    <t>6280.42</t>
  </si>
  <si>
    <t>137.47</t>
  </si>
  <si>
    <t>14130.26</t>
  </si>
  <si>
    <t>14287.42</t>
  </si>
  <si>
    <t>69.25</t>
  </si>
  <si>
    <t>7955.45</t>
  </si>
  <si>
    <t>8297.88</t>
  </si>
  <si>
    <t>15.81</t>
  </si>
  <si>
    <t>10780.29</t>
  </si>
  <si>
    <t>7611.66</t>
  </si>
  <si>
    <t>9690.31</t>
  </si>
  <si>
    <t>1.22</t>
  </si>
  <si>
    <t>8.57</t>
  </si>
  <si>
    <t>39328.15</t>
  </si>
  <si>
    <t>229.61</t>
  </si>
  <si>
    <t>1967.49</t>
  </si>
  <si>
    <t>15939.21</t>
  </si>
  <si>
    <t>1838.82</t>
  </si>
  <si>
    <t>54425.81</t>
  </si>
  <si>
    <t>1912.15</t>
  </si>
  <si>
    <t>8351.47</t>
  </si>
  <si>
    <t>17886.13</t>
  </si>
  <si>
    <t>49058.99</t>
  </si>
  <si>
    <t>971.02</t>
  </si>
  <si>
    <t>52006.54</t>
  </si>
  <si>
    <t>18925.43</t>
  </si>
  <si>
    <t>142.07</t>
  </si>
  <si>
    <t>21.5</t>
  </si>
  <si>
    <t>70.88</t>
  </si>
  <si>
    <t>92045.19</t>
  </si>
  <si>
    <t>373.85</t>
  </si>
  <si>
    <t>3141.42</t>
  </si>
  <si>
    <t>18802.59</t>
  </si>
  <si>
    <t>4205.25</t>
  </si>
  <si>
    <t>121186.69</t>
  </si>
  <si>
    <t>2268.05</t>
  </si>
  <si>
    <t>9930.94</t>
  </si>
  <si>
    <t>20258.28</t>
  </si>
  <si>
    <t>8758.79</t>
  </si>
  <si>
    <t>707.61</t>
  </si>
  <si>
    <t>26194.59</t>
  </si>
  <si>
    <t>20291.79</t>
  </si>
  <si>
    <t>1872.62</t>
  </si>
  <si>
    <t>17364.03</t>
  </si>
  <si>
    <t>104.45</t>
  </si>
  <si>
    <t>3990.3</t>
  </si>
  <si>
    <t>15026.08</t>
  </si>
  <si>
    <t>2345.22</t>
  </si>
  <si>
    <t>18613.81</t>
  </si>
  <si>
    <t>274.54</t>
  </si>
  <si>
    <t>8954.81</t>
  </si>
  <si>
    <t>14718.19</t>
  </si>
  <si>
    <t>6875.79</t>
  </si>
  <si>
    <t>15122.01</t>
  </si>
  <si>
    <t>65.45</t>
  </si>
  <si>
    <t>4887.06</t>
  </si>
  <si>
    <t>11090.33</t>
  </si>
  <si>
    <t>10569.57</t>
  </si>
  <si>
    <t>61.57</t>
  </si>
  <si>
    <t>84674.22</t>
  </si>
  <si>
    <t>409.15</t>
  </si>
  <si>
    <t>17056.26</t>
  </si>
  <si>
    <t>18513.25</t>
  </si>
  <si>
    <t>9866.03</t>
  </si>
  <si>
    <t>182216.02</t>
  </si>
  <si>
    <t>299.83</t>
  </si>
  <si>
    <t>28007.01</t>
  </si>
  <si>
    <t>19724.4</t>
  </si>
  <si>
    <t>828.27</t>
  </si>
  <si>
    <t>67115.4</t>
  </si>
  <si>
    <t>3441.04</t>
  </si>
  <si>
    <t>16362.99</t>
  </si>
  <si>
    <t>175.75</t>
  </si>
  <si>
    <t>22690.63</t>
  </si>
  <si>
    <t>1.91</t>
  </si>
  <si>
    <t>229.54</t>
  </si>
  <si>
    <t>42364.26</t>
  </si>
  <si>
    <t>1.87</t>
  </si>
  <si>
    <t>23.86</t>
  </si>
  <si>
    <t>6184.59</t>
  </si>
  <si>
    <t>29.19</t>
  </si>
  <si>
    <t>53184.16</t>
  </si>
  <si>
    <t>152.61</t>
  </si>
  <si>
    <t>12016.95</t>
  </si>
  <si>
    <t>19630.08</t>
  </si>
  <si>
    <t>1630.98</t>
  </si>
  <si>
    <t>32.59</t>
  </si>
  <si>
    <t>340930.14</t>
  </si>
  <si>
    <t>507.71</t>
  </si>
  <si>
    <t>189189.97</t>
  </si>
  <si>
    <t>22716.69</t>
  </si>
  <si>
    <t>4907.2</t>
  </si>
  <si>
    <t>40.51</t>
  </si>
  <si>
    <t>204920.7</t>
  </si>
  <si>
    <t>453.98</t>
  </si>
  <si>
    <t>44245.19</t>
  </si>
  <si>
    <t>21476.69</t>
  </si>
  <si>
    <t>18248.65</t>
  </si>
  <si>
    <t>64.43</t>
  </si>
  <si>
    <t>45115.23</t>
  </si>
  <si>
    <t>21.95</t>
  </si>
  <si>
    <t>9712.67</t>
  </si>
  <si>
    <t>10766.06</t>
  </si>
  <si>
    <t>6064.67</t>
  </si>
  <si>
    <t>101.25</t>
  </si>
  <si>
    <t>66242.53</t>
  </si>
  <si>
    <t>67.89</t>
  </si>
  <si>
    <t>26319.95</t>
  </si>
  <si>
    <t>18631.04</t>
  </si>
  <si>
    <t>4017.71</t>
  </si>
  <si>
    <t>14.25</t>
  </si>
  <si>
    <t>41576.4</t>
  </si>
  <si>
    <t>44.31</t>
  </si>
  <si>
    <t>4962.21</t>
  </si>
  <si>
    <t>16507.65</t>
  </si>
  <si>
    <t>626.56</t>
  </si>
  <si>
    <t>7562.52</t>
  </si>
  <si>
    <t>129.4</t>
  </si>
  <si>
    <t>1.26</t>
  </si>
  <si>
    <t>11.25</t>
  </si>
  <si>
    <t>40938.98</t>
  </si>
  <si>
    <t>8.16</t>
  </si>
  <si>
    <t>9.12</t>
  </si>
  <si>
    <t>17354.14</t>
  </si>
  <si>
    <t>162.89</t>
  </si>
  <si>
    <t>211.59</t>
  </si>
  <si>
    <t>9111.02</t>
  </si>
  <si>
    <t>17.43</t>
  </si>
  <si>
    <t>27898.86</t>
  </si>
  <si>
    <t>1320.9</t>
  </si>
  <si>
    <t>2503.77</t>
  </si>
  <si>
    <t>15984.39</t>
  </si>
  <si>
    <t>933.39</t>
  </si>
  <si>
    <t>28.8</t>
  </si>
  <si>
    <t>28178.16</t>
  </si>
  <si>
    <t>2493.89</t>
  </si>
  <si>
    <t>6693.05</t>
  </si>
  <si>
    <t>19994.57</t>
  </si>
  <si>
    <t>14323.17</t>
  </si>
  <si>
    <t>16.62</t>
  </si>
  <si>
    <t>268.05</t>
  </si>
  <si>
    <t>209.42</t>
  </si>
  <si>
    <t>35.08</t>
  </si>
  <si>
    <t>164.76</t>
  </si>
  <si>
    <t>18.25</t>
  </si>
  <si>
    <t>26688.07</t>
  </si>
  <si>
    <t>565.65</t>
  </si>
  <si>
    <t>6942.67</t>
  </si>
  <si>
    <t>20095.51</t>
  </si>
  <si>
    <t>51.18</t>
  </si>
  <si>
    <t>6748.94</t>
  </si>
  <si>
    <t>27.88</t>
  </si>
  <si>
    <t>23586.86</t>
  </si>
  <si>
    <t>1220.88</t>
  </si>
  <si>
    <t>30034.24</t>
  </si>
  <si>
    <t>20929.65</t>
  </si>
  <si>
    <t>93.93</t>
  </si>
  <si>
    <t>14688.13</t>
  </si>
  <si>
    <t>33254.09</t>
  </si>
  <si>
    <t>479.42</t>
  </si>
  <si>
    <t>9040.66</t>
  </si>
  <si>
    <t>18571.74</t>
  </si>
  <si>
    <t>714.16</t>
  </si>
  <si>
    <t>21065.95</t>
  </si>
  <si>
    <t>799.02</t>
  </si>
  <si>
    <t>4981.42</t>
  </si>
  <si>
    <t>17540.95</t>
  </si>
  <si>
    <t>1760.24</t>
  </si>
  <si>
    <t>25.15</t>
  </si>
  <si>
    <t>26125.13</t>
  </si>
  <si>
    <t>1947.02</t>
  </si>
  <si>
    <t>16046.09</t>
  </si>
  <si>
    <t>18877.75</t>
  </si>
  <si>
    <t>12071.13</t>
  </si>
  <si>
    <t>8156.8</t>
  </si>
  <si>
    <t>46.05</t>
  </si>
  <si>
    <t>11653.85</t>
  </si>
  <si>
    <t>15204.41</t>
  </si>
  <si>
    <t>28696.55</t>
  </si>
  <si>
    <t>70234.77</t>
  </si>
  <si>
    <t>20327.56</t>
  </si>
  <si>
    <t>64.72</t>
  </si>
  <si>
    <t>175.34</t>
  </si>
  <si>
    <t>8547.09</t>
  </si>
  <si>
    <t>21.75</t>
  </si>
  <si>
    <t>330.07</t>
  </si>
  <si>
    <t>21.62</t>
  </si>
  <si>
    <t>32700.87</t>
  </si>
  <si>
    <t>1213.8</t>
  </si>
  <si>
    <t>4687.52</t>
  </si>
  <si>
    <t>17158.9</t>
  </si>
  <si>
    <t>1796.54</t>
  </si>
  <si>
    <t>354.8</t>
  </si>
  <si>
    <t>63113.3</t>
  </si>
  <si>
    <t>1454.31</t>
  </si>
  <si>
    <t>11338.22</t>
  </si>
  <si>
    <t>17223.23</t>
  </si>
  <si>
    <t>163.88</t>
  </si>
  <si>
    <t>143.44</t>
  </si>
  <si>
    <t>166.34</t>
  </si>
  <si>
    <t>137697.51</t>
  </si>
  <si>
    <t>1580.97</t>
  </si>
  <si>
    <t>5245.01</t>
  </si>
  <si>
    <t>19876.37</t>
  </si>
  <si>
    <t>8061.04</t>
  </si>
  <si>
    <t>34.53</t>
  </si>
  <si>
    <t>73188.13</t>
  </si>
  <si>
    <t>5157.97</t>
  </si>
  <si>
    <t>66016.48</t>
  </si>
  <si>
    <t>21420.08</t>
  </si>
  <si>
    <t>280739.56</t>
  </si>
  <si>
    <t>1624.39</t>
  </si>
  <si>
    <t>29643.61</t>
  </si>
  <si>
    <t>20875.04</t>
  </si>
  <si>
    <t>383.94</t>
  </si>
  <si>
    <t>12160.24</t>
  </si>
  <si>
    <t>614.16</t>
  </si>
  <si>
    <t>3076.28</t>
  </si>
  <si>
    <t>16510.5</t>
  </si>
  <si>
    <t>797.18</t>
  </si>
  <si>
    <t>55.4</t>
  </si>
  <si>
    <t>16355.34</t>
  </si>
  <si>
    <t>1388.41</t>
  </si>
  <si>
    <t>23536.91</t>
  </si>
  <si>
    <t>17518.41</t>
  </si>
  <si>
    <t>14112.11</t>
  </si>
  <si>
    <t>460.93</t>
  </si>
  <si>
    <t>8543.74</t>
  </si>
  <si>
    <t>56.04</t>
  </si>
  <si>
    <t>25917.43</t>
  </si>
  <si>
    <t>11595.81</t>
  </si>
  <si>
    <t>19046.86</t>
  </si>
  <si>
    <t>32055.31</t>
  </si>
  <si>
    <t>58.16</t>
  </si>
  <si>
    <t>8.39</t>
  </si>
  <si>
    <t>207.3</t>
  </si>
  <si>
    <t>2835.7</t>
  </si>
  <si>
    <t>15659.83</t>
  </si>
  <si>
    <t>972.74</t>
  </si>
  <si>
    <t>29.74</t>
  </si>
  <si>
    <t>38098.08</t>
  </si>
  <si>
    <t>860.99</t>
  </si>
  <si>
    <t>18786.22</t>
  </si>
  <si>
    <t>18718.61</t>
  </si>
  <si>
    <t>3361.62</t>
  </si>
  <si>
    <t>19.92</t>
  </si>
  <si>
    <t>33775.9</t>
  </si>
  <si>
    <t>1597.54</t>
  </si>
  <si>
    <t>7188.46</t>
  </si>
  <si>
    <t>16773.78</t>
  </si>
  <si>
    <t>9870.57</t>
  </si>
  <si>
    <t>7.78</t>
  </si>
  <si>
    <t>23420.72</t>
  </si>
  <si>
    <t>53.18</t>
  </si>
  <si>
    <t>3466.82</t>
  </si>
  <si>
    <t>96.4</t>
  </si>
  <si>
    <t>40688.7</t>
  </si>
  <si>
    <t>1083.85</t>
  </si>
  <si>
    <t>16784.23</t>
  </si>
  <si>
    <t>20838.91</t>
  </si>
  <si>
    <t>2304.04</t>
  </si>
  <si>
    <t>59133.19</t>
  </si>
  <si>
    <t>21225.79</t>
  </si>
  <si>
    <t>15418.06</t>
  </si>
  <si>
    <t>38378.37</t>
  </si>
  <si>
    <t>1615.36</t>
  </si>
  <si>
    <t>14218.15</t>
  </si>
  <si>
    <t>18946.3</t>
  </si>
  <si>
    <t>16534.12</t>
  </si>
  <si>
    <t>2118.35</t>
  </si>
  <si>
    <t>911.29</t>
  </si>
  <si>
    <t>16477.1</t>
  </si>
  <si>
    <t>23.65</t>
  </si>
  <si>
    <t>1006.89</t>
  </si>
  <si>
    <t>10088.91</t>
  </si>
  <si>
    <t>11.14</t>
  </si>
  <si>
    <t>107.03</t>
  </si>
  <si>
    <t>229.27</t>
  </si>
  <si>
    <t>5388.29</t>
  </si>
  <si>
    <t>14967.24</t>
  </si>
  <si>
    <t>32.02</t>
  </si>
  <si>
    <t>3788.13</t>
  </si>
  <si>
    <t>7.13</t>
  </si>
  <si>
    <t>15561.91</t>
  </si>
  <si>
    <t>59.75</t>
  </si>
  <si>
    <t>1816.9</t>
  </si>
  <si>
    <t>8978.96</t>
  </si>
  <si>
    <t>20.36</t>
  </si>
  <si>
    <t>3247.33</t>
  </si>
  <si>
    <t>92.32</t>
  </si>
  <si>
    <t>2.12</t>
  </si>
  <si>
    <t>6513.54</t>
  </si>
  <si>
    <t>32.9</t>
  </si>
  <si>
    <t>12865.24</t>
  </si>
  <si>
    <t>4331.58</t>
  </si>
  <si>
    <t>73.81</t>
  </si>
  <si>
    <t>5511.9</t>
  </si>
  <si>
    <t>109150.21</t>
  </si>
  <si>
    <t>15407.14</t>
  </si>
  <si>
    <t>4551.32</t>
  </si>
  <si>
    <t>133.65</t>
  </si>
  <si>
    <t>9931.63</t>
  </si>
  <si>
    <t>164.9</t>
  </si>
  <si>
    <t>142554.92</t>
  </si>
  <si>
    <t>17771.32</t>
  </si>
  <si>
    <t>4.11</t>
  </si>
  <si>
    <t>13468.64</t>
  </si>
  <si>
    <t>1465.19</t>
  </si>
  <si>
    <t>3949.6</t>
  </si>
  <si>
    <t>111.74</t>
  </si>
  <si>
    <t>31844.41</t>
  </si>
  <si>
    <t>152.93</t>
  </si>
  <si>
    <t>21012.03</t>
  </si>
  <si>
    <t>63307.92</t>
  </si>
  <si>
    <t>51.02</t>
  </si>
  <si>
    <t>26917.81</t>
  </si>
  <si>
    <t>193.13</t>
  </si>
  <si>
    <t>101087.94</t>
  </si>
  <si>
    <t>21915.67</t>
  </si>
  <si>
    <t>14486.81</t>
  </si>
  <si>
    <t>38.49</t>
  </si>
  <si>
    <t>38949.35</t>
  </si>
  <si>
    <t>271398.17</t>
  </si>
  <si>
    <t>20489.45</t>
  </si>
  <si>
    <t>130.93</t>
  </si>
  <si>
    <t>750.57</t>
  </si>
  <si>
    <t>12182.06</t>
  </si>
  <si>
    <t>68.36</t>
  </si>
  <si>
    <t>4106.06</t>
  </si>
  <si>
    <t>12890.96</t>
  </si>
  <si>
    <t>1317.29</t>
  </si>
  <si>
    <t>10406.22</t>
  </si>
  <si>
    <t>7086.1</t>
  </si>
  <si>
    <t>11053.87</t>
  </si>
  <si>
    <t>3572.12</t>
  </si>
  <si>
    <t>10642.42</t>
  </si>
  <si>
    <t>57.02</t>
  </si>
  <si>
    <t>5755.87</t>
  </si>
  <si>
    <t>9631.47</t>
  </si>
  <si>
    <t>7222.44</t>
  </si>
  <si>
    <t>484.89</t>
  </si>
  <si>
    <t>1.18</t>
  </si>
  <si>
    <t>4622.37</t>
  </si>
  <si>
    <t>1.47</t>
  </si>
  <si>
    <t>12.74</t>
  </si>
  <si>
    <t>1323.01</t>
  </si>
  <si>
    <t>5.26</t>
  </si>
  <si>
    <t>9780.77</t>
  </si>
  <si>
    <t>29.82</t>
  </si>
  <si>
    <t>115.9</t>
  </si>
  <si>
    <t>6826.45</t>
  </si>
  <si>
    <t>116.5</t>
  </si>
  <si>
    <t>9059.88</t>
  </si>
  <si>
    <t>16.21</t>
  </si>
  <si>
    <t>7011.64</t>
  </si>
  <si>
    <t>1825.22</t>
  </si>
  <si>
    <t>6.76</t>
  </si>
  <si>
    <t>10708.66</t>
  </si>
  <si>
    <t>33.15</t>
  </si>
  <si>
    <t>1659.52</t>
  </si>
  <si>
    <t>11.64</t>
  </si>
  <si>
    <t>21163.42</t>
  </si>
  <si>
    <t>45.54</t>
  </si>
  <si>
    <t>195.29</t>
  </si>
  <si>
    <t>7983.4</t>
  </si>
  <si>
    <t>312.21</t>
  </si>
  <si>
    <t>7535.59</t>
  </si>
  <si>
    <t>4.07</t>
  </si>
  <si>
    <t>59.01</t>
  </si>
  <si>
    <t>2323.98</t>
  </si>
  <si>
    <t>9.93</t>
  </si>
  <si>
    <t>397.73</t>
  </si>
  <si>
    <t>13187.66</t>
  </si>
  <si>
    <t>25732.67</t>
  </si>
  <si>
    <t>684.84</t>
  </si>
  <si>
    <t>3251.15</t>
  </si>
  <si>
    <t>11873.7</t>
  </si>
  <si>
    <t>913.46</t>
  </si>
  <si>
    <t>186.42</t>
  </si>
  <si>
    <t>25302.26</t>
  </si>
  <si>
    <t>17375.92</t>
  </si>
  <si>
    <t>15086.37</t>
  </si>
  <si>
    <t>2607.83</t>
  </si>
  <si>
    <t>118.5</t>
  </si>
  <si>
    <t>497.21</t>
  </si>
  <si>
    <t>3450.52</t>
  </si>
  <si>
    <t>4678.73</t>
  </si>
  <si>
    <t>6255.91</t>
  </si>
  <si>
    <t>18.61</t>
  </si>
  <si>
    <t>59.48</t>
  </si>
  <si>
    <t>69708.57</t>
  </si>
  <si>
    <t>3218.55</t>
  </si>
  <si>
    <t>9628.47</t>
  </si>
  <si>
    <t>21123.07</t>
  </si>
  <si>
    <t>11086.88</t>
  </si>
  <si>
    <t>42565.29</t>
  </si>
  <si>
    <t>5584.81</t>
  </si>
  <si>
    <t>55476.55</t>
  </si>
  <si>
    <t>22177.74</t>
  </si>
  <si>
    <t>90.18</t>
  </si>
  <si>
    <t>30773.66</t>
  </si>
  <si>
    <t>210.08</t>
  </si>
  <si>
    <t>2238.99</t>
  </si>
  <si>
    <t>10174.47</t>
  </si>
  <si>
    <t>877.99</t>
  </si>
  <si>
    <t>113.04</t>
  </si>
  <si>
    <t>4861.76</t>
  </si>
  <si>
    <t>196.54</t>
  </si>
  <si>
    <t>5442.85</t>
  </si>
  <si>
    <t>14460.88</t>
  </si>
  <si>
    <t>2045.12</t>
  </si>
  <si>
    <t>896.93</t>
  </si>
  <si>
    <t>5419.54</t>
  </si>
  <si>
    <t>172.89</t>
  </si>
  <si>
    <t>11098.04</t>
  </si>
  <si>
    <t>13058.88</t>
  </si>
  <si>
    <t>4787.56</t>
  </si>
  <si>
    <t>1382.19</t>
  </si>
  <si>
    <t>5047.86</t>
  </si>
  <si>
    <t>9.59</t>
  </si>
  <si>
    <t>6008.3</t>
  </si>
  <si>
    <t>9436.65</t>
  </si>
  <si>
    <t>6214.53</t>
  </si>
  <si>
    <t>11498.03</t>
  </si>
  <si>
    <t>0.56</t>
  </si>
  <si>
    <t>28966.72</t>
  </si>
  <si>
    <t>143.8</t>
  </si>
  <si>
    <t>557.32</t>
  </si>
  <si>
    <t>11572.85</t>
  </si>
  <si>
    <t>687.19</t>
  </si>
  <si>
    <t>37493.24</t>
  </si>
  <si>
    <t>605.71</t>
  </si>
  <si>
    <t>14979.7</t>
  </si>
  <si>
    <t>1469.57</t>
  </si>
  <si>
    <t>26268.36</t>
  </si>
  <si>
    <t>95.11</t>
  </si>
  <si>
    <t>762.51</t>
  </si>
  <si>
    <t>6240.05</t>
  </si>
  <si>
    <t>2352.51</t>
  </si>
  <si>
    <t>32920.45</t>
  </si>
  <si>
    <t>6.94</t>
  </si>
  <si>
    <t>19.08</t>
  </si>
  <si>
    <t>227054.58</t>
  </si>
  <si>
    <t>730.47</t>
  </si>
  <si>
    <t>1152.51</t>
  </si>
  <si>
    <t>17901.5</t>
  </si>
  <si>
    <t>2261.23</t>
  </si>
  <si>
    <t>294818.8</t>
  </si>
  <si>
    <t>4884.28</t>
  </si>
  <si>
    <t>7526.89</t>
  </si>
  <si>
    <t>20238.48</t>
  </si>
  <si>
    <t>6779.71</t>
  </si>
  <si>
    <t>20.77</t>
  </si>
  <si>
    <t>396683.6</t>
  </si>
  <si>
    <t>225.26</t>
  </si>
  <si>
    <t>923.34</t>
  </si>
  <si>
    <t>10693.87</t>
  </si>
  <si>
    <t>3992.28</t>
  </si>
  <si>
    <t>2020.25</t>
  </si>
  <si>
    <t>6.55</t>
  </si>
  <si>
    <t>3175.98</t>
  </si>
  <si>
    <t>12.16</t>
  </si>
  <si>
    <t>8817.19</t>
  </si>
  <si>
    <t>295.74</t>
  </si>
  <si>
    <t>10061.79</t>
  </si>
  <si>
    <t>16908.8</t>
  </si>
  <si>
    <t>3265.98</t>
  </si>
  <si>
    <t>35.51</t>
  </si>
  <si>
    <t>10122.29</t>
  </si>
  <si>
    <t>292.22</t>
  </si>
  <si>
    <t>30295.87</t>
  </si>
  <si>
    <t>16811.09</t>
  </si>
  <si>
    <t>8789.7</t>
  </si>
  <si>
    <t>10801.87</t>
  </si>
  <si>
    <t>48.32</t>
  </si>
  <si>
    <t>9503.63</t>
  </si>
  <si>
    <t>14027.8</t>
  </si>
  <si>
    <t>7694.63</t>
  </si>
  <si>
    <t>13437.18</t>
  </si>
  <si>
    <t>128.64</t>
  </si>
  <si>
    <t>17.71</t>
  </si>
  <si>
    <t>3197.62</t>
  </si>
  <si>
    <t>20393.22</t>
  </si>
  <si>
    <t>6661.63</t>
  </si>
  <si>
    <t>16160.45</t>
  </si>
  <si>
    <t>1913.87</t>
  </si>
  <si>
    <t>18921.76</t>
  </si>
  <si>
    <t>21699.72</t>
  </si>
  <si>
    <t>12670.75</t>
  </si>
  <si>
    <t>23.37</t>
  </si>
  <si>
    <t>15526.3</t>
  </si>
  <si>
    <t>1799.97</t>
  </si>
  <si>
    <t>14241.05</t>
  </si>
  <si>
    <t>21280.69</t>
  </si>
  <si>
    <t>6.49</t>
  </si>
  <si>
    <t>19174.43</t>
  </si>
  <si>
    <t>145.25</t>
  </si>
  <si>
    <t>2360.85</t>
  </si>
  <si>
    <t>681.82</t>
  </si>
  <si>
    <t>7002.26</t>
  </si>
  <si>
    <t>64.8</t>
  </si>
  <si>
    <t>2975.91</t>
  </si>
  <si>
    <t>17442.83</t>
  </si>
  <si>
    <t>6669.45</t>
  </si>
  <si>
    <t>4094.09</t>
  </si>
  <si>
    <t>97.92</t>
  </si>
  <si>
    <t>30.56</t>
  </si>
  <si>
    <t>6107.11</t>
  </si>
  <si>
    <t>15405.75</t>
  </si>
  <si>
    <t>7604.81</t>
  </si>
  <si>
    <t>7271.7</t>
  </si>
  <si>
    <t>49.49</t>
  </si>
  <si>
    <t>57.73</t>
  </si>
  <si>
    <t>3235.44</t>
  </si>
  <si>
    <t>15670.35</t>
  </si>
  <si>
    <t>8359.2</t>
  </si>
  <si>
    <t>541.03</t>
  </si>
  <si>
    <t>8902.58</t>
  </si>
  <si>
    <t>127.88</t>
  </si>
  <si>
    <t>10392.62</t>
  </si>
  <si>
    <t>17579.52</t>
  </si>
  <si>
    <t>26.06</t>
  </si>
  <si>
    <t>3.26</t>
  </si>
  <si>
    <t>7953.23</t>
  </si>
  <si>
    <t>313.04</t>
  </si>
  <si>
    <t>31559.26</t>
  </si>
  <si>
    <t>17361.55</t>
  </si>
  <si>
    <t>4.42</t>
  </si>
  <si>
    <t>5.87</t>
  </si>
  <si>
    <t>4419.51</t>
  </si>
  <si>
    <t>23.46</t>
  </si>
  <si>
    <t>19922.91</t>
  </si>
  <si>
    <t>14685.17</t>
  </si>
  <si>
    <t>346.79</t>
  </si>
  <si>
    <t>3874.34</t>
  </si>
  <si>
    <t>22.59</t>
  </si>
  <si>
    <t>134.81</t>
  </si>
  <si>
    <t>6516.04</t>
  </si>
  <si>
    <t>6451.83</t>
  </si>
  <si>
    <t>176.68</t>
  </si>
  <si>
    <t>2202.85</t>
  </si>
  <si>
    <t>11.7</t>
  </si>
  <si>
    <t>138.52</t>
  </si>
  <si>
    <t>2681.13</t>
  </si>
  <si>
    <t>1546.94</t>
  </si>
  <si>
    <t>15935.83</t>
  </si>
  <si>
    <t>2011.56</t>
  </si>
  <si>
    <t>16639.83</t>
  </si>
  <si>
    <t>4752.24</t>
  </si>
  <si>
    <t>24.25</t>
  </si>
  <si>
    <t>1573.04</t>
  </si>
  <si>
    <t>111.37</t>
  </si>
  <si>
    <t>5745.66</t>
  </si>
  <si>
    <t>19026.13</t>
  </si>
  <si>
    <t>4232.25</t>
  </si>
  <si>
    <t>30493.1</t>
  </si>
  <si>
    <t>123.12</t>
  </si>
  <si>
    <t>24883.72</t>
  </si>
  <si>
    <t>19872.58</t>
  </si>
  <si>
    <t>8129.1</t>
  </si>
  <si>
    <t>26.05</t>
  </si>
  <si>
    <t>34275.27</t>
  </si>
  <si>
    <t>4361.91</t>
  </si>
  <si>
    <t>10308.82</t>
  </si>
  <si>
    <t>20157.83</t>
  </si>
  <si>
    <t>20543.19</t>
  </si>
  <si>
    <t>52957.39</t>
  </si>
  <si>
    <t>81.93</t>
  </si>
  <si>
    <t>4539.73</t>
  </si>
  <si>
    <t>274.29</t>
  </si>
  <si>
    <t>64158.98</t>
  </si>
  <si>
    <t>1455.79</t>
  </si>
  <si>
    <t>147.5</t>
  </si>
  <si>
    <t>6565.62</t>
  </si>
  <si>
    <t>21385.98</t>
  </si>
  <si>
    <t>22926.12</t>
  </si>
  <si>
    <t>68807.24</t>
  </si>
  <si>
    <t>3081.66</t>
  </si>
  <si>
    <t>23721.13</t>
  </si>
  <si>
    <t>22415.63</t>
  </si>
  <si>
    <t>159306.12</t>
  </si>
  <si>
    <t>3882.96</t>
  </si>
  <si>
    <t>30359.52</t>
  </si>
  <si>
    <t>21698.94</t>
  </si>
  <si>
    <t>386.99</t>
  </si>
  <si>
    <t>8471.85</t>
  </si>
  <si>
    <t>124.24</t>
  </si>
  <si>
    <t>2687.15</t>
  </si>
  <si>
    <t>10802.84</t>
  </si>
  <si>
    <t>616.48</t>
  </si>
  <si>
    <t>15031.05</t>
  </si>
  <si>
    <t>202.14</t>
  </si>
  <si>
    <t>7076.86</t>
  </si>
  <si>
    <t>12930.57</t>
  </si>
  <si>
    <t>4006.62</t>
  </si>
  <si>
    <t>12236.73</t>
  </si>
  <si>
    <t>120.97</t>
  </si>
  <si>
    <t>3806.34</t>
  </si>
  <si>
    <t>9701.32</t>
  </si>
  <si>
    <t>6349.32</t>
  </si>
  <si>
    <t>874.16</t>
  </si>
  <si>
    <t>6.7</t>
  </si>
  <si>
    <t>2.53</t>
  </si>
  <si>
    <t>7282.27</t>
  </si>
  <si>
    <t>35.61</t>
  </si>
  <si>
    <t>248.54</t>
  </si>
  <si>
    <t>15.15</t>
  </si>
  <si>
    <t>5293.65</t>
  </si>
  <si>
    <t>399.32</t>
  </si>
  <si>
    <t>48.17</t>
  </si>
  <si>
    <t>2038.13</t>
  </si>
  <si>
    <t>9.39</t>
  </si>
  <si>
    <t>65.19</t>
  </si>
  <si>
    <t>4444.94</t>
  </si>
  <si>
    <t>8.44</t>
  </si>
  <si>
    <t>7543.67</t>
  </si>
  <si>
    <t>167.19</t>
  </si>
  <si>
    <t>1667.14</t>
  </si>
  <si>
    <t>14738.14</t>
  </si>
  <si>
    <t>29.01</t>
  </si>
  <si>
    <t>3485.37</t>
  </si>
  <si>
    <t>6381.65</t>
  </si>
  <si>
    <t>271.84</t>
  </si>
  <si>
    <t>5552.14</t>
  </si>
  <si>
    <t>15694.93</t>
  </si>
  <si>
    <t>4705.12</t>
  </si>
  <si>
    <t>11259.14</t>
  </si>
  <si>
    <t>223.32</t>
  </si>
  <si>
    <t>5378.63</t>
  </si>
  <si>
    <t>16663.44</t>
  </si>
  <si>
    <t>38722.7</t>
  </si>
  <si>
    <t>51491.41</t>
  </si>
  <si>
    <t>29.93</t>
  </si>
  <si>
    <t>3077.08</t>
  </si>
  <si>
    <t>36265.37</t>
  </si>
  <si>
    <t>649.8</t>
  </si>
  <si>
    <t>13301.51</t>
  </si>
  <si>
    <t>22180.09</t>
  </si>
  <si>
    <t>20148.35</t>
  </si>
  <si>
    <t>22763.71</t>
  </si>
  <si>
    <t>896.12</t>
  </si>
  <si>
    <t>21184.84</t>
  </si>
  <si>
    <t>54558.37</t>
  </si>
  <si>
    <t>636.81</t>
  </si>
  <si>
    <t>21066.65</t>
  </si>
  <si>
    <t>21272.96</t>
  </si>
  <si>
    <t>75150.6</t>
  </si>
  <si>
    <t>2.51</t>
  </si>
  <si>
    <t>28116.73</t>
  </si>
  <si>
    <t>148.8</t>
  </si>
  <si>
    <t>2626.62</t>
  </si>
  <si>
    <t>11062.04</t>
  </si>
  <si>
    <t>1024.47</t>
  </si>
  <si>
    <t>36368.41</t>
  </si>
  <si>
    <t>85.57</t>
  </si>
  <si>
    <t>8999.58</t>
  </si>
  <si>
    <t>10829.67</t>
  </si>
  <si>
    <t>2603.36</t>
  </si>
  <si>
    <t>16416.12</t>
  </si>
  <si>
    <t>10.4</t>
  </si>
  <si>
    <t>1500.72</t>
  </si>
  <si>
    <t>5274.09</t>
  </si>
  <si>
    <t>2156.31</t>
  </si>
  <si>
    <t>2.96</t>
  </si>
  <si>
    <t>5.77</t>
  </si>
  <si>
    <t>10.99</t>
  </si>
  <si>
    <t>43092.42</t>
  </si>
  <si>
    <t>705.48</t>
  </si>
  <si>
    <t>2138.44</t>
  </si>
  <si>
    <t>19594.66</t>
  </si>
  <si>
    <t>2597.23</t>
  </si>
  <si>
    <t>48015.31</t>
  </si>
  <si>
    <t>3548.9</t>
  </si>
  <si>
    <t>160.12</t>
  </si>
  <si>
    <t>31386.34</t>
  </si>
  <si>
    <t>21459.62</t>
  </si>
  <si>
    <t>10073.32</t>
  </si>
  <si>
    <t>42016.41</t>
  </si>
  <si>
    <t>1297.41</t>
  </si>
  <si>
    <t>43415.29</t>
  </si>
  <si>
    <t>21640.59</t>
  </si>
  <si>
    <t>283.34</t>
  </si>
  <si>
    <t>432.62</t>
  </si>
  <si>
    <t>29758.48</t>
  </si>
  <si>
    <t>98.99</t>
  </si>
  <si>
    <t>3399.07</t>
  </si>
  <si>
    <t>21247.44</t>
  </si>
  <si>
    <t>8340.03</t>
  </si>
  <si>
    <t>17678.34</t>
  </si>
  <si>
    <t>277.24</t>
  </si>
  <si>
    <t>78.09</t>
  </si>
  <si>
    <t>9135.3</t>
  </si>
  <si>
    <t>21513.16</t>
  </si>
  <si>
    <t>13624.11</t>
  </si>
  <si>
    <t>31562.97</t>
  </si>
  <si>
    <t>56.8</t>
  </si>
  <si>
    <t>5604.36</t>
  </si>
  <si>
    <t>20718.38</t>
  </si>
  <si>
    <t>19151.85</t>
  </si>
  <si>
    <t>8621.77</t>
  </si>
  <si>
    <t>174433.1</t>
  </si>
  <si>
    <t>317.87</t>
  </si>
  <si>
    <t>14280.4</t>
  </si>
  <si>
    <t>19372.76</t>
  </si>
  <si>
    <t>3403.09</t>
  </si>
  <si>
    <t>946.93</t>
  </si>
  <si>
    <t>51158.01</t>
  </si>
  <si>
    <t>20212.6</t>
  </si>
  <si>
    <t>8611.57</t>
  </si>
  <si>
    <t>114915.15</t>
  </si>
  <si>
    <t>175.47</t>
  </si>
  <si>
    <t>13277.41</t>
  </si>
  <si>
    <t>19150.18</t>
  </si>
  <si>
    <t>82.78</t>
  </si>
  <si>
    <t>15389.61</t>
  </si>
  <si>
    <t>12156.6</t>
  </si>
  <si>
    <t>3.73</t>
  </si>
  <si>
    <t>20890.57</t>
  </si>
  <si>
    <t>233.09</t>
  </si>
  <si>
    <t>4083.68</t>
  </si>
  <si>
    <t>16667.02</t>
  </si>
  <si>
    <t>1536.91</t>
  </si>
  <si>
    <t>22857.14</t>
  </si>
  <si>
    <t>749.38</t>
  </si>
  <si>
    <t>17126.18</t>
  </si>
  <si>
    <t>19293.98</t>
  </si>
  <si>
    <t>3364.05</t>
  </si>
  <si>
    <t>26228.47</t>
  </si>
  <si>
    <t>1395.82</t>
  </si>
  <si>
    <t>24599.11</t>
  </si>
  <si>
    <t>19435.11</t>
  </si>
  <si>
    <t>11450.47</t>
  </si>
  <si>
    <t>94746.38</t>
  </si>
  <si>
    <t>20.27</t>
  </si>
  <si>
    <t>360.07</t>
  </si>
  <si>
    <t>53.94</t>
  </si>
  <si>
    <t>53361.84</t>
  </si>
  <si>
    <t>705.87</t>
  </si>
  <si>
    <t>10048.62</t>
  </si>
  <si>
    <t>20850.44</t>
  </si>
  <si>
    <t>4449.69</t>
  </si>
  <si>
    <t>50464.35</t>
  </si>
  <si>
    <t>2085.06</t>
  </si>
  <si>
    <t>98863.51</t>
  </si>
  <si>
    <t>21744.88</t>
  </si>
  <si>
    <t>17046.74</t>
  </si>
  <si>
    <t>62936.49</t>
  </si>
  <si>
    <t>1355.7</t>
  </si>
  <si>
    <t>15768.29</t>
  </si>
  <si>
    <t>21279.15</t>
  </si>
  <si>
    <t>49575.58</t>
  </si>
  <si>
    <t>6804.18</t>
  </si>
  <si>
    <t>9.23</t>
  </si>
  <si>
    <t>63.47</t>
  </si>
  <si>
    <t>196.91</t>
  </si>
  <si>
    <t>6371.64</t>
  </si>
  <si>
    <t>16496.94</t>
  </si>
  <si>
    <t>310.96</t>
  </si>
  <si>
    <t>91027.45</t>
  </si>
  <si>
    <t>444.02</t>
  </si>
  <si>
    <t>45083.71</t>
  </si>
  <si>
    <t>17840.03</t>
  </si>
  <si>
    <t>3097.76</t>
  </si>
  <si>
    <t>70545.57</t>
  </si>
  <si>
    <t>229.95</t>
  </si>
  <si>
    <t>23192.99</t>
  </si>
  <si>
    <t>16293.3</t>
  </si>
  <si>
    <t>5817.15</t>
  </si>
  <si>
    <t>26.81</t>
  </si>
  <si>
    <t>2.71</t>
  </si>
  <si>
    <t>185001.83</t>
  </si>
  <si>
    <t>818.98</t>
  </si>
  <si>
    <t>10349.5</t>
  </si>
  <si>
    <t>18625.1</t>
  </si>
  <si>
    <t>217.12</t>
  </si>
  <si>
    <t>242244.73</t>
  </si>
  <si>
    <t>3152.01</t>
  </si>
  <si>
    <t>62744.63</t>
  </si>
  <si>
    <t>20728.35</t>
  </si>
  <si>
    <t>946.74</t>
  </si>
  <si>
    <t>2475.91</t>
  </si>
  <si>
    <t>70960.33</t>
  </si>
  <si>
    <t>18763.93</t>
  </si>
  <si>
    <t>8908.85</t>
  </si>
  <si>
    <t>15.53</t>
  </si>
  <si>
    <t>624.28</t>
  </si>
  <si>
    <t>9.73</t>
  </si>
  <si>
    <t>50010.13</t>
  </si>
  <si>
    <t>524.33</t>
  </si>
  <si>
    <t>6481.44</t>
  </si>
  <si>
    <t>20868.12</t>
  </si>
  <si>
    <t>1327.35</t>
  </si>
  <si>
    <t>50786.93</t>
  </si>
  <si>
    <t>1618.76</t>
  </si>
  <si>
    <t>30950.78</t>
  </si>
  <si>
    <t>22104.88</t>
  </si>
  <si>
    <t>3942.29</t>
  </si>
  <si>
    <t>67806.33</t>
  </si>
  <si>
    <t>306.24</t>
  </si>
  <si>
    <t>25228.64</t>
  </si>
  <si>
    <t>19359.25</t>
  </si>
  <si>
    <t>6744.55</t>
  </si>
  <si>
    <t>19367.11</t>
  </si>
  <si>
    <t>579.57</t>
  </si>
  <si>
    <t>29909.13</t>
  </si>
  <si>
    <t>20276.56</t>
  </si>
  <si>
    <t>13884.37</t>
  </si>
  <si>
    <t>33108.88</t>
  </si>
  <si>
    <t>549.65</t>
  </si>
  <si>
    <t>304010.49</t>
  </si>
  <si>
    <t>20916.57</t>
  </si>
  <si>
    <t>344.35</t>
  </si>
  <si>
    <t>89.75</t>
  </si>
  <si>
    <t>1021.16</t>
  </si>
  <si>
    <t>21331.77</t>
  </si>
  <si>
    <t>3533.6</t>
  </si>
  <si>
    <t>42.56</t>
  </si>
  <si>
    <t>39254.82</t>
  </si>
  <si>
    <t>186.36</t>
  </si>
  <si>
    <t>125257.58</t>
  </si>
  <si>
    <t>19168.13</t>
  </si>
  <si>
    <t>12917.01</t>
  </si>
  <si>
    <t>17587.96</t>
  </si>
  <si>
    <t>8.51</t>
  </si>
  <si>
    <t>24607.91</t>
  </si>
  <si>
    <t>274.79</t>
  </si>
  <si>
    <t>2177.97</t>
  </si>
  <si>
    <t>15605.82</t>
  </si>
  <si>
    <t>834.93</t>
  </si>
  <si>
    <t>22225.65</t>
  </si>
  <si>
    <t>808.04</t>
  </si>
  <si>
    <t>13616.5</t>
  </si>
  <si>
    <t>18062.09</t>
  </si>
  <si>
    <t>2719.61</t>
  </si>
  <si>
    <t>21316.77</t>
  </si>
  <si>
    <t>1625.07</t>
  </si>
  <si>
    <t>10966.81</t>
  </si>
  <si>
    <t>18353.61</t>
  </si>
  <si>
    <t>10510.53</t>
  </si>
  <si>
    <t>76258.72</t>
  </si>
  <si>
    <t>27.55</t>
  </si>
  <si>
    <t>170.48</t>
  </si>
  <si>
    <t>43.68</t>
  </si>
  <si>
    <t>33695.68</t>
  </si>
  <si>
    <t>802.11</t>
  </si>
  <si>
    <t>9879.11</t>
  </si>
  <si>
    <t>21829.05</t>
  </si>
  <si>
    <t>5491.12</t>
  </si>
  <si>
    <t>29930.13</t>
  </si>
  <si>
    <t>46998.22</t>
  </si>
  <si>
    <t>22130.73</t>
  </si>
  <si>
    <t>71.92</t>
  </si>
  <si>
    <t>11362.21</t>
  </si>
  <si>
    <t>26549.87</t>
  </si>
  <si>
    <t>630.65</t>
  </si>
  <si>
    <t>43859.08</t>
  </si>
  <si>
    <t>22090.01</t>
  </si>
  <si>
    <t>22291.47</t>
  </si>
  <si>
    <t>5904.87</t>
  </si>
  <si>
    <t>322.14</t>
  </si>
  <si>
    <t>41239.64</t>
  </si>
  <si>
    <t>110.72</t>
  </si>
  <si>
    <t>5818.74</t>
  </si>
  <si>
    <t>15811.64</t>
  </si>
  <si>
    <t>642.71</t>
  </si>
  <si>
    <t>51396.42</t>
  </si>
  <si>
    <t>346.69</t>
  </si>
  <si>
    <t>21919.12</t>
  </si>
  <si>
    <t>17085.26</t>
  </si>
  <si>
    <t>3914.48</t>
  </si>
  <si>
    <t>34018.35</t>
  </si>
  <si>
    <t>62.65</t>
  </si>
  <si>
    <t>8299.2</t>
  </si>
  <si>
    <t>14809.79</t>
  </si>
  <si>
    <t>7498.69</t>
  </si>
  <si>
    <t>4650.41</t>
  </si>
  <si>
    <t>14.08</t>
  </si>
  <si>
    <t>22420.72</t>
  </si>
  <si>
    <t>165.45</t>
  </si>
  <si>
    <t>761.68</t>
  </si>
  <si>
    <t>16979.31</t>
  </si>
  <si>
    <t>545.34</t>
  </si>
  <si>
    <t>24666.67</t>
  </si>
  <si>
    <t>1166.5</t>
  </si>
  <si>
    <t>16584.83</t>
  </si>
  <si>
    <t>20077.28</t>
  </si>
  <si>
    <t>3485.98</t>
  </si>
  <si>
    <t>51971.42</t>
  </si>
  <si>
    <t>963.97</t>
  </si>
  <si>
    <t>9242.99</t>
  </si>
  <si>
    <t>20660.11</t>
  </si>
  <si>
    <t>19690.06</t>
  </si>
  <si>
    <t>106729.01</t>
  </si>
  <si>
    <t>252.89</t>
  </si>
  <si>
    <t>45.72</t>
  </si>
  <si>
    <t>24029.99</t>
  </si>
  <si>
    <t>320.71</t>
  </si>
  <si>
    <t>2342.76</t>
  </si>
  <si>
    <t>19438.12</t>
  </si>
  <si>
    <t>2545.02</t>
  </si>
  <si>
    <t>20107.12</t>
  </si>
  <si>
    <t>1005.76</t>
  </si>
  <si>
    <t>5521.26</t>
  </si>
  <si>
    <t>19348.37</t>
  </si>
  <si>
    <t>4761.41</t>
  </si>
  <si>
    <t>90950.19</t>
  </si>
  <si>
    <t>832.75</t>
  </si>
  <si>
    <t>9983.06</t>
  </si>
  <si>
    <t>18837.93</t>
  </si>
  <si>
    <t>24444.03</t>
  </si>
  <si>
    <t>2148.06</t>
  </si>
  <si>
    <t>5.65</t>
  </si>
  <si>
    <t>18.24</t>
  </si>
  <si>
    <t>34099.77</t>
  </si>
  <si>
    <t>310.89</t>
  </si>
  <si>
    <t>27853.86</t>
  </si>
  <si>
    <t>19288.35</t>
  </si>
  <si>
    <t>2673.37</t>
  </si>
  <si>
    <t>34381.25</t>
  </si>
  <si>
    <t>455.53</t>
  </si>
  <si>
    <t>25131.38</t>
  </si>
  <si>
    <t>17507.14</t>
  </si>
  <si>
    <t>5199.79</t>
  </si>
  <si>
    <t>23133.43</t>
  </si>
  <si>
    <t>182.49</t>
  </si>
  <si>
    <t>28153.24</t>
  </si>
  <si>
    <t>17370.62</t>
  </si>
  <si>
    <t>14093.23</t>
  </si>
  <si>
    <t>7142.88</t>
  </si>
  <si>
    <t>3.85</t>
  </si>
  <si>
    <t>9489.55</t>
  </si>
  <si>
    <t>173.86</t>
  </si>
  <si>
    <t>496.59</t>
  </si>
  <si>
    <t>13124.84</t>
  </si>
  <si>
    <t>458.93</t>
  </si>
  <si>
    <t>12058.8</t>
  </si>
  <si>
    <t>784.88</t>
  </si>
  <si>
    <t>2257.54</t>
  </si>
  <si>
    <t>15517.92</t>
  </si>
  <si>
    <t>1174.13</t>
  </si>
  <si>
    <t>11044.11</t>
  </si>
  <si>
    <t>594.02</t>
  </si>
  <si>
    <t>6539.83</t>
  </si>
  <si>
    <t>17750.5</t>
  </si>
  <si>
    <t>44.6</t>
  </si>
  <si>
    <t>7458.52</t>
  </si>
  <si>
    <t>16.97</t>
  </si>
  <si>
    <t>2228.65</t>
  </si>
  <si>
    <t>107.5</t>
  </si>
  <si>
    <t>105743.78</t>
  </si>
  <si>
    <t>997.25</t>
  </si>
  <si>
    <t>3307.78</t>
  </si>
  <si>
    <t>21205.31</t>
  </si>
  <si>
    <t>61.38</t>
  </si>
  <si>
    <t>6336.75</t>
  </si>
  <si>
    <t>163086.22</t>
  </si>
  <si>
    <t>4255.49</t>
  </si>
  <si>
    <t>16368.96</t>
  </si>
  <si>
    <t>20639.04</t>
  </si>
  <si>
    <t>105.35</t>
  </si>
  <si>
    <t>17692.98</t>
  </si>
  <si>
    <t>1980.49</t>
  </si>
  <si>
    <t>16752.12</t>
  </si>
  <si>
    <t>19671.19</t>
  </si>
  <si>
    <t>1102.14</t>
  </si>
  <si>
    <t>1.51</t>
  </si>
  <si>
    <t>13179.92</t>
  </si>
  <si>
    <t>110.43</t>
  </si>
  <si>
    <t>1414.71</t>
  </si>
  <si>
    <t>12529.42</t>
  </si>
  <si>
    <t>832.5</t>
  </si>
  <si>
    <t>20061.05</t>
  </si>
  <si>
    <t>300.14</t>
  </si>
  <si>
    <t>5811.01</t>
  </si>
  <si>
    <t>15037.51</t>
  </si>
  <si>
    <t>5660.46</t>
  </si>
  <si>
    <t>12306.26</t>
  </si>
  <si>
    <t>54.73</t>
  </si>
  <si>
    <t>7007.94</t>
  </si>
  <si>
    <t>11822.64</t>
  </si>
  <si>
    <t>6124.15</t>
  </si>
  <si>
    <t>59441.19</t>
  </si>
  <si>
    <t>2.83</t>
  </si>
  <si>
    <t>2.02</t>
  </si>
  <si>
    <t>24338.46</t>
  </si>
  <si>
    <t>103.7</t>
  </si>
  <si>
    <t>5853.3</t>
  </si>
  <si>
    <t>79.95</t>
  </si>
  <si>
    <t>31552.62</t>
  </si>
  <si>
    <t>610.61</t>
  </si>
  <si>
    <t>122.13</t>
  </si>
  <si>
    <t>11092.53</t>
  </si>
  <si>
    <t>207.57</t>
  </si>
  <si>
    <t>608054.64</t>
  </si>
  <si>
    <t>8021.73</t>
  </si>
  <si>
    <t>6927.57</t>
  </si>
  <si>
    <t>18206.56</t>
  </si>
  <si>
    <t>25798.18</t>
  </si>
  <si>
    <t>2036.5</t>
  </si>
  <si>
    <t>0.79</t>
  </si>
  <si>
    <t>10635.81</t>
  </si>
  <si>
    <t>971.17</t>
  </si>
  <si>
    <t>3348.15</t>
  </si>
  <si>
    <t>17084.9</t>
  </si>
  <si>
    <t>2562.2</t>
  </si>
  <si>
    <t>10052.11</t>
  </si>
  <si>
    <t>1010.96</t>
  </si>
  <si>
    <t>5365.38</t>
  </si>
  <si>
    <t>18881.85</t>
  </si>
  <si>
    <t>5486.54</t>
  </si>
  <si>
    <t>22427.25</t>
  </si>
  <si>
    <t>791.84</t>
  </si>
  <si>
    <t>4255.24</t>
  </si>
  <si>
    <t>16338.44</t>
  </si>
  <si>
    <t>14250.49</t>
  </si>
  <si>
    <t>3.64</t>
  </si>
  <si>
    <t>30190.3</t>
  </si>
  <si>
    <t>151.63</t>
  </si>
  <si>
    <t>292.49</t>
  </si>
  <si>
    <t>9352.82</t>
  </si>
  <si>
    <t>37.87</t>
  </si>
  <si>
    <t>63184.3</t>
  </si>
  <si>
    <t>812.96</t>
  </si>
  <si>
    <t>14064.75</t>
  </si>
  <si>
    <t>514.92</t>
  </si>
  <si>
    <t>52386.15</t>
  </si>
  <si>
    <t>910.13</t>
  </si>
  <si>
    <t>8130.26</t>
  </si>
  <si>
    <t>11915.83</t>
  </si>
  <si>
    <t>9673.22</t>
  </si>
  <si>
    <t>25378.43</t>
  </si>
  <si>
    <t>10.08</t>
  </si>
  <si>
    <t>16732.75</t>
  </si>
  <si>
    <t>5947.59</t>
  </si>
  <si>
    <t>17499.87</t>
  </si>
  <si>
    <t>2488.2</t>
  </si>
  <si>
    <t>66.16</t>
  </si>
  <si>
    <t>12468.41</t>
  </si>
  <si>
    <t>414.86</t>
  </si>
  <si>
    <t>14956.29</t>
  </si>
  <si>
    <t>16782.03</t>
  </si>
  <si>
    <t>2904.88</t>
  </si>
  <si>
    <t>194.88</t>
  </si>
  <si>
    <t>13738.45</t>
  </si>
  <si>
    <t>276.27</t>
  </si>
  <si>
    <t>13969.24</t>
  </si>
  <si>
    <t>16827.25</t>
  </si>
  <si>
    <t>15152.42</t>
  </si>
  <si>
    <t>179907.54</t>
  </si>
  <si>
    <t>1994.58</t>
  </si>
  <si>
    <t>23379.41</t>
  </si>
  <si>
    <t>864.91</t>
  </si>
  <si>
    <t>28382.93</t>
  </si>
  <si>
    <t>20886.19</t>
  </si>
  <si>
    <t>75.51</t>
  </si>
  <si>
    <t>11969.62</t>
  </si>
  <si>
    <t>28195.75</t>
  </si>
  <si>
    <t>914.33</t>
  </si>
  <si>
    <t>10622.87</t>
  </si>
  <si>
    <t>20686.56</t>
  </si>
  <si>
    <t>9370.8</t>
  </si>
  <si>
    <t>30074.26</t>
  </si>
  <si>
    <t>245.18</t>
  </si>
  <si>
    <t>10192.28</t>
  </si>
  <si>
    <t>19339.36</t>
  </si>
  <si>
    <t>16645.25</t>
  </si>
  <si>
    <t>18423.78</t>
  </si>
  <si>
    <t>854.08</t>
  </si>
  <si>
    <t>15009.8</t>
  </si>
  <si>
    <t>41.38</t>
  </si>
  <si>
    <t>2873.72</t>
  </si>
  <si>
    <t>40782.25</t>
  </si>
  <si>
    <t>243.99</t>
  </si>
  <si>
    <t>37257.51</t>
  </si>
  <si>
    <t>18012.54</t>
  </si>
  <si>
    <t>2547.24</t>
  </si>
  <si>
    <t>38181.81</t>
  </si>
  <si>
    <t>325.84</t>
  </si>
  <si>
    <t>18605.46</t>
  </si>
  <si>
    <t>5674.45</t>
  </si>
  <si>
    <t>25196.13</t>
  </si>
  <si>
    <t>87.55</t>
  </si>
  <si>
    <t>35686.19</t>
  </si>
  <si>
    <t>14618.18</t>
  </si>
  <si>
    <t>444.17</t>
  </si>
  <si>
    <t>1608.88</t>
  </si>
  <si>
    <t>108.72</t>
  </si>
  <si>
    <t>3310.31</t>
  </si>
  <si>
    <t>10.87</t>
  </si>
  <si>
    <t>2445.19</t>
  </si>
  <si>
    <t>19.98</t>
  </si>
  <si>
    <t>495.14</t>
  </si>
  <si>
    <t>3848.72</t>
  </si>
  <si>
    <t>74.36</t>
  </si>
  <si>
    <t>4.83</t>
  </si>
  <si>
    <t>161.94</t>
  </si>
  <si>
    <t>1371.19</t>
  </si>
  <si>
    <t>119.63</t>
  </si>
  <si>
    <t>38920.46</t>
  </si>
  <si>
    <t>30.33</t>
  </si>
  <si>
    <t>312.86</t>
  </si>
  <si>
    <t>110.32</t>
  </si>
  <si>
    <t>43985.03</t>
  </si>
  <si>
    <t>1945.65</t>
  </si>
  <si>
    <t>3608.03</t>
  </si>
  <si>
    <t>18949.66</t>
  </si>
  <si>
    <t>7268.94</t>
  </si>
  <si>
    <t>46337.68</t>
  </si>
  <si>
    <t>5463.49</t>
  </si>
  <si>
    <t>12434.83</t>
  </si>
  <si>
    <t>20229.73</t>
  </si>
  <si>
    <t>13029.31</t>
  </si>
  <si>
    <t>56227.4</t>
  </si>
  <si>
    <t>1826.18</t>
  </si>
  <si>
    <t>5151.25</t>
  </si>
  <si>
    <t>18146.23</t>
  </si>
  <si>
    <t>13789.01</t>
  </si>
  <si>
    <t>2204.52</t>
  </si>
  <si>
    <t>2.68</t>
  </si>
  <si>
    <t>70.52</t>
  </si>
  <si>
    <t>4446.01</t>
  </si>
  <si>
    <t>83.43</t>
  </si>
  <si>
    <t>3977.55</t>
  </si>
  <si>
    <t>58.04</t>
  </si>
  <si>
    <t>6508.44</t>
  </si>
  <si>
    <t>9879.35</t>
  </si>
  <si>
    <t>567.09</t>
  </si>
  <si>
    <t>5232.31</t>
  </si>
  <si>
    <t>10154.5</t>
  </si>
  <si>
    <t>9049.34</t>
  </si>
  <si>
    <t>1652.13</t>
  </si>
  <si>
    <t>2957.11</t>
  </si>
  <si>
    <t>8.52</t>
  </si>
  <si>
    <t>6093.67</t>
  </si>
  <si>
    <t>5571.03</t>
  </si>
  <si>
    <t>1774.14</t>
  </si>
  <si>
    <t>2291.74</t>
  </si>
  <si>
    <t>93.42</t>
  </si>
  <si>
    <t>2058.03</t>
  </si>
  <si>
    <t>8208.49</t>
  </si>
  <si>
    <t>251.11</t>
  </si>
  <si>
    <t>3625.6</t>
  </si>
  <si>
    <t>237.96</t>
  </si>
  <si>
    <t>6034.87</t>
  </si>
  <si>
    <t>12237.62</t>
  </si>
  <si>
    <t>830.89</t>
  </si>
  <si>
    <t>4124.97</t>
  </si>
  <si>
    <t>73.64</t>
  </si>
  <si>
    <t>2196.9</t>
  </si>
  <si>
    <t>13144.75</t>
  </si>
  <si>
    <t>2063.27</t>
  </si>
  <si>
    <t>18455.31</t>
  </si>
  <si>
    <t>21.02</t>
  </si>
  <si>
    <t>184.81</t>
  </si>
  <si>
    <t>14752.58</t>
  </si>
  <si>
    <t>642.03</t>
  </si>
  <si>
    <t>9812.6</t>
  </si>
  <si>
    <t>17838.2</t>
  </si>
  <si>
    <t>6448.8</t>
  </si>
  <si>
    <t>13642.72</t>
  </si>
  <si>
    <t>565.96</t>
  </si>
  <si>
    <t>21252.12</t>
  </si>
  <si>
    <t>18785.86</t>
  </si>
  <si>
    <t>7663.28</t>
  </si>
  <si>
    <t>19021.76</t>
  </si>
  <si>
    <t>369.7</t>
  </si>
  <si>
    <t>8808.5</t>
  </si>
  <si>
    <t>19697.6</t>
  </si>
  <si>
    <t>6931.62</t>
  </si>
  <si>
    <t>225.79</t>
  </si>
  <si>
    <t>28055.49</t>
  </si>
  <si>
    <t>147.69</t>
  </si>
  <si>
    <t>10998.31</t>
  </si>
  <si>
    <t>136.82</t>
  </si>
  <si>
    <t>124.64</t>
  </si>
  <si>
    <t>41803.55</t>
  </si>
  <si>
    <t>1048.18</t>
  </si>
  <si>
    <t>19249.49</t>
  </si>
  <si>
    <t>17749.04</t>
  </si>
  <si>
    <t>6915.5</t>
  </si>
  <si>
    <t>14854.87</t>
  </si>
  <si>
    <t>159.94</t>
  </si>
  <si>
    <t>29003.25</t>
  </si>
  <si>
    <t>17012.08</t>
  </si>
  <si>
    <t>12246.06</t>
  </si>
  <si>
    <t>360536.04</t>
  </si>
  <si>
    <t>21.66</t>
  </si>
  <si>
    <t>771.59</t>
  </si>
  <si>
    <t>28.28</t>
  </si>
  <si>
    <t>82870.88</t>
  </si>
  <si>
    <t>494.1</t>
  </si>
  <si>
    <t>8061.9</t>
  </si>
  <si>
    <t>18818.58</t>
  </si>
  <si>
    <t>1111.68</t>
  </si>
  <si>
    <t>135731.92</t>
  </si>
  <si>
    <t>1030.24</t>
  </si>
  <si>
    <t>9009.35</t>
  </si>
  <si>
    <t>18912.39</t>
  </si>
  <si>
    <t>2948.92</t>
  </si>
  <si>
    <t>18535.08</t>
  </si>
  <si>
    <t>9169.39</t>
  </si>
  <si>
    <t>57318.39</t>
  </si>
  <si>
    <t>452.04</t>
  </si>
  <si>
    <t>4340.06</t>
  </si>
  <si>
    <t>185.84</t>
  </si>
  <si>
    <t>18550.24</t>
  </si>
  <si>
    <t>167.05</t>
  </si>
  <si>
    <t>18978.23</t>
  </si>
  <si>
    <t>22142.09</t>
  </si>
  <si>
    <t>12822.17</t>
  </si>
  <si>
    <t>11659.28</t>
  </si>
  <si>
    <t>140.12</t>
  </si>
  <si>
    <t>28532.02</t>
  </si>
  <si>
    <t>20616.06</t>
  </si>
  <si>
    <t>10004.24</t>
  </si>
  <si>
    <t>21347.59</t>
  </si>
  <si>
    <t>96.39</t>
  </si>
  <si>
    <t>14502.57</t>
  </si>
  <si>
    <t>19320.6</t>
  </si>
  <si>
    <t>15907.92</t>
  </si>
  <si>
    <t>1688.29</t>
  </si>
  <si>
    <t>0.48</t>
  </si>
  <si>
    <t>9452.77</t>
  </si>
  <si>
    <t>133.08</t>
  </si>
  <si>
    <t>13080.55</t>
  </si>
  <si>
    <t>17237.34</t>
  </si>
  <si>
    <t>2292.25</t>
  </si>
  <si>
    <t>11435.36</t>
  </si>
  <si>
    <t>331.78</t>
  </si>
  <si>
    <t>16632.41</t>
  </si>
  <si>
    <t>17587.17</t>
  </si>
  <si>
    <t>7793.39</t>
  </si>
  <si>
    <t>5214.19</t>
  </si>
  <si>
    <t>7.84</t>
  </si>
  <si>
    <t>13244.35</t>
  </si>
  <si>
    <t>12678.77</t>
  </si>
  <si>
    <t>7941.78</t>
  </si>
  <si>
    <t>27916.21</t>
  </si>
  <si>
    <t>10.74</t>
  </si>
  <si>
    <t>132.99</t>
  </si>
  <si>
    <t>1070.98</t>
  </si>
  <si>
    <t>8406.47</t>
  </si>
  <si>
    <t>357.83</t>
  </si>
  <si>
    <t>45.16</t>
  </si>
  <si>
    <t>18339.97</t>
  </si>
  <si>
    <t>1211.58</t>
  </si>
  <si>
    <t>7073.78</t>
  </si>
  <si>
    <t>11899.74</t>
  </si>
  <si>
    <t>812.38</t>
  </si>
  <si>
    <t>375.96</t>
  </si>
  <si>
    <t>29844.12</t>
  </si>
  <si>
    <t>130.72</t>
  </si>
  <si>
    <t>4368.48</t>
  </si>
  <si>
    <t>10059.94</t>
  </si>
  <si>
    <t>7191.89</t>
  </si>
  <si>
    <t>9.72</t>
  </si>
  <si>
    <t>36.66</t>
  </si>
  <si>
    <t>29187.2</t>
  </si>
  <si>
    <t>989.34</t>
  </si>
  <si>
    <t>12105.69</t>
  </si>
  <si>
    <t>18228.65</t>
  </si>
  <si>
    <t>6135.6</t>
  </si>
  <si>
    <t>1642.75</t>
  </si>
  <si>
    <t>30268.65</t>
  </si>
  <si>
    <t>16222.64</t>
  </si>
  <si>
    <t>9077.66</t>
  </si>
  <si>
    <t>68934.51</t>
  </si>
  <si>
    <t>95.23</t>
  </si>
  <si>
    <t>2808.47</t>
  </si>
  <si>
    <t>11977.65</t>
  </si>
  <si>
    <t>7309.14</t>
  </si>
  <si>
    <t>1212.43</t>
  </si>
  <si>
    <t>15.18</t>
  </si>
  <si>
    <t>2102.04</t>
  </si>
  <si>
    <t>5474.88</t>
  </si>
  <si>
    <t>178.11</t>
  </si>
  <si>
    <t>4265.26</t>
  </si>
  <si>
    <t>12096.42</t>
  </si>
  <si>
    <t>1197.23</t>
  </si>
  <si>
    <t>5205.14</t>
  </si>
  <si>
    <t>175.15</t>
  </si>
  <si>
    <t>11423.79</t>
  </si>
  <si>
    <t>11100.08</t>
  </si>
  <si>
    <t>3750.62</t>
  </si>
  <si>
    <t>4901.4</t>
  </si>
  <si>
    <t>7.9</t>
  </si>
  <si>
    <t>6725.26</t>
  </si>
  <si>
    <t>8472.79</t>
  </si>
  <si>
    <t>4327.53</t>
  </si>
  <si>
    <t>25593.28</t>
  </si>
  <si>
    <t>1.55</t>
  </si>
  <si>
    <t>99667.41</t>
  </si>
  <si>
    <t>220.94</t>
  </si>
  <si>
    <t>1261.9</t>
  </si>
  <si>
    <t>17604.65</t>
  </si>
  <si>
    <t>801.17</t>
  </si>
  <si>
    <t>2444.72</t>
  </si>
  <si>
    <t>15402.39</t>
  </si>
  <si>
    <t>2729.8</t>
  </si>
  <si>
    <t>44.64</t>
  </si>
  <si>
    <t>2278.46</t>
  </si>
  <si>
    <t>12927.88</t>
  </si>
  <si>
    <t>19792.4</t>
  </si>
  <si>
    <t>15895.71</t>
  </si>
  <si>
    <t>39878.01</t>
  </si>
  <si>
    <t>44.02</t>
  </si>
  <si>
    <t>226.79</t>
  </si>
  <si>
    <t>35.93</t>
  </si>
  <si>
    <t>36471.92</t>
  </si>
  <si>
    <t>1833.94</t>
  </si>
  <si>
    <t>21257.61</t>
  </si>
  <si>
    <t>20920.41</t>
  </si>
  <si>
    <t>21132.93</t>
  </si>
  <si>
    <t>18972.96</t>
  </si>
  <si>
    <t>1111.33</t>
  </si>
  <si>
    <t>147641.44</t>
  </si>
  <si>
    <t>21521.7</t>
  </si>
  <si>
    <t>45093.41</t>
  </si>
  <si>
    <t>38505.62</t>
  </si>
  <si>
    <t>681.51</t>
  </si>
  <si>
    <t>16836.57</t>
  </si>
  <si>
    <t>21212.65</t>
  </si>
  <si>
    <t>34575.84</t>
  </si>
  <si>
    <t>2146.4</t>
  </si>
  <si>
    <t>18994.63</t>
  </si>
  <si>
    <t>618.52</t>
  </si>
  <si>
    <t>17233.83</t>
  </si>
  <si>
    <t>3007.8</t>
  </si>
  <si>
    <t>12207.55</t>
  </si>
  <si>
    <t>278.26</t>
  </si>
  <si>
    <t>57565.02</t>
  </si>
  <si>
    <t>17536.59</t>
  </si>
  <si>
    <t>8574.23</t>
  </si>
  <si>
    <t>6136.26</t>
  </si>
  <si>
    <t>42472.58</t>
  </si>
  <si>
    <t>15029.54</t>
  </si>
  <si>
    <t>9395.13</t>
  </si>
  <si>
    <t>20926.72</t>
  </si>
  <si>
    <t>15.82</t>
  </si>
  <si>
    <t>360.29</t>
  </si>
  <si>
    <t>663.73</t>
  </si>
  <si>
    <t>12157.56</t>
  </si>
  <si>
    <t>807.97</t>
  </si>
  <si>
    <t>38647.83</t>
  </si>
  <si>
    <t>2520.05</t>
  </si>
  <si>
    <t>8153.18</t>
  </si>
  <si>
    <t>17705.61</t>
  </si>
  <si>
    <t>1989.42</t>
  </si>
  <si>
    <t>111.78</t>
  </si>
  <si>
    <t>30950.69</t>
  </si>
  <si>
    <t>581.41</t>
  </si>
  <si>
    <t>4999.56</t>
  </si>
  <si>
    <t>12357.53</t>
  </si>
  <si>
    <t>6594.14</t>
  </si>
  <si>
    <t>56368.63</t>
  </si>
  <si>
    <t>7.01</t>
  </si>
  <si>
    <t>113.63</t>
  </si>
  <si>
    <t>22.68</t>
  </si>
  <si>
    <t>26164.81</t>
  </si>
  <si>
    <t>2120.68</t>
  </si>
  <si>
    <t>8789.43</t>
  </si>
  <si>
    <t>20429.86</t>
  </si>
  <si>
    <t>19411.44</t>
  </si>
  <si>
    <t>2703.94</t>
  </si>
  <si>
    <t>44407.65</t>
  </si>
  <si>
    <t>20671.61</t>
  </si>
  <si>
    <t>16796.19</t>
  </si>
  <si>
    <t>100916.21</t>
  </si>
  <si>
    <t>598.65</t>
  </si>
  <si>
    <t>5164.06</t>
  </si>
  <si>
    <t>18078.24</t>
  </si>
  <si>
    <t>11347.87</t>
  </si>
  <si>
    <t>4314.18</t>
  </si>
  <si>
    <t>13.43</t>
  </si>
  <si>
    <t>2775.05</t>
  </si>
  <si>
    <t>615.15</t>
  </si>
  <si>
    <t>7600.67</t>
  </si>
  <si>
    <t>17342.7</t>
  </si>
  <si>
    <t>3630.2</t>
  </si>
  <si>
    <t>612.46</t>
  </si>
  <si>
    <t>15844.98</t>
  </si>
  <si>
    <t>1170.14</t>
  </si>
  <si>
    <t>33026.19</t>
  </si>
  <si>
    <t>17701.23</t>
  </si>
  <si>
    <t>10643.51</t>
  </si>
  <si>
    <t>388.06</t>
  </si>
  <si>
    <t>13075.83</t>
  </si>
  <si>
    <t>75.34</t>
  </si>
  <si>
    <t>10020.16</t>
  </si>
  <si>
    <t>16624.81</t>
  </si>
  <si>
    <t>11886.7</t>
  </si>
  <si>
    <t>15056.99</t>
  </si>
  <si>
    <t>11698.09</t>
  </si>
  <si>
    <t>126.58</t>
  </si>
  <si>
    <t>1102.17</t>
  </si>
  <si>
    <t>7187.42</t>
  </si>
  <si>
    <t>371.11</t>
  </si>
  <si>
    <t>14254.35</t>
  </si>
  <si>
    <t>840.18</t>
  </si>
  <si>
    <t>6042.86</t>
  </si>
  <si>
    <t>11977.32</t>
  </si>
  <si>
    <t>959.72</t>
  </si>
  <si>
    <t>10247.49</t>
  </si>
  <si>
    <t>485.72</t>
  </si>
  <si>
    <t>8526.89</t>
  </si>
  <si>
    <t>11722.33</t>
  </si>
  <si>
    <t>77002.63</t>
  </si>
  <si>
    <t>75.95</t>
  </si>
  <si>
    <t>501.47</t>
  </si>
  <si>
    <t>175.62</t>
  </si>
  <si>
    <t>25113.15</t>
  </si>
  <si>
    <t>852.34</t>
  </si>
  <si>
    <t>11233.52</t>
  </si>
  <si>
    <t>18471.08</t>
  </si>
  <si>
    <t>5747.88</t>
  </si>
  <si>
    <t>18054.85</t>
  </si>
  <si>
    <t>1607.2</t>
  </si>
  <si>
    <t>31016.48</t>
  </si>
  <si>
    <t>19660.25</t>
  </si>
  <si>
    <t>9515.53</t>
  </si>
  <si>
    <t>28488.13</t>
  </si>
  <si>
    <t>1115.5</t>
  </si>
  <si>
    <t>8317.19</t>
  </si>
  <si>
    <t>17778.63</t>
  </si>
  <si>
    <t>15777.7</t>
  </si>
  <si>
    <t>7308.72</t>
  </si>
  <si>
    <t>18.97</t>
  </si>
  <si>
    <t>2704.82</t>
  </si>
  <si>
    <t>414.5</t>
  </si>
  <si>
    <t>20556.6</t>
  </si>
  <si>
    <t>195.68</t>
  </si>
  <si>
    <t>17815.73</t>
  </si>
  <si>
    <t>16934.69</t>
  </si>
  <si>
    <t>3201.78</t>
  </si>
  <si>
    <t>1791.32</t>
  </si>
  <si>
    <t>20485.82</t>
  </si>
  <si>
    <t>544.1</t>
  </si>
  <si>
    <t>56541.03</t>
  </si>
  <si>
    <t>16930.37</t>
  </si>
  <si>
    <t>8773.95</t>
  </si>
  <si>
    <t>1390.36</t>
  </si>
  <si>
    <t>9765.14</t>
  </si>
  <si>
    <t>13.93</t>
  </si>
  <si>
    <t>11285.84</t>
  </si>
  <si>
    <t>11936.68</t>
  </si>
  <si>
    <t>3.36</t>
  </si>
  <si>
    <t>50.27</t>
  </si>
  <si>
    <t>36342.6</t>
  </si>
  <si>
    <t>4563.72</t>
  </si>
  <si>
    <t>14707.18</t>
  </si>
  <si>
    <t>591.65</t>
  </si>
  <si>
    <t>243.61</t>
  </si>
  <si>
    <t>50694.37</t>
  </si>
  <si>
    <t>1017.69</t>
  </si>
  <si>
    <t>44636.69</t>
  </si>
  <si>
    <t>18397.91</t>
  </si>
  <si>
    <t>2105.46</t>
  </si>
  <si>
    <t>365.07</t>
  </si>
  <si>
    <t>14904.25</t>
  </si>
  <si>
    <t>15445.56</t>
  </si>
  <si>
    <t>3074.74</t>
  </si>
  <si>
    <t>1.66</t>
  </si>
  <si>
    <t>14.83</t>
  </si>
  <si>
    <t>1320.45</t>
  </si>
  <si>
    <t>255.53</t>
  </si>
  <si>
    <t>64825.95</t>
  </si>
  <si>
    <t>184.4</t>
  </si>
  <si>
    <t>10183.38</t>
  </si>
  <si>
    <t>20585.82</t>
  </si>
  <si>
    <t>3642.73</t>
  </si>
  <si>
    <t>53979.74</t>
  </si>
  <si>
    <t>872.97</t>
  </si>
  <si>
    <t>21721.52</t>
  </si>
  <si>
    <t>8702.35</t>
  </si>
  <si>
    <t>209.79</t>
  </si>
  <si>
    <t>18926.46</t>
  </si>
  <si>
    <t>19719.87</t>
  </si>
  <si>
    <t>6795.57</t>
  </si>
  <si>
    <t>2283.31</t>
  </si>
  <si>
    <t>53.85</t>
  </si>
  <si>
    <t>1920.39</t>
  </si>
  <si>
    <t>24.24</t>
  </si>
  <si>
    <t>3036.25</t>
  </si>
  <si>
    <t>4386.89</t>
  </si>
  <si>
    <t>11276.99</t>
  </si>
  <si>
    <t>986.32</t>
  </si>
  <si>
    <t>2915.07</t>
  </si>
  <si>
    <t>64.41</t>
  </si>
  <si>
    <t>16126.04</t>
  </si>
  <si>
    <t>11692.9</t>
  </si>
  <si>
    <t>3309.43</t>
  </si>
  <si>
    <t>340.29</t>
  </si>
  <si>
    <t>2723.9</t>
  </si>
  <si>
    <t>8190.33</t>
  </si>
  <si>
    <t>3690.85</t>
  </si>
  <si>
    <t>3946.82</t>
  </si>
  <si>
    <t>61828.26</t>
  </si>
  <si>
    <t>30790.39</t>
  </si>
  <si>
    <t>1485.37</t>
  </si>
  <si>
    <t>4849.28</t>
  </si>
  <si>
    <t>14186.65</t>
  </si>
  <si>
    <t>652.9</t>
  </si>
  <si>
    <t>32321.92</t>
  </si>
  <si>
    <t>4052.59</t>
  </si>
  <si>
    <t>24405.27</t>
  </si>
  <si>
    <t>17676.43</t>
  </si>
  <si>
    <t>2611.17</t>
  </si>
  <si>
    <t>62.14</t>
  </si>
  <si>
    <t>26006.56</t>
  </si>
  <si>
    <t>1447.61</t>
  </si>
  <si>
    <t>26342.16</t>
  </si>
  <si>
    <t>16691.37</t>
  </si>
  <si>
    <t>13274.13</t>
  </si>
  <si>
    <t>72948.01</t>
  </si>
  <si>
    <t>1155.76</t>
  </si>
  <si>
    <t>12846.54</t>
  </si>
  <si>
    <t>19817.35</t>
  </si>
  <si>
    <t>31825.16</t>
  </si>
  <si>
    <t>24374.65</t>
  </si>
  <si>
    <t>24485.22</t>
  </si>
  <si>
    <t>21058.28</t>
  </si>
  <si>
    <t>13571.46</t>
  </si>
  <si>
    <t>29419.41</t>
  </si>
  <si>
    <t>954.02</t>
  </si>
  <si>
    <t>6084.28</t>
  </si>
  <si>
    <t>20045.4</t>
  </si>
  <si>
    <t>7516.92</t>
  </si>
  <si>
    <t>252212.6</t>
  </si>
  <si>
    <t>97.87</t>
  </si>
  <si>
    <t>142.33</t>
  </si>
  <si>
    <t>85.85</t>
  </si>
  <si>
    <t>1496.36</t>
  </si>
  <si>
    <t>36.92</t>
  </si>
  <si>
    <t>56.51</t>
  </si>
  <si>
    <t>7613.83</t>
  </si>
  <si>
    <t>53.87</t>
  </si>
  <si>
    <t>13728.7</t>
  </si>
  <si>
    <t>16187.52</t>
  </si>
  <si>
    <t>1357.23</t>
  </si>
  <si>
    <t>192.56</t>
  </si>
  <si>
    <t>10279.75</t>
  </si>
  <si>
    <t>229.17</t>
  </si>
  <si>
    <t>26595.79</t>
  </si>
  <si>
    <t>16113.82</t>
  </si>
  <si>
    <t>3964.98</t>
  </si>
  <si>
    <t>53.2</t>
  </si>
  <si>
    <t>6049.01</t>
  </si>
  <si>
    <t>8.84</t>
  </si>
  <si>
    <t>10998.24</t>
  </si>
  <si>
    <t>9796.71</t>
  </si>
  <si>
    <t>3613.92</t>
  </si>
  <si>
    <t>24963.18</t>
  </si>
  <si>
    <t>29720.52</t>
  </si>
  <si>
    <t>410.88</t>
  </si>
  <si>
    <t>2694.5</t>
  </si>
  <si>
    <t>18177.49</t>
  </si>
  <si>
    <t>1562.25</t>
  </si>
  <si>
    <t>31275.02</t>
  </si>
  <si>
    <t>1753.76</t>
  </si>
  <si>
    <t>22132.35</t>
  </si>
  <si>
    <t>20903.49</t>
  </si>
  <si>
    <t>2964.62</t>
  </si>
  <si>
    <t>24578.6</t>
  </si>
  <si>
    <t>813.43</t>
  </si>
  <si>
    <t>69447.49</t>
  </si>
  <si>
    <t>18906.8</t>
  </si>
  <si>
    <t>129687.48</t>
  </si>
  <si>
    <t>67.03</t>
  </si>
  <si>
    <t>506.19</t>
  </si>
  <si>
    <t>35.76</t>
  </si>
  <si>
    <t>53566.29</t>
  </si>
  <si>
    <t>73225.03</t>
  </si>
  <si>
    <t>23309.08</t>
  </si>
  <si>
    <t>42374.39</t>
  </si>
  <si>
    <t>119294.56</t>
  </si>
  <si>
    <t>1330.09</t>
  </si>
  <si>
    <t>9046.55</t>
  </si>
  <si>
    <t>22576.24</t>
  </si>
  <si>
    <t>9355.02</t>
  </si>
  <si>
    <t>239159.93</t>
  </si>
  <si>
    <t>1637.53</t>
  </si>
  <si>
    <t>115300.87</t>
  </si>
  <si>
    <t>22324.46</t>
  </si>
  <si>
    <t>547.74</t>
  </si>
  <si>
    <t>21255.28</t>
  </si>
  <si>
    <t>266.07</t>
  </si>
  <si>
    <t>3798.97</t>
  </si>
  <si>
    <t>14035.93</t>
  </si>
  <si>
    <t>462.38</t>
  </si>
  <si>
    <t>18555.53</t>
  </si>
  <si>
    <t>157.26</t>
  </si>
  <si>
    <t>34083.33</t>
  </si>
  <si>
    <t>16203.83</t>
  </si>
  <si>
    <t>4337.65</t>
  </si>
  <si>
    <t>11176.88</t>
  </si>
  <si>
    <t>60.28</t>
  </si>
  <si>
    <t>18364.61</t>
  </si>
  <si>
    <t>14185.29</t>
  </si>
  <si>
    <t>7288.55</t>
  </si>
  <si>
    <t>319935.2</t>
  </si>
  <si>
    <t>492.54</t>
  </si>
  <si>
    <t>66.19</t>
  </si>
  <si>
    <t>183.19</t>
  </si>
  <si>
    <t>3081.88</t>
  </si>
  <si>
    <t>2664.94</t>
  </si>
  <si>
    <t>1842.16</t>
  </si>
  <si>
    <t>11300.7</t>
  </si>
  <si>
    <t>22015.68</t>
  </si>
  <si>
    <t>4861.44</t>
  </si>
  <si>
    <t>699.53</t>
  </si>
  <si>
    <t>19755.37</t>
  </si>
  <si>
    <t>11099.17</t>
  </si>
  <si>
    <t>2436.58</t>
  </si>
  <si>
    <t>9291.36</t>
  </si>
  <si>
    <t>56.72</t>
  </si>
  <si>
    <t>250.81</t>
  </si>
  <si>
    <t>5173.55</t>
  </si>
  <si>
    <t>99.83</t>
  </si>
  <si>
    <t>17240.84</t>
  </si>
  <si>
    <t>176.31</t>
  </si>
  <si>
    <t>990.42</t>
  </si>
  <si>
    <t>9278.13</t>
  </si>
  <si>
    <t>560.91</t>
  </si>
  <si>
    <t>7733.35</t>
  </si>
  <si>
    <t>65.8</t>
  </si>
  <si>
    <t>3108.53</t>
  </si>
  <si>
    <t>470.69</t>
  </si>
  <si>
    <t>1185.97</t>
  </si>
  <si>
    <t>3352.18</t>
  </si>
  <si>
    <t>897.94</t>
  </si>
  <si>
    <t>108.67</t>
  </si>
  <si>
    <t>5009.96</t>
  </si>
  <si>
    <t>604.98</t>
  </si>
  <si>
    <t>5424.8</t>
  </si>
  <si>
    <t>400.72</t>
  </si>
  <si>
    <t>3144.11</t>
  </si>
  <si>
    <t>1522.98</t>
  </si>
  <si>
    <t>1884.07</t>
  </si>
  <si>
    <t>2998.45</t>
  </si>
  <si>
    <t>1017.42</t>
  </si>
  <si>
    <t>1864.7</t>
  </si>
  <si>
    <t>355.48</t>
  </si>
  <si>
    <t>55.92</t>
  </si>
  <si>
    <t>331.01</t>
  </si>
  <si>
    <t>1902.83</t>
  </si>
  <si>
    <t>412.81</t>
  </si>
  <si>
    <t>408.38</t>
  </si>
  <si>
    <t>1230.63</t>
  </si>
  <si>
    <t>164.44</t>
  </si>
  <si>
    <t>382.88</t>
  </si>
  <si>
    <t>1979.8</t>
  </si>
  <si>
    <t>3.01</t>
  </si>
  <si>
    <t>42615.81</t>
  </si>
  <si>
    <t>263.04</t>
  </si>
  <si>
    <t>4202.42</t>
  </si>
  <si>
    <t>17404.35</t>
  </si>
  <si>
    <t>777.29</t>
  </si>
  <si>
    <t>58849.77</t>
  </si>
  <si>
    <t>666.68</t>
  </si>
  <si>
    <t>14811.15</t>
  </si>
  <si>
    <t>18856.91</t>
  </si>
  <si>
    <t>54.54</t>
  </si>
  <si>
    <t>2863.93</t>
  </si>
  <si>
    <t>28649.41</t>
  </si>
  <si>
    <t>289.13</t>
  </si>
  <si>
    <t>9121.43</t>
  </si>
  <si>
    <t>16989.39</t>
  </si>
  <si>
    <t>11543.12</t>
  </si>
  <si>
    <t>51682.4</t>
  </si>
  <si>
    <t>11411.06</t>
  </si>
  <si>
    <t>53.12</t>
  </si>
  <si>
    <t>342.9</t>
  </si>
  <si>
    <t>12951.04</t>
  </si>
  <si>
    <t>245.55</t>
  </si>
  <si>
    <t>36022.53</t>
  </si>
  <si>
    <t>239.34</t>
  </si>
  <si>
    <t>2048.56</t>
  </si>
  <si>
    <t>18973.89</t>
  </si>
  <si>
    <t>536.34</t>
  </si>
  <si>
    <t>527.97</t>
  </si>
  <si>
    <t>7758.75</t>
  </si>
  <si>
    <t>22381.82</t>
  </si>
  <si>
    <t>11803.04</t>
  </si>
  <si>
    <t>0.13</t>
  </si>
  <si>
    <t>2.15</t>
  </si>
  <si>
    <t>1917.19</t>
  </si>
  <si>
    <t>3.53</t>
  </si>
  <si>
    <t>26.01</t>
  </si>
  <si>
    <t>185.26</t>
  </si>
  <si>
    <t>9524.61</t>
  </si>
  <si>
    <t>58.88</t>
  </si>
  <si>
    <t>198.48</t>
  </si>
  <si>
    <t>4736.24</t>
  </si>
  <si>
    <t>18731.23</t>
  </si>
  <si>
    <t>677.24</t>
  </si>
  <si>
    <t>114.5</t>
  </si>
  <si>
    <t>6328.47</t>
  </si>
  <si>
    <t>17712.18</t>
  </si>
  <si>
    <t>4584.51</t>
  </si>
  <si>
    <t>34.26</t>
  </si>
  <si>
    <t>1351.55</t>
  </si>
  <si>
    <t>6221.2</t>
  </si>
  <si>
    <t>284.55</t>
  </si>
  <si>
    <t>1462.33</t>
  </si>
  <si>
    <t>89.09</t>
  </si>
  <si>
    <t>5648.19</t>
  </si>
  <si>
    <t>8714.95</t>
  </si>
  <si>
    <t>1260.2</t>
  </si>
  <si>
    <t>15.75</t>
  </si>
  <si>
    <t>230.26</t>
  </si>
  <si>
    <t>5711.36</t>
  </si>
  <si>
    <t>452.74</t>
  </si>
  <si>
    <t>7616.53</t>
  </si>
  <si>
    <t>110051.69</t>
  </si>
  <si>
    <t>866.56</t>
  </si>
  <si>
    <t>10747.18</t>
  </si>
  <si>
    <t>23278.83</t>
  </si>
  <si>
    <t>14596.35</t>
  </si>
  <si>
    <t>34786.3</t>
  </si>
  <si>
    <t>1108.27</t>
  </si>
  <si>
    <t>22155.57</t>
  </si>
  <si>
    <t>22427.43</t>
  </si>
  <si>
    <t>23420.78</t>
  </si>
  <si>
    <t>118.17</t>
  </si>
  <si>
    <t>495.5</t>
  </si>
  <si>
    <t>18373.54</t>
  </si>
  <si>
    <t>4517.55</t>
  </si>
  <si>
    <t>107.91</t>
  </si>
  <si>
    <t>3.15</t>
  </si>
  <si>
    <t>1180.39</t>
  </si>
  <si>
    <t>9730.81</t>
  </si>
  <si>
    <t>40.53</t>
  </si>
  <si>
    <t>3984.57</t>
  </si>
  <si>
    <t>18462.94</t>
  </si>
  <si>
    <t>5573.09</t>
  </si>
  <si>
    <t>3354.83</t>
  </si>
  <si>
    <t>18848.85</t>
  </si>
  <si>
    <t>606.02</t>
  </si>
  <si>
    <t>29512.14</t>
  </si>
  <si>
    <t>21639.81</t>
  </si>
  <si>
    <t>198.09</t>
  </si>
  <si>
    <t>296.04</t>
  </si>
  <si>
    <t>9705.89</t>
  </si>
  <si>
    <t>3.48</t>
  </si>
  <si>
    <t>10513.97</t>
  </si>
  <si>
    <t>6563.89</t>
  </si>
  <si>
    <t>25720.68</t>
  </si>
  <si>
    <t>7.32</t>
  </si>
  <si>
    <t>274.21</t>
  </si>
  <si>
    <t>47.98</t>
  </si>
  <si>
    <t>142.43</t>
  </si>
  <si>
    <t>3160.9</t>
  </si>
  <si>
    <t>21073.7</t>
  </si>
  <si>
    <t>2383.91</t>
  </si>
  <si>
    <t>96.1</t>
  </si>
  <si>
    <t>789.16</t>
  </si>
  <si>
    <t>14552.89</t>
  </si>
  <si>
    <t>22907.28</t>
  </si>
  <si>
    <t>4151.81</t>
  </si>
  <si>
    <t>509.54</t>
  </si>
  <si>
    <t>81556.05</t>
  </si>
  <si>
    <t>23535.57</t>
  </si>
  <si>
    <t>284106.2</t>
  </si>
  <si>
    <t>1.27</t>
  </si>
  <si>
    <t>1464.36</t>
  </si>
  <si>
    <t>247.6</t>
  </si>
  <si>
    <t>31.63</t>
  </si>
  <si>
    <t>382.74</t>
  </si>
  <si>
    <t>4451.8</t>
  </si>
  <si>
    <t>22173.04</t>
  </si>
  <si>
    <t>6468.33</t>
  </si>
  <si>
    <t>1756.31</t>
  </si>
  <si>
    <t>24286.04</t>
  </si>
  <si>
    <t>24410.47</t>
  </si>
  <si>
    <t>19132.65</t>
  </si>
  <si>
    <t>499.39</t>
  </si>
  <si>
    <t>16921.57</t>
  </si>
  <si>
    <t>23471.7</t>
  </si>
  <si>
    <t>797.39</t>
  </si>
  <si>
    <t>25.07</t>
  </si>
  <si>
    <t>19764.42</t>
  </si>
  <si>
    <t>9281.2</t>
  </si>
  <si>
    <t>21443.34</t>
  </si>
  <si>
    <t>1139.27</t>
  </si>
  <si>
    <t>209.74</t>
  </si>
  <si>
    <t>170.35</t>
  </si>
  <si>
    <t>36549.02</t>
  </si>
  <si>
    <t>4603.23</t>
  </si>
  <si>
    <t>8758.59</t>
  </si>
  <si>
    <t>34.12</t>
  </si>
  <si>
    <t>18297.05</t>
  </si>
  <si>
    <t>15932.15</t>
  </si>
  <si>
    <t>6113.53</t>
  </si>
  <si>
    <t>1.73</t>
  </si>
  <si>
    <t>14.65</t>
  </si>
  <si>
    <t>748.07</t>
  </si>
  <si>
    <t>256.12</t>
  </si>
  <si>
    <t>563.52</t>
  </si>
  <si>
    <t>11056.54</t>
  </si>
  <si>
    <t>24356.35</t>
  </si>
  <si>
    <t>7257.75</t>
  </si>
  <si>
    <t>87831.39</t>
  </si>
  <si>
    <t>1473.43</t>
  </si>
  <si>
    <t>43583.81</t>
  </si>
  <si>
    <t>24016.35</t>
  </si>
  <si>
    <t>22739.56</t>
  </si>
  <si>
    <t>122996.38</t>
  </si>
  <si>
    <t>760.67</t>
  </si>
  <si>
    <t>96036.5</t>
  </si>
  <si>
    <t>23920.75</t>
  </si>
  <si>
    <t>139.02</t>
  </si>
  <si>
    <t>479.57</t>
  </si>
  <si>
    <t>5348.28</t>
  </si>
  <si>
    <t>802.37</t>
  </si>
  <si>
    <t>265.21</t>
  </si>
  <si>
    <t>11729.1</t>
  </si>
  <si>
    <t>24532.58</t>
  </si>
  <si>
    <t>18064.15</t>
  </si>
  <si>
    <t>1159.76</t>
  </si>
  <si>
    <t>251.8</t>
  </si>
  <si>
    <t>76440.08</t>
  </si>
  <si>
    <t>25000.16</t>
  </si>
  <si>
    <t>416.66</t>
  </si>
  <si>
    <t>24959.02</t>
  </si>
  <si>
    <t>23164.31</t>
  </si>
  <si>
    <t>8636.27</t>
  </si>
  <si>
    <t>27.75</t>
  </si>
  <si>
    <t>870.02</t>
  </si>
  <si>
    <t>7.34</t>
  </si>
  <si>
    <t>18592.59</t>
  </si>
  <si>
    <t>194.5</t>
  </si>
  <si>
    <t>7743.63</t>
  </si>
  <si>
    <t>20334.48</t>
  </si>
  <si>
    <t>2237.25</t>
  </si>
  <si>
    <t>43.6</t>
  </si>
  <si>
    <t>59757.23</t>
  </si>
  <si>
    <t>1367.61</t>
  </si>
  <si>
    <t>46802.78</t>
  </si>
  <si>
    <t>21723.85</t>
  </si>
  <si>
    <t>28057.1</t>
  </si>
  <si>
    <t>29372.75</t>
  </si>
  <si>
    <t>61.77</t>
  </si>
  <si>
    <t>61098.86</t>
  </si>
  <si>
    <t>19370.51</t>
  </si>
  <si>
    <t>54.59</t>
  </si>
  <si>
    <t>84.83</t>
  </si>
  <si>
    <t>238.79</t>
  </si>
  <si>
    <t>152.32</t>
  </si>
  <si>
    <t>464.92</t>
  </si>
  <si>
    <t>163.17</t>
  </si>
  <si>
    <t>4.19</t>
  </si>
  <si>
    <t>100.77</t>
  </si>
  <si>
    <t>12535.21</t>
  </si>
  <si>
    <t>24.78</t>
  </si>
  <si>
    <t>1964.69</t>
  </si>
  <si>
    <t>223.52</t>
  </si>
  <si>
    <t>112074.94</t>
  </si>
  <si>
    <t>22666.95</t>
  </si>
  <si>
    <t>7245.66</t>
  </si>
  <si>
    <t>2705.3</t>
  </si>
  <si>
    <t>23143.65</t>
  </si>
  <si>
    <t>8948.99</t>
  </si>
  <si>
    <t>154142.1</t>
  </si>
  <si>
    <t>200.19</t>
  </si>
  <si>
    <t>2376.12</t>
  </si>
  <si>
    <t>19329.98</t>
  </si>
  <si>
    <t>1276.31</t>
  </si>
  <si>
    <t>1968.52</t>
  </si>
  <si>
    <t>74.11</t>
  </si>
  <si>
    <t>9169.06</t>
  </si>
  <si>
    <t>20031.74</t>
  </si>
  <si>
    <t>1888.47</t>
  </si>
  <si>
    <t>529.03</t>
  </si>
  <si>
    <t>140.48</t>
  </si>
  <si>
    <t>108060.63</t>
  </si>
  <si>
    <t>20383.29</t>
  </si>
  <si>
    <t>6822.08</t>
  </si>
  <si>
    <t>150.71</t>
  </si>
  <si>
    <t>86565.63</t>
  </si>
  <si>
    <t>12884.23</t>
  </si>
  <si>
    <t>17187.8</t>
  </si>
  <si>
    <t>25449.48</t>
  </si>
  <si>
    <t>44781.81</t>
  </si>
  <si>
    <t>48415.09</t>
  </si>
  <si>
    <t>573.52</t>
  </si>
  <si>
    <t>1836.51</t>
  </si>
  <si>
    <t>16408.55</t>
  </si>
  <si>
    <t>427.87</t>
  </si>
  <si>
    <t>52782.28</t>
  </si>
  <si>
    <t>2797.79</t>
  </si>
  <si>
    <t>15341.25</t>
  </si>
  <si>
    <t>20749.07</t>
  </si>
  <si>
    <t>2818.03</t>
  </si>
  <si>
    <t>63.28</t>
  </si>
  <si>
    <t>96559.78</t>
  </si>
  <si>
    <t>2043.06</t>
  </si>
  <si>
    <t>20377.36</t>
  </si>
  <si>
    <t>19778.79</t>
  </si>
  <si>
    <t>52.96</t>
  </si>
  <si>
    <t>1078.65</t>
  </si>
  <si>
    <t>57.89</t>
  </si>
  <si>
    <t>19953.12</t>
  </si>
  <si>
    <t>24215.98</t>
  </si>
  <si>
    <t>12695.76</t>
  </si>
  <si>
    <t>3721.88</t>
  </si>
  <si>
    <t>168455.02</t>
  </si>
  <si>
    <t>24418.55</t>
  </si>
  <si>
    <t>1914.87</t>
  </si>
  <si>
    <t>9038.7</t>
  </si>
  <si>
    <t>24090.35</t>
  </si>
  <si>
    <t>10445.34</t>
  </si>
  <si>
    <t>70.25</t>
  </si>
  <si>
    <t>29597.66</t>
  </si>
  <si>
    <t>282.09</t>
  </si>
  <si>
    <t>48779.59</t>
  </si>
  <si>
    <t>20998.94</t>
  </si>
  <si>
    <t>2098.15</t>
  </si>
  <si>
    <t>384.33</t>
  </si>
  <si>
    <t>32012.96</t>
  </si>
  <si>
    <t>505.64</t>
  </si>
  <si>
    <t>280322.01</t>
  </si>
  <si>
    <t>21283.79</t>
  </si>
  <si>
    <t>8758.23</t>
  </si>
  <si>
    <t>237.05</t>
  </si>
  <si>
    <t>25516.28</t>
  </si>
  <si>
    <t>45.21</t>
  </si>
  <si>
    <t>29485.95</t>
  </si>
  <si>
    <t>17284.74</t>
  </si>
  <si>
    <t>19695.23</t>
  </si>
  <si>
    <t>51420.14</t>
  </si>
  <si>
    <t>12.72</t>
  </si>
  <si>
    <t>31203.65</t>
  </si>
  <si>
    <t>36.7</t>
  </si>
  <si>
    <t>221.92</t>
  </si>
  <si>
    <t>7392.21</t>
  </si>
  <si>
    <t>201.18</t>
  </si>
  <si>
    <t>31.78</t>
  </si>
  <si>
    <t>57059.44</t>
  </si>
  <si>
    <t>1097.34</t>
  </si>
  <si>
    <t>4078.87</t>
  </si>
  <si>
    <t>15227.71</t>
  </si>
  <si>
    <t>1015.09</t>
  </si>
  <si>
    <t>100711.94</t>
  </si>
  <si>
    <t>813.16</t>
  </si>
  <si>
    <t>8190.48</t>
  </si>
  <si>
    <t>17483.87</t>
  </si>
  <si>
    <t>11354.24</t>
  </si>
  <si>
    <t>46.71</t>
  </si>
  <si>
    <t>88.9</t>
  </si>
  <si>
    <t>56.3</t>
  </si>
  <si>
    <t>31815.08</t>
  </si>
  <si>
    <t>116.51</t>
  </si>
  <si>
    <t>3275.22</t>
  </si>
  <si>
    <t>20398.94</t>
  </si>
  <si>
    <t>4574.82</t>
  </si>
  <si>
    <t>21.79</t>
  </si>
  <si>
    <t>37850.54</t>
  </si>
  <si>
    <t>600.75</t>
  </si>
  <si>
    <t>24356.67</t>
  </si>
  <si>
    <t>24073.05</t>
  </si>
  <si>
    <t>13820.65</t>
  </si>
  <si>
    <t>30.83</t>
  </si>
  <si>
    <t>55312.7</t>
  </si>
  <si>
    <t>206.72</t>
  </si>
  <si>
    <t>4511.56</t>
  </si>
  <si>
    <t>21532.18</t>
  </si>
  <si>
    <t>16326.7</t>
  </si>
  <si>
    <t>4605.76</t>
  </si>
  <si>
    <t>181.7</t>
  </si>
  <si>
    <t>23381.67</t>
  </si>
  <si>
    <t>8036.04</t>
  </si>
  <si>
    <t>19720.25</t>
  </si>
  <si>
    <t>3759.51</t>
  </si>
  <si>
    <t>690.02</t>
  </si>
  <si>
    <t>20499.44</t>
  </si>
  <si>
    <t>514.93</t>
  </si>
  <si>
    <t>27702.02</t>
  </si>
  <si>
    <t>18521.76</t>
  </si>
  <si>
    <t>11503.96</t>
  </si>
  <si>
    <t>2360.09</t>
  </si>
  <si>
    <t>19042.44</t>
  </si>
  <si>
    <t>16335.66</t>
  </si>
  <si>
    <t>12077.03</t>
  </si>
  <si>
    <t>257255.39</t>
  </si>
  <si>
    <t>5.12</t>
  </si>
  <si>
    <t>47124.26</t>
  </si>
  <si>
    <t>160.48</t>
  </si>
  <si>
    <t>11945.43</t>
  </si>
  <si>
    <t>16.94</t>
  </si>
  <si>
    <t>387.49</t>
  </si>
  <si>
    <t>82658.5</t>
  </si>
  <si>
    <t>2022.52</t>
  </si>
  <si>
    <t>1436.34</t>
  </si>
  <si>
    <t>16787.77</t>
  </si>
  <si>
    <t>37.42</t>
  </si>
  <si>
    <t>775.7</t>
  </si>
  <si>
    <t>63.36</t>
  </si>
  <si>
    <t>2344.3</t>
  </si>
  <si>
    <t>303.35</t>
  </si>
  <si>
    <t>20036.76</t>
  </si>
  <si>
    <t>20028.32</t>
  </si>
  <si>
    <t>11.43</t>
  </si>
  <si>
    <t>1.25</t>
  </si>
  <si>
    <t>15.7</t>
  </si>
  <si>
    <t>303.17</t>
  </si>
  <si>
    <t>14.43</t>
  </si>
  <si>
    <t>1514.5</t>
  </si>
  <si>
    <t>2436.85</t>
  </si>
  <si>
    <t>22311.5</t>
  </si>
  <si>
    <t>2889.86</t>
  </si>
  <si>
    <t>6085.53</t>
  </si>
  <si>
    <t>14254.62</t>
  </si>
  <si>
    <t>24236.53</t>
  </si>
  <si>
    <t>9456.32</t>
  </si>
  <si>
    <t>35.64</t>
  </si>
  <si>
    <t>1878.06</t>
  </si>
  <si>
    <t>8942.27</t>
  </si>
  <si>
    <t>23374.81</t>
  </si>
  <si>
    <t>26115.37</t>
  </si>
  <si>
    <t>1394.43</t>
  </si>
  <si>
    <t>6.61</t>
  </si>
  <si>
    <t>14366.61</t>
  </si>
  <si>
    <t>239.19</t>
  </si>
  <si>
    <t>4567.47</t>
  </si>
  <si>
    <t>15840.86</t>
  </si>
  <si>
    <t>962.23</t>
  </si>
  <si>
    <t>18827.94</t>
  </si>
  <si>
    <t>10803.85</t>
  </si>
  <si>
    <t>16866.03</t>
  </si>
  <si>
    <t>2310.49</t>
  </si>
  <si>
    <t>7044.45</t>
  </si>
  <si>
    <t>11.11</t>
  </si>
  <si>
    <t>9468.5</t>
  </si>
  <si>
    <t>7739.53</t>
  </si>
  <si>
    <t>4881.44</t>
  </si>
  <si>
    <t>1.93</t>
  </si>
  <si>
    <t>8.67</t>
  </si>
  <si>
    <t>3.63</t>
  </si>
  <si>
    <t>87761.74</t>
  </si>
  <si>
    <t>78.75</t>
  </si>
  <si>
    <t>834.61</t>
  </si>
  <si>
    <t>10410.02</t>
  </si>
  <si>
    <t>120.35</t>
  </si>
  <si>
    <t>20.93</t>
  </si>
  <si>
    <t>214025.91</t>
  </si>
  <si>
    <t>990.85</t>
  </si>
  <si>
    <t>14352.51</t>
  </si>
  <si>
    <t>18094.77</t>
  </si>
  <si>
    <t>797.97</t>
  </si>
  <si>
    <t>23.53</t>
  </si>
  <si>
    <t>821.01</t>
  </si>
  <si>
    <t>11118.51</t>
  </si>
  <si>
    <t>15387.25</t>
  </si>
  <si>
    <t>7028.97</t>
  </si>
  <si>
    <t>1.76</t>
  </si>
  <si>
    <t>984.83</t>
  </si>
  <si>
    <t>10651.35</t>
  </si>
  <si>
    <t>15297.31</t>
  </si>
  <si>
    <t>45.8</t>
  </si>
  <si>
    <t>9706.14</t>
  </si>
  <si>
    <t>55869.70</t>
  </si>
  <si>
    <t>24846.02</t>
  </si>
  <si>
    <t>150.29</t>
  </si>
  <si>
    <t>13234.46</t>
  </si>
  <si>
    <t>37.62</t>
  </si>
  <si>
    <t>565.05</t>
  </si>
  <si>
    <t>10482.88</t>
  </si>
  <si>
    <t>20862.35</t>
  </si>
  <si>
    <t>4357.92</t>
  </si>
  <si>
    <t>21235.48</t>
  </si>
  <si>
    <t>220.21</t>
  </si>
  <si>
    <t>9745.72</t>
  </si>
  <si>
    <t>21065.6</t>
  </si>
  <si>
    <t>6184.85</t>
  </si>
  <si>
    <t>87.27</t>
  </si>
  <si>
    <t>64969.8</t>
  </si>
  <si>
    <t>826.16</t>
  </si>
  <si>
    <t>140327.58</t>
  </si>
  <si>
    <t>22648.4</t>
  </si>
  <si>
    <t>872.32</t>
  </si>
  <si>
    <t>3937.18</t>
  </si>
  <si>
    <t>62852.42</t>
  </si>
  <si>
    <t>1562.44</t>
  </si>
  <si>
    <t>40764.65</t>
  </si>
  <si>
    <t>23448.96</t>
  </si>
  <si>
    <t>11237.31</t>
  </si>
  <si>
    <t>763.87</t>
  </si>
  <si>
    <t>39318.68</t>
  </si>
  <si>
    <t>60.81</t>
  </si>
  <si>
    <t>57002.65</t>
  </si>
  <si>
    <t>18500.3</t>
  </si>
  <si>
    <t>11263.29</t>
  </si>
  <si>
    <t>12.91</t>
  </si>
  <si>
    <t>35.84</t>
  </si>
  <si>
    <t>9.49</t>
  </si>
  <si>
    <t>400.5</t>
  </si>
  <si>
    <t>5620.43</t>
  </si>
  <si>
    <t>18834.21</t>
  </si>
  <si>
    <t>3085.94</t>
  </si>
  <si>
    <t>129.41</t>
  </si>
  <si>
    <t>2387.23</t>
  </si>
  <si>
    <t>35807.91</t>
  </si>
  <si>
    <t>21765.52</t>
  </si>
  <si>
    <t>5950.09</t>
  </si>
  <si>
    <t>99.96</t>
  </si>
  <si>
    <t>1147.16</t>
  </si>
  <si>
    <t>25784.08</t>
  </si>
  <si>
    <t>20316.56</t>
  </si>
  <si>
    <t>13025.26</t>
  </si>
  <si>
    <t>15.21</t>
  </si>
  <si>
    <t>345.22</t>
  </si>
  <si>
    <t>52.77</t>
  </si>
  <si>
    <t>24.41</t>
  </si>
  <si>
    <t>1531.81</t>
  </si>
  <si>
    <t>14912.53</t>
  </si>
  <si>
    <t>22963.13</t>
  </si>
  <si>
    <t>9855.01</t>
  </si>
  <si>
    <t>3698.72</t>
  </si>
  <si>
    <t>115868.73</t>
  </si>
  <si>
    <t>23820.86</t>
  </si>
  <si>
    <t>123.94</t>
  </si>
  <si>
    <t>502.75</t>
  </si>
  <si>
    <t>13222.63</t>
  </si>
  <si>
    <t>23167.88</t>
  </si>
  <si>
    <t>20886.69</t>
  </si>
  <si>
    <t>3131.57</t>
  </si>
  <si>
    <t>15.99</t>
  </si>
  <si>
    <t>14770.82</t>
  </si>
  <si>
    <t>15484.96</t>
  </si>
  <si>
    <t>18132.26</t>
  </si>
  <si>
    <t>4023.58</t>
  </si>
  <si>
    <t>28.96</t>
  </si>
  <si>
    <t>14668.89</t>
  </si>
  <si>
    <t>288.51</t>
  </si>
  <si>
    <t>39548.21</t>
  </si>
  <si>
    <t>17726.41</t>
  </si>
  <si>
    <t>8540.34</t>
  </si>
  <si>
    <t>9.31</t>
  </si>
  <si>
    <t>8637.83</t>
  </si>
  <si>
    <t>12486.46</t>
  </si>
  <si>
    <t>7260.71</t>
  </si>
  <si>
    <t>7311.01</t>
  </si>
  <si>
    <t>2539.06</t>
  </si>
  <si>
    <t>5401.17</t>
  </si>
  <si>
    <t>3.51</t>
  </si>
  <si>
    <t>1145.21</t>
  </si>
  <si>
    <t>19423.81</t>
  </si>
  <si>
    <t>107.52</t>
  </si>
  <si>
    <t>659.77</t>
  </si>
  <si>
    <t>8697.19</t>
  </si>
  <si>
    <t>234.82</t>
  </si>
  <si>
    <t>10969.37</t>
  </si>
  <si>
    <t>19.95</t>
  </si>
  <si>
    <t>507.4</t>
  </si>
  <si>
    <t>3906.39</t>
  </si>
  <si>
    <t>13.02</t>
  </si>
  <si>
    <t>1420.78</t>
  </si>
  <si>
    <t>6360.42</t>
  </si>
  <si>
    <t>9004.72</t>
  </si>
  <si>
    <t>34.29</t>
  </si>
  <si>
    <t>1793.43</t>
  </si>
  <si>
    <t>8876.52</t>
  </si>
  <si>
    <t>14.31</t>
  </si>
  <si>
    <t>400.39</t>
  </si>
  <si>
    <t>14450.05</t>
  </si>
  <si>
    <t>69.21</t>
  </si>
  <si>
    <t>6382.57</t>
  </si>
  <si>
    <t>11416.05</t>
  </si>
  <si>
    <t>1584.83</t>
  </si>
  <si>
    <t>3451.26</t>
  </si>
  <si>
    <t>1.98</t>
  </si>
  <si>
    <t>2220.66</t>
  </si>
  <si>
    <t>2337.97</t>
  </si>
  <si>
    <t>1805.52</t>
  </si>
  <si>
    <t>204.19</t>
  </si>
  <si>
    <t>1184.89</t>
  </si>
  <si>
    <t>19.32</t>
  </si>
  <si>
    <t>1432.25</t>
  </si>
  <si>
    <t>51.94</t>
  </si>
  <si>
    <t>21.45</t>
  </si>
  <si>
    <t>669.08</t>
  </si>
  <si>
    <t>6708.35</t>
  </si>
  <si>
    <t>64.76</t>
  </si>
  <si>
    <t>54.45</t>
  </si>
  <si>
    <t>301.68</t>
  </si>
  <si>
    <t>5667.3</t>
  </si>
  <si>
    <t>180.55</t>
  </si>
  <si>
    <t>1508.41</t>
  </si>
  <si>
    <t>1373.39</t>
  </si>
  <si>
    <t>5082.01</t>
  </si>
  <si>
    <t>366.66</t>
  </si>
  <si>
    <t>2968.19</t>
  </si>
  <si>
    <t>2074.7</t>
  </si>
  <si>
    <t>5163.28</t>
  </si>
  <si>
    <t>441.42</t>
  </si>
  <si>
    <t>1949.48</t>
  </si>
  <si>
    <t>2154.2</t>
  </si>
  <si>
    <t>2598.53</t>
  </si>
  <si>
    <t>56239.67</t>
  </si>
  <si>
    <t>52.68</t>
  </si>
  <si>
    <t>7083.36</t>
  </si>
  <si>
    <t>14109.53</t>
  </si>
  <si>
    <t>620.95</t>
  </si>
  <si>
    <t>19.25</t>
  </si>
  <si>
    <t>122090.54</t>
  </si>
  <si>
    <t>167.92</t>
  </si>
  <si>
    <t>12587.06</t>
  </si>
  <si>
    <t>15781.73</t>
  </si>
  <si>
    <t>2606.15</t>
  </si>
  <si>
    <t>24720.4</t>
  </si>
  <si>
    <t>33.04</t>
  </si>
  <si>
    <t>7728.97</t>
  </si>
  <si>
    <t>11393.2</t>
  </si>
  <si>
    <t>4728.3</t>
  </si>
  <si>
    <t>4.29</t>
  </si>
  <si>
    <t>215787.96</t>
  </si>
  <si>
    <t>27.23</t>
  </si>
  <si>
    <t>48801.9</t>
  </si>
  <si>
    <t>601.87</t>
  </si>
  <si>
    <t>5047.13</t>
  </si>
  <si>
    <t>21140.44</t>
  </si>
  <si>
    <t>2448.72</t>
  </si>
  <si>
    <t>34335.65</t>
  </si>
  <si>
    <t>2111.23</t>
  </si>
  <si>
    <t>86801.38</t>
  </si>
  <si>
    <t>22676.81</t>
  </si>
  <si>
    <t>5434.85</t>
  </si>
  <si>
    <t>30585.85</t>
  </si>
  <si>
    <t>1941.54</t>
  </si>
  <si>
    <t>32504.91</t>
  </si>
  <si>
    <t>22956.79</t>
  </si>
  <si>
    <t>31105.21</t>
  </si>
  <si>
    <t>78.56</t>
  </si>
  <si>
    <t>1048.01</t>
  </si>
  <si>
    <t>97.77</t>
  </si>
  <si>
    <t>17.6</t>
  </si>
  <si>
    <t>1919.87</t>
  </si>
  <si>
    <t>10212.18</t>
  </si>
  <si>
    <t>24184.95</t>
  </si>
  <si>
    <t>7517.88</t>
  </si>
  <si>
    <t>7663.88</t>
  </si>
  <si>
    <t>800761.06</t>
  </si>
  <si>
    <t>24937.08</t>
  </si>
  <si>
    <t>265519.7</t>
  </si>
  <si>
    <t>4240.84</t>
  </si>
  <si>
    <t>47982.62</t>
  </si>
  <si>
    <t>24684.48</t>
  </si>
  <si>
    <t>125.93</t>
  </si>
  <si>
    <t>907.73</t>
  </si>
  <si>
    <t>193.45</t>
  </si>
  <si>
    <t>9905.28</t>
  </si>
  <si>
    <t>12447.59</t>
  </si>
  <si>
    <t>17377.87</t>
  </si>
  <si>
    <t>22.46</t>
  </si>
  <si>
    <t>1397.03</t>
  </si>
  <si>
    <t>11326.52</t>
  </si>
  <si>
    <t>160.89</t>
  </si>
  <si>
    <t>20746.9</t>
  </si>
  <si>
    <t>16012.3</t>
  </si>
  <si>
    <t>2599.46</t>
  </si>
  <si>
    <t>4349.47</t>
  </si>
  <si>
    <t>14691.47</t>
  </si>
  <si>
    <t>10684.23</t>
  </si>
  <si>
    <t>2934.99</t>
  </si>
  <si>
    <t>6430.29</t>
  </si>
  <si>
    <t>2.9</t>
  </si>
  <si>
    <t>268777.48</t>
  </si>
  <si>
    <t>18460.36</t>
  </si>
  <si>
    <t>14868.77</t>
  </si>
  <si>
    <t>17756.17</t>
  </si>
  <si>
    <t>27.12</t>
  </si>
  <si>
    <t>5190.49</t>
  </si>
  <si>
    <t>14726.79</t>
  </si>
  <si>
    <t>15837.97</t>
  </si>
  <si>
    <t>6672.64</t>
  </si>
  <si>
    <t>203850.62</t>
  </si>
  <si>
    <t>17882.1</t>
  </si>
  <si>
    <t>14313.43</t>
  </si>
  <si>
    <t>27198.44</t>
  </si>
  <si>
    <t>107127.92</t>
  </si>
  <si>
    <t>21396.44</t>
  </si>
  <si>
    <t>23845.73</t>
  </si>
  <si>
    <t>237918.38</t>
  </si>
  <si>
    <t>19562.64</t>
  </si>
  <si>
    <t>21700.83</t>
  </si>
  <si>
    <t>329546.05</t>
  </si>
  <si>
    <t>19736.86</t>
  </si>
  <si>
    <t>29857.57</t>
  </si>
  <si>
    <t>5.93</t>
  </si>
  <si>
    <t>78778.05</t>
  </si>
  <si>
    <t>21788.9</t>
  </si>
  <si>
    <t>570.02</t>
  </si>
  <si>
    <t>3.22</t>
  </si>
  <si>
    <t>4947.77</t>
  </si>
  <si>
    <t>18.67</t>
  </si>
  <si>
    <t>699.36</t>
  </si>
  <si>
    <t>8410.5</t>
  </si>
  <si>
    <t>153.83</t>
  </si>
  <si>
    <t>16115.93</t>
  </si>
  <si>
    <t>100.16</t>
  </si>
  <si>
    <t>4826.31</t>
  </si>
  <si>
    <t>12533.35</t>
  </si>
  <si>
    <t>34.31</t>
  </si>
  <si>
    <t>2152.1</t>
  </si>
  <si>
    <t>9246.24</t>
  </si>
  <si>
    <t>2666.13</t>
  </si>
  <si>
    <t>8649.48</t>
  </si>
  <si>
    <t>3850.14</t>
  </si>
  <si>
    <t>7234.18</t>
  </si>
  <si>
    <t>493.33</t>
  </si>
  <si>
    <t>2378.82</t>
  </si>
  <si>
    <t>23245.01</t>
  </si>
  <si>
    <t>2411.62</t>
  </si>
  <si>
    <t>264548.39</t>
  </si>
  <si>
    <t>5376.71</t>
  </si>
  <si>
    <t>373.16</t>
  </si>
  <si>
    <t>82520.84</t>
  </si>
  <si>
    <t>23905.5</t>
  </si>
  <si>
    <t>45568.92</t>
  </si>
  <si>
    <t>1658.27</t>
  </si>
  <si>
    <t>39137.33</t>
  </si>
  <si>
    <t>24239.35</t>
  </si>
  <si>
    <t>1972.66</t>
  </si>
  <si>
    <t>13.85</t>
  </si>
  <si>
    <t>7.98</t>
  </si>
  <si>
    <t>20887.71</t>
  </si>
  <si>
    <t>30.36</t>
  </si>
  <si>
    <t>7819.48</t>
  </si>
  <si>
    <t>17022.53</t>
  </si>
  <si>
    <t>2033.74</t>
  </si>
  <si>
    <t>14.72</t>
  </si>
  <si>
    <t>28538.87</t>
  </si>
  <si>
    <t>14362.81</t>
  </si>
  <si>
    <t>16257.07</t>
  </si>
  <si>
    <t>4548.56</t>
  </si>
  <si>
    <t>12.37</t>
  </si>
  <si>
    <t>21175.07</t>
  </si>
  <si>
    <t>55.67</t>
  </si>
  <si>
    <t>9844.72</t>
  </si>
  <si>
    <t>13335.36</t>
  </si>
  <si>
    <t>9295.85</t>
  </si>
  <si>
    <t>4408.74</t>
  </si>
  <si>
    <t>0.87</t>
  </si>
  <si>
    <t>2.49</t>
  </si>
  <si>
    <t>14135.1</t>
  </si>
  <si>
    <t>63.23</t>
  </si>
  <si>
    <t>17040.29</t>
  </si>
  <si>
    <t>19.63</t>
  </si>
  <si>
    <t>2851.16</t>
  </si>
  <si>
    <t>24.72</t>
  </si>
  <si>
    <t>6744.15</t>
  </si>
  <si>
    <t>27.93</t>
  </si>
  <si>
    <t>3.57</t>
  </si>
  <si>
    <t>48880.59</t>
  </si>
  <si>
    <t>2.55</t>
  </si>
  <si>
    <t>5.14</t>
  </si>
  <si>
    <t>21.48</t>
  </si>
  <si>
    <t>784.01</t>
  </si>
  <si>
    <t>2598.46</t>
  </si>
  <si>
    <t>21978.16</t>
  </si>
  <si>
    <t>1733.52</t>
  </si>
  <si>
    <t>19.73</t>
  </si>
  <si>
    <t>111882.99</t>
  </si>
  <si>
    <t>35.62</t>
  </si>
  <si>
    <t>106.17</t>
  </si>
  <si>
    <t>7972.07</t>
  </si>
  <si>
    <t>359.76</t>
  </si>
  <si>
    <t>28.82</t>
  </si>
  <si>
    <t>805413.3</t>
  </si>
  <si>
    <t>1093.33</t>
  </si>
  <si>
    <t>3919.17</t>
  </si>
  <si>
    <t>19947.56</t>
  </si>
  <si>
    <t>52332.3</t>
  </si>
  <si>
    <t>4.14</t>
  </si>
  <si>
    <t>28435.37</t>
  </si>
  <si>
    <t>9.61</t>
  </si>
  <si>
    <t>74.55</t>
  </si>
  <si>
    <t>277.39</t>
  </si>
  <si>
    <t>11382.74</t>
  </si>
  <si>
    <t>551.12</t>
  </si>
  <si>
    <t>230433.9</t>
  </si>
  <si>
    <t>2078.93</t>
  </si>
  <si>
    <t>23230.3</t>
  </si>
  <si>
    <t>2665.5</t>
  </si>
  <si>
    <t>36.67</t>
  </si>
  <si>
    <t>464.34</t>
  </si>
  <si>
    <t>2956.4</t>
  </si>
  <si>
    <t>21365.06</t>
  </si>
  <si>
    <t>1950.18</t>
  </si>
  <si>
    <t>27658.08</t>
  </si>
  <si>
    <t>24.51</t>
  </si>
  <si>
    <t>19.16</t>
  </si>
  <si>
    <t>2544.77</t>
  </si>
  <si>
    <t>25.36</t>
  </si>
  <si>
    <t>116083.98</t>
  </si>
  <si>
    <t>1379.4</t>
  </si>
  <si>
    <t>2296.92</t>
  </si>
  <si>
    <t>18442.98</t>
  </si>
  <si>
    <t>1913.31</t>
  </si>
  <si>
    <t>40271.46</t>
  </si>
  <si>
    <t>1061.45</t>
  </si>
  <si>
    <t>2718.1</t>
  </si>
  <si>
    <t>18878.24</t>
  </si>
  <si>
    <t>22614.07</t>
  </si>
  <si>
    <t>28332.38</t>
  </si>
  <si>
    <t>295.22</t>
  </si>
  <si>
    <t>2209.35</t>
  </si>
  <si>
    <t>17468.25</t>
  </si>
  <si>
    <t>2355.75</t>
  </si>
  <si>
    <t>11.6</t>
  </si>
  <si>
    <t>15680.01</t>
  </si>
  <si>
    <t>605.21</t>
  </si>
  <si>
    <t>27338.97</t>
  </si>
  <si>
    <t>20500.15</t>
  </si>
  <si>
    <t>5142.3</t>
  </si>
  <si>
    <t>7096.9</t>
  </si>
  <si>
    <t>154.91</t>
  </si>
  <si>
    <t>6907.99</t>
  </si>
  <si>
    <t>18051.07</t>
  </si>
  <si>
    <t>8630.3</t>
  </si>
  <si>
    <t>7.3</t>
  </si>
  <si>
    <t>320.68</t>
  </si>
  <si>
    <t>47.66</t>
  </si>
  <si>
    <t>25.68</t>
  </si>
  <si>
    <t>18.87</t>
  </si>
  <si>
    <t>87401.41</t>
  </si>
  <si>
    <t>347.44</t>
  </si>
  <si>
    <t>4075.92</t>
  </si>
  <si>
    <t>22460.47</t>
  </si>
  <si>
    <t>8770.58</t>
  </si>
  <si>
    <t>28009.44</t>
  </si>
  <si>
    <t>627.14</t>
  </si>
  <si>
    <t>17946.54</t>
  </si>
  <si>
    <t>23507.62</t>
  </si>
  <si>
    <t>25207.37</t>
  </si>
  <si>
    <t>26.94</t>
  </si>
  <si>
    <t>92608.49</t>
  </si>
  <si>
    <t>348.09</t>
  </si>
  <si>
    <t>12679.97</t>
  </si>
  <si>
    <t>23176.23</t>
  </si>
  <si>
    <t>2185.13</t>
  </si>
  <si>
    <t>18.94</t>
  </si>
  <si>
    <t>8968.82</t>
  </si>
  <si>
    <t>15809.2</t>
  </si>
  <si>
    <t>14493.73</t>
  </si>
  <si>
    <t>2043.57</t>
  </si>
  <si>
    <t>8873.51</t>
  </si>
  <si>
    <t>80.34</t>
  </si>
  <si>
    <t>21982.22</t>
  </si>
  <si>
    <t>15136.33</t>
  </si>
  <si>
    <t>4406.08</t>
  </si>
  <si>
    <t>8696.41</t>
  </si>
  <si>
    <t>12170.7</t>
  </si>
  <si>
    <t>11625.8</t>
  </si>
  <si>
    <t>23984.28</t>
  </si>
  <si>
    <t>32.97</t>
  </si>
  <si>
    <t>158.03</t>
  </si>
  <si>
    <t>20130.29</t>
  </si>
  <si>
    <t>101.49</t>
  </si>
  <si>
    <t>2198.86</t>
  </si>
  <si>
    <t>12827.68</t>
  </si>
  <si>
    <t>1652.61</t>
  </si>
  <si>
    <t>594.11</t>
  </si>
  <si>
    <t>15806.06</t>
  </si>
  <si>
    <t>9821.15</t>
  </si>
  <si>
    <t>16928.93</t>
  </si>
  <si>
    <t>2109.11</t>
  </si>
  <si>
    <t>177.4</t>
  </si>
  <si>
    <t>16208.11</t>
  </si>
  <si>
    <t>322.09</t>
  </si>
  <si>
    <t>12513.11</t>
  </si>
  <si>
    <t>16286.19</t>
  </si>
  <si>
    <t>7468.07</t>
  </si>
  <si>
    <t>1043.99</t>
  </si>
  <si>
    <t>153.32</t>
  </si>
  <si>
    <t>62236.45</t>
  </si>
  <si>
    <t>902.52</t>
  </si>
  <si>
    <t>3511.2</t>
  </si>
  <si>
    <t>20598.07</t>
  </si>
  <si>
    <t>8038.48</t>
  </si>
  <si>
    <t>25.08</t>
  </si>
  <si>
    <t>59097.18</t>
  </si>
  <si>
    <t>2593.88</t>
  </si>
  <si>
    <t>22260.48</t>
  </si>
  <si>
    <t>21188.7</t>
  </si>
  <si>
    <t>13916.45</t>
  </si>
  <si>
    <t>102350.01</t>
  </si>
  <si>
    <t>1010.74</t>
  </si>
  <si>
    <t>13804.12</t>
  </si>
  <si>
    <t>22135.43</t>
  </si>
  <si>
    <t>128013.2</t>
  </si>
  <si>
    <t>7.87</t>
  </si>
  <si>
    <t>743.78</t>
  </si>
  <si>
    <t>3274.83</t>
  </si>
  <si>
    <t>9056.36</t>
  </si>
  <si>
    <t>12500.34</t>
  </si>
  <si>
    <t>3975.91</t>
  </si>
  <si>
    <t>13672.46</t>
  </si>
  <si>
    <t>11361.82</t>
  </si>
  <si>
    <t>3682.97</t>
  </si>
  <si>
    <t>382.24</t>
  </si>
  <si>
    <t>2669.08</t>
  </si>
  <si>
    <t>3.61</t>
  </si>
  <si>
    <t>6564.19</t>
  </si>
  <si>
    <t>7570.95</t>
  </si>
  <si>
    <t>5023.3</t>
  </si>
  <si>
    <t>59768.9</t>
  </si>
  <si>
    <t>1.89</t>
  </si>
  <si>
    <t>23.48</t>
  </si>
  <si>
    <t>204.44</t>
  </si>
  <si>
    <t>17.42</t>
  </si>
  <si>
    <t>28195.81</t>
  </si>
  <si>
    <t>225.56</t>
  </si>
  <si>
    <t>1798.57</t>
  </si>
  <si>
    <t>12105.8</t>
  </si>
  <si>
    <t>776.5</t>
  </si>
  <si>
    <t>37337.64</t>
  </si>
  <si>
    <t>1566.48</t>
  </si>
  <si>
    <t>14708.54</t>
  </si>
  <si>
    <t>18023.18</t>
  </si>
  <si>
    <t>34719.21</t>
  </si>
  <si>
    <t>813.57</t>
  </si>
  <si>
    <t>8933.48</t>
  </si>
  <si>
    <t>19382.52</t>
  </si>
  <si>
    <t>10482.25</t>
  </si>
  <si>
    <t>8.68</t>
  </si>
  <si>
    <t>102.89</t>
  </si>
  <si>
    <t>682.17</t>
  </si>
  <si>
    <t>170.3</t>
  </si>
  <si>
    <t>64509.39</t>
  </si>
  <si>
    <t>1088.88</t>
  </si>
  <si>
    <t>10331.4</t>
  </si>
  <si>
    <t>22288.34</t>
  </si>
  <si>
    <t>8401.95</t>
  </si>
  <si>
    <t>41231.8</t>
  </si>
  <si>
    <t>2182.51</t>
  </si>
  <si>
    <t>67373.43</t>
  </si>
  <si>
    <t>22942.13</t>
  </si>
  <si>
    <t>19263.23</t>
  </si>
  <si>
    <t>486.66</t>
  </si>
  <si>
    <t>7160.41</t>
  </si>
  <si>
    <t>21702.83</t>
  </si>
  <si>
    <t>15221.35</t>
  </si>
  <si>
    <t>1001.29</t>
  </si>
  <si>
    <t>16.35</t>
  </si>
  <si>
    <t>11536.22</t>
  </si>
  <si>
    <t>139.55</t>
  </si>
  <si>
    <t>7515.48</t>
  </si>
  <si>
    <t>14978.31</t>
  </si>
  <si>
    <t>1800.53</t>
  </si>
  <si>
    <t>72.19</t>
  </si>
  <si>
    <t>16125.13</t>
  </si>
  <si>
    <t>198.62</t>
  </si>
  <si>
    <t>20099.99</t>
  </si>
  <si>
    <t>14316.05</t>
  </si>
  <si>
    <t>4719.86</t>
  </si>
  <si>
    <t>7502.01</t>
  </si>
  <si>
    <t>6162.47</t>
  </si>
  <si>
    <t>7999.27</t>
  </si>
  <si>
    <t>5806.89</t>
  </si>
  <si>
    <t>51391.45</t>
  </si>
  <si>
    <t>11.5</t>
  </si>
  <si>
    <t>748.26</t>
  </si>
  <si>
    <t>755.45</t>
  </si>
  <si>
    <t>6244.29</t>
  </si>
  <si>
    <t>17529.31</t>
  </si>
  <si>
    <t>3562.78</t>
  </si>
  <si>
    <t>3225.71</t>
  </si>
  <si>
    <t>103190.55</t>
  </si>
  <si>
    <t>3713.51</t>
  </si>
  <si>
    <t>266581.77</t>
  </si>
  <si>
    <t>22874.82</t>
  </si>
  <si>
    <t>9642.93</t>
  </si>
  <si>
    <t>2697.26</t>
  </si>
  <si>
    <t>68671.76</t>
  </si>
  <si>
    <t>1305.12</t>
  </si>
  <si>
    <t>592195.58</t>
  </si>
  <si>
    <t>20888.11</t>
  </si>
  <si>
    <t>46647.39</t>
  </si>
  <si>
    <t>252.95</t>
  </si>
  <si>
    <t>590.99</t>
  </si>
  <si>
    <t>83.65</t>
  </si>
  <si>
    <t>23.26</t>
  </si>
  <si>
    <t>306783.72</t>
  </si>
  <si>
    <t>540.25</t>
  </si>
  <si>
    <t>11918.34</t>
  </si>
  <si>
    <t>20591.94</t>
  </si>
  <si>
    <t>24.17</t>
  </si>
  <si>
    <t>53439.64</t>
  </si>
  <si>
    <t>1912.78</t>
  </si>
  <si>
    <t>22403.05</t>
  </si>
  <si>
    <t>14698.41</t>
  </si>
  <si>
    <t>66597.28</t>
  </si>
  <si>
    <t>731.65</t>
  </si>
  <si>
    <t>12479.49</t>
  </si>
  <si>
    <t>20779.77</t>
  </si>
  <si>
    <t>8349.61</t>
  </si>
  <si>
    <t>3706.19</t>
  </si>
  <si>
    <t>222.62</t>
  </si>
  <si>
    <t>8486.61</t>
  </si>
  <si>
    <t>65.26</t>
  </si>
  <si>
    <t>20268.89</t>
  </si>
  <si>
    <t>14517.71</t>
  </si>
  <si>
    <t>1399.35</t>
  </si>
  <si>
    <t>554.63</t>
  </si>
  <si>
    <t>8222.79</t>
  </si>
  <si>
    <t>50531.16</t>
  </si>
  <si>
    <t>15887.72</t>
  </si>
  <si>
    <t>4608.09</t>
  </si>
  <si>
    <t>331.26</t>
  </si>
  <si>
    <t>3814.03</t>
  </si>
  <si>
    <t>11581.72</t>
  </si>
  <si>
    <t>7576.52</t>
  </si>
  <si>
    <t>3915.78</t>
  </si>
  <si>
    <t>11.29</t>
  </si>
  <si>
    <t>12.69</t>
  </si>
  <si>
    <t>198077.28</t>
  </si>
  <si>
    <t>445.62</t>
  </si>
  <si>
    <t>1929.42</t>
  </si>
  <si>
    <t>20442.84</t>
  </si>
  <si>
    <t>1005.73</t>
  </si>
  <si>
    <t>394462.74</t>
  </si>
  <si>
    <t>3333.74</t>
  </si>
  <si>
    <t>37695.28</t>
  </si>
  <si>
    <t>23638.68</t>
  </si>
  <si>
    <t>4151.15</t>
  </si>
  <si>
    <t>2169.7</t>
  </si>
  <si>
    <t>102163.57</t>
  </si>
  <si>
    <t>24261.93</t>
  </si>
  <si>
    <t>31.13</t>
  </si>
  <si>
    <t>209.06</t>
  </si>
  <si>
    <t>42.57</t>
  </si>
  <si>
    <t>274188.02</t>
  </si>
  <si>
    <t>395.5</t>
  </si>
  <si>
    <t>4600.8</t>
  </si>
  <si>
    <t>24372.5</t>
  </si>
  <si>
    <t>7149.48</t>
  </si>
  <si>
    <t>208846.22</t>
  </si>
  <si>
    <t>2545.1</t>
  </si>
  <si>
    <t>57171.38</t>
  </si>
  <si>
    <t>24415.32</t>
  </si>
  <si>
    <t>22647.89</t>
  </si>
  <si>
    <t>267878.36</t>
  </si>
  <si>
    <t>584.24</t>
  </si>
  <si>
    <t>9345.93</t>
  </si>
  <si>
    <t>23297.14</t>
  </si>
  <si>
    <t>51694.22</t>
  </si>
  <si>
    <t>349.86</t>
  </si>
  <si>
    <t>3221.79</t>
  </si>
  <si>
    <t>6409.46</t>
  </si>
  <si>
    <t>12418.11</t>
  </si>
  <si>
    <t>553.29</t>
  </si>
  <si>
    <t>8120.83</t>
  </si>
  <si>
    <t>16229.59</t>
  </si>
  <si>
    <t>17402.18</t>
  </si>
  <si>
    <t>2332.01</t>
  </si>
  <si>
    <t>4.74</t>
  </si>
  <si>
    <t>4190.16</t>
  </si>
  <si>
    <t>15216.31</t>
  </si>
  <si>
    <t>11246.65</t>
  </si>
  <si>
    <t>7069.86</t>
  </si>
  <si>
    <t>165021.01</t>
  </si>
  <si>
    <t>7.92</t>
  </si>
  <si>
    <t>24349.01</t>
  </si>
  <si>
    <t>179.37</t>
  </si>
  <si>
    <t>1217.56</t>
  </si>
  <si>
    <t>11600.91</t>
  </si>
  <si>
    <t>19835.53</t>
  </si>
  <si>
    <t>1153.79</t>
  </si>
  <si>
    <t>8806.59</t>
  </si>
  <si>
    <t>17039.11</t>
  </si>
  <si>
    <t>1167.93</t>
  </si>
  <si>
    <t>30302.9</t>
  </si>
  <si>
    <t>1512.34</t>
  </si>
  <si>
    <t>8879.42</t>
  </si>
  <si>
    <t>18090.73</t>
  </si>
  <si>
    <t>8490.33</t>
  </si>
  <si>
    <t>358444.93</t>
  </si>
  <si>
    <t>88.24</t>
  </si>
  <si>
    <t>1173.63</t>
  </si>
  <si>
    <t>273.08</t>
  </si>
  <si>
    <t>167352.05</t>
  </si>
  <si>
    <t>1331.83</t>
  </si>
  <si>
    <t>23888.01</t>
  </si>
  <si>
    <t>24118.51</t>
  </si>
  <si>
    <t>8588.48</t>
  </si>
  <si>
    <t>66072.14</t>
  </si>
  <si>
    <t>2841.01</t>
  </si>
  <si>
    <t>86445.36</t>
  </si>
  <si>
    <t>23772.37</t>
  </si>
  <si>
    <t>40646.91</t>
  </si>
  <si>
    <t>32.69</t>
  </si>
  <si>
    <t>112239.08</t>
  </si>
  <si>
    <t>2863.76</t>
  </si>
  <si>
    <t>116769.01</t>
  </si>
  <si>
    <t>23220.75</t>
  </si>
  <si>
    <t>33267.58</t>
  </si>
  <si>
    <t>604.08</t>
  </si>
  <si>
    <t>0.09</t>
  </si>
  <si>
    <t>7621.48</t>
  </si>
  <si>
    <t>115.48</t>
  </si>
  <si>
    <t>21428.73</t>
  </si>
  <si>
    <t>18453.33</t>
  </si>
  <si>
    <t>8714.02</t>
  </si>
  <si>
    <t>372.81</t>
  </si>
  <si>
    <t>27748.82</t>
  </si>
  <si>
    <t>16534.41</t>
  </si>
  <si>
    <t>4341.02</t>
  </si>
  <si>
    <t>28.32</t>
  </si>
  <si>
    <t>26863.6</t>
  </si>
  <si>
    <t>10084.95</t>
  </si>
  <si>
    <t>225116.78</t>
  </si>
  <si>
    <t>6.66</t>
  </si>
  <si>
    <t>89359.43</t>
  </si>
  <si>
    <t>467.7</t>
  </si>
  <si>
    <t>999.49</t>
  </si>
  <si>
    <t>13836.1</t>
  </si>
  <si>
    <t>818.4</t>
  </si>
  <si>
    <t>183.22</t>
  </si>
  <si>
    <t>96850.11</t>
  </si>
  <si>
    <t>5706.54</t>
  </si>
  <si>
    <t>23078.61</t>
  </si>
  <si>
    <t>21044.01</t>
  </si>
  <si>
    <t>5691.58</t>
  </si>
  <si>
    <t>275.16</t>
  </si>
  <si>
    <t>92879.11</t>
  </si>
  <si>
    <t>1485.04</t>
  </si>
  <si>
    <t>55550.93</t>
  </si>
  <si>
    <t>20267.8</t>
  </si>
  <si>
    <t>6.67</t>
  </si>
  <si>
    <t>167458.17</t>
  </si>
  <si>
    <t>9.56</t>
  </si>
  <si>
    <t>20.76</t>
  </si>
  <si>
    <t>22.37</t>
  </si>
  <si>
    <t>12101.62</t>
  </si>
  <si>
    <t>70.54</t>
  </si>
  <si>
    <t>2636.16</t>
  </si>
  <si>
    <t>4325.51</t>
  </si>
  <si>
    <t>8527.18</t>
  </si>
  <si>
    <t>167.28</t>
  </si>
  <si>
    <t>9010.26</t>
  </si>
  <si>
    <t>17512.22</t>
  </si>
  <si>
    <t>6602.76</t>
  </si>
  <si>
    <t>18.42</t>
  </si>
  <si>
    <t>31221.32</t>
  </si>
  <si>
    <t>135.49</t>
  </si>
  <si>
    <t>12200.99</t>
  </si>
  <si>
    <t>22121.72</t>
  </si>
  <si>
    <t>17340.06</t>
  </si>
  <si>
    <t>3753.97</t>
  </si>
  <si>
    <t>10553.65</t>
  </si>
  <si>
    <t>10547.16</t>
  </si>
  <si>
    <t>18611.39</t>
  </si>
  <si>
    <t>3202.97</t>
  </si>
  <si>
    <t>177.17</t>
  </si>
  <si>
    <t>14233.94</t>
  </si>
  <si>
    <t>398.27</t>
  </si>
  <si>
    <t>26435.94</t>
  </si>
  <si>
    <t>16925.7</t>
  </si>
  <si>
    <t>7664.25</t>
  </si>
  <si>
    <t>32.73</t>
  </si>
  <si>
    <t>8411.58</t>
  </si>
  <si>
    <t>6988.44</t>
  </si>
  <si>
    <t>10157.04</t>
  </si>
  <si>
    <t>8111.52</t>
  </si>
  <si>
    <t>354591.33</t>
  </si>
  <si>
    <t>8.91</t>
  </si>
  <si>
    <t>403.82</t>
  </si>
  <si>
    <t>92339.51</t>
  </si>
  <si>
    <t>191.15</t>
  </si>
  <si>
    <t>4299.21</t>
  </si>
  <si>
    <t>20838.53</t>
  </si>
  <si>
    <t>2334.17</t>
  </si>
  <si>
    <t>42.68</t>
  </si>
  <si>
    <t>77372.74</t>
  </si>
  <si>
    <t>847.14</t>
  </si>
  <si>
    <t>32642.82</t>
  </si>
  <si>
    <t>22330.35</t>
  </si>
  <si>
    <t>5363.86</t>
  </si>
  <si>
    <t>44.75</t>
  </si>
  <si>
    <t>136752.63</t>
  </si>
  <si>
    <t>547.6</t>
  </si>
  <si>
    <t>32416.71</t>
  </si>
  <si>
    <t>22253.41</t>
  </si>
  <si>
    <t>21491.49</t>
  </si>
  <si>
    <t>470277.42</t>
  </si>
  <si>
    <t>63.16</t>
  </si>
  <si>
    <t>919.7</t>
  </si>
  <si>
    <t>135.07</t>
  </si>
  <si>
    <t>90759.29</t>
  </si>
  <si>
    <t>133.21</t>
  </si>
  <si>
    <t>7525.71</t>
  </si>
  <si>
    <t>22952.83</t>
  </si>
  <si>
    <t>7833.23</t>
  </si>
  <si>
    <t>65773.87</t>
  </si>
  <si>
    <t>563.71</t>
  </si>
  <si>
    <t>37328.71</t>
  </si>
  <si>
    <t>26962.98</t>
  </si>
  <si>
    <t>151371.19</t>
  </si>
  <si>
    <t>188.05</t>
  </si>
  <si>
    <t>10042.45</t>
  </si>
  <si>
    <t>22665.76</t>
  </si>
  <si>
    <t>10784.86</t>
  </si>
  <si>
    <t>3927.08</t>
  </si>
  <si>
    <t>44180.69</t>
  </si>
  <si>
    <t>362.98</t>
  </si>
  <si>
    <t>8319.63</t>
  </si>
  <si>
    <t>80.38</t>
  </si>
  <si>
    <t>8585.88</t>
  </si>
  <si>
    <t>16924.98</t>
  </si>
  <si>
    <t>3474.27</t>
  </si>
  <si>
    <t>40015.72</t>
  </si>
  <si>
    <t>28.87</t>
  </si>
  <si>
    <t>3307.89</t>
  </si>
  <si>
    <t>6189.79</t>
  </si>
  <si>
    <t>238960.20</t>
  </si>
  <si>
    <t>13.51</t>
  </si>
  <si>
    <t>53.29</t>
  </si>
  <si>
    <t>135510.07</t>
  </si>
  <si>
    <t>782.94</t>
  </si>
  <si>
    <t>29597.26</t>
  </si>
  <si>
    <t>22751.05</t>
  </si>
  <si>
    <t>3195.2</t>
  </si>
  <si>
    <t>115.77</t>
  </si>
  <si>
    <t>94397.68</t>
  </si>
  <si>
    <t>1871.4</t>
  </si>
  <si>
    <t>224417.43</t>
  </si>
  <si>
    <t>21905.91</t>
  </si>
  <si>
    <t>4644.27</t>
  </si>
  <si>
    <t>76633.53</t>
  </si>
  <si>
    <t>1849.68</t>
  </si>
  <si>
    <t>50499.3</t>
  </si>
  <si>
    <t>21470.1</t>
  </si>
  <si>
    <t>24019.3</t>
  </si>
  <si>
    <t>10.71</t>
  </si>
  <si>
    <t>266495.26</t>
  </si>
  <si>
    <t>65.68</t>
  </si>
  <si>
    <t>1032.57</t>
  </si>
  <si>
    <t>95.94</t>
  </si>
  <si>
    <t>261358.74</t>
  </si>
  <si>
    <t>1133.32</t>
  </si>
  <si>
    <t>33253.91</t>
  </si>
  <si>
    <t>23468.11</t>
  </si>
  <si>
    <t>64837.61</t>
  </si>
  <si>
    <t>1333.26</t>
  </si>
  <si>
    <t>144161.82</t>
  </si>
  <si>
    <t>23608.69</t>
  </si>
  <si>
    <t>16573.42</t>
  </si>
  <si>
    <t>34.67</t>
  </si>
  <si>
    <t>149398.05</t>
  </si>
  <si>
    <t>958.7</t>
  </si>
  <si>
    <t>26132.23</t>
  </si>
  <si>
    <t>22955.2</t>
  </si>
  <si>
    <t>120.96</t>
  </si>
  <si>
    <t>56884.74</t>
  </si>
  <si>
    <t>4956.67</t>
  </si>
  <si>
    <t>25.93</t>
  </si>
  <si>
    <t>162433.60</t>
  </si>
  <si>
    <t>97.5</t>
  </si>
  <si>
    <t>4824.1</t>
  </si>
  <si>
    <t>16986.15</t>
  </si>
  <si>
    <t>474.51</t>
  </si>
  <si>
    <t>175.66</t>
  </si>
  <si>
    <t>159611.21</t>
  </si>
  <si>
    <t>463.88</t>
  </si>
  <si>
    <t>65969.92</t>
  </si>
  <si>
    <t>20048.81</t>
  </si>
  <si>
    <t>7384.44</t>
  </si>
  <si>
    <t>132296.92</t>
  </si>
  <si>
    <t>12271.65</t>
  </si>
  <si>
    <t>18929.53</t>
  </si>
  <si>
    <t>8242.8</t>
  </si>
  <si>
    <t>99284.59</t>
  </si>
  <si>
    <t>293.78</t>
  </si>
  <si>
    <t>16.85</t>
  </si>
  <si>
    <t>50753.39</t>
  </si>
  <si>
    <t>665.66</t>
  </si>
  <si>
    <t>3864.14</t>
  </si>
  <si>
    <t>20460.03</t>
  </si>
  <si>
    <t>3256.35</t>
  </si>
  <si>
    <t>28.03</t>
  </si>
  <si>
    <t>82765.29</t>
  </si>
  <si>
    <t>3002.14</t>
  </si>
  <si>
    <t>26552.95</t>
  </si>
  <si>
    <t>6862.88</t>
  </si>
  <si>
    <t>61812.01</t>
  </si>
  <si>
    <t>2343.71</t>
  </si>
  <si>
    <t>13981.56</t>
  </si>
  <si>
    <t>22467.16</t>
  </si>
  <si>
    <t>21544.1</t>
  </si>
  <si>
    <t>172701.78</t>
  </si>
  <si>
    <t>22.69</t>
  </si>
  <si>
    <t>1053.96</t>
  </si>
  <si>
    <t>197.04</t>
  </si>
  <si>
    <t>96583.04</t>
  </si>
  <si>
    <t>1642.84</t>
  </si>
  <si>
    <t>2907.12</t>
  </si>
  <si>
    <t>23918.75</t>
  </si>
  <si>
    <t>16514.1</t>
  </si>
  <si>
    <t>122559.61</t>
  </si>
  <si>
    <t>3531.36</t>
  </si>
  <si>
    <t>11732.06</t>
  </si>
  <si>
    <t>46220.17</t>
  </si>
  <si>
    <t>149205.04</t>
  </si>
  <si>
    <t>1868.88</t>
  </si>
  <si>
    <t>10205.51</t>
  </si>
  <si>
    <t>23516.81</t>
  </si>
  <si>
    <t>39524.61</t>
  </si>
  <si>
    <t>1791.98</t>
  </si>
  <si>
    <t>23859.54</t>
  </si>
  <si>
    <t>146.65</t>
  </si>
  <si>
    <t>13758.24</t>
  </si>
  <si>
    <t>17149.14</t>
  </si>
  <si>
    <t>3828.36</t>
  </si>
  <si>
    <t>105.16</t>
  </si>
  <si>
    <t>24519.58</t>
  </si>
  <si>
    <t>527.07</t>
  </si>
  <si>
    <t>89440.93</t>
  </si>
  <si>
    <t>18359.88</t>
  </si>
  <si>
    <t>30640.36</t>
  </si>
  <si>
    <t>13037.64</t>
  </si>
  <si>
    <t>62.5</t>
  </si>
  <si>
    <t>37791.66</t>
  </si>
  <si>
    <t>17144.81</t>
  </si>
  <si>
    <t>17638.14</t>
  </si>
  <si>
    <t>34696.47</t>
  </si>
  <si>
    <t>267.28</t>
  </si>
  <si>
    <t>1626.22</t>
  </si>
  <si>
    <t>16026.44</t>
  </si>
  <si>
    <t>11305.7</t>
  </si>
  <si>
    <t>508.06</t>
  </si>
  <si>
    <t>12066.4</t>
  </si>
  <si>
    <t>17145.53</t>
  </si>
  <si>
    <t>5112.23</t>
  </si>
  <si>
    <t>10103.43</t>
  </si>
  <si>
    <t>211.71</t>
  </si>
  <si>
    <t>5853.91</t>
  </si>
  <si>
    <t>16550.12</t>
  </si>
  <si>
    <t>10170.05</t>
  </si>
  <si>
    <t>42322.15</t>
  </si>
  <si>
    <t>7.02</t>
  </si>
  <si>
    <t>25.38</t>
  </si>
  <si>
    <t>14.96</t>
  </si>
  <si>
    <t>25.84</t>
  </si>
  <si>
    <t>11748.64</t>
  </si>
  <si>
    <t>79.86</t>
  </si>
  <si>
    <t>1480.23</t>
  </si>
  <si>
    <t>17560.96</t>
  </si>
  <si>
    <t>5225.7</t>
  </si>
  <si>
    <t>8550.4</t>
  </si>
  <si>
    <t>158.17</t>
  </si>
  <si>
    <t>5192.17</t>
  </si>
  <si>
    <t>17393.83</t>
  </si>
  <si>
    <t>7867.24</t>
  </si>
  <si>
    <t>18219.49</t>
  </si>
  <si>
    <t>89.38</t>
  </si>
  <si>
    <t>2474.57</t>
  </si>
  <si>
    <t>17823.58</t>
  </si>
  <si>
    <t>11910.78</t>
  </si>
  <si>
    <t>5222.32</t>
  </si>
  <si>
    <t>7.22</t>
  </si>
  <si>
    <t>27874.9</t>
  </si>
  <si>
    <t>24072.91</t>
  </si>
  <si>
    <t>17433.03</t>
  </si>
  <si>
    <t>4353.19</t>
  </si>
  <si>
    <t>149.17</t>
  </si>
  <si>
    <t>23489.9</t>
  </si>
  <si>
    <t>108.95</t>
  </si>
  <si>
    <t>30552.71</t>
  </si>
  <si>
    <t>16387.54</t>
  </si>
  <si>
    <t>7058.94</t>
  </si>
  <si>
    <t>19779.37</t>
  </si>
  <si>
    <t>6362.98</t>
  </si>
  <si>
    <t>14474.22</t>
  </si>
  <si>
    <t>10140.36</t>
  </si>
  <si>
    <t>6.82</t>
  </si>
  <si>
    <t>1215.41</t>
  </si>
  <si>
    <t>10.05</t>
  </si>
  <si>
    <t>1019.71</t>
  </si>
  <si>
    <t>4433.31</t>
  </si>
  <si>
    <t>1604.57</t>
  </si>
  <si>
    <t>29.54</t>
  </si>
  <si>
    <t>2011.71</t>
  </si>
  <si>
    <t>6561.49</t>
  </si>
  <si>
    <t>73.51</t>
  </si>
  <si>
    <t>1420.58</t>
  </si>
  <si>
    <t>327.44</t>
  </si>
  <si>
    <t>6538.08</t>
  </si>
  <si>
    <t>5.37</t>
  </si>
  <si>
    <t>332.28</t>
  </si>
  <si>
    <t>4983.42</t>
  </si>
  <si>
    <t>9.88</t>
  </si>
  <si>
    <t>271.39</t>
  </si>
  <si>
    <t>33804.64</t>
  </si>
  <si>
    <t>766.84</t>
  </si>
  <si>
    <t>17456.83</t>
  </si>
  <si>
    <t>17848.44</t>
  </si>
  <si>
    <t>3751.89</t>
  </si>
  <si>
    <t>38613.8</t>
  </si>
  <si>
    <t>1616.72</t>
  </si>
  <si>
    <t>47646.79</t>
  </si>
  <si>
    <t>22369.64</t>
  </si>
  <si>
    <t>5318.83</t>
  </si>
  <si>
    <t>32342.61</t>
  </si>
  <si>
    <t>436.61</t>
  </si>
  <si>
    <t>4288.09</t>
  </si>
  <si>
    <t>21111.11</t>
  </si>
  <si>
    <t>2350.89</t>
  </si>
  <si>
    <t>692.73</t>
  </si>
  <si>
    <t>74933.3</t>
  </si>
  <si>
    <t>1368.47</t>
  </si>
  <si>
    <t>12610.58</t>
  </si>
  <si>
    <t>286.04</t>
  </si>
  <si>
    <t>20503.1</t>
  </si>
  <si>
    <t>19982.05</t>
  </si>
  <si>
    <t>1942.83</t>
  </si>
  <si>
    <t>161741.32</t>
  </si>
  <si>
    <t>40.57</t>
  </si>
  <si>
    <t>1110.74</t>
  </si>
  <si>
    <t>16045.53</t>
  </si>
  <si>
    <t>2422.51</t>
  </si>
  <si>
    <t>30472.24</t>
  </si>
  <si>
    <t>31875.33</t>
  </si>
  <si>
    <t>132.25</t>
  </si>
  <si>
    <t>444.23</t>
  </si>
  <si>
    <t>7651.04</t>
  </si>
  <si>
    <t>153.57</t>
  </si>
  <si>
    <t>36052.71</t>
  </si>
  <si>
    <t>2257.08</t>
  </si>
  <si>
    <t>10409.95</t>
  </si>
  <si>
    <t>15190.16</t>
  </si>
  <si>
    <t>1422.65</t>
  </si>
  <si>
    <t>81.1</t>
  </si>
  <si>
    <t>27052.79</t>
  </si>
  <si>
    <t>668.08</t>
  </si>
  <si>
    <t>17747.97</t>
  </si>
  <si>
    <t>11343.76</t>
  </si>
  <si>
    <t>16378.8</t>
  </si>
  <si>
    <t>8.09</t>
  </si>
  <si>
    <t>11.51</t>
  </si>
  <si>
    <t>995.16</t>
  </si>
  <si>
    <t>1954.54</t>
  </si>
  <si>
    <t>19670.43</t>
  </si>
  <si>
    <t>2817.46</t>
  </si>
  <si>
    <t>6278.91</t>
  </si>
  <si>
    <t>22732.07</t>
  </si>
  <si>
    <t>22997.21</t>
  </si>
  <si>
    <t>10009.53</t>
  </si>
  <si>
    <t>36.63</t>
  </si>
  <si>
    <t>2561.04</t>
  </si>
  <si>
    <t>9875.72</t>
  </si>
  <si>
    <t>20496.71</t>
  </si>
  <si>
    <t>5790.59</t>
  </si>
  <si>
    <t>2.13</t>
  </si>
  <si>
    <t>33.5</t>
  </si>
  <si>
    <t>1107.45</t>
  </si>
  <si>
    <t>16.27</t>
  </si>
  <si>
    <t>16723.7</t>
  </si>
  <si>
    <t>234.76</t>
  </si>
  <si>
    <t>6342.06</t>
  </si>
  <si>
    <t>17549.32</t>
  </si>
  <si>
    <t>964.33</t>
  </si>
  <si>
    <t>165.22</t>
  </si>
  <si>
    <t>20073.25</t>
  </si>
  <si>
    <t>991.14</t>
  </si>
  <si>
    <t>19126.4</t>
  </si>
  <si>
    <t>18749.44</t>
  </si>
  <si>
    <t>6872.67</t>
  </si>
  <si>
    <t>211.14</t>
  </si>
  <si>
    <t>15412.89</t>
  </si>
  <si>
    <t>11.94</t>
  </si>
  <si>
    <t>11994.43</t>
  </si>
  <si>
    <t>12969.88</t>
  </si>
  <si>
    <t>11567.7</t>
  </si>
  <si>
    <t>14475.16</t>
  </si>
  <si>
    <t>29475.17</t>
  </si>
  <si>
    <t>79.07</t>
  </si>
  <si>
    <t>260.16</t>
  </si>
  <si>
    <t>7001.58</t>
  </si>
  <si>
    <t>212.33</t>
  </si>
  <si>
    <t>91.03</t>
  </si>
  <si>
    <t>59599.64</t>
  </si>
  <si>
    <t>633.92</t>
  </si>
  <si>
    <t>4117.94</t>
  </si>
  <si>
    <t>11732.25</t>
  </si>
  <si>
    <t>584.29</t>
  </si>
  <si>
    <t>578.24</t>
  </si>
  <si>
    <t>55987.89</t>
  </si>
  <si>
    <t>5167.57</t>
  </si>
  <si>
    <t>7845.24</t>
  </si>
  <si>
    <t>6260.89</t>
  </si>
  <si>
    <t>17861.76</t>
  </si>
  <si>
    <t>362.57</t>
  </si>
  <si>
    <t>4297.18</t>
  </si>
  <si>
    <t>14483.12</t>
  </si>
  <si>
    <t>3445.98</t>
  </si>
  <si>
    <t>12240.55</t>
  </si>
  <si>
    <t>391.46</t>
  </si>
  <si>
    <t>18487.79</t>
  </si>
  <si>
    <t>16519.42</t>
  </si>
  <si>
    <t>6130.69</t>
  </si>
  <si>
    <t>41261.48</t>
  </si>
  <si>
    <t>193.09</t>
  </si>
  <si>
    <t>1837.38</t>
  </si>
  <si>
    <t>11117.7</t>
  </si>
  <si>
    <t>10993.87</t>
  </si>
  <si>
    <t>1435.17</t>
  </si>
  <si>
    <t>12.05</t>
  </si>
  <si>
    <t>604.56</t>
  </si>
  <si>
    <t>6.43</t>
  </si>
  <si>
    <t>322.03</t>
  </si>
  <si>
    <t>6094.37</t>
  </si>
  <si>
    <t>16155.26</t>
  </si>
  <si>
    <t>1826.03</t>
  </si>
  <si>
    <t>92.29</t>
  </si>
  <si>
    <t>11677.53</t>
  </si>
  <si>
    <t>411.5</t>
  </si>
  <si>
    <t>21806.46</t>
  </si>
  <si>
    <t>15011.88</t>
  </si>
  <si>
    <t>5958.91</t>
  </si>
  <si>
    <t>201.72</t>
  </si>
  <si>
    <t>7808.1</t>
  </si>
  <si>
    <t>20202.4</t>
  </si>
  <si>
    <t>6808.94</t>
  </si>
  <si>
    <t>9962.04</t>
  </si>
  <si>
    <t>72560.25</t>
  </si>
  <si>
    <t>25.31</t>
  </si>
  <si>
    <t>13506.14</t>
  </si>
  <si>
    <t>1274.77</t>
  </si>
  <si>
    <t>18062.78</t>
  </si>
  <si>
    <t>17542.04</t>
  </si>
  <si>
    <t>3018.92</t>
  </si>
  <si>
    <t>18198.86</t>
  </si>
  <si>
    <t>352.77</t>
  </si>
  <si>
    <t>1380.99</t>
  </si>
  <si>
    <t>12414.53</t>
  </si>
  <si>
    <t>679.91</t>
  </si>
  <si>
    <t>14316.74</t>
  </si>
  <si>
    <t>333.06</t>
  </si>
  <si>
    <t>18185.43</t>
  </si>
  <si>
    <t>14959.29</t>
  </si>
  <si>
    <t>16265.33</t>
  </si>
  <si>
    <t>42.34</t>
  </si>
  <si>
    <t>96.86</t>
  </si>
  <si>
    <t>23408.68</t>
  </si>
  <si>
    <t>481.93</t>
  </si>
  <si>
    <t>3330.64</t>
  </si>
  <si>
    <t>17356.84</t>
  </si>
  <si>
    <t>5105.64</t>
  </si>
  <si>
    <t>17650.4</t>
  </si>
  <si>
    <t>1051.26</t>
  </si>
  <si>
    <t>11162.53</t>
  </si>
  <si>
    <t>18135.93</t>
  </si>
  <si>
    <t>47309.89</t>
  </si>
  <si>
    <t>627.33</t>
  </si>
  <si>
    <t>5604.15</t>
  </si>
  <si>
    <t>17082.73</t>
  </si>
  <si>
    <t>2738.85</t>
  </si>
  <si>
    <t>134.98</t>
  </si>
  <si>
    <t>217.74</t>
  </si>
  <si>
    <t>10448.63</t>
  </si>
  <si>
    <t>16263.1</t>
  </si>
  <si>
    <t>1380.33</t>
  </si>
  <si>
    <t>860.98</t>
  </si>
  <si>
    <t>6143.2</t>
  </si>
  <si>
    <t>143.05</t>
  </si>
  <si>
    <t>28865.34</t>
  </si>
  <si>
    <t>14349.83</t>
  </si>
  <si>
    <t>4511.36</t>
  </si>
  <si>
    <t>307.97</t>
  </si>
  <si>
    <t>10.26</t>
  </si>
  <si>
    <t>10581.77</t>
  </si>
  <si>
    <t>11252.02</t>
  </si>
  <si>
    <t>5085.17</t>
  </si>
  <si>
    <t>4.77</t>
  </si>
  <si>
    <t>67.99</t>
  </si>
  <si>
    <t>87.4</t>
  </si>
  <si>
    <t>80987.22</t>
  </si>
  <si>
    <t>477.39</t>
  </si>
  <si>
    <t>6504.05</t>
  </si>
  <si>
    <t>17898.94</t>
  </si>
  <si>
    <t>1684.84</t>
  </si>
  <si>
    <t>367.31</t>
  </si>
  <si>
    <t>50046.9</t>
  </si>
  <si>
    <t>2207.92</t>
  </si>
  <si>
    <t>71479.65</t>
  </si>
  <si>
    <t>20414.21</t>
  </si>
  <si>
    <t>4152.47</t>
  </si>
  <si>
    <t>458.59</t>
  </si>
  <si>
    <t>53531.99</t>
  </si>
  <si>
    <t>877.74</t>
  </si>
  <si>
    <t>19749.94</t>
  </si>
  <si>
    <t>18426.35</t>
  </si>
  <si>
    <t>13.94</t>
  </si>
  <si>
    <t>191.71</t>
  </si>
  <si>
    <t>131.35</t>
  </si>
  <si>
    <t>42790.34</t>
  </si>
  <si>
    <t>576.58</t>
  </si>
  <si>
    <t>17419.3</t>
  </si>
  <si>
    <t>21060.2</t>
  </si>
  <si>
    <t>12000.97</t>
  </si>
  <si>
    <t>23300.88</t>
  </si>
  <si>
    <t>875.94</t>
  </si>
  <si>
    <t>79137.25</t>
  </si>
  <si>
    <t>22460.86</t>
  </si>
  <si>
    <t>16015.73</t>
  </si>
  <si>
    <t>26.21</t>
  </si>
  <si>
    <t>297.55</t>
  </si>
  <si>
    <t>6731.23</t>
  </si>
  <si>
    <t>20900.03</t>
  </si>
  <si>
    <t>13879.8</t>
  </si>
  <si>
    <t>1886.41</t>
  </si>
  <si>
    <t>7.17</t>
  </si>
  <si>
    <t>143.67</t>
  </si>
  <si>
    <t>251.65</t>
  </si>
  <si>
    <t>7415.75</t>
  </si>
  <si>
    <t>73.17</t>
  </si>
  <si>
    <t>23774.82</t>
  </si>
  <si>
    <t>18165.35</t>
  </si>
  <si>
    <t>3192.21</t>
  </si>
  <si>
    <t>618.42</t>
  </si>
  <si>
    <t>6271.13</t>
  </si>
  <si>
    <t>90.32</t>
  </si>
  <si>
    <t>68983.26</t>
  </si>
  <si>
    <t>14270.72</t>
  </si>
  <si>
    <t>5362.35</t>
  </si>
  <si>
    <t>1835.79</t>
  </si>
  <si>
    <t>2155.3</t>
  </si>
  <si>
    <t>17196.29</t>
  </si>
  <si>
    <t>3374.79</t>
  </si>
  <si>
    <t>5895.72</t>
  </si>
  <si>
    <t>2.7</t>
  </si>
  <si>
    <t>50964.52</t>
  </si>
  <si>
    <t>50.54</t>
  </si>
  <si>
    <t>21962.84</t>
  </si>
  <si>
    <t>405.01</t>
  </si>
  <si>
    <t>2772.99</t>
  </si>
  <si>
    <t>12746.42</t>
  </si>
  <si>
    <t>813.18</t>
  </si>
  <si>
    <t>107.78</t>
  </si>
  <si>
    <t>23763.06</t>
  </si>
  <si>
    <t>1250.17</t>
  </si>
  <si>
    <t>13711.61</t>
  </si>
  <si>
    <t>16447.38</t>
  </si>
  <si>
    <t>1518.33</t>
  </si>
  <si>
    <t>628.71</t>
  </si>
  <si>
    <t>9392.85</t>
  </si>
  <si>
    <t>14385.34</t>
  </si>
  <si>
    <t>6604.49</t>
  </si>
  <si>
    <t>39706.64</t>
  </si>
  <si>
    <t>5.8</t>
  </si>
  <si>
    <t>28.83</t>
  </si>
  <si>
    <t>17137.32</t>
  </si>
  <si>
    <t>733.28</t>
  </si>
  <si>
    <t>5229.84</t>
  </si>
  <si>
    <t>17996.41</t>
  </si>
  <si>
    <t>4933.76</t>
  </si>
  <si>
    <t>11898.99</t>
  </si>
  <si>
    <t>834.66</t>
  </si>
  <si>
    <t>16860.52</t>
  </si>
  <si>
    <t>18365.79</t>
  </si>
  <si>
    <t>7678.94</t>
  </si>
  <si>
    <t>25172.23</t>
  </si>
  <si>
    <t>1571.49</t>
  </si>
  <si>
    <t>11687.46</t>
  </si>
  <si>
    <t>5469.79</t>
  </si>
  <si>
    <t>1470.37</t>
  </si>
  <si>
    <t>212.73</t>
  </si>
  <si>
    <t>14533.89</t>
  </si>
  <si>
    <t>646.57</t>
  </si>
  <si>
    <t>10754.32</t>
  </si>
  <si>
    <t>17665.86</t>
  </si>
  <si>
    <t>2305.12</t>
  </si>
  <si>
    <t>1131.12</t>
  </si>
  <si>
    <t>17411.81</t>
  </si>
  <si>
    <t>851.32</t>
  </si>
  <si>
    <t>27523.67</t>
  </si>
  <si>
    <t>17830.89</t>
  </si>
  <si>
    <t>8306.08</t>
  </si>
  <si>
    <t>93.55</t>
  </si>
  <si>
    <t>5145.17</t>
  </si>
  <si>
    <t>9.62</t>
  </si>
  <si>
    <t>16948.71</t>
  </si>
  <si>
    <t>7828.9</t>
  </si>
  <si>
    <t>6922.66</t>
  </si>
  <si>
    <t>110.04</t>
  </si>
  <si>
    <t>27.29</t>
  </si>
  <si>
    <t>562.67</t>
  </si>
  <si>
    <t>5629.21</t>
  </si>
  <si>
    <t>17958.28</t>
  </si>
  <si>
    <t>3013.07</t>
  </si>
  <si>
    <t>207.99</t>
  </si>
  <si>
    <t>46430.05</t>
  </si>
  <si>
    <t>2778.89</t>
  </si>
  <si>
    <t>65177.53</t>
  </si>
  <si>
    <t>21883.27</t>
  </si>
  <si>
    <t>7393.9</t>
  </si>
  <si>
    <t>268.38</t>
  </si>
  <si>
    <t>38747.81</t>
  </si>
  <si>
    <t>632.1</t>
  </si>
  <si>
    <t>55105.25</t>
  </si>
  <si>
    <t>20418.02</t>
  </si>
  <si>
    <t>21.74</t>
  </si>
  <si>
    <t>481.45</t>
  </si>
  <si>
    <t>137.82</t>
  </si>
  <si>
    <t>1729.87</t>
  </si>
  <si>
    <t>6350.42</t>
  </si>
  <si>
    <t>22514.4</t>
  </si>
  <si>
    <t>11490.96</t>
  </si>
  <si>
    <t>76178.67</t>
  </si>
  <si>
    <t>3724.55</t>
  </si>
  <si>
    <t>25243.14</t>
  </si>
  <si>
    <t>23383.57</t>
  </si>
  <si>
    <t>22785.79</t>
  </si>
  <si>
    <t>467051.73</t>
  </si>
  <si>
    <t>425.78</t>
  </si>
  <si>
    <t>3850.12</t>
  </si>
  <si>
    <t>20006.32</t>
  </si>
  <si>
    <t>65819.43</t>
  </si>
  <si>
    <t>859.41</t>
  </si>
  <si>
    <t>6425.29</t>
  </si>
  <si>
    <t>164.31</t>
  </si>
  <si>
    <t>2876.29</t>
  </si>
  <si>
    <t>13241.78</t>
  </si>
  <si>
    <t>2160.52</t>
  </si>
  <si>
    <t>200.16</t>
  </si>
  <si>
    <t>7160.09</t>
  </si>
  <si>
    <t>467.29</t>
  </si>
  <si>
    <t>8963.58</t>
  </si>
  <si>
    <t>14879.82</t>
  </si>
  <si>
    <t>8384.82</t>
  </si>
  <si>
    <t>2060.09</t>
  </si>
  <si>
    <t>4979.83</t>
  </si>
  <si>
    <t>9068.21</t>
  </si>
  <si>
    <t>3401.87</t>
  </si>
  <si>
    <t>45507.73</t>
  </si>
  <si>
    <t>381.86</t>
  </si>
  <si>
    <t>4180.03</t>
  </si>
  <si>
    <t>17366.99</t>
  </si>
  <si>
    <t>1487.5</t>
  </si>
  <si>
    <t>148824.61</t>
  </si>
  <si>
    <t>37.8</t>
  </si>
  <si>
    <t>52982.14</t>
  </si>
  <si>
    <t>1988.22</t>
  </si>
  <si>
    <t>39443.02</t>
  </si>
  <si>
    <t>21253.24</t>
  </si>
  <si>
    <t>39456.55</t>
  </si>
  <si>
    <t>1021.67</t>
  </si>
  <si>
    <t>153152.8</t>
  </si>
  <si>
    <t>21039.39</t>
  </si>
  <si>
    <t>97.88</t>
  </si>
  <si>
    <t>17.13</t>
  </si>
  <si>
    <t>107811.4</t>
  </si>
  <si>
    <t>947.71</t>
  </si>
  <si>
    <t>11784.01</t>
  </si>
  <si>
    <t>23228.31</t>
  </si>
  <si>
    <t>8391.24</t>
  </si>
  <si>
    <t>43299.16</t>
  </si>
  <si>
    <t>2011.12</t>
  </si>
  <si>
    <t>73664.46</t>
  </si>
  <si>
    <t>22607.39</t>
  </si>
  <si>
    <t>12399.54</t>
  </si>
  <si>
    <t>89109.72</t>
  </si>
  <si>
    <t>498.09</t>
  </si>
  <si>
    <t>16630.78</t>
  </si>
  <si>
    <t>22808.76</t>
  </si>
  <si>
    <t>7830.22</t>
  </si>
  <si>
    <t>16.43</t>
  </si>
  <si>
    <t>384.83</t>
  </si>
  <si>
    <t>9864.8</t>
  </si>
  <si>
    <t>709.53</t>
  </si>
  <si>
    <t>8200.07</t>
  </si>
  <si>
    <t>5600.4</t>
  </si>
  <si>
    <t>16258.13</t>
  </si>
  <si>
    <t>1079.51</t>
  </si>
  <si>
    <t>11160.7</t>
  </si>
  <si>
    <t>249.86</t>
  </si>
  <si>
    <t>27554.57</t>
  </si>
  <si>
    <t>6036.29</t>
  </si>
  <si>
    <t>8042.02</t>
  </si>
  <si>
    <t>20081.75</t>
  </si>
  <si>
    <t>15727.59</t>
  </si>
  <si>
    <t>5572.32</t>
  </si>
  <si>
    <t>86455.28</t>
  </si>
  <si>
    <t>1.32</t>
  </si>
  <si>
    <t>18.9</t>
  </si>
  <si>
    <t>8.87</t>
  </si>
  <si>
    <t>22202.95</t>
  </si>
  <si>
    <t>150.1</t>
  </si>
  <si>
    <t>4132.66</t>
  </si>
  <si>
    <t>14912.97</t>
  </si>
  <si>
    <t>1446.06</t>
  </si>
  <si>
    <t>38.62</t>
  </si>
  <si>
    <t>20244.89</t>
  </si>
  <si>
    <t>394.33</t>
  </si>
  <si>
    <t>18071.51</t>
  </si>
  <si>
    <t>15880.31</t>
  </si>
  <si>
    <t>2664.37</t>
  </si>
  <si>
    <t>22822.88</t>
  </si>
  <si>
    <t>282.91</t>
  </si>
  <si>
    <t>10312.8</t>
  </si>
  <si>
    <t>15610.38</t>
  </si>
  <si>
    <t>6647.74</t>
  </si>
  <si>
    <t>268552.83</t>
  </si>
  <si>
    <t>56.83</t>
  </si>
  <si>
    <t>124.91</t>
  </si>
  <si>
    <t>23749.31</t>
  </si>
  <si>
    <t>382.85</t>
  </si>
  <si>
    <t>7808.03</t>
  </si>
  <si>
    <t>21047.87</t>
  </si>
  <si>
    <t>11907.34</t>
  </si>
  <si>
    <t>13657.24</t>
  </si>
  <si>
    <t>413.07</t>
  </si>
  <si>
    <t>22850.76</t>
  </si>
  <si>
    <t>21479.41</t>
  </si>
  <si>
    <t>16500.78</t>
  </si>
  <si>
    <t>28993.14</t>
  </si>
  <si>
    <t>199.62</t>
  </si>
  <si>
    <t>6351.82</t>
  </si>
  <si>
    <t>21118.83</t>
  </si>
  <si>
    <t>20572.2</t>
  </si>
  <si>
    <t>5213.22</t>
  </si>
  <si>
    <t>13.42</t>
  </si>
  <si>
    <t>579.97</t>
  </si>
  <si>
    <t>42229.51</t>
  </si>
  <si>
    <t>189.7</t>
  </si>
  <si>
    <t>15764.74</t>
  </si>
  <si>
    <t>19888.1</t>
  </si>
  <si>
    <t>2628.5</t>
  </si>
  <si>
    <t>91806.42</t>
  </si>
  <si>
    <t>741.02</t>
  </si>
  <si>
    <t>86104.26</t>
  </si>
  <si>
    <t>20466.14</t>
  </si>
  <si>
    <t>9775.09</t>
  </si>
  <si>
    <t>29.89</t>
  </si>
  <si>
    <t>57320.13</t>
  </si>
  <si>
    <t>162.12</t>
  </si>
  <si>
    <t>23512.73</t>
  </si>
  <si>
    <t>17337.27</t>
  </si>
  <si>
    <t>15981.67</t>
  </si>
  <si>
    <t>14341.66</t>
  </si>
  <si>
    <t>3.75</t>
  </si>
  <si>
    <t>11208.89</t>
  </si>
  <si>
    <t>567.26</t>
  </si>
  <si>
    <t>9798.82</t>
  </si>
  <si>
    <t>853.16</t>
  </si>
  <si>
    <t>14787.87</t>
  </si>
  <si>
    <t>319.5</t>
  </si>
  <si>
    <t>4975.29</t>
  </si>
  <si>
    <t>12118.41</t>
  </si>
  <si>
    <t>1323.23</t>
  </si>
  <si>
    <t>48.06</t>
  </si>
  <si>
    <t>8882.48</t>
  </si>
  <si>
    <t>13308.37</t>
  </si>
  <si>
    <t>8236.49</t>
  </si>
  <si>
    <t>121362.86</t>
  </si>
  <si>
    <t>830.76</t>
  </si>
  <si>
    <t>415.31</t>
  </si>
  <si>
    <t>220.52</t>
  </si>
  <si>
    <t>33739.11</t>
  </si>
  <si>
    <t>191.86</t>
  </si>
  <si>
    <t>8234.89</t>
  </si>
  <si>
    <t>20437.88</t>
  </si>
  <si>
    <t>9463.7</t>
  </si>
  <si>
    <t>21850.12</t>
  </si>
  <si>
    <t>547.66</t>
  </si>
  <si>
    <t>19282.22</t>
  </si>
  <si>
    <t>21634.75</t>
  </si>
  <si>
    <t>14294.01</t>
  </si>
  <si>
    <t>38882.55</t>
  </si>
  <si>
    <t>81.26</t>
  </si>
  <si>
    <t>7170.13</t>
  </si>
  <si>
    <t>18936.98</t>
  </si>
  <si>
    <t>22467.67</t>
  </si>
  <si>
    <t>7763.97</t>
  </si>
  <si>
    <t>454.48</t>
  </si>
  <si>
    <t>4134.29</t>
  </si>
  <si>
    <t>320.95</t>
  </si>
  <si>
    <t>6877.96</t>
  </si>
  <si>
    <t>57.14</t>
  </si>
  <si>
    <t>14661.18</t>
  </si>
  <si>
    <t>16067.46</t>
  </si>
  <si>
    <t>1958.15</t>
  </si>
  <si>
    <t>3252.06</t>
  </si>
  <si>
    <t>53.53</t>
  </si>
  <si>
    <t>35796.58</t>
  </si>
  <si>
    <t>12961.94</t>
  </si>
  <si>
    <t>6068.73</t>
  </si>
  <si>
    <t>1674.5</t>
  </si>
  <si>
    <t>6075.57</t>
  </si>
  <si>
    <t>5336.06</t>
  </si>
  <si>
    <t>3765.23</t>
  </si>
  <si>
    <t>402051.41</t>
  </si>
  <si>
    <t>288.67</t>
  </si>
  <si>
    <t>3251.89</t>
  </si>
  <si>
    <t>13018.16</t>
  </si>
  <si>
    <t>42.17</t>
  </si>
  <si>
    <t>31397.81</t>
  </si>
  <si>
    <t>1386.72</t>
  </si>
  <si>
    <t>14029.29</t>
  </si>
  <si>
    <t>16164.48</t>
  </si>
  <si>
    <t>35271.57</t>
  </si>
  <si>
    <t>611.48</t>
  </si>
  <si>
    <t>10333.05</t>
  </si>
  <si>
    <t>13573.1</t>
  </si>
  <si>
    <t>6790.28</t>
  </si>
  <si>
    <t>8.97</t>
  </si>
  <si>
    <t>81918.75</t>
  </si>
  <si>
    <t>48.88</t>
  </si>
  <si>
    <t>188.94</t>
  </si>
  <si>
    <t>61.5</t>
  </si>
  <si>
    <t>22770.48</t>
  </si>
  <si>
    <t>280.35</t>
  </si>
  <si>
    <t>2564.64</t>
  </si>
  <si>
    <t>19923.7</t>
  </si>
  <si>
    <t>6860.22</t>
  </si>
  <si>
    <t>14.82</t>
  </si>
  <si>
    <t>14110.48</t>
  </si>
  <si>
    <t>685.55</t>
  </si>
  <si>
    <t>14494.25</t>
  </si>
  <si>
    <t>21000.09</t>
  </si>
  <si>
    <t>14543.36</t>
  </si>
  <si>
    <t>24.86</t>
  </si>
  <si>
    <t>38990.87</t>
  </si>
  <si>
    <t>141.89</t>
  </si>
  <si>
    <t>4775.62</t>
  </si>
  <si>
    <t>18244.85</t>
  </si>
  <si>
    <t>22663.1</t>
  </si>
  <si>
    <t>2935.52</t>
  </si>
  <si>
    <t>132.88</t>
  </si>
  <si>
    <t>5245.1</t>
  </si>
  <si>
    <t>47.91</t>
  </si>
  <si>
    <t>19149.9</t>
  </si>
  <si>
    <t>16470.2</t>
  </si>
  <si>
    <t>3655.29</t>
  </si>
  <si>
    <t>219.89</t>
  </si>
  <si>
    <t>4701.2</t>
  </si>
  <si>
    <t>69.64</t>
  </si>
  <si>
    <t>27929.25</t>
  </si>
  <si>
    <t>13239.78</t>
  </si>
  <si>
    <t>6029.82</t>
  </si>
  <si>
    <t>52.75</t>
  </si>
  <si>
    <t>3094.25</t>
  </si>
  <si>
    <t>10934.75</t>
  </si>
  <si>
    <t>6010.58</t>
  </si>
  <si>
    <t>5475.11</t>
  </si>
  <si>
    <t>28127.85</t>
  </si>
  <si>
    <t>34.18</t>
  </si>
  <si>
    <t>37772.91</t>
  </si>
  <si>
    <t>203.04</t>
  </si>
  <si>
    <t>2350.1</t>
  </si>
  <si>
    <t>16041.28</t>
  </si>
  <si>
    <t>1674.08</t>
  </si>
  <si>
    <t>144.16</t>
  </si>
  <si>
    <t>46611.04</t>
  </si>
  <si>
    <t>1472.93</t>
  </si>
  <si>
    <t>21095.83</t>
  </si>
  <si>
    <t>20473.02</t>
  </si>
  <si>
    <t>3443.52</t>
  </si>
  <si>
    <t>135.68</t>
  </si>
  <si>
    <t>60570.76</t>
  </si>
  <si>
    <t>699.2</t>
  </si>
  <si>
    <t>9843.58</t>
  </si>
  <si>
    <t>18138.87</t>
  </si>
  <si>
    <t>81.86</t>
  </si>
  <si>
    <t>12197.43</t>
  </si>
  <si>
    <t>14.04</t>
  </si>
  <si>
    <t>335387.70</t>
  </si>
  <si>
    <t>85.03</t>
  </si>
  <si>
    <t>234.8</t>
  </si>
  <si>
    <t>133.33</t>
  </si>
  <si>
    <t>18.01</t>
  </si>
  <si>
    <t>75284.96</t>
  </si>
  <si>
    <t>1357.06</t>
  </si>
  <si>
    <t>8628.7</t>
  </si>
  <si>
    <t>20446.28</t>
  </si>
  <si>
    <t>26.66</t>
  </si>
  <si>
    <t>2143.14</t>
  </si>
  <si>
    <t>59964.06</t>
  </si>
  <si>
    <t>22247.14</t>
  </si>
  <si>
    <t>21310.13</t>
  </si>
  <si>
    <t>36.14</t>
  </si>
  <si>
    <t>257335.64</t>
  </si>
  <si>
    <t>842.15</t>
  </si>
  <si>
    <t>19342.36</t>
  </si>
  <si>
    <t>39515.91</t>
  </si>
  <si>
    <t>1895.93</t>
  </si>
  <si>
    <t>10.35</t>
  </si>
  <si>
    <t>2736.68</t>
  </si>
  <si>
    <t>89.74</t>
  </si>
  <si>
    <t>7996.15</t>
  </si>
  <si>
    <t>13952.98</t>
  </si>
  <si>
    <t>2071.07</t>
  </si>
  <si>
    <t>43.2</t>
  </si>
  <si>
    <t>2837.32</t>
  </si>
  <si>
    <t>80.54</t>
  </si>
  <si>
    <t>16529.07</t>
  </si>
  <si>
    <t>3698.73</t>
  </si>
  <si>
    <t>6.36</t>
  </si>
  <si>
    <t>7561.69</t>
  </si>
  <si>
    <t>3705.67</t>
  </si>
  <si>
    <t>11.79</t>
  </si>
  <si>
    <t>200614.08</t>
  </si>
  <si>
    <t>75108.72</t>
  </si>
  <si>
    <t>160.39</t>
  </si>
  <si>
    <t>1673.84</t>
  </si>
  <si>
    <t>16691.72</t>
  </si>
  <si>
    <t>3129.72</t>
  </si>
  <si>
    <t>195209.74</t>
  </si>
  <si>
    <t>1638.47</t>
  </si>
  <si>
    <t>12176.64</t>
  </si>
  <si>
    <t>20685.79</t>
  </si>
  <si>
    <t>6219.49</t>
  </si>
  <si>
    <t>157735.48</t>
  </si>
  <si>
    <t>739.31</t>
  </si>
  <si>
    <t>13748.9</t>
  </si>
  <si>
    <t>19872.96</t>
  </si>
  <si>
    <t>15920.16</t>
  </si>
  <si>
    <t>150100.49</t>
  </si>
  <si>
    <t>41.48</t>
  </si>
  <si>
    <t>107255.63</t>
  </si>
  <si>
    <t>305.35</t>
  </si>
  <si>
    <t>5271.3</t>
  </si>
  <si>
    <t>20208.41</t>
  </si>
  <si>
    <t>9239.52</t>
  </si>
  <si>
    <t>31.3</t>
  </si>
  <si>
    <t>41440.24</t>
  </si>
  <si>
    <t>1609.84</t>
  </si>
  <si>
    <t>24434.86</t>
  </si>
  <si>
    <t>23820.06</t>
  </si>
  <si>
    <t>30680.19</t>
  </si>
  <si>
    <t>28.49</t>
  </si>
  <si>
    <t>160380.57</t>
  </si>
  <si>
    <t>73.25</t>
  </si>
  <si>
    <t>5215.69</t>
  </si>
  <si>
    <t>19307.85</t>
  </si>
  <si>
    <t>22770.35</t>
  </si>
  <si>
    <t>2665.54</t>
  </si>
  <si>
    <t>47.16</t>
  </si>
  <si>
    <t>8743.43</t>
  </si>
  <si>
    <t>79.26</t>
  </si>
  <si>
    <t>7341.9</t>
  </si>
  <si>
    <t>16269.5</t>
  </si>
  <si>
    <t>3004.88</t>
  </si>
  <si>
    <t>17.2</t>
  </si>
  <si>
    <t>14300.15</t>
  </si>
  <si>
    <t>281.38</t>
  </si>
  <si>
    <t>25854.6</t>
  </si>
  <si>
    <t>18887.06</t>
  </si>
  <si>
    <t>9368.37</t>
  </si>
  <si>
    <t>6450.32</t>
  </si>
  <si>
    <t>4.15</t>
  </si>
  <si>
    <t>9267.5</t>
  </si>
  <si>
    <t>7964.99</t>
  </si>
  <si>
    <t>9428.11</t>
  </si>
  <si>
    <t>100050.87</t>
  </si>
  <si>
    <t>50.42</t>
  </si>
  <si>
    <t>18.3</t>
  </si>
  <si>
    <t>213.52</t>
  </si>
  <si>
    <t>70331.17</t>
  </si>
  <si>
    <t>235.4</t>
  </si>
  <si>
    <t>5458.19</t>
  </si>
  <si>
    <t>18630.67</t>
  </si>
  <si>
    <t>4275.08</t>
  </si>
  <si>
    <t>440.07</t>
  </si>
  <si>
    <t>1544.09</t>
  </si>
  <si>
    <t>34261.04</t>
  </si>
  <si>
    <t>20617.59</t>
  </si>
  <si>
    <t>6717.41</t>
  </si>
  <si>
    <t>90.4</t>
  </si>
  <si>
    <t>40886.16</t>
  </si>
  <si>
    <t>21280.31</t>
  </si>
  <si>
    <t>29686.83</t>
  </si>
  <si>
    <t>206829.75</t>
  </si>
  <si>
    <t>294.11</t>
  </si>
  <si>
    <t>731.68</t>
  </si>
  <si>
    <t>233.67</t>
  </si>
  <si>
    <t>20153.16</t>
  </si>
  <si>
    <t>318.76</t>
  </si>
  <si>
    <t>6424.71</t>
  </si>
  <si>
    <t>18531.38</t>
  </si>
  <si>
    <t>5813.99</t>
  </si>
  <si>
    <t>13442.92</t>
  </si>
  <si>
    <t>521.41</t>
  </si>
  <si>
    <t>19912.46</t>
  </si>
  <si>
    <t>19912.33</t>
  </si>
  <si>
    <t>10948.57</t>
  </si>
  <si>
    <t>44955.35</t>
  </si>
  <si>
    <t>191.11</t>
  </si>
  <si>
    <t>11857.18</t>
  </si>
  <si>
    <t>19644.79</t>
  </si>
  <si>
    <t>16418.13</t>
  </si>
  <si>
    <t>1100.09</t>
  </si>
  <si>
    <t>49.18</t>
  </si>
  <si>
    <t>29.42</t>
  </si>
  <si>
    <t>8331.19</t>
  </si>
  <si>
    <t>10196.63</t>
  </si>
  <si>
    <t>16177.95</t>
  </si>
  <si>
    <t>1256.41</t>
  </si>
  <si>
    <t>279.42</t>
  </si>
  <si>
    <t>11613.79</t>
  </si>
  <si>
    <t>252.55</t>
  </si>
  <si>
    <t>27141.54</t>
  </si>
  <si>
    <t>15401.21</t>
  </si>
  <si>
    <t>5149.66</t>
  </si>
  <si>
    <t>7117.93</t>
  </si>
  <si>
    <t>16069.6</t>
  </si>
  <si>
    <t>10550.87</t>
  </si>
  <si>
    <t>6883.36</t>
  </si>
  <si>
    <t>71269.78</t>
  </si>
  <si>
    <t>53.84</t>
  </si>
  <si>
    <t>114080.57</t>
  </si>
  <si>
    <t>23.42</t>
  </si>
  <si>
    <t>8400.38</t>
  </si>
  <si>
    <t>14231.22</t>
  </si>
  <si>
    <t>1113.87</t>
  </si>
  <si>
    <t>335.48</t>
  </si>
  <si>
    <t>190179.78</t>
  </si>
  <si>
    <t>517.84</t>
  </si>
  <si>
    <t>97033.38</t>
  </si>
  <si>
    <t>20486.77</t>
  </si>
  <si>
    <t>4928.73</t>
  </si>
  <si>
    <t>744.64</t>
  </si>
  <si>
    <t>364861.44</t>
  </si>
  <si>
    <t>76.56</t>
  </si>
  <si>
    <t>20344.37</t>
  </si>
  <si>
    <t>13327.03</t>
  </si>
  <si>
    <t>10105.42</t>
  </si>
  <si>
    <t>172780.31</t>
  </si>
  <si>
    <t>251395.32</t>
  </si>
  <si>
    <t>121.87</t>
  </si>
  <si>
    <t>13028.12</t>
  </si>
  <si>
    <t>21233.14</t>
  </si>
  <si>
    <t>3434.93</t>
  </si>
  <si>
    <t>40.13</t>
  </si>
  <si>
    <t>336691.56</t>
  </si>
  <si>
    <t>900.92</t>
  </si>
  <si>
    <t>489497.83</t>
  </si>
  <si>
    <t>22118.59</t>
  </si>
  <si>
    <t>114.08</t>
  </si>
  <si>
    <t>23.97</t>
  </si>
  <si>
    <t>346416.04</t>
  </si>
  <si>
    <t>90.72</t>
  </si>
  <si>
    <t>9141.91</t>
  </si>
  <si>
    <t>17149.87</t>
  </si>
  <si>
    <t>9597.72</t>
  </si>
  <si>
    <t>25128.07</t>
  </si>
  <si>
    <t>9.27</t>
  </si>
  <si>
    <t>863.51</t>
  </si>
  <si>
    <t>1475.13</t>
  </si>
  <si>
    <t>297.68</t>
  </si>
  <si>
    <t>4946.63</t>
  </si>
  <si>
    <t>51134.54</t>
  </si>
  <si>
    <t>36393.23</t>
  </si>
  <si>
    <t>15909.93</t>
  </si>
  <si>
    <t>10126.9</t>
  </si>
  <si>
    <t>5466.57</t>
  </si>
  <si>
    <t>65706.14</t>
  </si>
  <si>
    <t>188.29</t>
  </si>
  <si>
    <t>60613.79</t>
  </si>
  <si>
    <t>20029.84</t>
  </si>
  <si>
    <t>250.61</t>
  </si>
  <si>
    <t>16313.70</t>
  </si>
  <si>
    <t>7938.56</t>
  </si>
  <si>
    <t>81605.83</t>
  </si>
  <si>
    <t>3.08</t>
  </si>
  <si>
    <t>69432.22</t>
  </si>
  <si>
    <t>5962.48</t>
  </si>
  <si>
    <t>58208.42</t>
  </si>
  <si>
    <t>70.9</t>
  </si>
  <si>
    <t>116523.07</t>
  </si>
  <si>
    <t>2615.42</t>
  </si>
  <si>
    <t>8636.17</t>
  </si>
  <si>
    <t>20234.29</t>
  </si>
  <si>
    <t>11134.61</t>
  </si>
  <si>
    <t>176.41</t>
  </si>
  <si>
    <t>37236.34</t>
  </si>
  <si>
    <t>2834.06</t>
  </si>
  <si>
    <t>47840.77</t>
  </si>
  <si>
    <t>21550.04</t>
  </si>
  <si>
    <t>6390.5</t>
  </si>
  <si>
    <t>259.14</t>
  </si>
  <si>
    <t>28487.06</t>
  </si>
  <si>
    <t>3284.72</t>
  </si>
  <si>
    <t>53568.45</t>
  </si>
  <si>
    <t>21050.18</t>
  </si>
  <si>
    <t>7042.58</t>
  </si>
  <si>
    <t>115.1</t>
  </si>
  <si>
    <t>53810.76</t>
  </si>
  <si>
    <t>2791.41</t>
  </si>
  <si>
    <t>23266.79</t>
  </si>
  <si>
    <t>20263.99</t>
  </si>
  <si>
    <t>10656.51</t>
  </si>
  <si>
    <t>552.08</t>
  </si>
  <si>
    <t>5814.43</t>
  </si>
  <si>
    <t>51.01</t>
  </si>
  <si>
    <t>6674.14</t>
  </si>
  <si>
    <t>1427.33</t>
  </si>
  <si>
    <t>152.78</t>
  </si>
  <si>
    <t>5785.82</t>
  </si>
  <si>
    <t>13511.67</t>
  </si>
  <si>
    <t>13181.27</t>
  </si>
  <si>
    <t>3461.96</t>
  </si>
  <si>
    <t>269.23</t>
  </si>
  <si>
    <t>3381.83</t>
  </si>
  <si>
    <t>6074.23</t>
  </si>
  <si>
    <t>7014.63</t>
  </si>
  <si>
    <t>3837.32</t>
  </si>
  <si>
    <t>269036.20</t>
  </si>
  <si>
    <t>32.62</t>
  </si>
  <si>
    <t>13.23</t>
  </si>
  <si>
    <t>102017.87</t>
  </si>
  <si>
    <t>61.16</t>
  </si>
  <si>
    <t>809.88</t>
  </si>
  <si>
    <t>16104.97</t>
  </si>
  <si>
    <t>1637.05</t>
  </si>
  <si>
    <t>67.39</t>
  </si>
  <si>
    <t>101688.01</t>
  </si>
  <si>
    <t>2885.52</t>
  </si>
  <si>
    <t>18375.39</t>
  </si>
  <si>
    <t>1821.52</t>
  </si>
  <si>
    <t>180999.06</t>
  </si>
  <si>
    <t>813.37</t>
  </si>
  <si>
    <t>6911.25</t>
  </si>
  <si>
    <t>17828.7</t>
  </si>
  <si>
    <t>16316.98</t>
  </si>
  <si>
    <t>107777.51</t>
  </si>
  <si>
    <t>98.28</t>
  </si>
  <si>
    <t>518.88</t>
  </si>
  <si>
    <t>496.8</t>
  </si>
  <si>
    <t>1646.55</t>
  </si>
  <si>
    <t>16764.1</t>
  </si>
  <si>
    <t>4240.27</t>
  </si>
  <si>
    <t>26796.31</t>
  </si>
  <si>
    <t>1331.6</t>
  </si>
  <si>
    <t>4226.8</t>
  </si>
  <si>
    <t>19793.53</t>
  </si>
  <si>
    <t>7035.32</t>
  </si>
  <si>
    <t>20.51</t>
  </si>
  <si>
    <t>56088.35</t>
  </si>
  <si>
    <t>426.91</t>
  </si>
  <si>
    <t>2917.96</t>
  </si>
  <si>
    <t>16555.84</t>
  </si>
  <si>
    <t>8924.88</t>
  </si>
  <si>
    <t>2490.42</t>
  </si>
  <si>
    <t>2511.52</t>
  </si>
  <si>
    <t>307.09</t>
  </si>
  <si>
    <t>11777.17</t>
  </si>
  <si>
    <t>105.79</t>
  </si>
  <si>
    <t>8478.86</t>
  </si>
  <si>
    <t>20645.17</t>
  </si>
  <si>
    <t>4920.11</t>
  </si>
  <si>
    <t>948.13</t>
  </si>
  <si>
    <t>19064.02</t>
  </si>
  <si>
    <t>702.31</t>
  </si>
  <si>
    <t>35978.59</t>
  </si>
  <si>
    <t>21031.68</t>
  </si>
  <si>
    <t>11379.77</t>
  </si>
  <si>
    <t>100.6</t>
  </si>
  <si>
    <t>13387.8</t>
  </si>
  <si>
    <t>28.63</t>
  </si>
  <si>
    <t>26211.3</t>
  </si>
  <si>
    <t>43453.93</t>
  </si>
  <si>
    <t>36416.39</t>
  </si>
  <si>
    <t>4.26</t>
  </si>
  <si>
    <t>13.28</t>
  </si>
  <si>
    <t>22458.9</t>
  </si>
  <si>
    <t>1649.38</t>
  </si>
  <si>
    <t>7654.39</t>
  </si>
  <si>
    <t>763.05</t>
  </si>
  <si>
    <t>17600.44</t>
  </si>
  <si>
    <t>743.12</t>
  </si>
  <si>
    <t>10319.55</t>
  </si>
  <si>
    <t>11948.01</t>
  </si>
  <si>
    <t>1686.8</t>
  </si>
  <si>
    <t>9064.74</t>
  </si>
  <si>
    <t>241.71</t>
  </si>
  <si>
    <t>13554.44</t>
  </si>
  <si>
    <t>11030.94</t>
  </si>
  <si>
    <t>45.41</t>
  </si>
  <si>
    <t>6892.27</t>
  </si>
  <si>
    <t>238752.65</t>
  </si>
  <si>
    <t>169.61</t>
  </si>
  <si>
    <t>39.05</t>
  </si>
  <si>
    <t>77.36</t>
  </si>
  <si>
    <t>29241.75</t>
  </si>
  <si>
    <t>167.32</t>
  </si>
  <si>
    <t>4165.18</t>
  </si>
  <si>
    <t>16239.67</t>
  </si>
  <si>
    <t>5157.01</t>
  </si>
  <si>
    <t>16.39</t>
  </si>
  <si>
    <t>16924.53</t>
  </si>
  <si>
    <t>713.84</t>
  </si>
  <si>
    <t>14319.79</t>
  </si>
  <si>
    <t>19674.96</t>
  </si>
  <si>
    <t>11311.35</t>
  </si>
  <si>
    <t>50460.38</t>
  </si>
  <si>
    <t>6030.13</t>
  </si>
  <si>
    <t>14382.6</t>
  </si>
  <si>
    <t>11646.94</t>
  </si>
  <si>
    <t>32.49</t>
  </si>
  <si>
    <t>102.25</t>
  </si>
  <si>
    <t>191.63</t>
  </si>
  <si>
    <t>235.91</t>
  </si>
  <si>
    <t>11.9</t>
  </si>
  <si>
    <t>75.02</t>
  </si>
  <si>
    <t>184.23</t>
  </si>
  <si>
    <t>111.06</t>
  </si>
  <si>
    <t>18.89</t>
  </si>
  <si>
    <t>54.98</t>
  </si>
  <si>
    <t>19.24</t>
  </si>
  <si>
    <t>114788.05</t>
  </si>
  <si>
    <t>108.44</t>
  </si>
  <si>
    <t>34402.88</t>
  </si>
  <si>
    <t>86.66</t>
  </si>
  <si>
    <t>4680.89</t>
  </si>
  <si>
    <t>18139.61</t>
  </si>
  <si>
    <t>4159.09</t>
  </si>
  <si>
    <t>390.48</t>
  </si>
  <si>
    <t>40874.86</t>
  </si>
  <si>
    <t>762.93</t>
  </si>
  <si>
    <t>56349.39</t>
  </si>
  <si>
    <t>91297.53</t>
  </si>
  <si>
    <t>24.1</t>
  </si>
  <si>
    <t>6542.57</t>
  </si>
  <si>
    <t>1296.11</t>
  </si>
  <si>
    <t>40663.5</t>
  </si>
  <si>
    <t>213.18</t>
  </si>
  <si>
    <t>71.81</t>
  </si>
  <si>
    <t>30882.24</t>
  </si>
  <si>
    <t>74215.77</t>
  </si>
  <si>
    <t>38.91</t>
  </si>
  <si>
    <t>41151.35</t>
  </si>
  <si>
    <t>497556.36</t>
  </si>
  <si>
    <t>68.81</t>
  </si>
  <si>
    <t>9.46</t>
  </si>
  <si>
    <t>237924.13</t>
  </si>
  <si>
    <t>930.16</t>
  </si>
  <si>
    <t>81.16</t>
  </si>
  <si>
    <t>11977.98</t>
  </si>
  <si>
    <t>117616.94</t>
  </si>
  <si>
    <t>26.46</t>
  </si>
  <si>
    <t>9568.97</t>
  </si>
  <si>
    <t>12.9</t>
  </si>
  <si>
    <t>161478.32</t>
  </si>
  <si>
    <t>5729.37</t>
  </si>
  <si>
    <t>90.82</t>
  </si>
  <si>
    <t>71136.80</t>
  </si>
  <si>
    <t>133995.43</t>
  </si>
  <si>
    <t>44.15</t>
  </si>
  <si>
    <t>50141.25</t>
  </si>
  <si>
    <t>131146.40</t>
  </si>
  <si>
    <t>664.92</t>
  </si>
  <si>
    <t>14368.73</t>
  </si>
  <si>
    <t>112361.14</t>
  </si>
  <si>
    <t>41.51</t>
  </si>
  <si>
    <t>25294.00</t>
  </si>
  <si>
    <t>4836.24</t>
  </si>
  <si>
    <t>46.44</t>
  </si>
  <si>
    <t>6736.06</t>
  </si>
  <si>
    <t>116.92</t>
  </si>
  <si>
    <t>7857.07</t>
  </si>
  <si>
    <t>54955.03</t>
  </si>
  <si>
    <t>3832.2</t>
  </si>
  <si>
    <t>6874.42</t>
  </si>
  <si>
    <t>307.72</t>
  </si>
  <si>
    <t>45.79</t>
  </si>
  <si>
    <t>23297.16</t>
  </si>
  <si>
    <t>63882.8</t>
  </si>
  <si>
    <t>15.11</t>
  </si>
  <si>
    <t>9150.48</t>
  </si>
  <si>
    <t>4189.53</t>
  </si>
  <si>
    <t>58.4</t>
  </si>
  <si>
    <t>19158.84</t>
  </si>
  <si>
    <t>28455.78</t>
  </si>
  <si>
    <t>13.01</t>
  </si>
  <si>
    <t>6844.23</t>
  </si>
  <si>
    <t>25653.32</t>
  </si>
  <si>
    <t>23.6</t>
  </si>
  <si>
    <t>11.49</t>
  </si>
  <si>
    <t>15659.89</t>
  </si>
  <si>
    <t>179.13</t>
  </si>
  <si>
    <t>1889.61</t>
  </si>
  <si>
    <t>29635.75</t>
  </si>
  <si>
    <t>1110.37</t>
  </si>
  <si>
    <t>102.03</t>
  </si>
  <si>
    <t>17434.02</t>
  </si>
  <si>
    <t>845.42</t>
  </si>
  <si>
    <t>37.88</t>
  </si>
  <si>
    <t>9556.5</t>
  </si>
  <si>
    <t>60734.14</t>
  </si>
  <si>
    <t>3753.16</t>
  </si>
  <si>
    <t>403.95</t>
  </si>
  <si>
    <t>18972.55</t>
  </si>
  <si>
    <t>211.39</t>
  </si>
  <si>
    <t>11475.05</t>
  </si>
  <si>
    <t>50957.79</t>
  </si>
  <si>
    <t>24501.07</t>
  </si>
  <si>
    <t>255341.03</t>
  </si>
  <si>
    <t>18.13</t>
  </si>
  <si>
    <t>5052.95</t>
  </si>
  <si>
    <t>3.67</t>
  </si>
  <si>
    <t>6.31</t>
  </si>
  <si>
    <t>285025.00</t>
  </si>
  <si>
    <t>1818.42</t>
  </si>
  <si>
    <t>3657.84</t>
  </si>
  <si>
    <t>109271.55</t>
  </si>
  <si>
    <t>21.77</t>
  </si>
  <si>
    <t>9303.07</t>
  </si>
  <si>
    <t>8.81</t>
  </si>
  <si>
    <t>84836.79</t>
  </si>
  <si>
    <t>6109.61</t>
  </si>
  <si>
    <t>121.5</t>
  </si>
  <si>
    <t>24153.14</t>
  </si>
  <si>
    <t>134431.13</t>
  </si>
  <si>
    <t>19097.85</t>
  </si>
  <si>
    <t>180698.80</t>
  </si>
  <si>
    <t>2010.3</t>
  </si>
  <si>
    <t>6140.62</t>
  </si>
  <si>
    <t>114023.66</t>
  </si>
  <si>
    <t>28.88</t>
  </si>
  <si>
    <t>22147.57</t>
  </si>
  <si>
    <t>592.59</t>
  </si>
  <si>
    <t>43.49</t>
  </si>
  <si>
    <t>1769.52</t>
  </si>
  <si>
    <t>17.11</t>
  </si>
  <si>
    <t>2226.21</t>
  </si>
  <si>
    <t>17445.23</t>
  </si>
  <si>
    <t>580.99</t>
  </si>
  <si>
    <t>148.28</t>
  </si>
  <si>
    <t>2242.85</t>
  </si>
  <si>
    <t>84.94</t>
  </si>
  <si>
    <t>26.84</t>
  </si>
  <si>
    <t>6842.79</t>
  </si>
  <si>
    <t>30299.74</t>
  </si>
  <si>
    <t>18.38</t>
  </si>
  <si>
    <t>4320.79</t>
  </si>
  <si>
    <t>97.3</t>
  </si>
  <si>
    <t>2513.42</t>
  </si>
  <si>
    <t>23.4</t>
  </si>
  <si>
    <t>3535.35</t>
  </si>
  <si>
    <t>4872.01</t>
  </si>
  <si>
    <t>2602.81</t>
  </si>
  <si>
    <t>30.57</t>
  </si>
  <si>
    <t>224429.29</t>
  </si>
  <si>
    <t>4009.5</t>
  </si>
  <si>
    <t>18229.36</t>
  </si>
  <si>
    <t>101789.26</t>
  </si>
  <si>
    <t>34033.60</t>
  </si>
  <si>
    <t>57.46</t>
  </si>
  <si>
    <t>263977.28</t>
  </si>
  <si>
    <t>6486.59</t>
  </si>
  <si>
    <t>278685.82</t>
  </si>
  <si>
    <t>98988.15</t>
  </si>
  <si>
    <t>58310.81</t>
  </si>
  <si>
    <t>81.19</t>
  </si>
  <si>
    <t>135763.15</t>
  </si>
  <si>
    <t>6973.75</t>
  </si>
  <si>
    <t>54.1</t>
  </si>
  <si>
    <t>68821.53</t>
  </si>
  <si>
    <t>117407.14</t>
  </si>
  <si>
    <t>31.33</t>
  </si>
  <si>
    <t>13205.37</t>
  </si>
  <si>
    <t>55.41</t>
  </si>
  <si>
    <t>189335.21</t>
  </si>
  <si>
    <t>5922.54</t>
  </si>
  <si>
    <t>118366.3</t>
  </si>
  <si>
    <t>101916.42</t>
  </si>
  <si>
    <t>69796.96</t>
  </si>
  <si>
    <t>2400.13</t>
  </si>
  <si>
    <t>15062.24</t>
  </si>
  <si>
    <t>219.6</t>
  </si>
  <si>
    <t>5280.06</t>
  </si>
  <si>
    <t>53662.88</t>
  </si>
  <si>
    <t>8.05</t>
  </si>
  <si>
    <t>1823.03</t>
  </si>
  <si>
    <t>37.82</t>
  </si>
  <si>
    <t>19637.79</t>
  </si>
  <si>
    <t>711.52</t>
  </si>
  <si>
    <t>13167.87</t>
  </si>
  <si>
    <t>49783.77</t>
  </si>
  <si>
    <t>6948.67</t>
  </si>
  <si>
    <t>31.45</t>
  </si>
  <si>
    <t>10966.86</t>
  </si>
  <si>
    <t>28.66</t>
  </si>
  <si>
    <t>17571.58</t>
  </si>
  <si>
    <t>23775.63</t>
  </si>
  <si>
    <t>489.14</t>
  </si>
  <si>
    <t>2443.43</t>
  </si>
  <si>
    <t>63.63</t>
  </si>
  <si>
    <t>67.25</t>
  </si>
  <si>
    <t>2577.34</t>
  </si>
  <si>
    <t>16806.68</t>
  </si>
  <si>
    <t>662.38</t>
  </si>
  <si>
    <t>1570.69</t>
  </si>
  <si>
    <t>121.9</t>
  </si>
  <si>
    <t>7548.72</t>
  </si>
  <si>
    <t>13926.81</t>
  </si>
  <si>
    <t>9.98</t>
  </si>
  <si>
    <t>944.58</t>
  </si>
  <si>
    <t>4372.14</t>
  </si>
  <si>
    <t>2103.48</t>
  </si>
  <si>
    <t>1832.55</t>
  </si>
  <si>
    <t>166542.21</t>
  </si>
  <si>
    <t>23.72</t>
  </si>
  <si>
    <t>61346.95</t>
  </si>
  <si>
    <t>623.65</t>
  </si>
  <si>
    <t>4274.52</t>
  </si>
  <si>
    <t>99446.04</t>
  </si>
  <si>
    <t>1926.02</t>
  </si>
  <si>
    <t>393.84</t>
  </si>
  <si>
    <t>75941.16</t>
  </si>
  <si>
    <t>3994.99</t>
  </si>
  <si>
    <t>111099.45</t>
  </si>
  <si>
    <t>116035.01</t>
  </si>
  <si>
    <t>5096.86</t>
  </si>
  <si>
    <t>1879.48</t>
  </si>
  <si>
    <t>106335.01</t>
  </si>
  <si>
    <t>229.01</t>
  </si>
  <si>
    <t>14891.74</t>
  </si>
  <si>
    <t>51405.66</t>
  </si>
  <si>
    <t>57.77</t>
  </si>
  <si>
    <t>52397.38</t>
  </si>
  <si>
    <t>197172.22</t>
  </si>
  <si>
    <t>8.46</t>
  </si>
  <si>
    <t>48.1</t>
  </si>
  <si>
    <t>88437.16</t>
  </si>
  <si>
    <t>3247.22</t>
  </si>
  <si>
    <t>16917.99</t>
  </si>
  <si>
    <t>129519.29</t>
  </si>
  <si>
    <t>13209.52</t>
  </si>
  <si>
    <t>475760.92</t>
  </si>
  <si>
    <t>292.45</t>
  </si>
  <si>
    <t>76.44</t>
  </si>
  <si>
    <t>4925.82</t>
  </si>
  <si>
    <t>58807.98</t>
  </si>
  <si>
    <t>50.86</t>
  </si>
  <si>
    <t>157778.3</t>
  </si>
  <si>
    <t>105046.54</t>
  </si>
  <si>
    <t>8547.08</t>
  </si>
  <si>
    <t>95.76</t>
  </si>
  <si>
    <t>906.57</t>
  </si>
  <si>
    <t>128883.02</t>
  </si>
  <si>
    <t>46.81</t>
  </si>
  <si>
    <t>10805.72</t>
  </si>
  <si>
    <t>4186.7</t>
  </si>
  <si>
    <t>62.2</t>
  </si>
  <si>
    <t>1215.77</t>
  </si>
  <si>
    <t>35971.3</t>
  </si>
  <si>
    <t>2016.7</t>
  </si>
  <si>
    <t>1088.19</t>
  </si>
  <si>
    <t>16301.02</t>
  </si>
  <si>
    <t>94.31</t>
  </si>
  <si>
    <t>67110.67</t>
  </si>
  <si>
    <t>87542.63</t>
  </si>
  <si>
    <t>4957.5</t>
  </si>
  <si>
    <t>3346.98</t>
  </si>
  <si>
    <t>18159.73</t>
  </si>
  <si>
    <t>312.12</t>
  </si>
  <si>
    <t>309763.4</t>
  </si>
  <si>
    <t>80326.49</t>
  </si>
  <si>
    <t>36.35</t>
  </si>
  <si>
    <t>10395.27</t>
  </si>
  <si>
    <t>2040.05</t>
  </si>
  <si>
    <t>9962.54</t>
  </si>
  <si>
    <t>2.79</t>
  </si>
  <si>
    <t>28284.49</t>
  </si>
  <si>
    <t>20897.34</t>
  </si>
  <si>
    <t>14822.53</t>
  </si>
  <si>
    <t>7.53</t>
  </si>
  <si>
    <t>22750.82</t>
  </si>
  <si>
    <t>1297.79</t>
  </si>
  <si>
    <t>31714.67</t>
  </si>
  <si>
    <t>776.89</t>
  </si>
  <si>
    <t>51.36</t>
  </si>
  <si>
    <t>29604.05</t>
  </si>
  <si>
    <t>658.06</t>
  </si>
  <si>
    <t>20.1</t>
  </si>
  <si>
    <t>8019.99</t>
  </si>
  <si>
    <t>49759.94</t>
  </si>
  <si>
    <t>1955.6</t>
  </si>
  <si>
    <t>1298.46</t>
  </si>
  <si>
    <t>48767.46</t>
  </si>
  <si>
    <t>137.41</t>
  </si>
  <si>
    <t>9397.91</t>
  </si>
  <si>
    <t>37.63</t>
  </si>
  <si>
    <t>35800.98</t>
  </si>
  <si>
    <t>168272.81</t>
  </si>
  <si>
    <t>111.66</t>
  </si>
  <si>
    <t>68511.89</t>
  </si>
  <si>
    <t>1101.86</t>
  </si>
  <si>
    <t>15029.68</t>
  </si>
  <si>
    <t>117197.84</t>
  </si>
  <si>
    <t>65805.05</t>
  </si>
  <si>
    <t>3757.32</t>
  </si>
  <si>
    <t>227173.92</t>
  </si>
  <si>
    <t>122156.86</t>
  </si>
  <si>
    <t>24240.53</t>
  </si>
  <si>
    <t>350933.06</t>
  </si>
  <si>
    <t>119.61</t>
  </si>
  <si>
    <t>4118.45</t>
  </si>
  <si>
    <t>47271.01</t>
  </si>
  <si>
    <t>182834.62</t>
  </si>
  <si>
    <t>1362.02</t>
  </si>
  <si>
    <t>8992.14</t>
  </si>
  <si>
    <t>76.95</t>
  </si>
  <si>
    <t>5821.44</t>
  </si>
  <si>
    <t>45173.92</t>
  </si>
  <si>
    <t>4.49</t>
  </si>
  <si>
    <t>1551.72</t>
  </si>
  <si>
    <t>398.89</t>
  </si>
  <si>
    <t>14723.24</t>
  </si>
  <si>
    <t>464.69</t>
  </si>
  <si>
    <t>28995.94</t>
  </si>
  <si>
    <t>65898.95</t>
  </si>
  <si>
    <t>9359.87</t>
  </si>
  <si>
    <t>583.75</t>
  </si>
  <si>
    <t>7261.46</t>
  </si>
  <si>
    <t>6.92</t>
  </si>
  <si>
    <t>19758.34</t>
  </si>
  <si>
    <t>19714.27</t>
  </si>
  <si>
    <t>13699.39</t>
  </si>
  <si>
    <t>75631.6</t>
  </si>
  <si>
    <t>49135.33</t>
  </si>
  <si>
    <t>722.82</t>
  </si>
  <si>
    <t>7174.97</t>
  </si>
  <si>
    <t>68014.05</t>
  </si>
  <si>
    <t>1823.53</t>
  </si>
  <si>
    <t>39.69</t>
  </si>
  <si>
    <t>62714.18</t>
  </si>
  <si>
    <t>2958.1</t>
  </si>
  <si>
    <t>61649.99</t>
  </si>
  <si>
    <t>95009.88</t>
  </si>
  <si>
    <t>4885.01</t>
  </si>
  <si>
    <t>77443.27</t>
  </si>
  <si>
    <t>214.08</t>
  </si>
  <si>
    <t>8667.26</t>
  </si>
  <si>
    <t>32151.16</t>
  </si>
  <si>
    <t>49.5</t>
  </si>
  <si>
    <t>11963.99</t>
  </si>
  <si>
    <t>998.59</t>
  </si>
  <si>
    <t>1389.25</t>
  </si>
  <si>
    <t>163.71</t>
  </si>
  <si>
    <t>40633.45</t>
  </si>
  <si>
    <t>605.55</t>
  </si>
  <si>
    <t>65916.35</t>
  </si>
  <si>
    <t>103920.37</t>
  </si>
  <si>
    <t>13049.55</t>
  </si>
  <si>
    <t>42762.07</t>
  </si>
  <si>
    <t>1060.85</t>
  </si>
  <si>
    <t>46581.88</t>
  </si>
  <si>
    <t>115514.06</t>
  </si>
  <si>
    <t>46732.65</t>
  </si>
  <si>
    <t>10.13</t>
  </si>
  <si>
    <t>70632.23</t>
  </si>
  <si>
    <t>643.67</t>
  </si>
  <si>
    <t>56297.06</t>
  </si>
  <si>
    <t>95242.41</t>
  </si>
  <si>
    <t>63.41</t>
  </si>
  <si>
    <t>69846.38</t>
  </si>
  <si>
    <t>5095.67</t>
  </si>
  <si>
    <t>2.06</t>
  </si>
  <si>
    <t>76.73</t>
  </si>
  <si>
    <t>19808.57</t>
  </si>
  <si>
    <t>256.02</t>
  </si>
  <si>
    <t>15726.91</t>
  </si>
  <si>
    <t>51823.14</t>
  </si>
  <si>
    <t>1815.02</t>
  </si>
  <si>
    <t>341.08</t>
  </si>
  <si>
    <t>13536.61</t>
  </si>
  <si>
    <t>216.21</t>
  </si>
  <si>
    <t>45963.69</t>
  </si>
  <si>
    <t>52715.82</t>
  </si>
  <si>
    <t>6316.68</t>
  </si>
  <si>
    <t>820.87</t>
  </si>
  <si>
    <t>15077.85</t>
  </si>
  <si>
    <t>34.08</t>
  </si>
  <si>
    <t>21359.4</t>
  </si>
  <si>
    <t>14416.52</t>
  </si>
  <si>
    <t>25.27</t>
  </si>
  <si>
    <t>7380.66</t>
  </si>
  <si>
    <t>79144.11</t>
  </si>
  <si>
    <t>6.03</t>
  </si>
  <si>
    <t>1.88</t>
  </si>
  <si>
    <t>102136.37</t>
  </si>
  <si>
    <t>343.81</t>
  </si>
  <si>
    <t>2348.43</t>
  </si>
  <si>
    <t>53388.06</t>
  </si>
  <si>
    <t>1235.25</t>
  </si>
  <si>
    <t>72.33</t>
  </si>
  <si>
    <t>156899.90</t>
  </si>
  <si>
    <t>4121.29</t>
  </si>
  <si>
    <t>38272.91</t>
  </si>
  <si>
    <t>74509.09</t>
  </si>
  <si>
    <t>4171.69</t>
  </si>
  <si>
    <t>1519.7</t>
  </si>
  <si>
    <t>511407.01</t>
  </si>
  <si>
    <t>31673.52</t>
  </si>
  <si>
    <t>54164.9</t>
  </si>
  <si>
    <t>52.23</t>
  </si>
  <si>
    <t>39428.66</t>
  </si>
  <si>
    <t>83238.3</t>
  </si>
  <si>
    <t>11.21</t>
  </si>
  <si>
    <t>18.41</t>
  </si>
  <si>
    <t>266265.41</t>
  </si>
  <si>
    <t>259.82</t>
  </si>
  <si>
    <t>10117.05</t>
  </si>
  <si>
    <t>50592.05</t>
  </si>
  <si>
    <t>87464.23</t>
  </si>
  <si>
    <t>29429.45</t>
  </si>
  <si>
    <t>1304.97</t>
  </si>
  <si>
    <t>47889.79</t>
  </si>
  <si>
    <t>83446.09</t>
  </si>
  <si>
    <t>11837.07</t>
  </si>
  <si>
    <t>5.72</t>
  </si>
  <si>
    <t>43206.33</t>
  </si>
  <si>
    <t>320.53</t>
  </si>
  <si>
    <t>16768.53</t>
  </si>
  <si>
    <t>55374.06</t>
  </si>
  <si>
    <t>16.19</t>
  </si>
  <si>
    <t>6444.57</t>
  </si>
  <si>
    <t>1851.04</t>
  </si>
  <si>
    <t>19338.08</t>
  </si>
  <si>
    <t>165.88</t>
  </si>
  <si>
    <t>6081.94</t>
  </si>
  <si>
    <t>56042.52</t>
  </si>
  <si>
    <t>1824.03</t>
  </si>
  <si>
    <t>1919.2</t>
  </si>
  <si>
    <t>19526.71</t>
  </si>
  <si>
    <t>470.99</t>
  </si>
  <si>
    <t>56797.65</t>
  </si>
  <si>
    <t>70213.12</t>
  </si>
  <si>
    <t>30.1</t>
  </si>
  <si>
    <t>12069.37</t>
  </si>
  <si>
    <t>2094.56</t>
  </si>
  <si>
    <t>11610.24</t>
  </si>
  <si>
    <t>22.36</t>
  </si>
  <si>
    <t>38655.3</t>
  </si>
  <si>
    <t>19439.81</t>
  </si>
  <si>
    <t>42.82</t>
  </si>
  <si>
    <t>15871.34</t>
  </si>
  <si>
    <t>13885.95</t>
  </si>
  <si>
    <t>35085.26</t>
  </si>
  <si>
    <t>506.05</t>
  </si>
  <si>
    <t>5695.42</t>
  </si>
  <si>
    <t>47613.81</t>
  </si>
  <si>
    <t>6.22</t>
  </si>
  <si>
    <t>1424.05</t>
  </si>
  <si>
    <t>64.79</t>
  </si>
  <si>
    <t>38879.71</t>
  </si>
  <si>
    <t>2153.11</t>
  </si>
  <si>
    <t>24318.01</t>
  </si>
  <si>
    <t>62343.48</t>
  </si>
  <si>
    <t>3550.35</t>
  </si>
  <si>
    <t>2443.51</t>
  </si>
  <si>
    <t>189.08</t>
  </si>
  <si>
    <t>189.62</t>
  </si>
  <si>
    <t>33938.24</t>
  </si>
  <si>
    <t>41066.84</t>
  </si>
  <si>
    <t>88.49</t>
  </si>
  <si>
    <t>47480.34</t>
  </si>
  <si>
    <t>17292.09</t>
  </si>
  <si>
    <t>5.81</t>
  </si>
  <si>
    <t>32416.87</t>
  </si>
  <si>
    <t>1329.53</t>
  </si>
  <si>
    <t>33421.44</t>
  </si>
  <si>
    <t>81148.29</t>
  </si>
  <si>
    <t>27.66</t>
  </si>
  <si>
    <t>10727.7</t>
  </si>
  <si>
    <t>19611.27</t>
  </si>
  <si>
    <t>1695.62</t>
  </si>
  <si>
    <t>45183.35</t>
  </si>
  <si>
    <t>67340.85</t>
  </si>
  <si>
    <t>13495.39</t>
  </si>
  <si>
    <t>140261.76</t>
  </si>
  <si>
    <t>82.93</t>
  </si>
  <si>
    <t>9792.75</t>
  </si>
  <si>
    <t>45131.28</t>
  </si>
  <si>
    <t>14351.69</t>
  </si>
  <si>
    <t>3087.22</t>
  </si>
  <si>
    <t>116.55</t>
  </si>
  <si>
    <t>14545.57</t>
  </si>
  <si>
    <t>220.56</t>
  </si>
  <si>
    <t>14637.05</t>
  </si>
  <si>
    <t>62418.13</t>
  </si>
  <si>
    <t>20.63</t>
  </si>
  <si>
    <t>5485.02</t>
  </si>
  <si>
    <t>16702.54</t>
  </si>
  <si>
    <t>336.75</t>
  </si>
  <si>
    <t>61374.93</t>
  </si>
  <si>
    <t>56471.36</t>
  </si>
  <si>
    <t>10000.27</t>
  </si>
  <si>
    <t>515.85</t>
  </si>
  <si>
    <t>11279.88</t>
  </si>
  <si>
    <t>24232.07</t>
  </si>
  <si>
    <t>10904.41</t>
  </si>
  <si>
    <t>11582.49</t>
  </si>
  <si>
    <t>46673.47</t>
  </si>
  <si>
    <t>120611.11</t>
  </si>
  <si>
    <t>296.98</t>
  </si>
  <si>
    <t>7912.09</t>
  </si>
  <si>
    <t>56278.46</t>
  </si>
  <si>
    <t>2721.31</t>
  </si>
  <si>
    <t>883.03</t>
  </si>
  <si>
    <t>91847.53</t>
  </si>
  <si>
    <t>248.28</t>
  </si>
  <si>
    <t>24205.72</t>
  </si>
  <si>
    <t>50762.35</t>
  </si>
  <si>
    <t>48.15</t>
  </si>
  <si>
    <t>21756.33</t>
  </si>
  <si>
    <t>183.21</t>
  </si>
  <si>
    <t>131477.65</t>
  </si>
  <si>
    <t>1432.62</t>
  </si>
  <si>
    <t>40059.4</t>
  </si>
  <si>
    <t>72793.12</t>
  </si>
  <si>
    <t>4330.9</t>
  </si>
  <si>
    <t>173252.07</t>
  </si>
  <si>
    <t>388.45</t>
  </si>
  <si>
    <t>1027.01</t>
  </si>
  <si>
    <t>76572.79</t>
  </si>
  <si>
    <t>2064.37</t>
  </si>
  <si>
    <t>106426.57</t>
  </si>
  <si>
    <t>101604.68</t>
  </si>
  <si>
    <t>16975.65</t>
  </si>
  <si>
    <t>25038.63</t>
  </si>
  <si>
    <t>2206.99</t>
  </si>
  <si>
    <t>127511.69</t>
  </si>
  <si>
    <t>86291.8</t>
  </si>
  <si>
    <t>21741.28</t>
  </si>
  <si>
    <t>126615.36</t>
  </si>
  <si>
    <t>722.89</t>
  </si>
  <si>
    <t>36727.84</t>
  </si>
  <si>
    <t>95667.1</t>
  </si>
  <si>
    <t>45.47</t>
  </si>
  <si>
    <t>57188.99</t>
  </si>
  <si>
    <t>7917.1</t>
  </si>
  <si>
    <t>34.36</t>
  </si>
  <si>
    <t>987.47</t>
  </si>
  <si>
    <t>39711.08</t>
  </si>
  <si>
    <t>527.03</t>
  </si>
  <si>
    <t>552.27</t>
  </si>
  <si>
    <t>21689.26</t>
  </si>
  <si>
    <t>271.96</t>
  </si>
  <si>
    <t>33606.89</t>
  </si>
  <si>
    <t>71235.69</t>
  </si>
  <si>
    <t>6190.61</t>
  </si>
  <si>
    <t>772.08</t>
  </si>
  <si>
    <t>16102.28</t>
  </si>
  <si>
    <t>479.15</t>
  </si>
  <si>
    <t>81594.87</t>
  </si>
  <si>
    <t>65819.22</t>
  </si>
  <si>
    <t>15567.85</t>
  </si>
  <si>
    <t>870.5</t>
  </si>
  <si>
    <t>10228.15</t>
  </si>
  <si>
    <t>6.63</t>
  </si>
  <si>
    <t>33055.42</t>
  </si>
  <si>
    <t>19736.24</t>
  </si>
  <si>
    <t>11463.4</t>
  </si>
  <si>
    <t>2780.25</t>
  </si>
  <si>
    <t>35.97</t>
  </si>
  <si>
    <t>52787.29</t>
  </si>
  <si>
    <t>64.12</t>
  </si>
  <si>
    <t>1595.64</t>
  </si>
  <si>
    <t>27358.22</t>
  </si>
  <si>
    <t>2.14</t>
  </si>
  <si>
    <t>187.36</t>
  </si>
  <si>
    <t>65225.95</t>
  </si>
  <si>
    <t>684.94</t>
  </si>
  <si>
    <t>6666.94</t>
  </si>
  <si>
    <t>43112.31</t>
  </si>
  <si>
    <t>396.74</t>
  </si>
  <si>
    <t>1795.65</t>
  </si>
  <si>
    <t>49362.47</t>
  </si>
  <si>
    <t>145.5</t>
  </si>
  <si>
    <t>8964.59</t>
  </si>
  <si>
    <t>21669.78</t>
  </si>
  <si>
    <t>7963.05</t>
  </si>
  <si>
    <t>236906.24</t>
  </si>
  <si>
    <t>101974.98</t>
  </si>
  <si>
    <t>5105.44</t>
  </si>
  <si>
    <t>49.9</t>
  </si>
  <si>
    <t>20065.54</t>
  </si>
  <si>
    <t>93671.53</t>
  </si>
  <si>
    <t>5815.57</t>
  </si>
  <si>
    <t>100467.82</t>
  </si>
  <si>
    <t>7092.26</t>
  </si>
  <si>
    <t>46353.26</t>
  </si>
  <si>
    <t>116905.67</t>
  </si>
  <si>
    <t>10391.09</t>
  </si>
  <si>
    <t>102513.59</t>
  </si>
  <si>
    <t>2095.33</t>
  </si>
  <si>
    <t>25968.65</t>
  </si>
  <si>
    <t>108828.65</t>
  </si>
  <si>
    <t>16832.07</t>
  </si>
  <si>
    <t>5015.09</t>
  </si>
  <si>
    <t>75.16</t>
  </si>
  <si>
    <t>1302.37</t>
  </si>
  <si>
    <t>25213.95</t>
  </si>
  <si>
    <t>12921.11</t>
  </si>
  <si>
    <t>239.61</t>
  </si>
  <si>
    <t>11876.36</t>
  </si>
  <si>
    <t>49888.76</t>
  </si>
  <si>
    <t>1147.63</t>
  </si>
  <si>
    <t>1291.42</t>
  </si>
  <si>
    <t>12762.7</t>
  </si>
  <si>
    <t>522.16</t>
  </si>
  <si>
    <t>22461.7</t>
  </si>
  <si>
    <t>48864.17</t>
  </si>
  <si>
    <t>5185.02</t>
  </si>
  <si>
    <t>623.28</t>
  </si>
  <si>
    <t>8.73</t>
  </si>
  <si>
    <t>19262.48</t>
  </si>
  <si>
    <t>14528.21</t>
  </si>
  <si>
    <t>7491.02</t>
  </si>
  <si>
    <t>33632.6</t>
  </si>
  <si>
    <t>4380.06</t>
  </si>
  <si>
    <t>90300.87</t>
  </si>
  <si>
    <t>94557.51</t>
  </si>
  <si>
    <t>28589.37</t>
  </si>
  <si>
    <t>192734.7</t>
  </si>
  <si>
    <t>5378.35</t>
  </si>
  <si>
    <t>9788.69</t>
  </si>
  <si>
    <t>101443.53</t>
  </si>
  <si>
    <t>23597.23</t>
  </si>
  <si>
    <t>69070.17</t>
  </si>
  <si>
    <t>181.79</t>
  </si>
  <si>
    <t>2778.56</t>
  </si>
  <si>
    <t>44660.96</t>
  </si>
  <si>
    <t>1182.56</t>
  </si>
  <si>
    <t>211.3</t>
  </si>
  <si>
    <t>184209.99</t>
  </si>
  <si>
    <t>2382.69</t>
  </si>
  <si>
    <t>32948.99</t>
  </si>
  <si>
    <t>83054.47</t>
  </si>
  <si>
    <t>2908.92</t>
  </si>
  <si>
    <t>2263.86</t>
  </si>
  <si>
    <t>78215.93</t>
  </si>
  <si>
    <t>102.05</t>
  </si>
  <si>
    <t>5166.07</t>
  </si>
  <si>
    <t>28835.8</t>
  </si>
  <si>
    <t>20498.63</t>
  </si>
  <si>
    <t>278954.06</t>
  </si>
  <si>
    <t>33.37</t>
  </si>
  <si>
    <t>143.43</t>
  </si>
  <si>
    <t>40.21</t>
  </si>
  <si>
    <t>210972.60</t>
  </si>
  <si>
    <t>1582.59</t>
  </si>
  <si>
    <t>33432.3</t>
  </si>
  <si>
    <t>121437.55</t>
  </si>
  <si>
    <t>16012.63</t>
  </si>
  <si>
    <t>222764.86</t>
  </si>
  <si>
    <t>5468.33</t>
  </si>
  <si>
    <t>114333.14</t>
  </si>
  <si>
    <t>52256.41</t>
  </si>
  <si>
    <t>195600.70</t>
  </si>
  <si>
    <t>303.77</t>
  </si>
  <si>
    <t>9927.66</t>
  </si>
  <si>
    <t>50538.67</t>
  </si>
  <si>
    <t>29702.21</t>
  </si>
  <si>
    <t>2109.48</t>
  </si>
  <si>
    <t>15043.23</t>
  </si>
  <si>
    <t>82418.67</t>
  </si>
  <si>
    <t>14.05</t>
  </si>
  <si>
    <t>3884.19</t>
  </si>
  <si>
    <t>3905.57</t>
  </si>
  <si>
    <t>21785.82</t>
  </si>
  <si>
    <t>370.16</t>
  </si>
  <si>
    <t>35640.95</t>
  </si>
  <si>
    <t>79464.83</t>
  </si>
  <si>
    <t>4571.12</t>
  </si>
  <si>
    <t>10947.04</t>
  </si>
  <si>
    <t>7.28</t>
  </si>
  <si>
    <t>32895.98</t>
  </si>
  <si>
    <t>32468.47</t>
  </si>
  <si>
    <t>11526.78</t>
  </si>
  <si>
    <t>30327.33</t>
  </si>
  <si>
    <t>5.69</t>
  </si>
  <si>
    <t>33677.29</t>
  </si>
  <si>
    <t>97.9</t>
  </si>
  <si>
    <t>29565.3</t>
  </si>
  <si>
    <t>148.7</t>
  </si>
  <si>
    <t>326389.77</t>
  </si>
  <si>
    <t>1670.59</t>
  </si>
  <si>
    <t>5078.05</t>
  </si>
  <si>
    <t>93557.66</t>
  </si>
  <si>
    <t>704.12</t>
  </si>
  <si>
    <t>32.34</t>
  </si>
  <si>
    <t>149959.80</t>
  </si>
  <si>
    <t>1060.41</t>
  </si>
  <si>
    <t>9813.06</t>
  </si>
  <si>
    <t>77142.6</t>
  </si>
  <si>
    <t>36557.42</t>
  </si>
  <si>
    <t>327391.37</t>
  </si>
  <si>
    <t>605.33</t>
  </si>
  <si>
    <t>1756.87</t>
  </si>
  <si>
    <t>76.93</t>
  </si>
  <si>
    <t>347830.39</t>
  </si>
  <si>
    <t>1192.18</t>
  </si>
  <si>
    <t>9728.06</t>
  </si>
  <si>
    <t>107762.94</t>
  </si>
  <si>
    <t>7491.98</t>
  </si>
  <si>
    <t>65908.21</t>
  </si>
  <si>
    <t>3092.73</t>
  </si>
  <si>
    <t>64095.81</t>
  </si>
  <si>
    <t>121379.08</t>
  </si>
  <si>
    <t>15706.06</t>
  </si>
  <si>
    <t>173724.87</t>
  </si>
  <si>
    <t>1481.03</t>
  </si>
  <si>
    <t>25329.52</t>
  </si>
  <si>
    <t>115173.05</t>
  </si>
  <si>
    <t>94471.09</t>
  </si>
  <si>
    <t>18967.46</t>
  </si>
  <si>
    <t>117.26</t>
  </si>
  <si>
    <t>561.44</t>
  </si>
  <si>
    <t>57736.03</t>
  </si>
  <si>
    <t>5351.08</t>
  </si>
  <si>
    <t>35566.67</t>
  </si>
  <si>
    <t>33683.74</t>
  </si>
  <si>
    <t>93526.63</t>
  </si>
  <si>
    <t>36333.38</t>
  </si>
  <si>
    <t>762.7</t>
  </si>
  <si>
    <t>207678.02</t>
  </si>
  <si>
    <t>90718.73</t>
  </si>
  <si>
    <t>8245.95</t>
  </si>
  <si>
    <t>23543.53</t>
  </si>
  <si>
    <t>265.11</t>
  </si>
  <si>
    <t>276067.29</t>
  </si>
  <si>
    <t>67525.5</t>
  </si>
  <si>
    <t>107966.99</t>
  </si>
  <si>
    <t>207.64</t>
  </si>
  <si>
    <t>1056.21</t>
  </si>
  <si>
    <t>31650.74</t>
  </si>
  <si>
    <t>4612.96</t>
  </si>
  <si>
    <t>69220.45</t>
  </si>
  <si>
    <t>2088.5</t>
  </si>
  <si>
    <t>31471.3</t>
  </si>
  <si>
    <t>995.97</t>
  </si>
  <si>
    <t>170139.64</t>
  </si>
  <si>
    <t>3102.97</t>
  </si>
  <si>
    <t>32404.3</t>
  </si>
  <si>
    <t>88546.64</t>
  </si>
  <si>
    <t>4810.23</t>
  </si>
  <si>
    <t>78307.71</t>
  </si>
  <si>
    <t>1682.38</t>
  </si>
  <si>
    <t>14848.34</t>
  </si>
  <si>
    <t>53881.84</t>
  </si>
  <si>
    <t>14506.48</t>
  </si>
  <si>
    <t>263635.68</t>
  </si>
  <si>
    <t>127.99</t>
  </si>
  <si>
    <t>220.62</t>
  </si>
  <si>
    <t>77.57</t>
  </si>
  <si>
    <t>328069.75</t>
  </si>
  <si>
    <t>932.56</t>
  </si>
  <si>
    <t>5069.32</t>
  </si>
  <si>
    <t>99255.85</t>
  </si>
  <si>
    <t>4610.18</t>
  </si>
  <si>
    <t>351696.78</t>
  </si>
  <si>
    <t>3230.21</t>
  </si>
  <si>
    <t>29363.79</t>
  </si>
  <si>
    <t>119699.99</t>
  </si>
  <si>
    <t>13937.15</t>
  </si>
  <si>
    <t>311980.30</t>
  </si>
  <si>
    <t>697.02</t>
  </si>
  <si>
    <t>13558.64</t>
  </si>
  <si>
    <t>76868.41</t>
  </si>
  <si>
    <t>66740.38</t>
  </si>
  <si>
    <t>2218.82</t>
  </si>
  <si>
    <t>44428.86</t>
  </si>
  <si>
    <t>85.18</t>
  </si>
  <si>
    <t>1981.17</t>
  </si>
  <si>
    <t>15530.95</t>
  </si>
  <si>
    <t>204.51</t>
  </si>
  <si>
    <t>77212.42</t>
  </si>
  <si>
    <t>309.98</t>
  </si>
  <si>
    <t>15429.04</t>
  </si>
  <si>
    <t>32121.67</t>
  </si>
  <si>
    <t>4312.03</t>
  </si>
  <si>
    <t>48706.6</t>
  </si>
  <si>
    <t>158.57</t>
  </si>
  <si>
    <t>18016.46</t>
  </si>
  <si>
    <t>9913.47</t>
  </si>
  <si>
    <t>10456.89</t>
  </si>
  <si>
    <t>231490.65</t>
  </si>
  <si>
    <t>113.16</t>
  </si>
  <si>
    <t>861.59</t>
  </si>
  <si>
    <t>68.26</t>
  </si>
  <si>
    <t>155160.33</t>
  </si>
  <si>
    <t>2247.71</t>
  </si>
  <si>
    <t>33378.04</t>
  </si>
  <si>
    <t>112902.85</t>
  </si>
  <si>
    <t>48168.23</t>
  </si>
  <si>
    <t>151322.52</t>
  </si>
  <si>
    <t>3695.94</t>
  </si>
  <si>
    <t>86644.92</t>
  </si>
  <si>
    <t>110640.55</t>
  </si>
  <si>
    <t>57595.79</t>
  </si>
  <si>
    <t>212462.95</t>
  </si>
  <si>
    <t>181.14</t>
  </si>
  <si>
    <t>11626.72</t>
  </si>
  <si>
    <t>40732.31</t>
  </si>
  <si>
    <t>3995.16</t>
  </si>
  <si>
    <t>25.55</t>
  </si>
  <si>
    <t>171.79</t>
  </si>
  <si>
    <t>2.45</t>
  </si>
  <si>
    <t>46298.8</t>
  </si>
  <si>
    <t>44934.13</t>
  </si>
  <si>
    <t>63793.24</t>
  </si>
  <si>
    <t>3357.36</t>
  </si>
  <si>
    <t>32607.74</t>
  </si>
  <si>
    <t>335.63</t>
  </si>
  <si>
    <t>23899.25</t>
  </si>
  <si>
    <t>69293.42</t>
  </si>
  <si>
    <t>17.28</t>
  </si>
  <si>
    <t>9929.25</t>
  </si>
  <si>
    <t>40920.38</t>
  </si>
  <si>
    <t>18321.66</t>
  </si>
  <si>
    <t>46753.2</t>
  </si>
  <si>
    <t>12592.45</t>
  </si>
  <si>
    <t>5991.93</t>
  </si>
  <si>
    <t>22648.65</t>
  </si>
  <si>
    <t>649.3</t>
  </si>
  <si>
    <t>4389.22</t>
  </si>
  <si>
    <t>39833.29</t>
  </si>
  <si>
    <t>1298.12</t>
  </si>
  <si>
    <t>125.24</t>
  </si>
  <si>
    <t>17378.92</t>
  </si>
  <si>
    <t>1476.08</t>
  </si>
  <si>
    <t>14900.1</t>
  </si>
  <si>
    <t>50548.37</t>
  </si>
  <si>
    <t>2648.1</t>
  </si>
  <si>
    <t>1390.92</t>
  </si>
  <si>
    <t>19500.37</t>
  </si>
  <si>
    <t>383.93</t>
  </si>
  <si>
    <t>6473.06</t>
  </si>
  <si>
    <t>32405.94</t>
  </si>
  <si>
    <t>113272.46</t>
  </si>
  <si>
    <t>10.39</t>
  </si>
  <si>
    <t>254.33</t>
  </si>
  <si>
    <t>16.56</t>
  </si>
  <si>
    <t>49262.80</t>
  </si>
  <si>
    <t>10871.56</t>
  </si>
  <si>
    <t>20671.86</t>
  </si>
  <si>
    <t>91187.4</t>
  </si>
  <si>
    <t>6646.01</t>
  </si>
  <si>
    <t>161718.71</t>
  </si>
  <si>
    <t>15988.64</t>
  </si>
  <si>
    <t>29861.19</t>
  </si>
  <si>
    <t>94149.65</t>
  </si>
  <si>
    <t>7702.49</t>
  </si>
  <si>
    <t>144892.32</t>
  </si>
  <si>
    <t>2377.89</t>
  </si>
  <si>
    <t>6531.02</t>
  </si>
  <si>
    <t>85191.99</t>
  </si>
  <si>
    <t>60358.31</t>
  </si>
  <si>
    <t>468.48</t>
  </si>
  <si>
    <t>23.78</t>
  </si>
  <si>
    <t>2011.45</t>
  </si>
  <si>
    <t>61.23</t>
  </si>
  <si>
    <t>4121.72</t>
  </si>
  <si>
    <t>19099.39</t>
  </si>
  <si>
    <t>1278.13</t>
  </si>
  <si>
    <t>255.27</t>
  </si>
  <si>
    <t>3083.59</t>
  </si>
  <si>
    <t>224.58</t>
  </si>
  <si>
    <t>6508.05</t>
  </si>
  <si>
    <t>20016.38</t>
  </si>
  <si>
    <t>4448.32</t>
  </si>
  <si>
    <t>2449.96</t>
  </si>
  <si>
    <t>4551.68</t>
  </si>
  <si>
    <t>4037.09</t>
  </si>
  <si>
    <t>2608.38</t>
  </si>
  <si>
    <t>10167.12</t>
  </si>
  <si>
    <t>1321.55</t>
  </si>
  <si>
    <t>5276.31</t>
  </si>
  <si>
    <t>432.95</t>
  </si>
  <si>
    <t>24843.02</t>
  </si>
  <si>
    <t>4.64</t>
  </si>
  <si>
    <t>6390.3</t>
  </si>
  <si>
    <t>11862.33</t>
  </si>
  <si>
    <t>1988.39</t>
  </si>
  <si>
    <t>16945.32</t>
  </si>
  <si>
    <t>6282.31</t>
  </si>
  <si>
    <t>18376.23</t>
  </si>
  <si>
    <t>5069.11</t>
  </si>
  <si>
    <t>3.52</t>
  </si>
  <si>
    <t>22572.42</t>
  </si>
  <si>
    <t>11865.89</t>
  </si>
  <si>
    <t>5082.25</t>
  </si>
  <si>
    <t>72973.94</t>
  </si>
  <si>
    <t>43.73</t>
  </si>
  <si>
    <t>1142.87</t>
  </si>
  <si>
    <t>269733.20</t>
  </si>
  <si>
    <t>1250.78</t>
  </si>
  <si>
    <t>85.95</t>
  </si>
  <si>
    <t>7068.66</t>
  </si>
  <si>
    <t>98654.86</t>
  </si>
  <si>
    <t>169506.76</t>
  </si>
  <si>
    <t>5348.59</t>
  </si>
  <si>
    <t>126.85</t>
  </si>
  <si>
    <t>59121.88</t>
  </si>
  <si>
    <t>114454.55</t>
  </si>
  <si>
    <t>22240.19</t>
  </si>
  <si>
    <t>10.8</t>
  </si>
  <si>
    <t>163558.38</t>
  </si>
  <si>
    <t>1158.84</t>
  </si>
  <si>
    <t>19687.46</t>
  </si>
  <si>
    <t>88498.49</t>
  </si>
  <si>
    <t>52668.95</t>
  </si>
  <si>
    <t>346.12</t>
  </si>
  <si>
    <t>10.02</t>
  </si>
  <si>
    <t>795.43</t>
  </si>
  <si>
    <t>2.52</t>
  </si>
  <si>
    <t>3030.6</t>
  </si>
  <si>
    <t>34.56</t>
  </si>
  <si>
    <t>3566.98</t>
  </si>
  <si>
    <t>19492.25</t>
  </si>
  <si>
    <t>664.66</t>
  </si>
  <si>
    <t>27.95</t>
  </si>
  <si>
    <t>2344.35</t>
  </si>
  <si>
    <t>63.89</t>
  </si>
  <si>
    <t>11684.83</t>
  </si>
  <si>
    <t>24291.23</t>
  </si>
  <si>
    <t>3519.97</t>
  </si>
  <si>
    <t>1231.83</t>
  </si>
  <si>
    <t>4534.63</t>
  </si>
  <si>
    <t>3923.76</t>
  </si>
  <si>
    <t>1135.32</t>
  </si>
  <si>
    <t>52578.72</t>
  </si>
  <si>
    <t>53.26</t>
  </si>
  <si>
    <t>2412.16</t>
  </si>
  <si>
    <t>14399.83</t>
  </si>
  <si>
    <t>848.69</t>
  </si>
  <si>
    <t>54386.05</t>
  </si>
  <si>
    <t>584.44</t>
  </si>
  <si>
    <t>6106.76</t>
  </si>
  <si>
    <t>5732.2</t>
  </si>
  <si>
    <t>38149.3</t>
  </si>
  <si>
    <t>959.59</t>
  </si>
  <si>
    <t>10807.88</t>
  </si>
  <si>
    <t>89195.04</t>
  </si>
  <si>
    <t>10708.74</t>
  </si>
  <si>
    <t>32322.07</t>
  </si>
  <si>
    <t>249.15</t>
  </si>
  <si>
    <t>4700.07</t>
  </si>
  <si>
    <t>39332.28</t>
  </si>
  <si>
    <t>5334.56</t>
  </si>
  <si>
    <t>7854.93</t>
  </si>
  <si>
    <t>669.52</t>
  </si>
  <si>
    <t>19149.21</t>
  </si>
  <si>
    <t>95.26</t>
  </si>
  <si>
    <t>14753.72</t>
  </si>
  <si>
    <t>134.44</t>
  </si>
  <si>
    <t>2467.59</t>
  </si>
  <si>
    <t>35002.32</t>
  </si>
  <si>
    <t>609.78</t>
  </si>
  <si>
    <t>15.08</t>
  </si>
  <si>
    <t>23139.4</t>
  </si>
  <si>
    <t>186.3</t>
  </si>
  <si>
    <t>38869.71</t>
  </si>
  <si>
    <t>41783.34</t>
  </si>
  <si>
    <t>7401.48</t>
  </si>
  <si>
    <t>11057.91</t>
  </si>
  <si>
    <t>33.27</t>
  </si>
  <si>
    <t>8346.65</t>
  </si>
  <si>
    <t>9307.46</t>
  </si>
  <si>
    <t>3496.47</t>
  </si>
  <si>
    <t>12308.47</t>
  </si>
  <si>
    <t>53.37</t>
  </si>
  <si>
    <t>34347.16</t>
  </si>
  <si>
    <t>285.96</t>
  </si>
  <si>
    <t>6707.74</t>
  </si>
  <si>
    <t>47636.47</t>
  </si>
  <si>
    <t>731.67</t>
  </si>
  <si>
    <t>528.52</t>
  </si>
  <si>
    <t>34095.02</t>
  </si>
  <si>
    <t>1636.32</t>
  </si>
  <si>
    <t>57131.26</t>
  </si>
  <si>
    <t>76315.74</t>
  </si>
  <si>
    <t>2843.82</t>
  </si>
  <si>
    <t>488.97</t>
  </si>
  <si>
    <t>30625.86</t>
  </si>
  <si>
    <t>202.36</t>
  </si>
  <si>
    <t>7983.04</t>
  </si>
  <si>
    <t>31927.75</t>
  </si>
  <si>
    <t>10808.44</t>
  </si>
  <si>
    <t>241705.8</t>
  </si>
  <si>
    <t>12.98</t>
  </si>
  <si>
    <t>36.62</t>
  </si>
  <si>
    <t>46168.85</t>
  </si>
  <si>
    <t>1582.69</t>
  </si>
  <si>
    <t>23999.68</t>
  </si>
  <si>
    <t>89663.34</t>
  </si>
  <si>
    <t>8457.88</t>
  </si>
  <si>
    <t>35872.77</t>
  </si>
  <si>
    <t>2554.98</t>
  </si>
  <si>
    <t>247401.77</t>
  </si>
  <si>
    <t>102602.03</t>
  </si>
  <si>
    <t>16323.46</t>
  </si>
  <si>
    <t>410400.17</t>
  </si>
  <si>
    <t>180.76</t>
  </si>
  <si>
    <t>2842.51</t>
  </si>
  <si>
    <t>30772.47</t>
  </si>
  <si>
    <t>15469.54</t>
  </si>
  <si>
    <t>3176.16</t>
  </si>
  <si>
    <t>11.12</t>
  </si>
  <si>
    <t>278.65</t>
  </si>
  <si>
    <t>1123.95</t>
  </si>
  <si>
    <t>10204.23</t>
  </si>
  <si>
    <t>42.54</t>
  </si>
  <si>
    <t>24301.45</t>
  </si>
  <si>
    <t>58461.48</t>
  </si>
  <si>
    <t>3297.34</t>
  </si>
  <si>
    <t>326.61</t>
  </si>
  <si>
    <t>18015.6</t>
  </si>
  <si>
    <t>934.47</t>
  </si>
  <si>
    <t>28394.42</t>
  </si>
  <si>
    <t>54075.6</t>
  </si>
  <si>
    <t>1644.83</t>
  </si>
  <si>
    <t>1850.52</t>
  </si>
  <si>
    <t>10040.79</t>
  </si>
  <si>
    <t>8.03</t>
  </si>
  <si>
    <t>21599.62</t>
  </si>
  <si>
    <t>16991.58</t>
  </si>
  <si>
    <t>7318.51</t>
  </si>
  <si>
    <t>23403.35</t>
  </si>
  <si>
    <t>44655.69</t>
  </si>
  <si>
    <t>1000.64</t>
  </si>
  <si>
    <t>5808.61</t>
  </si>
  <si>
    <t>50465.98</t>
  </si>
  <si>
    <t>579.89</t>
  </si>
  <si>
    <t>26.24</t>
  </si>
  <si>
    <t>54582.56</t>
  </si>
  <si>
    <t>3967.8</t>
  </si>
  <si>
    <t>76489.4</t>
  </si>
  <si>
    <t>91167.39</t>
  </si>
  <si>
    <t>2187.94</t>
  </si>
  <si>
    <t>742.02</t>
  </si>
  <si>
    <t>134236.32</t>
  </si>
  <si>
    <t>947.08</t>
  </si>
  <si>
    <t>20048.02</t>
  </si>
  <si>
    <t>63430.18</t>
  </si>
  <si>
    <t>19833.42</t>
  </si>
  <si>
    <t>140354.83</t>
  </si>
  <si>
    <t>477.66</t>
  </si>
  <si>
    <t>676.64</t>
  </si>
  <si>
    <t>130.61</t>
  </si>
  <si>
    <t>344988.93</t>
  </si>
  <si>
    <t>3977.25</t>
  </si>
  <si>
    <t>34819.07</t>
  </si>
  <si>
    <t>114373.59</t>
  </si>
  <si>
    <t>10936.54</t>
  </si>
  <si>
    <t>142191.44</t>
  </si>
  <si>
    <t>5988.43</t>
  </si>
  <si>
    <t>57039.10</t>
  </si>
  <si>
    <t>108287.78</t>
  </si>
  <si>
    <t>11152.79</t>
  </si>
  <si>
    <t>190523.56</t>
  </si>
  <si>
    <t>2658.29</t>
  </si>
  <si>
    <t>44538.46</t>
  </si>
  <si>
    <t>98212.76</t>
  </si>
  <si>
    <t>80542.73</t>
  </si>
  <si>
    <t>2337.95</t>
  </si>
  <si>
    <t>8.9</t>
  </si>
  <si>
    <t>18.84</t>
  </si>
  <si>
    <t>7686.53</t>
  </si>
  <si>
    <t>37.52</t>
  </si>
  <si>
    <t>14481.87</t>
  </si>
  <si>
    <t>926.36</t>
  </si>
  <si>
    <t>6132.3</t>
  </si>
  <si>
    <t>64956.43</t>
  </si>
  <si>
    <t>2441.07</t>
  </si>
  <si>
    <t>644.27</t>
  </si>
  <si>
    <t>19905.44</t>
  </si>
  <si>
    <t>1574.74</t>
  </si>
  <si>
    <t>49317.79</t>
  </si>
  <si>
    <t>77727.29</t>
  </si>
  <si>
    <t>10349.39</t>
  </si>
  <si>
    <t>970.05</t>
  </si>
  <si>
    <t>8654.53</t>
  </si>
  <si>
    <t>37625.15</t>
  </si>
  <si>
    <t>19827.99</t>
  </si>
  <si>
    <t>10377.16</t>
  </si>
  <si>
    <t>30241.46</t>
  </si>
  <si>
    <t>21.27</t>
  </si>
  <si>
    <t>43256.15</t>
  </si>
  <si>
    <t>1042.94</t>
  </si>
  <si>
    <t>6976.05</t>
  </si>
  <si>
    <t>41491.21</t>
  </si>
  <si>
    <t>1537.86</t>
  </si>
  <si>
    <t>115.32</t>
  </si>
  <si>
    <t>36170.5</t>
  </si>
  <si>
    <t>2982.31</t>
  </si>
  <si>
    <t>37664.7</t>
  </si>
  <si>
    <t>65100.36</t>
  </si>
  <si>
    <t>4226.91</t>
  </si>
  <si>
    <t>1030.81</t>
  </si>
  <si>
    <t>26818.38</t>
  </si>
  <si>
    <t>244.97</t>
  </si>
  <si>
    <t>22265.52</t>
  </si>
  <si>
    <t>23198.04</t>
  </si>
  <si>
    <t>24881.66</t>
  </si>
  <si>
    <t>140221.01</t>
  </si>
  <si>
    <t>120.53</t>
  </si>
  <si>
    <t>126.5</t>
  </si>
  <si>
    <t>216298.37</t>
  </si>
  <si>
    <t>2432.15</t>
  </si>
  <si>
    <t>31608.84</t>
  </si>
  <si>
    <t>113088.62</t>
  </si>
  <si>
    <t>10414.82</t>
  </si>
  <si>
    <t>61843.44</t>
  </si>
  <si>
    <t>3044.51</t>
  </si>
  <si>
    <t>92651.70</t>
  </si>
  <si>
    <t>107229.1</t>
  </si>
  <si>
    <t>23606.88</t>
  </si>
  <si>
    <t>98202.34</t>
  </si>
  <si>
    <t>1106.59</t>
  </si>
  <si>
    <t>56651.94</t>
  </si>
  <si>
    <t>72031.43</t>
  </si>
  <si>
    <t>40605.99</t>
  </si>
  <si>
    <t>1642.1</t>
  </si>
  <si>
    <t>6678.99</t>
  </si>
  <si>
    <t>7682.43</t>
  </si>
  <si>
    <t>36635.46</t>
  </si>
  <si>
    <t>1365.99</t>
  </si>
  <si>
    <t>169.56</t>
  </si>
  <si>
    <t>6948.26</t>
  </si>
  <si>
    <t>329.36</t>
  </si>
  <si>
    <t>14655.05</t>
  </si>
  <si>
    <t>29266.46</t>
  </si>
  <si>
    <t>4224.24</t>
  </si>
  <si>
    <t>56.43</t>
  </si>
  <si>
    <t>5035.56</t>
  </si>
  <si>
    <t>7183.09</t>
  </si>
  <si>
    <t>6423.14</t>
  </si>
  <si>
    <t>4306.65</t>
  </si>
  <si>
    <t>117942.55</t>
  </si>
  <si>
    <t>326.14</t>
  </si>
  <si>
    <t>4015.31</t>
  </si>
  <si>
    <t>45092.94</t>
  </si>
  <si>
    <t>2656.51</t>
  </si>
  <si>
    <t>904143.56</t>
  </si>
  <si>
    <t>5523.58</t>
  </si>
  <si>
    <t>22005.92</t>
  </si>
  <si>
    <t>119728.68</t>
  </si>
  <si>
    <t>53981.15</t>
  </si>
  <si>
    <t>101277.48</t>
  </si>
  <si>
    <t>1054.64</t>
  </si>
  <si>
    <t>20750.46</t>
  </si>
  <si>
    <t>102322.41</t>
  </si>
  <si>
    <t>23483.44</t>
  </si>
  <si>
    <t>2767.59</t>
  </si>
  <si>
    <t>93.98</t>
  </si>
  <si>
    <t>4100.85</t>
  </si>
  <si>
    <t>55.51</t>
  </si>
  <si>
    <t>6091.06</t>
  </si>
  <si>
    <t>98.72</t>
  </si>
  <si>
    <t>3893.76</t>
  </si>
  <si>
    <t>30075.82</t>
  </si>
  <si>
    <t>2560.54</t>
  </si>
  <si>
    <t>89.15</t>
  </si>
  <si>
    <t>6402.43</t>
  </si>
  <si>
    <t>105.5</t>
  </si>
  <si>
    <t>16004.78</t>
  </si>
  <si>
    <t>30671.14</t>
  </si>
  <si>
    <t>7052.57</t>
  </si>
  <si>
    <t>2683.15</t>
  </si>
  <si>
    <t>3.14</t>
  </si>
  <si>
    <t>6637.36</t>
  </si>
  <si>
    <t>3276.85</t>
  </si>
  <si>
    <t>3088.31</t>
  </si>
  <si>
    <t>43929.68</t>
  </si>
  <si>
    <t>55736.91</t>
  </si>
  <si>
    <t>3.19</t>
  </si>
  <si>
    <t>6.32</t>
  </si>
  <si>
    <t>175727.07</t>
  </si>
  <si>
    <t>1479.57</t>
  </si>
  <si>
    <t>15253.51</t>
  </si>
  <si>
    <t>113688.53</t>
  </si>
  <si>
    <t>34512.73</t>
  </si>
  <si>
    <t>77908.85</t>
  </si>
  <si>
    <t>1267.62</t>
  </si>
  <si>
    <t>10889.78</t>
  </si>
  <si>
    <t>55720.7</t>
  </si>
  <si>
    <t>96427.23</t>
  </si>
  <si>
    <t>187.61</t>
  </si>
  <si>
    <t>3594.13</t>
  </si>
  <si>
    <t>69442.12</t>
  </si>
  <si>
    <t>56.37</t>
  </si>
  <si>
    <t>48210.06</t>
  </si>
  <si>
    <t>1007.32</t>
  </si>
  <si>
    <t>3830.03</t>
  </si>
  <si>
    <t>4387.27</t>
  </si>
  <si>
    <t>31358.97</t>
  </si>
  <si>
    <t>2763.85</t>
  </si>
  <si>
    <t>5512.19</t>
  </si>
  <si>
    <t>150.23</t>
  </si>
  <si>
    <t>11466.56</t>
  </si>
  <si>
    <t>35489.83</t>
  </si>
  <si>
    <t>7178.04</t>
  </si>
  <si>
    <t>6751.33</t>
  </si>
  <si>
    <t>6638.73</t>
  </si>
  <si>
    <t>11031.84</t>
  </si>
  <si>
    <t>7241.94</t>
  </si>
  <si>
    <t>76891.37</t>
  </si>
  <si>
    <t>1569.79</t>
  </si>
  <si>
    <t>15399.31</t>
  </si>
  <si>
    <t>99133.03</t>
  </si>
  <si>
    <t>24571.24</t>
  </si>
  <si>
    <t>2472.65</t>
  </si>
  <si>
    <t>48884.85</t>
  </si>
  <si>
    <t>79970.26</t>
  </si>
  <si>
    <t>20554.78</t>
  </si>
  <si>
    <t>19054.18</t>
  </si>
  <si>
    <t>1619.44</t>
  </si>
  <si>
    <t>50700.59</t>
  </si>
  <si>
    <t>79860.41</t>
  </si>
  <si>
    <t>27500.11</t>
  </si>
  <si>
    <t>70874.48</t>
  </si>
  <si>
    <t>2419.18</t>
  </si>
  <si>
    <t>36345.07</t>
  </si>
  <si>
    <t>110769.66</t>
  </si>
  <si>
    <t>197962.00</t>
  </si>
  <si>
    <t>38.43</t>
  </si>
  <si>
    <t>50.46</t>
  </si>
  <si>
    <t>223624.11</t>
  </si>
  <si>
    <t>1237.83</t>
  </si>
  <si>
    <t>2976.72</t>
  </si>
  <si>
    <t>91067.44</t>
  </si>
  <si>
    <t>2742.27</t>
  </si>
  <si>
    <t>198137.87</t>
  </si>
  <si>
    <t>278.67</t>
  </si>
  <si>
    <t>5063.32</t>
  </si>
  <si>
    <t>65633.64</t>
  </si>
  <si>
    <t>32444.90</t>
  </si>
  <si>
    <t>483.04</t>
  </si>
  <si>
    <t>2595.43</t>
  </si>
  <si>
    <t>1454.55</t>
  </si>
  <si>
    <t>11161.54</t>
  </si>
  <si>
    <t>575.12</t>
  </si>
  <si>
    <t>1093.64</t>
  </si>
  <si>
    <t>2942.45</t>
  </si>
  <si>
    <t>2120.41</t>
  </si>
  <si>
    <t>1503.13</t>
  </si>
  <si>
    <t>3497.89</t>
  </si>
  <si>
    <t>81.77</t>
  </si>
  <si>
    <t>3507.66</t>
  </si>
  <si>
    <t>18012.14</t>
  </si>
  <si>
    <t>2922.82</t>
  </si>
  <si>
    <t>4349.87</t>
  </si>
  <si>
    <t>16856.57</t>
  </si>
  <si>
    <t>147.63</t>
  </si>
  <si>
    <t>2268.32</t>
  </si>
  <si>
    <t>19014.25</t>
  </si>
  <si>
    <t>364.61</t>
  </si>
  <si>
    <t>24.56</t>
  </si>
  <si>
    <t>35676.4</t>
  </si>
  <si>
    <t>1291.19</t>
  </si>
  <si>
    <t>19597.54</t>
  </si>
  <si>
    <t>59244.56</t>
  </si>
  <si>
    <t>2105.52</t>
  </si>
  <si>
    <t>20100.95</t>
  </si>
  <si>
    <t>11378.42</t>
  </si>
  <si>
    <t>26656.64</t>
  </si>
  <si>
    <t>12199.22</t>
  </si>
  <si>
    <t>231482.96</t>
  </si>
  <si>
    <t>329.56</t>
  </si>
  <si>
    <t>2772.54</t>
  </si>
  <si>
    <t>341.16</t>
  </si>
  <si>
    <t>51623.91</t>
  </si>
  <si>
    <t>7089.8</t>
  </si>
  <si>
    <t>54049.37</t>
  </si>
  <si>
    <t>12588.66</t>
  </si>
  <si>
    <t>23590.51</t>
  </si>
  <si>
    <t>739.55</t>
  </si>
  <si>
    <t>21463.85</t>
  </si>
  <si>
    <t>87324.67</t>
  </si>
  <si>
    <t>9754.6</t>
  </si>
  <si>
    <t>402.43</t>
  </si>
  <si>
    <t>4932.18</t>
  </si>
  <si>
    <t>49.47</t>
  </si>
  <si>
    <t>5886.57</t>
  </si>
  <si>
    <t>29755.36</t>
  </si>
  <si>
    <t>1216.42</t>
  </si>
  <si>
    <t>75.62</t>
  </si>
  <si>
    <t>3325.05</t>
  </si>
  <si>
    <t>17177.84</t>
  </si>
  <si>
    <t>23482.98</t>
  </si>
  <si>
    <t>3679.19</t>
  </si>
  <si>
    <t>1254.12</t>
  </si>
  <si>
    <t>3275.05</t>
  </si>
  <si>
    <t>7662.73</t>
  </si>
  <si>
    <t>7472.89</t>
  </si>
  <si>
    <t>4060.23</t>
  </si>
  <si>
    <t>30723.08</t>
  </si>
  <si>
    <t>32427.43</t>
  </si>
  <si>
    <t>204.36</t>
  </si>
  <si>
    <t>619.35</t>
  </si>
  <si>
    <t>39948.47</t>
  </si>
  <si>
    <t>33621.44</t>
  </si>
  <si>
    <t>2871.28</t>
  </si>
  <si>
    <t>32137.34</t>
  </si>
  <si>
    <t>113008.95</t>
  </si>
  <si>
    <t>6169.23</t>
  </si>
  <si>
    <t>98.47</t>
  </si>
  <si>
    <t>213505.05</t>
  </si>
  <si>
    <t>1696.54</t>
  </si>
  <si>
    <t>17517.55</t>
  </si>
  <si>
    <t>98433.49</t>
  </si>
  <si>
    <t>26430.23</t>
  </si>
  <si>
    <t>18363.84</t>
  </si>
  <si>
    <t>45.78</t>
  </si>
  <si>
    <t>17882.3</t>
  </si>
  <si>
    <t>249.61</t>
  </si>
  <si>
    <t>1406.94</t>
  </si>
  <si>
    <t>71440.94</t>
  </si>
  <si>
    <t>4893.59</t>
  </si>
  <si>
    <t>13925.34</t>
  </si>
  <si>
    <t>723.12</t>
  </si>
  <si>
    <t>5013.91</t>
  </si>
  <si>
    <t>86590.64</t>
  </si>
  <si>
    <t>9322.36</t>
  </si>
  <si>
    <t>62213.95</t>
  </si>
  <si>
    <t>44.47</t>
  </si>
  <si>
    <t>525.36</t>
  </si>
  <si>
    <t>11440.64</t>
  </si>
  <si>
    <t>5628.66</t>
  </si>
  <si>
    <t>2426.07</t>
  </si>
  <si>
    <t>651.31</t>
  </si>
  <si>
    <t>8158.62</t>
  </si>
  <si>
    <t>107.65</t>
  </si>
  <si>
    <t>11029.03</t>
  </si>
  <si>
    <t>65047.98</t>
  </si>
  <si>
    <t>2074.18</t>
  </si>
  <si>
    <t>197.13</t>
  </si>
  <si>
    <t>11715.35</t>
  </si>
  <si>
    <t>411.59</t>
  </si>
  <si>
    <t>85523.14</t>
  </si>
  <si>
    <t>74400.85</t>
  </si>
  <si>
    <t>12550.8</t>
  </si>
  <si>
    <t>170.91</t>
  </si>
  <si>
    <t>8132.24</t>
  </si>
  <si>
    <t>19985.62</t>
  </si>
  <si>
    <t>22727.69</t>
  </si>
  <si>
    <t>12498.14</t>
  </si>
  <si>
    <t>41149.23</t>
  </si>
  <si>
    <t>5.57</t>
  </si>
  <si>
    <t>1983.35</t>
  </si>
  <si>
    <t>101867.47</t>
  </si>
  <si>
    <t>49.04</t>
  </si>
  <si>
    <t>10518.99</t>
  </si>
  <si>
    <t>72024.01</t>
  </si>
  <si>
    <t>5813.2</t>
  </si>
  <si>
    <t>2343.1</t>
  </si>
  <si>
    <t>82659.17</t>
  </si>
  <si>
    <t>1083.37</t>
  </si>
  <si>
    <t>68566.71</t>
  </si>
  <si>
    <t>101974.29</t>
  </si>
  <si>
    <t>11747.26</t>
  </si>
  <si>
    <t>632.8</t>
  </si>
  <si>
    <t>135865.16</t>
  </si>
  <si>
    <t>148.04</t>
  </si>
  <si>
    <t>30978.22</t>
  </si>
  <si>
    <t>58640.2</t>
  </si>
  <si>
    <t>36987.55</t>
  </si>
  <si>
    <t>54780.31</t>
  </si>
  <si>
    <t>20.56</t>
  </si>
  <si>
    <t>165.64</t>
  </si>
  <si>
    <t>115.07</t>
  </si>
  <si>
    <t>27503.43</t>
  </si>
  <si>
    <t>148.67</t>
  </si>
  <si>
    <t>5194.94</t>
  </si>
  <si>
    <t>59649.65</t>
  </si>
  <si>
    <t>17618.65</t>
  </si>
  <si>
    <t>19883.86</t>
  </si>
  <si>
    <t>291.85</t>
  </si>
  <si>
    <t>9534.79</t>
  </si>
  <si>
    <t>65231.54</t>
  </si>
  <si>
    <t>21002.67</t>
  </si>
  <si>
    <t>20343.18</t>
  </si>
  <si>
    <t>315.18</t>
  </si>
  <si>
    <t>7336.15</t>
  </si>
  <si>
    <t>51808.17</t>
  </si>
  <si>
    <t>5690.13</t>
  </si>
  <si>
    <t>2005.45</t>
  </si>
  <si>
    <t>23008.91</t>
  </si>
  <si>
    <t>45.31</t>
  </si>
  <si>
    <t>3699.29</t>
  </si>
  <si>
    <t>25911.18</t>
  </si>
  <si>
    <t>31864.54</t>
  </si>
  <si>
    <t>88.23</t>
  </si>
  <si>
    <t>23860.55</t>
  </si>
  <si>
    <t>31001.72</t>
  </si>
  <si>
    <t>4786.85</t>
  </si>
  <si>
    <t>11946.74</t>
  </si>
  <si>
    <t>9.71</t>
  </si>
  <si>
    <t>7342.18</t>
  </si>
  <si>
    <t>12457.11</t>
  </si>
  <si>
    <t>2659.88</t>
  </si>
  <si>
    <t>11464.6</t>
  </si>
  <si>
    <t>8.89</t>
  </si>
  <si>
    <t>14011.69</t>
  </si>
  <si>
    <t>116.42</t>
  </si>
  <si>
    <t>4193.6</t>
  </si>
  <si>
    <t>65865.72</t>
  </si>
  <si>
    <t>502.39</t>
  </si>
  <si>
    <t>55420.34</t>
  </si>
  <si>
    <t>89243.68</t>
  </si>
  <si>
    <t>9072.99</t>
  </si>
  <si>
    <t>25075.08</t>
  </si>
  <si>
    <t>99.87</t>
  </si>
  <si>
    <t>13835.32</t>
  </si>
  <si>
    <t>74300.53</t>
  </si>
  <si>
    <t>19623.21</t>
  </si>
  <si>
    <t>36777.64</t>
  </si>
  <si>
    <t>27.26</t>
  </si>
  <si>
    <t>189.66</t>
  </si>
  <si>
    <t>47341.49</t>
  </si>
  <si>
    <t>138.13</t>
  </si>
  <si>
    <t>2167.29</t>
  </si>
  <si>
    <t>114792.71</t>
  </si>
  <si>
    <t>6622.63</t>
  </si>
  <si>
    <t>111292.86</t>
  </si>
  <si>
    <t>1739.89</t>
  </si>
  <si>
    <t>42970.86</t>
  </si>
  <si>
    <t>8373.07</t>
  </si>
  <si>
    <t>979.61</t>
  </si>
  <si>
    <t>11860.98</t>
  </si>
  <si>
    <t>921.63</t>
  </si>
  <si>
    <t>9687.61</t>
  </si>
  <si>
    <t>402.05</t>
  </si>
  <si>
    <t>54.39</t>
  </si>
  <si>
    <t>15282.38</t>
  </si>
  <si>
    <t>6565.61</t>
  </si>
  <si>
    <t>19407.32</t>
  </si>
  <si>
    <t>4344.4</t>
  </si>
  <si>
    <t>4303.71</t>
  </si>
  <si>
    <t>2039.43</t>
  </si>
  <si>
    <t>2640.19</t>
  </si>
  <si>
    <t>1929.07</t>
  </si>
  <si>
    <t>187852.40</t>
  </si>
  <si>
    <t>1049_D28</t>
  </si>
  <si>
    <t>1051_D28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</si>
</sst>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5" xfId="1" applyFont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4" fillId="0" borderId="0" xfId="1" applyFont="1" applyAlignment="1">
      <alignment horizontal="center"/>
    </xf>
    <xf numFmtId="0" fontId="0" fillId="3" borderId="0" xfId="0" applyFill="1"/>
    <xf numFmtId="0" fontId="4" fillId="4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1" fillId="0" borderId="1" xfId="1" applyFont="1" applyBorder="1"/>
    <xf numFmtId="0" fontId="1" fillId="0" borderId="2" xfId="1" applyFont="1" applyBorder="1"/>
    <xf numFmtId="0" fontId="0" fillId="0" borderId="2" xfId="0" applyBorder="1"/>
    <xf numFmtId="0" fontId="0" fillId="0" borderId="3" xfId="0" applyBorder="1"/>
    <xf numFmtId="0" fontId="1" fillId="0" borderId="0" xfId="1" applyFont="1"/>
    <xf numFmtId="0" fontId="1" fillId="3" borderId="1" xfId="1" applyFont="1" applyFill="1" applyBorder="1"/>
    <xf numFmtId="0" fontId="1" fillId="3" borderId="2" xfId="1" applyFont="1" applyFill="1" applyBorder="1"/>
    <xf numFmtId="0" fontId="1" fillId="3" borderId="2" xfId="1" applyFont="1" applyFill="1" applyBorder="1" applyAlignment="1">
      <alignment horizontal="center"/>
    </xf>
    <xf numFmtId="0" fontId="0" fillId="3" borderId="2" xfId="0" applyFill="1" applyBorder="1"/>
    <xf numFmtId="0" fontId="1" fillId="3" borderId="0" xfId="1" applyFont="1" applyFill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1" applyFont="1" applyBorder="1"/>
    <xf numFmtId="0" fontId="0" fillId="0" borderId="5" xfId="0" applyBorder="1"/>
    <xf numFmtId="0" fontId="1" fillId="3" borderId="4" xfId="1" applyFont="1" applyFill="1" applyBorder="1"/>
    <xf numFmtId="0" fontId="1" fillId="3" borderId="0" xfId="1" applyFont="1" applyFill="1"/>
    <xf numFmtId="0" fontId="0" fillId="3" borderId="12" xfId="0" applyFill="1" applyBorder="1"/>
    <xf numFmtId="0" fontId="1" fillId="0" borderId="13" xfId="1" applyFont="1" applyBorder="1"/>
    <xf numFmtId="0" fontId="1" fillId="0" borderId="14" xfId="1" applyFont="1" applyBorder="1"/>
    <xf numFmtId="0" fontId="1" fillId="0" borderId="14" xfId="1" applyFont="1" applyBorder="1" applyAlignment="1">
      <alignment horizontal="center"/>
    </xf>
    <xf numFmtId="0" fontId="0" fillId="0" borderId="14" xfId="0" applyBorder="1"/>
    <xf numFmtId="0" fontId="0" fillId="0" borderId="12" xfId="0" applyBorder="1"/>
    <xf numFmtId="0" fontId="1" fillId="3" borderId="13" xfId="1" applyFont="1" applyFill="1" applyBorder="1"/>
    <xf numFmtId="0" fontId="1" fillId="3" borderId="14" xfId="1" applyFont="1" applyFill="1" applyBorder="1"/>
    <xf numFmtId="0" fontId="1" fillId="3" borderId="14" xfId="1" applyFont="1" applyFill="1" applyBorder="1" applyAlignment="1">
      <alignment horizontal="center"/>
    </xf>
    <xf numFmtId="0" fontId="0" fillId="3" borderId="14" xfId="0" applyFill="1" applyBorder="1"/>
    <xf numFmtId="0" fontId="1" fillId="0" borderId="15" xfId="1" applyFont="1" applyBorder="1"/>
    <xf numFmtId="0" fontId="1" fillId="0" borderId="6" xfId="1" applyFont="1" applyBorder="1"/>
    <xf numFmtId="0" fontId="1" fillId="0" borderId="6" xfId="1" applyFont="1" applyBorder="1" applyAlignment="1">
      <alignment horizontal="center"/>
    </xf>
    <xf numFmtId="0" fontId="0" fillId="0" borderId="6" xfId="0" applyBorder="1"/>
    <xf numFmtId="0" fontId="1" fillId="3" borderId="15" xfId="1" applyFont="1" applyFill="1" applyBorder="1"/>
    <xf numFmtId="0" fontId="1" fillId="3" borderId="6" xfId="1" applyFont="1" applyFill="1" applyBorder="1" applyAlignment="1">
      <alignment horizontal="center"/>
    </xf>
    <xf numFmtId="0" fontId="0" fillId="3" borderId="6" xfId="0" applyFill="1" applyBorder="1"/>
    <xf numFmtId="0" fontId="0" fillId="0" borderId="16" xfId="0" applyBorder="1"/>
    <xf numFmtId="0" fontId="0" fillId="3" borderId="0" xfId="0" applyFill="1" applyAlignment="1">
      <alignment horizontal="center"/>
    </xf>
    <xf numFmtId="0" fontId="1" fillId="0" borderId="7" xfId="1" applyFont="1" applyBorder="1"/>
    <xf numFmtId="0" fontId="1" fillId="0" borderId="8" xfId="1" applyFont="1" applyBorder="1"/>
    <xf numFmtId="0" fontId="0" fillId="0" borderId="8" xfId="0" applyBorder="1"/>
    <xf numFmtId="0" fontId="0" fillId="0" borderId="9" xfId="0" applyBorder="1"/>
    <xf numFmtId="0" fontId="1" fillId="3" borderId="7" xfId="1" applyFont="1" applyFill="1" applyBorder="1"/>
    <xf numFmtId="0" fontId="1" fillId="3" borderId="8" xfId="1" applyFont="1" applyFill="1" applyBorder="1"/>
    <xf numFmtId="0" fontId="1" fillId="3" borderId="8" xfId="1" applyFont="1" applyFill="1" applyBorder="1" applyAlignment="1">
      <alignment horizontal="center"/>
    </xf>
    <xf numFmtId="0" fontId="0" fillId="3" borderId="8" xfId="0" applyFill="1" applyBorder="1"/>
    <xf numFmtId="0" fontId="1" fillId="5" borderId="0" xfId="1" applyFont="1" applyFill="1"/>
    <xf numFmtId="0" fontId="1" fillId="5" borderId="0" xfId="1" applyFont="1" applyFill="1" applyAlignment="1">
      <alignment horizontal="center"/>
    </xf>
    <xf numFmtId="0" fontId="1" fillId="6" borderId="0" xfId="1" applyFont="1" applyFill="1" applyAlignment="1">
      <alignment horizontal="center"/>
    </xf>
    <xf numFmtId="0" fontId="0" fillId="6" borderId="5" xfId="0" applyFill="1" applyBorder="1"/>
    <xf numFmtId="16" fontId="0" fillId="3" borderId="0" xfId="0" applyNumberFormat="1" applyFill="1"/>
    <xf numFmtId="0" fontId="1" fillId="0" borderId="5" xfId="0" applyFont="1" applyBorder="1"/>
    <xf numFmtId="0" fontId="5" fillId="0" borderId="0" xfId="0" applyFont="1"/>
    <xf numFmtId="0" fontId="0" fillId="7" borderId="0" xfId="0" applyFill="1"/>
    <xf numFmtId="2" fontId="0" fillId="7" borderId="0" xfId="0" applyNumberFormat="1" applyFill="1"/>
    <xf numFmtId="2" fontId="0" fillId="0" borderId="0" xfId="0" applyNumberFormat="1"/>
    <xf numFmtId="0" fontId="0" fillId="8" borderId="0" xfId="0" applyFill="1"/>
    <xf numFmtId="11" fontId="0" fillId="7" borderId="0" xfId="0" applyNumberFormat="1" applyFill="1"/>
    <xf numFmtId="0" fontId="0" fillId="0" borderId="14" xfId="0" applyBorder="1" applyAlignment="1">
      <alignment horizontal="center"/>
    </xf>
    <xf numFmtId="0" fontId="0" fillId="3" borderId="0" xfId="1" applyFont="1" applyFill="1" applyAlignment="1">
      <alignment horizontal="center"/>
    </xf>
    <xf numFmtId="0" fontId="0" fillId="3" borderId="17" xfId="0" applyFill="1" applyBorder="1"/>
    <xf numFmtId="0" fontId="0" fillId="7" borderId="14" xfId="0" applyFill="1" applyBorder="1"/>
    <xf numFmtId="0" fontId="0" fillId="9" borderId="0" xfId="0" applyFill="1"/>
    <xf numFmtId="0" fontId="0" fillId="0" borderId="0" xfId="1" applyFont="1" applyAlignment="1">
      <alignment horizontal="center"/>
    </xf>
    <xf numFmtId="0" fontId="0" fillId="0" borderId="0" xfId="0" applyAlignment="1">
      <alignment horizontal="right"/>
    </xf>
    <xf numFmtId="0" fontId="0" fillId="9" borderId="0" xfId="0" applyFill="1" applyAlignment="1">
      <alignment horizontal="center"/>
    </xf>
    <xf numFmtId="0" fontId="1" fillId="9" borderId="0" xfId="1" applyFont="1" applyFill="1" applyAlignment="1">
      <alignment horizontal="center"/>
    </xf>
    <xf numFmtId="0" fontId="0" fillId="6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4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4" borderId="0" xfId="0" applyFill="1"/>
    <xf numFmtId="0" fontId="6" fillId="7" borderId="0" xfId="0" applyFont="1" applyFill="1"/>
    <xf numFmtId="0" fontId="0" fillId="16" borderId="0" xfId="0" applyFill="1"/>
    <xf numFmtId="0" fontId="0" fillId="9" borderId="5" xfId="0" applyFill="1" applyBorder="1"/>
    <xf numFmtId="0" fontId="0" fillId="5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4" xfId="0" applyBorder="1"/>
    <xf numFmtId="49" fontId="0" fillId="17" borderId="0" xfId="0" applyNumberFormat="1" applyFill="1"/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0" borderId="3" xfId="0" applyBorder="1" applyAlignment="1">
      <alignment horizontal="center"/>
    </xf>
    <xf numFmtId="49" fontId="0" fillId="7" borderId="0" xfId="0" applyNumberFormat="1" applyFill="1"/>
    <xf numFmtId="0" fontId="0" fillId="0" borderId="5" xfId="0" applyBorder="1" applyAlignment="1">
      <alignment horizontal="center"/>
    </xf>
    <xf numFmtId="0" fontId="0" fillId="0" borderId="4" xfId="1" applyFont="1" applyBorder="1" applyAlignment="1">
      <alignment horizontal="center"/>
    </xf>
    <xf numFmtId="0" fontId="0" fillId="0" borderId="7" xfId="0" applyBorder="1"/>
    <xf numFmtId="0" fontId="0" fillId="0" borderId="1" xfId="0" applyBorder="1"/>
    <xf numFmtId="11" fontId="0" fillId="17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5" xfId="0" applyFill="1" applyBorder="1"/>
    <xf numFmtId="0" fontId="0" fillId="0" borderId="3" xfId="0" applyFill="1" applyBorder="1"/>
    <xf numFmtId="0" fontId="0" fillId="0" borderId="12" xfId="0" applyFill="1" applyBorder="1"/>
    <xf numFmtId="0" fontId="0" fillId="0" borderId="14" xfId="0" applyFill="1" applyBorder="1" applyAlignment="1">
      <alignment horizontal="center"/>
    </xf>
    <xf numFmtId="0" fontId="0" fillId="0" borderId="17" xfId="0" applyFill="1" applyBorder="1"/>
    <xf numFmtId="0" fontId="0" fillId="0" borderId="14" xfId="0" applyFill="1" applyBorder="1"/>
    <xf numFmtId="0" fontId="0" fillId="0" borderId="6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2">
    <cellStyle name="Standaard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66"/>
  <sheetViews>
    <sheetView tabSelected="1" topLeftCell="A1131" zoomScale="85" zoomScaleNormal="85" workbookViewId="0">
      <selection activeCell="E1158" sqref="E1158"/>
    </sheetView>
  </sheetViews>
  <sheetFormatPr defaultRowHeight="15" x14ac:dyDescent="0.25"/>
  <cols>
    <col min="1" max="1" width="9.140625" style="123"/>
    <col min="2" max="2" width="15.5703125" style="2" bestFit="1" customWidth="1"/>
    <col min="3" max="3" width="19" style="123" bestFit="1" customWidth="1"/>
    <col min="4" max="4" width="12.140625" customWidth="1"/>
    <col min="5" max="5" width="14.85546875" customWidth="1"/>
    <col min="6" max="6" width="14.5703125" customWidth="1"/>
    <col min="7" max="7" width="13.5703125" customWidth="1"/>
    <col min="8" max="8" width="14.140625" customWidth="1"/>
    <col min="9" max="9" width="14.7109375" customWidth="1"/>
    <col min="10" max="10" width="14" customWidth="1"/>
    <col min="11" max="11" width="18.7109375" customWidth="1"/>
    <col min="16" max="16" width="31.42578125" customWidth="1"/>
    <col min="17" max="17" width="17.5703125" customWidth="1"/>
    <col min="18" max="18" width="11.85546875" customWidth="1"/>
    <col min="19" max="19" width="15" customWidth="1"/>
  </cols>
  <sheetData>
    <row r="1" spans="1:11" x14ac:dyDescent="0.25">
      <c r="A1" s="123" t="s">
        <v>579</v>
      </c>
      <c r="B1" s="2" t="s">
        <v>581</v>
      </c>
      <c r="C1" s="123" t="s">
        <v>580</v>
      </c>
      <c r="D1" s="79" t="s">
        <v>584</v>
      </c>
      <c r="E1" s="79" t="s">
        <v>585</v>
      </c>
      <c r="F1" s="79" t="s">
        <v>586</v>
      </c>
      <c r="G1" s="79" t="s">
        <v>587</v>
      </c>
      <c r="H1" s="79" t="s">
        <v>588</v>
      </c>
      <c r="I1" s="79" t="s">
        <v>589</v>
      </c>
      <c r="J1" s="79" t="s">
        <v>590</v>
      </c>
      <c r="K1" s="79" t="s">
        <v>591</v>
      </c>
    </row>
    <row r="2" spans="1:11" x14ac:dyDescent="0.25">
      <c r="A2" s="123">
        <v>1</v>
      </c>
      <c r="B2" s="2" t="s">
        <v>1</v>
      </c>
      <c r="C2" s="123" t="s">
        <v>162</v>
      </c>
      <c r="D2" t="s">
        <v>1323</v>
      </c>
      <c r="E2" t="s">
        <v>1324</v>
      </c>
      <c r="F2" t="s">
        <v>1325</v>
      </c>
      <c r="G2" t="s">
        <v>1326</v>
      </c>
      <c r="H2" t="s">
        <v>1327</v>
      </c>
      <c r="I2" t="s">
        <v>1328</v>
      </c>
      <c r="J2" t="s">
        <v>1329</v>
      </c>
      <c r="K2" t="s">
        <v>1330</v>
      </c>
    </row>
    <row r="3" spans="1:11" x14ac:dyDescent="0.25">
      <c r="A3" s="123">
        <v>2</v>
      </c>
      <c r="B3" s="2" t="s">
        <v>1</v>
      </c>
      <c r="C3" s="123" t="s">
        <v>170</v>
      </c>
      <c r="D3" t="s">
        <v>1331</v>
      </c>
      <c r="E3" t="s">
        <v>1332</v>
      </c>
      <c r="F3" t="s">
        <v>1333</v>
      </c>
      <c r="G3" t="s">
        <v>1334</v>
      </c>
      <c r="H3" t="s">
        <v>1335</v>
      </c>
      <c r="I3" s="81" t="s">
        <v>1336</v>
      </c>
      <c r="J3" t="s">
        <v>1337</v>
      </c>
      <c r="K3" t="s">
        <v>1338</v>
      </c>
    </row>
    <row r="4" spans="1:11" x14ac:dyDescent="0.25">
      <c r="A4" s="123">
        <v>3</v>
      </c>
      <c r="B4" s="2" t="s">
        <v>1</v>
      </c>
      <c r="C4" s="123" t="s">
        <v>178</v>
      </c>
      <c r="D4" t="s">
        <v>1339</v>
      </c>
      <c r="E4" t="s">
        <v>1340</v>
      </c>
      <c r="F4" t="s">
        <v>1341</v>
      </c>
      <c r="G4" t="s">
        <v>1342</v>
      </c>
      <c r="H4" t="s">
        <v>1343</v>
      </c>
      <c r="I4" s="81" t="s">
        <v>1344</v>
      </c>
      <c r="J4" t="s">
        <v>1345</v>
      </c>
      <c r="K4">
        <v>4252</v>
      </c>
    </row>
    <row r="5" spans="1:11" x14ac:dyDescent="0.25">
      <c r="A5" s="123">
        <v>4</v>
      </c>
      <c r="B5" s="2" t="s">
        <v>1</v>
      </c>
      <c r="C5" s="123" t="s">
        <v>163</v>
      </c>
      <c r="D5" t="s">
        <v>1346</v>
      </c>
      <c r="E5" s="80" t="s">
        <v>1347</v>
      </c>
      <c r="F5" t="s">
        <v>1348</v>
      </c>
      <c r="G5" t="s">
        <v>1349</v>
      </c>
      <c r="H5" t="s">
        <v>1350</v>
      </c>
      <c r="I5" s="81" t="s">
        <v>1351</v>
      </c>
      <c r="J5" t="s">
        <v>1352</v>
      </c>
      <c r="K5" s="80" t="s">
        <v>1353</v>
      </c>
    </row>
    <row r="6" spans="1:11" x14ac:dyDescent="0.25">
      <c r="A6" s="123">
        <v>5</v>
      </c>
      <c r="B6" s="2" t="s">
        <v>1</v>
      </c>
      <c r="C6" s="123" t="s">
        <v>181</v>
      </c>
      <c r="D6" t="s">
        <v>1354</v>
      </c>
      <c r="E6" s="111" t="s">
        <v>1355</v>
      </c>
      <c r="F6" t="s">
        <v>1356</v>
      </c>
      <c r="G6" t="s">
        <v>1334</v>
      </c>
      <c r="H6" t="s">
        <v>1357</v>
      </c>
      <c r="I6" s="82" t="s">
        <v>1358</v>
      </c>
      <c r="J6" t="s">
        <v>1359</v>
      </c>
      <c r="K6" t="s">
        <v>1360</v>
      </c>
    </row>
    <row r="7" spans="1:11" x14ac:dyDescent="0.25">
      <c r="A7" s="123">
        <v>6</v>
      </c>
      <c r="B7" s="2" t="s">
        <v>1</v>
      </c>
      <c r="C7" s="123" t="s">
        <v>183</v>
      </c>
      <c r="D7" t="s">
        <v>1361</v>
      </c>
      <c r="E7" s="111" t="s">
        <v>1362</v>
      </c>
      <c r="F7" t="s">
        <v>1363</v>
      </c>
      <c r="G7" t="s">
        <v>1364</v>
      </c>
      <c r="H7" t="s">
        <v>1365</v>
      </c>
      <c r="I7" s="80" t="s">
        <v>1366</v>
      </c>
      <c r="J7" t="s">
        <v>1367</v>
      </c>
      <c r="K7" t="s">
        <v>1368</v>
      </c>
    </row>
    <row r="8" spans="1:11" x14ac:dyDescent="0.25">
      <c r="A8" s="123">
        <v>7</v>
      </c>
      <c r="B8" s="2" t="s">
        <v>1</v>
      </c>
      <c r="C8" s="123" t="s">
        <v>186</v>
      </c>
      <c r="D8" t="s">
        <v>1369</v>
      </c>
      <c r="E8" s="111" t="s">
        <v>1370</v>
      </c>
      <c r="F8" s="80" t="s">
        <v>1371</v>
      </c>
      <c r="G8" t="s">
        <v>1372</v>
      </c>
      <c r="H8" t="s">
        <v>1373</v>
      </c>
      <c r="I8" s="80" t="s">
        <v>1374</v>
      </c>
      <c r="J8" t="s">
        <v>1375</v>
      </c>
      <c r="K8" s="80" t="s">
        <v>1376</v>
      </c>
    </row>
    <row r="9" spans="1:11" x14ac:dyDescent="0.25">
      <c r="A9" s="123">
        <v>8</v>
      </c>
      <c r="B9" s="2" t="s">
        <v>1</v>
      </c>
      <c r="C9" s="123" t="s">
        <v>188</v>
      </c>
      <c r="D9" t="s">
        <v>1377</v>
      </c>
      <c r="E9" s="111" t="s">
        <v>1378</v>
      </c>
      <c r="F9" t="s">
        <v>1379</v>
      </c>
      <c r="G9" t="s">
        <v>1380</v>
      </c>
      <c r="H9" t="s">
        <v>1381</v>
      </c>
      <c r="I9" s="80" t="s">
        <v>1382</v>
      </c>
      <c r="J9" t="s">
        <v>1383</v>
      </c>
      <c r="K9" s="111" t="s">
        <v>1384</v>
      </c>
    </row>
    <row r="10" spans="1:11" x14ac:dyDescent="0.25">
      <c r="A10" s="123">
        <v>9</v>
      </c>
      <c r="B10" s="2" t="s">
        <v>1</v>
      </c>
      <c r="C10" s="123" t="s">
        <v>182</v>
      </c>
      <c r="D10" s="80" t="s">
        <v>1385</v>
      </c>
      <c r="E10" t="s">
        <v>1386</v>
      </c>
      <c r="F10" s="80" t="s">
        <v>1387</v>
      </c>
      <c r="G10" s="80" t="s">
        <v>1388</v>
      </c>
      <c r="H10" s="80" t="s">
        <v>583</v>
      </c>
      <c r="I10" s="80" t="s">
        <v>1389</v>
      </c>
      <c r="J10" s="80" t="s">
        <v>1390</v>
      </c>
      <c r="K10" t="s">
        <v>583</v>
      </c>
    </row>
    <row r="11" spans="1:11" x14ac:dyDescent="0.25">
      <c r="A11" s="123">
        <v>10</v>
      </c>
      <c r="B11" s="2" t="s">
        <v>1</v>
      </c>
      <c r="C11" s="123" t="s">
        <v>184</v>
      </c>
      <c r="D11" t="s">
        <v>1391</v>
      </c>
      <c r="E11">
        <v>7870</v>
      </c>
      <c r="F11" t="s">
        <v>1392</v>
      </c>
      <c r="G11" t="s">
        <v>1393</v>
      </c>
      <c r="H11" t="s">
        <v>1394</v>
      </c>
      <c r="I11" s="80" t="s">
        <v>1395</v>
      </c>
      <c r="J11" t="s">
        <v>1396</v>
      </c>
      <c r="K11" t="s">
        <v>1397</v>
      </c>
    </row>
    <row r="12" spans="1:11" x14ac:dyDescent="0.25">
      <c r="A12" s="123">
        <v>11</v>
      </c>
      <c r="B12" s="2" t="s">
        <v>1</v>
      </c>
      <c r="C12" s="123" t="s">
        <v>187</v>
      </c>
      <c r="D12" t="s">
        <v>1398</v>
      </c>
      <c r="E12" t="s">
        <v>1399</v>
      </c>
      <c r="F12" t="s">
        <v>1400</v>
      </c>
      <c r="G12" t="s">
        <v>1401</v>
      </c>
      <c r="H12" t="s">
        <v>1402</v>
      </c>
      <c r="I12" s="80" t="s">
        <v>1403</v>
      </c>
      <c r="J12" t="s">
        <v>1337</v>
      </c>
      <c r="K12" t="s">
        <v>1404</v>
      </c>
    </row>
    <row r="13" spans="1:11" x14ac:dyDescent="0.25">
      <c r="A13" s="123">
        <v>12</v>
      </c>
      <c r="B13" s="2" t="s">
        <v>1</v>
      </c>
      <c r="C13" s="123" t="s">
        <v>189</v>
      </c>
      <c r="D13" t="s">
        <v>1405</v>
      </c>
      <c r="E13" t="s">
        <v>1406</v>
      </c>
      <c r="F13" t="s">
        <v>1407</v>
      </c>
      <c r="G13" t="s">
        <v>1408</v>
      </c>
      <c r="H13" t="s">
        <v>1409</v>
      </c>
      <c r="I13" s="80" t="s">
        <v>1410</v>
      </c>
      <c r="J13" t="s">
        <v>1411</v>
      </c>
      <c r="K13" t="s">
        <v>1412</v>
      </c>
    </row>
    <row r="14" spans="1:11" x14ac:dyDescent="0.25">
      <c r="A14" s="123">
        <v>13</v>
      </c>
      <c r="B14" s="2" t="s">
        <v>50</v>
      </c>
      <c r="C14" s="123" t="s">
        <v>162</v>
      </c>
      <c r="D14" t="s">
        <v>1413</v>
      </c>
      <c r="E14" s="111" t="s">
        <v>1414</v>
      </c>
      <c r="F14">
        <v>7</v>
      </c>
      <c r="G14" t="s">
        <v>1415</v>
      </c>
      <c r="H14" t="s">
        <v>1416</v>
      </c>
      <c r="I14" t="s">
        <v>1417</v>
      </c>
      <c r="J14" t="s">
        <v>1337</v>
      </c>
      <c r="K14" t="s">
        <v>1418</v>
      </c>
    </row>
    <row r="15" spans="1:11" x14ac:dyDescent="0.25">
      <c r="A15" s="123">
        <v>14</v>
      </c>
      <c r="B15" s="2" t="s">
        <v>50</v>
      </c>
      <c r="C15" s="123" t="s">
        <v>170</v>
      </c>
      <c r="D15" t="s">
        <v>1339</v>
      </c>
      <c r="E15" s="80" t="s">
        <v>1419</v>
      </c>
      <c r="F15" t="s">
        <v>1420</v>
      </c>
      <c r="G15" t="s">
        <v>1421</v>
      </c>
      <c r="H15" t="s">
        <v>1422</v>
      </c>
      <c r="I15" s="80" t="s">
        <v>1423</v>
      </c>
      <c r="J15" t="s">
        <v>1424</v>
      </c>
      <c r="K15" t="s">
        <v>1425</v>
      </c>
    </row>
    <row r="16" spans="1:11" x14ac:dyDescent="0.25">
      <c r="A16" s="123">
        <v>15</v>
      </c>
      <c r="B16" s="2" t="s">
        <v>50</v>
      </c>
      <c r="C16" s="123" t="s">
        <v>178</v>
      </c>
      <c r="D16" t="s">
        <v>1377</v>
      </c>
      <c r="E16" s="80" t="s">
        <v>1426</v>
      </c>
      <c r="F16" t="s">
        <v>1427</v>
      </c>
      <c r="G16" t="s">
        <v>1428</v>
      </c>
      <c r="H16" s="80" t="s">
        <v>1429</v>
      </c>
      <c r="I16" s="80" t="s">
        <v>1430</v>
      </c>
      <c r="J16" t="s">
        <v>1431</v>
      </c>
      <c r="K16" t="s">
        <v>1432</v>
      </c>
    </row>
    <row r="17" spans="1:11" x14ac:dyDescent="0.25">
      <c r="A17" s="123">
        <v>16</v>
      </c>
      <c r="B17" s="2" t="s">
        <v>50</v>
      </c>
      <c r="C17" s="123" t="s">
        <v>163</v>
      </c>
      <c r="D17" t="s">
        <v>1433</v>
      </c>
      <c r="E17" t="s">
        <v>1434</v>
      </c>
      <c r="F17" t="s">
        <v>1435</v>
      </c>
      <c r="G17" s="80" t="s">
        <v>1436</v>
      </c>
      <c r="H17" t="s">
        <v>1437</v>
      </c>
      <c r="I17" t="s">
        <v>1438</v>
      </c>
      <c r="J17" t="s">
        <v>1439</v>
      </c>
      <c r="K17" t="s">
        <v>1440</v>
      </c>
    </row>
    <row r="18" spans="1:11" x14ac:dyDescent="0.25">
      <c r="A18" s="123">
        <v>17</v>
      </c>
      <c r="B18" s="2" t="s">
        <v>50</v>
      </c>
      <c r="C18" s="123" t="s">
        <v>181</v>
      </c>
      <c r="D18" t="s">
        <v>1441</v>
      </c>
      <c r="E18" s="111" t="s">
        <v>1442</v>
      </c>
      <c r="F18" t="s">
        <v>1443</v>
      </c>
      <c r="G18" t="s">
        <v>1342</v>
      </c>
      <c r="H18" t="s">
        <v>1444</v>
      </c>
      <c r="I18" t="s">
        <v>1445</v>
      </c>
      <c r="J18" t="s">
        <v>1345</v>
      </c>
      <c r="K18" t="s">
        <v>1446</v>
      </c>
    </row>
    <row r="19" spans="1:11" x14ac:dyDescent="0.25">
      <c r="A19" s="123">
        <v>18</v>
      </c>
      <c r="B19" s="2" t="s">
        <v>50</v>
      </c>
      <c r="C19" s="123" t="s">
        <v>183</v>
      </c>
      <c r="D19" t="s">
        <v>1447</v>
      </c>
      <c r="E19" s="111" t="s">
        <v>1448</v>
      </c>
      <c r="F19" t="s">
        <v>1449</v>
      </c>
      <c r="G19" t="s">
        <v>1450</v>
      </c>
      <c r="H19" s="80" t="s">
        <v>1451</v>
      </c>
      <c r="I19" s="80" t="s">
        <v>1452</v>
      </c>
      <c r="J19" t="s">
        <v>1453</v>
      </c>
      <c r="K19" s="80" t="s">
        <v>1454</v>
      </c>
    </row>
    <row r="20" spans="1:11" x14ac:dyDescent="0.25">
      <c r="A20" s="123">
        <v>19</v>
      </c>
      <c r="B20" s="2" t="s">
        <v>50</v>
      </c>
      <c r="C20" s="123" t="s">
        <v>186</v>
      </c>
      <c r="D20" t="s">
        <v>1455</v>
      </c>
      <c r="E20" s="80" t="s">
        <v>1456</v>
      </c>
      <c r="F20" t="s">
        <v>1457</v>
      </c>
      <c r="G20" t="s">
        <v>1458</v>
      </c>
      <c r="H20" s="111" t="s">
        <v>1459</v>
      </c>
      <c r="I20" s="80" t="s">
        <v>1460</v>
      </c>
      <c r="J20" t="s">
        <v>1461</v>
      </c>
      <c r="K20" s="111" t="s">
        <v>1462</v>
      </c>
    </row>
    <row r="21" spans="1:11" x14ac:dyDescent="0.25">
      <c r="A21" s="123">
        <v>20</v>
      </c>
      <c r="B21" s="2" t="s">
        <v>50</v>
      </c>
      <c r="C21" s="123" t="s">
        <v>188</v>
      </c>
      <c r="D21" t="s">
        <v>1463</v>
      </c>
      <c r="E21" s="111" t="s">
        <v>1464</v>
      </c>
      <c r="F21" t="s">
        <v>1465</v>
      </c>
      <c r="G21" t="s">
        <v>1466</v>
      </c>
      <c r="H21" s="80" t="s">
        <v>1467</v>
      </c>
      <c r="I21" s="80" t="s">
        <v>1468</v>
      </c>
      <c r="J21" t="s">
        <v>1469</v>
      </c>
      <c r="K21" s="111" t="s">
        <v>1470</v>
      </c>
    </row>
    <row r="22" spans="1:11" x14ac:dyDescent="0.25">
      <c r="A22" s="123">
        <v>21</v>
      </c>
      <c r="B22" s="2" t="s">
        <v>50</v>
      </c>
      <c r="C22" s="123" t="s">
        <v>182</v>
      </c>
      <c r="D22" t="s">
        <v>1391</v>
      </c>
      <c r="E22" t="s">
        <v>1471</v>
      </c>
      <c r="F22" t="s">
        <v>1443</v>
      </c>
      <c r="G22" t="s">
        <v>1472</v>
      </c>
      <c r="H22" t="s">
        <v>1473</v>
      </c>
      <c r="I22" t="s">
        <v>1474</v>
      </c>
      <c r="J22" t="s">
        <v>1439</v>
      </c>
      <c r="K22" t="s">
        <v>1475</v>
      </c>
    </row>
    <row r="23" spans="1:11" x14ac:dyDescent="0.25">
      <c r="A23" s="123">
        <v>22</v>
      </c>
      <c r="B23" s="2" t="s">
        <v>50</v>
      </c>
      <c r="C23" s="123" t="s">
        <v>184</v>
      </c>
      <c r="D23" t="s">
        <v>1405</v>
      </c>
      <c r="E23" t="s">
        <v>1476</v>
      </c>
      <c r="F23" t="s">
        <v>1477</v>
      </c>
      <c r="G23" t="s">
        <v>1478</v>
      </c>
      <c r="H23" t="s">
        <v>1479</v>
      </c>
      <c r="I23" s="80" t="s">
        <v>1480</v>
      </c>
      <c r="J23" t="s">
        <v>1481</v>
      </c>
      <c r="K23" t="s">
        <v>1482</v>
      </c>
    </row>
    <row r="24" spans="1:11" x14ac:dyDescent="0.25">
      <c r="A24" s="123">
        <v>23</v>
      </c>
      <c r="B24" s="2" t="s">
        <v>50</v>
      </c>
      <c r="C24" s="123" t="s">
        <v>187</v>
      </c>
      <c r="D24" t="s">
        <v>1483</v>
      </c>
      <c r="E24" t="s">
        <v>1484</v>
      </c>
      <c r="F24" t="s">
        <v>1485</v>
      </c>
      <c r="G24" t="s">
        <v>1478</v>
      </c>
      <c r="H24" t="s">
        <v>1486</v>
      </c>
      <c r="I24" s="80" t="s">
        <v>1487</v>
      </c>
      <c r="J24" t="s">
        <v>1488</v>
      </c>
      <c r="K24" t="s">
        <v>1489</v>
      </c>
    </row>
    <row r="25" spans="1:11" x14ac:dyDescent="0.25">
      <c r="A25" s="123">
        <v>24</v>
      </c>
      <c r="B25" s="2" t="s">
        <v>50</v>
      </c>
      <c r="C25" s="123" t="s">
        <v>189</v>
      </c>
      <c r="D25" t="s">
        <v>1490</v>
      </c>
      <c r="E25" s="80" t="s">
        <v>1491</v>
      </c>
      <c r="F25" t="s">
        <v>1492</v>
      </c>
      <c r="G25" t="s">
        <v>1380</v>
      </c>
      <c r="H25" t="s">
        <v>1493</v>
      </c>
      <c r="I25" s="80" t="s">
        <v>1494</v>
      </c>
      <c r="J25" t="s">
        <v>1495</v>
      </c>
      <c r="K25" s="80">
        <v>20073</v>
      </c>
    </row>
    <row r="26" spans="1:11" x14ac:dyDescent="0.25">
      <c r="A26" s="123">
        <v>25</v>
      </c>
      <c r="B26" s="2">
        <v>2016</v>
      </c>
      <c r="C26" s="123" t="s">
        <v>162</v>
      </c>
      <c r="D26" t="s">
        <v>1496</v>
      </c>
      <c r="E26" s="80" t="s">
        <v>1497</v>
      </c>
      <c r="F26" t="s">
        <v>1498</v>
      </c>
      <c r="G26" t="s">
        <v>1364</v>
      </c>
      <c r="H26" t="s">
        <v>1499</v>
      </c>
      <c r="I26" s="80" t="s">
        <v>1500</v>
      </c>
      <c r="J26" t="s">
        <v>1501</v>
      </c>
      <c r="K26" t="s">
        <v>1502</v>
      </c>
    </row>
    <row r="27" spans="1:11" x14ac:dyDescent="0.25">
      <c r="A27" s="123">
        <v>26</v>
      </c>
      <c r="B27" s="2">
        <v>2016</v>
      </c>
      <c r="C27" s="123" t="s">
        <v>170</v>
      </c>
      <c r="D27" t="s">
        <v>1503</v>
      </c>
      <c r="E27" s="80" t="s">
        <v>1504</v>
      </c>
      <c r="F27" t="s">
        <v>1505</v>
      </c>
      <c r="G27" t="s">
        <v>1342</v>
      </c>
      <c r="H27" t="s">
        <v>1506</v>
      </c>
      <c r="I27" s="80" t="s">
        <v>1507</v>
      </c>
      <c r="J27" t="s">
        <v>1508</v>
      </c>
      <c r="K27" t="s">
        <v>1509</v>
      </c>
    </row>
    <row r="28" spans="1:11" x14ac:dyDescent="0.25">
      <c r="A28" s="123">
        <v>27</v>
      </c>
      <c r="B28" s="2">
        <v>2016</v>
      </c>
      <c r="C28" s="123" t="s">
        <v>178</v>
      </c>
      <c r="D28" t="s">
        <v>1510</v>
      </c>
      <c r="E28" s="80" t="s">
        <v>1511</v>
      </c>
      <c r="F28" t="s">
        <v>1512</v>
      </c>
      <c r="G28" t="s">
        <v>1364</v>
      </c>
      <c r="H28" s="80" t="s">
        <v>1513</v>
      </c>
      <c r="I28" s="80" t="s">
        <v>1514</v>
      </c>
      <c r="J28" t="s">
        <v>1515</v>
      </c>
      <c r="K28" t="s">
        <v>1516</v>
      </c>
    </row>
    <row r="29" spans="1:11" x14ac:dyDescent="0.25">
      <c r="A29" s="123">
        <v>28</v>
      </c>
      <c r="B29" s="2">
        <v>2016</v>
      </c>
      <c r="C29" s="123" t="s">
        <v>163</v>
      </c>
      <c r="D29" t="s">
        <v>1517</v>
      </c>
      <c r="E29" s="80" t="s">
        <v>1518</v>
      </c>
      <c r="F29" t="s">
        <v>1519</v>
      </c>
      <c r="G29" t="s">
        <v>1520</v>
      </c>
      <c r="H29" t="s">
        <v>1521</v>
      </c>
      <c r="I29" s="80" t="s">
        <v>1522</v>
      </c>
      <c r="J29" t="s">
        <v>1523</v>
      </c>
      <c r="K29" s="80" t="s">
        <v>1524</v>
      </c>
    </row>
    <row r="30" spans="1:11" x14ac:dyDescent="0.25">
      <c r="A30" s="123">
        <v>29</v>
      </c>
      <c r="B30" s="2">
        <v>2016</v>
      </c>
      <c r="C30" s="123" t="s">
        <v>181</v>
      </c>
      <c r="D30" t="s">
        <v>1525</v>
      </c>
      <c r="E30" s="111" t="s">
        <v>1526</v>
      </c>
      <c r="F30" t="s">
        <v>1356</v>
      </c>
      <c r="G30" t="s">
        <v>1527</v>
      </c>
      <c r="H30" t="s">
        <v>1528</v>
      </c>
      <c r="I30" t="s">
        <v>1529</v>
      </c>
      <c r="J30" t="s">
        <v>1530</v>
      </c>
      <c r="K30" t="s">
        <v>1531</v>
      </c>
    </row>
    <row r="31" spans="1:11" x14ac:dyDescent="0.25">
      <c r="A31" s="123">
        <v>30</v>
      </c>
      <c r="B31" s="2">
        <v>2016</v>
      </c>
      <c r="C31" s="123" t="s">
        <v>183</v>
      </c>
      <c r="D31" t="s">
        <v>1532</v>
      </c>
      <c r="E31" s="111" t="s">
        <v>1533</v>
      </c>
      <c r="F31" s="80" t="s">
        <v>1534</v>
      </c>
      <c r="G31" t="s">
        <v>1535</v>
      </c>
      <c r="H31" s="80" t="s">
        <v>1536</v>
      </c>
      <c r="I31" s="80" t="s">
        <v>1537</v>
      </c>
      <c r="J31" t="s">
        <v>1453</v>
      </c>
      <c r="K31" s="80" t="s">
        <v>1538</v>
      </c>
    </row>
    <row r="32" spans="1:11" x14ac:dyDescent="0.25">
      <c r="A32" s="123">
        <v>31</v>
      </c>
      <c r="B32" s="2">
        <v>2016</v>
      </c>
      <c r="C32" s="123" t="s">
        <v>188</v>
      </c>
      <c r="D32" t="s">
        <v>1361</v>
      </c>
      <c r="E32" s="111" t="s">
        <v>1539</v>
      </c>
      <c r="F32" t="s">
        <v>1540</v>
      </c>
      <c r="G32" t="s">
        <v>1541</v>
      </c>
      <c r="H32" t="s">
        <v>1542</v>
      </c>
      <c r="I32" s="80" t="s">
        <v>1543</v>
      </c>
      <c r="J32" t="s">
        <v>1544</v>
      </c>
      <c r="K32" s="80" t="s">
        <v>1545</v>
      </c>
    </row>
    <row r="33" spans="1:11" x14ac:dyDescent="0.25">
      <c r="A33" s="123">
        <v>32</v>
      </c>
      <c r="B33" s="2">
        <v>2016</v>
      </c>
      <c r="C33" s="123" t="s">
        <v>182</v>
      </c>
      <c r="D33" t="s">
        <v>583</v>
      </c>
      <c r="E33" t="s">
        <v>1546</v>
      </c>
      <c r="F33" t="s">
        <v>1547</v>
      </c>
      <c r="G33" s="80" t="s">
        <v>1436</v>
      </c>
      <c r="H33" t="s">
        <v>583</v>
      </c>
      <c r="I33" t="s">
        <v>1548</v>
      </c>
      <c r="J33" t="s">
        <v>583</v>
      </c>
      <c r="K33" t="s">
        <v>583</v>
      </c>
    </row>
    <row r="34" spans="1:11" x14ac:dyDescent="0.25">
      <c r="A34" s="123">
        <v>33</v>
      </c>
      <c r="B34" s="2">
        <v>2016</v>
      </c>
      <c r="C34" s="123" t="s">
        <v>184</v>
      </c>
      <c r="D34" t="s">
        <v>1532</v>
      </c>
      <c r="E34" t="s">
        <v>1549</v>
      </c>
      <c r="F34" t="s">
        <v>1550</v>
      </c>
      <c r="G34" t="s">
        <v>1551</v>
      </c>
      <c r="H34" t="s">
        <v>1552</v>
      </c>
      <c r="I34" s="80" t="s">
        <v>1553</v>
      </c>
      <c r="J34" t="s">
        <v>1554</v>
      </c>
      <c r="K34" t="s">
        <v>1418</v>
      </c>
    </row>
    <row r="35" spans="1:11" x14ac:dyDescent="0.25">
      <c r="A35" s="123">
        <v>34</v>
      </c>
      <c r="B35" s="2">
        <v>2016</v>
      </c>
      <c r="C35" s="123" t="s">
        <v>187</v>
      </c>
      <c r="D35" t="s">
        <v>1555</v>
      </c>
      <c r="E35" t="s">
        <v>1556</v>
      </c>
      <c r="F35" t="s">
        <v>1557</v>
      </c>
      <c r="G35" t="s">
        <v>1558</v>
      </c>
      <c r="H35" t="s">
        <v>1559</v>
      </c>
      <c r="I35" s="80" t="s">
        <v>1560</v>
      </c>
      <c r="J35" t="s">
        <v>1561</v>
      </c>
      <c r="K35" t="s">
        <v>1562</v>
      </c>
    </row>
    <row r="36" spans="1:11" x14ac:dyDescent="0.25">
      <c r="A36" s="123">
        <v>35</v>
      </c>
      <c r="B36" s="2">
        <v>2016</v>
      </c>
      <c r="C36" s="123" t="s">
        <v>189</v>
      </c>
      <c r="D36" t="s">
        <v>1563</v>
      </c>
      <c r="E36" t="s">
        <v>1564</v>
      </c>
      <c r="F36" t="s">
        <v>1565</v>
      </c>
      <c r="G36" t="s">
        <v>1401</v>
      </c>
      <c r="H36" t="s">
        <v>1566</v>
      </c>
      <c r="I36" s="80" t="s">
        <v>1567</v>
      </c>
      <c r="J36" t="s">
        <v>1568</v>
      </c>
      <c r="K36" t="s">
        <v>1569</v>
      </c>
    </row>
    <row r="37" spans="1:11" x14ac:dyDescent="0.25">
      <c r="A37" s="123">
        <v>36</v>
      </c>
      <c r="B37" s="2" t="s">
        <v>20</v>
      </c>
      <c r="C37" s="123" t="s">
        <v>162</v>
      </c>
      <c r="D37" t="s">
        <v>1433</v>
      </c>
      <c r="E37" t="s">
        <v>1570</v>
      </c>
      <c r="F37" t="s">
        <v>1571</v>
      </c>
      <c r="G37" t="s">
        <v>1551</v>
      </c>
      <c r="H37" t="s">
        <v>1572</v>
      </c>
      <c r="I37" t="s">
        <v>1573</v>
      </c>
      <c r="J37" t="s">
        <v>1329</v>
      </c>
      <c r="K37" t="s">
        <v>1574</v>
      </c>
    </row>
    <row r="38" spans="1:11" x14ac:dyDescent="0.25">
      <c r="A38" s="123">
        <v>37</v>
      </c>
      <c r="B38" s="2" t="s">
        <v>20</v>
      </c>
      <c r="C38" s="123" t="s">
        <v>170</v>
      </c>
      <c r="D38" t="s">
        <v>1575</v>
      </c>
      <c r="E38" s="80" t="s">
        <v>1576</v>
      </c>
      <c r="F38" t="s">
        <v>1577</v>
      </c>
      <c r="G38" t="s">
        <v>1578</v>
      </c>
      <c r="H38" t="s">
        <v>1579</v>
      </c>
      <c r="I38" s="80" t="s">
        <v>1580</v>
      </c>
      <c r="J38" t="s">
        <v>1581</v>
      </c>
      <c r="K38" t="s">
        <v>1582</v>
      </c>
    </row>
    <row r="39" spans="1:11" x14ac:dyDescent="0.25">
      <c r="A39" s="123">
        <v>38</v>
      </c>
      <c r="B39" s="2" t="s">
        <v>20</v>
      </c>
      <c r="C39" s="123" t="s">
        <v>178</v>
      </c>
      <c r="D39" t="s">
        <v>1369</v>
      </c>
      <c r="E39" s="111" t="s">
        <v>1583</v>
      </c>
      <c r="F39" t="s">
        <v>1584</v>
      </c>
      <c r="G39" t="s">
        <v>1466</v>
      </c>
      <c r="H39" s="80" t="s">
        <v>1585</v>
      </c>
      <c r="I39" s="80" t="s">
        <v>1586</v>
      </c>
      <c r="J39" t="s">
        <v>1587</v>
      </c>
      <c r="K39" s="111" t="s">
        <v>1588</v>
      </c>
    </row>
    <row r="40" spans="1:11" x14ac:dyDescent="0.25">
      <c r="A40" s="123">
        <v>39</v>
      </c>
      <c r="B40" s="2" t="s">
        <v>20</v>
      </c>
      <c r="C40" s="123" t="s">
        <v>163</v>
      </c>
      <c r="D40" t="s">
        <v>1589</v>
      </c>
      <c r="E40" s="80" t="s">
        <v>1590</v>
      </c>
      <c r="F40" s="80" t="s">
        <v>1591</v>
      </c>
      <c r="G40" t="s">
        <v>1541</v>
      </c>
      <c r="H40" s="80" t="s">
        <v>1592</v>
      </c>
      <c r="I40" s="80" t="s">
        <v>1593</v>
      </c>
      <c r="J40" t="s">
        <v>1367</v>
      </c>
      <c r="K40" s="80" t="s">
        <v>1594</v>
      </c>
    </row>
    <row r="41" spans="1:11" x14ac:dyDescent="0.25">
      <c r="A41" s="123">
        <v>40</v>
      </c>
      <c r="B41" s="2" t="s">
        <v>20</v>
      </c>
      <c r="C41" s="123" t="s">
        <v>181</v>
      </c>
      <c r="D41" t="s">
        <v>1595</v>
      </c>
      <c r="E41" s="80" t="s">
        <v>1596</v>
      </c>
      <c r="F41" t="s">
        <v>1597</v>
      </c>
      <c r="G41" t="s">
        <v>1558</v>
      </c>
      <c r="H41" t="s">
        <v>1598</v>
      </c>
      <c r="I41" t="s">
        <v>1599</v>
      </c>
      <c r="J41" t="s">
        <v>1337</v>
      </c>
      <c r="K41" t="s">
        <v>1600</v>
      </c>
    </row>
    <row r="42" spans="1:11" x14ac:dyDescent="0.25">
      <c r="A42" s="123">
        <v>41</v>
      </c>
      <c r="B42" s="2" t="s">
        <v>20</v>
      </c>
      <c r="C42" s="123" t="s">
        <v>183</v>
      </c>
      <c r="D42" t="s">
        <v>1441</v>
      </c>
      <c r="E42" s="80" t="s">
        <v>1601</v>
      </c>
      <c r="F42" t="s">
        <v>1602</v>
      </c>
      <c r="G42" t="s">
        <v>1603</v>
      </c>
      <c r="H42" t="s">
        <v>1604</v>
      </c>
      <c r="I42" s="80" t="s">
        <v>1605</v>
      </c>
      <c r="J42" t="s">
        <v>1523</v>
      </c>
      <c r="K42" s="80" t="s">
        <v>1606</v>
      </c>
    </row>
    <row r="43" spans="1:11" x14ac:dyDescent="0.25">
      <c r="A43" s="123">
        <v>42</v>
      </c>
      <c r="B43" s="2" t="s">
        <v>20</v>
      </c>
      <c r="C43" s="123" t="s">
        <v>186</v>
      </c>
      <c r="D43" t="s">
        <v>1589</v>
      </c>
      <c r="E43" s="80" t="s">
        <v>1607</v>
      </c>
      <c r="F43" t="s">
        <v>1608</v>
      </c>
      <c r="G43" t="s">
        <v>1364</v>
      </c>
      <c r="H43" s="80" t="s">
        <v>1609</v>
      </c>
      <c r="I43" s="80" t="s">
        <v>1610</v>
      </c>
      <c r="J43" t="s">
        <v>1611</v>
      </c>
      <c r="K43" s="111" t="s">
        <v>1612</v>
      </c>
    </row>
    <row r="44" spans="1:11" x14ac:dyDescent="0.25">
      <c r="A44" s="123">
        <v>43</v>
      </c>
      <c r="B44" s="2" t="s">
        <v>20</v>
      </c>
      <c r="C44" s="123" t="s">
        <v>188</v>
      </c>
      <c r="D44" t="s">
        <v>583</v>
      </c>
      <c r="E44" t="s">
        <v>1613</v>
      </c>
      <c r="F44" t="s">
        <v>583</v>
      </c>
      <c r="G44" s="80" t="s">
        <v>1436</v>
      </c>
      <c r="H44" t="s">
        <v>1614</v>
      </c>
      <c r="I44" t="s">
        <v>1615</v>
      </c>
      <c r="J44" t="s">
        <v>583</v>
      </c>
      <c r="K44" t="s">
        <v>1616</v>
      </c>
    </row>
    <row r="45" spans="1:11" x14ac:dyDescent="0.25">
      <c r="A45" s="123">
        <v>44</v>
      </c>
      <c r="B45" s="2" t="s">
        <v>20</v>
      </c>
      <c r="C45" s="123" t="s">
        <v>182</v>
      </c>
      <c r="D45" t="s">
        <v>1617</v>
      </c>
      <c r="E45" t="s">
        <v>1618</v>
      </c>
      <c r="F45" t="s">
        <v>1619</v>
      </c>
      <c r="G45" t="s">
        <v>1620</v>
      </c>
      <c r="H45" t="s">
        <v>1621</v>
      </c>
      <c r="I45" s="80" t="s">
        <v>1622</v>
      </c>
      <c r="J45" t="s">
        <v>1623</v>
      </c>
      <c r="K45" t="s">
        <v>1624</v>
      </c>
    </row>
    <row r="46" spans="1:11" x14ac:dyDescent="0.25">
      <c r="A46" s="123">
        <v>45</v>
      </c>
      <c r="B46" s="2" t="s">
        <v>20</v>
      </c>
      <c r="C46" s="123" t="s">
        <v>184</v>
      </c>
      <c r="D46" t="s">
        <v>1441</v>
      </c>
      <c r="E46" s="80" t="s">
        <v>1625</v>
      </c>
      <c r="F46" t="s">
        <v>1626</v>
      </c>
      <c r="G46" t="s">
        <v>1364</v>
      </c>
      <c r="H46" s="80" t="s">
        <v>1627</v>
      </c>
      <c r="I46" s="80" t="s">
        <v>1628</v>
      </c>
      <c r="J46" t="s">
        <v>1629</v>
      </c>
      <c r="K46" t="s">
        <v>1630</v>
      </c>
    </row>
    <row r="47" spans="1:11" x14ac:dyDescent="0.25">
      <c r="A47" s="123">
        <v>46</v>
      </c>
      <c r="B47" s="2" t="s">
        <v>20</v>
      </c>
      <c r="C47" s="123" t="s">
        <v>187</v>
      </c>
      <c r="D47" t="s">
        <v>1532</v>
      </c>
      <c r="E47" s="80" t="s">
        <v>1631</v>
      </c>
      <c r="F47" t="s">
        <v>1632</v>
      </c>
      <c r="G47" t="s">
        <v>1372</v>
      </c>
      <c r="H47" s="80" t="s">
        <v>1633</v>
      </c>
      <c r="I47" s="80" t="s">
        <v>1634</v>
      </c>
      <c r="J47" t="s">
        <v>1635</v>
      </c>
      <c r="K47" s="111" t="s">
        <v>1636</v>
      </c>
    </row>
    <row r="48" spans="1:11" x14ac:dyDescent="0.25">
      <c r="A48" s="123">
        <v>47</v>
      </c>
      <c r="B48" s="2" t="s">
        <v>20</v>
      </c>
      <c r="C48" s="123" t="s">
        <v>189</v>
      </c>
      <c r="D48" t="s">
        <v>1589</v>
      </c>
      <c r="E48" t="s">
        <v>1637</v>
      </c>
      <c r="F48" t="s">
        <v>1638</v>
      </c>
      <c r="G48" t="s">
        <v>1639</v>
      </c>
      <c r="H48" s="80" t="s">
        <v>1640</v>
      </c>
      <c r="I48" s="80" t="s">
        <v>1641</v>
      </c>
      <c r="J48" t="s">
        <v>1642</v>
      </c>
      <c r="K48" s="80" t="s">
        <v>1643</v>
      </c>
    </row>
    <row r="49" spans="1:11" x14ac:dyDescent="0.25">
      <c r="A49" s="123">
        <v>48</v>
      </c>
      <c r="B49" s="2" t="s">
        <v>2</v>
      </c>
      <c r="C49" s="123" t="s">
        <v>162</v>
      </c>
      <c r="D49" t="s">
        <v>1433</v>
      </c>
      <c r="E49" t="s">
        <v>1644</v>
      </c>
      <c r="F49" t="s">
        <v>1645</v>
      </c>
      <c r="G49" t="s">
        <v>1646</v>
      </c>
      <c r="H49" t="s">
        <v>1647</v>
      </c>
      <c r="I49" t="s">
        <v>1648</v>
      </c>
      <c r="J49" t="s">
        <v>1623</v>
      </c>
      <c r="K49" t="s">
        <v>1649</v>
      </c>
    </row>
    <row r="50" spans="1:11" x14ac:dyDescent="0.25">
      <c r="A50" s="123">
        <v>49</v>
      </c>
      <c r="B50" s="2" t="s">
        <v>2</v>
      </c>
      <c r="C50" s="123" t="s">
        <v>170</v>
      </c>
      <c r="D50" t="s">
        <v>1441</v>
      </c>
      <c r="E50" t="s">
        <v>1650</v>
      </c>
      <c r="F50" t="s">
        <v>1651</v>
      </c>
      <c r="G50" t="s">
        <v>1334</v>
      </c>
      <c r="H50" t="s">
        <v>1652</v>
      </c>
      <c r="I50" s="80" t="s">
        <v>1653</v>
      </c>
      <c r="J50" t="s">
        <v>1359</v>
      </c>
      <c r="K50" t="s">
        <v>1654</v>
      </c>
    </row>
    <row r="51" spans="1:11" x14ac:dyDescent="0.25">
      <c r="A51" s="123">
        <v>50</v>
      </c>
      <c r="B51" s="2" t="s">
        <v>2</v>
      </c>
      <c r="C51" s="123" t="s">
        <v>178</v>
      </c>
      <c r="D51" t="s">
        <v>1655</v>
      </c>
      <c r="E51" s="80" t="s">
        <v>1656</v>
      </c>
      <c r="F51" t="s">
        <v>1657</v>
      </c>
      <c r="G51" t="s">
        <v>1541</v>
      </c>
      <c r="H51" s="80" t="s">
        <v>1658</v>
      </c>
      <c r="I51" s="80" t="s">
        <v>1659</v>
      </c>
      <c r="J51" t="s">
        <v>1660</v>
      </c>
      <c r="K51" t="s">
        <v>1661</v>
      </c>
    </row>
    <row r="52" spans="1:11" x14ac:dyDescent="0.25">
      <c r="A52" s="123">
        <v>51</v>
      </c>
      <c r="B52" s="2" t="s">
        <v>2</v>
      </c>
      <c r="C52" s="123" t="s">
        <v>163</v>
      </c>
      <c r="D52" t="s">
        <v>1662</v>
      </c>
      <c r="E52" s="80" t="s">
        <v>1663</v>
      </c>
      <c r="F52" t="s">
        <v>1664</v>
      </c>
      <c r="G52" t="s">
        <v>1665</v>
      </c>
      <c r="H52" t="s">
        <v>1666</v>
      </c>
      <c r="I52" s="80" t="s">
        <v>1667</v>
      </c>
      <c r="J52" t="s">
        <v>1431</v>
      </c>
      <c r="K52" s="80" t="s">
        <v>1668</v>
      </c>
    </row>
    <row r="53" spans="1:11" x14ac:dyDescent="0.25">
      <c r="A53" s="123">
        <v>52</v>
      </c>
      <c r="B53" s="2" t="s">
        <v>2</v>
      </c>
      <c r="C53" s="123" t="s">
        <v>181</v>
      </c>
      <c r="D53" t="s">
        <v>1455</v>
      </c>
      <c r="E53" s="111" t="s">
        <v>1669</v>
      </c>
      <c r="F53" t="s">
        <v>1670</v>
      </c>
      <c r="G53" t="s">
        <v>1450</v>
      </c>
      <c r="H53" t="s">
        <v>1671</v>
      </c>
      <c r="I53" s="80" t="s">
        <v>1672</v>
      </c>
      <c r="J53" t="s">
        <v>1453</v>
      </c>
      <c r="K53" s="80" t="s">
        <v>1673</v>
      </c>
    </row>
    <row r="54" spans="1:11" x14ac:dyDescent="0.25">
      <c r="A54" s="123">
        <v>53</v>
      </c>
      <c r="B54" s="2" t="s">
        <v>2</v>
      </c>
      <c r="C54" s="123" t="s">
        <v>183</v>
      </c>
      <c r="D54" t="s">
        <v>1674</v>
      </c>
      <c r="E54" s="111" t="s">
        <v>1675</v>
      </c>
      <c r="F54" s="80" t="s">
        <v>1676</v>
      </c>
      <c r="G54" t="s">
        <v>1349</v>
      </c>
      <c r="H54" s="111" t="s">
        <v>1677</v>
      </c>
      <c r="I54" s="80" t="s">
        <v>1678</v>
      </c>
      <c r="J54" t="s">
        <v>1679</v>
      </c>
      <c r="K54" s="111" t="s">
        <v>1680</v>
      </c>
    </row>
    <row r="55" spans="1:11" x14ac:dyDescent="0.25">
      <c r="A55" s="123">
        <v>54</v>
      </c>
      <c r="B55" s="2" t="s">
        <v>2</v>
      </c>
      <c r="C55" s="123" t="s">
        <v>186</v>
      </c>
      <c r="D55" t="s">
        <v>1681</v>
      </c>
      <c r="E55" s="111" t="s">
        <v>1682</v>
      </c>
      <c r="F55" t="s">
        <v>1683</v>
      </c>
      <c r="G55" t="s">
        <v>1684</v>
      </c>
      <c r="H55" s="80" t="s">
        <v>1685</v>
      </c>
      <c r="I55" s="80" t="s">
        <v>1686</v>
      </c>
      <c r="J55" t="s">
        <v>1587</v>
      </c>
      <c r="K55" s="80" t="s">
        <v>1687</v>
      </c>
    </row>
    <row r="56" spans="1:11" x14ac:dyDescent="0.25">
      <c r="A56" s="123">
        <v>55</v>
      </c>
      <c r="B56" s="2" t="s">
        <v>2</v>
      </c>
      <c r="C56" s="123" t="s">
        <v>188</v>
      </c>
      <c r="D56" t="s">
        <v>1575</v>
      </c>
      <c r="E56" s="111" t="s">
        <v>1688</v>
      </c>
      <c r="F56">
        <v>7</v>
      </c>
      <c r="G56" t="s">
        <v>1689</v>
      </c>
      <c r="H56" t="s">
        <v>1690</v>
      </c>
      <c r="I56" t="s">
        <v>1691</v>
      </c>
      <c r="J56" t="s">
        <v>1501</v>
      </c>
      <c r="K56" t="s">
        <v>1692</v>
      </c>
    </row>
    <row r="57" spans="1:11" x14ac:dyDescent="0.25">
      <c r="A57" s="123">
        <v>56</v>
      </c>
      <c r="B57" s="2" t="s">
        <v>2</v>
      </c>
      <c r="C57" s="123" t="s">
        <v>182</v>
      </c>
      <c r="D57" t="s">
        <v>1693</v>
      </c>
      <c r="E57" t="s">
        <v>1694</v>
      </c>
      <c r="F57" t="s">
        <v>1695</v>
      </c>
      <c r="G57" t="s">
        <v>1558</v>
      </c>
      <c r="H57" t="s">
        <v>1696</v>
      </c>
      <c r="I57" s="80" t="s">
        <v>1697</v>
      </c>
      <c r="J57" t="s">
        <v>1568</v>
      </c>
      <c r="K57" t="s">
        <v>1698</v>
      </c>
    </row>
    <row r="58" spans="1:11" x14ac:dyDescent="0.25">
      <c r="A58" s="123">
        <v>57</v>
      </c>
      <c r="B58" s="2" t="s">
        <v>2</v>
      </c>
      <c r="C58" s="123" t="s">
        <v>184</v>
      </c>
      <c r="D58" t="s">
        <v>1699</v>
      </c>
      <c r="E58" t="s">
        <v>1700</v>
      </c>
      <c r="F58" t="s">
        <v>1701</v>
      </c>
      <c r="G58" t="s">
        <v>1342</v>
      </c>
      <c r="H58" t="s">
        <v>1702</v>
      </c>
      <c r="I58" s="80" t="s">
        <v>1703</v>
      </c>
      <c r="J58" t="s">
        <v>1704</v>
      </c>
      <c r="K58" t="s">
        <v>1705</v>
      </c>
    </row>
    <row r="59" spans="1:11" x14ac:dyDescent="0.25">
      <c r="A59" s="123">
        <v>58</v>
      </c>
      <c r="B59" s="2" t="s">
        <v>2</v>
      </c>
      <c r="C59" s="123" t="s">
        <v>187</v>
      </c>
      <c r="D59" t="s">
        <v>1706</v>
      </c>
      <c r="E59" t="s">
        <v>1707</v>
      </c>
      <c r="F59" t="s">
        <v>1708</v>
      </c>
      <c r="G59" t="s">
        <v>1342</v>
      </c>
      <c r="H59" s="80" t="s">
        <v>1709</v>
      </c>
      <c r="I59" s="80" t="s">
        <v>1710</v>
      </c>
      <c r="J59" t="s">
        <v>1431</v>
      </c>
      <c r="K59" t="s">
        <v>1711</v>
      </c>
    </row>
    <row r="60" spans="1:11" x14ac:dyDescent="0.25">
      <c r="A60" s="123">
        <v>59</v>
      </c>
      <c r="B60" s="2" t="s">
        <v>2</v>
      </c>
      <c r="C60" s="123" t="s">
        <v>189</v>
      </c>
      <c r="D60" t="s">
        <v>1699</v>
      </c>
      <c r="E60" t="s">
        <v>1712</v>
      </c>
      <c r="F60" t="s">
        <v>1713</v>
      </c>
      <c r="G60" t="s">
        <v>1714</v>
      </c>
      <c r="H60" t="s">
        <v>1715</v>
      </c>
      <c r="I60" s="80" t="s">
        <v>1716</v>
      </c>
      <c r="J60" t="s">
        <v>1508</v>
      </c>
      <c r="K60" t="s">
        <v>1717</v>
      </c>
    </row>
    <row r="61" spans="1:11" x14ac:dyDescent="0.25">
      <c r="A61" s="123">
        <v>60</v>
      </c>
      <c r="B61" s="2" t="s">
        <v>21</v>
      </c>
      <c r="C61" s="123" t="s">
        <v>162</v>
      </c>
      <c r="D61" t="s">
        <v>1323</v>
      </c>
      <c r="E61" s="80" t="s">
        <v>1718</v>
      </c>
      <c r="F61" t="s">
        <v>1719</v>
      </c>
      <c r="G61" t="s">
        <v>1720</v>
      </c>
      <c r="H61" t="s">
        <v>1721</v>
      </c>
      <c r="I61" t="s">
        <v>1722</v>
      </c>
      <c r="J61" t="s">
        <v>1554</v>
      </c>
      <c r="K61" t="s">
        <v>1723</v>
      </c>
    </row>
    <row r="62" spans="1:11" x14ac:dyDescent="0.25">
      <c r="A62" s="123">
        <v>61</v>
      </c>
      <c r="B62" s="2" t="s">
        <v>21</v>
      </c>
      <c r="C62" s="123" t="s">
        <v>170</v>
      </c>
      <c r="D62" t="s">
        <v>1724</v>
      </c>
      <c r="E62" s="80" t="s">
        <v>1725</v>
      </c>
      <c r="F62" t="s">
        <v>1726</v>
      </c>
      <c r="G62" t="s">
        <v>1578</v>
      </c>
      <c r="H62" t="s">
        <v>1727</v>
      </c>
      <c r="I62" s="80" t="s">
        <v>1728</v>
      </c>
      <c r="J62" t="s">
        <v>1337</v>
      </c>
      <c r="K62" t="s">
        <v>1729</v>
      </c>
    </row>
    <row r="63" spans="1:11" x14ac:dyDescent="0.25">
      <c r="A63" s="123">
        <v>62</v>
      </c>
      <c r="B63" s="2" t="s">
        <v>21</v>
      </c>
      <c r="C63" s="123" t="s">
        <v>178</v>
      </c>
      <c r="D63" t="s">
        <v>1413</v>
      </c>
      <c r="E63" s="80" t="s">
        <v>1730</v>
      </c>
      <c r="F63" t="s">
        <v>1731</v>
      </c>
      <c r="G63" t="s">
        <v>1714</v>
      </c>
      <c r="H63" t="s">
        <v>1732</v>
      </c>
      <c r="I63" s="80" t="s">
        <v>1733</v>
      </c>
      <c r="J63" t="s">
        <v>1581</v>
      </c>
      <c r="K63" t="s">
        <v>1734</v>
      </c>
    </row>
    <row r="64" spans="1:11" x14ac:dyDescent="0.25">
      <c r="A64" s="123">
        <v>63</v>
      </c>
      <c r="B64" s="2" t="s">
        <v>21</v>
      </c>
      <c r="C64" s="123" t="s">
        <v>163</v>
      </c>
      <c r="D64" t="s">
        <v>1361</v>
      </c>
      <c r="E64" s="111" t="s">
        <v>1735</v>
      </c>
      <c r="F64" t="s">
        <v>1736</v>
      </c>
      <c r="G64" t="s">
        <v>1737</v>
      </c>
      <c r="H64" t="s">
        <v>1738</v>
      </c>
      <c r="I64" s="80" t="s">
        <v>1739</v>
      </c>
      <c r="J64" t="s">
        <v>1453</v>
      </c>
      <c r="K64" s="111" t="s">
        <v>1740</v>
      </c>
    </row>
    <row r="65" spans="1:11" x14ac:dyDescent="0.25">
      <c r="A65" s="123">
        <v>64</v>
      </c>
      <c r="B65" s="2" t="s">
        <v>21</v>
      </c>
      <c r="C65" s="123" t="s">
        <v>181</v>
      </c>
      <c r="D65" t="s">
        <v>1398</v>
      </c>
      <c r="E65" s="80" t="s">
        <v>1741</v>
      </c>
      <c r="F65" t="s">
        <v>1742</v>
      </c>
      <c r="G65" t="s">
        <v>1401</v>
      </c>
      <c r="H65" t="s">
        <v>1743</v>
      </c>
      <c r="I65" t="s">
        <v>1744</v>
      </c>
      <c r="J65" t="s">
        <v>1568</v>
      </c>
      <c r="K65" t="s">
        <v>1745</v>
      </c>
    </row>
    <row r="66" spans="1:11" x14ac:dyDescent="0.25">
      <c r="A66" s="123">
        <v>65</v>
      </c>
      <c r="B66" s="2" t="s">
        <v>21</v>
      </c>
      <c r="C66" s="123" t="s">
        <v>183</v>
      </c>
      <c r="D66" t="s">
        <v>1746</v>
      </c>
      <c r="E66" s="111" t="s">
        <v>1747</v>
      </c>
      <c r="F66" t="s">
        <v>1748</v>
      </c>
      <c r="G66" t="s">
        <v>1334</v>
      </c>
      <c r="H66" t="s">
        <v>1749</v>
      </c>
      <c r="I66" s="80" t="s">
        <v>1750</v>
      </c>
      <c r="J66" t="s">
        <v>1751</v>
      </c>
      <c r="K66" t="s">
        <v>1752</v>
      </c>
    </row>
    <row r="67" spans="1:11" x14ac:dyDescent="0.25">
      <c r="A67" s="123">
        <v>66</v>
      </c>
      <c r="B67" s="2" t="s">
        <v>21</v>
      </c>
      <c r="C67" s="123" t="s">
        <v>186</v>
      </c>
      <c r="D67" t="s">
        <v>1346</v>
      </c>
      <c r="E67" s="111" t="s">
        <v>1753</v>
      </c>
      <c r="F67" t="s">
        <v>1754</v>
      </c>
      <c r="G67" t="s">
        <v>1639</v>
      </c>
      <c r="H67" t="s">
        <v>1755</v>
      </c>
      <c r="I67" s="80" t="s">
        <v>1756</v>
      </c>
      <c r="J67" t="s">
        <v>1757</v>
      </c>
      <c r="K67" t="s">
        <v>1758</v>
      </c>
    </row>
    <row r="68" spans="1:11" x14ac:dyDescent="0.25">
      <c r="A68" s="123">
        <v>67</v>
      </c>
      <c r="B68" s="2" t="s">
        <v>21</v>
      </c>
      <c r="C68" s="123" t="s">
        <v>188</v>
      </c>
      <c r="D68" t="s">
        <v>1532</v>
      </c>
      <c r="E68" s="111" t="s">
        <v>1759</v>
      </c>
      <c r="F68" t="s">
        <v>1760</v>
      </c>
      <c r="G68" t="s">
        <v>1665</v>
      </c>
      <c r="H68" t="s">
        <v>1761</v>
      </c>
      <c r="I68" s="80" t="s">
        <v>1762</v>
      </c>
      <c r="J68" t="s">
        <v>1383</v>
      </c>
      <c r="K68" s="111" t="s">
        <v>1763</v>
      </c>
    </row>
    <row r="69" spans="1:11" x14ac:dyDescent="0.25">
      <c r="A69" s="123">
        <v>68</v>
      </c>
      <c r="B69" s="2" t="s">
        <v>21</v>
      </c>
      <c r="C69" s="123" t="s">
        <v>182</v>
      </c>
      <c r="D69" t="s">
        <v>583</v>
      </c>
      <c r="E69" t="s">
        <v>1764</v>
      </c>
      <c r="F69" t="s">
        <v>1571</v>
      </c>
      <c r="G69" t="s">
        <v>1646</v>
      </c>
      <c r="H69" t="s">
        <v>1765</v>
      </c>
      <c r="I69" t="s">
        <v>1766</v>
      </c>
      <c r="J69" t="s">
        <v>583</v>
      </c>
      <c r="K69" t="s">
        <v>583</v>
      </c>
    </row>
    <row r="70" spans="1:11" x14ac:dyDescent="0.25">
      <c r="A70" s="123">
        <v>69</v>
      </c>
      <c r="B70" s="2" t="s">
        <v>21</v>
      </c>
      <c r="C70" s="123" t="s">
        <v>184</v>
      </c>
      <c r="D70" t="s">
        <v>1413</v>
      </c>
      <c r="E70" s="80" t="s">
        <v>1767</v>
      </c>
      <c r="F70" t="s">
        <v>1768</v>
      </c>
      <c r="G70" t="s">
        <v>1689</v>
      </c>
      <c r="H70" t="s">
        <v>1769</v>
      </c>
      <c r="I70" s="80" t="s">
        <v>1770</v>
      </c>
      <c r="J70" t="s">
        <v>1771</v>
      </c>
      <c r="K70" t="s">
        <v>1772</v>
      </c>
    </row>
    <row r="71" spans="1:11" x14ac:dyDescent="0.25">
      <c r="A71" s="123">
        <v>70</v>
      </c>
      <c r="B71" s="2" t="s">
        <v>21</v>
      </c>
      <c r="C71" s="123" t="s">
        <v>187</v>
      </c>
      <c r="D71" t="s">
        <v>1441</v>
      </c>
      <c r="E71" s="111" t="s">
        <v>1773</v>
      </c>
      <c r="F71" t="s">
        <v>1774</v>
      </c>
      <c r="G71" t="s">
        <v>1775</v>
      </c>
      <c r="H71" t="s">
        <v>1776</v>
      </c>
      <c r="I71" s="80" t="s">
        <v>1777</v>
      </c>
      <c r="J71" t="s">
        <v>1345</v>
      </c>
      <c r="K71" t="s">
        <v>1778</v>
      </c>
    </row>
    <row r="72" spans="1:11" x14ac:dyDescent="0.25">
      <c r="A72" s="123">
        <v>71</v>
      </c>
      <c r="B72" s="2" t="s">
        <v>21</v>
      </c>
      <c r="C72" s="123" t="s">
        <v>189</v>
      </c>
      <c r="D72" t="s">
        <v>1354</v>
      </c>
      <c r="E72" s="111" t="s">
        <v>1779</v>
      </c>
      <c r="F72" t="s">
        <v>1780</v>
      </c>
      <c r="G72" t="s">
        <v>1421</v>
      </c>
      <c r="H72" t="s">
        <v>1781</v>
      </c>
      <c r="I72" s="80" t="s">
        <v>1782</v>
      </c>
      <c r="J72" t="s">
        <v>1508</v>
      </c>
      <c r="K72" t="s">
        <v>1783</v>
      </c>
    </row>
    <row r="73" spans="1:11" x14ac:dyDescent="0.25">
      <c r="A73" s="123">
        <v>72</v>
      </c>
      <c r="B73" s="2" t="s">
        <v>3</v>
      </c>
      <c r="C73" s="123" t="s">
        <v>162</v>
      </c>
      <c r="D73" t="s">
        <v>1595</v>
      </c>
      <c r="E73" s="111" t="s">
        <v>1784</v>
      </c>
      <c r="F73" t="s">
        <v>1785</v>
      </c>
      <c r="G73" t="s">
        <v>1689</v>
      </c>
      <c r="H73" t="s">
        <v>1416</v>
      </c>
      <c r="I73" t="s">
        <v>1786</v>
      </c>
      <c r="J73" t="s">
        <v>1787</v>
      </c>
      <c r="K73">
        <v>22</v>
      </c>
    </row>
    <row r="74" spans="1:11" x14ac:dyDescent="0.25">
      <c r="A74" s="123">
        <v>73</v>
      </c>
      <c r="B74" s="2" t="s">
        <v>3</v>
      </c>
      <c r="C74" s="123" t="s">
        <v>170</v>
      </c>
      <c r="D74" t="s">
        <v>1354</v>
      </c>
      <c r="E74" s="80" t="s">
        <v>1426</v>
      </c>
      <c r="F74" t="s">
        <v>1788</v>
      </c>
      <c r="G74" t="s">
        <v>1689</v>
      </c>
      <c r="H74" t="s">
        <v>1789</v>
      </c>
      <c r="I74" s="80" t="s">
        <v>1790</v>
      </c>
      <c r="J74" t="s">
        <v>1771</v>
      </c>
      <c r="K74" t="s">
        <v>1791</v>
      </c>
    </row>
    <row r="75" spans="1:11" x14ac:dyDescent="0.25">
      <c r="A75" s="123">
        <v>74</v>
      </c>
      <c r="B75" s="2" t="s">
        <v>3</v>
      </c>
      <c r="C75" s="123" t="s">
        <v>178</v>
      </c>
      <c r="D75" t="s">
        <v>1792</v>
      </c>
      <c r="E75" s="111" t="s">
        <v>1793</v>
      </c>
      <c r="F75" t="s">
        <v>1794</v>
      </c>
      <c r="G75" t="s">
        <v>1603</v>
      </c>
      <c r="H75" t="s">
        <v>1795</v>
      </c>
      <c r="I75" s="80" t="s">
        <v>1796</v>
      </c>
      <c r="J75" t="s">
        <v>1797</v>
      </c>
      <c r="K75" t="s">
        <v>1798</v>
      </c>
    </row>
    <row r="76" spans="1:11" x14ac:dyDescent="0.25">
      <c r="A76" s="123">
        <v>75</v>
      </c>
      <c r="B76" s="2" t="s">
        <v>3</v>
      </c>
      <c r="C76" s="123" t="s">
        <v>163</v>
      </c>
      <c r="D76" t="s">
        <v>1799</v>
      </c>
      <c r="E76" s="111" t="s">
        <v>1800</v>
      </c>
      <c r="F76" t="s">
        <v>1801</v>
      </c>
      <c r="G76" t="s">
        <v>1466</v>
      </c>
      <c r="H76" s="80" t="s">
        <v>1802</v>
      </c>
      <c r="I76" s="80" t="s">
        <v>1803</v>
      </c>
      <c r="J76" t="s">
        <v>1804</v>
      </c>
      <c r="K76" s="111" t="s">
        <v>1805</v>
      </c>
    </row>
    <row r="77" spans="1:11" x14ac:dyDescent="0.25">
      <c r="A77" s="123">
        <v>76</v>
      </c>
      <c r="B77" s="2" t="s">
        <v>3</v>
      </c>
      <c r="C77" s="123" t="s">
        <v>181</v>
      </c>
      <c r="D77" t="s">
        <v>1339</v>
      </c>
      <c r="E77" s="111" t="s">
        <v>1806</v>
      </c>
      <c r="F77" t="s">
        <v>1807</v>
      </c>
      <c r="G77" t="s">
        <v>1720</v>
      </c>
      <c r="H77" t="s">
        <v>1808</v>
      </c>
      <c r="I77" t="s">
        <v>1809</v>
      </c>
      <c r="J77" t="s">
        <v>1771</v>
      </c>
      <c r="K77" t="s">
        <v>1810</v>
      </c>
    </row>
    <row r="78" spans="1:11" x14ac:dyDescent="0.25">
      <c r="A78" s="123">
        <v>77</v>
      </c>
      <c r="B78" s="2" t="s">
        <v>3</v>
      </c>
      <c r="C78" s="123" t="s">
        <v>183</v>
      </c>
      <c r="D78" t="s">
        <v>1792</v>
      </c>
      <c r="E78" s="111" t="s">
        <v>1811</v>
      </c>
      <c r="F78" t="s">
        <v>1812</v>
      </c>
      <c r="G78" t="s">
        <v>1342</v>
      </c>
      <c r="H78" t="s">
        <v>1813</v>
      </c>
      <c r="I78" s="80" t="s">
        <v>1814</v>
      </c>
      <c r="J78" t="s">
        <v>1757</v>
      </c>
      <c r="K78" t="s">
        <v>1815</v>
      </c>
    </row>
    <row r="79" spans="1:11" x14ac:dyDescent="0.25">
      <c r="A79" s="123">
        <v>78</v>
      </c>
      <c r="B79" s="2" t="s">
        <v>3</v>
      </c>
      <c r="C79" s="123" t="s">
        <v>186</v>
      </c>
      <c r="D79" t="s">
        <v>1816</v>
      </c>
      <c r="E79" s="111" t="s">
        <v>1817</v>
      </c>
      <c r="F79" s="111" t="s">
        <v>1818</v>
      </c>
      <c r="G79" t="s">
        <v>1819</v>
      </c>
      <c r="H79" t="s">
        <v>1820</v>
      </c>
      <c r="I79" s="80" t="s">
        <v>1821</v>
      </c>
      <c r="J79" t="s">
        <v>1523</v>
      </c>
      <c r="K79" s="80" t="s">
        <v>1822</v>
      </c>
    </row>
    <row r="80" spans="1:11" x14ac:dyDescent="0.25">
      <c r="A80" s="123">
        <v>79</v>
      </c>
      <c r="B80" s="2" t="s">
        <v>3</v>
      </c>
      <c r="C80" s="123" t="s">
        <v>188</v>
      </c>
      <c r="D80" t="s">
        <v>1447</v>
      </c>
      <c r="E80" s="111" t="s">
        <v>1823</v>
      </c>
      <c r="F80" t="s">
        <v>1824</v>
      </c>
      <c r="G80" t="s">
        <v>1825</v>
      </c>
      <c r="H80" t="s">
        <v>1826</v>
      </c>
      <c r="I80" s="80" t="s">
        <v>1827</v>
      </c>
      <c r="J80" t="s">
        <v>1828</v>
      </c>
      <c r="K80" s="111" t="s">
        <v>1829</v>
      </c>
    </row>
    <row r="81" spans="1:11" x14ac:dyDescent="0.25">
      <c r="A81" s="123">
        <v>80</v>
      </c>
      <c r="B81" s="2" t="s">
        <v>3</v>
      </c>
      <c r="C81" s="123" t="s">
        <v>182</v>
      </c>
      <c r="D81" t="s">
        <v>1830</v>
      </c>
      <c r="E81" t="s">
        <v>1831</v>
      </c>
      <c r="F81" t="s">
        <v>583</v>
      </c>
      <c r="G81" t="s">
        <v>1393</v>
      </c>
      <c r="H81" t="s">
        <v>1832</v>
      </c>
      <c r="I81" t="s">
        <v>1833</v>
      </c>
      <c r="J81" t="s">
        <v>583</v>
      </c>
      <c r="K81" t="s">
        <v>1834</v>
      </c>
    </row>
    <row r="82" spans="1:11" x14ac:dyDescent="0.25">
      <c r="A82" s="123">
        <v>81</v>
      </c>
      <c r="B82" s="2" t="s">
        <v>3</v>
      </c>
      <c r="C82" s="123" t="s">
        <v>184</v>
      </c>
      <c r="D82" t="s">
        <v>1792</v>
      </c>
      <c r="E82" t="s">
        <v>1835</v>
      </c>
      <c r="F82" t="s">
        <v>1836</v>
      </c>
      <c r="G82" t="s">
        <v>1334</v>
      </c>
      <c r="H82" s="80" t="s">
        <v>1837</v>
      </c>
      <c r="I82" s="80" t="s">
        <v>1838</v>
      </c>
      <c r="J82" t="s">
        <v>1839</v>
      </c>
      <c r="K82" t="s">
        <v>1840</v>
      </c>
    </row>
    <row r="83" spans="1:11" x14ac:dyDescent="0.25">
      <c r="A83" s="123">
        <v>82</v>
      </c>
      <c r="B83" s="2" t="s">
        <v>3</v>
      </c>
      <c r="C83" s="123" t="s">
        <v>187</v>
      </c>
      <c r="D83" t="s">
        <v>1841</v>
      </c>
      <c r="E83" t="s">
        <v>1842</v>
      </c>
      <c r="F83" t="s">
        <v>1843</v>
      </c>
      <c r="G83" t="s">
        <v>1775</v>
      </c>
      <c r="H83" s="80" t="s">
        <v>1844</v>
      </c>
      <c r="I83" s="80" t="s">
        <v>1845</v>
      </c>
      <c r="J83" t="s">
        <v>1846</v>
      </c>
      <c r="K83" s="80" t="s">
        <v>1847</v>
      </c>
    </row>
    <row r="84" spans="1:11" x14ac:dyDescent="0.25">
      <c r="A84" s="123">
        <v>83</v>
      </c>
      <c r="B84" s="2" t="s">
        <v>3</v>
      </c>
      <c r="C84" s="123" t="s">
        <v>189</v>
      </c>
      <c r="D84" t="s">
        <v>1848</v>
      </c>
      <c r="E84" t="s">
        <v>1849</v>
      </c>
      <c r="F84" t="s">
        <v>1850</v>
      </c>
      <c r="G84" t="s">
        <v>1775</v>
      </c>
      <c r="H84" s="80" t="s">
        <v>1851</v>
      </c>
      <c r="I84" s="80" t="s">
        <v>1852</v>
      </c>
      <c r="J84" t="s">
        <v>1853</v>
      </c>
      <c r="K84" s="80" t="s">
        <v>1854</v>
      </c>
    </row>
    <row r="85" spans="1:11" x14ac:dyDescent="0.25">
      <c r="A85" s="123">
        <v>84</v>
      </c>
      <c r="B85" s="2">
        <v>2019</v>
      </c>
      <c r="C85" s="123" t="s">
        <v>162</v>
      </c>
      <c r="D85" t="s">
        <v>1855</v>
      </c>
      <c r="E85" t="s">
        <v>1856</v>
      </c>
      <c r="F85" t="s">
        <v>1857</v>
      </c>
      <c r="G85" t="s">
        <v>1858</v>
      </c>
      <c r="H85" t="s">
        <v>1859</v>
      </c>
      <c r="I85" t="s">
        <v>1860</v>
      </c>
      <c r="J85" t="s">
        <v>1411</v>
      </c>
      <c r="K85" t="s">
        <v>1861</v>
      </c>
    </row>
    <row r="86" spans="1:11" x14ac:dyDescent="0.25">
      <c r="A86" s="123">
        <v>85</v>
      </c>
      <c r="B86" s="2">
        <v>2019</v>
      </c>
      <c r="C86" s="123" t="s">
        <v>170</v>
      </c>
      <c r="D86" t="s">
        <v>1862</v>
      </c>
      <c r="E86" t="s">
        <v>1863</v>
      </c>
      <c r="F86" t="s">
        <v>1864</v>
      </c>
      <c r="G86" t="s">
        <v>1408</v>
      </c>
      <c r="H86" t="s">
        <v>1865</v>
      </c>
      <c r="I86" s="80" t="s">
        <v>1866</v>
      </c>
      <c r="J86" t="s">
        <v>1867</v>
      </c>
      <c r="K86" t="s">
        <v>1868</v>
      </c>
    </row>
    <row r="87" spans="1:11" x14ac:dyDescent="0.25">
      <c r="A87" s="123">
        <v>86</v>
      </c>
      <c r="B87" s="2">
        <v>2019</v>
      </c>
      <c r="C87" s="123" t="s">
        <v>178</v>
      </c>
      <c r="D87" t="s">
        <v>1869</v>
      </c>
      <c r="E87" t="s">
        <v>1870</v>
      </c>
      <c r="F87" t="s">
        <v>1871</v>
      </c>
      <c r="G87" t="s">
        <v>1334</v>
      </c>
      <c r="H87" t="s">
        <v>1872</v>
      </c>
      <c r="I87" s="80" t="s">
        <v>1873</v>
      </c>
      <c r="J87" t="s">
        <v>1704</v>
      </c>
      <c r="K87" t="s">
        <v>1874</v>
      </c>
    </row>
    <row r="88" spans="1:11" x14ac:dyDescent="0.25">
      <c r="A88" s="123">
        <v>87</v>
      </c>
      <c r="B88" s="2">
        <v>2019</v>
      </c>
      <c r="C88" s="123" t="s">
        <v>163</v>
      </c>
      <c r="D88" t="s">
        <v>1875</v>
      </c>
      <c r="E88" s="80" t="s">
        <v>1876</v>
      </c>
      <c r="F88" t="s">
        <v>1877</v>
      </c>
      <c r="G88" t="s">
        <v>1689</v>
      </c>
      <c r="H88" t="s">
        <v>1878</v>
      </c>
      <c r="I88" t="s">
        <v>1879</v>
      </c>
      <c r="J88" t="s">
        <v>1771</v>
      </c>
      <c r="K88" t="s">
        <v>1880</v>
      </c>
    </row>
    <row r="89" spans="1:11" x14ac:dyDescent="0.25">
      <c r="A89" s="123">
        <v>88</v>
      </c>
      <c r="B89" s="2">
        <v>2019</v>
      </c>
      <c r="C89" s="123" t="s">
        <v>181</v>
      </c>
      <c r="D89" t="s">
        <v>1881</v>
      </c>
      <c r="E89" s="111" t="s">
        <v>791</v>
      </c>
      <c r="F89" t="s">
        <v>1785</v>
      </c>
      <c r="G89" t="s">
        <v>1401</v>
      </c>
      <c r="H89" t="s">
        <v>1882</v>
      </c>
      <c r="I89" t="s">
        <v>1883</v>
      </c>
      <c r="J89" t="s">
        <v>1771</v>
      </c>
      <c r="K89" t="s">
        <v>1884</v>
      </c>
    </row>
    <row r="90" spans="1:11" x14ac:dyDescent="0.25">
      <c r="A90" s="123">
        <v>89</v>
      </c>
      <c r="B90" s="2">
        <v>2019</v>
      </c>
      <c r="C90" s="123" t="s">
        <v>183</v>
      </c>
      <c r="D90" t="s">
        <v>1885</v>
      </c>
      <c r="E90" t="s">
        <v>1886</v>
      </c>
      <c r="F90" t="s">
        <v>1887</v>
      </c>
      <c r="G90" t="s">
        <v>1478</v>
      </c>
      <c r="H90" t="s">
        <v>1888</v>
      </c>
      <c r="I90" s="80" t="s">
        <v>1889</v>
      </c>
      <c r="J90" t="s">
        <v>1424</v>
      </c>
      <c r="K90" t="s">
        <v>1890</v>
      </c>
    </row>
    <row r="91" spans="1:11" x14ac:dyDescent="0.25">
      <c r="A91" s="123">
        <v>90</v>
      </c>
      <c r="B91" s="2">
        <v>2019</v>
      </c>
      <c r="C91" s="123" t="s">
        <v>186</v>
      </c>
      <c r="D91" t="s">
        <v>1881</v>
      </c>
      <c r="E91" t="s">
        <v>1891</v>
      </c>
      <c r="F91" t="s">
        <v>1892</v>
      </c>
      <c r="G91" t="s">
        <v>1527</v>
      </c>
      <c r="H91" t="s">
        <v>1893</v>
      </c>
      <c r="I91" s="80" t="s">
        <v>1894</v>
      </c>
      <c r="J91" t="s">
        <v>1424</v>
      </c>
      <c r="K91" t="s">
        <v>1895</v>
      </c>
    </row>
    <row r="92" spans="1:11" x14ac:dyDescent="0.25">
      <c r="A92" s="123">
        <v>91</v>
      </c>
      <c r="B92" s="2">
        <v>2019</v>
      </c>
      <c r="C92" s="123" t="s">
        <v>188</v>
      </c>
      <c r="D92" t="s">
        <v>1885</v>
      </c>
      <c r="E92" s="80" t="s">
        <v>1896</v>
      </c>
      <c r="F92" t="s">
        <v>1897</v>
      </c>
      <c r="G92" t="s">
        <v>1898</v>
      </c>
      <c r="H92" t="s">
        <v>1899</v>
      </c>
      <c r="I92" s="80" t="s">
        <v>1900</v>
      </c>
      <c r="J92" t="s">
        <v>1704</v>
      </c>
      <c r="K92" t="s">
        <v>1901</v>
      </c>
    </row>
    <row r="93" spans="1:11" x14ac:dyDescent="0.25">
      <c r="A93" s="123">
        <v>92</v>
      </c>
      <c r="B93" s="2">
        <v>2019</v>
      </c>
      <c r="C93" s="123" t="s">
        <v>182</v>
      </c>
      <c r="D93" s="80" t="s">
        <v>1902</v>
      </c>
      <c r="E93" t="s">
        <v>1903</v>
      </c>
      <c r="F93" s="80" t="s">
        <v>1904</v>
      </c>
      <c r="G93" s="80" t="s">
        <v>1905</v>
      </c>
      <c r="H93" t="s">
        <v>583</v>
      </c>
      <c r="I93" t="s">
        <v>1906</v>
      </c>
      <c r="J93" t="s">
        <v>583</v>
      </c>
      <c r="K93" t="s">
        <v>583</v>
      </c>
    </row>
    <row r="94" spans="1:11" x14ac:dyDescent="0.25">
      <c r="A94" s="123">
        <v>93</v>
      </c>
      <c r="B94" s="2">
        <v>2019</v>
      </c>
      <c r="C94" s="123" t="s">
        <v>184</v>
      </c>
      <c r="D94" t="s">
        <v>1907</v>
      </c>
      <c r="E94" t="s">
        <v>1908</v>
      </c>
      <c r="F94" t="s">
        <v>1909</v>
      </c>
      <c r="G94" t="s">
        <v>1558</v>
      </c>
      <c r="H94" t="s">
        <v>1910</v>
      </c>
      <c r="I94" s="80" t="s">
        <v>1911</v>
      </c>
      <c r="J94" t="s">
        <v>1488</v>
      </c>
      <c r="K94" t="s">
        <v>1912</v>
      </c>
    </row>
    <row r="95" spans="1:11" x14ac:dyDescent="0.25">
      <c r="A95" s="123">
        <v>94</v>
      </c>
      <c r="B95" s="2">
        <v>2019</v>
      </c>
      <c r="C95" s="123" t="s">
        <v>187</v>
      </c>
      <c r="D95" t="s">
        <v>1913</v>
      </c>
      <c r="E95" t="s">
        <v>1914</v>
      </c>
      <c r="F95" t="s">
        <v>1915</v>
      </c>
      <c r="G95" t="s">
        <v>1334</v>
      </c>
      <c r="H95" s="80" t="s">
        <v>1916</v>
      </c>
      <c r="I95" s="80" t="s">
        <v>1917</v>
      </c>
      <c r="J95" t="s">
        <v>1839</v>
      </c>
      <c r="K95" t="s">
        <v>1918</v>
      </c>
    </row>
    <row r="96" spans="1:11" x14ac:dyDescent="0.25">
      <c r="A96" s="123">
        <v>95</v>
      </c>
      <c r="B96" s="2">
        <v>2019</v>
      </c>
      <c r="C96" s="123" t="s">
        <v>189</v>
      </c>
      <c r="D96" t="s">
        <v>1919</v>
      </c>
      <c r="E96" t="s">
        <v>1920</v>
      </c>
      <c r="F96" t="s">
        <v>1921</v>
      </c>
      <c r="G96" t="s">
        <v>1334</v>
      </c>
      <c r="H96" t="s">
        <v>1922</v>
      </c>
      <c r="I96" s="80" t="s">
        <v>1923</v>
      </c>
      <c r="J96" t="s">
        <v>1629</v>
      </c>
      <c r="K96" t="s">
        <v>1924</v>
      </c>
    </row>
    <row r="97" spans="1:11" x14ac:dyDescent="0.25">
      <c r="A97" s="123">
        <v>96</v>
      </c>
      <c r="B97" s="2" t="s">
        <v>4</v>
      </c>
      <c r="C97" s="123" t="s">
        <v>162</v>
      </c>
      <c r="D97" t="s">
        <v>1925</v>
      </c>
      <c r="E97" t="s">
        <v>1926</v>
      </c>
      <c r="F97" t="s">
        <v>1927</v>
      </c>
      <c r="G97" t="s">
        <v>1858</v>
      </c>
      <c r="H97" t="s">
        <v>1859</v>
      </c>
      <c r="I97" t="s">
        <v>1928</v>
      </c>
      <c r="J97" t="s">
        <v>1929</v>
      </c>
      <c r="K97">
        <v>22</v>
      </c>
    </row>
    <row r="98" spans="1:11" x14ac:dyDescent="0.25">
      <c r="A98" s="123">
        <v>97</v>
      </c>
      <c r="B98" s="2" t="s">
        <v>4</v>
      </c>
      <c r="C98" s="123" t="s">
        <v>170</v>
      </c>
      <c r="D98" t="s">
        <v>1885</v>
      </c>
      <c r="E98" s="80" t="s">
        <v>1930</v>
      </c>
      <c r="F98" t="s">
        <v>1931</v>
      </c>
      <c r="G98" t="s">
        <v>1558</v>
      </c>
      <c r="H98" t="s">
        <v>1932</v>
      </c>
      <c r="I98" s="80" t="s">
        <v>1933</v>
      </c>
      <c r="J98" t="s">
        <v>1867</v>
      </c>
      <c r="K98" t="s">
        <v>1934</v>
      </c>
    </row>
    <row r="99" spans="1:11" x14ac:dyDescent="0.25">
      <c r="A99" s="123">
        <v>98</v>
      </c>
      <c r="B99" s="2" t="s">
        <v>4</v>
      </c>
      <c r="C99" s="123" t="s">
        <v>178</v>
      </c>
      <c r="D99" t="s">
        <v>1339</v>
      </c>
      <c r="E99" s="80" t="s">
        <v>1935</v>
      </c>
      <c r="F99" t="s">
        <v>1936</v>
      </c>
      <c r="G99" t="s">
        <v>1937</v>
      </c>
      <c r="H99" t="s">
        <v>1938</v>
      </c>
      <c r="I99" s="80" t="s">
        <v>1939</v>
      </c>
      <c r="J99" t="s">
        <v>1797</v>
      </c>
      <c r="K99" t="s">
        <v>1940</v>
      </c>
    </row>
    <row r="100" spans="1:11" x14ac:dyDescent="0.25">
      <c r="A100" s="123">
        <v>99</v>
      </c>
      <c r="B100" s="2" t="s">
        <v>4</v>
      </c>
      <c r="C100" s="123" t="s">
        <v>163</v>
      </c>
      <c r="D100" t="s">
        <v>1816</v>
      </c>
      <c r="E100" s="80" t="s">
        <v>1941</v>
      </c>
      <c r="F100" t="s">
        <v>1942</v>
      </c>
      <c r="G100" t="s">
        <v>1775</v>
      </c>
      <c r="H100" t="s">
        <v>1943</v>
      </c>
      <c r="I100" s="80" t="s">
        <v>1944</v>
      </c>
      <c r="J100" t="s">
        <v>1431</v>
      </c>
      <c r="K100" s="80" t="s">
        <v>1945</v>
      </c>
    </row>
    <row r="101" spans="1:11" x14ac:dyDescent="0.25">
      <c r="A101" s="123">
        <v>100</v>
      </c>
      <c r="B101" s="2" t="s">
        <v>4</v>
      </c>
      <c r="C101" s="123" t="s">
        <v>181</v>
      </c>
      <c r="D101" t="s">
        <v>1413</v>
      </c>
      <c r="E101" s="80" t="s">
        <v>1946</v>
      </c>
      <c r="F101" t="s">
        <v>1947</v>
      </c>
      <c r="G101" t="s">
        <v>1326</v>
      </c>
      <c r="H101" t="s">
        <v>1948</v>
      </c>
      <c r="I101" t="s">
        <v>1949</v>
      </c>
      <c r="J101" t="s">
        <v>1411</v>
      </c>
      <c r="K101" t="s">
        <v>1950</v>
      </c>
    </row>
    <row r="102" spans="1:11" x14ac:dyDescent="0.25">
      <c r="A102" s="123">
        <v>101</v>
      </c>
      <c r="B102" s="2" t="s">
        <v>4</v>
      </c>
      <c r="C102" s="123" t="s">
        <v>183</v>
      </c>
      <c r="D102" t="s">
        <v>1951</v>
      </c>
      <c r="E102" s="80" t="s">
        <v>1952</v>
      </c>
      <c r="F102" t="s">
        <v>1953</v>
      </c>
      <c r="G102" t="s">
        <v>1421</v>
      </c>
      <c r="H102" t="s">
        <v>1954</v>
      </c>
      <c r="I102" s="80" t="s">
        <v>1955</v>
      </c>
      <c r="J102" t="s">
        <v>1956</v>
      </c>
      <c r="K102" t="s">
        <v>1957</v>
      </c>
    </row>
    <row r="103" spans="1:11" x14ac:dyDescent="0.25">
      <c r="A103" s="123">
        <v>102</v>
      </c>
      <c r="B103" s="2" t="s">
        <v>4</v>
      </c>
      <c r="C103" s="123" t="s">
        <v>186</v>
      </c>
      <c r="D103" t="s">
        <v>1346</v>
      </c>
      <c r="E103" s="80" t="s">
        <v>1958</v>
      </c>
      <c r="F103" t="s">
        <v>1959</v>
      </c>
      <c r="G103" t="s">
        <v>1775</v>
      </c>
      <c r="H103" s="80" t="s">
        <v>1960</v>
      </c>
      <c r="I103" s="80" t="s">
        <v>1961</v>
      </c>
      <c r="J103" t="s">
        <v>1962</v>
      </c>
      <c r="K103" s="80" t="s">
        <v>1963</v>
      </c>
    </row>
    <row r="104" spans="1:11" x14ac:dyDescent="0.25">
      <c r="A104" s="123">
        <v>103</v>
      </c>
      <c r="B104" s="2" t="s">
        <v>4</v>
      </c>
      <c r="C104" s="123" t="s">
        <v>188</v>
      </c>
      <c r="D104" t="s">
        <v>1964</v>
      </c>
      <c r="E104" s="111" t="s">
        <v>793</v>
      </c>
      <c r="F104" t="s">
        <v>1965</v>
      </c>
      <c r="G104" t="s">
        <v>1775</v>
      </c>
      <c r="H104" t="s">
        <v>1966</v>
      </c>
      <c r="I104" s="80" t="s">
        <v>1967</v>
      </c>
      <c r="J104" t="s">
        <v>1352</v>
      </c>
      <c r="K104" s="111" t="s">
        <v>794</v>
      </c>
    </row>
    <row r="105" spans="1:11" x14ac:dyDescent="0.25">
      <c r="A105" s="123">
        <v>104</v>
      </c>
      <c r="B105" s="2" t="s">
        <v>4</v>
      </c>
      <c r="C105" s="123" t="s">
        <v>182</v>
      </c>
      <c r="D105" s="80" t="s">
        <v>1968</v>
      </c>
      <c r="E105" t="s">
        <v>1969</v>
      </c>
      <c r="F105" t="s">
        <v>583</v>
      </c>
      <c r="G105" s="80" t="s">
        <v>1970</v>
      </c>
      <c r="H105" t="s">
        <v>583</v>
      </c>
      <c r="I105" t="s">
        <v>1971</v>
      </c>
      <c r="J105" t="s">
        <v>583</v>
      </c>
      <c r="K105" t="s">
        <v>583</v>
      </c>
    </row>
    <row r="106" spans="1:11" x14ac:dyDescent="0.25">
      <c r="A106" s="123">
        <v>105</v>
      </c>
      <c r="B106" s="2" t="s">
        <v>4</v>
      </c>
      <c r="C106" s="123" t="s">
        <v>184</v>
      </c>
      <c r="D106" t="s">
        <v>1323</v>
      </c>
      <c r="E106" t="s">
        <v>1972</v>
      </c>
      <c r="F106" t="s">
        <v>1973</v>
      </c>
      <c r="G106" t="s">
        <v>1401</v>
      </c>
      <c r="H106" t="s">
        <v>1974</v>
      </c>
      <c r="I106" s="80" t="s">
        <v>1975</v>
      </c>
      <c r="J106" t="s">
        <v>1929</v>
      </c>
      <c r="K106" t="s">
        <v>1976</v>
      </c>
    </row>
    <row r="107" spans="1:11" x14ac:dyDescent="0.25">
      <c r="A107" s="123">
        <v>106</v>
      </c>
      <c r="B107" s="2" t="s">
        <v>4</v>
      </c>
      <c r="C107" s="123" t="s">
        <v>187</v>
      </c>
      <c r="D107" t="s">
        <v>1354</v>
      </c>
      <c r="E107" t="s">
        <v>1977</v>
      </c>
      <c r="F107" t="s">
        <v>1978</v>
      </c>
      <c r="G107" t="s">
        <v>1689</v>
      </c>
      <c r="H107" t="s">
        <v>1979</v>
      </c>
      <c r="I107" s="80" t="s">
        <v>1980</v>
      </c>
      <c r="J107" t="s">
        <v>1981</v>
      </c>
      <c r="K107" t="s">
        <v>1982</v>
      </c>
    </row>
    <row r="108" spans="1:11" x14ac:dyDescent="0.25">
      <c r="A108" s="123">
        <v>107</v>
      </c>
      <c r="B108" s="2" t="s">
        <v>4</v>
      </c>
      <c r="C108" s="123" t="s">
        <v>189</v>
      </c>
      <c r="D108" t="s">
        <v>1483</v>
      </c>
      <c r="E108" t="s">
        <v>1983</v>
      </c>
      <c r="F108" t="s">
        <v>1984</v>
      </c>
      <c r="G108" t="s">
        <v>1401</v>
      </c>
      <c r="H108" t="s">
        <v>1985</v>
      </c>
      <c r="I108" s="80" t="s">
        <v>1986</v>
      </c>
      <c r="J108" t="s">
        <v>1771</v>
      </c>
      <c r="K108" t="s">
        <v>1987</v>
      </c>
    </row>
    <row r="109" spans="1:11" x14ac:dyDescent="0.25">
      <c r="A109" s="123">
        <v>108</v>
      </c>
      <c r="B109" s="2">
        <v>2017</v>
      </c>
      <c r="C109" s="123" t="s">
        <v>162</v>
      </c>
      <c r="D109" s="80" t="s">
        <v>1902</v>
      </c>
      <c r="E109" t="s">
        <v>1988</v>
      </c>
      <c r="F109" t="s">
        <v>1989</v>
      </c>
      <c r="G109" s="80" t="s">
        <v>1436</v>
      </c>
      <c r="H109" t="s">
        <v>583</v>
      </c>
      <c r="I109" t="s">
        <v>1328</v>
      </c>
      <c r="J109" t="s">
        <v>583</v>
      </c>
      <c r="K109" s="80" t="s">
        <v>1990</v>
      </c>
    </row>
    <row r="110" spans="1:11" x14ac:dyDescent="0.25">
      <c r="A110" s="123">
        <v>109</v>
      </c>
      <c r="B110" s="2">
        <v>2017</v>
      </c>
      <c r="C110" s="123" t="s">
        <v>170</v>
      </c>
      <c r="D110" t="s">
        <v>1881</v>
      </c>
      <c r="E110" t="s">
        <v>1991</v>
      </c>
      <c r="F110" t="s">
        <v>1992</v>
      </c>
      <c r="G110" t="s">
        <v>1646</v>
      </c>
      <c r="H110" t="s">
        <v>1993</v>
      </c>
      <c r="I110" s="80" t="s">
        <v>1994</v>
      </c>
      <c r="J110" t="s">
        <v>1929</v>
      </c>
      <c r="K110" t="s">
        <v>1995</v>
      </c>
    </row>
    <row r="111" spans="1:11" x14ac:dyDescent="0.25">
      <c r="A111" s="123">
        <v>110</v>
      </c>
      <c r="B111" s="2">
        <v>2017</v>
      </c>
      <c r="C111" s="123" t="s">
        <v>178</v>
      </c>
      <c r="D111" t="s">
        <v>1996</v>
      </c>
      <c r="E111" t="s">
        <v>1997</v>
      </c>
      <c r="F111" t="s">
        <v>1998</v>
      </c>
      <c r="G111" t="s">
        <v>1408</v>
      </c>
      <c r="H111" t="s">
        <v>1999</v>
      </c>
      <c r="I111" s="80" t="s">
        <v>2000</v>
      </c>
      <c r="J111" t="s">
        <v>2001</v>
      </c>
      <c r="K111" t="s">
        <v>2002</v>
      </c>
    </row>
    <row r="112" spans="1:11" x14ac:dyDescent="0.25">
      <c r="A112" s="123">
        <v>111</v>
      </c>
      <c r="B112" s="2">
        <v>2017</v>
      </c>
      <c r="C112" s="123" t="s">
        <v>163</v>
      </c>
      <c r="D112" t="s">
        <v>1816</v>
      </c>
      <c r="E112" t="s">
        <v>2003</v>
      </c>
      <c r="F112" t="s">
        <v>2004</v>
      </c>
      <c r="G112" t="s">
        <v>1478</v>
      </c>
      <c r="H112" t="s">
        <v>2005</v>
      </c>
      <c r="I112" s="80" t="s">
        <v>2006</v>
      </c>
      <c r="J112" t="s">
        <v>1411</v>
      </c>
      <c r="K112" t="s">
        <v>2007</v>
      </c>
    </row>
    <row r="113" spans="1:11" x14ac:dyDescent="0.25">
      <c r="A113" s="123">
        <v>112</v>
      </c>
      <c r="B113" s="2">
        <v>2017</v>
      </c>
      <c r="C113" s="123" t="s">
        <v>182</v>
      </c>
      <c r="D113" s="80" t="s">
        <v>1968</v>
      </c>
      <c r="E113" t="s">
        <v>2008</v>
      </c>
      <c r="F113" s="80" t="s">
        <v>2009</v>
      </c>
      <c r="G113" s="80" t="s">
        <v>1436</v>
      </c>
      <c r="H113" t="s">
        <v>2010</v>
      </c>
      <c r="I113" t="s">
        <v>2011</v>
      </c>
      <c r="J113" t="s">
        <v>583</v>
      </c>
      <c r="K113" t="s">
        <v>583</v>
      </c>
    </row>
    <row r="114" spans="1:11" x14ac:dyDescent="0.25">
      <c r="A114" s="123">
        <v>113</v>
      </c>
      <c r="B114" s="2">
        <v>2017</v>
      </c>
      <c r="C114" s="123" t="s">
        <v>184</v>
      </c>
      <c r="D114" t="s">
        <v>2012</v>
      </c>
      <c r="E114" t="s">
        <v>2013</v>
      </c>
      <c r="F114" t="s">
        <v>2014</v>
      </c>
      <c r="G114" t="s">
        <v>1401</v>
      </c>
      <c r="H114" t="s">
        <v>2015</v>
      </c>
      <c r="I114" s="80" t="s">
        <v>2016</v>
      </c>
      <c r="J114" t="s">
        <v>1488</v>
      </c>
      <c r="K114" t="s">
        <v>2017</v>
      </c>
    </row>
    <row r="115" spans="1:11" x14ac:dyDescent="0.25">
      <c r="A115" s="123">
        <v>114</v>
      </c>
      <c r="B115" s="2">
        <v>2017</v>
      </c>
      <c r="C115" s="123" t="s">
        <v>187</v>
      </c>
      <c r="D115" t="s">
        <v>2018</v>
      </c>
      <c r="E115" t="s">
        <v>2019</v>
      </c>
      <c r="F115" t="s">
        <v>2020</v>
      </c>
      <c r="G115" t="s">
        <v>1478</v>
      </c>
      <c r="H115" s="80" t="s">
        <v>2021</v>
      </c>
      <c r="I115" s="80" t="s">
        <v>2022</v>
      </c>
      <c r="J115" t="s">
        <v>1981</v>
      </c>
      <c r="K115" t="s">
        <v>2023</v>
      </c>
    </row>
    <row r="116" spans="1:11" x14ac:dyDescent="0.25">
      <c r="A116" s="123">
        <v>115</v>
      </c>
      <c r="B116" s="2">
        <v>2017</v>
      </c>
      <c r="C116" s="123" t="s">
        <v>189</v>
      </c>
      <c r="D116" t="s">
        <v>2024</v>
      </c>
      <c r="E116" t="s">
        <v>2025</v>
      </c>
      <c r="F116" t="s">
        <v>2026</v>
      </c>
      <c r="G116" t="s">
        <v>1408</v>
      </c>
      <c r="H116" t="s">
        <v>2027</v>
      </c>
      <c r="I116" s="80" t="s">
        <v>2028</v>
      </c>
      <c r="J116" t="s">
        <v>1704</v>
      </c>
      <c r="K116" t="s">
        <v>2029</v>
      </c>
    </row>
    <row r="117" spans="1:11" x14ac:dyDescent="0.25">
      <c r="A117" s="123">
        <v>116</v>
      </c>
      <c r="B117" s="2">
        <v>2018</v>
      </c>
      <c r="C117" s="123" t="s">
        <v>162</v>
      </c>
      <c r="D117" t="s">
        <v>1483</v>
      </c>
      <c r="E117" s="80" t="s">
        <v>2030</v>
      </c>
      <c r="F117" t="s">
        <v>2031</v>
      </c>
      <c r="G117" t="s">
        <v>2032</v>
      </c>
      <c r="H117" t="s">
        <v>2033</v>
      </c>
      <c r="I117" t="s">
        <v>2034</v>
      </c>
      <c r="J117" t="s">
        <v>2035</v>
      </c>
      <c r="K117" t="s">
        <v>2036</v>
      </c>
    </row>
    <row r="118" spans="1:11" x14ac:dyDescent="0.25">
      <c r="A118" s="123">
        <v>117</v>
      </c>
      <c r="B118" s="2">
        <v>2018</v>
      </c>
      <c r="C118" s="123" t="s">
        <v>170</v>
      </c>
      <c r="D118" t="s">
        <v>1848</v>
      </c>
      <c r="E118" s="80" t="s">
        <v>2037</v>
      </c>
      <c r="F118" t="s">
        <v>2038</v>
      </c>
      <c r="G118" t="s">
        <v>1334</v>
      </c>
      <c r="H118" t="s">
        <v>2039</v>
      </c>
      <c r="I118" s="80" t="s">
        <v>2040</v>
      </c>
      <c r="J118" t="s">
        <v>2041</v>
      </c>
      <c r="K118" t="s">
        <v>2042</v>
      </c>
    </row>
    <row r="119" spans="1:11" x14ac:dyDescent="0.25">
      <c r="A119" s="123">
        <v>118</v>
      </c>
      <c r="B119" s="2">
        <v>2018</v>
      </c>
      <c r="C119" s="123" t="s">
        <v>178</v>
      </c>
      <c r="D119" t="s">
        <v>2043</v>
      </c>
      <c r="E119" s="111" t="s">
        <v>795</v>
      </c>
      <c r="F119" t="s">
        <v>2044</v>
      </c>
      <c r="G119" t="s">
        <v>2045</v>
      </c>
      <c r="H119" t="s">
        <v>2046</v>
      </c>
      <c r="I119" s="80" t="s">
        <v>2047</v>
      </c>
      <c r="J119" t="s">
        <v>2048</v>
      </c>
      <c r="K119" t="s">
        <v>2049</v>
      </c>
    </row>
    <row r="120" spans="1:11" x14ac:dyDescent="0.25">
      <c r="A120" s="123">
        <v>119</v>
      </c>
      <c r="B120" s="2">
        <v>2018</v>
      </c>
      <c r="C120" s="123" t="s">
        <v>163</v>
      </c>
      <c r="D120" t="s">
        <v>2050</v>
      </c>
      <c r="E120" s="111" t="s">
        <v>797</v>
      </c>
      <c r="F120" t="s">
        <v>2051</v>
      </c>
      <c r="G120" t="s">
        <v>2045</v>
      </c>
      <c r="H120" t="s">
        <v>2052</v>
      </c>
      <c r="I120" s="80" t="s">
        <v>2053</v>
      </c>
      <c r="J120" t="s">
        <v>2054</v>
      </c>
      <c r="K120" s="80" t="s">
        <v>2055</v>
      </c>
    </row>
    <row r="121" spans="1:11" x14ac:dyDescent="0.25">
      <c r="A121" s="123">
        <v>120</v>
      </c>
      <c r="B121" s="2">
        <v>2018</v>
      </c>
      <c r="C121" s="123" t="s">
        <v>181</v>
      </c>
      <c r="D121" t="s">
        <v>1398</v>
      </c>
      <c r="E121" s="80" t="s">
        <v>2056</v>
      </c>
      <c r="F121" t="s">
        <v>2057</v>
      </c>
      <c r="G121" t="s">
        <v>1408</v>
      </c>
      <c r="H121" t="s">
        <v>2058</v>
      </c>
      <c r="I121" t="s">
        <v>2059</v>
      </c>
      <c r="J121" t="s">
        <v>1867</v>
      </c>
      <c r="K121" t="s">
        <v>2060</v>
      </c>
    </row>
    <row r="122" spans="1:11" x14ac:dyDescent="0.25">
      <c r="A122" s="123">
        <v>121</v>
      </c>
      <c r="B122" s="2">
        <v>2018</v>
      </c>
      <c r="C122" s="123" t="s">
        <v>183</v>
      </c>
      <c r="D122" t="s">
        <v>2061</v>
      </c>
      <c r="E122" s="111" t="s">
        <v>799</v>
      </c>
      <c r="F122" t="s">
        <v>2062</v>
      </c>
      <c r="G122" t="s">
        <v>1342</v>
      </c>
      <c r="H122" t="s">
        <v>2063</v>
      </c>
      <c r="I122" s="80" t="s">
        <v>2064</v>
      </c>
      <c r="J122" t="s">
        <v>1352</v>
      </c>
      <c r="K122" s="80" t="s">
        <v>2065</v>
      </c>
    </row>
    <row r="123" spans="1:11" x14ac:dyDescent="0.25">
      <c r="A123" s="123">
        <v>122</v>
      </c>
      <c r="B123" s="2">
        <v>2018</v>
      </c>
      <c r="C123" s="123" t="s">
        <v>186</v>
      </c>
      <c r="D123" t="s">
        <v>1532</v>
      </c>
      <c r="E123" s="80" t="s">
        <v>2066</v>
      </c>
      <c r="F123" t="s">
        <v>2067</v>
      </c>
      <c r="G123" t="s">
        <v>1541</v>
      </c>
      <c r="H123" s="80" t="s">
        <v>2068</v>
      </c>
      <c r="I123" s="80" t="s">
        <v>2069</v>
      </c>
      <c r="J123" t="s">
        <v>2054</v>
      </c>
      <c r="K123" s="111" t="s">
        <v>802</v>
      </c>
    </row>
    <row r="124" spans="1:11" x14ac:dyDescent="0.25">
      <c r="A124" s="123">
        <v>123</v>
      </c>
      <c r="B124" s="2">
        <v>2018</v>
      </c>
      <c r="C124" s="123" t="s">
        <v>188</v>
      </c>
      <c r="D124" t="s">
        <v>1862</v>
      </c>
      <c r="E124" s="111" t="s">
        <v>803</v>
      </c>
      <c r="F124" t="s">
        <v>2070</v>
      </c>
      <c r="G124" t="s">
        <v>1342</v>
      </c>
      <c r="H124" t="s">
        <v>2071</v>
      </c>
      <c r="I124" s="80" t="s">
        <v>2072</v>
      </c>
      <c r="J124" t="s">
        <v>1352</v>
      </c>
      <c r="K124" s="80" t="s">
        <v>2073</v>
      </c>
    </row>
    <row r="125" spans="1:11" x14ac:dyDescent="0.25">
      <c r="A125" s="123">
        <v>124</v>
      </c>
      <c r="B125" s="2">
        <v>2018</v>
      </c>
      <c r="C125" s="123" t="s">
        <v>182</v>
      </c>
      <c r="D125" t="s">
        <v>583</v>
      </c>
      <c r="E125" t="s">
        <v>2074</v>
      </c>
      <c r="F125" s="80" t="s">
        <v>1904</v>
      </c>
      <c r="G125" t="s">
        <v>583</v>
      </c>
      <c r="H125" t="s">
        <v>583</v>
      </c>
      <c r="I125" t="s">
        <v>2075</v>
      </c>
      <c r="J125" t="s">
        <v>583</v>
      </c>
      <c r="K125" t="s">
        <v>583</v>
      </c>
    </row>
    <row r="126" spans="1:11" x14ac:dyDescent="0.25">
      <c r="A126" s="123">
        <v>125</v>
      </c>
      <c r="B126" s="2">
        <v>2018</v>
      </c>
      <c r="C126" s="123" t="s">
        <v>184</v>
      </c>
      <c r="D126">
        <v>203</v>
      </c>
      <c r="E126" t="s">
        <v>2076</v>
      </c>
      <c r="F126" t="s">
        <v>2077</v>
      </c>
      <c r="G126" t="s">
        <v>1401</v>
      </c>
      <c r="H126" t="s">
        <v>2078</v>
      </c>
      <c r="I126" s="80" t="s">
        <v>2079</v>
      </c>
      <c r="J126" t="s">
        <v>1481</v>
      </c>
      <c r="K126" t="s">
        <v>2080</v>
      </c>
    </row>
    <row r="127" spans="1:11" x14ac:dyDescent="0.25">
      <c r="A127" s="123">
        <v>126</v>
      </c>
      <c r="B127" s="2">
        <v>2018</v>
      </c>
      <c r="C127" s="123" t="s">
        <v>187</v>
      </c>
      <c r="D127" t="s">
        <v>2081</v>
      </c>
      <c r="E127" t="s">
        <v>2082</v>
      </c>
      <c r="F127" t="s">
        <v>2083</v>
      </c>
      <c r="G127" t="s">
        <v>1558</v>
      </c>
      <c r="H127" s="80" t="s">
        <v>2084</v>
      </c>
      <c r="I127" s="80" t="s">
        <v>2085</v>
      </c>
      <c r="J127" t="s">
        <v>1629</v>
      </c>
      <c r="K127" s="80" t="s">
        <v>2086</v>
      </c>
    </row>
    <row r="128" spans="1:11" x14ac:dyDescent="0.25">
      <c r="A128" s="123">
        <v>127</v>
      </c>
      <c r="B128" s="2">
        <v>2018</v>
      </c>
      <c r="C128" s="123" t="s">
        <v>189</v>
      </c>
      <c r="D128" t="s">
        <v>2087</v>
      </c>
      <c r="E128" t="s">
        <v>2088</v>
      </c>
      <c r="F128" t="s">
        <v>2089</v>
      </c>
      <c r="G128" t="s">
        <v>1408</v>
      </c>
      <c r="H128" t="s">
        <v>2090</v>
      </c>
      <c r="I128" s="80" t="s">
        <v>2091</v>
      </c>
      <c r="J128" t="s">
        <v>1345</v>
      </c>
      <c r="K128" t="s">
        <v>2092</v>
      </c>
    </row>
    <row r="129" spans="1:11" x14ac:dyDescent="0.25">
      <c r="A129" s="123">
        <v>128</v>
      </c>
      <c r="B129" s="2" t="s">
        <v>23</v>
      </c>
      <c r="C129" s="123" t="s">
        <v>162</v>
      </c>
      <c r="D129" t="s">
        <v>1855</v>
      </c>
      <c r="E129" t="s">
        <v>2093</v>
      </c>
      <c r="F129" t="s">
        <v>2094</v>
      </c>
      <c r="G129" t="s">
        <v>1326</v>
      </c>
      <c r="H129" t="s">
        <v>2095</v>
      </c>
      <c r="I129" t="s">
        <v>2096</v>
      </c>
      <c r="J129" t="s">
        <v>1329</v>
      </c>
      <c r="K129" t="s">
        <v>2097</v>
      </c>
    </row>
    <row r="130" spans="1:11" x14ac:dyDescent="0.25">
      <c r="A130" s="123">
        <v>129</v>
      </c>
      <c r="B130" s="2" t="s">
        <v>23</v>
      </c>
      <c r="C130" s="123" t="s">
        <v>170</v>
      </c>
      <c r="D130" t="s">
        <v>1885</v>
      </c>
      <c r="E130" t="s">
        <v>2098</v>
      </c>
      <c r="F130" t="s">
        <v>2099</v>
      </c>
      <c r="G130" t="s">
        <v>1408</v>
      </c>
      <c r="H130" t="s">
        <v>2100</v>
      </c>
      <c r="I130" s="80" t="s">
        <v>2101</v>
      </c>
      <c r="J130" t="s">
        <v>1867</v>
      </c>
      <c r="K130" t="s">
        <v>2102</v>
      </c>
    </row>
    <row r="131" spans="1:11" x14ac:dyDescent="0.25">
      <c r="A131" s="123">
        <v>130</v>
      </c>
      <c r="B131" s="2" t="s">
        <v>23</v>
      </c>
      <c r="C131" s="123" t="s">
        <v>178</v>
      </c>
      <c r="D131" t="s">
        <v>2103</v>
      </c>
      <c r="E131" t="s">
        <v>2104</v>
      </c>
      <c r="F131" t="s">
        <v>2105</v>
      </c>
      <c r="G131" t="s">
        <v>1334</v>
      </c>
      <c r="H131" t="s">
        <v>2106</v>
      </c>
      <c r="I131" s="80" t="s">
        <v>2107</v>
      </c>
      <c r="J131" t="s">
        <v>2108</v>
      </c>
      <c r="K131" t="s">
        <v>2109</v>
      </c>
    </row>
    <row r="132" spans="1:11" x14ac:dyDescent="0.25">
      <c r="A132" s="123">
        <v>131</v>
      </c>
      <c r="B132" s="2" t="s">
        <v>23</v>
      </c>
      <c r="C132" s="123" t="s">
        <v>163</v>
      </c>
      <c r="D132" t="s">
        <v>2110</v>
      </c>
      <c r="E132" t="s">
        <v>2111</v>
      </c>
      <c r="F132">
        <v>320</v>
      </c>
      <c r="G132" t="s">
        <v>1421</v>
      </c>
      <c r="H132" s="80" t="s">
        <v>2112</v>
      </c>
      <c r="I132" s="80" t="s">
        <v>2113</v>
      </c>
      <c r="J132" t="s">
        <v>2114</v>
      </c>
      <c r="K132" s="111" t="s">
        <v>806</v>
      </c>
    </row>
    <row r="133" spans="1:11" x14ac:dyDescent="0.25">
      <c r="A133" s="123">
        <v>132</v>
      </c>
      <c r="B133" s="2" t="s">
        <v>23</v>
      </c>
      <c r="C133" s="123" t="s">
        <v>181</v>
      </c>
      <c r="D133" t="s">
        <v>2115</v>
      </c>
      <c r="E133" s="111" t="s">
        <v>807</v>
      </c>
      <c r="F133" t="s">
        <v>2116</v>
      </c>
      <c r="G133" t="s">
        <v>1415</v>
      </c>
      <c r="H133" t="s">
        <v>2117</v>
      </c>
      <c r="I133" t="s">
        <v>2118</v>
      </c>
      <c r="J133" t="s">
        <v>1981</v>
      </c>
      <c r="K133" t="s">
        <v>2119</v>
      </c>
    </row>
    <row r="134" spans="1:11" x14ac:dyDescent="0.25">
      <c r="A134" s="123">
        <v>133</v>
      </c>
      <c r="B134" s="2" t="s">
        <v>23</v>
      </c>
      <c r="C134" s="123" t="s">
        <v>183</v>
      </c>
      <c r="D134">
        <v>203</v>
      </c>
      <c r="E134" s="111" t="s">
        <v>809</v>
      </c>
      <c r="F134" s="80" t="s">
        <v>2120</v>
      </c>
      <c r="G134" t="s">
        <v>1737</v>
      </c>
      <c r="H134" t="s">
        <v>2121</v>
      </c>
      <c r="I134" s="80">
        <v>38359</v>
      </c>
      <c r="J134" t="s">
        <v>2122</v>
      </c>
      <c r="K134" s="80" t="s">
        <v>2123</v>
      </c>
    </row>
    <row r="135" spans="1:11" x14ac:dyDescent="0.25">
      <c r="A135" s="123">
        <v>134</v>
      </c>
      <c r="B135" s="2" t="s">
        <v>23</v>
      </c>
      <c r="C135" s="123" t="s">
        <v>186</v>
      </c>
      <c r="D135" t="s">
        <v>2124</v>
      </c>
      <c r="E135" s="80" t="s">
        <v>2125</v>
      </c>
      <c r="F135" s="111" t="s">
        <v>2126</v>
      </c>
      <c r="G135" t="s">
        <v>1825</v>
      </c>
      <c r="H135" s="80" t="s">
        <v>2127</v>
      </c>
      <c r="I135" s="80" t="s">
        <v>2128</v>
      </c>
      <c r="J135" t="s">
        <v>2129</v>
      </c>
      <c r="K135" s="111" t="s">
        <v>2130</v>
      </c>
    </row>
    <row r="136" spans="1:11" x14ac:dyDescent="0.25">
      <c r="A136" s="123">
        <v>135</v>
      </c>
      <c r="B136" s="2" t="s">
        <v>23</v>
      </c>
      <c r="C136" s="123" t="s">
        <v>188</v>
      </c>
      <c r="D136" t="s">
        <v>2131</v>
      </c>
      <c r="E136" s="111" t="s">
        <v>811</v>
      </c>
      <c r="F136" t="s">
        <v>2132</v>
      </c>
      <c r="G136" t="s">
        <v>1466</v>
      </c>
      <c r="H136" s="80" t="s">
        <v>2133</v>
      </c>
      <c r="I136" s="80" t="s">
        <v>2134</v>
      </c>
      <c r="J136" t="s">
        <v>2135</v>
      </c>
      <c r="K136" s="111" t="s">
        <v>812</v>
      </c>
    </row>
    <row r="137" spans="1:11" x14ac:dyDescent="0.25">
      <c r="A137" s="123">
        <v>136</v>
      </c>
      <c r="B137" s="2" t="s">
        <v>23</v>
      </c>
      <c r="C137" s="123" t="s">
        <v>182</v>
      </c>
      <c r="D137" s="80" t="s">
        <v>2136</v>
      </c>
      <c r="E137" t="s">
        <v>2137</v>
      </c>
      <c r="F137" t="s">
        <v>1857</v>
      </c>
      <c r="G137" t="s">
        <v>1620</v>
      </c>
      <c r="H137" t="s">
        <v>2138</v>
      </c>
      <c r="I137" t="s">
        <v>2139</v>
      </c>
      <c r="J137" s="80" t="s">
        <v>2140</v>
      </c>
      <c r="K137" t="s">
        <v>2141</v>
      </c>
    </row>
    <row r="138" spans="1:11" x14ac:dyDescent="0.25">
      <c r="A138" s="123">
        <v>137</v>
      </c>
      <c r="B138" s="2" t="s">
        <v>23</v>
      </c>
      <c r="C138" s="123" t="s">
        <v>184</v>
      </c>
      <c r="D138" t="s">
        <v>2142</v>
      </c>
      <c r="E138" t="s">
        <v>2143</v>
      </c>
      <c r="F138" t="s">
        <v>2144</v>
      </c>
      <c r="G138" t="s">
        <v>1478</v>
      </c>
      <c r="H138" t="s">
        <v>2145</v>
      </c>
      <c r="I138" s="80" t="s">
        <v>2146</v>
      </c>
      <c r="J138" t="s">
        <v>1797</v>
      </c>
      <c r="K138" t="s">
        <v>2147</v>
      </c>
    </row>
    <row r="139" spans="1:11" x14ac:dyDescent="0.25">
      <c r="A139" s="123">
        <v>138</v>
      </c>
      <c r="B139" s="2" t="s">
        <v>23</v>
      </c>
      <c r="C139" s="123" t="s">
        <v>187</v>
      </c>
      <c r="D139" t="s">
        <v>2148</v>
      </c>
      <c r="E139" t="s">
        <v>2149</v>
      </c>
      <c r="F139" t="s">
        <v>2150</v>
      </c>
      <c r="G139" t="s">
        <v>1937</v>
      </c>
      <c r="H139" s="80" t="s">
        <v>2151</v>
      </c>
      <c r="I139" s="80" t="s">
        <v>2152</v>
      </c>
      <c r="J139" t="s">
        <v>1352</v>
      </c>
      <c r="K139" s="80" t="s">
        <v>2153</v>
      </c>
    </row>
    <row r="140" spans="1:11" x14ac:dyDescent="0.25">
      <c r="A140" s="123">
        <v>139</v>
      </c>
      <c r="B140" s="2" t="s">
        <v>23</v>
      </c>
      <c r="C140" s="123" t="s">
        <v>189</v>
      </c>
      <c r="D140" t="s">
        <v>2154</v>
      </c>
      <c r="E140" t="s">
        <v>2155</v>
      </c>
      <c r="F140" t="s">
        <v>2156</v>
      </c>
      <c r="G140" t="s">
        <v>1334</v>
      </c>
      <c r="H140" t="s">
        <v>2157</v>
      </c>
      <c r="I140" s="80" t="s">
        <v>2158</v>
      </c>
      <c r="J140" t="s">
        <v>1642</v>
      </c>
      <c r="K140" s="80" t="s">
        <v>2159</v>
      </c>
    </row>
    <row r="141" spans="1:11" x14ac:dyDescent="0.25">
      <c r="A141" s="123">
        <v>140</v>
      </c>
      <c r="B141" s="2">
        <v>1030</v>
      </c>
      <c r="C141" s="123" t="s">
        <v>162</v>
      </c>
      <c r="D141" t="s">
        <v>1331</v>
      </c>
      <c r="E141" s="111" t="s">
        <v>813</v>
      </c>
      <c r="F141" t="s">
        <v>2160</v>
      </c>
      <c r="G141" t="s">
        <v>1342</v>
      </c>
      <c r="H141" t="s">
        <v>2161</v>
      </c>
      <c r="I141" t="s">
        <v>2162</v>
      </c>
      <c r="J141" t="s">
        <v>1488</v>
      </c>
      <c r="K141" t="s">
        <v>2163</v>
      </c>
    </row>
    <row r="142" spans="1:11" x14ac:dyDescent="0.25">
      <c r="A142" s="123">
        <v>141</v>
      </c>
      <c r="B142" s="2">
        <v>1030</v>
      </c>
      <c r="C142" s="123" t="s">
        <v>170</v>
      </c>
      <c r="D142" t="s">
        <v>1398</v>
      </c>
      <c r="E142" s="80" t="s">
        <v>2164</v>
      </c>
      <c r="F142" t="s">
        <v>2165</v>
      </c>
      <c r="G142" t="s">
        <v>1478</v>
      </c>
      <c r="H142" t="s">
        <v>2166</v>
      </c>
      <c r="I142" s="80" t="s">
        <v>2167</v>
      </c>
      <c r="J142" t="s">
        <v>1867</v>
      </c>
      <c r="K142" t="s">
        <v>2168</v>
      </c>
    </row>
    <row r="143" spans="1:11" x14ac:dyDescent="0.25">
      <c r="A143" s="123">
        <v>142</v>
      </c>
      <c r="B143" s="2">
        <v>1030</v>
      </c>
      <c r="C143" s="123" t="s">
        <v>178</v>
      </c>
      <c r="D143" t="s">
        <v>1441</v>
      </c>
      <c r="E143" s="111" t="s">
        <v>815</v>
      </c>
      <c r="F143" t="s">
        <v>2169</v>
      </c>
      <c r="G143" t="s">
        <v>1603</v>
      </c>
      <c r="H143" t="s">
        <v>2170</v>
      </c>
      <c r="I143" s="80" t="s">
        <v>2171</v>
      </c>
      <c r="J143" t="s">
        <v>1956</v>
      </c>
      <c r="K143" t="s">
        <v>2172</v>
      </c>
    </row>
    <row r="144" spans="1:11" x14ac:dyDescent="0.25">
      <c r="A144" s="123">
        <v>143</v>
      </c>
      <c r="B144" s="2">
        <v>1030</v>
      </c>
      <c r="C144" s="123" t="s">
        <v>163</v>
      </c>
      <c r="D144" t="s">
        <v>1447</v>
      </c>
      <c r="E144" s="111" t="s">
        <v>817</v>
      </c>
      <c r="F144" t="s">
        <v>2173</v>
      </c>
      <c r="G144" t="s">
        <v>1380</v>
      </c>
      <c r="H144" t="s">
        <v>2174</v>
      </c>
      <c r="I144" s="80" t="s">
        <v>2175</v>
      </c>
      <c r="J144" t="s">
        <v>2176</v>
      </c>
      <c r="K144" s="80" t="s">
        <v>2177</v>
      </c>
    </row>
    <row r="145" spans="1:11" x14ac:dyDescent="0.25">
      <c r="A145" s="123">
        <v>144</v>
      </c>
      <c r="B145" s="2">
        <v>1030</v>
      </c>
      <c r="C145" s="123" t="s">
        <v>181</v>
      </c>
      <c r="D145" t="s">
        <v>1354</v>
      </c>
      <c r="E145" s="111" t="s">
        <v>819</v>
      </c>
      <c r="F145" t="s">
        <v>2178</v>
      </c>
      <c r="G145" t="s">
        <v>1334</v>
      </c>
      <c r="H145" t="s">
        <v>2179</v>
      </c>
      <c r="I145" t="s">
        <v>2180</v>
      </c>
      <c r="J145" t="s">
        <v>1981</v>
      </c>
      <c r="K145" t="s">
        <v>2181</v>
      </c>
    </row>
    <row r="146" spans="1:11" x14ac:dyDescent="0.25">
      <c r="A146" s="123">
        <v>145</v>
      </c>
      <c r="B146" s="2">
        <v>1030</v>
      </c>
      <c r="C146" s="123" t="s">
        <v>183</v>
      </c>
      <c r="D146" t="s">
        <v>2061</v>
      </c>
      <c r="E146" s="111" t="s">
        <v>821</v>
      </c>
      <c r="F146" t="s">
        <v>2070</v>
      </c>
      <c r="G146" t="s">
        <v>1775</v>
      </c>
      <c r="H146" t="s">
        <v>2182</v>
      </c>
      <c r="I146" s="80" t="s">
        <v>2183</v>
      </c>
      <c r="J146" t="s">
        <v>2048</v>
      </c>
      <c r="K146" t="s">
        <v>2184</v>
      </c>
    </row>
    <row r="147" spans="1:11" x14ac:dyDescent="0.25">
      <c r="A147" s="123">
        <v>146</v>
      </c>
      <c r="B147" s="2">
        <v>1030</v>
      </c>
      <c r="C147" s="123" t="s">
        <v>186</v>
      </c>
      <c r="D147" t="s">
        <v>1447</v>
      </c>
      <c r="E147" s="111" t="s">
        <v>823</v>
      </c>
      <c r="F147" t="s">
        <v>2185</v>
      </c>
      <c r="G147" t="s">
        <v>1541</v>
      </c>
      <c r="H147" t="s">
        <v>2186</v>
      </c>
      <c r="I147" s="80" t="s">
        <v>2187</v>
      </c>
      <c r="J147" t="s">
        <v>2176</v>
      </c>
      <c r="K147" s="80" t="s">
        <v>2188</v>
      </c>
    </row>
    <row r="148" spans="1:11" x14ac:dyDescent="0.25">
      <c r="A148" s="123">
        <v>147</v>
      </c>
      <c r="B148" s="2">
        <v>1030</v>
      </c>
      <c r="C148" s="123" t="s">
        <v>188</v>
      </c>
      <c r="D148" t="s">
        <v>2124</v>
      </c>
      <c r="E148" s="111" t="s">
        <v>825</v>
      </c>
      <c r="F148" t="s">
        <v>2189</v>
      </c>
      <c r="G148" t="s">
        <v>1466</v>
      </c>
      <c r="H148" t="s">
        <v>2190</v>
      </c>
      <c r="I148" s="80" t="s">
        <v>2191</v>
      </c>
      <c r="J148" t="s">
        <v>1828</v>
      </c>
      <c r="K148" s="111" t="s">
        <v>826</v>
      </c>
    </row>
    <row r="149" spans="1:11" x14ac:dyDescent="0.25">
      <c r="A149" s="123">
        <v>148</v>
      </c>
      <c r="B149" s="2">
        <v>1030</v>
      </c>
      <c r="C149" s="123" t="s">
        <v>182</v>
      </c>
      <c r="D149" s="80" t="s">
        <v>1902</v>
      </c>
      <c r="E149" t="s">
        <v>2192</v>
      </c>
      <c r="F149" t="s">
        <v>583</v>
      </c>
      <c r="G149" t="s">
        <v>1326</v>
      </c>
      <c r="H149" t="s">
        <v>583</v>
      </c>
      <c r="I149" t="s">
        <v>2193</v>
      </c>
      <c r="J149" t="s">
        <v>583</v>
      </c>
      <c r="K149" s="80" t="s">
        <v>2194</v>
      </c>
    </row>
    <row r="150" spans="1:11" x14ac:dyDescent="0.25">
      <c r="A150" s="123">
        <v>149</v>
      </c>
      <c r="B150" s="2">
        <v>1030</v>
      </c>
      <c r="C150" s="123" t="s">
        <v>184</v>
      </c>
      <c r="D150" t="s">
        <v>1331</v>
      </c>
      <c r="E150" s="80" t="s">
        <v>2195</v>
      </c>
      <c r="F150" t="s">
        <v>2196</v>
      </c>
      <c r="G150" t="s">
        <v>1421</v>
      </c>
      <c r="H150" t="s">
        <v>2197</v>
      </c>
      <c r="I150" s="80" t="s">
        <v>2198</v>
      </c>
      <c r="J150" t="s">
        <v>1359</v>
      </c>
      <c r="K150" t="s">
        <v>2199</v>
      </c>
    </row>
    <row r="151" spans="1:11" x14ac:dyDescent="0.25">
      <c r="A151" s="123">
        <v>150</v>
      </c>
      <c r="B151" s="2">
        <v>1030</v>
      </c>
      <c r="C151" s="123" t="s">
        <v>187</v>
      </c>
      <c r="D151" t="s">
        <v>1706</v>
      </c>
      <c r="E151" s="111" t="s">
        <v>827</v>
      </c>
      <c r="F151" t="s">
        <v>2200</v>
      </c>
      <c r="G151" t="s">
        <v>1342</v>
      </c>
      <c r="H151" t="s">
        <v>2201</v>
      </c>
      <c r="I151" s="80" t="s">
        <v>2202</v>
      </c>
      <c r="J151" t="s">
        <v>1839</v>
      </c>
      <c r="K151" t="s">
        <v>2203</v>
      </c>
    </row>
    <row r="152" spans="1:11" x14ac:dyDescent="0.25">
      <c r="A152" s="123">
        <v>151</v>
      </c>
      <c r="B152" s="2">
        <v>1030</v>
      </c>
      <c r="C152" s="123" t="s">
        <v>189</v>
      </c>
      <c r="D152" t="s">
        <v>1398</v>
      </c>
      <c r="E152" s="80" t="s">
        <v>2204</v>
      </c>
      <c r="F152" t="s">
        <v>2205</v>
      </c>
      <c r="G152" t="s">
        <v>1689</v>
      </c>
      <c r="H152" t="s">
        <v>2206</v>
      </c>
      <c r="I152" s="80" t="s">
        <v>2207</v>
      </c>
      <c r="J152" t="s">
        <v>1771</v>
      </c>
      <c r="K152" t="s">
        <v>2208</v>
      </c>
    </row>
    <row r="153" spans="1:11" x14ac:dyDescent="0.25">
      <c r="A153" s="123">
        <v>152</v>
      </c>
      <c r="B153" s="2" t="s">
        <v>594</v>
      </c>
      <c r="C153" s="123" t="s">
        <v>162</v>
      </c>
      <c r="D153" t="s">
        <v>1339</v>
      </c>
      <c r="E153" s="111" t="s">
        <v>2209</v>
      </c>
      <c r="F153" t="s">
        <v>2089</v>
      </c>
      <c r="G153" t="s">
        <v>1639</v>
      </c>
      <c r="H153" t="s">
        <v>2210</v>
      </c>
      <c r="I153" t="s">
        <v>2211</v>
      </c>
      <c r="J153" t="s">
        <v>1771</v>
      </c>
      <c r="K153" t="s">
        <v>2212</v>
      </c>
    </row>
    <row r="154" spans="1:11" x14ac:dyDescent="0.25">
      <c r="A154" s="123">
        <v>153</v>
      </c>
      <c r="B154" s="2" t="s">
        <v>594</v>
      </c>
      <c r="C154" s="123" t="s">
        <v>170</v>
      </c>
      <c r="D154" t="s">
        <v>1816</v>
      </c>
      <c r="E154" s="111" t="s">
        <v>2213</v>
      </c>
      <c r="F154" t="s">
        <v>2214</v>
      </c>
      <c r="G154" t="s">
        <v>1421</v>
      </c>
      <c r="H154" t="s">
        <v>2215</v>
      </c>
      <c r="I154" s="80" t="s">
        <v>2216</v>
      </c>
      <c r="J154" t="s">
        <v>1981</v>
      </c>
      <c r="K154" t="s">
        <v>2217</v>
      </c>
    </row>
    <row r="155" spans="1:11" x14ac:dyDescent="0.25">
      <c r="A155" s="123">
        <v>154</v>
      </c>
      <c r="B155" s="2" t="s">
        <v>594</v>
      </c>
      <c r="C155" s="123" t="s">
        <v>178</v>
      </c>
      <c r="D155" t="s">
        <v>2218</v>
      </c>
      <c r="E155" s="111" t="s">
        <v>833</v>
      </c>
      <c r="F155" s="80" t="s">
        <v>2219</v>
      </c>
      <c r="G155" t="s">
        <v>1541</v>
      </c>
      <c r="H155" s="80" t="s">
        <v>2220</v>
      </c>
      <c r="I155" s="80" t="s">
        <v>2221</v>
      </c>
      <c r="J155" t="s">
        <v>1846</v>
      </c>
      <c r="K155" t="s">
        <v>2222</v>
      </c>
    </row>
    <row r="156" spans="1:11" x14ac:dyDescent="0.25">
      <c r="A156" s="123">
        <v>155</v>
      </c>
      <c r="B156" s="2" t="s">
        <v>594</v>
      </c>
      <c r="C156" s="123" t="s">
        <v>163</v>
      </c>
      <c r="D156" t="s">
        <v>2223</v>
      </c>
      <c r="E156" s="111" t="s">
        <v>835</v>
      </c>
      <c r="F156" t="s">
        <v>2224</v>
      </c>
      <c r="G156" t="s">
        <v>1775</v>
      </c>
      <c r="H156" t="s">
        <v>2225</v>
      </c>
      <c r="I156" s="80" t="s">
        <v>2226</v>
      </c>
      <c r="J156" t="s">
        <v>2227</v>
      </c>
      <c r="K156" s="80" t="s">
        <v>2228</v>
      </c>
    </row>
    <row r="157" spans="1:11" x14ac:dyDescent="0.25">
      <c r="A157" s="123">
        <v>156</v>
      </c>
      <c r="B157" s="2" t="s">
        <v>594</v>
      </c>
      <c r="C157" s="123" t="s">
        <v>181</v>
      </c>
      <c r="D157" t="s">
        <v>1881</v>
      </c>
      <c r="E157" s="111" t="s">
        <v>837</v>
      </c>
      <c r="F157" t="s">
        <v>1927</v>
      </c>
      <c r="G157" t="s">
        <v>1334</v>
      </c>
      <c r="H157" t="s">
        <v>2229</v>
      </c>
      <c r="I157" t="s">
        <v>2230</v>
      </c>
      <c r="J157" t="s">
        <v>2041</v>
      </c>
      <c r="K157" t="s">
        <v>2231</v>
      </c>
    </row>
    <row r="158" spans="1:11" x14ac:dyDescent="0.25">
      <c r="A158" s="123">
        <v>157</v>
      </c>
      <c r="B158" s="2" t="s">
        <v>594</v>
      </c>
      <c r="C158" s="123" t="s">
        <v>183</v>
      </c>
      <c r="D158" t="s">
        <v>1339</v>
      </c>
      <c r="E158" s="80" t="s">
        <v>2232</v>
      </c>
      <c r="F158" t="s">
        <v>2233</v>
      </c>
      <c r="G158" t="s">
        <v>1714</v>
      </c>
      <c r="H158" t="s">
        <v>2234</v>
      </c>
      <c r="I158" s="80" t="s">
        <v>2235</v>
      </c>
      <c r="J158" t="s">
        <v>1431</v>
      </c>
      <c r="K158" t="s">
        <v>2236</v>
      </c>
    </row>
    <row r="159" spans="1:11" x14ac:dyDescent="0.25">
      <c r="A159" s="123">
        <v>158</v>
      </c>
      <c r="B159" s="2" t="s">
        <v>594</v>
      </c>
      <c r="C159" s="123" t="s">
        <v>186</v>
      </c>
      <c r="D159" t="s">
        <v>1792</v>
      </c>
      <c r="E159" t="s">
        <v>2237</v>
      </c>
      <c r="F159" t="s">
        <v>2238</v>
      </c>
      <c r="G159" t="s">
        <v>1421</v>
      </c>
      <c r="H159" s="80" t="s">
        <v>2239</v>
      </c>
      <c r="I159" s="80" t="s">
        <v>2240</v>
      </c>
      <c r="J159" t="s">
        <v>2114</v>
      </c>
      <c r="K159" s="80" t="s">
        <v>2241</v>
      </c>
    </row>
    <row r="160" spans="1:11" x14ac:dyDescent="0.25">
      <c r="A160" s="123">
        <v>159</v>
      </c>
      <c r="B160" s="2" t="s">
        <v>594</v>
      </c>
      <c r="C160" s="123" t="s">
        <v>188</v>
      </c>
      <c r="D160" t="s">
        <v>1964</v>
      </c>
      <c r="E160" s="111" t="s">
        <v>839</v>
      </c>
      <c r="F160" t="s">
        <v>2242</v>
      </c>
      <c r="G160" t="s">
        <v>1342</v>
      </c>
      <c r="H160" t="s">
        <v>2243</v>
      </c>
      <c r="I160" s="80" t="s">
        <v>2244</v>
      </c>
      <c r="J160" t="s">
        <v>1846</v>
      </c>
      <c r="K160" s="80" t="s">
        <v>2245</v>
      </c>
    </row>
    <row r="161" spans="1:11" x14ac:dyDescent="0.25">
      <c r="A161" s="123">
        <v>160</v>
      </c>
      <c r="B161" s="2" t="s">
        <v>594</v>
      </c>
      <c r="C161" s="123" t="s">
        <v>182</v>
      </c>
      <c r="D161" t="s">
        <v>2246</v>
      </c>
      <c r="E161" t="s">
        <v>2247</v>
      </c>
      <c r="F161" t="s">
        <v>2248</v>
      </c>
      <c r="G161" t="s">
        <v>1393</v>
      </c>
      <c r="H161" t="s">
        <v>2249</v>
      </c>
      <c r="I161" s="80" t="s">
        <v>2250</v>
      </c>
      <c r="J161" t="s">
        <v>1329</v>
      </c>
      <c r="K161" t="s">
        <v>2251</v>
      </c>
    </row>
    <row r="162" spans="1:11" x14ac:dyDescent="0.25">
      <c r="A162" s="123">
        <v>161</v>
      </c>
      <c r="B162" s="2" t="s">
        <v>594</v>
      </c>
      <c r="C162" s="123" t="s">
        <v>184</v>
      </c>
      <c r="D162" t="s">
        <v>2252</v>
      </c>
      <c r="E162" t="s">
        <v>2253</v>
      </c>
      <c r="F162" t="s">
        <v>2254</v>
      </c>
      <c r="G162" t="s">
        <v>1689</v>
      </c>
      <c r="H162" t="s">
        <v>2255</v>
      </c>
      <c r="I162" s="80" t="s">
        <v>2256</v>
      </c>
      <c r="J162" t="s">
        <v>1797</v>
      </c>
      <c r="K162" t="s">
        <v>2257</v>
      </c>
    </row>
    <row r="163" spans="1:11" x14ac:dyDescent="0.25">
      <c r="A163" s="123">
        <v>162</v>
      </c>
      <c r="B163" s="2" t="s">
        <v>594</v>
      </c>
      <c r="C163" s="123" t="s">
        <v>187</v>
      </c>
      <c r="D163" t="s">
        <v>2258</v>
      </c>
      <c r="E163" t="s">
        <v>2259</v>
      </c>
      <c r="F163" t="s">
        <v>2260</v>
      </c>
      <c r="G163" t="s">
        <v>1689</v>
      </c>
      <c r="H163" s="80" t="s">
        <v>2261</v>
      </c>
      <c r="I163" s="80" t="s">
        <v>2262</v>
      </c>
      <c r="J163" t="s">
        <v>2227</v>
      </c>
      <c r="K163" s="80" t="s">
        <v>2263</v>
      </c>
    </row>
    <row r="164" spans="1:11" x14ac:dyDescent="0.25">
      <c r="A164" s="123">
        <v>163</v>
      </c>
      <c r="B164" s="2" t="s">
        <v>594</v>
      </c>
      <c r="C164" s="123" t="s">
        <v>189</v>
      </c>
      <c r="D164" t="s">
        <v>2264</v>
      </c>
      <c r="E164" t="s">
        <v>2265</v>
      </c>
      <c r="F164" t="s">
        <v>2266</v>
      </c>
      <c r="G164" t="s">
        <v>1689</v>
      </c>
      <c r="H164" t="s">
        <v>2267</v>
      </c>
      <c r="I164" s="80" t="s">
        <v>2268</v>
      </c>
      <c r="J164" t="s">
        <v>1839</v>
      </c>
      <c r="K164" s="80" t="s">
        <v>2269</v>
      </c>
    </row>
    <row r="165" spans="1:11" x14ac:dyDescent="0.25">
      <c r="A165" s="123">
        <v>164</v>
      </c>
      <c r="B165" s="2">
        <v>1036</v>
      </c>
      <c r="C165" s="123" t="s">
        <v>162</v>
      </c>
      <c r="D165" t="s">
        <v>2270</v>
      </c>
      <c r="E165" s="111" t="s">
        <v>841</v>
      </c>
      <c r="F165" t="s">
        <v>2271</v>
      </c>
      <c r="G165" t="s">
        <v>1458</v>
      </c>
      <c r="H165" t="s">
        <v>2272</v>
      </c>
      <c r="I165" t="s">
        <v>2273</v>
      </c>
      <c r="J165" t="s">
        <v>1581</v>
      </c>
      <c r="K165" t="s">
        <v>2274</v>
      </c>
    </row>
    <row r="166" spans="1:11" x14ac:dyDescent="0.25">
      <c r="A166" s="123">
        <v>165</v>
      </c>
      <c r="B166" s="2">
        <v>1036</v>
      </c>
      <c r="C166" s="123" t="s">
        <v>170</v>
      </c>
      <c r="D166" t="s">
        <v>2275</v>
      </c>
      <c r="E166" s="80" t="s">
        <v>2276</v>
      </c>
      <c r="F166" t="s">
        <v>2277</v>
      </c>
      <c r="G166" t="s">
        <v>2278</v>
      </c>
      <c r="H166" t="s">
        <v>2279</v>
      </c>
      <c r="I166" s="80" t="s">
        <v>2280</v>
      </c>
      <c r="J166" t="s">
        <v>2281</v>
      </c>
      <c r="K166" t="s">
        <v>2282</v>
      </c>
    </row>
    <row r="167" spans="1:11" x14ac:dyDescent="0.25">
      <c r="A167" s="123">
        <v>166</v>
      </c>
      <c r="B167" s="2">
        <v>1036</v>
      </c>
      <c r="C167" s="123" t="s">
        <v>178</v>
      </c>
      <c r="D167" t="s">
        <v>2283</v>
      </c>
      <c r="E167" s="80" t="s">
        <v>2284</v>
      </c>
      <c r="F167" t="s">
        <v>2285</v>
      </c>
      <c r="G167" t="s">
        <v>2286</v>
      </c>
      <c r="H167" t="s">
        <v>2287</v>
      </c>
      <c r="I167" s="80" t="s">
        <v>2288</v>
      </c>
      <c r="J167" t="s">
        <v>2289</v>
      </c>
      <c r="K167" t="s">
        <v>2290</v>
      </c>
    </row>
    <row r="168" spans="1:11" x14ac:dyDescent="0.25">
      <c r="A168" s="123">
        <v>167</v>
      </c>
      <c r="B168" s="2">
        <v>1036</v>
      </c>
      <c r="C168" s="123" t="s">
        <v>163</v>
      </c>
      <c r="D168" t="s">
        <v>2291</v>
      </c>
      <c r="E168" s="80" t="s">
        <v>2292</v>
      </c>
      <c r="F168" t="s">
        <v>2293</v>
      </c>
      <c r="G168" t="s">
        <v>2294</v>
      </c>
      <c r="H168" t="s">
        <v>2295</v>
      </c>
      <c r="I168" s="80" t="s">
        <v>2296</v>
      </c>
      <c r="J168" t="s">
        <v>2297</v>
      </c>
      <c r="K168" s="80" t="s">
        <v>2298</v>
      </c>
    </row>
    <row r="169" spans="1:11" x14ac:dyDescent="0.25">
      <c r="A169" s="123">
        <v>168</v>
      </c>
      <c r="B169" s="2">
        <v>1036</v>
      </c>
      <c r="C169" s="123" t="s">
        <v>181</v>
      </c>
      <c r="D169" t="s">
        <v>2299</v>
      </c>
      <c r="E169" s="80" t="s">
        <v>2300</v>
      </c>
      <c r="F169" t="s">
        <v>2301</v>
      </c>
      <c r="G169" t="s">
        <v>2302</v>
      </c>
      <c r="H169" t="s">
        <v>2303</v>
      </c>
      <c r="I169" t="s">
        <v>2304</v>
      </c>
      <c r="J169" t="s">
        <v>2305</v>
      </c>
      <c r="K169" t="s">
        <v>2306</v>
      </c>
    </row>
    <row r="170" spans="1:11" x14ac:dyDescent="0.25">
      <c r="A170" s="123">
        <v>169</v>
      </c>
      <c r="B170" s="2">
        <v>1036</v>
      </c>
      <c r="C170" s="123" t="s">
        <v>183</v>
      </c>
      <c r="D170" t="s">
        <v>2307</v>
      </c>
      <c r="E170" s="80" t="s">
        <v>2308</v>
      </c>
      <c r="F170" t="s">
        <v>2309</v>
      </c>
      <c r="G170" t="s">
        <v>2310</v>
      </c>
      <c r="H170" t="s">
        <v>2311</v>
      </c>
      <c r="I170" s="80" t="s">
        <v>2312</v>
      </c>
      <c r="J170" t="s">
        <v>2313</v>
      </c>
      <c r="K170" t="s">
        <v>2314</v>
      </c>
    </row>
    <row r="171" spans="1:11" x14ac:dyDescent="0.25">
      <c r="A171" s="123">
        <v>170</v>
      </c>
      <c r="B171" s="2">
        <v>1036</v>
      </c>
      <c r="C171" s="123" t="s">
        <v>186</v>
      </c>
      <c r="D171" t="s">
        <v>2315</v>
      </c>
      <c r="E171" s="80" t="s">
        <v>2316</v>
      </c>
      <c r="F171" t="s">
        <v>2317</v>
      </c>
      <c r="G171" t="s">
        <v>2318</v>
      </c>
      <c r="H171" t="s">
        <v>2319</v>
      </c>
      <c r="I171" s="80" t="s">
        <v>2320</v>
      </c>
      <c r="J171" t="s">
        <v>2321</v>
      </c>
      <c r="K171" t="s">
        <v>2322</v>
      </c>
    </row>
    <row r="172" spans="1:11" x14ac:dyDescent="0.25">
      <c r="A172" s="123">
        <v>171</v>
      </c>
      <c r="B172" s="2">
        <v>1036</v>
      </c>
      <c r="C172" s="123" t="s">
        <v>188</v>
      </c>
      <c r="D172" t="s">
        <v>2323</v>
      </c>
      <c r="E172" s="80" t="s">
        <v>2324</v>
      </c>
      <c r="F172" t="s">
        <v>2325</v>
      </c>
      <c r="G172" t="s">
        <v>2326</v>
      </c>
      <c r="H172" t="s">
        <v>2327</v>
      </c>
      <c r="I172" s="80" t="s">
        <v>2328</v>
      </c>
      <c r="J172" t="s">
        <v>2329</v>
      </c>
      <c r="K172" t="s">
        <v>2330</v>
      </c>
    </row>
    <row r="173" spans="1:11" x14ac:dyDescent="0.25">
      <c r="A173" s="123">
        <v>172</v>
      </c>
      <c r="B173" s="2">
        <v>1036</v>
      </c>
      <c r="C173" s="123" t="s">
        <v>182</v>
      </c>
      <c r="D173" t="s">
        <v>2331</v>
      </c>
      <c r="E173" t="s">
        <v>2332</v>
      </c>
      <c r="F173" t="s">
        <v>583</v>
      </c>
      <c r="G173" t="s">
        <v>2333</v>
      </c>
      <c r="H173" t="s">
        <v>583</v>
      </c>
      <c r="I173" t="s">
        <v>2334</v>
      </c>
      <c r="J173" t="s">
        <v>583</v>
      </c>
      <c r="K173" t="s">
        <v>2335</v>
      </c>
    </row>
    <row r="174" spans="1:11" x14ac:dyDescent="0.25">
      <c r="A174" s="123">
        <v>173</v>
      </c>
      <c r="B174" s="2">
        <v>1036</v>
      </c>
      <c r="C174" s="123" t="s">
        <v>184</v>
      </c>
      <c r="D174" t="s">
        <v>2336</v>
      </c>
      <c r="E174" s="80" t="s">
        <v>2337</v>
      </c>
      <c r="F174" t="s">
        <v>2338</v>
      </c>
      <c r="G174" t="s">
        <v>2339</v>
      </c>
      <c r="H174" t="s">
        <v>2340</v>
      </c>
      <c r="I174" s="80" t="s">
        <v>2341</v>
      </c>
      <c r="J174" t="s">
        <v>2342</v>
      </c>
      <c r="K174" t="s">
        <v>2343</v>
      </c>
    </row>
    <row r="175" spans="1:11" x14ac:dyDescent="0.25">
      <c r="A175" s="123">
        <v>174</v>
      </c>
      <c r="B175" s="2">
        <v>1036</v>
      </c>
      <c r="C175" s="123" t="s">
        <v>187</v>
      </c>
      <c r="D175" t="s">
        <v>2344</v>
      </c>
      <c r="E175" s="80" t="s">
        <v>2345</v>
      </c>
      <c r="F175" t="s">
        <v>2346</v>
      </c>
      <c r="G175" t="s">
        <v>2347</v>
      </c>
      <c r="H175" t="s">
        <v>2348</v>
      </c>
      <c r="I175" s="80" t="s">
        <v>2349</v>
      </c>
      <c r="J175" t="s">
        <v>2313</v>
      </c>
      <c r="K175" t="s">
        <v>2350</v>
      </c>
    </row>
    <row r="176" spans="1:11" x14ac:dyDescent="0.25">
      <c r="A176" s="123">
        <v>175</v>
      </c>
      <c r="B176" s="2">
        <v>1036</v>
      </c>
      <c r="C176" s="123" t="s">
        <v>189</v>
      </c>
      <c r="D176" t="s">
        <v>2351</v>
      </c>
      <c r="E176" s="80" t="s">
        <v>2352</v>
      </c>
      <c r="F176" t="s">
        <v>2353</v>
      </c>
      <c r="G176" t="s">
        <v>2286</v>
      </c>
      <c r="H176" t="s">
        <v>2354</v>
      </c>
      <c r="I176" s="80" t="s">
        <v>2355</v>
      </c>
      <c r="J176" t="s">
        <v>2281</v>
      </c>
      <c r="K176" t="s">
        <v>2356</v>
      </c>
    </row>
    <row r="177" spans="1:11" x14ac:dyDescent="0.25">
      <c r="A177" s="123">
        <v>176</v>
      </c>
      <c r="B177" s="2" t="s">
        <v>22</v>
      </c>
      <c r="C177" s="123" t="s">
        <v>181</v>
      </c>
      <c r="D177" t="s">
        <v>2357</v>
      </c>
      <c r="E177" t="s">
        <v>2358</v>
      </c>
      <c r="F177" t="s">
        <v>2359</v>
      </c>
      <c r="G177" t="s">
        <v>2360</v>
      </c>
      <c r="H177" t="s">
        <v>2361</v>
      </c>
      <c r="I177" t="s">
        <v>2362</v>
      </c>
      <c r="J177" t="s">
        <v>2363</v>
      </c>
      <c r="K177" t="s">
        <v>2364</v>
      </c>
    </row>
    <row r="178" spans="1:11" x14ac:dyDescent="0.25">
      <c r="A178" s="123">
        <v>177</v>
      </c>
      <c r="B178" s="2" t="s">
        <v>22</v>
      </c>
      <c r="C178" s="123" t="s">
        <v>183</v>
      </c>
      <c r="D178" t="s">
        <v>2357</v>
      </c>
      <c r="E178" t="s">
        <v>2365</v>
      </c>
      <c r="F178" t="s">
        <v>2366</v>
      </c>
      <c r="G178" t="s">
        <v>2367</v>
      </c>
      <c r="H178" t="s">
        <v>2368</v>
      </c>
      <c r="I178" t="s">
        <v>2369</v>
      </c>
      <c r="J178" t="s">
        <v>2370</v>
      </c>
      <c r="K178" t="s">
        <v>2371</v>
      </c>
    </row>
    <row r="179" spans="1:11" x14ac:dyDescent="0.25">
      <c r="A179" s="123">
        <v>178</v>
      </c>
      <c r="B179" s="2" t="s">
        <v>22</v>
      </c>
      <c r="C179" s="123" t="s">
        <v>186</v>
      </c>
      <c r="D179" t="s">
        <v>2372</v>
      </c>
      <c r="E179" t="s">
        <v>2373</v>
      </c>
      <c r="F179" t="s">
        <v>2374</v>
      </c>
      <c r="G179" t="s">
        <v>2360</v>
      </c>
      <c r="H179" t="s">
        <v>2375</v>
      </c>
      <c r="I179" t="s">
        <v>2376</v>
      </c>
      <c r="J179" t="s">
        <v>583</v>
      </c>
      <c r="K179" t="s">
        <v>2377</v>
      </c>
    </row>
    <row r="180" spans="1:11" x14ac:dyDescent="0.25">
      <c r="A180" s="123">
        <v>179</v>
      </c>
      <c r="B180" s="2" t="s">
        <v>22</v>
      </c>
      <c r="C180" s="123" t="s">
        <v>188</v>
      </c>
      <c r="D180" t="s">
        <v>583</v>
      </c>
      <c r="E180" t="s">
        <v>2378</v>
      </c>
      <c r="F180" t="s">
        <v>583</v>
      </c>
      <c r="G180" s="80" t="s">
        <v>2379</v>
      </c>
      <c r="H180" t="s">
        <v>583</v>
      </c>
      <c r="I180" t="s">
        <v>583</v>
      </c>
      <c r="J180" t="s">
        <v>583</v>
      </c>
      <c r="K180" t="s">
        <v>583</v>
      </c>
    </row>
    <row r="181" spans="1:11" x14ac:dyDescent="0.25">
      <c r="A181" s="123">
        <v>180</v>
      </c>
      <c r="B181" s="2" t="s">
        <v>22</v>
      </c>
      <c r="C181" s="123" t="s">
        <v>182</v>
      </c>
      <c r="D181" s="80" t="s">
        <v>2380</v>
      </c>
      <c r="E181" t="s">
        <v>2381</v>
      </c>
      <c r="F181" t="s">
        <v>583</v>
      </c>
      <c r="G181" t="s">
        <v>2360</v>
      </c>
      <c r="H181" s="80" t="s">
        <v>2382</v>
      </c>
      <c r="I181" t="s">
        <v>2383</v>
      </c>
      <c r="J181" t="s">
        <v>583</v>
      </c>
      <c r="K181" t="s">
        <v>2384</v>
      </c>
    </row>
    <row r="182" spans="1:11" x14ac:dyDescent="0.25">
      <c r="A182" s="123">
        <v>181</v>
      </c>
      <c r="B182" s="2" t="s">
        <v>22</v>
      </c>
      <c r="C182" s="123" t="s">
        <v>184</v>
      </c>
      <c r="D182" t="s">
        <v>2351</v>
      </c>
      <c r="E182" s="80" t="s">
        <v>2385</v>
      </c>
      <c r="F182" t="s">
        <v>2386</v>
      </c>
      <c r="G182" t="s">
        <v>2310</v>
      </c>
      <c r="H182" t="s">
        <v>2387</v>
      </c>
      <c r="I182" s="80" t="s">
        <v>2388</v>
      </c>
      <c r="J182" t="s">
        <v>2389</v>
      </c>
      <c r="K182" t="s">
        <v>2390</v>
      </c>
    </row>
    <row r="183" spans="1:11" x14ac:dyDescent="0.25">
      <c r="A183" s="123">
        <v>182</v>
      </c>
      <c r="B183" s="2" t="s">
        <v>22</v>
      </c>
      <c r="C183" s="123" t="s">
        <v>187</v>
      </c>
      <c r="D183" t="s">
        <v>2391</v>
      </c>
      <c r="E183" s="80" t="s">
        <v>2392</v>
      </c>
      <c r="F183">
        <v>915</v>
      </c>
      <c r="G183" t="s">
        <v>2393</v>
      </c>
      <c r="H183" s="80" t="s">
        <v>2394</v>
      </c>
      <c r="I183" s="80" t="s">
        <v>2395</v>
      </c>
      <c r="J183" t="s">
        <v>2396</v>
      </c>
      <c r="K183" t="s">
        <v>2397</v>
      </c>
    </row>
    <row r="184" spans="1:11" x14ac:dyDescent="0.25">
      <c r="A184" s="123">
        <v>183</v>
      </c>
      <c r="B184" s="2" t="s">
        <v>22</v>
      </c>
      <c r="C184" s="123" t="s">
        <v>189</v>
      </c>
      <c r="D184" t="s">
        <v>2398</v>
      </c>
      <c r="E184" s="80" t="s">
        <v>2399</v>
      </c>
      <c r="F184" t="s">
        <v>2400</v>
      </c>
      <c r="G184" t="s">
        <v>2401</v>
      </c>
      <c r="H184" t="s">
        <v>2402</v>
      </c>
      <c r="I184" s="80" t="s">
        <v>2403</v>
      </c>
      <c r="J184" t="s">
        <v>2313</v>
      </c>
      <c r="K184" t="s">
        <v>2404</v>
      </c>
    </row>
    <row r="185" spans="1:11" x14ac:dyDescent="0.25">
      <c r="A185" s="123">
        <v>184</v>
      </c>
      <c r="B185" s="2" t="s">
        <v>5</v>
      </c>
      <c r="C185" s="123" t="s">
        <v>162</v>
      </c>
      <c r="D185" t="s">
        <v>2405</v>
      </c>
      <c r="E185" s="80" t="s">
        <v>2406</v>
      </c>
      <c r="F185" t="s">
        <v>2407</v>
      </c>
      <c r="G185" t="s">
        <v>2333</v>
      </c>
      <c r="H185" t="s">
        <v>2408</v>
      </c>
      <c r="I185" t="s">
        <v>2409</v>
      </c>
      <c r="J185" t="s">
        <v>2410</v>
      </c>
      <c r="K185" t="s">
        <v>2411</v>
      </c>
    </row>
    <row r="186" spans="1:11" x14ac:dyDescent="0.25">
      <c r="A186" s="123">
        <v>185</v>
      </c>
      <c r="B186" s="2" t="s">
        <v>5</v>
      </c>
      <c r="C186" s="123" t="s">
        <v>170</v>
      </c>
      <c r="D186" t="s">
        <v>2412</v>
      </c>
      <c r="E186" s="80" t="s">
        <v>2413</v>
      </c>
      <c r="F186" t="s">
        <v>2414</v>
      </c>
      <c r="G186" t="s">
        <v>2415</v>
      </c>
      <c r="H186">
        <v>1951</v>
      </c>
      <c r="I186" s="80" t="s">
        <v>2416</v>
      </c>
      <c r="J186" t="s">
        <v>2417</v>
      </c>
      <c r="K186" t="s">
        <v>2418</v>
      </c>
    </row>
    <row r="187" spans="1:11" x14ac:dyDescent="0.25">
      <c r="A187" s="123">
        <v>186</v>
      </c>
      <c r="B187" s="2" t="s">
        <v>5</v>
      </c>
      <c r="C187" s="123" t="s">
        <v>178</v>
      </c>
      <c r="D187" t="s">
        <v>2419</v>
      </c>
      <c r="E187" s="80" t="s">
        <v>2420</v>
      </c>
      <c r="F187" t="s">
        <v>2421</v>
      </c>
      <c r="G187" t="s">
        <v>2422</v>
      </c>
      <c r="H187" t="s">
        <v>2423</v>
      </c>
      <c r="I187" s="80" t="s">
        <v>2424</v>
      </c>
      <c r="J187" t="s">
        <v>2425</v>
      </c>
      <c r="K187" t="s">
        <v>2426</v>
      </c>
    </row>
    <row r="188" spans="1:11" x14ac:dyDescent="0.25">
      <c r="A188" s="123">
        <v>187</v>
      </c>
      <c r="B188" s="2" t="s">
        <v>5</v>
      </c>
      <c r="C188" s="123" t="s">
        <v>163</v>
      </c>
      <c r="D188" t="s">
        <v>2427</v>
      </c>
      <c r="E188" s="80" t="s">
        <v>2428</v>
      </c>
      <c r="F188" t="s">
        <v>2429</v>
      </c>
      <c r="G188" t="s">
        <v>2430</v>
      </c>
      <c r="H188" s="80" t="s">
        <v>2431</v>
      </c>
      <c r="I188" s="80" t="s">
        <v>2432</v>
      </c>
      <c r="J188" t="s">
        <v>2433</v>
      </c>
      <c r="K188" s="80" t="s">
        <v>2434</v>
      </c>
    </row>
    <row r="189" spans="1:11" x14ac:dyDescent="0.25">
      <c r="A189" s="123">
        <v>188</v>
      </c>
      <c r="B189" s="2" t="s">
        <v>5</v>
      </c>
      <c r="C189" s="123" t="s">
        <v>181</v>
      </c>
      <c r="D189" t="s">
        <v>2435</v>
      </c>
      <c r="E189" s="80" t="s">
        <v>2436</v>
      </c>
      <c r="F189" t="s">
        <v>2437</v>
      </c>
      <c r="G189" t="s">
        <v>2339</v>
      </c>
      <c r="H189" t="s">
        <v>2438</v>
      </c>
      <c r="I189" t="s">
        <v>2439</v>
      </c>
      <c r="J189" t="s">
        <v>2440</v>
      </c>
      <c r="K189" t="s">
        <v>2441</v>
      </c>
    </row>
    <row r="190" spans="1:11" x14ac:dyDescent="0.25">
      <c r="A190" s="123">
        <v>189</v>
      </c>
      <c r="B190" s="2" t="s">
        <v>5</v>
      </c>
      <c r="C190" s="123" t="s">
        <v>183</v>
      </c>
      <c r="D190" t="s">
        <v>2291</v>
      </c>
      <c r="E190" s="80" t="s">
        <v>2442</v>
      </c>
      <c r="F190" s="80" t="s">
        <v>2443</v>
      </c>
      <c r="G190" t="s">
        <v>2444</v>
      </c>
      <c r="H190" s="80" t="s">
        <v>2445</v>
      </c>
      <c r="I190" s="80" t="s">
        <v>2446</v>
      </c>
      <c r="J190" t="s">
        <v>2447</v>
      </c>
      <c r="K190" s="80" t="s">
        <v>2448</v>
      </c>
    </row>
    <row r="191" spans="1:11" x14ac:dyDescent="0.25">
      <c r="A191" s="123">
        <v>190</v>
      </c>
      <c r="B191" s="2" t="s">
        <v>5</v>
      </c>
      <c r="C191" s="123" t="s">
        <v>186</v>
      </c>
      <c r="D191" t="s">
        <v>2449</v>
      </c>
      <c r="E191" s="80" t="s">
        <v>2450</v>
      </c>
      <c r="F191" s="80" t="s">
        <v>2451</v>
      </c>
      <c r="G191" t="s">
        <v>2452</v>
      </c>
      <c r="H191" s="111" t="s">
        <v>2453</v>
      </c>
      <c r="I191" s="80" t="s">
        <v>2454</v>
      </c>
      <c r="J191" t="s">
        <v>2455</v>
      </c>
      <c r="K191" s="80" t="s">
        <v>2456</v>
      </c>
    </row>
    <row r="192" spans="1:11" x14ac:dyDescent="0.25">
      <c r="A192" s="123">
        <v>191</v>
      </c>
      <c r="B192" s="2" t="s">
        <v>5</v>
      </c>
      <c r="C192" s="123" t="s">
        <v>188</v>
      </c>
      <c r="D192" t="s">
        <v>2457</v>
      </c>
      <c r="E192" s="80" t="s">
        <v>2458</v>
      </c>
      <c r="F192" s="80" t="s">
        <v>2459</v>
      </c>
      <c r="G192" t="s">
        <v>2460</v>
      </c>
      <c r="H192" s="80" t="s">
        <v>2461</v>
      </c>
      <c r="I192" s="80" t="s">
        <v>2462</v>
      </c>
      <c r="J192" t="s">
        <v>2463</v>
      </c>
      <c r="K192" s="80" t="s">
        <v>2464</v>
      </c>
    </row>
    <row r="193" spans="1:11" x14ac:dyDescent="0.25">
      <c r="A193" s="123">
        <v>192</v>
      </c>
      <c r="B193" s="2" t="s">
        <v>5</v>
      </c>
      <c r="C193" s="123" t="s">
        <v>182</v>
      </c>
      <c r="D193" s="80" t="s">
        <v>2380</v>
      </c>
      <c r="E193" t="s">
        <v>2465</v>
      </c>
      <c r="F193" t="s">
        <v>2466</v>
      </c>
      <c r="G193" t="s">
        <v>2360</v>
      </c>
      <c r="H193" t="s">
        <v>2467</v>
      </c>
      <c r="I193" t="s">
        <v>2468</v>
      </c>
      <c r="J193" t="s">
        <v>583</v>
      </c>
      <c r="K193" t="s">
        <v>2469</v>
      </c>
    </row>
    <row r="194" spans="1:11" x14ac:dyDescent="0.25">
      <c r="A194" s="123">
        <v>193</v>
      </c>
      <c r="B194" s="2" t="s">
        <v>5</v>
      </c>
      <c r="C194" s="123" t="s">
        <v>184</v>
      </c>
      <c r="D194" t="s">
        <v>2470</v>
      </c>
      <c r="E194" t="s">
        <v>2471</v>
      </c>
      <c r="F194" t="s">
        <v>2472</v>
      </c>
      <c r="G194" t="s">
        <v>2473</v>
      </c>
      <c r="H194" t="s">
        <v>2474</v>
      </c>
      <c r="I194" s="80" t="s">
        <v>2475</v>
      </c>
      <c r="J194" t="s">
        <v>2476</v>
      </c>
      <c r="K194" t="s">
        <v>2477</v>
      </c>
    </row>
    <row r="195" spans="1:11" x14ac:dyDescent="0.25">
      <c r="A195" s="123">
        <v>194</v>
      </c>
      <c r="B195" s="2" t="s">
        <v>5</v>
      </c>
      <c r="C195" s="123" t="s">
        <v>187</v>
      </c>
      <c r="D195" t="s">
        <v>2478</v>
      </c>
      <c r="E195" t="s">
        <v>2479</v>
      </c>
      <c r="F195" t="s">
        <v>2480</v>
      </c>
      <c r="G195" t="s">
        <v>2422</v>
      </c>
      <c r="H195" t="s">
        <v>2481</v>
      </c>
      <c r="I195" s="80" t="s">
        <v>2482</v>
      </c>
      <c r="J195" t="s">
        <v>2483</v>
      </c>
      <c r="K195" s="80" t="s">
        <v>2484</v>
      </c>
    </row>
    <row r="196" spans="1:11" x14ac:dyDescent="0.25">
      <c r="A196" s="123">
        <v>195</v>
      </c>
      <c r="B196" s="2" t="s">
        <v>5</v>
      </c>
      <c r="C196" s="123" t="s">
        <v>189</v>
      </c>
      <c r="D196" t="s">
        <v>2485</v>
      </c>
      <c r="E196" t="s">
        <v>2486</v>
      </c>
      <c r="F196" t="s">
        <v>2487</v>
      </c>
      <c r="G196" t="s">
        <v>2488</v>
      </c>
      <c r="H196" t="s">
        <v>2489</v>
      </c>
      <c r="I196" s="80" t="s">
        <v>2490</v>
      </c>
      <c r="J196" t="s">
        <v>2491</v>
      </c>
      <c r="K196" s="80" t="s">
        <v>2492</v>
      </c>
    </row>
    <row r="197" spans="1:11" x14ac:dyDescent="0.25">
      <c r="A197" s="123">
        <v>196</v>
      </c>
      <c r="B197" s="2">
        <v>1031</v>
      </c>
      <c r="C197" s="123" t="s">
        <v>162</v>
      </c>
      <c r="D197" t="s">
        <v>2405</v>
      </c>
      <c r="E197" s="80" t="s">
        <v>2493</v>
      </c>
      <c r="F197" t="s">
        <v>2494</v>
      </c>
      <c r="G197" t="s">
        <v>2333</v>
      </c>
      <c r="H197" t="s">
        <v>2495</v>
      </c>
      <c r="I197" t="s">
        <v>2496</v>
      </c>
      <c r="J197" t="s">
        <v>2497</v>
      </c>
      <c r="K197" t="s">
        <v>2498</v>
      </c>
    </row>
    <row r="198" spans="1:11" x14ac:dyDescent="0.25">
      <c r="A198" s="123">
        <v>197</v>
      </c>
      <c r="B198" s="2">
        <v>1031</v>
      </c>
      <c r="C198" s="123" t="s">
        <v>170</v>
      </c>
      <c r="D198" t="s">
        <v>2499</v>
      </c>
      <c r="E198" t="s">
        <v>2500</v>
      </c>
      <c r="F198" t="s">
        <v>2501</v>
      </c>
      <c r="G198" t="s">
        <v>2333</v>
      </c>
      <c r="H198" t="s">
        <v>2502</v>
      </c>
      <c r="I198" s="80" t="s">
        <v>2503</v>
      </c>
      <c r="J198" t="s">
        <v>2504</v>
      </c>
      <c r="K198" t="s">
        <v>2505</v>
      </c>
    </row>
    <row r="199" spans="1:11" x14ac:dyDescent="0.25">
      <c r="A199" s="123">
        <v>198</v>
      </c>
      <c r="B199" s="2">
        <v>1031</v>
      </c>
      <c r="C199" s="123" t="s">
        <v>178</v>
      </c>
      <c r="D199" t="s">
        <v>2506</v>
      </c>
      <c r="E199" s="80" t="s">
        <v>2507</v>
      </c>
      <c r="F199" t="s">
        <v>2508</v>
      </c>
      <c r="G199" t="s">
        <v>2488</v>
      </c>
      <c r="H199" t="s">
        <v>2509</v>
      </c>
      <c r="I199" s="80" t="s">
        <v>2510</v>
      </c>
      <c r="J199" t="s">
        <v>2511</v>
      </c>
      <c r="K199" t="s">
        <v>2512</v>
      </c>
    </row>
    <row r="200" spans="1:11" x14ac:dyDescent="0.25">
      <c r="A200" s="123">
        <v>199</v>
      </c>
      <c r="B200" s="2">
        <v>1031</v>
      </c>
      <c r="C200" s="123" t="s">
        <v>163</v>
      </c>
      <c r="D200" t="s">
        <v>2513</v>
      </c>
      <c r="E200" s="80" t="s">
        <v>2514</v>
      </c>
      <c r="F200" t="s">
        <v>2515</v>
      </c>
      <c r="G200" t="s">
        <v>2430</v>
      </c>
      <c r="H200" s="80" t="s">
        <v>2516</v>
      </c>
      <c r="I200" s="80" t="s">
        <v>2517</v>
      </c>
      <c r="J200" t="s">
        <v>2491</v>
      </c>
      <c r="K200" s="80" t="s">
        <v>2518</v>
      </c>
    </row>
    <row r="201" spans="1:11" x14ac:dyDescent="0.25">
      <c r="A201" s="123">
        <v>200</v>
      </c>
      <c r="B201" s="2">
        <v>1031</v>
      </c>
      <c r="C201" s="123" t="s">
        <v>181</v>
      </c>
      <c r="D201" t="s">
        <v>2336</v>
      </c>
      <c r="E201" s="80" t="s">
        <v>2519</v>
      </c>
      <c r="F201" t="s">
        <v>2520</v>
      </c>
      <c r="G201" t="s">
        <v>2488</v>
      </c>
      <c r="H201" t="s">
        <v>2521</v>
      </c>
      <c r="I201" t="s">
        <v>2522</v>
      </c>
      <c r="J201" t="s">
        <v>2511</v>
      </c>
      <c r="K201" t="s">
        <v>2523</v>
      </c>
    </row>
    <row r="202" spans="1:11" x14ac:dyDescent="0.25">
      <c r="A202" s="123">
        <v>201</v>
      </c>
      <c r="B202" s="2">
        <v>1031</v>
      </c>
      <c r="C202" s="123" t="s">
        <v>183</v>
      </c>
      <c r="D202" t="s">
        <v>2524</v>
      </c>
      <c r="E202" s="80" t="s">
        <v>2525</v>
      </c>
      <c r="F202" t="s">
        <v>2526</v>
      </c>
      <c r="G202" t="s">
        <v>2422</v>
      </c>
      <c r="H202" t="s">
        <v>2527</v>
      </c>
      <c r="I202" s="80" t="s">
        <v>2528</v>
      </c>
      <c r="J202" t="s">
        <v>2529</v>
      </c>
      <c r="K202" t="s">
        <v>2530</v>
      </c>
    </row>
    <row r="203" spans="1:11" x14ac:dyDescent="0.25">
      <c r="A203" s="123">
        <v>202</v>
      </c>
      <c r="B203" s="2">
        <v>1031</v>
      </c>
      <c r="C203" s="123" t="s">
        <v>186</v>
      </c>
      <c r="D203" t="s">
        <v>2531</v>
      </c>
      <c r="E203" s="80" t="s">
        <v>2532</v>
      </c>
      <c r="F203" t="s">
        <v>2533</v>
      </c>
      <c r="G203" t="s">
        <v>2393</v>
      </c>
      <c r="H203" t="s">
        <v>2534</v>
      </c>
      <c r="I203" s="80" t="s">
        <v>2535</v>
      </c>
      <c r="J203" t="s">
        <v>2536</v>
      </c>
      <c r="K203" s="80" t="s">
        <v>2537</v>
      </c>
    </row>
    <row r="204" spans="1:11" x14ac:dyDescent="0.25">
      <c r="A204" s="123">
        <v>203</v>
      </c>
      <c r="B204" s="2">
        <v>1031</v>
      </c>
      <c r="C204" s="123" t="s">
        <v>188</v>
      </c>
      <c r="D204" t="s">
        <v>2531</v>
      </c>
      <c r="E204" s="80" t="s">
        <v>2538</v>
      </c>
      <c r="F204" t="s">
        <v>2539</v>
      </c>
      <c r="G204" t="s">
        <v>2540</v>
      </c>
      <c r="H204" s="80" t="s">
        <v>2541</v>
      </c>
      <c r="I204" s="80" t="s">
        <v>2542</v>
      </c>
      <c r="J204" t="s">
        <v>2543</v>
      </c>
      <c r="K204" s="80" t="s">
        <v>2544</v>
      </c>
    </row>
    <row r="205" spans="1:11" x14ac:dyDescent="0.25">
      <c r="A205" s="123">
        <v>204</v>
      </c>
      <c r="B205" s="2">
        <v>1031</v>
      </c>
      <c r="C205" s="123" t="s">
        <v>182</v>
      </c>
      <c r="D205" s="80" t="s">
        <v>2380</v>
      </c>
      <c r="E205" t="s">
        <v>2545</v>
      </c>
      <c r="F205" t="s">
        <v>583</v>
      </c>
      <c r="G205" t="s">
        <v>2546</v>
      </c>
      <c r="H205" t="s">
        <v>2547</v>
      </c>
      <c r="I205" t="s">
        <v>2548</v>
      </c>
      <c r="J205" t="s">
        <v>583</v>
      </c>
      <c r="K205" s="80" t="s">
        <v>2549</v>
      </c>
    </row>
    <row r="206" spans="1:11" x14ac:dyDescent="0.25">
      <c r="A206" s="123">
        <v>205</v>
      </c>
      <c r="B206" s="2">
        <v>1031</v>
      </c>
      <c r="C206" s="123" t="s">
        <v>184</v>
      </c>
      <c r="D206" t="s">
        <v>2550</v>
      </c>
      <c r="E206" t="s">
        <v>2551</v>
      </c>
      <c r="F206" t="s">
        <v>2552</v>
      </c>
      <c r="G206" t="s">
        <v>2553</v>
      </c>
      <c r="H206" t="s">
        <v>2554</v>
      </c>
      <c r="I206" s="80" t="s">
        <v>2555</v>
      </c>
      <c r="J206" t="s">
        <v>2417</v>
      </c>
      <c r="K206" t="s">
        <v>2556</v>
      </c>
    </row>
    <row r="207" spans="1:11" x14ac:dyDescent="0.25">
      <c r="A207" s="123">
        <v>206</v>
      </c>
      <c r="B207" s="2">
        <v>1031</v>
      </c>
      <c r="C207" s="123" t="s">
        <v>187</v>
      </c>
      <c r="D207" t="s">
        <v>2275</v>
      </c>
      <c r="E207" t="s">
        <v>2557</v>
      </c>
      <c r="F207" t="s">
        <v>2558</v>
      </c>
      <c r="G207" t="s">
        <v>2333</v>
      </c>
      <c r="H207" t="s">
        <v>2559</v>
      </c>
      <c r="I207" s="80" t="s">
        <v>2560</v>
      </c>
      <c r="J207" t="s">
        <v>2342</v>
      </c>
      <c r="K207" t="s">
        <v>2561</v>
      </c>
    </row>
    <row r="208" spans="1:11" x14ac:dyDescent="0.25">
      <c r="A208" s="123">
        <v>207</v>
      </c>
      <c r="B208" s="2">
        <v>1031</v>
      </c>
      <c r="C208" s="123" t="s">
        <v>189</v>
      </c>
      <c r="D208" t="s">
        <v>2562</v>
      </c>
      <c r="E208" t="s">
        <v>2563</v>
      </c>
      <c r="F208" t="s">
        <v>1416</v>
      </c>
      <c r="G208" t="s">
        <v>2564</v>
      </c>
      <c r="H208" t="s">
        <v>2565</v>
      </c>
      <c r="I208" s="80" t="s">
        <v>2566</v>
      </c>
      <c r="J208" t="s">
        <v>2567</v>
      </c>
      <c r="K208" t="s">
        <v>2568</v>
      </c>
    </row>
    <row r="209" spans="1:11" x14ac:dyDescent="0.25">
      <c r="A209" s="123">
        <v>208</v>
      </c>
      <c r="B209" s="2">
        <v>1029</v>
      </c>
      <c r="C209" s="123" t="s">
        <v>162</v>
      </c>
      <c r="D209" t="s">
        <v>2569</v>
      </c>
      <c r="E209" s="80" t="s">
        <v>2570</v>
      </c>
      <c r="F209" t="s">
        <v>2359</v>
      </c>
      <c r="G209" t="s">
        <v>2571</v>
      </c>
      <c r="H209" t="s">
        <v>2408</v>
      </c>
      <c r="I209" t="s">
        <v>2572</v>
      </c>
      <c r="J209" t="s">
        <v>2410</v>
      </c>
      <c r="K209" t="s">
        <v>2573</v>
      </c>
    </row>
    <row r="210" spans="1:11" x14ac:dyDescent="0.25">
      <c r="A210" s="123">
        <v>209</v>
      </c>
      <c r="B210" s="2">
        <v>1029</v>
      </c>
      <c r="C210" s="123" t="s">
        <v>170</v>
      </c>
      <c r="D210" t="s">
        <v>2275</v>
      </c>
      <c r="E210" s="80" t="s">
        <v>2574</v>
      </c>
      <c r="F210" t="s">
        <v>2575</v>
      </c>
      <c r="G210" t="s">
        <v>2488</v>
      </c>
      <c r="H210" t="s">
        <v>2576</v>
      </c>
      <c r="I210" s="80" t="s">
        <v>2577</v>
      </c>
      <c r="J210" t="s">
        <v>2305</v>
      </c>
      <c r="K210" t="s">
        <v>2578</v>
      </c>
    </row>
    <row r="211" spans="1:11" x14ac:dyDescent="0.25">
      <c r="A211" s="123">
        <v>210</v>
      </c>
      <c r="B211" s="2">
        <v>1029</v>
      </c>
      <c r="C211" s="123" t="s">
        <v>178</v>
      </c>
      <c r="D211" t="s">
        <v>2449</v>
      </c>
      <c r="E211" s="80" t="s">
        <v>2579</v>
      </c>
      <c r="F211" t="s">
        <v>2580</v>
      </c>
      <c r="G211" t="s">
        <v>2286</v>
      </c>
      <c r="H211" s="80" t="s">
        <v>2581</v>
      </c>
      <c r="I211" s="80" t="s">
        <v>2582</v>
      </c>
      <c r="J211" t="s">
        <v>2583</v>
      </c>
      <c r="K211" t="s">
        <v>2584</v>
      </c>
    </row>
    <row r="212" spans="1:11" x14ac:dyDescent="0.25">
      <c r="A212" s="123">
        <v>211</v>
      </c>
      <c r="B212" s="2">
        <v>1029</v>
      </c>
      <c r="C212" s="123" t="s">
        <v>163</v>
      </c>
      <c r="D212" t="s">
        <v>2585</v>
      </c>
      <c r="E212" s="80" t="s">
        <v>2586</v>
      </c>
      <c r="F212" t="s">
        <v>2587</v>
      </c>
      <c r="G212" t="s">
        <v>2444</v>
      </c>
      <c r="H212" s="80" t="s">
        <v>2588</v>
      </c>
      <c r="I212" s="80" t="s">
        <v>2589</v>
      </c>
      <c r="J212" t="s">
        <v>2297</v>
      </c>
      <c r="K212" s="80" t="s">
        <v>2590</v>
      </c>
    </row>
    <row r="213" spans="1:11" x14ac:dyDescent="0.25">
      <c r="A213" s="123">
        <v>212</v>
      </c>
      <c r="B213" s="2">
        <v>1029</v>
      </c>
      <c r="C213" s="123" t="s">
        <v>181</v>
      </c>
      <c r="D213" t="s">
        <v>2591</v>
      </c>
      <c r="E213" s="80" t="s">
        <v>2592</v>
      </c>
      <c r="F213" t="s">
        <v>2593</v>
      </c>
      <c r="G213" t="s">
        <v>2415</v>
      </c>
      <c r="H213" t="s">
        <v>2594</v>
      </c>
      <c r="I213" t="s">
        <v>2595</v>
      </c>
      <c r="J213" t="s">
        <v>2497</v>
      </c>
      <c r="K213" t="s">
        <v>2596</v>
      </c>
    </row>
    <row r="214" spans="1:11" x14ac:dyDescent="0.25">
      <c r="A214" s="123">
        <v>213</v>
      </c>
      <c r="B214" s="2">
        <v>1029</v>
      </c>
      <c r="C214" s="123" t="s">
        <v>183</v>
      </c>
      <c r="D214" t="s">
        <v>2597</v>
      </c>
      <c r="E214" s="80" t="s">
        <v>2598</v>
      </c>
      <c r="F214" t="s">
        <v>2599</v>
      </c>
      <c r="G214" t="s">
        <v>2600</v>
      </c>
      <c r="H214" t="s">
        <v>2601</v>
      </c>
      <c r="I214" s="80" t="s">
        <v>2602</v>
      </c>
      <c r="J214" t="s">
        <v>2583</v>
      </c>
      <c r="K214" t="s">
        <v>2603</v>
      </c>
    </row>
    <row r="215" spans="1:11" x14ac:dyDescent="0.25">
      <c r="A215" s="123">
        <v>214</v>
      </c>
      <c r="B215" s="2">
        <v>1029</v>
      </c>
      <c r="C215" s="123" t="s">
        <v>186</v>
      </c>
      <c r="D215" t="s">
        <v>2307</v>
      </c>
      <c r="E215" s="80" t="s">
        <v>2604</v>
      </c>
      <c r="F215" t="s">
        <v>2605</v>
      </c>
      <c r="G215" t="s">
        <v>2347</v>
      </c>
      <c r="H215" s="80" t="s">
        <v>2606</v>
      </c>
      <c r="I215" s="80" t="s">
        <v>2607</v>
      </c>
      <c r="J215" t="s">
        <v>2447</v>
      </c>
      <c r="K215" t="s">
        <v>2608</v>
      </c>
    </row>
    <row r="216" spans="1:11" x14ac:dyDescent="0.25">
      <c r="A216" s="123">
        <v>215</v>
      </c>
      <c r="B216" s="2">
        <v>1029</v>
      </c>
      <c r="C216" s="123" t="s">
        <v>188</v>
      </c>
      <c r="D216" t="s">
        <v>2531</v>
      </c>
      <c r="E216" s="80" t="s">
        <v>2609</v>
      </c>
      <c r="F216" t="s">
        <v>2610</v>
      </c>
      <c r="G216" t="s">
        <v>2452</v>
      </c>
      <c r="H216" s="80" t="s">
        <v>2611</v>
      </c>
      <c r="I216" s="80" t="s">
        <v>2612</v>
      </c>
      <c r="J216" t="s">
        <v>2613</v>
      </c>
      <c r="K216" s="80" t="s">
        <v>2614</v>
      </c>
    </row>
    <row r="217" spans="1:11" x14ac:dyDescent="0.25">
      <c r="A217" s="123">
        <v>216</v>
      </c>
      <c r="B217" s="2">
        <v>1029</v>
      </c>
      <c r="C217" s="123" t="s">
        <v>182</v>
      </c>
      <c r="D217" t="s">
        <v>2615</v>
      </c>
      <c r="E217" t="s">
        <v>2616</v>
      </c>
      <c r="F217" t="s">
        <v>583</v>
      </c>
      <c r="G217" t="s">
        <v>2367</v>
      </c>
      <c r="H217" t="s">
        <v>2382</v>
      </c>
      <c r="I217" t="s">
        <v>2617</v>
      </c>
      <c r="J217" t="s">
        <v>583</v>
      </c>
      <c r="K217" t="s">
        <v>2469</v>
      </c>
    </row>
    <row r="218" spans="1:11" x14ac:dyDescent="0.25">
      <c r="A218" s="123">
        <v>217</v>
      </c>
      <c r="B218" s="2">
        <v>1029</v>
      </c>
      <c r="C218" s="123" t="s">
        <v>184</v>
      </c>
      <c r="D218" t="s">
        <v>2351</v>
      </c>
      <c r="E218" s="80" t="s">
        <v>2618</v>
      </c>
      <c r="F218" t="s">
        <v>2619</v>
      </c>
      <c r="G218" t="s">
        <v>2620</v>
      </c>
      <c r="H218" t="s">
        <v>2621</v>
      </c>
      <c r="I218" s="80" t="s">
        <v>2482</v>
      </c>
      <c r="J218" t="s">
        <v>2305</v>
      </c>
      <c r="K218" t="s">
        <v>2622</v>
      </c>
    </row>
    <row r="219" spans="1:11" x14ac:dyDescent="0.25">
      <c r="A219" s="123">
        <v>218</v>
      </c>
      <c r="B219" s="2">
        <v>1029</v>
      </c>
      <c r="C219" s="123" t="s">
        <v>187</v>
      </c>
      <c r="D219" t="s">
        <v>2623</v>
      </c>
      <c r="E219" s="80">
        <v>48552</v>
      </c>
      <c r="F219" t="s">
        <v>2624</v>
      </c>
      <c r="G219" t="s">
        <v>2600</v>
      </c>
      <c r="H219" s="80" t="s">
        <v>2625</v>
      </c>
      <c r="I219" s="80" t="s">
        <v>2626</v>
      </c>
      <c r="J219" t="s">
        <v>2447</v>
      </c>
      <c r="K219" s="80" t="s">
        <v>2627</v>
      </c>
    </row>
    <row r="220" spans="1:11" x14ac:dyDescent="0.25">
      <c r="A220" s="123">
        <v>219</v>
      </c>
      <c r="B220" s="2">
        <v>1029</v>
      </c>
      <c r="C220" s="123" t="s">
        <v>189</v>
      </c>
      <c r="D220" t="s">
        <v>2628</v>
      </c>
      <c r="E220" s="80" t="s">
        <v>2629</v>
      </c>
      <c r="F220" t="s">
        <v>2630</v>
      </c>
      <c r="G220" t="s">
        <v>2401</v>
      </c>
      <c r="H220" s="80" t="s">
        <v>2631</v>
      </c>
      <c r="I220" s="80" t="s">
        <v>2632</v>
      </c>
      <c r="J220" t="s">
        <v>2633</v>
      </c>
      <c r="K220" s="80" t="s">
        <v>2634</v>
      </c>
    </row>
    <row r="221" spans="1:11" x14ac:dyDescent="0.25">
      <c r="A221" s="123">
        <v>220</v>
      </c>
      <c r="B221" s="2">
        <v>1037</v>
      </c>
      <c r="C221" s="123" t="s">
        <v>181</v>
      </c>
      <c r="D221" t="s">
        <v>2635</v>
      </c>
      <c r="E221" s="80" t="s">
        <v>2636</v>
      </c>
      <c r="F221" t="s">
        <v>2637</v>
      </c>
      <c r="G221" t="s">
        <v>2278</v>
      </c>
      <c r="H221" t="s">
        <v>2638</v>
      </c>
      <c r="I221" t="s">
        <v>2639</v>
      </c>
      <c r="J221" t="s">
        <v>2305</v>
      </c>
      <c r="K221" t="s">
        <v>2640</v>
      </c>
    </row>
    <row r="222" spans="1:11" x14ac:dyDescent="0.25">
      <c r="A222" s="123">
        <v>221</v>
      </c>
      <c r="B222" s="2">
        <v>1037</v>
      </c>
      <c r="C222" s="123" t="s">
        <v>183</v>
      </c>
      <c r="D222" t="s">
        <v>2323</v>
      </c>
      <c r="E222" s="80" t="s">
        <v>2641</v>
      </c>
      <c r="F222" t="s">
        <v>2642</v>
      </c>
      <c r="G222" t="s">
        <v>2600</v>
      </c>
      <c r="H222" t="s">
        <v>2643</v>
      </c>
      <c r="I222" s="80" t="s">
        <v>2644</v>
      </c>
      <c r="J222" t="s">
        <v>2447</v>
      </c>
      <c r="K222" t="s">
        <v>2645</v>
      </c>
    </row>
    <row r="223" spans="1:11" x14ac:dyDescent="0.25">
      <c r="A223" s="123">
        <v>222</v>
      </c>
      <c r="B223" s="2">
        <v>1037</v>
      </c>
      <c r="C223" s="123" t="s">
        <v>186</v>
      </c>
      <c r="D223" t="s">
        <v>2628</v>
      </c>
      <c r="E223" s="80" t="s">
        <v>2646</v>
      </c>
      <c r="F223" t="s">
        <v>2647</v>
      </c>
      <c r="G223" t="s">
        <v>2648</v>
      </c>
      <c r="H223" s="80" t="s">
        <v>2649</v>
      </c>
      <c r="I223" s="80" t="s">
        <v>2650</v>
      </c>
      <c r="J223" t="s">
        <v>2651</v>
      </c>
      <c r="K223" s="80" t="s">
        <v>2652</v>
      </c>
    </row>
    <row r="224" spans="1:11" x14ac:dyDescent="0.25">
      <c r="A224" s="123">
        <v>223</v>
      </c>
      <c r="B224" s="2">
        <v>1037</v>
      </c>
      <c r="C224" s="123" t="s">
        <v>188</v>
      </c>
      <c r="D224" t="s">
        <v>2653</v>
      </c>
      <c r="E224" s="80" t="s">
        <v>2654</v>
      </c>
      <c r="F224" t="s">
        <v>2655</v>
      </c>
      <c r="G224" t="s">
        <v>2393</v>
      </c>
      <c r="H224" t="s">
        <v>2656</v>
      </c>
      <c r="I224" s="80" t="s">
        <v>2657</v>
      </c>
      <c r="J224" t="s">
        <v>2658</v>
      </c>
      <c r="K224" s="80" t="s">
        <v>2659</v>
      </c>
    </row>
    <row r="225" spans="1:11" x14ac:dyDescent="0.25">
      <c r="A225" s="123">
        <v>224</v>
      </c>
      <c r="B225" s="2">
        <v>1037</v>
      </c>
      <c r="C225" s="123" t="s">
        <v>182</v>
      </c>
      <c r="D225" t="s">
        <v>2357</v>
      </c>
      <c r="E225" t="s">
        <v>2660</v>
      </c>
      <c r="F225" t="s">
        <v>583</v>
      </c>
      <c r="G225" t="s">
        <v>2360</v>
      </c>
      <c r="H225" t="s">
        <v>2661</v>
      </c>
      <c r="I225" t="s">
        <v>2662</v>
      </c>
      <c r="J225" t="s">
        <v>2663</v>
      </c>
      <c r="K225" t="s">
        <v>2664</v>
      </c>
    </row>
    <row r="226" spans="1:11" x14ac:dyDescent="0.25">
      <c r="A226" s="123">
        <v>225</v>
      </c>
      <c r="B226" s="2">
        <v>1037</v>
      </c>
      <c r="C226" s="123" t="s">
        <v>184</v>
      </c>
      <c r="D226" t="s">
        <v>2665</v>
      </c>
      <c r="E226" t="s">
        <v>2666</v>
      </c>
      <c r="F226" t="s">
        <v>2667</v>
      </c>
      <c r="G226" t="s">
        <v>2620</v>
      </c>
      <c r="H226" t="s">
        <v>2668</v>
      </c>
      <c r="I226" s="80" t="s">
        <v>2669</v>
      </c>
      <c r="J226" t="s">
        <v>2567</v>
      </c>
      <c r="K226" t="s">
        <v>2670</v>
      </c>
    </row>
    <row r="227" spans="1:11" x14ac:dyDescent="0.25">
      <c r="A227" s="123">
        <v>226</v>
      </c>
      <c r="B227" s="2">
        <v>1037</v>
      </c>
      <c r="C227" s="123" t="s">
        <v>187</v>
      </c>
      <c r="D227" t="s">
        <v>2671</v>
      </c>
      <c r="E227" s="80" t="s">
        <v>2672</v>
      </c>
      <c r="F227" t="s">
        <v>2673</v>
      </c>
      <c r="G227" t="s">
        <v>2620</v>
      </c>
      <c r="H227" t="s">
        <v>2674</v>
      </c>
      <c r="I227" s="80" t="s">
        <v>2675</v>
      </c>
      <c r="J227" t="s">
        <v>2676</v>
      </c>
      <c r="K227" t="s">
        <v>2677</v>
      </c>
    </row>
    <row r="228" spans="1:11" x14ac:dyDescent="0.25">
      <c r="A228" s="123">
        <v>227</v>
      </c>
      <c r="B228" s="2">
        <v>1037</v>
      </c>
      <c r="C228" s="123" t="s">
        <v>189</v>
      </c>
      <c r="D228" t="s">
        <v>2336</v>
      </c>
      <c r="E228" s="80" t="s">
        <v>2678</v>
      </c>
      <c r="F228" t="s">
        <v>2679</v>
      </c>
      <c r="G228" t="s">
        <v>2620</v>
      </c>
      <c r="H228" t="s">
        <v>2680</v>
      </c>
      <c r="I228" s="80" t="s">
        <v>2681</v>
      </c>
      <c r="J228" t="s">
        <v>2342</v>
      </c>
      <c r="K228" t="s">
        <v>2682</v>
      </c>
    </row>
    <row r="229" spans="1:11" x14ac:dyDescent="0.25">
      <c r="A229" s="123">
        <v>228</v>
      </c>
      <c r="B229" s="114" t="s">
        <v>790</v>
      </c>
      <c r="C229" s="123" t="s">
        <v>162</v>
      </c>
      <c r="D229" t="s">
        <v>2550</v>
      </c>
      <c r="E229" t="s">
        <v>2683</v>
      </c>
      <c r="F229" t="s">
        <v>2494</v>
      </c>
      <c r="G229" t="s">
        <v>2553</v>
      </c>
      <c r="H229" t="s">
        <v>2684</v>
      </c>
      <c r="I229" t="s">
        <v>2685</v>
      </c>
      <c r="J229" t="s">
        <v>2686</v>
      </c>
      <c r="K229" t="s">
        <v>2411</v>
      </c>
    </row>
    <row r="230" spans="1:11" x14ac:dyDescent="0.25">
      <c r="A230" s="123">
        <v>229</v>
      </c>
      <c r="B230" s="114" t="s">
        <v>790</v>
      </c>
      <c r="C230" s="123" t="s">
        <v>170</v>
      </c>
      <c r="D230" t="s">
        <v>2307</v>
      </c>
      <c r="E230" s="80" t="s">
        <v>2687</v>
      </c>
      <c r="F230" t="s">
        <v>2688</v>
      </c>
      <c r="G230" t="s">
        <v>2415</v>
      </c>
      <c r="H230" t="s">
        <v>2689</v>
      </c>
      <c r="I230" s="80" t="s">
        <v>2690</v>
      </c>
      <c r="J230" t="s">
        <v>2567</v>
      </c>
      <c r="K230" t="s">
        <v>2691</v>
      </c>
    </row>
    <row r="231" spans="1:11" x14ac:dyDescent="0.25">
      <c r="A231" s="123">
        <v>230</v>
      </c>
      <c r="B231" s="114" t="s">
        <v>790</v>
      </c>
      <c r="C231" s="123" t="s">
        <v>178</v>
      </c>
      <c r="D231" t="s">
        <v>2692</v>
      </c>
      <c r="E231" s="80" t="s">
        <v>2693</v>
      </c>
      <c r="F231" t="s">
        <v>2694</v>
      </c>
      <c r="G231" t="s">
        <v>2695</v>
      </c>
      <c r="H231" s="80" t="s">
        <v>2696</v>
      </c>
      <c r="I231" s="80" t="s">
        <v>2697</v>
      </c>
      <c r="J231" t="s">
        <v>2698</v>
      </c>
      <c r="K231" t="s">
        <v>2699</v>
      </c>
    </row>
    <row r="232" spans="1:11" x14ac:dyDescent="0.25">
      <c r="A232" s="123">
        <v>231</v>
      </c>
      <c r="B232" s="114" t="s">
        <v>790</v>
      </c>
      <c r="C232" s="123" t="s">
        <v>163</v>
      </c>
      <c r="D232" t="s">
        <v>2700</v>
      </c>
      <c r="E232" s="80" t="s">
        <v>2701</v>
      </c>
      <c r="F232" t="s">
        <v>2702</v>
      </c>
      <c r="G232" t="s">
        <v>2488</v>
      </c>
      <c r="H232" t="s">
        <v>2703</v>
      </c>
      <c r="I232" s="80" t="s">
        <v>2704</v>
      </c>
      <c r="J232" t="s">
        <v>2676</v>
      </c>
      <c r="K232" t="s">
        <v>2705</v>
      </c>
    </row>
    <row r="233" spans="1:11" x14ac:dyDescent="0.25">
      <c r="A233" s="123">
        <v>232</v>
      </c>
      <c r="B233" s="114" t="s">
        <v>790</v>
      </c>
      <c r="C233" s="123" t="s">
        <v>181</v>
      </c>
      <c r="D233" t="s">
        <v>2531</v>
      </c>
      <c r="E233" s="80" t="s">
        <v>2706</v>
      </c>
      <c r="F233" t="s">
        <v>2707</v>
      </c>
      <c r="G233" t="s">
        <v>2708</v>
      </c>
      <c r="H233" t="s">
        <v>2709</v>
      </c>
      <c r="I233" s="80" t="s">
        <v>2710</v>
      </c>
      <c r="J233" t="s">
        <v>2711</v>
      </c>
      <c r="K233" s="80" t="s">
        <v>2712</v>
      </c>
    </row>
    <row r="234" spans="1:11" x14ac:dyDescent="0.25">
      <c r="A234" s="123">
        <v>233</v>
      </c>
      <c r="B234" s="114" t="s">
        <v>790</v>
      </c>
      <c r="C234" s="123" t="s">
        <v>183</v>
      </c>
      <c r="D234" t="s">
        <v>2713</v>
      </c>
      <c r="E234" s="80" t="s">
        <v>2714</v>
      </c>
      <c r="F234" s="80" t="s">
        <v>2715</v>
      </c>
      <c r="G234" t="s">
        <v>2318</v>
      </c>
      <c r="H234" s="80" t="s">
        <v>2716</v>
      </c>
      <c r="I234" s="80" t="s">
        <v>2717</v>
      </c>
      <c r="J234" t="s">
        <v>2536</v>
      </c>
      <c r="K234" s="80" t="s">
        <v>2718</v>
      </c>
    </row>
    <row r="235" spans="1:11" x14ac:dyDescent="0.25">
      <c r="A235" s="123">
        <v>234</v>
      </c>
      <c r="B235" s="114" t="s">
        <v>790</v>
      </c>
      <c r="C235" s="123" t="s">
        <v>186</v>
      </c>
      <c r="D235" t="s">
        <v>2307</v>
      </c>
      <c r="E235" s="80" t="s">
        <v>2719</v>
      </c>
      <c r="F235" t="s">
        <v>2720</v>
      </c>
      <c r="G235" t="s">
        <v>2721</v>
      </c>
      <c r="H235" s="80" t="s">
        <v>2722</v>
      </c>
      <c r="I235" s="80" t="s">
        <v>2723</v>
      </c>
      <c r="J235" t="s">
        <v>2724</v>
      </c>
      <c r="K235" t="s">
        <v>2725</v>
      </c>
    </row>
    <row r="236" spans="1:11" x14ac:dyDescent="0.25">
      <c r="A236" s="123">
        <v>235</v>
      </c>
      <c r="B236" s="114" t="s">
        <v>790</v>
      </c>
      <c r="C236" s="123" t="s">
        <v>188</v>
      </c>
      <c r="D236" t="s">
        <v>2412</v>
      </c>
      <c r="E236" s="80" t="s">
        <v>2726</v>
      </c>
      <c r="F236" t="s">
        <v>2727</v>
      </c>
      <c r="G236" t="s">
        <v>2728</v>
      </c>
      <c r="H236" t="s">
        <v>2729</v>
      </c>
      <c r="I236" t="s">
        <v>2730</v>
      </c>
      <c r="J236" t="s">
        <v>2476</v>
      </c>
      <c r="K236" t="s">
        <v>2731</v>
      </c>
    </row>
    <row r="237" spans="1:11" x14ac:dyDescent="0.25">
      <c r="A237" s="123">
        <v>236</v>
      </c>
      <c r="B237" s="114" t="s">
        <v>790</v>
      </c>
      <c r="C237" s="123" t="s">
        <v>182</v>
      </c>
      <c r="D237" t="s">
        <v>2732</v>
      </c>
      <c r="E237" t="s">
        <v>2733</v>
      </c>
      <c r="F237" t="s">
        <v>583</v>
      </c>
      <c r="G237" s="80" t="s">
        <v>2379</v>
      </c>
      <c r="H237" t="s">
        <v>2547</v>
      </c>
      <c r="I237" t="s">
        <v>2734</v>
      </c>
      <c r="J237" t="s">
        <v>583</v>
      </c>
      <c r="K237" t="s">
        <v>2735</v>
      </c>
    </row>
    <row r="238" spans="1:11" x14ac:dyDescent="0.25">
      <c r="A238" s="123">
        <v>237</v>
      </c>
      <c r="B238" s="114" t="s">
        <v>790</v>
      </c>
      <c r="C238" s="123" t="s">
        <v>184</v>
      </c>
      <c r="D238" t="s">
        <v>2736</v>
      </c>
      <c r="E238" t="s">
        <v>2737</v>
      </c>
      <c r="F238" t="s">
        <v>2738</v>
      </c>
      <c r="G238" t="s">
        <v>2739</v>
      </c>
      <c r="H238" t="s">
        <v>2740</v>
      </c>
      <c r="I238" s="80" t="s">
        <v>2741</v>
      </c>
      <c r="J238" t="s">
        <v>2742</v>
      </c>
      <c r="K238" t="s">
        <v>2743</v>
      </c>
    </row>
    <row r="239" spans="1:11" x14ac:dyDescent="0.25">
      <c r="A239" s="123">
        <v>238</v>
      </c>
      <c r="B239" s="114" t="s">
        <v>790</v>
      </c>
      <c r="C239" s="123" t="s">
        <v>187</v>
      </c>
      <c r="D239" t="s">
        <v>2744</v>
      </c>
      <c r="E239" t="s">
        <v>2745</v>
      </c>
      <c r="F239" t="s">
        <v>2746</v>
      </c>
      <c r="G239" t="s">
        <v>2747</v>
      </c>
      <c r="H239" s="80" t="s">
        <v>2748</v>
      </c>
      <c r="I239" s="80" t="s">
        <v>2749</v>
      </c>
      <c r="J239" t="s">
        <v>2698</v>
      </c>
      <c r="K239" t="s">
        <v>2750</v>
      </c>
    </row>
    <row r="240" spans="1:11" x14ac:dyDescent="0.25">
      <c r="A240" s="123">
        <v>239</v>
      </c>
      <c r="B240" s="114" t="s">
        <v>790</v>
      </c>
      <c r="C240" s="123" t="s">
        <v>189</v>
      </c>
      <c r="D240" t="s">
        <v>2751</v>
      </c>
      <c r="E240" t="s">
        <v>2752</v>
      </c>
      <c r="F240" t="s">
        <v>2753</v>
      </c>
      <c r="G240" t="s">
        <v>2754</v>
      </c>
      <c r="H240" t="s">
        <v>2755</v>
      </c>
      <c r="I240" s="80" t="s">
        <v>2756</v>
      </c>
      <c r="J240" t="s">
        <v>2757</v>
      </c>
      <c r="K240" t="s">
        <v>2758</v>
      </c>
    </row>
    <row r="241" spans="1:11" x14ac:dyDescent="0.25">
      <c r="A241" s="123">
        <v>240</v>
      </c>
      <c r="B241" s="2" t="s">
        <v>595</v>
      </c>
      <c r="C241" s="123" t="s">
        <v>162</v>
      </c>
      <c r="D241" t="s">
        <v>2569</v>
      </c>
      <c r="E241" s="80" t="s">
        <v>2759</v>
      </c>
      <c r="F241" t="s">
        <v>2760</v>
      </c>
      <c r="G241" t="s">
        <v>2739</v>
      </c>
      <c r="H241" t="s">
        <v>2761</v>
      </c>
      <c r="I241" t="s">
        <v>2762</v>
      </c>
      <c r="J241" t="s">
        <v>2497</v>
      </c>
      <c r="K241" t="s">
        <v>2763</v>
      </c>
    </row>
    <row r="242" spans="1:11" x14ac:dyDescent="0.25">
      <c r="A242" s="123">
        <v>241</v>
      </c>
      <c r="B242" s="2" t="s">
        <v>595</v>
      </c>
      <c r="C242" s="123" t="s">
        <v>170</v>
      </c>
      <c r="D242" t="s">
        <v>2435</v>
      </c>
      <c r="E242" s="80" t="s">
        <v>2764</v>
      </c>
      <c r="F242" t="s">
        <v>2765</v>
      </c>
      <c r="G242" t="s">
        <v>2766</v>
      </c>
      <c r="H242" t="s">
        <v>2767</v>
      </c>
      <c r="I242" s="80" t="s">
        <v>2768</v>
      </c>
      <c r="J242" t="s">
        <v>2511</v>
      </c>
      <c r="K242" t="s">
        <v>2769</v>
      </c>
    </row>
    <row r="243" spans="1:11" x14ac:dyDescent="0.25">
      <c r="A243" s="123">
        <v>242</v>
      </c>
      <c r="B243" s="2" t="s">
        <v>595</v>
      </c>
      <c r="C243" s="123" t="s">
        <v>178</v>
      </c>
      <c r="D243" t="s">
        <v>2770</v>
      </c>
      <c r="E243" s="80" t="s">
        <v>2771</v>
      </c>
      <c r="F243" t="s">
        <v>2772</v>
      </c>
      <c r="G243" t="s">
        <v>2773</v>
      </c>
      <c r="H243" s="80" t="s">
        <v>2774</v>
      </c>
      <c r="I243" s="80" t="s">
        <v>2775</v>
      </c>
      <c r="J243" t="s">
        <v>2698</v>
      </c>
      <c r="K243" t="s">
        <v>2776</v>
      </c>
    </row>
    <row r="244" spans="1:11" x14ac:dyDescent="0.25">
      <c r="A244" s="123">
        <v>243</v>
      </c>
      <c r="B244" s="2" t="s">
        <v>595</v>
      </c>
      <c r="C244" s="123" t="s">
        <v>163</v>
      </c>
      <c r="D244" t="s">
        <v>2777</v>
      </c>
      <c r="E244" s="80" t="s">
        <v>2778</v>
      </c>
      <c r="F244" t="s">
        <v>2779</v>
      </c>
      <c r="G244" t="s">
        <v>2773</v>
      </c>
      <c r="H244" t="s">
        <v>2780</v>
      </c>
      <c r="I244" s="80" t="s">
        <v>2781</v>
      </c>
      <c r="J244" t="s">
        <v>2782</v>
      </c>
      <c r="K244" s="80" t="s">
        <v>2783</v>
      </c>
    </row>
    <row r="245" spans="1:11" x14ac:dyDescent="0.25">
      <c r="A245" s="123">
        <v>244</v>
      </c>
      <c r="B245" s="2" t="s">
        <v>595</v>
      </c>
      <c r="C245" s="123" t="s">
        <v>181</v>
      </c>
      <c r="D245" t="s">
        <v>2665</v>
      </c>
      <c r="E245" s="80" t="s">
        <v>2784</v>
      </c>
      <c r="F245" t="s">
        <v>2785</v>
      </c>
      <c r="G245" t="s">
        <v>2747</v>
      </c>
      <c r="H245" t="s">
        <v>2786</v>
      </c>
      <c r="I245" t="s">
        <v>2787</v>
      </c>
      <c r="J245" t="s">
        <v>2342</v>
      </c>
      <c r="K245" t="s">
        <v>2788</v>
      </c>
    </row>
    <row r="246" spans="1:11" x14ac:dyDescent="0.25">
      <c r="A246" s="123">
        <v>245</v>
      </c>
      <c r="B246" s="2" t="s">
        <v>595</v>
      </c>
      <c r="C246" s="123" t="s">
        <v>183</v>
      </c>
      <c r="D246" t="s">
        <v>2789</v>
      </c>
      <c r="E246" s="80" t="s">
        <v>2790</v>
      </c>
      <c r="F246" t="s">
        <v>2791</v>
      </c>
      <c r="G246" t="s">
        <v>2792</v>
      </c>
      <c r="H246" t="s">
        <v>2793</v>
      </c>
      <c r="I246" s="80" t="s">
        <v>2794</v>
      </c>
      <c r="J246" t="s">
        <v>2795</v>
      </c>
      <c r="K246" s="80" t="s">
        <v>2796</v>
      </c>
    </row>
    <row r="247" spans="1:11" x14ac:dyDescent="0.25">
      <c r="A247" s="123">
        <v>246</v>
      </c>
      <c r="B247" s="2" t="s">
        <v>595</v>
      </c>
      <c r="C247" s="123" t="s">
        <v>186</v>
      </c>
      <c r="D247" t="s">
        <v>2323</v>
      </c>
      <c r="E247" s="80" t="s">
        <v>2797</v>
      </c>
      <c r="F247" t="s">
        <v>2798</v>
      </c>
      <c r="G247" t="s">
        <v>2799</v>
      </c>
      <c r="H247" s="80" t="s">
        <v>2800</v>
      </c>
      <c r="I247" s="80" t="s">
        <v>2801</v>
      </c>
      <c r="J247" t="s">
        <v>2802</v>
      </c>
      <c r="K247" s="80" t="s">
        <v>2803</v>
      </c>
    </row>
    <row r="248" spans="1:11" x14ac:dyDescent="0.25">
      <c r="A248" s="123">
        <v>247</v>
      </c>
      <c r="B248" s="2" t="s">
        <v>595</v>
      </c>
      <c r="C248" s="123" t="s">
        <v>188</v>
      </c>
      <c r="D248" t="s">
        <v>2597</v>
      </c>
      <c r="E248" s="80" t="s">
        <v>2804</v>
      </c>
      <c r="F248" t="s">
        <v>2805</v>
      </c>
      <c r="G248" t="s">
        <v>2806</v>
      </c>
      <c r="H248" t="s">
        <v>2807</v>
      </c>
      <c r="I248" s="80" t="s">
        <v>2808</v>
      </c>
      <c r="J248" t="s">
        <v>2809</v>
      </c>
      <c r="K248" s="80" t="s">
        <v>2810</v>
      </c>
    </row>
    <row r="249" spans="1:11" x14ac:dyDescent="0.25">
      <c r="A249" s="123">
        <v>248</v>
      </c>
      <c r="B249" s="2" t="s">
        <v>595</v>
      </c>
      <c r="C249" s="123" t="s">
        <v>182</v>
      </c>
      <c r="D249" t="s">
        <v>2372</v>
      </c>
      <c r="E249" t="s">
        <v>2811</v>
      </c>
      <c r="F249" t="s">
        <v>583</v>
      </c>
      <c r="G249" t="s">
        <v>2812</v>
      </c>
      <c r="H249" t="s">
        <v>2813</v>
      </c>
      <c r="I249" t="s">
        <v>2814</v>
      </c>
      <c r="J249" t="s">
        <v>2815</v>
      </c>
      <c r="K249" t="s">
        <v>2816</v>
      </c>
    </row>
    <row r="250" spans="1:11" x14ac:dyDescent="0.25">
      <c r="A250" s="123">
        <v>249</v>
      </c>
      <c r="B250" s="2" t="s">
        <v>595</v>
      </c>
      <c r="C250" s="123" t="s">
        <v>184</v>
      </c>
      <c r="D250" t="s">
        <v>2817</v>
      </c>
      <c r="E250" t="s">
        <v>2818</v>
      </c>
      <c r="F250" t="s">
        <v>2819</v>
      </c>
      <c r="G250" t="s">
        <v>2754</v>
      </c>
      <c r="H250" t="s">
        <v>2820</v>
      </c>
      <c r="I250" s="80" t="s">
        <v>2821</v>
      </c>
      <c r="J250" t="s">
        <v>2757</v>
      </c>
      <c r="K250" t="s">
        <v>2822</v>
      </c>
    </row>
    <row r="251" spans="1:11" x14ac:dyDescent="0.25">
      <c r="A251" s="123">
        <v>250</v>
      </c>
      <c r="B251" s="2" t="s">
        <v>595</v>
      </c>
      <c r="C251" s="123" t="s">
        <v>187</v>
      </c>
      <c r="D251" t="s">
        <v>2823</v>
      </c>
      <c r="E251" t="s">
        <v>2824</v>
      </c>
      <c r="F251" t="s">
        <v>2825</v>
      </c>
      <c r="G251" t="s">
        <v>2747</v>
      </c>
      <c r="H251" s="80" t="s">
        <v>2826</v>
      </c>
      <c r="I251" s="80" t="s">
        <v>2827</v>
      </c>
      <c r="J251" t="s">
        <v>2828</v>
      </c>
      <c r="K251" s="80" t="s">
        <v>2829</v>
      </c>
    </row>
    <row r="252" spans="1:11" x14ac:dyDescent="0.25">
      <c r="A252" s="123">
        <v>251</v>
      </c>
      <c r="B252" s="2" t="s">
        <v>595</v>
      </c>
      <c r="C252" s="123" t="s">
        <v>189</v>
      </c>
      <c r="D252" t="s">
        <v>2531</v>
      </c>
      <c r="E252" t="s">
        <v>2830</v>
      </c>
      <c r="F252" t="s">
        <v>2831</v>
      </c>
      <c r="G252" t="s">
        <v>2754</v>
      </c>
      <c r="H252" t="s">
        <v>2832</v>
      </c>
      <c r="I252" s="80" t="s">
        <v>2833</v>
      </c>
      <c r="J252" t="s">
        <v>2828</v>
      </c>
      <c r="K252" s="80" t="s">
        <v>2834</v>
      </c>
    </row>
    <row r="253" spans="1:11" x14ac:dyDescent="0.25">
      <c r="A253" s="123">
        <v>252</v>
      </c>
      <c r="B253" s="2" t="s">
        <v>24</v>
      </c>
      <c r="C253" s="123" t="s">
        <v>162</v>
      </c>
      <c r="D253" t="s">
        <v>2569</v>
      </c>
      <c r="E253" t="s">
        <v>2830</v>
      </c>
      <c r="F253">
        <v>7</v>
      </c>
      <c r="G253" t="s">
        <v>2835</v>
      </c>
      <c r="H253" t="s">
        <v>2836</v>
      </c>
      <c r="I253" t="s">
        <v>1990</v>
      </c>
      <c r="J253" t="s">
        <v>2837</v>
      </c>
      <c r="K253" t="s">
        <v>2838</v>
      </c>
    </row>
    <row r="254" spans="1:11" x14ac:dyDescent="0.25">
      <c r="A254" s="123">
        <v>253</v>
      </c>
      <c r="B254" s="2" t="s">
        <v>24</v>
      </c>
      <c r="C254" s="123" t="s">
        <v>170</v>
      </c>
      <c r="D254" t="s">
        <v>2839</v>
      </c>
      <c r="E254" s="80" t="s">
        <v>2840</v>
      </c>
      <c r="F254" t="s">
        <v>2841</v>
      </c>
      <c r="G254" t="s">
        <v>2739</v>
      </c>
      <c r="H254" t="s">
        <v>2842</v>
      </c>
      <c r="I254" s="80" t="s">
        <v>2843</v>
      </c>
      <c r="J254" t="s">
        <v>2742</v>
      </c>
      <c r="K254" t="s">
        <v>2844</v>
      </c>
    </row>
    <row r="255" spans="1:11" x14ac:dyDescent="0.25">
      <c r="A255" s="123">
        <v>254</v>
      </c>
      <c r="B255" s="2" t="s">
        <v>24</v>
      </c>
      <c r="C255" s="123" t="s">
        <v>178</v>
      </c>
      <c r="D255" t="s">
        <v>2845</v>
      </c>
      <c r="E255" s="80" t="s">
        <v>2846</v>
      </c>
      <c r="F255" t="s">
        <v>2847</v>
      </c>
      <c r="G255" t="s">
        <v>2766</v>
      </c>
      <c r="H255" t="s">
        <v>2848</v>
      </c>
      <c r="I255" s="80" t="s">
        <v>2849</v>
      </c>
      <c r="J255" t="s">
        <v>2742</v>
      </c>
      <c r="K255" t="s">
        <v>2850</v>
      </c>
    </row>
    <row r="256" spans="1:11" x14ac:dyDescent="0.25">
      <c r="A256" s="123">
        <v>255</v>
      </c>
      <c r="B256" s="2" t="s">
        <v>24</v>
      </c>
      <c r="C256" s="123" t="s">
        <v>163</v>
      </c>
      <c r="D256" t="s">
        <v>2851</v>
      </c>
      <c r="E256" s="80" t="s">
        <v>2852</v>
      </c>
      <c r="F256" t="s">
        <v>2853</v>
      </c>
      <c r="G256" t="s">
        <v>2854</v>
      </c>
      <c r="H256" t="s">
        <v>2855</v>
      </c>
      <c r="I256" s="80" t="s">
        <v>2856</v>
      </c>
      <c r="J256" t="s">
        <v>2828</v>
      </c>
      <c r="K256" t="s">
        <v>2857</v>
      </c>
    </row>
    <row r="257" spans="1:11" x14ac:dyDescent="0.25">
      <c r="A257" s="123">
        <v>256</v>
      </c>
      <c r="B257" s="2" t="s">
        <v>24</v>
      </c>
      <c r="C257" s="123" t="s">
        <v>181</v>
      </c>
      <c r="D257" t="s">
        <v>2858</v>
      </c>
      <c r="E257" s="80" t="s">
        <v>2859</v>
      </c>
      <c r="F257" t="s">
        <v>2760</v>
      </c>
      <c r="G257" t="s">
        <v>2835</v>
      </c>
      <c r="H257" t="s">
        <v>2860</v>
      </c>
      <c r="I257" t="s">
        <v>2861</v>
      </c>
      <c r="J257" t="s">
        <v>2742</v>
      </c>
      <c r="K257" t="s">
        <v>2364</v>
      </c>
    </row>
    <row r="258" spans="1:11" x14ac:dyDescent="0.25">
      <c r="A258" s="123">
        <v>257</v>
      </c>
      <c r="B258" s="2" t="s">
        <v>24</v>
      </c>
      <c r="C258" s="123" t="s">
        <v>183</v>
      </c>
      <c r="D258" t="s">
        <v>2351</v>
      </c>
      <c r="E258" s="80" t="s">
        <v>2862</v>
      </c>
      <c r="F258" t="s">
        <v>2863</v>
      </c>
      <c r="G258" t="s">
        <v>2773</v>
      </c>
      <c r="H258" t="s">
        <v>2864</v>
      </c>
      <c r="I258" t="s">
        <v>2865</v>
      </c>
      <c r="J258" t="s">
        <v>2782</v>
      </c>
      <c r="K258" t="s">
        <v>2866</v>
      </c>
    </row>
    <row r="259" spans="1:11" x14ac:dyDescent="0.25">
      <c r="A259" s="123">
        <v>258</v>
      </c>
      <c r="B259" s="2" t="s">
        <v>24</v>
      </c>
      <c r="C259" s="123" t="s">
        <v>186</v>
      </c>
      <c r="D259" t="s">
        <v>2867</v>
      </c>
      <c r="E259" s="80" t="s">
        <v>2868</v>
      </c>
      <c r="F259" t="s">
        <v>2869</v>
      </c>
      <c r="G259" t="s">
        <v>2870</v>
      </c>
      <c r="H259" s="80" t="s">
        <v>2871</v>
      </c>
      <c r="I259" s="80" t="s">
        <v>2872</v>
      </c>
      <c r="J259" t="s">
        <v>2873</v>
      </c>
      <c r="K259" s="80" t="s">
        <v>2874</v>
      </c>
    </row>
    <row r="260" spans="1:11" x14ac:dyDescent="0.25">
      <c r="A260" s="123">
        <v>259</v>
      </c>
      <c r="B260" s="2" t="s">
        <v>24</v>
      </c>
      <c r="C260" s="123" t="s">
        <v>188</v>
      </c>
      <c r="D260" t="s">
        <v>2283</v>
      </c>
      <c r="E260" s="80" t="s">
        <v>2875</v>
      </c>
      <c r="F260" t="s">
        <v>2876</v>
      </c>
      <c r="G260" t="s">
        <v>2877</v>
      </c>
      <c r="H260" t="s">
        <v>2878</v>
      </c>
      <c r="I260" s="80" t="s">
        <v>2879</v>
      </c>
      <c r="J260" t="s">
        <v>2880</v>
      </c>
      <c r="K260" s="80">
        <v>10787</v>
      </c>
    </row>
    <row r="261" spans="1:11" x14ac:dyDescent="0.25">
      <c r="A261" s="123">
        <v>260</v>
      </c>
      <c r="B261" s="2" t="s">
        <v>24</v>
      </c>
      <c r="C261" s="123" t="s">
        <v>182</v>
      </c>
      <c r="D261" s="80" t="s">
        <v>2380</v>
      </c>
      <c r="E261" t="s">
        <v>2881</v>
      </c>
      <c r="F261" t="s">
        <v>2882</v>
      </c>
      <c r="G261" t="s">
        <v>2883</v>
      </c>
      <c r="H261" t="s">
        <v>2884</v>
      </c>
      <c r="I261" t="s">
        <v>2885</v>
      </c>
      <c r="J261" t="s">
        <v>583</v>
      </c>
      <c r="K261" t="s">
        <v>2469</v>
      </c>
    </row>
    <row r="262" spans="1:11" x14ac:dyDescent="0.25">
      <c r="A262" s="123">
        <v>261</v>
      </c>
      <c r="B262" s="2" t="s">
        <v>24</v>
      </c>
      <c r="C262" s="123" t="s">
        <v>184</v>
      </c>
      <c r="D262" t="s">
        <v>2405</v>
      </c>
      <c r="E262" t="s">
        <v>2886</v>
      </c>
      <c r="F262" t="s">
        <v>2887</v>
      </c>
      <c r="G262" t="s">
        <v>2739</v>
      </c>
      <c r="H262" t="s">
        <v>2888</v>
      </c>
      <c r="I262" s="80" t="s">
        <v>2889</v>
      </c>
      <c r="J262" t="s">
        <v>2497</v>
      </c>
      <c r="K262" t="s">
        <v>2890</v>
      </c>
    </row>
    <row r="263" spans="1:11" x14ac:dyDescent="0.25">
      <c r="A263" s="123">
        <v>262</v>
      </c>
      <c r="B263" s="2" t="s">
        <v>24</v>
      </c>
      <c r="C263" s="123" t="s">
        <v>187</v>
      </c>
      <c r="D263" t="s">
        <v>2635</v>
      </c>
      <c r="E263" t="s">
        <v>2891</v>
      </c>
      <c r="F263" t="s">
        <v>2892</v>
      </c>
      <c r="G263" t="s">
        <v>2766</v>
      </c>
      <c r="H263" t="s">
        <v>2893</v>
      </c>
      <c r="I263" s="80" t="s">
        <v>2894</v>
      </c>
      <c r="J263" t="s">
        <v>2476</v>
      </c>
      <c r="K263" t="s">
        <v>2895</v>
      </c>
    </row>
    <row r="264" spans="1:11" x14ac:dyDescent="0.25">
      <c r="A264" s="123">
        <v>263</v>
      </c>
      <c r="B264" s="2" t="s">
        <v>24</v>
      </c>
      <c r="C264" s="123" t="s">
        <v>189</v>
      </c>
      <c r="D264" t="s">
        <v>2858</v>
      </c>
      <c r="E264" t="s">
        <v>2896</v>
      </c>
      <c r="F264" t="s">
        <v>2897</v>
      </c>
      <c r="G264" t="s">
        <v>2898</v>
      </c>
      <c r="H264" t="s">
        <v>2899</v>
      </c>
      <c r="I264" s="80" t="s">
        <v>2900</v>
      </c>
      <c r="J264" t="s">
        <v>2742</v>
      </c>
      <c r="K264" t="s">
        <v>2901</v>
      </c>
    </row>
    <row r="265" spans="1:11" x14ac:dyDescent="0.25">
      <c r="A265" s="123">
        <v>264</v>
      </c>
      <c r="B265" s="2">
        <v>1038</v>
      </c>
      <c r="C265" s="123" t="s">
        <v>162</v>
      </c>
      <c r="D265" t="s">
        <v>2671</v>
      </c>
      <c r="E265" s="80" t="s">
        <v>2902</v>
      </c>
      <c r="F265" t="s">
        <v>2903</v>
      </c>
      <c r="G265" t="s">
        <v>2904</v>
      </c>
      <c r="H265" t="s">
        <v>2905</v>
      </c>
      <c r="I265" s="80" t="s">
        <v>2906</v>
      </c>
      <c r="J265" t="s">
        <v>2757</v>
      </c>
      <c r="K265" t="s">
        <v>2907</v>
      </c>
    </row>
    <row r="266" spans="1:11" x14ac:dyDescent="0.25">
      <c r="A266" s="123">
        <v>265</v>
      </c>
      <c r="B266" s="2">
        <v>1038</v>
      </c>
      <c r="C266" s="123" t="s">
        <v>170</v>
      </c>
      <c r="D266" t="s">
        <v>2671</v>
      </c>
      <c r="E266" s="80" t="s">
        <v>2908</v>
      </c>
      <c r="F266" t="s">
        <v>2909</v>
      </c>
      <c r="G266" t="s">
        <v>2910</v>
      </c>
      <c r="H266" t="s">
        <v>2911</v>
      </c>
      <c r="I266" s="80" t="s">
        <v>2912</v>
      </c>
      <c r="J266" t="s">
        <v>2511</v>
      </c>
      <c r="K266" t="s">
        <v>2913</v>
      </c>
    </row>
    <row r="267" spans="1:11" x14ac:dyDescent="0.25">
      <c r="A267" s="123">
        <v>266</v>
      </c>
      <c r="B267" s="2">
        <v>1038</v>
      </c>
      <c r="C267" s="123" t="s">
        <v>178</v>
      </c>
      <c r="D267" t="s">
        <v>2914</v>
      </c>
      <c r="E267" s="80" t="s">
        <v>2915</v>
      </c>
      <c r="F267" t="s">
        <v>2916</v>
      </c>
      <c r="G267" t="s">
        <v>2917</v>
      </c>
      <c r="H267" s="80" t="s">
        <v>2918</v>
      </c>
      <c r="I267" s="80" t="s">
        <v>2919</v>
      </c>
      <c r="J267" t="s">
        <v>2873</v>
      </c>
      <c r="K267" s="80" t="s">
        <v>2920</v>
      </c>
    </row>
    <row r="268" spans="1:11" x14ac:dyDescent="0.25">
      <c r="A268" s="123">
        <v>267</v>
      </c>
      <c r="B268" s="2">
        <v>1038</v>
      </c>
      <c r="C268" s="123" t="s">
        <v>163</v>
      </c>
      <c r="D268" t="s">
        <v>2506</v>
      </c>
      <c r="E268" s="80" t="s">
        <v>2921</v>
      </c>
      <c r="F268" t="s">
        <v>2922</v>
      </c>
      <c r="G268" t="s">
        <v>2923</v>
      </c>
      <c r="H268" t="s">
        <v>2924</v>
      </c>
      <c r="I268" s="80" t="s">
        <v>2925</v>
      </c>
      <c r="J268" t="s">
        <v>2795</v>
      </c>
      <c r="K268" s="80" t="s">
        <v>2926</v>
      </c>
    </row>
    <row r="269" spans="1:11" x14ac:dyDescent="0.25">
      <c r="A269" s="123">
        <v>268</v>
      </c>
      <c r="B269" s="2">
        <v>1038</v>
      </c>
      <c r="C269" s="123" t="s">
        <v>181</v>
      </c>
      <c r="D269" t="s">
        <v>2412</v>
      </c>
      <c r="E269" s="80" t="s">
        <v>2927</v>
      </c>
      <c r="F269" t="s">
        <v>2928</v>
      </c>
      <c r="G269" t="s">
        <v>2747</v>
      </c>
      <c r="H269" t="s">
        <v>2929</v>
      </c>
      <c r="I269" t="s">
        <v>2930</v>
      </c>
      <c r="J269" t="s">
        <v>2742</v>
      </c>
      <c r="K269" t="s">
        <v>2931</v>
      </c>
    </row>
    <row r="270" spans="1:11" x14ac:dyDescent="0.25">
      <c r="A270" s="123">
        <v>269</v>
      </c>
      <c r="B270" s="2">
        <v>1038</v>
      </c>
      <c r="C270" s="123" t="s">
        <v>183</v>
      </c>
      <c r="D270" t="s">
        <v>2524</v>
      </c>
      <c r="E270" s="80" t="s">
        <v>2932</v>
      </c>
      <c r="F270" t="s">
        <v>2933</v>
      </c>
      <c r="G270" t="s">
        <v>2792</v>
      </c>
      <c r="H270" t="s">
        <v>2934</v>
      </c>
      <c r="I270" s="80" t="s">
        <v>2935</v>
      </c>
      <c r="J270" t="s">
        <v>2936</v>
      </c>
      <c r="K270" s="80" t="s">
        <v>2937</v>
      </c>
    </row>
    <row r="271" spans="1:11" x14ac:dyDescent="0.25">
      <c r="A271" s="123">
        <v>270</v>
      </c>
      <c r="B271" s="2">
        <v>1038</v>
      </c>
      <c r="C271" s="123" t="s">
        <v>186</v>
      </c>
      <c r="D271" t="s">
        <v>2398</v>
      </c>
      <c r="E271" s="80" t="s">
        <v>2938</v>
      </c>
      <c r="F271" t="s">
        <v>2939</v>
      </c>
      <c r="G271" t="s">
        <v>2940</v>
      </c>
      <c r="H271" s="80" t="s">
        <v>2941</v>
      </c>
      <c r="I271" s="80" t="s">
        <v>2942</v>
      </c>
      <c r="J271" t="s">
        <v>2943</v>
      </c>
      <c r="K271" s="80" t="s">
        <v>2944</v>
      </c>
    </row>
    <row r="272" spans="1:11" x14ac:dyDescent="0.25">
      <c r="A272" s="123">
        <v>271</v>
      </c>
      <c r="B272" s="2">
        <v>1038</v>
      </c>
      <c r="C272" s="123" t="s">
        <v>188</v>
      </c>
      <c r="D272" t="s">
        <v>2524</v>
      </c>
      <c r="E272" s="80" t="s">
        <v>2945</v>
      </c>
      <c r="F272" t="s">
        <v>2946</v>
      </c>
      <c r="G272" t="s">
        <v>2792</v>
      </c>
      <c r="H272" t="s">
        <v>2947</v>
      </c>
      <c r="I272" t="s">
        <v>2948</v>
      </c>
      <c r="J272" t="s">
        <v>2724</v>
      </c>
      <c r="K272" s="80" t="s">
        <v>2949</v>
      </c>
    </row>
    <row r="273" spans="1:11" x14ac:dyDescent="0.25">
      <c r="A273" s="123">
        <v>272</v>
      </c>
      <c r="B273" s="2">
        <v>1038</v>
      </c>
      <c r="C273" s="123" t="s">
        <v>182</v>
      </c>
      <c r="D273" t="s">
        <v>2950</v>
      </c>
      <c r="E273" t="s">
        <v>2951</v>
      </c>
      <c r="F273" t="s">
        <v>583</v>
      </c>
      <c r="G273" t="s">
        <v>2952</v>
      </c>
      <c r="H273" t="s">
        <v>2953</v>
      </c>
      <c r="I273" t="s">
        <v>2954</v>
      </c>
      <c r="J273" t="s">
        <v>583</v>
      </c>
      <c r="K273" t="s">
        <v>2664</v>
      </c>
    </row>
    <row r="274" spans="1:11" x14ac:dyDescent="0.25">
      <c r="A274" s="123">
        <v>273</v>
      </c>
      <c r="B274" s="2">
        <v>1038</v>
      </c>
      <c r="C274" s="123" t="s">
        <v>184</v>
      </c>
      <c r="D274" t="s">
        <v>2955</v>
      </c>
      <c r="E274" s="80" t="s">
        <v>2956</v>
      </c>
      <c r="F274" t="s">
        <v>2957</v>
      </c>
      <c r="G274" t="s">
        <v>2773</v>
      </c>
      <c r="H274" t="s">
        <v>2958</v>
      </c>
      <c r="I274" s="80" t="s">
        <v>2959</v>
      </c>
      <c r="J274" t="s">
        <v>2698</v>
      </c>
      <c r="K274" t="s">
        <v>2960</v>
      </c>
    </row>
    <row r="275" spans="1:11" x14ac:dyDescent="0.25">
      <c r="A275" s="123">
        <v>274</v>
      </c>
      <c r="B275" s="2">
        <v>1038</v>
      </c>
      <c r="C275" s="123" t="s">
        <v>187</v>
      </c>
      <c r="D275" t="s">
        <v>2961</v>
      </c>
      <c r="E275" s="80" t="s">
        <v>2962</v>
      </c>
      <c r="F275" t="s">
        <v>2963</v>
      </c>
      <c r="G275" t="s">
        <v>2964</v>
      </c>
      <c r="H275" s="80" t="s">
        <v>2965</v>
      </c>
      <c r="I275" s="80" t="s">
        <v>2966</v>
      </c>
      <c r="J275" t="s">
        <v>2802</v>
      </c>
      <c r="K275" s="80" t="s">
        <v>2967</v>
      </c>
    </row>
    <row r="276" spans="1:11" x14ac:dyDescent="0.25">
      <c r="A276" s="123">
        <v>275</v>
      </c>
      <c r="B276" s="2">
        <v>1038</v>
      </c>
      <c r="C276" s="123" t="s">
        <v>189</v>
      </c>
      <c r="D276" t="s">
        <v>2968</v>
      </c>
      <c r="E276" s="80" t="s">
        <v>2969</v>
      </c>
      <c r="F276" t="s">
        <v>2970</v>
      </c>
      <c r="G276" t="s">
        <v>2806</v>
      </c>
      <c r="H276" s="80" t="s">
        <v>2971</v>
      </c>
      <c r="I276" s="80" t="s">
        <v>2972</v>
      </c>
      <c r="J276" t="s">
        <v>2880</v>
      </c>
      <c r="K276" s="80" t="s">
        <v>2973</v>
      </c>
    </row>
    <row r="277" spans="1:11" x14ac:dyDescent="0.25">
      <c r="A277" s="123">
        <v>276</v>
      </c>
      <c r="B277" s="2" t="s">
        <v>596</v>
      </c>
      <c r="C277" s="123" t="s">
        <v>162</v>
      </c>
      <c r="D277" t="s">
        <v>2405</v>
      </c>
      <c r="E277" s="80" t="s">
        <v>2974</v>
      </c>
      <c r="F277" t="s">
        <v>2975</v>
      </c>
      <c r="G277" t="s">
        <v>2835</v>
      </c>
      <c r="H277" t="s">
        <v>2976</v>
      </c>
      <c r="I277" t="s">
        <v>2977</v>
      </c>
      <c r="J277" t="s">
        <v>2978</v>
      </c>
      <c r="K277" t="s">
        <v>2979</v>
      </c>
    </row>
    <row r="278" spans="1:11" x14ac:dyDescent="0.25">
      <c r="A278" s="123">
        <v>277</v>
      </c>
      <c r="B278" s="2" t="s">
        <v>596</v>
      </c>
      <c r="C278" s="123" t="s">
        <v>170</v>
      </c>
      <c r="D278" t="s">
        <v>2817</v>
      </c>
      <c r="E278" s="80" t="s">
        <v>2980</v>
      </c>
      <c r="F278" t="s">
        <v>2981</v>
      </c>
      <c r="G278" t="s">
        <v>2747</v>
      </c>
      <c r="H278" t="s">
        <v>2982</v>
      </c>
      <c r="I278" s="80" t="s">
        <v>2983</v>
      </c>
      <c r="J278" t="s">
        <v>2984</v>
      </c>
      <c r="K278" t="s">
        <v>2985</v>
      </c>
    </row>
    <row r="279" spans="1:11" x14ac:dyDescent="0.25">
      <c r="A279" s="123">
        <v>278</v>
      </c>
      <c r="B279" s="2" t="s">
        <v>596</v>
      </c>
      <c r="C279" s="123" t="s">
        <v>178</v>
      </c>
      <c r="D279" t="s">
        <v>2506</v>
      </c>
      <c r="E279" s="80" t="s">
        <v>2986</v>
      </c>
      <c r="F279" t="s">
        <v>2987</v>
      </c>
      <c r="G279" t="s">
        <v>2773</v>
      </c>
      <c r="H279" t="s">
        <v>2988</v>
      </c>
      <c r="I279" s="80" t="s">
        <v>2989</v>
      </c>
      <c r="J279" t="s">
        <v>2389</v>
      </c>
      <c r="K279" t="s">
        <v>2990</v>
      </c>
    </row>
    <row r="280" spans="1:11" x14ac:dyDescent="0.25">
      <c r="A280" s="123">
        <v>279</v>
      </c>
      <c r="B280" s="2" t="s">
        <v>596</v>
      </c>
      <c r="C280" s="123" t="s">
        <v>163</v>
      </c>
      <c r="D280" t="s">
        <v>2991</v>
      </c>
      <c r="E280" s="80" t="s">
        <v>2992</v>
      </c>
      <c r="F280" t="s">
        <v>2993</v>
      </c>
      <c r="G280" t="s">
        <v>2994</v>
      </c>
      <c r="H280" t="s">
        <v>2995</v>
      </c>
      <c r="I280" s="80" t="s">
        <v>2996</v>
      </c>
      <c r="J280" t="s">
        <v>2491</v>
      </c>
      <c r="K280" s="80" t="s">
        <v>2997</v>
      </c>
    </row>
    <row r="281" spans="1:11" x14ac:dyDescent="0.25">
      <c r="A281" s="123">
        <v>280</v>
      </c>
      <c r="B281" s="2" t="s">
        <v>596</v>
      </c>
      <c r="C281" s="123" t="s">
        <v>181</v>
      </c>
      <c r="D281" t="s">
        <v>2398</v>
      </c>
      <c r="E281" s="80" t="s">
        <v>2998</v>
      </c>
      <c r="F281" t="s">
        <v>2779</v>
      </c>
      <c r="G281" t="s">
        <v>2766</v>
      </c>
      <c r="H281" t="s">
        <v>2999</v>
      </c>
      <c r="I281" s="80" t="s">
        <v>3000</v>
      </c>
      <c r="J281" t="s">
        <v>2389</v>
      </c>
      <c r="K281" t="s">
        <v>3001</v>
      </c>
    </row>
    <row r="282" spans="1:11" x14ac:dyDescent="0.25">
      <c r="A282" s="123">
        <v>281</v>
      </c>
      <c r="B282" s="2" t="s">
        <v>596</v>
      </c>
      <c r="C282" s="123" t="s">
        <v>183</v>
      </c>
      <c r="D282" t="s">
        <v>2817</v>
      </c>
      <c r="E282" s="80" t="s">
        <v>3002</v>
      </c>
      <c r="F282" t="s">
        <v>3003</v>
      </c>
      <c r="G282" t="s">
        <v>2994</v>
      </c>
      <c r="H282" t="s">
        <v>3004</v>
      </c>
      <c r="I282" s="80" t="s">
        <v>3005</v>
      </c>
      <c r="J282" t="s">
        <v>2782</v>
      </c>
      <c r="K282" s="80" t="s">
        <v>3006</v>
      </c>
    </row>
    <row r="283" spans="1:11" x14ac:dyDescent="0.25">
      <c r="A283" s="123">
        <v>282</v>
      </c>
      <c r="B283" s="2" t="s">
        <v>596</v>
      </c>
      <c r="C283" s="123" t="s">
        <v>186</v>
      </c>
      <c r="D283" t="s">
        <v>2398</v>
      </c>
      <c r="E283" s="80" t="s">
        <v>3007</v>
      </c>
      <c r="F283" t="s">
        <v>3008</v>
      </c>
      <c r="G283" t="s">
        <v>2994</v>
      </c>
      <c r="H283" t="s">
        <v>3009</v>
      </c>
      <c r="I283" s="80" t="s">
        <v>3010</v>
      </c>
      <c r="J283" t="s">
        <v>2289</v>
      </c>
      <c r="K283" s="80" t="s">
        <v>3011</v>
      </c>
    </row>
    <row r="284" spans="1:11" x14ac:dyDescent="0.25">
      <c r="A284" s="123">
        <v>283</v>
      </c>
      <c r="B284" s="2" t="s">
        <v>596</v>
      </c>
      <c r="C284" s="123" t="s">
        <v>188</v>
      </c>
      <c r="D284" t="s">
        <v>2713</v>
      </c>
      <c r="E284" s="80" t="s">
        <v>3012</v>
      </c>
      <c r="F284" t="s">
        <v>3013</v>
      </c>
      <c r="G284" t="s">
        <v>2792</v>
      </c>
      <c r="H284" t="s">
        <v>3014</v>
      </c>
      <c r="I284" s="80" t="s">
        <v>3015</v>
      </c>
      <c r="J284" t="s">
        <v>2802</v>
      </c>
      <c r="K284" s="80" t="s">
        <v>3016</v>
      </c>
    </row>
    <row r="285" spans="1:11" x14ac:dyDescent="0.25">
      <c r="A285" s="123">
        <v>284</v>
      </c>
      <c r="B285" s="2" t="s">
        <v>596</v>
      </c>
      <c r="C285" s="123" t="s">
        <v>182</v>
      </c>
      <c r="D285" t="s">
        <v>3017</v>
      </c>
      <c r="E285" t="s">
        <v>3018</v>
      </c>
      <c r="F285" t="s">
        <v>3019</v>
      </c>
      <c r="G285" t="s">
        <v>2754</v>
      </c>
      <c r="H285" t="s">
        <v>3020</v>
      </c>
      <c r="I285" s="80" t="s">
        <v>3021</v>
      </c>
      <c r="J285" t="s">
        <v>3022</v>
      </c>
      <c r="K285" t="s">
        <v>3023</v>
      </c>
    </row>
    <row r="286" spans="1:11" x14ac:dyDescent="0.25">
      <c r="A286" s="123">
        <v>285</v>
      </c>
      <c r="B286" s="2" t="s">
        <v>596</v>
      </c>
      <c r="C286" s="123" t="s">
        <v>184</v>
      </c>
      <c r="D286" t="s">
        <v>3024</v>
      </c>
      <c r="E286" t="s">
        <v>3025</v>
      </c>
      <c r="F286" t="s">
        <v>3026</v>
      </c>
      <c r="G286" t="s">
        <v>2910</v>
      </c>
      <c r="H286" t="s">
        <v>3027</v>
      </c>
      <c r="I286" s="80" t="s">
        <v>3028</v>
      </c>
      <c r="J286" t="s">
        <v>2698</v>
      </c>
      <c r="K286" t="s">
        <v>3029</v>
      </c>
    </row>
    <row r="287" spans="1:11" x14ac:dyDescent="0.25">
      <c r="A287" s="123">
        <v>286</v>
      </c>
      <c r="B287" s="2" t="s">
        <v>596</v>
      </c>
      <c r="C287" s="123" t="s">
        <v>187</v>
      </c>
      <c r="D287" t="s">
        <v>2950</v>
      </c>
      <c r="E287" t="s">
        <v>3030</v>
      </c>
      <c r="F287" t="s">
        <v>3031</v>
      </c>
      <c r="G287" t="s">
        <v>2952</v>
      </c>
      <c r="H287" t="s">
        <v>3032</v>
      </c>
      <c r="I287" s="80" t="s">
        <v>3033</v>
      </c>
      <c r="J287" t="s">
        <v>3034</v>
      </c>
      <c r="K287" t="s">
        <v>3035</v>
      </c>
    </row>
    <row r="288" spans="1:11" x14ac:dyDescent="0.25">
      <c r="A288" s="123">
        <v>287</v>
      </c>
      <c r="B288" s="2" t="s">
        <v>596</v>
      </c>
      <c r="C288" s="123" t="s">
        <v>189</v>
      </c>
      <c r="D288" t="s">
        <v>2665</v>
      </c>
      <c r="E288" t="s">
        <v>3036</v>
      </c>
      <c r="F288" t="s">
        <v>3037</v>
      </c>
      <c r="G288" t="s">
        <v>2754</v>
      </c>
      <c r="H288" t="s">
        <v>3038</v>
      </c>
      <c r="I288" s="80" t="s">
        <v>3039</v>
      </c>
      <c r="J288" t="s">
        <v>2978</v>
      </c>
      <c r="K288" t="s">
        <v>3040</v>
      </c>
    </row>
    <row r="289" spans="1:11" x14ac:dyDescent="0.25">
      <c r="A289" s="123">
        <v>288</v>
      </c>
      <c r="B289" s="2">
        <v>1024</v>
      </c>
      <c r="C289" s="123" t="s">
        <v>162</v>
      </c>
      <c r="D289" t="s">
        <v>2839</v>
      </c>
      <c r="E289" s="80" t="s">
        <v>3041</v>
      </c>
      <c r="F289" t="s">
        <v>2928</v>
      </c>
      <c r="G289" t="s">
        <v>3042</v>
      </c>
      <c r="H289" t="s">
        <v>3043</v>
      </c>
      <c r="I289" t="s">
        <v>3044</v>
      </c>
      <c r="J289" t="s">
        <v>3045</v>
      </c>
      <c r="K289" t="s">
        <v>3046</v>
      </c>
    </row>
    <row r="290" spans="1:11" x14ac:dyDescent="0.25">
      <c r="A290" s="123">
        <v>289</v>
      </c>
      <c r="B290" s="2">
        <v>1024</v>
      </c>
      <c r="C290" s="123" t="s">
        <v>170</v>
      </c>
      <c r="D290" t="s">
        <v>2336</v>
      </c>
      <c r="E290" s="80" t="s">
        <v>3047</v>
      </c>
      <c r="F290" t="s">
        <v>3048</v>
      </c>
      <c r="G290" t="s">
        <v>3049</v>
      </c>
      <c r="H290" t="s">
        <v>3050</v>
      </c>
      <c r="I290" s="80" t="s">
        <v>3051</v>
      </c>
      <c r="J290" t="s">
        <v>3022</v>
      </c>
      <c r="K290" t="s">
        <v>3052</v>
      </c>
    </row>
    <row r="291" spans="1:11" x14ac:dyDescent="0.25">
      <c r="A291" s="123">
        <v>290</v>
      </c>
      <c r="B291" s="2">
        <v>1024</v>
      </c>
      <c r="C291" s="123" t="s">
        <v>178</v>
      </c>
      <c r="D291" t="s">
        <v>2307</v>
      </c>
      <c r="E291" s="80" t="s">
        <v>3053</v>
      </c>
      <c r="F291" t="s">
        <v>3054</v>
      </c>
      <c r="G291" t="s">
        <v>2994</v>
      </c>
      <c r="H291" s="80" t="s">
        <v>3055</v>
      </c>
      <c r="I291" s="80" t="s">
        <v>3056</v>
      </c>
      <c r="J291" t="s">
        <v>2782</v>
      </c>
      <c r="K291" t="s">
        <v>3057</v>
      </c>
    </row>
    <row r="292" spans="1:11" x14ac:dyDescent="0.25">
      <c r="A292" s="123">
        <v>291</v>
      </c>
      <c r="B292" s="2">
        <v>1024</v>
      </c>
      <c r="C292" s="123" t="s">
        <v>163</v>
      </c>
      <c r="D292" t="s">
        <v>3058</v>
      </c>
      <c r="E292" s="80" t="s">
        <v>3059</v>
      </c>
      <c r="F292" t="s">
        <v>3060</v>
      </c>
      <c r="G292" t="s">
        <v>2923</v>
      </c>
      <c r="H292" s="80" t="s">
        <v>3061</v>
      </c>
      <c r="I292" s="80" t="s">
        <v>3062</v>
      </c>
      <c r="J292" t="s">
        <v>3063</v>
      </c>
      <c r="K292" s="80" t="s">
        <v>3064</v>
      </c>
    </row>
    <row r="293" spans="1:11" x14ac:dyDescent="0.25">
      <c r="A293" s="123">
        <v>292</v>
      </c>
      <c r="B293" s="2">
        <v>1024</v>
      </c>
      <c r="C293" s="123" t="s">
        <v>181</v>
      </c>
      <c r="D293" s="80" t="s">
        <v>2380</v>
      </c>
      <c r="E293" t="s">
        <v>583</v>
      </c>
      <c r="F293" t="s">
        <v>583</v>
      </c>
      <c r="G293" s="80" t="s">
        <v>3065</v>
      </c>
      <c r="H293" t="s">
        <v>583</v>
      </c>
      <c r="I293" t="s">
        <v>583</v>
      </c>
      <c r="J293" t="s">
        <v>583</v>
      </c>
      <c r="K293" t="s">
        <v>583</v>
      </c>
    </row>
    <row r="294" spans="1:11" x14ac:dyDescent="0.25">
      <c r="A294" s="123">
        <v>293</v>
      </c>
      <c r="B294" s="2">
        <v>1024</v>
      </c>
      <c r="C294" s="123" t="s">
        <v>183</v>
      </c>
      <c r="D294" t="s">
        <v>2331</v>
      </c>
      <c r="E294" t="s">
        <v>3066</v>
      </c>
      <c r="F294" t="s">
        <v>583</v>
      </c>
      <c r="G294" t="s">
        <v>2812</v>
      </c>
      <c r="H294" t="s">
        <v>583</v>
      </c>
      <c r="I294" t="s">
        <v>583</v>
      </c>
      <c r="J294" t="s">
        <v>583</v>
      </c>
      <c r="K294" t="s">
        <v>583</v>
      </c>
    </row>
    <row r="295" spans="1:11" x14ac:dyDescent="0.25">
      <c r="A295" s="123">
        <v>294</v>
      </c>
      <c r="B295" s="2">
        <v>1024</v>
      </c>
      <c r="C295" s="123" t="s">
        <v>186</v>
      </c>
      <c r="D295" s="80" t="s">
        <v>2380</v>
      </c>
      <c r="E295" s="80" t="s">
        <v>3067</v>
      </c>
      <c r="F295" t="s">
        <v>583</v>
      </c>
      <c r="G295" s="80" t="s">
        <v>3065</v>
      </c>
      <c r="H295" t="s">
        <v>583</v>
      </c>
      <c r="I295" s="80" t="s">
        <v>3068</v>
      </c>
      <c r="J295" t="s">
        <v>583</v>
      </c>
      <c r="K295" t="s">
        <v>583</v>
      </c>
    </row>
    <row r="296" spans="1:11" x14ac:dyDescent="0.25">
      <c r="A296" s="123">
        <v>295</v>
      </c>
      <c r="B296" s="2">
        <v>1024</v>
      </c>
      <c r="C296" s="123" t="s">
        <v>188</v>
      </c>
      <c r="D296" s="80" t="s">
        <v>2380</v>
      </c>
      <c r="E296" t="s">
        <v>583</v>
      </c>
      <c r="F296" t="s">
        <v>583</v>
      </c>
      <c r="G296" t="s">
        <v>3069</v>
      </c>
      <c r="H296" t="s">
        <v>583</v>
      </c>
      <c r="I296" t="s">
        <v>583</v>
      </c>
      <c r="J296" t="s">
        <v>583</v>
      </c>
      <c r="K296" s="80" t="s">
        <v>2549</v>
      </c>
    </row>
    <row r="297" spans="1:11" x14ac:dyDescent="0.25">
      <c r="A297" s="123">
        <v>296</v>
      </c>
      <c r="B297" s="2">
        <v>1024</v>
      </c>
      <c r="C297" s="123" t="s">
        <v>182</v>
      </c>
      <c r="D297" s="80" t="s">
        <v>2380</v>
      </c>
      <c r="E297" t="s">
        <v>3070</v>
      </c>
      <c r="F297" t="s">
        <v>583</v>
      </c>
      <c r="G297" t="s">
        <v>2812</v>
      </c>
      <c r="H297" t="s">
        <v>3071</v>
      </c>
      <c r="I297" t="s">
        <v>3072</v>
      </c>
      <c r="J297" t="s">
        <v>583</v>
      </c>
      <c r="K297" s="80" t="s">
        <v>2549</v>
      </c>
    </row>
    <row r="298" spans="1:11" x14ac:dyDescent="0.25">
      <c r="A298" s="123">
        <v>297</v>
      </c>
      <c r="B298" s="2">
        <v>1024</v>
      </c>
      <c r="C298" s="123" t="s">
        <v>184</v>
      </c>
      <c r="D298" t="s">
        <v>2671</v>
      </c>
      <c r="E298" s="80" t="s">
        <v>3073</v>
      </c>
      <c r="F298" t="s">
        <v>3074</v>
      </c>
      <c r="G298" t="s">
        <v>3049</v>
      </c>
      <c r="H298" s="83" t="s">
        <v>3075</v>
      </c>
      <c r="I298" s="80" t="s">
        <v>3076</v>
      </c>
      <c r="J298" t="s">
        <v>2698</v>
      </c>
      <c r="K298" t="s">
        <v>3077</v>
      </c>
    </row>
    <row r="299" spans="1:11" x14ac:dyDescent="0.25">
      <c r="A299" s="123">
        <v>298</v>
      </c>
      <c r="B299" s="2">
        <v>1024</v>
      </c>
      <c r="C299" s="123" t="s">
        <v>187</v>
      </c>
      <c r="D299" t="s">
        <v>3078</v>
      </c>
      <c r="E299" t="s">
        <v>3079</v>
      </c>
      <c r="F299" t="s">
        <v>3080</v>
      </c>
      <c r="G299" t="s">
        <v>2806</v>
      </c>
      <c r="H299" s="80" t="s">
        <v>3081</v>
      </c>
      <c r="I299" s="80" t="s">
        <v>3082</v>
      </c>
      <c r="J299" t="s">
        <v>2936</v>
      </c>
      <c r="K299" s="80" t="s">
        <v>3083</v>
      </c>
    </row>
    <row r="300" spans="1:11" x14ac:dyDescent="0.25">
      <c r="A300" s="123">
        <v>299</v>
      </c>
      <c r="B300" s="2">
        <v>1024</v>
      </c>
      <c r="C300" s="123" t="s">
        <v>189</v>
      </c>
      <c r="D300" t="s">
        <v>3084</v>
      </c>
      <c r="E300" t="s">
        <v>3085</v>
      </c>
      <c r="F300" t="s">
        <v>3086</v>
      </c>
      <c r="G300" t="s">
        <v>2773</v>
      </c>
      <c r="H300" s="80" t="s">
        <v>3087</v>
      </c>
      <c r="I300" s="80" t="s">
        <v>3088</v>
      </c>
      <c r="J300" t="s">
        <v>2289</v>
      </c>
      <c r="K300" s="80" t="s">
        <v>3089</v>
      </c>
    </row>
    <row r="301" spans="1:11" x14ac:dyDescent="0.25">
      <c r="A301" s="123">
        <v>300</v>
      </c>
      <c r="B301" s="2" t="s">
        <v>597</v>
      </c>
      <c r="C301" s="123" t="s">
        <v>162</v>
      </c>
      <c r="D301" t="s">
        <v>2499</v>
      </c>
      <c r="E301" s="80" t="s">
        <v>3090</v>
      </c>
      <c r="F301" t="s">
        <v>3091</v>
      </c>
      <c r="G301" t="s">
        <v>3092</v>
      </c>
      <c r="H301" t="s">
        <v>2761</v>
      </c>
      <c r="I301" t="s">
        <v>3093</v>
      </c>
      <c r="J301" t="s">
        <v>3094</v>
      </c>
      <c r="K301" t="s">
        <v>3095</v>
      </c>
    </row>
    <row r="302" spans="1:11" x14ac:dyDescent="0.25">
      <c r="A302" s="123">
        <v>301</v>
      </c>
      <c r="B302" s="2" t="s">
        <v>597</v>
      </c>
      <c r="C302" s="123" t="s">
        <v>170</v>
      </c>
      <c r="D302" t="s">
        <v>2283</v>
      </c>
      <c r="E302" s="80" t="s">
        <v>3096</v>
      </c>
      <c r="F302" t="s">
        <v>3097</v>
      </c>
      <c r="G302" t="s">
        <v>2773</v>
      </c>
      <c r="H302" t="s">
        <v>3098</v>
      </c>
      <c r="I302" s="80" t="s">
        <v>3099</v>
      </c>
      <c r="J302" t="s">
        <v>3100</v>
      </c>
      <c r="K302" t="s">
        <v>3101</v>
      </c>
    </row>
    <row r="303" spans="1:11" x14ac:dyDescent="0.25">
      <c r="A303" s="123">
        <v>302</v>
      </c>
      <c r="B303" s="2" t="s">
        <v>597</v>
      </c>
      <c r="C303" s="123" t="s">
        <v>178</v>
      </c>
      <c r="D303" t="s">
        <v>3102</v>
      </c>
      <c r="E303" s="80" t="s">
        <v>3103</v>
      </c>
      <c r="F303" t="s">
        <v>3104</v>
      </c>
      <c r="G303" t="s">
        <v>2806</v>
      </c>
      <c r="H303" s="80" t="s">
        <v>3105</v>
      </c>
      <c r="I303" s="80" t="s">
        <v>3106</v>
      </c>
      <c r="J303" t="s">
        <v>3107</v>
      </c>
      <c r="K303" t="s">
        <v>3108</v>
      </c>
    </row>
    <row r="304" spans="1:11" x14ac:dyDescent="0.25">
      <c r="A304" s="123">
        <v>303</v>
      </c>
      <c r="B304" s="2" t="s">
        <v>597</v>
      </c>
      <c r="C304" s="123" t="s">
        <v>163</v>
      </c>
      <c r="D304">
        <v>499</v>
      </c>
      <c r="E304" s="80" t="s">
        <v>3109</v>
      </c>
      <c r="F304" t="s">
        <v>3110</v>
      </c>
      <c r="G304" t="s">
        <v>3111</v>
      </c>
      <c r="H304" t="s">
        <v>3112</v>
      </c>
      <c r="I304" s="80" t="s">
        <v>3113</v>
      </c>
      <c r="J304" t="s">
        <v>3114</v>
      </c>
      <c r="K304" s="80" t="s">
        <v>3115</v>
      </c>
    </row>
    <row r="305" spans="1:11" x14ac:dyDescent="0.25">
      <c r="A305" s="123">
        <v>304</v>
      </c>
      <c r="B305" s="2" t="s">
        <v>597</v>
      </c>
      <c r="C305" s="123" t="s">
        <v>181</v>
      </c>
      <c r="D305" t="s">
        <v>2336</v>
      </c>
      <c r="E305" s="80" t="s">
        <v>3116</v>
      </c>
      <c r="F305" t="s">
        <v>2760</v>
      </c>
      <c r="G305" t="s">
        <v>2910</v>
      </c>
      <c r="H305" t="s">
        <v>3117</v>
      </c>
      <c r="I305" t="s">
        <v>3118</v>
      </c>
      <c r="J305" t="s">
        <v>2342</v>
      </c>
      <c r="K305" t="s">
        <v>3119</v>
      </c>
    </row>
    <row r="306" spans="1:11" x14ac:dyDescent="0.25">
      <c r="A306" s="123">
        <v>305</v>
      </c>
      <c r="B306" s="2" t="s">
        <v>597</v>
      </c>
      <c r="C306" s="123" t="s">
        <v>183</v>
      </c>
      <c r="D306" t="s">
        <v>2597</v>
      </c>
      <c r="E306" s="80" t="s">
        <v>3120</v>
      </c>
      <c r="F306" t="s">
        <v>3121</v>
      </c>
      <c r="G306" t="s">
        <v>2806</v>
      </c>
      <c r="H306" t="s">
        <v>3122</v>
      </c>
      <c r="I306" s="80" t="s">
        <v>3123</v>
      </c>
      <c r="J306" t="s">
        <v>2936</v>
      </c>
      <c r="K306" s="80" t="s">
        <v>3124</v>
      </c>
    </row>
    <row r="307" spans="1:11" x14ac:dyDescent="0.25">
      <c r="A307" s="123">
        <v>306</v>
      </c>
      <c r="B307" s="2" t="s">
        <v>597</v>
      </c>
      <c r="C307" s="123" t="s">
        <v>186</v>
      </c>
      <c r="D307" t="s">
        <v>2283</v>
      </c>
      <c r="E307" s="80" t="s">
        <v>3125</v>
      </c>
      <c r="F307" t="s">
        <v>3126</v>
      </c>
      <c r="G307" t="s">
        <v>2940</v>
      </c>
      <c r="H307" s="80" t="s">
        <v>3127</v>
      </c>
      <c r="I307" s="80" t="s">
        <v>3128</v>
      </c>
      <c r="J307" t="s">
        <v>2880</v>
      </c>
      <c r="K307" s="80" t="s">
        <v>3129</v>
      </c>
    </row>
    <row r="308" spans="1:11" x14ac:dyDescent="0.25">
      <c r="A308" s="123">
        <v>307</v>
      </c>
      <c r="B308" s="2" t="s">
        <v>597</v>
      </c>
      <c r="C308" s="123" t="s">
        <v>188</v>
      </c>
      <c r="D308" t="s">
        <v>3130</v>
      </c>
      <c r="E308" s="80" t="s">
        <v>3131</v>
      </c>
      <c r="F308" t="s">
        <v>3132</v>
      </c>
      <c r="G308" t="s">
        <v>3133</v>
      </c>
      <c r="H308" t="s">
        <v>3134</v>
      </c>
      <c r="I308" s="80" t="s">
        <v>3135</v>
      </c>
      <c r="J308" t="s">
        <v>2447</v>
      </c>
      <c r="K308" s="80" t="s">
        <v>3136</v>
      </c>
    </row>
    <row r="309" spans="1:11" x14ac:dyDescent="0.25">
      <c r="A309" s="123">
        <v>308</v>
      </c>
      <c r="B309" s="2" t="s">
        <v>597</v>
      </c>
      <c r="C309" s="123" t="s">
        <v>182</v>
      </c>
      <c r="D309" s="80" t="s">
        <v>2380</v>
      </c>
      <c r="E309" t="s">
        <v>3137</v>
      </c>
      <c r="F309" t="s">
        <v>583</v>
      </c>
      <c r="G309" t="s">
        <v>2812</v>
      </c>
      <c r="H309" t="s">
        <v>3138</v>
      </c>
      <c r="I309" t="s">
        <v>3139</v>
      </c>
      <c r="J309" t="s">
        <v>583</v>
      </c>
      <c r="K309" t="s">
        <v>583</v>
      </c>
    </row>
    <row r="310" spans="1:11" x14ac:dyDescent="0.25">
      <c r="A310" s="123">
        <v>309</v>
      </c>
      <c r="B310" s="2" t="s">
        <v>597</v>
      </c>
      <c r="C310" s="123" t="s">
        <v>184</v>
      </c>
      <c r="D310" t="s">
        <v>3140</v>
      </c>
      <c r="E310" s="80" t="s">
        <v>3141</v>
      </c>
      <c r="F310" t="s">
        <v>3142</v>
      </c>
      <c r="G310" t="s">
        <v>3143</v>
      </c>
      <c r="H310" t="s">
        <v>3144</v>
      </c>
      <c r="I310" s="80" t="s">
        <v>3145</v>
      </c>
      <c r="J310" t="s">
        <v>2511</v>
      </c>
      <c r="K310" t="s">
        <v>3146</v>
      </c>
    </row>
    <row r="311" spans="1:11" x14ac:dyDescent="0.25">
      <c r="A311" s="123">
        <v>310</v>
      </c>
      <c r="B311" s="2" t="s">
        <v>597</v>
      </c>
      <c r="C311" s="123" t="s">
        <v>187</v>
      </c>
      <c r="D311" t="s">
        <v>3147</v>
      </c>
      <c r="E311" s="80" t="s">
        <v>3148</v>
      </c>
      <c r="F311" t="s">
        <v>3149</v>
      </c>
      <c r="G311" t="s">
        <v>2806</v>
      </c>
      <c r="H311" s="80" t="s">
        <v>3150</v>
      </c>
      <c r="I311" s="80" t="s">
        <v>3151</v>
      </c>
      <c r="J311" t="s">
        <v>2281</v>
      </c>
      <c r="K311" t="s">
        <v>3152</v>
      </c>
    </row>
    <row r="312" spans="1:11" x14ac:dyDescent="0.25">
      <c r="A312" s="123">
        <v>311</v>
      </c>
      <c r="B312" s="2" t="s">
        <v>597</v>
      </c>
      <c r="C312" s="123" t="s">
        <v>189</v>
      </c>
      <c r="D312" t="s">
        <v>3153</v>
      </c>
      <c r="E312" t="s">
        <v>3154</v>
      </c>
      <c r="F312" t="s">
        <v>3155</v>
      </c>
      <c r="G312" t="s">
        <v>3049</v>
      </c>
      <c r="H312" s="80" t="s">
        <v>3156</v>
      </c>
      <c r="I312" s="80" t="s">
        <v>3157</v>
      </c>
      <c r="J312" t="s">
        <v>2389</v>
      </c>
      <c r="K312" t="s">
        <v>3158</v>
      </c>
    </row>
    <row r="313" spans="1:11" x14ac:dyDescent="0.25">
      <c r="A313" s="123">
        <v>312</v>
      </c>
      <c r="B313" s="2" t="s">
        <v>598</v>
      </c>
      <c r="C313" s="123" t="s">
        <v>162</v>
      </c>
      <c r="D313" t="s">
        <v>583</v>
      </c>
      <c r="E313" t="s">
        <v>3159</v>
      </c>
      <c r="F313" t="s">
        <v>583</v>
      </c>
      <c r="G313" t="s">
        <v>3069</v>
      </c>
      <c r="H313" t="s">
        <v>583</v>
      </c>
      <c r="I313" t="s">
        <v>583</v>
      </c>
      <c r="J313" t="s">
        <v>583</v>
      </c>
      <c r="K313" t="s">
        <v>583</v>
      </c>
    </row>
    <row r="314" spans="1:11" x14ac:dyDescent="0.25">
      <c r="A314" s="123">
        <v>313</v>
      </c>
      <c r="B314" s="2" t="s">
        <v>598</v>
      </c>
      <c r="C314" s="123" t="s">
        <v>170</v>
      </c>
      <c r="D314" t="s">
        <v>583</v>
      </c>
      <c r="E314" t="s">
        <v>3160</v>
      </c>
      <c r="F314" t="s">
        <v>583</v>
      </c>
      <c r="G314" t="s">
        <v>2812</v>
      </c>
      <c r="H314" t="s">
        <v>2953</v>
      </c>
      <c r="I314" t="s">
        <v>3161</v>
      </c>
      <c r="J314" t="s">
        <v>3162</v>
      </c>
      <c r="K314" t="s">
        <v>2664</v>
      </c>
    </row>
    <row r="315" spans="1:11" x14ac:dyDescent="0.25">
      <c r="A315" s="123">
        <v>314</v>
      </c>
      <c r="B315" s="2" t="s">
        <v>598</v>
      </c>
      <c r="C315" s="123" t="s">
        <v>178</v>
      </c>
      <c r="D315" s="80" t="s">
        <v>2380</v>
      </c>
      <c r="E315" t="s">
        <v>3163</v>
      </c>
      <c r="F315" t="s">
        <v>583</v>
      </c>
      <c r="G315" t="s">
        <v>3069</v>
      </c>
      <c r="H315" t="s">
        <v>3164</v>
      </c>
      <c r="I315" t="s">
        <v>3165</v>
      </c>
      <c r="J315" t="s">
        <v>3166</v>
      </c>
      <c r="K315" t="s">
        <v>3167</v>
      </c>
    </row>
    <row r="316" spans="1:11" x14ac:dyDescent="0.25">
      <c r="A316" s="123">
        <v>315</v>
      </c>
      <c r="B316" s="2" t="s">
        <v>598</v>
      </c>
      <c r="C316" s="123" t="s">
        <v>163</v>
      </c>
      <c r="D316" t="s">
        <v>2950</v>
      </c>
      <c r="E316" t="s">
        <v>3168</v>
      </c>
      <c r="F316" t="s">
        <v>583</v>
      </c>
      <c r="G316" t="s">
        <v>3069</v>
      </c>
      <c r="H316" t="s">
        <v>2884</v>
      </c>
      <c r="I316" t="s">
        <v>3169</v>
      </c>
      <c r="J316" t="s">
        <v>583</v>
      </c>
      <c r="K316" t="s">
        <v>3170</v>
      </c>
    </row>
    <row r="317" spans="1:11" x14ac:dyDescent="0.25">
      <c r="A317" s="123">
        <v>316</v>
      </c>
      <c r="B317" s="2" t="s">
        <v>598</v>
      </c>
      <c r="C317" s="123" t="s">
        <v>181</v>
      </c>
      <c r="D317" t="s">
        <v>2665</v>
      </c>
      <c r="E317" s="80" t="s">
        <v>3171</v>
      </c>
      <c r="F317" t="s">
        <v>3172</v>
      </c>
      <c r="G317" t="s">
        <v>2739</v>
      </c>
      <c r="H317" t="s">
        <v>3173</v>
      </c>
      <c r="I317">
        <v>42</v>
      </c>
      <c r="J317" t="s">
        <v>3045</v>
      </c>
      <c r="K317" t="s">
        <v>3174</v>
      </c>
    </row>
    <row r="318" spans="1:11" x14ac:dyDescent="0.25">
      <c r="A318" s="123">
        <v>317</v>
      </c>
      <c r="B318" s="2" t="s">
        <v>598</v>
      </c>
      <c r="C318" s="123" t="s">
        <v>183</v>
      </c>
      <c r="D318" t="s">
        <v>3175</v>
      </c>
      <c r="E318" s="80" t="s">
        <v>3176</v>
      </c>
      <c r="F318" t="s">
        <v>3177</v>
      </c>
      <c r="G318" t="s">
        <v>3178</v>
      </c>
      <c r="H318" t="s">
        <v>3179</v>
      </c>
      <c r="I318" s="80" t="s">
        <v>3180</v>
      </c>
      <c r="J318" t="s">
        <v>3181</v>
      </c>
      <c r="K318" t="s">
        <v>3182</v>
      </c>
    </row>
    <row r="319" spans="1:11" x14ac:dyDescent="0.25">
      <c r="A319" s="123">
        <v>318</v>
      </c>
      <c r="B319" s="2" t="s">
        <v>598</v>
      </c>
      <c r="C319" s="123" t="s">
        <v>186</v>
      </c>
      <c r="D319" t="s">
        <v>3183</v>
      </c>
      <c r="E319" t="s">
        <v>3184</v>
      </c>
      <c r="F319" t="s">
        <v>3185</v>
      </c>
      <c r="G319" t="s">
        <v>3186</v>
      </c>
      <c r="H319" s="80" t="s">
        <v>3187</v>
      </c>
      <c r="I319" s="80" t="s">
        <v>3188</v>
      </c>
      <c r="J319" t="s">
        <v>3189</v>
      </c>
      <c r="K319" s="80" t="s">
        <v>3190</v>
      </c>
    </row>
    <row r="320" spans="1:11" x14ac:dyDescent="0.25">
      <c r="A320" s="123">
        <v>319</v>
      </c>
      <c r="B320" s="2" t="s">
        <v>598</v>
      </c>
      <c r="C320" s="123" t="s">
        <v>188</v>
      </c>
      <c r="D320" t="s">
        <v>3191</v>
      </c>
      <c r="E320" s="80" t="s">
        <v>3192</v>
      </c>
      <c r="F320" t="s">
        <v>3193</v>
      </c>
      <c r="G320" t="s">
        <v>3194</v>
      </c>
      <c r="H320" t="s">
        <v>3195</v>
      </c>
      <c r="I320" s="80" t="s">
        <v>3196</v>
      </c>
      <c r="J320" t="s">
        <v>3197</v>
      </c>
      <c r="K320" s="80" t="s">
        <v>3198</v>
      </c>
    </row>
    <row r="321" spans="1:11" x14ac:dyDescent="0.25">
      <c r="A321" s="123">
        <v>320</v>
      </c>
      <c r="B321" s="2" t="s">
        <v>598</v>
      </c>
      <c r="C321" s="123" t="s">
        <v>182</v>
      </c>
      <c r="D321" t="s">
        <v>583</v>
      </c>
      <c r="E321" t="s">
        <v>3199</v>
      </c>
      <c r="F321" t="s">
        <v>583</v>
      </c>
      <c r="G321" t="s">
        <v>3200</v>
      </c>
      <c r="H321" s="80" t="s">
        <v>3201</v>
      </c>
      <c r="I321" t="s">
        <v>583</v>
      </c>
      <c r="J321" t="s">
        <v>583</v>
      </c>
      <c r="K321" s="80" t="s">
        <v>3202</v>
      </c>
    </row>
    <row r="322" spans="1:11" x14ac:dyDescent="0.25">
      <c r="A322" s="123">
        <v>321</v>
      </c>
      <c r="B322" s="2" t="s">
        <v>598</v>
      </c>
      <c r="C322" s="123" t="s">
        <v>184</v>
      </c>
      <c r="D322" t="s">
        <v>3203</v>
      </c>
      <c r="E322" t="s">
        <v>3204</v>
      </c>
      <c r="F322" t="s">
        <v>3205</v>
      </c>
      <c r="G322" t="s">
        <v>3206</v>
      </c>
      <c r="H322" t="s">
        <v>3207</v>
      </c>
      <c r="I322" t="s">
        <v>3208</v>
      </c>
      <c r="J322" t="s">
        <v>3209</v>
      </c>
      <c r="K322" t="s">
        <v>3210</v>
      </c>
    </row>
    <row r="323" spans="1:11" x14ac:dyDescent="0.25">
      <c r="A323" s="123">
        <v>322</v>
      </c>
      <c r="B323" s="2" t="s">
        <v>598</v>
      </c>
      <c r="C323" s="123" t="s">
        <v>187</v>
      </c>
      <c r="D323" t="s">
        <v>3211</v>
      </c>
      <c r="E323" t="s">
        <v>3212</v>
      </c>
      <c r="F323" t="s">
        <v>3213</v>
      </c>
      <c r="G323" t="s">
        <v>3214</v>
      </c>
      <c r="H323" t="s">
        <v>3215</v>
      </c>
      <c r="I323" t="s">
        <v>3216</v>
      </c>
      <c r="J323" t="s">
        <v>3217</v>
      </c>
      <c r="K323" t="s">
        <v>3218</v>
      </c>
    </row>
    <row r="324" spans="1:11" x14ac:dyDescent="0.25">
      <c r="A324" s="123">
        <v>323</v>
      </c>
      <c r="B324" s="2" t="s">
        <v>598</v>
      </c>
      <c r="C324" s="123" t="s">
        <v>189</v>
      </c>
      <c r="D324" t="s">
        <v>3219</v>
      </c>
      <c r="E324" t="s">
        <v>3220</v>
      </c>
      <c r="F324" t="s">
        <v>3221</v>
      </c>
      <c r="G324" t="s">
        <v>3222</v>
      </c>
      <c r="H324" t="s">
        <v>3223</v>
      </c>
      <c r="I324" t="s">
        <v>3224</v>
      </c>
      <c r="J324" t="s">
        <v>3225</v>
      </c>
      <c r="K324" t="s">
        <v>3226</v>
      </c>
    </row>
    <row r="325" spans="1:11" x14ac:dyDescent="0.25">
      <c r="A325" s="123">
        <v>324</v>
      </c>
      <c r="B325" s="2">
        <v>1022</v>
      </c>
      <c r="C325" s="123" t="s">
        <v>162</v>
      </c>
      <c r="D325" t="s">
        <v>3227</v>
      </c>
      <c r="E325" t="s">
        <v>3228</v>
      </c>
      <c r="F325" t="s">
        <v>3229</v>
      </c>
      <c r="G325" t="s">
        <v>3230</v>
      </c>
      <c r="H325" t="s">
        <v>583</v>
      </c>
      <c r="I325" s="80" t="s">
        <v>2882</v>
      </c>
      <c r="J325" s="80" t="s">
        <v>3231</v>
      </c>
      <c r="K325" t="s">
        <v>3232</v>
      </c>
    </row>
    <row r="326" spans="1:11" x14ac:dyDescent="0.25">
      <c r="A326" s="123">
        <v>325</v>
      </c>
      <c r="B326" s="2">
        <v>1022</v>
      </c>
      <c r="C326" s="123" t="s">
        <v>170</v>
      </c>
      <c r="D326" t="s">
        <v>3233</v>
      </c>
      <c r="E326" s="80" t="s">
        <v>3234</v>
      </c>
      <c r="F326" t="s">
        <v>3235</v>
      </c>
      <c r="G326" t="s">
        <v>3236</v>
      </c>
      <c r="H326" t="s">
        <v>3237</v>
      </c>
      <c r="I326" t="s">
        <v>3238</v>
      </c>
      <c r="J326" t="s">
        <v>3239</v>
      </c>
      <c r="K326" t="s">
        <v>3240</v>
      </c>
    </row>
    <row r="327" spans="1:11" x14ac:dyDescent="0.25">
      <c r="A327" s="123">
        <v>326</v>
      </c>
      <c r="B327" s="2">
        <v>1022</v>
      </c>
      <c r="C327" s="123" t="s">
        <v>178</v>
      </c>
      <c r="D327" t="s">
        <v>3241</v>
      </c>
      <c r="E327" s="80" t="s">
        <v>3242</v>
      </c>
      <c r="F327">
        <v>2429</v>
      </c>
      <c r="G327" t="s">
        <v>3243</v>
      </c>
      <c r="H327" t="s">
        <v>3244</v>
      </c>
      <c r="I327" s="80" t="s">
        <v>3245</v>
      </c>
      <c r="J327" t="s">
        <v>3246</v>
      </c>
      <c r="K327" t="s">
        <v>3247</v>
      </c>
    </row>
    <row r="328" spans="1:11" x14ac:dyDescent="0.25">
      <c r="A328" s="123">
        <v>327</v>
      </c>
      <c r="B328" s="2">
        <v>1022</v>
      </c>
      <c r="C328" s="123" t="s">
        <v>163</v>
      </c>
      <c r="D328" t="s">
        <v>3183</v>
      </c>
      <c r="E328" s="80" t="s">
        <v>3248</v>
      </c>
      <c r="F328" t="s">
        <v>3249</v>
      </c>
      <c r="G328" t="s">
        <v>3250</v>
      </c>
      <c r="H328" t="s">
        <v>3251</v>
      </c>
      <c r="I328" s="80" t="s">
        <v>3252</v>
      </c>
      <c r="J328" t="s">
        <v>3181</v>
      </c>
      <c r="K328" s="80" t="s">
        <v>3253</v>
      </c>
    </row>
    <row r="329" spans="1:11" x14ac:dyDescent="0.25">
      <c r="A329" s="123">
        <v>328</v>
      </c>
      <c r="B329" s="2">
        <v>1022</v>
      </c>
      <c r="C329" s="123" t="s">
        <v>181</v>
      </c>
      <c r="D329" t="s">
        <v>3254</v>
      </c>
      <c r="E329" s="80" t="s">
        <v>3255</v>
      </c>
      <c r="F329" t="s">
        <v>3256</v>
      </c>
      <c r="G329" t="s">
        <v>3257</v>
      </c>
      <c r="H329" t="s">
        <v>3258</v>
      </c>
      <c r="I329" t="s">
        <v>3259</v>
      </c>
      <c r="J329" t="s">
        <v>3260</v>
      </c>
      <c r="K329" t="s">
        <v>3261</v>
      </c>
    </row>
    <row r="330" spans="1:11" x14ac:dyDescent="0.25">
      <c r="A330" s="123">
        <v>329</v>
      </c>
      <c r="B330" s="2">
        <v>1022</v>
      </c>
      <c r="C330" s="123" t="s">
        <v>183</v>
      </c>
      <c r="D330" t="s">
        <v>3262</v>
      </c>
      <c r="E330" s="80" t="s">
        <v>3263</v>
      </c>
      <c r="F330" t="s">
        <v>3264</v>
      </c>
      <c r="G330" t="s">
        <v>3265</v>
      </c>
      <c r="H330" t="s">
        <v>3266</v>
      </c>
      <c r="I330" s="80" t="s">
        <v>3267</v>
      </c>
      <c r="J330" t="s">
        <v>3268</v>
      </c>
      <c r="K330" t="s">
        <v>3269</v>
      </c>
    </row>
    <row r="331" spans="1:11" x14ac:dyDescent="0.25">
      <c r="A331" s="123">
        <v>330</v>
      </c>
      <c r="B331" s="2">
        <v>1022</v>
      </c>
      <c r="C331" s="123" t="s">
        <v>186</v>
      </c>
      <c r="D331" t="s">
        <v>3270</v>
      </c>
      <c r="E331" s="80" t="s">
        <v>3271</v>
      </c>
      <c r="F331" t="s">
        <v>3272</v>
      </c>
      <c r="G331" t="s">
        <v>3273</v>
      </c>
      <c r="H331" t="s">
        <v>3274</v>
      </c>
      <c r="I331" s="80" t="s">
        <v>3275</v>
      </c>
      <c r="J331" t="s">
        <v>3276</v>
      </c>
      <c r="K331" t="s">
        <v>3277</v>
      </c>
    </row>
    <row r="332" spans="1:11" x14ac:dyDescent="0.25">
      <c r="A332" s="123">
        <v>331</v>
      </c>
      <c r="B332" s="2">
        <v>1022</v>
      </c>
      <c r="C332" s="123" t="s">
        <v>188</v>
      </c>
      <c r="D332" t="s">
        <v>3278</v>
      </c>
      <c r="E332" t="s">
        <v>3279</v>
      </c>
      <c r="F332" t="s">
        <v>3280</v>
      </c>
      <c r="G332" t="s">
        <v>3281</v>
      </c>
      <c r="H332" t="s">
        <v>3282</v>
      </c>
      <c r="I332" s="80" t="s">
        <v>3283</v>
      </c>
      <c r="J332" t="s">
        <v>3284</v>
      </c>
      <c r="K332" s="80" t="s">
        <v>3285</v>
      </c>
    </row>
    <row r="333" spans="1:11" x14ac:dyDescent="0.25">
      <c r="A333" s="123">
        <v>332</v>
      </c>
      <c r="B333" s="2">
        <v>1022</v>
      </c>
      <c r="C333" s="123" t="s">
        <v>182</v>
      </c>
      <c r="D333" s="80" t="s">
        <v>3286</v>
      </c>
      <c r="E333" t="s">
        <v>3287</v>
      </c>
      <c r="F333" t="s">
        <v>583</v>
      </c>
      <c r="G333" t="s">
        <v>3288</v>
      </c>
      <c r="H333" t="s">
        <v>583</v>
      </c>
      <c r="I333" t="s">
        <v>2813</v>
      </c>
      <c r="J333" s="80" t="s">
        <v>3289</v>
      </c>
      <c r="K333" t="s">
        <v>3290</v>
      </c>
    </row>
    <row r="334" spans="1:11" x14ac:dyDescent="0.25">
      <c r="A334" s="123">
        <v>333</v>
      </c>
      <c r="B334" s="2">
        <v>1022</v>
      </c>
      <c r="C334" s="123" t="s">
        <v>184</v>
      </c>
      <c r="D334">
        <v>47</v>
      </c>
      <c r="E334" s="80" t="s">
        <v>3291</v>
      </c>
      <c r="F334" t="s">
        <v>3292</v>
      </c>
      <c r="G334" t="s">
        <v>3293</v>
      </c>
      <c r="H334" t="s">
        <v>3294</v>
      </c>
      <c r="I334" s="80" t="s">
        <v>3295</v>
      </c>
      <c r="J334" t="s">
        <v>3296</v>
      </c>
      <c r="K334" t="s">
        <v>3297</v>
      </c>
    </row>
    <row r="335" spans="1:11" x14ac:dyDescent="0.25">
      <c r="A335" s="123">
        <v>334</v>
      </c>
      <c r="B335" s="2">
        <v>1022</v>
      </c>
      <c r="C335" s="123" t="s">
        <v>187</v>
      </c>
      <c r="D335" t="s">
        <v>3298</v>
      </c>
      <c r="E335" s="80" t="s">
        <v>3299</v>
      </c>
      <c r="F335" t="s">
        <v>3300</v>
      </c>
      <c r="G335" t="s">
        <v>3301</v>
      </c>
      <c r="H335" t="s">
        <v>3302</v>
      </c>
      <c r="I335" s="80" t="s">
        <v>3303</v>
      </c>
      <c r="J335" t="s">
        <v>3304</v>
      </c>
      <c r="K335" s="80" t="s">
        <v>3305</v>
      </c>
    </row>
    <row r="336" spans="1:11" x14ac:dyDescent="0.25">
      <c r="A336" s="123">
        <v>335</v>
      </c>
      <c r="B336" s="2">
        <v>1022</v>
      </c>
      <c r="C336" s="123" t="s">
        <v>189</v>
      </c>
      <c r="D336" t="s">
        <v>3306</v>
      </c>
      <c r="E336" s="80" t="s">
        <v>3307</v>
      </c>
      <c r="F336" t="s">
        <v>3308</v>
      </c>
      <c r="G336" t="s">
        <v>3309</v>
      </c>
      <c r="H336" t="s">
        <v>3310</v>
      </c>
      <c r="I336" s="80" t="s">
        <v>3311</v>
      </c>
      <c r="J336" t="s">
        <v>3276</v>
      </c>
      <c r="K336" s="80" t="s">
        <v>3312</v>
      </c>
    </row>
    <row r="337" spans="1:11" x14ac:dyDescent="0.25">
      <c r="A337" s="123">
        <v>336</v>
      </c>
      <c r="B337" s="2">
        <v>1023</v>
      </c>
      <c r="C337" s="123" t="s">
        <v>162</v>
      </c>
      <c r="D337" t="s">
        <v>3313</v>
      </c>
      <c r="E337" s="80" t="s">
        <v>3314</v>
      </c>
      <c r="F337" t="s">
        <v>3315</v>
      </c>
      <c r="G337" t="s">
        <v>3316</v>
      </c>
      <c r="H337" t="s">
        <v>3317</v>
      </c>
      <c r="I337" t="s">
        <v>3318</v>
      </c>
      <c r="J337" t="s">
        <v>2883</v>
      </c>
      <c r="K337" t="s">
        <v>3319</v>
      </c>
    </row>
    <row r="338" spans="1:11" x14ac:dyDescent="0.25">
      <c r="A338" s="123">
        <v>337</v>
      </c>
      <c r="B338" s="2">
        <v>1023</v>
      </c>
      <c r="C338" s="123" t="s">
        <v>170</v>
      </c>
      <c r="D338" t="s">
        <v>3320</v>
      </c>
      <c r="E338" s="80" t="s">
        <v>3321</v>
      </c>
      <c r="F338" t="s">
        <v>3322</v>
      </c>
      <c r="G338" t="s">
        <v>3323</v>
      </c>
      <c r="H338" t="s">
        <v>3324</v>
      </c>
      <c r="I338" s="80" t="s">
        <v>3325</v>
      </c>
      <c r="J338" t="s">
        <v>3326</v>
      </c>
      <c r="K338" t="s">
        <v>3327</v>
      </c>
    </row>
    <row r="339" spans="1:11" x14ac:dyDescent="0.25">
      <c r="A339" s="123">
        <v>338</v>
      </c>
      <c r="B339" s="2">
        <v>1023</v>
      </c>
      <c r="C339" s="123" t="s">
        <v>178</v>
      </c>
      <c r="D339" t="s">
        <v>3328</v>
      </c>
      <c r="E339" s="80" t="s">
        <v>3329</v>
      </c>
      <c r="F339" t="s">
        <v>3330</v>
      </c>
      <c r="G339" t="s">
        <v>3331</v>
      </c>
      <c r="H339" s="80" t="s">
        <v>3332</v>
      </c>
      <c r="I339" s="80" t="s">
        <v>3333</v>
      </c>
      <c r="J339" t="s">
        <v>3334</v>
      </c>
      <c r="K339" s="80" t="s">
        <v>3335</v>
      </c>
    </row>
    <row r="340" spans="1:11" x14ac:dyDescent="0.25">
      <c r="A340" s="123">
        <v>339</v>
      </c>
      <c r="B340" s="2">
        <v>1023</v>
      </c>
      <c r="C340" s="123" t="s">
        <v>163</v>
      </c>
      <c r="D340" t="s">
        <v>3336</v>
      </c>
      <c r="E340" s="80" t="s">
        <v>3337</v>
      </c>
      <c r="F340" t="s">
        <v>3338</v>
      </c>
      <c r="G340" t="s">
        <v>3339</v>
      </c>
      <c r="H340" s="80" t="s">
        <v>3340</v>
      </c>
      <c r="I340" s="80" t="s">
        <v>3341</v>
      </c>
      <c r="J340" t="s">
        <v>3342</v>
      </c>
      <c r="K340" s="80" t="s">
        <v>3343</v>
      </c>
    </row>
    <row r="341" spans="1:11" x14ac:dyDescent="0.25">
      <c r="A341" s="123">
        <v>340</v>
      </c>
      <c r="B341" s="2">
        <v>1023</v>
      </c>
      <c r="C341" s="123" t="s">
        <v>181</v>
      </c>
      <c r="D341" t="s">
        <v>3344</v>
      </c>
      <c r="E341" s="80" t="s">
        <v>3345</v>
      </c>
      <c r="F341" t="s">
        <v>3172</v>
      </c>
      <c r="G341" t="s">
        <v>3265</v>
      </c>
      <c r="H341" t="s">
        <v>3346</v>
      </c>
      <c r="I341" t="s">
        <v>3347</v>
      </c>
      <c r="J341" t="s">
        <v>3348</v>
      </c>
      <c r="K341" t="s">
        <v>3349</v>
      </c>
    </row>
    <row r="342" spans="1:11" x14ac:dyDescent="0.25">
      <c r="A342" s="123">
        <v>341</v>
      </c>
      <c r="B342" s="2">
        <v>1023</v>
      </c>
      <c r="C342" s="123" t="s">
        <v>183</v>
      </c>
      <c r="D342" t="s">
        <v>3350</v>
      </c>
      <c r="E342" s="80" t="s">
        <v>3351</v>
      </c>
      <c r="F342" t="s">
        <v>3352</v>
      </c>
      <c r="G342" t="s">
        <v>3353</v>
      </c>
      <c r="H342" s="80" t="s">
        <v>3354</v>
      </c>
      <c r="I342" s="80" t="s">
        <v>3355</v>
      </c>
      <c r="J342" t="s">
        <v>3356</v>
      </c>
      <c r="K342" s="80" t="s">
        <v>3357</v>
      </c>
    </row>
    <row r="343" spans="1:11" x14ac:dyDescent="0.25">
      <c r="A343" s="123">
        <v>342</v>
      </c>
      <c r="B343" s="2">
        <v>1023</v>
      </c>
      <c r="C343" s="123" t="s">
        <v>186</v>
      </c>
      <c r="D343" t="s">
        <v>3358</v>
      </c>
      <c r="E343" s="80" t="s">
        <v>3359</v>
      </c>
      <c r="F343" t="s">
        <v>3360</v>
      </c>
      <c r="G343" t="s">
        <v>3361</v>
      </c>
      <c r="H343" s="80" t="s">
        <v>3362</v>
      </c>
      <c r="I343" s="80" t="s">
        <v>3363</v>
      </c>
      <c r="J343" t="s">
        <v>3334</v>
      </c>
      <c r="K343" s="80" t="s">
        <v>3364</v>
      </c>
    </row>
    <row r="344" spans="1:11" x14ac:dyDescent="0.25">
      <c r="A344" s="123">
        <v>343</v>
      </c>
      <c r="B344" s="2">
        <v>1023</v>
      </c>
      <c r="C344" s="123" t="s">
        <v>188</v>
      </c>
      <c r="D344" t="s">
        <v>3365</v>
      </c>
      <c r="E344" s="80" t="s">
        <v>3366</v>
      </c>
      <c r="F344" t="s">
        <v>3367</v>
      </c>
      <c r="G344" t="s">
        <v>3368</v>
      </c>
      <c r="H344" s="80" t="s">
        <v>3369</v>
      </c>
      <c r="I344" s="80" t="s">
        <v>3370</v>
      </c>
      <c r="J344" t="s">
        <v>3371</v>
      </c>
      <c r="K344" s="80" t="s">
        <v>3372</v>
      </c>
    </row>
    <row r="345" spans="1:11" x14ac:dyDescent="0.25">
      <c r="A345" s="123">
        <v>344</v>
      </c>
      <c r="B345" s="2">
        <v>1023</v>
      </c>
      <c r="C345" s="123" t="s">
        <v>182</v>
      </c>
      <c r="D345" t="s">
        <v>3313</v>
      </c>
      <c r="E345" s="80" t="s">
        <v>3373</v>
      </c>
      <c r="F345" t="s">
        <v>3374</v>
      </c>
      <c r="G345" t="s">
        <v>3375</v>
      </c>
      <c r="H345" t="s">
        <v>3274</v>
      </c>
      <c r="I345" s="80" t="s">
        <v>3376</v>
      </c>
      <c r="J345" t="s">
        <v>3377</v>
      </c>
      <c r="K345" t="s">
        <v>3378</v>
      </c>
    </row>
    <row r="346" spans="1:11" x14ac:dyDescent="0.25">
      <c r="A346" s="123">
        <v>345</v>
      </c>
      <c r="B346" s="2">
        <v>1023</v>
      </c>
      <c r="C346" s="123" t="s">
        <v>184</v>
      </c>
      <c r="D346" t="s">
        <v>3379</v>
      </c>
      <c r="E346" s="80" t="s">
        <v>3380</v>
      </c>
      <c r="F346" t="s">
        <v>3381</v>
      </c>
      <c r="G346" t="s">
        <v>3382</v>
      </c>
      <c r="H346" s="80" t="s">
        <v>3383</v>
      </c>
      <c r="I346" s="80" t="s">
        <v>3384</v>
      </c>
      <c r="J346" t="s">
        <v>3385</v>
      </c>
      <c r="K346" t="s">
        <v>3386</v>
      </c>
    </row>
    <row r="347" spans="1:11" x14ac:dyDescent="0.25">
      <c r="A347" s="123">
        <v>346</v>
      </c>
      <c r="B347" s="2">
        <v>1023</v>
      </c>
      <c r="C347" s="123" t="s">
        <v>187</v>
      </c>
      <c r="D347" t="s">
        <v>3387</v>
      </c>
      <c r="E347" s="80" t="s">
        <v>3388</v>
      </c>
      <c r="F347" t="s">
        <v>3389</v>
      </c>
      <c r="G347" t="s">
        <v>3390</v>
      </c>
      <c r="H347" s="80" t="s">
        <v>3391</v>
      </c>
      <c r="I347" s="80" t="s">
        <v>3392</v>
      </c>
      <c r="J347" t="s">
        <v>3393</v>
      </c>
      <c r="K347" s="80" t="s">
        <v>3394</v>
      </c>
    </row>
    <row r="348" spans="1:11" x14ac:dyDescent="0.25">
      <c r="A348" s="123">
        <v>347</v>
      </c>
      <c r="B348" s="2">
        <v>1023</v>
      </c>
      <c r="C348" s="123" t="s">
        <v>189</v>
      </c>
      <c r="D348" t="s">
        <v>3395</v>
      </c>
      <c r="E348" s="80" t="s">
        <v>3396</v>
      </c>
      <c r="F348" t="s">
        <v>3397</v>
      </c>
      <c r="G348" t="s">
        <v>3398</v>
      </c>
      <c r="H348" t="s">
        <v>3399</v>
      </c>
      <c r="I348" s="80" t="s">
        <v>3400</v>
      </c>
      <c r="J348" t="s">
        <v>3401</v>
      </c>
      <c r="K348" s="80" t="s">
        <v>3402</v>
      </c>
    </row>
    <row r="349" spans="1:11" x14ac:dyDescent="0.25">
      <c r="A349" s="123">
        <v>348</v>
      </c>
      <c r="B349" s="2" t="s">
        <v>599</v>
      </c>
      <c r="C349" s="123" t="s">
        <v>162</v>
      </c>
      <c r="D349" t="s">
        <v>3313</v>
      </c>
      <c r="E349" s="80" t="s">
        <v>3403</v>
      </c>
      <c r="F349" t="s">
        <v>3172</v>
      </c>
      <c r="G349" t="s">
        <v>3404</v>
      </c>
      <c r="H349" t="s">
        <v>3405</v>
      </c>
      <c r="I349" t="s">
        <v>3406</v>
      </c>
      <c r="J349" t="s">
        <v>3407</v>
      </c>
      <c r="K349" t="s">
        <v>3408</v>
      </c>
    </row>
    <row r="350" spans="1:11" x14ac:dyDescent="0.25">
      <c r="A350" s="123">
        <v>349</v>
      </c>
      <c r="B350" s="2" t="s">
        <v>599</v>
      </c>
      <c r="C350" s="123" t="s">
        <v>170</v>
      </c>
      <c r="D350" t="s">
        <v>3409</v>
      </c>
      <c r="E350" s="80" t="s">
        <v>3410</v>
      </c>
      <c r="F350" t="s">
        <v>3411</v>
      </c>
      <c r="G350" t="s">
        <v>3412</v>
      </c>
      <c r="H350" t="s">
        <v>3413</v>
      </c>
      <c r="I350" s="80" t="s">
        <v>3414</v>
      </c>
      <c r="J350" t="s">
        <v>3415</v>
      </c>
      <c r="K350" t="s">
        <v>3416</v>
      </c>
    </row>
    <row r="351" spans="1:11" x14ac:dyDescent="0.25">
      <c r="A351" s="123">
        <v>350</v>
      </c>
      <c r="B351" s="2" t="s">
        <v>599</v>
      </c>
      <c r="C351" s="123" t="s">
        <v>178</v>
      </c>
      <c r="D351" t="s">
        <v>3417</v>
      </c>
      <c r="E351" s="80" t="s">
        <v>3418</v>
      </c>
      <c r="F351" t="s">
        <v>3419</v>
      </c>
      <c r="G351" t="s">
        <v>3382</v>
      </c>
      <c r="H351" s="80" t="s">
        <v>3420</v>
      </c>
      <c r="I351" s="80" t="s">
        <v>3421</v>
      </c>
      <c r="J351" t="s">
        <v>3304</v>
      </c>
      <c r="K351" t="s">
        <v>3422</v>
      </c>
    </row>
    <row r="352" spans="1:11" x14ac:dyDescent="0.25">
      <c r="A352" s="123">
        <v>351</v>
      </c>
      <c r="B352" s="2" t="s">
        <v>599</v>
      </c>
      <c r="C352" s="123" t="s">
        <v>163</v>
      </c>
      <c r="D352" t="s">
        <v>3423</v>
      </c>
      <c r="E352" s="80" t="s">
        <v>3424</v>
      </c>
      <c r="F352" t="s">
        <v>3425</v>
      </c>
      <c r="G352" t="s">
        <v>3331</v>
      </c>
      <c r="H352" s="80" t="s">
        <v>3426</v>
      </c>
      <c r="I352" s="80" t="s">
        <v>3427</v>
      </c>
      <c r="J352" t="s">
        <v>3428</v>
      </c>
      <c r="K352" s="80" t="s">
        <v>3429</v>
      </c>
    </row>
    <row r="353" spans="1:11" x14ac:dyDescent="0.25">
      <c r="A353" s="123">
        <v>352</v>
      </c>
      <c r="B353" s="2" t="s">
        <v>599</v>
      </c>
      <c r="C353" s="123" t="s">
        <v>181</v>
      </c>
      <c r="D353" t="s">
        <v>3344</v>
      </c>
      <c r="E353" s="80" t="s">
        <v>3430</v>
      </c>
      <c r="F353" t="s">
        <v>3431</v>
      </c>
      <c r="G353" t="s">
        <v>3375</v>
      </c>
      <c r="H353" t="s">
        <v>3432</v>
      </c>
      <c r="I353" t="s">
        <v>3433</v>
      </c>
      <c r="J353" t="s">
        <v>3434</v>
      </c>
      <c r="K353" t="s">
        <v>3435</v>
      </c>
    </row>
    <row r="354" spans="1:11" x14ac:dyDescent="0.25">
      <c r="A354" s="123">
        <v>353</v>
      </c>
      <c r="B354" s="2" t="s">
        <v>599</v>
      </c>
      <c r="C354" s="123" t="s">
        <v>183</v>
      </c>
      <c r="D354" t="s">
        <v>3320</v>
      </c>
      <c r="E354" s="80" t="s">
        <v>3436</v>
      </c>
      <c r="F354" t="s">
        <v>3437</v>
      </c>
      <c r="G354" t="s">
        <v>3309</v>
      </c>
      <c r="H354" t="s">
        <v>3438</v>
      </c>
      <c r="I354" s="80" t="s">
        <v>3439</v>
      </c>
      <c r="J354" t="s">
        <v>3385</v>
      </c>
      <c r="K354" t="s">
        <v>3440</v>
      </c>
    </row>
    <row r="355" spans="1:11" x14ac:dyDescent="0.25">
      <c r="A355" s="123">
        <v>354</v>
      </c>
      <c r="B355" s="2" t="s">
        <v>599</v>
      </c>
      <c r="C355" s="123" t="s">
        <v>186</v>
      </c>
      <c r="D355" t="s">
        <v>3358</v>
      </c>
      <c r="E355" s="80" t="s">
        <v>3441</v>
      </c>
      <c r="F355" s="80" t="s">
        <v>3442</v>
      </c>
      <c r="G355" t="s">
        <v>3361</v>
      </c>
      <c r="H355" s="80" t="s">
        <v>3443</v>
      </c>
      <c r="I355" s="80" t="s">
        <v>3444</v>
      </c>
      <c r="J355" t="s">
        <v>3445</v>
      </c>
      <c r="K355" s="80" t="s">
        <v>3446</v>
      </c>
    </row>
    <row r="356" spans="1:11" x14ac:dyDescent="0.25">
      <c r="A356" s="123">
        <v>355</v>
      </c>
      <c r="B356" s="2" t="s">
        <v>599</v>
      </c>
      <c r="C356" s="123" t="s">
        <v>188</v>
      </c>
      <c r="D356" t="s">
        <v>3447</v>
      </c>
      <c r="E356" s="80" t="s">
        <v>3448</v>
      </c>
      <c r="F356" t="s">
        <v>3449</v>
      </c>
      <c r="G356" t="s">
        <v>3301</v>
      </c>
      <c r="H356" t="s">
        <v>3450</v>
      </c>
      <c r="I356" s="80" t="s">
        <v>3451</v>
      </c>
      <c r="J356" t="s">
        <v>3452</v>
      </c>
      <c r="K356" s="80" t="s">
        <v>3453</v>
      </c>
    </row>
    <row r="357" spans="1:11" x14ac:dyDescent="0.25">
      <c r="A357" s="123">
        <v>356</v>
      </c>
      <c r="B357" s="2" t="s">
        <v>599</v>
      </c>
      <c r="C357" s="123" t="s">
        <v>182</v>
      </c>
      <c r="D357" t="s">
        <v>583</v>
      </c>
      <c r="E357" t="s">
        <v>3454</v>
      </c>
      <c r="F357" t="s">
        <v>583</v>
      </c>
      <c r="G357" t="s">
        <v>583</v>
      </c>
      <c r="H357" t="s">
        <v>2661</v>
      </c>
      <c r="I357" t="s">
        <v>3455</v>
      </c>
      <c r="J357" t="s">
        <v>583</v>
      </c>
      <c r="K357" t="s">
        <v>3456</v>
      </c>
    </row>
    <row r="358" spans="1:11" x14ac:dyDescent="0.25">
      <c r="A358" s="123">
        <v>357</v>
      </c>
      <c r="B358" s="2" t="s">
        <v>599</v>
      </c>
      <c r="C358" s="123" t="s">
        <v>184</v>
      </c>
      <c r="D358" t="s">
        <v>3457</v>
      </c>
      <c r="E358" t="s">
        <v>3458</v>
      </c>
      <c r="F358" t="s">
        <v>3459</v>
      </c>
      <c r="G358" t="s">
        <v>3273</v>
      </c>
      <c r="H358" s="80" t="s">
        <v>3460</v>
      </c>
      <c r="I358" s="80" t="s">
        <v>3461</v>
      </c>
      <c r="J358" t="s">
        <v>3326</v>
      </c>
      <c r="K358" t="s">
        <v>3462</v>
      </c>
    </row>
    <row r="359" spans="1:11" x14ac:dyDescent="0.25">
      <c r="A359" s="123">
        <v>358</v>
      </c>
      <c r="B359" s="2" t="s">
        <v>599</v>
      </c>
      <c r="C359" s="123" t="s">
        <v>187</v>
      </c>
      <c r="D359" t="s">
        <v>3463</v>
      </c>
      <c r="E359" s="80" t="s">
        <v>3464</v>
      </c>
      <c r="F359" t="s">
        <v>3465</v>
      </c>
      <c r="G359" t="s">
        <v>3466</v>
      </c>
      <c r="H359" s="80" t="s">
        <v>3467</v>
      </c>
      <c r="I359" s="80" t="s">
        <v>3468</v>
      </c>
      <c r="J359" t="s">
        <v>3469</v>
      </c>
      <c r="K359" s="80" t="s">
        <v>3470</v>
      </c>
    </row>
    <row r="360" spans="1:11" x14ac:dyDescent="0.25">
      <c r="A360" s="123">
        <v>359</v>
      </c>
      <c r="B360" s="2" t="s">
        <v>599</v>
      </c>
      <c r="C360" s="123" t="s">
        <v>189</v>
      </c>
      <c r="D360" t="s">
        <v>3471</v>
      </c>
      <c r="E360" t="s">
        <v>3472</v>
      </c>
      <c r="F360" t="s">
        <v>3473</v>
      </c>
      <c r="G360" t="s">
        <v>3273</v>
      </c>
      <c r="H360" s="80" t="s">
        <v>3474</v>
      </c>
      <c r="I360" s="80" t="s">
        <v>3475</v>
      </c>
      <c r="J360" t="s">
        <v>3476</v>
      </c>
      <c r="K360" s="80" t="s">
        <v>3477</v>
      </c>
    </row>
    <row r="361" spans="1:11" x14ac:dyDescent="0.25">
      <c r="A361" s="123">
        <v>360</v>
      </c>
      <c r="B361" s="2" t="s">
        <v>600</v>
      </c>
      <c r="C361" s="123" t="s">
        <v>162</v>
      </c>
      <c r="D361">
        <v>47</v>
      </c>
      <c r="E361" s="80" t="s">
        <v>3430</v>
      </c>
      <c r="F361" t="s">
        <v>3172</v>
      </c>
      <c r="G361" t="s">
        <v>3265</v>
      </c>
      <c r="H361" t="s">
        <v>3478</v>
      </c>
      <c r="I361" t="s">
        <v>3479</v>
      </c>
      <c r="J361" t="s">
        <v>3377</v>
      </c>
      <c r="K361" t="s">
        <v>3480</v>
      </c>
    </row>
    <row r="362" spans="1:11" x14ac:dyDescent="0.25">
      <c r="A362" s="123">
        <v>361</v>
      </c>
      <c r="B362" s="2" t="s">
        <v>600</v>
      </c>
      <c r="C362" s="123" t="s">
        <v>170</v>
      </c>
      <c r="D362" t="s">
        <v>3481</v>
      </c>
      <c r="E362" s="80" t="s">
        <v>3482</v>
      </c>
      <c r="F362" t="s">
        <v>3483</v>
      </c>
      <c r="G362" t="s">
        <v>3412</v>
      </c>
      <c r="H362" t="s">
        <v>3484</v>
      </c>
      <c r="I362" s="80" t="s">
        <v>3485</v>
      </c>
      <c r="J362" t="s">
        <v>3326</v>
      </c>
      <c r="K362" t="s">
        <v>3486</v>
      </c>
    </row>
    <row r="363" spans="1:11" x14ac:dyDescent="0.25">
      <c r="A363" s="123">
        <v>362</v>
      </c>
      <c r="B363" s="2" t="s">
        <v>600</v>
      </c>
      <c r="C363" s="123" t="s">
        <v>178</v>
      </c>
      <c r="D363" t="s">
        <v>3487</v>
      </c>
      <c r="E363" s="80" t="s">
        <v>3488</v>
      </c>
      <c r="F363" t="s">
        <v>3489</v>
      </c>
      <c r="G363" t="s">
        <v>3368</v>
      </c>
      <c r="H363" s="80" t="s">
        <v>3490</v>
      </c>
      <c r="I363" s="80" t="s">
        <v>3491</v>
      </c>
      <c r="J363" t="s">
        <v>3393</v>
      </c>
      <c r="K363" s="80" t="s">
        <v>3492</v>
      </c>
    </row>
    <row r="364" spans="1:11" x14ac:dyDescent="0.25">
      <c r="A364" s="123">
        <v>363</v>
      </c>
      <c r="B364" s="2" t="s">
        <v>600</v>
      </c>
      <c r="C364" s="123" t="s">
        <v>163</v>
      </c>
      <c r="D364" t="s">
        <v>3493</v>
      </c>
      <c r="E364" s="80" t="s">
        <v>3494</v>
      </c>
      <c r="F364" t="s">
        <v>3495</v>
      </c>
      <c r="G364" t="s">
        <v>3398</v>
      </c>
      <c r="H364" s="80" t="s">
        <v>3496</v>
      </c>
      <c r="I364" s="80" t="s">
        <v>3497</v>
      </c>
      <c r="J364" t="s">
        <v>3356</v>
      </c>
      <c r="K364" s="80" t="s">
        <v>3498</v>
      </c>
    </row>
    <row r="365" spans="1:11" x14ac:dyDescent="0.25">
      <c r="A365" s="123">
        <v>364</v>
      </c>
      <c r="B365" s="2" t="s">
        <v>600</v>
      </c>
      <c r="C365" s="123" t="s">
        <v>181</v>
      </c>
      <c r="D365" t="s">
        <v>3499</v>
      </c>
      <c r="E365" s="80" t="s">
        <v>2592</v>
      </c>
      <c r="F365" t="s">
        <v>3172</v>
      </c>
      <c r="G365" t="s">
        <v>3316</v>
      </c>
      <c r="H365" t="s">
        <v>3500</v>
      </c>
      <c r="I365" t="s">
        <v>3501</v>
      </c>
      <c r="J365" t="s">
        <v>3502</v>
      </c>
      <c r="K365" t="s">
        <v>3503</v>
      </c>
    </row>
    <row r="366" spans="1:11" x14ac:dyDescent="0.25">
      <c r="A366" s="123">
        <v>365</v>
      </c>
      <c r="B366" s="2" t="s">
        <v>600</v>
      </c>
      <c r="C366" s="123" t="s">
        <v>183</v>
      </c>
      <c r="D366" t="s">
        <v>3499</v>
      </c>
      <c r="E366" t="s">
        <v>3504</v>
      </c>
      <c r="F366" t="s">
        <v>3505</v>
      </c>
      <c r="G366" t="s">
        <v>3375</v>
      </c>
      <c r="H366" t="s">
        <v>3506</v>
      </c>
      <c r="I366" s="80" t="s">
        <v>3507</v>
      </c>
      <c r="J366" t="s">
        <v>3508</v>
      </c>
      <c r="K366" t="s">
        <v>3509</v>
      </c>
    </row>
    <row r="367" spans="1:11" x14ac:dyDescent="0.25">
      <c r="A367" s="123">
        <v>366</v>
      </c>
      <c r="B367" s="2" t="s">
        <v>600</v>
      </c>
      <c r="C367" s="123" t="s">
        <v>186</v>
      </c>
      <c r="D367" t="s">
        <v>3447</v>
      </c>
      <c r="E367" s="80" t="s">
        <v>3510</v>
      </c>
      <c r="F367" t="s">
        <v>3511</v>
      </c>
      <c r="G367" t="s">
        <v>3368</v>
      </c>
      <c r="H367" s="84">
        <v>1142400</v>
      </c>
      <c r="I367" s="80" t="s">
        <v>3512</v>
      </c>
      <c r="J367" t="s">
        <v>3513</v>
      </c>
      <c r="K367" s="80" t="s">
        <v>3514</v>
      </c>
    </row>
    <row r="368" spans="1:11" x14ac:dyDescent="0.25">
      <c r="A368" s="123">
        <v>367</v>
      </c>
      <c r="B368" s="2" t="s">
        <v>600</v>
      </c>
      <c r="C368" s="123" t="s">
        <v>188</v>
      </c>
      <c r="D368" t="s">
        <v>3447</v>
      </c>
      <c r="E368" s="80" t="s">
        <v>3515</v>
      </c>
      <c r="F368" t="s">
        <v>3516</v>
      </c>
      <c r="G368" t="s">
        <v>3281</v>
      </c>
      <c r="H368" t="s">
        <v>3517</v>
      </c>
      <c r="I368" s="80" t="s">
        <v>3518</v>
      </c>
      <c r="J368" t="s">
        <v>3356</v>
      </c>
      <c r="K368" s="80" t="s">
        <v>3519</v>
      </c>
    </row>
    <row r="369" spans="1:11" x14ac:dyDescent="0.25">
      <c r="A369" s="123">
        <v>368</v>
      </c>
      <c r="B369" s="2" t="s">
        <v>600</v>
      </c>
      <c r="C369" s="123" t="s">
        <v>182</v>
      </c>
      <c r="D369" t="s">
        <v>583</v>
      </c>
      <c r="E369" t="s">
        <v>3520</v>
      </c>
      <c r="F369" t="s">
        <v>583</v>
      </c>
      <c r="G369" s="80" t="s">
        <v>3521</v>
      </c>
      <c r="H369" t="s">
        <v>3405</v>
      </c>
      <c r="I369" t="s">
        <v>3522</v>
      </c>
      <c r="J369" s="80" t="s">
        <v>3289</v>
      </c>
      <c r="K369" t="s">
        <v>3290</v>
      </c>
    </row>
    <row r="370" spans="1:11" x14ac:dyDescent="0.25">
      <c r="A370" s="123">
        <v>369</v>
      </c>
      <c r="B370" s="2" t="s">
        <v>600</v>
      </c>
      <c r="C370" s="123" t="s">
        <v>184</v>
      </c>
      <c r="D370" t="s">
        <v>3328</v>
      </c>
      <c r="E370" t="s">
        <v>3523</v>
      </c>
      <c r="F370" t="s">
        <v>3524</v>
      </c>
      <c r="G370" t="s">
        <v>3525</v>
      </c>
      <c r="H370" t="s">
        <v>3526</v>
      </c>
      <c r="I370" s="80" t="s">
        <v>3527</v>
      </c>
      <c r="J370" t="s">
        <v>3415</v>
      </c>
      <c r="K370" t="s">
        <v>3528</v>
      </c>
    </row>
    <row r="371" spans="1:11" x14ac:dyDescent="0.25">
      <c r="A371" s="123">
        <v>370</v>
      </c>
      <c r="B371" s="2" t="s">
        <v>600</v>
      </c>
      <c r="C371" s="123" t="s">
        <v>187</v>
      </c>
      <c r="D371" t="s">
        <v>3529</v>
      </c>
      <c r="E371" t="s">
        <v>3530</v>
      </c>
      <c r="F371" t="s">
        <v>3531</v>
      </c>
      <c r="G371" t="s">
        <v>3532</v>
      </c>
      <c r="H371" t="s">
        <v>3533</v>
      </c>
      <c r="I371" s="80" t="s">
        <v>3534</v>
      </c>
      <c r="J371" t="s">
        <v>3385</v>
      </c>
      <c r="K371" s="80" t="s">
        <v>3535</v>
      </c>
    </row>
    <row r="372" spans="1:11" x14ac:dyDescent="0.25">
      <c r="A372" s="123">
        <v>371</v>
      </c>
      <c r="B372" s="2" t="s">
        <v>600</v>
      </c>
      <c r="C372" s="123" t="s">
        <v>189</v>
      </c>
      <c r="D372" t="s">
        <v>3536</v>
      </c>
      <c r="E372" t="s">
        <v>3537</v>
      </c>
      <c r="F372" t="s">
        <v>3538</v>
      </c>
      <c r="G372" t="s">
        <v>3532</v>
      </c>
      <c r="H372" t="s">
        <v>3539</v>
      </c>
      <c r="I372" s="80" t="s">
        <v>3540</v>
      </c>
      <c r="J372" t="s">
        <v>3541</v>
      </c>
      <c r="K372" s="80" t="s">
        <v>3542</v>
      </c>
    </row>
    <row r="373" spans="1:11" x14ac:dyDescent="0.25">
      <c r="A373" s="123">
        <v>372</v>
      </c>
      <c r="B373" s="2" t="s">
        <v>601</v>
      </c>
      <c r="C373" s="123" t="s">
        <v>162</v>
      </c>
      <c r="D373" t="s">
        <v>3313</v>
      </c>
      <c r="E373" s="80" t="s">
        <v>3543</v>
      </c>
      <c r="F373" t="s">
        <v>3544</v>
      </c>
      <c r="G373" t="s">
        <v>3545</v>
      </c>
      <c r="H373" t="s">
        <v>3546</v>
      </c>
      <c r="I373" t="s">
        <v>2661</v>
      </c>
      <c r="J373" t="s">
        <v>3547</v>
      </c>
      <c r="K373" t="s">
        <v>3548</v>
      </c>
    </row>
    <row r="374" spans="1:11" x14ac:dyDescent="0.25">
      <c r="A374" s="123">
        <v>373</v>
      </c>
      <c r="B374" s="2" t="s">
        <v>601</v>
      </c>
      <c r="C374" s="123" t="s">
        <v>170</v>
      </c>
      <c r="D374" t="s">
        <v>3320</v>
      </c>
      <c r="E374" s="80" t="s">
        <v>3549</v>
      </c>
      <c r="F374" t="s">
        <v>3550</v>
      </c>
      <c r="G374" t="s">
        <v>3551</v>
      </c>
      <c r="H374" t="s">
        <v>3552</v>
      </c>
      <c r="I374" s="80" t="s">
        <v>3553</v>
      </c>
      <c r="J374" t="s">
        <v>3434</v>
      </c>
      <c r="K374" t="s">
        <v>3554</v>
      </c>
    </row>
    <row r="375" spans="1:11" x14ac:dyDescent="0.25">
      <c r="A375" s="123">
        <v>374</v>
      </c>
      <c r="B375" s="2" t="s">
        <v>601</v>
      </c>
      <c r="C375" s="123" t="s">
        <v>178</v>
      </c>
      <c r="D375" t="s">
        <v>3555</v>
      </c>
      <c r="E375" s="80" t="s">
        <v>3556</v>
      </c>
      <c r="F375" t="s">
        <v>3557</v>
      </c>
      <c r="G375" t="s">
        <v>3412</v>
      </c>
      <c r="H375" t="s">
        <v>3558</v>
      </c>
      <c r="I375" s="80" t="s">
        <v>3559</v>
      </c>
      <c r="J375" t="s">
        <v>3415</v>
      </c>
      <c r="K375" t="s">
        <v>3560</v>
      </c>
    </row>
    <row r="376" spans="1:11" x14ac:dyDescent="0.25">
      <c r="A376" s="123">
        <v>375</v>
      </c>
      <c r="B376" s="2" t="s">
        <v>601</v>
      </c>
      <c r="C376" s="123" t="s">
        <v>163</v>
      </c>
      <c r="D376" t="s">
        <v>3561</v>
      </c>
      <c r="E376" s="80" t="s">
        <v>3562</v>
      </c>
      <c r="F376" t="s">
        <v>2817</v>
      </c>
      <c r="G376" t="s">
        <v>3375</v>
      </c>
      <c r="H376" t="s">
        <v>3563</v>
      </c>
      <c r="I376" s="80" t="s">
        <v>3564</v>
      </c>
      <c r="J376" t="s">
        <v>3565</v>
      </c>
      <c r="K376" t="s">
        <v>3566</v>
      </c>
    </row>
    <row r="377" spans="1:11" x14ac:dyDescent="0.25">
      <c r="A377" s="123">
        <v>376</v>
      </c>
      <c r="B377" s="2" t="s">
        <v>601</v>
      </c>
      <c r="C377" s="123" t="s">
        <v>181</v>
      </c>
      <c r="D377" t="s">
        <v>3567</v>
      </c>
      <c r="E377" s="80" t="s">
        <v>3568</v>
      </c>
      <c r="F377" t="s">
        <v>3569</v>
      </c>
      <c r="G377" t="s">
        <v>3316</v>
      </c>
      <c r="H377" t="s">
        <v>3570</v>
      </c>
      <c r="I377" t="s">
        <v>3571</v>
      </c>
      <c r="J377" t="s">
        <v>3502</v>
      </c>
      <c r="K377" t="s">
        <v>3572</v>
      </c>
    </row>
    <row r="378" spans="1:11" x14ac:dyDescent="0.25">
      <c r="A378" s="123">
        <v>377</v>
      </c>
      <c r="B378" s="2" t="s">
        <v>601</v>
      </c>
      <c r="C378" s="123" t="s">
        <v>183</v>
      </c>
      <c r="D378" t="s">
        <v>3306</v>
      </c>
      <c r="E378" s="80" t="s">
        <v>3573</v>
      </c>
      <c r="F378" t="s">
        <v>3574</v>
      </c>
      <c r="G378" t="s">
        <v>3273</v>
      </c>
      <c r="H378" t="s">
        <v>2656</v>
      </c>
      <c r="I378" s="80" t="s">
        <v>3575</v>
      </c>
      <c r="J378" t="s">
        <v>3576</v>
      </c>
      <c r="K378" t="s">
        <v>3577</v>
      </c>
    </row>
    <row r="379" spans="1:11" x14ac:dyDescent="0.25">
      <c r="A379" s="123">
        <v>378</v>
      </c>
      <c r="B379" s="2" t="s">
        <v>601</v>
      </c>
      <c r="C379" s="123" t="s">
        <v>186</v>
      </c>
      <c r="D379" t="s">
        <v>3278</v>
      </c>
      <c r="E379" s="80" t="s">
        <v>3578</v>
      </c>
      <c r="F379" t="s">
        <v>3579</v>
      </c>
      <c r="G379" t="s">
        <v>3331</v>
      </c>
      <c r="H379" s="80" t="s">
        <v>3580</v>
      </c>
      <c r="I379" s="80" t="s">
        <v>3581</v>
      </c>
      <c r="J379" t="s">
        <v>3356</v>
      </c>
      <c r="K379" s="80" t="s">
        <v>3582</v>
      </c>
    </row>
    <row r="380" spans="1:11" x14ac:dyDescent="0.25">
      <c r="A380" s="123">
        <v>379</v>
      </c>
      <c r="B380" s="2" t="s">
        <v>601</v>
      </c>
      <c r="C380" s="123" t="s">
        <v>188</v>
      </c>
      <c r="D380" t="s">
        <v>3298</v>
      </c>
      <c r="E380" s="80" t="s">
        <v>3583</v>
      </c>
      <c r="F380" t="s">
        <v>3584</v>
      </c>
      <c r="G380" t="s">
        <v>3585</v>
      </c>
      <c r="H380" t="s">
        <v>3586</v>
      </c>
      <c r="I380" s="80" t="s">
        <v>3587</v>
      </c>
      <c r="J380" t="s">
        <v>3588</v>
      </c>
      <c r="K380" s="80" t="s">
        <v>3589</v>
      </c>
    </row>
    <row r="381" spans="1:11" x14ac:dyDescent="0.25">
      <c r="A381" s="123">
        <v>380</v>
      </c>
      <c r="B381" s="2" t="s">
        <v>601</v>
      </c>
      <c r="C381" s="123" t="s">
        <v>182</v>
      </c>
      <c r="D381" t="s">
        <v>583</v>
      </c>
      <c r="E381" t="s">
        <v>3590</v>
      </c>
      <c r="F381" t="s">
        <v>3591</v>
      </c>
      <c r="G381" t="s">
        <v>3592</v>
      </c>
      <c r="H381" t="s">
        <v>3593</v>
      </c>
      <c r="I381" t="s">
        <v>3594</v>
      </c>
      <c r="J381" t="s">
        <v>583</v>
      </c>
      <c r="K381" t="s">
        <v>3595</v>
      </c>
    </row>
    <row r="382" spans="1:11" x14ac:dyDescent="0.25">
      <c r="A382" s="123">
        <v>381</v>
      </c>
      <c r="B382" s="2" t="s">
        <v>601</v>
      </c>
      <c r="C382" s="123" t="s">
        <v>184</v>
      </c>
      <c r="D382" t="s">
        <v>3596</v>
      </c>
      <c r="E382" t="s">
        <v>3597</v>
      </c>
      <c r="F382" t="s">
        <v>3598</v>
      </c>
      <c r="G382" t="s">
        <v>3265</v>
      </c>
      <c r="H382" t="s">
        <v>3599</v>
      </c>
      <c r="I382" s="80" t="s">
        <v>3600</v>
      </c>
      <c r="J382" t="s">
        <v>3502</v>
      </c>
      <c r="K382" t="s">
        <v>3601</v>
      </c>
    </row>
    <row r="383" spans="1:11" x14ac:dyDescent="0.25">
      <c r="A383" s="123">
        <v>382</v>
      </c>
      <c r="B383" s="2" t="s">
        <v>601</v>
      </c>
      <c r="C383" s="123" t="s">
        <v>187</v>
      </c>
      <c r="D383" t="s">
        <v>3602</v>
      </c>
      <c r="E383" t="s">
        <v>3603</v>
      </c>
      <c r="F383" t="s">
        <v>3604</v>
      </c>
      <c r="G383" t="s">
        <v>3532</v>
      </c>
      <c r="H383" s="80" t="s">
        <v>3605</v>
      </c>
      <c r="I383" s="80" t="s">
        <v>3606</v>
      </c>
      <c r="J383" t="s">
        <v>3508</v>
      </c>
      <c r="K383" t="s">
        <v>3607</v>
      </c>
    </row>
    <row r="384" spans="1:11" x14ac:dyDescent="0.25">
      <c r="A384" s="123">
        <v>383</v>
      </c>
      <c r="B384" s="2" t="s">
        <v>601</v>
      </c>
      <c r="C384" s="123" t="s">
        <v>189</v>
      </c>
      <c r="D384" t="s">
        <v>3409</v>
      </c>
      <c r="E384" t="s">
        <v>3608</v>
      </c>
      <c r="F384" t="s">
        <v>3609</v>
      </c>
      <c r="G384" t="s">
        <v>3316</v>
      </c>
      <c r="H384" t="s">
        <v>3610</v>
      </c>
      <c r="I384" t="s">
        <v>3611</v>
      </c>
      <c r="J384" t="s">
        <v>3612</v>
      </c>
      <c r="K384" t="s">
        <v>3613</v>
      </c>
    </row>
    <row r="385" spans="1:11" x14ac:dyDescent="0.25">
      <c r="A385" s="123">
        <v>384</v>
      </c>
      <c r="B385" s="2">
        <v>1040</v>
      </c>
      <c r="C385" s="123" t="s">
        <v>162</v>
      </c>
      <c r="D385" t="s">
        <v>3614</v>
      </c>
      <c r="E385" s="80" t="s">
        <v>3615</v>
      </c>
      <c r="F385" t="s">
        <v>2975</v>
      </c>
      <c r="G385" t="s">
        <v>3404</v>
      </c>
      <c r="H385" t="s">
        <v>3616</v>
      </c>
      <c r="I385" t="s">
        <v>3617</v>
      </c>
      <c r="J385" t="s">
        <v>3407</v>
      </c>
      <c r="K385" t="s">
        <v>3618</v>
      </c>
    </row>
    <row r="386" spans="1:11" x14ac:dyDescent="0.25">
      <c r="A386" s="123">
        <v>385</v>
      </c>
      <c r="B386" s="2">
        <v>1040</v>
      </c>
      <c r="C386" s="123" t="s">
        <v>170</v>
      </c>
      <c r="D386" t="s">
        <v>3262</v>
      </c>
      <c r="E386" s="80" t="s">
        <v>3619</v>
      </c>
      <c r="F386" t="s">
        <v>3620</v>
      </c>
      <c r="G386" t="s">
        <v>3293</v>
      </c>
      <c r="H386" t="s">
        <v>3621</v>
      </c>
      <c r="I386" s="80" t="s">
        <v>3622</v>
      </c>
      <c r="J386" t="s">
        <v>3348</v>
      </c>
      <c r="K386" t="s">
        <v>3623</v>
      </c>
    </row>
    <row r="387" spans="1:11" x14ac:dyDescent="0.25">
      <c r="A387" s="123">
        <v>386</v>
      </c>
      <c r="B387" s="2">
        <v>1040</v>
      </c>
      <c r="C387" s="123" t="s">
        <v>178</v>
      </c>
      <c r="D387" t="s">
        <v>3270</v>
      </c>
      <c r="E387" s="80" t="s">
        <v>3624</v>
      </c>
      <c r="F387" t="s">
        <v>3625</v>
      </c>
      <c r="G387" t="s">
        <v>3412</v>
      </c>
      <c r="H387" t="s">
        <v>3626</v>
      </c>
      <c r="I387" s="80" t="s">
        <v>3627</v>
      </c>
      <c r="J387" t="s">
        <v>3401</v>
      </c>
      <c r="K387" t="s">
        <v>3628</v>
      </c>
    </row>
    <row r="388" spans="1:11" x14ac:dyDescent="0.25">
      <c r="A388" s="123">
        <v>387</v>
      </c>
      <c r="B388" s="2">
        <v>1040</v>
      </c>
      <c r="C388" s="123" t="s">
        <v>163</v>
      </c>
      <c r="D388" t="s">
        <v>3629</v>
      </c>
      <c r="E388" s="80" t="s">
        <v>3630</v>
      </c>
      <c r="F388" t="s">
        <v>3631</v>
      </c>
      <c r="G388" t="s">
        <v>3382</v>
      </c>
      <c r="H388" t="s">
        <v>3632</v>
      </c>
      <c r="I388" s="80" t="s">
        <v>3633</v>
      </c>
      <c r="J388" t="s">
        <v>3385</v>
      </c>
      <c r="K388" t="s">
        <v>3634</v>
      </c>
    </row>
    <row r="389" spans="1:11" x14ac:dyDescent="0.25">
      <c r="A389" s="123">
        <v>388</v>
      </c>
      <c r="B389" s="2">
        <v>1040</v>
      </c>
      <c r="C389" s="123" t="s">
        <v>181</v>
      </c>
      <c r="D389" t="s">
        <v>3635</v>
      </c>
      <c r="E389" s="80" t="s">
        <v>3636</v>
      </c>
      <c r="F389" t="s">
        <v>2975</v>
      </c>
      <c r="G389" t="s">
        <v>3316</v>
      </c>
      <c r="H389" t="s">
        <v>3637</v>
      </c>
      <c r="I389" t="s">
        <v>3638</v>
      </c>
      <c r="J389" t="s">
        <v>3296</v>
      </c>
      <c r="K389" t="s">
        <v>3639</v>
      </c>
    </row>
    <row r="390" spans="1:11" x14ac:dyDescent="0.25">
      <c r="A390" s="123">
        <v>389</v>
      </c>
      <c r="B390" s="2">
        <v>1040</v>
      </c>
      <c r="C390" s="123" t="s">
        <v>183</v>
      </c>
      <c r="D390" t="s">
        <v>3379</v>
      </c>
      <c r="E390" s="80" t="s">
        <v>3640</v>
      </c>
      <c r="F390" t="s">
        <v>3641</v>
      </c>
      <c r="G390" t="s">
        <v>3309</v>
      </c>
      <c r="H390" t="s">
        <v>3642</v>
      </c>
      <c r="I390" s="80" t="s">
        <v>3643</v>
      </c>
      <c r="J390" t="s">
        <v>3476</v>
      </c>
      <c r="K390" s="80" t="s">
        <v>3644</v>
      </c>
    </row>
    <row r="391" spans="1:11" x14ac:dyDescent="0.25">
      <c r="A391" s="123">
        <v>390</v>
      </c>
      <c r="B391" s="2">
        <v>1040</v>
      </c>
      <c r="C391" s="123" t="s">
        <v>186</v>
      </c>
      <c r="D391" t="s">
        <v>3350</v>
      </c>
      <c r="E391" s="80" t="s">
        <v>3645</v>
      </c>
      <c r="F391" t="s">
        <v>3646</v>
      </c>
      <c r="G391" t="s">
        <v>3281</v>
      </c>
      <c r="H391" t="s">
        <v>3647</v>
      </c>
      <c r="I391" s="80" t="s">
        <v>3648</v>
      </c>
      <c r="J391" t="s">
        <v>3356</v>
      </c>
      <c r="K391" s="80" t="s">
        <v>3649</v>
      </c>
    </row>
    <row r="392" spans="1:11" x14ac:dyDescent="0.25">
      <c r="A392" s="123">
        <v>391</v>
      </c>
      <c r="B392" s="2">
        <v>1040</v>
      </c>
      <c r="C392" s="123" t="s">
        <v>188</v>
      </c>
      <c r="D392" t="s">
        <v>3358</v>
      </c>
      <c r="E392" s="80" t="s">
        <v>3650</v>
      </c>
      <c r="F392" t="s">
        <v>3411</v>
      </c>
      <c r="G392" t="s">
        <v>3398</v>
      </c>
      <c r="H392" t="s">
        <v>3651</v>
      </c>
      <c r="I392" s="80" t="s">
        <v>3652</v>
      </c>
      <c r="J392" t="s">
        <v>3653</v>
      </c>
      <c r="K392" s="80" t="s">
        <v>3654</v>
      </c>
    </row>
    <row r="393" spans="1:11" x14ac:dyDescent="0.25">
      <c r="A393" s="123">
        <v>392</v>
      </c>
      <c r="B393" s="2">
        <v>1040</v>
      </c>
      <c r="C393" s="123" t="s">
        <v>182</v>
      </c>
      <c r="D393" t="s">
        <v>583</v>
      </c>
      <c r="E393" t="s">
        <v>3655</v>
      </c>
      <c r="F393" t="s">
        <v>583</v>
      </c>
      <c r="G393" t="s">
        <v>3545</v>
      </c>
      <c r="H393" t="s">
        <v>583</v>
      </c>
      <c r="I393" t="s">
        <v>3656</v>
      </c>
      <c r="J393" s="80" t="s">
        <v>3289</v>
      </c>
      <c r="K393" t="s">
        <v>3657</v>
      </c>
    </row>
    <row r="394" spans="1:11" x14ac:dyDescent="0.25">
      <c r="A394" s="123">
        <v>393</v>
      </c>
      <c r="B394" s="2">
        <v>1040</v>
      </c>
      <c r="C394" s="123" t="s">
        <v>184</v>
      </c>
      <c r="D394" t="s">
        <v>3614</v>
      </c>
      <c r="E394" t="s">
        <v>3658</v>
      </c>
      <c r="F394" t="s">
        <v>3659</v>
      </c>
      <c r="G394" t="s">
        <v>3316</v>
      </c>
      <c r="H394" t="s">
        <v>3660</v>
      </c>
      <c r="I394" s="80" t="s">
        <v>3661</v>
      </c>
      <c r="J394" t="s">
        <v>3662</v>
      </c>
      <c r="K394" t="s">
        <v>3663</v>
      </c>
    </row>
    <row r="395" spans="1:11" x14ac:dyDescent="0.25">
      <c r="A395" s="123">
        <v>394</v>
      </c>
      <c r="B395" s="2">
        <v>1040</v>
      </c>
      <c r="C395" s="123" t="s">
        <v>187</v>
      </c>
      <c r="D395" t="s">
        <v>3499</v>
      </c>
      <c r="E395" s="80" t="s">
        <v>3664</v>
      </c>
      <c r="F395" t="s">
        <v>3665</v>
      </c>
      <c r="G395" t="s">
        <v>3375</v>
      </c>
      <c r="H395" t="s">
        <v>3666</v>
      </c>
      <c r="I395" s="80" t="s">
        <v>3667</v>
      </c>
      <c r="J395" t="s">
        <v>3296</v>
      </c>
      <c r="K395" t="s">
        <v>3668</v>
      </c>
    </row>
    <row r="396" spans="1:11" x14ac:dyDescent="0.25">
      <c r="A396" s="123">
        <v>395</v>
      </c>
      <c r="B396" s="2">
        <v>1040</v>
      </c>
      <c r="C396" s="123" t="s">
        <v>189</v>
      </c>
      <c r="D396" t="s">
        <v>3313</v>
      </c>
      <c r="E396" t="s">
        <v>3669</v>
      </c>
      <c r="F396" t="s">
        <v>3670</v>
      </c>
      <c r="G396" t="s">
        <v>3265</v>
      </c>
      <c r="H396" t="s">
        <v>3671</v>
      </c>
      <c r="I396" s="80" t="s">
        <v>3672</v>
      </c>
      <c r="J396" t="s">
        <v>3407</v>
      </c>
      <c r="K396" t="s">
        <v>3673</v>
      </c>
    </row>
    <row r="397" spans="1:11" x14ac:dyDescent="0.25">
      <c r="A397" s="123">
        <v>396</v>
      </c>
      <c r="B397" s="2" t="s">
        <v>602</v>
      </c>
      <c r="C397" s="123" t="s">
        <v>162</v>
      </c>
      <c r="D397" t="s">
        <v>583</v>
      </c>
      <c r="E397" t="s">
        <v>3674</v>
      </c>
      <c r="F397" t="s">
        <v>583</v>
      </c>
      <c r="G397" t="s">
        <v>583</v>
      </c>
      <c r="H397" t="s">
        <v>3675</v>
      </c>
      <c r="I397" t="s">
        <v>2977</v>
      </c>
      <c r="J397" t="s">
        <v>583</v>
      </c>
      <c r="K397" t="s">
        <v>3676</v>
      </c>
    </row>
    <row r="398" spans="1:11" x14ac:dyDescent="0.25">
      <c r="A398" s="123">
        <v>397</v>
      </c>
      <c r="B398" s="2" t="s">
        <v>602</v>
      </c>
      <c r="C398" s="123" t="s">
        <v>170</v>
      </c>
      <c r="D398" t="s">
        <v>583</v>
      </c>
      <c r="E398" t="s">
        <v>3677</v>
      </c>
      <c r="F398" t="s">
        <v>3678</v>
      </c>
      <c r="G398" t="s">
        <v>3521</v>
      </c>
      <c r="H398" t="s">
        <v>3679</v>
      </c>
      <c r="I398" t="s">
        <v>3680</v>
      </c>
      <c r="J398" t="s">
        <v>583</v>
      </c>
      <c r="K398" t="s">
        <v>3681</v>
      </c>
    </row>
    <row r="399" spans="1:11" x14ac:dyDescent="0.25">
      <c r="A399" s="123">
        <v>398</v>
      </c>
      <c r="B399" s="2" t="s">
        <v>602</v>
      </c>
      <c r="C399" s="123" t="s">
        <v>178</v>
      </c>
      <c r="D399" t="s">
        <v>583</v>
      </c>
      <c r="E399" t="s">
        <v>3682</v>
      </c>
      <c r="F399" t="s">
        <v>2975</v>
      </c>
      <c r="G399" t="s">
        <v>3521</v>
      </c>
      <c r="H399" t="s">
        <v>3683</v>
      </c>
      <c r="I399" t="s">
        <v>3684</v>
      </c>
      <c r="J399" t="s">
        <v>583</v>
      </c>
      <c r="K399" t="s">
        <v>3685</v>
      </c>
    </row>
    <row r="400" spans="1:11" x14ac:dyDescent="0.25">
      <c r="A400" s="123">
        <v>399</v>
      </c>
      <c r="B400" s="2" t="s">
        <v>602</v>
      </c>
      <c r="C400" s="123" t="s">
        <v>163</v>
      </c>
      <c r="D400" t="s">
        <v>3313</v>
      </c>
      <c r="E400" s="80" t="s">
        <v>3686</v>
      </c>
      <c r="F400" t="s">
        <v>3091</v>
      </c>
      <c r="G400" t="s">
        <v>3687</v>
      </c>
      <c r="H400" t="s">
        <v>3688</v>
      </c>
      <c r="I400" t="s">
        <v>3689</v>
      </c>
      <c r="J400" t="s">
        <v>3662</v>
      </c>
      <c r="K400" t="s">
        <v>2761</v>
      </c>
    </row>
    <row r="401" spans="1:11" x14ac:dyDescent="0.25">
      <c r="A401" s="123">
        <v>400</v>
      </c>
      <c r="B401" s="2" t="s">
        <v>602</v>
      </c>
      <c r="C401" s="123" t="s">
        <v>181</v>
      </c>
      <c r="D401" t="s">
        <v>3313</v>
      </c>
      <c r="E401" s="80" t="s">
        <v>3690</v>
      </c>
      <c r="F401" t="s">
        <v>2760</v>
      </c>
      <c r="G401" t="s">
        <v>3691</v>
      </c>
      <c r="H401" t="s">
        <v>3692</v>
      </c>
      <c r="I401" t="s">
        <v>3693</v>
      </c>
      <c r="J401" t="s">
        <v>3377</v>
      </c>
      <c r="K401" t="s">
        <v>3694</v>
      </c>
    </row>
    <row r="402" spans="1:11" x14ac:dyDescent="0.25">
      <c r="A402" s="123">
        <v>401</v>
      </c>
      <c r="B402" s="2" t="s">
        <v>602</v>
      </c>
      <c r="C402" s="123" t="s">
        <v>183</v>
      </c>
      <c r="D402" t="s">
        <v>3629</v>
      </c>
      <c r="E402" s="80" t="s">
        <v>3695</v>
      </c>
      <c r="F402" t="s">
        <v>3696</v>
      </c>
      <c r="G402" t="s">
        <v>3281</v>
      </c>
      <c r="H402" t="s">
        <v>3697</v>
      </c>
      <c r="I402" s="80">
        <v>18434</v>
      </c>
      <c r="J402" t="s">
        <v>3698</v>
      </c>
      <c r="K402" t="s">
        <v>3699</v>
      </c>
    </row>
    <row r="403" spans="1:11" x14ac:dyDescent="0.25">
      <c r="A403" s="123">
        <v>402</v>
      </c>
      <c r="B403" s="2" t="s">
        <v>602</v>
      </c>
      <c r="C403" s="123" t="s">
        <v>186</v>
      </c>
      <c r="D403" t="s">
        <v>3447</v>
      </c>
      <c r="E403" s="80" t="s">
        <v>3700</v>
      </c>
      <c r="F403" t="s">
        <v>3701</v>
      </c>
      <c r="G403" t="s">
        <v>3331</v>
      </c>
      <c r="H403" s="80" t="s">
        <v>3702</v>
      </c>
      <c r="I403" s="80" t="s">
        <v>3703</v>
      </c>
      <c r="J403" t="s">
        <v>3445</v>
      </c>
      <c r="K403" s="80" t="s">
        <v>3704</v>
      </c>
    </row>
    <row r="404" spans="1:11" x14ac:dyDescent="0.25">
      <c r="A404" s="123">
        <v>403</v>
      </c>
      <c r="B404" s="2" t="s">
        <v>602</v>
      </c>
      <c r="C404" s="123" t="s">
        <v>188</v>
      </c>
      <c r="D404" t="s">
        <v>3344</v>
      </c>
      <c r="E404" s="80" t="s">
        <v>3705</v>
      </c>
      <c r="F404" t="s">
        <v>3706</v>
      </c>
      <c r="G404" t="s">
        <v>3551</v>
      </c>
      <c r="H404" t="s">
        <v>3707</v>
      </c>
      <c r="I404" t="s">
        <v>3708</v>
      </c>
      <c r="J404" t="s">
        <v>3565</v>
      </c>
      <c r="K404" t="s">
        <v>3709</v>
      </c>
    </row>
    <row r="405" spans="1:11" x14ac:dyDescent="0.25">
      <c r="A405" s="123">
        <v>404</v>
      </c>
      <c r="B405" s="2" t="s">
        <v>602</v>
      </c>
      <c r="C405" s="123" t="s">
        <v>182</v>
      </c>
      <c r="D405" t="s">
        <v>583</v>
      </c>
      <c r="E405" t="s">
        <v>3710</v>
      </c>
      <c r="F405" t="s">
        <v>583</v>
      </c>
      <c r="G405" t="s">
        <v>583</v>
      </c>
      <c r="H405" t="s">
        <v>583</v>
      </c>
      <c r="I405" t="s">
        <v>3711</v>
      </c>
      <c r="J405" s="80" t="s">
        <v>3289</v>
      </c>
      <c r="K405" t="s">
        <v>583</v>
      </c>
    </row>
    <row r="406" spans="1:11" x14ac:dyDescent="0.25">
      <c r="A406" s="123">
        <v>405</v>
      </c>
      <c r="B406" s="2" t="s">
        <v>602</v>
      </c>
      <c r="C406" s="123" t="s">
        <v>184</v>
      </c>
      <c r="D406" t="s">
        <v>3635</v>
      </c>
      <c r="E406" t="s">
        <v>3712</v>
      </c>
      <c r="F406" t="s">
        <v>3713</v>
      </c>
      <c r="G406" t="s">
        <v>3375</v>
      </c>
      <c r="H406" t="s">
        <v>3714</v>
      </c>
      <c r="I406" s="80" t="s">
        <v>3715</v>
      </c>
      <c r="J406" t="s">
        <v>3348</v>
      </c>
      <c r="K406" t="s">
        <v>3716</v>
      </c>
    </row>
    <row r="407" spans="1:11" x14ac:dyDescent="0.25">
      <c r="A407" s="123">
        <v>406</v>
      </c>
      <c r="B407" s="2" t="s">
        <v>602</v>
      </c>
      <c r="C407" s="123" t="s">
        <v>187</v>
      </c>
      <c r="D407" t="s">
        <v>3365</v>
      </c>
      <c r="E407" s="80" t="s">
        <v>3717</v>
      </c>
      <c r="F407" t="s">
        <v>3718</v>
      </c>
      <c r="G407" t="s">
        <v>3398</v>
      </c>
      <c r="H407" s="80" t="s">
        <v>3719</v>
      </c>
      <c r="I407" s="80" t="s">
        <v>3720</v>
      </c>
      <c r="J407" t="s">
        <v>3284</v>
      </c>
      <c r="K407" s="80" t="s">
        <v>3721</v>
      </c>
    </row>
    <row r="408" spans="1:11" x14ac:dyDescent="0.25">
      <c r="A408" s="123">
        <v>407</v>
      </c>
      <c r="B408" s="2" t="s">
        <v>602</v>
      </c>
      <c r="C408" s="123" t="s">
        <v>189</v>
      </c>
      <c r="D408" t="s">
        <v>3344</v>
      </c>
      <c r="E408" s="80" t="s">
        <v>3722</v>
      </c>
      <c r="F408" t="s">
        <v>3723</v>
      </c>
      <c r="G408" t="s">
        <v>3375</v>
      </c>
      <c r="H408" t="s">
        <v>3724</v>
      </c>
      <c r="I408" s="80" t="s">
        <v>3725</v>
      </c>
      <c r="J408" t="s">
        <v>3415</v>
      </c>
      <c r="K408" t="s">
        <v>3726</v>
      </c>
    </row>
    <row r="409" spans="1:11" x14ac:dyDescent="0.25">
      <c r="A409" s="123">
        <v>408</v>
      </c>
      <c r="B409" s="2" t="s">
        <v>603</v>
      </c>
      <c r="C409" s="123" t="s">
        <v>162</v>
      </c>
      <c r="D409" t="s">
        <v>3727</v>
      </c>
      <c r="E409" t="s">
        <v>3728</v>
      </c>
      <c r="F409" t="s">
        <v>3729</v>
      </c>
      <c r="G409" t="s">
        <v>3545</v>
      </c>
      <c r="H409" t="s">
        <v>3546</v>
      </c>
      <c r="I409" t="s">
        <v>2814</v>
      </c>
      <c r="J409" t="s">
        <v>3662</v>
      </c>
      <c r="K409" t="s">
        <v>3548</v>
      </c>
    </row>
    <row r="410" spans="1:11" x14ac:dyDescent="0.25">
      <c r="A410" s="123">
        <v>409</v>
      </c>
      <c r="B410" s="2" t="s">
        <v>603</v>
      </c>
      <c r="C410" s="123" t="s">
        <v>170</v>
      </c>
      <c r="D410">
        <v>47</v>
      </c>
      <c r="E410" t="s">
        <v>3730</v>
      </c>
      <c r="F410" t="s">
        <v>3731</v>
      </c>
      <c r="G410" t="s">
        <v>3691</v>
      </c>
      <c r="H410" t="s">
        <v>3732</v>
      </c>
      <c r="I410" s="80" t="s">
        <v>3733</v>
      </c>
      <c r="J410" t="s">
        <v>3502</v>
      </c>
      <c r="K410" t="s">
        <v>3734</v>
      </c>
    </row>
    <row r="411" spans="1:11" x14ac:dyDescent="0.25">
      <c r="A411" s="123">
        <v>410</v>
      </c>
      <c r="B411" s="2" t="s">
        <v>603</v>
      </c>
      <c r="C411" s="123" t="s">
        <v>178</v>
      </c>
      <c r="D411" t="s">
        <v>3735</v>
      </c>
      <c r="E411" t="s">
        <v>3736</v>
      </c>
      <c r="F411" t="s">
        <v>3737</v>
      </c>
      <c r="G411" t="s">
        <v>3265</v>
      </c>
      <c r="H411" t="s">
        <v>3738</v>
      </c>
      <c r="I411" s="80" t="s">
        <v>3739</v>
      </c>
      <c r="J411" t="s">
        <v>3740</v>
      </c>
      <c r="K411" t="s">
        <v>3741</v>
      </c>
    </row>
    <row r="412" spans="1:11" x14ac:dyDescent="0.25">
      <c r="A412" s="123">
        <v>411</v>
      </c>
      <c r="B412" s="2" t="s">
        <v>603</v>
      </c>
      <c r="C412" s="123" t="s">
        <v>163</v>
      </c>
      <c r="D412" t="s">
        <v>3344</v>
      </c>
      <c r="E412" s="80" t="s">
        <v>3742</v>
      </c>
      <c r="F412" t="s">
        <v>3743</v>
      </c>
      <c r="G412" t="s">
        <v>3551</v>
      </c>
      <c r="H412" t="s">
        <v>3744</v>
      </c>
      <c r="I412" t="s">
        <v>3745</v>
      </c>
      <c r="J412" t="s">
        <v>3434</v>
      </c>
      <c r="K412" t="s">
        <v>3746</v>
      </c>
    </row>
    <row r="413" spans="1:11" x14ac:dyDescent="0.25">
      <c r="A413" s="123">
        <v>412</v>
      </c>
      <c r="B413" s="2" t="s">
        <v>603</v>
      </c>
      <c r="C413" s="123" t="s">
        <v>181</v>
      </c>
      <c r="D413">
        <v>47</v>
      </c>
      <c r="E413" s="80" t="s">
        <v>3747</v>
      </c>
      <c r="F413" t="s">
        <v>3315</v>
      </c>
      <c r="G413" t="s">
        <v>3748</v>
      </c>
      <c r="H413" t="s">
        <v>3266</v>
      </c>
      <c r="I413" t="s">
        <v>3749</v>
      </c>
      <c r="J413" t="s">
        <v>3502</v>
      </c>
      <c r="K413" t="s">
        <v>3750</v>
      </c>
    </row>
    <row r="414" spans="1:11" x14ac:dyDescent="0.25">
      <c r="A414" s="123">
        <v>413</v>
      </c>
      <c r="B414" s="2" t="s">
        <v>603</v>
      </c>
      <c r="C414" s="123" t="s">
        <v>183</v>
      </c>
      <c r="D414" t="s">
        <v>3344</v>
      </c>
      <c r="E414" s="80" t="s">
        <v>3751</v>
      </c>
      <c r="F414" t="s">
        <v>3752</v>
      </c>
      <c r="G414" t="s">
        <v>3551</v>
      </c>
      <c r="H414" t="s">
        <v>3753</v>
      </c>
      <c r="I414" s="80" t="s">
        <v>3754</v>
      </c>
      <c r="J414" t="s">
        <v>3755</v>
      </c>
      <c r="K414" t="s">
        <v>3756</v>
      </c>
    </row>
    <row r="415" spans="1:11" x14ac:dyDescent="0.25">
      <c r="A415" s="123">
        <v>414</v>
      </c>
      <c r="B415" s="2" t="s">
        <v>603</v>
      </c>
      <c r="C415" s="123" t="s">
        <v>188</v>
      </c>
      <c r="D415" t="s">
        <v>3278</v>
      </c>
      <c r="E415" s="80" t="s">
        <v>3757</v>
      </c>
      <c r="F415" t="s">
        <v>3758</v>
      </c>
      <c r="G415" t="s">
        <v>3273</v>
      </c>
      <c r="H415" t="s">
        <v>3759</v>
      </c>
      <c r="I415" s="80" t="s">
        <v>3760</v>
      </c>
      <c r="J415" t="s">
        <v>3576</v>
      </c>
      <c r="K415" s="80" t="s">
        <v>3761</v>
      </c>
    </row>
    <row r="416" spans="1:11" x14ac:dyDescent="0.25">
      <c r="A416" s="123">
        <v>415</v>
      </c>
      <c r="B416" s="2" t="s">
        <v>603</v>
      </c>
      <c r="C416" s="123" t="s">
        <v>182</v>
      </c>
      <c r="D416" t="s">
        <v>583</v>
      </c>
      <c r="E416" t="s">
        <v>3762</v>
      </c>
      <c r="F416" t="s">
        <v>583</v>
      </c>
      <c r="G416" s="80" t="s">
        <v>3521</v>
      </c>
      <c r="H416" t="s">
        <v>3763</v>
      </c>
      <c r="I416" t="s">
        <v>3764</v>
      </c>
      <c r="J416" t="s">
        <v>583</v>
      </c>
      <c r="K416" t="s">
        <v>3765</v>
      </c>
    </row>
    <row r="417" spans="1:11" x14ac:dyDescent="0.25">
      <c r="A417" s="123">
        <v>416</v>
      </c>
      <c r="B417" s="2" t="s">
        <v>603</v>
      </c>
      <c r="C417" s="123" t="s">
        <v>184</v>
      </c>
      <c r="D417" t="s">
        <v>3766</v>
      </c>
      <c r="E417" t="s">
        <v>3767</v>
      </c>
      <c r="F417" t="s">
        <v>3768</v>
      </c>
      <c r="G417" t="s">
        <v>3404</v>
      </c>
      <c r="H417" t="s">
        <v>3769</v>
      </c>
      <c r="I417" s="80" t="s">
        <v>3770</v>
      </c>
      <c r="J417" t="s">
        <v>3502</v>
      </c>
      <c r="K417" t="s">
        <v>3771</v>
      </c>
    </row>
    <row r="418" spans="1:11" x14ac:dyDescent="0.25">
      <c r="A418" s="123">
        <v>417</v>
      </c>
      <c r="B418" s="2" t="s">
        <v>603</v>
      </c>
      <c r="C418" s="123" t="s">
        <v>187</v>
      </c>
      <c r="D418" t="s">
        <v>3772</v>
      </c>
      <c r="E418" t="s">
        <v>3773</v>
      </c>
      <c r="F418" t="s">
        <v>3774</v>
      </c>
      <c r="G418" t="s">
        <v>3316</v>
      </c>
      <c r="H418" s="80" t="s">
        <v>2516</v>
      </c>
      <c r="I418" s="80" t="s">
        <v>3775</v>
      </c>
      <c r="J418" t="s">
        <v>3755</v>
      </c>
      <c r="K418" t="s">
        <v>3776</v>
      </c>
    </row>
    <row r="419" spans="1:11" x14ac:dyDescent="0.25">
      <c r="A419" s="123">
        <v>418</v>
      </c>
      <c r="B419" s="2" t="s">
        <v>603</v>
      </c>
      <c r="C419" s="123" t="s">
        <v>189</v>
      </c>
      <c r="D419" t="s">
        <v>3777</v>
      </c>
      <c r="E419" t="s">
        <v>3778</v>
      </c>
      <c r="F419" t="s">
        <v>3779</v>
      </c>
      <c r="G419" t="s">
        <v>3780</v>
      </c>
      <c r="H419" t="s">
        <v>3781</v>
      </c>
      <c r="I419" s="80" t="s">
        <v>3782</v>
      </c>
      <c r="J419" t="s">
        <v>3783</v>
      </c>
      <c r="K419" t="s">
        <v>3784</v>
      </c>
    </row>
    <row r="420" spans="1:11" x14ac:dyDescent="0.25">
      <c r="A420" s="123">
        <v>419</v>
      </c>
      <c r="B420" s="2">
        <v>1041</v>
      </c>
      <c r="C420" s="123" t="s">
        <v>162</v>
      </c>
      <c r="D420">
        <v>15</v>
      </c>
      <c r="E420" t="s">
        <v>3785</v>
      </c>
      <c r="F420" t="s">
        <v>3786</v>
      </c>
      <c r="G420" t="s">
        <v>3545</v>
      </c>
      <c r="H420" t="s">
        <v>3546</v>
      </c>
      <c r="I420" t="s">
        <v>3787</v>
      </c>
      <c r="J420" t="s">
        <v>3788</v>
      </c>
      <c r="K420" t="s">
        <v>3789</v>
      </c>
    </row>
    <row r="421" spans="1:11" x14ac:dyDescent="0.25">
      <c r="A421" s="123">
        <v>420</v>
      </c>
      <c r="B421" s="2">
        <v>1041</v>
      </c>
      <c r="C421" s="123" t="s">
        <v>170</v>
      </c>
      <c r="D421" t="s">
        <v>3313</v>
      </c>
      <c r="E421" t="s">
        <v>3790</v>
      </c>
      <c r="F421" t="s">
        <v>3791</v>
      </c>
      <c r="G421" t="s">
        <v>3691</v>
      </c>
      <c r="H421" t="s">
        <v>3792</v>
      </c>
      <c r="I421" s="80" t="s">
        <v>3793</v>
      </c>
      <c r="J421" t="s">
        <v>3794</v>
      </c>
      <c r="K421" t="s">
        <v>3795</v>
      </c>
    </row>
    <row r="422" spans="1:11" x14ac:dyDescent="0.25">
      <c r="A422" s="123">
        <v>421</v>
      </c>
      <c r="B422" s="2">
        <v>1041</v>
      </c>
      <c r="C422" s="123" t="s">
        <v>178</v>
      </c>
      <c r="D422" t="s">
        <v>2665</v>
      </c>
      <c r="E422" s="80" t="s">
        <v>3796</v>
      </c>
      <c r="F422" t="s">
        <v>3797</v>
      </c>
      <c r="G422" t="s">
        <v>2339</v>
      </c>
      <c r="H422" t="s">
        <v>3798</v>
      </c>
      <c r="I422" s="80" t="s">
        <v>3799</v>
      </c>
      <c r="J422" t="s">
        <v>3415</v>
      </c>
      <c r="K422" t="s">
        <v>3800</v>
      </c>
    </row>
    <row r="423" spans="1:11" x14ac:dyDescent="0.25">
      <c r="A423" s="123">
        <v>422</v>
      </c>
      <c r="B423" s="2">
        <v>1041</v>
      </c>
      <c r="C423" s="123" t="s">
        <v>163</v>
      </c>
      <c r="D423" t="s">
        <v>2665</v>
      </c>
      <c r="E423" s="80" t="s">
        <v>3801</v>
      </c>
      <c r="F423" t="s">
        <v>3802</v>
      </c>
      <c r="G423" t="s">
        <v>2278</v>
      </c>
      <c r="H423" t="s">
        <v>3803</v>
      </c>
      <c r="I423" s="80" t="s">
        <v>3804</v>
      </c>
      <c r="J423" t="s">
        <v>3415</v>
      </c>
      <c r="K423" t="s">
        <v>3805</v>
      </c>
    </row>
    <row r="424" spans="1:11" x14ac:dyDescent="0.25">
      <c r="A424" s="123">
        <v>423</v>
      </c>
      <c r="B424" s="2">
        <v>1041</v>
      </c>
      <c r="C424" s="123" t="s">
        <v>181</v>
      </c>
      <c r="D424" t="s">
        <v>3806</v>
      </c>
      <c r="E424" s="80" t="s">
        <v>3807</v>
      </c>
      <c r="F424" t="s">
        <v>3808</v>
      </c>
      <c r="G424" t="s">
        <v>2333</v>
      </c>
      <c r="H424" t="s">
        <v>3809</v>
      </c>
      <c r="I424" t="s">
        <v>3810</v>
      </c>
      <c r="J424" t="s">
        <v>3811</v>
      </c>
      <c r="K424" t="s">
        <v>3812</v>
      </c>
    </row>
    <row r="425" spans="1:11" x14ac:dyDescent="0.25">
      <c r="A425" s="123">
        <v>424</v>
      </c>
      <c r="B425" s="2">
        <v>1041</v>
      </c>
      <c r="C425" s="123" t="s">
        <v>183</v>
      </c>
      <c r="D425" t="s">
        <v>2671</v>
      </c>
      <c r="E425" s="80" t="s">
        <v>3813</v>
      </c>
      <c r="F425" t="s">
        <v>3814</v>
      </c>
      <c r="G425" t="s">
        <v>3815</v>
      </c>
      <c r="H425" t="s">
        <v>3816</v>
      </c>
      <c r="I425" s="80" t="s">
        <v>3817</v>
      </c>
      <c r="J425" t="s">
        <v>3326</v>
      </c>
      <c r="K425" t="s">
        <v>3818</v>
      </c>
    </row>
    <row r="426" spans="1:11" x14ac:dyDescent="0.25">
      <c r="A426" s="123">
        <v>425</v>
      </c>
      <c r="B426" s="2">
        <v>1041</v>
      </c>
      <c r="C426" s="123" t="s">
        <v>186</v>
      </c>
      <c r="D426" t="s">
        <v>2291</v>
      </c>
      <c r="E426" s="80" t="s">
        <v>3819</v>
      </c>
      <c r="F426" t="s">
        <v>3820</v>
      </c>
      <c r="G426" t="s">
        <v>2444</v>
      </c>
      <c r="H426" s="80" t="s">
        <v>3821</v>
      </c>
      <c r="I426" s="80" t="s">
        <v>3822</v>
      </c>
      <c r="J426" t="s">
        <v>3653</v>
      </c>
      <c r="K426" s="80" t="s">
        <v>3823</v>
      </c>
    </row>
    <row r="427" spans="1:11" x14ac:dyDescent="0.25">
      <c r="A427" s="123">
        <v>426</v>
      </c>
      <c r="B427" s="2">
        <v>1041</v>
      </c>
      <c r="C427" s="123" t="s">
        <v>188</v>
      </c>
      <c r="D427" t="s">
        <v>2351</v>
      </c>
      <c r="E427" s="80" t="s">
        <v>3824</v>
      </c>
      <c r="F427" t="s">
        <v>3825</v>
      </c>
      <c r="G427" t="s">
        <v>2422</v>
      </c>
      <c r="H427" t="s">
        <v>3826</v>
      </c>
      <c r="I427" s="80" t="s">
        <v>3827</v>
      </c>
      <c r="J427" t="s">
        <v>3284</v>
      </c>
      <c r="K427" t="s">
        <v>3828</v>
      </c>
    </row>
    <row r="428" spans="1:11" x14ac:dyDescent="0.25">
      <c r="A428" s="123">
        <v>427</v>
      </c>
      <c r="B428" s="2">
        <v>1041</v>
      </c>
      <c r="C428" s="123" t="s">
        <v>182</v>
      </c>
      <c r="D428" t="s">
        <v>3829</v>
      </c>
      <c r="E428" t="s">
        <v>3830</v>
      </c>
      <c r="F428" t="s">
        <v>583</v>
      </c>
      <c r="G428" t="s">
        <v>2564</v>
      </c>
      <c r="H428" t="s">
        <v>3729</v>
      </c>
      <c r="I428" t="s">
        <v>3831</v>
      </c>
      <c r="J428" t="s">
        <v>3832</v>
      </c>
      <c r="K428" t="s">
        <v>2469</v>
      </c>
    </row>
    <row r="429" spans="1:11" x14ac:dyDescent="0.25">
      <c r="A429" s="123">
        <v>428</v>
      </c>
      <c r="B429" s="2">
        <v>1041</v>
      </c>
      <c r="C429" s="123" t="s">
        <v>184</v>
      </c>
      <c r="D429" t="s">
        <v>2858</v>
      </c>
      <c r="E429" s="80" t="s">
        <v>3833</v>
      </c>
      <c r="F429" t="s">
        <v>3834</v>
      </c>
      <c r="G429" t="s">
        <v>2473</v>
      </c>
      <c r="H429" t="s">
        <v>3835</v>
      </c>
      <c r="I429" s="80" t="s">
        <v>3836</v>
      </c>
      <c r="J429" t="s">
        <v>3296</v>
      </c>
      <c r="K429" t="s">
        <v>3837</v>
      </c>
    </row>
    <row r="430" spans="1:11" x14ac:dyDescent="0.25">
      <c r="A430" s="123">
        <v>429</v>
      </c>
      <c r="B430" s="2">
        <v>1041</v>
      </c>
      <c r="C430" s="123" t="s">
        <v>187</v>
      </c>
      <c r="D430" t="s">
        <v>3838</v>
      </c>
      <c r="E430" s="80" t="s">
        <v>3839</v>
      </c>
      <c r="F430" t="s">
        <v>3840</v>
      </c>
      <c r="G430" t="s">
        <v>2310</v>
      </c>
      <c r="H430" t="s">
        <v>3841</v>
      </c>
      <c r="I430" s="80" t="s">
        <v>3842</v>
      </c>
      <c r="J430" t="s">
        <v>3385</v>
      </c>
      <c r="K430" t="s">
        <v>3843</v>
      </c>
    </row>
    <row r="431" spans="1:11" x14ac:dyDescent="0.25">
      <c r="A431" s="123">
        <v>430</v>
      </c>
      <c r="B431" s="2">
        <v>1041</v>
      </c>
      <c r="C431" s="123" t="s">
        <v>189</v>
      </c>
      <c r="D431" t="s">
        <v>2412</v>
      </c>
      <c r="E431" s="80" t="s">
        <v>3844</v>
      </c>
      <c r="F431" t="s">
        <v>3845</v>
      </c>
      <c r="G431" t="s">
        <v>2488</v>
      </c>
      <c r="H431" t="s">
        <v>3846</v>
      </c>
      <c r="I431" s="80" t="s">
        <v>3847</v>
      </c>
      <c r="J431" t="s">
        <v>3848</v>
      </c>
      <c r="K431" t="s">
        <v>3849</v>
      </c>
    </row>
    <row r="432" spans="1:11" x14ac:dyDescent="0.25">
      <c r="A432" s="123">
        <v>431</v>
      </c>
      <c r="B432" s="2" t="s">
        <v>604</v>
      </c>
      <c r="C432" s="123" t="s">
        <v>162</v>
      </c>
      <c r="D432" t="s">
        <v>2839</v>
      </c>
      <c r="E432" s="80" t="s">
        <v>3850</v>
      </c>
      <c r="F432" t="s">
        <v>3851</v>
      </c>
      <c r="G432" t="s">
        <v>2415</v>
      </c>
      <c r="H432" t="s">
        <v>3478</v>
      </c>
      <c r="I432" t="s">
        <v>3852</v>
      </c>
      <c r="J432" t="s">
        <v>3853</v>
      </c>
      <c r="K432" t="s">
        <v>3854</v>
      </c>
    </row>
    <row r="433" spans="1:11" x14ac:dyDescent="0.25">
      <c r="A433" s="123">
        <v>432</v>
      </c>
      <c r="B433" s="2" t="s">
        <v>604</v>
      </c>
      <c r="C433" s="123" t="s">
        <v>170</v>
      </c>
      <c r="D433" t="s">
        <v>2635</v>
      </c>
      <c r="E433" s="80" t="s">
        <v>3855</v>
      </c>
      <c r="F433" t="s">
        <v>3856</v>
      </c>
      <c r="G433" t="s">
        <v>3857</v>
      </c>
      <c r="H433" t="s">
        <v>3858</v>
      </c>
      <c r="I433" s="80" t="s">
        <v>3859</v>
      </c>
      <c r="J433" t="s">
        <v>1704</v>
      </c>
      <c r="K433" t="s">
        <v>3860</v>
      </c>
    </row>
    <row r="434" spans="1:11" x14ac:dyDescent="0.25">
      <c r="A434" s="123">
        <v>433</v>
      </c>
      <c r="B434" s="2" t="s">
        <v>604</v>
      </c>
      <c r="C434" s="123" t="s">
        <v>178</v>
      </c>
      <c r="D434" t="s">
        <v>2506</v>
      </c>
      <c r="E434" s="80" t="s">
        <v>3861</v>
      </c>
      <c r="F434" t="s">
        <v>3862</v>
      </c>
      <c r="G434" t="s">
        <v>2339</v>
      </c>
      <c r="H434" s="80" t="s">
        <v>3863</v>
      </c>
      <c r="I434" s="80" t="s">
        <v>3864</v>
      </c>
      <c r="J434" t="s">
        <v>3576</v>
      </c>
      <c r="K434" t="s">
        <v>3865</v>
      </c>
    </row>
    <row r="435" spans="1:11" x14ac:dyDescent="0.25">
      <c r="A435" s="123">
        <v>434</v>
      </c>
      <c r="B435" s="2" t="s">
        <v>604</v>
      </c>
      <c r="C435" s="123" t="s">
        <v>163</v>
      </c>
      <c r="D435" t="s">
        <v>2419</v>
      </c>
      <c r="E435" s="80" t="s">
        <v>3866</v>
      </c>
      <c r="F435" t="s">
        <v>3867</v>
      </c>
      <c r="G435" t="s">
        <v>2286</v>
      </c>
      <c r="H435" t="s">
        <v>3868</v>
      </c>
      <c r="I435" s="80" t="s">
        <v>3869</v>
      </c>
      <c r="J435" t="s">
        <v>3870</v>
      </c>
      <c r="K435" s="80" t="s">
        <v>3871</v>
      </c>
    </row>
    <row r="436" spans="1:11" x14ac:dyDescent="0.25">
      <c r="A436" s="123">
        <v>435</v>
      </c>
      <c r="B436" s="2" t="s">
        <v>604</v>
      </c>
      <c r="C436" s="123" t="s">
        <v>181</v>
      </c>
      <c r="D436" t="s">
        <v>3872</v>
      </c>
      <c r="E436" s="80" t="s">
        <v>3873</v>
      </c>
      <c r="F436" t="s">
        <v>3874</v>
      </c>
      <c r="G436" t="s">
        <v>2278</v>
      </c>
      <c r="H436" t="s">
        <v>3875</v>
      </c>
      <c r="I436" t="s">
        <v>3876</v>
      </c>
      <c r="J436" t="s">
        <v>3326</v>
      </c>
      <c r="K436" t="s">
        <v>3877</v>
      </c>
    </row>
    <row r="437" spans="1:11" x14ac:dyDescent="0.25">
      <c r="A437" s="123">
        <v>436</v>
      </c>
      <c r="B437" s="2" t="s">
        <v>604</v>
      </c>
      <c r="C437" s="123" t="s">
        <v>183</v>
      </c>
      <c r="D437" t="s">
        <v>2845</v>
      </c>
      <c r="E437" t="s">
        <v>3878</v>
      </c>
      <c r="F437" t="s">
        <v>3879</v>
      </c>
      <c r="G437" t="s">
        <v>2422</v>
      </c>
      <c r="H437" t="s">
        <v>3880</v>
      </c>
      <c r="I437" s="80" t="s">
        <v>3881</v>
      </c>
      <c r="J437" t="s">
        <v>3882</v>
      </c>
      <c r="K437" t="s">
        <v>3883</v>
      </c>
    </row>
    <row r="438" spans="1:11" x14ac:dyDescent="0.25">
      <c r="A438" s="123">
        <v>437</v>
      </c>
      <c r="B438" s="2" t="s">
        <v>604</v>
      </c>
      <c r="C438" s="123" t="s">
        <v>186</v>
      </c>
      <c r="D438" t="s">
        <v>2845</v>
      </c>
      <c r="E438" t="s">
        <v>3884</v>
      </c>
      <c r="F438" t="s">
        <v>3885</v>
      </c>
      <c r="G438" t="s">
        <v>2422</v>
      </c>
      <c r="H438" s="80" t="s">
        <v>3886</v>
      </c>
      <c r="I438" s="80" t="s">
        <v>3887</v>
      </c>
      <c r="J438" t="s">
        <v>3888</v>
      </c>
      <c r="K438" s="80" t="s">
        <v>3889</v>
      </c>
    </row>
    <row r="439" spans="1:11" x14ac:dyDescent="0.25">
      <c r="A439" s="123">
        <v>438</v>
      </c>
      <c r="B439" s="2" t="s">
        <v>604</v>
      </c>
      <c r="C439" s="123" t="s">
        <v>188</v>
      </c>
      <c r="D439" t="s">
        <v>2398</v>
      </c>
      <c r="E439" s="80" t="s">
        <v>3890</v>
      </c>
      <c r="F439" t="s">
        <v>3891</v>
      </c>
      <c r="G439" t="s">
        <v>2286</v>
      </c>
      <c r="H439" t="s">
        <v>3892</v>
      </c>
      <c r="I439" s="80" t="s">
        <v>3893</v>
      </c>
      <c r="J439" t="s">
        <v>3894</v>
      </c>
      <c r="K439" s="80" t="s">
        <v>3895</v>
      </c>
    </row>
    <row r="440" spans="1:11" x14ac:dyDescent="0.25">
      <c r="A440" s="123">
        <v>439</v>
      </c>
      <c r="B440" s="2" t="s">
        <v>604</v>
      </c>
      <c r="C440" s="123" t="s">
        <v>182</v>
      </c>
      <c r="D440" s="80" t="s">
        <v>2380</v>
      </c>
      <c r="E440" t="s">
        <v>2881</v>
      </c>
      <c r="F440" t="s">
        <v>3896</v>
      </c>
      <c r="G440" t="s">
        <v>3897</v>
      </c>
      <c r="H440" t="s">
        <v>3898</v>
      </c>
      <c r="I440" t="s">
        <v>3899</v>
      </c>
      <c r="J440" t="s">
        <v>583</v>
      </c>
      <c r="K440" t="s">
        <v>2664</v>
      </c>
    </row>
    <row r="441" spans="1:11" x14ac:dyDescent="0.25">
      <c r="A441" s="123">
        <v>440</v>
      </c>
      <c r="B441" s="2" t="s">
        <v>604</v>
      </c>
      <c r="C441" s="123" t="s">
        <v>184</v>
      </c>
      <c r="D441" t="s">
        <v>2344</v>
      </c>
      <c r="E441" t="s">
        <v>3900</v>
      </c>
      <c r="F441" t="s">
        <v>3901</v>
      </c>
      <c r="G441" t="s">
        <v>2339</v>
      </c>
      <c r="H441" s="80" t="s">
        <v>3902</v>
      </c>
      <c r="I441" s="80" t="s">
        <v>3903</v>
      </c>
      <c r="J441" t="s">
        <v>3508</v>
      </c>
      <c r="K441" t="s">
        <v>3904</v>
      </c>
    </row>
    <row r="442" spans="1:11" x14ac:dyDescent="0.25">
      <c r="A442" s="123">
        <v>441</v>
      </c>
      <c r="B442" s="2" t="s">
        <v>604</v>
      </c>
      <c r="C442" s="123" t="s">
        <v>187</v>
      </c>
      <c r="D442" t="s">
        <v>3905</v>
      </c>
      <c r="E442" t="s">
        <v>3906</v>
      </c>
      <c r="F442" t="s">
        <v>3907</v>
      </c>
      <c r="G442" t="s">
        <v>2430</v>
      </c>
      <c r="H442" s="80" t="s">
        <v>3908</v>
      </c>
      <c r="I442" s="80" t="s">
        <v>3909</v>
      </c>
      <c r="J442" t="s">
        <v>3469</v>
      </c>
      <c r="K442" s="80" t="s">
        <v>3910</v>
      </c>
    </row>
    <row r="443" spans="1:11" x14ac:dyDescent="0.25">
      <c r="A443" s="123">
        <v>442</v>
      </c>
      <c r="B443" s="2" t="s">
        <v>604</v>
      </c>
      <c r="C443" s="123" t="s">
        <v>189</v>
      </c>
      <c r="D443" t="s">
        <v>3911</v>
      </c>
      <c r="E443" t="s">
        <v>3912</v>
      </c>
      <c r="F443" t="s">
        <v>3913</v>
      </c>
      <c r="G443" t="s">
        <v>2422</v>
      </c>
      <c r="H443" s="80" t="s">
        <v>3914</v>
      </c>
      <c r="I443" s="80" t="s">
        <v>3915</v>
      </c>
      <c r="J443" t="s">
        <v>3916</v>
      </c>
      <c r="K443" s="80" t="s">
        <v>3917</v>
      </c>
    </row>
    <row r="444" spans="1:11" x14ac:dyDescent="0.25">
      <c r="A444" s="123">
        <v>443</v>
      </c>
      <c r="B444" s="2" t="s">
        <v>270</v>
      </c>
      <c r="C444" s="123" t="s">
        <v>162</v>
      </c>
      <c r="D444" t="s">
        <v>2950</v>
      </c>
      <c r="E444" t="s">
        <v>3918</v>
      </c>
      <c r="F444" t="s">
        <v>2331</v>
      </c>
      <c r="G444" t="s">
        <v>3919</v>
      </c>
      <c r="H444" t="s">
        <v>3729</v>
      </c>
      <c r="I444" t="s">
        <v>3920</v>
      </c>
      <c r="J444" t="s">
        <v>3921</v>
      </c>
      <c r="K444" t="s">
        <v>1597</v>
      </c>
    </row>
    <row r="445" spans="1:11" x14ac:dyDescent="0.25">
      <c r="A445" s="123">
        <v>444</v>
      </c>
      <c r="B445" s="2" t="s">
        <v>270</v>
      </c>
      <c r="C445" s="123" t="s">
        <v>170</v>
      </c>
      <c r="D445" t="s">
        <v>2499</v>
      </c>
      <c r="E445" t="s">
        <v>3922</v>
      </c>
      <c r="F445" t="s">
        <v>3923</v>
      </c>
      <c r="G445" t="s">
        <v>2564</v>
      </c>
      <c r="H445" t="s">
        <v>3924</v>
      </c>
      <c r="I445" s="80" t="s">
        <v>3925</v>
      </c>
      <c r="J445" t="s">
        <v>3794</v>
      </c>
      <c r="K445" t="s">
        <v>3926</v>
      </c>
    </row>
    <row r="446" spans="1:11" x14ac:dyDescent="0.25">
      <c r="A446" s="123">
        <v>445</v>
      </c>
      <c r="B446" s="2" t="s">
        <v>270</v>
      </c>
      <c r="C446" s="123" t="s">
        <v>178</v>
      </c>
      <c r="D446" t="s">
        <v>2499</v>
      </c>
      <c r="E446" t="s">
        <v>3927</v>
      </c>
      <c r="F446" t="s">
        <v>3928</v>
      </c>
      <c r="G446" t="s">
        <v>3929</v>
      </c>
      <c r="H446" t="s">
        <v>3930</v>
      </c>
      <c r="I446" s="80" t="s">
        <v>3931</v>
      </c>
      <c r="J446" t="s">
        <v>3811</v>
      </c>
      <c r="K446" t="s">
        <v>3932</v>
      </c>
    </row>
    <row r="447" spans="1:11" x14ac:dyDescent="0.25">
      <c r="A447" s="123">
        <v>446</v>
      </c>
      <c r="B447" s="2" t="s">
        <v>270</v>
      </c>
      <c r="C447" s="123" t="s">
        <v>163</v>
      </c>
      <c r="D447" t="s">
        <v>2412</v>
      </c>
      <c r="E447" t="s">
        <v>3933</v>
      </c>
      <c r="F447" t="s">
        <v>3934</v>
      </c>
      <c r="G447" t="s">
        <v>2339</v>
      </c>
      <c r="H447" t="s">
        <v>3935</v>
      </c>
      <c r="I447" s="80" t="s">
        <v>3936</v>
      </c>
      <c r="J447" t="s">
        <v>3326</v>
      </c>
      <c r="K447" s="80" t="s">
        <v>3937</v>
      </c>
    </row>
    <row r="448" spans="1:11" x14ac:dyDescent="0.25">
      <c r="A448" s="123">
        <v>447</v>
      </c>
      <c r="B448" s="2" t="s">
        <v>270</v>
      </c>
      <c r="C448" s="123" t="s">
        <v>181</v>
      </c>
      <c r="D448" t="s">
        <v>3938</v>
      </c>
      <c r="E448" t="s">
        <v>3939</v>
      </c>
      <c r="F448" t="s">
        <v>583</v>
      </c>
      <c r="G448" t="s">
        <v>3940</v>
      </c>
      <c r="H448" t="s">
        <v>3941</v>
      </c>
      <c r="I448" t="s">
        <v>3942</v>
      </c>
      <c r="J448" t="s">
        <v>3921</v>
      </c>
      <c r="K448" t="s">
        <v>3943</v>
      </c>
    </row>
    <row r="449" spans="1:11" x14ac:dyDescent="0.25">
      <c r="A449" s="123">
        <v>448</v>
      </c>
      <c r="B449" s="2" t="s">
        <v>270</v>
      </c>
      <c r="C449" s="123" t="s">
        <v>183</v>
      </c>
      <c r="D449" t="s">
        <v>2858</v>
      </c>
      <c r="E449" t="s">
        <v>3944</v>
      </c>
      <c r="F449" t="s">
        <v>3945</v>
      </c>
      <c r="G449" t="s">
        <v>3946</v>
      </c>
      <c r="H449" t="s">
        <v>3947</v>
      </c>
      <c r="I449" s="80" t="s">
        <v>3948</v>
      </c>
      <c r="J449" t="s">
        <v>3740</v>
      </c>
      <c r="K449" t="s">
        <v>3949</v>
      </c>
    </row>
    <row r="450" spans="1:11" x14ac:dyDescent="0.25">
      <c r="A450" s="123">
        <v>449</v>
      </c>
      <c r="B450" s="2" t="s">
        <v>270</v>
      </c>
      <c r="C450" s="123" t="s">
        <v>186</v>
      </c>
      <c r="D450" t="s">
        <v>3017</v>
      </c>
      <c r="E450" t="s">
        <v>3950</v>
      </c>
      <c r="F450" t="s">
        <v>3951</v>
      </c>
      <c r="G450" t="s">
        <v>2430</v>
      </c>
      <c r="H450" t="s">
        <v>3952</v>
      </c>
      <c r="I450" s="80" t="s">
        <v>3953</v>
      </c>
      <c r="J450" t="s">
        <v>3576</v>
      </c>
      <c r="K450" t="s">
        <v>3954</v>
      </c>
    </row>
    <row r="451" spans="1:11" x14ac:dyDescent="0.25">
      <c r="A451" s="123">
        <v>450</v>
      </c>
      <c r="B451" s="2" t="s">
        <v>270</v>
      </c>
      <c r="C451" s="123" t="s">
        <v>188</v>
      </c>
      <c r="D451" t="s">
        <v>2412</v>
      </c>
      <c r="E451" t="s">
        <v>3955</v>
      </c>
      <c r="F451" t="s">
        <v>3956</v>
      </c>
      <c r="G451" t="s">
        <v>2278</v>
      </c>
      <c r="H451" t="s">
        <v>3957</v>
      </c>
      <c r="I451" s="80" t="s">
        <v>3958</v>
      </c>
      <c r="J451" t="s">
        <v>3959</v>
      </c>
      <c r="K451" s="80" t="s">
        <v>3960</v>
      </c>
    </row>
    <row r="452" spans="1:11" x14ac:dyDescent="0.25">
      <c r="A452" s="123">
        <v>451</v>
      </c>
      <c r="B452" s="2" t="s">
        <v>270</v>
      </c>
      <c r="C452" s="123" t="s">
        <v>182</v>
      </c>
      <c r="D452" t="s">
        <v>2331</v>
      </c>
      <c r="E452" t="s">
        <v>3961</v>
      </c>
      <c r="F452" t="s">
        <v>583</v>
      </c>
      <c r="G452" t="s">
        <v>2553</v>
      </c>
      <c r="H452" t="s">
        <v>3898</v>
      </c>
      <c r="I452" t="s">
        <v>1740</v>
      </c>
      <c r="J452" t="s">
        <v>3921</v>
      </c>
      <c r="K452" t="s">
        <v>2664</v>
      </c>
    </row>
    <row r="453" spans="1:11" x14ac:dyDescent="0.25">
      <c r="A453" s="123">
        <v>452</v>
      </c>
      <c r="B453" s="2" t="s">
        <v>270</v>
      </c>
      <c r="C453" s="123" t="s">
        <v>184</v>
      </c>
      <c r="D453" t="s">
        <v>2858</v>
      </c>
      <c r="E453" s="80" t="s">
        <v>3962</v>
      </c>
      <c r="F453" t="s">
        <v>3963</v>
      </c>
      <c r="G453" t="s">
        <v>2422</v>
      </c>
      <c r="H453" t="s">
        <v>3964</v>
      </c>
      <c r="I453" s="80" t="s">
        <v>3965</v>
      </c>
      <c r="J453" t="s">
        <v>3966</v>
      </c>
      <c r="K453" t="s">
        <v>2114</v>
      </c>
    </row>
    <row r="454" spans="1:11" x14ac:dyDescent="0.25">
      <c r="A454" s="123">
        <v>453</v>
      </c>
      <c r="B454" s="2" t="s">
        <v>270</v>
      </c>
      <c r="C454" s="123" t="s">
        <v>187</v>
      </c>
      <c r="D454" t="s">
        <v>2336</v>
      </c>
      <c r="E454" s="80" t="s">
        <v>3967</v>
      </c>
      <c r="F454" t="s">
        <v>3968</v>
      </c>
      <c r="G454" t="s">
        <v>2695</v>
      </c>
      <c r="H454" t="s">
        <v>3969</v>
      </c>
      <c r="I454" s="80" t="s">
        <v>3970</v>
      </c>
      <c r="J454" t="s">
        <v>3971</v>
      </c>
      <c r="K454" t="s">
        <v>3972</v>
      </c>
    </row>
    <row r="455" spans="1:11" x14ac:dyDescent="0.25">
      <c r="A455" s="123">
        <v>454</v>
      </c>
      <c r="B455" s="2" t="s">
        <v>270</v>
      </c>
      <c r="C455" s="123" t="s">
        <v>189</v>
      </c>
      <c r="D455" t="s">
        <v>3973</v>
      </c>
      <c r="E455" t="s">
        <v>3974</v>
      </c>
      <c r="F455" t="s">
        <v>3975</v>
      </c>
      <c r="G455" t="s">
        <v>2339</v>
      </c>
      <c r="H455" t="s">
        <v>3976</v>
      </c>
      <c r="I455" s="80" t="s">
        <v>3977</v>
      </c>
      <c r="J455" t="s">
        <v>3978</v>
      </c>
      <c r="K455" t="s">
        <v>3979</v>
      </c>
    </row>
    <row r="456" spans="1:11" x14ac:dyDescent="0.25">
      <c r="A456" s="123">
        <v>455</v>
      </c>
      <c r="B456" s="2">
        <v>1021</v>
      </c>
      <c r="C456" s="123" t="s">
        <v>162</v>
      </c>
      <c r="D456" t="s">
        <v>2499</v>
      </c>
      <c r="E456" s="80" t="s">
        <v>3980</v>
      </c>
      <c r="F456" t="s">
        <v>3981</v>
      </c>
      <c r="G456" t="s">
        <v>2553</v>
      </c>
      <c r="H456" t="s">
        <v>3982</v>
      </c>
      <c r="I456" t="s">
        <v>3983</v>
      </c>
      <c r="J456" t="s">
        <v>3502</v>
      </c>
      <c r="K456" t="s">
        <v>3984</v>
      </c>
    </row>
    <row r="457" spans="1:11" x14ac:dyDescent="0.25">
      <c r="A457" s="123">
        <v>456</v>
      </c>
      <c r="B457" s="2">
        <v>1021</v>
      </c>
      <c r="C457" s="123" t="s">
        <v>170</v>
      </c>
      <c r="D457" t="s">
        <v>2665</v>
      </c>
      <c r="E457" s="80" t="s">
        <v>3985</v>
      </c>
      <c r="F457" t="s">
        <v>3986</v>
      </c>
      <c r="G457" t="s">
        <v>2473</v>
      </c>
      <c r="H457" t="s">
        <v>3987</v>
      </c>
      <c r="I457" s="80" t="s">
        <v>3988</v>
      </c>
      <c r="J457" t="s">
        <v>3612</v>
      </c>
      <c r="K457" t="s">
        <v>3989</v>
      </c>
    </row>
    <row r="458" spans="1:11" x14ac:dyDescent="0.25">
      <c r="A458" s="123">
        <v>457</v>
      </c>
      <c r="B458" s="2">
        <v>1021</v>
      </c>
      <c r="C458" s="123" t="s">
        <v>178</v>
      </c>
      <c r="D458" t="s">
        <v>3990</v>
      </c>
      <c r="E458" s="80" t="s">
        <v>3991</v>
      </c>
      <c r="F458" t="s">
        <v>3992</v>
      </c>
      <c r="G458" t="s">
        <v>3993</v>
      </c>
      <c r="H458" s="80" t="s">
        <v>3994</v>
      </c>
      <c r="I458" s="80">
        <v>34533</v>
      </c>
      <c r="J458" t="s">
        <v>3995</v>
      </c>
      <c r="K458" t="s">
        <v>3996</v>
      </c>
    </row>
    <row r="459" spans="1:11" x14ac:dyDescent="0.25">
      <c r="A459" s="123">
        <v>458</v>
      </c>
      <c r="B459" s="2">
        <v>1021</v>
      </c>
      <c r="C459" s="123" t="s">
        <v>163</v>
      </c>
      <c r="D459" t="s">
        <v>2713</v>
      </c>
      <c r="E459" s="80" t="s">
        <v>3997</v>
      </c>
      <c r="F459" t="s">
        <v>3998</v>
      </c>
      <c r="G459" t="s">
        <v>2310</v>
      </c>
      <c r="H459" t="s">
        <v>3999</v>
      </c>
      <c r="I459" s="80" t="s">
        <v>4000</v>
      </c>
      <c r="J459" t="s">
        <v>4001</v>
      </c>
      <c r="K459" s="80" t="s">
        <v>4002</v>
      </c>
    </row>
    <row r="460" spans="1:11" x14ac:dyDescent="0.25">
      <c r="A460" s="123">
        <v>459</v>
      </c>
      <c r="B460" s="2">
        <v>1021</v>
      </c>
      <c r="C460" s="123" t="s">
        <v>181</v>
      </c>
      <c r="D460" t="s">
        <v>2845</v>
      </c>
      <c r="E460" s="80" t="s">
        <v>4003</v>
      </c>
      <c r="F460" t="s">
        <v>4004</v>
      </c>
      <c r="G460" t="s">
        <v>2278</v>
      </c>
      <c r="H460" t="s">
        <v>4005</v>
      </c>
      <c r="I460" t="s">
        <v>4006</v>
      </c>
      <c r="J460" t="s">
        <v>4007</v>
      </c>
      <c r="K460" t="s">
        <v>4008</v>
      </c>
    </row>
    <row r="461" spans="1:11" x14ac:dyDescent="0.25">
      <c r="A461" s="123">
        <v>460</v>
      </c>
      <c r="B461" s="2">
        <v>1021</v>
      </c>
      <c r="C461" s="123" t="s">
        <v>183</v>
      </c>
      <c r="D461" t="s">
        <v>2398</v>
      </c>
      <c r="E461" s="80" t="s">
        <v>3839</v>
      </c>
      <c r="F461" t="s">
        <v>4009</v>
      </c>
      <c r="G461" t="s">
        <v>2326</v>
      </c>
      <c r="H461" t="s">
        <v>4010</v>
      </c>
      <c r="I461" s="80" t="s">
        <v>4011</v>
      </c>
      <c r="J461" t="s">
        <v>3393</v>
      </c>
      <c r="K461" s="80" t="s">
        <v>4012</v>
      </c>
    </row>
    <row r="462" spans="1:11" x14ac:dyDescent="0.25">
      <c r="A462" s="123">
        <v>461</v>
      </c>
      <c r="B462" s="2">
        <v>1021</v>
      </c>
      <c r="C462" s="123" t="s">
        <v>186</v>
      </c>
      <c r="D462" t="s">
        <v>2315</v>
      </c>
      <c r="E462" s="80" t="s">
        <v>4013</v>
      </c>
      <c r="F462" t="s">
        <v>4014</v>
      </c>
      <c r="G462" t="s">
        <v>2393</v>
      </c>
      <c r="H462" s="80" t="s">
        <v>4015</v>
      </c>
      <c r="I462" s="80" t="s">
        <v>4016</v>
      </c>
      <c r="J462" t="s">
        <v>4001</v>
      </c>
      <c r="K462" s="80" t="s">
        <v>4017</v>
      </c>
    </row>
    <row r="463" spans="1:11" x14ac:dyDescent="0.25">
      <c r="A463" s="123">
        <v>462</v>
      </c>
      <c r="B463" s="2">
        <v>1021</v>
      </c>
      <c r="C463" s="123" t="s">
        <v>188</v>
      </c>
      <c r="D463" t="s">
        <v>2789</v>
      </c>
      <c r="E463" s="80" t="s">
        <v>4018</v>
      </c>
      <c r="F463" t="s">
        <v>4019</v>
      </c>
      <c r="G463" t="s">
        <v>4020</v>
      </c>
      <c r="H463" s="80" t="s">
        <v>4021</v>
      </c>
      <c r="I463" s="80" t="s">
        <v>4022</v>
      </c>
      <c r="J463" t="s">
        <v>4023</v>
      </c>
      <c r="K463" s="80" t="s">
        <v>4024</v>
      </c>
    </row>
    <row r="464" spans="1:11" x14ac:dyDescent="0.25">
      <c r="A464" s="123">
        <v>463</v>
      </c>
      <c r="B464" s="2">
        <v>1021</v>
      </c>
      <c r="C464" s="123" t="s">
        <v>182</v>
      </c>
      <c r="D464" t="s">
        <v>2950</v>
      </c>
      <c r="E464" t="s">
        <v>4025</v>
      </c>
      <c r="F464" t="s">
        <v>4026</v>
      </c>
      <c r="G464" t="s">
        <v>3940</v>
      </c>
      <c r="H464" t="s">
        <v>3763</v>
      </c>
      <c r="I464" t="s">
        <v>4027</v>
      </c>
      <c r="J464" t="s">
        <v>583</v>
      </c>
      <c r="K464" s="80" t="s">
        <v>2549</v>
      </c>
    </row>
    <row r="465" spans="1:11" x14ac:dyDescent="0.25">
      <c r="A465" s="123">
        <v>464</v>
      </c>
      <c r="B465" s="2">
        <v>1021</v>
      </c>
      <c r="C465" s="123" t="s">
        <v>184</v>
      </c>
      <c r="D465" t="s">
        <v>4028</v>
      </c>
      <c r="E465" t="s">
        <v>4029</v>
      </c>
      <c r="F465" t="s">
        <v>4030</v>
      </c>
      <c r="G465" t="s">
        <v>3946</v>
      </c>
      <c r="H465" t="s">
        <v>4031</v>
      </c>
      <c r="I465" s="80" t="s">
        <v>4032</v>
      </c>
      <c r="J465" t="s">
        <v>3612</v>
      </c>
      <c r="K465" t="s">
        <v>4033</v>
      </c>
    </row>
    <row r="466" spans="1:11" x14ac:dyDescent="0.25">
      <c r="A466" s="123">
        <v>465</v>
      </c>
      <c r="B466" s="2">
        <v>1021</v>
      </c>
      <c r="C466" s="123" t="s">
        <v>187</v>
      </c>
      <c r="D466" t="s">
        <v>2845</v>
      </c>
      <c r="E466" s="80" t="s">
        <v>4034</v>
      </c>
      <c r="F466" t="s">
        <v>4035</v>
      </c>
      <c r="G466" t="s">
        <v>2695</v>
      </c>
      <c r="H466" s="80" t="s">
        <v>4036</v>
      </c>
      <c r="I466" s="80" t="s">
        <v>4037</v>
      </c>
      <c r="J466" t="s">
        <v>3959</v>
      </c>
      <c r="K466" t="s">
        <v>4038</v>
      </c>
    </row>
    <row r="467" spans="1:11" x14ac:dyDescent="0.25">
      <c r="A467" s="123">
        <v>466</v>
      </c>
      <c r="B467" s="2">
        <v>1021</v>
      </c>
      <c r="C467" s="123" t="s">
        <v>189</v>
      </c>
      <c r="D467" t="s">
        <v>2671</v>
      </c>
      <c r="E467" s="80" t="s">
        <v>4039</v>
      </c>
      <c r="F467" t="s">
        <v>4040</v>
      </c>
      <c r="G467" t="s">
        <v>2695</v>
      </c>
      <c r="H467" t="s">
        <v>4041</v>
      </c>
      <c r="I467" s="80" t="s">
        <v>4042</v>
      </c>
      <c r="J467" t="s">
        <v>4007</v>
      </c>
      <c r="K467" t="s">
        <v>4043</v>
      </c>
    </row>
    <row r="468" spans="1:11" x14ac:dyDescent="0.25">
      <c r="A468" s="123">
        <v>467</v>
      </c>
      <c r="B468" s="2" t="s">
        <v>605</v>
      </c>
      <c r="C468" s="123" t="s">
        <v>162</v>
      </c>
      <c r="D468" t="s">
        <v>2336</v>
      </c>
      <c r="E468" s="80" t="s">
        <v>4044</v>
      </c>
      <c r="F468" t="s">
        <v>3851</v>
      </c>
      <c r="G468" t="s">
        <v>2473</v>
      </c>
      <c r="H468" t="s">
        <v>4045</v>
      </c>
      <c r="I468" t="s">
        <v>4046</v>
      </c>
      <c r="J468" t="s">
        <v>3978</v>
      </c>
      <c r="K468" t="s">
        <v>4047</v>
      </c>
    </row>
    <row r="469" spans="1:11" x14ac:dyDescent="0.25">
      <c r="A469" s="123">
        <v>468</v>
      </c>
      <c r="B469" s="2" t="s">
        <v>605</v>
      </c>
      <c r="C469" s="123" t="s">
        <v>170</v>
      </c>
      <c r="D469" t="s">
        <v>2351</v>
      </c>
      <c r="E469" s="80" t="s">
        <v>4048</v>
      </c>
      <c r="F469" t="s">
        <v>4049</v>
      </c>
      <c r="G469" t="s">
        <v>2695</v>
      </c>
      <c r="H469" t="s">
        <v>4050</v>
      </c>
      <c r="I469" s="80" t="s">
        <v>4051</v>
      </c>
      <c r="J469" t="s">
        <v>4052</v>
      </c>
      <c r="K469" t="s">
        <v>4053</v>
      </c>
    </row>
    <row r="470" spans="1:11" x14ac:dyDescent="0.25">
      <c r="A470" s="123">
        <v>469</v>
      </c>
      <c r="B470" s="2" t="s">
        <v>605</v>
      </c>
      <c r="C470" s="123" t="s">
        <v>178</v>
      </c>
      <c r="D470" t="s">
        <v>3078</v>
      </c>
      <c r="E470" s="80" t="s">
        <v>4054</v>
      </c>
      <c r="F470" s="80" t="s">
        <v>4055</v>
      </c>
      <c r="G470" t="s">
        <v>2444</v>
      </c>
      <c r="H470" s="80" t="s">
        <v>4056</v>
      </c>
      <c r="I470" s="80" t="s">
        <v>4057</v>
      </c>
      <c r="J470" t="s">
        <v>3653</v>
      </c>
      <c r="K470" t="s">
        <v>4058</v>
      </c>
    </row>
    <row r="471" spans="1:11" x14ac:dyDescent="0.25">
      <c r="A471" s="123">
        <v>470</v>
      </c>
      <c r="B471" s="2" t="s">
        <v>605</v>
      </c>
      <c r="C471" s="123" t="s">
        <v>163</v>
      </c>
      <c r="D471" t="s">
        <v>4059</v>
      </c>
      <c r="E471" s="80" t="s">
        <v>4060</v>
      </c>
      <c r="F471" t="s">
        <v>4061</v>
      </c>
      <c r="G471" t="s">
        <v>2600</v>
      </c>
      <c r="H471" s="80" t="s">
        <v>4062</v>
      </c>
      <c r="I471" s="80" t="s">
        <v>4063</v>
      </c>
      <c r="J471" t="s">
        <v>3513</v>
      </c>
      <c r="K471" s="80" t="s">
        <v>4064</v>
      </c>
    </row>
    <row r="472" spans="1:11" x14ac:dyDescent="0.25">
      <c r="A472" s="123">
        <v>471</v>
      </c>
      <c r="B472" s="2" t="s">
        <v>605</v>
      </c>
      <c r="C472" s="123" t="s">
        <v>181</v>
      </c>
      <c r="D472" t="s">
        <v>2858</v>
      </c>
      <c r="E472" s="80" t="s">
        <v>4065</v>
      </c>
      <c r="F472" t="s">
        <v>2097</v>
      </c>
      <c r="G472" t="s">
        <v>2333</v>
      </c>
      <c r="H472" t="s">
        <v>3941</v>
      </c>
      <c r="I472">
        <v>545</v>
      </c>
      <c r="J472" t="s">
        <v>3612</v>
      </c>
      <c r="K472" t="s">
        <v>4066</v>
      </c>
    </row>
    <row r="473" spans="1:11" x14ac:dyDescent="0.25">
      <c r="A473" s="123">
        <v>472</v>
      </c>
      <c r="B473" s="2" t="s">
        <v>605</v>
      </c>
      <c r="C473" s="123" t="s">
        <v>183</v>
      </c>
      <c r="D473" t="s">
        <v>2867</v>
      </c>
      <c r="E473" s="80" t="s">
        <v>4067</v>
      </c>
      <c r="F473" s="80" t="s">
        <v>4068</v>
      </c>
      <c r="G473" t="s">
        <v>4069</v>
      </c>
      <c r="H473" t="s">
        <v>4070</v>
      </c>
      <c r="I473" s="80" t="s">
        <v>4071</v>
      </c>
      <c r="J473" t="s">
        <v>4072</v>
      </c>
      <c r="K473" s="80" t="s">
        <v>4073</v>
      </c>
    </row>
    <row r="474" spans="1:11" x14ac:dyDescent="0.25">
      <c r="A474" s="123">
        <v>473</v>
      </c>
      <c r="B474" s="2" t="s">
        <v>605</v>
      </c>
      <c r="C474" s="123" t="s">
        <v>186</v>
      </c>
      <c r="D474" t="s">
        <v>2291</v>
      </c>
      <c r="E474" s="80" t="s">
        <v>4074</v>
      </c>
      <c r="F474" s="80" t="s">
        <v>4075</v>
      </c>
      <c r="G474" t="s">
        <v>4076</v>
      </c>
      <c r="H474" s="80" t="s">
        <v>4077</v>
      </c>
      <c r="I474" s="80" t="s">
        <v>4078</v>
      </c>
      <c r="J474" t="s">
        <v>3452</v>
      </c>
      <c r="K474" s="80" t="s">
        <v>4079</v>
      </c>
    </row>
    <row r="475" spans="1:11" x14ac:dyDescent="0.25">
      <c r="A475" s="123">
        <v>474</v>
      </c>
      <c r="B475" s="2" t="s">
        <v>605</v>
      </c>
      <c r="C475" s="123" t="s">
        <v>188</v>
      </c>
      <c r="D475" t="s">
        <v>2323</v>
      </c>
      <c r="E475" s="80" t="s">
        <v>4080</v>
      </c>
      <c r="F475" t="s">
        <v>4081</v>
      </c>
      <c r="G475" t="s">
        <v>4020</v>
      </c>
      <c r="H475" t="s">
        <v>4082</v>
      </c>
      <c r="I475" s="80" t="s">
        <v>4083</v>
      </c>
      <c r="J475" t="s">
        <v>4084</v>
      </c>
      <c r="K475" s="80" t="s">
        <v>4085</v>
      </c>
    </row>
    <row r="476" spans="1:11" x14ac:dyDescent="0.25">
      <c r="A476" s="123">
        <v>475</v>
      </c>
      <c r="B476" s="2" t="s">
        <v>605</v>
      </c>
      <c r="C476" s="123" t="s">
        <v>182</v>
      </c>
      <c r="D476" t="s">
        <v>2372</v>
      </c>
      <c r="E476" t="s">
        <v>4086</v>
      </c>
      <c r="F476" t="s">
        <v>4087</v>
      </c>
      <c r="G476" t="s">
        <v>2553</v>
      </c>
      <c r="H476" t="s">
        <v>4088</v>
      </c>
      <c r="I476" s="80" t="s">
        <v>4089</v>
      </c>
      <c r="J476" t="s">
        <v>3547</v>
      </c>
      <c r="K476" t="s">
        <v>4090</v>
      </c>
    </row>
    <row r="477" spans="1:11" x14ac:dyDescent="0.25">
      <c r="A477" s="123">
        <v>476</v>
      </c>
      <c r="B477" s="2" t="s">
        <v>605</v>
      </c>
      <c r="C477" s="123" t="s">
        <v>184</v>
      </c>
      <c r="D477" t="s">
        <v>2524</v>
      </c>
      <c r="E477" t="s">
        <v>4091</v>
      </c>
      <c r="F477" t="s">
        <v>4092</v>
      </c>
      <c r="G477" t="s">
        <v>2302</v>
      </c>
      <c r="H477" s="80" t="s">
        <v>4093</v>
      </c>
      <c r="I477" s="80" t="s">
        <v>4094</v>
      </c>
      <c r="J477" t="s">
        <v>3971</v>
      </c>
      <c r="K477" t="s">
        <v>4095</v>
      </c>
    </row>
    <row r="478" spans="1:11" x14ac:dyDescent="0.25">
      <c r="A478" s="123">
        <v>477</v>
      </c>
      <c r="B478" s="2" t="s">
        <v>605</v>
      </c>
      <c r="C478" s="123" t="s">
        <v>187</v>
      </c>
      <c r="D478" t="s">
        <v>2789</v>
      </c>
      <c r="E478" t="s">
        <v>4096</v>
      </c>
      <c r="F478" t="s">
        <v>4097</v>
      </c>
      <c r="G478" t="s">
        <v>2488</v>
      </c>
      <c r="H478" s="80" t="s">
        <v>4098</v>
      </c>
      <c r="I478" s="80" t="s">
        <v>4099</v>
      </c>
      <c r="J478" t="s">
        <v>3740</v>
      </c>
      <c r="K478" t="s">
        <v>4100</v>
      </c>
    </row>
    <row r="479" spans="1:11" x14ac:dyDescent="0.25">
      <c r="A479" s="123">
        <v>478</v>
      </c>
      <c r="B479" s="2" t="s">
        <v>605</v>
      </c>
      <c r="C479" s="123" t="s">
        <v>189</v>
      </c>
      <c r="D479" t="s">
        <v>2336</v>
      </c>
      <c r="E479" t="s">
        <v>4101</v>
      </c>
      <c r="F479" t="s">
        <v>4102</v>
      </c>
      <c r="G479" t="s">
        <v>3857</v>
      </c>
      <c r="H479" t="s">
        <v>4103</v>
      </c>
      <c r="I479" s="80" t="s">
        <v>4104</v>
      </c>
      <c r="J479" t="s">
        <v>3740</v>
      </c>
      <c r="K479" t="s">
        <v>4105</v>
      </c>
    </row>
    <row r="480" spans="1:11" x14ac:dyDescent="0.25">
      <c r="A480" s="123">
        <v>479</v>
      </c>
      <c r="B480" s="2">
        <v>2014</v>
      </c>
      <c r="C480" s="123" t="s">
        <v>162</v>
      </c>
      <c r="D480" t="s">
        <v>3806</v>
      </c>
      <c r="E480" s="80" t="s">
        <v>4106</v>
      </c>
      <c r="F480" t="s">
        <v>3808</v>
      </c>
      <c r="G480" t="s">
        <v>2564</v>
      </c>
      <c r="H480" t="s">
        <v>3675</v>
      </c>
      <c r="I480" t="s">
        <v>4107</v>
      </c>
      <c r="J480" t="s">
        <v>3853</v>
      </c>
      <c r="K480" t="s">
        <v>4108</v>
      </c>
    </row>
    <row r="481" spans="1:11" x14ac:dyDescent="0.25">
      <c r="A481" s="123">
        <v>480</v>
      </c>
      <c r="B481" s="2">
        <v>2014</v>
      </c>
      <c r="C481" s="123" t="s">
        <v>170</v>
      </c>
      <c r="D481" t="s">
        <v>2858</v>
      </c>
      <c r="E481" s="80" t="s">
        <v>4109</v>
      </c>
      <c r="F481" t="s">
        <v>1950</v>
      </c>
      <c r="G481" t="s">
        <v>2564</v>
      </c>
      <c r="H481" t="s">
        <v>4110</v>
      </c>
      <c r="I481" s="80" t="s">
        <v>4111</v>
      </c>
      <c r="J481" t="s">
        <v>3296</v>
      </c>
      <c r="K481" t="s">
        <v>4112</v>
      </c>
    </row>
    <row r="482" spans="1:11" x14ac:dyDescent="0.25">
      <c r="A482" s="123">
        <v>481</v>
      </c>
      <c r="B482" s="2">
        <v>2014</v>
      </c>
      <c r="C482" s="123" t="s">
        <v>178</v>
      </c>
      <c r="D482" t="s">
        <v>4113</v>
      </c>
      <c r="E482" s="80" t="s">
        <v>4114</v>
      </c>
      <c r="F482" t="s">
        <v>4115</v>
      </c>
      <c r="G482" t="s">
        <v>2278</v>
      </c>
      <c r="H482" t="s">
        <v>4116</v>
      </c>
      <c r="I482" s="80" t="s">
        <v>4117</v>
      </c>
      <c r="J482" t="s">
        <v>4118</v>
      </c>
      <c r="K482" t="s">
        <v>4119</v>
      </c>
    </row>
    <row r="483" spans="1:11" x14ac:dyDescent="0.25">
      <c r="A483" s="123">
        <v>482</v>
      </c>
      <c r="B483" s="2">
        <v>2014</v>
      </c>
      <c r="C483" s="123" t="s">
        <v>163</v>
      </c>
      <c r="D483">
        <v>499</v>
      </c>
      <c r="E483" s="80" t="s">
        <v>4120</v>
      </c>
      <c r="F483" t="s">
        <v>4121</v>
      </c>
      <c r="G483" t="s">
        <v>2430</v>
      </c>
      <c r="H483" t="s">
        <v>4122</v>
      </c>
      <c r="I483" s="80" t="s">
        <v>4123</v>
      </c>
      <c r="J483" t="s">
        <v>3401</v>
      </c>
      <c r="K483" t="s">
        <v>4124</v>
      </c>
    </row>
    <row r="484" spans="1:11" x14ac:dyDescent="0.25">
      <c r="A484" s="123">
        <v>483</v>
      </c>
      <c r="B484" s="2">
        <v>2014</v>
      </c>
      <c r="C484" s="123" t="s">
        <v>181</v>
      </c>
      <c r="D484" t="s">
        <v>3017</v>
      </c>
      <c r="E484" s="80" t="s">
        <v>4125</v>
      </c>
      <c r="F484" t="s">
        <v>4126</v>
      </c>
      <c r="G484" t="s">
        <v>3857</v>
      </c>
      <c r="H484" t="s">
        <v>4127</v>
      </c>
      <c r="I484" t="s">
        <v>4128</v>
      </c>
      <c r="J484" t="s">
        <v>3740</v>
      </c>
      <c r="K484" t="s">
        <v>4129</v>
      </c>
    </row>
    <row r="485" spans="1:11" x14ac:dyDescent="0.25">
      <c r="A485" s="123">
        <v>484</v>
      </c>
      <c r="B485" s="2">
        <v>2014</v>
      </c>
      <c r="C485" s="123" t="s">
        <v>183</v>
      </c>
      <c r="D485" t="s">
        <v>2597</v>
      </c>
      <c r="E485" s="80" t="s">
        <v>4130</v>
      </c>
      <c r="F485" t="s">
        <v>4131</v>
      </c>
      <c r="G485" t="s">
        <v>2695</v>
      </c>
      <c r="H485" t="s">
        <v>4132</v>
      </c>
      <c r="I485" s="80" t="s">
        <v>4133</v>
      </c>
      <c r="J485" t="s">
        <v>3894</v>
      </c>
      <c r="K485" t="s">
        <v>4134</v>
      </c>
    </row>
    <row r="486" spans="1:11" x14ac:dyDescent="0.25">
      <c r="A486" s="123">
        <v>485</v>
      </c>
      <c r="B486" s="2">
        <v>2014</v>
      </c>
      <c r="C486" s="123" t="s">
        <v>186</v>
      </c>
      <c r="D486" t="s">
        <v>2351</v>
      </c>
      <c r="E486" t="s">
        <v>4135</v>
      </c>
      <c r="F486" t="s">
        <v>4136</v>
      </c>
      <c r="G486" t="s">
        <v>2430</v>
      </c>
      <c r="H486" s="80" t="s">
        <v>4137</v>
      </c>
      <c r="I486" s="80" t="s">
        <v>4138</v>
      </c>
      <c r="J486" t="s">
        <v>3959</v>
      </c>
      <c r="K486" s="80" t="s">
        <v>4139</v>
      </c>
    </row>
    <row r="487" spans="1:11" x14ac:dyDescent="0.25">
      <c r="A487" s="123">
        <v>486</v>
      </c>
      <c r="B487" s="2">
        <v>2014</v>
      </c>
      <c r="C487" s="123" t="s">
        <v>188</v>
      </c>
      <c r="D487" t="s">
        <v>2817</v>
      </c>
      <c r="E487" s="80" t="s">
        <v>4140</v>
      </c>
      <c r="F487" t="s">
        <v>4141</v>
      </c>
      <c r="G487" t="s">
        <v>4069</v>
      </c>
      <c r="H487" t="s">
        <v>4142</v>
      </c>
      <c r="I487" s="80" t="s">
        <v>4143</v>
      </c>
      <c r="J487" t="s">
        <v>4084</v>
      </c>
      <c r="K487" s="80" t="s">
        <v>4144</v>
      </c>
    </row>
    <row r="488" spans="1:11" x14ac:dyDescent="0.25">
      <c r="A488" s="123">
        <v>487</v>
      </c>
      <c r="B488" s="2">
        <v>2014</v>
      </c>
      <c r="C488" s="123" t="s">
        <v>182</v>
      </c>
      <c r="D488" t="s">
        <v>2331</v>
      </c>
      <c r="E488" t="s">
        <v>4145</v>
      </c>
      <c r="F488" t="s">
        <v>583</v>
      </c>
      <c r="G488" t="s">
        <v>3919</v>
      </c>
      <c r="H488" t="s">
        <v>3763</v>
      </c>
      <c r="I488" t="s">
        <v>4146</v>
      </c>
      <c r="J488" t="s">
        <v>583</v>
      </c>
      <c r="K488" s="80" t="s">
        <v>4147</v>
      </c>
    </row>
    <row r="489" spans="1:11" x14ac:dyDescent="0.25">
      <c r="A489" s="123">
        <v>488</v>
      </c>
      <c r="B489" s="2">
        <v>2014</v>
      </c>
      <c r="C489" s="123" t="s">
        <v>184</v>
      </c>
      <c r="D489" t="s">
        <v>2531</v>
      </c>
      <c r="E489" t="s">
        <v>4148</v>
      </c>
      <c r="F489" t="s">
        <v>4149</v>
      </c>
      <c r="G489" t="s">
        <v>3946</v>
      </c>
      <c r="H489" t="s">
        <v>4150</v>
      </c>
      <c r="I489" s="80" t="s">
        <v>4151</v>
      </c>
      <c r="J489" t="s">
        <v>3783</v>
      </c>
      <c r="K489" t="s">
        <v>4152</v>
      </c>
    </row>
    <row r="490" spans="1:11" x14ac:dyDescent="0.25">
      <c r="A490" s="123">
        <v>489</v>
      </c>
      <c r="B490" s="2">
        <v>2014</v>
      </c>
      <c r="C490" s="123" t="s">
        <v>187</v>
      </c>
      <c r="D490" t="s">
        <v>4153</v>
      </c>
      <c r="E490" t="s">
        <v>4154</v>
      </c>
      <c r="F490" t="s">
        <v>4155</v>
      </c>
      <c r="G490" t="s">
        <v>2278</v>
      </c>
      <c r="H490" s="80" t="s">
        <v>4156</v>
      </c>
      <c r="I490" s="80" t="s">
        <v>4157</v>
      </c>
      <c r="J490" t="s">
        <v>4052</v>
      </c>
      <c r="K490" t="s">
        <v>4158</v>
      </c>
    </row>
    <row r="491" spans="1:11" x14ac:dyDescent="0.25">
      <c r="A491" s="123">
        <v>490</v>
      </c>
      <c r="B491" s="2">
        <v>2014</v>
      </c>
      <c r="C491" s="123" t="s">
        <v>189</v>
      </c>
      <c r="D491" t="s">
        <v>4159</v>
      </c>
      <c r="E491" t="s">
        <v>4160</v>
      </c>
      <c r="F491" t="s">
        <v>4004</v>
      </c>
      <c r="G491" t="s">
        <v>2339</v>
      </c>
      <c r="H491" s="80" t="s">
        <v>4161</v>
      </c>
      <c r="I491" s="80" t="s">
        <v>4162</v>
      </c>
      <c r="J491" t="s">
        <v>3959</v>
      </c>
      <c r="K491" t="s">
        <v>4163</v>
      </c>
    </row>
    <row r="492" spans="1:11" x14ac:dyDescent="0.25">
      <c r="A492" s="123">
        <v>491</v>
      </c>
      <c r="B492" s="2">
        <v>2020</v>
      </c>
      <c r="C492" s="123" t="s">
        <v>162</v>
      </c>
      <c r="D492" t="s">
        <v>3938</v>
      </c>
      <c r="E492" t="s">
        <v>4164</v>
      </c>
      <c r="F492" t="s">
        <v>2331</v>
      </c>
      <c r="G492" t="s">
        <v>2571</v>
      </c>
      <c r="H492" t="s">
        <v>3405</v>
      </c>
      <c r="I492" t="s">
        <v>4165</v>
      </c>
      <c r="J492" t="s">
        <v>4166</v>
      </c>
      <c r="K492" t="s">
        <v>4167</v>
      </c>
    </row>
    <row r="493" spans="1:11" x14ac:dyDescent="0.25">
      <c r="A493" s="123">
        <v>492</v>
      </c>
      <c r="B493" s="2">
        <v>2020</v>
      </c>
      <c r="C493" s="123" t="s">
        <v>170</v>
      </c>
      <c r="D493" t="s">
        <v>2597</v>
      </c>
      <c r="E493" s="80" t="s">
        <v>4168</v>
      </c>
      <c r="F493" t="s">
        <v>4169</v>
      </c>
      <c r="G493" t="s">
        <v>2278</v>
      </c>
      <c r="H493" t="s">
        <v>4170</v>
      </c>
      <c r="I493" s="80" t="s">
        <v>4171</v>
      </c>
      <c r="J493" t="s">
        <v>3508</v>
      </c>
      <c r="K493" t="s">
        <v>4172</v>
      </c>
    </row>
    <row r="494" spans="1:11" x14ac:dyDescent="0.25">
      <c r="A494" s="123">
        <v>493</v>
      </c>
      <c r="B494" s="2">
        <v>2020</v>
      </c>
      <c r="C494" s="123" t="s">
        <v>178</v>
      </c>
      <c r="D494" t="s">
        <v>4173</v>
      </c>
      <c r="E494" s="80" t="s">
        <v>4174</v>
      </c>
      <c r="F494" t="s">
        <v>4175</v>
      </c>
      <c r="G494" t="s">
        <v>2278</v>
      </c>
      <c r="H494" t="s">
        <v>4176</v>
      </c>
      <c r="I494" s="80" t="s">
        <v>4177</v>
      </c>
      <c r="J494" t="s">
        <v>3541</v>
      </c>
      <c r="K494" t="s">
        <v>4178</v>
      </c>
    </row>
    <row r="495" spans="1:11" x14ac:dyDescent="0.25">
      <c r="A495" s="123">
        <v>494</v>
      </c>
      <c r="B495" s="2">
        <v>2020</v>
      </c>
      <c r="C495" s="123" t="s">
        <v>163</v>
      </c>
      <c r="D495" t="s">
        <v>2623</v>
      </c>
      <c r="E495" s="80" t="s">
        <v>4179</v>
      </c>
      <c r="F495" t="s">
        <v>4180</v>
      </c>
      <c r="G495" t="s">
        <v>2278</v>
      </c>
      <c r="H495" t="s">
        <v>4181</v>
      </c>
      <c r="I495" s="80" t="s">
        <v>4182</v>
      </c>
      <c r="J495" t="s">
        <v>3326</v>
      </c>
      <c r="K495" t="s">
        <v>4183</v>
      </c>
    </row>
    <row r="496" spans="1:11" x14ac:dyDescent="0.25">
      <c r="A496" s="123">
        <v>495</v>
      </c>
      <c r="B496" s="2">
        <v>2020</v>
      </c>
      <c r="C496" s="123" t="s">
        <v>181</v>
      </c>
      <c r="D496" t="s">
        <v>2839</v>
      </c>
      <c r="E496" s="80" t="s">
        <v>4184</v>
      </c>
      <c r="F496" t="s">
        <v>3981</v>
      </c>
      <c r="G496" t="s">
        <v>3946</v>
      </c>
      <c r="H496" t="s">
        <v>4185</v>
      </c>
      <c r="I496" t="s">
        <v>4186</v>
      </c>
      <c r="J496" t="s">
        <v>3978</v>
      </c>
      <c r="K496" t="s">
        <v>4187</v>
      </c>
    </row>
    <row r="497" spans="1:11" x14ac:dyDescent="0.25">
      <c r="A497" s="123">
        <v>496</v>
      </c>
      <c r="B497" s="2">
        <v>2020</v>
      </c>
      <c r="C497" s="123" t="s">
        <v>183</v>
      </c>
      <c r="D497" t="s">
        <v>3872</v>
      </c>
      <c r="E497" s="80" t="s">
        <v>4188</v>
      </c>
      <c r="F497" t="s">
        <v>4189</v>
      </c>
      <c r="G497" t="s">
        <v>2339</v>
      </c>
      <c r="H497" t="s">
        <v>4190</v>
      </c>
      <c r="I497" s="80" t="s">
        <v>4191</v>
      </c>
      <c r="J497" t="s">
        <v>3894</v>
      </c>
      <c r="K497" s="80" t="s">
        <v>4192</v>
      </c>
    </row>
    <row r="498" spans="1:11" x14ac:dyDescent="0.25">
      <c r="A498" s="123">
        <v>497</v>
      </c>
      <c r="B498" s="2">
        <v>2020</v>
      </c>
      <c r="C498" s="123" t="s">
        <v>186</v>
      </c>
      <c r="D498" t="s">
        <v>2315</v>
      </c>
      <c r="E498" s="80" t="s">
        <v>4193</v>
      </c>
      <c r="F498" t="s">
        <v>4194</v>
      </c>
      <c r="G498" t="s">
        <v>2708</v>
      </c>
      <c r="H498" s="80">
        <v>60550</v>
      </c>
      <c r="I498" s="80" t="s">
        <v>4195</v>
      </c>
      <c r="J498" t="s">
        <v>3466</v>
      </c>
      <c r="K498" s="80" t="s">
        <v>2388</v>
      </c>
    </row>
    <row r="499" spans="1:11" x14ac:dyDescent="0.25">
      <c r="A499" s="123">
        <v>498</v>
      </c>
      <c r="B499" s="2">
        <v>2020</v>
      </c>
      <c r="C499" s="123" t="s">
        <v>188</v>
      </c>
      <c r="D499" t="s">
        <v>2524</v>
      </c>
      <c r="E499" s="80" t="s">
        <v>4196</v>
      </c>
      <c r="F499" t="s">
        <v>4197</v>
      </c>
      <c r="G499" t="s">
        <v>2310</v>
      </c>
      <c r="H499" t="s">
        <v>4198</v>
      </c>
      <c r="I499" s="80" t="s">
        <v>4199</v>
      </c>
      <c r="J499" t="s">
        <v>3870</v>
      </c>
      <c r="K499" s="80" t="s">
        <v>4012</v>
      </c>
    </row>
    <row r="500" spans="1:11" x14ac:dyDescent="0.25">
      <c r="A500" s="123">
        <v>499</v>
      </c>
      <c r="B500" s="2">
        <v>2020</v>
      </c>
      <c r="C500" s="123" t="s">
        <v>182</v>
      </c>
      <c r="D500" s="80" t="s">
        <v>2380</v>
      </c>
      <c r="E500" t="s">
        <v>4200</v>
      </c>
      <c r="F500" t="s">
        <v>583</v>
      </c>
      <c r="G500" t="s">
        <v>3919</v>
      </c>
      <c r="H500" t="s">
        <v>3675</v>
      </c>
      <c r="I500" t="s">
        <v>4201</v>
      </c>
      <c r="J500" t="s">
        <v>4202</v>
      </c>
      <c r="K500" t="s">
        <v>2469</v>
      </c>
    </row>
    <row r="501" spans="1:11" x14ac:dyDescent="0.25">
      <c r="A501" s="123">
        <v>500</v>
      </c>
      <c r="B501" s="2">
        <v>2020</v>
      </c>
      <c r="C501" s="123" t="s">
        <v>184</v>
      </c>
      <c r="D501" t="s">
        <v>4203</v>
      </c>
      <c r="E501" t="s">
        <v>4204</v>
      </c>
      <c r="F501" t="s">
        <v>4205</v>
      </c>
      <c r="G501" t="s">
        <v>2728</v>
      </c>
      <c r="H501" t="s">
        <v>4206</v>
      </c>
      <c r="I501" s="80" t="s">
        <v>4207</v>
      </c>
      <c r="J501" t="s">
        <v>3755</v>
      </c>
      <c r="K501" t="s">
        <v>4208</v>
      </c>
    </row>
    <row r="502" spans="1:11" x14ac:dyDescent="0.25">
      <c r="A502" s="123">
        <v>501</v>
      </c>
      <c r="B502" s="2">
        <v>2020</v>
      </c>
      <c r="C502" s="123" t="s">
        <v>187</v>
      </c>
      <c r="D502" t="s">
        <v>4209</v>
      </c>
      <c r="E502" t="s">
        <v>4210</v>
      </c>
      <c r="F502" t="s">
        <v>4211</v>
      </c>
      <c r="G502" t="s">
        <v>2620</v>
      </c>
      <c r="H502" s="80" t="s">
        <v>4212</v>
      </c>
      <c r="I502" s="80" t="s">
        <v>4213</v>
      </c>
      <c r="J502" t="s">
        <v>3894</v>
      </c>
      <c r="K502" s="80" t="s">
        <v>4214</v>
      </c>
    </row>
    <row r="503" spans="1:11" x14ac:dyDescent="0.25">
      <c r="A503" s="123">
        <v>502</v>
      </c>
      <c r="B503" s="2">
        <v>2020</v>
      </c>
      <c r="C503" s="123" t="s">
        <v>189</v>
      </c>
      <c r="D503" t="s">
        <v>4215</v>
      </c>
      <c r="E503" t="s">
        <v>4216</v>
      </c>
      <c r="F503" t="s">
        <v>4217</v>
      </c>
      <c r="G503" t="s">
        <v>2488</v>
      </c>
      <c r="H503" t="s">
        <v>4218</v>
      </c>
      <c r="I503" s="80" t="s">
        <v>4219</v>
      </c>
      <c r="J503" t="s">
        <v>3276</v>
      </c>
      <c r="K503" s="80" t="s">
        <v>4220</v>
      </c>
    </row>
    <row r="504" spans="1:11" x14ac:dyDescent="0.25">
      <c r="A504" s="123">
        <v>503</v>
      </c>
      <c r="B504" s="2" t="s">
        <v>606</v>
      </c>
      <c r="C504" s="123" t="s">
        <v>181</v>
      </c>
      <c r="D504" t="s">
        <v>2845</v>
      </c>
      <c r="E504" s="80" t="s">
        <v>4221</v>
      </c>
      <c r="F504" t="s">
        <v>4222</v>
      </c>
      <c r="G504" t="s">
        <v>2415</v>
      </c>
      <c r="H504" t="s">
        <v>4223</v>
      </c>
      <c r="I504" t="s">
        <v>4224</v>
      </c>
      <c r="J504" t="s">
        <v>3966</v>
      </c>
      <c r="K504" t="s">
        <v>4225</v>
      </c>
    </row>
    <row r="505" spans="1:11" x14ac:dyDescent="0.25">
      <c r="A505" s="123">
        <v>504</v>
      </c>
      <c r="B505" s="2" t="s">
        <v>606</v>
      </c>
      <c r="C505" s="123" t="s">
        <v>183</v>
      </c>
      <c r="D505" t="s">
        <v>2275</v>
      </c>
      <c r="E505" s="80" t="s">
        <v>4226</v>
      </c>
      <c r="F505" t="s">
        <v>4227</v>
      </c>
      <c r="G505" t="s">
        <v>2422</v>
      </c>
      <c r="H505" t="s">
        <v>4228</v>
      </c>
      <c r="I505" s="80" t="s">
        <v>4229</v>
      </c>
      <c r="J505" t="s">
        <v>3401</v>
      </c>
      <c r="K505" t="s">
        <v>4230</v>
      </c>
    </row>
    <row r="506" spans="1:11" x14ac:dyDescent="0.25">
      <c r="A506" s="123">
        <v>505</v>
      </c>
      <c r="B506" s="2" t="s">
        <v>606</v>
      </c>
      <c r="C506" s="123" t="s">
        <v>186</v>
      </c>
      <c r="D506" t="s">
        <v>2398</v>
      </c>
      <c r="E506" s="80" t="s">
        <v>4231</v>
      </c>
      <c r="F506" t="s">
        <v>4232</v>
      </c>
      <c r="G506" t="s">
        <v>4233</v>
      </c>
      <c r="H506" t="s">
        <v>4234</v>
      </c>
      <c r="I506" s="80" t="s">
        <v>4235</v>
      </c>
      <c r="J506" t="s">
        <v>3284</v>
      </c>
      <c r="K506" s="80" t="s">
        <v>4236</v>
      </c>
    </row>
    <row r="507" spans="1:11" x14ac:dyDescent="0.25">
      <c r="A507" s="123">
        <v>506</v>
      </c>
      <c r="B507" s="2" t="s">
        <v>606</v>
      </c>
      <c r="C507" s="123" t="s">
        <v>188</v>
      </c>
      <c r="D507" t="s">
        <v>2524</v>
      </c>
      <c r="E507" s="80" t="s">
        <v>4237</v>
      </c>
      <c r="F507" t="s">
        <v>4238</v>
      </c>
      <c r="G507" t="s">
        <v>2310</v>
      </c>
      <c r="H507" t="s">
        <v>4239</v>
      </c>
      <c r="I507" s="80" t="s">
        <v>4240</v>
      </c>
      <c r="J507" t="s">
        <v>3284</v>
      </c>
      <c r="K507" t="s">
        <v>4241</v>
      </c>
    </row>
    <row r="508" spans="1:11" x14ac:dyDescent="0.25">
      <c r="A508" s="123">
        <v>507</v>
      </c>
      <c r="B508" s="2" t="s">
        <v>606</v>
      </c>
      <c r="C508" s="123" t="s">
        <v>182</v>
      </c>
      <c r="D508" t="s">
        <v>2550</v>
      </c>
      <c r="E508" t="s">
        <v>4242</v>
      </c>
      <c r="F508" t="s">
        <v>4026</v>
      </c>
      <c r="G508" t="s">
        <v>3946</v>
      </c>
      <c r="H508" t="s">
        <v>3405</v>
      </c>
      <c r="I508" t="s">
        <v>1385</v>
      </c>
      <c r="J508" t="s">
        <v>4243</v>
      </c>
      <c r="K508" t="s">
        <v>3170</v>
      </c>
    </row>
    <row r="509" spans="1:11" x14ac:dyDescent="0.25">
      <c r="A509" s="123">
        <v>508</v>
      </c>
      <c r="B509" s="2" t="s">
        <v>606</v>
      </c>
      <c r="C509" s="123" t="s">
        <v>184</v>
      </c>
      <c r="D509" t="s">
        <v>2839</v>
      </c>
      <c r="E509" t="s">
        <v>4244</v>
      </c>
      <c r="F509" t="s">
        <v>4245</v>
      </c>
      <c r="G509" t="s">
        <v>2488</v>
      </c>
      <c r="H509" t="s">
        <v>4246</v>
      </c>
      <c r="I509" s="80" t="s">
        <v>4247</v>
      </c>
      <c r="J509" t="s">
        <v>3783</v>
      </c>
      <c r="K509" t="s">
        <v>4248</v>
      </c>
    </row>
    <row r="510" spans="1:11" x14ac:dyDescent="0.25">
      <c r="A510" s="123">
        <v>509</v>
      </c>
      <c r="B510" s="2" t="s">
        <v>606</v>
      </c>
      <c r="C510" s="123" t="s">
        <v>187</v>
      </c>
      <c r="D510" t="s">
        <v>2858</v>
      </c>
      <c r="E510" t="s">
        <v>4249</v>
      </c>
      <c r="F510" t="s">
        <v>4250</v>
      </c>
      <c r="G510" t="s">
        <v>2488</v>
      </c>
      <c r="H510" t="s">
        <v>4251</v>
      </c>
      <c r="I510" s="80" t="s">
        <v>4252</v>
      </c>
      <c r="J510" t="s">
        <v>3612</v>
      </c>
      <c r="K510" t="s">
        <v>4253</v>
      </c>
    </row>
    <row r="511" spans="1:11" x14ac:dyDescent="0.25">
      <c r="A511" s="123">
        <v>510</v>
      </c>
      <c r="B511" s="2" t="s">
        <v>606</v>
      </c>
      <c r="C511" s="123" t="s">
        <v>189</v>
      </c>
      <c r="D511" t="s">
        <v>4254</v>
      </c>
      <c r="E511" t="s">
        <v>4255</v>
      </c>
      <c r="F511" t="s">
        <v>4256</v>
      </c>
      <c r="G511" t="s">
        <v>3946</v>
      </c>
      <c r="H511" t="s">
        <v>4257</v>
      </c>
      <c r="I511" s="80" t="s">
        <v>4258</v>
      </c>
      <c r="J511" t="s">
        <v>3811</v>
      </c>
      <c r="K511" t="s">
        <v>4259</v>
      </c>
    </row>
    <row r="512" spans="1:11" x14ac:dyDescent="0.25">
      <c r="A512" s="123">
        <v>511</v>
      </c>
      <c r="B512" s="2">
        <v>1039</v>
      </c>
      <c r="C512" s="123" t="s">
        <v>162</v>
      </c>
      <c r="D512" t="s">
        <v>2665</v>
      </c>
      <c r="E512" s="80" t="s">
        <v>4260</v>
      </c>
      <c r="F512" t="s">
        <v>4217</v>
      </c>
      <c r="G512" t="s">
        <v>2473</v>
      </c>
      <c r="H512" t="s">
        <v>2361</v>
      </c>
      <c r="I512" t="s">
        <v>4261</v>
      </c>
      <c r="J512" t="s">
        <v>3853</v>
      </c>
      <c r="K512" t="s">
        <v>3984</v>
      </c>
    </row>
    <row r="513" spans="1:11" x14ac:dyDescent="0.25">
      <c r="A513" s="123">
        <v>512</v>
      </c>
      <c r="B513" s="2">
        <v>1039</v>
      </c>
      <c r="C513" s="123" t="s">
        <v>170</v>
      </c>
      <c r="D513" t="s">
        <v>2858</v>
      </c>
      <c r="E513" s="80" t="s">
        <v>4262</v>
      </c>
      <c r="F513" t="s">
        <v>4263</v>
      </c>
      <c r="G513" t="s">
        <v>3946</v>
      </c>
      <c r="H513" t="s">
        <v>4264</v>
      </c>
      <c r="I513" s="80" t="s">
        <v>4265</v>
      </c>
      <c r="J513" t="s">
        <v>3853</v>
      </c>
      <c r="K513" t="s">
        <v>4266</v>
      </c>
    </row>
    <row r="514" spans="1:11" x14ac:dyDescent="0.25">
      <c r="A514" s="123">
        <v>513</v>
      </c>
      <c r="B514" s="2">
        <v>1039</v>
      </c>
      <c r="C514" s="123" t="s">
        <v>178</v>
      </c>
      <c r="D514" t="s">
        <v>2344</v>
      </c>
      <c r="E514" t="s">
        <v>4267</v>
      </c>
      <c r="F514">
        <v>1860</v>
      </c>
      <c r="G514" t="s">
        <v>3281</v>
      </c>
      <c r="H514" s="80" t="s">
        <v>4268</v>
      </c>
      <c r="I514" s="80" t="s">
        <v>4269</v>
      </c>
      <c r="J514" t="s">
        <v>3755</v>
      </c>
      <c r="K514" t="s">
        <v>4270</v>
      </c>
    </row>
    <row r="515" spans="1:11" x14ac:dyDescent="0.25">
      <c r="A515" s="123">
        <v>514</v>
      </c>
      <c r="B515" s="2">
        <v>1039</v>
      </c>
      <c r="C515" s="123" t="s">
        <v>163</v>
      </c>
      <c r="D515" t="s">
        <v>2299</v>
      </c>
      <c r="E515" s="80" t="s">
        <v>4271</v>
      </c>
      <c r="F515" t="s">
        <v>4272</v>
      </c>
      <c r="G515" t="s">
        <v>3309</v>
      </c>
      <c r="H515" t="s">
        <v>4273</v>
      </c>
      <c r="I515" s="80" t="s">
        <v>4274</v>
      </c>
      <c r="J515" t="s">
        <v>3276</v>
      </c>
      <c r="K515" t="s">
        <v>4275</v>
      </c>
    </row>
    <row r="516" spans="1:11" x14ac:dyDescent="0.25">
      <c r="A516" s="123">
        <v>515</v>
      </c>
      <c r="B516" s="2">
        <v>1039</v>
      </c>
      <c r="C516" s="123" t="s">
        <v>181</v>
      </c>
      <c r="D516" t="s">
        <v>4254</v>
      </c>
      <c r="E516" s="80" t="s">
        <v>4276</v>
      </c>
      <c r="F516" t="s">
        <v>4277</v>
      </c>
      <c r="G516" t="s">
        <v>3592</v>
      </c>
      <c r="H516" t="s">
        <v>4278</v>
      </c>
      <c r="I516" t="s">
        <v>4279</v>
      </c>
      <c r="J516" t="s">
        <v>3811</v>
      </c>
      <c r="K516" t="s">
        <v>4280</v>
      </c>
    </row>
    <row r="517" spans="1:11" x14ac:dyDescent="0.25">
      <c r="A517" s="123">
        <v>516</v>
      </c>
      <c r="B517" s="2">
        <v>1039</v>
      </c>
      <c r="C517" s="123" t="s">
        <v>183</v>
      </c>
      <c r="D517" t="s">
        <v>3829</v>
      </c>
      <c r="E517" s="80" t="s">
        <v>3291</v>
      </c>
      <c r="F517" t="s">
        <v>4281</v>
      </c>
      <c r="G517" t="s">
        <v>3288</v>
      </c>
      <c r="H517" t="s">
        <v>4282</v>
      </c>
      <c r="I517" s="80" t="s">
        <v>4283</v>
      </c>
      <c r="J517" t="s">
        <v>3377</v>
      </c>
      <c r="K517" t="s">
        <v>4284</v>
      </c>
    </row>
    <row r="518" spans="1:11" x14ac:dyDescent="0.25">
      <c r="A518" s="123">
        <v>517</v>
      </c>
      <c r="B518" s="2">
        <v>1039</v>
      </c>
      <c r="C518" s="123" t="s">
        <v>186</v>
      </c>
      <c r="D518" t="s">
        <v>2591</v>
      </c>
      <c r="E518" t="s">
        <v>4285</v>
      </c>
      <c r="F518" t="s">
        <v>4286</v>
      </c>
      <c r="G518" t="s">
        <v>3293</v>
      </c>
      <c r="H518" s="80" t="s">
        <v>4287</v>
      </c>
      <c r="I518" s="80" t="s">
        <v>4288</v>
      </c>
      <c r="J518" t="s">
        <v>4007</v>
      </c>
      <c r="K518" s="80" t="s">
        <v>4289</v>
      </c>
    </row>
    <row r="519" spans="1:11" x14ac:dyDescent="0.25">
      <c r="A519" s="123">
        <v>518</v>
      </c>
      <c r="B519" s="2">
        <v>1039</v>
      </c>
      <c r="C519" s="123" t="s">
        <v>188</v>
      </c>
      <c r="D519" t="s">
        <v>2435</v>
      </c>
      <c r="E519" s="80" t="s">
        <v>4290</v>
      </c>
      <c r="F519" t="s">
        <v>4291</v>
      </c>
      <c r="G519" t="s">
        <v>3585</v>
      </c>
      <c r="H519" t="s">
        <v>4292</v>
      </c>
      <c r="I519" s="80" t="s">
        <v>4293</v>
      </c>
      <c r="J519" t="s">
        <v>3894</v>
      </c>
      <c r="K519" s="80" t="s">
        <v>4294</v>
      </c>
    </row>
    <row r="520" spans="1:11" x14ac:dyDescent="0.25">
      <c r="A520" s="123">
        <v>519</v>
      </c>
      <c r="B520" s="2">
        <v>1039</v>
      </c>
      <c r="C520" s="123" t="s">
        <v>182</v>
      </c>
      <c r="D520" t="s">
        <v>2591</v>
      </c>
      <c r="E520" t="s">
        <v>4295</v>
      </c>
      <c r="F520" t="s">
        <v>4296</v>
      </c>
      <c r="G520" t="s">
        <v>3316</v>
      </c>
      <c r="H520" t="s">
        <v>4297</v>
      </c>
      <c r="I520" t="s">
        <v>4298</v>
      </c>
      <c r="J520" t="s">
        <v>4243</v>
      </c>
      <c r="K520" t="s">
        <v>4299</v>
      </c>
    </row>
    <row r="521" spans="1:11" x14ac:dyDescent="0.25">
      <c r="A521" s="123">
        <v>520</v>
      </c>
      <c r="B521" s="2">
        <v>1039</v>
      </c>
      <c r="C521" s="123" t="s">
        <v>184</v>
      </c>
      <c r="D521" t="s">
        <v>4300</v>
      </c>
      <c r="E521" s="80" t="s">
        <v>4301</v>
      </c>
      <c r="F521" t="s">
        <v>4302</v>
      </c>
      <c r="G521" t="s">
        <v>4303</v>
      </c>
      <c r="H521" t="s">
        <v>4304</v>
      </c>
      <c r="I521" s="80" t="s">
        <v>4305</v>
      </c>
      <c r="J521" t="s">
        <v>3698</v>
      </c>
      <c r="K521" t="s">
        <v>4306</v>
      </c>
    </row>
    <row r="522" spans="1:11" x14ac:dyDescent="0.25">
      <c r="A522" s="123">
        <v>521</v>
      </c>
      <c r="B522" s="2">
        <v>1039</v>
      </c>
      <c r="C522" s="123" t="s">
        <v>187</v>
      </c>
      <c r="D522" t="s">
        <v>2713</v>
      </c>
      <c r="E522" s="80" t="s">
        <v>4307</v>
      </c>
      <c r="F522" t="s">
        <v>4308</v>
      </c>
      <c r="G522" t="s">
        <v>3331</v>
      </c>
      <c r="H522" s="80" t="s">
        <v>4309</v>
      </c>
      <c r="I522" s="80" t="s">
        <v>4310</v>
      </c>
      <c r="J522" t="s">
        <v>3894</v>
      </c>
      <c r="K522" t="s">
        <v>4311</v>
      </c>
    </row>
    <row r="523" spans="1:11" x14ac:dyDescent="0.25">
      <c r="A523" s="123">
        <v>522</v>
      </c>
      <c r="B523" s="2">
        <v>1039</v>
      </c>
      <c r="C523" s="123" t="s">
        <v>189</v>
      </c>
      <c r="D523" t="s">
        <v>4312</v>
      </c>
      <c r="E523" s="80" t="s">
        <v>4313</v>
      </c>
      <c r="F523" t="s">
        <v>4314</v>
      </c>
      <c r="G523" t="s">
        <v>4315</v>
      </c>
      <c r="H523" t="s">
        <v>4316</v>
      </c>
      <c r="I523" s="80" t="s">
        <v>4317</v>
      </c>
      <c r="J523" t="s">
        <v>3894</v>
      </c>
      <c r="K523" t="s">
        <v>4318</v>
      </c>
    </row>
    <row r="524" spans="1:11" x14ac:dyDescent="0.25">
      <c r="A524" s="123">
        <v>523</v>
      </c>
      <c r="B524" s="2">
        <v>1034</v>
      </c>
      <c r="C524" s="123" t="s">
        <v>162</v>
      </c>
      <c r="D524" t="s">
        <v>4319</v>
      </c>
      <c r="E524" s="80" t="s">
        <v>4320</v>
      </c>
      <c r="F524" t="s">
        <v>4321</v>
      </c>
      <c r="G524" t="s">
        <v>3293</v>
      </c>
      <c r="H524" t="s">
        <v>4322</v>
      </c>
      <c r="I524" t="s">
        <v>4323</v>
      </c>
      <c r="J524" t="s">
        <v>3783</v>
      </c>
      <c r="K524" t="s">
        <v>3942</v>
      </c>
    </row>
    <row r="525" spans="1:11" x14ac:dyDescent="0.25">
      <c r="A525" s="123">
        <v>524</v>
      </c>
      <c r="B525" s="2">
        <v>1034</v>
      </c>
      <c r="C525" s="123" t="s">
        <v>170</v>
      </c>
      <c r="D525" t="s">
        <v>2635</v>
      </c>
      <c r="E525" s="80" t="s">
        <v>4324</v>
      </c>
      <c r="F525" t="s">
        <v>4325</v>
      </c>
      <c r="G525" t="s">
        <v>3273</v>
      </c>
      <c r="H525" t="s">
        <v>4326</v>
      </c>
      <c r="I525" s="80" t="s">
        <v>4327</v>
      </c>
      <c r="J525" t="s">
        <v>3612</v>
      </c>
      <c r="K525" t="s">
        <v>4328</v>
      </c>
    </row>
    <row r="526" spans="1:11" x14ac:dyDescent="0.25">
      <c r="A526" s="123">
        <v>525</v>
      </c>
      <c r="B526" s="2">
        <v>1034</v>
      </c>
      <c r="C526" s="123" t="s">
        <v>178</v>
      </c>
      <c r="D526" t="s">
        <v>2562</v>
      </c>
      <c r="E526" s="80" t="s">
        <v>4329</v>
      </c>
      <c r="F526" t="s">
        <v>4330</v>
      </c>
      <c r="G526" t="s">
        <v>3532</v>
      </c>
      <c r="H526" t="s">
        <v>4331</v>
      </c>
      <c r="I526" s="80" t="s">
        <v>4332</v>
      </c>
      <c r="J526" t="s">
        <v>3783</v>
      </c>
      <c r="K526" t="s">
        <v>4333</v>
      </c>
    </row>
    <row r="527" spans="1:11" x14ac:dyDescent="0.25">
      <c r="A527" s="123">
        <v>526</v>
      </c>
      <c r="B527" s="2">
        <v>1034</v>
      </c>
      <c r="C527" s="123" t="s">
        <v>163</v>
      </c>
      <c r="D527" t="s">
        <v>2435</v>
      </c>
      <c r="E527" s="80" t="s">
        <v>4334</v>
      </c>
      <c r="F527" t="s">
        <v>4335</v>
      </c>
      <c r="G527" t="s">
        <v>3382</v>
      </c>
      <c r="H527" t="s">
        <v>4336</v>
      </c>
      <c r="I527" t="s">
        <v>4337</v>
      </c>
      <c r="J527" t="s">
        <v>3740</v>
      </c>
      <c r="K527" t="s">
        <v>4338</v>
      </c>
    </row>
    <row r="528" spans="1:11" x14ac:dyDescent="0.25">
      <c r="A528" s="123">
        <v>527</v>
      </c>
      <c r="B528" s="2">
        <v>1034</v>
      </c>
      <c r="C528" s="123" t="s">
        <v>181</v>
      </c>
      <c r="D528" t="s">
        <v>2867</v>
      </c>
      <c r="E528" s="80" t="s">
        <v>4339</v>
      </c>
      <c r="F528" t="s">
        <v>4340</v>
      </c>
      <c r="G528" t="s">
        <v>4341</v>
      </c>
      <c r="H528" t="s">
        <v>4342</v>
      </c>
      <c r="I528" t="s">
        <v>4343</v>
      </c>
      <c r="J528" t="s">
        <v>4344</v>
      </c>
      <c r="K528" t="s">
        <v>4345</v>
      </c>
    </row>
    <row r="529" spans="1:11" x14ac:dyDescent="0.25">
      <c r="A529" s="123">
        <v>528</v>
      </c>
      <c r="B529" s="2">
        <v>1034</v>
      </c>
      <c r="C529" s="123" t="s">
        <v>183</v>
      </c>
      <c r="D529" t="s">
        <v>4346</v>
      </c>
      <c r="E529" s="80" t="s">
        <v>4347</v>
      </c>
      <c r="F529" t="s">
        <v>4348</v>
      </c>
      <c r="G529" t="s">
        <v>4349</v>
      </c>
      <c r="H529" t="s">
        <v>4350</v>
      </c>
      <c r="I529" s="80" t="s">
        <v>4351</v>
      </c>
      <c r="J529" t="s">
        <v>4352</v>
      </c>
      <c r="K529" t="s">
        <v>4353</v>
      </c>
    </row>
    <row r="530" spans="1:11" x14ac:dyDescent="0.25">
      <c r="A530" s="123">
        <v>529</v>
      </c>
      <c r="B530" s="2">
        <v>1034</v>
      </c>
      <c r="C530" s="123" t="s">
        <v>186</v>
      </c>
      <c r="D530" t="s">
        <v>4300</v>
      </c>
      <c r="E530" s="80" t="s">
        <v>4354</v>
      </c>
      <c r="F530" t="s">
        <v>4355</v>
      </c>
      <c r="G530" t="s">
        <v>4315</v>
      </c>
      <c r="H530" t="s">
        <v>4356</v>
      </c>
      <c r="I530" s="80" t="s">
        <v>4357</v>
      </c>
      <c r="J530" t="s">
        <v>3469</v>
      </c>
      <c r="K530" t="s">
        <v>4358</v>
      </c>
    </row>
    <row r="531" spans="1:11" x14ac:dyDescent="0.25">
      <c r="A531" s="123">
        <v>530</v>
      </c>
      <c r="B531" s="2">
        <v>1034</v>
      </c>
      <c r="C531" s="123" t="s">
        <v>188</v>
      </c>
      <c r="D531" t="s">
        <v>4359</v>
      </c>
      <c r="E531" s="80" t="s">
        <v>4339</v>
      </c>
      <c r="F531" t="s">
        <v>4360</v>
      </c>
      <c r="G531" t="s">
        <v>4361</v>
      </c>
      <c r="H531" t="s">
        <v>4362</v>
      </c>
      <c r="I531" s="80" t="s">
        <v>4363</v>
      </c>
      <c r="J531" t="s">
        <v>4364</v>
      </c>
      <c r="K531" s="80" t="s">
        <v>4365</v>
      </c>
    </row>
    <row r="532" spans="1:11" x14ac:dyDescent="0.25">
      <c r="A532" s="123">
        <v>531</v>
      </c>
      <c r="B532" s="2">
        <v>1034</v>
      </c>
      <c r="C532" s="123" t="s">
        <v>182</v>
      </c>
      <c r="D532" t="s">
        <v>4366</v>
      </c>
      <c r="E532" t="s">
        <v>4367</v>
      </c>
      <c r="F532" t="s">
        <v>4368</v>
      </c>
      <c r="G532" t="s">
        <v>4369</v>
      </c>
      <c r="H532" t="s">
        <v>4370</v>
      </c>
      <c r="I532" s="80" t="s">
        <v>4371</v>
      </c>
      <c r="J532" t="s">
        <v>2883</v>
      </c>
      <c r="K532" t="s">
        <v>4372</v>
      </c>
    </row>
    <row r="533" spans="1:11" x14ac:dyDescent="0.25">
      <c r="A533" s="123">
        <v>532</v>
      </c>
      <c r="B533" s="2">
        <v>1034</v>
      </c>
      <c r="C533" s="123" t="s">
        <v>184</v>
      </c>
      <c r="D533" t="s">
        <v>2671</v>
      </c>
      <c r="E533" t="s">
        <v>4373</v>
      </c>
      <c r="F533" t="s">
        <v>4374</v>
      </c>
      <c r="G533" t="s">
        <v>3316</v>
      </c>
      <c r="H533" t="s">
        <v>4375</v>
      </c>
      <c r="I533" s="80" t="s">
        <v>4376</v>
      </c>
      <c r="J533" t="s">
        <v>3783</v>
      </c>
      <c r="K533" t="s">
        <v>4377</v>
      </c>
    </row>
    <row r="534" spans="1:11" x14ac:dyDescent="0.25">
      <c r="A534" s="123">
        <v>533</v>
      </c>
      <c r="B534" s="2">
        <v>1034</v>
      </c>
      <c r="C534" s="123" t="s">
        <v>187</v>
      </c>
      <c r="D534" t="s">
        <v>4378</v>
      </c>
      <c r="E534" t="s">
        <v>4379</v>
      </c>
      <c r="F534" t="s">
        <v>4380</v>
      </c>
      <c r="G534" t="s">
        <v>3545</v>
      </c>
      <c r="H534" s="80" t="s">
        <v>4381</v>
      </c>
      <c r="I534" s="80" t="s">
        <v>4382</v>
      </c>
      <c r="J534" t="s">
        <v>4007</v>
      </c>
      <c r="K534" s="80" t="s">
        <v>4383</v>
      </c>
    </row>
    <row r="535" spans="1:11" x14ac:dyDescent="0.25">
      <c r="A535" s="123">
        <v>534</v>
      </c>
      <c r="B535" s="2">
        <v>1034</v>
      </c>
      <c r="C535" s="123" t="s">
        <v>189</v>
      </c>
      <c r="D535" t="s">
        <v>2506</v>
      </c>
      <c r="E535" t="s">
        <v>4384</v>
      </c>
      <c r="F535" t="s">
        <v>4385</v>
      </c>
      <c r="G535" t="s">
        <v>3273</v>
      </c>
      <c r="H535" t="s">
        <v>4386</v>
      </c>
      <c r="I535" s="80" t="s">
        <v>4387</v>
      </c>
      <c r="J535" t="s">
        <v>3882</v>
      </c>
      <c r="K535" s="80" t="s">
        <v>4388</v>
      </c>
    </row>
    <row r="536" spans="1:11" x14ac:dyDescent="0.25">
      <c r="A536" s="123">
        <v>535</v>
      </c>
      <c r="B536" s="2" t="s">
        <v>607</v>
      </c>
      <c r="C536" s="123" t="s">
        <v>162</v>
      </c>
      <c r="D536" t="s">
        <v>3017</v>
      </c>
      <c r="E536" t="s">
        <v>4389</v>
      </c>
      <c r="F536" t="s">
        <v>4390</v>
      </c>
      <c r="G536" t="s">
        <v>3368</v>
      </c>
      <c r="H536" t="s">
        <v>4391</v>
      </c>
      <c r="I536" t="s">
        <v>3072</v>
      </c>
      <c r="J536" t="s">
        <v>3853</v>
      </c>
      <c r="K536" t="s">
        <v>4392</v>
      </c>
    </row>
    <row r="537" spans="1:11" x14ac:dyDescent="0.25">
      <c r="A537" s="123">
        <v>536</v>
      </c>
      <c r="B537" s="2" t="s">
        <v>607</v>
      </c>
      <c r="C537" s="123" t="s">
        <v>170</v>
      </c>
      <c r="D537" t="s">
        <v>4393</v>
      </c>
      <c r="E537" t="s">
        <v>4394</v>
      </c>
      <c r="F537" t="s">
        <v>4395</v>
      </c>
      <c r="G537" t="s">
        <v>4396</v>
      </c>
      <c r="H537" t="s">
        <v>4397</v>
      </c>
      <c r="I537" s="80" t="s">
        <v>4398</v>
      </c>
      <c r="J537" t="s">
        <v>4001</v>
      </c>
      <c r="K537" t="s">
        <v>4399</v>
      </c>
    </row>
    <row r="538" spans="1:11" x14ac:dyDescent="0.25">
      <c r="A538" s="123">
        <v>537</v>
      </c>
      <c r="B538" s="2" t="s">
        <v>607</v>
      </c>
      <c r="C538" s="123" t="s">
        <v>178</v>
      </c>
      <c r="D538" t="s">
        <v>4400</v>
      </c>
      <c r="E538" t="s">
        <v>4401</v>
      </c>
      <c r="F538" t="s">
        <v>4402</v>
      </c>
      <c r="G538" t="s">
        <v>4403</v>
      </c>
      <c r="H538" t="s">
        <v>4404</v>
      </c>
      <c r="I538" s="80" t="s">
        <v>4405</v>
      </c>
      <c r="J538" t="s">
        <v>4406</v>
      </c>
      <c r="K538" t="s">
        <v>4407</v>
      </c>
    </row>
    <row r="539" spans="1:11" x14ac:dyDescent="0.25">
      <c r="A539" s="123">
        <v>538</v>
      </c>
      <c r="B539" s="2" t="s">
        <v>607</v>
      </c>
      <c r="C539" s="123" t="s">
        <v>163</v>
      </c>
      <c r="D539" t="s">
        <v>3973</v>
      </c>
      <c r="E539" s="80" t="s">
        <v>4408</v>
      </c>
      <c r="F539" t="s">
        <v>4409</v>
      </c>
      <c r="G539" t="s">
        <v>3331</v>
      </c>
      <c r="H539" t="s">
        <v>4410</v>
      </c>
      <c r="I539" s="80" t="s">
        <v>4411</v>
      </c>
      <c r="J539" t="s">
        <v>3588</v>
      </c>
      <c r="K539" s="80" t="s">
        <v>4412</v>
      </c>
    </row>
    <row r="540" spans="1:11" x14ac:dyDescent="0.25">
      <c r="A540" s="123">
        <v>539</v>
      </c>
      <c r="B540" s="2" t="s">
        <v>607</v>
      </c>
      <c r="C540" s="123" t="s">
        <v>181</v>
      </c>
      <c r="D540" t="s">
        <v>2357</v>
      </c>
      <c r="E540" s="80" t="s">
        <v>4413</v>
      </c>
      <c r="F540" t="s">
        <v>4414</v>
      </c>
      <c r="G540" t="s">
        <v>4369</v>
      </c>
      <c r="H540" t="s">
        <v>4415</v>
      </c>
      <c r="I540" t="s">
        <v>4416</v>
      </c>
      <c r="J540" t="s">
        <v>4166</v>
      </c>
      <c r="K540" t="s">
        <v>4417</v>
      </c>
    </row>
    <row r="541" spans="1:11" x14ac:dyDescent="0.25">
      <c r="A541" s="123">
        <v>540</v>
      </c>
      <c r="B541" s="2" t="s">
        <v>607</v>
      </c>
      <c r="C541" s="123" t="s">
        <v>183</v>
      </c>
      <c r="D541" t="s">
        <v>2569</v>
      </c>
      <c r="E541" s="80" t="s">
        <v>4418</v>
      </c>
      <c r="F541" t="s">
        <v>4419</v>
      </c>
      <c r="G541" t="s">
        <v>4420</v>
      </c>
      <c r="H541" t="s">
        <v>4421</v>
      </c>
      <c r="I541" s="80" t="s">
        <v>4422</v>
      </c>
      <c r="J541" t="s">
        <v>3565</v>
      </c>
      <c r="K541" t="s">
        <v>4423</v>
      </c>
    </row>
    <row r="542" spans="1:11" x14ac:dyDescent="0.25">
      <c r="A542" s="123">
        <v>541</v>
      </c>
      <c r="B542" s="2" t="s">
        <v>607</v>
      </c>
      <c r="C542" s="123" t="s">
        <v>186</v>
      </c>
      <c r="D542" t="s">
        <v>4424</v>
      </c>
      <c r="E542" t="s">
        <v>4425</v>
      </c>
      <c r="F542" t="s">
        <v>4426</v>
      </c>
      <c r="G542" t="s">
        <v>3265</v>
      </c>
      <c r="H542" t="s">
        <v>4427</v>
      </c>
      <c r="I542" s="80" t="s">
        <v>4428</v>
      </c>
      <c r="J542" t="s">
        <v>3612</v>
      </c>
      <c r="K542" s="80" t="s">
        <v>4429</v>
      </c>
    </row>
    <row r="543" spans="1:11" x14ac:dyDescent="0.25">
      <c r="A543" s="123">
        <v>542</v>
      </c>
      <c r="B543" s="2" t="s">
        <v>607</v>
      </c>
      <c r="C543" s="123" t="s">
        <v>188</v>
      </c>
      <c r="D543" t="s">
        <v>3838</v>
      </c>
      <c r="E543" s="80" t="s">
        <v>4430</v>
      </c>
      <c r="F543" t="s">
        <v>4431</v>
      </c>
      <c r="G543" t="s">
        <v>3273</v>
      </c>
      <c r="H543" t="s">
        <v>4432</v>
      </c>
      <c r="I543" s="80" t="s">
        <v>4433</v>
      </c>
      <c r="J543" t="s">
        <v>3959</v>
      </c>
      <c r="K543" s="80" t="s">
        <v>4434</v>
      </c>
    </row>
    <row r="544" spans="1:11" x14ac:dyDescent="0.25">
      <c r="A544" s="123">
        <v>543</v>
      </c>
      <c r="B544" s="2" t="s">
        <v>607</v>
      </c>
      <c r="C544" s="123" t="s">
        <v>182</v>
      </c>
      <c r="D544" t="s">
        <v>4254</v>
      </c>
      <c r="E544" t="s">
        <v>4435</v>
      </c>
      <c r="F544" t="s">
        <v>4436</v>
      </c>
      <c r="G544" t="s">
        <v>3780</v>
      </c>
      <c r="H544" t="s">
        <v>4437</v>
      </c>
      <c r="I544">
        <v>202</v>
      </c>
      <c r="J544" t="s">
        <v>4166</v>
      </c>
      <c r="K544" t="s">
        <v>4438</v>
      </c>
    </row>
    <row r="545" spans="1:11" x14ac:dyDescent="0.25">
      <c r="A545" s="123">
        <v>544</v>
      </c>
      <c r="B545" s="2" t="s">
        <v>607</v>
      </c>
      <c r="C545" s="123" t="s">
        <v>184</v>
      </c>
      <c r="D545" t="s">
        <v>4378</v>
      </c>
      <c r="E545" t="s">
        <v>4439</v>
      </c>
      <c r="F545" t="s">
        <v>4440</v>
      </c>
      <c r="G545" t="s">
        <v>4441</v>
      </c>
      <c r="H545" t="s">
        <v>4442</v>
      </c>
      <c r="I545" s="80" t="s">
        <v>4443</v>
      </c>
      <c r="J545" t="s">
        <v>3356</v>
      </c>
      <c r="K545" t="s">
        <v>4444</v>
      </c>
    </row>
    <row r="546" spans="1:11" x14ac:dyDescent="0.25">
      <c r="A546" s="123">
        <v>545</v>
      </c>
      <c r="B546" s="2" t="s">
        <v>607</v>
      </c>
      <c r="C546" s="123" t="s">
        <v>187</v>
      </c>
      <c r="D546" t="s">
        <v>4445</v>
      </c>
      <c r="E546" s="80" t="s">
        <v>4446</v>
      </c>
      <c r="F546" t="s">
        <v>4447</v>
      </c>
      <c r="G546" t="s">
        <v>4448</v>
      </c>
      <c r="H546" t="s">
        <v>4449</v>
      </c>
      <c r="I546" s="80" t="s">
        <v>4450</v>
      </c>
      <c r="J546" t="s">
        <v>4451</v>
      </c>
      <c r="K546" t="s">
        <v>4452</v>
      </c>
    </row>
    <row r="547" spans="1:11" x14ac:dyDescent="0.25">
      <c r="A547" s="123">
        <v>546</v>
      </c>
      <c r="B547" s="2" t="s">
        <v>607</v>
      </c>
      <c r="C547" s="123" t="s">
        <v>189</v>
      </c>
      <c r="D547" t="s">
        <v>4424</v>
      </c>
      <c r="E547" t="s">
        <v>4453</v>
      </c>
      <c r="F547" t="s">
        <v>4454</v>
      </c>
      <c r="G547" t="s">
        <v>3691</v>
      </c>
      <c r="H547" t="s">
        <v>4455</v>
      </c>
      <c r="I547" s="80" t="s">
        <v>4456</v>
      </c>
      <c r="J547" t="s">
        <v>3740</v>
      </c>
      <c r="K547" t="s">
        <v>4457</v>
      </c>
    </row>
    <row r="548" spans="1:11" x14ac:dyDescent="0.25">
      <c r="A548" s="123">
        <v>547</v>
      </c>
      <c r="B548" s="2" t="s">
        <v>608</v>
      </c>
      <c r="C548" s="123" t="s">
        <v>162</v>
      </c>
      <c r="D548" t="s">
        <v>2299</v>
      </c>
      <c r="E548" s="80" t="s">
        <v>4458</v>
      </c>
      <c r="F548" t="s">
        <v>4459</v>
      </c>
      <c r="G548" t="s">
        <v>3375</v>
      </c>
      <c r="H548" t="s">
        <v>4322</v>
      </c>
      <c r="I548" t="s">
        <v>4460</v>
      </c>
      <c r="J548" t="s">
        <v>3853</v>
      </c>
      <c r="K548" t="s">
        <v>4461</v>
      </c>
    </row>
    <row r="549" spans="1:11" x14ac:dyDescent="0.25">
      <c r="A549" s="123">
        <v>548</v>
      </c>
      <c r="B549" s="2" t="s">
        <v>608</v>
      </c>
      <c r="C549" s="123" t="s">
        <v>170</v>
      </c>
      <c r="D549" t="s">
        <v>4254</v>
      </c>
      <c r="E549" s="80" t="s">
        <v>4462</v>
      </c>
      <c r="F549" t="s">
        <v>4463</v>
      </c>
      <c r="G549" t="s">
        <v>3691</v>
      </c>
      <c r="H549" t="s">
        <v>4464</v>
      </c>
      <c r="I549" s="80" t="s">
        <v>4465</v>
      </c>
      <c r="J549" t="s">
        <v>3853</v>
      </c>
      <c r="K549" t="s">
        <v>4466</v>
      </c>
    </row>
    <row r="550" spans="1:11" x14ac:dyDescent="0.25">
      <c r="A550" s="123">
        <v>549</v>
      </c>
      <c r="B550" s="2" t="s">
        <v>608</v>
      </c>
      <c r="C550" s="123" t="s">
        <v>178</v>
      </c>
      <c r="D550" t="s">
        <v>2653</v>
      </c>
      <c r="E550" s="80" t="s">
        <v>4467</v>
      </c>
      <c r="F550" t="s">
        <v>4468</v>
      </c>
      <c r="G550" t="s">
        <v>3368</v>
      </c>
      <c r="H550" t="s">
        <v>4469</v>
      </c>
      <c r="I550" s="80" t="s">
        <v>4470</v>
      </c>
      <c r="J550" t="s">
        <v>4007</v>
      </c>
      <c r="K550" t="s">
        <v>4471</v>
      </c>
    </row>
    <row r="551" spans="1:11" x14ac:dyDescent="0.25">
      <c r="A551" s="123">
        <v>550</v>
      </c>
      <c r="B551" s="2" t="s">
        <v>608</v>
      </c>
      <c r="C551" s="123" t="s">
        <v>163</v>
      </c>
      <c r="D551" t="s">
        <v>3078</v>
      </c>
      <c r="E551" s="80" t="s">
        <v>4472</v>
      </c>
      <c r="F551" t="s">
        <v>4473</v>
      </c>
      <c r="G551" t="s">
        <v>3368</v>
      </c>
      <c r="H551" t="s">
        <v>4474</v>
      </c>
      <c r="I551" s="80" t="s">
        <v>4475</v>
      </c>
      <c r="J551" t="s">
        <v>3888</v>
      </c>
      <c r="K551" t="s">
        <v>4476</v>
      </c>
    </row>
    <row r="552" spans="1:11" x14ac:dyDescent="0.25">
      <c r="A552" s="123">
        <v>551</v>
      </c>
      <c r="B552" s="2" t="s">
        <v>608</v>
      </c>
      <c r="C552" s="123" t="s">
        <v>181</v>
      </c>
      <c r="D552" t="s">
        <v>4366</v>
      </c>
      <c r="E552" t="s">
        <v>4477</v>
      </c>
      <c r="F552" t="s">
        <v>4436</v>
      </c>
      <c r="G552" t="s">
        <v>3265</v>
      </c>
      <c r="H552" t="s">
        <v>4437</v>
      </c>
      <c r="I552" t="s">
        <v>4478</v>
      </c>
      <c r="J552" t="s">
        <v>4479</v>
      </c>
      <c r="K552" t="s">
        <v>4480</v>
      </c>
    </row>
    <row r="553" spans="1:11" x14ac:dyDescent="0.25">
      <c r="A553" s="123">
        <v>552</v>
      </c>
      <c r="B553" s="2" t="s">
        <v>608</v>
      </c>
      <c r="C553" s="123" t="s">
        <v>183</v>
      </c>
      <c r="D553" t="s">
        <v>4481</v>
      </c>
      <c r="E553" t="s">
        <v>4482</v>
      </c>
      <c r="F553" t="s">
        <v>4483</v>
      </c>
      <c r="G553" t="s">
        <v>4484</v>
      </c>
      <c r="H553" t="s">
        <v>4485</v>
      </c>
      <c r="I553" t="s">
        <v>4486</v>
      </c>
      <c r="J553" t="s">
        <v>4487</v>
      </c>
      <c r="K553" t="s">
        <v>4488</v>
      </c>
    </row>
    <row r="554" spans="1:11" x14ac:dyDescent="0.25">
      <c r="A554" s="123">
        <v>553</v>
      </c>
      <c r="B554" s="2" t="s">
        <v>608</v>
      </c>
      <c r="C554" s="123" t="s">
        <v>186</v>
      </c>
      <c r="D554" t="s">
        <v>2449</v>
      </c>
      <c r="E554" t="s">
        <v>2660</v>
      </c>
      <c r="F554" t="s">
        <v>4489</v>
      </c>
      <c r="G554" t="s">
        <v>4303</v>
      </c>
      <c r="H554" t="s">
        <v>4490</v>
      </c>
      <c r="I554" t="s">
        <v>4491</v>
      </c>
      <c r="J554" t="s">
        <v>3916</v>
      </c>
      <c r="K554" t="s">
        <v>4492</v>
      </c>
    </row>
    <row r="555" spans="1:11" x14ac:dyDescent="0.25">
      <c r="A555" s="123">
        <v>554</v>
      </c>
      <c r="B555" s="2" t="s">
        <v>608</v>
      </c>
      <c r="C555" s="123" t="s">
        <v>188</v>
      </c>
      <c r="D555" s="122" t="s">
        <v>583</v>
      </c>
      <c r="E555" s="122" t="s">
        <v>4493</v>
      </c>
      <c r="F555" s="122" t="s">
        <v>583</v>
      </c>
      <c r="G555" s="122" t="s">
        <v>3521</v>
      </c>
      <c r="H555" s="122" t="s">
        <v>4494</v>
      </c>
      <c r="I555" s="122" t="s">
        <v>2380</v>
      </c>
      <c r="J555" s="122" t="s">
        <v>583</v>
      </c>
      <c r="K555" s="122" t="s">
        <v>4495</v>
      </c>
    </row>
    <row r="556" spans="1:11" x14ac:dyDescent="0.25">
      <c r="A556" s="123">
        <v>555</v>
      </c>
      <c r="B556" s="2" t="s">
        <v>608</v>
      </c>
      <c r="C556" s="123" t="s">
        <v>182</v>
      </c>
      <c r="D556" t="s">
        <v>583</v>
      </c>
      <c r="E556" t="s">
        <v>4496</v>
      </c>
      <c r="F556" t="s">
        <v>583</v>
      </c>
      <c r="G556" t="s">
        <v>583</v>
      </c>
      <c r="H556" t="s">
        <v>583</v>
      </c>
      <c r="I556" t="s">
        <v>583</v>
      </c>
      <c r="J556" t="s">
        <v>583</v>
      </c>
      <c r="K556" t="s">
        <v>583</v>
      </c>
    </row>
    <row r="557" spans="1:11" x14ac:dyDescent="0.25">
      <c r="A557" s="123">
        <v>556</v>
      </c>
      <c r="B557" s="2" t="s">
        <v>608</v>
      </c>
      <c r="C557" s="123" t="s">
        <v>184</v>
      </c>
      <c r="D557" t="s">
        <v>4497</v>
      </c>
      <c r="E557" t="s">
        <v>4498</v>
      </c>
      <c r="F557" t="s">
        <v>4499</v>
      </c>
      <c r="G557" t="s">
        <v>3404</v>
      </c>
      <c r="H557" t="s">
        <v>4500</v>
      </c>
      <c r="I557" s="80" t="s">
        <v>4501</v>
      </c>
      <c r="J557" t="s">
        <v>3783</v>
      </c>
      <c r="K557" t="s">
        <v>4502</v>
      </c>
    </row>
    <row r="558" spans="1:11" x14ac:dyDescent="0.25">
      <c r="A558" s="123">
        <v>557</v>
      </c>
      <c r="B558" s="2" t="s">
        <v>608</v>
      </c>
      <c r="C558" s="123" t="s">
        <v>187</v>
      </c>
      <c r="D558" t="s">
        <v>4503</v>
      </c>
      <c r="E558" t="s">
        <v>4504</v>
      </c>
      <c r="F558" t="s">
        <v>4505</v>
      </c>
      <c r="G558" t="s">
        <v>3273</v>
      </c>
      <c r="H558" t="s">
        <v>4506</v>
      </c>
      <c r="I558" s="80" t="s">
        <v>4507</v>
      </c>
      <c r="J558" t="s">
        <v>3971</v>
      </c>
      <c r="K558" t="s">
        <v>4508</v>
      </c>
    </row>
    <row r="559" spans="1:11" x14ac:dyDescent="0.25">
      <c r="A559" s="123">
        <v>558</v>
      </c>
      <c r="B559" s="2" t="s">
        <v>608</v>
      </c>
      <c r="C559" s="123" t="s">
        <v>189</v>
      </c>
      <c r="D559" t="s">
        <v>4509</v>
      </c>
      <c r="E559" t="s">
        <v>4510</v>
      </c>
      <c r="F559" t="s">
        <v>4511</v>
      </c>
      <c r="G559" t="s">
        <v>3691</v>
      </c>
      <c r="H559" t="s">
        <v>4512</v>
      </c>
      <c r="I559" s="80" t="s">
        <v>4513</v>
      </c>
      <c r="J559" t="s">
        <v>3959</v>
      </c>
      <c r="K559" t="s">
        <v>4514</v>
      </c>
    </row>
    <row r="560" spans="1:11" x14ac:dyDescent="0.25">
      <c r="A560" s="123">
        <v>559</v>
      </c>
      <c r="B560" s="2" t="s">
        <v>609</v>
      </c>
      <c r="C560" s="123" t="s">
        <v>162</v>
      </c>
      <c r="D560" t="s">
        <v>2344</v>
      </c>
      <c r="E560" s="80" t="s">
        <v>4515</v>
      </c>
      <c r="F560" t="s">
        <v>4516</v>
      </c>
      <c r="G560" t="s">
        <v>3398</v>
      </c>
      <c r="H560" t="s">
        <v>4517</v>
      </c>
      <c r="I560" t="s">
        <v>4518</v>
      </c>
      <c r="J560" t="s">
        <v>3971</v>
      </c>
      <c r="K560" t="s">
        <v>4519</v>
      </c>
    </row>
    <row r="561" spans="1:11" x14ac:dyDescent="0.25">
      <c r="A561" s="123">
        <v>560</v>
      </c>
      <c r="B561" s="2" t="s">
        <v>609</v>
      </c>
      <c r="C561" s="123" t="s">
        <v>170</v>
      </c>
      <c r="D561" t="s">
        <v>2692</v>
      </c>
      <c r="E561" s="80" t="s">
        <v>4520</v>
      </c>
      <c r="F561" t="s">
        <v>4521</v>
      </c>
      <c r="G561" t="s">
        <v>4522</v>
      </c>
      <c r="H561" t="s">
        <v>4523</v>
      </c>
      <c r="I561" s="80" t="s">
        <v>4524</v>
      </c>
      <c r="J561" t="s">
        <v>4525</v>
      </c>
      <c r="K561" t="s">
        <v>4526</v>
      </c>
    </row>
    <row r="562" spans="1:11" x14ac:dyDescent="0.25">
      <c r="A562" s="123">
        <v>561</v>
      </c>
      <c r="B562" s="2" t="s">
        <v>609</v>
      </c>
      <c r="C562" s="123" t="s">
        <v>178</v>
      </c>
      <c r="D562" t="s">
        <v>4527</v>
      </c>
      <c r="E562" s="80" t="s">
        <v>4528</v>
      </c>
      <c r="F562" t="s">
        <v>4529</v>
      </c>
      <c r="G562" t="s">
        <v>4530</v>
      </c>
      <c r="H562" s="80" t="s">
        <v>4531</v>
      </c>
      <c r="I562" s="80" t="s">
        <v>4532</v>
      </c>
      <c r="J562" t="s">
        <v>4533</v>
      </c>
      <c r="K562" t="s">
        <v>4534</v>
      </c>
    </row>
    <row r="563" spans="1:11" x14ac:dyDescent="0.25">
      <c r="A563" s="123">
        <v>562</v>
      </c>
      <c r="B563" s="2" t="s">
        <v>609</v>
      </c>
      <c r="C563" s="123" t="s">
        <v>163</v>
      </c>
      <c r="D563" t="s">
        <v>4535</v>
      </c>
      <c r="E563" s="80" t="s">
        <v>4536</v>
      </c>
      <c r="F563" t="s">
        <v>4537</v>
      </c>
      <c r="G563" t="s">
        <v>3281</v>
      </c>
      <c r="H563" t="s">
        <v>4538</v>
      </c>
      <c r="I563" s="80" t="s">
        <v>4539</v>
      </c>
      <c r="J563" t="s">
        <v>3870</v>
      </c>
      <c r="K563" s="80" t="s">
        <v>4540</v>
      </c>
    </row>
    <row r="564" spans="1:11" x14ac:dyDescent="0.25">
      <c r="A564" s="123">
        <v>563</v>
      </c>
      <c r="B564" s="2" t="s">
        <v>609</v>
      </c>
      <c r="C564" s="123" t="s">
        <v>181</v>
      </c>
      <c r="D564" t="s">
        <v>2412</v>
      </c>
      <c r="E564" s="80" t="s">
        <v>4541</v>
      </c>
      <c r="F564" t="s">
        <v>4542</v>
      </c>
      <c r="G564" t="s">
        <v>3316</v>
      </c>
      <c r="H564" t="s">
        <v>4543</v>
      </c>
      <c r="I564" t="s">
        <v>4544</v>
      </c>
      <c r="J564" t="s">
        <v>3783</v>
      </c>
      <c r="K564" t="s">
        <v>4545</v>
      </c>
    </row>
    <row r="565" spans="1:11" x14ac:dyDescent="0.25">
      <c r="A565" s="123">
        <v>564</v>
      </c>
      <c r="B565" s="2" t="s">
        <v>609</v>
      </c>
      <c r="C565" s="123" t="s">
        <v>183</v>
      </c>
      <c r="D565" t="s">
        <v>2299</v>
      </c>
      <c r="E565" t="s">
        <v>4546</v>
      </c>
      <c r="F565" t="s">
        <v>4547</v>
      </c>
      <c r="G565" t="s">
        <v>3375</v>
      </c>
      <c r="H565" t="s">
        <v>4548</v>
      </c>
      <c r="I565" s="80" t="s">
        <v>4549</v>
      </c>
      <c r="J565" t="s">
        <v>3565</v>
      </c>
      <c r="K565" t="s">
        <v>4550</v>
      </c>
    </row>
    <row r="566" spans="1:11" x14ac:dyDescent="0.25">
      <c r="A566" s="123">
        <v>565</v>
      </c>
      <c r="B566" s="2" t="s">
        <v>609</v>
      </c>
      <c r="C566" s="123" t="s">
        <v>186</v>
      </c>
      <c r="D566" t="s">
        <v>3017</v>
      </c>
      <c r="E566" s="80" t="s">
        <v>4551</v>
      </c>
      <c r="F566" s="80" t="s">
        <v>4552</v>
      </c>
      <c r="G566" t="s">
        <v>3273</v>
      </c>
      <c r="H566" s="80" t="s">
        <v>4553</v>
      </c>
      <c r="I566" s="80" t="s">
        <v>4554</v>
      </c>
      <c r="J566" t="s">
        <v>3916</v>
      </c>
      <c r="K566" t="s">
        <v>4555</v>
      </c>
    </row>
    <row r="567" spans="1:11" x14ac:dyDescent="0.25">
      <c r="A567" s="123">
        <v>566</v>
      </c>
      <c r="B567" s="2" t="s">
        <v>609</v>
      </c>
      <c r="C567" s="123" t="s">
        <v>188</v>
      </c>
      <c r="D567" t="s">
        <v>3872</v>
      </c>
      <c r="E567" s="80" t="s">
        <v>4556</v>
      </c>
      <c r="F567" t="s">
        <v>4557</v>
      </c>
      <c r="G567" t="s">
        <v>3293</v>
      </c>
      <c r="H567" t="s">
        <v>4558</v>
      </c>
      <c r="I567" s="80" t="s">
        <v>4559</v>
      </c>
      <c r="J567" t="s">
        <v>3888</v>
      </c>
      <c r="K567" t="s">
        <v>4560</v>
      </c>
    </row>
    <row r="568" spans="1:11" x14ac:dyDescent="0.25">
      <c r="A568" s="123">
        <v>567</v>
      </c>
      <c r="B568" s="2" t="s">
        <v>609</v>
      </c>
      <c r="C568" s="123" t="s">
        <v>182</v>
      </c>
      <c r="D568" t="s">
        <v>4366</v>
      </c>
      <c r="E568" t="s">
        <v>4561</v>
      </c>
      <c r="F568" t="s">
        <v>4562</v>
      </c>
      <c r="G568" t="s">
        <v>3288</v>
      </c>
      <c r="H568" t="s">
        <v>4563</v>
      </c>
      <c r="I568" t="s">
        <v>4277</v>
      </c>
      <c r="J568" t="s">
        <v>4243</v>
      </c>
      <c r="K568" t="s">
        <v>4564</v>
      </c>
    </row>
    <row r="569" spans="1:11" x14ac:dyDescent="0.25">
      <c r="A569" s="123">
        <v>568</v>
      </c>
      <c r="B569" s="2" t="s">
        <v>609</v>
      </c>
      <c r="C569" s="123" t="s">
        <v>184</v>
      </c>
      <c r="D569" t="s">
        <v>4565</v>
      </c>
      <c r="E569" t="s">
        <v>4566</v>
      </c>
      <c r="F569" t="s">
        <v>4567</v>
      </c>
      <c r="G569" t="s">
        <v>4568</v>
      </c>
      <c r="H569" t="s">
        <v>4569</v>
      </c>
      <c r="I569" s="80" t="s">
        <v>4570</v>
      </c>
      <c r="J569" t="s">
        <v>4571</v>
      </c>
      <c r="K569" t="s">
        <v>4572</v>
      </c>
    </row>
    <row r="570" spans="1:11" x14ac:dyDescent="0.25">
      <c r="A570" s="123">
        <v>569</v>
      </c>
      <c r="B570" s="2" t="s">
        <v>609</v>
      </c>
      <c r="C570" s="123" t="s">
        <v>187</v>
      </c>
      <c r="D570" t="s">
        <v>4209</v>
      </c>
      <c r="E570" s="80" t="s">
        <v>4573</v>
      </c>
      <c r="F570" t="s">
        <v>4574</v>
      </c>
      <c r="G570" t="s">
        <v>4575</v>
      </c>
      <c r="H570" s="80">
        <v>27790</v>
      </c>
      <c r="I570" s="80" t="s">
        <v>4576</v>
      </c>
      <c r="J570" t="s">
        <v>4577</v>
      </c>
      <c r="K570" s="80" t="s">
        <v>4578</v>
      </c>
    </row>
    <row r="571" spans="1:11" x14ac:dyDescent="0.25">
      <c r="A571" s="123">
        <v>570</v>
      </c>
      <c r="B571" s="2" t="s">
        <v>609</v>
      </c>
      <c r="C571" s="123" t="s">
        <v>189</v>
      </c>
      <c r="D571" t="s">
        <v>4579</v>
      </c>
      <c r="E571" t="s">
        <v>4580</v>
      </c>
      <c r="F571" t="s">
        <v>4581</v>
      </c>
      <c r="G571" t="s">
        <v>3273</v>
      </c>
      <c r="H571" t="s">
        <v>4582</v>
      </c>
      <c r="I571" s="80" t="s">
        <v>4583</v>
      </c>
      <c r="J571" t="s">
        <v>3888</v>
      </c>
      <c r="K571" s="80" t="s">
        <v>4584</v>
      </c>
    </row>
    <row r="572" spans="1:11" x14ac:dyDescent="0.25">
      <c r="A572" s="123">
        <v>571</v>
      </c>
      <c r="B572" s="2">
        <v>1043</v>
      </c>
      <c r="C572" s="123" t="s">
        <v>162</v>
      </c>
      <c r="D572" t="s">
        <v>4366</v>
      </c>
      <c r="E572" s="80" t="s">
        <v>4585</v>
      </c>
      <c r="F572" t="s">
        <v>4296</v>
      </c>
      <c r="G572" t="s">
        <v>3316</v>
      </c>
      <c r="H572" t="s">
        <v>4586</v>
      </c>
      <c r="I572" t="s">
        <v>3093</v>
      </c>
      <c r="J572" t="s">
        <v>4243</v>
      </c>
      <c r="K572" t="s">
        <v>4587</v>
      </c>
    </row>
    <row r="573" spans="1:11" x14ac:dyDescent="0.25">
      <c r="A573" s="123">
        <v>572</v>
      </c>
      <c r="B573" s="2">
        <v>1043</v>
      </c>
      <c r="C573" s="123" t="s">
        <v>170</v>
      </c>
      <c r="D573" t="s">
        <v>4424</v>
      </c>
      <c r="E573" s="80" t="s">
        <v>4588</v>
      </c>
      <c r="F573" t="s">
        <v>4589</v>
      </c>
      <c r="G573" t="s">
        <v>3316</v>
      </c>
      <c r="H573" t="s">
        <v>4590</v>
      </c>
      <c r="I573" s="80" t="s">
        <v>4591</v>
      </c>
      <c r="J573" t="s">
        <v>3848</v>
      </c>
      <c r="K573" t="s">
        <v>4592</v>
      </c>
    </row>
    <row r="574" spans="1:11" x14ac:dyDescent="0.25">
      <c r="A574" s="123">
        <v>573</v>
      </c>
      <c r="B574" s="2">
        <v>1043</v>
      </c>
      <c r="C574" s="123" t="s">
        <v>178</v>
      </c>
      <c r="D574" t="s">
        <v>3973</v>
      </c>
      <c r="E574" s="80" t="s">
        <v>4593</v>
      </c>
      <c r="F574" s="80" t="s">
        <v>4594</v>
      </c>
      <c r="G574" t="s">
        <v>3293</v>
      </c>
      <c r="H574" s="80" t="s">
        <v>4595</v>
      </c>
      <c r="I574" s="80" t="s">
        <v>4596</v>
      </c>
      <c r="J574" t="s">
        <v>4007</v>
      </c>
      <c r="K574" t="s">
        <v>4597</v>
      </c>
    </row>
    <row r="575" spans="1:11" x14ac:dyDescent="0.25">
      <c r="A575" s="123">
        <v>574</v>
      </c>
      <c r="B575" s="2">
        <v>1043</v>
      </c>
      <c r="C575" s="123" t="s">
        <v>163</v>
      </c>
      <c r="D575" t="s">
        <v>2435</v>
      </c>
      <c r="E575" s="80" t="s">
        <v>4598</v>
      </c>
      <c r="F575" t="s">
        <v>4599</v>
      </c>
      <c r="G575" t="s">
        <v>3382</v>
      </c>
      <c r="H575" t="s">
        <v>4600</v>
      </c>
      <c r="I575" s="80" t="s">
        <v>4601</v>
      </c>
      <c r="J575" t="s">
        <v>3284</v>
      </c>
      <c r="K575" s="80" t="s">
        <v>4602</v>
      </c>
    </row>
    <row r="576" spans="1:11" x14ac:dyDescent="0.25">
      <c r="A576" s="123">
        <v>575</v>
      </c>
      <c r="B576" s="2">
        <v>1043</v>
      </c>
      <c r="C576" s="123" t="s">
        <v>181</v>
      </c>
      <c r="D576" t="s">
        <v>2562</v>
      </c>
      <c r="E576" s="80" t="s">
        <v>4603</v>
      </c>
      <c r="F576" t="s">
        <v>4604</v>
      </c>
      <c r="G576" t="s">
        <v>3525</v>
      </c>
      <c r="H576" t="s">
        <v>4605</v>
      </c>
      <c r="I576" t="s">
        <v>4606</v>
      </c>
      <c r="J576" t="s">
        <v>3296</v>
      </c>
      <c r="K576" t="s">
        <v>4607</v>
      </c>
    </row>
    <row r="577" spans="1:11" x14ac:dyDescent="0.25">
      <c r="A577" s="123">
        <v>576</v>
      </c>
      <c r="B577" s="2">
        <v>1043</v>
      </c>
      <c r="C577" s="123" t="s">
        <v>183</v>
      </c>
      <c r="D577" t="s">
        <v>4608</v>
      </c>
      <c r="E577" s="80" t="s">
        <v>4609</v>
      </c>
      <c r="F577" t="s">
        <v>4610</v>
      </c>
      <c r="G577" t="s">
        <v>4611</v>
      </c>
      <c r="H577" s="83" t="s">
        <v>4612</v>
      </c>
      <c r="I577" s="80" t="s">
        <v>4613</v>
      </c>
      <c r="J577" t="s">
        <v>4525</v>
      </c>
      <c r="K577" s="80" t="s">
        <v>4614</v>
      </c>
    </row>
    <row r="578" spans="1:11" x14ac:dyDescent="0.25">
      <c r="A578" s="123">
        <v>577</v>
      </c>
      <c r="B578" s="2">
        <v>1043</v>
      </c>
      <c r="C578" s="123" t="s">
        <v>186</v>
      </c>
      <c r="D578" t="s">
        <v>4615</v>
      </c>
      <c r="E578" s="80" t="s">
        <v>4616</v>
      </c>
      <c r="F578" s="80" t="s">
        <v>4617</v>
      </c>
      <c r="G578" t="s">
        <v>4618</v>
      </c>
      <c r="H578" s="80" t="s">
        <v>4619</v>
      </c>
      <c r="I578" s="80" t="s">
        <v>4620</v>
      </c>
      <c r="J578" t="s">
        <v>4352</v>
      </c>
      <c r="K578" s="80" t="s">
        <v>4621</v>
      </c>
    </row>
    <row r="579" spans="1:11" x14ac:dyDescent="0.25">
      <c r="A579" s="123">
        <v>578</v>
      </c>
      <c r="B579" s="2">
        <v>1043</v>
      </c>
      <c r="C579" s="123" t="s">
        <v>188</v>
      </c>
      <c r="D579" t="s">
        <v>2307</v>
      </c>
      <c r="E579" s="80" t="s">
        <v>4622</v>
      </c>
      <c r="F579" t="s">
        <v>4623</v>
      </c>
      <c r="G579" t="s">
        <v>3353</v>
      </c>
      <c r="H579" t="s">
        <v>4624</v>
      </c>
      <c r="I579" t="s">
        <v>4625</v>
      </c>
      <c r="J579" t="s">
        <v>3870</v>
      </c>
      <c r="K579" s="80" t="s">
        <v>4626</v>
      </c>
    </row>
    <row r="580" spans="1:11" x14ac:dyDescent="0.25">
      <c r="A580" s="123">
        <v>579</v>
      </c>
      <c r="B580" s="2">
        <v>1043</v>
      </c>
      <c r="C580" s="123" t="s">
        <v>182</v>
      </c>
      <c r="D580" t="s">
        <v>583</v>
      </c>
      <c r="E580" t="s">
        <v>4627</v>
      </c>
      <c r="F580" t="s">
        <v>583</v>
      </c>
      <c r="G580" t="s">
        <v>583</v>
      </c>
      <c r="H580" t="s">
        <v>583</v>
      </c>
      <c r="I580" t="s">
        <v>3072</v>
      </c>
      <c r="J580" t="s">
        <v>583</v>
      </c>
      <c r="K580" t="s">
        <v>583</v>
      </c>
    </row>
    <row r="581" spans="1:11" x14ac:dyDescent="0.25">
      <c r="A581" s="123">
        <v>580</v>
      </c>
      <c r="B581" s="2">
        <v>1043</v>
      </c>
      <c r="C581" s="123" t="s">
        <v>184</v>
      </c>
      <c r="D581" t="s">
        <v>4628</v>
      </c>
      <c r="E581" t="s">
        <v>4629</v>
      </c>
      <c r="F581" t="s">
        <v>4630</v>
      </c>
      <c r="G581" t="s">
        <v>3404</v>
      </c>
      <c r="H581" t="s">
        <v>4631</v>
      </c>
      <c r="I581" s="80" t="s">
        <v>4632</v>
      </c>
      <c r="J581" t="s">
        <v>4633</v>
      </c>
      <c r="K581" t="s">
        <v>4634</v>
      </c>
    </row>
    <row r="582" spans="1:11" x14ac:dyDescent="0.25">
      <c r="A582" s="123">
        <v>581</v>
      </c>
      <c r="B582" s="2">
        <v>1043</v>
      </c>
      <c r="C582" s="123" t="s">
        <v>187</v>
      </c>
      <c r="D582" t="s">
        <v>2344</v>
      </c>
      <c r="E582" t="s">
        <v>4635</v>
      </c>
      <c r="F582" t="s">
        <v>4636</v>
      </c>
      <c r="G582" t="s">
        <v>3375</v>
      </c>
      <c r="H582" s="80" t="s">
        <v>4637</v>
      </c>
      <c r="I582" s="80" t="s">
        <v>4638</v>
      </c>
      <c r="J582" t="s">
        <v>4118</v>
      </c>
      <c r="K582" t="s">
        <v>4639</v>
      </c>
    </row>
    <row r="583" spans="1:11" x14ac:dyDescent="0.25">
      <c r="A583" s="123">
        <v>582</v>
      </c>
      <c r="B583" s="2">
        <v>1043</v>
      </c>
      <c r="C583" s="123" t="s">
        <v>189</v>
      </c>
      <c r="D583" t="s">
        <v>2858</v>
      </c>
      <c r="E583" t="s">
        <v>4640</v>
      </c>
      <c r="F583" t="s">
        <v>4641</v>
      </c>
      <c r="G583" t="s">
        <v>3293</v>
      </c>
      <c r="H583" t="s">
        <v>4642</v>
      </c>
      <c r="I583" t="s">
        <v>4643</v>
      </c>
      <c r="J583" t="s">
        <v>4118</v>
      </c>
      <c r="K583" s="80" t="s">
        <v>4644</v>
      </c>
    </row>
    <row r="584" spans="1:11" x14ac:dyDescent="0.25">
      <c r="A584" s="123">
        <v>583</v>
      </c>
      <c r="B584" s="2" t="s">
        <v>631</v>
      </c>
      <c r="C584" s="123" t="s">
        <v>162</v>
      </c>
      <c r="D584" t="s">
        <v>2713</v>
      </c>
      <c r="E584" s="80" t="s">
        <v>4645</v>
      </c>
      <c r="F584" t="s">
        <v>4646</v>
      </c>
      <c r="G584" t="s">
        <v>3361</v>
      </c>
      <c r="H584" t="s">
        <v>4647</v>
      </c>
      <c r="I584" t="s">
        <v>4648</v>
      </c>
      <c r="J584" t="s">
        <v>3401</v>
      </c>
      <c r="K584" t="s">
        <v>4649</v>
      </c>
    </row>
    <row r="585" spans="1:11" x14ac:dyDescent="0.25">
      <c r="A585" s="123">
        <v>584</v>
      </c>
      <c r="B585" s="2" t="s">
        <v>631</v>
      </c>
      <c r="C585" s="123" t="s">
        <v>170</v>
      </c>
      <c r="D585" t="s">
        <v>4650</v>
      </c>
      <c r="E585" s="80" t="s">
        <v>4651</v>
      </c>
      <c r="F585" t="s">
        <v>4652</v>
      </c>
      <c r="G585" t="s">
        <v>4653</v>
      </c>
      <c r="H585" t="s">
        <v>4654</v>
      </c>
      <c r="I585" t="s">
        <v>4655</v>
      </c>
      <c r="J585" t="s">
        <v>4656</v>
      </c>
      <c r="K585" t="s">
        <v>4657</v>
      </c>
    </row>
    <row r="586" spans="1:11" x14ac:dyDescent="0.25">
      <c r="A586" s="123">
        <v>585</v>
      </c>
      <c r="B586" s="2" t="s">
        <v>631</v>
      </c>
      <c r="C586" s="123" t="s">
        <v>178</v>
      </c>
      <c r="D586" t="s">
        <v>4481</v>
      </c>
      <c r="E586" s="80" t="s">
        <v>4658</v>
      </c>
      <c r="F586" s="80" t="s">
        <v>4659</v>
      </c>
      <c r="G586" t="s">
        <v>4660</v>
      </c>
      <c r="H586" s="80" t="s">
        <v>4661</v>
      </c>
      <c r="I586" s="80" t="s">
        <v>4662</v>
      </c>
      <c r="J586" t="s">
        <v>3428</v>
      </c>
      <c r="K586" t="s">
        <v>4663</v>
      </c>
    </row>
    <row r="587" spans="1:11" x14ac:dyDescent="0.25">
      <c r="A587" s="123">
        <v>586</v>
      </c>
      <c r="B587" s="2" t="s">
        <v>631</v>
      </c>
      <c r="C587" s="123" t="s">
        <v>163</v>
      </c>
      <c r="D587" t="s">
        <v>4400</v>
      </c>
      <c r="E587" s="80" t="s">
        <v>4664</v>
      </c>
      <c r="F587" t="s">
        <v>4665</v>
      </c>
      <c r="G587" t="s">
        <v>3368</v>
      </c>
      <c r="H587" t="s">
        <v>4666</v>
      </c>
      <c r="I587" s="80" t="s">
        <v>4667</v>
      </c>
      <c r="J587" t="s">
        <v>3476</v>
      </c>
      <c r="K587" s="80" t="s">
        <v>4668</v>
      </c>
    </row>
    <row r="588" spans="1:11" x14ac:dyDescent="0.25">
      <c r="A588" s="123">
        <v>587</v>
      </c>
      <c r="B588" s="2" t="s">
        <v>631</v>
      </c>
      <c r="C588" s="123" t="s">
        <v>181</v>
      </c>
      <c r="D588" t="s">
        <v>2591</v>
      </c>
      <c r="E588" s="80" t="s">
        <v>4669</v>
      </c>
      <c r="F588" t="s">
        <v>4670</v>
      </c>
      <c r="G588" t="s">
        <v>3691</v>
      </c>
      <c r="H588" t="s">
        <v>4671</v>
      </c>
      <c r="I588" t="s">
        <v>4672</v>
      </c>
      <c r="J588" t="s">
        <v>3848</v>
      </c>
      <c r="K588" t="s">
        <v>4673</v>
      </c>
    </row>
    <row r="589" spans="1:11" x14ac:dyDescent="0.25">
      <c r="A589" s="123">
        <v>588</v>
      </c>
      <c r="B589" s="2" t="s">
        <v>631</v>
      </c>
      <c r="C589" s="123" t="s">
        <v>183</v>
      </c>
      <c r="D589" t="s">
        <v>2435</v>
      </c>
      <c r="E589" s="80" t="s">
        <v>4674</v>
      </c>
      <c r="F589" t="s">
        <v>4675</v>
      </c>
      <c r="G589" t="s">
        <v>3323</v>
      </c>
      <c r="H589" t="s">
        <v>4676</v>
      </c>
      <c r="I589" s="80" t="s">
        <v>3421</v>
      </c>
      <c r="J589" t="s">
        <v>3882</v>
      </c>
      <c r="K589" s="80" t="s">
        <v>4677</v>
      </c>
    </row>
    <row r="590" spans="1:11" x14ac:dyDescent="0.25">
      <c r="A590" s="123">
        <v>589</v>
      </c>
      <c r="B590" s="2" t="s">
        <v>631</v>
      </c>
      <c r="C590" s="123" t="s">
        <v>186</v>
      </c>
      <c r="D590" t="s">
        <v>3017</v>
      </c>
      <c r="E590" s="80">
        <v>32025</v>
      </c>
      <c r="F590" s="80" t="s">
        <v>4678</v>
      </c>
      <c r="G590" t="s">
        <v>3323</v>
      </c>
      <c r="H590" s="80" t="s">
        <v>4679</v>
      </c>
      <c r="I590" s="80" t="s">
        <v>4680</v>
      </c>
      <c r="J590" t="s">
        <v>3476</v>
      </c>
      <c r="K590" s="80" t="s">
        <v>4681</v>
      </c>
    </row>
    <row r="591" spans="1:11" x14ac:dyDescent="0.25">
      <c r="A591" s="123">
        <v>590</v>
      </c>
      <c r="B591" s="2" t="s">
        <v>631</v>
      </c>
      <c r="C591" s="123" t="s">
        <v>188</v>
      </c>
      <c r="D591" t="s">
        <v>2344</v>
      </c>
      <c r="E591" s="80" t="s">
        <v>4682</v>
      </c>
      <c r="F591" t="s">
        <v>4683</v>
      </c>
      <c r="G591" t="s">
        <v>3532</v>
      </c>
      <c r="H591" t="s">
        <v>4684</v>
      </c>
      <c r="I591" s="80" t="s">
        <v>4685</v>
      </c>
      <c r="J591" t="s">
        <v>3894</v>
      </c>
      <c r="K591" s="80" t="s">
        <v>4686</v>
      </c>
    </row>
    <row r="592" spans="1:11" x14ac:dyDescent="0.25">
      <c r="A592" s="123">
        <v>591</v>
      </c>
      <c r="B592" s="2" t="s">
        <v>631</v>
      </c>
      <c r="C592" s="123" t="s">
        <v>182</v>
      </c>
      <c r="D592" t="s">
        <v>4687</v>
      </c>
      <c r="E592" t="s">
        <v>4688</v>
      </c>
      <c r="F592" t="s">
        <v>4689</v>
      </c>
      <c r="G592" t="s">
        <v>3288</v>
      </c>
      <c r="H592" t="s">
        <v>4517</v>
      </c>
      <c r="I592" t="s">
        <v>4690</v>
      </c>
      <c r="J592" t="s">
        <v>3407</v>
      </c>
      <c r="K592" t="s">
        <v>4563</v>
      </c>
    </row>
    <row r="593" spans="1:11" x14ac:dyDescent="0.25">
      <c r="A593" s="123">
        <v>592</v>
      </c>
      <c r="B593" s="2" t="s">
        <v>631</v>
      </c>
      <c r="C593" s="123" t="s">
        <v>184</v>
      </c>
      <c r="D593" t="s">
        <v>4691</v>
      </c>
      <c r="E593" t="s">
        <v>4692</v>
      </c>
      <c r="F593" t="s">
        <v>3946</v>
      </c>
      <c r="G593" t="s">
        <v>4693</v>
      </c>
      <c r="H593" t="s">
        <v>4694</v>
      </c>
      <c r="I593" s="80">
        <v>13240</v>
      </c>
      <c r="J593" t="s">
        <v>4695</v>
      </c>
      <c r="K593" t="s">
        <v>4696</v>
      </c>
    </row>
    <row r="594" spans="1:11" x14ac:dyDescent="0.25">
      <c r="A594" s="123">
        <v>593</v>
      </c>
      <c r="B594" s="2" t="s">
        <v>631</v>
      </c>
      <c r="C594" s="123" t="s">
        <v>187</v>
      </c>
      <c r="D594" t="s">
        <v>4697</v>
      </c>
      <c r="E594" t="s">
        <v>4698</v>
      </c>
      <c r="F594" t="s">
        <v>4699</v>
      </c>
      <c r="G594" t="s">
        <v>4700</v>
      </c>
      <c r="H594" s="80" t="s">
        <v>4701</v>
      </c>
      <c r="I594" s="80" t="s">
        <v>4702</v>
      </c>
      <c r="J594" t="s">
        <v>4525</v>
      </c>
      <c r="K594" s="80" t="s">
        <v>4703</v>
      </c>
    </row>
    <row r="595" spans="1:11" x14ac:dyDescent="0.25">
      <c r="A595" s="123">
        <v>594</v>
      </c>
      <c r="B595" s="2" t="s">
        <v>631</v>
      </c>
      <c r="C595" s="123" t="s">
        <v>189</v>
      </c>
      <c r="D595" t="s">
        <v>4153</v>
      </c>
      <c r="E595" t="s">
        <v>4704</v>
      </c>
      <c r="F595" t="s">
        <v>4705</v>
      </c>
      <c r="G595" t="s">
        <v>3398</v>
      </c>
      <c r="H595" s="83" t="s">
        <v>4706</v>
      </c>
      <c r="I595" s="80" t="s">
        <v>4707</v>
      </c>
      <c r="J595" t="s">
        <v>3304</v>
      </c>
      <c r="K595" s="80" t="s">
        <v>4708</v>
      </c>
    </row>
    <row r="596" spans="1:11" x14ac:dyDescent="0.25">
      <c r="A596" s="123">
        <v>595</v>
      </c>
      <c r="B596" s="2" t="s">
        <v>632</v>
      </c>
      <c r="C596" s="123" t="s">
        <v>162</v>
      </c>
      <c r="D596" t="s">
        <v>4687</v>
      </c>
      <c r="E596" t="s">
        <v>4709</v>
      </c>
      <c r="F596" t="s">
        <v>4710</v>
      </c>
      <c r="G596" t="s">
        <v>3316</v>
      </c>
      <c r="H596" s="80" t="s">
        <v>4711</v>
      </c>
      <c r="I596" t="s">
        <v>4478</v>
      </c>
      <c r="J596" t="s">
        <v>3832</v>
      </c>
      <c r="K596" t="s">
        <v>4712</v>
      </c>
    </row>
    <row r="597" spans="1:11" x14ac:dyDescent="0.25">
      <c r="A597" s="123">
        <v>596</v>
      </c>
      <c r="B597" s="2" t="s">
        <v>632</v>
      </c>
      <c r="C597" s="123" t="s">
        <v>170</v>
      </c>
      <c r="D597" t="s">
        <v>2732</v>
      </c>
      <c r="E597" t="s">
        <v>4713</v>
      </c>
      <c r="F597" t="s">
        <v>4714</v>
      </c>
      <c r="G597" t="s">
        <v>3288</v>
      </c>
      <c r="H597" t="s">
        <v>4715</v>
      </c>
      <c r="I597" s="80" t="s">
        <v>4716</v>
      </c>
      <c r="J597" s="80" t="s">
        <v>4717</v>
      </c>
      <c r="K597" t="s">
        <v>4718</v>
      </c>
    </row>
    <row r="598" spans="1:11" x14ac:dyDescent="0.25">
      <c r="A598" s="123">
        <v>597</v>
      </c>
      <c r="B598" s="2" t="s">
        <v>632</v>
      </c>
      <c r="C598" s="123" t="s">
        <v>178</v>
      </c>
      <c r="D598" t="s">
        <v>2405</v>
      </c>
      <c r="E598" t="s">
        <v>4719</v>
      </c>
      <c r="F598" t="s">
        <v>4720</v>
      </c>
      <c r="G598" t="s">
        <v>3293</v>
      </c>
      <c r="H598" t="s">
        <v>4721</v>
      </c>
      <c r="I598" s="80" t="s">
        <v>4722</v>
      </c>
      <c r="J598" t="s">
        <v>3848</v>
      </c>
      <c r="K598" t="s">
        <v>4723</v>
      </c>
    </row>
    <row r="599" spans="1:11" x14ac:dyDescent="0.25">
      <c r="A599" s="123">
        <v>598</v>
      </c>
      <c r="B599" s="2" t="s">
        <v>632</v>
      </c>
      <c r="C599" s="123" t="s">
        <v>163</v>
      </c>
      <c r="D599" t="s">
        <v>3017</v>
      </c>
      <c r="E599" s="80" t="s">
        <v>4724</v>
      </c>
      <c r="F599" t="s">
        <v>4725</v>
      </c>
      <c r="G599" t="s">
        <v>3309</v>
      </c>
      <c r="H599" t="s">
        <v>4726</v>
      </c>
      <c r="I599" s="80" t="s">
        <v>4727</v>
      </c>
      <c r="J599" t="s">
        <v>4118</v>
      </c>
      <c r="K599" t="s">
        <v>4728</v>
      </c>
    </row>
    <row r="600" spans="1:11" x14ac:dyDescent="0.25">
      <c r="A600" s="123">
        <v>599</v>
      </c>
      <c r="B600" s="2" t="s">
        <v>632</v>
      </c>
      <c r="C600" s="123" t="s">
        <v>181</v>
      </c>
      <c r="D600" t="s">
        <v>2867</v>
      </c>
      <c r="E600" s="80" t="s">
        <v>4729</v>
      </c>
      <c r="F600" t="s">
        <v>4730</v>
      </c>
      <c r="G600" t="s">
        <v>3301</v>
      </c>
      <c r="H600" t="s">
        <v>4731</v>
      </c>
      <c r="I600" t="s">
        <v>4732</v>
      </c>
      <c r="J600" t="s">
        <v>4118</v>
      </c>
      <c r="K600" t="s">
        <v>4733</v>
      </c>
    </row>
    <row r="601" spans="1:11" x14ac:dyDescent="0.25">
      <c r="A601" s="123">
        <v>600</v>
      </c>
      <c r="B601" s="2" t="s">
        <v>632</v>
      </c>
      <c r="C601" s="123" t="s">
        <v>183</v>
      </c>
      <c r="D601" t="s">
        <v>4734</v>
      </c>
      <c r="E601" s="80" t="s">
        <v>4735</v>
      </c>
      <c r="F601" t="s">
        <v>4736</v>
      </c>
      <c r="G601" t="s">
        <v>4737</v>
      </c>
      <c r="H601" t="s">
        <v>4738</v>
      </c>
      <c r="I601" s="80" t="s">
        <v>4739</v>
      </c>
      <c r="J601" t="s">
        <v>4740</v>
      </c>
      <c r="K601" t="s">
        <v>3386</v>
      </c>
    </row>
    <row r="602" spans="1:11" x14ac:dyDescent="0.25">
      <c r="A602" s="123">
        <v>601</v>
      </c>
      <c r="B602" s="2" t="s">
        <v>632</v>
      </c>
      <c r="C602" s="123" t="s">
        <v>186</v>
      </c>
      <c r="D602" t="s">
        <v>3058</v>
      </c>
      <c r="E602" s="80" t="s">
        <v>4741</v>
      </c>
      <c r="F602" s="80" t="s">
        <v>4742</v>
      </c>
      <c r="G602" t="s">
        <v>4743</v>
      </c>
      <c r="H602" t="s">
        <v>4744</v>
      </c>
      <c r="I602" s="80" t="s">
        <v>4745</v>
      </c>
      <c r="J602" t="s">
        <v>4746</v>
      </c>
      <c r="K602" s="80" t="s">
        <v>4747</v>
      </c>
    </row>
    <row r="603" spans="1:11" x14ac:dyDescent="0.25">
      <c r="A603" s="123">
        <v>602</v>
      </c>
      <c r="B603" s="2" t="s">
        <v>632</v>
      </c>
      <c r="C603" s="123" t="s">
        <v>188</v>
      </c>
      <c r="D603" t="s">
        <v>4748</v>
      </c>
      <c r="E603" s="80" t="s">
        <v>4749</v>
      </c>
      <c r="F603" t="s">
        <v>4750</v>
      </c>
      <c r="G603" t="s">
        <v>3398</v>
      </c>
      <c r="H603" t="s">
        <v>4751</v>
      </c>
      <c r="I603" s="80" t="s">
        <v>4752</v>
      </c>
      <c r="J603" t="s">
        <v>4364</v>
      </c>
      <c r="K603" t="s">
        <v>4753</v>
      </c>
    </row>
    <row r="604" spans="1:11" x14ac:dyDescent="0.25">
      <c r="A604" s="123">
        <v>603</v>
      </c>
      <c r="B604" s="2" t="s">
        <v>632</v>
      </c>
      <c r="C604" s="123" t="s">
        <v>182</v>
      </c>
      <c r="D604" t="s">
        <v>3938</v>
      </c>
      <c r="E604" t="s">
        <v>4754</v>
      </c>
      <c r="F604" t="s">
        <v>4755</v>
      </c>
      <c r="G604" s="80" t="s">
        <v>3521</v>
      </c>
      <c r="H604" t="s">
        <v>4756</v>
      </c>
      <c r="I604" t="s">
        <v>4757</v>
      </c>
      <c r="J604" t="s">
        <v>3832</v>
      </c>
      <c r="K604" t="s">
        <v>4758</v>
      </c>
    </row>
    <row r="605" spans="1:11" x14ac:dyDescent="0.25">
      <c r="A605" s="123">
        <v>604</v>
      </c>
      <c r="B605" s="2" t="s">
        <v>632</v>
      </c>
      <c r="C605" s="123" t="s">
        <v>184</v>
      </c>
      <c r="D605" t="s">
        <v>2372</v>
      </c>
      <c r="E605" t="s">
        <v>4759</v>
      </c>
      <c r="F605" t="s">
        <v>4760</v>
      </c>
      <c r="G605" t="s">
        <v>4369</v>
      </c>
      <c r="H605" t="s">
        <v>4761</v>
      </c>
      <c r="I605" s="80" t="s">
        <v>4762</v>
      </c>
      <c r="J605" t="s">
        <v>3811</v>
      </c>
      <c r="K605" t="s">
        <v>4763</v>
      </c>
    </row>
    <row r="606" spans="1:11" x14ac:dyDescent="0.25">
      <c r="A606" s="123">
        <v>605</v>
      </c>
      <c r="B606" s="2" t="s">
        <v>632</v>
      </c>
      <c r="C606" s="123" t="s">
        <v>187</v>
      </c>
      <c r="D606" t="s">
        <v>4764</v>
      </c>
      <c r="E606" t="s">
        <v>4765</v>
      </c>
      <c r="F606" t="s">
        <v>4766</v>
      </c>
      <c r="G606" t="s">
        <v>4767</v>
      </c>
      <c r="H606" s="80" t="s">
        <v>4768</v>
      </c>
      <c r="I606" s="80" t="s">
        <v>4769</v>
      </c>
      <c r="J606" t="s">
        <v>3452</v>
      </c>
      <c r="K606" s="80" t="s">
        <v>4770</v>
      </c>
    </row>
    <row r="607" spans="1:11" x14ac:dyDescent="0.25">
      <c r="A607" s="123">
        <v>606</v>
      </c>
      <c r="B607" s="2" t="s">
        <v>632</v>
      </c>
      <c r="C607" s="123" t="s">
        <v>189</v>
      </c>
      <c r="D607" t="s">
        <v>4771</v>
      </c>
      <c r="E607" t="s">
        <v>4772</v>
      </c>
      <c r="F607" t="s">
        <v>4773</v>
      </c>
      <c r="G607" t="s">
        <v>3323</v>
      </c>
      <c r="H607" t="s">
        <v>4774</v>
      </c>
      <c r="I607" s="80" t="s">
        <v>4775</v>
      </c>
      <c r="J607" t="s">
        <v>3401</v>
      </c>
      <c r="K607" s="80" t="s">
        <v>4776</v>
      </c>
    </row>
    <row r="608" spans="1:11" x14ac:dyDescent="0.25">
      <c r="A608" s="123">
        <v>607</v>
      </c>
      <c r="B608" s="2">
        <v>1044</v>
      </c>
      <c r="C608" s="123" t="s">
        <v>162</v>
      </c>
      <c r="D608" t="s">
        <v>4777</v>
      </c>
      <c r="E608" t="s">
        <v>4778</v>
      </c>
      <c r="F608" t="s">
        <v>4779</v>
      </c>
      <c r="G608" t="s">
        <v>3288</v>
      </c>
      <c r="H608" t="s">
        <v>583</v>
      </c>
      <c r="I608" t="s">
        <v>3899</v>
      </c>
      <c r="J608" t="s">
        <v>4780</v>
      </c>
      <c r="K608" t="s">
        <v>4564</v>
      </c>
    </row>
    <row r="609" spans="1:11" x14ac:dyDescent="0.25">
      <c r="A609" s="123">
        <v>608</v>
      </c>
      <c r="B609" s="2">
        <v>1044</v>
      </c>
      <c r="C609" s="123" t="s">
        <v>170</v>
      </c>
      <c r="D609" t="s">
        <v>4781</v>
      </c>
      <c r="E609" s="80" t="s">
        <v>4782</v>
      </c>
      <c r="F609" t="s">
        <v>4783</v>
      </c>
      <c r="G609" t="s">
        <v>4420</v>
      </c>
      <c r="H609" t="s">
        <v>4784</v>
      </c>
      <c r="I609" s="80" t="s">
        <v>4785</v>
      </c>
      <c r="J609" t="s">
        <v>4786</v>
      </c>
      <c r="K609" t="s">
        <v>4787</v>
      </c>
    </row>
    <row r="610" spans="1:11" x14ac:dyDescent="0.25">
      <c r="A610" s="123">
        <v>609</v>
      </c>
      <c r="B610" s="2">
        <v>1044</v>
      </c>
      <c r="C610" s="123" t="s">
        <v>178</v>
      </c>
      <c r="D610" t="s">
        <v>4788</v>
      </c>
      <c r="E610" s="80" t="s">
        <v>4789</v>
      </c>
      <c r="F610" t="s">
        <v>4790</v>
      </c>
      <c r="G610" t="s">
        <v>4791</v>
      </c>
      <c r="H610" t="s">
        <v>4792</v>
      </c>
      <c r="I610" s="80" t="s">
        <v>4793</v>
      </c>
      <c r="J610" t="s">
        <v>3284</v>
      </c>
      <c r="K610" s="80" t="s">
        <v>4794</v>
      </c>
    </row>
    <row r="611" spans="1:11" x14ac:dyDescent="0.25">
      <c r="A611" s="123">
        <v>610</v>
      </c>
      <c r="B611" s="2">
        <v>1044</v>
      </c>
      <c r="C611" s="123" t="s">
        <v>163</v>
      </c>
      <c r="D611" t="s">
        <v>4795</v>
      </c>
      <c r="E611" s="80" t="s">
        <v>4796</v>
      </c>
      <c r="F611" t="s">
        <v>4797</v>
      </c>
      <c r="G611" t="s">
        <v>3390</v>
      </c>
      <c r="H611" t="s">
        <v>4798</v>
      </c>
      <c r="I611" s="80" t="s">
        <v>4799</v>
      </c>
      <c r="J611" t="s">
        <v>4072</v>
      </c>
      <c r="K611" s="80" t="s">
        <v>4800</v>
      </c>
    </row>
    <row r="612" spans="1:11" x14ac:dyDescent="0.25">
      <c r="A612" s="123">
        <v>611</v>
      </c>
      <c r="B612" s="2">
        <v>1044</v>
      </c>
      <c r="C612" s="123" t="s">
        <v>181</v>
      </c>
      <c r="D612" t="s">
        <v>3320</v>
      </c>
      <c r="E612" s="80" t="s">
        <v>4801</v>
      </c>
      <c r="F612" t="s">
        <v>4390</v>
      </c>
      <c r="G612" t="s">
        <v>3466</v>
      </c>
      <c r="H612" t="s">
        <v>4802</v>
      </c>
      <c r="I612" t="s">
        <v>4803</v>
      </c>
      <c r="J612" t="s">
        <v>3966</v>
      </c>
      <c r="K612" t="s">
        <v>4804</v>
      </c>
    </row>
    <row r="613" spans="1:11" x14ac:dyDescent="0.25">
      <c r="A613" s="123">
        <v>612</v>
      </c>
      <c r="B613" s="2">
        <v>1044</v>
      </c>
      <c r="C613" s="123" t="s">
        <v>183</v>
      </c>
      <c r="D613" t="s">
        <v>4805</v>
      </c>
      <c r="E613" s="80" t="s">
        <v>4806</v>
      </c>
      <c r="F613" t="s">
        <v>4807</v>
      </c>
      <c r="G613" t="s">
        <v>4808</v>
      </c>
      <c r="H613" t="s">
        <v>4809</v>
      </c>
      <c r="I613" s="80" t="s">
        <v>4810</v>
      </c>
      <c r="J613" t="s">
        <v>4364</v>
      </c>
      <c r="K613" s="80" t="s">
        <v>4811</v>
      </c>
    </row>
    <row r="614" spans="1:11" x14ac:dyDescent="0.25">
      <c r="A614" s="123">
        <v>613</v>
      </c>
      <c r="B614" s="2">
        <v>1044</v>
      </c>
      <c r="C614" s="123" t="s">
        <v>186</v>
      </c>
      <c r="D614" t="s">
        <v>3358</v>
      </c>
      <c r="E614" s="80" t="s">
        <v>4812</v>
      </c>
      <c r="F614" t="s">
        <v>4813</v>
      </c>
      <c r="G614" t="s">
        <v>3301</v>
      </c>
      <c r="H614" t="s">
        <v>4814</v>
      </c>
      <c r="I614" s="80" t="s">
        <v>4815</v>
      </c>
      <c r="J614" t="s">
        <v>3393</v>
      </c>
      <c r="K614" s="80" t="s">
        <v>4816</v>
      </c>
    </row>
    <row r="615" spans="1:11" x14ac:dyDescent="0.25">
      <c r="A615" s="123">
        <v>614</v>
      </c>
      <c r="B615" s="2">
        <v>1044</v>
      </c>
      <c r="C615" s="123" t="s">
        <v>188</v>
      </c>
      <c r="D615" t="s">
        <v>3278</v>
      </c>
      <c r="E615" s="80" t="s">
        <v>4817</v>
      </c>
      <c r="F615" t="s">
        <v>4818</v>
      </c>
      <c r="G615" t="s">
        <v>4791</v>
      </c>
      <c r="H615" t="s">
        <v>4819</v>
      </c>
      <c r="I615" s="80" t="s">
        <v>4820</v>
      </c>
      <c r="J615" t="s">
        <v>4364</v>
      </c>
      <c r="K615" s="80" t="s">
        <v>4821</v>
      </c>
    </row>
    <row r="616" spans="1:11" x14ac:dyDescent="0.25">
      <c r="A616" s="123">
        <v>615</v>
      </c>
      <c r="B616" s="2">
        <v>1044</v>
      </c>
      <c r="C616" s="123" t="s">
        <v>182</v>
      </c>
      <c r="D616" t="s">
        <v>4822</v>
      </c>
      <c r="E616" s="80" t="s">
        <v>3307</v>
      </c>
      <c r="F616" t="s">
        <v>4823</v>
      </c>
      <c r="G616" t="s">
        <v>3748</v>
      </c>
      <c r="H616" t="s">
        <v>4824</v>
      </c>
      <c r="I616" t="s">
        <v>4825</v>
      </c>
      <c r="J616" t="s">
        <v>4243</v>
      </c>
      <c r="K616" t="s">
        <v>2663</v>
      </c>
    </row>
    <row r="617" spans="1:11" x14ac:dyDescent="0.25">
      <c r="A617" s="123">
        <v>616</v>
      </c>
      <c r="B617" s="2">
        <v>1044</v>
      </c>
      <c r="C617" s="123" t="s">
        <v>184</v>
      </c>
      <c r="D617" t="s">
        <v>4826</v>
      </c>
      <c r="E617" s="80" t="s">
        <v>4827</v>
      </c>
      <c r="F617" t="s">
        <v>4828</v>
      </c>
      <c r="G617" t="s">
        <v>3525</v>
      </c>
      <c r="H617" t="s">
        <v>3586</v>
      </c>
      <c r="I617" s="80" t="s">
        <v>4829</v>
      </c>
      <c r="J617" t="s">
        <v>4786</v>
      </c>
      <c r="K617" t="s">
        <v>4830</v>
      </c>
    </row>
    <row r="618" spans="1:11" x14ac:dyDescent="0.25">
      <c r="A618" s="123">
        <v>617</v>
      </c>
      <c r="B618" s="2">
        <v>1044</v>
      </c>
      <c r="C618" s="123" t="s">
        <v>187</v>
      </c>
      <c r="D618">
        <v>92</v>
      </c>
      <c r="E618" s="80" t="s">
        <v>4831</v>
      </c>
      <c r="F618" t="s">
        <v>4832</v>
      </c>
      <c r="G618" t="s">
        <v>3466</v>
      </c>
      <c r="H618" t="s">
        <v>4833</v>
      </c>
      <c r="I618" s="80" t="s">
        <v>4834</v>
      </c>
      <c r="J618" t="s">
        <v>3888</v>
      </c>
      <c r="K618" t="s">
        <v>4835</v>
      </c>
    </row>
    <row r="619" spans="1:11" x14ac:dyDescent="0.25">
      <c r="A619" s="123">
        <v>618</v>
      </c>
      <c r="B619" s="2">
        <v>1044</v>
      </c>
      <c r="C619" s="123" t="s">
        <v>189</v>
      </c>
      <c r="D619" t="s">
        <v>4836</v>
      </c>
      <c r="E619" s="80" t="s">
        <v>4837</v>
      </c>
      <c r="F619" t="s">
        <v>4838</v>
      </c>
      <c r="G619" t="s">
        <v>3301</v>
      </c>
      <c r="H619" t="s">
        <v>4839</v>
      </c>
      <c r="I619" s="80" t="s">
        <v>4840</v>
      </c>
      <c r="J619" t="s">
        <v>4007</v>
      </c>
      <c r="K619" t="s">
        <v>4841</v>
      </c>
    </row>
    <row r="620" spans="1:11" x14ac:dyDescent="0.25">
      <c r="A620" s="123">
        <v>619</v>
      </c>
      <c r="B620" s="2">
        <v>1048</v>
      </c>
      <c r="C620" s="123" t="s">
        <v>162</v>
      </c>
      <c r="D620" t="s">
        <v>3358</v>
      </c>
      <c r="E620" s="80" t="s">
        <v>4842</v>
      </c>
      <c r="F620" t="s">
        <v>4843</v>
      </c>
      <c r="G620" t="s">
        <v>3368</v>
      </c>
      <c r="H620" t="s">
        <v>4844</v>
      </c>
      <c r="I620" t="s">
        <v>4845</v>
      </c>
      <c r="J620" t="s">
        <v>3882</v>
      </c>
      <c r="K620" t="s">
        <v>3572</v>
      </c>
    </row>
    <row r="621" spans="1:11" x14ac:dyDescent="0.25">
      <c r="A621" s="123">
        <v>620</v>
      </c>
      <c r="B621" s="2">
        <v>1048</v>
      </c>
      <c r="C621" s="123" t="s">
        <v>170</v>
      </c>
      <c r="D621" t="s">
        <v>3629</v>
      </c>
      <c r="E621" s="80" t="s">
        <v>4846</v>
      </c>
      <c r="F621" t="s">
        <v>4847</v>
      </c>
      <c r="G621" t="s">
        <v>3323</v>
      </c>
      <c r="H621" t="s">
        <v>4848</v>
      </c>
      <c r="I621" s="80" t="s">
        <v>4849</v>
      </c>
      <c r="J621" t="s">
        <v>3401</v>
      </c>
      <c r="K621" t="s">
        <v>4850</v>
      </c>
    </row>
    <row r="622" spans="1:11" x14ac:dyDescent="0.25">
      <c r="A622" s="123">
        <v>621</v>
      </c>
      <c r="B622" s="2">
        <v>1048</v>
      </c>
      <c r="C622" s="123" t="s">
        <v>178</v>
      </c>
      <c r="D622" t="s">
        <v>3379</v>
      </c>
      <c r="E622" s="80" t="s">
        <v>4851</v>
      </c>
      <c r="F622" s="80" t="s">
        <v>4852</v>
      </c>
      <c r="G622" t="s">
        <v>4791</v>
      </c>
      <c r="H622" t="s">
        <v>4853</v>
      </c>
      <c r="I622" s="80" t="s">
        <v>4854</v>
      </c>
      <c r="J622" t="s">
        <v>4007</v>
      </c>
      <c r="K622" t="s">
        <v>4855</v>
      </c>
    </row>
    <row r="623" spans="1:11" x14ac:dyDescent="0.25">
      <c r="A623" s="123">
        <v>622</v>
      </c>
      <c r="B623" s="2">
        <v>1048</v>
      </c>
      <c r="C623" s="123" t="s">
        <v>163</v>
      </c>
      <c r="D623" t="s">
        <v>4856</v>
      </c>
      <c r="E623" s="80" t="s">
        <v>4857</v>
      </c>
      <c r="F623" t="s">
        <v>4858</v>
      </c>
      <c r="G623" t="s">
        <v>3301</v>
      </c>
      <c r="H623" t="s">
        <v>4859</v>
      </c>
      <c r="I623" s="80" t="s">
        <v>4860</v>
      </c>
      <c r="J623" t="s">
        <v>3476</v>
      </c>
      <c r="K623" s="80" t="s">
        <v>4861</v>
      </c>
    </row>
    <row r="624" spans="1:11" x14ac:dyDescent="0.25">
      <c r="A624" s="123">
        <v>623</v>
      </c>
      <c r="B624" s="2">
        <v>1048</v>
      </c>
      <c r="C624" s="123" t="s">
        <v>181</v>
      </c>
      <c r="D624" t="s">
        <v>4862</v>
      </c>
      <c r="E624" s="80" t="s">
        <v>4863</v>
      </c>
      <c r="F624" t="s">
        <v>4864</v>
      </c>
      <c r="G624" t="s">
        <v>4420</v>
      </c>
      <c r="H624" t="s">
        <v>4865</v>
      </c>
      <c r="I624" t="s">
        <v>4866</v>
      </c>
      <c r="J624" t="s">
        <v>3502</v>
      </c>
      <c r="K624" t="s">
        <v>4867</v>
      </c>
    </row>
    <row r="625" spans="1:11" x14ac:dyDescent="0.25">
      <c r="A625" s="123">
        <v>624</v>
      </c>
      <c r="B625" s="2">
        <v>1048</v>
      </c>
      <c r="C625" s="123" t="s">
        <v>183</v>
      </c>
      <c r="D625" t="s">
        <v>3262</v>
      </c>
      <c r="E625" s="80" t="s">
        <v>4868</v>
      </c>
      <c r="F625" t="s">
        <v>4869</v>
      </c>
      <c r="G625" t="s">
        <v>3525</v>
      </c>
      <c r="H625" t="s">
        <v>4870</v>
      </c>
      <c r="I625" s="80" t="s">
        <v>4871</v>
      </c>
      <c r="J625" t="s">
        <v>4118</v>
      </c>
      <c r="K625" t="s">
        <v>4872</v>
      </c>
    </row>
    <row r="626" spans="1:11" x14ac:dyDescent="0.25">
      <c r="A626" s="123">
        <v>625</v>
      </c>
      <c r="B626" s="2">
        <v>1048</v>
      </c>
      <c r="C626" s="123" t="s">
        <v>186</v>
      </c>
      <c r="D626" t="s">
        <v>4788</v>
      </c>
      <c r="E626" s="80" t="s">
        <v>4873</v>
      </c>
      <c r="F626" t="s">
        <v>4874</v>
      </c>
      <c r="G626" t="s">
        <v>3382</v>
      </c>
      <c r="H626" s="80" t="s">
        <v>4875</v>
      </c>
      <c r="I626" s="80" t="s">
        <v>4876</v>
      </c>
      <c r="J626" t="s">
        <v>3888</v>
      </c>
      <c r="K626" s="80" t="s">
        <v>4877</v>
      </c>
    </row>
    <row r="627" spans="1:11" x14ac:dyDescent="0.25">
      <c r="A627" s="123">
        <v>626</v>
      </c>
      <c r="B627" s="2">
        <v>1048</v>
      </c>
      <c r="C627" s="123" t="s">
        <v>188</v>
      </c>
      <c r="D627" t="s">
        <v>3278</v>
      </c>
      <c r="E627" s="80" t="s">
        <v>4878</v>
      </c>
      <c r="F627" t="s">
        <v>4879</v>
      </c>
      <c r="G627" t="s">
        <v>4791</v>
      </c>
      <c r="H627" t="s">
        <v>4880</v>
      </c>
      <c r="I627" s="80" t="s">
        <v>4881</v>
      </c>
      <c r="J627" t="s">
        <v>4364</v>
      </c>
      <c r="K627" t="s">
        <v>4882</v>
      </c>
    </row>
    <row r="628" spans="1:11" x14ac:dyDescent="0.25">
      <c r="A628" s="123">
        <v>627</v>
      </c>
      <c r="B628" s="2">
        <v>1048</v>
      </c>
      <c r="C628" s="123" t="s">
        <v>182</v>
      </c>
      <c r="D628" t="s">
        <v>4883</v>
      </c>
      <c r="E628" t="s">
        <v>4884</v>
      </c>
      <c r="F628" t="s">
        <v>4459</v>
      </c>
      <c r="G628" t="s">
        <v>4420</v>
      </c>
      <c r="H628" t="s">
        <v>4885</v>
      </c>
      <c r="I628" t="s">
        <v>4886</v>
      </c>
      <c r="J628" t="s">
        <v>3783</v>
      </c>
      <c r="K628" t="s">
        <v>4887</v>
      </c>
    </row>
    <row r="629" spans="1:11" x14ac:dyDescent="0.25">
      <c r="A629" s="123">
        <v>628</v>
      </c>
      <c r="B629" s="2">
        <v>1048</v>
      </c>
      <c r="C629" s="123" t="s">
        <v>184</v>
      </c>
      <c r="D629" t="s">
        <v>3278</v>
      </c>
      <c r="E629" s="80" t="s">
        <v>4888</v>
      </c>
      <c r="F629" t="s">
        <v>4889</v>
      </c>
      <c r="G629" t="s">
        <v>4791</v>
      </c>
      <c r="H629" t="s">
        <v>4890</v>
      </c>
      <c r="I629" s="80" t="s">
        <v>4891</v>
      </c>
      <c r="J629" t="s">
        <v>3401</v>
      </c>
      <c r="K629" t="s">
        <v>4328</v>
      </c>
    </row>
    <row r="630" spans="1:11" x14ac:dyDescent="0.25">
      <c r="A630" s="123">
        <v>629</v>
      </c>
      <c r="B630" s="2">
        <v>1048</v>
      </c>
      <c r="C630" s="123" t="s">
        <v>187</v>
      </c>
      <c r="D630" t="s">
        <v>4892</v>
      </c>
      <c r="E630" s="80" t="s">
        <v>4893</v>
      </c>
      <c r="F630" t="s">
        <v>4894</v>
      </c>
      <c r="G630" t="s">
        <v>3353</v>
      </c>
      <c r="H630" s="80" t="s">
        <v>4895</v>
      </c>
      <c r="I630" s="80" t="s">
        <v>4896</v>
      </c>
      <c r="J630" t="s">
        <v>3284</v>
      </c>
      <c r="K630" t="s">
        <v>4897</v>
      </c>
    </row>
    <row r="631" spans="1:11" x14ac:dyDescent="0.25">
      <c r="A631" s="123">
        <v>630</v>
      </c>
      <c r="B631" s="2">
        <v>1048</v>
      </c>
      <c r="C631" s="123" t="s">
        <v>189</v>
      </c>
      <c r="D631" t="s">
        <v>4883</v>
      </c>
      <c r="E631" s="80" t="s">
        <v>4898</v>
      </c>
      <c r="F631" t="s">
        <v>4899</v>
      </c>
      <c r="G631" t="s">
        <v>3551</v>
      </c>
      <c r="H631" t="s">
        <v>4900</v>
      </c>
      <c r="I631" s="80" t="s">
        <v>4901</v>
      </c>
      <c r="J631" t="s">
        <v>3415</v>
      </c>
      <c r="K631" t="s">
        <v>4902</v>
      </c>
    </row>
    <row r="632" spans="1:11" x14ac:dyDescent="0.25">
      <c r="A632" s="123">
        <v>631</v>
      </c>
      <c r="B632" s="2" t="s">
        <v>610</v>
      </c>
      <c r="C632" s="123" t="s">
        <v>162</v>
      </c>
      <c r="D632" t="s">
        <v>3270</v>
      </c>
      <c r="E632" s="80" t="s">
        <v>4903</v>
      </c>
      <c r="F632" t="s">
        <v>4904</v>
      </c>
      <c r="G632" t="s">
        <v>4341</v>
      </c>
      <c r="H632" t="s">
        <v>4905</v>
      </c>
      <c r="I632" t="s">
        <v>4906</v>
      </c>
      <c r="J632" t="s">
        <v>3853</v>
      </c>
      <c r="K632" t="s">
        <v>4907</v>
      </c>
    </row>
    <row r="633" spans="1:11" x14ac:dyDescent="0.25">
      <c r="A633" s="123">
        <v>632</v>
      </c>
      <c r="B633" s="2" t="s">
        <v>610</v>
      </c>
      <c r="C633" s="123" t="s">
        <v>170</v>
      </c>
      <c r="D633" t="s">
        <v>4908</v>
      </c>
      <c r="E633" s="80">
        <v>32025</v>
      </c>
      <c r="F633" t="s">
        <v>4909</v>
      </c>
      <c r="G633" t="s">
        <v>3551</v>
      </c>
      <c r="H633" t="s">
        <v>4910</v>
      </c>
      <c r="I633" s="80" t="s">
        <v>4911</v>
      </c>
      <c r="J633" t="s">
        <v>3853</v>
      </c>
      <c r="K633" t="s">
        <v>4912</v>
      </c>
    </row>
    <row r="634" spans="1:11" x14ac:dyDescent="0.25">
      <c r="A634" s="123">
        <v>633</v>
      </c>
      <c r="B634" s="2" t="s">
        <v>610</v>
      </c>
      <c r="C634" s="123" t="s">
        <v>178</v>
      </c>
      <c r="D634" t="s">
        <v>4913</v>
      </c>
      <c r="E634" s="80" t="s">
        <v>4914</v>
      </c>
      <c r="F634" t="s">
        <v>4915</v>
      </c>
      <c r="G634" t="s">
        <v>3466</v>
      </c>
      <c r="H634" t="s">
        <v>4916</v>
      </c>
      <c r="I634" s="80" t="s">
        <v>4917</v>
      </c>
      <c r="J634" t="s">
        <v>3276</v>
      </c>
      <c r="K634" t="s">
        <v>4918</v>
      </c>
    </row>
    <row r="635" spans="1:11" x14ac:dyDescent="0.25">
      <c r="A635" s="123">
        <v>634</v>
      </c>
      <c r="B635" s="2" t="s">
        <v>610</v>
      </c>
      <c r="C635" s="123" t="s">
        <v>163</v>
      </c>
      <c r="D635" t="s">
        <v>3379</v>
      </c>
      <c r="E635" s="80" t="s">
        <v>4919</v>
      </c>
      <c r="F635" t="s">
        <v>4920</v>
      </c>
      <c r="G635" t="s">
        <v>3390</v>
      </c>
      <c r="H635" t="s">
        <v>4921</v>
      </c>
      <c r="I635" s="80" t="s">
        <v>4922</v>
      </c>
      <c r="J635" t="s">
        <v>3882</v>
      </c>
      <c r="K635" t="s">
        <v>4923</v>
      </c>
    </row>
    <row r="636" spans="1:11" x14ac:dyDescent="0.25">
      <c r="A636" s="123">
        <v>635</v>
      </c>
      <c r="B636" s="2" t="s">
        <v>610</v>
      </c>
      <c r="C636" s="123" t="s">
        <v>181</v>
      </c>
      <c r="D636" t="s">
        <v>3379</v>
      </c>
      <c r="E636" s="80" t="s">
        <v>4924</v>
      </c>
      <c r="F636" t="s">
        <v>4925</v>
      </c>
      <c r="G636" t="s">
        <v>3353</v>
      </c>
      <c r="H636" t="s">
        <v>4926</v>
      </c>
      <c r="I636" t="s">
        <v>4927</v>
      </c>
      <c r="J636" t="s">
        <v>3959</v>
      </c>
      <c r="K636" t="s">
        <v>4928</v>
      </c>
    </row>
    <row r="637" spans="1:11" x14ac:dyDescent="0.25">
      <c r="A637" s="123">
        <v>636</v>
      </c>
      <c r="B637" s="2" t="s">
        <v>610</v>
      </c>
      <c r="C637" s="123" t="s">
        <v>183</v>
      </c>
      <c r="D637" t="s">
        <v>3629</v>
      </c>
      <c r="E637" t="s">
        <v>4929</v>
      </c>
      <c r="F637" t="s">
        <v>4930</v>
      </c>
      <c r="G637" t="s">
        <v>3585</v>
      </c>
      <c r="H637" t="s">
        <v>4931</v>
      </c>
      <c r="I637" s="80" t="s">
        <v>4932</v>
      </c>
      <c r="J637" t="s">
        <v>3959</v>
      </c>
      <c r="K637" t="s">
        <v>4933</v>
      </c>
    </row>
    <row r="638" spans="1:11" x14ac:dyDescent="0.25">
      <c r="A638" s="123">
        <v>637</v>
      </c>
      <c r="B638" s="2" t="s">
        <v>610</v>
      </c>
      <c r="C638" s="123" t="s">
        <v>186</v>
      </c>
      <c r="D638" t="s">
        <v>3596</v>
      </c>
      <c r="E638" t="s">
        <v>4934</v>
      </c>
      <c r="F638" t="s">
        <v>4935</v>
      </c>
      <c r="G638" t="s">
        <v>3585</v>
      </c>
      <c r="H638" t="s">
        <v>4936</v>
      </c>
      <c r="I638" s="80" t="s">
        <v>4937</v>
      </c>
      <c r="J638" t="s">
        <v>3978</v>
      </c>
      <c r="K638" t="s">
        <v>4938</v>
      </c>
    </row>
    <row r="639" spans="1:11" x14ac:dyDescent="0.25">
      <c r="A639" s="123">
        <v>638</v>
      </c>
      <c r="B639" s="2" t="s">
        <v>610</v>
      </c>
      <c r="C639" s="123" t="s">
        <v>188</v>
      </c>
      <c r="D639" t="s">
        <v>3596</v>
      </c>
      <c r="E639" s="80" t="s">
        <v>4939</v>
      </c>
      <c r="F639" t="s">
        <v>4940</v>
      </c>
      <c r="G639" t="s">
        <v>3375</v>
      </c>
      <c r="H639" t="s">
        <v>4941</v>
      </c>
      <c r="I639" s="80" t="s">
        <v>4942</v>
      </c>
      <c r="J639" t="s">
        <v>3848</v>
      </c>
      <c r="K639">
        <v>1554</v>
      </c>
    </row>
    <row r="640" spans="1:11" x14ac:dyDescent="0.25">
      <c r="A640" s="123">
        <v>639</v>
      </c>
      <c r="B640" s="2" t="s">
        <v>610</v>
      </c>
      <c r="C640" s="123" t="s">
        <v>182</v>
      </c>
      <c r="D640" t="s">
        <v>583</v>
      </c>
      <c r="E640" t="s">
        <v>4943</v>
      </c>
      <c r="F640" t="s">
        <v>583</v>
      </c>
      <c r="G640" t="s">
        <v>583</v>
      </c>
      <c r="H640" t="s">
        <v>583</v>
      </c>
      <c r="I640" t="s">
        <v>4944</v>
      </c>
      <c r="J640" t="s">
        <v>583</v>
      </c>
      <c r="K640" t="s">
        <v>583</v>
      </c>
    </row>
    <row r="641" spans="1:11" x14ac:dyDescent="0.25">
      <c r="A641" s="123">
        <v>640</v>
      </c>
      <c r="B641" s="2" t="s">
        <v>610</v>
      </c>
      <c r="C641" s="123" t="s">
        <v>184</v>
      </c>
      <c r="D641" t="s">
        <v>3614</v>
      </c>
      <c r="E641" t="s">
        <v>4945</v>
      </c>
      <c r="F641" t="s">
        <v>4946</v>
      </c>
      <c r="G641" t="s">
        <v>4947</v>
      </c>
      <c r="H641" t="s">
        <v>4948</v>
      </c>
      <c r="I641" s="80" t="s">
        <v>4949</v>
      </c>
      <c r="J641" t="s">
        <v>4786</v>
      </c>
      <c r="K641" t="s">
        <v>4950</v>
      </c>
    </row>
    <row r="642" spans="1:11" x14ac:dyDescent="0.25">
      <c r="A642" s="123">
        <v>641</v>
      </c>
      <c r="B642" s="2" t="s">
        <v>610</v>
      </c>
      <c r="C642" s="123" t="s">
        <v>187</v>
      </c>
      <c r="D642" t="s">
        <v>3320</v>
      </c>
      <c r="E642" t="s">
        <v>4951</v>
      </c>
      <c r="F642" t="s">
        <v>4952</v>
      </c>
      <c r="G642" t="s">
        <v>3532</v>
      </c>
      <c r="H642" s="80" t="s">
        <v>4953</v>
      </c>
      <c r="I642" s="80" t="s">
        <v>4954</v>
      </c>
      <c r="J642" t="s">
        <v>3882</v>
      </c>
      <c r="K642" t="s">
        <v>4955</v>
      </c>
    </row>
    <row r="643" spans="1:11" x14ac:dyDescent="0.25">
      <c r="A643" s="123">
        <v>642</v>
      </c>
      <c r="B643" s="2" t="s">
        <v>610</v>
      </c>
      <c r="C643" s="123" t="s">
        <v>189</v>
      </c>
      <c r="D643">
        <v>92</v>
      </c>
      <c r="E643" t="s">
        <v>4956</v>
      </c>
      <c r="F643" t="s">
        <v>4957</v>
      </c>
      <c r="G643" t="s">
        <v>4341</v>
      </c>
      <c r="H643" t="s">
        <v>4958</v>
      </c>
      <c r="I643" s="80" t="s">
        <v>4959</v>
      </c>
      <c r="J643" t="s">
        <v>3888</v>
      </c>
      <c r="K643" t="s">
        <v>4960</v>
      </c>
    </row>
    <row r="644" spans="1:11" x14ac:dyDescent="0.25">
      <c r="A644" s="123">
        <v>643</v>
      </c>
      <c r="B644" s="2">
        <v>1045</v>
      </c>
      <c r="C644" s="123" t="s">
        <v>162</v>
      </c>
      <c r="D644" t="s">
        <v>4961</v>
      </c>
      <c r="E644" s="80" t="s">
        <v>4962</v>
      </c>
      <c r="F644" t="s">
        <v>4963</v>
      </c>
      <c r="G644" t="s">
        <v>4530</v>
      </c>
      <c r="H644" t="s">
        <v>4964</v>
      </c>
      <c r="I644" t="s">
        <v>4261</v>
      </c>
      <c r="J644" t="s">
        <v>4364</v>
      </c>
      <c r="K644" t="s">
        <v>4965</v>
      </c>
    </row>
    <row r="645" spans="1:11" x14ac:dyDescent="0.25">
      <c r="A645" s="123">
        <v>644</v>
      </c>
      <c r="B645" s="2">
        <v>1045</v>
      </c>
      <c r="C645" s="123" t="s">
        <v>170</v>
      </c>
      <c r="D645" t="s">
        <v>4966</v>
      </c>
      <c r="E645" s="80" t="s">
        <v>4967</v>
      </c>
      <c r="F645" t="s">
        <v>4968</v>
      </c>
      <c r="G645" t="s">
        <v>4969</v>
      </c>
      <c r="H645" t="s">
        <v>4970</v>
      </c>
      <c r="I645" s="80" t="s">
        <v>4971</v>
      </c>
      <c r="J645" t="s">
        <v>3469</v>
      </c>
      <c r="K645" t="s">
        <v>4972</v>
      </c>
    </row>
    <row r="646" spans="1:11" x14ac:dyDescent="0.25">
      <c r="A646" s="123">
        <v>645</v>
      </c>
      <c r="B646" s="2">
        <v>1045</v>
      </c>
      <c r="C646" s="123" t="s">
        <v>178</v>
      </c>
      <c r="D646" t="s">
        <v>3395</v>
      </c>
      <c r="E646" s="80">
        <v>32191</v>
      </c>
      <c r="F646" t="s">
        <v>4973</v>
      </c>
      <c r="G646" t="s">
        <v>3585</v>
      </c>
      <c r="H646" t="s">
        <v>4974</v>
      </c>
      <c r="I646" s="80" t="s">
        <v>4975</v>
      </c>
      <c r="J646" t="s">
        <v>3971</v>
      </c>
      <c r="K646" t="s">
        <v>4976</v>
      </c>
    </row>
    <row r="647" spans="1:11" x14ac:dyDescent="0.25">
      <c r="A647" s="123">
        <v>646</v>
      </c>
      <c r="B647" s="2">
        <v>1045</v>
      </c>
      <c r="C647" s="123" t="s">
        <v>163</v>
      </c>
      <c r="D647" t="s">
        <v>3555</v>
      </c>
      <c r="E647" s="80" t="s">
        <v>4645</v>
      </c>
      <c r="F647" t="s">
        <v>4977</v>
      </c>
      <c r="G647" t="s">
        <v>3353</v>
      </c>
      <c r="H647" t="s">
        <v>4978</v>
      </c>
      <c r="I647" s="80" t="s">
        <v>4979</v>
      </c>
      <c r="J647" t="s">
        <v>3870</v>
      </c>
      <c r="K647" s="80" t="s">
        <v>4980</v>
      </c>
    </row>
    <row r="648" spans="1:11" x14ac:dyDescent="0.25">
      <c r="A648" s="123">
        <v>647</v>
      </c>
      <c r="B648" s="2">
        <v>1045</v>
      </c>
      <c r="C648" s="123" t="s">
        <v>181</v>
      </c>
      <c r="D648" t="s">
        <v>4781</v>
      </c>
      <c r="E648" s="80" t="s">
        <v>4981</v>
      </c>
      <c r="F648" t="s">
        <v>4982</v>
      </c>
      <c r="G648" t="s">
        <v>4420</v>
      </c>
      <c r="H648" t="s">
        <v>4983</v>
      </c>
      <c r="I648" t="s">
        <v>4984</v>
      </c>
      <c r="J648" t="s">
        <v>3783</v>
      </c>
      <c r="K648" t="s">
        <v>4985</v>
      </c>
    </row>
    <row r="649" spans="1:11" x14ac:dyDescent="0.25">
      <c r="A649" s="123">
        <v>648</v>
      </c>
      <c r="B649" s="2">
        <v>1045</v>
      </c>
      <c r="C649" s="123" t="s">
        <v>183</v>
      </c>
      <c r="D649" t="s">
        <v>4986</v>
      </c>
      <c r="E649" s="80" t="s">
        <v>4987</v>
      </c>
      <c r="F649" t="s">
        <v>4988</v>
      </c>
      <c r="G649" t="s">
        <v>3316</v>
      </c>
      <c r="H649" t="s">
        <v>4989</v>
      </c>
      <c r="I649" s="80" t="s">
        <v>4990</v>
      </c>
      <c r="J649" t="s">
        <v>3434</v>
      </c>
      <c r="K649" t="s">
        <v>4991</v>
      </c>
    </row>
    <row r="650" spans="1:11" x14ac:dyDescent="0.25">
      <c r="A650" s="123">
        <v>649</v>
      </c>
      <c r="B650" s="2">
        <v>1045</v>
      </c>
      <c r="C650" s="123" t="s">
        <v>186</v>
      </c>
      <c r="D650" t="s">
        <v>4892</v>
      </c>
      <c r="E650" s="80" t="s">
        <v>4992</v>
      </c>
      <c r="F650" t="s">
        <v>4993</v>
      </c>
      <c r="G650" t="s">
        <v>4994</v>
      </c>
      <c r="H650" s="80" t="s">
        <v>4995</v>
      </c>
      <c r="I650" s="80" t="s">
        <v>4996</v>
      </c>
      <c r="J650" t="s">
        <v>3469</v>
      </c>
      <c r="K650" s="80" t="s">
        <v>4997</v>
      </c>
    </row>
    <row r="651" spans="1:11" x14ac:dyDescent="0.25">
      <c r="A651" s="123">
        <v>650</v>
      </c>
      <c r="B651" s="2">
        <v>1045</v>
      </c>
      <c r="C651" s="123" t="s">
        <v>188</v>
      </c>
      <c r="D651" t="s">
        <v>4998</v>
      </c>
      <c r="E651" s="80" t="s">
        <v>4999</v>
      </c>
      <c r="F651" t="s">
        <v>5000</v>
      </c>
      <c r="G651" t="s">
        <v>3361</v>
      </c>
      <c r="H651" t="s">
        <v>5001</v>
      </c>
      <c r="I651" s="80" t="s">
        <v>5002</v>
      </c>
      <c r="J651" t="s">
        <v>4364</v>
      </c>
      <c r="K651" t="s">
        <v>5003</v>
      </c>
    </row>
    <row r="652" spans="1:11" x14ac:dyDescent="0.25">
      <c r="A652" s="123">
        <v>651</v>
      </c>
      <c r="B652" s="2">
        <v>1045</v>
      </c>
      <c r="C652" s="123" t="s">
        <v>182</v>
      </c>
      <c r="D652" t="s">
        <v>5004</v>
      </c>
      <c r="E652" t="s">
        <v>5005</v>
      </c>
      <c r="F652" t="s">
        <v>5006</v>
      </c>
      <c r="G652" t="s">
        <v>3353</v>
      </c>
      <c r="H652" t="s">
        <v>4045</v>
      </c>
      <c r="I652" t="s">
        <v>5007</v>
      </c>
      <c r="J652" t="s">
        <v>4118</v>
      </c>
      <c r="K652" t="s">
        <v>5008</v>
      </c>
    </row>
    <row r="653" spans="1:11" x14ac:dyDescent="0.25">
      <c r="A653" s="123">
        <v>652</v>
      </c>
      <c r="B653" s="2">
        <v>1045</v>
      </c>
      <c r="C653" s="123" t="s">
        <v>184</v>
      </c>
      <c r="D653" t="s">
        <v>4998</v>
      </c>
      <c r="E653" t="s">
        <v>5009</v>
      </c>
      <c r="F653" t="s">
        <v>5010</v>
      </c>
      <c r="G653" t="s">
        <v>5011</v>
      </c>
      <c r="H653" t="s">
        <v>5012</v>
      </c>
      <c r="I653" s="80" t="s">
        <v>5013</v>
      </c>
      <c r="J653" t="s">
        <v>3284</v>
      </c>
      <c r="K653" t="s">
        <v>5014</v>
      </c>
    </row>
    <row r="654" spans="1:11" x14ac:dyDescent="0.25">
      <c r="A654" s="123">
        <v>653</v>
      </c>
      <c r="B654" s="2">
        <v>1045</v>
      </c>
      <c r="C654" s="123" t="s">
        <v>187</v>
      </c>
      <c r="D654" t="s">
        <v>5015</v>
      </c>
      <c r="E654" s="80" t="s">
        <v>5016</v>
      </c>
      <c r="F654" t="s">
        <v>5017</v>
      </c>
      <c r="G654" t="s">
        <v>3281</v>
      </c>
      <c r="H654" t="s">
        <v>5018</v>
      </c>
      <c r="I654" s="80" t="s">
        <v>5019</v>
      </c>
      <c r="J654" t="s">
        <v>3882</v>
      </c>
      <c r="K654" t="s">
        <v>5020</v>
      </c>
    </row>
    <row r="655" spans="1:11" x14ac:dyDescent="0.25">
      <c r="A655" s="123">
        <v>654</v>
      </c>
      <c r="B655" s="2">
        <v>1045</v>
      </c>
      <c r="C655" s="123" t="s">
        <v>189</v>
      </c>
      <c r="D655" t="s">
        <v>4836</v>
      </c>
      <c r="E655" t="s">
        <v>5021</v>
      </c>
      <c r="F655" t="s">
        <v>5022</v>
      </c>
      <c r="G655" t="s">
        <v>4341</v>
      </c>
      <c r="H655">
        <v>2764</v>
      </c>
      <c r="I655" s="80" t="s">
        <v>5023</v>
      </c>
      <c r="J655" t="s">
        <v>1704</v>
      </c>
      <c r="K655" t="s">
        <v>5024</v>
      </c>
    </row>
    <row r="656" spans="1:11" x14ac:dyDescent="0.25">
      <c r="A656" s="123">
        <v>655</v>
      </c>
      <c r="B656" s="2">
        <v>1046</v>
      </c>
      <c r="C656" s="123" t="s">
        <v>162</v>
      </c>
      <c r="D656" t="s">
        <v>5025</v>
      </c>
      <c r="E656" t="s">
        <v>5026</v>
      </c>
      <c r="F656" t="s">
        <v>5027</v>
      </c>
      <c r="G656" t="s">
        <v>3780</v>
      </c>
      <c r="H656" t="s">
        <v>3898</v>
      </c>
      <c r="I656" t="s">
        <v>1385</v>
      </c>
      <c r="J656" t="s">
        <v>5028</v>
      </c>
      <c r="K656" t="s">
        <v>5029</v>
      </c>
    </row>
    <row r="657" spans="1:11" x14ac:dyDescent="0.25">
      <c r="A657" s="123">
        <v>656</v>
      </c>
      <c r="B657" s="2">
        <v>1046</v>
      </c>
      <c r="C657" s="123" t="s">
        <v>170</v>
      </c>
      <c r="D657" t="s">
        <v>4777</v>
      </c>
      <c r="E657" s="80" t="s">
        <v>5030</v>
      </c>
      <c r="F657" t="s">
        <v>5031</v>
      </c>
      <c r="G657" t="s">
        <v>3687</v>
      </c>
      <c r="H657" t="s">
        <v>5032</v>
      </c>
      <c r="I657" s="80" t="s">
        <v>5033</v>
      </c>
      <c r="J657" t="s">
        <v>2883</v>
      </c>
      <c r="K657" t="s">
        <v>5034</v>
      </c>
    </row>
    <row r="658" spans="1:11" x14ac:dyDescent="0.25">
      <c r="A658" s="123">
        <v>657</v>
      </c>
      <c r="B658" s="2">
        <v>1046</v>
      </c>
      <c r="C658" s="123" t="s">
        <v>178</v>
      </c>
      <c r="D658" t="s">
        <v>4788</v>
      </c>
      <c r="E658" s="80" t="s">
        <v>5035</v>
      </c>
      <c r="F658" t="s">
        <v>5036</v>
      </c>
      <c r="G658" t="s">
        <v>3398</v>
      </c>
      <c r="H658" t="s">
        <v>5037</v>
      </c>
      <c r="I658" s="80" t="s">
        <v>5038</v>
      </c>
      <c r="J658" t="s">
        <v>3978</v>
      </c>
      <c r="K658" t="s">
        <v>5039</v>
      </c>
    </row>
    <row r="659" spans="1:11" x14ac:dyDescent="0.25">
      <c r="A659" s="123">
        <v>658</v>
      </c>
      <c r="B659" s="2">
        <v>1046</v>
      </c>
      <c r="C659" s="123" t="s">
        <v>163</v>
      </c>
      <c r="D659" t="s">
        <v>4788</v>
      </c>
      <c r="E659" s="80" t="s">
        <v>5040</v>
      </c>
      <c r="F659" t="s">
        <v>5041</v>
      </c>
      <c r="G659" t="s">
        <v>4341</v>
      </c>
      <c r="H659" t="s">
        <v>5042</v>
      </c>
      <c r="I659" s="80" t="s">
        <v>5043</v>
      </c>
      <c r="J659" t="s">
        <v>3740</v>
      </c>
      <c r="K659" t="s">
        <v>5044</v>
      </c>
    </row>
    <row r="660" spans="1:11" x14ac:dyDescent="0.25">
      <c r="A660" s="123">
        <v>659</v>
      </c>
      <c r="B660" s="2">
        <v>1046</v>
      </c>
      <c r="C660" s="123" t="s">
        <v>181</v>
      </c>
      <c r="D660" t="s">
        <v>5045</v>
      </c>
      <c r="E660" s="80" t="s">
        <v>5046</v>
      </c>
      <c r="F660" t="s">
        <v>5047</v>
      </c>
      <c r="G660" t="s">
        <v>5048</v>
      </c>
      <c r="H660" t="s">
        <v>1973</v>
      </c>
      <c r="I660" t="s">
        <v>5049</v>
      </c>
      <c r="J660" t="s">
        <v>3284</v>
      </c>
      <c r="K660" t="s">
        <v>5050</v>
      </c>
    </row>
    <row r="661" spans="1:11" x14ac:dyDescent="0.25">
      <c r="A661" s="123">
        <v>660</v>
      </c>
      <c r="B661" s="2">
        <v>1046</v>
      </c>
      <c r="C661" s="123" t="s">
        <v>183</v>
      </c>
      <c r="D661" t="s">
        <v>5051</v>
      </c>
      <c r="E661" s="80" t="s">
        <v>5052</v>
      </c>
      <c r="F661" t="s">
        <v>5053</v>
      </c>
      <c r="G661" t="s">
        <v>4530</v>
      </c>
      <c r="H661" t="s">
        <v>5054</v>
      </c>
      <c r="I661" s="80" t="s">
        <v>5055</v>
      </c>
      <c r="J661" t="s">
        <v>4533</v>
      </c>
      <c r="K661" t="s">
        <v>5056</v>
      </c>
    </row>
    <row r="662" spans="1:11" x14ac:dyDescent="0.25">
      <c r="A662" s="123">
        <v>661</v>
      </c>
      <c r="B662" s="2">
        <v>1046</v>
      </c>
      <c r="C662" s="123" t="s">
        <v>186</v>
      </c>
      <c r="D662" t="s">
        <v>5057</v>
      </c>
      <c r="E662" s="80" t="s">
        <v>5058</v>
      </c>
      <c r="F662" s="80" t="s">
        <v>5059</v>
      </c>
      <c r="G662" t="s">
        <v>4441</v>
      </c>
      <c r="H662" s="80" t="s">
        <v>5060</v>
      </c>
      <c r="I662" s="80" t="s">
        <v>5061</v>
      </c>
      <c r="J662" t="s">
        <v>5062</v>
      </c>
      <c r="K662" s="80" t="s">
        <v>5063</v>
      </c>
    </row>
    <row r="663" spans="1:11" x14ac:dyDescent="0.25">
      <c r="A663" s="123">
        <v>662</v>
      </c>
      <c r="B663" s="2">
        <v>1046</v>
      </c>
      <c r="C663" s="123" t="s">
        <v>188</v>
      </c>
      <c r="D663" t="s">
        <v>5064</v>
      </c>
      <c r="E663" s="80" t="s">
        <v>5065</v>
      </c>
      <c r="F663" t="s">
        <v>5066</v>
      </c>
      <c r="G663" t="s">
        <v>3398</v>
      </c>
      <c r="H663" t="s">
        <v>5067</v>
      </c>
      <c r="I663" s="80" t="s">
        <v>5068</v>
      </c>
      <c r="J663" t="s">
        <v>3888</v>
      </c>
      <c r="K663" t="s">
        <v>5069</v>
      </c>
    </row>
    <row r="664" spans="1:11" x14ac:dyDescent="0.25">
      <c r="A664" s="123">
        <v>663</v>
      </c>
      <c r="B664" s="2">
        <v>1046</v>
      </c>
      <c r="C664" s="123" t="s">
        <v>182</v>
      </c>
      <c r="D664" t="s">
        <v>5025</v>
      </c>
      <c r="E664" t="s">
        <v>5070</v>
      </c>
      <c r="F664" t="s">
        <v>5071</v>
      </c>
      <c r="G664" s="80" t="s">
        <v>5072</v>
      </c>
      <c r="H664" t="s">
        <v>5073</v>
      </c>
      <c r="I664" t="s">
        <v>5074</v>
      </c>
      <c r="J664" t="s">
        <v>4202</v>
      </c>
      <c r="K664" t="s">
        <v>5075</v>
      </c>
    </row>
    <row r="665" spans="1:11" x14ac:dyDescent="0.25">
      <c r="A665" s="123">
        <v>664</v>
      </c>
      <c r="B665" s="2">
        <v>1046</v>
      </c>
      <c r="C665" s="123" t="s">
        <v>184</v>
      </c>
      <c r="D665" t="s">
        <v>3635</v>
      </c>
      <c r="E665" t="s">
        <v>5076</v>
      </c>
      <c r="F665" t="s">
        <v>5077</v>
      </c>
      <c r="G665" s="80" t="s">
        <v>3521</v>
      </c>
      <c r="H665" t="s">
        <v>5078</v>
      </c>
      <c r="I665" s="80" t="s">
        <v>5079</v>
      </c>
      <c r="J665" t="s">
        <v>4243</v>
      </c>
      <c r="K665" t="s">
        <v>5080</v>
      </c>
    </row>
    <row r="666" spans="1:11" x14ac:dyDescent="0.25">
      <c r="A666" s="123">
        <v>665</v>
      </c>
      <c r="B666" s="2">
        <v>1046</v>
      </c>
      <c r="C666" s="123" t="s">
        <v>187</v>
      </c>
      <c r="D666" t="s">
        <v>5081</v>
      </c>
      <c r="E666" t="s">
        <v>5082</v>
      </c>
      <c r="F666">
        <v>1574</v>
      </c>
      <c r="G666" t="s">
        <v>3323</v>
      </c>
      <c r="H666" t="s">
        <v>5083</v>
      </c>
      <c r="I666" s="80" t="s">
        <v>5084</v>
      </c>
      <c r="J666" t="s">
        <v>3541</v>
      </c>
      <c r="K666" t="s">
        <v>5085</v>
      </c>
    </row>
    <row r="667" spans="1:11" x14ac:dyDescent="0.25">
      <c r="A667" s="123">
        <v>666</v>
      </c>
      <c r="B667" s="2">
        <v>1046</v>
      </c>
      <c r="C667" s="123" t="s">
        <v>189</v>
      </c>
      <c r="D667" t="s">
        <v>5086</v>
      </c>
      <c r="E667" t="s">
        <v>5087</v>
      </c>
      <c r="F667" t="s">
        <v>5088</v>
      </c>
      <c r="G667" t="s">
        <v>4420</v>
      </c>
      <c r="H667" t="s">
        <v>5089</v>
      </c>
      <c r="I667" s="80" t="s">
        <v>5090</v>
      </c>
      <c r="J667" t="s">
        <v>3978</v>
      </c>
      <c r="K667" t="s">
        <v>5091</v>
      </c>
    </row>
    <row r="668" spans="1:11" x14ac:dyDescent="0.25">
      <c r="A668" s="123">
        <v>667</v>
      </c>
      <c r="B668" s="2">
        <v>1047</v>
      </c>
      <c r="C668" s="123" t="s">
        <v>162</v>
      </c>
      <c r="D668" t="s">
        <v>3350</v>
      </c>
      <c r="E668" s="80" t="s">
        <v>5092</v>
      </c>
      <c r="F668" t="s">
        <v>5093</v>
      </c>
      <c r="G668" t="s">
        <v>3390</v>
      </c>
      <c r="H668" t="s">
        <v>5094</v>
      </c>
      <c r="I668" t="s">
        <v>5095</v>
      </c>
      <c r="J668" t="s">
        <v>4118</v>
      </c>
      <c r="K668" t="s">
        <v>4777</v>
      </c>
    </row>
    <row r="669" spans="1:11" x14ac:dyDescent="0.25">
      <c r="A669" s="123">
        <v>668</v>
      </c>
      <c r="B669" s="2">
        <v>1047</v>
      </c>
      <c r="C669" s="123" t="s">
        <v>170</v>
      </c>
      <c r="D669" t="s">
        <v>5004</v>
      </c>
      <c r="E669" t="s">
        <v>5096</v>
      </c>
      <c r="F669" t="s">
        <v>5097</v>
      </c>
      <c r="G669" t="s">
        <v>3353</v>
      </c>
      <c r="H669" t="s">
        <v>5098</v>
      </c>
      <c r="I669" s="80" t="s">
        <v>5099</v>
      </c>
      <c r="J669" t="s">
        <v>3276</v>
      </c>
      <c r="K669">
        <v>523</v>
      </c>
    </row>
    <row r="670" spans="1:11" x14ac:dyDescent="0.25">
      <c r="A670" s="123">
        <v>669</v>
      </c>
      <c r="B670" s="2">
        <v>1047</v>
      </c>
      <c r="C670" s="123" t="s">
        <v>178</v>
      </c>
      <c r="D670" t="s">
        <v>3447</v>
      </c>
      <c r="E670" s="80" t="s">
        <v>5100</v>
      </c>
      <c r="F670" t="s">
        <v>5101</v>
      </c>
      <c r="G670" t="s">
        <v>4361</v>
      </c>
      <c r="H670" t="s">
        <v>5102</v>
      </c>
      <c r="I670" s="80" t="s">
        <v>5103</v>
      </c>
      <c r="J670" t="s">
        <v>3959</v>
      </c>
      <c r="K670" t="s">
        <v>5104</v>
      </c>
    </row>
    <row r="671" spans="1:11" x14ac:dyDescent="0.25">
      <c r="A671" s="123">
        <v>670</v>
      </c>
      <c r="B671" s="2">
        <v>1047</v>
      </c>
      <c r="C671" s="123" t="s">
        <v>163</v>
      </c>
      <c r="D671" t="s">
        <v>3596</v>
      </c>
      <c r="E671" s="80" t="s">
        <v>5105</v>
      </c>
      <c r="F671" t="s">
        <v>5106</v>
      </c>
      <c r="G671" t="s">
        <v>3301</v>
      </c>
      <c r="H671" t="s">
        <v>5107</v>
      </c>
      <c r="I671" s="80" t="s">
        <v>5108</v>
      </c>
      <c r="J671" t="s">
        <v>3276</v>
      </c>
      <c r="K671" t="s">
        <v>5109</v>
      </c>
    </row>
    <row r="672" spans="1:11" x14ac:dyDescent="0.25">
      <c r="A672" s="123">
        <v>671</v>
      </c>
      <c r="B672" s="2">
        <v>1047</v>
      </c>
      <c r="C672" s="123" t="s">
        <v>181</v>
      </c>
      <c r="D672" t="s">
        <v>5110</v>
      </c>
      <c r="E672" s="80" t="s">
        <v>5111</v>
      </c>
      <c r="F672" t="s">
        <v>5112</v>
      </c>
      <c r="G672" t="s">
        <v>3525</v>
      </c>
      <c r="H672" t="s">
        <v>5113</v>
      </c>
      <c r="I672" t="s">
        <v>5114</v>
      </c>
      <c r="J672" t="s">
        <v>3268</v>
      </c>
      <c r="K672" t="s">
        <v>5115</v>
      </c>
    </row>
    <row r="673" spans="1:11" x14ac:dyDescent="0.25">
      <c r="A673" s="123">
        <v>672</v>
      </c>
      <c r="B673" s="2">
        <v>1047</v>
      </c>
      <c r="C673" s="123" t="s">
        <v>183</v>
      </c>
      <c r="D673" t="s">
        <v>3596</v>
      </c>
      <c r="E673" s="80" t="s">
        <v>5116</v>
      </c>
      <c r="F673" t="s">
        <v>5117</v>
      </c>
      <c r="G673" t="s">
        <v>5118</v>
      </c>
      <c r="H673" t="s">
        <v>5119</v>
      </c>
      <c r="I673" s="80" t="s">
        <v>5120</v>
      </c>
      <c r="J673" t="s">
        <v>3978</v>
      </c>
      <c r="K673" t="s">
        <v>5121</v>
      </c>
    </row>
    <row r="674" spans="1:11" x14ac:dyDescent="0.25">
      <c r="A674" s="123">
        <v>673</v>
      </c>
      <c r="B674" s="2">
        <v>1047</v>
      </c>
      <c r="C674" s="123" t="s">
        <v>186</v>
      </c>
      <c r="D674" t="s">
        <v>5064</v>
      </c>
      <c r="E674" s="80" t="s">
        <v>5122</v>
      </c>
      <c r="F674" t="s">
        <v>5123</v>
      </c>
      <c r="G674" t="s">
        <v>4361</v>
      </c>
      <c r="H674" t="s">
        <v>5124</v>
      </c>
      <c r="I674" s="80" t="s">
        <v>5125</v>
      </c>
      <c r="J674" t="s">
        <v>3284</v>
      </c>
      <c r="K674" t="s">
        <v>5126</v>
      </c>
    </row>
    <row r="675" spans="1:11" x14ac:dyDescent="0.25">
      <c r="A675" s="123">
        <v>674</v>
      </c>
      <c r="B675" s="2">
        <v>1047</v>
      </c>
      <c r="C675" s="123" t="s">
        <v>188</v>
      </c>
      <c r="D675" t="s">
        <v>5127</v>
      </c>
      <c r="E675" s="80" t="s">
        <v>5128</v>
      </c>
      <c r="F675" t="s">
        <v>5129</v>
      </c>
      <c r="G675" t="s">
        <v>3382</v>
      </c>
      <c r="H675" t="s">
        <v>5130</v>
      </c>
      <c r="I675" s="80" t="s">
        <v>5131</v>
      </c>
      <c r="J675" t="s">
        <v>3870</v>
      </c>
      <c r="K675" t="s">
        <v>5132</v>
      </c>
    </row>
    <row r="676" spans="1:11" x14ac:dyDescent="0.25">
      <c r="A676" s="123">
        <v>675</v>
      </c>
      <c r="B676" s="2">
        <v>1047</v>
      </c>
      <c r="C676" s="123" t="s">
        <v>182</v>
      </c>
      <c r="D676" t="s">
        <v>3499</v>
      </c>
      <c r="E676" t="s">
        <v>5133</v>
      </c>
      <c r="F676" t="s">
        <v>5134</v>
      </c>
      <c r="G676" t="s">
        <v>3525</v>
      </c>
      <c r="H676" t="s">
        <v>2361</v>
      </c>
      <c r="I676" t="s">
        <v>5135</v>
      </c>
      <c r="J676" t="s">
        <v>4786</v>
      </c>
      <c r="K676" t="s">
        <v>5136</v>
      </c>
    </row>
    <row r="677" spans="1:11" x14ac:dyDescent="0.25">
      <c r="A677" s="123">
        <v>676</v>
      </c>
      <c r="B677" s="2">
        <v>1047</v>
      </c>
      <c r="C677" s="123" t="s">
        <v>184</v>
      </c>
      <c r="D677" t="s">
        <v>4892</v>
      </c>
      <c r="E677" s="80">
        <v>32620</v>
      </c>
      <c r="F677" t="s">
        <v>5137</v>
      </c>
      <c r="G677" t="s">
        <v>3368</v>
      </c>
      <c r="H677" t="s">
        <v>5138</v>
      </c>
      <c r="I677" s="80" t="s">
        <v>5139</v>
      </c>
      <c r="J677" t="s">
        <v>4344</v>
      </c>
      <c r="K677" t="s">
        <v>5140</v>
      </c>
    </row>
    <row r="678" spans="1:11" x14ac:dyDescent="0.25">
      <c r="A678" s="123">
        <v>677</v>
      </c>
      <c r="B678" s="2">
        <v>1047</v>
      </c>
      <c r="C678" s="123" t="s">
        <v>187</v>
      </c>
      <c r="D678" t="s">
        <v>3350</v>
      </c>
      <c r="E678" s="80" t="s">
        <v>5141</v>
      </c>
      <c r="F678">
        <v>270</v>
      </c>
      <c r="G678" t="s">
        <v>3323</v>
      </c>
      <c r="H678" t="s">
        <v>5142</v>
      </c>
      <c r="I678" s="80" t="s">
        <v>5143</v>
      </c>
      <c r="J678" t="s">
        <v>4007</v>
      </c>
      <c r="K678" t="s">
        <v>5144</v>
      </c>
    </row>
    <row r="679" spans="1:11" x14ac:dyDescent="0.25">
      <c r="A679" s="123">
        <v>678</v>
      </c>
      <c r="B679" s="2">
        <v>1047</v>
      </c>
      <c r="C679" s="123" t="s">
        <v>189</v>
      </c>
      <c r="D679" t="s">
        <v>4913</v>
      </c>
      <c r="E679" s="80" t="s">
        <v>5145</v>
      </c>
      <c r="F679" t="s">
        <v>5146</v>
      </c>
      <c r="G679" t="s">
        <v>3309</v>
      </c>
      <c r="H679" t="s">
        <v>5147</v>
      </c>
      <c r="I679" s="80" t="s">
        <v>5148</v>
      </c>
      <c r="J679" t="s">
        <v>3755</v>
      </c>
      <c r="K679" t="s">
        <v>5149</v>
      </c>
    </row>
    <row r="680" spans="1:11" x14ac:dyDescent="0.25">
      <c r="A680" s="123">
        <v>679</v>
      </c>
      <c r="B680" s="2">
        <v>2021</v>
      </c>
      <c r="C680" s="123" t="s">
        <v>162</v>
      </c>
      <c r="D680" t="s">
        <v>583</v>
      </c>
      <c r="E680" t="s">
        <v>5150</v>
      </c>
      <c r="F680" t="s">
        <v>5151</v>
      </c>
      <c r="G680" t="s">
        <v>5152</v>
      </c>
      <c r="H680" t="s">
        <v>583</v>
      </c>
      <c r="I680" t="s">
        <v>5153</v>
      </c>
      <c r="J680" t="s">
        <v>4166</v>
      </c>
      <c r="K680" t="s">
        <v>3138</v>
      </c>
    </row>
    <row r="681" spans="1:11" x14ac:dyDescent="0.25">
      <c r="A681" s="123">
        <v>680</v>
      </c>
      <c r="B681" s="2">
        <v>2021</v>
      </c>
      <c r="C681" s="123" t="s">
        <v>170</v>
      </c>
      <c r="D681" t="s">
        <v>4299</v>
      </c>
      <c r="E681" t="s">
        <v>5154</v>
      </c>
      <c r="F681" t="s">
        <v>5155</v>
      </c>
      <c r="G681" t="s">
        <v>4947</v>
      </c>
      <c r="H681" t="s">
        <v>5156</v>
      </c>
      <c r="I681" s="80" t="s">
        <v>5157</v>
      </c>
      <c r="J681" t="s">
        <v>3832</v>
      </c>
      <c r="K681" t="s">
        <v>5158</v>
      </c>
    </row>
    <row r="682" spans="1:11" x14ac:dyDescent="0.25">
      <c r="A682" s="123">
        <v>681</v>
      </c>
      <c r="B682" s="2">
        <v>2021</v>
      </c>
      <c r="C682" s="123" t="s">
        <v>178</v>
      </c>
      <c r="D682" t="s">
        <v>4986</v>
      </c>
      <c r="E682" t="s">
        <v>5159</v>
      </c>
      <c r="F682" t="s">
        <v>5160</v>
      </c>
      <c r="G682" t="s">
        <v>3687</v>
      </c>
      <c r="H682" t="s">
        <v>5161</v>
      </c>
      <c r="I682" s="80" t="s">
        <v>5162</v>
      </c>
      <c r="J682" t="s">
        <v>3407</v>
      </c>
      <c r="K682" t="s">
        <v>5163</v>
      </c>
    </row>
    <row r="683" spans="1:11" x14ac:dyDescent="0.25">
      <c r="A683" s="123">
        <v>682</v>
      </c>
      <c r="B683" s="2">
        <v>2021</v>
      </c>
      <c r="C683" s="123" t="s">
        <v>163</v>
      </c>
      <c r="D683" t="s">
        <v>4892</v>
      </c>
      <c r="E683" t="s">
        <v>5164</v>
      </c>
      <c r="F683" t="s">
        <v>5165</v>
      </c>
      <c r="G683" t="s">
        <v>4420</v>
      </c>
      <c r="H683" t="s">
        <v>5166</v>
      </c>
      <c r="I683" s="80" t="s">
        <v>5167</v>
      </c>
      <c r="J683" t="s">
        <v>3740</v>
      </c>
      <c r="K683" t="s">
        <v>5168</v>
      </c>
    </row>
    <row r="684" spans="1:11" x14ac:dyDescent="0.25">
      <c r="A684" s="123">
        <v>683</v>
      </c>
      <c r="B684" s="2">
        <v>2021</v>
      </c>
      <c r="C684" s="123" t="s">
        <v>181</v>
      </c>
      <c r="D684" t="s">
        <v>3596</v>
      </c>
      <c r="E684" s="80" t="s">
        <v>5169</v>
      </c>
      <c r="F684" t="s">
        <v>4904</v>
      </c>
      <c r="G684" t="s">
        <v>5118</v>
      </c>
      <c r="H684" t="s">
        <v>5170</v>
      </c>
      <c r="I684" t="s">
        <v>5171</v>
      </c>
      <c r="J684" t="s">
        <v>3612</v>
      </c>
      <c r="K684" t="s">
        <v>3639</v>
      </c>
    </row>
    <row r="685" spans="1:11" x14ac:dyDescent="0.25">
      <c r="A685" s="123">
        <v>684</v>
      </c>
      <c r="B685" s="2">
        <v>2021</v>
      </c>
      <c r="C685" s="123" t="s">
        <v>183</v>
      </c>
      <c r="D685" t="s">
        <v>3350</v>
      </c>
      <c r="E685" s="80" t="s">
        <v>5172</v>
      </c>
      <c r="F685" t="s">
        <v>5173</v>
      </c>
      <c r="G685" t="s">
        <v>4791</v>
      </c>
      <c r="H685" t="s">
        <v>5174</v>
      </c>
      <c r="I685" s="80" t="s">
        <v>5175</v>
      </c>
      <c r="J685" t="s">
        <v>4052</v>
      </c>
      <c r="K685" t="s">
        <v>5176</v>
      </c>
    </row>
    <row r="686" spans="1:11" x14ac:dyDescent="0.25">
      <c r="A686" s="123">
        <v>685</v>
      </c>
      <c r="B686" s="2">
        <v>2021</v>
      </c>
      <c r="C686" s="123" t="s">
        <v>186</v>
      </c>
      <c r="D686" t="s">
        <v>3395</v>
      </c>
      <c r="E686" t="s">
        <v>5177</v>
      </c>
      <c r="F686" t="s">
        <v>5178</v>
      </c>
      <c r="G686" t="s">
        <v>3281</v>
      </c>
      <c r="H686" t="s">
        <v>5179</v>
      </c>
      <c r="I686" s="80" t="s">
        <v>5180</v>
      </c>
      <c r="J686" t="s">
        <v>3882</v>
      </c>
      <c r="K686" t="s">
        <v>5181</v>
      </c>
    </row>
    <row r="687" spans="1:11" x14ac:dyDescent="0.25">
      <c r="A687" s="123">
        <v>686</v>
      </c>
      <c r="B687" s="2">
        <v>2021</v>
      </c>
      <c r="C687" s="123" t="s">
        <v>188</v>
      </c>
      <c r="D687" t="s">
        <v>4913</v>
      </c>
      <c r="E687" s="80" t="s">
        <v>5182</v>
      </c>
      <c r="F687" t="s">
        <v>5183</v>
      </c>
      <c r="G687" t="s">
        <v>3323</v>
      </c>
      <c r="H687" t="s">
        <v>5184</v>
      </c>
      <c r="I687" s="80" t="s">
        <v>5185</v>
      </c>
      <c r="J687" t="s">
        <v>3882</v>
      </c>
      <c r="K687" t="s">
        <v>5186</v>
      </c>
    </row>
    <row r="688" spans="1:11" x14ac:dyDescent="0.25">
      <c r="A688" s="123">
        <v>687</v>
      </c>
      <c r="B688" s="2">
        <v>2021</v>
      </c>
      <c r="C688" s="123" t="s">
        <v>182</v>
      </c>
      <c r="D688" t="s">
        <v>583</v>
      </c>
      <c r="E688" t="s">
        <v>5187</v>
      </c>
      <c r="F688" t="s">
        <v>5188</v>
      </c>
      <c r="G688" t="s">
        <v>583</v>
      </c>
      <c r="H688" t="s">
        <v>5094</v>
      </c>
      <c r="I688" t="s">
        <v>5189</v>
      </c>
      <c r="J688" t="s">
        <v>583</v>
      </c>
      <c r="K688" t="s">
        <v>4712</v>
      </c>
    </row>
    <row r="689" spans="1:11" x14ac:dyDescent="0.25">
      <c r="A689" s="123">
        <v>688</v>
      </c>
      <c r="B689" s="2">
        <v>2021</v>
      </c>
      <c r="C689" s="123" t="s">
        <v>184</v>
      </c>
      <c r="D689" s="80" t="s">
        <v>3286</v>
      </c>
      <c r="E689" t="s">
        <v>5190</v>
      </c>
      <c r="F689" t="s">
        <v>5191</v>
      </c>
      <c r="G689" s="80" t="s">
        <v>5072</v>
      </c>
      <c r="H689" t="s">
        <v>5192</v>
      </c>
      <c r="I689" s="80" t="s">
        <v>5193</v>
      </c>
      <c r="J689" t="s">
        <v>3788</v>
      </c>
      <c r="K689" t="s">
        <v>5194</v>
      </c>
    </row>
    <row r="690" spans="1:11" x14ac:dyDescent="0.25">
      <c r="A690" s="123">
        <v>689</v>
      </c>
      <c r="B690" s="2">
        <v>2021</v>
      </c>
      <c r="C690" s="123" t="s">
        <v>187</v>
      </c>
      <c r="D690" t="s">
        <v>4781</v>
      </c>
      <c r="E690" t="s">
        <v>5195</v>
      </c>
      <c r="F690" t="s">
        <v>5196</v>
      </c>
      <c r="G690" t="s">
        <v>3748</v>
      </c>
      <c r="H690" t="s">
        <v>5197</v>
      </c>
      <c r="I690" s="80" t="s">
        <v>5198</v>
      </c>
      <c r="J690" t="s">
        <v>3811</v>
      </c>
      <c r="K690" t="s">
        <v>5199</v>
      </c>
    </row>
    <row r="691" spans="1:11" x14ac:dyDescent="0.25">
      <c r="A691" s="123">
        <v>690</v>
      </c>
      <c r="B691" s="2">
        <v>2021</v>
      </c>
      <c r="C691" s="123" t="s">
        <v>189</v>
      </c>
      <c r="D691" t="s">
        <v>4781</v>
      </c>
      <c r="E691" t="s">
        <v>5200</v>
      </c>
      <c r="F691" t="s">
        <v>5201</v>
      </c>
      <c r="G691" t="s">
        <v>3780</v>
      </c>
      <c r="H691" t="s">
        <v>5202</v>
      </c>
      <c r="I691" s="80">
        <v>7816</v>
      </c>
      <c r="J691" t="s">
        <v>3811</v>
      </c>
      <c r="K691" t="s">
        <v>5203</v>
      </c>
    </row>
    <row r="692" spans="1:11" x14ac:dyDescent="0.25">
      <c r="A692" s="123">
        <v>691</v>
      </c>
      <c r="B692" s="2">
        <v>1033</v>
      </c>
      <c r="C692" s="123" t="s">
        <v>181</v>
      </c>
      <c r="D692" t="s">
        <v>4986</v>
      </c>
      <c r="E692">
        <v>10961</v>
      </c>
      <c r="F692" t="s">
        <v>4296</v>
      </c>
      <c r="G692" t="s">
        <v>3551</v>
      </c>
      <c r="H692" t="s">
        <v>3432</v>
      </c>
      <c r="I692" t="s">
        <v>5204</v>
      </c>
      <c r="J692" t="s">
        <v>3848</v>
      </c>
      <c r="K692" t="s">
        <v>5047</v>
      </c>
    </row>
    <row r="693" spans="1:11" x14ac:dyDescent="0.25">
      <c r="A693" s="123">
        <v>692</v>
      </c>
      <c r="B693" s="2">
        <v>1033</v>
      </c>
      <c r="C693" s="123" t="s">
        <v>183</v>
      </c>
      <c r="D693" t="s">
        <v>4986</v>
      </c>
      <c r="E693" s="80" t="s">
        <v>5205</v>
      </c>
      <c r="F693" t="s">
        <v>5206</v>
      </c>
      <c r="G693" t="s">
        <v>3551</v>
      </c>
      <c r="H693" t="s">
        <v>5207</v>
      </c>
      <c r="I693" s="80" t="s">
        <v>5208</v>
      </c>
      <c r="J693" t="s">
        <v>3565</v>
      </c>
      <c r="K693" t="s">
        <v>5209</v>
      </c>
    </row>
    <row r="694" spans="1:11" x14ac:dyDescent="0.25">
      <c r="A694" s="123">
        <v>693</v>
      </c>
      <c r="B694" s="2">
        <v>1033</v>
      </c>
      <c r="C694" s="123" t="s">
        <v>182</v>
      </c>
      <c r="D694" t="s">
        <v>4822</v>
      </c>
      <c r="E694" t="s">
        <v>5210</v>
      </c>
      <c r="F694" t="s">
        <v>4277</v>
      </c>
      <c r="G694" t="s">
        <v>3687</v>
      </c>
      <c r="H694" t="s">
        <v>5211</v>
      </c>
      <c r="I694" t="s">
        <v>5212</v>
      </c>
      <c r="J694" t="s">
        <v>4780</v>
      </c>
      <c r="K694" t="s">
        <v>3138</v>
      </c>
    </row>
    <row r="695" spans="1:11" x14ac:dyDescent="0.25">
      <c r="A695" s="123">
        <v>694</v>
      </c>
      <c r="B695" s="2">
        <v>1033</v>
      </c>
      <c r="C695" s="123" t="s">
        <v>184</v>
      </c>
      <c r="D695" t="s">
        <v>3567</v>
      </c>
      <c r="E695" t="s">
        <v>5213</v>
      </c>
      <c r="F695" t="s">
        <v>5214</v>
      </c>
      <c r="G695" t="s">
        <v>3551</v>
      </c>
      <c r="H695" t="s">
        <v>5215</v>
      </c>
      <c r="I695" s="80" t="s">
        <v>5216</v>
      </c>
      <c r="J695" t="s">
        <v>3848</v>
      </c>
      <c r="K695" t="s">
        <v>5217</v>
      </c>
    </row>
    <row r="696" spans="1:11" x14ac:dyDescent="0.25">
      <c r="A696" s="123">
        <v>695</v>
      </c>
      <c r="B696" s="2">
        <v>1033</v>
      </c>
      <c r="C696" s="123" t="s">
        <v>187</v>
      </c>
      <c r="D696" s="80" t="s">
        <v>5218</v>
      </c>
      <c r="E696" t="s">
        <v>5219</v>
      </c>
      <c r="F696" t="s">
        <v>5220</v>
      </c>
      <c r="G696" t="s">
        <v>4947</v>
      </c>
      <c r="H696" t="s">
        <v>4844</v>
      </c>
      <c r="I696" t="s">
        <v>5221</v>
      </c>
      <c r="J696" t="s">
        <v>583</v>
      </c>
      <c r="K696" t="s">
        <v>4563</v>
      </c>
    </row>
    <row r="697" spans="1:11" x14ac:dyDescent="0.25">
      <c r="A697" s="123">
        <v>696</v>
      </c>
      <c r="B697" s="2">
        <v>1033</v>
      </c>
      <c r="C697" s="123" t="s">
        <v>189</v>
      </c>
      <c r="D697" t="s">
        <v>583</v>
      </c>
      <c r="E697" t="s">
        <v>2365</v>
      </c>
      <c r="F697" t="s">
        <v>5047</v>
      </c>
      <c r="G697" t="s">
        <v>5222</v>
      </c>
      <c r="H697" t="s">
        <v>3983</v>
      </c>
      <c r="I697">
        <v>1054</v>
      </c>
      <c r="J697" s="80" t="s">
        <v>4717</v>
      </c>
      <c r="K697" t="s">
        <v>5223</v>
      </c>
    </row>
    <row r="698" spans="1:11" x14ac:dyDescent="0.25">
      <c r="A698" s="123">
        <v>697</v>
      </c>
      <c r="B698" s="90" t="s">
        <v>592</v>
      </c>
      <c r="C698" s="125" t="s">
        <v>162</v>
      </c>
      <c r="D698" t="s">
        <v>5224</v>
      </c>
      <c r="E698" t="s">
        <v>5225</v>
      </c>
      <c r="F698" t="s">
        <v>5226</v>
      </c>
      <c r="G698" t="s">
        <v>5227</v>
      </c>
      <c r="H698" t="s">
        <v>5228</v>
      </c>
      <c r="I698" t="s">
        <v>5229</v>
      </c>
      <c r="J698" t="s">
        <v>5230</v>
      </c>
      <c r="K698" t="s">
        <v>5231</v>
      </c>
    </row>
    <row r="699" spans="1:11" x14ac:dyDescent="0.25">
      <c r="A699" s="123">
        <v>698</v>
      </c>
      <c r="B699" s="90" t="s">
        <v>592</v>
      </c>
      <c r="C699" s="125" t="s">
        <v>170</v>
      </c>
      <c r="D699" t="s">
        <v>5232</v>
      </c>
      <c r="E699" t="s">
        <v>5233</v>
      </c>
      <c r="F699" t="s">
        <v>5234</v>
      </c>
      <c r="G699" s="80" t="s">
        <v>4296</v>
      </c>
      <c r="H699" t="s">
        <v>5235</v>
      </c>
      <c r="I699" t="s">
        <v>5236</v>
      </c>
      <c r="J699" t="s">
        <v>5237</v>
      </c>
      <c r="K699" t="s">
        <v>5238</v>
      </c>
    </row>
    <row r="700" spans="1:11" x14ac:dyDescent="0.25">
      <c r="A700" s="123">
        <v>699</v>
      </c>
      <c r="B700" s="90" t="s">
        <v>592</v>
      </c>
      <c r="C700" s="125" t="s">
        <v>178</v>
      </c>
      <c r="D700" t="s">
        <v>5239</v>
      </c>
      <c r="E700" t="s">
        <v>5240</v>
      </c>
      <c r="F700" t="s">
        <v>5241</v>
      </c>
      <c r="G700" s="80" t="s">
        <v>2178</v>
      </c>
      <c r="H700" t="s">
        <v>5242</v>
      </c>
      <c r="I700" t="s">
        <v>5243</v>
      </c>
      <c r="J700" t="s">
        <v>3727</v>
      </c>
      <c r="K700" t="s">
        <v>5244</v>
      </c>
    </row>
    <row r="701" spans="1:11" x14ac:dyDescent="0.25">
      <c r="A701" s="123">
        <v>700</v>
      </c>
      <c r="B701" s="90" t="s">
        <v>592</v>
      </c>
      <c r="C701" s="125" t="s">
        <v>163</v>
      </c>
      <c r="D701" t="s">
        <v>5239</v>
      </c>
      <c r="E701" t="s">
        <v>5245</v>
      </c>
      <c r="F701" t="s">
        <v>5246</v>
      </c>
      <c r="G701" t="s">
        <v>5247</v>
      </c>
      <c r="H701" t="s">
        <v>5248</v>
      </c>
      <c r="I701" t="s">
        <v>5249</v>
      </c>
      <c r="J701" t="s">
        <v>5250</v>
      </c>
      <c r="K701" t="s">
        <v>5251</v>
      </c>
    </row>
    <row r="702" spans="1:11" x14ac:dyDescent="0.25">
      <c r="A702" s="123">
        <v>701</v>
      </c>
      <c r="B702" s="90" t="s">
        <v>592</v>
      </c>
      <c r="C702" s="125" t="s">
        <v>181</v>
      </c>
      <c r="D702" t="s">
        <v>5252</v>
      </c>
      <c r="E702" s="80" t="s">
        <v>5253</v>
      </c>
      <c r="F702" t="s">
        <v>5254</v>
      </c>
      <c r="G702" t="s">
        <v>5255</v>
      </c>
      <c r="H702" t="s">
        <v>5256</v>
      </c>
      <c r="I702" s="80" t="s">
        <v>5257</v>
      </c>
      <c r="J702" t="s">
        <v>5258</v>
      </c>
      <c r="K702" s="80" t="s">
        <v>5259</v>
      </c>
    </row>
    <row r="703" spans="1:11" x14ac:dyDescent="0.25">
      <c r="A703" s="123">
        <v>702</v>
      </c>
      <c r="B703" s="90" t="s">
        <v>592</v>
      </c>
      <c r="C703" s="125" t="s">
        <v>183</v>
      </c>
      <c r="D703" t="s">
        <v>4646</v>
      </c>
      <c r="E703" s="80" t="s">
        <v>5260</v>
      </c>
      <c r="F703" t="s">
        <v>5261</v>
      </c>
      <c r="G703" t="s">
        <v>5262</v>
      </c>
      <c r="H703" t="s">
        <v>5263</v>
      </c>
      <c r="I703" s="80" t="s">
        <v>5264</v>
      </c>
      <c r="J703" t="s">
        <v>5265</v>
      </c>
      <c r="K703" s="80" t="s">
        <v>5266</v>
      </c>
    </row>
    <row r="704" spans="1:11" x14ac:dyDescent="0.25">
      <c r="A704" s="123">
        <v>703</v>
      </c>
      <c r="B704" s="90" t="s">
        <v>592</v>
      </c>
      <c r="C704" s="125" t="s">
        <v>186</v>
      </c>
      <c r="D704" t="s">
        <v>5267</v>
      </c>
      <c r="E704" s="80" t="s">
        <v>5268</v>
      </c>
      <c r="F704" t="s">
        <v>5269</v>
      </c>
      <c r="G704" t="s">
        <v>3663</v>
      </c>
      <c r="H704" t="s">
        <v>5270</v>
      </c>
      <c r="I704" s="80" t="s">
        <v>5271</v>
      </c>
      <c r="J704" t="s">
        <v>5272</v>
      </c>
      <c r="K704" s="80" t="s">
        <v>5273</v>
      </c>
    </row>
    <row r="705" spans="1:11" x14ac:dyDescent="0.25">
      <c r="A705" s="123">
        <v>704</v>
      </c>
      <c r="B705" s="90" t="s">
        <v>592</v>
      </c>
      <c r="C705" s="125" t="s">
        <v>188</v>
      </c>
      <c r="D705" t="s">
        <v>5274</v>
      </c>
      <c r="E705" s="80" t="s">
        <v>5275</v>
      </c>
      <c r="F705" t="s">
        <v>5276</v>
      </c>
      <c r="G705" t="s">
        <v>5277</v>
      </c>
      <c r="H705" t="s">
        <v>5278</v>
      </c>
      <c r="I705" s="80" t="s">
        <v>5279</v>
      </c>
      <c r="J705" t="s">
        <v>5272</v>
      </c>
      <c r="K705" s="80" t="s">
        <v>5280</v>
      </c>
    </row>
    <row r="706" spans="1:11" x14ac:dyDescent="0.25">
      <c r="A706" s="123">
        <v>705</v>
      </c>
      <c r="B706" s="90" t="s">
        <v>592</v>
      </c>
      <c r="C706" s="125" t="s">
        <v>182</v>
      </c>
      <c r="D706" t="s">
        <v>583</v>
      </c>
      <c r="E706" t="s">
        <v>5281</v>
      </c>
      <c r="F706" t="s">
        <v>5282</v>
      </c>
      <c r="G706" s="80" t="s">
        <v>5283</v>
      </c>
      <c r="H706" t="s">
        <v>5284</v>
      </c>
      <c r="I706" t="s">
        <v>5285</v>
      </c>
      <c r="J706" t="s">
        <v>583</v>
      </c>
      <c r="K706" t="s">
        <v>5286</v>
      </c>
    </row>
    <row r="707" spans="1:11" x14ac:dyDescent="0.25">
      <c r="A707" s="123">
        <v>706</v>
      </c>
      <c r="B707" s="90" t="s">
        <v>592</v>
      </c>
      <c r="C707" s="125" t="s">
        <v>184</v>
      </c>
      <c r="D707" t="s">
        <v>5287</v>
      </c>
      <c r="E707" t="s">
        <v>5288</v>
      </c>
      <c r="F707" t="s">
        <v>5289</v>
      </c>
      <c r="G707" t="s">
        <v>5290</v>
      </c>
      <c r="H707" t="s">
        <v>5291</v>
      </c>
      <c r="I707" s="80" t="s">
        <v>5292</v>
      </c>
      <c r="J707" t="s">
        <v>5230</v>
      </c>
      <c r="K707" t="s">
        <v>5293</v>
      </c>
    </row>
    <row r="708" spans="1:11" x14ac:dyDescent="0.25">
      <c r="A708" s="123">
        <v>707</v>
      </c>
      <c r="B708" s="90" t="s">
        <v>592</v>
      </c>
      <c r="C708" s="125" t="s">
        <v>187</v>
      </c>
      <c r="D708" t="s">
        <v>5294</v>
      </c>
      <c r="E708" t="s">
        <v>5295</v>
      </c>
      <c r="F708" t="s">
        <v>5296</v>
      </c>
      <c r="G708" t="s">
        <v>3663</v>
      </c>
      <c r="H708" s="80" t="s">
        <v>5297</v>
      </c>
      <c r="I708" s="80" t="s">
        <v>5298</v>
      </c>
      <c r="J708" t="s">
        <v>5299</v>
      </c>
      <c r="K708" t="s">
        <v>5300</v>
      </c>
    </row>
    <row r="709" spans="1:11" x14ac:dyDescent="0.25">
      <c r="A709" s="123">
        <v>708</v>
      </c>
      <c r="B709" s="90" t="s">
        <v>592</v>
      </c>
      <c r="C709" s="125" t="s">
        <v>189</v>
      </c>
      <c r="D709" t="s">
        <v>5301</v>
      </c>
      <c r="E709" t="s">
        <v>5302</v>
      </c>
      <c r="F709" t="s">
        <v>5303</v>
      </c>
      <c r="G709" t="s">
        <v>5304</v>
      </c>
      <c r="H709" t="s">
        <v>5305</v>
      </c>
      <c r="I709" s="80" t="s">
        <v>5306</v>
      </c>
      <c r="J709" t="s">
        <v>5307</v>
      </c>
      <c r="K709" t="s">
        <v>5308</v>
      </c>
    </row>
    <row r="710" spans="1:11" x14ac:dyDescent="0.25">
      <c r="A710" s="123">
        <v>709</v>
      </c>
      <c r="B710" s="10">
        <v>2023</v>
      </c>
      <c r="C710" s="125" t="s">
        <v>162</v>
      </c>
      <c r="D710">
        <v>8</v>
      </c>
      <c r="E710" t="s">
        <v>5309</v>
      </c>
      <c r="F710" t="s">
        <v>5310</v>
      </c>
      <c r="G710" t="s">
        <v>5277</v>
      </c>
      <c r="H710" t="s">
        <v>5311</v>
      </c>
      <c r="I710" t="s">
        <v>5312</v>
      </c>
      <c r="J710" t="s">
        <v>5313</v>
      </c>
      <c r="K710" t="s">
        <v>2547</v>
      </c>
    </row>
    <row r="711" spans="1:11" x14ac:dyDescent="0.25">
      <c r="A711" s="123">
        <v>710</v>
      </c>
      <c r="B711" s="10">
        <v>2023</v>
      </c>
      <c r="C711" s="125" t="s">
        <v>170</v>
      </c>
      <c r="D711" t="s">
        <v>5314</v>
      </c>
      <c r="E711" s="80" t="s">
        <v>5315</v>
      </c>
      <c r="F711" t="s">
        <v>5316</v>
      </c>
      <c r="G711" t="s">
        <v>5317</v>
      </c>
      <c r="H711" t="s">
        <v>5318</v>
      </c>
      <c r="I711" s="80" t="s">
        <v>5319</v>
      </c>
      <c r="J711" t="s">
        <v>5237</v>
      </c>
      <c r="K711" t="s">
        <v>5320</v>
      </c>
    </row>
    <row r="712" spans="1:11" x14ac:dyDescent="0.25">
      <c r="A712" s="123">
        <v>711</v>
      </c>
      <c r="B712" s="10">
        <v>2023</v>
      </c>
      <c r="C712" s="125" t="s">
        <v>178</v>
      </c>
      <c r="D712" t="s">
        <v>5321</v>
      </c>
      <c r="E712" s="80" t="s">
        <v>5322</v>
      </c>
      <c r="F712" t="s">
        <v>5323</v>
      </c>
      <c r="G712" t="s">
        <v>5324</v>
      </c>
      <c r="H712" t="s">
        <v>5325</v>
      </c>
      <c r="I712" s="80" t="s">
        <v>5326</v>
      </c>
      <c r="J712" t="s">
        <v>5327</v>
      </c>
      <c r="K712" t="s">
        <v>5328</v>
      </c>
    </row>
    <row r="713" spans="1:11" x14ac:dyDescent="0.25">
      <c r="A713" s="123">
        <v>712</v>
      </c>
      <c r="B713" s="10">
        <v>2023</v>
      </c>
      <c r="C713" s="125" t="s">
        <v>163</v>
      </c>
      <c r="D713" t="s">
        <v>5329</v>
      </c>
      <c r="E713" s="80" t="s">
        <v>5322</v>
      </c>
      <c r="F713" t="s">
        <v>5330</v>
      </c>
      <c r="G713" t="s">
        <v>5331</v>
      </c>
      <c r="H713" t="s">
        <v>5332</v>
      </c>
      <c r="I713" s="80" t="s">
        <v>5333</v>
      </c>
      <c r="J713" t="s">
        <v>5334</v>
      </c>
      <c r="K713" t="s">
        <v>5335</v>
      </c>
    </row>
    <row r="714" spans="1:11" x14ac:dyDescent="0.25">
      <c r="A714" s="123">
        <v>713</v>
      </c>
      <c r="B714" s="10">
        <v>2023</v>
      </c>
      <c r="C714" s="125" t="s">
        <v>181</v>
      </c>
      <c r="D714" t="s">
        <v>5336</v>
      </c>
      <c r="E714" s="80" t="s">
        <v>5337</v>
      </c>
      <c r="F714" t="s">
        <v>4146</v>
      </c>
      <c r="G714" t="s">
        <v>5255</v>
      </c>
      <c r="H714" t="s">
        <v>5338</v>
      </c>
      <c r="I714" t="s">
        <v>5339</v>
      </c>
      <c r="J714" t="s">
        <v>5250</v>
      </c>
      <c r="K714" t="s">
        <v>2136</v>
      </c>
    </row>
    <row r="715" spans="1:11" x14ac:dyDescent="0.25">
      <c r="A715" s="123">
        <v>714</v>
      </c>
      <c r="B715" s="10">
        <v>2023</v>
      </c>
      <c r="C715" s="125" t="s">
        <v>183</v>
      </c>
      <c r="D715" t="s">
        <v>5340</v>
      </c>
      <c r="E715" s="80" t="s">
        <v>5341</v>
      </c>
      <c r="F715" t="s">
        <v>5342</v>
      </c>
      <c r="G715" t="s">
        <v>5343</v>
      </c>
      <c r="H715" t="s">
        <v>5344</v>
      </c>
      <c r="I715" s="80" t="s">
        <v>5345</v>
      </c>
      <c r="J715" t="s">
        <v>5346</v>
      </c>
      <c r="K715" t="s">
        <v>5347</v>
      </c>
    </row>
    <row r="716" spans="1:11" x14ac:dyDescent="0.25">
      <c r="A716" s="123">
        <v>715</v>
      </c>
      <c r="B716" s="10">
        <v>2023</v>
      </c>
      <c r="C716" s="125" t="s">
        <v>186</v>
      </c>
      <c r="D716" t="s">
        <v>5348</v>
      </c>
      <c r="E716" t="s">
        <v>5349</v>
      </c>
      <c r="F716" t="s">
        <v>5350</v>
      </c>
      <c r="G716" t="s">
        <v>5351</v>
      </c>
      <c r="H716" t="s">
        <v>5352</v>
      </c>
      <c r="I716" s="80" t="s">
        <v>5353</v>
      </c>
      <c r="J716" t="s">
        <v>5354</v>
      </c>
      <c r="K716" s="80" t="s">
        <v>5355</v>
      </c>
    </row>
    <row r="717" spans="1:11" x14ac:dyDescent="0.25">
      <c r="A717" s="123">
        <v>716</v>
      </c>
      <c r="B717" s="10">
        <v>2023</v>
      </c>
      <c r="C717" s="125" t="s">
        <v>188</v>
      </c>
      <c r="D717" t="s">
        <v>5348</v>
      </c>
      <c r="E717" s="80" t="s">
        <v>5356</v>
      </c>
      <c r="F717" t="s">
        <v>5357</v>
      </c>
      <c r="G717" t="s">
        <v>5351</v>
      </c>
      <c r="H717" t="s">
        <v>5358</v>
      </c>
      <c r="I717" s="80" t="s">
        <v>5359</v>
      </c>
      <c r="J717" t="s">
        <v>5327</v>
      </c>
      <c r="K717" t="s">
        <v>5360</v>
      </c>
    </row>
    <row r="718" spans="1:11" x14ac:dyDescent="0.25">
      <c r="A718" s="123">
        <v>717</v>
      </c>
      <c r="B718" s="10">
        <v>2023</v>
      </c>
      <c r="C718" s="125" t="s">
        <v>182</v>
      </c>
      <c r="D718" t="s">
        <v>3232</v>
      </c>
      <c r="E718" t="s">
        <v>5361</v>
      </c>
      <c r="F718" t="s">
        <v>5362</v>
      </c>
      <c r="G718" t="s">
        <v>5363</v>
      </c>
      <c r="H718" t="s">
        <v>5364</v>
      </c>
      <c r="I718" t="s">
        <v>5365</v>
      </c>
      <c r="J718" t="s">
        <v>814</v>
      </c>
      <c r="K718" t="s">
        <v>5366</v>
      </c>
    </row>
    <row r="719" spans="1:11" x14ac:dyDescent="0.25">
      <c r="A719" s="123">
        <v>718</v>
      </c>
      <c r="B719" s="10">
        <v>2023</v>
      </c>
      <c r="C719" s="125" t="s">
        <v>184</v>
      </c>
      <c r="D719" t="s">
        <v>5367</v>
      </c>
      <c r="E719" t="s">
        <v>5368</v>
      </c>
      <c r="F719" t="s">
        <v>5369</v>
      </c>
      <c r="G719" t="s">
        <v>3663</v>
      </c>
      <c r="H719" t="s">
        <v>5370</v>
      </c>
      <c r="I719" s="80" t="s">
        <v>5371</v>
      </c>
      <c r="J719" t="s">
        <v>5307</v>
      </c>
      <c r="K719" t="s">
        <v>5372</v>
      </c>
    </row>
    <row r="720" spans="1:11" x14ac:dyDescent="0.25">
      <c r="A720" s="123">
        <v>719</v>
      </c>
      <c r="B720" s="10">
        <v>2023</v>
      </c>
      <c r="C720" s="125" t="s">
        <v>187</v>
      </c>
      <c r="D720" t="s">
        <v>5373</v>
      </c>
      <c r="E720" t="s">
        <v>5374</v>
      </c>
      <c r="F720" t="s">
        <v>5375</v>
      </c>
      <c r="G720" t="s">
        <v>5376</v>
      </c>
      <c r="H720" t="s">
        <v>5377</v>
      </c>
      <c r="I720" s="80" t="s">
        <v>5378</v>
      </c>
      <c r="J720" t="s">
        <v>5327</v>
      </c>
      <c r="K720" t="s">
        <v>5379</v>
      </c>
    </row>
    <row r="721" spans="1:11" x14ac:dyDescent="0.25">
      <c r="A721" s="123">
        <v>720</v>
      </c>
      <c r="B721" s="10">
        <v>2023</v>
      </c>
      <c r="C721" s="125" t="s">
        <v>189</v>
      </c>
      <c r="D721" t="s">
        <v>5380</v>
      </c>
      <c r="E721" t="s">
        <v>5381</v>
      </c>
      <c r="F721" t="s">
        <v>5382</v>
      </c>
      <c r="G721" t="s">
        <v>5262</v>
      </c>
      <c r="H721" t="s">
        <v>5383</v>
      </c>
      <c r="I721" s="80" t="s">
        <v>5384</v>
      </c>
      <c r="J721" t="s">
        <v>5385</v>
      </c>
      <c r="K721" t="s">
        <v>5386</v>
      </c>
    </row>
    <row r="722" spans="1:11" x14ac:dyDescent="0.25">
      <c r="A722" s="123">
        <v>721</v>
      </c>
      <c r="B722" s="10">
        <v>2024</v>
      </c>
      <c r="C722" s="125" t="s">
        <v>162</v>
      </c>
      <c r="D722" t="s">
        <v>5387</v>
      </c>
      <c r="E722" t="s">
        <v>5388</v>
      </c>
      <c r="F722" t="s">
        <v>4711</v>
      </c>
      <c r="G722" t="s">
        <v>5389</v>
      </c>
      <c r="H722" t="s">
        <v>5390</v>
      </c>
      <c r="I722" t="s">
        <v>1385</v>
      </c>
      <c r="J722" t="s">
        <v>5313</v>
      </c>
      <c r="K722" t="s">
        <v>5391</v>
      </c>
    </row>
    <row r="723" spans="1:11" x14ac:dyDescent="0.25">
      <c r="A723" s="123">
        <v>722</v>
      </c>
      <c r="B723" s="10">
        <v>2024</v>
      </c>
      <c r="C723" s="125" t="s">
        <v>170</v>
      </c>
      <c r="D723" t="s">
        <v>5392</v>
      </c>
      <c r="E723" s="80" t="s">
        <v>5393</v>
      </c>
      <c r="F723" t="s">
        <v>5394</v>
      </c>
      <c r="G723" t="s">
        <v>5395</v>
      </c>
      <c r="H723" t="s">
        <v>5396</v>
      </c>
      <c r="I723" s="80" t="s">
        <v>5397</v>
      </c>
      <c r="J723" t="s">
        <v>2248</v>
      </c>
      <c r="K723" t="s">
        <v>5398</v>
      </c>
    </row>
    <row r="724" spans="1:11" x14ac:dyDescent="0.25">
      <c r="A724" s="123">
        <v>723</v>
      </c>
      <c r="B724" s="10">
        <v>2024</v>
      </c>
      <c r="C724" s="125" t="s">
        <v>178</v>
      </c>
      <c r="D724" t="s">
        <v>5399</v>
      </c>
      <c r="E724" s="80" t="s">
        <v>5400</v>
      </c>
      <c r="F724" t="s">
        <v>5401</v>
      </c>
      <c r="G724" t="s">
        <v>5402</v>
      </c>
      <c r="H724" t="s">
        <v>5403</v>
      </c>
      <c r="I724" s="80" t="s">
        <v>5404</v>
      </c>
      <c r="J724" t="s">
        <v>5405</v>
      </c>
      <c r="K724" t="s">
        <v>5406</v>
      </c>
    </row>
    <row r="725" spans="1:11" x14ac:dyDescent="0.25">
      <c r="A725" s="123">
        <v>724</v>
      </c>
      <c r="B725" s="10">
        <v>2024</v>
      </c>
      <c r="C725" s="125" t="s">
        <v>163</v>
      </c>
      <c r="D725" t="s">
        <v>5407</v>
      </c>
      <c r="E725" s="80" t="s">
        <v>5408</v>
      </c>
      <c r="F725" t="s">
        <v>5409</v>
      </c>
      <c r="G725" t="s">
        <v>5410</v>
      </c>
      <c r="H725" t="s">
        <v>5411</v>
      </c>
      <c r="I725" s="80" t="s">
        <v>5412</v>
      </c>
      <c r="J725" t="s">
        <v>5334</v>
      </c>
      <c r="K725" t="s">
        <v>5413</v>
      </c>
    </row>
    <row r="726" spans="1:11" x14ac:dyDescent="0.25">
      <c r="A726" s="123">
        <v>725</v>
      </c>
      <c r="B726" s="10">
        <v>2024</v>
      </c>
      <c r="C726" s="125" t="s">
        <v>181</v>
      </c>
      <c r="D726" t="s">
        <v>5336</v>
      </c>
      <c r="E726" s="80" t="s">
        <v>5414</v>
      </c>
      <c r="F726" t="s">
        <v>5415</v>
      </c>
      <c r="G726" t="s">
        <v>5277</v>
      </c>
      <c r="H726" t="s">
        <v>5416</v>
      </c>
      <c r="I726" t="s">
        <v>5417</v>
      </c>
      <c r="J726" t="s">
        <v>5237</v>
      </c>
      <c r="K726" t="s">
        <v>5418</v>
      </c>
    </row>
    <row r="727" spans="1:11" x14ac:dyDescent="0.25">
      <c r="A727" s="123">
        <v>726</v>
      </c>
      <c r="B727" s="10">
        <v>2024</v>
      </c>
      <c r="C727" s="125" t="s">
        <v>183</v>
      </c>
      <c r="D727" t="s">
        <v>5340</v>
      </c>
      <c r="E727" s="80" t="s">
        <v>5419</v>
      </c>
      <c r="F727" t="s">
        <v>5420</v>
      </c>
      <c r="G727" t="s">
        <v>5410</v>
      </c>
      <c r="H727" t="s">
        <v>5421</v>
      </c>
      <c r="I727" s="80" t="s">
        <v>5422</v>
      </c>
      <c r="J727" t="s">
        <v>5334</v>
      </c>
      <c r="K727" t="s">
        <v>5423</v>
      </c>
    </row>
    <row r="728" spans="1:11" x14ac:dyDescent="0.25">
      <c r="A728" s="123">
        <v>727</v>
      </c>
      <c r="B728" s="10">
        <v>2024</v>
      </c>
      <c r="C728" s="125" t="s">
        <v>186</v>
      </c>
      <c r="D728" t="s">
        <v>5424</v>
      </c>
      <c r="E728" s="80" t="s">
        <v>5425</v>
      </c>
      <c r="F728" t="s">
        <v>5426</v>
      </c>
      <c r="G728" t="s">
        <v>5343</v>
      </c>
      <c r="H728" s="80" t="s">
        <v>5427</v>
      </c>
      <c r="I728" s="80" t="s">
        <v>5428</v>
      </c>
      <c r="J728" t="s">
        <v>5429</v>
      </c>
      <c r="K728" t="s">
        <v>5430</v>
      </c>
    </row>
    <row r="729" spans="1:11" x14ac:dyDescent="0.25">
      <c r="A729" s="123">
        <v>728</v>
      </c>
      <c r="B729" s="10">
        <v>2024</v>
      </c>
      <c r="C729" s="125" t="s">
        <v>188</v>
      </c>
      <c r="D729" t="s">
        <v>5431</v>
      </c>
      <c r="E729" s="80" t="s">
        <v>5432</v>
      </c>
      <c r="F729" t="s">
        <v>5433</v>
      </c>
      <c r="G729" t="s">
        <v>5343</v>
      </c>
      <c r="H729" t="s">
        <v>5434</v>
      </c>
      <c r="I729" s="80" t="s">
        <v>5435</v>
      </c>
      <c r="J729" t="s">
        <v>5272</v>
      </c>
      <c r="K729" t="s">
        <v>5436</v>
      </c>
    </row>
    <row r="730" spans="1:11" x14ac:dyDescent="0.25">
      <c r="A730" s="123">
        <v>729</v>
      </c>
      <c r="B730" s="10">
        <v>2024</v>
      </c>
      <c r="C730" s="125" t="s">
        <v>182</v>
      </c>
      <c r="D730" t="s">
        <v>3232</v>
      </c>
      <c r="E730" t="s">
        <v>5437</v>
      </c>
      <c r="F730" t="s">
        <v>5438</v>
      </c>
      <c r="G730" t="s">
        <v>5439</v>
      </c>
      <c r="H730" t="s">
        <v>5440</v>
      </c>
      <c r="I730" s="80" t="s">
        <v>5441</v>
      </c>
      <c r="J730" t="s">
        <v>5239</v>
      </c>
      <c r="K730" t="s">
        <v>5442</v>
      </c>
    </row>
    <row r="731" spans="1:11" x14ac:dyDescent="0.25">
      <c r="A731" s="123">
        <v>730</v>
      </c>
      <c r="B731" s="10">
        <v>2024</v>
      </c>
      <c r="C731" s="125" t="s">
        <v>184</v>
      </c>
      <c r="D731" t="s">
        <v>5443</v>
      </c>
      <c r="E731" t="s">
        <v>5444</v>
      </c>
      <c r="F731" t="s">
        <v>5445</v>
      </c>
      <c r="G731" t="s">
        <v>5446</v>
      </c>
      <c r="H731" s="80" t="s">
        <v>5447</v>
      </c>
      <c r="I731" s="80" t="s">
        <v>5448</v>
      </c>
      <c r="J731" t="s">
        <v>5449</v>
      </c>
      <c r="K731" t="s">
        <v>5450</v>
      </c>
    </row>
    <row r="732" spans="1:11" x14ac:dyDescent="0.25">
      <c r="A732" s="123">
        <v>731</v>
      </c>
      <c r="B732" s="10">
        <v>2024</v>
      </c>
      <c r="C732" s="125" t="s">
        <v>187</v>
      </c>
      <c r="D732" t="s">
        <v>5451</v>
      </c>
      <c r="E732" t="s">
        <v>5452</v>
      </c>
      <c r="F732" t="s">
        <v>5453</v>
      </c>
      <c r="G732" t="s">
        <v>5410</v>
      </c>
      <c r="H732" s="80" t="s">
        <v>5454</v>
      </c>
      <c r="I732" s="80" t="s">
        <v>5455</v>
      </c>
      <c r="J732" t="s">
        <v>4908</v>
      </c>
      <c r="K732" t="s">
        <v>5456</v>
      </c>
    </row>
    <row r="733" spans="1:11" x14ac:dyDescent="0.25">
      <c r="A733" s="123">
        <v>732</v>
      </c>
      <c r="B733" s="10">
        <v>2024</v>
      </c>
      <c r="C733" s="125" t="s">
        <v>189</v>
      </c>
      <c r="D733" t="s">
        <v>5457</v>
      </c>
      <c r="E733" t="s">
        <v>5458</v>
      </c>
      <c r="F733" t="s">
        <v>5417</v>
      </c>
      <c r="G733" t="s">
        <v>5277</v>
      </c>
      <c r="H733" t="s">
        <v>5459</v>
      </c>
      <c r="I733" s="80" t="s">
        <v>5460</v>
      </c>
      <c r="J733" t="s">
        <v>5461</v>
      </c>
      <c r="K733" t="s">
        <v>5462</v>
      </c>
    </row>
    <row r="734" spans="1:11" x14ac:dyDescent="0.25">
      <c r="A734" s="123">
        <v>733</v>
      </c>
      <c r="B734" s="10">
        <v>2025</v>
      </c>
      <c r="C734" s="125" t="s">
        <v>162</v>
      </c>
      <c r="D734" t="s">
        <v>5463</v>
      </c>
      <c r="E734" t="s">
        <v>5464</v>
      </c>
      <c r="F734" t="s">
        <v>5465</v>
      </c>
      <c r="G734" t="s">
        <v>5466</v>
      </c>
      <c r="H734" s="80" t="s">
        <v>5282</v>
      </c>
      <c r="I734" t="s">
        <v>2549</v>
      </c>
      <c r="J734" t="s">
        <v>814</v>
      </c>
      <c r="K734" t="s">
        <v>5467</v>
      </c>
    </row>
    <row r="735" spans="1:11" x14ac:dyDescent="0.25">
      <c r="A735" s="123">
        <v>734</v>
      </c>
      <c r="B735" s="10">
        <v>2025</v>
      </c>
      <c r="C735" s="125" t="s">
        <v>170</v>
      </c>
      <c r="D735" t="s">
        <v>5468</v>
      </c>
      <c r="E735" t="s">
        <v>5469</v>
      </c>
      <c r="F735" t="s">
        <v>5470</v>
      </c>
      <c r="G735" t="s">
        <v>5471</v>
      </c>
      <c r="H735" t="s">
        <v>5472</v>
      </c>
      <c r="I735" s="80" t="s">
        <v>5473</v>
      </c>
      <c r="J735" t="s">
        <v>5250</v>
      </c>
      <c r="K735" t="s">
        <v>5474</v>
      </c>
    </row>
    <row r="736" spans="1:11" x14ac:dyDescent="0.25">
      <c r="A736" s="123">
        <v>735</v>
      </c>
      <c r="B736" s="10">
        <v>2025</v>
      </c>
      <c r="C736" s="125" t="s">
        <v>178</v>
      </c>
      <c r="D736" t="s">
        <v>5475</v>
      </c>
      <c r="E736" s="80" t="s">
        <v>5476</v>
      </c>
      <c r="F736" t="s">
        <v>5477</v>
      </c>
      <c r="G736" t="s">
        <v>5478</v>
      </c>
      <c r="H736" t="s">
        <v>5479</v>
      </c>
      <c r="I736" s="80" t="s">
        <v>5480</v>
      </c>
      <c r="J736" t="s">
        <v>5481</v>
      </c>
      <c r="K736" t="s">
        <v>5482</v>
      </c>
    </row>
    <row r="737" spans="1:11" x14ac:dyDescent="0.25">
      <c r="A737" s="123">
        <v>736</v>
      </c>
      <c r="B737" s="10">
        <v>2025</v>
      </c>
      <c r="C737" s="125" t="s">
        <v>163</v>
      </c>
      <c r="D737" t="s">
        <v>5483</v>
      </c>
      <c r="E737" s="80" t="s">
        <v>5484</v>
      </c>
      <c r="F737" t="s">
        <v>5485</v>
      </c>
      <c r="G737" t="s">
        <v>5331</v>
      </c>
      <c r="H737" t="s">
        <v>5486</v>
      </c>
      <c r="I737" s="80" t="s">
        <v>5487</v>
      </c>
      <c r="J737" t="s">
        <v>5334</v>
      </c>
      <c r="K737" t="s">
        <v>5488</v>
      </c>
    </row>
    <row r="738" spans="1:11" x14ac:dyDescent="0.25">
      <c r="A738" s="123">
        <v>737</v>
      </c>
      <c r="B738" s="2">
        <v>2025</v>
      </c>
      <c r="C738" s="123" t="s">
        <v>181</v>
      </c>
      <c r="D738" t="s">
        <v>5239</v>
      </c>
      <c r="E738" s="80" t="s">
        <v>5489</v>
      </c>
      <c r="F738" t="s">
        <v>5490</v>
      </c>
      <c r="G738" t="s">
        <v>5290</v>
      </c>
      <c r="H738" t="s">
        <v>5491</v>
      </c>
      <c r="I738" t="s">
        <v>5492</v>
      </c>
      <c r="J738" t="s">
        <v>3727</v>
      </c>
      <c r="K738" t="s">
        <v>5493</v>
      </c>
    </row>
    <row r="739" spans="1:11" x14ac:dyDescent="0.25">
      <c r="A739" s="123">
        <v>738</v>
      </c>
      <c r="B739" s="2">
        <v>2025</v>
      </c>
      <c r="C739" s="123" t="s">
        <v>183</v>
      </c>
      <c r="D739" t="s">
        <v>5494</v>
      </c>
      <c r="E739" t="s">
        <v>5495</v>
      </c>
      <c r="F739" t="s">
        <v>5496</v>
      </c>
      <c r="G739" t="s">
        <v>5471</v>
      </c>
      <c r="H739" t="s">
        <v>5497</v>
      </c>
      <c r="I739" s="80" t="s">
        <v>5498</v>
      </c>
      <c r="J739" t="s">
        <v>5481</v>
      </c>
      <c r="K739" t="s">
        <v>5499</v>
      </c>
    </row>
    <row r="740" spans="1:11" x14ac:dyDescent="0.25">
      <c r="A740" s="123">
        <v>739</v>
      </c>
      <c r="B740" s="2">
        <v>2025</v>
      </c>
      <c r="C740" s="123" t="s">
        <v>186</v>
      </c>
      <c r="D740" t="s">
        <v>5340</v>
      </c>
      <c r="E740" t="s">
        <v>5500</v>
      </c>
      <c r="F740" t="s">
        <v>5501</v>
      </c>
      <c r="G740" t="s">
        <v>5376</v>
      </c>
      <c r="H740" t="s">
        <v>5502</v>
      </c>
      <c r="I740" s="80" t="s">
        <v>5503</v>
      </c>
      <c r="J740" t="s">
        <v>5299</v>
      </c>
      <c r="K740" t="s">
        <v>5504</v>
      </c>
    </row>
    <row r="741" spans="1:11" ht="15.75" thickBot="1" x14ac:dyDescent="0.3">
      <c r="A741" s="123">
        <v>740</v>
      </c>
      <c r="B741" s="2">
        <v>2025</v>
      </c>
      <c r="C741" s="123" t="s">
        <v>188</v>
      </c>
      <c r="D741" t="s">
        <v>5340</v>
      </c>
      <c r="E741" s="80" t="s">
        <v>5505</v>
      </c>
      <c r="F741" t="s">
        <v>5506</v>
      </c>
      <c r="G741" t="s">
        <v>5507</v>
      </c>
      <c r="H741" t="s">
        <v>5508</v>
      </c>
      <c r="I741" s="80" t="s">
        <v>5509</v>
      </c>
      <c r="J741" t="s">
        <v>5510</v>
      </c>
      <c r="K741" s="80" t="s">
        <v>5511</v>
      </c>
    </row>
    <row r="742" spans="1:11" x14ac:dyDescent="0.25">
      <c r="A742" s="123">
        <v>741</v>
      </c>
      <c r="B742" s="10">
        <v>2025</v>
      </c>
      <c r="C742" s="126" t="s">
        <v>182</v>
      </c>
      <c r="D742" t="s">
        <v>583</v>
      </c>
      <c r="E742" t="s">
        <v>5512</v>
      </c>
      <c r="F742" t="s">
        <v>5513</v>
      </c>
      <c r="G742" t="s">
        <v>5514</v>
      </c>
      <c r="H742" t="s">
        <v>5515</v>
      </c>
      <c r="I742" t="s">
        <v>5516</v>
      </c>
      <c r="J742" s="80" t="s">
        <v>5517</v>
      </c>
      <c r="K742" t="s">
        <v>5518</v>
      </c>
    </row>
    <row r="743" spans="1:11" x14ac:dyDescent="0.25">
      <c r="A743" s="123">
        <v>742</v>
      </c>
      <c r="B743" s="10">
        <v>2025</v>
      </c>
      <c r="C743" s="125" t="s">
        <v>184</v>
      </c>
      <c r="D743" t="s">
        <v>5519</v>
      </c>
      <c r="E743" t="s">
        <v>5520</v>
      </c>
      <c r="F743" t="s">
        <v>5521</v>
      </c>
      <c r="G743" t="s">
        <v>5471</v>
      </c>
      <c r="H743" t="s">
        <v>5522</v>
      </c>
      <c r="I743" s="80" t="s">
        <v>5523</v>
      </c>
      <c r="J743" t="s">
        <v>5449</v>
      </c>
      <c r="K743" t="s">
        <v>5524</v>
      </c>
    </row>
    <row r="744" spans="1:11" x14ac:dyDescent="0.25">
      <c r="A744" s="123">
        <v>743</v>
      </c>
      <c r="B744" s="10">
        <v>2025</v>
      </c>
      <c r="C744" s="125" t="s">
        <v>187</v>
      </c>
      <c r="D744" t="s">
        <v>5525</v>
      </c>
      <c r="E744" t="s">
        <v>5526</v>
      </c>
      <c r="F744" t="s">
        <v>5527</v>
      </c>
      <c r="G744" t="s">
        <v>5376</v>
      </c>
      <c r="H744" t="s">
        <v>5528</v>
      </c>
      <c r="I744" s="80" t="s">
        <v>5529</v>
      </c>
      <c r="J744" t="s">
        <v>5327</v>
      </c>
      <c r="K744" t="s">
        <v>5530</v>
      </c>
    </row>
    <row r="745" spans="1:11" x14ac:dyDescent="0.25">
      <c r="A745" s="123">
        <v>744</v>
      </c>
      <c r="B745" s="10">
        <v>2025</v>
      </c>
      <c r="C745" s="125" t="s">
        <v>189</v>
      </c>
      <c r="D745" t="s">
        <v>5531</v>
      </c>
      <c r="E745" t="s">
        <v>5532</v>
      </c>
      <c r="F745" t="s">
        <v>5151</v>
      </c>
      <c r="G745" t="s">
        <v>5277</v>
      </c>
      <c r="H745" t="s">
        <v>5533</v>
      </c>
      <c r="I745" s="80" t="s">
        <v>5534</v>
      </c>
      <c r="J745" t="s">
        <v>5461</v>
      </c>
      <c r="K745" t="s">
        <v>5535</v>
      </c>
    </row>
    <row r="746" spans="1:11" x14ac:dyDescent="0.25">
      <c r="A746" s="123">
        <v>745</v>
      </c>
      <c r="B746" s="10">
        <v>2026</v>
      </c>
      <c r="C746" s="125" t="s">
        <v>162</v>
      </c>
      <c r="D746" t="s">
        <v>5232</v>
      </c>
      <c r="E746" t="s">
        <v>5536</v>
      </c>
      <c r="F746" t="s">
        <v>5415</v>
      </c>
      <c r="G746" t="s">
        <v>5255</v>
      </c>
      <c r="H746" t="s">
        <v>5311</v>
      </c>
      <c r="I746" t="s">
        <v>5537</v>
      </c>
      <c r="J746" t="s">
        <v>5538</v>
      </c>
      <c r="K746" t="s">
        <v>5539</v>
      </c>
    </row>
    <row r="747" spans="1:11" x14ac:dyDescent="0.25">
      <c r="A747" s="123">
        <v>746</v>
      </c>
      <c r="B747" s="2">
        <v>2026</v>
      </c>
      <c r="C747" s="123" t="s">
        <v>170</v>
      </c>
      <c r="D747" t="s">
        <v>5540</v>
      </c>
      <c r="E747" s="80" t="s">
        <v>5541</v>
      </c>
      <c r="F747" t="s">
        <v>5542</v>
      </c>
      <c r="G747" t="s">
        <v>5543</v>
      </c>
      <c r="H747" t="s">
        <v>5544</v>
      </c>
      <c r="I747" s="80" t="s">
        <v>5545</v>
      </c>
      <c r="J747" t="s">
        <v>5449</v>
      </c>
      <c r="K747" t="s">
        <v>5546</v>
      </c>
    </row>
    <row r="748" spans="1:11" x14ac:dyDescent="0.25">
      <c r="A748" s="123">
        <v>747</v>
      </c>
      <c r="B748" s="2">
        <v>2026</v>
      </c>
      <c r="C748" s="123" t="s">
        <v>178</v>
      </c>
      <c r="D748" t="s">
        <v>5547</v>
      </c>
      <c r="E748" s="80" t="s">
        <v>5548</v>
      </c>
      <c r="F748" t="s">
        <v>5549</v>
      </c>
      <c r="G748" t="s">
        <v>5376</v>
      </c>
      <c r="H748" t="s">
        <v>5550</v>
      </c>
      <c r="I748" s="80" t="s">
        <v>5551</v>
      </c>
      <c r="J748" t="s">
        <v>5334</v>
      </c>
      <c r="K748" t="s">
        <v>5552</v>
      </c>
    </row>
    <row r="749" spans="1:11" x14ac:dyDescent="0.25">
      <c r="A749" s="123">
        <v>748</v>
      </c>
      <c r="B749" s="2">
        <v>2026</v>
      </c>
      <c r="C749" s="123" t="s">
        <v>163</v>
      </c>
      <c r="D749" t="s">
        <v>5553</v>
      </c>
      <c r="E749" s="80" t="s">
        <v>5554</v>
      </c>
      <c r="F749" t="s">
        <v>5555</v>
      </c>
      <c r="G749" t="s">
        <v>5331</v>
      </c>
      <c r="H749" t="s">
        <v>5556</v>
      </c>
      <c r="I749" s="80" t="s">
        <v>5557</v>
      </c>
      <c r="J749" t="s">
        <v>5558</v>
      </c>
      <c r="K749" t="s">
        <v>5559</v>
      </c>
    </row>
    <row r="750" spans="1:11" x14ac:dyDescent="0.25">
      <c r="A750" s="123">
        <v>749</v>
      </c>
      <c r="B750" s="2">
        <v>2026</v>
      </c>
      <c r="C750" s="123" t="s">
        <v>181</v>
      </c>
      <c r="D750" t="s">
        <v>5336</v>
      </c>
      <c r="E750" s="80" t="s">
        <v>5560</v>
      </c>
      <c r="F750" t="s">
        <v>5561</v>
      </c>
      <c r="G750" t="s">
        <v>5471</v>
      </c>
      <c r="H750" t="s">
        <v>5562</v>
      </c>
      <c r="I750" t="s">
        <v>5563</v>
      </c>
      <c r="J750" t="s">
        <v>3727</v>
      </c>
      <c r="K750" t="s">
        <v>5564</v>
      </c>
    </row>
    <row r="751" spans="1:11" x14ac:dyDescent="0.25">
      <c r="A751" s="123">
        <v>750</v>
      </c>
      <c r="B751" s="10">
        <v>2026</v>
      </c>
      <c r="C751" s="125" t="s">
        <v>183</v>
      </c>
      <c r="D751" t="s">
        <v>5565</v>
      </c>
      <c r="E751" s="80" t="s">
        <v>5341</v>
      </c>
      <c r="F751" t="s">
        <v>5566</v>
      </c>
      <c r="G751" t="s">
        <v>5543</v>
      </c>
      <c r="H751" t="s">
        <v>5567</v>
      </c>
      <c r="I751" s="80" t="s">
        <v>5568</v>
      </c>
      <c r="J751" t="s">
        <v>5569</v>
      </c>
      <c r="K751" t="s">
        <v>5570</v>
      </c>
    </row>
    <row r="752" spans="1:11" x14ac:dyDescent="0.25">
      <c r="A752" s="123">
        <v>751</v>
      </c>
      <c r="B752" s="10">
        <v>2026</v>
      </c>
      <c r="C752" s="125" t="s">
        <v>186</v>
      </c>
      <c r="D752" t="s">
        <v>5571</v>
      </c>
      <c r="E752" t="s">
        <v>5572</v>
      </c>
      <c r="F752" t="s">
        <v>5573</v>
      </c>
      <c r="G752" t="s">
        <v>5395</v>
      </c>
      <c r="H752" s="80" t="s">
        <v>5574</v>
      </c>
      <c r="I752" s="80" t="s">
        <v>5575</v>
      </c>
      <c r="J752" t="s">
        <v>5327</v>
      </c>
      <c r="K752" t="s">
        <v>5576</v>
      </c>
    </row>
    <row r="753" spans="1:11" x14ac:dyDescent="0.25">
      <c r="A753" s="123">
        <v>752</v>
      </c>
      <c r="B753" s="10">
        <v>2026</v>
      </c>
      <c r="C753" s="127" t="s">
        <v>188</v>
      </c>
      <c r="D753" t="s">
        <v>5494</v>
      </c>
      <c r="E753" s="80" t="s">
        <v>5577</v>
      </c>
      <c r="F753" t="s">
        <v>5578</v>
      </c>
      <c r="G753" t="s">
        <v>5262</v>
      </c>
      <c r="H753" t="s">
        <v>5579</v>
      </c>
      <c r="I753" s="80" t="s">
        <v>5580</v>
      </c>
      <c r="J753" t="s">
        <v>5258</v>
      </c>
      <c r="K753" t="s">
        <v>5581</v>
      </c>
    </row>
    <row r="754" spans="1:11" x14ac:dyDescent="0.25">
      <c r="A754" s="123">
        <v>753</v>
      </c>
      <c r="B754" s="10">
        <v>2026</v>
      </c>
      <c r="C754" s="125" t="s">
        <v>182</v>
      </c>
      <c r="D754" s="80" t="s">
        <v>5582</v>
      </c>
      <c r="E754" t="s">
        <v>5583</v>
      </c>
      <c r="F754" t="s">
        <v>583</v>
      </c>
      <c r="G754" t="s">
        <v>5514</v>
      </c>
      <c r="H754" s="80" t="s">
        <v>5282</v>
      </c>
      <c r="I754" t="s">
        <v>5516</v>
      </c>
      <c r="J754" t="s">
        <v>814</v>
      </c>
      <c r="K754" t="s">
        <v>5286</v>
      </c>
    </row>
    <row r="755" spans="1:11" x14ac:dyDescent="0.25">
      <c r="A755" s="123">
        <v>754</v>
      </c>
      <c r="B755" s="10">
        <v>2026</v>
      </c>
      <c r="C755" s="125" t="s">
        <v>184</v>
      </c>
      <c r="D755" t="s">
        <v>5540</v>
      </c>
      <c r="E755" t="s">
        <v>5584</v>
      </c>
      <c r="F755" t="s">
        <v>5585</v>
      </c>
      <c r="G755" t="s">
        <v>5255</v>
      </c>
      <c r="H755" t="s">
        <v>5586</v>
      </c>
      <c r="I755" s="80" t="s">
        <v>5587</v>
      </c>
      <c r="J755" t="s">
        <v>5230</v>
      </c>
      <c r="K755" t="s">
        <v>5588</v>
      </c>
    </row>
    <row r="756" spans="1:11" x14ac:dyDescent="0.25">
      <c r="A756" s="123">
        <v>755</v>
      </c>
      <c r="B756" s="2">
        <v>2026</v>
      </c>
      <c r="C756" s="123" t="s">
        <v>187</v>
      </c>
      <c r="D756" t="s">
        <v>5589</v>
      </c>
      <c r="E756" t="s">
        <v>5590</v>
      </c>
      <c r="F756" t="s">
        <v>5591</v>
      </c>
      <c r="G756" t="s">
        <v>5410</v>
      </c>
      <c r="H756" s="80" t="s">
        <v>5592</v>
      </c>
      <c r="I756" s="80" t="s">
        <v>5593</v>
      </c>
      <c r="J756" t="s">
        <v>5461</v>
      </c>
      <c r="K756" t="s">
        <v>5594</v>
      </c>
    </row>
    <row r="757" spans="1:11" x14ac:dyDescent="0.25">
      <c r="A757" s="123">
        <v>756</v>
      </c>
      <c r="B757" s="2">
        <v>2026</v>
      </c>
      <c r="C757" s="123" t="s">
        <v>189</v>
      </c>
      <c r="D757" t="s">
        <v>5595</v>
      </c>
      <c r="E757" t="s">
        <v>5596</v>
      </c>
      <c r="F757" t="s">
        <v>5597</v>
      </c>
      <c r="G757" t="s">
        <v>5262</v>
      </c>
      <c r="H757" t="s">
        <v>5598</v>
      </c>
      <c r="I757" s="80" t="s">
        <v>5599</v>
      </c>
      <c r="J757" t="s">
        <v>5481</v>
      </c>
      <c r="K757" t="s">
        <v>5600</v>
      </c>
    </row>
    <row r="758" spans="1:11" x14ac:dyDescent="0.25">
      <c r="A758" s="123">
        <v>757</v>
      </c>
      <c r="B758" s="2">
        <v>2027</v>
      </c>
      <c r="C758" s="123" t="s">
        <v>162</v>
      </c>
      <c r="D758" t="s">
        <v>2383</v>
      </c>
      <c r="E758" t="s">
        <v>5601</v>
      </c>
      <c r="F758" t="s">
        <v>5602</v>
      </c>
      <c r="G758" t="s">
        <v>5603</v>
      </c>
      <c r="H758" t="s">
        <v>583</v>
      </c>
      <c r="I758" t="s">
        <v>5604</v>
      </c>
      <c r="J758" t="s">
        <v>5605</v>
      </c>
      <c r="K758" t="s">
        <v>5465</v>
      </c>
    </row>
    <row r="759" spans="1:11" x14ac:dyDescent="0.25">
      <c r="A759" s="123">
        <v>758</v>
      </c>
      <c r="B759" s="2">
        <v>2027</v>
      </c>
      <c r="C759" s="123" t="s">
        <v>170</v>
      </c>
      <c r="D759" t="s">
        <v>5571</v>
      </c>
      <c r="E759" s="80" t="s">
        <v>5606</v>
      </c>
      <c r="F759" t="s">
        <v>5607</v>
      </c>
      <c r="G759" t="s">
        <v>5471</v>
      </c>
      <c r="H759" t="s">
        <v>5608</v>
      </c>
      <c r="I759" s="80" t="s">
        <v>5609</v>
      </c>
      <c r="J759" t="s">
        <v>5237</v>
      </c>
      <c r="K759" t="s">
        <v>5610</v>
      </c>
    </row>
    <row r="760" spans="1:11" x14ac:dyDescent="0.25">
      <c r="A760" s="123">
        <v>759</v>
      </c>
      <c r="B760" s="2">
        <v>2027</v>
      </c>
      <c r="C760" s="123" t="s">
        <v>178</v>
      </c>
      <c r="D760" t="s">
        <v>5611</v>
      </c>
      <c r="E760" s="80" t="s">
        <v>5612</v>
      </c>
      <c r="F760" t="s">
        <v>5613</v>
      </c>
      <c r="G760" t="s">
        <v>5343</v>
      </c>
      <c r="H760" t="s">
        <v>5614</v>
      </c>
      <c r="I760" s="80" t="s">
        <v>5615</v>
      </c>
      <c r="J760" t="s">
        <v>5481</v>
      </c>
      <c r="K760" t="s">
        <v>3452</v>
      </c>
    </row>
    <row r="761" spans="1:11" x14ac:dyDescent="0.25">
      <c r="A761" s="123">
        <v>760</v>
      </c>
      <c r="B761" s="2">
        <v>2027</v>
      </c>
      <c r="C761" s="123" t="s">
        <v>163</v>
      </c>
      <c r="D761" t="s">
        <v>5348</v>
      </c>
      <c r="E761" s="80" t="s">
        <v>5616</v>
      </c>
      <c r="F761" t="s">
        <v>5617</v>
      </c>
      <c r="G761" t="s">
        <v>5277</v>
      </c>
      <c r="H761" t="s">
        <v>5618</v>
      </c>
      <c r="I761" s="80" t="s">
        <v>5619</v>
      </c>
      <c r="J761" t="s">
        <v>5449</v>
      </c>
      <c r="K761" t="s">
        <v>5620</v>
      </c>
    </row>
    <row r="762" spans="1:11" x14ac:dyDescent="0.25">
      <c r="A762" s="123">
        <v>761</v>
      </c>
      <c r="B762" s="2">
        <v>2027</v>
      </c>
      <c r="C762" s="123" t="s">
        <v>181</v>
      </c>
      <c r="D762" t="s">
        <v>5621</v>
      </c>
      <c r="E762" t="s">
        <v>5622</v>
      </c>
      <c r="F762" t="s">
        <v>5623</v>
      </c>
      <c r="G762" t="s">
        <v>5290</v>
      </c>
      <c r="H762" t="s">
        <v>5624</v>
      </c>
      <c r="I762" t="s">
        <v>5625</v>
      </c>
      <c r="J762" t="s">
        <v>5626</v>
      </c>
      <c r="K762" t="s">
        <v>5418</v>
      </c>
    </row>
    <row r="763" spans="1:11" ht="15.75" thickBot="1" x14ac:dyDescent="0.3">
      <c r="A763" s="123">
        <v>762</v>
      </c>
      <c r="B763" s="2">
        <v>2027</v>
      </c>
      <c r="C763" s="123" t="s">
        <v>183</v>
      </c>
      <c r="D763" t="s">
        <v>5431</v>
      </c>
      <c r="E763" s="80" t="s">
        <v>5627</v>
      </c>
      <c r="F763" t="s">
        <v>5628</v>
      </c>
      <c r="G763" t="s">
        <v>5478</v>
      </c>
      <c r="H763" t="s">
        <v>5629</v>
      </c>
      <c r="I763" s="80" t="s">
        <v>5630</v>
      </c>
      <c r="J763" t="s">
        <v>5346</v>
      </c>
      <c r="K763" t="s">
        <v>5631</v>
      </c>
    </row>
    <row r="764" spans="1:11" x14ac:dyDescent="0.25">
      <c r="A764" s="123">
        <v>763</v>
      </c>
      <c r="B764" s="10">
        <v>2027</v>
      </c>
      <c r="C764" s="126" t="s">
        <v>186</v>
      </c>
      <c r="D764" t="s">
        <v>5632</v>
      </c>
      <c r="E764" s="80" t="s">
        <v>5633</v>
      </c>
      <c r="F764" t="s">
        <v>5634</v>
      </c>
      <c r="G764" t="s">
        <v>5635</v>
      </c>
      <c r="H764" s="80" t="s">
        <v>5636</v>
      </c>
      <c r="I764" s="80" t="s">
        <v>5637</v>
      </c>
      <c r="J764" t="s">
        <v>5638</v>
      </c>
      <c r="K764" s="80" t="s">
        <v>5639</v>
      </c>
    </row>
    <row r="765" spans="1:11" x14ac:dyDescent="0.25">
      <c r="A765" s="123">
        <v>764</v>
      </c>
      <c r="B765" s="10">
        <v>2027</v>
      </c>
      <c r="C765" s="125" t="s">
        <v>188</v>
      </c>
      <c r="D765" t="s">
        <v>5640</v>
      </c>
      <c r="E765" s="80" t="s">
        <v>5641</v>
      </c>
      <c r="F765" t="s">
        <v>5642</v>
      </c>
      <c r="G765" t="s">
        <v>5343</v>
      </c>
      <c r="H765" t="s">
        <v>5643</v>
      </c>
      <c r="I765" s="80" t="s">
        <v>5644</v>
      </c>
      <c r="J765" t="s">
        <v>5645</v>
      </c>
      <c r="K765" t="s">
        <v>5646</v>
      </c>
    </row>
    <row r="766" spans="1:11" x14ac:dyDescent="0.25">
      <c r="A766" s="123">
        <v>765</v>
      </c>
      <c r="B766" s="10">
        <v>2027</v>
      </c>
      <c r="C766" s="125" t="s">
        <v>182</v>
      </c>
      <c r="D766" t="s">
        <v>583</v>
      </c>
      <c r="E766" t="s">
        <v>5647</v>
      </c>
      <c r="F766" t="s">
        <v>583</v>
      </c>
      <c r="G766" t="s">
        <v>583</v>
      </c>
      <c r="H766" t="s">
        <v>2548</v>
      </c>
      <c r="I766" t="s">
        <v>5648</v>
      </c>
      <c r="J766" t="s">
        <v>583</v>
      </c>
      <c r="K766" t="s">
        <v>5465</v>
      </c>
    </row>
    <row r="767" spans="1:11" x14ac:dyDescent="0.25">
      <c r="A767" s="123">
        <v>766</v>
      </c>
      <c r="B767" s="10">
        <v>2027</v>
      </c>
      <c r="C767" s="125" t="s">
        <v>184</v>
      </c>
      <c r="D767" t="s">
        <v>5649</v>
      </c>
      <c r="E767" t="s">
        <v>5650</v>
      </c>
      <c r="F767" t="s">
        <v>5651</v>
      </c>
      <c r="G767" t="s">
        <v>5603</v>
      </c>
      <c r="H767" t="s">
        <v>5652</v>
      </c>
      <c r="I767" s="80" t="s">
        <v>5653</v>
      </c>
      <c r="J767" t="s">
        <v>5645</v>
      </c>
      <c r="K767" t="s">
        <v>5654</v>
      </c>
    </row>
    <row r="768" spans="1:11" x14ac:dyDescent="0.25">
      <c r="A768" s="123">
        <v>767</v>
      </c>
      <c r="B768" s="10">
        <v>2027</v>
      </c>
      <c r="C768" s="125" t="s">
        <v>187</v>
      </c>
      <c r="D768" t="s">
        <v>5655</v>
      </c>
      <c r="E768" t="s">
        <v>5656</v>
      </c>
      <c r="F768" t="s">
        <v>5657</v>
      </c>
      <c r="G768" t="s">
        <v>5255</v>
      </c>
      <c r="H768" s="80" t="s">
        <v>5658</v>
      </c>
      <c r="I768" s="80" t="s">
        <v>5659</v>
      </c>
      <c r="J768" t="s">
        <v>5660</v>
      </c>
      <c r="K768" s="80" t="s">
        <v>5661</v>
      </c>
    </row>
    <row r="769" spans="1:11" x14ac:dyDescent="0.25">
      <c r="A769" s="123">
        <v>768</v>
      </c>
      <c r="B769" s="2">
        <v>2027</v>
      </c>
      <c r="C769" s="128" t="s">
        <v>189</v>
      </c>
      <c r="D769" t="s">
        <v>5424</v>
      </c>
      <c r="E769" t="s">
        <v>5662</v>
      </c>
      <c r="F769" t="s">
        <v>5663</v>
      </c>
      <c r="G769" t="s">
        <v>5466</v>
      </c>
      <c r="H769" t="s">
        <v>5664</v>
      </c>
      <c r="I769" s="80" t="s">
        <v>5665</v>
      </c>
      <c r="J769" t="s">
        <v>5307</v>
      </c>
      <c r="K769" t="s">
        <v>5666</v>
      </c>
    </row>
    <row r="770" spans="1:11" x14ac:dyDescent="0.25">
      <c r="A770" s="123">
        <v>769</v>
      </c>
      <c r="B770" s="2">
        <v>2028</v>
      </c>
      <c r="C770" s="123" t="s">
        <v>162</v>
      </c>
      <c r="D770" t="s">
        <v>5667</v>
      </c>
      <c r="E770" s="80" t="s">
        <v>5668</v>
      </c>
      <c r="F770" t="s">
        <v>5669</v>
      </c>
      <c r="G770" t="s">
        <v>5670</v>
      </c>
      <c r="H770" t="s">
        <v>5153</v>
      </c>
      <c r="I770" t="s">
        <v>5671</v>
      </c>
      <c r="J770" t="s">
        <v>5672</v>
      </c>
      <c r="K770" t="s">
        <v>3711</v>
      </c>
    </row>
    <row r="771" spans="1:11" x14ac:dyDescent="0.25">
      <c r="A771" s="123">
        <v>770</v>
      </c>
      <c r="B771" s="2">
        <v>2028</v>
      </c>
      <c r="C771" s="123" t="s">
        <v>170</v>
      </c>
      <c r="D771" t="s">
        <v>5673</v>
      </c>
      <c r="E771" s="80" t="s">
        <v>5674</v>
      </c>
      <c r="F771" t="s">
        <v>5675</v>
      </c>
      <c r="G771" t="s">
        <v>5507</v>
      </c>
      <c r="H771" t="s">
        <v>5676</v>
      </c>
      <c r="I771" s="80" t="s">
        <v>5677</v>
      </c>
      <c r="J771" t="s">
        <v>5385</v>
      </c>
      <c r="K771" t="s">
        <v>5678</v>
      </c>
    </row>
    <row r="772" spans="1:11" x14ac:dyDescent="0.25">
      <c r="A772" s="123">
        <v>771</v>
      </c>
      <c r="B772" s="2">
        <v>2028</v>
      </c>
      <c r="C772" s="123" t="s">
        <v>178</v>
      </c>
      <c r="D772" t="s">
        <v>2786</v>
      </c>
      <c r="E772" s="80" t="s">
        <v>5679</v>
      </c>
      <c r="F772" s="111" t="s">
        <v>5680</v>
      </c>
      <c r="G772" t="s">
        <v>5681</v>
      </c>
      <c r="H772" t="s">
        <v>5682</v>
      </c>
      <c r="I772" s="80" t="s">
        <v>5683</v>
      </c>
      <c r="J772" t="s">
        <v>5684</v>
      </c>
      <c r="K772" t="s">
        <v>5685</v>
      </c>
    </row>
    <row r="773" spans="1:11" x14ac:dyDescent="0.25">
      <c r="A773" s="123">
        <v>772</v>
      </c>
      <c r="B773" s="10">
        <v>2028</v>
      </c>
      <c r="C773" s="125" t="s">
        <v>163</v>
      </c>
      <c r="D773" t="s">
        <v>5686</v>
      </c>
      <c r="E773" s="80" t="s">
        <v>5687</v>
      </c>
      <c r="F773" t="s">
        <v>5688</v>
      </c>
      <c r="G773" t="s">
        <v>5689</v>
      </c>
      <c r="H773" t="s">
        <v>5690</v>
      </c>
      <c r="I773" s="80" t="s">
        <v>5691</v>
      </c>
      <c r="J773" t="s">
        <v>5692</v>
      </c>
      <c r="K773" s="80" t="s">
        <v>5693</v>
      </c>
    </row>
    <row r="774" spans="1:11" x14ac:dyDescent="0.25">
      <c r="A774" s="123">
        <v>773</v>
      </c>
      <c r="B774" s="10">
        <v>2028</v>
      </c>
      <c r="C774" s="125" t="s">
        <v>181</v>
      </c>
      <c r="D774" t="s">
        <v>5667</v>
      </c>
      <c r="E774" s="80" t="s">
        <v>5694</v>
      </c>
      <c r="F774" t="s">
        <v>2384</v>
      </c>
      <c r="G774" t="s">
        <v>5255</v>
      </c>
      <c r="H774" t="s">
        <v>5695</v>
      </c>
      <c r="I774" t="s">
        <v>5696</v>
      </c>
      <c r="J774" t="s">
        <v>5307</v>
      </c>
      <c r="K774" t="s">
        <v>5697</v>
      </c>
    </row>
    <row r="775" spans="1:11" x14ac:dyDescent="0.25">
      <c r="A775" s="123">
        <v>774</v>
      </c>
      <c r="B775" s="2">
        <v>2028</v>
      </c>
      <c r="C775" s="123" t="s">
        <v>183</v>
      </c>
      <c r="D775" t="s">
        <v>5698</v>
      </c>
      <c r="E775" s="80" t="s">
        <v>5699</v>
      </c>
      <c r="F775" t="s">
        <v>5700</v>
      </c>
      <c r="G775" t="s">
        <v>5351</v>
      </c>
      <c r="H775" t="s">
        <v>5701</v>
      </c>
      <c r="I775" s="80" t="s">
        <v>5702</v>
      </c>
      <c r="J775" t="s">
        <v>5703</v>
      </c>
      <c r="K775" t="s">
        <v>5704</v>
      </c>
    </row>
    <row r="776" spans="1:11" x14ac:dyDescent="0.25">
      <c r="A776" s="123">
        <v>775</v>
      </c>
      <c r="B776" s="2">
        <v>2028</v>
      </c>
      <c r="C776" s="123" t="s">
        <v>186</v>
      </c>
      <c r="D776" t="s">
        <v>5705</v>
      </c>
      <c r="E776" s="80" t="s">
        <v>5706</v>
      </c>
      <c r="F776" t="s">
        <v>5707</v>
      </c>
      <c r="G776" t="s">
        <v>5708</v>
      </c>
      <c r="H776" s="80" t="s">
        <v>5709</v>
      </c>
      <c r="I776" s="80" t="s">
        <v>5710</v>
      </c>
      <c r="J776" t="s">
        <v>5711</v>
      </c>
      <c r="K776" s="80" t="s">
        <v>5712</v>
      </c>
    </row>
    <row r="777" spans="1:11" x14ac:dyDescent="0.25">
      <c r="A777" s="123">
        <v>776</v>
      </c>
      <c r="B777" s="2">
        <v>2028</v>
      </c>
      <c r="C777" s="123" t="s">
        <v>188</v>
      </c>
      <c r="D777" t="s">
        <v>5713</v>
      </c>
      <c r="E777" s="80" t="s">
        <v>5714</v>
      </c>
      <c r="F777" t="s">
        <v>5715</v>
      </c>
      <c r="G777" t="s">
        <v>5317</v>
      </c>
      <c r="H777" t="s">
        <v>5716</v>
      </c>
      <c r="I777" s="80" t="s">
        <v>5717</v>
      </c>
      <c r="J777" t="s">
        <v>5718</v>
      </c>
      <c r="K777" t="s">
        <v>5719</v>
      </c>
    </row>
    <row r="778" spans="1:11" x14ac:dyDescent="0.25">
      <c r="A778" s="123">
        <v>777</v>
      </c>
      <c r="B778" s="2">
        <v>2028</v>
      </c>
      <c r="C778" s="123" t="s">
        <v>182</v>
      </c>
      <c r="D778" t="s">
        <v>583</v>
      </c>
      <c r="E778" t="s">
        <v>5720</v>
      </c>
      <c r="F778" t="s">
        <v>5721</v>
      </c>
      <c r="G778" t="s">
        <v>5439</v>
      </c>
      <c r="H778">
        <v>2</v>
      </c>
      <c r="I778" t="s">
        <v>5722</v>
      </c>
      <c r="J778" t="s">
        <v>5723</v>
      </c>
      <c r="K778" t="s">
        <v>5518</v>
      </c>
    </row>
    <row r="779" spans="1:11" x14ac:dyDescent="0.25">
      <c r="A779" s="123">
        <v>778</v>
      </c>
      <c r="B779" s="2">
        <v>2028</v>
      </c>
      <c r="C779" s="123" t="s">
        <v>184</v>
      </c>
      <c r="D779" t="s">
        <v>5724</v>
      </c>
      <c r="E779" t="s">
        <v>5725</v>
      </c>
      <c r="F779" t="s">
        <v>5726</v>
      </c>
      <c r="G779" t="s">
        <v>5727</v>
      </c>
      <c r="H779" t="s">
        <v>5728</v>
      </c>
      <c r="I779" s="80" t="s">
        <v>5729</v>
      </c>
      <c r="J779" t="s">
        <v>5449</v>
      </c>
      <c r="K779" t="s">
        <v>5730</v>
      </c>
    </row>
    <row r="780" spans="1:11" x14ac:dyDescent="0.25">
      <c r="A780" s="123">
        <v>779</v>
      </c>
      <c r="B780" s="2">
        <v>2028</v>
      </c>
      <c r="C780" s="123" t="s">
        <v>187</v>
      </c>
      <c r="D780" t="s">
        <v>5731</v>
      </c>
      <c r="E780" t="s">
        <v>5732</v>
      </c>
      <c r="F780" t="s">
        <v>5733</v>
      </c>
      <c r="G780" t="s">
        <v>5351</v>
      </c>
      <c r="H780" s="80" t="s">
        <v>5734</v>
      </c>
      <c r="I780" s="80" t="s">
        <v>5735</v>
      </c>
      <c r="J780" t="s">
        <v>5736</v>
      </c>
      <c r="K780" s="80" t="s">
        <v>5737</v>
      </c>
    </row>
    <row r="781" spans="1:11" x14ac:dyDescent="0.25">
      <c r="A781" s="123">
        <v>780</v>
      </c>
      <c r="B781" s="2">
        <v>2028</v>
      </c>
      <c r="C781" s="123" t="s">
        <v>189</v>
      </c>
      <c r="D781" t="s">
        <v>5738</v>
      </c>
      <c r="E781" t="s">
        <v>5739</v>
      </c>
      <c r="F781" t="s">
        <v>3091</v>
      </c>
      <c r="G781" t="s">
        <v>5727</v>
      </c>
      <c r="H781" t="s">
        <v>5740</v>
      </c>
      <c r="I781" s="80" t="s">
        <v>5741</v>
      </c>
      <c r="J781" t="s">
        <v>5258</v>
      </c>
      <c r="K781" s="80" t="s">
        <v>5742</v>
      </c>
    </row>
    <row r="782" spans="1:11" x14ac:dyDescent="0.25">
      <c r="A782" s="123">
        <v>781</v>
      </c>
      <c r="B782" s="2" t="s">
        <v>611</v>
      </c>
      <c r="C782" s="123" t="s">
        <v>162</v>
      </c>
      <c r="D782" t="s">
        <v>5673</v>
      </c>
      <c r="E782" s="80" t="s">
        <v>5743</v>
      </c>
      <c r="F782" t="s">
        <v>5744</v>
      </c>
      <c r="G782" t="s">
        <v>5376</v>
      </c>
      <c r="H782" t="s">
        <v>5745</v>
      </c>
      <c r="I782" t="s">
        <v>5746</v>
      </c>
      <c r="J782" t="s">
        <v>4908</v>
      </c>
      <c r="K782" t="s">
        <v>5747</v>
      </c>
    </row>
    <row r="783" spans="1:11" x14ac:dyDescent="0.25">
      <c r="A783" s="123">
        <v>782</v>
      </c>
      <c r="B783" s="2" t="s">
        <v>611</v>
      </c>
      <c r="C783" s="123" t="s">
        <v>170</v>
      </c>
      <c r="D783" t="s">
        <v>5667</v>
      </c>
      <c r="E783" t="s">
        <v>5748</v>
      </c>
      <c r="F783" t="s">
        <v>5749</v>
      </c>
      <c r="G783" t="s">
        <v>5290</v>
      </c>
      <c r="H783" t="s">
        <v>5750</v>
      </c>
      <c r="I783" t="s">
        <v>5751</v>
      </c>
      <c r="J783" t="s">
        <v>5752</v>
      </c>
      <c r="K783" t="s">
        <v>5753</v>
      </c>
    </row>
    <row r="784" spans="1:11" x14ac:dyDescent="0.25">
      <c r="A784" s="123">
        <v>783</v>
      </c>
      <c r="B784" s="2" t="s">
        <v>611</v>
      </c>
      <c r="C784" s="123" t="s">
        <v>178</v>
      </c>
      <c r="D784" t="s">
        <v>2487</v>
      </c>
      <c r="E784" s="80" t="s">
        <v>5754</v>
      </c>
      <c r="F784" t="s">
        <v>5755</v>
      </c>
      <c r="G784" t="s">
        <v>5304</v>
      </c>
      <c r="H784" t="s">
        <v>5756</v>
      </c>
      <c r="I784" s="80" t="s">
        <v>5757</v>
      </c>
      <c r="J784" t="s">
        <v>5449</v>
      </c>
      <c r="K784" t="s">
        <v>5758</v>
      </c>
    </row>
    <row r="785" spans="1:11" x14ac:dyDescent="0.25">
      <c r="A785" s="123">
        <v>784</v>
      </c>
      <c r="B785" s="2" t="s">
        <v>611</v>
      </c>
      <c r="C785" s="123" t="s">
        <v>163</v>
      </c>
      <c r="D785" t="s">
        <v>5759</v>
      </c>
      <c r="E785" s="80" t="s">
        <v>5760</v>
      </c>
      <c r="F785" t="s">
        <v>5761</v>
      </c>
      <c r="G785" t="s">
        <v>5762</v>
      </c>
      <c r="H785" s="80" t="s">
        <v>5763</v>
      </c>
      <c r="I785" s="80" t="s">
        <v>5764</v>
      </c>
      <c r="J785" t="s">
        <v>5765</v>
      </c>
      <c r="K785" s="80" t="s">
        <v>5766</v>
      </c>
    </row>
    <row r="786" spans="1:11" x14ac:dyDescent="0.25">
      <c r="A786" s="123">
        <v>785</v>
      </c>
      <c r="B786" s="2" t="s">
        <v>611</v>
      </c>
      <c r="C786" s="123" t="s">
        <v>181</v>
      </c>
      <c r="D786" t="s">
        <v>5667</v>
      </c>
      <c r="E786" s="80" t="s">
        <v>5767</v>
      </c>
      <c r="F786" t="s">
        <v>5768</v>
      </c>
      <c r="G786" t="s">
        <v>5262</v>
      </c>
      <c r="H786" t="s">
        <v>5769</v>
      </c>
      <c r="I786" t="s">
        <v>5770</v>
      </c>
      <c r="J786" t="s">
        <v>5307</v>
      </c>
      <c r="K786" t="s">
        <v>5771</v>
      </c>
    </row>
    <row r="787" spans="1:11" x14ac:dyDescent="0.25">
      <c r="A787" s="123">
        <v>786</v>
      </c>
      <c r="B787" s="2" t="s">
        <v>611</v>
      </c>
      <c r="C787" s="123" t="s">
        <v>183</v>
      </c>
      <c r="D787" t="s">
        <v>5772</v>
      </c>
      <c r="E787" s="80" t="s">
        <v>5773</v>
      </c>
      <c r="F787" t="s">
        <v>5774</v>
      </c>
      <c r="G787" t="s">
        <v>5507</v>
      </c>
      <c r="H787" t="s">
        <v>5775</v>
      </c>
      <c r="I787" s="80" t="s">
        <v>5776</v>
      </c>
      <c r="J787" t="s">
        <v>5777</v>
      </c>
      <c r="K787" t="s">
        <v>5778</v>
      </c>
    </row>
    <row r="788" spans="1:11" x14ac:dyDescent="0.25">
      <c r="A788" s="123">
        <v>787</v>
      </c>
      <c r="B788" s="2" t="s">
        <v>611</v>
      </c>
      <c r="C788" s="123" t="s">
        <v>186</v>
      </c>
      <c r="D788" t="s">
        <v>5779</v>
      </c>
      <c r="E788" s="80" t="s">
        <v>5780</v>
      </c>
      <c r="F788" t="s">
        <v>5781</v>
      </c>
      <c r="G788" t="s">
        <v>5782</v>
      </c>
      <c r="H788" t="s">
        <v>5783</v>
      </c>
      <c r="I788" s="80" t="s">
        <v>5784</v>
      </c>
      <c r="J788" t="s">
        <v>5703</v>
      </c>
      <c r="K788" t="s">
        <v>5785</v>
      </c>
    </row>
    <row r="789" spans="1:11" x14ac:dyDescent="0.25">
      <c r="A789" s="123">
        <v>788</v>
      </c>
      <c r="B789" s="2" t="s">
        <v>611</v>
      </c>
      <c r="C789" s="123" t="s">
        <v>188</v>
      </c>
      <c r="D789" t="s">
        <v>5786</v>
      </c>
      <c r="E789" s="80" t="s">
        <v>5787</v>
      </c>
      <c r="F789" t="s">
        <v>5788</v>
      </c>
      <c r="G789" t="s">
        <v>5635</v>
      </c>
      <c r="H789" t="s">
        <v>5789</v>
      </c>
      <c r="I789" s="80" t="s">
        <v>5790</v>
      </c>
      <c r="J789" t="s">
        <v>5791</v>
      </c>
      <c r="K789" s="80" t="s">
        <v>5792</v>
      </c>
    </row>
    <row r="790" spans="1:11" x14ac:dyDescent="0.25">
      <c r="A790" s="123">
        <v>789</v>
      </c>
      <c r="B790" s="2" t="s">
        <v>611</v>
      </c>
      <c r="C790" s="123" t="s">
        <v>182</v>
      </c>
      <c r="D790" s="80" t="s">
        <v>5793</v>
      </c>
      <c r="E790" t="s">
        <v>5794</v>
      </c>
      <c r="F790" t="s">
        <v>5795</v>
      </c>
      <c r="G790" s="80" t="s">
        <v>4296</v>
      </c>
      <c r="H790" t="s">
        <v>5796</v>
      </c>
      <c r="I790" t="s">
        <v>5797</v>
      </c>
      <c r="J790" t="s">
        <v>5798</v>
      </c>
      <c r="K790" t="s">
        <v>5799</v>
      </c>
    </row>
    <row r="791" spans="1:11" x14ac:dyDescent="0.25">
      <c r="A791" s="123">
        <v>790</v>
      </c>
      <c r="B791" s="2" t="s">
        <v>611</v>
      </c>
      <c r="C791" s="125" t="s">
        <v>184</v>
      </c>
      <c r="D791" t="s">
        <v>5800</v>
      </c>
      <c r="E791" s="80" t="s">
        <v>5801</v>
      </c>
      <c r="F791" t="s">
        <v>5802</v>
      </c>
      <c r="G791" t="s">
        <v>5304</v>
      </c>
      <c r="H791" t="s">
        <v>5803</v>
      </c>
      <c r="I791" s="80" t="s">
        <v>5804</v>
      </c>
      <c r="J791" t="s">
        <v>5805</v>
      </c>
      <c r="K791" t="s">
        <v>5806</v>
      </c>
    </row>
    <row r="792" spans="1:11" x14ac:dyDescent="0.25">
      <c r="A792" s="123">
        <v>791</v>
      </c>
      <c r="B792" s="2" t="s">
        <v>611</v>
      </c>
      <c r="C792" s="125" t="s">
        <v>187</v>
      </c>
      <c r="D792" t="s">
        <v>5807</v>
      </c>
      <c r="E792" s="80" t="s">
        <v>5808</v>
      </c>
      <c r="F792" t="s">
        <v>5809</v>
      </c>
      <c r="G792" t="s">
        <v>5708</v>
      </c>
      <c r="H792" t="s">
        <v>5810</v>
      </c>
      <c r="I792" s="80" t="s">
        <v>5811</v>
      </c>
      <c r="J792" t="s">
        <v>5718</v>
      </c>
      <c r="K792" t="s">
        <v>5812</v>
      </c>
    </row>
    <row r="793" spans="1:11" x14ac:dyDescent="0.25">
      <c r="A793" s="123">
        <v>792</v>
      </c>
      <c r="B793" s="2" t="s">
        <v>611</v>
      </c>
      <c r="C793" s="125" t="s">
        <v>189</v>
      </c>
      <c r="D793" t="s">
        <v>5813</v>
      </c>
      <c r="E793" s="80" t="s">
        <v>5814</v>
      </c>
      <c r="F793" t="s">
        <v>5815</v>
      </c>
      <c r="G793" t="s">
        <v>5324</v>
      </c>
      <c r="H793" t="s">
        <v>5816</v>
      </c>
      <c r="I793" s="80" t="s">
        <v>5817</v>
      </c>
      <c r="J793" t="s">
        <v>5692</v>
      </c>
      <c r="K793" s="80" t="s">
        <v>5818</v>
      </c>
    </row>
    <row r="794" spans="1:11" x14ac:dyDescent="0.25">
      <c r="A794" s="123">
        <v>793</v>
      </c>
      <c r="B794" s="10">
        <v>1020</v>
      </c>
      <c r="C794" s="125" t="s">
        <v>162</v>
      </c>
      <c r="D794" t="s">
        <v>5800</v>
      </c>
      <c r="E794" s="80" t="s">
        <v>5819</v>
      </c>
      <c r="F794" t="s">
        <v>1740</v>
      </c>
      <c r="G794" t="s">
        <v>5304</v>
      </c>
      <c r="H794" t="s">
        <v>5820</v>
      </c>
      <c r="I794" t="s">
        <v>3456</v>
      </c>
      <c r="J794" t="s">
        <v>5237</v>
      </c>
      <c r="K794" t="s">
        <v>5821</v>
      </c>
    </row>
    <row r="795" spans="1:11" x14ac:dyDescent="0.25">
      <c r="A795" s="123">
        <v>794</v>
      </c>
      <c r="B795" s="10">
        <v>1020</v>
      </c>
      <c r="C795" s="125" t="s">
        <v>170</v>
      </c>
      <c r="D795" t="s">
        <v>5667</v>
      </c>
      <c r="E795" s="80" t="s">
        <v>5822</v>
      </c>
      <c r="F795" t="s">
        <v>5823</v>
      </c>
      <c r="G795" t="s">
        <v>5277</v>
      </c>
      <c r="H795" t="s">
        <v>5824</v>
      </c>
      <c r="I795" s="80" t="s">
        <v>5825</v>
      </c>
      <c r="J795" t="s">
        <v>5826</v>
      </c>
      <c r="K795" t="s">
        <v>5827</v>
      </c>
    </row>
    <row r="796" spans="1:11" x14ac:dyDescent="0.25">
      <c r="A796" s="123">
        <v>795</v>
      </c>
      <c r="B796" s="10">
        <v>1020</v>
      </c>
      <c r="C796" s="125" t="s">
        <v>178</v>
      </c>
      <c r="D796" t="s">
        <v>5828</v>
      </c>
      <c r="E796" s="80" t="s">
        <v>5829</v>
      </c>
      <c r="F796" t="s">
        <v>5830</v>
      </c>
      <c r="G796" t="s">
        <v>5410</v>
      </c>
      <c r="H796" t="s">
        <v>5831</v>
      </c>
      <c r="I796" s="80" t="s">
        <v>5832</v>
      </c>
      <c r="J796" t="s">
        <v>5481</v>
      </c>
      <c r="K796" t="s">
        <v>5833</v>
      </c>
    </row>
    <row r="797" spans="1:11" x14ac:dyDescent="0.25">
      <c r="A797" s="123">
        <v>796</v>
      </c>
      <c r="B797" s="10">
        <v>1020</v>
      </c>
      <c r="C797" s="125" t="s">
        <v>163</v>
      </c>
      <c r="D797" t="s">
        <v>5834</v>
      </c>
      <c r="E797" s="80" t="s">
        <v>5835</v>
      </c>
      <c r="F797" t="s">
        <v>5836</v>
      </c>
      <c r="G797" t="s">
        <v>5343</v>
      </c>
      <c r="H797" s="80" t="s">
        <v>5837</v>
      </c>
      <c r="I797" s="80" t="s">
        <v>5838</v>
      </c>
      <c r="J797" t="s">
        <v>5718</v>
      </c>
      <c r="K797" s="80" t="s">
        <v>5839</v>
      </c>
    </row>
    <row r="798" spans="1:11" x14ac:dyDescent="0.25">
      <c r="A798" s="123">
        <v>797</v>
      </c>
      <c r="B798" s="10">
        <v>1020</v>
      </c>
      <c r="C798" s="125" t="s">
        <v>181</v>
      </c>
      <c r="D798" t="s">
        <v>5840</v>
      </c>
      <c r="E798" s="80" t="s">
        <v>5841</v>
      </c>
      <c r="F798" t="s">
        <v>5842</v>
      </c>
      <c r="G798" t="s">
        <v>5351</v>
      </c>
      <c r="H798" t="s">
        <v>5843</v>
      </c>
      <c r="I798" t="s">
        <v>5844</v>
      </c>
      <c r="J798" t="s">
        <v>5845</v>
      </c>
      <c r="K798" t="s">
        <v>5846</v>
      </c>
    </row>
    <row r="799" spans="1:11" x14ac:dyDescent="0.25">
      <c r="A799" s="123">
        <v>798</v>
      </c>
      <c r="B799" s="10">
        <v>1020</v>
      </c>
      <c r="C799" s="125" t="s">
        <v>183</v>
      </c>
      <c r="D799" t="s">
        <v>5786</v>
      </c>
      <c r="E799" s="80" t="s">
        <v>5847</v>
      </c>
      <c r="F799" t="s">
        <v>5848</v>
      </c>
      <c r="G799" t="s">
        <v>5708</v>
      </c>
      <c r="H799" t="s">
        <v>5849</v>
      </c>
      <c r="I799" s="80" t="s">
        <v>5850</v>
      </c>
      <c r="J799" t="s">
        <v>5718</v>
      </c>
      <c r="K799" t="s">
        <v>5851</v>
      </c>
    </row>
    <row r="800" spans="1:11" x14ac:dyDescent="0.25">
      <c r="A800" s="123">
        <v>799</v>
      </c>
      <c r="B800" s="10">
        <v>1020</v>
      </c>
      <c r="C800" s="125" t="s">
        <v>186</v>
      </c>
      <c r="D800" t="s">
        <v>5852</v>
      </c>
      <c r="E800" s="80" t="s">
        <v>5853</v>
      </c>
      <c r="F800" s="111" t="s">
        <v>583</v>
      </c>
      <c r="G800" t="s">
        <v>5854</v>
      </c>
      <c r="H800" s="80" t="s">
        <v>5855</v>
      </c>
      <c r="I800" s="80" t="s">
        <v>5856</v>
      </c>
      <c r="J800" t="s">
        <v>5660</v>
      </c>
      <c r="K800" s="80" t="s">
        <v>5857</v>
      </c>
    </row>
    <row r="801" spans="1:11" x14ac:dyDescent="0.25">
      <c r="A801" s="123">
        <v>800</v>
      </c>
      <c r="B801" s="10">
        <v>1020</v>
      </c>
      <c r="C801" s="125" t="s">
        <v>188</v>
      </c>
      <c r="D801" t="s">
        <v>583</v>
      </c>
      <c r="E801">
        <v>641</v>
      </c>
      <c r="F801" t="s">
        <v>5858</v>
      </c>
      <c r="G801" t="s">
        <v>5439</v>
      </c>
      <c r="H801" t="s">
        <v>5859</v>
      </c>
      <c r="I801" t="s">
        <v>5860</v>
      </c>
      <c r="J801" t="s">
        <v>5723</v>
      </c>
      <c r="K801" t="s">
        <v>5861</v>
      </c>
    </row>
    <row r="802" spans="1:11" x14ac:dyDescent="0.25">
      <c r="A802" s="123">
        <v>801</v>
      </c>
      <c r="B802" s="10">
        <v>1020</v>
      </c>
      <c r="C802" s="125" t="s">
        <v>182</v>
      </c>
      <c r="D802" t="s">
        <v>5539</v>
      </c>
      <c r="E802" t="s">
        <v>5862</v>
      </c>
      <c r="F802" t="s">
        <v>5863</v>
      </c>
      <c r="G802" s="80" t="s">
        <v>4296</v>
      </c>
      <c r="H802" t="s">
        <v>5864</v>
      </c>
      <c r="I802" t="s">
        <v>5865</v>
      </c>
      <c r="J802" t="s">
        <v>5723</v>
      </c>
      <c r="K802" s="80" t="s">
        <v>5582</v>
      </c>
    </row>
    <row r="803" spans="1:11" x14ac:dyDescent="0.25">
      <c r="A803" s="123">
        <v>802</v>
      </c>
      <c r="B803" s="10">
        <v>1020</v>
      </c>
      <c r="C803" s="125" t="s">
        <v>184</v>
      </c>
      <c r="D803" t="s">
        <v>5667</v>
      </c>
      <c r="E803" t="s">
        <v>5866</v>
      </c>
      <c r="F803" t="s">
        <v>5867</v>
      </c>
      <c r="G803" t="s">
        <v>5868</v>
      </c>
      <c r="H803" t="s">
        <v>5869</v>
      </c>
      <c r="I803" s="80" t="s">
        <v>5870</v>
      </c>
      <c r="J803" t="s">
        <v>5307</v>
      </c>
      <c r="K803" t="s">
        <v>5871</v>
      </c>
    </row>
    <row r="804" spans="1:11" x14ac:dyDescent="0.25">
      <c r="A804" s="123">
        <v>803</v>
      </c>
      <c r="B804" s="10">
        <v>1020</v>
      </c>
      <c r="C804" s="125" t="s">
        <v>187</v>
      </c>
      <c r="D804" t="s">
        <v>2487</v>
      </c>
      <c r="E804" s="80" t="s">
        <v>5872</v>
      </c>
      <c r="F804" t="s">
        <v>5873</v>
      </c>
      <c r="G804" t="s">
        <v>5446</v>
      </c>
      <c r="H804" s="80" t="s">
        <v>5874</v>
      </c>
      <c r="I804" s="80" t="s">
        <v>5875</v>
      </c>
      <c r="J804" t="s">
        <v>5876</v>
      </c>
      <c r="K804" t="s">
        <v>5877</v>
      </c>
    </row>
    <row r="805" spans="1:11" x14ac:dyDescent="0.25">
      <c r="A805" s="123">
        <v>804</v>
      </c>
      <c r="B805" s="10">
        <v>1020</v>
      </c>
      <c r="C805" s="125" t="s">
        <v>189</v>
      </c>
      <c r="D805" t="s">
        <v>5878</v>
      </c>
      <c r="E805" s="80" t="s">
        <v>5879</v>
      </c>
      <c r="F805" t="s">
        <v>5880</v>
      </c>
      <c r="G805" t="s">
        <v>5727</v>
      </c>
      <c r="H805" t="s">
        <v>5881</v>
      </c>
      <c r="I805" s="80" t="s">
        <v>5882</v>
      </c>
      <c r="J805" t="s">
        <v>5449</v>
      </c>
      <c r="K805" t="s">
        <v>5883</v>
      </c>
    </row>
    <row r="806" spans="1:11" x14ac:dyDescent="0.25">
      <c r="A806" s="123">
        <v>805</v>
      </c>
      <c r="B806" s="10">
        <v>2013</v>
      </c>
      <c r="C806" s="125" t="s">
        <v>162</v>
      </c>
      <c r="D806" t="s">
        <v>2487</v>
      </c>
      <c r="E806" s="80" t="s">
        <v>5884</v>
      </c>
      <c r="F806" t="s">
        <v>5842</v>
      </c>
      <c r="G806" t="s">
        <v>5670</v>
      </c>
      <c r="H806" t="s">
        <v>5885</v>
      </c>
      <c r="I806" t="s">
        <v>5648</v>
      </c>
      <c r="J806" t="s">
        <v>5826</v>
      </c>
      <c r="K806" t="s">
        <v>5886</v>
      </c>
    </row>
    <row r="807" spans="1:11" x14ac:dyDescent="0.25">
      <c r="A807" s="123">
        <v>806</v>
      </c>
      <c r="B807" s="10">
        <v>2013</v>
      </c>
      <c r="C807" s="125" t="s">
        <v>170</v>
      </c>
      <c r="D807" t="s">
        <v>5779</v>
      </c>
      <c r="E807" s="80" t="s">
        <v>5887</v>
      </c>
      <c r="F807" t="s">
        <v>5888</v>
      </c>
      <c r="G807" t="s">
        <v>5727</v>
      </c>
      <c r="H807" t="s">
        <v>5889</v>
      </c>
      <c r="I807" s="80" t="s">
        <v>5890</v>
      </c>
      <c r="J807" t="s">
        <v>5481</v>
      </c>
      <c r="K807" t="s">
        <v>5891</v>
      </c>
    </row>
    <row r="808" spans="1:11" x14ac:dyDescent="0.25">
      <c r="A808" s="123">
        <v>807</v>
      </c>
      <c r="B808" s="10">
        <v>2013</v>
      </c>
      <c r="C808" s="125" t="s">
        <v>178</v>
      </c>
      <c r="D808" t="s">
        <v>5892</v>
      </c>
      <c r="E808" s="80" t="s">
        <v>5893</v>
      </c>
      <c r="F808" t="s">
        <v>5894</v>
      </c>
      <c r="G808" t="s">
        <v>5782</v>
      </c>
      <c r="H808" t="s">
        <v>5895</v>
      </c>
      <c r="I808" s="80" t="s">
        <v>5896</v>
      </c>
      <c r="J808" t="s">
        <v>5405</v>
      </c>
      <c r="K808" t="s">
        <v>5897</v>
      </c>
    </row>
    <row r="809" spans="1:11" x14ac:dyDescent="0.25">
      <c r="A809" s="123">
        <v>808</v>
      </c>
      <c r="B809" s="10">
        <v>2013</v>
      </c>
      <c r="C809" s="125" t="s">
        <v>163</v>
      </c>
      <c r="D809" t="s">
        <v>5898</v>
      </c>
      <c r="E809" s="80" t="s">
        <v>5899</v>
      </c>
      <c r="F809" t="s">
        <v>5900</v>
      </c>
      <c r="G809" t="s">
        <v>5317</v>
      </c>
      <c r="H809" t="s">
        <v>5901</v>
      </c>
      <c r="I809" s="80" t="s">
        <v>5902</v>
      </c>
      <c r="J809" t="s">
        <v>5903</v>
      </c>
      <c r="K809" s="80" t="s">
        <v>5904</v>
      </c>
    </row>
    <row r="810" spans="1:11" x14ac:dyDescent="0.25">
      <c r="A810" s="123">
        <v>809</v>
      </c>
      <c r="B810" s="10">
        <v>2013</v>
      </c>
      <c r="C810" s="125" t="s">
        <v>181</v>
      </c>
      <c r="D810" t="s">
        <v>5840</v>
      </c>
      <c r="E810" s="80" t="s">
        <v>5905</v>
      </c>
      <c r="F810" t="s">
        <v>3899</v>
      </c>
      <c r="G810" t="s">
        <v>5389</v>
      </c>
      <c r="H810" t="s">
        <v>5906</v>
      </c>
      <c r="I810" t="s">
        <v>5907</v>
      </c>
      <c r="J810" t="s">
        <v>2248</v>
      </c>
      <c r="K810" t="s">
        <v>5771</v>
      </c>
    </row>
    <row r="811" spans="1:11" x14ac:dyDescent="0.25">
      <c r="A811" s="123">
        <v>810</v>
      </c>
      <c r="B811" s="10">
        <v>2013</v>
      </c>
      <c r="C811" s="125" t="s">
        <v>183</v>
      </c>
      <c r="D811" t="s">
        <v>5705</v>
      </c>
      <c r="E811" s="80" t="s">
        <v>5908</v>
      </c>
      <c r="F811" t="s">
        <v>5909</v>
      </c>
      <c r="G811" t="s">
        <v>5324</v>
      </c>
      <c r="H811" t="s">
        <v>5910</v>
      </c>
      <c r="I811" s="80" t="s">
        <v>5911</v>
      </c>
      <c r="J811" t="s">
        <v>5912</v>
      </c>
      <c r="K811" t="s">
        <v>5913</v>
      </c>
    </row>
    <row r="812" spans="1:11" x14ac:dyDescent="0.25">
      <c r="A812" s="123">
        <v>811</v>
      </c>
      <c r="B812" s="10">
        <v>2013</v>
      </c>
      <c r="C812" s="125" t="s">
        <v>186</v>
      </c>
      <c r="D812" t="s">
        <v>5786</v>
      </c>
      <c r="E812" s="80" t="s">
        <v>5914</v>
      </c>
      <c r="F812" s="111" t="s">
        <v>5915</v>
      </c>
      <c r="G812" t="s">
        <v>5916</v>
      </c>
      <c r="H812" s="80" t="s">
        <v>5917</v>
      </c>
      <c r="I812" s="80" t="s">
        <v>5918</v>
      </c>
      <c r="J812" t="s">
        <v>5919</v>
      </c>
      <c r="K812" s="80" t="s">
        <v>5920</v>
      </c>
    </row>
    <row r="813" spans="1:11" x14ac:dyDescent="0.25">
      <c r="A813" s="123">
        <v>812</v>
      </c>
      <c r="B813" s="10">
        <v>2013</v>
      </c>
      <c r="C813" s="125" t="s">
        <v>188</v>
      </c>
      <c r="D813" t="s">
        <v>5921</v>
      </c>
      <c r="E813" s="80" t="s">
        <v>5922</v>
      </c>
      <c r="F813" t="s">
        <v>5923</v>
      </c>
      <c r="G813" t="s">
        <v>5924</v>
      </c>
      <c r="H813" t="s">
        <v>5925</v>
      </c>
      <c r="I813" s="80" t="s">
        <v>5926</v>
      </c>
      <c r="J813" t="s">
        <v>5927</v>
      </c>
      <c r="K813" s="80" t="s">
        <v>5928</v>
      </c>
    </row>
    <row r="814" spans="1:11" x14ac:dyDescent="0.25">
      <c r="A814" s="123">
        <v>813</v>
      </c>
      <c r="B814" s="10">
        <v>2013</v>
      </c>
      <c r="C814" s="125" t="s">
        <v>182</v>
      </c>
      <c r="D814" t="s">
        <v>5539</v>
      </c>
      <c r="E814" t="s">
        <v>5929</v>
      </c>
      <c r="F814" t="s">
        <v>3068</v>
      </c>
      <c r="G814" s="80" t="s">
        <v>4296</v>
      </c>
      <c r="H814" t="s">
        <v>5930</v>
      </c>
      <c r="I814" t="s">
        <v>5931</v>
      </c>
      <c r="J814" t="s">
        <v>5723</v>
      </c>
      <c r="K814" t="s">
        <v>2549</v>
      </c>
    </row>
    <row r="815" spans="1:11" x14ac:dyDescent="0.25">
      <c r="A815" s="123">
        <v>814</v>
      </c>
      <c r="B815" s="10">
        <v>2013</v>
      </c>
      <c r="C815" s="125" t="s">
        <v>184</v>
      </c>
      <c r="D815" t="s">
        <v>5840</v>
      </c>
      <c r="E815" t="s">
        <v>5932</v>
      </c>
      <c r="F815" t="s">
        <v>5933</v>
      </c>
      <c r="G815" t="s">
        <v>5262</v>
      </c>
      <c r="H815" t="s">
        <v>5934</v>
      </c>
      <c r="I815" s="80" t="s">
        <v>5935</v>
      </c>
      <c r="J815" t="s">
        <v>5936</v>
      </c>
      <c r="K815" t="s">
        <v>5937</v>
      </c>
    </row>
    <row r="816" spans="1:11" x14ac:dyDescent="0.25">
      <c r="A816" s="123">
        <v>815</v>
      </c>
      <c r="B816" s="10">
        <v>2013</v>
      </c>
      <c r="C816" s="125" t="s">
        <v>187</v>
      </c>
      <c r="D816" t="s">
        <v>5938</v>
      </c>
      <c r="E816" t="s">
        <v>5939</v>
      </c>
      <c r="F816" t="s">
        <v>5940</v>
      </c>
      <c r="G816" t="s">
        <v>5507</v>
      </c>
      <c r="H816" s="80" t="s">
        <v>5941</v>
      </c>
      <c r="I816" s="80" t="s">
        <v>5942</v>
      </c>
      <c r="J816" t="s">
        <v>5334</v>
      </c>
      <c r="K816" t="s">
        <v>5943</v>
      </c>
    </row>
    <row r="817" spans="1:11" x14ac:dyDescent="0.25">
      <c r="A817" s="123">
        <v>816</v>
      </c>
      <c r="B817" s="10">
        <v>2013</v>
      </c>
      <c r="C817" s="125" t="s">
        <v>189</v>
      </c>
      <c r="D817" t="s">
        <v>5944</v>
      </c>
      <c r="E817" t="s">
        <v>5945</v>
      </c>
      <c r="F817" t="s">
        <v>2954</v>
      </c>
      <c r="G817" t="s">
        <v>5410</v>
      </c>
      <c r="H817" s="80">
        <v>16160</v>
      </c>
      <c r="I817" s="80" t="s">
        <v>5946</v>
      </c>
      <c r="J817" t="s">
        <v>5718</v>
      </c>
      <c r="K817" s="80" t="s">
        <v>5947</v>
      </c>
    </row>
    <row r="818" spans="1:11" x14ac:dyDescent="0.25">
      <c r="A818" s="123">
        <v>817</v>
      </c>
      <c r="B818" s="10">
        <v>2022</v>
      </c>
      <c r="C818" s="125" t="s">
        <v>162</v>
      </c>
      <c r="D818" t="s">
        <v>5667</v>
      </c>
      <c r="E818" t="s">
        <v>5948</v>
      </c>
      <c r="F818" t="s">
        <v>5949</v>
      </c>
      <c r="G818" t="s">
        <v>5255</v>
      </c>
      <c r="H818" t="s">
        <v>5820</v>
      </c>
      <c r="I818" t="s">
        <v>5950</v>
      </c>
      <c r="J818" t="s">
        <v>5951</v>
      </c>
      <c r="K818" t="s">
        <v>3591</v>
      </c>
    </row>
    <row r="819" spans="1:11" x14ac:dyDescent="0.25">
      <c r="A819" s="123">
        <v>818</v>
      </c>
      <c r="B819" s="10">
        <v>2022</v>
      </c>
      <c r="C819" s="125" t="s">
        <v>170</v>
      </c>
      <c r="D819" t="s">
        <v>5952</v>
      </c>
      <c r="E819" s="80" t="s">
        <v>5953</v>
      </c>
      <c r="F819" t="s">
        <v>5954</v>
      </c>
      <c r="G819" t="s">
        <v>5304</v>
      </c>
      <c r="H819" t="s">
        <v>5955</v>
      </c>
      <c r="I819" s="80" t="s">
        <v>5956</v>
      </c>
      <c r="J819" t="s">
        <v>5449</v>
      </c>
      <c r="K819" t="s">
        <v>5806</v>
      </c>
    </row>
    <row r="820" spans="1:11" x14ac:dyDescent="0.25">
      <c r="A820" s="123">
        <v>819</v>
      </c>
      <c r="B820" s="10">
        <v>2022</v>
      </c>
      <c r="C820" s="125" t="s">
        <v>178</v>
      </c>
      <c r="D820" t="s">
        <v>5957</v>
      </c>
      <c r="E820" t="s">
        <v>5958</v>
      </c>
      <c r="F820" t="s">
        <v>5959</v>
      </c>
      <c r="G820" t="s">
        <v>5389</v>
      </c>
      <c r="H820" t="s">
        <v>5960</v>
      </c>
      <c r="I820" s="80" t="s">
        <v>5961</v>
      </c>
      <c r="J820" t="s">
        <v>5449</v>
      </c>
      <c r="K820" t="s">
        <v>5962</v>
      </c>
    </row>
    <row r="821" spans="1:11" x14ac:dyDescent="0.25">
      <c r="A821" s="123">
        <v>820</v>
      </c>
      <c r="B821" s="10">
        <v>2022</v>
      </c>
      <c r="C821" s="125" t="s">
        <v>163</v>
      </c>
      <c r="D821" t="s">
        <v>5963</v>
      </c>
      <c r="E821" s="80" t="s">
        <v>5964</v>
      </c>
      <c r="F821" t="s">
        <v>5965</v>
      </c>
      <c r="G821" t="s">
        <v>5343</v>
      </c>
      <c r="H821" t="s">
        <v>5966</v>
      </c>
      <c r="I821" s="80" t="s">
        <v>5967</v>
      </c>
      <c r="J821" t="s">
        <v>5299</v>
      </c>
      <c r="K821" t="s">
        <v>5968</v>
      </c>
    </row>
    <row r="822" spans="1:11" ht="15.75" thickBot="1" x14ac:dyDescent="0.3">
      <c r="A822" s="123">
        <v>821</v>
      </c>
      <c r="B822" s="10">
        <v>2022</v>
      </c>
      <c r="C822" s="125" t="s">
        <v>181</v>
      </c>
      <c r="D822" t="s">
        <v>5667</v>
      </c>
      <c r="E822" s="80" t="s">
        <v>5969</v>
      </c>
      <c r="F822" t="s">
        <v>5865</v>
      </c>
      <c r="G822" t="s">
        <v>5868</v>
      </c>
      <c r="H822" t="s">
        <v>5970</v>
      </c>
      <c r="I822" t="s">
        <v>5971</v>
      </c>
      <c r="J822" t="s">
        <v>5826</v>
      </c>
      <c r="K822" t="s">
        <v>5972</v>
      </c>
    </row>
    <row r="823" spans="1:11" x14ac:dyDescent="0.25">
      <c r="A823" s="123">
        <v>822</v>
      </c>
      <c r="B823" s="10">
        <v>2022</v>
      </c>
      <c r="C823" s="126" t="s">
        <v>183</v>
      </c>
      <c r="D823" t="s">
        <v>5673</v>
      </c>
      <c r="E823" s="80" t="s">
        <v>5973</v>
      </c>
      <c r="F823" t="s">
        <v>5974</v>
      </c>
      <c r="G823" t="s">
        <v>5376</v>
      </c>
      <c r="H823" t="s">
        <v>5975</v>
      </c>
      <c r="I823" s="80" t="s">
        <v>5976</v>
      </c>
      <c r="J823" t="s">
        <v>5258</v>
      </c>
      <c r="K823" t="s">
        <v>5977</v>
      </c>
    </row>
    <row r="824" spans="1:11" x14ac:dyDescent="0.25">
      <c r="A824" s="123">
        <v>823</v>
      </c>
      <c r="B824" s="10">
        <v>2022</v>
      </c>
      <c r="C824" s="125" t="s">
        <v>186</v>
      </c>
      <c r="D824" t="s">
        <v>5705</v>
      </c>
      <c r="E824" s="80" t="s">
        <v>5978</v>
      </c>
      <c r="F824" t="s">
        <v>5979</v>
      </c>
      <c r="G824" t="s">
        <v>5708</v>
      </c>
      <c r="H824" s="80" t="s">
        <v>5980</v>
      </c>
      <c r="I824" s="80" t="s">
        <v>5981</v>
      </c>
      <c r="J824" t="s">
        <v>5718</v>
      </c>
      <c r="K824" s="80" t="s">
        <v>5982</v>
      </c>
    </row>
    <row r="825" spans="1:11" x14ac:dyDescent="0.25">
      <c r="A825" s="123">
        <v>824</v>
      </c>
      <c r="B825" s="10">
        <v>2022</v>
      </c>
      <c r="C825" s="125" t="s">
        <v>188</v>
      </c>
      <c r="D825" t="s">
        <v>4930</v>
      </c>
      <c r="E825" s="80" t="s">
        <v>5983</v>
      </c>
      <c r="F825" t="s">
        <v>5984</v>
      </c>
      <c r="G825" t="s">
        <v>5446</v>
      </c>
      <c r="H825" t="s">
        <v>5985</v>
      </c>
      <c r="I825" s="80" t="s">
        <v>5986</v>
      </c>
      <c r="J825" t="s">
        <v>5327</v>
      </c>
      <c r="K825" t="s">
        <v>5987</v>
      </c>
    </row>
    <row r="826" spans="1:11" x14ac:dyDescent="0.25">
      <c r="A826" s="123">
        <v>825</v>
      </c>
      <c r="B826" s="10">
        <v>2022</v>
      </c>
      <c r="C826" s="125" t="s">
        <v>182</v>
      </c>
      <c r="D826" t="s">
        <v>5539</v>
      </c>
      <c r="E826" t="s">
        <v>5988</v>
      </c>
      <c r="F826" t="s">
        <v>5797</v>
      </c>
      <c r="G826" t="s">
        <v>5247</v>
      </c>
      <c r="H826" t="s">
        <v>583</v>
      </c>
      <c r="I826" t="s">
        <v>2882</v>
      </c>
      <c r="J826" t="s">
        <v>5723</v>
      </c>
      <c r="K826" t="s">
        <v>2549</v>
      </c>
    </row>
    <row r="827" spans="1:11" x14ac:dyDescent="0.25">
      <c r="A827" s="123">
        <v>826</v>
      </c>
      <c r="B827" s="10">
        <v>2022</v>
      </c>
      <c r="C827" s="125" t="s">
        <v>184</v>
      </c>
      <c r="D827" t="s">
        <v>5667</v>
      </c>
      <c r="E827" t="s">
        <v>5989</v>
      </c>
      <c r="F827" t="s">
        <v>5990</v>
      </c>
      <c r="G827" t="s">
        <v>5670</v>
      </c>
      <c r="H827" t="s">
        <v>5991</v>
      </c>
      <c r="I827" s="80" t="s">
        <v>5992</v>
      </c>
      <c r="J827" t="s">
        <v>5993</v>
      </c>
      <c r="K827" t="s">
        <v>5994</v>
      </c>
    </row>
    <row r="828" spans="1:11" x14ac:dyDescent="0.25">
      <c r="A828" s="123">
        <v>827</v>
      </c>
      <c r="B828" s="10">
        <v>2022</v>
      </c>
      <c r="C828" s="125" t="s">
        <v>187</v>
      </c>
      <c r="D828" t="s">
        <v>5995</v>
      </c>
      <c r="E828" t="s">
        <v>5996</v>
      </c>
      <c r="F828" t="s">
        <v>5997</v>
      </c>
      <c r="G828" t="s">
        <v>5389</v>
      </c>
      <c r="H828" t="s">
        <v>5998</v>
      </c>
      <c r="I828" s="80" t="s">
        <v>5999</v>
      </c>
      <c r="J828" t="s">
        <v>6000</v>
      </c>
      <c r="K828">
        <v>3953</v>
      </c>
    </row>
    <row r="829" spans="1:11" x14ac:dyDescent="0.25">
      <c r="A829" s="123">
        <v>828</v>
      </c>
      <c r="B829" s="10">
        <v>2022</v>
      </c>
      <c r="C829" s="125" t="s">
        <v>189</v>
      </c>
      <c r="D829" t="s">
        <v>6001</v>
      </c>
      <c r="E829" t="s">
        <v>5225</v>
      </c>
      <c r="F829" t="s">
        <v>6002</v>
      </c>
      <c r="G829" t="s">
        <v>6003</v>
      </c>
      <c r="H829" t="s">
        <v>6004</v>
      </c>
      <c r="I829" s="80" t="s">
        <v>6005</v>
      </c>
      <c r="J829" t="s">
        <v>4908</v>
      </c>
      <c r="K829" t="s">
        <v>6006</v>
      </c>
    </row>
    <row r="830" spans="1:11" x14ac:dyDescent="0.25">
      <c r="A830" s="123">
        <v>829</v>
      </c>
      <c r="B830" s="90" t="s">
        <v>630</v>
      </c>
      <c r="C830" s="125" t="s">
        <v>162</v>
      </c>
      <c r="D830" t="s">
        <v>583</v>
      </c>
      <c r="E830" t="s">
        <v>6007</v>
      </c>
      <c r="F830" t="s">
        <v>5797</v>
      </c>
      <c r="G830" s="80" t="s">
        <v>3031</v>
      </c>
      <c r="H830">
        <v>2</v>
      </c>
      <c r="I830" t="s">
        <v>583</v>
      </c>
      <c r="J830" t="s">
        <v>5723</v>
      </c>
      <c r="K830" t="s">
        <v>2549</v>
      </c>
    </row>
    <row r="831" spans="1:11" x14ac:dyDescent="0.25">
      <c r="A831" s="123">
        <v>830</v>
      </c>
      <c r="B831" s="90" t="s">
        <v>630</v>
      </c>
      <c r="C831" s="125" t="s">
        <v>170</v>
      </c>
      <c r="D831" t="s">
        <v>3317</v>
      </c>
      <c r="E831" t="s">
        <v>6008</v>
      </c>
      <c r="F831" t="s">
        <v>6009</v>
      </c>
      <c r="G831" t="s">
        <v>5868</v>
      </c>
      <c r="H831" t="s">
        <v>6010</v>
      </c>
      <c r="I831" s="80" t="s">
        <v>6011</v>
      </c>
      <c r="J831" t="s">
        <v>5951</v>
      </c>
      <c r="K831" t="s">
        <v>6012</v>
      </c>
    </row>
    <row r="832" spans="1:11" x14ac:dyDescent="0.25">
      <c r="A832" s="123">
        <v>831</v>
      </c>
      <c r="B832" s="90" t="s">
        <v>630</v>
      </c>
      <c r="C832" s="125" t="s">
        <v>178</v>
      </c>
      <c r="D832" t="s">
        <v>1387</v>
      </c>
      <c r="E832" t="s">
        <v>6013</v>
      </c>
      <c r="F832" t="s">
        <v>5721</v>
      </c>
      <c r="G832" s="80" t="s">
        <v>3031</v>
      </c>
      <c r="H832" t="s">
        <v>5843</v>
      </c>
      <c r="I832" t="s">
        <v>6014</v>
      </c>
      <c r="J832" t="s">
        <v>6015</v>
      </c>
      <c r="K832" t="s">
        <v>6016</v>
      </c>
    </row>
    <row r="833" spans="1:11" x14ac:dyDescent="0.25">
      <c r="A833" s="123">
        <v>832</v>
      </c>
      <c r="B833" s="90" t="s">
        <v>630</v>
      </c>
      <c r="C833" s="125" t="s">
        <v>163</v>
      </c>
      <c r="D833" t="s">
        <v>6017</v>
      </c>
      <c r="E833" t="s">
        <v>6018</v>
      </c>
      <c r="F833" t="s">
        <v>6019</v>
      </c>
      <c r="G833" s="80" t="s">
        <v>2178</v>
      </c>
      <c r="H833" t="s">
        <v>6020</v>
      </c>
      <c r="I833" t="s">
        <v>6021</v>
      </c>
      <c r="J833" t="s">
        <v>6015</v>
      </c>
      <c r="K833" t="s">
        <v>6022</v>
      </c>
    </row>
    <row r="834" spans="1:11" ht="15.75" thickBot="1" x14ac:dyDescent="0.3">
      <c r="A834" s="123">
        <v>833</v>
      </c>
      <c r="B834" s="90" t="s">
        <v>630</v>
      </c>
      <c r="C834" s="125" t="s">
        <v>181</v>
      </c>
      <c r="D834" t="s">
        <v>5995</v>
      </c>
      <c r="E834" s="80" t="s">
        <v>6023</v>
      </c>
      <c r="F834" t="s">
        <v>5311</v>
      </c>
      <c r="G834" t="s">
        <v>5304</v>
      </c>
      <c r="H834" t="s">
        <v>6024</v>
      </c>
      <c r="I834" t="s">
        <v>6025</v>
      </c>
      <c r="J834" t="s">
        <v>4908</v>
      </c>
      <c r="K834" t="s">
        <v>6026</v>
      </c>
    </row>
    <row r="835" spans="1:11" x14ac:dyDescent="0.25">
      <c r="A835" s="123">
        <v>834</v>
      </c>
      <c r="B835" s="90" t="s">
        <v>630</v>
      </c>
      <c r="C835" s="126" t="s">
        <v>183</v>
      </c>
      <c r="D835" t="s">
        <v>2487</v>
      </c>
      <c r="E835" s="80" t="s">
        <v>6027</v>
      </c>
      <c r="F835" t="s">
        <v>6028</v>
      </c>
      <c r="G835" t="s">
        <v>5262</v>
      </c>
      <c r="H835" t="s">
        <v>6029</v>
      </c>
      <c r="I835" s="80" t="s">
        <v>6030</v>
      </c>
      <c r="J835" t="s">
        <v>5777</v>
      </c>
      <c r="K835" t="s">
        <v>6031</v>
      </c>
    </row>
    <row r="836" spans="1:11" x14ac:dyDescent="0.25">
      <c r="A836" s="123">
        <v>835</v>
      </c>
      <c r="B836" s="90" t="s">
        <v>630</v>
      </c>
      <c r="C836" s="125" t="s">
        <v>186</v>
      </c>
      <c r="D836" t="s">
        <v>5705</v>
      </c>
      <c r="E836" s="80" t="s">
        <v>6032</v>
      </c>
      <c r="F836" t="s">
        <v>6033</v>
      </c>
      <c r="G836" t="s">
        <v>5507</v>
      </c>
      <c r="H836" s="80" t="s">
        <v>6034</v>
      </c>
      <c r="I836" s="80" t="s">
        <v>6035</v>
      </c>
      <c r="J836" t="s">
        <v>5718</v>
      </c>
      <c r="K836" s="80" t="s">
        <v>6036</v>
      </c>
    </row>
    <row r="837" spans="1:11" x14ac:dyDescent="0.25">
      <c r="A837" s="123">
        <v>836</v>
      </c>
      <c r="B837" s="90" t="s">
        <v>630</v>
      </c>
      <c r="C837" s="125" t="s">
        <v>188</v>
      </c>
      <c r="D837" t="s">
        <v>5713</v>
      </c>
      <c r="E837" s="80" t="s">
        <v>6037</v>
      </c>
      <c r="F837" t="s">
        <v>6038</v>
      </c>
      <c r="G837" t="s">
        <v>5317</v>
      </c>
      <c r="H837" t="s">
        <v>6039</v>
      </c>
      <c r="I837" s="80">
        <v>19017</v>
      </c>
      <c r="J837" t="s">
        <v>6040</v>
      </c>
      <c r="K837" s="80" t="s">
        <v>6041</v>
      </c>
    </row>
    <row r="838" spans="1:11" x14ac:dyDescent="0.25">
      <c r="A838" s="123">
        <v>837</v>
      </c>
      <c r="B838" s="90" t="s">
        <v>630</v>
      </c>
      <c r="C838" s="125" t="s">
        <v>182</v>
      </c>
      <c r="D838" t="s">
        <v>5539</v>
      </c>
      <c r="E838" t="s">
        <v>6042</v>
      </c>
      <c r="F838" t="s">
        <v>2382</v>
      </c>
      <c r="G838" s="80" t="s">
        <v>4296</v>
      </c>
      <c r="H838" t="s">
        <v>5366</v>
      </c>
      <c r="I838" t="s">
        <v>6043</v>
      </c>
      <c r="J838" t="s">
        <v>814</v>
      </c>
      <c r="K838" t="s">
        <v>6044</v>
      </c>
    </row>
    <row r="839" spans="1:11" x14ac:dyDescent="0.25">
      <c r="A839" s="123">
        <v>838</v>
      </c>
      <c r="B839" s="90" t="s">
        <v>630</v>
      </c>
      <c r="C839" s="125" t="s">
        <v>184</v>
      </c>
      <c r="D839" t="s">
        <v>6045</v>
      </c>
      <c r="E839" t="s">
        <v>6046</v>
      </c>
      <c r="F839" t="s">
        <v>2468</v>
      </c>
      <c r="G839" t="s">
        <v>6047</v>
      </c>
      <c r="H839" t="s">
        <v>6048</v>
      </c>
      <c r="I839" s="80" t="s">
        <v>6049</v>
      </c>
      <c r="J839" t="s">
        <v>5672</v>
      </c>
      <c r="K839" t="s">
        <v>5861</v>
      </c>
    </row>
    <row r="840" spans="1:11" x14ac:dyDescent="0.25">
      <c r="A840" s="123">
        <v>839</v>
      </c>
      <c r="B840" s="90" t="s">
        <v>630</v>
      </c>
      <c r="C840" s="125" t="s">
        <v>187</v>
      </c>
      <c r="D840" t="s">
        <v>5800</v>
      </c>
      <c r="E840" t="s">
        <v>6050</v>
      </c>
      <c r="F840" t="s">
        <v>6051</v>
      </c>
      <c r="G840" t="s">
        <v>5255</v>
      </c>
      <c r="H840" s="80" t="s">
        <v>6052</v>
      </c>
      <c r="I840" s="80" t="s">
        <v>6053</v>
      </c>
      <c r="J840" t="s">
        <v>5826</v>
      </c>
      <c r="K840" t="s">
        <v>6054</v>
      </c>
    </row>
    <row r="841" spans="1:11" x14ac:dyDescent="0.25">
      <c r="A841" s="123">
        <v>840</v>
      </c>
      <c r="B841" s="90" t="s">
        <v>630</v>
      </c>
      <c r="C841" s="125" t="s">
        <v>189</v>
      </c>
      <c r="D841" t="s">
        <v>6055</v>
      </c>
      <c r="E841" t="s">
        <v>6056</v>
      </c>
      <c r="F841" t="s">
        <v>6057</v>
      </c>
      <c r="G841" t="s">
        <v>6047</v>
      </c>
      <c r="H841" t="s">
        <v>6058</v>
      </c>
      <c r="I841" s="80" t="s">
        <v>6059</v>
      </c>
      <c r="J841" t="s">
        <v>6060</v>
      </c>
      <c r="K841" t="s">
        <v>6061</v>
      </c>
    </row>
    <row r="842" spans="1:11" x14ac:dyDescent="0.25">
      <c r="A842" s="123">
        <v>841</v>
      </c>
      <c r="B842" s="10" t="s">
        <v>612</v>
      </c>
      <c r="C842" s="125" t="s">
        <v>162</v>
      </c>
      <c r="D842" t="s">
        <v>5840</v>
      </c>
      <c r="E842" s="80" t="s">
        <v>6062</v>
      </c>
      <c r="F842" t="s">
        <v>6063</v>
      </c>
      <c r="G842" t="s">
        <v>5507</v>
      </c>
      <c r="H842" t="s">
        <v>6064</v>
      </c>
      <c r="I842" t="s">
        <v>6065</v>
      </c>
      <c r="J842" t="s">
        <v>2248</v>
      </c>
      <c r="K842" t="s">
        <v>6066</v>
      </c>
    </row>
    <row r="843" spans="1:11" x14ac:dyDescent="0.25">
      <c r="A843" s="123">
        <v>842</v>
      </c>
      <c r="B843" s="10" t="s">
        <v>612</v>
      </c>
      <c r="C843" s="125" t="s">
        <v>170</v>
      </c>
      <c r="D843" t="s">
        <v>6067</v>
      </c>
      <c r="E843" s="80" t="s">
        <v>6068</v>
      </c>
      <c r="F843" t="s">
        <v>6069</v>
      </c>
      <c r="G843" t="s">
        <v>5478</v>
      </c>
      <c r="H843" t="s">
        <v>6070</v>
      </c>
      <c r="I843" s="80" t="s">
        <v>6071</v>
      </c>
      <c r="J843" t="s">
        <v>5272</v>
      </c>
      <c r="K843" t="s">
        <v>6072</v>
      </c>
    </row>
    <row r="844" spans="1:11" x14ac:dyDescent="0.25">
      <c r="A844" s="123">
        <v>843</v>
      </c>
      <c r="B844" s="10" t="s">
        <v>612</v>
      </c>
      <c r="C844" s="125" t="s">
        <v>178</v>
      </c>
      <c r="D844" t="s">
        <v>6073</v>
      </c>
      <c r="E844" s="80" t="s">
        <v>6074</v>
      </c>
      <c r="F844" t="s">
        <v>6075</v>
      </c>
      <c r="G844" t="s">
        <v>5854</v>
      </c>
      <c r="H844" s="80" t="s">
        <v>6076</v>
      </c>
      <c r="I844" s="80" t="s">
        <v>6077</v>
      </c>
      <c r="J844" t="s">
        <v>3118</v>
      </c>
      <c r="K844" t="s">
        <v>6078</v>
      </c>
    </row>
    <row r="845" spans="1:11" x14ac:dyDescent="0.25">
      <c r="A845" s="123">
        <v>844</v>
      </c>
      <c r="B845" s="10" t="s">
        <v>612</v>
      </c>
      <c r="C845" s="125" t="s">
        <v>163</v>
      </c>
      <c r="D845" t="s">
        <v>6079</v>
      </c>
      <c r="E845" s="80" t="s">
        <v>6080</v>
      </c>
      <c r="F845" t="s">
        <v>6081</v>
      </c>
      <c r="G845" t="s">
        <v>6082</v>
      </c>
      <c r="H845" s="80" t="s">
        <v>6083</v>
      </c>
      <c r="I845" s="80" t="s">
        <v>6084</v>
      </c>
      <c r="J845" t="s">
        <v>6085</v>
      </c>
      <c r="K845" s="80" t="s">
        <v>6086</v>
      </c>
    </row>
    <row r="846" spans="1:11" ht="15.75" thickBot="1" x14ac:dyDescent="0.3">
      <c r="A846" s="123">
        <v>845</v>
      </c>
      <c r="B846" s="10" t="s">
        <v>612</v>
      </c>
      <c r="C846" s="125" t="s">
        <v>181</v>
      </c>
      <c r="D846" t="s">
        <v>6087</v>
      </c>
      <c r="E846" s="80" t="s">
        <v>6088</v>
      </c>
      <c r="F846" t="s">
        <v>5744</v>
      </c>
      <c r="G846" t="s">
        <v>5543</v>
      </c>
      <c r="H846" t="s">
        <v>6089</v>
      </c>
      <c r="I846" t="s">
        <v>6090</v>
      </c>
      <c r="J846" t="s">
        <v>6091</v>
      </c>
      <c r="K846" t="s">
        <v>6012</v>
      </c>
    </row>
    <row r="847" spans="1:11" x14ac:dyDescent="0.25">
      <c r="A847" s="123">
        <v>846</v>
      </c>
      <c r="B847" s="10" t="s">
        <v>612</v>
      </c>
      <c r="C847" s="126" t="s">
        <v>183</v>
      </c>
      <c r="D847" t="s">
        <v>6092</v>
      </c>
      <c r="E847" s="80" t="s">
        <v>6093</v>
      </c>
      <c r="F847" t="s">
        <v>6094</v>
      </c>
      <c r="G847" t="s">
        <v>5708</v>
      </c>
      <c r="H847" t="s">
        <v>6095</v>
      </c>
      <c r="I847" s="80" t="s">
        <v>6096</v>
      </c>
      <c r="J847" t="s">
        <v>6040</v>
      </c>
      <c r="K847" t="s">
        <v>6097</v>
      </c>
    </row>
    <row r="848" spans="1:11" x14ac:dyDescent="0.25">
      <c r="A848" s="123">
        <v>847</v>
      </c>
      <c r="B848" s="10" t="s">
        <v>612</v>
      </c>
      <c r="C848" s="125" t="s">
        <v>186</v>
      </c>
      <c r="D848" t="s">
        <v>5834</v>
      </c>
      <c r="E848" s="80" t="s">
        <v>6098</v>
      </c>
      <c r="F848" s="111" t="s">
        <v>6099</v>
      </c>
      <c r="G848" t="s">
        <v>5689</v>
      </c>
      <c r="H848" s="80" t="s">
        <v>6100</v>
      </c>
      <c r="I848" s="80" t="s">
        <v>6101</v>
      </c>
      <c r="J848" t="s">
        <v>6102</v>
      </c>
      <c r="K848" s="80" t="s">
        <v>6103</v>
      </c>
    </row>
    <row r="849" spans="1:11" x14ac:dyDescent="0.25">
      <c r="A849" s="123">
        <v>848</v>
      </c>
      <c r="B849" s="10" t="s">
        <v>612</v>
      </c>
      <c r="C849" s="125" t="s">
        <v>188</v>
      </c>
      <c r="D849" t="s">
        <v>6104</v>
      </c>
      <c r="E849" s="80" t="s">
        <v>6105</v>
      </c>
      <c r="F849" t="s">
        <v>6106</v>
      </c>
      <c r="G849" t="s">
        <v>5854</v>
      </c>
      <c r="H849" s="80" t="s">
        <v>6107</v>
      </c>
      <c r="I849" s="80" t="s">
        <v>6108</v>
      </c>
      <c r="J849" t="s">
        <v>6109</v>
      </c>
      <c r="K849" s="80" t="s">
        <v>6110</v>
      </c>
    </row>
    <row r="850" spans="1:11" x14ac:dyDescent="0.25">
      <c r="A850" s="123">
        <v>849</v>
      </c>
      <c r="B850" s="10" t="s">
        <v>612</v>
      </c>
      <c r="C850" s="125" t="s">
        <v>182</v>
      </c>
      <c r="D850" s="80" t="s">
        <v>5793</v>
      </c>
      <c r="E850" t="s">
        <v>6111</v>
      </c>
      <c r="F850" t="s">
        <v>5721</v>
      </c>
      <c r="G850" t="s">
        <v>583</v>
      </c>
      <c r="H850" t="s">
        <v>583</v>
      </c>
      <c r="I850" t="s">
        <v>5797</v>
      </c>
      <c r="J850" s="80" t="s">
        <v>6112</v>
      </c>
      <c r="K850" t="s">
        <v>2549</v>
      </c>
    </row>
    <row r="851" spans="1:11" x14ac:dyDescent="0.25">
      <c r="A851" s="123">
        <v>850</v>
      </c>
      <c r="B851" s="10" t="s">
        <v>612</v>
      </c>
      <c r="C851" s="125" t="s">
        <v>184</v>
      </c>
      <c r="D851" t="s">
        <v>6113</v>
      </c>
      <c r="E851" s="80" t="s">
        <v>6114</v>
      </c>
      <c r="F851" t="s">
        <v>6115</v>
      </c>
      <c r="G851" t="s">
        <v>5351</v>
      </c>
      <c r="H851" t="s">
        <v>6116</v>
      </c>
      <c r="I851" s="80" t="s">
        <v>6117</v>
      </c>
      <c r="J851" t="s">
        <v>6118</v>
      </c>
      <c r="K851" t="s">
        <v>6119</v>
      </c>
    </row>
    <row r="852" spans="1:11" x14ac:dyDescent="0.25">
      <c r="A852" s="123">
        <v>851</v>
      </c>
      <c r="B852" s="10" t="s">
        <v>612</v>
      </c>
      <c r="C852" s="125" t="s">
        <v>187</v>
      </c>
      <c r="D852" t="s">
        <v>6120</v>
      </c>
      <c r="E852" s="80" t="s">
        <v>6121</v>
      </c>
      <c r="F852" t="s">
        <v>6122</v>
      </c>
      <c r="G852" t="s">
        <v>5478</v>
      </c>
      <c r="H852" s="80" t="s">
        <v>6123</v>
      </c>
      <c r="I852" s="80" t="s">
        <v>6124</v>
      </c>
      <c r="J852" t="s">
        <v>6125</v>
      </c>
      <c r="K852" s="80" t="s">
        <v>6126</v>
      </c>
    </row>
    <row r="853" spans="1:11" x14ac:dyDescent="0.25">
      <c r="A853" s="123">
        <v>852</v>
      </c>
      <c r="B853" s="10" t="s">
        <v>612</v>
      </c>
      <c r="C853" s="125" t="s">
        <v>189</v>
      </c>
      <c r="D853" t="s">
        <v>6127</v>
      </c>
      <c r="E853" s="80" t="s">
        <v>6128</v>
      </c>
      <c r="F853" t="s">
        <v>6129</v>
      </c>
      <c r="G853" t="s">
        <v>5507</v>
      </c>
      <c r="H853" t="s">
        <v>6130</v>
      </c>
      <c r="I853" s="80" t="s">
        <v>6131</v>
      </c>
      <c r="J853" t="s">
        <v>6132</v>
      </c>
      <c r="K853" s="80" t="s">
        <v>6133</v>
      </c>
    </row>
    <row r="854" spans="1:11" x14ac:dyDescent="0.25">
      <c r="A854" s="123">
        <v>853</v>
      </c>
      <c r="B854" s="10">
        <v>2015</v>
      </c>
      <c r="C854" s="125" t="s">
        <v>162</v>
      </c>
      <c r="D854" t="s">
        <v>5995</v>
      </c>
      <c r="E854" s="80" t="s">
        <v>6134</v>
      </c>
      <c r="F854" t="s">
        <v>5865</v>
      </c>
      <c r="G854" t="s">
        <v>5376</v>
      </c>
      <c r="H854" t="s">
        <v>6135</v>
      </c>
      <c r="I854" t="s">
        <v>5537</v>
      </c>
      <c r="J854" t="s">
        <v>5993</v>
      </c>
      <c r="K854" t="s">
        <v>6136</v>
      </c>
    </row>
    <row r="855" spans="1:11" x14ac:dyDescent="0.25">
      <c r="A855" s="123">
        <v>854</v>
      </c>
      <c r="B855" s="10">
        <v>2015</v>
      </c>
      <c r="C855" s="125" t="s">
        <v>170</v>
      </c>
      <c r="D855" t="s">
        <v>6137</v>
      </c>
      <c r="E855" s="80" t="s">
        <v>6138</v>
      </c>
      <c r="F855" t="s">
        <v>6139</v>
      </c>
      <c r="G855" t="s">
        <v>5410</v>
      </c>
      <c r="H855" t="s">
        <v>6140</v>
      </c>
      <c r="I855" s="80" t="s">
        <v>6141</v>
      </c>
      <c r="J855" t="s">
        <v>5845</v>
      </c>
      <c r="K855" t="s">
        <v>6142</v>
      </c>
    </row>
    <row r="856" spans="1:11" ht="15.75" thickBot="1" x14ac:dyDescent="0.3">
      <c r="A856" s="123">
        <v>855</v>
      </c>
      <c r="B856" s="10">
        <v>2015</v>
      </c>
      <c r="C856" s="125" t="s">
        <v>178</v>
      </c>
      <c r="D856" t="s">
        <v>6143</v>
      </c>
      <c r="E856" s="80" t="s">
        <v>6144</v>
      </c>
      <c r="F856" t="s">
        <v>6145</v>
      </c>
      <c r="G856" t="s">
        <v>5410</v>
      </c>
      <c r="H856" t="s">
        <v>6146</v>
      </c>
      <c r="I856" s="80" t="s">
        <v>6147</v>
      </c>
      <c r="J856" t="s">
        <v>5405</v>
      </c>
      <c r="K856" t="s">
        <v>6148</v>
      </c>
    </row>
    <row r="857" spans="1:11" x14ac:dyDescent="0.25">
      <c r="A857" s="123">
        <v>856</v>
      </c>
      <c r="B857" s="10">
        <v>2015</v>
      </c>
      <c r="C857" s="126" t="s">
        <v>163</v>
      </c>
      <c r="D857" t="s">
        <v>6149</v>
      </c>
      <c r="E857" s="80" t="s">
        <v>6150</v>
      </c>
      <c r="F857" t="s">
        <v>6151</v>
      </c>
      <c r="G857" t="s">
        <v>5507</v>
      </c>
      <c r="H857" t="s">
        <v>6152</v>
      </c>
      <c r="I857" s="80" t="s">
        <v>6153</v>
      </c>
      <c r="J857" t="s">
        <v>6091</v>
      </c>
      <c r="K857" t="s">
        <v>6154</v>
      </c>
    </row>
    <row r="858" spans="1:11" x14ac:dyDescent="0.25">
      <c r="A858" s="123">
        <v>857</v>
      </c>
      <c r="B858" s="10">
        <v>2015</v>
      </c>
      <c r="C858" s="125" t="s">
        <v>181</v>
      </c>
      <c r="D858" t="s">
        <v>5772</v>
      </c>
      <c r="E858" s="80" t="s">
        <v>6155</v>
      </c>
      <c r="F858" t="s">
        <v>3657</v>
      </c>
      <c r="G858" t="s">
        <v>5389</v>
      </c>
      <c r="H858" t="s">
        <v>6156</v>
      </c>
      <c r="I858" t="s">
        <v>6157</v>
      </c>
      <c r="J858" t="s">
        <v>5385</v>
      </c>
      <c r="K858" t="s">
        <v>6158</v>
      </c>
    </row>
    <row r="859" spans="1:11" x14ac:dyDescent="0.25">
      <c r="A859" s="123">
        <v>858</v>
      </c>
      <c r="B859" s="10">
        <v>2015</v>
      </c>
      <c r="C859" s="125" t="s">
        <v>183</v>
      </c>
      <c r="D859" t="s">
        <v>5705</v>
      </c>
      <c r="E859" s="80" t="s">
        <v>6159</v>
      </c>
      <c r="F859" t="s">
        <v>6160</v>
      </c>
      <c r="G859" t="s">
        <v>5402</v>
      </c>
      <c r="H859" s="80" t="s">
        <v>6161</v>
      </c>
      <c r="I859" s="80" t="s">
        <v>6162</v>
      </c>
      <c r="J859" t="s">
        <v>5912</v>
      </c>
      <c r="K859" t="s">
        <v>6163</v>
      </c>
    </row>
    <row r="860" spans="1:11" x14ac:dyDescent="0.25">
      <c r="A860" s="123">
        <v>859</v>
      </c>
      <c r="B860" s="10">
        <v>2015</v>
      </c>
      <c r="C860" s="125" t="s">
        <v>186</v>
      </c>
      <c r="D860" t="s">
        <v>6164</v>
      </c>
      <c r="E860" s="80" t="s">
        <v>6165</v>
      </c>
      <c r="F860" s="111" t="s">
        <v>6166</v>
      </c>
      <c r="G860" t="s">
        <v>5317</v>
      </c>
      <c r="H860" s="80" t="s">
        <v>6167</v>
      </c>
      <c r="I860" s="80" t="s">
        <v>6168</v>
      </c>
      <c r="J860" t="s">
        <v>5660</v>
      </c>
      <c r="K860" s="80" t="s">
        <v>6169</v>
      </c>
    </row>
    <row r="861" spans="1:11" x14ac:dyDescent="0.25">
      <c r="A861" s="123">
        <v>860</v>
      </c>
      <c r="B861" s="10">
        <v>2015</v>
      </c>
      <c r="C861" s="125" t="s">
        <v>188</v>
      </c>
      <c r="D861" t="s">
        <v>6170</v>
      </c>
      <c r="E861" s="80" t="s">
        <v>6171</v>
      </c>
      <c r="F861" t="s">
        <v>6172</v>
      </c>
      <c r="G861">
        <v>274</v>
      </c>
      <c r="H861" t="s">
        <v>6173</v>
      </c>
      <c r="I861" s="80" t="s">
        <v>6174</v>
      </c>
      <c r="J861" t="s">
        <v>6175</v>
      </c>
      <c r="K861" s="80" t="s">
        <v>6176</v>
      </c>
    </row>
    <row r="862" spans="1:11" x14ac:dyDescent="0.25">
      <c r="A862" s="123">
        <v>861</v>
      </c>
      <c r="B862" s="10">
        <v>2015</v>
      </c>
      <c r="C862" s="125" t="s">
        <v>182</v>
      </c>
      <c r="D862" t="s">
        <v>583</v>
      </c>
      <c r="E862" t="s">
        <v>6177</v>
      </c>
      <c r="F862" t="s">
        <v>583</v>
      </c>
      <c r="G862" s="80" t="s">
        <v>4296</v>
      </c>
      <c r="H862" t="s">
        <v>5864</v>
      </c>
      <c r="I862" t="s">
        <v>6178</v>
      </c>
      <c r="J862" s="80" t="s">
        <v>6179</v>
      </c>
      <c r="K862" t="s">
        <v>583</v>
      </c>
    </row>
    <row r="863" spans="1:11" x14ac:dyDescent="0.25">
      <c r="A863" s="123">
        <v>862</v>
      </c>
      <c r="B863" s="10">
        <v>2015</v>
      </c>
      <c r="C863" s="127" t="s">
        <v>184</v>
      </c>
      <c r="D863" t="s">
        <v>6180</v>
      </c>
      <c r="E863" t="s">
        <v>6181</v>
      </c>
      <c r="F863" t="s">
        <v>6182</v>
      </c>
      <c r="G863" t="s">
        <v>5363</v>
      </c>
      <c r="H863">
        <v>10970</v>
      </c>
      <c r="I863" s="80" t="s">
        <v>6183</v>
      </c>
      <c r="J863" t="s">
        <v>6184</v>
      </c>
      <c r="K863" t="s">
        <v>6185</v>
      </c>
    </row>
    <row r="864" spans="1:11" x14ac:dyDescent="0.25">
      <c r="A864" s="123">
        <v>863</v>
      </c>
      <c r="B864" s="10">
        <v>2015</v>
      </c>
      <c r="C864" s="125" t="s">
        <v>187</v>
      </c>
      <c r="D864" t="s">
        <v>6186</v>
      </c>
      <c r="E864" t="s">
        <v>6187</v>
      </c>
      <c r="F864" t="s">
        <v>6188</v>
      </c>
      <c r="G864" t="s">
        <v>5395</v>
      </c>
      <c r="H864" s="80" t="s">
        <v>6189</v>
      </c>
      <c r="I864" s="80" t="s">
        <v>6190</v>
      </c>
      <c r="J864" t="s">
        <v>5299</v>
      </c>
      <c r="K864" t="s">
        <v>6191</v>
      </c>
    </row>
    <row r="865" spans="1:11" x14ac:dyDescent="0.25">
      <c r="A865" s="123">
        <v>864</v>
      </c>
      <c r="B865" s="10">
        <v>2015</v>
      </c>
      <c r="C865" s="125" t="s">
        <v>189</v>
      </c>
      <c r="D865" t="s">
        <v>6192</v>
      </c>
      <c r="E865" t="s">
        <v>6193</v>
      </c>
      <c r="F865" t="s">
        <v>6194</v>
      </c>
      <c r="G865" t="s">
        <v>5290</v>
      </c>
      <c r="H865" t="s">
        <v>6195</v>
      </c>
      <c r="I865" s="80" t="s">
        <v>6196</v>
      </c>
      <c r="J865" t="s">
        <v>6118</v>
      </c>
      <c r="K865" t="s">
        <v>6197</v>
      </c>
    </row>
    <row r="866" spans="1:11" x14ac:dyDescent="0.25">
      <c r="A866" s="123">
        <v>865</v>
      </c>
      <c r="B866" s="10">
        <v>1042</v>
      </c>
      <c r="C866" s="125" t="s">
        <v>162</v>
      </c>
      <c r="D866" t="s">
        <v>5340</v>
      </c>
      <c r="E866" s="80" t="s">
        <v>6198</v>
      </c>
      <c r="F866" t="s">
        <v>5312</v>
      </c>
      <c r="G866" t="s">
        <v>5446</v>
      </c>
      <c r="H866" t="s">
        <v>5906</v>
      </c>
      <c r="I866" t="s">
        <v>6199</v>
      </c>
      <c r="J866" t="s">
        <v>5845</v>
      </c>
      <c r="K866" t="s">
        <v>6200</v>
      </c>
    </row>
    <row r="867" spans="1:11" x14ac:dyDescent="0.25">
      <c r="A867" s="123">
        <v>866</v>
      </c>
      <c r="B867" s="10">
        <v>1042</v>
      </c>
      <c r="C867" s="125" t="s">
        <v>170</v>
      </c>
      <c r="D867" t="s">
        <v>5540</v>
      </c>
      <c r="E867" s="80" t="s">
        <v>6201</v>
      </c>
      <c r="F867" t="s">
        <v>2196</v>
      </c>
      <c r="G867" t="s">
        <v>5351</v>
      </c>
      <c r="H867" t="s">
        <v>6202</v>
      </c>
      <c r="I867" s="80" t="s">
        <v>6203</v>
      </c>
      <c r="J867" t="s">
        <v>5876</v>
      </c>
      <c r="K867" t="s">
        <v>6204</v>
      </c>
    </row>
    <row r="868" spans="1:11" x14ac:dyDescent="0.25">
      <c r="A868" s="123">
        <v>867</v>
      </c>
      <c r="B868" s="10">
        <v>1042</v>
      </c>
      <c r="C868" s="125" t="s">
        <v>178</v>
      </c>
      <c r="D868" t="s">
        <v>6205</v>
      </c>
      <c r="E868" s="80" t="s">
        <v>6206</v>
      </c>
      <c r="F868" t="s">
        <v>6207</v>
      </c>
      <c r="G868" t="s">
        <v>5331</v>
      </c>
      <c r="H868" s="80" t="s">
        <v>6208</v>
      </c>
      <c r="I868" s="80" t="s">
        <v>6209</v>
      </c>
      <c r="J868" t="s">
        <v>6210</v>
      </c>
      <c r="K868" t="s">
        <v>6211</v>
      </c>
    </row>
    <row r="869" spans="1:11" x14ac:dyDescent="0.25">
      <c r="A869" s="123">
        <v>868</v>
      </c>
      <c r="B869" s="10">
        <v>1042</v>
      </c>
      <c r="C869" s="125" t="s">
        <v>163</v>
      </c>
      <c r="D869" t="s">
        <v>5547</v>
      </c>
      <c r="E869" s="80" t="s">
        <v>6212</v>
      </c>
      <c r="F869" t="s">
        <v>6213</v>
      </c>
      <c r="G869" t="s">
        <v>6082</v>
      </c>
      <c r="H869" t="s">
        <v>6214</v>
      </c>
      <c r="I869" s="80" t="s">
        <v>6215</v>
      </c>
      <c r="J869" t="s">
        <v>5660</v>
      </c>
      <c r="K869" s="80" t="s">
        <v>6216</v>
      </c>
    </row>
    <row r="870" spans="1:11" x14ac:dyDescent="0.25">
      <c r="A870" s="123">
        <v>869</v>
      </c>
      <c r="B870" s="10">
        <v>1042</v>
      </c>
      <c r="C870" s="125" t="s">
        <v>181</v>
      </c>
      <c r="D870" t="s">
        <v>5267</v>
      </c>
      <c r="E870" s="80" t="s">
        <v>6217</v>
      </c>
      <c r="F870" t="s">
        <v>2466</v>
      </c>
      <c r="G870" t="s">
        <v>5304</v>
      </c>
      <c r="H870" t="s">
        <v>6218</v>
      </c>
      <c r="I870" t="s">
        <v>6219</v>
      </c>
      <c r="J870" t="s">
        <v>5826</v>
      </c>
      <c r="K870" t="s">
        <v>6220</v>
      </c>
    </row>
    <row r="871" spans="1:11" x14ac:dyDescent="0.25">
      <c r="A871" s="123">
        <v>870</v>
      </c>
      <c r="B871" s="10">
        <v>1042</v>
      </c>
      <c r="C871" s="125" t="s">
        <v>183</v>
      </c>
      <c r="D871" t="s">
        <v>5348</v>
      </c>
      <c r="E871" s="80" t="s">
        <v>6221</v>
      </c>
      <c r="F871" t="s">
        <v>6222</v>
      </c>
      <c r="G871" t="s">
        <v>5395</v>
      </c>
      <c r="H871" t="s">
        <v>6223</v>
      </c>
      <c r="I871" s="80" t="s">
        <v>6224</v>
      </c>
      <c r="J871" t="s">
        <v>5299</v>
      </c>
      <c r="K871" t="s">
        <v>6225</v>
      </c>
    </row>
    <row r="872" spans="1:11" x14ac:dyDescent="0.25">
      <c r="A872" s="123">
        <v>871</v>
      </c>
      <c r="B872" s="10">
        <v>1042</v>
      </c>
      <c r="C872" s="125" t="s">
        <v>186</v>
      </c>
      <c r="D872" t="s">
        <v>5424</v>
      </c>
      <c r="E872" s="80" t="s">
        <v>6226</v>
      </c>
      <c r="F872" t="s">
        <v>6227</v>
      </c>
      <c r="G872" t="s">
        <v>5782</v>
      </c>
      <c r="H872" s="80" t="s">
        <v>6228</v>
      </c>
      <c r="I872" s="80" t="s">
        <v>6229</v>
      </c>
      <c r="J872" t="s">
        <v>5703</v>
      </c>
      <c r="K872" s="80" t="s">
        <v>6230</v>
      </c>
    </row>
    <row r="873" spans="1:11" x14ac:dyDescent="0.25">
      <c r="A873" s="123">
        <v>872</v>
      </c>
      <c r="B873" s="10">
        <v>1042</v>
      </c>
      <c r="C873" s="125" t="s">
        <v>188</v>
      </c>
      <c r="D873" t="s">
        <v>5340</v>
      </c>
      <c r="E873" s="80" t="s">
        <v>6231</v>
      </c>
      <c r="F873" t="s">
        <v>6232</v>
      </c>
      <c r="G873" t="s">
        <v>5507</v>
      </c>
      <c r="H873" t="s">
        <v>6233</v>
      </c>
      <c r="I873" s="80" t="s">
        <v>6234</v>
      </c>
      <c r="J873" t="s">
        <v>6091</v>
      </c>
      <c r="K873" t="s">
        <v>6235</v>
      </c>
    </row>
    <row r="874" spans="1:11" x14ac:dyDescent="0.25">
      <c r="A874" s="123">
        <v>873</v>
      </c>
      <c r="B874" s="10">
        <v>1042</v>
      </c>
      <c r="C874" s="125" t="s">
        <v>182</v>
      </c>
      <c r="D874" s="80" t="s">
        <v>5582</v>
      </c>
      <c r="E874" t="s">
        <v>6236</v>
      </c>
      <c r="F874" t="s">
        <v>6237</v>
      </c>
      <c r="G874" s="80" t="s">
        <v>6135</v>
      </c>
      <c r="H874" t="s">
        <v>583</v>
      </c>
      <c r="I874" t="s">
        <v>2331</v>
      </c>
      <c r="J874" s="80" t="s">
        <v>6112</v>
      </c>
      <c r="K874" t="s">
        <v>6238</v>
      </c>
    </row>
    <row r="875" spans="1:11" x14ac:dyDescent="0.25">
      <c r="A875" s="123">
        <v>874</v>
      </c>
      <c r="B875" s="10">
        <v>1042</v>
      </c>
      <c r="C875" s="125" t="s">
        <v>184</v>
      </c>
      <c r="D875" t="s">
        <v>6239</v>
      </c>
      <c r="E875" s="80" t="s">
        <v>6240</v>
      </c>
      <c r="F875" t="s">
        <v>6241</v>
      </c>
      <c r="G875" t="s">
        <v>5868</v>
      </c>
      <c r="H875" t="s">
        <v>6242</v>
      </c>
      <c r="I875" s="80" t="s">
        <v>6243</v>
      </c>
      <c r="J875" t="s">
        <v>5880</v>
      </c>
      <c r="K875" t="s">
        <v>6244</v>
      </c>
    </row>
    <row r="876" spans="1:11" x14ac:dyDescent="0.25">
      <c r="A876" s="123">
        <v>875</v>
      </c>
      <c r="B876" s="10">
        <v>1042</v>
      </c>
      <c r="C876" s="125" t="s">
        <v>187</v>
      </c>
      <c r="D876" t="s">
        <v>6245</v>
      </c>
      <c r="E876" s="80" t="s">
        <v>6246</v>
      </c>
      <c r="F876" t="s">
        <v>6247</v>
      </c>
      <c r="G876" t="s">
        <v>5324</v>
      </c>
      <c r="H876" s="80" t="s">
        <v>6248</v>
      </c>
      <c r="I876" s="80" t="s">
        <v>6249</v>
      </c>
      <c r="J876" t="s">
        <v>5718</v>
      </c>
      <c r="K876" t="s">
        <v>6250</v>
      </c>
    </row>
    <row r="877" spans="1:11" x14ac:dyDescent="0.25">
      <c r="A877" s="123">
        <v>876</v>
      </c>
      <c r="B877" s="10">
        <v>1042</v>
      </c>
      <c r="C877" s="125" t="s">
        <v>189</v>
      </c>
      <c r="D877" t="s">
        <v>5431</v>
      </c>
      <c r="E877" s="80" t="s">
        <v>6251</v>
      </c>
      <c r="F877" t="s">
        <v>6252</v>
      </c>
      <c r="G877" t="s">
        <v>5395</v>
      </c>
      <c r="H877" t="s">
        <v>6253</v>
      </c>
      <c r="I877" s="80" t="s">
        <v>6254</v>
      </c>
      <c r="J877" t="s">
        <v>5684</v>
      </c>
      <c r="K877" t="s">
        <v>6255</v>
      </c>
    </row>
    <row r="878" spans="1:11" x14ac:dyDescent="0.25">
      <c r="A878" s="123">
        <v>877</v>
      </c>
      <c r="B878" s="10">
        <v>1049</v>
      </c>
      <c r="C878" s="125" t="s">
        <v>162</v>
      </c>
      <c r="D878" t="s">
        <v>5313</v>
      </c>
      <c r="E878" s="80" t="s">
        <v>6256</v>
      </c>
      <c r="F878" t="s">
        <v>6179</v>
      </c>
      <c r="G878" t="s">
        <v>5277</v>
      </c>
      <c r="H878" t="s">
        <v>6257</v>
      </c>
      <c r="I878" t="s">
        <v>3764</v>
      </c>
      <c r="J878" t="s">
        <v>6258</v>
      </c>
      <c r="K878" t="s">
        <v>6259</v>
      </c>
    </row>
    <row r="879" spans="1:11" x14ac:dyDescent="0.25">
      <c r="A879" s="123">
        <v>878</v>
      </c>
      <c r="B879" s="10">
        <v>1049</v>
      </c>
      <c r="C879" s="125" t="s">
        <v>170</v>
      </c>
      <c r="D879" t="s">
        <v>5540</v>
      </c>
      <c r="E879" s="80" t="s">
        <v>6260</v>
      </c>
      <c r="F879" t="s">
        <v>6261</v>
      </c>
      <c r="G879" t="s">
        <v>5389</v>
      </c>
      <c r="H879" t="s">
        <v>6262</v>
      </c>
      <c r="I879" s="80" t="s">
        <v>6263</v>
      </c>
      <c r="J879" t="s">
        <v>6000</v>
      </c>
      <c r="K879" t="s">
        <v>6264</v>
      </c>
    </row>
    <row r="880" spans="1:11" ht="15.75" thickBot="1" x14ac:dyDescent="0.3">
      <c r="A880" s="123">
        <v>879</v>
      </c>
      <c r="B880" s="10">
        <v>1049</v>
      </c>
      <c r="C880" s="125" t="s">
        <v>178</v>
      </c>
      <c r="D880" t="s">
        <v>5314</v>
      </c>
      <c r="E880" s="80" t="s">
        <v>6265</v>
      </c>
      <c r="F880" t="s">
        <v>6266</v>
      </c>
      <c r="G880" t="s">
        <v>5402</v>
      </c>
      <c r="H880" s="80" t="s">
        <v>6267</v>
      </c>
      <c r="I880" s="80" t="s">
        <v>6268</v>
      </c>
      <c r="J880" t="s">
        <v>5405</v>
      </c>
      <c r="K880" t="s">
        <v>6269</v>
      </c>
    </row>
    <row r="881" spans="1:11" x14ac:dyDescent="0.25">
      <c r="A881" s="123">
        <v>880</v>
      </c>
      <c r="B881" s="10">
        <v>1049</v>
      </c>
      <c r="C881" s="126" t="s">
        <v>163</v>
      </c>
      <c r="D881" t="s">
        <v>5565</v>
      </c>
      <c r="E881" s="80" t="s">
        <v>6270</v>
      </c>
      <c r="F881" t="s">
        <v>6271</v>
      </c>
      <c r="G881" t="s">
        <v>5351</v>
      </c>
      <c r="H881" t="s">
        <v>6272</v>
      </c>
      <c r="I881" s="80" t="s">
        <v>6273</v>
      </c>
      <c r="J881" t="s">
        <v>5405</v>
      </c>
      <c r="K881" t="s">
        <v>6274</v>
      </c>
    </row>
    <row r="882" spans="1:11" x14ac:dyDescent="0.25">
      <c r="A882" s="123">
        <v>881</v>
      </c>
      <c r="B882" s="10">
        <v>1049</v>
      </c>
      <c r="C882" s="125" t="s">
        <v>181</v>
      </c>
      <c r="D882" t="s">
        <v>6275</v>
      </c>
      <c r="E882" s="80" t="s">
        <v>6276</v>
      </c>
      <c r="F882" t="s">
        <v>6179</v>
      </c>
      <c r="G882" t="s">
        <v>5304</v>
      </c>
      <c r="H882" t="s">
        <v>6277</v>
      </c>
      <c r="I882" t="s">
        <v>6278</v>
      </c>
      <c r="J882" t="s">
        <v>5936</v>
      </c>
      <c r="K882" t="s">
        <v>6279</v>
      </c>
    </row>
    <row r="883" spans="1:11" x14ac:dyDescent="0.25">
      <c r="A883" s="123">
        <v>882</v>
      </c>
      <c r="B883" s="10">
        <v>1049</v>
      </c>
      <c r="C883" s="125" t="s">
        <v>183</v>
      </c>
      <c r="D883" t="s">
        <v>5424</v>
      </c>
      <c r="E883" s="80" t="s">
        <v>6280</v>
      </c>
      <c r="F883" t="s">
        <v>6281</v>
      </c>
      <c r="G883" t="s">
        <v>5343</v>
      </c>
      <c r="H883" t="s">
        <v>6282</v>
      </c>
      <c r="I883" s="80" t="s">
        <v>6283</v>
      </c>
      <c r="J883" t="s">
        <v>5684</v>
      </c>
      <c r="K883" s="80" t="s">
        <v>6284</v>
      </c>
    </row>
    <row r="884" spans="1:11" x14ac:dyDescent="0.25">
      <c r="A884" s="123">
        <v>883</v>
      </c>
      <c r="B884" s="10">
        <v>1049</v>
      </c>
      <c r="C884" s="125" t="s">
        <v>186</v>
      </c>
      <c r="D884" t="s">
        <v>5547</v>
      </c>
      <c r="E884" s="80" t="s">
        <v>6285</v>
      </c>
      <c r="F884" t="s">
        <v>6286</v>
      </c>
      <c r="G884" t="s">
        <v>5324</v>
      </c>
      <c r="H884" s="80" t="s">
        <v>6287</v>
      </c>
      <c r="I884" s="80" t="s">
        <v>6288</v>
      </c>
      <c r="J884" t="s">
        <v>5711</v>
      </c>
      <c r="K884" s="80" t="s">
        <v>6289</v>
      </c>
    </row>
    <row r="885" spans="1:11" x14ac:dyDescent="0.25">
      <c r="A885" s="123">
        <v>884</v>
      </c>
      <c r="B885" s="10">
        <v>1049</v>
      </c>
      <c r="C885" s="125" t="s">
        <v>188</v>
      </c>
      <c r="D885" t="s">
        <v>6290</v>
      </c>
      <c r="E885" s="80" t="s">
        <v>6291</v>
      </c>
      <c r="F885" t="s">
        <v>5768</v>
      </c>
      <c r="G885" t="s">
        <v>5351</v>
      </c>
      <c r="H885" t="s">
        <v>6292</v>
      </c>
      <c r="I885" s="80" t="s">
        <v>6293</v>
      </c>
      <c r="J885" t="s">
        <v>6294</v>
      </c>
      <c r="K885" t="s">
        <v>6295</v>
      </c>
    </row>
    <row r="886" spans="1:11" x14ac:dyDescent="0.25">
      <c r="A886" s="123">
        <v>885</v>
      </c>
      <c r="B886" s="10">
        <v>1049</v>
      </c>
      <c r="C886" s="125" t="s">
        <v>182</v>
      </c>
      <c r="D886" t="s">
        <v>5239</v>
      </c>
      <c r="E886" t="s">
        <v>6296</v>
      </c>
      <c r="F886" s="80" t="s">
        <v>6297</v>
      </c>
      <c r="G886" s="80" t="s">
        <v>2178</v>
      </c>
      <c r="H886" t="s">
        <v>6298</v>
      </c>
      <c r="I886" t="s">
        <v>6299</v>
      </c>
      <c r="J886" t="s">
        <v>6300</v>
      </c>
      <c r="K886" t="s">
        <v>5286</v>
      </c>
    </row>
    <row r="887" spans="1:11" x14ac:dyDescent="0.25">
      <c r="A887" s="123">
        <v>886</v>
      </c>
      <c r="B887" s="10">
        <v>1049</v>
      </c>
      <c r="C887" s="127" t="s">
        <v>184</v>
      </c>
      <c r="D887" t="s">
        <v>5468</v>
      </c>
      <c r="E887" s="80" t="s">
        <v>6301</v>
      </c>
      <c r="F887" t="s">
        <v>6302</v>
      </c>
      <c r="G887" t="s">
        <v>5304</v>
      </c>
      <c r="H887" t="s">
        <v>6303</v>
      </c>
      <c r="I887" s="80">
        <v>25301</v>
      </c>
      <c r="J887" t="s">
        <v>5845</v>
      </c>
      <c r="K887" t="s">
        <v>6304</v>
      </c>
    </row>
    <row r="888" spans="1:11" x14ac:dyDescent="0.25">
      <c r="A888" s="123">
        <v>887</v>
      </c>
      <c r="B888" s="10">
        <v>1049</v>
      </c>
      <c r="C888" s="125" t="s">
        <v>187</v>
      </c>
      <c r="D888" t="s">
        <v>5424</v>
      </c>
      <c r="E888" s="80" t="s">
        <v>6305</v>
      </c>
      <c r="F888" t="s">
        <v>6306</v>
      </c>
      <c r="G888" t="s">
        <v>5478</v>
      </c>
      <c r="H888" s="80" t="s">
        <v>6307</v>
      </c>
      <c r="I888" s="80" t="s">
        <v>6308</v>
      </c>
      <c r="J888" t="s">
        <v>5718</v>
      </c>
      <c r="K888" t="s">
        <v>6309</v>
      </c>
    </row>
    <row r="889" spans="1:11" x14ac:dyDescent="0.25">
      <c r="A889" s="123">
        <v>888</v>
      </c>
      <c r="B889" s="10">
        <v>1049</v>
      </c>
      <c r="C889" s="125" t="s">
        <v>189</v>
      </c>
      <c r="D889" t="s">
        <v>5267</v>
      </c>
      <c r="E889" s="80" t="s">
        <v>6310</v>
      </c>
      <c r="F889" t="s">
        <v>6311</v>
      </c>
      <c r="G889" t="s">
        <v>5389</v>
      </c>
      <c r="H889" t="s">
        <v>6312</v>
      </c>
      <c r="I889" s="80" t="s">
        <v>6313</v>
      </c>
      <c r="J889" t="s">
        <v>6314</v>
      </c>
      <c r="K889" t="s">
        <v>6315</v>
      </c>
    </row>
    <row r="890" spans="1:11" x14ac:dyDescent="0.25">
      <c r="A890" s="123">
        <v>889</v>
      </c>
      <c r="B890" s="10">
        <v>1050</v>
      </c>
      <c r="C890" s="125" t="s">
        <v>162</v>
      </c>
      <c r="D890" t="s">
        <v>5571</v>
      </c>
      <c r="E890" s="80" t="s">
        <v>6316</v>
      </c>
      <c r="F890" t="s">
        <v>5949</v>
      </c>
      <c r="G890" t="s">
        <v>5304</v>
      </c>
      <c r="H890" t="s">
        <v>5153</v>
      </c>
      <c r="I890" t="s">
        <v>2383</v>
      </c>
      <c r="J890" t="s">
        <v>5672</v>
      </c>
      <c r="K890" t="s">
        <v>6317</v>
      </c>
    </row>
    <row r="891" spans="1:11" x14ac:dyDescent="0.25">
      <c r="A891" s="123">
        <v>890</v>
      </c>
      <c r="B891" s="10">
        <v>1050</v>
      </c>
      <c r="C891" s="125" t="s">
        <v>170</v>
      </c>
      <c r="D891" t="s">
        <v>5267</v>
      </c>
      <c r="E891" s="80" t="s">
        <v>6318</v>
      </c>
      <c r="F891" t="s">
        <v>6319</v>
      </c>
      <c r="G891" t="s">
        <v>5351</v>
      </c>
      <c r="H891" t="s">
        <v>6320</v>
      </c>
      <c r="I891" s="80" t="s">
        <v>6321</v>
      </c>
      <c r="J891" t="s">
        <v>5845</v>
      </c>
      <c r="K891" t="s">
        <v>6322</v>
      </c>
    </row>
    <row r="892" spans="1:11" x14ac:dyDescent="0.25">
      <c r="A892" s="123">
        <v>891</v>
      </c>
      <c r="B892" s="10">
        <v>1050</v>
      </c>
      <c r="C892" s="125" t="s">
        <v>178</v>
      </c>
      <c r="D892" t="s">
        <v>6323</v>
      </c>
      <c r="E892" s="80" t="s">
        <v>6324</v>
      </c>
      <c r="F892" t="s">
        <v>6325</v>
      </c>
      <c r="G892" t="s">
        <v>5708</v>
      </c>
      <c r="H892" s="80" t="s">
        <v>6326</v>
      </c>
      <c r="I892" s="80" t="s">
        <v>6327</v>
      </c>
      <c r="J892" t="s">
        <v>5718</v>
      </c>
      <c r="K892" t="s">
        <v>6328</v>
      </c>
    </row>
    <row r="893" spans="1:11" x14ac:dyDescent="0.25">
      <c r="A893" s="123">
        <v>892</v>
      </c>
      <c r="B893" s="10">
        <v>1050</v>
      </c>
      <c r="C893" s="125" t="s">
        <v>163</v>
      </c>
      <c r="D893" t="s">
        <v>6329</v>
      </c>
      <c r="E893" s="80" t="s">
        <v>6330</v>
      </c>
      <c r="F893" t="s">
        <v>6331</v>
      </c>
      <c r="G893" t="s">
        <v>5635</v>
      </c>
      <c r="H893" s="80" t="s">
        <v>6332</v>
      </c>
      <c r="I893" s="80" t="s">
        <v>6333</v>
      </c>
      <c r="J893" t="s">
        <v>3118</v>
      </c>
      <c r="K893" s="80" t="s">
        <v>6334</v>
      </c>
    </row>
    <row r="894" spans="1:11" x14ac:dyDescent="0.25">
      <c r="A894" s="123">
        <v>893</v>
      </c>
      <c r="B894" s="10">
        <v>1050</v>
      </c>
      <c r="C894" s="125" t="s">
        <v>181</v>
      </c>
      <c r="D894" t="s">
        <v>5468</v>
      </c>
      <c r="E894" s="80" t="s">
        <v>6335</v>
      </c>
      <c r="F894" t="s">
        <v>6336</v>
      </c>
      <c r="G894" t="s">
        <v>5304</v>
      </c>
      <c r="H894" t="s">
        <v>6337</v>
      </c>
      <c r="I894" t="s">
        <v>6338</v>
      </c>
      <c r="J894" t="s">
        <v>5880</v>
      </c>
      <c r="K894" t="s">
        <v>6339</v>
      </c>
    </row>
    <row r="895" spans="1:11" x14ac:dyDescent="0.25">
      <c r="A895" s="123">
        <v>894</v>
      </c>
      <c r="B895" s="10">
        <v>1050</v>
      </c>
      <c r="C895" s="125" t="s">
        <v>183</v>
      </c>
      <c r="D895" t="s">
        <v>5348</v>
      </c>
      <c r="E895" s="80" t="s">
        <v>6340</v>
      </c>
      <c r="F895" t="s">
        <v>6341</v>
      </c>
      <c r="G895" t="s">
        <v>5376</v>
      </c>
      <c r="H895" t="s">
        <v>6342</v>
      </c>
      <c r="I895" s="80" t="s">
        <v>6343</v>
      </c>
      <c r="J895" t="s">
        <v>5777</v>
      </c>
      <c r="K895" t="s">
        <v>6344</v>
      </c>
    </row>
    <row r="896" spans="1:11" x14ac:dyDescent="0.25">
      <c r="A896" s="123">
        <v>895</v>
      </c>
      <c r="B896" s="10">
        <v>1050</v>
      </c>
      <c r="C896" s="125" t="s">
        <v>186</v>
      </c>
      <c r="D896" t="s">
        <v>5424</v>
      </c>
      <c r="E896" s="80" t="s">
        <v>6345</v>
      </c>
      <c r="F896" t="s">
        <v>6346</v>
      </c>
      <c r="G896" t="s">
        <v>5324</v>
      </c>
      <c r="H896" s="80" t="s">
        <v>6347</v>
      </c>
      <c r="I896" s="80" t="s">
        <v>6348</v>
      </c>
      <c r="J896" t="s">
        <v>5638</v>
      </c>
      <c r="K896" s="80" t="s">
        <v>6349</v>
      </c>
    </row>
    <row r="897" spans="1:13" x14ac:dyDescent="0.25">
      <c r="A897" s="123">
        <v>896</v>
      </c>
      <c r="B897" s="10">
        <v>1050</v>
      </c>
      <c r="C897" s="125" t="s">
        <v>188</v>
      </c>
      <c r="D897" t="s">
        <v>5565</v>
      </c>
      <c r="E897" s="80" t="s">
        <v>6350</v>
      </c>
      <c r="F897" t="s">
        <v>6351</v>
      </c>
      <c r="G897" t="s">
        <v>5782</v>
      </c>
      <c r="H897" t="s">
        <v>6352</v>
      </c>
      <c r="I897" s="80" t="s">
        <v>6353</v>
      </c>
      <c r="J897" t="s">
        <v>5346</v>
      </c>
      <c r="K897" t="s">
        <v>6354</v>
      </c>
    </row>
    <row r="898" spans="1:13" x14ac:dyDescent="0.25">
      <c r="A898" s="123">
        <v>897</v>
      </c>
      <c r="B898" s="10">
        <v>1050</v>
      </c>
      <c r="C898" s="125" t="s">
        <v>182</v>
      </c>
      <c r="D898">
        <v>8</v>
      </c>
      <c r="E898" t="s">
        <v>6355</v>
      </c>
      <c r="F898" t="s">
        <v>6356</v>
      </c>
      <c r="G898" t="s">
        <v>5255</v>
      </c>
      <c r="H898" t="s">
        <v>6357</v>
      </c>
      <c r="I898" s="80" t="s">
        <v>6358</v>
      </c>
      <c r="J898" t="s">
        <v>6359</v>
      </c>
      <c r="K898" t="s">
        <v>6054</v>
      </c>
    </row>
    <row r="899" spans="1:13" x14ac:dyDescent="0.25">
      <c r="A899" s="123">
        <v>898</v>
      </c>
      <c r="B899" s="10">
        <v>1050</v>
      </c>
      <c r="C899" s="125" t="s">
        <v>184</v>
      </c>
      <c r="D899" t="s">
        <v>5565</v>
      </c>
      <c r="E899" s="80" t="s">
        <v>6360</v>
      </c>
      <c r="F899" t="s">
        <v>6361</v>
      </c>
      <c r="G899" t="s">
        <v>5478</v>
      </c>
      <c r="H899" s="80" t="s">
        <v>6362</v>
      </c>
      <c r="I899" s="80" t="s">
        <v>6363</v>
      </c>
      <c r="J899" t="s">
        <v>5405</v>
      </c>
      <c r="K899" t="s">
        <v>6364</v>
      </c>
    </row>
    <row r="900" spans="1:13" x14ac:dyDescent="0.25">
      <c r="A900" s="123">
        <v>899</v>
      </c>
      <c r="B900" s="10">
        <v>1050</v>
      </c>
      <c r="C900" s="125" t="s">
        <v>187</v>
      </c>
      <c r="D900" t="s">
        <v>5475</v>
      </c>
      <c r="E900" s="80" t="s">
        <v>6365</v>
      </c>
      <c r="F900" t="s">
        <v>6366</v>
      </c>
      <c r="G900" t="s">
        <v>5317</v>
      </c>
      <c r="H900" s="80" t="s">
        <v>6367</v>
      </c>
      <c r="I900" s="80" t="s">
        <v>6368</v>
      </c>
      <c r="J900" t="s">
        <v>6132</v>
      </c>
      <c r="K900" s="80" t="s">
        <v>6369</v>
      </c>
    </row>
    <row r="901" spans="1:13" x14ac:dyDescent="0.25">
      <c r="A901" s="123">
        <v>900</v>
      </c>
      <c r="B901" s="10">
        <v>1050</v>
      </c>
      <c r="C901" s="125" t="s">
        <v>189</v>
      </c>
      <c r="D901" t="s">
        <v>6370</v>
      </c>
      <c r="E901" s="80" t="s">
        <v>6371</v>
      </c>
      <c r="F901" t="s">
        <v>6372</v>
      </c>
      <c r="G901" t="s">
        <v>5708</v>
      </c>
      <c r="H901" t="s">
        <v>6373</v>
      </c>
      <c r="I901" s="80" t="s">
        <v>6374</v>
      </c>
      <c r="J901" t="s">
        <v>6210</v>
      </c>
      <c r="K901" s="80" t="s">
        <v>6375</v>
      </c>
    </row>
    <row r="902" spans="1:13" x14ac:dyDescent="0.25">
      <c r="A902" s="123">
        <v>901</v>
      </c>
      <c r="B902" s="10">
        <v>1051</v>
      </c>
      <c r="C902" s="125" t="s">
        <v>162</v>
      </c>
      <c r="D902" t="s">
        <v>6376</v>
      </c>
      <c r="E902" s="80" t="s">
        <v>6377</v>
      </c>
      <c r="F902" t="s">
        <v>5949</v>
      </c>
      <c r="G902" t="s">
        <v>5446</v>
      </c>
      <c r="H902" t="s">
        <v>6135</v>
      </c>
      <c r="I902" t="s">
        <v>2383</v>
      </c>
      <c r="J902" t="s">
        <v>5826</v>
      </c>
      <c r="K902" t="s">
        <v>3711</v>
      </c>
    </row>
    <row r="903" spans="1:13" x14ac:dyDescent="0.25">
      <c r="A903" s="123">
        <v>902</v>
      </c>
      <c r="B903" s="10">
        <v>1051</v>
      </c>
      <c r="C903" s="125" t="s">
        <v>170</v>
      </c>
      <c r="D903" t="s">
        <v>5431</v>
      </c>
      <c r="E903" s="80" t="s">
        <v>6378</v>
      </c>
      <c r="F903" t="s">
        <v>6379</v>
      </c>
      <c r="G903" t="s">
        <v>5317</v>
      </c>
      <c r="H903" t="s">
        <v>6380</v>
      </c>
      <c r="I903" s="80" t="s">
        <v>6381</v>
      </c>
      <c r="J903" t="s">
        <v>6118</v>
      </c>
      <c r="K903" t="s">
        <v>6382</v>
      </c>
    </row>
    <row r="904" spans="1:13" ht="15.75" thickBot="1" x14ac:dyDescent="0.3">
      <c r="A904" s="123">
        <v>903</v>
      </c>
      <c r="B904" s="10">
        <v>1051</v>
      </c>
      <c r="C904" s="125" t="s">
        <v>178</v>
      </c>
      <c r="D904" t="s">
        <v>6383</v>
      </c>
      <c r="E904" s="80" t="s">
        <v>6384</v>
      </c>
      <c r="F904" t="s">
        <v>6385</v>
      </c>
      <c r="G904" t="s">
        <v>5854</v>
      </c>
      <c r="H904" s="80" t="s">
        <v>6386</v>
      </c>
      <c r="I904" s="80" t="s">
        <v>6387</v>
      </c>
      <c r="J904" t="s">
        <v>6388</v>
      </c>
      <c r="K904" s="80" t="s">
        <v>6389</v>
      </c>
    </row>
    <row r="905" spans="1:13" x14ac:dyDescent="0.25">
      <c r="A905" s="123">
        <v>904</v>
      </c>
      <c r="B905" s="10">
        <v>1051</v>
      </c>
      <c r="C905" s="126" t="s">
        <v>163</v>
      </c>
      <c r="D905" t="s">
        <v>6390</v>
      </c>
      <c r="E905" s="80" t="s">
        <v>6391</v>
      </c>
      <c r="F905" t="s">
        <v>6392</v>
      </c>
      <c r="G905" t="s">
        <v>6393</v>
      </c>
      <c r="H905" s="80" t="s">
        <v>6394</v>
      </c>
      <c r="I905" s="80" t="s">
        <v>6395</v>
      </c>
      <c r="J905" t="s">
        <v>6396</v>
      </c>
      <c r="K905" s="80" t="s">
        <v>6397</v>
      </c>
    </row>
    <row r="906" spans="1:13" x14ac:dyDescent="0.25">
      <c r="A906" s="123">
        <v>905</v>
      </c>
      <c r="B906" s="10">
        <v>1051</v>
      </c>
      <c r="C906" s="125" t="s">
        <v>181</v>
      </c>
      <c r="D906" t="s">
        <v>5340</v>
      </c>
      <c r="E906" s="80" t="s">
        <v>6398</v>
      </c>
      <c r="F906" t="s">
        <v>6399</v>
      </c>
      <c r="G906" t="s">
        <v>5304</v>
      </c>
      <c r="H906" t="s">
        <v>5440</v>
      </c>
      <c r="I906" t="s">
        <v>6400</v>
      </c>
      <c r="J906" t="s">
        <v>5845</v>
      </c>
      <c r="K906" t="s">
        <v>6401</v>
      </c>
    </row>
    <row r="907" spans="1:13" x14ac:dyDescent="0.25">
      <c r="A907" s="123">
        <v>906</v>
      </c>
      <c r="B907" s="10">
        <v>1051</v>
      </c>
      <c r="C907" s="125" t="s">
        <v>183</v>
      </c>
      <c r="D907" t="s">
        <v>6402</v>
      </c>
      <c r="E907" s="80" t="s">
        <v>6403</v>
      </c>
      <c r="F907" t="s">
        <v>6404</v>
      </c>
      <c r="G907" t="s">
        <v>6405</v>
      </c>
      <c r="H907" s="80" t="s">
        <v>6406</v>
      </c>
      <c r="I907" s="80" t="s">
        <v>6407</v>
      </c>
      <c r="J907" t="s">
        <v>5919</v>
      </c>
      <c r="K907" s="80" t="s">
        <v>6408</v>
      </c>
    </row>
    <row r="908" spans="1:13" x14ac:dyDescent="0.25">
      <c r="A908" s="123">
        <v>907</v>
      </c>
      <c r="B908" s="10">
        <v>1051</v>
      </c>
      <c r="C908" s="125" t="s">
        <v>186</v>
      </c>
      <c r="D908" t="s">
        <v>2499</v>
      </c>
      <c r="E908" s="80" t="s">
        <v>6409</v>
      </c>
      <c r="F908" t="s">
        <v>6410</v>
      </c>
      <c r="G908" t="s">
        <v>6082</v>
      </c>
      <c r="H908" s="80" t="s">
        <v>6411</v>
      </c>
      <c r="I908" s="80" t="s">
        <v>6412</v>
      </c>
      <c r="J908" t="s">
        <v>6175</v>
      </c>
      <c r="K908" s="80" t="s">
        <v>6413</v>
      </c>
      <c r="M908" s="50"/>
    </row>
    <row r="909" spans="1:13" x14ac:dyDescent="0.25">
      <c r="A909" s="123">
        <v>908</v>
      </c>
      <c r="B909" s="10">
        <v>1051</v>
      </c>
      <c r="C909" s="125" t="s">
        <v>188</v>
      </c>
      <c r="D909" t="s">
        <v>6402</v>
      </c>
      <c r="E909" s="80" t="s">
        <v>6414</v>
      </c>
      <c r="F909" t="s">
        <v>6415</v>
      </c>
      <c r="G909" t="s">
        <v>5635</v>
      </c>
      <c r="H909" t="s">
        <v>6416</v>
      </c>
      <c r="I909" s="80" t="s">
        <v>6417</v>
      </c>
      <c r="J909" t="s">
        <v>6418</v>
      </c>
      <c r="K909" s="80" t="s">
        <v>6419</v>
      </c>
    </row>
    <row r="910" spans="1:13" x14ac:dyDescent="0.25">
      <c r="A910" s="123">
        <v>909</v>
      </c>
      <c r="B910" s="10">
        <v>1051</v>
      </c>
      <c r="C910" s="125" t="s">
        <v>182</v>
      </c>
      <c r="D910" t="s">
        <v>5387</v>
      </c>
      <c r="E910" t="s">
        <v>6420</v>
      </c>
      <c r="F910" t="s">
        <v>6421</v>
      </c>
      <c r="G910" t="s">
        <v>5670</v>
      </c>
      <c r="H910" t="s">
        <v>6422</v>
      </c>
      <c r="I910" s="80" t="s">
        <v>6423</v>
      </c>
      <c r="J910" t="s">
        <v>6258</v>
      </c>
      <c r="K910" t="s">
        <v>5418</v>
      </c>
    </row>
    <row r="911" spans="1:13" x14ac:dyDescent="0.25">
      <c r="A911" s="123">
        <v>910</v>
      </c>
      <c r="B911" s="10">
        <v>1051</v>
      </c>
      <c r="C911" s="127" t="s">
        <v>184</v>
      </c>
      <c r="D911" t="s">
        <v>5565</v>
      </c>
      <c r="E911" s="80" t="s">
        <v>6424</v>
      </c>
      <c r="F911" t="s">
        <v>6425</v>
      </c>
      <c r="G911" t="s">
        <v>5924</v>
      </c>
      <c r="H911" s="80" t="s">
        <v>6426</v>
      </c>
      <c r="I911" s="80" t="s">
        <v>6427</v>
      </c>
      <c r="J911" t="s">
        <v>5736</v>
      </c>
      <c r="K911" t="s">
        <v>6428</v>
      </c>
    </row>
    <row r="912" spans="1:13" x14ac:dyDescent="0.25">
      <c r="A912" s="123">
        <v>911</v>
      </c>
      <c r="B912" s="10">
        <v>1051</v>
      </c>
      <c r="C912" s="125" t="s">
        <v>187</v>
      </c>
      <c r="D912" t="s">
        <v>6429</v>
      </c>
      <c r="E912" s="80" t="s">
        <v>6165</v>
      </c>
      <c r="F912" t="s">
        <v>6430</v>
      </c>
      <c r="G912" t="s">
        <v>5681</v>
      </c>
      <c r="H912" s="80" t="s">
        <v>6431</v>
      </c>
      <c r="I912" s="80" t="s">
        <v>6432</v>
      </c>
      <c r="J912" t="s">
        <v>5912</v>
      </c>
      <c r="K912" s="80" t="s">
        <v>6433</v>
      </c>
    </row>
    <row r="913" spans="1:11" x14ac:dyDescent="0.25">
      <c r="A913" s="123">
        <v>912</v>
      </c>
      <c r="B913" s="10">
        <v>1051</v>
      </c>
      <c r="C913" s="125" t="s">
        <v>189</v>
      </c>
      <c r="D913" t="s">
        <v>6434</v>
      </c>
      <c r="E913" s="80" t="s">
        <v>6435</v>
      </c>
      <c r="F913" t="s">
        <v>6436</v>
      </c>
      <c r="G913">
        <v>274</v>
      </c>
      <c r="H913" s="80" t="s">
        <v>6437</v>
      </c>
      <c r="I913" s="80" t="s">
        <v>6438</v>
      </c>
      <c r="J913" t="s">
        <v>5718</v>
      </c>
      <c r="K913" s="80" t="s">
        <v>6439</v>
      </c>
    </row>
    <row r="914" spans="1:11" x14ac:dyDescent="0.25">
      <c r="A914" s="123">
        <v>913</v>
      </c>
      <c r="B914" s="10">
        <v>1052</v>
      </c>
      <c r="C914" s="125" t="s">
        <v>162</v>
      </c>
      <c r="D914" t="s">
        <v>6275</v>
      </c>
      <c r="E914" s="80" t="s">
        <v>6440</v>
      </c>
      <c r="F914" t="s">
        <v>6399</v>
      </c>
      <c r="G914" t="s">
        <v>5670</v>
      </c>
      <c r="H914" t="s">
        <v>5885</v>
      </c>
      <c r="I914" t="s">
        <v>6441</v>
      </c>
      <c r="J914" t="s">
        <v>5826</v>
      </c>
      <c r="K914" t="s">
        <v>3289</v>
      </c>
    </row>
    <row r="915" spans="1:11" x14ac:dyDescent="0.25">
      <c r="A915" s="123">
        <v>914</v>
      </c>
      <c r="B915" s="10">
        <v>1052</v>
      </c>
      <c r="C915" s="125" t="s">
        <v>170</v>
      </c>
      <c r="D915" t="s">
        <v>5571</v>
      </c>
      <c r="E915" t="s">
        <v>6442</v>
      </c>
      <c r="F915" t="s">
        <v>6241</v>
      </c>
      <c r="G915" t="s">
        <v>5670</v>
      </c>
      <c r="H915" t="s">
        <v>6443</v>
      </c>
      <c r="I915" s="80" t="s">
        <v>6444</v>
      </c>
      <c r="J915" t="s">
        <v>5993</v>
      </c>
      <c r="K915" t="s">
        <v>6445</v>
      </c>
    </row>
    <row r="916" spans="1:11" ht="15.75" thickBot="1" x14ac:dyDescent="0.3">
      <c r="A916" s="123">
        <v>915</v>
      </c>
      <c r="B916" s="10">
        <v>1052</v>
      </c>
      <c r="C916" s="125" t="s">
        <v>178</v>
      </c>
      <c r="D916" t="s">
        <v>6245</v>
      </c>
      <c r="E916" s="80" t="s">
        <v>6446</v>
      </c>
      <c r="F916" t="s">
        <v>6447</v>
      </c>
      <c r="G916" t="s">
        <v>5782</v>
      </c>
      <c r="H916" t="s">
        <v>6448</v>
      </c>
      <c r="I916" s="80" t="s">
        <v>6449</v>
      </c>
      <c r="J916" t="s">
        <v>6091</v>
      </c>
      <c r="K916">
        <v>2137</v>
      </c>
    </row>
    <row r="917" spans="1:11" x14ac:dyDescent="0.25">
      <c r="A917" s="123">
        <v>916</v>
      </c>
      <c r="B917" s="10">
        <v>1052</v>
      </c>
      <c r="C917" s="126" t="s">
        <v>163</v>
      </c>
      <c r="D917" t="s">
        <v>5547</v>
      </c>
      <c r="E917" s="80" t="s">
        <v>6450</v>
      </c>
      <c r="F917" t="s">
        <v>4185</v>
      </c>
      <c r="G917">
        <v>274</v>
      </c>
      <c r="H917" t="s">
        <v>6451</v>
      </c>
      <c r="I917" s="80" t="s">
        <v>6452</v>
      </c>
      <c r="J917" t="s">
        <v>6418</v>
      </c>
      <c r="K917" s="80" t="s">
        <v>6453</v>
      </c>
    </row>
    <row r="918" spans="1:11" x14ac:dyDescent="0.25">
      <c r="A918" s="123">
        <v>917</v>
      </c>
      <c r="B918" s="10">
        <v>1052</v>
      </c>
      <c r="C918" s="125" t="s">
        <v>181</v>
      </c>
      <c r="D918" t="s">
        <v>5540</v>
      </c>
      <c r="E918" s="80" t="s">
        <v>6454</v>
      </c>
      <c r="F918" t="s">
        <v>3065</v>
      </c>
      <c r="G918" t="s">
        <v>5389</v>
      </c>
      <c r="H918" t="s">
        <v>6455</v>
      </c>
      <c r="I918" t="s">
        <v>6456</v>
      </c>
      <c r="J918" t="s">
        <v>5805</v>
      </c>
      <c r="K918" t="s">
        <v>6457</v>
      </c>
    </row>
    <row r="919" spans="1:11" x14ac:dyDescent="0.25">
      <c r="A919" s="123">
        <v>918</v>
      </c>
      <c r="B919" s="10">
        <v>1052</v>
      </c>
      <c r="C919" s="125" t="s">
        <v>183</v>
      </c>
      <c r="D919" t="s">
        <v>6205</v>
      </c>
      <c r="E919" s="80" t="s">
        <v>6458</v>
      </c>
      <c r="F919">
        <v>392</v>
      </c>
      <c r="G919" t="s">
        <v>5402</v>
      </c>
      <c r="H919" t="s">
        <v>6459</v>
      </c>
      <c r="I919" s="80" t="s">
        <v>6460</v>
      </c>
      <c r="J919" t="s">
        <v>6210</v>
      </c>
      <c r="K919" s="80" t="s">
        <v>6461</v>
      </c>
    </row>
    <row r="920" spans="1:11" x14ac:dyDescent="0.25">
      <c r="A920" s="123">
        <v>919</v>
      </c>
      <c r="B920" s="10">
        <v>1052</v>
      </c>
      <c r="C920" s="125" t="s">
        <v>186</v>
      </c>
      <c r="D920" t="s">
        <v>6462</v>
      </c>
      <c r="E920" s="80" t="s">
        <v>6463</v>
      </c>
      <c r="F920" t="s">
        <v>6464</v>
      </c>
      <c r="G920" t="s">
        <v>5708</v>
      </c>
      <c r="H920" s="80" t="s">
        <v>6465</v>
      </c>
      <c r="I920" s="80" t="s">
        <v>6466</v>
      </c>
      <c r="J920" t="s">
        <v>6040</v>
      </c>
      <c r="K920" s="80" t="s">
        <v>6467</v>
      </c>
    </row>
    <row r="921" spans="1:11" x14ac:dyDescent="0.25">
      <c r="A921" s="123">
        <v>920</v>
      </c>
      <c r="B921" s="10">
        <v>1052</v>
      </c>
      <c r="C921" s="125" t="s">
        <v>188</v>
      </c>
      <c r="D921" t="s">
        <v>5547</v>
      </c>
      <c r="E921" s="80" t="s">
        <v>6468</v>
      </c>
      <c r="F921" t="s">
        <v>6469</v>
      </c>
      <c r="G921" t="s">
        <v>5317</v>
      </c>
      <c r="H921" t="s">
        <v>6470</v>
      </c>
      <c r="I921" s="80" t="s">
        <v>6471</v>
      </c>
      <c r="J921" t="s">
        <v>6210</v>
      </c>
      <c r="K921" s="80" t="s">
        <v>6472</v>
      </c>
    </row>
    <row r="922" spans="1:11" x14ac:dyDescent="0.25">
      <c r="A922" s="123">
        <v>921</v>
      </c>
      <c r="B922" s="10">
        <v>1052</v>
      </c>
      <c r="C922" s="125" t="s">
        <v>182</v>
      </c>
      <c r="D922" t="s">
        <v>5463</v>
      </c>
      <c r="E922" t="s">
        <v>6473</v>
      </c>
      <c r="F922" t="s">
        <v>6474</v>
      </c>
      <c r="G922" t="s">
        <v>5247</v>
      </c>
      <c r="H922" t="s">
        <v>583</v>
      </c>
      <c r="I922" t="s">
        <v>6475</v>
      </c>
      <c r="J922" t="s">
        <v>6015</v>
      </c>
      <c r="K922" s="80" t="s">
        <v>2380</v>
      </c>
    </row>
    <row r="923" spans="1:11" x14ac:dyDescent="0.25">
      <c r="A923" s="123">
        <v>922</v>
      </c>
      <c r="B923" s="10">
        <v>1052</v>
      </c>
      <c r="C923" s="127" t="s">
        <v>184</v>
      </c>
      <c r="D923" t="s">
        <v>5336</v>
      </c>
      <c r="E923" s="80" t="s">
        <v>6476</v>
      </c>
      <c r="F923" t="s">
        <v>6477</v>
      </c>
      <c r="G923" t="s">
        <v>5868</v>
      </c>
      <c r="H923" t="s">
        <v>6478</v>
      </c>
      <c r="I923" s="80" t="s">
        <v>6479</v>
      </c>
      <c r="J923" t="s">
        <v>5230</v>
      </c>
      <c r="K923" t="s">
        <v>6480</v>
      </c>
    </row>
    <row r="924" spans="1:11" x14ac:dyDescent="0.25">
      <c r="A924" s="123">
        <v>923</v>
      </c>
      <c r="B924" s="10">
        <v>1052</v>
      </c>
      <c r="C924" s="125" t="s">
        <v>187</v>
      </c>
      <c r="D924" t="s">
        <v>5274</v>
      </c>
      <c r="E924" s="80" t="s">
        <v>6481</v>
      </c>
      <c r="F924" t="s">
        <v>6482</v>
      </c>
      <c r="G924" t="s">
        <v>5446</v>
      </c>
      <c r="H924" t="s">
        <v>6483</v>
      </c>
      <c r="I924" s="80" t="s">
        <v>6484</v>
      </c>
      <c r="J924" t="s">
        <v>6314</v>
      </c>
      <c r="K924" t="s">
        <v>6485</v>
      </c>
    </row>
    <row r="925" spans="1:11" x14ac:dyDescent="0.25">
      <c r="A925" s="123">
        <v>924</v>
      </c>
      <c r="B925" s="10">
        <v>1052</v>
      </c>
      <c r="C925" s="125" t="s">
        <v>189</v>
      </c>
      <c r="D925" t="s">
        <v>5494</v>
      </c>
      <c r="E925" s="80" t="s">
        <v>6486</v>
      </c>
      <c r="F925" t="s">
        <v>6487</v>
      </c>
      <c r="G925" t="s">
        <v>5389</v>
      </c>
      <c r="H925" t="s">
        <v>6488</v>
      </c>
      <c r="I925" s="80" t="s">
        <v>6489</v>
      </c>
      <c r="J925" t="s">
        <v>2248</v>
      </c>
      <c r="K925" t="s">
        <v>6490</v>
      </c>
    </row>
    <row r="926" spans="1:11" x14ac:dyDescent="0.25">
      <c r="A926" s="123">
        <v>925</v>
      </c>
      <c r="B926" s="10">
        <v>1053</v>
      </c>
      <c r="C926" s="125" t="s">
        <v>162</v>
      </c>
      <c r="D926" t="s">
        <v>5348</v>
      </c>
      <c r="E926" s="80" t="s">
        <v>6491</v>
      </c>
      <c r="F926" t="s">
        <v>2384</v>
      </c>
      <c r="G926" t="s">
        <v>5351</v>
      </c>
      <c r="H926" t="s">
        <v>6492</v>
      </c>
      <c r="I926" t="s">
        <v>6493</v>
      </c>
      <c r="J926" t="s">
        <v>5845</v>
      </c>
      <c r="K926" t="s">
        <v>6494</v>
      </c>
    </row>
    <row r="927" spans="1:11" x14ac:dyDescent="0.25">
      <c r="A927" s="123">
        <v>926</v>
      </c>
      <c r="B927" s="10">
        <v>1053</v>
      </c>
      <c r="C927" s="125" t="s">
        <v>170</v>
      </c>
      <c r="D927" t="s">
        <v>5565</v>
      </c>
      <c r="E927" s="80" t="s">
        <v>6495</v>
      </c>
      <c r="F927" t="s">
        <v>6496</v>
      </c>
      <c r="G927" t="s">
        <v>5478</v>
      </c>
      <c r="H927" t="s">
        <v>6497</v>
      </c>
      <c r="I927" s="80" t="s">
        <v>6498</v>
      </c>
      <c r="J927" t="s">
        <v>5327</v>
      </c>
      <c r="K927" t="s">
        <v>6499</v>
      </c>
    </row>
    <row r="928" spans="1:11" ht="15.75" thickBot="1" x14ac:dyDescent="0.3">
      <c r="A928" s="123">
        <v>927</v>
      </c>
      <c r="B928" s="10">
        <v>1053</v>
      </c>
      <c r="C928" s="125" t="s">
        <v>178</v>
      </c>
      <c r="D928" t="s">
        <v>2499</v>
      </c>
      <c r="E928" s="80" t="s">
        <v>6500</v>
      </c>
      <c r="F928" t="s">
        <v>6501</v>
      </c>
      <c r="G928" t="s">
        <v>5478</v>
      </c>
      <c r="H928" s="80" t="s">
        <v>6502</v>
      </c>
      <c r="I928" s="80" t="s">
        <v>6503</v>
      </c>
      <c r="J928" t="s">
        <v>6210</v>
      </c>
      <c r="K928" t="s">
        <v>6504</v>
      </c>
    </row>
    <row r="929" spans="1:11" x14ac:dyDescent="0.25">
      <c r="A929" s="123">
        <v>928</v>
      </c>
      <c r="B929" s="10">
        <v>1053</v>
      </c>
      <c r="C929" s="126" t="s">
        <v>163</v>
      </c>
      <c r="D929" t="s">
        <v>5547</v>
      </c>
      <c r="E929" s="80" t="s">
        <v>6505</v>
      </c>
      <c r="F929" t="s">
        <v>6506</v>
      </c>
      <c r="G929" t="s">
        <v>5343</v>
      </c>
      <c r="H929" t="s">
        <v>6507</v>
      </c>
      <c r="I929" s="80" t="s">
        <v>6508</v>
      </c>
      <c r="J929" t="s">
        <v>5354</v>
      </c>
      <c r="K929" s="80" t="s">
        <v>6509</v>
      </c>
    </row>
    <row r="930" spans="1:11" x14ac:dyDescent="0.25">
      <c r="A930" s="123">
        <v>929</v>
      </c>
      <c r="B930" s="10">
        <v>1053</v>
      </c>
      <c r="C930" s="125" t="s">
        <v>181</v>
      </c>
      <c r="D930" t="s">
        <v>5340</v>
      </c>
      <c r="E930" s="80" t="s">
        <v>6510</v>
      </c>
      <c r="F930" t="s">
        <v>5312</v>
      </c>
      <c r="G930" t="s">
        <v>5446</v>
      </c>
      <c r="H930" t="s">
        <v>6511</v>
      </c>
      <c r="I930" t="s">
        <v>6512</v>
      </c>
      <c r="J930" t="s">
        <v>5299</v>
      </c>
      <c r="K930" t="s">
        <v>3262</v>
      </c>
    </row>
    <row r="931" spans="1:11" x14ac:dyDescent="0.25">
      <c r="A931" s="123">
        <v>930</v>
      </c>
      <c r="B931" s="10">
        <v>1053</v>
      </c>
      <c r="C931" s="125" t="s">
        <v>183</v>
      </c>
      <c r="D931" t="s">
        <v>2499</v>
      </c>
      <c r="E931" s="80" t="s">
        <v>6513</v>
      </c>
      <c r="F931" t="s">
        <v>6514</v>
      </c>
      <c r="G931" t="s">
        <v>5324</v>
      </c>
      <c r="H931" t="s">
        <v>6515</v>
      </c>
      <c r="I931" s="80" t="s">
        <v>6516</v>
      </c>
      <c r="J931" t="s">
        <v>5692</v>
      </c>
      <c r="K931" t="s">
        <v>6517</v>
      </c>
    </row>
    <row r="932" spans="1:11" x14ac:dyDescent="0.25">
      <c r="A932" s="123">
        <v>931</v>
      </c>
      <c r="B932" s="10">
        <v>1053</v>
      </c>
      <c r="C932" s="125" t="s">
        <v>186</v>
      </c>
      <c r="D932" t="s">
        <v>5287</v>
      </c>
      <c r="E932" s="80" t="s">
        <v>6518</v>
      </c>
      <c r="F932" s="111" t="s">
        <v>6519</v>
      </c>
      <c r="G932" t="s">
        <v>6520</v>
      </c>
      <c r="H932" s="80" t="s">
        <v>6521</v>
      </c>
      <c r="I932" s="80" t="s">
        <v>6522</v>
      </c>
      <c r="J932" t="s">
        <v>5919</v>
      </c>
      <c r="K932" s="80" t="s">
        <v>6523</v>
      </c>
    </row>
    <row r="933" spans="1:11" x14ac:dyDescent="0.25">
      <c r="A933" s="123">
        <v>932</v>
      </c>
      <c r="B933" s="10">
        <v>1053</v>
      </c>
      <c r="C933" s="125" t="s">
        <v>188</v>
      </c>
      <c r="D933" t="s">
        <v>5475</v>
      </c>
      <c r="E933" s="80" t="s">
        <v>6524</v>
      </c>
      <c r="F933" t="s">
        <v>6525</v>
      </c>
      <c r="G933" t="s">
        <v>6082</v>
      </c>
      <c r="H933" t="s">
        <v>6526</v>
      </c>
      <c r="I933" s="80" t="s">
        <v>6527</v>
      </c>
      <c r="J933" t="s">
        <v>6040</v>
      </c>
      <c r="K933" t="s">
        <v>6528</v>
      </c>
    </row>
    <row r="934" spans="1:11" x14ac:dyDescent="0.25">
      <c r="A934" s="123">
        <v>933</v>
      </c>
      <c r="B934" s="10">
        <v>1053</v>
      </c>
      <c r="C934" s="125" t="s">
        <v>182</v>
      </c>
      <c r="D934" t="s">
        <v>3232</v>
      </c>
      <c r="E934" t="s">
        <v>6529</v>
      </c>
      <c r="F934" t="s">
        <v>6530</v>
      </c>
      <c r="G934" t="s">
        <v>6047</v>
      </c>
      <c r="H934" t="s">
        <v>5286</v>
      </c>
      <c r="I934" t="s">
        <v>6531</v>
      </c>
      <c r="J934" t="s">
        <v>6532</v>
      </c>
      <c r="K934" t="s">
        <v>5286</v>
      </c>
    </row>
    <row r="935" spans="1:11" x14ac:dyDescent="0.25">
      <c r="A935" s="123">
        <v>934</v>
      </c>
      <c r="B935" s="10">
        <v>1053</v>
      </c>
      <c r="C935" s="127" t="s">
        <v>184</v>
      </c>
      <c r="D935" t="s">
        <v>5540</v>
      </c>
      <c r="E935" s="80" t="s">
        <v>6533</v>
      </c>
      <c r="F935" t="s">
        <v>3118</v>
      </c>
      <c r="G935" t="s">
        <v>5471</v>
      </c>
      <c r="H935" t="s">
        <v>5248</v>
      </c>
      <c r="I935" s="80" t="s">
        <v>6534</v>
      </c>
      <c r="J935" t="s">
        <v>5876</v>
      </c>
      <c r="K935" t="s">
        <v>6535</v>
      </c>
    </row>
    <row r="936" spans="1:11" x14ac:dyDescent="0.25">
      <c r="A936" s="123">
        <v>935</v>
      </c>
      <c r="B936" s="10">
        <v>1053</v>
      </c>
      <c r="C936" s="125" t="s">
        <v>187</v>
      </c>
      <c r="D936" t="s">
        <v>6536</v>
      </c>
      <c r="E936" s="80" t="s">
        <v>6537</v>
      </c>
      <c r="F936" t="s">
        <v>6538</v>
      </c>
      <c r="G936" t="s">
        <v>5324</v>
      </c>
      <c r="H936" s="80" t="s">
        <v>6539</v>
      </c>
      <c r="I936" s="80" t="s">
        <v>6540</v>
      </c>
      <c r="J936" t="s">
        <v>5346</v>
      </c>
      <c r="K936" t="s">
        <v>6541</v>
      </c>
    </row>
    <row r="937" spans="1:11" x14ac:dyDescent="0.25">
      <c r="A937" s="123">
        <v>936</v>
      </c>
      <c r="B937" s="10">
        <v>1053</v>
      </c>
      <c r="C937" s="125" t="s">
        <v>189</v>
      </c>
      <c r="D937" t="s">
        <v>5475</v>
      </c>
      <c r="E937" s="80" t="s">
        <v>6542</v>
      </c>
      <c r="F937" t="s">
        <v>6543</v>
      </c>
      <c r="G937" t="s">
        <v>5782</v>
      </c>
      <c r="H937" t="s">
        <v>6544</v>
      </c>
      <c r="I937" s="80" t="s">
        <v>6545</v>
      </c>
      <c r="J937" t="s">
        <v>6091</v>
      </c>
      <c r="K937" t="s">
        <v>6546</v>
      </c>
    </row>
    <row r="938" spans="1:11" x14ac:dyDescent="0.25">
      <c r="A938" s="123">
        <v>937</v>
      </c>
      <c r="B938" s="10">
        <v>1054</v>
      </c>
      <c r="C938" s="125" t="s">
        <v>162</v>
      </c>
      <c r="D938" t="s">
        <v>5387</v>
      </c>
      <c r="E938" s="80" t="s">
        <v>6547</v>
      </c>
      <c r="F938" t="s">
        <v>2382</v>
      </c>
      <c r="G938" t="s">
        <v>5389</v>
      </c>
      <c r="H938" t="s">
        <v>6257</v>
      </c>
      <c r="I938" t="s">
        <v>1740</v>
      </c>
      <c r="J938" t="s">
        <v>6258</v>
      </c>
      <c r="K938" t="s">
        <v>5151</v>
      </c>
    </row>
    <row r="939" spans="1:11" x14ac:dyDescent="0.25">
      <c r="A939" s="123">
        <v>938</v>
      </c>
      <c r="B939" s="10">
        <v>1054</v>
      </c>
      <c r="C939" s="125" t="s">
        <v>170</v>
      </c>
      <c r="D939" t="s">
        <v>6548</v>
      </c>
      <c r="E939" s="80" t="s">
        <v>6549</v>
      </c>
      <c r="F939" t="s">
        <v>6550</v>
      </c>
      <c r="G939" t="s">
        <v>5507</v>
      </c>
      <c r="H939" t="s">
        <v>6551</v>
      </c>
      <c r="I939" s="80" t="s">
        <v>6552</v>
      </c>
      <c r="J939" t="s">
        <v>5876</v>
      </c>
      <c r="K939" t="s">
        <v>6553</v>
      </c>
    </row>
    <row r="940" spans="1:11" ht="15.75" thickBot="1" x14ac:dyDescent="0.3">
      <c r="A940" s="123">
        <v>939</v>
      </c>
      <c r="B940" s="10">
        <v>1054</v>
      </c>
      <c r="C940" s="125" t="s">
        <v>178</v>
      </c>
      <c r="D940" t="s">
        <v>6554</v>
      </c>
      <c r="E940" s="80" t="s">
        <v>6555</v>
      </c>
      <c r="F940" t="s">
        <v>6556</v>
      </c>
      <c r="G940" t="s">
        <v>5924</v>
      </c>
      <c r="H940" s="80" t="s">
        <v>6557</v>
      </c>
      <c r="I940" s="80" t="s">
        <v>6558</v>
      </c>
      <c r="J940" t="s">
        <v>5736</v>
      </c>
      <c r="K940" t="s">
        <v>6559</v>
      </c>
    </row>
    <row r="941" spans="1:11" x14ac:dyDescent="0.25">
      <c r="A941" s="123">
        <v>940</v>
      </c>
      <c r="B941" s="10">
        <v>1054</v>
      </c>
      <c r="C941" s="126" t="s">
        <v>163</v>
      </c>
      <c r="D941" t="s">
        <v>6560</v>
      </c>
      <c r="E941" s="80" t="s">
        <v>6561</v>
      </c>
      <c r="F941" t="s">
        <v>6562</v>
      </c>
      <c r="G941" t="s">
        <v>5782</v>
      </c>
      <c r="H941" t="s">
        <v>6563</v>
      </c>
      <c r="I941" s="80" t="s">
        <v>6564</v>
      </c>
      <c r="J941" t="s">
        <v>5354</v>
      </c>
      <c r="K941" s="80" t="s">
        <v>6565</v>
      </c>
    </row>
    <row r="942" spans="1:11" x14ac:dyDescent="0.25">
      <c r="A942" s="123">
        <v>941</v>
      </c>
      <c r="B942" s="10">
        <v>1054</v>
      </c>
      <c r="C942" s="125" t="s">
        <v>181</v>
      </c>
      <c r="D942" t="s">
        <v>5571</v>
      </c>
      <c r="E942" s="80" t="s">
        <v>6566</v>
      </c>
      <c r="F942" t="s">
        <v>5516</v>
      </c>
      <c r="G942" t="s">
        <v>5727</v>
      </c>
      <c r="H942" t="s">
        <v>6567</v>
      </c>
      <c r="I942" t="s">
        <v>6568</v>
      </c>
      <c r="J942" t="s">
        <v>6569</v>
      </c>
      <c r="K942" t="s">
        <v>6570</v>
      </c>
    </row>
    <row r="943" spans="1:11" x14ac:dyDescent="0.25">
      <c r="A943" s="123">
        <v>942</v>
      </c>
      <c r="B943" s="10">
        <v>1054</v>
      </c>
      <c r="C943" s="125" t="s">
        <v>183</v>
      </c>
      <c r="D943" t="s">
        <v>5348</v>
      </c>
      <c r="E943" s="80" t="s">
        <v>6571</v>
      </c>
      <c r="F943" t="s">
        <v>6572</v>
      </c>
      <c r="G943" t="s">
        <v>5782</v>
      </c>
      <c r="H943" t="s">
        <v>6573</v>
      </c>
      <c r="I943" s="80" t="s">
        <v>6574</v>
      </c>
      <c r="J943" t="s">
        <v>5354</v>
      </c>
      <c r="K943" s="80" t="s">
        <v>6575</v>
      </c>
    </row>
    <row r="944" spans="1:11" x14ac:dyDescent="0.25">
      <c r="A944" s="123">
        <v>943</v>
      </c>
      <c r="B944" s="10">
        <v>1054</v>
      </c>
      <c r="C944" s="125" t="s">
        <v>186</v>
      </c>
      <c r="D944" t="s">
        <v>6576</v>
      </c>
      <c r="E944" t="s">
        <v>6577</v>
      </c>
      <c r="F944" t="s">
        <v>6578</v>
      </c>
      <c r="G944" t="s">
        <v>5351</v>
      </c>
      <c r="H944" s="80" t="s">
        <v>6579</v>
      </c>
      <c r="I944" s="80" t="s">
        <v>6580</v>
      </c>
      <c r="J944" t="s">
        <v>5272</v>
      </c>
      <c r="K944" s="80" t="s">
        <v>6581</v>
      </c>
    </row>
    <row r="945" spans="1:18" x14ac:dyDescent="0.25">
      <c r="A945" s="123">
        <v>944</v>
      </c>
      <c r="B945" s="10">
        <v>1054</v>
      </c>
      <c r="C945" s="125" t="s">
        <v>188</v>
      </c>
      <c r="D945" t="s">
        <v>5267</v>
      </c>
      <c r="E945" s="80" t="s">
        <v>6582</v>
      </c>
      <c r="F945" t="s">
        <v>6583</v>
      </c>
      <c r="G945" t="s">
        <v>5507</v>
      </c>
      <c r="H945" t="s">
        <v>6584</v>
      </c>
      <c r="I945" s="80" t="s">
        <v>6585</v>
      </c>
      <c r="J945" t="s">
        <v>6118</v>
      </c>
      <c r="K945" s="80" t="s">
        <v>6586</v>
      </c>
    </row>
    <row r="946" spans="1:18" x14ac:dyDescent="0.25">
      <c r="A946" s="123">
        <v>945</v>
      </c>
      <c r="B946" s="10">
        <v>1054</v>
      </c>
      <c r="C946" s="125" t="s">
        <v>182</v>
      </c>
      <c r="D946" t="s">
        <v>6531</v>
      </c>
      <c r="E946" t="s">
        <v>6587</v>
      </c>
      <c r="F946" t="s">
        <v>5721</v>
      </c>
      <c r="G946" t="s">
        <v>5227</v>
      </c>
      <c r="H946" t="s">
        <v>6588</v>
      </c>
      <c r="I946" t="s">
        <v>6589</v>
      </c>
      <c r="J946" t="s">
        <v>6300</v>
      </c>
      <c r="K946" t="s">
        <v>1857</v>
      </c>
      <c r="N946" s="50"/>
      <c r="O946" s="50"/>
      <c r="P946" s="50"/>
      <c r="Q946" s="50"/>
      <c r="R946" s="50"/>
    </row>
    <row r="947" spans="1:18" x14ac:dyDescent="0.25">
      <c r="A947" s="123">
        <v>946</v>
      </c>
      <c r="B947" s="10">
        <v>1054</v>
      </c>
      <c r="C947" s="127" t="s">
        <v>184</v>
      </c>
      <c r="D947" t="s">
        <v>6590</v>
      </c>
      <c r="E947" t="s">
        <v>6591</v>
      </c>
      <c r="F947" t="s">
        <v>6592</v>
      </c>
      <c r="G947" t="s">
        <v>5389</v>
      </c>
      <c r="H947" t="s">
        <v>6593</v>
      </c>
      <c r="I947" s="80" t="s">
        <v>6594</v>
      </c>
      <c r="J947" t="s">
        <v>5876</v>
      </c>
      <c r="K947" t="s">
        <v>6595</v>
      </c>
    </row>
    <row r="948" spans="1:18" x14ac:dyDescent="0.25">
      <c r="A948" s="123">
        <v>947</v>
      </c>
      <c r="B948" s="10">
        <v>1054</v>
      </c>
      <c r="C948" s="125" t="s">
        <v>187</v>
      </c>
      <c r="D948" t="s">
        <v>6596</v>
      </c>
      <c r="E948" t="s">
        <v>6597</v>
      </c>
      <c r="F948" t="s">
        <v>6598</v>
      </c>
      <c r="G948" t="s">
        <v>5471</v>
      </c>
      <c r="H948" t="s">
        <v>6599</v>
      </c>
      <c r="I948" s="80" t="s">
        <v>6600</v>
      </c>
      <c r="J948" t="s">
        <v>5876</v>
      </c>
      <c r="K948" t="s">
        <v>6601</v>
      </c>
    </row>
    <row r="949" spans="1:18" x14ac:dyDescent="0.25">
      <c r="A949" s="123">
        <v>948</v>
      </c>
      <c r="B949" s="10">
        <v>1054</v>
      </c>
      <c r="C949" s="125" t="s">
        <v>189</v>
      </c>
      <c r="D949" t="s">
        <v>6602</v>
      </c>
      <c r="E949">
        <v>17972</v>
      </c>
      <c r="F949" t="s">
        <v>3289</v>
      </c>
      <c r="G949" t="s">
        <v>5446</v>
      </c>
      <c r="H949" t="s">
        <v>6603</v>
      </c>
      <c r="I949" s="80" t="s">
        <v>6604</v>
      </c>
      <c r="J949" t="s">
        <v>5346</v>
      </c>
      <c r="K949" s="80" t="s">
        <v>6605</v>
      </c>
    </row>
    <row r="950" spans="1:18" x14ac:dyDescent="0.25">
      <c r="A950" s="123">
        <v>949</v>
      </c>
      <c r="B950" s="10">
        <v>1055</v>
      </c>
      <c r="C950" s="125" t="s">
        <v>162</v>
      </c>
      <c r="D950" t="s">
        <v>5340</v>
      </c>
      <c r="E950" s="80" t="s">
        <v>6606</v>
      </c>
      <c r="F950" t="s">
        <v>5949</v>
      </c>
      <c r="G950" t="s">
        <v>5376</v>
      </c>
      <c r="H950" t="s">
        <v>6607</v>
      </c>
      <c r="I950" t="s">
        <v>6608</v>
      </c>
      <c r="J950" t="s">
        <v>4908</v>
      </c>
      <c r="K950" t="s">
        <v>6609</v>
      </c>
    </row>
    <row r="951" spans="1:18" x14ac:dyDescent="0.25">
      <c r="A951" s="123">
        <v>950</v>
      </c>
      <c r="B951" s="10">
        <v>1055</v>
      </c>
      <c r="C951" s="125" t="s">
        <v>170</v>
      </c>
      <c r="D951" t="s">
        <v>5252</v>
      </c>
      <c r="E951" s="80" t="s">
        <v>6610</v>
      </c>
      <c r="F951" t="s">
        <v>6611</v>
      </c>
      <c r="G951" t="s">
        <v>5395</v>
      </c>
      <c r="H951" t="s">
        <v>6612</v>
      </c>
      <c r="I951" s="80" t="s">
        <v>6613</v>
      </c>
      <c r="J951" t="s">
        <v>2248</v>
      </c>
      <c r="K951" t="s">
        <v>6614</v>
      </c>
    </row>
    <row r="952" spans="1:18" ht="15.75" thickBot="1" x14ac:dyDescent="0.3">
      <c r="A952" s="123">
        <v>951</v>
      </c>
      <c r="B952" s="10">
        <v>1055</v>
      </c>
      <c r="C952" s="125" t="s">
        <v>178</v>
      </c>
      <c r="D952" t="s">
        <v>5424</v>
      </c>
      <c r="E952" s="80" t="s">
        <v>6440</v>
      </c>
      <c r="F952" t="s">
        <v>6615</v>
      </c>
      <c r="G952" t="s">
        <v>5317</v>
      </c>
      <c r="H952" t="s">
        <v>6616</v>
      </c>
      <c r="I952" s="80" t="s">
        <v>6617</v>
      </c>
      <c r="J952" t="s">
        <v>6314</v>
      </c>
      <c r="K952" t="s">
        <v>6618</v>
      </c>
    </row>
    <row r="953" spans="1:18" s="50" customFormat="1" x14ac:dyDescent="0.25">
      <c r="A953" s="128">
        <v>952</v>
      </c>
      <c r="B953" s="49">
        <v>1055</v>
      </c>
      <c r="C953" s="129" t="s">
        <v>163</v>
      </c>
      <c r="D953" s="50" t="s">
        <v>5424</v>
      </c>
      <c r="E953" s="88" t="s">
        <v>6619</v>
      </c>
      <c r="F953" s="50" t="s">
        <v>6620</v>
      </c>
      <c r="G953" s="50" t="s">
        <v>5635</v>
      </c>
      <c r="H953" s="50" t="s">
        <v>6621</v>
      </c>
      <c r="I953" s="88" t="s">
        <v>6622</v>
      </c>
      <c r="J953" s="50" t="s">
        <v>5272</v>
      </c>
      <c r="K953" s="50" t="s">
        <v>6623</v>
      </c>
      <c r="M953"/>
      <c r="N953"/>
      <c r="O953"/>
      <c r="P953"/>
      <c r="Q953"/>
      <c r="R953"/>
    </row>
    <row r="954" spans="1:18" x14ac:dyDescent="0.25">
      <c r="A954" s="123">
        <v>953</v>
      </c>
      <c r="B954" s="10">
        <v>1055</v>
      </c>
      <c r="C954" s="125" t="s">
        <v>181</v>
      </c>
      <c r="D954" t="s">
        <v>5314</v>
      </c>
      <c r="E954" s="80" t="s">
        <v>6624</v>
      </c>
      <c r="F954" t="s">
        <v>5303</v>
      </c>
      <c r="G954" t="s">
        <v>5262</v>
      </c>
      <c r="H954" t="s">
        <v>6625</v>
      </c>
      <c r="I954" t="s">
        <v>6626</v>
      </c>
      <c r="J954" t="s">
        <v>4908</v>
      </c>
      <c r="K954" t="s">
        <v>6627</v>
      </c>
    </row>
    <row r="955" spans="1:18" x14ac:dyDescent="0.25">
      <c r="A955" s="123">
        <v>954</v>
      </c>
      <c r="B955" s="10">
        <v>1055</v>
      </c>
      <c r="C955" s="125" t="s">
        <v>183</v>
      </c>
      <c r="D955" t="s">
        <v>5565</v>
      </c>
      <c r="E955" s="80" t="s">
        <v>6628</v>
      </c>
      <c r="F955" t="s">
        <v>6629</v>
      </c>
      <c r="G955" t="s">
        <v>5507</v>
      </c>
      <c r="H955" t="s">
        <v>6630</v>
      </c>
      <c r="I955" s="80" t="s">
        <v>6631</v>
      </c>
      <c r="J955" t="s">
        <v>5265</v>
      </c>
      <c r="K955" t="s">
        <v>6632</v>
      </c>
    </row>
    <row r="956" spans="1:18" x14ac:dyDescent="0.25">
      <c r="A956" s="123">
        <v>955</v>
      </c>
      <c r="B956" s="10">
        <v>1055</v>
      </c>
      <c r="C956" s="125" t="s">
        <v>186</v>
      </c>
      <c r="D956" t="s">
        <v>5424</v>
      </c>
      <c r="E956" s="80" t="s">
        <v>6633</v>
      </c>
      <c r="F956" t="s">
        <v>6634</v>
      </c>
      <c r="G956" t="s">
        <v>5478</v>
      </c>
      <c r="H956" t="s">
        <v>6635</v>
      </c>
      <c r="I956" s="80" t="s">
        <v>6636</v>
      </c>
      <c r="J956" t="s">
        <v>5558</v>
      </c>
      <c r="K956" t="s">
        <v>6637</v>
      </c>
    </row>
    <row r="957" spans="1:18" x14ac:dyDescent="0.25">
      <c r="A957" s="123">
        <v>956</v>
      </c>
      <c r="B957" s="10">
        <v>1055</v>
      </c>
      <c r="C957" s="125" t="s">
        <v>188</v>
      </c>
      <c r="D957" t="s">
        <v>5348</v>
      </c>
      <c r="E957" s="80" t="s">
        <v>6638</v>
      </c>
      <c r="F957" t="s">
        <v>6639</v>
      </c>
      <c r="G957" t="s">
        <v>5317</v>
      </c>
      <c r="H957" t="s">
        <v>6640</v>
      </c>
      <c r="I957" s="80" t="s">
        <v>6641</v>
      </c>
      <c r="J957" t="s">
        <v>5510</v>
      </c>
      <c r="K957" t="s">
        <v>6642</v>
      </c>
    </row>
    <row r="958" spans="1:18" x14ac:dyDescent="0.25">
      <c r="A958" s="123">
        <v>957</v>
      </c>
      <c r="B958" s="10">
        <v>1055</v>
      </c>
      <c r="C958" s="125" t="s">
        <v>182</v>
      </c>
      <c r="D958" s="80" t="s">
        <v>5582</v>
      </c>
      <c r="E958" t="s">
        <v>6643</v>
      </c>
      <c r="F958" s="80">
        <v>0</v>
      </c>
      <c r="G958" t="s">
        <v>5227</v>
      </c>
      <c r="H958" t="s">
        <v>583</v>
      </c>
      <c r="I958" t="s">
        <v>6644</v>
      </c>
      <c r="J958" t="s">
        <v>5605</v>
      </c>
      <c r="K958" t="s">
        <v>6645</v>
      </c>
    </row>
    <row r="959" spans="1:18" x14ac:dyDescent="0.25">
      <c r="A959" s="123">
        <v>958</v>
      </c>
      <c r="B959" s="10">
        <v>1055</v>
      </c>
      <c r="C959" s="127" t="s">
        <v>184</v>
      </c>
      <c r="D959" t="s">
        <v>5336</v>
      </c>
      <c r="E959" s="80" t="s">
        <v>6646</v>
      </c>
      <c r="F959" t="s">
        <v>6647</v>
      </c>
      <c r="G959" t="s">
        <v>5670</v>
      </c>
      <c r="H959" t="s">
        <v>6648</v>
      </c>
      <c r="I959" s="80" t="s">
        <v>6649</v>
      </c>
      <c r="J959" t="s">
        <v>6184</v>
      </c>
      <c r="K959" t="s">
        <v>3638</v>
      </c>
    </row>
    <row r="960" spans="1:18" x14ac:dyDescent="0.25">
      <c r="A960" s="123">
        <v>959</v>
      </c>
      <c r="B960" s="10">
        <v>1055</v>
      </c>
      <c r="C960" s="125" t="s">
        <v>187</v>
      </c>
      <c r="D960" t="s">
        <v>5348</v>
      </c>
      <c r="E960" s="80" t="s">
        <v>6650</v>
      </c>
      <c r="F960" t="s">
        <v>6651</v>
      </c>
      <c r="G960" t="s">
        <v>5507</v>
      </c>
      <c r="H960" t="s">
        <v>6652</v>
      </c>
      <c r="I960" s="80" t="s">
        <v>6653</v>
      </c>
      <c r="J960" t="s">
        <v>5327</v>
      </c>
      <c r="K960" t="s">
        <v>6654</v>
      </c>
    </row>
    <row r="961" spans="1:11" x14ac:dyDescent="0.25">
      <c r="A961" s="123">
        <v>960</v>
      </c>
      <c r="B961" s="10">
        <v>1055</v>
      </c>
      <c r="C961" s="125" t="s">
        <v>189</v>
      </c>
      <c r="D961" t="s">
        <v>4646</v>
      </c>
      <c r="E961" s="80" t="s">
        <v>6655</v>
      </c>
      <c r="F961" t="s">
        <v>6656</v>
      </c>
      <c r="G961" t="s">
        <v>5446</v>
      </c>
      <c r="H961" t="s">
        <v>6657</v>
      </c>
      <c r="I961" s="80" t="s">
        <v>6658</v>
      </c>
      <c r="J961" t="s">
        <v>2248</v>
      </c>
      <c r="K961" t="s">
        <v>6659</v>
      </c>
    </row>
    <row r="962" spans="1:11" x14ac:dyDescent="0.25">
      <c r="A962" s="123">
        <v>961</v>
      </c>
      <c r="B962" s="10">
        <v>1056</v>
      </c>
      <c r="C962" s="125" t="s">
        <v>162</v>
      </c>
      <c r="D962" s="80" t="s">
        <v>5582</v>
      </c>
      <c r="E962" t="s">
        <v>6660</v>
      </c>
      <c r="F962" t="s">
        <v>6475</v>
      </c>
      <c r="G962" t="s">
        <v>6047</v>
      </c>
      <c r="H962" t="s">
        <v>583</v>
      </c>
      <c r="I962" t="s">
        <v>6661</v>
      </c>
      <c r="J962" t="s">
        <v>5239</v>
      </c>
      <c r="K962" t="s">
        <v>2549</v>
      </c>
    </row>
    <row r="963" spans="1:11" x14ac:dyDescent="0.25">
      <c r="A963" s="123">
        <v>962</v>
      </c>
      <c r="B963" s="10">
        <v>1056</v>
      </c>
      <c r="C963" s="125" t="s">
        <v>170</v>
      </c>
      <c r="D963" t="s">
        <v>6662</v>
      </c>
      <c r="E963" t="s">
        <v>6663</v>
      </c>
      <c r="F963" t="s">
        <v>6664</v>
      </c>
      <c r="G963" t="s">
        <v>5304</v>
      </c>
      <c r="H963" t="s">
        <v>6665</v>
      </c>
      <c r="I963" s="80" t="s">
        <v>6666</v>
      </c>
      <c r="J963" t="s">
        <v>5250</v>
      </c>
      <c r="K963" t="s">
        <v>6667</v>
      </c>
    </row>
    <row r="964" spans="1:11" ht="15.75" thickBot="1" x14ac:dyDescent="0.3">
      <c r="A964" s="123">
        <v>963</v>
      </c>
      <c r="B964" s="10">
        <v>1056</v>
      </c>
      <c r="C964" s="125" t="s">
        <v>178</v>
      </c>
      <c r="D964" t="s">
        <v>5336</v>
      </c>
      <c r="E964" s="80" t="s">
        <v>6668</v>
      </c>
      <c r="F964" t="s">
        <v>6669</v>
      </c>
      <c r="G964" t="s">
        <v>5304</v>
      </c>
      <c r="H964" t="s">
        <v>6670</v>
      </c>
      <c r="I964" s="80" t="s">
        <v>6671</v>
      </c>
      <c r="J964" t="s">
        <v>5449</v>
      </c>
      <c r="K964" t="s">
        <v>6672</v>
      </c>
    </row>
    <row r="965" spans="1:11" x14ac:dyDescent="0.25">
      <c r="A965" s="123">
        <v>964</v>
      </c>
      <c r="B965" s="10">
        <v>1056</v>
      </c>
      <c r="C965" s="126" t="s">
        <v>163</v>
      </c>
      <c r="D965" t="s">
        <v>5232</v>
      </c>
      <c r="E965" s="80">
        <v>25757</v>
      </c>
      <c r="F965" t="s">
        <v>1956</v>
      </c>
      <c r="G965" t="s">
        <v>5670</v>
      </c>
      <c r="H965" t="s">
        <v>6673</v>
      </c>
      <c r="I965" s="80" t="s">
        <v>6674</v>
      </c>
      <c r="J965" t="s">
        <v>5993</v>
      </c>
      <c r="K965" t="s">
        <v>6675</v>
      </c>
    </row>
    <row r="966" spans="1:11" x14ac:dyDescent="0.25">
      <c r="A966" s="123">
        <v>965</v>
      </c>
      <c r="B966" s="10">
        <v>1056</v>
      </c>
      <c r="C966" s="125" t="s">
        <v>181</v>
      </c>
      <c r="D966" t="s">
        <v>2383</v>
      </c>
      <c r="E966" t="s">
        <v>6676</v>
      </c>
      <c r="F966" t="s">
        <v>5864</v>
      </c>
      <c r="G966" t="s">
        <v>5247</v>
      </c>
      <c r="H966" t="s">
        <v>6677</v>
      </c>
      <c r="I966" t="s">
        <v>6678</v>
      </c>
      <c r="J966" t="s">
        <v>2593</v>
      </c>
      <c r="K966" t="s">
        <v>6679</v>
      </c>
    </row>
    <row r="967" spans="1:11" x14ac:dyDescent="0.25">
      <c r="A967" s="123">
        <v>966</v>
      </c>
      <c r="B967" s="10">
        <v>1056</v>
      </c>
      <c r="C967" s="125" t="s">
        <v>183</v>
      </c>
      <c r="D967" t="s">
        <v>5274</v>
      </c>
      <c r="E967" s="80" t="s">
        <v>6680</v>
      </c>
      <c r="F967" t="s">
        <v>6681</v>
      </c>
      <c r="G967" t="s">
        <v>5446</v>
      </c>
      <c r="H967" t="s">
        <v>6682</v>
      </c>
      <c r="I967" s="80" t="s">
        <v>6683</v>
      </c>
      <c r="J967" t="s">
        <v>5805</v>
      </c>
      <c r="K967" t="s">
        <v>6684</v>
      </c>
    </row>
    <row r="968" spans="1:11" x14ac:dyDescent="0.25">
      <c r="A968" s="123">
        <v>967</v>
      </c>
      <c r="B968" s="10">
        <v>1056</v>
      </c>
      <c r="C968" s="125" t="s">
        <v>186</v>
      </c>
      <c r="D968" t="s">
        <v>5348</v>
      </c>
      <c r="E968" s="80" t="s">
        <v>6685</v>
      </c>
      <c r="F968" t="s">
        <v>6686</v>
      </c>
      <c r="G968" t="s">
        <v>5446</v>
      </c>
      <c r="H968" t="s">
        <v>6687</v>
      </c>
      <c r="I968" s="80" t="s">
        <v>6688</v>
      </c>
      <c r="J968" t="s">
        <v>5645</v>
      </c>
      <c r="K968" t="s">
        <v>6689</v>
      </c>
    </row>
    <row r="969" spans="1:11" x14ac:dyDescent="0.25">
      <c r="A969" s="123">
        <v>968</v>
      </c>
      <c r="B969" s="10">
        <v>1056</v>
      </c>
      <c r="C969" s="125" t="s">
        <v>188</v>
      </c>
      <c r="D969" t="s">
        <v>6275</v>
      </c>
      <c r="E969" s="80" t="s">
        <v>6690</v>
      </c>
      <c r="F969" t="s">
        <v>6691</v>
      </c>
      <c r="G969" t="s">
        <v>5670</v>
      </c>
      <c r="H969" t="s">
        <v>6692</v>
      </c>
      <c r="I969" s="80" t="s">
        <v>6693</v>
      </c>
      <c r="J969" t="s">
        <v>5449</v>
      </c>
      <c r="K969" t="s">
        <v>6694</v>
      </c>
    </row>
    <row r="970" spans="1:11" x14ac:dyDescent="0.25">
      <c r="A970" s="123">
        <v>969</v>
      </c>
      <c r="B970" s="10">
        <v>1056</v>
      </c>
      <c r="C970" s="125" t="s">
        <v>182</v>
      </c>
      <c r="D970" t="s">
        <v>583</v>
      </c>
      <c r="E970" t="s">
        <v>6695</v>
      </c>
      <c r="F970" t="s">
        <v>5602</v>
      </c>
      <c r="G970" s="80" t="s">
        <v>4296</v>
      </c>
      <c r="H970" s="80" t="s">
        <v>3068</v>
      </c>
      <c r="I970" t="s">
        <v>6696</v>
      </c>
      <c r="J970" t="s">
        <v>814</v>
      </c>
      <c r="K970" t="s">
        <v>5799</v>
      </c>
    </row>
    <row r="971" spans="1:11" x14ac:dyDescent="0.25">
      <c r="A971" s="123">
        <v>970</v>
      </c>
      <c r="B971" s="10">
        <v>1056</v>
      </c>
      <c r="C971" s="127" t="s">
        <v>184</v>
      </c>
      <c r="D971" t="s">
        <v>6697</v>
      </c>
      <c r="E971" t="s">
        <v>6698</v>
      </c>
      <c r="F971" t="s">
        <v>6699</v>
      </c>
      <c r="G971" t="s">
        <v>5670</v>
      </c>
      <c r="H971" t="s">
        <v>6700</v>
      </c>
      <c r="I971" s="80" t="s">
        <v>6701</v>
      </c>
      <c r="J971" t="s">
        <v>5134</v>
      </c>
      <c r="K971" t="s">
        <v>6702</v>
      </c>
    </row>
    <row r="972" spans="1:11" x14ac:dyDescent="0.25">
      <c r="A972" s="123">
        <v>971</v>
      </c>
      <c r="B972" s="10">
        <v>1056</v>
      </c>
      <c r="C972" s="125" t="s">
        <v>187</v>
      </c>
      <c r="D972" t="s">
        <v>4646</v>
      </c>
      <c r="E972" t="s">
        <v>6703</v>
      </c>
      <c r="F972" t="s">
        <v>6704</v>
      </c>
      <c r="G972" t="s">
        <v>5727</v>
      </c>
      <c r="H972" t="s">
        <v>6705</v>
      </c>
      <c r="I972" s="80" t="s">
        <v>6706</v>
      </c>
      <c r="J972" t="s">
        <v>5481</v>
      </c>
      <c r="K972" t="s">
        <v>6707</v>
      </c>
    </row>
    <row r="973" spans="1:11" x14ac:dyDescent="0.25">
      <c r="A973" s="123">
        <v>972</v>
      </c>
      <c r="B973" s="10">
        <v>1056</v>
      </c>
      <c r="C973" s="125" t="s">
        <v>189</v>
      </c>
      <c r="D973" t="s">
        <v>5468</v>
      </c>
      <c r="E973" t="s">
        <v>6708</v>
      </c>
      <c r="F973" t="s">
        <v>6709</v>
      </c>
      <c r="G973" t="s">
        <v>5304</v>
      </c>
      <c r="H973" t="s">
        <v>6710</v>
      </c>
      <c r="I973" s="80" t="s">
        <v>6711</v>
      </c>
      <c r="J973" t="s">
        <v>5481</v>
      </c>
      <c r="K973" t="s">
        <v>6712</v>
      </c>
    </row>
    <row r="974" spans="1:11" x14ac:dyDescent="0.25">
      <c r="A974" s="123">
        <v>973</v>
      </c>
      <c r="B974" s="10">
        <v>1057</v>
      </c>
      <c r="C974" s="125" t="s">
        <v>181</v>
      </c>
      <c r="D974" t="s">
        <v>5313</v>
      </c>
      <c r="E974" s="80" t="s">
        <v>6713</v>
      </c>
      <c r="F974" t="s">
        <v>5623</v>
      </c>
      <c r="G974" t="s">
        <v>5255</v>
      </c>
      <c r="H974" t="s">
        <v>6714</v>
      </c>
      <c r="I974" t="s">
        <v>6715</v>
      </c>
      <c r="J974" t="s">
        <v>5951</v>
      </c>
      <c r="K974" t="s">
        <v>6716</v>
      </c>
    </row>
    <row r="975" spans="1:11" x14ac:dyDescent="0.25">
      <c r="A975" s="123">
        <v>974</v>
      </c>
      <c r="B975" s="10">
        <v>1057</v>
      </c>
      <c r="C975" s="125" t="s">
        <v>183</v>
      </c>
      <c r="D975" t="s">
        <v>5267</v>
      </c>
      <c r="E975" s="80" t="s">
        <v>6606</v>
      </c>
      <c r="F975" t="s">
        <v>6717</v>
      </c>
      <c r="G975" t="s">
        <v>5317</v>
      </c>
      <c r="H975" t="s">
        <v>6718</v>
      </c>
      <c r="I975" s="80" t="s">
        <v>6719</v>
      </c>
      <c r="J975" t="s">
        <v>5558</v>
      </c>
      <c r="K975" t="s">
        <v>6720</v>
      </c>
    </row>
    <row r="976" spans="1:11" x14ac:dyDescent="0.25">
      <c r="A976" s="123">
        <v>975</v>
      </c>
      <c r="B976" s="10">
        <v>1057</v>
      </c>
      <c r="C976" s="125" t="s">
        <v>182</v>
      </c>
      <c r="D976" t="s">
        <v>583</v>
      </c>
      <c r="E976" t="s">
        <v>6721</v>
      </c>
      <c r="F976" s="80">
        <v>0</v>
      </c>
      <c r="G976" t="s">
        <v>583</v>
      </c>
      <c r="H976" t="s">
        <v>583</v>
      </c>
      <c r="I976" t="s">
        <v>5515</v>
      </c>
      <c r="J976" t="s">
        <v>583</v>
      </c>
      <c r="K976" t="s">
        <v>3068</v>
      </c>
    </row>
    <row r="977" spans="1:11" x14ac:dyDescent="0.25">
      <c r="A977" s="123">
        <v>976</v>
      </c>
      <c r="B977" s="10">
        <v>1057</v>
      </c>
      <c r="C977" s="127" t="s">
        <v>184</v>
      </c>
      <c r="D977" t="s">
        <v>5239</v>
      </c>
      <c r="E977" t="s">
        <v>6722</v>
      </c>
      <c r="F977" t="s">
        <v>6723</v>
      </c>
      <c r="G977" s="80" t="s">
        <v>4296</v>
      </c>
      <c r="H977" t="s">
        <v>6724</v>
      </c>
      <c r="I977" s="80" t="s">
        <v>6725</v>
      </c>
      <c r="J977" t="s">
        <v>5538</v>
      </c>
      <c r="K977" t="s">
        <v>6726</v>
      </c>
    </row>
    <row r="978" spans="1:11" x14ac:dyDescent="0.25">
      <c r="A978" s="123">
        <v>977</v>
      </c>
      <c r="B978" s="10">
        <v>1057</v>
      </c>
      <c r="C978" s="125" t="s">
        <v>187</v>
      </c>
      <c r="D978" t="s">
        <v>5336</v>
      </c>
      <c r="E978" t="s">
        <v>6727</v>
      </c>
      <c r="F978" t="s">
        <v>6728</v>
      </c>
      <c r="G978" t="s">
        <v>5227</v>
      </c>
      <c r="H978" t="s">
        <v>6729</v>
      </c>
      <c r="I978" s="80" t="s">
        <v>6730</v>
      </c>
      <c r="J978" t="s">
        <v>3727</v>
      </c>
      <c r="K978" t="s">
        <v>6731</v>
      </c>
    </row>
    <row r="979" spans="1:11" x14ac:dyDescent="0.25">
      <c r="A979" s="123">
        <v>978</v>
      </c>
      <c r="B979" s="10">
        <v>1057</v>
      </c>
      <c r="C979" s="125" t="s">
        <v>189</v>
      </c>
      <c r="D979" t="s">
        <v>583</v>
      </c>
      <c r="E979" t="s">
        <v>6732</v>
      </c>
      <c r="F979" t="s">
        <v>6733</v>
      </c>
      <c r="G979" t="s">
        <v>6734</v>
      </c>
      <c r="H979" t="s">
        <v>6735</v>
      </c>
      <c r="I979" t="s">
        <v>6736</v>
      </c>
      <c r="J979" t="s">
        <v>6055</v>
      </c>
      <c r="K979" t="s">
        <v>6737</v>
      </c>
    </row>
    <row r="980" spans="1:11" x14ac:dyDescent="0.25">
      <c r="A980" s="123">
        <v>979</v>
      </c>
      <c r="B980" s="10">
        <v>1058</v>
      </c>
      <c r="C980" s="125" t="s">
        <v>162</v>
      </c>
      <c r="D980" t="s">
        <v>6738</v>
      </c>
      <c r="E980" t="s">
        <v>6739</v>
      </c>
      <c r="F980" t="s">
        <v>5515</v>
      </c>
      <c r="G980" t="s">
        <v>6003</v>
      </c>
      <c r="H980" s="80" t="s">
        <v>6740</v>
      </c>
      <c r="I980" t="s">
        <v>3202</v>
      </c>
      <c r="J980" t="s">
        <v>6015</v>
      </c>
      <c r="K980" t="s">
        <v>6741</v>
      </c>
    </row>
    <row r="981" spans="1:11" x14ac:dyDescent="0.25">
      <c r="A981" s="123">
        <v>980</v>
      </c>
      <c r="B981" s="10">
        <v>1058</v>
      </c>
      <c r="C981" s="125" t="s">
        <v>170</v>
      </c>
      <c r="D981" t="s">
        <v>5287</v>
      </c>
      <c r="E981" s="80" t="s">
        <v>6742</v>
      </c>
      <c r="F981" t="s">
        <v>6743</v>
      </c>
      <c r="G981" t="s">
        <v>5782</v>
      </c>
      <c r="H981" t="s">
        <v>6744</v>
      </c>
      <c r="I981" s="80" t="s">
        <v>6745</v>
      </c>
      <c r="J981" t="s">
        <v>5645</v>
      </c>
      <c r="K981" t="s">
        <v>6746</v>
      </c>
    </row>
    <row r="982" spans="1:11" ht="15.75" thickBot="1" x14ac:dyDescent="0.3">
      <c r="A982" s="123">
        <v>981</v>
      </c>
      <c r="B982" s="10">
        <v>1058</v>
      </c>
      <c r="C982" s="125" t="s">
        <v>178</v>
      </c>
      <c r="D982" t="s">
        <v>6747</v>
      </c>
      <c r="E982" s="80" t="s">
        <v>6748</v>
      </c>
      <c r="F982" t="s">
        <v>6749</v>
      </c>
      <c r="G982" t="s">
        <v>6405</v>
      </c>
      <c r="H982" s="80" t="s">
        <v>6750</v>
      </c>
      <c r="I982" s="80" t="s">
        <v>6751</v>
      </c>
      <c r="J982" t="s">
        <v>6752</v>
      </c>
      <c r="K982" s="80" t="s">
        <v>6753</v>
      </c>
    </row>
    <row r="983" spans="1:11" x14ac:dyDescent="0.25">
      <c r="A983" s="123">
        <v>982</v>
      </c>
      <c r="B983" s="10">
        <v>1058</v>
      </c>
      <c r="C983" s="126" t="s">
        <v>163</v>
      </c>
      <c r="D983" t="s">
        <v>6754</v>
      </c>
      <c r="E983" s="80" t="s">
        <v>6755</v>
      </c>
      <c r="F983" t="s">
        <v>5703</v>
      </c>
      <c r="G983" t="s">
        <v>5782</v>
      </c>
      <c r="H983" t="s">
        <v>6756</v>
      </c>
      <c r="I983" s="80" t="s">
        <v>6757</v>
      </c>
      <c r="J983" t="s">
        <v>6294</v>
      </c>
      <c r="K983" s="80" t="s">
        <v>6758</v>
      </c>
    </row>
    <row r="984" spans="1:11" x14ac:dyDescent="0.25">
      <c r="A984" s="123">
        <v>983</v>
      </c>
      <c r="B984" s="10">
        <v>1058</v>
      </c>
      <c r="C984" s="125" t="s">
        <v>181</v>
      </c>
      <c r="D984" t="s">
        <v>5340</v>
      </c>
      <c r="E984" s="80" t="s">
        <v>6759</v>
      </c>
      <c r="F984" t="s">
        <v>6760</v>
      </c>
      <c r="G984" t="s">
        <v>5446</v>
      </c>
      <c r="H984" t="s">
        <v>3431</v>
      </c>
      <c r="I984" t="s">
        <v>6761</v>
      </c>
      <c r="J984" t="s">
        <v>5449</v>
      </c>
      <c r="K984" t="s">
        <v>6762</v>
      </c>
    </row>
    <row r="985" spans="1:11" x14ac:dyDescent="0.25">
      <c r="A985" s="123">
        <v>984</v>
      </c>
      <c r="B985" s="10">
        <v>1058</v>
      </c>
      <c r="C985" s="125" t="s">
        <v>183</v>
      </c>
      <c r="D985" t="s">
        <v>6245</v>
      </c>
      <c r="E985" s="80" t="s">
        <v>6763</v>
      </c>
      <c r="F985" t="s">
        <v>6764</v>
      </c>
      <c r="G985" t="s">
        <v>5708</v>
      </c>
      <c r="H985" t="s">
        <v>6765</v>
      </c>
      <c r="I985" s="80" t="s">
        <v>6766</v>
      </c>
      <c r="J985" t="s">
        <v>6767</v>
      </c>
      <c r="K985" t="s">
        <v>6768</v>
      </c>
    </row>
    <row r="986" spans="1:11" x14ac:dyDescent="0.25">
      <c r="A986" s="123">
        <v>985</v>
      </c>
      <c r="B986" s="10">
        <v>1058</v>
      </c>
      <c r="C986" s="125" t="s">
        <v>186</v>
      </c>
      <c r="D986" t="s">
        <v>5589</v>
      </c>
      <c r="E986" s="80" t="s">
        <v>6769</v>
      </c>
      <c r="F986" t="s">
        <v>6770</v>
      </c>
      <c r="G986" t="s">
        <v>5689</v>
      </c>
      <c r="H986" s="80" t="s">
        <v>6771</v>
      </c>
      <c r="I986" s="80" t="s">
        <v>6772</v>
      </c>
      <c r="J986" t="s">
        <v>6773</v>
      </c>
      <c r="K986" s="80" t="s">
        <v>6774</v>
      </c>
    </row>
    <row r="987" spans="1:11" x14ac:dyDescent="0.25">
      <c r="A987" s="123">
        <v>986</v>
      </c>
      <c r="B987" s="10">
        <v>1058</v>
      </c>
      <c r="C987" s="125" t="s">
        <v>188</v>
      </c>
      <c r="D987" t="s">
        <v>6462</v>
      </c>
      <c r="E987" s="80" t="s">
        <v>6775</v>
      </c>
      <c r="F987" t="s">
        <v>6776</v>
      </c>
      <c r="G987" t="s">
        <v>6777</v>
      </c>
      <c r="H987" t="s">
        <v>6778</v>
      </c>
      <c r="I987" s="80" t="s">
        <v>6779</v>
      </c>
      <c r="J987" t="s">
        <v>6780</v>
      </c>
      <c r="K987" s="80" t="s">
        <v>6781</v>
      </c>
    </row>
    <row r="988" spans="1:11" x14ac:dyDescent="0.25">
      <c r="A988" s="123">
        <v>987</v>
      </c>
      <c r="B988" s="10">
        <v>1058</v>
      </c>
      <c r="C988" s="125" t="s">
        <v>182</v>
      </c>
      <c r="D988" t="s">
        <v>583</v>
      </c>
      <c r="E988" t="s">
        <v>6782</v>
      </c>
      <c r="F988" t="s">
        <v>583</v>
      </c>
      <c r="G988" t="s">
        <v>583</v>
      </c>
      <c r="H988" t="s">
        <v>583</v>
      </c>
      <c r="I988" t="s">
        <v>6783</v>
      </c>
      <c r="J988" t="s">
        <v>5134</v>
      </c>
      <c r="K988" t="s">
        <v>6784</v>
      </c>
    </row>
    <row r="989" spans="1:11" x14ac:dyDescent="0.25">
      <c r="A989" s="123">
        <v>988</v>
      </c>
      <c r="B989" s="10">
        <v>1058</v>
      </c>
      <c r="C989" s="127" t="s">
        <v>184</v>
      </c>
      <c r="D989" t="s">
        <v>6275</v>
      </c>
      <c r="E989" s="80" t="s">
        <v>6785</v>
      </c>
      <c r="F989" t="s">
        <v>6786</v>
      </c>
      <c r="G989" t="s">
        <v>6003</v>
      </c>
      <c r="H989" t="s">
        <v>6787</v>
      </c>
      <c r="I989" s="80" t="s">
        <v>6788</v>
      </c>
      <c r="J989" t="s">
        <v>5777</v>
      </c>
      <c r="K989" t="s">
        <v>6789</v>
      </c>
    </row>
    <row r="990" spans="1:11" x14ac:dyDescent="0.25">
      <c r="A990" s="123">
        <v>989</v>
      </c>
      <c r="B990" s="10">
        <v>1058</v>
      </c>
      <c r="C990" s="125" t="s">
        <v>187</v>
      </c>
      <c r="D990" t="s">
        <v>5431</v>
      </c>
      <c r="E990" s="80" t="s">
        <v>6790</v>
      </c>
      <c r="F990" t="s">
        <v>6791</v>
      </c>
      <c r="G990" t="s">
        <v>5446</v>
      </c>
      <c r="H990" t="s">
        <v>6792</v>
      </c>
      <c r="I990" s="80" t="s">
        <v>6793</v>
      </c>
      <c r="J990" t="s">
        <v>5354</v>
      </c>
      <c r="K990" s="80" t="s">
        <v>6794</v>
      </c>
    </row>
    <row r="991" spans="1:11" x14ac:dyDescent="0.25">
      <c r="A991" s="123">
        <v>990</v>
      </c>
      <c r="B991" s="10">
        <v>1058</v>
      </c>
      <c r="C991" s="125" t="s">
        <v>189</v>
      </c>
      <c r="D991" t="s">
        <v>5252</v>
      </c>
      <c r="E991" s="80" t="s">
        <v>6795</v>
      </c>
      <c r="F991" t="s">
        <v>6796</v>
      </c>
      <c r="G991" t="s">
        <v>5868</v>
      </c>
      <c r="H991" t="s">
        <v>6797</v>
      </c>
      <c r="I991" s="80" t="s">
        <v>6798</v>
      </c>
      <c r="J991" t="s">
        <v>5876</v>
      </c>
      <c r="K991" t="s">
        <v>6799</v>
      </c>
    </row>
    <row r="992" spans="1:11" x14ac:dyDescent="0.25">
      <c r="A992" s="123">
        <v>991</v>
      </c>
      <c r="B992" s="10">
        <v>2030</v>
      </c>
      <c r="C992" s="122" t="s">
        <v>162</v>
      </c>
      <c r="D992" t="s">
        <v>5571</v>
      </c>
      <c r="E992" s="80" t="s">
        <v>6800</v>
      </c>
      <c r="F992" t="s">
        <v>6298</v>
      </c>
      <c r="G992" t="s">
        <v>5304</v>
      </c>
      <c r="H992" t="s">
        <v>1385</v>
      </c>
      <c r="I992" t="s">
        <v>6801</v>
      </c>
      <c r="J992" t="s">
        <v>5449</v>
      </c>
      <c r="K992" t="s">
        <v>6200</v>
      </c>
    </row>
    <row r="993" spans="1:11" x14ac:dyDescent="0.25">
      <c r="A993" s="123">
        <v>992</v>
      </c>
      <c r="B993" s="10">
        <v>2030</v>
      </c>
      <c r="C993" s="122" t="s">
        <v>170</v>
      </c>
      <c r="D993" t="s">
        <v>5274</v>
      </c>
      <c r="E993" s="80" t="s">
        <v>6802</v>
      </c>
      <c r="F993" t="s">
        <v>6803</v>
      </c>
      <c r="G993" t="s">
        <v>5351</v>
      </c>
      <c r="H993" t="s">
        <v>6804</v>
      </c>
      <c r="I993" s="80" t="s">
        <v>6805</v>
      </c>
      <c r="J993" t="s">
        <v>5299</v>
      </c>
      <c r="K993" t="s">
        <v>6806</v>
      </c>
    </row>
    <row r="994" spans="1:11" x14ac:dyDescent="0.25">
      <c r="A994" s="123">
        <v>993</v>
      </c>
      <c r="B994" s="10">
        <v>2030</v>
      </c>
      <c r="C994" s="122" t="s">
        <v>178</v>
      </c>
      <c r="D994" t="s">
        <v>6807</v>
      </c>
      <c r="E994" s="80" t="s">
        <v>6808</v>
      </c>
      <c r="F994" s="80" t="s">
        <v>6809</v>
      </c>
      <c r="G994" t="s">
        <v>6777</v>
      </c>
      <c r="H994" s="80" t="s">
        <v>6810</v>
      </c>
      <c r="I994" s="80" t="s">
        <v>6811</v>
      </c>
      <c r="J994" t="s">
        <v>6294</v>
      </c>
      <c r="K994" t="s">
        <v>6812</v>
      </c>
    </row>
    <row r="995" spans="1:11" x14ac:dyDescent="0.25">
      <c r="A995" s="123">
        <v>994</v>
      </c>
      <c r="B995" s="10">
        <v>2030</v>
      </c>
      <c r="C995" s="122" t="s">
        <v>163</v>
      </c>
      <c r="D995" t="s">
        <v>6813</v>
      </c>
      <c r="E995" s="80" t="s">
        <v>6814</v>
      </c>
      <c r="F995" t="s">
        <v>6815</v>
      </c>
      <c r="G995" t="s">
        <v>5331</v>
      </c>
      <c r="H995" t="s">
        <v>6816</v>
      </c>
      <c r="I995" s="80" t="s">
        <v>6817</v>
      </c>
      <c r="J995" t="s">
        <v>6767</v>
      </c>
      <c r="K995" t="s">
        <v>6818</v>
      </c>
    </row>
    <row r="996" spans="1:11" x14ac:dyDescent="0.25">
      <c r="A996" s="123">
        <v>995</v>
      </c>
      <c r="B996" s="10">
        <v>2030</v>
      </c>
      <c r="C996" s="125" t="s">
        <v>181</v>
      </c>
      <c r="D996" t="s">
        <v>5267</v>
      </c>
      <c r="E996" s="80" t="s">
        <v>6819</v>
      </c>
      <c r="F996" t="s">
        <v>5303</v>
      </c>
      <c r="G996" t="s">
        <v>5389</v>
      </c>
      <c r="H996" t="s">
        <v>5239</v>
      </c>
      <c r="I996" t="s">
        <v>5755</v>
      </c>
      <c r="J996" t="s">
        <v>2248</v>
      </c>
      <c r="K996" s="80">
        <v>28</v>
      </c>
    </row>
    <row r="997" spans="1:11" x14ac:dyDescent="0.25">
      <c r="A997" s="123">
        <v>996</v>
      </c>
      <c r="B997" s="10">
        <v>2030</v>
      </c>
      <c r="C997" s="125" t="s">
        <v>183</v>
      </c>
      <c r="D997" t="s">
        <v>5595</v>
      </c>
      <c r="E997" s="80" t="s">
        <v>6820</v>
      </c>
      <c r="F997" t="s">
        <v>6821</v>
      </c>
      <c r="G997" t="s">
        <v>5635</v>
      </c>
      <c r="H997">
        <v>17682</v>
      </c>
      <c r="I997" s="80" t="s">
        <v>6822</v>
      </c>
      <c r="J997" t="s">
        <v>6767</v>
      </c>
      <c r="K997" t="s">
        <v>6823</v>
      </c>
    </row>
    <row r="998" spans="1:11" x14ac:dyDescent="0.25">
      <c r="A998" s="123">
        <v>997</v>
      </c>
      <c r="B998" s="10">
        <v>2030</v>
      </c>
      <c r="C998" s="125" t="s">
        <v>182</v>
      </c>
      <c r="D998" t="s">
        <v>583</v>
      </c>
      <c r="E998" t="s">
        <v>6824</v>
      </c>
      <c r="F998" t="s">
        <v>583</v>
      </c>
      <c r="G998" s="80" t="s">
        <v>3031</v>
      </c>
      <c r="H998" s="80" t="s">
        <v>6740</v>
      </c>
      <c r="I998" t="s">
        <v>5218</v>
      </c>
      <c r="J998" s="80" t="s">
        <v>5517</v>
      </c>
      <c r="K998" t="s">
        <v>3068</v>
      </c>
    </row>
    <row r="999" spans="1:11" x14ac:dyDescent="0.25">
      <c r="A999" s="123">
        <v>998</v>
      </c>
      <c r="B999" s="10">
        <v>2030</v>
      </c>
      <c r="C999" s="125" t="s">
        <v>184</v>
      </c>
      <c r="D999" t="s">
        <v>6825</v>
      </c>
      <c r="E999" t="s">
        <v>6826</v>
      </c>
      <c r="F999" t="s">
        <v>6827</v>
      </c>
      <c r="G999" t="s">
        <v>5446</v>
      </c>
      <c r="H999" t="s">
        <v>6828</v>
      </c>
      <c r="I999" s="80" t="s">
        <v>6829</v>
      </c>
      <c r="J999" t="s">
        <v>5805</v>
      </c>
      <c r="K999" t="s">
        <v>6830</v>
      </c>
    </row>
    <row r="1000" spans="1:11" x14ac:dyDescent="0.25">
      <c r="A1000" s="123">
        <v>999</v>
      </c>
      <c r="B1000" s="10">
        <v>2030</v>
      </c>
      <c r="C1000" s="122" t="s">
        <v>187</v>
      </c>
      <c r="D1000">
        <v>203</v>
      </c>
      <c r="E1000" t="s">
        <v>6831</v>
      </c>
      <c r="F1000" t="s">
        <v>6832</v>
      </c>
      <c r="G1000" t="s">
        <v>5507</v>
      </c>
      <c r="H1000" s="80" t="s">
        <v>6833</v>
      </c>
      <c r="I1000" s="80" t="s">
        <v>6834</v>
      </c>
      <c r="J1000" t="s">
        <v>5346</v>
      </c>
      <c r="K1000" s="80" t="s">
        <v>6835</v>
      </c>
    </row>
    <row r="1001" spans="1:11" x14ac:dyDescent="0.25">
      <c r="A1001" s="123">
        <v>1000</v>
      </c>
      <c r="B1001" s="10">
        <v>2030</v>
      </c>
      <c r="C1001" s="122" t="s">
        <v>189</v>
      </c>
      <c r="D1001" t="s">
        <v>5314</v>
      </c>
      <c r="E1001" t="s">
        <v>6836</v>
      </c>
      <c r="F1001" t="s">
        <v>6837</v>
      </c>
      <c r="G1001" t="s">
        <v>5446</v>
      </c>
      <c r="H1001" t="s">
        <v>6838</v>
      </c>
      <c r="I1001" s="80" t="s">
        <v>6839</v>
      </c>
      <c r="J1001" t="s">
        <v>5258</v>
      </c>
      <c r="K1001" s="80" t="s">
        <v>6840</v>
      </c>
    </row>
    <row r="1002" spans="1:11" x14ac:dyDescent="0.25">
      <c r="A1002" s="123">
        <v>1001</v>
      </c>
      <c r="B1002" s="10">
        <v>2031</v>
      </c>
      <c r="C1002" s="125" t="s">
        <v>162</v>
      </c>
      <c r="D1002" t="s">
        <v>5239</v>
      </c>
      <c r="E1002" t="s">
        <v>6841</v>
      </c>
      <c r="F1002" t="s">
        <v>6842</v>
      </c>
      <c r="G1002" t="s">
        <v>5868</v>
      </c>
      <c r="H1002" t="s">
        <v>6714</v>
      </c>
      <c r="I1002" t="s">
        <v>6843</v>
      </c>
      <c r="J1002" t="s">
        <v>5313</v>
      </c>
      <c r="K1002" t="s">
        <v>3139</v>
      </c>
    </row>
    <row r="1003" spans="1:11" x14ac:dyDescent="0.25">
      <c r="A1003" s="123">
        <v>1002</v>
      </c>
      <c r="B1003" s="10">
        <v>2031</v>
      </c>
      <c r="C1003" s="125" t="s">
        <v>170</v>
      </c>
      <c r="D1003" t="s">
        <v>6844</v>
      </c>
      <c r="E1003" s="80" t="s">
        <v>6845</v>
      </c>
      <c r="F1003" t="s">
        <v>6846</v>
      </c>
      <c r="G1003" t="s">
        <v>5343</v>
      </c>
      <c r="H1003" t="s">
        <v>6847</v>
      </c>
      <c r="I1003" s="80" t="s">
        <v>6848</v>
      </c>
      <c r="J1003" t="s">
        <v>5334</v>
      </c>
      <c r="K1003" t="s">
        <v>6849</v>
      </c>
    </row>
    <row r="1004" spans="1:11" x14ac:dyDescent="0.25">
      <c r="A1004" s="123">
        <v>1003</v>
      </c>
      <c r="B1004" s="10">
        <v>2031</v>
      </c>
      <c r="C1004" s="125" t="s">
        <v>178</v>
      </c>
      <c r="D1004" t="s">
        <v>6850</v>
      </c>
      <c r="E1004" s="80" t="s">
        <v>6851</v>
      </c>
      <c r="F1004" t="s">
        <v>6852</v>
      </c>
      <c r="G1004" t="s">
        <v>5681</v>
      </c>
      <c r="H1004" s="80" t="s">
        <v>6853</v>
      </c>
      <c r="I1004" s="80" t="s">
        <v>6854</v>
      </c>
      <c r="J1004" t="s">
        <v>6294</v>
      </c>
      <c r="K1004" t="s">
        <v>6855</v>
      </c>
    </row>
    <row r="1005" spans="1:11" x14ac:dyDescent="0.25">
      <c r="A1005" s="123">
        <v>1004</v>
      </c>
      <c r="B1005" s="10">
        <v>2031</v>
      </c>
      <c r="C1005" s="125" t="s">
        <v>163</v>
      </c>
      <c r="D1005" t="s">
        <v>6856</v>
      </c>
      <c r="E1005" s="80" t="s">
        <v>6857</v>
      </c>
      <c r="F1005" t="s">
        <v>6858</v>
      </c>
      <c r="G1005" t="s">
        <v>5317</v>
      </c>
      <c r="H1005" t="s">
        <v>6859</v>
      </c>
      <c r="I1005" s="80" t="s">
        <v>6860</v>
      </c>
      <c r="J1005" t="s">
        <v>5558</v>
      </c>
      <c r="K1005" s="80" t="s">
        <v>6861</v>
      </c>
    </row>
    <row r="1006" spans="1:11" x14ac:dyDescent="0.25">
      <c r="A1006" s="123">
        <v>1005</v>
      </c>
      <c r="B1006" s="10">
        <v>2031</v>
      </c>
      <c r="C1006" s="125" t="s">
        <v>181</v>
      </c>
      <c r="D1006" t="s">
        <v>5468</v>
      </c>
      <c r="E1006" s="80" t="s">
        <v>6862</v>
      </c>
      <c r="F1006" t="s">
        <v>6475</v>
      </c>
      <c r="G1006" t="s">
        <v>5262</v>
      </c>
      <c r="H1006" t="s">
        <v>6863</v>
      </c>
      <c r="I1006" t="s">
        <v>6864</v>
      </c>
      <c r="J1006" t="s">
        <v>5237</v>
      </c>
      <c r="K1006" t="s">
        <v>6865</v>
      </c>
    </row>
    <row r="1007" spans="1:11" x14ac:dyDescent="0.25">
      <c r="A1007" s="123">
        <v>1006</v>
      </c>
      <c r="B1007" s="10">
        <v>2031</v>
      </c>
      <c r="C1007" s="125" t="s">
        <v>183</v>
      </c>
      <c r="D1007" t="s">
        <v>5340</v>
      </c>
      <c r="E1007" t="s">
        <v>6866</v>
      </c>
      <c r="F1007" t="s">
        <v>6867</v>
      </c>
      <c r="G1007" t="s">
        <v>5304</v>
      </c>
      <c r="H1007" t="s">
        <v>6868</v>
      </c>
      <c r="I1007" s="80" t="s">
        <v>6869</v>
      </c>
      <c r="J1007" t="s">
        <v>5334</v>
      </c>
      <c r="K1007" t="s">
        <v>6870</v>
      </c>
    </row>
    <row r="1008" spans="1:11" x14ac:dyDescent="0.25">
      <c r="A1008" s="123">
        <v>1007</v>
      </c>
      <c r="B1008" s="10">
        <v>2031</v>
      </c>
      <c r="C1008" s="125" t="s">
        <v>186</v>
      </c>
      <c r="D1008" t="s">
        <v>5336</v>
      </c>
      <c r="E1008" t="s">
        <v>6871</v>
      </c>
      <c r="F1008" t="s">
        <v>6872</v>
      </c>
      <c r="G1008" t="s">
        <v>5727</v>
      </c>
      <c r="H1008" s="80" t="s">
        <v>6873</v>
      </c>
      <c r="I1008" s="80" t="s">
        <v>6874</v>
      </c>
      <c r="J1008" t="s">
        <v>5327</v>
      </c>
      <c r="K1008" t="s">
        <v>6875</v>
      </c>
    </row>
    <row r="1009" spans="1:11" x14ac:dyDescent="0.25">
      <c r="A1009" s="123">
        <v>1008</v>
      </c>
      <c r="B1009" s="10">
        <v>2031</v>
      </c>
      <c r="C1009" s="125" t="s">
        <v>188</v>
      </c>
      <c r="D1009" t="s">
        <v>5348</v>
      </c>
      <c r="E1009" s="80" t="s">
        <v>6876</v>
      </c>
      <c r="F1009" t="s">
        <v>6877</v>
      </c>
      <c r="G1009" t="s">
        <v>5708</v>
      </c>
      <c r="H1009" t="s">
        <v>6878</v>
      </c>
      <c r="I1009" s="80" t="s">
        <v>6879</v>
      </c>
      <c r="J1009" t="s">
        <v>6780</v>
      </c>
      <c r="K1009" s="80">
        <v>12872</v>
      </c>
    </row>
    <row r="1010" spans="1:11" x14ac:dyDescent="0.25">
      <c r="A1010" s="123">
        <v>1009</v>
      </c>
      <c r="B1010" s="10">
        <v>2031</v>
      </c>
      <c r="C1010" s="125" t="s">
        <v>182</v>
      </c>
      <c r="D1010" t="s">
        <v>5239</v>
      </c>
      <c r="E1010" t="s">
        <v>6880</v>
      </c>
      <c r="F1010" t="s">
        <v>6881</v>
      </c>
      <c r="G1010" t="s">
        <v>5670</v>
      </c>
      <c r="H1010" t="s">
        <v>6882</v>
      </c>
      <c r="I1010" s="80" t="s">
        <v>6883</v>
      </c>
      <c r="J1010" t="s">
        <v>5538</v>
      </c>
      <c r="K1010" t="s">
        <v>6884</v>
      </c>
    </row>
    <row r="1011" spans="1:11" x14ac:dyDescent="0.25">
      <c r="A1011" s="123">
        <v>1010</v>
      </c>
      <c r="B1011" s="10">
        <v>2031</v>
      </c>
      <c r="C1011" s="125" t="s">
        <v>184</v>
      </c>
      <c r="D1011" t="s">
        <v>6885</v>
      </c>
      <c r="E1011" t="s">
        <v>6886</v>
      </c>
      <c r="F1011" t="s">
        <v>6887</v>
      </c>
      <c r="G1011" t="s">
        <v>5389</v>
      </c>
      <c r="H1011" s="80" t="s">
        <v>6888</v>
      </c>
      <c r="I1011" s="80" t="s">
        <v>6889</v>
      </c>
      <c r="J1011" t="s">
        <v>5265</v>
      </c>
      <c r="K1011" t="s">
        <v>6890</v>
      </c>
    </row>
    <row r="1012" spans="1:11" x14ac:dyDescent="0.25">
      <c r="A1012" s="123">
        <v>1011</v>
      </c>
      <c r="B1012" s="10">
        <v>2031</v>
      </c>
      <c r="C1012" s="125" t="s">
        <v>187</v>
      </c>
      <c r="D1012" t="s">
        <v>6891</v>
      </c>
      <c r="E1012" t="s">
        <v>6892</v>
      </c>
      <c r="F1012" t="s">
        <v>6893</v>
      </c>
      <c r="G1012" t="s">
        <v>5507</v>
      </c>
      <c r="H1012" s="80" t="s">
        <v>6894</v>
      </c>
      <c r="I1012" s="80" t="s">
        <v>6895</v>
      </c>
      <c r="J1012" t="s">
        <v>5510</v>
      </c>
      <c r="K1012" t="s">
        <v>6896</v>
      </c>
    </row>
    <row r="1013" spans="1:11" x14ac:dyDescent="0.25">
      <c r="A1013" s="123">
        <v>1012</v>
      </c>
      <c r="B1013" s="10">
        <v>2031</v>
      </c>
      <c r="C1013" s="125" t="s">
        <v>189</v>
      </c>
      <c r="D1013" t="s">
        <v>6897</v>
      </c>
      <c r="E1013" t="s">
        <v>6898</v>
      </c>
      <c r="F1013" t="s">
        <v>6899</v>
      </c>
      <c r="G1013" t="s">
        <v>5389</v>
      </c>
      <c r="H1013" t="s">
        <v>6900</v>
      </c>
      <c r="I1013" s="80" t="s">
        <v>6901</v>
      </c>
      <c r="J1013" t="s">
        <v>5334</v>
      </c>
      <c r="K1013" t="s">
        <v>6902</v>
      </c>
    </row>
    <row r="1014" spans="1:11" x14ac:dyDescent="0.25">
      <c r="A1014" s="123">
        <v>1013</v>
      </c>
      <c r="B1014" s="10">
        <v>2032</v>
      </c>
      <c r="C1014" s="125" t="s">
        <v>162</v>
      </c>
      <c r="D1014" t="s">
        <v>3232</v>
      </c>
      <c r="E1014" t="s">
        <v>6903</v>
      </c>
      <c r="F1014" t="s">
        <v>6842</v>
      </c>
      <c r="G1014" t="s">
        <v>5868</v>
      </c>
      <c r="H1014" t="s">
        <v>6904</v>
      </c>
      <c r="I1014" t="s">
        <v>6905</v>
      </c>
      <c r="J1014" t="s">
        <v>5626</v>
      </c>
      <c r="K1014" t="s">
        <v>6661</v>
      </c>
    </row>
    <row r="1015" spans="1:11" x14ac:dyDescent="0.25">
      <c r="A1015" s="123">
        <v>1014</v>
      </c>
      <c r="B1015" s="10">
        <v>2032</v>
      </c>
      <c r="C1015" s="125" t="s">
        <v>170</v>
      </c>
      <c r="D1015" t="s">
        <v>5424</v>
      </c>
      <c r="E1015" t="s">
        <v>6906</v>
      </c>
      <c r="F1015" t="s">
        <v>6907</v>
      </c>
      <c r="G1015" t="s">
        <v>5304</v>
      </c>
      <c r="H1015" t="s">
        <v>6908</v>
      </c>
      <c r="I1015" s="80" t="s">
        <v>6909</v>
      </c>
      <c r="J1015" t="s">
        <v>5230</v>
      </c>
      <c r="K1015" t="s">
        <v>6910</v>
      </c>
    </row>
    <row r="1016" spans="1:11" x14ac:dyDescent="0.25">
      <c r="A1016" s="123">
        <v>1015</v>
      </c>
      <c r="B1016" s="10">
        <v>2032</v>
      </c>
      <c r="C1016" s="125" t="s">
        <v>178</v>
      </c>
      <c r="D1016" t="s">
        <v>5519</v>
      </c>
      <c r="E1016" t="s">
        <v>6911</v>
      </c>
      <c r="F1016" t="s">
        <v>6912</v>
      </c>
      <c r="G1016" t="s">
        <v>5782</v>
      </c>
      <c r="H1016" t="s">
        <v>6913</v>
      </c>
      <c r="I1016" t="s">
        <v>6914</v>
      </c>
      <c r="J1016" t="s">
        <v>6184</v>
      </c>
      <c r="K1016" t="s">
        <v>6915</v>
      </c>
    </row>
    <row r="1017" spans="1:11" x14ac:dyDescent="0.25">
      <c r="A1017" s="123">
        <v>1016</v>
      </c>
      <c r="B1017" s="10">
        <v>2032</v>
      </c>
      <c r="C1017" s="125" t="s">
        <v>163</v>
      </c>
      <c r="D1017" t="s">
        <v>5340</v>
      </c>
      <c r="E1017" t="s">
        <v>6916</v>
      </c>
      <c r="F1017" t="s">
        <v>6917</v>
      </c>
      <c r="G1017" t="s">
        <v>5376</v>
      </c>
      <c r="H1017" t="s">
        <v>6918</v>
      </c>
      <c r="I1017" s="80" t="s">
        <v>6919</v>
      </c>
      <c r="J1017" t="s">
        <v>5334</v>
      </c>
      <c r="K1017" t="s">
        <v>6920</v>
      </c>
    </row>
    <row r="1018" spans="1:11" x14ac:dyDescent="0.25">
      <c r="A1018" s="123">
        <v>1017</v>
      </c>
      <c r="B1018" s="10">
        <v>2032</v>
      </c>
      <c r="C1018" s="125" t="s">
        <v>181</v>
      </c>
      <c r="D1018" t="s">
        <v>5494</v>
      </c>
      <c r="E1018" s="80" t="s">
        <v>6921</v>
      </c>
      <c r="F1018" t="s">
        <v>2009</v>
      </c>
      <c r="G1018" t="s">
        <v>5446</v>
      </c>
      <c r="H1018" t="s">
        <v>6922</v>
      </c>
      <c r="I1018" t="s">
        <v>6923</v>
      </c>
      <c r="J1018" t="s">
        <v>5449</v>
      </c>
      <c r="K1018" t="s">
        <v>6924</v>
      </c>
    </row>
    <row r="1019" spans="1:11" x14ac:dyDescent="0.25">
      <c r="A1019" s="123">
        <v>1018</v>
      </c>
      <c r="B1019" s="10">
        <v>2032</v>
      </c>
      <c r="C1019" s="125" t="s">
        <v>183</v>
      </c>
      <c r="D1019" t="s">
        <v>5475</v>
      </c>
      <c r="E1019" s="80" t="s">
        <v>6925</v>
      </c>
      <c r="F1019" t="s">
        <v>6926</v>
      </c>
      <c r="G1019" t="s">
        <v>6520</v>
      </c>
      <c r="H1019" s="80" t="s">
        <v>6927</v>
      </c>
      <c r="I1019" s="80" t="s">
        <v>6928</v>
      </c>
      <c r="J1019" t="s">
        <v>6780</v>
      </c>
      <c r="K1019" s="80" t="s">
        <v>6929</v>
      </c>
    </row>
    <row r="1020" spans="1:11" x14ac:dyDescent="0.25">
      <c r="A1020" s="123">
        <v>1019</v>
      </c>
      <c r="B1020" s="10">
        <v>2032</v>
      </c>
      <c r="C1020" s="125" t="s">
        <v>186</v>
      </c>
      <c r="D1020" t="s">
        <v>6402</v>
      </c>
      <c r="E1020" s="80" t="s">
        <v>6930</v>
      </c>
      <c r="F1020" s="111" t="s">
        <v>6931</v>
      </c>
      <c r="G1020">
        <v>274</v>
      </c>
      <c r="H1020" s="80" t="s">
        <v>6932</v>
      </c>
      <c r="I1020" s="80" t="s">
        <v>6933</v>
      </c>
      <c r="J1020" t="s">
        <v>6934</v>
      </c>
      <c r="K1020" s="80" t="s">
        <v>6935</v>
      </c>
    </row>
    <row r="1021" spans="1:11" x14ac:dyDescent="0.25">
      <c r="A1021" s="123">
        <v>1020</v>
      </c>
      <c r="B1021" s="10">
        <v>2032</v>
      </c>
      <c r="C1021" s="125" t="s">
        <v>188</v>
      </c>
      <c r="D1021" t="s">
        <v>6936</v>
      </c>
      <c r="E1021" s="80" t="s">
        <v>6937</v>
      </c>
      <c r="F1021" t="s">
        <v>6938</v>
      </c>
      <c r="G1021" t="s">
        <v>5324</v>
      </c>
      <c r="H1021" t="s">
        <v>6939</v>
      </c>
      <c r="I1021" s="80" t="s">
        <v>6940</v>
      </c>
      <c r="J1021" t="s">
        <v>5569</v>
      </c>
      <c r="K1021" s="80" t="s">
        <v>6941</v>
      </c>
    </row>
    <row r="1022" spans="1:11" x14ac:dyDescent="0.25">
      <c r="A1022" s="123">
        <v>1021</v>
      </c>
      <c r="B1022" s="10">
        <v>2032</v>
      </c>
      <c r="C1022" s="125" t="s">
        <v>182</v>
      </c>
      <c r="D1022" t="s">
        <v>583</v>
      </c>
      <c r="E1022" t="s">
        <v>6942</v>
      </c>
      <c r="F1022" t="s">
        <v>5604</v>
      </c>
      <c r="G1022" t="s">
        <v>5439</v>
      </c>
      <c r="H1022" t="s">
        <v>6943</v>
      </c>
      <c r="I1022" t="s">
        <v>6944</v>
      </c>
      <c r="J1022" t="s">
        <v>6300</v>
      </c>
      <c r="K1022" t="s">
        <v>6044</v>
      </c>
    </row>
    <row r="1023" spans="1:11" x14ac:dyDescent="0.25">
      <c r="A1023" s="123">
        <v>1022</v>
      </c>
      <c r="B1023" s="10">
        <v>2032</v>
      </c>
      <c r="C1023" s="125" t="s">
        <v>184</v>
      </c>
      <c r="D1023" t="s">
        <v>6945</v>
      </c>
      <c r="E1023" t="s">
        <v>6946</v>
      </c>
      <c r="F1023" t="s">
        <v>6947</v>
      </c>
      <c r="G1023" t="s">
        <v>5670</v>
      </c>
      <c r="H1023" t="s">
        <v>6948</v>
      </c>
      <c r="I1023" s="80" t="s">
        <v>6949</v>
      </c>
      <c r="J1023" t="s">
        <v>5752</v>
      </c>
      <c r="K1023" t="s">
        <v>6950</v>
      </c>
    </row>
    <row r="1024" spans="1:11" x14ac:dyDescent="0.25">
      <c r="A1024" s="123">
        <v>1023</v>
      </c>
      <c r="B1024" s="10">
        <v>2032</v>
      </c>
      <c r="C1024" s="125" t="s">
        <v>187</v>
      </c>
      <c r="D1024" t="s">
        <v>6951</v>
      </c>
      <c r="E1024" t="s">
        <v>6952</v>
      </c>
      <c r="F1024" t="s">
        <v>6953</v>
      </c>
      <c r="G1024" t="s">
        <v>5351</v>
      </c>
      <c r="H1024" t="s">
        <v>6954</v>
      </c>
      <c r="I1024" s="80" t="s">
        <v>6955</v>
      </c>
      <c r="J1024" t="s">
        <v>5334</v>
      </c>
      <c r="K1024" t="s">
        <v>6956</v>
      </c>
    </row>
    <row r="1025" spans="1:11" x14ac:dyDescent="0.25">
      <c r="A1025" s="123">
        <v>1024</v>
      </c>
      <c r="B1025" s="10">
        <v>2032</v>
      </c>
      <c r="C1025" s="125" t="s">
        <v>189</v>
      </c>
      <c r="D1025" t="s">
        <v>5632</v>
      </c>
      <c r="E1025" t="s">
        <v>6957</v>
      </c>
      <c r="F1025" t="s">
        <v>6958</v>
      </c>
      <c r="G1025" t="s">
        <v>5304</v>
      </c>
      <c r="H1025" t="s">
        <v>6959</v>
      </c>
      <c r="I1025" s="80" t="s">
        <v>6960</v>
      </c>
      <c r="J1025" t="s">
        <v>6184</v>
      </c>
      <c r="K1025" t="s">
        <v>6961</v>
      </c>
    </row>
    <row r="1026" spans="1:11" x14ac:dyDescent="0.25">
      <c r="A1026" s="123">
        <v>1025</v>
      </c>
      <c r="B1026" s="10">
        <v>2033</v>
      </c>
      <c r="C1026" s="127" t="s">
        <v>162</v>
      </c>
      <c r="D1026" t="s">
        <v>6962</v>
      </c>
      <c r="E1026" t="s">
        <v>6963</v>
      </c>
      <c r="F1026" t="s">
        <v>5490</v>
      </c>
      <c r="G1026" t="s">
        <v>5603</v>
      </c>
      <c r="H1026" t="s">
        <v>2466</v>
      </c>
      <c r="I1026" t="s">
        <v>6964</v>
      </c>
      <c r="J1026" t="s">
        <v>5313</v>
      </c>
      <c r="K1026" t="s">
        <v>2735</v>
      </c>
    </row>
    <row r="1027" spans="1:11" x14ac:dyDescent="0.25">
      <c r="A1027" s="123">
        <v>1026</v>
      </c>
      <c r="B1027" s="10">
        <v>2033</v>
      </c>
      <c r="C1027" s="125" t="s">
        <v>170</v>
      </c>
      <c r="D1027" t="s">
        <v>2383</v>
      </c>
      <c r="E1027" t="s">
        <v>6965</v>
      </c>
      <c r="F1027" t="s">
        <v>6966</v>
      </c>
      <c r="G1027" t="s">
        <v>6003</v>
      </c>
      <c r="H1027" t="s">
        <v>6967</v>
      </c>
      <c r="I1027" s="80" t="s">
        <v>6968</v>
      </c>
      <c r="J1027" t="s">
        <v>6300</v>
      </c>
      <c r="K1027" t="s">
        <v>6969</v>
      </c>
    </row>
    <row r="1028" spans="1:11" x14ac:dyDescent="0.25">
      <c r="A1028" s="123">
        <v>1027</v>
      </c>
      <c r="B1028" s="10">
        <v>2033</v>
      </c>
      <c r="C1028" s="125" t="s">
        <v>178</v>
      </c>
      <c r="D1028" t="s">
        <v>3232</v>
      </c>
      <c r="E1028" t="s">
        <v>6965</v>
      </c>
      <c r="F1028" t="s">
        <v>6970</v>
      </c>
      <c r="G1028" t="s">
        <v>5670</v>
      </c>
      <c r="H1028" t="s">
        <v>6971</v>
      </c>
      <c r="I1028" s="80" t="s">
        <v>6972</v>
      </c>
      <c r="J1028" t="s">
        <v>5250</v>
      </c>
      <c r="K1028" t="s">
        <v>6973</v>
      </c>
    </row>
    <row r="1029" spans="1:11" x14ac:dyDescent="0.25">
      <c r="A1029" s="123">
        <v>1028</v>
      </c>
      <c r="B1029" s="10">
        <v>2033</v>
      </c>
      <c r="C1029" s="125" t="s">
        <v>163</v>
      </c>
      <c r="D1029" t="s">
        <v>5571</v>
      </c>
      <c r="E1029" t="s">
        <v>6974</v>
      </c>
      <c r="F1029" t="s">
        <v>6975</v>
      </c>
      <c r="G1029" t="s">
        <v>6003</v>
      </c>
      <c r="H1029" t="s">
        <v>6976</v>
      </c>
      <c r="I1029" s="80" t="s">
        <v>6977</v>
      </c>
      <c r="J1029" t="s">
        <v>6184</v>
      </c>
      <c r="K1029" t="s">
        <v>6978</v>
      </c>
    </row>
    <row r="1030" spans="1:11" x14ac:dyDescent="0.25">
      <c r="A1030" s="123">
        <v>1029</v>
      </c>
      <c r="B1030" s="10">
        <v>2033</v>
      </c>
      <c r="C1030" s="125" t="s">
        <v>181</v>
      </c>
      <c r="D1030" t="s">
        <v>5252</v>
      </c>
      <c r="E1030" s="80" t="s">
        <v>5773</v>
      </c>
      <c r="F1030" t="s">
        <v>2548</v>
      </c>
      <c r="G1030" t="s">
        <v>5304</v>
      </c>
      <c r="H1030" t="s">
        <v>5369</v>
      </c>
      <c r="I1030" t="s">
        <v>6979</v>
      </c>
      <c r="J1030" t="s">
        <v>5845</v>
      </c>
      <c r="K1030" t="s">
        <v>6980</v>
      </c>
    </row>
    <row r="1031" spans="1:11" ht="15.75" thickBot="1" x14ac:dyDescent="0.3">
      <c r="A1031" s="123">
        <v>1030</v>
      </c>
      <c r="B1031" s="10">
        <v>2033</v>
      </c>
      <c r="C1031" s="125" t="s">
        <v>183</v>
      </c>
      <c r="D1031" t="s">
        <v>5340</v>
      </c>
      <c r="E1031" s="80" t="s">
        <v>6981</v>
      </c>
      <c r="F1031" t="s">
        <v>6982</v>
      </c>
      <c r="G1031" t="s">
        <v>5317</v>
      </c>
      <c r="H1031" s="80" t="s">
        <v>6983</v>
      </c>
      <c r="I1031" s="80" t="s">
        <v>6984</v>
      </c>
      <c r="J1031" t="s">
        <v>5558</v>
      </c>
      <c r="K1031" s="80" t="s">
        <v>6985</v>
      </c>
    </row>
    <row r="1032" spans="1:11" x14ac:dyDescent="0.25">
      <c r="A1032" s="123">
        <v>1031</v>
      </c>
      <c r="B1032" s="10">
        <v>2033</v>
      </c>
      <c r="C1032" s="126" t="s">
        <v>186</v>
      </c>
      <c r="D1032" t="s">
        <v>5348</v>
      </c>
      <c r="E1032" s="80" t="s">
        <v>6986</v>
      </c>
      <c r="F1032" t="s">
        <v>6987</v>
      </c>
      <c r="G1032" t="s">
        <v>5324</v>
      </c>
      <c r="H1032" s="80" t="s">
        <v>6988</v>
      </c>
      <c r="I1032" s="80" t="s">
        <v>6989</v>
      </c>
      <c r="J1032" t="s">
        <v>5718</v>
      </c>
      <c r="K1032" s="80" t="s">
        <v>6990</v>
      </c>
    </row>
    <row r="1033" spans="1:11" x14ac:dyDescent="0.25">
      <c r="A1033" s="123">
        <v>1032</v>
      </c>
      <c r="B1033" s="10">
        <v>2033</v>
      </c>
      <c r="C1033" s="125" t="s">
        <v>188</v>
      </c>
      <c r="D1033" t="s">
        <v>5424</v>
      </c>
      <c r="E1033" s="80" t="s">
        <v>6991</v>
      </c>
      <c r="F1033" t="s">
        <v>6992</v>
      </c>
      <c r="G1033" t="s">
        <v>5708</v>
      </c>
      <c r="H1033" t="s">
        <v>6993</v>
      </c>
      <c r="I1033" s="80" t="s">
        <v>6994</v>
      </c>
      <c r="J1033" t="s">
        <v>6752</v>
      </c>
      <c r="K1033" s="80" t="s">
        <v>6995</v>
      </c>
    </row>
    <row r="1034" spans="1:11" x14ac:dyDescent="0.25">
      <c r="A1034" s="123">
        <v>1033</v>
      </c>
      <c r="B1034" s="10">
        <v>2033</v>
      </c>
      <c r="C1034" s="125" t="s">
        <v>182</v>
      </c>
      <c r="D1034" t="s">
        <v>583</v>
      </c>
      <c r="E1034" t="s">
        <v>6996</v>
      </c>
      <c r="F1034" t="s">
        <v>583</v>
      </c>
      <c r="G1034" t="s">
        <v>5514</v>
      </c>
      <c r="H1034" t="s">
        <v>6904</v>
      </c>
      <c r="I1034" t="s">
        <v>6997</v>
      </c>
      <c r="J1034" s="80" t="s">
        <v>5517</v>
      </c>
      <c r="K1034" t="s">
        <v>2549</v>
      </c>
    </row>
    <row r="1035" spans="1:11" x14ac:dyDescent="0.25">
      <c r="A1035" s="123">
        <v>1034</v>
      </c>
      <c r="B1035" s="10">
        <v>2033</v>
      </c>
      <c r="C1035" s="125" t="s">
        <v>184</v>
      </c>
      <c r="D1035" t="s">
        <v>5267</v>
      </c>
      <c r="E1035" t="s">
        <v>6998</v>
      </c>
      <c r="F1035" t="s">
        <v>4689</v>
      </c>
      <c r="G1035" t="s">
        <v>5227</v>
      </c>
      <c r="H1035" t="s">
        <v>6999</v>
      </c>
      <c r="I1035" s="80" t="s">
        <v>7000</v>
      </c>
      <c r="J1035" t="s">
        <v>5538</v>
      </c>
      <c r="K1035" t="s">
        <v>7001</v>
      </c>
    </row>
    <row r="1036" spans="1:11" x14ac:dyDescent="0.25">
      <c r="A1036" s="123">
        <v>1035</v>
      </c>
      <c r="B1036" s="10">
        <v>2033</v>
      </c>
      <c r="C1036" s="125" t="s">
        <v>187</v>
      </c>
      <c r="D1036" t="s">
        <v>7002</v>
      </c>
      <c r="E1036" t="s">
        <v>7003</v>
      </c>
      <c r="F1036" t="s">
        <v>7004</v>
      </c>
      <c r="G1036" t="s">
        <v>6003</v>
      </c>
      <c r="H1036" t="s">
        <v>7005</v>
      </c>
      <c r="I1036" s="80" t="s">
        <v>7006</v>
      </c>
      <c r="J1036" t="s">
        <v>5481</v>
      </c>
      <c r="K1036" t="s">
        <v>7007</v>
      </c>
    </row>
    <row r="1037" spans="1:11" x14ac:dyDescent="0.25">
      <c r="A1037" s="123">
        <v>1036</v>
      </c>
      <c r="B1037" s="10">
        <v>2033</v>
      </c>
      <c r="C1037" s="125" t="s">
        <v>189</v>
      </c>
      <c r="D1037" t="s">
        <v>7008</v>
      </c>
      <c r="E1037" t="s">
        <v>7009</v>
      </c>
      <c r="F1037" t="s">
        <v>7010</v>
      </c>
      <c r="G1037" t="s">
        <v>6047</v>
      </c>
      <c r="H1037" t="s">
        <v>7011</v>
      </c>
      <c r="I1037" s="80" t="s">
        <v>7012</v>
      </c>
      <c r="J1037" t="s">
        <v>6184</v>
      </c>
      <c r="K1037" t="s">
        <v>7013</v>
      </c>
    </row>
    <row r="1038" spans="1:11" x14ac:dyDescent="0.25">
      <c r="A1038" s="123">
        <v>1037</v>
      </c>
      <c r="B1038" s="10">
        <v>2035</v>
      </c>
      <c r="C1038" s="125" t="s">
        <v>162</v>
      </c>
      <c r="D1038" t="s">
        <v>6697</v>
      </c>
      <c r="E1038" t="s">
        <v>7014</v>
      </c>
      <c r="F1038" t="s">
        <v>6842</v>
      </c>
      <c r="G1038" t="s">
        <v>6003</v>
      </c>
      <c r="H1038" t="s">
        <v>6022</v>
      </c>
      <c r="I1038" t="s">
        <v>7015</v>
      </c>
      <c r="J1038" t="s">
        <v>6258</v>
      </c>
      <c r="K1038" t="s">
        <v>5972</v>
      </c>
    </row>
    <row r="1039" spans="1:11" x14ac:dyDescent="0.25">
      <c r="A1039" s="123">
        <v>1038</v>
      </c>
      <c r="B1039" s="10">
        <v>2035</v>
      </c>
      <c r="C1039" s="127" t="s">
        <v>170</v>
      </c>
      <c r="D1039" t="s">
        <v>5571</v>
      </c>
      <c r="E1039" t="s">
        <v>7016</v>
      </c>
      <c r="F1039" t="s">
        <v>7017</v>
      </c>
      <c r="G1039" t="s">
        <v>5471</v>
      </c>
      <c r="H1039" t="s">
        <v>7018</v>
      </c>
      <c r="I1039" s="80" t="s">
        <v>7019</v>
      </c>
      <c r="J1039" t="s">
        <v>5752</v>
      </c>
      <c r="K1039" t="s">
        <v>7020</v>
      </c>
    </row>
    <row r="1040" spans="1:11" x14ac:dyDescent="0.25">
      <c r="A1040" s="123">
        <v>1039</v>
      </c>
      <c r="B1040" s="10">
        <v>2035</v>
      </c>
      <c r="C1040" s="125" t="s">
        <v>178</v>
      </c>
      <c r="D1040" t="s">
        <v>7021</v>
      </c>
      <c r="E1040" t="s">
        <v>7022</v>
      </c>
      <c r="F1040" t="s">
        <v>7023</v>
      </c>
      <c r="G1040" t="s">
        <v>5389</v>
      </c>
      <c r="H1040" s="80" t="s">
        <v>7024</v>
      </c>
      <c r="I1040" s="80" t="s">
        <v>7025</v>
      </c>
      <c r="J1040" t="s">
        <v>5461</v>
      </c>
      <c r="K1040" t="s">
        <v>7026</v>
      </c>
    </row>
    <row r="1041" spans="1:11" x14ac:dyDescent="0.25">
      <c r="A1041" s="123">
        <v>1040</v>
      </c>
      <c r="B1041" s="10">
        <v>2035</v>
      </c>
      <c r="C1041" s="125" t="s">
        <v>163</v>
      </c>
      <c r="D1041" t="s">
        <v>6807</v>
      </c>
      <c r="E1041" s="80" t="s">
        <v>7027</v>
      </c>
      <c r="F1041" t="s">
        <v>7028</v>
      </c>
      <c r="G1041" t="s">
        <v>5351</v>
      </c>
      <c r="H1041" t="s">
        <v>7029</v>
      </c>
      <c r="I1041" s="80" t="s">
        <v>7030</v>
      </c>
      <c r="J1041" t="s">
        <v>5777</v>
      </c>
      <c r="K1041" t="s">
        <v>7031</v>
      </c>
    </row>
    <row r="1042" spans="1:11" x14ac:dyDescent="0.25">
      <c r="A1042" s="123">
        <v>1041</v>
      </c>
      <c r="B1042" s="10">
        <v>2035</v>
      </c>
      <c r="C1042" s="125" t="s">
        <v>181</v>
      </c>
      <c r="D1042" t="s">
        <v>6275</v>
      </c>
      <c r="E1042" s="80" t="s">
        <v>7032</v>
      </c>
      <c r="F1042" t="s">
        <v>5218</v>
      </c>
      <c r="G1042" t="s">
        <v>5389</v>
      </c>
      <c r="H1042" t="s">
        <v>7033</v>
      </c>
      <c r="I1042" t="s">
        <v>7034</v>
      </c>
      <c r="J1042" t="s">
        <v>4908</v>
      </c>
      <c r="K1042" t="s">
        <v>7035</v>
      </c>
    </row>
    <row r="1043" spans="1:11" x14ac:dyDescent="0.25">
      <c r="A1043" s="123">
        <v>1042</v>
      </c>
      <c r="B1043" s="10">
        <v>2035</v>
      </c>
      <c r="C1043" s="125" t="s">
        <v>183</v>
      </c>
      <c r="D1043" t="s">
        <v>6462</v>
      </c>
      <c r="E1043" s="80" t="s">
        <v>7036</v>
      </c>
      <c r="F1043" t="s">
        <v>7037</v>
      </c>
      <c r="G1043" t="s">
        <v>5708</v>
      </c>
      <c r="H1043" t="s">
        <v>7038</v>
      </c>
      <c r="I1043" s="80" t="s">
        <v>7039</v>
      </c>
      <c r="J1043" t="s">
        <v>5569</v>
      </c>
      <c r="K1043" s="80" t="s">
        <v>7040</v>
      </c>
    </row>
    <row r="1044" spans="1:11" ht="15.75" thickBot="1" x14ac:dyDescent="0.3">
      <c r="A1044" s="123">
        <v>1043</v>
      </c>
      <c r="B1044" s="10">
        <v>2035</v>
      </c>
      <c r="C1044" s="125" t="s">
        <v>186</v>
      </c>
      <c r="D1044" t="s">
        <v>7041</v>
      </c>
      <c r="E1044" s="80" t="s">
        <v>7042</v>
      </c>
      <c r="F1044" s="111" t="s">
        <v>7043</v>
      </c>
      <c r="G1044" t="s">
        <v>6082</v>
      </c>
      <c r="H1044" s="80" t="s">
        <v>7044</v>
      </c>
      <c r="I1044" s="80" t="s">
        <v>7045</v>
      </c>
      <c r="J1044" t="s">
        <v>5638</v>
      </c>
      <c r="K1044" s="80" t="s">
        <v>7046</v>
      </c>
    </row>
    <row r="1045" spans="1:11" x14ac:dyDescent="0.25">
      <c r="A1045" s="123">
        <v>1044</v>
      </c>
      <c r="B1045" s="10">
        <v>2035</v>
      </c>
      <c r="C1045" s="126" t="s">
        <v>188</v>
      </c>
      <c r="D1045" t="s">
        <v>6245</v>
      </c>
      <c r="E1045" s="80" t="s">
        <v>7047</v>
      </c>
      <c r="F1045" t="s">
        <v>7048</v>
      </c>
      <c r="G1045" t="s">
        <v>5324</v>
      </c>
      <c r="H1045" t="s">
        <v>7049</v>
      </c>
      <c r="I1045" t="s">
        <v>7050</v>
      </c>
      <c r="J1045" t="s">
        <v>6752</v>
      </c>
      <c r="K1045" s="80" t="s">
        <v>7051</v>
      </c>
    </row>
    <row r="1046" spans="1:11" x14ac:dyDescent="0.25">
      <c r="A1046" s="123">
        <v>1045</v>
      </c>
      <c r="B1046" s="10">
        <v>2035</v>
      </c>
      <c r="C1046" s="125" t="s">
        <v>182</v>
      </c>
      <c r="D1046" t="s">
        <v>583</v>
      </c>
      <c r="E1046" t="s">
        <v>7052</v>
      </c>
      <c r="F1046" t="s">
        <v>2194</v>
      </c>
      <c r="G1046" s="80" t="s">
        <v>7053</v>
      </c>
      <c r="H1046" t="s">
        <v>7054</v>
      </c>
      <c r="I1046" t="s">
        <v>7055</v>
      </c>
      <c r="J1046" s="80" t="s">
        <v>5517</v>
      </c>
      <c r="K1046" t="s">
        <v>7056</v>
      </c>
    </row>
    <row r="1047" spans="1:11" x14ac:dyDescent="0.25">
      <c r="A1047" s="123">
        <v>1046</v>
      </c>
      <c r="B1047" s="10">
        <v>2035</v>
      </c>
      <c r="C1047" s="125" t="s">
        <v>184</v>
      </c>
      <c r="D1047" t="s">
        <v>7057</v>
      </c>
      <c r="E1047" t="s">
        <v>7058</v>
      </c>
      <c r="F1047" t="s">
        <v>7059</v>
      </c>
      <c r="G1047" t="s">
        <v>7060</v>
      </c>
      <c r="H1047" t="s">
        <v>7061</v>
      </c>
      <c r="I1047" s="80" t="s">
        <v>7062</v>
      </c>
      <c r="J1047" t="s">
        <v>5307</v>
      </c>
      <c r="K1047" t="s">
        <v>7063</v>
      </c>
    </row>
    <row r="1048" spans="1:11" x14ac:dyDescent="0.25">
      <c r="A1048" s="123">
        <v>1047</v>
      </c>
      <c r="B1048" s="10">
        <v>2035</v>
      </c>
      <c r="C1048" s="125" t="s">
        <v>187</v>
      </c>
      <c r="D1048" t="s">
        <v>7064</v>
      </c>
      <c r="E1048" t="s">
        <v>7065</v>
      </c>
      <c r="F1048" t="s">
        <v>7066</v>
      </c>
      <c r="G1048" t="s">
        <v>7067</v>
      </c>
      <c r="H1048" t="s">
        <v>7068</v>
      </c>
      <c r="I1048" s="80" t="s">
        <v>7069</v>
      </c>
      <c r="J1048" t="s">
        <v>2248</v>
      </c>
      <c r="K1048" t="s">
        <v>7070</v>
      </c>
    </row>
    <row r="1049" spans="1:11" x14ac:dyDescent="0.25">
      <c r="A1049" s="123">
        <v>1048</v>
      </c>
      <c r="B1049" s="10">
        <v>2035</v>
      </c>
      <c r="C1049" s="125" t="s">
        <v>189</v>
      </c>
      <c r="D1049" t="s">
        <v>7071</v>
      </c>
      <c r="E1049" t="s">
        <v>7072</v>
      </c>
      <c r="F1049" t="s">
        <v>3202</v>
      </c>
      <c r="G1049" t="s">
        <v>7060</v>
      </c>
      <c r="H1049" t="s">
        <v>7073</v>
      </c>
      <c r="I1049" s="80" t="s">
        <v>7074</v>
      </c>
      <c r="J1049" t="s">
        <v>5826</v>
      </c>
      <c r="K1049" t="s">
        <v>7075</v>
      </c>
    </row>
    <row r="1050" spans="1:11" x14ac:dyDescent="0.25">
      <c r="A1050" s="123">
        <v>1049</v>
      </c>
      <c r="B1050" s="10">
        <v>2036</v>
      </c>
      <c r="C1050" s="125" t="s">
        <v>162</v>
      </c>
      <c r="D1050" t="s">
        <v>5517</v>
      </c>
      <c r="E1050" t="s">
        <v>7076</v>
      </c>
      <c r="F1050" t="s">
        <v>5465</v>
      </c>
      <c r="G1050" t="s">
        <v>7077</v>
      </c>
      <c r="H1050" t="s">
        <v>6257</v>
      </c>
      <c r="I1050" t="s">
        <v>4712</v>
      </c>
      <c r="J1050" t="s">
        <v>5239</v>
      </c>
      <c r="K1050" t="s">
        <v>7078</v>
      </c>
    </row>
    <row r="1051" spans="1:11" x14ac:dyDescent="0.25">
      <c r="A1051" s="123">
        <v>1050</v>
      </c>
      <c r="B1051" s="10">
        <v>2036</v>
      </c>
      <c r="C1051" s="127" t="s">
        <v>170</v>
      </c>
      <c r="D1051" t="s">
        <v>6531</v>
      </c>
      <c r="E1051" t="s">
        <v>7079</v>
      </c>
      <c r="F1051" t="s">
        <v>7080</v>
      </c>
      <c r="G1051" t="s">
        <v>7060</v>
      </c>
      <c r="H1051" t="s">
        <v>7081</v>
      </c>
      <c r="I1051" s="80" t="s">
        <v>7082</v>
      </c>
      <c r="J1051" t="s">
        <v>5250</v>
      </c>
      <c r="K1051" t="s">
        <v>7083</v>
      </c>
    </row>
    <row r="1052" spans="1:11" x14ac:dyDescent="0.25">
      <c r="A1052" s="123">
        <v>1051</v>
      </c>
      <c r="B1052" s="10">
        <v>2036</v>
      </c>
      <c r="C1052" s="122" t="s">
        <v>178</v>
      </c>
      <c r="D1052" t="s">
        <v>5252</v>
      </c>
      <c r="E1052" t="s">
        <v>7084</v>
      </c>
      <c r="F1052" t="s">
        <v>7085</v>
      </c>
      <c r="G1052" t="s">
        <v>7086</v>
      </c>
      <c r="H1052" t="s">
        <v>7087</v>
      </c>
      <c r="I1052" s="80" t="s">
        <v>7088</v>
      </c>
      <c r="J1052" t="s">
        <v>5461</v>
      </c>
      <c r="K1052" t="s">
        <v>7089</v>
      </c>
    </row>
    <row r="1053" spans="1:11" x14ac:dyDescent="0.25">
      <c r="A1053" s="123">
        <v>1052</v>
      </c>
      <c r="B1053" s="10">
        <v>2036</v>
      </c>
      <c r="C1053" s="122" t="s">
        <v>163</v>
      </c>
      <c r="D1053" t="s">
        <v>5252</v>
      </c>
      <c r="E1053" s="80" t="s">
        <v>7090</v>
      </c>
      <c r="F1053" t="s">
        <v>7091</v>
      </c>
      <c r="G1053" t="s">
        <v>7092</v>
      </c>
      <c r="H1053" t="s">
        <v>7093</v>
      </c>
      <c r="I1053" s="80" t="s">
        <v>7094</v>
      </c>
      <c r="J1053" t="s">
        <v>5327</v>
      </c>
      <c r="K1053" s="80" t="s">
        <v>7095</v>
      </c>
    </row>
    <row r="1054" spans="1:11" x14ac:dyDescent="0.25">
      <c r="A1054" s="123">
        <v>1053</v>
      </c>
      <c r="B1054" s="10">
        <v>2036</v>
      </c>
      <c r="C1054" s="122" t="s">
        <v>181</v>
      </c>
      <c r="D1054" t="s">
        <v>6376</v>
      </c>
      <c r="E1054" s="80" t="s">
        <v>7096</v>
      </c>
      <c r="F1054" t="s">
        <v>7097</v>
      </c>
      <c r="G1054" t="s">
        <v>3768</v>
      </c>
      <c r="H1054" t="s">
        <v>7098</v>
      </c>
      <c r="I1054" t="s">
        <v>7099</v>
      </c>
      <c r="J1054" t="s">
        <v>5237</v>
      </c>
      <c r="K1054" t="s">
        <v>7100</v>
      </c>
    </row>
    <row r="1055" spans="1:11" x14ac:dyDescent="0.25">
      <c r="A1055" s="123">
        <v>1054</v>
      </c>
      <c r="B1055" s="10">
        <v>2036</v>
      </c>
      <c r="C1055" s="122" t="s">
        <v>183</v>
      </c>
      <c r="D1055" t="s">
        <v>5340</v>
      </c>
      <c r="E1055" s="80" t="s">
        <v>7101</v>
      </c>
      <c r="F1055" t="s">
        <v>7102</v>
      </c>
      <c r="G1055" t="s">
        <v>7086</v>
      </c>
      <c r="H1055" t="s">
        <v>7103</v>
      </c>
      <c r="I1055" s="80" t="s">
        <v>7104</v>
      </c>
      <c r="J1055" t="s">
        <v>6091</v>
      </c>
      <c r="K1055" t="s">
        <v>7105</v>
      </c>
    </row>
    <row r="1056" spans="1:11" x14ac:dyDescent="0.25">
      <c r="A1056" s="123">
        <v>1055</v>
      </c>
      <c r="B1056" s="10">
        <v>2036</v>
      </c>
      <c r="C1056" s="122" t="s">
        <v>186</v>
      </c>
      <c r="D1056" t="s">
        <v>7106</v>
      </c>
      <c r="E1056" s="80" t="s">
        <v>7107</v>
      </c>
      <c r="F1056" s="111" t="s">
        <v>7108</v>
      </c>
      <c r="G1056" t="s">
        <v>7109</v>
      </c>
      <c r="H1056" s="80" t="s">
        <v>7110</v>
      </c>
      <c r="I1056" s="80" t="s">
        <v>7111</v>
      </c>
      <c r="J1056" t="s">
        <v>5638</v>
      </c>
      <c r="K1056" s="80" t="s">
        <v>7112</v>
      </c>
    </row>
    <row r="1057" spans="1:11" x14ac:dyDescent="0.25">
      <c r="A1057" s="123">
        <v>1056</v>
      </c>
      <c r="B1057" s="10">
        <v>2036</v>
      </c>
      <c r="C1057" s="122" t="s">
        <v>188</v>
      </c>
      <c r="D1057" t="s">
        <v>5640</v>
      </c>
      <c r="E1057" s="80" t="s">
        <v>7113</v>
      </c>
      <c r="F1057" t="s">
        <v>7114</v>
      </c>
      <c r="G1057" t="s">
        <v>7115</v>
      </c>
      <c r="H1057" t="s">
        <v>7116</v>
      </c>
      <c r="I1057" s="80" t="s">
        <v>7117</v>
      </c>
      <c r="J1057" t="s">
        <v>5684</v>
      </c>
      <c r="K1057" s="80" t="s">
        <v>7118</v>
      </c>
    </row>
    <row r="1058" spans="1:11" x14ac:dyDescent="0.25">
      <c r="A1058" s="123">
        <v>1057</v>
      </c>
      <c r="B1058" s="10">
        <v>2036</v>
      </c>
      <c r="C1058" s="122" t="s">
        <v>182</v>
      </c>
      <c r="D1058" t="s">
        <v>583</v>
      </c>
      <c r="E1058" t="s">
        <v>7119</v>
      </c>
      <c r="F1058" t="s">
        <v>6530</v>
      </c>
      <c r="G1058" t="s">
        <v>7120</v>
      </c>
      <c r="H1058" t="s">
        <v>7121</v>
      </c>
      <c r="I1058" t="s">
        <v>7122</v>
      </c>
      <c r="J1058" t="s">
        <v>5798</v>
      </c>
      <c r="K1058" t="s">
        <v>3899</v>
      </c>
    </row>
    <row r="1059" spans="1:11" x14ac:dyDescent="0.25">
      <c r="A1059" s="123">
        <v>1058</v>
      </c>
      <c r="B1059" s="10">
        <v>2036</v>
      </c>
      <c r="C1059" s="122" t="s">
        <v>184</v>
      </c>
      <c r="D1059" t="s">
        <v>4646</v>
      </c>
      <c r="E1059" s="80" t="s">
        <v>7123</v>
      </c>
      <c r="F1059" t="s">
        <v>7124</v>
      </c>
      <c r="G1059" t="s">
        <v>7092</v>
      </c>
      <c r="H1059" t="s">
        <v>7125</v>
      </c>
      <c r="I1059" s="80" t="s">
        <v>7126</v>
      </c>
      <c r="J1059" t="s">
        <v>6184</v>
      </c>
      <c r="K1059" t="s">
        <v>7127</v>
      </c>
    </row>
    <row r="1060" spans="1:11" x14ac:dyDescent="0.25">
      <c r="A1060" s="123">
        <v>1059</v>
      </c>
      <c r="B1060" s="10">
        <v>2036</v>
      </c>
      <c r="C1060" s="122" t="s">
        <v>187</v>
      </c>
      <c r="D1060" t="s">
        <v>2499</v>
      </c>
      <c r="E1060" s="80" t="s">
        <v>7128</v>
      </c>
      <c r="F1060" t="s">
        <v>7129</v>
      </c>
      <c r="G1060" t="s">
        <v>7130</v>
      </c>
      <c r="H1060" s="80" t="s">
        <v>7131</v>
      </c>
      <c r="I1060" s="80" t="s">
        <v>7132</v>
      </c>
      <c r="J1060" t="s">
        <v>5354</v>
      </c>
      <c r="K1060" t="s">
        <v>7133</v>
      </c>
    </row>
    <row r="1061" spans="1:11" x14ac:dyDescent="0.25">
      <c r="A1061" s="123">
        <v>1060</v>
      </c>
      <c r="B1061" s="10">
        <v>2036</v>
      </c>
      <c r="C1061" s="122" t="s">
        <v>189</v>
      </c>
      <c r="D1061" t="s">
        <v>5640</v>
      </c>
      <c r="E1061" t="s">
        <v>7134</v>
      </c>
      <c r="F1061" t="s">
        <v>7135</v>
      </c>
      <c r="G1061" t="s">
        <v>7136</v>
      </c>
      <c r="H1061" t="s">
        <v>7137</v>
      </c>
      <c r="I1061" s="80" t="s">
        <v>7138</v>
      </c>
      <c r="J1061" t="s">
        <v>5510</v>
      </c>
      <c r="K1061" t="s">
        <v>7139</v>
      </c>
    </row>
    <row r="1062" spans="1:11" x14ac:dyDescent="0.25">
      <c r="A1062" s="123">
        <v>1061</v>
      </c>
      <c r="B1062" s="10">
        <v>2037</v>
      </c>
      <c r="C1062" s="127" t="s">
        <v>162</v>
      </c>
      <c r="D1062" t="s">
        <v>5621</v>
      </c>
      <c r="E1062" s="80" t="s">
        <v>7140</v>
      </c>
      <c r="F1062" t="s">
        <v>5799</v>
      </c>
      <c r="G1062" t="s">
        <v>7141</v>
      </c>
      <c r="H1062" t="s">
        <v>7142</v>
      </c>
      <c r="I1062" t="s">
        <v>5770</v>
      </c>
      <c r="J1062" t="s">
        <v>5993</v>
      </c>
      <c r="K1062" t="s">
        <v>4689</v>
      </c>
    </row>
    <row r="1063" spans="1:11" x14ac:dyDescent="0.25">
      <c r="A1063" s="123">
        <v>1062</v>
      </c>
      <c r="B1063" s="10">
        <v>2037</v>
      </c>
      <c r="C1063" s="125" t="s">
        <v>170</v>
      </c>
      <c r="D1063" t="s">
        <v>4646</v>
      </c>
      <c r="E1063" s="80" t="s">
        <v>7143</v>
      </c>
      <c r="F1063" t="s">
        <v>7144</v>
      </c>
      <c r="G1063" t="s">
        <v>7145</v>
      </c>
      <c r="H1063" t="s">
        <v>7146</v>
      </c>
      <c r="I1063" s="80" t="s">
        <v>7147</v>
      </c>
      <c r="J1063" t="s">
        <v>3727</v>
      </c>
      <c r="K1063" t="s">
        <v>7148</v>
      </c>
    </row>
    <row r="1064" spans="1:11" x14ac:dyDescent="0.25">
      <c r="A1064" s="123">
        <v>1063</v>
      </c>
      <c r="B1064" s="10">
        <v>2037</v>
      </c>
      <c r="C1064" s="125" t="s">
        <v>178</v>
      </c>
      <c r="D1064" t="s">
        <v>5611</v>
      </c>
      <c r="E1064" s="80" t="s">
        <v>7149</v>
      </c>
      <c r="F1064" t="s">
        <v>7150</v>
      </c>
      <c r="G1064" t="s">
        <v>7151</v>
      </c>
      <c r="H1064" t="s">
        <v>7152</v>
      </c>
      <c r="I1064" s="80" t="s">
        <v>7153</v>
      </c>
      <c r="J1064" t="s">
        <v>5307</v>
      </c>
      <c r="K1064" t="s">
        <v>7154</v>
      </c>
    </row>
    <row r="1065" spans="1:11" x14ac:dyDescent="0.25">
      <c r="A1065" s="123">
        <v>1064</v>
      </c>
      <c r="B1065" s="10">
        <v>2037</v>
      </c>
      <c r="C1065" s="125" t="s">
        <v>163</v>
      </c>
      <c r="D1065" t="s">
        <v>7155</v>
      </c>
      <c r="E1065" s="80" t="s">
        <v>7156</v>
      </c>
      <c r="F1065" t="s">
        <v>7157</v>
      </c>
      <c r="G1065" t="s">
        <v>7158</v>
      </c>
      <c r="H1065" t="s">
        <v>7159</v>
      </c>
      <c r="I1065" s="80" t="s">
        <v>7160</v>
      </c>
      <c r="J1065" t="s">
        <v>2248</v>
      </c>
      <c r="K1065" t="s">
        <v>7161</v>
      </c>
    </row>
    <row r="1066" spans="1:11" x14ac:dyDescent="0.25">
      <c r="A1066" s="123">
        <v>1065</v>
      </c>
      <c r="B1066" s="10">
        <v>2037</v>
      </c>
      <c r="C1066" s="125" t="s">
        <v>181</v>
      </c>
      <c r="D1066" t="s">
        <v>5621</v>
      </c>
      <c r="E1066" s="80" t="s">
        <v>7162</v>
      </c>
      <c r="F1066" t="s">
        <v>7163</v>
      </c>
      <c r="G1066" t="s">
        <v>7145</v>
      </c>
      <c r="H1066" t="s">
        <v>5094</v>
      </c>
      <c r="I1066" t="s">
        <v>7164</v>
      </c>
      <c r="J1066" t="s">
        <v>5230</v>
      </c>
      <c r="K1066" t="s">
        <v>7165</v>
      </c>
    </row>
    <row r="1067" spans="1:11" ht="15.75" thickBot="1" x14ac:dyDescent="0.3">
      <c r="A1067" s="123">
        <v>1066</v>
      </c>
      <c r="B1067" s="10">
        <v>2037</v>
      </c>
      <c r="C1067" s="125" t="s">
        <v>183</v>
      </c>
      <c r="D1067" t="s">
        <v>6290</v>
      </c>
      <c r="E1067" s="80" t="s">
        <v>7166</v>
      </c>
      <c r="F1067" t="s">
        <v>7167</v>
      </c>
      <c r="G1067" t="s">
        <v>7168</v>
      </c>
      <c r="H1067" t="s">
        <v>7169</v>
      </c>
      <c r="I1067" s="80" t="s">
        <v>7170</v>
      </c>
      <c r="J1067" t="s">
        <v>5354</v>
      </c>
      <c r="K1067" t="s">
        <v>7171</v>
      </c>
    </row>
    <row r="1068" spans="1:11" x14ac:dyDescent="0.25">
      <c r="A1068" s="123">
        <v>1067</v>
      </c>
      <c r="B1068" s="10">
        <v>2037</v>
      </c>
      <c r="C1068" s="126" t="s">
        <v>186</v>
      </c>
      <c r="D1068" t="s">
        <v>6936</v>
      </c>
      <c r="E1068" s="80" t="s">
        <v>7172</v>
      </c>
      <c r="F1068" t="s">
        <v>7173</v>
      </c>
      <c r="G1068" t="s">
        <v>7115</v>
      </c>
      <c r="H1068" s="80" t="s">
        <v>7174</v>
      </c>
      <c r="I1068" s="80" t="s">
        <v>7175</v>
      </c>
      <c r="J1068" t="s">
        <v>6418</v>
      </c>
      <c r="K1068" s="80" t="s">
        <v>7176</v>
      </c>
    </row>
    <row r="1069" spans="1:11" x14ac:dyDescent="0.25">
      <c r="A1069" s="123">
        <v>1068</v>
      </c>
      <c r="B1069" s="10">
        <v>2037</v>
      </c>
      <c r="C1069" s="125" t="s">
        <v>188</v>
      </c>
      <c r="D1069" t="s">
        <v>5565</v>
      </c>
      <c r="E1069" s="80" t="s">
        <v>7177</v>
      </c>
      <c r="F1069" t="s">
        <v>7178</v>
      </c>
      <c r="G1069" t="s">
        <v>7179</v>
      </c>
      <c r="H1069" t="s">
        <v>7180</v>
      </c>
      <c r="I1069" s="80" t="s">
        <v>7181</v>
      </c>
      <c r="J1069" t="s">
        <v>6294</v>
      </c>
      <c r="K1069" t="s">
        <v>7182</v>
      </c>
    </row>
    <row r="1070" spans="1:11" x14ac:dyDescent="0.25">
      <c r="A1070" s="123">
        <v>1069</v>
      </c>
      <c r="B1070" s="10">
        <v>2037</v>
      </c>
      <c r="C1070" s="125" t="s">
        <v>182</v>
      </c>
      <c r="D1070" t="s">
        <v>583</v>
      </c>
      <c r="E1070" t="s">
        <v>7183</v>
      </c>
      <c r="F1070" t="s">
        <v>7184</v>
      </c>
      <c r="G1070" s="80" t="s">
        <v>3456</v>
      </c>
      <c r="H1070" t="s">
        <v>5930</v>
      </c>
      <c r="I1070" t="s">
        <v>4146</v>
      </c>
      <c r="J1070" t="s">
        <v>583</v>
      </c>
      <c r="K1070" t="s">
        <v>5465</v>
      </c>
    </row>
    <row r="1071" spans="1:11" x14ac:dyDescent="0.25">
      <c r="A1071" s="123">
        <v>1070</v>
      </c>
      <c r="B1071" s="10">
        <v>2037</v>
      </c>
      <c r="C1071" s="125" t="s">
        <v>184</v>
      </c>
      <c r="D1071" t="s">
        <v>5621</v>
      </c>
      <c r="E1071" t="s">
        <v>7185</v>
      </c>
      <c r="F1071" t="s">
        <v>7186</v>
      </c>
      <c r="G1071" t="s">
        <v>7187</v>
      </c>
      <c r="H1071" t="s">
        <v>7188</v>
      </c>
      <c r="I1071" s="80" t="s">
        <v>7189</v>
      </c>
      <c r="J1071" t="s">
        <v>5237</v>
      </c>
      <c r="K1071" t="s">
        <v>7190</v>
      </c>
    </row>
    <row r="1072" spans="1:11" x14ac:dyDescent="0.25">
      <c r="A1072" s="123">
        <v>1071</v>
      </c>
      <c r="B1072" s="10">
        <v>2037</v>
      </c>
      <c r="C1072" s="125" t="s">
        <v>187</v>
      </c>
      <c r="D1072" t="s">
        <v>7191</v>
      </c>
      <c r="E1072" t="s">
        <v>7192</v>
      </c>
      <c r="F1072" t="s">
        <v>7193</v>
      </c>
      <c r="G1072" t="s">
        <v>7194</v>
      </c>
      <c r="H1072" s="80" t="s">
        <v>7195</v>
      </c>
      <c r="I1072" s="80" t="s">
        <v>7196</v>
      </c>
      <c r="J1072" t="s">
        <v>5481</v>
      </c>
      <c r="K1072" t="s">
        <v>7197</v>
      </c>
    </row>
    <row r="1073" spans="1:11" x14ac:dyDescent="0.25">
      <c r="A1073" s="123">
        <v>1072</v>
      </c>
      <c r="B1073" s="10">
        <v>2037</v>
      </c>
      <c r="C1073" s="125" t="s">
        <v>189</v>
      </c>
      <c r="D1073" t="s">
        <v>7198</v>
      </c>
      <c r="E1073" t="s">
        <v>7199</v>
      </c>
      <c r="F1073" t="s">
        <v>7200</v>
      </c>
      <c r="G1073" t="s">
        <v>7141</v>
      </c>
      <c r="H1073" t="s">
        <v>7201</v>
      </c>
      <c r="I1073" s="80" t="s">
        <v>7202</v>
      </c>
      <c r="J1073" t="s">
        <v>5307</v>
      </c>
      <c r="K1073" t="s">
        <v>7203</v>
      </c>
    </row>
    <row r="1074" spans="1:11" x14ac:dyDescent="0.25">
      <c r="A1074" s="123">
        <v>1073</v>
      </c>
      <c r="B1074" s="10">
        <v>2038</v>
      </c>
      <c r="C1074" s="127" t="s">
        <v>162</v>
      </c>
      <c r="D1074" t="s">
        <v>5621</v>
      </c>
      <c r="E1074" s="80" t="s">
        <v>7140</v>
      </c>
      <c r="F1074" t="s">
        <v>1387</v>
      </c>
      <c r="G1074" t="s">
        <v>7204</v>
      </c>
      <c r="H1074" t="s">
        <v>6607</v>
      </c>
      <c r="I1074" t="s">
        <v>7205</v>
      </c>
      <c r="J1074" t="s">
        <v>6569</v>
      </c>
      <c r="K1074" t="s">
        <v>7206</v>
      </c>
    </row>
    <row r="1075" spans="1:11" x14ac:dyDescent="0.25">
      <c r="A1075" s="123">
        <v>1074</v>
      </c>
      <c r="B1075" s="10">
        <v>2038</v>
      </c>
      <c r="C1075" s="125" t="s">
        <v>170</v>
      </c>
      <c r="D1075" t="s">
        <v>4646</v>
      </c>
      <c r="E1075" s="80" t="s">
        <v>7207</v>
      </c>
      <c r="F1075" t="s">
        <v>4803</v>
      </c>
      <c r="G1075" t="s">
        <v>7151</v>
      </c>
      <c r="H1075" t="s">
        <v>7208</v>
      </c>
      <c r="I1075" s="80" t="s">
        <v>7209</v>
      </c>
      <c r="J1075" t="s">
        <v>6184</v>
      </c>
      <c r="K1075" t="s">
        <v>7210</v>
      </c>
    </row>
    <row r="1076" spans="1:11" x14ac:dyDescent="0.25">
      <c r="A1076" s="123">
        <v>1075</v>
      </c>
      <c r="B1076" s="10">
        <v>2038</v>
      </c>
      <c r="C1076" s="125" t="s">
        <v>178</v>
      </c>
      <c r="D1076" t="s">
        <v>7211</v>
      </c>
      <c r="E1076" s="80" t="s">
        <v>7212</v>
      </c>
      <c r="F1076" t="s">
        <v>7213</v>
      </c>
      <c r="G1076" t="s">
        <v>7214</v>
      </c>
      <c r="H1076" t="s">
        <v>7215</v>
      </c>
      <c r="I1076" s="80" t="s">
        <v>7216</v>
      </c>
      <c r="J1076" t="s">
        <v>5876</v>
      </c>
      <c r="K1076" t="s">
        <v>7217</v>
      </c>
    </row>
    <row r="1077" spans="1:11" x14ac:dyDescent="0.25">
      <c r="A1077" s="123">
        <v>1076</v>
      </c>
      <c r="B1077" s="10">
        <v>2038</v>
      </c>
      <c r="C1077" s="125" t="s">
        <v>163</v>
      </c>
      <c r="D1077" t="s">
        <v>7106</v>
      </c>
      <c r="E1077" s="80" t="s">
        <v>7218</v>
      </c>
      <c r="F1077" t="s">
        <v>7219</v>
      </c>
      <c r="G1077" t="s">
        <v>7092</v>
      </c>
      <c r="H1077" t="s">
        <v>7220</v>
      </c>
      <c r="I1077" s="80" t="s">
        <v>7221</v>
      </c>
      <c r="J1077" t="s">
        <v>5334</v>
      </c>
      <c r="K1077" t="s">
        <v>7222</v>
      </c>
    </row>
    <row r="1078" spans="1:11" x14ac:dyDescent="0.25">
      <c r="A1078" s="123">
        <v>1077</v>
      </c>
      <c r="B1078" s="10">
        <v>2038</v>
      </c>
      <c r="C1078" s="127" t="s">
        <v>181</v>
      </c>
      <c r="D1078" t="s">
        <v>6376</v>
      </c>
      <c r="E1078" s="80" t="s">
        <v>7223</v>
      </c>
      <c r="F1078" t="s">
        <v>5597</v>
      </c>
      <c r="G1078" t="s">
        <v>7086</v>
      </c>
      <c r="H1078" t="s">
        <v>7224</v>
      </c>
      <c r="I1078" t="s">
        <v>7225</v>
      </c>
      <c r="J1078" t="s">
        <v>2248</v>
      </c>
      <c r="K1078" t="s">
        <v>7226</v>
      </c>
    </row>
    <row r="1079" spans="1:11" x14ac:dyDescent="0.25">
      <c r="A1079" s="123">
        <v>1078</v>
      </c>
      <c r="B1079" s="10">
        <v>2038</v>
      </c>
      <c r="C1079" s="125" t="s">
        <v>183</v>
      </c>
      <c r="D1079" t="s">
        <v>5314</v>
      </c>
      <c r="E1079" s="80" t="s">
        <v>7227</v>
      </c>
      <c r="F1079" t="s">
        <v>7228</v>
      </c>
      <c r="G1079" t="s">
        <v>7115</v>
      </c>
      <c r="H1079" s="80" t="s">
        <v>7229</v>
      </c>
      <c r="I1079" s="80" t="s">
        <v>7230</v>
      </c>
      <c r="J1079" t="s">
        <v>5429</v>
      </c>
      <c r="K1079" s="80" t="s">
        <v>7231</v>
      </c>
    </row>
    <row r="1080" spans="1:11" x14ac:dyDescent="0.25">
      <c r="A1080" s="123">
        <v>1079</v>
      </c>
      <c r="B1080" s="10">
        <v>2038</v>
      </c>
      <c r="C1080" s="125" t="s">
        <v>186</v>
      </c>
      <c r="D1080" t="s">
        <v>5424</v>
      </c>
      <c r="E1080" s="80" t="s">
        <v>7232</v>
      </c>
      <c r="F1080" t="s">
        <v>7233</v>
      </c>
      <c r="G1080" t="s">
        <v>7234</v>
      </c>
      <c r="H1080" s="80" t="s">
        <v>7235</v>
      </c>
      <c r="I1080" s="80" t="s">
        <v>7236</v>
      </c>
      <c r="J1080" t="s">
        <v>6752</v>
      </c>
      <c r="K1080" s="80" t="s">
        <v>7237</v>
      </c>
    </row>
    <row r="1081" spans="1:11" x14ac:dyDescent="0.25">
      <c r="A1081" s="123">
        <v>1080</v>
      </c>
      <c r="B1081" s="10">
        <v>2038</v>
      </c>
      <c r="C1081" s="125" t="s">
        <v>188</v>
      </c>
      <c r="D1081" t="s">
        <v>6936</v>
      </c>
      <c r="E1081" s="80" t="s">
        <v>7238</v>
      </c>
      <c r="F1081" t="s">
        <v>7239</v>
      </c>
      <c r="G1081" t="s">
        <v>7136</v>
      </c>
      <c r="H1081" t="s">
        <v>7240</v>
      </c>
      <c r="I1081" s="80" t="s">
        <v>7241</v>
      </c>
      <c r="J1081" t="s">
        <v>6767</v>
      </c>
      <c r="K1081" s="80" t="s">
        <v>7242</v>
      </c>
    </row>
    <row r="1082" spans="1:11" x14ac:dyDescent="0.25">
      <c r="A1082" s="123">
        <v>1081</v>
      </c>
      <c r="B1082" s="10">
        <v>2038</v>
      </c>
      <c r="C1082" s="125" t="s">
        <v>182</v>
      </c>
      <c r="D1082" s="80" t="s">
        <v>7243</v>
      </c>
      <c r="E1082" t="s">
        <v>7244</v>
      </c>
      <c r="F1082" t="s">
        <v>5362</v>
      </c>
      <c r="G1082" s="80" t="s">
        <v>7245</v>
      </c>
      <c r="H1082" t="s">
        <v>7246</v>
      </c>
      <c r="I1082" s="80" t="s">
        <v>7247</v>
      </c>
      <c r="J1082" t="s">
        <v>5723</v>
      </c>
      <c r="K1082" t="s">
        <v>6609</v>
      </c>
    </row>
    <row r="1083" spans="1:11" x14ac:dyDescent="0.25">
      <c r="A1083" s="123">
        <v>1082</v>
      </c>
      <c r="B1083" s="10">
        <v>2038</v>
      </c>
      <c r="C1083" s="125" t="s">
        <v>184</v>
      </c>
      <c r="D1083" t="s">
        <v>7248</v>
      </c>
      <c r="E1083" t="s">
        <v>7249</v>
      </c>
      <c r="F1083" t="s">
        <v>7250</v>
      </c>
      <c r="G1083" t="s">
        <v>7204</v>
      </c>
      <c r="H1083" t="s">
        <v>7251</v>
      </c>
      <c r="I1083" s="80" t="s">
        <v>7252</v>
      </c>
      <c r="J1083" t="s">
        <v>5307</v>
      </c>
      <c r="K1083" t="s">
        <v>7253</v>
      </c>
    </row>
    <row r="1084" spans="1:11" x14ac:dyDescent="0.25">
      <c r="A1084" s="123">
        <v>1083</v>
      </c>
      <c r="B1084" s="10">
        <v>2038</v>
      </c>
      <c r="C1084" s="125" t="s">
        <v>187</v>
      </c>
      <c r="D1084" t="s">
        <v>7254</v>
      </c>
      <c r="E1084" t="s">
        <v>7255</v>
      </c>
      <c r="F1084" t="s">
        <v>7256</v>
      </c>
      <c r="G1084" t="s">
        <v>7151</v>
      </c>
      <c r="H1084" s="80" t="s">
        <v>7257</v>
      </c>
      <c r="I1084" s="80" t="s">
        <v>7258</v>
      </c>
      <c r="J1084" t="s">
        <v>5645</v>
      </c>
      <c r="K1084" t="s">
        <v>7259</v>
      </c>
    </row>
    <row r="1085" spans="1:11" x14ac:dyDescent="0.25">
      <c r="A1085" s="123">
        <v>1084</v>
      </c>
      <c r="B1085" s="10">
        <v>2038</v>
      </c>
      <c r="C1085" s="125" t="s">
        <v>189</v>
      </c>
      <c r="D1085" t="s">
        <v>7260</v>
      </c>
      <c r="E1085" t="s">
        <v>7261</v>
      </c>
      <c r="F1085" t="s">
        <v>7262</v>
      </c>
      <c r="G1085" t="s">
        <v>7067</v>
      </c>
      <c r="H1085" t="s">
        <v>7263</v>
      </c>
      <c r="I1085" s="80" t="s">
        <v>7264</v>
      </c>
      <c r="J1085" t="s">
        <v>5449</v>
      </c>
      <c r="K1085" t="s">
        <v>7265</v>
      </c>
    </row>
    <row r="1086" spans="1:11" x14ac:dyDescent="0.25">
      <c r="A1086" s="123">
        <v>1085</v>
      </c>
      <c r="B1086" s="10">
        <v>2039</v>
      </c>
      <c r="C1086" s="125" t="s">
        <v>162</v>
      </c>
      <c r="D1086" t="s">
        <v>5313</v>
      </c>
      <c r="E1086" s="80" t="s">
        <v>7266</v>
      </c>
      <c r="F1086" t="s">
        <v>5515</v>
      </c>
      <c r="G1086" t="s">
        <v>7187</v>
      </c>
      <c r="H1086" t="s">
        <v>7142</v>
      </c>
      <c r="I1086" t="s">
        <v>7267</v>
      </c>
      <c r="J1086" t="s">
        <v>6569</v>
      </c>
      <c r="K1086" t="s">
        <v>7056</v>
      </c>
    </row>
    <row r="1087" spans="1:11" x14ac:dyDescent="0.25">
      <c r="A1087" s="123">
        <v>1086</v>
      </c>
      <c r="B1087" s="10">
        <v>2039</v>
      </c>
      <c r="C1087" s="125" t="s">
        <v>170</v>
      </c>
      <c r="D1087" t="s">
        <v>7268</v>
      </c>
      <c r="E1087" s="80" t="s">
        <v>7269</v>
      </c>
      <c r="F1087" t="s">
        <v>7270</v>
      </c>
      <c r="G1087" t="s">
        <v>7086</v>
      </c>
      <c r="H1087" t="s">
        <v>7271</v>
      </c>
      <c r="I1087" s="80" t="s">
        <v>7272</v>
      </c>
      <c r="J1087" t="s">
        <v>2248</v>
      </c>
      <c r="K1087" t="s">
        <v>7273</v>
      </c>
    </row>
    <row r="1088" spans="1:11" x14ac:dyDescent="0.25">
      <c r="A1088" s="123">
        <v>1087</v>
      </c>
      <c r="B1088" s="10">
        <v>2039</v>
      </c>
      <c r="C1088" s="125" t="s">
        <v>178</v>
      </c>
      <c r="D1088" t="s">
        <v>6180</v>
      </c>
      <c r="E1088" s="80" t="s">
        <v>7140</v>
      </c>
      <c r="F1088" t="s">
        <v>7274</v>
      </c>
      <c r="G1088" t="s">
        <v>7168</v>
      </c>
      <c r="H1088" s="80" t="s">
        <v>7275</v>
      </c>
      <c r="I1088" s="80" t="s">
        <v>7276</v>
      </c>
      <c r="J1088" t="s">
        <v>5346</v>
      </c>
      <c r="K1088" t="s">
        <v>7277</v>
      </c>
    </row>
    <row r="1089" spans="1:11" x14ac:dyDescent="0.25">
      <c r="A1089" s="123">
        <v>1088</v>
      </c>
      <c r="B1089" s="10">
        <v>2039</v>
      </c>
      <c r="C1089" s="125" t="s">
        <v>163</v>
      </c>
      <c r="D1089" t="s">
        <v>7278</v>
      </c>
      <c r="E1089" s="80" t="s">
        <v>7279</v>
      </c>
      <c r="F1089" t="s">
        <v>3845</v>
      </c>
      <c r="G1089" t="s">
        <v>7280</v>
      </c>
      <c r="H1089" t="s">
        <v>7281</v>
      </c>
      <c r="I1089" t="s">
        <v>7282</v>
      </c>
      <c r="J1089" t="s">
        <v>7283</v>
      </c>
      <c r="K1089" s="80" t="s">
        <v>7284</v>
      </c>
    </row>
    <row r="1090" spans="1:11" x14ac:dyDescent="0.25">
      <c r="A1090" s="123">
        <v>1089</v>
      </c>
      <c r="B1090" s="10">
        <v>2039</v>
      </c>
      <c r="C1090" s="127" t="s">
        <v>181</v>
      </c>
      <c r="D1090" t="s">
        <v>5540</v>
      </c>
      <c r="E1090" s="80" t="s">
        <v>7285</v>
      </c>
      <c r="F1090" t="s">
        <v>3202</v>
      </c>
      <c r="G1090" t="s">
        <v>7286</v>
      </c>
      <c r="H1090" t="s">
        <v>7287</v>
      </c>
      <c r="I1090" t="s">
        <v>7288</v>
      </c>
      <c r="J1090" t="s">
        <v>6184</v>
      </c>
      <c r="K1090" t="s">
        <v>7289</v>
      </c>
    </row>
    <row r="1091" spans="1:11" x14ac:dyDescent="0.25">
      <c r="A1091" s="123">
        <v>1090</v>
      </c>
      <c r="B1091" s="10">
        <v>2039</v>
      </c>
      <c r="C1091" s="125" t="s">
        <v>183</v>
      </c>
      <c r="D1091" t="s">
        <v>5632</v>
      </c>
      <c r="E1091" s="80" t="s">
        <v>7290</v>
      </c>
      <c r="F1091" t="s">
        <v>7291</v>
      </c>
      <c r="G1091" t="s">
        <v>7168</v>
      </c>
      <c r="H1091" s="80" t="s">
        <v>7292</v>
      </c>
      <c r="I1091" s="80" t="s">
        <v>7293</v>
      </c>
      <c r="J1091" t="s">
        <v>6752</v>
      </c>
      <c r="K1091" t="s">
        <v>7294</v>
      </c>
    </row>
    <row r="1092" spans="1:11" x14ac:dyDescent="0.25">
      <c r="A1092" s="123">
        <v>1091</v>
      </c>
      <c r="B1092" s="10">
        <v>2039</v>
      </c>
      <c r="C1092" s="125" t="s">
        <v>186</v>
      </c>
      <c r="D1092" t="s">
        <v>5589</v>
      </c>
      <c r="E1092" s="80" t="s">
        <v>7295</v>
      </c>
      <c r="F1092" t="s">
        <v>7296</v>
      </c>
      <c r="G1092" t="s">
        <v>7297</v>
      </c>
      <c r="H1092" s="80" t="s">
        <v>7298</v>
      </c>
      <c r="I1092" s="80" t="s">
        <v>7299</v>
      </c>
      <c r="J1092" t="s">
        <v>7300</v>
      </c>
      <c r="K1092" s="80" t="s">
        <v>7301</v>
      </c>
    </row>
    <row r="1093" spans="1:11" x14ac:dyDescent="0.25">
      <c r="A1093" s="123">
        <v>1092</v>
      </c>
      <c r="B1093" s="10">
        <v>2039</v>
      </c>
      <c r="C1093" s="122" t="s">
        <v>188</v>
      </c>
      <c r="D1093" t="s">
        <v>2499</v>
      </c>
      <c r="E1093" s="80" t="s">
        <v>7302</v>
      </c>
      <c r="F1093" t="s">
        <v>7303</v>
      </c>
      <c r="G1093" t="s">
        <v>7280</v>
      </c>
      <c r="H1093" t="s">
        <v>6451</v>
      </c>
      <c r="I1093" s="80" t="s">
        <v>7304</v>
      </c>
      <c r="J1093" t="s">
        <v>7305</v>
      </c>
      <c r="K1093" s="80" t="s">
        <v>7306</v>
      </c>
    </row>
    <row r="1094" spans="1:11" x14ac:dyDescent="0.25">
      <c r="A1094" s="123">
        <v>1093</v>
      </c>
      <c r="B1094" s="10">
        <v>2039</v>
      </c>
      <c r="C1094" s="122" t="s">
        <v>182</v>
      </c>
      <c r="D1094" t="s">
        <v>7307</v>
      </c>
      <c r="E1094" t="s">
        <v>7308</v>
      </c>
      <c r="F1094" t="s">
        <v>4126</v>
      </c>
      <c r="G1094" s="80" t="s">
        <v>7245</v>
      </c>
      <c r="H1094" t="s">
        <v>7309</v>
      </c>
      <c r="I1094" s="80" t="s">
        <v>7310</v>
      </c>
      <c r="J1094" t="s">
        <v>5538</v>
      </c>
      <c r="K1094" t="s">
        <v>7311</v>
      </c>
    </row>
    <row r="1095" spans="1:11" x14ac:dyDescent="0.25">
      <c r="A1095" s="123">
        <v>1094</v>
      </c>
      <c r="B1095" s="10">
        <v>2039</v>
      </c>
      <c r="C1095" s="122" t="s">
        <v>184</v>
      </c>
      <c r="D1095" t="s">
        <v>7312</v>
      </c>
      <c r="E1095" t="s">
        <v>7313</v>
      </c>
      <c r="F1095" t="s">
        <v>7314</v>
      </c>
      <c r="G1095" t="s">
        <v>7158</v>
      </c>
      <c r="H1095" t="s">
        <v>7315</v>
      </c>
      <c r="I1095" s="80" t="s">
        <v>7316</v>
      </c>
      <c r="J1095" t="s">
        <v>5481</v>
      </c>
      <c r="K1095" t="s">
        <v>7317</v>
      </c>
    </row>
    <row r="1096" spans="1:11" x14ac:dyDescent="0.25">
      <c r="A1096" s="123">
        <v>1095</v>
      </c>
      <c r="B1096" s="10">
        <v>2039</v>
      </c>
      <c r="C1096" s="122" t="s">
        <v>187</v>
      </c>
      <c r="D1096" t="s">
        <v>7318</v>
      </c>
      <c r="E1096" t="s">
        <v>7319</v>
      </c>
      <c r="F1096" t="s">
        <v>7320</v>
      </c>
      <c r="G1096" t="s">
        <v>7234</v>
      </c>
      <c r="H1096" s="80" t="s">
        <v>7321</v>
      </c>
      <c r="I1096" s="80" t="s">
        <v>7322</v>
      </c>
      <c r="J1096" t="s">
        <v>5429</v>
      </c>
      <c r="K1096" s="80" t="s">
        <v>7323</v>
      </c>
    </row>
    <row r="1097" spans="1:11" x14ac:dyDescent="0.25">
      <c r="A1097" s="123">
        <v>1096</v>
      </c>
      <c r="B1097" s="10">
        <v>2039</v>
      </c>
      <c r="C1097" s="122" t="s">
        <v>189</v>
      </c>
      <c r="D1097" t="s">
        <v>7324</v>
      </c>
      <c r="E1097" t="s">
        <v>7325</v>
      </c>
      <c r="F1097" t="s">
        <v>7326</v>
      </c>
      <c r="G1097" t="s">
        <v>7115</v>
      </c>
      <c r="H1097" s="80" t="s">
        <v>7327</v>
      </c>
      <c r="I1097" s="80" t="s">
        <v>7328</v>
      </c>
      <c r="J1097" t="s">
        <v>5660</v>
      </c>
      <c r="K1097" s="80" t="s">
        <v>7329</v>
      </c>
    </row>
    <row r="1098" spans="1:11" x14ac:dyDescent="0.25">
      <c r="A1098" s="123">
        <v>1097</v>
      </c>
      <c r="B1098" s="10" t="s">
        <v>593</v>
      </c>
      <c r="C1098" s="125" t="s">
        <v>162</v>
      </c>
      <c r="D1098" t="s">
        <v>6738</v>
      </c>
      <c r="E1098" t="s">
        <v>7330</v>
      </c>
      <c r="F1098" t="s">
        <v>7243</v>
      </c>
      <c r="G1098" t="s">
        <v>7331</v>
      </c>
      <c r="H1098" s="80" t="s">
        <v>5796</v>
      </c>
      <c r="I1098" t="s">
        <v>7332</v>
      </c>
      <c r="J1098" t="s">
        <v>5313</v>
      </c>
      <c r="K1098" t="s">
        <v>7333</v>
      </c>
    </row>
    <row r="1099" spans="1:11" x14ac:dyDescent="0.25">
      <c r="A1099" s="123">
        <v>1098</v>
      </c>
      <c r="B1099" s="10" t="s">
        <v>593</v>
      </c>
      <c r="C1099" s="125" t="s">
        <v>170</v>
      </c>
      <c r="D1099" t="s">
        <v>5621</v>
      </c>
      <c r="E1099" s="80" t="s">
        <v>7334</v>
      </c>
      <c r="F1099" t="s">
        <v>7335</v>
      </c>
      <c r="G1099" t="s">
        <v>7141</v>
      </c>
      <c r="H1099" t="s">
        <v>7336</v>
      </c>
      <c r="I1099" s="80" t="s">
        <v>7337</v>
      </c>
      <c r="J1099" t="s">
        <v>5307</v>
      </c>
      <c r="K1099" t="s">
        <v>7338</v>
      </c>
    </row>
    <row r="1100" spans="1:11" x14ac:dyDescent="0.25">
      <c r="A1100" s="123">
        <v>1099</v>
      </c>
      <c r="B1100" s="10" t="s">
        <v>593</v>
      </c>
      <c r="C1100" s="125" t="s">
        <v>178</v>
      </c>
      <c r="D1100" t="s">
        <v>6936</v>
      </c>
      <c r="E1100" s="80" t="s">
        <v>7339</v>
      </c>
      <c r="F1100" t="s">
        <v>7340</v>
      </c>
      <c r="G1100" t="s">
        <v>7341</v>
      </c>
      <c r="H1100" t="s">
        <v>7342</v>
      </c>
      <c r="I1100" s="80" t="s">
        <v>7343</v>
      </c>
      <c r="J1100" t="s">
        <v>2248</v>
      </c>
      <c r="K1100" t="s">
        <v>7344</v>
      </c>
    </row>
    <row r="1101" spans="1:11" x14ac:dyDescent="0.25">
      <c r="A1101" s="123">
        <v>1100</v>
      </c>
      <c r="B1101" s="10" t="s">
        <v>593</v>
      </c>
      <c r="C1101" s="125" t="s">
        <v>163</v>
      </c>
      <c r="D1101" t="s">
        <v>7345</v>
      </c>
      <c r="E1101" s="80" t="s">
        <v>7346</v>
      </c>
      <c r="F1101" t="s">
        <v>7347</v>
      </c>
      <c r="G1101" t="s">
        <v>7348</v>
      </c>
      <c r="H1101" t="s">
        <v>7349</v>
      </c>
      <c r="I1101" s="80" t="s">
        <v>7350</v>
      </c>
      <c r="J1101" t="s">
        <v>5461</v>
      </c>
      <c r="K1101" t="s">
        <v>7351</v>
      </c>
    </row>
    <row r="1102" spans="1:11" x14ac:dyDescent="0.25">
      <c r="A1102" s="123">
        <v>1101</v>
      </c>
      <c r="B1102" s="10" t="s">
        <v>593</v>
      </c>
      <c r="C1102" s="127" t="s">
        <v>181</v>
      </c>
      <c r="D1102" t="s">
        <v>6290</v>
      </c>
      <c r="E1102" s="80" t="s">
        <v>7352</v>
      </c>
      <c r="F1102" t="s">
        <v>7353</v>
      </c>
      <c r="G1102" t="s">
        <v>7115</v>
      </c>
      <c r="H1102" t="s">
        <v>7354</v>
      </c>
      <c r="I1102" s="80" t="s">
        <v>7355</v>
      </c>
      <c r="J1102" t="s">
        <v>6294</v>
      </c>
      <c r="K1102" t="s">
        <v>7356</v>
      </c>
    </row>
    <row r="1103" spans="1:11" x14ac:dyDescent="0.25">
      <c r="A1103" s="123">
        <v>1102</v>
      </c>
      <c r="B1103" s="10" t="s">
        <v>593</v>
      </c>
      <c r="C1103" s="125" t="s">
        <v>183</v>
      </c>
      <c r="D1103" t="s">
        <v>5621</v>
      </c>
      <c r="E1103" s="80" t="s">
        <v>7357</v>
      </c>
      <c r="F1103" t="s">
        <v>2075</v>
      </c>
      <c r="G1103" t="s">
        <v>7358</v>
      </c>
      <c r="H1103" t="s">
        <v>7121</v>
      </c>
      <c r="I1103" t="s">
        <v>7359</v>
      </c>
      <c r="J1103" t="s">
        <v>3727</v>
      </c>
      <c r="K1103" t="s">
        <v>7360</v>
      </c>
    </row>
    <row r="1104" spans="1:11" x14ac:dyDescent="0.25">
      <c r="A1104" s="123">
        <v>1103</v>
      </c>
      <c r="B1104" s="10" t="s">
        <v>593</v>
      </c>
      <c r="C1104" s="125" t="s">
        <v>186</v>
      </c>
      <c r="D1104" t="s">
        <v>7361</v>
      </c>
      <c r="E1104" s="80" t="s">
        <v>7362</v>
      </c>
      <c r="F1104" s="111" t="s">
        <v>7363</v>
      </c>
      <c r="G1104" t="s">
        <v>7364</v>
      </c>
      <c r="H1104" s="80" t="s">
        <v>7365</v>
      </c>
      <c r="I1104" s="80" t="s">
        <v>7366</v>
      </c>
      <c r="J1104" t="s">
        <v>7367</v>
      </c>
      <c r="K1104" s="80" t="s">
        <v>7368</v>
      </c>
    </row>
    <row r="1105" spans="1:11" x14ac:dyDescent="0.25">
      <c r="A1105" s="123">
        <v>1104</v>
      </c>
      <c r="B1105" s="10" t="s">
        <v>593</v>
      </c>
      <c r="C1105" s="122" t="s">
        <v>188</v>
      </c>
      <c r="D1105" t="s">
        <v>5348</v>
      </c>
      <c r="E1105" s="80" t="s">
        <v>7369</v>
      </c>
      <c r="F1105" t="s">
        <v>7370</v>
      </c>
      <c r="G1105" t="s">
        <v>7136</v>
      </c>
      <c r="H1105" t="s">
        <v>7371</v>
      </c>
      <c r="I1105" s="80" t="s">
        <v>7372</v>
      </c>
      <c r="J1105" t="s">
        <v>5558</v>
      </c>
      <c r="K1105" t="s">
        <v>7373</v>
      </c>
    </row>
    <row r="1106" spans="1:11" x14ac:dyDescent="0.25">
      <c r="A1106" s="123">
        <v>1105</v>
      </c>
      <c r="B1106" s="10" t="s">
        <v>593</v>
      </c>
      <c r="C1106" s="122" t="s">
        <v>182</v>
      </c>
      <c r="D1106" t="s">
        <v>583</v>
      </c>
      <c r="E1106" t="s">
        <v>7374</v>
      </c>
      <c r="F1106" t="s">
        <v>7375</v>
      </c>
      <c r="G1106" s="80" t="s">
        <v>7376</v>
      </c>
      <c r="H1106">
        <v>2</v>
      </c>
      <c r="I1106" t="s">
        <v>7377</v>
      </c>
      <c r="J1106" s="80" t="s">
        <v>5517</v>
      </c>
      <c r="K1106" t="s">
        <v>7378</v>
      </c>
    </row>
    <row r="1107" spans="1:11" x14ac:dyDescent="0.25">
      <c r="A1107" s="123">
        <v>1106</v>
      </c>
      <c r="B1107" s="10" t="s">
        <v>593</v>
      </c>
      <c r="C1107" s="122" t="s">
        <v>184</v>
      </c>
      <c r="D1107" t="s">
        <v>6697</v>
      </c>
      <c r="E1107" t="s">
        <v>7379</v>
      </c>
      <c r="F1107" t="s">
        <v>7380</v>
      </c>
      <c r="G1107" t="s">
        <v>7358</v>
      </c>
      <c r="H1107" t="s">
        <v>7381</v>
      </c>
      <c r="I1107" s="80" t="s">
        <v>7382</v>
      </c>
      <c r="J1107" s="80" t="s">
        <v>5626</v>
      </c>
      <c r="K1107" t="s">
        <v>7383</v>
      </c>
    </row>
    <row r="1108" spans="1:11" x14ac:dyDescent="0.25">
      <c r="A1108" s="123">
        <v>1107</v>
      </c>
      <c r="B1108" s="10" t="s">
        <v>593</v>
      </c>
      <c r="C1108" s="122" t="s">
        <v>187</v>
      </c>
      <c r="D1108" t="s">
        <v>6205</v>
      </c>
      <c r="E1108" t="s">
        <v>7384</v>
      </c>
      <c r="F1108" t="s">
        <v>7385</v>
      </c>
      <c r="G1108" t="s">
        <v>7092</v>
      </c>
      <c r="H1108" s="80" t="s">
        <v>7386</v>
      </c>
      <c r="I1108" s="80" t="s">
        <v>7387</v>
      </c>
      <c r="J1108" t="s">
        <v>5258</v>
      </c>
      <c r="K1108" t="s">
        <v>7388</v>
      </c>
    </row>
    <row r="1109" spans="1:11" x14ac:dyDescent="0.25">
      <c r="A1109" s="123">
        <v>1108</v>
      </c>
      <c r="B1109" s="10" t="s">
        <v>593</v>
      </c>
      <c r="C1109" s="122" t="s">
        <v>189</v>
      </c>
      <c r="D1109" t="s">
        <v>6697</v>
      </c>
      <c r="E1109" t="s">
        <v>7389</v>
      </c>
      <c r="F1109" t="s">
        <v>7390</v>
      </c>
      <c r="G1109" t="s">
        <v>7151</v>
      </c>
      <c r="H1109" t="s">
        <v>7391</v>
      </c>
      <c r="I1109" s="80" t="s">
        <v>7392</v>
      </c>
      <c r="J1109" t="s">
        <v>5481</v>
      </c>
      <c r="K1109" t="s">
        <v>7393</v>
      </c>
    </row>
    <row r="1110" spans="1:11" x14ac:dyDescent="0.25">
      <c r="A1110" s="123">
        <v>1109</v>
      </c>
      <c r="B1110" s="10" t="s">
        <v>613</v>
      </c>
      <c r="C1110" s="127" t="s">
        <v>162</v>
      </c>
      <c r="D1110" t="s">
        <v>6738</v>
      </c>
      <c r="E1110" t="s">
        <v>7394</v>
      </c>
      <c r="F1110" t="s">
        <v>7243</v>
      </c>
      <c r="G1110" t="s">
        <v>7395</v>
      </c>
      <c r="H1110" t="s">
        <v>6257</v>
      </c>
      <c r="I1110" t="s">
        <v>7396</v>
      </c>
      <c r="J1110" t="s">
        <v>6532</v>
      </c>
      <c r="K1110" t="s">
        <v>2009</v>
      </c>
    </row>
    <row r="1111" spans="1:11" x14ac:dyDescent="0.25">
      <c r="A1111" s="123">
        <v>1110</v>
      </c>
      <c r="B1111" s="10" t="s">
        <v>613</v>
      </c>
      <c r="C1111" s="125" t="s">
        <v>170</v>
      </c>
      <c r="D1111" t="s">
        <v>5621</v>
      </c>
      <c r="E1111" t="s">
        <v>7397</v>
      </c>
      <c r="F1111" t="s">
        <v>7398</v>
      </c>
      <c r="G1111" t="s">
        <v>7187</v>
      </c>
      <c r="H1111" t="s">
        <v>7399</v>
      </c>
      <c r="I1111" s="80" t="s">
        <v>7400</v>
      </c>
      <c r="J1111" t="s">
        <v>5307</v>
      </c>
      <c r="K1111" t="s">
        <v>7401</v>
      </c>
    </row>
    <row r="1112" spans="1:11" x14ac:dyDescent="0.25">
      <c r="A1112" s="123">
        <v>1111</v>
      </c>
      <c r="B1112" s="10" t="s">
        <v>613</v>
      </c>
      <c r="C1112" s="125" t="s">
        <v>178</v>
      </c>
      <c r="D1112" t="s">
        <v>7402</v>
      </c>
      <c r="E1112" s="80" t="s">
        <v>7403</v>
      </c>
      <c r="F1112" t="s">
        <v>7404</v>
      </c>
      <c r="G1112" t="s">
        <v>7286</v>
      </c>
      <c r="H1112" t="s">
        <v>7405</v>
      </c>
      <c r="I1112" s="80" t="s">
        <v>7406</v>
      </c>
      <c r="J1112" t="s">
        <v>5826</v>
      </c>
      <c r="K1112" t="s">
        <v>7407</v>
      </c>
    </row>
    <row r="1113" spans="1:11" x14ac:dyDescent="0.25">
      <c r="A1113" s="123">
        <v>1112</v>
      </c>
      <c r="B1113" s="10" t="s">
        <v>613</v>
      </c>
      <c r="C1113" s="125" t="s">
        <v>163</v>
      </c>
      <c r="D1113" t="s">
        <v>5595</v>
      </c>
      <c r="E1113" s="80" t="s">
        <v>7408</v>
      </c>
      <c r="F1113" t="s">
        <v>7409</v>
      </c>
      <c r="G1113" t="s">
        <v>7086</v>
      </c>
      <c r="H1113" t="s">
        <v>7410</v>
      </c>
      <c r="I1113" s="80" t="s">
        <v>7411</v>
      </c>
      <c r="J1113" t="s">
        <v>5334</v>
      </c>
      <c r="K1113" t="s">
        <v>7412</v>
      </c>
    </row>
    <row r="1114" spans="1:11" x14ac:dyDescent="0.25">
      <c r="A1114" s="123">
        <v>1113</v>
      </c>
      <c r="B1114" s="10" t="s">
        <v>613</v>
      </c>
      <c r="C1114" s="125" t="s">
        <v>181</v>
      </c>
      <c r="D1114" t="s">
        <v>7307</v>
      </c>
      <c r="E1114" s="80" t="s">
        <v>7413</v>
      </c>
      <c r="F1114" t="s">
        <v>4146</v>
      </c>
      <c r="G1114" t="s">
        <v>7141</v>
      </c>
      <c r="H1114" t="s">
        <v>6277</v>
      </c>
      <c r="I1114" t="s">
        <v>7414</v>
      </c>
      <c r="J1114" t="s">
        <v>5951</v>
      </c>
      <c r="K1114">
        <v>8</v>
      </c>
    </row>
    <row r="1115" spans="1:11" ht="15.75" thickBot="1" x14ac:dyDescent="0.3">
      <c r="A1115" s="123">
        <v>1114</v>
      </c>
      <c r="B1115" s="10" t="s">
        <v>613</v>
      </c>
      <c r="C1115" s="125" t="s">
        <v>183</v>
      </c>
      <c r="D1115" t="s">
        <v>5640</v>
      </c>
      <c r="E1115" s="80" t="s">
        <v>7415</v>
      </c>
      <c r="F1115" t="s">
        <v>7416</v>
      </c>
      <c r="G1115" t="s">
        <v>7136</v>
      </c>
      <c r="H1115" t="s">
        <v>7417</v>
      </c>
      <c r="I1115" s="80" t="s">
        <v>7418</v>
      </c>
      <c r="J1115" t="s">
        <v>5334</v>
      </c>
      <c r="K1115" t="s">
        <v>7419</v>
      </c>
    </row>
    <row r="1116" spans="1:11" x14ac:dyDescent="0.25">
      <c r="A1116" s="123">
        <v>1115</v>
      </c>
      <c r="B1116" s="10" t="s">
        <v>613</v>
      </c>
      <c r="C1116" s="126" t="s">
        <v>186</v>
      </c>
      <c r="D1116" t="s">
        <v>5565</v>
      </c>
      <c r="E1116" s="80" t="s">
        <v>7420</v>
      </c>
      <c r="F1116" t="s">
        <v>7421</v>
      </c>
      <c r="G1116" t="s">
        <v>7136</v>
      </c>
      <c r="H1116" s="80" t="s">
        <v>7422</v>
      </c>
      <c r="I1116" s="80" t="s">
        <v>7423</v>
      </c>
      <c r="J1116" t="s">
        <v>5346</v>
      </c>
      <c r="K1116" s="80" t="s">
        <v>7424</v>
      </c>
    </row>
    <row r="1117" spans="1:11" x14ac:dyDescent="0.25">
      <c r="A1117" s="123">
        <v>1116</v>
      </c>
      <c r="B1117" s="10" t="s">
        <v>613</v>
      </c>
      <c r="C1117" s="125" t="s">
        <v>188</v>
      </c>
      <c r="D1117" t="s">
        <v>7345</v>
      </c>
      <c r="E1117" s="80" t="s">
        <v>7425</v>
      </c>
      <c r="F1117" t="s">
        <v>7426</v>
      </c>
      <c r="G1117" t="s">
        <v>7341</v>
      </c>
      <c r="H1117" t="s">
        <v>7427</v>
      </c>
      <c r="I1117" s="80" t="s">
        <v>7428</v>
      </c>
      <c r="J1117" t="s">
        <v>5346</v>
      </c>
      <c r="K1117" t="s">
        <v>7429</v>
      </c>
    </row>
    <row r="1118" spans="1:11" x14ac:dyDescent="0.25">
      <c r="A1118" s="123">
        <v>1117</v>
      </c>
      <c r="B1118" s="10" t="s">
        <v>613</v>
      </c>
      <c r="C1118" s="125" t="s">
        <v>182</v>
      </c>
      <c r="D1118" t="s">
        <v>583</v>
      </c>
      <c r="E1118" t="s">
        <v>7430</v>
      </c>
      <c r="F1118" t="s">
        <v>6475</v>
      </c>
      <c r="G1118" t="s">
        <v>583</v>
      </c>
      <c r="H1118" t="s">
        <v>583</v>
      </c>
      <c r="I1118" s="80" t="s">
        <v>3071</v>
      </c>
      <c r="J1118" t="s">
        <v>583</v>
      </c>
      <c r="K1118" t="s">
        <v>5286</v>
      </c>
    </row>
    <row r="1119" spans="1:11" x14ac:dyDescent="0.25">
      <c r="A1119" s="123">
        <v>1118</v>
      </c>
      <c r="B1119" s="10" t="s">
        <v>613</v>
      </c>
      <c r="C1119" s="125" t="s">
        <v>184</v>
      </c>
      <c r="D1119" t="s">
        <v>6697</v>
      </c>
      <c r="E1119" t="s">
        <v>7431</v>
      </c>
      <c r="F1119" t="s">
        <v>7432</v>
      </c>
      <c r="G1119" t="s">
        <v>7187</v>
      </c>
      <c r="H1119" t="s">
        <v>7433</v>
      </c>
      <c r="I1119" s="80" t="s">
        <v>7434</v>
      </c>
      <c r="J1119" t="s">
        <v>6258</v>
      </c>
      <c r="K1119" t="s">
        <v>7435</v>
      </c>
    </row>
    <row r="1120" spans="1:11" x14ac:dyDescent="0.25">
      <c r="A1120" s="123">
        <v>1119</v>
      </c>
      <c r="B1120" s="10" t="s">
        <v>613</v>
      </c>
      <c r="C1120" s="125" t="s">
        <v>187</v>
      </c>
      <c r="D1120" t="s">
        <v>7436</v>
      </c>
      <c r="E1120" t="s">
        <v>7437</v>
      </c>
      <c r="F1120" t="s">
        <v>7438</v>
      </c>
      <c r="G1120" t="s">
        <v>3838</v>
      </c>
      <c r="H1120" t="s">
        <v>7439</v>
      </c>
      <c r="I1120" s="80" t="s">
        <v>7440</v>
      </c>
      <c r="J1120" t="s">
        <v>5876</v>
      </c>
      <c r="K1120" t="s">
        <v>7441</v>
      </c>
    </row>
    <row r="1121" spans="1:11" x14ac:dyDescent="0.25">
      <c r="A1121" s="123">
        <v>1120</v>
      </c>
      <c r="B1121" s="10" t="s">
        <v>613</v>
      </c>
      <c r="C1121" s="125" t="s">
        <v>189</v>
      </c>
      <c r="D1121" t="s">
        <v>7402</v>
      </c>
      <c r="E1121" t="s">
        <v>7442</v>
      </c>
      <c r="F1121" t="s">
        <v>7443</v>
      </c>
      <c r="G1121" t="s">
        <v>7067</v>
      </c>
      <c r="H1121" t="s">
        <v>7444</v>
      </c>
      <c r="I1121" s="80" t="s">
        <v>7445</v>
      </c>
      <c r="J1121" t="s">
        <v>5880</v>
      </c>
      <c r="K1121" t="s">
        <v>7446</v>
      </c>
    </row>
    <row r="1122" spans="1:11" x14ac:dyDescent="0.25">
      <c r="A1122" s="123">
        <v>1121</v>
      </c>
      <c r="B1122" s="10" t="s">
        <v>614</v>
      </c>
      <c r="C1122" s="127" t="s">
        <v>162</v>
      </c>
      <c r="D1122" t="s">
        <v>7447</v>
      </c>
      <c r="E1122" s="80" t="s">
        <v>7448</v>
      </c>
      <c r="F1122" t="s">
        <v>5390</v>
      </c>
      <c r="G1122" t="s">
        <v>7449</v>
      </c>
      <c r="H1122" t="s">
        <v>6492</v>
      </c>
      <c r="I1122" t="s">
        <v>7450</v>
      </c>
      <c r="J1122" t="s">
        <v>5346</v>
      </c>
      <c r="K1122" t="s">
        <v>7451</v>
      </c>
    </row>
    <row r="1123" spans="1:11" x14ac:dyDescent="0.25">
      <c r="A1123" s="123">
        <v>1122</v>
      </c>
      <c r="B1123" s="10" t="s">
        <v>614</v>
      </c>
      <c r="C1123" s="125" t="s">
        <v>170</v>
      </c>
      <c r="D1123" t="s">
        <v>4646</v>
      </c>
      <c r="E1123" s="80" t="s">
        <v>7452</v>
      </c>
      <c r="F1123" t="s">
        <v>7453</v>
      </c>
      <c r="G1123" t="s">
        <v>7204</v>
      </c>
      <c r="H1123" t="s">
        <v>7454</v>
      </c>
      <c r="I1123" s="80" t="s">
        <v>7455</v>
      </c>
      <c r="J1123" t="s">
        <v>3727</v>
      </c>
      <c r="K1123" t="s">
        <v>7456</v>
      </c>
    </row>
    <row r="1124" spans="1:11" x14ac:dyDescent="0.25">
      <c r="A1124" s="123">
        <v>1123</v>
      </c>
      <c r="B1124" s="10" t="s">
        <v>614</v>
      </c>
      <c r="C1124" s="125" t="s">
        <v>178</v>
      </c>
      <c r="D1124" t="s">
        <v>7457</v>
      </c>
      <c r="E1124" s="80" t="s">
        <v>7458</v>
      </c>
      <c r="F1124" t="s">
        <v>7459</v>
      </c>
      <c r="G1124" t="s">
        <v>7086</v>
      </c>
      <c r="H1124" t="s">
        <v>7460</v>
      </c>
      <c r="I1124" s="80" t="s">
        <v>7461</v>
      </c>
      <c r="J1124" t="s">
        <v>2248</v>
      </c>
      <c r="K1124" t="s">
        <v>7462</v>
      </c>
    </row>
    <row r="1125" spans="1:11" x14ac:dyDescent="0.25">
      <c r="A1125" s="123">
        <v>1124</v>
      </c>
      <c r="B1125" s="10" t="s">
        <v>614</v>
      </c>
      <c r="C1125" s="125" t="s">
        <v>163</v>
      </c>
      <c r="D1125" t="s">
        <v>7463</v>
      </c>
      <c r="E1125" t="s">
        <v>7464</v>
      </c>
      <c r="F1125" t="s">
        <v>7465</v>
      </c>
      <c r="G1125" t="s">
        <v>7341</v>
      </c>
      <c r="H1125" s="80" t="s">
        <v>7466</v>
      </c>
      <c r="I1125" s="80" t="s">
        <v>7467</v>
      </c>
      <c r="J1125" t="s">
        <v>5461</v>
      </c>
      <c r="K1125" t="s">
        <v>7468</v>
      </c>
    </row>
    <row r="1126" spans="1:11" x14ac:dyDescent="0.25">
      <c r="A1126" s="123">
        <v>1125</v>
      </c>
      <c r="B1126" s="10" t="s">
        <v>614</v>
      </c>
      <c r="C1126" s="125" t="s">
        <v>181</v>
      </c>
      <c r="D1126" t="s">
        <v>4646</v>
      </c>
      <c r="E1126" s="80" t="s">
        <v>7469</v>
      </c>
      <c r="F1126" t="s">
        <v>7470</v>
      </c>
      <c r="G1126" t="s">
        <v>7151</v>
      </c>
      <c r="H1126" t="s">
        <v>6064</v>
      </c>
      <c r="I1126" t="s">
        <v>7471</v>
      </c>
      <c r="J1126" t="s">
        <v>6184</v>
      </c>
      <c r="K1126" t="s">
        <v>7472</v>
      </c>
    </row>
    <row r="1127" spans="1:11" x14ac:dyDescent="0.25">
      <c r="A1127" s="123">
        <v>1126</v>
      </c>
      <c r="B1127" s="10" t="s">
        <v>614</v>
      </c>
      <c r="C1127" s="125" t="s">
        <v>183</v>
      </c>
      <c r="D1127" t="s">
        <v>5640</v>
      </c>
      <c r="E1127" s="80" t="s">
        <v>7473</v>
      </c>
      <c r="F1127" t="s">
        <v>7474</v>
      </c>
      <c r="G1127" t="s">
        <v>7092</v>
      </c>
      <c r="H1127" t="s">
        <v>7475</v>
      </c>
      <c r="I1127" s="80" t="s">
        <v>7476</v>
      </c>
      <c r="J1127" t="s">
        <v>5558</v>
      </c>
      <c r="K1127" t="s">
        <v>7477</v>
      </c>
    </row>
    <row r="1128" spans="1:11" x14ac:dyDescent="0.25">
      <c r="A1128" s="123">
        <v>1127</v>
      </c>
      <c r="B1128" s="10" t="s">
        <v>614</v>
      </c>
      <c r="C1128" s="125" t="s">
        <v>182</v>
      </c>
      <c r="D1128" t="s">
        <v>583</v>
      </c>
      <c r="E1128" t="s">
        <v>7478</v>
      </c>
      <c r="F1128" t="s">
        <v>6237</v>
      </c>
      <c r="G1128" s="80" t="s">
        <v>7245</v>
      </c>
      <c r="H1128" t="s">
        <v>5286</v>
      </c>
      <c r="I1128" t="s">
        <v>5513</v>
      </c>
      <c r="J1128" t="s">
        <v>583</v>
      </c>
      <c r="K1128" t="s">
        <v>6238</v>
      </c>
    </row>
    <row r="1129" spans="1:11" x14ac:dyDescent="0.25">
      <c r="A1129" s="123">
        <v>1128</v>
      </c>
      <c r="B1129" s="10" t="s">
        <v>614</v>
      </c>
      <c r="C1129" s="125" t="s">
        <v>184</v>
      </c>
      <c r="D1129" t="s">
        <v>7479</v>
      </c>
      <c r="E1129" t="s">
        <v>7480</v>
      </c>
      <c r="F1129" t="s">
        <v>7481</v>
      </c>
      <c r="G1129" t="s">
        <v>7060</v>
      </c>
      <c r="H1129" t="s">
        <v>7482</v>
      </c>
      <c r="I1129" s="80" t="s">
        <v>7483</v>
      </c>
      <c r="J1129" t="s">
        <v>6569</v>
      </c>
      <c r="K1129" t="s">
        <v>7484</v>
      </c>
    </row>
    <row r="1130" spans="1:11" x14ac:dyDescent="0.25">
      <c r="A1130" s="123">
        <v>1129</v>
      </c>
      <c r="B1130" s="10" t="s">
        <v>614</v>
      </c>
      <c r="C1130" s="125" t="s">
        <v>187</v>
      </c>
      <c r="D1130" t="s">
        <v>7485</v>
      </c>
      <c r="E1130" t="s">
        <v>7486</v>
      </c>
      <c r="F1130" t="s">
        <v>7487</v>
      </c>
      <c r="G1130" t="s">
        <v>7341</v>
      </c>
      <c r="H1130" t="s">
        <v>7488</v>
      </c>
      <c r="I1130" s="80" t="s">
        <v>7489</v>
      </c>
      <c r="J1130" t="s">
        <v>5510</v>
      </c>
      <c r="K1130" t="s">
        <v>7490</v>
      </c>
    </row>
    <row r="1131" spans="1:11" x14ac:dyDescent="0.25">
      <c r="A1131" s="123">
        <v>1130</v>
      </c>
      <c r="B1131" s="10" t="s">
        <v>614</v>
      </c>
      <c r="C1131" s="125" t="s">
        <v>189</v>
      </c>
      <c r="D1131" t="s">
        <v>7491</v>
      </c>
      <c r="E1131" t="s">
        <v>7065</v>
      </c>
      <c r="F1131" t="s">
        <v>7492</v>
      </c>
      <c r="G1131" t="s">
        <v>7060</v>
      </c>
      <c r="H1131" t="s">
        <v>7493</v>
      </c>
      <c r="I1131" s="80" t="s">
        <v>7494</v>
      </c>
      <c r="J1131" t="s">
        <v>5449</v>
      </c>
      <c r="K1131" t="s">
        <v>7495</v>
      </c>
    </row>
    <row r="1132" spans="1:11" x14ac:dyDescent="0.25">
      <c r="A1132" s="123">
        <v>1131</v>
      </c>
      <c r="B1132" s="10" t="s">
        <v>615</v>
      </c>
      <c r="C1132" s="127" t="s">
        <v>162</v>
      </c>
      <c r="D1132" t="s">
        <v>6738</v>
      </c>
      <c r="E1132" t="s">
        <v>7496</v>
      </c>
      <c r="F1132" t="s">
        <v>2548</v>
      </c>
      <c r="G1132" t="s">
        <v>7204</v>
      </c>
      <c r="H1132" t="s">
        <v>7497</v>
      </c>
      <c r="I1132" t="s">
        <v>7010</v>
      </c>
      <c r="J1132" t="s">
        <v>5313</v>
      </c>
      <c r="K1132" t="s">
        <v>7078</v>
      </c>
    </row>
    <row r="1133" spans="1:11" x14ac:dyDescent="0.25">
      <c r="A1133" s="123">
        <v>1132</v>
      </c>
      <c r="B1133" s="10" t="s">
        <v>615</v>
      </c>
      <c r="C1133" s="125" t="s">
        <v>170</v>
      </c>
      <c r="D1133" t="s">
        <v>7402</v>
      </c>
      <c r="E1133" s="80" t="s">
        <v>7498</v>
      </c>
      <c r="F1133" t="s">
        <v>7499</v>
      </c>
      <c r="G1133" t="s">
        <v>7286</v>
      </c>
      <c r="H1133" t="s">
        <v>7500</v>
      </c>
      <c r="I1133" s="80" t="s">
        <v>7501</v>
      </c>
      <c r="J1133" t="s">
        <v>5230</v>
      </c>
      <c r="K1133" t="s">
        <v>7502</v>
      </c>
    </row>
    <row r="1134" spans="1:11" x14ac:dyDescent="0.25">
      <c r="A1134" s="123">
        <v>1133</v>
      </c>
      <c r="B1134" s="10" t="s">
        <v>615</v>
      </c>
      <c r="C1134" s="125" t="s">
        <v>178</v>
      </c>
      <c r="D1134" t="s">
        <v>7106</v>
      </c>
      <c r="E1134" s="80" t="s">
        <v>7503</v>
      </c>
      <c r="F1134" t="s">
        <v>7504</v>
      </c>
      <c r="G1134" t="s">
        <v>7194</v>
      </c>
      <c r="H1134" t="s">
        <v>7505</v>
      </c>
      <c r="I1134" s="80" t="s">
        <v>7506</v>
      </c>
      <c r="J1134" t="s">
        <v>2248</v>
      </c>
      <c r="K1134" t="s">
        <v>7507</v>
      </c>
    </row>
    <row r="1135" spans="1:11" x14ac:dyDescent="0.25">
      <c r="A1135" s="123">
        <v>1134</v>
      </c>
      <c r="B1135" s="10" t="s">
        <v>615</v>
      </c>
      <c r="C1135" s="125" t="s">
        <v>163</v>
      </c>
      <c r="D1135" t="s">
        <v>7508</v>
      </c>
      <c r="E1135" s="80" t="s">
        <v>7509</v>
      </c>
      <c r="F1135" t="s">
        <v>7510</v>
      </c>
      <c r="G1135" t="s">
        <v>7086</v>
      </c>
      <c r="H1135" t="s">
        <v>7511</v>
      </c>
      <c r="I1135" s="80" t="s">
        <v>7512</v>
      </c>
      <c r="J1135" t="s">
        <v>5805</v>
      </c>
      <c r="K1135" t="s">
        <v>7513</v>
      </c>
    </row>
    <row r="1136" spans="1:11" x14ac:dyDescent="0.25">
      <c r="A1136" s="123">
        <v>1135</v>
      </c>
      <c r="B1136" s="10" t="s">
        <v>615</v>
      </c>
      <c r="C1136" s="125" t="s">
        <v>181</v>
      </c>
      <c r="D1136" t="s">
        <v>6239</v>
      </c>
      <c r="E1136" s="80" t="s">
        <v>7514</v>
      </c>
      <c r="F1136" t="s">
        <v>4146</v>
      </c>
      <c r="G1136" t="s">
        <v>7141</v>
      </c>
      <c r="H1136" t="s">
        <v>6064</v>
      </c>
      <c r="I1136" t="s">
        <v>7515</v>
      </c>
      <c r="J1136" t="s">
        <v>5449</v>
      </c>
      <c r="K1136" t="s">
        <v>4689</v>
      </c>
    </row>
    <row r="1137" spans="1:11" x14ac:dyDescent="0.25">
      <c r="A1137" s="128">
        <v>1136</v>
      </c>
      <c r="B1137" s="49" t="s">
        <v>615</v>
      </c>
      <c r="C1137" s="127" t="s">
        <v>183</v>
      </c>
      <c r="D1137" s="50" t="s">
        <v>5565</v>
      </c>
      <c r="E1137" s="88" t="s">
        <v>7516</v>
      </c>
      <c r="F1137" s="50" t="s">
        <v>7517</v>
      </c>
      <c r="G1137" s="50" t="s">
        <v>7115</v>
      </c>
      <c r="H1137" s="50" t="s">
        <v>7518</v>
      </c>
      <c r="I1137" s="88" t="s">
        <v>7519</v>
      </c>
      <c r="J1137" s="50" t="s">
        <v>5558</v>
      </c>
      <c r="K1137" s="50" t="s">
        <v>7520</v>
      </c>
    </row>
    <row r="1138" spans="1:11" x14ac:dyDescent="0.25">
      <c r="A1138" s="123">
        <v>1137</v>
      </c>
      <c r="B1138" s="10" t="s">
        <v>615</v>
      </c>
      <c r="C1138" s="125" t="s">
        <v>186</v>
      </c>
      <c r="D1138" t="s">
        <v>7521</v>
      </c>
      <c r="E1138" s="80" t="s">
        <v>7522</v>
      </c>
      <c r="F1138" s="111" t="s">
        <v>7523</v>
      </c>
      <c r="G1138" t="s">
        <v>5635</v>
      </c>
      <c r="H1138" s="80" t="s">
        <v>7524</v>
      </c>
      <c r="I1138" s="80" t="s">
        <v>7525</v>
      </c>
      <c r="J1138" t="s">
        <v>6040</v>
      </c>
      <c r="K1138" s="80" t="s">
        <v>7526</v>
      </c>
    </row>
    <row r="1139" spans="1:11" x14ac:dyDescent="0.25">
      <c r="A1139" s="123">
        <v>1138</v>
      </c>
      <c r="B1139" s="10" t="s">
        <v>615</v>
      </c>
      <c r="C1139" s="125" t="s">
        <v>188</v>
      </c>
      <c r="D1139" t="s">
        <v>6245</v>
      </c>
      <c r="E1139" s="80" t="s">
        <v>7527</v>
      </c>
      <c r="F1139" t="s">
        <v>7528</v>
      </c>
      <c r="G1139" t="s">
        <v>5402</v>
      </c>
      <c r="H1139" t="s">
        <v>7529</v>
      </c>
      <c r="I1139" s="80" t="s">
        <v>7530</v>
      </c>
      <c r="J1139" t="s">
        <v>5919</v>
      </c>
      <c r="K1139" s="80" t="s">
        <v>7531</v>
      </c>
    </row>
    <row r="1140" spans="1:11" x14ac:dyDescent="0.25">
      <c r="A1140" s="123">
        <v>1139</v>
      </c>
      <c r="B1140" s="10" t="s">
        <v>615</v>
      </c>
      <c r="C1140" s="125" t="s">
        <v>182</v>
      </c>
      <c r="D1140" t="s">
        <v>583</v>
      </c>
      <c r="E1140" t="s">
        <v>7532</v>
      </c>
      <c r="F1140" t="s">
        <v>583</v>
      </c>
      <c r="G1140" s="80" t="s">
        <v>2178</v>
      </c>
      <c r="H1140" t="s">
        <v>6645</v>
      </c>
      <c r="I1140" t="s">
        <v>3764</v>
      </c>
      <c r="J1140" t="s">
        <v>5798</v>
      </c>
      <c r="K1140" t="s">
        <v>5465</v>
      </c>
    </row>
    <row r="1141" spans="1:11" x14ac:dyDescent="0.25">
      <c r="A1141" s="123">
        <v>1140</v>
      </c>
      <c r="B1141" s="10" t="s">
        <v>615</v>
      </c>
      <c r="C1141" s="125" t="s">
        <v>184</v>
      </c>
      <c r="D1141" t="s">
        <v>7041</v>
      </c>
      <c r="E1141" t="s">
        <v>2827</v>
      </c>
      <c r="F1141" t="s">
        <v>7533</v>
      </c>
      <c r="G1141" t="s">
        <v>5290</v>
      </c>
      <c r="H1141" t="s">
        <v>7534</v>
      </c>
      <c r="I1141" s="80" t="s">
        <v>7535</v>
      </c>
      <c r="J1141" t="s">
        <v>5752</v>
      </c>
      <c r="K1141" t="s">
        <v>7253</v>
      </c>
    </row>
    <row r="1142" spans="1:11" x14ac:dyDescent="0.25">
      <c r="A1142" s="123">
        <v>1141</v>
      </c>
      <c r="B1142" s="10" t="s">
        <v>615</v>
      </c>
      <c r="C1142" s="125" t="s">
        <v>187</v>
      </c>
      <c r="D1142" t="s">
        <v>7064</v>
      </c>
      <c r="E1142" t="s">
        <v>7536</v>
      </c>
      <c r="F1142" t="s">
        <v>7537</v>
      </c>
      <c r="G1142" t="s">
        <v>5376</v>
      </c>
      <c r="H1142" t="s">
        <v>7538</v>
      </c>
      <c r="I1142" s="80" t="s">
        <v>7539</v>
      </c>
      <c r="J1142" t="s">
        <v>5405</v>
      </c>
      <c r="K1142" t="s">
        <v>7540</v>
      </c>
    </row>
    <row r="1143" spans="1:11" x14ac:dyDescent="0.25">
      <c r="A1143" s="123">
        <v>1142</v>
      </c>
      <c r="B1143" s="10" t="s">
        <v>615</v>
      </c>
      <c r="C1143" s="125" t="s">
        <v>189</v>
      </c>
      <c r="D1143" t="s">
        <v>7541</v>
      </c>
      <c r="E1143" t="s">
        <v>7542</v>
      </c>
      <c r="F1143" t="s">
        <v>6583</v>
      </c>
      <c r="G1143" t="s">
        <v>5410</v>
      </c>
      <c r="H1143" t="s">
        <v>7543</v>
      </c>
      <c r="I1143" s="80" t="s">
        <v>7544</v>
      </c>
      <c r="J1143" t="s">
        <v>5777</v>
      </c>
      <c r="K1143" t="s">
        <v>7545</v>
      </c>
    </row>
    <row r="1144" spans="1:11" x14ac:dyDescent="0.25">
      <c r="A1144" s="123">
        <v>1143</v>
      </c>
      <c r="B1144" s="10" t="s">
        <v>15746</v>
      </c>
      <c r="C1144" s="127" t="s">
        <v>162</v>
      </c>
      <c r="D1144" t="s">
        <v>7307</v>
      </c>
      <c r="E1144" t="s">
        <v>7546</v>
      </c>
      <c r="F1144" t="s">
        <v>6178</v>
      </c>
      <c r="G1144" t="s">
        <v>5466</v>
      </c>
      <c r="H1144" t="s">
        <v>2384</v>
      </c>
      <c r="I1144" t="s">
        <v>7547</v>
      </c>
      <c r="J1144" t="s">
        <v>6532</v>
      </c>
      <c r="K1144" t="s">
        <v>2009</v>
      </c>
    </row>
    <row r="1145" spans="1:11" x14ac:dyDescent="0.25">
      <c r="A1145" s="123">
        <v>1144</v>
      </c>
      <c r="B1145" s="10" t="s">
        <v>15746</v>
      </c>
      <c r="C1145" s="125" t="s">
        <v>170</v>
      </c>
      <c r="D1145" t="s">
        <v>7447</v>
      </c>
      <c r="E1145" s="80" t="s">
        <v>7548</v>
      </c>
      <c r="F1145" t="s">
        <v>7549</v>
      </c>
      <c r="G1145" t="s">
        <v>5255</v>
      </c>
      <c r="H1145" t="s">
        <v>7550</v>
      </c>
      <c r="I1145" s="80" t="s">
        <v>7551</v>
      </c>
      <c r="J1145" t="s">
        <v>5752</v>
      </c>
      <c r="K1145" t="s">
        <v>7552</v>
      </c>
    </row>
    <row r="1146" spans="1:11" x14ac:dyDescent="0.25">
      <c r="A1146" s="123">
        <v>1145</v>
      </c>
      <c r="B1146" s="10" t="s">
        <v>15746</v>
      </c>
      <c r="C1146" s="125" t="s">
        <v>178</v>
      </c>
      <c r="D1146" t="s">
        <v>7553</v>
      </c>
      <c r="E1146" s="80" t="s">
        <v>7554</v>
      </c>
      <c r="F1146" t="s">
        <v>5809</v>
      </c>
      <c r="G1146" t="s">
        <v>5262</v>
      </c>
      <c r="H1146" t="s">
        <v>7555</v>
      </c>
      <c r="I1146" s="80" t="s">
        <v>7556</v>
      </c>
      <c r="J1146" t="s">
        <v>5845</v>
      </c>
      <c r="K1146" t="s">
        <v>7557</v>
      </c>
    </row>
    <row r="1147" spans="1:11" x14ac:dyDescent="0.25">
      <c r="A1147" s="123">
        <v>1146</v>
      </c>
      <c r="B1147" s="10" t="s">
        <v>15746</v>
      </c>
      <c r="C1147" s="125" t="s">
        <v>163</v>
      </c>
      <c r="D1147" t="s">
        <v>7558</v>
      </c>
      <c r="E1147" s="80" t="s">
        <v>7559</v>
      </c>
      <c r="F1147" t="s">
        <v>7560</v>
      </c>
      <c r="G1147" t="s">
        <v>5395</v>
      </c>
      <c r="H1147" t="s">
        <v>7561</v>
      </c>
      <c r="I1147" s="80" t="s">
        <v>7562</v>
      </c>
      <c r="J1147" t="s">
        <v>5272</v>
      </c>
      <c r="K1147" t="s">
        <v>7563</v>
      </c>
    </row>
    <row r="1148" spans="1:11" x14ac:dyDescent="0.25">
      <c r="A1148" s="123">
        <v>1147</v>
      </c>
      <c r="B1148" s="10" t="s">
        <v>15746</v>
      </c>
      <c r="C1148" s="125" t="s">
        <v>181</v>
      </c>
      <c r="D1148" t="s">
        <v>5621</v>
      </c>
      <c r="E1148" s="80" t="s">
        <v>7564</v>
      </c>
      <c r="F1148" t="s">
        <v>7565</v>
      </c>
      <c r="G1148" t="s">
        <v>5290</v>
      </c>
      <c r="H1148" t="s">
        <v>1947</v>
      </c>
      <c r="I1148" t="s">
        <v>7492</v>
      </c>
      <c r="J1148" t="s">
        <v>5672</v>
      </c>
      <c r="K1148" t="s">
        <v>7566</v>
      </c>
    </row>
    <row r="1149" spans="1:11" ht="15.75" thickBot="1" x14ac:dyDescent="0.3">
      <c r="A1149" s="123">
        <v>1148</v>
      </c>
      <c r="B1149" s="10" t="s">
        <v>15746</v>
      </c>
      <c r="C1149" s="125" t="s">
        <v>183</v>
      </c>
      <c r="D1149" t="s">
        <v>5468</v>
      </c>
      <c r="E1149">
        <v>9810</v>
      </c>
      <c r="F1149" t="s">
        <v>7567</v>
      </c>
      <c r="G1149" t="s">
        <v>5277</v>
      </c>
      <c r="H1149" t="s">
        <v>7568</v>
      </c>
      <c r="I1149" s="80" t="s">
        <v>7569</v>
      </c>
      <c r="J1149" t="s">
        <v>5826</v>
      </c>
      <c r="K1149" t="s">
        <v>7570</v>
      </c>
    </row>
    <row r="1150" spans="1:11" x14ac:dyDescent="0.25">
      <c r="A1150" s="123">
        <v>1149</v>
      </c>
      <c r="B1150" s="10" t="s">
        <v>15746</v>
      </c>
      <c r="C1150" s="126" t="s">
        <v>186</v>
      </c>
      <c r="D1150" t="s">
        <v>6376</v>
      </c>
      <c r="E1150" t="s">
        <v>7571</v>
      </c>
      <c r="F1150" t="s">
        <v>7572</v>
      </c>
      <c r="G1150" t="s">
        <v>5262</v>
      </c>
      <c r="H1150" t="s">
        <v>7573</v>
      </c>
      <c r="I1150" s="80" t="s">
        <v>7574</v>
      </c>
      <c r="J1150" t="s">
        <v>5385</v>
      </c>
      <c r="K1150" t="s">
        <v>7575</v>
      </c>
    </row>
    <row r="1151" spans="1:11" x14ac:dyDescent="0.25">
      <c r="A1151" s="123">
        <v>1150</v>
      </c>
      <c r="B1151" s="10" t="s">
        <v>15746</v>
      </c>
      <c r="C1151" s="125" t="s">
        <v>188</v>
      </c>
      <c r="D1151" t="s">
        <v>5252</v>
      </c>
      <c r="E1151" s="80" t="s">
        <v>7576</v>
      </c>
      <c r="F1151" t="s">
        <v>7577</v>
      </c>
      <c r="G1151" t="s">
        <v>5471</v>
      </c>
      <c r="H1151" t="s">
        <v>7578</v>
      </c>
      <c r="I1151" s="80" t="s">
        <v>7579</v>
      </c>
      <c r="J1151" t="s">
        <v>6314</v>
      </c>
      <c r="K1151" t="s">
        <v>7580</v>
      </c>
    </row>
    <row r="1152" spans="1:11" x14ac:dyDescent="0.25">
      <c r="A1152" s="123">
        <v>1151</v>
      </c>
      <c r="B1152" s="10" t="s">
        <v>15746</v>
      </c>
      <c r="C1152" s="125" t="s">
        <v>182</v>
      </c>
      <c r="D1152" t="s">
        <v>5463</v>
      </c>
      <c r="E1152" t="s">
        <v>7581</v>
      </c>
      <c r="F1152" t="s">
        <v>3068</v>
      </c>
      <c r="G1152" t="s">
        <v>5514</v>
      </c>
      <c r="H1152" t="s">
        <v>7582</v>
      </c>
      <c r="I1152" t="s">
        <v>7583</v>
      </c>
      <c r="J1152" t="s">
        <v>6300</v>
      </c>
      <c r="K1152" t="s">
        <v>5303</v>
      </c>
    </row>
    <row r="1153" spans="1:11" x14ac:dyDescent="0.25">
      <c r="A1153" s="123">
        <v>1152</v>
      </c>
      <c r="B1153" s="10" t="s">
        <v>15746</v>
      </c>
      <c r="C1153" s="125" t="s">
        <v>184</v>
      </c>
      <c r="D1153" t="s">
        <v>7584</v>
      </c>
      <c r="E1153" t="s">
        <v>7585</v>
      </c>
      <c r="F1153" t="s">
        <v>7586</v>
      </c>
      <c r="G1153" t="s">
        <v>5670</v>
      </c>
      <c r="H1153" t="s">
        <v>7587</v>
      </c>
      <c r="I1153" s="80" t="s">
        <v>7588</v>
      </c>
      <c r="J1153" t="s">
        <v>5299</v>
      </c>
      <c r="K1153" t="s">
        <v>7589</v>
      </c>
    </row>
    <row r="1154" spans="1:11" x14ac:dyDescent="0.25">
      <c r="A1154" s="123">
        <v>1153</v>
      </c>
      <c r="B1154" s="10" t="s">
        <v>15746</v>
      </c>
      <c r="C1154" s="125" t="s">
        <v>187</v>
      </c>
      <c r="D1154" t="s">
        <v>7590</v>
      </c>
      <c r="E1154" t="s">
        <v>7591</v>
      </c>
      <c r="F1154" t="s">
        <v>7592</v>
      </c>
      <c r="G1154" t="s">
        <v>5343</v>
      </c>
      <c r="H1154" s="80" t="s">
        <v>7593</v>
      </c>
      <c r="I1154" s="80" t="s">
        <v>7594</v>
      </c>
      <c r="J1154" t="s">
        <v>5912</v>
      </c>
      <c r="K1154" s="80" t="s">
        <v>7595</v>
      </c>
    </row>
    <row r="1155" spans="1:11" x14ac:dyDescent="0.25">
      <c r="A1155" s="123">
        <v>1154</v>
      </c>
      <c r="B1155" s="10" t="s">
        <v>15746</v>
      </c>
      <c r="C1155" s="125" t="s">
        <v>189</v>
      </c>
      <c r="D1155" t="s">
        <v>7596</v>
      </c>
      <c r="E1155" t="s">
        <v>7597</v>
      </c>
      <c r="F1155" t="s">
        <v>6194</v>
      </c>
      <c r="G1155" t="s">
        <v>5262</v>
      </c>
      <c r="H1155" t="s">
        <v>7598</v>
      </c>
      <c r="I1155" s="80" t="s">
        <v>7599</v>
      </c>
      <c r="J1155" t="s">
        <v>5703</v>
      </c>
      <c r="K1155" t="s">
        <v>7600</v>
      </c>
    </row>
    <row r="1156" spans="1:11" x14ac:dyDescent="0.25">
      <c r="A1156" s="123">
        <v>1155</v>
      </c>
      <c r="B1156" s="10" t="s">
        <v>15747</v>
      </c>
      <c r="C1156" s="127" t="s">
        <v>162</v>
      </c>
      <c r="D1156" t="s">
        <v>6697</v>
      </c>
      <c r="E1156" s="80" t="s">
        <v>7601</v>
      </c>
      <c r="F1156" t="s">
        <v>2382</v>
      </c>
      <c r="G1156" t="s">
        <v>5262</v>
      </c>
      <c r="H1156" t="s">
        <v>5391</v>
      </c>
      <c r="I1156" t="s">
        <v>1906</v>
      </c>
      <c r="J1156" t="s">
        <v>5880</v>
      </c>
      <c r="K1156" t="s">
        <v>6679</v>
      </c>
    </row>
    <row r="1157" spans="1:11" x14ac:dyDescent="0.25">
      <c r="A1157" s="123">
        <v>1156</v>
      </c>
      <c r="B1157" s="10" t="s">
        <v>15747</v>
      </c>
      <c r="C1157" s="125" t="s">
        <v>170</v>
      </c>
      <c r="D1157" t="s">
        <v>5640</v>
      </c>
      <c r="E1157" s="80" t="s">
        <v>7602</v>
      </c>
      <c r="F1157" t="s">
        <v>7603</v>
      </c>
      <c r="G1157" t="s">
        <v>5376</v>
      </c>
      <c r="H1157" t="s">
        <v>7604</v>
      </c>
      <c r="I1157" s="80" t="s">
        <v>7605</v>
      </c>
      <c r="J1157" t="s">
        <v>5299</v>
      </c>
      <c r="K1157" t="s">
        <v>7606</v>
      </c>
    </row>
    <row r="1158" spans="1:11" x14ac:dyDescent="0.25">
      <c r="A1158" s="123">
        <v>1157</v>
      </c>
      <c r="B1158" s="10" t="s">
        <v>15747</v>
      </c>
      <c r="C1158" s="125" t="s">
        <v>178</v>
      </c>
      <c r="D1158" t="s">
        <v>7607</v>
      </c>
      <c r="E1158" s="80" t="s">
        <v>7608</v>
      </c>
      <c r="F1158" t="s">
        <v>7609</v>
      </c>
      <c r="G1158" t="s">
        <v>5402</v>
      </c>
      <c r="H1158" s="80" t="s">
        <v>7610</v>
      </c>
      <c r="I1158" s="80" t="s">
        <v>7611</v>
      </c>
      <c r="J1158" t="s">
        <v>5692</v>
      </c>
      <c r="K1158" t="s">
        <v>7612</v>
      </c>
    </row>
    <row r="1159" spans="1:11" x14ac:dyDescent="0.25">
      <c r="A1159" s="123">
        <v>1158</v>
      </c>
      <c r="B1159" s="10" t="s">
        <v>15747</v>
      </c>
      <c r="C1159" s="125" t="s">
        <v>163</v>
      </c>
      <c r="D1159" t="s">
        <v>7613</v>
      </c>
      <c r="E1159" s="80" t="s">
        <v>7614</v>
      </c>
      <c r="F1159" t="s">
        <v>7615</v>
      </c>
      <c r="G1159" t="s">
        <v>7616</v>
      </c>
      <c r="H1159" s="80" t="s">
        <v>7617</v>
      </c>
      <c r="I1159" s="80" t="s">
        <v>7618</v>
      </c>
      <c r="J1159" t="s">
        <v>7619</v>
      </c>
      <c r="K1159" s="80" t="s">
        <v>7620</v>
      </c>
    </row>
    <row r="1160" spans="1:11" x14ac:dyDescent="0.25">
      <c r="A1160" s="123">
        <v>1159</v>
      </c>
      <c r="B1160" s="10" t="s">
        <v>15747</v>
      </c>
      <c r="C1160" s="125" t="s">
        <v>181</v>
      </c>
      <c r="D1160" t="s">
        <v>4646</v>
      </c>
      <c r="E1160" s="80" t="s">
        <v>7621</v>
      </c>
      <c r="F1160" t="s">
        <v>6336</v>
      </c>
      <c r="G1160" t="s">
        <v>5255</v>
      </c>
      <c r="H1160" t="s">
        <v>7622</v>
      </c>
      <c r="I1160" t="s">
        <v>6135</v>
      </c>
      <c r="J1160" t="s">
        <v>5936</v>
      </c>
      <c r="K1160" t="s">
        <v>7566</v>
      </c>
    </row>
    <row r="1161" spans="1:11" ht="15.75" thickBot="1" x14ac:dyDescent="0.3">
      <c r="A1161" s="123">
        <v>1160</v>
      </c>
      <c r="B1161" s="10" t="s">
        <v>15747</v>
      </c>
      <c r="C1161" s="125" t="s">
        <v>183</v>
      </c>
      <c r="D1161" t="s">
        <v>5540</v>
      </c>
      <c r="E1161" t="s">
        <v>7623</v>
      </c>
      <c r="F1161" t="s">
        <v>7624</v>
      </c>
      <c r="G1161" t="s">
        <v>5471</v>
      </c>
      <c r="H1161" s="80" t="s">
        <v>7625</v>
      </c>
      <c r="I1161" s="80" t="s">
        <v>7626</v>
      </c>
      <c r="J1161" t="s">
        <v>5405</v>
      </c>
      <c r="K1161" t="s">
        <v>7627</v>
      </c>
    </row>
    <row r="1162" spans="1:11" x14ac:dyDescent="0.25">
      <c r="A1162" s="123">
        <v>1161</v>
      </c>
      <c r="B1162" s="10" t="s">
        <v>15747</v>
      </c>
      <c r="C1162" s="126" t="s">
        <v>186</v>
      </c>
      <c r="D1162" t="s">
        <v>5640</v>
      </c>
      <c r="E1162" t="s">
        <v>7628</v>
      </c>
      <c r="F1162" t="s">
        <v>7629</v>
      </c>
      <c r="G1162" t="s">
        <v>5446</v>
      </c>
      <c r="H1162" s="80" t="s">
        <v>7630</v>
      </c>
      <c r="I1162" s="80" t="s">
        <v>7631</v>
      </c>
      <c r="J1162" t="s">
        <v>5703</v>
      </c>
      <c r="K1162" t="s">
        <v>7632</v>
      </c>
    </row>
    <row r="1163" spans="1:11" x14ac:dyDescent="0.25">
      <c r="A1163" s="123">
        <v>1162</v>
      </c>
      <c r="B1163" s="10" t="s">
        <v>15747</v>
      </c>
      <c r="C1163" s="125" t="s">
        <v>188</v>
      </c>
      <c r="D1163" t="s">
        <v>7633</v>
      </c>
      <c r="E1163" s="80" t="s">
        <v>7634</v>
      </c>
      <c r="F1163">
        <v>4</v>
      </c>
      <c r="G1163" t="s">
        <v>5351</v>
      </c>
      <c r="H1163" t="s">
        <v>7635</v>
      </c>
      <c r="I1163" s="80" t="s">
        <v>7636</v>
      </c>
      <c r="J1163" t="s">
        <v>5736</v>
      </c>
      <c r="K1163" s="80" t="s">
        <v>7637</v>
      </c>
    </row>
    <row r="1164" spans="1:11" x14ac:dyDescent="0.25">
      <c r="A1164" s="123">
        <v>1163</v>
      </c>
      <c r="B1164" s="10" t="s">
        <v>15747</v>
      </c>
      <c r="C1164" s="125" t="s">
        <v>182</v>
      </c>
      <c r="D1164" t="s">
        <v>7307</v>
      </c>
      <c r="E1164" t="s">
        <v>7638</v>
      </c>
      <c r="F1164" t="s">
        <v>1548</v>
      </c>
      <c r="G1164" t="s">
        <v>5466</v>
      </c>
      <c r="H1164" t="s">
        <v>7639</v>
      </c>
      <c r="I1164" t="s">
        <v>1574</v>
      </c>
      <c r="J1164" t="s">
        <v>6359</v>
      </c>
      <c r="K1164" t="s">
        <v>7640</v>
      </c>
    </row>
    <row r="1165" spans="1:11" x14ac:dyDescent="0.25">
      <c r="A1165" s="123">
        <v>1164</v>
      </c>
      <c r="B1165" s="10" t="s">
        <v>15747</v>
      </c>
      <c r="C1165" s="125" t="s">
        <v>184</v>
      </c>
      <c r="D1165" t="s">
        <v>5589</v>
      </c>
      <c r="E1165" s="80" t="s">
        <v>7641</v>
      </c>
      <c r="F1165" t="s">
        <v>7642</v>
      </c>
      <c r="G1165" t="s">
        <v>5410</v>
      </c>
      <c r="H1165" t="s">
        <v>7643</v>
      </c>
      <c r="I1165" s="80" t="s">
        <v>7644</v>
      </c>
      <c r="J1165" t="s">
        <v>5845</v>
      </c>
      <c r="K1165" t="s">
        <v>7645</v>
      </c>
    </row>
    <row r="1166" spans="1:11" x14ac:dyDescent="0.25">
      <c r="A1166" s="123">
        <v>1165</v>
      </c>
      <c r="B1166" s="10" t="s">
        <v>15747</v>
      </c>
      <c r="C1166" s="125" t="s">
        <v>187</v>
      </c>
      <c r="D1166" t="s">
        <v>7646</v>
      </c>
      <c r="E1166" t="s">
        <v>7647</v>
      </c>
      <c r="F1166" t="s">
        <v>7648</v>
      </c>
      <c r="G1166" t="s">
        <v>5478</v>
      </c>
      <c r="H1166" s="80" t="s">
        <v>7649</v>
      </c>
      <c r="I1166" s="80" t="s">
        <v>7650</v>
      </c>
      <c r="J1166" t="s">
        <v>3118</v>
      </c>
      <c r="K1166" s="80" t="s">
        <v>7651</v>
      </c>
    </row>
    <row r="1167" spans="1:11" x14ac:dyDescent="0.25">
      <c r="A1167" s="123">
        <v>1166</v>
      </c>
      <c r="B1167" s="10" t="s">
        <v>15747</v>
      </c>
      <c r="C1167" s="125" t="s">
        <v>189</v>
      </c>
      <c r="D1167" t="s">
        <v>7652</v>
      </c>
      <c r="E1167" t="s">
        <v>7653</v>
      </c>
      <c r="F1167" t="s">
        <v>7654</v>
      </c>
      <c r="G1167" t="s">
        <v>5543</v>
      </c>
      <c r="H1167" s="80" t="s">
        <v>7655</v>
      </c>
      <c r="I1167" s="80" t="s">
        <v>7656</v>
      </c>
      <c r="J1167" t="s">
        <v>3118</v>
      </c>
      <c r="K1167" s="80" t="s">
        <v>7657</v>
      </c>
    </row>
    <row r="1168" spans="1:11" x14ac:dyDescent="0.25">
      <c r="A1168" s="123">
        <v>1167</v>
      </c>
      <c r="B1168" s="10">
        <v>1015</v>
      </c>
      <c r="C1168" s="127" t="s">
        <v>162</v>
      </c>
      <c r="D1168" t="s">
        <v>6697</v>
      </c>
      <c r="E1168" s="80" t="s">
        <v>7658</v>
      </c>
      <c r="F1168" t="s">
        <v>2382</v>
      </c>
      <c r="G1168" t="s">
        <v>5290</v>
      </c>
      <c r="H1168" t="s">
        <v>1385</v>
      </c>
      <c r="I1168" t="s">
        <v>7659</v>
      </c>
      <c r="J1168" t="s">
        <v>5951</v>
      </c>
      <c r="K1168" t="s">
        <v>814</v>
      </c>
    </row>
    <row r="1169" spans="1:13" x14ac:dyDescent="0.25">
      <c r="A1169" s="123">
        <v>1168</v>
      </c>
      <c r="B1169" s="10">
        <v>1015</v>
      </c>
      <c r="C1169" s="125" t="s">
        <v>170</v>
      </c>
      <c r="D1169" t="s">
        <v>7402</v>
      </c>
      <c r="E1169" s="80" t="s">
        <v>7660</v>
      </c>
      <c r="F1169" t="s">
        <v>7661</v>
      </c>
      <c r="G1169" t="s">
        <v>5376</v>
      </c>
      <c r="H1169" t="s">
        <v>7662</v>
      </c>
      <c r="I1169" s="80" t="s">
        <v>7663</v>
      </c>
      <c r="J1169" t="s">
        <v>5385</v>
      </c>
      <c r="K1169" t="s">
        <v>7664</v>
      </c>
    </row>
    <row r="1170" spans="1:13" x14ac:dyDescent="0.25">
      <c r="A1170" s="123">
        <v>1169</v>
      </c>
      <c r="B1170" s="10">
        <v>1015</v>
      </c>
      <c r="C1170" s="125" t="s">
        <v>178</v>
      </c>
      <c r="D1170" t="s">
        <v>5589</v>
      </c>
      <c r="E1170" t="s">
        <v>7665</v>
      </c>
      <c r="F1170" t="s">
        <v>7666</v>
      </c>
      <c r="G1170" t="s">
        <v>5395</v>
      </c>
      <c r="H1170" t="s">
        <v>7667</v>
      </c>
      <c r="I1170" s="80" t="s">
        <v>7668</v>
      </c>
      <c r="J1170" t="s">
        <v>5510</v>
      </c>
      <c r="K1170" t="s">
        <v>7669</v>
      </c>
    </row>
    <row r="1171" spans="1:13" x14ac:dyDescent="0.25">
      <c r="A1171" s="123">
        <v>1170</v>
      </c>
      <c r="B1171" s="10">
        <v>1015</v>
      </c>
      <c r="C1171" s="125" t="s">
        <v>163</v>
      </c>
      <c r="D1171" t="s">
        <v>6747</v>
      </c>
      <c r="E1171" s="80" t="s">
        <v>7670</v>
      </c>
      <c r="F1171" t="s">
        <v>7671</v>
      </c>
      <c r="G1171" t="s">
        <v>5446</v>
      </c>
      <c r="H1171" t="s">
        <v>7672</v>
      </c>
      <c r="I1171" s="80" t="s">
        <v>7673</v>
      </c>
      <c r="J1171" t="s">
        <v>5912</v>
      </c>
      <c r="K1171" s="80" t="s">
        <v>7674</v>
      </c>
    </row>
    <row r="1172" spans="1:13" x14ac:dyDescent="0.25">
      <c r="A1172" s="123">
        <v>1171</v>
      </c>
      <c r="B1172" s="10">
        <v>1015</v>
      </c>
      <c r="C1172" s="125" t="s">
        <v>181</v>
      </c>
      <c r="D1172" t="s">
        <v>7345</v>
      </c>
      <c r="E1172" s="80" t="s">
        <v>7675</v>
      </c>
      <c r="F1172" t="s">
        <v>7676</v>
      </c>
      <c r="G1172" t="s">
        <v>5376</v>
      </c>
      <c r="H1172" t="s">
        <v>7677</v>
      </c>
      <c r="I1172" s="80" t="s">
        <v>7678</v>
      </c>
      <c r="J1172" t="s">
        <v>5334</v>
      </c>
      <c r="K1172" t="s">
        <v>7679</v>
      </c>
    </row>
    <row r="1173" spans="1:13" ht="15.75" thickBot="1" x14ac:dyDescent="0.3">
      <c r="A1173" s="123">
        <v>1172</v>
      </c>
      <c r="B1173" s="10">
        <v>1015</v>
      </c>
      <c r="C1173" s="125" t="s">
        <v>183</v>
      </c>
      <c r="D1173" t="s">
        <v>5595</v>
      </c>
      <c r="E1173" s="80" t="s">
        <v>7527</v>
      </c>
      <c r="F1173" t="s">
        <v>7680</v>
      </c>
      <c r="G1173" t="s">
        <v>5681</v>
      </c>
      <c r="H1173" t="s">
        <v>7681</v>
      </c>
      <c r="I1173" s="80" t="s">
        <v>7682</v>
      </c>
      <c r="J1173" t="s">
        <v>6418</v>
      </c>
      <c r="K1173" s="80" t="s">
        <v>7683</v>
      </c>
    </row>
    <row r="1174" spans="1:13" x14ac:dyDescent="0.25">
      <c r="A1174" s="123">
        <v>1173</v>
      </c>
      <c r="B1174" s="10">
        <v>1015</v>
      </c>
      <c r="C1174" s="126" t="s">
        <v>186</v>
      </c>
      <c r="D1174" t="s">
        <v>7684</v>
      </c>
      <c r="E1174" s="80" t="s">
        <v>7685</v>
      </c>
      <c r="F1174" s="111" t="s">
        <v>7686</v>
      </c>
      <c r="G1174" t="s">
        <v>7616</v>
      </c>
      <c r="H1174" s="80" t="s">
        <v>7687</v>
      </c>
      <c r="I1174" s="80" t="s">
        <v>7688</v>
      </c>
      <c r="J1174" t="s">
        <v>6388</v>
      </c>
      <c r="K1174" s="80" t="s">
        <v>7689</v>
      </c>
    </row>
    <row r="1175" spans="1:13" x14ac:dyDescent="0.25">
      <c r="A1175" s="123">
        <v>1174</v>
      </c>
      <c r="B1175" s="10">
        <v>1015</v>
      </c>
      <c r="C1175" s="125" t="s">
        <v>188</v>
      </c>
      <c r="D1175" t="s">
        <v>5547</v>
      </c>
      <c r="E1175" s="80" t="s">
        <v>7690</v>
      </c>
      <c r="F1175" t="s">
        <v>7691</v>
      </c>
      <c r="G1175" t="s">
        <v>7616</v>
      </c>
      <c r="H1175" s="80" t="s">
        <v>7692</v>
      </c>
      <c r="I1175" s="80" t="s">
        <v>7693</v>
      </c>
      <c r="J1175" t="s">
        <v>5927</v>
      </c>
      <c r="K1175" s="80" t="s">
        <v>7694</v>
      </c>
    </row>
    <row r="1176" spans="1:13" x14ac:dyDescent="0.25">
      <c r="A1176" s="123">
        <v>1175</v>
      </c>
      <c r="B1176" s="10">
        <v>1015</v>
      </c>
      <c r="C1176" s="125" t="s">
        <v>182</v>
      </c>
      <c r="D1176" t="s">
        <v>583</v>
      </c>
      <c r="E1176" t="s">
        <v>7695</v>
      </c>
      <c r="F1176" t="s">
        <v>6179</v>
      </c>
      <c r="G1176" t="s">
        <v>5514</v>
      </c>
      <c r="H1176" t="s">
        <v>583</v>
      </c>
      <c r="I1176" t="s">
        <v>7056</v>
      </c>
      <c r="J1176" t="s">
        <v>583</v>
      </c>
      <c r="K1176" s="80" t="s">
        <v>2380</v>
      </c>
    </row>
    <row r="1177" spans="1:13" x14ac:dyDescent="0.25">
      <c r="A1177" s="123">
        <v>1176</v>
      </c>
      <c r="B1177" s="10">
        <v>1015</v>
      </c>
      <c r="C1177" s="125" t="s">
        <v>184</v>
      </c>
      <c r="D1177" t="s">
        <v>4646</v>
      </c>
      <c r="E1177" t="s">
        <v>7696</v>
      </c>
      <c r="F1177" t="s">
        <v>7697</v>
      </c>
      <c r="G1177" t="s">
        <v>5290</v>
      </c>
      <c r="H1177" t="s">
        <v>7698</v>
      </c>
      <c r="I1177" s="80" t="s">
        <v>7699</v>
      </c>
      <c r="J1177" t="s">
        <v>5880</v>
      </c>
      <c r="K1177" t="s">
        <v>7700</v>
      </c>
    </row>
    <row r="1178" spans="1:13" x14ac:dyDescent="0.25">
      <c r="A1178" s="123">
        <v>1177</v>
      </c>
      <c r="B1178" s="10">
        <v>1015</v>
      </c>
      <c r="C1178" s="125" t="s">
        <v>187</v>
      </c>
      <c r="D1178" t="s">
        <v>7701</v>
      </c>
      <c r="E1178" t="s">
        <v>7702</v>
      </c>
      <c r="F1178" t="s">
        <v>7703</v>
      </c>
      <c r="G1178" t="s">
        <v>5277</v>
      </c>
      <c r="H1178" t="s">
        <v>7704</v>
      </c>
      <c r="I1178" s="80" t="s">
        <v>7705</v>
      </c>
      <c r="J1178" t="s">
        <v>5405</v>
      </c>
      <c r="K1178" t="s">
        <v>7706</v>
      </c>
    </row>
    <row r="1179" spans="1:13" x14ac:dyDescent="0.25">
      <c r="A1179" s="123">
        <v>1178</v>
      </c>
      <c r="B1179" s="10">
        <v>1015</v>
      </c>
      <c r="C1179" s="125" t="s">
        <v>189</v>
      </c>
      <c r="D1179" t="s">
        <v>583</v>
      </c>
      <c r="E1179" t="s">
        <v>7707</v>
      </c>
      <c r="F1179" t="s">
        <v>3068</v>
      </c>
      <c r="G1179" s="80" t="s">
        <v>3031</v>
      </c>
      <c r="H1179" t="s">
        <v>5663</v>
      </c>
      <c r="I1179" t="s">
        <v>7708</v>
      </c>
      <c r="J1179" t="s">
        <v>5723</v>
      </c>
      <c r="K1179" t="s">
        <v>7709</v>
      </c>
    </row>
    <row r="1180" spans="1:13" x14ac:dyDescent="0.25">
      <c r="A1180" s="123">
        <v>1179</v>
      </c>
      <c r="B1180" s="10">
        <v>2011</v>
      </c>
      <c r="C1180" s="127" t="s">
        <v>162</v>
      </c>
      <c r="D1180" t="s">
        <v>4646</v>
      </c>
      <c r="E1180" t="s">
        <v>7710</v>
      </c>
      <c r="F1180" t="s">
        <v>1740</v>
      </c>
      <c r="G1180" t="s">
        <v>5466</v>
      </c>
      <c r="H1180" t="s">
        <v>7711</v>
      </c>
      <c r="I1180" t="s">
        <v>7712</v>
      </c>
      <c r="J1180" t="s">
        <v>5993</v>
      </c>
      <c r="K1180" t="s">
        <v>7713</v>
      </c>
    </row>
    <row r="1181" spans="1:13" x14ac:dyDescent="0.25">
      <c r="A1181" s="123">
        <v>1180</v>
      </c>
      <c r="B1181" s="10">
        <v>2011</v>
      </c>
      <c r="C1181" s="125" t="s">
        <v>170</v>
      </c>
      <c r="D1181" t="s">
        <v>7714</v>
      </c>
      <c r="E1181" s="80" t="s">
        <v>7715</v>
      </c>
      <c r="F1181" t="s">
        <v>7716</v>
      </c>
      <c r="G1181" t="s">
        <v>5262</v>
      </c>
      <c r="H1181" t="s">
        <v>7717</v>
      </c>
      <c r="I1181" s="80" t="s">
        <v>7718</v>
      </c>
      <c r="J1181" t="s">
        <v>5845</v>
      </c>
      <c r="K1181" t="s">
        <v>7719</v>
      </c>
    </row>
    <row r="1182" spans="1:13" x14ac:dyDescent="0.25">
      <c r="A1182" s="123">
        <v>1181</v>
      </c>
      <c r="B1182" s="10">
        <v>2011</v>
      </c>
      <c r="C1182" s="125" t="s">
        <v>178</v>
      </c>
      <c r="D1182" t="s">
        <v>7720</v>
      </c>
      <c r="E1182" t="s">
        <v>7721</v>
      </c>
      <c r="F1182" t="s">
        <v>7722</v>
      </c>
      <c r="G1182" t="s">
        <v>5471</v>
      </c>
      <c r="H1182" s="80" t="s">
        <v>7723</v>
      </c>
      <c r="I1182" s="80" t="s">
        <v>7724</v>
      </c>
      <c r="J1182" t="s">
        <v>5258</v>
      </c>
      <c r="K1182" t="s">
        <v>7725</v>
      </c>
    </row>
    <row r="1183" spans="1:13" x14ac:dyDescent="0.25">
      <c r="A1183" s="123">
        <v>1182</v>
      </c>
      <c r="B1183" s="10">
        <v>2011</v>
      </c>
      <c r="C1183" s="125" t="s">
        <v>163</v>
      </c>
      <c r="D1183" t="s">
        <v>7726</v>
      </c>
      <c r="E1183" t="s">
        <v>7727</v>
      </c>
      <c r="F1183" t="s">
        <v>2817</v>
      </c>
      <c r="G1183" t="s">
        <v>5376</v>
      </c>
      <c r="H1183" t="s">
        <v>7728</v>
      </c>
      <c r="I1183" s="80" t="s">
        <v>7729</v>
      </c>
      <c r="J1183" t="s">
        <v>6210</v>
      </c>
      <c r="K1183" s="80" t="s">
        <v>7730</v>
      </c>
    </row>
    <row r="1184" spans="1:13" x14ac:dyDescent="0.25">
      <c r="A1184" s="123">
        <v>1183</v>
      </c>
      <c r="B1184" s="10">
        <v>2011</v>
      </c>
      <c r="C1184" s="125" t="s">
        <v>181</v>
      </c>
      <c r="D1184" t="s">
        <v>5336</v>
      </c>
      <c r="E1184" s="80" t="s">
        <v>7731</v>
      </c>
      <c r="F1184" t="s">
        <v>3899</v>
      </c>
      <c r="G1184" t="s">
        <v>5290</v>
      </c>
      <c r="H1184" t="s">
        <v>7732</v>
      </c>
      <c r="I1184" t="s">
        <v>7733</v>
      </c>
      <c r="J1184" t="s">
        <v>6000</v>
      </c>
      <c r="K1184" t="s">
        <v>7734</v>
      </c>
      <c r="M1184" s="50"/>
    </row>
    <row r="1185" spans="1:11" ht="15.75" thickBot="1" x14ac:dyDescent="0.3">
      <c r="A1185" s="123">
        <v>1184</v>
      </c>
      <c r="B1185" s="10">
        <v>2011</v>
      </c>
      <c r="C1185" s="125" t="s">
        <v>183</v>
      </c>
      <c r="D1185" t="s">
        <v>5252</v>
      </c>
      <c r="E1185" t="s">
        <v>7735</v>
      </c>
      <c r="F1185" t="s">
        <v>7736</v>
      </c>
      <c r="G1185" t="s">
        <v>5410</v>
      </c>
      <c r="H1185" t="s">
        <v>7737</v>
      </c>
      <c r="I1185" s="80" t="s">
        <v>7738</v>
      </c>
      <c r="J1185" t="s">
        <v>5272</v>
      </c>
      <c r="K1185" s="80" t="s">
        <v>7739</v>
      </c>
    </row>
    <row r="1186" spans="1:11" x14ac:dyDescent="0.25">
      <c r="A1186" s="123">
        <v>1185</v>
      </c>
      <c r="B1186" s="10">
        <v>2011</v>
      </c>
      <c r="C1186" s="126" t="s">
        <v>186</v>
      </c>
      <c r="D1186" t="s">
        <v>5540</v>
      </c>
      <c r="E1186" t="s">
        <v>7740</v>
      </c>
      <c r="F1186" t="s">
        <v>7741</v>
      </c>
      <c r="G1186" t="s">
        <v>5782</v>
      </c>
      <c r="H1186" s="80" t="s">
        <v>7742</v>
      </c>
      <c r="I1186" s="80" t="s">
        <v>7743</v>
      </c>
      <c r="J1186" t="s">
        <v>5736</v>
      </c>
      <c r="K1186" s="80" t="s">
        <v>7744</v>
      </c>
    </row>
    <row r="1187" spans="1:11" x14ac:dyDescent="0.25">
      <c r="A1187" s="123">
        <v>1186</v>
      </c>
      <c r="B1187" s="10">
        <v>2011</v>
      </c>
      <c r="C1187" s="125" t="s">
        <v>188</v>
      </c>
      <c r="D1187" t="s">
        <v>7436</v>
      </c>
      <c r="E1187" s="80" t="s">
        <v>7745</v>
      </c>
      <c r="F1187" t="s">
        <v>7746</v>
      </c>
      <c r="G1187" t="s">
        <v>5410</v>
      </c>
      <c r="H1187" t="s">
        <v>7747</v>
      </c>
      <c r="I1187" s="80" t="s">
        <v>7748</v>
      </c>
      <c r="J1187" t="s">
        <v>5684</v>
      </c>
      <c r="K1187" s="80" t="s">
        <v>7749</v>
      </c>
    </row>
    <row r="1188" spans="1:11" x14ac:dyDescent="0.25">
      <c r="A1188" s="123">
        <v>1187</v>
      </c>
      <c r="B1188" s="10">
        <v>2011</v>
      </c>
      <c r="C1188" s="125" t="s">
        <v>182</v>
      </c>
      <c r="D1188" t="s">
        <v>583</v>
      </c>
      <c r="E1188" t="s">
        <v>7750</v>
      </c>
      <c r="F1188" t="s">
        <v>6179</v>
      </c>
      <c r="G1188" s="80" t="s">
        <v>5283</v>
      </c>
      <c r="H1188" t="s">
        <v>6022</v>
      </c>
      <c r="I1188" t="s">
        <v>7751</v>
      </c>
      <c r="J1188" t="s">
        <v>5798</v>
      </c>
      <c r="K1188" t="s">
        <v>7752</v>
      </c>
    </row>
    <row r="1189" spans="1:11" x14ac:dyDescent="0.25">
      <c r="A1189" s="123">
        <v>1188</v>
      </c>
      <c r="B1189" s="10">
        <v>2011</v>
      </c>
      <c r="C1189" s="125" t="s">
        <v>184</v>
      </c>
      <c r="D1189" t="s">
        <v>5340</v>
      </c>
      <c r="E1189" t="s">
        <v>7261</v>
      </c>
      <c r="F1189" t="s">
        <v>7753</v>
      </c>
      <c r="G1189" t="s">
        <v>5727</v>
      </c>
      <c r="H1189" t="s">
        <v>7754</v>
      </c>
      <c r="I1189" s="80" t="s">
        <v>7755</v>
      </c>
      <c r="J1189" t="s">
        <v>5752</v>
      </c>
      <c r="K1189" t="s">
        <v>7756</v>
      </c>
    </row>
    <row r="1190" spans="1:11" x14ac:dyDescent="0.25">
      <c r="A1190" s="123">
        <v>1189</v>
      </c>
      <c r="B1190" s="10">
        <v>2011</v>
      </c>
      <c r="C1190" s="125" t="s">
        <v>187</v>
      </c>
      <c r="D1190" t="s">
        <v>7757</v>
      </c>
      <c r="E1190" t="s">
        <v>7758</v>
      </c>
      <c r="F1190" t="s">
        <v>7759</v>
      </c>
      <c r="G1190" t="s">
        <v>5277</v>
      </c>
      <c r="H1190" s="80" t="s">
        <v>7760</v>
      </c>
      <c r="I1190" s="80" t="s">
        <v>7761</v>
      </c>
      <c r="J1190" t="s">
        <v>5327</v>
      </c>
      <c r="K1190" t="s">
        <v>7762</v>
      </c>
    </row>
    <row r="1191" spans="1:11" x14ac:dyDescent="0.25">
      <c r="A1191" s="123">
        <v>1190</v>
      </c>
      <c r="B1191" s="10">
        <v>2011</v>
      </c>
      <c r="C1191" s="125" t="s">
        <v>189</v>
      </c>
      <c r="D1191" t="s">
        <v>7763</v>
      </c>
      <c r="E1191" t="s">
        <v>7764</v>
      </c>
      <c r="F1191" t="s">
        <v>7765</v>
      </c>
      <c r="G1191" t="s">
        <v>5262</v>
      </c>
      <c r="H1191" t="s">
        <v>7766</v>
      </c>
      <c r="I1191" s="80" t="s">
        <v>7767</v>
      </c>
      <c r="J1191" t="s">
        <v>5936</v>
      </c>
      <c r="K1191" t="s">
        <v>7768</v>
      </c>
    </row>
    <row r="1192" spans="1:11" x14ac:dyDescent="0.25">
      <c r="A1192" s="123">
        <v>1191</v>
      </c>
      <c r="B1192" s="10">
        <v>2012</v>
      </c>
      <c r="C1192" s="127" t="s">
        <v>162</v>
      </c>
      <c r="D1192" t="s">
        <v>6962</v>
      </c>
      <c r="E1192" t="s">
        <v>7769</v>
      </c>
      <c r="F1192" t="s">
        <v>5286</v>
      </c>
      <c r="G1192" t="s">
        <v>5439</v>
      </c>
      <c r="H1192" t="s">
        <v>2466</v>
      </c>
      <c r="I1192" t="s">
        <v>7770</v>
      </c>
      <c r="J1192" t="s">
        <v>2593</v>
      </c>
      <c r="K1192" t="s">
        <v>6259</v>
      </c>
    </row>
    <row r="1193" spans="1:11" x14ac:dyDescent="0.25">
      <c r="A1193" s="123">
        <v>1192</v>
      </c>
      <c r="B1193" s="10">
        <v>2012</v>
      </c>
      <c r="C1193" s="125" t="s">
        <v>170</v>
      </c>
      <c r="D1193" t="s">
        <v>7361</v>
      </c>
      <c r="E1193" t="s">
        <v>7771</v>
      </c>
      <c r="F1193" t="s">
        <v>7772</v>
      </c>
      <c r="G1193" t="s">
        <v>5868</v>
      </c>
      <c r="H1193" t="s">
        <v>7773</v>
      </c>
      <c r="I1193" s="80" t="s">
        <v>7774</v>
      </c>
      <c r="J1193" t="s">
        <v>6000</v>
      </c>
      <c r="K1193" t="s">
        <v>7775</v>
      </c>
    </row>
    <row r="1194" spans="1:11" x14ac:dyDescent="0.25">
      <c r="A1194" s="123">
        <v>1193</v>
      </c>
      <c r="B1194" s="10">
        <v>2012</v>
      </c>
      <c r="C1194" s="125" t="s">
        <v>178</v>
      </c>
      <c r="D1194" t="s">
        <v>7776</v>
      </c>
      <c r="E1194" t="s">
        <v>7777</v>
      </c>
      <c r="F1194" t="s">
        <v>7778</v>
      </c>
      <c r="G1194" t="s">
        <v>5471</v>
      </c>
      <c r="H1194" s="80" t="s">
        <v>7779</v>
      </c>
      <c r="I1194" s="80" t="s">
        <v>7780</v>
      </c>
      <c r="J1194" t="s">
        <v>5405</v>
      </c>
      <c r="K1194" t="s">
        <v>7781</v>
      </c>
    </row>
    <row r="1195" spans="1:11" x14ac:dyDescent="0.25">
      <c r="A1195" s="123">
        <v>1194</v>
      </c>
      <c r="B1195" s="10">
        <v>2012</v>
      </c>
      <c r="C1195" s="125" t="s">
        <v>163</v>
      </c>
      <c r="D1195" t="s">
        <v>7782</v>
      </c>
      <c r="E1195" s="80" t="s">
        <v>7783</v>
      </c>
      <c r="F1195" t="s">
        <v>7784</v>
      </c>
      <c r="G1195" t="s">
        <v>5331</v>
      </c>
      <c r="H1195" t="s">
        <v>7785</v>
      </c>
      <c r="I1195" s="80" t="s">
        <v>7786</v>
      </c>
      <c r="J1195" t="s">
        <v>5265</v>
      </c>
      <c r="K1195" s="80" t="s">
        <v>7787</v>
      </c>
    </row>
    <row r="1196" spans="1:11" x14ac:dyDescent="0.25">
      <c r="A1196" s="123">
        <v>1195</v>
      </c>
      <c r="B1196" s="10">
        <v>2012</v>
      </c>
      <c r="C1196" s="125" t="s">
        <v>181</v>
      </c>
      <c r="D1196" t="s">
        <v>5632</v>
      </c>
      <c r="E1196" s="80" t="s">
        <v>7788</v>
      </c>
      <c r="F1196" t="s">
        <v>7789</v>
      </c>
      <c r="G1196" t="s">
        <v>5782</v>
      </c>
      <c r="H1196" t="s">
        <v>7790</v>
      </c>
      <c r="I1196" s="80" t="s">
        <v>7791</v>
      </c>
      <c r="J1196" t="s">
        <v>6418</v>
      </c>
      <c r="K1196" s="80" t="s">
        <v>7792</v>
      </c>
    </row>
    <row r="1197" spans="1:11" ht="15.75" thickBot="1" x14ac:dyDescent="0.3">
      <c r="A1197" s="123">
        <v>1196</v>
      </c>
      <c r="B1197" s="10">
        <v>2012</v>
      </c>
      <c r="C1197" s="125" t="s">
        <v>183</v>
      </c>
      <c r="D1197" t="s">
        <v>7106</v>
      </c>
      <c r="E1197" s="80" t="s">
        <v>7793</v>
      </c>
      <c r="F1197" t="s">
        <v>7794</v>
      </c>
      <c r="G1197" t="s">
        <v>5708</v>
      </c>
      <c r="H1197" s="80" t="s">
        <v>7795</v>
      </c>
      <c r="I1197" s="80" t="s">
        <v>7796</v>
      </c>
      <c r="J1197" t="s">
        <v>3118</v>
      </c>
      <c r="K1197" s="80" t="s">
        <v>7797</v>
      </c>
    </row>
    <row r="1198" spans="1:11" x14ac:dyDescent="0.25">
      <c r="A1198" s="123">
        <v>1197</v>
      </c>
      <c r="B1198" s="10">
        <v>2012</v>
      </c>
      <c r="C1198" s="126" t="s">
        <v>186</v>
      </c>
      <c r="D1198" t="s">
        <v>2499</v>
      </c>
      <c r="E1198" s="80" t="s">
        <v>7798</v>
      </c>
      <c r="F1198" s="111" t="s">
        <v>7799</v>
      </c>
      <c r="G1198" t="s">
        <v>5916</v>
      </c>
      <c r="H1198" t="s">
        <v>7800</v>
      </c>
      <c r="I1198" s="80" t="s">
        <v>7801</v>
      </c>
      <c r="J1198" t="s">
        <v>7283</v>
      </c>
      <c r="K1198" s="80" t="s">
        <v>7802</v>
      </c>
    </row>
    <row r="1199" spans="1:11" x14ac:dyDescent="0.25">
      <c r="A1199" s="123">
        <v>1198</v>
      </c>
      <c r="B1199" s="10">
        <v>2012</v>
      </c>
      <c r="C1199" s="125" t="s">
        <v>188</v>
      </c>
      <c r="D1199" t="s">
        <v>2499</v>
      </c>
      <c r="E1199" s="80" t="s">
        <v>7803</v>
      </c>
      <c r="F1199" t="s">
        <v>7804</v>
      </c>
      <c r="G1199" t="s">
        <v>5924</v>
      </c>
      <c r="H1199" s="80" t="s">
        <v>7805</v>
      </c>
      <c r="I1199" s="80" t="s">
        <v>7806</v>
      </c>
      <c r="J1199" t="s">
        <v>7619</v>
      </c>
      <c r="K1199" s="80" t="s">
        <v>7807</v>
      </c>
    </row>
    <row r="1200" spans="1:11" x14ac:dyDescent="0.25">
      <c r="A1200" s="123">
        <v>1199</v>
      </c>
      <c r="B1200" s="10">
        <v>2012</v>
      </c>
      <c r="C1200" s="125" t="s">
        <v>182</v>
      </c>
      <c r="D1200" t="s">
        <v>583</v>
      </c>
      <c r="E1200" t="s">
        <v>7808</v>
      </c>
      <c r="F1200" t="s">
        <v>5842</v>
      </c>
      <c r="G1200" t="s">
        <v>5514</v>
      </c>
      <c r="H1200" t="s">
        <v>7809</v>
      </c>
      <c r="I1200" s="80" t="s">
        <v>7810</v>
      </c>
      <c r="J1200" t="s">
        <v>5798</v>
      </c>
      <c r="K1200">
        <v>28</v>
      </c>
    </row>
    <row r="1201" spans="1:11" x14ac:dyDescent="0.25">
      <c r="A1201" s="123">
        <v>1200</v>
      </c>
      <c r="B1201" s="10">
        <v>2012</v>
      </c>
      <c r="C1201" s="125" t="s">
        <v>184</v>
      </c>
      <c r="D1201" t="s">
        <v>7811</v>
      </c>
      <c r="E1201" t="s">
        <v>7330</v>
      </c>
      <c r="F1201" t="s">
        <v>7812</v>
      </c>
      <c r="G1201" t="s">
        <v>5471</v>
      </c>
      <c r="H1201" t="s">
        <v>7813</v>
      </c>
      <c r="I1201" s="80" t="s">
        <v>7814</v>
      </c>
      <c r="J1201" t="s">
        <v>5826</v>
      </c>
      <c r="K1201" t="s">
        <v>7815</v>
      </c>
    </row>
    <row r="1202" spans="1:11" x14ac:dyDescent="0.25">
      <c r="A1202" s="123">
        <v>1201</v>
      </c>
      <c r="B1202" s="10">
        <v>2012</v>
      </c>
      <c r="C1202" s="125" t="s">
        <v>187</v>
      </c>
      <c r="D1202" t="s">
        <v>7816</v>
      </c>
      <c r="E1202" t="s">
        <v>7817</v>
      </c>
      <c r="F1202" t="s">
        <v>7818</v>
      </c>
      <c r="G1202" t="s">
        <v>5376</v>
      </c>
      <c r="H1202" s="80" t="s">
        <v>7819</v>
      </c>
      <c r="I1202" s="80" t="s">
        <v>7820</v>
      </c>
      <c r="J1202" t="s">
        <v>5684</v>
      </c>
      <c r="K1202" t="s">
        <v>7821</v>
      </c>
    </row>
    <row r="1203" spans="1:11" x14ac:dyDescent="0.25">
      <c r="A1203" s="123">
        <v>1202</v>
      </c>
      <c r="B1203" s="10">
        <v>2012</v>
      </c>
      <c r="C1203" s="125" t="s">
        <v>189</v>
      </c>
      <c r="D1203" t="s">
        <v>7822</v>
      </c>
      <c r="E1203" t="s">
        <v>7823</v>
      </c>
      <c r="F1203" t="s">
        <v>7824</v>
      </c>
      <c r="G1203" t="s">
        <v>5471</v>
      </c>
      <c r="H1203" s="80" t="s">
        <v>7825</v>
      </c>
      <c r="I1203" s="80" t="s">
        <v>7826</v>
      </c>
      <c r="J1203" t="s">
        <v>5777</v>
      </c>
      <c r="K1203" t="s">
        <v>7827</v>
      </c>
    </row>
    <row r="1204" spans="1:11" x14ac:dyDescent="0.25">
      <c r="A1204" s="123">
        <v>1203</v>
      </c>
      <c r="B1204" s="10">
        <v>1017</v>
      </c>
      <c r="C1204" s="127" t="s">
        <v>162</v>
      </c>
      <c r="D1204">
        <v>115</v>
      </c>
      <c r="E1204" s="80" t="s">
        <v>7828</v>
      </c>
      <c r="F1204" t="s">
        <v>7829</v>
      </c>
      <c r="G1204" t="s">
        <v>5543</v>
      </c>
      <c r="H1204" t="s">
        <v>7830</v>
      </c>
      <c r="I1204" s="80" t="s">
        <v>7831</v>
      </c>
      <c r="J1204" t="s">
        <v>7832</v>
      </c>
      <c r="K1204" s="80" t="s">
        <v>7833</v>
      </c>
    </row>
    <row r="1205" spans="1:11" x14ac:dyDescent="0.25">
      <c r="A1205" s="123">
        <v>1204</v>
      </c>
      <c r="B1205" s="10">
        <v>1017</v>
      </c>
      <c r="C1205" s="125" t="s">
        <v>170</v>
      </c>
      <c r="D1205" t="s">
        <v>7345</v>
      </c>
      <c r="E1205" s="80" t="s">
        <v>7834</v>
      </c>
      <c r="F1205" t="s">
        <v>7835</v>
      </c>
      <c r="G1205" t="s">
        <v>5376</v>
      </c>
      <c r="H1205" t="s">
        <v>7836</v>
      </c>
      <c r="I1205" s="80" t="s">
        <v>7837</v>
      </c>
      <c r="J1205" t="s">
        <v>5645</v>
      </c>
      <c r="K1205" s="80" t="s">
        <v>7838</v>
      </c>
    </row>
    <row r="1206" spans="1:11" x14ac:dyDescent="0.25">
      <c r="A1206" s="123">
        <v>1205</v>
      </c>
      <c r="B1206" s="10">
        <v>1017</v>
      </c>
      <c r="C1206" s="125" t="s">
        <v>178</v>
      </c>
      <c r="D1206" t="s">
        <v>6936</v>
      </c>
      <c r="E1206" s="80" t="s">
        <v>7839</v>
      </c>
      <c r="F1206" t="s">
        <v>7840</v>
      </c>
      <c r="G1206" t="s">
        <v>5471</v>
      </c>
      <c r="H1206" s="80" t="s">
        <v>7841</v>
      </c>
      <c r="I1206" s="80" t="s">
        <v>7842</v>
      </c>
      <c r="J1206" t="s">
        <v>5265</v>
      </c>
      <c r="K1206" t="s">
        <v>7843</v>
      </c>
    </row>
    <row r="1207" spans="1:11" x14ac:dyDescent="0.25">
      <c r="A1207" s="123">
        <v>1206</v>
      </c>
      <c r="B1207" s="10">
        <v>1017</v>
      </c>
      <c r="C1207" s="125" t="s">
        <v>163</v>
      </c>
      <c r="D1207" t="s">
        <v>7248</v>
      </c>
      <c r="E1207" s="80" t="s">
        <v>7844</v>
      </c>
      <c r="F1207" t="s">
        <v>7845</v>
      </c>
      <c r="G1207" t="s">
        <v>5402</v>
      </c>
      <c r="H1207" s="80" t="s">
        <v>7846</v>
      </c>
      <c r="I1207" s="80" t="s">
        <v>7847</v>
      </c>
      <c r="J1207" t="s">
        <v>6132</v>
      </c>
      <c r="K1207" s="80" t="s">
        <v>7848</v>
      </c>
    </row>
    <row r="1208" spans="1:11" x14ac:dyDescent="0.25">
      <c r="A1208" s="123">
        <v>1207</v>
      </c>
      <c r="B1208" s="10">
        <v>1017</v>
      </c>
      <c r="C1208" s="125" t="s">
        <v>181</v>
      </c>
      <c r="D1208" t="s">
        <v>6290</v>
      </c>
      <c r="E1208" s="80" t="s">
        <v>7849</v>
      </c>
      <c r="F1208" t="s">
        <v>7850</v>
      </c>
      <c r="G1208" t="s">
        <v>5402</v>
      </c>
      <c r="H1208" t="s">
        <v>7851</v>
      </c>
      <c r="I1208" s="80" t="s">
        <v>7852</v>
      </c>
      <c r="J1208" t="s">
        <v>6125</v>
      </c>
      <c r="K1208" s="80" t="s">
        <v>7853</v>
      </c>
    </row>
    <row r="1209" spans="1:11" ht="15.75" thickBot="1" x14ac:dyDescent="0.3">
      <c r="A1209" s="123">
        <v>1208</v>
      </c>
      <c r="B1209" s="10">
        <v>1017</v>
      </c>
      <c r="C1209" s="125" t="s">
        <v>183</v>
      </c>
      <c r="D1209" t="s">
        <v>6290</v>
      </c>
      <c r="E1209" s="80" t="s">
        <v>7854</v>
      </c>
      <c r="F1209" t="s">
        <v>7855</v>
      </c>
      <c r="G1209" t="s">
        <v>5317</v>
      </c>
      <c r="H1209" t="s">
        <v>7856</v>
      </c>
      <c r="I1209" s="80" t="s">
        <v>7857</v>
      </c>
      <c r="J1209" t="s">
        <v>6210</v>
      </c>
      <c r="K1209" s="80" t="s">
        <v>7858</v>
      </c>
    </row>
    <row r="1210" spans="1:11" x14ac:dyDescent="0.25">
      <c r="A1210" s="123">
        <v>1209</v>
      </c>
      <c r="B1210" s="10">
        <v>1017</v>
      </c>
      <c r="C1210" s="126" t="s">
        <v>186</v>
      </c>
      <c r="D1210" t="s">
        <v>7345</v>
      </c>
      <c r="E1210" s="80" t="s">
        <v>7859</v>
      </c>
      <c r="F1210" s="111" t="s">
        <v>7860</v>
      </c>
      <c r="G1210" t="s">
        <v>5543</v>
      </c>
      <c r="H1210" s="80" t="s">
        <v>7861</v>
      </c>
      <c r="I1210" s="80" t="s">
        <v>7862</v>
      </c>
      <c r="J1210" t="s">
        <v>6040</v>
      </c>
      <c r="K1210" s="80" t="s">
        <v>7863</v>
      </c>
    </row>
    <row r="1211" spans="1:11" x14ac:dyDescent="0.25">
      <c r="A1211" s="123">
        <v>1210</v>
      </c>
      <c r="B1211" s="10">
        <v>1017</v>
      </c>
      <c r="C1211" s="125" t="s">
        <v>188</v>
      </c>
      <c r="D1211" t="s">
        <v>7106</v>
      </c>
      <c r="E1211" s="80" t="s">
        <v>7864</v>
      </c>
      <c r="F1211" s="111" t="s">
        <v>7865</v>
      </c>
      <c r="G1211" t="s">
        <v>5635</v>
      </c>
      <c r="H1211" t="s">
        <v>7866</v>
      </c>
      <c r="I1211" s="80" t="s">
        <v>7867</v>
      </c>
      <c r="J1211" t="s">
        <v>6040</v>
      </c>
      <c r="K1211" s="80" t="s">
        <v>7868</v>
      </c>
    </row>
    <row r="1212" spans="1:11" x14ac:dyDescent="0.25">
      <c r="A1212" s="123">
        <v>1211</v>
      </c>
      <c r="B1212" s="10">
        <v>1017</v>
      </c>
      <c r="C1212" s="125" t="s">
        <v>182</v>
      </c>
      <c r="D1212" t="s">
        <v>7869</v>
      </c>
      <c r="E1212" t="s">
        <v>7870</v>
      </c>
      <c r="F1212" t="s">
        <v>583</v>
      </c>
      <c r="G1212" s="80" t="s">
        <v>5797</v>
      </c>
      <c r="H1212" t="s">
        <v>7871</v>
      </c>
      <c r="I1212" t="s">
        <v>7872</v>
      </c>
      <c r="J1212" t="s">
        <v>5605</v>
      </c>
      <c r="K1212" t="s">
        <v>7752</v>
      </c>
    </row>
    <row r="1213" spans="1:11" x14ac:dyDescent="0.25">
      <c r="A1213" s="123">
        <v>1212</v>
      </c>
      <c r="B1213" s="10">
        <v>1017</v>
      </c>
      <c r="C1213" s="125" t="s">
        <v>184</v>
      </c>
      <c r="D1213" t="s">
        <v>5313</v>
      </c>
      <c r="E1213" s="80" t="s">
        <v>7873</v>
      </c>
      <c r="F1213" t="s">
        <v>7874</v>
      </c>
      <c r="G1213" t="s">
        <v>5304</v>
      </c>
      <c r="H1213" t="s">
        <v>7875</v>
      </c>
      <c r="I1213" s="80" t="s">
        <v>7876</v>
      </c>
      <c r="J1213" t="s">
        <v>2248</v>
      </c>
      <c r="K1213" t="s">
        <v>7877</v>
      </c>
    </row>
    <row r="1214" spans="1:11" x14ac:dyDescent="0.25">
      <c r="A1214" s="123">
        <v>1213</v>
      </c>
      <c r="B1214" s="10">
        <v>1017</v>
      </c>
      <c r="C1214" s="125" t="s">
        <v>187</v>
      </c>
      <c r="D1214" t="s">
        <v>7402</v>
      </c>
      <c r="E1214" t="s">
        <v>7878</v>
      </c>
      <c r="F1214" t="s">
        <v>7879</v>
      </c>
      <c r="G1214" t="s">
        <v>3663</v>
      </c>
      <c r="H1214" t="s">
        <v>7880</v>
      </c>
      <c r="I1214" s="80" t="s">
        <v>7881</v>
      </c>
      <c r="J1214" t="s">
        <v>4908</v>
      </c>
      <c r="K1214" t="s">
        <v>7882</v>
      </c>
    </row>
    <row r="1215" spans="1:11" x14ac:dyDescent="0.25">
      <c r="A1215" s="123">
        <v>1214</v>
      </c>
      <c r="B1215" s="10">
        <v>1017</v>
      </c>
      <c r="C1215" s="125" t="s">
        <v>189</v>
      </c>
      <c r="D1215" t="s">
        <v>5621</v>
      </c>
      <c r="E1215" t="s">
        <v>7883</v>
      </c>
      <c r="F1215" t="s">
        <v>7884</v>
      </c>
      <c r="G1215" t="s">
        <v>3663</v>
      </c>
      <c r="H1215" t="s">
        <v>7885</v>
      </c>
      <c r="I1215" s="80" t="s">
        <v>7886</v>
      </c>
      <c r="J1215" t="s">
        <v>4908</v>
      </c>
      <c r="K1215" t="s">
        <v>7887</v>
      </c>
    </row>
    <row r="1216" spans="1:11" x14ac:dyDescent="0.25">
      <c r="A1216" s="123">
        <v>1215</v>
      </c>
      <c r="B1216" s="10">
        <v>1016</v>
      </c>
      <c r="C1216" s="125" t="s">
        <v>162</v>
      </c>
      <c r="D1216" t="s">
        <v>7106</v>
      </c>
      <c r="E1216" t="s">
        <v>7888</v>
      </c>
      <c r="F1216" t="s">
        <v>7889</v>
      </c>
      <c r="G1216" t="s">
        <v>5255</v>
      </c>
      <c r="H1216" t="s">
        <v>7890</v>
      </c>
      <c r="I1216" s="80" t="s">
        <v>7891</v>
      </c>
      <c r="J1216" t="s">
        <v>5736</v>
      </c>
      <c r="K1216" t="s">
        <v>7892</v>
      </c>
    </row>
    <row r="1217" spans="1:18" x14ac:dyDescent="0.25">
      <c r="A1217" s="123">
        <v>1216</v>
      </c>
      <c r="B1217" s="10">
        <v>1016</v>
      </c>
      <c r="C1217" s="125" t="s">
        <v>170</v>
      </c>
      <c r="D1217" t="s">
        <v>7436</v>
      </c>
      <c r="E1217" t="s">
        <v>7893</v>
      </c>
      <c r="F1217" t="s">
        <v>7894</v>
      </c>
      <c r="G1217" t="s">
        <v>5262</v>
      </c>
      <c r="H1217" t="s">
        <v>7895</v>
      </c>
      <c r="I1217" s="80" t="s">
        <v>7896</v>
      </c>
      <c r="J1217" t="s">
        <v>6314</v>
      </c>
      <c r="K1217" t="s">
        <v>5968</v>
      </c>
    </row>
    <row r="1218" spans="1:18" x14ac:dyDescent="0.25">
      <c r="A1218" s="123">
        <v>1217</v>
      </c>
      <c r="B1218" s="10">
        <v>1016</v>
      </c>
      <c r="C1218" s="125" t="s">
        <v>178</v>
      </c>
      <c r="D1218" t="s">
        <v>5267</v>
      </c>
      <c r="E1218" t="s">
        <v>7897</v>
      </c>
      <c r="F1218" t="s">
        <v>7898</v>
      </c>
      <c r="G1218" t="s">
        <v>5410</v>
      </c>
      <c r="H1218" t="s">
        <v>7899</v>
      </c>
      <c r="I1218" s="80" t="s">
        <v>7900</v>
      </c>
      <c r="J1218" t="s">
        <v>6184</v>
      </c>
      <c r="K1218" t="s">
        <v>7901</v>
      </c>
    </row>
    <row r="1219" spans="1:18" x14ac:dyDescent="0.25">
      <c r="A1219" s="123">
        <v>1218</v>
      </c>
      <c r="B1219" s="10">
        <v>1016</v>
      </c>
      <c r="C1219" s="125" t="s">
        <v>163</v>
      </c>
      <c r="D1219" t="s">
        <v>7436</v>
      </c>
      <c r="E1219" t="s">
        <v>7902</v>
      </c>
      <c r="F1219" t="s">
        <v>7903</v>
      </c>
      <c r="G1219" t="s">
        <v>5471</v>
      </c>
      <c r="H1219">
        <v>8761</v>
      </c>
      <c r="I1219" s="80" t="s">
        <v>7904</v>
      </c>
      <c r="J1219" t="s">
        <v>5299</v>
      </c>
      <c r="K1219" s="80" t="s">
        <v>7905</v>
      </c>
    </row>
    <row r="1220" spans="1:18" x14ac:dyDescent="0.25">
      <c r="A1220" s="123">
        <v>1219</v>
      </c>
      <c r="B1220" s="10">
        <v>1016</v>
      </c>
      <c r="C1220" s="125" t="s">
        <v>181</v>
      </c>
      <c r="D1220" t="s">
        <v>7345</v>
      </c>
      <c r="E1220" s="80" t="s">
        <v>7906</v>
      </c>
      <c r="F1220" t="s">
        <v>7907</v>
      </c>
      <c r="G1220" t="s">
        <v>5376</v>
      </c>
      <c r="H1220" t="s">
        <v>7908</v>
      </c>
      <c r="I1220" s="80" t="s">
        <v>7909</v>
      </c>
      <c r="J1220" t="s">
        <v>5903</v>
      </c>
      <c r="K1220" s="80" t="s">
        <v>7910</v>
      </c>
    </row>
    <row r="1221" spans="1:18" x14ac:dyDescent="0.25">
      <c r="A1221" s="123">
        <v>1220</v>
      </c>
      <c r="B1221" s="10">
        <v>1016</v>
      </c>
      <c r="C1221" s="125" t="s">
        <v>183</v>
      </c>
      <c r="D1221" t="s">
        <v>6275</v>
      </c>
      <c r="E1221" s="80" t="s">
        <v>7911</v>
      </c>
      <c r="F1221" t="s">
        <v>7912</v>
      </c>
      <c r="G1221" t="s">
        <v>5471</v>
      </c>
      <c r="H1221" t="s">
        <v>7913</v>
      </c>
      <c r="I1221" s="80" t="s">
        <v>7914</v>
      </c>
      <c r="J1221" t="s">
        <v>5385</v>
      </c>
      <c r="K1221" s="80" t="s">
        <v>7915</v>
      </c>
    </row>
    <row r="1222" spans="1:18" x14ac:dyDescent="0.25">
      <c r="A1222" s="123">
        <v>1221</v>
      </c>
      <c r="B1222" s="10">
        <v>1016</v>
      </c>
      <c r="C1222" s="125" t="s">
        <v>186</v>
      </c>
      <c r="D1222" t="s">
        <v>6662</v>
      </c>
      <c r="E1222" t="s">
        <v>7916</v>
      </c>
      <c r="F1222" t="s">
        <v>7917</v>
      </c>
      <c r="G1222" t="s">
        <v>3663</v>
      </c>
      <c r="H1222" t="s">
        <v>7918</v>
      </c>
      <c r="I1222" s="80" t="s">
        <v>7919</v>
      </c>
      <c r="J1222" t="s">
        <v>5826</v>
      </c>
      <c r="K1222" s="80" t="s">
        <v>7920</v>
      </c>
      <c r="N1222" s="50"/>
      <c r="O1222" s="50"/>
      <c r="P1222" s="50"/>
      <c r="Q1222" s="50"/>
      <c r="R1222" s="50"/>
    </row>
    <row r="1223" spans="1:18" x14ac:dyDescent="0.25">
      <c r="A1223" s="123">
        <v>1222</v>
      </c>
      <c r="B1223" s="10">
        <v>1016</v>
      </c>
      <c r="C1223" s="125" t="s">
        <v>188</v>
      </c>
      <c r="D1223" t="s">
        <v>7436</v>
      </c>
      <c r="E1223" s="80" t="s">
        <v>7921</v>
      </c>
      <c r="F1223" t="s">
        <v>7922</v>
      </c>
      <c r="G1223" t="s">
        <v>5351</v>
      </c>
      <c r="H1223" t="s">
        <v>7923</v>
      </c>
      <c r="I1223" s="80" t="s">
        <v>7924</v>
      </c>
      <c r="J1223" t="s">
        <v>5272</v>
      </c>
      <c r="K1223" s="80" t="s">
        <v>7925</v>
      </c>
    </row>
    <row r="1224" spans="1:18" x14ac:dyDescent="0.25">
      <c r="A1224" s="123">
        <v>1223</v>
      </c>
      <c r="B1224" s="10">
        <v>1016</v>
      </c>
      <c r="C1224" s="125" t="s">
        <v>182</v>
      </c>
      <c r="D1224" t="s">
        <v>583</v>
      </c>
      <c r="E1224" t="s">
        <v>7926</v>
      </c>
      <c r="F1224" t="s">
        <v>583</v>
      </c>
      <c r="G1224" s="80" t="s">
        <v>2178</v>
      </c>
      <c r="H1224" t="s">
        <v>583</v>
      </c>
      <c r="I1224" t="s">
        <v>1904</v>
      </c>
      <c r="J1224" t="s">
        <v>583</v>
      </c>
      <c r="K1224" t="s">
        <v>583</v>
      </c>
    </row>
    <row r="1225" spans="1:18" x14ac:dyDescent="0.25">
      <c r="A1225" s="123">
        <v>1224</v>
      </c>
      <c r="B1225" s="10">
        <v>1016</v>
      </c>
      <c r="C1225" s="125" t="s">
        <v>184</v>
      </c>
      <c r="D1225" t="s">
        <v>6205</v>
      </c>
      <c r="E1225" t="s">
        <v>7927</v>
      </c>
      <c r="F1225" t="s">
        <v>7928</v>
      </c>
      <c r="G1225" t="s">
        <v>5868</v>
      </c>
      <c r="H1225" t="s">
        <v>7918</v>
      </c>
      <c r="I1225" s="80" t="s">
        <v>7929</v>
      </c>
      <c r="J1225" t="s">
        <v>5237</v>
      </c>
      <c r="K1225" t="s">
        <v>7930</v>
      </c>
    </row>
    <row r="1226" spans="1:18" x14ac:dyDescent="0.25">
      <c r="A1226" s="123">
        <v>1225</v>
      </c>
      <c r="B1226" s="10">
        <v>1016</v>
      </c>
      <c r="C1226" s="125" t="s">
        <v>187</v>
      </c>
      <c r="D1226" t="s">
        <v>5589</v>
      </c>
      <c r="E1226" t="s">
        <v>7931</v>
      </c>
      <c r="F1226" t="s">
        <v>7932</v>
      </c>
      <c r="G1226" t="s">
        <v>3663</v>
      </c>
      <c r="H1226" t="s">
        <v>7933</v>
      </c>
      <c r="I1226" s="80" t="s">
        <v>7934</v>
      </c>
      <c r="J1226" t="s">
        <v>5876</v>
      </c>
      <c r="K1226" t="s">
        <v>7935</v>
      </c>
    </row>
    <row r="1227" spans="1:18" x14ac:dyDescent="0.25">
      <c r="A1227" s="123">
        <v>1226</v>
      </c>
      <c r="B1227" s="10">
        <v>1016</v>
      </c>
      <c r="C1227" s="125" t="s">
        <v>189</v>
      </c>
      <c r="D1227" t="s">
        <v>7508</v>
      </c>
      <c r="E1227">
        <v>2051</v>
      </c>
      <c r="F1227" t="s">
        <v>6356</v>
      </c>
      <c r="G1227" t="s">
        <v>5471</v>
      </c>
      <c r="H1227" t="s">
        <v>7936</v>
      </c>
      <c r="I1227" s="80" t="s">
        <v>7937</v>
      </c>
      <c r="J1227" t="s">
        <v>6184</v>
      </c>
      <c r="K1227" t="s">
        <v>7938</v>
      </c>
    </row>
    <row r="1228" spans="1:18" x14ac:dyDescent="0.25">
      <c r="A1228" s="123">
        <v>1227</v>
      </c>
      <c r="B1228" s="10">
        <v>1018</v>
      </c>
      <c r="C1228" s="125" t="s">
        <v>162</v>
      </c>
      <c r="D1228" t="s">
        <v>6576</v>
      </c>
      <c r="E1228" s="80" t="s">
        <v>7939</v>
      </c>
      <c r="F1228" t="s">
        <v>7940</v>
      </c>
      <c r="G1228" t="s">
        <v>5389</v>
      </c>
      <c r="H1228" t="s">
        <v>7941</v>
      </c>
      <c r="I1228" s="80" t="s">
        <v>7942</v>
      </c>
      <c r="J1228" t="s">
        <v>5777</v>
      </c>
      <c r="K1228" s="80" t="s">
        <v>7943</v>
      </c>
    </row>
    <row r="1229" spans="1:18" s="50" customFormat="1" x14ac:dyDescent="0.25">
      <c r="A1229" s="128">
        <v>1228</v>
      </c>
      <c r="B1229" s="49">
        <v>1018</v>
      </c>
      <c r="C1229" s="127" t="s">
        <v>170</v>
      </c>
      <c r="D1229" s="50" t="s">
        <v>5494</v>
      </c>
      <c r="E1229" s="88" t="s">
        <v>7944</v>
      </c>
      <c r="F1229" s="50" t="s">
        <v>7945</v>
      </c>
      <c r="G1229" s="50" t="s">
        <v>5868</v>
      </c>
      <c r="H1229" s="50" t="s">
        <v>7946</v>
      </c>
      <c r="I1229" s="88" t="s">
        <v>7947</v>
      </c>
      <c r="J1229" s="50" t="s">
        <v>5845</v>
      </c>
      <c r="K1229" s="50" t="s">
        <v>7948</v>
      </c>
      <c r="M1229"/>
      <c r="N1229"/>
      <c r="O1229"/>
      <c r="P1229"/>
      <c r="Q1229"/>
      <c r="R1229"/>
    </row>
    <row r="1230" spans="1:18" x14ac:dyDescent="0.25">
      <c r="A1230" s="123">
        <v>1229</v>
      </c>
      <c r="B1230" s="10">
        <v>1018</v>
      </c>
      <c r="C1230" s="125" t="s">
        <v>178</v>
      </c>
      <c r="D1230" t="s">
        <v>7949</v>
      </c>
      <c r="E1230" s="80" t="s">
        <v>7950</v>
      </c>
      <c r="F1230" t="s">
        <v>7951</v>
      </c>
      <c r="G1230" t="s">
        <v>7952</v>
      </c>
      <c r="H1230" s="80" t="s">
        <v>7953</v>
      </c>
      <c r="I1230" s="80" t="s">
        <v>7954</v>
      </c>
      <c r="J1230" t="s">
        <v>7955</v>
      </c>
      <c r="K1230" s="80" t="s">
        <v>7956</v>
      </c>
    </row>
    <row r="1231" spans="1:18" x14ac:dyDescent="0.25">
      <c r="A1231" s="123">
        <v>1230</v>
      </c>
      <c r="B1231" s="10">
        <v>1018</v>
      </c>
      <c r="C1231" s="125" t="s">
        <v>163</v>
      </c>
      <c r="D1231">
        <v>36</v>
      </c>
      <c r="E1231" s="80" t="s">
        <v>7957</v>
      </c>
      <c r="F1231" t="s">
        <v>7958</v>
      </c>
      <c r="G1231" t="s">
        <v>7959</v>
      </c>
      <c r="H1231" s="80" t="s">
        <v>7960</v>
      </c>
      <c r="I1231" s="80" t="s">
        <v>7961</v>
      </c>
      <c r="J1231" t="s">
        <v>7962</v>
      </c>
      <c r="K1231" s="80" t="s">
        <v>7963</v>
      </c>
    </row>
    <row r="1232" spans="1:18" x14ac:dyDescent="0.25">
      <c r="A1232" s="123">
        <v>1231</v>
      </c>
      <c r="B1232" s="10">
        <v>1018</v>
      </c>
      <c r="C1232" s="125" t="s">
        <v>181</v>
      </c>
      <c r="D1232" t="s">
        <v>7964</v>
      </c>
      <c r="E1232" s="89" t="s">
        <v>582</v>
      </c>
      <c r="F1232" t="s">
        <v>7965</v>
      </c>
      <c r="G1232" t="s">
        <v>7966</v>
      </c>
      <c r="H1232" t="s">
        <v>7967</v>
      </c>
      <c r="I1232" s="80" t="s">
        <v>7968</v>
      </c>
      <c r="J1232" t="s">
        <v>7969</v>
      </c>
      <c r="K1232" s="89" t="s">
        <v>582</v>
      </c>
    </row>
    <row r="1233" spans="1:11" x14ac:dyDescent="0.25">
      <c r="A1233" s="123">
        <v>1232</v>
      </c>
      <c r="B1233" s="10">
        <v>1018</v>
      </c>
      <c r="C1233" s="125" t="s">
        <v>183</v>
      </c>
      <c r="D1233" t="s">
        <v>7970</v>
      </c>
      <c r="E1233" s="80" t="s">
        <v>7971</v>
      </c>
      <c r="F1233" t="s">
        <v>7972</v>
      </c>
      <c r="G1233" t="s">
        <v>7973</v>
      </c>
      <c r="H1233" t="s">
        <v>7974</v>
      </c>
      <c r="I1233" s="80" t="s">
        <v>7975</v>
      </c>
      <c r="J1233" t="s">
        <v>7976</v>
      </c>
      <c r="K1233" s="89" t="s">
        <v>582</v>
      </c>
    </row>
    <row r="1234" spans="1:11" x14ac:dyDescent="0.25">
      <c r="A1234" s="123">
        <v>1233</v>
      </c>
      <c r="B1234" s="10">
        <v>1018</v>
      </c>
      <c r="C1234" s="125" t="s">
        <v>186</v>
      </c>
      <c r="D1234" t="s">
        <v>5713</v>
      </c>
      <c r="E1234" s="80" t="s">
        <v>7977</v>
      </c>
      <c r="F1234" t="s">
        <v>7978</v>
      </c>
      <c r="G1234" t="s">
        <v>7979</v>
      </c>
      <c r="H1234" s="80" t="s">
        <v>7980</v>
      </c>
      <c r="I1234" s="80" t="s">
        <v>7981</v>
      </c>
      <c r="J1234" t="s">
        <v>7982</v>
      </c>
      <c r="K1234" s="80" t="s">
        <v>7983</v>
      </c>
    </row>
    <row r="1235" spans="1:11" x14ac:dyDescent="0.25">
      <c r="A1235" s="123">
        <v>1234</v>
      </c>
      <c r="B1235" s="10">
        <v>1018</v>
      </c>
      <c r="C1235" s="125" t="s">
        <v>188</v>
      </c>
      <c r="D1235" t="s">
        <v>7984</v>
      </c>
      <c r="E1235" s="80" t="s">
        <v>7985</v>
      </c>
      <c r="F1235" t="s">
        <v>7986</v>
      </c>
      <c r="G1235" t="s">
        <v>7987</v>
      </c>
      <c r="H1235" t="s">
        <v>7988</v>
      </c>
      <c r="I1235" s="80" t="s">
        <v>7989</v>
      </c>
      <c r="J1235" t="s">
        <v>7508</v>
      </c>
      <c r="K1235" s="89" t="s">
        <v>582</v>
      </c>
    </row>
    <row r="1236" spans="1:11" x14ac:dyDescent="0.25">
      <c r="A1236" s="123">
        <v>1235</v>
      </c>
      <c r="B1236" s="10">
        <v>1018</v>
      </c>
      <c r="C1236" s="125" t="s">
        <v>182</v>
      </c>
      <c r="D1236" t="s">
        <v>7990</v>
      </c>
      <c r="E1236" t="s">
        <v>7991</v>
      </c>
      <c r="F1236" t="s">
        <v>6842</v>
      </c>
      <c r="G1236" t="s">
        <v>7992</v>
      </c>
      <c r="H1236" t="s">
        <v>7993</v>
      </c>
      <c r="I1236" t="s">
        <v>7994</v>
      </c>
      <c r="J1236" t="s">
        <v>7206</v>
      </c>
      <c r="K1236" t="s">
        <v>5312</v>
      </c>
    </row>
    <row r="1237" spans="1:11" x14ac:dyDescent="0.25">
      <c r="A1237" s="123">
        <v>1236</v>
      </c>
      <c r="B1237" s="10">
        <v>1018</v>
      </c>
      <c r="C1237" s="125" t="s">
        <v>184</v>
      </c>
      <c r="D1237" t="s">
        <v>7995</v>
      </c>
      <c r="E1237" s="80" t="s">
        <v>7996</v>
      </c>
      <c r="F1237" t="s">
        <v>7997</v>
      </c>
      <c r="G1237" t="s">
        <v>7998</v>
      </c>
      <c r="H1237" t="s">
        <v>7999</v>
      </c>
      <c r="I1237" s="80" t="s">
        <v>8000</v>
      </c>
      <c r="J1237" t="s">
        <v>8001</v>
      </c>
      <c r="K1237" t="s">
        <v>8002</v>
      </c>
    </row>
    <row r="1238" spans="1:11" x14ac:dyDescent="0.25">
      <c r="A1238" s="123">
        <v>1237</v>
      </c>
      <c r="B1238" s="10">
        <v>1018</v>
      </c>
      <c r="C1238" s="127" t="s">
        <v>187</v>
      </c>
      <c r="D1238" t="s">
        <v>8003</v>
      </c>
      <c r="E1238" s="80" t="s">
        <v>8004</v>
      </c>
      <c r="F1238" t="s">
        <v>8005</v>
      </c>
      <c r="G1238" t="s">
        <v>7973</v>
      </c>
      <c r="H1238" t="s">
        <v>8006</v>
      </c>
      <c r="I1238" s="80" t="s">
        <v>8007</v>
      </c>
      <c r="J1238" t="s">
        <v>8008</v>
      </c>
      <c r="K1238" t="s">
        <v>8009</v>
      </c>
    </row>
    <row r="1239" spans="1:11" x14ac:dyDescent="0.25">
      <c r="A1239" s="123">
        <v>1238</v>
      </c>
      <c r="B1239" s="10">
        <v>1018</v>
      </c>
      <c r="C1239" s="125" t="s">
        <v>189</v>
      </c>
      <c r="D1239" t="s">
        <v>8010</v>
      </c>
      <c r="E1239" s="80" t="s">
        <v>8011</v>
      </c>
      <c r="F1239" t="s">
        <v>8012</v>
      </c>
      <c r="G1239" t="s">
        <v>7998</v>
      </c>
      <c r="H1239" t="s">
        <v>8013</v>
      </c>
      <c r="I1239" s="80" t="s">
        <v>8014</v>
      </c>
      <c r="J1239" t="s">
        <v>8015</v>
      </c>
      <c r="K1239" t="s">
        <v>8016</v>
      </c>
    </row>
    <row r="1240" spans="1:11" x14ac:dyDescent="0.25">
      <c r="A1240" s="123">
        <v>1239</v>
      </c>
      <c r="B1240" s="10">
        <v>3001</v>
      </c>
      <c r="C1240" s="125" t="s">
        <v>162</v>
      </c>
      <c r="D1240" t="s">
        <v>8017</v>
      </c>
      <c r="E1240" s="80" t="s">
        <v>8018</v>
      </c>
      <c r="F1240" t="s">
        <v>8019</v>
      </c>
      <c r="G1240" t="s">
        <v>8020</v>
      </c>
      <c r="H1240" t="s">
        <v>8021</v>
      </c>
      <c r="I1240" t="s">
        <v>8022</v>
      </c>
      <c r="J1240" t="s">
        <v>8023</v>
      </c>
      <c r="K1240" t="s">
        <v>1443</v>
      </c>
    </row>
    <row r="1241" spans="1:11" x14ac:dyDescent="0.25">
      <c r="A1241" s="123">
        <v>1240</v>
      </c>
      <c r="B1241" s="10">
        <v>3001</v>
      </c>
      <c r="C1241" s="125" t="s">
        <v>170</v>
      </c>
      <c r="D1241" t="s">
        <v>7984</v>
      </c>
      <c r="E1241" s="80" t="s">
        <v>8024</v>
      </c>
      <c r="F1241" t="s">
        <v>8025</v>
      </c>
      <c r="G1241" t="s">
        <v>8026</v>
      </c>
      <c r="H1241" t="s">
        <v>8027</v>
      </c>
      <c r="I1241" s="80" t="s">
        <v>8028</v>
      </c>
      <c r="J1241" t="s">
        <v>8029</v>
      </c>
      <c r="K1241" t="s">
        <v>8030</v>
      </c>
    </row>
    <row r="1242" spans="1:11" x14ac:dyDescent="0.25">
      <c r="A1242" s="123">
        <v>1241</v>
      </c>
      <c r="B1242" s="10">
        <v>3001</v>
      </c>
      <c r="C1242" s="125" t="s">
        <v>178</v>
      </c>
      <c r="D1242" t="s">
        <v>8031</v>
      </c>
      <c r="E1242" s="80" t="s">
        <v>8032</v>
      </c>
      <c r="F1242" s="80" t="s">
        <v>8033</v>
      </c>
      <c r="G1242" t="s">
        <v>8034</v>
      </c>
      <c r="H1242" s="80" t="s">
        <v>8035</v>
      </c>
      <c r="I1242" s="80" t="s">
        <v>8036</v>
      </c>
      <c r="J1242" t="s">
        <v>8037</v>
      </c>
      <c r="K1242" s="80" t="s">
        <v>8038</v>
      </c>
    </row>
    <row r="1243" spans="1:11" x14ac:dyDescent="0.25">
      <c r="A1243" s="123">
        <v>1242</v>
      </c>
      <c r="B1243" s="10">
        <v>3001</v>
      </c>
      <c r="C1243" s="125" t="s">
        <v>163</v>
      </c>
      <c r="D1243">
        <v>40</v>
      </c>
      <c r="E1243" s="80" t="s">
        <v>8039</v>
      </c>
      <c r="F1243" t="s">
        <v>8040</v>
      </c>
      <c r="G1243" t="s">
        <v>8041</v>
      </c>
      <c r="H1243" t="s">
        <v>8042</v>
      </c>
      <c r="I1243" s="80" t="s">
        <v>8043</v>
      </c>
      <c r="J1243">
        <v>118</v>
      </c>
      <c r="K1243" s="80" t="s">
        <v>8044</v>
      </c>
    </row>
    <row r="1244" spans="1:11" x14ac:dyDescent="0.25">
      <c r="A1244" s="123">
        <v>1243</v>
      </c>
      <c r="B1244" s="10">
        <v>3001</v>
      </c>
      <c r="C1244" s="125" t="s">
        <v>181</v>
      </c>
      <c r="D1244" t="s">
        <v>1832</v>
      </c>
      <c r="E1244" s="80" t="s">
        <v>8045</v>
      </c>
      <c r="F1244" t="s">
        <v>8046</v>
      </c>
      <c r="G1244" t="s">
        <v>8047</v>
      </c>
      <c r="H1244" t="s">
        <v>8048</v>
      </c>
      <c r="I1244" t="s">
        <v>8049</v>
      </c>
      <c r="J1244" t="s">
        <v>8050</v>
      </c>
      <c r="K1244" t="s">
        <v>8051</v>
      </c>
    </row>
    <row r="1245" spans="1:11" x14ac:dyDescent="0.25">
      <c r="A1245" s="123">
        <v>1244</v>
      </c>
      <c r="B1245" s="10">
        <v>3001</v>
      </c>
      <c r="C1245" s="125" t="s">
        <v>183</v>
      </c>
      <c r="D1245" t="s">
        <v>8052</v>
      </c>
      <c r="E1245" s="80" t="s">
        <v>8053</v>
      </c>
      <c r="F1245" t="s">
        <v>8054</v>
      </c>
      <c r="G1245" t="s">
        <v>8026</v>
      </c>
      <c r="H1245" t="s">
        <v>8055</v>
      </c>
      <c r="I1245" s="80" t="s">
        <v>8056</v>
      </c>
      <c r="J1245" t="s">
        <v>7508</v>
      </c>
      <c r="K1245" s="89" t="s">
        <v>582</v>
      </c>
    </row>
    <row r="1246" spans="1:11" x14ac:dyDescent="0.25">
      <c r="A1246" s="123">
        <v>1245</v>
      </c>
      <c r="B1246" s="10">
        <v>3001</v>
      </c>
      <c r="C1246" s="125" t="s">
        <v>186</v>
      </c>
      <c r="D1246" t="s">
        <v>7964</v>
      </c>
      <c r="E1246" s="80" t="s">
        <v>8057</v>
      </c>
      <c r="F1246" t="s">
        <v>8058</v>
      </c>
      <c r="G1246" t="s">
        <v>8059</v>
      </c>
      <c r="H1246" t="s">
        <v>8060</v>
      </c>
      <c r="I1246" s="80" t="s">
        <v>8061</v>
      </c>
      <c r="J1246" t="s">
        <v>8062</v>
      </c>
      <c r="K1246" s="89" t="s">
        <v>582</v>
      </c>
    </row>
    <row r="1247" spans="1:11" x14ac:dyDescent="0.25">
      <c r="A1247" s="123">
        <v>1246</v>
      </c>
      <c r="B1247" s="10">
        <v>3001</v>
      </c>
      <c r="C1247" s="125" t="s">
        <v>188</v>
      </c>
      <c r="D1247" t="s">
        <v>8052</v>
      </c>
      <c r="E1247" s="80" t="s">
        <v>8063</v>
      </c>
      <c r="F1247" t="s">
        <v>8064</v>
      </c>
      <c r="G1247" t="s">
        <v>7979</v>
      </c>
      <c r="H1247" t="s">
        <v>8065</v>
      </c>
      <c r="I1247" s="80" t="s">
        <v>8066</v>
      </c>
      <c r="J1247" t="s">
        <v>8067</v>
      </c>
      <c r="K1247" s="80" t="s">
        <v>8068</v>
      </c>
    </row>
    <row r="1248" spans="1:11" x14ac:dyDescent="0.25">
      <c r="A1248" s="123">
        <v>1247</v>
      </c>
      <c r="B1248" s="10">
        <v>3001</v>
      </c>
      <c r="C1248" s="125" t="s">
        <v>182</v>
      </c>
      <c r="D1248" t="s">
        <v>8069</v>
      </c>
      <c r="E1248" t="s">
        <v>8070</v>
      </c>
      <c r="F1248" t="s">
        <v>5515</v>
      </c>
      <c r="G1248" t="s">
        <v>8071</v>
      </c>
      <c r="H1248" t="s">
        <v>8072</v>
      </c>
      <c r="I1248" t="s">
        <v>8073</v>
      </c>
      <c r="J1248" t="s">
        <v>7206</v>
      </c>
      <c r="K1248" t="s">
        <v>8074</v>
      </c>
    </row>
    <row r="1249" spans="1:13" x14ac:dyDescent="0.25">
      <c r="A1249" s="123">
        <v>1248</v>
      </c>
      <c r="B1249" s="10">
        <v>3001</v>
      </c>
      <c r="C1249" s="125" t="s">
        <v>184</v>
      </c>
      <c r="D1249" t="s">
        <v>8075</v>
      </c>
      <c r="E1249" t="s">
        <v>8076</v>
      </c>
      <c r="F1249">
        <v>47</v>
      </c>
      <c r="G1249" t="s">
        <v>8077</v>
      </c>
      <c r="H1249" t="s">
        <v>8078</v>
      </c>
      <c r="I1249" s="80" t="s">
        <v>8079</v>
      </c>
      <c r="J1249" t="s">
        <v>8080</v>
      </c>
      <c r="K1249" t="s">
        <v>8081</v>
      </c>
    </row>
    <row r="1250" spans="1:13" x14ac:dyDescent="0.25">
      <c r="A1250" s="123">
        <v>1249</v>
      </c>
      <c r="B1250" s="10">
        <v>3001</v>
      </c>
      <c r="C1250" s="127" t="s">
        <v>187</v>
      </c>
      <c r="D1250" t="s">
        <v>8082</v>
      </c>
      <c r="E1250" t="s">
        <v>8083</v>
      </c>
      <c r="F1250" t="s">
        <v>8084</v>
      </c>
      <c r="G1250" t="s">
        <v>7987</v>
      </c>
      <c r="H1250" t="s">
        <v>8085</v>
      </c>
      <c r="I1250" s="80" t="s">
        <v>8086</v>
      </c>
      <c r="J1250" t="s">
        <v>7508</v>
      </c>
      <c r="K1250" s="80" t="s">
        <v>8087</v>
      </c>
    </row>
    <row r="1251" spans="1:13" x14ac:dyDescent="0.25">
      <c r="A1251" s="123">
        <v>1250</v>
      </c>
      <c r="B1251" s="10">
        <v>3001</v>
      </c>
      <c r="C1251" s="125" t="s">
        <v>189</v>
      </c>
      <c r="D1251" t="s">
        <v>8052</v>
      </c>
      <c r="E1251" t="s">
        <v>8088</v>
      </c>
      <c r="F1251" t="s">
        <v>8089</v>
      </c>
      <c r="G1251" t="s">
        <v>8090</v>
      </c>
      <c r="H1251" t="s">
        <v>8091</v>
      </c>
      <c r="I1251" s="80" t="s">
        <v>8092</v>
      </c>
      <c r="J1251" t="s">
        <v>8093</v>
      </c>
      <c r="K1251" s="80" t="s">
        <v>8094</v>
      </c>
    </row>
    <row r="1252" spans="1:13" x14ac:dyDescent="0.25">
      <c r="A1252" s="123">
        <v>1251</v>
      </c>
      <c r="B1252" s="10">
        <v>3002</v>
      </c>
      <c r="C1252" s="125" t="s">
        <v>181</v>
      </c>
      <c r="D1252" t="s">
        <v>7577</v>
      </c>
      <c r="E1252" t="s">
        <v>8095</v>
      </c>
      <c r="F1252" t="s">
        <v>5799</v>
      </c>
      <c r="G1252" t="s">
        <v>8096</v>
      </c>
      <c r="H1252" t="s">
        <v>8097</v>
      </c>
      <c r="I1252" t="s">
        <v>8098</v>
      </c>
      <c r="J1252" t="s">
        <v>8099</v>
      </c>
      <c r="K1252" t="s">
        <v>8100</v>
      </c>
    </row>
    <row r="1253" spans="1:13" x14ac:dyDescent="0.25">
      <c r="A1253" s="123">
        <v>1252</v>
      </c>
      <c r="B1253" s="10">
        <v>3002</v>
      </c>
      <c r="C1253" s="125" t="s">
        <v>183</v>
      </c>
      <c r="D1253" t="s">
        <v>8101</v>
      </c>
      <c r="E1253" t="s">
        <v>8102</v>
      </c>
      <c r="F1253" t="s">
        <v>8103</v>
      </c>
      <c r="G1253" t="s">
        <v>8104</v>
      </c>
      <c r="H1253" t="s">
        <v>8105</v>
      </c>
      <c r="I1253" s="80" t="s">
        <v>8106</v>
      </c>
      <c r="J1253" t="s">
        <v>8107</v>
      </c>
      <c r="K1253" t="s">
        <v>8108</v>
      </c>
    </row>
    <row r="1254" spans="1:13" x14ac:dyDescent="0.25">
      <c r="A1254" s="123">
        <v>1253</v>
      </c>
      <c r="B1254" s="10">
        <v>3002</v>
      </c>
      <c r="C1254" s="125" t="s">
        <v>186</v>
      </c>
      <c r="D1254" t="s">
        <v>8109</v>
      </c>
      <c r="E1254" t="s">
        <v>8110</v>
      </c>
      <c r="F1254" t="s">
        <v>8111</v>
      </c>
      <c r="G1254" t="s">
        <v>8077</v>
      </c>
      <c r="H1254" t="s">
        <v>8112</v>
      </c>
      <c r="I1254" s="80" t="s">
        <v>8113</v>
      </c>
      <c r="J1254" t="s">
        <v>8029</v>
      </c>
      <c r="K1254" s="80" t="s">
        <v>8114</v>
      </c>
    </row>
    <row r="1255" spans="1:13" x14ac:dyDescent="0.25">
      <c r="A1255" s="123">
        <v>1254</v>
      </c>
      <c r="B1255" s="10">
        <v>3002</v>
      </c>
      <c r="C1255" s="125" t="s">
        <v>188</v>
      </c>
      <c r="D1255" t="s">
        <v>8115</v>
      </c>
      <c r="E1255" s="80" t="s">
        <v>8116</v>
      </c>
      <c r="F1255" t="s">
        <v>8117</v>
      </c>
      <c r="G1255" t="s">
        <v>8118</v>
      </c>
      <c r="H1255" t="s">
        <v>8119</v>
      </c>
      <c r="I1255" s="80" t="s">
        <v>8120</v>
      </c>
      <c r="J1255" t="s">
        <v>8008</v>
      </c>
      <c r="K1255" t="s">
        <v>8121</v>
      </c>
    </row>
    <row r="1256" spans="1:13" x14ac:dyDescent="0.25">
      <c r="A1256" s="123">
        <v>1255</v>
      </c>
      <c r="B1256" s="10">
        <v>3002</v>
      </c>
      <c r="C1256" s="125" t="s">
        <v>182</v>
      </c>
      <c r="D1256" t="s">
        <v>8122</v>
      </c>
      <c r="E1256" t="s">
        <v>8123</v>
      </c>
      <c r="F1256" t="s">
        <v>8124</v>
      </c>
      <c r="G1256" t="s">
        <v>8096</v>
      </c>
      <c r="H1256" t="s">
        <v>8125</v>
      </c>
      <c r="I1256" s="80" t="s">
        <v>8126</v>
      </c>
      <c r="J1256" t="s">
        <v>8127</v>
      </c>
      <c r="K1256" t="s">
        <v>8128</v>
      </c>
      <c r="M1256" s="50"/>
    </row>
    <row r="1257" spans="1:13" x14ac:dyDescent="0.25">
      <c r="A1257" s="123">
        <v>1256</v>
      </c>
      <c r="B1257" s="10">
        <v>3002</v>
      </c>
      <c r="C1257" s="125" t="s">
        <v>184</v>
      </c>
      <c r="D1257" t="s">
        <v>8129</v>
      </c>
      <c r="E1257" t="s">
        <v>8130</v>
      </c>
      <c r="F1257" t="s">
        <v>8131</v>
      </c>
      <c r="G1257" t="s">
        <v>8090</v>
      </c>
      <c r="H1257" t="s">
        <v>8132</v>
      </c>
      <c r="I1257" s="80" t="s">
        <v>8133</v>
      </c>
      <c r="J1257" t="s">
        <v>4781</v>
      </c>
      <c r="K1257" t="s">
        <v>8134</v>
      </c>
    </row>
    <row r="1258" spans="1:13" x14ac:dyDescent="0.25">
      <c r="A1258" s="123">
        <v>1257</v>
      </c>
      <c r="B1258" s="10">
        <v>3002</v>
      </c>
      <c r="C1258" s="125" t="s">
        <v>187</v>
      </c>
      <c r="D1258" t="s">
        <v>8135</v>
      </c>
      <c r="E1258" t="s">
        <v>8136</v>
      </c>
      <c r="F1258" t="s">
        <v>8137</v>
      </c>
      <c r="G1258" t="s">
        <v>8138</v>
      </c>
      <c r="H1258" s="80" t="s">
        <v>8139</v>
      </c>
      <c r="I1258" s="80" t="s">
        <v>8140</v>
      </c>
      <c r="J1258" t="s">
        <v>8141</v>
      </c>
      <c r="K1258" t="s">
        <v>8142</v>
      </c>
    </row>
    <row r="1259" spans="1:13" x14ac:dyDescent="0.25">
      <c r="A1259" s="123">
        <v>1258</v>
      </c>
      <c r="B1259" s="10">
        <v>3002</v>
      </c>
      <c r="C1259" s="122" t="s">
        <v>189</v>
      </c>
      <c r="D1259" t="s">
        <v>8129</v>
      </c>
      <c r="E1259" t="s">
        <v>8143</v>
      </c>
      <c r="F1259" t="s">
        <v>8144</v>
      </c>
      <c r="G1259" t="s">
        <v>8118</v>
      </c>
      <c r="H1259" t="s">
        <v>8145</v>
      </c>
      <c r="I1259" s="80" t="s">
        <v>8146</v>
      </c>
      <c r="J1259" t="s">
        <v>8147</v>
      </c>
      <c r="K1259" t="s">
        <v>8148</v>
      </c>
    </row>
    <row r="1260" spans="1:13" x14ac:dyDescent="0.25">
      <c r="A1260" s="123">
        <v>1259</v>
      </c>
      <c r="B1260" s="10">
        <v>1063</v>
      </c>
      <c r="C1260" s="122" t="s">
        <v>162</v>
      </c>
      <c r="D1260" t="s">
        <v>8149</v>
      </c>
      <c r="E1260" s="80" t="s">
        <v>8150</v>
      </c>
      <c r="F1260" t="s">
        <v>8151</v>
      </c>
      <c r="G1260" t="s">
        <v>8020</v>
      </c>
      <c r="H1260" t="s">
        <v>8152</v>
      </c>
      <c r="I1260" s="80" t="s">
        <v>8153</v>
      </c>
      <c r="J1260" t="s">
        <v>8147</v>
      </c>
      <c r="K1260" t="s">
        <v>8154</v>
      </c>
    </row>
    <row r="1261" spans="1:13" x14ac:dyDescent="0.25">
      <c r="A1261" s="123">
        <v>1260</v>
      </c>
      <c r="B1261" s="10">
        <v>1063</v>
      </c>
      <c r="C1261" s="122" t="s">
        <v>170</v>
      </c>
      <c r="D1261" t="s">
        <v>8155</v>
      </c>
      <c r="E1261" s="80" t="s">
        <v>8156</v>
      </c>
      <c r="F1261" t="s">
        <v>8157</v>
      </c>
      <c r="G1261" t="s">
        <v>8158</v>
      </c>
      <c r="H1261" t="s">
        <v>8159</v>
      </c>
      <c r="I1261" s="80" t="s">
        <v>8160</v>
      </c>
      <c r="J1261" t="s">
        <v>8141</v>
      </c>
      <c r="K1261" t="s">
        <v>8161</v>
      </c>
    </row>
    <row r="1262" spans="1:13" x14ac:dyDescent="0.25">
      <c r="A1262" s="123">
        <v>1261</v>
      </c>
      <c r="B1262" s="10">
        <v>1063</v>
      </c>
      <c r="C1262" s="122" t="s">
        <v>178</v>
      </c>
      <c r="D1262" t="s">
        <v>8109</v>
      </c>
      <c r="E1262" t="s">
        <v>8162</v>
      </c>
      <c r="F1262" t="s">
        <v>8163</v>
      </c>
      <c r="G1262" t="s">
        <v>8118</v>
      </c>
      <c r="H1262" t="s">
        <v>8164</v>
      </c>
      <c r="I1262" s="80" t="s">
        <v>8165</v>
      </c>
      <c r="J1262" t="s">
        <v>8166</v>
      </c>
      <c r="K1262" t="s">
        <v>8167</v>
      </c>
    </row>
    <row r="1263" spans="1:13" x14ac:dyDescent="0.25">
      <c r="A1263" s="123">
        <v>1262</v>
      </c>
      <c r="B1263" s="10">
        <v>1063</v>
      </c>
      <c r="C1263" s="122" t="s">
        <v>163</v>
      </c>
      <c r="D1263" t="s">
        <v>8168</v>
      </c>
      <c r="E1263" s="80" t="s">
        <v>8169</v>
      </c>
      <c r="F1263" t="s">
        <v>8170</v>
      </c>
      <c r="G1263" t="s">
        <v>7998</v>
      </c>
      <c r="H1263" t="s">
        <v>8171</v>
      </c>
      <c r="I1263" s="80" t="s">
        <v>8172</v>
      </c>
      <c r="J1263" t="s">
        <v>8173</v>
      </c>
      <c r="K1263" s="80" t="s">
        <v>8174</v>
      </c>
    </row>
    <row r="1264" spans="1:13" x14ac:dyDescent="0.25">
      <c r="A1264" s="123">
        <v>1263</v>
      </c>
      <c r="B1264" s="10">
        <v>1063</v>
      </c>
      <c r="C1264" s="122" t="s">
        <v>181</v>
      </c>
      <c r="D1264" t="s">
        <v>8149</v>
      </c>
      <c r="E1264" s="89" t="s">
        <v>582</v>
      </c>
      <c r="F1264" t="s">
        <v>8175</v>
      </c>
      <c r="G1264" t="s">
        <v>7443</v>
      </c>
      <c r="H1264" t="s">
        <v>8176</v>
      </c>
      <c r="I1264" t="s">
        <v>8177</v>
      </c>
      <c r="J1264" t="s">
        <v>8178</v>
      </c>
      <c r="K1264" t="s">
        <v>8179</v>
      </c>
    </row>
    <row r="1265" spans="1:11" x14ac:dyDescent="0.25">
      <c r="A1265" s="123">
        <v>1264</v>
      </c>
      <c r="B1265" s="10">
        <v>1063</v>
      </c>
      <c r="C1265" s="122" t="s">
        <v>183</v>
      </c>
      <c r="D1265" t="s">
        <v>8180</v>
      </c>
      <c r="E1265" s="89" t="s">
        <v>582</v>
      </c>
      <c r="F1265" t="s">
        <v>8181</v>
      </c>
      <c r="G1265" t="s">
        <v>7973</v>
      </c>
      <c r="H1265" t="s">
        <v>8182</v>
      </c>
      <c r="I1265" s="80" t="s">
        <v>8183</v>
      </c>
      <c r="J1265" t="s">
        <v>7976</v>
      </c>
      <c r="K1265" t="s">
        <v>8184</v>
      </c>
    </row>
    <row r="1266" spans="1:11" x14ac:dyDescent="0.25">
      <c r="A1266" s="123">
        <v>1265</v>
      </c>
      <c r="B1266" s="10">
        <v>1063</v>
      </c>
      <c r="C1266" s="122" t="s">
        <v>186</v>
      </c>
      <c r="D1266" t="s">
        <v>8185</v>
      </c>
      <c r="E1266" s="80" t="s">
        <v>8186</v>
      </c>
      <c r="F1266" s="80" t="s">
        <v>8187</v>
      </c>
      <c r="G1266" t="s">
        <v>8188</v>
      </c>
      <c r="H1266" s="80" t="s">
        <v>8189</v>
      </c>
      <c r="I1266" s="80" t="s">
        <v>8190</v>
      </c>
      <c r="J1266" t="s">
        <v>8191</v>
      </c>
      <c r="K1266" s="80" t="s">
        <v>8192</v>
      </c>
    </row>
    <row r="1267" spans="1:11" x14ac:dyDescent="0.25">
      <c r="A1267" s="123">
        <v>1266</v>
      </c>
      <c r="B1267" s="10">
        <v>1063</v>
      </c>
      <c r="C1267" s="122" t="s">
        <v>188</v>
      </c>
      <c r="D1267" t="s">
        <v>7964</v>
      </c>
      <c r="E1267" s="89" t="s">
        <v>582</v>
      </c>
      <c r="F1267" t="s">
        <v>8193</v>
      </c>
      <c r="G1267" t="s">
        <v>8041</v>
      </c>
      <c r="H1267" t="s">
        <v>8194</v>
      </c>
      <c r="I1267" s="80" t="s">
        <v>8195</v>
      </c>
      <c r="J1267" t="s">
        <v>8196</v>
      </c>
      <c r="K1267" s="89" t="s">
        <v>582</v>
      </c>
    </row>
    <row r="1268" spans="1:11" x14ac:dyDescent="0.25">
      <c r="A1268" s="123">
        <v>1267</v>
      </c>
      <c r="B1268" s="10">
        <v>1063</v>
      </c>
      <c r="C1268" s="122" t="s">
        <v>182</v>
      </c>
      <c r="D1268" s="80" t="s">
        <v>7565</v>
      </c>
      <c r="E1268" t="s">
        <v>8197</v>
      </c>
      <c r="F1268" t="s">
        <v>583</v>
      </c>
      <c r="G1268" s="80" t="s">
        <v>8198</v>
      </c>
      <c r="H1268" t="s">
        <v>583</v>
      </c>
      <c r="I1268" t="s">
        <v>5623</v>
      </c>
      <c r="J1268" t="s">
        <v>583</v>
      </c>
      <c r="K1268" t="s">
        <v>8199</v>
      </c>
    </row>
    <row r="1269" spans="1:11" x14ac:dyDescent="0.25">
      <c r="A1269" s="123">
        <v>1268</v>
      </c>
      <c r="B1269" s="10">
        <v>1063</v>
      </c>
      <c r="C1269" s="122" t="s">
        <v>184</v>
      </c>
      <c r="D1269" t="s">
        <v>8003</v>
      </c>
      <c r="E1269" t="s">
        <v>8200</v>
      </c>
      <c r="F1269" t="s">
        <v>8201</v>
      </c>
      <c r="G1269" t="s">
        <v>8118</v>
      </c>
      <c r="H1269" t="s">
        <v>8202</v>
      </c>
      <c r="I1269" s="80" t="s">
        <v>8203</v>
      </c>
      <c r="J1269" t="s">
        <v>8204</v>
      </c>
      <c r="K1269" t="s">
        <v>8205</v>
      </c>
    </row>
    <row r="1270" spans="1:11" x14ac:dyDescent="0.25">
      <c r="A1270" s="123">
        <v>1269</v>
      </c>
      <c r="B1270" s="10">
        <v>1063</v>
      </c>
      <c r="C1270" s="122" t="s">
        <v>187</v>
      </c>
      <c r="D1270" t="s">
        <v>8185</v>
      </c>
      <c r="E1270" t="s">
        <v>8206</v>
      </c>
      <c r="F1270" t="s">
        <v>8207</v>
      </c>
      <c r="G1270" t="s">
        <v>8041</v>
      </c>
      <c r="H1270" s="80" t="s">
        <v>8208</v>
      </c>
      <c r="I1270" s="80" t="s">
        <v>8209</v>
      </c>
      <c r="J1270" t="s">
        <v>8029</v>
      </c>
      <c r="K1270" t="s">
        <v>8210</v>
      </c>
    </row>
    <row r="1271" spans="1:11" x14ac:dyDescent="0.25">
      <c r="A1271" s="123">
        <v>1270</v>
      </c>
      <c r="B1271" s="10">
        <v>1063</v>
      </c>
      <c r="C1271" s="122" t="s">
        <v>189</v>
      </c>
      <c r="D1271" t="s">
        <v>7949</v>
      </c>
      <c r="E1271" s="103" t="s">
        <v>8211</v>
      </c>
      <c r="F1271" t="s">
        <v>8212</v>
      </c>
      <c r="G1271" t="s">
        <v>7998</v>
      </c>
      <c r="H1271">
        <v>3499</v>
      </c>
      <c r="I1271" s="103" t="s">
        <v>8213</v>
      </c>
      <c r="J1271" t="s">
        <v>8214</v>
      </c>
      <c r="K1271" t="s">
        <v>8215</v>
      </c>
    </row>
    <row r="1272" spans="1:11" x14ac:dyDescent="0.25">
      <c r="A1272" s="123">
        <v>1271</v>
      </c>
      <c r="B1272" s="10">
        <v>1064</v>
      </c>
      <c r="C1272" s="125" t="s">
        <v>162</v>
      </c>
      <c r="D1272" t="s">
        <v>7995</v>
      </c>
      <c r="E1272" s="103" t="s">
        <v>8216</v>
      </c>
      <c r="F1272" t="s">
        <v>8217</v>
      </c>
      <c r="G1272" t="s">
        <v>8218</v>
      </c>
      <c r="H1272" t="s">
        <v>8219</v>
      </c>
      <c r="I1272" t="s">
        <v>8220</v>
      </c>
      <c r="J1272" t="s">
        <v>8221</v>
      </c>
      <c r="K1272" t="s">
        <v>8222</v>
      </c>
    </row>
    <row r="1273" spans="1:11" x14ac:dyDescent="0.25">
      <c r="A1273" s="123">
        <v>1272</v>
      </c>
      <c r="B1273" s="10">
        <v>1064</v>
      </c>
      <c r="C1273" s="127" t="s">
        <v>170</v>
      </c>
      <c r="D1273" t="s">
        <v>7984</v>
      </c>
      <c r="E1273" s="103" t="s">
        <v>8223</v>
      </c>
      <c r="F1273" t="s">
        <v>8224</v>
      </c>
      <c r="G1273" t="s">
        <v>8118</v>
      </c>
      <c r="H1273" t="s">
        <v>8225</v>
      </c>
      <c r="I1273" s="103" t="s">
        <v>8226</v>
      </c>
      <c r="J1273" t="s">
        <v>8227</v>
      </c>
      <c r="K1273" t="s">
        <v>8228</v>
      </c>
    </row>
    <row r="1274" spans="1:11" x14ac:dyDescent="0.25">
      <c r="A1274" s="123">
        <v>1273</v>
      </c>
      <c r="B1274" s="10">
        <v>1064</v>
      </c>
      <c r="C1274" s="125" t="s">
        <v>178</v>
      </c>
      <c r="D1274" t="s">
        <v>8229</v>
      </c>
      <c r="E1274" s="103" t="s">
        <v>8230</v>
      </c>
      <c r="F1274" t="s">
        <v>8231</v>
      </c>
      <c r="G1274" t="s">
        <v>7973</v>
      </c>
      <c r="H1274" s="103" t="s">
        <v>8232</v>
      </c>
      <c r="I1274" s="103" t="s">
        <v>8233</v>
      </c>
      <c r="J1274" t="s">
        <v>7962</v>
      </c>
      <c r="K1274" t="s">
        <v>8234</v>
      </c>
    </row>
    <row r="1275" spans="1:11" x14ac:dyDescent="0.25">
      <c r="A1275" s="123">
        <v>1274</v>
      </c>
      <c r="B1275" s="10">
        <v>1064</v>
      </c>
      <c r="C1275" s="125" t="s">
        <v>163</v>
      </c>
      <c r="D1275" t="s">
        <v>8235</v>
      </c>
      <c r="E1275" s="103" t="s">
        <v>8236</v>
      </c>
      <c r="F1275" t="s">
        <v>8237</v>
      </c>
      <c r="G1275" t="s">
        <v>8041</v>
      </c>
      <c r="H1275" s="103" t="s">
        <v>8238</v>
      </c>
      <c r="I1275" s="103" t="s">
        <v>8239</v>
      </c>
      <c r="J1275" t="s">
        <v>8240</v>
      </c>
      <c r="K1275" s="103" t="s">
        <v>8241</v>
      </c>
    </row>
    <row r="1276" spans="1:11" x14ac:dyDescent="0.25">
      <c r="A1276" s="123">
        <v>1275</v>
      </c>
      <c r="B1276" s="10">
        <v>1064</v>
      </c>
      <c r="C1276" s="125" t="s">
        <v>181</v>
      </c>
      <c r="D1276" t="s">
        <v>1832</v>
      </c>
      <c r="E1276" s="103" t="s">
        <v>8242</v>
      </c>
      <c r="F1276" t="s">
        <v>8243</v>
      </c>
      <c r="G1276" t="s">
        <v>8218</v>
      </c>
      <c r="H1276" t="s">
        <v>8244</v>
      </c>
      <c r="I1276" t="s">
        <v>8245</v>
      </c>
      <c r="J1276" t="s">
        <v>8001</v>
      </c>
      <c r="K1276" t="s">
        <v>820</v>
      </c>
    </row>
    <row r="1277" spans="1:11" x14ac:dyDescent="0.25">
      <c r="A1277" s="123">
        <v>1276</v>
      </c>
      <c r="B1277" s="10">
        <v>1064</v>
      </c>
      <c r="C1277" s="125" t="s">
        <v>183</v>
      </c>
      <c r="D1277" t="s">
        <v>7970</v>
      </c>
      <c r="E1277" s="103" t="s">
        <v>8246</v>
      </c>
      <c r="F1277" t="s">
        <v>8247</v>
      </c>
      <c r="G1277" t="s">
        <v>7959</v>
      </c>
      <c r="H1277" t="s">
        <v>8248</v>
      </c>
      <c r="I1277" s="103" t="s">
        <v>8249</v>
      </c>
      <c r="J1277" t="s">
        <v>8250</v>
      </c>
      <c r="K1277" s="103" t="s">
        <v>8251</v>
      </c>
    </row>
    <row r="1278" spans="1:11" ht="15.75" thickBot="1" x14ac:dyDescent="0.3">
      <c r="A1278" s="123">
        <v>1277</v>
      </c>
      <c r="B1278" s="10">
        <v>1064</v>
      </c>
      <c r="C1278" s="125" t="s">
        <v>186</v>
      </c>
      <c r="D1278" t="s">
        <v>8252</v>
      </c>
      <c r="E1278" s="103" t="s">
        <v>8253</v>
      </c>
      <c r="F1278" t="s">
        <v>8254</v>
      </c>
      <c r="G1278" t="s">
        <v>7973</v>
      </c>
      <c r="H1278" t="s">
        <v>8255</v>
      </c>
      <c r="I1278" s="103" t="s">
        <v>8256</v>
      </c>
      <c r="J1278" t="s">
        <v>5823</v>
      </c>
      <c r="K1278" s="103" t="s">
        <v>8257</v>
      </c>
    </row>
    <row r="1279" spans="1:11" x14ac:dyDescent="0.25">
      <c r="A1279" s="123">
        <v>1278</v>
      </c>
      <c r="B1279" s="10">
        <v>1064</v>
      </c>
      <c r="C1279" s="126" t="s">
        <v>188</v>
      </c>
      <c r="D1279" t="s">
        <v>8258</v>
      </c>
      <c r="E1279" t="s">
        <v>8259</v>
      </c>
      <c r="F1279" t="s">
        <v>4563</v>
      </c>
      <c r="G1279" t="s">
        <v>8104</v>
      </c>
      <c r="H1279" t="s">
        <v>8260</v>
      </c>
      <c r="I1279" s="103" t="s">
        <v>8261</v>
      </c>
      <c r="J1279" t="s">
        <v>8262</v>
      </c>
      <c r="K1279" s="103" t="s">
        <v>8263</v>
      </c>
    </row>
    <row r="1280" spans="1:11" x14ac:dyDescent="0.25">
      <c r="A1280" s="123">
        <v>1279</v>
      </c>
      <c r="B1280" s="10">
        <v>1064</v>
      </c>
      <c r="C1280" s="125" t="s">
        <v>182</v>
      </c>
      <c r="D1280" s="103" t="s">
        <v>7565</v>
      </c>
      <c r="E1280" t="s">
        <v>8264</v>
      </c>
      <c r="F1280" t="s">
        <v>3071</v>
      </c>
      <c r="G1280" s="103" t="s">
        <v>8198</v>
      </c>
      <c r="H1280" t="s">
        <v>6760</v>
      </c>
      <c r="I1280" t="s">
        <v>8265</v>
      </c>
      <c r="J1280" t="s">
        <v>8266</v>
      </c>
      <c r="K1280" t="s">
        <v>7243</v>
      </c>
    </row>
    <row r="1281" spans="1:18" x14ac:dyDescent="0.25">
      <c r="A1281" s="123">
        <v>1280</v>
      </c>
      <c r="B1281" s="10">
        <v>1064</v>
      </c>
      <c r="C1281" s="125" t="s">
        <v>184</v>
      </c>
      <c r="D1281" t="s">
        <v>7577</v>
      </c>
      <c r="E1281" t="s">
        <v>8267</v>
      </c>
      <c r="F1281" t="s">
        <v>8268</v>
      </c>
      <c r="G1281" t="s">
        <v>8269</v>
      </c>
      <c r="H1281" t="s">
        <v>8270</v>
      </c>
      <c r="I1281" s="103" t="s">
        <v>8271</v>
      </c>
      <c r="J1281" t="s">
        <v>5230</v>
      </c>
      <c r="K1281" t="s">
        <v>8272</v>
      </c>
    </row>
    <row r="1282" spans="1:18" x14ac:dyDescent="0.25">
      <c r="A1282" s="123">
        <v>1281</v>
      </c>
      <c r="B1282" s="10">
        <v>1064</v>
      </c>
      <c r="C1282" s="125" t="s">
        <v>187</v>
      </c>
      <c r="D1282" t="s">
        <v>8273</v>
      </c>
      <c r="E1282" s="103" t="s">
        <v>8274</v>
      </c>
      <c r="F1282" t="s">
        <v>8275</v>
      </c>
      <c r="G1282" t="s">
        <v>8158</v>
      </c>
      <c r="H1282" t="s">
        <v>8276</v>
      </c>
      <c r="I1282" s="103" t="s">
        <v>8277</v>
      </c>
      <c r="J1282" t="s">
        <v>8166</v>
      </c>
      <c r="K1282" t="s">
        <v>8278</v>
      </c>
    </row>
    <row r="1283" spans="1:18" x14ac:dyDescent="0.25">
      <c r="A1283" s="123">
        <v>1282</v>
      </c>
      <c r="B1283" s="10">
        <v>1064</v>
      </c>
      <c r="C1283" s="125" t="s">
        <v>189</v>
      </c>
      <c r="D1283" t="s">
        <v>8010</v>
      </c>
      <c r="E1283" s="103" t="s">
        <v>8279</v>
      </c>
      <c r="F1283" t="s">
        <v>8280</v>
      </c>
      <c r="G1283" t="s">
        <v>8047</v>
      </c>
      <c r="H1283" t="s">
        <v>8281</v>
      </c>
      <c r="I1283" s="103" t="s">
        <v>8282</v>
      </c>
      <c r="J1283" t="s">
        <v>8283</v>
      </c>
      <c r="K1283" t="s">
        <v>8284</v>
      </c>
    </row>
    <row r="1284" spans="1:18" x14ac:dyDescent="0.25">
      <c r="A1284" s="123">
        <v>1283</v>
      </c>
      <c r="B1284" s="10">
        <v>3003</v>
      </c>
      <c r="C1284" s="125" t="s">
        <v>162</v>
      </c>
      <c r="D1284" t="s">
        <v>5136</v>
      </c>
      <c r="E1284" s="103" t="s">
        <v>8285</v>
      </c>
      <c r="F1284" t="s">
        <v>3065</v>
      </c>
      <c r="G1284" t="s">
        <v>8269</v>
      </c>
      <c r="H1284" t="s">
        <v>8219</v>
      </c>
      <c r="I1284" t="s">
        <v>5723</v>
      </c>
      <c r="J1284" t="s">
        <v>8286</v>
      </c>
      <c r="K1284" t="s">
        <v>8287</v>
      </c>
    </row>
    <row r="1285" spans="1:18" x14ac:dyDescent="0.25">
      <c r="A1285" s="123">
        <v>1284</v>
      </c>
      <c r="B1285" s="10">
        <v>3003</v>
      </c>
      <c r="C1285" s="127" t="s">
        <v>170</v>
      </c>
      <c r="D1285" t="s">
        <v>8288</v>
      </c>
      <c r="E1285" t="s">
        <v>8289</v>
      </c>
      <c r="F1285" t="s">
        <v>8290</v>
      </c>
      <c r="G1285" t="s">
        <v>8047</v>
      </c>
      <c r="H1285" t="s">
        <v>8291</v>
      </c>
      <c r="I1285" s="103" t="s">
        <v>8292</v>
      </c>
      <c r="J1285" t="s">
        <v>8293</v>
      </c>
      <c r="K1285" t="s">
        <v>8294</v>
      </c>
    </row>
    <row r="1286" spans="1:18" x14ac:dyDescent="0.25">
      <c r="A1286" s="123">
        <v>1285</v>
      </c>
      <c r="B1286" s="10">
        <v>3003</v>
      </c>
      <c r="C1286" s="125" t="s">
        <v>178</v>
      </c>
      <c r="D1286" t="s">
        <v>8295</v>
      </c>
      <c r="E1286" s="103" t="s">
        <v>8296</v>
      </c>
      <c r="F1286" t="s">
        <v>8297</v>
      </c>
      <c r="G1286" t="s">
        <v>7998</v>
      </c>
      <c r="H1286" t="s">
        <v>8298</v>
      </c>
      <c r="I1286" s="103" t="s">
        <v>8299</v>
      </c>
      <c r="J1286" t="s">
        <v>8141</v>
      </c>
      <c r="K1286" t="s">
        <v>8300</v>
      </c>
    </row>
    <row r="1287" spans="1:18" x14ac:dyDescent="0.25">
      <c r="A1287" s="123">
        <v>1286</v>
      </c>
      <c r="B1287" s="10">
        <v>3003</v>
      </c>
      <c r="C1287" s="125" t="s">
        <v>163</v>
      </c>
      <c r="D1287" t="s">
        <v>5713</v>
      </c>
      <c r="E1287" s="103" t="s">
        <v>8301</v>
      </c>
      <c r="F1287" t="s">
        <v>8302</v>
      </c>
      <c r="G1287" t="s">
        <v>8104</v>
      </c>
      <c r="H1287" t="s">
        <v>8303</v>
      </c>
      <c r="I1287" s="103" t="s">
        <v>8304</v>
      </c>
      <c r="J1287" t="s">
        <v>8107</v>
      </c>
      <c r="K1287" t="s">
        <v>8305</v>
      </c>
    </row>
    <row r="1288" spans="1:18" x14ac:dyDescent="0.25">
      <c r="A1288" s="123">
        <v>1287</v>
      </c>
      <c r="B1288" s="10">
        <v>3003</v>
      </c>
      <c r="C1288" s="125" t="s">
        <v>181</v>
      </c>
      <c r="D1288" t="s">
        <v>8115</v>
      </c>
      <c r="E1288" s="89" t="s">
        <v>582</v>
      </c>
      <c r="F1288" t="s">
        <v>8306</v>
      </c>
      <c r="G1288" t="s">
        <v>8118</v>
      </c>
      <c r="H1288" t="s">
        <v>8307</v>
      </c>
      <c r="I1288" t="s">
        <v>8308</v>
      </c>
      <c r="J1288" t="s">
        <v>8227</v>
      </c>
      <c r="K1288" t="s">
        <v>8309</v>
      </c>
    </row>
    <row r="1289" spans="1:18" x14ac:dyDescent="0.25">
      <c r="A1289" s="123">
        <v>1288</v>
      </c>
      <c r="B1289" s="10">
        <v>3003</v>
      </c>
      <c r="C1289" s="127" t="s">
        <v>183</v>
      </c>
      <c r="D1289" t="s">
        <v>7949</v>
      </c>
      <c r="E1289" s="103" t="s">
        <v>8310</v>
      </c>
      <c r="F1289" t="s">
        <v>8311</v>
      </c>
      <c r="G1289" t="s">
        <v>8138</v>
      </c>
      <c r="H1289" t="s">
        <v>8312</v>
      </c>
      <c r="I1289" s="103" t="s">
        <v>8313</v>
      </c>
      <c r="J1289" t="s">
        <v>7962</v>
      </c>
      <c r="K1289" t="s">
        <v>8314</v>
      </c>
    </row>
    <row r="1290" spans="1:18" x14ac:dyDescent="0.25">
      <c r="A1290" s="123">
        <v>1289</v>
      </c>
      <c r="B1290" s="10">
        <v>3003</v>
      </c>
      <c r="C1290" s="125" t="s">
        <v>186</v>
      </c>
      <c r="D1290">
        <v>36</v>
      </c>
      <c r="E1290" s="103" t="s">
        <v>8315</v>
      </c>
      <c r="F1290" t="s">
        <v>8316</v>
      </c>
      <c r="G1290" t="s">
        <v>7979</v>
      </c>
      <c r="H1290" s="103" t="s">
        <v>8317</v>
      </c>
      <c r="I1290" s="103" t="s">
        <v>8318</v>
      </c>
      <c r="J1290" t="s">
        <v>8319</v>
      </c>
      <c r="K1290" s="103" t="s">
        <v>8320</v>
      </c>
    </row>
    <row r="1291" spans="1:18" x14ac:dyDescent="0.25">
      <c r="A1291" s="123">
        <v>1290</v>
      </c>
      <c r="B1291" s="10">
        <v>3003</v>
      </c>
      <c r="C1291" s="125" t="s">
        <v>188</v>
      </c>
      <c r="D1291" t="s">
        <v>7984</v>
      </c>
      <c r="E1291" s="103" t="s">
        <v>8321</v>
      </c>
      <c r="F1291" t="s">
        <v>8322</v>
      </c>
      <c r="G1291" t="s">
        <v>8041</v>
      </c>
      <c r="H1291" t="s">
        <v>8323</v>
      </c>
      <c r="I1291" s="103" t="s">
        <v>8324</v>
      </c>
      <c r="J1291" t="s">
        <v>7976</v>
      </c>
      <c r="K1291" s="103" t="s">
        <v>8325</v>
      </c>
    </row>
    <row r="1292" spans="1:18" x14ac:dyDescent="0.25">
      <c r="A1292" s="123">
        <v>1291</v>
      </c>
      <c r="B1292" s="10">
        <v>3003</v>
      </c>
      <c r="C1292" s="125" t="s">
        <v>182</v>
      </c>
      <c r="D1292" t="s">
        <v>1832</v>
      </c>
      <c r="E1292" t="s">
        <v>8130</v>
      </c>
      <c r="F1292" t="s">
        <v>8326</v>
      </c>
      <c r="G1292" t="s">
        <v>8218</v>
      </c>
      <c r="H1292" t="s">
        <v>8327</v>
      </c>
      <c r="I1292" s="103" t="s">
        <v>8328</v>
      </c>
      <c r="J1292" t="s">
        <v>8227</v>
      </c>
      <c r="K1292" t="s">
        <v>8329</v>
      </c>
    </row>
    <row r="1293" spans="1:18" x14ac:dyDescent="0.25">
      <c r="A1293" s="123">
        <v>1292</v>
      </c>
      <c r="B1293" s="10">
        <v>3003</v>
      </c>
      <c r="C1293" s="125" t="s">
        <v>184</v>
      </c>
      <c r="D1293" t="s">
        <v>7949</v>
      </c>
      <c r="E1293" t="s">
        <v>8330</v>
      </c>
      <c r="F1293" t="s">
        <v>8331</v>
      </c>
      <c r="G1293" t="s">
        <v>8332</v>
      </c>
      <c r="H1293" s="103" t="s">
        <v>8333</v>
      </c>
      <c r="I1293" s="103" t="s">
        <v>8334</v>
      </c>
      <c r="J1293" t="s">
        <v>8141</v>
      </c>
      <c r="K1293" t="s">
        <v>8335</v>
      </c>
    </row>
    <row r="1294" spans="1:18" x14ac:dyDescent="0.25">
      <c r="A1294" s="123">
        <v>1293</v>
      </c>
      <c r="B1294" s="10">
        <v>3003</v>
      </c>
      <c r="C1294" s="125" t="s">
        <v>187</v>
      </c>
      <c r="D1294" t="s">
        <v>5903</v>
      </c>
      <c r="E1294" t="s">
        <v>8336</v>
      </c>
      <c r="F1294" t="s">
        <v>8337</v>
      </c>
      <c r="G1294" t="s">
        <v>7998</v>
      </c>
      <c r="H1294" s="103" t="s">
        <v>8338</v>
      </c>
      <c r="I1294" s="103" t="s">
        <v>8339</v>
      </c>
      <c r="J1294" t="s">
        <v>8340</v>
      </c>
      <c r="K1294" t="s">
        <v>8341</v>
      </c>
      <c r="N1294" s="50"/>
      <c r="O1294" s="50"/>
      <c r="P1294" s="50"/>
      <c r="Q1294" s="50"/>
      <c r="R1294" s="50"/>
    </row>
    <row r="1295" spans="1:18" x14ac:dyDescent="0.25">
      <c r="A1295" s="123">
        <v>1294</v>
      </c>
      <c r="B1295" s="10">
        <v>3003</v>
      </c>
      <c r="C1295" s="125" t="s">
        <v>189</v>
      </c>
      <c r="D1295" t="s">
        <v>5713</v>
      </c>
      <c r="E1295" t="s">
        <v>8342</v>
      </c>
      <c r="F1295" t="s">
        <v>8343</v>
      </c>
      <c r="G1295" t="s">
        <v>8344</v>
      </c>
      <c r="H1295" s="103" t="s">
        <v>8345</v>
      </c>
      <c r="I1295" s="103" t="s">
        <v>8346</v>
      </c>
      <c r="J1295" t="s">
        <v>8347</v>
      </c>
      <c r="K1295" s="103" t="s">
        <v>8348</v>
      </c>
    </row>
    <row r="1296" spans="1:18" x14ac:dyDescent="0.25">
      <c r="A1296" s="123">
        <v>1295</v>
      </c>
      <c r="B1296" s="10">
        <v>3004</v>
      </c>
      <c r="C1296" s="125" t="s">
        <v>182</v>
      </c>
      <c r="D1296" t="s">
        <v>583</v>
      </c>
      <c r="E1296" t="s">
        <v>8349</v>
      </c>
      <c r="F1296" t="s">
        <v>583</v>
      </c>
      <c r="G1296" s="103" t="s">
        <v>8198</v>
      </c>
      <c r="H1296" t="s">
        <v>5465</v>
      </c>
      <c r="I1296" t="s">
        <v>8350</v>
      </c>
      <c r="J1296" t="s">
        <v>583</v>
      </c>
      <c r="K1296" s="80" t="s">
        <v>2549</v>
      </c>
    </row>
    <row r="1297" spans="1:18" x14ac:dyDescent="0.25">
      <c r="A1297" s="123">
        <v>1296</v>
      </c>
      <c r="B1297" s="10">
        <v>3004</v>
      </c>
      <c r="C1297" s="125" t="s">
        <v>184</v>
      </c>
      <c r="D1297" t="s">
        <v>7990</v>
      </c>
      <c r="E1297" t="s">
        <v>8351</v>
      </c>
      <c r="F1297" t="s">
        <v>8352</v>
      </c>
      <c r="G1297" t="s">
        <v>8353</v>
      </c>
      <c r="H1297" t="s">
        <v>8354</v>
      </c>
      <c r="I1297" s="103" t="s">
        <v>8355</v>
      </c>
      <c r="J1297" t="s">
        <v>3521</v>
      </c>
      <c r="K1297" t="s">
        <v>8356</v>
      </c>
    </row>
    <row r="1298" spans="1:18" x14ac:dyDescent="0.25">
      <c r="A1298" s="123">
        <v>1297</v>
      </c>
      <c r="B1298" s="10">
        <v>3004</v>
      </c>
      <c r="C1298" s="125" t="s">
        <v>187</v>
      </c>
      <c r="D1298" t="s">
        <v>8122</v>
      </c>
      <c r="E1298" t="s">
        <v>8357</v>
      </c>
      <c r="F1298" t="s">
        <v>8269</v>
      </c>
      <c r="G1298" t="s">
        <v>8096</v>
      </c>
      <c r="H1298" t="s">
        <v>8358</v>
      </c>
      <c r="I1298" s="103" t="s">
        <v>8359</v>
      </c>
      <c r="J1298" t="s">
        <v>8099</v>
      </c>
      <c r="K1298" t="s">
        <v>8360</v>
      </c>
    </row>
    <row r="1299" spans="1:18" x14ac:dyDescent="0.25">
      <c r="A1299" s="123">
        <v>1298</v>
      </c>
      <c r="B1299" s="10">
        <v>3004</v>
      </c>
      <c r="C1299" s="125" t="s">
        <v>189</v>
      </c>
      <c r="D1299" t="s">
        <v>7990</v>
      </c>
      <c r="E1299" t="s">
        <v>8361</v>
      </c>
      <c r="F1299" t="s">
        <v>8362</v>
      </c>
      <c r="G1299" t="s">
        <v>4437</v>
      </c>
      <c r="H1299" t="s">
        <v>2647</v>
      </c>
      <c r="I1299" s="103" t="s">
        <v>8363</v>
      </c>
      <c r="J1299" t="s">
        <v>7206</v>
      </c>
      <c r="K1299" t="s">
        <v>8364</v>
      </c>
    </row>
    <row r="1300" spans="1:18" x14ac:dyDescent="0.25">
      <c r="A1300" s="123">
        <v>1299</v>
      </c>
      <c r="B1300" s="10">
        <v>3005</v>
      </c>
      <c r="C1300" s="125" t="s">
        <v>162</v>
      </c>
      <c r="D1300" t="s">
        <v>5136</v>
      </c>
      <c r="E1300" s="103" t="s">
        <v>8365</v>
      </c>
      <c r="F1300" t="s">
        <v>5311</v>
      </c>
      <c r="G1300" t="s">
        <v>8366</v>
      </c>
      <c r="H1300" t="s">
        <v>6760</v>
      </c>
      <c r="I1300" t="s">
        <v>7869</v>
      </c>
      <c r="J1300" t="s">
        <v>8099</v>
      </c>
      <c r="K1300" t="s">
        <v>8367</v>
      </c>
    </row>
    <row r="1301" spans="1:18" s="50" customFormat="1" x14ac:dyDescent="0.25">
      <c r="A1301" s="128">
        <v>1300</v>
      </c>
      <c r="B1301" s="49">
        <v>3005</v>
      </c>
      <c r="C1301" s="127" t="s">
        <v>170</v>
      </c>
      <c r="D1301" t="s">
        <v>8101</v>
      </c>
      <c r="E1301" s="103" t="s">
        <v>8368</v>
      </c>
      <c r="F1301" t="s">
        <v>8369</v>
      </c>
      <c r="G1301" t="s">
        <v>7443</v>
      </c>
      <c r="H1301" t="s">
        <v>8370</v>
      </c>
      <c r="I1301" s="103" t="s">
        <v>8371</v>
      </c>
      <c r="J1301" t="s">
        <v>8227</v>
      </c>
      <c r="K1301" t="s">
        <v>8372</v>
      </c>
      <c r="M1301"/>
      <c r="N1301"/>
      <c r="O1301"/>
      <c r="P1301"/>
      <c r="Q1301"/>
      <c r="R1301"/>
    </row>
    <row r="1302" spans="1:18" x14ac:dyDescent="0.25">
      <c r="A1302" s="123">
        <v>1301</v>
      </c>
      <c r="B1302" s="10">
        <v>3005</v>
      </c>
      <c r="C1302" s="125" t="s">
        <v>178</v>
      </c>
      <c r="D1302" t="s">
        <v>5786</v>
      </c>
      <c r="E1302" s="80" t="s">
        <v>8373</v>
      </c>
      <c r="F1302" t="s">
        <v>8374</v>
      </c>
      <c r="G1302" t="s">
        <v>8375</v>
      </c>
      <c r="H1302" t="s">
        <v>8376</v>
      </c>
      <c r="I1302" s="80" t="s">
        <v>8377</v>
      </c>
      <c r="J1302" t="s">
        <v>5777</v>
      </c>
      <c r="K1302" t="s">
        <v>8378</v>
      </c>
    </row>
    <row r="1303" spans="1:18" x14ac:dyDescent="0.25">
      <c r="A1303" s="123">
        <v>1302</v>
      </c>
      <c r="B1303" s="10">
        <v>3005</v>
      </c>
      <c r="C1303" s="125" t="s">
        <v>163</v>
      </c>
      <c r="D1303" t="s">
        <v>5957</v>
      </c>
      <c r="E1303" s="80" t="s">
        <v>8379</v>
      </c>
      <c r="F1303" t="s">
        <v>8380</v>
      </c>
      <c r="G1303" t="s">
        <v>7130</v>
      </c>
      <c r="H1303" s="80" t="s">
        <v>8381</v>
      </c>
      <c r="I1303" s="80" t="s">
        <v>8382</v>
      </c>
      <c r="J1303" t="s">
        <v>5354</v>
      </c>
      <c r="K1303" s="80" t="s">
        <v>8383</v>
      </c>
    </row>
    <row r="1304" spans="1:18" x14ac:dyDescent="0.25">
      <c r="A1304" s="123">
        <v>1303</v>
      </c>
      <c r="B1304" s="10">
        <v>3005</v>
      </c>
      <c r="C1304" s="122" t="s">
        <v>181</v>
      </c>
      <c r="D1304" t="s">
        <v>2096</v>
      </c>
      <c r="E1304" t="s">
        <v>8384</v>
      </c>
      <c r="F1304" t="s">
        <v>8385</v>
      </c>
      <c r="G1304" t="s">
        <v>7120</v>
      </c>
      <c r="H1304" t="s">
        <v>8386</v>
      </c>
      <c r="I1304" t="s">
        <v>8387</v>
      </c>
      <c r="J1304" t="s">
        <v>6060</v>
      </c>
      <c r="K1304" t="s">
        <v>4756</v>
      </c>
    </row>
    <row r="1305" spans="1:18" x14ac:dyDescent="0.25">
      <c r="A1305" s="123">
        <v>1304</v>
      </c>
      <c r="B1305" s="10">
        <v>3005</v>
      </c>
      <c r="C1305" s="122" t="s">
        <v>183</v>
      </c>
      <c r="D1305" t="s">
        <v>6045</v>
      </c>
      <c r="E1305" t="s">
        <v>8388</v>
      </c>
      <c r="F1305" t="s">
        <v>6290</v>
      </c>
      <c r="G1305" t="s">
        <v>7120</v>
      </c>
      <c r="H1305" t="s">
        <v>8389</v>
      </c>
      <c r="I1305" s="80" t="s">
        <v>8390</v>
      </c>
      <c r="J1305" t="s">
        <v>5672</v>
      </c>
      <c r="K1305" t="s">
        <v>8391</v>
      </c>
    </row>
    <row r="1306" spans="1:18" x14ac:dyDescent="0.25">
      <c r="A1306" s="123">
        <v>1305</v>
      </c>
      <c r="B1306" s="10">
        <v>3005</v>
      </c>
      <c r="C1306" s="122" t="s">
        <v>186</v>
      </c>
      <c r="D1306" t="s">
        <v>6045</v>
      </c>
      <c r="E1306" t="s">
        <v>8392</v>
      </c>
      <c r="F1306" t="s">
        <v>8393</v>
      </c>
      <c r="G1306" t="s">
        <v>7077</v>
      </c>
      <c r="H1306" t="s">
        <v>8394</v>
      </c>
      <c r="I1306" s="80" t="s">
        <v>8395</v>
      </c>
      <c r="J1306" t="s">
        <v>5880</v>
      </c>
      <c r="K1306" t="s">
        <v>8396</v>
      </c>
    </row>
    <row r="1307" spans="1:18" x14ac:dyDescent="0.25">
      <c r="A1307" s="123">
        <v>1306</v>
      </c>
      <c r="B1307" s="10">
        <v>3005</v>
      </c>
      <c r="C1307" s="122" t="s">
        <v>188</v>
      </c>
      <c r="D1307" t="s">
        <v>5952</v>
      </c>
      <c r="E1307" t="s">
        <v>8397</v>
      </c>
      <c r="F1307" t="s">
        <v>8398</v>
      </c>
      <c r="G1307" t="s">
        <v>7145</v>
      </c>
      <c r="H1307" t="s">
        <v>8399</v>
      </c>
      <c r="I1307" s="80" t="s">
        <v>8400</v>
      </c>
      <c r="J1307" t="s">
        <v>6000</v>
      </c>
      <c r="K1307" t="s">
        <v>8401</v>
      </c>
    </row>
    <row r="1308" spans="1:18" x14ac:dyDescent="0.25">
      <c r="A1308" s="123">
        <v>1307</v>
      </c>
      <c r="B1308" s="10">
        <v>3005</v>
      </c>
      <c r="C1308" s="122" t="s">
        <v>182</v>
      </c>
      <c r="D1308" t="s">
        <v>6017</v>
      </c>
      <c r="E1308" t="s">
        <v>8402</v>
      </c>
      <c r="F1308" t="s">
        <v>8199</v>
      </c>
      <c r="G1308" t="s">
        <v>7120</v>
      </c>
      <c r="H1308" t="s">
        <v>6135</v>
      </c>
      <c r="I1308" t="s">
        <v>8403</v>
      </c>
      <c r="J1308" t="s">
        <v>5798</v>
      </c>
      <c r="K1308" t="s">
        <v>5842</v>
      </c>
    </row>
    <row r="1309" spans="1:18" x14ac:dyDescent="0.25">
      <c r="A1309" s="123">
        <v>1308</v>
      </c>
      <c r="B1309" s="10">
        <v>3005</v>
      </c>
      <c r="C1309" s="122" t="s">
        <v>184</v>
      </c>
      <c r="D1309" t="s">
        <v>5705</v>
      </c>
      <c r="E1309" s="80" t="s">
        <v>8404</v>
      </c>
      <c r="F1309" t="s">
        <v>8405</v>
      </c>
      <c r="G1309" t="s">
        <v>8375</v>
      </c>
      <c r="H1309" t="s">
        <v>8406</v>
      </c>
      <c r="I1309" s="80" t="s">
        <v>8407</v>
      </c>
      <c r="J1309" t="s">
        <v>5876</v>
      </c>
      <c r="K1309" t="s">
        <v>8408</v>
      </c>
    </row>
    <row r="1310" spans="1:18" x14ac:dyDescent="0.25">
      <c r="A1310" s="123">
        <v>1309</v>
      </c>
      <c r="B1310" s="10">
        <v>3005</v>
      </c>
      <c r="C1310" s="122" t="s">
        <v>187</v>
      </c>
      <c r="D1310" t="s">
        <v>8409</v>
      </c>
      <c r="E1310" s="80" t="s">
        <v>8410</v>
      </c>
      <c r="F1310" t="s">
        <v>8411</v>
      </c>
      <c r="G1310" t="s">
        <v>7280</v>
      </c>
      <c r="H1310" s="80" t="s">
        <v>8412</v>
      </c>
      <c r="I1310" s="80" t="s">
        <v>8413</v>
      </c>
      <c r="J1310" t="s">
        <v>6210</v>
      </c>
      <c r="K1310" s="80" t="s">
        <v>8414</v>
      </c>
    </row>
    <row r="1311" spans="1:18" x14ac:dyDescent="0.25">
      <c r="A1311" s="123">
        <v>1310</v>
      </c>
      <c r="B1311" s="10">
        <v>3005</v>
      </c>
      <c r="C1311" s="122" t="s">
        <v>189</v>
      </c>
      <c r="D1311" t="s">
        <v>8415</v>
      </c>
      <c r="E1311" s="80" t="s">
        <v>8416</v>
      </c>
      <c r="F1311" t="s">
        <v>8417</v>
      </c>
      <c r="G1311" t="s">
        <v>8418</v>
      </c>
      <c r="H1311" s="80" t="s">
        <v>8419</v>
      </c>
      <c r="I1311" s="80" t="s">
        <v>8420</v>
      </c>
      <c r="J1311" t="s">
        <v>6132</v>
      </c>
      <c r="K1311" s="80" t="s">
        <v>8421</v>
      </c>
    </row>
    <row r="1312" spans="1:18" x14ac:dyDescent="0.25">
      <c r="A1312" s="123">
        <v>1311</v>
      </c>
      <c r="B1312" s="10">
        <v>1065</v>
      </c>
      <c r="C1312" s="125" t="s">
        <v>162</v>
      </c>
      <c r="D1312" t="s">
        <v>1387</v>
      </c>
      <c r="E1312" t="s">
        <v>8422</v>
      </c>
      <c r="F1312" s="80" t="s">
        <v>6297</v>
      </c>
      <c r="G1312" t="s">
        <v>7331</v>
      </c>
      <c r="H1312" t="s">
        <v>583</v>
      </c>
      <c r="I1312" t="s">
        <v>5597</v>
      </c>
      <c r="J1312" t="s">
        <v>583</v>
      </c>
      <c r="K1312" t="s">
        <v>3071</v>
      </c>
    </row>
    <row r="1313" spans="1:11" x14ac:dyDescent="0.25">
      <c r="A1313" s="123">
        <v>1312</v>
      </c>
      <c r="B1313" s="10">
        <v>1065</v>
      </c>
      <c r="C1313" s="125" t="s">
        <v>170</v>
      </c>
      <c r="D1313" t="s">
        <v>5800</v>
      </c>
      <c r="E1313" t="s">
        <v>8423</v>
      </c>
      <c r="F1313" t="s">
        <v>8424</v>
      </c>
      <c r="G1313" t="s">
        <v>7214</v>
      </c>
      <c r="H1313" t="s">
        <v>8425</v>
      </c>
      <c r="I1313" s="80" t="s">
        <v>8426</v>
      </c>
      <c r="J1313" t="s">
        <v>6258</v>
      </c>
      <c r="K1313" t="s">
        <v>8427</v>
      </c>
    </row>
    <row r="1314" spans="1:11" x14ac:dyDescent="0.25">
      <c r="A1314" s="123">
        <v>1313</v>
      </c>
      <c r="B1314" s="10">
        <v>1065</v>
      </c>
      <c r="C1314" s="125" t="s">
        <v>178</v>
      </c>
      <c r="D1314" t="s">
        <v>3317</v>
      </c>
      <c r="E1314" t="s">
        <v>8428</v>
      </c>
      <c r="F1314" t="s">
        <v>8429</v>
      </c>
      <c r="G1314" t="s">
        <v>7358</v>
      </c>
      <c r="H1314" s="80" t="s">
        <v>8430</v>
      </c>
      <c r="I1314" s="80" t="s">
        <v>8431</v>
      </c>
      <c r="J1314" t="s">
        <v>5993</v>
      </c>
      <c r="K1314" t="s">
        <v>8432</v>
      </c>
    </row>
    <row r="1315" spans="1:11" x14ac:dyDescent="0.25">
      <c r="A1315" s="123">
        <v>1314</v>
      </c>
      <c r="B1315" s="10">
        <v>1065</v>
      </c>
      <c r="C1315" s="125" t="s">
        <v>163</v>
      </c>
      <c r="D1315" t="s">
        <v>6001</v>
      </c>
      <c r="E1315" t="s">
        <v>8433</v>
      </c>
      <c r="F1315" t="s">
        <v>8434</v>
      </c>
      <c r="G1315" t="s">
        <v>7145</v>
      </c>
      <c r="H1315" s="80" t="s">
        <v>8435</v>
      </c>
      <c r="I1315" s="80" t="s">
        <v>8436</v>
      </c>
      <c r="J1315" t="s">
        <v>6258</v>
      </c>
      <c r="K1315" t="s">
        <v>8437</v>
      </c>
    </row>
    <row r="1316" spans="1:11" x14ac:dyDescent="0.25">
      <c r="A1316" s="123">
        <v>1315</v>
      </c>
      <c r="B1316" s="10">
        <v>1065</v>
      </c>
      <c r="C1316" s="122" t="s">
        <v>181</v>
      </c>
      <c r="D1316" t="s">
        <v>6055</v>
      </c>
      <c r="E1316" t="s">
        <v>7727</v>
      </c>
      <c r="F1316" t="s">
        <v>5858</v>
      </c>
      <c r="G1316" t="s">
        <v>7358</v>
      </c>
      <c r="H1316" t="s">
        <v>6257</v>
      </c>
      <c r="I1316" t="s">
        <v>8438</v>
      </c>
      <c r="J1316" t="s">
        <v>6532</v>
      </c>
      <c r="K1316" t="s">
        <v>8439</v>
      </c>
    </row>
    <row r="1317" spans="1:11" x14ac:dyDescent="0.25">
      <c r="A1317" s="123">
        <v>1316</v>
      </c>
      <c r="B1317" s="10">
        <v>1065</v>
      </c>
      <c r="C1317" s="122" t="s">
        <v>183</v>
      </c>
      <c r="D1317" t="s">
        <v>8440</v>
      </c>
      <c r="E1317" s="80" t="s">
        <v>7473</v>
      </c>
      <c r="F1317" t="s">
        <v>8441</v>
      </c>
      <c r="G1317" t="s">
        <v>8418</v>
      </c>
      <c r="H1317" s="80" t="s">
        <v>8442</v>
      </c>
      <c r="I1317" s="80" t="s">
        <v>8443</v>
      </c>
      <c r="J1317" t="s">
        <v>5912</v>
      </c>
      <c r="K1317" s="80" t="s">
        <v>8444</v>
      </c>
    </row>
    <row r="1318" spans="1:11" x14ac:dyDescent="0.25">
      <c r="A1318" s="123">
        <v>1317</v>
      </c>
      <c r="B1318" s="10">
        <v>1065</v>
      </c>
      <c r="C1318" s="122" t="s">
        <v>186</v>
      </c>
      <c r="D1318" t="s">
        <v>8445</v>
      </c>
      <c r="E1318" s="80" t="s">
        <v>8446</v>
      </c>
      <c r="F1318" t="s">
        <v>8447</v>
      </c>
      <c r="G1318" t="s">
        <v>8448</v>
      </c>
      <c r="H1318" s="80" t="s">
        <v>8449</v>
      </c>
      <c r="I1318" s="80" t="s">
        <v>8450</v>
      </c>
      <c r="J1318" t="s">
        <v>6418</v>
      </c>
      <c r="K1318" s="80" t="s">
        <v>8451</v>
      </c>
    </row>
    <row r="1319" spans="1:11" x14ac:dyDescent="0.25">
      <c r="A1319" s="123">
        <v>1318</v>
      </c>
      <c r="B1319" s="10">
        <v>1065</v>
      </c>
      <c r="C1319" s="122" t="s">
        <v>188</v>
      </c>
      <c r="D1319" t="s">
        <v>5724</v>
      </c>
      <c r="E1319" s="80" t="s">
        <v>8452</v>
      </c>
      <c r="F1319" t="s">
        <v>8453</v>
      </c>
      <c r="G1319" t="s">
        <v>7234</v>
      </c>
      <c r="H1319" t="s">
        <v>8454</v>
      </c>
      <c r="I1319" s="80" t="s">
        <v>8455</v>
      </c>
      <c r="J1319" t="s">
        <v>5692</v>
      </c>
      <c r="K1319" s="80" t="s">
        <v>8456</v>
      </c>
    </row>
    <row r="1320" spans="1:11" x14ac:dyDescent="0.25">
      <c r="A1320" s="123">
        <v>1319</v>
      </c>
      <c r="B1320" s="10">
        <v>1065</v>
      </c>
      <c r="C1320" s="122" t="s">
        <v>182</v>
      </c>
      <c r="D1320" t="s">
        <v>583</v>
      </c>
      <c r="E1320" t="s">
        <v>8457</v>
      </c>
      <c r="F1320" t="s">
        <v>583</v>
      </c>
      <c r="G1320" t="s">
        <v>583</v>
      </c>
      <c r="H1320" t="s">
        <v>583</v>
      </c>
      <c r="I1320" s="80" t="s">
        <v>6297</v>
      </c>
      <c r="J1320" t="s">
        <v>583</v>
      </c>
      <c r="K1320" t="s">
        <v>583</v>
      </c>
    </row>
    <row r="1321" spans="1:11" x14ac:dyDescent="0.25">
      <c r="A1321" s="123">
        <v>1320</v>
      </c>
      <c r="B1321" s="10">
        <v>1065</v>
      </c>
      <c r="C1321" s="122" t="s">
        <v>184</v>
      </c>
      <c r="D1321" t="s">
        <v>5539</v>
      </c>
      <c r="E1321" t="s">
        <v>8458</v>
      </c>
      <c r="F1321" t="s">
        <v>8459</v>
      </c>
      <c r="G1321" s="80" t="s">
        <v>8460</v>
      </c>
      <c r="H1321" t="s">
        <v>8461</v>
      </c>
      <c r="I1321" s="80" t="s">
        <v>8462</v>
      </c>
      <c r="J1321" t="s">
        <v>5798</v>
      </c>
      <c r="K1321" t="s">
        <v>8463</v>
      </c>
    </row>
    <row r="1322" spans="1:11" x14ac:dyDescent="0.25">
      <c r="A1322" s="123">
        <v>1321</v>
      </c>
      <c r="B1322" s="10">
        <v>1065</v>
      </c>
      <c r="C1322" s="122" t="s">
        <v>187</v>
      </c>
      <c r="D1322" t="s">
        <v>6055</v>
      </c>
      <c r="E1322" t="s">
        <v>8464</v>
      </c>
      <c r="F1322" t="s">
        <v>8465</v>
      </c>
      <c r="G1322" t="s">
        <v>7077</v>
      </c>
      <c r="H1322" t="s">
        <v>8466</v>
      </c>
      <c r="I1322" s="80" t="s">
        <v>8467</v>
      </c>
      <c r="J1322" t="s">
        <v>6359</v>
      </c>
      <c r="K1322" t="s">
        <v>8468</v>
      </c>
    </row>
    <row r="1323" spans="1:11" x14ac:dyDescent="0.25">
      <c r="A1323" s="123">
        <v>1322</v>
      </c>
      <c r="B1323" s="10">
        <v>1065</v>
      </c>
      <c r="C1323" s="122" t="s">
        <v>189</v>
      </c>
      <c r="D1323" t="s">
        <v>8469</v>
      </c>
      <c r="E1323" t="s">
        <v>8470</v>
      </c>
      <c r="F1323" t="s">
        <v>3139</v>
      </c>
      <c r="G1323" t="s">
        <v>7331</v>
      </c>
      <c r="H1323" t="s">
        <v>8471</v>
      </c>
      <c r="I1323" s="80" t="s">
        <v>8472</v>
      </c>
      <c r="J1323" t="s">
        <v>2593</v>
      </c>
      <c r="K1323" t="s">
        <v>8473</v>
      </c>
    </row>
    <row r="1324" spans="1:11" x14ac:dyDescent="0.25">
      <c r="A1324" s="123">
        <v>1323</v>
      </c>
      <c r="B1324" s="10">
        <v>1061</v>
      </c>
      <c r="C1324" s="125" t="s">
        <v>162</v>
      </c>
      <c r="D1324" t="s">
        <v>8474</v>
      </c>
      <c r="E1324" t="s">
        <v>8475</v>
      </c>
      <c r="F1324" t="s">
        <v>7396</v>
      </c>
      <c r="G1324" t="s">
        <v>7331</v>
      </c>
      <c r="H1324" t="s">
        <v>5515</v>
      </c>
      <c r="I1324" t="s">
        <v>1904</v>
      </c>
      <c r="J1324" t="s">
        <v>6015</v>
      </c>
      <c r="K1324" t="s">
        <v>5768</v>
      </c>
    </row>
    <row r="1325" spans="1:11" x14ac:dyDescent="0.25">
      <c r="A1325" s="123">
        <v>1324</v>
      </c>
      <c r="B1325" s="10">
        <v>1061</v>
      </c>
      <c r="C1325" s="125" t="s">
        <v>170</v>
      </c>
      <c r="D1325" t="s">
        <v>5952</v>
      </c>
      <c r="E1325" s="80" t="s">
        <v>8476</v>
      </c>
      <c r="F1325" t="s">
        <v>8477</v>
      </c>
      <c r="G1325" t="s">
        <v>7067</v>
      </c>
      <c r="H1325" t="s">
        <v>8478</v>
      </c>
      <c r="I1325" s="80" t="s">
        <v>8479</v>
      </c>
      <c r="J1325" t="s">
        <v>5993</v>
      </c>
      <c r="K1325" t="s">
        <v>8480</v>
      </c>
    </row>
    <row r="1326" spans="1:11" x14ac:dyDescent="0.25">
      <c r="A1326" s="123">
        <v>1325</v>
      </c>
      <c r="B1326" s="10">
        <v>1061</v>
      </c>
      <c r="C1326" s="125" t="s">
        <v>178</v>
      </c>
      <c r="D1326" t="s">
        <v>2487</v>
      </c>
      <c r="E1326" s="80" t="s">
        <v>8481</v>
      </c>
      <c r="F1326" t="s">
        <v>8482</v>
      </c>
      <c r="G1326" t="s">
        <v>7204</v>
      </c>
      <c r="H1326" t="s">
        <v>8483</v>
      </c>
      <c r="I1326" s="80" t="s">
        <v>8484</v>
      </c>
      <c r="J1326" t="s">
        <v>5826</v>
      </c>
      <c r="K1326" t="s">
        <v>8485</v>
      </c>
    </row>
    <row r="1327" spans="1:11" x14ac:dyDescent="0.25">
      <c r="A1327" s="123">
        <v>1326</v>
      </c>
      <c r="B1327" s="10">
        <v>1061</v>
      </c>
      <c r="C1327" s="125" t="s">
        <v>163</v>
      </c>
      <c r="D1327" t="s">
        <v>5995</v>
      </c>
      <c r="E1327" s="80" t="s">
        <v>8486</v>
      </c>
      <c r="F1327" t="s">
        <v>8487</v>
      </c>
      <c r="G1327" t="s">
        <v>7187</v>
      </c>
      <c r="H1327" t="s">
        <v>8488</v>
      </c>
      <c r="I1327" t="s">
        <v>8489</v>
      </c>
      <c r="J1327" t="s">
        <v>5993</v>
      </c>
      <c r="K1327" t="s">
        <v>8490</v>
      </c>
    </row>
    <row r="1328" spans="1:11" x14ac:dyDescent="0.25">
      <c r="A1328" s="123">
        <v>1327</v>
      </c>
      <c r="B1328" s="10">
        <v>1061</v>
      </c>
      <c r="C1328" s="125" t="s">
        <v>181</v>
      </c>
      <c r="D1328" t="s">
        <v>2096</v>
      </c>
      <c r="E1328" t="s">
        <v>8491</v>
      </c>
      <c r="F1328" t="s">
        <v>8492</v>
      </c>
      <c r="G1328" t="s">
        <v>7077</v>
      </c>
      <c r="H1328" t="s">
        <v>5930</v>
      </c>
      <c r="I1328" t="s">
        <v>3657</v>
      </c>
      <c r="J1328" t="s">
        <v>5723</v>
      </c>
      <c r="K1328" t="s">
        <v>5842</v>
      </c>
    </row>
    <row r="1329" spans="1:11" x14ac:dyDescent="0.25">
      <c r="A1329" s="123">
        <v>1328</v>
      </c>
      <c r="B1329" s="10">
        <v>1061</v>
      </c>
      <c r="C1329" s="125" t="s">
        <v>183</v>
      </c>
      <c r="D1329" t="s">
        <v>2487</v>
      </c>
      <c r="E1329" s="80" t="s">
        <v>8493</v>
      </c>
      <c r="F1329" t="s">
        <v>8494</v>
      </c>
      <c r="G1329" t="s">
        <v>7086</v>
      </c>
      <c r="H1329" t="s">
        <v>8495</v>
      </c>
      <c r="I1329" s="80" t="s">
        <v>8496</v>
      </c>
      <c r="J1329" t="s">
        <v>5845</v>
      </c>
      <c r="K1329" t="s">
        <v>8497</v>
      </c>
    </row>
    <row r="1330" spans="1:11" x14ac:dyDescent="0.25">
      <c r="A1330" s="123">
        <v>1329</v>
      </c>
      <c r="B1330" s="10">
        <v>1061</v>
      </c>
      <c r="C1330" s="125" t="s">
        <v>186</v>
      </c>
      <c r="D1330" t="s">
        <v>5698</v>
      </c>
      <c r="E1330" s="80" t="s">
        <v>8498</v>
      </c>
      <c r="F1330" t="s">
        <v>8499</v>
      </c>
      <c r="G1330" t="s">
        <v>8375</v>
      </c>
      <c r="H1330" t="s">
        <v>8500</v>
      </c>
      <c r="I1330" s="80" t="s">
        <v>8501</v>
      </c>
      <c r="J1330" t="s">
        <v>5903</v>
      </c>
      <c r="K1330" t="s">
        <v>8502</v>
      </c>
    </row>
    <row r="1331" spans="1:11" x14ac:dyDescent="0.25">
      <c r="A1331" s="123">
        <v>1330</v>
      </c>
      <c r="B1331" s="10">
        <v>1061</v>
      </c>
      <c r="C1331" s="125" t="s">
        <v>188</v>
      </c>
      <c r="D1331" t="s">
        <v>5878</v>
      </c>
      <c r="E1331" s="80" t="s">
        <v>7798</v>
      </c>
      <c r="F1331" t="s">
        <v>2363</v>
      </c>
      <c r="G1331" t="s">
        <v>8375</v>
      </c>
      <c r="H1331" t="s">
        <v>8503</v>
      </c>
      <c r="I1331" s="80" t="s">
        <v>8504</v>
      </c>
      <c r="J1331" t="s">
        <v>4908</v>
      </c>
      <c r="K1331" t="s">
        <v>8505</v>
      </c>
    </row>
    <row r="1332" spans="1:11" x14ac:dyDescent="0.25">
      <c r="A1332" s="123">
        <v>1331</v>
      </c>
      <c r="B1332" s="10">
        <v>1061</v>
      </c>
      <c r="C1332" s="125" t="s">
        <v>182</v>
      </c>
      <c r="D1332" t="s">
        <v>8506</v>
      </c>
      <c r="E1332" t="s">
        <v>8507</v>
      </c>
      <c r="F1332" t="s">
        <v>8385</v>
      </c>
      <c r="G1332" s="80" t="s">
        <v>3289</v>
      </c>
      <c r="H1332">
        <v>2</v>
      </c>
      <c r="I1332" t="s">
        <v>8508</v>
      </c>
      <c r="J1332" t="s">
        <v>583</v>
      </c>
      <c r="K1332" t="s">
        <v>8509</v>
      </c>
    </row>
    <row r="1333" spans="1:11" x14ac:dyDescent="0.25">
      <c r="A1333" s="123">
        <v>1332</v>
      </c>
      <c r="B1333" s="10">
        <v>1061</v>
      </c>
      <c r="C1333" s="125" t="s">
        <v>184</v>
      </c>
      <c r="D1333" t="s">
        <v>5800</v>
      </c>
      <c r="E1333" t="s">
        <v>8510</v>
      </c>
      <c r="F1333" t="s">
        <v>8511</v>
      </c>
      <c r="G1333" t="s">
        <v>3768</v>
      </c>
      <c r="H1333" t="s">
        <v>8512</v>
      </c>
      <c r="I1333" s="80" t="s">
        <v>8513</v>
      </c>
      <c r="J1333" t="s">
        <v>5752</v>
      </c>
      <c r="K1333" t="s">
        <v>8514</v>
      </c>
    </row>
    <row r="1334" spans="1:11" ht="15.75" thickBot="1" x14ac:dyDescent="0.3">
      <c r="A1334" s="123">
        <v>1333</v>
      </c>
      <c r="B1334" s="10">
        <v>1061</v>
      </c>
      <c r="C1334" s="125" t="s">
        <v>187</v>
      </c>
      <c r="D1334" t="s">
        <v>5772</v>
      </c>
      <c r="E1334" t="s">
        <v>8515</v>
      </c>
      <c r="F1334" t="s">
        <v>8516</v>
      </c>
      <c r="G1334" t="s">
        <v>7194</v>
      </c>
      <c r="H1334" t="s">
        <v>8517</v>
      </c>
      <c r="I1334" s="80" t="s">
        <v>8518</v>
      </c>
      <c r="J1334" t="s">
        <v>5845</v>
      </c>
      <c r="K1334" t="s">
        <v>8519</v>
      </c>
    </row>
    <row r="1335" spans="1:11" x14ac:dyDescent="0.25">
      <c r="A1335" s="123">
        <v>1334</v>
      </c>
      <c r="B1335" s="10">
        <v>1061</v>
      </c>
      <c r="C1335" s="126" t="s">
        <v>189</v>
      </c>
      <c r="D1335" t="s">
        <v>5878</v>
      </c>
      <c r="E1335" t="s">
        <v>8520</v>
      </c>
      <c r="F1335" t="s">
        <v>5726</v>
      </c>
      <c r="G1335" t="s">
        <v>3768</v>
      </c>
      <c r="H1335" t="s">
        <v>8521</v>
      </c>
      <c r="I1335" s="80" t="s">
        <v>8522</v>
      </c>
      <c r="J1335" t="s">
        <v>5826</v>
      </c>
      <c r="K1335" t="s">
        <v>8523</v>
      </c>
    </row>
    <row r="1336" spans="1:11" x14ac:dyDescent="0.25">
      <c r="A1336" s="123">
        <v>1335</v>
      </c>
      <c r="B1336" s="10">
        <v>1062</v>
      </c>
      <c r="C1336" s="125" t="s">
        <v>162</v>
      </c>
      <c r="D1336" t="s">
        <v>5840</v>
      </c>
      <c r="E1336" s="80" t="s">
        <v>8524</v>
      </c>
      <c r="F1336" t="s">
        <v>2384</v>
      </c>
      <c r="G1336" t="s">
        <v>7348</v>
      </c>
      <c r="H1336" t="s">
        <v>5820</v>
      </c>
      <c r="I1336" t="s">
        <v>8525</v>
      </c>
      <c r="J1336" t="s">
        <v>5672</v>
      </c>
      <c r="K1336" t="s">
        <v>8526</v>
      </c>
    </row>
    <row r="1337" spans="1:11" x14ac:dyDescent="0.25">
      <c r="A1337" s="123">
        <v>1336</v>
      </c>
      <c r="B1337" s="10">
        <v>1062</v>
      </c>
      <c r="C1337" s="125" t="s">
        <v>170</v>
      </c>
      <c r="D1337" t="s">
        <v>2487</v>
      </c>
      <c r="E1337" s="80" t="s">
        <v>8527</v>
      </c>
      <c r="F1337" t="s">
        <v>8528</v>
      </c>
      <c r="G1337" t="s">
        <v>7151</v>
      </c>
      <c r="H1337" t="s">
        <v>8529</v>
      </c>
      <c r="I1337" s="80" t="s">
        <v>8530</v>
      </c>
      <c r="J1337" t="s">
        <v>5237</v>
      </c>
      <c r="K1337" t="s">
        <v>8531</v>
      </c>
    </row>
    <row r="1338" spans="1:11" x14ac:dyDescent="0.25">
      <c r="A1338" s="123">
        <v>1337</v>
      </c>
      <c r="B1338" s="10">
        <v>1062</v>
      </c>
      <c r="C1338" s="125" t="s">
        <v>178</v>
      </c>
      <c r="D1338" t="s">
        <v>5779</v>
      </c>
      <c r="E1338" s="80" t="s">
        <v>8532</v>
      </c>
      <c r="F1338" t="s">
        <v>8533</v>
      </c>
      <c r="G1338" t="s">
        <v>7158</v>
      </c>
      <c r="H1338" t="s">
        <v>8534</v>
      </c>
      <c r="I1338" s="80" t="s">
        <v>8535</v>
      </c>
      <c r="J1338" t="s">
        <v>5461</v>
      </c>
      <c r="K1338" t="s">
        <v>8536</v>
      </c>
    </row>
    <row r="1339" spans="1:11" x14ac:dyDescent="0.25">
      <c r="A1339" s="123">
        <v>1338</v>
      </c>
      <c r="B1339" s="10">
        <v>1062</v>
      </c>
      <c r="C1339" s="125" t="s">
        <v>163</v>
      </c>
      <c r="D1339" t="s">
        <v>5772</v>
      </c>
      <c r="E1339" s="80" t="s">
        <v>8537</v>
      </c>
      <c r="F1339" t="s">
        <v>6033</v>
      </c>
      <c r="G1339" t="s">
        <v>8538</v>
      </c>
      <c r="H1339" t="s">
        <v>8539</v>
      </c>
      <c r="I1339" s="80" t="s">
        <v>8540</v>
      </c>
      <c r="J1339" t="s">
        <v>5510</v>
      </c>
      <c r="K1339" t="s">
        <v>8541</v>
      </c>
    </row>
    <row r="1340" spans="1:11" x14ac:dyDescent="0.25">
      <c r="A1340" s="123">
        <v>1339</v>
      </c>
      <c r="B1340" s="10">
        <v>1062</v>
      </c>
      <c r="C1340" s="125" t="s">
        <v>181</v>
      </c>
      <c r="D1340" t="s">
        <v>5698</v>
      </c>
      <c r="E1340" s="80" t="s">
        <v>8542</v>
      </c>
      <c r="F1340" t="s">
        <v>5768</v>
      </c>
      <c r="G1340" t="s">
        <v>7286</v>
      </c>
      <c r="H1340" t="s">
        <v>5250</v>
      </c>
      <c r="I1340" t="s">
        <v>8543</v>
      </c>
      <c r="J1340" t="s">
        <v>5826</v>
      </c>
      <c r="K1340" t="s">
        <v>8544</v>
      </c>
    </row>
    <row r="1341" spans="1:11" x14ac:dyDescent="0.25">
      <c r="A1341" s="123">
        <v>1340</v>
      </c>
      <c r="B1341" s="10">
        <v>1062</v>
      </c>
      <c r="C1341" s="125" t="s">
        <v>183</v>
      </c>
      <c r="D1341" t="s">
        <v>5713</v>
      </c>
      <c r="E1341" s="80" t="s">
        <v>8545</v>
      </c>
      <c r="F1341" t="s">
        <v>8546</v>
      </c>
      <c r="G1341" t="s">
        <v>7130</v>
      </c>
      <c r="H1341" t="s">
        <v>8547</v>
      </c>
      <c r="I1341" s="80" t="s">
        <v>8548</v>
      </c>
      <c r="J1341" t="s">
        <v>5272</v>
      </c>
      <c r="K1341" t="s">
        <v>8549</v>
      </c>
    </row>
    <row r="1342" spans="1:11" x14ac:dyDescent="0.25">
      <c r="A1342" s="123">
        <v>1341</v>
      </c>
      <c r="B1342" s="10">
        <v>1062</v>
      </c>
      <c r="C1342" s="125" t="s">
        <v>186</v>
      </c>
      <c r="D1342" t="s">
        <v>6164</v>
      </c>
      <c r="E1342" s="80" t="s">
        <v>8550</v>
      </c>
      <c r="F1342" t="s">
        <v>8551</v>
      </c>
      <c r="G1342" t="s">
        <v>8538</v>
      </c>
      <c r="H1342" t="s">
        <v>8552</v>
      </c>
      <c r="I1342" s="80" t="s">
        <v>8553</v>
      </c>
      <c r="J1342" t="s">
        <v>5692</v>
      </c>
      <c r="K1342" s="80" t="s">
        <v>8554</v>
      </c>
    </row>
    <row r="1343" spans="1:11" x14ac:dyDescent="0.25">
      <c r="A1343" s="123">
        <v>1342</v>
      </c>
      <c r="B1343" s="10">
        <v>1062</v>
      </c>
      <c r="C1343" s="125" t="s">
        <v>188</v>
      </c>
      <c r="D1343" t="s">
        <v>5713</v>
      </c>
      <c r="E1343" s="80" t="s">
        <v>8555</v>
      </c>
      <c r="F1343" t="s">
        <v>8556</v>
      </c>
      <c r="G1343" t="s">
        <v>7179</v>
      </c>
      <c r="H1343" t="s">
        <v>8557</v>
      </c>
      <c r="I1343" s="80" t="s">
        <v>8558</v>
      </c>
      <c r="J1343" t="s">
        <v>5569</v>
      </c>
      <c r="K1343" t="s">
        <v>8559</v>
      </c>
    </row>
    <row r="1344" spans="1:11" x14ac:dyDescent="0.25">
      <c r="A1344" s="123">
        <v>1343</v>
      </c>
      <c r="B1344" s="10">
        <v>1062</v>
      </c>
      <c r="C1344" s="125" t="s">
        <v>182</v>
      </c>
      <c r="D1344" t="s">
        <v>8474</v>
      </c>
      <c r="E1344" t="s">
        <v>8560</v>
      </c>
      <c r="F1344" t="s">
        <v>2814</v>
      </c>
      <c r="G1344" t="s">
        <v>7331</v>
      </c>
      <c r="H1344" t="s">
        <v>8561</v>
      </c>
      <c r="I1344" s="80" t="s">
        <v>8562</v>
      </c>
      <c r="J1344" t="s">
        <v>6015</v>
      </c>
      <c r="K1344" t="s">
        <v>6583</v>
      </c>
    </row>
    <row r="1345" spans="1:11" x14ac:dyDescent="0.25">
      <c r="A1345" s="123">
        <v>1344</v>
      </c>
      <c r="B1345" s="10">
        <v>1062</v>
      </c>
      <c r="C1345" s="127" t="s">
        <v>184</v>
      </c>
      <c r="D1345" t="s">
        <v>5667</v>
      </c>
      <c r="E1345" t="s">
        <v>8563</v>
      </c>
      <c r="F1345" t="s">
        <v>8564</v>
      </c>
      <c r="G1345" t="s">
        <v>7141</v>
      </c>
      <c r="H1345" t="s">
        <v>8565</v>
      </c>
      <c r="I1345" s="80" t="s">
        <v>8566</v>
      </c>
      <c r="J1345" t="s">
        <v>5993</v>
      </c>
      <c r="K1345" t="s">
        <v>8567</v>
      </c>
    </row>
    <row r="1346" spans="1:11" x14ac:dyDescent="0.25">
      <c r="A1346" s="123">
        <v>1345</v>
      </c>
      <c r="B1346" s="10">
        <v>1062</v>
      </c>
      <c r="C1346" s="125" t="s">
        <v>187</v>
      </c>
      <c r="D1346" t="s">
        <v>8568</v>
      </c>
      <c r="E1346" s="80" t="s">
        <v>8569</v>
      </c>
      <c r="F1346" t="s">
        <v>8570</v>
      </c>
      <c r="G1346" t="s">
        <v>7158</v>
      </c>
      <c r="H1346" s="80" t="s">
        <v>8571</v>
      </c>
      <c r="I1346" s="80" t="s">
        <v>8572</v>
      </c>
      <c r="J1346" t="s">
        <v>5299</v>
      </c>
      <c r="K1346" t="s">
        <v>8573</v>
      </c>
    </row>
    <row r="1347" spans="1:11" x14ac:dyDescent="0.25">
      <c r="A1347" s="123">
        <v>1346</v>
      </c>
      <c r="B1347" s="10">
        <v>1062</v>
      </c>
      <c r="C1347" s="125" t="s">
        <v>189</v>
      </c>
      <c r="D1347" t="s">
        <v>8574</v>
      </c>
      <c r="E1347" s="80" t="s">
        <v>7123</v>
      </c>
      <c r="F1347" t="s">
        <v>8575</v>
      </c>
      <c r="G1347" t="s">
        <v>3838</v>
      </c>
      <c r="H1347" t="s">
        <v>8576</v>
      </c>
      <c r="I1347" s="80" t="s">
        <v>8577</v>
      </c>
      <c r="J1347" t="s">
        <v>5334</v>
      </c>
      <c r="K1347" t="s">
        <v>8578</v>
      </c>
    </row>
    <row r="1348" spans="1:11" x14ac:dyDescent="0.25">
      <c r="A1348" s="123">
        <v>1347</v>
      </c>
      <c r="B1348" s="10">
        <v>3006</v>
      </c>
      <c r="C1348" s="125" t="s">
        <v>162</v>
      </c>
      <c r="D1348" t="s">
        <v>5667</v>
      </c>
      <c r="E1348" s="80" t="s">
        <v>8579</v>
      </c>
      <c r="F1348" t="s">
        <v>5858</v>
      </c>
      <c r="G1348" t="s">
        <v>7077</v>
      </c>
      <c r="H1348" t="s">
        <v>7497</v>
      </c>
      <c r="I1348" t="s">
        <v>8580</v>
      </c>
      <c r="J1348" t="s">
        <v>6359</v>
      </c>
      <c r="K1348" t="s">
        <v>8581</v>
      </c>
    </row>
    <row r="1349" spans="1:11" x14ac:dyDescent="0.25">
      <c r="A1349" s="123">
        <v>1348</v>
      </c>
      <c r="B1349" s="10">
        <v>3006</v>
      </c>
      <c r="C1349" s="125" t="s">
        <v>170</v>
      </c>
      <c r="D1349" t="s">
        <v>6087</v>
      </c>
      <c r="E1349" s="80" t="s">
        <v>8582</v>
      </c>
      <c r="F1349" t="s">
        <v>8583</v>
      </c>
      <c r="G1349" t="s">
        <v>7214</v>
      </c>
      <c r="H1349" t="s">
        <v>8584</v>
      </c>
      <c r="I1349" t="s">
        <v>8585</v>
      </c>
      <c r="J1349" t="s">
        <v>5936</v>
      </c>
      <c r="K1349" t="s">
        <v>8586</v>
      </c>
    </row>
    <row r="1350" spans="1:11" ht="15.75" thickBot="1" x14ac:dyDescent="0.3">
      <c r="A1350" s="123">
        <v>1349</v>
      </c>
      <c r="B1350" s="10">
        <v>3006</v>
      </c>
      <c r="C1350" s="125" t="s">
        <v>178</v>
      </c>
      <c r="D1350" t="s">
        <v>8587</v>
      </c>
      <c r="E1350" s="80" t="s">
        <v>8588</v>
      </c>
      <c r="F1350" t="s">
        <v>8589</v>
      </c>
      <c r="G1350" t="s">
        <v>3838</v>
      </c>
      <c r="H1350" t="s">
        <v>8590</v>
      </c>
      <c r="I1350" t="s">
        <v>8591</v>
      </c>
      <c r="J1350" t="s">
        <v>5299</v>
      </c>
      <c r="K1350" t="s">
        <v>8592</v>
      </c>
    </row>
    <row r="1351" spans="1:11" x14ac:dyDescent="0.25">
      <c r="A1351" s="123">
        <v>1350</v>
      </c>
      <c r="B1351" s="10">
        <v>3006</v>
      </c>
      <c r="C1351" s="126" t="s">
        <v>163</v>
      </c>
      <c r="D1351" t="s">
        <v>8008</v>
      </c>
      <c r="E1351" t="s">
        <v>8593</v>
      </c>
      <c r="F1351" t="s">
        <v>8594</v>
      </c>
      <c r="G1351" t="s">
        <v>7214</v>
      </c>
      <c r="H1351" t="s">
        <v>8595</v>
      </c>
      <c r="I1351" t="s">
        <v>8596</v>
      </c>
      <c r="J1351" t="s">
        <v>5258</v>
      </c>
      <c r="K1351" t="s">
        <v>8597</v>
      </c>
    </row>
    <row r="1352" spans="1:11" x14ac:dyDescent="0.25">
      <c r="A1352" s="123">
        <v>1351</v>
      </c>
      <c r="B1352" s="10">
        <v>3006</v>
      </c>
      <c r="C1352" s="125" t="s">
        <v>181</v>
      </c>
      <c r="D1352" t="s">
        <v>8598</v>
      </c>
      <c r="E1352" s="80" t="s">
        <v>8599</v>
      </c>
      <c r="F1352" t="s">
        <v>5669</v>
      </c>
      <c r="G1352" t="s">
        <v>7145</v>
      </c>
      <c r="H1352" t="s">
        <v>8600</v>
      </c>
      <c r="I1352" t="s">
        <v>8601</v>
      </c>
      <c r="J1352" t="s">
        <v>4908</v>
      </c>
      <c r="K1352" t="s">
        <v>8602</v>
      </c>
    </row>
    <row r="1353" spans="1:11" x14ac:dyDescent="0.25">
      <c r="A1353" s="123">
        <v>1352</v>
      </c>
      <c r="B1353" s="10">
        <v>3006</v>
      </c>
      <c r="C1353" s="125" t="s">
        <v>183</v>
      </c>
      <c r="D1353" t="s">
        <v>8603</v>
      </c>
      <c r="E1353" s="80" t="s">
        <v>8604</v>
      </c>
      <c r="F1353" t="s">
        <v>8605</v>
      </c>
      <c r="G1353" t="s">
        <v>7158</v>
      </c>
      <c r="H1353" s="80">
        <v>18580</v>
      </c>
      <c r="I1353" s="80" t="s">
        <v>8606</v>
      </c>
      <c r="J1353" t="s">
        <v>6118</v>
      </c>
      <c r="K1353" t="s">
        <v>8607</v>
      </c>
    </row>
    <row r="1354" spans="1:11" x14ac:dyDescent="0.25">
      <c r="A1354" s="123">
        <v>1353</v>
      </c>
      <c r="B1354" s="10">
        <v>3006</v>
      </c>
      <c r="C1354" s="125" t="s">
        <v>186</v>
      </c>
      <c r="D1354" t="s">
        <v>5705</v>
      </c>
      <c r="E1354" s="80" t="s">
        <v>8608</v>
      </c>
      <c r="F1354" t="s">
        <v>8609</v>
      </c>
      <c r="G1354" t="s">
        <v>7158</v>
      </c>
      <c r="H1354" s="80" t="s">
        <v>8610</v>
      </c>
      <c r="I1354" s="80" t="s">
        <v>8611</v>
      </c>
      <c r="J1354" t="s">
        <v>5703</v>
      </c>
      <c r="K1354" s="80" t="s">
        <v>8612</v>
      </c>
    </row>
    <row r="1355" spans="1:11" x14ac:dyDescent="0.25">
      <c r="A1355" s="123">
        <v>1354</v>
      </c>
      <c r="B1355" s="10">
        <v>3006</v>
      </c>
      <c r="C1355" s="125" t="s">
        <v>188</v>
      </c>
      <c r="D1355" t="s">
        <v>5724</v>
      </c>
      <c r="E1355" s="80" t="s">
        <v>8613</v>
      </c>
      <c r="F1355" t="s">
        <v>8614</v>
      </c>
      <c r="G1355" t="s">
        <v>8418</v>
      </c>
      <c r="H1355" s="80" t="s">
        <v>8615</v>
      </c>
      <c r="I1355" s="80" t="s">
        <v>8616</v>
      </c>
      <c r="J1355" t="s">
        <v>5429</v>
      </c>
      <c r="K1355" s="80" t="s">
        <v>8617</v>
      </c>
    </row>
    <row r="1356" spans="1:11" x14ac:dyDescent="0.25">
      <c r="A1356" s="123">
        <v>1355</v>
      </c>
      <c r="B1356" s="10">
        <v>3006</v>
      </c>
      <c r="C1356" s="125" t="s">
        <v>182</v>
      </c>
      <c r="D1356" t="s">
        <v>583</v>
      </c>
      <c r="E1356" t="s">
        <v>8618</v>
      </c>
      <c r="F1356" t="s">
        <v>8385</v>
      </c>
      <c r="G1356" t="s">
        <v>8619</v>
      </c>
      <c r="H1356" t="s">
        <v>583</v>
      </c>
      <c r="I1356" t="s">
        <v>7770</v>
      </c>
      <c r="J1356" t="s">
        <v>583</v>
      </c>
      <c r="K1356" t="s">
        <v>583</v>
      </c>
    </row>
    <row r="1357" spans="1:11" x14ac:dyDescent="0.25">
      <c r="A1357" s="123">
        <v>1356</v>
      </c>
      <c r="B1357" s="10">
        <v>3006</v>
      </c>
      <c r="C1357" s="127" t="s">
        <v>184</v>
      </c>
      <c r="D1357" t="s">
        <v>5667</v>
      </c>
      <c r="E1357" s="80" t="s">
        <v>8620</v>
      </c>
      <c r="F1357" t="s">
        <v>8621</v>
      </c>
      <c r="G1357" t="s">
        <v>3768</v>
      </c>
      <c r="H1357" t="s">
        <v>8622</v>
      </c>
      <c r="I1357" s="80" t="s">
        <v>8623</v>
      </c>
      <c r="J1357" t="s">
        <v>5993</v>
      </c>
      <c r="K1357" t="s">
        <v>8624</v>
      </c>
    </row>
    <row r="1358" spans="1:11" x14ac:dyDescent="0.25">
      <c r="A1358" s="123">
        <v>1357</v>
      </c>
      <c r="B1358" s="10">
        <v>3006</v>
      </c>
      <c r="C1358" s="125" t="s">
        <v>187</v>
      </c>
      <c r="D1358" t="s">
        <v>4930</v>
      </c>
      <c r="E1358" s="80" t="s">
        <v>8625</v>
      </c>
      <c r="F1358" t="s">
        <v>8626</v>
      </c>
      <c r="G1358" t="s">
        <v>7214</v>
      </c>
      <c r="H1358" t="s">
        <v>8627</v>
      </c>
      <c r="I1358" s="80" t="s">
        <v>8628</v>
      </c>
      <c r="J1358" t="s">
        <v>6184</v>
      </c>
      <c r="K1358" t="s">
        <v>8629</v>
      </c>
    </row>
    <row r="1359" spans="1:11" x14ac:dyDescent="0.25">
      <c r="A1359" s="123">
        <v>1358</v>
      </c>
      <c r="B1359" s="10">
        <v>3006</v>
      </c>
      <c r="C1359" s="125" t="s">
        <v>189</v>
      </c>
      <c r="D1359" t="s">
        <v>5673</v>
      </c>
      <c r="E1359" s="80" t="s">
        <v>8630</v>
      </c>
      <c r="F1359" t="s">
        <v>8631</v>
      </c>
      <c r="G1359" t="s">
        <v>7204</v>
      </c>
      <c r="H1359" t="s">
        <v>8632</v>
      </c>
      <c r="I1359" s="80" t="s">
        <v>8633</v>
      </c>
      <c r="J1359" t="s">
        <v>5752</v>
      </c>
      <c r="K1359" t="s">
        <v>8634</v>
      </c>
    </row>
    <row r="1360" spans="1:11" x14ac:dyDescent="0.25">
      <c r="A1360" s="123">
        <v>1359</v>
      </c>
      <c r="B1360" s="90" t="s">
        <v>685</v>
      </c>
      <c r="C1360" s="122" t="s">
        <v>162</v>
      </c>
      <c r="D1360" t="s">
        <v>8635</v>
      </c>
      <c r="E1360" t="s">
        <v>8636</v>
      </c>
      <c r="F1360" t="s">
        <v>6336</v>
      </c>
      <c r="G1360" t="s">
        <v>7187</v>
      </c>
      <c r="H1360" t="s">
        <v>7497</v>
      </c>
      <c r="I1360" t="s">
        <v>4755</v>
      </c>
      <c r="J1360" t="s">
        <v>6532</v>
      </c>
      <c r="K1360" t="s">
        <v>8637</v>
      </c>
    </row>
    <row r="1361" spans="1:11" x14ac:dyDescent="0.25">
      <c r="A1361" s="123">
        <v>1360</v>
      </c>
      <c r="B1361" s="90" t="s">
        <v>685</v>
      </c>
      <c r="C1361" s="122" t="s">
        <v>170</v>
      </c>
      <c r="D1361" t="s">
        <v>8603</v>
      </c>
      <c r="E1361" s="80" t="s">
        <v>8638</v>
      </c>
      <c r="F1361" t="s">
        <v>5781</v>
      </c>
      <c r="G1361" t="s">
        <v>7158</v>
      </c>
      <c r="H1361" t="s">
        <v>8639</v>
      </c>
      <c r="I1361" s="80" t="s">
        <v>8640</v>
      </c>
      <c r="J1361" t="s">
        <v>5845</v>
      </c>
      <c r="K1361" t="s">
        <v>8641</v>
      </c>
    </row>
    <row r="1362" spans="1:11" x14ac:dyDescent="0.25">
      <c r="A1362" s="123">
        <v>1361</v>
      </c>
      <c r="B1362" s="90" t="s">
        <v>685</v>
      </c>
      <c r="C1362" s="122" t="s">
        <v>178</v>
      </c>
      <c r="D1362" t="s">
        <v>6087</v>
      </c>
      <c r="E1362" s="80" t="s">
        <v>8642</v>
      </c>
      <c r="F1362" t="s">
        <v>8643</v>
      </c>
      <c r="G1362" t="s">
        <v>7179</v>
      </c>
      <c r="H1362" s="80" t="s">
        <v>8644</v>
      </c>
      <c r="I1362" s="80" t="s">
        <v>8645</v>
      </c>
      <c r="J1362" t="s">
        <v>5777</v>
      </c>
      <c r="K1362" t="s">
        <v>8559</v>
      </c>
    </row>
    <row r="1363" spans="1:11" x14ac:dyDescent="0.25">
      <c r="A1363" s="123">
        <v>1362</v>
      </c>
      <c r="B1363" s="90" t="s">
        <v>685</v>
      </c>
      <c r="C1363" s="122" t="s">
        <v>163</v>
      </c>
      <c r="D1363" t="s">
        <v>5713</v>
      </c>
      <c r="E1363" s="80" t="s">
        <v>8646</v>
      </c>
      <c r="F1363" t="s">
        <v>8647</v>
      </c>
      <c r="G1363" t="s">
        <v>8375</v>
      </c>
      <c r="H1363" t="s">
        <v>8648</v>
      </c>
      <c r="I1363" s="80" t="s">
        <v>8649</v>
      </c>
      <c r="J1363" t="s">
        <v>5510</v>
      </c>
      <c r="K1363" s="80" t="s">
        <v>8650</v>
      </c>
    </row>
    <row r="1364" spans="1:11" x14ac:dyDescent="0.25">
      <c r="A1364" s="123">
        <v>1363</v>
      </c>
      <c r="B1364" s="90" t="s">
        <v>685</v>
      </c>
      <c r="C1364" s="125" t="s">
        <v>181</v>
      </c>
      <c r="D1364" t="s">
        <v>5673</v>
      </c>
      <c r="E1364" s="80" t="s">
        <v>8651</v>
      </c>
      <c r="F1364" t="s">
        <v>7765</v>
      </c>
      <c r="G1364" t="s">
        <v>7204</v>
      </c>
      <c r="H1364" t="s">
        <v>8652</v>
      </c>
      <c r="I1364" t="s">
        <v>6761</v>
      </c>
      <c r="J1364" t="s">
        <v>5481</v>
      </c>
      <c r="K1364" t="s">
        <v>8653</v>
      </c>
    </row>
    <row r="1365" spans="1:11" x14ac:dyDescent="0.25">
      <c r="A1365" s="123">
        <v>1364</v>
      </c>
      <c r="B1365" s="90" t="s">
        <v>685</v>
      </c>
      <c r="C1365" s="125" t="s">
        <v>183</v>
      </c>
      <c r="D1365" t="s">
        <v>8654</v>
      </c>
      <c r="E1365" s="80" t="s">
        <v>8655</v>
      </c>
      <c r="F1365" t="s">
        <v>8656</v>
      </c>
      <c r="G1365" t="s">
        <v>8657</v>
      </c>
      <c r="H1365" s="80" t="s">
        <v>8658</v>
      </c>
      <c r="I1365" s="80" t="s">
        <v>8659</v>
      </c>
      <c r="J1365" t="s">
        <v>5711</v>
      </c>
      <c r="K1365" s="80" t="s">
        <v>8660</v>
      </c>
    </row>
    <row r="1366" spans="1:11" x14ac:dyDescent="0.25">
      <c r="A1366" s="123">
        <v>1365</v>
      </c>
      <c r="B1366" s="90" t="s">
        <v>685</v>
      </c>
      <c r="C1366" s="125" t="s">
        <v>186</v>
      </c>
      <c r="D1366" t="s">
        <v>5852</v>
      </c>
      <c r="E1366" s="80" t="s">
        <v>8661</v>
      </c>
      <c r="F1366" s="111" t="s">
        <v>8662</v>
      </c>
      <c r="G1366" t="s">
        <v>8663</v>
      </c>
      <c r="H1366" s="80" t="s">
        <v>8664</v>
      </c>
      <c r="I1366" s="80" t="s">
        <v>8665</v>
      </c>
      <c r="J1366" t="s">
        <v>5927</v>
      </c>
      <c r="K1366" s="80" t="s">
        <v>8666</v>
      </c>
    </row>
    <row r="1367" spans="1:11" x14ac:dyDescent="0.25">
      <c r="A1367" s="123">
        <v>1366</v>
      </c>
      <c r="B1367" s="90" t="s">
        <v>685</v>
      </c>
      <c r="C1367" s="125" t="s">
        <v>188</v>
      </c>
      <c r="D1367" t="s">
        <v>8667</v>
      </c>
      <c r="E1367" s="80" t="s">
        <v>8668</v>
      </c>
      <c r="F1367" t="s">
        <v>8669</v>
      </c>
      <c r="G1367" t="s">
        <v>8670</v>
      </c>
      <c r="H1367" s="80" t="s">
        <v>8671</v>
      </c>
      <c r="I1367" s="80" t="s">
        <v>8672</v>
      </c>
      <c r="J1367" t="s">
        <v>8673</v>
      </c>
      <c r="K1367" s="80" t="s">
        <v>8674</v>
      </c>
    </row>
    <row r="1368" spans="1:11" x14ac:dyDescent="0.25">
      <c r="A1368" s="123">
        <v>1367</v>
      </c>
      <c r="B1368" s="90" t="s">
        <v>685</v>
      </c>
      <c r="C1368" s="125" t="s">
        <v>182</v>
      </c>
      <c r="D1368" s="80" t="s">
        <v>5793</v>
      </c>
      <c r="E1368" t="s">
        <v>8675</v>
      </c>
      <c r="F1368" s="80">
        <v>0</v>
      </c>
      <c r="G1368" s="80" t="s">
        <v>8460</v>
      </c>
      <c r="H1368" t="s">
        <v>583</v>
      </c>
      <c r="I1368" t="s">
        <v>5793</v>
      </c>
      <c r="J1368" s="80" t="s">
        <v>6112</v>
      </c>
      <c r="K1368" s="80" t="s">
        <v>6474</v>
      </c>
    </row>
    <row r="1369" spans="1:11" x14ac:dyDescent="0.25">
      <c r="A1369" s="123">
        <v>1368</v>
      </c>
      <c r="B1369" s="90" t="s">
        <v>685</v>
      </c>
      <c r="C1369" s="125" t="s">
        <v>184</v>
      </c>
      <c r="D1369" t="s">
        <v>5698</v>
      </c>
      <c r="E1369" t="s">
        <v>8676</v>
      </c>
      <c r="F1369" t="s">
        <v>8677</v>
      </c>
      <c r="G1369" t="s">
        <v>7151</v>
      </c>
      <c r="H1369" t="s">
        <v>8678</v>
      </c>
      <c r="I1369" s="80" t="s">
        <v>8679</v>
      </c>
      <c r="J1369" t="s">
        <v>5826</v>
      </c>
      <c r="K1369" t="s">
        <v>8680</v>
      </c>
    </row>
    <row r="1370" spans="1:11" x14ac:dyDescent="0.25">
      <c r="A1370" s="123">
        <v>1369</v>
      </c>
      <c r="B1370" s="90" t="s">
        <v>685</v>
      </c>
      <c r="C1370" s="122" t="s">
        <v>187</v>
      </c>
      <c r="D1370" t="s">
        <v>8681</v>
      </c>
      <c r="E1370" t="s">
        <v>8682</v>
      </c>
      <c r="F1370" t="s">
        <v>8683</v>
      </c>
      <c r="G1370" t="s">
        <v>7341</v>
      </c>
      <c r="H1370" s="80" t="s">
        <v>8684</v>
      </c>
      <c r="I1370" s="80" t="s">
        <v>8685</v>
      </c>
      <c r="J1370" t="s">
        <v>5736</v>
      </c>
      <c r="K1370" s="80" t="s">
        <v>8686</v>
      </c>
    </row>
    <row r="1371" spans="1:11" x14ac:dyDescent="0.25">
      <c r="A1371" s="123">
        <v>1370</v>
      </c>
      <c r="B1371" s="90" t="s">
        <v>685</v>
      </c>
      <c r="C1371" s="122" t="s">
        <v>189</v>
      </c>
      <c r="D1371" t="s">
        <v>8687</v>
      </c>
      <c r="E1371" t="s">
        <v>8688</v>
      </c>
      <c r="F1371">
        <v>22</v>
      </c>
      <c r="G1371" t="s">
        <v>3768</v>
      </c>
      <c r="H1371" s="80" t="s">
        <v>8689</v>
      </c>
      <c r="I1371" s="80" t="s">
        <v>8690</v>
      </c>
      <c r="J1371" t="s">
        <v>5777</v>
      </c>
      <c r="K1371" s="80" t="s">
        <v>8691</v>
      </c>
    </row>
    <row r="1372" spans="1:11" x14ac:dyDescent="0.25">
      <c r="A1372" s="123">
        <v>1371</v>
      </c>
      <c r="B1372" s="10" t="s">
        <v>616</v>
      </c>
      <c r="C1372" s="122" t="s">
        <v>162</v>
      </c>
      <c r="D1372" t="s">
        <v>5667</v>
      </c>
      <c r="E1372" s="80" t="s">
        <v>8692</v>
      </c>
      <c r="F1372" t="s">
        <v>8198</v>
      </c>
      <c r="G1372" t="s">
        <v>7151</v>
      </c>
      <c r="H1372" t="s">
        <v>7497</v>
      </c>
      <c r="I1372" t="s">
        <v>3201</v>
      </c>
      <c r="J1372" t="s">
        <v>6060</v>
      </c>
      <c r="K1372" t="s">
        <v>8693</v>
      </c>
    </row>
    <row r="1373" spans="1:11" x14ac:dyDescent="0.25">
      <c r="A1373" s="123">
        <v>1372</v>
      </c>
      <c r="B1373" s="10" t="s">
        <v>616</v>
      </c>
      <c r="C1373" s="122" t="s">
        <v>170</v>
      </c>
      <c r="D1373" t="s">
        <v>5698</v>
      </c>
      <c r="E1373" s="80" t="s">
        <v>8694</v>
      </c>
      <c r="F1373" t="s">
        <v>8695</v>
      </c>
      <c r="G1373" t="s">
        <v>7214</v>
      </c>
      <c r="H1373" t="s">
        <v>8696</v>
      </c>
      <c r="I1373" s="80" t="s">
        <v>8697</v>
      </c>
      <c r="J1373" t="s">
        <v>6000</v>
      </c>
      <c r="K1373" t="s">
        <v>8698</v>
      </c>
    </row>
    <row r="1374" spans="1:11" x14ac:dyDescent="0.25">
      <c r="A1374" s="123">
        <v>1373</v>
      </c>
      <c r="B1374" s="10" t="s">
        <v>616</v>
      </c>
      <c r="C1374" s="122" t="s">
        <v>178</v>
      </c>
      <c r="D1374" t="s">
        <v>8699</v>
      </c>
      <c r="E1374" s="80" t="s">
        <v>8700</v>
      </c>
      <c r="F1374" t="s">
        <v>8701</v>
      </c>
      <c r="G1374" t="s">
        <v>7341</v>
      </c>
      <c r="H1374" t="s">
        <v>8702</v>
      </c>
      <c r="I1374" s="80" t="s">
        <v>8703</v>
      </c>
      <c r="J1374" t="s">
        <v>5845</v>
      </c>
      <c r="K1374" t="s">
        <v>8704</v>
      </c>
    </row>
    <row r="1375" spans="1:11" x14ac:dyDescent="0.25">
      <c r="A1375" s="123">
        <v>1374</v>
      </c>
      <c r="B1375" s="10" t="s">
        <v>616</v>
      </c>
      <c r="C1375" s="125" t="s">
        <v>163</v>
      </c>
      <c r="D1375" t="s">
        <v>8705</v>
      </c>
      <c r="E1375" s="80" t="s">
        <v>8706</v>
      </c>
      <c r="F1375" t="s">
        <v>8707</v>
      </c>
      <c r="G1375" t="s">
        <v>7067</v>
      </c>
      <c r="H1375" t="s">
        <v>8708</v>
      </c>
      <c r="I1375" s="80" t="s">
        <v>8709</v>
      </c>
      <c r="J1375" t="s">
        <v>6184</v>
      </c>
      <c r="K1375" t="s">
        <v>8710</v>
      </c>
    </row>
    <row r="1376" spans="1:11" x14ac:dyDescent="0.25">
      <c r="A1376" s="123">
        <v>1375</v>
      </c>
      <c r="B1376" s="10" t="s">
        <v>616</v>
      </c>
      <c r="C1376" s="125" t="s">
        <v>181</v>
      </c>
      <c r="D1376" t="s">
        <v>5840</v>
      </c>
      <c r="E1376" s="80" t="s">
        <v>8711</v>
      </c>
      <c r="F1376" t="s">
        <v>5863</v>
      </c>
      <c r="G1376" t="s">
        <v>7348</v>
      </c>
      <c r="H1376" t="s">
        <v>7142</v>
      </c>
      <c r="I1376" t="s">
        <v>8712</v>
      </c>
      <c r="J1376" t="s">
        <v>5481</v>
      </c>
      <c r="K1376" t="s">
        <v>8713</v>
      </c>
    </row>
    <row r="1377" spans="1:11" x14ac:dyDescent="0.25">
      <c r="A1377" s="123">
        <v>1376</v>
      </c>
      <c r="B1377" s="10" t="s">
        <v>616</v>
      </c>
      <c r="C1377" s="125" t="s">
        <v>183</v>
      </c>
      <c r="D1377" t="s">
        <v>8714</v>
      </c>
      <c r="E1377" s="80" t="s">
        <v>8715</v>
      </c>
      <c r="F1377" s="111" t="s">
        <v>8716</v>
      </c>
      <c r="G1377" t="s">
        <v>8538</v>
      </c>
      <c r="H1377" t="s">
        <v>8717</v>
      </c>
      <c r="I1377" s="80" t="s">
        <v>8718</v>
      </c>
      <c r="J1377" t="s">
        <v>5718</v>
      </c>
      <c r="K1377" s="80" t="s">
        <v>8719</v>
      </c>
    </row>
    <row r="1378" spans="1:11" x14ac:dyDescent="0.25">
      <c r="A1378" s="123">
        <v>1377</v>
      </c>
      <c r="B1378" s="10" t="s">
        <v>616</v>
      </c>
      <c r="C1378" s="125" t="s">
        <v>186</v>
      </c>
      <c r="D1378" t="s">
        <v>8720</v>
      </c>
      <c r="E1378" s="80" t="s">
        <v>8721</v>
      </c>
      <c r="F1378" s="111" t="s">
        <v>8722</v>
      </c>
      <c r="G1378" t="s">
        <v>8723</v>
      </c>
      <c r="H1378" s="80" t="s">
        <v>8724</v>
      </c>
      <c r="I1378" s="80" t="s">
        <v>8725</v>
      </c>
      <c r="J1378" t="s">
        <v>6175</v>
      </c>
      <c r="K1378" s="80" t="s">
        <v>8726</v>
      </c>
    </row>
    <row r="1379" spans="1:11" x14ac:dyDescent="0.25">
      <c r="A1379" s="123">
        <v>1378</v>
      </c>
      <c r="B1379" s="10" t="s">
        <v>616</v>
      </c>
      <c r="C1379" s="125" t="s">
        <v>188</v>
      </c>
      <c r="D1379" t="s">
        <v>5957</v>
      </c>
      <c r="E1379" s="80" t="s">
        <v>8727</v>
      </c>
      <c r="F1379" t="s">
        <v>8728</v>
      </c>
      <c r="G1379" t="s">
        <v>7130</v>
      </c>
      <c r="H1379" t="s">
        <v>8729</v>
      </c>
      <c r="I1379" s="80" t="s">
        <v>8730</v>
      </c>
      <c r="J1379" t="s">
        <v>5272</v>
      </c>
      <c r="K1379" t="s">
        <v>8731</v>
      </c>
    </row>
    <row r="1380" spans="1:11" x14ac:dyDescent="0.25">
      <c r="A1380" s="123">
        <v>1379</v>
      </c>
      <c r="B1380" s="10" t="s">
        <v>616</v>
      </c>
      <c r="C1380" s="127" t="s">
        <v>182</v>
      </c>
      <c r="D1380" t="s">
        <v>5539</v>
      </c>
      <c r="E1380" t="s">
        <v>8732</v>
      </c>
      <c r="F1380" t="s">
        <v>6530</v>
      </c>
      <c r="G1380" t="s">
        <v>7120</v>
      </c>
      <c r="H1380" t="s">
        <v>583</v>
      </c>
      <c r="I1380" t="s">
        <v>8733</v>
      </c>
      <c r="J1380" t="s">
        <v>583</v>
      </c>
      <c r="K1380" t="s">
        <v>3071</v>
      </c>
    </row>
    <row r="1381" spans="1:11" x14ac:dyDescent="0.25">
      <c r="A1381" s="123">
        <v>1380</v>
      </c>
      <c r="B1381" s="10" t="s">
        <v>616</v>
      </c>
      <c r="C1381" s="125" t="s">
        <v>184</v>
      </c>
      <c r="D1381" t="s">
        <v>8734</v>
      </c>
      <c r="E1381" t="s">
        <v>8735</v>
      </c>
      <c r="F1381" t="s">
        <v>8736</v>
      </c>
      <c r="G1381" t="s">
        <v>7204</v>
      </c>
      <c r="H1381" t="s">
        <v>8737</v>
      </c>
      <c r="I1381" s="80" t="s">
        <v>8738</v>
      </c>
      <c r="J1381" t="s">
        <v>5299</v>
      </c>
      <c r="K1381" t="s">
        <v>8739</v>
      </c>
    </row>
    <row r="1382" spans="1:11" x14ac:dyDescent="0.25">
      <c r="A1382" s="123">
        <v>1381</v>
      </c>
      <c r="B1382" s="10" t="s">
        <v>616</v>
      </c>
      <c r="C1382" s="125" t="s">
        <v>187</v>
      </c>
      <c r="D1382" t="s">
        <v>8740</v>
      </c>
      <c r="E1382" t="s">
        <v>8741</v>
      </c>
      <c r="F1382" t="s">
        <v>8742</v>
      </c>
      <c r="G1382" t="s">
        <v>7092</v>
      </c>
      <c r="H1382" s="80" t="s">
        <v>8743</v>
      </c>
      <c r="I1382" s="80" t="s">
        <v>8744</v>
      </c>
      <c r="J1382" t="s">
        <v>5736</v>
      </c>
      <c r="K1382" s="80" t="s">
        <v>8745</v>
      </c>
    </row>
    <row r="1383" spans="1:11" x14ac:dyDescent="0.25">
      <c r="A1383" s="123">
        <v>1382</v>
      </c>
      <c r="B1383" s="10" t="s">
        <v>616</v>
      </c>
      <c r="C1383" s="125" t="s">
        <v>189</v>
      </c>
      <c r="D1383" t="s">
        <v>8746</v>
      </c>
      <c r="E1383" t="s">
        <v>8735</v>
      </c>
      <c r="F1383" t="s">
        <v>8747</v>
      </c>
      <c r="G1383" t="s">
        <v>7145</v>
      </c>
      <c r="H1383" t="s">
        <v>8748</v>
      </c>
      <c r="I1383" s="80" t="s">
        <v>8749</v>
      </c>
      <c r="J1383" t="s">
        <v>5481</v>
      </c>
      <c r="K1383" t="s">
        <v>8750</v>
      </c>
    </row>
    <row r="1384" spans="1:11" x14ac:dyDescent="0.25">
      <c r="A1384" s="123">
        <v>1383</v>
      </c>
      <c r="B1384" s="10">
        <v>1066</v>
      </c>
      <c r="C1384" s="122" t="s">
        <v>182</v>
      </c>
      <c r="D1384" t="s">
        <v>6017</v>
      </c>
      <c r="E1384" t="s">
        <v>8751</v>
      </c>
      <c r="F1384" t="s">
        <v>6019</v>
      </c>
      <c r="G1384" s="80" t="s">
        <v>8460</v>
      </c>
      <c r="H1384" t="s">
        <v>583</v>
      </c>
      <c r="I1384" t="s">
        <v>8752</v>
      </c>
      <c r="J1384" t="s">
        <v>583</v>
      </c>
      <c r="K1384" t="s">
        <v>6842</v>
      </c>
    </row>
    <row r="1385" spans="1:11" x14ac:dyDescent="0.25">
      <c r="A1385" s="123">
        <v>1384</v>
      </c>
      <c r="B1385" s="10">
        <v>1066</v>
      </c>
      <c r="C1385" s="122" t="s">
        <v>184</v>
      </c>
      <c r="D1385" t="s">
        <v>5539</v>
      </c>
      <c r="E1385" t="s">
        <v>8753</v>
      </c>
      <c r="F1385" t="s">
        <v>8754</v>
      </c>
      <c r="G1385" s="80" t="s">
        <v>8460</v>
      </c>
      <c r="H1385" t="s">
        <v>8755</v>
      </c>
      <c r="I1385" t="s">
        <v>8756</v>
      </c>
      <c r="J1385" t="s">
        <v>583</v>
      </c>
      <c r="K1385" t="s">
        <v>8757</v>
      </c>
    </row>
    <row r="1386" spans="1:11" x14ac:dyDescent="0.25">
      <c r="A1386" s="123">
        <v>1385</v>
      </c>
      <c r="B1386" s="10">
        <v>1066</v>
      </c>
      <c r="C1386" s="122" t="s">
        <v>187</v>
      </c>
      <c r="D1386" t="s">
        <v>6001</v>
      </c>
      <c r="E1386" t="s">
        <v>8758</v>
      </c>
      <c r="F1386" t="s">
        <v>5605</v>
      </c>
      <c r="G1386" t="s">
        <v>7187</v>
      </c>
      <c r="H1386" t="s">
        <v>8759</v>
      </c>
      <c r="I1386" s="80" t="s">
        <v>8760</v>
      </c>
      <c r="J1386" t="s">
        <v>6015</v>
      </c>
      <c r="K1386" t="s">
        <v>8761</v>
      </c>
    </row>
    <row r="1387" spans="1:11" x14ac:dyDescent="0.25">
      <c r="A1387" s="123">
        <v>1386</v>
      </c>
      <c r="B1387" s="10">
        <v>1066</v>
      </c>
      <c r="C1387" s="122" t="s">
        <v>189</v>
      </c>
      <c r="D1387" t="s">
        <v>2096</v>
      </c>
      <c r="E1387" t="s">
        <v>8762</v>
      </c>
      <c r="F1387" t="s">
        <v>5863</v>
      </c>
      <c r="G1387" t="s">
        <v>7331</v>
      </c>
      <c r="H1387" t="s">
        <v>8763</v>
      </c>
      <c r="I1387" t="s">
        <v>8764</v>
      </c>
      <c r="J1387" t="s">
        <v>5798</v>
      </c>
      <c r="K1387" t="s">
        <v>8765</v>
      </c>
    </row>
    <row r="1388" spans="1:11" x14ac:dyDescent="0.25">
      <c r="A1388" s="123">
        <v>1387</v>
      </c>
      <c r="B1388" s="10">
        <v>1067</v>
      </c>
      <c r="C1388" s="125" t="s">
        <v>162</v>
      </c>
      <c r="D1388" t="s">
        <v>6001</v>
      </c>
      <c r="E1388" s="80" t="s">
        <v>8766</v>
      </c>
      <c r="F1388" t="s">
        <v>7765</v>
      </c>
      <c r="G1388" t="s">
        <v>7120</v>
      </c>
      <c r="H1388" t="s">
        <v>6257</v>
      </c>
      <c r="I1388" t="s">
        <v>8220</v>
      </c>
      <c r="J1388" t="s">
        <v>5951</v>
      </c>
      <c r="K1388" t="s">
        <v>8074</v>
      </c>
    </row>
    <row r="1389" spans="1:11" ht="15.75" thickBot="1" x14ac:dyDescent="0.3">
      <c r="A1389" s="123">
        <v>1388</v>
      </c>
      <c r="B1389" s="10">
        <v>1067</v>
      </c>
      <c r="C1389" s="125" t="s">
        <v>170</v>
      </c>
      <c r="D1389" t="s">
        <v>5840</v>
      </c>
      <c r="E1389" s="80" t="s">
        <v>8767</v>
      </c>
      <c r="F1389" t="s">
        <v>8768</v>
      </c>
      <c r="G1389" t="s">
        <v>7145</v>
      </c>
      <c r="H1389" t="s">
        <v>8769</v>
      </c>
      <c r="I1389" s="80" t="s">
        <v>8770</v>
      </c>
      <c r="J1389" t="s">
        <v>5752</v>
      </c>
      <c r="K1389" t="s">
        <v>8771</v>
      </c>
    </row>
    <row r="1390" spans="1:11" x14ac:dyDescent="0.25">
      <c r="A1390" s="123">
        <v>1389</v>
      </c>
      <c r="B1390" s="10">
        <v>1067</v>
      </c>
      <c r="C1390" s="126" t="s">
        <v>178</v>
      </c>
      <c r="D1390" t="s">
        <v>5921</v>
      </c>
      <c r="E1390" s="80" t="s">
        <v>8772</v>
      </c>
      <c r="F1390" t="s">
        <v>8773</v>
      </c>
      <c r="G1390" t="s">
        <v>7158</v>
      </c>
      <c r="H1390" s="80" t="s">
        <v>8774</v>
      </c>
      <c r="I1390" s="80" t="s">
        <v>8775</v>
      </c>
      <c r="J1390" t="s">
        <v>6314</v>
      </c>
      <c r="K1390" t="s">
        <v>8776</v>
      </c>
    </row>
    <row r="1391" spans="1:11" x14ac:dyDescent="0.25">
      <c r="A1391" s="123">
        <v>1390</v>
      </c>
      <c r="B1391" s="10">
        <v>1067</v>
      </c>
      <c r="C1391" s="125" t="s">
        <v>163</v>
      </c>
      <c r="D1391" t="s">
        <v>6104</v>
      </c>
      <c r="E1391" s="80" t="s">
        <v>8777</v>
      </c>
      <c r="F1391" t="s">
        <v>8778</v>
      </c>
      <c r="G1391" t="s">
        <v>7297</v>
      </c>
      <c r="H1391" s="80" t="s">
        <v>8779</v>
      </c>
      <c r="I1391" s="80" t="s">
        <v>8780</v>
      </c>
      <c r="J1391" t="s">
        <v>6767</v>
      </c>
      <c r="K1391" s="80" t="s">
        <v>8781</v>
      </c>
    </row>
    <row r="1392" spans="1:11" x14ac:dyDescent="0.25">
      <c r="A1392" s="123">
        <v>1391</v>
      </c>
      <c r="B1392" s="10">
        <v>1067</v>
      </c>
      <c r="C1392" s="125" t="s">
        <v>181</v>
      </c>
      <c r="D1392" t="s">
        <v>5673</v>
      </c>
      <c r="E1392" s="80" t="s">
        <v>8782</v>
      </c>
      <c r="F1392" t="s">
        <v>1765</v>
      </c>
      <c r="G1392" t="s">
        <v>3768</v>
      </c>
      <c r="H1392" t="s">
        <v>8783</v>
      </c>
      <c r="I1392" t="s">
        <v>8784</v>
      </c>
      <c r="J1392" t="s">
        <v>5936</v>
      </c>
      <c r="K1392" t="s">
        <v>8785</v>
      </c>
    </row>
    <row r="1393" spans="1:11" x14ac:dyDescent="0.25">
      <c r="A1393" s="123">
        <v>1392</v>
      </c>
      <c r="B1393" s="10">
        <v>1067</v>
      </c>
      <c r="C1393" s="125" t="s">
        <v>183</v>
      </c>
      <c r="D1393" t="s">
        <v>5786</v>
      </c>
      <c r="E1393" s="80" t="s">
        <v>8786</v>
      </c>
      <c r="F1393" t="s">
        <v>8787</v>
      </c>
      <c r="G1393" t="s">
        <v>7179</v>
      </c>
      <c r="H1393" s="80" t="s">
        <v>8788</v>
      </c>
      <c r="I1393" s="80" t="s">
        <v>8789</v>
      </c>
      <c r="J1393" t="s">
        <v>6752</v>
      </c>
      <c r="K1393" s="80" t="s">
        <v>8790</v>
      </c>
    </row>
    <row r="1394" spans="1:11" x14ac:dyDescent="0.25">
      <c r="A1394" s="123">
        <v>1393</v>
      </c>
      <c r="B1394" s="10">
        <v>1067</v>
      </c>
      <c r="C1394" s="125" t="s">
        <v>186</v>
      </c>
      <c r="D1394">
        <v>50</v>
      </c>
      <c r="E1394" s="80" t="s">
        <v>8791</v>
      </c>
      <c r="F1394" t="s">
        <v>8792</v>
      </c>
      <c r="G1394" t="s">
        <v>8448</v>
      </c>
      <c r="H1394" s="80" t="s">
        <v>8793</v>
      </c>
      <c r="I1394" s="80" t="s">
        <v>8794</v>
      </c>
      <c r="J1394" t="s">
        <v>8795</v>
      </c>
      <c r="K1394" s="80" t="s">
        <v>8796</v>
      </c>
    </row>
    <row r="1395" spans="1:11" x14ac:dyDescent="0.25">
      <c r="A1395" s="123">
        <v>1394</v>
      </c>
      <c r="B1395" s="10">
        <v>1067</v>
      </c>
      <c r="C1395" s="125" t="s">
        <v>188</v>
      </c>
      <c r="D1395" t="s">
        <v>8445</v>
      </c>
      <c r="E1395" s="80" t="s">
        <v>8797</v>
      </c>
      <c r="F1395" t="s">
        <v>8798</v>
      </c>
      <c r="G1395" t="s">
        <v>8418</v>
      </c>
      <c r="H1395" s="80" t="s">
        <v>8799</v>
      </c>
      <c r="I1395" s="80" t="s">
        <v>8800</v>
      </c>
      <c r="J1395" t="s">
        <v>8801</v>
      </c>
      <c r="K1395" s="80" t="s">
        <v>8802</v>
      </c>
    </row>
    <row r="1396" spans="1:11" x14ac:dyDescent="0.25">
      <c r="A1396" s="123">
        <v>1395</v>
      </c>
      <c r="B1396" s="10">
        <v>1067</v>
      </c>
      <c r="C1396" s="127" t="s">
        <v>182</v>
      </c>
      <c r="D1396" t="s">
        <v>583</v>
      </c>
      <c r="E1396" t="s">
        <v>8803</v>
      </c>
      <c r="F1396" t="s">
        <v>5513</v>
      </c>
      <c r="G1396" t="s">
        <v>8804</v>
      </c>
      <c r="H1396" s="80" t="s">
        <v>5282</v>
      </c>
      <c r="I1396" t="s">
        <v>8805</v>
      </c>
      <c r="J1396" t="s">
        <v>6060</v>
      </c>
      <c r="K1396" t="s">
        <v>5518</v>
      </c>
    </row>
    <row r="1397" spans="1:11" x14ac:dyDescent="0.25">
      <c r="A1397" s="123">
        <v>1396</v>
      </c>
      <c r="B1397" s="10">
        <v>1067</v>
      </c>
      <c r="C1397" s="125" t="s">
        <v>184</v>
      </c>
      <c r="D1397" t="s">
        <v>8568</v>
      </c>
      <c r="E1397" s="80" t="s">
        <v>8806</v>
      </c>
      <c r="F1397" t="s">
        <v>8807</v>
      </c>
      <c r="G1397" t="s">
        <v>7158</v>
      </c>
      <c r="H1397" t="s">
        <v>8808</v>
      </c>
      <c r="I1397" t="s">
        <v>8809</v>
      </c>
      <c r="J1397" t="s">
        <v>5845</v>
      </c>
      <c r="K1397" t="s">
        <v>8810</v>
      </c>
    </row>
    <row r="1398" spans="1:11" x14ac:dyDescent="0.25">
      <c r="A1398" s="123">
        <v>1397</v>
      </c>
      <c r="B1398" s="10">
        <v>1067</v>
      </c>
      <c r="C1398" s="125" t="s">
        <v>187</v>
      </c>
      <c r="D1398" t="s">
        <v>5957</v>
      </c>
      <c r="E1398" s="80" t="s">
        <v>8811</v>
      </c>
      <c r="F1398" t="s">
        <v>8812</v>
      </c>
      <c r="G1398" t="s">
        <v>7234</v>
      </c>
      <c r="H1398" s="80" t="s">
        <v>8813</v>
      </c>
      <c r="I1398" s="80" t="s">
        <v>8814</v>
      </c>
      <c r="J1398" t="s">
        <v>6132</v>
      </c>
      <c r="K1398" t="s">
        <v>8815</v>
      </c>
    </row>
    <row r="1399" spans="1:11" x14ac:dyDescent="0.25">
      <c r="A1399" s="123">
        <v>1398</v>
      </c>
      <c r="B1399" s="10">
        <v>1067</v>
      </c>
      <c r="C1399" s="125" t="s">
        <v>189</v>
      </c>
      <c r="D1399" t="s">
        <v>5957</v>
      </c>
      <c r="E1399" s="80" t="s">
        <v>8816</v>
      </c>
      <c r="F1399" t="s">
        <v>8817</v>
      </c>
      <c r="G1399" t="s">
        <v>7234</v>
      </c>
      <c r="H1399" s="80" t="s">
        <v>8818</v>
      </c>
      <c r="I1399" s="80" t="s">
        <v>8819</v>
      </c>
      <c r="J1399" t="s">
        <v>5718</v>
      </c>
      <c r="K1399" s="80" t="s">
        <v>8820</v>
      </c>
    </row>
    <row r="1400" spans="1:11" x14ac:dyDescent="0.25">
      <c r="A1400" s="123">
        <v>1399</v>
      </c>
      <c r="B1400" s="10" t="s">
        <v>617</v>
      </c>
      <c r="C1400" s="125" t="s">
        <v>162</v>
      </c>
      <c r="D1400" t="s">
        <v>2096</v>
      </c>
      <c r="E1400" s="80" t="s">
        <v>8821</v>
      </c>
      <c r="F1400" t="s">
        <v>5623</v>
      </c>
      <c r="G1400" t="s">
        <v>7067</v>
      </c>
      <c r="H1400" t="s">
        <v>5338</v>
      </c>
      <c r="I1400" t="s">
        <v>8822</v>
      </c>
      <c r="J1400" t="s">
        <v>5993</v>
      </c>
      <c r="K1400" t="s">
        <v>7566</v>
      </c>
    </row>
    <row r="1401" spans="1:11" x14ac:dyDescent="0.25">
      <c r="A1401" s="123">
        <v>1400</v>
      </c>
      <c r="B1401" s="10" t="s">
        <v>617</v>
      </c>
      <c r="C1401" s="125" t="s">
        <v>170</v>
      </c>
      <c r="D1401" t="s">
        <v>2487</v>
      </c>
      <c r="E1401" t="s">
        <v>8823</v>
      </c>
      <c r="F1401" t="s">
        <v>8824</v>
      </c>
      <c r="G1401" t="s">
        <v>3768</v>
      </c>
      <c r="H1401" t="s">
        <v>8825</v>
      </c>
      <c r="I1401" s="80" t="s">
        <v>8826</v>
      </c>
      <c r="J1401" t="s">
        <v>5230</v>
      </c>
      <c r="K1401" t="s">
        <v>8827</v>
      </c>
    </row>
    <row r="1402" spans="1:11" x14ac:dyDescent="0.25">
      <c r="A1402" s="123">
        <v>1401</v>
      </c>
      <c r="B1402" s="10" t="s">
        <v>617</v>
      </c>
      <c r="C1402" s="125" t="s">
        <v>178</v>
      </c>
      <c r="D1402" t="s">
        <v>5957</v>
      </c>
      <c r="E1402" s="80" t="s">
        <v>8407</v>
      </c>
      <c r="F1402" t="s">
        <v>8828</v>
      </c>
      <c r="G1402" t="s">
        <v>7214</v>
      </c>
      <c r="H1402" t="s">
        <v>8829</v>
      </c>
      <c r="I1402" s="80" t="s">
        <v>8830</v>
      </c>
      <c r="J1402" t="s">
        <v>5385</v>
      </c>
      <c r="K1402" t="s">
        <v>8831</v>
      </c>
    </row>
    <row r="1403" spans="1:11" x14ac:dyDescent="0.25">
      <c r="A1403" s="123">
        <v>1402</v>
      </c>
      <c r="B1403" s="10" t="s">
        <v>617</v>
      </c>
      <c r="C1403" s="125" t="s">
        <v>163</v>
      </c>
      <c r="D1403" t="s">
        <v>5892</v>
      </c>
      <c r="E1403" s="80" t="s">
        <v>8832</v>
      </c>
      <c r="F1403" t="s">
        <v>8833</v>
      </c>
      <c r="G1403" t="s">
        <v>8375</v>
      </c>
      <c r="H1403" t="s">
        <v>8834</v>
      </c>
      <c r="I1403" s="80" t="s">
        <v>8835</v>
      </c>
      <c r="J1403" t="s">
        <v>5876</v>
      </c>
      <c r="K1403" t="s">
        <v>8836</v>
      </c>
    </row>
    <row r="1404" spans="1:11" x14ac:dyDescent="0.25">
      <c r="A1404" s="123">
        <v>1403</v>
      </c>
      <c r="B1404" s="10" t="s">
        <v>617</v>
      </c>
      <c r="C1404" s="125" t="s">
        <v>181</v>
      </c>
      <c r="D1404" t="s">
        <v>5800</v>
      </c>
      <c r="E1404" s="80" t="s">
        <v>8837</v>
      </c>
      <c r="F1404" t="s">
        <v>5515</v>
      </c>
      <c r="G1404" t="s">
        <v>7067</v>
      </c>
      <c r="H1404" t="s">
        <v>8838</v>
      </c>
      <c r="I1404" t="s">
        <v>8839</v>
      </c>
      <c r="J1404" t="s">
        <v>4908</v>
      </c>
      <c r="K1404" t="s">
        <v>8840</v>
      </c>
    </row>
    <row r="1405" spans="1:11" x14ac:dyDescent="0.25">
      <c r="A1405" s="123">
        <v>1404</v>
      </c>
      <c r="B1405" s="10" t="s">
        <v>617</v>
      </c>
      <c r="C1405" s="125" t="s">
        <v>183</v>
      </c>
      <c r="D1405" t="s">
        <v>5698</v>
      </c>
      <c r="E1405" s="80" t="s">
        <v>8841</v>
      </c>
      <c r="F1405" t="s">
        <v>8842</v>
      </c>
      <c r="G1405" t="s">
        <v>8375</v>
      </c>
      <c r="H1405" t="s">
        <v>8843</v>
      </c>
      <c r="I1405" s="80" t="s">
        <v>8844</v>
      </c>
      <c r="J1405" t="s">
        <v>5354</v>
      </c>
      <c r="K1405" t="s">
        <v>8845</v>
      </c>
    </row>
    <row r="1406" spans="1:11" x14ac:dyDescent="0.25">
      <c r="A1406" s="123">
        <v>1405</v>
      </c>
      <c r="B1406" s="10" t="s">
        <v>617</v>
      </c>
      <c r="C1406" s="125" t="s">
        <v>186</v>
      </c>
      <c r="D1406" t="s">
        <v>5705</v>
      </c>
      <c r="E1406" s="80" t="s">
        <v>8846</v>
      </c>
      <c r="F1406" t="s">
        <v>8847</v>
      </c>
      <c r="G1406" t="s">
        <v>7115</v>
      </c>
      <c r="H1406" s="80" t="s">
        <v>8848</v>
      </c>
      <c r="I1406" s="80" t="s">
        <v>8849</v>
      </c>
      <c r="J1406" t="s">
        <v>6132</v>
      </c>
      <c r="K1406" t="s">
        <v>8850</v>
      </c>
    </row>
    <row r="1407" spans="1:11" x14ac:dyDescent="0.25">
      <c r="A1407" s="123">
        <v>1406</v>
      </c>
      <c r="B1407" s="10" t="s">
        <v>617</v>
      </c>
      <c r="C1407" s="125" t="s">
        <v>188</v>
      </c>
      <c r="D1407" t="s">
        <v>5779</v>
      </c>
      <c r="E1407" s="80" t="s">
        <v>8851</v>
      </c>
      <c r="F1407" t="s">
        <v>8852</v>
      </c>
      <c r="G1407" t="s">
        <v>7348</v>
      </c>
      <c r="H1407" t="s">
        <v>8853</v>
      </c>
      <c r="I1407" s="80" t="s">
        <v>8854</v>
      </c>
      <c r="J1407" t="s">
        <v>6091</v>
      </c>
      <c r="K1407" t="s">
        <v>8855</v>
      </c>
    </row>
    <row r="1408" spans="1:11" x14ac:dyDescent="0.25">
      <c r="A1408" s="123">
        <v>1407</v>
      </c>
      <c r="B1408" s="10" t="s">
        <v>617</v>
      </c>
      <c r="C1408" s="125" t="s">
        <v>182</v>
      </c>
      <c r="D1408" t="s">
        <v>8506</v>
      </c>
      <c r="E1408" t="s">
        <v>8856</v>
      </c>
      <c r="F1408" t="s">
        <v>8857</v>
      </c>
      <c r="G1408" t="s">
        <v>7395</v>
      </c>
      <c r="H1408" t="s">
        <v>8858</v>
      </c>
      <c r="I1408" s="80" t="s">
        <v>8859</v>
      </c>
      <c r="J1408" t="s">
        <v>5538</v>
      </c>
      <c r="K1408" t="s">
        <v>8860</v>
      </c>
    </row>
    <row r="1409" spans="1:11" x14ac:dyDescent="0.25">
      <c r="A1409" s="123">
        <v>1408</v>
      </c>
      <c r="B1409" s="10" t="s">
        <v>617</v>
      </c>
      <c r="C1409" s="125" t="s">
        <v>184</v>
      </c>
      <c r="D1409" t="s">
        <v>5921</v>
      </c>
      <c r="E1409" t="s">
        <v>8861</v>
      </c>
      <c r="F1409" t="s">
        <v>8862</v>
      </c>
      <c r="G1409" t="s">
        <v>7395</v>
      </c>
      <c r="H1409" t="s">
        <v>8863</v>
      </c>
      <c r="I1409" s="80" t="s">
        <v>8864</v>
      </c>
      <c r="J1409" t="s">
        <v>5936</v>
      </c>
      <c r="K1409" t="s">
        <v>8865</v>
      </c>
    </row>
    <row r="1410" spans="1:11" x14ac:dyDescent="0.25">
      <c r="A1410" s="123">
        <v>1409</v>
      </c>
      <c r="B1410" s="10" t="s">
        <v>617</v>
      </c>
      <c r="C1410" s="125" t="s">
        <v>187</v>
      </c>
      <c r="D1410" t="s">
        <v>8866</v>
      </c>
      <c r="E1410" t="s">
        <v>5596</v>
      </c>
      <c r="F1410" t="s">
        <v>8867</v>
      </c>
      <c r="G1410" t="s">
        <v>7145</v>
      </c>
      <c r="H1410" s="80" t="s">
        <v>8868</v>
      </c>
      <c r="I1410" s="80" t="s">
        <v>8869</v>
      </c>
      <c r="J1410" t="s">
        <v>5299</v>
      </c>
      <c r="K1410" t="s">
        <v>8870</v>
      </c>
    </row>
    <row r="1411" spans="1:11" x14ac:dyDescent="0.25">
      <c r="A1411" s="123">
        <v>1410</v>
      </c>
      <c r="B1411" s="10" t="s">
        <v>617</v>
      </c>
      <c r="C1411" s="125" t="s">
        <v>189</v>
      </c>
      <c r="D1411" t="s">
        <v>8871</v>
      </c>
      <c r="E1411" t="s">
        <v>8872</v>
      </c>
      <c r="F1411" t="s">
        <v>8873</v>
      </c>
      <c r="G1411" t="s">
        <v>3768</v>
      </c>
      <c r="H1411" t="s">
        <v>8874</v>
      </c>
      <c r="I1411" s="80" t="s">
        <v>8875</v>
      </c>
      <c r="J1411" t="s">
        <v>5777</v>
      </c>
      <c r="K1411" t="s">
        <v>8876</v>
      </c>
    </row>
    <row r="1412" spans="1:11" x14ac:dyDescent="0.25">
      <c r="A1412" s="123">
        <v>1411</v>
      </c>
      <c r="B1412" s="10" t="s">
        <v>618</v>
      </c>
      <c r="C1412" s="122" t="s">
        <v>162</v>
      </c>
      <c r="D1412" t="s">
        <v>5539</v>
      </c>
      <c r="E1412" t="s">
        <v>8877</v>
      </c>
      <c r="F1412" t="s">
        <v>5604</v>
      </c>
      <c r="G1412" t="s">
        <v>7331</v>
      </c>
      <c r="H1412" t="s">
        <v>2548</v>
      </c>
      <c r="I1412" t="s">
        <v>8878</v>
      </c>
      <c r="J1412" t="s">
        <v>6060</v>
      </c>
      <c r="K1412" t="s">
        <v>6741</v>
      </c>
    </row>
    <row r="1413" spans="1:11" x14ac:dyDescent="0.25">
      <c r="A1413" s="123">
        <v>1412</v>
      </c>
      <c r="B1413" s="10" t="s">
        <v>618</v>
      </c>
      <c r="C1413" s="122" t="s">
        <v>170</v>
      </c>
      <c r="D1413" t="s">
        <v>8879</v>
      </c>
      <c r="E1413" s="80" t="s">
        <v>8880</v>
      </c>
      <c r="F1413" t="s">
        <v>8881</v>
      </c>
      <c r="G1413" t="s">
        <v>7136</v>
      </c>
      <c r="H1413" t="s">
        <v>8882</v>
      </c>
      <c r="I1413" s="80" t="s">
        <v>8883</v>
      </c>
      <c r="J1413" t="s">
        <v>5645</v>
      </c>
      <c r="K1413" t="s">
        <v>8884</v>
      </c>
    </row>
    <row r="1414" spans="1:11" x14ac:dyDescent="0.25">
      <c r="A1414" s="123">
        <v>1413</v>
      </c>
      <c r="B1414" s="10" t="s">
        <v>618</v>
      </c>
      <c r="C1414" s="122" t="s">
        <v>178</v>
      </c>
      <c r="D1414" t="s">
        <v>8885</v>
      </c>
      <c r="E1414" t="s">
        <v>8886</v>
      </c>
      <c r="F1414" t="s">
        <v>8887</v>
      </c>
      <c r="G1414" t="s">
        <v>7348</v>
      </c>
      <c r="H1414" s="80" t="s">
        <v>8888</v>
      </c>
      <c r="I1414" s="80" t="s">
        <v>8889</v>
      </c>
      <c r="J1414" t="s">
        <v>5429</v>
      </c>
      <c r="K1414" t="s">
        <v>8890</v>
      </c>
    </row>
    <row r="1415" spans="1:11" x14ac:dyDescent="0.25">
      <c r="A1415" s="123">
        <v>1414</v>
      </c>
      <c r="B1415" s="10" t="s">
        <v>618</v>
      </c>
      <c r="C1415" s="122" t="s">
        <v>163</v>
      </c>
      <c r="D1415" t="s">
        <v>8891</v>
      </c>
      <c r="E1415" t="s">
        <v>8892</v>
      </c>
      <c r="F1415" t="s">
        <v>8893</v>
      </c>
      <c r="G1415" t="s">
        <v>7348</v>
      </c>
      <c r="H1415" s="80" t="s">
        <v>8894</v>
      </c>
      <c r="I1415" s="80" t="s">
        <v>8895</v>
      </c>
      <c r="J1415" t="s">
        <v>8801</v>
      </c>
      <c r="K1415" s="80" t="s">
        <v>8896</v>
      </c>
    </row>
    <row r="1416" spans="1:11" x14ac:dyDescent="0.25">
      <c r="A1416" s="123">
        <v>1415</v>
      </c>
      <c r="B1416" s="10" t="s">
        <v>618</v>
      </c>
      <c r="C1416" s="122" t="s">
        <v>181</v>
      </c>
      <c r="D1416" t="s">
        <v>6001</v>
      </c>
      <c r="E1416" s="80" t="s">
        <v>8897</v>
      </c>
      <c r="F1416" t="s">
        <v>2075</v>
      </c>
      <c r="G1416" t="s">
        <v>7204</v>
      </c>
      <c r="H1416" t="s">
        <v>8898</v>
      </c>
      <c r="I1416" t="s">
        <v>8899</v>
      </c>
      <c r="J1416" t="s">
        <v>6000</v>
      </c>
      <c r="K1416" t="s">
        <v>8900</v>
      </c>
    </row>
    <row r="1417" spans="1:11" x14ac:dyDescent="0.25">
      <c r="A1417" s="123">
        <v>1416</v>
      </c>
      <c r="B1417" s="10" t="s">
        <v>618</v>
      </c>
      <c r="C1417" s="122" t="s">
        <v>183</v>
      </c>
      <c r="D1417" t="s">
        <v>5786</v>
      </c>
      <c r="E1417" s="80" t="s">
        <v>8901</v>
      </c>
      <c r="F1417">
        <v>2145</v>
      </c>
      <c r="G1417" t="s">
        <v>7449</v>
      </c>
      <c r="H1417" s="80" t="s">
        <v>8902</v>
      </c>
      <c r="I1417" s="80" t="s">
        <v>8903</v>
      </c>
      <c r="J1417" t="s">
        <v>7300</v>
      </c>
      <c r="K1417" s="80" t="s">
        <v>8904</v>
      </c>
    </row>
    <row r="1418" spans="1:11" x14ac:dyDescent="0.25">
      <c r="A1418" s="123">
        <v>1417</v>
      </c>
      <c r="B1418" s="10" t="s">
        <v>618</v>
      </c>
      <c r="C1418" s="122" t="s">
        <v>186</v>
      </c>
      <c r="D1418" t="s">
        <v>8720</v>
      </c>
      <c r="E1418" s="80" t="s">
        <v>8905</v>
      </c>
      <c r="F1418" s="111" t="s">
        <v>8906</v>
      </c>
      <c r="G1418" t="s">
        <v>8723</v>
      </c>
      <c r="H1418" s="80" t="s">
        <v>8907</v>
      </c>
      <c r="I1418" s="80" t="s">
        <v>8908</v>
      </c>
      <c r="J1418" t="s">
        <v>8909</v>
      </c>
      <c r="K1418" s="80" t="s">
        <v>8910</v>
      </c>
    </row>
    <row r="1419" spans="1:11" x14ac:dyDescent="0.25">
      <c r="A1419" s="123">
        <v>1418</v>
      </c>
      <c r="B1419" s="10" t="s">
        <v>618</v>
      </c>
      <c r="C1419" s="125" t="s">
        <v>188</v>
      </c>
      <c r="D1419" t="s">
        <v>5786</v>
      </c>
      <c r="E1419" s="80" t="s">
        <v>8911</v>
      </c>
      <c r="F1419" t="s">
        <v>8912</v>
      </c>
      <c r="G1419" t="s">
        <v>8448</v>
      </c>
      <c r="H1419" s="80" t="s">
        <v>8913</v>
      </c>
      <c r="I1419" s="80" t="s">
        <v>8914</v>
      </c>
      <c r="J1419" t="s">
        <v>8801</v>
      </c>
      <c r="K1419" s="80" t="s">
        <v>8915</v>
      </c>
    </row>
    <row r="1420" spans="1:11" x14ac:dyDescent="0.25">
      <c r="A1420" s="123">
        <v>1419</v>
      </c>
      <c r="B1420" s="10" t="s">
        <v>618</v>
      </c>
      <c r="C1420" s="125" t="s">
        <v>182</v>
      </c>
      <c r="D1420" t="s">
        <v>583</v>
      </c>
      <c r="E1420" t="s">
        <v>8916</v>
      </c>
      <c r="F1420" s="80" t="s">
        <v>6740</v>
      </c>
      <c r="G1420" t="s">
        <v>583</v>
      </c>
      <c r="H1420" t="s">
        <v>2548</v>
      </c>
      <c r="I1420" t="s">
        <v>8917</v>
      </c>
      <c r="J1420" t="s">
        <v>5798</v>
      </c>
      <c r="K1420" t="s">
        <v>6645</v>
      </c>
    </row>
    <row r="1421" spans="1:11" x14ac:dyDescent="0.25">
      <c r="A1421" s="123">
        <v>1420</v>
      </c>
      <c r="B1421" s="10" t="s">
        <v>618</v>
      </c>
      <c r="C1421" s="125" t="s">
        <v>184</v>
      </c>
      <c r="D1421" t="s">
        <v>8918</v>
      </c>
      <c r="E1421" t="s">
        <v>8919</v>
      </c>
      <c r="F1421" t="s">
        <v>8920</v>
      </c>
      <c r="G1421" s="80" t="s">
        <v>3289</v>
      </c>
      <c r="H1421" t="s">
        <v>8921</v>
      </c>
      <c r="I1421" s="80" t="s">
        <v>8922</v>
      </c>
      <c r="J1421" t="s">
        <v>5826</v>
      </c>
      <c r="K1421" t="s">
        <v>8923</v>
      </c>
    </row>
    <row r="1422" spans="1:11" x14ac:dyDescent="0.25">
      <c r="A1422" s="123">
        <v>1421</v>
      </c>
      <c r="B1422" s="10" t="s">
        <v>618</v>
      </c>
      <c r="C1422" s="125" t="s">
        <v>187</v>
      </c>
      <c r="D1422" t="s">
        <v>8924</v>
      </c>
      <c r="E1422" t="s">
        <v>8925</v>
      </c>
      <c r="F1422" t="s">
        <v>8926</v>
      </c>
      <c r="G1422" t="s">
        <v>7331</v>
      </c>
      <c r="H1422" s="80" t="s">
        <v>8927</v>
      </c>
      <c r="I1422" s="80" t="s">
        <v>8928</v>
      </c>
      <c r="J1422" t="s">
        <v>6091</v>
      </c>
      <c r="K1422" s="80" t="s">
        <v>8929</v>
      </c>
    </row>
    <row r="1423" spans="1:11" x14ac:dyDescent="0.25">
      <c r="A1423" s="123">
        <v>1422</v>
      </c>
      <c r="B1423" s="10" t="s">
        <v>618</v>
      </c>
      <c r="C1423" s="125" t="s">
        <v>189</v>
      </c>
      <c r="D1423" t="s">
        <v>8930</v>
      </c>
      <c r="E1423" t="s">
        <v>8931</v>
      </c>
      <c r="F1423" t="s">
        <v>7010</v>
      </c>
      <c r="G1423" s="80" t="s">
        <v>7376</v>
      </c>
      <c r="H1423" t="s">
        <v>8932</v>
      </c>
      <c r="I1423" s="80" t="s">
        <v>8933</v>
      </c>
      <c r="J1423" t="s">
        <v>6314</v>
      </c>
      <c r="K1423" t="s">
        <v>8934</v>
      </c>
    </row>
    <row r="1424" spans="1:11" x14ac:dyDescent="0.25">
      <c r="A1424" s="123">
        <v>1423</v>
      </c>
      <c r="B1424" s="10" t="s">
        <v>619</v>
      </c>
      <c r="C1424" s="122" t="s">
        <v>162</v>
      </c>
      <c r="D1424" t="s">
        <v>5800</v>
      </c>
      <c r="E1424" s="80" t="s">
        <v>8935</v>
      </c>
      <c r="F1424" t="s">
        <v>5515</v>
      </c>
      <c r="G1424" t="s">
        <v>3768</v>
      </c>
      <c r="H1424" t="s">
        <v>5885</v>
      </c>
      <c r="I1424" t="s">
        <v>8936</v>
      </c>
      <c r="J1424" t="s">
        <v>5993</v>
      </c>
      <c r="K1424" t="s">
        <v>7871</v>
      </c>
    </row>
    <row r="1425" spans="1:11" x14ac:dyDescent="0.25">
      <c r="A1425" s="123">
        <v>1424</v>
      </c>
      <c r="B1425" s="10" t="s">
        <v>619</v>
      </c>
      <c r="C1425" s="122" t="s">
        <v>170</v>
      </c>
      <c r="D1425" t="s">
        <v>6045</v>
      </c>
      <c r="E1425" s="80" t="s">
        <v>8937</v>
      </c>
      <c r="F1425" t="s">
        <v>8938</v>
      </c>
      <c r="G1425" t="s">
        <v>3768</v>
      </c>
      <c r="H1425" t="s">
        <v>8939</v>
      </c>
      <c r="I1425" s="80" t="s">
        <v>8940</v>
      </c>
      <c r="J1425" t="s">
        <v>5936</v>
      </c>
      <c r="K1425" t="s">
        <v>8941</v>
      </c>
    </row>
    <row r="1426" spans="1:11" x14ac:dyDescent="0.25">
      <c r="A1426" s="123">
        <v>1425</v>
      </c>
      <c r="B1426" s="10" t="s">
        <v>619</v>
      </c>
      <c r="C1426" s="122" t="s">
        <v>178</v>
      </c>
      <c r="D1426" t="s">
        <v>5995</v>
      </c>
      <c r="E1426" s="80" t="s">
        <v>8942</v>
      </c>
      <c r="F1426" t="s">
        <v>8943</v>
      </c>
      <c r="G1426" t="s">
        <v>7204</v>
      </c>
      <c r="H1426" t="s">
        <v>5067</v>
      </c>
      <c r="I1426" s="80" t="s">
        <v>8944</v>
      </c>
      <c r="J1426" t="s">
        <v>5385</v>
      </c>
      <c r="K1426" t="s">
        <v>8945</v>
      </c>
    </row>
    <row r="1427" spans="1:11" x14ac:dyDescent="0.25">
      <c r="A1427" s="123">
        <v>1426</v>
      </c>
      <c r="B1427" s="10" t="s">
        <v>619</v>
      </c>
      <c r="C1427" s="122" t="s">
        <v>163</v>
      </c>
      <c r="D1427" t="s">
        <v>8946</v>
      </c>
      <c r="E1427" s="80" t="s">
        <v>8947</v>
      </c>
      <c r="F1427" t="s">
        <v>8948</v>
      </c>
      <c r="G1427" t="s">
        <v>7348</v>
      </c>
      <c r="H1427" t="s">
        <v>8949</v>
      </c>
      <c r="I1427" s="80">
        <v>7822</v>
      </c>
      <c r="J1427" t="s">
        <v>5510</v>
      </c>
      <c r="K1427" t="s">
        <v>8950</v>
      </c>
    </row>
    <row r="1428" spans="1:11" x14ac:dyDescent="0.25">
      <c r="A1428" s="123">
        <v>1427</v>
      </c>
      <c r="B1428" s="10" t="s">
        <v>619</v>
      </c>
      <c r="C1428" s="122" t="s">
        <v>181</v>
      </c>
      <c r="D1428" t="s">
        <v>6001</v>
      </c>
      <c r="E1428" s="80" t="s">
        <v>8951</v>
      </c>
      <c r="F1428" t="s">
        <v>8952</v>
      </c>
      <c r="G1428" t="s">
        <v>7067</v>
      </c>
      <c r="H1428" t="s">
        <v>8953</v>
      </c>
      <c r="I1428" t="s">
        <v>8954</v>
      </c>
      <c r="J1428" t="s">
        <v>5752</v>
      </c>
      <c r="K1428" t="s">
        <v>8955</v>
      </c>
    </row>
    <row r="1429" spans="1:11" x14ac:dyDescent="0.25">
      <c r="A1429" s="123">
        <v>1428</v>
      </c>
      <c r="B1429" s="10" t="s">
        <v>619</v>
      </c>
      <c r="C1429" s="122" t="s">
        <v>183</v>
      </c>
      <c r="D1429" t="s">
        <v>5840</v>
      </c>
      <c r="E1429" s="80" t="s">
        <v>8956</v>
      </c>
      <c r="F1429" t="s">
        <v>7500</v>
      </c>
      <c r="G1429" t="s">
        <v>7158</v>
      </c>
      <c r="H1429" t="s">
        <v>8957</v>
      </c>
      <c r="I1429" s="80" t="s">
        <v>8958</v>
      </c>
      <c r="J1429" t="s">
        <v>5692</v>
      </c>
      <c r="K1429" t="s">
        <v>8959</v>
      </c>
    </row>
    <row r="1430" spans="1:11" x14ac:dyDescent="0.25">
      <c r="A1430" s="123">
        <v>1429</v>
      </c>
      <c r="B1430" s="10" t="s">
        <v>619</v>
      </c>
      <c r="C1430" s="122" t="s">
        <v>186</v>
      </c>
      <c r="D1430" t="s">
        <v>5698</v>
      </c>
      <c r="E1430" s="80" t="s">
        <v>8960</v>
      </c>
      <c r="F1430" t="s">
        <v>8961</v>
      </c>
      <c r="G1430" t="s">
        <v>7168</v>
      </c>
      <c r="H1430" s="80" t="s">
        <v>8962</v>
      </c>
      <c r="I1430" s="80" t="s">
        <v>8963</v>
      </c>
      <c r="J1430" t="s">
        <v>5692</v>
      </c>
      <c r="K1430" s="80" t="s">
        <v>8964</v>
      </c>
    </row>
    <row r="1431" spans="1:11" x14ac:dyDescent="0.25">
      <c r="A1431" s="123">
        <v>1430</v>
      </c>
      <c r="B1431" s="10" t="s">
        <v>619</v>
      </c>
      <c r="C1431" s="122" t="s">
        <v>188</v>
      </c>
      <c r="D1431" t="s">
        <v>8574</v>
      </c>
      <c r="E1431" s="80" t="s">
        <v>8965</v>
      </c>
      <c r="F1431" t="s">
        <v>8966</v>
      </c>
      <c r="G1431" t="s">
        <v>8375</v>
      </c>
      <c r="H1431" t="s">
        <v>8967</v>
      </c>
      <c r="I1431" s="80" t="s">
        <v>8968</v>
      </c>
      <c r="J1431" t="s">
        <v>8969</v>
      </c>
      <c r="K1431" s="80" t="s">
        <v>8970</v>
      </c>
    </row>
    <row r="1432" spans="1:11" x14ac:dyDescent="0.25">
      <c r="A1432" s="123">
        <v>1431</v>
      </c>
      <c r="B1432" s="10" t="s">
        <v>619</v>
      </c>
      <c r="C1432" s="122" t="s">
        <v>182</v>
      </c>
      <c r="D1432" t="s">
        <v>583</v>
      </c>
      <c r="E1432" t="s">
        <v>8971</v>
      </c>
      <c r="F1432" t="s">
        <v>7184</v>
      </c>
      <c r="G1432" s="80" t="s">
        <v>7376</v>
      </c>
      <c r="H1432" s="80" t="s">
        <v>5282</v>
      </c>
      <c r="I1432" s="80" t="s">
        <v>3071</v>
      </c>
      <c r="J1432" t="s">
        <v>6015</v>
      </c>
      <c r="K1432" s="80" t="s">
        <v>2380</v>
      </c>
    </row>
    <row r="1433" spans="1:11" x14ac:dyDescent="0.25">
      <c r="A1433" s="123">
        <v>1432</v>
      </c>
      <c r="B1433" s="10" t="s">
        <v>619</v>
      </c>
      <c r="C1433" s="122" t="s">
        <v>184</v>
      </c>
      <c r="D1433" t="s">
        <v>8635</v>
      </c>
      <c r="E1433" t="s">
        <v>8972</v>
      </c>
      <c r="F1433" t="s">
        <v>8973</v>
      </c>
      <c r="G1433" t="s">
        <v>7067</v>
      </c>
      <c r="H1433" t="s">
        <v>8974</v>
      </c>
      <c r="I1433" s="80" t="s">
        <v>8975</v>
      </c>
      <c r="J1433" t="s">
        <v>5752</v>
      </c>
      <c r="K1433" t="s">
        <v>8976</v>
      </c>
    </row>
    <row r="1434" spans="1:11" x14ac:dyDescent="0.25">
      <c r="A1434" s="123">
        <v>1433</v>
      </c>
      <c r="B1434" s="10" t="s">
        <v>619</v>
      </c>
      <c r="C1434" s="122" t="s">
        <v>187</v>
      </c>
      <c r="D1434" t="s">
        <v>5878</v>
      </c>
      <c r="E1434" t="s">
        <v>8977</v>
      </c>
      <c r="F1434" t="s">
        <v>8978</v>
      </c>
      <c r="G1434" t="s">
        <v>3768</v>
      </c>
      <c r="H1434" t="s">
        <v>8517</v>
      </c>
      <c r="I1434" s="80" t="s">
        <v>8979</v>
      </c>
      <c r="J1434" t="s">
        <v>6118</v>
      </c>
      <c r="K1434" t="s">
        <v>8980</v>
      </c>
    </row>
    <row r="1435" spans="1:11" x14ac:dyDescent="0.25">
      <c r="A1435" s="123">
        <v>1434</v>
      </c>
      <c r="B1435" s="10" t="s">
        <v>619</v>
      </c>
      <c r="C1435" s="122" t="s">
        <v>189</v>
      </c>
      <c r="D1435" t="s">
        <v>5800</v>
      </c>
      <c r="E1435" t="s">
        <v>8981</v>
      </c>
      <c r="F1435" t="s">
        <v>7633</v>
      </c>
      <c r="G1435" t="s">
        <v>7145</v>
      </c>
      <c r="H1435" t="s">
        <v>8982</v>
      </c>
      <c r="I1435" s="80" t="s">
        <v>8983</v>
      </c>
      <c r="J1435" t="s">
        <v>5481</v>
      </c>
      <c r="K1435" t="s">
        <v>8984</v>
      </c>
    </row>
    <row r="1436" spans="1:11" x14ac:dyDescent="0.25">
      <c r="A1436" s="123">
        <v>1435</v>
      </c>
      <c r="B1436" s="10" t="s">
        <v>620</v>
      </c>
      <c r="C1436" s="125" t="s">
        <v>162</v>
      </c>
      <c r="D1436" t="s">
        <v>8985</v>
      </c>
      <c r="E1436" s="80" t="s">
        <v>8816</v>
      </c>
      <c r="F1436" t="s">
        <v>7470</v>
      </c>
      <c r="G1436" t="s">
        <v>7341</v>
      </c>
      <c r="H1436" t="s">
        <v>5284</v>
      </c>
      <c r="I1436" t="s">
        <v>8986</v>
      </c>
      <c r="J1436" t="s">
        <v>5826</v>
      </c>
      <c r="K1436" t="s">
        <v>7378</v>
      </c>
    </row>
    <row r="1437" spans="1:11" x14ac:dyDescent="0.25">
      <c r="A1437" s="123">
        <v>1436</v>
      </c>
      <c r="B1437" s="10" t="s">
        <v>620</v>
      </c>
      <c r="C1437" s="125" t="s">
        <v>170</v>
      </c>
      <c r="D1437" t="s">
        <v>5673</v>
      </c>
      <c r="E1437" s="80" t="s">
        <v>8987</v>
      </c>
      <c r="F1437" t="s">
        <v>8988</v>
      </c>
      <c r="G1437" t="s">
        <v>7348</v>
      </c>
      <c r="H1437" t="s">
        <v>8989</v>
      </c>
      <c r="I1437" s="80" t="s">
        <v>8990</v>
      </c>
      <c r="J1437" t="s">
        <v>4908</v>
      </c>
      <c r="K1437" t="s">
        <v>8991</v>
      </c>
    </row>
    <row r="1438" spans="1:11" x14ac:dyDescent="0.25">
      <c r="A1438" s="123">
        <v>1437</v>
      </c>
      <c r="B1438" s="10" t="s">
        <v>620</v>
      </c>
      <c r="C1438" s="125" t="s">
        <v>178</v>
      </c>
      <c r="D1438" t="s">
        <v>5957</v>
      </c>
      <c r="E1438" s="80">
        <v>35338</v>
      </c>
      <c r="F1438" t="s">
        <v>8992</v>
      </c>
      <c r="G1438" t="s">
        <v>7286</v>
      </c>
      <c r="H1438" t="s">
        <v>8993</v>
      </c>
      <c r="I1438" s="80" t="s">
        <v>8994</v>
      </c>
      <c r="J1438" t="s">
        <v>5385</v>
      </c>
      <c r="K1438" t="s">
        <v>8995</v>
      </c>
    </row>
    <row r="1439" spans="1:11" x14ac:dyDescent="0.25">
      <c r="A1439" s="123">
        <v>1438</v>
      </c>
      <c r="B1439" s="10" t="s">
        <v>620</v>
      </c>
      <c r="C1439" s="125" t="s">
        <v>163</v>
      </c>
      <c r="D1439" t="s">
        <v>8996</v>
      </c>
      <c r="E1439" s="80" t="s">
        <v>8997</v>
      </c>
      <c r="F1439" t="s">
        <v>8998</v>
      </c>
      <c r="G1439" t="s">
        <v>7280</v>
      </c>
      <c r="H1439" s="80" t="s">
        <v>8999</v>
      </c>
      <c r="I1439" s="80" t="s">
        <v>9000</v>
      </c>
      <c r="J1439" t="s">
        <v>6767</v>
      </c>
      <c r="K1439" s="80" t="s">
        <v>9001</v>
      </c>
    </row>
    <row r="1440" spans="1:11" x14ac:dyDescent="0.25">
      <c r="A1440" s="123">
        <v>1439</v>
      </c>
      <c r="B1440" s="10" t="s">
        <v>620</v>
      </c>
      <c r="C1440" s="125" t="s">
        <v>181</v>
      </c>
      <c r="D1440" t="s">
        <v>5995</v>
      </c>
      <c r="E1440" s="80" t="s">
        <v>9002</v>
      </c>
      <c r="F1440" t="s">
        <v>5930</v>
      </c>
      <c r="G1440" t="s">
        <v>7145</v>
      </c>
      <c r="H1440" t="s">
        <v>6588</v>
      </c>
      <c r="I1440" t="s">
        <v>9003</v>
      </c>
      <c r="J1440" t="s">
        <v>5826</v>
      </c>
      <c r="K1440" t="s">
        <v>3167</v>
      </c>
    </row>
    <row r="1441" spans="1:11" x14ac:dyDescent="0.25">
      <c r="A1441" s="123">
        <v>1440</v>
      </c>
      <c r="B1441" s="10" t="s">
        <v>620</v>
      </c>
      <c r="C1441" s="125" t="s">
        <v>183</v>
      </c>
      <c r="D1441" t="s">
        <v>5878</v>
      </c>
      <c r="E1441" s="80" t="s">
        <v>9004</v>
      </c>
      <c r="F1441" t="s">
        <v>9005</v>
      </c>
      <c r="G1441" t="s">
        <v>8375</v>
      </c>
      <c r="H1441" t="s">
        <v>9006</v>
      </c>
      <c r="I1441" s="80" t="s">
        <v>9007</v>
      </c>
      <c r="J1441" t="s">
        <v>5777</v>
      </c>
      <c r="K1441" t="s">
        <v>9008</v>
      </c>
    </row>
    <row r="1442" spans="1:11" x14ac:dyDescent="0.25">
      <c r="A1442" s="123">
        <v>1441</v>
      </c>
      <c r="B1442" s="10" t="s">
        <v>620</v>
      </c>
      <c r="C1442" s="125" t="s">
        <v>186</v>
      </c>
      <c r="D1442" t="s">
        <v>5772</v>
      </c>
      <c r="E1442" s="80" t="s">
        <v>9009</v>
      </c>
      <c r="F1442" t="s">
        <v>9010</v>
      </c>
      <c r="G1442" t="s">
        <v>9011</v>
      </c>
      <c r="H1442" s="80" t="s">
        <v>9012</v>
      </c>
      <c r="I1442" s="80" t="s">
        <v>9013</v>
      </c>
      <c r="J1442" t="s">
        <v>5718</v>
      </c>
      <c r="K1442" t="s">
        <v>9014</v>
      </c>
    </row>
    <row r="1443" spans="1:11" x14ac:dyDescent="0.25">
      <c r="A1443" s="123">
        <v>1442</v>
      </c>
      <c r="B1443" s="10" t="s">
        <v>620</v>
      </c>
      <c r="C1443" s="125" t="s">
        <v>188</v>
      </c>
      <c r="D1443" t="s">
        <v>5952</v>
      </c>
      <c r="E1443" s="80" t="s">
        <v>9015</v>
      </c>
      <c r="F1443" t="s">
        <v>9016</v>
      </c>
      <c r="G1443" t="s">
        <v>7214</v>
      </c>
      <c r="H1443" t="s">
        <v>9017</v>
      </c>
      <c r="I1443" s="80" t="s">
        <v>9018</v>
      </c>
      <c r="J1443" t="s">
        <v>5736</v>
      </c>
      <c r="K1443" t="s">
        <v>9019</v>
      </c>
    </row>
    <row r="1444" spans="1:11" x14ac:dyDescent="0.25">
      <c r="A1444" s="123">
        <v>1443</v>
      </c>
      <c r="B1444" s="10" t="s">
        <v>620</v>
      </c>
      <c r="C1444" s="125" t="s">
        <v>182</v>
      </c>
      <c r="D1444" t="s">
        <v>583</v>
      </c>
      <c r="E1444" t="s">
        <v>9020</v>
      </c>
      <c r="F1444" s="80" t="s">
        <v>6297</v>
      </c>
      <c r="G1444" s="80" t="s">
        <v>7376</v>
      </c>
      <c r="H1444" t="s">
        <v>5153</v>
      </c>
      <c r="I1444" t="s">
        <v>4712</v>
      </c>
      <c r="J1444" t="s">
        <v>6300</v>
      </c>
      <c r="K1444" t="s">
        <v>5286</v>
      </c>
    </row>
    <row r="1445" spans="1:11" x14ac:dyDescent="0.25">
      <c r="A1445" s="123">
        <v>1444</v>
      </c>
      <c r="B1445" s="10" t="s">
        <v>620</v>
      </c>
      <c r="C1445" s="125" t="s">
        <v>184</v>
      </c>
      <c r="D1445" t="s">
        <v>6017</v>
      </c>
      <c r="E1445" t="s">
        <v>9021</v>
      </c>
      <c r="F1445" t="s">
        <v>9022</v>
      </c>
      <c r="G1445" t="s">
        <v>7120</v>
      </c>
      <c r="H1445" t="s">
        <v>9023</v>
      </c>
      <c r="I1445" s="80" t="s">
        <v>9024</v>
      </c>
      <c r="J1445" t="s">
        <v>5672</v>
      </c>
      <c r="K1445" t="s">
        <v>9025</v>
      </c>
    </row>
    <row r="1446" spans="1:11" x14ac:dyDescent="0.25">
      <c r="A1446" s="123">
        <v>1445</v>
      </c>
      <c r="B1446" s="10" t="s">
        <v>620</v>
      </c>
      <c r="C1446" s="125" t="s">
        <v>187</v>
      </c>
      <c r="D1446" t="s">
        <v>8946</v>
      </c>
      <c r="E1446" t="s">
        <v>9026</v>
      </c>
      <c r="F1446" t="s">
        <v>9027</v>
      </c>
      <c r="G1446" t="s">
        <v>7194</v>
      </c>
      <c r="H1446" t="s">
        <v>9028</v>
      </c>
      <c r="I1446" s="80" t="s">
        <v>9029</v>
      </c>
      <c r="J1446" t="s">
        <v>5385</v>
      </c>
      <c r="K1446" t="s">
        <v>9030</v>
      </c>
    </row>
    <row r="1447" spans="1:11" x14ac:dyDescent="0.25">
      <c r="A1447" s="123">
        <v>1446</v>
      </c>
      <c r="B1447" s="10" t="s">
        <v>620</v>
      </c>
      <c r="C1447" s="125" t="s">
        <v>189</v>
      </c>
      <c r="D1447" t="s">
        <v>9031</v>
      </c>
      <c r="E1447" t="s">
        <v>9032</v>
      </c>
      <c r="F1447" t="s">
        <v>6904</v>
      </c>
      <c r="G1447" t="s">
        <v>3768</v>
      </c>
      <c r="H1447" t="s">
        <v>9033</v>
      </c>
      <c r="I1447" s="80" t="s">
        <v>9034</v>
      </c>
      <c r="J1447" t="s">
        <v>5826</v>
      </c>
      <c r="K1447" t="s">
        <v>9035</v>
      </c>
    </row>
    <row r="1448" spans="1:11" x14ac:dyDescent="0.25">
      <c r="A1448" s="123">
        <v>1447</v>
      </c>
      <c r="B1448" s="10">
        <v>1060</v>
      </c>
      <c r="C1448" s="125" t="s">
        <v>162</v>
      </c>
      <c r="D1448" t="s">
        <v>5667</v>
      </c>
      <c r="E1448" s="80" t="s">
        <v>9036</v>
      </c>
      <c r="F1448" t="s">
        <v>2075</v>
      </c>
      <c r="G1448" t="s">
        <v>7395</v>
      </c>
      <c r="H1448" t="s">
        <v>9037</v>
      </c>
      <c r="I1448" t="s">
        <v>9038</v>
      </c>
      <c r="J1448" t="s">
        <v>5936</v>
      </c>
      <c r="K1448" t="s">
        <v>7566</v>
      </c>
    </row>
    <row r="1449" spans="1:11" x14ac:dyDescent="0.25">
      <c r="A1449" s="123">
        <v>1448</v>
      </c>
      <c r="B1449" s="10">
        <v>1060</v>
      </c>
      <c r="C1449" s="125" t="s">
        <v>170</v>
      </c>
      <c r="D1449" t="s">
        <v>5952</v>
      </c>
      <c r="E1449" s="80" t="s">
        <v>9039</v>
      </c>
      <c r="F1449" t="s">
        <v>9040</v>
      </c>
      <c r="G1449" t="s">
        <v>7204</v>
      </c>
      <c r="H1449" t="s">
        <v>9041</v>
      </c>
      <c r="I1449" s="80" t="s">
        <v>9042</v>
      </c>
      <c r="J1449" t="s">
        <v>5876</v>
      </c>
      <c r="K1449">
        <v>866</v>
      </c>
    </row>
    <row r="1450" spans="1:11" x14ac:dyDescent="0.25">
      <c r="A1450" s="123">
        <v>1449</v>
      </c>
      <c r="B1450" s="10">
        <v>1060</v>
      </c>
      <c r="C1450" s="125" t="s">
        <v>178</v>
      </c>
      <c r="D1450" t="s">
        <v>5673</v>
      </c>
      <c r="E1450" s="80" t="s">
        <v>9043</v>
      </c>
      <c r="F1450" t="s">
        <v>9044</v>
      </c>
      <c r="G1450" t="s">
        <v>7136</v>
      </c>
      <c r="H1450" t="s">
        <v>9045</v>
      </c>
      <c r="I1450" s="80" t="s">
        <v>9046</v>
      </c>
      <c r="J1450" t="s">
        <v>5405</v>
      </c>
      <c r="K1450" t="s">
        <v>9047</v>
      </c>
    </row>
    <row r="1451" spans="1:11" x14ac:dyDescent="0.25">
      <c r="A1451" s="123">
        <v>1450</v>
      </c>
      <c r="B1451" s="10">
        <v>1060</v>
      </c>
      <c r="C1451" s="125" t="s">
        <v>163</v>
      </c>
      <c r="D1451" t="s">
        <v>5772</v>
      </c>
      <c r="E1451" s="80" t="s">
        <v>9048</v>
      </c>
      <c r="F1451" t="s">
        <v>9049</v>
      </c>
      <c r="G1451" t="s">
        <v>7168</v>
      </c>
      <c r="H1451" t="s">
        <v>9050</v>
      </c>
      <c r="I1451" s="80" t="s">
        <v>9051</v>
      </c>
      <c r="J1451" t="s">
        <v>5718</v>
      </c>
      <c r="K1451" s="80" t="s">
        <v>9052</v>
      </c>
    </row>
    <row r="1452" spans="1:11" x14ac:dyDescent="0.25">
      <c r="A1452" s="123">
        <v>1451</v>
      </c>
      <c r="B1452" s="10">
        <v>1060</v>
      </c>
      <c r="C1452" s="125" t="s">
        <v>181</v>
      </c>
      <c r="D1452" t="s">
        <v>2487</v>
      </c>
      <c r="E1452" s="80" t="s">
        <v>9053</v>
      </c>
      <c r="F1452" t="s">
        <v>2882</v>
      </c>
      <c r="G1452" t="s">
        <v>7204</v>
      </c>
      <c r="H1452" t="s">
        <v>9054</v>
      </c>
      <c r="I1452" s="80" t="s">
        <v>9055</v>
      </c>
      <c r="J1452" t="s">
        <v>6314</v>
      </c>
      <c r="K1452" t="s">
        <v>9056</v>
      </c>
    </row>
    <row r="1453" spans="1:11" x14ac:dyDescent="0.25">
      <c r="A1453" s="123">
        <v>1452</v>
      </c>
      <c r="B1453" s="10">
        <v>1060</v>
      </c>
      <c r="C1453" s="125" t="s">
        <v>183</v>
      </c>
      <c r="D1453" t="s">
        <v>5673</v>
      </c>
      <c r="E1453" s="80" t="s">
        <v>9057</v>
      </c>
      <c r="F1453" t="s">
        <v>9058</v>
      </c>
      <c r="G1453" t="s">
        <v>7179</v>
      </c>
      <c r="H1453" t="s">
        <v>9059</v>
      </c>
      <c r="I1453" s="80" t="s">
        <v>9060</v>
      </c>
      <c r="J1453" t="s">
        <v>5429</v>
      </c>
      <c r="K1453" t="s">
        <v>9061</v>
      </c>
    </row>
    <row r="1454" spans="1:11" x14ac:dyDescent="0.25">
      <c r="A1454" s="123">
        <v>1453</v>
      </c>
      <c r="B1454" s="10">
        <v>1060</v>
      </c>
      <c r="C1454" s="125" t="s">
        <v>186</v>
      </c>
      <c r="D1454" t="s">
        <v>9062</v>
      </c>
      <c r="E1454" s="80" t="s">
        <v>9063</v>
      </c>
      <c r="F1454" t="s">
        <v>9064</v>
      </c>
      <c r="G1454" t="s">
        <v>7364</v>
      </c>
      <c r="H1454" s="80" t="s">
        <v>9065</v>
      </c>
      <c r="I1454" s="80" t="s">
        <v>9066</v>
      </c>
      <c r="J1454" t="s">
        <v>9067</v>
      </c>
      <c r="K1454" t="s">
        <v>9068</v>
      </c>
    </row>
    <row r="1455" spans="1:11" x14ac:dyDescent="0.25">
      <c r="A1455" s="123">
        <v>1454</v>
      </c>
      <c r="B1455" s="10">
        <v>1060</v>
      </c>
      <c r="C1455" s="125" t="s">
        <v>188</v>
      </c>
      <c r="D1455" t="s">
        <v>5772</v>
      </c>
      <c r="E1455" s="80" t="s">
        <v>9069</v>
      </c>
      <c r="F1455" t="s">
        <v>9070</v>
      </c>
      <c r="G1455" t="s">
        <v>7348</v>
      </c>
      <c r="H1455" t="s">
        <v>9071</v>
      </c>
      <c r="I1455" s="80" t="s">
        <v>9072</v>
      </c>
      <c r="J1455" t="s">
        <v>5354</v>
      </c>
      <c r="K1455" t="s">
        <v>9073</v>
      </c>
    </row>
    <row r="1456" spans="1:11" x14ac:dyDescent="0.25">
      <c r="A1456" s="123">
        <v>1455</v>
      </c>
      <c r="B1456" s="10">
        <v>1060</v>
      </c>
      <c r="C1456" s="125" t="s">
        <v>182</v>
      </c>
      <c r="D1456" t="s">
        <v>583</v>
      </c>
      <c r="E1456" t="s">
        <v>9074</v>
      </c>
      <c r="F1456" t="s">
        <v>6530</v>
      </c>
      <c r="G1456" s="80" t="s">
        <v>7376</v>
      </c>
      <c r="H1456" t="s">
        <v>583</v>
      </c>
      <c r="I1456" t="s">
        <v>9075</v>
      </c>
      <c r="J1456" t="s">
        <v>5723</v>
      </c>
      <c r="K1456" s="80" t="s">
        <v>5582</v>
      </c>
    </row>
    <row r="1457" spans="1:11" ht="15.75" thickBot="1" x14ac:dyDescent="0.3">
      <c r="A1457" s="123">
        <v>1456</v>
      </c>
      <c r="B1457" s="10">
        <v>1060</v>
      </c>
      <c r="C1457" s="125" t="s">
        <v>184</v>
      </c>
      <c r="D1457" t="s">
        <v>8474</v>
      </c>
      <c r="E1457" t="s">
        <v>9076</v>
      </c>
      <c r="F1457" t="s">
        <v>9077</v>
      </c>
      <c r="G1457" t="s">
        <v>7145</v>
      </c>
      <c r="H1457" t="s">
        <v>9078</v>
      </c>
      <c r="I1457" s="80" t="s">
        <v>9079</v>
      </c>
      <c r="J1457" t="s">
        <v>5993</v>
      </c>
      <c r="K1457" t="s">
        <v>9080</v>
      </c>
    </row>
    <row r="1458" spans="1:11" x14ac:dyDescent="0.25">
      <c r="A1458" s="123">
        <v>1457</v>
      </c>
      <c r="B1458" s="10">
        <v>1060</v>
      </c>
      <c r="C1458" s="126" t="s">
        <v>187</v>
      </c>
      <c r="D1458" t="s">
        <v>3317</v>
      </c>
      <c r="E1458" t="s">
        <v>9081</v>
      </c>
      <c r="F1458" t="s">
        <v>9082</v>
      </c>
      <c r="G1458" t="s">
        <v>7348</v>
      </c>
      <c r="H1458" t="s">
        <v>9083</v>
      </c>
      <c r="I1458" s="80" t="s">
        <v>9084</v>
      </c>
      <c r="J1458" t="s">
        <v>5876</v>
      </c>
      <c r="K1458" t="s">
        <v>9085</v>
      </c>
    </row>
    <row r="1459" spans="1:11" x14ac:dyDescent="0.25">
      <c r="A1459" s="123">
        <v>1458</v>
      </c>
      <c r="B1459" s="10">
        <v>1060</v>
      </c>
      <c r="C1459" s="125" t="s">
        <v>189</v>
      </c>
      <c r="D1459" t="s">
        <v>5667</v>
      </c>
      <c r="E1459" t="s">
        <v>9086</v>
      </c>
      <c r="F1459" t="s">
        <v>9087</v>
      </c>
      <c r="G1459" t="s">
        <v>7214</v>
      </c>
      <c r="H1459" t="s">
        <v>9088</v>
      </c>
      <c r="I1459" s="80" t="s">
        <v>9089</v>
      </c>
      <c r="J1459" t="s">
        <v>5805</v>
      </c>
      <c r="K1459" t="s">
        <v>9090</v>
      </c>
    </row>
    <row r="1460" spans="1:11" x14ac:dyDescent="0.25">
      <c r="A1460" s="123">
        <v>1459</v>
      </c>
      <c r="B1460" s="10">
        <v>1057</v>
      </c>
      <c r="C1460" s="125" t="s">
        <v>162</v>
      </c>
      <c r="D1460" t="s">
        <v>5539</v>
      </c>
      <c r="E1460" t="s">
        <v>9091</v>
      </c>
      <c r="F1460" t="s">
        <v>5518</v>
      </c>
      <c r="G1460" t="s">
        <v>7060</v>
      </c>
      <c r="H1460" t="s">
        <v>9092</v>
      </c>
      <c r="I1460" t="s">
        <v>1719</v>
      </c>
      <c r="J1460" t="s">
        <v>5250</v>
      </c>
      <c r="K1460" t="s">
        <v>7871</v>
      </c>
    </row>
    <row r="1461" spans="1:11" x14ac:dyDescent="0.25">
      <c r="A1461" s="123">
        <v>1460</v>
      </c>
      <c r="B1461" s="10">
        <v>1057</v>
      </c>
      <c r="C1461" s="125" t="s">
        <v>170</v>
      </c>
      <c r="D1461" t="s">
        <v>5878</v>
      </c>
      <c r="E1461" s="80" t="s">
        <v>9093</v>
      </c>
      <c r="F1461" t="s">
        <v>9094</v>
      </c>
      <c r="G1461" t="s">
        <v>3768</v>
      </c>
      <c r="H1461" t="s">
        <v>9095</v>
      </c>
      <c r="I1461" s="80" t="s">
        <v>9096</v>
      </c>
      <c r="J1461" t="s">
        <v>5385</v>
      </c>
      <c r="K1461" t="s">
        <v>9097</v>
      </c>
    </row>
    <row r="1462" spans="1:11" x14ac:dyDescent="0.25">
      <c r="A1462" s="123">
        <v>1461</v>
      </c>
      <c r="B1462" s="10">
        <v>1057</v>
      </c>
      <c r="C1462" s="125" t="s">
        <v>178</v>
      </c>
      <c r="D1462" t="s">
        <v>9098</v>
      </c>
      <c r="E1462" s="80" t="s">
        <v>9099</v>
      </c>
      <c r="F1462" t="s">
        <v>9100</v>
      </c>
      <c r="G1462" t="s">
        <v>7214</v>
      </c>
      <c r="H1462" t="s">
        <v>9101</v>
      </c>
      <c r="I1462" s="80" t="s">
        <v>9102</v>
      </c>
      <c r="J1462" t="s">
        <v>6118</v>
      </c>
      <c r="K1462" t="s">
        <v>9103</v>
      </c>
    </row>
    <row r="1463" spans="1:11" x14ac:dyDescent="0.25">
      <c r="A1463" s="123">
        <v>1462</v>
      </c>
      <c r="B1463" s="10">
        <v>1057</v>
      </c>
      <c r="C1463" s="125" t="s">
        <v>163</v>
      </c>
      <c r="D1463" t="s">
        <v>9104</v>
      </c>
      <c r="E1463" s="80">
        <v>35338</v>
      </c>
      <c r="F1463" t="s">
        <v>9105</v>
      </c>
      <c r="G1463" t="s">
        <v>7151</v>
      </c>
      <c r="H1463" t="s">
        <v>9106</v>
      </c>
      <c r="I1463" s="80" t="s">
        <v>9107</v>
      </c>
      <c r="J1463" t="s">
        <v>5299</v>
      </c>
      <c r="K1463" t="s">
        <v>9108</v>
      </c>
    </row>
    <row r="1464" spans="1:11" x14ac:dyDescent="0.25">
      <c r="A1464" s="123">
        <v>1463</v>
      </c>
      <c r="B1464" s="10">
        <v>1057</v>
      </c>
      <c r="C1464" s="122" t="s">
        <v>181</v>
      </c>
      <c r="D1464" t="s">
        <v>5029</v>
      </c>
      <c r="E1464" t="s">
        <v>9109</v>
      </c>
      <c r="F1464" t="s">
        <v>7470</v>
      </c>
      <c r="G1464" t="s">
        <v>7395</v>
      </c>
      <c r="H1464" t="s">
        <v>9110</v>
      </c>
      <c r="I1464" t="s">
        <v>4822</v>
      </c>
      <c r="J1464" t="s">
        <v>5880</v>
      </c>
      <c r="K1464" t="s">
        <v>6716</v>
      </c>
    </row>
    <row r="1465" spans="1:11" x14ac:dyDescent="0.25">
      <c r="A1465" s="123">
        <v>1464</v>
      </c>
      <c r="B1465" s="10">
        <v>1057</v>
      </c>
      <c r="C1465" s="122" t="s">
        <v>183</v>
      </c>
      <c r="D1465" t="s">
        <v>9111</v>
      </c>
      <c r="E1465" s="80" t="s">
        <v>6345</v>
      </c>
      <c r="F1465" t="s">
        <v>9112</v>
      </c>
      <c r="G1465" t="s">
        <v>9011</v>
      </c>
      <c r="H1465" t="s">
        <v>9113</v>
      </c>
      <c r="I1465" s="80" t="s">
        <v>9114</v>
      </c>
      <c r="J1465" t="s">
        <v>5718</v>
      </c>
      <c r="K1465" s="80" t="s">
        <v>9115</v>
      </c>
    </row>
    <row r="1466" spans="1:11" x14ac:dyDescent="0.25">
      <c r="A1466" s="123">
        <v>1465</v>
      </c>
      <c r="B1466" s="10">
        <v>1057</v>
      </c>
      <c r="C1466" s="122" t="s">
        <v>186</v>
      </c>
      <c r="D1466" t="s">
        <v>6087</v>
      </c>
      <c r="E1466" s="80" t="s">
        <v>9116</v>
      </c>
      <c r="F1466" t="s">
        <v>9117</v>
      </c>
      <c r="G1466" t="s">
        <v>7179</v>
      </c>
      <c r="H1466" t="s">
        <v>9118</v>
      </c>
      <c r="I1466" s="80" t="s">
        <v>9119</v>
      </c>
      <c r="J1466" t="s">
        <v>9067</v>
      </c>
      <c r="K1466" s="80" t="s">
        <v>9120</v>
      </c>
    </row>
    <row r="1467" spans="1:11" x14ac:dyDescent="0.25">
      <c r="A1467" s="123">
        <v>1466</v>
      </c>
      <c r="B1467" s="10">
        <v>1057</v>
      </c>
      <c r="C1467" s="122" t="s">
        <v>188</v>
      </c>
      <c r="D1467" t="s">
        <v>5800</v>
      </c>
      <c r="E1467" s="80" t="s">
        <v>9121</v>
      </c>
      <c r="F1467" t="s">
        <v>808</v>
      </c>
      <c r="G1467" t="s">
        <v>7358</v>
      </c>
      <c r="H1467" t="s">
        <v>9122</v>
      </c>
      <c r="I1467" s="80" t="s">
        <v>9123</v>
      </c>
      <c r="J1467" t="s">
        <v>5385</v>
      </c>
      <c r="K1467" t="s">
        <v>9124</v>
      </c>
    </row>
    <row r="1468" spans="1:11" x14ac:dyDescent="0.25">
      <c r="A1468" s="123">
        <v>1467</v>
      </c>
      <c r="B1468" s="10">
        <v>1057</v>
      </c>
      <c r="C1468" s="122" t="s">
        <v>182</v>
      </c>
      <c r="D1468" t="s">
        <v>583</v>
      </c>
      <c r="E1468" t="s">
        <v>9125</v>
      </c>
      <c r="F1468" t="s">
        <v>5515</v>
      </c>
      <c r="G1468" s="80" t="s">
        <v>3456</v>
      </c>
      <c r="H1468" t="s">
        <v>7121</v>
      </c>
      <c r="I1468" t="s">
        <v>9126</v>
      </c>
      <c r="J1468" t="s">
        <v>5723</v>
      </c>
      <c r="K1468" t="s">
        <v>5799</v>
      </c>
    </row>
    <row r="1469" spans="1:11" x14ac:dyDescent="0.25">
      <c r="A1469" s="123">
        <v>1468</v>
      </c>
      <c r="B1469" s="10">
        <v>1057</v>
      </c>
      <c r="C1469" s="122" t="s">
        <v>184</v>
      </c>
      <c r="D1469" t="s">
        <v>9127</v>
      </c>
      <c r="E1469" t="s">
        <v>9128</v>
      </c>
      <c r="F1469" t="s">
        <v>9129</v>
      </c>
      <c r="G1469" t="s">
        <v>7145</v>
      </c>
      <c r="H1469" t="s">
        <v>9130</v>
      </c>
      <c r="I1469" s="80" t="s">
        <v>9131</v>
      </c>
      <c r="J1469" t="s">
        <v>5936</v>
      </c>
      <c r="K1469" t="s">
        <v>9132</v>
      </c>
    </row>
    <row r="1470" spans="1:11" x14ac:dyDescent="0.25">
      <c r="A1470" s="123">
        <v>1469</v>
      </c>
      <c r="B1470" s="10">
        <v>1057</v>
      </c>
      <c r="C1470" s="122" t="s">
        <v>187</v>
      </c>
      <c r="D1470" t="s">
        <v>9133</v>
      </c>
      <c r="E1470" t="s">
        <v>5996</v>
      </c>
      <c r="F1470" t="s">
        <v>9134</v>
      </c>
      <c r="G1470" t="s">
        <v>7204</v>
      </c>
      <c r="H1470" t="s">
        <v>9135</v>
      </c>
      <c r="I1470" s="80" t="s">
        <v>9136</v>
      </c>
      <c r="J1470" t="s">
        <v>5684</v>
      </c>
      <c r="K1470" t="s">
        <v>9137</v>
      </c>
    </row>
    <row r="1471" spans="1:11" x14ac:dyDescent="0.25">
      <c r="A1471" s="123">
        <v>1470</v>
      </c>
      <c r="B1471" s="10">
        <v>1057</v>
      </c>
      <c r="C1471" s="122" t="s">
        <v>189</v>
      </c>
      <c r="D1471" t="s">
        <v>9138</v>
      </c>
      <c r="E1471" t="s">
        <v>9139</v>
      </c>
      <c r="F1471" t="s">
        <v>9140</v>
      </c>
      <c r="G1471" t="s">
        <v>7077</v>
      </c>
      <c r="H1471" t="s">
        <v>9141</v>
      </c>
      <c r="I1471" s="80" t="s">
        <v>9142</v>
      </c>
      <c r="J1471" t="s">
        <v>5299</v>
      </c>
      <c r="K1471" t="s">
        <v>9143</v>
      </c>
    </row>
    <row r="1472" spans="1:11" x14ac:dyDescent="0.25">
      <c r="A1472" s="123">
        <v>1471</v>
      </c>
      <c r="B1472" s="90" t="s">
        <v>623</v>
      </c>
      <c r="C1472" s="125" t="s">
        <v>162</v>
      </c>
      <c r="D1472" t="s">
        <v>6001</v>
      </c>
      <c r="E1472" s="80" t="s">
        <v>9144</v>
      </c>
      <c r="F1472" t="s">
        <v>5930</v>
      </c>
      <c r="G1472" t="s">
        <v>7395</v>
      </c>
      <c r="H1472" t="s">
        <v>5284</v>
      </c>
      <c r="I1472" t="s">
        <v>5770</v>
      </c>
      <c r="J1472" t="s">
        <v>5993</v>
      </c>
      <c r="K1472" t="s">
        <v>9145</v>
      </c>
    </row>
    <row r="1473" spans="1:11" x14ac:dyDescent="0.25">
      <c r="A1473" s="123">
        <v>1472</v>
      </c>
      <c r="B1473" s="90" t="s">
        <v>623</v>
      </c>
      <c r="C1473" s="125" t="s">
        <v>170</v>
      </c>
      <c r="D1473" t="s">
        <v>5800</v>
      </c>
      <c r="E1473" s="80" t="s">
        <v>9146</v>
      </c>
      <c r="F1473" t="s">
        <v>9147</v>
      </c>
      <c r="G1473" t="s">
        <v>7204</v>
      </c>
      <c r="H1473" t="s">
        <v>9148</v>
      </c>
      <c r="I1473" s="80">
        <v>16435</v>
      </c>
      <c r="J1473" t="s">
        <v>5385</v>
      </c>
      <c r="K1473" t="s">
        <v>9149</v>
      </c>
    </row>
    <row r="1474" spans="1:11" x14ac:dyDescent="0.25">
      <c r="A1474" s="123">
        <v>1473</v>
      </c>
      <c r="B1474" s="90" t="s">
        <v>623</v>
      </c>
      <c r="C1474" s="125" t="s">
        <v>178</v>
      </c>
      <c r="D1474" t="s">
        <v>5705</v>
      </c>
      <c r="E1474" s="80" t="s">
        <v>9150</v>
      </c>
      <c r="F1474" t="s">
        <v>9151</v>
      </c>
      <c r="G1474" t="s">
        <v>7130</v>
      </c>
      <c r="H1474" t="s">
        <v>9152</v>
      </c>
      <c r="I1474" s="80" t="s">
        <v>9153</v>
      </c>
      <c r="J1474" t="s">
        <v>5736</v>
      </c>
      <c r="K1474" t="s">
        <v>9154</v>
      </c>
    </row>
    <row r="1475" spans="1:11" x14ac:dyDescent="0.25">
      <c r="A1475" s="123">
        <v>1474</v>
      </c>
      <c r="B1475" s="90" t="s">
        <v>623</v>
      </c>
      <c r="C1475" s="125" t="s">
        <v>163</v>
      </c>
      <c r="D1475" t="s">
        <v>8587</v>
      </c>
      <c r="E1475" s="80" t="s">
        <v>9155</v>
      </c>
      <c r="F1475" t="s">
        <v>9156</v>
      </c>
      <c r="G1475" t="s">
        <v>7168</v>
      </c>
      <c r="H1475" t="s">
        <v>9157</v>
      </c>
      <c r="I1475" s="80" t="s">
        <v>9158</v>
      </c>
      <c r="J1475" t="s">
        <v>6388</v>
      </c>
      <c r="K1475" s="80" t="s">
        <v>9159</v>
      </c>
    </row>
    <row r="1476" spans="1:11" x14ac:dyDescent="0.25">
      <c r="A1476" s="123">
        <v>1475</v>
      </c>
      <c r="B1476" s="90" t="s">
        <v>623</v>
      </c>
      <c r="C1476" s="122" t="s">
        <v>181</v>
      </c>
      <c r="D1476" t="s">
        <v>5800</v>
      </c>
      <c r="E1476" s="80" t="s">
        <v>9160</v>
      </c>
      <c r="F1476" t="s">
        <v>5310</v>
      </c>
      <c r="G1476" t="s">
        <v>7145</v>
      </c>
      <c r="H1476" t="s">
        <v>9161</v>
      </c>
      <c r="I1476" t="s">
        <v>9162</v>
      </c>
      <c r="J1476" t="s">
        <v>5449</v>
      </c>
      <c r="K1476" t="s">
        <v>9163</v>
      </c>
    </row>
    <row r="1477" spans="1:11" x14ac:dyDescent="0.25">
      <c r="A1477" s="123">
        <v>1476</v>
      </c>
      <c r="B1477" s="90" t="s">
        <v>623</v>
      </c>
      <c r="C1477" s="122" t="s">
        <v>183</v>
      </c>
      <c r="D1477" t="s">
        <v>5698</v>
      </c>
      <c r="E1477" s="80" t="s">
        <v>9164</v>
      </c>
      <c r="F1477" t="s">
        <v>9165</v>
      </c>
      <c r="G1477" t="s">
        <v>7158</v>
      </c>
      <c r="H1477" t="s">
        <v>9166</v>
      </c>
      <c r="I1477" s="80" t="s">
        <v>9167</v>
      </c>
      <c r="J1477" t="s">
        <v>5703</v>
      </c>
      <c r="K1477" t="s">
        <v>9168</v>
      </c>
    </row>
    <row r="1478" spans="1:11" x14ac:dyDescent="0.25">
      <c r="A1478" s="123">
        <v>1477</v>
      </c>
      <c r="B1478" s="90" t="s">
        <v>623</v>
      </c>
      <c r="C1478" s="122" t="s">
        <v>186</v>
      </c>
      <c r="D1478" t="s">
        <v>5779</v>
      </c>
      <c r="E1478" s="80" t="s">
        <v>9169</v>
      </c>
      <c r="F1478" t="s">
        <v>9170</v>
      </c>
      <c r="G1478" t="s">
        <v>7092</v>
      </c>
      <c r="H1478" t="s">
        <v>9171</v>
      </c>
      <c r="I1478" s="80" t="s">
        <v>9172</v>
      </c>
      <c r="J1478" t="s">
        <v>5903</v>
      </c>
      <c r="K1478" s="80" t="s">
        <v>9173</v>
      </c>
    </row>
    <row r="1479" spans="1:11" x14ac:dyDescent="0.25">
      <c r="A1479" s="123">
        <v>1478</v>
      </c>
      <c r="B1479" s="90" t="s">
        <v>623</v>
      </c>
      <c r="C1479" s="122" t="s">
        <v>188</v>
      </c>
      <c r="D1479" t="s">
        <v>5673</v>
      </c>
      <c r="E1479" s="80" t="s">
        <v>6668</v>
      </c>
      <c r="F1479" t="s">
        <v>9174</v>
      </c>
      <c r="G1479" t="s">
        <v>7158</v>
      </c>
      <c r="H1479" t="s">
        <v>9175</v>
      </c>
      <c r="I1479" s="80" t="s">
        <v>9176</v>
      </c>
      <c r="J1479" t="s">
        <v>5569</v>
      </c>
      <c r="K1479" s="80" t="s">
        <v>9177</v>
      </c>
    </row>
    <row r="1480" spans="1:11" x14ac:dyDescent="0.25">
      <c r="A1480" s="123">
        <v>1479</v>
      </c>
      <c r="B1480" s="90" t="s">
        <v>623</v>
      </c>
      <c r="C1480" s="122" t="s">
        <v>182</v>
      </c>
      <c r="D1480" t="s">
        <v>583</v>
      </c>
      <c r="E1480" t="s">
        <v>9178</v>
      </c>
      <c r="F1480" t="s">
        <v>6238</v>
      </c>
      <c r="G1480" s="80" t="s">
        <v>7376</v>
      </c>
      <c r="H1480" t="s">
        <v>2548</v>
      </c>
      <c r="I1480" t="s">
        <v>3456</v>
      </c>
      <c r="J1480" t="s">
        <v>6532</v>
      </c>
      <c r="K1480" t="s">
        <v>5518</v>
      </c>
    </row>
    <row r="1481" spans="1:11" x14ac:dyDescent="0.25">
      <c r="A1481" s="123">
        <v>1480</v>
      </c>
      <c r="B1481" s="90" t="s">
        <v>623</v>
      </c>
      <c r="C1481" s="122" t="s">
        <v>184</v>
      </c>
      <c r="D1481" t="s">
        <v>5667</v>
      </c>
      <c r="E1481" t="s">
        <v>9179</v>
      </c>
      <c r="F1481" t="s">
        <v>8048</v>
      </c>
      <c r="G1481" t="s">
        <v>7067</v>
      </c>
      <c r="H1481" t="s">
        <v>9180</v>
      </c>
      <c r="I1481" s="80" t="s">
        <v>9181</v>
      </c>
      <c r="J1481" t="s">
        <v>5752</v>
      </c>
      <c r="K1481" t="s">
        <v>9182</v>
      </c>
    </row>
    <row r="1482" spans="1:11" x14ac:dyDescent="0.25">
      <c r="A1482" s="123">
        <v>1481</v>
      </c>
      <c r="B1482" s="90" t="s">
        <v>623</v>
      </c>
      <c r="C1482" s="122" t="s">
        <v>187</v>
      </c>
      <c r="D1482" t="s">
        <v>9183</v>
      </c>
      <c r="E1482" t="s">
        <v>9184</v>
      </c>
      <c r="F1482" t="s">
        <v>9185</v>
      </c>
      <c r="G1482" t="s">
        <v>7136</v>
      </c>
      <c r="H1482" t="s">
        <v>9186</v>
      </c>
      <c r="I1482" s="80" t="s">
        <v>9187</v>
      </c>
      <c r="J1482" t="s">
        <v>6091</v>
      </c>
      <c r="K1482" s="80" t="s">
        <v>5742</v>
      </c>
    </row>
    <row r="1483" spans="1:11" x14ac:dyDescent="0.25">
      <c r="A1483" s="123">
        <v>1482</v>
      </c>
      <c r="B1483" s="90" t="s">
        <v>623</v>
      </c>
      <c r="C1483" s="122" t="s">
        <v>189</v>
      </c>
      <c r="D1483" t="s">
        <v>9127</v>
      </c>
      <c r="E1483" t="s">
        <v>9188</v>
      </c>
      <c r="F1483" t="s">
        <v>9189</v>
      </c>
      <c r="G1483" t="s">
        <v>7348</v>
      </c>
      <c r="H1483" t="s">
        <v>9190</v>
      </c>
      <c r="I1483" s="80" t="s">
        <v>9191</v>
      </c>
      <c r="J1483" t="s">
        <v>5461</v>
      </c>
      <c r="K1483" s="80" t="s">
        <v>9192</v>
      </c>
    </row>
    <row r="1484" spans="1:11" x14ac:dyDescent="0.25">
      <c r="A1484" s="123">
        <v>1483</v>
      </c>
      <c r="B1484" s="90" t="s">
        <v>624</v>
      </c>
      <c r="C1484" s="125" t="s">
        <v>162</v>
      </c>
      <c r="D1484" t="s">
        <v>6001</v>
      </c>
      <c r="E1484" s="80" t="s">
        <v>9193</v>
      </c>
      <c r="F1484" t="s">
        <v>2075</v>
      </c>
      <c r="G1484" t="s">
        <v>7204</v>
      </c>
      <c r="H1484" t="s">
        <v>5390</v>
      </c>
      <c r="I1484" t="s">
        <v>4027</v>
      </c>
      <c r="J1484" t="s">
        <v>5993</v>
      </c>
      <c r="K1484" t="s">
        <v>3591</v>
      </c>
    </row>
    <row r="1485" spans="1:11" x14ac:dyDescent="0.25">
      <c r="A1485" s="123">
        <v>1484</v>
      </c>
      <c r="B1485" s="90" t="s">
        <v>624</v>
      </c>
      <c r="C1485" s="125" t="s">
        <v>170</v>
      </c>
      <c r="D1485" t="s">
        <v>6087</v>
      </c>
      <c r="E1485" s="80" t="s">
        <v>9194</v>
      </c>
      <c r="F1485" t="s">
        <v>9195</v>
      </c>
      <c r="G1485" t="s">
        <v>7130</v>
      </c>
      <c r="H1485" t="s">
        <v>9196</v>
      </c>
      <c r="I1485" s="80" t="s">
        <v>9197</v>
      </c>
      <c r="J1485" t="s">
        <v>5385</v>
      </c>
      <c r="K1485" t="s">
        <v>9198</v>
      </c>
    </row>
    <row r="1486" spans="1:11" x14ac:dyDescent="0.25">
      <c r="A1486" s="123">
        <v>1485</v>
      </c>
      <c r="B1486" s="90" t="s">
        <v>624</v>
      </c>
      <c r="C1486" s="125" t="s">
        <v>178</v>
      </c>
      <c r="D1486" t="s">
        <v>8075</v>
      </c>
      <c r="E1486" s="80" t="s">
        <v>9199</v>
      </c>
      <c r="F1486" t="s">
        <v>9200</v>
      </c>
      <c r="G1486" t="s">
        <v>7987</v>
      </c>
      <c r="H1486" s="80" t="s">
        <v>9201</v>
      </c>
      <c r="I1486" s="80" t="s">
        <v>9202</v>
      </c>
      <c r="J1486" t="s">
        <v>9203</v>
      </c>
      <c r="K1486" t="s">
        <v>9204</v>
      </c>
    </row>
    <row r="1487" spans="1:11" x14ac:dyDescent="0.25">
      <c r="A1487" s="123">
        <v>1486</v>
      </c>
      <c r="B1487" s="90" t="s">
        <v>624</v>
      </c>
      <c r="C1487" s="125" t="s">
        <v>163</v>
      </c>
      <c r="D1487" t="s">
        <v>9205</v>
      </c>
      <c r="E1487" t="s">
        <v>9206</v>
      </c>
      <c r="F1487" t="s">
        <v>9207</v>
      </c>
      <c r="G1487" t="s">
        <v>7973</v>
      </c>
      <c r="H1487" s="80" t="s">
        <v>9208</v>
      </c>
      <c r="I1487" s="80" t="s">
        <v>9209</v>
      </c>
      <c r="J1487" t="s">
        <v>9210</v>
      </c>
      <c r="K1487" s="111" t="s">
        <v>844</v>
      </c>
    </row>
    <row r="1488" spans="1:11" x14ac:dyDescent="0.25">
      <c r="A1488" s="123">
        <v>1487</v>
      </c>
      <c r="B1488" s="90" t="s">
        <v>624</v>
      </c>
      <c r="C1488" s="125" t="s">
        <v>181</v>
      </c>
      <c r="D1488" t="s">
        <v>8288</v>
      </c>
      <c r="E1488" s="111" t="s">
        <v>845</v>
      </c>
      <c r="F1488" t="s">
        <v>3065</v>
      </c>
      <c r="G1488" t="s">
        <v>8047</v>
      </c>
      <c r="H1488" t="s">
        <v>9211</v>
      </c>
      <c r="I1488" t="s">
        <v>9212</v>
      </c>
      <c r="J1488" t="s">
        <v>9213</v>
      </c>
      <c r="K1488" t="s">
        <v>9214</v>
      </c>
    </row>
    <row r="1489" spans="1:11" x14ac:dyDescent="0.25">
      <c r="A1489" s="123">
        <v>1488</v>
      </c>
      <c r="B1489" s="90" t="s">
        <v>624</v>
      </c>
      <c r="C1489" s="125" t="s">
        <v>183</v>
      </c>
      <c r="D1489" t="s">
        <v>7970</v>
      </c>
      <c r="E1489" s="80" t="s">
        <v>9215</v>
      </c>
      <c r="F1489" t="s">
        <v>9216</v>
      </c>
      <c r="G1489" t="s">
        <v>7979</v>
      </c>
      <c r="H1489" s="80" t="s">
        <v>9217</v>
      </c>
      <c r="I1489" s="80" t="s">
        <v>9218</v>
      </c>
      <c r="J1489" t="s">
        <v>9219</v>
      </c>
      <c r="K1489" t="s">
        <v>9220</v>
      </c>
    </row>
    <row r="1490" spans="1:11" x14ac:dyDescent="0.25">
      <c r="A1490" s="123">
        <v>1489</v>
      </c>
      <c r="B1490" s="90" t="s">
        <v>624</v>
      </c>
      <c r="C1490" s="125" t="s">
        <v>186</v>
      </c>
      <c r="D1490" t="s">
        <v>8052</v>
      </c>
      <c r="E1490" s="80" t="s">
        <v>9221</v>
      </c>
      <c r="F1490" t="s">
        <v>9222</v>
      </c>
      <c r="G1490" t="s">
        <v>9223</v>
      </c>
      <c r="H1490" s="80" t="s">
        <v>9224</v>
      </c>
      <c r="I1490" s="80" t="s">
        <v>9225</v>
      </c>
      <c r="J1490" t="s">
        <v>9210</v>
      </c>
      <c r="K1490" s="80" t="s">
        <v>9226</v>
      </c>
    </row>
    <row r="1491" spans="1:11" x14ac:dyDescent="0.25">
      <c r="A1491" s="123">
        <v>1490</v>
      </c>
      <c r="B1491" s="90" t="s">
        <v>624</v>
      </c>
      <c r="C1491" s="125" t="s">
        <v>188</v>
      </c>
      <c r="D1491" t="s">
        <v>8295</v>
      </c>
      <c r="E1491" s="80" t="s">
        <v>9227</v>
      </c>
      <c r="F1491" t="s">
        <v>9228</v>
      </c>
      <c r="G1491" t="s">
        <v>8026</v>
      </c>
      <c r="H1491" s="80" t="s">
        <v>9229</v>
      </c>
      <c r="I1491" s="80" t="s">
        <v>9230</v>
      </c>
      <c r="J1491" t="s">
        <v>9231</v>
      </c>
      <c r="K1491" s="111" t="s">
        <v>848</v>
      </c>
    </row>
    <row r="1492" spans="1:11" x14ac:dyDescent="0.25">
      <c r="A1492" s="123">
        <v>1491</v>
      </c>
      <c r="B1492" s="90" t="s">
        <v>624</v>
      </c>
      <c r="C1492" s="125" t="s">
        <v>182</v>
      </c>
      <c r="D1492" t="s">
        <v>1906</v>
      </c>
      <c r="E1492" t="s">
        <v>9232</v>
      </c>
      <c r="F1492" t="s">
        <v>583</v>
      </c>
      <c r="G1492" t="s">
        <v>9233</v>
      </c>
      <c r="H1492" t="s">
        <v>7770</v>
      </c>
      <c r="I1492" t="s">
        <v>9234</v>
      </c>
      <c r="J1492" t="s">
        <v>9037</v>
      </c>
      <c r="K1492" t="s">
        <v>5949</v>
      </c>
    </row>
    <row r="1493" spans="1:11" x14ac:dyDescent="0.25">
      <c r="A1493" s="123">
        <v>1492</v>
      </c>
      <c r="B1493" s="90" t="s">
        <v>624</v>
      </c>
      <c r="C1493" s="125" t="s">
        <v>184</v>
      </c>
      <c r="D1493" t="s">
        <v>8115</v>
      </c>
      <c r="E1493" t="s">
        <v>9235</v>
      </c>
      <c r="F1493" t="s">
        <v>9236</v>
      </c>
      <c r="G1493" t="s">
        <v>8047</v>
      </c>
      <c r="H1493" t="s">
        <v>9237</v>
      </c>
      <c r="I1493" s="80" t="s">
        <v>9238</v>
      </c>
      <c r="J1493" t="s">
        <v>9239</v>
      </c>
      <c r="K1493" t="s">
        <v>9240</v>
      </c>
    </row>
    <row r="1494" spans="1:11" x14ac:dyDescent="0.25">
      <c r="A1494" s="123">
        <v>1493</v>
      </c>
      <c r="B1494" s="90" t="s">
        <v>624</v>
      </c>
      <c r="C1494" s="125" t="s">
        <v>187</v>
      </c>
      <c r="D1494" t="s">
        <v>8075</v>
      </c>
      <c r="E1494" t="s">
        <v>9241</v>
      </c>
      <c r="F1494" t="s">
        <v>9242</v>
      </c>
      <c r="G1494" t="s">
        <v>8332</v>
      </c>
      <c r="H1494" s="80" t="s">
        <v>9243</v>
      </c>
      <c r="I1494" s="80" t="s">
        <v>9244</v>
      </c>
      <c r="J1494" t="s">
        <v>9213</v>
      </c>
      <c r="K1494" t="s">
        <v>9245</v>
      </c>
    </row>
    <row r="1495" spans="1:11" x14ac:dyDescent="0.25">
      <c r="A1495" s="123">
        <v>1494</v>
      </c>
      <c r="B1495" s="90" t="s">
        <v>624</v>
      </c>
      <c r="C1495" s="125" t="s">
        <v>189</v>
      </c>
      <c r="D1495" t="s">
        <v>9246</v>
      </c>
      <c r="E1495" t="s">
        <v>9247</v>
      </c>
      <c r="F1495" t="s">
        <v>9248</v>
      </c>
      <c r="G1495" t="s">
        <v>8332</v>
      </c>
      <c r="H1495" t="s">
        <v>9249</v>
      </c>
      <c r="I1495" s="80" t="s">
        <v>9250</v>
      </c>
      <c r="J1495" t="s">
        <v>9251</v>
      </c>
      <c r="K1495" t="s">
        <v>9252</v>
      </c>
    </row>
    <row r="1496" spans="1:11" x14ac:dyDescent="0.25">
      <c r="A1496" s="123">
        <v>1495</v>
      </c>
      <c r="B1496" s="90" t="s">
        <v>625</v>
      </c>
      <c r="C1496" s="125" t="s">
        <v>162</v>
      </c>
      <c r="D1496" t="s">
        <v>8069</v>
      </c>
      <c r="E1496" t="s">
        <v>9253</v>
      </c>
      <c r="F1496" t="s">
        <v>5799</v>
      </c>
      <c r="G1496" t="s">
        <v>8071</v>
      </c>
      <c r="H1496" t="s">
        <v>3765</v>
      </c>
      <c r="I1496" t="s">
        <v>2547</v>
      </c>
      <c r="J1496" t="s">
        <v>5861</v>
      </c>
      <c r="K1496" t="s">
        <v>8074</v>
      </c>
    </row>
    <row r="1497" spans="1:11" x14ac:dyDescent="0.25">
      <c r="A1497" s="123">
        <v>1496</v>
      </c>
      <c r="B1497" s="90" t="s">
        <v>625</v>
      </c>
      <c r="C1497" s="125" t="s">
        <v>170</v>
      </c>
      <c r="D1497" t="s">
        <v>9254</v>
      </c>
      <c r="E1497" t="s">
        <v>9255</v>
      </c>
      <c r="F1497" t="s">
        <v>9256</v>
      </c>
      <c r="G1497" t="s">
        <v>8071</v>
      </c>
      <c r="H1497" t="s">
        <v>9257</v>
      </c>
      <c r="I1497" s="80" t="s">
        <v>9258</v>
      </c>
      <c r="J1497" t="s">
        <v>9259</v>
      </c>
      <c r="K1497" t="s">
        <v>9260</v>
      </c>
    </row>
    <row r="1498" spans="1:11" x14ac:dyDescent="0.25">
      <c r="A1498" s="123">
        <v>1497</v>
      </c>
      <c r="B1498" s="90" t="s">
        <v>625</v>
      </c>
      <c r="C1498" s="125" t="s">
        <v>178</v>
      </c>
      <c r="D1498" t="s">
        <v>8295</v>
      </c>
      <c r="E1498" t="s">
        <v>9261</v>
      </c>
      <c r="F1498" t="s">
        <v>9262</v>
      </c>
      <c r="G1498" t="s">
        <v>8047</v>
      </c>
      <c r="H1498" t="s">
        <v>9263</v>
      </c>
      <c r="I1498" s="80" t="s">
        <v>9264</v>
      </c>
      <c r="J1498" t="s">
        <v>9265</v>
      </c>
      <c r="K1498" t="s">
        <v>9266</v>
      </c>
    </row>
    <row r="1499" spans="1:11" x14ac:dyDescent="0.25">
      <c r="A1499" s="123">
        <v>1498</v>
      </c>
      <c r="B1499" s="90" t="s">
        <v>625</v>
      </c>
      <c r="C1499" s="125" t="s">
        <v>163</v>
      </c>
      <c r="D1499" t="s">
        <v>9267</v>
      </c>
      <c r="E1499" t="s">
        <v>9268</v>
      </c>
      <c r="F1499" t="s">
        <v>9269</v>
      </c>
      <c r="G1499" t="s">
        <v>9270</v>
      </c>
      <c r="H1499" t="s">
        <v>9271</v>
      </c>
      <c r="I1499" s="80" t="s">
        <v>9272</v>
      </c>
      <c r="J1499" t="s">
        <v>9273</v>
      </c>
      <c r="K1499" t="s">
        <v>9274</v>
      </c>
    </row>
    <row r="1500" spans="1:11" x14ac:dyDescent="0.25">
      <c r="A1500" s="123">
        <v>1499</v>
      </c>
      <c r="B1500" s="90" t="s">
        <v>625</v>
      </c>
      <c r="C1500" s="125" t="s">
        <v>181</v>
      </c>
      <c r="D1500" t="s">
        <v>3473</v>
      </c>
      <c r="E1500" s="80" t="s">
        <v>9275</v>
      </c>
      <c r="F1500" t="s">
        <v>7375</v>
      </c>
      <c r="G1500" t="s">
        <v>7443</v>
      </c>
      <c r="H1500" t="s">
        <v>6277</v>
      </c>
      <c r="I1500" t="s">
        <v>9276</v>
      </c>
      <c r="J1500" t="s">
        <v>9265</v>
      </c>
      <c r="K1500" t="s">
        <v>8128</v>
      </c>
    </row>
    <row r="1501" spans="1:11" x14ac:dyDescent="0.25">
      <c r="A1501" s="123">
        <v>1500</v>
      </c>
      <c r="B1501" s="90" t="s">
        <v>625</v>
      </c>
      <c r="C1501" s="125" t="s">
        <v>183</v>
      </c>
      <c r="D1501">
        <v>36</v>
      </c>
      <c r="E1501" s="80" t="s">
        <v>9277</v>
      </c>
      <c r="F1501" t="s">
        <v>9278</v>
      </c>
      <c r="G1501" t="s">
        <v>7973</v>
      </c>
      <c r="H1501" t="s">
        <v>9279</v>
      </c>
      <c r="I1501" s="80" t="s">
        <v>9280</v>
      </c>
      <c r="J1501" t="s">
        <v>9219</v>
      </c>
      <c r="K1501" t="s">
        <v>9281</v>
      </c>
    </row>
    <row r="1502" spans="1:11" x14ac:dyDescent="0.25">
      <c r="A1502" s="123">
        <v>1501</v>
      </c>
      <c r="B1502" s="90" t="s">
        <v>625</v>
      </c>
      <c r="C1502" s="125" t="s">
        <v>186</v>
      </c>
      <c r="D1502" t="s">
        <v>9282</v>
      </c>
      <c r="E1502" s="80" t="s">
        <v>9283</v>
      </c>
      <c r="F1502" t="s">
        <v>9284</v>
      </c>
      <c r="G1502" t="s">
        <v>8026</v>
      </c>
      <c r="H1502" s="80" t="s">
        <v>9285</v>
      </c>
      <c r="I1502" s="80" t="s">
        <v>9286</v>
      </c>
      <c r="J1502" t="s">
        <v>9287</v>
      </c>
      <c r="K1502" s="80" t="s">
        <v>9288</v>
      </c>
    </row>
    <row r="1503" spans="1:11" x14ac:dyDescent="0.25">
      <c r="A1503" s="123">
        <v>1502</v>
      </c>
      <c r="B1503" s="90" t="s">
        <v>625</v>
      </c>
      <c r="C1503" s="125" t="s">
        <v>188</v>
      </c>
      <c r="D1503" t="s">
        <v>7964</v>
      </c>
      <c r="E1503" s="111" t="s">
        <v>849</v>
      </c>
      <c r="F1503" t="s">
        <v>9289</v>
      </c>
      <c r="G1503" t="s">
        <v>8188</v>
      </c>
      <c r="H1503" t="s">
        <v>9290</v>
      </c>
      <c r="I1503" s="80" t="s">
        <v>9291</v>
      </c>
      <c r="J1503" t="s">
        <v>9292</v>
      </c>
      <c r="K1503" s="111" t="s">
        <v>850</v>
      </c>
    </row>
    <row r="1504" spans="1:11" x14ac:dyDescent="0.25">
      <c r="A1504" s="123">
        <v>1503</v>
      </c>
      <c r="B1504" s="90" t="s">
        <v>625</v>
      </c>
      <c r="C1504" s="125" t="s">
        <v>182</v>
      </c>
      <c r="D1504" t="s">
        <v>1906</v>
      </c>
      <c r="E1504" t="s">
        <v>9293</v>
      </c>
      <c r="F1504" t="s">
        <v>3071</v>
      </c>
      <c r="G1504" t="s">
        <v>3898</v>
      </c>
      <c r="H1504" t="s">
        <v>9294</v>
      </c>
      <c r="I1504" t="s">
        <v>9295</v>
      </c>
      <c r="J1504" t="s">
        <v>4779</v>
      </c>
      <c r="K1504" t="s">
        <v>8525</v>
      </c>
    </row>
    <row r="1505" spans="1:11" x14ac:dyDescent="0.25">
      <c r="A1505" s="123">
        <v>1504</v>
      </c>
      <c r="B1505" s="90" t="s">
        <v>625</v>
      </c>
      <c r="C1505" s="125" t="s">
        <v>184</v>
      </c>
      <c r="D1505" t="s">
        <v>8115</v>
      </c>
      <c r="E1505" t="s">
        <v>9296</v>
      </c>
      <c r="F1505" t="s">
        <v>9297</v>
      </c>
      <c r="G1505" t="s">
        <v>8218</v>
      </c>
      <c r="H1505" t="s">
        <v>9298</v>
      </c>
      <c r="I1505" s="80" t="s">
        <v>9299</v>
      </c>
      <c r="J1505" t="s">
        <v>9300</v>
      </c>
      <c r="K1505" t="s">
        <v>9301</v>
      </c>
    </row>
    <row r="1506" spans="1:11" x14ac:dyDescent="0.25">
      <c r="A1506" s="123">
        <v>1505</v>
      </c>
      <c r="B1506" s="90" t="s">
        <v>625</v>
      </c>
      <c r="C1506" s="125" t="s">
        <v>187</v>
      </c>
      <c r="D1506" t="s">
        <v>9302</v>
      </c>
      <c r="E1506" t="s">
        <v>9303</v>
      </c>
      <c r="F1506" t="s">
        <v>9304</v>
      </c>
      <c r="G1506" t="s">
        <v>8047</v>
      </c>
      <c r="H1506" s="80" t="s">
        <v>9305</v>
      </c>
      <c r="I1506" s="80" t="s">
        <v>9306</v>
      </c>
      <c r="J1506" t="s">
        <v>9307</v>
      </c>
      <c r="K1506" t="s">
        <v>9308</v>
      </c>
    </row>
    <row r="1507" spans="1:11" x14ac:dyDescent="0.25">
      <c r="A1507" s="123">
        <v>1506</v>
      </c>
      <c r="B1507" s="90" t="s">
        <v>625</v>
      </c>
      <c r="C1507" s="125" t="s">
        <v>189</v>
      </c>
      <c r="D1507" t="s">
        <v>9309</v>
      </c>
      <c r="E1507" t="s">
        <v>9310</v>
      </c>
      <c r="F1507" t="s">
        <v>9311</v>
      </c>
      <c r="G1507" t="s">
        <v>9270</v>
      </c>
      <c r="H1507" t="s">
        <v>9312</v>
      </c>
      <c r="I1507" s="80" t="s">
        <v>9313</v>
      </c>
      <c r="J1507" t="s">
        <v>9273</v>
      </c>
      <c r="K1507" t="s">
        <v>9314</v>
      </c>
    </row>
    <row r="1508" spans="1:11" x14ac:dyDescent="0.25">
      <c r="A1508" s="123">
        <v>1507</v>
      </c>
      <c r="B1508" s="90" t="s">
        <v>626</v>
      </c>
      <c r="C1508" s="125" t="s">
        <v>162</v>
      </c>
      <c r="D1508" t="s">
        <v>8069</v>
      </c>
      <c r="E1508" t="s">
        <v>9315</v>
      </c>
      <c r="F1508" t="s">
        <v>9316</v>
      </c>
      <c r="G1508" t="s">
        <v>9317</v>
      </c>
      <c r="H1508" t="s">
        <v>7993</v>
      </c>
      <c r="I1508" t="s">
        <v>5623</v>
      </c>
      <c r="J1508" t="s">
        <v>5861</v>
      </c>
      <c r="K1508" t="s">
        <v>9318</v>
      </c>
    </row>
    <row r="1509" spans="1:11" x14ac:dyDescent="0.25">
      <c r="A1509" s="123">
        <v>1508</v>
      </c>
      <c r="B1509" s="90" t="s">
        <v>626</v>
      </c>
      <c r="C1509" s="125" t="s">
        <v>170</v>
      </c>
      <c r="D1509" t="s">
        <v>8052</v>
      </c>
      <c r="E1509" t="s">
        <v>9319</v>
      </c>
      <c r="F1509" t="s">
        <v>9320</v>
      </c>
      <c r="G1509" t="s">
        <v>8366</v>
      </c>
      <c r="H1509" t="s">
        <v>9321</v>
      </c>
      <c r="I1509" s="80" t="s">
        <v>9322</v>
      </c>
      <c r="J1509" t="s">
        <v>9323</v>
      </c>
      <c r="K1509" t="s">
        <v>9324</v>
      </c>
    </row>
    <row r="1510" spans="1:11" x14ac:dyDescent="0.25">
      <c r="A1510" s="123">
        <v>1509</v>
      </c>
      <c r="B1510" s="90" t="s">
        <v>626</v>
      </c>
      <c r="C1510" s="125" t="s">
        <v>178</v>
      </c>
      <c r="D1510" t="s">
        <v>9325</v>
      </c>
      <c r="E1510" t="s">
        <v>9326</v>
      </c>
      <c r="F1510" t="s">
        <v>9327</v>
      </c>
      <c r="G1510" t="s">
        <v>8118</v>
      </c>
      <c r="H1510" t="s">
        <v>9328</v>
      </c>
      <c r="I1510" s="80" t="s">
        <v>9329</v>
      </c>
      <c r="J1510" t="s">
        <v>9330</v>
      </c>
      <c r="K1510" t="s">
        <v>9331</v>
      </c>
    </row>
    <row r="1511" spans="1:11" x14ac:dyDescent="0.25">
      <c r="A1511" s="123">
        <v>1510</v>
      </c>
      <c r="B1511" s="90" t="s">
        <v>626</v>
      </c>
      <c r="C1511" s="125" t="s">
        <v>163</v>
      </c>
      <c r="D1511" t="s">
        <v>9332</v>
      </c>
      <c r="E1511" t="s">
        <v>9333</v>
      </c>
      <c r="F1511" t="s">
        <v>9334</v>
      </c>
      <c r="G1511" t="s">
        <v>7998</v>
      </c>
      <c r="H1511" t="s">
        <v>9335</v>
      </c>
      <c r="I1511" s="80" t="s">
        <v>9336</v>
      </c>
      <c r="J1511" t="s">
        <v>9337</v>
      </c>
      <c r="K1511" s="80" t="s">
        <v>9338</v>
      </c>
    </row>
    <row r="1512" spans="1:11" x14ac:dyDescent="0.25">
      <c r="A1512" s="123">
        <v>1511</v>
      </c>
      <c r="B1512" s="90" t="s">
        <v>626</v>
      </c>
      <c r="C1512" s="125" t="s">
        <v>181</v>
      </c>
      <c r="D1512" t="s">
        <v>9339</v>
      </c>
      <c r="E1512" s="80" t="s">
        <v>9340</v>
      </c>
      <c r="F1512" t="s">
        <v>7332</v>
      </c>
      <c r="G1512" t="s">
        <v>8096</v>
      </c>
      <c r="H1512" t="s">
        <v>6232</v>
      </c>
      <c r="I1512" t="s">
        <v>4026</v>
      </c>
      <c r="J1512" t="s">
        <v>9341</v>
      </c>
      <c r="K1512" t="s">
        <v>9342</v>
      </c>
    </row>
    <row r="1513" spans="1:11" x14ac:dyDescent="0.25">
      <c r="A1513" s="123">
        <v>1512</v>
      </c>
      <c r="B1513" s="90" t="s">
        <v>626</v>
      </c>
      <c r="C1513" s="125" t="s">
        <v>183</v>
      </c>
      <c r="D1513" t="s">
        <v>8010</v>
      </c>
      <c r="E1513" t="s">
        <v>9343</v>
      </c>
      <c r="F1513" t="s">
        <v>9344</v>
      </c>
      <c r="G1513" t="s">
        <v>8077</v>
      </c>
      <c r="H1513" t="s">
        <v>9345</v>
      </c>
      <c r="I1513" s="80" t="s">
        <v>9346</v>
      </c>
      <c r="J1513" t="s">
        <v>9251</v>
      </c>
      <c r="K1513" t="s">
        <v>9347</v>
      </c>
    </row>
    <row r="1514" spans="1:11" x14ac:dyDescent="0.25">
      <c r="A1514" s="123">
        <v>1513</v>
      </c>
      <c r="B1514" s="90" t="s">
        <v>626</v>
      </c>
      <c r="C1514" s="125" t="s">
        <v>186</v>
      </c>
      <c r="D1514" t="s">
        <v>8003</v>
      </c>
      <c r="E1514" t="s">
        <v>9348</v>
      </c>
      <c r="F1514" t="s">
        <v>9349</v>
      </c>
      <c r="G1514" t="s">
        <v>7959</v>
      </c>
      <c r="H1514" s="80" t="s">
        <v>9350</v>
      </c>
      <c r="I1514" s="80" t="s">
        <v>9351</v>
      </c>
      <c r="J1514" t="s">
        <v>9203</v>
      </c>
      <c r="K1514" s="80" t="s">
        <v>9352</v>
      </c>
    </row>
    <row r="1515" spans="1:11" x14ac:dyDescent="0.25">
      <c r="A1515" s="123">
        <v>1514</v>
      </c>
      <c r="B1515" s="90" t="s">
        <v>626</v>
      </c>
      <c r="C1515" s="125" t="s">
        <v>188</v>
      </c>
      <c r="D1515" t="s">
        <v>9353</v>
      </c>
      <c r="E1515" s="80" t="s">
        <v>9354</v>
      </c>
      <c r="F1515" t="s">
        <v>9355</v>
      </c>
      <c r="G1515" t="s">
        <v>9356</v>
      </c>
      <c r="H1515" t="s">
        <v>9357</v>
      </c>
      <c r="I1515" s="80" t="s">
        <v>9358</v>
      </c>
      <c r="J1515" t="s">
        <v>9287</v>
      </c>
      <c r="K1515" s="80" t="s">
        <v>9359</v>
      </c>
    </row>
    <row r="1516" spans="1:11" x14ac:dyDescent="0.25">
      <c r="A1516" s="123">
        <v>1515</v>
      </c>
      <c r="B1516" s="90" t="s">
        <v>626</v>
      </c>
      <c r="C1516" s="125" t="s">
        <v>182</v>
      </c>
      <c r="D1516" t="s">
        <v>9360</v>
      </c>
      <c r="E1516" t="s">
        <v>9361</v>
      </c>
      <c r="F1516" t="s">
        <v>9362</v>
      </c>
      <c r="G1516" t="s">
        <v>9363</v>
      </c>
      <c r="H1516" t="s">
        <v>9364</v>
      </c>
      <c r="I1516" s="80" t="s">
        <v>9365</v>
      </c>
      <c r="J1516" t="s">
        <v>9366</v>
      </c>
      <c r="K1516" t="s">
        <v>9367</v>
      </c>
    </row>
    <row r="1517" spans="1:11" x14ac:dyDescent="0.25">
      <c r="A1517" s="123">
        <v>1516</v>
      </c>
      <c r="B1517" s="90" t="s">
        <v>626</v>
      </c>
      <c r="C1517" s="125" t="s">
        <v>184</v>
      </c>
      <c r="D1517" t="s">
        <v>7949</v>
      </c>
      <c r="E1517" t="s">
        <v>9368</v>
      </c>
      <c r="F1517" t="s">
        <v>9369</v>
      </c>
      <c r="G1517" t="s">
        <v>8366</v>
      </c>
      <c r="H1517">
        <v>9834</v>
      </c>
      <c r="I1517" s="80" t="s">
        <v>9370</v>
      </c>
      <c r="J1517" t="s">
        <v>9341</v>
      </c>
      <c r="K1517" t="s">
        <v>9371</v>
      </c>
    </row>
    <row r="1518" spans="1:11" x14ac:dyDescent="0.25">
      <c r="A1518" s="123">
        <v>1517</v>
      </c>
      <c r="B1518" s="90" t="s">
        <v>626</v>
      </c>
      <c r="C1518" s="125" t="s">
        <v>187</v>
      </c>
      <c r="D1518" t="s">
        <v>9372</v>
      </c>
      <c r="E1518" t="s">
        <v>9373</v>
      </c>
      <c r="F1518" t="s">
        <v>9374</v>
      </c>
      <c r="G1518" t="s">
        <v>8218</v>
      </c>
      <c r="H1518" t="s">
        <v>9375</v>
      </c>
      <c r="I1518" s="80" t="s">
        <v>9376</v>
      </c>
      <c r="J1518" t="s">
        <v>9341</v>
      </c>
      <c r="K1518" t="s">
        <v>9377</v>
      </c>
    </row>
    <row r="1519" spans="1:11" x14ac:dyDescent="0.25">
      <c r="A1519" s="123">
        <v>1518</v>
      </c>
      <c r="B1519" s="90" t="s">
        <v>626</v>
      </c>
      <c r="C1519" s="125" t="s">
        <v>189</v>
      </c>
      <c r="D1519" t="s">
        <v>9378</v>
      </c>
      <c r="E1519" t="s">
        <v>9379</v>
      </c>
      <c r="F1519" t="s">
        <v>6644</v>
      </c>
      <c r="G1519" t="s">
        <v>8269</v>
      </c>
      <c r="H1519" t="s">
        <v>9380</v>
      </c>
      <c r="I1519" s="80" t="s">
        <v>9381</v>
      </c>
      <c r="J1519" t="s">
        <v>9382</v>
      </c>
      <c r="K1519" t="s">
        <v>9383</v>
      </c>
    </row>
    <row r="1520" spans="1:11" x14ac:dyDescent="0.25">
      <c r="A1520" s="123">
        <v>1519</v>
      </c>
      <c r="B1520" s="90" t="s">
        <v>621</v>
      </c>
      <c r="C1520" s="125" t="s">
        <v>162</v>
      </c>
      <c r="D1520" t="s">
        <v>9360</v>
      </c>
      <c r="E1520" t="s">
        <v>9384</v>
      </c>
      <c r="F1520" t="s">
        <v>5799</v>
      </c>
      <c r="G1520" t="s">
        <v>9233</v>
      </c>
      <c r="H1520" t="s">
        <v>5597</v>
      </c>
      <c r="I1520" t="s">
        <v>1971</v>
      </c>
      <c r="J1520" t="s">
        <v>8954</v>
      </c>
      <c r="K1520" t="s">
        <v>9385</v>
      </c>
    </row>
    <row r="1521" spans="1:11" x14ac:dyDescent="0.25">
      <c r="A1521" s="123">
        <v>1520</v>
      </c>
      <c r="B1521" s="90" t="s">
        <v>621</v>
      </c>
      <c r="C1521" s="125" t="s">
        <v>170</v>
      </c>
      <c r="D1521" t="s">
        <v>9386</v>
      </c>
      <c r="E1521" t="s">
        <v>9387</v>
      </c>
      <c r="F1521" t="s">
        <v>9388</v>
      </c>
      <c r="G1521" t="s">
        <v>9317</v>
      </c>
      <c r="H1521" t="s">
        <v>9389</v>
      </c>
      <c r="I1521" s="80" t="s">
        <v>9390</v>
      </c>
      <c r="J1521" t="s">
        <v>6627</v>
      </c>
      <c r="K1521" t="s">
        <v>9391</v>
      </c>
    </row>
    <row r="1522" spans="1:11" x14ac:dyDescent="0.25">
      <c r="A1522" s="123">
        <v>1521</v>
      </c>
      <c r="B1522" s="90" t="s">
        <v>621</v>
      </c>
      <c r="C1522" s="125" t="s">
        <v>178</v>
      </c>
      <c r="D1522" t="s">
        <v>5713</v>
      </c>
      <c r="E1522" t="s">
        <v>9392</v>
      </c>
      <c r="F1522" t="s">
        <v>8270</v>
      </c>
      <c r="G1522" t="s">
        <v>7443</v>
      </c>
      <c r="H1522" t="s">
        <v>9393</v>
      </c>
      <c r="I1522" s="80" t="s">
        <v>9394</v>
      </c>
      <c r="J1522" t="s">
        <v>9265</v>
      </c>
      <c r="K1522" t="s">
        <v>9395</v>
      </c>
    </row>
    <row r="1523" spans="1:11" x14ac:dyDescent="0.25">
      <c r="A1523" s="123">
        <v>1522</v>
      </c>
      <c r="B1523" s="90" t="s">
        <v>621</v>
      </c>
      <c r="C1523" s="125" t="s">
        <v>163</v>
      </c>
      <c r="D1523" t="s">
        <v>9396</v>
      </c>
      <c r="E1523" s="80" t="s">
        <v>9397</v>
      </c>
      <c r="F1523" t="s">
        <v>9398</v>
      </c>
      <c r="G1523" t="s">
        <v>7998</v>
      </c>
      <c r="H1523" t="s">
        <v>9399</v>
      </c>
      <c r="I1523" s="80" t="s">
        <v>9400</v>
      </c>
      <c r="J1523" t="s">
        <v>9401</v>
      </c>
      <c r="K1523" s="80" t="s">
        <v>9402</v>
      </c>
    </row>
    <row r="1524" spans="1:11" x14ac:dyDescent="0.25">
      <c r="A1524" s="123">
        <v>1523</v>
      </c>
      <c r="B1524" s="90" t="s">
        <v>621</v>
      </c>
      <c r="C1524" s="125" t="s">
        <v>181</v>
      </c>
      <c r="D1524" t="s">
        <v>7995</v>
      </c>
      <c r="E1524" s="80" t="s">
        <v>9403</v>
      </c>
      <c r="F1524" t="s">
        <v>8217</v>
      </c>
      <c r="G1524" t="s">
        <v>8218</v>
      </c>
      <c r="H1524" t="s">
        <v>9404</v>
      </c>
      <c r="I1524" t="s">
        <v>9405</v>
      </c>
      <c r="J1524" t="s">
        <v>9300</v>
      </c>
      <c r="K1524" t="s">
        <v>9406</v>
      </c>
    </row>
    <row r="1525" spans="1:11" x14ac:dyDescent="0.25">
      <c r="A1525" s="123">
        <v>1524</v>
      </c>
      <c r="B1525" s="90" t="s">
        <v>621</v>
      </c>
      <c r="C1525" s="125" t="s">
        <v>183</v>
      </c>
      <c r="D1525" t="s">
        <v>8273</v>
      </c>
      <c r="E1525" s="80" t="s">
        <v>9407</v>
      </c>
      <c r="F1525" t="s">
        <v>9408</v>
      </c>
      <c r="G1525" t="s">
        <v>7998</v>
      </c>
      <c r="H1525" t="s">
        <v>9409</v>
      </c>
      <c r="I1525" s="80" t="s">
        <v>9410</v>
      </c>
      <c r="J1525" t="s">
        <v>9411</v>
      </c>
      <c r="K1525" t="s">
        <v>9412</v>
      </c>
    </row>
    <row r="1526" spans="1:11" x14ac:dyDescent="0.25">
      <c r="A1526" s="123">
        <v>1525</v>
      </c>
      <c r="B1526" s="90" t="s">
        <v>621</v>
      </c>
      <c r="C1526" s="125" t="s">
        <v>186</v>
      </c>
      <c r="D1526" t="s">
        <v>2163</v>
      </c>
      <c r="E1526" s="80" t="s">
        <v>9413</v>
      </c>
      <c r="F1526" t="s">
        <v>9414</v>
      </c>
      <c r="G1526" t="s">
        <v>7979</v>
      </c>
      <c r="H1526" s="80" t="s">
        <v>9415</v>
      </c>
      <c r="I1526" s="80" t="s">
        <v>9416</v>
      </c>
      <c r="J1526" t="s">
        <v>9417</v>
      </c>
      <c r="K1526" s="80" t="s">
        <v>9418</v>
      </c>
    </row>
    <row r="1527" spans="1:11" x14ac:dyDescent="0.25">
      <c r="A1527" s="123">
        <v>1526</v>
      </c>
      <c r="B1527" s="90" t="s">
        <v>621</v>
      </c>
      <c r="C1527" s="125" t="s">
        <v>188</v>
      </c>
      <c r="D1527" t="s">
        <v>9419</v>
      </c>
      <c r="E1527" s="80" t="s">
        <v>9420</v>
      </c>
      <c r="F1527" t="s">
        <v>9421</v>
      </c>
      <c r="G1527" t="s">
        <v>7979</v>
      </c>
      <c r="H1527" t="s">
        <v>9422</v>
      </c>
      <c r="I1527" s="80" t="s">
        <v>9423</v>
      </c>
      <c r="J1527" t="s">
        <v>4311</v>
      </c>
      <c r="K1527" s="80" t="s">
        <v>9424</v>
      </c>
    </row>
    <row r="1528" spans="1:11" x14ac:dyDescent="0.25">
      <c r="A1528" s="123">
        <v>1527</v>
      </c>
      <c r="B1528" s="90" t="s">
        <v>621</v>
      </c>
      <c r="C1528" s="125" t="s">
        <v>182</v>
      </c>
      <c r="D1528" t="s">
        <v>7990</v>
      </c>
      <c r="E1528" t="s">
        <v>9425</v>
      </c>
      <c r="F1528" t="s">
        <v>9426</v>
      </c>
      <c r="G1528" t="s">
        <v>9233</v>
      </c>
      <c r="H1528" t="s">
        <v>9427</v>
      </c>
      <c r="I1528" s="80" t="s">
        <v>9428</v>
      </c>
      <c r="J1528" t="s">
        <v>5861</v>
      </c>
      <c r="K1528" t="s">
        <v>9429</v>
      </c>
    </row>
    <row r="1529" spans="1:11" x14ac:dyDescent="0.25">
      <c r="A1529" s="123">
        <v>1528</v>
      </c>
      <c r="B1529" s="90" t="s">
        <v>621</v>
      </c>
      <c r="C1529" s="125" t="s">
        <v>184</v>
      </c>
      <c r="D1529" t="s">
        <v>8288</v>
      </c>
      <c r="E1529" t="s">
        <v>9430</v>
      </c>
      <c r="F1529" t="s">
        <v>9431</v>
      </c>
      <c r="G1529" t="s">
        <v>8218</v>
      </c>
      <c r="H1529" t="s">
        <v>9432</v>
      </c>
      <c r="I1529" s="80" t="s">
        <v>9433</v>
      </c>
      <c r="J1529" t="s">
        <v>9382</v>
      </c>
      <c r="K1529" t="s">
        <v>9434</v>
      </c>
    </row>
    <row r="1530" spans="1:11" x14ac:dyDescent="0.25">
      <c r="A1530" s="123">
        <v>1529</v>
      </c>
      <c r="B1530" s="90" t="s">
        <v>621</v>
      </c>
      <c r="C1530" s="125" t="s">
        <v>187</v>
      </c>
      <c r="D1530" t="s">
        <v>9435</v>
      </c>
      <c r="E1530" t="s">
        <v>9436</v>
      </c>
      <c r="F1530" t="s">
        <v>9437</v>
      </c>
      <c r="G1530" t="s">
        <v>7443</v>
      </c>
      <c r="H1530" t="s">
        <v>9438</v>
      </c>
      <c r="I1530" s="80" t="s">
        <v>9439</v>
      </c>
      <c r="J1530" t="s">
        <v>9307</v>
      </c>
      <c r="K1530" t="s">
        <v>9440</v>
      </c>
    </row>
    <row r="1531" spans="1:11" x14ac:dyDescent="0.25">
      <c r="A1531" s="123">
        <v>1530</v>
      </c>
      <c r="B1531" s="90" t="s">
        <v>621</v>
      </c>
      <c r="C1531" s="125" t="s">
        <v>189</v>
      </c>
      <c r="D1531" t="s">
        <v>9441</v>
      </c>
      <c r="E1531" t="s">
        <v>9442</v>
      </c>
      <c r="F1531" t="s">
        <v>9443</v>
      </c>
      <c r="G1531" t="s">
        <v>8269</v>
      </c>
      <c r="H1531" t="s">
        <v>9444</v>
      </c>
      <c r="I1531" s="80" t="s">
        <v>9445</v>
      </c>
      <c r="J1531" t="s">
        <v>9239</v>
      </c>
      <c r="K1531" s="80" t="s">
        <v>9446</v>
      </c>
    </row>
    <row r="1532" spans="1:11" x14ac:dyDescent="0.25">
      <c r="A1532" s="123">
        <v>1531</v>
      </c>
      <c r="B1532" s="10">
        <v>1068</v>
      </c>
      <c r="C1532" s="125" t="s">
        <v>162</v>
      </c>
      <c r="D1532" t="s">
        <v>9386</v>
      </c>
      <c r="E1532" s="80" t="s">
        <v>9447</v>
      </c>
      <c r="F1532" t="s">
        <v>3201</v>
      </c>
      <c r="G1532" t="s">
        <v>8269</v>
      </c>
      <c r="H1532" t="s">
        <v>8219</v>
      </c>
      <c r="I1532" t="s">
        <v>7993</v>
      </c>
      <c r="J1532" t="s">
        <v>6627</v>
      </c>
      <c r="K1532" t="s">
        <v>1648</v>
      </c>
    </row>
    <row r="1533" spans="1:11" x14ac:dyDescent="0.25">
      <c r="A1533" s="123">
        <v>1532</v>
      </c>
      <c r="B1533" s="10">
        <v>1068</v>
      </c>
      <c r="C1533" s="125" t="s">
        <v>170</v>
      </c>
      <c r="D1533" t="s">
        <v>9448</v>
      </c>
      <c r="E1533" s="80" t="s">
        <v>9449</v>
      </c>
      <c r="F1533" t="s">
        <v>9450</v>
      </c>
      <c r="G1533" t="s">
        <v>7998</v>
      </c>
      <c r="H1533" t="s">
        <v>9451</v>
      </c>
      <c r="I1533" s="80" t="s">
        <v>9452</v>
      </c>
      <c r="J1533" t="s">
        <v>3825</v>
      </c>
      <c r="K1533" t="s">
        <v>9453</v>
      </c>
    </row>
    <row r="1534" spans="1:11" x14ac:dyDescent="0.25">
      <c r="A1534" s="123">
        <v>1533</v>
      </c>
      <c r="B1534" s="10">
        <v>1068</v>
      </c>
      <c r="C1534" s="125" t="s">
        <v>178</v>
      </c>
      <c r="D1534" t="s">
        <v>9454</v>
      </c>
      <c r="E1534" s="80" t="s">
        <v>9455</v>
      </c>
      <c r="F1534" t="s">
        <v>9456</v>
      </c>
      <c r="G1534" t="s">
        <v>7979</v>
      </c>
      <c r="H1534" s="80" t="s">
        <v>9457</v>
      </c>
      <c r="I1534" s="80" t="s">
        <v>9458</v>
      </c>
      <c r="J1534" t="s">
        <v>9459</v>
      </c>
      <c r="K1534" t="s">
        <v>9460</v>
      </c>
    </row>
    <row r="1535" spans="1:11" x14ac:dyDescent="0.25">
      <c r="A1535" s="123">
        <v>1534</v>
      </c>
      <c r="B1535" s="10">
        <v>1068</v>
      </c>
      <c r="C1535" s="125" t="s">
        <v>163</v>
      </c>
      <c r="D1535" t="s">
        <v>9461</v>
      </c>
      <c r="E1535" t="s">
        <v>9462</v>
      </c>
      <c r="F1535" t="s">
        <v>9463</v>
      </c>
      <c r="G1535" t="s">
        <v>7979</v>
      </c>
      <c r="H1535" s="80" t="s">
        <v>9464</v>
      </c>
      <c r="I1535" s="80" t="s">
        <v>9465</v>
      </c>
      <c r="J1535" t="s">
        <v>9466</v>
      </c>
      <c r="K1535" s="111" t="s">
        <v>852</v>
      </c>
    </row>
    <row r="1536" spans="1:11" x14ac:dyDescent="0.25">
      <c r="A1536" s="123">
        <v>1535</v>
      </c>
      <c r="B1536" s="10">
        <v>1068</v>
      </c>
      <c r="C1536" s="125" t="s">
        <v>181</v>
      </c>
      <c r="D1536" t="s">
        <v>9254</v>
      </c>
      <c r="E1536" s="80" t="s">
        <v>9467</v>
      </c>
      <c r="F1536" t="s">
        <v>7097</v>
      </c>
      <c r="G1536" t="s">
        <v>8269</v>
      </c>
      <c r="H1536" t="s">
        <v>9468</v>
      </c>
      <c r="I1536" t="s">
        <v>9469</v>
      </c>
      <c r="J1536" t="s">
        <v>6627</v>
      </c>
      <c r="K1536" t="s">
        <v>9470</v>
      </c>
    </row>
    <row r="1537" spans="1:11" x14ac:dyDescent="0.25">
      <c r="A1537" s="123">
        <v>1536</v>
      </c>
      <c r="B1537" s="10">
        <v>1068</v>
      </c>
      <c r="C1537" s="125" t="s">
        <v>183</v>
      </c>
      <c r="D1537" t="s">
        <v>8109</v>
      </c>
      <c r="E1537" s="80" t="s">
        <v>9449</v>
      </c>
      <c r="F1537" t="s">
        <v>9471</v>
      </c>
      <c r="G1537" t="s">
        <v>8077</v>
      </c>
      <c r="H1537" t="s">
        <v>9472</v>
      </c>
      <c r="I1537" s="80" t="s">
        <v>9473</v>
      </c>
      <c r="J1537" t="s">
        <v>9401</v>
      </c>
      <c r="K1537" s="80" t="s">
        <v>9474</v>
      </c>
    </row>
    <row r="1538" spans="1:11" x14ac:dyDescent="0.25">
      <c r="A1538" s="123">
        <v>1537</v>
      </c>
      <c r="B1538" s="10">
        <v>1068</v>
      </c>
      <c r="C1538" s="125" t="s">
        <v>186</v>
      </c>
      <c r="D1538" t="s">
        <v>9475</v>
      </c>
      <c r="E1538" t="s">
        <v>9476</v>
      </c>
      <c r="F1538" t="s">
        <v>9477</v>
      </c>
      <c r="G1538" t="s">
        <v>7959</v>
      </c>
      <c r="H1538" s="80" t="s">
        <v>9478</v>
      </c>
      <c r="I1538" s="80" t="s">
        <v>9479</v>
      </c>
      <c r="J1538" t="s">
        <v>9480</v>
      </c>
      <c r="K1538" s="80" t="s">
        <v>9481</v>
      </c>
    </row>
    <row r="1539" spans="1:11" x14ac:dyDescent="0.25">
      <c r="A1539" s="123">
        <v>1538</v>
      </c>
      <c r="B1539" s="10">
        <v>1068</v>
      </c>
      <c r="C1539" s="125" t="s">
        <v>188</v>
      </c>
      <c r="D1539" t="s">
        <v>7970</v>
      </c>
      <c r="E1539" s="80" t="s">
        <v>9482</v>
      </c>
      <c r="F1539" t="s">
        <v>9483</v>
      </c>
      <c r="G1539" t="s">
        <v>7973</v>
      </c>
      <c r="H1539" s="80" t="s">
        <v>9484</v>
      </c>
      <c r="I1539" s="80" t="s">
        <v>9485</v>
      </c>
      <c r="J1539" t="s">
        <v>9486</v>
      </c>
      <c r="K1539" s="111" t="s">
        <v>854</v>
      </c>
    </row>
    <row r="1540" spans="1:11" x14ac:dyDescent="0.25">
      <c r="A1540" s="123">
        <v>1539</v>
      </c>
      <c r="B1540" s="10">
        <v>1068</v>
      </c>
      <c r="C1540" s="125" t="s">
        <v>182</v>
      </c>
      <c r="D1540" s="80" t="s">
        <v>7565</v>
      </c>
      <c r="E1540" t="s">
        <v>9487</v>
      </c>
      <c r="F1540" t="s">
        <v>5721</v>
      </c>
      <c r="G1540" t="s">
        <v>583</v>
      </c>
      <c r="H1540" t="s">
        <v>6232</v>
      </c>
      <c r="I1540" t="s">
        <v>9488</v>
      </c>
      <c r="J1540" s="80" t="s">
        <v>3201</v>
      </c>
      <c r="K1540" t="s">
        <v>1548</v>
      </c>
    </row>
    <row r="1541" spans="1:11" x14ac:dyDescent="0.25">
      <c r="A1541" s="123">
        <v>1540</v>
      </c>
      <c r="B1541" s="10">
        <v>1068</v>
      </c>
      <c r="C1541" s="125" t="s">
        <v>184</v>
      </c>
      <c r="D1541" t="s">
        <v>9489</v>
      </c>
      <c r="E1541" t="s">
        <v>9490</v>
      </c>
      <c r="F1541" t="s">
        <v>5840</v>
      </c>
      <c r="G1541" t="s">
        <v>8218</v>
      </c>
      <c r="H1541" t="s">
        <v>9491</v>
      </c>
      <c r="I1541" s="80" t="s">
        <v>9492</v>
      </c>
      <c r="J1541" t="s">
        <v>9273</v>
      </c>
      <c r="K1541" t="s">
        <v>9493</v>
      </c>
    </row>
    <row r="1542" spans="1:11" x14ac:dyDescent="0.25">
      <c r="A1542" s="123">
        <v>1541</v>
      </c>
      <c r="B1542" s="10">
        <v>1068</v>
      </c>
      <c r="C1542" s="125" t="s">
        <v>187</v>
      </c>
      <c r="D1542" t="s">
        <v>9494</v>
      </c>
      <c r="E1542" t="s">
        <v>9495</v>
      </c>
      <c r="F1542" t="s">
        <v>9496</v>
      </c>
      <c r="G1542" t="s">
        <v>7443</v>
      </c>
      <c r="H1542" t="s">
        <v>9497</v>
      </c>
      <c r="I1542" s="80" t="s">
        <v>9498</v>
      </c>
      <c r="J1542" t="s">
        <v>9251</v>
      </c>
      <c r="K1542" t="s">
        <v>9499</v>
      </c>
    </row>
    <row r="1543" spans="1:11" x14ac:dyDescent="0.25">
      <c r="A1543" s="123">
        <v>1542</v>
      </c>
      <c r="B1543" s="10">
        <v>1068</v>
      </c>
      <c r="C1543" s="125" t="s">
        <v>189</v>
      </c>
      <c r="D1543" t="s">
        <v>9489</v>
      </c>
      <c r="E1543" t="s">
        <v>9500</v>
      </c>
      <c r="F1543" t="s">
        <v>9501</v>
      </c>
      <c r="G1543" t="s">
        <v>9502</v>
      </c>
      <c r="H1543" t="s">
        <v>9503</v>
      </c>
      <c r="I1543" s="80" t="s">
        <v>9504</v>
      </c>
      <c r="J1543" t="s">
        <v>9505</v>
      </c>
      <c r="K1543" t="s">
        <v>9506</v>
      </c>
    </row>
    <row r="1544" spans="1:11" x14ac:dyDescent="0.25">
      <c r="A1544" s="123">
        <v>1543</v>
      </c>
      <c r="B1544" s="10">
        <v>1069</v>
      </c>
      <c r="C1544" s="125" t="s">
        <v>162</v>
      </c>
      <c r="D1544" t="s">
        <v>1832</v>
      </c>
      <c r="E1544" s="111" t="s">
        <v>855</v>
      </c>
      <c r="F1544" t="s">
        <v>3765</v>
      </c>
      <c r="G1544" t="s">
        <v>9270</v>
      </c>
      <c r="H1544" t="s">
        <v>8506</v>
      </c>
      <c r="I1544" t="s">
        <v>5311</v>
      </c>
      <c r="J1544" t="s">
        <v>9330</v>
      </c>
      <c r="K1544" t="s">
        <v>9507</v>
      </c>
    </row>
    <row r="1545" spans="1:11" x14ac:dyDescent="0.25">
      <c r="A1545" s="123">
        <v>1544</v>
      </c>
      <c r="B1545" s="10">
        <v>1069</v>
      </c>
      <c r="C1545" s="125" t="s">
        <v>170</v>
      </c>
      <c r="D1545" t="s">
        <v>9475</v>
      </c>
      <c r="E1545" s="80" t="s">
        <v>9508</v>
      </c>
      <c r="F1545" t="s">
        <v>8878</v>
      </c>
      <c r="G1545" t="s">
        <v>8077</v>
      </c>
      <c r="H1545" t="s">
        <v>9509</v>
      </c>
      <c r="I1545" s="80" t="s">
        <v>9510</v>
      </c>
      <c r="J1545" t="s">
        <v>9251</v>
      </c>
      <c r="K1545" t="s">
        <v>9511</v>
      </c>
    </row>
    <row r="1546" spans="1:11" x14ac:dyDescent="0.25">
      <c r="A1546" s="123">
        <v>1545</v>
      </c>
      <c r="B1546" s="10">
        <v>1069</v>
      </c>
      <c r="C1546" s="125" t="s">
        <v>178</v>
      </c>
      <c r="D1546" t="s">
        <v>8252</v>
      </c>
      <c r="E1546" s="80" t="s">
        <v>9512</v>
      </c>
      <c r="F1546" t="s">
        <v>9513</v>
      </c>
      <c r="G1546" t="s">
        <v>7973</v>
      </c>
      <c r="H1546" t="s">
        <v>9514</v>
      </c>
      <c r="I1546" s="80" t="s">
        <v>9515</v>
      </c>
      <c r="J1546" t="s">
        <v>9516</v>
      </c>
      <c r="K1546" t="s">
        <v>9517</v>
      </c>
    </row>
    <row r="1547" spans="1:11" x14ac:dyDescent="0.25">
      <c r="A1547" s="123">
        <v>1546</v>
      </c>
      <c r="B1547" s="10">
        <v>1069</v>
      </c>
      <c r="C1547" s="125" t="s">
        <v>163</v>
      </c>
      <c r="D1547">
        <v>40</v>
      </c>
      <c r="E1547" s="111" t="s">
        <v>857</v>
      </c>
      <c r="F1547">
        <v>106</v>
      </c>
      <c r="G1547" t="s">
        <v>8138</v>
      </c>
      <c r="H1547" t="s">
        <v>9518</v>
      </c>
      <c r="I1547" s="80" t="s">
        <v>9519</v>
      </c>
      <c r="J1547" t="s">
        <v>9520</v>
      </c>
      <c r="K1547" s="111" t="s">
        <v>858</v>
      </c>
    </row>
    <row r="1548" spans="1:11" x14ac:dyDescent="0.25">
      <c r="A1548" s="123">
        <v>1547</v>
      </c>
      <c r="B1548" s="10">
        <v>1069</v>
      </c>
      <c r="C1548" s="125" t="s">
        <v>181</v>
      </c>
      <c r="D1548" t="s">
        <v>7995</v>
      </c>
      <c r="E1548" s="111" t="s">
        <v>859</v>
      </c>
      <c r="F1548" t="s">
        <v>3065</v>
      </c>
      <c r="G1548" t="s">
        <v>8218</v>
      </c>
      <c r="H1548" t="s">
        <v>7812</v>
      </c>
      <c r="I1548" t="s">
        <v>9521</v>
      </c>
      <c r="J1548" t="s">
        <v>9239</v>
      </c>
      <c r="K1548" t="s">
        <v>9522</v>
      </c>
    </row>
    <row r="1549" spans="1:11" x14ac:dyDescent="0.25">
      <c r="A1549" s="123">
        <v>1548</v>
      </c>
      <c r="B1549" s="10">
        <v>1069</v>
      </c>
      <c r="C1549" s="125" t="s">
        <v>183</v>
      </c>
      <c r="D1549" t="s">
        <v>8101</v>
      </c>
      <c r="E1549" s="80" t="s">
        <v>9523</v>
      </c>
      <c r="F1549" t="s">
        <v>9524</v>
      </c>
      <c r="G1549" t="s">
        <v>8332</v>
      </c>
      <c r="H1549" t="s">
        <v>9525</v>
      </c>
      <c r="I1549" s="80" t="s">
        <v>9526</v>
      </c>
      <c r="J1549" t="s">
        <v>9527</v>
      </c>
      <c r="K1549" s="80" t="s">
        <v>9528</v>
      </c>
    </row>
    <row r="1550" spans="1:11" x14ac:dyDescent="0.25">
      <c r="A1550" s="123">
        <v>1549</v>
      </c>
      <c r="B1550" s="10">
        <v>1069</v>
      </c>
      <c r="C1550" s="125" t="s">
        <v>186</v>
      </c>
      <c r="D1550" t="s">
        <v>8003</v>
      </c>
      <c r="E1550" s="80" t="s">
        <v>9529</v>
      </c>
      <c r="F1550" t="s">
        <v>9530</v>
      </c>
      <c r="G1550" t="s">
        <v>7952</v>
      </c>
      <c r="H1550" t="s">
        <v>9531</v>
      </c>
      <c r="I1550" s="80" t="s">
        <v>9532</v>
      </c>
      <c r="J1550" t="s">
        <v>9337</v>
      </c>
      <c r="K1550" s="80" t="s">
        <v>9533</v>
      </c>
    </row>
    <row r="1551" spans="1:11" x14ac:dyDescent="0.25">
      <c r="A1551" s="123">
        <v>1550</v>
      </c>
      <c r="B1551" s="10">
        <v>1069</v>
      </c>
      <c r="C1551" s="125" t="s">
        <v>188</v>
      </c>
      <c r="D1551" t="s">
        <v>8109</v>
      </c>
      <c r="E1551" s="80" t="s">
        <v>9534</v>
      </c>
      <c r="F1551" t="s">
        <v>8306</v>
      </c>
      <c r="G1551" t="s">
        <v>8118</v>
      </c>
      <c r="H1551" t="s">
        <v>9535</v>
      </c>
      <c r="I1551" s="80" t="s">
        <v>9536</v>
      </c>
      <c r="J1551" t="s">
        <v>9401</v>
      </c>
      <c r="K1551" s="80" t="s">
        <v>9537</v>
      </c>
    </row>
    <row r="1552" spans="1:11" x14ac:dyDescent="0.25">
      <c r="A1552" s="123">
        <v>1551</v>
      </c>
      <c r="B1552" s="10">
        <v>1069</v>
      </c>
      <c r="C1552" s="125" t="s">
        <v>182</v>
      </c>
      <c r="D1552" t="s">
        <v>8017</v>
      </c>
      <c r="E1552" t="s">
        <v>9538</v>
      </c>
      <c r="F1552" t="s">
        <v>9539</v>
      </c>
      <c r="G1552" t="s">
        <v>8344</v>
      </c>
      <c r="H1552" t="s">
        <v>9540</v>
      </c>
      <c r="I1552" s="80" t="s">
        <v>9541</v>
      </c>
      <c r="J1552" t="s">
        <v>9239</v>
      </c>
      <c r="K1552" t="s">
        <v>9542</v>
      </c>
    </row>
    <row r="1553" spans="1:11" x14ac:dyDescent="0.25">
      <c r="A1553" s="123">
        <v>1552</v>
      </c>
      <c r="B1553" s="10">
        <v>1069</v>
      </c>
      <c r="C1553" s="125" t="s">
        <v>184</v>
      </c>
      <c r="D1553" t="s">
        <v>9543</v>
      </c>
      <c r="E1553" s="80" t="s">
        <v>9544</v>
      </c>
      <c r="F1553" t="s">
        <v>9545</v>
      </c>
      <c r="G1553" t="s">
        <v>9546</v>
      </c>
      <c r="H1553" s="80" t="s">
        <v>9547</v>
      </c>
      <c r="I1553" s="80" t="s">
        <v>9548</v>
      </c>
      <c r="J1553" t="s">
        <v>9549</v>
      </c>
      <c r="K1553" t="s">
        <v>9550</v>
      </c>
    </row>
    <row r="1554" spans="1:11" x14ac:dyDescent="0.25">
      <c r="A1554" s="123">
        <v>1553</v>
      </c>
      <c r="B1554" s="10">
        <v>1069</v>
      </c>
      <c r="C1554" s="125" t="s">
        <v>187</v>
      </c>
      <c r="D1554" t="s">
        <v>9551</v>
      </c>
      <c r="E1554" s="111" t="s">
        <v>860</v>
      </c>
      <c r="F1554" t="s">
        <v>9552</v>
      </c>
      <c r="G1554" t="s">
        <v>9553</v>
      </c>
      <c r="H1554" s="80" t="s">
        <v>9554</v>
      </c>
      <c r="I1554" s="80" t="s">
        <v>9555</v>
      </c>
      <c r="J1554" t="s">
        <v>9556</v>
      </c>
      <c r="K1554" s="80" t="s">
        <v>9557</v>
      </c>
    </row>
    <row r="1555" spans="1:11" x14ac:dyDescent="0.25">
      <c r="A1555" s="123">
        <v>1554</v>
      </c>
      <c r="B1555" s="10">
        <v>1069</v>
      </c>
      <c r="C1555" s="125" t="s">
        <v>189</v>
      </c>
      <c r="D1555" t="s">
        <v>9558</v>
      </c>
      <c r="E1555" s="111" t="s">
        <v>862</v>
      </c>
      <c r="F1555" t="s">
        <v>9559</v>
      </c>
      <c r="G1555" t="s">
        <v>8034</v>
      </c>
      <c r="H1555" s="80" t="s">
        <v>9560</v>
      </c>
      <c r="I1555" s="80" t="s">
        <v>9561</v>
      </c>
      <c r="J1555" t="s">
        <v>9231</v>
      </c>
      <c r="K1555" s="111" t="s">
        <v>863</v>
      </c>
    </row>
    <row r="1556" spans="1:11" x14ac:dyDescent="0.25">
      <c r="A1556" s="123">
        <v>1555</v>
      </c>
      <c r="B1556" s="10">
        <v>3009</v>
      </c>
      <c r="C1556" s="125" t="s">
        <v>162</v>
      </c>
      <c r="D1556" t="s">
        <v>9562</v>
      </c>
      <c r="E1556" t="s">
        <v>9563</v>
      </c>
      <c r="F1556" t="s">
        <v>9316</v>
      </c>
      <c r="G1556" t="s">
        <v>8071</v>
      </c>
      <c r="H1556" t="s">
        <v>7993</v>
      </c>
      <c r="I1556" t="s">
        <v>9564</v>
      </c>
      <c r="J1556" t="s">
        <v>6627</v>
      </c>
      <c r="K1556" t="s">
        <v>5671</v>
      </c>
    </row>
    <row r="1557" spans="1:11" x14ac:dyDescent="0.25">
      <c r="A1557" s="123">
        <v>1556</v>
      </c>
      <c r="B1557" s="10">
        <v>3009</v>
      </c>
      <c r="C1557" s="125" t="s">
        <v>170</v>
      </c>
      <c r="D1557" t="s">
        <v>7995</v>
      </c>
      <c r="E1557" t="s">
        <v>9565</v>
      </c>
      <c r="F1557" t="s">
        <v>9566</v>
      </c>
      <c r="G1557" t="s">
        <v>8218</v>
      </c>
      <c r="H1557" t="s">
        <v>9567</v>
      </c>
      <c r="I1557" s="80" t="s">
        <v>9568</v>
      </c>
      <c r="J1557" t="s">
        <v>9569</v>
      </c>
      <c r="K1557" t="s">
        <v>9570</v>
      </c>
    </row>
    <row r="1558" spans="1:11" x14ac:dyDescent="0.25">
      <c r="A1558" s="123">
        <v>1557</v>
      </c>
      <c r="B1558" s="10">
        <v>3009</v>
      </c>
      <c r="C1558" s="125" t="s">
        <v>178</v>
      </c>
      <c r="D1558" t="s">
        <v>8010</v>
      </c>
      <c r="E1558" s="80" t="s">
        <v>9571</v>
      </c>
      <c r="F1558" t="s">
        <v>9572</v>
      </c>
      <c r="G1558" t="s">
        <v>8077</v>
      </c>
      <c r="H1558" t="s">
        <v>9573</v>
      </c>
      <c r="I1558" s="80" t="s">
        <v>9574</v>
      </c>
      <c r="J1558" t="s">
        <v>9575</v>
      </c>
      <c r="K1558" t="s">
        <v>9576</v>
      </c>
    </row>
    <row r="1559" spans="1:11" x14ac:dyDescent="0.25">
      <c r="A1559" s="123">
        <v>1558</v>
      </c>
      <c r="B1559" s="10">
        <v>3009</v>
      </c>
      <c r="C1559" s="125" t="s">
        <v>163</v>
      </c>
      <c r="D1559" t="s">
        <v>8052</v>
      </c>
      <c r="E1559" s="80" t="s">
        <v>9577</v>
      </c>
      <c r="F1559" t="s">
        <v>9578</v>
      </c>
      <c r="G1559" t="s">
        <v>7973</v>
      </c>
      <c r="H1559" t="s">
        <v>9579</v>
      </c>
      <c r="I1559" s="80" t="s">
        <v>9580</v>
      </c>
      <c r="J1559" t="s">
        <v>9556</v>
      </c>
      <c r="K1559" s="111" t="s">
        <v>865</v>
      </c>
    </row>
    <row r="1560" spans="1:11" x14ac:dyDescent="0.25">
      <c r="A1560" s="123">
        <v>1559</v>
      </c>
      <c r="B1560" s="10">
        <v>3009</v>
      </c>
      <c r="C1560" s="125" t="s">
        <v>181</v>
      </c>
      <c r="D1560" t="s">
        <v>7577</v>
      </c>
      <c r="E1560" s="80" t="s">
        <v>9581</v>
      </c>
      <c r="F1560" t="s">
        <v>8243</v>
      </c>
      <c r="G1560" t="s">
        <v>8366</v>
      </c>
      <c r="H1560" t="s">
        <v>9582</v>
      </c>
      <c r="I1560" t="s">
        <v>9583</v>
      </c>
      <c r="J1560" t="s">
        <v>9382</v>
      </c>
      <c r="K1560" t="s">
        <v>5494</v>
      </c>
    </row>
    <row r="1561" spans="1:11" x14ac:dyDescent="0.25">
      <c r="A1561" s="123">
        <v>1560</v>
      </c>
      <c r="B1561" s="10">
        <v>3009</v>
      </c>
      <c r="C1561" s="125" t="s">
        <v>183</v>
      </c>
      <c r="D1561" t="s">
        <v>8115</v>
      </c>
      <c r="E1561" s="80" t="s">
        <v>9584</v>
      </c>
      <c r="F1561" t="s">
        <v>9585</v>
      </c>
      <c r="G1561" t="s">
        <v>8104</v>
      </c>
      <c r="H1561" t="s">
        <v>9586</v>
      </c>
      <c r="I1561" s="80" t="s">
        <v>9587</v>
      </c>
      <c r="J1561" t="s">
        <v>9588</v>
      </c>
      <c r="K1561" t="s">
        <v>9589</v>
      </c>
    </row>
    <row r="1562" spans="1:11" x14ac:dyDescent="0.25">
      <c r="A1562" s="123">
        <v>1561</v>
      </c>
      <c r="B1562" s="10">
        <v>3009</v>
      </c>
      <c r="C1562" s="125" t="s">
        <v>186</v>
      </c>
      <c r="D1562" t="s">
        <v>8003</v>
      </c>
      <c r="E1562" s="80" t="s">
        <v>9590</v>
      </c>
      <c r="F1562" t="s">
        <v>9591</v>
      </c>
      <c r="G1562" t="s">
        <v>9592</v>
      </c>
      <c r="H1562" t="s">
        <v>9593</v>
      </c>
      <c r="I1562" s="80" t="s">
        <v>9594</v>
      </c>
      <c r="J1562" t="s">
        <v>9401</v>
      </c>
      <c r="K1562" s="80" t="s">
        <v>9595</v>
      </c>
    </row>
    <row r="1563" spans="1:11" x14ac:dyDescent="0.25">
      <c r="A1563" s="123">
        <v>1562</v>
      </c>
      <c r="B1563" s="10">
        <v>3009</v>
      </c>
      <c r="C1563" s="125" t="s">
        <v>188</v>
      </c>
      <c r="D1563" t="s">
        <v>7984</v>
      </c>
      <c r="E1563" s="80" t="s">
        <v>9596</v>
      </c>
      <c r="F1563" t="s">
        <v>9597</v>
      </c>
      <c r="G1563" t="s">
        <v>7973</v>
      </c>
      <c r="H1563" t="s">
        <v>9598</v>
      </c>
      <c r="I1563" s="80" t="s">
        <v>9599</v>
      </c>
      <c r="J1563" t="s">
        <v>9520</v>
      </c>
      <c r="K1563" s="111" t="s">
        <v>867</v>
      </c>
    </row>
    <row r="1564" spans="1:11" x14ac:dyDescent="0.25">
      <c r="A1564" s="123">
        <v>1563</v>
      </c>
      <c r="B1564" s="10">
        <v>3009</v>
      </c>
      <c r="C1564" s="125" t="s">
        <v>182</v>
      </c>
      <c r="D1564" t="s">
        <v>3290</v>
      </c>
      <c r="E1564" t="s">
        <v>9600</v>
      </c>
      <c r="F1564" t="s">
        <v>7184</v>
      </c>
      <c r="G1564" t="s">
        <v>9233</v>
      </c>
      <c r="H1564" t="s">
        <v>5770</v>
      </c>
      <c r="I1564" t="s">
        <v>9601</v>
      </c>
      <c r="J1564" t="s">
        <v>9602</v>
      </c>
      <c r="K1564" t="s">
        <v>5312</v>
      </c>
    </row>
    <row r="1565" spans="1:11" x14ac:dyDescent="0.25">
      <c r="A1565" s="123">
        <v>1564</v>
      </c>
      <c r="B1565" s="10">
        <v>3009</v>
      </c>
      <c r="C1565" s="125" t="s">
        <v>184</v>
      </c>
      <c r="D1565" t="s">
        <v>7970</v>
      </c>
      <c r="E1565" t="s">
        <v>9476</v>
      </c>
      <c r="F1565" t="s">
        <v>7973</v>
      </c>
      <c r="G1565" t="s">
        <v>8118</v>
      </c>
      <c r="H1565" t="s">
        <v>9603</v>
      </c>
      <c r="I1565" s="80" t="s">
        <v>9604</v>
      </c>
      <c r="J1565" t="s">
        <v>9505</v>
      </c>
      <c r="K1565" t="s">
        <v>9605</v>
      </c>
    </row>
    <row r="1566" spans="1:11" x14ac:dyDescent="0.25">
      <c r="A1566" s="123">
        <v>1565</v>
      </c>
      <c r="B1566" s="10">
        <v>3009</v>
      </c>
      <c r="C1566" s="125" t="s">
        <v>187</v>
      </c>
      <c r="D1566" t="s">
        <v>7964</v>
      </c>
      <c r="E1566" s="80" t="s">
        <v>9606</v>
      </c>
      <c r="F1566" t="s">
        <v>9607</v>
      </c>
      <c r="G1566" t="s">
        <v>8118</v>
      </c>
      <c r="H1566" s="80" t="s">
        <v>9608</v>
      </c>
      <c r="I1566" s="80" t="s">
        <v>9609</v>
      </c>
      <c r="J1566" t="s">
        <v>9337</v>
      </c>
      <c r="K1566" s="80" t="s">
        <v>9610</v>
      </c>
    </row>
    <row r="1567" spans="1:11" x14ac:dyDescent="0.25">
      <c r="A1567" s="123">
        <v>1566</v>
      </c>
      <c r="B1567" s="10">
        <v>3009</v>
      </c>
      <c r="C1567" s="125" t="s">
        <v>189</v>
      </c>
      <c r="D1567">
        <v>36</v>
      </c>
      <c r="E1567" t="s">
        <v>9611</v>
      </c>
      <c r="F1567" t="s">
        <v>9612</v>
      </c>
      <c r="G1567" t="s">
        <v>8332</v>
      </c>
      <c r="H1567" s="80" t="s">
        <v>9613</v>
      </c>
      <c r="I1567" s="80" t="s">
        <v>9614</v>
      </c>
      <c r="J1567" t="s">
        <v>9615</v>
      </c>
      <c r="K1567" s="80" t="s">
        <v>9616</v>
      </c>
    </row>
    <row r="1568" spans="1:11" x14ac:dyDescent="0.25">
      <c r="A1568" s="123">
        <v>1567</v>
      </c>
      <c r="B1568" s="10">
        <v>3010</v>
      </c>
      <c r="C1568" s="125" t="s">
        <v>182</v>
      </c>
      <c r="D1568" t="s">
        <v>583</v>
      </c>
      <c r="E1568" t="s">
        <v>9617</v>
      </c>
      <c r="F1568" t="s">
        <v>583</v>
      </c>
      <c r="G1568" t="s">
        <v>583</v>
      </c>
      <c r="H1568" t="s">
        <v>583</v>
      </c>
      <c r="I1568" t="s">
        <v>2384</v>
      </c>
      <c r="J1568" t="s">
        <v>583</v>
      </c>
      <c r="K1568" s="80" t="s">
        <v>2380</v>
      </c>
    </row>
    <row r="1569" spans="1:11" x14ac:dyDescent="0.25">
      <c r="A1569" s="123">
        <v>1568</v>
      </c>
      <c r="B1569" s="10">
        <v>3010</v>
      </c>
      <c r="C1569" s="125" t="s">
        <v>184</v>
      </c>
      <c r="D1569" t="s">
        <v>9360</v>
      </c>
      <c r="E1569" t="s">
        <v>9618</v>
      </c>
      <c r="F1569" t="s">
        <v>2335</v>
      </c>
      <c r="G1569" t="s">
        <v>3898</v>
      </c>
      <c r="H1569" t="s">
        <v>9619</v>
      </c>
      <c r="I1569" s="80" t="s">
        <v>9620</v>
      </c>
      <c r="J1569" t="s">
        <v>9621</v>
      </c>
      <c r="K1569" t="s">
        <v>9622</v>
      </c>
    </row>
    <row r="1570" spans="1:11" x14ac:dyDescent="0.25">
      <c r="A1570" s="123">
        <v>1569</v>
      </c>
      <c r="B1570" s="10">
        <v>3010</v>
      </c>
      <c r="C1570" s="125" t="s">
        <v>187</v>
      </c>
      <c r="D1570" t="s">
        <v>9360</v>
      </c>
      <c r="E1570">
        <v>2285</v>
      </c>
      <c r="F1570" t="s">
        <v>9623</v>
      </c>
      <c r="G1570" t="s">
        <v>9233</v>
      </c>
      <c r="H1570" t="s">
        <v>8624</v>
      </c>
      <c r="I1570" s="80" t="s">
        <v>9624</v>
      </c>
      <c r="J1570" t="s">
        <v>9366</v>
      </c>
      <c r="K1570" t="s">
        <v>9625</v>
      </c>
    </row>
    <row r="1571" spans="1:11" x14ac:dyDescent="0.25">
      <c r="A1571" s="123">
        <v>1570</v>
      </c>
      <c r="B1571" s="10">
        <v>3010</v>
      </c>
      <c r="C1571" s="125" t="s">
        <v>189</v>
      </c>
      <c r="D1571" s="80" t="s">
        <v>7565</v>
      </c>
      <c r="E1571" t="s">
        <v>9626</v>
      </c>
      <c r="F1571" t="s">
        <v>9318</v>
      </c>
      <c r="G1571" t="s">
        <v>9233</v>
      </c>
      <c r="H1571" t="s">
        <v>9627</v>
      </c>
      <c r="I1571" s="80" t="s">
        <v>9628</v>
      </c>
      <c r="J1571" t="s">
        <v>9602</v>
      </c>
      <c r="K1571" t="s">
        <v>9629</v>
      </c>
    </row>
    <row r="1572" spans="1:11" x14ac:dyDescent="0.25">
      <c r="A1572" s="123">
        <v>1571</v>
      </c>
      <c r="B1572" s="10">
        <v>3008</v>
      </c>
      <c r="C1572" s="125" t="s">
        <v>182</v>
      </c>
      <c r="D1572" s="80" t="s">
        <v>7565</v>
      </c>
      <c r="E1572" t="s">
        <v>9630</v>
      </c>
      <c r="F1572" t="s">
        <v>583</v>
      </c>
      <c r="G1572" t="s">
        <v>583</v>
      </c>
      <c r="H1572" t="s">
        <v>583</v>
      </c>
      <c r="I1572" t="s">
        <v>5282</v>
      </c>
      <c r="J1572" t="s">
        <v>583</v>
      </c>
      <c r="K1572" t="s">
        <v>583</v>
      </c>
    </row>
    <row r="1573" spans="1:11" x14ac:dyDescent="0.25">
      <c r="A1573" s="123">
        <v>1572</v>
      </c>
      <c r="B1573" s="10">
        <v>3008</v>
      </c>
      <c r="C1573" s="125" t="s">
        <v>184</v>
      </c>
      <c r="D1573" s="80" t="s">
        <v>7565</v>
      </c>
      <c r="E1573" t="s">
        <v>9631</v>
      </c>
      <c r="F1573" t="s">
        <v>5749</v>
      </c>
      <c r="G1573" t="s">
        <v>3898</v>
      </c>
      <c r="H1573" t="s">
        <v>9632</v>
      </c>
      <c r="I1573" t="s">
        <v>9633</v>
      </c>
      <c r="J1573" t="s">
        <v>8367</v>
      </c>
      <c r="K1573" t="s">
        <v>4323</v>
      </c>
    </row>
    <row r="1574" spans="1:11" x14ac:dyDescent="0.25">
      <c r="A1574" s="123">
        <v>1573</v>
      </c>
      <c r="B1574" s="10">
        <v>3008</v>
      </c>
      <c r="C1574" s="125" t="s">
        <v>187</v>
      </c>
      <c r="D1574" t="s">
        <v>3290</v>
      </c>
      <c r="E1574" t="s">
        <v>9634</v>
      </c>
      <c r="F1574" t="s">
        <v>9635</v>
      </c>
      <c r="G1574" t="s">
        <v>3898</v>
      </c>
      <c r="H1574" t="s">
        <v>9636</v>
      </c>
      <c r="I1574" s="80" t="s">
        <v>9637</v>
      </c>
      <c r="J1574" t="s">
        <v>9366</v>
      </c>
      <c r="K1574" t="s">
        <v>8653</v>
      </c>
    </row>
    <row r="1575" spans="1:11" x14ac:dyDescent="0.25">
      <c r="A1575" s="123">
        <v>1574</v>
      </c>
      <c r="B1575" s="10">
        <v>3008</v>
      </c>
      <c r="C1575" s="125" t="s">
        <v>189</v>
      </c>
      <c r="D1575" t="s">
        <v>583</v>
      </c>
      <c r="E1575" t="s">
        <v>9638</v>
      </c>
      <c r="F1575" t="s">
        <v>9639</v>
      </c>
      <c r="G1575" t="s">
        <v>583</v>
      </c>
      <c r="H1575" t="s">
        <v>9640</v>
      </c>
      <c r="I1575" t="s">
        <v>9641</v>
      </c>
      <c r="J1575" t="s">
        <v>9621</v>
      </c>
      <c r="K1575" t="s">
        <v>9642</v>
      </c>
    </row>
    <row r="1576" spans="1:11" x14ac:dyDescent="0.25">
      <c r="A1576" s="123">
        <v>1575</v>
      </c>
      <c r="B1576" s="10">
        <v>2040</v>
      </c>
      <c r="C1576" s="125" t="s">
        <v>162</v>
      </c>
      <c r="D1576" t="s">
        <v>8122</v>
      </c>
      <c r="E1576" t="s">
        <v>9643</v>
      </c>
      <c r="F1576" t="s">
        <v>5515</v>
      </c>
      <c r="G1576" t="s">
        <v>8104</v>
      </c>
      <c r="H1576" t="s">
        <v>5858</v>
      </c>
      <c r="I1576" t="s">
        <v>5799</v>
      </c>
      <c r="J1576" t="s">
        <v>9366</v>
      </c>
      <c r="K1576" t="s">
        <v>4478</v>
      </c>
    </row>
    <row r="1577" spans="1:11" x14ac:dyDescent="0.25">
      <c r="A1577" s="123">
        <v>1576</v>
      </c>
      <c r="B1577" s="10">
        <v>2040</v>
      </c>
      <c r="C1577" s="125" t="s">
        <v>170</v>
      </c>
      <c r="D1577" t="s">
        <v>9386</v>
      </c>
      <c r="E1577" t="s">
        <v>9644</v>
      </c>
      <c r="F1577" t="s">
        <v>9645</v>
      </c>
      <c r="G1577" t="s">
        <v>9646</v>
      </c>
      <c r="H1577" t="s">
        <v>6379</v>
      </c>
      <c r="I1577" s="80" t="s">
        <v>9647</v>
      </c>
      <c r="J1577" t="s">
        <v>6627</v>
      </c>
      <c r="K1577" t="s">
        <v>9648</v>
      </c>
    </row>
    <row r="1578" spans="1:11" x14ac:dyDescent="0.25">
      <c r="A1578" s="123">
        <v>1577</v>
      </c>
      <c r="B1578" s="10">
        <v>2040</v>
      </c>
      <c r="C1578" s="125" t="s">
        <v>178</v>
      </c>
      <c r="D1578" t="s">
        <v>9649</v>
      </c>
      <c r="E1578" t="s">
        <v>9650</v>
      </c>
      <c r="F1578" t="s">
        <v>9651</v>
      </c>
      <c r="G1578" t="s">
        <v>9652</v>
      </c>
      <c r="H1578" t="s">
        <v>9653</v>
      </c>
      <c r="I1578" s="80" t="s">
        <v>9654</v>
      </c>
      <c r="J1578" t="s">
        <v>9655</v>
      </c>
      <c r="K1578" t="s">
        <v>9656</v>
      </c>
    </row>
    <row r="1579" spans="1:11" x14ac:dyDescent="0.25">
      <c r="A1579" s="123">
        <v>1578</v>
      </c>
      <c r="B1579" s="10">
        <v>2040</v>
      </c>
      <c r="C1579" s="125" t="s">
        <v>163</v>
      </c>
      <c r="D1579" t="s">
        <v>9657</v>
      </c>
      <c r="E1579" t="s">
        <v>9658</v>
      </c>
      <c r="F1579" t="s">
        <v>3983</v>
      </c>
      <c r="G1579" t="s">
        <v>9652</v>
      </c>
      <c r="H1579" t="s">
        <v>9659</v>
      </c>
      <c r="I1579" s="80" t="s">
        <v>9660</v>
      </c>
      <c r="J1579" t="s">
        <v>9323</v>
      </c>
      <c r="K1579" t="s">
        <v>9661</v>
      </c>
    </row>
    <row r="1580" spans="1:11" x14ac:dyDescent="0.25">
      <c r="A1580" s="123">
        <v>1579</v>
      </c>
      <c r="B1580" s="10">
        <v>2040</v>
      </c>
      <c r="C1580" s="125" t="s">
        <v>181</v>
      </c>
      <c r="D1580" t="s">
        <v>9662</v>
      </c>
      <c r="E1580" s="80" t="s">
        <v>9663</v>
      </c>
      <c r="F1580" t="s">
        <v>5799</v>
      </c>
      <c r="G1580" t="s">
        <v>9664</v>
      </c>
      <c r="H1580" t="s">
        <v>8506</v>
      </c>
      <c r="I1580" t="s">
        <v>9665</v>
      </c>
      <c r="J1580" t="s">
        <v>9341</v>
      </c>
      <c r="K1580" t="s">
        <v>9666</v>
      </c>
    </row>
    <row r="1581" spans="1:11" x14ac:dyDescent="0.25">
      <c r="A1581" s="123">
        <v>1580</v>
      </c>
      <c r="B1581" s="10">
        <v>2040</v>
      </c>
      <c r="C1581" s="125" t="s">
        <v>183</v>
      </c>
      <c r="D1581" t="s">
        <v>8135</v>
      </c>
      <c r="E1581" s="80" t="s">
        <v>9667</v>
      </c>
      <c r="F1581" t="s">
        <v>9668</v>
      </c>
      <c r="G1581" t="s">
        <v>9669</v>
      </c>
      <c r="H1581" t="s">
        <v>9670</v>
      </c>
      <c r="I1581" s="80" t="s">
        <v>9671</v>
      </c>
      <c r="J1581" t="s">
        <v>9672</v>
      </c>
      <c r="K1581" t="s">
        <v>9673</v>
      </c>
    </row>
    <row r="1582" spans="1:11" x14ac:dyDescent="0.25">
      <c r="A1582" s="123">
        <v>1581</v>
      </c>
      <c r="B1582" s="10">
        <v>2040</v>
      </c>
      <c r="C1582" s="125" t="s">
        <v>186</v>
      </c>
      <c r="D1582" t="s">
        <v>8180</v>
      </c>
      <c r="E1582" t="s">
        <v>9674</v>
      </c>
      <c r="F1582" t="s">
        <v>9675</v>
      </c>
      <c r="G1582" t="s">
        <v>9676</v>
      </c>
      <c r="H1582" s="80" t="s">
        <v>9677</v>
      </c>
      <c r="I1582" s="80" t="s">
        <v>9678</v>
      </c>
      <c r="J1582" t="s">
        <v>9615</v>
      </c>
      <c r="K1582" s="80" t="s">
        <v>9679</v>
      </c>
    </row>
    <row r="1583" spans="1:11" x14ac:dyDescent="0.25">
      <c r="A1583" s="123">
        <v>1582</v>
      </c>
      <c r="B1583" s="10">
        <v>2040</v>
      </c>
      <c r="C1583" s="125" t="s">
        <v>188</v>
      </c>
      <c r="D1583" t="s">
        <v>8180</v>
      </c>
      <c r="E1583" s="80" t="s">
        <v>9680</v>
      </c>
      <c r="F1583" t="s">
        <v>9681</v>
      </c>
      <c r="G1583" t="s">
        <v>9682</v>
      </c>
      <c r="H1583" t="s">
        <v>9683</v>
      </c>
      <c r="I1583" s="80" t="s">
        <v>9684</v>
      </c>
      <c r="J1583" t="s">
        <v>9251</v>
      </c>
      <c r="K1583" t="s">
        <v>9685</v>
      </c>
    </row>
    <row r="1584" spans="1:11" x14ac:dyDescent="0.25">
      <c r="A1584" s="123">
        <v>1583</v>
      </c>
      <c r="B1584" s="10">
        <v>2040</v>
      </c>
      <c r="C1584" s="125" t="s">
        <v>182</v>
      </c>
      <c r="D1584" s="80" t="s">
        <v>5282</v>
      </c>
      <c r="E1584" t="s">
        <v>9686</v>
      </c>
      <c r="F1584" t="s">
        <v>583</v>
      </c>
      <c r="G1584" t="s">
        <v>583</v>
      </c>
      <c r="H1584" t="s">
        <v>5858</v>
      </c>
      <c r="I1584" t="s">
        <v>9687</v>
      </c>
      <c r="J1584" s="80" t="s">
        <v>3201</v>
      </c>
      <c r="K1584" t="s">
        <v>7184</v>
      </c>
    </row>
    <row r="1585" spans="1:11" x14ac:dyDescent="0.25">
      <c r="A1585" s="123">
        <v>1584</v>
      </c>
      <c r="B1585" s="10">
        <v>2040</v>
      </c>
      <c r="C1585" s="125" t="s">
        <v>184</v>
      </c>
      <c r="D1585" t="s">
        <v>5405</v>
      </c>
      <c r="E1585" t="s">
        <v>9688</v>
      </c>
      <c r="F1585" t="s">
        <v>9689</v>
      </c>
      <c r="G1585" t="s">
        <v>9664</v>
      </c>
      <c r="H1585" t="s">
        <v>9690</v>
      </c>
      <c r="I1585" s="80" t="s">
        <v>9691</v>
      </c>
      <c r="J1585" t="s">
        <v>9655</v>
      </c>
      <c r="K1585" t="s">
        <v>9692</v>
      </c>
    </row>
    <row r="1586" spans="1:11" x14ac:dyDescent="0.25">
      <c r="A1586" s="123">
        <v>1585</v>
      </c>
      <c r="B1586" s="10">
        <v>2040</v>
      </c>
      <c r="C1586" s="125" t="s">
        <v>187</v>
      </c>
      <c r="D1586" t="s">
        <v>9693</v>
      </c>
      <c r="E1586" t="s">
        <v>9694</v>
      </c>
      <c r="F1586" t="s">
        <v>9695</v>
      </c>
      <c r="G1586" t="s">
        <v>9696</v>
      </c>
      <c r="H1586" t="s">
        <v>9697</v>
      </c>
      <c r="I1586" s="80" t="s">
        <v>9698</v>
      </c>
      <c r="J1586" t="s">
        <v>9273</v>
      </c>
      <c r="K1586" t="s">
        <v>9699</v>
      </c>
    </row>
    <row r="1587" spans="1:11" x14ac:dyDescent="0.25">
      <c r="A1587" s="123">
        <v>1586</v>
      </c>
      <c r="B1587" s="10">
        <v>2040</v>
      </c>
      <c r="C1587" s="125" t="s">
        <v>189</v>
      </c>
      <c r="D1587" t="s">
        <v>9700</v>
      </c>
      <c r="E1587" t="s">
        <v>9701</v>
      </c>
      <c r="F1587" t="s">
        <v>8898</v>
      </c>
      <c r="G1587" t="s">
        <v>9702</v>
      </c>
      <c r="H1587" t="s">
        <v>9703</v>
      </c>
      <c r="I1587" s="80" t="s">
        <v>9704</v>
      </c>
      <c r="J1587" t="s">
        <v>9705</v>
      </c>
      <c r="K1587" t="s">
        <v>9706</v>
      </c>
    </row>
    <row r="1588" spans="1:11" x14ac:dyDescent="0.25">
      <c r="A1588" s="123">
        <v>1587</v>
      </c>
      <c r="B1588" s="10">
        <v>2041</v>
      </c>
      <c r="C1588" s="125" t="s">
        <v>162</v>
      </c>
      <c r="D1588" t="s">
        <v>3473</v>
      </c>
      <c r="E1588" s="80" t="s">
        <v>9707</v>
      </c>
      <c r="F1588" t="s">
        <v>7375</v>
      </c>
      <c r="G1588" t="s">
        <v>9652</v>
      </c>
      <c r="H1588" t="s">
        <v>3765</v>
      </c>
      <c r="I1588" t="s">
        <v>5153</v>
      </c>
      <c r="J1588" t="s">
        <v>9655</v>
      </c>
      <c r="K1588" t="s">
        <v>9708</v>
      </c>
    </row>
    <row r="1589" spans="1:11" x14ac:dyDescent="0.25">
      <c r="A1589" s="123">
        <v>1588</v>
      </c>
      <c r="B1589" s="10">
        <v>2041</v>
      </c>
      <c r="C1589" s="125" t="s">
        <v>170</v>
      </c>
      <c r="D1589" t="s">
        <v>7964</v>
      </c>
      <c r="E1589" s="80" t="s">
        <v>9709</v>
      </c>
      <c r="F1589" t="s">
        <v>9710</v>
      </c>
      <c r="G1589" t="s">
        <v>9702</v>
      </c>
      <c r="H1589" t="s">
        <v>9711</v>
      </c>
      <c r="I1589" s="80" t="s">
        <v>9712</v>
      </c>
      <c r="J1589" t="s">
        <v>9655</v>
      </c>
      <c r="K1589" t="s">
        <v>9713</v>
      </c>
    </row>
    <row r="1590" spans="1:11" x14ac:dyDescent="0.25">
      <c r="A1590" s="123">
        <v>1589</v>
      </c>
      <c r="B1590" s="10">
        <v>2041</v>
      </c>
      <c r="C1590" s="125" t="s">
        <v>178</v>
      </c>
      <c r="D1590" t="s">
        <v>9714</v>
      </c>
      <c r="E1590" s="80" t="s">
        <v>9715</v>
      </c>
      <c r="F1590" t="s">
        <v>9716</v>
      </c>
      <c r="G1590" t="s">
        <v>9717</v>
      </c>
      <c r="H1590" t="s">
        <v>9718</v>
      </c>
      <c r="I1590" s="80">
        <v>13798</v>
      </c>
      <c r="J1590" t="s">
        <v>9330</v>
      </c>
      <c r="K1590" t="s">
        <v>9719</v>
      </c>
    </row>
    <row r="1591" spans="1:11" x14ac:dyDescent="0.25">
      <c r="A1591" s="123">
        <v>1590</v>
      </c>
      <c r="B1591" s="10">
        <v>2041</v>
      </c>
      <c r="C1591" s="125" t="s">
        <v>163</v>
      </c>
      <c r="D1591" t="s">
        <v>9720</v>
      </c>
      <c r="E1591" s="80" t="s">
        <v>9721</v>
      </c>
      <c r="F1591" t="s">
        <v>9722</v>
      </c>
      <c r="G1591" t="s">
        <v>9723</v>
      </c>
      <c r="H1591" t="s">
        <v>9724</v>
      </c>
      <c r="I1591" s="80" t="s">
        <v>9725</v>
      </c>
      <c r="J1591" t="s">
        <v>9556</v>
      </c>
      <c r="K1591" s="111" t="s">
        <v>869</v>
      </c>
    </row>
    <row r="1592" spans="1:11" x14ac:dyDescent="0.25">
      <c r="A1592" s="123">
        <v>1591</v>
      </c>
      <c r="B1592" s="10">
        <v>2041</v>
      </c>
      <c r="C1592" s="125" t="s">
        <v>181</v>
      </c>
      <c r="D1592" t="s">
        <v>8010</v>
      </c>
      <c r="E1592" s="111" t="s">
        <v>870</v>
      </c>
      <c r="F1592" t="s">
        <v>9726</v>
      </c>
      <c r="G1592" t="s">
        <v>9669</v>
      </c>
      <c r="H1592" t="s">
        <v>9727</v>
      </c>
      <c r="I1592" t="s">
        <v>9728</v>
      </c>
      <c r="J1592" t="s">
        <v>9330</v>
      </c>
      <c r="K1592" t="s">
        <v>9729</v>
      </c>
    </row>
    <row r="1593" spans="1:11" x14ac:dyDescent="0.25">
      <c r="A1593" s="123">
        <v>1592</v>
      </c>
      <c r="B1593" s="10">
        <v>2041</v>
      </c>
      <c r="C1593" s="125" t="s">
        <v>183</v>
      </c>
      <c r="D1593" t="s">
        <v>9730</v>
      </c>
      <c r="E1593" s="80" t="s">
        <v>9584</v>
      </c>
      <c r="F1593" t="s">
        <v>9731</v>
      </c>
      <c r="G1593" t="s">
        <v>9717</v>
      </c>
      <c r="H1593" t="s">
        <v>9732</v>
      </c>
      <c r="I1593" s="80" t="s">
        <v>9733</v>
      </c>
      <c r="J1593" t="s">
        <v>9516</v>
      </c>
      <c r="K1593" s="80" t="s">
        <v>9734</v>
      </c>
    </row>
    <row r="1594" spans="1:11" x14ac:dyDescent="0.25">
      <c r="A1594" s="123">
        <v>1593</v>
      </c>
      <c r="B1594" s="10">
        <v>2041</v>
      </c>
      <c r="C1594" s="125" t="s">
        <v>186</v>
      </c>
      <c r="D1594" t="s">
        <v>8180</v>
      </c>
      <c r="E1594" s="80" t="s">
        <v>9735</v>
      </c>
      <c r="F1594" t="s">
        <v>9736</v>
      </c>
      <c r="G1594" t="s">
        <v>9737</v>
      </c>
      <c r="H1594" t="s">
        <v>9738</v>
      </c>
      <c r="I1594" s="80" t="s">
        <v>9739</v>
      </c>
      <c r="J1594" t="s">
        <v>9740</v>
      </c>
      <c r="K1594" s="80" t="s">
        <v>9741</v>
      </c>
    </row>
    <row r="1595" spans="1:11" x14ac:dyDescent="0.25">
      <c r="A1595" s="123">
        <v>1594</v>
      </c>
      <c r="B1595" s="10">
        <v>2041</v>
      </c>
      <c r="C1595" s="125" t="s">
        <v>188</v>
      </c>
      <c r="D1595" t="s">
        <v>9353</v>
      </c>
      <c r="E1595" s="111" t="s">
        <v>872</v>
      </c>
      <c r="F1595" t="s">
        <v>9742</v>
      </c>
      <c r="G1595" t="s">
        <v>9743</v>
      </c>
      <c r="H1595" t="s">
        <v>9744</v>
      </c>
      <c r="I1595" s="80" t="s">
        <v>9745</v>
      </c>
      <c r="J1595" t="s">
        <v>9231</v>
      </c>
      <c r="K1595" s="111" t="s">
        <v>873</v>
      </c>
    </row>
    <row r="1596" spans="1:11" x14ac:dyDescent="0.25">
      <c r="A1596" s="123">
        <v>1595</v>
      </c>
      <c r="B1596" s="10">
        <v>2041</v>
      </c>
      <c r="C1596" s="125" t="s">
        <v>182</v>
      </c>
      <c r="D1596" t="s">
        <v>583</v>
      </c>
      <c r="E1596" s="80" t="s">
        <v>9746</v>
      </c>
      <c r="F1596" t="s">
        <v>6019</v>
      </c>
      <c r="G1596" t="s">
        <v>6760</v>
      </c>
      <c r="H1596" t="s">
        <v>583</v>
      </c>
      <c r="I1596" t="s">
        <v>3068</v>
      </c>
      <c r="J1596" t="s">
        <v>9665</v>
      </c>
      <c r="K1596" t="s">
        <v>9747</v>
      </c>
    </row>
    <row r="1597" spans="1:11" x14ac:dyDescent="0.25">
      <c r="A1597" s="123">
        <v>1596</v>
      </c>
      <c r="B1597" s="10">
        <v>2041</v>
      </c>
      <c r="C1597" s="125" t="s">
        <v>184</v>
      </c>
      <c r="D1597" t="s">
        <v>9748</v>
      </c>
      <c r="E1597" s="80" t="s">
        <v>9749</v>
      </c>
      <c r="F1597" t="s">
        <v>9750</v>
      </c>
      <c r="G1597" t="s">
        <v>9751</v>
      </c>
      <c r="H1597" t="s">
        <v>9271</v>
      </c>
      <c r="I1597" s="80">
        <v>15006</v>
      </c>
      <c r="J1597" t="s">
        <v>9300</v>
      </c>
      <c r="K1597" t="s">
        <v>5970</v>
      </c>
    </row>
    <row r="1598" spans="1:11" x14ac:dyDescent="0.25">
      <c r="A1598" s="123">
        <v>1597</v>
      </c>
      <c r="B1598" s="10">
        <v>2041</v>
      </c>
      <c r="C1598" s="125" t="s">
        <v>187</v>
      </c>
      <c r="D1598" t="s">
        <v>9752</v>
      </c>
      <c r="E1598" s="80" t="s">
        <v>9753</v>
      </c>
      <c r="F1598" t="s">
        <v>9754</v>
      </c>
      <c r="G1598" t="s">
        <v>9755</v>
      </c>
      <c r="H1598" t="s">
        <v>9756</v>
      </c>
      <c r="I1598" s="80" t="s">
        <v>9757</v>
      </c>
      <c r="J1598" t="s">
        <v>9239</v>
      </c>
      <c r="K1598" t="s">
        <v>9758</v>
      </c>
    </row>
    <row r="1599" spans="1:11" x14ac:dyDescent="0.25">
      <c r="A1599" s="123">
        <v>1598</v>
      </c>
      <c r="B1599" s="10">
        <v>2041</v>
      </c>
      <c r="C1599" s="125" t="s">
        <v>189</v>
      </c>
      <c r="D1599" t="s">
        <v>9759</v>
      </c>
      <c r="E1599" s="80" t="s">
        <v>9760</v>
      </c>
      <c r="F1599" t="s">
        <v>9761</v>
      </c>
      <c r="G1599" t="s">
        <v>9751</v>
      </c>
      <c r="H1599" t="s">
        <v>9762</v>
      </c>
      <c r="I1599" s="80" t="s">
        <v>9763</v>
      </c>
      <c r="J1599" t="s">
        <v>9330</v>
      </c>
      <c r="K1599" t="s">
        <v>5227</v>
      </c>
    </row>
    <row r="1600" spans="1:11" x14ac:dyDescent="0.25">
      <c r="A1600" s="123">
        <v>1599</v>
      </c>
      <c r="B1600" s="90" t="s">
        <v>628</v>
      </c>
      <c r="C1600" s="125" t="s">
        <v>162</v>
      </c>
      <c r="D1600" t="s">
        <v>9764</v>
      </c>
      <c r="E1600" s="80" t="s">
        <v>9765</v>
      </c>
      <c r="F1600" t="s">
        <v>9316</v>
      </c>
      <c r="G1600" t="s">
        <v>9766</v>
      </c>
      <c r="H1600" t="s">
        <v>5465</v>
      </c>
      <c r="I1600" t="s">
        <v>6842</v>
      </c>
      <c r="J1600" t="s">
        <v>9602</v>
      </c>
      <c r="K1600" t="s">
        <v>2194</v>
      </c>
    </row>
    <row r="1601" spans="1:11" x14ac:dyDescent="0.25">
      <c r="A1601" s="123">
        <v>1600</v>
      </c>
      <c r="B1601" s="90" t="s">
        <v>628</v>
      </c>
      <c r="C1601" s="125" t="s">
        <v>170</v>
      </c>
      <c r="D1601" t="s">
        <v>9767</v>
      </c>
      <c r="E1601" s="80" t="s">
        <v>9768</v>
      </c>
      <c r="F1601" t="s">
        <v>9769</v>
      </c>
      <c r="G1601" t="s">
        <v>9770</v>
      </c>
      <c r="H1601" t="s">
        <v>9771</v>
      </c>
      <c r="I1601" s="80" t="s">
        <v>9772</v>
      </c>
      <c r="J1601" t="s">
        <v>9505</v>
      </c>
      <c r="K1601" t="s">
        <v>9773</v>
      </c>
    </row>
    <row r="1602" spans="1:11" x14ac:dyDescent="0.25">
      <c r="A1602" s="123">
        <v>1601</v>
      </c>
      <c r="B1602" s="90" t="s">
        <v>628</v>
      </c>
      <c r="C1602" s="125" t="s">
        <v>178</v>
      </c>
      <c r="D1602" s="80" t="s">
        <v>5282</v>
      </c>
      <c r="E1602" s="80" t="s">
        <v>9774</v>
      </c>
      <c r="F1602" t="s">
        <v>6740</v>
      </c>
      <c r="G1602" t="s">
        <v>583</v>
      </c>
      <c r="H1602" t="s">
        <v>6760</v>
      </c>
      <c r="I1602" t="s">
        <v>9775</v>
      </c>
      <c r="J1602" t="s">
        <v>583</v>
      </c>
      <c r="K1602" t="s">
        <v>9776</v>
      </c>
    </row>
    <row r="1603" spans="1:11" x14ac:dyDescent="0.25">
      <c r="A1603" s="123">
        <v>1602</v>
      </c>
      <c r="B1603" s="90" t="s">
        <v>628</v>
      </c>
      <c r="C1603" s="125" t="s">
        <v>163</v>
      </c>
      <c r="D1603" t="s">
        <v>9777</v>
      </c>
      <c r="E1603" s="80" t="s">
        <v>9778</v>
      </c>
      <c r="F1603" t="s">
        <v>9779</v>
      </c>
      <c r="G1603" t="s">
        <v>9676</v>
      </c>
      <c r="H1603" t="s">
        <v>9780</v>
      </c>
      <c r="I1603" s="80" t="s">
        <v>9781</v>
      </c>
      <c r="J1603" t="s">
        <v>3825</v>
      </c>
      <c r="K1603" s="80" t="s">
        <v>9782</v>
      </c>
    </row>
    <row r="1604" spans="1:11" x14ac:dyDescent="0.25">
      <c r="A1604" s="123">
        <v>1603</v>
      </c>
      <c r="B1604" s="90" t="s">
        <v>628</v>
      </c>
      <c r="C1604" s="125" t="s">
        <v>181</v>
      </c>
      <c r="D1604" t="s">
        <v>3473</v>
      </c>
      <c r="E1604" s="80" t="s">
        <v>9783</v>
      </c>
      <c r="F1604" t="s">
        <v>5311</v>
      </c>
      <c r="G1604" t="s">
        <v>9784</v>
      </c>
      <c r="H1604" t="s">
        <v>9785</v>
      </c>
      <c r="I1604" t="s">
        <v>9786</v>
      </c>
      <c r="J1604" t="s">
        <v>9341</v>
      </c>
      <c r="K1604" t="s">
        <v>9419</v>
      </c>
    </row>
    <row r="1605" spans="1:11" x14ac:dyDescent="0.25">
      <c r="A1605" s="123">
        <v>1604</v>
      </c>
      <c r="B1605" s="90" t="s">
        <v>628</v>
      </c>
      <c r="C1605" s="125" t="s">
        <v>183</v>
      </c>
      <c r="D1605" t="s">
        <v>8115</v>
      </c>
      <c r="E1605" t="s">
        <v>9787</v>
      </c>
      <c r="F1605" t="s">
        <v>9788</v>
      </c>
      <c r="G1605" t="s">
        <v>9682</v>
      </c>
      <c r="H1605" t="s">
        <v>9789</v>
      </c>
      <c r="I1605" s="80" t="s">
        <v>9790</v>
      </c>
      <c r="J1605" t="s">
        <v>9273</v>
      </c>
      <c r="K1605" t="s">
        <v>9791</v>
      </c>
    </row>
    <row r="1606" spans="1:11" x14ac:dyDescent="0.25">
      <c r="A1606" s="123">
        <v>1605</v>
      </c>
      <c r="B1606" s="90" t="s">
        <v>628</v>
      </c>
      <c r="C1606" s="125" t="s">
        <v>186</v>
      </c>
      <c r="D1606" t="s">
        <v>8155</v>
      </c>
      <c r="E1606" t="s">
        <v>9768</v>
      </c>
      <c r="F1606" t="s">
        <v>9792</v>
      </c>
      <c r="G1606" t="s">
        <v>9702</v>
      </c>
      <c r="H1606" t="s">
        <v>9793</v>
      </c>
      <c r="I1606" s="80" t="s">
        <v>9794</v>
      </c>
      <c r="J1606" t="s">
        <v>9655</v>
      </c>
      <c r="K1606" t="s">
        <v>9795</v>
      </c>
    </row>
    <row r="1607" spans="1:11" x14ac:dyDescent="0.25">
      <c r="A1607" s="123">
        <v>1606</v>
      </c>
      <c r="B1607" s="90" t="s">
        <v>628</v>
      </c>
      <c r="C1607" s="125" t="s">
        <v>188</v>
      </c>
      <c r="D1607" t="s">
        <v>8252</v>
      </c>
      <c r="E1607" s="80" t="s">
        <v>9796</v>
      </c>
      <c r="F1607" t="s">
        <v>9797</v>
      </c>
      <c r="G1607" t="s">
        <v>9798</v>
      </c>
      <c r="H1607" t="s">
        <v>9799</v>
      </c>
      <c r="I1607" s="80" t="s">
        <v>9800</v>
      </c>
      <c r="J1607" t="s">
        <v>9556</v>
      </c>
      <c r="K1607" s="80" t="s">
        <v>9801</v>
      </c>
    </row>
    <row r="1608" spans="1:11" x14ac:dyDescent="0.25">
      <c r="A1608" s="123">
        <v>1607</v>
      </c>
      <c r="B1608" s="90" t="s">
        <v>628</v>
      </c>
      <c r="C1608" s="125" t="s">
        <v>182</v>
      </c>
      <c r="D1608" s="80" t="s">
        <v>5282</v>
      </c>
      <c r="E1608" t="s">
        <v>9802</v>
      </c>
      <c r="F1608" t="s">
        <v>583</v>
      </c>
      <c r="G1608" t="s">
        <v>583</v>
      </c>
      <c r="H1608" t="s">
        <v>583</v>
      </c>
      <c r="I1608" s="80">
        <v>0</v>
      </c>
      <c r="J1608" t="s">
        <v>583</v>
      </c>
      <c r="K1608" s="80" t="s">
        <v>6297</v>
      </c>
    </row>
    <row r="1609" spans="1:11" x14ac:dyDescent="0.25">
      <c r="A1609" s="123">
        <v>1608</v>
      </c>
      <c r="B1609" s="90" t="s">
        <v>628</v>
      </c>
      <c r="C1609" s="125" t="s">
        <v>184</v>
      </c>
      <c r="D1609" t="s">
        <v>9803</v>
      </c>
      <c r="E1609" t="s">
        <v>9804</v>
      </c>
      <c r="F1609" t="s">
        <v>9805</v>
      </c>
      <c r="G1609" t="s">
        <v>9784</v>
      </c>
      <c r="H1609" t="s">
        <v>9806</v>
      </c>
      <c r="I1609" s="80" t="s">
        <v>9807</v>
      </c>
      <c r="J1609" t="s">
        <v>9300</v>
      </c>
      <c r="K1609" t="s">
        <v>9808</v>
      </c>
    </row>
    <row r="1610" spans="1:11" x14ac:dyDescent="0.25">
      <c r="A1610" s="123">
        <v>1609</v>
      </c>
      <c r="B1610" s="90" t="s">
        <v>628</v>
      </c>
      <c r="C1610" s="125" t="s">
        <v>187</v>
      </c>
      <c r="D1610" t="s">
        <v>9809</v>
      </c>
      <c r="E1610" t="s">
        <v>9810</v>
      </c>
      <c r="F1610" t="s">
        <v>9811</v>
      </c>
      <c r="G1610" t="s">
        <v>9812</v>
      </c>
      <c r="H1610" t="s">
        <v>9813</v>
      </c>
      <c r="I1610" s="80" t="s">
        <v>9814</v>
      </c>
      <c r="J1610" t="s">
        <v>9588</v>
      </c>
      <c r="K1610" t="s">
        <v>9815</v>
      </c>
    </row>
    <row r="1611" spans="1:11" x14ac:dyDescent="0.25">
      <c r="A1611" s="123">
        <v>1610</v>
      </c>
      <c r="B1611" s="90" t="s">
        <v>628</v>
      </c>
      <c r="C1611" s="125" t="s">
        <v>189</v>
      </c>
      <c r="D1611" t="s">
        <v>9353</v>
      </c>
      <c r="E1611" t="s">
        <v>9816</v>
      </c>
      <c r="F1611" t="s">
        <v>1989</v>
      </c>
      <c r="G1611" t="s">
        <v>9664</v>
      </c>
      <c r="H1611" t="s">
        <v>9817</v>
      </c>
      <c r="I1611" s="80" t="s">
        <v>9818</v>
      </c>
      <c r="J1611" t="s">
        <v>9569</v>
      </c>
      <c r="K1611" t="s">
        <v>9819</v>
      </c>
    </row>
    <row r="1612" spans="1:11" x14ac:dyDescent="0.25">
      <c r="A1612" s="123">
        <v>1611</v>
      </c>
      <c r="B1612" s="90" t="s">
        <v>629</v>
      </c>
      <c r="C1612" s="125" t="s">
        <v>162</v>
      </c>
      <c r="D1612" t="s">
        <v>8101</v>
      </c>
      <c r="E1612" s="80" t="s">
        <v>9820</v>
      </c>
      <c r="F1612" t="s">
        <v>9821</v>
      </c>
      <c r="G1612" t="s">
        <v>9682</v>
      </c>
      <c r="H1612" t="s">
        <v>1724</v>
      </c>
      <c r="I1612" t="s">
        <v>9822</v>
      </c>
      <c r="J1612" t="s">
        <v>9569</v>
      </c>
      <c r="K1612" t="s">
        <v>9823</v>
      </c>
    </row>
    <row r="1613" spans="1:11" x14ac:dyDescent="0.25">
      <c r="A1613" s="123">
        <v>1612</v>
      </c>
      <c r="B1613" s="90" t="s">
        <v>629</v>
      </c>
      <c r="C1613" s="125" t="s">
        <v>170</v>
      </c>
      <c r="D1613" t="s">
        <v>8180</v>
      </c>
      <c r="E1613" s="80" t="s">
        <v>9824</v>
      </c>
      <c r="F1613" t="s">
        <v>9825</v>
      </c>
      <c r="G1613" t="s">
        <v>9798</v>
      </c>
      <c r="H1613" t="s">
        <v>9826</v>
      </c>
      <c r="I1613" s="80" t="s">
        <v>9827</v>
      </c>
      <c r="J1613" t="s">
        <v>9516</v>
      </c>
      <c r="K1613" t="s">
        <v>9828</v>
      </c>
    </row>
    <row r="1614" spans="1:11" x14ac:dyDescent="0.25">
      <c r="A1614" s="123">
        <v>1613</v>
      </c>
      <c r="B1614" s="90" t="s">
        <v>629</v>
      </c>
      <c r="C1614" s="125" t="s">
        <v>178</v>
      </c>
      <c r="D1614" t="s">
        <v>9829</v>
      </c>
      <c r="E1614" s="80" t="s">
        <v>9830</v>
      </c>
      <c r="F1614" s="80" t="s">
        <v>9831</v>
      </c>
      <c r="G1614" t="s">
        <v>9832</v>
      </c>
      <c r="H1614" s="80" t="s">
        <v>9833</v>
      </c>
      <c r="I1614" s="80" t="s">
        <v>9834</v>
      </c>
      <c r="J1614" t="s">
        <v>4187</v>
      </c>
      <c r="K1614" s="80" t="s">
        <v>9835</v>
      </c>
    </row>
    <row r="1615" spans="1:11" x14ac:dyDescent="0.25">
      <c r="A1615" s="123">
        <v>1614</v>
      </c>
      <c r="B1615" s="90" t="s">
        <v>629</v>
      </c>
      <c r="C1615" s="125" t="s">
        <v>163</v>
      </c>
      <c r="D1615" t="s">
        <v>9836</v>
      </c>
      <c r="E1615" s="80" t="s">
        <v>9837</v>
      </c>
      <c r="F1615" t="s">
        <v>9838</v>
      </c>
      <c r="G1615" t="s">
        <v>9839</v>
      </c>
      <c r="H1615" s="80" t="s">
        <v>9840</v>
      </c>
      <c r="I1615" s="80" t="s">
        <v>9841</v>
      </c>
      <c r="J1615" t="s">
        <v>9842</v>
      </c>
      <c r="K1615" s="111" t="s">
        <v>875</v>
      </c>
    </row>
    <row r="1616" spans="1:11" x14ac:dyDescent="0.25">
      <c r="A1616" s="123">
        <v>1615</v>
      </c>
      <c r="B1616" s="90" t="s">
        <v>629</v>
      </c>
      <c r="C1616" s="125" t="s">
        <v>181</v>
      </c>
      <c r="D1616" t="s">
        <v>8101</v>
      </c>
      <c r="E1616" s="121">
        <v>10036000000</v>
      </c>
      <c r="F1616" t="s">
        <v>9843</v>
      </c>
      <c r="G1616" t="s">
        <v>9652</v>
      </c>
      <c r="H1616" t="s">
        <v>9844</v>
      </c>
      <c r="I1616" t="s">
        <v>9845</v>
      </c>
      <c r="J1616" t="s">
        <v>9239</v>
      </c>
      <c r="K1616" t="s">
        <v>9846</v>
      </c>
    </row>
    <row r="1617" spans="1:11" x14ac:dyDescent="0.25">
      <c r="A1617" s="123">
        <v>1616</v>
      </c>
      <c r="B1617" s="90" t="s">
        <v>629</v>
      </c>
      <c r="C1617" s="125" t="s">
        <v>183</v>
      </c>
      <c r="D1617" t="s">
        <v>8180</v>
      </c>
      <c r="E1617" s="80" t="s">
        <v>9847</v>
      </c>
      <c r="F1617" t="s">
        <v>9848</v>
      </c>
      <c r="G1617" t="s">
        <v>9798</v>
      </c>
      <c r="H1617" t="s">
        <v>9849</v>
      </c>
      <c r="I1617" s="80" t="s">
        <v>8324</v>
      </c>
      <c r="J1617" t="s">
        <v>9516</v>
      </c>
      <c r="K1617" s="80" t="s">
        <v>9850</v>
      </c>
    </row>
    <row r="1618" spans="1:11" x14ac:dyDescent="0.25">
      <c r="A1618" s="123">
        <v>1617</v>
      </c>
      <c r="B1618" s="90" t="s">
        <v>629</v>
      </c>
      <c r="C1618" s="125" t="s">
        <v>186</v>
      </c>
      <c r="D1618" t="s">
        <v>8252</v>
      </c>
      <c r="E1618" s="80" t="s">
        <v>9851</v>
      </c>
      <c r="F1618" t="s">
        <v>9852</v>
      </c>
      <c r="G1618" t="s">
        <v>9676</v>
      </c>
      <c r="H1618" s="80" t="s">
        <v>9853</v>
      </c>
      <c r="I1618" s="80" t="s">
        <v>9854</v>
      </c>
      <c r="J1618" t="s">
        <v>9480</v>
      </c>
      <c r="K1618" s="80" t="s">
        <v>9855</v>
      </c>
    </row>
    <row r="1619" spans="1:11" x14ac:dyDescent="0.25">
      <c r="A1619" s="123">
        <v>1618</v>
      </c>
      <c r="B1619" s="90" t="s">
        <v>629</v>
      </c>
      <c r="C1619" s="125" t="s">
        <v>188</v>
      </c>
      <c r="D1619" t="s">
        <v>5405</v>
      </c>
      <c r="E1619" s="121">
        <v>11251000000</v>
      </c>
      <c r="F1619" t="s">
        <v>9856</v>
      </c>
      <c r="G1619" t="s">
        <v>9857</v>
      </c>
      <c r="H1619" t="s">
        <v>9858</v>
      </c>
      <c r="I1619" s="80" t="s">
        <v>9859</v>
      </c>
      <c r="J1619" t="s">
        <v>9842</v>
      </c>
      <c r="K1619" s="111" t="s">
        <v>9860</v>
      </c>
    </row>
    <row r="1620" spans="1:11" x14ac:dyDescent="0.25">
      <c r="A1620" s="123">
        <v>1619</v>
      </c>
      <c r="B1620" s="90" t="s">
        <v>629</v>
      </c>
      <c r="C1620" s="125" t="s">
        <v>182</v>
      </c>
      <c r="D1620" s="80" t="s">
        <v>5282</v>
      </c>
      <c r="E1620" s="80" t="s">
        <v>8199</v>
      </c>
      <c r="F1620" t="s">
        <v>583</v>
      </c>
      <c r="G1620" t="s">
        <v>583</v>
      </c>
      <c r="H1620" t="s">
        <v>583</v>
      </c>
      <c r="I1620" t="s">
        <v>583</v>
      </c>
      <c r="J1620" t="s">
        <v>583</v>
      </c>
      <c r="K1620" t="s">
        <v>583</v>
      </c>
    </row>
    <row r="1621" spans="1:11" x14ac:dyDescent="0.25">
      <c r="A1621" s="123">
        <v>1620</v>
      </c>
      <c r="B1621" s="90" t="s">
        <v>629</v>
      </c>
      <c r="C1621" s="125" t="s">
        <v>184</v>
      </c>
      <c r="D1621" t="s">
        <v>9861</v>
      </c>
      <c r="E1621" t="s">
        <v>9862</v>
      </c>
      <c r="F1621" t="s">
        <v>9863</v>
      </c>
      <c r="G1621" t="s">
        <v>9669</v>
      </c>
      <c r="H1621" t="s">
        <v>9864</v>
      </c>
      <c r="I1621" s="80" t="s">
        <v>9865</v>
      </c>
      <c r="J1621" t="s">
        <v>9411</v>
      </c>
      <c r="K1621" t="s">
        <v>9866</v>
      </c>
    </row>
    <row r="1622" spans="1:11" x14ac:dyDescent="0.25">
      <c r="A1622" s="123">
        <v>1621</v>
      </c>
      <c r="B1622" s="90" t="s">
        <v>629</v>
      </c>
      <c r="C1622" s="125" t="s">
        <v>187</v>
      </c>
      <c r="D1622" t="s">
        <v>9867</v>
      </c>
      <c r="E1622" t="s">
        <v>9868</v>
      </c>
      <c r="F1622" t="s">
        <v>9869</v>
      </c>
      <c r="G1622" t="s">
        <v>9770</v>
      </c>
      <c r="H1622" s="80">
        <v>20197</v>
      </c>
      <c r="I1622" s="80" t="s">
        <v>9870</v>
      </c>
      <c r="J1622" t="s">
        <v>3825</v>
      </c>
      <c r="K1622" t="s">
        <v>9871</v>
      </c>
    </row>
    <row r="1623" spans="1:11" x14ac:dyDescent="0.25">
      <c r="A1623" s="123">
        <v>1622</v>
      </c>
      <c r="B1623" s="90" t="s">
        <v>629</v>
      </c>
      <c r="C1623" s="125" t="s">
        <v>189</v>
      </c>
      <c r="D1623" t="s">
        <v>9872</v>
      </c>
      <c r="E1623" t="s">
        <v>9873</v>
      </c>
      <c r="F1623" t="s">
        <v>2496</v>
      </c>
      <c r="G1623" t="s">
        <v>9770</v>
      </c>
      <c r="H1623" t="s">
        <v>9874</v>
      </c>
      <c r="I1623" s="80" t="s">
        <v>9875</v>
      </c>
      <c r="J1623" t="s">
        <v>9527</v>
      </c>
      <c r="K1623" s="80" t="s">
        <v>9876</v>
      </c>
    </row>
    <row r="1624" spans="1:11" x14ac:dyDescent="0.25">
      <c r="A1624" s="123">
        <v>1623</v>
      </c>
      <c r="B1624" s="10">
        <v>1012</v>
      </c>
      <c r="C1624" s="125" t="s">
        <v>181</v>
      </c>
      <c r="D1624" t="s">
        <v>9662</v>
      </c>
      <c r="E1624" t="s">
        <v>9877</v>
      </c>
      <c r="F1624" t="s">
        <v>7097</v>
      </c>
      <c r="G1624" t="s">
        <v>9878</v>
      </c>
      <c r="H1624" t="s">
        <v>6760</v>
      </c>
      <c r="I1624" t="s">
        <v>9879</v>
      </c>
      <c r="J1624" t="s">
        <v>9880</v>
      </c>
      <c r="K1624" t="s">
        <v>6441</v>
      </c>
    </row>
    <row r="1625" spans="1:11" x14ac:dyDescent="0.25">
      <c r="A1625" s="123">
        <v>1624</v>
      </c>
      <c r="B1625" s="10">
        <v>1012</v>
      </c>
      <c r="C1625" s="125" t="s">
        <v>183</v>
      </c>
      <c r="D1625" t="s">
        <v>8109</v>
      </c>
      <c r="E1625" s="80" t="s">
        <v>9881</v>
      </c>
      <c r="F1625" t="s">
        <v>9882</v>
      </c>
      <c r="G1625" t="s">
        <v>9669</v>
      </c>
      <c r="H1625" t="s">
        <v>9883</v>
      </c>
      <c r="I1625" s="80" t="s">
        <v>9884</v>
      </c>
      <c r="J1625" t="s">
        <v>9411</v>
      </c>
      <c r="K1625" t="s">
        <v>9885</v>
      </c>
    </row>
    <row r="1626" spans="1:11" x14ac:dyDescent="0.25">
      <c r="A1626" s="123">
        <v>1625</v>
      </c>
      <c r="B1626" s="10">
        <v>1012</v>
      </c>
      <c r="C1626" s="125" t="s">
        <v>186</v>
      </c>
      <c r="D1626">
        <v>40</v>
      </c>
      <c r="E1626" s="111" t="s">
        <v>878</v>
      </c>
      <c r="F1626" t="s">
        <v>9886</v>
      </c>
      <c r="G1626" t="s">
        <v>9743</v>
      </c>
      <c r="H1626" t="s">
        <v>9887</v>
      </c>
      <c r="I1626" s="80" t="s">
        <v>9888</v>
      </c>
      <c r="J1626" t="s">
        <v>9480</v>
      </c>
      <c r="K1626" t="s">
        <v>9889</v>
      </c>
    </row>
    <row r="1627" spans="1:11" x14ac:dyDescent="0.25">
      <c r="A1627" s="123">
        <v>1626</v>
      </c>
      <c r="B1627" s="10">
        <v>1012</v>
      </c>
      <c r="C1627" s="125" t="s">
        <v>188</v>
      </c>
      <c r="D1627" t="s">
        <v>9657</v>
      </c>
      <c r="E1627" s="111" t="s">
        <v>880</v>
      </c>
      <c r="F1627" t="s">
        <v>9890</v>
      </c>
      <c r="G1627" t="s">
        <v>9839</v>
      </c>
      <c r="H1627" t="s">
        <v>9891</v>
      </c>
      <c r="I1627" s="80" t="s">
        <v>9892</v>
      </c>
      <c r="J1627" t="s">
        <v>9893</v>
      </c>
      <c r="K1627" s="111" t="s">
        <v>881</v>
      </c>
    </row>
    <row r="1628" spans="1:11" x14ac:dyDescent="0.25">
      <c r="A1628" s="123">
        <v>1627</v>
      </c>
      <c r="B1628" s="10">
        <v>1012</v>
      </c>
      <c r="C1628" s="125" t="s">
        <v>182</v>
      </c>
      <c r="D1628" s="80" t="s">
        <v>5282</v>
      </c>
      <c r="E1628" t="s">
        <v>9894</v>
      </c>
      <c r="F1628" t="s">
        <v>583</v>
      </c>
      <c r="G1628" s="80" t="s">
        <v>6760</v>
      </c>
      <c r="H1628" t="s">
        <v>583</v>
      </c>
      <c r="I1628" t="s">
        <v>5858</v>
      </c>
      <c r="J1628" s="80" t="s">
        <v>3201</v>
      </c>
      <c r="K1628" t="s">
        <v>9747</v>
      </c>
    </row>
    <row r="1629" spans="1:11" x14ac:dyDescent="0.25">
      <c r="A1629" s="123">
        <v>1628</v>
      </c>
      <c r="B1629" s="10">
        <v>1012</v>
      </c>
      <c r="C1629" s="125" t="s">
        <v>184</v>
      </c>
      <c r="D1629" t="s">
        <v>7577</v>
      </c>
      <c r="E1629" t="s">
        <v>9895</v>
      </c>
      <c r="F1629" t="s">
        <v>7992</v>
      </c>
      <c r="G1629" t="s">
        <v>9755</v>
      </c>
      <c r="H1629" t="s">
        <v>9896</v>
      </c>
      <c r="I1629" s="80" t="s">
        <v>9897</v>
      </c>
      <c r="J1629" t="s">
        <v>9341</v>
      </c>
      <c r="K1629" t="s">
        <v>9898</v>
      </c>
    </row>
    <row r="1630" spans="1:11" x14ac:dyDescent="0.25">
      <c r="A1630" s="123">
        <v>1629</v>
      </c>
      <c r="B1630" s="10">
        <v>1012</v>
      </c>
      <c r="C1630" s="125" t="s">
        <v>187</v>
      </c>
      <c r="D1630" t="s">
        <v>8101</v>
      </c>
      <c r="E1630" s="80" t="s">
        <v>9899</v>
      </c>
      <c r="F1630" t="s">
        <v>9900</v>
      </c>
      <c r="G1630" t="s">
        <v>9770</v>
      </c>
      <c r="H1630" t="s">
        <v>9901</v>
      </c>
      <c r="I1630" s="80" t="s">
        <v>9902</v>
      </c>
      <c r="J1630" t="s">
        <v>9213</v>
      </c>
      <c r="K1630" t="s">
        <v>9903</v>
      </c>
    </row>
    <row r="1631" spans="1:11" x14ac:dyDescent="0.25">
      <c r="A1631" s="123">
        <v>1630</v>
      </c>
      <c r="B1631" s="10">
        <v>1012</v>
      </c>
      <c r="C1631" s="125" t="s">
        <v>189</v>
      </c>
      <c r="D1631" t="s">
        <v>5136</v>
      </c>
      <c r="E1631" t="s">
        <v>9904</v>
      </c>
      <c r="F1631" t="s">
        <v>9905</v>
      </c>
      <c r="G1631" t="s">
        <v>9664</v>
      </c>
      <c r="H1631" t="s">
        <v>9906</v>
      </c>
      <c r="I1631" s="80" t="s">
        <v>9907</v>
      </c>
      <c r="J1631" t="s">
        <v>9300</v>
      </c>
      <c r="K1631" t="s">
        <v>9908</v>
      </c>
    </row>
    <row r="1632" spans="1:11" x14ac:dyDescent="0.25">
      <c r="A1632" s="123">
        <v>1631</v>
      </c>
      <c r="B1632" s="10" t="s">
        <v>622</v>
      </c>
      <c r="C1632" s="125" t="s">
        <v>182</v>
      </c>
      <c r="D1632" t="s">
        <v>6336</v>
      </c>
      <c r="E1632" t="s">
        <v>9909</v>
      </c>
      <c r="F1632" t="s">
        <v>6740</v>
      </c>
      <c r="G1632" s="80" t="s">
        <v>9145</v>
      </c>
      <c r="H1632" t="s">
        <v>9910</v>
      </c>
      <c r="I1632" t="s">
        <v>9911</v>
      </c>
      <c r="J1632" t="s">
        <v>9665</v>
      </c>
      <c r="K1632" t="s">
        <v>9912</v>
      </c>
    </row>
    <row r="1633" spans="1:11" x14ac:dyDescent="0.25">
      <c r="A1633" s="123">
        <v>1632</v>
      </c>
      <c r="B1633" s="10" t="s">
        <v>622</v>
      </c>
      <c r="C1633" s="125" t="s">
        <v>184</v>
      </c>
      <c r="D1633" t="s">
        <v>9913</v>
      </c>
      <c r="E1633" t="s">
        <v>9914</v>
      </c>
      <c r="F1633" t="s">
        <v>583</v>
      </c>
      <c r="G1633" t="s">
        <v>583</v>
      </c>
      <c r="H1633" t="s">
        <v>9915</v>
      </c>
      <c r="I1633" t="s">
        <v>9916</v>
      </c>
      <c r="J1633" s="80" t="s">
        <v>3201</v>
      </c>
      <c r="K1633" t="s">
        <v>9917</v>
      </c>
    </row>
    <row r="1634" spans="1:11" x14ac:dyDescent="0.25">
      <c r="A1634" s="123">
        <v>1633</v>
      </c>
      <c r="B1634" s="10" t="s">
        <v>622</v>
      </c>
      <c r="C1634" s="125" t="s">
        <v>187</v>
      </c>
      <c r="D1634" t="s">
        <v>6336</v>
      </c>
      <c r="E1634" t="s">
        <v>9918</v>
      </c>
      <c r="F1634" t="s">
        <v>3071</v>
      </c>
      <c r="G1634" t="s">
        <v>9919</v>
      </c>
      <c r="H1634" t="s">
        <v>9920</v>
      </c>
      <c r="I1634" t="s">
        <v>9921</v>
      </c>
      <c r="J1634" s="80" t="s">
        <v>3201</v>
      </c>
      <c r="K1634" t="s">
        <v>9922</v>
      </c>
    </row>
    <row r="1635" spans="1:11" x14ac:dyDescent="0.25">
      <c r="A1635" s="123">
        <v>1634</v>
      </c>
      <c r="B1635" s="10" t="s">
        <v>622</v>
      </c>
      <c r="C1635" s="125" t="s">
        <v>189</v>
      </c>
      <c r="D1635" t="s">
        <v>583</v>
      </c>
      <c r="E1635" t="s">
        <v>9923</v>
      </c>
      <c r="F1635" t="s">
        <v>6530</v>
      </c>
      <c r="G1635" s="80" t="s">
        <v>6760</v>
      </c>
      <c r="H1635" t="s">
        <v>9924</v>
      </c>
      <c r="I1635" t="s">
        <v>9925</v>
      </c>
      <c r="J1635" t="s">
        <v>583</v>
      </c>
      <c r="K1635" t="s">
        <v>9926</v>
      </c>
    </row>
    <row r="1636" spans="1:11" x14ac:dyDescent="0.25">
      <c r="A1636" s="123">
        <v>1635</v>
      </c>
      <c r="B1636" s="10">
        <v>1019</v>
      </c>
      <c r="C1636" s="125" t="s">
        <v>182</v>
      </c>
      <c r="D1636" t="s">
        <v>583</v>
      </c>
      <c r="E1636" t="s">
        <v>9927</v>
      </c>
      <c r="F1636" t="s">
        <v>583</v>
      </c>
      <c r="G1636" t="s">
        <v>583</v>
      </c>
      <c r="H1636" t="s">
        <v>583</v>
      </c>
      <c r="I1636" t="s">
        <v>583</v>
      </c>
      <c r="J1636" t="s">
        <v>583</v>
      </c>
      <c r="K1636" s="80" t="s">
        <v>6297</v>
      </c>
    </row>
    <row r="1637" spans="1:11" x14ac:dyDescent="0.25">
      <c r="A1637" s="123">
        <v>1636</v>
      </c>
      <c r="B1637" s="10">
        <v>1019</v>
      </c>
      <c r="C1637" s="125" t="s">
        <v>184</v>
      </c>
      <c r="D1637" t="s">
        <v>9928</v>
      </c>
      <c r="E1637" t="s">
        <v>9929</v>
      </c>
      <c r="F1637" t="s">
        <v>9930</v>
      </c>
      <c r="G1637" t="s">
        <v>9919</v>
      </c>
      <c r="H1637" t="s">
        <v>6922</v>
      </c>
      <c r="I1637" t="s">
        <v>9931</v>
      </c>
      <c r="J1637" t="s">
        <v>9602</v>
      </c>
      <c r="K1637" t="s">
        <v>9932</v>
      </c>
    </row>
    <row r="1638" spans="1:11" x14ac:dyDescent="0.25">
      <c r="A1638" s="123">
        <v>1637</v>
      </c>
      <c r="B1638" s="10">
        <v>1019</v>
      </c>
      <c r="C1638" s="125" t="s">
        <v>187</v>
      </c>
      <c r="D1638" t="s">
        <v>9254</v>
      </c>
      <c r="E1638" t="s">
        <v>9933</v>
      </c>
      <c r="F1638" t="s">
        <v>9934</v>
      </c>
      <c r="G1638" t="s">
        <v>9475</v>
      </c>
      <c r="H1638" t="s">
        <v>9935</v>
      </c>
      <c r="I1638" s="80" t="s">
        <v>9936</v>
      </c>
      <c r="J1638" t="s">
        <v>6627</v>
      </c>
      <c r="K1638" t="s">
        <v>9937</v>
      </c>
    </row>
    <row r="1639" spans="1:11" x14ac:dyDescent="0.25">
      <c r="A1639" s="123">
        <v>1638</v>
      </c>
      <c r="B1639" s="10">
        <v>1019</v>
      </c>
      <c r="C1639" s="125" t="s">
        <v>189</v>
      </c>
      <c r="D1639" t="s">
        <v>9507</v>
      </c>
      <c r="E1639" t="s">
        <v>9938</v>
      </c>
      <c r="F1639">
        <v>29</v>
      </c>
      <c r="G1639" t="s">
        <v>9475</v>
      </c>
      <c r="H1639" t="s">
        <v>9939</v>
      </c>
      <c r="I1639" t="s">
        <v>9940</v>
      </c>
      <c r="J1639" t="s">
        <v>9941</v>
      </c>
      <c r="K1639" t="s">
        <v>9942</v>
      </c>
    </row>
    <row r="1640" spans="1:11" x14ac:dyDescent="0.25">
      <c r="A1640" s="123">
        <v>1639</v>
      </c>
      <c r="B1640" s="10">
        <v>1013</v>
      </c>
      <c r="C1640" s="125" t="s">
        <v>181</v>
      </c>
      <c r="D1640" s="80" t="s">
        <v>5282</v>
      </c>
      <c r="E1640" t="s">
        <v>9943</v>
      </c>
      <c r="F1640" t="s">
        <v>583</v>
      </c>
      <c r="G1640" t="s">
        <v>583</v>
      </c>
      <c r="H1640" t="s">
        <v>583</v>
      </c>
      <c r="I1640" t="s">
        <v>5465</v>
      </c>
      <c r="J1640" t="s">
        <v>583</v>
      </c>
      <c r="K1640" t="s">
        <v>7184</v>
      </c>
    </row>
    <row r="1641" spans="1:11" x14ac:dyDescent="0.25">
      <c r="A1641" s="123">
        <v>1640</v>
      </c>
      <c r="B1641" s="10">
        <v>1013</v>
      </c>
      <c r="C1641" s="125" t="s">
        <v>183</v>
      </c>
      <c r="D1641" t="s">
        <v>9944</v>
      </c>
      <c r="E1641" t="s">
        <v>9945</v>
      </c>
      <c r="F1641" t="s">
        <v>9946</v>
      </c>
      <c r="G1641" t="s">
        <v>9475</v>
      </c>
      <c r="H1641" t="s">
        <v>9947</v>
      </c>
      <c r="I1641" s="80" t="s">
        <v>9948</v>
      </c>
      <c r="J1641" t="s">
        <v>6627</v>
      </c>
      <c r="K1641" t="s">
        <v>9949</v>
      </c>
    </row>
    <row r="1642" spans="1:11" x14ac:dyDescent="0.25">
      <c r="A1642" s="123">
        <v>1641</v>
      </c>
      <c r="B1642" s="10">
        <v>1013</v>
      </c>
      <c r="C1642" s="125" t="s">
        <v>186</v>
      </c>
      <c r="D1642" t="s">
        <v>9662</v>
      </c>
      <c r="E1642" t="s">
        <v>9950</v>
      </c>
      <c r="F1642" t="s">
        <v>9951</v>
      </c>
      <c r="G1642" t="s">
        <v>9755</v>
      </c>
      <c r="H1642" t="s">
        <v>9952</v>
      </c>
      <c r="I1642" s="80" t="s">
        <v>9953</v>
      </c>
      <c r="J1642" t="s">
        <v>9300</v>
      </c>
      <c r="K1642" t="s">
        <v>9954</v>
      </c>
    </row>
    <row r="1643" spans="1:11" x14ac:dyDescent="0.25">
      <c r="A1643" s="123">
        <v>1642</v>
      </c>
      <c r="B1643" s="10">
        <v>1013</v>
      </c>
      <c r="C1643" s="125" t="s">
        <v>188</v>
      </c>
      <c r="D1643" t="s">
        <v>5136</v>
      </c>
      <c r="E1643" t="s">
        <v>9955</v>
      </c>
      <c r="F1643" t="s">
        <v>9956</v>
      </c>
      <c r="G1643" t="s">
        <v>9751</v>
      </c>
      <c r="H1643" t="s">
        <v>9957</v>
      </c>
      <c r="I1643" s="80" t="s">
        <v>9958</v>
      </c>
      <c r="J1643" t="s">
        <v>9655</v>
      </c>
      <c r="K1643" t="s">
        <v>9959</v>
      </c>
    </row>
    <row r="1644" spans="1:11" x14ac:dyDescent="0.25">
      <c r="A1644" s="123">
        <v>1643</v>
      </c>
      <c r="B1644" s="10">
        <v>1013</v>
      </c>
      <c r="C1644" s="125" t="s">
        <v>182</v>
      </c>
      <c r="D1644" t="s">
        <v>583</v>
      </c>
      <c r="E1644" t="s">
        <v>9960</v>
      </c>
      <c r="F1644" t="s">
        <v>583</v>
      </c>
      <c r="G1644" s="80" t="s">
        <v>9145</v>
      </c>
      <c r="H1644" t="s">
        <v>583</v>
      </c>
      <c r="I1644" t="s">
        <v>5465</v>
      </c>
      <c r="J1644" t="s">
        <v>583</v>
      </c>
      <c r="K1644" t="s">
        <v>583</v>
      </c>
    </row>
    <row r="1645" spans="1:11" x14ac:dyDescent="0.25">
      <c r="A1645" s="123">
        <v>1644</v>
      </c>
      <c r="B1645" s="10">
        <v>1013</v>
      </c>
      <c r="C1645" s="125" t="s">
        <v>184</v>
      </c>
      <c r="D1645" s="80" t="s">
        <v>5282</v>
      </c>
      <c r="E1645" t="s">
        <v>9961</v>
      </c>
      <c r="F1645" t="s">
        <v>4494</v>
      </c>
      <c r="G1645" t="s">
        <v>9962</v>
      </c>
      <c r="H1645" t="s">
        <v>9963</v>
      </c>
      <c r="I1645" t="s">
        <v>9964</v>
      </c>
      <c r="J1645" t="s">
        <v>583</v>
      </c>
      <c r="K1645" t="s">
        <v>8525</v>
      </c>
    </row>
    <row r="1646" spans="1:11" x14ac:dyDescent="0.25">
      <c r="A1646" s="123">
        <v>1645</v>
      </c>
      <c r="B1646" s="10">
        <v>1013</v>
      </c>
      <c r="C1646" s="125" t="s">
        <v>187</v>
      </c>
      <c r="D1646" t="s">
        <v>9928</v>
      </c>
      <c r="E1646" t="s">
        <v>9965</v>
      </c>
      <c r="F1646" t="s">
        <v>9966</v>
      </c>
      <c r="G1646" t="s">
        <v>9475</v>
      </c>
      <c r="H1646" t="s">
        <v>9967</v>
      </c>
      <c r="I1646" s="80" t="s">
        <v>9968</v>
      </c>
      <c r="J1646" t="s">
        <v>9602</v>
      </c>
      <c r="K1646" t="s">
        <v>9969</v>
      </c>
    </row>
    <row r="1647" spans="1:11" x14ac:dyDescent="0.25">
      <c r="A1647" s="123">
        <v>1646</v>
      </c>
      <c r="B1647" s="10">
        <v>1013</v>
      </c>
      <c r="C1647" s="125" t="s">
        <v>189</v>
      </c>
      <c r="D1647" t="s">
        <v>9913</v>
      </c>
      <c r="E1647" t="s">
        <v>9970</v>
      </c>
      <c r="F1647" t="s">
        <v>7375</v>
      </c>
      <c r="G1647" t="s">
        <v>9971</v>
      </c>
      <c r="H1647" t="s">
        <v>9972</v>
      </c>
      <c r="I1647" t="s">
        <v>9973</v>
      </c>
      <c r="J1647" t="s">
        <v>9665</v>
      </c>
      <c r="K1647" t="s">
        <v>9974</v>
      </c>
    </row>
    <row r="1648" spans="1:11" x14ac:dyDescent="0.25">
      <c r="A1648" s="123">
        <v>1647</v>
      </c>
      <c r="B1648" s="10">
        <v>1014</v>
      </c>
      <c r="C1648" s="125" t="s">
        <v>181</v>
      </c>
      <c r="D1648" t="s">
        <v>8129</v>
      </c>
      <c r="E1648" s="80" t="s">
        <v>9975</v>
      </c>
      <c r="F1648" t="s">
        <v>6741</v>
      </c>
      <c r="G1648" t="s">
        <v>9784</v>
      </c>
      <c r="H1648" t="s">
        <v>9976</v>
      </c>
      <c r="I1648" t="s">
        <v>9977</v>
      </c>
      <c r="J1648" t="s">
        <v>9569</v>
      </c>
      <c r="K1648" t="s">
        <v>9978</v>
      </c>
    </row>
    <row r="1649" spans="1:11" x14ac:dyDescent="0.25">
      <c r="A1649" s="123">
        <v>1648</v>
      </c>
      <c r="B1649" s="10">
        <v>1014</v>
      </c>
      <c r="C1649" s="125" t="s">
        <v>183</v>
      </c>
      <c r="D1649" t="s">
        <v>8155</v>
      </c>
      <c r="E1649" s="80" t="s">
        <v>9979</v>
      </c>
      <c r="F1649" t="s">
        <v>9980</v>
      </c>
      <c r="G1649" t="s">
        <v>9682</v>
      </c>
      <c r="H1649" t="s">
        <v>9981</v>
      </c>
      <c r="I1649" s="80" t="s">
        <v>9982</v>
      </c>
      <c r="J1649" t="s">
        <v>9273</v>
      </c>
      <c r="K1649" t="s">
        <v>9983</v>
      </c>
    </row>
    <row r="1650" spans="1:11" x14ac:dyDescent="0.25">
      <c r="A1650" s="123">
        <v>1649</v>
      </c>
      <c r="B1650" s="10">
        <v>1014</v>
      </c>
      <c r="C1650" s="125" t="s">
        <v>186</v>
      </c>
      <c r="D1650" t="s">
        <v>8180</v>
      </c>
      <c r="E1650" s="80" t="s">
        <v>9984</v>
      </c>
      <c r="F1650" t="s">
        <v>9985</v>
      </c>
      <c r="G1650" t="s">
        <v>9986</v>
      </c>
      <c r="H1650" t="s">
        <v>9987</v>
      </c>
      <c r="I1650" s="80" t="s">
        <v>9988</v>
      </c>
      <c r="J1650" t="s">
        <v>9459</v>
      </c>
      <c r="K1650" t="s">
        <v>9989</v>
      </c>
    </row>
    <row r="1651" spans="1:11" x14ac:dyDescent="0.25">
      <c r="A1651" s="123">
        <v>1650</v>
      </c>
      <c r="B1651" s="10">
        <v>1014</v>
      </c>
      <c r="C1651" s="125" t="s">
        <v>188</v>
      </c>
      <c r="D1651" t="s">
        <v>9353</v>
      </c>
      <c r="E1651" s="80" t="s">
        <v>9990</v>
      </c>
      <c r="F1651" t="s">
        <v>9991</v>
      </c>
      <c r="G1651" t="s">
        <v>9986</v>
      </c>
      <c r="H1651" s="80" t="s">
        <v>9992</v>
      </c>
      <c r="I1651" s="80" t="s">
        <v>9993</v>
      </c>
      <c r="J1651" t="s">
        <v>9292</v>
      </c>
      <c r="K1651" s="111" t="s">
        <v>883</v>
      </c>
    </row>
    <row r="1652" spans="1:11" x14ac:dyDescent="0.25">
      <c r="A1652" s="123">
        <v>1651</v>
      </c>
      <c r="B1652" s="10">
        <v>1014</v>
      </c>
      <c r="C1652" s="125" t="s">
        <v>182</v>
      </c>
      <c r="D1652" s="80" t="s">
        <v>5282</v>
      </c>
      <c r="E1652" t="s">
        <v>9994</v>
      </c>
      <c r="F1652" t="s">
        <v>6237</v>
      </c>
      <c r="G1652" t="s">
        <v>9919</v>
      </c>
      <c r="H1652" t="s">
        <v>583</v>
      </c>
      <c r="I1652" t="s">
        <v>6017</v>
      </c>
      <c r="J1652" s="80" t="s">
        <v>3201</v>
      </c>
      <c r="K1652" t="s">
        <v>7184</v>
      </c>
    </row>
    <row r="1653" spans="1:11" x14ac:dyDescent="0.25">
      <c r="A1653" s="123">
        <v>1652</v>
      </c>
      <c r="B1653" s="10">
        <v>1014</v>
      </c>
      <c r="C1653" s="125" t="s">
        <v>184</v>
      </c>
      <c r="D1653" t="s">
        <v>9649</v>
      </c>
      <c r="E1653" t="s">
        <v>9995</v>
      </c>
      <c r="F1653" t="s">
        <v>9996</v>
      </c>
      <c r="G1653" t="s">
        <v>9682</v>
      </c>
      <c r="H1653" t="s">
        <v>9997</v>
      </c>
      <c r="I1653" s="80" t="s">
        <v>9998</v>
      </c>
      <c r="J1653" t="s">
        <v>9213</v>
      </c>
      <c r="K1653" t="s">
        <v>9999</v>
      </c>
    </row>
    <row r="1654" spans="1:11" x14ac:dyDescent="0.25">
      <c r="A1654" s="123">
        <v>1653</v>
      </c>
      <c r="B1654" s="10">
        <v>1014</v>
      </c>
      <c r="C1654" s="125" t="s">
        <v>187</v>
      </c>
      <c r="D1654" t="s">
        <v>7697</v>
      </c>
      <c r="E1654" t="s">
        <v>10000</v>
      </c>
      <c r="F1654" t="s">
        <v>10001</v>
      </c>
      <c r="G1654" t="s">
        <v>9696</v>
      </c>
      <c r="H1654" t="s">
        <v>10002</v>
      </c>
      <c r="I1654" s="80" t="s">
        <v>10003</v>
      </c>
      <c r="J1654" t="s">
        <v>9273</v>
      </c>
      <c r="K1654" t="s">
        <v>10004</v>
      </c>
    </row>
    <row r="1655" spans="1:11" x14ac:dyDescent="0.25">
      <c r="A1655" s="123">
        <v>1654</v>
      </c>
      <c r="B1655" s="10">
        <v>1014</v>
      </c>
      <c r="C1655" s="125" t="s">
        <v>189</v>
      </c>
      <c r="D1655" t="s">
        <v>8258</v>
      </c>
      <c r="E1655" t="s">
        <v>10005</v>
      </c>
      <c r="F1655" t="s">
        <v>10006</v>
      </c>
      <c r="G1655" t="s">
        <v>9652</v>
      </c>
      <c r="H1655" t="s">
        <v>10007</v>
      </c>
      <c r="I1655" s="80" t="s">
        <v>10008</v>
      </c>
      <c r="J1655" t="s">
        <v>10009</v>
      </c>
      <c r="K1655" t="s">
        <v>10010</v>
      </c>
    </row>
    <row r="1656" spans="1:11" x14ac:dyDescent="0.25">
      <c r="A1656" s="123">
        <v>1655</v>
      </c>
      <c r="B1656" s="10">
        <v>1059</v>
      </c>
      <c r="C1656" s="125" t="s">
        <v>162</v>
      </c>
      <c r="D1656" t="s">
        <v>583</v>
      </c>
      <c r="E1656" t="s">
        <v>10011</v>
      </c>
      <c r="F1656" t="s">
        <v>5793</v>
      </c>
      <c r="G1656" t="s">
        <v>9919</v>
      </c>
      <c r="H1656" t="s">
        <v>3068</v>
      </c>
      <c r="I1656" t="s">
        <v>10012</v>
      </c>
      <c r="J1656" t="s">
        <v>583</v>
      </c>
      <c r="K1656" t="s">
        <v>3764</v>
      </c>
    </row>
    <row r="1657" spans="1:11" x14ac:dyDescent="0.25">
      <c r="A1657" s="123">
        <v>1656</v>
      </c>
      <c r="B1657" s="10">
        <v>1059</v>
      </c>
      <c r="C1657" s="125" t="s">
        <v>170</v>
      </c>
      <c r="D1657" t="s">
        <v>9944</v>
      </c>
      <c r="E1657" t="s">
        <v>10013</v>
      </c>
      <c r="F1657" t="s">
        <v>10014</v>
      </c>
      <c r="G1657" t="s">
        <v>9664</v>
      </c>
      <c r="H1657" t="s">
        <v>10015</v>
      </c>
      <c r="I1657" s="80" t="s">
        <v>10016</v>
      </c>
      <c r="J1657" t="s">
        <v>9941</v>
      </c>
      <c r="K1657" t="s">
        <v>9693</v>
      </c>
    </row>
    <row r="1658" spans="1:11" x14ac:dyDescent="0.25">
      <c r="A1658" s="123">
        <v>1657</v>
      </c>
      <c r="B1658" s="10">
        <v>1059</v>
      </c>
      <c r="C1658" s="125" t="s">
        <v>178</v>
      </c>
      <c r="D1658" t="s">
        <v>5136</v>
      </c>
      <c r="E1658" t="s">
        <v>10017</v>
      </c>
      <c r="F1658" t="s">
        <v>10018</v>
      </c>
      <c r="G1658" t="s">
        <v>9664</v>
      </c>
      <c r="H1658" t="s">
        <v>10019</v>
      </c>
      <c r="I1658" s="80" t="s">
        <v>10020</v>
      </c>
      <c r="J1658" t="s">
        <v>9341</v>
      </c>
      <c r="K1658" t="s">
        <v>10021</v>
      </c>
    </row>
    <row r="1659" spans="1:11" x14ac:dyDescent="0.25">
      <c r="A1659" s="123">
        <v>1658</v>
      </c>
      <c r="B1659" s="10">
        <v>1059</v>
      </c>
      <c r="C1659" s="125" t="s">
        <v>163</v>
      </c>
      <c r="D1659" t="s">
        <v>9649</v>
      </c>
      <c r="E1659" t="s">
        <v>10022</v>
      </c>
      <c r="F1659" t="s">
        <v>10023</v>
      </c>
      <c r="G1659" t="s">
        <v>9770</v>
      </c>
      <c r="H1659" t="s">
        <v>10024</v>
      </c>
      <c r="I1659" s="80" t="s">
        <v>10025</v>
      </c>
      <c r="J1659" t="s">
        <v>9307</v>
      </c>
      <c r="K1659" t="s">
        <v>10026</v>
      </c>
    </row>
    <row r="1660" spans="1:11" x14ac:dyDescent="0.25">
      <c r="A1660" s="123">
        <v>1659</v>
      </c>
      <c r="B1660" s="10">
        <v>1059</v>
      </c>
      <c r="C1660" s="125" t="s">
        <v>181</v>
      </c>
      <c r="D1660" t="s">
        <v>9507</v>
      </c>
      <c r="E1660" t="s">
        <v>10027</v>
      </c>
      <c r="F1660" t="s">
        <v>7332</v>
      </c>
      <c r="G1660" t="s">
        <v>9962</v>
      </c>
      <c r="H1660" t="s">
        <v>10028</v>
      </c>
      <c r="I1660" t="s">
        <v>10029</v>
      </c>
      <c r="J1660" t="s">
        <v>4779</v>
      </c>
      <c r="K1660" t="s">
        <v>8135</v>
      </c>
    </row>
    <row r="1661" spans="1:11" x14ac:dyDescent="0.25">
      <c r="A1661" s="123">
        <v>1660</v>
      </c>
      <c r="B1661" s="10">
        <v>1059</v>
      </c>
      <c r="C1661" s="125" t="s">
        <v>183</v>
      </c>
      <c r="D1661" t="s">
        <v>9649</v>
      </c>
      <c r="E1661" s="80" t="s">
        <v>8223</v>
      </c>
      <c r="F1661" t="s">
        <v>10030</v>
      </c>
      <c r="G1661" t="s">
        <v>10031</v>
      </c>
      <c r="H1661" t="s">
        <v>10032</v>
      </c>
      <c r="I1661" s="80" t="s">
        <v>10033</v>
      </c>
      <c r="J1661" t="s">
        <v>9307</v>
      </c>
      <c r="K1661" t="s">
        <v>10034</v>
      </c>
    </row>
    <row r="1662" spans="1:11" x14ac:dyDescent="0.25">
      <c r="A1662" s="123">
        <v>1661</v>
      </c>
      <c r="B1662" s="10">
        <v>1059</v>
      </c>
      <c r="C1662" s="125" t="s">
        <v>186</v>
      </c>
      <c r="D1662" t="s">
        <v>10035</v>
      </c>
      <c r="E1662" s="80" t="s">
        <v>9606</v>
      </c>
      <c r="F1662" t="s">
        <v>10036</v>
      </c>
      <c r="G1662" t="s">
        <v>6025</v>
      </c>
      <c r="H1662" t="s">
        <v>10037</v>
      </c>
      <c r="I1662" s="80" t="s">
        <v>10038</v>
      </c>
      <c r="J1662" t="s">
        <v>9411</v>
      </c>
      <c r="K1662" t="s">
        <v>10039</v>
      </c>
    </row>
    <row r="1663" spans="1:11" x14ac:dyDescent="0.25">
      <c r="A1663" s="123">
        <v>1662</v>
      </c>
      <c r="B1663" s="10">
        <v>1059</v>
      </c>
      <c r="C1663" s="125" t="s">
        <v>188</v>
      </c>
      <c r="D1663" t="s">
        <v>10035</v>
      </c>
      <c r="E1663" t="s">
        <v>10040</v>
      </c>
      <c r="F1663" t="s">
        <v>10041</v>
      </c>
      <c r="G1663" t="s">
        <v>9770</v>
      </c>
      <c r="H1663" t="s">
        <v>10042</v>
      </c>
      <c r="I1663" s="80" t="s">
        <v>10043</v>
      </c>
      <c r="J1663" t="s">
        <v>9575</v>
      </c>
      <c r="K1663" t="s">
        <v>10044</v>
      </c>
    </row>
    <row r="1664" spans="1:11" x14ac:dyDescent="0.25">
      <c r="A1664" s="123">
        <v>1663</v>
      </c>
      <c r="B1664" s="10">
        <v>1059</v>
      </c>
      <c r="C1664" s="125" t="s">
        <v>182</v>
      </c>
      <c r="D1664" s="80" t="s">
        <v>5282</v>
      </c>
      <c r="E1664" t="s">
        <v>10045</v>
      </c>
      <c r="F1664" t="s">
        <v>9316</v>
      </c>
      <c r="G1664" t="s">
        <v>9971</v>
      </c>
      <c r="H1664" t="s">
        <v>7770</v>
      </c>
      <c r="I1664" t="s">
        <v>10046</v>
      </c>
      <c r="J1664" s="80" t="s">
        <v>3201</v>
      </c>
      <c r="K1664" t="s">
        <v>6842</v>
      </c>
    </row>
    <row r="1665" spans="1:11" x14ac:dyDescent="0.25">
      <c r="A1665" s="123">
        <v>1664</v>
      </c>
      <c r="B1665" s="10">
        <v>1059</v>
      </c>
      <c r="C1665" s="125" t="s">
        <v>184</v>
      </c>
      <c r="D1665" t="s">
        <v>9562</v>
      </c>
      <c r="E1665" t="s">
        <v>10047</v>
      </c>
      <c r="F1665" t="s">
        <v>10048</v>
      </c>
      <c r="G1665" t="s">
        <v>10049</v>
      </c>
      <c r="H1665" t="s">
        <v>10050</v>
      </c>
      <c r="I1665" s="80" t="s">
        <v>10051</v>
      </c>
      <c r="J1665" t="s">
        <v>9941</v>
      </c>
      <c r="K1665" t="s">
        <v>10052</v>
      </c>
    </row>
    <row r="1666" spans="1:11" x14ac:dyDescent="0.25">
      <c r="A1666" s="123">
        <v>1665</v>
      </c>
      <c r="B1666" s="10">
        <v>1059</v>
      </c>
      <c r="C1666" s="125" t="s">
        <v>187</v>
      </c>
      <c r="D1666" t="s">
        <v>10035</v>
      </c>
      <c r="E1666" t="s">
        <v>10053</v>
      </c>
      <c r="F1666" t="s">
        <v>10054</v>
      </c>
      <c r="G1666" t="s">
        <v>9696</v>
      </c>
      <c r="H1666" t="s">
        <v>10055</v>
      </c>
      <c r="I1666" s="80" t="s">
        <v>10056</v>
      </c>
      <c r="J1666" t="s">
        <v>9569</v>
      </c>
      <c r="K1666" t="s">
        <v>10057</v>
      </c>
    </row>
    <row r="1667" spans="1:11" x14ac:dyDescent="0.25">
      <c r="A1667" s="123">
        <v>1666</v>
      </c>
      <c r="B1667" s="10">
        <v>1059</v>
      </c>
      <c r="C1667" s="125" t="s">
        <v>189</v>
      </c>
      <c r="D1667" t="s">
        <v>8258</v>
      </c>
      <c r="E1667" t="s">
        <v>10058</v>
      </c>
      <c r="F1667" t="s">
        <v>10059</v>
      </c>
      <c r="G1667" t="s">
        <v>9652</v>
      </c>
      <c r="H1667" t="s">
        <v>10060</v>
      </c>
      <c r="I1667" s="80" t="s">
        <v>10061</v>
      </c>
      <c r="J1667" t="s">
        <v>9655</v>
      </c>
      <c r="K1667" t="s">
        <v>10062</v>
      </c>
    </row>
    <row r="1668" spans="1:11" x14ac:dyDescent="0.25">
      <c r="A1668" s="123">
        <v>1667</v>
      </c>
      <c r="B1668" s="90" t="s">
        <v>627</v>
      </c>
      <c r="C1668" s="125" t="s">
        <v>181</v>
      </c>
      <c r="D1668" t="s">
        <v>8258</v>
      </c>
      <c r="E1668" s="111" t="s">
        <v>884</v>
      </c>
      <c r="F1668" t="s">
        <v>3065</v>
      </c>
      <c r="G1668" t="s">
        <v>9784</v>
      </c>
      <c r="H1668" t="s">
        <v>10063</v>
      </c>
      <c r="I1668" t="s">
        <v>10064</v>
      </c>
      <c r="J1668" t="s">
        <v>9265</v>
      </c>
      <c r="K1668" t="s">
        <v>8107</v>
      </c>
    </row>
    <row r="1669" spans="1:11" x14ac:dyDescent="0.25">
      <c r="A1669" s="123">
        <v>1668</v>
      </c>
      <c r="B1669" s="90" t="s">
        <v>627</v>
      </c>
      <c r="C1669" s="125" t="s">
        <v>183</v>
      </c>
      <c r="D1669" t="s">
        <v>10035</v>
      </c>
      <c r="E1669" s="80" t="s">
        <v>10065</v>
      </c>
      <c r="F1669" t="s">
        <v>10066</v>
      </c>
      <c r="G1669" t="s">
        <v>9696</v>
      </c>
      <c r="H1669" t="s">
        <v>10067</v>
      </c>
      <c r="I1669" s="80" t="s">
        <v>10068</v>
      </c>
      <c r="J1669" t="s">
        <v>9411</v>
      </c>
      <c r="K1669" t="s">
        <v>10069</v>
      </c>
    </row>
    <row r="1670" spans="1:11" x14ac:dyDescent="0.25">
      <c r="A1670" s="123">
        <v>1669</v>
      </c>
      <c r="B1670" s="90" t="s">
        <v>627</v>
      </c>
      <c r="C1670" s="125" t="s">
        <v>186</v>
      </c>
      <c r="D1670">
        <v>36</v>
      </c>
      <c r="E1670" t="s">
        <v>10070</v>
      </c>
      <c r="F1670" t="s">
        <v>10071</v>
      </c>
      <c r="G1670" t="s">
        <v>8158</v>
      </c>
      <c r="H1670" s="80" t="s">
        <v>10072</v>
      </c>
      <c r="I1670" s="80" t="s">
        <v>10073</v>
      </c>
      <c r="J1670" t="s">
        <v>10074</v>
      </c>
      <c r="K1670" s="80" t="s">
        <v>10075</v>
      </c>
    </row>
    <row r="1671" spans="1:11" x14ac:dyDescent="0.25">
      <c r="A1671" s="123">
        <v>1670</v>
      </c>
      <c r="B1671" s="90" t="s">
        <v>627</v>
      </c>
      <c r="C1671" s="125" t="s">
        <v>188</v>
      </c>
      <c r="D1671">
        <v>36</v>
      </c>
      <c r="E1671" s="111" t="s">
        <v>886</v>
      </c>
      <c r="F1671" t="s">
        <v>10076</v>
      </c>
      <c r="G1671" t="s">
        <v>7959</v>
      </c>
      <c r="H1671" t="s">
        <v>10077</v>
      </c>
      <c r="I1671" s="80" t="s">
        <v>10078</v>
      </c>
      <c r="J1671" t="s">
        <v>8173</v>
      </c>
      <c r="K1671" s="80" t="s">
        <v>10079</v>
      </c>
    </row>
    <row r="1672" spans="1:11" x14ac:dyDescent="0.25">
      <c r="A1672" s="123">
        <v>1671</v>
      </c>
      <c r="B1672" s="90" t="s">
        <v>627</v>
      </c>
      <c r="C1672" s="125" t="s">
        <v>182</v>
      </c>
      <c r="D1672" t="s">
        <v>1906</v>
      </c>
      <c r="E1672" t="s">
        <v>10080</v>
      </c>
      <c r="F1672" t="s">
        <v>583</v>
      </c>
      <c r="G1672" t="s">
        <v>3786</v>
      </c>
      <c r="H1672" t="s">
        <v>5513</v>
      </c>
      <c r="I1672" t="s">
        <v>10081</v>
      </c>
      <c r="J1672" t="s">
        <v>9501</v>
      </c>
      <c r="K1672" t="s">
        <v>8492</v>
      </c>
    </row>
    <row r="1673" spans="1:11" x14ac:dyDescent="0.25">
      <c r="A1673" s="123">
        <v>1672</v>
      </c>
      <c r="B1673" s="90" t="s">
        <v>627</v>
      </c>
      <c r="C1673" s="125" t="s">
        <v>184</v>
      </c>
      <c r="D1673" t="s">
        <v>8069</v>
      </c>
      <c r="E1673" t="s">
        <v>10082</v>
      </c>
      <c r="F1673" t="s">
        <v>3829</v>
      </c>
      <c r="G1673" t="s">
        <v>4437</v>
      </c>
      <c r="H1673" t="s">
        <v>10083</v>
      </c>
      <c r="I1673" s="80" t="s">
        <v>10084</v>
      </c>
      <c r="J1673" t="s">
        <v>10085</v>
      </c>
      <c r="K1673" t="s">
        <v>10086</v>
      </c>
    </row>
    <row r="1674" spans="1:11" x14ac:dyDescent="0.25">
      <c r="A1674" s="123">
        <v>1673</v>
      </c>
      <c r="B1674" s="90" t="s">
        <v>627</v>
      </c>
      <c r="C1674" s="125" t="s">
        <v>187</v>
      </c>
      <c r="D1674" t="s">
        <v>7995</v>
      </c>
      <c r="E1674" t="s">
        <v>10087</v>
      </c>
      <c r="F1674" t="s">
        <v>10088</v>
      </c>
      <c r="G1674" t="s">
        <v>9317</v>
      </c>
      <c r="H1674" t="s">
        <v>10089</v>
      </c>
      <c r="I1674" s="80" t="s">
        <v>10090</v>
      </c>
      <c r="J1674" t="s">
        <v>5230</v>
      </c>
      <c r="K1674" t="s">
        <v>10091</v>
      </c>
    </row>
    <row r="1675" spans="1:11" x14ac:dyDescent="0.25">
      <c r="A1675" s="123">
        <v>1674</v>
      </c>
      <c r="B1675" s="90" t="s">
        <v>627</v>
      </c>
      <c r="C1675" s="125" t="s">
        <v>189</v>
      </c>
      <c r="D1675" t="s">
        <v>10092</v>
      </c>
      <c r="E1675" t="s">
        <v>10093</v>
      </c>
      <c r="F1675" t="s">
        <v>2366</v>
      </c>
      <c r="G1675" t="s">
        <v>10094</v>
      </c>
      <c r="H1675" t="s">
        <v>10095</v>
      </c>
      <c r="I1675" s="80" t="s">
        <v>10096</v>
      </c>
      <c r="J1675" t="s">
        <v>10097</v>
      </c>
      <c r="K1675" t="s">
        <v>10098</v>
      </c>
    </row>
    <row r="1676" spans="1:11" x14ac:dyDescent="0.25">
      <c r="A1676" s="123">
        <v>1675</v>
      </c>
      <c r="B1676" s="90" t="s">
        <v>610</v>
      </c>
      <c r="C1676" s="125" t="s">
        <v>162</v>
      </c>
      <c r="D1676" t="s">
        <v>10099</v>
      </c>
      <c r="E1676" t="s">
        <v>10100</v>
      </c>
      <c r="F1676" t="s">
        <v>10101</v>
      </c>
      <c r="G1676" t="s">
        <v>8269</v>
      </c>
      <c r="H1676" t="s">
        <v>10102</v>
      </c>
      <c r="I1676" t="s">
        <v>10103</v>
      </c>
      <c r="J1676" t="s">
        <v>10104</v>
      </c>
      <c r="K1676" t="s">
        <v>10105</v>
      </c>
    </row>
    <row r="1677" spans="1:11" x14ac:dyDescent="0.25">
      <c r="A1677" s="123">
        <v>1676</v>
      </c>
      <c r="B1677" s="90" t="s">
        <v>610</v>
      </c>
      <c r="C1677" s="125" t="s">
        <v>170</v>
      </c>
      <c r="D1677" t="s">
        <v>5136</v>
      </c>
      <c r="E1677" t="s">
        <v>10106</v>
      </c>
      <c r="F1677" t="s">
        <v>10107</v>
      </c>
      <c r="G1677" t="s">
        <v>10108</v>
      </c>
      <c r="H1677" t="s">
        <v>10109</v>
      </c>
      <c r="I1677" s="80" t="s">
        <v>10110</v>
      </c>
      <c r="J1677" t="s">
        <v>8286</v>
      </c>
      <c r="K1677" t="s">
        <v>10111</v>
      </c>
    </row>
    <row r="1678" spans="1:11" x14ac:dyDescent="0.25">
      <c r="A1678" s="123">
        <v>1677</v>
      </c>
      <c r="B1678" s="90" t="s">
        <v>610</v>
      </c>
      <c r="C1678" s="125" t="s">
        <v>178</v>
      </c>
      <c r="D1678" t="s">
        <v>8115</v>
      </c>
      <c r="E1678" s="80" t="s">
        <v>10112</v>
      </c>
      <c r="F1678" t="s">
        <v>10113</v>
      </c>
      <c r="G1678" t="s">
        <v>8047</v>
      </c>
      <c r="H1678" t="s">
        <v>10114</v>
      </c>
      <c r="I1678" s="80" t="s">
        <v>10115</v>
      </c>
      <c r="J1678" t="s">
        <v>8050</v>
      </c>
      <c r="K1678" t="s">
        <v>10116</v>
      </c>
    </row>
    <row r="1679" spans="1:11" x14ac:dyDescent="0.25">
      <c r="A1679" s="123">
        <v>1678</v>
      </c>
      <c r="B1679" s="90" t="s">
        <v>610</v>
      </c>
      <c r="C1679" s="125" t="s">
        <v>163</v>
      </c>
      <c r="D1679">
        <v>40</v>
      </c>
      <c r="E1679" s="80" t="s">
        <v>10117</v>
      </c>
      <c r="F1679" t="s">
        <v>10118</v>
      </c>
      <c r="G1679" t="s">
        <v>8344</v>
      </c>
      <c r="H1679" t="s">
        <v>10119</v>
      </c>
      <c r="I1679" s="80" t="s">
        <v>10120</v>
      </c>
      <c r="J1679" t="s">
        <v>8080</v>
      </c>
      <c r="K1679" s="80" t="s">
        <v>10121</v>
      </c>
    </row>
    <row r="1680" spans="1:11" x14ac:dyDescent="0.25">
      <c r="A1680" s="123">
        <v>1679</v>
      </c>
      <c r="B1680" s="90" t="s">
        <v>610</v>
      </c>
      <c r="C1680" s="125" t="s">
        <v>181</v>
      </c>
      <c r="D1680" t="s">
        <v>7995</v>
      </c>
      <c r="E1680" s="80" t="s">
        <v>10122</v>
      </c>
      <c r="F1680" t="s">
        <v>6063</v>
      </c>
      <c r="G1680" t="s">
        <v>9646</v>
      </c>
      <c r="H1680" t="s">
        <v>10123</v>
      </c>
      <c r="I1680" t="s">
        <v>10124</v>
      </c>
      <c r="J1680" t="s">
        <v>10125</v>
      </c>
      <c r="K1680" t="s">
        <v>10126</v>
      </c>
    </row>
    <row r="1681" spans="1:11" x14ac:dyDescent="0.25">
      <c r="A1681" s="123">
        <v>1680</v>
      </c>
      <c r="B1681" s="90" t="s">
        <v>610</v>
      </c>
      <c r="C1681" s="125" t="s">
        <v>183</v>
      </c>
      <c r="D1681" t="s">
        <v>8129</v>
      </c>
      <c r="E1681" s="80" t="s">
        <v>10127</v>
      </c>
      <c r="F1681" t="s">
        <v>10128</v>
      </c>
      <c r="G1681" t="s">
        <v>9270</v>
      </c>
      <c r="H1681" t="s">
        <v>10129</v>
      </c>
      <c r="I1681" s="80" t="s">
        <v>10130</v>
      </c>
      <c r="J1681" t="s">
        <v>3221</v>
      </c>
      <c r="K1681" t="s">
        <v>10131</v>
      </c>
    </row>
    <row r="1682" spans="1:11" x14ac:dyDescent="0.25">
      <c r="A1682" s="123">
        <v>1681</v>
      </c>
      <c r="B1682" s="90" t="s">
        <v>610</v>
      </c>
      <c r="C1682" s="125" t="s">
        <v>186</v>
      </c>
      <c r="D1682" t="s">
        <v>9730</v>
      </c>
      <c r="E1682" s="80" t="s">
        <v>10132</v>
      </c>
      <c r="F1682" t="s">
        <v>10133</v>
      </c>
      <c r="G1682" t="s">
        <v>7952</v>
      </c>
      <c r="H1682" t="s">
        <v>10134</v>
      </c>
      <c r="I1682" s="80" t="s">
        <v>10135</v>
      </c>
      <c r="J1682" t="s">
        <v>6767</v>
      </c>
      <c r="K1682" t="s">
        <v>10136</v>
      </c>
    </row>
    <row r="1683" spans="1:11" x14ac:dyDescent="0.25">
      <c r="A1683" s="123">
        <v>1682</v>
      </c>
      <c r="B1683" s="90" t="s">
        <v>610</v>
      </c>
      <c r="C1683" s="125" t="s">
        <v>188</v>
      </c>
      <c r="D1683" t="s">
        <v>8003</v>
      </c>
      <c r="E1683" s="80" t="s">
        <v>10137</v>
      </c>
      <c r="F1683" t="s">
        <v>10138</v>
      </c>
      <c r="G1683" t="s">
        <v>7998</v>
      </c>
      <c r="H1683" t="s">
        <v>10139</v>
      </c>
      <c r="I1683" s="80" t="s">
        <v>10140</v>
      </c>
      <c r="J1683" t="s">
        <v>10141</v>
      </c>
      <c r="K1683" s="80" t="s">
        <v>10142</v>
      </c>
    </row>
    <row r="1684" spans="1:11" x14ac:dyDescent="0.25">
      <c r="A1684" s="123">
        <v>1683</v>
      </c>
      <c r="B1684" s="90" t="s">
        <v>610</v>
      </c>
      <c r="C1684" s="125" t="s">
        <v>182</v>
      </c>
      <c r="D1684" t="s">
        <v>583</v>
      </c>
      <c r="E1684" t="s">
        <v>10143</v>
      </c>
      <c r="F1684" t="s">
        <v>10144</v>
      </c>
      <c r="G1684" t="s">
        <v>583</v>
      </c>
      <c r="H1684">
        <v>566</v>
      </c>
      <c r="I1684" s="80" t="s">
        <v>10145</v>
      </c>
      <c r="J1684" t="s">
        <v>10146</v>
      </c>
      <c r="K1684" t="s">
        <v>10147</v>
      </c>
    </row>
    <row r="1685" spans="1:11" x14ac:dyDescent="0.25">
      <c r="A1685" s="123">
        <v>1684</v>
      </c>
      <c r="B1685" s="90" t="s">
        <v>610</v>
      </c>
      <c r="C1685" s="125" t="s">
        <v>184</v>
      </c>
      <c r="D1685" t="s">
        <v>6336</v>
      </c>
      <c r="E1685" t="s">
        <v>10148</v>
      </c>
      <c r="F1685" t="s">
        <v>10149</v>
      </c>
      <c r="G1685" t="s">
        <v>3898</v>
      </c>
      <c r="H1685" t="s">
        <v>10150</v>
      </c>
      <c r="I1685" s="80" t="s">
        <v>10151</v>
      </c>
      <c r="J1685" t="s">
        <v>8286</v>
      </c>
      <c r="K1685" t="s">
        <v>10152</v>
      </c>
    </row>
    <row r="1686" spans="1:11" x14ac:dyDescent="0.25">
      <c r="A1686" s="123">
        <v>1685</v>
      </c>
      <c r="B1686" s="90" t="s">
        <v>610</v>
      </c>
      <c r="C1686" s="125" t="s">
        <v>187</v>
      </c>
      <c r="D1686" t="s">
        <v>3290</v>
      </c>
      <c r="E1686" t="s">
        <v>10153</v>
      </c>
      <c r="F1686" t="s">
        <v>10154</v>
      </c>
      <c r="G1686" t="s">
        <v>3786</v>
      </c>
      <c r="H1686" t="s">
        <v>10155</v>
      </c>
      <c r="I1686" s="80" t="s">
        <v>10156</v>
      </c>
      <c r="J1686" t="s">
        <v>8147</v>
      </c>
      <c r="K1686" t="s">
        <v>10157</v>
      </c>
    </row>
    <row r="1687" spans="1:11" x14ac:dyDescent="0.25">
      <c r="A1687" s="123">
        <v>1686</v>
      </c>
      <c r="B1687" s="90" t="s">
        <v>610</v>
      </c>
      <c r="C1687" s="125" t="s">
        <v>189</v>
      </c>
      <c r="D1687" t="s">
        <v>8122</v>
      </c>
      <c r="E1687" t="s">
        <v>10158</v>
      </c>
      <c r="F1687" t="s">
        <v>10159</v>
      </c>
      <c r="G1687" t="s">
        <v>10160</v>
      </c>
      <c r="H1687" t="s">
        <v>10161</v>
      </c>
      <c r="I1687" s="80" t="s">
        <v>10162</v>
      </c>
      <c r="J1687" t="s">
        <v>10163</v>
      </c>
      <c r="K1687" t="s">
        <v>10164</v>
      </c>
    </row>
    <row r="1688" spans="1:11" x14ac:dyDescent="0.25">
      <c r="A1688" s="123">
        <v>1687</v>
      </c>
      <c r="B1688" s="10">
        <v>3011</v>
      </c>
      <c r="C1688" s="125" t="s">
        <v>181</v>
      </c>
      <c r="D1688" t="s">
        <v>7995</v>
      </c>
      <c r="E1688" s="80" t="s">
        <v>10165</v>
      </c>
      <c r="F1688" t="s">
        <v>2466</v>
      </c>
      <c r="G1688" t="s">
        <v>10108</v>
      </c>
      <c r="H1688" t="s">
        <v>10166</v>
      </c>
      <c r="I1688" t="s">
        <v>10167</v>
      </c>
      <c r="J1688" t="s">
        <v>8023</v>
      </c>
      <c r="K1688" t="s">
        <v>10168</v>
      </c>
    </row>
    <row r="1689" spans="1:11" x14ac:dyDescent="0.25">
      <c r="A1689" s="123">
        <v>1688</v>
      </c>
      <c r="B1689" s="10">
        <v>3011</v>
      </c>
      <c r="C1689" s="125" t="s">
        <v>183</v>
      </c>
      <c r="D1689" t="s">
        <v>8109</v>
      </c>
      <c r="E1689" s="80" t="s">
        <v>10169</v>
      </c>
      <c r="F1689" t="s">
        <v>10170</v>
      </c>
      <c r="G1689" t="s">
        <v>8077</v>
      </c>
      <c r="H1689" t="s">
        <v>10171</v>
      </c>
      <c r="I1689" s="80" t="s">
        <v>10172</v>
      </c>
      <c r="J1689" t="s">
        <v>8214</v>
      </c>
      <c r="K1689" t="s">
        <v>10173</v>
      </c>
    </row>
    <row r="1690" spans="1:11" x14ac:dyDescent="0.25">
      <c r="A1690" s="122">
        <v>1689</v>
      </c>
      <c r="B1690" s="10">
        <v>3011</v>
      </c>
      <c r="C1690" s="125" t="s">
        <v>186</v>
      </c>
      <c r="D1690" t="s">
        <v>9353</v>
      </c>
      <c r="E1690" s="80" t="s">
        <v>10174</v>
      </c>
      <c r="F1690" t="s">
        <v>10175</v>
      </c>
      <c r="G1690" t="s">
        <v>9592</v>
      </c>
      <c r="H1690" t="s">
        <v>10176</v>
      </c>
      <c r="I1690" s="80" t="s">
        <v>10177</v>
      </c>
      <c r="J1690" t="s">
        <v>10178</v>
      </c>
      <c r="K1690" s="80" t="s">
        <v>10179</v>
      </c>
    </row>
    <row r="1691" spans="1:11" x14ac:dyDescent="0.25">
      <c r="A1691" s="122">
        <v>1690</v>
      </c>
      <c r="B1691" s="10">
        <v>3011</v>
      </c>
      <c r="C1691" s="125" t="s">
        <v>188</v>
      </c>
      <c r="D1691" t="s">
        <v>7697</v>
      </c>
      <c r="E1691" s="111" t="s">
        <v>888</v>
      </c>
      <c r="F1691" t="s">
        <v>10180</v>
      </c>
      <c r="G1691" t="s">
        <v>7952</v>
      </c>
      <c r="H1691" t="s">
        <v>10181</v>
      </c>
      <c r="I1691" s="80" t="s">
        <v>10182</v>
      </c>
      <c r="J1691" t="s">
        <v>7976</v>
      </c>
      <c r="K1691" s="80" t="s">
        <v>10183</v>
      </c>
    </row>
    <row r="1692" spans="1:11" x14ac:dyDescent="0.25">
      <c r="A1692" s="122">
        <v>1691</v>
      </c>
      <c r="B1692" s="10">
        <v>3011</v>
      </c>
      <c r="C1692" s="125" t="s">
        <v>182</v>
      </c>
      <c r="D1692" t="s">
        <v>583</v>
      </c>
      <c r="E1692" t="s">
        <v>10143</v>
      </c>
      <c r="F1692" t="s">
        <v>583</v>
      </c>
      <c r="G1692" t="s">
        <v>583</v>
      </c>
      <c r="H1692" t="s">
        <v>583</v>
      </c>
      <c r="I1692" t="s">
        <v>8492</v>
      </c>
      <c r="J1692" s="80" t="s">
        <v>8243</v>
      </c>
      <c r="K1692" t="s">
        <v>6019</v>
      </c>
    </row>
    <row r="1693" spans="1:11" x14ac:dyDescent="0.25">
      <c r="A1693" s="122">
        <v>1692</v>
      </c>
      <c r="B1693" s="10">
        <v>3011</v>
      </c>
      <c r="C1693" s="125" t="s">
        <v>184</v>
      </c>
      <c r="D1693" t="s">
        <v>9507</v>
      </c>
      <c r="E1693" t="s">
        <v>10184</v>
      </c>
      <c r="F1693" t="s">
        <v>10185</v>
      </c>
      <c r="G1693" t="s">
        <v>10094</v>
      </c>
      <c r="H1693" t="s">
        <v>10186</v>
      </c>
      <c r="I1693" s="80" t="s">
        <v>10187</v>
      </c>
      <c r="J1693" t="s">
        <v>8252</v>
      </c>
      <c r="K1693" t="s">
        <v>10188</v>
      </c>
    </row>
    <row r="1694" spans="1:11" x14ac:dyDescent="0.25">
      <c r="A1694" s="122">
        <v>1693</v>
      </c>
      <c r="B1694" s="10">
        <v>3011</v>
      </c>
      <c r="C1694" s="125" t="s">
        <v>187</v>
      </c>
      <c r="D1694" t="s">
        <v>10099</v>
      </c>
      <c r="E1694" t="s">
        <v>10189</v>
      </c>
      <c r="F1694" t="s">
        <v>10190</v>
      </c>
      <c r="G1694" t="s">
        <v>10191</v>
      </c>
      <c r="H1694" t="s">
        <v>10192</v>
      </c>
      <c r="I1694" s="80" t="s">
        <v>10193</v>
      </c>
      <c r="J1694" t="s">
        <v>8178</v>
      </c>
      <c r="K1694" t="s">
        <v>10194</v>
      </c>
    </row>
    <row r="1695" spans="1:11" x14ac:dyDescent="0.25">
      <c r="A1695" s="122">
        <v>1694</v>
      </c>
      <c r="B1695" s="10">
        <v>3011</v>
      </c>
      <c r="C1695" s="125" t="s">
        <v>189</v>
      </c>
      <c r="D1695" t="s">
        <v>9254</v>
      </c>
      <c r="E1695" t="s">
        <v>10195</v>
      </c>
      <c r="F1695" t="s">
        <v>10196</v>
      </c>
      <c r="G1695" t="s">
        <v>10191</v>
      </c>
      <c r="H1695" t="s">
        <v>10197</v>
      </c>
      <c r="I1695" s="80" t="s">
        <v>10198</v>
      </c>
      <c r="J1695" t="s">
        <v>10199</v>
      </c>
      <c r="K1695" t="s">
        <v>10200</v>
      </c>
    </row>
    <row r="1696" spans="1:11" x14ac:dyDescent="0.25">
      <c r="A1696" s="122">
        <v>1695</v>
      </c>
      <c r="B1696" t="s">
        <v>633</v>
      </c>
      <c r="C1696" s="122" t="s">
        <v>162</v>
      </c>
      <c r="D1696" t="s">
        <v>10201</v>
      </c>
      <c r="E1696" t="s">
        <v>10202</v>
      </c>
      <c r="F1696" t="s">
        <v>10203</v>
      </c>
      <c r="G1696" t="s">
        <v>7952</v>
      </c>
      <c r="H1696" s="80" t="s">
        <v>10204</v>
      </c>
      <c r="I1696" s="80" t="s">
        <v>10205</v>
      </c>
      <c r="J1696" t="s">
        <v>7955</v>
      </c>
      <c r="K1696" s="80" t="s">
        <v>10206</v>
      </c>
    </row>
    <row r="1697" spans="1:11" x14ac:dyDescent="0.25">
      <c r="A1697" s="122">
        <v>1696</v>
      </c>
      <c r="B1697" t="s">
        <v>633</v>
      </c>
      <c r="C1697" s="122" t="s">
        <v>170</v>
      </c>
      <c r="D1697" t="s">
        <v>9246</v>
      </c>
      <c r="E1697" t="s">
        <v>10207</v>
      </c>
      <c r="F1697" t="s">
        <v>10208</v>
      </c>
      <c r="G1697" t="s">
        <v>9270</v>
      </c>
      <c r="H1697" s="80" t="s">
        <v>10209</v>
      </c>
      <c r="I1697" s="80" t="s">
        <v>10210</v>
      </c>
      <c r="J1697" t="s">
        <v>8080</v>
      </c>
      <c r="K1697" s="80" t="s">
        <v>10211</v>
      </c>
    </row>
    <row r="1698" spans="1:11" x14ac:dyDescent="0.25">
      <c r="A1698" s="122">
        <v>1697</v>
      </c>
      <c r="B1698" t="s">
        <v>633</v>
      </c>
      <c r="C1698" s="122" t="s">
        <v>178</v>
      </c>
      <c r="D1698" t="s">
        <v>5903</v>
      </c>
      <c r="E1698" t="s">
        <v>10212</v>
      </c>
      <c r="F1698" t="s">
        <v>1547</v>
      </c>
      <c r="G1698" t="s">
        <v>8020</v>
      </c>
      <c r="H1698" s="80" t="s">
        <v>10213</v>
      </c>
      <c r="I1698" s="80" t="s">
        <v>10214</v>
      </c>
      <c r="J1698" t="s">
        <v>10215</v>
      </c>
      <c r="K1698" s="80" t="s">
        <v>10216</v>
      </c>
    </row>
    <row r="1699" spans="1:11" x14ac:dyDescent="0.25">
      <c r="A1699" s="122">
        <v>1698</v>
      </c>
      <c r="B1699" t="s">
        <v>633</v>
      </c>
      <c r="C1699" s="122" t="s">
        <v>163</v>
      </c>
      <c r="D1699">
        <v>36</v>
      </c>
      <c r="E1699" t="s">
        <v>10217</v>
      </c>
      <c r="F1699" t="s">
        <v>10218</v>
      </c>
      <c r="G1699" t="s">
        <v>8158</v>
      </c>
      <c r="H1699" s="80" t="s">
        <v>10219</v>
      </c>
      <c r="I1699" s="80" t="s">
        <v>10220</v>
      </c>
      <c r="J1699" t="s">
        <v>8008</v>
      </c>
      <c r="K1699" s="80" t="s">
        <v>10221</v>
      </c>
    </row>
    <row r="1700" spans="1:11" x14ac:dyDescent="0.25">
      <c r="A1700" s="122">
        <v>1699</v>
      </c>
      <c r="B1700" t="s">
        <v>633</v>
      </c>
      <c r="C1700" s="122" t="s">
        <v>181</v>
      </c>
      <c r="D1700">
        <v>36</v>
      </c>
      <c r="E1700" t="s">
        <v>10222</v>
      </c>
      <c r="F1700" t="s">
        <v>10223</v>
      </c>
      <c r="G1700" t="s">
        <v>8158</v>
      </c>
      <c r="H1700" s="80" t="s">
        <v>10224</v>
      </c>
      <c r="I1700" s="80" t="s">
        <v>10225</v>
      </c>
      <c r="J1700" t="s">
        <v>5823</v>
      </c>
      <c r="K1700" s="111" t="s">
        <v>891</v>
      </c>
    </row>
    <row r="1701" spans="1:11" x14ac:dyDescent="0.25">
      <c r="A1701" s="122">
        <v>1700</v>
      </c>
      <c r="B1701" t="s">
        <v>633</v>
      </c>
      <c r="C1701" s="122" t="s">
        <v>183</v>
      </c>
      <c r="D1701" t="s">
        <v>8109</v>
      </c>
      <c r="E1701" t="s">
        <v>10226</v>
      </c>
      <c r="F1701" t="s">
        <v>10227</v>
      </c>
      <c r="G1701" t="s">
        <v>8090</v>
      </c>
      <c r="H1701" s="80" t="s">
        <v>10228</v>
      </c>
      <c r="I1701" s="80" t="s">
        <v>10229</v>
      </c>
      <c r="J1701">
        <v>118</v>
      </c>
      <c r="K1701" s="111" t="s">
        <v>893</v>
      </c>
    </row>
    <row r="1702" spans="1:11" x14ac:dyDescent="0.25">
      <c r="A1702" s="122">
        <v>1701</v>
      </c>
      <c r="B1702" t="s">
        <v>633</v>
      </c>
      <c r="C1702" s="122" t="s">
        <v>186</v>
      </c>
      <c r="D1702" t="s">
        <v>8003</v>
      </c>
      <c r="E1702" t="s">
        <v>10230</v>
      </c>
      <c r="F1702" t="s">
        <v>1547</v>
      </c>
      <c r="G1702" t="s">
        <v>8158</v>
      </c>
      <c r="H1702" s="80" t="s">
        <v>10231</v>
      </c>
      <c r="I1702" s="80" t="s">
        <v>10232</v>
      </c>
      <c r="J1702" t="s">
        <v>10074</v>
      </c>
      <c r="K1702" s="111" t="s">
        <v>895</v>
      </c>
    </row>
    <row r="1703" spans="1:11" x14ac:dyDescent="0.25">
      <c r="A1703" s="122">
        <v>1702</v>
      </c>
      <c r="B1703" t="s">
        <v>633</v>
      </c>
      <c r="C1703" s="122" t="s">
        <v>188</v>
      </c>
      <c r="D1703" t="s">
        <v>8109</v>
      </c>
      <c r="E1703" t="s">
        <v>10233</v>
      </c>
      <c r="F1703" t="s">
        <v>10234</v>
      </c>
      <c r="G1703" t="s">
        <v>7952</v>
      </c>
      <c r="H1703" s="80" t="s">
        <v>10235</v>
      </c>
      <c r="I1703" s="80" t="s">
        <v>10236</v>
      </c>
      <c r="J1703" t="s">
        <v>10237</v>
      </c>
      <c r="K1703" s="111">
        <v>1427</v>
      </c>
    </row>
    <row r="1704" spans="1:11" x14ac:dyDescent="0.25">
      <c r="A1704" s="122">
        <v>1703</v>
      </c>
      <c r="B1704" t="s">
        <v>633</v>
      </c>
      <c r="C1704" s="122" t="s">
        <v>182</v>
      </c>
      <c r="D1704" s="80" t="s">
        <v>7565</v>
      </c>
      <c r="E1704" t="s">
        <v>10238</v>
      </c>
      <c r="F1704" t="s">
        <v>583</v>
      </c>
      <c r="G1704" t="s">
        <v>583</v>
      </c>
      <c r="H1704" t="s">
        <v>7333</v>
      </c>
      <c r="I1704" t="s">
        <v>10239</v>
      </c>
      <c r="J1704" s="80" t="s">
        <v>10240</v>
      </c>
      <c r="K1704" t="s">
        <v>1971</v>
      </c>
    </row>
    <row r="1705" spans="1:11" x14ac:dyDescent="0.25">
      <c r="A1705" s="122">
        <v>1704</v>
      </c>
      <c r="B1705" t="s">
        <v>633</v>
      </c>
      <c r="C1705" s="122" t="s">
        <v>184</v>
      </c>
      <c r="D1705" t="s">
        <v>10241</v>
      </c>
      <c r="E1705" t="s">
        <v>10242</v>
      </c>
      <c r="F1705" t="s">
        <v>10243</v>
      </c>
      <c r="G1705" t="s">
        <v>9646</v>
      </c>
      <c r="H1705" t="s">
        <v>10244</v>
      </c>
      <c r="I1705" s="80" t="s">
        <v>10245</v>
      </c>
      <c r="J1705" t="s">
        <v>8252</v>
      </c>
      <c r="K1705" t="s">
        <v>10246</v>
      </c>
    </row>
    <row r="1706" spans="1:11" x14ac:dyDescent="0.25">
      <c r="A1706" s="122">
        <v>1705</v>
      </c>
      <c r="B1706" t="s">
        <v>633</v>
      </c>
      <c r="C1706" s="122" t="s">
        <v>187</v>
      </c>
      <c r="D1706" t="s">
        <v>10247</v>
      </c>
      <c r="E1706" t="s">
        <v>10248</v>
      </c>
      <c r="F1706" t="s">
        <v>10249</v>
      </c>
      <c r="G1706" t="s">
        <v>7992</v>
      </c>
      <c r="H1706" t="s">
        <v>10250</v>
      </c>
      <c r="I1706" s="80" t="s">
        <v>10251</v>
      </c>
      <c r="J1706" t="s">
        <v>8340</v>
      </c>
      <c r="K1706" t="s">
        <v>10252</v>
      </c>
    </row>
    <row r="1707" spans="1:11" x14ac:dyDescent="0.25">
      <c r="A1707" s="122">
        <v>1706</v>
      </c>
      <c r="B1707" t="s">
        <v>633</v>
      </c>
      <c r="C1707" s="122" t="s">
        <v>189</v>
      </c>
      <c r="D1707" t="s">
        <v>10253</v>
      </c>
      <c r="E1707" t="s">
        <v>10254</v>
      </c>
      <c r="F1707" t="s">
        <v>10255</v>
      </c>
      <c r="G1707" t="s">
        <v>8096</v>
      </c>
      <c r="H1707" t="s">
        <v>10256</v>
      </c>
      <c r="I1707" s="80" t="s">
        <v>10257</v>
      </c>
      <c r="J1707" t="s">
        <v>8340</v>
      </c>
      <c r="K1707" s="80" t="s">
        <v>10258</v>
      </c>
    </row>
    <row r="1708" spans="1:11" x14ac:dyDescent="0.25">
      <c r="A1708" s="122">
        <v>1707</v>
      </c>
      <c r="B1708" t="s">
        <v>634</v>
      </c>
      <c r="C1708" s="122" t="s">
        <v>162</v>
      </c>
      <c r="D1708" t="s">
        <v>9386</v>
      </c>
      <c r="E1708" t="s">
        <v>10259</v>
      </c>
      <c r="F1708" t="s">
        <v>583</v>
      </c>
      <c r="G1708" t="s">
        <v>10160</v>
      </c>
      <c r="H1708" t="s">
        <v>5858</v>
      </c>
      <c r="I1708" t="s">
        <v>3290</v>
      </c>
      <c r="J1708" t="s">
        <v>10260</v>
      </c>
      <c r="K1708" t="s">
        <v>10261</v>
      </c>
    </row>
    <row r="1709" spans="1:11" x14ac:dyDescent="0.25">
      <c r="A1709" s="122">
        <v>1708</v>
      </c>
      <c r="B1709" t="s">
        <v>634</v>
      </c>
      <c r="C1709" s="122" t="s">
        <v>170</v>
      </c>
      <c r="D1709" t="s">
        <v>7577</v>
      </c>
      <c r="E1709" t="s">
        <v>10262</v>
      </c>
      <c r="F1709" t="s">
        <v>10263</v>
      </c>
      <c r="G1709" t="s">
        <v>10160</v>
      </c>
      <c r="H1709" t="s">
        <v>10264</v>
      </c>
      <c r="I1709" s="80" t="s">
        <v>10265</v>
      </c>
      <c r="J1709" t="s">
        <v>10146</v>
      </c>
      <c r="K1709" t="s">
        <v>10266</v>
      </c>
    </row>
    <row r="1710" spans="1:11" x14ac:dyDescent="0.25">
      <c r="A1710" s="122">
        <v>1709</v>
      </c>
      <c r="B1710" t="s">
        <v>634</v>
      </c>
      <c r="C1710" s="122" t="s">
        <v>178</v>
      </c>
      <c r="D1710" t="s">
        <v>5405</v>
      </c>
      <c r="E1710" t="s">
        <v>10267</v>
      </c>
      <c r="F1710" t="s">
        <v>10268</v>
      </c>
      <c r="G1710" t="s">
        <v>8071</v>
      </c>
      <c r="H1710" t="s">
        <v>10269</v>
      </c>
      <c r="I1710" s="80" t="s">
        <v>10270</v>
      </c>
      <c r="J1710" t="s">
        <v>10097</v>
      </c>
      <c r="K1710" t="s">
        <v>10271</v>
      </c>
    </row>
    <row r="1711" spans="1:11" x14ac:dyDescent="0.25">
      <c r="A1711" s="122">
        <v>1710</v>
      </c>
      <c r="B1711" t="s">
        <v>634</v>
      </c>
      <c r="C1711" s="122" t="s">
        <v>163</v>
      </c>
      <c r="D1711" t="s">
        <v>10272</v>
      </c>
      <c r="E1711" t="s">
        <v>10273</v>
      </c>
      <c r="F1711" t="s">
        <v>10274</v>
      </c>
      <c r="G1711" t="s">
        <v>8366</v>
      </c>
      <c r="H1711" t="s">
        <v>10275</v>
      </c>
      <c r="I1711" s="80" t="s">
        <v>10276</v>
      </c>
      <c r="J1711" t="s">
        <v>8252</v>
      </c>
      <c r="K1711" t="s">
        <v>10277</v>
      </c>
    </row>
    <row r="1712" spans="1:11" x14ac:dyDescent="0.25">
      <c r="A1712" s="122">
        <v>1711</v>
      </c>
      <c r="B1712" t="s">
        <v>634</v>
      </c>
      <c r="C1712" s="122" t="s">
        <v>181</v>
      </c>
      <c r="D1712" t="s">
        <v>8129</v>
      </c>
      <c r="E1712" s="80" t="s">
        <v>10278</v>
      </c>
      <c r="F1712" t="s">
        <v>10279</v>
      </c>
      <c r="G1712" t="s">
        <v>10108</v>
      </c>
      <c r="H1712" t="s">
        <v>10280</v>
      </c>
      <c r="I1712" t="s">
        <v>10281</v>
      </c>
      <c r="J1712" t="s">
        <v>8252</v>
      </c>
      <c r="K1712" t="s">
        <v>10282</v>
      </c>
    </row>
    <row r="1713" spans="1:11" x14ac:dyDescent="0.25">
      <c r="A1713" s="122">
        <v>1712</v>
      </c>
      <c r="B1713" t="s">
        <v>634</v>
      </c>
      <c r="C1713" s="122" t="s">
        <v>183</v>
      </c>
      <c r="D1713" t="s">
        <v>8273</v>
      </c>
      <c r="E1713" s="80" t="s">
        <v>10283</v>
      </c>
      <c r="F1713" t="s">
        <v>10284</v>
      </c>
      <c r="G1713" t="s">
        <v>8104</v>
      </c>
      <c r="H1713" t="s">
        <v>10285</v>
      </c>
      <c r="I1713" s="80" t="s">
        <v>10286</v>
      </c>
      <c r="J1713" t="s">
        <v>10141</v>
      </c>
      <c r="K1713" t="s">
        <v>10287</v>
      </c>
    </row>
    <row r="1714" spans="1:11" x14ac:dyDescent="0.25">
      <c r="A1714" s="122">
        <v>1713</v>
      </c>
      <c r="B1714" t="s">
        <v>634</v>
      </c>
      <c r="C1714" s="122" t="s">
        <v>186</v>
      </c>
      <c r="D1714" t="s">
        <v>8273</v>
      </c>
      <c r="E1714" t="s">
        <v>10288</v>
      </c>
      <c r="F1714" t="s">
        <v>10289</v>
      </c>
      <c r="G1714" t="s">
        <v>7998</v>
      </c>
      <c r="H1714" s="80" t="s">
        <v>10290</v>
      </c>
      <c r="I1714" s="80" t="s">
        <v>10291</v>
      </c>
      <c r="J1714" t="s">
        <v>7955</v>
      </c>
      <c r="K1714" s="80" t="s">
        <v>10292</v>
      </c>
    </row>
    <row r="1715" spans="1:11" x14ac:dyDescent="0.25">
      <c r="A1715" s="122">
        <v>1714</v>
      </c>
      <c r="B1715" t="s">
        <v>634</v>
      </c>
      <c r="C1715" s="122" t="s">
        <v>188</v>
      </c>
      <c r="D1715" t="s">
        <v>8273</v>
      </c>
      <c r="E1715" s="80" t="s">
        <v>10293</v>
      </c>
      <c r="F1715" t="s">
        <v>10294</v>
      </c>
      <c r="G1715" t="s">
        <v>8158</v>
      </c>
      <c r="H1715" t="s">
        <v>10295</v>
      </c>
      <c r="I1715" s="80" t="s">
        <v>8165</v>
      </c>
      <c r="J1715" t="s">
        <v>8093</v>
      </c>
      <c r="K1715" s="80" t="s">
        <v>10296</v>
      </c>
    </row>
    <row r="1716" spans="1:11" x14ac:dyDescent="0.25">
      <c r="A1716" s="122">
        <v>1715</v>
      </c>
      <c r="B1716" t="s">
        <v>634</v>
      </c>
      <c r="C1716" s="122" t="s">
        <v>182</v>
      </c>
      <c r="D1716" t="s">
        <v>583</v>
      </c>
      <c r="E1716" t="s">
        <v>10297</v>
      </c>
      <c r="F1716" t="s">
        <v>583</v>
      </c>
      <c r="G1716" t="s">
        <v>583</v>
      </c>
      <c r="H1716" t="s">
        <v>583</v>
      </c>
      <c r="I1716" t="s">
        <v>8492</v>
      </c>
      <c r="J1716" t="s">
        <v>583</v>
      </c>
      <c r="K1716" s="80" t="s">
        <v>6238</v>
      </c>
    </row>
    <row r="1717" spans="1:11" x14ac:dyDescent="0.25">
      <c r="A1717" s="122">
        <v>1716</v>
      </c>
      <c r="B1717" t="s">
        <v>634</v>
      </c>
      <c r="C1717" s="122" t="s">
        <v>184</v>
      </c>
      <c r="D1717" t="s">
        <v>10298</v>
      </c>
      <c r="E1717" t="s">
        <v>10299</v>
      </c>
      <c r="F1717" t="s">
        <v>5029</v>
      </c>
      <c r="G1717" t="s">
        <v>9233</v>
      </c>
      <c r="H1717" t="s">
        <v>10300</v>
      </c>
      <c r="I1717" s="80" t="s">
        <v>10301</v>
      </c>
      <c r="J1717" t="s">
        <v>10302</v>
      </c>
      <c r="K1717" t="s">
        <v>10303</v>
      </c>
    </row>
    <row r="1718" spans="1:11" x14ac:dyDescent="0.25">
      <c r="A1718" s="122">
        <v>1717</v>
      </c>
      <c r="B1718" t="s">
        <v>634</v>
      </c>
      <c r="C1718" s="122" t="s">
        <v>187</v>
      </c>
      <c r="D1718" t="s">
        <v>10304</v>
      </c>
      <c r="E1718" t="s">
        <v>10305</v>
      </c>
      <c r="F1718" t="s">
        <v>10306</v>
      </c>
      <c r="G1718" t="s">
        <v>8071</v>
      </c>
      <c r="H1718" t="s">
        <v>10307</v>
      </c>
      <c r="I1718" s="80" t="s">
        <v>10308</v>
      </c>
      <c r="J1718" t="s">
        <v>10163</v>
      </c>
      <c r="K1718" t="s">
        <v>10309</v>
      </c>
    </row>
    <row r="1719" spans="1:11" x14ac:dyDescent="0.25">
      <c r="A1719" s="122">
        <v>1718</v>
      </c>
      <c r="B1719" t="s">
        <v>634</v>
      </c>
      <c r="C1719" s="122" t="s">
        <v>189</v>
      </c>
      <c r="D1719" t="s">
        <v>10310</v>
      </c>
      <c r="E1719" t="s">
        <v>10311</v>
      </c>
      <c r="F1719" t="s">
        <v>5768</v>
      </c>
      <c r="G1719" t="s">
        <v>4437</v>
      </c>
      <c r="H1719" t="s">
        <v>10312</v>
      </c>
      <c r="I1719" t="s">
        <v>10313</v>
      </c>
      <c r="J1719" t="s">
        <v>10314</v>
      </c>
      <c r="K1719" t="s">
        <v>10315</v>
      </c>
    </row>
    <row r="1720" spans="1:11" x14ac:dyDescent="0.25">
      <c r="A1720" s="122">
        <v>1719</v>
      </c>
      <c r="B1720">
        <v>1070</v>
      </c>
      <c r="C1720" s="122" t="s">
        <v>162</v>
      </c>
      <c r="D1720" t="s">
        <v>10099</v>
      </c>
      <c r="E1720" s="80" t="s">
        <v>10316</v>
      </c>
      <c r="F1720" t="s">
        <v>7163</v>
      </c>
      <c r="G1720" t="s">
        <v>7992</v>
      </c>
      <c r="H1720" t="s">
        <v>7770</v>
      </c>
      <c r="I1720" t="s">
        <v>7375</v>
      </c>
      <c r="J1720" t="s">
        <v>10097</v>
      </c>
      <c r="K1720" t="s">
        <v>10317</v>
      </c>
    </row>
    <row r="1721" spans="1:11" x14ac:dyDescent="0.25">
      <c r="A1721" s="122">
        <v>1720</v>
      </c>
      <c r="B1721">
        <v>1070</v>
      </c>
      <c r="C1721" s="122" t="s">
        <v>170</v>
      </c>
      <c r="D1721" t="s">
        <v>8115</v>
      </c>
      <c r="E1721" s="80" t="s">
        <v>10318</v>
      </c>
      <c r="F1721" t="s">
        <v>10319</v>
      </c>
      <c r="G1721" t="s">
        <v>8020</v>
      </c>
      <c r="H1721" t="s">
        <v>10320</v>
      </c>
      <c r="I1721" s="80" t="s">
        <v>10321</v>
      </c>
      <c r="J1721" t="s">
        <v>4781</v>
      </c>
      <c r="K1721" t="s">
        <v>10322</v>
      </c>
    </row>
    <row r="1722" spans="1:11" x14ac:dyDescent="0.25">
      <c r="A1722" s="122">
        <v>1721</v>
      </c>
      <c r="B1722">
        <v>1070</v>
      </c>
      <c r="C1722" s="122" t="s">
        <v>178</v>
      </c>
      <c r="D1722" t="s">
        <v>7984</v>
      </c>
      <c r="E1722" s="80" t="s">
        <v>10323</v>
      </c>
      <c r="F1722" t="s">
        <v>10324</v>
      </c>
      <c r="G1722" t="s">
        <v>8344</v>
      </c>
      <c r="H1722" s="80" t="s">
        <v>10325</v>
      </c>
      <c r="I1722" s="80" t="s">
        <v>10326</v>
      </c>
      <c r="J1722" t="s">
        <v>10141</v>
      </c>
      <c r="K1722" t="s">
        <v>10327</v>
      </c>
    </row>
    <row r="1723" spans="1:11" x14ac:dyDescent="0.25">
      <c r="A1723" s="122">
        <v>1722</v>
      </c>
      <c r="B1723">
        <v>1070</v>
      </c>
      <c r="C1723" s="122" t="s">
        <v>163</v>
      </c>
      <c r="D1723" t="s">
        <v>9657</v>
      </c>
      <c r="E1723" s="80" t="s">
        <v>10328</v>
      </c>
      <c r="F1723" t="s">
        <v>10329</v>
      </c>
      <c r="G1723" t="s">
        <v>7952</v>
      </c>
      <c r="H1723" t="s">
        <v>10330</v>
      </c>
      <c r="I1723" s="80" t="s">
        <v>10331</v>
      </c>
      <c r="J1723" t="s">
        <v>10178</v>
      </c>
      <c r="K1723" s="111" t="s">
        <v>899</v>
      </c>
    </row>
    <row r="1724" spans="1:11" x14ac:dyDescent="0.25">
      <c r="A1724" s="122">
        <v>1723</v>
      </c>
      <c r="B1724">
        <v>1070</v>
      </c>
      <c r="C1724" s="122" t="s">
        <v>181</v>
      </c>
      <c r="D1724" t="s">
        <v>8149</v>
      </c>
      <c r="E1724" s="80" t="s">
        <v>10332</v>
      </c>
      <c r="F1724" t="s">
        <v>5768</v>
      </c>
      <c r="G1724" t="s">
        <v>10191</v>
      </c>
      <c r="H1724" t="s">
        <v>10333</v>
      </c>
      <c r="I1724" t="s">
        <v>10334</v>
      </c>
      <c r="J1724" t="s">
        <v>8252</v>
      </c>
      <c r="K1724" t="s">
        <v>10335</v>
      </c>
    </row>
    <row r="1725" spans="1:11" x14ac:dyDescent="0.25">
      <c r="A1725" s="122">
        <v>1724</v>
      </c>
      <c r="B1725">
        <v>1070</v>
      </c>
      <c r="C1725" s="122" t="s">
        <v>183</v>
      </c>
      <c r="D1725" t="s">
        <v>8109</v>
      </c>
      <c r="E1725" s="80" t="s">
        <v>10336</v>
      </c>
      <c r="F1725" t="s">
        <v>10337</v>
      </c>
      <c r="G1725" t="s">
        <v>8104</v>
      </c>
      <c r="H1725" t="s">
        <v>10338</v>
      </c>
      <c r="I1725" s="80" t="s">
        <v>10339</v>
      </c>
      <c r="J1725" t="s">
        <v>7955</v>
      </c>
      <c r="K1725" s="80" t="s">
        <v>10340</v>
      </c>
    </row>
    <row r="1726" spans="1:11" x14ac:dyDescent="0.25">
      <c r="A1726" s="122">
        <v>1725</v>
      </c>
      <c r="B1726">
        <v>1070</v>
      </c>
      <c r="C1726" s="122" t="s">
        <v>186</v>
      </c>
      <c r="D1726" t="s">
        <v>7949</v>
      </c>
      <c r="E1726" s="80" t="s">
        <v>10341</v>
      </c>
      <c r="F1726" t="s">
        <v>10342</v>
      </c>
      <c r="G1726" t="s">
        <v>7952</v>
      </c>
      <c r="H1726" s="80" t="s">
        <v>10343</v>
      </c>
      <c r="I1726" s="80" t="s">
        <v>10344</v>
      </c>
      <c r="J1726" t="s">
        <v>10345</v>
      </c>
      <c r="K1726" s="80" t="s">
        <v>10346</v>
      </c>
    </row>
    <row r="1727" spans="1:11" x14ac:dyDescent="0.25">
      <c r="A1727" s="122">
        <v>1726</v>
      </c>
      <c r="B1727">
        <v>1070</v>
      </c>
      <c r="C1727" s="122" t="s">
        <v>188</v>
      </c>
      <c r="D1727">
        <v>36</v>
      </c>
      <c r="E1727" s="80" t="s">
        <v>10347</v>
      </c>
      <c r="F1727" t="s">
        <v>10348</v>
      </c>
      <c r="G1727" t="s">
        <v>9356</v>
      </c>
      <c r="H1727" t="s">
        <v>10349</v>
      </c>
      <c r="I1727" s="80" t="s">
        <v>10350</v>
      </c>
      <c r="J1727">
        <v>118</v>
      </c>
      <c r="K1727" s="89" t="s">
        <v>582</v>
      </c>
    </row>
    <row r="1728" spans="1:11" x14ac:dyDescent="0.25">
      <c r="A1728" s="122">
        <v>1727</v>
      </c>
      <c r="B1728">
        <v>1070</v>
      </c>
      <c r="C1728" s="122" t="s">
        <v>182</v>
      </c>
      <c r="D1728" t="s">
        <v>583</v>
      </c>
      <c r="E1728" t="s">
        <v>10351</v>
      </c>
      <c r="F1728" t="s">
        <v>583</v>
      </c>
      <c r="G1728" t="s">
        <v>583</v>
      </c>
      <c r="H1728" t="s">
        <v>583</v>
      </c>
      <c r="I1728" t="s">
        <v>10240</v>
      </c>
      <c r="J1728" t="s">
        <v>583</v>
      </c>
      <c r="K1728" s="80" t="s">
        <v>6237</v>
      </c>
    </row>
    <row r="1729" spans="1:11" x14ac:dyDescent="0.25">
      <c r="A1729" s="122">
        <v>1728</v>
      </c>
      <c r="B1729">
        <v>1070</v>
      </c>
      <c r="C1729" s="122" t="s">
        <v>184</v>
      </c>
      <c r="D1729" s="122"/>
      <c r="E1729" s="122"/>
      <c r="F1729" s="122" t="s">
        <v>10352</v>
      </c>
      <c r="G1729" s="122"/>
      <c r="H1729" s="122" t="s">
        <v>1906</v>
      </c>
      <c r="I1729" s="122" t="s">
        <v>10240</v>
      </c>
      <c r="J1729" s="122" t="s">
        <v>8196</v>
      </c>
      <c r="K1729" s="122" t="s">
        <v>10353</v>
      </c>
    </row>
    <row r="1730" spans="1:11" x14ac:dyDescent="0.25">
      <c r="A1730" s="122">
        <v>1729</v>
      </c>
      <c r="B1730">
        <v>1070</v>
      </c>
      <c r="C1730" s="122" t="s">
        <v>187</v>
      </c>
      <c r="D1730" t="s">
        <v>7984</v>
      </c>
      <c r="E1730" t="s">
        <v>10354</v>
      </c>
      <c r="F1730" t="s">
        <v>10355</v>
      </c>
      <c r="G1730" t="s">
        <v>9646</v>
      </c>
      <c r="H1730" t="s">
        <v>10356</v>
      </c>
      <c r="I1730" s="80" t="s">
        <v>10357</v>
      </c>
      <c r="J1730" t="s">
        <v>8178</v>
      </c>
      <c r="K1730" t="s">
        <v>10358</v>
      </c>
    </row>
    <row r="1731" spans="1:11" x14ac:dyDescent="0.25">
      <c r="A1731" s="122">
        <v>1730</v>
      </c>
      <c r="B1731">
        <v>1070</v>
      </c>
      <c r="C1731" s="122" t="s">
        <v>189</v>
      </c>
      <c r="D1731" t="s">
        <v>1832</v>
      </c>
      <c r="E1731" t="s">
        <v>10359</v>
      </c>
      <c r="F1731" t="s">
        <v>10360</v>
      </c>
      <c r="G1731" t="s">
        <v>9646</v>
      </c>
      <c r="H1731" t="s">
        <v>10361</v>
      </c>
      <c r="I1731" s="80" t="s">
        <v>10362</v>
      </c>
      <c r="J1731" t="s">
        <v>10363</v>
      </c>
      <c r="K1731" t="s">
        <v>10364</v>
      </c>
    </row>
    <row r="1732" spans="1:11" x14ac:dyDescent="0.25">
      <c r="A1732" s="122">
        <v>1731</v>
      </c>
      <c r="B1732">
        <v>3007</v>
      </c>
      <c r="C1732" s="122" t="s">
        <v>162</v>
      </c>
      <c r="D1732" t="s">
        <v>8149</v>
      </c>
      <c r="E1732" s="80" t="s">
        <v>10365</v>
      </c>
      <c r="F1732" t="s">
        <v>5312</v>
      </c>
      <c r="G1732" t="s">
        <v>10191</v>
      </c>
      <c r="H1732" t="s">
        <v>5239</v>
      </c>
      <c r="I1732" t="s">
        <v>10366</v>
      </c>
      <c r="J1732" t="s">
        <v>8252</v>
      </c>
      <c r="K1732" t="s">
        <v>10367</v>
      </c>
    </row>
    <row r="1733" spans="1:11" x14ac:dyDescent="0.25">
      <c r="A1733" s="122">
        <v>1732</v>
      </c>
      <c r="B1733">
        <v>3007</v>
      </c>
      <c r="C1733" s="122" t="s">
        <v>170</v>
      </c>
      <c r="D1733" t="s">
        <v>8109</v>
      </c>
      <c r="E1733" s="80" t="s">
        <v>10368</v>
      </c>
      <c r="F1733" t="s">
        <v>10369</v>
      </c>
      <c r="G1733" t="s">
        <v>7987</v>
      </c>
      <c r="H1733" t="s">
        <v>10370</v>
      </c>
      <c r="I1733" s="80" t="s">
        <v>10371</v>
      </c>
      <c r="J1733" t="s">
        <v>7955</v>
      </c>
      <c r="K1733" s="80" t="s">
        <v>10372</v>
      </c>
    </row>
    <row r="1734" spans="1:11" x14ac:dyDescent="0.25">
      <c r="A1734" s="122">
        <v>1733</v>
      </c>
      <c r="B1734">
        <v>3007</v>
      </c>
      <c r="C1734" s="122" t="s">
        <v>178</v>
      </c>
      <c r="D1734" t="s">
        <v>7984</v>
      </c>
      <c r="E1734" s="80" t="s">
        <v>10373</v>
      </c>
      <c r="F1734" t="s">
        <v>10374</v>
      </c>
      <c r="G1734" t="s">
        <v>8138</v>
      </c>
      <c r="H1734" s="80" t="s">
        <v>10375</v>
      </c>
      <c r="I1734" s="80" t="s">
        <v>10376</v>
      </c>
      <c r="J1734" t="s">
        <v>5823</v>
      </c>
      <c r="K1734" s="111" t="s">
        <v>901</v>
      </c>
    </row>
    <row r="1735" spans="1:11" x14ac:dyDescent="0.25">
      <c r="A1735" s="122">
        <v>1734</v>
      </c>
      <c r="B1735">
        <v>3007</v>
      </c>
      <c r="C1735" s="122" t="s">
        <v>163</v>
      </c>
      <c r="D1735">
        <v>36</v>
      </c>
      <c r="E1735" s="80" t="s">
        <v>10377</v>
      </c>
      <c r="F1735" t="s">
        <v>10378</v>
      </c>
      <c r="G1735" t="s">
        <v>9223</v>
      </c>
      <c r="H1735" s="80" t="s">
        <v>10379</v>
      </c>
      <c r="I1735" s="80" t="s">
        <v>10380</v>
      </c>
      <c r="J1735" t="s">
        <v>10381</v>
      </c>
      <c r="K1735" s="111" t="s">
        <v>903</v>
      </c>
    </row>
    <row r="1736" spans="1:11" x14ac:dyDescent="0.25">
      <c r="A1736" s="122">
        <v>1735</v>
      </c>
      <c r="B1736">
        <v>3007</v>
      </c>
      <c r="C1736" s="122" t="s">
        <v>181</v>
      </c>
      <c r="D1736" t="s">
        <v>8149</v>
      </c>
      <c r="E1736" s="84">
        <v>2263900</v>
      </c>
      <c r="F1736" t="s">
        <v>10382</v>
      </c>
      <c r="G1736" t="s">
        <v>7992</v>
      </c>
      <c r="H1736" t="s">
        <v>10383</v>
      </c>
      <c r="I1736" t="s">
        <v>10384</v>
      </c>
      <c r="J1736" t="s">
        <v>10163</v>
      </c>
      <c r="K1736" t="s">
        <v>10385</v>
      </c>
    </row>
    <row r="1737" spans="1:11" x14ac:dyDescent="0.25">
      <c r="A1737" s="122">
        <v>1736</v>
      </c>
      <c r="B1737">
        <v>3007</v>
      </c>
      <c r="C1737" s="122" t="s">
        <v>183</v>
      </c>
      <c r="D1737" t="s">
        <v>8109</v>
      </c>
      <c r="E1737" s="80" t="s">
        <v>10386</v>
      </c>
      <c r="F1737" t="s">
        <v>10387</v>
      </c>
      <c r="G1737" t="s">
        <v>8344</v>
      </c>
      <c r="H1737" t="s">
        <v>10388</v>
      </c>
      <c r="I1737" s="80" t="s">
        <v>10389</v>
      </c>
      <c r="J1737" t="s">
        <v>8347</v>
      </c>
      <c r="K1737" s="80" t="s">
        <v>10390</v>
      </c>
    </row>
    <row r="1738" spans="1:11" x14ac:dyDescent="0.25">
      <c r="A1738" s="122">
        <v>1737</v>
      </c>
      <c r="B1738">
        <v>3007</v>
      </c>
      <c r="C1738" s="122" t="s">
        <v>186</v>
      </c>
      <c r="D1738" t="s">
        <v>8109</v>
      </c>
      <c r="E1738" s="80" t="s">
        <v>10391</v>
      </c>
      <c r="F1738" t="s">
        <v>10392</v>
      </c>
      <c r="G1738" t="s">
        <v>7959</v>
      </c>
      <c r="H1738" t="s">
        <v>10393</v>
      </c>
      <c r="I1738" s="80" t="s">
        <v>10394</v>
      </c>
      <c r="J1738" t="s">
        <v>10237</v>
      </c>
      <c r="K1738" s="80" t="s">
        <v>10395</v>
      </c>
    </row>
    <row r="1739" spans="1:11" x14ac:dyDescent="0.25">
      <c r="A1739" s="122">
        <v>1738</v>
      </c>
      <c r="B1739">
        <v>3007</v>
      </c>
      <c r="C1739" s="122" t="s">
        <v>188</v>
      </c>
      <c r="D1739" t="s">
        <v>8180</v>
      </c>
      <c r="E1739" s="80" t="s">
        <v>9581</v>
      </c>
      <c r="F1739" t="s">
        <v>10396</v>
      </c>
      <c r="G1739" t="s">
        <v>7952</v>
      </c>
      <c r="H1739" t="s">
        <v>10397</v>
      </c>
      <c r="I1739" s="80" t="s">
        <v>10398</v>
      </c>
      <c r="J1739" t="s">
        <v>10178</v>
      </c>
      <c r="K1739" s="111" t="s">
        <v>905</v>
      </c>
    </row>
    <row r="1740" spans="1:11" x14ac:dyDescent="0.25">
      <c r="A1740" s="122">
        <v>1739</v>
      </c>
      <c r="B1740">
        <v>3007</v>
      </c>
      <c r="C1740" s="122" t="s">
        <v>182</v>
      </c>
      <c r="D1740" t="s">
        <v>3290</v>
      </c>
      <c r="E1740" t="s">
        <v>10399</v>
      </c>
      <c r="F1740" t="s">
        <v>5513</v>
      </c>
      <c r="G1740" s="80" t="s">
        <v>9726</v>
      </c>
      <c r="H1740" t="s">
        <v>7333</v>
      </c>
      <c r="I1740" t="s">
        <v>10400</v>
      </c>
      <c r="J1740" t="s">
        <v>10401</v>
      </c>
      <c r="K1740" t="s">
        <v>5415</v>
      </c>
    </row>
    <row r="1741" spans="1:11" x14ac:dyDescent="0.25">
      <c r="A1741" s="122">
        <v>1740</v>
      </c>
      <c r="B1741">
        <v>3007</v>
      </c>
      <c r="C1741" s="122" t="s">
        <v>184</v>
      </c>
      <c r="D1741" t="s">
        <v>8010</v>
      </c>
      <c r="E1741" t="s">
        <v>10402</v>
      </c>
      <c r="F1741" t="s">
        <v>10403</v>
      </c>
      <c r="G1741" t="s">
        <v>9502</v>
      </c>
      <c r="H1741" t="s">
        <v>10404</v>
      </c>
      <c r="I1741" s="80" t="s">
        <v>10405</v>
      </c>
      <c r="J1741" t="s">
        <v>8178</v>
      </c>
      <c r="K1741" t="s">
        <v>10406</v>
      </c>
    </row>
    <row r="1742" spans="1:11" x14ac:dyDescent="0.25">
      <c r="A1742" s="122">
        <v>1741</v>
      </c>
      <c r="B1742">
        <v>3007</v>
      </c>
      <c r="C1742" s="122" t="s">
        <v>187</v>
      </c>
      <c r="D1742" t="s">
        <v>8052</v>
      </c>
      <c r="E1742" t="s">
        <v>10226</v>
      </c>
      <c r="F1742" t="s">
        <v>10407</v>
      </c>
      <c r="G1742" t="s">
        <v>9270</v>
      </c>
      <c r="H1742" t="s">
        <v>10408</v>
      </c>
      <c r="I1742" s="80" t="s">
        <v>10409</v>
      </c>
      <c r="J1742" t="s">
        <v>10410</v>
      </c>
      <c r="K1742" t="s">
        <v>10411</v>
      </c>
    </row>
    <row r="1743" spans="1:11" x14ac:dyDescent="0.25">
      <c r="A1743" s="122">
        <v>1742</v>
      </c>
      <c r="B1743">
        <v>3007</v>
      </c>
      <c r="C1743" s="122" t="s">
        <v>189</v>
      </c>
      <c r="D1743" t="s">
        <v>8010</v>
      </c>
      <c r="E1743" t="s">
        <v>10412</v>
      </c>
      <c r="F1743" t="s">
        <v>10413</v>
      </c>
      <c r="G1743" t="s">
        <v>10191</v>
      </c>
      <c r="H1743" t="s">
        <v>10414</v>
      </c>
      <c r="I1743" s="80" t="s">
        <v>10415</v>
      </c>
      <c r="J1743" t="s">
        <v>10410</v>
      </c>
      <c r="K1743" s="80" t="s">
        <v>10416</v>
      </c>
    </row>
    <row r="1744" spans="1:11" x14ac:dyDescent="0.25">
      <c r="A1744" s="122">
        <v>1743</v>
      </c>
      <c r="B1744">
        <v>3012</v>
      </c>
      <c r="C1744" s="122" t="s">
        <v>162</v>
      </c>
      <c r="D1744" t="s">
        <v>8258</v>
      </c>
      <c r="E1744" s="111" t="s">
        <v>906</v>
      </c>
      <c r="F1744" t="s">
        <v>10417</v>
      </c>
      <c r="G1744" t="s">
        <v>7992</v>
      </c>
      <c r="H1744" t="s">
        <v>4944</v>
      </c>
      <c r="I1744" t="s">
        <v>8509</v>
      </c>
      <c r="J1744" t="s">
        <v>8252</v>
      </c>
      <c r="K1744" t="s">
        <v>10418</v>
      </c>
    </row>
    <row r="1745" spans="1:11" x14ac:dyDescent="0.25">
      <c r="A1745" s="122">
        <v>1744</v>
      </c>
      <c r="B1745">
        <v>3012</v>
      </c>
      <c r="C1745" s="122" t="s">
        <v>170</v>
      </c>
      <c r="D1745" t="s">
        <v>8288</v>
      </c>
      <c r="E1745" s="80" t="s">
        <v>10419</v>
      </c>
      <c r="F1745" t="s">
        <v>10420</v>
      </c>
      <c r="G1745" t="s">
        <v>9270</v>
      </c>
      <c r="H1745" t="s">
        <v>10421</v>
      </c>
      <c r="I1745" s="80" t="s">
        <v>10422</v>
      </c>
      <c r="J1745" t="s">
        <v>4781</v>
      </c>
      <c r="K1745" t="s">
        <v>10423</v>
      </c>
    </row>
    <row r="1746" spans="1:11" x14ac:dyDescent="0.25">
      <c r="A1746" s="122">
        <v>1745</v>
      </c>
      <c r="B1746">
        <v>3012</v>
      </c>
      <c r="C1746" s="122" t="s">
        <v>178</v>
      </c>
      <c r="D1746" t="s">
        <v>7970</v>
      </c>
      <c r="E1746" s="80" t="s">
        <v>10424</v>
      </c>
      <c r="F1746" t="s">
        <v>10425</v>
      </c>
      <c r="G1746" t="s">
        <v>8077</v>
      </c>
      <c r="H1746" t="s">
        <v>10426</v>
      </c>
      <c r="I1746" s="80" t="s">
        <v>10427</v>
      </c>
      <c r="J1746" t="s">
        <v>3221</v>
      </c>
      <c r="K1746" t="s">
        <v>2290</v>
      </c>
    </row>
    <row r="1747" spans="1:11" x14ac:dyDescent="0.25">
      <c r="A1747" s="122">
        <v>1746</v>
      </c>
      <c r="B1747">
        <v>3012</v>
      </c>
      <c r="C1747" s="122" t="s">
        <v>163</v>
      </c>
      <c r="D1747" t="s">
        <v>7964</v>
      </c>
      <c r="E1747" s="80" t="s">
        <v>10428</v>
      </c>
      <c r="F1747" t="s">
        <v>10429</v>
      </c>
      <c r="G1747" t="s">
        <v>8138</v>
      </c>
      <c r="H1747" s="80" t="s">
        <v>10430</v>
      </c>
      <c r="I1747" s="80" t="s">
        <v>10431</v>
      </c>
      <c r="J1747" t="s">
        <v>10432</v>
      </c>
      <c r="K1747" s="111" t="s">
        <v>909</v>
      </c>
    </row>
    <row r="1748" spans="1:11" x14ac:dyDescent="0.25">
      <c r="A1748" s="122">
        <v>1747</v>
      </c>
      <c r="B1748">
        <v>3012</v>
      </c>
      <c r="C1748" s="122" t="s">
        <v>181</v>
      </c>
      <c r="D1748" t="s">
        <v>8149</v>
      </c>
      <c r="E1748" s="111" t="s">
        <v>910</v>
      </c>
      <c r="F1748" t="s">
        <v>6063</v>
      </c>
      <c r="G1748" t="s">
        <v>9502</v>
      </c>
      <c r="H1748" t="s">
        <v>2094</v>
      </c>
      <c r="I1748" t="s">
        <v>10433</v>
      </c>
      <c r="J1748" t="s">
        <v>10163</v>
      </c>
      <c r="K1748" t="s">
        <v>10434</v>
      </c>
    </row>
    <row r="1749" spans="1:11" x14ac:dyDescent="0.25">
      <c r="A1749" s="122">
        <v>1748</v>
      </c>
      <c r="B1749">
        <v>3012</v>
      </c>
      <c r="C1749" s="122" t="s">
        <v>183</v>
      </c>
      <c r="D1749" t="s">
        <v>8115</v>
      </c>
      <c r="E1749" s="80" t="s">
        <v>10435</v>
      </c>
      <c r="F1749" t="s">
        <v>10436</v>
      </c>
      <c r="G1749" t="s">
        <v>8020</v>
      </c>
      <c r="H1749" t="s">
        <v>10437</v>
      </c>
      <c r="I1749" s="80" t="s">
        <v>10438</v>
      </c>
      <c r="J1749" t="s">
        <v>10141</v>
      </c>
      <c r="K1749" t="s">
        <v>10439</v>
      </c>
    </row>
    <row r="1750" spans="1:11" x14ac:dyDescent="0.25">
      <c r="A1750" s="122">
        <v>1749</v>
      </c>
      <c r="B1750">
        <v>3012</v>
      </c>
      <c r="C1750" s="122" t="s">
        <v>186</v>
      </c>
      <c r="D1750" t="s">
        <v>7949</v>
      </c>
      <c r="E1750" s="80" t="s">
        <v>10440</v>
      </c>
      <c r="F1750" t="s">
        <v>10441</v>
      </c>
      <c r="G1750" t="s">
        <v>9223</v>
      </c>
      <c r="H1750" t="s">
        <v>10442</v>
      </c>
      <c r="I1750" s="80" t="s">
        <v>10443</v>
      </c>
      <c r="J1750" t="s">
        <v>8262</v>
      </c>
      <c r="K1750" s="80" t="s">
        <v>10444</v>
      </c>
    </row>
    <row r="1751" spans="1:11" x14ac:dyDescent="0.25">
      <c r="A1751" s="122">
        <v>1750</v>
      </c>
      <c r="B1751">
        <v>3012</v>
      </c>
      <c r="C1751" s="122" t="s">
        <v>188</v>
      </c>
      <c r="D1751" t="s">
        <v>7697</v>
      </c>
      <c r="E1751" s="111" t="s">
        <v>912</v>
      </c>
      <c r="F1751" t="s">
        <v>10445</v>
      </c>
      <c r="G1751" t="s">
        <v>7973</v>
      </c>
      <c r="H1751" s="80" t="s">
        <v>10446</v>
      </c>
      <c r="I1751" s="80" t="s">
        <v>10447</v>
      </c>
      <c r="J1751" t="s">
        <v>10381</v>
      </c>
      <c r="K1751" s="111" t="s">
        <v>913</v>
      </c>
    </row>
    <row r="1752" spans="1:11" x14ac:dyDescent="0.25">
      <c r="A1752" s="122">
        <v>1751</v>
      </c>
      <c r="B1752">
        <v>3012</v>
      </c>
      <c r="C1752" s="122" t="s">
        <v>182</v>
      </c>
      <c r="D1752" s="80" t="s">
        <v>7565</v>
      </c>
      <c r="E1752" t="s">
        <v>10448</v>
      </c>
      <c r="F1752" t="s">
        <v>6179</v>
      </c>
      <c r="G1752" t="s">
        <v>3786</v>
      </c>
      <c r="H1752" s="80" t="s">
        <v>5582</v>
      </c>
      <c r="I1752" t="s">
        <v>6298</v>
      </c>
      <c r="J1752" s="80" t="s">
        <v>10240</v>
      </c>
      <c r="K1752" t="s">
        <v>1971</v>
      </c>
    </row>
    <row r="1753" spans="1:11" x14ac:dyDescent="0.25">
      <c r="A1753" s="122">
        <v>1752</v>
      </c>
      <c r="B1753">
        <v>3012</v>
      </c>
      <c r="C1753" s="122" t="s">
        <v>184</v>
      </c>
      <c r="D1753" t="s">
        <v>8017</v>
      </c>
      <c r="E1753" t="s">
        <v>10449</v>
      </c>
      <c r="F1753" t="s">
        <v>10450</v>
      </c>
      <c r="G1753" t="s">
        <v>8047</v>
      </c>
      <c r="H1753" t="s">
        <v>10451</v>
      </c>
      <c r="I1753" s="80" t="s">
        <v>10452</v>
      </c>
      <c r="J1753" t="s">
        <v>8023</v>
      </c>
      <c r="K1753" t="s">
        <v>10453</v>
      </c>
    </row>
    <row r="1754" spans="1:11" x14ac:dyDescent="0.25">
      <c r="A1754" s="122">
        <v>1753</v>
      </c>
      <c r="B1754">
        <v>3012</v>
      </c>
      <c r="C1754" s="122" t="s">
        <v>187</v>
      </c>
      <c r="D1754" t="s">
        <v>8101</v>
      </c>
      <c r="E1754" t="s">
        <v>10454</v>
      </c>
      <c r="F1754" t="s">
        <v>10455</v>
      </c>
      <c r="G1754" t="s">
        <v>9270</v>
      </c>
      <c r="H1754" t="s">
        <v>10456</v>
      </c>
      <c r="I1754" s="80" t="s">
        <v>10457</v>
      </c>
      <c r="J1754" t="s">
        <v>8178</v>
      </c>
      <c r="K1754" t="s">
        <v>10458</v>
      </c>
    </row>
    <row r="1755" spans="1:11" x14ac:dyDescent="0.25">
      <c r="A1755" s="122">
        <v>1754</v>
      </c>
      <c r="B1755">
        <v>3012</v>
      </c>
      <c r="C1755" s="122" t="s">
        <v>189</v>
      </c>
      <c r="D1755" t="s">
        <v>8288</v>
      </c>
      <c r="E1755" t="s">
        <v>10459</v>
      </c>
      <c r="F1755" t="s">
        <v>10460</v>
      </c>
      <c r="G1755" t="s">
        <v>9270</v>
      </c>
      <c r="H1755" t="s">
        <v>10461</v>
      </c>
      <c r="I1755" s="80" t="s">
        <v>10462</v>
      </c>
      <c r="J1755" t="s">
        <v>10199</v>
      </c>
      <c r="K1755" s="80" t="s">
        <v>10463</v>
      </c>
    </row>
    <row r="1756" spans="1:11" x14ac:dyDescent="0.25">
      <c r="A1756" s="122">
        <v>1755</v>
      </c>
      <c r="B1756">
        <v>1071</v>
      </c>
      <c r="C1756" s="122" t="s">
        <v>162</v>
      </c>
      <c r="D1756" t="s">
        <v>10464</v>
      </c>
      <c r="E1756" s="80" t="s">
        <v>10465</v>
      </c>
      <c r="F1756" t="s">
        <v>10466</v>
      </c>
      <c r="G1756" t="s">
        <v>7987</v>
      </c>
      <c r="H1756" s="80" t="s">
        <v>10467</v>
      </c>
      <c r="I1756" s="80" t="s">
        <v>10468</v>
      </c>
      <c r="J1756" t="s">
        <v>10381</v>
      </c>
      <c r="K1756" s="80" t="s">
        <v>10469</v>
      </c>
    </row>
    <row r="1757" spans="1:11" x14ac:dyDescent="0.25">
      <c r="A1757" s="122">
        <v>1756</v>
      </c>
      <c r="B1757">
        <v>1071</v>
      </c>
      <c r="C1757" s="122" t="s">
        <v>170</v>
      </c>
      <c r="D1757" t="s">
        <v>8252</v>
      </c>
      <c r="E1757" s="80" t="s">
        <v>10470</v>
      </c>
      <c r="F1757" t="s">
        <v>10471</v>
      </c>
      <c r="G1757" t="s">
        <v>8118</v>
      </c>
      <c r="H1757" s="80" t="s">
        <v>10472</v>
      </c>
      <c r="I1757" s="80" t="s">
        <v>10473</v>
      </c>
      <c r="J1757" t="s">
        <v>10141</v>
      </c>
      <c r="K1757" t="s">
        <v>10474</v>
      </c>
    </row>
    <row r="1758" spans="1:11" x14ac:dyDescent="0.25">
      <c r="A1758" s="122">
        <v>1757</v>
      </c>
      <c r="B1758">
        <v>1071</v>
      </c>
      <c r="C1758" s="122" t="s">
        <v>178</v>
      </c>
      <c r="D1758" t="s">
        <v>8149</v>
      </c>
      <c r="E1758" s="80" t="s">
        <v>10475</v>
      </c>
      <c r="F1758" t="s">
        <v>3227</v>
      </c>
      <c r="G1758" t="s">
        <v>9502</v>
      </c>
      <c r="H1758" t="s">
        <v>10476</v>
      </c>
      <c r="I1758" s="80" t="s">
        <v>10477</v>
      </c>
      <c r="J1758" t="s">
        <v>8293</v>
      </c>
      <c r="K1758" t="s">
        <v>10478</v>
      </c>
    </row>
    <row r="1759" spans="1:11" x14ac:dyDescent="0.25">
      <c r="A1759" s="122">
        <v>1758</v>
      </c>
      <c r="B1759">
        <v>1071</v>
      </c>
      <c r="C1759" s="122" t="s">
        <v>163</v>
      </c>
      <c r="D1759" t="s">
        <v>9339</v>
      </c>
      <c r="E1759" t="s">
        <v>10479</v>
      </c>
      <c r="F1759" t="s">
        <v>10480</v>
      </c>
      <c r="G1759" t="s">
        <v>10160</v>
      </c>
      <c r="H1759" t="s">
        <v>5284</v>
      </c>
      <c r="I1759" t="s">
        <v>10481</v>
      </c>
      <c r="J1759" t="s">
        <v>10125</v>
      </c>
      <c r="K1759" t="s">
        <v>7262</v>
      </c>
    </row>
    <row r="1760" spans="1:11" x14ac:dyDescent="0.25">
      <c r="A1760" s="122">
        <v>1759</v>
      </c>
      <c r="B1760">
        <v>1071</v>
      </c>
      <c r="C1760" s="122" t="s">
        <v>181</v>
      </c>
      <c r="D1760" t="s">
        <v>8017</v>
      </c>
      <c r="E1760" s="80" t="s">
        <v>10482</v>
      </c>
      <c r="F1760" t="s">
        <v>10483</v>
      </c>
      <c r="G1760" t="s">
        <v>9646</v>
      </c>
      <c r="H1760" t="s">
        <v>10484</v>
      </c>
      <c r="I1760" s="80" t="s">
        <v>10485</v>
      </c>
      <c r="J1760" t="s">
        <v>8252</v>
      </c>
      <c r="K1760" t="s">
        <v>10486</v>
      </c>
    </row>
    <row r="1761" spans="1:11" x14ac:dyDescent="0.25">
      <c r="A1761" s="122">
        <v>1760</v>
      </c>
      <c r="B1761">
        <v>1071</v>
      </c>
      <c r="C1761" s="122" t="s">
        <v>183</v>
      </c>
      <c r="D1761" t="s">
        <v>8010</v>
      </c>
      <c r="E1761" s="80" t="s">
        <v>10487</v>
      </c>
      <c r="F1761" t="s">
        <v>10488</v>
      </c>
      <c r="G1761" t="s">
        <v>9270</v>
      </c>
      <c r="H1761" t="s">
        <v>10489</v>
      </c>
      <c r="I1761" s="80" t="s">
        <v>10490</v>
      </c>
      <c r="J1761" t="s">
        <v>3221</v>
      </c>
      <c r="K1761" t="s">
        <v>10491</v>
      </c>
    </row>
    <row r="1762" spans="1:11" x14ac:dyDescent="0.25">
      <c r="A1762" s="122">
        <v>1761</v>
      </c>
      <c r="B1762">
        <v>1071</v>
      </c>
      <c r="C1762" s="122" t="s">
        <v>186</v>
      </c>
      <c r="D1762" t="s">
        <v>10492</v>
      </c>
      <c r="E1762" s="80" t="s">
        <v>10493</v>
      </c>
      <c r="F1762" t="s">
        <v>10494</v>
      </c>
      <c r="G1762" t="s">
        <v>7998</v>
      </c>
      <c r="H1762" s="80" t="s">
        <v>10495</v>
      </c>
      <c r="I1762" s="80" t="s">
        <v>10496</v>
      </c>
      <c r="J1762" t="s">
        <v>9337</v>
      </c>
      <c r="K1762" t="s">
        <v>10497</v>
      </c>
    </row>
    <row r="1763" spans="1:11" x14ac:dyDescent="0.25">
      <c r="A1763" s="122">
        <v>1762</v>
      </c>
      <c r="B1763">
        <v>1071</v>
      </c>
      <c r="C1763" s="122" t="s">
        <v>188</v>
      </c>
      <c r="D1763" t="s">
        <v>10498</v>
      </c>
      <c r="E1763" s="111" t="s">
        <v>10499</v>
      </c>
      <c r="F1763" t="s">
        <v>10500</v>
      </c>
      <c r="G1763" t="s">
        <v>9592</v>
      </c>
      <c r="H1763" s="80" t="s">
        <v>10501</v>
      </c>
      <c r="I1763" s="80" t="s">
        <v>10502</v>
      </c>
      <c r="J1763" t="s">
        <v>9480</v>
      </c>
      <c r="K1763" s="80" t="s">
        <v>10503</v>
      </c>
    </row>
    <row r="1764" spans="1:11" x14ac:dyDescent="0.25">
      <c r="A1764" s="122">
        <v>1763</v>
      </c>
      <c r="B1764">
        <v>1071</v>
      </c>
      <c r="C1764" s="122" t="s">
        <v>182</v>
      </c>
      <c r="D1764" t="s">
        <v>10504</v>
      </c>
      <c r="E1764" s="80" t="s">
        <v>10505</v>
      </c>
      <c r="F1764" t="s">
        <v>10506</v>
      </c>
      <c r="G1764" t="s">
        <v>8332</v>
      </c>
      <c r="H1764" t="s">
        <v>10507</v>
      </c>
      <c r="I1764" s="80" t="s">
        <v>10508</v>
      </c>
      <c r="J1764" t="s">
        <v>9588</v>
      </c>
      <c r="K1764" t="s">
        <v>10509</v>
      </c>
    </row>
    <row r="1765" spans="1:11" x14ac:dyDescent="0.25">
      <c r="A1765" s="122">
        <v>1764</v>
      </c>
      <c r="B1765">
        <v>1071</v>
      </c>
      <c r="C1765" s="122" t="s">
        <v>184</v>
      </c>
      <c r="D1765" t="s">
        <v>10510</v>
      </c>
      <c r="E1765" s="80" t="s">
        <v>10511</v>
      </c>
      <c r="F1765" t="s">
        <v>10512</v>
      </c>
      <c r="G1765" t="s">
        <v>8332</v>
      </c>
      <c r="H1765" s="80" t="s">
        <v>10513</v>
      </c>
      <c r="I1765" s="80" t="s">
        <v>10514</v>
      </c>
      <c r="J1765" t="s">
        <v>9505</v>
      </c>
      <c r="K1765" t="s">
        <v>10515</v>
      </c>
    </row>
    <row r="1766" spans="1:11" x14ac:dyDescent="0.25">
      <c r="A1766" s="122">
        <v>1765</v>
      </c>
      <c r="B1766">
        <v>1071</v>
      </c>
      <c r="C1766" s="122" t="s">
        <v>187</v>
      </c>
      <c r="D1766" t="s">
        <v>10516</v>
      </c>
      <c r="E1766" s="80" t="s">
        <v>10517</v>
      </c>
      <c r="F1766" t="s">
        <v>10518</v>
      </c>
      <c r="G1766" t="s">
        <v>9270</v>
      </c>
      <c r="H1766" t="s">
        <v>10519</v>
      </c>
      <c r="I1766" s="80" t="s">
        <v>10520</v>
      </c>
      <c r="J1766" t="s">
        <v>9300</v>
      </c>
      <c r="K1766" t="s">
        <v>10521</v>
      </c>
    </row>
    <row r="1767" spans="1:11" x14ac:dyDescent="0.25">
      <c r="A1767" s="122">
        <v>1766</v>
      </c>
      <c r="B1767">
        <v>1071</v>
      </c>
      <c r="C1767" s="122" t="s">
        <v>189</v>
      </c>
      <c r="D1767" t="s">
        <v>7770</v>
      </c>
      <c r="E1767" t="s">
        <v>10522</v>
      </c>
      <c r="F1767" t="s">
        <v>5286</v>
      </c>
      <c r="G1767" t="s">
        <v>9233</v>
      </c>
      <c r="H1767" t="s">
        <v>9963</v>
      </c>
      <c r="I1767" t="s">
        <v>10523</v>
      </c>
      <c r="J1767" t="s">
        <v>9665</v>
      </c>
      <c r="K1767" t="s">
        <v>10524</v>
      </c>
    </row>
    <row r="1768" spans="1:11" x14ac:dyDescent="0.25">
      <c r="A1768" s="122">
        <v>1767</v>
      </c>
      <c r="B1768" t="s">
        <v>635</v>
      </c>
      <c r="C1768" s="122" t="s">
        <v>162</v>
      </c>
      <c r="D1768" t="s">
        <v>10525</v>
      </c>
      <c r="E1768" s="80" t="s">
        <v>10526</v>
      </c>
      <c r="F1768" t="s">
        <v>5467</v>
      </c>
      <c r="G1768" t="s">
        <v>8353</v>
      </c>
      <c r="H1768" t="s">
        <v>7993</v>
      </c>
      <c r="I1768" t="s">
        <v>5153</v>
      </c>
      <c r="J1768" t="s">
        <v>6627</v>
      </c>
      <c r="K1768" t="s">
        <v>10527</v>
      </c>
    </row>
    <row r="1769" spans="1:11" x14ac:dyDescent="0.25">
      <c r="A1769" s="122">
        <v>1768</v>
      </c>
      <c r="B1769" t="s">
        <v>635</v>
      </c>
      <c r="C1769" s="122" t="s">
        <v>170</v>
      </c>
      <c r="D1769" t="s">
        <v>10528</v>
      </c>
      <c r="E1769" t="s">
        <v>10529</v>
      </c>
      <c r="F1769" t="s">
        <v>10530</v>
      </c>
      <c r="G1769" t="s">
        <v>8269</v>
      </c>
      <c r="H1769" t="s">
        <v>10531</v>
      </c>
      <c r="I1769" s="80" t="s">
        <v>10532</v>
      </c>
      <c r="J1769" t="s">
        <v>6627</v>
      </c>
      <c r="K1769" t="s">
        <v>9729</v>
      </c>
    </row>
    <row r="1770" spans="1:11" x14ac:dyDescent="0.25">
      <c r="A1770" s="122">
        <v>1769</v>
      </c>
      <c r="B1770" t="s">
        <v>635</v>
      </c>
      <c r="C1770" s="122" t="s">
        <v>178</v>
      </c>
      <c r="D1770" t="s">
        <v>10533</v>
      </c>
      <c r="E1770" s="80" t="s">
        <v>10534</v>
      </c>
      <c r="F1770" t="s">
        <v>10535</v>
      </c>
      <c r="G1770" t="s">
        <v>7443</v>
      </c>
      <c r="H1770" t="s">
        <v>10536</v>
      </c>
      <c r="I1770" s="80" t="s">
        <v>10537</v>
      </c>
      <c r="J1770" t="s">
        <v>9655</v>
      </c>
      <c r="K1770" t="s">
        <v>10538</v>
      </c>
    </row>
    <row r="1771" spans="1:11" x14ac:dyDescent="0.25">
      <c r="A1771" s="122">
        <v>1770</v>
      </c>
      <c r="B1771" t="s">
        <v>635</v>
      </c>
      <c r="C1771" s="122" t="s">
        <v>163</v>
      </c>
      <c r="D1771" t="s">
        <v>10539</v>
      </c>
      <c r="E1771" s="80" t="s">
        <v>10540</v>
      </c>
      <c r="F1771" t="s">
        <v>10541</v>
      </c>
      <c r="G1771" t="s">
        <v>8344</v>
      </c>
      <c r="H1771" t="s">
        <v>10542</v>
      </c>
      <c r="I1771" s="80" t="s">
        <v>10543</v>
      </c>
      <c r="J1771" t="s">
        <v>9251</v>
      </c>
      <c r="K1771" s="80" t="s">
        <v>10544</v>
      </c>
    </row>
    <row r="1772" spans="1:11" x14ac:dyDescent="0.25">
      <c r="A1772" s="122">
        <v>1771</v>
      </c>
      <c r="B1772" t="s">
        <v>635</v>
      </c>
      <c r="C1772" s="122" t="s">
        <v>181</v>
      </c>
      <c r="D1772" t="s">
        <v>10545</v>
      </c>
      <c r="E1772" s="111" t="s">
        <v>916</v>
      </c>
      <c r="F1772" t="s">
        <v>8217</v>
      </c>
      <c r="G1772" t="s">
        <v>8269</v>
      </c>
      <c r="H1772" t="s">
        <v>10546</v>
      </c>
      <c r="I1772" t="s">
        <v>10547</v>
      </c>
      <c r="J1772" t="s">
        <v>10548</v>
      </c>
      <c r="K1772" t="s">
        <v>10549</v>
      </c>
    </row>
    <row r="1773" spans="1:11" x14ac:dyDescent="0.25">
      <c r="A1773" s="122">
        <v>1772</v>
      </c>
      <c r="B1773" t="s">
        <v>635</v>
      </c>
      <c r="C1773" s="122" t="s">
        <v>183</v>
      </c>
      <c r="D1773" t="s">
        <v>10550</v>
      </c>
      <c r="E1773" s="80" t="s">
        <v>10551</v>
      </c>
      <c r="F1773" t="s">
        <v>10552</v>
      </c>
      <c r="G1773" t="s">
        <v>9502</v>
      </c>
      <c r="H1773" t="s">
        <v>10553</v>
      </c>
      <c r="I1773" s="80" t="s">
        <v>10554</v>
      </c>
      <c r="J1773" t="s">
        <v>10555</v>
      </c>
      <c r="K1773" t="s">
        <v>10556</v>
      </c>
    </row>
    <row r="1774" spans="1:11" x14ac:dyDescent="0.25">
      <c r="A1774" s="122">
        <v>1773</v>
      </c>
      <c r="B1774" t="s">
        <v>635</v>
      </c>
      <c r="C1774" s="122" t="s">
        <v>186</v>
      </c>
      <c r="D1774" t="s">
        <v>10557</v>
      </c>
      <c r="E1774" t="s">
        <v>10558</v>
      </c>
      <c r="F1774" t="s">
        <v>10559</v>
      </c>
      <c r="G1774" t="s">
        <v>8118</v>
      </c>
      <c r="H1774" s="80" t="s">
        <v>10560</v>
      </c>
      <c r="I1774" s="80" t="s">
        <v>10561</v>
      </c>
      <c r="J1774" t="s">
        <v>10562</v>
      </c>
      <c r="K1774" s="80" t="s">
        <v>10563</v>
      </c>
    </row>
    <row r="1775" spans="1:11" x14ac:dyDescent="0.25">
      <c r="A1775" s="122">
        <v>1774</v>
      </c>
      <c r="B1775" t="s">
        <v>635</v>
      </c>
      <c r="C1775" s="122" t="s">
        <v>188</v>
      </c>
      <c r="D1775" t="s">
        <v>10557</v>
      </c>
      <c r="E1775" s="80" t="s">
        <v>10564</v>
      </c>
      <c r="F1775" t="s">
        <v>10565</v>
      </c>
      <c r="G1775" t="s">
        <v>8118</v>
      </c>
      <c r="H1775" t="s">
        <v>10566</v>
      </c>
      <c r="I1775" s="80" t="s">
        <v>10567</v>
      </c>
      <c r="J1775" t="s">
        <v>10562</v>
      </c>
      <c r="K1775" s="111" t="s">
        <v>919</v>
      </c>
    </row>
    <row r="1776" spans="1:11" x14ac:dyDescent="0.25">
      <c r="A1776" s="122">
        <v>1775</v>
      </c>
      <c r="B1776" t="s">
        <v>635</v>
      </c>
      <c r="C1776" s="122" t="s">
        <v>182</v>
      </c>
      <c r="D1776" t="s">
        <v>583</v>
      </c>
      <c r="E1776" t="s">
        <v>10568</v>
      </c>
      <c r="F1776" t="s">
        <v>583</v>
      </c>
      <c r="G1776" t="s">
        <v>583</v>
      </c>
      <c r="H1776" t="s">
        <v>583</v>
      </c>
      <c r="I1776" t="s">
        <v>6474</v>
      </c>
      <c r="J1776" t="s">
        <v>583</v>
      </c>
      <c r="K1776" t="s">
        <v>7184</v>
      </c>
    </row>
    <row r="1777" spans="1:11" x14ac:dyDescent="0.25">
      <c r="A1777" s="122">
        <v>1776</v>
      </c>
      <c r="B1777" t="s">
        <v>635</v>
      </c>
      <c r="C1777" s="122" t="s">
        <v>184</v>
      </c>
      <c r="D1777" t="s">
        <v>6089</v>
      </c>
      <c r="E1777" t="s">
        <v>10569</v>
      </c>
      <c r="F1777" t="s">
        <v>10570</v>
      </c>
      <c r="G1777" t="s">
        <v>8047</v>
      </c>
      <c r="H1777" t="s">
        <v>10571</v>
      </c>
      <c r="I1777" s="80" t="s">
        <v>10572</v>
      </c>
      <c r="J1777" t="s">
        <v>10548</v>
      </c>
      <c r="K1777" t="s">
        <v>10573</v>
      </c>
    </row>
    <row r="1778" spans="1:11" x14ac:dyDescent="0.25">
      <c r="A1778" s="122">
        <v>1777</v>
      </c>
      <c r="B1778" t="s">
        <v>635</v>
      </c>
      <c r="C1778" s="122" t="s">
        <v>187</v>
      </c>
      <c r="D1778" t="s">
        <v>10574</v>
      </c>
      <c r="E1778" s="80" t="s">
        <v>10575</v>
      </c>
      <c r="F1778" t="s">
        <v>10576</v>
      </c>
      <c r="G1778" t="s">
        <v>8020</v>
      </c>
      <c r="H1778" t="s">
        <v>10577</v>
      </c>
      <c r="I1778" s="80" t="s">
        <v>10578</v>
      </c>
      <c r="J1778" t="s">
        <v>9273</v>
      </c>
      <c r="K1778" s="80" t="s">
        <v>10579</v>
      </c>
    </row>
    <row r="1779" spans="1:11" x14ac:dyDescent="0.25">
      <c r="A1779" s="122">
        <v>1778</v>
      </c>
      <c r="B1779" t="s">
        <v>635</v>
      </c>
      <c r="C1779" s="122" t="s">
        <v>189</v>
      </c>
      <c r="D1779" t="s">
        <v>10545</v>
      </c>
      <c r="E1779" t="s">
        <v>10580</v>
      </c>
      <c r="F1779" t="s">
        <v>10581</v>
      </c>
      <c r="G1779" t="s">
        <v>8332</v>
      </c>
      <c r="H1779" t="s">
        <v>10582</v>
      </c>
      <c r="I1779" s="80" t="s">
        <v>10583</v>
      </c>
      <c r="J1779" t="s">
        <v>9411</v>
      </c>
      <c r="K1779" s="80" t="s">
        <v>10584</v>
      </c>
    </row>
    <row r="1780" spans="1:11" x14ac:dyDescent="0.25">
      <c r="A1780" s="122">
        <v>1779</v>
      </c>
      <c r="B1780">
        <v>1072</v>
      </c>
      <c r="C1780" s="122" t="s">
        <v>162</v>
      </c>
      <c r="D1780" t="s">
        <v>6089</v>
      </c>
      <c r="E1780" s="80" t="s">
        <v>10585</v>
      </c>
      <c r="F1780" t="s">
        <v>6298</v>
      </c>
      <c r="G1780" t="s">
        <v>8269</v>
      </c>
      <c r="H1780" t="s">
        <v>8219</v>
      </c>
      <c r="I1780" t="s">
        <v>7333</v>
      </c>
      <c r="J1780" t="s">
        <v>6627</v>
      </c>
      <c r="K1780" t="s">
        <v>7121</v>
      </c>
    </row>
    <row r="1781" spans="1:11" x14ac:dyDescent="0.25">
      <c r="A1781" s="122">
        <v>1780</v>
      </c>
      <c r="B1781">
        <v>1072</v>
      </c>
      <c r="C1781" s="122" t="s">
        <v>170</v>
      </c>
      <c r="D1781" t="s">
        <v>10528</v>
      </c>
      <c r="E1781" t="s">
        <v>10586</v>
      </c>
      <c r="F1781" t="s">
        <v>10587</v>
      </c>
      <c r="G1781" t="s">
        <v>8071</v>
      </c>
      <c r="H1781" t="s">
        <v>10588</v>
      </c>
      <c r="I1781" s="80" t="s">
        <v>10589</v>
      </c>
      <c r="J1781" t="s">
        <v>10590</v>
      </c>
      <c r="K1781" t="s">
        <v>10591</v>
      </c>
    </row>
    <row r="1782" spans="1:11" x14ac:dyDescent="0.25">
      <c r="A1782" s="122">
        <v>1781</v>
      </c>
      <c r="B1782">
        <v>1072</v>
      </c>
      <c r="C1782" s="122" t="s">
        <v>178</v>
      </c>
      <c r="D1782" t="s">
        <v>10592</v>
      </c>
      <c r="E1782" s="80" t="s">
        <v>10593</v>
      </c>
      <c r="F1782" t="s">
        <v>10594</v>
      </c>
      <c r="G1782" t="s">
        <v>8047</v>
      </c>
      <c r="H1782" t="s">
        <v>10595</v>
      </c>
      <c r="I1782" s="80" t="s">
        <v>10596</v>
      </c>
      <c r="J1782" t="s">
        <v>9265</v>
      </c>
      <c r="K1782" t="s">
        <v>10597</v>
      </c>
    </row>
    <row r="1783" spans="1:11" x14ac:dyDescent="0.25">
      <c r="A1783" s="122">
        <v>1782</v>
      </c>
      <c r="B1783">
        <v>1072</v>
      </c>
      <c r="C1783" s="122" t="s">
        <v>163</v>
      </c>
      <c r="D1783" t="s">
        <v>10598</v>
      </c>
      <c r="E1783" s="80" t="s">
        <v>10599</v>
      </c>
      <c r="F1783" t="s">
        <v>10600</v>
      </c>
      <c r="G1783" t="s">
        <v>7998</v>
      </c>
      <c r="H1783" t="s">
        <v>10601</v>
      </c>
      <c r="I1783" s="80" t="s">
        <v>10602</v>
      </c>
      <c r="J1783" t="s">
        <v>9615</v>
      </c>
      <c r="K1783" s="111" t="s">
        <v>921</v>
      </c>
    </row>
    <row r="1784" spans="1:11" x14ac:dyDescent="0.25">
      <c r="A1784" s="122">
        <v>1783</v>
      </c>
      <c r="B1784">
        <v>1072</v>
      </c>
      <c r="C1784" s="122" t="s">
        <v>181</v>
      </c>
      <c r="D1784" t="s">
        <v>10545</v>
      </c>
      <c r="E1784" s="89" t="s">
        <v>582</v>
      </c>
      <c r="F1784" t="s">
        <v>5218</v>
      </c>
      <c r="G1784" t="s">
        <v>8366</v>
      </c>
      <c r="H1784" t="s">
        <v>10603</v>
      </c>
      <c r="I1784" t="s">
        <v>10604</v>
      </c>
      <c r="J1784" t="s">
        <v>9300</v>
      </c>
      <c r="K1784" t="s">
        <v>10605</v>
      </c>
    </row>
    <row r="1785" spans="1:11" x14ac:dyDescent="0.25">
      <c r="A1785" s="122">
        <v>1784</v>
      </c>
      <c r="B1785">
        <v>1072</v>
      </c>
      <c r="C1785" s="122" t="s">
        <v>183</v>
      </c>
      <c r="D1785" t="s">
        <v>10574</v>
      </c>
      <c r="E1785" s="80" t="s">
        <v>10606</v>
      </c>
      <c r="F1785" t="s">
        <v>10607</v>
      </c>
      <c r="G1785" t="s">
        <v>8118</v>
      </c>
      <c r="H1785" t="s">
        <v>10608</v>
      </c>
      <c r="I1785" s="80" t="s">
        <v>10609</v>
      </c>
      <c r="J1785" t="s">
        <v>9575</v>
      </c>
      <c r="K1785" t="s">
        <v>10610</v>
      </c>
    </row>
    <row r="1786" spans="1:11" x14ac:dyDescent="0.25">
      <c r="A1786" s="122">
        <v>1785</v>
      </c>
      <c r="B1786">
        <v>1072</v>
      </c>
      <c r="C1786" s="122" t="s">
        <v>186</v>
      </c>
      <c r="D1786" t="s">
        <v>10611</v>
      </c>
      <c r="E1786" s="80" t="s">
        <v>10612</v>
      </c>
      <c r="F1786" s="80" t="s">
        <v>10613</v>
      </c>
      <c r="G1786" t="s">
        <v>7959</v>
      </c>
      <c r="H1786" s="80" t="s">
        <v>10614</v>
      </c>
      <c r="I1786" s="80" t="s">
        <v>10615</v>
      </c>
      <c r="J1786" t="s">
        <v>4311</v>
      </c>
      <c r="K1786" s="111" t="s">
        <v>923</v>
      </c>
    </row>
    <row r="1787" spans="1:11" x14ac:dyDescent="0.25">
      <c r="A1787" s="122">
        <v>1786</v>
      </c>
      <c r="B1787">
        <v>1072</v>
      </c>
      <c r="C1787" s="122" t="s">
        <v>188</v>
      </c>
      <c r="D1787" t="s">
        <v>5578</v>
      </c>
      <c r="E1787" s="80" t="s">
        <v>10616</v>
      </c>
      <c r="F1787" t="s">
        <v>10617</v>
      </c>
      <c r="G1787" t="s">
        <v>8041</v>
      </c>
      <c r="H1787" s="80" t="s">
        <v>10618</v>
      </c>
      <c r="I1787" s="80" t="s">
        <v>10619</v>
      </c>
      <c r="J1787" t="s">
        <v>9520</v>
      </c>
      <c r="K1787" s="111" t="s">
        <v>925</v>
      </c>
    </row>
    <row r="1788" spans="1:11" x14ac:dyDescent="0.25">
      <c r="A1788" s="122">
        <v>1787</v>
      </c>
      <c r="B1788">
        <v>1072</v>
      </c>
      <c r="C1788" s="122" t="s">
        <v>182</v>
      </c>
      <c r="D1788" t="s">
        <v>583</v>
      </c>
      <c r="E1788" t="s">
        <v>10620</v>
      </c>
      <c r="F1788" t="s">
        <v>5721</v>
      </c>
      <c r="G1788" t="s">
        <v>583</v>
      </c>
      <c r="H1788" t="s">
        <v>583</v>
      </c>
      <c r="I1788" t="s">
        <v>5582</v>
      </c>
      <c r="J1788" t="s">
        <v>583</v>
      </c>
      <c r="K1788" t="s">
        <v>6179</v>
      </c>
    </row>
    <row r="1789" spans="1:11" x14ac:dyDescent="0.25">
      <c r="A1789" s="122">
        <v>1788</v>
      </c>
      <c r="B1789">
        <v>1072</v>
      </c>
      <c r="C1789" s="122" t="s">
        <v>184</v>
      </c>
      <c r="D1789" t="s">
        <v>10528</v>
      </c>
      <c r="E1789" t="s">
        <v>10621</v>
      </c>
      <c r="F1789" t="s">
        <v>10622</v>
      </c>
      <c r="G1789" t="s">
        <v>8096</v>
      </c>
      <c r="H1789" t="s">
        <v>10623</v>
      </c>
      <c r="I1789" s="80" t="s">
        <v>10624</v>
      </c>
      <c r="J1789" t="s">
        <v>9341</v>
      </c>
      <c r="K1789" t="s">
        <v>10625</v>
      </c>
    </row>
    <row r="1790" spans="1:11" x14ac:dyDescent="0.25">
      <c r="A1790" s="122">
        <v>1789</v>
      </c>
      <c r="B1790">
        <v>1072</v>
      </c>
      <c r="C1790" s="122" t="s">
        <v>187</v>
      </c>
      <c r="D1790" t="s">
        <v>10626</v>
      </c>
      <c r="E1790" t="s">
        <v>10627</v>
      </c>
      <c r="F1790" t="s">
        <v>10628</v>
      </c>
      <c r="G1790" t="s">
        <v>8104</v>
      </c>
      <c r="H1790" s="80" t="s">
        <v>10629</v>
      </c>
      <c r="I1790" s="80" t="s">
        <v>10630</v>
      </c>
      <c r="J1790" t="s">
        <v>9411</v>
      </c>
      <c r="K1790" s="80" t="s">
        <v>10631</v>
      </c>
    </row>
    <row r="1791" spans="1:11" x14ac:dyDescent="0.25">
      <c r="A1791" s="122">
        <v>1790</v>
      </c>
      <c r="B1791">
        <v>1072</v>
      </c>
      <c r="C1791" s="122" t="s">
        <v>189</v>
      </c>
      <c r="D1791" t="s">
        <v>10632</v>
      </c>
      <c r="E1791" t="s">
        <v>10633</v>
      </c>
      <c r="F1791" t="s">
        <v>10634</v>
      </c>
      <c r="G1791" t="s">
        <v>8218</v>
      </c>
      <c r="H1791" s="80" t="s">
        <v>10635</v>
      </c>
      <c r="I1791" s="80" t="s">
        <v>10636</v>
      </c>
      <c r="J1791" t="s">
        <v>9588</v>
      </c>
      <c r="K1791" s="80" t="s">
        <v>10637</v>
      </c>
    </row>
    <row r="1792" spans="1:11" x14ac:dyDescent="0.25">
      <c r="A1792" s="122">
        <v>1791</v>
      </c>
      <c r="B1792">
        <v>1073</v>
      </c>
      <c r="C1792" s="122" t="s">
        <v>162</v>
      </c>
      <c r="D1792" t="s">
        <v>10528</v>
      </c>
      <c r="E1792" s="80" t="s">
        <v>10638</v>
      </c>
      <c r="F1792" t="s">
        <v>1990</v>
      </c>
      <c r="G1792" t="s">
        <v>10191</v>
      </c>
      <c r="H1792" t="s">
        <v>4165</v>
      </c>
      <c r="I1792" t="s">
        <v>10639</v>
      </c>
      <c r="J1792" t="s">
        <v>10590</v>
      </c>
      <c r="K1792" t="s">
        <v>10640</v>
      </c>
    </row>
    <row r="1793" spans="1:11" x14ac:dyDescent="0.25">
      <c r="A1793" s="122">
        <v>1792</v>
      </c>
      <c r="B1793">
        <v>1073</v>
      </c>
      <c r="C1793" s="122" t="s">
        <v>170</v>
      </c>
      <c r="D1793" t="s">
        <v>10012</v>
      </c>
      <c r="E1793" s="80" t="s">
        <v>9899</v>
      </c>
      <c r="F1793" t="s">
        <v>10641</v>
      </c>
      <c r="G1793" t="s">
        <v>10108</v>
      </c>
      <c r="H1793" t="s">
        <v>10642</v>
      </c>
      <c r="I1793" s="80" t="s">
        <v>10643</v>
      </c>
      <c r="J1793" t="s">
        <v>9341</v>
      </c>
      <c r="K1793" t="s">
        <v>10644</v>
      </c>
    </row>
    <row r="1794" spans="1:11" x14ac:dyDescent="0.25">
      <c r="A1794" s="122">
        <v>1793</v>
      </c>
      <c r="B1794">
        <v>1073</v>
      </c>
      <c r="C1794" s="122" t="s">
        <v>178</v>
      </c>
      <c r="D1794" t="s">
        <v>10645</v>
      </c>
      <c r="E1794" s="80" t="s">
        <v>10646</v>
      </c>
      <c r="F1794" t="s">
        <v>10647</v>
      </c>
      <c r="G1794" t="s">
        <v>8118</v>
      </c>
      <c r="H1794" s="80" t="s">
        <v>10648</v>
      </c>
      <c r="I1794" s="80" t="s">
        <v>10649</v>
      </c>
      <c r="J1794" t="s">
        <v>9213</v>
      </c>
      <c r="K1794" t="s">
        <v>10650</v>
      </c>
    </row>
    <row r="1795" spans="1:11" x14ac:dyDescent="0.25">
      <c r="A1795" s="122">
        <v>1794</v>
      </c>
      <c r="B1795">
        <v>1073</v>
      </c>
      <c r="C1795" s="122" t="s">
        <v>163</v>
      </c>
      <c r="D1795" t="s">
        <v>10651</v>
      </c>
      <c r="E1795" s="80" t="s">
        <v>10652</v>
      </c>
      <c r="F1795" t="s">
        <v>10653</v>
      </c>
      <c r="G1795" t="s">
        <v>8077</v>
      </c>
      <c r="H1795" t="s">
        <v>10654</v>
      </c>
      <c r="I1795" s="80" t="s">
        <v>10655</v>
      </c>
      <c r="J1795" t="s">
        <v>9588</v>
      </c>
      <c r="K1795" s="80" t="s">
        <v>10656</v>
      </c>
    </row>
    <row r="1796" spans="1:11" x14ac:dyDescent="0.25">
      <c r="A1796" s="122">
        <v>1795</v>
      </c>
      <c r="B1796">
        <v>1073</v>
      </c>
      <c r="C1796" s="122" t="s">
        <v>181</v>
      </c>
      <c r="D1796" t="s">
        <v>10657</v>
      </c>
      <c r="E1796" t="s">
        <v>10658</v>
      </c>
      <c r="F1796" t="s">
        <v>3765</v>
      </c>
      <c r="G1796" t="s">
        <v>8071</v>
      </c>
      <c r="H1796" t="s">
        <v>10659</v>
      </c>
      <c r="I1796" s="80" t="s">
        <v>10660</v>
      </c>
      <c r="J1796" t="s">
        <v>9259</v>
      </c>
      <c r="K1796" t="s">
        <v>10661</v>
      </c>
    </row>
    <row r="1797" spans="1:11" x14ac:dyDescent="0.25">
      <c r="A1797" s="122">
        <v>1796</v>
      </c>
      <c r="B1797">
        <v>1073</v>
      </c>
      <c r="C1797" s="122" t="s">
        <v>183</v>
      </c>
      <c r="D1797" t="s">
        <v>10651</v>
      </c>
      <c r="E1797" s="80" t="s">
        <v>10662</v>
      </c>
      <c r="F1797" t="s">
        <v>10663</v>
      </c>
      <c r="G1797" t="s">
        <v>8332</v>
      </c>
      <c r="H1797" s="80" t="s">
        <v>10664</v>
      </c>
      <c r="I1797" s="80" t="s">
        <v>10665</v>
      </c>
      <c r="J1797" t="s">
        <v>9307</v>
      </c>
      <c r="K1797">
        <v>5762</v>
      </c>
    </row>
    <row r="1798" spans="1:11" x14ac:dyDescent="0.25">
      <c r="A1798" s="122">
        <v>1797</v>
      </c>
      <c r="B1798">
        <v>1073</v>
      </c>
      <c r="C1798" s="122" t="s">
        <v>186</v>
      </c>
      <c r="D1798" t="s">
        <v>10539</v>
      </c>
      <c r="E1798" s="80" t="s">
        <v>8315</v>
      </c>
      <c r="F1798" t="s">
        <v>10666</v>
      </c>
      <c r="G1798" t="s">
        <v>8077</v>
      </c>
      <c r="H1798" s="80" t="s">
        <v>10667</v>
      </c>
      <c r="I1798" s="80" t="s">
        <v>10668</v>
      </c>
      <c r="J1798" t="s">
        <v>10562</v>
      </c>
      <c r="K1798" s="80" t="s">
        <v>10669</v>
      </c>
    </row>
    <row r="1799" spans="1:11" x14ac:dyDescent="0.25">
      <c r="A1799" s="122">
        <v>1798</v>
      </c>
      <c r="B1799">
        <v>1073</v>
      </c>
      <c r="C1799" s="122" t="s">
        <v>188</v>
      </c>
      <c r="D1799" t="s">
        <v>10592</v>
      </c>
      <c r="E1799" s="80" t="s">
        <v>10670</v>
      </c>
      <c r="F1799" t="s">
        <v>10671</v>
      </c>
      <c r="G1799" t="s">
        <v>8077</v>
      </c>
      <c r="H1799" t="s">
        <v>10672</v>
      </c>
      <c r="I1799" s="80" t="s">
        <v>10673</v>
      </c>
      <c r="J1799" t="s">
        <v>9251</v>
      </c>
      <c r="K1799" s="80" t="s">
        <v>10674</v>
      </c>
    </row>
    <row r="1800" spans="1:11" x14ac:dyDescent="0.25">
      <c r="A1800" s="122">
        <v>1799</v>
      </c>
      <c r="B1800">
        <v>1073</v>
      </c>
      <c r="C1800" s="122" t="s">
        <v>182</v>
      </c>
      <c r="D1800" t="s">
        <v>583</v>
      </c>
      <c r="E1800" t="s">
        <v>10675</v>
      </c>
      <c r="F1800" t="s">
        <v>6530</v>
      </c>
      <c r="G1800" t="s">
        <v>9233</v>
      </c>
      <c r="H1800" t="s">
        <v>583</v>
      </c>
      <c r="I1800" t="s">
        <v>10676</v>
      </c>
      <c r="J1800" t="s">
        <v>3201</v>
      </c>
      <c r="K1800" t="s">
        <v>6842</v>
      </c>
    </row>
    <row r="1801" spans="1:11" x14ac:dyDescent="0.25">
      <c r="A1801" s="122">
        <v>1800</v>
      </c>
      <c r="B1801">
        <v>1073</v>
      </c>
      <c r="C1801" s="122" t="s">
        <v>184</v>
      </c>
      <c r="D1801" t="s">
        <v>10528</v>
      </c>
      <c r="E1801" t="s">
        <v>10677</v>
      </c>
      <c r="F1801" t="s">
        <v>10678</v>
      </c>
      <c r="G1801" t="s">
        <v>8071</v>
      </c>
      <c r="H1801" t="s">
        <v>10679</v>
      </c>
      <c r="I1801" t="s">
        <v>10680</v>
      </c>
      <c r="J1801" t="s">
        <v>10681</v>
      </c>
      <c r="K1801" t="s">
        <v>10682</v>
      </c>
    </row>
    <row r="1802" spans="1:11" x14ac:dyDescent="0.25">
      <c r="A1802" s="122">
        <v>1801</v>
      </c>
      <c r="B1802">
        <v>1073</v>
      </c>
      <c r="C1802" s="122" t="s">
        <v>187</v>
      </c>
      <c r="D1802" t="s">
        <v>4982</v>
      </c>
      <c r="E1802" s="80" t="s">
        <v>7950</v>
      </c>
      <c r="F1802" t="s">
        <v>10683</v>
      </c>
      <c r="G1802" t="s">
        <v>8218</v>
      </c>
      <c r="H1802" t="s">
        <v>10684</v>
      </c>
      <c r="I1802" t="s">
        <v>10685</v>
      </c>
      <c r="J1802" t="s">
        <v>10686</v>
      </c>
      <c r="K1802" t="s">
        <v>10687</v>
      </c>
    </row>
    <row r="1803" spans="1:11" x14ac:dyDescent="0.25">
      <c r="A1803" s="122">
        <v>1802</v>
      </c>
      <c r="B1803">
        <v>1073</v>
      </c>
      <c r="C1803" s="122" t="s">
        <v>189</v>
      </c>
      <c r="D1803" t="s">
        <v>10688</v>
      </c>
      <c r="E1803" t="s">
        <v>10689</v>
      </c>
      <c r="F1803" t="s">
        <v>10690</v>
      </c>
      <c r="G1803" t="s">
        <v>8269</v>
      </c>
      <c r="H1803" t="s">
        <v>10691</v>
      </c>
      <c r="I1803" t="s">
        <v>10692</v>
      </c>
      <c r="J1803" t="s">
        <v>10693</v>
      </c>
      <c r="K1803" t="s">
        <v>10694</v>
      </c>
    </row>
    <row r="1804" spans="1:11" x14ac:dyDescent="0.25">
      <c r="A1804" s="122">
        <v>1803</v>
      </c>
      <c r="B1804">
        <v>1074</v>
      </c>
      <c r="C1804" s="122" t="s">
        <v>162</v>
      </c>
      <c r="D1804" t="s">
        <v>583</v>
      </c>
      <c r="E1804" t="s">
        <v>10695</v>
      </c>
      <c r="F1804" t="s">
        <v>583</v>
      </c>
      <c r="G1804" t="s">
        <v>583</v>
      </c>
      <c r="H1804" t="s">
        <v>3068</v>
      </c>
      <c r="I1804" t="s">
        <v>10696</v>
      </c>
      <c r="J1804" t="s">
        <v>583</v>
      </c>
      <c r="K1804" t="s">
        <v>7184</v>
      </c>
    </row>
    <row r="1805" spans="1:11" x14ac:dyDescent="0.25">
      <c r="A1805" s="122">
        <v>1804</v>
      </c>
      <c r="B1805">
        <v>1074</v>
      </c>
      <c r="C1805" s="122" t="s">
        <v>170</v>
      </c>
      <c r="D1805" t="s">
        <v>10498</v>
      </c>
      <c r="E1805" t="s">
        <v>10697</v>
      </c>
      <c r="F1805" t="s">
        <v>10698</v>
      </c>
      <c r="G1805" t="s">
        <v>9502</v>
      </c>
      <c r="H1805" s="80" t="s">
        <v>9457</v>
      </c>
      <c r="I1805" s="80" t="s">
        <v>10699</v>
      </c>
      <c r="J1805" t="s">
        <v>9300</v>
      </c>
      <c r="K1805" t="s">
        <v>10700</v>
      </c>
    </row>
    <row r="1806" spans="1:11" x14ac:dyDescent="0.25">
      <c r="A1806" s="122">
        <v>1805</v>
      </c>
      <c r="B1806">
        <v>1074</v>
      </c>
      <c r="C1806" s="122" t="s">
        <v>178</v>
      </c>
      <c r="D1806" t="s">
        <v>10701</v>
      </c>
      <c r="E1806" t="s">
        <v>10702</v>
      </c>
      <c r="F1806" t="s">
        <v>8135</v>
      </c>
      <c r="G1806" t="s">
        <v>8218</v>
      </c>
      <c r="H1806" s="80" t="s">
        <v>10703</v>
      </c>
      <c r="I1806" s="80" t="s">
        <v>10704</v>
      </c>
      <c r="J1806" t="s">
        <v>9239</v>
      </c>
      <c r="K1806" t="s">
        <v>10705</v>
      </c>
    </row>
    <row r="1807" spans="1:11" x14ac:dyDescent="0.25">
      <c r="A1807" s="122">
        <v>1806</v>
      </c>
      <c r="B1807">
        <v>1074</v>
      </c>
      <c r="C1807" s="122" t="s">
        <v>163</v>
      </c>
      <c r="D1807" t="s">
        <v>10706</v>
      </c>
      <c r="E1807" t="s">
        <v>10707</v>
      </c>
      <c r="F1807" t="s">
        <v>10708</v>
      </c>
      <c r="G1807" t="s">
        <v>8077</v>
      </c>
      <c r="H1807" s="80" t="s">
        <v>10709</v>
      </c>
      <c r="I1807" s="80" t="s">
        <v>10710</v>
      </c>
      <c r="J1807" t="s">
        <v>9337</v>
      </c>
      <c r="K1807" s="111" t="s">
        <v>927</v>
      </c>
    </row>
    <row r="1808" spans="1:11" x14ac:dyDescent="0.25">
      <c r="A1808" s="122">
        <v>1807</v>
      </c>
      <c r="B1808">
        <v>1074</v>
      </c>
      <c r="C1808" s="122" t="s">
        <v>181</v>
      </c>
      <c r="D1808" t="s">
        <v>10711</v>
      </c>
      <c r="E1808" t="s">
        <v>10712</v>
      </c>
      <c r="F1808" t="s">
        <v>6232</v>
      </c>
      <c r="G1808" t="s">
        <v>10160</v>
      </c>
      <c r="H1808" t="s">
        <v>10713</v>
      </c>
      <c r="I1808" s="80" t="s">
        <v>10714</v>
      </c>
      <c r="J1808" t="s">
        <v>5861</v>
      </c>
      <c r="K1808" t="s">
        <v>10715</v>
      </c>
    </row>
    <row r="1809" spans="1:11" x14ac:dyDescent="0.25">
      <c r="A1809" s="122">
        <v>1808</v>
      </c>
      <c r="B1809">
        <v>1074</v>
      </c>
      <c r="C1809" s="122" t="s">
        <v>183</v>
      </c>
      <c r="D1809" t="s">
        <v>10539</v>
      </c>
      <c r="E1809" s="80" t="s">
        <v>10716</v>
      </c>
      <c r="F1809" t="s">
        <v>10717</v>
      </c>
      <c r="G1809" t="s">
        <v>9592</v>
      </c>
      <c r="H1809" s="84">
        <v>2584800</v>
      </c>
      <c r="I1809" s="80" t="s">
        <v>10718</v>
      </c>
      <c r="J1809" t="s">
        <v>4311</v>
      </c>
      <c r="K1809" s="80" t="s">
        <v>10719</v>
      </c>
    </row>
    <row r="1810" spans="1:11" x14ac:dyDescent="0.25">
      <c r="A1810" s="122">
        <v>1809</v>
      </c>
      <c r="B1810">
        <v>1074</v>
      </c>
      <c r="C1810" s="122" t="s">
        <v>186</v>
      </c>
      <c r="D1810" t="s">
        <v>10720</v>
      </c>
      <c r="E1810" s="80" t="s">
        <v>10721</v>
      </c>
      <c r="F1810" t="s">
        <v>10722</v>
      </c>
      <c r="G1810" t="s">
        <v>9592</v>
      </c>
      <c r="H1810" s="111" t="s">
        <v>10723</v>
      </c>
      <c r="I1810" s="80" t="s">
        <v>10724</v>
      </c>
      <c r="J1810" t="s">
        <v>9486</v>
      </c>
      <c r="K1810" s="111" t="s">
        <v>10725</v>
      </c>
    </row>
    <row r="1811" spans="1:11" x14ac:dyDescent="0.25">
      <c r="A1811" s="122">
        <v>1810</v>
      </c>
      <c r="B1811">
        <v>1074</v>
      </c>
      <c r="C1811" s="122" t="s">
        <v>188</v>
      </c>
      <c r="D1811" t="s">
        <v>10726</v>
      </c>
      <c r="E1811" s="80" t="s">
        <v>10727</v>
      </c>
      <c r="F1811" t="s">
        <v>9716</v>
      </c>
      <c r="G1811" t="s">
        <v>7966</v>
      </c>
      <c r="H1811" s="80" t="s">
        <v>10728</v>
      </c>
      <c r="I1811" s="80" t="s">
        <v>10729</v>
      </c>
      <c r="J1811" t="s">
        <v>10730</v>
      </c>
      <c r="K1811" s="111" t="s">
        <v>929</v>
      </c>
    </row>
    <row r="1812" spans="1:11" x14ac:dyDescent="0.25">
      <c r="A1812" s="122">
        <v>1811</v>
      </c>
      <c r="B1812">
        <v>1074</v>
      </c>
      <c r="C1812" s="122" t="s">
        <v>182</v>
      </c>
      <c r="D1812" t="s">
        <v>583</v>
      </c>
      <c r="E1812" t="s">
        <v>10731</v>
      </c>
      <c r="F1812" t="s">
        <v>6237</v>
      </c>
      <c r="G1812" t="s">
        <v>3898</v>
      </c>
      <c r="H1812" t="s">
        <v>583</v>
      </c>
      <c r="I1812" t="s">
        <v>6178</v>
      </c>
      <c r="J1812" s="80" t="s">
        <v>3201</v>
      </c>
      <c r="K1812" t="s">
        <v>7184</v>
      </c>
    </row>
    <row r="1813" spans="1:11" x14ac:dyDescent="0.25">
      <c r="A1813" s="122">
        <v>1812</v>
      </c>
      <c r="B1813">
        <v>1074</v>
      </c>
      <c r="C1813" s="122" t="s">
        <v>184</v>
      </c>
      <c r="D1813" t="s">
        <v>10260</v>
      </c>
      <c r="E1813" t="s">
        <v>10732</v>
      </c>
      <c r="F1813" t="s">
        <v>10733</v>
      </c>
      <c r="G1813" t="s">
        <v>9646</v>
      </c>
      <c r="H1813" t="s">
        <v>10734</v>
      </c>
      <c r="I1813" s="80" t="s">
        <v>10735</v>
      </c>
      <c r="J1813" t="s">
        <v>6627</v>
      </c>
      <c r="K1813" t="s">
        <v>10736</v>
      </c>
    </row>
    <row r="1814" spans="1:11" x14ac:dyDescent="0.25">
      <c r="A1814" s="122">
        <v>1813</v>
      </c>
      <c r="B1814">
        <v>1074</v>
      </c>
      <c r="C1814" s="122" t="s">
        <v>187</v>
      </c>
      <c r="D1814" t="s">
        <v>10651</v>
      </c>
      <c r="E1814" t="s">
        <v>10737</v>
      </c>
      <c r="F1814" t="s">
        <v>7992</v>
      </c>
      <c r="G1814" t="s">
        <v>7443</v>
      </c>
      <c r="H1814" t="s">
        <v>10738</v>
      </c>
      <c r="I1814" s="80" t="s">
        <v>10739</v>
      </c>
      <c r="J1814" t="s">
        <v>9300</v>
      </c>
      <c r="K1814" t="s">
        <v>10740</v>
      </c>
    </row>
    <row r="1815" spans="1:11" x14ac:dyDescent="0.25">
      <c r="A1815" s="122">
        <v>1814</v>
      </c>
      <c r="B1815">
        <v>1074</v>
      </c>
      <c r="C1815" s="122" t="s">
        <v>189</v>
      </c>
      <c r="D1815" t="s">
        <v>6089</v>
      </c>
      <c r="E1815" t="s">
        <v>10741</v>
      </c>
      <c r="F1815" t="s">
        <v>10742</v>
      </c>
      <c r="G1815" t="s">
        <v>8269</v>
      </c>
      <c r="H1815" t="s">
        <v>10743</v>
      </c>
      <c r="I1815" s="80" t="s">
        <v>10744</v>
      </c>
      <c r="J1815" t="s">
        <v>9239</v>
      </c>
      <c r="K1815" t="s">
        <v>10745</v>
      </c>
    </row>
    <row r="1816" spans="1:11" x14ac:dyDescent="0.25">
      <c r="A1816" s="122">
        <v>1815</v>
      </c>
      <c r="B1816">
        <v>1075</v>
      </c>
      <c r="C1816" s="122" t="s">
        <v>162</v>
      </c>
      <c r="D1816" s="80" t="s">
        <v>7184</v>
      </c>
      <c r="E1816" t="s">
        <v>10746</v>
      </c>
      <c r="F1816" t="s">
        <v>8217</v>
      </c>
      <c r="G1816" t="s">
        <v>583</v>
      </c>
      <c r="H1816" t="s">
        <v>583</v>
      </c>
      <c r="I1816" t="s">
        <v>5582</v>
      </c>
      <c r="J1816" t="s">
        <v>6627</v>
      </c>
      <c r="K1816" t="s">
        <v>7184</v>
      </c>
    </row>
    <row r="1817" spans="1:11" x14ac:dyDescent="0.25">
      <c r="A1817" s="122">
        <v>1816</v>
      </c>
      <c r="B1817">
        <v>1075</v>
      </c>
      <c r="C1817" s="122" t="s">
        <v>170</v>
      </c>
      <c r="D1817" t="s">
        <v>10747</v>
      </c>
      <c r="E1817" t="s">
        <v>10748</v>
      </c>
      <c r="F1817" t="s">
        <v>10749</v>
      </c>
      <c r="G1817" t="s">
        <v>3898</v>
      </c>
      <c r="H1817" t="s">
        <v>10750</v>
      </c>
      <c r="I1817" t="s">
        <v>10751</v>
      </c>
      <c r="J1817" s="80" t="s">
        <v>6530</v>
      </c>
      <c r="K1817" t="s">
        <v>8072</v>
      </c>
    </row>
    <row r="1818" spans="1:11" x14ac:dyDescent="0.25">
      <c r="A1818" s="122">
        <v>1817</v>
      </c>
      <c r="B1818">
        <v>1075</v>
      </c>
      <c r="C1818" s="122" t="s">
        <v>178</v>
      </c>
      <c r="D1818" t="s">
        <v>10752</v>
      </c>
      <c r="E1818" t="s">
        <v>10753</v>
      </c>
      <c r="F1818" t="s">
        <v>10754</v>
      </c>
      <c r="G1818" t="s">
        <v>8353</v>
      </c>
      <c r="H1818" t="s">
        <v>10755</v>
      </c>
      <c r="I1818" s="80" t="s">
        <v>10756</v>
      </c>
      <c r="J1818" t="s">
        <v>8954</v>
      </c>
      <c r="K1818" t="s">
        <v>10757</v>
      </c>
    </row>
    <row r="1819" spans="1:11" x14ac:dyDescent="0.25">
      <c r="A1819" s="122">
        <v>1818</v>
      </c>
      <c r="B1819">
        <v>1075</v>
      </c>
      <c r="C1819" s="122" t="s">
        <v>163</v>
      </c>
      <c r="D1819" t="s">
        <v>10711</v>
      </c>
      <c r="E1819" t="s">
        <v>10758</v>
      </c>
      <c r="F1819" t="s">
        <v>10759</v>
      </c>
      <c r="G1819" t="s">
        <v>9233</v>
      </c>
      <c r="H1819" t="s">
        <v>10701</v>
      </c>
      <c r="I1819" s="80" t="s">
        <v>10760</v>
      </c>
      <c r="J1819" t="s">
        <v>10681</v>
      </c>
      <c r="K1819" t="s">
        <v>4225</v>
      </c>
    </row>
    <row r="1820" spans="1:11" x14ac:dyDescent="0.25">
      <c r="A1820" s="122">
        <v>1819</v>
      </c>
      <c r="B1820">
        <v>1075</v>
      </c>
      <c r="C1820" s="122" t="s">
        <v>182</v>
      </c>
      <c r="D1820" t="s">
        <v>6645</v>
      </c>
      <c r="E1820" t="s">
        <v>10761</v>
      </c>
      <c r="F1820" t="s">
        <v>3201</v>
      </c>
      <c r="G1820" t="s">
        <v>3898</v>
      </c>
      <c r="H1820" t="s">
        <v>583</v>
      </c>
      <c r="I1820" t="s">
        <v>10762</v>
      </c>
      <c r="J1820" s="80" t="s">
        <v>3201</v>
      </c>
      <c r="K1820" t="s">
        <v>6179</v>
      </c>
    </row>
    <row r="1821" spans="1:11" x14ac:dyDescent="0.25">
      <c r="A1821" s="122">
        <v>1820</v>
      </c>
      <c r="B1821">
        <v>1075</v>
      </c>
      <c r="C1821" s="122" t="s">
        <v>184</v>
      </c>
      <c r="D1821" t="s">
        <v>10747</v>
      </c>
      <c r="E1821" t="s">
        <v>10763</v>
      </c>
      <c r="F1821" t="s">
        <v>8175</v>
      </c>
      <c r="G1821" t="s">
        <v>9233</v>
      </c>
      <c r="H1821" t="s">
        <v>10764</v>
      </c>
      <c r="I1821" t="s">
        <v>10765</v>
      </c>
      <c r="J1821" t="s">
        <v>9602</v>
      </c>
      <c r="K1821" t="s">
        <v>10766</v>
      </c>
    </row>
    <row r="1822" spans="1:11" x14ac:dyDescent="0.25">
      <c r="A1822" s="122">
        <v>1821</v>
      </c>
      <c r="B1822">
        <v>1075</v>
      </c>
      <c r="C1822" s="122" t="s">
        <v>187</v>
      </c>
      <c r="D1822" t="s">
        <v>10711</v>
      </c>
      <c r="E1822" t="s">
        <v>10767</v>
      </c>
      <c r="F1822" t="s">
        <v>10768</v>
      </c>
      <c r="G1822" t="s">
        <v>8269</v>
      </c>
      <c r="H1822" t="s">
        <v>10769</v>
      </c>
      <c r="I1822" s="80" t="s">
        <v>10770</v>
      </c>
      <c r="J1822" t="s">
        <v>10590</v>
      </c>
      <c r="K1822" t="s">
        <v>10771</v>
      </c>
    </row>
    <row r="1823" spans="1:11" x14ac:dyDescent="0.25">
      <c r="A1823" s="122">
        <v>1822</v>
      </c>
      <c r="B1823">
        <v>1075</v>
      </c>
      <c r="C1823" s="122" t="s">
        <v>189</v>
      </c>
      <c r="D1823" t="s">
        <v>10747</v>
      </c>
      <c r="E1823" t="s">
        <v>10772</v>
      </c>
      <c r="F1823" t="s">
        <v>10773</v>
      </c>
      <c r="G1823" t="s">
        <v>8071</v>
      </c>
      <c r="H1823" t="s">
        <v>10774</v>
      </c>
      <c r="I1823" t="s">
        <v>10775</v>
      </c>
      <c r="J1823" t="s">
        <v>10776</v>
      </c>
      <c r="K1823" t="s">
        <v>10777</v>
      </c>
    </row>
    <row r="1824" spans="1:11" x14ac:dyDescent="0.25">
      <c r="A1824" s="122">
        <v>1823</v>
      </c>
      <c r="B1824" t="s">
        <v>636</v>
      </c>
      <c r="C1824" s="122" t="s">
        <v>162</v>
      </c>
      <c r="D1824" t="s">
        <v>1571</v>
      </c>
      <c r="E1824" t="s">
        <v>10778</v>
      </c>
      <c r="F1824" t="s">
        <v>9316</v>
      </c>
      <c r="G1824" t="s">
        <v>9363</v>
      </c>
      <c r="H1824" t="s">
        <v>5465</v>
      </c>
      <c r="I1824" t="s">
        <v>5465</v>
      </c>
      <c r="J1824" t="s">
        <v>9602</v>
      </c>
      <c r="K1824" t="s">
        <v>10524</v>
      </c>
    </row>
    <row r="1825" spans="1:11" x14ac:dyDescent="0.25">
      <c r="A1825" s="122">
        <v>1824</v>
      </c>
      <c r="B1825" t="s">
        <v>636</v>
      </c>
      <c r="C1825" s="122" t="s">
        <v>170</v>
      </c>
      <c r="D1825" t="s">
        <v>10592</v>
      </c>
      <c r="E1825" s="80" t="s">
        <v>10779</v>
      </c>
      <c r="F1825" t="s">
        <v>10780</v>
      </c>
      <c r="G1825" t="s">
        <v>8096</v>
      </c>
      <c r="H1825" t="s">
        <v>10781</v>
      </c>
      <c r="I1825" s="80" t="s">
        <v>10782</v>
      </c>
      <c r="J1825" t="s">
        <v>9655</v>
      </c>
      <c r="K1825" t="s">
        <v>10783</v>
      </c>
    </row>
    <row r="1826" spans="1:11" x14ac:dyDescent="0.25">
      <c r="A1826" s="122">
        <v>1825</v>
      </c>
      <c r="B1826" t="s">
        <v>636</v>
      </c>
      <c r="C1826" s="122" t="s">
        <v>178</v>
      </c>
      <c r="D1826" t="s">
        <v>10784</v>
      </c>
      <c r="E1826" s="80" t="s">
        <v>10785</v>
      </c>
      <c r="F1826">
        <v>2461</v>
      </c>
      <c r="G1826" t="s">
        <v>8104</v>
      </c>
      <c r="H1826" s="80" t="s">
        <v>10786</v>
      </c>
      <c r="I1826" s="80" t="s">
        <v>10787</v>
      </c>
      <c r="J1826" t="s">
        <v>9213</v>
      </c>
      <c r="K1826" t="s">
        <v>10788</v>
      </c>
    </row>
    <row r="1827" spans="1:11" x14ac:dyDescent="0.25">
      <c r="A1827" s="122">
        <v>1826</v>
      </c>
      <c r="B1827" t="s">
        <v>636</v>
      </c>
      <c r="C1827" s="122" t="s">
        <v>163</v>
      </c>
      <c r="D1827" t="s">
        <v>10789</v>
      </c>
      <c r="E1827" s="80" t="s">
        <v>10065</v>
      </c>
      <c r="F1827" t="s">
        <v>10790</v>
      </c>
      <c r="G1827" t="s">
        <v>8047</v>
      </c>
      <c r="H1827" t="s">
        <v>10791</v>
      </c>
      <c r="I1827" s="80" t="s">
        <v>10792</v>
      </c>
      <c r="J1827" t="s">
        <v>9239</v>
      </c>
      <c r="K1827" t="s">
        <v>10793</v>
      </c>
    </row>
    <row r="1828" spans="1:11" x14ac:dyDescent="0.25">
      <c r="A1828" s="122">
        <v>1827</v>
      </c>
      <c r="B1828" t="s">
        <v>636</v>
      </c>
      <c r="C1828" s="122" t="s">
        <v>181</v>
      </c>
      <c r="D1828" t="s">
        <v>10550</v>
      </c>
      <c r="E1828" s="111" t="s">
        <v>930</v>
      </c>
      <c r="F1828" t="s">
        <v>3201</v>
      </c>
      <c r="G1828" t="s">
        <v>9646</v>
      </c>
      <c r="H1828" t="s">
        <v>7492</v>
      </c>
      <c r="I1828" t="s">
        <v>10794</v>
      </c>
      <c r="J1828" t="s">
        <v>9300</v>
      </c>
      <c r="K1828" t="s">
        <v>10795</v>
      </c>
    </row>
    <row r="1829" spans="1:11" x14ac:dyDescent="0.25">
      <c r="A1829" s="122">
        <v>1828</v>
      </c>
      <c r="B1829" t="s">
        <v>636</v>
      </c>
      <c r="C1829" s="122" t="s">
        <v>183</v>
      </c>
      <c r="D1829" t="s">
        <v>10645</v>
      </c>
      <c r="E1829" s="80" t="s">
        <v>10796</v>
      </c>
      <c r="F1829" t="s">
        <v>10797</v>
      </c>
      <c r="G1829" t="s">
        <v>7998</v>
      </c>
      <c r="H1829" t="s">
        <v>10798</v>
      </c>
      <c r="I1829" s="80" t="s">
        <v>10799</v>
      </c>
      <c r="J1829" t="s">
        <v>9615</v>
      </c>
      <c r="K1829" s="80" t="s">
        <v>10800</v>
      </c>
    </row>
    <row r="1830" spans="1:11" x14ac:dyDescent="0.25">
      <c r="A1830" s="122">
        <v>1829</v>
      </c>
      <c r="B1830" t="s">
        <v>636</v>
      </c>
      <c r="C1830" s="122" t="s">
        <v>186</v>
      </c>
      <c r="D1830" t="s">
        <v>10492</v>
      </c>
      <c r="E1830" s="80" t="s">
        <v>10801</v>
      </c>
      <c r="F1830" s="80" t="s">
        <v>10802</v>
      </c>
      <c r="G1830" t="s">
        <v>7998</v>
      </c>
      <c r="H1830" s="80" t="s">
        <v>10803</v>
      </c>
      <c r="I1830" s="80" t="s">
        <v>10804</v>
      </c>
      <c r="J1830" t="s">
        <v>10805</v>
      </c>
      <c r="K1830" s="80" t="s">
        <v>10806</v>
      </c>
    </row>
    <row r="1831" spans="1:11" x14ac:dyDescent="0.25">
      <c r="A1831" s="122">
        <v>1830</v>
      </c>
      <c r="B1831" t="s">
        <v>636</v>
      </c>
      <c r="C1831" s="122" t="s">
        <v>188</v>
      </c>
      <c r="D1831" t="s">
        <v>10539</v>
      </c>
      <c r="E1831" s="111" t="s">
        <v>932</v>
      </c>
      <c r="F1831" t="s">
        <v>10807</v>
      </c>
      <c r="G1831" t="s">
        <v>8077</v>
      </c>
      <c r="H1831" t="s">
        <v>10808</v>
      </c>
      <c r="I1831" s="80" t="s">
        <v>10809</v>
      </c>
      <c r="J1831" t="s">
        <v>9337</v>
      </c>
      <c r="K1831" s="80">
        <v>25978</v>
      </c>
    </row>
    <row r="1832" spans="1:11" x14ac:dyDescent="0.25">
      <c r="A1832" s="122">
        <v>1831</v>
      </c>
      <c r="B1832" t="s">
        <v>636</v>
      </c>
      <c r="C1832" s="122" t="s">
        <v>182</v>
      </c>
      <c r="D1832" t="s">
        <v>583</v>
      </c>
      <c r="E1832" t="s">
        <v>10810</v>
      </c>
      <c r="F1832" t="s">
        <v>583</v>
      </c>
      <c r="G1832" t="s">
        <v>583</v>
      </c>
      <c r="H1832" t="s">
        <v>5597</v>
      </c>
      <c r="I1832" t="s">
        <v>10811</v>
      </c>
      <c r="J1832" t="s">
        <v>6530</v>
      </c>
      <c r="K1832" t="s">
        <v>6842</v>
      </c>
    </row>
    <row r="1833" spans="1:11" x14ac:dyDescent="0.25">
      <c r="A1833" s="122">
        <v>1832</v>
      </c>
      <c r="B1833" t="s">
        <v>636</v>
      </c>
      <c r="C1833" s="122" t="s">
        <v>184</v>
      </c>
      <c r="D1833" t="s">
        <v>10504</v>
      </c>
      <c r="E1833" t="s">
        <v>10812</v>
      </c>
      <c r="F1833" t="s">
        <v>10813</v>
      </c>
      <c r="G1833" t="s">
        <v>8071</v>
      </c>
      <c r="H1833" t="s">
        <v>10814</v>
      </c>
      <c r="I1833" s="80" t="s">
        <v>10815</v>
      </c>
      <c r="J1833" t="s">
        <v>10590</v>
      </c>
      <c r="K1833" t="s">
        <v>10816</v>
      </c>
    </row>
    <row r="1834" spans="1:11" x14ac:dyDescent="0.25">
      <c r="A1834" s="122">
        <v>1833</v>
      </c>
      <c r="B1834" t="s">
        <v>636</v>
      </c>
      <c r="C1834" s="122" t="s">
        <v>187</v>
      </c>
      <c r="D1834" t="s">
        <v>10817</v>
      </c>
      <c r="E1834" t="s">
        <v>10818</v>
      </c>
      <c r="F1834" t="s">
        <v>10819</v>
      </c>
      <c r="G1834" t="s">
        <v>8269</v>
      </c>
      <c r="H1834" t="s">
        <v>10820</v>
      </c>
      <c r="I1834" s="80" t="s">
        <v>10821</v>
      </c>
      <c r="J1834" t="s">
        <v>9265</v>
      </c>
      <c r="K1834" t="s">
        <v>10822</v>
      </c>
    </row>
    <row r="1835" spans="1:11" x14ac:dyDescent="0.25">
      <c r="A1835" s="122">
        <v>1834</v>
      </c>
      <c r="B1835" t="s">
        <v>636</v>
      </c>
      <c r="C1835" s="122" t="s">
        <v>189</v>
      </c>
      <c r="D1835" t="s">
        <v>10823</v>
      </c>
      <c r="E1835" t="s">
        <v>10824</v>
      </c>
      <c r="F1835" t="s">
        <v>10825</v>
      </c>
      <c r="G1835" t="s">
        <v>8071</v>
      </c>
      <c r="H1835" t="s">
        <v>10826</v>
      </c>
      <c r="I1835" s="80" t="s">
        <v>10827</v>
      </c>
      <c r="J1835" t="s">
        <v>9300</v>
      </c>
      <c r="K1835" t="s">
        <v>10828</v>
      </c>
    </row>
    <row r="1836" spans="1:11" x14ac:dyDescent="0.25">
      <c r="A1836" s="122">
        <v>1835</v>
      </c>
      <c r="B1836" t="s">
        <v>637</v>
      </c>
      <c r="C1836" s="122" t="s">
        <v>162</v>
      </c>
      <c r="D1836" t="s">
        <v>7770</v>
      </c>
      <c r="E1836" t="s">
        <v>10829</v>
      </c>
      <c r="F1836" t="s">
        <v>10830</v>
      </c>
      <c r="G1836" t="s">
        <v>9363</v>
      </c>
      <c r="H1836" t="s">
        <v>5858</v>
      </c>
      <c r="I1836" t="s">
        <v>5467</v>
      </c>
      <c r="J1836" t="s">
        <v>9602</v>
      </c>
      <c r="K1836" t="s">
        <v>8217</v>
      </c>
    </row>
    <row r="1837" spans="1:11" x14ac:dyDescent="0.25">
      <c r="A1837" s="122">
        <v>1836</v>
      </c>
      <c r="B1837" t="s">
        <v>637</v>
      </c>
      <c r="C1837" s="122" t="s">
        <v>170</v>
      </c>
      <c r="D1837" t="s">
        <v>10012</v>
      </c>
      <c r="E1837" s="80" t="s">
        <v>10831</v>
      </c>
      <c r="F1837" t="s">
        <v>10832</v>
      </c>
      <c r="G1837" t="s">
        <v>8071</v>
      </c>
      <c r="H1837" t="s">
        <v>10833</v>
      </c>
      <c r="I1837" s="80" t="s">
        <v>10834</v>
      </c>
      <c r="J1837" t="s">
        <v>9382</v>
      </c>
      <c r="K1837" t="s">
        <v>10835</v>
      </c>
    </row>
    <row r="1838" spans="1:11" x14ac:dyDescent="0.25">
      <c r="A1838" s="122">
        <v>1837</v>
      </c>
      <c r="B1838" t="s">
        <v>637</v>
      </c>
      <c r="C1838" s="122" t="s">
        <v>178</v>
      </c>
      <c r="D1838" t="s">
        <v>10550</v>
      </c>
      <c r="E1838" s="80" t="s">
        <v>10836</v>
      </c>
      <c r="F1838" t="s">
        <v>10837</v>
      </c>
      <c r="G1838" t="s">
        <v>8096</v>
      </c>
      <c r="H1838" t="s">
        <v>10788</v>
      </c>
      <c r="I1838" s="80" t="s">
        <v>10838</v>
      </c>
      <c r="J1838" t="s">
        <v>9300</v>
      </c>
      <c r="K1838" t="s">
        <v>10839</v>
      </c>
    </row>
    <row r="1839" spans="1:11" x14ac:dyDescent="0.25">
      <c r="A1839" s="122">
        <v>1838</v>
      </c>
      <c r="B1839" t="s">
        <v>637</v>
      </c>
      <c r="C1839" s="122" t="s">
        <v>163</v>
      </c>
      <c r="D1839" t="s">
        <v>4982</v>
      </c>
      <c r="E1839" s="80" t="s">
        <v>10840</v>
      </c>
      <c r="F1839" t="s">
        <v>10841</v>
      </c>
      <c r="G1839" t="s">
        <v>8269</v>
      </c>
      <c r="H1839" t="s">
        <v>10842</v>
      </c>
      <c r="I1839" s="80" t="s">
        <v>10843</v>
      </c>
      <c r="J1839" t="s">
        <v>9382</v>
      </c>
      <c r="K1839" t="s">
        <v>10844</v>
      </c>
    </row>
    <row r="1840" spans="1:11" x14ac:dyDescent="0.25">
      <c r="A1840" s="122">
        <v>1839</v>
      </c>
      <c r="B1840" t="s">
        <v>637</v>
      </c>
      <c r="C1840" s="122" t="s">
        <v>181</v>
      </c>
      <c r="D1840" t="s">
        <v>10657</v>
      </c>
      <c r="E1840" s="80" t="s">
        <v>10845</v>
      </c>
      <c r="F1840" t="s">
        <v>5796</v>
      </c>
      <c r="G1840" t="s">
        <v>8096</v>
      </c>
      <c r="H1840" t="s">
        <v>6760</v>
      </c>
      <c r="I1840" t="s">
        <v>10846</v>
      </c>
      <c r="J1840" t="s">
        <v>9941</v>
      </c>
      <c r="K1840" t="s">
        <v>10401</v>
      </c>
    </row>
    <row r="1841" spans="1:11" x14ac:dyDescent="0.25">
      <c r="A1841" s="122">
        <v>1840</v>
      </c>
      <c r="B1841" t="s">
        <v>637</v>
      </c>
      <c r="C1841" s="122" t="s">
        <v>183</v>
      </c>
      <c r="D1841" t="s">
        <v>10847</v>
      </c>
      <c r="E1841" s="80" t="s">
        <v>10848</v>
      </c>
      <c r="F1841" t="s">
        <v>10849</v>
      </c>
      <c r="G1841" t="s">
        <v>8332</v>
      </c>
      <c r="H1841" t="s">
        <v>10850</v>
      </c>
      <c r="I1841" s="80" t="s">
        <v>10851</v>
      </c>
      <c r="J1841" t="s">
        <v>9588</v>
      </c>
      <c r="K1841" t="s">
        <v>10852</v>
      </c>
    </row>
    <row r="1842" spans="1:11" x14ac:dyDescent="0.25">
      <c r="A1842" s="122">
        <v>1841</v>
      </c>
      <c r="B1842" t="s">
        <v>637</v>
      </c>
      <c r="C1842" s="122" t="s">
        <v>186</v>
      </c>
      <c r="D1842" t="s">
        <v>10492</v>
      </c>
      <c r="E1842" s="111" t="s">
        <v>10853</v>
      </c>
      <c r="F1842" s="80" t="s">
        <v>10854</v>
      </c>
      <c r="G1842" t="s">
        <v>7998</v>
      </c>
      <c r="H1842" t="s">
        <v>10855</v>
      </c>
      <c r="I1842" s="80" t="s">
        <v>10856</v>
      </c>
      <c r="J1842" t="s">
        <v>9527</v>
      </c>
      <c r="K1842" t="s">
        <v>10857</v>
      </c>
    </row>
    <row r="1843" spans="1:11" x14ac:dyDescent="0.25">
      <c r="A1843" s="122">
        <v>1842</v>
      </c>
      <c r="B1843" t="s">
        <v>637</v>
      </c>
      <c r="C1843" s="122" t="s">
        <v>188</v>
      </c>
      <c r="D1843" t="s">
        <v>10858</v>
      </c>
      <c r="E1843" s="111" t="s">
        <v>10859</v>
      </c>
      <c r="F1843" t="s">
        <v>10860</v>
      </c>
      <c r="G1843" t="s">
        <v>7443</v>
      </c>
      <c r="H1843" t="s">
        <v>10861</v>
      </c>
      <c r="I1843" s="80" t="s">
        <v>10862</v>
      </c>
      <c r="J1843" t="s">
        <v>9505</v>
      </c>
      <c r="K1843" t="s">
        <v>10863</v>
      </c>
    </row>
    <row r="1844" spans="1:11" x14ac:dyDescent="0.25">
      <c r="A1844" s="122">
        <v>1843</v>
      </c>
      <c r="B1844" t="s">
        <v>637</v>
      </c>
      <c r="C1844" s="122" t="s">
        <v>182</v>
      </c>
      <c r="D1844" t="s">
        <v>583</v>
      </c>
      <c r="E1844" t="s">
        <v>10864</v>
      </c>
      <c r="F1844" t="s">
        <v>9726</v>
      </c>
      <c r="G1844" t="s">
        <v>583</v>
      </c>
      <c r="H1844" t="s">
        <v>10865</v>
      </c>
      <c r="I1844" s="80" t="s">
        <v>10866</v>
      </c>
      <c r="J1844" s="80" t="s">
        <v>3201</v>
      </c>
      <c r="K1844" t="s">
        <v>10867</v>
      </c>
    </row>
    <row r="1845" spans="1:11" x14ac:dyDescent="0.25">
      <c r="A1845" s="122">
        <v>1844</v>
      </c>
      <c r="B1845" t="s">
        <v>637</v>
      </c>
      <c r="C1845" s="122" t="s">
        <v>184</v>
      </c>
      <c r="D1845" t="s">
        <v>10260</v>
      </c>
      <c r="E1845" t="s">
        <v>10868</v>
      </c>
      <c r="F1845" t="s">
        <v>10869</v>
      </c>
      <c r="G1845" t="s">
        <v>8269</v>
      </c>
      <c r="H1845" t="s">
        <v>10870</v>
      </c>
      <c r="I1845" s="80" t="s">
        <v>10871</v>
      </c>
      <c r="J1845" t="s">
        <v>9300</v>
      </c>
      <c r="K1845" t="s">
        <v>10872</v>
      </c>
    </row>
    <row r="1846" spans="1:11" x14ac:dyDescent="0.25">
      <c r="A1846" s="122">
        <v>1845</v>
      </c>
      <c r="B1846" t="s">
        <v>637</v>
      </c>
      <c r="C1846" s="122" t="s">
        <v>187</v>
      </c>
      <c r="D1846" t="s">
        <v>10873</v>
      </c>
      <c r="E1846" t="s">
        <v>10874</v>
      </c>
      <c r="F1846" t="s">
        <v>10875</v>
      </c>
      <c r="G1846" t="s">
        <v>9502</v>
      </c>
      <c r="H1846" s="80" t="s">
        <v>10876</v>
      </c>
      <c r="I1846" s="80" t="s">
        <v>10877</v>
      </c>
      <c r="J1846" t="s">
        <v>9213</v>
      </c>
      <c r="K1846" s="80" t="s">
        <v>10878</v>
      </c>
    </row>
    <row r="1847" spans="1:11" x14ac:dyDescent="0.25">
      <c r="A1847" s="122">
        <v>1846</v>
      </c>
      <c r="B1847" t="s">
        <v>637</v>
      </c>
      <c r="C1847" s="122" t="s">
        <v>189</v>
      </c>
      <c r="D1847" t="s">
        <v>10539</v>
      </c>
      <c r="E1847" t="s">
        <v>10879</v>
      </c>
      <c r="F1847" t="s">
        <v>10880</v>
      </c>
      <c r="G1847" t="s">
        <v>8269</v>
      </c>
      <c r="H1847" t="s">
        <v>10881</v>
      </c>
      <c r="I1847" s="80" t="s">
        <v>10882</v>
      </c>
      <c r="J1847" t="s">
        <v>9239</v>
      </c>
      <c r="K1847" t="s">
        <v>10883</v>
      </c>
    </row>
    <row r="1848" spans="1:11" x14ac:dyDescent="0.25">
      <c r="A1848" s="122">
        <v>1847</v>
      </c>
      <c r="B1848">
        <v>1083</v>
      </c>
      <c r="C1848" s="122" t="s">
        <v>162</v>
      </c>
      <c r="D1848" t="s">
        <v>1571</v>
      </c>
      <c r="E1848" t="s">
        <v>10884</v>
      </c>
      <c r="F1848" t="s">
        <v>7097</v>
      </c>
      <c r="G1848" t="s">
        <v>9233</v>
      </c>
      <c r="H1848" t="s">
        <v>5465</v>
      </c>
      <c r="I1848" t="s">
        <v>10885</v>
      </c>
      <c r="J1848" t="s">
        <v>10681</v>
      </c>
      <c r="K1848" t="s">
        <v>10886</v>
      </c>
    </row>
    <row r="1849" spans="1:11" x14ac:dyDescent="0.25">
      <c r="A1849" s="122">
        <v>1848</v>
      </c>
      <c r="B1849">
        <v>1083</v>
      </c>
      <c r="C1849" s="122" t="s">
        <v>170</v>
      </c>
      <c r="D1849" t="s">
        <v>4982</v>
      </c>
      <c r="E1849" t="s">
        <v>9319</v>
      </c>
      <c r="F1849" t="s">
        <v>2135</v>
      </c>
      <c r="G1849" t="s">
        <v>7443</v>
      </c>
      <c r="H1849" t="s">
        <v>10887</v>
      </c>
      <c r="I1849" s="80" t="s">
        <v>10888</v>
      </c>
      <c r="J1849" t="s">
        <v>9265</v>
      </c>
      <c r="K1849" t="s">
        <v>10889</v>
      </c>
    </row>
    <row r="1850" spans="1:11" x14ac:dyDescent="0.25">
      <c r="A1850" s="122">
        <v>1849</v>
      </c>
      <c r="B1850">
        <v>1083</v>
      </c>
      <c r="C1850" s="122" t="s">
        <v>178</v>
      </c>
      <c r="D1850" t="s">
        <v>10550</v>
      </c>
      <c r="E1850" t="s">
        <v>10890</v>
      </c>
      <c r="F1850" t="s">
        <v>10891</v>
      </c>
      <c r="G1850" t="s">
        <v>8332</v>
      </c>
      <c r="H1850" s="80" t="s">
        <v>10892</v>
      </c>
      <c r="I1850" s="80" t="s">
        <v>10893</v>
      </c>
      <c r="J1850" t="s">
        <v>9273</v>
      </c>
      <c r="K1850" s="80" t="s">
        <v>10894</v>
      </c>
    </row>
    <row r="1851" spans="1:11" x14ac:dyDescent="0.25">
      <c r="A1851" s="122">
        <v>1850</v>
      </c>
      <c r="B1851">
        <v>1083</v>
      </c>
      <c r="C1851" s="122" t="s">
        <v>163</v>
      </c>
      <c r="D1851" t="s">
        <v>10895</v>
      </c>
      <c r="E1851" t="s">
        <v>10896</v>
      </c>
      <c r="F1851" t="s">
        <v>10897</v>
      </c>
      <c r="G1851" t="s">
        <v>8047</v>
      </c>
      <c r="H1851" t="s">
        <v>10898</v>
      </c>
      <c r="I1851" s="80" t="s">
        <v>10899</v>
      </c>
      <c r="J1851" t="s">
        <v>9203</v>
      </c>
      <c r="K1851" s="111" t="s">
        <v>939</v>
      </c>
    </row>
    <row r="1852" spans="1:11" x14ac:dyDescent="0.25">
      <c r="A1852" s="122">
        <v>1851</v>
      </c>
      <c r="B1852">
        <v>1083</v>
      </c>
      <c r="C1852" s="122" t="s">
        <v>181</v>
      </c>
      <c r="D1852" t="s">
        <v>10900</v>
      </c>
      <c r="E1852" t="s">
        <v>10901</v>
      </c>
      <c r="F1852" t="s">
        <v>6298</v>
      </c>
      <c r="G1852" t="s">
        <v>4437</v>
      </c>
      <c r="H1852" t="s">
        <v>10902</v>
      </c>
      <c r="I1852" t="s">
        <v>10903</v>
      </c>
      <c r="J1852" t="s">
        <v>10590</v>
      </c>
      <c r="K1852" t="s">
        <v>10904</v>
      </c>
    </row>
    <row r="1853" spans="1:11" x14ac:dyDescent="0.25">
      <c r="A1853" s="122">
        <v>1852</v>
      </c>
      <c r="B1853">
        <v>1083</v>
      </c>
      <c r="C1853" s="122" t="s">
        <v>183</v>
      </c>
      <c r="D1853" t="s">
        <v>10528</v>
      </c>
      <c r="E1853" t="s">
        <v>10905</v>
      </c>
      <c r="F1853" t="s">
        <v>10906</v>
      </c>
      <c r="G1853" t="s">
        <v>8269</v>
      </c>
      <c r="H1853" t="s">
        <v>10907</v>
      </c>
      <c r="I1853" s="80" t="s">
        <v>10908</v>
      </c>
      <c r="J1853" t="s">
        <v>9655</v>
      </c>
      <c r="K1853" t="s">
        <v>10909</v>
      </c>
    </row>
    <row r="1854" spans="1:11" x14ac:dyDescent="0.25">
      <c r="A1854" s="122">
        <v>1853</v>
      </c>
      <c r="B1854">
        <v>1083</v>
      </c>
      <c r="C1854" s="122" t="s">
        <v>186</v>
      </c>
      <c r="D1854" t="s">
        <v>10900</v>
      </c>
      <c r="E1854" t="s">
        <v>10910</v>
      </c>
      <c r="F1854" t="s">
        <v>10911</v>
      </c>
      <c r="G1854" t="s">
        <v>10912</v>
      </c>
      <c r="H1854" t="s">
        <v>10913</v>
      </c>
      <c r="I1854" s="80" t="s">
        <v>10914</v>
      </c>
      <c r="J1854" t="s">
        <v>9569</v>
      </c>
      <c r="K1854" t="s">
        <v>10915</v>
      </c>
    </row>
    <row r="1855" spans="1:11" x14ac:dyDescent="0.25">
      <c r="A1855" s="122">
        <v>1854</v>
      </c>
      <c r="B1855">
        <v>1083</v>
      </c>
      <c r="C1855" s="122" t="s">
        <v>188</v>
      </c>
      <c r="D1855" t="s">
        <v>10528</v>
      </c>
      <c r="E1855" t="s">
        <v>10916</v>
      </c>
      <c r="F1855" t="s">
        <v>10917</v>
      </c>
      <c r="G1855" t="s">
        <v>10918</v>
      </c>
      <c r="H1855" t="s">
        <v>10919</v>
      </c>
      <c r="I1855" t="s">
        <v>10920</v>
      </c>
      <c r="J1855" t="s">
        <v>9300</v>
      </c>
      <c r="K1855" s="80" t="s">
        <v>10921</v>
      </c>
    </row>
    <row r="1856" spans="1:11" x14ac:dyDescent="0.25">
      <c r="A1856" s="122">
        <v>1855</v>
      </c>
      <c r="B1856">
        <v>1083</v>
      </c>
      <c r="C1856" s="122" t="s">
        <v>182</v>
      </c>
      <c r="D1856" t="s">
        <v>583</v>
      </c>
      <c r="E1856" t="s">
        <v>10922</v>
      </c>
      <c r="F1856" t="s">
        <v>6842</v>
      </c>
      <c r="G1856" t="s">
        <v>583</v>
      </c>
      <c r="H1856" t="s">
        <v>5465</v>
      </c>
      <c r="I1856">
        <v>6</v>
      </c>
      <c r="J1856" s="80" t="s">
        <v>3201</v>
      </c>
      <c r="K1856" t="s">
        <v>9747</v>
      </c>
    </row>
    <row r="1857" spans="1:11" x14ac:dyDescent="0.25">
      <c r="A1857" s="122">
        <v>1856</v>
      </c>
      <c r="B1857">
        <v>1083</v>
      </c>
      <c r="C1857" s="122" t="s">
        <v>184</v>
      </c>
      <c r="D1857" t="s">
        <v>10900</v>
      </c>
      <c r="E1857" t="s">
        <v>10923</v>
      </c>
      <c r="F1857" t="s">
        <v>10924</v>
      </c>
      <c r="G1857" t="s">
        <v>10049</v>
      </c>
      <c r="H1857" t="s">
        <v>10925</v>
      </c>
      <c r="I1857" s="80" t="s">
        <v>10926</v>
      </c>
      <c r="J1857" t="s">
        <v>10927</v>
      </c>
      <c r="K1857" t="s">
        <v>10928</v>
      </c>
    </row>
    <row r="1858" spans="1:11" x14ac:dyDescent="0.25">
      <c r="A1858" s="122">
        <v>1857</v>
      </c>
      <c r="B1858">
        <v>1083</v>
      </c>
      <c r="C1858" s="122" t="s">
        <v>187</v>
      </c>
      <c r="D1858" t="s">
        <v>10657</v>
      </c>
      <c r="E1858" t="s">
        <v>10929</v>
      </c>
      <c r="F1858" t="s">
        <v>10930</v>
      </c>
      <c r="G1858" t="s">
        <v>10049</v>
      </c>
      <c r="H1858" s="80" t="s">
        <v>10931</v>
      </c>
      <c r="I1858" s="80" t="s">
        <v>10932</v>
      </c>
      <c r="J1858" t="s">
        <v>9382</v>
      </c>
      <c r="K1858" t="s">
        <v>10933</v>
      </c>
    </row>
    <row r="1859" spans="1:11" x14ac:dyDescent="0.25">
      <c r="A1859" s="122">
        <v>1858</v>
      </c>
      <c r="B1859">
        <v>1083</v>
      </c>
      <c r="C1859" s="122" t="s">
        <v>189</v>
      </c>
      <c r="D1859" t="s">
        <v>10934</v>
      </c>
      <c r="E1859" t="s">
        <v>10935</v>
      </c>
      <c r="F1859" t="s">
        <v>10936</v>
      </c>
      <c r="G1859" t="s">
        <v>10912</v>
      </c>
      <c r="H1859" s="80" t="s">
        <v>10937</v>
      </c>
      <c r="I1859" s="80" t="s">
        <v>10938</v>
      </c>
      <c r="J1859" t="s">
        <v>10590</v>
      </c>
      <c r="K1859" t="s">
        <v>2193</v>
      </c>
    </row>
    <row r="1860" spans="1:11" x14ac:dyDescent="0.25">
      <c r="A1860" s="122">
        <v>1859</v>
      </c>
      <c r="B1860">
        <v>1081</v>
      </c>
      <c r="C1860" s="122" t="s">
        <v>182</v>
      </c>
      <c r="D1860" t="s">
        <v>583</v>
      </c>
      <c r="E1860" t="s">
        <v>10939</v>
      </c>
      <c r="F1860" t="s">
        <v>583</v>
      </c>
      <c r="G1860" t="s">
        <v>5224</v>
      </c>
      <c r="H1860" t="s">
        <v>583</v>
      </c>
      <c r="I1860" t="s">
        <v>6530</v>
      </c>
      <c r="J1860" t="s">
        <v>583</v>
      </c>
      <c r="K1860" t="s">
        <v>9747</v>
      </c>
    </row>
    <row r="1861" spans="1:11" x14ac:dyDescent="0.25">
      <c r="A1861" s="122">
        <v>1860</v>
      </c>
      <c r="B1861">
        <v>1081</v>
      </c>
      <c r="C1861" s="122" t="s">
        <v>184</v>
      </c>
      <c r="D1861" t="s">
        <v>10747</v>
      </c>
      <c r="E1861" t="s">
        <v>10940</v>
      </c>
      <c r="F1861" t="s">
        <v>5795</v>
      </c>
      <c r="G1861" t="s">
        <v>10941</v>
      </c>
      <c r="H1861" t="s">
        <v>5597</v>
      </c>
      <c r="I1861" t="s">
        <v>10942</v>
      </c>
      <c r="J1861" t="s">
        <v>8367</v>
      </c>
      <c r="K1861" t="s">
        <v>7497</v>
      </c>
    </row>
    <row r="1862" spans="1:11" x14ac:dyDescent="0.25">
      <c r="A1862" s="122">
        <v>1861</v>
      </c>
      <c r="B1862">
        <v>1081</v>
      </c>
      <c r="C1862" s="122" t="s">
        <v>187</v>
      </c>
      <c r="D1862" t="s">
        <v>1571</v>
      </c>
      <c r="E1862" t="s">
        <v>10943</v>
      </c>
      <c r="F1862" t="s">
        <v>10400</v>
      </c>
      <c r="G1862" t="s">
        <v>10912</v>
      </c>
      <c r="H1862" t="s">
        <v>9640</v>
      </c>
      <c r="I1862" s="80" t="s">
        <v>10944</v>
      </c>
      <c r="J1862" t="s">
        <v>9621</v>
      </c>
      <c r="K1862" t="s">
        <v>10945</v>
      </c>
    </row>
    <row r="1863" spans="1:11" x14ac:dyDescent="0.25">
      <c r="A1863" s="122">
        <v>1862</v>
      </c>
      <c r="B1863">
        <v>1081</v>
      </c>
      <c r="C1863" s="122" t="s">
        <v>189</v>
      </c>
      <c r="D1863" t="s">
        <v>6645</v>
      </c>
      <c r="E1863" t="s">
        <v>10946</v>
      </c>
      <c r="F1863" t="s">
        <v>10947</v>
      </c>
      <c r="G1863" t="s">
        <v>9475</v>
      </c>
      <c r="H1863" t="s">
        <v>10948</v>
      </c>
      <c r="I1863" t="s">
        <v>10949</v>
      </c>
      <c r="J1863" t="s">
        <v>9602</v>
      </c>
      <c r="K1863" t="s">
        <v>10950</v>
      </c>
    </row>
    <row r="1864" spans="1:11" x14ac:dyDescent="0.25">
      <c r="A1864" s="122">
        <v>1863</v>
      </c>
      <c r="B1864">
        <v>1082</v>
      </c>
      <c r="C1864" s="122" t="s">
        <v>162</v>
      </c>
      <c r="D1864" t="s">
        <v>10012</v>
      </c>
      <c r="E1864" t="s">
        <v>10951</v>
      </c>
      <c r="F1864" t="s">
        <v>9325</v>
      </c>
      <c r="G1864" t="s">
        <v>10918</v>
      </c>
      <c r="H1864" t="s">
        <v>10952</v>
      </c>
      <c r="I1864" s="80" t="s">
        <v>10953</v>
      </c>
      <c r="J1864" t="s">
        <v>9300</v>
      </c>
      <c r="K1864" t="s">
        <v>10954</v>
      </c>
    </row>
    <row r="1865" spans="1:11" x14ac:dyDescent="0.25">
      <c r="A1865" s="122">
        <v>1864</v>
      </c>
      <c r="B1865">
        <v>1082</v>
      </c>
      <c r="C1865" s="122" t="s">
        <v>170</v>
      </c>
      <c r="D1865" t="s">
        <v>10955</v>
      </c>
      <c r="E1865" s="80">
        <v>27821</v>
      </c>
      <c r="F1865" t="s">
        <v>10956</v>
      </c>
      <c r="G1865" t="s">
        <v>10957</v>
      </c>
      <c r="H1865" t="s">
        <v>10958</v>
      </c>
      <c r="I1865" s="80" t="s">
        <v>10959</v>
      </c>
      <c r="J1865" t="s">
        <v>9330</v>
      </c>
      <c r="K1865" t="s">
        <v>10960</v>
      </c>
    </row>
    <row r="1866" spans="1:11" x14ac:dyDescent="0.25">
      <c r="A1866" s="122">
        <v>1865</v>
      </c>
      <c r="B1866">
        <v>1082</v>
      </c>
      <c r="C1866" s="122" t="s">
        <v>178</v>
      </c>
      <c r="D1866" t="s">
        <v>5267</v>
      </c>
      <c r="E1866" s="80" t="s">
        <v>10961</v>
      </c>
      <c r="F1866" s="80">
        <v>5051</v>
      </c>
      <c r="G1866" t="s">
        <v>10962</v>
      </c>
      <c r="H1866" s="80" t="s">
        <v>10963</v>
      </c>
      <c r="I1866" s="80" t="s">
        <v>10964</v>
      </c>
      <c r="J1866" t="s">
        <v>9273</v>
      </c>
      <c r="K1866" t="s">
        <v>10965</v>
      </c>
    </row>
    <row r="1867" spans="1:11" x14ac:dyDescent="0.25">
      <c r="A1867" s="122">
        <v>1866</v>
      </c>
      <c r="B1867">
        <v>1082</v>
      </c>
      <c r="C1867" s="122" t="s">
        <v>163</v>
      </c>
      <c r="D1867" t="s">
        <v>10966</v>
      </c>
      <c r="E1867" s="80" t="s">
        <v>10967</v>
      </c>
      <c r="F1867" s="80" t="s">
        <v>10968</v>
      </c>
      <c r="G1867" t="s">
        <v>9717</v>
      </c>
      <c r="H1867" t="s">
        <v>10969</v>
      </c>
      <c r="I1867" s="80" t="s">
        <v>10970</v>
      </c>
      <c r="J1867" t="s">
        <v>9527</v>
      </c>
      <c r="K1867" s="80" t="s">
        <v>10971</v>
      </c>
    </row>
    <row r="1868" spans="1:11" x14ac:dyDescent="0.25">
      <c r="A1868" s="122">
        <v>1867</v>
      </c>
      <c r="B1868">
        <v>1082</v>
      </c>
      <c r="C1868" s="122" t="s">
        <v>181</v>
      </c>
      <c r="D1868" t="s">
        <v>10260</v>
      </c>
      <c r="E1868" s="80" t="s">
        <v>10972</v>
      </c>
      <c r="F1868" t="s">
        <v>3169</v>
      </c>
      <c r="G1868" t="s">
        <v>9878</v>
      </c>
      <c r="H1868" t="s">
        <v>10973</v>
      </c>
      <c r="I1868" s="80" t="s">
        <v>10974</v>
      </c>
      <c r="J1868" t="s">
        <v>6627</v>
      </c>
      <c r="K1868" t="s">
        <v>10975</v>
      </c>
    </row>
    <row r="1869" spans="1:11" x14ac:dyDescent="0.25">
      <c r="A1869" s="122">
        <v>1868</v>
      </c>
      <c r="B1869">
        <v>1082</v>
      </c>
      <c r="C1869" s="122" t="s">
        <v>183</v>
      </c>
      <c r="D1869" t="s">
        <v>10895</v>
      </c>
      <c r="E1869" s="80" t="s">
        <v>10976</v>
      </c>
      <c r="F1869" t="s">
        <v>10977</v>
      </c>
      <c r="G1869" t="s">
        <v>10978</v>
      </c>
      <c r="H1869" t="s">
        <v>10979</v>
      </c>
      <c r="I1869" s="80" t="s">
        <v>10980</v>
      </c>
      <c r="J1869" t="s">
        <v>9337</v>
      </c>
      <c r="K1869" s="80" t="s">
        <v>10981</v>
      </c>
    </row>
    <row r="1870" spans="1:11" x14ac:dyDescent="0.25">
      <c r="A1870" s="122">
        <v>1869</v>
      </c>
      <c r="B1870">
        <v>1082</v>
      </c>
      <c r="C1870" s="122" t="s">
        <v>186</v>
      </c>
      <c r="D1870" t="s">
        <v>5772</v>
      </c>
      <c r="E1870" s="80" t="s">
        <v>10982</v>
      </c>
      <c r="F1870" t="s">
        <v>10983</v>
      </c>
      <c r="G1870">
        <v>173</v>
      </c>
      <c r="H1870" s="80" t="s">
        <v>10984</v>
      </c>
      <c r="I1870" s="80" t="s">
        <v>10985</v>
      </c>
      <c r="J1870" t="s">
        <v>9466</v>
      </c>
      <c r="K1870" s="111" t="s">
        <v>941</v>
      </c>
    </row>
    <row r="1871" spans="1:11" x14ac:dyDescent="0.25">
      <c r="A1871" s="122">
        <v>1870</v>
      </c>
      <c r="B1871">
        <v>1082</v>
      </c>
      <c r="C1871" s="122" t="s">
        <v>188</v>
      </c>
      <c r="D1871" t="s">
        <v>5772</v>
      </c>
      <c r="E1871" s="80" t="s">
        <v>10986</v>
      </c>
      <c r="F1871" s="80" t="s">
        <v>10987</v>
      </c>
      <c r="G1871" t="s">
        <v>9737</v>
      </c>
      <c r="H1871" s="80" t="s">
        <v>10988</v>
      </c>
      <c r="I1871" s="80" t="s">
        <v>10989</v>
      </c>
      <c r="J1871" t="s">
        <v>9556</v>
      </c>
      <c r="K1871" s="111" t="s">
        <v>943</v>
      </c>
    </row>
    <row r="1872" spans="1:11" x14ac:dyDescent="0.25">
      <c r="A1872" s="122">
        <v>1871</v>
      </c>
      <c r="B1872">
        <v>1082</v>
      </c>
      <c r="C1872" s="122" t="s">
        <v>182</v>
      </c>
      <c r="D1872" t="s">
        <v>583</v>
      </c>
      <c r="E1872" t="s">
        <v>10990</v>
      </c>
      <c r="F1872" t="s">
        <v>583</v>
      </c>
      <c r="G1872" t="s">
        <v>583</v>
      </c>
      <c r="H1872" t="s">
        <v>583</v>
      </c>
      <c r="I1872" t="s">
        <v>6298</v>
      </c>
      <c r="J1872" s="80" t="s">
        <v>3201</v>
      </c>
      <c r="K1872" t="s">
        <v>583</v>
      </c>
    </row>
    <row r="1873" spans="1:11" x14ac:dyDescent="0.25">
      <c r="A1873" s="122">
        <v>1872</v>
      </c>
      <c r="B1873">
        <v>1082</v>
      </c>
      <c r="C1873" s="122" t="s">
        <v>184</v>
      </c>
      <c r="D1873" t="s">
        <v>10711</v>
      </c>
      <c r="E1873" t="s">
        <v>10991</v>
      </c>
      <c r="F1873" t="s">
        <v>10992</v>
      </c>
      <c r="G1873" t="s">
        <v>10941</v>
      </c>
      <c r="H1873" t="s">
        <v>10993</v>
      </c>
      <c r="I1873" s="80" t="s">
        <v>10994</v>
      </c>
      <c r="J1873" t="s">
        <v>5861</v>
      </c>
      <c r="K1873" t="s">
        <v>10995</v>
      </c>
    </row>
    <row r="1874" spans="1:11" x14ac:dyDescent="0.25">
      <c r="A1874" s="122">
        <v>1873</v>
      </c>
      <c r="B1874">
        <v>1082</v>
      </c>
      <c r="C1874" s="122" t="s">
        <v>187</v>
      </c>
      <c r="D1874" t="s">
        <v>10012</v>
      </c>
      <c r="E1874" t="s">
        <v>10996</v>
      </c>
      <c r="F1874" t="s">
        <v>10997</v>
      </c>
      <c r="G1874" t="s">
        <v>3913</v>
      </c>
      <c r="H1874" t="s">
        <v>10998</v>
      </c>
      <c r="I1874" s="80" t="s">
        <v>10999</v>
      </c>
      <c r="J1874" t="s">
        <v>9300</v>
      </c>
      <c r="K1874" t="s">
        <v>11000</v>
      </c>
    </row>
    <row r="1875" spans="1:11" x14ac:dyDescent="0.25">
      <c r="A1875" s="122">
        <v>1874</v>
      </c>
      <c r="B1875">
        <v>1082</v>
      </c>
      <c r="C1875" s="122" t="s">
        <v>189</v>
      </c>
      <c r="D1875" t="s">
        <v>10528</v>
      </c>
      <c r="E1875" t="s">
        <v>11001</v>
      </c>
      <c r="F1875" t="s">
        <v>11002</v>
      </c>
      <c r="G1875" t="s">
        <v>9664</v>
      </c>
      <c r="H1875" t="s">
        <v>11003</v>
      </c>
      <c r="I1875" s="80" t="s">
        <v>11004</v>
      </c>
      <c r="J1875" t="s">
        <v>9265</v>
      </c>
      <c r="K1875" t="s">
        <v>11005</v>
      </c>
    </row>
    <row r="1876" spans="1:11" x14ac:dyDescent="0.25">
      <c r="A1876" s="122">
        <v>1875</v>
      </c>
      <c r="B1876">
        <v>1078</v>
      </c>
      <c r="C1876" s="122" t="s">
        <v>182</v>
      </c>
      <c r="D1876" t="s">
        <v>583</v>
      </c>
      <c r="E1876" t="s">
        <v>11006</v>
      </c>
      <c r="F1876" t="s">
        <v>583</v>
      </c>
      <c r="G1876" t="s">
        <v>583</v>
      </c>
      <c r="H1876" t="s">
        <v>583</v>
      </c>
      <c r="I1876" t="s">
        <v>11007</v>
      </c>
      <c r="J1876" t="s">
        <v>583</v>
      </c>
      <c r="K1876" t="s">
        <v>5799</v>
      </c>
    </row>
    <row r="1877" spans="1:11" x14ac:dyDescent="0.25">
      <c r="A1877" s="122">
        <v>1876</v>
      </c>
      <c r="B1877">
        <v>1078</v>
      </c>
      <c r="C1877" s="122" t="s">
        <v>184</v>
      </c>
      <c r="D1877" t="s">
        <v>11008</v>
      </c>
      <c r="E1877" t="s">
        <v>11009</v>
      </c>
      <c r="F1877" t="s">
        <v>6298</v>
      </c>
      <c r="G1877" t="s">
        <v>9971</v>
      </c>
      <c r="H1877" t="s">
        <v>11010</v>
      </c>
      <c r="I1877" t="s">
        <v>11011</v>
      </c>
      <c r="J1877" t="s">
        <v>9602</v>
      </c>
      <c r="K1877" t="s">
        <v>11012</v>
      </c>
    </row>
    <row r="1878" spans="1:11" x14ac:dyDescent="0.25">
      <c r="A1878" s="122">
        <v>1877</v>
      </c>
      <c r="B1878">
        <v>1078</v>
      </c>
      <c r="C1878" s="122" t="s">
        <v>187</v>
      </c>
      <c r="D1878" t="s">
        <v>10747</v>
      </c>
      <c r="E1878" t="s">
        <v>11013</v>
      </c>
      <c r="F1878" t="s">
        <v>3765</v>
      </c>
      <c r="G1878" t="s">
        <v>9766</v>
      </c>
      <c r="H1878" t="s">
        <v>9505</v>
      </c>
      <c r="I1878" t="s">
        <v>11014</v>
      </c>
      <c r="J1878" t="s">
        <v>4779</v>
      </c>
      <c r="K1878" t="s">
        <v>11015</v>
      </c>
    </row>
    <row r="1879" spans="1:11" x14ac:dyDescent="0.25">
      <c r="A1879" s="122">
        <v>1878</v>
      </c>
      <c r="B1879">
        <v>1078</v>
      </c>
      <c r="C1879" s="122" t="s">
        <v>189</v>
      </c>
      <c r="D1879" t="s">
        <v>583</v>
      </c>
      <c r="E1879" t="s">
        <v>11016</v>
      </c>
      <c r="F1879" t="s">
        <v>5793</v>
      </c>
      <c r="G1879" s="80" t="s">
        <v>9145</v>
      </c>
      <c r="H1879" t="s">
        <v>11017</v>
      </c>
      <c r="I1879" t="s">
        <v>11018</v>
      </c>
      <c r="J1879" t="s">
        <v>9665</v>
      </c>
      <c r="K1879" t="s">
        <v>9758</v>
      </c>
    </row>
    <row r="1880" spans="1:11" x14ac:dyDescent="0.25">
      <c r="A1880" s="122">
        <v>1879</v>
      </c>
      <c r="B1880">
        <v>1079</v>
      </c>
      <c r="C1880" s="122" t="s">
        <v>162</v>
      </c>
      <c r="D1880" t="s">
        <v>11008</v>
      </c>
      <c r="E1880" t="s">
        <v>11019</v>
      </c>
      <c r="F1880" t="s">
        <v>2548</v>
      </c>
      <c r="G1880" t="s">
        <v>10941</v>
      </c>
      <c r="H1880" t="s">
        <v>583</v>
      </c>
      <c r="I1880" t="s">
        <v>2547</v>
      </c>
      <c r="J1880" t="s">
        <v>8367</v>
      </c>
      <c r="K1880" t="s">
        <v>8525</v>
      </c>
    </row>
    <row r="1881" spans="1:11" x14ac:dyDescent="0.25">
      <c r="A1881" s="122">
        <v>1880</v>
      </c>
      <c r="B1881">
        <v>1079</v>
      </c>
      <c r="C1881" s="122" t="s">
        <v>170</v>
      </c>
      <c r="D1881" t="s">
        <v>11020</v>
      </c>
      <c r="E1881" t="s">
        <v>11021</v>
      </c>
      <c r="F1881" t="s">
        <v>11022</v>
      </c>
      <c r="G1881" t="s">
        <v>3913</v>
      </c>
      <c r="H1881" t="s">
        <v>11023</v>
      </c>
      <c r="I1881" s="80" t="s">
        <v>11024</v>
      </c>
      <c r="J1881" t="s">
        <v>11025</v>
      </c>
      <c r="K1881" t="s">
        <v>11026</v>
      </c>
    </row>
    <row r="1882" spans="1:11" x14ac:dyDescent="0.25">
      <c r="A1882" s="122">
        <v>1881</v>
      </c>
      <c r="B1882">
        <v>1079</v>
      </c>
      <c r="C1882" s="122" t="s">
        <v>178</v>
      </c>
      <c r="D1882" t="s">
        <v>10528</v>
      </c>
      <c r="E1882" t="s">
        <v>11027</v>
      </c>
      <c r="F1882" t="s">
        <v>11028</v>
      </c>
      <c r="G1882" t="s">
        <v>3913</v>
      </c>
      <c r="H1882" t="s">
        <v>11029</v>
      </c>
      <c r="I1882" s="80" t="s">
        <v>11030</v>
      </c>
      <c r="J1882" t="s">
        <v>9382</v>
      </c>
      <c r="K1882" t="s">
        <v>11031</v>
      </c>
    </row>
    <row r="1883" spans="1:11" x14ac:dyDescent="0.25">
      <c r="A1883" s="122">
        <v>1882</v>
      </c>
      <c r="B1883">
        <v>1079</v>
      </c>
      <c r="C1883" s="122" t="s">
        <v>163</v>
      </c>
      <c r="D1883" t="s">
        <v>10545</v>
      </c>
      <c r="E1883" t="s">
        <v>11032</v>
      </c>
      <c r="F1883" t="s">
        <v>11033</v>
      </c>
      <c r="G1883" t="s">
        <v>9812</v>
      </c>
      <c r="H1883" t="s">
        <v>11034</v>
      </c>
      <c r="I1883" s="80" t="s">
        <v>11035</v>
      </c>
      <c r="J1883" t="s">
        <v>9575</v>
      </c>
      <c r="K1883" s="80" t="s">
        <v>11036</v>
      </c>
    </row>
    <row r="1884" spans="1:11" x14ac:dyDescent="0.25">
      <c r="A1884" s="122">
        <v>1883</v>
      </c>
      <c r="B1884">
        <v>1079</v>
      </c>
      <c r="C1884" s="122" t="s">
        <v>181</v>
      </c>
      <c r="D1884" t="s">
        <v>10260</v>
      </c>
      <c r="E1884" s="80" t="s">
        <v>11037</v>
      </c>
      <c r="F1884" t="s">
        <v>7375</v>
      </c>
      <c r="G1884" t="s">
        <v>10049</v>
      </c>
      <c r="H1884" t="s">
        <v>11038</v>
      </c>
      <c r="I1884" s="80" t="s">
        <v>11039</v>
      </c>
      <c r="J1884" t="s">
        <v>9382</v>
      </c>
      <c r="K1884" t="s">
        <v>2837</v>
      </c>
    </row>
    <row r="1885" spans="1:11" x14ac:dyDescent="0.25">
      <c r="A1885" s="122">
        <v>1884</v>
      </c>
      <c r="B1885">
        <v>1079</v>
      </c>
      <c r="C1885" s="122" t="s">
        <v>183</v>
      </c>
      <c r="D1885" t="s">
        <v>10895</v>
      </c>
      <c r="E1885" s="80" t="s">
        <v>11040</v>
      </c>
      <c r="F1885" t="s">
        <v>11041</v>
      </c>
      <c r="G1885" t="s">
        <v>6025</v>
      </c>
      <c r="H1885" t="s">
        <v>11042</v>
      </c>
      <c r="I1885" s="80" t="s">
        <v>11043</v>
      </c>
      <c r="J1885" t="s">
        <v>9337</v>
      </c>
      <c r="K1885" s="80" t="s">
        <v>11044</v>
      </c>
    </row>
    <row r="1886" spans="1:11" x14ac:dyDescent="0.25">
      <c r="A1886" s="122">
        <v>1885</v>
      </c>
      <c r="B1886">
        <v>1079</v>
      </c>
      <c r="C1886" s="122" t="s">
        <v>186</v>
      </c>
      <c r="D1886" t="s">
        <v>5267</v>
      </c>
      <c r="E1886" t="s">
        <v>11045</v>
      </c>
      <c r="F1886" t="s">
        <v>11046</v>
      </c>
      <c r="G1886" t="s">
        <v>10962</v>
      </c>
      <c r="H1886" s="80" t="s">
        <v>9547</v>
      </c>
      <c r="I1886" s="80" t="s">
        <v>11047</v>
      </c>
      <c r="J1886" t="s">
        <v>9459</v>
      </c>
      <c r="K1886" s="111" t="s">
        <v>945</v>
      </c>
    </row>
    <row r="1887" spans="1:11" x14ac:dyDescent="0.25">
      <c r="A1887" s="122">
        <v>1886</v>
      </c>
      <c r="B1887">
        <v>1079</v>
      </c>
      <c r="C1887" s="122" t="s">
        <v>188</v>
      </c>
      <c r="D1887" t="s">
        <v>5772</v>
      </c>
      <c r="E1887" s="80" t="s">
        <v>11048</v>
      </c>
      <c r="F1887" t="s">
        <v>11049</v>
      </c>
      <c r="G1887" t="s">
        <v>10978</v>
      </c>
      <c r="H1887" s="80" t="s">
        <v>11050</v>
      </c>
      <c r="I1887" s="80" t="s">
        <v>11051</v>
      </c>
      <c r="J1887" t="s">
        <v>9459</v>
      </c>
      <c r="K1887" s="111" t="s">
        <v>11052</v>
      </c>
    </row>
    <row r="1888" spans="1:11" x14ac:dyDescent="0.25">
      <c r="A1888" s="122">
        <v>1887</v>
      </c>
      <c r="B1888">
        <v>1079</v>
      </c>
      <c r="C1888" s="122" t="s">
        <v>182</v>
      </c>
      <c r="D1888" t="s">
        <v>583</v>
      </c>
      <c r="E1888" t="s">
        <v>10922</v>
      </c>
      <c r="F1888" t="s">
        <v>3071</v>
      </c>
      <c r="G1888" t="s">
        <v>583</v>
      </c>
      <c r="H1888" t="s">
        <v>583</v>
      </c>
      <c r="I1888" t="s">
        <v>11053</v>
      </c>
      <c r="J1888" t="s">
        <v>583</v>
      </c>
      <c r="K1888" s="80" t="s">
        <v>6297</v>
      </c>
    </row>
    <row r="1889" spans="1:11" x14ac:dyDescent="0.25">
      <c r="A1889" s="122">
        <v>1888</v>
      </c>
      <c r="B1889">
        <v>1079</v>
      </c>
      <c r="C1889" s="122" t="s">
        <v>184</v>
      </c>
      <c r="D1889" t="s">
        <v>10260</v>
      </c>
      <c r="E1889" s="80" t="s">
        <v>11054</v>
      </c>
      <c r="F1889" t="s">
        <v>11055</v>
      </c>
      <c r="G1889" t="s">
        <v>9664</v>
      </c>
      <c r="H1889" t="s">
        <v>11056</v>
      </c>
      <c r="I1889" s="80" t="s">
        <v>11057</v>
      </c>
      <c r="J1889" t="s">
        <v>9300</v>
      </c>
      <c r="K1889" t="s">
        <v>11058</v>
      </c>
    </row>
    <row r="1890" spans="1:11" x14ac:dyDescent="0.25">
      <c r="A1890" s="122">
        <v>1889</v>
      </c>
      <c r="B1890">
        <v>1079</v>
      </c>
      <c r="C1890" s="122" t="s">
        <v>187</v>
      </c>
      <c r="D1890" t="s">
        <v>4982</v>
      </c>
      <c r="E1890" s="80" t="s">
        <v>11059</v>
      </c>
      <c r="F1890" t="s">
        <v>11060</v>
      </c>
      <c r="G1890" t="s">
        <v>9696</v>
      </c>
      <c r="H1890" t="s">
        <v>11061</v>
      </c>
      <c r="I1890" s="80" t="s">
        <v>11062</v>
      </c>
      <c r="J1890" t="s">
        <v>9330</v>
      </c>
      <c r="K1890" t="s">
        <v>11063</v>
      </c>
    </row>
    <row r="1891" spans="1:11" x14ac:dyDescent="0.25">
      <c r="A1891" s="122">
        <v>1890</v>
      </c>
      <c r="B1891">
        <v>1079</v>
      </c>
      <c r="C1891" s="122" t="s">
        <v>189</v>
      </c>
      <c r="D1891" t="s">
        <v>10900</v>
      </c>
      <c r="E1891" t="s">
        <v>11064</v>
      </c>
      <c r="F1891" t="s">
        <v>11065</v>
      </c>
      <c r="G1891" t="s">
        <v>10049</v>
      </c>
      <c r="H1891" t="s">
        <v>11066</v>
      </c>
      <c r="I1891" s="80" t="s">
        <v>11067</v>
      </c>
      <c r="J1891" t="s">
        <v>10590</v>
      </c>
      <c r="K1891" t="s">
        <v>11068</v>
      </c>
    </row>
    <row r="1892" spans="1:11" x14ac:dyDescent="0.25">
      <c r="A1892" s="122">
        <v>1891</v>
      </c>
      <c r="B1892">
        <v>3021</v>
      </c>
      <c r="C1892" s="122" t="s">
        <v>162</v>
      </c>
      <c r="D1892" t="s">
        <v>10012</v>
      </c>
      <c r="E1892" s="111" t="s">
        <v>948</v>
      </c>
      <c r="F1892" t="s">
        <v>5311</v>
      </c>
      <c r="G1892" t="s">
        <v>9784</v>
      </c>
      <c r="H1892" t="s">
        <v>11069</v>
      </c>
      <c r="I1892" t="s">
        <v>11070</v>
      </c>
      <c r="J1892" t="s">
        <v>9655</v>
      </c>
      <c r="K1892" t="s">
        <v>11071</v>
      </c>
    </row>
    <row r="1893" spans="1:11" x14ac:dyDescent="0.25">
      <c r="A1893" s="122">
        <v>1892</v>
      </c>
      <c r="B1893">
        <v>3021</v>
      </c>
      <c r="C1893" s="122" t="s">
        <v>170</v>
      </c>
      <c r="D1893" t="s">
        <v>10012</v>
      </c>
      <c r="E1893" s="80" t="s">
        <v>11072</v>
      </c>
      <c r="F1893" t="s">
        <v>11073</v>
      </c>
      <c r="G1893" t="s">
        <v>10031</v>
      </c>
      <c r="H1893" t="s">
        <v>11074</v>
      </c>
      <c r="I1893" s="80" t="s">
        <v>11075</v>
      </c>
      <c r="J1893" t="s">
        <v>9265</v>
      </c>
      <c r="K1893" t="s">
        <v>11076</v>
      </c>
    </row>
    <row r="1894" spans="1:11" x14ac:dyDescent="0.25">
      <c r="A1894" s="122">
        <v>1893</v>
      </c>
      <c r="B1894">
        <v>3021</v>
      </c>
      <c r="C1894" s="122" t="s">
        <v>178</v>
      </c>
      <c r="D1894" t="s">
        <v>10574</v>
      </c>
      <c r="E1894" s="80" t="s">
        <v>11077</v>
      </c>
      <c r="F1894" t="s">
        <v>11078</v>
      </c>
      <c r="G1894" t="s">
        <v>11079</v>
      </c>
      <c r="H1894" s="80" t="s">
        <v>11080</v>
      </c>
      <c r="I1894" s="80" t="s">
        <v>11081</v>
      </c>
      <c r="J1894" t="s">
        <v>9527</v>
      </c>
      <c r="K1894" s="80" t="s">
        <v>11082</v>
      </c>
    </row>
    <row r="1895" spans="1:11" x14ac:dyDescent="0.25">
      <c r="A1895" s="122">
        <v>1894</v>
      </c>
      <c r="B1895">
        <v>3021</v>
      </c>
      <c r="C1895" s="122" t="s">
        <v>163</v>
      </c>
      <c r="D1895" t="s">
        <v>5578</v>
      </c>
      <c r="E1895" s="80" t="s">
        <v>11083</v>
      </c>
      <c r="F1895" t="s">
        <v>11084</v>
      </c>
      <c r="G1895">
        <v>173</v>
      </c>
      <c r="H1895" s="80" t="s">
        <v>11085</v>
      </c>
      <c r="I1895" s="80" t="s">
        <v>11086</v>
      </c>
      <c r="J1895" t="s">
        <v>9466</v>
      </c>
      <c r="K1895" s="111" t="s">
        <v>951</v>
      </c>
    </row>
    <row r="1896" spans="1:11" x14ac:dyDescent="0.25">
      <c r="A1896" s="122">
        <v>1895</v>
      </c>
      <c r="B1896">
        <v>3021</v>
      </c>
      <c r="C1896" s="122" t="s">
        <v>181</v>
      </c>
      <c r="D1896" t="s">
        <v>6089</v>
      </c>
      <c r="E1896" s="111" t="s">
        <v>952</v>
      </c>
      <c r="F1896" t="s">
        <v>5311</v>
      </c>
      <c r="G1896" t="s">
        <v>10918</v>
      </c>
      <c r="H1896" t="s">
        <v>11087</v>
      </c>
      <c r="I1896" t="s">
        <v>11088</v>
      </c>
      <c r="J1896" t="s">
        <v>9265</v>
      </c>
      <c r="K1896" t="s">
        <v>9967</v>
      </c>
    </row>
    <row r="1897" spans="1:11" x14ac:dyDescent="0.25">
      <c r="A1897" s="122">
        <v>1896</v>
      </c>
      <c r="B1897">
        <v>3021</v>
      </c>
      <c r="C1897" s="122" t="s">
        <v>183</v>
      </c>
      <c r="D1897" t="s">
        <v>10545</v>
      </c>
      <c r="E1897" s="80" t="s">
        <v>11089</v>
      </c>
      <c r="F1897" t="s">
        <v>11090</v>
      </c>
      <c r="G1897" t="s">
        <v>10031</v>
      </c>
      <c r="H1897" t="s">
        <v>11091</v>
      </c>
      <c r="I1897" s="80" t="s">
        <v>11092</v>
      </c>
      <c r="J1897" t="s">
        <v>9307</v>
      </c>
      <c r="K1897" s="80" t="s">
        <v>11093</v>
      </c>
    </row>
    <row r="1898" spans="1:11" x14ac:dyDescent="0.25">
      <c r="A1898" s="122">
        <v>1897</v>
      </c>
      <c r="B1898">
        <v>3021</v>
      </c>
      <c r="C1898" s="122" t="s">
        <v>186</v>
      </c>
      <c r="D1898" t="s">
        <v>10847</v>
      </c>
      <c r="E1898" t="s">
        <v>11094</v>
      </c>
      <c r="F1898" t="s">
        <v>11095</v>
      </c>
      <c r="G1898" t="s">
        <v>11096</v>
      </c>
      <c r="H1898" t="s">
        <v>11097</v>
      </c>
      <c r="I1898" s="80" t="s">
        <v>11098</v>
      </c>
      <c r="J1898" t="s">
        <v>9505</v>
      </c>
      <c r="K1898" s="80" t="s">
        <v>11099</v>
      </c>
    </row>
    <row r="1899" spans="1:11" x14ac:dyDescent="0.25">
      <c r="A1899" s="122">
        <v>1898</v>
      </c>
      <c r="B1899">
        <v>3021</v>
      </c>
      <c r="C1899" s="122" t="s">
        <v>188</v>
      </c>
      <c r="D1899" t="s">
        <v>10651</v>
      </c>
      <c r="E1899" s="80" t="s">
        <v>11100</v>
      </c>
      <c r="F1899" t="s">
        <v>11101</v>
      </c>
      <c r="G1899" t="s">
        <v>10957</v>
      </c>
      <c r="H1899" t="s">
        <v>11102</v>
      </c>
      <c r="I1899" s="80" t="s">
        <v>11103</v>
      </c>
      <c r="J1899" t="s">
        <v>9527</v>
      </c>
      <c r="K1899" s="80" t="s">
        <v>11104</v>
      </c>
    </row>
    <row r="1900" spans="1:11" x14ac:dyDescent="0.25">
      <c r="A1900" s="122">
        <v>1899</v>
      </c>
      <c r="B1900">
        <v>3021</v>
      </c>
      <c r="C1900" s="122" t="s">
        <v>182</v>
      </c>
      <c r="D1900" t="s">
        <v>10747</v>
      </c>
      <c r="E1900" t="s">
        <v>11105</v>
      </c>
      <c r="F1900" t="s">
        <v>6237</v>
      </c>
      <c r="G1900" t="s">
        <v>10049</v>
      </c>
      <c r="H1900" t="s">
        <v>5858</v>
      </c>
      <c r="I1900" t="s">
        <v>7871</v>
      </c>
      <c r="J1900" t="s">
        <v>9665</v>
      </c>
      <c r="K1900" t="s">
        <v>2194</v>
      </c>
    </row>
    <row r="1901" spans="1:11" x14ac:dyDescent="0.25">
      <c r="A1901" s="122">
        <v>1900</v>
      </c>
      <c r="B1901">
        <v>3021</v>
      </c>
      <c r="C1901" s="122" t="s">
        <v>184</v>
      </c>
      <c r="D1901" t="s">
        <v>10847</v>
      </c>
      <c r="E1901" s="80" t="s">
        <v>11106</v>
      </c>
      <c r="F1901" t="s">
        <v>11107</v>
      </c>
      <c r="G1901" t="s">
        <v>10978</v>
      </c>
      <c r="H1901" t="s">
        <v>11108</v>
      </c>
      <c r="I1901" s="80" t="s">
        <v>11109</v>
      </c>
      <c r="J1901" t="s">
        <v>9213</v>
      </c>
      <c r="K1901" t="s">
        <v>11110</v>
      </c>
    </row>
    <row r="1902" spans="1:11" x14ac:dyDescent="0.25">
      <c r="A1902" s="122">
        <v>1901</v>
      </c>
      <c r="B1902">
        <v>3021</v>
      </c>
      <c r="C1902" s="122" t="s">
        <v>187</v>
      </c>
      <c r="D1902" t="s">
        <v>10611</v>
      </c>
      <c r="E1902" s="111" t="s">
        <v>954</v>
      </c>
      <c r="F1902" t="s">
        <v>11111</v>
      </c>
      <c r="G1902" t="s">
        <v>9723</v>
      </c>
      <c r="H1902" s="80" t="s">
        <v>11112</v>
      </c>
      <c r="I1902" s="80" t="s">
        <v>11113</v>
      </c>
      <c r="J1902" t="s">
        <v>9401</v>
      </c>
      <c r="K1902" s="80" t="s">
        <v>11114</v>
      </c>
    </row>
    <row r="1903" spans="1:11" x14ac:dyDescent="0.25">
      <c r="A1903" s="122">
        <v>1902</v>
      </c>
      <c r="B1903">
        <v>3021</v>
      </c>
      <c r="C1903" s="122" t="s">
        <v>189</v>
      </c>
      <c r="D1903" t="s">
        <v>10966</v>
      </c>
      <c r="E1903" s="80" t="s">
        <v>11115</v>
      </c>
      <c r="F1903" t="s">
        <v>11116</v>
      </c>
      <c r="G1903" t="s">
        <v>9737</v>
      </c>
      <c r="H1903" t="s">
        <v>11117</v>
      </c>
      <c r="I1903" s="80" t="s">
        <v>11118</v>
      </c>
      <c r="J1903" t="s">
        <v>11119</v>
      </c>
      <c r="K1903" s="80" t="s">
        <v>11120</v>
      </c>
    </row>
    <row r="1904" spans="1:11" x14ac:dyDescent="0.25">
      <c r="A1904" s="122">
        <v>1903</v>
      </c>
      <c r="B1904">
        <v>3022</v>
      </c>
      <c r="C1904" s="122" t="s">
        <v>162</v>
      </c>
      <c r="D1904" t="s">
        <v>7770</v>
      </c>
      <c r="E1904" t="s">
        <v>11121</v>
      </c>
      <c r="F1904" t="s">
        <v>5311</v>
      </c>
      <c r="G1904" t="s">
        <v>9766</v>
      </c>
      <c r="H1904" t="s">
        <v>3068</v>
      </c>
      <c r="I1904" t="s">
        <v>11122</v>
      </c>
      <c r="J1904" t="s">
        <v>9602</v>
      </c>
      <c r="K1904" t="s">
        <v>10483</v>
      </c>
    </row>
    <row r="1905" spans="1:11" x14ac:dyDescent="0.25">
      <c r="A1905" s="122">
        <v>1904</v>
      </c>
      <c r="B1905">
        <v>3022</v>
      </c>
      <c r="C1905" s="122" t="s">
        <v>170</v>
      </c>
      <c r="D1905" t="s">
        <v>4982</v>
      </c>
      <c r="E1905" t="s">
        <v>11123</v>
      </c>
      <c r="F1905" t="s">
        <v>11124</v>
      </c>
      <c r="G1905" t="s">
        <v>10918</v>
      </c>
      <c r="H1905" t="s">
        <v>11125</v>
      </c>
      <c r="I1905" s="80" t="s">
        <v>11126</v>
      </c>
      <c r="J1905" t="s">
        <v>10548</v>
      </c>
      <c r="K1905" t="s">
        <v>11127</v>
      </c>
    </row>
    <row r="1906" spans="1:11" x14ac:dyDescent="0.25">
      <c r="A1906" s="122">
        <v>1905</v>
      </c>
      <c r="B1906">
        <v>3022</v>
      </c>
      <c r="C1906" s="122" t="s">
        <v>178</v>
      </c>
      <c r="D1906" t="s">
        <v>10492</v>
      </c>
      <c r="E1906" t="s">
        <v>11128</v>
      </c>
      <c r="F1906" t="s">
        <v>11129</v>
      </c>
      <c r="G1906" t="s">
        <v>9652</v>
      </c>
      <c r="H1906" s="80" t="s">
        <v>11130</v>
      </c>
      <c r="I1906" s="80" t="s">
        <v>11131</v>
      </c>
      <c r="J1906" t="s">
        <v>9213</v>
      </c>
      <c r="K1906" t="s">
        <v>11132</v>
      </c>
    </row>
    <row r="1907" spans="1:11" x14ac:dyDescent="0.25">
      <c r="A1907" s="122">
        <v>1906</v>
      </c>
      <c r="B1907">
        <v>3022</v>
      </c>
      <c r="C1907" s="122" t="s">
        <v>163</v>
      </c>
      <c r="D1907" t="s">
        <v>10895</v>
      </c>
      <c r="E1907" s="80" t="s">
        <v>11133</v>
      </c>
      <c r="F1907" t="s">
        <v>11134</v>
      </c>
      <c r="G1907" t="s">
        <v>10957</v>
      </c>
      <c r="H1907" s="80" t="s">
        <v>11135</v>
      </c>
      <c r="I1907" s="80" t="s">
        <v>11136</v>
      </c>
      <c r="J1907" t="s">
        <v>9411</v>
      </c>
      <c r="K1907" s="80" t="s">
        <v>11137</v>
      </c>
    </row>
    <row r="1908" spans="1:11" x14ac:dyDescent="0.25">
      <c r="A1908" s="122">
        <v>1907</v>
      </c>
      <c r="B1908">
        <v>3022</v>
      </c>
      <c r="C1908" s="122" t="s">
        <v>181</v>
      </c>
      <c r="D1908" t="s">
        <v>10657</v>
      </c>
      <c r="E1908" s="80" t="s">
        <v>11138</v>
      </c>
      <c r="F1908" t="s">
        <v>7375</v>
      </c>
      <c r="G1908" t="s">
        <v>9751</v>
      </c>
      <c r="H1908" t="s">
        <v>11139</v>
      </c>
      <c r="I1908" t="s">
        <v>11140</v>
      </c>
      <c r="J1908" t="s">
        <v>9382</v>
      </c>
      <c r="K1908" t="s">
        <v>11141</v>
      </c>
    </row>
    <row r="1909" spans="1:11" x14ac:dyDescent="0.25">
      <c r="A1909" s="122">
        <v>1908</v>
      </c>
      <c r="B1909">
        <v>3022</v>
      </c>
      <c r="C1909" s="122" t="s">
        <v>183</v>
      </c>
      <c r="D1909" t="s">
        <v>10651</v>
      </c>
      <c r="E1909" s="80" t="s">
        <v>11142</v>
      </c>
      <c r="F1909" t="s">
        <v>11143</v>
      </c>
      <c r="G1909" t="s">
        <v>10031</v>
      </c>
      <c r="H1909" t="s">
        <v>11144</v>
      </c>
      <c r="I1909" s="80" t="s">
        <v>11145</v>
      </c>
      <c r="J1909" t="s">
        <v>9307</v>
      </c>
      <c r="K1909" t="s">
        <v>11146</v>
      </c>
    </row>
    <row r="1910" spans="1:11" x14ac:dyDescent="0.25">
      <c r="A1910" s="122">
        <v>1909</v>
      </c>
      <c r="B1910">
        <v>3022</v>
      </c>
      <c r="C1910" s="122" t="s">
        <v>186</v>
      </c>
      <c r="D1910" t="s">
        <v>5772</v>
      </c>
      <c r="E1910" s="80" t="s">
        <v>11147</v>
      </c>
      <c r="F1910" t="s">
        <v>11148</v>
      </c>
      <c r="G1910" t="s">
        <v>10978</v>
      </c>
      <c r="H1910" s="80" t="s">
        <v>11149</v>
      </c>
      <c r="I1910" s="80" t="s">
        <v>11150</v>
      </c>
      <c r="J1910" t="s">
        <v>9219</v>
      </c>
      <c r="K1910" s="80" t="s">
        <v>11151</v>
      </c>
    </row>
    <row r="1911" spans="1:11" x14ac:dyDescent="0.25">
      <c r="A1911" s="122">
        <v>1910</v>
      </c>
      <c r="B1911">
        <v>3022</v>
      </c>
      <c r="C1911" s="122" t="s">
        <v>188</v>
      </c>
      <c r="D1911" t="s">
        <v>10574</v>
      </c>
      <c r="E1911" s="80" t="s">
        <v>11152</v>
      </c>
      <c r="F1911" t="s">
        <v>11153</v>
      </c>
      <c r="G1911" t="s">
        <v>6025</v>
      </c>
      <c r="H1911" t="s">
        <v>11154</v>
      </c>
      <c r="I1911" s="80" t="s">
        <v>11155</v>
      </c>
      <c r="J1911" t="s">
        <v>9337</v>
      </c>
      <c r="K1911" s="80" t="s">
        <v>11156</v>
      </c>
    </row>
    <row r="1912" spans="1:11" x14ac:dyDescent="0.25">
      <c r="A1912" s="122">
        <v>1911</v>
      </c>
      <c r="B1912">
        <v>3022</v>
      </c>
      <c r="C1912" s="122" t="s">
        <v>182</v>
      </c>
      <c r="D1912" t="s">
        <v>6645</v>
      </c>
      <c r="E1912" t="s">
        <v>11157</v>
      </c>
      <c r="F1912" t="s">
        <v>3201</v>
      </c>
      <c r="G1912" t="s">
        <v>9766</v>
      </c>
      <c r="H1912" t="s">
        <v>11158</v>
      </c>
      <c r="I1912" t="s">
        <v>11159</v>
      </c>
      <c r="J1912" t="s">
        <v>9621</v>
      </c>
      <c r="K1912" t="s">
        <v>7547</v>
      </c>
    </row>
    <row r="1913" spans="1:11" x14ac:dyDescent="0.25">
      <c r="A1913" s="122">
        <v>1912</v>
      </c>
      <c r="B1913">
        <v>3022</v>
      </c>
      <c r="C1913" s="122" t="s">
        <v>184</v>
      </c>
      <c r="D1913" t="s">
        <v>10012</v>
      </c>
      <c r="E1913" s="80">
        <v>45700</v>
      </c>
      <c r="F1913" t="s">
        <v>11160</v>
      </c>
      <c r="G1913" t="s">
        <v>10918</v>
      </c>
      <c r="H1913" t="s">
        <v>11161</v>
      </c>
      <c r="I1913" s="80" t="s">
        <v>11162</v>
      </c>
      <c r="J1913" t="s">
        <v>9239</v>
      </c>
      <c r="K1913" t="s">
        <v>11163</v>
      </c>
    </row>
    <row r="1914" spans="1:11" x14ac:dyDescent="0.25">
      <c r="A1914" s="122">
        <v>1913</v>
      </c>
      <c r="B1914">
        <v>3022</v>
      </c>
      <c r="C1914" s="122" t="s">
        <v>187</v>
      </c>
      <c r="D1914" t="s">
        <v>5267</v>
      </c>
      <c r="E1914" s="80" t="s">
        <v>11164</v>
      </c>
      <c r="F1914" t="s">
        <v>11165</v>
      </c>
      <c r="G1914" t="s">
        <v>6025</v>
      </c>
      <c r="H1914" s="80" t="s">
        <v>11166</v>
      </c>
      <c r="I1914" s="80" t="s">
        <v>11167</v>
      </c>
      <c r="J1914" t="s">
        <v>9411</v>
      </c>
      <c r="K1914" t="s">
        <v>11168</v>
      </c>
    </row>
    <row r="1915" spans="1:11" x14ac:dyDescent="0.25">
      <c r="A1915" s="122">
        <v>1914</v>
      </c>
      <c r="B1915">
        <v>3022</v>
      </c>
      <c r="C1915" s="122" t="s">
        <v>189</v>
      </c>
      <c r="D1915" t="s">
        <v>10858</v>
      </c>
      <c r="E1915" s="80" t="s">
        <v>11169</v>
      </c>
      <c r="F1915" t="s">
        <v>11170</v>
      </c>
      <c r="G1915" t="s">
        <v>6025</v>
      </c>
      <c r="H1915" s="80" t="s">
        <v>11171</v>
      </c>
      <c r="I1915" s="80" t="s">
        <v>11172</v>
      </c>
      <c r="J1915" t="s">
        <v>9672</v>
      </c>
      <c r="K1915" t="s">
        <v>11173</v>
      </c>
    </row>
    <row r="1916" spans="1:11" x14ac:dyDescent="0.25">
      <c r="A1916" s="122">
        <v>1915</v>
      </c>
      <c r="B1916">
        <v>3024</v>
      </c>
      <c r="C1916" s="122" t="s">
        <v>162</v>
      </c>
      <c r="D1916" t="s">
        <v>10012</v>
      </c>
      <c r="E1916" s="111" t="s">
        <v>956</v>
      </c>
      <c r="F1916" t="s">
        <v>9501</v>
      </c>
      <c r="G1916" t="s">
        <v>3913</v>
      </c>
      <c r="H1916" t="s">
        <v>6232</v>
      </c>
      <c r="I1916" t="s">
        <v>11174</v>
      </c>
      <c r="J1916" t="s">
        <v>9382</v>
      </c>
      <c r="K1916" t="s">
        <v>11175</v>
      </c>
    </row>
    <row r="1917" spans="1:11" x14ac:dyDescent="0.25">
      <c r="A1917" s="122">
        <v>1916</v>
      </c>
      <c r="B1917">
        <v>3024</v>
      </c>
      <c r="C1917" s="122" t="s">
        <v>170</v>
      </c>
      <c r="D1917" t="s">
        <v>10651</v>
      </c>
      <c r="E1917" s="80" t="s">
        <v>11176</v>
      </c>
      <c r="F1917" t="s">
        <v>11177</v>
      </c>
      <c r="G1917" t="s">
        <v>9812</v>
      </c>
      <c r="H1917" t="s">
        <v>11178</v>
      </c>
      <c r="I1917" s="80" t="s">
        <v>11179</v>
      </c>
      <c r="J1917" t="s">
        <v>10009</v>
      </c>
      <c r="K1917" t="s">
        <v>11180</v>
      </c>
    </row>
    <row r="1918" spans="1:11" x14ac:dyDescent="0.25">
      <c r="A1918" s="122">
        <v>1917</v>
      </c>
      <c r="B1918">
        <v>3024</v>
      </c>
      <c r="C1918" s="122" t="s">
        <v>178</v>
      </c>
      <c r="D1918" t="s">
        <v>10895</v>
      </c>
      <c r="E1918" s="80" t="s">
        <v>11181</v>
      </c>
      <c r="F1918" t="s">
        <v>11182</v>
      </c>
      <c r="G1918" t="s">
        <v>10962</v>
      </c>
      <c r="H1918" s="80" t="s">
        <v>11183</v>
      </c>
      <c r="I1918" s="80" t="s">
        <v>11184</v>
      </c>
      <c r="J1918" t="s">
        <v>9588</v>
      </c>
      <c r="K1918" t="s">
        <v>11185</v>
      </c>
    </row>
    <row r="1919" spans="1:11" x14ac:dyDescent="0.25">
      <c r="A1919" s="122">
        <v>1918</v>
      </c>
      <c r="B1919">
        <v>3024</v>
      </c>
      <c r="C1919" s="122" t="s">
        <v>163</v>
      </c>
      <c r="D1919" t="s">
        <v>5267</v>
      </c>
      <c r="E1919" s="111" t="s">
        <v>958</v>
      </c>
      <c r="F1919" t="s">
        <v>11186</v>
      </c>
      <c r="G1919" t="s">
        <v>11079</v>
      </c>
      <c r="H1919" s="80" t="s">
        <v>11187</v>
      </c>
      <c r="I1919" s="80" t="s">
        <v>11188</v>
      </c>
      <c r="J1919" t="s">
        <v>3825</v>
      </c>
      <c r="K1919" s="80" t="s">
        <v>11189</v>
      </c>
    </row>
    <row r="1920" spans="1:11" x14ac:dyDescent="0.25">
      <c r="A1920" s="122">
        <v>1919</v>
      </c>
      <c r="B1920">
        <v>3024</v>
      </c>
      <c r="C1920" s="122" t="s">
        <v>181</v>
      </c>
      <c r="D1920" t="s">
        <v>4982</v>
      </c>
      <c r="E1920" s="111" t="s">
        <v>960</v>
      </c>
      <c r="F1920" t="s">
        <v>6741</v>
      </c>
      <c r="G1920" t="s">
        <v>9784</v>
      </c>
      <c r="H1920" t="s">
        <v>11190</v>
      </c>
      <c r="I1920" t="s">
        <v>11191</v>
      </c>
      <c r="J1920" t="s">
        <v>9300</v>
      </c>
      <c r="K1920" t="s">
        <v>11192</v>
      </c>
    </row>
    <row r="1921" spans="1:11" x14ac:dyDescent="0.25">
      <c r="A1921" s="122">
        <v>1920</v>
      </c>
      <c r="B1921">
        <v>3024</v>
      </c>
      <c r="C1921" s="122" t="s">
        <v>183</v>
      </c>
      <c r="D1921" t="s">
        <v>4982</v>
      </c>
      <c r="E1921" s="80" t="s">
        <v>11193</v>
      </c>
      <c r="F1921" t="s">
        <v>11194</v>
      </c>
      <c r="G1921" t="s">
        <v>9784</v>
      </c>
      <c r="H1921" t="s">
        <v>11195</v>
      </c>
      <c r="I1921" s="80" t="s">
        <v>11196</v>
      </c>
      <c r="J1921" t="s">
        <v>9239</v>
      </c>
      <c r="K1921" t="s">
        <v>11197</v>
      </c>
    </row>
    <row r="1922" spans="1:11" x14ac:dyDescent="0.25">
      <c r="A1922" s="122">
        <v>1921</v>
      </c>
      <c r="B1922">
        <v>3024</v>
      </c>
      <c r="C1922" s="122" t="s">
        <v>186</v>
      </c>
      <c r="D1922" t="s">
        <v>10895</v>
      </c>
      <c r="E1922" s="80" t="s">
        <v>11198</v>
      </c>
      <c r="F1922" t="s">
        <v>11199</v>
      </c>
      <c r="G1922" t="s">
        <v>9717</v>
      </c>
      <c r="H1922" s="80" t="s">
        <v>11200</v>
      </c>
      <c r="I1922" s="80" t="s">
        <v>11201</v>
      </c>
      <c r="J1922" t="s">
        <v>9273</v>
      </c>
      <c r="K1922" t="s">
        <v>11202</v>
      </c>
    </row>
    <row r="1923" spans="1:11" x14ac:dyDescent="0.25">
      <c r="A1923" s="122">
        <v>1922</v>
      </c>
      <c r="B1923">
        <v>3024</v>
      </c>
      <c r="C1923" s="122" t="s">
        <v>188</v>
      </c>
      <c r="D1923" t="s">
        <v>10574</v>
      </c>
      <c r="E1923" s="80" t="s">
        <v>11203</v>
      </c>
      <c r="F1923" t="s">
        <v>11204</v>
      </c>
      <c r="G1923" t="s">
        <v>10962</v>
      </c>
      <c r="H1923" s="80" t="s">
        <v>11205</v>
      </c>
      <c r="I1923" s="80" t="s">
        <v>11206</v>
      </c>
      <c r="J1923" t="s">
        <v>3825</v>
      </c>
      <c r="K1923" t="s">
        <v>11207</v>
      </c>
    </row>
    <row r="1924" spans="1:11" x14ac:dyDescent="0.25">
      <c r="A1924" s="122">
        <v>1923</v>
      </c>
      <c r="B1924">
        <v>3024</v>
      </c>
      <c r="C1924" s="122" t="s">
        <v>182</v>
      </c>
      <c r="D1924" t="s">
        <v>10550</v>
      </c>
      <c r="E1924" t="s">
        <v>11208</v>
      </c>
      <c r="F1924" t="s">
        <v>11209</v>
      </c>
      <c r="G1924" t="s">
        <v>11096</v>
      </c>
      <c r="H1924" s="80" t="s">
        <v>11210</v>
      </c>
      <c r="I1924" s="80" t="s">
        <v>11211</v>
      </c>
      <c r="J1924" t="s">
        <v>3825</v>
      </c>
      <c r="K1924" s="80" t="s">
        <v>11212</v>
      </c>
    </row>
    <row r="1925" spans="1:11" x14ac:dyDescent="0.25">
      <c r="A1925" s="122">
        <v>1924</v>
      </c>
      <c r="B1925">
        <v>3024</v>
      </c>
      <c r="C1925" s="122" t="s">
        <v>184</v>
      </c>
      <c r="D1925" t="s">
        <v>10611</v>
      </c>
      <c r="E1925" s="80" t="s">
        <v>11213</v>
      </c>
      <c r="F1925" t="s">
        <v>11214</v>
      </c>
      <c r="G1925" t="s">
        <v>11096</v>
      </c>
      <c r="H1925" s="80" t="s">
        <v>11215</v>
      </c>
      <c r="I1925" s="80" t="s">
        <v>11216</v>
      </c>
      <c r="J1925" t="s">
        <v>9273</v>
      </c>
      <c r="K1925" t="s">
        <v>11217</v>
      </c>
    </row>
    <row r="1926" spans="1:11" x14ac:dyDescent="0.25">
      <c r="A1926" s="122">
        <v>1925</v>
      </c>
      <c r="B1926">
        <v>3024</v>
      </c>
      <c r="C1926" s="122" t="s">
        <v>187</v>
      </c>
      <c r="D1926" t="s">
        <v>11218</v>
      </c>
      <c r="E1926" s="80">
        <v>36838</v>
      </c>
      <c r="F1926" t="s">
        <v>11219</v>
      </c>
      <c r="G1926" t="s">
        <v>9696</v>
      </c>
      <c r="H1926" s="84">
        <v>1073400</v>
      </c>
      <c r="I1926" s="80" t="s">
        <v>11220</v>
      </c>
      <c r="J1926" t="s">
        <v>9337</v>
      </c>
      <c r="K1926" t="s">
        <v>11221</v>
      </c>
    </row>
    <row r="1927" spans="1:11" x14ac:dyDescent="0.25">
      <c r="A1927" s="122">
        <v>1926</v>
      </c>
      <c r="B1927">
        <v>3024</v>
      </c>
      <c r="C1927" s="122" t="s">
        <v>189</v>
      </c>
      <c r="D1927" t="s">
        <v>11222</v>
      </c>
      <c r="E1927" s="80" t="s">
        <v>11223</v>
      </c>
      <c r="F1927" t="s">
        <v>11224</v>
      </c>
      <c r="G1927" t="s">
        <v>10957</v>
      </c>
      <c r="H1927" s="111" t="s">
        <v>11225</v>
      </c>
      <c r="I1927" s="80" t="s">
        <v>11226</v>
      </c>
      <c r="J1927" t="s">
        <v>9740</v>
      </c>
      <c r="K1927" s="80" t="s">
        <v>11227</v>
      </c>
    </row>
    <row r="1928" spans="1:11" x14ac:dyDescent="0.25">
      <c r="A1928" s="122">
        <v>1927</v>
      </c>
      <c r="B1928">
        <v>3023</v>
      </c>
      <c r="C1928" s="122" t="s">
        <v>162</v>
      </c>
      <c r="D1928" t="s">
        <v>7770</v>
      </c>
      <c r="E1928" t="s">
        <v>11228</v>
      </c>
      <c r="F1928" t="s">
        <v>5467</v>
      </c>
      <c r="G1928" t="s">
        <v>10941</v>
      </c>
      <c r="H1928" t="s">
        <v>2548</v>
      </c>
      <c r="I1928" t="s">
        <v>11229</v>
      </c>
      <c r="J1928" t="s">
        <v>9366</v>
      </c>
      <c r="K1928" t="s">
        <v>9932</v>
      </c>
    </row>
    <row r="1929" spans="1:11" x14ac:dyDescent="0.25">
      <c r="A1929" s="122">
        <v>1928</v>
      </c>
      <c r="B1929">
        <v>3023</v>
      </c>
      <c r="C1929" s="122" t="s">
        <v>170</v>
      </c>
      <c r="D1929" t="s">
        <v>10260</v>
      </c>
      <c r="E1929" t="s">
        <v>11230</v>
      </c>
      <c r="F1929" t="s">
        <v>11231</v>
      </c>
      <c r="G1929" t="s">
        <v>9784</v>
      </c>
      <c r="H1929" t="s">
        <v>11232</v>
      </c>
      <c r="I1929" s="80" t="s">
        <v>11233</v>
      </c>
      <c r="J1929" t="s">
        <v>9341</v>
      </c>
      <c r="K1929" t="s">
        <v>11234</v>
      </c>
    </row>
    <row r="1930" spans="1:11" x14ac:dyDescent="0.25">
      <c r="A1930" s="122">
        <v>1929</v>
      </c>
      <c r="B1930">
        <v>3023</v>
      </c>
      <c r="C1930" s="122" t="s">
        <v>178</v>
      </c>
      <c r="D1930" t="s">
        <v>10533</v>
      </c>
      <c r="E1930" t="s">
        <v>11235</v>
      </c>
      <c r="F1930" t="s">
        <v>11236</v>
      </c>
      <c r="G1930" t="s">
        <v>11096</v>
      </c>
      <c r="H1930" t="s">
        <v>11237</v>
      </c>
      <c r="I1930" s="80" t="s">
        <v>11238</v>
      </c>
      <c r="J1930" t="s">
        <v>9239</v>
      </c>
      <c r="K1930" t="s">
        <v>11239</v>
      </c>
    </row>
    <row r="1931" spans="1:11" x14ac:dyDescent="0.25">
      <c r="A1931" s="122">
        <v>1930</v>
      </c>
      <c r="B1931">
        <v>3023</v>
      </c>
      <c r="C1931" s="122" t="s">
        <v>163</v>
      </c>
      <c r="D1931" t="s">
        <v>10545</v>
      </c>
      <c r="E1931" t="s">
        <v>11240</v>
      </c>
      <c r="F1931" t="s">
        <v>11241</v>
      </c>
      <c r="G1931" t="s">
        <v>11096</v>
      </c>
      <c r="H1931" t="s">
        <v>11242</v>
      </c>
      <c r="I1931" s="80" t="s">
        <v>11243</v>
      </c>
      <c r="J1931" t="s">
        <v>9505</v>
      </c>
      <c r="K1931" s="80" t="s">
        <v>11244</v>
      </c>
    </row>
    <row r="1932" spans="1:11" x14ac:dyDescent="0.25">
      <c r="A1932" s="122">
        <v>1931</v>
      </c>
      <c r="B1932">
        <v>3023</v>
      </c>
      <c r="C1932" s="122" t="s">
        <v>181</v>
      </c>
      <c r="D1932" t="s">
        <v>10528</v>
      </c>
      <c r="E1932" s="80" t="s">
        <v>11245</v>
      </c>
      <c r="F1932" t="s">
        <v>3065</v>
      </c>
      <c r="G1932" t="s">
        <v>10912</v>
      </c>
      <c r="H1932" t="s">
        <v>11246</v>
      </c>
      <c r="I1932" t="s">
        <v>11247</v>
      </c>
      <c r="J1932" t="s">
        <v>9341</v>
      </c>
      <c r="K1932" t="s">
        <v>11248</v>
      </c>
    </row>
    <row r="1933" spans="1:11" x14ac:dyDescent="0.25">
      <c r="A1933" s="122">
        <v>1932</v>
      </c>
      <c r="B1933">
        <v>3023</v>
      </c>
      <c r="C1933" s="122" t="s">
        <v>183</v>
      </c>
      <c r="D1933" t="s">
        <v>10545</v>
      </c>
      <c r="E1933" s="80" t="s">
        <v>11249</v>
      </c>
      <c r="F1933" t="s">
        <v>11250</v>
      </c>
      <c r="G1933" t="s">
        <v>10031</v>
      </c>
      <c r="H1933" t="s">
        <v>11251</v>
      </c>
      <c r="I1933" s="80" t="s">
        <v>11252</v>
      </c>
      <c r="J1933" t="s">
        <v>9588</v>
      </c>
      <c r="K1933" t="s">
        <v>11253</v>
      </c>
    </row>
    <row r="1934" spans="1:11" x14ac:dyDescent="0.25">
      <c r="A1934" s="122">
        <v>1933</v>
      </c>
      <c r="B1934">
        <v>3023</v>
      </c>
      <c r="C1934" s="122" t="s">
        <v>186</v>
      </c>
      <c r="D1934" t="s">
        <v>10966</v>
      </c>
      <c r="E1934" s="80" t="s">
        <v>11254</v>
      </c>
      <c r="F1934" t="s">
        <v>9349</v>
      </c>
      <c r="G1934" t="s">
        <v>10957</v>
      </c>
      <c r="H1934" s="80" t="s">
        <v>11255</v>
      </c>
      <c r="I1934" s="80" t="s">
        <v>11256</v>
      </c>
      <c r="J1934" t="s">
        <v>11257</v>
      </c>
      <c r="K1934" s="80" t="s">
        <v>11258</v>
      </c>
    </row>
    <row r="1935" spans="1:11" x14ac:dyDescent="0.25">
      <c r="A1935" s="122">
        <v>1934</v>
      </c>
      <c r="B1935">
        <v>3023</v>
      </c>
      <c r="C1935" s="122" t="s">
        <v>188</v>
      </c>
      <c r="D1935" t="s">
        <v>10574</v>
      </c>
      <c r="E1935" s="80" t="s">
        <v>11259</v>
      </c>
      <c r="F1935" t="s">
        <v>11260</v>
      </c>
      <c r="G1935" t="s">
        <v>10957</v>
      </c>
      <c r="H1935" s="80" t="s">
        <v>11261</v>
      </c>
      <c r="I1935" s="80" t="s">
        <v>11262</v>
      </c>
      <c r="J1935" t="s">
        <v>9615</v>
      </c>
      <c r="K1935" s="80" t="s">
        <v>11263</v>
      </c>
    </row>
    <row r="1936" spans="1:11" x14ac:dyDescent="0.25">
      <c r="A1936" s="122">
        <v>1935</v>
      </c>
      <c r="B1936">
        <v>3023</v>
      </c>
      <c r="C1936" s="122" t="s">
        <v>182</v>
      </c>
      <c r="D1936" t="s">
        <v>10747</v>
      </c>
      <c r="E1936" t="s">
        <v>11264</v>
      </c>
      <c r="F1936" t="s">
        <v>5515</v>
      </c>
      <c r="G1936" s="80" t="s">
        <v>9145</v>
      </c>
      <c r="H1936" t="s">
        <v>4437</v>
      </c>
      <c r="I1936" t="s">
        <v>11265</v>
      </c>
      <c r="J1936" t="s">
        <v>9602</v>
      </c>
      <c r="K1936" t="s">
        <v>10933</v>
      </c>
    </row>
    <row r="1937" spans="1:11" x14ac:dyDescent="0.25">
      <c r="A1937" s="122">
        <v>1936</v>
      </c>
      <c r="B1937">
        <v>3023</v>
      </c>
      <c r="C1937" s="122" t="s">
        <v>184</v>
      </c>
      <c r="D1937" t="s">
        <v>6089</v>
      </c>
      <c r="E1937" s="80" t="s">
        <v>11266</v>
      </c>
      <c r="F1937" t="s">
        <v>11267</v>
      </c>
      <c r="G1937" t="s">
        <v>3913</v>
      </c>
      <c r="H1937" t="s">
        <v>11268</v>
      </c>
      <c r="I1937" s="80" t="s">
        <v>11269</v>
      </c>
      <c r="J1937" t="s">
        <v>9569</v>
      </c>
      <c r="K1937" t="s">
        <v>11270</v>
      </c>
    </row>
    <row r="1938" spans="1:11" x14ac:dyDescent="0.25">
      <c r="A1938" s="122">
        <v>1937</v>
      </c>
      <c r="B1938">
        <v>3023</v>
      </c>
      <c r="C1938" s="122" t="s">
        <v>187</v>
      </c>
      <c r="D1938" t="s">
        <v>10492</v>
      </c>
      <c r="E1938" s="80" t="s">
        <v>11271</v>
      </c>
      <c r="F1938" t="s">
        <v>11272</v>
      </c>
      <c r="G1938" t="s">
        <v>9812</v>
      </c>
      <c r="H1938" s="80" t="s">
        <v>11273</v>
      </c>
      <c r="I1938" s="80" t="s">
        <v>11274</v>
      </c>
      <c r="J1938" t="s">
        <v>9505</v>
      </c>
      <c r="K1938" t="s">
        <v>11275</v>
      </c>
    </row>
    <row r="1939" spans="1:11" x14ac:dyDescent="0.25">
      <c r="A1939" s="122">
        <v>1938</v>
      </c>
      <c r="B1939">
        <v>3023</v>
      </c>
      <c r="C1939" s="122" t="s">
        <v>189</v>
      </c>
      <c r="D1939" t="s">
        <v>4982</v>
      </c>
      <c r="E1939" s="80" t="s">
        <v>11276</v>
      </c>
      <c r="F1939" t="s">
        <v>11277</v>
      </c>
      <c r="G1939" t="s">
        <v>9784</v>
      </c>
      <c r="H1939" t="s">
        <v>11278</v>
      </c>
      <c r="I1939" s="80" t="s">
        <v>11279</v>
      </c>
      <c r="J1939" t="s">
        <v>9213</v>
      </c>
      <c r="K1939" t="s">
        <v>11280</v>
      </c>
    </row>
    <row r="1940" spans="1:11" x14ac:dyDescent="0.25">
      <c r="A1940" s="122">
        <v>1939</v>
      </c>
      <c r="B1940">
        <v>3019</v>
      </c>
      <c r="C1940" s="122" t="s">
        <v>162</v>
      </c>
      <c r="D1940" t="s">
        <v>10747</v>
      </c>
      <c r="E1940" t="s">
        <v>11281</v>
      </c>
      <c r="F1940" t="s">
        <v>5799</v>
      </c>
      <c r="G1940" t="s">
        <v>9919</v>
      </c>
      <c r="H1940" t="s">
        <v>7770</v>
      </c>
      <c r="I1940" t="s">
        <v>11282</v>
      </c>
      <c r="J1940" t="s">
        <v>9602</v>
      </c>
      <c r="K1940" t="s">
        <v>6441</v>
      </c>
    </row>
    <row r="1941" spans="1:11" x14ac:dyDescent="0.25">
      <c r="A1941" s="122">
        <v>1940</v>
      </c>
      <c r="B1941">
        <v>3019</v>
      </c>
      <c r="C1941" s="122" t="s">
        <v>170</v>
      </c>
      <c r="D1941" t="s">
        <v>10012</v>
      </c>
      <c r="E1941" t="s">
        <v>11283</v>
      </c>
      <c r="F1941" t="s">
        <v>11284</v>
      </c>
      <c r="G1941" t="s">
        <v>11096</v>
      </c>
      <c r="H1941" t="s">
        <v>11285</v>
      </c>
      <c r="I1941" s="80" t="s">
        <v>11286</v>
      </c>
      <c r="J1941" t="s">
        <v>9382</v>
      </c>
      <c r="K1941" t="s">
        <v>11287</v>
      </c>
    </row>
    <row r="1942" spans="1:11" x14ac:dyDescent="0.25">
      <c r="A1942" s="122">
        <v>1941</v>
      </c>
      <c r="B1942">
        <v>3019</v>
      </c>
      <c r="C1942" s="122" t="s">
        <v>178</v>
      </c>
      <c r="D1942" t="s">
        <v>10545</v>
      </c>
      <c r="E1942" t="s">
        <v>11288</v>
      </c>
      <c r="F1942" t="s">
        <v>11289</v>
      </c>
      <c r="G1942" t="s">
        <v>10957</v>
      </c>
      <c r="H1942" s="80" t="s">
        <v>11290</v>
      </c>
      <c r="I1942" s="80" t="s">
        <v>11291</v>
      </c>
      <c r="J1942" t="s">
        <v>9307</v>
      </c>
      <c r="K1942" t="s">
        <v>11292</v>
      </c>
    </row>
    <row r="1943" spans="1:11" x14ac:dyDescent="0.25">
      <c r="A1943" s="122">
        <v>1942</v>
      </c>
      <c r="B1943">
        <v>3019</v>
      </c>
      <c r="C1943" s="122" t="s">
        <v>163</v>
      </c>
      <c r="D1943" t="s">
        <v>10492</v>
      </c>
      <c r="E1943" s="80" t="s">
        <v>11293</v>
      </c>
      <c r="F1943" t="s">
        <v>11294</v>
      </c>
      <c r="G1943" t="s">
        <v>6025</v>
      </c>
      <c r="H1943" t="s">
        <v>11295</v>
      </c>
      <c r="I1943" s="80" t="s">
        <v>11296</v>
      </c>
      <c r="J1943" t="s">
        <v>9251</v>
      </c>
      <c r="K1943" s="80" t="s">
        <v>11297</v>
      </c>
    </row>
    <row r="1944" spans="1:11" x14ac:dyDescent="0.25">
      <c r="A1944" s="122">
        <v>1943</v>
      </c>
      <c r="B1944">
        <v>3019</v>
      </c>
      <c r="C1944" s="122" t="s">
        <v>181</v>
      </c>
      <c r="D1944" t="s">
        <v>10525</v>
      </c>
      <c r="E1944" s="80" t="s">
        <v>11298</v>
      </c>
      <c r="F1944" t="s">
        <v>3065</v>
      </c>
      <c r="G1944" t="s">
        <v>10049</v>
      </c>
      <c r="H1944" t="s">
        <v>9972</v>
      </c>
      <c r="I1944" t="s">
        <v>11299</v>
      </c>
      <c r="J1944" t="s">
        <v>9382</v>
      </c>
      <c r="K1944" t="s">
        <v>11300</v>
      </c>
    </row>
    <row r="1945" spans="1:11" x14ac:dyDescent="0.25">
      <c r="A1945" s="122">
        <v>1944</v>
      </c>
      <c r="B1945">
        <v>3019</v>
      </c>
      <c r="C1945" s="122" t="s">
        <v>183</v>
      </c>
      <c r="D1945" t="s">
        <v>10528</v>
      </c>
      <c r="E1945" t="s">
        <v>11301</v>
      </c>
      <c r="F1945" t="s">
        <v>11302</v>
      </c>
      <c r="G1945" t="s">
        <v>9755</v>
      </c>
      <c r="H1945" t="s">
        <v>11303</v>
      </c>
      <c r="I1945" s="80" t="s">
        <v>11304</v>
      </c>
      <c r="J1945" t="s">
        <v>9300</v>
      </c>
      <c r="K1945" t="s">
        <v>11305</v>
      </c>
    </row>
    <row r="1946" spans="1:11" x14ac:dyDescent="0.25">
      <c r="A1946" s="122">
        <v>1945</v>
      </c>
      <c r="B1946">
        <v>3019</v>
      </c>
      <c r="C1946" s="122" t="s">
        <v>186</v>
      </c>
      <c r="D1946" t="s">
        <v>8017</v>
      </c>
      <c r="E1946" t="s">
        <v>11306</v>
      </c>
      <c r="F1946" t="s">
        <v>11307</v>
      </c>
      <c r="G1946" t="s">
        <v>10108</v>
      </c>
      <c r="H1946" t="s">
        <v>11308</v>
      </c>
      <c r="I1946" s="80" t="s">
        <v>11309</v>
      </c>
      <c r="J1946" t="s">
        <v>10555</v>
      </c>
      <c r="K1946" t="s">
        <v>11310</v>
      </c>
    </row>
    <row r="1947" spans="1:11" x14ac:dyDescent="0.25">
      <c r="A1947" s="122">
        <v>1946</v>
      </c>
      <c r="B1947">
        <v>3019</v>
      </c>
      <c r="C1947" s="122" t="s">
        <v>188</v>
      </c>
      <c r="D1947" t="s">
        <v>8273</v>
      </c>
      <c r="E1947" s="80" t="s">
        <v>11311</v>
      </c>
      <c r="F1947" t="s">
        <v>11312</v>
      </c>
      <c r="G1947" t="s">
        <v>8158</v>
      </c>
      <c r="H1947" t="s">
        <v>11313</v>
      </c>
      <c r="I1947" s="80" t="s">
        <v>11314</v>
      </c>
      <c r="J1947" t="s">
        <v>10805</v>
      </c>
      <c r="K1947" s="80" t="s">
        <v>11315</v>
      </c>
    </row>
    <row r="1948" spans="1:11" x14ac:dyDescent="0.25">
      <c r="A1948" s="122">
        <v>1947</v>
      </c>
      <c r="B1948">
        <v>3019</v>
      </c>
      <c r="C1948" s="122" t="s">
        <v>182</v>
      </c>
      <c r="D1948" s="80" t="s">
        <v>7565</v>
      </c>
      <c r="E1948" t="s">
        <v>11316</v>
      </c>
      <c r="F1948" t="s">
        <v>5250</v>
      </c>
      <c r="G1948" s="80" t="s">
        <v>9726</v>
      </c>
      <c r="H1948" t="s">
        <v>11317</v>
      </c>
      <c r="I1948" t="s">
        <v>11318</v>
      </c>
      <c r="J1948" t="s">
        <v>9037</v>
      </c>
      <c r="K1948" t="s">
        <v>6179</v>
      </c>
    </row>
    <row r="1949" spans="1:11" x14ac:dyDescent="0.25">
      <c r="A1949" s="122">
        <v>1948</v>
      </c>
      <c r="B1949">
        <v>3019</v>
      </c>
      <c r="C1949" s="122" t="s">
        <v>184</v>
      </c>
      <c r="D1949" t="s">
        <v>8273</v>
      </c>
      <c r="E1949" s="80" t="s">
        <v>11319</v>
      </c>
      <c r="F1949" t="s">
        <v>11320</v>
      </c>
      <c r="G1949" t="s">
        <v>8158</v>
      </c>
      <c r="H1949" s="80" t="s">
        <v>11321</v>
      </c>
      <c r="I1949" s="80" t="s">
        <v>11322</v>
      </c>
      <c r="J1949" t="s">
        <v>9575</v>
      </c>
      <c r="K1949" t="s">
        <v>11323</v>
      </c>
    </row>
    <row r="1950" spans="1:11" x14ac:dyDescent="0.25">
      <c r="A1950" s="122">
        <v>1949</v>
      </c>
      <c r="B1950">
        <v>3019</v>
      </c>
      <c r="C1950" s="122" t="s">
        <v>187</v>
      </c>
      <c r="D1950" t="s">
        <v>10464</v>
      </c>
      <c r="E1950" s="80" t="s">
        <v>11324</v>
      </c>
      <c r="F1950" t="s">
        <v>11325</v>
      </c>
      <c r="G1950" t="s">
        <v>9270</v>
      </c>
      <c r="H1950" s="80" t="s">
        <v>11326</v>
      </c>
      <c r="I1950" s="80" t="s">
        <v>11327</v>
      </c>
      <c r="J1950" t="s">
        <v>11257</v>
      </c>
      <c r="K1950" t="s">
        <v>11328</v>
      </c>
    </row>
    <row r="1951" spans="1:11" x14ac:dyDescent="0.25">
      <c r="A1951" s="122">
        <v>1950</v>
      </c>
      <c r="B1951">
        <v>3019</v>
      </c>
      <c r="C1951" s="122" t="s">
        <v>189</v>
      </c>
      <c r="D1951" t="s">
        <v>3923</v>
      </c>
      <c r="E1951" t="s">
        <v>11329</v>
      </c>
      <c r="F1951" t="s">
        <v>11330</v>
      </c>
      <c r="G1951" t="s">
        <v>8158</v>
      </c>
      <c r="H1951" s="80" t="s">
        <v>11331</v>
      </c>
      <c r="I1951" s="80" t="s">
        <v>11332</v>
      </c>
      <c r="J1951" t="s">
        <v>10805</v>
      </c>
      <c r="K1951" s="80" t="s">
        <v>11333</v>
      </c>
    </row>
    <row r="1952" spans="1:11" x14ac:dyDescent="0.25">
      <c r="A1952" s="122">
        <v>1951</v>
      </c>
      <c r="B1952">
        <v>3020</v>
      </c>
      <c r="C1952" s="122" t="s">
        <v>162</v>
      </c>
      <c r="D1952" t="s">
        <v>7990</v>
      </c>
      <c r="E1952" t="s">
        <v>11334</v>
      </c>
      <c r="F1952" t="s">
        <v>10101</v>
      </c>
      <c r="G1952" t="s">
        <v>10094</v>
      </c>
      <c r="H1952" t="s">
        <v>5465</v>
      </c>
      <c r="I1952" t="s">
        <v>11335</v>
      </c>
      <c r="J1952" t="s">
        <v>4779</v>
      </c>
      <c r="K1952" t="s">
        <v>8243</v>
      </c>
    </row>
    <row r="1953" spans="1:11" x14ac:dyDescent="0.25">
      <c r="A1953" s="122">
        <v>1952</v>
      </c>
      <c r="B1953">
        <v>3020</v>
      </c>
      <c r="C1953" s="122" t="s">
        <v>170</v>
      </c>
      <c r="D1953" t="s">
        <v>9562</v>
      </c>
      <c r="E1953" t="s">
        <v>11336</v>
      </c>
      <c r="F1953" t="s">
        <v>11337</v>
      </c>
      <c r="G1953" t="s">
        <v>10160</v>
      </c>
      <c r="H1953" t="s">
        <v>11338</v>
      </c>
      <c r="I1953" s="80" t="s">
        <v>11339</v>
      </c>
      <c r="J1953" t="s">
        <v>9366</v>
      </c>
      <c r="K1953" t="s">
        <v>11340</v>
      </c>
    </row>
    <row r="1954" spans="1:11" x14ac:dyDescent="0.25">
      <c r="A1954" s="122">
        <v>1953</v>
      </c>
      <c r="B1954">
        <v>3020</v>
      </c>
      <c r="C1954" s="122" t="s">
        <v>178</v>
      </c>
      <c r="D1954" t="s">
        <v>7577</v>
      </c>
      <c r="E1954" t="s">
        <v>11341</v>
      </c>
      <c r="F1954" t="s">
        <v>11342</v>
      </c>
      <c r="G1954" t="s">
        <v>10191</v>
      </c>
      <c r="H1954" t="s">
        <v>11343</v>
      </c>
      <c r="I1954" s="80" t="s">
        <v>11344</v>
      </c>
      <c r="J1954" t="s">
        <v>11025</v>
      </c>
      <c r="K1954" t="s">
        <v>11345</v>
      </c>
    </row>
    <row r="1955" spans="1:11" x14ac:dyDescent="0.25">
      <c r="A1955" s="122">
        <v>1954</v>
      </c>
      <c r="B1955">
        <v>3020</v>
      </c>
      <c r="C1955" s="122" t="s">
        <v>163</v>
      </c>
      <c r="D1955" t="s">
        <v>8115</v>
      </c>
      <c r="E1955" t="s">
        <v>11346</v>
      </c>
      <c r="F1955" t="s">
        <v>11347</v>
      </c>
      <c r="G1955" t="s">
        <v>7992</v>
      </c>
      <c r="H1955" t="s">
        <v>11348</v>
      </c>
      <c r="I1955" s="80" t="s">
        <v>11349</v>
      </c>
      <c r="J1955" t="s">
        <v>11350</v>
      </c>
      <c r="K1955" t="s">
        <v>11351</v>
      </c>
    </row>
    <row r="1956" spans="1:11" x14ac:dyDescent="0.25">
      <c r="A1956" s="122">
        <v>1955</v>
      </c>
      <c r="B1956">
        <v>3020</v>
      </c>
      <c r="C1956" s="122" t="s">
        <v>181</v>
      </c>
      <c r="D1956" t="s">
        <v>7995</v>
      </c>
      <c r="E1956" s="111" t="s">
        <v>962</v>
      </c>
      <c r="F1956" t="s">
        <v>2735</v>
      </c>
      <c r="G1956" t="s">
        <v>8218</v>
      </c>
      <c r="H1956" t="s">
        <v>11352</v>
      </c>
      <c r="I1956" t="s">
        <v>11353</v>
      </c>
      <c r="J1956" t="s">
        <v>9323</v>
      </c>
      <c r="K1956" t="s">
        <v>11354</v>
      </c>
    </row>
    <row r="1957" spans="1:11" x14ac:dyDescent="0.25">
      <c r="A1957" s="122">
        <v>1956</v>
      </c>
      <c r="B1957">
        <v>3020</v>
      </c>
      <c r="C1957" s="122" t="s">
        <v>183</v>
      </c>
      <c r="D1957" t="s">
        <v>8010</v>
      </c>
      <c r="E1957" s="80" t="s">
        <v>11355</v>
      </c>
      <c r="F1957" t="s">
        <v>11356</v>
      </c>
      <c r="G1957" t="s">
        <v>8020</v>
      </c>
      <c r="H1957" t="s">
        <v>11357</v>
      </c>
      <c r="I1957" s="80" t="s">
        <v>11358</v>
      </c>
      <c r="J1957" t="s">
        <v>11359</v>
      </c>
      <c r="K1957" t="s">
        <v>11360</v>
      </c>
    </row>
    <row r="1958" spans="1:11" x14ac:dyDescent="0.25">
      <c r="A1958" s="122">
        <v>1957</v>
      </c>
      <c r="B1958">
        <v>3020</v>
      </c>
      <c r="C1958" s="122" t="s">
        <v>186</v>
      </c>
      <c r="D1958" t="s">
        <v>7949</v>
      </c>
      <c r="E1958" s="80" t="s">
        <v>11361</v>
      </c>
      <c r="F1958" s="80" t="s">
        <v>11362</v>
      </c>
      <c r="G1958" t="s">
        <v>7973</v>
      </c>
      <c r="H1958" s="80" t="s">
        <v>11363</v>
      </c>
      <c r="I1958" s="80" t="s">
        <v>11364</v>
      </c>
      <c r="J1958" t="s">
        <v>11365</v>
      </c>
      <c r="K1958" s="80" t="s">
        <v>11366</v>
      </c>
    </row>
    <row r="1959" spans="1:11" x14ac:dyDescent="0.25">
      <c r="A1959" s="122">
        <v>1958</v>
      </c>
      <c r="B1959">
        <v>3020</v>
      </c>
      <c r="C1959" s="122" t="s">
        <v>188</v>
      </c>
      <c r="D1959" t="s">
        <v>8052</v>
      </c>
      <c r="E1959" s="111" t="s">
        <v>964</v>
      </c>
      <c r="F1959" t="s">
        <v>11367</v>
      </c>
      <c r="G1959" t="s">
        <v>7987</v>
      </c>
      <c r="H1959" s="80" t="s">
        <v>11368</v>
      </c>
      <c r="I1959" s="80" t="s">
        <v>11369</v>
      </c>
      <c r="J1959" t="s">
        <v>9417</v>
      </c>
      <c r="K1959" s="111" t="s">
        <v>965</v>
      </c>
    </row>
    <row r="1960" spans="1:11" x14ac:dyDescent="0.25">
      <c r="A1960" s="122">
        <v>1959</v>
      </c>
      <c r="B1960">
        <v>3020</v>
      </c>
      <c r="C1960" s="122" t="s">
        <v>182</v>
      </c>
      <c r="D1960" s="80" t="s">
        <v>7565</v>
      </c>
      <c r="E1960" t="s">
        <v>11370</v>
      </c>
      <c r="F1960" t="s">
        <v>6297</v>
      </c>
      <c r="G1960" t="s">
        <v>4437</v>
      </c>
      <c r="H1960" t="s">
        <v>3068</v>
      </c>
      <c r="I1960" t="s">
        <v>1904</v>
      </c>
      <c r="J1960" t="s">
        <v>11371</v>
      </c>
      <c r="K1960" t="s">
        <v>7184</v>
      </c>
    </row>
    <row r="1961" spans="1:11" x14ac:dyDescent="0.25">
      <c r="A1961" s="122">
        <v>1960</v>
      </c>
      <c r="B1961">
        <v>3020</v>
      </c>
      <c r="C1961" s="122" t="s">
        <v>184</v>
      </c>
      <c r="D1961" t="s">
        <v>9386</v>
      </c>
      <c r="E1961" t="s">
        <v>11372</v>
      </c>
      <c r="F1961" t="s">
        <v>11373</v>
      </c>
      <c r="G1961" t="s">
        <v>7992</v>
      </c>
      <c r="H1961" t="s">
        <v>11374</v>
      </c>
      <c r="I1961" s="80" t="s">
        <v>11375</v>
      </c>
      <c r="J1961" t="s">
        <v>9259</v>
      </c>
      <c r="K1961" t="s">
        <v>11376</v>
      </c>
    </row>
    <row r="1962" spans="1:11" x14ac:dyDescent="0.25">
      <c r="A1962" s="122">
        <v>1961</v>
      </c>
      <c r="B1962">
        <v>3020</v>
      </c>
      <c r="C1962" s="122" t="s">
        <v>187</v>
      </c>
      <c r="D1962" t="s">
        <v>8010</v>
      </c>
      <c r="E1962" t="s">
        <v>11377</v>
      </c>
      <c r="F1962" t="s">
        <v>11378</v>
      </c>
      <c r="G1962" t="s">
        <v>8020</v>
      </c>
      <c r="H1962" t="s">
        <v>11379</v>
      </c>
      <c r="I1962" s="80" t="s">
        <v>11380</v>
      </c>
      <c r="J1962" t="s">
        <v>9705</v>
      </c>
      <c r="K1962" t="s">
        <v>11381</v>
      </c>
    </row>
    <row r="1963" spans="1:11" x14ac:dyDescent="0.25">
      <c r="A1963" s="122">
        <v>1962</v>
      </c>
      <c r="B1963">
        <v>3020</v>
      </c>
      <c r="C1963" s="122" t="s">
        <v>189</v>
      </c>
      <c r="D1963" t="s">
        <v>7995</v>
      </c>
      <c r="E1963" t="s">
        <v>11382</v>
      </c>
      <c r="F1963" t="s">
        <v>11383</v>
      </c>
      <c r="G1963" t="s">
        <v>9502</v>
      </c>
      <c r="H1963" t="s">
        <v>11384</v>
      </c>
      <c r="I1963" s="80" t="s">
        <v>11385</v>
      </c>
      <c r="J1963" t="s">
        <v>9265</v>
      </c>
      <c r="K1963" t="s">
        <v>11386</v>
      </c>
    </row>
    <row r="1964" spans="1:11" x14ac:dyDescent="0.25">
      <c r="A1964" s="122">
        <v>1963</v>
      </c>
      <c r="B1964">
        <v>3018</v>
      </c>
      <c r="C1964" s="122" t="s">
        <v>162</v>
      </c>
      <c r="D1964" t="s">
        <v>7577</v>
      </c>
      <c r="E1964" s="80" t="s">
        <v>11387</v>
      </c>
      <c r="F1964" t="s">
        <v>11388</v>
      </c>
      <c r="G1964" t="s">
        <v>10108</v>
      </c>
      <c r="H1964" t="s">
        <v>3765</v>
      </c>
      <c r="I1964" t="s">
        <v>11389</v>
      </c>
      <c r="J1964" t="s">
        <v>10686</v>
      </c>
      <c r="K1964" t="s">
        <v>9145</v>
      </c>
    </row>
    <row r="1965" spans="1:11" x14ac:dyDescent="0.25">
      <c r="A1965" s="122">
        <v>1964</v>
      </c>
      <c r="B1965">
        <v>3018</v>
      </c>
      <c r="C1965" s="122" t="s">
        <v>170</v>
      </c>
      <c r="D1965" t="s">
        <v>10099</v>
      </c>
      <c r="E1965" t="s">
        <v>11390</v>
      </c>
      <c r="F1965" t="s">
        <v>11391</v>
      </c>
      <c r="G1965" t="s">
        <v>9646</v>
      </c>
      <c r="H1965" t="s">
        <v>10063</v>
      </c>
      <c r="I1965" s="80" t="s">
        <v>11392</v>
      </c>
      <c r="J1965" t="s">
        <v>10927</v>
      </c>
      <c r="K1965" t="s">
        <v>11393</v>
      </c>
    </row>
    <row r="1966" spans="1:11" x14ac:dyDescent="0.25">
      <c r="A1966" s="122">
        <v>1965</v>
      </c>
      <c r="B1966">
        <v>3018</v>
      </c>
      <c r="C1966" s="122" t="s">
        <v>178</v>
      </c>
      <c r="D1966" t="s">
        <v>7577</v>
      </c>
      <c r="E1966" s="80" t="s">
        <v>11394</v>
      </c>
      <c r="F1966" t="s">
        <v>11395</v>
      </c>
      <c r="G1966" t="s">
        <v>10191</v>
      </c>
      <c r="H1966" t="s">
        <v>11396</v>
      </c>
      <c r="I1966" s="80" t="s">
        <v>11397</v>
      </c>
      <c r="J1966" t="s">
        <v>10686</v>
      </c>
      <c r="K1966" t="s">
        <v>11398</v>
      </c>
    </row>
    <row r="1967" spans="1:11" x14ac:dyDescent="0.25">
      <c r="A1967" s="122">
        <v>1966</v>
      </c>
      <c r="B1967">
        <v>3018</v>
      </c>
      <c r="C1967" s="122" t="s">
        <v>163</v>
      </c>
      <c r="D1967" t="s">
        <v>8109</v>
      </c>
      <c r="E1967" s="80" t="s">
        <v>11399</v>
      </c>
      <c r="F1967" s="80" t="s">
        <v>11400</v>
      </c>
      <c r="G1967" t="s">
        <v>7952</v>
      </c>
      <c r="H1967" t="s">
        <v>11401</v>
      </c>
      <c r="I1967" s="80" t="s">
        <v>11402</v>
      </c>
      <c r="J1967" t="s">
        <v>9615</v>
      </c>
      <c r="K1967" s="80" t="s">
        <v>11403</v>
      </c>
    </row>
    <row r="1968" spans="1:11" x14ac:dyDescent="0.25">
      <c r="A1968" s="122">
        <v>1967</v>
      </c>
      <c r="B1968">
        <v>3018</v>
      </c>
      <c r="C1968" s="122" t="s">
        <v>181</v>
      </c>
      <c r="D1968" t="s">
        <v>583</v>
      </c>
      <c r="E1968" t="s">
        <v>11404</v>
      </c>
      <c r="F1968" t="s">
        <v>11405</v>
      </c>
      <c r="G1968" t="s">
        <v>583</v>
      </c>
      <c r="H1968" t="s">
        <v>10092</v>
      </c>
      <c r="I1968" t="s">
        <v>5220</v>
      </c>
      <c r="J1968" t="s">
        <v>9037</v>
      </c>
      <c r="K1968" t="s">
        <v>9912</v>
      </c>
    </row>
    <row r="1969" spans="1:11" x14ac:dyDescent="0.25">
      <c r="A1969" s="122">
        <v>1968</v>
      </c>
      <c r="B1969">
        <v>3018</v>
      </c>
      <c r="C1969" s="122" t="s">
        <v>183</v>
      </c>
      <c r="D1969" t="s">
        <v>10099</v>
      </c>
      <c r="E1969" t="s">
        <v>11406</v>
      </c>
      <c r="F1969" t="s">
        <v>11407</v>
      </c>
      <c r="G1969" t="s">
        <v>9646</v>
      </c>
      <c r="H1969" t="s">
        <v>11408</v>
      </c>
      <c r="I1969" s="80" t="s">
        <v>11409</v>
      </c>
      <c r="J1969" t="s">
        <v>11025</v>
      </c>
      <c r="K1969" t="s">
        <v>11410</v>
      </c>
    </row>
    <row r="1970" spans="1:11" x14ac:dyDescent="0.25">
      <c r="A1970" s="122">
        <v>1969</v>
      </c>
      <c r="B1970">
        <v>3018</v>
      </c>
      <c r="C1970" s="122" t="s">
        <v>186</v>
      </c>
      <c r="D1970" t="s">
        <v>10099</v>
      </c>
      <c r="E1970" t="s">
        <v>11411</v>
      </c>
      <c r="F1970" t="s">
        <v>11412</v>
      </c>
      <c r="G1970" t="s">
        <v>10191</v>
      </c>
      <c r="H1970" t="s">
        <v>11413</v>
      </c>
      <c r="I1970" s="80" t="s">
        <v>11414</v>
      </c>
      <c r="J1970" t="s">
        <v>9323</v>
      </c>
      <c r="K1970" t="s">
        <v>11415</v>
      </c>
    </row>
    <row r="1971" spans="1:11" x14ac:dyDescent="0.25">
      <c r="A1971" s="122">
        <v>1970</v>
      </c>
      <c r="B1971">
        <v>3018</v>
      </c>
      <c r="C1971" s="122" t="s">
        <v>188</v>
      </c>
      <c r="D1971" t="s">
        <v>8288</v>
      </c>
      <c r="E1971" t="s">
        <v>11416</v>
      </c>
      <c r="F1971" t="s">
        <v>11417</v>
      </c>
      <c r="G1971" t="s">
        <v>9502</v>
      </c>
      <c r="H1971" t="s">
        <v>11418</v>
      </c>
      <c r="I1971" s="80" t="s">
        <v>11419</v>
      </c>
      <c r="J1971" t="s">
        <v>9672</v>
      </c>
      <c r="K1971" s="80" t="s">
        <v>11420</v>
      </c>
    </row>
    <row r="1972" spans="1:11" x14ac:dyDescent="0.25">
      <c r="A1972" s="122">
        <v>1971</v>
      </c>
      <c r="B1972">
        <v>3018</v>
      </c>
      <c r="C1972" s="122" t="s">
        <v>182</v>
      </c>
      <c r="D1972" t="s">
        <v>9360</v>
      </c>
      <c r="E1972" t="s">
        <v>828</v>
      </c>
      <c r="F1972" t="s">
        <v>8936</v>
      </c>
      <c r="G1972" t="s">
        <v>3786</v>
      </c>
      <c r="H1972" t="s">
        <v>11421</v>
      </c>
      <c r="I1972" t="s">
        <v>4147</v>
      </c>
      <c r="J1972" t="s">
        <v>9037</v>
      </c>
      <c r="K1972" t="s">
        <v>6842</v>
      </c>
    </row>
    <row r="1973" spans="1:11" x14ac:dyDescent="0.25">
      <c r="A1973" s="122">
        <v>1972</v>
      </c>
      <c r="B1973">
        <v>3018</v>
      </c>
      <c r="C1973" s="122" t="s">
        <v>184</v>
      </c>
      <c r="D1973" t="s">
        <v>10099</v>
      </c>
      <c r="E1973" s="80" t="s">
        <v>11422</v>
      </c>
      <c r="F1973" t="s">
        <v>11423</v>
      </c>
      <c r="G1973" t="s">
        <v>9646</v>
      </c>
      <c r="H1973" t="s">
        <v>11424</v>
      </c>
      <c r="I1973" s="80" t="s">
        <v>11425</v>
      </c>
      <c r="J1973" t="s">
        <v>10927</v>
      </c>
      <c r="K1973" t="s">
        <v>11426</v>
      </c>
    </row>
    <row r="1974" spans="1:11" x14ac:dyDescent="0.25">
      <c r="A1974" s="122">
        <v>1973</v>
      </c>
      <c r="B1974">
        <v>3018</v>
      </c>
      <c r="C1974" s="122" t="s">
        <v>187</v>
      </c>
      <c r="D1974" t="s">
        <v>8017</v>
      </c>
      <c r="E1974" s="80" t="s">
        <v>11427</v>
      </c>
      <c r="F1974" t="s">
        <v>11428</v>
      </c>
      <c r="G1974" t="s">
        <v>10108</v>
      </c>
      <c r="H1974" t="s">
        <v>10691</v>
      </c>
      <c r="I1974" s="80" t="s">
        <v>11429</v>
      </c>
      <c r="J1974" t="s">
        <v>9323</v>
      </c>
      <c r="K1974" t="s">
        <v>11430</v>
      </c>
    </row>
    <row r="1975" spans="1:11" x14ac:dyDescent="0.25">
      <c r="A1975" s="122">
        <v>1974</v>
      </c>
      <c r="B1975">
        <v>3018</v>
      </c>
      <c r="C1975" s="122" t="s">
        <v>189</v>
      </c>
      <c r="D1975" t="s">
        <v>8010</v>
      </c>
      <c r="E1975" s="80" t="s">
        <v>11431</v>
      </c>
      <c r="F1975" t="s">
        <v>11432</v>
      </c>
      <c r="G1975" t="s">
        <v>8020</v>
      </c>
      <c r="H1975" t="s">
        <v>11433</v>
      </c>
      <c r="I1975" s="80" t="s">
        <v>11434</v>
      </c>
      <c r="J1975" t="s">
        <v>9575</v>
      </c>
      <c r="K1975" s="80" t="s">
        <v>11435</v>
      </c>
    </row>
    <row r="1976" spans="1:11" x14ac:dyDescent="0.25">
      <c r="A1976" s="122">
        <v>1975</v>
      </c>
      <c r="B1976">
        <v>3017</v>
      </c>
      <c r="C1976" s="122" t="s">
        <v>162</v>
      </c>
      <c r="D1976" t="s">
        <v>10099</v>
      </c>
      <c r="E1976" s="80" t="s">
        <v>11436</v>
      </c>
      <c r="F1976" t="s">
        <v>10417</v>
      </c>
      <c r="G1976" t="s">
        <v>9646</v>
      </c>
      <c r="H1976" t="s">
        <v>6760</v>
      </c>
      <c r="I1976" t="s">
        <v>11437</v>
      </c>
      <c r="J1976" t="s">
        <v>9880</v>
      </c>
      <c r="K1976" t="s">
        <v>7121</v>
      </c>
    </row>
    <row r="1977" spans="1:11" x14ac:dyDescent="0.25">
      <c r="A1977" s="122">
        <v>1976</v>
      </c>
      <c r="B1977">
        <v>3017</v>
      </c>
      <c r="C1977" s="122" t="s">
        <v>170</v>
      </c>
      <c r="D1977" t="s">
        <v>1832</v>
      </c>
      <c r="E1977" t="s">
        <v>11438</v>
      </c>
      <c r="F1977" t="s">
        <v>2825</v>
      </c>
      <c r="G1977" t="s">
        <v>10191</v>
      </c>
      <c r="H1977" t="s">
        <v>11439</v>
      </c>
      <c r="I1977" s="80" t="s">
        <v>11440</v>
      </c>
      <c r="J1977" t="s">
        <v>10548</v>
      </c>
      <c r="K1977" t="s">
        <v>11441</v>
      </c>
    </row>
    <row r="1978" spans="1:11" x14ac:dyDescent="0.25">
      <c r="A1978" s="122">
        <v>1977</v>
      </c>
      <c r="B1978">
        <v>3017</v>
      </c>
      <c r="C1978" s="122" t="s">
        <v>178</v>
      </c>
      <c r="D1978" t="s">
        <v>11442</v>
      </c>
      <c r="E1978" t="s">
        <v>11443</v>
      </c>
      <c r="F1978" t="s">
        <v>11444</v>
      </c>
      <c r="G1978" t="s">
        <v>10108</v>
      </c>
      <c r="H1978" t="s">
        <v>11445</v>
      </c>
      <c r="I1978" s="80" t="s">
        <v>11446</v>
      </c>
      <c r="J1978" t="s">
        <v>11350</v>
      </c>
      <c r="K1978" t="s">
        <v>11447</v>
      </c>
    </row>
    <row r="1979" spans="1:11" x14ac:dyDescent="0.25">
      <c r="A1979" s="122">
        <v>1978</v>
      </c>
      <c r="B1979">
        <v>3017</v>
      </c>
      <c r="C1979" s="122" t="s">
        <v>163</v>
      </c>
      <c r="D1979" t="s">
        <v>11448</v>
      </c>
      <c r="E1979" t="s">
        <v>11449</v>
      </c>
      <c r="F1979" t="s">
        <v>11450</v>
      </c>
      <c r="G1979" t="s">
        <v>8020</v>
      </c>
      <c r="H1979" t="s">
        <v>11451</v>
      </c>
      <c r="I1979" s="80" t="s">
        <v>11452</v>
      </c>
      <c r="J1979" t="s">
        <v>9588</v>
      </c>
      <c r="K1979" s="80" t="s">
        <v>11453</v>
      </c>
    </row>
    <row r="1980" spans="1:11" x14ac:dyDescent="0.25">
      <c r="A1980" s="122">
        <v>1979</v>
      </c>
      <c r="B1980">
        <v>3017</v>
      </c>
      <c r="C1980" s="122" t="s">
        <v>181</v>
      </c>
      <c r="D1980" t="s">
        <v>7995</v>
      </c>
      <c r="E1980" s="80" t="s">
        <v>11454</v>
      </c>
      <c r="F1980" t="s">
        <v>1765</v>
      </c>
      <c r="G1980" t="s">
        <v>8269</v>
      </c>
      <c r="H1980" t="s">
        <v>6743</v>
      </c>
      <c r="I1980" t="s">
        <v>11455</v>
      </c>
      <c r="J1980" t="s">
        <v>10686</v>
      </c>
      <c r="K1980">
        <v>98</v>
      </c>
    </row>
    <row r="1981" spans="1:11" x14ac:dyDescent="0.25">
      <c r="A1981" s="122">
        <v>1980</v>
      </c>
      <c r="B1981">
        <v>3017</v>
      </c>
      <c r="C1981" s="122" t="s">
        <v>183</v>
      </c>
      <c r="D1981" t="s">
        <v>8010</v>
      </c>
      <c r="E1981" t="s">
        <v>11456</v>
      </c>
      <c r="F1981" t="s">
        <v>11457</v>
      </c>
      <c r="G1981" t="s">
        <v>8090</v>
      </c>
      <c r="H1981" s="80" t="s">
        <v>11458</v>
      </c>
      <c r="I1981" s="80" t="s">
        <v>11459</v>
      </c>
      <c r="J1981" t="s">
        <v>11460</v>
      </c>
      <c r="K1981" s="80" t="s">
        <v>11461</v>
      </c>
    </row>
    <row r="1982" spans="1:11" x14ac:dyDescent="0.25">
      <c r="A1982" s="122">
        <v>1981</v>
      </c>
      <c r="B1982">
        <v>3017</v>
      </c>
      <c r="C1982" s="122" t="s">
        <v>186</v>
      </c>
      <c r="D1982" t="s">
        <v>9475</v>
      </c>
      <c r="E1982" s="80" t="s">
        <v>11462</v>
      </c>
      <c r="F1982" t="s">
        <v>11463</v>
      </c>
      <c r="G1982" t="s">
        <v>8020</v>
      </c>
      <c r="H1982" t="s">
        <v>11464</v>
      </c>
      <c r="I1982" s="80" t="s">
        <v>11465</v>
      </c>
      <c r="J1982" t="s">
        <v>11460</v>
      </c>
      <c r="K1982" s="80" t="s">
        <v>11466</v>
      </c>
    </row>
    <row r="1983" spans="1:11" x14ac:dyDescent="0.25">
      <c r="A1983" s="122">
        <v>1982</v>
      </c>
      <c r="B1983">
        <v>3017</v>
      </c>
      <c r="C1983" s="122" t="s">
        <v>188</v>
      </c>
      <c r="D1983" t="s">
        <v>8155</v>
      </c>
      <c r="E1983" s="80" t="s">
        <v>11467</v>
      </c>
      <c r="F1983" t="s">
        <v>11468</v>
      </c>
      <c r="G1983" t="s">
        <v>8090</v>
      </c>
      <c r="H1983" t="s">
        <v>11469</v>
      </c>
      <c r="I1983" s="80" t="s">
        <v>11470</v>
      </c>
      <c r="J1983" t="s">
        <v>9251</v>
      </c>
      <c r="K1983" s="80" t="s">
        <v>11471</v>
      </c>
    </row>
    <row r="1984" spans="1:11" x14ac:dyDescent="0.25">
      <c r="A1984" s="122">
        <v>1983</v>
      </c>
      <c r="B1984">
        <v>3017</v>
      </c>
      <c r="C1984" s="122" t="s">
        <v>182</v>
      </c>
      <c r="D1984" t="s">
        <v>7577</v>
      </c>
      <c r="E1984" t="s">
        <v>11472</v>
      </c>
      <c r="F1984" t="s">
        <v>3679</v>
      </c>
      <c r="G1984" t="s">
        <v>9646</v>
      </c>
      <c r="H1984" t="s">
        <v>11473</v>
      </c>
      <c r="I1984" s="80" t="s">
        <v>11474</v>
      </c>
      <c r="J1984" t="s">
        <v>11475</v>
      </c>
      <c r="K1984" t="s">
        <v>11476</v>
      </c>
    </row>
    <row r="1985" spans="1:11" x14ac:dyDescent="0.25">
      <c r="A1985" s="122">
        <v>1984</v>
      </c>
      <c r="B1985">
        <v>3017</v>
      </c>
      <c r="C1985" s="122" t="s">
        <v>184</v>
      </c>
      <c r="D1985" t="s">
        <v>8115</v>
      </c>
      <c r="E1985" s="80" t="s">
        <v>11477</v>
      </c>
      <c r="F1985" t="s">
        <v>11478</v>
      </c>
      <c r="G1985" t="s">
        <v>8090</v>
      </c>
      <c r="H1985" s="80" t="s">
        <v>11479</v>
      </c>
      <c r="I1985" s="80" t="s">
        <v>11480</v>
      </c>
      <c r="J1985" t="s">
        <v>9672</v>
      </c>
      <c r="K1985" t="s">
        <v>11481</v>
      </c>
    </row>
    <row r="1986" spans="1:11" x14ac:dyDescent="0.25">
      <c r="A1986" s="122">
        <v>1985</v>
      </c>
      <c r="B1986">
        <v>3017</v>
      </c>
      <c r="C1986" s="122" t="s">
        <v>187</v>
      </c>
      <c r="D1986" t="s">
        <v>8109</v>
      </c>
      <c r="E1986" s="80" t="s">
        <v>11482</v>
      </c>
      <c r="F1986" t="s">
        <v>11483</v>
      </c>
      <c r="G1986" t="s">
        <v>8090</v>
      </c>
      <c r="H1986" s="80">
        <v>62404</v>
      </c>
      <c r="I1986" s="80" t="s">
        <v>11484</v>
      </c>
      <c r="J1986" t="s">
        <v>9672</v>
      </c>
      <c r="K1986" t="s">
        <v>11485</v>
      </c>
    </row>
    <row r="1987" spans="1:11" x14ac:dyDescent="0.25">
      <c r="A1987" s="122">
        <v>1986</v>
      </c>
      <c r="B1987">
        <v>3017</v>
      </c>
      <c r="C1987" s="122" t="s">
        <v>189</v>
      </c>
      <c r="D1987" t="s">
        <v>5713</v>
      </c>
      <c r="E1987" s="80" t="s">
        <v>11486</v>
      </c>
      <c r="F1987" t="s">
        <v>11487</v>
      </c>
      <c r="G1987" t="s">
        <v>8158</v>
      </c>
      <c r="H1987" s="80" t="s">
        <v>11488</v>
      </c>
      <c r="I1987" s="80" t="s">
        <v>11489</v>
      </c>
      <c r="J1987" t="s">
        <v>11460</v>
      </c>
      <c r="K1987" s="80" t="s">
        <v>11341</v>
      </c>
    </row>
    <row r="1988" spans="1:11" x14ac:dyDescent="0.25">
      <c r="A1988" s="122">
        <v>1987</v>
      </c>
      <c r="B1988">
        <v>3025</v>
      </c>
      <c r="C1988" s="122" t="s">
        <v>182</v>
      </c>
      <c r="D1988" t="s">
        <v>583</v>
      </c>
      <c r="E1988" t="s">
        <v>11490</v>
      </c>
      <c r="F1988" t="s">
        <v>583</v>
      </c>
      <c r="G1988" t="s">
        <v>583</v>
      </c>
      <c r="H1988" t="s">
        <v>583</v>
      </c>
      <c r="I1988" t="s">
        <v>6238</v>
      </c>
      <c r="J1988" t="s">
        <v>583</v>
      </c>
      <c r="K1988" t="s">
        <v>9747</v>
      </c>
    </row>
    <row r="1989" spans="1:11" x14ac:dyDescent="0.25">
      <c r="A1989" s="122">
        <v>1988</v>
      </c>
      <c r="B1989">
        <v>3025</v>
      </c>
      <c r="C1989" s="122" t="s">
        <v>184</v>
      </c>
      <c r="D1989" t="s">
        <v>1906</v>
      </c>
      <c r="E1989" t="s">
        <v>11491</v>
      </c>
      <c r="F1989" t="s">
        <v>8350</v>
      </c>
      <c r="G1989" t="s">
        <v>583</v>
      </c>
      <c r="H1989" t="s">
        <v>11492</v>
      </c>
      <c r="I1989" s="80" t="s">
        <v>11493</v>
      </c>
      <c r="J1989" t="s">
        <v>11371</v>
      </c>
      <c r="K1989" t="s">
        <v>11494</v>
      </c>
    </row>
    <row r="1990" spans="1:11" x14ac:dyDescent="0.25">
      <c r="A1990" s="122">
        <v>1989</v>
      </c>
      <c r="B1990">
        <v>3025</v>
      </c>
      <c r="C1990" s="122" t="s">
        <v>187</v>
      </c>
      <c r="D1990" t="s">
        <v>1906</v>
      </c>
      <c r="E1990" t="s">
        <v>11495</v>
      </c>
      <c r="F1990" t="s">
        <v>11496</v>
      </c>
      <c r="G1990" t="s">
        <v>3786</v>
      </c>
      <c r="H1990" t="s">
        <v>11497</v>
      </c>
      <c r="I1990" s="80" t="s">
        <v>11498</v>
      </c>
      <c r="J1990" t="s">
        <v>9037</v>
      </c>
      <c r="K1990" t="s">
        <v>11499</v>
      </c>
    </row>
    <row r="1991" spans="1:11" x14ac:dyDescent="0.25">
      <c r="A1991" s="122">
        <v>1990</v>
      </c>
      <c r="B1991">
        <v>3025</v>
      </c>
      <c r="C1991" s="122" t="s">
        <v>189</v>
      </c>
      <c r="D1991" t="s">
        <v>583</v>
      </c>
      <c r="E1991" t="s">
        <v>10731</v>
      </c>
      <c r="F1991" t="s">
        <v>11500</v>
      </c>
      <c r="G1991" s="80" t="s">
        <v>9726</v>
      </c>
      <c r="H1991" t="s">
        <v>11501</v>
      </c>
      <c r="I1991" t="s">
        <v>11502</v>
      </c>
      <c r="J1991" s="80" t="s">
        <v>6530</v>
      </c>
      <c r="K1991" t="s">
        <v>11503</v>
      </c>
    </row>
    <row r="1992" spans="1:11" x14ac:dyDescent="0.25">
      <c r="A1992" s="122">
        <v>1991</v>
      </c>
      <c r="B1992">
        <v>3026</v>
      </c>
      <c r="C1992" s="122" t="s">
        <v>182</v>
      </c>
      <c r="D1992" t="s">
        <v>9339</v>
      </c>
      <c r="E1992" s="80" t="s">
        <v>11504</v>
      </c>
      <c r="F1992" t="s">
        <v>11405</v>
      </c>
      <c r="G1992" t="s">
        <v>8096</v>
      </c>
      <c r="H1992" t="s">
        <v>11505</v>
      </c>
      <c r="I1992" t="s">
        <v>11506</v>
      </c>
      <c r="J1992" t="s">
        <v>10927</v>
      </c>
      <c r="K1992" t="s">
        <v>11507</v>
      </c>
    </row>
    <row r="1993" spans="1:11" x14ac:dyDescent="0.25">
      <c r="A1993" s="122">
        <v>1992</v>
      </c>
      <c r="B1993">
        <v>3026</v>
      </c>
      <c r="C1993" s="122" t="s">
        <v>184</v>
      </c>
      <c r="D1993" t="s">
        <v>9475</v>
      </c>
      <c r="E1993" s="80" t="s">
        <v>11508</v>
      </c>
      <c r="F1993" t="s">
        <v>11509</v>
      </c>
      <c r="G1993" t="s">
        <v>8020</v>
      </c>
      <c r="H1993" t="s">
        <v>11510</v>
      </c>
      <c r="I1993" s="80" t="s">
        <v>11511</v>
      </c>
      <c r="J1993" t="s">
        <v>9672</v>
      </c>
      <c r="K1993" t="s">
        <v>11512</v>
      </c>
    </row>
    <row r="1994" spans="1:11" x14ac:dyDescent="0.25">
      <c r="A1994" s="122">
        <v>1993</v>
      </c>
      <c r="B1994">
        <v>3026</v>
      </c>
      <c r="C1994" s="122" t="s">
        <v>187</v>
      </c>
      <c r="D1994" t="s">
        <v>8003</v>
      </c>
      <c r="E1994" s="80" t="s">
        <v>11513</v>
      </c>
      <c r="F1994" s="80" t="s">
        <v>11514</v>
      </c>
      <c r="G1994" t="s">
        <v>8344</v>
      </c>
      <c r="H1994" t="s">
        <v>11515</v>
      </c>
      <c r="I1994" s="80" t="s">
        <v>11516</v>
      </c>
      <c r="J1994" t="s">
        <v>3825</v>
      </c>
      <c r="K1994" s="80" t="s">
        <v>11517</v>
      </c>
    </row>
    <row r="1995" spans="1:11" x14ac:dyDescent="0.25">
      <c r="A1995" s="122">
        <v>1994</v>
      </c>
      <c r="B1995">
        <v>3026</v>
      </c>
      <c r="C1995" s="122" t="s">
        <v>189</v>
      </c>
      <c r="D1995" t="s">
        <v>9649</v>
      </c>
      <c r="E1995" s="80" t="s">
        <v>11518</v>
      </c>
      <c r="F1995" t="s">
        <v>11519</v>
      </c>
      <c r="G1995" t="s">
        <v>8090</v>
      </c>
      <c r="H1995" t="s">
        <v>11520</v>
      </c>
      <c r="I1995" s="80" t="s">
        <v>11521</v>
      </c>
      <c r="J1995" t="s">
        <v>10805</v>
      </c>
      <c r="K1995" s="80" t="s">
        <v>11522</v>
      </c>
    </row>
    <row r="1996" spans="1:11" x14ac:dyDescent="0.25">
      <c r="A1996" s="122">
        <v>1995</v>
      </c>
      <c r="B1996" s="91">
        <v>3026</v>
      </c>
      <c r="C1996" s="123" t="s">
        <v>162</v>
      </c>
      <c r="D1996" s="80" t="s">
        <v>7565</v>
      </c>
      <c r="E1996" t="s">
        <v>11523</v>
      </c>
      <c r="F1996" t="s">
        <v>11524</v>
      </c>
      <c r="G1996" s="80" t="s">
        <v>9726</v>
      </c>
      <c r="H1996" t="s">
        <v>11525</v>
      </c>
      <c r="I1996" s="80" t="s">
        <v>11526</v>
      </c>
      <c r="J1996" t="s">
        <v>11371</v>
      </c>
      <c r="K1996" t="s">
        <v>11527</v>
      </c>
    </row>
    <row r="1997" spans="1:11" x14ac:dyDescent="0.25">
      <c r="A1997" s="122">
        <v>1996</v>
      </c>
      <c r="B1997" s="91">
        <v>3026</v>
      </c>
      <c r="C1997" s="123" t="s">
        <v>170</v>
      </c>
      <c r="D1997" t="s">
        <v>9339</v>
      </c>
      <c r="E1997" t="s">
        <v>11528</v>
      </c>
      <c r="F1997" t="s">
        <v>11529</v>
      </c>
      <c r="G1997" t="s">
        <v>10160</v>
      </c>
      <c r="H1997" t="s">
        <v>11530</v>
      </c>
      <c r="I1997" s="80" t="s">
        <v>11531</v>
      </c>
      <c r="J1997" t="s">
        <v>8954</v>
      </c>
      <c r="K1997" t="s">
        <v>11532</v>
      </c>
    </row>
    <row r="1998" spans="1:11" x14ac:dyDescent="0.25">
      <c r="A1998" s="122">
        <v>1997</v>
      </c>
      <c r="B1998" s="91">
        <v>3026</v>
      </c>
      <c r="C1998" s="123" t="s">
        <v>178</v>
      </c>
      <c r="D1998" t="s">
        <v>8069</v>
      </c>
      <c r="E1998" t="s">
        <v>11533</v>
      </c>
      <c r="F1998" t="s">
        <v>11373</v>
      </c>
      <c r="G1998" t="s">
        <v>10094</v>
      </c>
      <c r="H1998" t="s">
        <v>11534</v>
      </c>
      <c r="I1998" s="80" t="s">
        <v>11535</v>
      </c>
      <c r="J1998" t="s">
        <v>9880</v>
      </c>
      <c r="K1998" t="s">
        <v>11536</v>
      </c>
    </row>
    <row r="1999" spans="1:11" x14ac:dyDescent="0.25">
      <c r="A1999" s="122">
        <v>1998</v>
      </c>
      <c r="B1999" s="91">
        <v>3026</v>
      </c>
      <c r="C1999" s="123" t="s">
        <v>163</v>
      </c>
      <c r="D1999" t="s">
        <v>3290</v>
      </c>
      <c r="E1999" t="s">
        <v>11537</v>
      </c>
      <c r="F1999" t="s">
        <v>11538</v>
      </c>
      <c r="G1999" t="s">
        <v>10094</v>
      </c>
      <c r="H1999" t="s">
        <v>11539</v>
      </c>
      <c r="I1999" s="80" t="s">
        <v>11540</v>
      </c>
      <c r="J1999" t="s">
        <v>9941</v>
      </c>
      <c r="K1999" t="s">
        <v>11541</v>
      </c>
    </row>
    <row r="2000" spans="1:11" x14ac:dyDescent="0.25">
      <c r="A2000" s="122">
        <v>1999</v>
      </c>
      <c r="B2000">
        <v>1076</v>
      </c>
      <c r="C2000" s="122" t="s">
        <v>162</v>
      </c>
      <c r="D2000" t="s">
        <v>1906</v>
      </c>
      <c r="E2000" t="s">
        <v>9038</v>
      </c>
      <c r="F2000" t="s">
        <v>6297</v>
      </c>
      <c r="G2000" t="s">
        <v>3786</v>
      </c>
      <c r="H2000" t="s">
        <v>583</v>
      </c>
      <c r="I2000" s="80" t="s">
        <v>6740</v>
      </c>
      <c r="J2000" t="s">
        <v>583</v>
      </c>
      <c r="K2000" t="s">
        <v>9747</v>
      </c>
    </row>
    <row r="2001" spans="1:11" x14ac:dyDescent="0.25">
      <c r="A2001" s="122">
        <v>2000</v>
      </c>
      <c r="B2001">
        <v>1076</v>
      </c>
      <c r="C2001" s="122" t="s">
        <v>170</v>
      </c>
      <c r="D2001" t="s">
        <v>3290</v>
      </c>
      <c r="E2001" t="s">
        <v>11542</v>
      </c>
      <c r="F2001" t="s">
        <v>11543</v>
      </c>
      <c r="G2001" t="s">
        <v>10191</v>
      </c>
      <c r="H2001" t="s">
        <v>11544</v>
      </c>
      <c r="I2001" s="80" t="s">
        <v>11545</v>
      </c>
      <c r="J2001" t="s">
        <v>8954</v>
      </c>
      <c r="K2001" t="s">
        <v>11546</v>
      </c>
    </row>
    <row r="2002" spans="1:11" x14ac:dyDescent="0.25">
      <c r="A2002" s="122">
        <v>2001</v>
      </c>
      <c r="B2002">
        <v>1076</v>
      </c>
      <c r="C2002" s="122" t="s">
        <v>178</v>
      </c>
      <c r="D2002" t="s">
        <v>8069</v>
      </c>
      <c r="E2002" t="s">
        <v>11547</v>
      </c>
      <c r="F2002" t="s">
        <v>11548</v>
      </c>
      <c r="G2002" t="s">
        <v>8047</v>
      </c>
      <c r="H2002" t="s">
        <v>11549</v>
      </c>
      <c r="I2002" s="80" t="s">
        <v>11550</v>
      </c>
      <c r="J2002" t="s">
        <v>8954</v>
      </c>
      <c r="K2002" t="s">
        <v>11551</v>
      </c>
    </row>
    <row r="2003" spans="1:11" x14ac:dyDescent="0.25">
      <c r="A2003" s="122">
        <v>2002</v>
      </c>
      <c r="B2003">
        <v>1076</v>
      </c>
      <c r="C2003" s="122" t="s">
        <v>163</v>
      </c>
      <c r="D2003" t="s">
        <v>9662</v>
      </c>
      <c r="E2003" t="s">
        <v>11552</v>
      </c>
      <c r="F2003" t="s">
        <v>11553</v>
      </c>
      <c r="G2003" t="s">
        <v>9317</v>
      </c>
      <c r="H2003" t="s">
        <v>11554</v>
      </c>
      <c r="I2003" s="80" t="s">
        <v>11555</v>
      </c>
      <c r="J2003" t="s">
        <v>10927</v>
      </c>
      <c r="K2003" t="s">
        <v>11556</v>
      </c>
    </row>
    <row r="2004" spans="1:11" x14ac:dyDescent="0.25">
      <c r="A2004" s="122">
        <v>2003</v>
      </c>
      <c r="B2004">
        <v>1076</v>
      </c>
      <c r="C2004" s="122" t="s">
        <v>181</v>
      </c>
      <c r="D2004" t="s">
        <v>7990</v>
      </c>
      <c r="E2004" t="s">
        <v>11557</v>
      </c>
      <c r="F2004" t="s">
        <v>10101</v>
      </c>
      <c r="G2004" t="s">
        <v>10094</v>
      </c>
      <c r="H2004" t="s">
        <v>11558</v>
      </c>
      <c r="I2004" t="s">
        <v>11559</v>
      </c>
      <c r="J2004" t="s">
        <v>9941</v>
      </c>
      <c r="K2004" t="s">
        <v>10933</v>
      </c>
    </row>
    <row r="2005" spans="1:11" x14ac:dyDescent="0.25">
      <c r="A2005" s="122">
        <v>2004</v>
      </c>
      <c r="B2005">
        <v>1076</v>
      </c>
      <c r="C2005" s="122" t="s">
        <v>183</v>
      </c>
      <c r="D2005" t="s">
        <v>7995</v>
      </c>
      <c r="E2005" t="s">
        <v>11560</v>
      </c>
      <c r="F2005" t="s">
        <v>11561</v>
      </c>
      <c r="G2005" t="s">
        <v>10108</v>
      </c>
      <c r="H2005" t="s">
        <v>11562</v>
      </c>
      <c r="I2005" s="80" t="s">
        <v>11563</v>
      </c>
      <c r="J2005" t="s">
        <v>11475</v>
      </c>
      <c r="K2005" t="s">
        <v>11564</v>
      </c>
    </row>
    <row r="2006" spans="1:11" x14ac:dyDescent="0.25">
      <c r="A2006" s="122">
        <v>2005</v>
      </c>
      <c r="B2006">
        <v>1076</v>
      </c>
      <c r="C2006" s="122" t="s">
        <v>186</v>
      </c>
      <c r="D2006" t="s">
        <v>8017</v>
      </c>
      <c r="E2006" t="s">
        <v>11565</v>
      </c>
      <c r="F2006" t="s">
        <v>11566</v>
      </c>
      <c r="G2006" t="s">
        <v>7992</v>
      </c>
      <c r="H2006" t="s">
        <v>11567</v>
      </c>
      <c r="I2006" s="80" t="s">
        <v>11568</v>
      </c>
      <c r="J2006" t="s">
        <v>10009</v>
      </c>
      <c r="K2006" t="s">
        <v>11569</v>
      </c>
    </row>
    <row r="2007" spans="1:11" x14ac:dyDescent="0.25">
      <c r="A2007" s="122">
        <v>2006</v>
      </c>
      <c r="B2007">
        <v>1076</v>
      </c>
      <c r="C2007" s="122" t="s">
        <v>188</v>
      </c>
      <c r="D2007" t="s">
        <v>9254</v>
      </c>
      <c r="E2007" t="s">
        <v>11570</v>
      </c>
      <c r="F2007" t="s">
        <v>11571</v>
      </c>
      <c r="G2007" t="s">
        <v>8218</v>
      </c>
      <c r="H2007" t="s">
        <v>11572</v>
      </c>
      <c r="I2007" s="80" t="s">
        <v>11573</v>
      </c>
      <c r="J2007" t="s">
        <v>10555</v>
      </c>
      <c r="K2007" t="s">
        <v>11574</v>
      </c>
    </row>
    <row r="2008" spans="1:11" x14ac:dyDescent="0.25">
      <c r="A2008" s="122">
        <v>2007</v>
      </c>
      <c r="B2008">
        <v>1076</v>
      </c>
      <c r="C2008" s="122" t="s">
        <v>182</v>
      </c>
      <c r="D2008" t="s">
        <v>583</v>
      </c>
      <c r="E2008" t="s">
        <v>11575</v>
      </c>
      <c r="F2008" t="s">
        <v>6474</v>
      </c>
      <c r="G2008" t="s">
        <v>583</v>
      </c>
      <c r="H2008" t="s">
        <v>583</v>
      </c>
      <c r="I2008" t="s">
        <v>3071</v>
      </c>
      <c r="J2008" t="s">
        <v>583</v>
      </c>
      <c r="K2008" t="s">
        <v>583</v>
      </c>
    </row>
    <row r="2009" spans="1:11" x14ac:dyDescent="0.25">
      <c r="A2009" s="122">
        <v>2008</v>
      </c>
      <c r="B2009">
        <v>1076</v>
      </c>
      <c r="C2009" s="122" t="s">
        <v>184</v>
      </c>
      <c r="D2009" t="s">
        <v>9662</v>
      </c>
      <c r="E2009" s="80" t="s">
        <v>11576</v>
      </c>
      <c r="F2009" t="s">
        <v>8050</v>
      </c>
      <c r="G2009" t="s">
        <v>10191</v>
      </c>
      <c r="H2009" t="s">
        <v>11577</v>
      </c>
      <c r="I2009" s="80" t="s">
        <v>11578</v>
      </c>
      <c r="J2009" t="s">
        <v>9259</v>
      </c>
      <c r="K2009" t="s">
        <v>11579</v>
      </c>
    </row>
    <row r="2010" spans="1:11" x14ac:dyDescent="0.25">
      <c r="A2010" s="122">
        <v>2009</v>
      </c>
      <c r="B2010">
        <v>1076</v>
      </c>
      <c r="C2010" s="122" t="s">
        <v>187</v>
      </c>
      <c r="D2010" t="s">
        <v>11580</v>
      </c>
      <c r="E2010" s="80" t="s">
        <v>11581</v>
      </c>
      <c r="F2010" t="s">
        <v>11582</v>
      </c>
      <c r="G2010" t="s">
        <v>8090</v>
      </c>
      <c r="H2010" s="80" t="s">
        <v>11583</v>
      </c>
      <c r="I2010" s="80" t="s">
        <v>11584</v>
      </c>
      <c r="J2010" t="s">
        <v>11257</v>
      </c>
      <c r="K2010" t="s">
        <v>11585</v>
      </c>
    </row>
    <row r="2011" spans="1:11" x14ac:dyDescent="0.25">
      <c r="A2011" s="122">
        <v>2010</v>
      </c>
      <c r="B2011">
        <v>1076</v>
      </c>
      <c r="C2011" s="122" t="s">
        <v>189</v>
      </c>
      <c r="D2011" t="s">
        <v>9730</v>
      </c>
      <c r="E2011" t="s">
        <v>11586</v>
      </c>
      <c r="F2011" t="s">
        <v>11587</v>
      </c>
      <c r="G2011" t="s">
        <v>9502</v>
      </c>
      <c r="H2011" s="80" t="s">
        <v>11588</v>
      </c>
      <c r="I2011" s="80" t="s">
        <v>11589</v>
      </c>
      <c r="J2011" t="s">
        <v>10009</v>
      </c>
      <c r="K2011" s="80" t="s">
        <v>11590</v>
      </c>
    </row>
    <row r="2012" spans="1:11" x14ac:dyDescent="0.25">
      <c r="A2012" s="122">
        <v>2011</v>
      </c>
      <c r="B2012">
        <v>1077</v>
      </c>
      <c r="C2012" s="122" t="s">
        <v>162</v>
      </c>
      <c r="D2012" t="s">
        <v>1832</v>
      </c>
      <c r="E2012" s="80" t="s">
        <v>11591</v>
      </c>
      <c r="F2012" t="s">
        <v>11592</v>
      </c>
      <c r="G2012" t="s">
        <v>8118</v>
      </c>
      <c r="H2012" t="s">
        <v>6922</v>
      </c>
      <c r="I2012" t="s">
        <v>11593</v>
      </c>
      <c r="J2012" t="s">
        <v>11350</v>
      </c>
      <c r="K2012" t="s">
        <v>11594</v>
      </c>
    </row>
    <row r="2013" spans="1:11" x14ac:dyDescent="0.25">
      <c r="A2013" s="122">
        <v>2012</v>
      </c>
      <c r="B2013">
        <v>1077</v>
      </c>
      <c r="C2013" s="122" t="s">
        <v>170</v>
      </c>
      <c r="D2013" t="s">
        <v>8010</v>
      </c>
      <c r="E2013" s="80" t="s">
        <v>11595</v>
      </c>
      <c r="F2013" t="s">
        <v>11596</v>
      </c>
      <c r="G2013" t="s">
        <v>8090</v>
      </c>
      <c r="H2013" t="s">
        <v>11597</v>
      </c>
      <c r="I2013" s="80" t="s">
        <v>11598</v>
      </c>
      <c r="J2013" t="s">
        <v>10009</v>
      </c>
      <c r="K2013" t="s">
        <v>11599</v>
      </c>
    </row>
    <row r="2014" spans="1:11" x14ac:dyDescent="0.25">
      <c r="A2014" s="122">
        <v>2013</v>
      </c>
      <c r="B2014">
        <v>1077</v>
      </c>
      <c r="C2014" s="122" t="s">
        <v>178</v>
      </c>
      <c r="D2014" t="s">
        <v>7949</v>
      </c>
      <c r="E2014" s="80" t="s">
        <v>11600</v>
      </c>
      <c r="F2014" t="s">
        <v>11601</v>
      </c>
      <c r="G2014" t="s">
        <v>8344</v>
      </c>
      <c r="H2014" t="s">
        <v>11602</v>
      </c>
      <c r="I2014" s="80" t="s">
        <v>11603</v>
      </c>
      <c r="J2014" t="s">
        <v>11257</v>
      </c>
      <c r="K2014" t="s">
        <v>11604</v>
      </c>
    </row>
    <row r="2015" spans="1:11" x14ac:dyDescent="0.25">
      <c r="A2015" s="122">
        <v>2014</v>
      </c>
      <c r="B2015">
        <v>1077</v>
      </c>
      <c r="C2015" s="122" t="s">
        <v>163</v>
      </c>
      <c r="D2015" t="s">
        <v>7949</v>
      </c>
      <c r="E2015" s="80" t="s">
        <v>11591</v>
      </c>
      <c r="F2015" t="s">
        <v>2600</v>
      </c>
      <c r="G2015" t="s">
        <v>8158</v>
      </c>
      <c r="H2015" t="s">
        <v>10738</v>
      </c>
      <c r="I2015" s="80" t="s">
        <v>11605</v>
      </c>
      <c r="J2015" t="s">
        <v>9251</v>
      </c>
      <c r="K2015" s="80" t="s">
        <v>11606</v>
      </c>
    </row>
    <row r="2016" spans="1:11" x14ac:dyDescent="0.25">
      <c r="A2016" s="122">
        <v>2015</v>
      </c>
      <c r="B2016">
        <v>1077</v>
      </c>
      <c r="C2016" s="122" t="s">
        <v>181</v>
      </c>
      <c r="D2016" t="s">
        <v>10099</v>
      </c>
      <c r="E2016" s="80" t="s">
        <v>11607</v>
      </c>
      <c r="F2016" t="s">
        <v>2009</v>
      </c>
      <c r="G2016" t="s">
        <v>9646</v>
      </c>
      <c r="H2016" t="s">
        <v>11608</v>
      </c>
      <c r="I2016" s="80" t="s">
        <v>11609</v>
      </c>
      <c r="J2016" t="s">
        <v>10548</v>
      </c>
      <c r="K2016" t="s">
        <v>11610</v>
      </c>
    </row>
    <row r="2017" spans="1:11" x14ac:dyDescent="0.25">
      <c r="A2017" s="122">
        <v>2016</v>
      </c>
      <c r="B2017">
        <v>1077</v>
      </c>
      <c r="C2017" s="122" t="s">
        <v>183</v>
      </c>
      <c r="D2017" t="s">
        <v>9649</v>
      </c>
      <c r="E2017" t="s">
        <v>11611</v>
      </c>
      <c r="F2017" t="s">
        <v>11612</v>
      </c>
      <c r="G2017" t="s">
        <v>8020</v>
      </c>
      <c r="H2017" s="80" t="s">
        <v>11613</v>
      </c>
      <c r="I2017" s="80" t="s">
        <v>11614</v>
      </c>
      <c r="J2017" t="s">
        <v>11257</v>
      </c>
      <c r="K2017" s="80" t="s">
        <v>11615</v>
      </c>
    </row>
    <row r="2018" spans="1:11" x14ac:dyDescent="0.25">
      <c r="A2018" s="122">
        <v>2017</v>
      </c>
      <c r="B2018">
        <v>1077</v>
      </c>
      <c r="C2018" s="122" t="s">
        <v>186</v>
      </c>
      <c r="D2018" t="s">
        <v>8115</v>
      </c>
      <c r="E2018" t="s">
        <v>11616</v>
      </c>
      <c r="F2018" t="s">
        <v>11617</v>
      </c>
      <c r="G2018" t="s">
        <v>10108</v>
      </c>
      <c r="H2018" s="80" t="s">
        <v>11618</v>
      </c>
      <c r="I2018" s="80" t="s">
        <v>11619</v>
      </c>
      <c r="J2018" t="s">
        <v>9672</v>
      </c>
      <c r="K2018" s="80" t="s">
        <v>11620</v>
      </c>
    </row>
    <row r="2019" spans="1:11" x14ac:dyDescent="0.25">
      <c r="A2019" s="122">
        <v>2018</v>
      </c>
      <c r="B2019">
        <v>1077</v>
      </c>
      <c r="C2019" s="122" t="s">
        <v>188</v>
      </c>
      <c r="D2019" t="s">
        <v>8115</v>
      </c>
      <c r="E2019" t="s">
        <v>11621</v>
      </c>
      <c r="F2019" t="s">
        <v>11622</v>
      </c>
      <c r="G2019" t="s">
        <v>8020</v>
      </c>
      <c r="H2019" t="s">
        <v>11623</v>
      </c>
      <c r="I2019" s="80" t="s">
        <v>11624</v>
      </c>
      <c r="J2019" t="s">
        <v>9672</v>
      </c>
      <c r="K2019" s="80" t="s">
        <v>11625</v>
      </c>
    </row>
    <row r="2020" spans="1:11" x14ac:dyDescent="0.25">
      <c r="A2020" s="122">
        <v>2019</v>
      </c>
      <c r="B2020">
        <v>1077</v>
      </c>
      <c r="C2020" s="122" t="s">
        <v>182</v>
      </c>
      <c r="D2020" t="s">
        <v>583</v>
      </c>
      <c r="E2020" t="s">
        <v>11626</v>
      </c>
      <c r="F2020" t="s">
        <v>583</v>
      </c>
      <c r="G2020" t="s">
        <v>583</v>
      </c>
      <c r="H2020" t="s">
        <v>583</v>
      </c>
      <c r="I2020" t="s">
        <v>4905</v>
      </c>
      <c r="J2020" t="s">
        <v>11371</v>
      </c>
      <c r="K2020" t="s">
        <v>11627</v>
      </c>
    </row>
    <row r="2021" spans="1:11" x14ac:dyDescent="0.25">
      <c r="A2021" s="122">
        <v>2020</v>
      </c>
      <c r="B2021">
        <v>1077</v>
      </c>
      <c r="C2021" s="122" t="s">
        <v>184</v>
      </c>
      <c r="D2021" t="s">
        <v>7577</v>
      </c>
      <c r="E2021" t="s">
        <v>11628</v>
      </c>
      <c r="F2021" t="s">
        <v>11629</v>
      </c>
      <c r="G2021" t="s">
        <v>10094</v>
      </c>
      <c r="H2021" t="s">
        <v>11630</v>
      </c>
      <c r="I2021" s="80" t="s">
        <v>11631</v>
      </c>
      <c r="J2021" t="s">
        <v>9655</v>
      </c>
      <c r="K2021" t="s">
        <v>11632</v>
      </c>
    </row>
    <row r="2022" spans="1:11" x14ac:dyDescent="0.25">
      <c r="A2022" s="122">
        <v>2021</v>
      </c>
      <c r="B2022">
        <v>1077</v>
      </c>
      <c r="C2022" s="122" t="s">
        <v>187</v>
      </c>
      <c r="D2022" t="s">
        <v>8115</v>
      </c>
      <c r="E2022" t="s">
        <v>11633</v>
      </c>
      <c r="F2022" t="s">
        <v>11634</v>
      </c>
      <c r="G2022" t="s">
        <v>8096</v>
      </c>
      <c r="H2022" s="80" t="s">
        <v>11635</v>
      </c>
      <c r="I2022" s="80" t="s">
        <v>11636</v>
      </c>
      <c r="J2022" t="s">
        <v>10009</v>
      </c>
      <c r="K2022" t="s">
        <v>11637</v>
      </c>
    </row>
    <row r="2023" spans="1:11" x14ac:dyDescent="0.25">
      <c r="A2023" s="122">
        <v>2022</v>
      </c>
      <c r="B2023">
        <v>1077</v>
      </c>
      <c r="C2023" s="122" t="s">
        <v>189</v>
      </c>
      <c r="D2023" t="s">
        <v>9386</v>
      </c>
      <c r="E2023" t="s">
        <v>11638</v>
      </c>
      <c r="F2023" t="s">
        <v>11639</v>
      </c>
      <c r="G2023" t="s">
        <v>10094</v>
      </c>
      <c r="H2023" t="s">
        <v>11640</v>
      </c>
      <c r="I2023" s="80" t="s">
        <v>11641</v>
      </c>
      <c r="J2023" t="s">
        <v>9705</v>
      </c>
      <c r="K2023" t="s">
        <v>11642</v>
      </c>
    </row>
    <row r="2024" spans="1:11" x14ac:dyDescent="0.25">
      <c r="A2024" s="122">
        <v>2023</v>
      </c>
      <c r="B2024" t="s">
        <v>638</v>
      </c>
      <c r="C2024" s="122" t="s">
        <v>162</v>
      </c>
      <c r="D2024" t="s">
        <v>10099</v>
      </c>
      <c r="E2024" s="80" t="s">
        <v>11643</v>
      </c>
      <c r="F2024" t="s">
        <v>6179</v>
      </c>
      <c r="G2024" t="s">
        <v>7443</v>
      </c>
      <c r="H2024" t="s">
        <v>5770</v>
      </c>
      <c r="I2024" t="s">
        <v>6975</v>
      </c>
      <c r="J2024" t="s">
        <v>9880</v>
      </c>
      <c r="K2024" t="s">
        <v>11644</v>
      </c>
    </row>
    <row r="2025" spans="1:11" x14ac:dyDescent="0.25">
      <c r="A2025" s="122">
        <v>2024</v>
      </c>
      <c r="B2025" t="s">
        <v>638</v>
      </c>
      <c r="C2025" s="122" t="s">
        <v>170</v>
      </c>
      <c r="D2025" t="s">
        <v>9254</v>
      </c>
      <c r="E2025" t="s">
        <v>11472</v>
      </c>
      <c r="F2025" t="s">
        <v>11645</v>
      </c>
      <c r="G2025" t="s">
        <v>9317</v>
      </c>
      <c r="H2025" t="s">
        <v>11646</v>
      </c>
      <c r="I2025" s="80" t="s">
        <v>11647</v>
      </c>
      <c r="J2025" t="s">
        <v>10590</v>
      </c>
      <c r="K2025" t="s">
        <v>11648</v>
      </c>
    </row>
    <row r="2026" spans="1:11" x14ac:dyDescent="0.25">
      <c r="A2026" s="122">
        <v>2025</v>
      </c>
      <c r="B2026" t="s">
        <v>638</v>
      </c>
      <c r="C2026" s="122" t="s">
        <v>178</v>
      </c>
      <c r="D2026" t="s">
        <v>11649</v>
      </c>
      <c r="E2026" t="s">
        <v>11650</v>
      </c>
      <c r="F2026" t="s">
        <v>11651</v>
      </c>
      <c r="G2026" t="s">
        <v>10108</v>
      </c>
      <c r="H2026" t="s">
        <v>11652</v>
      </c>
      <c r="I2026" s="80" t="s">
        <v>11653</v>
      </c>
      <c r="J2026" t="s">
        <v>10548</v>
      </c>
      <c r="K2026" t="s">
        <v>11654</v>
      </c>
    </row>
    <row r="2027" spans="1:11" x14ac:dyDescent="0.25">
      <c r="A2027" s="122">
        <v>2026</v>
      </c>
      <c r="B2027" t="s">
        <v>638</v>
      </c>
      <c r="C2027" s="122" t="s">
        <v>163</v>
      </c>
      <c r="D2027" t="s">
        <v>11655</v>
      </c>
      <c r="E2027" s="80" t="s">
        <v>11656</v>
      </c>
      <c r="F2027" t="s">
        <v>11657</v>
      </c>
      <c r="G2027" t="s">
        <v>9270</v>
      </c>
      <c r="H2027" t="s">
        <v>11658</v>
      </c>
      <c r="I2027" s="80" t="s">
        <v>11659</v>
      </c>
      <c r="J2027" t="s">
        <v>10555</v>
      </c>
      <c r="K2027" t="s">
        <v>11660</v>
      </c>
    </row>
    <row r="2028" spans="1:11" x14ac:dyDescent="0.25">
      <c r="A2028" s="122">
        <v>2027</v>
      </c>
      <c r="B2028" t="s">
        <v>638</v>
      </c>
      <c r="C2028" s="122" t="s">
        <v>181</v>
      </c>
      <c r="D2028" t="s">
        <v>10099</v>
      </c>
      <c r="E2028" s="111" t="s">
        <v>966</v>
      </c>
      <c r="F2028" t="s">
        <v>2009</v>
      </c>
      <c r="G2028" t="s">
        <v>9646</v>
      </c>
      <c r="H2028" t="s">
        <v>11661</v>
      </c>
      <c r="I2028" t="s">
        <v>11662</v>
      </c>
      <c r="J2028" t="s">
        <v>9323</v>
      </c>
      <c r="K2028" t="s">
        <v>9917</v>
      </c>
    </row>
    <row r="2029" spans="1:11" x14ac:dyDescent="0.25">
      <c r="A2029" s="122">
        <v>2028</v>
      </c>
      <c r="B2029" t="s">
        <v>638</v>
      </c>
      <c r="C2029" s="122" t="s">
        <v>183</v>
      </c>
      <c r="D2029" t="s">
        <v>917</v>
      </c>
      <c r="E2029" s="80" t="s">
        <v>11663</v>
      </c>
      <c r="F2029" t="s">
        <v>11664</v>
      </c>
      <c r="G2029" t="s">
        <v>7992</v>
      </c>
      <c r="H2029" t="s">
        <v>11665</v>
      </c>
      <c r="I2029" s="80" t="s">
        <v>11666</v>
      </c>
      <c r="J2029" t="s">
        <v>9672</v>
      </c>
      <c r="K2029" t="s">
        <v>11667</v>
      </c>
    </row>
    <row r="2030" spans="1:11" x14ac:dyDescent="0.25">
      <c r="A2030" s="122">
        <v>2029</v>
      </c>
      <c r="B2030" t="s">
        <v>638</v>
      </c>
      <c r="C2030" s="122" t="s">
        <v>186</v>
      </c>
      <c r="D2030" t="s">
        <v>8288</v>
      </c>
      <c r="E2030">
        <v>18582</v>
      </c>
      <c r="F2030" t="s">
        <v>11668</v>
      </c>
      <c r="G2030" t="s">
        <v>9270</v>
      </c>
      <c r="H2030" s="80" t="s">
        <v>11669</v>
      </c>
      <c r="I2030" s="80" t="s">
        <v>11670</v>
      </c>
      <c r="J2030" t="s">
        <v>9672</v>
      </c>
      <c r="K2030" s="80" t="s">
        <v>11671</v>
      </c>
    </row>
    <row r="2031" spans="1:11" x14ac:dyDescent="0.25">
      <c r="A2031" s="122">
        <v>2030</v>
      </c>
      <c r="B2031" t="s">
        <v>638</v>
      </c>
      <c r="C2031" s="122" t="s">
        <v>188</v>
      </c>
      <c r="D2031" t="s">
        <v>8149</v>
      </c>
      <c r="E2031" s="80" t="s">
        <v>11672</v>
      </c>
      <c r="F2031" t="s">
        <v>11673</v>
      </c>
      <c r="G2031" t="s">
        <v>9502</v>
      </c>
      <c r="H2031" t="s">
        <v>11674</v>
      </c>
      <c r="I2031" s="80" t="s">
        <v>11675</v>
      </c>
      <c r="J2031" t="s">
        <v>9213</v>
      </c>
      <c r="K2031" t="s">
        <v>11676</v>
      </c>
    </row>
    <row r="2032" spans="1:11" x14ac:dyDescent="0.25">
      <c r="A2032" s="122">
        <v>2031</v>
      </c>
      <c r="B2032" t="s">
        <v>638</v>
      </c>
      <c r="C2032" s="122" t="s">
        <v>182</v>
      </c>
      <c r="D2032" t="s">
        <v>583</v>
      </c>
      <c r="E2032" t="s">
        <v>11677</v>
      </c>
      <c r="F2032" t="s">
        <v>6063</v>
      </c>
      <c r="G2032" t="s">
        <v>583</v>
      </c>
      <c r="H2032" t="s">
        <v>11678</v>
      </c>
      <c r="I2032" t="s">
        <v>11679</v>
      </c>
      <c r="J2032" t="s">
        <v>9037</v>
      </c>
      <c r="K2032" t="s">
        <v>10928</v>
      </c>
    </row>
    <row r="2033" spans="1:11" x14ac:dyDescent="0.25">
      <c r="A2033" s="122">
        <v>2032</v>
      </c>
      <c r="B2033" t="s">
        <v>638</v>
      </c>
      <c r="C2033" s="122" t="s">
        <v>184</v>
      </c>
      <c r="D2033" t="s">
        <v>10099</v>
      </c>
      <c r="E2033" t="s">
        <v>11680</v>
      </c>
      <c r="F2033" t="s">
        <v>11681</v>
      </c>
      <c r="G2033" t="s">
        <v>3786</v>
      </c>
      <c r="H2033" t="s">
        <v>11682</v>
      </c>
      <c r="I2033" s="80" t="s">
        <v>11683</v>
      </c>
      <c r="J2033" t="s">
        <v>10693</v>
      </c>
      <c r="K2033" t="s">
        <v>11684</v>
      </c>
    </row>
    <row r="2034" spans="1:11" x14ac:dyDescent="0.25">
      <c r="A2034" s="122">
        <v>2033</v>
      </c>
      <c r="B2034" t="s">
        <v>638</v>
      </c>
      <c r="C2034" s="122" t="s">
        <v>187</v>
      </c>
      <c r="D2034" t="s">
        <v>8229</v>
      </c>
      <c r="E2034" t="s">
        <v>11685</v>
      </c>
      <c r="F2034" t="s">
        <v>11686</v>
      </c>
      <c r="G2034" t="s">
        <v>9317</v>
      </c>
      <c r="H2034" t="s">
        <v>11687</v>
      </c>
      <c r="I2034" s="80" t="s">
        <v>11688</v>
      </c>
      <c r="J2034" t="s">
        <v>9323</v>
      </c>
      <c r="K2034" t="s">
        <v>11689</v>
      </c>
    </row>
    <row r="2035" spans="1:11" x14ac:dyDescent="0.25">
      <c r="A2035" s="122">
        <v>2034</v>
      </c>
      <c r="B2035" t="s">
        <v>638</v>
      </c>
      <c r="C2035" s="122" t="s">
        <v>189</v>
      </c>
      <c r="D2035" t="s">
        <v>8180</v>
      </c>
      <c r="E2035" t="s">
        <v>11690</v>
      </c>
      <c r="F2035" t="s">
        <v>11691</v>
      </c>
      <c r="G2035" t="s">
        <v>10094</v>
      </c>
      <c r="H2035" t="s">
        <v>11692</v>
      </c>
      <c r="I2035" s="80" t="s">
        <v>11693</v>
      </c>
      <c r="J2035" t="s">
        <v>10927</v>
      </c>
      <c r="K2035" t="s">
        <v>11694</v>
      </c>
    </row>
    <row r="2036" spans="1:11" x14ac:dyDescent="0.25">
      <c r="A2036" s="122">
        <v>2035</v>
      </c>
      <c r="B2036" t="s">
        <v>639</v>
      </c>
      <c r="C2036" s="122" t="s">
        <v>162</v>
      </c>
      <c r="D2036" t="s">
        <v>9339</v>
      </c>
      <c r="E2036" s="80" t="s">
        <v>11695</v>
      </c>
      <c r="F2036" t="s">
        <v>6063</v>
      </c>
      <c r="G2036" t="s">
        <v>9646</v>
      </c>
      <c r="H2036" t="s">
        <v>5597</v>
      </c>
      <c r="I2036" t="s">
        <v>8217</v>
      </c>
      <c r="J2036" t="s">
        <v>9259</v>
      </c>
      <c r="K2036" t="s">
        <v>11696</v>
      </c>
    </row>
    <row r="2037" spans="1:11" x14ac:dyDescent="0.25">
      <c r="A2037" s="122">
        <v>2036</v>
      </c>
      <c r="B2037" t="s">
        <v>639</v>
      </c>
      <c r="C2037" s="122" t="s">
        <v>170</v>
      </c>
      <c r="D2037" t="s">
        <v>8017</v>
      </c>
      <c r="E2037" s="80" t="s">
        <v>11697</v>
      </c>
      <c r="F2037" t="s">
        <v>11698</v>
      </c>
      <c r="G2037" t="s">
        <v>10108</v>
      </c>
      <c r="H2037" t="s">
        <v>11699</v>
      </c>
      <c r="I2037" s="80" t="s">
        <v>11700</v>
      </c>
      <c r="J2037" t="s">
        <v>11350</v>
      </c>
      <c r="K2037" t="s">
        <v>11701</v>
      </c>
    </row>
    <row r="2038" spans="1:11" x14ac:dyDescent="0.25">
      <c r="A2038" s="122">
        <v>2037</v>
      </c>
      <c r="B2038" t="s">
        <v>639</v>
      </c>
      <c r="C2038" s="122" t="s">
        <v>178</v>
      </c>
      <c r="D2038" t="s">
        <v>5267</v>
      </c>
      <c r="E2038" s="89" t="s">
        <v>582</v>
      </c>
      <c r="F2038" t="s">
        <v>11702</v>
      </c>
      <c r="G2038" t="s">
        <v>7987</v>
      </c>
      <c r="H2038" t="s">
        <v>11703</v>
      </c>
      <c r="I2038" s="80" t="s">
        <v>9988</v>
      </c>
      <c r="J2038" t="s">
        <v>3825</v>
      </c>
      <c r="K2038" t="s">
        <v>11704</v>
      </c>
    </row>
    <row r="2039" spans="1:11" x14ac:dyDescent="0.25">
      <c r="A2039" s="122">
        <v>2038</v>
      </c>
      <c r="B2039" t="s">
        <v>639</v>
      </c>
      <c r="C2039" s="122" t="s">
        <v>163</v>
      </c>
      <c r="D2039" t="s">
        <v>11705</v>
      </c>
      <c r="E2039" s="89" t="s">
        <v>582</v>
      </c>
      <c r="F2039" t="s">
        <v>11706</v>
      </c>
      <c r="G2039" t="s">
        <v>7979</v>
      </c>
      <c r="H2039" t="s">
        <v>11707</v>
      </c>
      <c r="I2039" s="80" t="s">
        <v>11708</v>
      </c>
      <c r="J2039" t="s">
        <v>10562</v>
      </c>
      <c r="K2039" s="80" t="s">
        <v>11709</v>
      </c>
    </row>
    <row r="2040" spans="1:11" x14ac:dyDescent="0.25">
      <c r="A2040" s="122">
        <v>2039</v>
      </c>
      <c r="B2040" t="s">
        <v>639</v>
      </c>
      <c r="C2040" s="122" t="s">
        <v>181</v>
      </c>
      <c r="D2040" t="s">
        <v>10528</v>
      </c>
      <c r="E2040" s="80" t="s">
        <v>11710</v>
      </c>
      <c r="F2040" t="s">
        <v>5799</v>
      </c>
      <c r="G2040" t="s">
        <v>8096</v>
      </c>
      <c r="H2040" t="s">
        <v>11711</v>
      </c>
      <c r="I2040" t="s">
        <v>11712</v>
      </c>
      <c r="J2040" t="s">
        <v>6627</v>
      </c>
      <c r="K2040" t="s">
        <v>11713</v>
      </c>
    </row>
    <row r="2041" spans="1:11" x14ac:dyDescent="0.25">
      <c r="A2041" s="122">
        <v>2040</v>
      </c>
      <c r="B2041" t="s">
        <v>639</v>
      </c>
      <c r="C2041" s="122" t="s">
        <v>183</v>
      </c>
      <c r="D2041" t="s">
        <v>10895</v>
      </c>
      <c r="E2041" s="80" t="s">
        <v>11714</v>
      </c>
      <c r="F2041" t="s">
        <v>11715</v>
      </c>
      <c r="G2041" t="s">
        <v>7952</v>
      </c>
      <c r="H2041" s="80" t="s">
        <v>11716</v>
      </c>
      <c r="I2041" s="80" t="s">
        <v>11717</v>
      </c>
      <c r="J2041" t="s">
        <v>9411</v>
      </c>
      <c r="K2041" s="80" t="s">
        <v>11718</v>
      </c>
    </row>
    <row r="2042" spans="1:11" x14ac:dyDescent="0.25">
      <c r="A2042" s="122">
        <v>2041</v>
      </c>
      <c r="B2042" t="s">
        <v>639</v>
      </c>
      <c r="C2042" s="122" t="s">
        <v>186</v>
      </c>
      <c r="D2042" t="s">
        <v>10858</v>
      </c>
      <c r="E2042" t="s">
        <v>11719</v>
      </c>
      <c r="F2042" t="s">
        <v>11720</v>
      </c>
      <c r="G2042" t="s">
        <v>8104</v>
      </c>
      <c r="H2042" s="80" t="s">
        <v>11721</v>
      </c>
      <c r="I2042" s="80" t="s">
        <v>11722</v>
      </c>
      <c r="J2042" t="s">
        <v>9527</v>
      </c>
      <c r="K2042" s="80" t="s">
        <v>11723</v>
      </c>
    </row>
    <row r="2043" spans="1:11" x14ac:dyDescent="0.25">
      <c r="A2043" s="122">
        <v>2042</v>
      </c>
      <c r="B2043" t="s">
        <v>639</v>
      </c>
      <c r="C2043" s="122" t="s">
        <v>188</v>
      </c>
      <c r="D2043" t="s">
        <v>10574</v>
      </c>
      <c r="E2043" s="80" t="s">
        <v>11724</v>
      </c>
      <c r="F2043" t="s">
        <v>11725</v>
      </c>
      <c r="G2043" t="s">
        <v>8118</v>
      </c>
      <c r="H2043" s="80" t="s">
        <v>11726</v>
      </c>
      <c r="I2043" s="80" t="s">
        <v>11727</v>
      </c>
      <c r="J2043" t="s">
        <v>9527</v>
      </c>
      <c r="K2043" s="80" t="s">
        <v>11728</v>
      </c>
    </row>
    <row r="2044" spans="1:11" x14ac:dyDescent="0.25">
      <c r="A2044" s="122">
        <v>2043</v>
      </c>
      <c r="B2044" t="s">
        <v>639</v>
      </c>
      <c r="C2044" s="122" t="s">
        <v>182</v>
      </c>
      <c r="D2044" t="s">
        <v>583</v>
      </c>
      <c r="E2044" t="s">
        <v>11729</v>
      </c>
      <c r="F2044" t="s">
        <v>583</v>
      </c>
      <c r="G2044" t="s">
        <v>3898</v>
      </c>
      <c r="H2044" t="s">
        <v>583</v>
      </c>
      <c r="I2044" t="s">
        <v>3068</v>
      </c>
      <c r="J2044" t="s">
        <v>583</v>
      </c>
      <c r="K2044" t="s">
        <v>8199</v>
      </c>
    </row>
    <row r="2045" spans="1:11" x14ac:dyDescent="0.25">
      <c r="A2045" s="122">
        <v>2044</v>
      </c>
      <c r="B2045" t="s">
        <v>639</v>
      </c>
      <c r="C2045" s="122" t="s">
        <v>184</v>
      </c>
      <c r="D2045" t="s">
        <v>10012</v>
      </c>
      <c r="E2045" t="s">
        <v>11730</v>
      </c>
      <c r="F2045" t="s">
        <v>11731</v>
      </c>
      <c r="G2045" t="s">
        <v>8366</v>
      </c>
      <c r="H2045" s="80" t="s">
        <v>11732</v>
      </c>
      <c r="I2045" s="80">
        <v>17073</v>
      </c>
      <c r="J2045" t="s">
        <v>9265</v>
      </c>
      <c r="K2045" t="s">
        <v>11733</v>
      </c>
    </row>
    <row r="2046" spans="1:11" x14ac:dyDescent="0.25">
      <c r="A2046" s="122">
        <v>2045</v>
      </c>
      <c r="B2046" t="s">
        <v>639</v>
      </c>
      <c r="C2046" s="122" t="s">
        <v>187</v>
      </c>
      <c r="D2046" t="s">
        <v>10592</v>
      </c>
      <c r="E2046" t="s">
        <v>11734</v>
      </c>
      <c r="F2046" t="s">
        <v>11735</v>
      </c>
      <c r="G2046" t="s">
        <v>8047</v>
      </c>
      <c r="H2046" s="80" t="s">
        <v>11736</v>
      </c>
      <c r="I2046" s="80" t="s">
        <v>11737</v>
      </c>
      <c r="J2046" t="s">
        <v>9273</v>
      </c>
      <c r="K2046" s="80" t="s">
        <v>11738</v>
      </c>
    </row>
    <row r="2047" spans="1:11" x14ac:dyDescent="0.25">
      <c r="A2047" s="122">
        <v>2046</v>
      </c>
      <c r="B2047" t="s">
        <v>639</v>
      </c>
      <c r="C2047" s="122" t="s">
        <v>189</v>
      </c>
      <c r="D2047" t="s">
        <v>10260</v>
      </c>
      <c r="E2047" t="s">
        <v>11739</v>
      </c>
      <c r="F2047" t="s">
        <v>9496</v>
      </c>
      <c r="G2047" t="s">
        <v>8366</v>
      </c>
      <c r="H2047" s="80" t="s">
        <v>11740</v>
      </c>
      <c r="I2047" s="80" t="s">
        <v>11741</v>
      </c>
      <c r="J2047" t="s">
        <v>9330</v>
      </c>
      <c r="K2047" s="80" t="s">
        <v>11742</v>
      </c>
    </row>
    <row r="2048" spans="1:11" x14ac:dyDescent="0.25">
      <c r="A2048" s="122">
        <v>2047</v>
      </c>
      <c r="B2048" t="s">
        <v>640</v>
      </c>
      <c r="C2048" s="122" t="s">
        <v>162</v>
      </c>
      <c r="D2048" t="s">
        <v>10752</v>
      </c>
      <c r="E2048" t="s">
        <v>11743</v>
      </c>
      <c r="F2048" t="s">
        <v>10830</v>
      </c>
      <c r="G2048" t="s">
        <v>8096</v>
      </c>
      <c r="H2048" t="s">
        <v>2882</v>
      </c>
      <c r="I2048" t="s">
        <v>6576</v>
      </c>
      <c r="J2048" t="s">
        <v>9941</v>
      </c>
      <c r="K2048" t="s">
        <v>9342</v>
      </c>
    </row>
    <row r="2049" spans="1:11" x14ac:dyDescent="0.25">
      <c r="A2049" s="122">
        <v>2048</v>
      </c>
      <c r="B2049" t="s">
        <v>640</v>
      </c>
      <c r="C2049" s="122" t="s">
        <v>170</v>
      </c>
      <c r="D2049" t="s">
        <v>11744</v>
      </c>
      <c r="E2049" t="s">
        <v>11288</v>
      </c>
      <c r="F2049" t="s">
        <v>11745</v>
      </c>
      <c r="G2049" t="s">
        <v>9646</v>
      </c>
      <c r="H2049" t="s">
        <v>11746</v>
      </c>
      <c r="I2049" s="80" t="s">
        <v>11747</v>
      </c>
      <c r="J2049" t="s">
        <v>9341</v>
      </c>
      <c r="K2049" t="s">
        <v>11748</v>
      </c>
    </row>
    <row r="2050" spans="1:11" x14ac:dyDescent="0.25">
      <c r="A2050" s="122">
        <v>2049</v>
      </c>
      <c r="B2050" t="s">
        <v>640</v>
      </c>
      <c r="C2050" s="122" t="s">
        <v>178</v>
      </c>
      <c r="D2050" t="s">
        <v>10720</v>
      </c>
      <c r="E2050" s="80" t="s">
        <v>11749</v>
      </c>
      <c r="F2050" t="s">
        <v>11750</v>
      </c>
      <c r="G2050" t="s">
        <v>8047</v>
      </c>
      <c r="H2050" t="s">
        <v>11751</v>
      </c>
      <c r="I2050" s="80" t="s">
        <v>11752</v>
      </c>
      <c r="J2050" t="s">
        <v>11350</v>
      </c>
      <c r="K2050" t="s">
        <v>11753</v>
      </c>
    </row>
    <row r="2051" spans="1:11" x14ac:dyDescent="0.25">
      <c r="A2051" s="122">
        <v>2050</v>
      </c>
      <c r="B2051" t="s">
        <v>640</v>
      </c>
      <c r="C2051" s="122" t="s">
        <v>163</v>
      </c>
      <c r="D2051" t="s">
        <v>11754</v>
      </c>
      <c r="E2051" s="80" t="s">
        <v>11755</v>
      </c>
      <c r="F2051" t="s">
        <v>11756</v>
      </c>
      <c r="G2051" t="s">
        <v>7443</v>
      </c>
      <c r="H2051" t="s">
        <v>11757</v>
      </c>
      <c r="I2051" s="80" t="s">
        <v>11758</v>
      </c>
      <c r="J2051" t="s">
        <v>9213</v>
      </c>
      <c r="K2051" t="s">
        <v>11759</v>
      </c>
    </row>
    <row r="2052" spans="1:11" x14ac:dyDescent="0.25">
      <c r="A2052" s="122">
        <v>2051</v>
      </c>
      <c r="B2052" t="s">
        <v>640</v>
      </c>
      <c r="C2052" s="122" t="s">
        <v>181</v>
      </c>
      <c r="D2052" t="s">
        <v>10657</v>
      </c>
      <c r="E2052" s="80" t="s">
        <v>11760</v>
      </c>
      <c r="F2052" t="s">
        <v>7097</v>
      </c>
      <c r="G2052" t="s">
        <v>8096</v>
      </c>
      <c r="H2052" t="s">
        <v>11761</v>
      </c>
      <c r="I2052" t="s">
        <v>11762</v>
      </c>
      <c r="J2052" t="s">
        <v>6627</v>
      </c>
      <c r="K2052" t="s">
        <v>11763</v>
      </c>
    </row>
    <row r="2053" spans="1:11" x14ac:dyDescent="0.25">
      <c r="A2053" s="122">
        <v>2052</v>
      </c>
      <c r="B2053" t="s">
        <v>640</v>
      </c>
      <c r="C2053" s="122" t="s">
        <v>183</v>
      </c>
      <c r="D2053" t="s">
        <v>10545</v>
      </c>
      <c r="E2053" s="80" t="s">
        <v>11764</v>
      </c>
      <c r="F2053" t="s">
        <v>11765</v>
      </c>
      <c r="G2053" t="s">
        <v>7443</v>
      </c>
      <c r="H2053" t="s">
        <v>11766</v>
      </c>
      <c r="I2053" s="80" t="s">
        <v>11767</v>
      </c>
      <c r="J2053" t="s">
        <v>10009</v>
      </c>
      <c r="K2053" s="80">
        <v>8524</v>
      </c>
    </row>
    <row r="2054" spans="1:11" x14ac:dyDescent="0.25">
      <c r="A2054" s="122">
        <v>2053</v>
      </c>
      <c r="B2054" t="s">
        <v>640</v>
      </c>
      <c r="C2054" s="122" t="s">
        <v>186</v>
      </c>
      <c r="D2054" t="s">
        <v>10592</v>
      </c>
      <c r="E2054" t="s">
        <v>11768</v>
      </c>
      <c r="F2054" t="s">
        <v>11769</v>
      </c>
      <c r="G2054" t="s">
        <v>8332</v>
      </c>
      <c r="H2054" s="80" t="s">
        <v>11770</v>
      </c>
      <c r="I2054" s="80" t="s">
        <v>11771</v>
      </c>
      <c r="J2054" t="s">
        <v>9527</v>
      </c>
      <c r="K2054" s="80" t="s">
        <v>11772</v>
      </c>
    </row>
    <row r="2055" spans="1:11" x14ac:dyDescent="0.25">
      <c r="A2055" s="122">
        <v>2054</v>
      </c>
      <c r="B2055" t="s">
        <v>640</v>
      </c>
      <c r="C2055" s="122" t="s">
        <v>188</v>
      </c>
      <c r="D2055" t="s">
        <v>10651</v>
      </c>
      <c r="E2055" s="80" t="s">
        <v>11773</v>
      </c>
      <c r="F2055" t="s">
        <v>11774</v>
      </c>
      <c r="G2055" t="s">
        <v>8104</v>
      </c>
      <c r="H2055" t="s">
        <v>11775</v>
      </c>
      <c r="I2055" s="80" t="s">
        <v>11776</v>
      </c>
      <c r="J2055" t="s">
        <v>9411</v>
      </c>
      <c r="K2055" s="80" t="s">
        <v>11777</v>
      </c>
    </row>
    <row r="2056" spans="1:11" x14ac:dyDescent="0.25">
      <c r="A2056" s="122">
        <v>2055</v>
      </c>
      <c r="B2056" t="s">
        <v>640</v>
      </c>
      <c r="C2056" s="122" t="s">
        <v>182</v>
      </c>
      <c r="D2056" t="s">
        <v>10747</v>
      </c>
      <c r="E2056" t="s">
        <v>11778</v>
      </c>
      <c r="F2056" t="s">
        <v>7332</v>
      </c>
      <c r="G2056" t="s">
        <v>3898</v>
      </c>
      <c r="H2056" t="s">
        <v>11779</v>
      </c>
      <c r="I2056" t="s">
        <v>11780</v>
      </c>
      <c r="J2056" t="s">
        <v>8367</v>
      </c>
      <c r="K2056" t="s">
        <v>8074</v>
      </c>
    </row>
    <row r="2057" spans="1:11" x14ac:dyDescent="0.25">
      <c r="A2057" s="122">
        <v>2056</v>
      </c>
      <c r="B2057" t="s">
        <v>640</v>
      </c>
      <c r="C2057" s="122" t="s">
        <v>184</v>
      </c>
      <c r="D2057" t="s">
        <v>3663</v>
      </c>
      <c r="E2057" t="s">
        <v>11032</v>
      </c>
      <c r="F2057" t="s">
        <v>11781</v>
      </c>
      <c r="G2057" t="s">
        <v>8218</v>
      </c>
      <c r="H2057" t="s">
        <v>11782</v>
      </c>
      <c r="I2057" s="80" t="s">
        <v>11783</v>
      </c>
      <c r="J2057" t="s">
        <v>9569</v>
      </c>
      <c r="K2057" t="s">
        <v>11784</v>
      </c>
    </row>
    <row r="2058" spans="1:11" x14ac:dyDescent="0.25">
      <c r="A2058" s="122">
        <v>2057</v>
      </c>
      <c r="B2058" t="s">
        <v>640</v>
      </c>
      <c r="C2058" s="122" t="s">
        <v>187</v>
      </c>
      <c r="D2058" t="s">
        <v>11785</v>
      </c>
      <c r="E2058" t="s">
        <v>11786</v>
      </c>
      <c r="F2058" t="s">
        <v>11787</v>
      </c>
      <c r="G2058" t="s">
        <v>8104</v>
      </c>
      <c r="H2058" s="80" t="s">
        <v>11788</v>
      </c>
      <c r="I2058" s="80" t="s">
        <v>11789</v>
      </c>
      <c r="J2058" t="s">
        <v>9203</v>
      </c>
      <c r="K2058" s="80" t="s">
        <v>11790</v>
      </c>
    </row>
    <row r="2059" spans="1:11" x14ac:dyDescent="0.25">
      <c r="A2059" s="122">
        <v>2058</v>
      </c>
      <c r="B2059" t="s">
        <v>640</v>
      </c>
      <c r="C2059" s="122" t="s">
        <v>189</v>
      </c>
      <c r="D2059" t="s">
        <v>11791</v>
      </c>
      <c r="E2059" t="s">
        <v>11792</v>
      </c>
      <c r="F2059" t="s">
        <v>11793</v>
      </c>
      <c r="G2059" t="s">
        <v>8047</v>
      </c>
      <c r="H2059" t="s">
        <v>11794</v>
      </c>
      <c r="I2059" s="80" t="s">
        <v>11795</v>
      </c>
      <c r="J2059" t="s">
        <v>9307</v>
      </c>
      <c r="K2059" s="80" t="s">
        <v>11796</v>
      </c>
    </row>
    <row r="2060" spans="1:11" x14ac:dyDescent="0.25">
      <c r="A2060" s="122">
        <v>2059</v>
      </c>
      <c r="B2060" t="s">
        <v>641</v>
      </c>
      <c r="C2060" s="122" t="s">
        <v>162</v>
      </c>
      <c r="D2060" t="s">
        <v>10711</v>
      </c>
      <c r="E2060" t="s">
        <v>11797</v>
      </c>
      <c r="F2060" t="s">
        <v>10830</v>
      </c>
      <c r="G2060" t="s">
        <v>8071</v>
      </c>
      <c r="H2060" t="s">
        <v>4146</v>
      </c>
      <c r="I2060" t="s">
        <v>5723</v>
      </c>
      <c r="J2060" t="s">
        <v>9366</v>
      </c>
      <c r="K2060" t="s">
        <v>1645</v>
      </c>
    </row>
    <row r="2061" spans="1:11" x14ac:dyDescent="0.25">
      <c r="A2061" s="122">
        <v>2060</v>
      </c>
      <c r="B2061" t="s">
        <v>641</v>
      </c>
      <c r="C2061" s="122" t="s">
        <v>170</v>
      </c>
      <c r="D2061" t="s">
        <v>10900</v>
      </c>
      <c r="E2061" t="s">
        <v>11798</v>
      </c>
      <c r="F2061" t="s">
        <v>11799</v>
      </c>
      <c r="G2061" t="s">
        <v>8071</v>
      </c>
      <c r="H2061" t="s">
        <v>11800</v>
      </c>
      <c r="I2061" s="80" t="s">
        <v>11801</v>
      </c>
      <c r="J2061" t="s">
        <v>10590</v>
      </c>
      <c r="K2061" t="s">
        <v>11802</v>
      </c>
    </row>
    <row r="2062" spans="1:11" x14ac:dyDescent="0.25">
      <c r="A2062" s="122">
        <v>2061</v>
      </c>
      <c r="B2062" t="s">
        <v>641</v>
      </c>
      <c r="C2062" s="122" t="s">
        <v>178</v>
      </c>
      <c r="D2062" t="s">
        <v>10550</v>
      </c>
      <c r="E2062" t="s">
        <v>11803</v>
      </c>
      <c r="F2062" t="s">
        <v>11804</v>
      </c>
      <c r="G2062" t="s">
        <v>8269</v>
      </c>
      <c r="H2062" t="s">
        <v>11805</v>
      </c>
      <c r="I2062" s="80" t="s">
        <v>11806</v>
      </c>
      <c r="J2062" t="s">
        <v>9655</v>
      </c>
      <c r="K2062" t="s">
        <v>11807</v>
      </c>
    </row>
    <row r="2063" spans="1:11" x14ac:dyDescent="0.25">
      <c r="A2063" s="122">
        <v>2062</v>
      </c>
      <c r="B2063" t="s">
        <v>641</v>
      </c>
      <c r="C2063" s="122" t="s">
        <v>163</v>
      </c>
      <c r="D2063" t="s">
        <v>10592</v>
      </c>
      <c r="E2063" t="s">
        <v>11808</v>
      </c>
      <c r="F2063" t="s">
        <v>11809</v>
      </c>
      <c r="G2063" t="s">
        <v>7443</v>
      </c>
      <c r="H2063" t="s">
        <v>11810</v>
      </c>
      <c r="I2063" s="80" t="s">
        <v>11811</v>
      </c>
      <c r="J2063" t="s">
        <v>9569</v>
      </c>
      <c r="K2063" t="s">
        <v>8314</v>
      </c>
    </row>
    <row r="2064" spans="1:11" x14ac:dyDescent="0.25">
      <c r="A2064" s="122">
        <v>2063</v>
      </c>
      <c r="B2064" t="s">
        <v>641</v>
      </c>
      <c r="C2064" s="122" t="s">
        <v>181</v>
      </c>
      <c r="D2064" t="s">
        <v>3852</v>
      </c>
      <c r="E2064" s="80" t="s">
        <v>11812</v>
      </c>
      <c r="F2064" t="s">
        <v>6741</v>
      </c>
      <c r="G2064" t="s">
        <v>8269</v>
      </c>
      <c r="H2064" t="s">
        <v>11813</v>
      </c>
      <c r="I2064" t="s">
        <v>11814</v>
      </c>
      <c r="J2064" t="s">
        <v>10927</v>
      </c>
      <c r="K2064" t="s">
        <v>11815</v>
      </c>
    </row>
    <row r="2065" spans="1:11" x14ac:dyDescent="0.25">
      <c r="A2065" s="122">
        <v>2064</v>
      </c>
      <c r="B2065" t="s">
        <v>641</v>
      </c>
      <c r="C2065" s="122" t="s">
        <v>183</v>
      </c>
      <c r="D2065" t="s">
        <v>4982</v>
      </c>
      <c r="E2065" s="80" t="s">
        <v>11816</v>
      </c>
      <c r="F2065" t="s">
        <v>11817</v>
      </c>
      <c r="G2065" t="s">
        <v>8218</v>
      </c>
      <c r="H2065" t="s">
        <v>11818</v>
      </c>
      <c r="I2065" s="80" t="s">
        <v>11819</v>
      </c>
      <c r="J2065" t="s">
        <v>9330</v>
      </c>
      <c r="K2065" t="s">
        <v>11820</v>
      </c>
    </row>
    <row r="2066" spans="1:11" x14ac:dyDescent="0.25">
      <c r="A2066" s="122">
        <v>2065</v>
      </c>
      <c r="B2066" t="s">
        <v>641</v>
      </c>
      <c r="C2066" s="122" t="s">
        <v>186</v>
      </c>
      <c r="D2066" t="s">
        <v>10592</v>
      </c>
      <c r="E2066" t="s">
        <v>11821</v>
      </c>
      <c r="F2066" t="s">
        <v>11822</v>
      </c>
      <c r="G2066" t="s">
        <v>8118</v>
      </c>
      <c r="H2066" s="80" t="s">
        <v>11823</v>
      </c>
      <c r="I2066" s="80" t="s">
        <v>11824</v>
      </c>
      <c r="J2066" t="s">
        <v>9273</v>
      </c>
      <c r="K2066" t="s">
        <v>11825</v>
      </c>
    </row>
    <row r="2067" spans="1:11" x14ac:dyDescent="0.25">
      <c r="A2067" s="122">
        <v>2066</v>
      </c>
      <c r="B2067" t="s">
        <v>641</v>
      </c>
      <c r="C2067" s="122" t="s">
        <v>188</v>
      </c>
      <c r="D2067" t="s">
        <v>10592</v>
      </c>
      <c r="E2067" s="80" t="s">
        <v>11826</v>
      </c>
      <c r="F2067" t="s">
        <v>11827</v>
      </c>
      <c r="G2067" t="s">
        <v>8047</v>
      </c>
      <c r="H2067" t="s">
        <v>11828</v>
      </c>
      <c r="I2067" s="80" t="s">
        <v>11829</v>
      </c>
      <c r="J2067" t="s">
        <v>9273</v>
      </c>
      <c r="K2067" t="s">
        <v>11830</v>
      </c>
    </row>
    <row r="2068" spans="1:11" x14ac:dyDescent="0.25">
      <c r="A2068" s="122">
        <v>2067</v>
      </c>
      <c r="B2068" t="s">
        <v>641</v>
      </c>
      <c r="C2068" s="122" t="s">
        <v>182</v>
      </c>
      <c r="D2068" t="s">
        <v>7770</v>
      </c>
      <c r="E2068" t="s">
        <v>11831</v>
      </c>
      <c r="F2068" t="s">
        <v>10749</v>
      </c>
      <c r="G2068" t="s">
        <v>9233</v>
      </c>
      <c r="H2068" t="s">
        <v>11832</v>
      </c>
      <c r="I2068" t="s">
        <v>11833</v>
      </c>
      <c r="J2068" t="s">
        <v>10681</v>
      </c>
      <c r="K2068" t="s">
        <v>11122</v>
      </c>
    </row>
    <row r="2069" spans="1:11" x14ac:dyDescent="0.25">
      <c r="A2069" s="122">
        <v>2068</v>
      </c>
      <c r="B2069" t="s">
        <v>641</v>
      </c>
      <c r="C2069" s="122" t="s">
        <v>184</v>
      </c>
      <c r="D2069" t="s">
        <v>11834</v>
      </c>
      <c r="E2069" t="s">
        <v>11835</v>
      </c>
      <c r="F2069" t="s">
        <v>11836</v>
      </c>
      <c r="G2069" t="s">
        <v>7443</v>
      </c>
      <c r="H2069" s="80" t="s">
        <v>11837</v>
      </c>
      <c r="I2069" s="80" t="s">
        <v>11838</v>
      </c>
      <c r="J2069" t="s">
        <v>9239</v>
      </c>
      <c r="K2069" t="s">
        <v>11839</v>
      </c>
    </row>
    <row r="2070" spans="1:11" x14ac:dyDescent="0.25">
      <c r="A2070" s="122">
        <v>2069</v>
      </c>
      <c r="B2070" t="s">
        <v>641</v>
      </c>
      <c r="C2070" s="122" t="s">
        <v>187</v>
      </c>
      <c r="D2070" t="s">
        <v>11840</v>
      </c>
      <c r="E2070" t="s">
        <v>11841</v>
      </c>
      <c r="F2070" t="s">
        <v>11842</v>
      </c>
      <c r="G2070" t="s">
        <v>8332</v>
      </c>
      <c r="H2070" s="80" t="s">
        <v>11843</v>
      </c>
      <c r="I2070" s="80" t="s">
        <v>11844</v>
      </c>
      <c r="J2070" t="s">
        <v>9411</v>
      </c>
      <c r="K2070" t="s">
        <v>11845</v>
      </c>
    </row>
    <row r="2071" spans="1:11" x14ac:dyDescent="0.25">
      <c r="A2071" s="122">
        <v>2070</v>
      </c>
      <c r="B2071" t="s">
        <v>641</v>
      </c>
      <c r="C2071" s="122" t="s">
        <v>189</v>
      </c>
      <c r="D2071" t="s">
        <v>11846</v>
      </c>
      <c r="E2071" t="s">
        <v>11847</v>
      </c>
      <c r="F2071" t="s">
        <v>11848</v>
      </c>
      <c r="G2071" t="s">
        <v>7443</v>
      </c>
      <c r="H2071" s="80" t="s">
        <v>10931</v>
      </c>
      <c r="I2071" s="80" t="s">
        <v>11849</v>
      </c>
      <c r="J2071" t="s">
        <v>9307</v>
      </c>
      <c r="K2071" t="s">
        <v>11850</v>
      </c>
    </row>
    <row r="2072" spans="1:11" x14ac:dyDescent="0.25">
      <c r="A2072" s="122">
        <v>2071</v>
      </c>
      <c r="B2072" t="s">
        <v>642</v>
      </c>
      <c r="C2072" s="122" t="s">
        <v>162</v>
      </c>
      <c r="D2072" t="s">
        <v>10012</v>
      </c>
      <c r="E2072" s="111" t="s">
        <v>967</v>
      </c>
      <c r="F2072" t="s">
        <v>10749</v>
      </c>
      <c r="G2072" t="s">
        <v>8366</v>
      </c>
      <c r="H2072" t="s">
        <v>11851</v>
      </c>
      <c r="I2072" t="s">
        <v>6728</v>
      </c>
      <c r="J2072" t="s">
        <v>9655</v>
      </c>
      <c r="K2072" t="s">
        <v>11852</v>
      </c>
    </row>
    <row r="2073" spans="1:11" x14ac:dyDescent="0.25">
      <c r="A2073" s="122">
        <v>2072</v>
      </c>
      <c r="B2073" t="s">
        <v>642</v>
      </c>
      <c r="C2073" s="122" t="s">
        <v>170</v>
      </c>
      <c r="D2073" t="s">
        <v>10574</v>
      </c>
      <c r="E2073" s="80" t="s">
        <v>11853</v>
      </c>
      <c r="F2073" t="s">
        <v>9951</v>
      </c>
      <c r="G2073" t="s">
        <v>8218</v>
      </c>
      <c r="H2073" t="s">
        <v>11854</v>
      </c>
      <c r="I2073" s="80" t="s">
        <v>11855</v>
      </c>
      <c r="J2073" t="s">
        <v>9655</v>
      </c>
      <c r="K2073" t="s">
        <v>11856</v>
      </c>
    </row>
    <row r="2074" spans="1:11" x14ac:dyDescent="0.25">
      <c r="A2074" s="122">
        <v>2073</v>
      </c>
      <c r="B2074" t="s">
        <v>642</v>
      </c>
      <c r="C2074" s="122" t="s">
        <v>178</v>
      </c>
      <c r="D2074" t="s">
        <v>11857</v>
      </c>
      <c r="E2074" s="80" t="s">
        <v>11858</v>
      </c>
      <c r="F2074" t="s">
        <v>11859</v>
      </c>
      <c r="G2074" t="s">
        <v>8344</v>
      </c>
      <c r="H2074" s="80" t="s">
        <v>11860</v>
      </c>
      <c r="I2074" s="80" t="s">
        <v>11861</v>
      </c>
      <c r="J2074" t="s">
        <v>9588</v>
      </c>
      <c r="K2074" t="s">
        <v>11862</v>
      </c>
    </row>
    <row r="2075" spans="1:11" x14ac:dyDescent="0.25">
      <c r="A2075" s="122">
        <v>2074</v>
      </c>
      <c r="B2075" t="s">
        <v>642</v>
      </c>
      <c r="C2075" s="122" t="s">
        <v>163</v>
      </c>
      <c r="D2075" t="s">
        <v>10498</v>
      </c>
      <c r="E2075" s="80" t="s">
        <v>11293</v>
      </c>
      <c r="F2075" t="s">
        <v>11863</v>
      </c>
      <c r="G2075" t="s">
        <v>8104</v>
      </c>
      <c r="H2075" t="s">
        <v>11864</v>
      </c>
      <c r="I2075" s="80" t="s">
        <v>11865</v>
      </c>
      <c r="J2075" t="s">
        <v>9307</v>
      </c>
      <c r="K2075" t="s">
        <v>11866</v>
      </c>
    </row>
    <row r="2076" spans="1:11" x14ac:dyDescent="0.25">
      <c r="A2076" s="122">
        <v>2075</v>
      </c>
      <c r="B2076" t="s">
        <v>642</v>
      </c>
      <c r="C2076" s="122" t="s">
        <v>181</v>
      </c>
      <c r="D2076" t="s">
        <v>10651</v>
      </c>
      <c r="E2076" s="111" t="s">
        <v>969</v>
      </c>
      <c r="F2076" t="s">
        <v>11867</v>
      </c>
      <c r="G2076" t="s">
        <v>8047</v>
      </c>
      <c r="H2076" t="s">
        <v>11868</v>
      </c>
      <c r="I2076" t="s">
        <v>11869</v>
      </c>
      <c r="J2076" t="s">
        <v>9330</v>
      </c>
      <c r="K2076" t="s">
        <v>11870</v>
      </c>
    </row>
    <row r="2077" spans="1:11" x14ac:dyDescent="0.25">
      <c r="A2077" s="122">
        <v>2076</v>
      </c>
      <c r="B2077" t="s">
        <v>642</v>
      </c>
      <c r="C2077" s="122" t="s">
        <v>183</v>
      </c>
      <c r="D2077" t="s">
        <v>10545</v>
      </c>
      <c r="E2077" s="80" t="s">
        <v>11871</v>
      </c>
      <c r="F2077" t="s">
        <v>11872</v>
      </c>
      <c r="G2077" t="s">
        <v>8047</v>
      </c>
      <c r="H2077" t="s">
        <v>11873</v>
      </c>
      <c r="I2077" s="80" t="s">
        <v>11874</v>
      </c>
      <c r="J2077" t="s">
        <v>9307</v>
      </c>
      <c r="K2077" t="s">
        <v>11875</v>
      </c>
    </row>
    <row r="2078" spans="1:11" x14ac:dyDescent="0.25">
      <c r="A2078" s="122">
        <v>2077</v>
      </c>
      <c r="B2078" t="s">
        <v>642</v>
      </c>
      <c r="C2078" s="122" t="s">
        <v>186</v>
      </c>
      <c r="D2078" t="s">
        <v>10895</v>
      </c>
      <c r="E2078" s="80" t="s">
        <v>11876</v>
      </c>
      <c r="F2078" t="s">
        <v>11877</v>
      </c>
      <c r="G2078" t="s">
        <v>8118</v>
      </c>
      <c r="H2078" s="80">
        <v>98987</v>
      </c>
      <c r="I2078" s="80" t="s">
        <v>11878</v>
      </c>
      <c r="J2078" t="s">
        <v>9527</v>
      </c>
      <c r="K2078" t="s">
        <v>11879</v>
      </c>
    </row>
    <row r="2079" spans="1:11" x14ac:dyDescent="0.25">
      <c r="A2079" s="122">
        <v>2078</v>
      </c>
      <c r="B2079" t="s">
        <v>642</v>
      </c>
      <c r="C2079" s="122" t="s">
        <v>188</v>
      </c>
      <c r="D2079" t="s">
        <v>10895</v>
      </c>
      <c r="E2079" s="111" t="s">
        <v>971</v>
      </c>
      <c r="F2079" t="s">
        <v>11880</v>
      </c>
      <c r="G2079" t="s">
        <v>8104</v>
      </c>
      <c r="H2079" s="80" t="s">
        <v>11881</v>
      </c>
      <c r="I2079" s="80" t="s">
        <v>11882</v>
      </c>
      <c r="J2079" t="s">
        <v>9516</v>
      </c>
      <c r="K2079" t="s">
        <v>11883</v>
      </c>
    </row>
    <row r="2080" spans="1:11" x14ac:dyDescent="0.25">
      <c r="A2080" s="122">
        <v>2079</v>
      </c>
      <c r="B2080" t="s">
        <v>642</v>
      </c>
      <c r="C2080" s="122" t="s">
        <v>182</v>
      </c>
      <c r="D2080" t="s">
        <v>6645</v>
      </c>
      <c r="E2080" t="s">
        <v>11884</v>
      </c>
      <c r="F2080" t="s">
        <v>6842</v>
      </c>
      <c r="G2080" t="s">
        <v>3898</v>
      </c>
      <c r="H2080" t="s">
        <v>11885</v>
      </c>
      <c r="I2080" t="s">
        <v>11886</v>
      </c>
      <c r="J2080" t="s">
        <v>9037</v>
      </c>
      <c r="K2080" t="s">
        <v>11887</v>
      </c>
    </row>
    <row r="2081" spans="1:11" x14ac:dyDescent="0.25">
      <c r="A2081" s="122">
        <v>2080</v>
      </c>
      <c r="B2081" t="s">
        <v>642</v>
      </c>
      <c r="C2081" s="122" t="s">
        <v>184</v>
      </c>
      <c r="D2081" t="s">
        <v>11857</v>
      </c>
      <c r="E2081" t="s">
        <v>11888</v>
      </c>
      <c r="F2081" t="s">
        <v>3617</v>
      </c>
      <c r="G2081" t="s">
        <v>10160</v>
      </c>
      <c r="H2081" t="s">
        <v>11889</v>
      </c>
      <c r="I2081" s="80" t="s">
        <v>11890</v>
      </c>
      <c r="J2081" t="s">
        <v>5861</v>
      </c>
      <c r="K2081" t="s">
        <v>2369</v>
      </c>
    </row>
    <row r="2082" spans="1:11" x14ac:dyDescent="0.25">
      <c r="A2082" s="122">
        <v>2081</v>
      </c>
      <c r="B2082" t="s">
        <v>642</v>
      </c>
      <c r="C2082" s="122" t="s">
        <v>187</v>
      </c>
      <c r="D2082" t="s">
        <v>11891</v>
      </c>
      <c r="E2082" t="s">
        <v>11892</v>
      </c>
      <c r="F2082" t="s">
        <v>11893</v>
      </c>
      <c r="G2082" t="s">
        <v>8096</v>
      </c>
      <c r="H2082" t="s">
        <v>11894</v>
      </c>
      <c r="I2082" s="80" t="s">
        <v>11895</v>
      </c>
      <c r="J2082" t="s">
        <v>9382</v>
      </c>
      <c r="K2082" t="s">
        <v>11896</v>
      </c>
    </row>
    <row r="2083" spans="1:11" x14ac:dyDescent="0.25">
      <c r="A2083" s="122">
        <v>2082</v>
      </c>
      <c r="B2083" t="s">
        <v>642</v>
      </c>
      <c r="C2083" s="122" t="s">
        <v>189</v>
      </c>
      <c r="D2083" t="s">
        <v>11897</v>
      </c>
      <c r="E2083" t="s">
        <v>11898</v>
      </c>
      <c r="F2083" t="s">
        <v>11053</v>
      </c>
      <c r="G2083" t="s">
        <v>8353</v>
      </c>
      <c r="H2083" t="s">
        <v>11899</v>
      </c>
      <c r="I2083" s="80" t="s">
        <v>11900</v>
      </c>
      <c r="J2083" t="s">
        <v>9341</v>
      </c>
      <c r="K2083" t="s">
        <v>11901</v>
      </c>
    </row>
    <row r="2084" spans="1:11" x14ac:dyDescent="0.25">
      <c r="A2084" s="122">
        <v>2083</v>
      </c>
      <c r="B2084" t="s">
        <v>643</v>
      </c>
      <c r="C2084" s="122" t="s">
        <v>162</v>
      </c>
      <c r="D2084" t="s">
        <v>6089</v>
      </c>
      <c r="E2084" s="80" t="s">
        <v>11902</v>
      </c>
      <c r="F2084" t="s">
        <v>3065</v>
      </c>
      <c r="G2084" t="s">
        <v>8366</v>
      </c>
      <c r="H2084" t="s">
        <v>10382</v>
      </c>
      <c r="I2084" t="s">
        <v>1647</v>
      </c>
      <c r="J2084" t="s">
        <v>6627</v>
      </c>
      <c r="K2084" t="s">
        <v>10527</v>
      </c>
    </row>
    <row r="2085" spans="1:11" x14ac:dyDescent="0.25">
      <c r="A2085" s="122">
        <v>2084</v>
      </c>
      <c r="B2085" t="s">
        <v>643</v>
      </c>
      <c r="C2085" s="122" t="s">
        <v>170</v>
      </c>
      <c r="D2085" t="s">
        <v>4982</v>
      </c>
      <c r="E2085" s="80" t="s">
        <v>11903</v>
      </c>
      <c r="F2085" t="s">
        <v>11904</v>
      </c>
      <c r="G2085" t="s">
        <v>8218</v>
      </c>
      <c r="H2085" t="s">
        <v>11905</v>
      </c>
      <c r="I2085" s="80" t="s">
        <v>11906</v>
      </c>
      <c r="J2085" t="s">
        <v>9300</v>
      </c>
      <c r="K2085" t="s">
        <v>11907</v>
      </c>
    </row>
    <row r="2086" spans="1:11" x14ac:dyDescent="0.25">
      <c r="A2086" s="122">
        <v>2085</v>
      </c>
      <c r="B2086" t="s">
        <v>643</v>
      </c>
      <c r="C2086" s="122" t="s">
        <v>178</v>
      </c>
      <c r="D2086" t="s">
        <v>10626</v>
      </c>
      <c r="E2086" s="80" t="s">
        <v>11908</v>
      </c>
      <c r="F2086" t="s">
        <v>11909</v>
      </c>
      <c r="G2086" t="s">
        <v>7998</v>
      </c>
      <c r="H2086" s="80" t="s">
        <v>11910</v>
      </c>
      <c r="I2086" s="80" t="s">
        <v>11911</v>
      </c>
      <c r="J2086" t="s">
        <v>9588</v>
      </c>
      <c r="K2086" t="s">
        <v>11912</v>
      </c>
    </row>
    <row r="2087" spans="1:11" x14ac:dyDescent="0.25">
      <c r="A2087" s="122">
        <v>2086</v>
      </c>
      <c r="B2087" t="s">
        <v>643</v>
      </c>
      <c r="C2087" s="122" t="s">
        <v>163</v>
      </c>
      <c r="D2087" t="s">
        <v>11913</v>
      </c>
      <c r="E2087" s="80" t="s">
        <v>11914</v>
      </c>
      <c r="F2087" t="s">
        <v>11915</v>
      </c>
      <c r="G2087" t="s">
        <v>7998</v>
      </c>
      <c r="H2087" s="80" t="s">
        <v>11916</v>
      </c>
      <c r="I2087" s="80" t="s">
        <v>11917</v>
      </c>
      <c r="J2087" t="s">
        <v>9411</v>
      </c>
      <c r="K2087" s="80" t="s">
        <v>11918</v>
      </c>
    </row>
    <row r="2088" spans="1:11" x14ac:dyDescent="0.25">
      <c r="A2088" s="122">
        <v>2087</v>
      </c>
      <c r="B2088" t="s">
        <v>643</v>
      </c>
      <c r="C2088" s="122" t="s">
        <v>181</v>
      </c>
      <c r="D2088" t="s">
        <v>10966</v>
      </c>
      <c r="E2088" s="80" t="s">
        <v>11919</v>
      </c>
      <c r="F2088" t="s">
        <v>11920</v>
      </c>
      <c r="G2088" t="s">
        <v>8077</v>
      </c>
      <c r="H2088" t="s">
        <v>11921</v>
      </c>
      <c r="I2088" s="80" t="s">
        <v>11922</v>
      </c>
      <c r="J2088" t="s">
        <v>3825</v>
      </c>
      <c r="K2088" s="80" t="s">
        <v>11923</v>
      </c>
    </row>
    <row r="2089" spans="1:11" x14ac:dyDescent="0.25">
      <c r="A2089" s="122">
        <v>2088</v>
      </c>
      <c r="B2089" t="s">
        <v>643</v>
      </c>
      <c r="C2089" s="122" t="s">
        <v>183</v>
      </c>
      <c r="D2089" t="s">
        <v>10895</v>
      </c>
      <c r="E2089" t="s">
        <v>11924</v>
      </c>
      <c r="F2089" t="s">
        <v>8040</v>
      </c>
      <c r="G2089" t="s">
        <v>7998</v>
      </c>
      <c r="H2089" s="80" t="s">
        <v>11925</v>
      </c>
      <c r="I2089" s="80" t="s">
        <v>11926</v>
      </c>
      <c r="J2089" t="s">
        <v>9516</v>
      </c>
      <c r="K2089" s="80" t="s">
        <v>11927</v>
      </c>
    </row>
    <row r="2090" spans="1:11" x14ac:dyDescent="0.25">
      <c r="A2090" s="122">
        <v>2089</v>
      </c>
      <c r="B2090" t="s">
        <v>643</v>
      </c>
      <c r="C2090" s="122" t="s">
        <v>186</v>
      </c>
      <c r="D2090" t="s">
        <v>10545</v>
      </c>
      <c r="E2090" s="80" t="s">
        <v>11928</v>
      </c>
      <c r="F2090" t="s">
        <v>11929</v>
      </c>
      <c r="G2090" t="s">
        <v>9502</v>
      </c>
      <c r="H2090" t="s">
        <v>11930</v>
      </c>
      <c r="I2090" s="80" t="s">
        <v>11931</v>
      </c>
      <c r="J2090" t="s">
        <v>10555</v>
      </c>
      <c r="K2090" t="s">
        <v>11932</v>
      </c>
    </row>
    <row r="2091" spans="1:11" x14ac:dyDescent="0.25">
      <c r="A2091" s="122">
        <v>2090</v>
      </c>
      <c r="B2091" t="s">
        <v>643</v>
      </c>
      <c r="C2091" s="122" t="s">
        <v>188</v>
      </c>
      <c r="D2091" t="s">
        <v>10012</v>
      </c>
      <c r="E2091" s="111" t="s">
        <v>11933</v>
      </c>
      <c r="F2091" t="s">
        <v>8019</v>
      </c>
      <c r="G2091" t="s">
        <v>8269</v>
      </c>
      <c r="H2091" t="s">
        <v>11934</v>
      </c>
      <c r="I2091" t="s">
        <v>11935</v>
      </c>
      <c r="J2091" t="s">
        <v>9569</v>
      </c>
      <c r="K2091" t="s">
        <v>11936</v>
      </c>
    </row>
    <row r="2092" spans="1:11" x14ac:dyDescent="0.25">
      <c r="A2092" s="122">
        <v>2091</v>
      </c>
      <c r="B2092" t="s">
        <v>643</v>
      </c>
      <c r="C2092" s="122" t="s">
        <v>182</v>
      </c>
      <c r="D2092" t="s">
        <v>583</v>
      </c>
      <c r="E2092" t="s">
        <v>11937</v>
      </c>
      <c r="F2092" t="s">
        <v>583</v>
      </c>
      <c r="G2092" t="s">
        <v>3898</v>
      </c>
      <c r="H2092" t="s">
        <v>2882</v>
      </c>
      <c r="I2092" t="s">
        <v>11938</v>
      </c>
      <c r="J2092" t="s">
        <v>9665</v>
      </c>
      <c r="K2092" t="s">
        <v>7243</v>
      </c>
    </row>
    <row r="2093" spans="1:11" x14ac:dyDescent="0.25">
      <c r="A2093" s="122">
        <v>2092</v>
      </c>
      <c r="B2093" t="s">
        <v>643</v>
      </c>
      <c r="C2093" s="122" t="s">
        <v>184</v>
      </c>
      <c r="D2093" t="s">
        <v>11939</v>
      </c>
      <c r="E2093" t="s">
        <v>11940</v>
      </c>
      <c r="F2093" t="s">
        <v>11941</v>
      </c>
      <c r="G2093" t="s">
        <v>8366</v>
      </c>
      <c r="H2093" t="s">
        <v>11942</v>
      </c>
      <c r="I2093" s="80" t="s">
        <v>11943</v>
      </c>
      <c r="J2093" t="s">
        <v>9382</v>
      </c>
      <c r="K2093" t="s">
        <v>11944</v>
      </c>
    </row>
    <row r="2094" spans="1:11" x14ac:dyDescent="0.25">
      <c r="A2094" s="122">
        <v>2093</v>
      </c>
      <c r="B2094" t="s">
        <v>643</v>
      </c>
      <c r="C2094" s="122" t="s">
        <v>187</v>
      </c>
      <c r="D2094" t="s">
        <v>11945</v>
      </c>
      <c r="E2094" t="s">
        <v>11946</v>
      </c>
      <c r="F2094" t="s">
        <v>11947</v>
      </c>
      <c r="G2094" t="s">
        <v>8366</v>
      </c>
      <c r="H2094" s="80" t="s">
        <v>11948</v>
      </c>
      <c r="I2094" s="80" t="s">
        <v>11949</v>
      </c>
      <c r="J2094" t="s">
        <v>9705</v>
      </c>
      <c r="K2094" t="s">
        <v>11950</v>
      </c>
    </row>
    <row r="2095" spans="1:11" x14ac:dyDescent="0.25">
      <c r="A2095" s="122">
        <v>2094</v>
      </c>
      <c r="B2095" t="s">
        <v>643</v>
      </c>
      <c r="C2095" s="122" t="s">
        <v>189</v>
      </c>
      <c r="D2095" t="s">
        <v>11951</v>
      </c>
      <c r="E2095" t="s">
        <v>11952</v>
      </c>
      <c r="F2095" t="s">
        <v>11953</v>
      </c>
      <c r="G2095" t="s">
        <v>8269</v>
      </c>
      <c r="H2095" t="s">
        <v>11954</v>
      </c>
      <c r="I2095" s="80" t="s">
        <v>11955</v>
      </c>
      <c r="J2095" t="s">
        <v>9300</v>
      </c>
      <c r="K2095" t="s">
        <v>11956</v>
      </c>
    </row>
    <row r="2096" spans="1:11" x14ac:dyDescent="0.25">
      <c r="A2096" s="122">
        <v>2095</v>
      </c>
      <c r="B2096">
        <v>3015</v>
      </c>
      <c r="C2096" s="122" t="s">
        <v>162</v>
      </c>
      <c r="D2096" t="s">
        <v>10900</v>
      </c>
      <c r="E2096" s="80" t="s">
        <v>11957</v>
      </c>
      <c r="F2096" t="s">
        <v>9316</v>
      </c>
      <c r="G2096" t="s">
        <v>8096</v>
      </c>
      <c r="H2096" t="s">
        <v>1906</v>
      </c>
      <c r="I2096" t="s">
        <v>3286</v>
      </c>
      <c r="J2096" t="s">
        <v>9259</v>
      </c>
      <c r="K2096" t="s">
        <v>4478</v>
      </c>
    </row>
    <row r="2097" spans="1:11" x14ac:dyDescent="0.25">
      <c r="A2097" s="122">
        <v>2096</v>
      </c>
      <c r="B2097">
        <v>3015</v>
      </c>
      <c r="C2097" s="122" t="s">
        <v>170</v>
      </c>
      <c r="D2097" t="s">
        <v>10525</v>
      </c>
      <c r="E2097" s="80" t="s">
        <v>11958</v>
      </c>
      <c r="F2097" t="s">
        <v>11959</v>
      </c>
      <c r="G2097" t="s">
        <v>7443</v>
      </c>
      <c r="H2097" t="s">
        <v>11960</v>
      </c>
      <c r="I2097" s="80" t="s">
        <v>11961</v>
      </c>
      <c r="J2097" t="s">
        <v>9300</v>
      </c>
      <c r="K2097" t="s">
        <v>11962</v>
      </c>
    </row>
    <row r="2098" spans="1:11" x14ac:dyDescent="0.25">
      <c r="A2098" s="122">
        <v>2097</v>
      </c>
      <c r="B2098">
        <v>3015</v>
      </c>
      <c r="C2098" s="122" t="s">
        <v>178</v>
      </c>
      <c r="D2098" t="s">
        <v>4982</v>
      </c>
      <c r="E2098" s="80" t="s">
        <v>11963</v>
      </c>
      <c r="F2098" t="s">
        <v>11964</v>
      </c>
      <c r="G2098" t="s">
        <v>8118</v>
      </c>
      <c r="H2098" s="80" t="s">
        <v>11965</v>
      </c>
      <c r="I2098" s="80" t="s">
        <v>11966</v>
      </c>
      <c r="J2098" t="s">
        <v>9588</v>
      </c>
      <c r="K2098" t="s">
        <v>11967</v>
      </c>
    </row>
    <row r="2099" spans="1:11" x14ac:dyDescent="0.25">
      <c r="A2099" s="122">
        <v>2098</v>
      </c>
      <c r="B2099">
        <v>3015</v>
      </c>
      <c r="C2099" s="122" t="s">
        <v>163</v>
      </c>
      <c r="D2099" t="s">
        <v>10895</v>
      </c>
      <c r="E2099" t="s">
        <v>11968</v>
      </c>
      <c r="F2099" t="s">
        <v>11969</v>
      </c>
      <c r="G2099" t="s">
        <v>8344</v>
      </c>
      <c r="H2099" s="80" t="s">
        <v>11970</v>
      </c>
      <c r="I2099" s="80" t="s">
        <v>11971</v>
      </c>
      <c r="J2099" t="s">
        <v>9516</v>
      </c>
      <c r="K2099" s="89" t="s">
        <v>582</v>
      </c>
    </row>
    <row r="2100" spans="1:11" x14ac:dyDescent="0.25">
      <c r="A2100" s="122">
        <v>2099</v>
      </c>
      <c r="B2100">
        <v>3015</v>
      </c>
      <c r="C2100" s="122" t="s">
        <v>181</v>
      </c>
      <c r="D2100" t="s">
        <v>6089</v>
      </c>
      <c r="E2100" s="80" t="s">
        <v>11972</v>
      </c>
      <c r="F2100" t="s">
        <v>7332</v>
      </c>
      <c r="G2100" t="s">
        <v>8269</v>
      </c>
      <c r="H2100" t="s">
        <v>11973</v>
      </c>
      <c r="I2100" t="s">
        <v>11974</v>
      </c>
      <c r="J2100" t="s">
        <v>9341</v>
      </c>
      <c r="K2100" t="s">
        <v>11975</v>
      </c>
    </row>
    <row r="2101" spans="1:11" x14ac:dyDescent="0.25">
      <c r="A2101" s="122">
        <v>2100</v>
      </c>
      <c r="B2101">
        <v>3015</v>
      </c>
      <c r="C2101" s="122" t="s">
        <v>183</v>
      </c>
      <c r="D2101" t="s">
        <v>10492</v>
      </c>
      <c r="E2101" s="80" t="s">
        <v>11976</v>
      </c>
      <c r="F2101" t="s">
        <v>9414</v>
      </c>
      <c r="G2101" t="s">
        <v>7973</v>
      </c>
      <c r="H2101" s="80" t="s">
        <v>11977</v>
      </c>
      <c r="I2101" s="80" t="s">
        <v>11978</v>
      </c>
      <c r="J2101" t="s">
        <v>11365</v>
      </c>
      <c r="K2101" s="80" t="s">
        <v>11979</v>
      </c>
    </row>
    <row r="2102" spans="1:11" x14ac:dyDescent="0.25">
      <c r="A2102" s="122">
        <v>2101</v>
      </c>
      <c r="B2102">
        <v>3015</v>
      </c>
      <c r="C2102" s="122" t="s">
        <v>186</v>
      </c>
      <c r="D2102" t="s">
        <v>10574</v>
      </c>
      <c r="E2102" s="80" t="s">
        <v>11980</v>
      </c>
      <c r="F2102" t="s">
        <v>11981</v>
      </c>
      <c r="G2102" t="s">
        <v>8077</v>
      </c>
      <c r="H2102" t="s">
        <v>11982</v>
      </c>
      <c r="I2102" s="80" t="s">
        <v>11983</v>
      </c>
      <c r="J2102" t="s">
        <v>9251</v>
      </c>
      <c r="K2102" s="80" t="s">
        <v>11984</v>
      </c>
    </row>
    <row r="2103" spans="1:11" x14ac:dyDescent="0.25">
      <c r="A2103" s="122">
        <v>2102</v>
      </c>
      <c r="B2103">
        <v>3015</v>
      </c>
      <c r="C2103" s="122" t="s">
        <v>188</v>
      </c>
      <c r="D2103" t="s">
        <v>10873</v>
      </c>
      <c r="E2103" s="80" t="s">
        <v>11985</v>
      </c>
      <c r="F2103" t="s">
        <v>11986</v>
      </c>
      <c r="G2103" t="s">
        <v>9592</v>
      </c>
      <c r="H2103" s="80" t="s">
        <v>11987</v>
      </c>
      <c r="I2103" s="80" t="s">
        <v>11988</v>
      </c>
      <c r="J2103" t="s">
        <v>9466</v>
      </c>
      <c r="K2103" s="89" t="s">
        <v>582</v>
      </c>
    </row>
    <row r="2104" spans="1:11" x14ac:dyDescent="0.25">
      <c r="A2104" s="122">
        <v>2103</v>
      </c>
      <c r="B2104">
        <v>3015</v>
      </c>
      <c r="C2104" s="122" t="s">
        <v>182</v>
      </c>
      <c r="D2104" t="s">
        <v>583</v>
      </c>
      <c r="E2104" t="s">
        <v>11989</v>
      </c>
      <c r="F2104" t="s">
        <v>583</v>
      </c>
      <c r="G2104" t="s">
        <v>583</v>
      </c>
      <c r="H2104" t="s">
        <v>583</v>
      </c>
      <c r="I2104" t="s">
        <v>8199</v>
      </c>
      <c r="J2104" s="80" t="s">
        <v>3201</v>
      </c>
      <c r="K2104" s="80" t="s">
        <v>5282</v>
      </c>
    </row>
    <row r="2105" spans="1:11" x14ac:dyDescent="0.25">
      <c r="A2105" s="122">
        <v>2104</v>
      </c>
      <c r="B2105">
        <v>3015</v>
      </c>
      <c r="C2105" s="122" t="s">
        <v>184</v>
      </c>
      <c r="D2105" t="s">
        <v>10528</v>
      </c>
      <c r="E2105" t="s">
        <v>11990</v>
      </c>
      <c r="F2105" t="s">
        <v>11991</v>
      </c>
      <c r="G2105" t="s">
        <v>8218</v>
      </c>
      <c r="H2105" t="s">
        <v>11992</v>
      </c>
      <c r="I2105" s="80" t="s">
        <v>11993</v>
      </c>
      <c r="J2105" t="s">
        <v>11025</v>
      </c>
      <c r="K2105" t="s">
        <v>11994</v>
      </c>
    </row>
    <row r="2106" spans="1:11" x14ac:dyDescent="0.25">
      <c r="A2106" s="122">
        <v>2105</v>
      </c>
      <c r="B2106">
        <v>3015</v>
      </c>
      <c r="C2106" s="122" t="s">
        <v>187</v>
      </c>
      <c r="D2106" t="s">
        <v>4982</v>
      </c>
      <c r="E2106" t="s">
        <v>11995</v>
      </c>
      <c r="F2106" t="s">
        <v>11996</v>
      </c>
      <c r="G2106" t="s">
        <v>8047</v>
      </c>
      <c r="H2106" s="80" t="s">
        <v>11997</v>
      </c>
      <c r="I2106" s="80" t="s">
        <v>11998</v>
      </c>
      <c r="J2106" t="s">
        <v>9330</v>
      </c>
      <c r="K2106" t="s">
        <v>11999</v>
      </c>
    </row>
    <row r="2107" spans="1:11" x14ac:dyDescent="0.25">
      <c r="A2107" s="122">
        <v>2106</v>
      </c>
      <c r="B2107">
        <v>3015</v>
      </c>
      <c r="C2107" s="122" t="s">
        <v>189</v>
      </c>
      <c r="D2107" t="s">
        <v>6089</v>
      </c>
      <c r="E2107" t="s">
        <v>12000</v>
      </c>
      <c r="F2107" t="s">
        <v>12001</v>
      </c>
      <c r="G2107" t="s">
        <v>8218</v>
      </c>
      <c r="H2107" s="80" t="s">
        <v>12002</v>
      </c>
      <c r="I2107" s="80" t="s">
        <v>12003</v>
      </c>
      <c r="J2107" t="s">
        <v>9239</v>
      </c>
      <c r="K2107" t="s">
        <v>12004</v>
      </c>
    </row>
    <row r="2108" spans="1:11" x14ac:dyDescent="0.25">
      <c r="A2108" s="122">
        <v>2107</v>
      </c>
      <c r="B2108">
        <v>3016</v>
      </c>
      <c r="C2108" s="122" t="s">
        <v>181</v>
      </c>
      <c r="D2108" t="s">
        <v>10012</v>
      </c>
      <c r="E2108" s="111" t="s">
        <v>12005</v>
      </c>
      <c r="F2108" t="s">
        <v>8243</v>
      </c>
      <c r="G2108" t="s">
        <v>8218</v>
      </c>
      <c r="H2108" t="s">
        <v>11761</v>
      </c>
      <c r="I2108" t="s">
        <v>12006</v>
      </c>
      <c r="J2108" t="s">
        <v>9382</v>
      </c>
      <c r="K2108" t="s">
        <v>12007</v>
      </c>
    </row>
    <row r="2109" spans="1:11" x14ac:dyDescent="0.25">
      <c r="A2109" s="122">
        <v>2108</v>
      </c>
      <c r="B2109">
        <v>3016</v>
      </c>
      <c r="C2109" s="122" t="s">
        <v>183</v>
      </c>
      <c r="D2109" t="s">
        <v>10592</v>
      </c>
      <c r="E2109" s="111" t="s">
        <v>977</v>
      </c>
      <c r="F2109" t="s">
        <v>12008</v>
      </c>
      <c r="G2109" t="s">
        <v>8158</v>
      </c>
      <c r="H2109" t="s">
        <v>12009</v>
      </c>
      <c r="I2109" s="80" t="s">
        <v>9526</v>
      </c>
      <c r="J2109" t="s">
        <v>9588</v>
      </c>
      <c r="K2109" t="s">
        <v>12010</v>
      </c>
    </row>
    <row r="2110" spans="1:11" x14ac:dyDescent="0.25">
      <c r="A2110" s="122">
        <v>2109</v>
      </c>
      <c r="B2110">
        <v>3016</v>
      </c>
      <c r="C2110" s="122" t="s">
        <v>186</v>
      </c>
      <c r="D2110" t="s">
        <v>10574</v>
      </c>
      <c r="E2110" s="111" t="s">
        <v>979</v>
      </c>
      <c r="F2110" t="s">
        <v>12011</v>
      </c>
      <c r="G2110" t="s">
        <v>7979</v>
      </c>
      <c r="H2110" t="s">
        <v>12012</v>
      </c>
      <c r="I2110" s="80" t="s">
        <v>12013</v>
      </c>
      <c r="J2110" t="s">
        <v>9251</v>
      </c>
      <c r="K2110" t="s">
        <v>12014</v>
      </c>
    </row>
    <row r="2111" spans="1:11" x14ac:dyDescent="0.25">
      <c r="A2111" s="122">
        <v>2110</v>
      </c>
      <c r="B2111">
        <v>3016</v>
      </c>
      <c r="C2111" s="122" t="s">
        <v>188</v>
      </c>
      <c r="D2111" t="s">
        <v>10492</v>
      </c>
      <c r="E2111" s="111" t="s">
        <v>981</v>
      </c>
      <c r="F2111" t="s">
        <v>12015</v>
      </c>
      <c r="G2111" t="s">
        <v>7959</v>
      </c>
      <c r="H2111" t="s">
        <v>9298</v>
      </c>
      <c r="I2111" s="80" t="s">
        <v>12016</v>
      </c>
      <c r="J2111" t="s">
        <v>9337</v>
      </c>
      <c r="K2111" s="80" t="s">
        <v>12017</v>
      </c>
    </row>
    <row r="2112" spans="1:11" x14ac:dyDescent="0.25">
      <c r="A2112" s="122">
        <v>2111</v>
      </c>
      <c r="B2112">
        <v>3016</v>
      </c>
      <c r="C2112" s="122" t="s">
        <v>182</v>
      </c>
      <c r="D2112" t="s">
        <v>583</v>
      </c>
      <c r="E2112" t="s">
        <v>12018</v>
      </c>
      <c r="F2112" t="s">
        <v>583</v>
      </c>
      <c r="G2112" t="s">
        <v>8096</v>
      </c>
      <c r="H2112" t="s">
        <v>583</v>
      </c>
      <c r="I2112" t="s">
        <v>1740</v>
      </c>
      <c r="J2112" s="80" t="s">
        <v>3201</v>
      </c>
      <c r="K2112" t="s">
        <v>8199</v>
      </c>
    </row>
    <row r="2113" spans="1:11" x14ac:dyDescent="0.25">
      <c r="A2113" s="122">
        <v>2112</v>
      </c>
      <c r="B2113">
        <v>3016</v>
      </c>
      <c r="C2113" s="122" t="s">
        <v>184</v>
      </c>
      <c r="D2113" t="s">
        <v>1571</v>
      </c>
      <c r="E2113" t="s">
        <v>12019</v>
      </c>
      <c r="F2113" t="s">
        <v>12020</v>
      </c>
      <c r="G2113" t="s">
        <v>8071</v>
      </c>
      <c r="H2113" t="s">
        <v>12021</v>
      </c>
      <c r="I2113" s="80" t="s">
        <v>12022</v>
      </c>
      <c r="J2113" t="s">
        <v>9602</v>
      </c>
      <c r="K2113" t="s">
        <v>12023</v>
      </c>
    </row>
    <row r="2114" spans="1:11" x14ac:dyDescent="0.25">
      <c r="A2114" s="122">
        <v>2113</v>
      </c>
      <c r="B2114">
        <v>3016</v>
      </c>
      <c r="C2114" s="122" t="s">
        <v>187</v>
      </c>
      <c r="D2114" t="s">
        <v>10900</v>
      </c>
      <c r="E2114" t="s">
        <v>12024</v>
      </c>
      <c r="F2114" t="s">
        <v>12025</v>
      </c>
      <c r="G2114" t="s">
        <v>8366</v>
      </c>
      <c r="H2114" t="s">
        <v>12026</v>
      </c>
      <c r="I2114" s="80" t="s">
        <v>12027</v>
      </c>
      <c r="J2114" t="s">
        <v>10590</v>
      </c>
      <c r="K2114" t="s">
        <v>12028</v>
      </c>
    </row>
    <row r="2115" spans="1:11" x14ac:dyDescent="0.25">
      <c r="A2115" s="122">
        <v>2114</v>
      </c>
      <c r="B2115">
        <v>3016</v>
      </c>
      <c r="C2115" s="122" t="s">
        <v>189</v>
      </c>
      <c r="D2115" t="s">
        <v>1571</v>
      </c>
      <c r="E2115" t="s">
        <v>12029</v>
      </c>
      <c r="F2115" t="s">
        <v>12030</v>
      </c>
      <c r="G2115" t="s">
        <v>8071</v>
      </c>
      <c r="H2115" t="s">
        <v>8482</v>
      </c>
      <c r="I2115" s="80" t="s">
        <v>12031</v>
      </c>
      <c r="J2115" t="s">
        <v>9602</v>
      </c>
      <c r="K2115" t="s">
        <v>12032</v>
      </c>
    </row>
    <row r="2116" spans="1:11" x14ac:dyDescent="0.25">
      <c r="A2116" s="122">
        <v>2115</v>
      </c>
      <c r="B2116">
        <v>1084</v>
      </c>
      <c r="C2116" s="122" t="s">
        <v>162</v>
      </c>
      <c r="D2116" t="s">
        <v>583</v>
      </c>
      <c r="E2116" t="s">
        <v>12033</v>
      </c>
      <c r="F2116" t="s">
        <v>583</v>
      </c>
      <c r="G2116" t="s">
        <v>10094</v>
      </c>
      <c r="H2116" t="s">
        <v>583</v>
      </c>
      <c r="I2116" t="s">
        <v>6178</v>
      </c>
      <c r="J2116" t="s">
        <v>11371</v>
      </c>
      <c r="K2116" t="s">
        <v>5312</v>
      </c>
    </row>
    <row r="2117" spans="1:11" x14ac:dyDescent="0.25">
      <c r="A2117" s="122">
        <v>2116</v>
      </c>
      <c r="B2117">
        <v>1084</v>
      </c>
      <c r="C2117" s="122" t="s">
        <v>170</v>
      </c>
      <c r="D2117" t="s">
        <v>6645</v>
      </c>
      <c r="E2117" t="s">
        <v>12034</v>
      </c>
      <c r="F2117" t="s">
        <v>5793</v>
      </c>
      <c r="G2117" t="s">
        <v>9233</v>
      </c>
      <c r="H2117" t="s">
        <v>9972</v>
      </c>
      <c r="I2117" t="s">
        <v>12035</v>
      </c>
      <c r="J2117" t="s">
        <v>9665</v>
      </c>
      <c r="K2117" t="s">
        <v>12036</v>
      </c>
    </row>
    <row r="2118" spans="1:11" x14ac:dyDescent="0.25">
      <c r="A2118" s="122">
        <v>2117</v>
      </c>
      <c r="B2118">
        <v>1084</v>
      </c>
      <c r="C2118" s="122" t="s">
        <v>178</v>
      </c>
      <c r="D2118" t="s">
        <v>7770</v>
      </c>
      <c r="E2118" t="s">
        <v>12037</v>
      </c>
      <c r="F2118" t="s">
        <v>1390</v>
      </c>
      <c r="G2118" t="s">
        <v>9233</v>
      </c>
      <c r="H2118" t="s">
        <v>12038</v>
      </c>
      <c r="I2118" s="80" t="s">
        <v>12039</v>
      </c>
      <c r="J2118" t="s">
        <v>9366</v>
      </c>
      <c r="K2118" t="s">
        <v>12040</v>
      </c>
    </row>
    <row r="2119" spans="1:11" x14ac:dyDescent="0.25">
      <c r="A2119" s="122">
        <v>2118</v>
      </c>
      <c r="B2119">
        <v>1084</v>
      </c>
      <c r="C2119" s="122" t="s">
        <v>163</v>
      </c>
      <c r="D2119" t="s">
        <v>10711</v>
      </c>
      <c r="E2119" t="s">
        <v>12041</v>
      </c>
      <c r="F2119" t="s">
        <v>5796</v>
      </c>
      <c r="G2119" t="s">
        <v>8366</v>
      </c>
      <c r="H2119" t="s">
        <v>12042</v>
      </c>
      <c r="I2119" t="s">
        <v>12043</v>
      </c>
      <c r="J2119" t="s">
        <v>10681</v>
      </c>
      <c r="K2119" t="s">
        <v>12044</v>
      </c>
    </row>
    <row r="2120" spans="1:11" x14ac:dyDescent="0.25">
      <c r="A2120" s="122">
        <v>2119</v>
      </c>
      <c r="B2120">
        <v>1084</v>
      </c>
      <c r="C2120" s="122" t="s">
        <v>181</v>
      </c>
      <c r="D2120" t="s">
        <v>583</v>
      </c>
      <c r="E2120" t="s">
        <v>12045</v>
      </c>
      <c r="F2120" t="s">
        <v>6740</v>
      </c>
      <c r="G2120" t="s">
        <v>3898</v>
      </c>
      <c r="H2120" t="s">
        <v>3984</v>
      </c>
      <c r="I2120" t="s">
        <v>7869</v>
      </c>
      <c r="J2120" t="s">
        <v>9665</v>
      </c>
      <c r="K2120" t="s">
        <v>10936</v>
      </c>
    </row>
    <row r="2121" spans="1:11" x14ac:dyDescent="0.25">
      <c r="A2121" s="122">
        <v>2120</v>
      </c>
      <c r="B2121">
        <v>1084</v>
      </c>
      <c r="C2121" s="122" t="s">
        <v>183</v>
      </c>
      <c r="D2121" t="s">
        <v>583</v>
      </c>
      <c r="E2121" t="s">
        <v>12046</v>
      </c>
      <c r="F2121" t="s">
        <v>583</v>
      </c>
      <c r="G2121" s="80" t="s">
        <v>8198</v>
      </c>
      <c r="H2121" t="s">
        <v>12047</v>
      </c>
      <c r="I2121" t="s">
        <v>12048</v>
      </c>
      <c r="J2121" t="s">
        <v>9665</v>
      </c>
      <c r="K2121" t="s">
        <v>12049</v>
      </c>
    </row>
    <row r="2122" spans="1:11" x14ac:dyDescent="0.25">
      <c r="A2122" s="122">
        <v>2121</v>
      </c>
      <c r="B2122">
        <v>1084</v>
      </c>
      <c r="C2122" s="122" t="s">
        <v>186</v>
      </c>
      <c r="D2122" t="s">
        <v>6645</v>
      </c>
      <c r="E2122" t="s">
        <v>12050</v>
      </c>
      <c r="F2122" t="s">
        <v>6740</v>
      </c>
      <c r="G2122" s="80" t="s">
        <v>8198</v>
      </c>
      <c r="H2122" t="s">
        <v>12051</v>
      </c>
      <c r="I2122" t="s">
        <v>5471</v>
      </c>
      <c r="J2122" t="s">
        <v>8367</v>
      </c>
      <c r="K2122" t="s">
        <v>12052</v>
      </c>
    </row>
    <row r="2123" spans="1:11" x14ac:dyDescent="0.25">
      <c r="A2123" s="122">
        <v>2122</v>
      </c>
      <c r="B2123">
        <v>1084</v>
      </c>
      <c r="C2123" s="122" t="s">
        <v>188</v>
      </c>
      <c r="D2123" t="s">
        <v>583</v>
      </c>
      <c r="E2123" t="s">
        <v>12053</v>
      </c>
      <c r="F2123" t="s">
        <v>3071</v>
      </c>
      <c r="G2123" s="80" t="s">
        <v>8198</v>
      </c>
      <c r="H2123" t="s">
        <v>12054</v>
      </c>
      <c r="I2123" t="s">
        <v>4366</v>
      </c>
      <c r="J2123" t="s">
        <v>9665</v>
      </c>
      <c r="K2123" t="s">
        <v>12055</v>
      </c>
    </row>
    <row r="2124" spans="1:11" x14ac:dyDescent="0.25">
      <c r="A2124" s="122">
        <v>2123</v>
      </c>
      <c r="B2124">
        <v>1084</v>
      </c>
      <c r="C2124" s="122" t="s">
        <v>182</v>
      </c>
      <c r="D2124" t="s">
        <v>583</v>
      </c>
      <c r="E2124" t="s">
        <v>12056</v>
      </c>
      <c r="F2124" t="s">
        <v>6740</v>
      </c>
      <c r="G2124" t="s">
        <v>3898</v>
      </c>
      <c r="H2124" t="s">
        <v>6842</v>
      </c>
      <c r="I2124" t="s">
        <v>12057</v>
      </c>
      <c r="J2124" s="80" t="s">
        <v>3201</v>
      </c>
      <c r="K2124" t="s">
        <v>7243</v>
      </c>
    </row>
    <row r="2125" spans="1:11" x14ac:dyDescent="0.25">
      <c r="A2125" s="122">
        <v>2124</v>
      </c>
      <c r="B2125">
        <v>1084</v>
      </c>
      <c r="C2125" s="122" t="s">
        <v>184</v>
      </c>
      <c r="D2125" t="s">
        <v>10012</v>
      </c>
      <c r="E2125" s="80" t="s">
        <v>12058</v>
      </c>
      <c r="F2125" t="s">
        <v>12059</v>
      </c>
      <c r="G2125" t="s">
        <v>8366</v>
      </c>
      <c r="H2125" t="s">
        <v>12060</v>
      </c>
      <c r="I2125" s="80" t="s">
        <v>12061</v>
      </c>
      <c r="J2125" t="s">
        <v>9655</v>
      </c>
      <c r="K2125" t="s">
        <v>12062</v>
      </c>
    </row>
    <row r="2126" spans="1:11" x14ac:dyDescent="0.25">
      <c r="A2126" s="122">
        <v>2125</v>
      </c>
      <c r="B2126">
        <v>1084</v>
      </c>
      <c r="C2126" s="122" t="s">
        <v>187</v>
      </c>
      <c r="D2126" t="s">
        <v>10545</v>
      </c>
      <c r="E2126" s="80" t="s">
        <v>12063</v>
      </c>
      <c r="F2126" t="s">
        <v>12064</v>
      </c>
      <c r="G2126" t="s">
        <v>8118</v>
      </c>
      <c r="H2126" t="s">
        <v>12065</v>
      </c>
      <c r="I2126" s="80" t="s">
        <v>12066</v>
      </c>
      <c r="J2126" t="s">
        <v>12067</v>
      </c>
      <c r="K2126" t="s">
        <v>12068</v>
      </c>
    </row>
    <row r="2127" spans="1:11" x14ac:dyDescent="0.25">
      <c r="A2127" s="122">
        <v>2126</v>
      </c>
      <c r="B2127">
        <v>1084</v>
      </c>
      <c r="C2127" s="122" t="s">
        <v>189</v>
      </c>
      <c r="D2127" t="s">
        <v>10550</v>
      </c>
      <c r="E2127" s="80" t="s">
        <v>12069</v>
      </c>
      <c r="F2127" t="s">
        <v>12070</v>
      </c>
      <c r="G2127" t="s">
        <v>8118</v>
      </c>
      <c r="H2127" t="s">
        <v>12071</v>
      </c>
      <c r="I2127" s="80" t="s">
        <v>12072</v>
      </c>
      <c r="J2127" t="s">
        <v>9588</v>
      </c>
      <c r="K2127" s="80" t="s">
        <v>12073</v>
      </c>
    </row>
    <row r="2128" spans="1:11" x14ac:dyDescent="0.25">
      <c r="A2128" s="122">
        <v>2127</v>
      </c>
      <c r="B2128">
        <v>1085</v>
      </c>
      <c r="C2128" s="122" t="s">
        <v>162</v>
      </c>
      <c r="D2128" t="s">
        <v>10657</v>
      </c>
      <c r="E2128" s="80" t="s">
        <v>12074</v>
      </c>
      <c r="F2128" t="s">
        <v>11867</v>
      </c>
      <c r="G2128" t="s">
        <v>9646</v>
      </c>
      <c r="H2128" t="s">
        <v>2882</v>
      </c>
      <c r="I2128" t="s">
        <v>9075</v>
      </c>
      <c r="J2128" t="s">
        <v>9941</v>
      </c>
      <c r="K2128" t="s">
        <v>9342</v>
      </c>
    </row>
    <row r="2129" spans="1:11" x14ac:dyDescent="0.25">
      <c r="A2129" s="122">
        <v>2128</v>
      </c>
      <c r="B2129">
        <v>1085</v>
      </c>
      <c r="C2129" s="122" t="s">
        <v>170</v>
      </c>
      <c r="D2129" t="s">
        <v>10752</v>
      </c>
      <c r="E2129" t="s">
        <v>12075</v>
      </c>
      <c r="F2129" t="s">
        <v>12076</v>
      </c>
      <c r="G2129" t="s">
        <v>8353</v>
      </c>
      <c r="H2129" t="s">
        <v>12077</v>
      </c>
      <c r="I2129" s="80" t="s">
        <v>12078</v>
      </c>
      <c r="J2129" t="s">
        <v>9941</v>
      </c>
      <c r="K2129" t="s">
        <v>12079</v>
      </c>
    </row>
    <row r="2130" spans="1:11" x14ac:dyDescent="0.25">
      <c r="A2130" s="122">
        <v>2129</v>
      </c>
      <c r="B2130">
        <v>1085</v>
      </c>
      <c r="C2130" s="122" t="s">
        <v>178</v>
      </c>
      <c r="D2130" t="s">
        <v>10550</v>
      </c>
      <c r="E2130" s="80" t="s">
        <v>12080</v>
      </c>
      <c r="F2130" t="s">
        <v>12081</v>
      </c>
      <c r="G2130" t="s">
        <v>8020</v>
      </c>
      <c r="H2130" t="s">
        <v>12082</v>
      </c>
      <c r="I2130" s="80" t="s">
        <v>12083</v>
      </c>
      <c r="J2130" t="s">
        <v>9569</v>
      </c>
      <c r="K2130" t="s">
        <v>12084</v>
      </c>
    </row>
    <row r="2131" spans="1:11" x14ac:dyDescent="0.25">
      <c r="A2131" s="122">
        <v>2130</v>
      </c>
      <c r="B2131">
        <v>1085</v>
      </c>
      <c r="C2131" s="122" t="s">
        <v>163</v>
      </c>
      <c r="D2131" t="s">
        <v>5578</v>
      </c>
      <c r="E2131" s="111" t="s">
        <v>982</v>
      </c>
      <c r="F2131" t="s">
        <v>12085</v>
      </c>
      <c r="G2131" t="s">
        <v>9223</v>
      </c>
      <c r="H2131" t="s">
        <v>12086</v>
      </c>
      <c r="I2131" s="80" t="s">
        <v>12087</v>
      </c>
      <c r="J2131" t="s">
        <v>9615</v>
      </c>
      <c r="K2131" s="80" t="s">
        <v>12088</v>
      </c>
    </row>
    <row r="2132" spans="1:11" x14ac:dyDescent="0.25">
      <c r="A2132" s="122">
        <v>2131</v>
      </c>
      <c r="B2132">
        <v>1085</v>
      </c>
      <c r="C2132" s="122" t="s">
        <v>181</v>
      </c>
      <c r="D2132" t="s">
        <v>6645</v>
      </c>
      <c r="E2132" s="80" t="s">
        <v>7243</v>
      </c>
      <c r="F2132" t="s">
        <v>12089</v>
      </c>
      <c r="G2132" t="s">
        <v>9233</v>
      </c>
      <c r="H2132" t="s">
        <v>583</v>
      </c>
      <c r="I2132" t="s">
        <v>6530</v>
      </c>
      <c r="J2132" s="80" t="s">
        <v>3201</v>
      </c>
      <c r="K2132" s="80" t="s">
        <v>2380</v>
      </c>
    </row>
    <row r="2133" spans="1:11" x14ac:dyDescent="0.25">
      <c r="A2133" s="122">
        <v>2132</v>
      </c>
      <c r="B2133">
        <v>1085</v>
      </c>
      <c r="C2133" s="122" t="s">
        <v>183</v>
      </c>
      <c r="D2133" t="s">
        <v>583</v>
      </c>
      <c r="E2133" t="s">
        <v>583</v>
      </c>
      <c r="F2133" t="s">
        <v>5863</v>
      </c>
      <c r="G2133" t="s">
        <v>583</v>
      </c>
      <c r="H2133" t="s">
        <v>583</v>
      </c>
      <c r="I2133" s="80" t="s">
        <v>2380</v>
      </c>
      <c r="J2133" t="s">
        <v>583</v>
      </c>
      <c r="K2133" t="s">
        <v>583</v>
      </c>
    </row>
    <row r="2134" spans="1:11" x14ac:dyDescent="0.25">
      <c r="A2134" s="122">
        <v>2133</v>
      </c>
      <c r="B2134">
        <v>1085</v>
      </c>
      <c r="C2134" s="122" t="s">
        <v>186</v>
      </c>
      <c r="D2134" t="s">
        <v>583</v>
      </c>
      <c r="E2134" t="s">
        <v>12090</v>
      </c>
      <c r="F2134" t="s">
        <v>6474</v>
      </c>
      <c r="G2134" s="80" t="s">
        <v>8198</v>
      </c>
      <c r="H2134" t="s">
        <v>583</v>
      </c>
      <c r="I2134" s="80" t="s">
        <v>2380</v>
      </c>
      <c r="J2134" t="s">
        <v>583</v>
      </c>
      <c r="K2134" t="s">
        <v>583</v>
      </c>
    </row>
    <row r="2135" spans="1:11" x14ac:dyDescent="0.25">
      <c r="A2135" s="122">
        <v>2134</v>
      </c>
      <c r="B2135">
        <v>1085</v>
      </c>
      <c r="C2135" s="122" t="s">
        <v>188</v>
      </c>
      <c r="D2135" t="s">
        <v>583</v>
      </c>
      <c r="E2135" t="s">
        <v>5151</v>
      </c>
      <c r="F2135" t="s">
        <v>12089</v>
      </c>
      <c r="G2135" t="s">
        <v>583</v>
      </c>
      <c r="H2135" t="s">
        <v>583</v>
      </c>
      <c r="I2135" s="80" t="s">
        <v>2380</v>
      </c>
      <c r="J2135" t="s">
        <v>583</v>
      </c>
      <c r="K2135" t="s">
        <v>583</v>
      </c>
    </row>
    <row r="2136" spans="1:11" x14ac:dyDescent="0.25">
      <c r="A2136" s="122">
        <v>2135</v>
      </c>
      <c r="B2136">
        <v>1085</v>
      </c>
      <c r="C2136" s="122" t="s">
        <v>182</v>
      </c>
      <c r="D2136" t="s">
        <v>6645</v>
      </c>
      <c r="E2136" t="s">
        <v>12091</v>
      </c>
      <c r="F2136" t="s">
        <v>12089</v>
      </c>
      <c r="G2136" t="s">
        <v>10160</v>
      </c>
      <c r="H2136" s="80" t="s">
        <v>5582</v>
      </c>
      <c r="I2136" t="s">
        <v>12092</v>
      </c>
      <c r="J2136" s="80" t="s">
        <v>3201</v>
      </c>
      <c r="K2136" t="s">
        <v>2549</v>
      </c>
    </row>
    <row r="2137" spans="1:11" x14ac:dyDescent="0.25">
      <c r="A2137" s="122">
        <v>2136</v>
      </c>
      <c r="B2137">
        <v>1085</v>
      </c>
      <c r="C2137" s="122" t="s">
        <v>184</v>
      </c>
      <c r="D2137" t="s">
        <v>6089</v>
      </c>
      <c r="E2137" s="111" t="s">
        <v>984</v>
      </c>
      <c r="F2137" t="s">
        <v>12093</v>
      </c>
      <c r="G2137" t="s">
        <v>8090</v>
      </c>
      <c r="H2137" t="s">
        <v>12094</v>
      </c>
      <c r="I2137" s="80" t="s">
        <v>12095</v>
      </c>
      <c r="J2137" t="s">
        <v>9655</v>
      </c>
      <c r="K2137" t="s">
        <v>12096</v>
      </c>
    </row>
    <row r="2138" spans="1:11" x14ac:dyDescent="0.25">
      <c r="A2138" s="122">
        <v>2137</v>
      </c>
      <c r="B2138">
        <v>1085</v>
      </c>
      <c r="C2138" s="122" t="s">
        <v>187</v>
      </c>
      <c r="D2138" t="s">
        <v>10550</v>
      </c>
      <c r="E2138" s="111" t="s">
        <v>986</v>
      </c>
      <c r="F2138" t="s">
        <v>12097</v>
      </c>
      <c r="G2138" t="s">
        <v>9356</v>
      </c>
      <c r="H2138" t="s">
        <v>12098</v>
      </c>
      <c r="I2138" s="80" t="s">
        <v>12099</v>
      </c>
      <c r="J2138" t="s">
        <v>9251</v>
      </c>
      <c r="K2138" t="s">
        <v>12100</v>
      </c>
    </row>
    <row r="2139" spans="1:11" x14ac:dyDescent="0.25">
      <c r="A2139" s="122">
        <v>2138</v>
      </c>
      <c r="B2139">
        <v>1085</v>
      </c>
      <c r="C2139" s="122" t="s">
        <v>189</v>
      </c>
      <c r="D2139" t="s">
        <v>10611</v>
      </c>
      <c r="E2139" s="111" t="s">
        <v>988</v>
      </c>
      <c r="F2139" t="s">
        <v>12101</v>
      </c>
      <c r="G2139" t="s">
        <v>7952</v>
      </c>
      <c r="H2139" t="s">
        <v>12102</v>
      </c>
      <c r="I2139" s="80" t="s">
        <v>12103</v>
      </c>
      <c r="J2139" t="s">
        <v>9251</v>
      </c>
      <c r="K2139" t="s">
        <v>12104</v>
      </c>
    </row>
    <row r="2140" spans="1:11" x14ac:dyDescent="0.25">
      <c r="A2140" s="122">
        <v>2139</v>
      </c>
      <c r="B2140" t="s">
        <v>660</v>
      </c>
      <c r="C2140" s="122" t="s">
        <v>162</v>
      </c>
      <c r="D2140" t="s">
        <v>583</v>
      </c>
      <c r="E2140" t="s">
        <v>5151</v>
      </c>
      <c r="F2140" t="s">
        <v>583</v>
      </c>
      <c r="G2140" s="80" t="s">
        <v>9726</v>
      </c>
      <c r="H2140" t="s">
        <v>583</v>
      </c>
      <c r="I2140" s="80" t="s">
        <v>6740</v>
      </c>
      <c r="J2140" t="s">
        <v>583</v>
      </c>
      <c r="K2140" t="s">
        <v>583</v>
      </c>
    </row>
    <row r="2141" spans="1:11" x14ac:dyDescent="0.25">
      <c r="A2141" s="122">
        <v>2140</v>
      </c>
      <c r="B2141" t="s">
        <v>660</v>
      </c>
      <c r="C2141" s="122" t="s">
        <v>170</v>
      </c>
      <c r="D2141" t="s">
        <v>10711</v>
      </c>
      <c r="E2141" t="s">
        <v>11370</v>
      </c>
      <c r="F2141" t="s">
        <v>12105</v>
      </c>
      <c r="G2141" t="s">
        <v>8353</v>
      </c>
      <c r="H2141" t="s">
        <v>12106</v>
      </c>
      <c r="I2141" s="80" t="s">
        <v>12107</v>
      </c>
      <c r="J2141" t="s">
        <v>9366</v>
      </c>
      <c r="K2141" t="s">
        <v>12108</v>
      </c>
    </row>
    <row r="2142" spans="1:11" x14ac:dyDescent="0.25">
      <c r="A2142" s="122">
        <v>2141</v>
      </c>
      <c r="B2142" t="s">
        <v>660</v>
      </c>
      <c r="C2142" s="122" t="s">
        <v>178</v>
      </c>
      <c r="D2142" t="s">
        <v>10657</v>
      </c>
      <c r="E2142" t="s">
        <v>12109</v>
      </c>
      <c r="F2142" t="s">
        <v>12110</v>
      </c>
      <c r="G2142" t="s">
        <v>8218</v>
      </c>
      <c r="H2142" t="s">
        <v>12111</v>
      </c>
      <c r="I2142" s="80" t="s">
        <v>12112</v>
      </c>
      <c r="J2142" t="s">
        <v>5861</v>
      </c>
      <c r="K2142" t="s">
        <v>11856</v>
      </c>
    </row>
    <row r="2143" spans="1:11" x14ac:dyDescent="0.25">
      <c r="A2143" s="122">
        <v>2142</v>
      </c>
      <c r="B2143" t="s">
        <v>660</v>
      </c>
      <c r="C2143" s="122" t="s">
        <v>163</v>
      </c>
      <c r="D2143" t="s">
        <v>10711</v>
      </c>
      <c r="E2143" t="s">
        <v>12113</v>
      </c>
      <c r="F2143" t="s">
        <v>12114</v>
      </c>
      <c r="G2143" t="s">
        <v>3898</v>
      </c>
      <c r="H2143" t="s">
        <v>12115</v>
      </c>
      <c r="I2143" s="80" t="s">
        <v>12116</v>
      </c>
      <c r="J2143" t="s">
        <v>4779</v>
      </c>
      <c r="K2143" t="s">
        <v>12117</v>
      </c>
    </row>
    <row r="2144" spans="1:11" x14ac:dyDescent="0.25">
      <c r="A2144" s="122">
        <v>2143</v>
      </c>
      <c r="B2144" t="s">
        <v>660</v>
      </c>
      <c r="C2144" s="122" t="s">
        <v>181</v>
      </c>
      <c r="D2144" t="s">
        <v>7770</v>
      </c>
      <c r="E2144" t="s">
        <v>12118</v>
      </c>
      <c r="F2144" t="s">
        <v>2009</v>
      </c>
      <c r="G2144" t="s">
        <v>3898</v>
      </c>
      <c r="H2144" t="s">
        <v>1906</v>
      </c>
      <c r="I2144" t="s">
        <v>11053</v>
      </c>
      <c r="J2144" t="s">
        <v>9665</v>
      </c>
      <c r="K2144" t="s">
        <v>9385</v>
      </c>
    </row>
    <row r="2145" spans="1:11" x14ac:dyDescent="0.25">
      <c r="A2145" s="122">
        <v>2144</v>
      </c>
      <c r="B2145" t="s">
        <v>660</v>
      </c>
      <c r="C2145" s="122" t="s">
        <v>183</v>
      </c>
      <c r="D2145" t="s">
        <v>10611</v>
      </c>
      <c r="E2145" s="80" t="s">
        <v>12119</v>
      </c>
      <c r="F2145" t="s">
        <v>12120</v>
      </c>
      <c r="G2145" t="s">
        <v>7987</v>
      </c>
      <c r="H2145" t="s">
        <v>12121</v>
      </c>
      <c r="I2145" s="80" t="s">
        <v>12122</v>
      </c>
      <c r="J2145" t="s">
        <v>11119</v>
      </c>
      <c r="K2145" s="80" t="s">
        <v>12123</v>
      </c>
    </row>
    <row r="2146" spans="1:11" x14ac:dyDescent="0.25">
      <c r="A2146" s="122">
        <v>2145</v>
      </c>
      <c r="B2146" t="s">
        <v>660</v>
      </c>
      <c r="C2146" s="122" t="s">
        <v>186</v>
      </c>
      <c r="D2146" t="s">
        <v>10592</v>
      </c>
      <c r="E2146" s="80" t="s">
        <v>12124</v>
      </c>
      <c r="F2146" t="s">
        <v>12125</v>
      </c>
      <c r="G2146" t="s">
        <v>9592</v>
      </c>
      <c r="H2146" s="80" t="s">
        <v>12126</v>
      </c>
      <c r="I2146" s="80" t="s">
        <v>12127</v>
      </c>
      <c r="J2146" t="s">
        <v>10805</v>
      </c>
      <c r="K2146" s="80" t="s">
        <v>12128</v>
      </c>
    </row>
    <row r="2147" spans="1:11" x14ac:dyDescent="0.25">
      <c r="A2147" s="122">
        <v>2146</v>
      </c>
      <c r="B2147" t="s">
        <v>660</v>
      </c>
      <c r="C2147" s="122" t="s">
        <v>188</v>
      </c>
      <c r="D2147" t="s">
        <v>10545</v>
      </c>
      <c r="E2147" s="111" t="s">
        <v>990</v>
      </c>
      <c r="F2147" t="s">
        <v>12129</v>
      </c>
      <c r="G2147" t="s">
        <v>8090</v>
      </c>
      <c r="H2147" t="s">
        <v>12130</v>
      </c>
      <c r="I2147" s="80" t="s">
        <v>12131</v>
      </c>
      <c r="J2147" t="s">
        <v>9588</v>
      </c>
      <c r="K2147" t="s">
        <v>12132</v>
      </c>
    </row>
    <row r="2148" spans="1:11" x14ac:dyDescent="0.25">
      <c r="A2148" s="122">
        <v>2147</v>
      </c>
      <c r="B2148" t="s">
        <v>660</v>
      </c>
      <c r="C2148" s="122" t="s">
        <v>182</v>
      </c>
      <c r="D2148" t="s">
        <v>583</v>
      </c>
      <c r="E2148" t="s">
        <v>12133</v>
      </c>
      <c r="F2148" t="s">
        <v>583</v>
      </c>
      <c r="G2148" s="80" t="s">
        <v>9726</v>
      </c>
      <c r="H2148" t="s">
        <v>6842</v>
      </c>
      <c r="I2148" t="s">
        <v>12134</v>
      </c>
      <c r="J2148" t="s">
        <v>583</v>
      </c>
      <c r="K2148" t="s">
        <v>8199</v>
      </c>
    </row>
    <row r="2149" spans="1:11" x14ac:dyDescent="0.25">
      <c r="A2149" s="122">
        <v>2148</v>
      </c>
      <c r="B2149" t="s">
        <v>660</v>
      </c>
      <c r="C2149" s="122" t="s">
        <v>184</v>
      </c>
      <c r="D2149" t="s">
        <v>12135</v>
      </c>
      <c r="E2149" t="s">
        <v>12136</v>
      </c>
      <c r="F2149" t="s">
        <v>12137</v>
      </c>
      <c r="G2149" t="s">
        <v>8047</v>
      </c>
      <c r="H2149" t="s">
        <v>12138</v>
      </c>
      <c r="I2149" s="80" t="s">
        <v>12139</v>
      </c>
      <c r="J2149" t="s">
        <v>9203</v>
      </c>
      <c r="K2149" t="s">
        <v>12140</v>
      </c>
    </row>
    <row r="2150" spans="1:11" x14ac:dyDescent="0.25">
      <c r="A2150" s="122">
        <v>2149</v>
      </c>
      <c r="B2150" t="s">
        <v>660</v>
      </c>
      <c r="C2150" s="122" t="s">
        <v>187</v>
      </c>
      <c r="D2150" t="s">
        <v>12141</v>
      </c>
      <c r="E2150" t="s">
        <v>12142</v>
      </c>
      <c r="F2150" t="s">
        <v>12143</v>
      </c>
      <c r="G2150" t="s">
        <v>7987</v>
      </c>
      <c r="H2150" s="80" t="s">
        <v>12144</v>
      </c>
      <c r="I2150" s="80" t="s">
        <v>12145</v>
      </c>
      <c r="J2150" t="s">
        <v>12146</v>
      </c>
      <c r="K2150" s="89" t="s">
        <v>582</v>
      </c>
    </row>
    <row r="2151" spans="1:11" x14ac:dyDescent="0.25">
      <c r="A2151" s="122">
        <v>2150</v>
      </c>
      <c r="B2151" t="s">
        <v>660</v>
      </c>
      <c r="C2151" s="122" t="s">
        <v>189</v>
      </c>
      <c r="D2151" t="s">
        <v>12147</v>
      </c>
      <c r="E2151" t="s">
        <v>12148</v>
      </c>
      <c r="F2151" t="s">
        <v>12149</v>
      </c>
      <c r="G2151" t="s">
        <v>9270</v>
      </c>
      <c r="H2151" t="s">
        <v>12150</v>
      </c>
      <c r="I2151" s="80" t="s">
        <v>12151</v>
      </c>
      <c r="J2151" t="s">
        <v>9251</v>
      </c>
      <c r="K2151" s="80" t="s">
        <v>12152</v>
      </c>
    </row>
    <row r="2152" spans="1:11" x14ac:dyDescent="0.25">
      <c r="A2152" s="122">
        <v>2151</v>
      </c>
      <c r="B2152" t="s">
        <v>661</v>
      </c>
      <c r="C2152" s="122" t="s">
        <v>162</v>
      </c>
      <c r="D2152" t="s">
        <v>10012</v>
      </c>
      <c r="E2152" s="111" t="s">
        <v>992</v>
      </c>
      <c r="F2152" t="s">
        <v>10382</v>
      </c>
      <c r="G2152" t="s">
        <v>8104</v>
      </c>
      <c r="H2152" t="s">
        <v>12153</v>
      </c>
      <c r="I2152" t="s">
        <v>12154</v>
      </c>
      <c r="J2152" t="s">
        <v>9239</v>
      </c>
      <c r="K2152" t="s">
        <v>12155</v>
      </c>
    </row>
    <row r="2153" spans="1:11" x14ac:dyDescent="0.25">
      <c r="A2153" s="122">
        <v>2152</v>
      </c>
      <c r="B2153" t="s">
        <v>661</v>
      </c>
      <c r="C2153" s="122" t="s">
        <v>170</v>
      </c>
      <c r="D2153" t="s">
        <v>11951</v>
      </c>
      <c r="E2153" s="111" t="s">
        <v>993</v>
      </c>
      <c r="F2153" t="s">
        <v>12156</v>
      </c>
      <c r="G2153" t="s">
        <v>8090</v>
      </c>
      <c r="H2153" t="s">
        <v>12157</v>
      </c>
      <c r="I2153" s="80" t="s">
        <v>12158</v>
      </c>
      <c r="J2153" t="s">
        <v>9505</v>
      </c>
      <c r="K2153" t="s">
        <v>12159</v>
      </c>
    </row>
    <row r="2154" spans="1:11" x14ac:dyDescent="0.25">
      <c r="A2154" s="122">
        <v>2153</v>
      </c>
      <c r="B2154" t="s">
        <v>661</v>
      </c>
      <c r="C2154" s="122" t="s">
        <v>178</v>
      </c>
      <c r="D2154" t="s">
        <v>12160</v>
      </c>
      <c r="E2154" s="111" t="s">
        <v>995</v>
      </c>
      <c r="F2154" t="s">
        <v>12161</v>
      </c>
      <c r="G2154" t="s">
        <v>7952</v>
      </c>
      <c r="H2154" t="s">
        <v>12162</v>
      </c>
      <c r="I2154" s="80" t="s">
        <v>12163</v>
      </c>
      <c r="J2154" t="s">
        <v>9527</v>
      </c>
      <c r="K2154" t="s">
        <v>12164</v>
      </c>
    </row>
    <row r="2155" spans="1:11" x14ac:dyDescent="0.25">
      <c r="A2155" s="122">
        <v>2154</v>
      </c>
      <c r="B2155" t="s">
        <v>661</v>
      </c>
      <c r="C2155" s="122" t="s">
        <v>163</v>
      </c>
      <c r="D2155" t="s">
        <v>10784</v>
      </c>
      <c r="E2155" s="111" t="s">
        <v>997</v>
      </c>
      <c r="F2155" t="s">
        <v>12165</v>
      </c>
      <c r="G2155" t="s">
        <v>7973</v>
      </c>
      <c r="H2155" s="80" t="s">
        <v>12166</v>
      </c>
      <c r="I2155" s="80" t="s">
        <v>12167</v>
      </c>
      <c r="J2155" t="s">
        <v>9466</v>
      </c>
      <c r="K2155" s="111" t="s">
        <v>998</v>
      </c>
    </row>
    <row r="2156" spans="1:11" x14ac:dyDescent="0.25">
      <c r="A2156" s="122">
        <v>2155</v>
      </c>
      <c r="B2156" t="s">
        <v>661</v>
      </c>
      <c r="C2156" s="122" t="s">
        <v>181</v>
      </c>
      <c r="D2156" t="s">
        <v>10550</v>
      </c>
      <c r="E2156" s="111" t="s">
        <v>12168</v>
      </c>
      <c r="F2156" t="s">
        <v>12169</v>
      </c>
      <c r="G2156" t="s">
        <v>8047</v>
      </c>
      <c r="H2156" t="s">
        <v>9947</v>
      </c>
      <c r="I2156" t="s">
        <v>12170</v>
      </c>
      <c r="J2156" t="s">
        <v>9569</v>
      </c>
      <c r="K2156" t="s">
        <v>12171</v>
      </c>
    </row>
    <row r="2157" spans="1:11" x14ac:dyDescent="0.25">
      <c r="A2157" s="122">
        <v>2156</v>
      </c>
      <c r="B2157" t="s">
        <v>661</v>
      </c>
      <c r="C2157" s="122" t="s">
        <v>183</v>
      </c>
      <c r="D2157" t="s">
        <v>12172</v>
      </c>
      <c r="E2157" s="111" t="s">
        <v>1001</v>
      </c>
      <c r="F2157" t="s">
        <v>12173</v>
      </c>
      <c r="G2157" t="s">
        <v>7952</v>
      </c>
      <c r="H2157" t="s">
        <v>12174</v>
      </c>
      <c r="I2157" s="80" t="s">
        <v>12175</v>
      </c>
      <c r="J2157" t="s">
        <v>10562</v>
      </c>
      <c r="K2157" t="s">
        <v>12176</v>
      </c>
    </row>
    <row r="2158" spans="1:11" x14ac:dyDescent="0.25">
      <c r="A2158" s="122">
        <v>2157</v>
      </c>
      <c r="B2158" t="s">
        <v>661</v>
      </c>
      <c r="C2158" s="122" t="s">
        <v>186</v>
      </c>
      <c r="D2158" t="s">
        <v>5578</v>
      </c>
      <c r="E2158" s="111" t="s">
        <v>1003</v>
      </c>
      <c r="F2158" t="s">
        <v>12177</v>
      </c>
      <c r="G2158" t="s">
        <v>9592</v>
      </c>
      <c r="H2158" s="80" t="s">
        <v>12178</v>
      </c>
      <c r="I2158" s="80" t="s">
        <v>12179</v>
      </c>
      <c r="J2158" t="s">
        <v>11365</v>
      </c>
      <c r="K2158" s="80" t="s">
        <v>12180</v>
      </c>
    </row>
    <row r="2159" spans="1:11" x14ac:dyDescent="0.25">
      <c r="A2159" s="122">
        <v>2158</v>
      </c>
      <c r="B2159" t="s">
        <v>661</v>
      </c>
      <c r="C2159" s="122" t="s">
        <v>188</v>
      </c>
      <c r="D2159" t="s">
        <v>10498</v>
      </c>
      <c r="E2159" s="111" t="s">
        <v>1005</v>
      </c>
      <c r="F2159" t="s">
        <v>12181</v>
      </c>
      <c r="G2159" t="s">
        <v>7966</v>
      </c>
      <c r="H2159" s="80" t="s">
        <v>12182</v>
      </c>
      <c r="I2159" s="80" t="s">
        <v>12183</v>
      </c>
      <c r="J2159" t="s">
        <v>9893</v>
      </c>
      <c r="K2159" s="111" t="s">
        <v>1006</v>
      </c>
    </row>
    <row r="2160" spans="1:11" x14ac:dyDescent="0.25">
      <c r="A2160" s="122">
        <v>2159</v>
      </c>
      <c r="B2160" t="s">
        <v>661</v>
      </c>
      <c r="C2160" s="122" t="s">
        <v>182</v>
      </c>
      <c r="D2160" t="s">
        <v>583</v>
      </c>
      <c r="E2160" t="s">
        <v>12184</v>
      </c>
      <c r="F2160" t="s">
        <v>12185</v>
      </c>
      <c r="G2160" t="s">
        <v>4437</v>
      </c>
      <c r="H2160" t="s">
        <v>3068</v>
      </c>
      <c r="I2160" t="s">
        <v>8385</v>
      </c>
      <c r="J2160" t="s">
        <v>583</v>
      </c>
      <c r="K2160" s="80" t="s">
        <v>5282</v>
      </c>
    </row>
    <row r="2161" spans="1:11" x14ac:dyDescent="0.25">
      <c r="A2161" s="122">
        <v>2160</v>
      </c>
      <c r="B2161" t="s">
        <v>661</v>
      </c>
      <c r="C2161" s="122" t="s">
        <v>184</v>
      </c>
      <c r="D2161" t="s">
        <v>5267</v>
      </c>
      <c r="E2161" t="s">
        <v>12186</v>
      </c>
      <c r="F2161" t="s">
        <v>5254</v>
      </c>
      <c r="G2161" t="s">
        <v>9270</v>
      </c>
      <c r="H2161" t="s">
        <v>12187</v>
      </c>
      <c r="I2161" s="80" t="s">
        <v>12188</v>
      </c>
      <c r="J2161" t="s">
        <v>9330</v>
      </c>
      <c r="K2161" t="s">
        <v>12189</v>
      </c>
    </row>
    <row r="2162" spans="1:11" x14ac:dyDescent="0.25">
      <c r="A2162" s="122">
        <v>2161</v>
      </c>
      <c r="B2162" t="s">
        <v>661</v>
      </c>
      <c r="C2162" s="122" t="s">
        <v>187</v>
      </c>
      <c r="D2162" t="s">
        <v>12190</v>
      </c>
      <c r="E2162" s="80" t="s">
        <v>10127</v>
      </c>
      <c r="F2162" t="s">
        <v>12191</v>
      </c>
      <c r="G2162" t="s">
        <v>8138</v>
      </c>
      <c r="H2162" s="80" t="s">
        <v>12192</v>
      </c>
      <c r="I2162" s="80" t="s">
        <v>11220</v>
      </c>
      <c r="J2162" t="s">
        <v>9337</v>
      </c>
      <c r="K2162" t="s">
        <v>12193</v>
      </c>
    </row>
    <row r="2163" spans="1:11" x14ac:dyDescent="0.25">
      <c r="A2163" s="122">
        <v>2162</v>
      </c>
      <c r="B2163" t="s">
        <v>661</v>
      </c>
      <c r="C2163" s="122" t="s">
        <v>189</v>
      </c>
      <c r="D2163" t="s">
        <v>10651</v>
      </c>
      <c r="E2163" t="s">
        <v>12194</v>
      </c>
      <c r="F2163" t="s">
        <v>12195</v>
      </c>
      <c r="G2163" t="s">
        <v>8020</v>
      </c>
      <c r="H2163" s="80" t="s">
        <v>12196</v>
      </c>
      <c r="I2163" s="80" t="s">
        <v>12197</v>
      </c>
      <c r="J2163" t="s">
        <v>11359</v>
      </c>
      <c r="K2163" t="s">
        <v>12198</v>
      </c>
    </row>
    <row r="2164" spans="1:11" x14ac:dyDescent="0.25">
      <c r="A2164" s="122">
        <v>2163</v>
      </c>
      <c r="B2164">
        <v>1087</v>
      </c>
      <c r="C2164" s="122" t="s">
        <v>162</v>
      </c>
      <c r="D2164" t="s">
        <v>10651</v>
      </c>
      <c r="E2164" s="111" t="s">
        <v>1007</v>
      </c>
      <c r="F2164" t="s">
        <v>12199</v>
      </c>
      <c r="G2164" t="s">
        <v>9270</v>
      </c>
      <c r="H2164" t="s">
        <v>12200</v>
      </c>
      <c r="I2164" t="s">
        <v>12201</v>
      </c>
      <c r="J2164" t="s">
        <v>10009</v>
      </c>
      <c r="K2164" t="s">
        <v>12202</v>
      </c>
    </row>
    <row r="2165" spans="1:11" x14ac:dyDescent="0.25">
      <c r="A2165" s="122">
        <v>2164</v>
      </c>
      <c r="B2165">
        <v>1087</v>
      </c>
      <c r="C2165" s="122" t="s">
        <v>170</v>
      </c>
      <c r="D2165" t="s">
        <v>10611</v>
      </c>
      <c r="E2165" s="111" t="s">
        <v>1009</v>
      </c>
      <c r="F2165" t="s">
        <v>12203</v>
      </c>
      <c r="G2165" t="s">
        <v>9356</v>
      </c>
      <c r="H2165" t="s">
        <v>12204</v>
      </c>
      <c r="I2165" s="80" t="s">
        <v>12205</v>
      </c>
      <c r="J2165" t="s">
        <v>9740</v>
      </c>
      <c r="K2165" t="s">
        <v>12206</v>
      </c>
    </row>
    <row r="2166" spans="1:11" x14ac:dyDescent="0.25">
      <c r="A2166" s="122">
        <v>2165</v>
      </c>
      <c r="B2166">
        <v>1087</v>
      </c>
      <c r="C2166" s="122" t="s">
        <v>178</v>
      </c>
      <c r="D2166" t="s">
        <v>10196</v>
      </c>
      <c r="E2166" s="80" t="s">
        <v>12207</v>
      </c>
      <c r="F2166" t="s">
        <v>12208</v>
      </c>
      <c r="G2166" t="s">
        <v>8188</v>
      </c>
      <c r="H2166" s="111" t="s">
        <v>12209</v>
      </c>
      <c r="I2166" s="80" t="s">
        <v>12210</v>
      </c>
      <c r="J2166" t="s">
        <v>9556</v>
      </c>
      <c r="K2166" s="80" t="s">
        <v>12211</v>
      </c>
    </row>
    <row r="2167" spans="1:11" x14ac:dyDescent="0.25">
      <c r="A2167" s="122">
        <v>2166</v>
      </c>
      <c r="B2167">
        <v>1087</v>
      </c>
      <c r="C2167" s="122" t="s">
        <v>163</v>
      </c>
      <c r="D2167" t="s">
        <v>11705</v>
      </c>
      <c r="E2167" s="80" t="s">
        <v>12212</v>
      </c>
      <c r="F2167" t="s">
        <v>12213</v>
      </c>
      <c r="G2167" t="s">
        <v>9356</v>
      </c>
      <c r="H2167" s="80" t="s">
        <v>12214</v>
      </c>
      <c r="I2167" s="80" t="s">
        <v>12215</v>
      </c>
      <c r="J2167" t="s">
        <v>12216</v>
      </c>
      <c r="K2167" s="89" t="s">
        <v>582</v>
      </c>
    </row>
    <row r="2168" spans="1:11" x14ac:dyDescent="0.25">
      <c r="A2168" s="122">
        <v>2167</v>
      </c>
      <c r="B2168">
        <v>1087</v>
      </c>
      <c r="C2168" s="122" t="s">
        <v>181</v>
      </c>
      <c r="D2168" t="s">
        <v>5267</v>
      </c>
      <c r="E2168" s="111" t="s">
        <v>1011</v>
      </c>
      <c r="F2168" t="s">
        <v>10227</v>
      </c>
      <c r="G2168" t="s">
        <v>8344</v>
      </c>
      <c r="H2168" t="s">
        <v>12217</v>
      </c>
      <c r="I2168" s="80" t="s">
        <v>12218</v>
      </c>
      <c r="J2168" t="s">
        <v>9273</v>
      </c>
      <c r="K2168" t="s">
        <v>12219</v>
      </c>
    </row>
    <row r="2169" spans="1:11" x14ac:dyDescent="0.25">
      <c r="A2169" s="122">
        <v>2168</v>
      </c>
      <c r="B2169">
        <v>1087</v>
      </c>
      <c r="C2169" s="122" t="s">
        <v>183</v>
      </c>
      <c r="D2169" t="s">
        <v>10498</v>
      </c>
      <c r="E2169" s="111" t="s">
        <v>1013</v>
      </c>
      <c r="F2169" t="s">
        <v>12220</v>
      </c>
      <c r="G2169" t="s">
        <v>9223</v>
      </c>
      <c r="H2169" t="s">
        <v>12221</v>
      </c>
      <c r="I2169" s="80" t="s">
        <v>12222</v>
      </c>
      <c r="J2169" t="s">
        <v>9231</v>
      </c>
      <c r="K2169" s="80" t="s">
        <v>12223</v>
      </c>
    </row>
    <row r="2170" spans="1:11" x14ac:dyDescent="0.25">
      <c r="A2170" s="122">
        <v>2169</v>
      </c>
      <c r="B2170">
        <v>1087</v>
      </c>
      <c r="C2170" s="122" t="s">
        <v>186</v>
      </c>
      <c r="D2170" t="s">
        <v>10645</v>
      </c>
      <c r="E2170" s="111" t="s">
        <v>1015</v>
      </c>
      <c r="F2170" t="s">
        <v>12224</v>
      </c>
      <c r="G2170" t="s">
        <v>12225</v>
      </c>
      <c r="H2170" s="80" t="s">
        <v>12226</v>
      </c>
      <c r="I2170" s="80" t="s">
        <v>12227</v>
      </c>
      <c r="J2170" t="s">
        <v>9486</v>
      </c>
      <c r="K2170" s="111" t="s">
        <v>1016</v>
      </c>
    </row>
    <row r="2171" spans="1:11" x14ac:dyDescent="0.25">
      <c r="A2171" s="122">
        <v>2170</v>
      </c>
      <c r="B2171">
        <v>1087</v>
      </c>
      <c r="C2171" s="122" t="s">
        <v>188</v>
      </c>
      <c r="D2171" t="s">
        <v>10611</v>
      </c>
      <c r="E2171" s="111" t="s">
        <v>1017</v>
      </c>
      <c r="F2171" t="s">
        <v>12228</v>
      </c>
      <c r="G2171" t="s">
        <v>7979</v>
      </c>
      <c r="H2171" s="80" t="s">
        <v>12229</v>
      </c>
      <c r="I2171" s="80" t="s">
        <v>12230</v>
      </c>
      <c r="J2171" t="s">
        <v>9231</v>
      </c>
      <c r="K2171" s="111" t="s">
        <v>1018</v>
      </c>
    </row>
    <row r="2172" spans="1:11" x14ac:dyDescent="0.25">
      <c r="A2172" s="122">
        <v>2171</v>
      </c>
      <c r="B2172">
        <v>1087</v>
      </c>
      <c r="C2172" s="122" t="s">
        <v>182</v>
      </c>
      <c r="D2172" t="s">
        <v>10747</v>
      </c>
      <c r="E2172" t="s">
        <v>12231</v>
      </c>
      <c r="F2172" t="s">
        <v>2382</v>
      </c>
      <c r="G2172" t="s">
        <v>10094</v>
      </c>
      <c r="H2172" t="s">
        <v>12232</v>
      </c>
      <c r="I2172" t="s">
        <v>12233</v>
      </c>
      <c r="J2172" t="s">
        <v>8367</v>
      </c>
      <c r="K2172" t="s">
        <v>12234</v>
      </c>
    </row>
    <row r="2173" spans="1:11" x14ac:dyDescent="0.25">
      <c r="A2173" s="122">
        <v>2172</v>
      </c>
      <c r="B2173">
        <v>1087</v>
      </c>
      <c r="C2173" s="122" t="s">
        <v>184</v>
      </c>
      <c r="D2173" t="s">
        <v>10545</v>
      </c>
      <c r="E2173" t="s">
        <v>12235</v>
      </c>
      <c r="F2173" t="s">
        <v>12236</v>
      </c>
      <c r="G2173" t="s">
        <v>8090</v>
      </c>
      <c r="H2173" t="s">
        <v>12237</v>
      </c>
      <c r="I2173" s="80" t="s">
        <v>12238</v>
      </c>
      <c r="J2173" t="s">
        <v>9239</v>
      </c>
      <c r="K2173" t="s">
        <v>12239</v>
      </c>
    </row>
    <row r="2174" spans="1:11" x14ac:dyDescent="0.25">
      <c r="A2174" s="122">
        <v>2173</v>
      </c>
      <c r="B2174">
        <v>1087</v>
      </c>
      <c r="C2174" s="122" t="s">
        <v>187</v>
      </c>
      <c r="D2174" t="s">
        <v>12240</v>
      </c>
      <c r="E2174" s="80" t="s">
        <v>12241</v>
      </c>
      <c r="F2174" t="s">
        <v>12242</v>
      </c>
      <c r="G2174" t="s">
        <v>9356</v>
      </c>
      <c r="H2174" s="80" t="s">
        <v>12243</v>
      </c>
      <c r="I2174" s="80" t="s">
        <v>12244</v>
      </c>
      <c r="J2174" t="s">
        <v>9251</v>
      </c>
      <c r="K2174" s="80" t="s">
        <v>12245</v>
      </c>
    </row>
    <row r="2175" spans="1:11" x14ac:dyDescent="0.25">
      <c r="A2175" s="122">
        <v>2174</v>
      </c>
      <c r="B2175">
        <v>1087</v>
      </c>
      <c r="C2175" s="122" t="s">
        <v>189</v>
      </c>
      <c r="D2175" t="s">
        <v>10492</v>
      </c>
      <c r="E2175" s="80" t="s">
        <v>12246</v>
      </c>
      <c r="F2175" t="s">
        <v>12247</v>
      </c>
      <c r="G2175" t="s">
        <v>9356</v>
      </c>
      <c r="H2175" s="80" t="s">
        <v>12248</v>
      </c>
      <c r="I2175" s="80" t="s">
        <v>12249</v>
      </c>
      <c r="J2175" t="s">
        <v>9480</v>
      </c>
      <c r="K2175" s="89" t="s">
        <v>582</v>
      </c>
    </row>
    <row r="2176" spans="1:11" x14ac:dyDescent="0.25">
      <c r="A2176" s="122">
        <v>2175</v>
      </c>
      <c r="B2176">
        <v>3027</v>
      </c>
      <c r="C2176" s="122" t="s">
        <v>162</v>
      </c>
      <c r="D2176" t="s">
        <v>5561</v>
      </c>
      <c r="E2176" t="s">
        <v>9140</v>
      </c>
      <c r="F2176" t="s">
        <v>8492</v>
      </c>
      <c r="G2176" t="s">
        <v>9726</v>
      </c>
      <c r="H2176" t="s">
        <v>583</v>
      </c>
      <c r="I2176" t="s">
        <v>6740</v>
      </c>
      <c r="J2176" t="s">
        <v>9665</v>
      </c>
      <c r="K2176" s="80" t="s">
        <v>2380</v>
      </c>
    </row>
    <row r="2177" spans="1:11" x14ac:dyDescent="0.25">
      <c r="A2177" s="122">
        <v>2176</v>
      </c>
      <c r="B2177">
        <v>3027</v>
      </c>
      <c r="C2177" s="122" t="s">
        <v>170</v>
      </c>
      <c r="D2177" t="s">
        <v>583</v>
      </c>
      <c r="E2177" t="s">
        <v>12250</v>
      </c>
      <c r="F2177" t="s">
        <v>7396</v>
      </c>
      <c r="G2177" t="s">
        <v>583</v>
      </c>
      <c r="H2177" t="s">
        <v>12251</v>
      </c>
      <c r="I2177" t="s">
        <v>12252</v>
      </c>
      <c r="J2177" t="s">
        <v>3201</v>
      </c>
      <c r="K2177" t="s">
        <v>11071</v>
      </c>
    </row>
    <row r="2178" spans="1:11" x14ac:dyDescent="0.25">
      <c r="A2178" s="122">
        <v>2177</v>
      </c>
      <c r="B2178">
        <v>3027</v>
      </c>
      <c r="C2178" s="122" t="s">
        <v>178</v>
      </c>
      <c r="D2178" t="s">
        <v>583</v>
      </c>
      <c r="E2178" t="s">
        <v>820</v>
      </c>
      <c r="F2178" t="s">
        <v>8693</v>
      </c>
      <c r="G2178" t="s">
        <v>3898</v>
      </c>
      <c r="H2178" t="s">
        <v>12253</v>
      </c>
      <c r="I2178" t="s">
        <v>12254</v>
      </c>
      <c r="J2178" t="s">
        <v>583</v>
      </c>
      <c r="K2178" t="s">
        <v>9708</v>
      </c>
    </row>
    <row r="2179" spans="1:11" x14ac:dyDescent="0.25">
      <c r="A2179" s="122">
        <v>2178</v>
      </c>
      <c r="B2179">
        <v>3027</v>
      </c>
      <c r="C2179" s="122" t="s">
        <v>163</v>
      </c>
      <c r="D2179" t="s">
        <v>583</v>
      </c>
      <c r="E2179" t="s">
        <v>12255</v>
      </c>
      <c r="F2179" t="s">
        <v>12089</v>
      </c>
      <c r="G2179" t="s">
        <v>9726</v>
      </c>
      <c r="H2179" t="s">
        <v>12256</v>
      </c>
      <c r="I2179" t="s">
        <v>12257</v>
      </c>
      <c r="J2179" t="s">
        <v>583</v>
      </c>
      <c r="K2179" t="s">
        <v>6975</v>
      </c>
    </row>
    <row r="2180" spans="1:11" x14ac:dyDescent="0.25">
      <c r="A2180" s="122">
        <v>2179</v>
      </c>
      <c r="B2180">
        <v>3027</v>
      </c>
      <c r="C2180" s="122" t="s">
        <v>181</v>
      </c>
      <c r="D2180" t="s">
        <v>1571</v>
      </c>
      <c r="E2180" t="s">
        <v>12258</v>
      </c>
      <c r="F2180" t="s">
        <v>5768</v>
      </c>
      <c r="G2180" t="s">
        <v>4437</v>
      </c>
      <c r="H2180" t="s">
        <v>6232</v>
      </c>
      <c r="I2180" t="s">
        <v>12259</v>
      </c>
      <c r="J2180" t="s">
        <v>9602</v>
      </c>
      <c r="K2180" t="s">
        <v>10524</v>
      </c>
    </row>
    <row r="2181" spans="1:11" x14ac:dyDescent="0.25">
      <c r="A2181" s="122">
        <v>2180</v>
      </c>
      <c r="B2181">
        <v>3027</v>
      </c>
      <c r="C2181" s="122" t="s">
        <v>183</v>
      </c>
      <c r="D2181" t="s">
        <v>10498</v>
      </c>
      <c r="E2181" s="111" t="s">
        <v>1019</v>
      </c>
      <c r="F2181" t="s">
        <v>12260</v>
      </c>
      <c r="G2181" t="s">
        <v>12261</v>
      </c>
      <c r="H2181" s="80" t="s">
        <v>12262</v>
      </c>
      <c r="I2181" s="80" t="s">
        <v>12263</v>
      </c>
      <c r="J2181" t="s">
        <v>9466</v>
      </c>
      <c r="K2181" t="s">
        <v>12264</v>
      </c>
    </row>
    <row r="2182" spans="1:11" x14ac:dyDescent="0.25">
      <c r="A2182" s="122">
        <v>2181</v>
      </c>
      <c r="B2182">
        <v>3027</v>
      </c>
      <c r="C2182" s="122" t="s">
        <v>186</v>
      </c>
      <c r="D2182" t="s">
        <v>5578</v>
      </c>
      <c r="E2182" s="111" t="s">
        <v>1021</v>
      </c>
      <c r="F2182" t="s">
        <v>12265</v>
      </c>
      <c r="G2182" t="s">
        <v>9356</v>
      </c>
      <c r="H2182" s="84">
        <v>2937200</v>
      </c>
      <c r="I2182" s="80" t="s">
        <v>12266</v>
      </c>
      <c r="J2182" t="s">
        <v>9466</v>
      </c>
      <c r="K2182" s="80" t="s">
        <v>12267</v>
      </c>
    </row>
    <row r="2183" spans="1:11" x14ac:dyDescent="0.25">
      <c r="A2183" s="122">
        <v>2182</v>
      </c>
      <c r="B2183">
        <v>3027</v>
      </c>
      <c r="C2183" s="122" t="s">
        <v>188</v>
      </c>
      <c r="D2183" t="s">
        <v>10895</v>
      </c>
      <c r="E2183" s="80" t="s">
        <v>12268</v>
      </c>
      <c r="F2183" t="s">
        <v>12269</v>
      </c>
      <c r="G2183" t="s">
        <v>8020</v>
      </c>
      <c r="H2183" t="s">
        <v>12270</v>
      </c>
      <c r="I2183" s="80" t="s">
        <v>12271</v>
      </c>
      <c r="J2183" t="s">
        <v>9588</v>
      </c>
      <c r="K2183" t="s">
        <v>12272</v>
      </c>
    </row>
    <row r="2184" spans="1:11" x14ac:dyDescent="0.25">
      <c r="A2184" s="122">
        <v>2183</v>
      </c>
      <c r="B2184">
        <v>3027</v>
      </c>
      <c r="C2184" s="122" t="s">
        <v>182</v>
      </c>
      <c r="D2184" t="s">
        <v>6645</v>
      </c>
      <c r="E2184" t="s">
        <v>12273</v>
      </c>
      <c r="F2184" t="s">
        <v>7565</v>
      </c>
      <c r="G2184" t="s">
        <v>3786</v>
      </c>
      <c r="H2184" t="s">
        <v>5513</v>
      </c>
      <c r="I2184" t="s">
        <v>6178</v>
      </c>
      <c r="J2184" t="s">
        <v>3201</v>
      </c>
      <c r="K2184" s="80" t="s">
        <v>5282</v>
      </c>
    </row>
    <row r="2185" spans="1:11" x14ac:dyDescent="0.25">
      <c r="A2185" s="122">
        <v>2184</v>
      </c>
      <c r="B2185">
        <v>3027</v>
      </c>
      <c r="C2185" s="122" t="s">
        <v>184</v>
      </c>
      <c r="D2185" t="s">
        <v>3663</v>
      </c>
      <c r="E2185" s="111" t="s">
        <v>1023</v>
      </c>
      <c r="F2185" t="s">
        <v>12274</v>
      </c>
      <c r="G2185" t="s">
        <v>7959</v>
      </c>
      <c r="H2185" t="s">
        <v>12275</v>
      </c>
      <c r="I2185" s="80" t="s">
        <v>12276</v>
      </c>
      <c r="J2185" t="s">
        <v>9273</v>
      </c>
      <c r="K2185" t="s">
        <v>12277</v>
      </c>
    </row>
    <row r="2186" spans="1:11" x14ac:dyDescent="0.25">
      <c r="A2186" s="122">
        <v>2185</v>
      </c>
      <c r="B2186">
        <v>3027</v>
      </c>
      <c r="C2186" s="122" t="s">
        <v>187</v>
      </c>
      <c r="D2186" t="s">
        <v>12278</v>
      </c>
      <c r="E2186" s="111" t="s">
        <v>1025</v>
      </c>
      <c r="F2186" t="s">
        <v>12279</v>
      </c>
      <c r="G2186" t="s">
        <v>7987</v>
      </c>
      <c r="H2186" s="80" t="s">
        <v>12280</v>
      </c>
      <c r="I2186" s="80" t="s">
        <v>12281</v>
      </c>
      <c r="J2186" t="s">
        <v>4311</v>
      </c>
      <c r="K2186" t="s">
        <v>12282</v>
      </c>
    </row>
    <row r="2187" spans="1:11" x14ac:dyDescent="0.25">
      <c r="A2187" s="122">
        <v>2186</v>
      </c>
      <c r="B2187">
        <v>3027</v>
      </c>
      <c r="C2187" s="122" t="s">
        <v>189</v>
      </c>
      <c r="D2187" t="s">
        <v>12283</v>
      </c>
      <c r="E2187" s="80" t="s">
        <v>12284</v>
      </c>
      <c r="F2187" t="s">
        <v>1041</v>
      </c>
      <c r="G2187" t="s">
        <v>7998</v>
      </c>
      <c r="H2187" t="s">
        <v>12285</v>
      </c>
      <c r="I2187" s="80" t="s">
        <v>12286</v>
      </c>
      <c r="J2187" t="s">
        <v>3825</v>
      </c>
      <c r="K2187" s="80" t="s">
        <v>12287</v>
      </c>
    </row>
    <row r="2188" spans="1:11" x14ac:dyDescent="0.25">
      <c r="A2188" s="122">
        <v>2187</v>
      </c>
      <c r="B2188" t="s">
        <v>662</v>
      </c>
      <c r="C2188" s="122" t="s">
        <v>162</v>
      </c>
      <c r="D2188" t="s">
        <v>10711</v>
      </c>
      <c r="E2188" s="80" t="s">
        <v>12288</v>
      </c>
      <c r="F2188" t="s">
        <v>8952</v>
      </c>
      <c r="G2188" t="s">
        <v>7443</v>
      </c>
      <c r="H2188" t="s">
        <v>6760</v>
      </c>
      <c r="I2188" t="s">
        <v>7307</v>
      </c>
      <c r="J2188" t="s">
        <v>9941</v>
      </c>
      <c r="K2188" t="s">
        <v>5539</v>
      </c>
    </row>
    <row r="2189" spans="1:11" x14ac:dyDescent="0.25">
      <c r="A2189" s="122">
        <v>2188</v>
      </c>
      <c r="B2189" t="s">
        <v>662</v>
      </c>
      <c r="C2189" s="122" t="s">
        <v>170</v>
      </c>
      <c r="D2189" t="s">
        <v>10545</v>
      </c>
      <c r="E2189" s="80" t="s">
        <v>12289</v>
      </c>
      <c r="F2189" t="s">
        <v>12290</v>
      </c>
      <c r="G2189" t="s">
        <v>9270</v>
      </c>
      <c r="H2189" t="s">
        <v>12291</v>
      </c>
      <c r="I2189" s="80" t="s">
        <v>12292</v>
      </c>
      <c r="J2189" t="s">
        <v>9300</v>
      </c>
      <c r="K2189" t="s">
        <v>12293</v>
      </c>
    </row>
    <row r="2190" spans="1:11" x14ac:dyDescent="0.25">
      <c r="A2190" s="122">
        <v>2189</v>
      </c>
      <c r="B2190" t="s">
        <v>662</v>
      </c>
      <c r="C2190" s="122" t="s">
        <v>178</v>
      </c>
      <c r="D2190" t="s">
        <v>10574</v>
      </c>
      <c r="E2190" s="80" t="s">
        <v>12294</v>
      </c>
      <c r="F2190" t="s">
        <v>12295</v>
      </c>
      <c r="G2190" t="s">
        <v>8158</v>
      </c>
      <c r="H2190" t="s">
        <v>12296</v>
      </c>
      <c r="I2190" s="80" t="s">
        <v>12297</v>
      </c>
      <c r="J2190" t="s">
        <v>9575</v>
      </c>
      <c r="K2190" t="s">
        <v>12298</v>
      </c>
    </row>
    <row r="2191" spans="1:11" x14ac:dyDescent="0.25">
      <c r="A2191" s="122">
        <v>2190</v>
      </c>
      <c r="B2191" t="s">
        <v>662</v>
      </c>
      <c r="C2191" s="122" t="s">
        <v>163</v>
      </c>
      <c r="D2191" t="s">
        <v>12299</v>
      </c>
      <c r="E2191" s="80" t="s">
        <v>12300</v>
      </c>
      <c r="F2191" t="s">
        <v>12301</v>
      </c>
      <c r="G2191" t="s">
        <v>8041</v>
      </c>
      <c r="H2191" s="80" t="s">
        <v>12302</v>
      </c>
      <c r="I2191" s="80" t="s">
        <v>12303</v>
      </c>
      <c r="J2191" t="s">
        <v>9466</v>
      </c>
      <c r="K2191" s="111" t="s">
        <v>1030</v>
      </c>
    </row>
    <row r="2192" spans="1:11" x14ac:dyDescent="0.25">
      <c r="A2192" s="122">
        <v>2191</v>
      </c>
      <c r="B2192" t="s">
        <v>662</v>
      </c>
      <c r="C2192" s="122" t="s">
        <v>181</v>
      </c>
      <c r="D2192" t="s">
        <v>4982</v>
      </c>
      <c r="E2192" s="111" t="s">
        <v>1027</v>
      </c>
      <c r="F2192" t="s">
        <v>8936</v>
      </c>
      <c r="G2192" t="s">
        <v>7992</v>
      </c>
      <c r="H2192" t="s">
        <v>12304</v>
      </c>
      <c r="I2192" t="s">
        <v>12305</v>
      </c>
      <c r="J2192" t="s">
        <v>9239</v>
      </c>
      <c r="K2192" t="s">
        <v>12306</v>
      </c>
    </row>
    <row r="2193" spans="1:11" x14ac:dyDescent="0.25">
      <c r="A2193" s="122">
        <v>2192</v>
      </c>
      <c r="B2193" t="s">
        <v>662</v>
      </c>
      <c r="C2193" s="122" t="s">
        <v>183</v>
      </c>
      <c r="D2193" t="s">
        <v>11705</v>
      </c>
      <c r="E2193" s="111" t="s">
        <v>1029</v>
      </c>
      <c r="F2193">
        <v>2131</v>
      </c>
      <c r="G2193" t="s">
        <v>7966</v>
      </c>
      <c r="H2193" s="80" t="s">
        <v>12307</v>
      </c>
      <c r="I2193" s="80" t="s">
        <v>12308</v>
      </c>
      <c r="J2193" t="s">
        <v>9219</v>
      </c>
      <c r="K2193" s="80" t="s">
        <v>12309</v>
      </c>
    </row>
    <row r="2194" spans="1:11" x14ac:dyDescent="0.25">
      <c r="A2194" s="122">
        <v>2193</v>
      </c>
      <c r="B2194" t="s">
        <v>662</v>
      </c>
      <c r="C2194" s="122" t="s">
        <v>186</v>
      </c>
      <c r="D2194" t="s">
        <v>10196</v>
      </c>
      <c r="E2194" s="111" t="s">
        <v>1031</v>
      </c>
      <c r="F2194" s="80" t="s">
        <v>12310</v>
      </c>
      <c r="G2194" t="s">
        <v>7966</v>
      </c>
      <c r="H2194" s="80" t="s">
        <v>12311</v>
      </c>
      <c r="I2194" s="80" t="s">
        <v>12312</v>
      </c>
      <c r="J2194" t="s">
        <v>9556</v>
      </c>
      <c r="K2194" s="111" t="s">
        <v>1032</v>
      </c>
    </row>
    <row r="2195" spans="1:11" x14ac:dyDescent="0.25">
      <c r="A2195" s="122">
        <v>2194</v>
      </c>
      <c r="B2195" t="s">
        <v>662</v>
      </c>
      <c r="C2195" s="122" t="s">
        <v>188</v>
      </c>
      <c r="D2195" t="s">
        <v>10873</v>
      </c>
      <c r="E2195" s="111" t="s">
        <v>1033</v>
      </c>
      <c r="F2195" t="s">
        <v>12313</v>
      </c>
      <c r="G2195" t="s">
        <v>9223</v>
      </c>
      <c r="H2195" t="s">
        <v>12314</v>
      </c>
      <c r="I2195" s="80" t="s">
        <v>12315</v>
      </c>
      <c r="J2195" t="s">
        <v>9417</v>
      </c>
      <c r="K2195" s="111" t="s">
        <v>1034</v>
      </c>
    </row>
    <row r="2196" spans="1:11" x14ac:dyDescent="0.25">
      <c r="A2196" s="122">
        <v>2195</v>
      </c>
      <c r="B2196" t="s">
        <v>662</v>
      </c>
      <c r="C2196" s="122" t="s">
        <v>182</v>
      </c>
      <c r="D2196" t="s">
        <v>10747</v>
      </c>
      <c r="E2196" t="s">
        <v>12316</v>
      </c>
      <c r="F2196" t="s">
        <v>583</v>
      </c>
      <c r="G2196" t="s">
        <v>8071</v>
      </c>
      <c r="H2196" t="s">
        <v>2882</v>
      </c>
      <c r="I2196" t="s">
        <v>5795</v>
      </c>
      <c r="J2196" t="s">
        <v>9037</v>
      </c>
      <c r="K2196" t="s">
        <v>7243</v>
      </c>
    </row>
    <row r="2197" spans="1:11" x14ac:dyDescent="0.25">
      <c r="A2197" s="122">
        <v>2196</v>
      </c>
      <c r="B2197" t="s">
        <v>662</v>
      </c>
      <c r="C2197" s="122" t="s">
        <v>184</v>
      </c>
      <c r="D2197" t="s">
        <v>12317</v>
      </c>
      <c r="E2197" s="80" t="s">
        <v>12318</v>
      </c>
      <c r="F2197" t="s">
        <v>12319</v>
      </c>
      <c r="G2197" t="s">
        <v>8344</v>
      </c>
      <c r="H2197" s="80" t="s">
        <v>12320</v>
      </c>
      <c r="I2197" s="80" t="s">
        <v>12321</v>
      </c>
      <c r="J2197" t="s">
        <v>9505</v>
      </c>
      <c r="K2197" t="s">
        <v>12322</v>
      </c>
    </row>
    <row r="2198" spans="1:11" x14ac:dyDescent="0.25">
      <c r="A2198" s="122">
        <v>2197</v>
      </c>
      <c r="B2198" t="s">
        <v>662</v>
      </c>
      <c r="C2198" s="122" t="s">
        <v>187</v>
      </c>
      <c r="D2198" t="s">
        <v>12323</v>
      </c>
      <c r="E2198" s="80" t="s">
        <v>12324</v>
      </c>
      <c r="F2198" t="s">
        <v>12325</v>
      </c>
      <c r="G2198" t="s">
        <v>7952</v>
      </c>
      <c r="H2198" s="80" t="s">
        <v>12326</v>
      </c>
      <c r="I2198" s="80" t="s">
        <v>12327</v>
      </c>
      <c r="J2198" t="s">
        <v>9527</v>
      </c>
      <c r="K2198" s="80" t="s">
        <v>12328</v>
      </c>
    </row>
    <row r="2199" spans="1:11" x14ac:dyDescent="0.25">
      <c r="A2199" s="122">
        <v>2198</v>
      </c>
      <c r="B2199" t="s">
        <v>662</v>
      </c>
      <c r="C2199" s="122" t="s">
        <v>189</v>
      </c>
      <c r="D2199" t="s">
        <v>12329</v>
      </c>
      <c r="E2199" s="80" t="s">
        <v>12330</v>
      </c>
      <c r="F2199" t="s">
        <v>12331</v>
      </c>
      <c r="G2199" t="s">
        <v>7959</v>
      </c>
      <c r="H2199" s="80" t="s">
        <v>12332</v>
      </c>
      <c r="I2199" s="80" t="s">
        <v>12333</v>
      </c>
      <c r="J2199" t="s">
        <v>9251</v>
      </c>
      <c r="K2199" s="80" t="s">
        <v>12334</v>
      </c>
    </row>
    <row r="2200" spans="1:11" x14ac:dyDescent="0.25">
      <c r="A2200" s="122">
        <v>2199</v>
      </c>
      <c r="B2200" t="s">
        <v>663</v>
      </c>
      <c r="C2200" s="122" t="s">
        <v>162</v>
      </c>
      <c r="D2200" t="s">
        <v>10711</v>
      </c>
      <c r="E2200" s="80" t="s">
        <v>12335</v>
      </c>
      <c r="F2200" t="s">
        <v>1387</v>
      </c>
      <c r="G2200" t="s">
        <v>10191</v>
      </c>
      <c r="H2200" t="s">
        <v>1906</v>
      </c>
      <c r="I2200" t="s">
        <v>2384</v>
      </c>
      <c r="J2200" t="s">
        <v>5861</v>
      </c>
      <c r="K2200" t="s">
        <v>6441</v>
      </c>
    </row>
    <row r="2201" spans="1:11" x14ac:dyDescent="0.25">
      <c r="A2201" s="122">
        <v>2200</v>
      </c>
      <c r="B2201" t="s">
        <v>663</v>
      </c>
      <c r="C2201" s="122" t="s">
        <v>170</v>
      </c>
      <c r="D2201" t="s">
        <v>12336</v>
      </c>
      <c r="E2201" s="80" t="s">
        <v>12337</v>
      </c>
      <c r="F2201" t="s">
        <v>12338</v>
      </c>
      <c r="G2201" t="s">
        <v>8218</v>
      </c>
      <c r="H2201" t="s">
        <v>12339</v>
      </c>
      <c r="I2201" s="80" t="s">
        <v>12340</v>
      </c>
      <c r="J2201" t="s">
        <v>10590</v>
      </c>
      <c r="K2201" t="s">
        <v>12341</v>
      </c>
    </row>
    <row r="2202" spans="1:11" x14ac:dyDescent="0.25">
      <c r="A2202" s="122">
        <v>2201</v>
      </c>
      <c r="B2202" t="s">
        <v>663</v>
      </c>
      <c r="C2202" s="122" t="s">
        <v>178</v>
      </c>
      <c r="D2202" t="s">
        <v>12342</v>
      </c>
      <c r="E2202" s="80" t="s">
        <v>12343</v>
      </c>
      <c r="F2202" t="s">
        <v>12344</v>
      </c>
      <c r="G2202" t="s">
        <v>7952</v>
      </c>
      <c r="H2202" t="s">
        <v>12345</v>
      </c>
      <c r="I2202" s="80" t="s">
        <v>12346</v>
      </c>
      <c r="J2202" t="s">
        <v>8147</v>
      </c>
      <c r="K2202" t="s">
        <v>12347</v>
      </c>
    </row>
    <row r="2203" spans="1:11" x14ac:dyDescent="0.25">
      <c r="A2203" s="122">
        <v>2202</v>
      </c>
      <c r="B2203" t="s">
        <v>663</v>
      </c>
      <c r="C2203" s="122" t="s">
        <v>163</v>
      </c>
      <c r="D2203">
        <v>331</v>
      </c>
      <c r="E2203" s="80" t="s">
        <v>12348</v>
      </c>
      <c r="F2203" t="s">
        <v>12349</v>
      </c>
      <c r="G2203" t="s">
        <v>8118</v>
      </c>
      <c r="H2203" t="s">
        <v>12350</v>
      </c>
      <c r="I2203" s="80" t="s">
        <v>12351</v>
      </c>
      <c r="J2203" t="s">
        <v>8262</v>
      </c>
      <c r="K2203" s="80" t="s">
        <v>12352</v>
      </c>
    </row>
    <row r="2204" spans="1:11" x14ac:dyDescent="0.25">
      <c r="A2204" s="122">
        <v>2203</v>
      </c>
      <c r="B2204" t="s">
        <v>663</v>
      </c>
      <c r="C2204" s="122" t="s">
        <v>181</v>
      </c>
      <c r="D2204" t="s">
        <v>6588</v>
      </c>
      <c r="E2204" s="111" t="s">
        <v>1035</v>
      </c>
      <c r="F2204" t="s">
        <v>5311</v>
      </c>
      <c r="G2204" t="s">
        <v>8071</v>
      </c>
      <c r="H2204" t="s">
        <v>12353</v>
      </c>
      <c r="I2204" t="s">
        <v>12354</v>
      </c>
      <c r="J2204" t="s">
        <v>8221</v>
      </c>
      <c r="K2204" t="s">
        <v>12355</v>
      </c>
    </row>
    <row r="2205" spans="1:11" x14ac:dyDescent="0.25">
      <c r="A2205" s="122">
        <v>2204</v>
      </c>
      <c r="B2205" t="s">
        <v>663</v>
      </c>
      <c r="C2205" s="122" t="s">
        <v>183</v>
      </c>
      <c r="D2205" t="s">
        <v>1968</v>
      </c>
      <c r="E2205" s="80" t="s">
        <v>12356</v>
      </c>
      <c r="F2205" t="s">
        <v>12357</v>
      </c>
      <c r="G2205" t="s">
        <v>8269</v>
      </c>
      <c r="H2205" t="s">
        <v>12358</v>
      </c>
      <c r="I2205" s="80" t="s">
        <v>12359</v>
      </c>
      <c r="J2205" t="s">
        <v>8001</v>
      </c>
      <c r="K2205" t="s">
        <v>12360</v>
      </c>
    </row>
    <row r="2206" spans="1:11" x14ac:dyDescent="0.25">
      <c r="A2206" s="122">
        <v>2205</v>
      </c>
      <c r="B2206" t="s">
        <v>663</v>
      </c>
      <c r="C2206" s="122" t="s">
        <v>186</v>
      </c>
      <c r="D2206" t="s">
        <v>12361</v>
      </c>
      <c r="E2206" s="80" t="s">
        <v>12362</v>
      </c>
      <c r="F2206" t="s">
        <v>12363</v>
      </c>
      <c r="G2206" t="s">
        <v>7998</v>
      </c>
      <c r="H2206" s="80" t="s">
        <v>12364</v>
      </c>
      <c r="I2206" s="80" t="s">
        <v>12365</v>
      </c>
      <c r="J2206" t="s">
        <v>8214</v>
      </c>
      <c r="K2206" s="80" t="s">
        <v>12366</v>
      </c>
    </row>
    <row r="2207" spans="1:11" x14ac:dyDescent="0.25">
      <c r="A2207" s="122">
        <v>2206</v>
      </c>
      <c r="B2207" t="s">
        <v>663</v>
      </c>
      <c r="C2207" s="122" t="s">
        <v>188</v>
      </c>
      <c r="D2207" t="s">
        <v>12367</v>
      </c>
      <c r="E2207" s="111" t="s">
        <v>12368</v>
      </c>
      <c r="F2207" t="s">
        <v>12369</v>
      </c>
      <c r="G2207" t="s">
        <v>7959</v>
      </c>
      <c r="H2207" t="s">
        <v>12370</v>
      </c>
      <c r="I2207" s="80" t="s">
        <v>12371</v>
      </c>
      <c r="J2207" t="s">
        <v>8347</v>
      </c>
      <c r="K2207" s="80" t="s">
        <v>12372</v>
      </c>
    </row>
    <row r="2208" spans="1:11" x14ac:dyDescent="0.25">
      <c r="A2208" s="122">
        <v>2207</v>
      </c>
      <c r="B2208" t="s">
        <v>663</v>
      </c>
      <c r="C2208" s="122" t="s">
        <v>182</v>
      </c>
      <c r="D2208" t="s">
        <v>583</v>
      </c>
      <c r="E2208" t="s">
        <v>12373</v>
      </c>
      <c r="F2208" t="s">
        <v>6238</v>
      </c>
      <c r="G2208" t="s">
        <v>3786</v>
      </c>
      <c r="H2208" s="80" t="s">
        <v>5582</v>
      </c>
      <c r="I2208" t="s">
        <v>3071</v>
      </c>
      <c r="J2208" t="s">
        <v>8243</v>
      </c>
      <c r="K2208" t="s">
        <v>11627</v>
      </c>
    </row>
    <row r="2209" spans="1:11" x14ac:dyDescent="0.25">
      <c r="A2209" s="122">
        <v>2208</v>
      </c>
      <c r="B2209" t="s">
        <v>663</v>
      </c>
      <c r="C2209" s="122" t="s">
        <v>184</v>
      </c>
      <c r="D2209" t="s">
        <v>12374</v>
      </c>
      <c r="E2209" t="s">
        <v>12375</v>
      </c>
      <c r="F2209" t="s">
        <v>3323</v>
      </c>
      <c r="G2209" t="s">
        <v>9270</v>
      </c>
      <c r="H2209" t="s">
        <v>12376</v>
      </c>
      <c r="I2209" s="80" t="s">
        <v>12377</v>
      </c>
      <c r="J2209" t="s">
        <v>8147</v>
      </c>
      <c r="K2209" t="s">
        <v>12378</v>
      </c>
    </row>
    <row r="2210" spans="1:11" x14ac:dyDescent="0.25">
      <c r="A2210" s="122">
        <v>2209</v>
      </c>
      <c r="B2210" t="s">
        <v>663</v>
      </c>
      <c r="C2210" s="122" t="s">
        <v>187</v>
      </c>
      <c r="D2210" t="s">
        <v>12379</v>
      </c>
      <c r="E2210" t="s">
        <v>12380</v>
      </c>
      <c r="F2210" t="s">
        <v>12381</v>
      </c>
      <c r="G2210" t="s">
        <v>8118</v>
      </c>
      <c r="H2210" s="80" t="s">
        <v>12382</v>
      </c>
      <c r="I2210" s="80" t="s">
        <v>12383</v>
      </c>
      <c r="J2210" t="s">
        <v>8283</v>
      </c>
      <c r="K2210" s="80" t="s">
        <v>12384</v>
      </c>
    </row>
    <row r="2211" spans="1:11" x14ac:dyDescent="0.25">
      <c r="A2211" s="122">
        <v>2210</v>
      </c>
      <c r="B2211" t="s">
        <v>663</v>
      </c>
      <c r="C2211" s="122" t="s">
        <v>189</v>
      </c>
      <c r="D2211" t="s">
        <v>12385</v>
      </c>
      <c r="E2211" t="s">
        <v>12386</v>
      </c>
      <c r="F2211" t="s">
        <v>9342</v>
      </c>
      <c r="G2211" t="s">
        <v>8118</v>
      </c>
      <c r="H2211" s="80" t="s">
        <v>12387</v>
      </c>
      <c r="I2211" s="80" t="s">
        <v>12388</v>
      </c>
      <c r="J2211" t="s">
        <v>8029</v>
      </c>
      <c r="K2211" s="89" t="s">
        <v>582</v>
      </c>
    </row>
    <row r="2212" spans="1:11" x14ac:dyDescent="0.25">
      <c r="A2212" s="122">
        <v>2211</v>
      </c>
      <c r="B2212" t="s">
        <v>664</v>
      </c>
      <c r="C2212" s="122" t="s">
        <v>162</v>
      </c>
      <c r="D2212">
        <v>10</v>
      </c>
      <c r="E2212" s="80" t="s">
        <v>12389</v>
      </c>
      <c r="F2212" t="s">
        <v>9843</v>
      </c>
      <c r="G2212" t="s">
        <v>7952</v>
      </c>
      <c r="H2212" t="s">
        <v>10382</v>
      </c>
      <c r="I2212" t="s">
        <v>12390</v>
      </c>
      <c r="J2212" t="s">
        <v>8293</v>
      </c>
      <c r="K2212" t="s">
        <v>10928</v>
      </c>
    </row>
    <row r="2213" spans="1:11" x14ac:dyDescent="0.25">
      <c r="A2213" s="122">
        <v>2212</v>
      </c>
      <c r="B2213" t="s">
        <v>664</v>
      </c>
      <c r="C2213" s="122" t="s">
        <v>170</v>
      </c>
      <c r="D2213" t="s">
        <v>1968</v>
      </c>
      <c r="E2213" s="80" t="s">
        <v>12391</v>
      </c>
      <c r="F2213" t="s">
        <v>9572</v>
      </c>
      <c r="G2213" t="s">
        <v>8118</v>
      </c>
      <c r="H2213" t="s">
        <v>12392</v>
      </c>
      <c r="I2213" s="80" t="s">
        <v>12393</v>
      </c>
      <c r="J2213" t="s">
        <v>12394</v>
      </c>
      <c r="K2213" t="s">
        <v>12395</v>
      </c>
    </row>
    <row r="2214" spans="1:11" x14ac:dyDescent="0.25">
      <c r="A2214" s="122">
        <v>2213</v>
      </c>
      <c r="B2214" t="s">
        <v>664</v>
      </c>
      <c r="C2214" s="122" t="s">
        <v>178</v>
      </c>
      <c r="D2214" t="s">
        <v>4436</v>
      </c>
      <c r="E2214" s="80" t="s">
        <v>12396</v>
      </c>
      <c r="F2214" t="s">
        <v>12397</v>
      </c>
      <c r="G2214" t="s">
        <v>8090</v>
      </c>
      <c r="H2214" t="s">
        <v>12398</v>
      </c>
      <c r="I2214" s="80" t="s">
        <v>12399</v>
      </c>
      <c r="J2214" t="s">
        <v>12400</v>
      </c>
      <c r="K2214" t="s">
        <v>12401</v>
      </c>
    </row>
    <row r="2215" spans="1:11" x14ac:dyDescent="0.25">
      <c r="A2215" s="122">
        <v>2214</v>
      </c>
      <c r="B2215" t="s">
        <v>664</v>
      </c>
      <c r="C2215" s="122" t="s">
        <v>163</v>
      </c>
      <c r="D2215" t="s">
        <v>12402</v>
      </c>
      <c r="E2215" s="111" t="s">
        <v>1038</v>
      </c>
      <c r="F2215" t="s">
        <v>12403</v>
      </c>
      <c r="G2215" t="s">
        <v>12404</v>
      </c>
      <c r="H2215" s="80" t="s">
        <v>12405</v>
      </c>
      <c r="I2215" s="80" t="s">
        <v>12406</v>
      </c>
      <c r="J2215" t="s">
        <v>8250</v>
      </c>
      <c r="K2215" s="111" t="s">
        <v>1039</v>
      </c>
    </row>
    <row r="2216" spans="1:11" x14ac:dyDescent="0.25">
      <c r="A2216" s="122">
        <v>2215</v>
      </c>
      <c r="B2216" t="s">
        <v>664</v>
      </c>
      <c r="C2216" s="122" t="s">
        <v>181</v>
      </c>
      <c r="D2216" t="s">
        <v>12407</v>
      </c>
      <c r="E2216" s="111" t="s">
        <v>1040</v>
      </c>
      <c r="F2216" t="s">
        <v>12408</v>
      </c>
      <c r="G2216" t="s">
        <v>8047</v>
      </c>
      <c r="H2216" t="s">
        <v>12409</v>
      </c>
      <c r="I2216" t="s">
        <v>12410</v>
      </c>
      <c r="J2216" t="s">
        <v>8001</v>
      </c>
      <c r="K2216">
        <v>52</v>
      </c>
    </row>
    <row r="2217" spans="1:11" x14ac:dyDescent="0.25">
      <c r="A2217" s="122">
        <v>2216</v>
      </c>
      <c r="B2217" t="s">
        <v>664</v>
      </c>
      <c r="C2217" s="122" t="s">
        <v>183</v>
      </c>
      <c r="D2217" t="s">
        <v>12411</v>
      </c>
      <c r="E2217" s="111" t="s">
        <v>1042</v>
      </c>
      <c r="F2217" t="s">
        <v>12412</v>
      </c>
      <c r="G2217" t="s">
        <v>8020</v>
      </c>
      <c r="H2217" t="s">
        <v>12413</v>
      </c>
      <c r="I2217" s="80" t="s">
        <v>12414</v>
      </c>
      <c r="J2217" t="s">
        <v>8283</v>
      </c>
      <c r="K2217" t="s">
        <v>12415</v>
      </c>
    </row>
    <row r="2218" spans="1:11" x14ac:dyDescent="0.25">
      <c r="A2218" s="122">
        <v>2217</v>
      </c>
      <c r="B2218" t="s">
        <v>664</v>
      </c>
      <c r="C2218" s="122" t="s">
        <v>186</v>
      </c>
      <c r="D2218" t="s">
        <v>3938</v>
      </c>
      <c r="E2218" s="111" t="s">
        <v>1044</v>
      </c>
      <c r="F2218" s="80" t="s">
        <v>12416</v>
      </c>
      <c r="G2218" t="s">
        <v>9592</v>
      </c>
      <c r="H2218" t="s">
        <v>12417</v>
      </c>
      <c r="I2218" s="80" t="s">
        <v>12418</v>
      </c>
      <c r="J2218" t="s">
        <v>8262</v>
      </c>
      <c r="K2218" s="80" t="s">
        <v>12419</v>
      </c>
    </row>
    <row r="2219" spans="1:11" x14ac:dyDescent="0.25">
      <c r="A2219" s="122">
        <v>2218</v>
      </c>
      <c r="B2219" t="s">
        <v>664</v>
      </c>
      <c r="C2219" s="122" t="s">
        <v>188</v>
      </c>
      <c r="D2219" t="s">
        <v>12420</v>
      </c>
      <c r="E2219" s="111" t="s">
        <v>1046</v>
      </c>
      <c r="F2219" t="s">
        <v>12421</v>
      </c>
      <c r="G2219" t="s">
        <v>8026</v>
      </c>
      <c r="H2219" t="s">
        <v>12422</v>
      </c>
      <c r="I2219" s="80" t="s">
        <v>12423</v>
      </c>
      <c r="J2219" t="s">
        <v>7982</v>
      </c>
      <c r="K2219" s="80" t="s">
        <v>12424</v>
      </c>
    </row>
    <row r="2220" spans="1:11" x14ac:dyDescent="0.25">
      <c r="A2220" s="122">
        <v>2219</v>
      </c>
      <c r="B2220" t="s">
        <v>664</v>
      </c>
      <c r="C2220" s="122" t="s">
        <v>182</v>
      </c>
      <c r="D2220" t="s">
        <v>583</v>
      </c>
      <c r="E2220" t="s">
        <v>12425</v>
      </c>
      <c r="F2220" t="s">
        <v>5793</v>
      </c>
      <c r="G2220" t="s">
        <v>3898</v>
      </c>
      <c r="H2220" t="s">
        <v>10830</v>
      </c>
      <c r="I2220" t="s">
        <v>12426</v>
      </c>
      <c r="J2220" t="s">
        <v>8243</v>
      </c>
      <c r="K2220" t="s">
        <v>5799</v>
      </c>
    </row>
    <row r="2221" spans="1:11" x14ac:dyDescent="0.25">
      <c r="A2221" s="130">
        <v>2220</v>
      </c>
      <c r="B2221" t="s">
        <v>664</v>
      </c>
      <c r="C2221" s="122" t="s">
        <v>184</v>
      </c>
      <c r="D2221" t="s">
        <v>3544</v>
      </c>
      <c r="E2221" t="s">
        <v>12427</v>
      </c>
      <c r="F2221" t="s">
        <v>12428</v>
      </c>
      <c r="G2221" t="s">
        <v>7992</v>
      </c>
      <c r="H2221" t="s">
        <v>12429</v>
      </c>
      <c r="I2221" s="80" t="s">
        <v>12430</v>
      </c>
      <c r="J2221" t="s">
        <v>8099</v>
      </c>
      <c r="K2221" t="s">
        <v>12431</v>
      </c>
    </row>
    <row r="2222" spans="1:11" x14ac:dyDescent="0.25">
      <c r="A2222" s="131">
        <v>2221</v>
      </c>
      <c r="B2222" t="s">
        <v>664</v>
      </c>
      <c r="C2222" s="122" t="s">
        <v>187</v>
      </c>
      <c r="D2222" t="s">
        <v>12407</v>
      </c>
      <c r="E2222" t="s">
        <v>12432</v>
      </c>
      <c r="F2222" t="s">
        <v>11756</v>
      </c>
      <c r="G2222" t="s">
        <v>7443</v>
      </c>
      <c r="H2222" t="s">
        <v>12433</v>
      </c>
      <c r="I2222" s="80" t="s">
        <v>12434</v>
      </c>
      <c r="J2222" t="s">
        <v>10314</v>
      </c>
      <c r="K2222" t="s">
        <v>12435</v>
      </c>
    </row>
    <row r="2223" spans="1:11" x14ac:dyDescent="0.25">
      <c r="A2223" s="122">
        <v>2222</v>
      </c>
      <c r="B2223" t="s">
        <v>664</v>
      </c>
      <c r="C2223" s="122" t="s">
        <v>189</v>
      </c>
      <c r="D2223" t="s">
        <v>11122</v>
      </c>
      <c r="E2223" t="s">
        <v>12436</v>
      </c>
      <c r="F2223" t="s">
        <v>12437</v>
      </c>
      <c r="G2223" t="s">
        <v>8218</v>
      </c>
      <c r="H2223" t="s">
        <v>12438</v>
      </c>
      <c r="I2223" s="80" t="s">
        <v>12439</v>
      </c>
      <c r="J2223" t="s">
        <v>10125</v>
      </c>
      <c r="K2223" t="s">
        <v>12440</v>
      </c>
    </row>
    <row r="2224" spans="1:11" x14ac:dyDescent="0.25">
      <c r="A2224" s="122">
        <v>2223</v>
      </c>
      <c r="B2224" t="s">
        <v>665</v>
      </c>
      <c r="C2224" s="122" t="s">
        <v>162</v>
      </c>
      <c r="D2224">
        <v>10</v>
      </c>
      <c r="E2224" s="111" t="s">
        <v>1048</v>
      </c>
      <c r="F2224" t="s">
        <v>5799</v>
      </c>
      <c r="G2224" t="s">
        <v>8218</v>
      </c>
      <c r="H2224" t="s">
        <v>12441</v>
      </c>
      <c r="I2224" t="s">
        <v>12442</v>
      </c>
      <c r="J2224" t="s">
        <v>10085</v>
      </c>
      <c r="K2224" t="s">
        <v>12443</v>
      </c>
    </row>
    <row r="2225" spans="1:11" x14ac:dyDescent="0.25">
      <c r="A2225" s="122">
        <v>2224</v>
      </c>
      <c r="B2225" t="s">
        <v>665</v>
      </c>
      <c r="C2225" s="122" t="s">
        <v>170</v>
      </c>
      <c r="D2225" t="s">
        <v>12407</v>
      </c>
      <c r="E2225" s="80" t="s">
        <v>12444</v>
      </c>
      <c r="F2225" t="s">
        <v>12445</v>
      </c>
      <c r="G2225" t="s">
        <v>8104</v>
      </c>
      <c r="H2225" t="s">
        <v>12446</v>
      </c>
      <c r="I2225" s="80" t="s">
        <v>12447</v>
      </c>
      <c r="J2225" t="s">
        <v>8221</v>
      </c>
      <c r="K2225" t="s">
        <v>12448</v>
      </c>
    </row>
    <row r="2226" spans="1:11" x14ac:dyDescent="0.25">
      <c r="A2226" s="122">
        <v>2225</v>
      </c>
      <c r="B2226" t="s">
        <v>665</v>
      </c>
      <c r="C2226" s="122" t="s">
        <v>178</v>
      </c>
      <c r="D2226" t="s">
        <v>12449</v>
      </c>
      <c r="E2226" s="80" t="s">
        <v>12450</v>
      </c>
      <c r="F2226" t="s">
        <v>12451</v>
      </c>
      <c r="G2226" t="s">
        <v>7987</v>
      </c>
      <c r="H2226" t="s">
        <v>12452</v>
      </c>
      <c r="I2226" s="80" t="s">
        <v>12453</v>
      </c>
      <c r="J2226" t="s">
        <v>8015</v>
      </c>
      <c r="K2226" t="s">
        <v>12454</v>
      </c>
    </row>
    <row r="2227" spans="1:11" x14ac:dyDescent="0.25">
      <c r="A2227" s="122">
        <v>2226</v>
      </c>
      <c r="B2227" t="s">
        <v>665</v>
      </c>
      <c r="C2227" s="122" t="s">
        <v>163</v>
      </c>
      <c r="D2227" t="s">
        <v>12455</v>
      </c>
      <c r="E2227" s="111" t="s">
        <v>1050</v>
      </c>
      <c r="F2227" t="s">
        <v>12456</v>
      </c>
      <c r="G2227" t="s">
        <v>7998</v>
      </c>
      <c r="H2227" t="s">
        <v>12457</v>
      </c>
      <c r="I2227" s="80" t="s">
        <v>12458</v>
      </c>
      <c r="J2227" t="s">
        <v>8262</v>
      </c>
      <c r="K2227" t="s">
        <v>12459</v>
      </c>
    </row>
    <row r="2228" spans="1:11" x14ac:dyDescent="0.25">
      <c r="A2228" s="122">
        <v>2227</v>
      </c>
      <c r="B2228" t="s">
        <v>665</v>
      </c>
      <c r="C2228" s="122" t="s">
        <v>181</v>
      </c>
      <c r="D2228" t="s">
        <v>12460</v>
      </c>
      <c r="E2228" s="122"/>
      <c r="F2228" t="s">
        <v>12461</v>
      </c>
      <c r="G2228" t="s">
        <v>9592</v>
      </c>
      <c r="H2228" t="s">
        <v>12462</v>
      </c>
      <c r="I2228" t="s">
        <v>12463</v>
      </c>
      <c r="J2228" t="s">
        <v>10085</v>
      </c>
      <c r="K2228" t="s">
        <v>9815</v>
      </c>
    </row>
    <row r="2229" spans="1:11" x14ac:dyDescent="0.25">
      <c r="A2229" s="122">
        <v>2228</v>
      </c>
      <c r="B2229" t="s">
        <v>665</v>
      </c>
      <c r="C2229" s="122" t="s">
        <v>183</v>
      </c>
      <c r="D2229" s="122"/>
      <c r="E2229" s="122"/>
      <c r="F2229" s="122"/>
      <c r="G2229" s="122"/>
      <c r="H2229" s="122"/>
      <c r="I2229" s="122"/>
      <c r="J2229" s="122"/>
      <c r="K2229" s="122"/>
    </row>
    <row r="2230" spans="1:11" x14ac:dyDescent="0.25">
      <c r="A2230" s="122">
        <v>2229</v>
      </c>
      <c r="B2230" t="s">
        <v>665</v>
      </c>
      <c r="C2230" s="122" t="s">
        <v>186</v>
      </c>
      <c r="D2230" t="s">
        <v>12464</v>
      </c>
      <c r="E2230" s="89" t="s">
        <v>582</v>
      </c>
      <c r="F2230" s="80" t="s">
        <v>12465</v>
      </c>
      <c r="G2230" t="s">
        <v>8026</v>
      </c>
      <c r="H2230" s="111" t="s">
        <v>12466</v>
      </c>
      <c r="I2230" s="80" t="s">
        <v>12467</v>
      </c>
      <c r="J2230" t="s">
        <v>12468</v>
      </c>
      <c r="K2230" s="80" t="s">
        <v>12469</v>
      </c>
    </row>
    <row r="2231" spans="1:11" x14ac:dyDescent="0.25">
      <c r="A2231" s="122">
        <v>2230</v>
      </c>
      <c r="B2231" t="s">
        <v>665</v>
      </c>
      <c r="C2231" s="122" t="s">
        <v>188</v>
      </c>
      <c r="D2231" t="s">
        <v>12470</v>
      </c>
      <c r="E2231" s="121">
        <v>10577000000</v>
      </c>
      <c r="F2231" t="s">
        <v>12471</v>
      </c>
      <c r="G2231" t="s">
        <v>7987</v>
      </c>
      <c r="H2231" t="s">
        <v>12472</v>
      </c>
      <c r="I2231" s="80" t="s">
        <v>12473</v>
      </c>
      <c r="J2231" t="s">
        <v>8015</v>
      </c>
      <c r="K2231" t="s">
        <v>12474</v>
      </c>
    </row>
    <row r="2232" spans="1:11" x14ac:dyDescent="0.25">
      <c r="A2232" s="122">
        <v>2231</v>
      </c>
      <c r="B2232" t="s">
        <v>665</v>
      </c>
      <c r="C2232" s="122" t="s">
        <v>182</v>
      </c>
      <c r="D2232" t="s">
        <v>4436</v>
      </c>
      <c r="E2232" t="s">
        <v>12475</v>
      </c>
      <c r="F2232" t="s">
        <v>12476</v>
      </c>
      <c r="G2232" t="s">
        <v>8366</v>
      </c>
      <c r="H2232" t="s">
        <v>12477</v>
      </c>
      <c r="I2232" s="80" t="s">
        <v>12478</v>
      </c>
      <c r="J2232" t="s">
        <v>8283</v>
      </c>
      <c r="K2232" t="s">
        <v>12479</v>
      </c>
    </row>
    <row r="2233" spans="1:11" x14ac:dyDescent="0.25">
      <c r="A2233" s="122">
        <v>2232</v>
      </c>
      <c r="B2233" t="s">
        <v>665</v>
      </c>
      <c r="C2233" s="122" t="s">
        <v>184</v>
      </c>
      <c r="D2233" t="s">
        <v>12480</v>
      </c>
      <c r="E2233" s="80" t="s">
        <v>12481</v>
      </c>
      <c r="F2233" t="s">
        <v>12482</v>
      </c>
      <c r="G2233" t="s">
        <v>8332</v>
      </c>
      <c r="H2233" s="80" t="s">
        <v>12483</v>
      </c>
      <c r="I2233" s="80" t="s">
        <v>12484</v>
      </c>
      <c r="J2233" t="s">
        <v>8093</v>
      </c>
      <c r="K2233" t="s">
        <v>12485</v>
      </c>
    </row>
    <row r="2234" spans="1:11" x14ac:dyDescent="0.25">
      <c r="A2234" s="122">
        <v>2233</v>
      </c>
      <c r="B2234" t="s">
        <v>665</v>
      </c>
      <c r="C2234" s="122" t="s">
        <v>187</v>
      </c>
      <c r="D2234" t="s">
        <v>12486</v>
      </c>
      <c r="E2234" s="80" t="s">
        <v>12487</v>
      </c>
      <c r="F2234" t="s">
        <v>12488</v>
      </c>
      <c r="G2234" t="s">
        <v>8332</v>
      </c>
      <c r="H2234" s="111" t="s">
        <v>12489</v>
      </c>
      <c r="I2234" s="80" t="s">
        <v>12490</v>
      </c>
      <c r="J2234" t="s">
        <v>7508</v>
      </c>
      <c r="K2234" s="80" t="s">
        <v>12491</v>
      </c>
    </row>
    <row r="2235" spans="1:11" x14ac:dyDescent="0.25">
      <c r="A2235" s="122">
        <v>2234</v>
      </c>
      <c r="B2235" t="s">
        <v>665</v>
      </c>
      <c r="C2235" s="122" t="s">
        <v>189</v>
      </c>
      <c r="D2235" t="s">
        <v>12492</v>
      </c>
      <c r="E2235" s="80" t="s">
        <v>12493</v>
      </c>
      <c r="F2235" t="s">
        <v>12494</v>
      </c>
      <c r="G2235" t="s">
        <v>9592</v>
      </c>
      <c r="H2235" s="111" t="s">
        <v>12495</v>
      </c>
      <c r="I2235" s="80" t="s">
        <v>12496</v>
      </c>
      <c r="J2235" t="s">
        <v>8319</v>
      </c>
      <c r="K2235" s="111" t="s">
        <v>12497</v>
      </c>
    </row>
    <row r="2236" spans="1:11" x14ac:dyDescent="0.25">
      <c r="A2236" s="122">
        <v>2235</v>
      </c>
      <c r="B2236" t="s">
        <v>666</v>
      </c>
      <c r="C2236" s="122" t="s">
        <v>162</v>
      </c>
      <c r="D2236" t="s">
        <v>12498</v>
      </c>
      <c r="E2236" s="111" t="s">
        <v>1053</v>
      </c>
      <c r="F2236" t="s">
        <v>9501</v>
      </c>
      <c r="G2236" t="s">
        <v>8218</v>
      </c>
      <c r="H2236" t="s">
        <v>12441</v>
      </c>
      <c r="I2236" t="s">
        <v>12499</v>
      </c>
      <c r="J2236" t="s">
        <v>5230</v>
      </c>
      <c r="K2236" t="s">
        <v>12500</v>
      </c>
    </row>
    <row r="2237" spans="1:11" x14ac:dyDescent="0.25">
      <c r="A2237" s="122">
        <v>2236</v>
      </c>
      <c r="B2237" t="s">
        <v>666</v>
      </c>
      <c r="C2237" s="122" t="s">
        <v>170</v>
      </c>
      <c r="D2237" t="s">
        <v>8478</v>
      </c>
      <c r="E2237" s="111" t="s">
        <v>1054</v>
      </c>
      <c r="F2237" t="s">
        <v>12501</v>
      </c>
      <c r="G2237" t="s">
        <v>9356</v>
      </c>
      <c r="H2237" t="s">
        <v>12502</v>
      </c>
      <c r="I2237" s="80" t="s">
        <v>12503</v>
      </c>
      <c r="J2237" t="s">
        <v>8283</v>
      </c>
      <c r="K2237" t="s">
        <v>12504</v>
      </c>
    </row>
    <row r="2238" spans="1:11" x14ac:dyDescent="0.25">
      <c r="A2238" s="122">
        <v>2237</v>
      </c>
      <c r="B2238" t="s">
        <v>666</v>
      </c>
      <c r="C2238" s="122" t="s">
        <v>178</v>
      </c>
      <c r="D2238" t="s">
        <v>12505</v>
      </c>
      <c r="E2238" s="111" t="s">
        <v>1056</v>
      </c>
      <c r="F2238" t="s">
        <v>12506</v>
      </c>
      <c r="G2238" t="s">
        <v>7979</v>
      </c>
      <c r="H2238" s="80" t="s">
        <v>12507</v>
      </c>
      <c r="I2238" s="80" t="s">
        <v>12508</v>
      </c>
      <c r="J2238" t="s">
        <v>6767</v>
      </c>
      <c r="K2238" t="s">
        <v>12509</v>
      </c>
    </row>
    <row r="2239" spans="1:11" x14ac:dyDescent="0.25">
      <c r="A2239" s="122">
        <v>2238</v>
      </c>
      <c r="B2239" t="s">
        <v>666</v>
      </c>
      <c r="C2239" s="122" t="s">
        <v>163</v>
      </c>
      <c r="D2239" t="s">
        <v>12510</v>
      </c>
      <c r="E2239" s="111" t="s">
        <v>1058</v>
      </c>
      <c r="F2239" t="s">
        <v>12511</v>
      </c>
      <c r="G2239" t="s">
        <v>8138</v>
      </c>
      <c r="H2239" s="80" t="s">
        <v>12512</v>
      </c>
      <c r="I2239" s="80" t="s">
        <v>12513</v>
      </c>
      <c r="J2239" t="s">
        <v>5823</v>
      </c>
      <c r="K2239" s="80" t="s">
        <v>12514</v>
      </c>
    </row>
    <row r="2240" spans="1:11" x14ac:dyDescent="0.25">
      <c r="A2240" s="122">
        <v>2239</v>
      </c>
      <c r="B2240" t="s">
        <v>666</v>
      </c>
      <c r="C2240" s="122" t="s">
        <v>181</v>
      </c>
      <c r="D2240" t="s">
        <v>12515</v>
      </c>
      <c r="E2240" s="111" t="s">
        <v>1060</v>
      </c>
      <c r="F2240" t="s">
        <v>9501</v>
      </c>
      <c r="G2240" t="s">
        <v>8047</v>
      </c>
      <c r="H2240" t="s">
        <v>6015</v>
      </c>
      <c r="I2240" t="s">
        <v>12516</v>
      </c>
      <c r="J2240" t="s">
        <v>8147</v>
      </c>
      <c r="K2240" t="s">
        <v>12517</v>
      </c>
    </row>
    <row r="2241" spans="1:11" x14ac:dyDescent="0.25">
      <c r="A2241" s="122">
        <v>2240</v>
      </c>
      <c r="B2241" t="s">
        <v>666</v>
      </c>
      <c r="C2241" s="122" t="s">
        <v>183</v>
      </c>
      <c r="D2241" t="s">
        <v>12518</v>
      </c>
      <c r="E2241" s="111" t="s">
        <v>1062</v>
      </c>
      <c r="F2241" t="s">
        <v>12519</v>
      </c>
      <c r="G2241" t="s">
        <v>7959</v>
      </c>
      <c r="H2241" t="s">
        <v>12520</v>
      </c>
      <c r="I2241" s="80" t="s">
        <v>12521</v>
      </c>
      <c r="J2241" t="s">
        <v>8347</v>
      </c>
      <c r="K2241" s="80" t="s">
        <v>12522</v>
      </c>
    </row>
    <row r="2242" spans="1:11" x14ac:dyDescent="0.25">
      <c r="A2242" s="122">
        <v>2241</v>
      </c>
      <c r="B2242" t="s">
        <v>666</v>
      </c>
      <c r="C2242" s="122" t="s">
        <v>186</v>
      </c>
      <c r="D2242" t="s">
        <v>8128</v>
      </c>
      <c r="E2242" s="111" t="s">
        <v>1064</v>
      </c>
      <c r="F2242" s="80" t="s">
        <v>12523</v>
      </c>
      <c r="G2242" t="s">
        <v>7966</v>
      </c>
      <c r="H2242" s="80" t="s">
        <v>12524</v>
      </c>
      <c r="I2242" s="80" t="s">
        <v>12525</v>
      </c>
      <c r="J2242" t="s">
        <v>12526</v>
      </c>
      <c r="K2242" s="111" t="s">
        <v>1065</v>
      </c>
    </row>
    <row r="2243" spans="1:11" x14ac:dyDescent="0.25">
      <c r="A2243" s="122">
        <v>2242</v>
      </c>
      <c r="B2243" t="s">
        <v>666</v>
      </c>
      <c r="C2243" s="122" t="s">
        <v>188</v>
      </c>
      <c r="D2243" t="s">
        <v>12455</v>
      </c>
      <c r="E2243" s="111" t="s">
        <v>1066</v>
      </c>
      <c r="F2243" t="s">
        <v>12527</v>
      </c>
      <c r="G2243" t="s">
        <v>7979</v>
      </c>
      <c r="H2243" t="s">
        <v>12528</v>
      </c>
      <c r="I2243" s="80" t="s">
        <v>12529</v>
      </c>
      <c r="J2243" t="s">
        <v>7976</v>
      </c>
      <c r="K2243" s="80" t="s">
        <v>12530</v>
      </c>
    </row>
    <row r="2244" spans="1:11" x14ac:dyDescent="0.25">
      <c r="A2244" s="122">
        <v>2243</v>
      </c>
      <c r="B2244" t="s">
        <v>666</v>
      </c>
      <c r="C2244" s="122" t="s">
        <v>182</v>
      </c>
      <c r="D2244" t="s">
        <v>583</v>
      </c>
      <c r="E2244" t="s">
        <v>12531</v>
      </c>
      <c r="F2244" t="s">
        <v>3071</v>
      </c>
      <c r="G2244" t="s">
        <v>8353</v>
      </c>
      <c r="H2244" t="s">
        <v>10830</v>
      </c>
      <c r="I2244" t="s">
        <v>5768</v>
      </c>
      <c r="J2244" t="s">
        <v>8243</v>
      </c>
      <c r="K2244" t="s">
        <v>6179</v>
      </c>
    </row>
    <row r="2245" spans="1:11" x14ac:dyDescent="0.25">
      <c r="A2245" s="122">
        <v>2244</v>
      </c>
      <c r="B2245" t="s">
        <v>666</v>
      </c>
      <c r="C2245" s="122" t="s">
        <v>184</v>
      </c>
      <c r="D2245" t="s">
        <v>12532</v>
      </c>
      <c r="E2245" t="s">
        <v>12533</v>
      </c>
      <c r="F2245" t="s">
        <v>10992</v>
      </c>
      <c r="G2245" t="s">
        <v>8332</v>
      </c>
      <c r="H2245" t="s">
        <v>12534</v>
      </c>
      <c r="I2245" s="80" t="s">
        <v>12535</v>
      </c>
      <c r="J2245" t="s">
        <v>8147</v>
      </c>
      <c r="K2245" t="s">
        <v>12536</v>
      </c>
    </row>
    <row r="2246" spans="1:11" x14ac:dyDescent="0.25">
      <c r="A2246" s="122">
        <v>2245</v>
      </c>
      <c r="B2246" t="s">
        <v>666</v>
      </c>
      <c r="C2246" s="122" t="s">
        <v>187</v>
      </c>
      <c r="D2246" t="s">
        <v>12537</v>
      </c>
      <c r="E2246" t="s">
        <v>12538</v>
      </c>
      <c r="F2246" t="s">
        <v>12539</v>
      </c>
      <c r="G2246" t="s">
        <v>8344</v>
      </c>
      <c r="H2246" s="80" t="s">
        <v>12540</v>
      </c>
      <c r="I2246" s="80" t="s">
        <v>12541</v>
      </c>
      <c r="J2246" t="s">
        <v>8008</v>
      </c>
      <c r="K2246" s="80" t="s">
        <v>12542</v>
      </c>
    </row>
    <row r="2247" spans="1:11" x14ac:dyDescent="0.25">
      <c r="A2247" s="122">
        <v>2246</v>
      </c>
      <c r="B2247" t="s">
        <v>666</v>
      </c>
      <c r="C2247" s="122" t="s">
        <v>189</v>
      </c>
      <c r="D2247" t="s">
        <v>12543</v>
      </c>
      <c r="E2247" t="s">
        <v>12544</v>
      </c>
      <c r="F2247" t="s">
        <v>6661</v>
      </c>
      <c r="G2247" t="s">
        <v>8366</v>
      </c>
      <c r="H2247" t="s">
        <v>12545</v>
      </c>
      <c r="I2247" s="80" t="s">
        <v>12546</v>
      </c>
      <c r="J2247" t="s">
        <v>8147</v>
      </c>
      <c r="K2247" t="s">
        <v>12547</v>
      </c>
    </row>
    <row r="2248" spans="1:11" x14ac:dyDescent="0.25">
      <c r="A2248" s="122">
        <v>2247</v>
      </c>
      <c r="B2248">
        <v>1086</v>
      </c>
      <c r="C2248" s="122" t="s">
        <v>182</v>
      </c>
      <c r="D2248" t="s">
        <v>583</v>
      </c>
      <c r="E2248" t="s">
        <v>12548</v>
      </c>
      <c r="F2248" t="s">
        <v>9316</v>
      </c>
      <c r="G2248" t="s">
        <v>9363</v>
      </c>
      <c r="H2248" t="s">
        <v>583</v>
      </c>
      <c r="I2248" t="s">
        <v>11475</v>
      </c>
      <c r="J2248" s="80" t="s">
        <v>10240</v>
      </c>
      <c r="K2248" t="s">
        <v>7184</v>
      </c>
    </row>
    <row r="2249" spans="1:11" x14ac:dyDescent="0.25">
      <c r="A2249" s="122">
        <v>2248</v>
      </c>
      <c r="B2249">
        <v>1086</v>
      </c>
      <c r="C2249" s="122" t="s">
        <v>184</v>
      </c>
      <c r="D2249" t="s">
        <v>583</v>
      </c>
      <c r="E2249" t="s">
        <v>12549</v>
      </c>
      <c r="F2249" t="s">
        <v>12550</v>
      </c>
      <c r="G2249" t="s">
        <v>4437</v>
      </c>
      <c r="H2249" t="s">
        <v>8117</v>
      </c>
      <c r="I2249" t="s">
        <v>12551</v>
      </c>
      <c r="J2249" t="s">
        <v>11761</v>
      </c>
      <c r="K2249" t="s">
        <v>9145</v>
      </c>
    </row>
    <row r="2250" spans="1:11" x14ac:dyDescent="0.25">
      <c r="A2250" s="122">
        <v>2249</v>
      </c>
      <c r="B2250">
        <v>1086</v>
      </c>
      <c r="C2250" s="122" t="s">
        <v>187</v>
      </c>
      <c r="D2250" t="s">
        <v>1968</v>
      </c>
      <c r="E2250" t="s">
        <v>12552</v>
      </c>
      <c r="F2250" t="s">
        <v>12553</v>
      </c>
      <c r="G2250" t="s">
        <v>8071</v>
      </c>
      <c r="H2250" t="s">
        <v>12554</v>
      </c>
      <c r="I2250" s="80" t="s">
        <v>12555</v>
      </c>
      <c r="J2250" t="s">
        <v>12394</v>
      </c>
      <c r="K2250" t="s">
        <v>12556</v>
      </c>
    </row>
    <row r="2251" spans="1:11" x14ac:dyDescent="0.25">
      <c r="A2251" s="122">
        <v>2250</v>
      </c>
      <c r="B2251">
        <v>1086</v>
      </c>
      <c r="C2251" s="122" t="s">
        <v>189</v>
      </c>
      <c r="D2251" t="s">
        <v>5798</v>
      </c>
      <c r="E2251" t="s">
        <v>12557</v>
      </c>
      <c r="F2251" t="s">
        <v>12558</v>
      </c>
      <c r="G2251" t="s">
        <v>8269</v>
      </c>
      <c r="H2251" t="s">
        <v>12559</v>
      </c>
      <c r="I2251" s="80" t="s">
        <v>12560</v>
      </c>
      <c r="J2251" t="s">
        <v>12561</v>
      </c>
      <c r="K2251" t="s">
        <v>12562</v>
      </c>
    </row>
    <row r="2252" spans="1:11" x14ac:dyDescent="0.25">
      <c r="A2252" s="122">
        <v>2251</v>
      </c>
      <c r="B2252" t="s">
        <v>667</v>
      </c>
      <c r="C2252" s="122" t="s">
        <v>182</v>
      </c>
      <c r="D2252" s="80" t="s">
        <v>6237</v>
      </c>
      <c r="E2252" t="s">
        <v>12563</v>
      </c>
      <c r="F2252" t="s">
        <v>583</v>
      </c>
      <c r="G2252" t="s">
        <v>8071</v>
      </c>
      <c r="H2252" t="s">
        <v>6257</v>
      </c>
      <c r="I2252" t="s">
        <v>5282</v>
      </c>
      <c r="J2252" t="s">
        <v>10401</v>
      </c>
      <c r="K2252" t="s">
        <v>7184</v>
      </c>
    </row>
    <row r="2253" spans="1:11" x14ac:dyDescent="0.25">
      <c r="A2253" s="122">
        <v>2252</v>
      </c>
      <c r="B2253" t="s">
        <v>667</v>
      </c>
      <c r="C2253" s="122" t="s">
        <v>184</v>
      </c>
      <c r="D2253" t="s">
        <v>11122</v>
      </c>
      <c r="E2253" t="s">
        <v>12564</v>
      </c>
      <c r="F2253" t="s">
        <v>12565</v>
      </c>
      <c r="G2253" t="s">
        <v>8096</v>
      </c>
      <c r="H2253" t="s">
        <v>12566</v>
      </c>
      <c r="I2253" s="80" t="s">
        <v>12567</v>
      </c>
      <c r="J2253" t="s">
        <v>12568</v>
      </c>
      <c r="K2253" t="s">
        <v>12569</v>
      </c>
    </row>
    <row r="2254" spans="1:11" x14ac:dyDescent="0.25">
      <c r="A2254" s="122">
        <v>2253</v>
      </c>
      <c r="B2254" t="s">
        <v>667</v>
      </c>
      <c r="C2254" s="122" t="s">
        <v>187</v>
      </c>
      <c r="D2254" t="s">
        <v>1968</v>
      </c>
      <c r="E2254" t="s">
        <v>12570</v>
      </c>
      <c r="F2254" t="s">
        <v>12571</v>
      </c>
      <c r="G2254" t="s">
        <v>10108</v>
      </c>
      <c r="H2254" t="s">
        <v>12572</v>
      </c>
      <c r="I2254" s="80" t="s">
        <v>12573</v>
      </c>
      <c r="J2254" t="s">
        <v>8221</v>
      </c>
      <c r="K2254" t="s">
        <v>12574</v>
      </c>
    </row>
    <row r="2255" spans="1:11" x14ac:dyDescent="0.25">
      <c r="A2255" s="122">
        <v>2254</v>
      </c>
      <c r="B2255" t="s">
        <v>667</v>
      </c>
      <c r="C2255" s="122" t="s">
        <v>189</v>
      </c>
      <c r="D2255" t="s">
        <v>6760</v>
      </c>
      <c r="E2255" t="s">
        <v>12575</v>
      </c>
      <c r="F2255" t="s">
        <v>12576</v>
      </c>
      <c r="G2255" t="s">
        <v>8353</v>
      </c>
      <c r="H2255" t="s">
        <v>12577</v>
      </c>
      <c r="I2255" t="s">
        <v>12578</v>
      </c>
      <c r="J2255" t="s">
        <v>7206</v>
      </c>
      <c r="K2255" t="s">
        <v>12579</v>
      </c>
    </row>
    <row r="2256" spans="1:11" x14ac:dyDescent="0.25">
      <c r="A2256" s="122">
        <v>2255</v>
      </c>
      <c r="B2256">
        <v>3028</v>
      </c>
      <c r="C2256" s="122" t="s">
        <v>162</v>
      </c>
      <c r="D2256" t="s">
        <v>583</v>
      </c>
      <c r="E2256" t="s">
        <v>12580</v>
      </c>
      <c r="F2256" t="s">
        <v>583</v>
      </c>
      <c r="G2256" s="80" t="s">
        <v>8198</v>
      </c>
      <c r="H2256" s="80" t="s">
        <v>5582</v>
      </c>
      <c r="I2256" t="s">
        <v>6237</v>
      </c>
      <c r="J2256" t="s">
        <v>583</v>
      </c>
      <c r="K2256" t="s">
        <v>9747</v>
      </c>
    </row>
    <row r="2257" spans="1:11" x14ac:dyDescent="0.25">
      <c r="A2257" s="122">
        <v>2256</v>
      </c>
      <c r="B2257">
        <v>3028</v>
      </c>
      <c r="C2257" s="122" t="s">
        <v>170</v>
      </c>
      <c r="D2257" t="s">
        <v>583</v>
      </c>
      <c r="E2257" t="s">
        <v>12581</v>
      </c>
      <c r="F2257" t="s">
        <v>6740</v>
      </c>
      <c r="G2257" s="80" t="s">
        <v>9726</v>
      </c>
      <c r="H2257" t="s">
        <v>12582</v>
      </c>
      <c r="I2257" t="s">
        <v>5774</v>
      </c>
      <c r="J2257" s="80" t="s">
        <v>8243</v>
      </c>
      <c r="K2257" t="s">
        <v>7884</v>
      </c>
    </row>
    <row r="2258" spans="1:11" x14ac:dyDescent="0.25">
      <c r="A2258" s="122">
        <v>2257</v>
      </c>
      <c r="B2258">
        <v>3028</v>
      </c>
      <c r="C2258" s="122" t="s">
        <v>178</v>
      </c>
      <c r="D2258" t="s">
        <v>583</v>
      </c>
      <c r="E2258" t="s">
        <v>12583</v>
      </c>
      <c r="F2258" t="s">
        <v>3071</v>
      </c>
      <c r="G2258" t="s">
        <v>3898</v>
      </c>
      <c r="H2258" t="s">
        <v>12584</v>
      </c>
      <c r="I2258" t="s">
        <v>12585</v>
      </c>
      <c r="J2258" t="s">
        <v>8127</v>
      </c>
      <c r="K2258" t="s">
        <v>9311</v>
      </c>
    </row>
    <row r="2259" spans="1:11" x14ac:dyDescent="0.25">
      <c r="A2259" s="122">
        <v>2258</v>
      </c>
      <c r="B2259">
        <v>3028</v>
      </c>
      <c r="C2259" s="122" t="s">
        <v>163</v>
      </c>
      <c r="D2259" t="s">
        <v>583</v>
      </c>
      <c r="E2259" t="s">
        <v>12586</v>
      </c>
      <c r="F2259" t="s">
        <v>6238</v>
      </c>
      <c r="G2259" s="80" t="s">
        <v>8198</v>
      </c>
      <c r="H2259" t="s">
        <v>2405</v>
      </c>
      <c r="I2259" t="s">
        <v>8857</v>
      </c>
      <c r="J2259" t="s">
        <v>583</v>
      </c>
      <c r="K2259" t="s">
        <v>11644</v>
      </c>
    </row>
    <row r="2260" spans="1:11" x14ac:dyDescent="0.25">
      <c r="A2260" s="122">
        <v>2259</v>
      </c>
      <c r="B2260">
        <v>3028</v>
      </c>
      <c r="C2260" s="122" t="s">
        <v>181</v>
      </c>
      <c r="D2260" t="s">
        <v>583</v>
      </c>
      <c r="E2260" t="s">
        <v>12587</v>
      </c>
      <c r="F2260" t="s">
        <v>6842</v>
      </c>
      <c r="G2260" t="s">
        <v>9363</v>
      </c>
      <c r="H2260" t="s">
        <v>12588</v>
      </c>
      <c r="I2260" t="s">
        <v>12589</v>
      </c>
      <c r="J2260" t="s">
        <v>11761</v>
      </c>
      <c r="K2260" t="s">
        <v>12590</v>
      </c>
    </row>
    <row r="2261" spans="1:11" x14ac:dyDescent="0.25">
      <c r="A2261" s="122">
        <v>2260</v>
      </c>
      <c r="B2261">
        <v>3028</v>
      </c>
      <c r="C2261" s="122" t="s">
        <v>183</v>
      </c>
      <c r="D2261" t="s">
        <v>12460</v>
      </c>
      <c r="E2261" t="s">
        <v>12591</v>
      </c>
      <c r="F2261" t="s">
        <v>9726</v>
      </c>
      <c r="G2261" t="s">
        <v>3898</v>
      </c>
      <c r="H2261" t="s">
        <v>12592</v>
      </c>
      <c r="I2261" t="s">
        <v>12593</v>
      </c>
      <c r="J2261" t="s">
        <v>3521</v>
      </c>
      <c r="K2261" t="s">
        <v>12594</v>
      </c>
    </row>
    <row r="2262" spans="1:11" x14ac:dyDescent="0.25">
      <c r="A2262" s="122">
        <v>2261</v>
      </c>
      <c r="B2262">
        <v>3028</v>
      </c>
      <c r="C2262" s="122" t="s">
        <v>186</v>
      </c>
      <c r="D2262" t="s">
        <v>5798</v>
      </c>
      <c r="E2262" t="s">
        <v>12595</v>
      </c>
      <c r="F2262" t="s">
        <v>9318</v>
      </c>
      <c r="G2262" t="s">
        <v>8353</v>
      </c>
      <c r="H2262" t="s">
        <v>12596</v>
      </c>
      <c r="I2262" s="80" t="s">
        <v>12597</v>
      </c>
      <c r="J2262" t="s">
        <v>7206</v>
      </c>
      <c r="K2262" t="s">
        <v>12598</v>
      </c>
    </row>
    <row r="2263" spans="1:11" x14ac:dyDescent="0.25">
      <c r="A2263" s="122">
        <v>2262</v>
      </c>
      <c r="B2263">
        <v>3028</v>
      </c>
      <c r="C2263" s="122" t="s">
        <v>188</v>
      </c>
      <c r="D2263" t="s">
        <v>3065</v>
      </c>
      <c r="E2263" t="s">
        <v>12599</v>
      </c>
      <c r="F2263" t="s">
        <v>3169</v>
      </c>
      <c r="G2263" t="s">
        <v>9363</v>
      </c>
      <c r="H2263" t="s">
        <v>12600</v>
      </c>
      <c r="I2263" t="s">
        <v>12601</v>
      </c>
      <c r="J2263" t="s">
        <v>12568</v>
      </c>
      <c r="K2263" t="s">
        <v>12602</v>
      </c>
    </row>
    <row r="2264" spans="1:11" x14ac:dyDescent="0.25">
      <c r="A2264" s="122">
        <v>2263</v>
      </c>
      <c r="B2264">
        <v>3028</v>
      </c>
      <c r="C2264" s="122" t="s">
        <v>182</v>
      </c>
      <c r="D2264" t="s">
        <v>583</v>
      </c>
      <c r="E2264" t="s">
        <v>12603</v>
      </c>
      <c r="F2264" t="s">
        <v>583</v>
      </c>
      <c r="G2264" s="80" t="s">
        <v>8198</v>
      </c>
      <c r="H2264" t="s">
        <v>583</v>
      </c>
      <c r="I2264" t="s">
        <v>7184</v>
      </c>
      <c r="J2264" t="s">
        <v>583</v>
      </c>
      <c r="K2264" t="s">
        <v>6179</v>
      </c>
    </row>
    <row r="2265" spans="1:11" x14ac:dyDescent="0.25">
      <c r="A2265" s="122">
        <v>2264</v>
      </c>
      <c r="B2265">
        <v>3028</v>
      </c>
      <c r="C2265" s="122" t="s">
        <v>184</v>
      </c>
      <c r="D2265">
        <v>10</v>
      </c>
      <c r="E2265" s="80" t="s">
        <v>12604</v>
      </c>
      <c r="F2265" t="s">
        <v>12605</v>
      </c>
      <c r="G2265" t="s">
        <v>7443</v>
      </c>
      <c r="H2265" t="s">
        <v>12606</v>
      </c>
      <c r="I2265" s="80" t="s">
        <v>12607</v>
      </c>
      <c r="J2265" t="s">
        <v>12400</v>
      </c>
      <c r="K2265" t="s">
        <v>12608</v>
      </c>
    </row>
    <row r="2266" spans="1:11" x14ac:dyDescent="0.25">
      <c r="A2266" s="122">
        <v>2265</v>
      </c>
      <c r="B2266">
        <v>3028</v>
      </c>
      <c r="C2266" s="122" t="s">
        <v>187</v>
      </c>
      <c r="D2266" t="s">
        <v>12609</v>
      </c>
      <c r="E2266" s="80" t="s">
        <v>12610</v>
      </c>
      <c r="F2266" t="s">
        <v>12611</v>
      </c>
      <c r="G2266" t="s">
        <v>8332</v>
      </c>
      <c r="H2266" t="s">
        <v>12612</v>
      </c>
      <c r="I2266" s="80" t="s">
        <v>12613</v>
      </c>
      <c r="J2266" t="s">
        <v>8015</v>
      </c>
      <c r="K2266" t="s">
        <v>12614</v>
      </c>
    </row>
    <row r="2267" spans="1:11" x14ac:dyDescent="0.25">
      <c r="A2267" s="122">
        <v>2266</v>
      </c>
      <c r="B2267">
        <v>3028</v>
      </c>
      <c r="C2267" s="122" t="s">
        <v>189</v>
      </c>
      <c r="D2267" t="s">
        <v>12498</v>
      </c>
      <c r="E2267" t="s">
        <v>12615</v>
      </c>
      <c r="F2267" t="s">
        <v>12616</v>
      </c>
      <c r="G2267" t="s">
        <v>8047</v>
      </c>
      <c r="H2267" t="s">
        <v>12617</v>
      </c>
      <c r="I2267" s="80" t="s">
        <v>12618</v>
      </c>
      <c r="J2267" t="s">
        <v>4781</v>
      </c>
      <c r="K2267" t="s">
        <v>12619</v>
      </c>
    </row>
    <row r="2268" spans="1:11" x14ac:dyDescent="0.25">
      <c r="A2268" s="122">
        <v>2267</v>
      </c>
      <c r="B2268">
        <v>3029</v>
      </c>
      <c r="C2268" s="122" t="s">
        <v>162</v>
      </c>
      <c r="D2268" t="s">
        <v>12620</v>
      </c>
      <c r="E2268" s="80" t="s">
        <v>12621</v>
      </c>
      <c r="F2268" t="s">
        <v>6741</v>
      </c>
      <c r="G2268" t="s">
        <v>8269</v>
      </c>
      <c r="H2268" t="s">
        <v>6257</v>
      </c>
      <c r="I2268" t="s">
        <v>12622</v>
      </c>
      <c r="J2268" t="s">
        <v>10302</v>
      </c>
      <c r="K2268" t="s">
        <v>9145</v>
      </c>
    </row>
    <row r="2269" spans="1:11" x14ac:dyDescent="0.25">
      <c r="A2269" s="122">
        <v>2268</v>
      </c>
      <c r="B2269">
        <v>3029</v>
      </c>
      <c r="C2269" s="122" t="s">
        <v>170</v>
      </c>
      <c r="D2269">
        <v>10</v>
      </c>
      <c r="E2269" s="80" t="s">
        <v>12623</v>
      </c>
      <c r="F2269" t="s">
        <v>12624</v>
      </c>
      <c r="G2269" t="s">
        <v>8090</v>
      </c>
      <c r="H2269" t="s">
        <v>12625</v>
      </c>
      <c r="I2269" s="80" t="s">
        <v>12626</v>
      </c>
      <c r="J2269" t="s">
        <v>4781</v>
      </c>
      <c r="K2269" t="s">
        <v>12627</v>
      </c>
    </row>
    <row r="2270" spans="1:11" x14ac:dyDescent="0.25">
      <c r="A2270" s="122">
        <v>2269</v>
      </c>
      <c r="B2270">
        <v>3029</v>
      </c>
      <c r="C2270" s="122" t="s">
        <v>178</v>
      </c>
      <c r="D2270" t="s">
        <v>12470</v>
      </c>
      <c r="E2270" s="80" t="s">
        <v>12628</v>
      </c>
      <c r="F2270" t="s">
        <v>12629</v>
      </c>
      <c r="G2270" t="s">
        <v>7998</v>
      </c>
      <c r="H2270" s="80" t="s">
        <v>12630</v>
      </c>
      <c r="I2270" s="80" t="s">
        <v>12631</v>
      </c>
      <c r="J2270" t="s">
        <v>8008</v>
      </c>
      <c r="K2270" t="s">
        <v>12632</v>
      </c>
    </row>
    <row r="2271" spans="1:11" x14ac:dyDescent="0.25">
      <c r="A2271" s="122">
        <v>2270</v>
      </c>
      <c r="B2271">
        <v>3029</v>
      </c>
      <c r="C2271" s="122" t="s">
        <v>163</v>
      </c>
      <c r="D2271" t="s">
        <v>12609</v>
      </c>
      <c r="E2271" s="80" t="s">
        <v>12633</v>
      </c>
      <c r="F2271" t="s">
        <v>12634</v>
      </c>
      <c r="G2271" t="s">
        <v>7998</v>
      </c>
      <c r="H2271" s="80" t="s">
        <v>12635</v>
      </c>
      <c r="I2271" s="80" t="s">
        <v>12636</v>
      </c>
      <c r="J2271" t="s">
        <v>8141</v>
      </c>
      <c r="K2271" s="80" t="s">
        <v>12637</v>
      </c>
    </row>
    <row r="2272" spans="1:11" x14ac:dyDescent="0.25">
      <c r="A2272" s="122">
        <v>2271</v>
      </c>
      <c r="B2272">
        <v>3029</v>
      </c>
      <c r="C2272" s="122" t="s">
        <v>181</v>
      </c>
      <c r="D2272" t="s">
        <v>12411</v>
      </c>
      <c r="E2272" s="111" t="s">
        <v>1068</v>
      </c>
      <c r="F2272" t="s">
        <v>5311</v>
      </c>
      <c r="G2272" t="s">
        <v>9502</v>
      </c>
      <c r="H2272" t="s">
        <v>12638</v>
      </c>
      <c r="I2272" t="s">
        <v>12639</v>
      </c>
      <c r="J2272" t="s">
        <v>8001</v>
      </c>
      <c r="K2272" t="s">
        <v>12640</v>
      </c>
    </row>
    <row r="2273" spans="1:11" x14ac:dyDescent="0.25">
      <c r="A2273" s="122">
        <v>2272</v>
      </c>
      <c r="B2273">
        <v>3029</v>
      </c>
      <c r="C2273" s="122" t="s">
        <v>183</v>
      </c>
      <c r="D2273" t="s">
        <v>12641</v>
      </c>
      <c r="E2273" s="111" t="s">
        <v>1070</v>
      </c>
      <c r="F2273" t="s">
        <v>12642</v>
      </c>
      <c r="G2273" t="s">
        <v>8077</v>
      </c>
      <c r="H2273" t="s">
        <v>12643</v>
      </c>
      <c r="I2273" s="80" t="s">
        <v>12644</v>
      </c>
      <c r="J2273" t="s">
        <v>8283</v>
      </c>
      <c r="K2273" t="s">
        <v>12645</v>
      </c>
    </row>
    <row r="2274" spans="1:11" x14ac:dyDescent="0.25">
      <c r="A2274" s="122">
        <v>2273</v>
      </c>
      <c r="B2274">
        <v>3029</v>
      </c>
      <c r="C2274" s="122" t="s">
        <v>186</v>
      </c>
      <c r="D2274" t="s">
        <v>2363</v>
      </c>
      <c r="E2274" s="111" t="s">
        <v>1072</v>
      </c>
      <c r="F2274" s="80" t="s">
        <v>12646</v>
      </c>
      <c r="G2274" t="s">
        <v>8059</v>
      </c>
      <c r="H2274" s="80" t="s">
        <v>12647</v>
      </c>
      <c r="I2274" s="80" t="s">
        <v>12648</v>
      </c>
      <c r="J2274" t="s">
        <v>12468</v>
      </c>
      <c r="K2274" s="111" t="s">
        <v>1073</v>
      </c>
    </row>
    <row r="2275" spans="1:11" x14ac:dyDescent="0.25">
      <c r="A2275" s="122">
        <v>2274</v>
      </c>
      <c r="B2275">
        <v>3029</v>
      </c>
      <c r="C2275" s="122" t="s">
        <v>188</v>
      </c>
      <c r="D2275" t="s">
        <v>7370</v>
      </c>
      <c r="E2275" s="111" t="s">
        <v>12649</v>
      </c>
      <c r="F2275" s="80" t="s">
        <v>12650</v>
      </c>
      <c r="G2275" t="s">
        <v>8041</v>
      </c>
      <c r="H2275" s="80" t="s">
        <v>12651</v>
      </c>
      <c r="I2275" s="80" t="s">
        <v>12652</v>
      </c>
      <c r="J2275" t="s">
        <v>12653</v>
      </c>
      <c r="K2275" s="111" t="s">
        <v>1075</v>
      </c>
    </row>
    <row r="2276" spans="1:11" x14ac:dyDescent="0.25">
      <c r="A2276" s="122">
        <v>2275</v>
      </c>
      <c r="B2276">
        <v>3029</v>
      </c>
      <c r="C2276" s="122" t="s">
        <v>182</v>
      </c>
      <c r="D2276" t="s">
        <v>583</v>
      </c>
      <c r="E2276" t="s">
        <v>12654</v>
      </c>
      <c r="F2276" t="s">
        <v>6237</v>
      </c>
      <c r="G2276" t="s">
        <v>9363</v>
      </c>
      <c r="H2276" t="s">
        <v>6842</v>
      </c>
      <c r="I2276" t="s">
        <v>12655</v>
      </c>
      <c r="J2276" t="s">
        <v>583</v>
      </c>
      <c r="K2276" t="s">
        <v>8217</v>
      </c>
    </row>
    <row r="2277" spans="1:11" x14ac:dyDescent="0.25">
      <c r="A2277" s="122">
        <v>2276</v>
      </c>
      <c r="B2277">
        <v>3029</v>
      </c>
      <c r="C2277" s="122" t="s">
        <v>184</v>
      </c>
      <c r="D2277" t="s">
        <v>6588</v>
      </c>
      <c r="E2277" t="s">
        <v>12656</v>
      </c>
      <c r="F2277" t="s">
        <v>9334</v>
      </c>
      <c r="G2277" t="s">
        <v>7443</v>
      </c>
      <c r="H2277" t="s">
        <v>12657</v>
      </c>
      <c r="I2277" s="80" t="s">
        <v>12658</v>
      </c>
      <c r="J2277" t="s">
        <v>12659</v>
      </c>
      <c r="K2277" t="s">
        <v>12660</v>
      </c>
    </row>
    <row r="2278" spans="1:11" x14ac:dyDescent="0.25">
      <c r="A2278" s="122">
        <v>2277</v>
      </c>
      <c r="B2278">
        <v>3029</v>
      </c>
      <c r="C2278" s="122" t="s">
        <v>187</v>
      </c>
      <c r="D2278">
        <v>10</v>
      </c>
      <c r="E2278" t="s">
        <v>12661</v>
      </c>
      <c r="F2278" t="s">
        <v>12662</v>
      </c>
      <c r="G2278" t="s">
        <v>8218</v>
      </c>
      <c r="H2278" s="80" t="s">
        <v>12663</v>
      </c>
      <c r="I2278" s="80" t="s">
        <v>12664</v>
      </c>
      <c r="J2278" t="s">
        <v>8221</v>
      </c>
      <c r="K2278" t="s">
        <v>12665</v>
      </c>
    </row>
    <row r="2279" spans="1:11" x14ac:dyDescent="0.25">
      <c r="A2279" s="122">
        <v>2278</v>
      </c>
      <c r="B2279">
        <v>3029</v>
      </c>
      <c r="C2279" s="122" t="s">
        <v>189</v>
      </c>
      <c r="D2279" t="s">
        <v>11122</v>
      </c>
      <c r="E2279" t="s">
        <v>12666</v>
      </c>
      <c r="F2279" t="s">
        <v>10059</v>
      </c>
      <c r="G2279" t="s">
        <v>8096</v>
      </c>
      <c r="H2279" t="s">
        <v>12667</v>
      </c>
      <c r="I2279" s="80" t="s">
        <v>12668</v>
      </c>
      <c r="J2279" t="s">
        <v>8099</v>
      </c>
      <c r="K2279" t="s">
        <v>12669</v>
      </c>
    </row>
    <row r="2280" spans="1:11" x14ac:dyDescent="0.25">
      <c r="A2280" s="122">
        <v>2279</v>
      </c>
      <c r="B2280">
        <v>3013</v>
      </c>
      <c r="C2280" s="122" t="s">
        <v>162</v>
      </c>
      <c r="D2280" t="s">
        <v>12518</v>
      </c>
      <c r="E2280" t="s">
        <v>12670</v>
      </c>
      <c r="F2280" t="s">
        <v>12671</v>
      </c>
      <c r="G2280" t="s">
        <v>7952</v>
      </c>
      <c r="H2280" s="80" t="s">
        <v>12672</v>
      </c>
      <c r="I2280" s="80" t="s">
        <v>12673</v>
      </c>
      <c r="J2280" t="s">
        <v>8262</v>
      </c>
      <c r="K2280" s="89" t="s">
        <v>582</v>
      </c>
    </row>
    <row r="2281" spans="1:11" x14ac:dyDescent="0.25">
      <c r="A2281" s="122">
        <v>2280</v>
      </c>
      <c r="B2281">
        <v>3013</v>
      </c>
      <c r="C2281" s="122" t="s">
        <v>170</v>
      </c>
      <c r="D2281" t="s">
        <v>12518</v>
      </c>
      <c r="E2281" t="s">
        <v>12595</v>
      </c>
      <c r="F2281" t="s">
        <v>9843</v>
      </c>
      <c r="G2281" t="s">
        <v>8077</v>
      </c>
      <c r="H2281" s="84">
        <v>1446100</v>
      </c>
      <c r="I2281" s="80" t="s">
        <v>12674</v>
      </c>
      <c r="J2281" t="s">
        <v>8166</v>
      </c>
      <c r="K2281" s="80" t="s">
        <v>12675</v>
      </c>
    </row>
    <row r="2282" spans="1:11" x14ac:dyDescent="0.25">
      <c r="A2282" s="122">
        <v>2281</v>
      </c>
      <c r="B2282">
        <v>3013</v>
      </c>
      <c r="C2282" s="122" t="s">
        <v>178</v>
      </c>
      <c r="D2282" t="s">
        <v>12676</v>
      </c>
      <c r="E2282" t="s">
        <v>12677</v>
      </c>
      <c r="F2282" t="s">
        <v>7375</v>
      </c>
      <c r="G2282" t="s">
        <v>8104</v>
      </c>
      <c r="H2282" s="84">
        <v>7755400</v>
      </c>
      <c r="I2282" s="80" t="s">
        <v>12678</v>
      </c>
      <c r="J2282" t="s">
        <v>8141</v>
      </c>
      <c r="K2282" s="80" t="s">
        <v>12679</v>
      </c>
    </row>
    <row r="2283" spans="1:11" x14ac:dyDescent="0.25">
      <c r="A2283" s="122">
        <v>2282</v>
      </c>
      <c r="B2283">
        <v>3013</v>
      </c>
      <c r="C2283" s="122" t="s">
        <v>163</v>
      </c>
      <c r="D2283" t="s">
        <v>12498</v>
      </c>
      <c r="E2283" t="s">
        <v>12680</v>
      </c>
      <c r="F2283" t="s">
        <v>7267</v>
      </c>
      <c r="G2283" t="s">
        <v>7998</v>
      </c>
      <c r="H2283" s="80" t="s">
        <v>12681</v>
      </c>
      <c r="I2283" s="80" t="s">
        <v>12682</v>
      </c>
      <c r="J2283" t="s">
        <v>8166</v>
      </c>
      <c r="K2283" s="80" t="s">
        <v>12683</v>
      </c>
    </row>
    <row r="2284" spans="1:11" x14ac:dyDescent="0.25">
      <c r="A2284" s="122">
        <v>2283</v>
      </c>
      <c r="B2284">
        <v>3013</v>
      </c>
      <c r="C2284" s="122" t="s">
        <v>181</v>
      </c>
      <c r="D2284" t="s">
        <v>12455</v>
      </c>
      <c r="E2284" s="80" t="s">
        <v>12684</v>
      </c>
      <c r="F2284" t="s">
        <v>12390</v>
      </c>
      <c r="G2284" t="s">
        <v>9592</v>
      </c>
      <c r="H2284" s="80" t="s">
        <v>12685</v>
      </c>
      <c r="I2284" s="80" t="s">
        <v>12686</v>
      </c>
      <c r="J2284" t="s">
        <v>7982</v>
      </c>
      <c r="K2284" s="89" t="s">
        <v>582</v>
      </c>
    </row>
    <row r="2285" spans="1:11" x14ac:dyDescent="0.25">
      <c r="A2285" s="122">
        <v>2284</v>
      </c>
      <c r="B2285">
        <v>3013</v>
      </c>
      <c r="C2285" s="122" t="s">
        <v>183</v>
      </c>
      <c r="D2285" t="s">
        <v>12609</v>
      </c>
      <c r="E2285" t="s">
        <v>12687</v>
      </c>
      <c r="F2285" t="s">
        <v>8986</v>
      </c>
      <c r="G2285" t="s">
        <v>8077</v>
      </c>
      <c r="H2285" s="80" t="s">
        <v>12688</v>
      </c>
      <c r="I2285" s="80" t="s">
        <v>12689</v>
      </c>
      <c r="J2285" t="s">
        <v>7962</v>
      </c>
      <c r="K2285" s="89" t="s">
        <v>582</v>
      </c>
    </row>
    <row r="2286" spans="1:11" x14ac:dyDescent="0.25">
      <c r="A2286" s="122">
        <v>2285</v>
      </c>
      <c r="B2286">
        <v>3013</v>
      </c>
      <c r="C2286" s="122" t="s">
        <v>186</v>
      </c>
      <c r="D2286" t="s">
        <v>12518</v>
      </c>
      <c r="E2286" t="s">
        <v>12690</v>
      </c>
      <c r="F2286" t="s">
        <v>8581</v>
      </c>
      <c r="G2286" t="s">
        <v>8090</v>
      </c>
      <c r="H2286" s="80" t="s">
        <v>12691</v>
      </c>
      <c r="I2286" s="80" t="s">
        <v>12692</v>
      </c>
      <c r="J2286" t="s">
        <v>7962</v>
      </c>
      <c r="K2286" s="89" t="s">
        <v>582</v>
      </c>
    </row>
    <row r="2287" spans="1:11" x14ac:dyDescent="0.25">
      <c r="A2287" s="122">
        <v>2286</v>
      </c>
      <c r="B2287">
        <v>3013</v>
      </c>
      <c r="C2287" s="122" t="s">
        <v>188</v>
      </c>
      <c r="D2287" t="s">
        <v>3938</v>
      </c>
      <c r="E2287" s="80" t="s">
        <v>12693</v>
      </c>
      <c r="F2287" t="s">
        <v>12694</v>
      </c>
      <c r="G2287" t="s">
        <v>8077</v>
      </c>
      <c r="H2287" s="80" t="s">
        <v>12695</v>
      </c>
      <c r="I2287" s="80" t="s">
        <v>12696</v>
      </c>
      <c r="J2287" t="s">
        <v>7962</v>
      </c>
      <c r="K2287" s="89" t="s">
        <v>582</v>
      </c>
    </row>
    <row r="2288" spans="1:11" x14ac:dyDescent="0.25">
      <c r="A2288" s="122">
        <v>2287</v>
      </c>
      <c r="B2288">
        <v>3013</v>
      </c>
      <c r="C2288" s="122" t="s">
        <v>182</v>
      </c>
      <c r="D2288" t="s">
        <v>583</v>
      </c>
      <c r="E2288" t="s">
        <v>12697</v>
      </c>
      <c r="F2288" t="s">
        <v>583</v>
      </c>
      <c r="G2288" t="s">
        <v>583</v>
      </c>
      <c r="H2288" t="s">
        <v>583</v>
      </c>
      <c r="I2288" t="s">
        <v>12698</v>
      </c>
      <c r="J2288" t="s">
        <v>583</v>
      </c>
      <c r="K2288" t="s">
        <v>6297</v>
      </c>
    </row>
    <row r="2289" spans="1:11" x14ac:dyDescent="0.25">
      <c r="A2289" s="122">
        <v>2288</v>
      </c>
      <c r="B2289">
        <v>3013</v>
      </c>
      <c r="C2289" s="122" t="s">
        <v>184</v>
      </c>
      <c r="D2289" t="s">
        <v>583</v>
      </c>
      <c r="E2289" t="s">
        <v>12699</v>
      </c>
      <c r="F2289" t="s">
        <v>12700</v>
      </c>
      <c r="G2289" t="s">
        <v>9233</v>
      </c>
      <c r="H2289" t="s">
        <v>12701</v>
      </c>
      <c r="I2289" s="80" t="s">
        <v>12702</v>
      </c>
      <c r="J2289" t="s">
        <v>3521</v>
      </c>
      <c r="K2289" t="s">
        <v>12703</v>
      </c>
    </row>
    <row r="2290" spans="1:11" x14ac:dyDescent="0.25">
      <c r="A2290" s="122">
        <v>2289</v>
      </c>
      <c r="B2290">
        <v>3013</v>
      </c>
      <c r="C2290" s="122" t="s">
        <v>187</v>
      </c>
      <c r="D2290" t="s">
        <v>4712</v>
      </c>
      <c r="E2290" t="s">
        <v>12704</v>
      </c>
      <c r="F2290" t="s">
        <v>12705</v>
      </c>
      <c r="G2290" t="s">
        <v>8366</v>
      </c>
      <c r="H2290" t="s">
        <v>12706</v>
      </c>
      <c r="I2290" s="80" t="s">
        <v>12707</v>
      </c>
      <c r="J2290" t="s">
        <v>12708</v>
      </c>
      <c r="K2290" t="s">
        <v>12709</v>
      </c>
    </row>
    <row r="2291" spans="1:11" x14ac:dyDescent="0.25">
      <c r="A2291" s="122">
        <v>2290</v>
      </c>
      <c r="B2291">
        <v>3013</v>
      </c>
      <c r="C2291" s="122" t="s">
        <v>189</v>
      </c>
      <c r="D2291" t="s">
        <v>3544</v>
      </c>
      <c r="E2291" t="s">
        <v>12710</v>
      </c>
      <c r="F2291" t="s">
        <v>5840</v>
      </c>
      <c r="G2291" t="s">
        <v>8071</v>
      </c>
      <c r="H2291" t="s">
        <v>12711</v>
      </c>
      <c r="I2291" s="80" t="s">
        <v>12712</v>
      </c>
      <c r="J2291" t="s">
        <v>8023</v>
      </c>
      <c r="K2291" t="s">
        <v>12713</v>
      </c>
    </row>
    <row r="2292" spans="1:11" x14ac:dyDescent="0.25">
      <c r="A2292" s="122">
        <v>2291</v>
      </c>
      <c r="B2292">
        <v>3014</v>
      </c>
      <c r="C2292" s="122" t="s">
        <v>181</v>
      </c>
      <c r="D2292" t="s">
        <v>583</v>
      </c>
      <c r="E2292" t="s">
        <v>12714</v>
      </c>
      <c r="F2292" t="s">
        <v>9316</v>
      </c>
      <c r="G2292" t="s">
        <v>10160</v>
      </c>
      <c r="H2292" t="s">
        <v>2882</v>
      </c>
      <c r="I2292" t="s">
        <v>3017</v>
      </c>
      <c r="J2292" t="s">
        <v>10401</v>
      </c>
      <c r="K2292" t="s">
        <v>10483</v>
      </c>
    </row>
    <row r="2293" spans="1:11" x14ac:dyDescent="0.25">
      <c r="A2293" s="122">
        <v>2292</v>
      </c>
      <c r="B2293">
        <v>3014</v>
      </c>
      <c r="C2293" s="122" t="s">
        <v>183</v>
      </c>
      <c r="D2293" t="s">
        <v>1742</v>
      </c>
      <c r="E2293" s="111" t="s">
        <v>1076</v>
      </c>
      <c r="F2293" t="s">
        <v>12715</v>
      </c>
      <c r="G2293" t="s">
        <v>8041</v>
      </c>
      <c r="H2293" t="s">
        <v>12716</v>
      </c>
      <c r="I2293" s="80" t="s">
        <v>12717</v>
      </c>
      <c r="J2293" t="s">
        <v>8204</v>
      </c>
      <c r="K2293" t="s">
        <v>12718</v>
      </c>
    </row>
    <row r="2294" spans="1:11" x14ac:dyDescent="0.25">
      <c r="A2294" s="122">
        <v>2293</v>
      </c>
      <c r="B2294">
        <v>3014</v>
      </c>
      <c r="C2294" s="122" t="s">
        <v>186</v>
      </c>
      <c r="D2294" t="s">
        <v>4254</v>
      </c>
      <c r="E2294" s="111" t="s">
        <v>12719</v>
      </c>
      <c r="F2294" s="80" t="s">
        <v>12720</v>
      </c>
      <c r="G2294" t="s">
        <v>12721</v>
      </c>
      <c r="H2294" s="111" t="s">
        <v>12722</v>
      </c>
      <c r="I2294" s="80" t="s">
        <v>12723</v>
      </c>
      <c r="J2294" t="s">
        <v>9520</v>
      </c>
      <c r="K2294" s="111" t="s">
        <v>12724</v>
      </c>
    </row>
    <row r="2295" spans="1:11" x14ac:dyDescent="0.25">
      <c r="A2295" s="122">
        <v>2294</v>
      </c>
      <c r="B2295">
        <v>3014</v>
      </c>
      <c r="C2295" s="122" t="s">
        <v>188</v>
      </c>
      <c r="D2295" t="s">
        <v>5876</v>
      </c>
      <c r="E2295" s="111" t="s">
        <v>1078</v>
      </c>
      <c r="F2295" t="s">
        <v>12725</v>
      </c>
      <c r="G2295" t="s">
        <v>12261</v>
      </c>
      <c r="H2295" s="80" t="s">
        <v>12726</v>
      </c>
      <c r="I2295" s="80" t="s">
        <v>12727</v>
      </c>
      <c r="J2295" t="s">
        <v>9893</v>
      </c>
      <c r="K2295" s="111" t="s">
        <v>1079</v>
      </c>
    </row>
    <row r="2296" spans="1:11" x14ac:dyDescent="0.25">
      <c r="A2296" s="122">
        <v>2295</v>
      </c>
      <c r="B2296">
        <v>3014</v>
      </c>
      <c r="C2296" s="122" t="s">
        <v>182</v>
      </c>
      <c r="D2296" t="s">
        <v>583</v>
      </c>
      <c r="E2296" t="s">
        <v>12728</v>
      </c>
      <c r="F2296" t="s">
        <v>6530</v>
      </c>
      <c r="G2296" t="s">
        <v>583</v>
      </c>
      <c r="H2296" s="80" t="s">
        <v>5582</v>
      </c>
      <c r="I2296" t="s">
        <v>12729</v>
      </c>
      <c r="J2296" t="s">
        <v>583</v>
      </c>
      <c r="K2296" t="s">
        <v>6842</v>
      </c>
    </row>
    <row r="2297" spans="1:11" x14ac:dyDescent="0.25">
      <c r="A2297" s="122">
        <v>2296</v>
      </c>
      <c r="B2297">
        <v>3014</v>
      </c>
      <c r="C2297" s="122" t="s">
        <v>184</v>
      </c>
      <c r="D2297" t="s">
        <v>12730</v>
      </c>
      <c r="E2297" t="s">
        <v>12731</v>
      </c>
      <c r="F2297" t="s">
        <v>12732</v>
      </c>
      <c r="G2297" t="s">
        <v>8269</v>
      </c>
      <c r="H2297" t="s">
        <v>12733</v>
      </c>
      <c r="I2297" s="80" t="s">
        <v>12734</v>
      </c>
      <c r="J2297" t="s">
        <v>6627</v>
      </c>
      <c r="K2297" t="s">
        <v>12735</v>
      </c>
    </row>
    <row r="2298" spans="1:11" x14ac:dyDescent="0.25">
      <c r="A2298" s="122">
        <v>2297</v>
      </c>
      <c r="B2298">
        <v>3014</v>
      </c>
      <c r="C2298" s="122" t="s">
        <v>187</v>
      </c>
      <c r="D2298" t="s">
        <v>12736</v>
      </c>
      <c r="E2298" s="80" t="s">
        <v>12737</v>
      </c>
      <c r="F2298" t="s">
        <v>9559</v>
      </c>
      <c r="G2298" t="s">
        <v>7443</v>
      </c>
      <c r="H2298" t="s">
        <v>12738</v>
      </c>
      <c r="I2298" s="80" t="s">
        <v>12739</v>
      </c>
      <c r="J2298" t="s">
        <v>9300</v>
      </c>
      <c r="K2298" t="s">
        <v>12740</v>
      </c>
    </row>
    <row r="2299" spans="1:11" x14ac:dyDescent="0.25">
      <c r="A2299" s="122">
        <v>2298</v>
      </c>
      <c r="B2299">
        <v>3014</v>
      </c>
      <c r="C2299" s="122" t="s">
        <v>189</v>
      </c>
      <c r="D2299" t="s">
        <v>12741</v>
      </c>
      <c r="E2299" t="s">
        <v>12742</v>
      </c>
      <c r="F2299" t="s">
        <v>12743</v>
      </c>
      <c r="G2299" t="s">
        <v>7443</v>
      </c>
      <c r="H2299" t="s">
        <v>12744</v>
      </c>
      <c r="I2299" s="80" t="s">
        <v>12745</v>
      </c>
      <c r="J2299" t="s">
        <v>9265</v>
      </c>
      <c r="K2299" s="80" t="s">
        <v>12746</v>
      </c>
    </row>
    <row r="2300" spans="1:11" x14ac:dyDescent="0.25">
      <c r="A2300" s="122">
        <v>2299</v>
      </c>
      <c r="B2300">
        <v>1089</v>
      </c>
      <c r="C2300" s="122" t="s">
        <v>182</v>
      </c>
      <c r="D2300" s="80" t="s">
        <v>5282</v>
      </c>
      <c r="E2300" t="s">
        <v>12747</v>
      </c>
      <c r="F2300" t="s">
        <v>5286</v>
      </c>
      <c r="G2300" t="s">
        <v>9317</v>
      </c>
      <c r="H2300" s="80" t="s">
        <v>5582</v>
      </c>
      <c r="I2300" t="s">
        <v>12748</v>
      </c>
      <c r="J2300" t="s">
        <v>9665</v>
      </c>
      <c r="K2300" t="s">
        <v>6842</v>
      </c>
    </row>
    <row r="2301" spans="1:11" x14ac:dyDescent="0.25">
      <c r="A2301" s="122">
        <v>2300</v>
      </c>
      <c r="B2301">
        <v>1089</v>
      </c>
      <c r="C2301" s="122" t="s">
        <v>184</v>
      </c>
      <c r="D2301" t="s">
        <v>12749</v>
      </c>
      <c r="E2301" t="s">
        <v>12750</v>
      </c>
      <c r="F2301" t="s">
        <v>7332</v>
      </c>
      <c r="G2301" t="s">
        <v>8218</v>
      </c>
      <c r="H2301" t="s">
        <v>5513</v>
      </c>
      <c r="I2301" t="s">
        <v>12751</v>
      </c>
      <c r="J2301" t="s">
        <v>9621</v>
      </c>
      <c r="K2301" t="s">
        <v>9912</v>
      </c>
    </row>
    <row r="2302" spans="1:11" x14ac:dyDescent="0.25">
      <c r="A2302" s="122">
        <v>2301</v>
      </c>
      <c r="B2302">
        <v>1089</v>
      </c>
      <c r="C2302" s="122" t="s">
        <v>187</v>
      </c>
      <c r="D2302" t="s">
        <v>12749</v>
      </c>
      <c r="E2302" t="s">
        <v>12752</v>
      </c>
      <c r="F2302" t="s">
        <v>12753</v>
      </c>
      <c r="G2302" t="s">
        <v>8218</v>
      </c>
      <c r="H2302" t="s">
        <v>9963</v>
      </c>
      <c r="I2302" t="s">
        <v>12754</v>
      </c>
      <c r="J2302" t="s">
        <v>10681</v>
      </c>
      <c r="K2302" t="s">
        <v>12755</v>
      </c>
    </row>
    <row r="2303" spans="1:11" x14ac:dyDescent="0.25">
      <c r="A2303" s="122">
        <v>2302</v>
      </c>
      <c r="B2303">
        <v>1089</v>
      </c>
      <c r="C2303" s="122" t="s">
        <v>189</v>
      </c>
      <c r="D2303" t="s">
        <v>12749</v>
      </c>
      <c r="E2303" t="s">
        <v>12756</v>
      </c>
      <c r="F2303" t="s">
        <v>12408</v>
      </c>
      <c r="G2303" t="s">
        <v>8096</v>
      </c>
      <c r="H2303" t="s">
        <v>7333</v>
      </c>
      <c r="I2303" t="s">
        <v>12757</v>
      </c>
      <c r="J2303" t="s">
        <v>8367</v>
      </c>
      <c r="K2303" t="s">
        <v>9311</v>
      </c>
    </row>
    <row r="2304" spans="1:11" x14ac:dyDescent="0.25">
      <c r="A2304" s="122">
        <v>2303</v>
      </c>
      <c r="B2304">
        <v>1088</v>
      </c>
      <c r="C2304" s="122" t="s">
        <v>162</v>
      </c>
      <c r="D2304" t="s">
        <v>12758</v>
      </c>
      <c r="E2304" s="80" t="s">
        <v>12759</v>
      </c>
      <c r="F2304" t="s">
        <v>6298</v>
      </c>
      <c r="G2304" t="s">
        <v>8353</v>
      </c>
      <c r="H2304" t="s">
        <v>4146</v>
      </c>
      <c r="I2304" t="s">
        <v>12760</v>
      </c>
      <c r="J2304" t="s">
        <v>9941</v>
      </c>
      <c r="K2304" t="s">
        <v>12761</v>
      </c>
    </row>
    <row r="2305" spans="1:11" x14ac:dyDescent="0.25">
      <c r="A2305" s="122">
        <v>2304</v>
      </c>
      <c r="B2305">
        <v>1088</v>
      </c>
      <c r="C2305" s="122" t="s">
        <v>170</v>
      </c>
      <c r="D2305" t="s">
        <v>12762</v>
      </c>
      <c r="E2305" s="111" t="s">
        <v>1080</v>
      </c>
      <c r="F2305" t="s">
        <v>12763</v>
      </c>
      <c r="G2305" t="s">
        <v>8104</v>
      </c>
      <c r="H2305" t="s">
        <v>12764</v>
      </c>
      <c r="I2305" s="80" t="s">
        <v>12765</v>
      </c>
      <c r="J2305" t="s">
        <v>9705</v>
      </c>
      <c r="K2305" t="s">
        <v>12766</v>
      </c>
    </row>
    <row r="2306" spans="1:11" x14ac:dyDescent="0.25">
      <c r="A2306" s="122">
        <v>2305</v>
      </c>
      <c r="B2306">
        <v>1088</v>
      </c>
      <c r="C2306" s="122" t="s">
        <v>178</v>
      </c>
      <c r="D2306" t="s">
        <v>12767</v>
      </c>
      <c r="E2306" s="80" t="s">
        <v>12768</v>
      </c>
      <c r="F2306" t="s">
        <v>12769</v>
      </c>
      <c r="G2306" t="s">
        <v>8269</v>
      </c>
      <c r="H2306" t="s">
        <v>12770</v>
      </c>
      <c r="I2306" s="80" t="s">
        <v>12771</v>
      </c>
      <c r="J2306" t="s">
        <v>9341</v>
      </c>
      <c r="K2306" t="s">
        <v>12772</v>
      </c>
    </row>
    <row r="2307" spans="1:11" x14ac:dyDescent="0.25">
      <c r="A2307" s="122">
        <v>2306</v>
      </c>
      <c r="B2307">
        <v>1088</v>
      </c>
      <c r="C2307" s="122" t="s">
        <v>163</v>
      </c>
      <c r="D2307" t="s">
        <v>12773</v>
      </c>
      <c r="E2307" s="111" t="s">
        <v>12774</v>
      </c>
      <c r="F2307" t="s">
        <v>12775</v>
      </c>
      <c r="G2307" t="s">
        <v>7952</v>
      </c>
      <c r="H2307" t="s">
        <v>12776</v>
      </c>
      <c r="I2307" s="80" t="s">
        <v>12777</v>
      </c>
      <c r="J2307" t="s">
        <v>9337</v>
      </c>
      <c r="K2307" s="111" t="s">
        <v>12778</v>
      </c>
    </row>
    <row r="2308" spans="1:11" x14ac:dyDescent="0.25">
      <c r="A2308" s="122">
        <v>2307</v>
      </c>
      <c r="B2308">
        <v>1088</v>
      </c>
      <c r="C2308" s="122" t="s">
        <v>181</v>
      </c>
      <c r="D2308" t="s">
        <v>12779</v>
      </c>
      <c r="E2308" s="80" t="s">
        <v>12780</v>
      </c>
      <c r="F2308" t="s">
        <v>8019</v>
      </c>
      <c r="G2308" t="s">
        <v>9233</v>
      </c>
      <c r="H2308" t="s">
        <v>5239</v>
      </c>
      <c r="I2308" t="s">
        <v>12409</v>
      </c>
      <c r="J2308" t="s">
        <v>9602</v>
      </c>
      <c r="K2308" t="s">
        <v>12781</v>
      </c>
    </row>
    <row r="2309" spans="1:11" x14ac:dyDescent="0.25">
      <c r="A2309" s="122">
        <v>2308</v>
      </c>
      <c r="B2309">
        <v>1088</v>
      </c>
      <c r="C2309" s="122" t="s">
        <v>183</v>
      </c>
      <c r="D2309" t="s">
        <v>1902</v>
      </c>
      <c r="E2309" s="111" t="s">
        <v>1084</v>
      </c>
      <c r="F2309" t="s">
        <v>12782</v>
      </c>
      <c r="G2309" t="s">
        <v>8366</v>
      </c>
      <c r="H2309" t="s">
        <v>12783</v>
      </c>
      <c r="I2309" s="80" t="s">
        <v>12784</v>
      </c>
      <c r="J2309" t="s">
        <v>9323</v>
      </c>
      <c r="K2309" t="s">
        <v>12785</v>
      </c>
    </row>
    <row r="2310" spans="1:11" x14ac:dyDescent="0.25">
      <c r="A2310" s="122">
        <v>2309</v>
      </c>
      <c r="B2310">
        <v>1088</v>
      </c>
      <c r="C2310" s="122" t="s">
        <v>186</v>
      </c>
      <c r="D2310" t="s">
        <v>12736</v>
      </c>
      <c r="E2310" s="111" t="s">
        <v>12786</v>
      </c>
      <c r="F2310" t="s">
        <v>9668</v>
      </c>
      <c r="G2310" t="s">
        <v>8332</v>
      </c>
      <c r="H2310" t="s">
        <v>12787</v>
      </c>
      <c r="I2310" s="80" t="s">
        <v>12788</v>
      </c>
      <c r="J2310" t="s">
        <v>9588</v>
      </c>
      <c r="K2310" t="s">
        <v>12789</v>
      </c>
    </row>
    <row r="2311" spans="1:11" x14ac:dyDescent="0.25">
      <c r="A2311" s="122">
        <v>2310</v>
      </c>
      <c r="B2311">
        <v>1088</v>
      </c>
      <c r="C2311" s="122" t="s">
        <v>188</v>
      </c>
      <c r="D2311" t="s">
        <v>12790</v>
      </c>
      <c r="E2311" s="111" t="s">
        <v>1088</v>
      </c>
      <c r="F2311" t="s">
        <v>12791</v>
      </c>
      <c r="G2311" t="s">
        <v>8118</v>
      </c>
      <c r="H2311" t="s">
        <v>12792</v>
      </c>
      <c r="I2311" s="80" t="s">
        <v>12793</v>
      </c>
      <c r="J2311" t="s">
        <v>9516</v>
      </c>
      <c r="K2311" s="111" t="s">
        <v>1089</v>
      </c>
    </row>
    <row r="2312" spans="1:11" x14ac:dyDescent="0.25">
      <c r="A2312" s="122">
        <v>2311</v>
      </c>
      <c r="B2312">
        <v>1088</v>
      </c>
      <c r="C2312" s="122" t="s">
        <v>182</v>
      </c>
      <c r="D2312" t="s">
        <v>583</v>
      </c>
      <c r="E2312" t="s">
        <v>12794</v>
      </c>
      <c r="F2312" t="s">
        <v>6530</v>
      </c>
      <c r="G2312" t="s">
        <v>583</v>
      </c>
      <c r="H2312" t="s">
        <v>583</v>
      </c>
      <c r="I2312">
        <v>1</v>
      </c>
      <c r="J2312" t="s">
        <v>583</v>
      </c>
      <c r="K2312" s="80" t="s">
        <v>6297</v>
      </c>
    </row>
    <row r="2313" spans="1:11" x14ac:dyDescent="0.25">
      <c r="A2313" s="130">
        <v>2312</v>
      </c>
      <c r="B2313">
        <v>1088</v>
      </c>
      <c r="C2313" s="122" t="s">
        <v>184</v>
      </c>
      <c r="D2313" t="s">
        <v>12749</v>
      </c>
      <c r="E2313" s="80" t="s">
        <v>12795</v>
      </c>
      <c r="F2313" t="s">
        <v>12796</v>
      </c>
      <c r="G2313" t="s">
        <v>8071</v>
      </c>
      <c r="H2313" t="s">
        <v>12797</v>
      </c>
      <c r="I2313" t="s">
        <v>12798</v>
      </c>
      <c r="J2313" t="s">
        <v>9941</v>
      </c>
      <c r="K2313" t="s">
        <v>12799</v>
      </c>
    </row>
    <row r="2314" spans="1:11" x14ac:dyDescent="0.25">
      <c r="A2314" s="131">
        <v>2313</v>
      </c>
      <c r="B2314">
        <v>1088</v>
      </c>
      <c r="C2314" s="122" t="s">
        <v>187</v>
      </c>
      <c r="D2314" t="s">
        <v>12767</v>
      </c>
      <c r="E2314" s="80" t="s">
        <v>12800</v>
      </c>
      <c r="F2314" t="s">
        <v>12801</v>
      </c>
      <c r="G2314" t="s">
        <v>8077</v>
      </c>
      <c r="H2314" t="s">
        <v>12802</v>
      </c>
      <c r="I2314" s="80" t="s">
        <v>12803</v>
      </c>
      <c r="J2314" t="s">
        <v>9213</v>
      </c>
      <c r="K2314" t="s">
        <v>12804</v>
      </c>
    </row>
    <row r="2315" spans="1:11" x14ac:dyDescent="0.25">
      <c r="A2315" s="122">
        <v>2314</v>
      </c>
      <c r="B2315">
        <v>1088</v>
      </c>
      <c r="C2315" s="122" t="s">
        <v>189</v>
      </c>
      <c r="D2315" t="s">
        <v>4340</v>
      </c>
      <c r="E2315" s="80" t="s">
        <v>12805</v>
      </c>
      <c r="F2315" t="s">
        <v>12806</v>
      </c>
      <c r="G2315" t="s">
        <v>7998</v>
      </c>
      <c r="H2315" t="s">
        <v>12807</v>
      </c>
      <c r="I2315" s="80" t="s">
        <v>9982</v>
      </c>
      <c r="J2315" t="s">
        <v>9411</v>
      </c>
      <c r="K2315" s="80" t="s">
        <v>12808</v>
      </c>
    </row>
    <row r="2316" spans="1:11" x14ac:dyDescent="0.25">
      <c r="A2316" s="122">
        <v>2315</v>
      </c>
      <c r="B2316">
        <v>1090</v>
      </c>
      <c r="C2316" s="122" t="s">
        <v>162</v>
      </c>
      <c r="D2316" t="s">
        <v>12758</v>
      </c>
      <c r="E2316" t="s">
        <v>12809</v>
      </c>
      <c r="F2316" t="s">
        <v>5467</v>
      </c>
      <c r="G2316" t="s">
        <v>4437</v>
      </c>
      <c r="H2316" t="s">
        <v>5858</v>
      </c>
      <c r="I2316" t="s">
        <v>8509</v>
      </c>
      <c r="J2316" t="s">
        <v>9621</v>
      </c>
      <c r="K2316" t="s">
        <v>7497</v>
      </c>
    </row>
    <row r="2317" spans="1:11" x14ac:dyDescent="0.25">
      <c r="A2317" s="122">
        <v>2316</v>
      </c>
      <c r="B2317">
        <v>1090</v>
      </c>
      <c r="C2317" s="122" t="s">
        <v>170</v>
      </c>
      <c r="D2317" t="s">
        <v>12736</v>
      </c>
      <c r="E2317" s="80" t="s">
        <v>12810</v>
      </c>
      <c r="F2317" t="s">
        <v>12811</v>
      </c>
      <c r="G2317" t="s">
        <v>8218</v>
      </c>
      <c r="H2317" t="s">
        <v>12812</v>
      </c>
      <c r="I2317" s="80" t="s">
        <v>12813</v>
      </c>
      <c r="J2317" t="s">
        <v>9265</v>
      </c>
      <c r="K2317" t="s">
        <v>12814</v>
      </c>
    </row>
    <row r="2318" spans="1:11" x14ac:dyDescent="0.25">
      <c r="A2318" s="122">
        <v>2317</v>
      </c>
      <c r="B2318">
        <v>1090</v>
      </c>
      <c r="C2318" s="122" t="s">
        <v>178</v>
      </c>
      <c r="D2318" t="s">
        <v>12815</v>
      </c>
      <c r="E2318" t="s">
        <v>12816</v>
      </c>
      <c r="F2318" t="s">
        <v>12817</v>
      </c>
      <c r="G2318" t="s">
        <v>8158</v>
      </c>
      <c r="H2318" s="80" t="s">
        <v>12818</v>
      </c>
      <c r="I2318" s="80" t="s">
        <v>12819</v>
      </c>
      <c r="J2318" t="s">
        <v>10009</v>
      </c>
      <c r="K2318" t="s">
        <v>12820</v>
      </c>
    </row>
    <row r="2319" spans="1:11" x14ac:dyDescent="0.25">
      <c r="A2319" s="122">
        <v>2318</v>
      </c>
      <c r="B2319">
        <v>1090</v>
      </c>
      <c r="C2319" s="122" t="s">
        <v>163</v>
      </c>
      <c r="D2319" t="s">
        <v>9311</v>
      </c>
      <c r="E2319" t="s">
        <v>12821</v>
      </c>
      <c r="F2319" t="s">
        <v>12822</v>
      </c>
      <c r="G2319" t="s">
        <v>10191</v>
      </c>
      <c r="H2319" t="s">
        <v>12823</v>
      </c>
      <c r="I2319" s="80" t="s">
        <v>12824</v>
      </c>
      <c r="J2319" t="s">
        <v>11475</v>
      </c>
      <c r="K2319" s="80" t="s">
        <v>12825</v>
      </c>
    </row>
    <row r="2320" spans="1:11" x14ac:dyDescent="0.25">
      <c r="A2320" s="122">
        <v>2319</v>
      </c>
      <c r="B2320">
        <v>1090</v>
      </c>
      <c r="C2320" s="122" t="s">
        <v>181</v>
      </c>
      <c r="D2320" t="s">
        <v>12826</v>
      </c>
      <c r="E2320" s="111" t="s">
        <v>1090</v>
      </c>
      <c r="F2320" t="s">
        <v>5218</v>
      </c>
      <c r="G2320" t="s">
        <v>9317</v>
      </c>
      <c r="H2320" t="s">
        <v>12827</v>
      </c>
      <c r="I2320" t="s">
        <v>12828</v>
      </c>
      <c r="J2320" t="s">
        <v>9655</v>
      </c>
      <c r="K2320" t="s">
        <v>12829</v>
      </c>
    </row>
    <row r="2321" spans="1:11" x14ac:dyDescent="0.25">
      <c r="A2321" s="122">
        <v>2320</v>
      </c>
      <c r="B2321">
        <v>1090</v>
      </c>
      <c r="C2321" s="122" t="s">
        <v>183</v>
      </c>
      <c r="D2321" t="s">
        <v>12830</v>
      </c>
      <c r="E2321" s="80" t="s">
        <v>12831</v>
      </c>
      <c r="F2321" t="s">
        <v>12832</v>
      </c>
      <c r="G2321" t="s">
        <v>8047</v>
      </c>
      <c r="H2321" t="s">
        <v>12833</v>
      </c>
      <c r="I2321" s="80" t="s">
        <v>12834</v>
      </c>
      <c r="J2321" t="s">
        <v>9307</v>
      </c>
      <c r="K2321" s="80" t="s">
        <v>12835</v>
      </c>
    </row>
    <row r="2322" spans="1:11" x14ac:dyDescent="0.25">
      <c r="A2322" s="122">
        <v>2321</v>
      </c>
      <c r="B2322">
        <v>1090</v>
      </c>
      <c r="C2322" s="122" t="s">
        <v>186</v>
      </c>
      <c r="D2322" t="s">
        <v>4340</v>
      </c>
      <c r="E2322" s="80" t="s">
        <v>12836</v>
      </c>
      <c r="F2322" t="s">
        <v>12837</v>
      </c>
      <c r="G2322" t="s">
        <v>8118</v>
      </c>
      <c r="H2322" s="80" t="s">
        <v>12838</v>
      </c>
      <c r="I2322" s="80" t="s">
        <v>12839</v>
      </c>
      <c r="J2322" t="s">
        <v>9251</v>
      </c>
      <c r="K2322" s="80" t="s">
        <v>12840</v>
      </c>
    </row>
    <row r="2323" spans="1:11" x14ac:dyDescent="0.25">
      <c r="A2323" s="122">
        <v>2322</v>
      </c>
      <c r="B2323">
        <v>1090</v>
      </c>
      <c r="C2323" s="122" t="s">
        <v>188</v>
      </c>
      <c r="D2323" t="s">
        <v>12841</v>
      </c>
      <c r="E2323" s="80" t="s">
        <v>12842</v>
      </c>
      <c r="F2323" t="s">
        <v>12843</v>
      </c>
      <c r="G2323" t="s">
        <v>7998</v>
      </c>
      <c r="H2323" t="s">
        <v>12844</v>
      </c>
      <c r="I2323" s="80" t="s">
        <v>12845</v>
      </c>
      <c r="J2323" t="s">
        <v>9219</v>
      </c>
      <c r="K2323" s="89" t="s">
        <v>582</v>
      </c>
    </row>
    <row r="2324" spans="1:11" x14ac:dyDescent="0.25">
      <c r="A2324" s="122">
        <v>2323</v>
      </c>
      <c r="B2324">
        <v>1090</v>
      </c>
      <c r="C2324" s="122" t="s">
        <v>182</v>
      </c>
      <c r="D2324" t="s">
        <v>583</v>
      </c>
      <c r="E2324" t="s">
        <v>12846</v>
      </c>
      <c r="F2324" t="s">
        <v>10830</v>
      </c>
      <c r="G2324" t="s">
        <v>8198</v>
      </c>
      <c r="H2324" t="s">
        <v>4146</v>
      </c>
      <c r="I2324" t="s">
        <v>12847</v>
      </c>
      <c r="J2324" t="s">
        <v>11371</v>
      </c>
      <c r="K2324" t="s">
        <v>6842</v>
      </c>
    </row>
    <row r="2325" spans="1:11" x14ac:dyDescent="0.25">
      <c r="A2325" s="122">
        <v>2324</v>
      </c>
      <c r="B2325">
        <v>1090</v>
      </c>
      <c r="C2325" s="122" t="s">
        <v>184</v>
      </c>
      <c r="D2325" t="s">
        <v>9311</v>
      </c>
      <c r="E2325" t="s">
        <v>12848</v>
      </c>
      <c r="F2325" t="s">
        <v>6723</v>
      </c>
      <c r="G2325" t="s">
        <v>7992</v>
      </c>
      <c r="H2325" t="s">
        <v>12849</v>
      </c>
      <c r="I2325" s="80" t="s">
        <v>12850</v>
      </c>
      <c r="J2325" t="s">
        <v>11025</v>
      </c>
      <c r="K2325" t="s">
        <v>12851</v>
      </c>
    </row>
    <row r="2326" spans="1:11" x14ac:dyDescent="0.25">
      <c r="A2326" s="122">
        <v>2325</v>
      </c>
      <c r="B2326">
        <v>1090</v>
      </c>
      <c r="C2326" s="122" t="s">
        <v>187</v>
      </c>
      <c r="D2326" t="s">
        <v>12736</v>
      </c>
      <c r="E2326" t="s">
        <v>12852</v>
      </c>
      <c r="F2326" t="s">
        <v>12853</v>
      </c>
      <c r="G2326" t="s">
        <v>7992</v>
      </c>
      <c r="H2326" t="s">
        <v>12854</v>
      </c>
      <c r="I2326" s="80" t="s">
        <v>12855</v>
      </c>
      <c r="J2326" t="s">
        <v>9239</v>
      </c>
      <c r="K2326" t="s">
        <v>12856</v>
      </c>
    </row>
    <row r="2327" spans="1:11" x14ac:dyDescent="0.25">
      <c r="A2327" s="122">
        <v>2326</v>
      </c>
      <c r="B2327">
        <v>1090</v>
      </c>
      <c r="C2327" s="122" t="s">
        <v>189</v>
      </c>
      <c r="D2327" t="s">
        <v>12815</v>
      </c>
      <c r="E2327" t="s">
        <v>12857</v>
      </c>
      <c r="F2327" t="s">
        <v>12437</v>
      </c>
      <c r="G2327" t="s">
        <v>10191</v>
      </c>
      <c r="H2327" s="80" t="s">
        <v>12858</v>
      </c>
      <c r="I2327" s="80" t="s">
        <v>12859</v>
      </c>
      <c r="J2327" t="s">
        <v>9239</v>
      </c>
      <c r="K2327" t="s">
        <v>11694</v>
      </c>
    </row>
    <row r="2328" spans="1:11" x14ac:dyDescent="0.25">
      <c r="A2328" s="122">
        <v>2327</v>
      </c>
      <c r="B2328" t="s">
        <v>668</v>
      </c>
      <c r="C2328" s="122" t="s">
        <v>162</v>
      </c>
      <c r="D2328" t="s">
        <v>12749</v>
      </c>
      <c r="E2328" t="s">
        <v>12860</v>
      </c>
      <c r="F2328" t="s">
        <v>8046</v>
      </c>
      <c r="G2328" t="s">
        <v>10160</v>
      </c>
      <c r="H2328" t="s">
        <v>2882</v>
      </c>
      <c r="I2328" t="s">
        <v>12861</v>
      </c>
      <c r="J2328" t="s">
        <v>5861</v>
      </c>
      <c r="K2328" t="s">
        <v>7547</v>
      </c>
    </row>
    <row r="2329" spans="1:11" x14ac:dyDescent="0.25">
      <c r="A2329" s="122">
        <v>2328</v>
      </c>
      <c r="B2329" t="s">
        <v>668</v>
      </c>
      <c r="C2329" s="122" t="s">
        <v>170</v>
      </c>
      <c r="D2329" t="s">
        <v>12862</v>
      </c>
      <c r="E2329" t="s">
        <v>12863</v>
      </c>
      <c r="F2329" t="s">
        <v>12864</v>
      </c>
      <c r="G2329" t="s">
        <v>8269</v>
      </c>
      <c r="H2329" t="s">
        <v>12865</v>
      </c>
      <c r="I2329" s="80" t="s">
        <v>12866</v>
      </c>
      <c r="J2329" t="s">
        <v>9382</v>
      </c>
      <c r="K2329" t="s">
        <v>12867</v>
      </c>
    </row>
    <row r="2330" spans="1:11" x14ac:dyDescent="0.25">
      <c r="A2330" s="122">
        <v>2329</v>
      </c>
      <c r="B2330" t="s">
        <v>668</v>
      </c>
      <c r="C2330" s="122" t="s">
        <v>178</v>
      </c>
      <c r="D2330" t="s">
        <v>12868</v>
      </c>
      <c r="E2330" t="s">
        <v>12869</v>
      </c>
      <c r="F2330" t="s">
        <v>11725</v>
      </c>
      <c r="G2330" t="s">
        <v>7992</v>
      </c>
      <c r="H2330" t="s">
        <v>12870</v>
      </c>
      <c r="I2330" s="80" t="s">
        <v>12871</v>
      </c>
      <c r="J2330" t="s">
        <v>9300</v>
      </c>
      <c r="K2330" t="s">
        <v>12872</v>
      </c>
    </row>
    <row r="2331" spans="1:11" x14ac:dyDescent="0.25">
      <c r="A2331" s="122">
        <v>2330</v>
      </c>
      <c r="B2331" t="s">
        <v>668</v>
      </c>
      <c r="C2331" s="122" t="s">
        <v>163</v>
      </c>
      <c r="D2331" t="s">
        <v>12873</v>
      </c>
      <c r="E2331" t="s">
        <v>12874</v>
      </c>
      <c r="F2331" t="s">
        <v>12875</v>
      </c>
      <c r="G2331" t="s">
        <v>9502</v>
      </c>
      <c r="H2331" t="s">
        <v>12876</v>
      </c>
      <c r="I2331" s="80" t="s">
        <v>12877</v>
      </c>
      <c r="J2331" t="s">
        <v>9213</v>
      </c>
      <c r="K2331" t="s">
        <v>12878</v>
      </c>
    </row>
    <row r="2332" spans="1:11" x14ac:dyDescent="0.25">
      <c r="A2332" s="122">
        <v>2331</v>
      </c>
      <c r="B2332" t="s">
        <v>668</v>
      </c>
      <c r="C2332" s="122" t="s">
        <v>181</v>
      </c>
      <c r="D2332" t="s">
        <v>12741</v>
      </c>
      <c r="E2332" s="111" t="s">
        <v>1092</v>
      </c>
      <c r="F2332" t="s">
        <v>12576</v>
      </c>
      <c r="G2332" t="s">
        <v>10191</v>
      </c>
      <c r="H2332" t="s">
        <v>5494</v>
      </c>
      <c r="I2332" t="s">
        <v>12879</v>
      </c>
      <c r="J2332" t="s">
        <v>9382</v>
      </c>
      <c r="K2332" t="s">
        <v>12880</v>
      </c>
    </row>
    <row r="2333" spans="1:11" x14ac:dyDescent="0.25">
      <c r="A2333" s="122">
        <v>2332</v>
      </c>
      <c r="B2333" t="s">
        <v>668</v>
      </c>
      <c r="C2333" s="122" t="s">
        <v>183</v>
      </c>
      <c r="D2333" t="s">
        <v>4340</v>
      </c>
      <c r="E2333" s="80" t="s">
        <v>12881</v>
      </c>
      <c r="F2333" t="s">
        <v>12882</v>
      </c>
      <c r="G2333" t="s">
        <v>8104</v>
      </c>
      <c r="H2333" t="s">
        <v>12883</v>
      </c>
      <c r="I2333" s="80" t="s">
        <v>12884</v>
      </c>
      <c r="J2333" t="s">
        <v>9273</v>
      </c>
      <c r="K2333" t="s">
        <v>12885</v>
      </c>
    </row>
    <row r="2334" spans="1:11" x14ac:dyDescent="0.25">
      <c r="A2334" s="122">
        <v>2333</v>
      </c>
      <c r="B2334" t="s">
        <v>668</v>
      </c>
      <c r="C2334" s="122" t="s">
        <v>186</v>
      </c>
      <c r="D2334" t="s">
        <v>12886</v>
      </c>
      <c r="E2334" s="80" t="s">
        <v>12887</v>
      </c>
      <c r="F2334" t="s">
        <v>12888</v>
      </c>
      <c r="G2334" t="s">
        <v>7959</v>
      </c>
      <c r="H2334" s="80" t="s">
        <v>12889</v>
      </c>
      <c r="I2334" s="80" t="s">
        <v>12890</v>
      </c>
      <c r="J2334" t="s">
        <v>9505</v>
      </c>
      <c r="K2334" s="80" t="s">
        <v>12891</v>
      </c>
    </row>
    <row r="2335" spans="1:11" x14ac:dyDescent="0.25">
      <c r="A2335" s="122">
        <v>2334</v>
      </c>
      <c r="B2335" t="s">
        <v>668</v>
      </c>
      <c r="C2335" s="122" t="s">
        <v>188</v>
      </c>
      <c r="D2335" t="s">
        <v>12762</v>
      </c>
      <c r="E2335" s="80" t="s">
        <v>12892</v>
      </c>
      <c r="F2335" t="s">
        <v>12893</v>
      </c>
      <c r="G2335" t="s">
        <v>7998</v>
      </c>
      <c r="H2335" t="s">
        <v>12894</v>
      </c>
      <c r="I2335" s="80" t="s">
        <v>12895</v>
      </c>
      <c r="J2335" t="s">
        <v>9556</v>
      </c>
      <c r="K2335" s="80" t="s">
        <v>12896</v>
      </c>
    </row>
    <row r="2336" spans="1:11" x14ac:dyDescent="0.25">
      <c r="A2336" s="122">
        <v>2335</v>
      </c>
      <c r="B2336" t="s">
        <v>668</v>
      </c>
      <c r="C2336" s="122" t="s">
        <v>182</v>
      </c>
      <c r="D2336" t="s">
        <v>583</v>
      </c>
      <c r="E2336" t="s">
        <v>12654</v>
      </c>
      <c r="F2336" t="s">
        <v>6530</v>
      </c>
      <c r="G2336" t="s">
        <v>583</v>
      </c>
      <c r="H2336" t="s">
        <v>2548</v>
      </c>
      <c r="I2336" t="s">
        <v>12897</v>
      </c>
      <c r="J2336" t="s">
        <v>583</v>
      </c>
      <c r="K2336" t="s">
        <v>9747</v>
      </c>
    </row>
    <row r="2337" spans="1:11" x14ac:dyDescent="0.25">
      <c r="A2337" s="122">
        <v>2336</v>
      </c>
      <c r="B2337" t="s">
        <v>668</v>
      </c>
      <c r="C2337" s="122" t="s">
        <v>184</v>
      </c>
      <c r="D2337" t="s">
        <v>12898</v>
      </c>
      <c r="E2337" t="s">
        <v>12899</v>
      </c>
      <c r="F2337" t="s">
        <v>2496</v>
      </c>
      <c r="G2337" t="s">
        <v>8096</v>
      </c>
      <c r="H2337" t="s">
        <v>12900</v>
      </c>
      <c r="I2337" s="80" t="s">
        <v>12901</v>
      </c>
      <c r="J2337" t="s">
        <v>9300</v>
      </c>
      <c r="K2337">
        <v>2150</v>
      </c>
    </row>
    <row r="2338" spans="1:11" x14ac:dyDescent="0.25">
      <c r="A2338" s="122">
        <v>2337</v>
      </c>
      <c r="B2338" t="s">
        <v>668</v>
      </c>
      <c r="C2338" s="122" t="s">
        <v>187</v>
      </c>
      <c r="D2338">
        <v>671</v>
      </c>
      <c r="E2338" t="s">
        <v>12902</v>
      </c>
      <c r="F2338" t="s">
        <v>11975</v>
      </c>
      <c r="G2338" t="s">
        <v>8096</v>
      </c>
      <c r="H2338" t="s">
        <v>12903</v>
      </c>
      <c r="I2338" s="80" t="s">
        <v>12904</v>
      </c>
      <c r="J2338" t="s">
        <v>9239</v>
      </c>
      <c r="K2338" t="s">
        <v>12905</v>
      </c>
    </row>
    <row r="2339" spans="1:11" x14ac:dyDescent="0.25">
      <c r="A2339" s="122">
        <v>2338</v>
      </c>
      <c r="B2339" t="s">
        <v>668</v>
      </c>
      <c r="C2339" s="122" t="s">
        <v>189</v>
      </c>
      <c r="D2339" t="s">
        <v>12906</v>
      </c>
      <c r="E2339" t="s">
        <v>12907</v>
      </c>
      <c r="F2339" t="s">
        <v>12908</v>
      </c>
      <c r="G2339" t="s">
        <v>8353</v>
      </c>
      <c r="H2339" t="s">
        <v>12909</v>
      </c>
      <c r="I2339" s="80" t="s">
        <v>12910</v>
      </c>
      <c r="J2339" t="s">
        <v>9341</v>
      </c>
      <c r="K2339" t="s">
        <v>12911</v>
      </c>
    </row>
    <row r="2340" spans="1:11" x14ac:dyDescent="0.25">
      <c r="A2340" s="122">
        <v>2339</v>
      </c>
      <c r="B2340" t="s">
        <v>669</v>
      </c>
      <c r="C2340" s="122" t="s">
        <v>162</v>
      </c>
      <c r="D2340" t="s">
        <v>9311</v>
      </c>
      <c r="E2340" s="80" t="s">
        <v>12912</v>
      </c>
      <c r="F2340" t="s">
        <v>12913</v>
      </c>
      <c r="G2340" t="s">
        <v>8071</v>
      </c>
      <c r="H2340" t="s">
        <v>12914</v>
      </c>
      <c r="I2340" t="s">
        <v>12915</v>
      </c>
      <c r="J2340" t="s">
        <v>9941</v>
      </c>
      <c r="K2340" t="s">
        <v>12916</v>
      </c>
    </row>
    <row r="2341" spans="1:11" x14ac:dyDescent="0.25">
      <c r="A2341" s="122">
        <v>2340</v>
      </c>
      <c r="B2341" t="s">
        <v>669</v>
      </c>
      <c r="C2341" s="122" t="s">
        <v>170</v>
      </c>
      <c r="D2341" t="s">
        <v>11017</v>
      </c>
      <c r="E2341" s="80" t="s">
        <v>12917</v>
      </c>
      <c r="F2341" t="s">
        <v>12918</v>
      </c>
      <c r="G2341" t="s">
        <v>8096</v>
      </c>
      <c r="H2341" t="s">
        <v>12919</v>
      </c>
      <c r="I2341" s="80" t="s">
        <v>12920</v>
      </c>
      <c r="J2341" t="s">
        <v>9382</v>
      </c>
      <c r="K2341" t="s">
        <v>12921</v>
      </c>
    </row>
    <row r="2342" spans="1:11" x14ac:dyDescent="0.25">
      <c r="A2342" s="122">
        <v>2341</v>
      </c>
      <c r="B2342" t="s">
        <v>669</v>
      </c>
      <c r="C2342" s="122" t="s">
        <v>178</v>
      </c>
      <c r="D2342" t="s">
        <v>12773</v>
      </c>
      <c r="E2342" s="80" t="s">
        <v>12922</v>
      </c>
      <c r="F2342" t="s">
        <v>12923</v>
      </c>
      <c r="G2342" t="s">
        <v>9270</v>
      </c>
      <c r="H2342" t="s">
        <v>12924</v>
      </c>
      <c r="I2342" s="80" t="s">
        <v>12925</v>
      </c>
      <c r="J2342" t="s">
        <v>9569</v>
      </c>
      <c r="K2342" t="s">
        <v>12627</v>
      </c>
    </row>
    <row r="2343" spans="1:11" x14ac:dyDescent="0.25">
      <c r="A2343" s="122">
        <v>2342</v>
      </c>
      <c r="B2343" t="s">
        <v>669</v>
      </c>
      <c r="C2343" s="122" t="s">
        <v>163</v>
      </c>
      <c r="D2343" t="s">
        <v>12886</v>
      </c>
      <c r="E2343" s="80" t="s">
        <v>12926</v>
      </c>
      <c r="F2343" t="s">
        <v>12927</v>
      </c>
      <c r="G2343" t="s">
        <v>8104</v>
      </c>
      <c r="H2343" t="s">
        <v>12928</v>
      </c>
      <c r="I2343" s="80" t="s">
        <v>12929</v>
      </c>
      <c r="J2343" t="s">
        <v>9273</v>
      </c>
      <c r="K2343" s="80" t="s">
        <v>12930</v>
      </c>
    </row>
    <row r="2344" spans="1:11" x14ac:dyDescent="0.25">
      <c r="A2344" s="122">
        <v>2343</v>
      </c>
      <c r="B2344" t="s">
        <v>669</v>
      </c>
      <c r="C2344" s="122" t="s">
        <v>181</v>
      </c>
      <c r="D2344" t="s">
        <v>12931</v>
      </c>
      <c r="E2344" s="111" t="s">
        <v>1094</v>
      </c>
      <c r="F2344" t="s">
        <v>8175</v>
      </c>
      <c r="G2344" t="s">
        <v>8218</v>
      </c>
      <c r="H2344" t="s">
        <v>12932</v>
      </c>
      <c r="I2344" t="s">
        <v>12933</v>
      </c>
      <c r="J2344" t="s">
        <v>9655</v>
      </c>
      <c r="K2344" t="s">
        <v>12934</v>
      </c>
    </row>
    <row r="2345" spans="1:11" x14ac:dyDescent="0.25">
      <c r="A2345" s="122">
        <v>2344</v>
      </c>
      <c r="B2345" t="s">
        <v>669</v>
      </c>
      <c r="C2345" s="122" t="s">
        <v>183</v>
      </c>
      <c r="D2345" t="s">
        <v>12886</v>
      </c>
      <c r="E2345" s="80" t="s">
        <v>12935</v>
      </c>
      <c r="F2345" t="s">
        <v>12936</v>
      </c>
      <c r="G2345" t="s">
        <v>8332</v>
      </c>
      <c r="H2345" t="s">
        <v>12937</v>
      </c>
      <c r="I2345" s="80" t="s">
        <v>12938</v>
      </c>
      <c r="J2345" t="s">
        <v>9411</v>
      </c>
      <c r="K2345" s="80" t="s">
        <v>12939</v>
      </c>
    </row>
    <row r="2346" spans="1:11" x14ac:dyDescent="0.25">
      <c r="A2346" s="122">
        <v>2345</v>
      </c>
      <c r="B2346" t="s">
        <v>669</v>
      </c>
      <c r="C2346" s="122" t="s">
        <v>186</v>
      </c>
      <c r="D2346" t="s">
        <v>4340</v>
      </c>
      <c r="E2346" s="80" t="s">
        <v>12940</v>
      </c>
      <c r="F2346" t="s">
        <v>12941</v>
      </c>
      <c r="G2346" t="s">
        <v>8090</v>
      </c>
      <c r="H2346" s="80" t="s">
        <v>12942</v>
      </c>
      <c r="I2346" s="80" t="s">
        <v>12943</v>
      </c>
      <c r="J2346" t="s">
        <v>3825</v>
      </c>
      <c r="K2346" s="80" t="s">
        <v>12944</v>
      </c>
    </row>
    <row r="2347" spans="1:11" x14ac:dyDescent="0.25">
      <c r="A2347" s="122">
        <v>2346</v>
      </c>
      <c r="B2347" t="s">
        <v>669</v>
      </c>
      <c r="C2347" s="122" t="s">
        <v>188</v>
      </c>
      <c r="D2347" t="s">
        <v>12886</v>
      </c>
      <c r="E2347" s="111" t="s">
        <v>1096</v>
      </c>
      <c r="F2347" t="s">
        <v>12945</v>
      </c>
      <c r="G2347" t="s">
        <v>8332</v>
      </c>
      <c r="H2347" t="s">
        <v>12946</v>
      </c>
      <c r="I2347" s="80" t="s">
        <v>12947</v>
      </c>
      <c r="J2347" t="s">
        <v>3825</v>
      </c>
      <c r="K2347" s="80" t="s">
        <v>12948</v>
      </c>
    </row>
    <row r="2348" spans="1:11" x14ac:dyDescent="0.25">
      <c r="A2348" s="122">
        <v>2347</v>
      </c>
      <c r="B2348" t="s">
        <v>669</v>
      </c>
      <c r="C2348" s="122" t="s">
        <v>182</v>
      </c>
      <c r="D2348" t="s">
        <v>583</v>
      </c>
      <c r="E2348" t="s">
        <v>12949</v>
      </c>
      <c r="F2348" t="s">
        <v>583</v>
      </c>
      <c r="G2348" s="80" t="s">
        <v>8198</v>
      </c>
      <c r="H2348" t="s">
        <v>583</v>
      </c>
      <c r="I2348" t="s">
        <v>5465</v>
      </c>
      <c r="J2348" t="s">
        <v>583</v>
      </c>
      <c r="K2348" t="s">
        <v>7184</v>
      </c>
    </row>
    <row r="2349" spans="1:11" x14ac:dyDescent="0.25">
      <c r="A2349" s="122">
        <v>2348</v>
      </c>
      <c r="B2349" t="s">
        <v>669</v>
      </c>
      <c r="C2349" s="122" t="s">
        <v>184</v>
      </c>
      <c r="D2349" t="s">
        <v>12950</v>
      </c>
      <c r="E2349" t="s">
        <v>12951</v>
      </c>
      <c r="F2349" t="s">
        <v>12952</v>
      </c>
      <c r="G2349" t="s">
        <v>8269</v>
      </c>
      <c r="H2349" t="s">
        <v>12953</v>
      </c>
      <c r="I2349" s="80" t="s">
        <v>12954</v>
      </c>
      <c r="J2349" t="s">
        <v>11025</v>
      </c>
      <c r="K2349" t="s">
        <v>12955</v>
      </c>
    </row>
    <row r="2350" spans="1:11" x14ac:dyDescent="0.25">
      <c r="A2350" s="122">
        <v>2349</v>
      </c>
      <c r="B2350" t="s">
        <v>669</v>
      </c>
      <c r="C2350" s="122" t="s">
        <v>187</v>
      </c>
      <c r="D2350" t="s">
        <v>12956</v>
      </c>
      <c r="E2350" t="s">
        <v>12957</v>
      </c>
      <c r="F2350" t="s">
        <v>12958</v>
      </c>
      <c r="G2350" t="s">
        <v>7443</v>
      </c>
      <c r="H2350" s="80" t="s">
        <v>12959</v>
      </c>
      <c r="I2350" s="80" t="s">
        <v>12960</v>
      </c>
      <c r="J2350" t="s">
        <v>9265</v>
      </c>
      <c r="K2350" t="s">
        <v>12961</v>
      </c>
    </row>
    <row r="2351" spans="1:11" x14ac:dyDescent="0.25">
      <c r="A2351" s="122">
        <v>2350</v>
      </c>
      <c r="B2351" t="s">
        <v>669</v>
      </c>
      <c r="C2351" s="122" t="s">
        <v>189</v>
      </c>
      <c r="D2351" t="s">
        <v>12950</v>
      </c>
      <c r="E2351" t="s">
        <v>12962</v>
      </c>
      <c r="F2351" t="s">
        <v>12442</v>
      </c>
      <c r="G2351" t="s">
        <v>8269</v>
      </c>
      <c r="H2351" t="s">
        <v>12963</v>
      </c>
      <c r="I2351" s="80" t="s">
        <v>12964</v>
      </c>
      <c r="J2351" t="s">
        <v>9941</v>
      </c>
      <c r="K2351" t="s">
        <v>12965</v>
      </c>
    </row>
    <row r="2352" spans="1:11" x14ac:dyDescent="0.25">
      <c r="A2352" s="122">
        <v>2351</v>
      </c>
      <c r="B2352" t="s">
        <v>670</v>
      </c>
      <c r="C2352" s="122" t="s">
        <v>162</v>
      </c>
      <c r="D2352" t="s">
        <v>12749</v>
      </c>
      <c r="E2352" s="80" t="s">
        <v>12966</v>
      </c>
      <c r="F2352" t="s">
        <v>8046</v>
      </c>
      <c r="G2352" t="s">
        <v>8071</v>
      </c>
      <c r="H2352" t="s">
        <v>6842</v>
      </c>
      <c r="I2352" t="s">
        <v>12967</v>
      </c>
      <c r="J2352" t="s">
        <v>9366</v>
      </c>
      <c r="K2352" t="s">
        <v>6975</v>
      </c>
    </row>
    <row r="2353" spans="1:11" x14ac:dyDescent="0.25">
      <c r="A2353" s="122">
        <v>2352</v>
      </c>
      <c r="B2353" t="s">
        <v>670</v>
      </c>
      <c r="C2353" s="122" t="s">
        <v>170</v>
      </c>
      <c r="D2353" t="s">
        <v>12968</v>
      </c>
      <c r="E2353" s="111" t="s">
        <v>1098</v>
      </c>
      <c r="F2353" t="s">
        <v>12969</v>
      </c>
      <c r="G2353" t="s">
        <v>8104</v>
      </c>
      <c r="H2353" t="s">
        <v>12970</v>
      </c>
      <c r="I2353" s="80" t="s">
        <v>12971</v>
      </c>
      <c r="J2353" t="s">
        <v>9505</v>
      </c>
      <c r="K2353" t="s">
        <v>12972</v>
      </c>
    </row>
    <row r="2354" spans="1:11" x14ac:dyDescent="0.25">
      <c r="A2354" s="122">
        <v>2353</v>
      </c>
      <c r="B2354" t="s">
        <v>670</v>
      </c>
      <c r="C2354" s="122" t="s">
        <v>178</v>
      </c>
      <c r="D2354" t="s">
        <v>12973</v>
      </c>
      <c r="E2354" s="80" t="s">
        <v>12974</v>
      </c>
      <c r="F2354" s="80" t="s">
        <v>12975</v>
      </c>
      <c r="G2354" t="s">
        <v>7998</v>
      </c>
      <c r="H2354" s="80" t="s">
        <v>12976</v>
      </c>
      <c r="I2354" s="80" t="s">
        <v>12977</v>
      </c>
      <c r="J2354" t="s">
        <v>9219</v>
      </c>
      <c r="K2354" s="80" t="s">
        <v>12978</v>
      </c>
    </row>
    <row r="2355" spans="1:11" x14ac:dyDescent="0.25">
      <c r="A2355" s="122">
        <v>2354</v>
      </c>
      <c r="B2355" t="s">
        <v>670</v>
      </c>
      <c r="C2355" s="122" t="s">
        <v>163</v>
      </c>
      <c r="D2355" t="s">
        <v>12979</v>
      </c>
      <c r="E2355" s="80" t="s">
        <v>12980</v>
      </c>
      <c r="F2355" t="s">
        <v>12981</v>
      </c>
      <c r="G2355" t="s">
        <v>9592</v>
      </c>
      <c r="H2355" s="80" t="s">
        <v>12982</v>
      </c>
      <c r="I2355" s="80" t="s">
        <v>12983</v>
      </c>
      <c r="J2355" t="s">
        <v>10730</v>
      </c>
      <c r="K2355" s="111" t="s">
        <v>1101</v>
      </c>
    </row>
    <row r="2356" spans="1:11" x14ac:dyDescent="0.25">
      <c r="A2356" s="122">
        <v>2355</v>
      </c>
      <c r="B2356" t="s">
        <v>670</v>
      </c>
      <c r="C2356" s="122" t="s">
        <v>181</v>
      </c>
      <c r="D2356" t="s">
        <v>8287</v>
      </c>
      <c r="E2356" s="80" t="s">
        <v>12984</v>
      </c>
      <c r="F2356" t="s">
        <v>8217</v>
      </c>
      <c r="G2356" t="s">
        <v>4437</v>
      </c>
      <c r="H2356" t="s">
        <v>12985</v>
      </c>
      <c r="I2356" t="s">
        <v>12986</v>
      </c>
      <c r="J2356" t="s">
        <v>9341</v>
      </c>
      <c r="K2356" t="s">
        <v>12987</v>
      </c>
    </row>
    <row r="2357" spans="1:11" x14ac:dyDescent="0.25">
      <c r="A2357" s="122">
        <v>2356</v>
      </c>
      <c r="B2357" t="s">
        <v>670</v>
      </c>
      <c r="C2357" s="122" t="s">
        <v>183</v>
      </c>
      <c r="D2357" t="s">
        <v>12988</v>
      </c>
      <c r="E2357" s="80" t="s">
        <v>12989</v>
      </c>
      <c r="F2357" t="s">
        <v>12990</v>
      </c>
      <c r="G2357" t="s">
        <v>8090</v>
      </c>
      <c r="H2357" t="s">
        <v>12991</v>
      </c>
      <c r="I2357" s="80" t="s">
        <v>12992</v>
      </c>
      <c r="J2357" t="s">
        <v>9615</v>
      </c>
      <c r="K2357" s="111" t="s">
        <v>1103</v>
      </c>
    </row>
    <row r="2358" spans="1:11" x14ac:dyDescent="0.25">
      <c r="A2358" s="122">
        <v>2357</v>
      </c>
      <c r="B2358" t="s">
        <v>670</v>
      </c>
      <c r="C2358" s="122" t="s">
        <v>186</v>
      </c>
      <c r="D2358" t="s">
        <v>12993</v>
      </c>
      <c r="E2358" s="80" t="s">
        <v>12994</v>
      </c>
      <c r="F2358" t="s">
        <v>12995</v>
      </c>
      <c r="G2358" t="s">
        <v>8118</v>
      </c>
      <c r="H2358" s="80">
        <v>80159</v>
      </c>
      <c r="I2358" s="80" t="s">
        <v>12996</v>
      </c>
      <c r="J2358" t="s">
        <v>3825</v>
      </c>
      <c r="K2358" s="80" t="s">
        <v>12997</v>
      </c>
    </row>
    <row r="2359" spans="1:11" x14ac:dyDescent="0.25">
      <c r="A2359" s="122">
        <v>2358</v>
      </c>
      <c r="B2359" t="s">
        <v>670</v>
      </c>
      <c r="C2359" s="122" t="s">
        <v>188</v>
      </c>
      <c r="D2359" t="s">
        <v>4516</v>
      </c>
      <c r="E2359" s="80" t="s">
        <v>12998</v>
      </c>
      <c r="F2359" t="s">
        <v>12999</v>
      </c>
      <c r="G2359" t="s">
        <v>9270</v>
      </c>
      <c r="H2359" t="s">
        <v>13000</v>
      </c>
      <c r="I2359" s="80" t="s">
        <v>13001</v>
      </c>
      <c r="J2359" t="s">
        <v>9411</v>
      </c>
      <c r="K2359" s="80" t="s">
        <v>13002</v>
      </c>
    </row>
    <row r="2360" spans="1:11" x14ac:dyDescent="0.25">
      <c r="A2360" s="122">
        <v>2359</v>
      </c>
      <c r="B2360" t="s">
        <v>670</v>
      </c>
      <c r="C2360" s="122" t="s">
        <v>182</v>
      </c>
      <c r="D2360" t="s">
        <v>583</v>
      </c>
      <c r="E2360" t="s">
        <v>13003</v>
      </c>
      <c r="F2360" t="s">
        <v>5286</v>
      </c>
      <c r="G2360" t="s">
        <v>583</v>
      </c>
      <c r="H2360" t="s">
        <v>12441</v>
      </c>
      <c r="I2360" t="s">
        <v>10752</v>
      </c>
      <c r="J2360" t="s">
        <v>583</v>
      </c>
      <c r="K2360" t="s">
        <v>6179</v>
      </c>
    </row>
    <row r="2361" spans="1:11" x14ac:dyDescent="0.25">
      <c r="A2361" s="122">
        <v>2360</v>
      </c>
      <c r="B2361" t="s">
        <v>670</v>
      </c>
      <c r="C2361" s="122" t="s">
        <v>184</v>
      </c>
      <c r="D2361" t="s">
        <v>13004</v>
      </c>
      <c r="E2361" t="s">
        <v>13005</v>
      </c>
      <c r="F2361" t="s">
        <v>13006</v>
      </c>
      <c r="G2361" t="s">
        <v>10094</v>
      </c>
      <c r="H2361" s="80" t="s">
        <v>13007</v>
      </c>
      <c r="I2361" s="80" t="s">
        <v>13008</v>
      </c>
      <c r="J2361" t="s">
        <v>9341</v>
      </c>
      <c r="K2361" t="s">
        <v>13009</v>
      </c>
    </row>
    <row r="2362" spans="1:11" x14ac:dyDescent="0.25">
      <c r="A2362" s="122">
        <v>2361</v>
      </c>
      <c r="B2362" t="s">
        <v>670</v>
      </c>
      <c r="C2362" s="122" t="s">
        <v>187</v>
      </c>
      <c r="D2362" t="s">
        <v>13010</v>
      </c>
      <c r="E2362" t="s">
        <v>13011</v>
      </c>
      <c r="F2362">
        <v>255</v>
      </c>
      <c r="G2362" t="s">
        <v>8218</v>
      </c>
      <c r="H2362" s="80" t="s">
        <v>13012</v>
      </c>
      <c r="I2362" s="80" t="s">
        <v>13013</v>
      </c>
      <c r="J2362" t="s">
        <v>9705</v>
      </c>
      <c r="K2362" t="s">
        <v>13014</v>
      </c>
    </row>
    <row r="2363" spans="1:11" x14ac:dyDescent="0.25">
      <c r="A2363" s="122">
        <v>2362</v>
      </c>
      <c r="B2363" t="s">
        <v>670</v>
      </c>
      <c r="C2363" s="122" t="s">
        <v>189</v>
      </c>
      <c r="D2363" t="s">
        <v>13015</v>
      </c>
      <c r="E2363" t="s">
        <v>13016</v>
      </c>
      <c r="F2363" t="s">
        <v>3544</v>
      </c>
      <c r="G2363" t="s">
        <v>9233</v>
      </c>
      <c r="H2363" t="s">
        <v>13017</v>
      </c>
      <c r="I2363" s="80" t="s">
        <v>13018</v>
      </c>
      <c r="J2363" t="s">
        <v>9941</v>
      </c>
      <c r="K2363" t="s">
        <v>13019</v>
      </c>
    </row>
    <row r="2364" spans="1:11" x14ac:dyDescent="0.25">
      <c r="A2364" s="122">
        <v>2363</v>
      </c>
      <c r="B2364" t="s">
        <v>671</v>
      </c>
      <c r="C2364" s="122" t="s">
        <v>162</v>
      </c>
      <c r="D2364" t="s">
        <v>12736</v>
      </c>
      <c r="E2364" s="111" t="s">
        <v>1104</v>
      </c>
      <c r="F2364" t="s">
        <v>5796</v>
      </c>
      <c r="G2364" t="s">
        <v>9317</v>
      </c>
      <c r="H2364" t="s">
        <v>10382</v>
      </c>
      <c r="I2364" t="s">
        <v>13020</v>
      </c>
      <c r="J2364" t="s">
        <v>9323</v>
      </c>
      <c r="K2364" t="s">
        <v>13021</v>
      </c>
    </row>
    <row r="2365" spans="1:11" x14ac:dyDescent="0.25">
      <c r="A2365" s="122">
        <v>2364</v>
      </c>
      <c r="B2365" t="s">
        <v>671</v>
      </c>
      <c r="C2365" s="122" t="s">
        <v>170</v>
      </c>
      <c r="D2365" t="s">
        <v>12741</v>
      </c>
      <c r="E2365" s="80" t="s">
        <v>13022</v>
      </c>
      <c r="F2365" t="s">
        <v>13023</v>
      </c>
      <c r="G2365" t="s">
        <v>8218</v>
      </c>
      <c r="H2365" t="s">
        <v>13024</v>
      </c>
      <c r="I2365" s="80" t="s">
        <v>13025</v>
      </c>
      <c r="J2365" t="s">
        <v>9569</v>
      </c>
      <c r="K2365" t="s">
        <v>13026</v>
      </c>
    </row>
    <row r="2366" spans="1:11" x14ac:dyDescent="0.25">
      <c r="A2366" s="122">
        <v>2365</v>
      </c>
      <c r="B2366" t="s">
        <v>671</v>
      </c>
      <c r="C2366" s="122" t="s">
        <v>178</v>
      </c>
      <c r="D2366" t="s">
        <v>12767</v>
      </c>
      <c r="E2366" s="80" t="s">
        <v>13027</v>
      </c>
      <c r="F2366" t="s">
        <v>13028</v>
      </c>
      <c r="G2366" t="s">
        <v>7998</v>
      </c>
      <c r="H2366" s="80" t="s">
        <v>13029</v>
      </c>
      <c r="I2366" s="80" t="s">
        <v>13030</v>
      </c>
      <c r="J2366" t="s">
        <v>9203</v>
      </c>
      <c r="K2366" t="s">
        <v>13031</v>
      </c>
    </row>
    <row r="2367" spans="1:11" x14ac:dyDescent="0.25">
      <c r="A2367" s="122">
        <v>2366</v>
      </c>
      <c r="B2367" t="s">
        <v>671</v>
      </c>
      <c r="C2367" s="122" t="s">
        <v>163</v>
      </c>
      <c r="D2367" t="s">
        <v>4254</v>
      </c>
      <c r="E2367" s="111" t="s">
        <v>1106</v>
      </c>
      <c r="F2367" t="s">
        <v>13032</v>
      </c>
      <c r="G2367" t="s">
        <v>8344</v>
      </c>
      <c r="H2367" s="80" t="s">
        <v>13033</v>
      </c>
      <c r="I2367" s="80" t="s">
        <v>13034</v>
      </c>
      <c r="J2367" t="s">
        <v>9556</v>
      </c>
      <c r="K2367" s="111" t="s">
        <v>1107</v>
      </c>
    </row>
    <row r="2368" spans="1:11" x14ac:dyDescent="0.25">
      <c r="A2368" s="122">
        <v>2367</v>
      </c>
      <c r="B2368" t="s">
        <v>671</v>
      </c>
      <c r="C2368" s="122" t="s">
        <v>181</v>
      </c>
      <c r="D2368" t="s">
        <v>11017</v>
      </c>
      <c r="E2368" s="111" t="s">
        <v>1108</v>
      </c>
      <c r="F2368" t="s">
        <v>5744</v>
      </c>
      <c r="G2368" t="s">
        <v>8269</v>
      </c>
      <c r="H2368" t="s">
        <v>13035</v>
      </c>
      <c r="I2368" t="s">
        <v>13036</v>
      </c>
      <c r="J2368" t="s">
        <v>9265</v>
      </c>
      <c r="K2368" t="s">
        <v>13037</v>
      </c>
    </row>
    <row r="2369" spans="1:11" x14ac:dyDescent="0.25">
      <c r="A2369" s="122">
        <v>2368</v>
      </c>
      <c r="B2369" t="s">
        <v>671</v>
      </c>
      <c r="C2369" s="122" t="s">
        <v>183</v>
      </c>
      <c r="D2369" t="s">
        <v>12950</v>
      </c>
      <c r="E2369" s="111" t="s">
        <v>13038</v>
      </c>
      <c r="F2369" t="s">
        <v>13039</v>
      </c>
      <c r="G2369" t="s">
        <v>7998</v>
      </c>
      <c r="H2369" t="s">
        <v>13040</v>
      </c>
      <c r="I2369" s="80" t="s">
        <v>13041</v>
      </c>
      <c r="J2369" t="s">
        <v>9273</v>
      </c>
      <c r="K2369" t="s">
        <v>13042</v>
      </c>
    </row>
    <row r="2370" spans="1:11" x14ac:dyDescent="0.25">
      <c r="A2370" s="122">
        <v>2369</v>
      </c>
      <c r="B2370" t="s">
        <v>671</v>
      </c>
      <c r="C2370" s="122" t="s">
        <v>186</v>
      </c>
      <c r="D2370" t="s">
        <v>12886</v>
      </c>
      <c r="E2370" s="111" t="s">
        <v>13043</v>
      </c>
      <c r="F2370" t="s">
        <v>13044</v>
      </c>
      <c r="G2370" t="s">
        <v>9592</v>
      </c>
      <c r="H2370" s="80" t="s">
        <v>13045</v>
      </c>
      <c r="I2370" s="80" t="s">
        <v>13046</v>
      </c>
      <c r="J2370" t="s">
        <v>9401</v>
      </c>
      <c r="K2370" s="80" t="s">
        <v>13047</v>
      </c>
    </row>
    <row r="2371" spans="1:11" x14ac:dyDescent="0.25">
      <c r="A2371" s="122">
        <v>2370</v>
      </c>
      <c r="B2371" t="s">
        <v>671</v>
      </c>
      <c r="C2371" s="122" t="s">
        <v>188</v>
      </c>
      <c r="D2371" t="s">
        <v>12773</v>
      </c>
      <c r="E2371" s="111" t="s">
        <v>13048</v>
      </c>
      <c r="F2371" t="s">
        <v>13049</v>
      </c>
      <c r="G2371" t="s">
        <v>8118</v>
      </c>
      <c r="H2371" t="s">
        <v>13050</v>
      </c>
      <c r="I2371" s="80" t="s">
        <v>13051</v>
      </c>
      <c r="J2371" t="s">
        <v>9401</v>
      </c>
      <c r="K2371" s="111" t="s">
        <v>13052</v>
      </c>
    </row>
    <row r="2372" spans="1:11" x14ac:dyDescent="0.25">
      <c r="A2372" s="122">
        <v>2371</v>
      </c>
      <c r="B2372" t="s">
        <v>671</v>
      </c>
      <c r="C2372" s="122" t="s">
        <v>182</v>
      </c>
      <c r="D2372" t="s">
        <v>583</v>
      </c>
      <c r="E2372" t="s">
        <v>13053</v>
      </c>
      <c r="F2372" t="s">
        <v>7184</v>
      </c>
      <c r="G2372" t="s">
        <v>583</v>
      </c>
      <c r="H2372" t="s">
        <v>583</v>
      </c>
      <c r="I2372" t="s">
        <v>5490</v>
      </c>
      <c r="J2372" t="s">
        <v>583</v>
      </c>
      <c r="K2372" s="80" t="s">
        <v>6297</v>
      </c>
    </row>
    <row r="2373" spans="1:11" x14ac:dyDescent="0.25">
      <c r="A2373" s="122">
        <v>2372</v>
      </c>
      <c r="B2373" t="s">
        <v>671</v>
      </c>
      <c r="C2373" s="122" t="s">
        <v>184</v>
      </c>
      <c r="D2373" t="s">
        <v>12576</v>
      </c>
      <c r="E2373" t="s">
        <v>13054</v>
      </c>
      <c r="F2373" t="s">
        <v>2180</v>
      </c>
      <c r="G2373" t="s">
        <v>9363</v>
      </c>
      <c r="H2373" t="s">
        <v>13055</v>
      </c>
      <c r="I2373" s="80" t="s">
        <v>13056</v>
      </c>
      <c r="J2373" t="s">
        <v>9366</v>
      </c>
      <c r="K2373" t="s">
        <v>13057</v>
      </c>
    </row>
    <row r="2374" spans="1:11" x14ac:dyDescent="0.25">
      <c r="A2374" s="122">
        <v>2373</v>
      </c>
      <c r="B2374" t="s">
        <v>671</v>
      </c>
      <c r="C2374" s="122" t="s">
        <v>187</v>
      </c>
      <c r="D2374" t="s">
        <v>12826</v>
      </c>
      <c r="E2374" t="s">
        <v>13058</v>
      </c>
      <c r="F2374" t="s">
        <v>11143</v>
      </c>
      <c r="G2374" t="s">
        <v>8096</v>
      </c>
      <c r="H2374" s="80" t="s">
        <v>13059</v>
      </c>
      <c r="I2374" s="80" t="s">
        <v>13060</v>
      </c>
      <c r="J2374" t="s">
        <v>9300</v>
      </c>
      <c r="K2374" t="s">
        <v>13061</v>
      </c>
    </row>
    <row r="2375" spans="1:11" x14ac:dyDescent="0.25">
      <c r="A2375" s="122">
        <v>2374</v>
      </c>
      <c r="B2375" t="s">
        <v>671</v>
      </c>
      <c r="C2375" s="122" t="s">
        <v>189</v>
      </c>
      <c r="D2375" t="s">
        <v>13062</v>
      </c>
      <c r="E2375" t="s">
        <v>13063</v>
      </c>
      <c r="F2375" t="s">
        <v>10634</v>
      </c>
      <c r="G2375" t="s">
        <v>8071</v>
      </c>
      <c r="H2375" t="s">
        <v>13064</v>
      </c>
      <c r="I2375" s="80" t="s">
        <v>13065</v>
      </c>
      <c r="J2375" t="s">
        <v>9382</v>
      </c>
      <c r="K2375" t="s">
        <v>13066</v>
      </c>
    </row>
    <row r="2376" spans="1:11" x14ac:dyDescent="0.25">
      <c r="A2376" s="122">
        <v>2375</v>
      </c>
      <c r="B2376" t="s">
        <v>672</v>
      </c>
      <c r="C2376" s="122" t="s">
        <v>162</v>
      </c>
      <c r="D2376" t="s">
        <v>3170</v>
      </c>
      <c r="E2376" s="80" t="s">
        <v>13067</v>
      </c>
      <c r="F2376" t="s">
        <v>6741</v>
      </c>
      <c r="G2376" t="s">
        <v>8071</v>
      </c>
      <c r="H2376" t="s">
        <v>2882</v>
      </c>
      <c r="I2376" t="s">
        <v>12967</v>
      </c>
      <c r="J2376" t="s">
        <v>5861</v>
      </c>
      <c r="K2376" t="s">
        <v>13068</v>
      </c>
    </row>
    <row r="2377" spans="1:11" x14ac:dyDescent="0.25">
      <c r="A2377" s="122">
        <v>2376</v>
      </c>
      <c r="B2377" t="s">
        <v>672</v>
      </c>
      <c r="C2377" s="122" t="s">
        <v>170</v>
      </c>
      <c r="D2377" t="s">
        <v>12730</v>
      </c>
      <c r="E2377" t="s">
        <v>13069</v>
      </c>
      <c r="F2377" t="s">
        <v>13070</v>
      </c>
      <c r="G2377" t="s">
        <v>8366</v>
      </c>
      <c r="H2377" t="s">
        <v>13071</v>
      </c>
      <c r="I2377" s="80" t="s">
        <v>13072</v>
      </c>
      <c r="J2377" t="s">
        <v>6627</v>
      </c>
      <c r="K2377" t="s">
        <v>12052</v>
      </c>
    </row>
    <row r="2378" spans="1:11" x14ac:dyDescent="0.25">
      <c r="A2378" s="122">
        <v>2377</v>
      </c>
      <c r="B2378" t="s">
        <v>672</v>
      </c>
      <c r="C2378" s="122" t="s">
        <v>178</v>
      </c>
      <c r="D2378" t="s">
        <v>12762</v>
      </c>
      <c r="E2378" t="s">
        <v>13073</v>
      </c>
      <c r="F2378" t="s">
        <v>13074</v>
      </c>
      <c r="G2378" t="s">
        <v>8071</v>
      </c>
      <c r="H2378" t="s">
        <v>13075</v>
      </c>
      <c r="I2378" s="80" t="s">
        <v>13076</v>
      </c>
      <c r="J2378" t="s">
        <v>9655</v>
      </c>
      <c r="K2378" t="s">
        <v>13077</v>
      </c>
    </row>
    <row r="2379" spans="1:11" x14ac:dyDescent="0.25">
      <c r="A2379" s="122">
        <v>2378</v>
      </c>
      <c r="B2379" t="s">
        <v>672</v>
      </c>
      <c r="C2379" s="122" t="s">
        <v>163</v>
      </c>
      <c r="D2379" t="s">
        <v>4254</v>
      </c>
      <c r="E2379" s="80" t="s">
        <v>13078</v>
      </c>
      <c r="F2379" t="s">
        <v>13079</v>
      </c>
      <c r="G2379" t="s">
        <v>10191</v>
      </c>
      <c r="H2379" t="s">
        <v>13080</v>
      </c>
      <c r="I2379" s="80" t="s">
        <v>13081</v>
      </c>
      <c r="J2379" t="s">
        <v>9655</v>
      </c>
      <c r="K2379" s="80" t="s">
        <v>13082</v>
      </c>
    </row>
    <row r="2380" spans="1:11" x14ac:dyDescent="0.25">
      <c r="A2380" s="122">
        <v>2379</v>
      </c>
      <c r="B2380" t="s">
        <v>672</v>
      </c>
      <c r="C2380" s="122" t="s">
        <v>181</v>
      </c>
      <c r="D2380" t="s">
        <v>12736</v>
      </c>
      <c r="E2380" s="111" t="s">
        <v>13083</v>
      </c>
      <c r="F2380" t="s">
        <v>9843</v>
      </c>
      <c r="G2380" t="s">
        <v>8366</v>
      </c>
      <c r="H2380" t="s">
        <v>13084</v>
      </c>
      <c r="I2380" t="s">
        <v>13085</v>
      </c>
      <c r="J2380" t="s">
        <v>9705</v>
      </c>
      <c r="K2380" t="s">
        <v>13086</v>
      </c>
    </row>
    <row r="2381" spans="1:11" x14ac:dyDescent="0.25">
      <c r="A2381" s="122">
        <v>2380</v>
      </c>
      <c r="B2381" t="s">
        <v>672</v>
      </c>
      <c r="C2381" s="122" t="s">
        <v>183</v>
      </c>
      <c r="D2381" t="s">
        <v>12886</v>
      </c>
      <c r="E2381" s="111" t="s">
        <v>13087</v>
      </c>
      <c r="F2381" t="s">
        <v>13088</v>
      </c>
      <c r="G2381" t="s">
        <v>8118</v>
      </c>
      <c r="H2381" s="80" t="s">
        <v>13089</v>
      </c>
      <c r="I2381" s="80" t="s">
        <v>13090</v>
      </c>
      <c r="J2381" t="s">
        <v>9615</v>
      </c>
      <c r="K2381" s="80" t="s">
        <v>13091</v>
      </c>
    </row>
    <row r="2382" spans="1:11" x14ac:dyDescent="0.25">
      <c r="A2382" s="122">
        <v>2381</v>
      </c>
      <c r="B2382" t="s">
        <v>672</v>
      </c>
      <c r="C2382" s="122" t="s">
        <v>186</v>
      </c>
      <c r="D2382" t="s">
        <v>5705</v>
      </c>
      <c r="E2382" s="111" t="s">
        <v>13092</v>
      </c>
      <c r="F2382" t="s">
        <v>13093</v>
      </c>
      <c r="G2382" t="s">
        <v>7959</v>
      </c>
      <c r="H2382" s="80" t="s">
        <v>13094</v>
      </c>
      <c r="I2382" s="80" t="s">
        <v>13095</v>
      </c>
      <c r="J2382" t="s">
        <v>9556</v>
      </c>
      <c r="K2382" s="80" t="s">
        <v>13096</v>
      </c>
    </row>
    <row r="2383" spans="1:11" x14ac:dyDescent="0.25">
      <c r="A2383" s="122">
        <v>2382</v>
      </c>
      <c r="B2383" t="s">
        <v>672</v>
      </c>
      <c r="C2383" s="122" t="s">
        <v>188</v>
      </c>
      <c r="D2383" t="s">
        <v>13097</v>
      </c>
      <c r="E2383" s="111" t="s">
        <v>13098</v>
      </c>
      <c r="F2383" t="s">
        <v>13099</v>
      </c>
      <c r="G2383" t="s">
        <v>7998</v>
      </c>
      <c r="H2383" s="80" t="s">
        <v>13100</v>
      </c>
      <c r="I2383" s="80" t="s">
        <v>13101</v>
      </c>
      <c r="J2383" t="s">
        <v>4311</v>
      </c>
      <c r="K2383" s="80" t="s">
        <v>13102</v>
      </c>
    </row>
    <row r="2384" spans="1:11" x14ac:dyDescent="0.25">
      <c r="A2384" s="122">
        <v>2383</v>
      </c>
      <c r="B2384" t="s">
        <v>672</v>
      </c>
      <c r="C2384" s="122" t="s">
        <v>182</v>
      </c>
      <c r="D2384" t="s">
        <v>583</v>
      </c>
      <c r="E2384" t="s">
        <v>13103</v>
      </c>
      <c r="F2384" t="s">
        <v>5797</v>
      </c>
      <c r="G2384" t="s">
        <v>583</v>
      </c>
      <c r="H2384" t="s">
        <v>583</v>
      </c>
      <c r="I2384" t="s">
        <v>13104</v>
      </c>
      <c r="J2384" t="s">
        <v>583</v>
      </c>
      <c r="K2384" s="80" t="s">
        <v>6297</v>
      </c>
    </row>
    <row r="2385" spans="1:11" x14ac:dyDescent="0.25">
      <c r="A2385" s="122">
        <v>2384</v>
      </c>
      <c r="B2385" t="s">
        <v>672</v>
      </c>
      <c r="C2385" s="122" t="s">
        <v>184</v>
      </c>
      <c r="D2385" t="s">
        <v>12758</v>
      </c>
      <c r="E2385" t="s">
        <v>13105</v>
      </c>
      <c r="F2385" t="s">
        <v>13106</v>
      </c>
      <c r="G2385" t="s">
        <v>8071</v>
      </c>
      <c r="H2385" s="80" t="s">
        <v>13107</v>
      </c>
      <c r="I2385" s="80" t="s">
        <v>13108</v>
      </c>
      <c r="J2385" t="s">
        <v>9941</v>
      </c>
      <c r="K2385" t="s">
        <v>8074</v>
      </c>
    </row>
    <row r="2386" spans="1:11" x14ac:dyDescent="0.25">
      <c r="A2386" s="122">
        <v>2385</v>
      </c>
      <c r="B2386" t="s">
        <v>672</v>
      </c>
      <c r="C2386" s="122" t="s">
        <v>187</v>
      </c>
      <c r="D2386" t="s">
        <v>1742</v>
      </c>
      <c r="E2386" t="s">
        <v>13109</v>
      </c>
      <c r="F2386" t="s">
        <v>13110</v>
      </c>
      <c r="G2386" t="s">
        <v>8096</v>
      </c>
      <c r="H2386" s="80" t="s">
        <v>13111</v>
      </c>
      <c r="I2386" s="80" t="s">
        <v>13112</v>
      </c>
      <c r="J2386" t="s">
        <v>10927</v>
      </c>
      <c r="K2386" t="s">
        <v>9912</v>
      </c>
    </row>
    <row r="2387" spans="1:11" x14ac:dyDescent="0.25">
      <c r="A2387" s="122">
        <v>2386</v>
      </c>
      <c r="B2387" t="s">
        <v>672</v>
      </c>
      <c r="C2387" s="122" t="s">
        <v>189</v>
      </c>
      <c r="D2387" t="s">
        <v>12455</v>
      </c>
      <c r="E2387" t="s">
        <v>13113</v>
      </c>
      <c r="F2387" t="s">
        <v>13114</v>
      </c>
      <c r="G2387" t="s">
        <v>10160</v>
      </c>
      <c r="H2387" s="80" t="s">
        <v>13115</v>
      </c>
      <c r="I2387" s="80" t="s">
        <v>13116</v>
      </c>
      <c r="J2387" t="s">
        <v>9880</v>
      </c>
      <c r="K2387" t="s">
        <v>9912</v>
      </c>
    </row>
    <row r="2388" spans="1:11" x14ac:dyDescent="0.25">
      <c r="A2388" s="122">
        <v>2387</v>
      </c>
      <c r="B2388" t="s">
        <v>673</v>
      </c>
      <c r="C2388" s="122" t="s">
        <v>162</v>
      </c>
      <c r="D2388" t="s">
        <v>10867</v>
      </c>
      <c r="E2388" s="111" t="s">
        <v>13117</v>
      </c>
      <c r="F2388" t="s">
        <v>3765</v>
      </c>
      <c r="G2388" t="s">
        <v>8047</v>
      </c>
      <c r="H2388" t="s">
        <v>4944</v>
      </c>
      <c r="I2388" t="s">
        <v>8362</v>
      </c>
      <c r="J2388" t="s">
        <v>9341</v>
      </c>
      <c r="K2388" t="s">
        <v>13118</v>
      </c>
    </row>
    <row r="2389" spans="1:11" x14ac:dyDescent="0.25">
      <c r="A2389" s="122">
        <v>2388</v>
      </c>
      <c r="B2389" t="s">
        <v>673</v>
      </c>
      <c r="C2389" s="122" t="s">
        <v>170</v>
      </c>
      <c r="D2389" t="s">
        <v>9366</v>
      </c>
      <c r="E2389" s="80" t="s">
        <v>13119</v>
      </c>
      <c r="F2389" t="s">
        <v>13120</v>
      </c>
      <c r="G2389" t="s">
        <v>9270</v>
      </c>
      <c r="H2389" t="s">
        <v>13121</v>
      </c>
      <c r="I2389" s="80" t="s">
        <v>13122</v>
      </c>
      <c r="J2389" t="s">
        <v>11475</v>
      </c>
      <c r="K2389" t="s">
        <v>13123</v>
      </c>
    </row>
    <row r="2390" spans="1:11" x14ac:dyDescent="0.25">
      <c r="A2390" s="122">
        <v>2389</v>
      </c>
      <c r="B2390" t="s">
        <v>673</v>
      </c>
      <c r="C2390" s="122" t="s">
        <v>178</v>
      </c>
      <c r="D2390" t="s">
        <v>13124</v>
      </c>
      <c r="E2390" s="80" t="s">
        <v>13125</v>
      </c>
      <c r="F2390" s="80" t="s">
        <v>13126</v>
      </c>
      <c r="G2390" t="s">
        <v>8077</v>
      </c>
      <c r="H2390" s="80" t="s">
        <v>13127</v>
      </c>
      <c r="I2390" s="80" t="s">
        <v>13128</v>
      </c>
      <c r="J2390" t="s">
        <v>11119</v>
      </c>
      <c r="K2390" t="s">
        <v>13129</v>
      </c>
    </row>
    <row r="2391" spans="1:11" x14ac:dyDescent="0.25">
      <c r="A2391" s="122">
        <v>2390</v>
      </c>
      <c r="B2391" t="s">
        <v>673</v>
      </c>
      <c r="C2391" s="122" t="s">
        <v>163</v>
      </c>
      <c r="D2391" t="s">
        <v>13130</v>
      </c>
      <c r="E2391" s="80" t="s">
        <v>13131</v>
      </c>
      <c r="F2391" t="s">
        <v>13132</v>
      </c>
      <c r="G2391" t="s">
        <v>8077</v>
      </c>
      <c r="H2391" s="80" t="s">
        <v>13133</v>
      </c>
      <c r="I2391" s="80" t="s">
        <v>13134</v>
      </c>
      <c r="J2391" t="s">
        <v>10562</v>
      </c>
      <c r="K2391" s="89" t="s">
        <v>582</v>
      </c>
    </row>
    <row r="2392" spans="1:11" x14ac:dyDescent="0.25">
      <c r="A2392" s="122">
        <v>2391</v>
      </c>
      <c r="B2392" t="s">
        <v>673</v>
      </c>
      <c r="C2392" s="122" t="s">
        <v>181</v>
      </c>
      <c r="D2392" t="s">
        <v>13135</v>
      </c>
      <c r="E2392" s="80" t="s">
        <v>13136</v>
      </c>
      <c r="F2392" t="s">
        <v>5721</v>
      </c>
      <c r="G2392" t="s">
        <v>9317</v>
      </c>
      <c r="H2392" t="s">
        <v>13137</v>
      </c>
      <c r="I2392" t="s">
        <v>13138</v>
      </c>
      <c r="J2392" t="s">
        <v>10548</v>
      </c>
      <c r="K2392" t="s">
        <v>13139</v>
      </c>
    </row>
    <row r="2393" spans="1:11" x14ac:dyDescent="0.25">
      <c r="A2393" s="122">
        <v>2392</v>
      </c>
      <c r="B2393" t="s">
        <v>673</v>
      </c>
      <c r="C2393" s="122" t="s">
        <v>183</v>
      </c>
      <c r="D2393" t="s">
        <v>4277</v>
      </c>
      <c r="E2393" t="s">
        <v>13140</v>
      </c>
      <c r="F2393" t="s">
        <v>13141</v>
      </c>
      <c r="G2393" t="s">
        <v>9317</v>
      </c>
      <c r="H2393" t="s">
        <v>13142</v>
      </c>
      <c r="I2393" s="80" t="s">
        <v>12664</v>
      </c>
      <c r="J2393" t="s">
        <v>10686</v>
      </c>
      <c r="K2393" t="s">
        <v>13143</v>
      </c>
    </row>
    <row r="2394" spans="1:11" x14ac:dyDescent="0.25">
      <c r="A2394" s="122">
        <v>2393</v>
      </c>
      <c r="B2394" t="s">
        <v>673</v>
      </c>
      <c r="C2394" s="122" t="s">
        <v>186</v>
      </c>
      <c r="D2394" t="s">
        <v>12543</v>
      </c>
      <c r="E2394" t="s">
        <v>13144</v>
      </c>
      <c r="F2394" t="s">
        <v>13145</v>
      </c>
      <c r="G2394" t="s">
        <v>7992</v>
      </c>
      <c r="H2394" t="s">
        <v>13146</v>
      </c>
      <c r="I2394" s="80" t="s">
        <v>13147</v>
      </c>
      <c r="J2394" t="s">
        <v>11350</v>
      </c>
      <c r="K2394" t="s">
        <v>13148</v>
      </c>
    </row>
    <row r="2395" spans="1:11" x14ac:dyDescent="0.25">
      <c r="A2395" s="122">
        <v>2394</v>
      </c>
      <c r="B2395" t="s">
        <v>673</v>
      </c>
      <c r="C2395" s="122" t="s">
        <v>188</v>
      </c>
      <c r="D2395" t="s">
        <v>13149</v>
      </c>
      <c r="E2395" s="80" t="s">
        <v>13150</v>
      </c>
      <c r="F2395" t="s">
        <v>13151</v>
      </c>
      <c r="G2395" t="s">
        <v>8047</v>
      </c>
      <c r="H2395" t="s">
        <v>13152</v>
      </c>
      <c r="I2395" s="80" t="s">
        <v>13153</v>
      </c>
      <c r="J2395" t="s">
        <v>11119</v>
      </c>
      <c r="K2395" s="80" t="s">
        <v>13154</v>
      </c>
    </row>
    <row r="2396" spans="1:11" x14ac:dyDescent="0.25">
      <c r="A2396" s="122">
        <v>2395</v>
      </c>
      <c r="B2396" t="s">
        <v>673</v>
      </c>
      <c r="C2396" s="122" t="s">
        <v>182</v>
      </c>
      <c r="D2396" s="80" t="s">
        <v>6237</v>
      </c>
      <c r="E2396" t="s">
        <v>13155</v>
      </c>
      <c r="F2396" t="s">
        <v>6019</v>
      </c>
      <c r="G2396" t="s">
        <v>4437</v>
      </c>
      <c r="H2396" t="s">
        <v>10830</v>
      </c>
      <c r="I2396" t="s">
        <v>11405</v>
      </c>
      <c r="J2396" t="s">
        <v>9037</v>
      </c>
      <c r="K2396" t="s">
        <v>7184</v>
      </c>
    </row>
    <row r="2397" spans="1:11" x14ac:dyDescent="0.25">
      <c r="A2397" s="122">
        <v>2396</v>
      </c>
      <c r="B2397" t="s">
        <v>673</v>
      </c>
      <c r="C2397" s="122" t="s">
        <v>184</v>
      </c>
      <c r="D2397" t="s">
        <v>7395</v>
      </c>
      <c r="E2397" t="s">
        <v>13156</v>
      </c>
      <c r="F2397" t="s">
        <v>12703</v>
      </c>
      <c r="G2397" t="s">
        <v>8366</v>
      </c>
      <c r="H2397" t="s">
        <v>13157</v>
      </c>
      <c r="I2397" s="80" t="s">
        <v>13158</v>
      </c>
      <c r="J2397" t="s">
        <v>9323</v>
      </c>
      <c r="K2397" t="s">
        <v>13159</v>
      </c>
    </row>
    <row r="2398" spans="1:11" x14ac:dyDescent="0.25">
      <c r="A2398" s="122">
        <v>2397</v>
      </c>
      <c r="B2398" t="s">
        <v>673</v>
      </c>
      <c r="C2398" s="122" t="s">
        <v>187</v>
      </c>
      <c r="D2398" t="s">
        <v>13160</v>
      </c>
      <c r="E2398" t="s">
        <v>13161</v>
      </c>
      <c r="F2398" t="s">
        <v>13162</v>
      </c>
      <c r="G2398" t="s">
        <v>7992</v>
      </c>
      <c r="H2398" s="80" t="s">
        <v>13163</v>
      </c>
      <c r="I2398" s="80" t="s">
        <v>13164</v>
      </c>
      <c r="J2398" t="s">
        <v>11475</v>
      </c>
      <c r="K2398" t="s">
        <v>13165</v>
      </c>
    </row>
    <row r="2399" spans="1:11" x14ac:dyDescent="0.25">
      <c r="A2399" s="122">
        <v>2398</v>
      </c>
      <c r="B2399" t="s">
        <v>673</v>
      </c>
      <c r="C2399" s="122" t="s">
        <v>189</v>
      </c>
      <c r="D2399" t="s">
        <v>13166</v>
      </c>
      <c r="E2399" t="s">
        <v>13167</v>
      </c>
      <c r="F2399" t="s">
        <v>8581</v>
      </c>
      <c r="G2399" t="s">
        <v>9646</v>
      </c>
      <c r="H2399" t="s">
        <v>13168</v>
      </c>
      <c r="I2399" s="80" t="s">
        <v>13169</v>
      </c>
      <c r="J2399" t="s">
        <v>10686</v>
      </c>
      <c r="K2399" t="s">
        <v>13170</v>
      </c>
    </row>
    <row r="2400" spans="1:11" x14ac:dyDescent="0.25">
      <c r="A2400" s="122">
        <v>2399</v>
      </c>
      <c r="B2400">
        <v>1091</v>
      </c>
      <c r="C2400" s="122" t="s">
        <v>162</v>
      </c>
      <c r="D2400" t="s">
        <v>12411</v>
      </c>
      <c r="E2400" s="111" t="s">
        <v>13171</v>
      </c>
      <c r="F2400" t="s">
        <v>8046</v>
      </c>
      <c r="G2400" t="s">
        <v>9502</v>
      </c>
      <c r="H2400" t="s">
        <v>13172</v>
      </c>
      <c r="I2400" t="s">
        <v>13173</v>
      </c>
      <c r="J2400" t="s">
        <v>11475</v>
      </c>
      <c r="K2400" t="s">
        <v>9411</v>
      </c>
    </row>
    <row r="2401" spans="1:11" x14ac:dyDescent="0.25">
      <c r="A2401" s="122">
        <v>2400</v>
      </c>
      <c r="B2401">
        <v>1091</v>
      </c>
      <c r="C2401" s="122" t="s">
        <v>170</v>
      </c>
      <c r="D2401" t="s">
        <v>4518</v>
      </c>
      <c r="E2401" s="80" t="s">
        <v>13174</v>
      </c>
      <c r="F2401" t="s">
        <v>13175</v>
      </c>
      <c r="G2401" t="s">
        <v>8090</v>
      </c>
      <c r="H2401" t="s">
        <v>13176</v>
      </c>
      <c r="I2401" s="80" t="s">
        <v>13177</v>
      </c>
      <c r="J2401" t="s">
        <v>9705</v>
      </c>
      <c r="K2401" t="s">
        <v>13178</v>
      </c>
    </row>
    <row r="2402" spans="1:11" x14ac:dyDescent="0.25">
      <c r="A2402" s="122">
        <v>2401</v>
      </c>
      <c r="B2402">
        <v>1091</v>
      </c>
      <c r="C2402" s="122" t="s">
        <v>178</v>
      </c>
      <c r="D2402" t="s">
        <v>13179</v>
      </c>
      <c r="E2402" s="80" t="s">
        <v>13180</v>
      </c>
      <c r="F2402" t="s">
        <v>13181</v>
      </c>
      <c r="G2402" t="s">
        <v>8344</v>
      </c>
      <c r="H2402" s="80" t="s">
        <v>13182</v>
      </c>
      <c r="I2402" s="80" t="s">
        <v>13183</v>
      </c>
      <c r="J2402" t="s">
        <v>11460</v>
      </c>
      <c r="K2402" t="s">
        <v>13184</v>
      </c>
    </row>
    <row r="2403" spans="1:11" x14ac:dyDescent="0.25">
      <c r="A2403" s="122">
        <v>2402</v>
      </c>
      <c r="B2403">
        <v>1091</v>
      </c>
      <c r="C2403" s="122" t="s">
        <v>163</v>
      </c>
      <c r="D2403" t="s">
        <v>13185</v>
      </c>
      <c r="E2403" s="80" t="s">
        <v>13186</v>
      </c>
      <c r="F2403" t="s">
        <v>13187</v>
      </c>
      <c r="G2403" t="s">
        <v>7998</v>
      </c>
      <c r="H2403" s="80" t="s">
        <v>13188</v>
      </c>
      <c r="I2403" s="80" t="s">
        <v>13189</v>
      </c>
      <c r="J2403" t="s">
        <v>10185</v>
      </c>
      <c r="K2403" s="80" t="s">
        <v>13190</v>
      </c>
    </row>
    <row r="2404" spans="1:11" x14ac:dyDescent="0.25">
      <c r="A2404" s="122">
        <v>2403</v>
      </c>
      <c r="B2404">
        <v>1091</v>
      </c>
      <c r="C2404" s="122" t="s">
        <v>181</v>
      </c>
      <c r="D2404" t="s">
        <v>9366</v>
      </c>
      <c r="E2404" s="111" t="s">
        <v>13191</v>
      </c>
      <c r="F2404" t="s">
        <v>8217</v>
      </c>
      <c r="G2404" t="s">
        <v>7992</v>
      </c>
      <c r="H2404" t="s">
        <v>13192</v>
      </c>
      <c r="I2404" t="s">
        <v>13193</v>
      </c>
      <c r="J2404" t="s">
        <v>9239</v>
      </c>
      <c r="K2404" t="s">
        <v>13194</v>
      </c>
    </row>
    <row r="2405" spans="1:11" x14ac:dyDescent="0.25">
      <c r="A2405" s="130">
        <v>2404</v>
      </c>
      <c r="B2405">
        <v>1091</v>
      </c>
      <c r="C2405" s="122" t="s">
        <v>183</v>
      </c>
      <c r="D2405" t="s">
        <v>12609</v>
      </c>
      <c r="E2405" s="80" t="s">
        <v>13195</v>
      </c>
      <c r="F2405" t="s">
        <v>13196</v>
      </c>
      <c r="G2405" t="s">
        <v>8332</v>
      </c>
      <c r="H2405" t="s">
        <v>13197</v>
      </c>
      <c r="I2405" s="80" t="s">
        <v>13198</v>
      </c>
      <c r="J2405" t="s">
        <v>11460</v>
      </c>
      <c r="K2405" t="s">
        <v>13199</v>
      </c>
    </row>
    <row r="2406" spans="1:11" x14ac:dyDescent="0.25">
      <c r="A2406" s="131">
        <v>2405</v>
      </c>
      <c r="B2406">
        <v>1091</v>
      </c>
      <c r="C2406" s="122" t="s">
        <v>186</v>
      </c>
      <c r="D2406" t="s">
        <v>3938</v>
      </c>
      <c r="E2406" s="80" t="s">
        <v>13200</v>
      </c>
      <c r="F2406" t="s">
        <v>13201</v>
      </c>
      <c r="G2406" t="s">
        <v>8020</v>
      </c>
      <c r="H2406" s="80" t="s">
        <v>13202</v>
      </c>
      <c r="I2406" s="80" t="s">
        <v>9081</v>
      </c>
      <c r="J2406" t="s">
        <v>9615</v>
      </c>
      <c r="K2406" s="80" t="s">
        <v>13203</v>
      </c>
    </row>
    <row r="2407" spans="1:11" x14ac:dyDescent="0.25">
      <c r="A2407" s="122">
        <v>2406</v>
      </c>
      <c r="B2407">
        <v>1091</v>
      </c>
      <c r="C2407" s="122" t="s">
        <v>188</v>
      </c>
      <c r="D2407" t="s">
        <v>12455</v>
      </c>
      <c r="E2407" s="111" t="s">
        <v>13204</v>
      </c>
      <c r="F2407" t="s">
        <v>13205</v>
      </c>
      <c r="G2407" t="s">
        <v>9270</v>
      </c>
      <c r="H2407" t="s">
        <v>13206</v>
      </c>
      <c r="I2407" s="80" t="s">
        <v>13207</v>
      </c>
      <c r="J2407" t="s">
        <v>10562</v>
      </c>
      <c r="K2407" s="80" t="s">
        <v>13208</v>
      </c>
    </row>
    <row r="2408" spans="1:11" x14ac:dyDescent="0.25">
      <c r="A2408" s="122">
        <v>2407</v>
      </c>
      <c r="B2408">
        <v>1091</v>
      </c>
      <c r="C2408" s="122" t="s">
        <v>182</v>
      </c>
      <c r="D2408" t="s">
        <v>583</v>
      </c>
      <c r="E2408" t="s">
        <v>13209</v>
      </c>
      <c r="F2408" t="s">
        <v>6842</v>
      </c>
      <c r="G2408" t="s">
        <v>3786</v>
      </c>
      <c r="H2408" t="s">
        <v>6842</v>
      </c>
      <c r="I2408" t="s">
        <v>9602</v>
      </c>
      <c r="J2408" t="s">
        <v>11371</v>
      </c>
      <c r="K2408" t="s">
        <v>7184</v>
      </c>
    </row>
    <row r="2409" spans="1:11" x14ac:dyDescent="0.25">
      <c r="A2409" s="122">
        <v>2408</v>
      </c>
      <c r="B2409">
        <v>1091</v>
      </c>
      <c r="C2409" s="122" t="s">
        <v>184</v>
      </c>
      <c r="D2409" t="s">
        <v>4712</v>
      </c>
      <c r="E2409" s="80" t="s">
        <v>13210</v>
      </c>
      <c r="F2409" t="s">
        <v>4563</v>
      </c>
      <c r="G2409" t="s">
        <v>10191</v>
      </c>
      <c r="H2409" t="s">
        <v>13211</v>
      </c>
      <c r="I2409" s="80" t="s">
        <v>13212</v>
      </c>
      <c r="J2409" t="s">
        <v>6627</v>
      </c>
      <c r="K2409" t="s">
        <v>13213</v>
      </c>
    </row>
    <row r="2410" spans="1:11" x14ac:dyDescent="0.25">
      <c r="A2410" s="122">
        <v>2409</v>
      </c>
      <c r="B2410">
        <v>1091</v>
      </c>
      <c r="C2410" s="122" t="s">
        <v>187</v>
      </c>
      <c r="D2410" t="s">
        <v>13149</v>
      </c>
      <c r="E2410" s="80" t="s">
        <v>13186</v>
      </c>
      <c r="F2410" t="s">
        <v>6175</v>
      </c>
      <c r="G2410" t="s">
        <v>9502</v>
      </c>
      <c r="H2410" t="s">
        <v>13214</v>
      </c>
      <c r="I2410" s="80" t="s">
        <v>13215</v>
      </c>
      <c r="J2410" t="s">
        <v>9307</v>
      </c>
      <c r="K2410" t="s">
        <v>13216</v>
      </c>
    </row>
    <row r="2411" spans="1:11" x14ac:dyDescent="0.25">
      <c r="A2411" s="122">
        <v>2410</v>
      </c>
      <c r="B2411">
        <v>1091</v>
      </c>
      <c r="C2411" s="122" t="s">
        <v>189</v>
      </c>
      <c r="D2411" t="s">
        <v>9366</v>
      </c>
      <c r="E2411" s="80" t="s">
        <v>13217</v>
      </c>
      <c r="F2411" t="s">
        <v>13218</v>
      </c>
      <c r="G2411" t="s">
        <v>7992</v>
      </c>
      <c r="H2411" t="s">
        <v>13219</v>
      </c>
      <c r="I2411" s="80">
        <v>12143</v>
      </c>
      <c r="J2411" t="s">
        <v>10555</v>
      </c>
      <c r="K2411" t="s">
        <v>13220</v>
      </c>
    </row>
    <row r="2412" spans="1:11" x14ac:dyDescent="0.25">
      <c r="A2412" s="122">
        <v>2411</v>
      </c>
      <c r="B2412">
        <v>1092</v>
      </c>
      <c r="C2412" s="122" t="s">
        <v>162</v>
      </c>
      <c r="D2412" t="s">
        <v>12543</v>
      </c>
      <c r="E2412" s="111" t="s">
        <v>13221</v>
      </c>
      <c r="F2412" t="s">
        <v>6298</v>
      </c>
      <c r="G2412" t="s">
        <v>7443</v>
      </c>
      <c r="H2412" t="s">
        <v>10102</v>
      </c>
      <c r="I2412" t="s">
        <v>13222</v>
      </c>
      <c r="J2412" t="s">
        <v>10548</v>
      </c>
      <c r="K2412" t="s">
        <v>12234</v>
      </c>
    </row>
    <row r="2413" spans="1:11" x14ac:dyDescent="0.25">
      <c r="A2413" s="122">
        <v>2412</v>
      </c>
      <c r="B2413">
        <v>1092</v>
      </c>
      <c r="C2413" s="122" t="s">
        <v>170</v>
      </c>
      <c r="D2413" t="s">
        <v>13223</v>
      </c>
      <c r="E2413" s="80" t="s">
        <v>13224</v>
      </c>
      <c r="F2413" t="s">
        <v>13225</v>
      </c>
      <c r="G2413" t="s">
        <v>8344</v>
      </c>
      <c r="H2413" s="80" t="s">
        <v>13226</v>
      </c>
      <c r="I2413" s="80" t="s">
        <v>13227</v>
      </c>
      <c r="J2413" t="s">
        <v>11460</v>
      </c>
      <c r="K2413" t="s">
        <v>13228</v>
      </c>
    </row>
    <row r="2414" spans="1:11" x14ac:dyDescent="0.25">
      <c r="A2414" s="122">
        <v>2413</v>
      </c>
      <c r="B2414">
        <v>1092</v>
      </c>
      <c r="C2414" s="122" t="s">
        <v>178</v>
      </c>
      <c r="D2414" t="s">
        <v>13229</v>
      </c>
      <c r="E2414" s="80" t="s">
        <v>13230</v>
      </c>
      <c r="F2414" t="s">
        <v>13231</v>
      </c>
      <c r="G2414" t="s">
        <v>8158</v>
      </c>
      <c r="H2414" s="80" t="s">
        <v>13232</v>
      </c>
      <c r="I2414" s="80" t="s">
        <v>13233</v>
      </c>
      <c r="J2414" t="s">
        <v>11257</v>
      </c>
      <c r="K2414" t="s">
        <v>13234</v>
      </c>
    </row>
    <row r="2415" spans="1:11" x14ac:dyDescent="0.25">
      <c r="A2415" s="122">
        <v>2414</v>
      </c>
      <c r="B2415">
        <v>1092</v>
      </c>
      <c r="C2415" s="122" t="s">
        <v>163</v>
      </c>
      <c r="D2415" t="s">
        <v>12464</v>
      </c>
      <c r="E2415" s="80" t="s">
        <v>13235</v>
      </c>
      <c r="F2415" t="s">
        <v>13236</v>
      </c>
      <c r="G2415" t="s">
        <v>7987</v>
      </c>
      <c r="H2415" s="80" t="s">
        <v>13237</v>
      </c>
      <c r="I2415" s="80" t="s">
        <v>13238</v>
      </c>
      <c r="J2415" t="s">
        <v>9615</v>
      </c>
      <c r="K2415" s="80" t="s">
        <v>13239</v>
      </c>
    </row>
    <row r="2416" spans="1:11" x14ac:dyDescent="0.25">
      <c r="A2416" s="122">
        <v>2415</v>
      </c>
      <c r="B2416">
        <v>1092</v>
      </c>
      <c r="C2416" s="122" t="s">
        <v>181</v>
      </c>
      <c r="D2416" t="s">
        <v>13240</v>
      </c>
      <c r="E2416" s="111" t="s">
        <v>13241</v>
      </c>
      <c r="F2416" t="s">
        <v>3765</v>
      </c>
      <c r="G2416" t="s">
        <v>10191</v>
      </c>
      <c r="H2416" t="s">
        <v>13242</v>
      </c>
      <c r="I2416" t="s">
        <v>13243</v>
      </c>
      <c r="J2416" t="s">
        <v>9300</v>
      </c>
      <c r="K2416" t="s">
        <v>13244</v>
      </c>
    </row>
    <row r="2417" spans="1:11" x14ac:dyDescent="0.25">
      <c r="A2417" s="122">
        <v>2416</v>
      </c>
      <c r="B2417">
        <v>1092</v>
      </c>
      <c r="C2417" s="122" t="s">
        <v>183</v>
      </c>
      <c r="D2417" t="s">
        <v>3938</v>
      </c>
      <c r="E2417" s="80" t="s">
        <v>13245</v>
      </c>
      <c r="F2417" t="s">
        <v>13246</v>
      </c>
      <c r="G2417" t="s">
        <v>8158</v>
      </c>
      <c r="H2417" s="80" t="s">
        <v>13247</v>
      </c>
      <c r="I2417" s="80" t="s">
        <v>13248</v>
      </c>
      <c r="J2417" t="s">
        <v>9575</v>
      </c>
      <c r="K2417" s="111" t="s">
        <v>1322</v>
      </c>
    </row>
    <row r="2418" spans="1:11" x14ac:dyDescent="0.25">
      <c r="A2418" s="122">
        <v>2417</v>
      </c>
      <c r="B2418">
        <v>1092</v>
      </c>
      <c r="C2418" s="122" t="s">
        <v>186</v>
      </c>
      <c r="D2418" t="s">
        <v>12676</v>
      </c>
      <c r="E2418" s="80" t="s">
        <v>13249</v>
      </c>
      <c r="F2418" t="s">
        <v>13250</v>
      </c>
      <c r="G2418" t="s">
        <v>8090</v>
      </c>
      <c r="H2418" s="80" t="s">
        <v>13251</v>
      </c>
      <c r="I2418" s="80" t="s">
        <v>13252</v>
      </c>
      <c r="J2418" t="s">
        <v>4311</v>
      </c>
      <c r="K2418" s="111" t="s">
        <v>13253</v>
      </c>
    </row>
    <row r="2419" spans="1:11" x14ac:dyDescent="0.25">
      <c r="A2419" s="122">
        <v>2418</v>
      </c>
      <c r="B2419">
        <v>1092</v>
      </c>
      <c r="C2419" s="122" t="s">
        <v>188</v>
      </c>
      <c r="D2419" t="s">
        <v>13254</v>
      </c>
      <c r="E2419" s="111" t="s">
        <v>13255</v>
      </c>
      <c r="F2419" t="s">
        <v>13256</v>
      </c>
      <c r="G2419" t="s">
        <v>8118</v>
      </c>
      <c r="H2419" s="80" t="s">
        <v>13257</v>
      </c>
      <c r="I2419" s="80" t="s">
        <v>13258</v>
      </c>
      <c r="J2419" t="s">
        <v>13259</v>
      </c>
      <c r="K2419" s="111" t="s">
        <v>13260</v>
      </c>
    </row>
    <row r="2420" spans="1:11" x14ac:dyDescent="0.25">
      <c r="A2420" s="122">
        <v>2419</v>
      </c>
      <c r="B2420">
        <v>1092</v>
      </c>
      <c r="C2420" s="122" t="s">
        <v>182</v>
      </c>
      <c r="D2420" t="s">
        <v>583</v>
      </c>
      <c r="E2420" t="s">
        <v>13261</v>
      </c>
      <c r="F2420" t="s">
        <v>7184</v>
      </c>
      <c r="G2420" t="s">
        <v>9233</v>
      </c>
      <c r="H2420" t="s">
        <v>6178</v>
      </c>
      <c r="I2420" t="s">
        <v>13262</v>
      </c>
      <c r="J2420" t="s">
        <v>9037</v>
      </c>
      <c r="K2420" t="s">
        <v>6842</v>
      </c>
    </row>
    <row r="2421" spans="1:11" x14ac:dyDescent="0.25">
      <c r="A2421" s="122">
        <v>2420</v>
      </c>
      <c r="B2421">
        <v>1092</v>
      </c>
      <c r="C2421" s="122" t="s">
        <v>184</v>
      </c>
      <c r="D2421" t="s">
        <v>13149</v>
      </c>
      <c r="E2421" s="111" t="s">
        <v>13263</v>
      </c>
      <c r="F2421" t="s">
        <v>13264</v>
      </c>
      <c r="G2421" t="s">
        <v>8090</v>
      </c>
      <c r="H2421" t="s">
        <v>13265</v>
      </c>
      <c r="I2421" s="80" t="s">
        <v>13266</v>
      </c>
      <c r="J2421" t="s">
        <v>9213</v>
      </c>
      <c r="K2421" t="s">
        <v>13267</v>
      </c>
    </row>
    <row r="2422" spans="1:11" x14ac:dyDescent="0.25">
      <c r="A2422" s="122">
        <v>2421</v>
      </c>
      <c r="B2422">
        <v>1092</v>
      </c>
      <c r="C2422" s="122" t="s">
        <v>187</v>
      </c>
      <c r="D2422" t="s">
        <v>13268</v>
      </c>
      <c r="E2422" s="111" t="s">
        <v>13269</v>
      </c>
      <c r="F2422" t="s">
        <v>13270</v>
      </c>
      <c r="G2422" t="s">
        <v>7987</v>
      </c>
      <c r="H2422" s="80" t="s">
        <v>13271</v>
      </c>
      <c r="I2422" s="80" t="s">
        <v>13272</v>
      </c>
      <c r="J2422" t="s">
        <v>9203</v>
      </c>
      <c r="K2422" t="s">
        <v>13273</v>
      </c>
    </row>
    <row r="2423" spans="1:11" x14ac:dyDescent="0.25">
      <c r="A2423" s="122">
        <v>2422</v>
      </c>
      <c r="B2423">
        <v>1092</v>
      </c>
      <c r="C2423" s="122" t="s">
        <v>189</v>
      </c>
      <c r="D2423" t="s">
        <v>12676</v>
      </c>
      <c r="E2423" s="111" t="s">
        <v>13274</v>
      </c>
      <c r="F2423" t="s">
        <v>6945</v>
      </c>
      <c r="G2423" t="s">
        <v>8158</v>
      </c>
      <c r="H2423" t="s">
        <v>13275</v>
      </c>
      <c r="I2423" t="s">
        <v>13276</v>
      </c>
      <c r="J2423" t="s">
        <v>12067</v>
      </c>
      <c r="K2423" s="80" t="s">
        <v>13277</v>
      </c>
    </row>
    <row r="2424" spans="1:11" x14ac:dyDescent="0.25">
      <c r="A2424" s="122">
        <v>2423</v>
      </c>
      <c r="B2424">
        <v>3031</v>
      </c>
      <c r="C2424" s="122" t="s">
        <v>162</v>
      </c>
      <c r="D2424" t="s">
        <v>3544</v>
      </c>
      <c r="E2424" s="80" t="s">
        <v>13278</v>
      </c>
      <c r="F2424" t="s">
        <v>8243</v>
      </c>
      <c r="G2424" t="s">
        <v>9317</v>
      </c>
      <c r="H2424" t="s">
        <v>7492</v>
      </c>
      <c r="I2424" t="s">
        <v>13279</v>
      </c>
      <c r="J2424" t="s">
        <v>10927</v>
      </c>
      <c r="K2424" t="s">
        <v>13280</v>
      </c>
    </row>
    <row r="2425" spans="1:11" x14ac:dyDescent="0.25">
      <c r="A2425" s="122">
        <v>2424</v>
      </c>
      <c r="B2425">
        <v>3031</v>
      </c>
      <c r="C2425" s="122" t="s">
        <v>170</v>
      </c>
      <c r="D2425" t="s">
        <v>13240</v>
      </c>
      <c r="E2425" s="80" t="s">
        <v>13281</v>
      </c>
      <c r="F2425" t="s">
        <v>13282</v>
      </c>
      <c r="G2425" t="s">
        <v>8158</v>
      </c>
      <c r="H2425" t="s">
        <v>13283</v>
      </c>
      <c r="I2425" s="80" t="s">
        <v>13284</v>
      </c>
      <c r="J2425" t="s">
        <v>9213</v>
      </c>
      <c r="K2425" t="s">
        <v>13285</v>
      </c>
    </row>
    <row r="2426" spans="1:11" x14ac:dyDescent="0.25">
      <c r="A2426" s="122">
        <v>2425</v>
      </c>
      <c r="B2426">
        <v>3031</v>
      </c>
      <c r="C2426" s="122" t="s">
        <v>178</v>
      </c>
      <c r="D2426" t="s">
        <v>13286</v>
      </c>
      <c r="E2426" s="80" t="s">
        <v>13287</v>
      </c>
      <c r="F2426" t="s">
        <v>13288</v>
      </c>
      <c r="G2426" t="s">
        <v>8344</v>
      </c>
      <c r="H2426" s="80" t="s">
        <v>13289</v>
      </c>
      <c r="I2426" s="80" t="s">
        <v>12529</v>
      </c>
      <c r="J2426" t="s">
        <v>9672</v>
      </c>
      <c r="K2426" t="s">
        <v>13290</v>
      </c>
    </row>
    <row r="2427" spans="1:11" x14ac:dyDescent="0.25">
      <c r="A2427" s="122">
        <v>2426</v>
      </c>
      <c r="B2427">
        <v>3031</v>
      </c>
      <c r="C2427" s="122" t="s">
        <v>163</v>
      </c>
      <c r="D2427" t="s">
        <v>1742</v>
      </c>
      <c r="E2427" s="80" t="s">
        <v>13291</v>
      </c>
      <c r="F2427" t="s">
        <v>13292</v>
      </c>
      <c r="G2427" t="s">
        <v>8344</v>
      </c>
      <c r="H2427" t="s">
        <v>13293</v>
      </c>
      <c r="I2427" s="80" t="s">
        <v>13294</v>
      </c>
      <c r="J2427" t="s">
        <v>10805</v>
      </c>
      <c r="K2427" s="80" t="s">
        <v>13295</v>
      </c>
    </row>
    <row r="2428" spans="1:11" x14ac:dyDescent="0.25">
      <c r="A2428" s="122">
        <v>2427</v>
      </c>
      <c r="B2428">
        <v>3031</v>
      </c>
      <c r="C2428" s="122" t="s">
        <v>181</v>
      </c>
      <c r="D2428" t="s">
        <v>9366</v>
      </c>
      <c r="E2428" s="111" t="s">
        <v>13296</v>
      </c>
      <c r="F2428" t="s">
        <v>8019</v>
      </c>
      <c r="G2428" t="s">
        <v>9646</v>
      </c>
      <c r="H2428" t="s">
        <v>13297</v>
      </c>
      <c r="I2428" t="s">
        <v>13298</v>
      </c>
      <c r="J2428" t="s">
        <v>11025</v>
      </c>
      <c r="K2428" t="s">
        <v>13299</v>
      </c>
    </row>
    <row r="2429" spans="1:11" x14ac:dyDescent="0.25">
      <c r="A2429" s="122">
        <v>2428</v>
      </c>
      <c r="B2429">
        <v>3031</v>
      </c>
      <c r="C2429" s="122" t="s">
        <v>183</v>
      </c>
      <c r="D2429" t="s">
        <v>1742</v>
      </c>
      <c r="E2429" s="111" t="s">
        <v>13300</v>
      </c>
      <c r="F2429" t="s">
        <v>13301</v>
      </c>
      <c r="G2429" t="s">
        <v>8158</v>
      </c>
      <c r="H2429" t="s">
        <v>13302</v>
      </c>
      <c r="I2429" s="80" t="s">
        <v>13303</v>
      </c>
      <c r="J2429" t="s">
        <v>9527</v>
      </c>
      <c r="K2429" s="80" t="s">
        <v>13304</v>
      </c>
    </row>
    <row r="2430" spans="1:11" x14ac:dyDescent="0.25">
      <c r="A2430" s="122">
        <v>2429</v>
      </c>
      <c r="B2430">
        <v>3031</v>
      </c>
      <c r="C2430" s="122" t="s">
        <v>186</v>
      </c>
      <c r="D2430" t="s">
        <v>12455</v>
      </c>
      <c r="E2430" s="111" t="s">
        <v>13305</v>
      </c>
      <c r="F2430" t="s">
        <v>13306</v>
      </c>
      <c r="G2430" t="s">
        <v>8118</v>
      </c>
      <c r="H2430" t="s">
        <v>13307</v>
      </c>
      <c r="I2430" s="80" t="s">
        <v>12365</v>
      </c>
      <c r="J2430" t="s">
        <v>9251</v>
      </c>
      <c r="K2430" s="111" t="s">
        <v>13308</v>
      </c>
    </row>
    <row r="2431" spans="1:11" x14ac:dyDescent="0.25">
      <c r="A2431" s="122">
        <v>2430</v>
      </c>
      <c r="B2431">
        <v>3031</v>
      </c>
      <c r="C2431" s="122" t="s">
        <v>188</v>
      </c>
      <c r="D2431" t="s">
        <v>4518</v>
      </c>
      <c r="E2431" s="80" t="s">
        <v>13309</v>
      </c>
      <c r="F2431" t="s">
        <v>13310</v>
      </c>
      <c r="G2431" t="s">
        <v>8090</v>
      </c>
      <c r="H2431" t="s">
        <v>13311</v>
      </c>
      <c r="I2431" s="80" t="s">
        <v>13312</v>
      </c>
      <c r="J2431" t="s">
        <v>9459</v>
      </c>
      <c r="K2431" s="111" t="s">
        <v>13313</v>
      </c>
    </row>
    <row r="2432" spans="1:11" x14ac:dyDescent="0.25">
      <c r="A2432" s="122">
        <v>2431</v>
      </c>
      <c r="B2432">
        <v>3031</v>
      </c>
      <c r="C2432" s="122" t="s">
        <v>182</v>
      </c>
      <c r="D2432" t="s">
        <v>583</v>
      </c>
      <c r="E2432" t="s">
        <v>13314</v>
      </c>
      <c r="F2432" t="s">
        <v>583</v>
      </c>
      <c r="G2432" s="80" t="s">
        <v>8198</v>
      </c>
      <c r="H2432" t="s">
        <v>8217</v>
      </c>
      <c r="I2432" t="s">
        <v>9520</v>
      </c>
      <c r="J2432" t="s">
        <v>9037</v>
      </c>
      <c r="K2432" t="s">
        <v>2194</v>
      </c>
    </row>
    <row r="2433" spans="1:11" x14ac:dyDescent="0.25">
      <c r="A2433" s="122">
        <v>2432</v>
      </c>
      <c r="B2433">
        <v>3031</v>
      </c>
      <c r="C2433" s="122" t="s">
        <v>184</v>
      </c>
      <c r="D2433" t="s">
        <v>1742</v>
      </c>
      <c r="E2433" t="s">
        <v>13315</v>
      </c>
      <c r="F2433" t="s">
        <v>13316</v>
      </c>
      <c r="G2433" t="s">
        <v>9270</v>
      </c>
      <c r="H2433" t="s">
        <v>13317</v>
      </c>
      <c r="I2433" s="80" t="s">
        <v>13318</v>
      </c>
      <c r="J2433" t="s">
        <v>9213</v>
      </c>
      <c r="K2433" t="s">
        <v>13319</v>
      </c>
    </row>
    <row r="2434" spans="1:11" x14ac:dyDescent="0.25">
      <c r="A2434" s="122">
        <v>2433</v>
      </c>
      <c r="B2434">
        <v>3031</v>
      </c>
      <c r="C2434" s="122" t="s">
        <v>187</v>
      </c>
      <c r="D2434" t="s">
        <v>13320</v>
      </c>
      <c r="E2434" t="s">
        <v>13321</v>
      </c>
      <c r="F2434" t="s">
        <v>13322</v>
      </c>
      <c r="G2434" t="s">
        <v>8077</v>
      </c>
      <c r="H2434" s="80" t="s">
        <v>13323</v>
      </c>
      <c r="I2434" s="80" t="s">
        <v>13324</v>
      </c>
      <c r="J2434" t="s">
        <v>10562</v>
      </c>
      <c r="K2434" s="80" t="s">
        <v>13325</v>
      </c>
    </row>
    <row r="2435" spans="1:11" x14ac:dyDescent="0.25">
      <c r="A2435" s="122">
        <v>2434</v>
      </c>
      <c r="B2435">
        <v>3031</v>
      </c>
      <c r="C2435" s="122" t="s">
        <v>189</v>
      </c>
      <c r="D2435" t="s">
        <v>1742</v>
      </c>
      <c r="E2435" t="s">
        <v>13326</v>
      </c>
      <c r="F2435" t="s">
        <v>13327</v>
      </c>
      <c r="G2435" t="s">
        <v>8020</v>
      </c>
      <c r="H2435" s="80" t="s">
        <v>13328</v>
      </c>
      <c r="I2435" s="80" t="s">
        <v>13329</v>
      </c>
      <c r="J2435" t="s">
        <v>9549</v>
      </c>
      <c r="K2435" s="80" t="s">
        <v>13330</v>
      </c>
    </row>
    <row r="2436" spans="1:11" x14ac:dyDescent="0.25">
      <c r="A2436" s="122">
        <v>2435</v>
      </c>
      <c r="B2436">
        <v>3030</v>
      </c>
      <c r="C2436" s="122" t="s">
        <v>162</v>
      </c>
      <c r="D2436" t="s">
        <v>12620</v>
      </c>
      <c r="E2436" s="80" t="s">
        <v>13331</v>
      </c>
      <c r="F2436" t="s">
        <v>5467</v>
      </c>
      <c r="G2436" t="s">
        <v>9317</v>
      </c>
      <c r="H2436" t="s">
        <v>2548</v>
      </c>
      <c r="I2436" t="s">
        <v>8873</v>
      </c>
      <c r="J2436" t="s">
        <v>5861</v>
      </c>
      <c r="K2436" t="s">
        <v>9912</v>
      </c>
    </row>
    <row r="2437" spans="1:11" x14ac:dyDescent="0.25">
      <c r="A2437" s="122">
        <v>2436</v>
      </c>
      <c r="B2437">
        <v>3030</v>
      </c>
      <c r="C2437" s="122" t="s">
        <v>170</v>
      </c>
      <c r="D2437" t="s">
        <v>3789</v>
      </c>
      <c r="E2437" t="s">
        <v>12552</v>
      </c>
      <c r="F2437" t="s">
        <v>13332</v>
      </c>
      <c r="G2437" t="s">
        <v>8218</v>
      </c>
      <c r="H2437" t="s">
        <v>13333</v>
      </c>
      <c r="I2437" s="80" t="s">
        <v>13334</v>
      </c>
      <c r="J2437" t="s">
        <v>10548</v>
      </c>
      <c r="K2437" t="s">
        <v>12598</v>
      </c>
    </row>
    <row r="2438" spans="1:11" x14ac:dyDescent="0.25">
      <c r="A2438" s="122">
        <v>2437</v>
      </c>
      <c r="B2438">
        <v>3030</v>
      </c>
      <c r="C2438" s="122" t="s">
        <v>178</v>
      </c>
      <c r="D2438" t="s">
        <v>12455</v>
      </c>
      <c r="E2438" t="s">
        <v>13335</v>
      </c>
      <c r="F2438" t="s">
        <v>13336</v>
      </c>
      <c r="G2438" t="s">
        <v>10108</v>
      </c>
      <c r="H2438" t="s">
        <v>13337</v>
      </c>
      <c r="I2438" s="80" t="s">
        <v>13338</v>
      </c>
      <c r="J2438" t="s">
        <v>9323</v>
      </c>
      <c r="K2438" t="s">
        <v>13339</v>
      </c>
    </row>
    <row r="2439" spans="1:11" x14ac:dyDescent="0.25">
      <c r="A2439" s="122">
        <v>2438</v>
      </c>
      <c r="B2439">
        <v>3030</v>
      </c>
      <c r="C2439" s="122" t="s">
        <v>163</v>
      </c>
      <c r="D2439" t="s">
        <v>10867</v>
      </c>
      <c r="E2439" t="s">
        <v>13340</v>
      </c>
      <c r="F2439" t="s">
        <v>13341</v>
      </c>
      <c r="G2439" t="s">
        <v>7992</v>
      </c>
      <c r="H2439" t="s">
        <v>13342</v>
      </c>
      <c r="I2439" s="80" t="s">
        <v>13343</v>
      </c>
      <c r="J2439" t="s">
        <v>9265</v>
      </c>
      <c r="K2439" s="80" t="s">
        <v>13344</v>
      </c>
    </row>
    <row r="2440" spans="1:11" x14ac:dyDescent="0.25">
      <c r="A2440" s="122">
        <v>2439</v>
      </c>
      <c r="B2440">
        <v>3030</v>
      </c>
      <c r="C2440" s="122" t="s">
        <v>181</v>
      </c>
      <c r="D2440" t="s">
        <v>4712</v>
      </c>
      <c r="E2440" s="80" t="s">
        <v>13345</v>
      </c>
      <c r="F2440" t="s">
        <v>6842</v>
      </c>
      <c r="G2440" t="s">
        <v>4437</v>
      </c>
      <c r="H2440" t="s">
        <v>13346</v>
      </c>
      <c r="I2440" t="s">
        <v>13347</v>
      </c>
      <c r="J2440" t="s">
        <v>13348</v>
      </c>
      <c r="K2440" t="s">
        <v>13349</v>
      </c>
    </row>
    <row r="2441" spans="1:11" x14ac:dyDescent="0.25">
      <c r="A2441" s="122">
        <v>2440</v>
      </c>
      <c r="B2441">
        <v>3030</v>
      </c>
      <c r="C2441" s="122" t="s">
        <v>183</v>
      </c>
      <c r="D2441" t="s">
        <v>12620</v>
      </c>
      <c r="E2441" t="s">
        <v>13350</v>
      </c>
      <c r="F2441" t="s">
        <v>13351</v>
      </c>
      <c r="G2441" t="s">
        <v>10094</v>
      </c>
      <c r="H2441" t="s">
        <v>13352</v>
      </c>
      <c r="I2441" s="80" t="s">
        <v>13353</v>
      </c>
      <c r="J2441" t="s">
        <v>9382</v>
      </c>
      <c r="K2441" t="s">
        <v>13354</v>
      </c>
    </row>
    <row r="2442" spans="1:11" x14ac:dyDescent="0.25">
      <c r="A2442" s="122">
        <v>2441</v>
      </c>
      <c r="B2442">
        <v>3030</v>
      </c>
      <c r="C2442" s="122" t="s">
        <v>186</v>
      </c>
      <c r="D2442" t="s">
        <v>13135</v>
      </c>
      <c r="E2442" t="s">
        <v>13355</v>
      </c>
      <c r="F2442" t="s">
        <v>13356</v>
      </c>
      <c r="G2442" t="s">
        <v>10191</v>
      </c>
      <c r="H2442" t="s">
        <v>13357</v>
      </c>
      <c r="I2442" s="80" t="s">
        <v>13358</v>
      </c>
      <c r="J2442" t="s">
        <v>9323</v>
      </c>
      <c r="K2442" t="s">
        <v>13359</v>
      </c>
    </row>
    <row r="2443" spans="1:11" x14ac:dyDescent="0.25">
      <c r="A2443" s="122">
        <v>2442</v>
      </c>
      <c r="B2443">
        <v>3030</v>
      </c>
      <c r="C2443" s="122" t="s">
        <v>188</v>
      </c>
      <c r="D2443" t="s">
        <v>12407</v>
      </c>
      <c r="E2443" t="s">
        <v>13360</v>
      </c>
      <c r="F2443" t="s">
        <v>13361</v>
      </c>
      <c r="G2443" t="s">
        <v>7992</v>
      </c>
      <c r="H2443" t="s">
        <v>13362</v>
      </c>
      <c r="I2443" s="80" t="s">
        <v>13363</v>
      </c>
      <c r="J2443" t="s">
        <v>12067</v>
      </c>
      <c r="K2443" s="80" t="s">
        <v>13364</v>
      </c>
    </row>
    <row r="2444" spans="1:11" x14ac:dyDescent="0.25">
      <c r="A2444" s="122">
        <v>2443</v>
      </c>
      <c r="B2444">
        <v>3030</v>
      </c>
      <c r="C2444" s="122" t="s">
        <v>182</v>
      </c>
      <c r="D2444" t="s">
        <v>2382</v>
      </c>
      <c r="E2444" t="s">
        <v>13365</v>
      </c>
      <c r="F2444" t="s">
        <v>5797</v>
      </c>
      <c r="G2444" s="80" t="s">
        <v>9726</v>
      </c>
      <c r="H2444" t="s">
        <v>12748</v>
      </c>
      <c r="I2444" t="s">
        <v>13366</v>
      </c>
      <c r="J2444" t="s">
        <v>9037</v>
      </c>
      <c r="K2444" t="s">
        <v>11627</v>
      </c>
    </row>
    <row r="2445" spans="1:11" x14ac:dyDescent="0.25">
      <c r="A2445" s="122">
        <v>2444</v>
      </c>
      <c r="B2445">
        <v>3030</v>
      </c>
      <c r="C2445" s="122" t="s">
        <v>184</v>
      </c>
      <c r="D2445" t="s">
        <v>13254</v>
      </c>
      <c r="E2445" s="80" t="s">
        <v>13367</v>
      </c>
      <c r="F2445" t="s">
        <v>7586</v>
      </c>
      <c r="G2445" t="s">
        <v>9646</v>
      </c>
      <c r="H2445" s="80" t="s">
        <v>13368</v>
      </c>
      <c r="I2445" s="80" t="s">
        <v>13369</v>
      </c>
      <c r="J2445" t="s">
        <v>10693</v>
      </c>
      <c r="K2445" t="s">
        <v>13370</v>
      </c>
    </row>
    <row r="2446" spans="1:11" x14ac:dyDescent="0.25">
      <c r="A2446" s="122">
        <v>2445</v>
      </c>
      <c r="B2446">
        <v>3030</v>
      </c>
      <c r="C2446" s="122" t="s">
        <v>187</v>
      </c>
      <c r="D2446" t="s">
        <v>13371</v>
      </c>
      <c r="E2446" t="s">
        <v>13372</v>
      </c>
      <c r="F2446" t="s">
        <v>13373</v>
      </c>
      <c r="G2446" t="s">
        <v>8218</v>
      </c>
      <c r="H2446" s="80" t="s">
        <v>13374</v>
      </c>
      <c r="I2446" s="80" t="s">
        <v>13375</v>
      </c>
      <c r="J2446" t="s">
        <v>9588</v>
      </c>
      <c r="K2446" t="s">
        <v>13376</v>
      </c>
    </row>
    <row r="2447" spans="1:11" x14ac:dyDescent="0.25">
      <c r="A2447" s="122">
        <v>2446</v>
      </c>
      <c r="B2447">
        <v>3030</v>
      </c>
      <c r="C2447" s="122" t="s">
        <v>189</v>
      </c>
      <c r="D2447" t="s">
        <v>3938</v>
      </c>
      <c r="E2447" t="s">
        <v>13377</v>
      </c>
      <c r="F2447" t="s">
        <v>9966</v>
      </c>
      <c r="G2447" t="s">
        <v>10191</v>
      </c>
      <c r="H2447" t="s">
        <v>13378</v>
      </c>
      <c r="I2447" s="80" t="s">
        <v>13379</v>
      </c>
      <c r="J2447" t="s">
        <v>12067</v>
      </c>
      <c r="K2447" s="80" t="s">
        <v>13380</v>
      </c>
    </row>
    <row r="2448" spans="1:11" x14ac:dyDescent="0.25">
      <c r="A2448" s="122">
        <v>2447</v>
      </c>
      <c r="B2448" t="s">
        <v>674</v>
      </c>
      <c r="C2448" s="122" t="s">
        <v>162</v>
      </c>
      <c r="D2448" t="s">
        <v>583</v>
      </c>
      <c r="E2448" t="s">
        <v>13381</v>
      </c>
      <c r="F2448" t="s">
        <v>6842</v>
      </c>
      <c r="G2448" t="s">
        <v>10094</v>
      </c>
      <c r="H2448" t="s">
        <v>583</v>
      </c>
      <c r="I2448" t="s">
        <v>6237</v>
      </c>
      <c r="J2448" t="s">
        <v>583</v>
      </c>
      <c r="K2448" s="80" t="s">
        <v>6297</v>
      </c>
    </row>
    <row r="2449" spans="1:11" x14ac:dyDescent="0.25">
      <c r="A2449" s="122">
        <v>2448</v>
      </c>
      <c r="B2449" t="s">
        <v>674</v>
      </c>
      <c r="C2449" s="122" t="s">
        <v>170</v>
      </c>
      <c r="D2449" t="s">
        <v>583</v>
      </c>
      <c r="E2449" t="s">
        <v>13382</v>
      </c>
      <c r="F2449" t="s">
        <v>13383</v>
      </c>
      <c r="G2449" t="s">
        <v>583</v>
      </c>
      <c r="H2449" t="s">
        <v>13384</v>
      </c>
      <c r="I2449" s="80" t="s">
        <v>13385</v>
      </c>
      <c r="J2449" t="s">
        <v>11371</v>
      </c>
      <c r="K2449" t="s">
        <v>11015</v>
      </c>
    </row>
    <row r="2450" spans="1:11" x14ac:dyDescent="0.25">
      <c r="A2450" s="122">
        <v>2449</v>
      </c>
      <c r="B2450" t="s">
        <v>674</v>
      </c>
      <c r="C2450" s="122" t="s">
        <v>178</v>
      </c>
      <c r="D2450" t="s">
        <v>583</v>
      </c>
      <c r="E2450" t="s">
        <v>13386</v>
      </c>
      <c r="F2450" t="s">
        <v>13387</v>
      </c>
      <c r="G2450" s="80" t="s">
        <v>9726</v>
      </c>
      <c r="H2450" t="s">
        <v>13388</v>
      </c>
      <c r="I2450" s="80" t="s">
        <v>13389</v>
      </c>
      <c r="J2450" t="s">
        <v>11371</v>
      </c>
      <c r="K2450" t="s">
        <v>13390</v>
      </c>
    </row>
    <row r="2451" spans="1:11" x14ac:dyDescent="0.25">
      <c r="A2451" s="122">
        <v>2450</v>
      </c>
      <c r="B2451" t="s">
        <v>674</v>
      </c>
      <c r="C2451" s="122" t="s">
        <v>163</v>
      </c>
      <c r="D2451" s="80" t="s">
        <v>6237</v>
      </c>
      <c r="E2451" t="s">
        <v>13391</v>
      </c>
      <c r="F2451" t="s">
        <v>2663</v>
      </c>
      <c r="G2451" t="s">
        <v>3786</v>
      </c>
      <c r="H2451" t="s">
        <v>13392</v>
      </c>
      <c r="I2451" s="80" t="s">
        <v>13393</v>
      </c>
      <c r="J2451" t="s">
        <v>13394</v>
      </c>
      <c r="K2451" t="s">
        <v>13395</v>
      </c>
    </row>
    <row r="2452" spans="1:11" x14ac:dyDescent="0.25">
      <c r="A2452" s="122">
        <v>2451</v>
      </c>
      <c r="B2452" t="s">
        <v>674</v>
      </c>
      <c r="C2452" s="122" t="s">
        <v>181</v>
      </c>
      <c r="D2452" t="s">
        <v>583</v>
      </c>
      <c r="E2452" t="s">
        <v>13396</v>
      </c>
      <c r="F2452" t="s">
        <v>5467</v>
      </c>
      <c r="G2452" t="s">
        <v>583</v>
      </c>
      <c r="H2452" t="s">
        <v>13397</v>
      </c>
      <c r="I2452" t="s">
        <v>13398</v>
      </c>
      <c r="J2452" t="s">
        <v>4779</v>
      </c>
      <c r="K2452" t="s">
        <v>9145</v>
      </c>
    </row>
    <row r="2453" spans="1:11" x14ac:dyDescent="0.25">
      <c r="A2453" s="122">
        <v>2452</v>
      </c>
      <c r="B2453" t="s">
        <v>674</v>
      </c>
      <c r="C2453" s="122" t="s">
        <v>183</v>
      </c>
      <c r="D2453" t="s">
        <v>13135</v>
      </c>
      <c r="E2453" s="80" t="s">
        <v>13399</v>
      </c>
      <c r="F2453" t="s">
        <v>13400</v>
      </c>
      <c r="G2453" t="s">
        <v>9646</v>
      </c>
      <c r="H2453" s="80" t="s">
        <v>13401</v>
      </c>
      <c r="I2453" s="80" t="s">
        <v>13402</v>
      </c>
      <c r="J2453" t="s">
        <v>9330</v>
      </c>
      <c r="K2453" t="s">
        <v>13403</v>
      </c>
    </row>
    <row r="2454" spans="1:11" x14ac:dyDescent="0.25">
      <c r="A2454" s="122">
        <v>2453</v>
      </c>
      <c r="B2454" t="s">
        <v>674</v>
      </c>
      <c r="C2454" s="122" t="s">
        <v>186</v>
      </c>
      <c r="D2454" t="s">
        <v>4518</v>
      </c>
      <c r="E2454" s="80" t="s">
        <v>13404</v>
      </c>
      <c r="F2454" t="s">
        <v>13405</v>
      </c>
      <c r="G2454" t="s">
        <v>9270</v>
      </c>
      <c r="H2454" s="80" t="s">
        <v>13406</v>
      </c>
      <c r="I2454" s="80" t="s">
        <v>13407</v>
      </c>
      <c r="J2454" t="s">
        <v>11257</v>
      </c>
      <c r="K2454" t="s">
        <v>13408</v>
      </c>
    </row>
    <row r="2455" spans="1:11" x14ac:dyDescent="0.25">
      <c r="A2455" s="122">
        <v>2454</v>
      </c>
      <c r="B2455" t="s">
        <v>674</v>
      </c>
      <c r="C2455" s="122" t="s">
        <v>188</v>
      </c>
      <c r="D2455" t="s">
        <v>9366</v>
      </c>
      <c r="E2455" s="80" t="s">
        <v>13409</v>
      </c>
      <c r="F2455" t="s">
        <v>13410</v>
      </c>
      <c r="G2455" t="s">
        <v>10108</v>
      </c>
      <c r="H2455" t="s">
        <v>13411</v>
      </c>
      <c r="I2455" s="80" t="s">
        <v>13412</v>
      </c>
      <c r="J2455" t="s">
        <v>11350</v>
      </c>
      <c r="K2455" t="s">
        <v>13413</v>
      </c>
    </row>
    <row r="2456" spans="1:11" x14ac:dyDescent="0.25">
      <c r="A2456" s="122">
        <v>2455</v>
      </c>
      <c r="B2456" t="s">
        <v>674</v>
      </c>
      <c r="C2456" s="122" t="s">
        <v>182</v>
      </c>
      <c r="D2456" t="s">
        <v>583</v>
      </c>
      <c r="E2456" t="s">
        <v>13414</v>
      </c>
      <c r="F2456" t="s">
        <v>5721</v>
      </c>
      <c r="G2456" t="s">
        <v>583</v>
      </c>
      <c r="H2456" t="s">
        <v>6178</v>
      </c>
      <c r="I2456" t="s">
        <v>1904</v>
      </c>
      <c r="J2456" t="s">
        <v>11371</v>
      </c>
      <c r="K2456" s="80" t="s">
        <v>5282</v>
      </c>
    </row>
    <row r="2457" spans="1:11" x14ac:dyDescent="0.25">
      <c r="A2457" s="122">
        <v>2456</v>
      </c>
      <c r="B2457" t="s">
        <v>674</v>
      </c>
      <c r="C2457" s="122" t="s">
        <v>184</v>
      </c>
      <c r="D2457" t="s">
        <v>12543</v>
      </c>
      <c r="E2457" s="80" t="s">
        <v>13415</v>
      </c>
      <c r="F2457" t="s">
        <v>13218</v>
      </c>
      <c r="G2457" t="s">
        <v>8218</v>
      </c>
      <c r="H2457" t="s">
        <v>13416</v>
      </c>
      <c r="I2457" s="80" t="s">
        <v>13417</v>
      </c>
      <c r="J2457" t="s">
        <v>10548</v>
      </c>
      <c r="K2457" t="s">
        <v>8237</v>
      </c>
    </row>
    <row r="2458" spans="1:11" x14ac:dyDescent="0.25">
      <c r="A2458" s="122">
        <v>2457</v>
      </c>
      <c r="B2458" t="s">
        <v>674</v>
      </c>
      <c r="C2458" s="122" t="s">
        <v>187</v>
      </c>
      <c r="D2458" t="s">
        <v>12537</v>
      </c>
      <c r="E2458" s="89" t="s">
        <v>582</v>
      </c>
      <c r="F2458" t="s">
        <v>13418</v>
      </c>
      <c r="G2458" t="s">
        <v>8158</v>
      </c>
      <c r="H2458" s="80" t="s">
        <v>13419</v>
      </c>
      <c r="I2458" s="80" t="s">
        <v>13420</v>
      </c>
      <c r="J2458" t="s">
        <v>11460</v>
      </c>
      <c r="K2458" t="s">
        <v>13421</v>
      </c>
    </row>
    <row r="2459" spans="1:11" x14ac:dyDescent="0.25">
      <c r="A2459" s="122">
        <v>2458</v>
      </c>
      <c r="B2459" t="s">
        <v>674</v>
      </c>
      <c r="C2459" s="122" t="s">
        <v>189</v>
      </c>
      <c r="D2459" t="s">
        <v>10867</v>
      </c>
      <c r="E2459" s="80" t="s">
        <v>13422</v>
      </c>
      <c r="F2459" t="s">
        <v>13423</v>
      </c>
      <c r="G2459" t="s">
        <v>10108</v>
      </c>
      <c r="H2459" t="s">
        <v>13424</v>
      </c>
      <c r="I2459" s="80" t="s">
        <v>13425</v>
      </c>
      <c r="J2459" t="s">
        <v>11475</v>
      </c>
      <c r="K2459" t="s">
        <v>13426</v>
      </c>
    </row>
    <row r="2460" spans="1:11" x14ac:dyDescent="0.25">
      <c r="A2460" s="122">
        <v>2459</v>
      </c>
      <c r="B2460">
        <v>2043</v>
      </c>
      <c r="C2460" s="122" t="s">
        <v>162</v>
      </c>
      <c r="D2460" t="s">
        <v>6760</v>
      </c>
      <c r="E2460" s="80" t="s">
        <v>13427</v>
      </c>
      <c r="F2460" t="s">
        <v>7097</v>
      </c>
      <c r="G2460" t="s">
        <v>10094</v>
      </c>
      <c r="H2460" t="s">
        <v>5284</v>
      </c>
      <c r="I2460" t="s">
        <v>2273</v>
      </c>
      <c r="J2460" t="s">
        <v>13348</v>
      </c>
      <c r="K2460" t="s">
        <v>4478</v>
      </c>
    </row>
    <row r="2461" spans="1:11" x14ac:dyDescent="0.25">
      <c r="A2461" s="122">
        <v>2460</v>
      </c>
      <c r="B2461">
        <v>2043</v>
      </c>
      <c r="C2461" s="122" t="s">
        <v>170</v>
      </c>
      <c r="D2461" t="s">
        <v>13135</v>
      </c>
      <c r="E2461" s="80" t="s">
        <v>13428</v>
      </c>
      <c r="F2461" t="s">
        <v>13429</v>
      </c>
      <c r="G2461" t="s">
        <v>8096</v>
      </c>
      <c r="H2461" t="s">
        <v>13430</v>
      </c>
      <c r="I2461" s="80" t="s">
        <v>13431</v>
      </c>
      <c r="J2461" t="s">
        <v>10927</v>
      </c>
      <c r="K2461" t="s">
        <v>13432</v>
      </c>
    </row>
    <row r="2462" spans="1:11" x14ac:dyDescent="0.25">
      <c r="A2462" s="122">
        <v>2461</v>
      </c>
      <c r="B2462">
        <v>2043</v>
      </c>
      <c r="C2462" s="122" t="s">
        <v>178</v>
      </c>
      <c r="D2462" t="s">
        <v>13240</v>
      </c>
      <c r="E2462" s="80" t="s">
        <v>13433</v>
      </c>
      <c r="F2462" t="s">
        <v>13434</v>
      </c>
      <c r="G2462" t="s">
        <v>10108</v>
      </c>
      <c r="H2462" t="s">
        <v>13435</v>
      </c>
      <c r="I2462" s="80" t="s">
        <v>13436</v>
      </c>
      <c r="J2462" t="s">
        <v>11350</v>
      </c>
      <c r="K2462" t="s">
        <v>13437</v>
      </c>
    </row>
    <row r="2463" spans="1:11" x14ac:dyDescent="0.25">
      <c r="A2463" s="122">
        <v>2462</v>
      </c>
      <c r="B2463">
        <v>2043</v>
      </c>
      <c r="C2463" s="122" t="s">
        <v>163</v>
      </c>
      <c r="D2463" t="s">
        <v>13438</v>
      </c>
      <c r="E2463" s="80" t="s">
        <v>13439</v>
      </c>
      <c r="F2463" t="s">
        <v>13440</v>
      </c>
      <c r="G2463" t="s">
        <v>7992</v>
      </c>
      <c r="H2463" s="80" t="s">
        <v>13441</v>
      </c>
      <c r="I2463" s="80" t="s">
        <v>13442</v>
      </c>
      <c r="J2463" t="s">
        <v>9575</v>
      </c>
      <c r="K2463" s="80" t="s">
        <v>13443</v>
      </c>
    </row>
    <row r="2464" spans="1:11" x14ac:dyDescent="0.25">
      <c r="A2464" s="122">
        <v>2463</v>
      </c>
      <c r="B2464">
        <v>2043</v>
      </c>
      <c r="C2464" s="122" t="s">
        <v>181</v>
      </c>
      <c r="D2464" t="s">
        <v>13240</v>
      </c>
      <c r="E2464" s="89" t="s">
        <v>582</v>
      </c>
      <c r="F2464" t="s">
        <v>7332</v>
      </c>
      <c r="G2464" t="s">
        <v>9317</v>
      </c>
      <c r="H2464" t="s">
        <v>6232</v>
      </c>
      <c r="I2464" t="s">
        <v>13444</v>
      </c>
      <c r="J2464" t="s">
        <v>10927</v>
      </c>
      <c r="K2464" t="s">
        <v>13445</v>
      </c>
    </row>
    <row r="2465" spans="1:11" x14ac:dyDescent="0.25">
      <c r="A2465" s="122">
        <v>2464</v>
      </c>
      <c r="B2465">
        <v>2043</v>
      </c>
      <c r="C2465" s="122" t="s">
        <v>183</v>
      </c>
      <c r="D2465" t="s">
        <v>12515</v>
      </c>
      <c r="E2465" s="89" t="s">
        <v>582</v>
      </c>
      <c r="F2465" t="s">
        <v>13446</v>
      </c>
      <c r="G2465" t="s">
        <v>8104</v>
      </c>
      <c r="H2465" t="s">
        <v>13447</v>
      </c>
      <c r="I2465" s="80" t="s">
        <v>13448</v>
      </c>
      <c r="J2465" t="s">
        <v>12067</v>
      </c>
      <c r="K2465" t="s">
        <v>13449</v>
      </c>
    </row>
    <row r="2466" spans="1:11" x14ac:dyDescent="0.25">
      <c r="A2466" s="122">
        <v>2465</v>
      </c>
      <c r="B2466">
        <v>2043</v>
      </c>
      <c r="C2466" s="122" t="s">
        <v>186</v>
      </c>
      <c r="D2466" t="s">
        <v>12361</v>
      </c>
      <c r="E2466" s="89" t="s">
        <v>582</v>
      </c>
      <c r="F2466" s="80" t="s">
        <v>13450</v>
      </c>
      <c r="G2466" t="s">
        <v>7987</v>
      </c>
      <c r="H2466" s="80" t="s">
        <v>13451</v>
      </c>
      <c r="I2466" s="80" t="s">
        <v>13452</v>
      </c>
      <c r="J2466" t="s">
        <v>9505</v>
      </c>
      <c r="K2466" s="80" t="s">
        <v>13453</v>
      </c>
    </row>
    <row r="2467" spans="1:11" x14ac:dyDescent="0.25">
      <c r="A2467" s="122">
        <v>2466</v>
      </c>
      <c r="B2467">
        <v>2043</v>
      </c>
      <c r="C2467" s="122" t="s">
        <v>188</v>
      </c>
      <c r="D2467" t="s">
        <v>13454</v>
      </c>
      <c r="E2467" s="89" t="s">
        <v>582</v>
      </c>
      <c r="F2467" t="s">
        <v>13455</v>
      </c>
      <c r="G2467" t="s">
        <v>7998</v>
      </c>
      <c r="H2467" t="s">
        <v>13456</v>
      </c>
      <c r="I2467" s="80" t="s">
        <v>13457</v>
      </c>
      <c r="J2467" t="s">
        <v>9480</v>
      </c>
      <c r="K2467" s="89" t="s">
        <v>582</v>
      </c>
    </row>
    <row r="2468" spans="1:11" x14ac:dyDescent="0.25">
      <c r="A2468" s="122">
        <v>2467</v>
      </c>
      <c r="B2468">
        <v>2043</v>
      </c>
      <c r="C2468" s="122" t="s">
        <v>182</v>
      </c>
      <c r="D2468" t="s">
        <v>6760</v>
      </c>
      <c r="E2468" t="s">
        <v>13458</v>
      </c>
      <c r="F2468" t="s">
        <v>13459</v>
      </c>
      <c r="G2468" t="s">
        <v>583</v>
      </c>
      <c r="H2468" t="s">
        <v>13460</v>
      </c>
      <c r="I2468" t="s">
        <v>13461</v>
      </c>
      <c r="J2468" t="s">
        <v>11371</v>
      </c>
      <c r="K2468" t="s">
        <v>13462</v>
      </c>
    </row>
    <row r="2469" spans="1:11" x14ac:dyDescent="0.25">
      <c r="A2469" s="122">
        <v>2468</v>
      </c>
      <c r="B2469">
        <v>2043</v>
      </c>
      <c r="C2469" s="122" t="s">
        <v>184</v>
      </c>
      <c r="D2469" t="s">
        <v>13149</v>
      </c>
      <c r="E2469" t="s">
        <v>13463</v>
      </c>
      <c r="F2469" t="s">
        <v>13464</v>
      </c>
      <c r="G2469" t="s">
        <v>10191</v>
      </c>
      <c r="H2469" t="s">
        <v>13465</v>
      </c>
      <c r="I2469" s="80" t="s">
        <v>13466</v>
      </c>
      <c r="J2469" t="s">
        <v>9259</v>
      </c>
      <c r="K2469" t="s">
        <v>13467</v>
      </c>
    </row>
    <row r="2470" spans="1:11" x14ac:dyDescent="0.25">
      <c r="A2470" s="122">
        <v>2469</v>
      </c>
      <c r="B2470">
        <v>2043</v>
      </c>
      <c r="C2470" s="122" t="s">
        <v>187</v>
      </c>
      <c r="D2470" t="s">
        <v>13468</v>
      </c>
      <c r="E2470" t="s">
        <v>13469</v>
      </c>
      <c r="F2470" t="s">
        <v>13470</v>
      </c>
      <c r="G2470" t="s">
        <v>10108</v>
      </c>
      <c r="H2470" s="80" t="s">
        <v>13471</v>
      </c>
      <c r="I2470" s="80" t="s">
        <v>13472</v>
      </c>
      <c r="J2470" t="s">
        <v>12067</v>
      </c>
      <c r="K2470" t="s">
        <v>13473</v>
      </c>
    </row>
    <row r="2471" spans="1:11" x14ac:dyDescent="0.25">
      <c r="A2471" s="122">
        <v>2470</v>
      </c>
      <c r="B2471">
        <v>2043</v>
      </c>
      <c r="C2471" s="122" t="s">
        <v>189</v>
      </c>
      <c r="D2471" t="s">
        <v>13474</v>
      </c>
      <c r="E2471" t="s">
        <v>13475</v>
      </c>
      <c r="F2471" t="s">
        <v>13476</v>
      </c>
      <c r="G2471" t="s">
        <v>7992</v>
      </c>
      <c r="H2471" t="s">
        <v>13477</v>
      </c>
      <c r="I2471" s="80" t="s">
        <v>13478</v>
      </c>
      <c r="J2471" t="s">
        <v>11359</v>
      </c>
      <c r="K2471" s="80" t="s">
        <v>13479</v>
      </c>
    </row>
    <row r="2472" spans="1:11" x14ac:dyDescent="0.25">
      <c r="A2472" s="122">
        <v>2471</v>
      </c>
      <c r="B2472">
        <v>2042</v>
      </c>
      <c r="C2472" s="122" t="s">
        <v>162</v>
      </c>
      <c r="D2472" t="s">
        <v>5798</v>
      </c>
      <c r="E2472" t="s">
        <v>13480</v>
      </c>
      <c r="F2472" t="s">
        <v>10830</v>
      </c>
      <c r="G2472" t="s">
        <v>4437</v>
      </c>
      <c r="H2472" t="s">
        <v>10830</v>
      </c>
      <c r="I2472" t="s">
        <v>5793</v>
      </c>
      <c r="J2472" t="s">
        <v>10776</v>
      </c>
      <c r="K2472" t="s">
        <v>5799</v>
      </c>
    </row>
    <row r="2473" spans="1:11" x14ac:dyDescent="0.25">
      <c r="A2473" s="122">
        <v>2472</v>
      </c>
      <c r="B2473">
        <v>2042</v>
      </c>
      <c r="C2473" s="122" t="s">
        <v>170</v>
      </c>
      <c r="D2473" t="s">
        <v>12543</v>
      </c>
      <c r="E2473" s="80" t="s">
        <v>13481</v>
      </c>
      <c r="F2473" t="s">
        <v>13482</v>
      </c>
      <c r="G2473" t="s">
        <v>10094</v>
      </c>
      <c r="H2473" t="s">
        <v>13483</v>
      </c>
      <c r="I2473" s="80" t="s">
        <v>13484</v>
      </c>
      <c r="J2473" t="s">
        <v>10693</v>
      </c>
      <c r="K2473" t="s">
        <v>13485</v>
      </c>
    </row>
    <row r="2474" spans="1:11" x14ac:dyDescent="0.25">
      <c r="A2474" s="122">
        <v>2473</v>
      </c>
      <c r="B2474">
        <v>2042</v>
      </c>
      <c r="C2474" s="122" t="s">
        <v>178</v>
      </c>
      <c r="D2474" t="s">
        <v>13486</v>
      </c>
      <c r="E2474" s="80" t="s">
        <v>13487</v>
      </c>
      <c r="F2474" t="s">
        <v>13488</v>
      </c>
      <c r="G2474" t="s">
        <v>7992</v>
      </c>
      <c r="H2474" t="s">
        <v>13489</v>
      </c>
      <c r="I2474" s="80" t="s">
        <v>13490</v>
      </c>
      <c r="J2474" t="s">
        <v>9323</v>
      </c>
      <c r="K2474" t="s">
        <v>13491</v>
      </c>
    </row>
    <row r="2475" spans="1:11" x14ac:dyDescent="0.25">
      <c r="A2475" s="122">
        <v>2474</v>
      </c>
      <c r="B2475">
        <v>2042</v>
      </c>
      <c r="C2475" s="122" t="s">
        <v>163</v>
      </c>
      <c r="D2475" t="s">
        <v>13492</v>
      </c>
      <c r="E2475" s="80" t="s">
        <v>13493</v>
      </c>
      <c r="F2475" t="s">
        <v>8064</v>
      </c>
      <c r="G2475" t="s">
        <v>8218</v>
      </c>
      <c r="H2475" t="s">
        <v>13494</v>
      </c>
      <c r="I2475" s="80" t="s">
        <v>13495</v>
      </c>
      <c r="J2475" t="s">
        <v>12067</v>
      </c>
      <c r="K2475" t="s">
        <v>13496</v>
      </c>
    </row>
    <row r="2476" spans="1:11" x14ac:dyDescent="0.25">
      <c r="A2476" s="122">
        <v>2475</v>
      </c>
      <c r="B2476">
        <v>2042</v>
      </c>
      <c r="C2476" s="122" t="s">
        <v>181</v>
      </c>
      <c r="D2476" t="s">
        <v>2382</v>
      </c>
      <c r="E2476">
        <v>15466</v>
      </c>
      <c r="F2476" t="s">
        <v>6019</v>
      </c>
      <c r="G2476" t="s">
        <v>4437</v>
      </c>
      <c r="H2476" t="s">
        <v>7993</v>
      </c>
      <c r="I2476" t="s">
        <v>11389</v>
      </c>
      <c r="J2476" t="s">
        <v>10776</v>
      </c>
      <c r="K2476" t="s">
        <v>1857</v>
      </c>
    </row>
    <row r="2477" spans="1:11" x14ac:dyDescent="0.25">
      <c r="A2477" s="122">
        <v>2476</v>
      </c>
      <c r="B2477">
        <v>2042</v>
      </c>
      <c r="C2477" s="122" t="s">
        <v>183</v>
      </c>
      <c r="D2477" t="s">
        <v>12620</v>
      </c>
      <c r="E2477" t="s">
        <v>13497</v>
      </c>
      <c r="F2477" t="s">
        <v>13498</v>
      </c>
      <c r="G2477" t="s">
        <v>9646</v>
      </c>
      <c r="H2477" t="s">
        <v>13499</v>
      </c>
      <c r="I2477" s="80" t="s">
        <v>13500</v>
      </c>
      <c r="J2477" t="s">
        <v>10548</v>
      </c>
      <c r="K2477" t="s">
        <v>13501</v>
      </c>
    </row>
    <row r="2478" spans="1:11" x14ac:dyDescent="0.25">
      <c r="A2478" s="122">
        <v>2477</v>
      </c>
      <c r="B2478">
        <v>2042</v>
      </c>
      <c r="C2478" s="122" t="s">
        <v>186</v>
      </c>
      <c r="D2478" t="s">
        <v>12411</v>
      </c>
      <c r="E2478" t="s">
        <v>13502</v>
      </c>
      <c r="F2478" t="s">
        <v>13503</v>
      </c>
      <c r="G2478" t="s">
        <v>8047</v>
      </c>
      <c r="H2478" s="80" t="s">
        <v>13504</v>
      </c>
      <c r="I2478" s="80" t="s">
        <v>13505</v>
      </c>
      <c r="J2478" t="s">
        <v>9569</v>
      </c>
      <c r="K2478" t="s">
        <v>13506</v>
      </c>
    </row>
    <row r="2479" spans="1:11" x14ac:dyDescent="0.25">
      <c r="A2479" s="122">
        <v>2478</v>
      </c>
      <c r="B2479">
        <v>2042</v>
      </c>
      <c r="C2479" s="122" t="s">
        <v>188</v>
      </c>
      <c r="D2479">
        <v>10</v>
      </c>
      <c r="E2479" s="80" t="s">
        <v>13507</v>
      </c>
      <c r="F2479" t="s">
        <v>13508</v>
      </c>
      <c r="G2479" t="s">
        <v>7443</v>
      </c>
      <c r="H2479" t="s">
        <v>13509</v>
      </c>
      <c r="I2479" s="80" t="s">
        <v>13510</v>
      </c>
      <c r="J2479" t="s">
        <v>9307</v>
      </c>
      <c r="K2479" s="80" t="s">
        <v>13511</v>
      </c>
    </row>
    <row r="2480" spans="1:11" x14ac:dyDescent="0.25">
      <c r="A2480" s="122">
        <v>2479</v>
      </c>
      <c r="B2480">
        <v>2042</v>
      </c>
      <c r="C2480" s="122" t="s">
        <v>182</v>
      </c>
      <c r="D2480" s="80" t="s">
        <v>5465</v>
      </c>
      <c r="E2480" t="s">
        <v>13512</v>
      </c>
      <c r="F2480" t="s">
        <v>11405</v>
      </c>
      <c r="G2480" t="s">
        <v>9363</v>
      </c>
      <c r="H2480" t="s">
        <v>13513</v>
      </c>
      <c r="I2480" t="s">
        <v>13514</v>
      </c>
      <c r="J2480" t="s">
        <v>9621</v>
      </c>
      <c r="K2480" t="s">
        <v>13515</v>
      </c>
    </row>
    <row r="2481" spans="1:11" x14ac:dyDescent="0.25">
      <c r="A2481" s="122">
        <v>2480</v>
      </c>
      <c r="B2481">
        <v>2042</v>
      </c>
      <c r="C2481" s="122" t="s">
        <v>184</v>
      </c>
      <c r="D2481" t="s">
        <v>3938</v>
      </c>
      <c r="E2481" t="s">
        <v>12427</v>
      </c>
      <c r="F2481" t="s">
        <v>13516</v>
      </c>
      <c r="G2481" t="s">
        <v>8218</v>
      </c>
      <c r="H2481" t="s">
        <v>13517</v>
      </c>
      <c r="I2481" s="80" t="s">
        <v>13518</v>
      </c>
      <c r="J2481" t="s">
        <v>9265</v>
      </c>
      <c r="K2481" t="s">
        <v>13519</v>
      </c>
    </row>
    <row r="2482" spans="1:11" x14ac:dyDescent="0.25">
      <c r="A2482" s="122">
        <v>2481</v>
      </c>
      <c r="B2482">
        <v>2042</v>
      </c>
      <c r="C2482" s="122" t="s">
        <v>187</v>
      </c>
      <c r="D2482" t="s">
        <v>13520</v>
      </c>
      <c r="E2482" t="s">
        <v>13521</v>
      </c>
      <c r="F2482" t="s">
        <v>13522</v>
      </c>
      <c r="G2482" t="s">
        <v>8332</v>
      </c>
      <c r="H2482" s="80" t="s">
        <v>13523</v>
      </c>
      <c r="I2482" s="80" t="s">
        <v>13524</v>
      </c>
      <c r="J2482" t="s">
        <v>9330</v>
      </c>
      <c r="K2482" t="s">
        <v>13525</v>
      </c>
    </row>
    <row r="2483" spans="1:11" x14ac:dyDescent="0.25">
      <c r="A2483" s="122">
        <v>2482</v>
      </c>
      <c r="B2483">
        <v>2042</v>
      </c>
      <c r="C2483" s="122" t="s">
        <v>189</v>
      </c>
      <c r="D2483" t="s">
        <v>13526</v>
      </c>
      <c r="E2483" t="s">
        <v>13527</v>
      </c>
      <c r="F2483" t="s">
        <v>3091</v>
      </c>
      <c r="G2483" t="s">
        <v>7443</v>
      </c>
      <c r="H2483" s="80" t="s">
        <v>13528</v>
      </c>
      <c r="I2483" s="80" t="s">
        <v>13529</v>
      </c>
      <c r="J2483" t="s">
        <v>10009</v>
      </c>
      <c r="K2483" s="80" t="s">
        <v>13530</v>
      </c>
    </row>
    <row r="2484" spans="1:11" x14ac:dyDescent="0.25">
      <c r="A2484" s="122">
        <v>2483</v>
      </c>
      <c r="B2484" t="s">
        <v>675</v>
      </c>
      <c r="C2484" s="122" t="s">
        <v>162</v>
      </c>
      <c r="D2484" t="s">
        <v>3789</v>
      </c>
      <c r="E2484" s="80" t="s">
        <v>13531</v>
      </c>
      <c r="F2484" t="s">
        <v>2009</v>
      </c>
      <c r="G2484" t="s">
        <v>8366</v>
      </c>
      <c r="H2484" t="s">
        <v>2882</v>
      </c>
      <c r="I2484" t="s">
        <v>2884</v>
      </c>
      <c r="J2484" t="s">
        <v>6627</v>
      </c>
      <c r="K2484" t="s">
        <v>12781</v>
      </c>
    </row>
    <row r="2485" spans="1:11" x14ac:dyDescent="0.25">
      <c r="A2485" s="122">
        <v>2484</v>
      </c>
      <c r="B2485" t="s">
        <v>675</v>
      </c>
      <c r="C2485" s="122" t="s">
        <v>170</v>
      </c>
      <c r="D2485" t="s">
        <v>13532</v>
      </c>
      <c r="E2485" t="s">
        <v>13533</v>
      </c>
      <c r="F2485" t="s">
        <v>13534</v>
      </c>
      <c r="G2485" t="s">
        <v>8104</v>
      </c>
      <c r="H2485" s="80" t="s">
        <v>13535</v>
      </c>
      <c r="I2485" s="80" t="s">
        <v>13536</v>
      </c>
      <c r="J2485" t="s">
        <v>10555</v>
      </c>
      <c r="K2485" t="s">
        <v>13537</v>
      </c>
    </row>
    <row r="2486" spans="1:11" x14ac:dyDescent="0.25">
      <c r="A2486" s="122">
        <v>2485</v>
      </c>
      <c r="B2486" t="s">
        <v>675</v>
      </c>
      <c r="C2486" s="122" t="s">
        <v>178</v>
      </c>
      <c r="D2486">
        <v>10</v>
      </c>
      <c r="E2486" t="s">
        <v>13538</v>
      </c>
      <c r="F2486" t="s">
        <v>13539</v>
      </c>
      <c r="G2486" t="s">
        <v>7443</v>
      </c>
      <c r="H2486" t="s">
        <v>13540</v>
      </c>
      <c r="I2486" s="80" t="s">
        <v>13541</v>
      </c>
      <c r="J2486" t="s">
        <v>9382</v>
      </c>
      <c r="K2486" t="s">
        <v>13542</v>
      </c>
    </row>
    <row r="2487" spans="1:11" x14ac:dyDescent="0.25">
      <c r="A2487" s="122">
        <v>2486</v>
      </c>
      <c r="B2487" t="s">
        <v>675</v>
      </c>
      <c r="C2487" s="122" t="s">
        <v>163</v>
      </c>
      <c r="D2487" t="s">
        <v>13320</v>
      </c>
      <c r="E2487" t="s">
        <v>13543</v>
      </c>
      <c r="F2487" t="s">
        <v>13544</v>
      </c>
      <c r="G2487" t="s">
        <v>8332</v>
      </c>
      <c r="H2487" s="80" t="s">
        <v>13545</v>
      </c>
      <c r="I2487" s="80" t="s">
        <v>13546</v>
      </c>
      <c r="J2487" t="s">
        <v>9307</v>
      </c>
      <c r="K2487" s="80" t="s">
        <v>13547</v>
      </c>
    </row>
    <row r="2488" spans="1:11" x14ac:dyDescent="0.25">
      <c r="A2488" s="122">
        <v>2487</v>
      </c>
      <c r="B2488" t="s">
        <v>675</v>
      </c>
      <c r="C2488" s="122" t="s">
        <v>181</v>
      </c>
      <c r="D2488" t="s">
        <v>4436</v>
      </c>
      <c r="E2488" s="89" t="s">
        <v>582</v>
      </c>
      <c r="F2488" t="s">
        <v>1547</v>
      </c>
      <c r="G2488" t="s">
        <v>8366</v>
      </c>
      <c r="H2488" t="s">
        <v>11661</v>
      </c>
      <c r="I2488" t="s">
        <v>13548</v>
      </c>
      <c r="J2488" t="s">
        <v>10548</v>
      </c>
      <c r="K2488" t="s">
        <v>13549</v>
      </c>
    </row>
    <row r="2489" spans="1:11" x14ac:dyDescent="0.25">
      <c r="A2489" s="122">
        <v>2488</v>
      </c>
      <c r="B2489" t="s">
        <v>675</v>
      </c>
      <c r="C2489" s="122" t="s">
        <v>183</v>
      </c>
      <c r="D2489" t="s">
        <v>9366</v>
      </c>
      <c r="E2489" t="s">
        <v>13550</v>
      </c>
      <c r="F2489" t="s">
        <v>13551</v>
      </c>
      <c r="G2489" t="s">
        <v>8218</v>
      </c>
      <c r="H2489" t="s">
        <v>13552</v>
      </c>
      <c r="I2489" s="80" t="s">
        <v>13553</v>
      </c>
      <c r="J2489" t="s">
        <v>9323</v>
      </c>
      <c r="K2489" t="s">
        <v>13554</v>
      </c>
    </row>
    <row r="2490" spans="1:11" x14ac:dyDescent="0.25">
      <c r="A2490" s="122">
        <v>2489</v>
      </c>
      <c r="B2490" t="s">
        <v>675</v>
      </c>
      <c r="C2490" s="122" t="s">
        <v>186</v>
      </c>
      <c r="D2490" t="s">
        <v>12532</v>
      </c>
      <c r="E2490" t="s">
        <v>13555</v>
      </c>
      <c r="F2490" t="s">
        <v>13556</v>
      </c>
      <c r="G2490" t="s">
        <v>9502</v>
      </c>
      <c r="H2490" t="s">
        <v>13557</v>
      </c>
      <c r="I2490" s="80" t="s">
        <v>13558</v>
      </c>
      <c r="J2490" t="s">
        <v>9705</v>
      </c>
      <c r="K2490" s="80" t="s">
        <v>9850</v>
      </c>
    </row>
    <row r="2491" spans="1:11" x14ac:dyDescent="0.25">
      <c r="A2491" s="122">
        <v>2490</v>
      </c>
      <c r="B2491" t="s">
        <v>675</v>
      </c>
      <c r="C2491" s="122" t="s">
        <v>188</v>
      </c>
      <c r="D2491" t="s">
        <v>12518</v>
      </c>
      <c r="E2491" s="80" t="s">
        <v>13559</v>
      </c>
      <c r="F2491" t="s">
        <v>13560</v>
      </c>
      <c r="G2491" t="s">
        <v>9592</v>
      </c>
      <c r="H2491" t="s">
        <v>13561</v>
      </c>
      <c r="I2491" s="80" t="s">
        <v>13562</v>
      </c>
      <c r="J2491" t="s">
        <v>9480</v>
      </c>
      <c r="K2491" s="89" t="s">
        <v>582</v>
      </c>
    </row>
    <row r="2492" spans="1:11" x14ac:dyDescent="0.25">
      <c r="A2492" s="122">
        <v>2491</v>
      </c>
      <c r="B2492" t="s">
        <v>675</v>
      </c>
      <c r="C2492" s="122" t="s">
        <v>182</v>
      </c>
      <c r="D2492" t="s">
        <v>2382</v>
      </c>
      <c r="E2492" t="s">
        <v>12548</v>
      </c>
      <c r="F2492" t="s">
        <v>1547</v>
      </c>
      <c r="G2492" s="80" t="s">
        <v>8198</v>
      </c>
      <c r="H2492" t="s">
        <v>13513</v>
      </c>
      <c r="I2492" t="s">
        <v>13563</v>
      </c>
      <c r="J2492" t="s">
        <v>9665</v>
      </c>
      <c r="K2492" t="s">
        <v>13068</v>
      </c>
    </row>
    <row r="2493" spans="1:11" x14ac:dyDescent="0.25">
      <c r="A2493" s="122">
        <v>2492</v>
      </c>
      <c r="B2493" t="s">
        <v>675</v>
      </c>
      <c r="C2493" s="122" t="s">
        <v>184</v>
      </c>
      <c r="D2493" t="s">
        <v>13564</v>
      </c>
      <c r="E2493">
        <v>8087</v>
      </c>
      <c r="F2493" t="s">
        <v>13565</v>
      </c>
      <c r="G2493" t="s">
        <v>10108</v>
      </c>
      <c r="H2493" t="s">
        <v>13566</v>
      </c>
      <c r="I2493" s="80" t="s">
        <v>13567</v>
      </c>
      <c r="J2493" t="s">
        <v>9300</v>
      </c>
      <c r="K2493" t="s">
        <v>13568</v>
      </c>
    </row>
    <row r="2494" spans="1:11" x14ac:dyDescent="0.25">
      <c r="A2494" s="122">
        <v>2493</v>
      </c>
      <c r="B2494" t="s">
        <v>675</v>
      </c>
      <c r="C2494" s="122" t="s">
        <v>187</v>
      </c>
      <c r="D2494" t="s">
        <v>13569</v>
      </c>
      <c r="E2494" t="s">
        <v>13570</v>
      </c>
      <c r="F2494" t="s">
        <v>13571</v>
      </c>
      <c r="G2494" t="s">
        <v>8269</v>
      </c>
      <c r="H2494" s="80" t="s">
        <v>13572</v>
      </c>
      <c r="I2494" s="80" t="s">
        <v>13573</v>
      </c>
      <c r="J2494" t="s">
        <v>9307</v>
      </c>
      <c r="K2494" t="s">
        <v>13574</v>
      </c>
    </row>
    <row r="2495" spans="1:11" x14ac:dyDescent="0.25">
      <c r="A2495" s="122">
        <v>2494</v>
      </c>
      <c r="B2495" t="s">
        <v>675</v>
      </c>
      <c r="C2495" s="122" t="s">
        <v>189</v>
      </c>
      <c r="D2495" t="s">
        <v>13575</v>
      </c>
      <c r="E2495" t="s">
        <v>13261</v>
      </c>
      <c r="F2495" t="s">
        <v>13576</v>
      </c>
      <c r="G2495" t="s">
        <v>8218</v>
      </c>
      <c r="H2495" t="s">
        <v>13577</v>
      </c>
      <c r="I2495" s="80" t="s">
        <v>13578</v>
      </c>
      <c r="J2495" t="s">
        <v>9705</v>
      </c>
      <c r="K2495" t="s">
        <v>13579</v>
      </c>
    </row>
    <row r="2496" spans="1:11" x14ac:dyDescent="0.25">
      <c r="A2496" s="122">
        <v>2495</v>
      </c>
      <c r="B2496" t="s">
        <v>676</v>
      </c>
      <c r="C2496" s="122" t="s">
        <v>162</v>
      </c>
      <c r="D2496" t="s">
        <v>9366</v>
      </c>
      <c r="E2496" s="89" t="s">
        <v>582</v>
      </c>
      <c r="F2496" t="s">
        <v>10483</v>
      </c>
      <c r="G2496" t="s">
        <v>8366</v>
      </c>
      <c r="H2496" t="s">
        <v>13580</v>
      </c>
      <c r="I2496" t="s">
        <v>13581</v>
      </c>
      <c r="J2496" t="s">
        <v>10548</v>
      </c>
      <c r="K2496" t="s">
        <v>13582</v>
      </c>
    </row>
    <row r="2497" spans="1:11" x14ac:dyDescent="0.25">
      <c r="A2497" s="130">
        <v>2496</v>
      </c>
      <c r="B2497" t="s">
        <v>676</v>
      </c>
      <c r="C2497" s="122" t="s">
        <v>170</v>
      </c>
      <c r="D2497" t="s">
        <v>12464</v>
      </c>
      <c r="E2497" s="80" t="s">
        <v>13583</v>
      </c>
      <c r="F2497" t="s">
        <v>13584</v>
      </c>
      <c r="G2497" t="s">
        <v>7998</v>
      </c>
      <c r="H2497" t="s">
        <v>13585</v>
      </c>
      <c r="I2497" s="80" t="s">
        <v>13586</v>
      </c>
      <c r="J2497" t="s">
        <v>9505</v>
      </c>
      <c r="K2497" t="s">
        <v>13587</v>
      </c>
    </row>
    <row r="2498" spans="1:11" x14ac:dyDescent="0.25">
      <c r="A2498" s="131">
        <v>2497</v>
      </c>
      <c r="B2498" t="s">
        <v>676</v>
      </c>
      <c r="C2498" s="122" t="s">
        <v>178</v>
      </c>
      <c r="D2498" t="s">
        <v>13588</v>
      </c>
      <c r="E2498" s="80" t="s">
        <v>13589</v>
      </c>
      <c r="F2498" t="s">
        <v>13590</v>
      </c>
      <c r="G2498" t="s">
        <v>7998</v>
      </c>
      <c r="H2498" s="80" t="s">
        <v>13591</v>
      </c>
      <c r="I2498" s="80" t="s">
        <v>13592</v>
      </c>
      <c r="J2498" t="s">
        <v>9239</v>
      </c>
      <c r="K2498" t="s">
        <v>13593</v>
      </c>
    </row>
    <row r="2499" spans="1:11" x14ac:dyDescent="0.25">
      <c r="A2499" s="122">
        <v>2498</v>
      </c>
      <c r="B2499" t="s">
        <v>676</v>
      </c>
      <c r="C2499" s="122" t="s">
        <v>163</v>
      </c>
      <c r="D2499" t="s">
        <v>13594</v>
      </c>
      <c r="E2499" s="80" t="s">
        <v>13595</v>
      </c>
      <c r="F2499" t="s">
        <v>13596</v>
      </c>
      <c r="G2499" t="s">
        <v>7998</v>
      </c>
      <c r="H2499" s="80" t="s">
        <v>13597</v>
      </c>
      <c r="I2499" s="80" t="s">
        <v>13598</v>
      </c>
      <c r="J2499" t="s">
        <v>3825</v>
      </c>
      <c r="K2499" s="80">
        <v>8486</v>
      </c>
    </row>
    <row r="2500" spans="1:11" x14ac:dyDescent="0.25">
      <c r="A2500" s="122">
        <v>2499</v>
      </c>
      <c r="B2500" t="s">
        <v>676</v>
      </c>
      <c r="C2500" s="122" t="s">
        <v>181</v>
      </c>
      <c r="D2500" t="s">
        <v>12641</v>
      </c>
      <c r="E2500" s="89" t="s">
        <v>582</v>
      </c>
      <c r="F2500" t="s">
        <v>5517</v>
      </c>
      <c r="G2500" t="s">
        <v>8104</v>
      </c>
      <c r="H2500" t="s">
        <v>13599</v>
      </c>
      <c r="I2500" t="s">
        <v>13600</v>
      </c>
      <c r="J2500" t="s">
        <v>9705</v>
      </c>
      <c r="K2500" t="s">
        <v>13601</v>
      </c>
    </row>
    <row r="2501" spans="1:11" x14ac:dyDescent="0.25">
      <c r="A2501" s="122">
        <v>2500</v>
      </c>
      <c r="B2501" t="s">
        <v>676</v>
      </c>
      <c r="C2501" s="122" t="s">
        <v>183</v>
      </c>
      <c r="D2501" t="s">
        <v>1742</v>
      </c>
      <c r="E2501" s="80" t="s">
        <v>13602</v>
      </c>
      <c r="F2501" t="s">
        <v>13603</v>
      </c>
      <c r="G2501" t="s">
        <v>8118</v>
      </c>
      <c r="H2501" s="80" t="s">
        <v>13604</v>
      </c>
      <c r="I2501" s="80" t="s">
        <v>13605</v>
      </c>
      <c r="J2501" t="s">
        <v>3825</v>
      </c>
      <c r="K2501" s="80" t="s">
        <v>13606</v>
      </c>
    </row>
    <row r="2502" spans="1:11" x14ac:dyDescent="0.25">
      <c r="A2502" s="122">
        <v>2501</v>
      </c>
      <c r="B2502" t="s">
        <v>676</v>
      </c>
      <c r="C2502" s="122" t="s">
        <v>186</v>
      </c>
      <c r="D2502" t="s">
        <v>1742</v>
      </c>
      <c r="E2502" t="s">
        <v>13607</v>
      </c>
      <c r="F2502" t="s">
        <v>13608</v>
      </c>
      <c r="G2502" t="s">
        <v>7998</v>
      </c>
      <c r="H2502" s="80" t="s">
        <v>13609</v>
      </c>
      <c r="I2502" s="80" t="s">
        <v>13610</v>
      </c>
      <c r="J2502" t="s">
        <v>9401</v>
      </c>
      <c r="K2502" s="80" t="s">
        <v>13611</v>
      </c>
    </row>
    <row r="2503" spans="1:11" x14ac:dyDescent="0.25">
      <c r="A2503" s="122">
        <v>2502</v>
      </c>
      <c r="B2503" t="s">
        <v>676</v>
      </c>
      <c r="C2503" s="122" t="s">
        <v>188</v>
      </c>
      <c r="D2503" t="s">
        <v>13612</v>
      </c>
      <c r="E2503" s="89" t="s">
        <v>582</v>
      </c>
      <c r="F2503" t="s">
        <v>13613</v>
      </c>
      <c r="G2503" t="s">
        <v>8077</v>
      </c>
      <c r="H2503" t="s">
        <v>13614</v>
      </c>
      <c r="I2503" s="80" t="s">
        <v>13615</v>
      </c>
      <c r="J2503" t="s">
        <v>9740</v>
      </c>
      <c r="K2503" s="80" t="s">
        <v>13616</v>
      </c>
    </row>
    <row r="2504" spans="1:11" x14ac:dyDescent="0.25">
      <c r="A2504" s="122">
        <v>2503</v>
      </c>
      <c r="B2504" t="s">
        <v>676</v>
      </c>
      <c r="C2504" s="122" t="s">
        <v>182</v>
      </c>
      <c r="D2504" t="s">
        <v>583</v>
      </c>
      <c r="E2504" t="s">
        <v>13617</v>
      </c>
      <c r="F2504" t="s">
        <v>7163</v>
      </c>
      <c r="G2504" t="s">
        <v>583</v>
      </c>
      <c r="H2504" t="s">
        <v>13618</v>
      </c>
      <c r="I2504" t="s">
        <v>13619</v>
      </c>
      <c r="J2504" t="s">
        <v>9665</v>
      </c>
      <c r="K2504" t="s">
        <v>9145</v>
      </c>
    </row>
    <row r="2505" spans="1:11" x14ac:dyDescent="0.25">
      <c r="A2505" s="122">
        <v>2504</v>
      </c>
      <c r="B2505" t="s">
        <v>676</v>
      </c>
      <c r="C2505" s="122" t="s">
        <v>184</v>
      </c>
      <c r="D2505" t="s">
        <v>13620</v>
      </c>
      <c r="E2505" t="s">
        <v>13621</v>
      </c>
      <c r="F2505" t="s">
        <v>13622</v>
      </c>
      <c r="G2505" t="s">
        <v>8096</v>
      </c>
      <c r="H2505" s="80" t="s">
        <v>13623</v>
      </c>
      <c r="I2505" s="80" t="s">
        <v>13624</v>
      </c>
      <c r="J2505" t="s">
        <v>9300</v>
      </c>
      <c r="K2505" t="s">
        <v>13625</v>
      </c>
    </row>
    <row r="2506" spans="1:11" x14ac:dyDescent="0.25">
      <c r="A2506" s="122">
        <v>2505</v>
      </c>
      <c r="B2506" t="s">
        <v>676</v>
      </c>
      <c r="C2506" s="122" t="s">
        <v>187</v>
      </c>
      <c r="D2506" t="s">
        <v>13626</v>
      </c>
      <c r="E2506" t="s">
        <v>13627</v>
      </c>
      <c r="F2506" t="s">
        <v>13628</v>
      </c>
      <c r="G2506" t="s">
        <v>9317</v>
      </c>
      <c r="H2506" s="80" t="s">
        <v>13629</v>
      </c>
      <c r="I2506" s="80" t="s">
        <v>13630</v>
      </c>
      <c r="J2506" t="s">
        <v>12067</v>
      </c>
      <c r="K2506" t="s">
        <v>13631</v>
      </c>
    </row>
    <row r="2507" spans="1:11" x14ac:dyDescent="0.25">
      <c r="A2507" s="122">
        <v>2506</v>
      </c>
      <c r="B2507" t="s">
        <v>676</v>
      </c>
      <c r="C2507" s="122" t="s">
        <v>189</v>
      </c>
      <c r="D2507" t="s">
        <v>13632</v>
      </c>
      <c r="E2507" t="s">
        <v>13633</v>
      </c>
      <c r="F2507" t="s">
        <v>9932</v>
      </c>
      <c r="G2507" t="s">
        <v>8096</v>
      </c>
      <c r="H2507" s="80" t="s">
        <v>13634</v>
      </c>
      <c r="I2507" s="80" t="s">
        <v>13635</v>
      </c>
      <c r="J2507" t="s">
        <v>9239</v>
      </c>
      <c r="K2507" t="s">
        <v>13636</v>
      </c>
    </row>
    <row r="2508" spans="1:11" x14ac:dyDescent="0.25">
      <c r="A2508" s="122">
        <v>2507</v>
      </c>
      <c r="B2508" t="s">
        <v>677</v>
      </c>
      <c r="C2508" s="122" t="s">
        <v>162</v>
      </c>
      <c r="D2508" t="s">
        <v>13637</v>
      </c>
      <c r="E2508" s="80" t="s">
        <v>13638</v>
      </c>
      <c r="F2508" t="s">
        <v>5597</v>
      </c>
      <c r="G2508" t="s">
        <v>10094</v>
      </c>
      <c r="H2508" t="s">
        <v>8287</v>
      </c>
      <c r="I2508" t="s">
        <v>13639</v>
      </c>
      <c r="J2508" t="s">
        <v>9366</v>
      </c>
      <c r="K2508" t="s">
        <v>12500</v>
      </c>
    </row>
    <row r="2509" spans="1:11" x14ac:dyDescent="0.25">
      <c r="A2509" s="122">
        <v>2508</v>
      </c>
      <c r="B2509" t="s">
        <v>677</v>
      </c>
      <c r="C2509" s="122" t="s">
        <v>170</v>
      </c>
      <c r="D2509" t="s">
        <v>12609</v>
      </c>
      <c r="E2509" t="s">
        <v>13640</v>
      </c>
      <c r="F2509" t="s">
        <v>13641</v>
      </c>
      <c r="G2509" t="s">
        <v>9646</v>
      </c>
      <c r="H2509" t="s">
        <v>13642</v>
      </c>
      <c r="I2509" s="80" t="s">
        <v>13643</v>
      </c>
      <c r="J2509" t="s">
        <v>9382</v>
      </c>
      <c r="K2509" t="s">
        <v>13644</v>
      </c>
    </row>
    <row r="2510" spans="1:11" x14ac:dyDescent="0.25">
      <c r="A2510" s="122">
        <v>2509</v>
      </c>
      <c r="B2510" t="s">
        <v>677</v>
      </c>
      <c r="C2510" s="122" t="s">
        <v>178</v>
      </c>
      <c r="D2510" t="s">
        <v>13645</v>
      </c>
      <c r="E2510" t="s">
        <v>13646</v>
      </c>
      <c r="F2510" t="s">
        <v>13647</v>
      </c>
      <c r="G2510" t="s">
        <v>7443</v>
      </c>
      <c r="H2510" t="s">
        <v>13648</v>
      </c>
      <c r="I2510" s="80" t="s">
        <v>13649</v>
      </c>
      <c r="J2510" t="s">
        <v>9330</v>
      </c>
      <c r="K2510" t="s">
        <v>13650</v>
      </c>
    </row>
    <row r="2511" spans="1:11" x14ac:dyDescent="0.25">
      <c r="A2511" s="122">
        <v>2510</v>
      </c>
      <c r="B2511" t="s">
        <v>677</v>
      </c>
      <c r="C2511" s="122" t="s">
        <v>163</v>
      </c>
      <c r="D2511" t="s">
        <v>13320</v>
      </c>
      <c r="E2511" s="80" t="s">
        <v>12810</v>
      </c>
      <c r="F2511" t="s">
        <v>13651</v>
      </c>
      <c r="G2511" t="s">
        <v>8047</v>
      </c>
      <c r="H2511" t="s">
        <v>13652</v>
      </c>
      <c r="I2511" s="80" t="s">
        <v>13653</v>
      </c>
      <c r="J2511" t="s">
        <v>9672</v>
      </c>
      <c r="K2511" t="s">
        <v>13654</v>
      </c>
    </row>
    <row r="2512" spans="1:11" x14ac:dyDescent="0.25">
      <c r="A2512" s="122">
        <v>2511</v>
      </c>
      <c r="B2512" t="s">
        <v>677</v>
      </c>
      <c r="C2512" s="122" t="s">
        <v>181</v>
      </c>
      <c r="D2512" t="s">
        <v>4277</v>
      </c>
      <c r="E2512" s="80" t="s">
        <v>13655</v>
      </c>
      <c r="F2512" t="s">
        <v>5597</v>
      </c>
      <c r="G2512" t="s">
        <v>8353</v>
      </c>
      <c r="H2512" t="s">
        <v>13656</v>
      </c>
      <c r="I2512" t="s">
        <v>13657</v>
      </c>
      <c r="J2512" t="s">
        <v>10590</v>
      </c>
      <c r="K2512" t="s">
        <v>10525</v>
      </c>
    </row>
    <row r="2513" spans="1:11" x14ac:dyDescent="0.25">
      <c r="A2513" s="122">
        <v>2512</v>
      </c>
      <c r="B2513" t="s">
        <v>677</v>
      </c>
      <c r="C2513" s="122" t="s">
        <v>183</v>
      </c>
      <c r="D2513" t="s">
        <v>12407</v>
      </c>
      <c r="E2513" t="s">
        <v>13658</v>
      </c>
      <c r="F2513" t="s">
        <v>13659</v>
      </c>
      <c r="G2513" t="s">
        <v>8218</v>
      </c>
      <c r="H2513" t="s">
        <v>13660</v>
      </c>
      <c r="I2513" s="80" t="s">
        <v>13661</v>
      </c>
      <c r="J2513" t="s">
        <v>9330</v>
      </c>
      <c r="K2513" t="s">
        <v>13662</v>
      </c>
    </row>
    <row r="2514" spans="1:11" x14ac:dyDescent="0.25">
      <c r="A2514" s="122">
        <v>2513</v>
      </c>
      <c r="B2514" t="s">
        <v>677</v>
      </c>
      <c r="C2514" s="122" t="s">
        <v>186</v>
      </c>
      <c r="D2514" t="s">
        <v>13149</v>
      </c>
      <c r="E2514" t="s">
        <v>13663</v>
      </c>
      <c r="F2514" t="s">
        <v>13664</v>
      </c>
      <c r="G2514" t="s">
        <v>10108</v>
      </c>
      <c r="H2514" s="80" t="s">
        <v>13665</v>
      </c>
      <c r="I2514" s="80" t="s">
        <v>13666</v>
      </c>
      <c r="J2514" t="s">
        <v>9307</v>
      </c>
      <c r="K2514" t="s">
        <v>13667</v>
      </c>
    </row>
    <row r="2515" spans="1:11" x14ac:dyDescent="0.25">
      <c r="A2515" s="122">
        <v>2514</v>
      </c>
      <c r="B2515" t="s">
        <v>677</v>
      </c>
      <c r="C2515" s="122" t="s">
        <v>188</v>
      </c>
      <c r="D2515">
        <v>10</v>
      </c>
      <c r="E2515" s="80" t="s">
        <v>13668</v>
      </c>
      <c r="F2515" t="s">
        <v>10450</v>
      </c>
      <c r="G2515" t="s">
        <v>7443</v>
      </c>
      <c r="H2515" t="s">
        <v>13669</v>
      </c>
      <c r="I2515" s="80" t="s">
        <v>13670</v>
      </c>
      <c r="J2515" t="s">
        <v>9213</v>
      </c>
      <c r="K2515" t="s">
        <v>13671</v>
      </c>
    </row>
    <row r="2516" spans="1:11" x14ac:dyDescent="0.25">
      <c r="A2516" s="122">
        <v>2515</v>
      </c>
      <c r="B2516" t="s">
        <v>677</v>
      </c>
      <c r="C2516" s="122" t="s">
        <v>182</v>
      </c>
      <c r="D2516" t="s">
        <v>583</v>
      </c>
      <c r="E2516" t="s">
        <v>13672</v>
      </c>
      <c r="F2516" t="s">
        <v>7163</v>
      </c>
      <c r="G2516" t="s">
        <v>583</v>
      </c>
      <c r="H2516" t="s">
        <v>12748</v>
      </c>
      <c r="I2516" t="s">
        <v>7582</v>
      </c>
      <c r="J2516" t="s">
        <v>9665</v>
      </c>
      <c r="K2516" t="s">
        <v>7184</v>
      </c>
    </row>
    <row r="2517" spans="1:11" x14ac:dyDescent="0.25">
      <c r="A2517" s="122">
        <v>2516</v>
      </c>
      <c r="B2517" t="s">
        <v>677</v>
      </c>
      <c r="C2517" s="122" t="s">
        <v>184</v>
      </c>
      <c r="D2517" t="s">
        <v>13673</v>
      </c>
      <c r="E2517" t="s">
        <v>13674</v>
      </c>
      <c r="F2517" t="s">
        <v>13675</v>
      </c>
      <c r="G2517" t="s">
        <v>10191</v>
      </c>
      <c r="H2517" t="s">
        <v>13676</v>
      </c>
      <c r="I2517" s="80" t="s">
        <v>13677</v>
      </c>
      <c r="J2517" t="s">
        <v>9265</v>
      </c>
      <c r="K2517" t="s">
        <v>13678</v>
      </c>
    </row>
    <row r="2518" spans="1:11" x14ac:dyDescent="0.25">
      <c r="A2518" s="122">
        <v>2517</v>
      </c>
      <c r="B2518" t="s">
        <v>677</v>
      </c>
      <c r="C2518" s="122" t="s">
        <v>187</v>
      </c>
      <c r="D2518" t="s">
        <v>13679</v>
      </c>
      <c r="E2518" t="s">
        <v>13680</v>
      </c>
      <c r="F2518" t="s">
        <v>13681</v>
      </c>
      <c r="G2518" t="s">
        <v>7443</v>
      </c>
      <c r="H2518" s="80" t="s">
        <v>13682</v>
      </c>
      <c r="I2518" s="80" t="s">
        <v>13683</v>
      </c>
      <c r="J2518" t="s">
        <v>11359</v>
      </c>
      <c r="K2518" s="80" t="s">
        <v>13684</v>
      </c>
    </row>
    <row r="2519" spans="1:11" x14ac:dyDescent="0.25">
      <c r="A2519" s="122">
        <v>2518</v>
      </c>
      <c r="B2519" t="s">
        <v>677</v>
      </c>
      <c r="C2519" s="122" t="s">
        <v>189</v>
      </c>
      <c r="D2519" t="s">
        <v>13685</v>
      </c>
      <c r="E2519" t="s">
        <v>13686</v>
      </c>
      <c r="F2519" t="s">
        <v>13687</v>
      </c>
      <c r="G2519" t="s">
        <v>8071</v>
      </c>
      <c r="H2519" s="80" t="s">
        <v>13688</v>
      </c>
      <c r="I2519" s="80" t="s">
        <v>13689</v>
      </c>
      <c r="J2519" t="s">
        <v>9239</v>
      </c>
      <c r="K2519" t="s">
        <v>13690</v>
      </c>
    </row>
    <row r="2520" spans="1:11" x14ac:dyDescent="0.25">
      <c r="A2520" s="122">
        <v>2519</v>
      </c>
      <c r="B2520" t="s">
        <v>678</v>
      </c>
      <c r="C2520" s="122" t="s">
        <v>162</v>
      </c>
      <c r="D2520">
        <v>10</v>
      </c>
      <c r="E2520" s="89" t="s">
        <v>582</v>
      </c>
      <c r="F2520" t="s">
        <v>5312</v>
      </c>
      <c r="G2520" t="s">
        <v>8218</v>
      </c>
      <c r="H2520" t="s">
        <v>7492</v>
      </c>
      <c r="I2520" t="s">
        <v>13691</v>
      </c>
      <c r="J2520" t="s">
        <v>9341</v>
      </c>
      <c r="K2520" t="s">
        <v>13692</v>
      </c>
    </row>
    <row r="2521" spans="1:11" x14ac:dyDescent="0.25">
      <c r="A2521" s="122">
        <v>2520</v>
      </c>
      <c r="B2521" t="s">
        <v>678</v>
      </c>
      <c r="C2521" s="122" t="s">
        <v>170</v>
      </c>
      <c r="D2521" t="s">
        <v>12464</v>
      </c>
      <c r="E2521" s="80" t="s">
        <v>13583</v>
      </c>
      <c r="F2521" t="s">
        <v>13693</v>
      </c>
      <c r="G2521" t="s">
        <v>7443</v>
      </c>
      <c r="H2521" t="s">
        <v>13694</v>
      </c>
      <c r="I2521" s="80" t="s">
        <v>13695</v>
      </c>
      <c r="J2521" t="s">
        <v>9505</v>
      </c>
      <c r="K2521" t="s">
        <v>13696</v>
      </c>
    </row>
    <row r="2522" spans="1:11" x14ac:dyDescent="0.25">
      <c r="A2522" s="122">
        <v>2521</v>
      </c>
      <c r="B2522" t="s">
        <v>678</v>
      </c>
      <c r="C2522" s="122" t="s">
        <v>178</v>
      </c>
      <c r="D2522" t="s">
        <v>13697</v>
      </c>
      <c r="E2522" s="80" t="s">
        <v>13698</v>
      </c>
      <c r="F2522" t="s">
        <v>13699</v>
      </c>
      <c r="G2522" t="s">
        <v>8104</v>
      </c>
      <c r="H2522" s="80" t="s">
        <v>13700</v>
      </c>
      <c r="I2522" s="80" t="s">
        <v>13701</v>
      </c>
      <c r="J2522" t="s">
        <v>9615</v>
      </c>
      <c r="K2522" t="s">
        <v>13702</v>
      </c>
    </row>
    <row r="2523" spans="1:11" x14ac:dyDescent="0.25">
      <c r="A2523" s="122">
        <v>2522</v>
      </c>
      <c r="B2523" t="s">
        <v>678</v>
      </c>
      <c r="C2523" s="122" t="s">
        <v>163</v>
      </c>
      <c r="D2523" t="s">
        <v>13703</v>
      </c>
      <c r="E2523" s="80" t="s">
        <v>13704</v>
      </c>
      <c r="F2523" t="s">
        <v>13705</v>
      </c>
      <c r="G2523" t="s">
        <v>8077</v>
      </c>
      <c r="H2523" s="80" t="s">
        <v>13706</v>
      </c>
      <c r="I2523" s="80" t="s">
        <v>13707</v>
      </c>
      <c r="J2523" t="s">
        <v>9459</v>
      </c>
      <c r="K2523" s="111" t="s">
        <v>13313</v>
      </c>
    </row>
    <row r="2524" spans="1:11" x14ac:dyDescent="0.25">
      <c r="A2524" s="122">
        <v>2523</v>
      </c>
      <c r="B2524" t="s">
        <v>678</v>
      </c>
      <c r="C2524" s="122" t="s">
        <v>181</v>
      </c>
      <c r="D2524" t="s">
        <v>9366</v>
      </c>
      <c r="E2524" s="89" t="s">
        <v>582</v>
      </c>
      <c r="F2524" t="s">
        <v>5517</v>
      </c>
      <c r="G2524" t="s">
        <v>10108</v>
      </c>
      <c r="H2524" t="s">
        <v>13708</v>
      </c>
      <c r="I2524" t="s">
        <v>13709</v>
      </c>
      <c r="J2524" t="s">
        <v>9330</v>
      </c>
      <c r="K2524" t="s">
        <v>13710</v>
      </c>
    </row>
    <row r="2525" spans="1:11" x14ac:dyDescent="0.25">
      <c r="A2525" s="122">
        <v>2524</v>
      </c>
      <c r="B2525" t="s">
        <v>678</v>
      </c>
      <c r="C2525" s="122" t="s">
        <v>183</v>
      </c>
      <c r="D2525" t="s">
        <v>13612</v>
      </c>
      <c r="E2525" s="80" t="s">
        <v>13131</v>
      </c>
      <c r="F2525" t="s">
        <v>13711</v>
      </c>
      <c r="G2525" t="s">
        <v>7998</v>
      </c>
      <c r="H2525" t="s">
        <v>13712</v>
      </c>
      <c r="I2525" s="80" t="s">
        <v>13713</v>
      </c>
      <c r="J2525" t="s">
        <v>9516</v>
      </c>
      <c r="K2525" s="80" t="s">
        <v>13714</v>
      </c>
    </row>
    <row r="2526" spans="1:11" x14ac:dyDescent="0.25">
      <c r="A2526" s="122">
        <v>2525</v>
      </c>
      <c r="B2526" t="s">
        <v>678</v>
      </c>
      <c r="C2526" s="122" t="s">
        <v>186</v>
      </c>
      <c r="D2526" t="s">
        <v>13286</v>
      </c>
      <c r="E2526" s="80" t="s">
        <v>13715</v>
      </c>
      <c r="F2526" s="80" t="s">
        <v>13716</v>
      </c>
      <c r="G2526" t="s">
        <v>8158</v>
      </c>
      <c r="H2526" s="80" t="s">
        <v>13717</v>
      </c>
      <c r="I2526" s="80" t="s">
        <v>13718</v>
      </c>
      <c r="J2526" t="s">
        <v>9516</v>
      </c>
      <c r="K2526" s="80" t="s">
        <v>13719</v>
      </c>
    </row>
    <row r="2527" spans="1:11" x14ac:dyDescent="0.25">
      <c r="A2527" s="122">
        <v>2526</v>
      </c>
      <c r="B2527" t="s">
        <v>678</v>
      </c>
      <c r="C2527" s="122" t="s">
        <v>188</v>
      </c>
      <c r="D2527" t="s">
        <v>12676</v>
      </c>
      <c r="E2527" s="80" t="s">
        <v>13720</v>
      </c>
      <c r="F2527" t="s">
        <v>13721</v>
      </c>
      <c r="G2527" t="s">
        <v>8158</v>
      </c>
      <c r="H2527" t="s">
        <v>13722</v>
      </c>
      <c r="I2527" s="80" t="s">
        <v>13723</v>
      </c>
      <c r="J2527" t="s">
        <v>9480</v>
      </c>
      <c r="K2527" s="80" t="s">
        <v>13724</v>
      </c>
    </row>
    <row r="2528" spans="1:11" x14ac:dyDescent="0.25">
      <c r="A2528" s="122">
        <v>2527</v>
      </c>
      <c r="B2528" t="s">
        <v>678</v>
      </c>
      <c r="C2528" s="122" t="s">
        <v>182</v>
      </c>
      <c r="D2528" t="s">
        <v>583</v>
      </c>
      <c r="E2528" t="s">
        <v>13725</v>
      </c>
      <c r="F2528" t="s">
        <v>2549</v>
      </c>
      <c r="G2528" t="s">
        <v>583</v>
      </c>
      <c r="H2528" s="80" t="s">
        <v>6530</v>
      </c>
      <c r="I2528" t="s">
        <v>12916</v>
      </c>
      <c r="J2528" t="s">
        <v>9665</v>
      </c>
      <c r="K2528" t="s">
        <v>11627</v>
      </c>
    </row>
    <row r="2529" spans="1:11" x14ac:dyDescent="0.25">
      <c r="A2529" s="122">
        <v>2528</v>
      </c>
      <c r="B2529" t="s">
        <v>678</v>
      </c>
      <c r="C2529" s="122" t="s">
        <v>184</v>
      </c>
      <c r="D2529" t="s">
        <v>13254</v>
      </c>
      <c r="E2529" t="s">
        <v>13726</v>
      </c>
      <c r="F2529" t="s">
        <v>13727</v>
      </c>
      <c r="G2529" t="s">
        <v>9233</v>
      </c>
      <c r="H2529" t="s">
        <v>13728</v>
      </c>
      <c r="I2529" s="80" t="s">
        <v>13729</v>
      </c>
      <c r="J2529" t="s">
        <v>5861</v>
      </c>
      <c r="K2529" t="s">
        <v>13730</v>
      </c>
    </row>
    <row r="2530" spans="1:11" x14ac:dyDescent="0.25">
      <c r="A2530" s="122">
        <v>2529</v>
      </c>
      <c r="B2530" t="s">
        <v>678</v>
      </c>
      <c r="C2530" s="122" t="s">
        <v>187</v>
      </c>
      <c r="D2530" t="s">
        <v>13731</v>
      </c>
      <c r="E2530" t="s">
        <v>13732</v>
      </c>
      <c r="F2530" t="s">
        <v>13733</v>
      </c>
      <c r="G2530" t="s">
        <v>8269</v>
      </c>
      <c r="H2530" t="s">
        <v>13734</v>
      </c>
      <c r="I2530" s="80" t="s">
        <v>13735</v>
      </c>
      <c r="J2530" t="s">
        <v>9330</v>
      </c>
      <c r="K2530" s="80" t="s">
        <v>13736</v>
      </c>
    </row>
    <row r="2531" spans="1:11" x14ac:dyDescent="0.25">
      <c r="A2531" s="122">
        <v>2530</v>
      </c>
      <c r="B2531" t="s">
        <v>678</v>
      </c>
      <c r="C2531" s="122" t="s">
        <v>189</v>
      </c>
      <c r="D2531" t="s">
        <v>3789</v>
      </c>
      <c r="E2531" t="s">
        <v>13737</v>
      </c>
      <c r="F2531" t="s">
        <v>10012</v>
      </c>
      <c r="G2531" t="s">
        <v>8353</v>
      </c>
      <c r="H2531" t="s">
        <v>13738</v>
      </c>
      <c r="I2531" s="80" t="s">
        <v>13739</v>
      </c>
      <c r="J2531" t="s">
        <v>6627</v>
      </c>
      <c r="K2531" t="s">
        <v>13740</v>
      </c>
    </row>
    <row r="2532" spans="1:11" x14ac:dyDescent="0.25">
      <c r="A2532" s="122">
        <v>2531</v>
      </c>
      <c r="B2532">
        <v>1093</v>
      </c>
      <c r="C2532" s="122" t="s">
        <v>162</v>
      </c>
      <c r="D2532" t="s">
        <v>12411</v>
      </c>
      <c r="E2532" s="80" t="s">
        <v>13741</v>
      </c>
      <c r="F2532" t="s">
        <v>13742</v>
      </c>
      <c r="G2532" t="s">
        <v>8218</v>
      </c>
      <c r="H2532" t="s">
        <v>13743</v>
      </c>
      <c r="I2532" s="80" t="s">
        <v>13744</v>
      </c>
      <c r="J2532" t="s">
        <v>9265</v>
      </c>
      <c r="K2532" t="s">
        <v>13745</v>
      </c>
    </row>
    <row r="2533" spans="1:11" x14ac:dyDescent="0.25">
      <c r="A2533" s="122">
        <v>2532</v>
      </c>
      <c r="B2533">
        <v>1093</v>
      </c>
      <c r="C2533" s="122" t="s">
        <v>170</v>
      </c>
      <c r="D2533" t="s">
        <v>10867</v>
      </c>
      <c r="E2533" s="80" t="s">
        <v>13746</v>
      </c>
      <c r="F2533" t="s">
        <v>10480</v>
      </c>
      <c r="G2533" t="s">
        <v>8269</v>
      </c>
      <c r="H2533" t="s">
        <v>1990</v>
      </c>
      <c r="I2533" t="s">
        <v>13747</v>
      </c>
      <c r="J2533" t="s">
        <v>9341</v>
      </c>
      <c r="K2533">
        <v>7</v>
      </c>
    </row>
    <row r="2534" spans="1:11" x14ac:dyDescent="0.25">
      <c r="A2534" s="122">
        <v>2533</v>
      </c>
      <c r="B2534">
        <v>1093</v>
      </c>
      <c r="C2534" s="122" t="s">
        <v>178</v>
      </c>
      <c r="D2534" t="s">
        <v>13286</v>
      </c>
      <c r="E2534" s="80" t="s">
        <v>13748</v>
      </c>
      <c r="F2534" t="s">
        <v>13749</v>
      </c>
      <c r="G2534" t="s">
        <v>8077</v>
      </c>
      <c r="H2534" s="80" t="s">
        <v>13750</v>
      </c>
      <c r="I2534" s="80" t="s">
        <v>13751</v>
      </c>
      <c r="J2534" t="s">
        <v>10009</v>
      </c>
      <c r="K2534" t="s">
        <v>10034</v>
      </c>
    </row>
    <row r="2535" spans="1:11" x14ac:dyDescent="0.25">
      <c r="A2535" s="122">
        <v>2534</v>
      </c>
      <c r="B2535">
        <v>1093</v>
      </c>
      <c r="C2535" s="122" t="s">
        <v>163</v>
      </c>
      <c r="D2535" t="s">
        <v>9129</v>
      </c>
      <c r="E2535" s="80" t="s">
        <v>13752</v>
      </c>
      <c r="F2535" t="s">
        <v>13753</v>
      </c>
      <c r="G2535" t="s">
        <v>7959</v>
      </c>
      <c r="H2535" s="80" t="s">
        <v>13754</v>
      </c>
      <c r="I2535" s="80" t="s">
        <v>13755</v>
      </c>
      <c r="J2535" t="s">
        <v>7367</v>
      </c>
      <c r="K2535" s="89" t="s">
        <v>582</v>
      </c>
    </row>
    <row r="2536" spans="1:11" x14ac:dyDescent="0.25">
      <c r="A2536" s="122">
        <v>2535</v>
      </c>
      <c r="B2536">
        <v>1093</v>
      </c>
      <c r="C2536" s="122" t="s">
        <v>181</v>
      </c>
      <c r="D2536" t="s">
        <v>3789</v>
      </c>
      <c r="E2536" s="89" t="s">
        <v>582</v>
      </c>
      <c r="F2536" t="s">
        <v>1765</v>
      </c>
      <c r="G2536" t="s">
        <v>8096</v>
      </c>
      <c r="H2536" t="s">
        <v>2953</v>
      </c>
      <c r="I2536" t="s">
        <v>13756</v>
      </c>
      <c r="J2536" t="s">
        <v>9265</v>
      </c>
      <c r="K2536" t="s">
        <v>13757</v>
      </c>
    </row>
    <row r="2537" spans="1:11" x14ac:dyDescent="0.25">
      <c r="A2537" s="122">
        <v>2536</v>
      </c>
      <c r="B2537">
        <v>1093</v>
      </c>
      <c r="C2537" s="122" t="s">
        <v>183</v>
      </c>
      <c r="D2537" t="s">
        <v>12449</v>
      </c>
      <c r="E2537" s="80" t="s">
        <v>13758</v>
      </c>
      <c r="F2537" t="s">
        <v>13759</v>
      </c>
      <c r="G2537" t="s">
        <v>8104</v>
      </c>
      <c r="H2537" t="s">
        <v>13760</v>
      </c>
      <c r="I2537" s="80" t="s">
        <v>13761</v>
      </c>
      <c r="J2537" t="s">
        <v>9575</v>
      </c>
      <c r="K2537" s="80" t="s">
        <v>13762</v>
      </c>
    </row>
    <row r="2538" spans="1:11" x14ac:dyDescent="0.25">
      <c r="A2538" s="122">
        <v>2537</v>
      </c>
      <c r="B2538">
        <v>1093</v>
      </c>
      <c r="C2538" s="122" t="s">
        <v>186</v>
      </c>
      <c r="D2538" t="s">
        <v>12532</v>
      </c>
      <c r="E2538" s="80" t="s">
        <v>13763</v>
      </c>
      <c r="F2538" t="s">
        <v>13764</v>
      </c>
      <c r="G2538" t="s">
        <v>7952</v>
      </c>
      <c r="H2538" s="80" t="s">
        <v>13765</v>
      </c>
      <c r="I2538" s="80" t="s">
        <v>13766</v>
      </c>
      <c r="J2538" t="s">
        <v>9401</v>
      </c>
      <c r="K2538" s="80" t="s">
        <v>13767</v>
      </c>
    </row>
    <row r="2539" spans="1:11" x14ac:dyDescent="0.25">
      <c r="A2539" s="122">
        <v>2538</v>
      </c>
      <c r="B2539">
        <v>1093</v>
      </c>
      <c r="C2539" s="122" t="s">
        <v>188</v>
      </c>
      <c r="D2539" t="s">
        <v>12518</v>
      </c>
      <c r="E2539" s="80" t="s">
        <v>13768</v>
      </c>
      <c r="F2539" t="s">
        <v>13769</v>
      </c>
      <c r="G2539" t="s">
        <v>8077</v>
      </c>
      <c r="H2539" s="80" t="s">
        <v>13770</v>
      </c>
      <c r="I2539" s="80" t="s">
        <v>13771</v>
      </c>
      <c r="J2539" t="s">
        <v>9231</v>
      </c>
      <c r="K2539" s="89" t="s">
        <v>582</v>
      </c>
    </row>
    <row r="2540" spans="1:11" x14ac:dyDescent="0.25">
      <c r="A2540" s="122">
        <v>2539</v>
      </c>
      <c r="B2540">
        <v>1093</v>
      </c>
      <c r="C2540" s="122" t="s">
        <v>182</v>
      </c>
      <c r="D2540" t="s">
        <v>11122</v>
      </c>
      <c r="E2540" t="s">
        <v>13772</v>
      </c>
      <c r="F2540" t="s">
        <v>13773</v>
      </c>
      <c r="G2540" t="s">
        <v>8096</v>
      </c>
      <c r="H2540" t="s">
        <v>13774</v>
      </c>
      <c r="I2540" s="80" t="s">
        <v>13775</v>
      </c>
      <c r="J2540" t="s">
        <v>9366</v>
      </c>
      <c r="K2540" t="s">
        <v>13776</v>
      </c>
    </row>
    <row r="2541" spans="1:11" x14ac:dyDescent="0.25">
      <c r="A2541" s="122">
        <v>2540</v>
      </c>
      <c r="B2541">
        <v>1093</v>
      </c>
      <c r="C2541" s="122" t="s">
        <v>184</v>
      </c>
      <c r="D2541" t="s">
        <v>12407</v>
      </c>
      <c r="E2541" t="s">
        <v>13777</v>
      </c>
      <c r="F2541" t="s">
        <v>4343</v>
      </c>
      <c r="G2541" t="s">
        <v>8096</v>
      </c>
      <c r="H2541" t="s">
        <v>13778</v>
      </c>
      <c r="I2541" s="80" t="s">
        <v>13779</v>
      </c>
      <c r="J2541" t="s">
        <v>6627</v>
      </c>
      <c r="K2541" t="s">
        <v>13780</v>
      </c>
    </row>
    <row r="2542" spans="1:11" x14ac:dyDescent="0.25">
      <c r="A2542" s="122">
        <v>2541</v>
      </c>
      <c r="B2542">
        <v>1093</v>
      </c>
      <c r="C2542" s="122" t="s">
        <v>187</v>
      </c>
      <c r="D2542" t="s">
        <v>12411</v>
      </c>
      <c r="E2542" t="s">
        <v>13781</v>
      </c>
      <c r="F2542" t="s">
        <v>13782</v>
      </c>
      <c r="G2542" t="s">
        <v>10108</v>
      </c>
      <c r="H2542" s="80" t="s">
        <v>13783</v>
      </c>
      <c r="I2542" s="80" t="s">
        <v>810</v>
      </c>
      <c r="J2542" t="s">
        <v>10009</v>
      </c>
      <c r="K2542" t="s">
        <v>13784</v>
      </c>
    </row>
    <row r="2543" spans="1:11" x14ac:dyDescent="0.25">
      <c r="A2543" s="122">
        <v>2542</v>
      </c>
      <c r="B2543">
        <v>1093</v>
      </c>
      <c r="C2543" s="122" t="s">
        <v>189</v>
      </c>
      <c r="D2543" t="s">
        <v>12411</v>
      </c>
      <c r="E2543" t="s">
        <v>13785</v>
      </c>
      <c r="F2543" t="s">
        <v>12361</v>
      </c>
      <c r="G2543" t="s">
        <v>8047</v>
      </c>
      <c r="H2543" s="80" t="s">
        <v>13786</v>
      </c>
      <c r="I2543" s="80" t="s">
        <v>13787</v>
      </c>
      <c r="J2543" t="s">
        <v>9300</v>
      </c>
      <c r="K2543" t="s">
        <v>13788</v>
      </c>
    </row>
    <row r="2544" spans="1:11" x14ac:dyDescent="0.25">
      <c r="A2544" s="122">
        <v>2543</v>
      </c>
      <c r="B2544">
        <v>3032</v>
      </c>
      <c r="C2544" s="122" t="s">
        <v>162</v>
      </c>
      <c r="D2544" t="s">
        <v>4436</v>
      </c>
      <c r="E2544" s="80" t="s">
        <v>13789</v>
      </c>
      <c r="F2544" t="s">
        <v>5312</v>
      </c>
      <c r="G2544" t="s">
        <v>8096</v>
      </c>
      <c r="H2544" t="s">
        <v>13790</v>
      </c>
      <c r="I2544" t="s">
        <v>13791</v>
      </c>
      <c r="J2544" t="s">
        <v>9941</v>
      </c>
      <c r="K2544" t="s">
        <v>13792</v>
      </c>
    </row>
    <row r="2545" spans="1:11" x14ac:dyDescent="0.25">
      <c r="A2545" s="122">
        <v>2544</v>
      </c>
      <c r="B2545">
        <v>3032</v>
      </c>
      <c r="C2545" s="122" t="s">
        <v>170</v>
      </c>
      <c r="D2545" t="s">
        <v>12407</v>
      </c>
      <c r="E2545" t="s">
        <v>13793</v>
      </c>
      <c r="F2545" t="s">
        <v>13794</v>
      </c>
      <c r="G2545" t="s">
        <v>9646</v>
      </c>
      <c r="H2545" t="s">
        <v>13795</v>
      </c>
      <c r="I2545" s="80" t="s">
        <v>13796</v>
      </c>
      <c r="J2545" t="s">
        <v>10590</v>
      </c>
      <c r="K2545" t="s">
        <v>13797</v>
      </c>
    </row>
    <row r="2546" spans="1:11" x14ac:dyDescent="0.25">
      <c r="A2546" s="122">
        <v>2545</v>
      </c>
      <c r="B2546">
        <v>3032</v>
      </c>
      <c r="C2546" s="122" t="s">
        <v>178</v>
      </c>
      <c r="D2546" t="s">
        <v>13798</v>
      </c>
      <c r="E2546" t="s">
        <v>13799</v>
      </c>
      <c r="F2546" t="s">
        <v>13800</v>
      </c>
      <c r="G2546" t="s">
        <v>9502</v>
      </c>
      <c r="H2546" s="80" t="s">
        <v>13801</v>
      </c>
      <c r="I2546" s="80" t="s">
        <v>13802</v>
      </c>
      <c r="J2546" t="s">
        <v>9307</v>
      </c>
      <c r="K2546" t="s">
        <v>13803</v>
      </c>
    </row>
    <row r="2547" spans="1:11" x14ac:dyDescent="0.25">
      <c r="A2547" s="122">
        <v>2546</v>
      </c>
      <c r="B2547">
        <v>3032</v>
      </c>
      <c r="C2547" s="122" t="s">
        <v>163</v>
      </c>
      <c r="D2547" t="s">
        <v>12518</v>
      </c>
      <c r="E2547" t="s">
        <v>13804</v>
      </c>
      <c r="F2547" t="s">
        <v>13805</v>
      </c>
      <c r="G2547" t="s">
        <v>8047</v>
      </c>
      <c r="H2547" t="s">
        <v>13806</v>
      </c>
      <c r="I2547" s="80" t="s">
        <v>13807</v>
      </c>
      <c r="J2547" t="s">
        <v>11359</v>
      </c>
      <c r="K2547" t="s">
        <v>13808</v>
      </c>
    </row>
    <row r="2548" spans="1:11" x14ac:dyDescent="0.25">
      <c r="A2548" s="122">
        <v>2547</v>
      </c>
      <c r="B2548">
        <v>3032</v>
      </c>
      <c r="C2548" s="122" t="s">
        <v>181</v>
      </c>
      <c r="D2548">
        <v>10</v>
      </c>
      <c r="E2548" s="80" t="s">
        <v>13809</v>
      </c>
      <c r="F2548" t="s">
        <v>5597</v>
      </c>
      <c r="G2548" t="s">
        <v>8096</v>
      </c>
      <c r="H2548" t="s">
        <v>13810</v>
      </c>
      <c r="I2548" t="s">
        <v>13811</v>
      </c>
      <c r="J2548" t="s">
        <v>10686</v>
      </c>
      <c r="K2548" t="s">
        <v>8862</v>
      </c>
    </row>
    <row r="2549" spans="1:11" x14ac:dyDescent="0.25">
      <c r="A2549" s="122">
        <v>2548</v>
      </c>
      <c r="B2549">
        <v>3032</v>
      </c>
      <c r="C2549" s="122" t="s">
        <v>183</v>
      </c>
      <c r="D2549" t="s">
        <v>12515</v>
      </c>
      <c r="E2549" t="s">
        <v>13812</v>
      </c>
      <c r="F2549" t="s">
        <v>13813</v>
      </c>
      <c r="G2549" t="s">
        <v>8104</v>
      </c>
      <c r="H2549" t="s">
        <v>13814</v>
      </c>
      <c r="I2549" s="80" t="s">
        <v>13815</v>
      </c>
      <c r="J2549" t="s">
        <v>9251</v>
      </c>
      <c r="K2549" s="80" t="s">
        <v>13816</v>
      </c>
    </row>
    <row r="2550" spans="1:11" x14ac:dyDescent="0.25">
      <c r="A2550" s="122">
        <v>2549</v>
      </c>
      <c r="B2550">
        <v>3032</v>
      </c>
      <c r="C2550" s="122" t="s">
        <v>186</v>
      </c>
      <c r="D2550" t="s">
        <v>12609</v>
      </c>
      <c r="E2550" t="s">
        <v>13817</v>
      </c>
      <c r="F2550" t="s">
        <v>13818</v>
      </c>
      <c r="G2550" t="s">
        <v>8218</v>
      </c>
      <c r="H2550" s="80" t="s">
        <v>13819</v>
      </c>
      <c r="I2550" s="80" t="s">
        <v>13820</v>
      </c>
      <c r="J2550" t="s">
        <v>3825</v>
      </c>
      <c r="K2550" s="80" t="s">
        <v>13821</v>
      </c>
    </row>
    <row r="2551" spans="1:11" x14ac:dyDescent="0.25">
      <c r="A2551" s="122">
        <v>2550</v>
      </c>
      <c r="B2551">
        <v>3032</v>
      </c>
      <c r="C2551" s="122" t="s">
        <v>188</v>
      </c>
      <c r="D2551" t="s">
        <v>12532</v>
      </c>
      <c r="E2551" s="80" t="s">
        <v>13822</v>
      </c>
      <c r="F2551" t="s">
        <v>13823</v>
      </c>
      <c r="G2551" t="s">
        <v>7443</v>
      </c>
      <c r="H2551" t="s">
        <v>13824</v>
      </c>
      <c r="I2551" s="80" t="s">
        <v>13825</v>
      </c>
      <c r="J2551" t="s">
        <v>3825</v>
      </c>
      <c r="K2551" s="80" t="s">
        <v>13826</v>
      </c>
    </row>
    <row r="2552" spans="1:11" x14ac:dyDescent="0.25">
      <c r="A2552" s="122">
        <v>2551</v>
      </c>
      <c r="B2552">
        <v>3032</v>
      </c>
      <c r="C2552" s="122" t="s">
        <v>182</v>
      </c>
      <c r="D2552" t="s">
        <v>583</v>
      </c>
      <c r="E2552" t="s">
        <v>13827</v>
      </c>
      <c r="F2552" t="s">
        <v>10101</v>
      </c>
      <c r="G2552" t="s">
        <v>583</v>
      </c>
      <c r="H2552" t="s">
        <v>13828</v>
      </c>
      <c r="I2552" t="s">
        <v>13829</v>
      </c>
      <c r="J2552" t="s">
        <v>9621</v>
      </c>
      <c r="K2552" t="s">
        <v>10928</v>
      </c>
    </row>
    <row r="2553" spans="1:11" x14ac:dyDescent="0.25">
      <c r="A2553" s="122">
        <v>2552</v>
      </c>
      <c r="B2553">
        <v>3032</v>
      </c>
      <c r="C2553" s="122" t="s">
        <v>184</v>
      </c>
      <c r="D2553" t="s">
        <v>12609</v>
      </c>
      <c r="E2553" s="80" t="s">
        <v>13830</v>
      </c>
      <c r="F2553" t="s">
        <v>13831</v>
      </c>
      <c r="G2553" t="s">
        <v>8269</v>
      </c>
      <c r="H2553" t="s">
        <v>13832</v>
      </c>
      <c r="I2553" s="80" t="s">
        <v>13833</v>
      </c>
      <c r="J2553" t="s">
        <v>11475</v>
      </c>
      <c r="K2553" t="s">
        <v>13834</v>
      </c>
    </row>
    <row r="2554" spans="1:11" x14ac:dyDescent="0.25">
      <c r="A2554" s="122">
        <v>2553</v>
      </c>
      <c r="B2554">
        <v>3032</v>
      </c>
      <c r="C2554" s="122" t="s">
        <v>187</v>
      </c>
      <c r="D2554" t="s">
        <v>4424</v>
      </c>
      <c r="E2554" s="80" t="s">
        <v>13835</v>
      </c>
      <c r="F2554" t="s">
        <v>13836</v>
      </c>
      <c r="G2554" t="s">
        <v>8118</v>
      </c>
      <c r="H2554" s="80" t="s">
        <v>13837</v>
      </c>
      <c r="I2554" s="80" t="s">
        <v>13838</v>
      </c>
      <c r="J2554" t="s">
        <v>9401</v>
      </c>
      <c r="K2554" s="80" t="s">
        <v>13839</v>
      </c>
    </row>
    <row r="2555" spans="1:11" x14ac:dyDescent="0.25">
      <c r="A2555" s="122">
        <v>2554</v>
      </c>
      <c r="B2555">
        <v>3032</v>
      </c>
      <c r="C2555" s="122" t="s">
        <v>189</v>
      </c>
      <c r="D2555" t="s">
        <v>13840</v>
      </c>
      <c r="E2555" s="80" t="s">
        <v>13841</v>
      </c>
      <c r="F2555" t="s">
        <v>13842</v>
      </c>
      <c r="G2555" t="s">
        <v>8047</v>
      </c>
      <c r="H2555" s="80" t="s">
        <v>13843</v>
      </c>
      <c r="I2555" s="80" t="s">
        <v>13844</v>
      </c>
      <c r="J2555" t="s">
        <v>9549</v>
      </c>
      <c r="K2555" s="80" t="s">
        <v>13845</v>
      </c>
    </row>
    <row r="2556" spans="1:11" x14ac:dyDescent="0.25">
      <c r="A2556" s="122">
        <v>2555</v>
      </c>
      <c r="B2556">
        <v>2046</v>
      </c>
      <c r="C2556" s="122" t="s">
        <v>162</v>
      </c>
      <c r="D2556" t="s">
        <v>13637</v>
      </c>
      <c r="E2556" t="s">
        <v>13846</v>
      </c>
      <c r="F2556" t="s">
        <v>6112</v>
      </c>
      <c r="G2556" t="s">
        <v>10094</v>
      </c>
      <c r="H2556" t="s">
        <v>12748</v>
      </c>
      <c r="I2556" t="s">
        <v>13847</v>
      </c>
      <c r="J2556" t="s">
        <v>10681</v>
      </c>
      <c r="K2556" t="s">
        <v>11175</v>
      </c>
    </row>
    <row r="2557" spans="1:11" x14ac:dyDescent="0.25">
      <c r="A2557" s="122">
        <v>2556</v>
      </c>
      <c r="B2557">
        <v>2046</v>
      </c>
      <c r="C2557" s="122" t="s">
        <v>170</v>
      </c>
      <c r="D2557" t="s">
        <v>6588</v>
      </c>
      <c r="E2557" t="s">
        <v>13848</v>
      </c>
      <c r="F2557" t="s">
        <v>9161</v>
      </c>
      <c r="G2557" t="s">
        <v>8096</v>
      </c>
      <c r="H2557" t="s">
        <v>13849</v>
      </c>
      <c r="I2557" s="80" t="s">
        <v>13850</v>
      </c>
      <c r="J2557" t="s">
        <v>9941</v>
      </c>
      <c r="K2557" t="s">
        <v>13851</v>
      </c>
    </row>
    <row r="2558" spans="1:11" x14ac:dyDescent="0.25">
      <c r="A2558" s="122">
        <v>2557</v>
      </c>
      <c r="B2558">
        <v>2046</v>
      </c>
      <c r="C2558" s="122" t="s">
        <v>178</v>
      </c>
      <c r="D2558" t="s">
        <v>12411</v>
      </c>
      <c r="E2558" t="s">
        <v>13852</v>
      </c>
      <c r="F2558" t="s">
        <v>13853</v>
      </c>
      <c r="G2558" t="s">
        <v>9646</v>
      </c>
      <c r="H2558" t="s">
        <v>13854</v>
      </c>
      <c r="I2558" s="80" t="s">
        <v>13855</v>
      </c>
      <c r="J2558" t="s">
        <v>9569</v>
      </c>
      <c r="K2558" t="s">
        <v>13856</v>
      </c>
    </row>
    <row r="2559" spans="1:11" x14ac:dyDescent="0.25">
      <c r="A2559" s="122">
        <v>2558</v>
      </c>
      <c r="B2559">
        <v>2046</v>
      </c>
      <c r="C2559" s="122" t="s">
        <v>163</v>
      </c>
      <c r="D2559" t="s">
        <v>12609</v>
      </c>
      <c r="E2559" t="s">
        <v>13772</v>
      </c>
      <c r="F2559" t="s">
        <v>13857</v>
      </c>
      <c r="G2559" t="s">
        <v>8020</v>
      </c>
      <c r="H2559" t="s">
        <v>13858</v>
      </c>
      <c r="I2559" s="80" t="s">
        <v>13859</v>
      </c>
      <c r="J2559" t="s">
        <v>9330</v>
      </c>
      <c r="K2559" s="80" t="s">
        <v>13860</v>
      </c>
    </row>
    <row r="2560" spans="1:11" x14ac:dyDescent="0.25">
      <c r="A2560" s="122">
        <v>2559</v>
      </c>
      <c r="B2560">
        <v>2046</v>
      </c>
      <c r="C2560" s="122" t="s">
        <v>181</v>
      </c>
      <c r="D2560" t="s">
        <v>4436</v>
      </c>
      <c r="E2560" s="80" t="s">
        <v>13861</v>
      </c>
      <c r="F2560" t="s">
        <v>5312</v>
      </c>
      <c r="G2560" t="s">
        <v>8269</v>
      </c>
      <c r="H2560" t="s">
        <v>13862</v>
      </c>
      <c r="I2560" t="s">
        <v>13863</v>
      </c>
      <c r="J2560" t="s">
        <v>9655</v>
      </c>
      <c r="K2560" t="s">
        <v>13864</v>
      </c>
    </row>
    <row r="2561" spans="1:11" x14ac:dyDescent="0.25">
      <c r="A2561" s="122">
        <v>2560</v>
      </c>
      <c r="B2561">
        <v>2046</v>
      </c>
      <c r="C2561" s="122" t="s">
        <v>183</v>
      </c>
      <c r="D2561" t="s">
        <v>12532</v>
      </c>
      <c r="E2561" s="80" t="s">
        <v>13865</v>
      </c>
      <c r="F2561" t="s">
        <v>13866</v>
      </c>
      <c r="G2561" t="s">
        <v>8047</v>
      </c>
      <c r="H2561" t="s">
        <v>13867</v>
      </c>
      <c r="I2561" s="80" t="s">
        <v>13868</v>
      </c>
      <c r="J2561" t="s">
        <v>9330</v>
      </c>
      <c r="K2561" s="80" t="s">
        <v>13869</v>
      </c>
    </row>
    <row r="2562" spans="1:11" x14ac:dyDescent="0.25">
      <c r="A2562" s="122">
        <v>2561</v>
      </c>
      <c r="B2562">
        <v>2046</v>
      </c>
      <c r="C2562" s="122" t="s">
        <v>186</v>
      </c>
      <c r="D2562" t="s">
        <v>12609</v>
      </c>
      <c r="E2562" t="s">
        <v>13870</v>
      </c>
      <c r="F2562" t="s">
        <v>13871</v>
      </c>
      <c r="G2562" t="s">
        <v>8104</v>
      </c>
      <c r="H2562" s="80" t="s">
        <v>13872</v>
      </c>
      <c r="I2562" s="80" t="s">
        <v>13873</v>
      </c>
      <c r="J2562" t="s">
        <v>9203</v>
      </c>
      <c r="K2562" s="80" t="s">
        <v>13874</v>
      </c>
    </row>
    <row r="2563" spans="1:11" x14ac:dyDescent="0.25">
      <c r="A2563" s="122">
        <v>2562</v>
      </c>
      <c r="B2563">
        <v>2046</v>
      </c>
      <c r="C2563" s="122" t="s">
        <v>188</v>
      </c>
      <c r="D2563" t="s">
        <v>12455</v>
      </c>
      <c r="E2563" s="80" t="s">
        <v>13875</v>
      </c>
      <c r="F2563" t="s">
        <v>13876</v>
      </c>
      <c r="G2563" t="s">
        <v>8047</v>
      </c>
      <c r="H2563" t="s">
        <v>13877</v>
      </c>
      <c r="I2563" s="80" t="s">
        <v>13878</v>
      </c>
      <c r="J2563" t="s">
        <v>9411</v>
      </c>
      <c r="K2563" s="80" t="s">
        <v>13879</v>
      </c>
    </row>
    <row r="2564" spans="1:11" x14ac:dyDescent="0.25">
      <c r="A2564" s="122">
        <v>2563</v>
      </c>
      <c r="B2564">
        <v>2046</v>
      </c>
      <c r="C2564" s="122" t="s">
        <v>182</v>
      </c>
      <c r="D2564" t="s">
        <v>4712</v>
      </c>
      <c r="E2564" t="s">
        <v>13880</v>
      </c>
      <c r="F2564" t="s">
        <v>5312</v>
      </c>
      <c r="G2564" t="s">
        <v>4437</v>
      </c>
      <c r="H2564" t="s">
        <v>13881</v>
      </c>
      <c r="I2564" s="80" t="s">
        <v>13882</v>
      </c>
      <c r="J2564" t="s">
        <v>9366</v>
      </c>
      <c r="K2564" t="s">
        <v>13883</v>
      </c>
    </row>
    <row r="2565" spans="1:11" x14ac:dyDescent="0.25">
      <c r="A2565" s="122">
        <v>2564</v>
      </c>
      <c r="B2565">
        <v>2046</v>
      </c>
      <c r="C2565" s="122" t="s">
        <v>184</v>
      </c>
      <c r="D2565" t="s">
        <v>7370</v>
      </c>
      <c r="E2565" t="s">
        <v>13884</v>
      </c>
      <c r="F2565" t="s">
        <v>13885</v>
      </c>
      <c r="G2565" t="s">
        <v>10094</v>
      </c>
      <c r="H2565" t="s">
        <v>13886</v>
      </c>
      <c r="I2565" s="80" t="s">
        <v>13887</v>
      </c>
      <c r="J2565" t="s">
        <v>9300</v>
      </c>
      <c r="K2565" t="s">
        <v>13888</v>
      </c>
    </row>
    <row r="2566" spans="1:11" x14ac:dyDescent="0.25">
      <c r="A2566" s="122">
        <v>2565</v>
      </c>
      <c r="B2566">
        <v>2046</v>
      </c>
      <c r="C2566" s="122" t="s">
        <v>187</v>
      </c>
      <c r="D2566" t="s">
        <v>11373</v>
      </c>
      <c r="E2566" t="s">
        <v>13889</v>
      </c>
      <c r="F2566" t="s">
        <v>13890</v>
      </c>
      <c r="G2566" t="s">
        <v>9317</v>
      </c>
      <c r="H2566" s="80" t="s">
        <v>13891</v>
      </c>
      <c r="I2566" s="80" t="s">
        <v>13892</v>
      </c>
      <c r="J2566" t="s">
        <v>9323</v>
      </c>
      <c r="K2566" t="s">
        <v>13893</v>
      </c>
    </row>
    <row r="2567" spans="1:11" x14ac:dyDescent="0.25">
      <c r="A2567" s="122">
        <v>2566</v>
      </c>
      <c r="B2567">
        <v>2046</v>
      </c>
      <c r="C2567" s="122" t="s">
        <v>189</v>
      </c>
      <c r="D2567" t="s">
        <v>12470</v>
      </c>
      <c r="E2567" t="s">
        <v>13894</v>
      </c>
      <c r="F2567" t="s">
        <v>9928</v>
      </c>
      <c r="G2567" t="s">
        <v>9233</v>
      </c>
      <c r="H2567" t="s">
        <v>13895</v>
      </c>
      <c r="I2567" s="80" t="s">
        <v>13896</v>
      </c>
      <c r="J2567" t="s">
        <v>5861</v>
      </c>
      <c r="K2567" t="s">
        <v>13897</v>
      </c>
    </row>
    <row r="2568" spans="1:11" x14ac:dyDescent="0.25">
      <c r="A2568" s="122">
        <v>2567</v>
      </c>
      <c r="B2568">
        <v>2047</v>
      </c>
      <c r="C2568" s="122" t="s">
        <v>162</v>
      </c>
      <c r="D2568" t="s">
        <v>6588</v>
      </c>
      <c r="E2568" s="80" t="s">
        <v>13898</v>
      </c>
      <c r="F2568" t="s">
        <v>5517</v>
      </c>
      <c r="G2568" t="s">
        <v>10108</v>
      </c>
      <c r="H2568" t="s">
        <v>8637</v>
      </c>
      <c r="I2568">
        <v>9</v>
      </c>
      <c r="J2568" t="s">
        <v>9382</v>
      </c>
      <c r="K2568" t="s">
        <v>9339</v>
      </c>
    </row>
    <row r="2569" spans="1:11" x14ac:dyDescent="0.25">
      <c r="A2569" s="122">
        <v>2568</v>
      </c>
      <c r="B2569">
        <v>2047</v>
      </c>
      <c r="C2569" s="122" t="s">
        <v>170</v>
      </c>
      <c r="D2569" t="s">
        <v>13149</v>
      </c>
      <c r="E2569" s="80" t="s">
        <v>13704</v>
      </c>
      <c r="F2569" t="s">
        <v>13899</v>
      </c>
      <c r="G2569" t="s">
        <v>8104</v>
      </c>
      <c r="H2569" t="s">
        <v>13900</v>
      </c>
      <c r="I2569" s="80" t="s">
        <v>13901</v>
      </c>
      <c r="J2569" t="s">
        <v>9300</v>
      </c>
      <c r="K2569" t="s">
        <v>9903</v>
      </c>
    </row>
    <row r="2570" spans="1:11" x14ac:dyDescent="0.25">
      <c r="A2570" s="122">
        <v>2569</v>
      </c>
      <c r="B2570">
        <v>2047</v>
      </c>
      <c r="C2570" s="122" t="s">
        <v>178</v>
      </c>
      <c r="D2570" t="s">
        <v>13902</v>
      </c>
      <c r="E2570" s="80" t="s">
        <v>13903</v>
      </c>
      <c r="F2570" t="s">
        <v>13904</v>
      </c>
      <c r="G2570" t="s">
        <v>7443</v>
      </c>
      <c r="H2570" t="s">
        <v>13905</v>
      </c>
      <c r="I2570" s="80" t="s">
        <v>13906</v>
      </c>
      <c r="J2570" t="s">
        <v>8286</v>
      </c>
      <c r="K2570" t="s">
        <v>9773</v>
      </c>
    </row>
    <row r="2571" spans="1:11" x14ac:dyDescent="0.25">
      <c r="A2571" s="122">
        <v>2570</v>
      </c>
      <c r="B2571">
        <v>2047</v>
      </c>
      <c r="C2571" s="122" t="s">
        <v>163</v>
      </c>
      <c r="D2571" t="s">
        <v>5461</v>
      </c>
      <c r="E2571" s="80" t="s">
        <v>13907</v>
      </c>
      <c r="F2571" t="s">
        <v>13908</v>
      </c>
      <c r="G2571" t="s">
        <v>8118</v>
      </c>
      <c r="H2571" t="s">
        <v>13909</v>
      </c>
      <c r="I2571" s="80" t="s">
        <v>13910</v>
      </c>
      <c r="J2571" t="s">
        <v>8283</v>
      </c>
      <c r="K2571" t="s">
        <v>13911</v>
      </c>
    </row>
    <row r="2572" spans="1:11" x14ac:dyDescent="0.25">
      <c r="A2572" s="122">
        <v>2571</v>
      </c>
      <c r="B2572">
        <v>2047</v>
      </c>
      <c r="C2572" s="122" t="s">
        <v>181</v>
      </c>
      <c r="D2572" t="s">
        <v>13912</v>
      </c>
      <c r="E2572" s="80" t="s">
        <v>13913</v>
      </c>
      <c r="F2572" t="s">
        <v>2382</v>
      </c>
      <c r="G2572" t="s">
        <v>8096</v>
      </c>
      <c r="H2572" t="s">
        <v>13914</v>
      </c>
      <c r="I2572" t="s">
        <v>13915</v>
      </c>
      <c r="J2572" t="s">
        <v>8099</v>
      </c>
      <c r="K2572" t="s">
        <v>13916</v>
      </c>
    </row>
    <row r="2573" spans="1:11" x14ac:dyDescent="0.25">
      <c r="A2573" s="122">
        <v>2572</v>
      </c>
      <c r="B2573">
        <v>2047</v>
      </c>
      <c r="C2573" s="122" t="s">
        <v>183</v>
      </c>
      <c r="D2573" t="s">
        <v>6881</v>
      </c>
      <c r="E2573" t="s">
        <v>13917</v>
      </c>
      <c r="F2573" t="s">
        <v>13918</v>
      </c>
      <c r="G2573" t="s">
        <v>8218</v>
      </c>
      <c r="H2573" t="s">
        <v>13919</v>
      </c>
      <c r="I2573" s="80" t="s">
        <v>13920</v>
      </c>
      <c r="J2573" t="s">
        <v>4781</v>
      </c>
      <c r="K2573" t="s">
        <v>13921</v>
      </c>
    </row>
    <row r="2574" spans="1:11" x14ac:dyDescent="0.25">
      <c r="A2574" s="122">
        <v>2573</v>
      </c>
      <c r="B2574">
        <v>2047</v>
      </c>
      <c r="C2574" s="122" t="s">
        <v>186</v>
      </c>
      <c r="D2574" t="s">
        <v>13922</v>
      </c>
      <c r="E2574" t="s">
        <v>13923</v>
      </c>
      <c r="F2574" t="s">
        <v>13924</v>
      </c>
      <c r="G2574" t="s">
        <v>8090</v>
      </c>
      <c r="H2574" t="s">
        <v>13925</v>
      </c>
      <c r="I2574" s="80" t="s">
        <v>13926</v>
      </c>
      <c r="J2574" t="s">
        <v>8008</v>
      </c>
      <c r="K2574" s="80" t="s">
        <v>13927</v>
      </c>
    </row>
    <row r="2575" spans="1:11" x14ac:dyDescent="0.25">
      <c r="A2575" s="122">
        <v>2574</v>
      </c>
      <c r="B2575">
        <v>2047</v>
      </c>
      <c r="C2575" s="122" t="s">
        <v>188</v>
      </c>
      <c r="D2575" t="s">
        <v>13928</v>
      </c>
      <c r="E2575" s="80" t="s">
        <v>13929</v>
      </c>
      <c r="F2575" t="s">
        <v>13930</v>
      </c>
      <c r="G2575" t="s">
        <v>7998</v>
      </c>
      <c r="H2575" t="s">
        <v>13931</v>
      </c>
      <c r="I2575" s="80" t="s">
        <v>13932</v>
      </c>
      <c r="J2575" t="s">
        <v>6767</v>
      </c>
      <c r="K2575" s="80" t="s">
        <v>13933</v>
      </c>
    </row>
    <row r="2576" spans="1:11" x14ac:dyDescent="0.25">
      <c r="A2576" s="122">
        <v>2575</v>
      </c>
      <c r="B2576">
        <v>2047</v>
      </c>
      <c r="C2576" s="122" t="s">
        <v>182</v>
      </c>
      <c r="D2576" t="s">
        <v>583</v>
      </c>
      <c r="E2576" t="s">
        <v>13934</v>
      </c>
      <c r="F2576" t="s">
        <v>583</v>
      </c>
      <c r="G2576" t="s">
        <v>3898</v>
      </c>
      <c r="H2576" t="s">
        <v>7492</v>
      </c>
      <c r="I2576" t="s">
        <v>11300</v>
      </c>
      <c r="J2576" s="80" t="s">
        <v>8243</v>
      </c>
      <c r="K2576" t="s">
        <v>2194</v>
      </c>
    </row>
    <row r="2577" spans="1:11" x14ac:dyDescent="0.25">
      <c r="A2577" s="122">
        <v>2576</v>
      </c>
      <c r="B2577">
        <v>2047</v>
      </c>
      <c r="C2577" s="122" t="s">
        <v>184</v>
      </c>
      <c r="D2577" t="s">
        <v>13935</v>
      </c>
      <c r="E2577" t="s">
        <v>13936</v>
      </c>
      <c r="F2577" t="s">
        <v>13937</v>
      </c>
      <c r="G2577" t="s">
        <v>9502</v>
      </c>
      <c r="H2577" s="80" t="s">
        <v>13938</v>
      </c>
      <c r="I2577" s="80" t="s">
        <v>13939</v>
      </c>
      <c r="J2577" t="s">
        <v>12400</v>
      </c>
      <c r="K2577" t="s">
        <v>13940</v>
      </c>
    </row>
    <row r="2578" spans="1:11" x14ac:dyDescent="0.25">
      <c r="A2578" s="122">
        <v>2577</v>
      </c>
      <c r="B2578">
        <v>2047</v>
      </c>
      <c r="C2578" s="122" t="s">
        <v>187</v>
      </c>
      <c r="D2578" t="s">
        <v>13941</v>
      </c>
      <c r="E2578" t="s">
        <v>13942</v>
      </c>
      <c r="F2578" t="s">
        <v>13943</v>
      </c>
      <c r="G2578" t="s">
        <v>8218</v>
      </c>
      <c r="H2578" s="80" t="s">
        <v>13944</v>
      </c>
      <c r="I2578" s="80" t="s">
        <v>13945</v>
      </c>
      <c r="J2578" t="s">
        <v>8178</v>
      </c>
      <c r="K2578" t="s">
        <v>13946</v>
      </c>
    </row>
    <row r="2579" spans="1:11" x14ac:dyDescent="0.25">
      <c r="A2579" s="122">
        <v>2578</v>
      </c>
      <c r="B2579">
        <v>2047</v>
      </c>
      <c r="C2579" s="122" t="s">
        <v>189</v>
      </c>
      <c r="D2579" t="s">
        <v>13947</v>
      </c>
      <c r="E2579" t="s">
        <v>13948</v>
      </c>
      <c r="F2579" t="s">
        <v>10208</v>
      </c>
      <c r="G2579" t="s">
        <v>8366</v>
      </c>
      <c r="H2579" t="s">
        <v>13949</v>
      </c>
      <c r="I2579" s="80" t="s">
        <v>13950</v>
      </c>
      <c r="J2579" t="s">
        <v>10314</v>
      </c>
      <c r="K2579" t="s">
        <v>13951</v>
      </c>
    </row>
    <row r="2580" spans="1:11" x14ac:dyDescent="0.25">
      <c r="A2580" s="122">
        <v>2579</v>
      </c>
      <c r="B2580">
        <v>2048</v>
      </c>
      <c r="C2580" s="122" t="s">
        <v>162</v>
      </c>
      <c r="D2580" t="s">
        <v>1947</v>
      </c>
      <c r="E2580" s="80" t="s">
        <v>13952</v>
      </c>
      <c r="F2580" t="s">
        <v>2382</v>
      </c>
      <c r="G2580" t="s">
        <v>8353</v>
      </c>
      <c r="H2580" t="s">
        <v>7993</v>
      </c>
      <c r="I2580" t="s">
        <v>8017</v>
      </c>
      <c r="J2580" t="s">
        <v>7206</v>
      </c>
      <c r="K2580" t="s">
        <v>3455</v>
      </c>
    </row>
    <row r="2581" spans="1:11" x14ac:dyDescent="0.25">
      <c r="A2581" s="122">
        <v>2580</v>
      </c>
      <c r="B2581">
        <v>2048</v>
      </c>
      <c r="C2581" s="122" t="s">
        <v>170</v>
      </c>
      <c r="D2581" t="s">
        <v>13953</v>
      </c>
      <c r="E2581" s="80" t="s">
        <v>13954</v>
      </c>
      <c r="F2581" t="s">
        <v>13955</v>
      </c>
      <c r="G2581" t="s">
        <v>8104</v>
      </c>
      <c r="H2581" t="s">
        <v>13956</v>
      </c>
      <c r="I2581" s="80" t="s">
        <v>13957</v>
      </c>
      <c r="J2581" t="s">
        <v>8001</v>
      </c>
      <c r="K2581" t="s">
        <v>13958</v>
      </c>
    </row>
    <row r="2582" spans="1:11" x14ac:dyDescent="0.25">
      <c r="A2582" s="122">
        <v>2581</v>
      </c>
      <c r="B2582">
        <v>2048</v>
      </c>
      <c r="C2582" s="122" t="s">
        <v>178</v>
      </c>
      <c r="D2582" t="s">
        <v>13959</v>
      </c>
      <c r="E2582" s="80" t="s">
        <v>13960</v>
      </c>
      <c r="F2582" t="s">
        <v>13961</v>
      </c>
      <c r="G2582" t="s">
        <v>7998</v>
      </c>
      <c r="H2582" s="80" t="s">
        <v>13962</v>
      </c>
      <c r="I2582" s="80" t="s">
        <v>13963</v>
      </c>
      <c r="J2582" t="s">
        <v>8227</v>
      </c>
      <c r="K2582" t="s">
        <v>13964</v>
      </c>
    </row>
    <row r="2583" spans="1:11" x14ac:dyDescent="0.25">
      <c r="A2583" s="122">
        <v>2582</v>
      </c>
      <c r="B2583">
        <v>2048</v>
      </c>
      <c r="C2583" s="122" t="s">
        <v>163</v>
      </c>
      <c r="D2583" t="s">
        <v>13965</v>
      </c>
      <c r="E2583" s="80" t="s">
        <v>13966</v>
      </c>
      <c r="F2583" t="s">
        <v>13967</v>
      </c>
      <c r="G2583" t="s">
        <v>9592</v>
      </c>
      <c r="H2583" t="s">
        <v>13968</v>
      </c>
      <c r="I2583" s="80" t="s">
        <v>13969</v>
      </c>
      <c r="J2583" t="s">
        <v>13970</v>
      </c>
      <c r="K2583" s="80" t="s">
        <v>13971</v>
      </c>
    </row>
    <row r="2584" spans="1:11" x14ac:dyDescent="0.25">
      <c r="A2584" s="122">
        <v>2583</v>
      </c>
      <c r="B2584">
        <v>2048</v>
      </c>
      <c r="C2584" s="122" t="s">
        <v>181</v>
      </c>
      <c r="D2584" t="s">
        <v>13972</v>
      </c>
      <c r="E2584" s="111" t="s">
        <v>13973</v>
      </c>
      <c r="F2584" t="s">
        <v>5768</v>
      </c>
      <c r="G2584" t="s">
        <v>8047</v>
      </c>
      <c r="H2584" t="s">
        <v>13974</v>
      </c>
      <c r="I2584" t="s">
        <v>13975</v>
      </c>
      <c r="J2584" t="s">
        <v>10363</v>
      </c>
      <c r="K2584" t="s">
        <v>13976</v>
      </c>
    </row>
    <row r="2585" spans="1:11" x14ac:dyDescent="0.25">
      <c r="A2585" s="122">
        <v>2584</v>
      </c>
      <c r="B2585">
        <v>2048</v>
      </c>
      <c r="C2585" s="122" t="s">
        <v>183</v>
      </c>
      <c r="D2585" t="s">
        <v>13977</v>
      </c>
      <c r="E2585" s="80" t="s">
        <v>13978</v>
      </c>
      <c r="F2585" t="s">
        <v>13979</v>
      </c>
      <c r="G2585" t="s">
        <v>8118</v>
      </c>
      <c r="H2585" t="s">
        <v>13980</v>
      </c>
      <c r="I2585" s="80" t="s">
        <v>13981</v>
      </c>
      <c r="J2585" t="s">
        <v>8166</v>
      </c>
      <c r="K2585" t="s">
        <v>11637</v>
      </c>
    </row>
    <row r="2586" spans="1:11" x14ac:dyDescent="0.25">
      <c r="A2586" s="122">
        <v>2585</v>
      </c>
      <c r="B2586">
        <v>2048</v>
      </c>
      <c r="C2586" s="122" t="s">
        <v>186</v>
      </c>
      <c r="D2586" t="s">
        <v>13982</v>
      </c>
      <c r="E2586" s="80" t="s">
        <v>12926</v>
      </c>
      <c r="F2586" t="s">
        <v>13983</v>
      </c>
      <c r="G2586" t="s">
        <v>7998</v>
      </c>
      <c r="H2586" s="80" t="s">
        <v>13984</v>
      </c>
      <c r="I2586" s="80" t="s">
        <v>13985</v>
      </c>
      <c r="J2586" t="s">
        <v>8093</v>
      </c>
      <c r="K2586" s="80" t="s">
        <v>13986</v>
      </c>
    </row>
    <row r="2587" spans="1:11" x14ac:dyDescent="0.25">
      <c r="A2587" s="122">
        <v>2586</v>
      </c>
      <c r="B2587">
        <v>2048</v>
      </c>
      <c r="C2587" s="122" t="s">
        <v>188</v>
      </c>
      <c r="D2587" t="s">
        <v>13987</v>
      </c>
      <c r="E2587" s="111" t="s">
        <v>13988</v>
      </c>
      <c r="F2587" t="s">
        <v>13989</v>
      </c>
      <c r="G2587" t="s">
        <v>7979</v>
      </c>
      <c r="H2587" t="s">
        <v>12457</v>
      </c>
      <c r="I2587" s="80" t="s">
        <v>13990</v>
      </c>
      <c r="J2587" t="s">
        <v>7982</v>
      </c>
      <c r="K2587" s="80" t="s">
        <v>13991</v>
      </c>
    </row>
    <row r="2588" spans="1:11" x14ac:dyDescent="0.25">
      <c r="A2588" s="122">
        <v>2587</v>
      </c>
      <c r="B2588">
        <v>2048</v>
      </c>
      <c r="C2588" s="122" t="s">
        <v>182</v>
      </c>
      <c r="D2588" t="s">
        <v>583</v>
      </c>
      <c r="E2588" t="s">
        <v>13992</v>
      </c>
      <c r="F2588" t="s">
        <v>583</v>
      </c>
      <c r="G2588" s="80" t="s">
        <v>8198</v>
      </c>
      <c r="H2588" t="s">
        <v>12748</v>
      </c>
      <c r="I2588" t="s">
        <v>5768</v>
      </c>
      <c r="J2588" t="s">
        <v>8243</v>
      </c>
      <c r="K2588" t="s">
        <v>6179</v>
      </c>
    </row>
    <row r="2589" spans="1:11" x14ac:dyDescent="0.25">
      <c r="A2589" s="130">
        <v>2588</v>
      </c>
      <c r="B2589">
        <v>2048</v>
      </c>
      <c r="C2589" s="122" t="s">
        <v>184</v>
      </c>
      <c r="D2589" t="s">
        <v>13993</v>
      </c>
      <c r="E2589" t="s">
        <v>13994</v>
      </c>
      <c r="F2589" t="s">
        <v>13995</v>
      </c>
      <c r="G2589" t="s">
        <v>8096</v>
      </c>
      <c r="H2589" t="s">
        <v>13996</v>
      </c>
      <c r="I2589" s="80" t="s">
        <v>13997</v>
      </c>
      <c r="J2589" t="s">
        <v>10097</v>
      </c>
      <c r="K2589" t="s">
        <v>13998</v>
      </c>
    </row>
    <row r="2590" spans="1:11" x14ac:dyDescent="0.25">
      <c r="A2590" s="122">
        <v>2589</v>
      </c>
      <c r="B2590">
        <v>2048</v>
      </c>
      <c r="C2590" s="122" t="s">
        <v>187</v>
      </c>
      <c r="D2590" t="s">
        <v>13999</v>
      </c>
      <c r="E2590" t="s">
        <v>14000</v>
      </c>
      <c r="F2590" t="s">
        <v>14001</v>
      </c>
      <c r="G2590" t="s">
        <v>8096</v>
      </c>
      <c r="H2590" s="80" t="s">
        <v>14002</v>
      </c>
      <c r="I2590" s="80" t="s">
        <v>11425</v>
      </c>
      <c r="J2590" t="s">
        <v>8099</v>
      </c>
      <c r="K2590" t="s">
        <v>14003</v>
      </c>
    </row>
    <row r="2591" spans="1:11" x14ac:dyDescent="0.25">
      <c r="A2591" s="122">
        <v>2590</v>
      </c>
      <c r="B2591">
        <v>2048</v>
      </c>
      <c r="C2591" s="122" t="s">
        <v>189</v>
      </c>
      <c r="D2591" t="s">
        <v>14004</v>
      </c>
      <c r="E2591" t="s">
        <v>12728</v>
      </c>
      <c r="F2591" t="s">
        <v>5671</v>
      </c>
      <c r="G2591" t="s">
        <v>8353</v>
      </c>
      <c r="H2591" t="s">
        <v>14005</v>
      </c>
      <c r="I2591" s="80" t="s">
        <v>4523</v>
      </c>
      <c r="J2591" t="s">
        <v>12659</v>
      </c>
      <c r="K2591" t="s">
        <v>14006</v>
      </c>
    </row>
    <row r="2592" spans="1:11" x14ac:dyDescent="0.25">
      <c r="A2592" s="122">
        <v>2591</v>
      </c>
      <c r="B2592" t="s">
        <v>679</v>
      </c>
      <c r="C2592" s="122" t="s">
        <v>162</v>
      </c>
      <c r="D2592" t="s">
        <v>14007</v>
      </c>
      <c r="E2592" s="111" t="s">
        <v>14008</v>
      </c>
      <c r="F2592" t="s">
        <v>7333</v>
      </c>
      <c r="G2592" t="s">
        <v>7992</v>
      </c>
      <c r="H2592" t="s">
        <v>3765</v>
      </c>
      <c r="I2592" t="s">
        <v>12234</v>
      </c>
      <c r="J2592" t="s">
        <v>12400</v>
      </c>
      <c r="K2592" t="s">
        <v>11071</v>
      </c>
    </row>
    <row r="2593" spans="1:11" x14ac:dyDescent="0.25">
      <c r="A2593" s="122">
        <v>2592</v>
      </c>
      <c r="B2593" t="s">
        <v>679</v>
      </c>
      <c r="C2593" s="122" t="s">
        <v>170</v>
      </c>
      <c r="D2593" t="s">
        <v>13928</v>
      </c>
      <c r="E2593" s="80" t="s">
        <v>14009</v>
      </c>
      <c r="F2593" t="s">
        <v>14010</v>
      </c>
      <c r="G2593" t="s">
        <v>8047</v>
      </c>
      <c r="H2593" t="s">
        <v>14011</v>
      </c>
      <c r="I2593" s="80" t="s">
        <v>14012</v>
      </c>
      <c r="J2593" t="s">
        <v>8147</v>
      </c>
      <c r="K2593" t="s">
        <v>14013</v>
      </c>
    </row>
    <row r="2594" spans="1:11" x14ac:dyDescent="0.25">
      <c r="A2594" s="122">
        <v>2593</v>
      </c>
      <c r="B2594" t="s">
        <v>679</v>
      </c>
      <c r="C2594" s="122" t="s">
        <v>178</v>
      </c>
      <c r="D2594" t="s">
        <v>13987</v>
      </c>
      <c r="E2594" s="80" t="s">
        <v>14014</v>
      </c>
      <c r="F2594" t="s">
        <v>14015</v>
      </c>
      <c r="G2594" t="s">
        <v>8077</v>
      </c>
      <c r="H2594" t="s">
        <v>14016</v>
      </c>
      <c r="I2594" s="80" t="s">
        <v>14017</v>
      </c>
      <c r="J2594" t="s">
        <v>8166</v>
      </c>
      <c r="K2594" t="s">
        <v>14018</v>
      </c>
    </row>
    <row r="2595" spans="1:11" x14ac:dyDescent="0.25">
      <c r="A2595" s="122">
        <v>2594</v>
      </c>
      <c r="B2595" t="s">
        <v>679</v>
      </c>
      <c r="C2595" s="122" t="s">
        <v>163</v>
      </c>
      <c r="D2595" t="s">
        <v>10049</v>
      </c>
      <c r="E2595" s="80" t="s">
        <v>14019</v>
      </c>
      <c r="F2595" t="s">
        <v>14020</v>
      </c>
      <c r="G2595" t="s">
        <v>7952</v>
      </c>
      <c r="H2595" t="s">
        <v>14021</v>
      </c>
      <c r="I2595" s="80" t="s">
        <v>14022</v>
      </c>
      <c r="J2595" t="s">
        <v>8214</v>
      </c>
      <c r="K2595" s="80" t="s">
        <v>14023</v>
      </c>
    </row>
    <row r="2596" spans="1:11" x14ac:dyDescent="0.25">
      <c r="A2596" s="122">
        <v>2595</v>
      </c>
      <c r="B2596" t="s">
        <v>679</v>
      </c>
      <c r="C2596" s="122" t="s">
        <v>181</v>
      </c>
      <c r="D2596" t="s">
        <v>13922</v>
      </c>
      <c r="E2596" s="111" t="s">
        <v>14024</v>
      </c>
      <c r="F2596" t="s">
        <v>5863</v>
      </c>
      <c r="G2596" t="s">
        <v>7992</v>
      </c>
      <c r="H2596" t="s">
        <v>6232</v>
      </c>
      <c r="I2596" t="s">
        <v>3727</v>
      </c>
      <c r="J2596" t="s">
        <v>12708</v>
      </c>
      <c r="K2596" t="s">
        <v>14025</v>
      </c>
    </row>
    <row r="2597" spans="1:11" x14ac:dyDescent="0.25">
      <c r="A2597" s="122">
        <v>2596</v>
      </c>
      <c r="B2597" t="s">
        <v>679</v>
      </c>
      <c r="C2597" s="122" t="s">
        <v>183</v>
      </c>
      <c r="D2597" t="s">
        <v>5047</v>
      </c>
      <c r="E2597" s="80" t="s">
        <v>14026</v>
      </c>
      <c r="F2597" t="s">
        <v>14027</v>
      </c>
      <c r="G2597" t="s">
        <v>8344</v>
      </c>
      <c r="H2597" t="s">
        <v>14028</v>
      </c>
      <c r="I2597" s="80" t="s">
        <v>14029</v>
      </c>
      <c r="J2597" t="s">
        <v>8166</v>
      </c>
      <c r="K2597" s="80" t="s">
        <v>14030</v>
      </c>
    </row>
    <row r="2598" spans="1:11" x14ac:dyDescent="0.25">
      <c r="A2598" s="122">
        <v>2597</v>
      </c>
      <c r="B2598" t="s">
        <v>679</v>
      </c>
      <c r="C2598" s="122" t="s">
        <v>186</v>
      </c>
      <c r="D2598" t="s">
        <v>14031</v>
      </c>
      <c r="E2598" s="80" t="s">
        <v>14032</v>
      </c>
      <c r="F2598" t="s">
        <v>14033</v>
      </c>
      <c r="G2598" t="s">
        <v>7959</v>
      </c>
      <c r="H2598" s="80" t="s">
        <v>14034</v>
      </c>
      <c r="I2598" s="80" t="s">
        <v>14035</v>
      </c>
      <c r="J2598" t="s">
        <v>8347</v>
      </c>
      <c r="K2598" s="111" t="s">
        <v>14036</v>
      </c>
    </row>
    <row r="2599" spans="1:11" x14ac:dyDescent="0.25">
      <c r="A2599" s="122">
        <v>2598</v>
      </c>
      <c r="B2599" t="s">
        <v>679</v>
      </c>
      <c r="C2599" s="122" t="s">
        <v>188</v>
      </c>
      <c r="D2599" t="s">
        <v>14037</v>
      </c>
      <c r="E2599" s="80" t="s">
        <v>14038</v>
      </c>
      <c r="F2599" t="s">
        <v>14039</v>
      </c>
      <c r="G2599" t="s">
        <v>7998</v>
      </c>
      <c r="H2599" t="s">
        <v>14040</v>
      </c>
      <c r="I2599" s="80" t="s">
        <v>14041</v>
      </c>
      <c r="J2599" t="s">
        <v>4297</v>
      </c>
      <c r="K2599" s="80" t="s">
        <v>14042</v>
      </c>
    </row>
    <row r="2600" spans="1:11" x14ac:dyDescent="0.25">
      <c r="A2600" s="122">
        <v>2599</v>
      </c>
      <c r="B2600" t="s">
        <v>679</v>
      </c>
      <c r="C2600" s="122" t="s">
        <v>182</v>
      </c>
      <c r="D2600" t="s">
        <v>8952</v>
      </c>
      <c r="E2600" t="s">
        <v>14043</v>
      </c>
      <c r="F2600" t="s">
        <v>6179</v>
      </c>
      <c r="G2600" t="s">
        <v>9233</v>
      </c>
      <c r="H2600" t="s">
        <v>13790</v>
      </c>
      <c r="I2600" t="s">
        <v>14044</v>
      </c>
      <c r="J2600" t="s">
        <v>8266</v>
      </c>
      <c r="K2600" t="s">
        <v>10524</v>
      </c>
    </row>
    <row r="2601" spans="1:11" x14ac:dyDescent="0.25">
      <c r="A2601" s="122">
        <v>2600</v>
      </c>
      <c r="B2601" t="s">
        <v>679</v>
      </c>
      <c r="C2601" s="122" t="s">
        <v>184</v>
      </c>
      <c r="D2601" t="s">
        <v>13912</v>
      </c>
      <c r="E2601" t="s">
        <v>14045</v>
      </c>
      <c r="F2601" t="s">
        <v>14046</v>
      </c>
      <c r="G2601" t="s">
        <v>7443</v>
      </c>
      <c r="H2601" t="s">
        <v>14047</v>
      </c>
      <c r="I2601" s="80" t="s">
        <v>14048</v>
      </c>
      <c r="J2601" t="s">
        <v>5230</v>
      </c>
      <c r="K2601" t="s">
        <v>14049</v>
      </c>
    </row>
    <row r="2602" spans="1:11" x14ac:dyDescent="0.25">
      <c r="A2602" s="122">
        <v>2601</v>
      </c>
      <c r="B2602" t="s">
        <v>679</v>
      </c>
      <c r="C2602" s="122" t="s">
        <v>187</v>
      </c>
      <c r="D2602" t="s">
        <v>14050</v>
      </c>
      <c r="E2602" t="s">
        <v>14051</v>
      </c>
      <c r="F2602" t="s">
        <v>14052</v>
      </c>
      <c r="G2602" t="s">
        <v>9502</v>
      </c>
      <c r="H2602" s="80" t="s">
        <v>14053</v>
      </c>
      <c r="I2602" s="80" t="s">
        <v>14054</v>
      </c>
      <c r="J2602" t="s">
        <v>8166</v>
      </c>
      <c r="K2602" s="80" t="s">
        <v>14055</v>
      </c>
    </row>
    <row r="2603" spans="1:11" x14ac:dyDescent="0.25">
      <c r="A2603" s="122">
        <v>2602</v>
      </c>
      <c r="B2603" t="s">
        <v>679</v>
      </c>
      <c r="C2603" s="122" t="s">
        <v>189</v>
      </c>
      <c r="D2603" t="s">
        <v>14007</v>
      </c>
      <c r="E2603" t="s">
        <v>14056</v>
      </c>
      <c r="F2603" t="s">
        <v>14057</v>
      </c>
      <c r="G2603" t="s">
        <v>7443</v>
      </c>
      <c r="H2603" t="s">
        <v>14058</v>
      </c>
      <c r="I2603" s="80" t="s">
        <v>14059</v>
      </c>
      <c r="J2603" t="s">
        <v>8147</v>
      </c>
      <c r="K2603" s="80" t="s">
        <v>14060</v>
      </c>
    </row>
    <row r="2604" spans="1:11" x14ac:dyDescent="0.25">
      <c r="A2604" s="122">
        <v>2603</v>
      </c>
      <c r="B2604">
        <v>2049</v>
      </c>
      <c r="C2604" s="122" t="s">
        <v>162</v>
      </c>
      <c r="D2604" t="s">
        <v>14007</v>
      </c>
      <c r="E2604" s="111" t="s">
        <v>14061</v>
      </c>
      <c r="F2604" t="s">
        <v>5722</v>
      </c>
      <c r="G2604" t="s">
        <v>10108</v>
      </c>
      <c r="H2604" t="s">
        <v>6232</v>
      </c>
      <c r="I2604" t="s">
        <v>14062</v>
      </c>
      <c r="J2604" t="s">
        <v>8286</v>
      </c>
      <c r="K2604" t="s">
        <v>14063</v>
      </c>
    </row>
    <row r="2605" spans="1:11" x14ac:dyDescent="0.25">
      <c r="A2605" s="122">
        <v>2604</v>
      </c>
      <c r="B2605">
        <v>2049</v>
      </c>
      <c r="C2605" s="122" t="s">
        <v>170</v>
      </c>
      <c r="D2605" t="s">
        <v>14064</v>
      </c>
      <c r="E2605" s="80" t="s">
        <v>14065</v>
      </c>
      <c r="F2605" t="s">
        <v>14066</v>
      </c>
      <c r="G2605" t="s">
        <v>8332</v>
      </c>
      <c r="H2605" t="s">
        <v>14067</v>
      </c>
      <c r="I2605" s="80" t="s">
        <v>14068</v>
      </c>
      <c r="J2605" t="s">
        <v>8283</v>
      </c>
      <c r="K2605" t="s">
        <v>14069</v>
      </c>
    </row>
    <row r="2606" spans="1:11" x14ac:dyDescent="0.25">
      <c r="A2606" s="122">
        <v>2605</v>
      </c>
      <c r="B2606">
        <v>2049</v>
      </c>
      <c r="C2606" s="122" t="s">
        <v>178</v>
      </c>
      <c r="D2606" t="s">
        <v>14070</v>
      </c>
      <c r="E2606" s="80" t="s">
        <v>12604</v>
      </c>
      <c r="F2606" t="s">
        <v>14071</v>
      </c>
      <c r="G2606" t="s">
        <v>7952</v>
      </c>
      <c r="H2606" s="80" t="s">
        <v>14072</v>
      </c>
      <c r="I2606" s="80" t="s">
        <v>14073</v>
      </c>
      <c r="J2606" t="s">
        <v>8107</v>
      </c>
      <c r="K2606" t="s">
        <v>14074</v>
      </c>
    </row>
    <row r="2607" spans="1:11" x14ac:dyDescent="0.25">
      <c r="A2607" s="122">
        <v>2606</v>
      </c>
      <c r="B2607">
        <v>2049</v>
      </c>
      <c r="C2607" s="122" t="s">
        <v>163</v>
      </c>
      <c r="D2607" t="s">
        <v>14075</v>
      </c>
      <c r="E2607" s="80" t="s">
        <v>12604</v>
      </c>
      <c r="F2607">
        <v>609</v>
      </c>
      <c r="G2607" t="s">
        <v>12261</v>
      </c>
      <c r="H2607" s="80" t="s">
        <v>14076</v>
      </c>
      <c r="I2607" s="80" t="s">
        <v>14077</v>
      </c>
      <c r="J2607" t="s">
        <v>4297</v>
      </c>
      <c r="K2607" s="80" t="s">
        <v>14078</v>
      </c>
    </row>
    <row r="2608" spans="1:11" x14ac:dyDescent="0.25">
      <c r="A2608" s="122">
        <v>2607</v>
      </c>
      <c r="B2608">
        <v>2049</v>
      </c>
      <c r="C2608" s="122" t="s">
        <v>181</v>
      </c>
      <c r="D2608" t="s">
        <v>13972</v>
      </c>
      <c r="E2608" s="111" t="s">
        <v>14079</v>
      </c>
      <c r="F2608" t="s">
        <v>1387</v>
      </c>
      <c r="G2608" t="s">
        <v>8366</v>
      </c>
      <c r="H2608" t="s">
        <v>14080</v>
      </c>
      <c r="I2608" t="s">
        <v>14081</v>
      </c>
      <c r="J2608" t="s">
        <v>8293</v>
      </c>
      <c r="K2608" t="s">
        <v>14082</v>
      </c>
    </row>
    <row r="2609" spans="1:11" x14ac:dyDescent="0.25">
      <c r="A2609" s="122">
        <v>2608</v>
      </c>
      <c r="B2609">
        <v>2049</v>
      </c>
      <c r="C2609" s="122" t="s">
        <v>183</v>
      </c>
      <c r="D2609" t="s">
        <v>13922</v>
      </c>
      <c r="E2609" t="s">
        <v>14083</v>
      </c>
      <c r="F2609" t="s">
        <v>14084</v>
      </c>
      <c r="G2609" t="s">
        <v>8020</v>
      </c>
      <c r="H2609" t="s">
        <v>14085</v>
      </c>
      <c r="I2609" s="80" t="s">
        <v>14086</v>
      </c>
      <c r="J2609" t="s">
        <v>8178</v>
      </c>
      <c r="K2609" t="s">
        <v>14087</v>
      </c>
    </row>
    <row r="2610" spans="1:11" x14ac:dyDescent="0.25">
      <c r="A2610" s="122">
        <v>2609</v>
      </c>
      <c r="B2610">
        <v>2049</v>
      </c>
      <c r="C2610" s="122" t="s">
        <v>186</v>
      </c>
      <c r="D2610" t="s">
        <v>13922</v>
      </c>
      <c r="E2610" t="s">
        <v>14088</v>
      </c>
      <c r="F2610" t="s">
        <v>14089</v>
      </c>
      <c r="G2610" t="s">
        <v>8104</v>
      </c>
      <c r="H2610" s="80" t="s">
        <v>14090</v>
      </c>
      <c r="I2610" s="80" t="s">
        <v>14091</v>
      </c>
      <c r="J2610" t="s">
        <v>8227</v>
      </c>
      <c r="K2610" s="80" t="s">
        <v>14092</v>
      </c>
    </row>
    <row r="2611" spans="1:11" x14ac:dyDescent="0.25">
      <c r="A2611" s="122">
        <v>2610</v>
      </c>
      <c r="B2611">
        <v>2049</v>
      </c>
      <c r="C2611" s="122" t="s">
        <v>188</v>
      </c>
      <c r="D2611" t="s">
        <v>6881</v>
      </c>
      <c r="E2611" s="80" t="s">
        <v>14093</v>
      </c>
      <c r="F2611" t="s">
        <v>14094</v>
      </c>
      <c r="G2611" t="s">
        <v>8104</v>
      </c>
      <c r="H2611" t="s">
        <v>14095</v>
      </c>
      <c r="I2611" s="80" t="s">
        <v>14096</v>
      </c>
      <c r="J2611" t="s">
        <v>8347</v>
      </c>
      <c r="K2611" s="80" t="s">
        <v>14097</v>
      </c>
    </row>
    <row r="2612" spans="1:11" x14ac:dyDescent="0.25">
      <c r="A2612" s="122">
        <v>2611</v>
      </c>
      <c r="B2612">
        <v>2049</v>
      </c>
      <c r="C2612" s="122" t="s">
        <v>182</v>
      </c>
      <c r="D2612" s="80" t="s">
        <v>5863</v>
      </c>
      <c r="E2612" t="s">
        <v>14098</v>
      </c>
      <c r="F2612" t="s">
        <v>583</v>
      </c>
      <c r="G2612" t="s">
        <v>3898</v>
      </c>
      <c r="H2612" t="s">
        <v>8287</v>
      </c>
      <c r="I2612" t="s">
        <v>14099</v>
      </c>
      <c r="J2612" t="s">
        <v>8243</v>
      </c>
      <c r="K2612" t="s">
        <v>11627</v>
      </c>
    </row>
    <row r="2613" spans="1:11" x14ac:dyDescent="0.25">
      <c r="A2613" s="122">
        <v>2612</v>
      </c>
      <c r="B2613">
        <v>2049</v>
      </c>
      <c r="C2613" s="122" t="s">
        <v>184</v>
      </c>
      <c r="D2613" t="s">
        <v>14100</v>
      </c>
      <c r="E2613" t="s">
        <v>14101</v>
      </c>
      <c r="F2613" t="s">
        <v>9219</v>
      </c>
      <c r="G2613" t="s">
        <v>8366</v>
      </c>
      <c r="H2613" t="s">
        <v>14102</v>
      </c>
      <c r="I2613" s="80" t="s">
        <v>14103</v>
      </c>
      <c r="J2613" t="s">
        <v>8023</v>
      </c>
      <c r="K2613" t="s">
        <v>14104</v>
      </c>
    </row>
    <row r="2614" spans="1:11" x14ac:dyDescent="0.25">
      <c r="A2614" s="122">
        <v>2613</v>
      </c>
      <c r="B2614">
        <v>2049</v>
      </c>
      <c r="C2614" s="122" t="s">
        <v>187</v>
      </c>
      <c r="D2614" t="s">
        <v>14105</v>
      </c>
      <c r="E2614" t="s">
        <v>14106</v>
      </c>
      <c r="F2614" t="s">
        <v>14107</v>
      </c>
      <c r="G2614" t="s">
        <v>8047</v>
      </c>
      <c r="H2614" s="80" t="s">
        <v>14108</v>
      </c>
      <c r="I2614" s="80" t="s">
        <v>14109</v>
      </c>
      <c r="J2614" t="s">
        <v>8283</v>
      </c>
      <c r="K2614" t="s">
        <v>14110</v>
      </c>
    </row>
    <row r="2615" spans="1:11" x14ac:dyDescent="0.25">
      <c r="A2615" s="122">
        <v>2614</v>
      </c>
      <c r="B2615">
        <v>2049</v>
      </c>
      <c r="C2615" s="122" t="s">
        <v>189</v>
      </c>
      <c r="D2615" t="s">
        <v>13902</v>
      </c>
      <c r="E2615" t="s">
        <v>14111</v>
      </c>
      <c r="F2615" t="s">
        <v>2664</v>
      </c>
      <c r="G2615" t="s">
        <v>10108</v>
      </c>
      <c r="H2615" t="s">
        <v>14112</v>
      </c>
      <c r="I2615" s="80" t="s">
        <v>14113</v>
      </c>
      <c r="J2615" t="s">
        <v>8147</v>
      </c>
      <c r="K2615" t="s">
        <v>14114</v>
      </c>
    </row>
    <row r="2616" spans="1:11" x14ac:dyDescent="0.25">
      <c r="A2616" s="122">
        <v>2615</v>
      </c>
      <c r="B2616">
        <v>2050</v>
      </c>
      <c r="C2616" s="122" t="s">
        <v>162</v>
      </c>
      <c r="D2616" t="s">
        <v>10261</v>
      </c>
      <c r="E2616" s="80" t="s">
        <v>14115</v>
      </c>
      <c r="F2616" t="s">
        <v>8952</v>
      </c>
      <c r="G2616" t="s">
        <v>8269</v>
      </c>
      <c r="H2616" t="s">
        <v>3765</v>
      </c>
      <c r="I2616" t="s">
        <v>13847</v>
      </c>
      <c r="J2616" t="s">
        <v>10085</v>
      </c>
      <c r="K2616" t="s">
        <v>10524</v>
      </c>
    </row>
    <row r="2617" spans="1:11" x14ac:dyDescent="0.25">
      <c r="A2617" s="122">
        <v>2616</v>
      </c>
      <c r="B2617">
        <v>2050</v>
      </c>
      <c r="C2617" s="122" t="s">
        <v>170</v>
      </c>
      <c r="D2617" t="s">
        <v>14116</v>
      </c>
      <c r="E2617" s="111" t="s">
        <v>14117</v>
      </c>
      <c r="F2617" t="s">
        <v>14118</v>
      </c>
      <c r="G2617" t="s">
        <v>8020</v>
      </c>
      <c r="H2617" t="s">
        <v>14119</v>
      </c>
      <c r="I2617" s="80" t="s">
        <v>14120</v>
      </c>
      <c r="J2617" t="s">
        <v>8015</v>
      </c>
      <c r="K2617" t="s">
        <v>14121</v>
      </c>
    </row>
    <row r="2618" spans="1:11" x14ac:dyDescent="0.25">
      <c r="A2618" s="122">
        <v>2617</v>
      </c>
      <c r="B2618">
        <v>2050</v>
      </c>
      <c r="C2618" s="122" t="s">
        <v>178</v>
      </c>
      <c r="D2618" t="s">
        <v>14122</v>
      </c>
      <c r="E2618" s="111" t="s">
        <v>14123</v>
      </c>
      <c r="F2618" t="s">
        <v>14124</v>
      </c>
      <c r="G2618" t="s">
        <v>9356</v>
      </c>
      <c r="H2618" s="111" t="s">
        <v>14125</v>
      </c>
      <c r="I2618" s="80" t="s">
        <v>14126</v>
      </c>
      <c r="J2618" t="s">
        <v>8093</v>
      </c>
      <c r="K2618" t="s">
        <v>14127</v>
      </c>
    </row>
    <row r="2619" spans="1:11" x14ac:dyDescent="0.25">
      <c r="A2619" s="122">
        <v>2618</v>
      </c>
      <c r="B2619">
        <v>2050</v>
      </c>
      <c r="C2619" s="122" t="s">
        <v>163</v>
      </c>
      <c r="D2619" t="s">
        <v>14128</v>
      </c>
      <c r="E2619" s="111" t="s">
        <v>14129</v>
      </c>
      <c r="F2619" t="s">
        <v>14130</v>
      </c>
      <c r="G2619" t="s">
        <v>7959</v>
      </c>
      <c r="H2619" s="80" t="s">
        <v>14131</v>
      </c>
      <c r="I2619" s="80" t="s">
        <v>14132</v>
      </c>
      <c r="J2619" t="s">
        <v>8347</v>
      </c>
      <c r="K2619" s="80" t="s">
        <v>14133</v>
      </c>
    </row>
    <row r="2620" spans="1:11" x14ac:dyDescent="0.25">
      <c r="A2620" s="122">
        <v>2619</v>
      </c>
      <c r="B2620">
        <v>2050</v>
      </c>
      <c r="C2620" s="122" t="s">
        <v>181</v>
      </c>
      <c r="D2620" t="s">
        <v>13993</v>
      </c>
      <c r="E2620" s="111" t="s">
        <v>14134</v>
      </c>
      <c r="F2620" t="s">
        <v>5722</v>
      </c>
      <c r="G2620" t="s">
        <v>8366</v>
      </c>
      <c r="H2620" t="s">
        <v>1990</v>
      </c>
      <c r="I2620" t="s">
        <v>11851</v>
      </c>
      <c r="J2620" t="s">
        <v>5230</v>
      </c>
      <c r="K2620" t="s">
        <v>6441</v>
      </c>
    </row>
    <row r="2621" spans="1:11" x14ac:dyDescent="0.25">
      <c r="A2621" s="122">
        <v>2620</v>
      </c>
      <c r="B2621">
        <v>2050</v>
      </c>
      <c r="C2621" s="122" t="s">
        <v>183</v>
      </c>
      <c r="D2621" t="s">
        <v>13982</v>
      </c>
      <c r="E2621" s="111" t="s">
        <v>14135</v>
      </c>
      <c r="F2621" t="s">
        <v>14136</v>
      </c>
      <c r="G2621" t="s">
        <v>7979</v>
      </c>
      <c r="H2621" t="s">
        <v>14137</v>
      </c>
      <c r="I2621" s="80" t="s">
        <v>14138</v>
      </c>
      <c r="J2621" t="s">
        <v>8347</v>
      </c>
      <c r="K2621" t="s">
        <v>14139</v>
      </c>
    </row>
    <row r="2622" spans="1:11" x14ac:dyDescent="0.25">
      <c r="A2622" s="122">
        <v>2621</v>
      </c>
      <c r="B2622">
        <v>2050</v>
      </c>
      <c r="C2622" s="122" t="s">
        <v>186</v>
      </c>
      <c r="D2622" t="s">
        <v>14140</v>
      </c>
      <c r="E2622" s="111" t="s">
        <v>14141</v>
      </c>
      <c r="F2622" t="s">
        <v>14142</v>
      </c>
      <c r="G2622" t="s">
        <v>7966</v>
      </c>
      <c r="H2622" s="80" t="s">
        <v>14143</v>
      </c>
      <c r="I2622" s="80" t="s">
        <v>14144</v>
      </c>
      <c r="J2622" t="s">
        <v>14145</v>
      </c>
      <c r="K2622" t="s">
        <v>12264</v>
      </c>
    </row>
    <row r="2623" spans="1:11" x14ac:dyDescent="0.25">
      <c r="A2623" s="122">
        <v>2622</v>
      </c>
      <c r="B2623">
        <v>2050</v>
      </c>
      <c r="C2623" s="122" t="s">
        <v>188</v>
      </c>
      <c r="D2623" t="s">
        <v>14146</v>
      </c>
      <c r="E2623" s="111" t="s">
        <v>14147</v>
      </c>
      <c r="F2623" t="s">
        <v>14148</v>
      </c>
      <c r="G2623" t="s">
        <v>8138</v>
      </c>
      <c r="H2623" t="s">
        <v>14149</v>
      </c>
      <c r="I2623" s="80" t="s">
        <v>14150</v>
      </c>
      <c r="J2623" t="s">
        <v>8340</v>
      </c>
      <c r="K2623" s="80" t="s">
        <v>14151</v>
      </c>
    </row>
    <row r="2624" spans="1:11" x14ac:dyDescent="0.25">
      <c r="A2624" s="122">
        <v>2623</v>
      </c>
      <c r="B2624">
        <v>2050</v>
      </c>
      <c r="C2624" s="122" t="s">
        <v>182</v>
      </c>
      <c r="D2624" t="s">
        <v>14004</v>
      </c>
      <c r="E2624" s="80" t="s">
        <v>14152</v>
      </c>
      <c r="F2624" t="s">
        <v>14153</v>
      </c>
      <c r="G2624" t="s">
        <v>9646</v>
      </c>
      <c r="H2624" t="s">
        <v>14154</v>
      </c>
      <c r="I2624" t="s">
        <v>14155</v>
      </c>
      <c r="J2624" t="s">
        <v>10146</v>
      </c>
      <c r="K2624" t="s">
        <v>14156</v>
      </c>
    </row>
    <row r="2625" spans="1:11" x14ac:dyDescent="0.25">
      <c r="A2625" s="122">
        <v>2624</v>
      </c>
      <c r="B2625">
        <v>2050</v>
      </c>
      <c r="C2625" s="122" t="s">
        <v>184</v>
      </c>
      <c r="D2625" t="s">
        <v>14157</v>
      </c>
      <c r="E2625" s="80" t="s">
        <v>14158</v>
      </c>
      <c r="F2625" t="s">
        <v>1597</v>
      </c>
      <c r="G2625" t="s">
        <v>8138</v>
      </c>
      <c r="H2625" s="80" t="s">
        <v>14159</v>
      </c>
      <c r="I2625" s="80" t="s">
        <v>14160</v>
      </c>
      <c r="J2625">
        <v>118</v>
      </c>
      <c r="K2625" s="80" t="s">
        <v>14161</v>
      </c>
    </row>
    <row r="2626" spans="1:11" x14ac:dyDescent="0.25">
      <c r="A2626" s="122">
        <v>2625</v>
      </c>
      <c r="B2626">
        <v>2050</v>
      </c>
      <c r="C2626" s="122" t="s">
        <v>187</v>
      </c>
      <c r="D2626" t="s">
        <v>14162</v>
      </c>
      <c r="E2626" s="80" t="s">
        <v>14163</v>
      </c>
      <c r="F2626" t="s">
        <v>14164</v>
      </c>
      <c r="G2626" t="s">
        <v>8041</v>
      </c>
      <c r="H2626" s="111" t="s">
        <v>14165</v>
      </c>
      <c r="I2626" s="80" t="s">
        <v>14166</v>
      </c>
      <c r="J2626" t="s">
        <v>14167</v>
      </c>
      <c r="K2626" s="111" t="s">
        <v>14168</v>
      </c>
    </row>
    <row r="2627" spans="1:11" x14ac:dyDescent="0.25">
      <c r="A2627" s="122">
        <v>2626</v>
      </c>
      <c r="B2627">
        <v>2050</v>
      </c>
      <c r="C2627" s="122" t="s">
        <v>189</v>
      </c>
      <c r="D2627" t="s">
        <v>14169</v>
      </c>
      <c r="E2627" s="80" t="s">
        <v>14170</v>
      </c>
      <c r="F2627" t="s">
        <v>14171</v>
      </c>
      <c r="G2627" t="s">
        <v>7973</v>
      </c>
      <c r="H2627" s="80" t="s">
        <v>14172</v>
      </c>
      <c r="I2627" s="80" t="s">
        <v>14173</v>
      </c>
      <c r="J2627" t="s">
        <v>8173</v>
      </c>
      <c r="K2627" s="111" t="s">
        <v>14174</v>
      </c>
    </row>
    <row r="2628" spans="1:11" x14ac:dyDescent="0.25">
      <c r="A2628" s="122">
        <v>2627</v>
      </c>
      <c r="B2628">
        <v>2044</v>
      </c>
      <c r="C2628" s="122" t="s">
        <v>162</v>
      </c>
      <c r="D2628" t="s">
        <v>14175</v>
      </c>
      <c r="E2628" s="80" t="s">
        <v>14176</v>
      </c>
      <c r="F2628" t="s">
        <v>14177</v>
      </c>
      <c r="G2628" t="s">
        <v>8077</v>
      </c>
      <c r="H2628" t="s">
        <v>14178</v>
      </c>
      <c r="I2628" s="80" t="s">
        <v>14179</v>
      </c>
      <c r="J2628" t="s">
        <v>8107</v>
      </c>
      <c r="K2628" s="80" t="s">
        <v>14180</v>
      </c>
    </row>
    <row r="2629" spans="1:11" x14ac:dyDescent="0.25">
      <c r="A2629" s="122">
        <v>2628</v>
      </c>
      <c r="B2629">
        <v>2044</v>
      </c>
      <c r="C2629" s="122" t="s">
        <v>170</v>
      </c>
      <c r="D2629" t="s">
        <v>14181</v>
      </c>
      <c r="E2629" s="80" t="s">
        <v>14182</v>
      </c>
      <c r="F2629" t="s">
        <v>14183</v>
      </c>
      <c r="G2629" t="s">
        <v>7952</v>
      </c>
      <c r="H2629" s="80" t="s">
        <v>14184</v>
      </c>
      <c r="I2629" s="80" t="s">
        <v>14185</v>
      </c>
      <c r="J2629" t="s">
        <v>8227</v>
      </c>
      <c r="K2629" t="s">
        <v>14186</v>
      </c>
    </row>
    <row r="2630" spans="1:11" x14ac:dyDescent="0.25">
      <c r="A2630" s="122">
        <v>2629</v>
      </c>
      <c r="B2630">
        <v>2044</v>
      </c>
      <c r="C2630" s="122" t="s">
        <v>178</v>
      </c>
      <c r="D2630" t="s">
        <v>14187</v>
      </c>
      <c r="E2630" s="80" t="s">
        <v>14188</v>
      </c>
      <c r="F2630" t="s">
        <v>14189</v>
      </c>
      <c r="G2630" t="s">
        <v>9592</v>
      </c>
      <c r="H2630" s="80" t="s">
        <v>14190</v>
      </c>
      <c r="I2630" s="80" t="s">
        <v>14191</v>
      </c>
      <c r="J2630" t="s">
        <v>8214</v>
      </c>
      <c r="K2630" t="s">
        <v>14192</v>
      </c>
    </row>
    <row r="2631" spans="1:11" x14ac:dyDescent="0.25">
      <c r="A2631" s="122">
        <v>2630</v>
      </c>
      <c r="B2631">
        <v>2044</v>
      </c>
      <c r="C2631" s="122" t="s">
        <v>163</v>
      </c>
      <c r="D2631" t="s">
        <v>14193</v>
      </c>
      <c r="E2631" s="80" t="s">
        <v>14194</v>
      </c>
      <c r="F2631" t="s">
        <v>14195</v>
      </c>
      <c r="G2631" t="s">
        <v>8118</v>
      </c>
      <c r="H2631" s="80" t="s">
        <v>14196</v>
      </c>
      <c r="I2631" s="80" t="s">
        <v>14197</v>
      </c>
      <c r="J2631" t="s">
        <v>8347</v>
      </c>
      <c r="K2631" s="80" t="s">
        <v>14198</v>
      </c>
    </row>
    <row r="2632" spans="1:11" x14ac:dyDescent="0.25">
      <c r="A2632" s="122">
        <v>2631</v>
      </c>
      <c r="B2632">
        <v>2044</v>
      </c>
      <c r="C2632" s="122" t="s">
        <v>182</v>
      </c>
      <c r="D2632" t="s">
        <v>583</v>
      </c>
      <c r="E2632" t="s">
        <v>14199</v>
      </c>
      <c r="F2632" t="s">
        <v>6474</v>
      </c>
      <c r="G2632" t="s">
        <v>583</v>
      </c>
      <c r="H2632" s="80" t="s">
        <v>6530</v>
      </c>
      <c r="I2632" t="s">
        <v>12749</v>
      </c>
      <c r="J2632" t="s">
        <v>8266</v>
      </c>
      <c r="K2632" t="s">
        <v>9747</v>
      </c>
    </row>
    <row r="2633" spans="1:11" x14ac:dyDescent="0.25">
      <c r="A2633" s="122">
        <v>2632</v>
      </c>
      <c r="B2633">
        <v>2044</v>
      </c>
      <c r="C2633" s="122" t="s">
        <v>184</v>
      </c>
      <c r="D2633" t="s">
        <v>13987</v>
      </c>
      <c r="E2633" t="s">
        <v>14200</v>
      </c>
      <c r="F2633" t="s">
        <v>14201</v>
      </c>
      <c r="G2633" t="s">
        <v>10160</v>
      </c>
      <c r="H2633" t="s">
        <v>14202</v>
      </c>
      <c r="I2633" s="80" t="s">
        <v>11380</v>
      </c>
      <c r="J2633" t="s">
        <v>12708</v>
      </c>
      <c r="K2633" t="s">
        <v>14203</v>
      </c>
    </row>
    <row r="2634" spans="1:11" x14ac:dyDescent="0.25">
      <c r="A2634" s="122">
        <v>2633</v>
      </c>
      <c r="B2634">
        <v>2044</v>
      </c>
      <c r="C2634" s="122" t="s">
        <v>187</v>
      </c>
      <c r="D2634" t="s">
        <v>14204</v>
      </c>
      <c r="E2634" t="s">
        <v>14205</v>
      </c>
      <c r="F2634" t="s">
        <v>6294</v>
      </c>
      <c r="G2634" t="s">
        <v>9233</v>
      </c>
      <c r="H2634" t="s">
        <v>14206</v>
      </c>
      <c r="I2634" s="80" t="s">
        <v>14207</v>
      </c>
      <c r="J2634" t="s">
        <v>8001</v>
      </c>
      <c r="K2634" t="s">
        <v>14208</v>
      </c>
    </row>
    <row r="2635" spans="1:11" x14ac:dyDescent="0.25">
      <c r="A2635" s="122">
        <v>2634</v>
      </c>
      <c r="B2635">
        <v>2044</v>
      </c>
      <c r="C2635" s="122" t="s">
        <v>189</v>
      </c>
      <c r="D2635" t="s">
        <v>14209</v>
      </c>
      <c r="E2635" t="s">
        <v>14210</v>
      </c>
      <c r="F2635" t="s">
        <v>9928</v>
      </c>
      <c r="G2635" t="s">
        <v>3786</v>
      </c>
      <c r="H2635" t="s">
        <v>14211</v>
      </c>
      <c r="I2635" s="80" t="s">
        <v>14212</v>
      </c>
      <c r="J2635" t="s">
        <v>8023</v>
      </c>
      <c r="K2635" t="s">
        <v>14213</v>
      </c>
    </row>
    <row r="2636" spans="1:11" x14ac:dyDescent="0.25">
      <c r="A2636" s="122">
        <v>2635</v>
      </c>
      <c r="B2636">
        <v>2045</v>
      </c>
      <c r="C2636" s="122" t="s">
        <v>162</v>
      </c>
      <c r="D2636" t="s">
        <v>13922</v>
      </c>
      <c r="E2636" s="111" t="s">
        <v>14214</v>
      </c>
      <c r="F2636" t="s">
        <v>5597</v>
      </c>
      <c r="G2636" t="s">
        <v>8218</v>
      </c>
      <c r="H2636" t="s">
        <v>12441</v>
      </c>
      <c r="I2636" t="s">
        <v>14215</v>
      </c>
      <c r="J2636" t="s">
        <v>5230</v>
      </c>
      <c r="K2636" t="s">
        <v>14216</v>
      </c>
    </row>
    <row r="2637" spans="1:11" x14ac:dyDescent="0.25">
      <c r="A2637" s="122">
        <v>2636</v>
      </c>
      <c r="B2637">
        <v>2045</v>
      </c>
      <c r="C2637" s="122" t="s">
        <v>170</v>
      </c>
      <c r="D2637" t="s">
        <v>14140</v>
      </c>
      <c r="E2637" s="80" t="s">
        <v>14217</v>
      </c>
      <c r="F2637" t="s">
        <v>14218</v>
      </c>
      <c r="G2637" t="s">
        <v>8047</v>
      </c>
      <c r="H2637" t="s">
        <v>14219</v>
      </c>
      <c r="I2637" s="80" t="s">
        <v>14220</v>
      </c>
      <c r="J2637" t="s">
        <v>8050</v>
      </c>
      <c r="K2637" t="s">
        <v>14221</v>
      </c>
    </row>
    <row r="2638" spans="1:11" x14ac:dyDescent="0.25">
      <c r="A2638" s="122">
        <v>2637</v>
      </c>
      <c r="B2638">
        <v>2045</v>
      </c>
      <c r="C2638" s="122" t="s">
        <v>178</v>
      </c>
      <c r="D2638" t="s">
        <v>14222</v>
      </c>
      <c r="E2638" s="80" t="s">
        <v>14223</v>
      </c>
      <c r="F2638" t="s">
        <v>5236</v>
      </c>
      <c r="G2638" t="s">
        <v>8158</v>
      </c>
      <c r="H2638" t="s">
        <v>14224</v>
      </c>
      <c r="I2638" s="80" t="s">
        <v>14225</v>
      </c>
      <c r="J2638" t="s">
        <v>8015</v>
      </c>
      <c r="K2638" t="s">
        <v>14226</v>
      </c>
    </row>
    <row r="2639" spans="1:11" x14ac:dyDescent="0.25">
      <c r="A2639" s="122">
        <v>2638</v>
      </c>
      <c r="B2639">
        <v>2045</v>
      </c>
      <c r="C2639" s="122" t="s">
        <v>163</v>
      </c>
      <c r="D2639" t="s">
        <v>13965</v>
      </c>
      <c r="E2639" s="80" t="s">
        <v>14227</v>
      </c>
      <c r="F2639" t="s">
        <v>14228</v>
      </c>
      <c r="G2639" t="s">
        <v>9223</v>
      </c>
      <c r="H2639" t="s">
        <v>14229</v>
      </c>
      <c r="I2639" s="80" t="s">
        <v>14230</v>
      </c>
      <c r="J2639" t="s">
        <v>10141</v>
      </c>
      <c r="K2639" s="80" t="s">
        <v>14231</v>
      </c>
    </row>
    <row r="2640" spans="1:11" x14ac:dyDescent="0.25">
      <c r="A2640" s="122">
        <v>2639</v>
      </c>
      <c r="B2640">
        <v>2045</v>
      </c>
      <c r="C2640" s="122" t="s">
        <v>181</v>
      </c>
      <c r="D2640" t="s">
        <v>14007</v>
      </c>
      <c r="E2640" s="111" t="s">
        <v>14232</v>
      </c>
      <c r="F2640" t="s">
        <v>8952</v>
      </c>
      <c r="G2640" t="s">
        <v>10191</v>
      </c>
      <c r="H2640" t="s">
        <v>14233</v>
      </c>
      <c r="I2640" t="s">
        <v>14234</v>
      </c>
      <c r="J2640" t="s">
        <v>12659</v>
      </c>
      <c r="K2640" t="s">
        <v>12202</v>
      </c>
    </row>
    <row r="2641" spans="1:11" x14ac:dyDescent="0.25">
      <c r="A2641" s="122">
        <v>2640</v>
      </c>
      <c r="B2641">
        <v>2045</v>
      </c>
      <c r="C2641" s="122" t="s">
        <v>183</v>
      </c>
      <c r="D2641" t="s">
        <v>13993</v>
      </c>
      <c r="E2641" s="80">
        <v>31735</v>
      </c>
      <c r="F2641" t="s">
        <v>14235</v>
      </c>
      <c r="G2641" t="s">
        <v>8218</v>
      </c>
      <c r="H2641" t="s">
        <v>14236</v>
      </c>
      <c r="I2641" s="80" t="s">
        <v>14237</v>
      </c>
      <c r="J2641" t="s">
        <v>8001</v>
      </c>
      <c r="K2641" t="s">
        <v>14238</v>
      </c>
    </row>
    <row r="2642" spans="1:11" x14ac:dyDescent="0.25">
      <c r="A2642" s="122">
        <v>2641</v>
      </c>
      <c r="B2642">
        <v>2045</v>
      </c>
      <c r="C2642" s="122" t="s">
        <v>186</v>
      </c>
      <c r="D2642" t="s">
        <v>13972</v>
      </c>
      <c r="E2642" s="80" t="s">
        <v>14239</v>
      </c>
      <c r="F2642" t="s">
        <v>14240</v>
      </c>
      <c r="G2642" t="s">
        <v>8218</v>
      </c>
      <c r="H2642" t="s">
        <v>14241</v>
      </c>
      <c r="I2642" s="80" t="s">
        <v>14242</v>
      </c>
      <c r="J2642" t="s">
        <v>8227</v>
      </c>
      <c r="K2642" t="s">
        <v>14243</v>
      </c>
    </row>
    <row r="2643" spans="1:11" x14ac:dyDescent="0.25">
      <c r="A2643" s="122">
        <v>2642</v>
      </c>
      <c r="B2643">
        <v>2045</v>
      </c>
      <c r="C2643" s="122" t="s">
        <v>188</v>
      </c>
      <c r="D2643" t="s">
        <v>14244</v>
      </c>
      <c r="E2643" s="80" t="s">
        <v>14245</v>
      </c>
      <c r="F2643" t="s">
        <v>14246</v>
      </c>
      <c r="G2643" t="s">
        <v>9502</v>
      </c>
      <c r="H2643" t="s">
        <v>14247</v>
      </c>
      <c r="I2643" s="80" t="s">
        <v>14248</v>
      </c>
      <c r="J2643" t="s">
        <v>8107</v>
      </c>
      <c r="K2643" s="80" t="s">
        <v>14249</v>
      </c>
    </row>
    <row r="2644" spans="1:11" x14ac:dyDescent="0.25">
      <c r="A2644" s="122">
        <v>2643</v>
      </c>
      <c r="B2644">
        <v>2045</v>
      </c>
      <c r="C2644" s="122" t="s">
        <v>182</v>
      </c>
      <c r="D2644" s="80" t="s">
        <v>5863</v>
      </c>
      <c r="E2644" t="s">
        <v>14250</v>
      </c>
      <c r="F2644" t="s">
        <v>6179</v>
      </c>
      <c r="G2644" t="s">
        <v>3898</v>
      </c>
      <c r="H2644" t="s">
        <v>10865</v>
      </c>
      <c r="I2644" t="s">
        <v>14251</v>
      </c>
      <c r="J2644" t="s">
        <v>8127</v>
      </c>
      <c r="K2644" t="s">
        <v>10933</v>
      </c>
    </row>
    <row r="2645" spans="1:11" x14ac:dyDescent="0.25">
      <c r="A2645" s="122">
        <v>2644</v>
      </c>
      <c r="B2645">
        <v>2045</v>
      </c>
      <c r="C2645" s="122" t="s">
        <v>184</v>
      </c>
      <c r="D2645" t="s">
        <v>14252</v>
      </c>
      <c r="E2645" t="s">
        <v>14253</v>
      </c>
      <c r="F2645" t="s">
        <v>14254</v>
      </c>
      <c r="G2645" t="s">
        <v>7443</v>
      </c>
      <c r="H2645" t="s">
        <v>14255</v>
      </c>
      <c r="I2645" s="80" t="s">
        <v>14256</v>
      </c>
      <c r="J2645" t="s">
        <v>8283</v>
      </c>
      <c r="K2645" t="s">
        <v>14257</v>
      </c>
    </row>
    <row r="2646" spans="1:11" x14ac:dyDescent="0.25">
      <c r="A2646" s="122">
        <v>2645</v>
      </c>
      <c r="B2646">
        <v>2045</v>
      </c>
      <c r="C2646" s="122" t="s">
        <v>187</v>
      </c>
      <c r="D2646" t="s">
        <v>14258</v>
      </c>
      <c r="E2646" t="s">
        <v>14259</v>
      </c>
      <c r="F2646" t="s">
        <v>14260</v>
      </c>
      <c r="G2646" t="s">
        <v>8118</v>
      </c>
      <c r="H2646" s="80" t="s">
        <v>14261</v>
      </c>
      <c r="I2646" s="80" t="s">
        <v>14262</v>
      </c>
      <c r="J2646" t="s">
        <v>13970</v>
      </c>
      <c r="K2646" s="80" t="s">
        <v>14263</v>
      </c>
    </row>
    <row r="2647" spans="1:11" x14ac:dyDescent="0.25">
      <c r="A2647" s="122">
        <v>2646</v>
      </c>
      <c r="B2647">
        <v>2045</v>
      </c>
      <c r="C2647" s="122" t="s">
        <v>189</v>
      </c>
      <c r="D2647" t="s">
        <v>14264</v>
      </c>
      <c r="E2647" t="s">
        <v>14265</v>
      </c>
      <c r="F2647" t="s">
        <v>14266</v>
      </c>
      <c r="G2647" t="s">
        <v>8332</v>
      </c>
      <c r="H2647" s="80" t="s">
        <v>14267</v>
      </c>
      <c r="I2647" s="80" t="s">
        <v>13318</v>
      </c>
      <c r="J2647" t="s">
        <v>8214</v>
      </c>
      <c r="K2647" s="80" t="s">
        <v>14268</v>
      </c>
    </row>
    <row r="2648" spans="1:11" x14ac:dyDescent="0.25">
      <c r="A2648" s="122">
        <v>2647</v>
      </c>
      <c r="B2648" t="s">
        <v>680</v>
      </c>
      <c r="C2648" s="122" t="s">
        <v>162</v>
      </c>
      <c r="D2648" t="s">
        <v>13912</v>
      </c>
      <c r="E2648" s="80" t="s">
        <v>14269</v>
      </c>
      <c r="F2648" t="s">
        <v>7163</v>
      </c>
      <c r="G2648" t="s">
        <v>10191</v>
      </c>
      <c r="H2648" t="s">
        <v>7993</v>
      </c>
      <c r="I2648" t="s">
        <v>14270</v>
      </c>
      <c r="J2648" t="s">
        <v>10146</v>
      </c>
      <c r="K2648" t="s">
        <v>9912</v>
      </c>
    </row>
    <row r="2649" spans="1:11" x14ac:dyDescent="0.25">
      <c r="A2649" s="122">
        <v>2648</v>
      </c>
      <c r="B2649" t="s">
        <v>680</v>
      </c>
      <c r="C2649" s="122" t="s">
        <v>170</v>
      </c>
      <c r="D2649" t="s">
        <v>14271</v>
      </c>
      <c r="E2649" t="s">
        <v>14272</v>
      </c>
      <c r="F2649" t="s">
        <v>1528</v>
      </c>
      <c r="G2649" t="s">
        <v>8104</v>
      </c>
      <c r="H2649" t="s">
        <v>14273</v>
      </c>
      <c r="I2649" s="80" t="s">
        <v>14274</v>
      </c>
      <c r="J2649" t="s">
        <v>8099</v>
      </c>
      <c r="K2649" t="s">
        <v>14275</v>
      </c>
    </row>
    <row r="2650" spans="1:11" x14ac:dyDescent="0.25">
      <c r="A2650" s="122">
        <v>2649</v>
      </c>
      <c r="B2650" t="s">
        <v>680</v>
      </c>
      <c r="C2650" s="122" t="s">
        <v>178</v>
      </c>
      <c r="D2650" t="s">
        <v>13987</v>
      </c>
      <c r="E2650" t="s">
        <v>14276</v>
      </c>
      <c r="F2650" t="s">
        <v>14277</v>
      </c>
      <c r="G2650" t="s">
        <v>8104</v>
      </c>
      <c r="H2650" t="s">
        <v>14278</v>
      </c>
      <c r="I2650" s="80" t="s">
        <v>14279</v>
      </c>
      <c r="J2650" t="s">
        <v>8252</v>
      </c>
      <c r="K2650" t="s">
        <v>14280</v>
      </c>
    </row>
    <row r="2651" spans="1:11" x14ac:dyDescent="0.25">
      <c r="A2651" s="122">
        <v>2650</v>
      </c>
      <c r="B2651" t="s">
        <v>680</v>
      </c>
      <c r="C2651" s="122" t="s">
        <v>163</v>
      </c>
      <c r="D2651" t="s">
        <v>12732</v>
      </c>
      <c r="E2651" t="s">
        <v>14281</v>
      </c>
      <c r="F2651" t="s">
        <v>14282</v>
      </c>
      <c r="G2651" t="s">
        <v>8118</v>
      </c>
      <c r="H2651" t="s">
        <v>14283</v>
      </c>
      <c r="I2651" s="80" t="s">
        <v>14284</v>
      </c>
      <c r="J2651" t="s">
        <v>14285</v>
      </c>
      <c r="K2651" t="s">
        <v>14286</v>
      </c>
    </row>
    <row r="2652" spans="1:11" x14ac:dyDescent="0.25">
      <c r="A2652" s="122">
        <v>2651</v>
      </c>
      <c r="B2652" t="s">
        <v>680</v>
      </c>
      <c r="C2652" s="122" t="s">
        <v>181</v>
      </c>
      <c r="D2652" t="s">
        <v>13922</v>
      </c>
      <c r="E2652" s="111" t="s">
        <v>14287</v>
      </c>
      <c r="F2652" t="s">
        <v>1387</v>
      </c>
      <c r="G2652" t="s">
        <v>8269</v>
      </c>
      <c r="H2652" t="s">
        <v>14288</v>
      </c>
      <c r="I2652" t="s">
        <v>14289</v>
      </c>
      <c r="J2652" t="s">
        <v>5230</v>
      </c>
      <c r="K2652" t="s">
        <v>14290</v>
      </c>
    </row>
    <row r="2653" spans="1:11" x14ac:dyDescent="0.25">
      <c r="A2653" s="122">
        <v>2652</v>
      </c>
      <c r="B2653" t="s">
        <v>680</v>
      </c>
      <c r="C2653" s="122" t="s">
        <v>183</v>
      </c>
      <c r="D2653" t="s">
        <v>5250</v>
      </c>
      <c r="E2653" s="80" t="s">
        <v>14291</v>
      </c>
      <c r="F2653" t="s">
        <v>14292</v>
      </c>
      <c r="G2653" t="s">
        <v>7443</v>
      </c>
      <c r="H2653" t="s">
        <v>14293</v>
      </c>
      <c r="I2653" s="80" t="s">
        <v>14294</v>
      </c>
      <c r="J2653" t="s">
        <v>8293</v>
      </c>
      <c r="K2653" t="s">
        <v>14295</v>
      </c>
    </row>
    <row r="2654" spans="1:11" x14ac:dyDescent="0.25">
      <c r="A2654" s="122">
        <v>2653</v>
      </c>
      <c r="B2654" t="s">
        <v>680</v>
      </c>
      <c r="C2654" s="122" t="s">
        <v>186</v>
      </c>
      <c r="D2654" t="s">
        <v>14296</v>
      </c>
      <c r="E2654" t="s">
        <v>14297</v>
      </c>
      <c r="F2654" t="s">
        <v>14298</v>
      </c>
      <c r="G2654" t="s">
        <v>8047</v>
      </c>
      <c r="H2654" t="s">
        <v>14299</v>
      </c>
      <c r="I2654" s="80" t="s">
        <v>14300</v>
      </c>
      <c r="J2654" t="s">
        <v>10199</v>
      </c>
      <c r="K2654" s="80" t="s">
        <v>14301</v>
      </c>
    </row>
    <row r="2655" spans="1:11" x14ac:dyDescent="0.25">
      <c r="A2655" s="122">
        <v>2654</v>
      </c>
      <c r="B2655" t="s">
        <v>680</v>
      </c>
      <c r="C2655" s="122" t="s">
        <v>188</v>
      </c>
      <c r="D2655" t="s">
        <v>14244</v>
      </c>
      <c r="E2655" s="80" t="s">
        <v>14302</v>
      </c>
      <c r="F2655" t="s">
        <v>13619</v>
      </c>
      <c r="G2655" t="s">
        <v>8104</v>
      </c>
      <c r="H2655" t="s">
        <v>14303</v>
      </c>
      <c r="I2655" s="80" t="s">
        <v>14304</v>
      </c>
      <c r="J2655" t="s">
        <v>8166</v>
      </c>
      <c r="K2655" s="80" t="s">
        <v>14305</v>
      </c>
    </row>
    <row r="2656" spans="1:11" x14ac:dyDescent="0.25">
      <c r="A2656" s="122">
        <v>2655</v>
      </c>
      <c r="B2656" t="s">
        <v>680</v>
      </c>
      <c r="C2656" s="122" t="s">
        <v>182</v>
      </c>
      <c r="D2656" t="s">
        <v>583</v>
      </c>
      <c r="E2656" t="s">
        <v>14306</v>
      </c>
      <c r="F2656" t="s">
        <v>2380</v>
      </c>
      <c r="G2656" t="s">
        <v>3898</v>
      </c>
      <c r="H2656" t="s">
        <v>583</v>
      </c>
      <c r="I2656" t="s">
        <v>6530</v>
      </c>
      <c r="J2656" s="80" t="s">
        <v>8243</v>
      </c>
      <c r="K2656" t="s">
        <v>7184</v>
      </c>
    </row>
    <row r="2657" spans="1:11" x14ac:dyDescent="0.25">
      <c r="A2657" s="122">
        <v>2656</v>
      </c>
      <c r="B2657" t="s">
        <v>680</v>
      </c>
      <c r="C2657" s="122" t="s">
        <v>184</v>
      </c>
      <c r="D2657" t="s">
        <v>583</v>
      </c>
      <c r="E2657" t="s">
        <v>14307</v>
      </c>
      <c r="F2657" t="s">
        <v>5513</v>
      </c>
      <c r="G2657" s="80" t="s">
        <v>8198</v>
      </c>
      <c r="H2657" t="s">
        <v>14308</v>
      </c>
      <c r="I2657" t="s">
        <v>14309</v>
      </c>
      <c r="J2657" t="s">
        <v>583</v>
      </c>
      <c r="K2657" t="s">
        <v>14310</v>
      </c>
    </row>
    <row r="2658" spans="1:11" x14ac:dyDescent="0.25">
      <c r="A2658" s="122">
        <v>2657</v>
      </c>
      <c r="B2658" t="s">
        <v>680</v>
      </c>
      <c r="C2658" s="122" t="s">
        <v>187</v>
      </c>
      <c r="D2658" t="s">
        <v>583</v>
      </c>
      <c r="E2658" t="s">
        <v>14311</v>
      </c>
      <c r="F2658" t="s">
        <v>2549</v>
      </c>
      <c r="G2658" s="80" t="s">
        <v>8198</v>
      </c>
      <c r="H2658" t="s">
        <v>14312</v>
      </c>
      <c r="I2658" t="s">
        <v>14313</v>
      </c>
      <c r="J2658" t="s">
        <v>583</v>
      </c>
      <c r="K2658" t="s">
        <v>14314</v>
      </c>
    </row>
    <row r="2659" spans="1:11" x14ac:dyDescent="0.25">
      <c r="A2659" s="122">
        <v>2658</v>
      </c>
      <c r="B2659" t="s">
        <v>680</v>
      </c>
      <c r="C2659" s="122" t="s">
        <v>189</v>
      </c>
      <c r="D2659" t="s">
        <v>583</v>
      </c>
      <c r="E2659" t="s">
        <v>14315</v>
      </c>
      <c r="F2659" t="s">
        <v>583</v>
      </c>
      <c r="G2659" t="s">
        <v>583</v>
      </c>
      <c r="H2659" t="s">
        <v>12588</v>
      </c>
      <c r="I2659" t="s">
        <v>14316</v>
      </c>
      <c r="J2659" s="80" t="s">
        <v>8243</v>
      </c>
      <c r="K2659" t="s">
        <v>14314</v>
      </c>
    </row>
    <row r="2660" spans="1:11" x14ac:dyDescent="0.25">
      <c r="A2660" s="122">
        <v>2659</v>
      </c>
      <c r="B2660" t="s">
        <v>681</v>
      </c>
      <c r="C2660" s="122" t="s">
        <v>162</v>
      </c>
      <c r="D2660" t="s">
        <v>5134</v>
      </c>
      <c r="E2660" s="80" t="s">
        <v>14317</v>
      </c>
      <c r="F2660" t="s">
        <v>7470</v>
      </c>
      <c r="G2660" t="s">
        <v>8269</v>
      </c>
      <c r="H2660" t="s">
        <v>7993</v>
      </c>
      <c r="I2660" t="s">
        <v>5283</v>
      </c>
      <c r="J2660" t="s">
        <v>8099</v>
      </c>
      <c r="K2660" t="s">
        <v>8581</v>
      </c>
    </row>
    <row r="2661" spans="1:11" x14ac:dyDescent="0.25">
      <c r="A2661" s="122">
        <v>2660</v>
      </c>
      <c r="B2661" t="s">
        <v>681</v>
      </c>
      <c r="C2661" s="122" t="s">
        <v>170</v>
      </c>
      <c r="D2661" t="s">
        <v>14318</v>
      </c>
      <c r="E2661" s="80" t="s">
        <v>14319</v>
      </c>
      <c r="F2661" t="s">
        <v>14320</v>
      </c>
      <c r="G2661" t="s">
        <v>8332</v>
      </c>
      <c r="H2661" t="s">
        <v>14321</v>
      </c>
      <c r="I2661" s="80" t="s">
        <v>14322</v>
      </c>
      <c r="J2661" t="s">
        <v>8015</v>
      </c>
      <c r="K2661" t="s">
        <v>14323</v>
      </c>
    </row>
    <row r="2662" spans="1:11" x14ac:dyDescent="0.25">
      <c r="A2662" s="123">
        <v>2661</v>
      </c>
      <c r="B2662" s="10" t="s">
        <v>681</v>
      </c>
      <c r="C2662" s="122" t="s">
        <v>178</v>
      </c>
      <c r="D2662" t="s">
        <v>14324</v>
      </c>
      <c r="E2662" s="80" t="s">
        <v>14325</v>
      </c>
      <c r="F2662" t="s">
        <v>14326</v>
      </c>
      <c r="G2662" t="s">
        <v>4368</v>
      </c>
      <c r="H2662" s="80" t="s">
        <v>14327</v>
      </c>
      <c r="I2662" s="80" t="s">
        <v>14328</v>
      </c>
      <c r="J2662" t="s">
        <v>14329</v>
      </c>
      <c r="K2662" t="s">
        <v>14330</v>
      </c>
    </row>
    <row r="2663" spans="1:11" x14ac:dyDescent="0.25">
      <c r="A2663" s="123">
        <v>2662</v>
      </c>
      <c r="B2663" s="10" t="s">
        <v>681</v>
      </c>
      <c r="C2663" s="122" t="s">
        <v>163</v>
      </c>
      <c r="D2663" t="s">
        <v>14331</v>
      </c>
      <c r="E2663" s="80" t="s">
        <v>14332</v>
      </c>
      <c r="F2663" t="s">
        <v>14333</v>
      </c>
      <c r="G2663" t="s">
        <v>14334</v>
      </c>
      <c r="H2663" s="80" t="s">
        <v>14335</v>
      </c>
      <c r="I2663" s="80" t="s">
        <v>14336</v>
      </c>
      <c r="J2663" t="s">
        <v>14337</v>
      </c>
      <c r="K2663" s="111" t="s">
        <v>14338</v>
      </c>
    </row>
    <row r="2664" spans="1:11" x14ac:dyDescent="0.25">
      <c r="A2664" s="123">
        <v>2663</v>
      </c>
      <c r="B2664" s="10" t="s">
        <v>681</v>
      </c>
      <c r="C2664" s="122" t="s">
        <v>181</v>
      </c>
      <c r="D2664" t="s">
        <v>583</v>
      </c>
      <c r="E2664" s="111" t="s">
        <v>14339</v>
      </c>
      <c r="F2664" t="s">
        <v>5602</v>
      </c>
      <c r="G2664" t="s">
        <v>12394</v>
      </c>
      <c r="H2664" t="s">
        <v>9385</v>
      </c>
      <c r="I2664" t="s">
        <v>14340</v>
      </c>
      <c r="J2664" t="s">
        <v>5467</v>
      </c>
      <c r="K2664" t="s">
        <v>13972</v>
      </c>
    </row>
    <row r="2665" spans="1:11" x14ac:dyDescent="0.25">
      <c r="A2665" s="123">
        <v>2664</v>
      </c>
      <c r="B2665" s="10" t="s">
        <v>681</v>
      </c>
      <c r="C2665" s="122" t="s">
        <v>183</v>
      </c>
      <c r="D2665" t="s">
        <v>14341</v>
      </c>
      <c r="E2665" s="111" t="s">
        <v>14342</v>
      </c>
      <c r="F2665" t="s">
        <v>14343</v>
      </c>
      <c r="G2665" t="s">
        <v>14344</v>
      </c>
      <c r="H2665" t="s">
        <v>14345</v>
      </c>
      <c r="I2665" s="80" t="s">
        <v>14346</v>
      </c>
      <c r="J2665" t="s">
        <v>14347</v>
      </c>
      <c r="K2665" s="80" t="s">
        <v>14348</v>
      </c>
    </row>
    <row r="2666" spans="1:11" x14ac:dyDescent="0.25">
      <c r="A2666" s="123">
        <v>2665</v>
      </c>
      <c r="B2666" s="10" t="s">
        <v>681</v>
      </c>
      <c r="C2666" s="122" t="s">
        <v>186</v>
      </c>
      <c r="D2666" t="s">
        <v>14349</v>
      </c>
      <c r="E2666" s="111" t="s">
        <v>14350</v>
      </c>
      <c r="F2666" t="s">
        <v>14351</v>
      </c>
      <c r="G2666" t="s">
        <v>14352</v>
      </c>
      <c r="H2666" s="111" t="s">
        <v>14353</v>
      </c>
      <c r="I2666" s="80" t="s">
        <v>14354</v>
      </c>
      <c r="J2666" t="s">
        <v>14355</v>
      </c>
      <c r="K2666" s="80" t="s">
        <v>14356</v>
      </c>
    </row>
    <row r="2667" spans="1:11" x14ac:dyDescent="0.25">
      <c r="A2667" s="123">
        <v>2666</v>
      </c>
      <c r="B2667" s="10" t="s">
        <v>681</v>
      </c>
      <c r="C2667" s="125" t="s">
        <v>188</v>
      </c>
      <c r="D2667" t="s">
        <v>10527</v>
      </c>
      <c r="E2667" s="111" t="s">
        <v>14357</v>
      </c>
      <c r="F2667" t="s">
        <v>14358</v>
      </c>
      <c r="G2667" t="s">
        <v>14352</v>
      </c>
      <c r="H2667" t="s">
        <v>14359</v>
      </c>
      <c r="I2667" s="80" t="s">
        <v>14360</v>
      </c>
      <c r="J2667" t="s">
        <v>14361</v>
      </c>
      <c r="K2667" s="111" t="s">
        <v>14362</v>
      </c>
    </row>
    <row r="2668" spans="1:11" x14ac:dyDescent="0.25">
      <c r="A2668" s="123">
        <v>2667</v>
      </c>
      <c r="B2668" s="10" t="s">
        <v>681</v>
      </c>
      <c r="C2668" s="125" t="s">
        <v>182</v>
      </c>
      <c r="D2668" t="s">
        <v>583</v>
      </c>
      <c r="E2668" t="s">
        <v>14363</v>
      </c>
      <c r="F2668" t="s">
        <v>6238</v>
      </c>
      <c r="G2668" s="80" t="s">
        <v>3657</v>
      </c>
      <c r="H2668" t="s">
        <v>6257</v>
      </c>
      <c r="I2668" t="s">
        <v>14364</v>
      </c>
      <c r="J2668" t="s">
        <v>583</v>
      </c>
      <c r="K2668" t="s">
        <v>10101</v>
      </c>
    </row>
    <row r="2669" spans="1:11" x14ac:dyDescent="0.25">
      <c r="A2669" s="123">
        <v>2668</v>
      </c>
      <c r="B2669" s="10" t="s">
        <v>681</v>
      </c>
      <c r="C2669" s="125" t="s">
        <v>184</v>
      </c>
      <c r="D2669" t="s">
        <v>12057</v>
      </c>
      <c r="E2669" t="s">
        <v>14365</v>
      </c>
      <c r="F2669" t="s">
        <v>14366</v>
      </c>
      <c r="G2669" t="s">
        <v>5071</v>
      </c>
      <c r="H2669" t="s">
        <v>14367</v>
      </c>
      <c r="I2669" s="80" t="s">
        <v>14368</v>
      </c>
      <c r="J2669" t="s">
        <v>6045</v>
      </c>
      <c r="K2669" t="s">
        <v>14369</v>
      </c>
    </row>
    <row r="2670" spans="1:11" x14ac:dyDescent="0.25">
      <c r="A2670" s="123">
        <v>2669</v>
      </c>
      <c r="B2670" s="10" t="s">
        <v>681</v>
      </c>
      <c r="C2670" s="125" t="s">
        <v>187</v>
      </c>
      <c r="D2670" t="s">
        <v>14349</v>
      </c>
      <c r="E2670" t="s">
        <v>14370</v>
      </c>
      <c r="F2670" t="s">
        <v>14371</v>
      </c>
      <c r="G2670" t="s">
        <v>14372</v>
      </c>
      <c r="H2670" s="80" t="s">
        <v>14373</v>
      </c>
      <c r="I2670" s="80" t="s">
        <v>14374</v>
      </c>
      <c r="J2670" t="s">
        <v>14375</v>
      </c>
      <c r="K2670" s="80" t="s">
        <v>14376</v>
      </c>
    </row>
    <row r="2671" spans="1:11" x14ac:dyDescent="0.25">
      <c r="A2671" s="123">
        <v>2670</v>
      </c>
      <c r="B2671" s="10" t="s">
        <v>681</v>
      </c>
      <c r="C2671" s="125" t="s">
        <v>189</v>
      </c>
      <c r="D2671" t="s">
        <v>8350</v>
      </c>
      <c r="E2671" t="s">
        <v>14377</v>
      </c>
      <c r="F2671" t="s">
        <v>4717</v>
      </c>
      <c r="G2671" t="s">
        <v>14378</v>
      </c>
      <c r="H2671" s="80" t="s">
        <v>14379</v>
      </c>
      <c r="I2671" s="80" t="s">
        <v>14380</v>
      </c>
      <c r="J2671" t="s">
        <v>14381</v>
      </c>
      <c r="K2671" t="s">
        <v>14382</v>
      </c>
    </row>
    <row r="2672" spans="1:11" x14ac:dyDescent="0.25">
      <c r="A2672" s="123">
        <v>2671</v>
      </c>
      <c r="B2672" s="10" t="s">
        <v>682</v>
      </c>
      <c r="C2672" s="122" t="s">
        <v>162</v>
      </c>
      <c r="D2672" t="s">
        <v>11627</v>
      </c>
      <c r="E2672" s="80" t="s">
        <v>14383</v>
      </c>
      <c r="F2672" t="s">
        <v>2384</v>
      </c>
      <c r="G2672" t="s">
        <v>583</v>
      </c>
      <c r="H2672" t="s">
        <v>583</v>
      </c>
      <c r="I2672" t="s">
        <v>14384</v>
      </c>
      <c r="J2672" t="s">
        <v>583</v>
      </c>
      <c r="K2672" t="s">
        <v>1648</v>
      </c>
    </row>
    <row r="2673" spans="1:11" x14ac:dyDescent="0.25">
      <c r="A2673" s="123">
        <v>2672</v>
      </c>
      <c r="B2673" s="10" t="s">
        <v>682</v>
      </c>
      <c r="C2673" s="122" t="s">
        <v>170</v>
      </c>
      <c r="D2673" t="s">
        <v>14385</v>
      </c>
      <c r="E2673" t="s">
        <v>14386</v>
      </c>
      <c r="F2673" t="s">
        <v>14387</v>
      </c>
      <c r="G2673" t="s">
        <v>5071</v>
      </c>
      <c r="H2673" t="s">
        <v>14388</v>
      </c>
      <c r="I2673" s="80" t="s">
        <v>14389</v>
      </c>
      <c r="J2673" t="s">
        <v>6045</v>
      </c>
      <c r="K2673" t="s">
        <v>14390</v>
      </c>
    </row>
    <row r="2674" spans="1:11" x14ac:dyDescent="0.25">
      <c r="A2674" s="123">
        <v>2673</v>
      </c>
      <c r="B2674" s="10" t="s">
        <v>682</v>
      </c>
      <c r="C2674" s="122" t="s">
        <v>178</v>
      </c>
      <c r="D2674" t="s">
        <v>14391</v>
      </c>
      <c r="E2674" t="s">
        <v>14392</v>
      </c>
      <c r="F2674" t="s">
        <v>14393</v>
      </c>
      <c r="G2674" t="s">
        <v>14394</v>
      </c>
      <c r="H2674" t="s">
        <v>14395</v>
      </c>
      <c r="I2674" s="80" t="s">
        <v>14396</v>
      </c>
      <c r="J2674" t="s">
        <v>14375</v>
      </c>
      <c r="K2674" t="s">
        <v>14397</v>
      </c>
    </row>
    <row r="2675" spans="1:11" x14ac:dyDescent="0.25">
      <c r="A2675" s="123">
        <v>2674</v>
      </c>
      <c r="B2675" s="10" t="s">
        <v>682</v>
      </c>
      <c r="C2675" s="122" t="s">
        <v>163</v>
      </c>
      <c r="D2675" t="s">
        <v>14398</v>
      </c>
      <c r="E2675" t="s">
        <v>14399</v>
      </c>
      <c r="F2675" t="s">
        <v>14400</v>
      </c>
      <c r="G2675" t="s">
        <v>4368</v>
      </c>
      <c r="H2675" t="s">
        <v>14401</v>
      </c>
      <c r="I2675" s="80" t="s">
        <v>14402</v>
      </c>
      <c r="J2675" t="s">
        <v>3313</v>
      </c>
      <c r="K2675" s="80" t="s">
        <v>14403</v>
      </c>
    </row>
    <row r="2676" spans="1:11" x14ac:dyDescent="0.25">
      <c r="A2676" s="123">
        <v>2675</v>
      </c>
      <c r="B2676" s="10" t="s">
        <v>682</v>
      </c>
      <c r="C2676" s="122" t="s">
        <v>181</v>
      </c>
      <c r="D2676" t="s">
        <v>6741</v>
      </c>
      <c r="E2676" s="111" t="s">
        <v>14404</v>
      </c>
      <c r="F2676" t="s">
        <v>6257</v>
      </c>
      <c r="G2676" t="s">
        <v>12437</v>
      </c>
      <c r="H2676" t="s">
        <v>14405</v>
      </c>
      <c r="I2676" s="80" t="s">
        <v>14406</v>
      </c>
      <c r="J2676" t="s">
        <v>14407</v>
      </c>
      <c r="K2676" t="s">
        <v>1361</v>
      </c>
    </row>
    <row r="2677" spans="1:11" x14ac:dyDescent="0.25">
      <c r="A2677" s="123">
        <v>2676</v>
      </c>
      <c r="B2677" s="10" t="s">
        <v>682</v>
      </c>
      <c r="C2677" s="122" t="s">
        <v>183</v>
      </c>
      <c r="D2677" t="s">
        <v>14408</v>
      </c>
      <c r="E2677" s="111" t="s">
        <v>14409</v>
      </c>
      <c r="F2677" t="s">
        <v>14410</v>
      </c>
      <c r="G2677" t="s">
        <v>14344</v>
      </c>
      <c r="H2677" t="s">
        <v>14411</v>
      </c>
      <c r="I2677" s="80" t="s">
        <v>14412</v>
      </c>
      <c r="J2677" t="s">
        <v>14413</v>
      </c>
      <c r="K2677" s="80" t="s">
        <v>14414</v>
      </c>
    </row>
    <row r="2678" spans="1:11" x14ac:dyDescent="0.25">
      <c r="A2678" s="123">
        <v>2677</v>
      </c>
      <c r="B2678" s="10" t="s">
        <v>682</v>
      </c>
      <c r="C2678" s="122" t="s">
        <v>186</v>
      </c>
      <c r="D2678" t="s">
        <v>14415</v>
      </c>
      <c r="E2678" s="111" t="s">
        <v>14416</v>
      </c>
      <c r="F2678" s="80" t="s">
        <v>14417</v>
      </c>
      <c r="G2678" t="s">
        <v>14418</v>
      </c>
      <c r="H2678" s="80" t="s">
        <v>14419</v>
      </c>
      <c r="I2678" s="80" t="s">
        <v>14420</v>
      </c>
      <c r="J2678" t="s">
        <v>14337</v>
      </c>
      <c r="K2678" s="111" t="s">
        <v>14421</v>
      </c>
    </row>
    <row r="2679" spans="1:11" x14ac:dyDescent="0.25">
      <c r="A2679" s="123">
        <v>2678</v>
      </c>
      <c r="B2679" s="10" t="s">
        <v>682</v>
      </c>
      <c r="C2679" s="125" t="s">
        <v>188</v>
      </c>
      <c r="D2679" t="s">
        <v>10527</v>
      </c>
      <c r="E2679" s="111" t="s">
        <v>14422</v>
      </c>
      <c r="F2679" t="s">
        <v>14423</v>
      </c>
      <c r="G2679" t="s">
        <v>14344</v>
      </c>
      <c r="H2679" t="s">
        <v>14424</v>
      </c>
      <c r="I2679" s="80" t="s">
        <v>14425</v>
      </c>
      <c r="J2679" t="s">
        <v>14426</v>
      </c>
      <c r="K2679" s="80" t="s">
        <v>14427</v>
      </c>
    </row>
    <row r="2680" spans="1:11" x14ac:dyDescent="0.25">
      <c r="A2680" s="123">
        <v>2679</v>
      </c>
      <c r="B2680" s="10" t="s">
        <v>682</v>
      </c>
      <c r="C2680" s="125" t="s">
        <v>182</v>
      </c>
      <c r="D2680" t="s">
        <v>583</v>
      </c>
      <c r="E2680" t="s">
        <v>14428</v>
      </c>
      <c r="F2680" t="s">
        <v>583</v>
      </c>
      <c r="G2680" t="s">
        <v>583</v>
      </c>
      <c r="H2680" t="s">
        <v>6179</v>
      </c>
      <c r="I2680" t="s">
        <v>2075</v>
      </c>
      <c r="J2680" t="s">
        <v>5467</v>
      </c>
      <c r="K2680" t="s">
        <v>6297</v>
      </c>
    </row>
    <row r="2681" spans="1:11" x14ac:dyDescent="0.25">
      <c r="A2681" s="123">
        <v>2680</v>
      </c>
      <c r="B2681" s="10" t="s">
        <v>682</v>
      </c>
      <c r="C2681" s="125" t="s">
        <v>184</v>
      </c>
      <c r="D2681" t="s">
        <v>14429</v>
      </c>
      <c r="E2681" t="s">
        <v>14430</v>
      </c>
      <c r="F2681" t="s">
        <v>14431</v>
      </c>
      <c r="G2681" t="s">
        <v>12437</v>
      </c>
      <c r="H2681" t="s">
        <v>14432</v>
      </c>
      <c r="I2681" s="80" t="s">
        <v>14433</v>
      </c>
      <c r="J2681" t="s">
        <v>3896</v>
      </c>
      <c r="K2681" t="s">
        <v>14434</v>
      </c>
    </row>
    <row r="2682" spans="1:11" x14ac:dyDescent="0.25">
      <c r="A2682" s="123">
        <v>2681</v>
      </c>
      <c r="B2682" s="10" t="s">
        <v>682</v>
      </c>
      <c r="C2682" s="125" t="s">
        <v>187</v>
      </c>
      <c r="D2682" t="s">
        <v>14435</v>
      </c>
      <c r="E2682" t="s">
        <v>14436</v>
      </c>
      <c r="F2682" t="s">
        <v>14437</v>
      </c>
      <c r="G2682" t="s">
        <v>14438</v>
      </c>
      <c r="H2682" t="s">
        <v>14439</v>
      </c>
      <c r="I2682" s="80" t="s">
        <v>14440</v>
      </c>
      <c r="J2682" t="s">
        <v>14441</v>
      </c>
      <c r="K2682" t="s">
        <v>14442</v>
      </c>
    </row>
    <row r="2683" spans="1:11" x14ac:dyDescent="0.25">
      <c r="A2683" s="123">
        <v>2682</v>
      </c>
      <c r="B2683" s="10" t="s">
        <v>682</v>
      </c>
      <c r="C2683" s="125" t="s">
        <v>189</v>
      </c>
      <c r="D2683" t="s">
        <v>14443</v>
      </c>
      <c r="E2683" t="s">
        <v>14444</v>
      </c>
      <c r="F2683" t="s">
        <v>9963</v>
      </c>
      <c r="G2683" t="s">
        <v>14445</v>
      </c>
      <c r="H2683" t="s">
        <v>14446</v>
      </c>
      <c r="I2683" s="80" t="s">
        <v>14447</v>
      </c>
      <c r="J2683" t="s">
        <v>3896</v>
      </c>
      <c r="K2683" t="s">
        <v>14448</v>
      </c>
    </row>
    <row r="2684" spans="1:11" x14ac:dyDescent="0.25">
      <c r="A2684" s="123">
        <v>2683</v>
      </c>
      <c r="B2684" s="10" t="s">
        <v>683</v>
      </c>
      <c r="C2684" s="122" t="s">
        <v>162</v>
      </c>
      <c r="D2684" t="s">
        <v>14449</v>
      </c>
      <c r="E2684" s="111" t="s">
        <v>14450</v>
      </c>
      <c r="F2684" s="80" t="s">
        <v>14451</v>
      </c>
      <c r="G2684" t="s">
        <v>14344</v>
      </c>
      <c r="H2684" s="80" t="s">
        <v>14452</v>
      </c>
      <c r="I2684" s="80" t="s">
        <v>14453</v>
      </c>
      <c r="J2684" t="s">
        <v>14426</v>
      </c>
      <c r="K2684" s="111" t="s">
        <v>14454</v>
      </c>
    </row>
    <row r="2685" spans="1:11" x14ac:dyDescent="0.25">
      <c r="A2685" s="123">
        <v>2684</v>
      </c>
      <c r="B2685" s="10" t="s">
        <v>683</v>
      </c>
      <c r="C2685" s="122" t="s">
        <v>170</v>
      </c>
      <c r="D2685" t="s">
        <v>14455</v>
      </c>
      <c r="E2685" s="111" t="s">
        <v>14456</v>
      </c>
      <c r="F2685" s="80" t="s">
        <v>14457</v>
      </c>
      <c r="G2685" t="s">
        <v>14344</v>
      </c>
      <c r="H2685" s="80" t="s">
        <v>14458</v>
      </c>
      <c r="I2685" s="80" t="s">
        <v>14459</v>
      </c>
      <c r="J2685" t="s">
        <v>14329</v>
      </c>
      <c r="K2685" s="111" t="s">
        <v>14460</v>
      </c>
    </row>
    <row r="2686" spans="1:11" x14ac:dyDescent="0.25">
      <c r="A2686" s="123">
        <v>2685</v>
      </c>
      <c r="B2686" s="10" t="s">
        <v>683</v>
      </c>
      <c r="C2686" s="122" t="s">
        <v>178</v>
      </c>
      <c r="D2686" t="s">
        <v>14461</v>
      </c>
      <c r="E2686" s="111" t="s">
        <v>14462</v>
      </c>
      <c r="F2686" s="80" t="s">
        <v>14463</v>
      </c>
      <c r="G2686" t="s">
        <v>14464</v>
      </c>
      <c r="H2686" s="111" t="s">
        <v>14465</v>
      </c>
      <c r="I2686" s="80" t="s">
        <v>14466</v>
      </c>
      <c r="J2686" t="s">
        <v>14467</v>
      </c>
      <c r="K2686" s="80" t="s">
        <v>14468</v>
      </c>
    </row>
    <row r="2687" spans="1:11" x14ac:dyDescent="0.25">
      <c r="A2687" s="123">
        <v>2686</v>
      </c>
      <c r="B2687" s="10" t="s">
        <v>683</v>
      </c>
      <c r="C2687" s="122" t="s">
        <v>163</v>
      </c>
      <c r="D2687" t="s">
        <v>14469</v>
      </c>
      <c r="E2687" s="111" t="s">
        <v>14470</v>
      </c>
      <c r="F2687" s="80" t="s">
        <v>14471</v>
      </c>
      <c r="G2687" t="s">
        <v>14352</v>
      </c>
      <c r="H2687" s="80" t="s">
        <v>14472</v>
      </c>
      <c r="I2687" s="80" t="s">
        <v>14473</v>
      </c>
      <c r="J2687" t="s">
        <v>14361</v>
      </c>
      <c r="K2687" s="111" t="s">
        <v>14474</v>
      </c>
    </row>
    <row r="2688" spans="1:11" x14ac:dyDescent="0.25">
      <c r="A2688" s="123">
        <v>2687</v>
      </c>
      <c r="B2688" s="10" t="s">
        <v>683</v>
      </c>
      <c r="C2688" s="125" t="s">
        <v>182</v>
      </c>
      <c r="D2688" t="s">
        <v>583</v>
      </c>
      <c r="E2688" t="s">
        <v>14475</v>
      </c>
      <c r="F2688" t="s">
        <v>583</v>
      </c>
      <c r="G2688" t="s">
        <v>583</v>
      </c>
      <c r="H2688" t="s">
        <v>3065</v>
      </c>
      <c r="I2688" t="s">
        <v>11644</v>
      </c>
      <c r="J2688" t="s">
        <v>583</v>
      </c>
      <c r="K2688" t="s">
        <v>6179</v>
      </c>
    </row>
    <row r="2689" spans="1:11" x14ac:dyDescent="0.25">
      <c r="A2689" s="123">
        <v>2688</v>
      </c>
      <c r="B2689" s="10" t="s">
        <v>683</v>
      </c>
      <c r="C2689" s="125" t="s">
        <v>184</v>
      </c>
      <c r="D2689" t="s">
        <v>14408</v>
      </c>
      <c r="E2689" t="s">
        <v>14476</v>
      </c>
      <c r="F2689" t="s">
        <v>14477</v>
      </c>
      <c r="G2689" t="s">
        <v>12437</v>
      </c>
      <c r="H2689" t="s">
        <v>14478</v>
      </c>
      <c r="I2689" s="80" t="s">
        <v>14479</v>
      </c>
      <c r="J2689" t="s">
        <v>14480</v>
      </c>
      <c r="K2689" t="s">
        <v>14481</v>
      </c>
    </row>
    <row r="2690" spans="1:11" x14ac:dyDescent="0.25">
      <c r="A2690" s="123">
        <v>2689</v>
      </c>
      <c r="B2690" s="10" t="s">
        <v>683</v>
      </c>
      <c r="C2690" s="125" t="s">
        <v>187</v>
      </c>
      <c r="D2690" t="s">
        <v>14482</v>
      </c>
      <c r="E2690" t="s">
        <v>14483</v>
      </c>
      <c r="F2690" t="s">
        <v>14484</v>
      </c>
      <c r="G2690" t="s">
        <v>14394</v>
      </c>
      <c r="H2690" t="s">
        <v>14485</v>
      </c>
      <c r="I2690" s="80" t="s">
        <v>14486</v>
      </c>
      <c r="J2690" t="s">
        <v>8288</v>
      </c>
      <c r="K2690" t="s">
        <v>14487</v>
      </c>
    </row>
    <row r="2691" spans="1:11" x14ac:dyDescent="0.25">
      <c r="A2691" s="123">
        <v>2690</v>
      </c>
      <c r="B2691" s="10" t="s">
        <v>683</v>
      </c>
      <c r="C2691" s="125" t="s">
        <v>189</v>
      </c>
      <c r="D2691" t="s">
        <v>14488</v>
      </c>
      <c r="E2691" t="s">
        <v>14489</v>
      </c>
      <c r="F2691" t="s">
        <v>14490</v>
      </c>
      <c r="G2691" t="s">
        <v>12437</v>
      </c>
      <c r="H2691" s="80" t="s">
        <v>14491</v>
      </c>
      <c r="I2691" s="80" t="s">
        <v>14492</v>
      </c>
      <c r="J2691" t="s">
        <v>8288</v>
      </c>
      <c r="K2691" s="80">
        <v>9411</v>
      </c>
    </row>
    <row r="2692" spans="1:11" x14ac:dyDescent="0.25">
      <c r="A2692" s="123">
        <v>2691</v>
      </c>
      <c r="B2692" s="10" t="s">
        <v>684</v>
      </c>
      <c r="C2692" s="125" t="s">
        <v>182</v>
      </c>
      <c r="D2692" t="s">
        <v>583</v>
      </c>
      <c r="E2692" t="s">
        <v>14493</v>
      </c>
      <c r="F2692" t="s">
        <v>583</v>
      </c>
      <c r="G2692" t="s">
        <v>583</v>
      </c>
      <c r="H2692" t="s">
        <v>583</v>
      </c>
      <c r="I2692" t="s">
        <v>3899</v>
      </c>
      <c r="J2692" t="s">
        <v>583</v>
      </c>
      <c r="K2692" s="80" t="s">
        <v>6297</v>
      </c>
    </row>
    <row r="2693" spans="1:11" x14ac:dyDescent="0.25">
      <c r="A2693" s="123">
        <v>2692</v>
      </c>
      <c r="B2693" s="10" t="s">
        <v>684</v>
      </c>
      <c r="C2693" s="125" t="s">
        <v>184</v>
      </c>
      <c r="D2693" t="s">
        <v>3155</v>
      </c>
      <c r="E2693" t="s">
        <v>14494</v>
      </c>
      <c r="F2693" t="s">
        <v>14495</v>
      </c>
      <c r="G2693" t="s">
        <v>14496</v>
      </c>
      <c r="H2693" t="s">
        <v>14497</v>
      </c>
      <c r="I2693" s="80" t="s">
        <v>14498</v>
      </c>
      <c r="J2693" t="s">
        <v>14426</v>
      </c>
      <c r="K2693" t="s">
        <v>14499</v>
      </c>
    </row>
    <row r="2694" spans="1:11" x14ac:dyDescent="0.25">
      <c r="A2694" s="123">
        <v>2693</v>
      </c>
      <c r="B2694" s="10" t="s">
        <v>684</v>
      </c>
      <c r="C2694" s="125" t="s">
        <v>187</v>
      </c>
      <c r="D2694" t="s">
        <v>12773</v>
      </c>
      <c r="E2694" t="s">
        <v>14500</v>
      </c>
      <c r="F2694" t="s">
        <v>14501</v>
      </c>
      <c r="G2694" t="s">
        <v>583</v>
      </c>
      <c r="H2694" t="s">
        <v>14502</v>
      </c>
      <c r="I2694" s="80" t="s">
        <v>14503</v>
      </c>
      <c r="J2694" t="s">
        <v>14504</v>
      </c>
      <c r="K2694" t="s">
        <v>14226</v>
      </c>
    </row>
    <row r="2695" spans="1:11" x14ac:dyDescent="0.25">
      <c r="A2695" s="123">
        <v>2694</v>
      </c>
      <c r="B2695" s="10" t="s">
        <v>684</v>
      </c>
      <c r="C2695" s="125" t="s">
        <v>189</v>
      </c>
      <c r="D2695" t="s">
        <v>4758</v>
      </c>
      <c r="E2695" t="s">
        <v>14505</v>
      </c>
      <c r="F2695" t="s">
        <v>7470</v>
      </c>
      <c r="G2695" t="s">
        <v>583</v>
      </c>
      <c r="H2695" t="s">
        <v>14506</v>
      </c>
      <c r="I2695" t="s">
        <v>14507</v>
      </c>
      <c r="J2695" t="s">
        <v>14407</v>
      </c>
      <c r="K2695" t="s">
        <v>14508</v>
      </c>
    </row>
    <row r="2696" spans="1:11" x14ac:dyDescent="0.25">
      <c r="A2696" s="123">
        <v>2695</v>
      </c>
      <c r="B2696" s="2">
        <v>2003</v>
      </c>
      <c r="C2696" s="122" t="s">
        <v>162</v>
      </c>
      <c r="D2696" t="s">
        <v>583</v>
      </c>
      <c r="E2696" s="80" t="s">
        <v>14509</v>
      </c>
      <c r="F2696" s="80" t="s">
        <v>2380</v>
      </c>
      <c r="G2696" t="s">
        <v>12394</v>
      </c>
      <c r="H2696" t="s">
        <v>583</v>
      </c>
      <c r="I2696" t="s">
        <v>6044</v>
      </c>
      <c r="J2696" t="s">
        <v>583</v>
      </c>
      <c r="K2696" t="s">
        <v>9145</v>
      </c>
    </row>
    <row r="2697" spans="1:11" x14ac:dyDescent="0.25">
      <c r="A2697" s="123">
        <v>2696</v>
      </c>
      <c r="B2697" s="2">
        <v>2003</v>
      </c>
      <c r="C2697" s="122" t="s">
        <v>170</v>
      </c>
      <c r="D2697" t="s">
        <v>14510</v>
      </c>
      <c r="E2697" s="111" t="s">
        <v>14511</v>
      </c>
      <c r="F2697" t="s">
        <v>14512</v>
      </c>
      <c r="G2697" t="s">
        <v>14394</v>
      </c>
      <c r="H2697" t="s">
        <v>14513</v>
      </c>
      <c r="I2697" s="80" t="s">
        <v>14514</v>
      </c>
      <c r="J2697" t="s">
        <v>14381</v>
      </c>
      <c r="K2697" t="s">
        <v>14515</v>
      </c>
    </row>
    <row r="2698" spans="1:11" x14ac:dyDescent="0.25">
      <c r="A2698" s="123">
        <v>2697</v>
      </c>
      <c r="B2698" s="2">
        <v>2003</v>
      </c>
      <c r="C2698" s="122" t="s">
        <v>178</v>
      </c>
      <c r="D2698" t="s">
        <v>14516</v>
      </c>
      <c r="E2698" s="111" t="s">
        <v>14517</v>
      </c>
      <c r="F2698" s="80" t="s">
        <v>14518</v>
      </c>
      <c r="G2698" t="s">
        <v>4368</v>
      </c>
      <c r="H2698" s="80" t="s">
        <v>14519</v>
      </c>
      <c r="I2698" s="80" t="s">
        <v>14520</v>
      </c>
      <c r="J2698" t="s">
        <v>14413</v>
      </c>
      <c r="K2698" t="s">
        <v>14521</v>
      </c>
    </row>
    <row r="2699" spans="1:11" x14ac:dyDescent="0.25">
      <c r="A2699" s="123">
        <v>2698</v>
      </c>
      <c r="B2699" s="2">
        <v>2003</v>
      </c>
      <c r="C2699" s="122" t="s">
        <v>163</v>
      </c>
      <c r="D2699" t="s">
        <v>14522</v>
      </c>
      <c r="E2699" s="111" t="s">
        <v>14523</v>
      </c>
      <c r="F2699" t="s">
        <v>14524</v>
      </c>
      <c r="G2699" t="s">
        <v>14344</v>
      </c>
      <c r="H2699" t="s">
        <v>14525</v>
      </c>
      <c r="I2699" s="80" t="s">
        <v>14526</v>
      </c>
      <c r="J2699" t="s">
        <v>14527</v>
      </c>
      <c r="K2699" s="111" t="s">
        <v>14528</v>
      </c>
    </row>
    <row r="2700" spans="1:11" x14ac:dyDescent="0.25">
      <c r="A2700" s="123">
        <v>2699</v>
      </c>
      <c r="B2700" s="2">
        <v>2003</v>
      </c>
      <c r="C2700" s="122" t="s">
        <v>181</v>
      </c>
      <c r="D2700" t="s">
        <v>11627</v>
      </c>
      <c r="E2700" s="111" t="s">
        <v>14529</v>
      </c>
      <c r="F2700" s="80" t="s">
        <v>3068</v>
      </c>
      <c r="G2700" t="s">
        <v>14530</v>
      </c>
      <c r="H2700" t="s">
        <v>1857</v>
      </c>
      <c r="I2700" t="s">
        <v>14531</v>
      </c>
      <c r="J2700" t="s">
        <v>5467</v>
      </c>
      <c r="K2700" t="s">
        <v>10191</v>
      </c>
    </row>
    <row r="2701" spans="1:11" x14ac:dyDescent="0.25">
      <c r="A2701" s="123">
        <v>2700</v>
      </c>
      <c r="B2701" s="2">
        <v>2003</v>
      </c>
      <c r="C2701" s="122" t="s">
        <v>183</v>
      </c>
      <c r="D2701" t="s">
        <v>14415</v>
      </c>
      <c r="E2701" s="111" t="s">
        <v>14532</v>
      </c>
      <c r="F2701" t="s">
        <v>14533</v>
      </c>
      <c r="G2701" t="s">
        <v>14334</v>
      </c>
      <c r="H2701" s="80" t="s">
        <v>14534</v>
      </c>
      <c r="I2701" s="80" t="s">
        <v>14535</v>
      </c>
      <c r="J2701" t="s">
        <v>14329</v>
      </c>
      <c r="K2701" s="80" t="s">
        <v>14536</v>
      </c>
    </row>
    <row r="2702" spans="1:11" x14ac:dyDescent="0.25">
      <c r="A2702" s="123">
        <v>2701</v>
      </c>
      <c r="B2702" s="2">
        <v>2003</v>
      </c>
      <c r="C2702" s="122" t="s">
        <v>186</v>
      </c>
      <c r="D2702" t="s">
        <v>14408</v>
      </c>
      <c r="E2702" s="111" t="s">
        <v>14537</v>
      </c>
      <c r="F2702" t="s">
        <v>14538</v>
      </c>
      <c r="G2702" t="s">
        <v>14539</v>
      </c>
      <c r="H2702" t="s">
        <v>14540</v>
      </c>
      <c r="I2702" s="80" t="s">
        <v>14541</v>
      </c>
      <c r="J2702" t="s">
        <v>14542</v>
      </c>
      <c r="K2702" s="111" t="s">
        <v>14543</v>
      </c>
    </row>
    <row r="2703" spans="1:11" x14ac:dyDescent="0.25">
      <c r="A2703" s="123">
        <v>2702</v>
      </c>
      <c r="B2703" s="2">
        <v>2003</v>
      </c>
      <c r="C2703" s="125" t="s">
        <v>188</v>
      </c>
      <c r="D2703" t="s">
        <v>14385</v>
      </c>
      <c r="E2703" s="111" t="s">
        <v>14544</v>
      </c>
      <c r="F2703" s="80" t="s">
        <v>14545</v>
      </c>
      <c r="G2703" t="s">
        <v>14546</v>
      </c>
      <c r="H2703" s="111" t="s">
        <v>14547</v>
      </c>
      <c r="I2703" s="80" t="s">
        <v>14548</v>
      </c>
      <c r="J2703" t="s">
        <v>14549</v>
      </c>
      <c r="K2703" s="111" t="s">
        <v>14550</v>
      </c>
    </row>
    <row r="2704" spans="1:11" x14ac:dyDescent="0.25">
      <c r="A2704" s="123">
        <v>2703</v>
      </c>
      <c r="B2704" s="2">
        <v>2003</v>
      </c>
      <c r="C2704" s="125" t="s">
        <v>182</v>
      </c>
      <c r="D2704" t="s">
        <v>6741</v>
      </c>
      <c r="E2704" t="s">
        <v>14551</v>
      </c>
      <c r="F2704" t="s">
        <v>14552</v>
      </c>
      <c r="G2704" t="s">
        <v>14445</v>
      </c>
      <c r="H2704" t="s">
        <v>14553</v>
      </c>
      <c r="I2704" s="80" t="s">
        <v>14554</v>
      </c>
      <c r="J2704" t="s">
        <v>3896</v>
      </c>
      <c r="K2704" t="s">
        <v>14555</v>
      </c>
    </row>
    <row r="2705" spans="1:11" x14ac:dyDescent="0.25">
      <c r="A2705" s="123">
        <v>2704</v>
      </c>
      <c r="B2705" s="2">
        <v>2003</v>
      </c>
      <c r="C2705" s="125" t="s">
        <v>184</v>
      </c>
      <c r="D2705" t="s">
        <v>14556</v>
      </c>
      <c r="E2705" t="s">
        <v>14557</v>
      </c>
      <c r="F2705" t="s">
        <v>14558</v>
      </c>
      <c r="G2705" t="s">
        <v>14372</v>
      </c>
      <c r="H2705" s="80" t="s">
        <v>14559</v>
      </c>
      <c r="I2705" s="80" t="s">
        <v>14560</v>
      </c>
      <c r="J2705" t="s">
        <v>14329</v>
      </c>
      <c r="K2705" t="s">
        <v>14561</v>
      </c>
    </row>
    <row r="2706" spans="1:11" x14ac:dyDescent="0.25">
      <c r="A2706" s="123">
        <v>2705</v>
      </c>
      <c r="B2706" s="2">
        <v>2003</v>
      </c>
      <c r="C2706" s="125" t="s">
        <v>187</v>
      </c>
      <c r="D2706" t="s">
        <v>14562</v>
      </c>
      <c r="E2706" t="s">
        <v>14563</v>
      </c>
      <c r="F2706" t="s">
        <v>14564</v>
      </c>
      <c r="G2706" t="s">
        <v>14464</v>
      </c>
      <c r="H2706" s="80" t="s">
        <v>14565</v>
      </c>
      <c r="I2706" s="80" t="s">
        <v>14566</v>
      </c>
      <c r="J2706" t="s">
        <v>14567</v>
      </c>
      <c r="K2706" s="80" t="s">
        <v>14568</v>
      </c>
    </row>
    <row r="2707" spans="1:11" x14ac:dyDescent="0.25">
      <c r="A2707" s="123">
        <v>2706</v>
      </c>
      <c r="B2707" s="2">
        <v>2003</v>
      </c>
      <c r="C2707" s="125" t="s">
        <v>189</v>
      </c>
      <c r="D2707" t="s">
        <v>14569</v>
      </c>
      <c r="E2707" t="s">
        <v>14570</v>
      </c>
      <c r="F2707" t="s">
        <v>14571</v>
      </c>
      <c r="G2707" t="s">
        <v>14372</v>
      </c>
      <c r="H2707" s="80" t="s">
        <v>14472</v>
      </c>
      <c r="I2707" s="80" t="s">
        <v>14572</v>
      </c>
      <c r="J2707" t="s">
        <v>14355</v>
      </c>
      <c r="K2707" s="111" t="s">
        <v>14573</v>
      </c>
    </row>
    <row r="2708" spans="1:11" x14ac:dyDescent="0.25">
      <c r="A2708" s="123">
        <v>2707</v>
      </c>
      <c r="B2708" s="2">
        <v>2005</v>
      </c>
      <c r="C2708" s="122" t="s">
        <v>162</v>
      </c>
      <c r="D2708" t="s">
        <v>11627</v>
      </c>
      <c r="E2708" t="s">
        <v>14574</v>
      </c>
      <c r="F2708" s="80" t="s">
        <v>6238</v>
      </c>
      <c r="G2708" t="s">
        <v>12437</v>
      </c>
      <c r="H2708" s="80" t="s">
        <v>13104</v>
      </c>
      <c r="I2708" t="s">
        <v>6530</v>
      </c>
      <c r="J2708" t="s">
        <v>583</v>
      </c>
      <c r="K2708" t="s">
        <v>2549</v>
      </c>
    </row>
    <row r="2709" spans="1:11" x14ac:dyDescent="0.25">
      <c r="A2709" s="123">
        <v>2708</v>
      </c>
      <c r="B2709" s="2">
        <v>2005</v>
      </c>
      <c r="C2709" s="122" t="s">
        <v>170</v>
      </c>
      <c r="D2709" t="s">
        <v>14575</v>
      </c>
      <c r="E2709" t="s">
        <v>14576</v>
      </c>
      <c r="F2709" t="s">
        <v>2058</v>
      </c>
      <c r="G2709" t="s">
        <v>12394</v>
      </c>
      <c r="H2709" t="s">
        <v>14577</v>
      </c>
      <c r="I2709" s="80" t="s">
        <v>14578</v>
      </c>
      <c r="J2709" t="s">
        <v>14407</v>
      </c>
      <c r="K2709" t="s">
        <v>14579</v>
      </c>
    </row>
    <row r="2710" spans="1:11" x14ac:dyDescent="0.25">
      <c r="A2710" s="123">
        <v>2709</v>
      </c>
      <c r="B2710" s="2">
        <v>2005</v>
      </c>
      <c r="C2710" s="122" t="s">
        <v>178</v>
      </c>
      <c r="D2710" t="s">
        <v>14580</v>
      </c>
      <c r="E2710" s="80" t="s">
        <v>14581</v>
      </c>
      <c r="F2710" t="s">
        <v>14582</v>
      </c>
      <c r="G2710" t="s">
        <v>14583</v>
      </c>
      <c r="H2710" t="s">
        <v>14584</v>
      </c>
      <c r="I2710" s="80" t="s">
        <v>14585</v>
      </c>
      <c r="J2710" t="s">
        <v>14504</v>
      </c>
      <c r="K2710" t="s">
        <v>14586</v>
      </c>
    </row>
    <row r="2711" spans="1:11" x14ac:dyDescent="0.25">
      <c r="A2711" s="123">
        <v>2710</v>
      </c>
      <c r="B2711" s="2">
        <v>2005</v>
      </c>
      <c r="C2711" s="122" t="s">
        <v>163</v>
      </c>
      <c r="D2711" t="s">
        <v>14587</v>
      </c>
      <c r="E2711" s="80" t="s">
        <v>14588</v>
      </c>
      <c r="F2711" t="s">
        <v>14589</v>
      </c>
      <c r="G2711" t="s">
        <v>14394</v>
      </c>
      <c r="H2711" t="s">
        <v>14590</v>
      </c>
      <c r="I2711" s="80">
        <v>47280</v>
      </c>
      <c r="J2711" t="s">
        <v>14591</v>
      </c>
      <c r="K2711" s="111" t="s">
        <v>14592</v>
      </c>
    </row>
    <row r="2712" spans="1:11" x14ac:dyDescent="0.25">
      <c r="A2712" s="123">
        <v>2711</v>
      </c>
      <c r="B2712" s="2">
        <v>2005</v>
      </c>
      <c r="C2712" s="122" t="s">
        <v>181</v>
      </c>
      <c r="D2712" t="s">
        <v>6741</v>
      </c>
      <c r="E2712" s="111" t="s">
        <v>14593</v>
      </c>
      <c r="F2712" s="80" t="s">
        <v>2380</v>
      </c>
      <c r="G2712" t="s">
        <v>12437</v>
      </c>
      <c r="H2712" t="s">
        <v>10764</v>
      </c>
      <c r="I2712" t="s">
        <v>14594</v>
      </c>
      <c r="J2712" t="s">
        <v>6257</v>
      </c>
      <c r="K2712" t="s">
        <v>14429</v>
      </c>
    </row>
    <row r="2713" spans="1:11" x14ac:dyDescent="0.25">
      <c r="A2713" s="123">
        <v>2712</v>
      </c>
      <c r="B2713" s="2">
        <v>2005</v>
      </c>
      <c r="C2713" s="122" t="s">
        <v>183</v>
      </c>
      <c r="D2713" t="s">
        <v>14415</v>
      </c>
      <c r="E2713" s="80" t="s">
        <v>14595</v>
      </c>
      <c r="F2713" t="s">
        <v>14596</v>
      </c>
      <c r="G2713" t="s">
        <v>14372</v>
      </c>
      <c r="H2713" t="s">
        <v>14597</v>
      </c>
      <c r="I2713" s="80" t="s">
        <v>14598</v>
      </c>
      <c r="J2713" t="s">
        <v>14413</v>
      </c>
      <c r="K2713" s="80">
        <v>12210</v>
      </c>
    </row>
    <row r="2714" spans="1:11" x14ac:dyDescent="0.25">
      <c r="A2714" s="123">
        <v>2713</v>
      </c>
      <c r="B2714" s="2">
        <v>2005</v>
      </c>
      <c r="C2714" s="122" t="s">
        <v>186</v>
      </c>
      <c r="D2714" t="s">
        <v>14415</v>
      </c>
      <c r="E2714" s="80" t="s">
        <v>14599</v>
      </c>
      <c r="F2714" s="80" t="s">
        <v>14600</v>
      </c>
      <c r="G2714" t="s">
        <v>14464</v>
      </c>
      <c r="H2714" s="80" t="s">
        <v>14601</v>
      </c>
      <c r="I2714" s="80" t="s">
        <v>14602</v>
      </c>
      <c r="J2714" t="s">
        <v>14467</v>
      </c>
      <c r="K2714" s="111" t="s">
        <v>14603</v>
      </c>
    </row>
    <row r="2715" spans="1:11" x14ac:dyDescent="0.25">
      <c r="A2715" s="123">
        <v>2714</v>
      </c>
      <c r="B2715" s="2">
        <v>2005</v>
      </c>
      <c r="C2715" s="125" t="s">
        <v>188</v>
      </c>
      <c r="D2715" t="s">
        <v>14415</v>
      </c>
      <c r="E2715" s="111" t="s">
        <v>14604</v>
      </c>
      <c r="F2715" t="s">
        <v>14605</v>
      </c>
      <c r="G2715" t="s">
        <v>4368</v>
      </c>
      <c r="H2715" t="s">
        <v>14606</v>
      </c>
      <c r="I2715" s="80" t="s">
        <v>14607</v>
      </c>
      <c r="J2715" t="s">
        <v>14361</v>
      </c>
      <c r="K2715" s="111" t="s">
        <v>14608</v>
      </c>
    </row>
    <row r="2716" spans="1:11" x14ac:dyDescent="0.25">
      <c r="A2716" s="123">
        <v>2715</v>
      </c>
      <c r="B2716" s="2">
        <v>2005</v>
      </c>
      <c r="C2716" s="125" t="s">
        <v>182</v>
      </c>
      <c r="D2716" t="s">
        <v>583</v>
      </c>
      <c r="E2716" t="s">
        <v>14609</v>
      </c>
      <c r="F2716" t="s">
        <v>583</v>
      </c>
      <c r="G2716" s="80" t="s">
        <v>3657</v>
      </c>
      <c r="H2716" s="80" t="s">
        <v>13104</v>
      </c>
      <c r="I2716" t="s">
        <v>12089</v>
      </c>
      <c r="J2716" t="s">
        <v>583</v>
      </c>
      <c r="K2716" s="80" t="s">
        <v>6297</v>
      </c>
    </row>
    <row r="2717" spans="1:11" x14ac:dyDescent="0.25">
      <c r="A2717" s="123">
        <v>2716</v>
      </c>
      <c r="B2717" s="2">
        <v>2005</v>
      </c>
      <c r="C2717" s="125" t="s">
        <v>184</v>
      </c>
      <c r="D2717" t="s">
        <v>14449</v>
      </c>
      <c r="E2717" t="s">
        <v>14610</v>
      </c>
      <c r="F2717" t="s">
        <v>14611</v>
      </c>
      <c r="G2717" t="s">
        <v>14445</v>
      </c>
      <c r="H2717" t="s">
        <v>14612</v>
      </c>
      <c r="I2717" s="80" t="s">
        <v>14613</v>
      </c>
      <c r="J2717" t="s">
        <v>14614</v>
      </c>
      <c r="K2717" t="s">
        <v>14615</v>
      </c>
    </row>
    <row r="2718" spans="1:11" x14ac:dyDescent="0.25">
      <c r="A2718" s="123">
        <v>2717</v>
      </c>
      <c r="B2718" s="2">
        <v>2005</v>
      </c>
      <c r="C2718" s="125" t="s">
        <v>187</v>
      </c>
      <c r="D2718" t="s">
        <v>14616</v>
      </c>
      <c r="E2718" t="s">
        <v>14617</v>
      </c>
      <c r="F2718" t="s">
        <v>14618</v>
      </c>
      <c r="G2718" t="s">
        <v>14394</v>
      </c>
      <c r="H2718" s="80" t="s">
        <v>14619</v>
      </c>
      <c r="I2718" s="80" t="s">
        <v>14620</v>
      </c>
      <c r="J2718" t="s">
        <v>14329</v>
      </c>
      <c r="K2718" s="80" t="s">
        <v>14621</v>
      </c>
    </row>
    <row r="2719" spans="1:11" x14ac:dyDescent="0.25">
      <c r="A2719" s="123">
        <v>2718</v>
      </c>
      <c r="B2719" s="2">
        <v>2005</v>
      </c>
      <c r="C2719" s="125" t="s">
        <v>189</v>
      </c>
      <c r="D2719" t="s">
        <v>14622</v>
      </c>
      <c r="E2719" t="s">
        <v>14623</v>
      </c>
      <c r="F2719" t="s">
        <v>14624</v>
      </c>
      <c r="G2719" t="s">
        <v>14394</v>
      </c>
      <c r="H2719" s="80" t="s">
        <v>14625</v>
      </c>
      <c r="I2719" s="80" t="s">
        <v>14626</v>
      </c>
      <c r="J2719" t="s">
        <v>8115</v>
      </c>
      <c r="K2719" s="80" t="s">
        <v>14627</v>
      </c>
    </row>
    <row r="2720" spans="1:11" x14ac:dyDescent="0.25">
      <c r="A2720" s="123">
        <v>2719</v>
      </c>
      <c r="B2720" s="2">
        <v>2006</v>
      </c>
      <c r="C2720" s="122" t="s">
        <v>162</v>
      </c>
      <c r="D2720" t="s">
        <v>583</v>
      </c>
      <c r="E2720" s="80" t="s">
        <v>14628</v>
      </c>
      <c r="F2720" t="s">
        <v>7243</v>
      </c>
      <c r="G2720" t="s">
        <v>583</v>
      </c>
      <c r="H2720" t="s">
        <v>583</v>
      </c>
      <c r="I2720" t="s">
        <v>2383</v>
      </c>
      <c r="J2720" t="s">
        <v>583</v>
      </c>
      <c r="K2720" t="s">
        <v>7121</v>
      </c>
    </row>
    <row r="2721" spans="1:11" x14ac:dyDescent="0.25">
      <c r="A2721" s="123">
        <v>2720</v>
      </c>
      <c r="B2721" s="2">
        <v>2006</v>
      </c>
      <c r="C2721" s="122" t="s">
        <v>170</v>
      </c>
      <c r="D2721" t="s">
        <v>14575</v>
      </c>
      <c r="E2721" s="80" t="s">
        <v>14629</v>
      </c>
      <c r="F2721" t="s">
        <v>14630</v>
      </c>
      <c r="G2721" t="s">
        <v>14438</v>
      </c>
      <c r="H2721" t="s">
        <v>14631</v>
      </c>
      <c r="I2721" s="80" t="s">
        <v>14632</v>
      </c>
      <c r="J2721" t="s">
        <v>6492</v>
      </c>
      <c r="K2721" t="s">
        <v>14633</v>
      </c>
    </row>
    <row r="2722" spans="1:11" x14ac:dyDescent="0.25">
      <c r="A2722" s="123">
        <v>2721</v>
      </c>
      <c r="B2722" s="2">
        <v>2006</v>
      </c>
      <c r="C2722" s="122" t="s">
        <v>178</v>
      </c>
      <c r="D2722" t="s">
        <v>14634</v>
      </c>
      <c r="E2722" s="80" t="s">
        <v>14635</v>
      </c>
      <c r="F2722" t="s">
        <v>14636</v>
      </c>
      <c r="G2722" t="s">
        <v>4368</v>
      </c>
      <c r="H2722" s="80" t="s">
        <v>14637</v>
      </c>
      <c r="I2722" s="80" t="s">
        <v>14638</v>
      </c>
      <c r="J2722" t="s">
        <v>14413</v>
      </c>
      <c r="K2722" t="s">
        <v>14639</v>
      </c>
    </row>
    <row r="2723" spans="1:11" x14ac:dyDescent="0.25">
      <c r="A2723" s="123">
        <v>2722</v>
      </c>
      <c r="B2723" s="2">
        <v>2006</v>
      </c>
      <c r="C2723" s="122" t="s">
        <v>163</v>
      </c>
      <c r="D2723" t="s">
        <v>2806</v>
      </c>
      <c r="E2723" s="80" t="s">
        <v>14640</v>
      </c>
      <c r="F2723" t="s">
        <v>14641</v>
      </c>
      <c r="G2723" t="s">
        <v>14464</v>
      </c>
      <c r="H2723" t="s">
        <v>14642</v>
      </c>
      <c r="I2723" s="80" t="s">
        <v>14643</v>
      </c>
      <c r="J2723" t="s">
        <v>14644</v>
      </c>
      <c r="K2723" s="111" t="s">
        <v>14645</v>
      </c>
    </row>
    <row r="2724" spans="1:11" x14ac:dyDescent="0.25">
      <c r="A2724" s="123">
        <v>2723</v>
      </c>
      <c r="B2724" s="2">
        <v>2006</v>
      </c>
      <c r="C2724" s="122" t="s">
        <v>181</v>
      </c>
      <c r="D2724" t="s">
        <v>11627</v>
      </c>
      <c r="E2724" s="111" t="s">
        <v>13092</v>
      </c>
      <c r="F2724" t="s">
        <v>5797</v>
      </c>
      <c r="G2724" t="s">
        <v>14530</v>
      </c>
      <c r="H2724" t="s">
        <v>14646</v>
      </c>
      <c r="I2724" t="s">
        <v>14647</v>
      </c>
      <c r="J2724" t="s">
        <v>5467</v>
      </c>
      <c r="K2724" t="s">
        <v>14648</v>
      </c>
    </row>
    <row r="2725" spans="1:11" x14ac:dyDescent="0.25">
      <c r="A2725" s="123">
        <v>2724</v>
      </c>
      <c r="B2725" s="2">
        <v>2006</v>
      </c>
      <c r="C2725" s="122" t="s">
        <v>183</v>
      </c>
      <c r="D2725" t="s">
        <v>14624</v>
      </c>
      <c r="E2725" s="80" t="s">
        <v>14649</v>
      </c>
      <c r="F2725" t="s">
        <v>14650</v>
      </c>
      <c r="G2725" t="s">
        <v>14394</v>
      </c>
      <c r="H2725" s="80" t="s">
        <v>14651</v>
      </c>
      <c r="I2725" s="80" t="s">
        <v>14652</v>
      </c>
      <c r="J2725" t="s">
        <v>14347</v>
      </c>
      <c r="K2725" s="80" t="s">
        <v>14653</v>
      </c>
    </row>
    <row r="2726" spans="1:11" x14ac:dyDescent="0.25">
      <c r="A2726" s="123">
        <v>2725</v>
      </c>
      <c r="B2726" s="2">
        <v>2006</v>
      </c>
      <c r="C2726" s="122" t="s">
        <v>186</v>
      </c>
      <c r="D2726" t="s">
        <v>14349</v>
      </c>
      <c r="E2726" s="80" t="s">
        <v>14654</v>
      </c>
      <c r="F2726" t="s">
        <v>14655</v>
      </c>
      <c r="G2726" t="s">
        <v>14372</v>
      </c>
      <c r="H2726" s="111" t="s">
        <v>14656</v>
      </c>
      <c r="I2726" s="80" t="s">
        <v>14657</v>
      </c>
      <c r="J2726" t="s">
        <v>14567</v>
      </c>
      <c r="K2726" s="80" t="s">
        <v>14658</v>
      </c>
    </row>
    <row r="2727" spans="1:11" x14ac:dyDescent="0.25">
      <c r="A2727" s="123">
        <v>2726</v>
      </c>
      <c r="B2727" s="2">
        <v>2006</v>
      </c>
      <c r="C2727" s="125" t="s">
        <v>188</v>
      </c>
      <c r="D2727" t="s">
        <v>14659</v>
      </c>
      <c r="E2727" s="111" t="s">
        <v>14660</v>
      </c>
      <c r="F2727" t="s">
        <v>14661</v>
      </c>
      <c r="G2727" t="s">
        <v>14334</v>
      </c>
      <c r="H2727" s="80" t="s">
        <v>14662</v>
      </c>
      <c r="I2727" s="80" t="s">
        <v>14663</v>
      </c>
      <c r="J2727" t="s">
        <v>14664</v>
      </c>
      <c r="K2727" s="111" t="s">
        <v>14665</v>
      </c>
    </row>
    <row r="2728" spans="1:11" x14ac:dyDescent="0.25">
      <c r="A2728" s="123">
        <v>2727</v>
      </c>
      <c r="B2728" s="2">
        <v>2006</v>
      </c>
      <c r="C2728" s="125" t="s">
        <v>182</v>
      </c>
      <c r="D2728" t="s">
        <v>583</v>
      </c>
      <c r="E2728" t="s">
        <v>14666</v>
      </c>
      <c r="F2728" t="s">
        <v>583</v>
      </c>
      <c r="G2728" t="s">
        <v>583</v>
      </c>
      <c r="H2728" s="80" t="s">
        <v>13104</v>
      </c>
      <c r="I2728" t="s">
        <v>14667</v>
      </c>
      <c r="J2728" t="s">
        <v>583</v>
      </c>
      <c r="K2728" t="s">
        <v>9747</v>
      </c>
    </row>
    <row r="2729" spans="1:11" x14ac:dyDescent="0.25">
      <c r="A2729" s="123">
        <v>2728</v>
      </c>
      <c r="B2729" s="2">
        <v>2006</v>
      </c>
      <c r="C2729" s="125" t="s">
        <v>184</v>
      </c>
      <c r="D2729" t="s">
        <v>14668</v>
      </c>
      <c r="E2729" t="s">
        <v>14669</v>
      </c>
      <c r="F2729" t="s">
        <v>14670</v>
      </c>
      <c r="G2729" t="s">
        <v>5071</v>
      </c>
      <c r="H2729" t="s">
        <v>14671</v>
      </c>
      <c r="I2729" s="80" t="s">
        <v>14672</v>
      </c>
      <c r="J2729" t="s">
        <v>6492</v>
      </c>
      <c r="K2729" t="s">
        <v>14673</v>
      </c>
    </row>
    <row r="2730" spans="1:11" x14ac:dyDescent="0.25">
      <c r="A2730" s="123">
        <v>2729</v>
      </c>
      <c r="B2730" s="2">
        <v>2006</v>
      </c>
      <c r="C2730" s="125" t="s">
        <v>187</v>
      </c>
      <c r="D2730" t="s">
        <v>14674</v>
      </c>
      <c r="E2730" t="s">
        <v>14675</v>
      </c>
      <c r="F2730" t="s">
        <v>14676</v>
      </c>
      <c r="G2730" t="s">
        <v>14372</v>
      </c>
      <c r="H2730" s="80" t="s">
        <v>14677</v>
      </c>
      <c r="I2730" s="80" t="s">
        <v>14678</v>
      </c>
      <c r="J2730" t="s">
        <v>14347</v>
      </c>
      <c r="K2730" t="s">
        <v>14679</v>
      </c>
    </row>
    <row r="2731" spans="1:11" x14ac:dyDescent="0.25">
      <c r="A2731" s="123">
        <v>2730</v>
      </c>
      <c r="B2731" s="2">
        <v>2006</v>
      </c>
      <c r="C2731" s="125" t="s">
        <v>189</v>
      </c>
      <c r="D2731" t="s">
        <v>14680</v>
      </c>
      <c r="E2731" t="s">
        <v>14681</v>
      </c>
      <c r="F2731" t="s">
        <v>9913</v>
      </c>
      <c r="G2731" t="s">
        <v>14682</v>
      </c>
      <c r="H2731" s="80" t="s">
        <v>14683</v>
      </c>
      <c r="I2731" s="80" t="s">
        <v>14684</v>
      </c>
      <c r="J2731" t="s">
        <v>14685</v>
      </c>
      <c r="K2731" t="s">
        <v>14686</v>
      </c>
    </row>
    <row r="2732" spans="1:11" x14ac:dyDescent="0.25">
      <c r="A2732" s="123">
        <v>2731</v>
      </c>
      <c r="B2732" s="2">
        <v>2007</v>
      </c>
      <c r="C2732" s="122" t="s">
        <v>162</v>
      </c>
      <c r="D2732" s="80">
        <v>0</v>
      </c>
      <c r="E2732" s="80" t="s">
        <v>14687</v>
      </c>
      <c r="F2732" t="s">
        <v>5721</v>
      </c>
      <c r="G2732" t="s">
        <v>14688</v>
      </c>
      <c r="H2732" t="s">
        <v>583</v>
      </c>
      <c r="I2732" t="s">
        <v>14689</v>
      </c>
      <c r="J2732" t="s">
        <v>583</v>
      </c>
      <c r="K2732" t="s">
        <v>10524</v>
      </c>
    </row>
    <row r="2733" spans="1:11" x14ac:dyDescent="0.25">
      <c r="A2733" s="123">
        <v>2732</v>
      </c>
      <c r="B2733" s="2">
        <v>2007</v>
      </c>
      <c r="C2733" s="122" t="s">
        <v>170</v>
      </c>
      <c r="D2733" t="s">
        <v>5095</v>
      </c>
      <c r="E2733" s="111" t="s">
        <v>14690</v>
      </c>
      <c r="F2733" t="s">
        <v>14691</v>
      </c>
      <c r="G2733" t="s">
        <v>14394</v>
      </c>
      <c r="H2733" t="s">
        <v>14692</v>
      </c>
      <c r="I2733" s="80" t="s">
        <v>14693</v>
      </c>
      <c r="J2733" t="s">
        <v>6045</v>
      </c>
      <c r="K2733" t="s">
        <v>14694</v>
      </c>
    </row>
    <row r="2734" spans="1:11" x14ac:dyDescent="0.25">
      <c r="A2734" s="123">
        <v>2733</v>
      </c>
      <c r="B2734" s="2">
        <v>2007</v>
      </c>
      <c r="C2734" s="122" t="s">
        <v>178</v>
      </c>
      <c r="D2734" t="s">
        <v>14695</v>
      </c>
      <c r="E2734" s="111" t="s">
        <v>14696</v>
      </c>
      <c r="F2734" t="s">
        <v>14697</v>
      </c>
      <c r="G2734" t="s">
        <v>14394</v>
      </c>
      <c r="H2734" s="80" t="s">
        <v>14698</v>
      </c>
      <c r="I2734" s="80" t="s">
        <v>14699</v>
      </c>
      <c r="J2734" t="s">
        <v>14381</v>
      </c>
      <c r="K2734" t="s">
        <v>14700</v>
      </c>
    </row>
    <row r="2735" spans="1:11" x14ac:dyDescent="0.25">
      <c r="A2735" s="123">
        <v>2734</v>
      </c>
      <c r="B2735" s="2">
        <v>2007</v>
      </c>
      <c r="C2735" s="122" t="s">
        <v>163</v>
      </c>
      <c r="D2735" t="s">
        <v>14701</v>
      </c>
      <c r="E2735" s="80" t="s">
        <v>14702</v>
      </c>
      <c r="F2735" t="s">
        <v>3191</v>
      </c>
      <c r="G2735" t="s">
        <v>14352</v>
      </c>
      <c r="H2735" s="80" t="s">
        <v>14703</v>
      </c>
      <c r="I2735" s="80" t="s">
        <v>14704</v>
      </c>
      <c r="J2735" t="s">
        <v>14705</v>
      </c>
      <c r="K2735" s="111" t="s">
        <v>14706</v>
      </c>
    </row>
    <row r="2736" spans="1:11" x14ac:dyDescent="0.25">
      <c r="A2736" s="123">
        <v>2735</v>
      </c>
      <c r="B2736" s="2">
        <v>2007</v>
      </c>
      <c r="C2736" s="122" t="s">
        <v>181</v>
      </c>
      <c r="D2736" s="80">
        <v>0</v>
      </c>
      <c r="E2736" s="80" t="s">
        <v>14707</v>
      </c>
      <c r="F2736" t="s">
        <v>5415</v>
      </c>
      <c r="G2736" t="s">
        <v>583</v>
      </c>
      <c r="H2736" t="s">
        <v>14708</v>
      </c>
      <c r="I2736" t="s">
        <v>14709</v>
      </c>
      <c r="J2736" t="s">
        <v>583</v>
      </c>
      <c r="K2736" t="s">
        <v>3093</v>
      </c>
    </row>
    <row r="2737" spans="1:11" x14ac:dyDescent="0.25">
      <c r="A2737" s="123">
        <v>2736</v>
      </c>
      <c r="B2737" s="2">
        <v>2007</v>
      </c>
      <c r="C2737" s="122" t="s">
        <v>183</v>
      </c>
      <c r="D2737" t="s">
        <v>14575</v>
      </c>
      <c r="E2737" s="111" t="s">
        <v>14710</v>
      </c>
      <c r="F2737" t="s">
        <v>14711</v>
      </c>
      <c r="G2737" t="s">
        <v>14464</v>
      </c>
      <c r="H2737" t="s">
        <v>14712</v>
      </c>
      <c r="I2737" s="80" t="s">
        <v>14713</v>
      </c>
      <c r="J2737" t="s">
        <v>14337</v>
      </c>
      <c r="K2737" s="111" t="s">
        <v>14714</v>
      </c>
    </row>
    <row r="2738" spans="1:11" x14ac:dyDescent="0.25">
      <c r="A2738" s="123">
        <v>2737</v>
      </c>
      <c r="B2738" s="2">
        <v>2007</v>
      </c>
      <c r="C2738" s="122" t="s">
        <v>186</v>
      </c>
      <c r="D2738" t="s">
        <v>8350</v>
      </c>
      <c r="E2738" s="80" t="s">
        <v>14715</v>
      </c>
      <c r="F2738" t="s">
        <v>14716</v>
      </c>
      <c r="G2738" t="s">
        <v>14394</v>
      </c>
      <c r="H2738" s="80" t="s">
        <v>14717</v>
      </c>
      <c r="I2738" s="80" t="s">
        <v>14718</v>
      </c>
      <c r="J2738" t="s">
        <v>8115</v>
      </c>
      <c r="K2738" s="80" t="s">
        <v>14719</v>
      </c>
    </row>
    <row r="2739" spans="1:11" x14ac:dyDescent="0.25">
      <c r="A2739" s="123">
        <v>2738</v>
      </c>
      <c r="B2739" s="2">
        <v>2007</v>
      </c>
      <c r="C2739" s="125" t="s">
        <v>188</v>
      </c>
      <c r="D2739" t="s">
        <v>14720</v>
      </c>
      <c r="E2739" s="80" t="s">
        <v>14721</v>
      </c>
      <c r="F2739" t="s">
        <v>14722</v>
      </c>
      <c r="G2739" t="s">
        <v>14438</v>
      </c>
      <c r="H2739" s="80" t="s">
        <v>14723</v>
      </c>
      <c r="I2739" s="80" t="s">
        <v>14724</v>
      </c>
      <c r="J2739" t="s">
        <v>14725</v>
      </c>
      <c r="K2739" t="s">
        <v>14726</v>
      </c>
    </row>
    <row r="2740" spans="1:11" x14ac:dyDescent="0.25">
      <c r="A2740" s="123">
        <v>2739</v>
      </c>
      <c r="B2740" s="2">
        <v>2007</v>
      </c>
      <c r="C2740" s="125" t="s">
        <v>182</v>
      </c>
      <c r="D2740" t="s">
        <v>583</v>
      </c>
      <c r="E2740" t="s">
        <v>14727</v>
      </c>
      <c r="F2740" t="s">
        <v>7332</v>
      </c>
      <c r="G2740" t="s">
        <v>583</v>
      </c>
      <c r="H2740" s="80" t="s">
        <v>13104</v>
      </c>
      <c r="I2740" t="s">
        <v>2075</v>
      </c>
      <c r="J2740" t="s">
        <v>583</v>
      </c>
      <c r="K2740" s="80" t="s">
        <v>2380</v>
      </c>
    </row>
    <row r="2741" spans="1:11" x14ac:dyDescent="0.25">
      <c r="A2741" s="123">
        <v>2740</v>
      </c>
      <c r="B2741" s="2">
        <v>2007</v>
      </c>
      <c r="C2741" s="125" t="s">
        <v>184</v>
      </c>
      <c r="D2741" t="s">
        <v>14482</v>
      </c>
      <c r="E2741" t="s">
        <v>14728</v>
      </c>
      <c r="F2741" t="s">
        <v>14729</v>
      </c>
      <c r="G2741" t="s">
        <v>12437</v>
      </c>
      <c r="H2741" t="s">
        <v>14730</v>
      </c>
      <c r="I2741" s="80" t="s">
        <v>14731</v>
      </c>
      <c r="J2741" t="s">
        <v>14480</v>
      </c>
      <c r="K2741" t="s">
        <v>14732</v>
      </c>
    </row>
    <row r="2742" spans="1:11" x14ac:dyDescent="0.25">
      <c r="A2742" s="123">
        <v>2741</v>
      </c>
      <c r="B2742" s="2">
        <v>2007</v>
      </c>
      <c r="C2742" s="125" t="s">
        <v>187</v>
      </c>
      <c r="D2742" t="s">
        <v>14733</v>
      </c>
      <c r="E2742" t="s">
        <v>14734</v>
      </c>
      <c r="F2742" t="s">
        <v>14735</v>
      </c>
      <c r="G2742" t="s">
        <v>6311</v>
      </c>
      <c r="H2742" s="80" t="s">
        <v>14736</v>
      </c>
      <c r="I2742" s="80" t="s">
        <v>14737</v>
      </c>
      <c r="J2742" t="s">
        <v>14738</v>
      </c>
      <c r="K2742" s="80" t="s">
        <v>14739</v>
      </c>
    </row>
    <row r="2743" spans="1:11" x14ac:dyDescent="0.25">
      <c r="A2743" s="123">
        <v>2742</v>
      </c>
      <c r="B2743" s="2">
        <v>2007</v>
      </c>
      <c r="C2743" s="125" t="s">
        <v>189</v>
      </c>
      <c r="D2743" t="s">
        <v>14740</v>
      </c>
      <c r="E2743" t="s">
        <v>14741</v>
      </c>
      <c r="F2743" t="s">
        <v>14742</v>
      </c>
      <c r="G2743" t="s">
        <v>14445</v>
      </c>
      <c r="H2743" s="80" t="s">
        <v>14743</v>
      </c>
      <c r="I2743" s="80" t="s">
        <v>14744</v>
      </c>
      <c r="J2743" t="s">
        <v>14745</v>
      </c>
      <c r="K2743" s="80" t="s">
        <v>14746</v>
      </c>
    </row>
    <row r="2744" spans="1:11" x14ac:dyDescent="0.25">
      <c r="A2744" s="123">
        <v>2743</v>
      </c>
      <c r="B2744" s="2">
        <v>2008</v>
      </c>
      <c r="C2744" s="122" t="s">
        <v>162</v>
      </c>
      <c r="D2744" t="s">
        <v>583</v>
      </c>
      <c r="E2744" t="s">
        <v>14747</v>
      </c>
      <c r="F2744" t="s">
        <v>6741</v>
      </c>
      <c r="G2744" t="s">
        <v>7163</v>
      </c>
      <c r="H2744" t="s">
        <v>583</v>
      </c>
      <c r="I2744" t="s">
        <v>7097</v>
      </c>
      <c r="J2744" t="s">
        <v>583</v>
      </c>
      <c r="K2744" t="s">
        <v>9385</v>
      </c>
    </row>
    <row r="2745" spans="1:11" x14ac:dyDescent="0.25">
      <c r="A2745" s="123">
        <v>2744</v>
      </c>
      <c r="B2745" s="2">
        <v>2008</v>
      </c>
      <c r="C2745" s="122" t="s">
        <v>170</v>
      </c>
      <c r="D2745" t="s">
        <v>11744</v>
      </c>
      <c r="E2745" s="80" t="s">
        <v>14748</v>
      </c>
      <c r="F2745" t="s">
        <v>14749</v>
      </c>
      <c r="G2745" t="s">
        <v>4368</v>
      </c>
      <c r="H2745" t="s">
        <v>14750</v>
      </c>
      <c r="I2745" s="80" t="s">
        <v>14751</v>
      </c>
      <c r="J2745" t="s">
        <v>14752</v>
      </c>
      <c r="K2745" t="s">
        <v>14753</v>
      </c>
    </row>
    <row r="2746" spans="1:11" x14ac:dyDescent="0.25">
      <c r="A2746" s="123">
        <v>2745</v>
      </c>
      <c r="B2746" s="2">
        <v>2008</v>
      </c>
      <c r="C2746" s="122" t="s">
        <v>178</v>
      </c>
      <c r="D2746" t="s">
        <v>14754</v>
      </c>
      <c r="E2746" s="80" t="s">
        <v>14755</v>
      </c>
      <c r="F2746" t="s">
        <v>14756</v>
      </c>
      <c r="G2746" t="s">
        <v>12257</v>
      </c>
      <c r="H2746" s="80" t="s">
        <v>14757</v>
      </c>
      <c r="I2746" s="80" t="s">
        <v>14758</v>
      </c>
      <c r="J2746" t="s">
        <v>14441</v>
      </c>
      <c r="K2746" t="s">
        <v>14759</v>
      </c>
    </row>
    <row r="2747" spans="1:11" x14ac:dyDescent="0.25">
      <c r="A2747" s="123">
        <v>2746</v>
      </c>
      <c r="B2747" s="2">
        <v>2008</v>
      </c>
      <c r="C2747" s="122" t="s">
        <v>163</v>
      </c>
      <c r="D2747" t="s">
        <v>14760</v>
      </c>
      <c r="E2747" s="80">
        <v>54706</v>
      </c>
      <c r="F2747" t="s">
        <v>14761</v>
      </c>
      <c r="G2747" t="s">
        <v>14762</v>
      </c>
      <c r="H2747" s="80" t="s">
        <v>14763</v>
      </c>
      <c r="I2747" s="80" t="s">
        <v>14764</v>
      </c>
      <c r="J2747" t="s">
        <v>14765</v>
      </c>
      <c r="K2747" s="111" t="s">
        <v>14766</v>
      </c>
    </row>
    <row r="2748" spans="1:11" x14ac:dyDescent="0.25">
      <c r="A2748" s="123">
        <v>2747</v>
      </c>
      <c r="B2748" s="2">
        <v>2008</v>
      </c>
      <c r="C2748" s="122" t="s">
        <v>181</v>
      </c>
      <c r="D2748" t="s">
        <v>583</v>
      </c>
      <c r="E2748" t="s">
        <v>14767</v>
      </c>
      <c r="F2748" t="s">
        <v>9316</v>
      </c>
      <c r="G2748" t="s">
        <v>583</v>
      </c>
      <c r="H2748" t="s">
        <v>4026</v>
      </c>
      <c r="I2748" t="s">
        <v>14768</v>
      </c>
      <c r="J2748" t="s">
        <v>583</v>
      </c>
      <c r="K2748" t="s">
        <v>4478</v>
      </c>
    </row>
    <row r="2749" spans="1:11" x14ac:dyDescent="0.25">
      <c r="A2749" s="123">
        <v>2748</v>
      </c>
      <c r="B2749" s="2">
        <v>2008</v>
      </c>
      <c r="C2749" s="122" t="s">
        <v>183</v>
      </c>
      <c r="D2749" t="s">
        <v>14575</v>
      </c>
      <c r="E2749" s="80" t="s">
        <v>14769</v>
      </c>
      <c r="F2749" t="s">
        <v>14770</v>
      </c>
      <c r="G2749" t="s">
        <v>5071</v>
      </c>
      <c r="H2749" s="80" t="s">
        <v>14771</v>
      </c>
      <c r="I2749" s="80" t="s">
        <v>14772</v>
      </c>
      <c r="J2749" t="s">
        <v>14773</v>
      </c>
      <c r="K2749" s="80" t="s">
        <v>14774</v>
      </c>
    </row>
    <row r="2750" spans="1:11" x14ac:dyDescent="0.25">
      <c r="A2750" s="123">
        <v>2749</v>
      </c>
      <c r="B2750" s="2">
        <v>2008</v>
      </c>
      <c r="C2750" s="122" t="s">
        <v>186</v>
      </c>
      <c r="D2750" t="s">
        <v>14341</v>
      </c>
      <c r="E2750" t="s">
        <v>14775</v>
      </c>
      <c r="F2750" t="s">
        <v>14776</v>
      </c>
      <c r="G2750" t="s">
        <v>14372</v>
      </c>
      <c r="H2750" s="80" t="s">
        <v>14777</v>
      </c>
      <c r="I2750" s="80" t="s">
        <v>14778</v>
      </c>
      <c r="J2750" t="s">
        <v>14347</v>
      </c>
      <c r="K2750" s="80" t="s">
        <v>14779</v>
      </c>
    </row>
    <row r="2751" spans="1:11" x14ac:dyDescent="0.25">
      <c r="A2751" s="123">
        <v>2750</v>
      </c>
      <c r="B2751" s="2">
        <v>2008</v>
      </c>
      <c r="C2751" s="125" t="s">
        <v>188</v>
      </c>
      <c r="D2751" t="s">
        <v>14415</v>
      </c>
      <c r="E2751" s="80" t="s">
        <v>14780</v>
      </c>
      <c r="F2751" t="s">
        <v>14781</v>
      </c>
      <c r="G2751" t="s">
        <v>14372</v>
      </c>
      <c r="H2751" t="s">
        <v>14782</v>
      </c>
      <c r="I2751" s="80" t="s">
        <v>14783</v>
      </c>
      <c r="J2751" t="s">
        <v>14549</v>
      </c>
      <c r="K2751" s="111" t="s">
        <v>14784</v>
      </c>
    </row>
    <row r="2752" spans="1:11" x14ac:dyDescent="0.25">
      <c r="A2752" s="123">
        <v>2751</v>
      </c>
      <c r="B2752" s="2">
        <v>2008</v>
      </c>
      <c r="C2752" s="125" t="s">
        <v>182</v>
      </c>
      <c r="D2752" t="s">
        <v>583</v>
      </c>
      <c r="E2752" t="s">
        <v>14785</v>
      </c>
      <c r="F2752" t="s">
        <v>1740</v>
      </c>
      <c r="G2752" t="s">
        <v>583</v>
      </c>
      <c r="H2752" t="s">
        <v>6179</v>
      </c>
      <c r="I2752" t="s">
        <v>12089</v>
      </c>
      <c r="J2752" t="s">
        <v>583</v>
      </c>
      <c r="K2752" s="80" t="s">
        <v>5282</v>
      </c>
    </row>
    <row r="2753" spans="1:11" x14ac:dyDescent="0.25">
      <c r="A2753" s="123">
        <v>2752</v>
      </c>
      <c r="B2753" s="2">
        <v>2008</v>
      </c>
      <c r="C2753" s="125" t="s">
        <v>184</v>
      </c>
      <c r="D2753" t="s">
        <v>14786</v>
      </c>
      <c r="E2753" t="s">
        <v>14787</v>
      </c>
      <c r="F2753" t="s">
        <v>14788</v>
      </c>
      <c r="G2753" t="s">
        <v>5071</v>
      </c>
      <c r="H2753" t="s">
        <v>14789</v>
      </c>
      <c r="I2753" s="80" t="s">
        <v>14790</v>
      </c>
      <c r="J2753" t="s">
        <v>14791</v>
      </c>
      <c r="K2753" t="s">
        <v>14792</v>
      </c>
    </row>
    <row r="2754" spans="1:11" x14ac:dyDescent="0.25">
      <c r="A2754" s="123">
        <v>2753</v>
      </c>
      <c r="B2754" s="2">
        <v>2008</v>
      </c>
      <c r="C2754" s="125" t="s">
        <v>187</v>
      </c>
      <c r="D2754" t="s">
        <v>1577</v>
      </c>
      <c r="E2754" t="s">
        <v>14793</v>
      </c>
      <c r="F2754" t="s">
        <v>14794</v>
      </c>
      <c r="G2754" t="s">
        <v>14394</v>
      </c>
      <c r="H2754" s="80" t="s">
        <v>14795</v>
      </c>
      <c r="I2754" s="80" t="s">
        <v>14796</v>
      </c>
      <c r="J2754" t="s">
        <v>14685</v>
      </c>
      <c r="K2754" s="80" t="s">
        <v>14797</v>
      </c>
    </row>
    <row r="2755" spans="1:11" x14ac:dyDescent="0.25">
      <c r="A2755" s="123">
        <v>2754</v>
      </c>
      <c r="B2755" s="2">
        <v>2008</v>
      </c>
      <c r="C2755" s="125" t="s">
        <v>189</v>
      </c>
      <c r="D2755" t="s">
        <v>14798</v>
      </c>
      <c r="E2755" t="s">
        <v>14799</v>
      </c>
      <c r="F2755" t="s">
        <v>4414</v>
      </c>
      <c r="G2755" t="s">
        <v>12394</v>
      </c>
      <c r="H2755" s="80" t="s">
        <v>14800</v>
      </c>
      <c r="I2755" s="80" t="s">
        <v>14801</v>
      </c>
      <c r="J2755" t="s">
        <v>14791</v>
      </c>
      <c r="K2755" s="80" t="s">
        <v>14802</v>
      </c>
    </row>
    <row r="2756" spans="1:11" x14ac:dyDescent="0.25">
      <c r="A2756" s="123">
        <v>2755</v>
      </c>
      <c r="B2756" s="2">
        <v>2009</v>
      </c>
      <c r="C2756" s="122" t="s">
        <v>162</v>
      </c>
      <c r="D2756" t="s">
        <v>583</v>
      </c>
      <c r="E2756" s="80" t="s">
        <v>14803</v>
      </c>
      <c r="F2756" t="s">
        <v>6784</v>
      </c>
      <c r="G2756" t="s">
        <v>583</v>
      </c>
      <c r="H2756" t="s">
        <v>583</v>
      </c>
      <c r="I2756" t="s">
        <v>3067</v>
      </c>
      <c r="J2756" t="s">
        <v>583</v>
      </c>
      <c r="K2756" t="s">
        <v>3764</v>
      </c>
    </row>
    <row r="2757" spans="1:11" x14ac:dyDescent="0.25">
      <c r="A2757" s="123">
        <v>2756</v>
      </c>
      <c r="B2757" s="2">
        <v>2009</v>
      </c>
      <c r="C2757" s="122" t="s">
        <v>170</v>
      </c>
      <c r="D2757" t="s">
        <v>14482</v>
      </c>
      <c r="E2757" s="80" t="s">
        <v>14804</v>
      </c>
      <c r="F2757" t="s">
        <v>14805</v>
      </c>
      <c r="G2757" t="s">
        <v>14438</v>
      </c>
      <c r="H2757" t="s">
        <v>14806</v>
      </c>
      <c r="I2757" s="80" t="s">
        <v>14807</v>
      </c>
      <c r="J2757" t="s">
        <v>6089</v>
      </c>
      <c r="K2757" t="s">
        <v>14808</v>
      </c>
    </row>
    <row r="2758" spans="1:11" x14ac:dyDescent="0.25">
      <c r="A2758" s="123">
        <v>2757</v>
      </c>
      <c r="B2758" s="2">
        <v>2009</v>
      </c>
      <c r="C2758" s="122" t="s">
        <v>178</v>
      </c>
      <c r="D2758" t="s">
        <v>14809</v>
      </c>
      <c r="E2758" s="80" t="s">
        <v>14810</v>
      </c>
      <c r="F2758" t="s">
        <v>14811</v>
      </c>
      <c r="G2758" t="s">
        <v>14334</v>
      </c>
      <c r="H2758" s="80" t="s">
        <v>14812</v>
      </c>
      <c r="I2758" s="80" t="s">
        <v>14813</v>
      </c>
      <c r="J2758" t="s">
        <v>14814</v>
      </c>
      <c r="K2758" s="111" t="s">
        <v>14815</v>
      </c>
    </row>
    <row r="2759" spans="1:11" x14ac:dyDescent="0.25">
      <c r="A2759" s="123">
        <v>2758</v>
      </c>
      <c r="B2759" s="2">
        <v>2009</v>
      </c>
      <c r="C2759" s="122" t="s">
        <v>163</v>
      </c>
      <c r="D2759" t="s">
        <v>14816</v>
      </c>
      <c r="E2759" s="80" t="s">
        <v>14817</v>
      </c>
      <c r="F2759" t="s">
        <v>14818</v>
      </c>
      <c r="G2759" t="s">
        <v>14372</v>
      </c>
      <c r="H2759" s="80" t="s">
        <v>14819</v>
      </c>
      <c r="I2759" s="80" t="s">
        <v>14820</v>
      </c>
      <c r="J2759" t="s">
        <v>14791</v>
      </c>
      <c r="K2759" t="s">
        <v>14821</v>
      </c>
    </row>
    <row r="2760" spans="1:11" x14ac:dyDescent="0.25">
      <c r="A2760" s="123">
        <v>2759</v>
      </c>
      <c r="B2760" s="2">
        <v>2009</v>
      </c>
      <c r="C2760" s="122" t="s">
        <v>181</v>
      </c>
      <c r="D2760" s="80">
        <v>0</v>
      </c>
      <c r="E2760" s="111" t="s">
        <v>14822</v>
      </c>
      <c r="F2760" t="s">
        <v>5312</v>
      </c>
      <c r="G2760" t="s">
        <v>12437</v>
      </c>
      <c r="H2760" t="s">
        <v>14823</v>
      </c>
      <c r="I2760" t="s">
        <v>14824</v>
      </c>
      <c r="J2760" t="s">
        <v>6257</v>
      </c>
      <c r="K2760" t="s">
        <v>11124</v>
      </c>
    </row>
    <row r="2761" spans="1:11" x14ac:dyDescent="0.25">
      <c r="A2761" s="123">
        <v>2760</v>
      </c>
      <c r="B2761" s="2">
        <v>2009</v>
      </c>
      <c r="C2761" s="122" t="s">
        <v>183</v>
      </c>
      <c r="D2761" t="s">
        <v>14659</v>
      </c>
      <c r="E2761" s="80" t="s">
        <v>14825</v>
      </c>
      <c r="F2761" t="s">
        <v>14826</v>
      </c>
      <c r="G2761" t="s">
        <v>14445</v>
      </c>
      <c r="H2761" s="80" t="s">
        <v>14827</v>
      </c>
      <c r="I2761" s="80" t="s">
        <v>14828</v>
      </c>
      <c r="J2761" t="s">
        <v>14773</v>
      </c>
      <c r="K2761" s="111" t="s">
        <v>14829</v>
      </c>
    </row>
    <row r="2762" spans="1:11" x14ac:dyDescent="0.25">
      <c r="A2762" s="123">
        <v>2761</v>
      </c>
      <c r="B2762" s="2">
        <v>2009</v>
      </c>
      <c r="C2762" s="122" t="s">
        <v>186</v>
      </c>
      <c r="D2762" t="s">
        <v>14415</v>
      </c>
      <c r="E2762" s="80" t="s">
        <v>14830</v>
      </c>
      <c r="F2762" t="s">
        <v>14831</v>
      </c>
      <c r="G2762" t="s">
        <v>14464</v>
      </c>
      <c r="H2762" s="80" t="s">
        <v>14832</v>
      </c>
      <c r="I2762" s="80" t="s">
        <v>14833</v>
      </c>
      <c r="J2762" t="s">
        <v>14738</v>
      </c>
      <c r="K2762" s="111" t="s">
        <v>14834</v>
      </c>
    </row>
    <row r="2763" spans="1:11" x14ac:dyDescent="0.25">
      <c r="A2763" s="123">
        <v>2762</v>
      </c>
      <c r="B2763" s="2">
        <v>2009</v>
      </c>
      <c r="C2763" s="125" t="s">
        <v>188</v>
      </c>
      <c r="D2763" t="s">
        <v>14385</v>
      </c>
      <c r="E2763" s="111" t="s">
        <v>14835</v>
      </c>
      <c r="F2763" t="s">
        <v>14836</v>
      </c>
      <c r="G2763" t="s">
        <v>4368</v>
      </c>
      <c r="H2763" s="80" t="s">
        <v>14837</v>
      </c>
      <c r="I2763" s="80" t="s">
        <v>14838</v>
      </c>
      <c r="J2763" t="s">
        <v>14839</v>
      </c>
      <c r="K2763" s="111" t="s">
        <v>14840</v>
      </c>
    </row>
    <row r="2764" spans="1:11" x14ac:dyDescent="0.25">
      <c r="A2764" s="123">
        <v>2763</v>
      </c>
      <c r="B2764" s="2">
        <v>2009</v>
      </c>
      <c r="C2764" s="125" t="s">
        <v>182</v>
      </c>
      <c r="D2764" t="s">
        <v>6741</v>
      </c>
      <c r="E2764" t="s">
        <v>14841</v>
      </c>
      <c r="F2764" t="s">
        <v>14842</v>
      </c>
      <c r="G2764" t="s">
        <v>583</v>
      </c>
      <c r="H2764" t="s">
        <v>14843</v>
      </c>
      <c r="I2764" s="80" t="s">
        <v>14844</v>
      </c>
      <c r="J2764" s="80" t="s">
        <v>6179</v>
      </c>
      <c r="K2764" t="s">
        <v>14845</v>
      </c>
    </row>
    <row r="2765" spans="1:11" x14ac:dyDescent="0.25">
      <c r="A2765" s="123">
        <v>2764</v>
      </c>
      <c r="B2765" s="2">
        <v>2009</v>
      </c>
      <c r="C2765" s="125" t="s">
        <v>184</v>
      </c>
      <c r="D2765" t="s">
        <v>14846</v>
      </c>
      <c r="E2765" t="s">
        <v>14847</v>
      </c>
      <c r="F2765" t="s">
        <v>14848</v>
      </c>
      <c r="G2765" t="s">
        <v>5071</v>
      </c>
      <c r="H2765" s="80" t="s">
        <v>14849</v>
      </c>
      <c r="I2765" s="80" t="s">
        <v>14850</v>
      </c>
      <c r="J2765" t="s">
        <v>14441</v>
      </c>
      <c r="K2765" t="s">
        <v>14851</v>
      </c>
    </row>
    <row r="2766" spans="1:11" x14ac:dyDescent="0.25">
      <c r="A2766" s="123">
        <v>2765</v>
      </c>
      <c r="B2766" s="2">
        <v>2009</v>
      </c>
      <c r="C2766" s="125" t="s">
        <v>187</v>
      </c>
      <c r="D2766" t="s">
        <v>14852</v>
      </c>
      <c r="E2766" t="s">
        <v>14853</v>
      </c>
      <c r="F2766" t="s">
        <v>14854</v>
      </c>
      <c r="G2766" t="s">
        <v>14372</v>
      </c>
      <c r="H2766" s="80" t="s">
        <v>14855</v>
      </c>
      <c r="I2766" s="80" t="s">
        <v>14856</v>
      </c>
      <c r="J2766" t="s">
        <v>1562</v>
      </c>
      <c r="K2766" s="80" t="s">
        <v>14857</v>
      </c>
    </row>
    <row r="2767" spans="1:11" x14ac:dyDescent="0.25">
      <c r="A2767" s="123">
        <v>2766</v>
      </c>
      <c r="B2767" s="2">
        <v>2009</v>
      </c>
      <c r="C2767" s="125" t="s">
        <v>189</v>
      </c>
      <c r="D2767" t="s">
        <v>14858</v>
      </c>
      <c r="E2767" t="s">
        <v>14859</v>
      </c>
      <c r="F2767" t="s">
        <v>14860</v>
      </c>
      <c r="G2767" t="s">
        <v>13599</v>
      </c>
      <c r="H2767" s="80" t="s">
        <v>14861</v>
      </c>
      <c r="I2767" s="80" t="s">
        <v>14862</v>
      </c>
      <c r="J2767" t="s">
        <v>14347</v>
      </c>
      <c r="K2767" s="80" t="s">
        <v>14863</v>
      </c>
    </row>
    <row r="2768" spans="1:11" x14ac:dyDescent="0.25">
      <c r="A2768" s="123">
        <v>2767</v>
      </c>
      <c r="B2768" s="2">
        <v>2010</v>
      </c>
      <c r="C2768" s="122" t="s">
        <v>162</v>
      </c>
      <c r="D2768" t="s">
        <v>583</v>
      </c>
      <c r="E2768" t="s">
        <v>14864</v>
      </c>
      <c r="F2768" t="s">
        <v>3065</v>
      </c>
      <c r="G2768" t="s">
        <v>583</v>
      </c>
      <c r="H2768" t="s">
        <v>583</v>
      </c>
      <c r="I2768" t="s">
        <v>13104</v>
      </c>
      <c r="J2768" t="s">
        <v>583</v>
      </c>
      <c r="K2768" t="s">
        <v>5282</v>
      </c>
    </row>
    <row r="2769" spans="1:11" x14ac:dyDescent="0.25">
      <c r="A2769" s="123">
        <v>2768</v>
      </c>
      <c r="B2769" s="2">
        <v>2010</v>
      </c>
      <c r="C2769" s="122" t="s">
        <v>170</v>
      </c>
      <c r="D2769" t="s">
        <v>14865</v>
      </c>
      <c r="E2769" s="80" t="s">
        <v>14866</v>
      </c>
      <c r="F2769" t="s">
        <v>14867</v>
      </c>
      <c r="G2769" t="s">
        <v>14688</v>
      </c>
      <c r="H2769" t="s">
        <v>14868</v>
      </c>
      <c r="I2769" s="80" t="s">
        <v>14869</v>
      </c>
      <c r="J2769" t="s">
        <v>14870</v>
      </c>
      <c r="K2769" t="s">
        <v>10641</v>
      </c>
    </row>
    <row r="2770" spans="1:11" x14ac:dyDescent="0.25">
      <c r="A2770" s="123">
        <v>2769</v>
      </c>
      <c r="B2770" s="2">
        <v>2010</v>
      </c>
      <c r="C2770" s="122" t="s">
        <v>178</v>
      </c>
      <c r="D2770" t="s">
        <v>14871</v>
      </c>
      <c r="E2770" s="80" t="s">
        <v>14872</v>
      </c>
      <c r="F2770" t="s">
        <v>14873</v>
      </c>
      <c r="G2770" t="s">
        <v>5071</v>
      </c>
      <c r="H2770" t="s">
        <v>14874</v>
      </c>
      <c r="I2770" s="80" t="s">
        <v>14875</v>
      </c>
      <c r="J2770" t="s">
        <v>14407</v>
      </c>
      <c r="K2770" t="s">
        <v>14876</v>
      </c>
    </row>
    <row r="2771" spans="1:11" x14ac:dyDescent="0.25">
      <c r="A2771" s="123">
        <v>2770</v>
      </c>
      <c r="B2771" s="2">
        <v>2010</v>
      </c>
      <c r="C2771" s="122" t="s">
        <v>163</v>
      </c>
      <c r="D2771" t="s">
        <v>14877</v>
      </c>
      <c r="E2771" s="80" t="s">
        <v>14878</v>
      </c>
      <c r="F2771" t="s">
        <v>14879</v>
      </c>
      <c r="G2771" t="s">
        <v>5071</v>
      </c>
      <c r="H2771" t="s">
        <v>14880</v>
      </c>
      <c r="I2771" s="80" t="s">
        <v>14881</v>
      </c>
      <c r="J2771" t="s">
        <v>14725</v>
      </c>
      <c r="K2771" t="s">
        <v>14882</v>
      </c>
    </row>
    <row r="2772" spans="1:11" x14ac:dyDescent="0.25">
      <c r="A2772" s="123">
        <v>2771</v>
      </c>
      <c r="B2772" s="2">
        <v>2010</v>
      </c>
      <c r="C2772" s="122" t="s">
        <v>181</v>
      </c>
      <c r="D2772" t="s">
        <v>583</v>
      </c>
      <c r="E2772" s="80" t="s">
        <v>14883</v>
      </c>
      <c r="F2772" t="s">
        <v>7332</v>
      </c>
      <c r="G2772" t="s">
        <v>583</v>
      </c>
      <c r="H2772" t="s">
        <v>2374</v>
      </c>
      <c r="I2772" t="s">
        <v>4562</v>
      </c>
      <c r="J2772" t="s">
        <v>583</v>
      </c>
      <c r="K2772" t="s">
        <v>3093</v>
      </c>
    </row>
    <row r="2773" spans="1:11" x14ac:dyDescent="0.25">
      <c r="A2773" s="123">
        <v>2772</v>
      </c>
      <c r="B2773" s="2">
        <v>2010</v>
      </c>
      <c r="C2773" s="122" t="s">
        <v>183</v>
      </c>
      <c r="D2773" t="s">
        <v>14575</v>
      </c>
      <c r="E2773" s="111" t="s">
        <v>14884</v>
      </c>
      <c r="F2773" s="80" t="s">
        <v>14885</v>
      </c>
      <c r="G2773" t="s">
        <v>14886</v>
      </c>
      <c r="H2773" s="80" t="s">
        <v>14887</v>
      </c>
      <c r="I2773" s="80" t="s">
        <v>14888</v>
      </c>
      <c r="J2773" t="s">
        <v>14725</v>
      </c>
      <c r="K2773" t="s">
        <v>14889</v>
      </c>
    </row>
    <row r="2774" spans="1:11" x14ac:dyDescent="0.25">
      <c r="A2774" s="123">
        <v>2773</v>
      </c>
      <c r="B2774" s="2">
        <v>2010</v>
      </c>
      <c r="C2774" s="122" t="s">
        <v>186</v>
      </c>
      <c r="D2774" t="s">
        <v>14408</v>
      </c>
      <c r="E2774" s="111" t="s">
        <v>14890</v>
      </c>
      <c r="F2774" s="80" t="s">
        <v>14891</v>
      </c>
      <c r="G2774" t="s">
        <v>14886</v>
      </c>
      <c r="H2774" s="111" t="s">
        <v>14892</v>
      </c>
      <c r="I2774" s="80" t="s">
        <v>14893</v>
      </c>
      <c r="J2774" t="s">
        <v>14685</v>
      </c>
      <c r="K2774" s="80" t="s">
        <v>14894</v>
      </c>
    </row>
    <row r="2775" spans="1:11" x14ac:dyDescent="0.25">
      <c r="A2775" s="123">
        <v>2774</v>
      </c>
      <c r="B2775" s="2">
        <v>2010</v>
      </c>
      <c r="C2775" s="125" t="s">
        <v>188</v>
      </c>
      <c r="D2775" t="s">
        <v>14415</v>
      </c>
      <c r="E2775" s="111" t="s">
        <v>14895</v>
      </c>
      <c r="F2775" t="s">
        <v>14896</v>
      </c>
      <c r="G2775" t="s">
        <v>4368</v>
      </c>
      <c r="H2775" s="80" t="s">
        <v>14897</v>
      </c>
      <c r="I2775" s="80" t="s">
        <v>14898</v>
      </c>
      <c r="J2775" t="s">
        <v>10548</v>
      </c>
      <c r="K2775" s="111" t="s">
        <v>14899</v>
      </c>
    </row>
    <row r="2776" spans="1:11" x14ac:dyDescent="0.25">
      <c r="A2776" s="123">
        <v>2775</v>
      </c>
      <c r="B2776" s="2">
        <v>2010</v>
      </c>
      <c r="C2776" s="125" t="s">
        <v>182</v>
      </c>
      <c r="D2776" t="s">
        <v>6741</v>
      </c>
      <c r="E2776" t="s">
        <v>14900</v>
      </c>
      <c r="F2776" t="s">
        <v>14901</v>
      </c>
      <c r="G2776" t="s">
        <v>583</v>
      </c>
      <c r="H2776" t="s">
        <v>14902</v>
      </c>
      <c r="I2776" s="80" t="s">
        <v>14903</v>
      </c>
      <c r="J2776" s="80" t="s">
        <v>6179</v>
      </c>
      <c r="K2776" t="s">
        <v>12052</v>
      </c>
    </row>
    <row r="2777" spans="1:11" x14ac:dyDescent="0.25">
      <c r="A2777" s="123">
        <v>2776</v>
      </c>
      <c r="B2777" s="2">
        <v>2010</v>
      </c>
      <c r="C2777" s="125" t="s">
        <v>184</v>
      </c>
      <c r="D2777" t="s">
        <v>14871</v>
      </c>
      <c r="E2777" t="s">
        <v>14904</v>
      </c>
      <c r="F2777" t="s">
        <v>14905</v>
      </c>
      <c r="G2777" t="s">
        <v>14583</v>
      </c>
      <c r="H2777" t="s">
        <v>14906</v>
      </c>
      <c r="I2777" s="80" t="s">
        <v>14907</v>
      </c>
      <c r="J2777" t="s">
        <v>14614</v>
      </c>
      <c r="K2777" t="s">
        <v>14908</v>
      </c>
    </row>
    <row r="2778" spans="1:11" x14ac:dyDescent="0.25">
      <c r="A2778" s="123">
        <v>2777</v>
      </c>
      <c r="B2778" s="2">
        <v>2010</v>
      </c>
      <c r="C2778" s="125" t="s">
        <v>187</v>
      </c>
      <c r="D2778" t="s">
        <v>14909</v>
      </c>
      <c r="E2778" t="s">
        <v>14910</v>
      </c>
      <c r="F2778" t="s">
        <v>14911</v>
      </c>
      <c r="G2778" t="s">
        <v>5071</v>
      </c>
      <c r="H2778" s="80" t="s">
        <v>14912</v>
      </c>
      <c r="I2778" s="80" t="s">
        <v>14913</v>
      </c>
      <c r="J2778" t="s">
        <v>14441</v>
      </c>
      <c r="K2778" t="s">
        <v>14914</v>
      </c>
    </row>
    <row r="2779" spans="1:11" x14ac:dyDescent="0.25">
      <c r="A2779" s="123">
        <v>2778</v>
      </c>
      <c r="B2779" s="2">
        <v>2010</v>
      </c>
      <c r="C2779" s="125" t="s">
        <v>189</v>
      </c>
      <c r="D2779" t="s">
        <v>14915</v>
      </c>
      <c r="E2779">
        <v>6830</v>
      </c>
      <c r="F2779" t="s">
        <v>14916</v>
      </c>
      <c r="G2779" t="s">
        <v>12437</v>
      </c>
      <c r="H2779" s="80" t="s">
        <v>14917</v>
      </c>
      <c r="I2779" s="80" t="s">
        <v>14918</v>
      </c>
      <c r="J2779" t="s">
        <v>14441</v>
      </c>
      <c r="K2779" t="s">
        <v>14919</v>
      </c>
    </row>
    <row r="2780" spans="1:11" x14ac:dyDescent="0.25">
      <c r="A2780" s="123">
        <v>2779</v>
      </c>
      <c r="B2780" s="2">
        <v>2044</v>
      </c>
      <c r="C2780" s="122" t="s">
        <v>181</v>
      </c>
      <c r="D2780" t="s">
        <v>14385</v>
      </c>
      <c r="E2780" s="80" t="s">
        <v>14920</v>
      </c>
      <c r="F2780" s="80" t="s">
        <v>14921</v>
      </c>
      <c r="G2780" t="s">
        <v>14372</v>
      </c>
      <c r="H2780" s="80" t="s">
        <v>14922</v>
      </c>
      <c r="I2780" s="80" t="s">
        <v>14923</v>
      </c>
      <c r="J2780" t="s">
        <v>8115</v>
      </c>
      <c r="K2780" s="80" t="s">
        <v>14924</v>
      </c>
    </row>
    <row r="2781" spans="1:11" x14ac:dyDescent="0.25">
      <c r="A2781" s="123">
        <v>2780</v>
      </c>
      <c r="B2781" s="2">
        <v>2044</v>
      </c>
      <c r="C2781" s="122" t="s">
        <v>183</v>
      </c>
      <c r="D2781" t="s">
        <v>14659</v>
      </c>
      <c r="E2781" s="80" t="s">
        <v>14925</v>
      </c>
      <c r="F2781" s="80" t="s">
        <v>14926</v>
      </c>
      <c r="G2781" t="s">
        <v>5071</v>
      </c>
      <c r="H2781" t="s">
        <v>14927</v>
      </c>
      <c r="I2781" s="80" t="s">
        <v>14928</v>
      </c>
      <c r="J2781" t="s">
        <v>14347</v>
      </c>
      <c r="K2781" s="89" t="s">
        <v>582</v>
      </c>
    </row>
    <row r="2782" spans="1:11" x14ac:dyDescent="0.25">
      <c r="A2782" s="123">
        <v>2781</v>
      </c>
      <c r="B2782" s="2">
        <v>2004</v>
      </c>
      <c r="C2782" s="122" t="s">
        <v>162</v>
      </c>
      <c r="D2782" t="s">
        <v>583</v>
      </c>
      <c r="E2782" t="s">
        <v>14929</v>
      </c>
      <c r="F2782" t="s">
        <v>6784</v>
      </c>
      <c r="G2782" t="s">
        <v>583</v>
      </c>
      <c r="H2782" t="s">
        <v>583</v>
      </c>
      <c r="I2782" t="s">
        <v>5465</v>
      </c>
      <c r="J2782" t="s">
        <v>583</v>
      </c>
      <c r="K2782" t="s">
        <v>1548</v>
      </c>
    </row>
    <row r="2783" spans="1:11" x14ac:dyDescent="0.25">
      <c r="A2783" s="123">
        <v>2782</v>
      </c>
      <c r="B2783" s="2">
        <v>2004</v>
      </c>
      <c r="C2783" s="122" t="s">
        <v>170</v>
      </c>
      <c r="D2783" t="s">
        <v>14659</v>
      </c>
      <c r="E2783" s="80" t="s">
        <v>14930</v>
      </c>
      <c r="F2783" t="s">
        <v>14931</v>
      </c>
      <c r="G2783" t="s">
        <v>13599</v>
      </c>
      <c r="H2783" t="s">
        <v>14932</v>
      </c>
      <c r="I2783" s="80" t="s">
        <v>14933</v>
      </c>
      <c r="J2783" t="s">
        <v>14614</v>
      </c>
      <c r="K2783" t="s">
        <v>14934</v>
      </c>
    </row>
    <row r="2784" spans="1:11" x14ac:dyDescent="0.25">
      <c r="A2784" s="123">
        <v>2783</v>
      </c>
      <c r="B2784" s="2">
        <v>2004</v>
      </c>
      <c r="C2784" s="122" t="s">
        <v>178</v>
      </c>
      <c r="D2784" t="s">
        <v>14935</v>
      </c>
      <c r="E2784" s="80" t="s">
        <v>14936</v>
      </c>
      <c r="F2784" t="s">
        <v>14937</v>
      </c>
      <c r="G2784" t="s">
        <v>14372</v>
      </c>
      <c r="H2784" s="80" t="s">
        <v>14938</v>
      </c>
      <c r="I2784" s="80" t="s">
        <v>14939</v>
      </c>
      <c r="J2784" t="s">
        <v>14725</v>
      </c>
      <c r="K2784" t="s">
        <v>14940</v>
      </c>
    </row>
    <row r="2785" spans="1:11" x14ac:dyDescent="0.25">
      <c r="A2785" s="123">
        <v>2784</v>
      </c>
      <c r="B2785" s="2">
        <v>2004</v>
      </c>
      <c r="C2785" s="122" t="s">
        <v>163</v>
      </c>
      <c r="D2785" t="s">
        <v>14941</v>
      </c>
      <c r="E2785" s="111" t="s">
        <v>14942</v>
      </c>
      <c r="F2785" t="s">
        <v>14943</v>
      </c>
      <c r="G2785" t="s">
        <v>12394</v>
      </c>
      <c r="H2785" t="s">
        <v>14944</v>
      </c>
      <c r="I2785" s="80" t="s">
        <v>14945</v>
      </c>
      <c r="J2785" t="s">
        <v>10548</v>
      </c>
      <c r="K2785" s="111" t="s">
        <v>14946</v>
      </c>
    </row>
    <row r="2786" spans="1:11" x14ac:dyDescent="0.25">
      <c r="A2786" s="123">
        <v>2785</v>
      </c>
      <c r="B2786" s="2">
        <v>2004</v>
      </c>
      <c r="C2786" s="122" t="s">
        <v>181</v>
      </c>
      <c r="D2786" t="s">
        <v>583</v>
      </c>
      <c r="E2786" s="111" t="s">
        <v>14947</v>
      </c>
      <c r="F2786" t="s">
        <v>5623</v>
      </c>
      <c r="G2786" t="s">
        <v>583</v>
      </c>
      <c r="H2786" t="s">
        <v>14948</v>
      </c>
      <c r="I2786" t="s">
        <v>14949</v>
      </c>
      <c r="J2786" t="s">
        <v>583</v>
      </c>
      <c r="K2786" t="s">
        <v>14950</v>
      </c>
    </row>
    <row r="2787" spans="1:11" x14ac:dyDescent="0.25">
      <c r="A2787" s="123">
        <v>2786</v>
      </c>
      <c r="B2787" s="2">
        <v>2004</v>
      </c>
      <c r="C2787" s="122" t="s">
        <v>183</v>
      </c>
      <c r="D2787" t="s">
        <v>14341</v>
      </c>
      <c r="E2787" s="111" t="s">
        <v>14951</v>
      </c>
      <c r="F2787" t="s">
        <v>14952</v>
      </c>
      <c r="G2787" t="s">
        <v>14886</v>
      </c>
      <c r="H2787" s="80" t="s">
        <v>14953</v>
      </c>
      <c r="I2787" s="80" t="s">
        <v>14954</v>
      </c>
      <c r="J2787" t="s">
        <v>14685</v>
      </c>
      <c r="K2787" s="80" t="s">
        <v>14955</v>
      </c>
    </row>
    <row r="2788" spans="1:11" x14ac:dyDescent="0.25">
      <c r="A2788" s="123">
        <v>2787</v>
      </c>
      <c r="B2788" s="2">
        <v>2004</v>
      </c>
      <c r="C2788" s="122" t="s">
        <v>186</v>
      </c>
      <c r="D2788" t="s">
        <v>14659</v>
      </c>
      <c r="E2788" s="111" t="s">
        <v>14956</v>
      </c>
      <c r="F2788" s="80" t="s">
        <v>14957</v>
      </c>
      <c r="G2788" t="s">
        <v>14539</v>
      </c>
      <c r="H2788" s="111" t="s">
        <v>15745</v>
      </c>
      <c r="I2788" s="80" t="s">
        <v>14958</v>
      </c>
      <c r="J2788" t="s">
        <v>10548</v>
      </c>
      <c r="K2788" s="111" t="s">
        <v>14959</v>
      </c>
    </row>
    <row r="2789" spans="1:11" x14ac:dyDescent="0.25">
      <c r="A2789" s="123">
        <v>2788</v>
      </c>
      <c r="B2789" s="2">
        <v>2004</v>
      </c>
      <c r="C2789" s="125" t="s">
        <v>188</v>
      </c>
      <c r="D2789" t="s">
        <v>14575</v>
      </c>
      <c r="E2789" s="111" t="s">
        <v>14960</v>
      </c>
      <c r="F2789" t="s">
        <v>14961</v>
      </c>
      <c r="G2789" t="s">
        <v>14372</v>
      </c>
      <c r="H2789" t="s">
        <v>14962</v>
      </c>
      <c r="I2789" s="80" t="s">
        <v>14963</v>
      </c>
      <c r="J2789" t="s">
        <v>14542</v>
      </c>
      <c r="K2789" s="111" t="s">
        <v>14964</v>
      </c>
    </row>
    <row r="2790" spans="1:11" x14ac:dyDescent="0.25">
      <c r="A2790" s="123">
        <v>2789</v>
      </c>
      <c r="B2790" s="2">
        <v>2004</v>
      </c>
      <c r="C2790" s="125" t="s">
        <v>182</v>
      </c>
      <c r="D2790" t="s">
        <v>583</v>
      </c>
      <c r="E2790" t="s">
        <v>14965</v>
      </c>
      <c r="F2790" t="s">
        <v>5415</v>
      </c>
      <c r="G2790" t="s">
        <v>583</v>
      </c>
      <c r="H2790" t="s">
        <v>6179</v>
      </c>
      <c r="I2790" t="s">
        <v>14347</v>
      </c>
      <c r="J2790" t="s">
        <v>583</v>
      </c>
      <c r="K2790" t="s">
        <v>2549</v>
      </c>
    </row>
    <row r="2791" spans="1:11" x14ac:dyDescent="0.25">
      <c r="A2791" s="123">
        <v>2790</v>
      </c>
      <c r="B2791" s="2">
        <v>2004</v>
      </c>
      <c r="C2791" s="125" t="s">
        <v>184</v>
      </c>
      <c r="D2791" t="s">
        <v>14324</v>
      </c>
      <c r="E2791">
        <v>23490</v>
      </c>
      <c r="F2791" t="s">
        <v>2012</v>
      </c>
      <c r="G2791" t="s">
        <v>14394</v>
      </c>
      <c r="H2791" t="s">
        <v>14966</v>
      </c>
      <c r="I2791" s="80" t="s">
        <v>14967</v>
      </c>
      <c r="J2791" t="s">
        <v>14968</v>
      </c>
      <c r="K2791" t="s">
        <v>14969</v>
      </c>
    </row>
    <row r="2792" spans="1:11" x14ac:dyDescent="0.25">
      <c r="A2792" s="123">
        <v>2791</v>
      </c>
      <c r="B2792" s="2">
        <v>2004</v>
      </c>
      <c r="C2792" s="125" t="s">
        <v>187</v>
      </c>
      <c r="D2792" t="s">
        <v>14970</v>
      </c>
      <c r="E2792" t="s">
        <v>14971</v>
      </c>
      <c r="F2792" t="s">
        <v>14972</v>
      </c>
      <c r="G2792" t="s">
        <v>14372</v>
      </c>
      <c r="H2792" s="80" t="s">
        <v>14973</v>
      </c>
      <c r="I2792" s="80" t="s">
        <v>14974</v>
      </c>
      <c r="J2792" t="s">
        <v>14685</v>
      </c>
      <c r="K2792" s="80" t="s">
        <v>14092</v>
      </c>
    </row>
    <row r="2793" spans="1:11" x14ac:dyDescent="0.25">
      <c r="A2793" s="123">
        <v>2792</v>
      </c>
      <c r="B2793" s="2">
        <v>2004</v>
      </c>
      <c r="C2793" s="125" t="s">
        <v>189</v>
      </c>
      <c r="D2793" t="s">
        <v>14975</v>
      </c>
      <c r="E2793" t="s">
        <v>14976</v>
      </c>
      <c r="F2793" t="s">
        <v>14977</v>
      </c>
      <c r="G2793" t="s">
        <v>14445</v>
      </c>
      <c r="H2793" s="80" t="s">
        <v>14978</v>
      </c>
      <c r="I2793" s="80" t="s">
        <v>14979</v>
      </c>
      <c r="J2793" t="s">
        <v>14567</v>
      </c>
      <c r="K2793" s="80" t="s">
        <v>14980</v>
      </c>
    </row>
    <row r="2794" spans="1:11" x14ac:dyDescent="0.25">
      <c r="A2794" s="123">
        <v>2793</v>
      </c>
      <c r="B2794" s="2">
        <v>1004</v>
      </c>
      <c r="C2794" s="122" t="s">
        <v>162</v>
      </c>
      <c r="D2794" s="80">
        <v>0</v>
      </c>
      <c r="E2794" s="80" t="s">
        <v>14981</v>
      </c>
      <c r="F2794" t="s">
        <v>10524</v>
      </c>
      <c r="G2794" t="s">
        <v>7163</v>
      </c>
      <c r="H2794" t="s">
        <v>6179</v>
      </c>
      <c r="I2794" t="s">
        <v>14982</v>
      </c>
      <c r="J2794" t="s">
        <v>583</v>
      </c>
      <c r="K2794" t="s">
        <v>5949</v>
      </c>
    </row>
    <row r="2795" spans="1:11" x14ac:dyDescent="0.25">
      <c r="A2795" s="123">
        <v>2794</v>
      </c>
      <c r="B2795" s="2">
        <v>1004</v>
      </c>
      <c r="C2795" s="122" t="s">
        <v>170</v>
      </c>
      <c r="D2795" s="80" t="s">
        <v>6178</v>
      </c>
      <c r="E2795" s="80" t="s">
        <v>14983</v>
      </c>
      <c r="F2795" t="s">
        <v>14984</v>
      </c>
      <c r="G2795" t="s">
        <v>583</v>
      </c>
      <c r="H2795">
        <v>234</v>
      </c>
      <c r="I2795" s="80" t="s">
        <v>14985</v>
      </c>
      <c r="J2795" s="80" t="s">
        <v>6179</v>
      </c>
      <c r="K2795" t="s">
        <v>14986</v>
      </c>
    </row>
    <row r="2796" spans="1:11" x14ac:dyDescent="0.25">
      <c r="A2796" s="123">
        <v>2795</v>
      </c>
      <c r="B2796" s="2">
        <v>1004</v>
      </c>
      <c r="C2796" s="122" t="s">
        <v>178</v>
      </c>
      <c r="D2796" t="s">
        <v>8350</v>
      </c>
      <c r="E2796" s="80" t="s">
        <v>14987</v>
      </c>
      <c r="F2796" t="s">
        <v>14988</v>
      </c>
      <c r="G2796" t="s">
        <v>14445</v>
      </c>
      <c r="H2796" t="s">
        <v>14989</v>
      </c>
      <c r="I2796" s="80" t="s">
        <v>14990</v>
      </c>
      <c r="J2796" t="s">
        <v>14752</v>
      </c>
      <c r="K2796" t="s">
        <v>14991</v>
      </c>
    </row>
    <row r="2797" spans="1:11" x14ac:dyDescent="0.25">
      <c r="A2797" s="123">
        <v>2796</v>
      </c>
      <c r="B2797" s="2">
        <v>1004</v>
      </c>
      <c r="C2797" s="122" t="s">
        <v>163</v>
      </c>
      <c r="D2797" t="s">
        <v>14992</v>
      </c>
      <c r="E2797" s="111" t="s">
        <v>14993</v>
      </c>
      <c r="F2797" t="s">
        <v>14994</v>
      </c>
      <c r="G2797" t="s">
        <v>14372</v>
      </c>
      <c r="H2797" t="s">
        <v>14995</v>
      </c>
      <c r="I2797" s="80" t="s">
        <v>14996</v>
      </c>
      <c r="J2797" t="s">
        <v>10548</v>
      </c>
      <c r="K2797" s="80" t="s">
        <v>14997</v>
      </c>
    </row>
    <row r="2798" spans="1:11" x14ac:dyDescent="0.25">
      <c r="A2798" s="123">
        <v>2797</v>
      </c>
      <c r="B2798" s="2">
        <v>1004</v>
      </c>
      <c r="C2798" s="122" t="s">
        <v>181</v>
      </c>
      <c r="D2798" s="80">
        <v>0</v>
      </c>
      <c r="E2798" s="111" t="s">
        <v>14998</v>
      </c>
      <c r="F2798" t="s">
        <v>8754</v>
      </c>
      <c r="G2798" t="s">
        <v>583</v>
      </c>
      <c r="H2798" t="s">
        <v>14999</v>
      </c>
      <c r="I2798" t="s">
        <v>15000</v>
      </c>
      <c r="J2798" t="s">
        <v>583</v>
      </c>
      <c r="K2798" t="s">
        <v>15001</v>
      </c>
    </row>
    <row r="2799" spans="1:11" x14ac:dyDescent="0.25">
      <c r="A2799" s="123">
        <v>2798</v>
      </c>
      <c r="B2799" s="2">
        <v>1004</v>
      </c>
      <c r="C2799" s="122" t="s">
        <v>183</v>
      </c>
      <c r="D2799" t="s">
        <v>8350</v>
      </c>
      <c r="E2799" s="80" t="s">
        <v>15002</v>
      </c>
      <c r="F2799" t="s">
        <v>15003</v>
      </c>
      <c r="G2799" t="s">
        <v>12394</v>
      </c>
      <c r="H2799" t="s">
        <v>15004</v>
      </c>
      <c r="I2799" s="80" t="s">
        <v>15005</v>
      </c>
      <c r="J2799" t="s">
        <v>14725</v>
      </c>
      <c r="K2799" t="s">
        <v>15006</v>
      </c>
    </row>
    <row r="2800" spans="1:11" x14ac:dyDescent="0.25">
      <c r="A2800" s="123">
        <v>2799</v>
      </c>
      <c r="B2800" s="2">
        <v>1004</v>
      </c>
      <c r="C2800" s="122" t="s">
        <v>186</v>
      </c>
      <c r="D2800" t="s">
        <v>14415</v>
      </c>
      <c r="E2800" s="80" t="s">
        <v>15007</v>
      </c>
      <c r="F2800" t="s">
        <v>15008</v>
      </c>
      <c r="G2800" t="s">
        <v>5071</v>
      </c>
      <c r="H2800" s="80" t="s">
        <v>15009</v>
      </c>
      <c r="I2800" s="80" t="s">
        <v>15010</v>
      </c>
      <c r="J2800" t="s">
        <v>14426</v>
      </c>
      <c r="K2800" s="80" t="s">
        <v>15011</v>
      </c>
    </row>
    <row r="2801" spans="1:12" x14ac:dyDescent="0.25">
      <c r="A2801" s="123">
        <v>2800</v>
      </c>
      <c r="B2801" s="2">
        <v>1004</v>
      </c>
      <c r="C2801" s="125" t="s">
        <v>188</v>
      </c>
      <c r="D2801" t="s">
        <v>5095</v>
      </c>
      <c r="E2801" s="111" t="s">
        <v>15012</v>
      </c>
      <c r="F2801" t="s">
        <v>15013</v>
      </c>
      <c r="G2801" t="s">
        <v>14886</v>
      </c>
      <c r="H2801" s="80" t="s">
        <v>15014</v>
      </c>
      <c r="I2801" s="80" t="s">
        <v>15015</v>
      </c>
      <c r="J2801" t="s">
        <v>14950</v>
      </c>
      <c r="K2801" s="111" t="s">
        <v>15016</v>
      </c>
    </row>
    <row r="2802" spans="1:12" x14ac:dyDescent="0.25">
      <c r="A2802" s="123">
        <v>2801</v>
      </c>
      <c r="B2802" s="2">
        <v>1004</v>
      </c>
      <c r="C2802" s="125" t="s">
        <v>182</v>
      </c>
      <c r="D2802" t="s">
        <v>12057</v>
      </c>
      <c r="E2802" t="s">
        <v>15017</v>
      </c>
      <c r="F2802" t="s">
        <v>15018</v>
      </c>
      <c r="G2802" s="80" t="s">
        <v>3657</v>
      </c>
      <c r="H2802" t="s">
        <v>15019</v>
      </c>
      <c r="I2802" s="80" t="s">
        <v>15020</v>
      </c>
      <c r="J2802" t="s">
        <v>14504</v>
      </c>
      <c r="K2802" t="s">
        <v>15021</v>
      </c>
    </row>
    <row r="2803" spans="1:12" x14ac:dyDescent="0.25">
      <c r="A2803" s="123">
        <v>2802</v>
      </c>
      <c r="B2803" s="2">
        <v>1004</v>
      </c>
      <c r="C2803" s="125" t="s">
        <v>184</v>
      </c>
      <c r="D2803" t="s">
        <v>14408</v>
      </c>
      <c r="E2803" s="80" t="s">
        <v>15022</v>
      </c>
      <c r="F2803" t="s">
        <v>10500</v>
      </c>
      <c r="G2803" t="s">
        <v>14445</v>
      </c>
      <c r="H2803" s="80" t="s">
        <v>15023</v>
      </c>
      <c r="I2803" s="80" t="s">
        <v>15024</v>
      </c>
      <c r="J2803" t="s">
        <v>14968</v>
      </c>
      <c r="K2803" t="s">
        <v>9889</v>
      </c>
    </row>
    <row r="2804" spans="1:12" x14ac:dyDescent="0.25">
      <c r="A2804" s="123">
        <v>2803</v>
      </c>
      <c r="B2804" s="2">
        <v>1004</v>
      </c>
      <c r="C2804" s="125" t="s">
        <v>187</v>
      </c>
      <c r="D2804" t="s">
        <v>14349</v>
      </c>
      <c r="E2804" s="80" t="s">
        <v>15025</v>
      </c>
      <c r="F2804" t="s">
        <v>15026</v>
      </c>
      <c r="G2804" t="s">
        <v>14372</v>
      </c>
      <c r="H2804" s="80" t="s">
        <v>15027</v>
      </c>
      <c r="I2804" s="80" t="s">
        <v>15028</v>
      </c>
      <c r="J2804" t="s">
        <v>14725</v>
      </c>
      <c r="K2804" s="80" t="s">
        <v>15029</v>
      </c>
    </row>
    <row r="2805" spans="1:12" x14ac:dyDescent="0.25">
      <c r="A2805" s="123">
        <v>2804</v>
      </c>
      <c r="B2805" s="2">
        <v>1004</v>
      </c>
      <c r="C2805" s="125" t="s">
        <v>189</v>
      </c>
      <c r="D2805" t="s">
        <v>14786</v>
      </c>
      <c r="E2805" t="s">
        <v>15030</v>
      </c>
      <c r="F2805" t="s">
        <v>15031</v>
      </c>
      <c r="G2805" t="s">
        <v>14372</v>
      </c>
      <c r="H2805" s="80" t="s">
        <v>15032</v>
      </c>
      <c r="I2805" s="80" t="s">
        <v>15033</v>
      </c>
      <c r="J2805" t="s">
        <v>14591</v>
      </c>
      <c r="K2805" s="89" t="s">
        <v>582</v>
      </c>
    </row>
    <row r="2806" spans="1:12" x14ac:dyDescent="0.25">
      <c r="A2806" s="123">
        <v>2805</v>
      </c>
      <c r="B2806" s="2">
        <v>1005</v>
      </c>
      <c r="C2806" s="122" t="s">
        <v>162</v>
      </c>
      <c r="D2806" t="s">
        <v>11627</v>
      </c>
      <c r="E2806" s="80" t="s">
        <v>15034</v>
      </c>
      <c r="F2806" t="s">
        <v>15035</v>
      </c>
      <c r="G2806" t="s">
        <v>12437</v>
      </c>
      <c r="H2806" t="s">
        <v>15036</v>
      </c>
      <c r="I2806" s="80" t="s">
        <v>15037</v>
      </c>
      <c r="J2806" t="s">
        <v>14480</v>
      </c>
      <c r="K2806" t="s">
        <v>15038</v>
      </c>
    </row>
    <row r="2807" spans="1:12" x14ac:dyDescent="0.25">
      <c r="A2807" s="123">
        <v>2806</v>
      </c>
      <c r="B2807" s="2">
        <v>1005</v>
      </c>
      <c r="C2807" s="122" t="s">
        <v>170</v>
      </c>
      <c r="D2807" t="s">
        <v>11627</v>
      </c>
      <c r="E2807" s="80" t="s">
        <v>15039</v>
      </c>
      <c r="F2807" t="s">
        <v>9488</v>
      </c>
      <c r="G2807" s="80" t="s">
        <v>3657</v>
      </c>
      <c r="H2807" t="s">
        <v>15040</v>
      </c>
      <c r="I2807" s="80" t="s">
        <v>15041</v>
      </c>
      <c r="J2807" t="s">
        <v>14870</v>
      </c>
      <c r="K2807" t="s">
        <v>15042</v>
      </c>
    </row>
    <row r="2808" spans="1:12" x14ac:dyDescent="0.25">
      <c r="A2808" s="123">
        <v>2807</v>
      </c>
      <c r="B2808" s="2">
        <v>1005</v>
      </c>
      <c r="C2808" s="122" t="s">
        <v>178</v>
      </c>
      <c r="D2808" t="s">
        <v>14624</v>
      </c>
      <c r="E2808" s="80" t="s">
        <v>15043</v>
      </c>
      <c r="F2808" t="s">
        <v>15044</v>
      </c>
      <c r="G2808" t="s">
        <v>14394</v>
      </c>
      <c r="H2808" s="80" t="s">
        <v>15045</v>
      </c>
      <c r="I2808" s="80" t="s">
        <v>15046</v>
      </c>
      <c r="J2808" t="s">
        <v>6089</v>
      </c>
      <c r="K2808" t="s">
        <v>15047</v>
      </c>
    </row>
    <row r="2809" spans="1:12" x14ac:dyDescent="0.25">
      <c r="A2809" s="123">
        <v>2808</v>
      </c>
      <c r="B2809" s="2">
        <v>1005</v>
      </c>
      <c r="C2809" s="122" t="s">
        <v>163</v>
      </c>
      <c r="D2809" t="s">
        <v>14575</v>
      </c>
      <c r="E2809" s="111" t="s">
        <v>15048</v>
      </c>
      <c r="F2809" t="s">
        <v>15049</v>
      </c>
      <c r="G2809" t="s">
        <v>14394</v>
      </c>
      <c r="H2809" t="s">
        <v>15050</v>
      </c>
      <c r="I2809" s="80" t="s">
        <v>15051</v>
      </c>
      <c r="J2809" t="s">
        <v>14738</v>
      </c>
      <c r="K2809" s="111" t="s">
        <v>15052</v>
      </c>
    </row>
    <row r="2810" spans="1:12" x14ac:dyDescent="0.25">
      <c r="A2810" s="123">
        <v>2809</v>
      </c>
      <c r="B2810" s="2">
        <v>1005</v>
      </c>
      <c r="C2810" s="122" t="s">
        <v>181</v>
      </c>
      <c r="D2810" s="80">
        <v>0</v>
      </c>
      <c r="E2810" s="111" t="s">
        <v>15053</v>
      </c>
      <c r="F2810" t="s">
        <v>5623</v>
      </c>
      <c r="G2810" t="s">
        <v>583</v>
      </c>
      <c r="H2810" t="s">
        <v>15054</v>
      </c>
      <c r="I2810" t="s">
        <v>15055</v>
      </c>
      <c r="J2810" t="s">
        <v>6179</v>
      </c>
      <c r="K2810" t="s">
        <v>15056</v>
      </c>
      <c r="L2810" s="80"/>
    </row>
    <row r="2811" spans="1:12" x14ac:dyDescent="0.25">
      <c r="A2811" s="123">
        <v>2810</v>
      </c>
      <c r="B2811" s="2">
        <v>1005</v>
      </c>
      <c r="C2811" s="122" t="s">
        <v>183</v>
      </c>
      <c r="D2811" t="s">
        <v>3678</v>
      </c>
      <c r="E2811" s="80" t="s">
        <v>15057</v>
      </c>
      <c r="F2811" t="s">
        <v>15058</v>
      </c>
      <c r="G2811" t="s">
        <v>13599</v>
      </c>
      <c r="H2811" t="s">
        <v>15059</v>
      </c>
      <c r="I2811" s="80" t="s">
        <v>15060</v>
      </c>
      <c r="J2811" t="s">
        <v>6089</v>
      </c>
      <c r="K2811" t="s">
        <v>15061</v>
      </c>
    </row>
    <row r="2812" spans="1:12" x14ac:dyDescent="0.25">
      <c r="A2812" s="123">
        <v>2811</v>
      </c>
      <c r="B2812" s="2">
        <v>1005</v>
      </c>
      <c r="C2812" s="122" t="s">
        <v>186</v>
      </c>
      <c r="D2812" t="s">
        <v>14349</v>
      </c>
      <c r="E2812" s="80" t="s">
        <v>15062</v>
      </c>
      <c r="F2812" t="s">
        <v>15063</v>
      </c>
      <c r="G2812" t="s">
        <v>14394</v>
      </c>
      <c r="H2812" s="80" t="s">
        <v>15064</v>
      </c>
      <c r="I2812" s="80" t="s">
        <v>15065</v>
      </c>
      <c r="J2812" t="s">
        <v>8115</v>
      </c>
      <c r="K2812" s="80" t="s">
        <v>15066</v>
      </c>
    </row>
    <row r="2813" spans="1:12" x14ac:dyDescent="0.25">
      <c r="A2813" s="123">
        <v>2812</v>
      </c>
      <c r="B2813" s="2">
        <v>1005</v>
      </c>
      <c r="C2813" s="125" t="s">
        <v>188</v>
      </c>
      <c r="D2813" t="s">
        <v>14415</v>
      </c>
      <c r="E2813" s="111" t="s">
        <v>15067</v>
      </c>
      <c r="F2813" t="s">
        <v>15068</v>
      </c>
      <c r="G2813" t="s">
        <v>14394</v>
      </c>
      <c r="H2813" t="s">
        <v>15069</v>
      </c>
      <c r="I2813" s="80" t="s">
        <v>15070</v>
      </c>
      <c r="J2813" t="s">
        <v>10548</v>
      </c>
      <c r="K2813" s="111" t="s">
        <v>15071</v>
      </c>
    </row>
    <row r="2814" spans="1:12" x14ac:dyDescent="0.25">
      <c r="A2814" s="123">
        <v>2813</v>
      </c>
      <c r="B2814" s="2">
        <v>1005</v>
      </c>
      <c r="C2814" s="125" t="s">
        <v>182</v>
      </c>
      <c r="D2814" t="s">
        <v>583</v>
      </c>
      <c r="E2814" t="s">
        <v>15072</v>
      </c>
      <c r="F2814" t="s">
        <v>583</v>
      </c>
      <c r="G2814" t="s">
        <v>583</v>
      </c>
      <c r="H2814" t="s">
        <v>583</v>
      </c>
      <c r="I2814" t="s">
        <v>13104</v>
      </c>
      <c r="J2814" t="s">
        <v>583</v>
      </c>
      <c r="K2814" s="80" t="s">
        <v>2380</v>
      </c>
    </row>
    <row r="2815" spans="1:12" x14ac:dyDescent="0.25">
      <c r="A2815" s="123">
        <v>2814</v>
      </c>
      <c r="B2815" s="2">
        <v>1005</v>
      </c>
      <c r="C2815" s="125" t="s">
        <v>184</v>
      </c>
      <c r="D2815" t="s">
        <v>11627</v>
      </c>
      <c r="E2815" s="80" t="s">
        <v>15073</v>
      </c>
      <c r="F2815" t="s">
        <v>15074</v>
      </c>
      <c r="G2815" t="s">
        <v>14688</v>
      </c>
      <c r="H2815" t="s">
        <v>15075</v>
      </c>
      <c r="I2815" s="80" t="s">
        <v>15076</v>
      </c>
      <c r="J2815" t="s">
        <v>6257</v>
      </c>
      <c r="K2815" t="s">
        <v>15077</v>
      </c>
    </row>
    <row r="2816" spans="1:12" x14ac:dyDescent="0.25">
      <c r="A2816" s="123">
        <v>2815</v>
      </c>
      <c r="B2816" s="2">
        <v>1005</v>
      </c>
      <c r="C2816" s="125" t="s">
        <v>187</v>
      </c>
      <c r="D2816" t="s">
        <v>8350</v>
      </c>
      <c r="E2816" s="80" t="s">
        <v>15078</v>
      </c>
      <c r="F2816" t="s">
        <v>15079</v>
      </c>
      <c r="G2816" t="s">
        <v>12394</v>
      </c>
      <c r="H2816" t="s">
        <v>15080</v>
      </c>
      <c r="I2816" s="80" t="s">
        <v>15081</v>
      </c>
      <c r="J2816" t="s">
        <v>6089</v>
      </c>
      <c r="K2816" t="s">
        <v>15082</v>
      </c>
    </row>
    <row r="2817" spans="1:11" x14ac:dyDescent="0.25">
      <c r="A2817" s="123">
        <v>2816</v>
      </c>
      <c r="B2817" s="2">
        <v>1005</v>
      </c>
      <c r="C2817" s="125" t="s">
        <v>189</v>
      </c>
      <c r="D2817" t="s">
        <v>14408</v>
      </c>
      <c r="E2817" s="80" t="s">
        <v>15083</v>
      </c>
      <c r="F2817" t="s">
        <v>15084</v>
      </c>
      <c r="G2817" t="s">
        <v>12394</v>
      </c>
      <c r="H2817" s="80" t="s">
        <v>15085</v>
      </c>
      <c r="I2817" s="80" t="s">
        <v>15086</v>
      </c>
      <c r="J2817" t="s">
        <v>14968</v>
      </c>
      <c r="K2817" s="80" t="s">
        <v>15087</v>
      </c>
    </row>
    <row r="2818" spans="1:11" x14ac:dyDescent="0.25">
      <c r="A2818" s="123">
        <v>2817</v>
      </c>
      <c r="B2818" s="2">
        <v>1006</v>
      </c>
      <c r="C2818" s="122" t="s">
        <v>181</v>
      </c>
      <c r="D2818" t="s">
        <v>583</v>
      </c>
      <c r="E2818" s="111" t="s">
        <v>15088</v>
      </c>
      <c r="F2818" t="s">
        <v>2735</v>
      </c>
      <c r="G2818" t="s">
        <v>583</v>
      </c>
      <c r="H2818" t="s">
        <v>15089</v>
      </c>
      <c r="I2818" t="s">
        <v>15090</v>
      </c>
      <c r="J2818" t="s">
        <v>6179</v>
      </c>
      <c r="K2818" t="s">
        <v>15091</v>
      </c>
    </row>
    <row r="2819" spans="1:11" x14ac:dyDescent="0.25">
      <c r="A2819" s="123">
        <v>2818</v>
      </c>
      <c r="B2819" s="2">
        <v>1006</v>
      </c>
      <c r="C2819" s="122" t="s">
        <v>183</v>
      </c>
      <c r="D2819" t="s">
        <v>10527</v>
      </c>
      <c r="E2819" s="111" t="s">
        <v>15092</v>
      </c>
      <c r="F2819" t="s">
        <v>15093</v>
      </c>
      <c r="G2819" t="s">
        <v>14464</v>
      </c>
      <c r="H2819" s="80" t="s">
        <v>15094</v>
      </c>
      <c r="I2819" s="80" t="s">
        <v>15095</v>
      </c>
      <c r="J2819" t="s">
        <v>14773</v>
      </c>
      <c r="K2819" s="111" t="s">
        <v>15096</v>
      </c>
    </row>
    <row r="2820" spans="1:11" x14ac:dyDescent="0.25">
      <c r="A2820" s="123">
        <v>2819</v>
      </c>
      <c r="B2820" s="2">
        <v>1006</v>
      </c>
      <c r="C2820" s="122" t="s">
        <v>186</v>
      </c>
      <c r="D2820" t="s">
        <v>14349</v>
      </c>
      <c r="E2820" s="80" t="s">
        <v>15097</v>
      </c>
      <c r="F2820" s="80" t="s">
        <v>15098</v>
      </c>
      <c r="G2820" t="s">
        <v>14334</v>
      </c>
      <c r="H2820" s="80" t="s">
        <v>15099</v>
      </c>
      <c r="I2820" s="80" t="s">
        <v>15100</v>
      </c>
      <c r="J2820" t="s">
        <v>14814</v>
      </c>
      <c r="K2820" s="111" t="s">
        <v>15101</v>
      </c>
    </row>
    <row r="2821" spans="1:11" x14ac:dyDescent="0.25">
      <c r="A2821" s="123">
        <v>2820</v>
      </c>
      <c r="B2821" s="2">
        <v>1006</v>
      </c>
      <c r="C2821" s="125" t="s">
        <v>188</v>
      </c>
      <c r="D2821" t="s">
        <v>14575</v>
      </c>
      <c r="E2821" s="111" t="s">
        <v>15102</v>
      </c>
      <c r="F2821" t="s">
        <v>15103</v>
      </c>
      <c r="G2821" t="s">
        <v>5071</v>
      </c>
      <c r="H2821" t="s">
        <v>15104</v>
      </c>
      <c r="I2821" s="80">
        <v>84799</v>
      </c>
      <c r="J2821" t="s">
        <v>3313</v>
      </c>
      <c r="K2821" s="111" t="s">
        <v>15105</v>
      </c>
    </row>
    <row r="2822" spans="1:11" x14ac:dyDescent="0.25">
      <c r="A2822" s="123">
        <v>2821</v>
      </c>
      <c r="B2822" s="2">
        <v>1006</v>
      </c>
      <c r="C2822" s="125" t="s">
        <v>182</v>
      </c>
      <c r="D2822" s="80">
        <v>0</v>
      </c>
      <c r="E2822" t="s">
        <v>15106</v>
      </c>
      <c r="F2822" t="s">
        <v>1904</v>
      </c>
      <c r="G2822" t="s">
        <v>583</v>
      </c>
      <c r="H2822" t="s">
        <v>15107</v>
      </c>
      <c r="I2822" t="s">
        <v>15108</v>
      </c>
      <c r="J2822" t="s">
        <v>583</v>
      </c>
      <c r="K2822" t="s">
        <v>15109</v>
      </c>
    </row>
    <row r="2823" spans="1:11" x14ac:dyDescent="0.25">
      <c r="A2823" s="123">
        <v>2822</v>
      </c>
      <c r="B2823" s="2">
        <v>1006</v>
      </c>
      <c r="C2823" s="125" t="s">
        <v>184</v>
      </c>
      <c r="D2823" t="s">
        <v>10527</v>
      </c>
      <c r="E2823" s="80" t="s">
        <v>15110</v>
      </c>
      <c r="F2823" t="s">
        <v>6109</v>
      </c>
      <c r="G2823" t="s">
        <v>5071</v>
      </c>
      <c r="H2823" s="80" t="s">
        <v>15111</v>
      </c>
      <c r="I2823" s="80" t="s">
        <v>15112</v>
      </c>
      <c r="J2823" t="s">
        <v>14968</v>
      </c>
      <c r="K2823" t="s">
        <v>15113</v>
      </c>
    </row>
    <row r="2824" spans="1:11" x14ac:dyDescent="0.25">
      <c r="A2824" s="123">
        <v>2823</v>
      </c>
      <c r="B2824" s="2">
        <v>1006</v>
      </c>
      <c r="C2824" s="125" t="s">
        <v>187</v>
      </c>
      <c r="D2824" t="s">
        <v>5366</v>
      </c>
      <c r="E2824" s="80" t="s">
        <v>15114</v>
      </c>
      <c r="F2824" t="s">
        <v>15115</v>
      </c>
      <c r="G2824" t="s">
        <v>14394</v>
      </c>
      <c r="H2824" s="80" t="s">
        <v>15116</v>
      </c>
      <c r="I2824" s="80" t="s">
        <v>15117</v>
      </c>
      <c r="J2824" t="s">
        <v>15118</v>
      </c>
      <c r="K2824" s="80" t="s">
        <v>15119</v>
      </c>
    </row>
    <row r="2825" spans="1:11" x14ac:dyDescent="0.25">
      <c r="A2825" s="123">
        <v>2824</v>
      </c>
      <c r="B2825" s="2">
        <v>1006</v>
      </c>
      <c r="C2825" s="125" t="s">
        <v>189</v>
      </c>
      <c r="D2825" t="s">
        <v>8350</v>
      </c>
      <c r="E2825" s="80" t="s">
        <v>15120</v>
      </c>
      <c r="F2825" t="s">
        <v>6662</v>
      </c>
      <c r="G2825" t="s">
        <v>14445</v>
      </c>
      <c r="H2825" s="80" t="s">
        <v>15121</v>
      </c>
      <c r="I2825" s="80" t="s">
        <v>15122</v>
      </c>
      <c r="J2825" t="s">
        <v>15118</v>
      </c>
      <c r="K2825" s="80" t="s">
        <v>15123</v>
      </c>
    </row>
    <row r="2826" spans="1:11" x14ac:dyDescent="0.25">
      <c r="A2826" s="123">
        <v>2825</v>
      </c>
      <c r="B2826" s="2">
        <v>1007</v>
      </c>
      <c r="C2826" s="122" t="s">
        <v>162</v>
      </c>
      <c r="D2826" t="s">
        <v>583</v>
      </c>
      <c r="E2826" t="s">
        <v>15124</v>
      </c>
      <c r="F2826" t="s">
        <v>7243</v>
      </c>
      <c r="G2826" t="s">
        <v>583</v>
      </c>
      <c r="H2826" s="80" t="s">
        <v>6237</v>
      </c>
      <c r="I2826" t="s">
        <v>11627</v>
      </c>
      <c r="J2826" t="s">
        <v>583</v>
      </c>
      <c r="K2826" t="s">
        <v>10101</v>
      </c>
    </row>
    <row r="2827" spans="1:11" x14ac:dyDescent="0.25">
      <c r="A2827" s="123">
        <v>2826</v>
      </c>
      <c r="B2827" s="2">
        <v>1007</v>
      </c>
      <c r="C2827" s="122" t="s">
        <v>170</v>
      </c>
      <c r="D2827" t="s">
        <v>5698</v>
      </c>
      <c r="E2827" t="s">
        <v>15125</v>
      </c>
      <c r="F2827" t="s">
        <v>15126</v>
      </c>
      <c r="G2827" t="s">
        <v>14445</v>
      </c>
      <c r="H2827" t="s">
        <v>15127</v>
      </c>
      <c r="I2827" s="80" t="s">
        <v>15128</v>
      </c>
      <c r="J2827" t="s">
        <v>14752</v>
      </c>
      <c r="K2827" t="s">
        <v>15129</v>
      </c>
    </row>
    <row r="2828" spans="1:11" x14ac:dyDescent="0.25">
      <c r="A2828" s="123">
        <v>2827</v>
      </c>
      <c r="B2828" s="2">
        <v>1007</v>
      </c>
      <c r="C2828" s="122" t="s">
        <v>178</v>
      </c>
      <c r="D2828" t="s">
        <v>15130</v>
      </c>
      <c r="E2828" t="s">
        <v>15131</v>
      </c>
      <c r="F2828" t="s">
        <v>15132</v>
      </c>
      <c r="G2828" t="s">
        <v>14438</v>
      </c>
      <c r="H2828" t="s">
        <v>15133</v>
      </c>
      <c r="I2828" s="80" t="s">
        <v>15134</v>
      </c>
      <c r="J2828" t="s">
        <v>6089</v>
      </c>
      <c r="K2828" t="s">
        <v>15135</v>
      </c>
    </row>
    <row r="2829" spans="1:11" x14ac:dyDescent="0.25">
      <c r="A2829" s="123">
        <v>2828</v>
      </c>
      <c r="B2829" s="2">
        <v>1007</v>
      </c>
      <c r="C2829" s="122" t="s">
        <v>163</v>
      </c>
      <c r="D2829" t="s">
        <v>15136</v>
      </c>
      <c r="E2829" t="s">
        <v>15137</v>
      </c>
      <c r="F2829" t="s">
        <v>15138</v>
      </c>
      <c r="G2829" t="s">
        <v>14496</v>
      </c>
      <c r="H2829" t="s">
        <v>15139</v>
      </c>
      <c r="I2829" s="80" t="s">
        <v>15140</v>
      </c>
      <c r="J2829" t="s">
        <v>14685</v>
      </c>
      <c r="K2829" s="80" t="s">
        <v>13767</v>
      </c>
    </row>
    <row r="2830" spans="1:11" x14ac:dyDescent="0.25">
      <c r="A2830" s="123">
        <v>2829</v>
      </c>
      <c r="B2830" s="2">
        <v>1007</v>
      </c>
      <c r="C2830" s="122" t="s">
        <v>181</v>
      </c>
      <c r="D2830" t="s">
        <v>2075</v>
      </c>
      <c r="E2830" s="111" t="s">
        <v>15141</v>
      </c>
      <c r="F2830" t="s">
        <v>12760</v>
      </c>
      <c r="G2830" t="s">
        <v>12437</v>
      </c>
      <c r="H2830" t="s">
        <v>15142</v>
      </c>
      <c r="I2830" t="s">
        <v>15143</v>
      </c>
      <c r="J2830" t="s">
        <v>583</v>
      </c>
      <c r="K2830" t="s">
        <v>15144</v>
      </c>
    </row>
    <row r="2831" spans="1:11" x14ac:dyDescent="0.25">
      <c r="A2831" s="123">
        <v>2830</v>
      </c>
      <c r="B2831" s="2">
        <v>1007</v>
      </c>
      <c r="C2831" s="122" t="s">
        <v>183</v>
      </c>
      <c r="D2831" t="s">
        <v>10527</v>
      </c>
      <c r="E2831" s="111" t="s">
        <v>15145</v>
      </c>
      <c r="F2831" s="80" t="s">
        <v>15146</v>
      </c>
      <c r="G2831" t="s">
        <v>14344</v>
      </c>
      <c r="H2831" s="80" t="s">
        <v>15147</v>
      </c>
      <c r="I2831" s="80" t="s">
        <v>15148</v>
      </c>
      <c r="J2831" t="s">
        <v>14347</v>
      </c>
      <c r="K2831" t="s">
        <v>15149</v>
      </c>
    </row>
    <row r="2832" spans="1:11" x14ac:dyDescent="0.25">
      <c r="A2832" s="123">
        <v>2831</v>
      </c>
      <c r="B2832" s="2">
        <v>1007</v>
      </c>
      <c r="C2832" s="122" t="s">
        <v>186</v>
      </c>
      <c r="D2832" t="s">
        <v>14624</v>
      </c>
      <c r="E2832" s="80" t="s">
        <v>15150</v>
      </c>
      <c r="F2832" s="80" t="s">
        <v>15151</v>
      </c>
      <c r="G2832" t="s">
        <v>14546</v>
      </c>
      <c r="H2832" s="80" t="s">
        <v>15152</v>
      </c>
      <c r="I2832" s="80" t="s">
        <v>15153</v>
      </c>
      <c r="J2832" t="s">
        <v>8115</v>
      </c>
      <c r="K2832" t="s">
        <v>15154</v>
      </c>
    </row>
    <row r="2833" spans="1:11" x14ac:dyDescent="0.25">
      <c r="A2833" s="123">
        <v>2832</v>
      </c>
      <c r="B2833" s="2">
        <v>1007</v>
      </c>
      <c r="C2833" s="125" t="s">
        <v>188</v>
      </c>
      <c r="D2833" t="s">
        <v>14624</v>
      </c>
      <c r="E2833" s="111" t="s">
        <v>15155</v>
      </c>
      <c r="F2833" t="s">
        <v>15156</v>
      </c>
      <c r="G2833" t="s">
        <v>14464</v>
      </c>
      <c r="H2833" t="s">
        <v>15157</v>
      </c>
      <c r="I2833" s="80" t="s">
        <v>15158</v>
      </c>
      <c r="J2833" t="s">
        <v>10548</v>
      </c>
      <c r="K2833" s="80" t="s">
        <v>15159</v>
      </c>
    </row>
    <row r="2834" spans="1:11" x14ac:dyDescent="0.25">
      <c r="A2834" s="123">
        <v>2833</v>
      </c>
      <c r="B2834" s="2">
        <v>1007</v>
      </c>
      <c r="C2834" s="125" t="s">
        <v>182</v>
      </c>
      <c r="D2834" t="s">
        <v>583</v>
      </c>
      <c r="E2834" t="s">
        <v>15160</v>
      </c>
      <c r="F2834" t="s">
        <v>2194</v>
      </c>
      <c r="G2834" t="s">
        <v>583</v>
      </c>
      <c r="H2834" s="80" t="s">
        <v>6237</v>
      </c>
      <c r="I2834" t="s">
        <v>15161</v>
      </c>
      <c r="J2834" t="s">
        <v>583</v>
      </c>
      <c r="K2834" t="s">
        <v>9747</v>
      </c>
    </row>
    <row r="2835" spans="1:11" x14ac:dyDescent="0.25">
      <c r="A2835" s="123">
        <v>2834</v>
      </c>
      <c r="B2835" s="2">
        <v>1007</v>
      </c>
      <c r="C2835" s="125" t="s">
        <v>184</v>
      </c>
      <c r="D2835" t="s">
        <v>3155</v>
      </c>
      <c r="E2835" t="s">
        <v>15162</v>
      </c>
      <c r="F2835" t="s">
        <v>15163</v>
      </c>
      <c r="G2835" t="s">
        <v>12437</v>
      </c>
      <c r="H2835" t="s">
        <v>15164</v>
      </c>
      <c r="I2835" s="80" t="s">
        <v>15165</v>
      </c>
      <c r="J2835" t="s">
        <v>14480</v>
      </c>
      <c r="K2835" t="s">
        <v>15166</v>
      </c>
    </row>
    <row r="2836" spans="1:11" x14ac:dyDescent="0.25">
      <c r="A2836" s="123">
        <v>2835</v>
      </c>
      <c r="B2836" s="2">
        <v>1007</v>
      </c>
      <c r="C2836" s="125" t="s">
        <v>187</v>
      </c>
      <c r="D2836" t="s">
        <v>15167</v>
      </c>
      <c r="E2836" t="s">
        <v>15168</v>
      </c>
      <c r="F2836" t="s">
        <v>15169</v>
      </c>
      <c r="G2836" s="80" t="s">
        <v>3657</v>
      </c>
      <c r="H2836" t="s">
        <v>15170</v>
      </c>
      <c r="I2836" s="80" t="s">
        <v>15171</v>
      </c>
      <c r="J2836" t="s">
        <v>14791</v>
      </c>
      <c r="K2836" t="s">
        <v>15172</v>
      </c>
    </row>
    <row r="2837" spans="1:11" x14ac:dyDescent="0.25">
      <c r="A2837" s="123">
        <v>2836</v>
      </c>
      <c r="B2837" s="2">
        <v>1007</v>
      </c>
      <c r="C2837" s="125" t="s">
        <v>189</v>
      </c>
      <c r="D2837" t="s">
        <v>14624</v>
      </c>
      <c r="E2837" t="s">
        <v>15173</v>
      </c>
      <c r="F2837" t="s">
        <v>13580</v>
      </c>
      <c r="G2837" t="s">
        <v>14688</v>
      </c>
      <c r="H2837" t="s">
        <v>15174</v>
      </c>
      <c r="I2837" s="80" t="s">
        <v>15175</v>
      </c>
      <c r="J2837" t="s">
        <v>14614</v>
      </c>
      <c r="K2837" t="s">
        <v>15176</v>
      </c>
    </row>
    <row r="2838" spans="1:11" x14ac:dyDescent="0.25">
      <c r="A2838" s="123">
        <v>2837</v>
      </c>
      <c r="B2838" s="2">
        <v>1009</v>
      </c>
      <c r="C2838" s="125" t="s">
        <v>182</v>
      </c>
      <c r="D2838" s="80" t="s">
        <v>6178</v>
      </c>
      <c r="E2838" t="s">
        <v>15177</v>
      </c>
      <c r="F2838" t="s">
        <v>6962</v>
      </c>
      <c r="G2838" t="s">
        <v>14688</v>
      </c>
      <c r="H2838" t="s">
        <v>15178</v>
      </c>
      <c r="I2838" s="80" t="s">
        <v>15179</v>
      </c>
      <c r="J2838" t="s">
        <v>14870</v>
      </c>
      <c r="K2838" t="s">
        <v>15180</v>
      </c>
    </row>
    <row r="2839" spans="1:11" x14ac:dyDescent="0.25">
      <c r="A2839" s="123">
        <v>2838</v>
      </c>
      <c r="B2839" s="2">
        <v>1009</v>
      </c>
      <c r="C2839" s="125" t="s">
        <v>184</v>
      </c>
      <c r="D2839" t="s">
        <v>7640</v>
      </c>
      <c r="E2839" s="80" t="s">
        <v>15181</v>
      </c>
      <c r="F2839" t="s">
        <v>15182</v>
      </c>
      <c r="G2839" t="s">
        <v>12437</v>
      </c>
      <c r="H2839" t="s">
        <v>15183</v>
      </c>
      <c r="I2839" s="80" t="s">
        <v>15184</v>
      </c>
      <c r="J2839" t="s">
        <v>14752</v>
      </c>
      <c r="K2839" t="s">
        <v>15185</v>
      </c>
    </row>
    <row r="2840" spans="1:11" x14ac:dyDescent="0.25">
      <c r="A2840" s="123">
        <v>2839</v>
      </c>
      <c r="B2840" s="2">
        <v>1009</v>
      </c>
      <c r="C2840" s="125" t="s">
        <v>187</v>
      </c>
      <c r="D2840" t="s">
        <v>3678</v>
      </c>
      <c r="E2840" t="s">
        <v>15186</v>
      </c>
      <c r="F2840" t="s">
        <v>6733</v>
      </c>
      <c r="G2840" t="s">
        <v>14445</v>
      </c>
      <c r="H2840" t="s">
        <v>15187</v>
      </c>
      <c r="I2840" s="80" t="s">
        <v>15188</v>
      </c>
      <c r="J2840" t="s">
        <v>14968</v>
      </c>
      <c r="K2840" t="s">
        <v>15189</v>
      </c>
    </row>
    <row r="2841" spans="1:11" x14ac:dyDescent="0.25">
      <c r="A2841" s="123">
        <v>2840</v>
      </c>
      <c r="B2841" s="2">
        <v>1009</v>
      </c>
      <c r="C2841" s="125" t="s">
        <v>189</v>
      </c>
      <c r="D2841" t="s">
        <v>15190</v>
      </c>
      <c r="E2841" t="s">
        <v>15191</v>
      </c>
      <c r="F2841" t="s">
        <v>2496</v>
      </c>
      <c r="G2841" t="s">
        <v>12394</v>
      </c>
      <c r="H2841">
        <v>7158</v>
      </c>
      <c r="I2841" s="80" t="s">
        <v>15192</v>
      </c>
      <c r="J2841" t="s">
        <v>14504</v>
      </c>
      <c r="K2841" t="s">
        <v>15193</v>
      </c>
    </row>
    <row r="2842" spans="1:11" x14ac:dyDescent="0.25">
      <c r="A2842" s="123">
        <v>2841</v>
      </c>
      <c r="B2842" s="2">
        <v>1010</v>
      </c>
      <c r="C2842" s="122" t="s">
        <v>181</v>
      </c>
      <c r="D2842" s="80" t="s">
        <v>6178</v>
      </c>
      <c r="E2842" s="80" t="s">
        <v>15194</v>
      </c>
      <c r="F2842">
        <v>11</v>
      </c>
      <c r="G2842" t="s">
        <v>12437</v>
      </c>
      <c r="H2842" t="s">
        <v>15195</v>
      </c>
      <c r="I2842" t="s">
        <v>15196</v>
      </c>
      <c r="J2842" t="s">
        <v>583</v>
      </c>
      <c r="K2842" t="s">
        <v>8309</v>
      </c>
    </row>
    <row r="2843" spans="1:11" x14ac:dyDescent="0.25">
      <c r="A2843" s="123">
        <v>2842</v>
      </c>
      <c r="B2843" s="2">
        <v>1010</v>
      </c>
      <c r="C2843" s="122" t="s">
        <v>183</v>
      </c>
      <c r="D2843" t="s">
        <v>14624</v>
      </c>
      <c r="E2843" s="111" t="s">
        <v>15197</v>
      </c>
      <c r="F2843" t="s">
        <v>15198</v>
      </c>
      <c r="G2843" t="s">
        <v>15199</v>
      </c>
      <c r="H2843" t="s">
        <v>15200</v>
      </c>
      <c r="I2843" s="80" t="s">
        <v>15201</v>
      </c>
      <c r="J2843" t="s">
        <v>14773</v>
      </c>
      <c r="K2843" s="80" t="s">
        <v>11620</v>
      </c>
    </row>
    <row r="2844" spans="1:11" x14ac:dyDescent="0.25">
      <c r="A2844" s="123">
        <v>2843</v>
      </c>
      <c r="B2844" s="2">
        <v>1010</v>
      </c>
      <c r="C2844" s="122" t="s">
        <v>186</v>
      </c>
      <c r="D2844" t="s">
        <v>14575</v>
      </c>
      <c r="E2844" s="111" t="s">
        <v>15202</v>
      </c>
      <c r="F2844" s="80" t="s">
        <v>15203</v>
      </c>
      <c r="G2844" t="s">
        <v>15204</v>
      </c>
      <c r="H2844" s="80" t="s">
        <v>15205</v>
      </c>
      <c r="I2844" s="80" t="s">
        <v>15206</v>
      </c>
      <c r="J2844" t="s">
        <v>14814</v>
      </c>
      <c r="K2844" s="111" t="s">
        <v>15207</v>
      </c>
    </row>
    <row r="2845" spans="1:11" x14ac:dyDescent="0.25">
      <c r="A2845" s="123">
        <v>2844</v>
      </c>
      <c r="B2845" s="2">
        <v>1010</v>
      </c>
      <c r="C2845" s="125" t="s">
        <v>188</v>
      </c>
      <c r="D2845" t="s">
        <v>15208</v>
      </c>
      <c r="E2845" s="111" t="s">
        <v>15209</v>
      </c>
      <c r="F2845" t="s">
        <v>15210</v>
      </c>
      <c r="G2845" t="s">
        <v>12257</v>
      </c>
      <c r="H2845" s="80" t="s">
        <v>15211</v>
      </c>
      <c r="I2845" s="80" t="s">
        <v>15212</v>
      </c>
      <c r="J2845" t="s">
        <v>14839</v>
      </c>
      <c r="K2845" s="111" t="s">
        <v>15213</v>
      </c>
    </row>
    <row r="2846" spans="1:11" x14ac:dyDescent="0.25">
      <c r="A2846" s="123">
        <v>2845</v>
      </c>
      <c r="B2846" s="2">
        <v>1010</v>
      </c>
      <c r="C2846" s="125" t="s">
        <v>182</v>
      </c>
      <c r="D2846" t="s">
        <v>583</v>
      </c>
      <c r="E2846" t="s">
        <v>15214</v>
      </c>
      <c r="F2846" t="s">
        <v>2548</v>
      </c>
      <c r="G2846" t="s">
        <v>583</v>
      </c>
      <c r="H2846" t="s">
        <v>15215</v>
      </c>
      <c r="I2846" t="s">
        <v>15216</v>
      </c>
      <c r="J2846" s="80" t="s">
        <v>6179</v>
      </c>
      <c r="K2846" t="s">
        <v>1857</v>
      </c>
    </row>
    <row r="2847" spans="1:11" x14ac:dyDescent="0.25">
      <c r="A2847" s="123">
        <v>2846</v>
      </c>
      <c r="B2847" s="2">
        <v>1010</v>
      </c>
      <c r="C2847" s="125" t="s">
        <v>184</v>
      </c>
      <c r="D2847" t="s">
        <v>15217</v>
      </c>
      <c r="E2847" t="s">
        <v>15218</v>
      </c>
      <c r="F2847" t="s">
        <v>15219</v>
      </c>
      <c r="G2847" t="s">
        <v>14688</v>
      </c>
      <c r="H2847" t="s">
        <v>15220</v>
      </c>
      <c r="I2847" s="80" t="s">
        <v>15221</v>
      </c>
      <c r="J2847" t="s">
        <v>14752</v>
      </c>
      <c r="K2847" t="s">
        <v>15222</v>
      </c>
    </row>
    <row r="2848" spans="1:11" x14ac:dyDescent="0.25">
      <c r="A2848" s="123">
        <v>2847</v>
      </c>
      <c r="B2848" s="2">
        <v>1010</v>
      </c>
      <c r="C2848" s="125" t="s">
        <v>187</v>
      </c>
      <c r="D2848" t="s">
        <v>15223</v>
      </c>
      <c r="E2848" t="s">
        <v>15224</v>
      </c>
      <c r="F2848" t="s">
        <v>15225</v>
      </c>
      <c r="G2848" t="s">
        <v>14445</v>
      </c>
      <c r="H2848" t="s">
        <v>15226</v>
      </c>
      <c r="I2848" s="80" t="s">
        <v>15227</v>
      </c>
      <c r="J2848" t="s">
        <v>14441</v>
      </c>
      <c r="K2848" t="s">
        <v>15228</v>
      </c>
    </row>
    <row r="2849" spans="1:11" x14ac:dyDescent="0.25">
      <c r="A2849" s="123">
        <v>2848</v>
      </c>
      <c r="B2849" s="2">
        <v>1010</v>
      </c>
      <c r="C2849" s="125" t="s">
        <v>189</v>
      </c>
      <c r="D2849" t="s">
        <v>7640</v>
      </c>
      <c r="E2849" t="s">
        <v>15229</v>
      </c>
      <c r="F2849" t="s">
        <v>7639</v>
      </c>
      <c r="G2849" t="s">
        <v>14688</v>
      </c>
      <c r="H2849" t="s">
        <v>15230</v>
      </c>
      <c r="I2849" s="80" t="s">
        <v>15231</v>
      </c>
      <c r="J2849" t="s">
        <v>14752</v>
      </c>
      <c r="K2849" t="s">
        <v>15232</v>
      </c>
    </row>
    <row r="2850" spans="1:11" x14ac:dyDescent="0.25">
      <c r="A2850" s="123">
        <v>2849</v>
      </c>
      <c r="B2850" s="2">
        <v>1011</v>
      </c>
      <c r="C2850" s="122" t="s">
        <v>181</v>
      </c>
      <c r="D2850" t="s">
        <v>15217</v>
      </c>
      <c r="E2850" s="80" t="s">
        <v>15233</v>
      </c>
      <c r="F2850" t="s">
        <v>15234</v>
      </c>
      <c r="G2850" t="s">
        <v>14688</v>
      </c>
      <c r="H2850" t="s">
        <v>15235</v>
      </c>
      <c r="I2850" s="80" t="s">
        <v>15236</v>
      </c>
      <c r="J2850" t="s">
        <v>14614</v>
      </c>
      <c r="K2850" t="s">
        <v>15237</v>
      </c>
    </row>
    <row r="2851" spans="1:11" x14ac:dyDescent="0.25">
      <c r="A2851" s="123">
        <v>2850</v>
      </c>
      <c r="B2851" s="2">
        <v>1011</v>
      </c>
      <c r="C2851" s="122" t="s">
        <v>183</v>
      </c>
      <c r="D2851" t="s">
        <v>14720</v>
      </c>
      <c r="E2851" s="80" t="s">
        <v>15238</v>
      </c>
      <c r="F2851" t="s">
        <v>15239</v>
      </c>
      <c r="G2851" t="s">
        <v>14394</v>
      </c>
      <c r="H2851" t="s">
        <v>15240</v>
      </c>
      <c r="I2851" s="80">
        <v>80233</v>
      </c>
      <c r="J2851" t="s">
        <v>14725</v>
      </c>
      <c r="K2851" t="s">
        <v>15241</v>
      </c>
    </row>
    <row r="2852" spans="1:11" x14ac:dyDescent="0.25">
      <c r="A2852" s="123">
        <v>2851</v>
      </c>
      <c r="B2852" s="2">
        <v>1011</v>
      </c>
      <c r="C2852" s="122" t="s">
        <v>186</v>
      </c>
      <c r="D2852" t="s">
        <v>14720</v>
      </c>
      <c r="E2852" s="80" t="s">
        <v>15242</v>
      </c>
      <c r="F2852" t="s">
        <v>15243</v>
      </c>
      <c r="G2852" t="s">
        <v>14438</v>
      </c>
      <c r="H2852" t="s">
        <v>15244</v>
      </c>
      <c r="I2852" s="80" t="s">
        <v>15245</v>
      </c>
      <c r="J2852" t="s">
        <v>8115</v>
      </c>
      <c r="K2852" s="80" t="s">
        <v>15246</v>
      </c>
    </row>
    <row r="2853" spans="1:11" x14ac:dyDescent="0.25">
      <c r="A2853" s="123">
        <v>2852</v>
      </c>
      <c r="B2853" s="2">
        <v>1011</v>
      </c>
      <c r="C2853" s="125" t="s">
        <v>188</v>
      </c>
      <c r="D2853" t="s">
        <v>14720</v>
      </c>
      <c r="E2853" s="80" t="s">
        <v>15247</v>
      </c>
      <c r="F2853" t="s">
        <v>15248</v>
      </c>
      <c r="G2853" t="s">
        <v>14438</v>
      </c>
      <c r="H2853" t="s">
        <v>15249</v>
      </c>
      <c r="I2853" s="80" t="s">
        <v>15250</v>
      </c>
      <c r="J2853" t="s">
        <v>14504</v>
      </c>
      <c r="K2853" t="s">
        <v>15251</v>
      </c>
    </row>
    <row r="2854" spans="1:11" x14ac:dyDescent="0.25">
      <c r="A2854" s="123">
        <v>2853</v>
      </c>
      <c r="B2854" s="2">
        <v>1011</v>
      </c>
      <c r="C2854" s="125" t="s">
        <v>182</v>
      </c>
      <c r="D2854" s="80" t="s">
        <v>6178</v>
      </c>
      <c r="E2854" t="s">
        <v>15252</v>
      </c>
      <c r="F2854" t="s">
        <v>14311</v>
      </c>
      <c r="G2854" t="s">
        <v>12437</v>
      </c>
      <c r="H2854" t="s">
        <v>15253</v>
      </c>
      <c r="I2854" s="80" t="s">
        <v>15254</v>
      </c>
      <c r="J2854" s="80" t="s">
        <v>5467</v>
      </c>
      <c r="K2854" t="s">
        <v>15255</v>
      </c>
    </row>
    <row r="2855" spans="1:11" x14ac:dyDescent="0.25">
      <c r="A2855" s="123">
        <v>2854</v>
      </c>
      <c r="B2855" s="2">
        <v>1011</v>
      </c>
      <c r="C2855" s="125" t="s">
        <v>184</v>
      </c>
      <c r="D2855" t="s">
        <v>15217</v>
      </c>
      <c r="E2855" t="s">
        <v>15256</v>
      </c>
      <c r="F2855" t="s">
        <v>15257</v>
      </c>
      <c r="G2855" t="s">
        <v>14445</v>
      </c>
      <c r="H2855" t="s">
        <v>15258</v>
      </c>
      <c r="I2855" s="80" t="s">
        <v>15259</v>
      </c>
      <c r="J2855" t="s">
        <v>14614</v>
      </c>
      <c r="K2855" t="s">
        <v>15260</v>
      </c>
    </row>
    <row r="2856" spans="1:11" x14ac:dyDescent="0.25">
      <c r="A2856" s="123">
        <v>2855</v>
      </c>
      <c r="B2856" s="2">
        <v>1011</v>
      </c>
      <c r="C2856" s="125" t="s">
        <v>187</v>
      </c>
      <c r="D2856" t="s">
        <v>15261</v>
      </c>
      <c r="E2856" t="s">
        <v>15262</v>
      </c>
      <c r="F2856" t="s">
        <v>15263</v>
      </c>
      <c r="G2856" t="s">
        <v>4368</v>
      </c>
      <c r="H2856" s="80" t="s">
        <v>15264</v>
      </c>
      <c r="I2856" s="80" t="s">
        <v>15265</v>
      </c>
      <c r="J2856" t="s">
        <v>14441</v>
      </c>
      <c r="K2856" t="s">
        <v>15266</v>
      </c>
    </row>
    <row r="2857" spans="1:11" x14ac:dyDescent="0.25">
      <c r="A2857" s="123">
        <v>2856</v>
      </c>
      <c r="B2857" s="2">
        <v>1011</v>
      </c>
      <c r="C2857" s="125" t="s">
        <v>189</v>
      </c>
      <c r="D2857" t="s">
        <v>15217</v>
      </c>
      <c r="E2857" t="s">
        <v>15267</v>
      </c>
      <c r="F2857" t="s">
        <v>15268</v>
      </c>
      <c r="G2857" t="s">
        <v>14445</v>
      </c>
      <c r="H2857" t="s">
        <v>15269</v>
      </c>
      <c r="I2857" s="80" t="s">
        <v>15270</v>
      </c>
      <c r="J2857" t="s">
        <v>6045</v>
      </c>
      <c r="K2857" t="s">
        <v>15271</v>
      </c>
    </row>
    <row r="2858" spans="1:11" x14ac:dyDescent="0.25">
      <c r="A2858" s="123">
        <v>2857</v>
      </c>
      <c r="B2858" s="2" t="s">
        <v>686</v>
      </c>
      <c r="C2858" s="122" t="s">
        <v>162</v>
      </c>
      <c r="D2858" t="s">
        <v>583</v>
      </c>
      <c r="E2858" t="s">
        <v>15272</v>
      </c>
      <c r="F2858" t="s">
        <v>1387</v>
      </c>
      <c r="G2858" t="s">
        <v>583</v>
      </c>
      <c r="H2858" t="s">
        <v>5793</v>
      </c>
      <c r="I2858" t="s">
        <v>6741</v>
      </c>
      <c r="J2858" t="s">
        <v>583</v>
      </c>
      <c r="K2858" t="s">
        <v>6842</v>
      </c>
    </row>
    <row r="2859" spans="1:11" x14ac:dyDescent="0.25">
      <c r="A2859" s="123">
        <v>2858</v>
      </c>
      <c r="B2859" s="2" t="s">
        <v>686</v>
      </c>
      <c r="C2859" s="122" t="s">
        <v>170</v>
      </c>
      <c r="D2859" t="s">
        <v>15273</v>
      </c>
      <c r="E2859" s="80" t="s">
        <v>15274</v>
      </c>
      <c r="F2859" t="s">
        <v>15275</v>
      </c>
      <c r="G2859" t="s">
        <v>12394</v>
      </c>
      <c r="H2859" t="s">
        <v>15276</v>
      </c>
      <c r="I2859" s="80" t="s">
        <v>15277</v>
      </c>
      <c r="J2859" t="s">
        <v>6089</v>
      </c>
      <c r="K2859" t="s">
        <v>15278</v>
      </c>
    </row>
    <row r="2860" spans="1:11" x14ac:dyDescent="0.25">
      <c r="A2860" s="123">
        <v>2859</v>
      </c>
      <c r="B2860" s="2" t="s">
        <v>686</v>
      </c>
      <c r="C2860" s="122" t="s">
        <v>178</v>
      </c>
      <c r="D2860" t="s">
        <v>15279</v>
      </c>
      <c r="E2860" s="80" t="s">
        <v>15280</v>
      </c>
      <c r="F2860" t="s">
        <v>15281</v>
      </c>
      <c r="G2860" t="s">
        <v>14372</v>
      </c>
      <c r="H2860" s="80" t="s">
        <v>15282</v>
      </c>
      <c r="I2860" s="80" t="s">
        <v>15283</v>
      </c>
      <c r="J2860" t="s">
        <v>14375</v>
      </c>
      <c r="K2860" t="s">
        <v>15284</v>
      </c>
    </row>
    <row r="2861" spans="1:11" x14ac:dyDescent="0.25">
      <c r="A2861" s="123">
        <v>2860</v>
      </c>
      <c r="B2861" s="2" t="s">
        <v>686</v>
      </c>
      <c r="C2861" s="122" t="s">
        <v>163</v>
      </c>
      <c r="D2861" t="s">
        <v>15285</v>
      </c>
      <c r="E2861" s="80" t="s">
        <v>15286</v>
      </c>
      <c r="F2861" t="s">
        <v>15287</v>
      </c>
      <c r="G2861" t="s">
        <v>14372</v>
      </c>
      <c r="H2861" t="s">
        <v>15288</v>
      </c>
      <c r="I2861" s="80" t="s">
        <v>15289</v>
      </c>
      <c r="J2861" t="s">
        <v>14738</v>
      </c>
      <c r="K2861" s="80" t="s">
        <v>15290</v>
      </c>
    </row>
    <row r="2862" spans="1:11" x14ac:dyDescent="0.25">
      <c r="A2862" s="123">
        <v>2861</v>
      </c>
      <c r="B2862" s="2" t="s">
        <v>686</v>
      </c>
      <c r="C2862" s="122" t="s">
        <v>181</v>
      </c>
      <c r="D2862" s="80" t="s">
        <v>6178</v>
      </c>
      <c r="E2862" s="80" t="s">
        <v>15291</v>
      </c>
      <c r="F2862" t="s">
        <v>2075</v>
      </c>
      <c r="G2862" t="s">
        <v>583</v>
      </c>
      <c r="H2862" t="s">
        <v>15292</v>
      </c>
      <c r="I2862" t="s">
        <v>15293</v>
      </c>
      <c r="J2862" t="s">
        <v>583</v>
      </c>
      <c r="K2862" t="s">
        <v>6958</v>
      </c>
    </row>
    <row r="2863" spans="1:11" x14ac:dyDescent="0.25">
      <c r="A2863" s="123">
        <v>2862</v>
      </c>
      <c r="B2863" s="2" t="s">
        <v>686</v>
      </c>
      <c r="C2863" s="122" t="s">
        <v>183</v>
      </c>
      <c r="D2863" t="s">
        <v>10527</v>
      </c>
      <c r="E2863" s="80" t="s">
        <v>15294</v>
      </c>
      <c r="F2863" t="s">
        <v>15295</v>
      </c>
      <c r="G2863" t="s">
        <v>5071</v>
      </c>
      <c r="H2863" s="80" t="s">
        <v>15296</v>
      </c>
      <c r="I2863" s="80" t="s">
        <v>15297</v>
      </c>
      <c r="J2863" t="s">
        <v>14791</v>
      </c>
      <c r="K2863" s="80" t="s">
        <v>15298</v>
      </c>
    </row>
    <row r="2864" spans="1:11" x14ac:dyDescent="0.25">
      <c r="A2864" s="123">
        <v>2863</v>
      </c>
      <c r="B2864" s="2" t="s">
        <v>686</v>
      </c>
      <c r="C2864" s="122" t="s">
        <v>186</v>
      </c>
      <c r="D2864" t="s">
        <v>10527</v>
      </c>
      <c r="E2864" s="80" t="s">
        <v>15299</v>
      </c>
      <c r="F2864" t="s">
        <v>15300</v>
      </c>
      <c r="G2864" t="s">
        <v>14496</v>
      </c>
      <c r="H2864" s="80" t="s">
        <v>15301</v>
      </c>
      <c r="I2864" s="80" t="s">
        <v>15302</v>
      </c>
      <c r="J2864" t="s">
        <v>1562</v>
      </c>
      <c r="K2864" s="80" t="s">
        <v>15303</v>
      </c>
    </row>
    <row r="2865" spans="1:11" x14ac:dyDescent="0.25">
      <c r="A2865" s="123">
        <v>2864</v>
      </c>
      <c r="B2865" s="2" t="s">
        <v>686</v>
      </c>
      <c r="C2865" s="125" t="s">
        <v>188</v>
      </c>
      <c r="D2865" t="s">
        <v>10527</v>
      </c>
      <c r="E2865" s="80" t="s">
        <v>15304</v>
      </c>
      <c r="F2865" t="s">
        <v>15305</v>
      </c>
      <c r="G2865" t="s">
        <v>5071</v>
      </c>
      <c r="H2865" t="s">
        <v>15306</v>
      </c>
      <c r="I2865" s="80" t="s">
        <v>15307</v>
      </c>
      <c r="J2865" t="s">
        <v>14347</v>
      </c>
      <c r="K2865" s="80" t="s">
        <v>15308</v>
      </c>
    </row>
    <row r="2866" spans="1:11" x14ac:dyDescent="0.25">
      <c r="A2866" s="123">
        <v>2865</v>
      </c>
      <c r="B2866" s="2" t="s">
        <v>686</v>
      </c>
      <c r="C2866" s="125" t="s">
        <v>182</v>
      </c>
      <c r="D2866" s="80" t="s">
        <v>583</v>
      </c>
      <c r="E2866" t="s">
        <v>15309</v>
      </c>
      <c r="F2866" t="s">
        <v>1387</v>
      </c>
      <c r="G2866" t="s">
        <v>583</v>
      </c>
      <c r="H2866" t="s">
        <v>15310</v>
      </c>
      <c r="I2866" t="s">
        <v>15311</v>
      </c>
      <c r="J2866" t="s">
        <v>583</v>
      </c>
      <c r="K2866" t="s">
        <v>6644</v>
      </c>
    </row>
    <row r="2867" spans="1:11" x14ac:dyDescent="0.25">
      <c r="A2867" s="123">
        <v>2866</v>
      </c>
      <c r="B2867" s="2" t="s">
        <v>686</v>
      </c>
      <c r="C2867" s="125" t="s">
        <v>184</v>
      </c>
      <c r="D2867" t="s">
        <v>15312</v>
      </c>
      <c r="E2867" t="s">
        <v>15313</v>
      </c>
      <c r="F2867" t="s">
        <v>15314</v>
      </c>
      <c r="G2867" t="s">
        <v>12394</v>
      </c>
      <c r="H2867" s="80" t="s">
        <v>15315</v>
      </c>
      <c r="I2867" s="80" t="s">
        <v>15316</v>
      </c>
      <c r="J2867" t="s">
        <v>14441</v>
      </c>
      <c r="K2867" t="s">
        <v>15317</v>
      </c>
    </row>
    <row r="2868" spans="1:11" x14ac:dyDescent="0.25">
      <c r="A2868" s="123">
        <v>2867</v>
      </c>
      <c r="B2868" s="2" t="s">
        <v>686</v>
      </c>
      <c r="C2868" s="125" t="s">
        <v>187</v>
      </c>
      <c r="D2868" t="s">
        <v>15318</v>
      </c>
      <c r="E2868" t="s">
        <v>15319</v>
      </c>
      <c r="F2868" t="s">
        <v>15320</v>
      </c>
      <c r="G2868" t="s">
        <v>5071</v>
      </c>
      <c r="H2868" s="80" t="s">
        <v>15321</v>
      </c>
      <c r="I2868" s="80" t="s">
        <v>15322</v>
      </c>
      <c r="J2868" t="s">
        <v>14504</v>
      </c>
      <c r="K2868" t="s">
        <v>15323</v>
      </c>
    </row>
    <row r="2869" spans="1:11" x14ac:dyDescent="0.25">
      <c r="A2869" s="123">
        <v>2868</v>
      </c>
      <c r="B2869" s="2" t="s">
        <v>686</v>
      </c>
      <c r="C2869" s="125" t="s">
        <v>189</v>
      </c>
      <c r="D2869" t="s">
        <v>15324</v>
      </c>
      <c r="E2869" t="s">
        <v>15325</v>
      </c>
      <c r="F2869" t="s">
        <v>15326</v>
      </c>
      <c r="G2869" t="s">
        <v>6311</v>
      </c>
      <c r="H2869" s="80" t="s">
        <v>15327</v>
      </c>
      <c r="I2869" s="80" t="s">
        <v>15328</v>
      </c>
      <c r="J2869" t="s">
        <v>8115</v>
      </c>
      <c r="K2869" t="s">
        <v>15329</v>
      </c>
    </row>
    <row r="2870" spans="1:11" x14ac:dyDescent="0.25">
      <c r="A2870" s="123">
        <v>2869</v>
      </c>
      <c r="B2870" s="2" t="s">
        <v>687</v>
      </c>
      <c r="C2870" s="122" t="s">
        <v>162</v>
      </c>
      <c r="D2870" s="80">
        <v>0</v>
      </c>
      <c r="E2870" t="s">
        <v>15330</v>
      </c>
      <c r="F2870" t="s">
        <v>7396</v>
      </c>
      <c r="G2870" s="80" t="s">
        <v>3657</v>
      </c>
      <c r="H2870" t="s">
        <v>583</v>
      </c>
      <c r="I2870" t="s">
        <v>3899</v>
      </c>
      <c r="J2870" t="s">
        <v>583</v>
      </c>
      <c r="K2870" t="s">
        <v>2194</v>
      </c>
    </row>
    <row r="2871" spans="1:11" x14ac:dyDescent="0.25">
      <c r="A2871" s="123">
        <v>2870</v>
      </c>
      <c r="B2871" s="2" t="s">
        <v>687</v>
      </c>
      <c r="C2871" s="122" t="s">
        <v>170</v>
      </c>
      <c r="D2871" t="s">
        <v>3678</v>
      </c>
      <c r="E2871" s="80" t="s">
        <v>15331</v>
      </c>
      <c r="F2871" t="s">
        <v>15332</v>
      </c>
      <c r="G2871" t="s">
        <v>14445</v>
      </c>
      <c r="H2871" t="s">
        <v>15333</v>
      </c>
      <c r="I2871" s="80" t="s">
        <v>15334</v>
      </c>
      <c r="J2871" t="s">
        <v>14614</v>
      </c>
      <c r="K2871" t="s">
        <v>15335</v>
      </c>
    </row>
    <row r="2872" spans="1:11" x14ac:dyDescent="0.25">
      <c r="A2872" s="123">
        <v>2871</v>
      </c>
      <c r="B2872" s="2" t="s">
        <v>687</v>
      </c>
      <c r="C2872" s="122" t="s">
        <v>178</v>
      </c>
      <c r="D2872" t="s">
        <v>15336</v>
      </c>
      <c r="E2872" s="80" t="s">
        <v>15337</v>
      </c>
      <c r="F2872" t="s">
        <v>15338</v>
      </c>
      <c r="G2872" t="s">
        <v>14394</v>
      </c>
      <c r="H2872" s="80" t="s">
        <v>15339</v>
      </c>
      <c r="I2872" s="80" t="s">
        <v>15340</v>
      </c>
      <c r="J2872" t="s">
        <v>14725</v>
      </c>
      <c r="K2872" t="s">
        <v>15341</v>
      </c>
    </row>
    <row r="2873" spans="1:11" x14ac:dyDescent="0.25">
      <c r="A2873" s="123">
        <v>2872</v>
      </c>
      <c r="B2873" s="2" t="s">
        <v>687</v>
      </c>
      <c r="C2873" s="122" t="s">
        <v>163</v>
      </c>
      <c r="D2873" t="s">
        <v>15342</v>
      </c>
      <c r="E2873" s="80" t="s">
        <v>15343</v>
      </c>
      <c r="F2873" t="s">
        <v>15344</v>
      </c>
      <c r="G2873" t="s">
        <v>14464</v>
      </c>
      <c r="H2873" s="80" t="s">
        <v>15345</v>
      </c>
      <c r="I2873" s="80" t="s">
        <v>15346</v>
      </c>
      <c r="J2873" t="s">
        <v>14591</v>
      </c>
      <c r="K2873" s="111" t="s">
        <v>15347</v>
      </c>
    </row>
    <row r="2874" spans="1:11" x14ac:dyDescent="0.25">
      <c r="A2874" s="123">
        <v>2873</v>
      </c>
      <c r="B2874" s="2" t="s">
        <v>687</v>
      </c>
      <c r="C2874" s="122" t="s">
        <v>181</v>
      </c>
      <c r="D2874" s="80" t="s">
        <v>6178</v>
      </c>
      <c r="E2874" s="111" t="s">
        <v>15348</v>
      </c>
      <c r="F2874" t="s">
        <v>2384</v>
      </c>
      <c r="G2874" t="s">
        <v>583</v>
      </c>
      <c r="H2874" t="s">
        <v>15349</v>
      </c>
      <c r="I2874" t="s">
        <v>15350</v>
      </c>
      <c r="J2874" t="s">
        <v>8693</v>
      </c>
      <c r="K2874" t="s">
        <v>15351</v>
      </c>
    </row>
    <row r="2875" spans="1:11" x14ac:dyDescent="0.25">
      <c r="A2875" s="123">
        <v>2874</v>
      </c>
      <c r="B2875" s="2" t="s">
        <v>687</v>
      </c>
      <c r="C2875" s="122" t="s">
        <v>183</v>
      </c>
      <c r="D2875" t="s">
        <v>14341</v>
      </c>
      <c r="E2875" s="80" t="s">
        <v>15352</v>
      </c>
      <c r="F2875" t="s">
        <v>15353</v>
      </c>
      <c r="G2875" t="s">
        <v>4368</v>
      </c>
      <c r="H2875" s="80" t="s">
        <v>15354</v>
      </c>
      <c r="I2875" s="80" t="s">
        <v>15355</v>
      </c>
      <c r="J2875" t="s">
        <v>14738</v>
      </c>
      <c r="K2875" s="80" t="s">
        <v>15356</v>
      </c>
    </row>
    <row r="2876" spans="1:11" x14ac:dyDescent="0.25">
      <c r="A2876" s="123">
        <v>2875</v>
      </c>
      <c r="B2876" s="2" t="s">
        <v>687</v>
      </c>
      <c r="C2876" s="122" t="s">
        <v>186</v>
      </c>
      <c r="D2876" t="s">
        <v>15208</v>
      </c>
      <c r="E2876" s="80" t="s">
        <v>15357</v>
      </c>
      <c r="F2876" t="s">
        <v>15358</v>
      </c>
      <c r="G2876" t="s">
        <v>14334</v>
      </c>
      <c r="H2876" s="111" t="s">
        <v>15359</v>
      </c>
      <c r="I2876" s="80" t="s">
        <v>15360</v>
      </c>
      <c r="J2876" t="s">
        <v>14950</v>
      </c>
      <c r="K2876" s="111" t="s">
        <v>15361</v>
      </c>
    </row>
    <row r="2877" spans="1:11" x14ac:dyDescent="0.25">
      <c r="A2877" s="123">
        <v>2876</v>
      </c>
      <c r="B2877" s="2" t="s">
        <v>687</v>
      </c>
      <c r="C2877" s="125" t="s">
        <v>188</v>
      </c>
      <c r="D2877" t="s">
        <v>4730</v>
      </c>
      <c r="E2877" s="111" t="s">
        <v>15362</v>
      </c>
      <c r="F2877" t="s">
        <v>15363</v>
      </c>
      <c r="G2877" t="s">
        <v>4368</v>
      </c>
      <c r="H2877" s="80" t="s">
        <v>15364</v>
      </c>
      <c r="I2877" s="80" t="s">
        <v>15365</v>
      </c>
      <c r="J2877" t="s">
        <v>14315</v>
      </c>
      <c r="K2877" s="111" t="s">
        <v>15366</v>
      </c>
    </row>
    <row r="2878" spans="1:11" x14ac:dyDescent="0.25">
      <c r="A2878" s="123">
        <v>2877</v>
      </c>
      <c r="B2878" s="2" t="s">
        <v>687</v>
      </c>
      <c r="C2878" s="125" t="s">
        <v>182</v>
      </c>
      <c r="D2878" t="s">
        <v>583</v>
      </c>
      <c r="E2878" t="s">
        <v>15367</v>
      </c>
      <c r="F2878" t="s">
        <v>15368</v>
      </c>
      <c r="G2878" t="s">
        <v>583</v>
      </c>
      <c r="H2878" t="s">
        <v>15369</v>
      </c>
      <c r="I2878" s="80" t="s">
        <v>15370</v>
      </c>
      <c r="J2878" t="s">
        <v>583</v>
      </c>
      <c r="K2878" t="s">
        <v>15371</v>
      </c>
    </row>
    <row r="2879" spans="1:11" x14ac:dyDescent="0.25">
      <c r="A2879" s="123">
        <v>2878</v>
      </c>
      <c r="B2879" s="2" t="s">
        <v>687</v>
      </c>
      <c r="C2879" s="125" t="s">
        <v>184</v>
      </c>
      <c r="D2879">
        <v>68</v>
      </c>
      <c r="E2879" t="s">
        <v>15372</v>
      </c>
      <c r="F2879" t="s">
        <v>15373</v>
      </c>
      <c r="G2879" t="s">
        <v>14445</v>
      </c>
      <c r="H2879" t="s">
        <v>15374</v>
      </c>
      <c r="I2879" s="80" t="s">
        <v>15375</v>
      </c>
      <c r="J2879" t="s">
        <v>14480</v>
      </c>
      <c r="K2879" t="s">
        <v>15376</v>
      </c>
    </row>
    <row r="2880" spans="1:11" x14ac:dyDescent="0.25">
      <c r="A2880" s="123">
        <v>2879</v>
      </c>
      <c r="B2880" s="2" t="s">
        <v>687</v>
      </c>
      <c r="C2880" s="125" t="s">
        <v>187</v>
      </c>
      <c r="D2880" t="s">
        <v>15377</v>
      </c>
      <c r="E2880" t="s">
        <v>15378</v>
      </c>
      <c r="F2880" t="s">
        <v>15379</v>
      </c>
      <c r="G2880" t="s">
        <v>14372</v>
      </c>
      <c r="H2880" s="80" t="s">
        <v>15380</v>
      </c>
      <c r="I2880" s="80" t="s">
        <v>15381</v>
      </c>
      <c r="J2880" t="s">
        <v>10548</v>
      </c>
      <c r="K2880" s="80" t="s">
        <v>15382</v>
      </c>
    </row>
    <row r="2881" spans="1:11" x14ac:dyDescent="0.25">
      <c r="A2881" s="123">
        <v>2880</v>
      </c>
      <c r="B2881" s="2" t="s">
        <v>687</v>
      </c>
      <c r="C2881" s="125" t="s">
        <v>189</v>
      </c>
      <c r="D2881" t="s">
        <v>15383</v>
      </c>
      <c r="E2881" t="s">
        <v>15384</v>
      </c>
      <c r="F2881" t="s">
        <v>11158</v>
      </c>
      <c r="G2881" t="s">
        <v>14583</v>
      </c>
      <c r="H2881" s="80" t="s">
        <v>15385</v>
      </c>
      <c r="I2881" s="80" t="s">
        <v>15386</v>
      </c>
      <c r="J2881" t="s">
        <v>8115</v>
      </c>
      <c r="K2881" s="80" t="s">
        <v>15387</v>
      </c>
    </row>
    <row r="2882" spans="1:11" x14ac:dyDescent="0.25">
      <c r="A2882" s="123">
        <v>2881</v>
      </c>
      <c r="B2882" s="2" t="s">
        <v>688</v>
      </c>
      <c r="C2882" s="122" t="s">
        <v>162</v>
      </c>
      <c r="D2882" t="s">
        <v>583</v>
      </c>
      <c r="E2882" s="80" t="s">
        <v>15388</v>
      </c>
      <c r="F2882" t="s">
        <v>7243</v>
      </c>
      <c r="G2882" s="80" t="s">
        <v>3657</v>
      </c>
      <c r="H2882" t="s">
        <v>583</v>
      </c>
      <c r="I2882" t="s">
        <v>7565</v>
      </c>
      <c r="J2882" t="s">
        <v>583</v>
      </c>
      <c r="K2882" t="s">
        <v>5799</v>
      </c>
    </row>
    <row r="2883" spans="1:11" x14ac:dyDescent="0.25">
      <c r="A2883" s="123">
        <v>2882</v>
      </c>
      <c r="B2883" s="2" t="s">
        <v>688</v>
      </c>
      <c r="C2883" s="122" t="s">
        <v>170</v>
      </c>
      <c r="D2883" t="s">
        <v>15389</v>
      </c>
      <c r="E2883" s="80" t="s">
        <v>15390</v>
      </c>
      <c r="F2883" t="s">
        <v>15391</v>
      </c>
      <c r="G2883" t="s">
        <v>12394</v>
      </c>
      <c r="H2883" t="s">
        <v>15392</v>
      </c>
      <c r="I2883" s="80" t="s">
        <v>15393</v>
      </c>
      <c r="J2883" t="s">
        <v>14504</v>
      </c>
      <c r="K2883" t="s">
        <v>15394</v>
      </c>
    </row>
    <row r="2884" spans="1:11" x14ac:dyDescent="0.25">
      <c r="A2884" s="123">
        <v>2883</v>
      </c>
      <c r="B2884" s="2" t="s">
        <v>688</v>
      </c>
      <c r="C2884" s="122" t="s">
        <v>178</v>
      </c>
      <c r="D2884" t="s">
        <v>15395</v>
      </c>
      <c r="E2884" s="80" t="s">
        <v>15396</v>
      </c>
      <c r="F2884" t="s">
        <v>15397</v>
      </c>
      <c r="G2884" t="s">
        <v>14682</v>
      </c>
      <c r="H2884" s="80" t="s">
        <v>15398</v>
      </c>
      <c r="I2884" s="80" t="s">
        <v>15399</v>
      </c>
      <c r="J2884" t="s">
        <v>14791</v>
      </c>
      <c r="K2884" t="s">
        <v>15400</v>
      </c>
    </row>
    <row r="2885" spans="1:11" x14ac:dyDescent="0.25">
      <c r="A2885" s="123">
        <v>2884</v>
      </c>
      <c r="B2885" s="2" t="s">
        <v>688</v>
      </c>
      <c r="C2885" s="122" t="s">
        <v>163</v>
      </c>
      <c r="D2885" t="s">
        <v>15401</v>
      </c>
      <c r="E2885" s="80" t="s">
        <v>15402</v>
      </c>
      <c r="F2885" t="s">
        <v>15403</v>
      </c>
      <c r="G2885" t="s">
        <v>14445</v>
      </c>
      <c r="H2885" s="80" t="s">
        <v>15404</v>
      </c>
      <c r="I2885" s="80" t="s">
        <v>15405</v>
      </c>
      <c r="J2885" t="s">
        <v>14950</v>
      </c>
      <c r="K2885" s="80" t="s">
        <v>15406</v>
      </c>
    </row>
    <row r="2886" spans="1:11" x14ac:dyDescent="0.25">
      <c r="A2886" s="123">
        <v>2885</v>
      </c>
      <c r="B2886" s="2" t="s">
        <v>688</v>
      </c>
      <c r="C2886" s="122" t="s">
        <v>181</v>
      </c>
      <c r="D2886" s="80" t="s">
        <v>6178</v>
      </c>
      <c r="E2886" s="111" t="s">
        <v>15407</v>
      </c>
      <c r="F2886" t="s">
        <v>2548</v>
      </c>
      <c r="G2886" t="s">
        <v>583</v>
      </c>
      <c r="H2886" t="s">
        <v>15408</v>
      </c>
      <c r="I2886" t="s">
        <v>15409</v>
      </c>
      <c r="J2886" t="s">
        <v>6257</v>
      </c>
      <c r="K2886" t="s">
        <v>14488</v>
      </c>
    </row>
    <row r="2887" spans="1:11" x14ac:dyDescent="0.25">
      <c r="A2887" s="123">
        <v>2886</v>
      </c>
      <c r="B2887" s="2" t="s">
        <v>688</v>
      </c>
      <c r="C2887" s="122" t="s">
        <v>183</v>
      </c>
      <c r="D2887" t="s">
        <v>10527</v>
      </c>
      <c r="E2887" s="80" t="s">
        <v>15410</v>
      </c>
      <c r="F2887" t="s">
        <v>15411</v>
      </c>
      <c r="G2887" t="s">
        <v>14464</v>
      </c>
      <c r="H2887" s="80" t="s">
        <v>15412</v>
      </c>
      <c r="I2887" s="80" t="s">
        <v>15413</v>
      </c>
      <c r="J2887" t="s">
        <v>14738</v>
      </c>
      <c r="K2887" s="80" t="s">
        <v>15414</v>
      </c>
    </row>
    <row r="2888" spans="1:11" x14ac:dyDescent="0.25">
      <c r="A2888" s="123">
        <v>2887</v>
      </c>
      <c r="B2888" s="2" t="s">
        <v>688</v>
      </c>
      <c r="C2888" s="122" t="s">
        <v>186</v>
      </c>
      <c r="D2888" t="s">
        <v>14341</v>
      </c>
      <c r="E2888" s="80" t="s">
        <v>15415</v>
      </c>
      <c r="F2888" t="s">
        <v>15416</v>
      </c>
      <c r="G2888" t="s">
        <v>14378</v>
      </c>
      <c r="H2888" s="111" t="s">
        <v>15417</v>
      </c>
      <c r="I2888" s="80" t="s">
        <v>15418</v>
      </c>
      <c r="J2888" t="s">
        <v>14839</v>
      </c>
      <c r="K2888" s="80" t="s">
        <v>15419</v>
      </c>
    </row>
    <row r="2889" spans="1:11" x14ac:dyDescent="0.25">
      <c r="A2889" s="123">
        <v>2888</v>
      </c>
      <c r="B2889" s="2" t="s">
        <v>688</v>
      </c>
      <c r="C2889" s="125" t="s">
        <v>188</v>
      </c>
      <c r="D2889" t="s">
        <v>14341</v>
      </c>
      <c r="E2889" s="111" t="s">
        <v>15420</v>
      </c>
      <c r="F2889" t="s">
        <v>15421</v>
      </c>
      <c r="G2889" t="s">
        <v>4368</v>
      </c>
      <c r="H2889" s="80" t="s">
        <v>15422</v>
      </c>
      <c r="I2889" s="80" t="s">
        <v>15423</v>
      </c>
      <c r="J2889" t="s">
        <v>14664</v>
      </c>
      <c r="K2889" s="111" t="s">
        <v>15424</v>
      </c>
    </row>
    <row r="2890" spans="1:11" x14ac:dyDescent="0.25">
      <c r="A2890" s="123">
        <v>2889</v>
      </c>
      <c r="B2890" s="2" t="s">
        <v>688</v>
      </c>
      <c r="C2890" s="125" t="s">
        <v>182</v>
      </c>
      <c r="D2890" t="s">
        <v>583</v>
      </c>
      <c r="E2890" t="s">
        <v>15425</v>
      </c>
      <c r="F2890" t="s">
        <v>5515</v>
      </c>
      <c r="G2890" t="s">
        <v>583</v>
      </c>
      <c r="H2890" t="s">
        <v>5793</v>
      </c>
      <c r="I2890" t="s">
        <v>5624</v>
      </c>
      <c r="J2890" t="s">
        <v>583</v>
      </c>
      <c r="K2890" t="s">
        <v>7184</v>
      </c>
    </row>
    <row r="2891" spans="1:11" x14ac:dyDescent="0.25">
      <c r="A2891" s="123">
        <v>2890</v>
      </c>
      <c r="B2891" s="2" t="s">
        <v>688</v>
      </c>
      <c r="C2891" s="125" t="s">
        <v>184</v>
      </c>
      <c r="D2891" t="s">
        <v>14488</v>
      </c>
      <c r="E2891" t="s">
        <v>15426</v>
      </c>
      <c r="F2891" t="s">
        <v>15287</v>
      </c>
      <c r="G2891" t="s">
        <v>583</v>
      </c>
      <c r="H2891" t="s">
        <v>15427</v>
      </c>
      <c r="I2891" s="80" t="s">
        <v>15428</v>
      </c>
      <c r="J2891" t="s">
        <v>14752</v>
      </c>
      <c r="K2891" t="s">
        <v>15429</v>
      </c>
    </row>
    <row r="2892" spans="1:11" x14ac:dyDescent="0.25">
      <c r="A2892" s="123">
        <v>2891</v>
      </c>
      <c r="B2892" s="2" t="s">
        <v>688</v>
      </c>
      <c r="C2892" s="125" t="s">
        <v>187</v>
      </c>
      <c r="D2892" t="s">
        <v>15430</v>
      </c>
      <c r="E2892" t="s">
        <v>15431</v>
      </c>
      <c r="F2892" t="s">
        <v>15432</v>
      </c>
      <c r="G2892" t="s">
        <v>12394</v>
      </c>
      <c r="H2892" t="s">
        <v>15433</v>
      </c>
      <c r="I2892" s="80" t="s">
        <v>15434</v>
      </c>
      <c r="J2892" t="s">
        <v>8115</v>
      </c>
      <c r="K2892" t="s">
        <v>15435</v>
      </c>
    </row>
    <row r="2893" spans="1:11" x14ac:dyDescent="0.25">
      <c r="A2893" s="123">
        <v>2892</v>
      </c>
      <c r="B2893" s="2" t="s">
        <v>688</v>
      </c>
      <c r="C2893" s="125" t="s">
        <v>189</v>
      </c>
      <c r="D2893" t="s">
        <v>15436</v>
      </c>
      <c r="E2893" t="s">
        <v>15437</v>
      </c>
      <c r="F2893" t="s">
        <v>11070</v>
      </c>
      <c r="G2893" s="80" t="s">
        <v>3657</v>
      </c>
      <c r="H2893" t="s">
        <v>15438</v>
      </c>
      <c r="I2893" s="80" t="s">
        <v>15439</v>
      </c>
      <c r="J2893" t="s">
        <v>6089</v>
      </c>
      <c r="K2893" t="s">
        <v>15440</v>
      </c>
    </row>
    <row r="2894" spans="1:11" x14ac:dyDescent="0.25">
      <c r="A2894" s="123">
        <v>2893</v>
      </c>
      <c r="B2894" s="2" t="s">
        <v>689</v>
      </c>
      <c r="C2894" s="122" t="s">
        <v>181</v>
      </c>
      <c r="D2894" t="s">
        <v>8350</v>
      </c>
      <c r="E2894" s="111" t="s">
        <v>15441</v>
      </c>
      <c r="F2894" t="s">
        <v>15442</v>
      </c>
      <c r="G2894" t="s">
        <v>12394</v>
      </c>
      <c r="H2894" t="s">
        <v>15443</v>
      </c>
      <c r="I2894" s="80" t="s">
        <v>15444</v>
      </c>
      <c r="J2894" t="s">
        <v>14504</v>
      </c>
      <c r="K2894" t="s">
        <v>15445</v>
      </c>
    </row>
    <row r="2895" spans="1:11" x14ac:dyDescent="0.25">
      <c r="A2895" s="123">
        <v>2894</v>
      </c>
      <c r="B2895" s="2" t="s">
        <v>689</v>
      </c>
      <c r="C2895" s="122" t="s">
        <v>183</v>
      </c>
      <c r="D2895" t="s">
        <v>10527</v>
      </c>
      <c r="E2895" s="80" t="s">
        <v>15446</v>
      </c>
      <c r="F2895" s="80" t="s">
        <v>15447</v>
      </c>
      <c r="G2895" t="s">
        <v>14344</v>
      </c>
      <c r="H2895" s="80" t="s">
        <v>15448</v>
      </c>
      <c r="I2895" s="80" t="s">
        <v>15449</v>
      </c>
      <c r="J2895" t="s">
        <v>14467</v>
      </c>
      <c r="K2895" s="111" t="s">
        <v>15450</v>
      </c>
    </row>
    <row r="2896" spans="1:11" x14ac:dyDescent="0.25">
      <c r="A2896" s="123">
        <v>2895</v>
      </c>
      <c r="B2896" s="2" t="s">
        <v>689</v>
      </c>
      <c r="C2896" s="125" t="s">
        <v>188</v>
      </c>
      <c r="D2896" t="s">
        <v>14624</v>
      </c>
      <c r="E2896" s="111" t="s">
        <v>15451</v>
      </c>
      <c r="F2896" t="s">
        <v>15452</v>
      </c>
      <c r="G2896" t="s">
        <v>14378</v>
      </c>
      <c r="H2896" s="80" t="s">
        <v>15453</v>
      </c>
      <c r="I2896" s="80" t="s">
        <v>15454</v>
      </c>
      <c r="J2896" t="s">
        <v>14745</v>
      </c>
      <c r="K2896" s="111" t="s">
        <v>15455</v>
      </c>
    </row>
    <row r="2897" spans="1:11" x14ac:dyDescent="0.25">
      <c r="A2897" s="123">
        <v>2896</v>
      </c>
      <c r="B2897" s="2" t="s">
        <v>689</v>
      </c>
      <c r="C2897" s="125" t="s">
        <v>182</v>
      </c>
      <c r="D2897" s="80">
        <v>0</v>
      </c>
      <c r="E2897" t="s">
        <v>15456</v>
      </c>
      <c r="F2897" t="s">
        <v>10081</v>
      </c>
      <c r="G2897" t="s">
        <v>583</v>
      </c>
      <c r="H2897" t="s">
        <v>15457</v>
      </c>
      <c r="I2897" s="80" t="s">
        <v>15458</v>
      </c>
      <c r="J2897" t="s">
        <v>583</v>
      </c>
      <c r="K2897" t="s">
        <v>15459</v>
      </c>
    </row>
    <row r="2898" spans="1:11" x14ac:dyDescent="0.25">
      <c r="A2898" s="123">
        <v>2897</v>
      </c>
      <c r="B2898" s="2" t="s">
        <v>689</v>
      </c>
      <c r="C2898" s="125" t="s">
        <v>184</v>
      </c>
      <c r="D2898" t="s">
        <v>14624</v>
      </c>
      <c r="E2898" t="s">
        <v>15460</v>
      </c>
      <c r="F2898" t="s">
        <v>15461</v>
      </c>
      <c r="G2898" t="s">
        <v>14530</v>
      </c>
      <c r="H2898" t="s">
        <v>15462</v>
      </c>
      <c r="I2898" s="80" t="s">
        <v>15463</v>
      </c>
      <c r="J2898" t="s">
        <v>14614</v>
      </c>
      <c r="K2898" t="s">
        <v>15464</v>
      </c>
    </row>
    <row r="2899" spans="1:11" x14ac:dyDescent="0.25">
      <c r="A2899" s="123">
        <v>2898</v>
      </c>
      <c r="B2899" s="2" t="s">
        <v>689</v>
      </c>
      <c r="C2899" s="125" t="s">
        <v>187</v>
      </c>
      <c r="D2899" t="s">
        <v>15465</v>
      </c>
      <c r="E2899" t="s">
        <v>15466</v>
      </c>
      <c r="F2899" t="s">
        <v>15467</v>
      </c>
      <c r="G2899" t="s">
        <v>14394</v>
      </c>
      <c r="H2899" s="80" t="s">
        <v>15468</v>
      </c>
      <c r="I2899" s="80" t="s">
        <v>15469</v>
      </c>
      <c r="J2899" t="s">
        <v>14725</v>
      </c>
      <c r="K2899" t="s">
        <v>15470</v>
      </c>
    </row>
    <row r="2900" spans="1:11" x14ac:dyDescent="0.25">
      <c r="A2900" s="123">
        <v>2899</v>
      </c>
      <c r="B2900" s="2" t="s">
        <v>689</v>
      </c>
      <c r="C2900" s="125" t="s">
        <v>189</v>
      </c>
      <c r="D2900" t="s">
        <v>15261</v>
      </c>
      <c r="E2900" t="s">
        <v>15471</v>
      </c>
      <c r="F2900" t="s">
        <v>15472</v>
      </c>
      <c r="G2900" t="s">
        <v>12437</v>
      </c>
      <c r="H2900" t="s">
        <v>15473</v>
      </c>
      <c r="I2900" s="80" t="s">
        <v>15474</v>
      </c>
      <c r="J2900" t="s">
        <v>14752</v>
      </c>
      <c r="K2900" t="s">
        <v>15475</v>
      </c>
    </row>
    <row r="2901" spans="1:11" x14ac:dyDescent="0.25">
      <c r="A2901" s="123">
        <v>2900</v>
      </c>
      <c r="B2901" s="2" t="s">
        <v>690</v>
      </c>
      <c r="C2901" s="122" t="s">
        <v>162</v>
      </c>
      <c r="D2901" s="80" t="s">
        <v>6178</v>
      </c>
      <c r="E2901" s="80" t="s">
        <v>15476</v>
      </c>
      <c r="F2901" t="s">
        <v>5858</v>
      </c>
      <c r="G2901" t="s">
        <v>14688</v>
      </c>
      <c r="H2901" t="s">
        <v>583</v>
      </c>
      <c r="I2901" t="s">
        <v>3899</v>
      </c>
      <c r="J2901" t="s">
        <v>583</v>
      </c>
      <c r="K2901" t="s">
        <v>11627</v>
      </c>
    </row>
    <row r="2902" spans="1:11" x14ac:dyDescent="0.25">
      <c r="A2902" s="123">
        <v>2901</v>
      </c>
      <c r="B2902" s="2" t="s">
        <v>690</v>
      </c>
      <c r="C2902" s="122" t="s">
        <v>181</v>
      </c>
      <c r="D2902" s="80" t="s">
        <v>6178</v>
      </c>
      <c r="E2902" s="80" t="s">
        <v>15477</v>
      </c>
      <c r="F2902" t="s">
        <v>5768</v>
      </c>
      <c r="G2902" t="s">
        <v>583</v>
      </c>
      <c r="H2902" t="s">
        <v>15478</v>
      </c>
      <c r="I2902" t="s">
        <v>5093</v>
      </c>
      <c r="J2902" t="s">
        <v>583</v>
      </c>
      <c r="K2902" t="s">
        <v>15479</v>
      </c>
    </row>
    <row r="2903" spans="1:11" x14ac:dyDescent="0.25">
      <c r="A2903" s="123">
        <v>2902</v>
      </c>
      <c r="B2903" s="2" t="s">
        <v>690</v>
      </c>
      <c r="C2903" s="122" t="s">
        <v>183</v>
      </c>
      <c r="D2903" t="s">
        <v>10527</v>
      </c>
      <c r="E2903" s="80" t="s">
        <v>15480</v>
      </c>
      <c r="F2903" t="s">
        <v>15481</v>
      </c>
      <c r="G2903" t="s">
        <v>14464</v>
      </c>
      <c r="H2903" t="s">
        <v>15482</v>
      </c>
      <c r="I2903" s="80" t="s">
        <v>15483</v>
      </c>
      <c r="J2903" t="s">
        <v>1562</v>
      </c>
      <c r="K2903" s="111" t="s">
        <v>15484</v>
      </c>
    </row>
    <row r="2904" spans="1:11" x14ac:dyDescent="0.25">
      <c r="A2904" s="123">
        <v>2903</v>
      </c>
      <c r="B2904" s="2" t="s">
        <v>690</v>
      </c>
      <c r="C2904" s="122" t="s">
        <v>186</v>
      </c>
      <c r="D2904" t="s">
        <v>15389</v>
      </c>
      <c r="E2904" s="80" t="s">
        <v>15485</v>
      </c>
      <c r="F2904" t="s">
        <v>15486</v>
      </c>
      <c r="G2904" t="s">
        <v>14464</v>
      </c>
      <c r="H2904" t="s">
        <v>15487</v>
      </c>
      <c r="I2904" s="80" t="s">
        <v>15488</v>
      </c>
      <c r="J2904" t="s">
        <v>14773</v>
      </c>
      <c r="K2904" s="89" t="s">
        <v>582</v>
      </c>
    </row>
    <row r="2905" spans="1:11" x14ac:dyDescent="0.25">
      <c r="A2905" s="123">
        <v>2904</v>
      </c>
      <c r="B2905" s="2" t="s">
        <v>690</v>
      </c>
      <c r="C2905" s="125" t="s">
        <v>188</v>
      </c>
      <c r="D2905" t="s">
        <v>14341</v>
      </c>
      <c r="E2905" s="111" t="s">
        <v>15489</v>
      </c>
      <c r="F2905" t="s">
        <v>15490</v>
      </c>
      <c r="G2905" t="s">
        <v>4368</v>
      </c>
      <c r="H2905" t="s">
        <v>15491</v>
      </c>
      <c r="I2905" s="80" t="s">
        <v>15492</v>
      </c>
      <c r="J2905" t="s">
        <v>15493</v>
      </c>
      <c r="K2905" s="111" t="s">
        <v>15494</v>
      </c>
    </row>
    <row r="2906" spans="1:11" x14ac:dyDescent="0.25">
      <c r="A2906" s="123">
        <v>2905</v>
      </c>
      <c r="B2906" s="2" t="s">
        <v>690</v>
      </c>
      <c r="C2906" s="125" t="s">
        <v>182</v>
      </c>
      <c r="D2906" t="s">
        <v>583</v>
      </c>
      <c r="E2906" t="s">
        <v>15495</v>
      </c>
      <c r="F2906" t="s">
        <v>2194</v>
      </c>
      <c r="G2906" t="s">
        <v>583</v>
      </c>
      <c r="H2906" t="s">
        <v>583</v>
      </c>
      <c r="I2906" t="s">
        <v>5863</v>
      </c>
      <c r="J2906" t="s">
        <v>583</v>
      </c>
      <c r="K2906" t="s">
        <v>6297</v>
      </c>
    </row>
    <row r="2907" spans="1:11" x14ac:dyDescent="0.25">
      <c r="A2907" s="123">
        <v>2906</v>
      </c>
      <c r="B2907" s="2" t="s">
        <v>690</v>
      </c>
      <c r="C2907" s="125" t="s">
        <v>184</v>
      </c>
      <c r="D2907" t="s">
        <v>15208</v>
      </c>
      <c r="E2907" t="s">
        <v>15496</v>
      </c>
      <c r="F2907" t="s">
        <v>12956</v>
      </c>
      <c r="G2907" t="s">
        <v>14445</v>
      </c>
      <c r="H2907" t="s">
        <v>15497</v>
      </c>
      <c r="I2907" s="80" t="s">
        <v>15498</v>
      </c>
      <c r="J2907" t="s">
        <v>14480</v>
      </c>
      <c r="K2907" t="s">
        <v>15499</v>
      </c>
    </row>
    <row r="2908" spans="1:11" x14ac:dyDescent="0.25">
      <c r="A2908" s="123">
        <v>2907</v>
      </c>
      <c r="B2908" s="2" t="s">
        <v>690</v>
      </c>
      <c r="C2908" s="125" t="s">
        <v>187</v>
      </c>
      <c r="D2908" t="s">
        <v>11744</v>
      </c>
      <c r="E2908" t="s">
        <v>15500</v>
      </c>
      <c r="F2908" t="s">
        <v>15501</v>
      </c>
      <c r="G2908" t="s">
        <v>14372</v>
      </c>
      <c r="H2908" t="s">
        <v>15502</v>
      </c>
      <c r="I2908" s="80" t="s">
        <v>15503</v>
      </c>
      <c r="J2908" t="s">
        <v>8115</v>
      </c>
      <c r="K2908" t="s">
        <v>15504</v>
      </c>
    </row>
    <row r="2909" spans="1:11" x14ac:dyDescent="0.25">
      <c r="A2909" s="123">
        <v>2908</v>
      </c>
      <c r="B2909" s="2" t="s">
        <v>690</v>
      </c>
      <c r="C2909" s="125" t="s">
        <v>189</v>
      </c>
      <c r="D2909" t="s">
        <v>15190</v>
      </c>
      <c r="E2909" t="s">
        <v>15505</v>
      </c>
      <c r="F2909" t="s">
        <v>14624</v>
      </c>
      <c r="G2909" t="s">
        <v>14445</v>
      </c>
      <c r="H2909" t="s">
        <v>15506</v>
      </c>
      <c r="I2909" s="80" t="s">
        <v>15507</v>
      </c>
      <c r="J2909" t="s">
        <v>14480</v>
      </c>
      <c r="K2909" t="s">
        <v>15508</v>
      </c>
    </row>
    <row r="2910" spans="1:11" x14ac:dyDescent="0.25">
      <c r="A2910" s="123">
        <v>2909</v>
      </c>
      <c r="B2910" s="2" t="s">
        <v>683</v>
      </c>
      <c r="C2910" s="122" t="s">
        <v>181</v>
      </c>
      <c r="D2910" t="s">
        <v>14415</v>
      </c>
      <c r="E2910" s="80" t="s">
        <v>15509</v>
      </c>
      <c r="F2910" t="s">
        <v>15510</v>
      </c>
      <c r="G2910" t="s">
        <v>14394</v>
      </c>
      <c r="H2910" t="s">
        <v>15511</v>
      </c>
      <c r="I2910" s="80" t="s">
        <v>15512</v>
      </c>
      <c r="J2910" t="s">
        <v>1562</v>
      </c>
      <c r="K2910" s="89" t="s">
        <v>582</v>
      </c>
    </row>
    <row r="2911" spans="1:11" x14ac:dyDescent="0.25">
      <c r="A2911" s="123">
        <v>2910</v>
      </c>
      <c r="B2911" s="2" t="s">
        <v>683</v>
      </c>
      <c r="C2911" s="122" t="s">
        <v>183</v>
      </c>
      <c r="D2911" t="s">
        <v>10527</v>
      </c>
      <c r="E2911" t="s">
        <v>15513</v>
      </c>
      <c r="F2911" t="s">
        <v>15514</v>
      </c>
      <c r="G2911" t="s">
        <v>14682</v>
      </c>
      <c r="H2911" s="80" t="s">
        <v>15515</v>
      </c>
      <c r="I2911" s="80" t="s">
        <v>15516</v>
      </c>
      <c r="J2911" t="s">
        <v>14773</v>
      </c>
      <c r="K2911" s="80" t="s">
        <v>15517</v>
      </c>
    </row>
    <row r="2912" spans="1:11" x14ac:dyDescent="0.25">
      <c r="A2912" s="123">
        <v>2911</v>
      </c>
      <c r="B2912" s="2" t="s">
        <v>683</v>
      </c>
      <c r="C2912" s="122" t="s">
        <v>186</v>
      </c>
      <c r="D2912" t="s">
        <v>14341</v>
      </c>
      <c r="E2912" t="s">
        <v>15518</v>
      </c>
      <c r="F2912" t="s">
        <v>15519</v>
      </c>
      <c r="G2912" t="s">
        <v>14372</v>
      </c>
      <c r="H2912" s="80" t="s">
        <v>15520</v>
      </c>
      <c r="I2912" s="80" t="s">
        <v>15521</v>
      </c>
      <c r="J2912" t="s">
        <v>10548</v>
      </c>
      <c r="K2912" s="80" t="s">
        <v>15522</v>
      </c>
    </row>
    <row r="2913" spans="1:11" x14ac:dyDescent="0.25">
      <c r="A2913" s="123">
        <v>2912</v>
      </c>
      <c r="B2913" s="2" t="s">
        <v>683</v>
      </c>
      <c r="C2913" s="125" t="s">
        <v>188</v>
      </c>
      <c r="D2913" t="s">
        <v>14341</v>
      </c>
      <c r="E2913" s="80" t="s">
        <v>15523</v>
      </c>
      <c r="F2913" t="s">
        <v>15524</v>
      </c>
      <c r="G2913" t="s">
        <v>14464</v>
      </c>
      <c r="H2913" s="80" t="s">
        <v>15525</v>
      </c>
      <c r="I2913" s="80" t="s">
        <v>15526</v>
      </c>
      <c r="J2913" t="s">
        <v>10548</v>
      </c>
      <c r="K2913" s="89" t="s">
        <v>582</v>
      </c>
    </row>
    <row r="2914" spans="1:11" x14ac:dyDescent="0.25">
      <c r="A2914" s="123">
        <v>2913</v>
      </c>
      <c r="B2914" s="2">
        <v>1008</v>
      </c>
      <c r="C2914" s="122" t="s">
        <v>181</v>
      </c>
      <c r="D2914" t="s">
        <v>2075</v>
      </c>
      <c r="E2914" s="111" t="s">
        <v>15527</v>
      </c>
      <c r="F2914" t="s">
        <v>2075</v>
      </c>
      <c r="G2914" t="s">
        <v>583</v>
      </c>
      <c r="H2914" t="s">
        <v>15528</v>
      </c>
      <c r="I2914" t="s">
        <v>12036</v>
      </c>
      <c r="J2914" t="s">
        <v>6257</v>
      </c>
      <c r="K2914" t="s">
        <v>15529</v>
      </c>
    </row>
    <row r="2915" spans="1:11" x14ac:dyDescent="0.25">
      <c r="A2915" s="123">
        <v>2914</v>
      </c>
      <c r="B2915" s="2">
        <v>1008</v>
      </c>
      <c r="C2915" s="122" t="s">
        <v>183</v>
      </c>
      <c r="D2915" t="s">
        <v>15190</v>
      </c>
      <c r="E2915" s="80" t="s">
        <v>15530</v>
      </c>
      <c r="F2915" t="s">
        <v>15531</v>
      </c>
      <c r="G2915" t="s">
        <v>12394</v>
      </c>
      <c r="H2915" t="s">
        <v>15532</v>
      </c>
      <c r="I2915" s="80" t="s">
        <v>15533</v>
      </c>
      <c r="J2915" t="s">
        <v>6089</v>
      </c>
      <c r="K2915" t="s">
        <v>15534</v>
      </c>
    </row>
    <row r="2916" spans="1:11" x14ac:dyDescent="0.25">
      <c r="A2916" s="123">
        <v>2915</v>
      </c>
      <c r="B2916" s="2">
        <v>1008</v>
      </c>
      <c r="C2916" s="125" t="s">
        <v>188</v>
      </c>
      <c r="D2916" t="s">
        <v>14341</v>
      </c>
      <c r="E2916" s="111" t="s">
        <v>15535</v>
      </c>
      <c r="F2916" t="s">
        <v>15536</v>
      </c>
      <c r="G2916" t="s">
        <v>14372</v>
      </c>
      <c r="H2916" t="s">
        <v>15537</v>
      </c>
      <c r="I2916" s="80" t="s">
        <v>15538</v>
      </c>
      <c r="J2916" t="s">
        <v>1562</v>
      </c>
      <c r="K2916" s="111" t="s">
        <v>15539</v>
      </c>
    </row>
    <row r="2917" spans="1:11" x14ac:dyDescent="0.25">
      <c r="A2917" s="123">
        <v>2916</v>
      </c>
      <c r="B2917" s="2">
        <v>1008</v>
      </c>
      <c r="C2917" s="125" t="s">
        <v>182</v>
      </c>
      <c r="D2917" t="s">
        <v>583</v>
      </c>
      <c r="E2917" t="s">
        <v>15540</v>
      </c>
      <c r="F2917" t="s">
        <v>5797</v>
      </c>
      <c r="G2917" t="s">
        <v>583</v>
      </c>
      <c r="H2917" t="s">
        <v>7243</v>
      </c>
      <c r="I2917" t="s">
        <v>11627</v>
      </c>
      <c r="J2917" t="s">
        <v>583</v>
      </c>
      <c r="K2917" s="80" t="s">
        <v>6297</v>
      </c>
    </row>
    <row r="2918" spans="1:11" x14ac:dyDescent="0.25">
      <c r="A2918" s="123">
        <v>2917</v>
      </c>
      <c r="B2918" s="2">
        <v>1008</v>
      </c>
      <c r="C2918" s="125" t="s">
        <v>184</v>
      </c>
      <c r="D2918" t="s">
        <v>583</v>
      </c>
      <c r="E2918" t="s">
        <v>15541</v>
      </c>
      <c r="F2918" t="s">
        <v>4489</v>
      </c>
      <c r="G2918" t="s">
        <v>12394</v>
      </c>
      <c r="H2918" t="s">
        <v>15542</v>
      </c>
      <c r="I2918" s="80" t="s">
        <v>15543</v>
      </c>
      <c r="J2918" t="s">
        <v>6179</v>
      </c>
      <c r="K2918" t="s">
        <v>15544</v>
      </c>
    </row>
    <row r="2919" spans="1:11" x14ac:dyDescent="0.25">
      <c r="A2919" s="123">
        <v>2918</v>
      </c>
      <c r="B2919" s="2">
        <v>1008</v>
      </c>
      <c r="C2919" s="125" t="s">
        <v>187</v>
      </c>
      <c r="D2919" t="s">
        <v>583</v>
      </c>
      <c r="E2919" t="s">
        <v>15545</v>
      </c>
      <c r="F2919" t="s">
        <v>9913</v>
      </c>
      <c r="G2919" s="80" t="s">
        <v>3657</v>
      </c>
      <c r="H2919" t="s">
        <v>15546</v>
      </c>
      <c r="I2919" t="s">
        <v>15547</v>
      </c>
      <c r="J2919" t="s">
        <v>583</v>
      </c>
      <c r="K2919" t="s">
        <v>15548</v>
      </c>
    </row>
    <row r="2920" spans="1:11" x14ac:dyDescent="0.25">
      <c r="A2920" s="123">
        <v>2919</v>
      </c>
      <c r="B2920" s="2">
        <v>1008</v>
      </c>
      <c r="C2920" s="125" t="s">
        <v>189</v>
      </c>
      <c r="D2920" s="80" t="s">
        <v>6178</v>
      </c>
      <c r="E2920" t="s">
        <v>15549</v>
      </c>
      <c r="F2920" t="s">
        <v>15550</v>
      </c>
      <c r="G2920" t="s">
        <v>14445</v>
      </c>
      <c r="H2920" t="s">
        <v>15551</v>
      </c>
      <c r="I2920" s="80" t="s">
        <v>15552</v>
      </c>
      <c r="J2920" t="s">
        <v>14752</v>
      </c>
      <c r="K2920" t="s">
        <v>15553</v>
      </c>
    </row>
    <row r="2921" spans="1:11" x14ac:dyDescent="0.25">
      <c r="A2921" s="123">
        <v>2920</v>
      </c>
      <c r="B2921" s="2">
        <v>2001</v>
      </c>
      <c r="C2921" s="122" t="s">
        <v>162</v>
      </c>
      <c r="D2921" t="s">
        <v>583</v>
      </c>
      <c r="E2921" t="s">
        <v>15554</v>
      </c>
      <c r="F2921" t="s">
        <v>583</v>
      </c>
      <c r="G2921" t="s">
        <v>583</v>
      </c>
      <c r="H2921" t="s">
        <v>583</v>
      </c>
      <c r="I2921" t="s">
        <v>5465</v>
      </c>
      <c r="J2921" t="s">
        <v>583</v>
      </c>
      <c r="K2921" t="s">
        <v>8199</v>
      </c>
    </row>
    <row r="2922" spans="1:11" x14ac:dyDescent="0.25">
      <c r="A2922" s="123">
        <v>2921</v>
      </c>
      <c r="B2922" s="2">
        <v>2001</v>
      </c>
      <c r="C2922" s="122" t="s">
        <v>170</v>
      </c>
      <c r="D2922" s="80" t="s">
        <v>6178</v>
      </c>
      <c r="E2922" t="s">
        <v>15555</v>
      </c>
      <c r="F2922" t="s">
        <v>15556</v>
      </c>
      <c r="G2922" s="80" t="s">
        <v>10223</v>
      </c>
      <c r="H2922" t="s">
        <v>15557</v>
      </c>
      <c r="I2922" s="80" t="s">
        <v>15558</v>
      </c>
      <c r="J2922" s="80" t="s">
        <v>6179</v>
      </c>
      <c r="K2922" t="s">
        <v>15559</v>
      </c>
    </row>
    <row r="2923" spans="1:11" x14ac:dyDescent="0.25">
      <c r="A2923" s="123">
        <v>2922</v>
      </c>
      <c r="B2923" s="2">
        <v>2001</v>
      </c>
      <c r="C2923" s="122" t="s">
        <v>178</v>
      </c>
      <c r="D2923" t="s">
        <v>15560</v>
      </c>
      <c r="E2923" s="80" t="s">
        <v>15561</v>
      </c>
      <c r="F2923" t="s">
        <v>15562</v>
      </c>
      <c r="G2923" t="s">
        <v>14372</v>
      </c>
      <c r="H2923" s="80" t="s">
        <v>15563</v>
      </c>
      <c r="I2923" s="80" t="s">
        <v>15564</v>
      </c>
      <c r="J2923" t="s">
        <v>14752</v>
      </c>
      <c r="K2923">
        <v>2010</v>
      </c>
    </row>
    <row r="2924" spans="1:11" x14ac:dyDescent="0.25">
      <c r="A2924" s="123">
        <v>2923</v>
      </c>
      <c r="B2924" s="2">
        <v>2001</v>
      </c>
      <c r="C2924" s="122" t="s">
        <v>163</v>
      </c>
      <c r="D2924" t="s">
        <v>15565</v>
      </c>
      <c r="E2924" t="s">
        <v>15566</v>
      </c>
      <c r="F2924" t="s">
        <v>14589</v>
      </c>
      <c r="G2924" t="s">
        <v>14682</v>
      </c>
      <c r="H2924" t="s">
        <v>15567</v>
      </c>
      <c r="I2924" s="80" t="s">
        <v>15568</v>
      </c>
      <c r="J2924" t="s">
        <v>8115</v>
      </c>
      <c r="K2924" s="80" t="s">
        <v>15569</v>
      </c>
    </row>
    <row r="2925" spans="1:11" x14ac:dyDescent="0.25">
      <c r="A2925" s="123">
        <v>2924</v>
      </c>
      <c r="B2925" s="2">
        <v>2001</v>
      </c>
      <c r="C2925" s="122" t="s">
        <v>181</v>
      </c>
      <c r="D2925" s="80" t="s">
        <v>6178</v>
      </c>
      <c r="E2925" s="80" t="s">
        <v>15570</v>
      </c>
      <c r="F2925" t="s">
        <v>6904</v>
      </c>
      <c r="G2925" s="80" t="s">
        <v>3657</v>
      </c>
      <c r="H2925" t="s">
        <v>15571</v>
      </c>
      <c r="I2925" t="s">
        <v>15572</v>
      </c>
      <c r="J2925" t="s">
        <v>6257</v>
      </c>
      <c r="K2925" t="s">
        <v>15573</v>
      </c>
    </row>
    <row r="2926" spans="1:11" x14ac:dyDescent="0.25">
      <c r="A2926" s="123">
        <v>2925</v>
      </c>
      <c r="B2926" s="2">
        <v>2001</v>
      </c>
      <c r="C2926" s="122" t="s">
        <v>183</v>
      </c>
      <c r="D2926" t="s">
        <v>15190</v>
      </c>
      <c r="E2926" s="80" t="s">
        <v>15574</v>
      </c>
      <c r="F2926" t="s">
        <v>2313</v>
      </c>
      <c r="G2926" t="s">
        <v>5071</v>
      </c>
      <c r="H2926" t="s">
        <v>15575</v>
      </c>
      <c r="I2926" s="80" t="s">
        <v>15576</v>
      </c>
      <c r="J2926" t="s">
        <v>14441</v>
      </c>
      <c r="K2926" s="80" t="s">
        <v>15577</v>
      </c>
    </row>
    <row r="2927" spans="1:11" x14ac:dyDescent="0.25">
      <c r="A2927" s="123">
        <v>2927</v>
      </c>
      <c r="B2927" s="2">
        <v>2001</v>
      </c>
      <c r="C2927" s="125" t="s">
        <v>188</v>
      </c>
      <c r="D2927" t="s">
        <v>3678</v>
      </c>
      <c r="E2927" t="s">
        <v>15578</v>
      </c>
      <c r="F2927" t="s">
        <v>15579</v>
      </c>
      <c r="G2927" t="s">
        <v>14445</v>
      </c>
      <c r="H2927" s="80" t="s">
        <v>15580</v>
      </c>
      <c r="I2927" s="80" t="s">
        <v>15581</v>
      </c>
      <c r="J2927" t="s">
        <v>14441</v>
      </c>
      <c r="K2927" s="80" t="s">
        <v>15582</v>
      </c>
    </row>
    <row r="2928" spans="1:11" x14ac:dyDescent="0.25">
      <c r="A2928" s="123">
        <v>2928</v>
      </c>
      <c r="B2928" s="2">
        <v>2001</v>
      </c>
      <c r="C2928" s="125" t="s">
        <v>182</v>
      </c>
      <c r="D2928" t="s">
        <v>583</v>
      </c>
      <c r="E2928" t="s">
        <v>15583</v>
      </c>
      <c r="F2928" t="s">
        <v>583</v>
      </c>
      <c r="G2928" t="s">
        <v>583</v>
      </c>
      <c r="H2928" t="s">
        <v>11627</v>
      </c>
      <c r="I2928" t="s">
        <v>14709</v>
      </c>
      <c r="J2928" t="s">
        <v>583</v>
      </c>
      <c r="K2928" t="s">
        <v>2549</v>
      </c>
    </row>
    <row r="2929" spans="1:11" x14ac:dyDescent="0.25">
      <c r="A2929" s="123">
        <v>2929</v>
      </c>
      <c r="B2929" s="2">
        <v>2001</v>
      </c>
      <c r="C2929" s="125" t="s">
        <v>184</v>
      </c>
      <c r="D2929" t="s">
        <v>14314</v>
      </c>
      <c r="E2929" t="s">
        <v>15584</v>
      </c>
      <c r="F2929" t="s">
        <v>15585</v>
      </c>
      <c r="G2929" t="s">
        <v>14583</v>
      </c>
      <c r="H2929" t="s">
        <v>15586</v>
      </c>
      <c r="I2929" s="80" t="s">
        <v>15587</v>
      </c>
      <c r="J2929" t="s">
        <v>6257</v>
      </c>
      <c r="K2929" t="s">
        <v>15588</v>
      </c>
    </row>
    <row r="2930" spans="1:11" x14ac:dyDescent="0.25">
      <c r="A2930" s="123">
        <v>2930</v>
      </c>
      <c r="B2930" s="2">
        <v>2001</v>
      </c>
      <c r="C2930" s="125" t="s">
        <v>187</v>
      </c>
      <c r="D2930" t="s">
        <v>15589</v>
      </c>
      <c r="E2930" t="s">
        <v>15590</v>
      </c>
      <c r="F2930" t="s">
        <v>12956</v>
      </c>
      <c r="G2930" s="80" t="s">
        <v>3657</v>
      </c>
      <c r="H2930" s="80" t="s">
        <v>15591</v>
      </c>
      <c r="I2930" s="80" t="s">
        <v>15592</v>
      </c>
      <c r="J2930" t="s">
        <v>14752</v>
      </c>
      <c r="K2930" t="s">
        <v>15593</v>
      </c>
    </row>
    <row r="2931" spans="1:11" x14ac:dyDescent="0.25">
      <c r="A2931" s="123">
        <v>2931</v>
      </c>
      <c r="B2931" s="2">
        <v>2001</v>
      </c>
      <c r="C2931" s="125" t="s">
        <v>189</v>
      </c>
      <c r="D2931" t="s">
        <v>15594</v>
      </c>
      <c r="E2931" t="s">
        <v>15595</v>
      </c>
      <c r="F2931" t="s">
        <v>5218</v>
      </c>
      <c r="G2931" t="s">
        <v>12437</v>
      </c>
      <c r="H2931" t="s">
        <v>15596</v>
      </c>
      <c r="I2931" s="80" t="s">
        <v>15597</v>
      </c>
      <c r="J2931" t="s">
        <v>3896</v>
      </c>
      <c r="K2931" t="s">
        <v>15598</v>
      </c>
    </row>
    <row r="2932" spans="1:11" x14ac:dyDescent="0.25">
      <c r="A2932" s="123">
        <v>2932</v>
      </c>
      <c r="B2932" s="2">
        <v>2002</v>
      </c>
      <c r="C2932" s="122" t="s">
        <v>162</v>
      </c>
      <c r="D2932" t="s">
        <v>583</v>
      </c>
      <c r="E2932" s="80" t="s">
        <v>15599</v>
      </c>
      <c r="F2932" t="s">
        <v>583</v>
      </c>
      <c r="G2932" t="s">
        <v>583</v>
      </c>
      <c r="H2932" t="s">
        <v>6740</v>
      </c>
      <c r="I2932" t="s">
        <v>10240</v>
      </c>
      <c r="J2932" t="s">
        <v>583</v>
      </c>
      <c r="K2932" t="s">
        <v>1548</v>
      </c>
    </row>
    <row r="2933" spans="1:11" x14ac:dyDescent="0.25">
      <c r="A2933" s="123">
        <v>2933</v>
      </c>
      <c r="B2933" s="2">
        <v>2002</v>
      </c>
      <c r="C2933" s="122" t="s">
        <v>170</v>
      </c>
      <c r="D2933" s="80">
        <v>0</v>
      </c>
      <c r="E2933" s="80" t="s">
        <v>15600</v>
      </c>
      <c r="F2933" t="s">
        <v>15601</v>
      </c>
      <c r="G2933" t="s">
        <v>12437</v>
      </c>
      <c r="H2933" t="s">
        <v>15602</v>
      </c>
      <c r="I2933" s="80" t="s">
        <v>15603</v>
      </c>
      <c r="J2933" t="s">
        <v>8693</v>
      </c>
      <c r="K2933" t="s">
        <v>12395</v>
      </c>
    </row>
    <row r="2934" spans="1:11" x14ac:dyDescent="0.25">
      <c r="A2934" s="123">
        <v>2934</v>
      </c>
      <c r="B2934" s="2">
        <v>2002</v>
      </c>
      <c r="C2934" s="122" t="s">
        <v>178</v>
      </c>
      <c r="D2934" t="s">
        <v>14341</v>
      </c>
      <c r="E2934" s="80" t="s">
        <v>15604</v>
      </c>
      <c r="F2934" t="s">
        <v>15605</v>
      </c>
      <c r="G2934" t="s">
        <v>14682</v>
      </c>
      <c r="H2934" s="80" t="s">
        <v>15606</v>
      </c>
      <c r="I2934" s="80" t="s">
        <v>15607</v>
      </c>
      <c r="J2934" t="s">
        <v>14504</v>
      </c>
      <c r="K2934" t="s">
        <v>15608</v>
      </c>
    </row>
    <row r="2935" spans="1:11" x14ac:dyDescent="0.25">
      <c r="A2935" s="123">
        <v>2935</v>
      </c>
      <c r="B2935" s="2">
        <v>2002</v>
      </c>
      <c r="C2935" s="122" t="s">
        <v>163</v>
      </c>
      <c r="D2935" t="s">
        <v>15609</v>
      </c>
      <c r="E2935" s="80" t="s">
        <v>15610</v>
      </c>
      <c r="F2935" t="s">
        <v>15611</v>
      </c>
      <c r="G2935" t="s">
        <v>4368</v>
      </c>
      <c r="H2935" s="80" t="s">
        <v>15612</v>
      </c>
      <c r="I2935" s="80" t="s">
        <v>15613</v>
      </c>
      <c r="J2935" t="s">
        <v>14839</v>
      </c>
      <c r="K2935" s="111" t="s">
        <v>15614</v>
      </c>
    </row>
    <row r="2936" spans="1:11" x14ac:dyDescent="0.25">
      <c r="A2936" s="123">
        <v>2936</v>
      </c>
      <c r="B2936" s="2">
        <v>2002</v>
      </c>
      <c r="C2936" s="122" t="s">
        <v>181</v>
      </c>
      <c r="D2936" t="s">
        <v>583</v>
      </c>
      <c r="E2936" t="s">
        <v>15615</v>
      </c>
      <c r="F2936" t="s">
        <v>583</v>
      </c>
      <c r="G2936" t="s">
        <v>583</v>
      </c>
      <c r="H2936" t="s">
        <v>2761</v>
      </c>
      <c r="I2936" t="s">
        <v>15616</v>
      </c>
      <c r="J2936" t="s">
        <v>583</v>
      </c>
      <c r="K2936" t="s">
        <v>1645</v>
      </c>
    </row>
    <row r="2937" spans="1:11" x14ac:dyDescent="0.25">
      <c r="A2937" s="123">
        <v>2937</v>
      </c>
      <c r="B2937" s="2">
        <v>2002</v>
      </c>
      <c r="C2937" s="122" t="s">
        <v>183</v>
      </c>
      <c r="D2937" t="s">
        <v>15217</v>
      </c>
      <c r="E2937" t="s">
        <v>15617</v>
      </c>
      <c r="F2937" t="s">
        <v>15618</v>
      </c>
      <c r="G2937" t="s">
        <v>12437</v>
      </c>
      <c r="H2937" t="s">
        <v>15619</v>
      </c>
      <c r="I2937" s="80" t="s">
        <v>15620</v>
      </c>
      <c r="J2937" t="s">
        <v>14968</v>
      </c>
      <c r="K2937" t="s">
        <v>15621</v>
      </c>
    </row>
    <row r="2938" spans="1:11" x14ac:dyDescent="0.25">
      <c r="A2938" s="123">
        <v>2938</v>
      </c>
      <c r="B2938" s="2">
        <v>2002</v>
      </c>
      <c r="C2938" s="122" t="s">
        <v>186</v>
      </c>
      <c r="D2938" t="s">
        <v>15190</v>
      </c>
      <c r="E2938" t="s">
        <v>15622</v>
      </c>
      <c r="F2938" t="s">
        <v>15623</v>
      </c>
      <c r="G2938" t="s">
        <v>12394</v>
      </c>
      <c r="H2938" t="s">
        <v>15624</v>
      </c>
      <c r="I2938" s="80" t="s">
        <v>15625</v>
      </c>
      <c r="J2938" t="s">
        <v>14968</v>
      </c>
      <c r="K2938" s="80" t="s">
        <v>15626</v>
      </c>
    </row>
    <row r="2939" spans="1:11" x14ac:dyDescent="0.25">
      <c r="A2939" s="123">
        <v>2939</v>
      </c>
      <c r="B2939" s="2">
        <v>2002</v>
      </c>
      <c r="C2939" s="125" t="s">
        <v>188</v>
      </c>
      <c r="D2939" t="s">
        <v>7640</v>
      </c>
      <c r="E2939" s="80" t="s">
        <v>15627</v>
      </c>
      <c r="F2939" t="s">
        <v>15628</v>
      </c>
      <c r="G2939" t="s">
        <v>12437</v>
      </c>
      <c r="H2939" t="s">
        <v>15629</v>
      </c>
      <c r="I2939" s="80" t="s">
        <v>15630</v>
      </c>
      <c r="J2939" t="s">
        <v>6089</v>
      </c>
      <c r="K2939" t="s">
        <v>15631</v>
      </c>
    </row>
    <row r="2940" spans="1:11" x14ac:dyDescent="0.25">
      <c r="A2940" s="123">
        <v>2940</v>
      </c>
      <c r="B2940" s="2">
        <v>2002</v>
      </c>
      <c r="C2940" s="125" t="s">
        <v>182</v>
      </c>
      <c r="D2940" t="s">
        <v>583</v>
      </c>
      <c r="E2940" t="s">
        <v>15632</v>
      </c>
      <c r="F2940" t="s">
        <v>583</v>
      </c>
      <c r="G2940" s="80" t="s">
        <v>3657</v>
      </c>
      <c r="H2940" t="s">
        <v>12826</v>
      </c>
      <c r="I2940" t="s">
        <v>15633</v>
      </c>
      <c r="J2940" t="s">
        <v>583</v>
      </c>
      <c r="K2940" t="s">
        <v>8074</v>
      </c>
    </row>
    <row r="2941" spans="1:11" x14ac:dyDescent="0.25">
      <c r="A2941" s="123">
        <v>2941</v>
      </c>
      <c r="B2941" s="2">
        <v>2002</v>
      </c>
      <c r="C2941" s="125" t="s">
        <v>184</v>
      </c>
      <c r="D2941" t="s">
        <v>10527</v>
      </c>
      <c r="E2941" t="s">
        <v>15634</v>
      </c>
      <c r="F2941" t="s">
        <v>15635</v>
      </c>
      <c r="G2941" t="s">
        <v>14394</v>
      </c>
      <c r="H2941" t="s">
        <v>15636</v>
      </c>
      <c r="I2941" s="80" t="s">
        <v>15637</v>
      </c>
      <c r="J2941" t="s">
        <v>14504</v>
      </c>
      <c r="K2941" t="s">
        <v>15638</v>
      </c>
    </row>
    <row r="2942" spans="1:11" x14ac:dyDescent="0.25">
      <c r="A2942" s="123">
        <v>2942</v>
      </c>
      <c r="B2942" s="2">
        <v>2002</v>
      </c>
      <c r="C2942" s="125" t="s">
        <v>187</v>
      </c>
      <c r="D2942" t="s">
        <v>15639</v>
      </c>
      <c r="E2942" t="s">
        <v>15640</v>
      </c>
      <c r="F2942" t="s">
        <v>15641</v>
      </c>
      <c r="G2942" t="s">
        <v>14394</v>
      </c>
      <c r="H2942" t="s">
        <v>15642</v>
      </c>
      <c r="I2942" s="80" t="s">
        <v>15643</v>
      </c>
      <c r="J2942" t="s">
        <v>14413</v>
      </c>
      <c r="K2942" s="80" t="s">
        <v>15644</v>
      </c>
    </row>
    <row r="2943" spans="1:11" x14ac:dyDescent="0.25">
      <c r="A2943" s="123">
        <v>2943</v>
      </c>
      <c r="B2943" s="2">
        <v>2002</v>
      </c>
      <c r="C2943" s="125" t="s">
        <v>189</v>
      </c>
      <c r="D2943" t="s">
        <v>15645</v>
      </c>
      <c r="E2943" t="s">
        <v>15646</v>
      </c>
      <c r="F2943" t="s">
        <v>7378</v>
      </c>
      <c r="G2943" t="s">
        <v>12437</v>
      </c>
      <c r="H2943" t="s">
        <v>15647</v>
      </c>
      <c r="I2943" s="80" t="s">
        <v>15648</v>
      </c>
      <c r="J2943" t="s">
        <v>14504</v>
      </c>
      <c r="K2943" s="80" t="s">
        <v>15649</v>
      </c>
    </row>
    <row r="2944" spans="1:11" x14ac:dyDescent="0.25">
      <c r="A2944" s="123">
        <v>2944</v>
      </c>
      <c r="B2944" s="2">
        <v>1003</v>
      </c>
      <c r="C2944" s="122" t="s">
        <v>162</v>
      </c>
      <c r="D2944" t="s">
        <v>583</v>
      </c>
      <c r="E2944" s="80" t="s">
        <v>15650</v>
      </c>
      <c r="F2944" t="s">
        <v>583</v>
      </c>
      <c r="G2944" t="s">
        <v>583</v>
      </c>
      <c r="H2944" t="s">
        <v>5310</v>
      </c>
      <c r="I2944" t="s">
        <v>15651</v>
      </c>
      <c r="J2944" t="s">
        <v>583</v>
      </c>
      <c r="K2944" t="s">
        <v>9385</v>
      </c>
    </row>
    <row r="2945" spans="1:11" x14ac:dyDescent="0.25">
      <c r="A2945" s="123">
        <v>2945</v>
      </c>
      <c r="B2945" s="2">
        <v>1003</v>
      </c>
      <c r="C2945" s="122" t="s">
        <v>170</v>
      </c>
      <c r="D2945" t="s">
        <v>15652</v>
      </c>
      <c r="E2945" s="111" t="s">
        <v>15653</v>
      </c>
      <c r="F2945" t="s">
        <v>15654</v>
      </c>
      <c r="G2945" t="s">
        <v>14372</v>
      </c>
      <c r="H2945" t="s">
        <v>15655</v>
      </c>
      <c r="I2945" s="80" t="s">
        <v>15656</v>
      </c>
      <c r="J2945" t="s">
        <v>14329</v>
      </c>
      <c r="K2945" t="s">
        <v>15657</v>
      </c>
    </row>
    <row r="2946" spans="1:11" x14ac:dyDescent="0.25">
      <c r="A2946" s="123">
        <v>2946</v>
      </c>
      <c r="B2946" s="2">
        <v>1003</v>
      </c>
      <c r="C2946" s="122" t="s">
        <v>178</v>
      </c>
      <c r="D2946" t="s">
        <v>15658</v>
      </c>
      <c r="E2946" s="80" t="s">
        <v>15659</v>
      </c>
      <c r="F2946" t="s">
        <v>15660</v>
      </c>
      <c r="G2946" t="s">
        <v>4368</v>
      </c>
      <c r="H2946" s="111" t="s">
        <v>15661</v>
      </c>
      <c r="I2946" s="80" t="s">
        <v>15662</v>
      </c>
      <c r="J2946" t="s">
        <v>14738</v>
      </c>
      <c r="K2946" s="80" t="s">
        <v>15663</v>
      </c>
    </row>
    <row r="2947" spans="1:11" x14ac:dyDescent="0.25">
      <c r="A2947" s="123">
        <v>2947</v>
      </c>
      <c r="B2947" s="2">
        <v>1003</v>
      </c>
      <c r="C2947" s="122" t="s">
        <v>163</v>
      </c>
      <c r="D2947" t="s">
        <v>15664</v>
      </c>
      <c r="E2947" s="80" t="s">
        <v>15665</v>
      </c>
      <c r="F2947" t="s">
        <v>15666</v>
      </c>
      <c r="G2947" t="s">
        <v>4368</v>
      </c>
      <c r="H2947" s="80" t="s">
        <v>15667</v>
      </c>
      <c r="I2947" s="80" t="s">
        <v>15668</v>
      </c>
      <c r="J2947" t="s">
        <v>14567</v>
      </c>
      <c r="K2947" s="111" t="s">
        <v>15669</v>
      </c>
    </row>
    <row r="2948" spans="1:11" x14ac:dyDescent="0.25">
      <c r="A2948" s="123">
        <v>2948</v>
      </c>
      <c r="B2948" s="2">
        <v>1003</v>
      </c>
      <c r="C2948" s="122" t="s">
        <v>181</v>
      </c>
      <c r="D2948" t="s">
        <v>583</v>
      </c>
      <c r="E2948" s="80" t="s">
        <v>15670</v>
      </c>
      <c r="F2948" t="s">
        <v>583</v>
      </c>
      <c r="G2948" t="s">
        <v>583</v>
      </c>
      <c r="H2948" t="s">
        <v>15671</v>
      </c>
      <c r="I2948" t="s">
        <v>15672</v>
      </c>
      <c r="J2948" t="s">
        <v>583</v>
      </c>
      <c r="K2948" t="s">
        <v>15673</v>
      </c>
    </row>
    <row r="2949" spans="1:11" x14ac:dyDescent="0.25">
      <c r="A2949" s="123">
        <v>2949</v>
      </c>
      <c r="B2949" s="2">
        <v>1003</v>
      </c>
      <c r="C2949" s="122" t="s">
        <v>183</v>
      </c>
      <c r="D2949" t="s">
        <v>15190</v>
      </c>
      <c r="E2949" s="80" t="s">
        <v>15674</v>
      </c>
      <c r="F2949" t="s">
        <v>15675</v>
      </c>
      <c r="G2949" t="s">
        <v>14445</v>
      </c>
      <c r="H2949" t="s">
        <v>15676</v>
      </c>
      <c r="I2949" s="80" t="s">
        <v>15677</v>
      </c>
      <c r="J2949" t="s">
        <v>14950</v>
      </c>
      <c r="K2949" s="80" t="s">
        <v>15678</v>
      </c>
    </row>
    <row r="2950" spans="1:11" x14ac:dyDescent="0.25">
      <c r="A2950" s="123">
        <v>2950</v>
      </c>
      <c r="B2950" s="2">
        <v>1003</v>
      </c>
      <c r="C2950" s="122" t="s">
        <v>186</v>
      </c>
      <c r="D2950" t="s">
        <v>14624</v>
      </c>
      <c r="E2950" t="s">
        <v>15679</v>
      </c>
      <c r="F2950" t="s">
        <v>15680</v>
      </c>
      <c r="G2950" t="s">
        <v>14394</v>
      </c>
      <c r="H2950" t="s">
        <v>15681</v>
      </c>
      <c r="I2950" s="80" t="s">
        <v>15682</v>
      </c>
      <c r="J2950" t="s">
        <v>14773</v>
      </c>
      <c r="K2950" s="80" t="s">
        <v>15683</v>
      </c>
    </row>
    <row r="2951" spans="1:11" x14ac:dyDescent="0.25">
      <c r="A2951" s="123">
        <v>2951</v>
      </c>
      <c r="B2951" s="2">
        <v>1003</v>
      </c>
      <c r="C2951" s="125" t="s">
        <v>188</v>
      </c>
      <c r="D2951" t="s">
        <v>583</v>
      </c>
      <c r="E2951" t="s">
        <v>15684</v>
      </c>
      <c r="F2951" t="s">
        <v>15685</v>
      </c>
      <c r="G2951" t="s">
        <v>583</v>
      </c>
      <c r="H2951" t="s">
        <v>15686</v>
      </c>
      <c r="I2951" s="80" t="s">
        <v>15687</v>
      </c>
      <c r="J2951" t="s">
        <v>8115</v>
      </c>
      <c r="K2951" s="111" t="s">
        <v>15688</v>
      </c>
    </row>
    <row r="2952" spans="1:11" x14ac:dyDescent="0.25">
      <c r="A2952" s="123">
        <v>2952</v>
      </c>
      <c r="B2952" s="2">
        <v>1003</v>
      </c>
      <c r="C2952" s="125" t="s">
        <v>182</v>
      </c>
      <c r="D2952" t="s">
        <v>583</v>
      </c>
      <c r="E2952" t="s">
        <v>15689</v>
      </c>
      <c r="F2952" t="s">
        <v>583</v>
      </c>
      <c r="G2952" s="80" t="s">
        <v>3657</v>
      </c>
      <c r="H2952" t="s">
        <v>6257</v>
      </c>
      <c r="I2952" t="s">
        <v>9932</v>
      </c>
      <c r="J2952" t="s">
        <v>583</v>
      </c>
      <c r="K2952" t="s">
        <v>8199</v>
      </c>
    </row>
    <row r="2953" spans="1:11" x14ac:dyDescent="0.25">
      <c r="A2953" s="123">
        <v>2953</v>
      </c>
      <c r="B2953" s="2">
        <v>1003</v>
      </c>
      <c r="C2953" s="125" t="s">
        <v>184</v>
      </c>
      <c r="D2953" t="s">
        <v>2075</v>
      </c>
      <c r="E2953" t="s">
        <v>15690</v>
      </c>
      <c r="F2953" t="s">
        <v>15691</v>
      </c>
      <c r="G2953" t="s">
        <v>14688</v>
      </c>
      <c r="H2953" t="s">
        <v>15692</v>
      </c>
      <c r="I2953" s="80" t="s">
        <v>15693</v>
      </c>
      <c r="J2953" t="s">
        <v>8693</v>
      </c>
      <c r="K2953" t="s">
        <v>11994</v>
      </c>
    </row>
    <row r="2954" spans="1:11" x14ac:dyDescent="0.25">
      <c r="A2954" s="123">
        <v>2954</v>
      </c>
      <c r="B2954" s="2">
        <v>1003</v>
      </c>
      <c r="C2954" s="125" t="s">
        <v>187</v>
      </c>
      <c r="D2954" t="s">
        <v>15560</v>
      </c>
      <c r="E2954" s="80" t="s">
        <v>15694</v>
      </c>
      <c r="F2954" t="s">
        <v>15695</v>
      </c>
      <c r="G2954" t="s">
        <v>5071</v>
      </c>
      <c r="H2954" s="80" t="s">
        <v>15696</v>
      </c>
      <c r="I2954" s="80" t="s">
        <v>15697</v>
      </c>
      <c r="J2954" t="s">
        <v>14968</v>
      </c>
      <c r="K2954" t="s">
        <v>15698</v>
      </c>
    </row>
    <row r="2955" spans="1:11" x14ac:dyDescent="0.25">
      <c r="A2955" s="123">
        <v>2955</v>
      </c>
      <c r="B2955" s="2">
        <v>1003</v>
      </c>
      <c r="C2955" s="125" t="s">
        <v>189</v>
      </c>
      <c r="D2955" t="s">
        <v>6741</v>
      </c>
      <c r="E2955" t="s">
        <v>15699</v>
      </c>
      <c r="F2955" t="s">
        <v>15700</v>
      </c>
      <c r="G2955" t="s">
        <v>14445</v>
      </c>
      <c r="H2955" t="s">
        <v>15701</v>
      </c>
      <c r="I2955" s="80" t="s">
        <v>15702</v>
      </c>
      <c r="J2955" t="s">
        <v>14480</v>
      </c>
      <c r="K2955" t="s">
        <v>15703</v>
      </c>
    </row>
    <row r="2956" spans="1:11" x14ac:dyDescent="0.25">
      <c r="A2956" s="123">
        <v>2956</v>
      </c>
      <c r="B2956" s="2">
        <v>1001</v>
      </c>
      <c r="C2956" s="122" t="s">
        <v>162</v>
      </c>
      <c r="D2956" t="s">
        <v>583</v>
      </c>
      <c r="E2956" t="s">
        <v>15704</v>
      </c>
      <c r="F2956" t="s">
        <v>583</v>
      </c>
      <c r="G2956" t="s">
        <v>583</v>
      </c>
      <c r="H2956" t="s">
        <v>3065</v>
      </c>
      <c r="I2956" t="s">
        <v>15705</v>
      </c>
      <c r="J2956" t="s">
        <v>583</v>
      </c>
      <c r="K2956" t="s">
        <v>8074</v>
      </c>
    </row>
    <row r="2957" spans="1:11" x14ac:dyDescent="0.25">
      <c r="A2957" s="123">
        <v>2957</v>
      </c>
      <c r="B2957" s="2">
        <v>1001</v>
      </c>
      <c r="C2957" s="122" t="s">
        <v>170</v>
      </c>
      <c r="D2957" s="80" t="s">
        <v>6178</v>
      </c>
      <c r="E2957" t="s">
        <v>15706</v>
      </c>
      <c r="F2957" t="s">
        <v>15707</v>
      </c>
      <c r="G2957" t="s">
        <v>12394</v>
      </c>
      <c r="H2957" t="s">
        <v>15708</v>
      </c>
      <c r="I2957" s="80" t="s">
        <v>15709</v>
      </c>
      <c r="J2957" t="s">
        <v>14504</v>
      </c>
      <c r="K2957" t="s">
        <v>13940</v>
      </c>
    </row>
    <row r="2958" spans="1:11" x14ac:dyDescent="0.25">
      <c r="A2958" s="123">
        <v>2958</v>
      </c>
      <c r="B2958" s="2">
        <v>1001</v>
      </c>
      <c r="C2958" s="122" t="s">
        <v>178</v>
      </c>
      <c r="D2958" t="s">
        <v>14385</v>
      </c>
      <c r="E2958">
        <v>13911</v>
      </c>
      <c r="F2958" t="s">
        <v>15710</v>
      </c>
      <c r="G2958" t="s">
        <v>14886</v>
      </c>
      <c r="H2958" s="80" t="s">
        <v>15711</v>
      </c>
      <c r="I2958" s="80" t="s">
        <v>15712</v>
      </c>
      <c r="J2958" t="s">
        <v>14791</v>
      </c>
      <c r="K2958" s="80" t="s">
        <v>15713</v>
      </c>
    </row>
    <row r="2959" spans="1:11" x14ac:dyDescent="0.25">
      <c r="A2959" s="123">
        <v>2959</v>
      </c>
      <c r="B2959" s="2">
        <v>1001</v>
      </c>
      <c r="C2959" s="122" t="s">
        <v>163</v>
      </c>
      <c r="D2959" t="s">
        <v>14720</v>
      </c>
      <c r="E2959" s="80" t="s">
        <v>15714</v>
      </c>
      <c r="F2959" t="s">
        <v>15715</v>
      </c>
      <c r="G2959" t="s">
        <v>14394</v>
      </c>
      <c r="H2959" t="s">
        <v>15716</v>
      </c>
      <c r="I2959" s="80" t="s">
        <v>15717</v>
      </c>
      <c r="J2959" t="s">
        <v>14738</v>
      </c>
      <c r="K2959" s="111" t="s">
        <v>15718</v>
      </c>
    </row>
    <row r="2960" spans="1:11" x14ac:dyDescent="0.25">
      <c r="A2960" s="123">
        <v>2960</v>
      </c>
      <c r="B2960" s="2">
        <v>1001</v>
      </c>
      <c r="C2960" s="122" t="s">
        <v>181</v>
      </c>
      <c r="D2960" t="s">
        <v>2075</v>
      </c>
      <c r="E2960" s="80" t="s">
        <v>15719</v>
      </c>
      <c r="F2960" t="s">
        <v>583</v>
      </c>
      <c r="G2960" t="s">
        <v>583</v>
      </c>
      <c r="H2960" t="s">
        <v>15720</v>
      </c>
      <c r="I2960" t="s">
        <v>15721</v>
      </c>
      <c r="J2960" t="s">
        <v>583</v>
      </c>
      <c r="K2960" t="s">
        <v>13349</v>
      </c>
    </row>
    <row r="2961" spans="1:11" x14ac:dyDescent="0.25">
      <c r="A2961" s="123">
        <v>2961</v>
      </c>
      <c r="B2961" s="2">
        <v>1001</v>
      </c>
      <c r="C2961" s="122" t="s">
        <v>183</v>
      </c>
      <c r="D2961" t="s">
        <v>15190</v>
      </c>
      <c r="E2961" s="80" t="s">
        <v>15722</v>
      </c>
      <c r="F2961" t="s">
        <v>15723</v>
      </c>
      <c r="G2961" t="s">
        <v>5071</v>
      </c>
      <c r="H2961" t="s">
        <v>15724</v>
      </c>
      <c r="I2961" s="80" t="s">
        <v>15725</v>
      </c>
      <c r="J2961" t="s">
        <v>15118</v>
      </c>
      <c r="K2961" t="s">
        <v>15726</v>
      </c>
    </row>
    <row r="2962" spans="1:11" x14ac:dyDescent="0.25">
      <c r="A2962" s="123">
        <v>2963</v>
      </c>
      <c r="B2962" s="2">
        <v>1001</v>
      </c>
      <c r="C2962" s="125" t="s">
        <v>188</v>
      </c>
      <c r="D2962" t="s">
        <v>7640</v>
      </c>
      <c r="E2962" s="80" t="s">
        <v>15727</v>
      </c>
      <c r="F2962" t="s">
        <v>5008</v>
      </c>
      <c r="G2962" t="s">
        <v>12437</v>
      </c>
      <c r="H2962" t="s">
        <v>15728</v>
      </c>
      <c r="I2962" s="80" t="s">
        <v>15729</v>
      </c>
      <c r="J2962" t="s">
        <v>8288</v>
      </c>
      <c r="K2962" s="80" t="s">
        <v>15730</v>
      </c>
    </row>
    <row r="2963" spans="1:11" x14ac:dyDescent="0.25">
      <c r="A2963" s="123">
        <v>2964</v>
      </c>
      <c r="B2963" s="2">
        <v>1001</v>
      </c>
      <c r="C2963" s="125" t="s">
        <v>182</v>
      </c>
      <c r="D2963" s="80" t="s">
        <v>6178</v>
      </c>
      <c r="E2963" t="s">
        <v>15731</v>
      </c>
      <c r="F2963" t="s">
        <v>583</v>
      </c>
      <c r="G2963" t="s">
        <v>583</v>
      </c>
      <c r="H2963" t="s">
        <v>583</v>
      </c>
      <c r="I2963" t="s">
        <v>7097</v>
      </c>
      <c r="J2963" t="s">
        <v>583</v>
      </c>
      <c r="K2963" t="s">
        <v>583</v>
      </c>
    </row>
    <row r="2964" spans="1:11" x14ac:dyDescent="0.25">
      <c r="A2964" s="123">
        <v>2965</v>
      </c>
      <c r="B2964" s="2">
        <v>1001</v>
      </c>
      <c r="C2964" s="125" t="s">
        <v>184</v>
      </c>
      <c r="D2964" t="s">
        <v>15217</v>
      </c>
      <c r="E2964" t="s">
        <v>15732</v>
      </c>
      <c r="F2964" t="s">
        <v>2194</v>
      </c>
      <c r="G2964" t="s">
        <v>583</v>
      </c>
      <c r="H2964" t="s">
        <v>15733</v>
      </c>
      <c r="I2964" s="80" t="s">
        <v>15734</v>
      </c>
      <c r="J2964" t="s">
        <v>6179</v>
      </c>
      <c r="K2964" t="s">
        <v>15735</v>
      </c>
    </row>
    <row r="2965" spans="1:11" x14ac:dyDescent="0.25">
      <c r="A2965" s="123">
        <v>2966</v>
      </c>
      <c r="B2965" s="2">
        <v>1001</v>
      </c>
      <c r="C2965" s="125" t="s">
        <v>187</v>
      </c>
      <c r="D2965" t="s">
        <v>15736</v>
      </c>
      <c r="E2965" t="s">
        <v>15737</v>
      </c>
      <c r="F2965" t="s">
        <v>5234</v>
      </c>
      <c r="G2965" s="80" t="s">
        <v>3657</v>
      </c>
      <c r="H2965" t="s">
        <v>15738</v>
      </c>
      <c r="I2965" s="80" t="s">
        <v>15739</v>
      </c>
      <c r="J2965" t="s">
        <v>6045</v>
      </c>
      <c r="K2965" t="s">
        <v>15740</v>
      </c>
    </row>
    <row r="2966" spans="1:11" x14ac:dyDescent="0.25">
      <c r="A2966" s="123">
        <v>2967</v>
      </c>
      <c r="B2966" s="2">
        <v>1001</v>
      </c>
      <c r="C2966" s="125" t="s">
        <v>189</v>
      </c>
      <c r="D2966" t="s">
        <v>2075</v>
      </c>
      <c r="E2966" t="s">
        <v>15741</v>
      </c>
      <c r="F2966" t="s">
        <v>583</v>
      </c>
      <c r="G2966" s="80" t="s">
        <v>3657</v>
      </c>
      <c r="H2966" t="s">
        <v>15742</v>
      </c>
      <c r="I2966" t="s">
        <v>15743</v>
      </c>
      <c r="J2966" t="s">
        <v>6257</v>
      </c>
      <c r="K2966" t="s">
        <v>15744</v>
      </c>
    </row>
  </sheetData>
  <sortState ref="A2:K1275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67"/>
  <sheetViews>
    <sheetView workbookViewId="0">
      <selection activeCell="L2" sqref="L1:U2"/>
    </sheetView>
  </sheetViews>
  <sheetFormatPr defaultRowHeight="15" x14ac:dyDescent="0.25"/>
  <cols>
    <col min="1" max="1" width="9.140625" style="2"/>
    <col min="2" max="2" width="15.5703125" style="2" bestFit="1" customWidth="1"/>
    <col min="3" max="3" width="19" style="2" bestFit="1" customWidth="1"/>
    <col min="4" max="4" width="12.140625" customWidth="1"/>
    <col min="5" max="5" width="14.85546875" customWidth="1"/>
    <col min="6" max="6" width="14.5703125" customWidth="1"/>
    <col min="7" max="7" width="13.5703125" customWidth="1"/>
    <col min="8" max="8" width="14.140625" customWidth="1"/>
    <col min="9" max="9" width="14.7109375" customWidth="1"/>
    <col min="10" max="10" width="14" customWidth="1"/>
    <col min="11" max="11" width="18.7109375" customWidth="1"/>
    <col min="12" max="12" width="18.5703125" customWidth="1"/>
    <col min="13" max="13" width="13.42578125" customWidth="1"/>
    <col min="14" max="14" width="11.7109375" customWidth="1"/>
    <col min="15" max="15" width="13.42578125" customWidth="1"/>
    <col min="16" max="16" width="14.28515625" customWidth="1"/>
    <col min="17" max="17" width="13.7109375" customWidth="1"/>
    <col min="18" max="18" width="14.7109375" customWidth="1"/>
    <col min="19" max="19" width="20.140625" customWidth="1"/>
    <col min="20" max="20" width="14.42578125" customWidth="1"/>
  </cols>
  <sheetData>
    <row r="1" spans="1:21" x14ac:dyDescent="0.25">
      <c r="A1" s="2" t="s">
        <v>579</v>
      </c>
      <c r="B1" s="2" t="s">
        <v>581</v>
      </c>
      <c r="C1" s="2" t="s">
        <v>580</v>
      </c>
      <c r="D1" s="79" t="s">
        <v>584</v>
      </c>
      <c r="E1" s="79" t="s">
        <v>585</v>
      </c>
      <c r="F1" s="79" t="s">
        <v>586</v>
      </c>
      <c r="G1" s="79" t="s">
        <v>587</v>
      </c>
      <c r="H1" s="79" t="s">
        <v>588</v>
      </c>
      <c r="I1" s="79" t="s">
        <v>589</v>
      </c>
      <c r="J1" s="79" t="s">
        <v>590</v>
      </c>
      <c r="K1" s="79" t="s">
        <v>591</v>
      </c>
      <c r="L1" s="79" t="s">
        <v>650</v>
      </c>
      <c r="M1" s="79" t="s">
        <v>651</v>
      </c>
      <c r="N1" s="79" t="s">
        <v>652</v>
      </c>
      <c r="O1" s="79" t="s">
        <v>653</v>
      </c>
      <c r="P1" s="79" t="s">
        <v>654</v>
      </c>
      <c r="Q1" s="79" t="s">
        <v>655</v>
      </c>
      <c r="R1" s="79" t="s">
        <v>656</v>
      </c>
      <c r="S1" s="79" t="s">
        <v>657</v>
      </c>
      <c r="T1" s="79" t="s">
        <v>659</v>
      </c>
      <c r="U1" s="79" t="s">
        <v>658</v>
      </c>
    </row>
    <row r="2" spans="1:21" x14ac:dyDescent="0.25">
      <c r="A2" s="2">
        <v>1</v>
      </c>
      <c r="B2" s="2" t="s">
        <v>1</v>
      </c>
      <c r="C2" s="2" t="s">
        <v>162</v>
      </c>
      <c r="D2">
        <v>46.79</v>
      </c>
      <c r="E2">
        <v>8356.91</v>
      </c>
      <c r="F2">
        <v>5.64</v>
      </c>
      <c r="G2">
        <v>345.98</v>
      </c>
      <c r="H2">
        <v>4.82</v>
      </c>
      <c r="I2">
        <v>1.99</v>
      </c>
      <c r="J2">
        <v>75.12</v>
      </c>
      <c r="K2">
        <v>3.94</v>
      </c>
      <c r="L2">
        <f t="shared" ref="L2:L65" si="0">IF(D2 = "OOR &gt;", 1,0)</f>
        <v>0</v>
      </c>
      <c r="M2">
        <f t="shared" ref="M2:M65" si="1">IF(E2 = "OOR &gt;", 1,0)</f>
        <v>0</v>
      </c>
      <c r="N2">
        <f t="shared" ref="N2:N65" si="2">IF(F2 = "OOR &gt;", 1,0)</f>
        <v>0</v>
      </c>
      <c r="O2">
        <f t="shared" ref="O2:O65" si="3">IF(G2 = "OOR &gt;", 1,0)</f>
        <v>0</v>
      </c>
      <c r="P2">
        <f t="shared" ref="P2:P65" si="4">IF(H2 = "OOR &gt;", 1,0)</f>
        <v>0</v>
      </c>
      <c r="Q2">
        <f t="shared" ref="Q2:Q65" si="5">IF(I2 = "OOR &gt;", 1,0)</f>
        <v>0</v>
      </c>
      <c r="R2">
        <f t="shared" ref="R2:R65" si="6">IF(J2 = "OOR &gt;", 1,0)</f>
        <v>0</v>
      </c>
      <c r="S2">
        <f t="shared" ref="S2:S65" si="7">IF(K2 = "OOR &gt;", 1,0)</f>
        <v>0</v>
      </c>
      <c r="T2">
        <f>SUM(L2:S2)</f>
        <v>0</v>
      </c>
      <c r="U2">
        <f t="shared" ref="U2:U65" si="8">IF(T2 &gt; 0,1,0)</f>
        <v>0</v>
      </c>
    </row>
    <row r="3" spans="1:21" x14ac:dyDescent="0.25">
      <c r="A3" s="2">
        <v>2</v>
      </c>
      <c r="B3" s="2" t="s">
        <v>1</v>
      </c>
      <c r="C3" s="2" t="s">
        <v>170</v>
      </c>
      <c r="D3">
        <v>81.8</v>
      </c>
      <c r="E3">
        <v>20459.25</v>
      </c>
      <c r="F3">
        <v>276.07</v>
      </c>
      <c r="G3">
        <v>774.22</v>
      </c>
      <c r="H3">
        <v>1504.72</v>
      </c>
      <c r="I3" s="81">
        <v>17431.29</v>
      </c>
      <c r="J3">
        <v>176.21</v>
      </c>
      <c r="K3">
        <v>1828.81</v>
      </c>
      <c r="L3">
        <f t="shared" si="0"/>
        <v>0</v>
      </c>
      <c r="M3">
        <f t="shared" si="1"/>
        <v>0</v>
      </c>
      <c r="N3">
        <f t="shared" si="2"/>
        <v>0</v>
      </c>
      <c r="O3">
        <f t="shared" si="3"/>
        <v>0</v>
      </c>
      <c r="P3">
        <f t="shared" si="4"/>
        <v>0</v>
      </c>
      <c r="Q3">
        <f t="shared" si="5"/>
        <v>0</v>
      </c>
      <c r="R3">
        <f t="shared" si="6"/>
        <v>0</v>
      </c>
      <c r="S3">
        <f t="shared" si="7"/>
        <v>0</v>
      </c>
      <c r="T3">
        <f t="shared" ref="T3:T66" si="9">SUMIF(L3:S3,"&gt;0")</f>
        <v>0</v>
      </c>
      <c r="U3">
        <f t="shared" si="8"/>
        <v>0</v>
      </c>
    </row>
    <row r="4" spans="1:21" x14ac:dyDescent="0.25">
      <c r="A4" s="2">
        <v>3</v>
      </c>
      <c r="B4" s="2" t="s">
        <v>1</v>
      </c>
      <c r="C4" s="2" t="s">
        <v>178</v>
      </c>
      <c r="D4">
        <v>113.57</v>
      </c>
      <c r="E4">
        <v>24707.3</v>
      </c>
      <c r="F4">
        <v>1764.24</v>
      </c>
      <c r="G4">
        <v>991.24</v>
      </c>
      <c r="H4">
        <v>9040.07</v>
      </c>
      <c r="I4" s="81">
        <v>32544.9</v>
      </c>
      <c r="J4">
        <v>298.42</v>
      </c>
      <c r="K4">
        <v>4252</v>
      </c>
      <c r="L4">
        <f t="shared" si="0"/>
        <v>0</v>
      </c>
      <c r="M4">
        <f t="shared" si="1"/>
        <v>0</v>
      </c>
      <c r="N4">
        <f t="shared" si="2"/>
        <v>0</v>
      </c>
      <c r="O4">
        <f t="shared" si="3"/>
        <v>0</v>
      </c>
      <c r="P4">
        <f t="shared" si="4"/>
        <v>0</v>
      </c>
      <c r="Q4">
        <f t="shared" si="5"/>
        <v>0</v>
      </c>
      <c r="R4">
        <f t="shared" si="6"/>
        <v>0</v>
      </c>
      <c r="S4">
        <f t="shared" si="7"/>
        <v>0</v>
      </c>
      <c r="T4">
        <f t="shared" si="9"/>
        <v>0</v>
      </c>
      <c r="U4">
        <f t="shared" si="8"/>
        <v>0</v>
      </c>
    </row>
    <row r="5" spans="1:21" x14ac:dyDescent="0.25">
      <c r="A5" s="2">
        <v>4</v>
      </c>
      <c r="B5" s="2" t="s">
        <v>1</v>
      </c>
      <c r="C5" s="2" t="s">
        <v>163</v>
      </c>
      <c r="D5">
        <v>153.9</v>
      </c>
      <c r="E5" s="80">
        <v>53761.72</v>
      </c>
      <c r="F5">
        <v>1216.0899999999999</v>
      </c>
      <c r="G5">
        <v>1613.03</v>
      </c>
      <c r="H5">
        <v>7316.87</v>
      </c>
      <c r="I5" s="81">
        <v>28810.43</v>
      </c>
      <c r="J5">
        <v>426.77</v>
      </c>
      <c r="K5" s="80">
        <v>89650.86</v>
      </c>
      <c r="L5">
        <f t="shared" si="0"/>
        <v>0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9"/>
        <v>0</v>
      </c>
      <c r="U5">
        <f t="shared" si="8"/>
        <v>0</v>
      </c>
    </row>
    <row r="6" spans="1:21" x14ac:dyDescent="0.25">
      <c r="A6" s="2">
        <v>5</v>
      </c>
      <c r="B6" s="92" t="s">
        <v>1</v>
      </c>
      <c r="C6" s="2" t="s">
        <v>181</v>
      </c>
      <c r="D6">
        <v>105.58</v>
      </c>
      <c r="E6" s="89" t="s">
        <v>582</v>
      </c>
      <c r="F6">
        <v>9.6300000000000008</v>
      </c>
      <c r="G6">
        <v>774.22</v>
      </c>
      <c r="H6">
        <v>141.63999999999999</v>
      </c>
      <c r="I6" s="82">
        <v>575.01</v>
      </c>
      <c r="J6">
        <v>206.93</v>
      </c>
      <c r="K6">
        <v>195.34</v>
      </c>
      <c r="L6">
        <f t="shared" si="0"/>
        <v>0</v>
      </c>
      <c r="M6">
        <f t="shared" si="1"/>
        <v>1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9"/>
        <v>1</v>
      </c>
      <c r="U6">
        <f t="shared" si="8"/>
        <v>1</v>
      </c>
    </row>
    <row r="7" spans="1:21" x14ac:dyDescent="0.25">
      <c r="A7" s="2">
        <v>6</v>
      </c>
      <c r="B7" s="92" t="s">
        <v>1</v>
      </c>
      <c r="C7" s="2" t="s">
        <v>183</v>
      </c>
      <c r="D7">
        <v>157.97</v>
      </c>
      <c r="E7" s="89" t="s">
        <v>582</v>
      </c>
      <c r="F7">
        <v>981.75</v>
      </c>
      <c r="G7">
        <v>1209.6500000000001</v>
      </c>
      <c r="H7">
        <v>2610.63</v>
      </c>
      <c r="I7" s="80">
        <v>37877.07</v>
      </c>
      <c r="J7">
        <v>404.2</v>
      </c>
      <c r="K7">
        <v>5330.46</v>
      </c>
      <c r="L7">
        <f t="shared" si="0"/>
        <v>0</v>
      </c>
      <c r="M7">
        <f t="shared" si="1"/>
        <v>1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9"/>
        <v>1</v>
      </c>
      <c r="U7">
        <f t="shared" si="8"/>
        <v>1</v>
      </c>
    </row>
    <row r="8" spans="1:21" x14ac:dyDescent="0.25">
      <c r="A8" s="2">
        <v>7</v>
      </c>
      <c r="B8" s="92" t="s">
        <v>1</v>
      </c>
      <c r="C8" s="2" t="s">
        <v>186</v>
      </c>
      <c r="D8">
        <v>182.46</v>
      </c>
      <c r="E8" s="89" t="s">
        <v>582</v>
      </c>
      <c r="F8" s="80">
        <v>4443.51</v>
      </c>
      <c r="G8">
        <v>1465.94</v>
      </c>
      <c r="H8">
        <v>11432.19</v>
      </c>
      <c r="I8" s="80">
        <v>43905.23</v>
      </c>
      <c r="J8">
        <v>464.31</v>
      </c>
      <c r="K8" s="80">
        <v>22806.07</v>
      </c>
      <c r="L8">
        <f t="shared" si="0"/>
        <v>0</v>
      </c>
      <c r="M8">
        <f t="shared" si="1"/>
        <v>1</v>
      </c>
      <c r="N8">
        <f t="shared" si="2"/>
        <v>0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9"/>
        <v>1</v>
      </c>
      <c r="U8">
        <f t="shared" si="8"/>
        <v>1</v>
      </c>
    </row>
    <row r="9" spans="1:21" x14ac:dyDescent="0.25">
      <c r="A9" s="2">
        <v>8</v>
      </c>
      <c r="B9" s="92" t="s">
        <v>1</v>
      </c>
      <c r="C9" s="2" t="s">
        <v>188</v>
      </c>
      <c r="D9">
        <v>215.37</v>
      </c>
      <c r="E9" s="89" t="s">
        <v>582</v>
      </c>
      <c r="F9">
        <v>1113.06</v>
      </c>
      <c r="G9">
        <v>1539.43</v>
      </c>
      <c r="H9">
        <v>10888.97</v>
      </c>
      <c r="I9" s="80">
        <v>35745.46</v>
      </c>
      <c r="J9">
        <v>583.91</v>
      </c>
      <c r="K9" s="89" t="s">
        <v>582</v>
      </c>
      <c r="L9">
        <f t="shared" si="0"/>
        <v>0</v>
      </c>
      <c r="M9">
        <f t="shared" si="1"/>
        <v>1</v>
      </c>
      <c r="N9">
        <f t="shared" si="2"/>
        <v>0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1</v>
      </c>
      <c r="T9">
        <f t="shared" si="9"/>
        <v>2</v>
      </c>
      <c r="U9">
        <f t="shared" si="8"/>
        <v>1</v>
      </c>
    </row>
    <row r="10" spans="1:21" x14ac:dyDescent="0.25">
      <c r="A10" s="2">
        <v>9</v>
      </c>
      <c r="B10" s="2" t="s">
        <v>1</v>
      </c>
      <c r="C10" s="2" t="s">
        <v>182</v>
      </c>
      <c r="D10" s="80">
        <v>2.65</v>
      </c>
      <c r="E10">
        <v>1155.78</v>
      </c>
      <c r="F10" s="80">
        <v>0.67</v>
      </c>
      <c r="G10" s="80">
        <v>68.59</v>
      </c>
      <c r="H10" s="80" t="s">
        <v>583</v>
      </c>
      <c r="I10" s="80">
        <v>1.65</v>
      </c>
      <c r="J10" s="80">
        <v>2.46</v>
      </c>
      <c r="K10" t="s">
        <v>583</v>
      </c>
      <c r="L10">
        <f t="shared" si="0"/>
        <v>0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9"/>
        <v>0</v>
      </c>
      <c r="U10">
        <f t="shared" si="8"/>
        <v>0</v>
      </c>
    </row>
    <row r="11" spans="1:21" x14ac:dyDescent="0.25">
      <c r="A11" s="2">
        <v>10</v>
      </c>
      <c r="B11" s="2" t="s">
        <v>1</v>
      </c>
      <c r="C11" s="2" t="s">
        <v>184</v>
      </c>
      <c r="D11">
        <v>16.77</v>
      </c>
      <c r="E11">
        <v>7870</v>
      </c>
      <c r="F11">
        <v>52.08</v>
      </c>
      <c r="G11">
        <v>240.74</v>
      </c>
      <c r="H11">
        <v>153.84</v>
      </c>
      <c r="I11" s="80">
        <v>4514.24</v>
      </c>
      <c r="J11">
        <v>67.23</v>
      </c>
      <c r="K11">
        <v>97.85</v>
      </c>
      <c r="L11">
        <f t="shared" si="0"/>
        <v>0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9"/>
        <v>0</v>
      </c>
      <c r="U11">
        <f t="shared" si="8"/>
        <v>0</v>
      </c>
    </row>
    <row r="12" spans="1:21" x14ac:dyDescent="0.25">
      <c r="A12" s="2">
        <v>11</v>
      </c>
      <c r="B12" s="2" t="s">
        <v>1</v>
      </c>
      <c r="C12" s="2" t="s">
        <v>187</v>
      </c>
      <c r="D12">
        <v>73.94</v>
      </c>
      <c r="E12">
        <v>23471.66</v>
      </c>
      <c r="F12">
        <v>381.51</v>
      </c>
      <c r="G12">
        <v>416.65</v>
      </c>
      <c r="H12">
        <v>2006.28</v>
      </c>
      <c r="I12" s="80">
        <v>14669.64</v>
      </c>
      <c r="J12">
        <v>176.21</v>
      </c>
      <c r="K12">
        <v>1350.85</v>
      </c>
      <c r="L12">
        <f t="shared" si="0"/>
        <v>0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>
        <f t="shared" si="7"/>
        <v>0</v>
      </c>
      <c r="T12">
        <f t="shared" si="9"/>
        <v>0</v>
      </c>
      <c r="U12">
        <f t="shared" si="8"/>
        <v>0</v>
      </c>
    </row>
    <row r="13" spans="1:21" x14ac:dyDescent="0.25">
      <c r="A13" s="2">
        <v>12</v>
      </c>
      <c r="B13" s="2" t="s">
        <v>1</v>
      </c>
      <c r="C13" s="2" t="s">
        <v>189</v>
      </c>
      <c r="D13">
        <v>62.23</v>
      </c>
      <c r="E13">
        <v>15654.4</v>
      </c>
      <c r="F13">
        <v>162.63</v>
      </c>
      <c r="G13">
        <v>487.65</v>
      </c>
      <c r="H13">
        <v>977.3</v>
      </c>
      <c r="I13" s="80">
        <v>6753.73</v>
      </c>
      <c r="J13">
        <v>137.59</v>
      </c>
      <c r="K13">
        <v>1698.39</v>
      </c>
      <c r="L13">
        <f t="shared" si="0"/>
        <v>0</v>
      </c>
      <c r="M13">
        <f t="shared" si="1"/>
        <v>0</v>
      </c>
      <c r="N13">
        <f t="shared" si="2"/>
        <v>0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0</v>
      </c>
      <c r="S13">
        <f t="shared" si="7"/>
        <v>0</v>
      </c>
      <c r="T13">
        <f t="shared" si="9"/>
        <v>0</v>
      </c>
      <c r="U13">
        <f t="shared" si="8"/>
        <v>0</v>
      </c>
    </row>
    <row r="14" spans="1:21" x14ac:dyDescent="0.25">
      <c r="A14" s="2">
        <v>13</v>
      </c>
      <c r="B14" s="92" t="s">
        <v>50</v>
      </c>
      <c r="C14" s="2" t="s">
        <v>162</v>
      </c>
      <c r="D14">
        <v>85.74</v>
      </c>
      <c r="E14" s="89" t="s">
        <v>582</v>
      </c>
      <c r="F14">
        <v>7</v>
      </c>
      <c r="G14">
        <v>738.21</v>
      </c>
      <c r="H14">
        <v>17.46</v>
      </c>
      <c r="I14">
        <v>25.14</v>
      </c>
      <c r="J14">
        <v>176.21</v>
      </c>
      <c r="K14">
        <v>26.23</v>
      </c>
      <c r="L14">
        <f t="shared" si="0"/>
        <v>0</v>
      </c>
      <c r="M14">
        <f t="shared" si="1"/>
        <v>1</v>
      </c>
      <c r="N14">
        <f t="shared" si="2"/>
        <v>0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9"/>
        <v>1</v>
      </c>
      <c r="U14">
        <f t="shared" si="8"/>
        <v>1</v>
      </c>
    </row>
    <row r="15" spans="1:21" x14ac:dyDescent="0.25">
      <c r="A15" s="2">
        <v>14</v>
      </c>
      <c r="B15" s="2" t="s">
        <v>50</v>
      </c>
      <c r="C15" s="2" t="s">
        <v>170</v>
      </c>
      <c r="D15">
        <v>113.57</v>
      </c>
      <c r="E15" s="80">
        <v>53500.59</v>
      </c>
      <c r="F15">
        <v>926.46</v>
      </c>
      <c r="G15">
        <v>918.73</v>
      </c>
      <c r="H15">
        <v>4481.5600000000004</v>
      </c>
      <c r="I15" s="80">
        <v>25449.51</v>
      </c>
      <c r="J15">
        <v>268.02</v>
      </c>
      <c r="K15">
        <v>1621.91</v>
      </c>
      <c r="L15">
        <f t="shared" si="0"/>
        <v>0</v>
      </c>
      <c r="M15">
        <f t="shared" si="1"/>
        <v>0</v>
      </c>
      <c r="N15">
        <f t="shared" si="2"/>
        <v>0</v>
      </c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9"/>
        <v>0</v>
      </c>
      <c r="U15">
        <f t="shared" si="8"/>
        <v>0</v>
      </c>
    </row>
    <row r="16" spans="1:21" x14ac:dyDescent="0.25">
      <c r="A16" s="2">
        <v>15</v>
      </c>
      <c r="B16" s="2" t="s">
        <v>50</v>
      </c>
      <c r="C16" s="2" t="s">
        <v>178</v>
      </c>
      <c r="D16">
        <v>215.37</v>
      </c>
      <c r="E16" s="80">
        <v>36048.57</v>
      </c>
      <c r="F16">
        <v>2293.5300000000002</v>
      </c>
      <c r="G16">
        <v>1982.5</v>
      </c>
      <c r="H16" s="80">
        <v>29851.43</v>
      </c>
      <c r="I16" s="80">
        <v>28152.080000000002</v>
      </c>
      <c r="J16">
        <v>358.97</v>
      </c>
      <c r="K16">
        <v>4864.49</v>
      </c>
      <c r="L16">
        <f t="shared" si="0"/>
        <v>0</v>
      </c>
      <c r="M16">
        <f t="shared" si="1"/>
        <v>0</v>
      </c>
      <c r="N16">
        <f t="shared" si="2"/>
        <v>0</v>
      </c>
      <c r="O16">
        <f t="shared" si="3"/>
        <v>0</v>
      </c>
      <c r="P16">
        <f t="shared" si="4"/>
        <v>0</v>
      </c>
      <c r="Q16">
        <f t="shared" si="5"/>
        <v>0</v>
      </c>
      <c r="R16">
        <f t="shared" si="6"/>
        <v>0</v>
      </c>
      <c r="S16">
        <f t="shared" si="7"/>
        <v>0</v>
      </c>
      <c r="T16">
        <f t="shared" si="9"/>
        <v>0</v>
      </c>
      <c r="U16">
        <f t="shared" si="8"/>
        <v>0</v>
      </c>
    </row>
    <row r="17" spans="1:21" x14ac:dyDescent="0.25">
      <c r="A17" s="2">
        <v>16</v>
      </c>
      <c r="B17" s="2" t="s">
        <v>50</v>
      </c>
      <c r="C17" s="2" t="s">
        <v>163</v>
      </c>
      <c r="D17">
        <v>31.6</v>
      </c>
      <c r="E17">
        <v>7014.98</v>
      </c>
      <c r="F17">
        <v>33.65</v>
      </c>
      <c r="G17" s="80">
        <v>136.77000000000001</v>
      </c>
      <c r="H17">
        <v>607.71</v>
      </c>
      <c r="I17">
        <v>1798.27</v>
      </c>
      <c r="J17">
        <v>35.36</v>
      </c>
      <c r="K17">
        <v>854.18</v>
      </c>
      <c r="L17">
        <f t="shared" si="0"/>
        <v>0</v>
      </c>
      <c r="M17">
        <f t="shared" si="1"/>
        <v>0</v>
      </c>
      <c r="N17">
        <f t="shared" si="2"/>
        <v>0</v>
      </c>
      <c r="O17">
        <f t="shared" si="3"/>
        <v>0</v>
      </c>
      <c r="P17">
        <f t="shared" si="4"/>
        <v>0</v>
      </c>
      <c r="Q17">
        <f t="shared" si="5"/>
        <v>0</v>
      </c>
      <c r="R17">
        <f t="shared" si="6"/>
        <v>0</v>
      </c>
      <c r="S17">
        <f t="shared" si="7"/>
        <v>0</v>
      </c>
      <c r="T17">
        <f t="shared" si="9"/>
        <v>0</v>
      </c>
      <c r="U17">
        <f t="shared" si="8"/>
        <v>0</v>
      </c>
    </row>
    <row r="18" spans="1:21" x14ac:dyDescent="0.25">
      <c r="A18" s="2">
        <v>17</v>
      </c>
      <c r="B18" s="92" t="s">
        <v>50</v>
      </c>
      <c r="C18" s="2" t="s">
        <v>181</v>
      </c>
      <c r="D18">
        <v>125.61</v>
      </c>
      <c r="E18" s="89" t="s">
        <v>582</v>
      </c>
      <c r="F18">
        <v>10.49</v>
      </c>
      <c r="G18">
        <v>991.24</v>
      </c>
      <c r="H18">
        <v>1114.78</v>
      </c>
      <c r="I18">
        <v>1813.49</v>
      </c>
      <c r="J18">
        <v>298.42</v>
      </c>
      <c r="K18">
        <v>445.13</v>
      </c>
      <c r="L18">
        <f t="shared" si="0"/>
        <v>0</v>
      </c>
      <c r="M18">
        <f t="shared" si="1"/>
        <v>1</v>
      </c>
      <c r="N18">
        <f t="shared" si="2"/>
        <v>0</v>
      </c>
      <c r="O18">
        <f t="shared" si="3"/>
        <v>0</v>
      </c>
      <c r="P18">
        <f t="shared" si="4"/>
        <v>0</v>
      </c>
      <c r="Q18">
        <f t="shared" si="5"/>
        <v>0</v>
      </c>
      <c r="R18">
        <f t="shared" si="6"/>
        <v>0</v>
      </c>
      <c r="S18">
        <f t="shared" si="7"/>
        <v>0</v>
      </c>
      <c r="T18">
        <f t="shared" si="9"/>
        <v>1</v>
      </c>
      <c r="U18">
        <f t="shared" si="8"/>
        <v>1</v>
      </c>
    </row>
    <row r="19" spans="1:21" x14ac:dyDescent="0.25">
      <c r="A19" s="2">
        <v>18</v>
      </c>
      <c r="B19" s="92" t="s">
        <v>50</v>
      </c>
      <c r="C19" s="2" t="s">
        <v>183</v>
      </c>
      <c r="D19">
        <v>178.37</v>
      </c>
      <c r="E19" s="89" t="s">
        <v>582</v>
      </c>
      <c r="F19">
        <v>2724.05</v>
      </c>
      <c r="G19">
        <v>1392.57</v>
      </c>
      <c r="H19" s="80">
        <v>28773.23</v>
      </c>
      <c r="I19" s="80">
        <v>43368.28</v>
      </c>
      <c r="J19">
        <v>494.28</v>
      </c>
      <c r="K19" s="80">
        <v>13138.43</v>
      </c>
      <c r="L19">
        <f t="shared" si="0"/>
        <v>0</v>
      </c>
      <c r="M19">
        <f t="shared" si="1"/>
        <v>1</v>
      </c>
      <c r="N19">
        <f t="shared" si="2"/>
        <v>0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0</v>
      </c>
      <c r="S19">
        <f t="shared" si="7"/>
        <v>0</v>
      </c>
      <c r="T19">
        <f t="shared" si="9"/>
        <v>1</v>
      </c>
      <c r="U19">
        <f t="shared" si="8"/>
        <v>1</v>
      </c>
    </row>
    <row r="20" spans="1:21" x14ac:dyDescent="0.25">
      <c r="A20" s="2">
        <v>19</v>
      </c>
      <c r="B20" s="92" t="s">
        <v>50</v>
      </c>
      <c r="C20" s="2" t="s">
        <v>186</v>
      </c>
      <c r="D20">
        <v>174.28</v>
      </c>
      <c r="E20" s="80">
        <v>58043.02</v>
      </c>
      <c r="F20">
        <v>2299.58</v>
      </c>
      <c r="G20">
        <v>1723.61</v>
      </c>
      <c r="H20" s="89" t="s">
        <v>582</v>
      </c>
      <c r="I20" s="80">
        <v>41751.980000000003</v>
      </c>
      <c r="J20">
        <v>509.24</v>
      </c>
      <c r="K20" s="89" t="s">
        <v>582</v>
      </c>
      <c r="L20">
        <f t="shared" si="0"/>
        <v>0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1</v>
      </c>
      <c r="Q20">
        <f t="shared" si="5"/>
        <v>0</v>
      </c>
      <c r="R20">
        <f t="shared" si="6"/>
        <v>0</v>
      </c>
      <c r="S20">
        <f t="shared" si="7"/>
        <v>1</v>
      </c>
      <c r="T20">
        <f t="shared" si="9"/>
        <v>2</v>
      </c>
      <c r="U20">
        <f t="shared" si="8"/>
        <v>1</v>
      </c>
    </row>
    <row r="21" spans="1:21" x14ac:dyDescent="0.25">
      <c r="A21" s="2">
        <v>20</v>
      </c>
      <c r="B21" s="92" t="s">
        <v>50</v>
      </c>
      <c r="C21" s="2" t="s">
        <v>188</v>
      </c>
      <c r="D21">
        <v>190.66</v>
      </c>
      <c r="E21" s="89" t="s">
        <v>582</v>
      </c>
      <c r="F21">
        <v>3087.02</v>
      </c>
      <c r="G21">
        <v>1649.86</v>
      </c>
      <c r="H21" s="80">
        <v>47755.24</v>
      </c>
      <c r="I21" s="80">
        <v>38724.730000000003</v>
      </c>
      <c r="J21">
        <v>688.04</v>
      </c>
      <c r="K21" s="89" t="s">
        <v>582</v>
      </c>
      <c r="L21">
        <f t="shared" si="0"/>
        <v>0</v>
      </c>
      <c r="M21">
        <f t="shared" si="1"/>
        <v>1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1</v>
      </c>
      <c r="T21">
        <f t="shared" si="9"/>
        <v>2</v>
      </c>
      <c r="U21">
        <f t="shared" si="8"/>
        <v>1</v>
      </c>
    </row>
    <row r="22" spans="1:21" x14ac:dyDescent="0.25">
      <c r="A22" s="2">
        <v>21</v>
      </c>
      <c r="B22" s="2" t="s">
        <v>50</v>
      </c>
      <c r="C22" s="2" t="s">
        <v>182</v>
      </c>
      <c r="D22">
        <v>16.77</v>
      </c>
      <c r="E22">
        <v>4287.24</v>
      </c>
      <c r="F22">
        <v>10.49</v>
      </c>
      <c r="G22">
        <v>310.79000000000002</v>
      </c>
      <c r="H22">
        <v>78.28</v>
      </c>
      <c r="I22">
        <v>2701.48</v>
      </c>
      <c r="J22">
        <v>35.36</v>
      </c>
      <c r="K22">
        <v>72.62</v>
      </c>
      <c r="L22">
        <f t="shared" si="0"/>
        <v>0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0</v>
      </c>
      <c r="S22">
        <f t="shared" si="7"/>
        <v>0</v>
      </c>
      <c r="T22">
        <f t="shared" si="9"/>
        <v>0</v>
      </c>
      <c r="U22">
        <f t="shared" si="8"/>
        <v>0</v>
      </c>
    </row>
    <row r="23" spans="1:21" x14ac:dyDescent="0.25">
      <c r="A23" s="2">
        <v>22</v>
      </c>
      <c r="B23" s="2" t="s">
        <v>50</v>
      </c>
      <c r="C23" s="2" t="s">
        <v>184</v>
      </c>
      <c r="D23">
        <v>62.23</v>
      </c>
      <c r="E23">
        <v>11813.98</v>
      </c>
      <c r="F23">
        <v>77.900000000000006</v>
      </c>
      <c r="G23">
        <v>630.48</v>
      </c>
      <c r="H23">
        <v>12579.69</v>
      </c>
      <c r="I23" s="80">
        <v>16435.32</v>
      </c>
      <c r="J23">
        <v>168.51</v>
      </c>
      <c r="K23">
        <v>1464.37</v>
      </c>
      <c r="L23">
        <f t="shared" si="0"/>
        <v>0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>
        <f t="shared" si="7"/>
        <v>0</v>
      </c>
      <c r="T23">
        <f t="shared" si="9"/>
        <v>0</v>
      </c>
      <c r="U23">
        <f t="shared" si="8"/>
        <v>0</v>
      </c>
    </row>
    <row r="24" spans="1:21" x14ac:dyDescent="0.25">
      <c r="A24" s="2">
        <v>23</v>
      </c>
      <c r="B24" s="2" t="s">
        <v>50</v>
      </c>
      <c r="C24" s="2" t="s">
        <v>187</v>
      </c>
      <c r="D24">
        <v>66.12</v>
      </c>
      <c r="E24">
        <v>10681.82</v>
      </c>
      <c r="F24">
        <v>58.22</v>
      </c>
      <c r="G24">
        <v>630.48</v>
      </c>
      <c r="H24">
        <v>15971.8</v>
      </c>
      <c r="I24" s="80">
        <v>10067.42</v>
      </c>
      <c r="J24">
        <v>199.26</v>
      </c>
      <c r="K24">
        <v>2816.07</v>
      </c>
      <c r="L24">
        <f t="shared" si="0"/>
        <v>0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>
        <f t="shared" si="7"/>
        <v>0</v>
      </c>
      <c r="T24">
        <f t="shared" si="9"/>
        <v>0</v>
      </c>
      <c r="U24">
        <f t="shared" si="8"/>
        <v>0</v>
      </c>
    </row>
    <row r="25" spans="1:21" x14ac:dyDescent="0.25">
      <c r="A25" s="2">
        <v>24</v>
      </c>
      <c r="B25" s="2" t="s">
        <v>50</v>
      </c>
      <c r="C25" s="2" t="s">
        <v>189</v>
      </c>
      <c r="D25">
        <v>442.9</v>
      </c>
      <c r="E25" s="80">
        <v>83122.84</v>
      </c>
      <c r="F25">
        <v>1160.43</v>
      </c>
      <c r="G25">
        <v>1539.43</v>
      </c>
      <c r="H25">
        <v>11553.68</v>
      </c>
      <c r="I25" s="80">
        <v>25850.13</v>
      </c>
      <c r="J25">
        <v>449.3</v>
      </c>
      <c r="K25" s="80">
        <v>20073</v>
      </c>
      <c r="L25">
        <f t="shared" si="0"/>
        <v>0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9"/>
        <v>0</v>
      </c>
      <c r="U25">
        <f t="shared" si="8"/>
        <v>0</v>
      </c>
    </row>
    <row r="26" spans="1:21" x14ac:dyDescent="0.25">
      <c r="A26" s="2">
        <v>25</v>
      </c>
      <c r="B26" s="2">
        <v>2016</v>
      </c>
      <c r="C26" s="2" t="s">
        <v>162</v>
      </c>
      <c r="D26">
        <v>650.6</v>
      </c>
      <c r="E26" s="80">
        <v>47547.59</v>
      </c>
      <c r="F26">
        <v>294.42</v>
      </c>
      <c r="G26">
        <v>1209.6500000000001</v>
      </c>
      <c r="H26">
        <v>4014.03</v>
      </c>
      <c r="I26" s="80">
        <v>10538.29</v>
      </c>
      <c r="J26">
        <v>222.25</v>
      </c>
      <c r="K26">
        <v>1454.23</v>
      </c>
      <c r="L26">
        <f t="shared" si="0"/>
        <v>0</v>
      </c>
      <c r="M26">
        <f t="shared" si="1"/>
        <v>0</v>
      </c>
      <c r="N26">
        <f t="shared" si="2"/>
        <v>0</v>
      </c>
      <c r="O26">
        <f t="shared" si="3"/>
        <v>0</v>
      </c>
      <c r="P26">
        <f t="shared" si="4"/>
        <v>0</v>
      </c>
      <c r="Q26">
        <f t="shared" si="5"/>
        <v>0</v>
      </c>
      <c r="R26">
        <f t="shared" si="6"/>
        <v>0</v>
      </c>
      <c r="S26">
        <f t="shared" si="7"/>
        <v>0</v>
      </c>
      <c r="T26">
        <f t="shared" si="9"/>
        <v>0</v>
      </c>
      <c r="U26">
        <f t="shared" si="8"/>
        <v>0</v>
      </c>
    </row>
    <row r="27" spans="1:21" x14ac:dyDescent="0.25">
      <c r="A27" s="2">
        <v>26</v>
      </c>
      <c r="B27" s="2">
        <v>2016</v>
      </c>
      <c r="C27" s="2" t="s">
        <v>170</v>
      </c>
      <c r="D27">
        <v>924.16</v>
      </c>
      <c r="E27" s="80">
        <v>83844.800000000003</v>
      </c>
      <c r="F27">
        <v>767.37</v>
      </c>
      <c r="G27">
        <v>991.24</v>
      </c>
      <c r="H27">
        <v>7744.31</v>
      </c>
      <c r="I27" s="80">
        <v>14621.17</v>
      </c>
      <c r="J27">
        <v>283.23</v>
      </c>
      <c r="K27">
        <v>1711.34</v>
      </c>
      <c r="L27">
        <f t="shared" si="0"/>
        <v>0</v>
      </c>
      <c r="M27">
        <f t="shared" si="1"/>
        <v>0</v>
      </c>
      <c r="N27">
        <f t="shared" si="2"/>
        <v>0</v>
      </c>
      <c r="O27">
        <f t="shared" si="3"/>
        <v>0</v>
      </c>
      <c r="P27">
        <f t="shared" si="4"/>
        <v>0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9"/>
        <v>0</v>
      </c>
      <c r="U27">
        <f t="shared" si="8"/>
        <v>0</v>
      </c>
    </row>
    <row r="28" spans="1:21" x14ac:dyDescent="0.25">
      <c r="A28" s="2">
        <v>27</v>
      </c>
      <c r="B28" s="2">
        <v>2016</v>
      </c>
      <c r="C28" s="2" t="s">
        <v>178</v>
      </c>
      <c r="D28">
        <v>2742.85</v>
      </c>
      <c r="E28" s="80">
        <v>54834.57</v>
      </c>
      <c r="F28">
        <v>1778.05</v>
      </c>
      <c r="G28">
        <v>1209.6500000000001</v>
      </c>
      <c r="H28" s="80">
        <v>33135.160000000003</v>
      </c>
      <c r="I28" s="80">
        <v>19257.8</v>
      </c>
      <c r="J28">
        <v>321.16000000000003</v>
      </c>
      <c r="K28">
        <v>2967.9</v>
      </c>
      <c r="L28">
        <f t="shared" si="0"/>
        <v>0</v>
      </c>
      <c r="M28">
        <f t="shared" si="1"/>
        <v>0</v>
      </c>
      <c r="N28">
        <f t="shared" si="2"/>
        <v>0</v>
      </c>
      <c r="O28">
        <f t="shared" si="3"/>
        <v>0</v>
      </c>
      <c r="P28">
        <f t="shared" si="4"/>
        <v>0</v>
      </c>
      <c r="Q28">
        <f t="shared" si="5"/>
        <v>0</v>
      </c>
      <c r="R28">
        <f t="shared" si="6"/>
        <v>0</v>
      </c>
      <c r="S28">
        <f t="shared" si="7"/>
        <v>0</v>
      </c>
      <c r="T28">
        <f t="shared" si="9"/>
        <v>0</v>
      </c>
      <c r="U28">
        <f t="shared" si="8"/>
        <v>0</v>
      </c>
    </row>
    <row r="29" spans="1:21" x14ac:dyDescent="0.25">
      <c r="A29" s="2">
        <v>28</v>
      </c>
      <c r="B29" s="2">
        <v>2016</v>
      </c>
      <c r="C29" s="2" t="s">
        <v>163</v>
      </c>
      <c r="D29">
        <v>16264.18</v>
      </c>
      <c r="E29" s="80">
        <v>50740.36</v>
      </c>
      <c r="F29">
        <v>312.22000000000003</v>
      </c>
      <c r="G29">
        <v>1173.1600000000001</v>
      </c>
      <c r="H29">
        <v>10495.11</v>
      </c>
      <c r="I29" s="80">
        <v>9758.09</v>
      </c>
      <c r="J29">
        <v>419.25</v>
      </c>
      <c r="K29" s="80">
        <v>15117.35</v>
      </c>
      <c r="L29">
        <f t="shared" si="0"/>
        <v>0</v>
      </c>
      <c r="M29">
        <f t="shared" si="1"/>
        <v>0</v>
      </c>
      <c r="N29">
        <f t="shared" si="2"/>
        <v>0</v>
      </c>
      <c r="O29">
        <f t="shared" si="3"/>
        <v>0</v>
      </c>
      <c r="P29">
        <f t="shared" si="4"/>
        <v>0</v>
      </c>
      <c r="Q29">
        <f t="shared" si="5"/>
        <v>0</v>
      </c>
      <c r="R29">
        <f t="shared" si="6"/>
        <v>0</v>
      </c>
      <c r="S29">
        <f t="shared" si="7"/>
        <v>0</v>
      </c>
      <c r="T29">
        <f t="shared" si="9"/>
        <v>0</v>
      </c>
      <c r="U29">
        <f t="shared" si="8"/>
        <v>0</v>
      </c>
    </row>
    <row r="30" spans="1:21" x14ac:dyDescent="0.25">
      <c r="A30" s="2">
        <v>29</v>
      </c>
      <c r="B30" s="92">
        <v>2016</v>
      </c>
      <c r="C30" s="2" t="s">
        <v>181</v>
      </c>
      <c r="D30">
        <v>77.86</v>
      </c>
      <c r="E30" s="89" t="s">
        <v>582</v>
      </c>
      <c r="F30">
        <v>9.6300000000000008</v>
      </c>
      <c r="G30">
        <v>666.34</v>
      </c>
      <c r="H30">
        <v>114.33</v>
      </c>
      <c r="I30">
        <v>367.24</v>
      </c>
      <c r="J30">
        <v>237.53</v>
      </c>
      <c r="K30">
        <v>162.87</v>
      </c>
      <c r="L30">
        <f t="shared" si="0"/>
        <v>0</v>
      </c>
      <c r="M30">
        <f t="shared" si="1"/>
        <v>1</v>
      </c>
      <c r="N30">
        <f t="shared" si="2"/>
        <v>0</v>
      </c>
      <c r="O30">
        <f t="shared" si="3"/>
        <v>0</v>
      </c>
      <c r="P30">
        <f t="shared" si="4"/>
        <v>0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9"/>
        <v>1</v>
      </c>
      <c r="U30">
        <f t="shared" si="8"/>
        <v>1</v>
      </c>
    </row>
    <row r="31" spans="1:21" x14ac:dyDescent="0.25">
      <c r="A31" s="2">
        <v>30</v>
      </c>
      <c r="B31" s="92">
        <v>2016</v>
      </c>
      <c r="C31" s="2" t="s">
        <v>183</v>
      </c>
      <c r="D31">
        <v>198.88</v>
      </c>
      <c r="E31" s="89" t="s">
        <v>582</v>
      </c>
      <c r="F31" s="80">
        <v>8729.7999999999993</v>
      </c>
      <c r="G31">
        <v>1429.24</v>
      </c>
      <c r="H31" s="80">
        <v>42525.71</v>
      </c>
      <c r="I31" s="80">
        <v>38415.82</v>
      </c>
      <c r="J31">
        <v>494.28</v>
      </c>
      <c r="K31" s="80">
        <v>8520.3799999999992</v>
      </c>
      <c r="L31">
        <f t="shared" si="0"/>
        <v>0</v>
      </c>
      <c r="M31">
        <f t="shared" si="1"/>
        <v>1</v>
      </c>
      <c r="N31">
        <f t="shared" si="2"/>
        <v>0</v>
      </c>
      <c r="O31">
        <f t="shared" si="3"/>
        <v>0</v>
      </c>
      <c r="P31">
        <f t="shared" si="4"/>
        <v>0</v>
      </c>
      <c r="Q31">
        <f t="shared" si="5"/>
        <v>0</v>
      </c>
      <c r="R31">
        <f t="shared" si="6"/>
        <v>0</v>
      </c>
      <c r="S31">
        <f t="shared" si="7"/>
        <v>0</v>
      </c>
      <c r="T31">
        <f t="shared" si="9"/>
        <v>1</v>
      </c>
      <c r="U31">
        <f t="shared" si="8"/>
        <v>1</v>
      </c>
    </row>
    <row r="32" spans="1:21" x14ac:dyDescent="0.25">
      <c r="A32" s="2">
        <v>31</v>
      </c>
      <c r="B32" s="92">
        <v>2016</v>
      </c>
      <c r="C32" s="2" t="s">
        <v>188</v>
      </c>
      <c r="D32">
        <v>157.97</v>
      </c>
      <c r="E32" s="89" t="s">
        <v>582</v>
      </c>
      <c r="F32">
        <v>984.79</v>
      </c>
      <c r="G32">
        <v>1355.92</v>
      </c>
      <c r="H32">
        <v>9562.85</v>
      </c>
      <c r="I32" s="80">
        <v>20414.91</v>
      </c>
      <c r="J32">
        <v>554.08000000000004</v>
      </c>
      <c r="K32" s="80">
        <v>33969.72</v>
      </c>
      <c r="L32">
        <f t="shared" si="0"/>
        <v>0</v>
      </c>
      <c r="M32">
        <f t="shared" si="1"/>
        <v>1</v>
      </c>
      <c r="N32">
        <f t="shared" si="2"/>
        <v>0</v>
      </c>
      <c r="O32">
        <f t="shared" si="3"/>
        <v>0</v>
      </c>
      <c r="P32">
        <f t="shared" si="4"/>
        <v>0</v>
      </c>
      <c r="Q32">
        <f t="shared" si="5"/>
        <v>0</v>
      </c>
      <c r="R32">
        <f t="shared" si="6"/>
        <v>0</v>
      </c>
      <c r="S32">
        <f t="shared" si="7"/>
        <v>0</v>
      </c>
      <c r="T32">
        <f t="shared" si="9"/>
        <v>1</v>
      </c>
      <c r="U32">
        <f t="shared" si="8"/>
        <v>1</v>
      </c>
    </row>
    <row r="33" spans="1:21" x14ac:dyDescent="0.25">
      <c r="A33" s="2">
        <v>32</v>
      </c>
      <c r="B33" s="2">
        <v>2016</v>
      </c>
      <c r="C33" s="2" t="s">
        <v>182</v>
      </c>
      <c r="D33" t="s">
        <v>583</v>
      </c>
      <c r="E33">
        <v>1425.69</v>
      </c>
      <c r="F33">
        <v>1.77</v>
      </c>
      <c r="G33" s="80">
        <v>136.77000000000001</v>
      </c>
      <c r="H33" t="s">
        <v>583</v>
      </c>
      <c r="I33">
        <v>0.66</v>
      </c>
      <c r="J33" t="s">
        <v>583</v>
      </c>
      <c r="K33" t="s">
        <v>583</v>
      </c>
      <c r="L33">
        <f t="shared" si="0"/>
        <v>0</v>
      </c>
      <c r="M33">
        <f t="shared" si="1"/>
        <v>0</v>
      </c>
      <c r="N33">
        <f t="shared" si="2"/>
        <v>0</v>
      </c>
      <c r="O33">
        <f t="shared" si="3"/>
        <v>0</v>
      </c>
      <c r="P33">
        <f t="shared" si="4"/>
        <v>0</v>
      </c>
      <c r="Q33">
        <f t="shared" si="5"/>
        <v>0</v>
      </c>
      <c r="R33">
        <f t="shared" si="6"/>
        <v>0</v>
      </c>
      <c r="S33">
        <f t="shared" si="7"/>
        <v>0</v>
      </c>
      <c r="T33">
        <f t="shared" si="9"/>
        <v>0</v>
      </c>
      <c r="U33">
        <f t="shared" si="8"/>
        <v>0</v>
      </c>
    </row>
    <row r="34" spans="1:21" x14ac:dyDescent="0.25">
      <c r="A34" s="2">
        <v>33</v>
      </c>
      <c r="B34" s="2">
        <v>2016</v>
      </c>
      <c r="C34" s="2" t="s">
        <v>184</v>
      </c>
      <c r="D34">
        <v>198.88</v>
      </c>
      <c r="E34">
        <v>8002.77</v>
      </c>
      <c r="F34">
        <v>101.42</v>
      </c>
      <c r="G34">
        <v>452.11</v>
      </c>
      <c r="H34">
        <v>7361.17</v>
      </c>
      <c r="I34" s="80">
        <v>11822.4</v>
      </c>
      <c r="J34">
        <v>98.67</v>
      </c>
      <c r="K34">
        <v>26.23</v>
      </c>
      <c r="L34">
        <f t="shared" si="0"/>
        <v>0</v>
      </c>
      <c r="M34">
        <f t="shared" si="1"/>
        <v>0</v>
      </c>
      <c r="N34">
        <f t="shared" si="2"/>
        <v>0</v>
      </c>
      <c r="O34">
        <f t="shared" si="3"/>
        <v>0</v>
      </c>
      <c r="P34">
        <f t="shared" si="4"/>
        <v>0</v>
      </c>
      <c r="Q34">
        <f t="shared" si="5"/>
        <v>0</v>
      </c>
      <c r="R34">
        <f t="shared" si="6"/>
        <v>0</v>
      </c>
      <c r="S34">
        <f t="shared" si="7"/>
        <v>0</v>
      </c>
      <c r="T34">
        <f t="shared" si="9"/>
        <v>0</v>
      </c>
      <c r="U34">
        <f t="shared" si="8"/>
        <v>0</v>
      </c>
    </row>
    <row r="35" spans="1:21" x14ac:dyDescent="0.25">
      <c r="A35" s="2">
        <v>34</v>
      </c>
      <c r="B35" s="2">
        <v>2016</v>
      </c>
      <c r="C35" s="2" t="s">
        <v>187</v>
      </c>
      <c r="D35">
        <v>528.94000000000005</v>
      </c>
      <c r="E35">
        <v>9212.4699999999993</v>
      </c>
      <c r="F35">
        <v>217.83</v>
      </c>
      <c r="G35">
        <v>558.94000000000005</v>
      </c>
      <c r="H35">
        <v>14447.02</v>
      </c>
      <c r="I35" s="80">
        <v>10443.89</v>
      </c>
      <c r="J35">
        <v>129.84</v>
      </c>
      <c r="K35">
        <v>32.57</v>
      </c>
      <c r="L35">
        <f t="shared" si="0"/>
        <v>0</v>
      </c>
      <c r="M35">
        <f t="shared" si="1"/>
        <v>0</v>
      </c>
      <c r="N35">
        <f t="shared" si="2"/>
        <v>0</v>
      </c>
      <c r="O35">
        <f t="shared" si="3"/>
        <v>0</v>
      </c>
      <c r="P35">
        <f t="shared" si="4"/>
        <v>0</v>
      </c>
      <c r="Q35">
        <f t="shared" si="5"/>
        <v>0</v>
      </c>
      <c r="R35">
        <f t="shared" si="6"/>
        <v>0</v>
      </c>
      <c r="S35">
        <f t="shared" si="7"/>
        <v>0</v>
      </c>
      <c r="T35">
        <f t="shared" si="9"/>
        <v>0</v>
      </c>
      <c r="U35">
        <f t="shared" si="8"/>
        <v>0</v>
      </c>
    </row>
    <row r="36" spans="1:21" x14ac:dyDescent="0.25">
      <c r="A36" s="2">
        <v>35</v>
      </c>
      <c r="B36" s="2">
        <v>2016</v>
      </c>
      <c r="C36" s="2" t="s">
        <v>189</v>
      </c>
      <c r="D36">
        <v>633.14</v>
      </c>
      <c r="E36">
        <v>9186.77</v>
      </c>
      <c r="F36">
        <v>14.66</v>
      </c>
      <c r="G36">
        <v>416.65</v>
      </c>
      <c r="H36">
        <v>7141.89</v>
      </c>
      <c r="I36" s="80">
        <v>3368.72</v>
      </c>
      <c r="J36">
        <v>145.34</v>
      </c>
      <c r="K36">
        <v>32.049999999999997</v>
      </c>
      <c r="L36">
        <f t="shared" si="0"/>
        <v>0</v>
      </c>
      <c r="M36">
        <f t="shared" si="1"/>
        <v>0</v>
      </c>
      <c r="N36">
        <f t="shared" si="2"/>
        <v>0</v>
      </c>
      <c r="O36">
        <f t="shared" si="3"/>
        <v>0</v>
      </c>
      <c r="P36">
        <f t="shared" si="4"/>
        <v>0</v>
      </c>
      <c r="Q36">
        <f t="shared" si="5"/>
        <v>0</v>
      </c>
      <c r="R36">
        <f t="shared" si="6"/>
        <v>0</v>
      </c>
      <c r="S36">
        <f t="shared" si="7"/>
        <v>0</v>
      </c>
      <c r="T36">
        <f t="shared" si="9"/>
        <v>0</v>
      </c>
      <c r="U36">
        <f t="shared" si="8"/>
        <v>0</v>
      </c>
    </row>
    <row r="37" spans="1:21" x14ac:dyDescent="0.25">
      <c r="A37" s="2">
        <v>36</v>
      </c>
      <c r="B37" s="2" t="s">
        <v>20</v>
      </c>
      <c r="C37" s="2" t="s">
        <v>162</v>
      </c>
      <c r="D37">
        <v>31.6</v>
      </c>
      <c r="E37">
        <v>17344.650000000001</v>
      </c>
      <c r="F37">
        <v>3.04</v>
      </c>
      <c r="G37">
        <v>452.11</v>
      </c>
      <c r="H37">
        <v>6.46</v>
      </c>
      <c r="I37">
        <v>12.15</v>
      </c>
      <c r="J37">
        <v>75.12</v>
      </c>
      <c r="K37">
        <v>15.64</v>
      </c>
      <c r="L37">
        <f t="shared" si="0"/>
        <v>0</v>
      </c>
      <c r="M37">
        <f t="shared" si="1"/>
        <v>0</v>
      </c>
      <c r="N37">
        <f t="shared" si="2"/>
        <v>0</v>
      </c>
      <c r="O37">
        <f t="shared" si="3"/>
        <v>0</v>
      </c>
      <c r="P37">
        <f t="shared" si="4"/>
        <v>0</v>
      </c>
      <c r="Q37">
        <f t="shared" si="5"/>
        <v>0</v>
      </c>
      <c r="R37">
        <f t="shared" si="6"/>
        <v>0</v>
      </c>
      <c r="S37">
        <f t="shared" si="7"/>
        <v>0</v>
      </c>
      <c r="T37">
        <f t="shared" si="9"/>
        <v>0</v>
      </c>
      <c r="U37">
        <f t="shared" si="8"/>
        <v>0</v>
      </c>
    </row>
    <row r="38" spans="1:21" x14ac:dyDescent="0.25">
      <c r="A38" s="2">
        <v>37</v>
      </c>
      <c r="B38" s="2" t="s">
        <v>20</v>
      </c>
      <c r="C38" s="2" t="s">
        <v>170</v>
      </c>
      <c r="D38">
        <v>109.57</v>
      </c>
      <c r="E38" s="80">
        <v>36705.660000000003</v>
      </c>
      <c r="F38">
        <v>688.76</v>
      </c>
      <c r="G38">
        <v>954.97</v>
      </c>
      <c r="H38">
        <v>1977.83</v>
      </c>
      <c r="I38" s="80">
        <v>26313.09</v>
      </c>
      <c r="J38">
        <v>252.79</v>
      </c>
      <c r="K38">
        <v>3074.88</v>
      </c>
      <c r="L38">
        <f t="shared" si="0"/>
        <v>0</v>
      </c>
      <c r="M38">
        <f t="shared" si="1"/>
        <v>0</v>
      </c>
      <c r="N38">
        <f t="shared" si="2"/>
        <v>0</v>
      </c>
      <c r="O38">
        <f t="shared" si="3"/>
        <v>0</v>
      </c>
      <c r="P38">
        <f t="shared" si="4"/>
        <v>0</v>
      </c>
      <c r="Q38">
        <f t="shared" si="5"/>
        <v>0</v>
      </c>
      <c r="R38">
        <f t="shared" si="6"/>
        <v>0</v>
      </c>
      <c r="S38">
        <f t="shared" si="7"/>
        <v>0</v>
      </c>
      <c r="T38">
        <f t="shared" si="9"/>
        <v>0</v>
      </c>
      <c r="U38">
        <f t="shared" si="8"/>
        <v>0</v>
      </c>
    </row>
    <row r="39" spans="1:21" x14ac:dyDescent="0.25">
      <c r="A39" s="2">
        <v>38</v>
      </c>
      <c r="B39" s="92" t="s">
        <v>20</v>
      </c>
      <c r="C39" s="2" t="s">
        <v>178</v>
      </c>
      <c r="D39">
        <v>182.46</v>
      </c>
      <c r="E39" s="89" t="s">
        <v>582</v>
      </c>
      <c r="F39">
        <v>2944.52</v>
      </c>
      <c r="G39">
        <v>1649.86</v>
      </c>
      <c r="H39" s="80">
        <v>21465.84</v>
      </c>
      <c r="I39" s="80">
        <v>36484.019999999997</v>
      </c>
      <c r="J39">
        <v>539.14</v>
      </c>
      <c r="K39" s="89" t="s">
        <v>582</v>
      </c>
      <c r="L39">
        <f t="shared" si="0"/>
        <v>0</v>
      </c>
      <c r="M39">
        <f t="shared" si="1"/>
        <v>1</v>
      </c>
      <c r="N39">
        <f t="shared" si="2"/>
        <v>0</v>
      </c>
      <c r="O39">
        <f t="shared" si="3"/>
        <v>0</v>
      </c>
      <c r="P39">
        <f t="shared" si="4"/>
        <v>0</v>
      </c>
      <c r="Q39">
        <f t="shared" si="5"/>
        <v>0</v>
      </c>
      <c r="R39">
        <f t="shared" si="6"/>
        <v>0</v>
      </c>
      <c r="S39">
        <f t="shared" si="7"/>
        <v>1</v>
      </c>
      <c r="T39">
        <f t="shared" si="9"/>
        <v>2</v>
      </c>
      <c r="U39">
        <f t="shared" si="8"/>
        <v>1</v>
      </c>
    </row>
    <row r="40" spans="1:21" x14ac:dyDescent="0.25">
      <c r="A40" s="2">
        <v>39</v>
      </c>
      <c r="B40" s="2" t="s">
        <v>20</v>
      </c>
      <c r="C40" s="2" t="s">
        <v>163</v>
      </c>
      <c r="D40">
        <v>141.74</v>
      </c>
      <c r="E40" s="80">
        <v>87695.33</v>
      </c>
      <c r="F40" s="80">
        <v>5463.36</v>
      </c>
      <c r="G40">
        <v>1355.92</v>
      </c>
      <c r="H40" s="80">
        <v>17414.400000000001</v>
      </c>
      <c r="I40" s="80">
        <v>38912.92</v>
      </c>
      <c r="J40">
        <v>404.2</v>
      </c>
      <c r="K40" s="80">
        <v>10439.1</v>
      </c>
      <c r="L40">
        <f t="shared" si="0"/>
        <v>0</v>
      </c>
      <c r="M40">
        <f t="shared" si="1"/>
        <v>0</v>
      </c>
      <c r="N40">
        <f t="shared" si="2"/>
        <v>0</v>
      </c>
      <c r="O40">
        <f t="shared" si="3"/>
        <v>0</v>
      </c>
      <c r="P40">
        <f t="shared" si="4"/>
        <v>0</v>
      </c>
      <c r="Q40">
        <f t="shared" si="5"/>
        <v>0</v>
      </c>
      <c r="R40">
        <f t="shared" si="6"/>
        <v>0</v>
      </c>
      <c r="S40">
        <f t="shared" si="7"/>
        <v>0</v>
      </c>
      <c r="T40">
        <f t="shared" si="9"/>
        <v>0</v>
      </c>
      <c r="U40">
        <f t="shared" si="8"/>
        <v>0</v>
      </c>
    </row>
    <row r="41" spans="1:21" x14ac:dyDescent="0.25">
      <c r="A41" s="2">
        <v>40</v>
      </c>
      <c r="B41" s="2" t="s">
        <v>20</v>
      </c>
      <c r="C41" s="2" t="s">
        <v>181</v>
      </c>
      <c r="D41">
        <v>70.03</v>
      </c>
      <c r="E41" s="80">
        <v>106488.19</v>
      </c>
      <c r="F41">
        <v>4.25</v>
      </c>
      <c r="G41">
        <v>558.94000000000005</v>
      </c>
      <c r="H41">
        <v>741.16</v>
      </c>
      <c r="I41">
        <v>460.77</v>
      </c>
      <c r="J41">
        <v>176.21</v>
      </c>
      <c r="K41">
        <v>214.17</v>
      </c>
      <c r="L41">
        <f t="shared" si="0"/>
        <v>0</v>
      </c>
      <c r="M41">
        <f t="shared" si="1"/>
        <v>0</v>
      </c>
      <c r="N41">
        <f t="shared" si="2"/>
        <v>0</v>
      </c>
      <c r="O41">
        <f t="shared" si="3"/>
        <v>0</v>
      </c>
      <c r="P41">
        <f t="shared" si="4"/>
        <v>0</v>
      </c>
      <c r="Q41">
        <f t="shared" si="5"/>
        <v>0</v>
      </c>
      <c r="R41">
        <f t="shared" si="6"/>
        <v>0</v>
      </c>
      <c r="S41">
        <f t="shared" si="7"/>
        <v>0</v>
      </c>
      <c r="T41">
        <f t="shared" si="9"/>
        <v>0</v>
      </c>
      <c r="U41">
        <f t="shared" si="8"/>
        <v>0</v>
      </c>
    </row>
    <row r="42" spans="1:21" x14ac:dyDescent="0.25">
      <c r="A42" s="2">
        <v>41</v>
      </c>
      <c r="B42" s="2" t="s">
        <v>20</v>
      </c>
      <c r="C42" s="2" t="s">
        <v>183</v>
      </c>
      <c r="D42">
        <v>125.61</v>
      </c>
      <c r="E42" s="80">
        <v>43112.61</v>
      </c>
      <c r="F42">
        <v>512.02</v>
      </c>
      <c r="G42">
        <v>1027.55</v>
      </c>
      <c r="H42">
        <v>7617.57</v>
      </c>
      <c r="I42" s="80">
        <v>37836.35</v>
      </c>
      <c r="J42">
        <v>419.25</v>
      </c>
      <c r="K42" s="80">
        <v>11707.93</v>
      </c>
      <c r="L42">
        <f t="shared" si="0"/>
        <v>0</v>
      </c>
      <c r="M42">
        <f t="shared" si="1"/>
        <v>0</v>
      </c>
      <c r="N42">
        <f t="shared" si="2"/>
        <v>0</v>
      </c>
      <c r="O42">
        <f t="shared" si="3"/>
        <v>0</v>
      </c>
      <c r="P42">
        <f t="shared" si="4"/>
        <v>0</v>
      </c>
      <c r="Q42">
        <f t="shared" si="5"/>
        <v>0</v>
      </c>
      <c r="R42">
        <f t="shared" si="6"/>
        <v>0</v>
      </c>
      <c r="S42">
        <f t="shared" si="7"/>
        <v>0</v>
      </c>
      <c r="T42">
        <f t="shared" si="9"/>
        <v>0</v>
      </c>
      <c r="U42">
        <f t="shared" si="8"/>
        <v>0</v>
      </c>
    </row>
    <row r="43" spans="1:21" x14ac:dyDescent="0.25">
      <c r="A43" s="2">
        <v>42</v>
      </c>
      <c r="B43" s="2" t="s">
        <v>20</v>
      </c>
      <c r="C43" s="2" t="s">
        <v>186</v>
      </c>
      <c r="D43">
        <v>141.74</v>
      </c>
      <c r="E43" s="80">
        <v>29047.95</v>
      </c>
      <c r="F43">
        <v>1074.05</v>
      </c>
      <c r="G43">
        <v>1209.6500000000001</v>
      </c>
      <c r="H43" s="80">
        <v>20929.2</v>
      </c>
      <c r="I43" s="80">
        <v>42975.39</v>
      </c>
      <c r="J43">
        <v>479.3</v>
      </c>
      <c r="K43" s="89" t="s">
        <v>582</v>
      </c>
      <c r="L43">
        <f t="shared" si="0"/>
        <v>0</v>
      </c>
      <c r="M43">
        <f t="shared" si="1"/>
        <v>0</v>
      </c>
      <c r="N43">
        <f t="shared" si="2"/>
        <v>0</v>
      </c>
      <c r="O43">
        <f t="shared" si="3"/>
        <v>0</v>
      </c>
      <c r="P43">
        <f t="shared" si="4"/>
        <v>0</v>
      </c>
      <c r="Q43">
        <f t="shared" si="5"/>
        <v>0</v>
      </c>
      <c r="R43">
        <f t="shared" si="6"/>
        <v>0</v>
      </c>
      <c r="S43">
        <f t="shared" si="7"/>
        <v>1</v>
      </c>
      <c r="T43">
        <f t="shared" si="9"/>
        <v>1</v>
      </c>
      <c r="U43">
        <f t="shared" si="8"/>
        <v>1</v>
      </c>
    </row>
    <row r="44" spans="1:21" x14ac:dyDescent="0.25">
      <c r="A44" s="2">
        <v>43</v>
      </c>
      <c r="B44" s="2" t="s">
        <v>20</v>
      </c>
      <c r="C44" s="2" t="s">
        <v>188</v>
      </c>
      <c r="D44" t="s">
        <v>583</v>
      </c>
      <c r="E44">
        <v>1180.31</v>
      </c>
      <c r="F44" t="s">
        <v>583</v>
      </c>
      <c r="G44" s="80">
        <v>136.77000000000001</v>
      </c>
      <c r="H44">
        <v>36.869999999999997</v>
      </c>
      <c r="I44">
        <v>156.85</v>
      </c>
      <c r="J44" t="s">
        <v>583</v>
      </c>
      <c r="K44">
        <v>1163.18</v>
      </c>
      <c r="L44">
        <f t="shared" si="0"/>
        <v>0</v>
      </c>
      <c r="M44">
        <f t="shared" si="1"/>
        <v>0</v>
      </c>
      <c r="N44">
        <f t="shared" si="2"/>
        <v>0</v>
      </c>
      <c r="O44">
        <f t="shared" si="3"/>
        <v>0</v>
      </c>
      <c r="P44">
        <f t="shared" si="4"/>
        <v>0</v>
      </c>
      <c r="Q44">
        <f t="shared" si="5"/>
        <v>0</v>
      </c>
      <c r="R44">
        <f t="shared" si="6"/>
        <v>0</v>
      </c>
      <c r="S44">
        <f t="shared" si="7"/>
        <v>0</v>
      </c>
      <c r="T44">
        <f t="shared" si="9"/>
        <v>0</v>
      </c>
      <c r="U44">
        <f t="shared" si="8"/>
        <v>0</v>
      </c>
    </row>
    <row r="45" spans="1:21" x14ac:dyDescent="0.25">
      <c r="A45" s="2">
        <v>44</v>
      </c>
      <c r="B45" s="2" t="s">
        <v>20</v>
      </c>
      <c r="C45" s="2" t="s">
        <v>182</v>
      </c>
      <c r="D45">
        <v>24.13</v>
      </c>
      <c r="E45">
        <v>6928.41</v>
      </c>
      <c r="F45">
        <v>24.57</v>
      </c>
      <c r="G45">
        <v>205.92</v>
      </c>
      <c r="H45">
        <v>145.72</v>
      </c>
      <c r="I45" s="80">
        <v>7463.51</v>
      </c>
      <c r="J45">
        <v>51.37</v>
      </c>
      <c r="K45">
        <v>33.630000000000003</v>
      </c>
      <c r="L45">
        <f t="shared" si="0"/>
        <v>0</v>
      </c>
      <c r="M45">
        <f t="shared" si="1"/>
        <v>0</v>
      </c>
      <c r="N45">
        <f t="shared" si="2"/>
        <v>0</v>
      </c>
      <c r="O45">
        <f t="shared" si="3"/>
        <v>0</v>
      </c>
      <c r="P45">
        <f t="shared" si="4"/>
        <v>0</v>
      </c>
      <c r="Q45">
        <f t="shared" si="5"/>
        <v>0</v>
      </c>
      <c r="R45">
        <f t="shared" si="6"/>
        <v>0</v>
      </c>
      <c r="S45">
        <f t="shared" si="7"/>
        <v>0</v>
      </c>
      <c r="T45">
        <f t="shared" si="9"/>
        <v>0</v>
      </c>
      <c r="U45">
        <f t="shared" si="8"/>
        <v>0</v>
      </c>
    </row>
    <row r="46" spans="1:21" x14ac:dyDescent="0.25">
      <c r="A46" s="2">
        <v>45</v>
      </c>
      <c r="B46" s="2" t="s">
        <v>20</v>
      </c>
      <c r="C46" s="2" t="s">
        <v>184</v>
      </c>
      <c r="D46">
        <v>125.61</v>
      </c>
      <c r="E46" s="80">
        <v>30567.08</v>
      </c>
      <c r="F46">
        <v>375.7</v>
      </c>
      <c r="G46">
        <v>1209.6500000000001</v>
      </c>
      <c r="H46" s="80">
        <v>18790.72</v>
      </c>
      <c r="I46" s="80">
        <v>31884.22</v>
      </c>
      <c r="J46">
        <v>336.3</v>
      </c>
      <c r="K46">
        <v>5812.36</v>
      </c>
      <c r="L46">
        <f t="shared" si="0"/>
        <v>0</v>
      </c>
      <c r="M46">
        <f t="shared" si="1"/>
        <v>0</v>
      </c>
      <c r="N46">
        <f t="shared" si="2"/>
        <v>0</v>
      </c>
      <c r="O46">
        <f t="shared" si="3"/>
        <v>0</v>
      </c>
      <c r="P46">
        <f t="shared" si="4"/>
        <v>0</v>
      </c>
      <c r="Q46">
        <f t="shared" si="5"/>
        <v>0</v>
      </c>
      <c r="R46">
        <f t="shared" si="6"/>
        <v>0</v>
      </c>
      <c r="S46">
        <f t="shared" si="7"/>
        <v>0</v>
      </c>
      <c r="T46">
        <f t="shared" si="9"/>
        <v>0</v>
      </c>
      <c r="U46">
        <f t="shared" si="8"/>
        <v>0</v>
      </c>
    </row>
    <row r="47" spans="1:21" x14ac:dyDescent="0.25">
      <c r="A47" s="2">
        <v>46</v>
      </c>
      <c r="B47" s="2" t="s">
        <v>20</v>
      </c>
      <c r="C47" s="2" t="s">
        <v>187</v>
      </c>
      <c r="D47">
        <v>198.88</v>
      </c>
      <c r="E47" s="80">
        <v>33647.47</v>
      </c>
      <c r="F47">
        <v>517.55999999999995</v>
      </c>
      <c r="G47">
        <v>1465.94</v>
      </c>
      <c r="H47" s="80">
        <v>487597.08</v>
      </c>
      <c r="I47" s="80">
        <v>32343.3</v>
      </c>
      <c r="J47">
        <v>524.20000000000005</v>
      </c>
      <c r="K47" s="89" t="s">
        <v>582</v>
      </c>
      <c r="L47">
        <f t="shared" si="0"/>
        <v>0</v>
      </c>
      <c r="M47">
        <f t="shared" si="1"/>
        <v>0</v>
      </c>
      <c r="N47">
        <f t="shared" si="2"/>
        <v>0</v>
      </c>
      <c r="O47">
        <f t="shared" si="3"/>
        <v>0</v>
      </c>
      <c r="P47">
        <f t="shared" si="4"/>
        <v>0</v>
      </c>
      <c r="Q47">
        <f t="shared" si="5"/>
        <v>0</v>
      </c>
      <c r="R47">
        <f t="shared" si="6"/>
        <v>0</v>
      </c>
      <c r="S47">
        <f t="shared" si="7"/>
        <v>1</v>
      </c>
      <c r="T47">
        <f t="shared" si="9"/>
        <v>1</v>
      </c>
      <c r="U47">
        <f t="shared" si="8"/>
        <v>1</v>
      </c>
    </row>
    <row r="48" spans="1:21" x14ac:dyDescent="0.25">
      <c r="A48" s="2">
        <v>47</v>
      </c>
      <c r="B48" s="2" t="s">
        <v>20</v>
      </c>
      <c r="C48" s="2" t="s">
        <v>189</v>
      </c>
      <c r="D48">
        <v>141.74</v>
      </c>
      <c r="E48">
        <v>23310.53</v>
      </c>
      <c r="F48">
        <v>166.95</v>
      </c>
      <c r="G48">
        <v>1063.9000000000001</v>
      </c>
      <c r="H48" s="80">
        <v>24553.89</v>
      </c>
      <c r="I48" s="80">
        <v>27493.75</v>
      </c>
      <c r="J48">
        <v>434.28</v>
      </c>
      <c r="K48" s="80">
        <v>32056.69</v>
      </c>
      <c r="L48">
        <f t="shared" si="0"/>
        <v>0</v>
      </c>
      <c r="M48">
        <f t="shared" si="1"/>
        <v>0</v>
      </c>
      <c r="N48">
        <f t="shared" si="2"/>
        <v>0</v>
      </c>
      <c r="O48">
        <f t="shared" si="3"/>
        <v>0</v>
      </c>
      <c r="P48">
        <f t="shared" si="4"/>
        <v>0</v>
      </c>
      <c r="Q48">
        <f t="shared" si="5"/>
        <v>0</v>
      </c>
      <c r="R48">
        <f t="shared" si="6"/>
        <v>0</v>
      </c>
      <c r="S48">
        <f t="shared" si="7"/>
        <v>0</v>
      </c>
      <c r="T48">
        <f t="shared" si="9"/>
        <v>0</v>
      </c>
      <c r="U48">
        <f t="shared" si="8"/>
        <v>0</v>
      </c>
    </row>
    <row r="49" spans="1:21" x14ac:dyDescent="0.25">
      <c r="A49" s="2">
        <v>48</v>
      </c>
      <c r="B49" s="2" t="s">
        <v>2</v>
      </c>
      <c r="C49" s="2" t="s">
        <v>162</v>
      </c>
      <c r="D49">
        <v>31.6</v>
      </c>
      <c r="E49">
        <v>12354.6</v>
      </c>
      <c r="F49">
        <v>4.72</v>
      </c>
      <c r="G49">
        <v>275.70999999999998</v>
      </c>
      <c r="H49">
        <v>3.98</v>
      </c>
      <c r="I49">
        <v>3.35</v>
      </c>
      <c r="J49">
        <v>51.37</v>
      </c>
      <c r="K49">
        <v>6.07</v>
      </c>
      <c r="L49">
        <f t="shared" si="0"/>
        <v>0</v>
      </c>
      <c r="M49">
        <f t="shared" si="1"/>
        <v>0</v>
      </c>
      <c r="N49">
        <f t="shared" si="2"/>
        <v>0</v>
      </c>
      <c r="O49">
        <f t="shared" si="3"/>
        <v>0</v>
      </c>
      <c r="P49">
        <f t="shared" si="4"/>
        <v>0</v>
      </c>
      <c r="Q49">
        <f t="shared" si="5"/>
        <v>0</v>
      </c>
      <c r="R49">
        <f t="shared" si="6"/>
        <v>0</v>
      </c>
      <c r="S49">
        <f t="shared" si="7"/>
        <v>0</v>
      </c>
      <c r="T49">
        <f t="shared" si="9"/>
        <v>0</v>
      </c>
      <c r="U49">
        <f t="shared" si="8"/>
        <v>0</v>
      </c>
    </row>
    <row r="50" spans="1:21" x14ac:dyDescent="0.25">
      <c r="A50" s="2">
        <v>49</v>
      </c>
      <c r="B50" s="2" t="s">
        <v>2</v>
      </c>
      <c r="C50" s="2" t="s">
        <v>170</v>
      </c>
      <c r="D50">
        <v>125.61</v>
      </c>
      <c r="E50">
        <v>22921.38</v>
      </c>
      <c r="F50">
        <v>190.53</v>
      </c>
      <c r="G50">
        <v>774.22</v>
      </c>
      <c r="H50">
        <v>2748.64</v>
      </c>
      <c r="I50" s="80">
        <v>12024.91</v>
      </c>
      <c r="J50">
        <v>206.93</v>
      </c>
      <c r="K50">
        <v>1542.47</v>
      </c>
      <c r="L50">
        <f t="shared" si="0"/>
        <v>0</v>
      </c>
      <c r="M50">
        <f t="shared" si="1"/>
        <v>0</v>
      </c>
      <c r="N50">
        <f t="shared" si="2"/>
        <v>0</v>
      </c>
      <c r="O50">
        <f t="shared" si="3"/>
        <v>0</v>
      </c>
      <c r="P50">
        <f t="shared" si="4"/>
        <v>0</v>
      </c>
      <c r="Q50">
        <f t="shared" si="5"/>
        <v>0</v>
      </c>
      <c r="R50">
        <f t="shared" si="6"/>
        <v>0</v>
      </c>
      <c r="S50">
        <f t="shared" si="7"/>
        <v>0</v>
      </c>
      <c r="T50">
        <f t="shared" si="9"/>
        <v>0</v>
      </c>
      <c r="U50">
        <f t="shared" si="8"/>
        <v>0</v>
      </c>
    </row>
    <row r="51" spans="1:21" x14ac:dyDescent="0.25">
      <c r="A51" s="2">
        <v>50</v>
      </c>
      <c r="B51" s="2" t="s">
        <v>2</v>
      </c>
      <c r="C51" s="2" t="s">
        <v>178</v>
      </c>
      <c r="D51">
        <v>554.9</v>
      </c>
      <c r="E51" s="80">
        <v>49008.53</v>
      </c>
      <c r="F51">
        <v>1237.5999999999999</v>
      </c>
      <c r="G51">
        <v>1355.92</v>
      </c>
      <c r="H51" s="80">
        <v>17373.64</v>
      </c>
      <c r="I51" s="80">
        <v>23754.26</v>
      </c>
      <c r="J51">
        <v>328.73</v>
      </c>
      <c r="K51">
        <v>3844.5</v>
      </c>
      <c r="L51">
        <f t="shared" si="0"/>
        <v>0</v>
      </c>
      <c r="M51">
        <f t="shared" si="1"/>
        <v>0</v>
      </c>
      <c r="N51">
        <f t="shared" si="2"/>
        <v>0</v>
      </c>
      <c r="O51">
        <f t="shared" si="3"/>
        <v>0</v>
      </c>
      <c r="P51">
        <f t="shared" si="4"/>
        <v>0</v>
      </c>
      <c r="Q51">
        <f t="shared" si="5"/>
        <v>0</v>
      </c>
      <c r="R51">
        <f t="shared" si="6"/>
        <v>0</v>
      </c>
      <c r="S51">
        <f t="shared" si="7"/>
        <v>0</v>
      </c>
      <c r="T51">
        <f t="shared" si="9"/>
        <v>0</v>
      </c>
      <c r="U51">
        <f t="shared" si="8"/>
        <v>0</v>
      </c>
    </row>
    <row r="52" spans="1:21" x14ac:dyDescent="0.25">
      <c r="A52" s="2">
        <v>51</v>
      </c>
      <c r="B52" s="2" t="s">
        <v>2</v>
      </c>
      <c r="C52" s="2" t="s">
        <v>163</v>
      </c>
      <c r="D52">
        <v>624.41999999999996</v>
      </c>
      <c r="E52" s="80">
        <v>50567.11</v>
      </c>
      <c r="F52">
        <v>479.83</v>
      </c>
      <c r="G52">
        <v>1246.17</v>
      </c>
      <c r="H52">
        <v>5900.42</v>
      </c>
      <c r="I52" s="80">
        <v>13915.35</v>
      </c>
      <c r="J52">
        <v>358.97</v>
      </c>
      <c r="K52" s="80">
        <v>10890.07</v>
      </c>
      <c r="L52">
        <f t="shared" si="0"/>
        <v>0</v>
      </c>
      <c r="M52">
        <f t="shared" si="1"/>
        <v>0</v>
      </c>
      <c r="N52">
        <f t="shared" si="2"/>
        <v>0</v>
      </c>
      <c r="O52">
        <f t="shared" si="3"/>
        <v>0</v>
      </c>
      <c r="P52">
        <f t="shared" si="4"/>
        <v>0</v>
      </c>
      <c r="Q52">
        <f t="shared" si="5"/>
        <v>0</v>
      </c>
      <c r="R52">
        <f t="shared" si="6"/>
        <v>0</v>
      </c>
      <c r="S52">
        <f t="shared" si="7"/>
        <v>0</v>
      </c>
      <c r="T52">
        <f t="shared" si="9"/>
        <v>0</v>
      </c>
      <c r="U52">
        <f t="shared" si="8"/>
        <v>0</v>
      </c>
    </row>
    <row r="53" spans="1:21" x14ac:dyDescent="0.25">
      <c r="A53" s="2">
        <v>52</v>
      </c>
      <c r="B53" s="92" t="s">
        <v>2</v>
      </c>
      <c r="C53" s="2" t="s">
        <v>181</v>
      </c>
      <c r="D53">
        <v>174.28</v>
      </c>
      <c r="E53" s="89" t="s">
        <v>582</v>
      </c>
      <c r="F53">
        <v>920.96</v>
      </c>
      <c r="G53">
        <v>1392.57</v>
      </c>
      <c r="H53">
        <v>7666.32</v>
      </c>
      <c r="I53" s="80">
        <v>32291.48</v>
      </c>
      <c r="J53">
        <v>494.28</v>
      </c>
      <c r="K53" s="80">
        <v>19652.12</v>
      </c>
      <c r="L53">
        <f t="shared" si="0"/>
        <v>0</v>
      </c>
      <c r="M53">
        <f t="shared" si="1"/>
        <v>1</v>
      </c>
      <c r="N53">
        <f t="shared" si="2"/>
        <v>0</v>
      </c>
      <c r="O53">
        <f t="shared" si="3"/>
        <v>0</v>
      </c>
      <c r="P53">
        <f t="shared" si="4"/>
        <v>0</v>
      </c>
      <c r="Q53">
        <f t="shared" si="5"/>
        <v>0</v>
      </c>
      <c r="R53">
        <f t="shared" si="6"/>
        <v>0</v>
      </c>
      <c r="S53">
        <f t="shared" si="7"/>
        <v>0</v>
      </c>
      <c r="T53">
        <f t="shared" si="9"/>
        <v>1</v>
      </c>
      <c r="U53">
        <f t="shared" si="8"/>
        <v>1</v>
      </c>
    </row>
    <row r="54" spans="1:21" x14ac:dyDescent="0.25">
      <c r="A54" s="2">
        <v>53</v>
      </c>
      <c r="B54" s="92" t="s">
        <v>2</v>
      </c>
      <c r="C54" s="2" t="s">
        <v>183</v>
      </c>
      <c r="D54">
        <v>223.64</v>
      </c>
      <c r="E54" s="89" t="s">
        <v>582</v>
      </c>
      <c r="F54" s="80">
        <v>10907.91</v>
      </c>
      <c r="G54">
        <v>1613.03</v>
      </c>
      <c r="H54" s="89" t="s">
        <v>582</v>
      </c>
      <c r="I54" s="80">
        <v>42367.49</v>
      </c>
      <c r="J54">
        <v>628.59</v>
      </c>
      <c r="K54" s="89" t="s">
        <v>582</v>
      </c>
      <c r="L54">
        <f t="shared" si="0"/>
        <v>0</v>
      </c>
      <c r="M54">
        <f t="shared" si="1"/>
        <v>1</v>
      </c>
      <c r="N54">
        <f t="shared" si="2"/>
        <v>0</v>
      </c>
      <c r="O54">
        <f t="shared" si="3"/>
        <v>0</v>
      </c>
      <c r="P54">
        <f t="shared" si="4"/>
        <v>1</v>
      </c>
      <c r="Q54">
        <f t="shared" si="5"/>
        <v>0</v>
      </c>
      <c r="R54">
        <f t="shared" si="6"/>
        <v>0</v>
      </c>
      <c r="S54">
        <f t="shared" si="7"/>
        <v>1</v>
      </c>
      <c r="T54">
        <f t="shared" si="9"/>
        <v>3</v>
      </c>
      <c r="U54">
        <f t="shared" si="8"/>
        <v>1</v>
      </c>
    </row>
    <row r="55" spans="1:21" x14ac:dyDescent="0.25">
      <c r="A55" s="2">
        <v>54</v>
      </c>
      <c r="B55" s="92" t="s">
        <v>2</v>
      </c>
      <c r="C55" s="2" t="s">
        <v>186</v>
      </c>
      <c r="D55">
        <v>186.56</v>
      </c>
      <c r="E55" s="89" t="s">
        <v>582</v>
      </c>
      <c r="F55">
        <v>2025.62</v>
      </c>
      <c r="G55">
        <v>1686.73</v>
      </c>
      <c r="H55" s="80">
        <v>20282.189999999999</v>
      </c>
      <c r="I55" s="80">
        <v>39753.17</v>
      </c>
      <c r="J55">
        <v>539.14</v>
      </c>
      <c r="K55" s="80">
        <v>12761.04</v>
      </c>
      <c r="L55">
        <f t="shared" si="0"/>
        <v>0</v>
      </c>
      <c r="M55">
        <f t="shared" si="1"/>
        <v>1</v>
      </c>
      <c r="N55">
        <f t="shared" si="2"/>
        <v>0</v>
      </c>
      <c r="O55">
        <f t="shared" si="3"/>
        <v>0</v>
      </c>
      <c r="P55">
        <f t="shared" si="4"/>
        <v>0</v>
      </c>
      <c r="Q55">
        <f t="shared" si="5"/>
        <v>0</v>
      </c>
      <c r="R55">
        <f t="shared" si="6"/>
        <v>0</v>
      </c>
      <c r="S55">
        <f t="shared" si="7"/>
        <v>0</v>
      </c>
      <c r="T55">
        <f t="shared" si="9"/>
        <v>1</v>
      </c>
      <c r="U55">
        <f t="shared" si="8"/>
        <v>1</v>
      </c>
    </row>
    <row r="56" spans="1:21" x14ac:dyDescent="0.25">
      <c r="A56" s="2">
        <v>55</v>
      </c>
      <c r="B56" s="92" t="s">
        <v>2</v>
      </c>
      <c r="C56" s="2" t="s">
        <v>188</v>
      </c>
      <c r="D56">
        <v>109.57</v>
      </c>
      <c r="E56" s="89" t="s">
        <v>582</v>
      </c>
      <c r="F56">
        <v>7</v>
      </c>
      <c r="G56">
        <v>702.25</v>
      </c>
      <c r="H56">
        <v>101.93</v>
      </c>
      <c r="I56">
        <v>258.56</v>
      </c>
      <c r="J56">
        <v>222.25</v>
      </c>
      <c r="K56">
        <v>150.30000000000001</v>
      </c>
      <c r="L56">
        <f t="shared" si="0"/>
        <v>0</v>
      </c>
      <c r="M56">
        <f t="shared" si="1"/>
        <v>1</v>
      </c>
      <c r="N56">
        <f t="shared" si="2"/>
        <v>0</v>
      </c>
      <c r="O56">
        <f t="shared" si="3"/>
        <v>0</v>
      </c>
      <c r="P56">
        <f t="shared" si="4"/>
        <v>0</v>
      </c>
      <c r="Q56">
        <f t="shared" si="5"/>
        <v>0</v>
      </c>
      <c r="R56">
        <f t="shared" si="6"/>
        <v>0</v>
      </c>
      <c r="S56">
        <f t="shared" si="7"/>
        <v>0</v>
      </c>
      <c r="T56">
        <f t="shared" si="9"/>
        <v>1</v>
      </c>
      <c r="U56">
        <f t="shared" si="8"/>
        <v>1</v>
      </c>
    </row>
    <row r="57" spans="1:21" x14ac:dyDescent="0.25">
      <c r="A57" s="2">
        <v>56</v>
      </c>
      <c r="B57" s="2" t="s">
        <v>2</v>
      </c>
      <c r="C57" s="2" t="s">
        <v>182</v>
      </c>
      <c r="D57">
        <v>54.48</v>
      </c>
      <c r="E57">
        <v>6613.75</v>
      </c>
      <c r="F57">
        <v>222.17</v>
      </c>
      <c r="G57">
        <v>558.94000000000005</v>
      </c>
      <c r="H57">
        <v>3803.53</v>
      </c>
      <c r="I57" s="80">
        <v>17259.46</v>
      </c>
      <c r="J57">
        <v>145.34</v>
      </c>
      <c r="K57">
        <v>2165.7399999999998</v>
      </c>
      <c r="L57">
        <f t="shared" si="0"/>
        <v>0</v>
      </c>
      <c r="M57">
        <f t="shared" si="1"/>
        <v>0</v>
      </c>
      <c r="N57">
        <f t="shared" si="2"/>
        <v>0</v>
      </c>
      <c r="O57">
        <f t="shared" si="3"/>
        <v>0</v>
      </c>
      <c r="P57">
        <f t="shared" si="4"/>
        <v>0</v>
      </c>
      <c r="Q57">
        <f t="shared" si="5"/>
        <v>0</v>
      </c>
      <c r="R57">
        <f t="shared" si="6"/>
        <v>0</v>
      </c>
      <c r="S57">
        <f t="shared" si="7"/>
        <v>0</v>
      </c>
      <c r="T57">
        <f t="shared" si="9"/>
        <v>0</v>
      </c>
      <c r="U57">
        <f t="shared" si="8"/>
        <v>0</v>
      </c>
    </row>
    <row r="58" spans="1:21" x14ac:dyDescent="0.25">
      <c r="A58" s="2">
        <v>57</v>
      </c>
      <c r="B58" s="2" t="s">
        <v>2</v>
      </c>
      <c r="C58" s="2" t="s">
        <v>184</v>
      </c>
      <c r="D58">
        <v>101.6</v>
      </c>
      <c r="E58">
        <v>14202.94</v>
      </c>
      <c r="F58">
        <v>598.33000000000004</v>
      </c>
      <c r="G58">
        <v>991.24</v>
      </c>
      <c r="H58">
        <v>14233.48</v>
      </c>
      <c r="I58" s="80">
        <v>23496.47</v>
      </c>
      <c r="J58">
        <v>214.59</v>
      </c>
      <c r="K58">
        <v>2021.44</v>
      </c>
      <c r="L58">
        <f t="shared" si="0"/>
        <v>0</v>
      </c>
      <c r="M58">
        <f t="shared" si="1"/>
        <v>0</v>
      </c>
      <c r="N58">
        <f t="shared" si="2"/>
        <v>0</v>
      </c>
      <c r="O58">
        <f t="shared" si="3"/>
        <v>0</v>
      </c>
      <c r="P58">
        <f t="shared" si="4"/>
        <v>0</v>
      </c>
      <c r="Q58">
        <f t="shared" si="5"/>
        <v>0</v>
      </c>
      <c r="R58">
        <f t="shared" si="6"/>
        <v>0</v>
      </c>
      <c r="S58">
        <f t="shared" si="7"/>
        <v>0</v>
      </c>
      <c r="T58">
        <f t="shared" si="9"/>
        <v>0</v>
      </c>
      <c r="U58">
        <f t="shared" si="8"/>
        <v>0</v>
      </c>
    </row>
    <row r="59" spans="1:21" x14ac:dyDescent="0.25">
      <c r="A59" s="2">
        <v>58</v>
      </c>
      <c r="B59" s="2" t="s">
        <v>2</v>
      </c>
      <c r="C59" s="2" t="s">
        <v>187</v>
      </c>
      <c r="D59">
        <v>149.84</v>
      </c>
      <c r="E59">
        <v>16732.5</v>
      </c>
      <c r="F59">
        <v>874.13</v>
      </c>
      <c r="G59">
        <v>991.24</v>
      </c>
      <c r="H59" s="80">
        <v>38597.360000000001</v>
      </c>
      <c r="I59" s="80">
        <v>26247.98</v>
      </c>
      <c r="J59">
        <v>358.97</v>
      </c>
      <c r="K59">
        <v>5221.8100000000004</v>
      </c>
      <c r="L59">
        <f t="shared" si="0"/>
        <v>0</v>
      </c>
      <c r="M59">
        <f t="shared" si="1"/>
        <v>0</v>
      </c>
      <c r="N59">
        <f t="shared" si="2"/>
        <v>0</v>
      </c>
      <c r="O59">
        <f t="shared" si="3"/>
        <v>0</v>
      </c>
      <c r="P59">
        <f t="shared" si="4"/>
        <v>0</v>
      </c>
      <c r="Q59">
        <f t="shared" si="5"/>
        <v>0</v>
      </c>
      <c r="R59">
        <f t="shared" si="6"/>
        <v>0</v>
      </c>
      <c r="S59">
        <f t="shared" si="7"/>
        <v>0</v>
      </c>
      <c r="T59">
        <f t="shared" si="9"/>
        <v>0</v>
      </c>
      <c r="U59">
        <f t="shared" si="8"/>
        <v>0</v>
      </c>
    </row>
    <row r="60" spans="1:21" x14ac:dyDescent="0.25">
      <c r="A60" s="2">
        <v>59</v>
      </c>
      <c r="B60" s="2" t="s">
        <v>2</v>
      </c>
      <c r="C60" s="2" t="s">
        <v>189</v>
      </c>
      <c r="D60">
        <v>101.6</v>
      </c>
      <c r="E60">
        <v>10695.72</v>
      </c>
      <c r="F60">
        <v>770.24</v>
      </c>
      <c r="G60">
        <v>846.39</v>
      </c>
      <c r="H60">
        <v>14658.9</v>
      </c>
      <c r="I60" s="80">
        <v>23299.33</v>
      </c>
      <c r="J60">
        <v>283.23</v>
      </c>
      <c r="K60">
        <v>7516.77</v>
      </c>
      <c r="L60">
        <f t="shared" si="0"/>
        <v>0</v>
      </c>
      <c r="M60">
        <f t="shared" si="1"/>
        <v>0</v>
      </c>
      <c r="N60">
        <f t="shared" si="2"/>
        <v>0</v>
      </c>
      <c r="O60">
        <f t="shared" si="3"/>
        <v>0</v>
      </c>
      <c r="P60">
        <f t="shared" si="4"/>
        <v>0</v>
      </c>
      <c r="Q60">
        <f t="shared" si="5"/>
        <v>0</v>
      </c>
      <c r="R60">
        <f t="shared" si="6"/>
        <v>0</v>
      </c>
      <c r="S60">
        <f t="shared" si="7"/>
        <v>0</v>
      </c>
      <c r="T60">
        <f t="shared" si="9"/>
        <v>0</v>
      </c>
      <c r="U60">
        <f t="shared" si="8"/>
        <v>0</v>
      </c>
    </row>
    <row r="61" spans="1:21" x14ac:dyDescent="0.25">
      <c r="A61" s="2">
        <v>60</v>
      </c>
      <c r="B61" s="2" t="s">
        <v>21</v>
      </c>
      <c r="C61" s="2" t="s">
        <v>162</v>
      </c>
      <c r="D61">
        <v>46.79</v>
      </c>
      <c r="E61" s="80">
        <v>27759.59</v>
      </c>
      <c r="F61">
        <v>5.18</v>
      </c>
      <c r="G61">
        <v>594.67999999999995</v>
      </c>
      <c r="H61">
        <v>24.28</v>
      </c>
      <c r="I61">
        <v>29.38</v>
      </c>
      <c r="J61">
        <v>98.67</v>
      </c>
      <c r="K61">
        <v>36.799999999999997</v>
      </c>
      <c r="L61">
        <f t="shared" si="0"/>
        <v>0</v>
      </c>
      <c r="M61">
        <f t="shared" si="1"/>
        <v>0</v>
      </c>
      <c r="N61">
        <f t="shared" si="2"/>
        <v>0</v>
      </c>
      <c r="O61">
        <f t="shared" si="3"/>
        <v>0</v>
      </c>
      <c r="P61">
        <f t="shared" si="4"/>
        <v>0</v>
      </c>
      <c r="Q61">
        <f t="shared" si="5"/>
        <v>0</v>
      </c>
      <c r="R61">
        <f t="shared" si="6"/>
        <v>0</v>
      </c>
      <c r="S61">
        <f t="shared" si="7"/>
        <v>0</v>
      </c>
      <c r="T61">
        <f t="shared" si="9"/>
        <v>0</v>
      </c>
      <c r="U61">
        <f t="shared" si="8"/>
        <v>0</v>
      </c>
    </row>
    <row r="62" spans="1:21" x14ac:dyDescent="0.25">
      <c r="A62" s="2">
        <v>61</v>
      </c>
      <c r="B62" s="2" t="s">
        <v>21</v>
      </c>
      <c r="C62" s="2" t="s">
        <v>170</v>
      </c>
      <c r="D62">
        <v>93.65</v>
      </c>
      <c r="E62" s="80">
        <v>65308.47</v>
      </c>
      <c r="F62">
        <v>135.91</v>
      </c>
      <c r="G62">
        <v>954.97</v>
      </c>
      <c r="H62">
        <v>1431.43</v>
      </c>
      <c r="I62" s="80">
        <v>15971.15</v>
      </c>
      <c r="J62">
        <v>176.21</v>
      </c>
      <c r="K62">
        <v>562.14</v>
      </c>
      <c r="L62">
        <f t="shared" si="0"/>
        <v>0</v>
      </c>
      <c r="M62">
        <f t="shared" si="1"/>
        <v>0</v>
      </c>
      <c r="N62">
        <f t="shared" si="2"/>
        <v>0</v>
      </c>
      <c r="O62">
        <f t="shared" si="3"/>
        <v>0</v>
      </c>
      <c r="P62">
        <f t="shared" si="4"/>
        <v>0</v>
      </c>
      <c r="Q62">
        <f t="shared" si="5"/>
        <v>0</v>
      </c>
      <c r="R62">
        <f t="shared" si="6"/>
        <v>0</v>
      </c>
      <c r="S62">
        <f t="shared" si="7"/>
        <v>0</v>
      </c>
      <c r="T62">
        <f t="shared" si="9"/>
        <v>0</v>
      </c>
      <c r="U62">
        <f t="shared" si="8"/>
        <v>0</v>
      </c>
    </row>
    <row r="63" spans="1:21" x14ac:dyDescent="0.25">
      <c r="A63" s="2">
        <v>62</v>
      </c>
      <c r="B63" s="2" t="s">
        <v>21</v>
      </c>
      <c r="C63" s="2" t="s">
        <v>178</v>
      </c>
      <c r="D63">
        <v>85.74</v>
      </c>
      <c r="E63" s="80">
        <v>126365.54</v>
      </c>
      <c r="F63">
        <v>609.45000000000005</v>
      </c>
      <c r="G63">
        <v>846.39</v>
      </c>
      <c r="H63">
        <v>5200.95</v>
      </c>
      <c r="I63" s="80">
        <v>23892.18</v>
      </c>
      <c r="J63">
        <v>252.79</v>
      </c>
      <c r="K63">
        <v>1111.95</v>
      </c>
      <c r="L63">
        <f t="shared" si="0"/>
        <v>0</v>
      </c>
      <c r="M63">
        <f t="shared" si="1"/>
        <v>0</v>
      </c>
      <c r="N63">
        <f t="shared" si="2"/>
        <v>0</v>
      </c>
      <c r="O63">
        <f t="shared" si="3"/>
        <v>0</v>
      </c>
      <c r="P63">
        <f t="shared" si="4"/>
        <v>0</v>
      </c>
      <c r="Q63">
        <f t="shared" si="5"/>
        <v>0</v>
      </c>
      <c r="R63">
        <f t="shared" si="6"/>
        <v>0</v>
      </c>
      <c r="S63">
        <f t="shared" si="7"/>
        <v>0</v>
      </c>
      <c r="T63">
        <f t="shared" si="9"/>
        <v>0</v>
      </c>
      <c r="U63">
        <f t="shared" si="8"/>
        <v>0</v>
      </c>
    </row>
    <row r="64" spans="1:21" x14ac:dyDescent="0.25">
      <c r="A64" s="2">
        <v>63</v>
      </c>
      <c r="B64" s="92" t="s">
        <v>21</v>
      </c>
      <c r="C64" s="2" t="s">
        <v>163</v>
      </c>
      <c r="D64">
        <v>157.97</v>
      </c>
      <c r="E64" s="89" t="s">
        <v>582</v>
      </c>
      <c r="F64">
        <v>830.15</v>
      </c>
      <c r="G64">
        <v>1100.29</v>
      </c>
      <c r="H64">
        <v>10895.09</v>
      </c>
      <c r="I64" s="80">
        <v>21344.560000000001</v>
      </c>
      <c r="J64">
        <v>494.28</v>
      </c>
      <c r="K64" s="89" t="s">
        <v>582</v>
      </c>
      <c r="L64">
        <f t="shared" si="0"/>
        <v>0</v>
      </c>
      <c r="M64">
        <f t="shared" si="1"/>
        <v>1</v>
      </c>
      <c r="N64">
        <f t="shared" si="2"/>
        <v>0</v>
      </c>
      <c r="O64">
        <f t="shared" si="3"/>
        <v>0</v>
      </c>
      <c r="P64">
        <f t="shared" si="4"/>
        <v>0</v>
      </c>
      <c r="Q64">
        <f t="shared" si="5"/>
        <v>0</v>
      </c>
      <c r="R64">
        <f t="shared" si="6"/>
        <v>0</v>
      </c>
      <c r="S64">
        <f t="shared" si="7"/>
        <v>1</v>
      </c>
      <c r="T64">
        <f t="shared" si="9"/>
        <v>2</v>
      </c>
      <c r="U64">
        <f t="shared" si="8"/>
        <v>1</v>
      </c>
    </row>
    <row r="65" spans="1:21" x14ac:dyDescent="0.25">
      <c r="A65" s="2">
        <v>64</v>
      </c>
      <c r="B65" s="2" t="s">
        <v>21</v>
      </c>
      <c r="C65" s="2" t="s">
        <v>181</v>
      </c>
      <c r="D65">
        <v>73.94</v>
      </c>
      <c r="E65" s="80">
        <v>77993.41</v>
      </c>
      <c r="F65">
        <v>20.09</v>
      </c>
      <c r="G65">
        <v>416.65</v>
      </c>
      <c r="H65">
        <v>277.92</v>
      </c>
      <c r="I65">
        <v>1258.96</v>
      </c>
      <c r="J65">
        <v>145.34</v>
      </c>
      <c r="K65">
        <v>106.25</v>
      </c>
      <c r="L65">
        <f t="shared" si="0"/>
        <v>0</v>
      </c>
      <c r="M65">
        <f t="shared" si="1"/>
        <v>0</v>
      </c>
      <c r="N65">
        <f t="shared" si="2"/>
        <v>0</v>
      </c>
      <c r="O65">
        <f t="shared" si="3"/>
        <v>0</v>
      </c>
      <c r="P65">
        <f t="shared" si="4"/>
        <v>0</v>
      </c>
      <c r="Q65">
        <f t="shared" si="5"/>
        <v>0</v>
      </c>
      <c r="R65">
        <f t="shared" si="6"/>
        <v>0</v>
      </c>
      <c r="S65">
        <f t="shared" si="7"/>
        <v>0</v>
      </c>
      <c r="T65">
        <f t="shared" si="9"/>
        <v>0</v>
      </c>
      <c r="U65">
        <f t="shared" si="8"/>
        <v>0</v>
      </c>
    </row>
    <row r="66" spans="1:21" x14ac:dyDescent="0.25">
      <c r="A66" s="2">
        <v>65</v>
      </c>
      <c r="B66" s="92" t="s">
        <v>21</v>
      </c>
      <c r="C66" s="2" t="s">
        <v>183</v>
      </c>
      <c r="D66">
        <v>133.66</v>
      </c>
      <c r="E66" s="89" t="s">
        <v>582</v>
      </c>
      <c r="F66">
        <v>263.33</v>
      </c>
      <c r="G66">
        <v>774.22</v>
      </c>
      <c r="H66">
        <v>979.95</v>
      </c>
      <c r="I66" s="80">
        <v>27321.48</v>
      </c>
      <c r="J66">
        <v>313.58999999999997</v>
      </c>
      <c r="K66">
        <v>1309.4000000000001</v>
      </c>
      <c r="L66">
        <f t="shared" ref="L66:L129" si="10">IF(D66 = "OOR &gt;", 1,0)</f>
        <v>0</v>
      </c>
      <c r="M66">
        <f t="shared" ref="M66:M129" si="11">IF(E66 = "OOR &gt;", 1,0)</f>
        <v>1</v>
      </c>
      <c r="N66">
        <f t="shared" ref="N66:N129" si="12">IF(F66 = "OOR &gt;", 1,0)</f>
        <v>0</v>
      </c>
      <c r="O66">
        <f t="shared" ref="O66:O129" si="13">IF(G66 = "OOR &gt;", 1,0)</f>
        <v>0</v>
      </c>
      <c r="P66">
        <f t="shared" ref="P66:P129" si="14">IF(H66 = "OOR &gt;", 1,0)</f>
        <v>0</v>
      </c>
      <c r="Q66">
        <f t="shared" ref="Q66:Q129" si="15">IF(I66 = "OOR &gt;", 1,0)</f>
        <v>0</v>
      </c>
      <c r="R66">
        <f t="shared" ref="R66:R129" si="16">IF(J66 = "OOR &gt;", 1,0)</f>
        <v>0</v>
      </c>
      <c r="S66">
        <f t="shared" ref="S66:S129" si="17">IF(K66 = "OOR &gt;", 1,0)</f>
        <v>0</v>
      </c>
      <c r="T66">
        <f t="shared" si="9"/>
        <v>1</v>
      </c>
      <c r="U66">
        <f t="shared" ref="U66:U129" si="18">IF(T66 &gt; 0,1,0)</f>
        <v>1</v>
      </c>
    </row>
    <row r="67" spans="1:21" x14ac:dyDescent="0.25">
      <c r="A67" s="2">
        <v>66</v>
      </c>
      <c r="B67" s="92" t="s">
        <v>21</v>
      </c>
      <c r="C67" s="2" t="s">
        <v>186</v>
      </c>
      <c r="D67">
        <v>153.9</v>
      </c>
      <c r="E67" s="89" t="s">
        <v>582</v>
      </c>
      <c r="F67">
        <v>917.11</v>
      </c>
      <c r="G67">
        <v>1063.9000000000001</v>
      </c>
      <c r="H67">
        <v>3823.43</v>
      </c>
      <c r="I67" s="80">
        <v>34022.14</v>
      </c>
      <c r="J67">
        <v>343.86</v>
      </c>
      <c r="K67">
        <v>2149.71</v>
      </c>
      <c r="L67">
        <f t="shared" si="10"/>
        <v>0</v>
      </c>
      <c r="M67">
        <f t="shared" si="11"/>
        <v>1</v>
      </c>
      <c r="N67">
        <f t="shared" si="12"/>
        <v>0</v>
      </c>
      <c r="O67">
        <f t="shared" si="13"/>
        <v>0</v>
      </c>
      <c r="P67">
        <f t="shared" si="14"/>
        <v>0</v>
      </c>
      <c r="Q67">
        <f t="shared" si="15"/>
        <v>0</v>
      </c>
      <c r="R67">
        <f t="shared" si="16"/>
        <v>0</v>
      </c>
      <c r="S67">
        <f t="shared" si="17"/>
        <v>0</v>
      </c>
      <c r="T67">
        <f t="shared" ref="T67:T130" si="19">SUMIF(L67:S67,"&gt;0")</f>
        <v>1</v>
      </c>
      <c r="U67">
        <f t="shared" si="18"/>
        <v>1</v>
      </c>
    </row>
    <row r="68" spans="1:21" x14ac:dyDescent="0.25">
      <c r="A68" s="2">
        <v>67</v>
      </c>
      <c r="B68" s="92" t="s">
        <v>21</v>
      </c>
      <c r="C68" s="2" t="s">
        <v>188</v>
      </c>
      <c r="D68">
        <v>198.88</v>
      </c>
      <c r="E68" s="89" t="s">
        <v>582</v>
      </c>
      <c r="F68">
        <v>713.37</v>
      </c>
      <c r="G68">
        <v>1246.17</v>
      </c>
      <c r="H68">
        <v>8391.31</v>
      </c>
      <c r="I68" s="80">
        <v>28182.19</v>
      </c>
      <c r="J68">
        <v>583.91</v>
      </c>
      <c r="K68" s="89" t="s">
        <v>582</v>
      </c>
      <c r="L68">
        <f t="shared" si="10"/>
        <v>0</v>
      </c>
      <c r="M68">
        <f t="shared" si="11"/>
        <v>1</v>
      </c>
      <c r="N68">
        <f t="shared" si="12"/>
        <v>0</v>
      </c>
      <c r="O68">
        <f t="shared" si="13"/>
        <v>0</v>
      </c>
      <c r="P68">
        <f t="shared" si="14"/>
        <v>0</v>
      </c>
      <c r="Q68">
        <f t="shared" si="15"/>
        <v>0</v>
      </c>
      <c r="R68">
        <f t="shared" si="16"/>
        <v>0</v>
      </c>
      <c r="S68">
        <f t="shared" si="17"/>
        <v>1</v>
      </c>
      <c r="T68">
        <f t="shared" si="19"/>
        <v>2</v>
      </c>
      <c r="U68">
        <f t="shared" si="18"/>
        <v>1</v>
      </c>
    </row>
    <row r="69" spans="1:21" x14ac:dyDescent="0.25">
      <c r="A69" s="2">
        <v>68</v>
      </c>
      <c r="B69" s="2" t="s">
        <v>21</v>
      </c>
      <c r="C69" s="2" t="s">
        <v>182</v>
      </c>
      <c r="D69" t="s">
        <v>583</v>
      </c>
      <c r="E69">
        <v>3010.65</v>
      </c>
      <c r="F69">
        <v>3.04</v>
      </c>
      <c r="G69">
        <v>275.70999999999998</v>
      </c>
      <c r="H69">
        <v>1.4</v>
      </c>
      <c r="I69">
        <v>7.95</v>
      </c>
      <c r="J69" t="s">
        <v>583</v>
      </c>
      <c r="K69" t="s">
        <v>583</v>
      </c>
      <c r="L69">
        <f t="shared" si="10"/>
        <v>0</v>
      </c>
      <c r="M69">
        <f t="shared" si="11"/>
        <v>0</v>
      </c>
      <c r="N69">
        <f t="shared" si="12"/>
        <v>0</v>
      </c>
      <c r="O69">
        <f t="shared" si="13"/>
        <v>0</v>
      </c>
      <c r="P69">
        <f t="shared" si="14"/>
        <v>0</v>
      </c>
      <c r="Q69">
        <f t="shared" si="15"/>
        <v>0</v>
      </c>
      <c r="R69">
        <f t="shared" si="16"/>
        <v>0</v>
      </c>
      <c r="S69">
        <f t="shared" si="17"/>
        <v>0</v>
      </c>
      <c r="T69">
        <f t="shared" si="19"/>
        <v>0</v>
      </c>
      <c r="U69">
        <f t="shared" si="18"/>
        <v>0</v>
      </c>
    </row>
    <row r="70" spans="1:21" x14ac:dyDescent="0.25">
      <c r="A70" s="2">
        <v>69</v>
      </c>
      <c r="B70" s="2" t="s">
        <v>21</v>
      </c>
      <c r="C70" s="2" t="s">
        <v>184</v>
      </c>
      <c r="D70">
        <v>85.74</v>
      </c>
      <c r="E70" s="80">
        <v>135750.39000000001</v>
      </c>
      <c r="F70">
        <v>96.84</v>
      </c>
      <c r="G70">
        <v>702.25</v>
      </c>
      <c r="H70">
        <v>920.28</v>
      </c>
      <c r="I70" s="80">
        <v>16991.310000000001</v>
      </c>
      <c r="J70">
        <v>183.9</v>
      </c>
      <c r="K70">
        <v>266.47000000000003</v>
      </c>
      <c r="L70">
        <f t="shared" si="10"/>
        <v>0</v>
      </c>
      <c r="M70">
        <f t="shared" si="11"/>
        <v>0</v>
      </c>
      <c r="N70">
        <f t="shared" si="12"/>
        <v>0</v>
      </c>
      <c r="O70">
        <f t="shared" si="13"/>
        <v>0</v>
      </c>
      <c r="P70">
        <f t="shared" si="14"/>
        <v>0</v>
      </c>
      <c r="Q70">
        <f t="shared" si="15"/>
        <v>0</v>
      </c>
      <c r="R70">
        <f t="shared" si="16"/>
        <v>0</v>
      </c>
      <c r="S70">
        <f t="shared" si="17"/>
        <v>0</v>
      </c>
      <c r="T70">
        <f t="shared" si="19"/>
        <v>0</v>
      </c>
      <c r="U70">
        <f t="shared" si="18"/>
        <v>0</v>
      </c>
    </row>
    <row r="71" spans="1:21" x14ac:dyDescent="0.25">
      <c r="A71" s="2">
        <v>70</v>
      </c>
      <c r="B71" s="92" t="s">
        <v>21</v>
      </c>
      <c r="C71" s="2" t="s">
        <v>187</v>
      </c>
      <c r="D71">
        <v>125.61</v>
      </c>
      <c r="E71" s="89" t="s">
        <v>582</v>
      </c>
      <c r="F71">
        <v>197.5</v>
      </c>
      <c r="G71">
        <v>1136.71</v>
      </c>
      <c r="H71">
        <v>6495.8</v>
      </c>
      <c r="I71" s="80">
        <v>22976.240000000002</v>
      </c>
      <c r="J71">
        <v>298.42</v>
      </c>
      <c r="K71">
        <v>2657.98</v>
      </c>
      <c r="L71">
        <f t="shared" si="10"/>
        <v>0</v>
      </c>
      <c r="M71">
        <f t="shared" si="11"/>
        <v>1</v>
      </c>
      <c r="N71">
        <f t="shared" si="12"/>
        <v>0</v>
      </c>
      <c r="O71">
        <f t="shared" si="13"/>
        <v>0</v>
      </c>
      <c r="P71">
        <f t="shared" si="14"/>
        <v>0</v>
      </c>
      <c r="Q71">
        <f t="shared" si="15"/>
        <v>0</v>
      </c>
      <c r="R71">
        <f t="shared" si="16"/>
        <v>0</v>
      </c>
      <c r="S71">
        <f t="shared" si="17"/>
        <v>0</v>
      </c>
      <c r="T71">
        <f t="shared" si="19"/>
        <v>1</v>
      </c>
      <c r="U71">
        <f t="shared" si="18"/>
        <v>1</v>
      </c>
    </row>
    <row r="72" spans="1:21" x14ac:dyDescent="0.25">
      <c r="A72" s="2">
        <v>71</v>
      </c>
      <c r="B72" s="92" t="s">
        <v>21</v>
      </c>
      <c r="C72" s="2" t="s">
        <v>189</v>
      </c>
      <c r="D72">
        <v>105.58</v>
      </c>
      <c r="E72" s="89" t="s">
        <v>582</v>
      </c>
      <c r="F72">
        <v>82.43</v>
      </c>
      <c r="G72">
        <v>918.73</v>
      </c>
      <c r="H72">
        <v>3551.78</v>
      </c>
      <c r="I72" s="80">
        <v>11374.39</v>
      </c>
      <c r="J72">
        <v>283.23</v>
      </c>
      <c r="K72">
        <v>3240.76</v>
      </c>
      <c r="L72">
        <f t="shared" si="10"/>
        <v>0</v>
      </c>
      <c r="M72">
        <f t="shared" si="11"/>
        <v>1</v>
      </c>
      <c r="N72">
        <f t="shared" si="12"/>
        <v>0</v>
      </c>
      <c r="O72">
        <f t="shared" si="13"/>
        <v>0</v>
      </c>
      <c r="P72">
        <f t="shared" si="14"/>
        <v>0</v>
      </c>
      <c r="Q72">
        <f t="shared" si="15"/>
        <v>0</v>
      </c>
      <c r="R72">
        <f t="shared" si="16"/>
        <v>0</v>
      </c>
      <c r="S72">
        <f t="shared" si="17"/>
        <v>0</v>
      </c>
      <c r="T72">
        <f t="shared" si="19"/>
        <v>1</v>
      </c>
      <c r="U72">
        <f t="shared" si="18"/>
        <v>1</v>
      </c>
    </row>
    <row r="73" spans="1:21" x14ac:dyDescent="0.25">
      <c r="A73" s="2">
        <v>72</v>
      </c>
      <c r="B73" s="92" t="s">
        <v>3</v>
      </c>
      <c r="C73" s="2" t="s">
        <v>162</v>
      </c>
      <c r="D73">
        <v>70.03</v>
      </c>
      <c r="E73" s="89" t="s">
        <v>582</v>
      </c>
      <c r="F73">
        <v>7.89</v>
      </c>
      <c r="G73">
        <v>702.25</v>
      </c>
      <c r="H73">
        <v>17.46</v>
      </c>
      <c r="I73">
        <v>19.809999999999999</v>
      </c>
      <c r="J73">
        <v>191.59</v>
      </c>
      <c r="K73">
        <v>22</v>
      </c>
      <c r="L73">
        <f t="shared" si="10"/>
        <v>0</v>
      </c>
      <c r="M73">
        <f t="shared" si="11"/>
        <v>1</v>
      </c>
      <c r="N73">
        <f t="shared" si="12"/>
        <v>0</v>
      </c>
      <c r="O73">
        <f t="shared" si="13"/>
        <v>0</v>
      </c>
      <c r="P73">
        <f t="shared" si="14"/>
        <v>0</v>
      </c>
      <c r="Q73">
        <f t="shared" si="15"/>
        <v>0</v>
      </c>
      <c r="R73">
        <f t="shared" si="16"/>
        <v>0</v>
      </c>
      <c r="S73">
        <f t="shared" si="17"/>
        <v>0</v>
      </c>
      <c r="T73">
        <f t="shared" si="19"/>
        <v>1</v>
      </c>
      <c r="U73">
        <f t="shared" si="18"/>
        <v>1</v>
      </c>
    </row>
    <row r="74" spans="1:21" x14ac:dyDescent="0.25">
      <c r="A74" s="2">
        <v>73</v>
      </c>
      <c r="B74" s="2" t="s">
        <v>3</v>
      </c>
      <c r="C74" s="2" t="s">
        <v>170</v>
      </c>
      <c r="D74">
        <v>105.58</v>
      </c>
      <c r="E74" s="80">
        <v>36048.57</v>
      </c>
      <c r="F74">
        <v>232.31</v>
      </c>
      <c r="G74">
        <v>702.25</v>
      </c>
      <c r="H74">
        <v>1416.63</v>
      </c>
      <c r="I74" s="80">
        <v>18408.87</v>
      </c>
      <c r="J74">
        <v>183.9</v>
      </c>
      <c r="K74">
        <v>1066.5899999999999</v>
      </c>
      <c r="L74">
        <f t="shared" si="10"/>
        <v>0</v>
      </c>
      <c r="M74">
        <f t="shared" si="11"/>
        <v>0</v>
      </c>
      <c r="N74">
        <f t="shared" si="12"/>
        <v>0</v>
      </c>
      <c r="O74">
        <f t="shared" si="13"/>
        <v>0</v>
      </c>
      <c r="P74">
        <f t="shared" si="14"/>
        <v>0</v>
      </c>
      <c r="Q74">
        <f t="shared" si="15"/>
        <v>0</v>
      </c>
      <c r="R74">
        <f t="shared" si="16"/>
        <v>0</v>
      </c>
      <c r="S74">
        <f t="shared" si="17"/>
        <v>0</v>
      </c>
      <c r="T74">
        <f t="shared" si="19"/>
        <v>0</v>
      </c>
      <c r="U74">
        <f t="shared" si="18"/>
        <v>0</v>
      </c>
    </row>
    <row r="75" spans="1:21" x14ac:dyDescent="0.25">
      <c r="A75" s="2">
        <v>74</v>
      </c>
      <c r="B75" s="92" t="s">
        <v>3</v>
      </c>
      <c r="C75" s="2" t="s">
        <v>178</v>
      </c>
      <c r="D75">
        <v>145.79</v>
      </c>
      <c r="E75" s="89" t="s">
        <v>582</v>
      </c>
      <c r="F75">
        <v>1095.1400000000001</v>
      </c>
      <c r="G75">
        <v>1027.55</v>
      </c>
      <c r="H75">
        <v>6654.69</v>
      </c>
      <c r="I75" s="80">
        <v>28796.959999999999</v>
      </c>
      <c r="J75">
        <v>275.63</v>
      </c>
      <c r="K75">
        <v>2018.69</v>
      </c>
      <c r="L75">
        <f t="shared" si="10"/>
        <v>0</v>
      </c>
      <c r="M75">
        <f t="shared" si="11"/>
        <v>1</v>
      </c>
      <c r="N75">
        <f t="shared" si="12"/>
        <v>0</v>
      </c>
      <c r="O75">
        <f t="shared" si="13"/>
        <v>0</v>
      </c>
      <c r="P75">
        <f t="shared" si="14"/>
        <v>0</v>
      </c>
      <c r="Q75">
        <f t="shared" si="15"/>
        <v>0</v>
      </c>
      <c r="R75">
        <f t="shared" si="16"/>
        <v>0</v>
      </c>
      <c r="S75">
        <f t="shared" si="17"/>
        <v>0</v>
      </c>
      <c r="T75">
        <f t="shared" si="19"/>
        <v>1</v>
      </c>
      <c r="U75">
        <f t="shared" si="18"/>
        <v>1</v>
      </c>
    </row>
    <row r="76" spans="1:21" x14ac:dyDescent="0.25">
      <c r="A76" s="2">
        <v>75</v>
      </c>
      <c r="B76" s="92" t="s">
        <v>3</v>
      </c>
      <c r="C76" s="2" t="s">
        <v>163</v>
      </c>
      <c r="D76">
        <v>1040.33</v>
      </c>
      <c r="E76" s="89" t="s">
        <v>582</v>
      </c>
      <c r="F76">
        <v>575.51</v>
      </c>
      <c r="G76">
        <v>1649.86</v>
      </c>
      <c r="H76" s="80">
        <v>19171.32</v>
      </c>
      <c r="I76" s="80">
        <v>22152.7</v>
      </c>
      <c r="J76">
        <v>621.15</v>
      </c>
      <c r="K76" s="89" t="s">
        <v>582</v>
      </c>
      <c r="L76">
        <f t="shared" si="10"/>
        <v>0</v>
      </c>
      <c r="M76">
        <f t="shared" si="11"/>
        <v>1</v>
      </c>
      <c r="N76">
        <f t="shared" si="12"/>
        <v>0</v>
      </c>
      <c r="O76">
        <f t="shared" si="13"/>
        <v>0</v>
      </c>
      <c r="P76">
        <f t="shared" si="14"/>
        <v>0</v>
      </c>
      <c r="Q76">
        <f t="shared" si="15"/>
        <v>0</v>
      </c>
      <c r="R76">
        <f t="shared" si="16"/>
        <v>0</v>
      </c>
      <c r="S76">
        <f t="shared" si="17"/>
        <v>1</v>
      </c>
      <c r="T76">
        <f t="shared" si="19"/>
        <v>2</v>
      </c>
      <c r="U76">
        <f t="shared" si="18"/>
        <v>1</v>
      </c>
    </row>
    <row r="77" spans="1:21" x14ac:dyDescent="0.25">
      <c r="A77" s="2">
        <v>76</v>
      </c>
      <c r="B77" s="92" t="s">
        <v>3</v>
      </c>
      <c r="C77" s="2" t="s">
        <v>181</v>
      </c>
      <c r="D77">
        <v>113.57</v>
      </c>
      <c r="E77" s="89" t="s">
        <v>582</v>
      </c>
      <c r="F77">
        <v>6.33</v>
      </c>
      <c r="G77">
        <v>594.67999999999995</v>
      </c>
      <c r="H77">
        <v>222.58</v>
      </c>
      <c r="I77">
        <v>118.98</v>
      </c>
      <c r="J77">
        <v>183.9</v>
      </c>
      <c r="K77" s="89">
        <v>126.19</v>
      </c>
      <c r="L77">
        <f t="shared" si="10"/>
        <v>0</v>
      </c>
      <c r="M77">
        <f t="shared" si="11"/>
        <v>1</v>
      </c>
      <c r="N77">
        <f t="shared" si="12"/>
        <v>0</v>
      </c>
      <c r="O77">
        <f t="shared" si="13"/>
        <v>0</v>
      </c>
      <c r="P77">
        <f t="shared" si="14"/>
        <v>0</v>
      </c>
      <c r="Q77">
        <f t="shared" si="15"/>
        <v>0</v>
      </c>
      <c r="R77">
        <f t="shared" si="16"/>
        <v>0</v>
      </c>
      <c r="S77">
        <f t="shared" si="17"/>
        <v>0</v>
      </c>
      <c r="T77">
        <f t="shared" si="19"/>
        <v>1</v>
      </c>
      <c r="U77">
        <f t="shared" si="18"/>
        <v>1</v>
      </c>
    </row>
    <row r="78" spans="1:21" x14ac:dyDescent="0.25">
      <c r="A78" s="2">
        <v>77</v>
      </c>
      <c r="B78" s="92" t="s">
        <v>3</v>
      </c>
      <c r="C78" s="2" t="s">
        <v>183</v>
      </c>
      <c r="D78">
        <v>145.79</v>
      </c>
      <c r="E78" s="89" t="s">
        <v>582</v>
      </c>
      <c r="F78">
        <v>2180.71</v>
      </c>
      <c r="G78">
        <v>991.24</v>
      </c>
      <c r="H78">
        <v>4739.5</v>
      </c>
      <c r="I78" s="80">
        <v>32730.28</v>
      </c>
      <c r="J78">
        <v>343.86</v>
      </c>
      <c r="K78">
        <v>5855.5</v>
      </c>
      <c r="L78">
        <f t="shared" si="10"/>
        <v>0</v>
      </c>
      <c r="M78">
        <f t="shared" si="11"/>
        <v>1</v>
      </c>
      <c r="N78">
        <f t="shared" si="12"/>
        <v>0</v>
      </c>
      <c r="O78">
        <f t="shared" si="13"/>
        <v>0</v>
      </c>
      <c r="P78">
        <f t="shared" si="14"/>
        <v>0</v>
      </c>
      <c r="Q78">
        <f t="shared" si="15"/>
        <v>0</v>
      </c>
      <c r="R78">
        <f t="shared" si="16"/>
        <v>0</v>
      </c>
      <c r="S78">
        <f t="shared" si="17"/>
        <v>0</v>
      </c>
      <c r="T78">
        <f t="shared" si="19"/>
        <v>1</v>
      </c>
      <c r="U78">
        <f t="shared" si="18"/>
        <v>1</v>
      </c>
    </row>
    <row r="79" spans="1:21" x14ac:dyDescent="0.25">
      <c r="A79" s="2">
        <v>78</v>
      </c>
      <c r="B79" s="92" t="s">
        <v>3</v>
      </c>
      <c r="C79" s="2" t="s">
        <v>186</v>
      </c>
      <c r="D79">
        <v>170.19</v>
      </c>
      <c r="E79" s="89" t="s">
        <v>582</v>
      </c>
      <c r="F79" s="89" t="s">
        <v>582</v>
      </c>
      <c r="G79">
        <v>1282.73</v>
      </c>
      <c r="H79">
        <v>13860.68</v>
      </c>
      <c r="I79" s="80">
        <v>39451.440000000002</v>
      </c>
      <c r="J79">
        <v>419.25</v>
      </c>
      <c r="K79" s="80">
        <v>12191.79</v>
      </c>
      <c r="L79">
        <f t="shared" si="10"/>
        <v>0</v>
      </c>
      <c r="M79">
        <f t="shared" si="11"/>
        <v>1</v>
      </c>
      <c r="N79">
        <f t="shared" si="12"/>
        <v>1</v>
      </c>
      <c r="O79">
        <f t="shared" si="13"/>
        <v>0</v>
      </c>
      <c r="P79">
        <f t="shared" si="14"/>
        <v>0</v>
      </c>
      <c r="Q79">
        <f t="shared" si="15"/>
        <v>0</v>
      </c>
      <c r="R79">
        <f t="shared" si="16"/>
        <v>0</v>
      </c>
      <c r="S79">
        <f t="shared" si="17"/>
        <v>0</v>
      </c>
      <c r="T79">
        <f t="shared" si="19"/>
        <v>2</v>
      </c>
      <c r="U79">
        <f t="shared" si="18"/>
        <v>1</v>
      </c>
    </row>
    <row r="80" spans="1:21" x14ac:dyDescent="0.25">
      <c r="A80" s="2">
        <v>79</v>
      </c>
      <c r="B80" s="92" t="s">
        <v>3</v>
      </c>
      <c r="C80" s="2" t="s">
        <v>188</v>
      </c>
      <c r="D80">
        <v>178.37</v>
      </c>
      <c r="E80" s="89" t="s">
        <v>582</v>
      </c>
      <c r="F80">
        <v>856.72</v>
      </c>
      <c r="G80">
        <v>1502.67</v>
      </c>
      <c r="H80">
        <v>15496.64</v>
      </c>
      <c r="I80" s="80">
        <v>28929.99</v>
      </c>
      <c r="J80">
        <v>576.46</v>
      </c>
      <c r="K80" s="89" t="s">
        <v>582</v>
      </c>
      <c r="L80">
        <f t="shared" si="10"/>
        <v>0</v>
      </c>
      <c r="M80">
        <f t="shared" si="11"/>
        <v>1</v>
      </c>
      <c r="N80">
        <f t="shared" si="12"/>
        <v>0</v>
      </c>
      <c r="O80">
        <f t="shared" si="13"/>
        <v>0</v>
      </c>
      <c r="P80">
        <f t="shared" si="14"/>
        <v>0</v>
      </c>
      <c r="Q80">
        <f t="shared" si="15"/>
        <v>0</v>
      </c>
      <c r="R80">
        <f t="shared" si="16"/>
        <v>0</v>
      </c>
      <c r="S80">
        <f t="shared" si="17"/>
        <v>1</v>
      </c>
      <c r="T80">
        <f t="shared" si="19"/>
        <v>2</v>
      </c>
      <c r="U80">
        <f t="shared" si="18"/>
        <v>1</v>
      </c>
    </row>
    <row r="81" spans="1:21" x14ac:dyDescent="0.25">
      <c r="A81" s="2">
        <v>80</v>
      </c>
      <c r="B81" s="2" t="s">
        <v>3</v>
      </c>
      <c r="C81" s="2" t="s">
        <v>182</v>
      </c>
      <c r="D81">
        <v>27.85</v>
      </c>
      <c r="E81">
        <v>2925.35</v>
      </c>
      <c r="F81" t="s">
        <v>583</v>
      </c>
      <c r="G81">
        <v>240.74</v>
      </c>
      <c r="H81">
        <v>17.84</v>
      </c>
      <c r="I81">
        <v>400.45</v>
      </c>
      <c r="J81" t="s">
        <v>583</v>
      </c>
      <c r="K81">
        <v>16.7</v>
      </c>
      <c r="L81">
        <f t="shared" si="10"/>
        <v>0</v>
      </c>
      <c r="M81">
        <f t="shared" si="11"/>
        <v>0</v>
      </c>
      <c r="N81">
        <f t="shared" si="12"/>
        <v>0</v>
      </c>
      <c r="O81">
        <f t="shared" si="13"/>
        <v>0</v>
      </c>
      <c r="P81">
        <f t="shared" si="14"/>
        <v>0</v>
      </c>
      <c r="Q81">
        <f t="shared" si="15"/>
        <v>0</v>
      </c>
      <c r="R81">
        <f t="shared" si="16"/>
        <v>0</v>
      </c>
      <c r="S81">
        <f t="shared" si="17"/>
        <v>0</v>
      </c>
      <c r="T81">
        <f t="shared" si="19"/>
        <v>0</v>
      </c>
      <c r="U81">
        <f t="shared" si="18"/>
        <v>0</v>
      </c>
    </row>
    <row r="82" spans="1:21" x14ac:dyDescent="0.25">
      <c r="A82" s="2">
        <v>81</v>
      </c>
      <c r="B82" s="2" t="s">
        <v>3</v>
      </c>
      <c r="C82" s="2" t="s">
        <v>184</v>
      </c>
      <c r="D82">
        <v>145.79</v>
      </c>
      <c r="E82">
        <v>15849.59</v>
      </c>
      <c r="F82">
        <v>541.33000000000004</v>
      </c>
      <c r="G82">
        <v>774.22</v>
      </c>
      <c r="H82" s="80">
        <v>19926.990000000002</v>
      </c>
      <c r="I82" s="80">
        <v>29079.16</v>
      </c>
      <c r="J82">
        <v>290.83</v>
      </c>
      <c r="K82">
        <v>3320.68</v>
      </c>
      <c r="L82">
        <f t="shared" si="10"/>
        <v>0</v>
      </c>
      <c r="M82">
        <f t="shared" si="11"/>
        <v>0</v>
      </c>
      <c r="N82">
        <f t="shared" si="12"/>
        <v>0</v>
      </c>
      <c r="O82">
        <f t="shared" si="13"/>
        <v>0</v>
      </c>
      <c r="P82">
        <f t="shared" si="14"/>
        <v>0</v>
      </c>
      <c r="Q82">
        <f t="shared" si="15"/>
        <v>0</v>
      </c>
      <c r="R82">
        <f t="shared" si="16"/>
        <v>0</v>
      </c>
      <c r="S82">
        <f t="shared" si="17"/>
        <v>0</v>
      </c>
      <c r="T82">
        <f t="shared" si="19"/>
        <v>0</v>
      </c>
      <c r="U82">
        <f t="shared" si="18"/>
        <v>0</v>
      </c>
    </row>
    <row r="83" spans="1:21" x14ac:dyDescent="0.25">
      <c r="A83" s="2">
        <v>82</v>
      </c>
      <c r="B83" s="2" t="s">
        <v>3</v>
      </c>
      <c r="C83" s="2" t="s">
        <v>187</v>
      </c>
      <c r="D83">
        <v>507.36</v>
      </c>
      <c r="E83">
        <v>21331.22</v>
      </c>
      <c r="F83">
        <v>1409.82</v>
      </c>
      <c r="G83">
        <v>1136.71</v>
      </c>
      <c r="H83" s="80">
        <v>670036.32999999996</v>
      </c>
      <c r="I83" s="80">
        <v>28174.66</v>
      </c>
      <c r="J83">
        <v>381.61</v>
      </c>
      <c r="K83" s="80">
        <v>13958.61</v>
      </c>
      <c r="L83">
        <f t="shared" si="10"/>
        <v>0</v>
      </c>
      <c r="M83">
        <f t="shared" si="11"/>
        <v>0</v>
      </c>
      <c r="N83">
        <f t="shared" si="12"/>
        <v>0</v>
      </c>
      <c r="O83">
        <f t="shared" si="13"/>
        <v>0</v>
      </c>
      <c r="P83">
        <f t="shared" si="14"/>
        <v>0</v>
      </c>
      <c r="Q83">
        <f t="shared" si="15"/>
        <v>0</v>
      </c>
      <c r="R83">
        <f t="shared" si="16"/>
        <v>0</v>
      </c>
      <c r="S83">
        <f t="shared" si="17"/>
        <v>0</v>
      </c>
      <c r="T83">
        <f t="shared" si="19"/>
        <v>0</v>
      </c>
      <c r="U83">
        <f t="shared" si="18"/>
        <v>0</v>
      </c>
    </row>
    <row r="84" spans="1:21" x14ac:dyDescent="0.25">
      <c r="A84" s="2">
        <v>83</v>
      </c>
      <c r="B84" s="2" t="s">
        <v>3</v>
      </c>
      <c r="C84" s="2" t="s">
        <v>189</v>
      </c>
      <c r="D84">
        <v>194.77</v>
      </c>
      <c r="E84">
        <v>15243.59</v>
      </c>
      <c r="F84">
        <v>278.55</v>
      </c>
      <c r="G84">
        <v>1136.71</v>
      </c>
      <c r="H84" s="80">
        <v>17912.39</v>
      </c>
      <c r="I84" s="80">
        <v>25113.72</v>
      </c>
      <c r="J84">
        <v>351.42</v>
      </c>
      <c r="K84" s="80">
        <v>12634.69</v>
      </c>
      <c r="L84">
        <f t="shared" si="10"/>
        <v>0</v>
      </c>
      <c r="M84">
        <f t="shared" si="11"/>
        <v>0</v>
      </c>
      <c r="N84">
        <f t="shared" si="12"/>
        <v>0</v>
      </c>
      <c r="O84">
        <f t="shared" si="13"/>
        <v>0</v>
      </c>
      <c r="P84">
        <f t="shared" si="14"/>
        <v>0</v>
      </c>
      <c r="Q84">
        <f t="shared" si="15"/>
        <v>0</v>
      </c>
      <c r="R84">
        <f t="shared" si="16"/>
        <v>0</v>
      </c>
      <c r="S84">
        <f t="shared" si="17"/>
        <v>0</v>
      </c>
      <c r="T84">
        <f t="shared" si="19"/>
        <v>0</v>
      </c>
      <c r="U84">
        <f t="shared" si="18"/>
        <v>0</v>
      </c>
    </row>
    <row r="85" spans="1:21" x14ac:dyDescent="0.25">
      <c r="A85" s="2">
        <v>84</v>
      </c>
      <c r="B85" s="2">
        <v>2019</v>
      </c>
      <c r="C85" s="2" t="s">
        <v>162</v>
      </c>
      <c r="D85">
        <v>50.63</v>
      </c>
      <c r="E85">
        <v>24362.799999999999</v>
      </c>
      <c r="F85">
        <v>2.54</v>
      </c>
      <c r="G85">
        <v>381.27</v>
      </c>
      <c r="H85">
        <v>8.48</v>
      </c>
      <c r="I85">
        <v>6.52</v>
      </c>
      <c r="J85">
        <v>137.59</v>
      </c>
      <c r="K85">
        <v>16.170000000000002</v>
      </c>
      <c r="L85">
        <f t="shared" si="10"/>
        <v>0</v>
      </c>
      <c r="M85">
        <f t="shared" si="11"/>
        <v>0</v>
      </c>
      <c r="N85">
        <f t="shared" si="12"/>
        <v>0</v>
      </c>
      <c r="O85">
        <f t="shared" si="13"/>
        <v>0</v>
      </c>
      <c r="P85">
        <f t="shared" si="14"/>
        <v>0</v>
      </c>
      <c r="Q85">
        <f t="shared" si="15"/>
        <v>0</v>
      </c>
      <c r="R85">
        <f t="shared" si="16"/>
        <v>0</v>
      </c>
      <c r="S85">
        <f t="shared" si="17"/>
        <v>0</v>
      </c>
      <c r="T85">
        <f t="shared" si="19"/>
        <v>0</v>
      </c>
      <c r="U85">
        <f t="shared" si="18"/>
        <v>0</v>
      </c>
    </row>
    <row r="86" spans="1:21" x14ac:dyDescent="0.25">
      <c r="A86" s="2">
        <v>85</v>
      </c>
      <c r="B86" s="2">
        <v>2019</v>
      </c>
      <c r="C86" s="2" t="s">
        <v>170</v>
      </c>
      <c r="D86">
        <v>129.63</v>
      </c>
      <c r="E86">
        <v>20057.71</v>
      </c>
      <c r="F86">
        <v>173.42</v>
      </c>
      <c r="G86">
        <v>487.65</v>
      </c>
      <c r="H86">
        <v>2135.38</v>
      </c>
      <c r="I86" s="80">
        <v>9319.94</v>
      </c>
      <c r="J86">
        <v>153.07</v>
      </c>
      <c r="K86">
        <v>1155.26</v>
      </c>
      <c r="L86">
        <f t="shared" si="10"/>
        <v>0</v>
      </c>
      <c r="M86">
        <f t="shared" si="11"/>
        <v>0</v>
      </c>
      <c r="N86">
        <f t="shared" si="12"/>
        <v>0</v>
      </c>
      <c r="O86">
        <f t="shared" si="13"/>
        <v>0</v>
      </c>
      <c r="P86">
        <f t="shared" si="14"/>
        <v>0</v>
      </c>
      <c r="Q86">
        <f t="shared" si="15"/>
        <v>0</v>
      </c>
      <c r="R86">
        <f t="shared" si="16"/>
        <v>0</v>
      </c>
      <c r="S86">
        <f t="shared" si="17"/>
        <v>0</v>
      </c>
      <c r="T86">
        <f t="shared" si="19"/>
        <v>0</v>
      </c>
      <c r="U86">
        <f t="shared" si="18"/>
        <v>0</v>
      </c>
    </row>
    <row r="87" spans="1:21" x14ac:dyDescent="0.25">
      <c r="A87" s="2">
        <v>86</v>
      </c>
      <c r="B87" s="2">
        <v>2019</v>
      </c>
      <c r="C87" s="2" t="s">
        <v>178</v>
      </c>
      <c r="D87">
        <v>959.82</v>
      </c>
      <c r="E87">
        <v>23949.23</v>
      </c>
      <c r="F87">
        <v>912.02</v>
      </c>
      <c r="G87">
        <v>774.22</v>
      </c>
      <c r="H87">
        <v>10157.33</v>
      </c>
      <c r="I87" s="80">
        <v>17055.63</v>
      </c>
      <c r="J87">
        <v>214.59</v>
      </c>
      <c r="K87">
        <v>2628.86</v>
      </c>
      <c r="L87">
        <f t="shared" si="10"/>
        <v>0</v>
      </c>
      <c r="M87">
        <f t="shared" si="11"/>
        <v>0</v>
      </c>
      <c r="N87">
        <f t="shared" si="12"/>
        <v>0</v>
      </c>
      <c r="O87">
        <f t="shared" si="13"/>
        <v>0</v>
      </c>
      <c r="P87">
        <f t="shared" si="14"/>
        <v>0</v>
      </c>
      <c r="Q87">
        <f t="shared" si="15"/>
        <v>0</v>
      </c>
      <c r="R87">
        <f t="shared" si="16"/>
        <v>0</v>
      </c>
      <c r="S87">
        <f t="shared" si="17"/>
        <v>0</v>
      </c>
      <c r="T87">
        <f t="shared" si="19"/>
        <v>0</v>
      </c>
      <c r="U87">
        <f t="shared" si="18"/>
        <v>0</v>
      </c>
    </row>
    <row r="88" spans="1:21" x14ac:dyDescent="0.25">
      <c r="A88" s="2">
        <v>87</v>
      </c>
      <c r="B88" s="2">
        <v>2019</v>
      </c>
      <c r="C88" s="2" t="s">
        <v>163</v>
      </c>
      <c r="D88">
        <v>277.72000000000003</v>
      </c>
      <c r="E88" s="80">
        <v>52796.41</v>
      </c>
      <c r="F88">
        <v>24.76</v>
      </c>
      <c r="G88">
        <v>702.25</v>
      </c>
      <c r="H88">
        <v>544.71</v>
      </c>
      <c r="I88">
        <v>1408.33</v>
      </c>
      <c r="J88">
        <v>183.9</v>
      </c>
      <c r="K88">
        <v>3048.93</v>
      </c>
      <c r="L88">
        <f t="shared" si="10"/>
        <v>0</v>
      </c>
      <c r="M88">
        <f t="shared" si="11"/>
        <v>0</v>
      </c>
      <c r="N88">
        <f t="shared" si="12"/>
        <v>0</v>
      </c>
      <c r="O88">
        <f t="shared" si="13"/>
        <v>0</v>
      </c>
      <c r="P88">
        <f t="shared" si="14"/>
        <v>0</v>
      </c>
      <c r="Q88">
        <f t="shared" si="15"/>
        <v>0</v>
      </c>
      <c r="R88">
        <f t="shared" si="16"/>
        <v>0</v>
      </c>
      <c r="S88">
        <f t="shared" si="17"/>
        <v>0</v>
      </c>
      <c r="T88">
        <f t="shared" si="19"/>
        <v>0</v>
      </c>
      <c r="U88">
        <f t="shared" si="18"/>
        <v>0</v>
      </c>
    </row>
    <row r="89" spans="1:21" x14ac:dyDescent="0.25">
      <c r="A89" s="2">
        <v>88</v>
      </c>
      <c r="B89" s="92">
        <v>2019</v>
      </c>
      <c r="C89" s="2" t="s">
        <v>181</v>
      </c>
      <c r="D89">
        <v>97.62</v>
      </c>
      <c r="E89" s="89" t="s">
        <v>582</v>
      </c>
      <c r="F89">
        <v>7.89</v>
      </c>
      <c r="G89">
        <v>416.65</v>
      </c>
      <c r="H89">
        <v>243.18</v>
      </c>
      <c r="I89">
        <v>265.33</v>
      </c>
      <c r="J89">
        <v>183.9</v>
      </c>
      <c r="K89">
        <v>197.43</v>
      </c>
      <c r="L89">
        <f t="shared" si="10"/>
        <v>0</v>
      </c>
      <c r="M89">
        <f t="shared" si="11"/>
        <v>1</v>
      </c>
      <c r="N89">
        <f t="shared" si="12"/>
        <v>0</v>
      </c>
      <c r="O89">
        <f t="shared" si="13"/>
        <v>0</v>
      </c>
      <c r="P89">
        <f t="shared" si="14"/>
        <v>0</v>
      </c>
      <c r="Q89">
        <f t="shared" si="15"/>
        <v>0</v>
      </c>
      <c r="R89">
        <f t="shared" si="16"/>
        <v>0</v>
      </c>
      <c r="S89">
        <f t="shared" si="17"/>
        <v>0</v>
      </c>
      <c r="T89">
        <f t="shared" si="19"/>
        <v>1</v>
      </c>
      <c r="U89">
        <f t="shared" si="18"/>
        <v>1</v>
      </c>
    </row>
    <row r="90" spans="1:21" x14ac:dyDescent="0.25">
      <c r="A90" s="2">
        <v>89</v>
      </c>
      <c r="B90" s="2">
        <v>2019</v>
      </c>
      <c r="C90" s="2" t="s">
        <v>183</v>
      </c>
      <c r="D90">
        <v>89.69</v>
      </c>
      <c r="E90">
        <v>11644.69</v>
      </c>
      <c r="F90">
        <v>310.05</v>
      </c>
      <c r="G90">
        <v>630.48</v>
      </c>
      <c r="H90">
        <v>6664.92</v>
      </c>
      <c r="I90" s="80">
        <v>16025.46</v>
      </c>
      <c r="J90">
        <v>268.02</v>
      </c>
      <c r="K90">
        <v>6023.99</v>
      </c>
      <c r="L90">
        <f t="shared" si="10"/>
        <v>0</v>
      </c>
      <c r="M90">
        <f t="shared" si="11"/>
        <v>0</v>
      </c>
      <c r="N90">
        <f t="shared" si="12"/>
        <v>0</v>
      </c>
      <c r="O90">
        <f t="shared" si="13"/>
        <v>0</v>
      </c>
      <c r="P90">
        <f t="shared" si="14"/>
        <v>0</v>
      </c>
      <c r="Q90">
        <f t="shared" si="15"/>
        <v>0</v>
      </c>
      <c r="R90">
        <f t="shared" si="16"/>
        <v>0</v>
      </c>
      <c r="S90">
        <f t="shared" si="17"/>
        <v>0</v>
      </c>
      <c r="T90">
        <f t="shared" si="19"/>
        <v>0</v>
      </c>
      <c r="U90">
        <f t="shared" si="18"/>
        <v>0</v>
      </c>
    </row>
    <row r="91" spans="1:21" x14ac:dyDescent="0.25">
      <c r="A91" s="2">
        <v>90</v>
      </c>
      <c r="B91" s="2">
        <v>2019</v>
      </c>
      <c r="C91" s="2" t="s">
        <v>186</v>
      </c>
      <c r="D91">
        <v>97.62</v>
      </c>
      <c r="E91">
        <v>10744.45</v>
      </c>
      <c r="F91">
        <v>641.54</v>
      </c>
      <c r="G91">
        <v>666.34</v>
      </c>
      <c r="H91">
        <v>11192.55</v>
      </c>
      <c r="I91" s="80">
        <v>18825.3</v>
      </c>
      <c r="J91">
        <v>268.02</v>
      </c>
      <c r="K91">
        <v>7570.41</v>
      </c>
      <c r="L91">
        <f t="shared" si="10"/>
        <v>0</v>
      </c>
      <c r="M91">
        <f t="shared" si="11"/>
        <v>0</v>
      </c>
      <c r="N91">
        <f t="shared" si="12"/>
        <v>0</v>
      </c>
      <c r="O91">
        <f t="shared" si="13"/>
        <v>0</v>
      </c>
      <c r="P91">
        <f t="shared" si="14"/>
        <v>0</v>
      </c>
      <c r="Q91">
        <f t="shared" si="15"/>
        <v>0</v>
      </c>
      <c r="R91">
        <f t="shared" si="16"/>
        <v>0</v>
      </c>
      <c r="S91">
        <f t="shared" si="17"/>
        <v>0</v>
      </c>
      <c r="T91">
        <f t="shared" si="19"/>
        <v>0</v>
      </c>
      <c r="U91">
        <f t="shared" si="18"/>
        <v>0</v>
      </c>
    </row>
    <row r="92" spans="1:21" x14ac:dyDescent="0.25">
      <c r="A92" s="2">
        <v>91</v>
      </c>
      <c r="B92" s="2">
        <v>2019</v>
      </c>
      <c r="C92" s="2" t="s">
        <v>188</v>
      </c>
      <c r="D92">
        <v>89.69</v>
      </c>
      <c r="E92" s="80">
        <v>27368.45</v>
      </c>
      <c r="F92">
        <v>41.9</v>
      </c>
      <c r="G92">
        <v>523.26</v>
      </c>
      <c r="H92">
        <v>1720.32</v>
      </c>
      <c r="I92" s="80">
        <v>4009.82</v>
      </c>
      <c r="J92">
        <v>214.59</v>
      </c>
      <c r="K92">
        <v>4356.34</v>
      </c>
      <c r="L92">
        <f t="shared" si="10"/>
        <v>0</v>
      </c>
      <c r="M92">
        <f t="shared" si="11"/>
        <v>0</v>
      </c>
      <c r="N92">
        <f t="shared" si="12"/>
        <v>0</v>
      </c>
      <c r="O92">
        <f t="shared" si="13"/>
        <v>0</v>
      </c>
      <c r="P92">
        <f t="shared" si="14"/>
        <v>0</v>
      </c>
      <c r="Q92">
        <f t="shared" si="15"/>
        <v>0</v>
      </c>
      <c r="R92">
        <f t="shared" si="16"/>
        <v>0</v>
      </c>
      <c r="S92">
        <f t="shared" si="17"/>
        <v>0</v>
      </c>
      <c r="T92">
        <f t="shared" si="19"/>
        <v>0</v>
      </c>
      <c r="U92">
        <f t="shared" si="18"/>
        <v>0</v>
      </c>
    </row>
    <row r="93" spans="1:21" x14ac:dyDescent="0.25">
      <c r="A93" s="2">
        <v>92</v>
      </c>
      <c r="B93" s="2">
        <v>2019</v>
      </c>
      <c r="C93" s="2" t="s">
        <v>182</v>
      </c>
      <c r="D93" s="80">
        <v>13.14</v>
      </c>
      <c r="E93">
        <v>1136.1500000000001</v>
      </c>
      <c r="F93" s="80">
        <v>0.36</v>
      </c>
      <c r="G93" s="80">
        <v>2.67</v>
      </c>
      <c r="H93" t="s">
        <v>583</v>
      </c>
      <c r="I93">
        <v>0.99</v>
      </c>
      <c r="J93" t="s">
        <v>583</v>
      </c>
      <c r="K93" t="s">
        <v>583</v>
      </c>
      <c r="L93">
        <f t="shared" si="10"/>
        <v>0</v>
      </c>
      <c r="M93">
        <f t="shared" si="11"/>
        <v>0</v>
      </c>
      <c r="N93">
        <f t="shared" si="12"/>
        <v>0</v>
      </c>
      <c r="O93">
        <f t="shared" si="13"/>
        <v>0</v>
      </c>
      <c r="P93">
        <f t="shared" si="14"/>
        <v>0</v>
      </c>
      <c r="Q93">
        <f t="shared" si="15"/>
        <v>0</v>
      </c>
      <c r="R93">
        <f t="shared" si="16"/>
        <v>0</v>
      </c>
      <c r="S93">
        <f t="shared" si="17"/>
        <v>0</v>
      </c>
      <c r="T93">
        <f t="shared" si="19"/>
        <v>0</v>
      </c>
      <c r="U93">
        <f t="shared" si="18"/>
        <v>0</v>
      </c>
    </row>
    <row r="94" spans="1:21" x14ac:dyDescent="0.25">
      <c r="A94" s="2">
        <v>93</v>
      </c>
      <c r="B94" s="2">
        <v>2019</v>
      </c>
      <c r="C94" s="2" t="s">
        <v>184</v>
      </c>
      <c r="D94">
        <v>1206.93</v>
      </c>
      <c r="E94">
        <v>11549.71</v>
      </c>
      <c r="F94">
        <v>502.6</v>
      </c>
      <c r="G94">
        <v>558.94000000000005</v>
      </c>
      <c r="H94">
        <v>6870.85</v>
      </c>
      <c r="I94" s="80">
        <v>20303.71</v>
      </c>
      <c r="J94">
        <v>199.26</v>
      </c>
      <c r="K94">
        <v>2410.9699999999998</v>
      </c>
      <c r="L94">
        <f t="shared" si="10"/>
        <v>0</v>
      </c>
      <c r="M94">
        <f t="shared" si="11"/>
        <v>0</v>
      </c>
      <c r="N94">
        <f t="shared" si="12"/>
        <v>0</v>
      </c>
      <c r="O94">
        <f t="shared" si="13"/>
        <v>0</v>
      </c>
      <c r="P94">
        <f t="shared" si="14"/>
        <v>0</v>
      </c>
      <c r="Q94">
        <f t="shared" si="15"/>
        <v>0</v>
      </c>
      <c r="R94">
        <f t="shared" si="16"/>
        <v>0</v>
      </c>
      <c r="S94">
        <f t="shared" si="17"/>
        <v>0</v>
      </c>
      <c r="T94">
        <f t="shared" si="19"/>
        <v>0</v>
      </c>
      <c r="U94">
        <f t="shared" si="18"/>
        <v>0</v>
      </c>
    </row>
    <row r="95" spans="1:21" x14ac:dyDescent="0.25">
      <c r="A95" s="2">
        <v>94</v>
      </c>
      <c r="B95" s="2">
        <v>2019</v>
      </c>
      <c r="C95" s="2" t="s">
        <v>187</v>
      </c>
      <c r="D95">
        <v>3466.99</v>
      </c>
      <c r="E95">
        <v>9167.52</v>
      </c>
      <c r="F95">
        <v>432.22</v>
      </c>
      <c r="G95">
        <v>774.22</v>
      </c>
      <c r="H95" s="80">
        <v>23054.61</v>
      </c>
      <c r="I95" s="80">
        <v>18327.560000000001</v>
      </c>
      <c r="J95">
        <v>290.83</v>
      </c>
      <c r="K95">
        <v>5625.82</v>
      </c>
      <c r="L95">
        <f t="shared" si="10"/>
        <v>0</v>
      </c>
      <c r="M95">
        <f t="shared" si="11"/>
        <v>0</v>
      </c>
      <c r="N95">
        <f t="shared" si="12"/>
        <v>0</v>
      </c>
      <c r="O95">
        <f t="shared" si="13"/>
        <v>0</v>
      </c>
      <c r="P95">
        <f t="shared" si="14"/>
        <v>0</v>
      </c>
      <c r="Q95">
        <f t="shared" si="15"/>
        <v>0</v>
      </c>
      <c r="R95">
        <f t="shared" si="16"/>
        <v>0</v>
      </c>
      <c r="S95">
        <f t="shared" si="17"/>
        <v>0</v>
      </c>
      <c r="T95">
        <f t="shared" si="19"/>
        <v>0</v>
      </c>
      <c r="U95">
        <f t="shared" si="18"/>
        <v>0</v>
      </c>
    </row>
    <row r="96" spans="1:21" x14ac:dyDescent="0.25">
      <c r="A96" s="2">
        <v>95</v>
      </c>
      <c r="B96" s="2">
        <v>2019</v>
      </c>
      <c r="C96" s="2" t="s">
        <v>189</v>
      </c>
      <c r="D96">
        <v>1116.69</v>
      </c>
      <c r="E96">
        <v>10039.99</v>
      </c>
      <c r="F96">
        <v>29.15</v>
      </c>
      <c r="G96">
        <v>774.22</v>
      </c>
      <c r="H96">
        <v>12398.99</v>
      </c>
      <c r="I96" s="80">
        <v>12452.49</v>
      </c>
      <c r="J96">
        <v>336.3</v>
      </c>
      <c r="K96">
        <v>7222.64</v>
      </c>
      <c r="L96">
        <f t="shared" si="10"/>
        <v>0</v>
      </c>
      <c r="M96">
        <f t="shared" si="11"/>
        <v>0</v>
      </c>
      <c r="N96">
        <f t="shared" si="12"/>
        <v>0</v>
      </c>
      <c r="O96">
        <f t="shared" si="13"/>
        <v>0</v>
      </c>
      <c r="P96">
        <f t="shared" si="14"/>
        <v>0</v>
      </c>
      <c r="Q96">
        <f t="shared" si="15"/>
        <v>0</v>
      </c>
      <c r="R96">
        <f t="shared" si="16"/>
        <v>0</v>
      </c>
      <c r="S96">
        <f t="shared" si="17"/>
        <v>0</v>
      </c>
      <c r="T96">
        <f t="shared" si="19"/>
        <v>0</v>
      </c>
      <c r="U96">
        <f t="shared" si="18"/>
        <v>0</v>
      </c>
    </row>
    <row r="97" spans="1:21" x14ac:dyDescent="0.25">
      <c r="A97" s="2">
        <v>96</v>
      </c>
      <c r="B97" s="2" t="s">
        <v>4</v>
      </c>
      <c r="C97" s="2" t="s">
        <v>162</v>
      </c>
      <c r="D97">
        <v>58.35</v>
      </c>
      <c r="E97">
        <v>22237.13</v>
      </c>
      <c r="F97">
        <v>5.41</v>
      </c>
      <c r="G97">
        <v>381.27</v>
      </c>
      <c r="H97">
        <v>8.48</v>
      </c>
      <c r="I97">
        <v>13.07</v>
      </c>
      <c r="J97">
        <v>90.84</v>
      </c>
      <c r="K97">
        <v>22</v>
      </c>
      <c r="L97">
        <f t="shared" si="10"/>
        <v>0</v>
      </c>
      <c r="M97">
        <f t="shared" si="11"/>
        <v>0</v>
      </c>
      <c r="N97">
        <f t="shared" si="12"/>
        <v>0</v>
      </c>
      <c r="O97">
        <f t="shared" si="13"/>
        <v>0</v>
      </c>
      <c r="P97">
        <f t="shared" si="14"/>
        <v>0</v>
      </c>
      <c r="Q97">
        <f t="shared" si="15"/>
        <v>0</v>
      </c>
      <c r="R97">
        <f t="shared" si="16"/>
        <v>0</v>
      </c>
      <c r="S97">
        <f t="shared" si="17"/>
        <v>0</v>
      </c>
      <c r="T97">
        <f t="shared" si="19"/>
        <v>0</v>
      </c>
      <c r="U97">
        <f t="shared" si="18"/>
        <v>0</v>
      </c>
    </row>
    <row r="98" spans="1:21" x14ac:dyDescent="0.25">
      <c r="A98" s="2">
        <v>97</v>
      </c>
      <c r="B98" s="2" t="s">
        <v>4</v>
      </c>
      <c r="C98" s="2" t="s">
        <v>170</v>
      </c>
      <c r="D98">
        <v>89.69</v>
      </c>
      <c r="E98" s="80">
        <v>27665.68</v>
      </c>
      <c r="F98">
        <v>324.74</v>
      </c>
      <c r="G98">
        <v>558.94000000000005</v>
      </c>
      <c r="H98">
        <v>1034.8599999999999</v>
      </c>
      <c r="I98" s="80">
        <v>6440.89</v>
      </c>
      <c r="J98">
        <v>153.07</v>
      </c>
      <c r="K98">
        <v>641.05999999999995</v>
      </c>
      <c r="L98">
        <f t="shared" si="10"/>
        <v>0</v>
      </c>
      <c r="M98">
        <f t="shared" si="11"/>
        <v>0</v>
      </c>
      <c r="N98">
        <f t="shared" si="12"/>
        <v>0</v>
      </c>
      <c r="O98">
        <f t="shared" si="13"/>
        <v>0</v>
      </c>
      <c r="P98">
        <f t="shared" si="14"/>
        <v>0</v>
      </c>
      <c r="Q98">
        <f t="shared" si="15"/>
        <v>0</v>
      </c>
      <c r="R98">
        <f t="shared" si="16"/>
        <v>0</v>
      </c>
      <c r="S98">
        <f t="shared" si="17"/>
        <v>0</v>
      </c>
      <c r="T98">
        <f t="shared" si="19"/>
        <v>0</v>
      </c>
      <c r="U98">
        <f t="shared" si="18"/>
        <v>0</v>
      </c>
    </row>
    <row r="99" spans="1:21" x14ac:dyDescent="0.25">
      <c r="A99" s="2">
        <v>98</v>
      </c>
      <c r="B99" s="2" t="s">
        <v>4</v>
      </c>
      <c r="C99" s="2" t="s">
        <v>178</v>
      </c>
      <c r="D99">
        <v>113.57</v>
      </c>
      <c r="E99" s="80">
        <v>62513.57</v>
      </c>
      <c r="F99">
        <v>2038.97</v>
      </c>
      <c r="G99">
        <v>882.54</v>
      </c>
      <c r="H99">
        <v>7820.8</v>
      </c>
      <c r="I99" s="80">
        <v>18290.82</v>
      </c>
      <c r="J99">
        <v>275.63</v>
      </c>
      <c r="K99">
        <v>2554.92</v>
      </c>
      <c r="L99">
        <f t="shared" si="10"/>
        <v>0</v>
      </c>
      <c r="M99">
        <f t="shared" si="11"/>
        <v>0</v>
      </c>
      <c r="N99">
        <f t="shared" si="12"/>
        <v>0</v>
      </c>
      <c r="O99">
        <f t="shared" si="13"/>
        <v>0</v>
      </c>
      <c r="P99">
        <f t="shared" si="14"/>
        <v>0</v>
      </c>
      <c r="Q99">
        <f t="shared" si="15"/>
        <v>0</v>
      </c>
      <c r="R99">
        <f t="shared" si="16"/>
        <v>0</v>
      </c>
      <c r="S99">
        <f t="shared" si="17"/>
        <v>0</v>
      </c>
      <c r="T99">
        <f t="shared" si="19"/>
        <v>0</v>
      </c>
      <c r="U99">
        <f t="shared" si="18"/>
        <v>0</v>
      </c>
    </row>
    <row r="100" spans="1:21" x14ac:dyDescent="0.25">
      <c r="A100" s="2">
        <v>99</v>
      </c>
      <c r="B100" s="2" t="s">
        <v>4</v>
      </c>
      <c r="C100" s="2" t="s">
        <v>163</v>
      </c>
      <c r="D100">
        <v>170.19</v>
      </c>
      <c r="E100" s="80">
        <v>100965.93</v>
      </c>
      <c r="F100">
        <v>968.49</v>
      </c>
      <c r="G100">
        <v>1136.71</v>
      </c>
      <c r="H100">
        <v>8647.01</v>
      </c>
      <c r="I100" s="80">
        <v>11050.82</v>
      </c>
      <c r="J100">
        <v>358.97</v>
      </c>
      <c r="K100" s="80">
        <v>17071.77</v>
      </c>
      <c r="L100">
        <f t="shared" si="10"/>
        <v>0</v>
      </c>
      <c r="M100">
        <f t="shared" si="11"/>
        <v>0</v>
      </c>
      <c r="N100">
        <f t="shared" si="12"/>
        <v>0</v>
      </c>
      <c r="O100">
        <f t="shared" si="13"/>
        <v>0</v>
      </c>
      <c r="P100">
        <f t="shared" si="14"/>
        <v>0</v>
      </c>
      <c r="Q100">
        <f t="shared" si="15"/>
        <v>0</v>
      </c>
      <c r="R100">
        <f t="shared" si="16"/>
        <v>0</v>
      </c>
      <c r="S100">
        <f t="shared" si="17"/>
        <v>0</v>
      </c>
      <c r="T100">
        <f t="shared" si="19"/>
        <v>0</v>
      </c>
      <c r="U100">
        <f t="shared" si="18"/>
        <v>0</v>
      </c>
    </row>
    <row r="101" spans="1:21" x14ac:dyDescent="0.25">
      <c r="A101" s="2">
        <v>100</v>
      </c>
      <c r="B101" s="2" t="s">
        <v>4</v>
      </c>
      <c r="C101" s="2" t="s">
        <v>181</v>
      </c>
      <c r="D101">
        <v>85.74</v>
      </c>
      <c r="E101" s="80">
        <v>64118.04</v>
      </c>
      <c r="F101">
        <v>4.01</v>
      </c>
      <c r="G101">
        <v>345.98</v>
      </c>
      <c r="H101">
        <v>254.45</v>
      </c>
      <c r="I101">
        <v>73.900000000000006</v>
      </c>
      <c r="J101">
        <v>137.59</v>
      </c>
      <c r="K101">
        <v>273.79000000000002</v>
      </c>
      <c r="L101">
        <f t="shared" si="10"/>
        <v>0</v>
      </c>
      <c r="M101">
        <f t="shared" si="11"/>
        <v>0</v>
      </c>
      <c r="N101">
        <f t="shared" si="12"/>
        <v>0</v>
      </c>
      <c r="O101">
        <f t="shared" si="13"/>
        <v>0</v>
      </c>
      <c r="P101">
        <f t="shared" si="14"/>
        <v>0</v>
      </c>
      <c r="Q101">
        <f t="shared" si="15"/>
        <v>0</v>
      </c>
      <c r="R101">
        <f t="shared" si="16"/>
        <v>0</v>
      </c>
      <c r="S101">
        <f t="shared" si="17"/>
        <v>0</v>
      </c>
      <c r="T101">
        <f t="shared" si="19"/>
        <v>0</v>
      </c>
      <c r="U101">
        <f t="shared" si="18"/>
        <v>0</v>
      </c>
    </row>
    <row r="102" spans="1:21" x14ac:dyDescent="0.25">
      <c r="A102" s="2">
        <v>101</v>
      </c>
      <c r="B102" s="2" t="s">
        <v>4</v>
      </c>
      <c r="C102" s="2" t="s">
        <v>183</v>
      </c>
      <c r="D102">
        <v>121.59</v>
      </c>
      <c r="E102" s="80">
        <v>76641.45</v>
      </c>
      <c r="F102">
        <v>836.99</v>
      </c>
      <c r="G102">
        <v>918.73</v>
      </c>
      <c r="H102">
        <v>5164.0200000000004</v>
      </c>
      <c r="I102" s="80">
        <v>27048.74</v>
      </c>
      <c r="J102">
        <v>306.01</v>
      </c>
      <c r="K102">
        <v>7330.75</v>
      </c>
      <c r="L102">
        <f t="shared" si="10"/>
        <v>0</v>
      </c>
      <c r="M102">
        <f t="shared" si="11"/>
        <v>0</v>
      </c>
      <c r="N102">
        <f t="shared" si="12"/>
        <v>0</v>
      </c>
      <c r="O102">
        <f t="shared" si="13"/>
        <v>0</v>
      </c>
      <c r="P102">
        <f t="shared" si="14"/>
        <v>0</v>
      </c>
      <c r="Q102">
        <f t="shared" si="15"/>
        <v>0</v>
      </c>
      <c r="R102">
        <f t="shared" si="16"/>
        <v>0</v>
      </c>
      <c r="S102">
        <f t="shared" si="17"/>
        <v>0</v>
      </c>
      <c r="T102">
        <f t="shared" si="19"/>
        <v>0</v>
      </c>
      <c r="U102">
        <f t="shared" si="18"/>
        <v>0</v>
      </c>
    </row>
    <row r="103" spans="1:21" x14ac:dyDescent="0.25">
      <c r="A103" s="2">
        <v>102</v>
      </c>
      <c r="B103" s="2" t="s">
        <v>4</v>
      </c>
      <c r="C103" s="2" t="s">
        <v>186</v>
      </c>
      <c r="D103">
        <v>153.9</v>
      </c>
      <c r="E103" s="80">
        <v>61258.8</v>
      </c>
      <c r="F103">
        <v>2232.0500000000002</v>
      </c>
      <c r="G103">
        <v>1136.71</v>
      </c>
      <c r="H103" s="80">
        <v>23996.79</v>
      </c>
      <c r="I103" s="80">
        <v>35964.160000000003</v>
      </c>
      <c r="J103">
        <v>456.8</v>
      </c>
      <c r="K103" s="80">
        <v>25088.36</v>
      </c>
      <c r="L103">
        <f t="shared" si="10"/>
        <v>0</v>
      </c>
      <c r="M103">
        <f t="shared" si="11"/>
        <v>0</v>
      </c>
      <c r="N103">
        <f t="shared" si="12"/>
        <v>0</v>
      </c>
      <c r="O103">
        <f t="shared" si="13"/>
        <v>0</v>
      </c>
      <c r="P103">
        <f t="shared" si="14"/>
        <v>0</v>
      </c>
      <c r="Q103">
        <f t="shared" si="15"/>
        <v>0</v>
      </c>
      <c r="R103">
        <f t="shared" si="16"/>
        <v>0</v>
      </c>
      <c r="S103">
        <f t="shared" si="17"/>
        <v>0</v>
      </c>
      <c r="T103">
        <f t="shared" si="19"/>
        <v>0</v>
      </c>
      <c r="U103">
        <f t="shared" si="18"/>
        <v>0</v>
      </c>
    </row>
    <row r="104" spans="1:21" x14ac:dyDescent="0.25">
      <c r="A104" s="2">
        <v>103</v>
      </c>
      <c r="B104" s="92" t="s">
        <v>4</v>
      </c>
      <c r="C104" s="2" t="s">
        <v>188</v>
      </c>
      <c r="D104">
        <v>162.04</v>
      </c>
      <c r="E104" s="89" t="s">
        <v>582</v>
      </c>
      <c r="F104">
        <v>230.08</v>
      </c>
      <c r="G104">
        <v>1136.71</v>
      </c>
      <c r="H104">
        <v>5457.58</v>
      </c>
      <c r="I104" s="80">
        <v>11121.67</v>
      </c>
      <c r="J104">
        <v>426.77</v>
      </c>
      <c r="K104" s="89" t="s">
        <v>582</v>
      </c>
      <c r="L104">
        <f t="shared" si="10"/>
        <v>0</v>
      </c>
      <c r="M104">
        <f t="shared" si="11"/>
        <v>1</v>
      </c>
      <c r="N104">
        <f t="shared" si="12"/>
        <v>0</v>
      </c>
      <c r="O104">
        <f t="shared" si="13"/>
        <v>0</v>
      </c>
      <c r="P104">
        <f t="shared" si="14"/>
        <v>0</v>
      </c>
      <c r="Q104">
        <f t="shared" si="15"/>
        <v>0</v>
      </c>
      <c r="R104">
        <f t="shared" si="16"/>
        <v>0</v>
      </c>
      <c r="S104">
        <f t="shared" si="17"/>
        <v>1</v>
      </c>
      <c r="T104">
        <f t="shared" si="19"/>
        <v>2</v>
      </c>
      <c r="U104">
        <f t="shared" si="18"/>
        <v>1</v>
      </c>
    </row>
    <row r="105" spans="1:21" x14ac:dyDescent="0.25">
      <c r="A105" s="2">
        <v>104</v>
      </c>
      <c r="B105" s="2" t="s">
        <v>4</v>
      </c>
      <c r="C105" s="2" t="s">
        <v>182</v>
      </c>
      <c r="D105" s="80">
        <v>6.05</v>
      </c>
      <c r="E105">
        <v>1057.6099999999999</v>
      </c>
      <c r="F105" t="s">
        <v>583</v>
      </c>
      <c r="G105" s="80">
        <v>102.53</v>
      </c>
      <c r="H105" t="s">
        <v>583</v>
      </c>
      <c r="I105">
        <v>0.35</v>
      </c>
      <c r="J105" t="s">
        <v>583</v>
      </c>
      <c r="K105" t="s">
        <v>583</v>
      </c>
      <c r="L105">
        <f t="shared" si="10"/>
        <v>0</v>
      </c>
      <c r="M105">
        <f t="shared" si="11"/>
        <v>0</v>
      </c>
      <c r="N105">
        <f t="shared" si="12"/>
        <v>0</v>
      </c>
      <c r="O105">
        <f t="shared" si="13"/>
        <v>0</v>
      </c>
      <c r="P105">
        <f t="shared" si="14"/>
        <v>0</v>
      </c>
      <c r="Q105">
        <f t="shared" si="15"/>
        <v>0</v>
      </c>
      <c r="R105">
        <f t="shared" si="16"/>
        <v>0</v>
      </c>
      <c r="S105">
        <f t="shared" si="17"/>
        <v>0</v>
      </c>
      <c r="T105">
        <f t="shared" si="19"/>
        <v>0</v>
      </c>
      <c r="U105">
        <f t="shared" si="18"/>
        <v>0</v>
      </c>
    </row>
    <row r="106" spans="1:21" x14ac:dyDescent="0.25">
      <c r="A106" s="2">
        <v>105</v>
      </c>
      <c r="B106" s="2" t="s">
        <v>4</v>
      </c>
      <c r="C106" s="2" t="s">
        <v>184</v>
      </c>
      <c r="D106">
        <v>46.79</v>
      </c>
      <c r="E106">
        <v>11082.16</v>
      </c>
      <c r="F106">
        <v>137.18</v>
      </c>
      <c r="G106">
        <v>416.65</v>
      </c>
      <c r="H106">
        <v>1646.18</v>
      </c>
      <c r="I106" s="80">
        <v>9246.7199999999993</v>
      </c>
      <c r="J106">
        <v>90.84</v>
      </c>
      <c r="K106">
        <v>917.7</v>
      </c>
      <c r="L106">
        <f t="shared" si="10"/>
        <v>0</v>
      </c>
      <c r="M106">
        <f t="shared" si="11"/>
        <v>0</v>
      </c>
      <c r="N106">
        <f t="shared" si="12"/>
        <v>0</v>
      </c>
      <c r="O106">
        <f t="shared" si="13"/>
        <v>0</v>
      </c>
      <c r="P106">
        <f t="shared" si="14"/>
        <v>0</v>
      </c>
      <c r="Q106">
        <f t="shared" si="15"/>
        <v>0</v>
      </c>
      <c r="R106">
        <f t="shared" si="16"/>
        <v>0</v>
      </c>
      <c r="S106">
        <f t="shared" si="17"/>
        <v>0</v>
      </c>
      <c r="T106">
        <f t="shared" si="19"/>
        <v>0</v>
      </c>
      <c r="U106">
        <f t="shared" si="18"/>
        <v>0</v>
      </c>
    </row>
    <row r="107" spans="1:21" x14ac:dyDescent="0.25">
      <c r="A107" s="2">
        <v>106</v>
      </c>
      <c r="B107" s="2" t="s">
        <v>4</v>
      </c>
      <c r="C107" s="2" t="s">
        <v>187</v>
      </c>
      <c r="D107">
        <v>105.58</v>
      </c>
      <c r="E107">
        <v>16113.42</v>
      </c>
      <c r="F107">
        <v>223.51</v>
      </c>
      <c r="G107">
        <v>702.25</v>
      </c>
      <c r="H107">
        <v>11224.17</v>
      </c>
      <c r="I107" s="80">
        <v>13431.23</v>
      </c>
      <c r="J107">
        <v>245.16</v>
      </c>
      <c r="K107">
        <v>4518.87</v>
      </c>
      <c r="L107">
        <f t="shared" si="10"/>
        <v>0</v>
      </c>
      <c r="M107">
        <f t="shared" si="11"/>
        <v>0</v>
      </c>
      <c r="N107">
        <f t="shared" si="12"/>
        <v>0</v>
      </c>
      <c r="O107">
        <f t="shared" si="13"/>
        <v>0</v>
      </c>
      <c r="P107">
        <f t="shared" si="14"/>
        <v>0</v>
      </c>
      <c r="Q107">
        <f t="shared" si="15"/>
        <v>0</v>
      </c>
      <c r="R107">
        <f t="shared" si="16"/>
        <v>0</v>
      </c>
      <c r="S107">
        <f t="shared" si="17"/>
        <v>0</v>
      </c>
      <c r="T107">
        <f t="shared" si="19"/>
        <v>0</v>
      </c>
      <c r="U107">
        <f t="shared" si="18"/>
        <v>0</v>
      </c>
    </row>
    <row r="108" spans="1:21" x14ac:dyDescent="0.25">
      <c r="A108" s="2">
        <v>107</v>
      </c>
      <c r="B108" s="2" t="s">
        <v>4</v>
      </c>
      <c r="C108" s="2" t="s">
        <v>189</v>
      </c>
      <c r="D108">
        <v>66.12</v>
      </c>
      <c r="E108">
        <v>12747.82</v>
      </c>
      <c r="F108">
        <v>52.61</v>
      </c>
      <c r="G108">
        <v>416.65</v>
      </c>
      <c r="H108">
        <v>5501.98</v>
      </c>
      <c r="I108" s="80">
        <v>3875.83</v>
      </c>
      <c r="J108">
        <v>183.9</v>
      </c>
      <c r="K108">
        <v>4001.58</v>
      </c>
      <c r="L108">
        <f t="shared" si="10"/>
        <v>0</v>
      </c>
      <c r="M108">
        <f t="shared" si="11"/>
        <v>0</v>
      </c>
      <c r="N108">
        <f t="shared" si="12"/>
        <v>0</v>
      </c>
      <c r="O108">
        <f t="shared" si="13"/>
        <v>0</v>
      </c>
      <c r="P108">
        <f t="shared" si="14"/>
        <v>0</v>
      </c>
      <c r="Q108">
        <f t="shared" si="15"/>
        <v>0</v>
      </c>
      <c r="R108">
        <f t="shared" si="16"/>
        <v>0</v>
      </c>
      <c r="S108">
        <f t="shared" si="17"/>
        <v>0</v>
      </c>
      <c r="T108">
        <f t="shared" si="19"/>
        <v>0</v>
      </c>
      <c r="U108">
        <f t="shared" si="18"/>
        <v>0</v>
      </c>
    </row>
    <row r="109" spans="1:21" x14ac:dyDescent="0.25">
      <c r="A109" s="2">
        <v>108</v>
      </c>
      <c r="B109" s="2">
        <v>2017</v>
      </c>
      <c r="C109" s="2" t="s">
        <v>162</v>
      </c>
      <c r="D109" s="80">
        <v>13.14</v>
      </c>
      <c r="E109">
        <v>2159.15</v>
      </c>
      <c r="F109">
        <v>2.0299999999999998</v>
      </c>
      <c r="G109" s="80">
        <v>136.77000000000001</v>
      </c>
      <c r="H109" t="s">
        <v>583</v>
      </c>
      <c r="I109">
        <v>1.99</v>
      </c>
      <c r="J109" t="s">
        <v>583</v>
      </c>
      <c r="K109" s="80">
        <v>1.8</v>
      </c>
      <c r="L109">
        <f t="shared" si="10"/>
        <v>0</v>
      </c>
      <c r="M109">
        <f t="shared" si="11"/>
        <v>0</v>
      </c>
      <c r="N109">
        <f t="shared" si="12"/>
        <v>0</v>
      </c>
      <c r="O109">
        <f t="shared" si="13"/>
        <v>0</v>
      </c>
      <c r="P109">
        <f t="shared" si="14"/>
        <v>0</v>
      </c>
      <c r="Q109">
        <f t="shared" si="15"/>
        <v>0</v>
      </c>
      <c r="R109">
        <f t="shared" si="16"/>
        <v>0</v>
      </c>
      <c r="S109">
        <f t="shared" si="17"/>
        <v>0</v>
      </c>
      <c r="T109">
        <f t="shared" si="19"/>
        <v>0</v>
      </c>
      <c r="U109">
        <f t="shared" si="18"/>
        <v>0</v>
      </c>
    </row>
    <row r="110" spans="1:21" x14ac:dyDescent="0.25">
      <c r="A110" s="2">
        <v>109</v>
      </c>
      <c r="B110" s="2">
        <v>2017</v>
      </c>
      <c r="C110" s="2" t="s">
        <v>170</v>
      </c>
      <c r="D110">
        <v>97.62</v>
      </c>
      <c r="E110">
        <v>9477.85</v>
      </c>
      <c r="F110">
        <v>347.53</v>
      </c>
      <c r="G110">
        <v>275.70999999999998</v>
      </c>
      <c r="H110">
        <v>2408.4699999999998</v>
      </c>
      <c r="I110" s="80">
        <v>6144.73</v>
      </c>
      <c r="J110">
        <v>90.84</v>
      </c>
      <c r="K110">
        <v>553.25</v>
      </c>
      <c r="L110">
        <f t="shared" si="10"/>
        <v>0</v>
      </c>
      <c r="M110">
        <f t="shared" si="11"/>
        <v>0</v>
      </c>
      <c r="N110">
        <f t="shared" si="12"/>
        <v>0</v>
      </c>
      <c r="O110">
        <f t="shared" si="13"/>
        <v>0</v>
      </c>
      <c r="P110">
        <f t="shared" si="14"/>
        <v>0</v>
      </c>
      <c r="Q110">
        <f t="shared" si="15"/>
        <v>0</v>
      </c>
      <c r="R110">
        <f t="shared" si="16"/>
        <v>0</v>
      </c>
      <c r="S110">
        <f t="shared" si="17"/>
        <v>0</v>
      </c>
      <c r="T110">
        <f t="shared" si="19"/>
        <v>0</v>
      </c>
      <c r="U110">
        <f t="shared" si="18"/>
        <v>0</v>
      </c>
    </row>
    <row r="111" spans="1:21" x14ac:dyDescent="0.25">
      <c r="A111" s="2">
        <v>110</v>
      </c>
      <c r="B111" s="2">
        <v>2017</v>
      </c>
      <c r="C111" s="2" t="s">
        <v>178</v>
      </c>
      <c r="D111">
        <v>378.92</v>
      </c>
      <c r="E111">
        <v>10371.799999999999</v>
      </c>
      <c r="F111">
        <v>929.76</v>
      </c>
      <c r="G111">
        <v>487.65</v>
      </c>
      <c r="H111">
        <v>7032.3</v>
      </c>
      <c r="I111" s="80">
        <v>10444.709999999999</v>
      </c>
      <c r="J111">
        <v>122.07</v>
      </c>
      <c r="K111">
        <v>1161.07</v>
      </c>
      <c r="L111">
        <f t="shared" si="10"/>
        <v>0</v>
      </c>
      <c r="M111">
        <f t="shared" si="11"/>
        <v>0</v>
      </c>
      <c r="N111">
        <f t="shared" si="12"/>
        <v>0</v>
      </c>
      <c r="O111">
        <f t="shared" si="13"/>
        <v>0</v>
      </c>
      <c r="P111">
        <f t="shared" si="14"/>
        <v>0</v>
      </c>
      <c r="Q111">
        <f t="shared" si="15"/>
        <v>0</v>
      </c>
      <c r="R111">
        <f t="shared" si="16"/>
        <v>0</v>
      </c>
      <c r="S111">
        <f t="shared" si="17"/>
        <v>0</v>
      </c>
      <c r="T111">
        <f t="shared" si="19"/>
        <v>0</v>
      </c>
      <c r="U111">
        <f t="shared" si="18"/>
        <v>0</v>
      </c>
    </row>
    <row r="112" spans="1:21" x14ac:dyDescent="0.25">
      <c r="A112" s="2">
        <v>111</v>
      </c>
      <c r="B112" s="2">
        <v>2017</v>
      </c>
      <c r="C112" s="2" t="s">
        <v>163</v>
      </c>
      <c r="D112">
        <v>170.19</v>
      </c>
      <c r="E112">
        <v>10730.52</v>
      </c>
      <c r="F112">
        <v>389.72</v>
      </c>
      <c r="G112">
        <v>630.48</v>
      </c>
      <c r="H112">
        <v>2111.6999999999998</v>
      </c>
      <c r="I112" s="80">
        <v>3561.73</v>
      </c>
      <c r="J112">
        <v>137.59</v>
      </c>
      <c r="K112">
        <v>2904.27</v>
      </c>
      <c r="L112">
        <f t="shared" si="10"/>
        <v>0</v>
      </c>
      <c r="M112">
        <f t="shared" si="11"/>
        <v>0</v>
      </c>
      <c r="N112">
        <f t="shared" si="12"/>
        <v>0</v>
      </c>
      <c r="O112">
        <f t="shared" si="13"/>
        <v>0</v>
      </c>
      <c r="P112">
        <f t="shared" si="14"/>
        <v>0</v>
      </c>
      <c r="Q112">
        <f t="shared" si="15"/>
        <v>0</v>
      </c>
      <c r="R112">
        <f t="shared" si="16"/>
        <v>0</v>
      </c>
      <c r="S112">
        <f t="shared" si="17"/>
        <v>0</v>
      </c>
      <c r="T112">
        <f t="shared" si="19"/>
        <v>0</v>
      </c>
      <c r="U112">
        <f t="shared" si="18"/>
        <v>0</v>
      </c>
    </row>
    <row r="113" spans="1:21" x14ac:dyDescent="0.25">
      <c r="A113" s="2">
        <v>112</v>
      </c>
      <c r="B113" s="2">
        <v>2017</v>
      </c>
      <c r="C113" s="2" t="s">
        <v>182</v>
      </c>
      <c r="D113" s="80">
        <v>6.05</v>
      </c>
      <c r="E113">
        <v>1435.51</v>
      </c>
      <c r="F113" s="80">
        <v>0.96</v>
      </c>
      <c r="G113" s="80">
        <v>136.77000000000001</v>
      </c>
      <c r="H113">
        <v>6.87</v>
      </c>
      <c r="I113">
        <v>33.659999999999997</v>
      </c>
      <c r="J113" t="s">
        <v>583</v>
      </c>
      <c r="K113" t="s">
        <v>583</v>
      </c>
      <c r="L113">
        <f t="shared" si="10"/>
        <v>0</v>
      </c>
      <c r="M113">
        <f t="shared" si="11"/>
        <v>0</v>
      </c>
      <c r="N113">
        <f t="shared" si="12"/>
        <v>0</v>
      </c>
      <c r="O113">
        <f t="shared" si="13"/>
        <v>0</v>
      </c>
      <c r="P113">
        <f t="shared" si="14"/>
        <v>0</v>
      </c>
      <c r="Q113">
        <f t="shared" si="15"/>
        <v>0</v>
      </c>
      <c r="R113">
        <f t="shared" si="16"/>
        <v>0</v>
      </c>
      <c r="S113">
        <f t="shared" si="17"/>
        <v>0</v>
      </c>
      <c r="T113">
        <f t="shared" si="19"/>
        <v>0</v>
      </c>
      <c r="U113">
        <f t="shared" si="18"/>
        <v>0</v>
      </c>
    </row>
    <row r="114" spans="1:21" x14ac:dyDescent="0.25">
      <c r="A114" s="2">
        <v>113</v>
      </c>
      <c r="B114" s="2">
        <v>2017</v>
      </c>
      <c r="C114" s="2" t="s">
        <v>184</v>
      </c>
      <c r="D114">
        <v>252.69</v>
      </c>
      <c r="E114">
        <v>9621.76</v>
      </c>
      <c r="F114">
        <v>642.91</v>
      </c>
      <c r="G114">
        <v>416.65</v>
      </c>
      <c r="H114">
        <v>9542.4599999999991</v>
      </c>
      <c r="I114" s="80">
        <v>18550.64</v>
      </c>
      <c r="J114">
        <v>199.26</v>
      </c>
      <c r="K114">
        <v>1358.3</v>
      </c>
      <c r="L114">
        <f t="shared" si="10"/>
        <v>0</v>
      </c>
      <c r="M114">
        <f t="shared" si="11"/>
        <v>0</v>
      </c>
      <c r="N114">
        <f t="shared" si="12"/>
        <v>0</v>
      </c>
      <c r="O114">
        <f t="shared" si="13"/>
        <v>0</v>
      </c>
      <c r="P114">
        <f t="shared" si="14"/>
        <v>0</v>
      </c>
      <c r="Q114">
        <f t="shared" si="15"/>
        <v>0</v>
      </c>
      <c r="R114">
        <f t="shared" si="16"/>
        <v>0</v>
      </c>
      <c r="S114">
        <f t="shared" si="17"/>
        <v>0</v>
      </c>
      <c r="T114">
        <f t="shared" si="19"/>
        <v>0</v>
      </c>
      <c r="U114">
        <f t="shared" si="18"/>
        <v>0</v>
      </c>
    </row>
    <row r="115" spans="1:21" x14ac:dyDescent="0.25">
      <c r="A115" s="2">
        <v>114</v>
      </c>
      <c r="B115" s="2">
        <v>2017</v>
      </c>
      <c r="C115" s="2" t="s">
        <v>187</v>
      </c>
      <c r="D115">
        <v>738.27</v>
      </c>
      <c r="E115">
        <v>8717.31</v>
      </c>
      <c r="F115">
        <v>685.34</v>
      </c>
      <c r="G115">
        <v>630.48</v>
      </c>
      <c r="H115" s="80">
        <v>17173.71</v>
      </c>
      <c r="I115" s="80">
        <v>13101.61</v>
      </c>
      <c r="J115">
        <v>245.16</v>
      </c>
      <c r="K115">
        <v>3793.31</v>
      </c>
      <c r="L115">
        <f t="shared" si="10"/>
        <v>0</v>
      </c>
      <c r="M115">
        <f t="shared" si="11"/>
        <v>0</v>
      </c>
      <c r="N115">
        <f t="shared" si="12"/>
        <v>0</v>
      </c>
      <c r="O115">
        <f t="shared" si="13"/>
        <v>0</v>
      </c>
      <c r="P115">
        <f t="shared" si="14"/>
        <v>0</v>
      </c>
      <c r="Q115">
        <f t="shared" si="15"/>
        <v>0</v>
      </c>
      <c r="R115">
        <f t="shared" si="16"/>
        <v>0</v>
      </c>
      <c r="S115">
        <f t="shared" si="17"/>
        <v>0</v>
      </c>
      <c r="T115">
        <f t="shared" si="19"/>
        <v>0</v>
      </c>
      <c r="U115">
        <f t="shared" si="18"/>
        <v>0</v>
      </c>
    </row>
    <row r="116" spans="1:21" x14ac:dyDescent="0.25">
      <c r="A116" s="2">
        <v>115</v>
      </c>
      <c r="B116" s="2">
        <v>2017</v>
      </c>
      <c r="C116" s="2" t="s">
        <v>189</v>
      </c>
      <c r="D116">
        <v>328.13</v>
      </c>
      <c r="E116">
        <v>8252.48</v>
      </c>
      <c r="F116">
        <v>125.29</v>
      </c>
      <c r="G116">
        <v>487.65</v>
      </c>
      <c r="H116">
        <v>7462.4</v>
      </c>
      <c r="I116" s="80">
        <v>11592.41</v>
      </c>
      <c r="J116">
        <v>214.59</v>
      </c>
      <c r="K116">
        <v>4499.83</v>
      </c>
      <c r="L116">
        <f t="shared" si="10"/>
        <v>0</v>
      </c>
      <c r="M116">
        <f t="shared" si="11"/>
        <v>0</v>
      </c>
      <c r="N116">
        <f t="shared" si="12"/>
        <v>0</v>
      </c>
      <c r="O116">
        <f t="shared" si="13"/>
        <v>0</v>
      </c>
      <c r="P116">
        <f t="shared" si="14"/>
        <v>0</v>
      </c>
      <c r="Q116">
        <f t="shared" si="15"/>
        <v>0</v>
      </c>
      <c r="R116">
        <f t="shared" si="16"/>
        <v>0</v>
      </c>
      <c r="S116">
        <f t="shared" si="17"/>
        <v>0</v>
      </c>
      <c r="T116">
        <f t="shared" si="19"/>
        <v>0</v>
      </c>
      <c r="U116">
        <f t="shared" si="18"/>
        <v>0</v>
      </c>
    </row>
    <row r="117" spans="1:21" x14ac:dyDescent="0.25">
      <c r="A117" s="2">
        <v>116</v>
      </c>
      <c r="B117" s="2">
        <v>2018</v>
      </c>
      <c r="C117" s="2" t="s">
        <v>162</v>
      </c>
      <c r="D117">
        <v>66.12</v>
      </c>
      <c r="E117" s="80">
        <v>35641.56</v>
      </c>
      <c r="F117">
        <v>9.42</v>
      </c>
      <c r="G117">
        <v>810.28</v>
      </c>
      <c r="H117">
        <v>32.83</v>
      </c>
      <c r="I117">
        <v>151.57</v>
      </c>
      <c r="J117">
        <v>106.49</v>
      </c>
      <c r="K117">
        <v>34.69</v>
      </c>
      <c r="L117">
        <f t="shared" si="10"/>
        <v>0</v>
      </c>
      <c r="M117">
        <f t="shared" si="11"/>
        <v>0</v>
      </c>
      <c r="N117">
        <f t="shared" si="12"/>
        <v>0</v>
      </c>
      <c r="O117">
        <f t="shared" si="13"/>
        <v>0</v>
      </c>
      <c r="P117">
        <f t="shared" si="14"/>
        <v>0</v>
      </c>
      <c r="Q117">
        <f t="shared" si="15"/>
        <v>0</v>
      </c>
      <c r="R117">
        <f t="shared" si="16"/>
        <v>0</v>
      </c>
      <c r="S117">
        <f t="shared" si="17"/>
        <v>0</v>
      </c>
      <c r="T117">
        <f t="shared" si="19"/>
        <v>0</v>
      </c>
      <c r="U117">
        <f t="shared" si="18"/>
        <v>0</v>
      </c>
    </row>
    <row r="118" spans="1:21" x14ac:dyDescent="0.25">
      <c r="A118" s="2">
        <v>117</v>
      </c>
      <c r="B118" s="2">
        <v>2018</v>
      </c>
      <c r="C118" s="2" t="s">
        <v>170</v>
      </c>
      <c r="D118">
        <v>194.77</v>
      </c>
      <c r="E118" s="80">
        <v>72507.7</v>
      </c>
      <c r="F118">
        <v>456.84</v>
      </c>
      <c r="G118">
        <v>774.22</v>
      </c>
      <c r="H118">
        <v>3058.39</v>
      </c>
      <c r="I118" s="80">
        <v>18123.12</v>
      </c>
      <c r="J118">
        <v>229.89</v>
      </c>
      <c r="K118">
        <v>2472.89</v>
      </c>
      <c r="L118">
        <f t="shared" si="10"/>
        <v>0</v>
      </c>
      <c r="M118">
        <f t="shared" si="11"/>
        <v>0</v>
      </c>
      <c r="N118">
        <f t="shared" si="12"/>
        <v>0</v>
      </c>
      <c r="O118">
        <f t="shared" si="13"/>
        <v>0</v>
      </c>
      <c r="P118">
        <f t="shared" si="14"/>
        <v>0</v>
      </c>
      <c r="Q118">
        <f t="shared" si="15"/>
        <v>0</v>
      </c>
      <c r="R118">
        <f t="shared" si="16"/>
        <v>0</v>
      </c>
      <c r="S118">
        <f t="shared" si="17"/>
        <v>0</v>
      </c>
      <c r="T118">
        <f t="shared" si="19"/>
        <v>0</v>
      </c>
      <c r="U118">
        <f t="shared" si="18"/>
        <v>0</v>
      </c>
    </row>
    <row r="119" spans="1:21" x14ac:dyDescent="0.25">
      <c r="A119" s="2">
        <v>118</v>
      </c>
      <c r="B119" s="92">
        <v>2018</v>
      </c>
      <c r="C119" s="2" t="s">
        <v>178</v>
      </c>
      <c r="D119">
        <v>572.24</v>
      </c>
      <c r="E119" s="89" t="s">
        <v>582</v>
      </c>
      <c r="F119">
        <v>3277.41</v>
      </c>
      <c r="G119">
        <v>1319.31</v>
      </c>
      <c r="H119">
        <v>15057.09</v>
      </c>
      <c r="I119" s="80">
        <v>27689.29</v>
      </c>
      <c r="J119">
        <v>396.68</v>
      </c>
      <c r="K119">
        <v>6535.96</v>
      </c>
      <c r="L119">
        <f t="shared" si="10"/>
        <v>0</v>
      </c>
      <c r="M119">
        <f t="shared" si="11"/>
        <v>1</v>
      </c>
      <c r="N119">
        <f t="shared" si="12"/>
        <v>0</v>
      </c>
      <c r="O119">
        <f t="shared" si="13"/>
        <v>0</v>
      </c>
      <c r="P119">
        <f t="shared" si="14"/>
        <v>0</v>
      </c>
      <c r="Q119">
        <f t="shared" si="15"/>
        <v>0</v>
      </c>
      <c r="R119">
        <f t="shared" si="16"/>
        <v>0</v>
      </c>
      <c r="S119">
        <f t="shared" si="17"/>
        <v>0</v>
      </c>
      <c r="T119">
        <f t="shared" si="19"/>
        <v>1</v>
      </c>
      <c r="U119">
        <f t="shared" si="18"/>
        <v>1</v>
      </c>
    </row>
    <row r="120" spans="1:21" x14ac:dyDescent="0.25">
      <c r="A120" s="2">
        <v>119</v>
      </c>
      <c r="B120" s="92">
        <v>2018</v>
      </c>
      <c r="C120" s="2" t="s">
        <v>163</v>
      </c>
      <c r="D120">
        <v>3962.72</v>
      </c>
      <c r="E120" s="89" t="s">
        <v>582</v>
      </c>
      <c r="F120">
        <v>200.68</v>
      </c>
      <c r="G120">
        <v>1319.31</v>
      </c>
      <c r="H120">
        <v>6834.22</v>
      </c>
      <c r="I120" s="80">
        <v>15054.43</v>
      </c>
      <c r="J120">
        <v>546.61</v>
      </c>
      <c r="K120" s="80">
        <v>26632.04</v>
      </c>
      <c r="L120">
        <f t="shared" si="10"/>
        <v>0</v>
      </c>
      <c r="M120">
        <f t="shared" si="11"/>
        <v>1</v>
      </c>
      <c r="N120">
        <f t="shared" si="12"/>
        <v>0</v>
      </c>
      <c r="O120">
        <f t="shared" si="13"/>
        <v>0</v>
      </c>
      <c r="P120">
        <f t="shared" si="14"/>
        <v>0</v>
      </c>
      <c r="Q120">
        <f t="shared" si="15"/>
        <v>0</v>
      </c>
      <c r="R120">
        <f t="shared" si="16"/>
        <v>0</v>
      </c>
      <c r="S120">
        <f t="shared" si="17"/>
        <v>0</v>
      </c>
      <c r="T120">
        <f t="shared" si="19"/>
        <v>1</v>
      </c>
      <c r="U120">
        <f t="shared" si="18"/>
        <v>1</v>
      </c>
    </row>
    <row r="121" spans="1:21" x14ac:dyDescent="0.25">
      <c r="A121" s="2">
        <v>120</v>
      </c>
      <c r="B121" s="2">
        <v>2018</v>
      </c>
      <c r="C121" s="2" t="s">
        <v>181</v>
      </c>
      <c r="D121">
        <v>73.94</v>
      </c>
      <c r="E121" s="80">
        <v>120659.94</v>
      </c>
      <c r="F121">
        <v>7.67</v>
      </c>
      <c r="G121">
        <v>487.65</v>
      </c>
      <c r="H121">
        <v>95.36</v>
      </c>
      <c r="I121">
        <v>353.6</v>
      </c>
      <c r="J121">
        <v>153.07</v>
      </c>
      <c r="K121">
        <v>113.6</v>
      </c>
      <c r="L121">
        <f t="shared" si="10"/>
        <v>0</v>
      </c>
      <c r="M121">
        <f t="shared" si="11"/>
        <v>0</v>
      </c>
      <c r="N121">
        <f t="shared" si="12"/>
        <v>0</v>
      </c>
      <c r="O121">
        <f t="shared" si="13"/>
        <v>0</v>
      </c>
      <c r="P121">
        <f t="shared" si="14"/>
        <v>0</v>
      </c>
      <c r="Q121">
        <f t="shared" si="15"/>
        <v>0</v>
      </c>
      <c r="R121">
        <f t="shared" si="16"/>
        <v>0</v>
      </c>
      <c r="S121">
        <f t="shared" si="17"/>
        <v>0</v>
      </c>
      <c r="T121">
        <f t="shared" si="19"/>
        <v>0</v>
      </c>
      <c r="U121">
        <f t="shared" si="18"/>
        <v>0</v>
      </c>
    </row>
    <row r="122" spans="1:21" x14ac:dyDescent="0.25">
      <c r="A122" s="2">
        <v>121</v>
      </c>
      <c r="B122" s="92">
        <v>2018</v>
      </c>
      <c r="C122" s="2" t="s">
        <v>183</v>
      </c>
      <c r="D122">
        <v>166.11</v>
      </c>
      <c r="E122" s="89" t="s">
        <v>582</v>
      </c>
      <c r="F122">
        <v>1683.88</v>
      </c>
      <c r="G122">
        <v>991.24</v>
      </c>
      <c r="H122">
        <v>12005.69</v>
      </c>
      <c r="I122" s="80">
        <v>34721.33</v>
      </c>
      <c r="J122">
        <v>426.77</v>
      </c>
      <c r="K122" s="80">
        <v>10697.9</v>
      </c>
      <c r="L122">
        <f t="shared" si="10"/>
        <v>0</v>
      </c>
      <c r="M122">
        <f t="shared" si="11"/>
        <v>1</v>
      </c>
      <c r="N122">
        <f t="shared" si="12"/>
        <v>0</v>
      </c>
      <c r="O122">
        <f t="shared" si="13"/>
        <v>0</v>
      </c>
      <c r="P122">
        <f t="shared" si="14"/>
        <v>0</v>
      </c>
      <c r="Q122">
        <f t="shared" si="15"/>
        <v>0</v>
      </c>
      <c r="R122">
        <f t="shared" si="16"/>
        <v>0</v>
      </c>
      <c r="S122">
        <f t="shared" si="17"/>
        <v>0</v>
      </c>
      <c r="T122">
        <f t="shared" si="19"/>
        <v>1</v>
      </c>
      <c r="U122">
        <f t="shared" si="18"/>
        <v>1</v>
      </c>
    </row>
    <row r="123" spans="1:21" x14ac:dyDescent="0.25">
      <c r="A123" s="2">
        <v>122</v>
      </c>
      <c r="B123" s="92">
        <v>2018</v>
      </c>
      <c r="C123" s="2" t="s">
        <v>186</v>
      </c>
      <c r="D123">
        <v>198.88</v>
      </c>
      <c r="E123" s="80">
        <v>57657.64</v>
      </c>
      <c r="F123">
        <v>3288.43</v>
      </c>
      <c r="G123">
        <v>1355.92</v>
      </c>
      <c r="H123" s="80">
        <v>44591.3</v>
      </c>
      <c r="I123" s="80">
        <v>36858.050000000003</v>
      </c>
      <c r="J123">
        <v>546.61</v>
      </c>
      <c r="K123" s="89" t="s">
        <v>582</v>
      </c>
      <c r="L123">
        <f t="shared" si="10"/>
        <v>0</v>
      </c>
      <c r="M123">
        <f t="shared" si="11"/>
        <v>0</v>
      </c>
      <c r="N123">
        <f t="shared" si="12"/>
        <v>0</v>
      </c>
      <c r="O123">
        <f t="shared" si="13"/>
        <v>0</v>
      </c>
      <c r="P123">
        <f t="shared" si="14"/>
        <v>0</v>
      </c>
      <c r="Q123">
        <f t="shared" si="15"/>
        <v>0</v>
      </c>
      <c r="R123">
        <f t="shared" si="16"/>
        <v>0</v>
      </c>
      <c r="S123">
        <f t="shared" si="17"/>
        <v>1</v>
      </c>
      <c r="T123">
        <f t="shared" si="19"/>
        <v>1</v>
      </c>
      <c r="U123">
        <f t="shared" si="18"/>
        <v>1</v>
      </c>
    </row>
    <row r="124" spans="1:21" x14ac:dyDescent="0.25">
      <c r="A124" s="2">
        <v>123</v>
      </c>
      <c r="B124" s="92">
        <v>2018</v>
      </c>
      <c r="C124" s="2" t="s">
        <v>188</v>
      </c>
      <c r="D124">
        <v>129.63</v>
      </c>
      <c r="E124" s="89" t="s">
        <v>582</v>
      </c>
      <c r="F124">
        <v>197.35</v>
      </c>
      <c r="G124">
        <v>991.24</v>
      </c>
      <c r="H124">
        <v>3081.52</v>
      </c>
      <c r="I124" s="80">
        <v>16329.18</v>
      </c>
      <c r="J124">
        <v>426.77</v>
      </c>
      <c r="K124" s="80">
        <v>14713.69</v>
      </c>
      <c r="L124">
        <f t="shared" si="10"/>
        <v>0</v>
      </c>
      <c r="M124">
        <f t="shared" si="11"/>
        <v>1</v>
      </c>
      <c r="N124">
        <f t="shared" si="12"/>
        <v>0</v>
      </c>
      <c r="O124">
        <f t="shared" si="13"/>
        <v>0</v>
      </c>
      <c r="P124">
        <f t="shared" si="14"/>
        <v>0</v>
      </c>
      <c r="Q124">
        <f t="shared" si="15"/>
        <v>0</v>
      </c>
      <c r="R124">
        <f t="shared" si="16"/>
        <v>0</v>
      </c>
      <c r="S124">
        <f t="shared" si="17"/>
        <v>0</v>
      </c>
      <c r="T124">
        <f t="shared" si="19"/>
        <v>1</v>
      </c>
      <c r="U124">
        <f t="shared" si="18"/>
        <v>1</v>
      </c>
    </row>
    <row r="125" spans="1:21" x14ac:dyDescent="0.25">
      <c r="A125" s="2">
        <v>124</v>
      </c>
      <c r="B125" s="2">
        <v>2018</v>
      </c>
      <c r="C125" s="2" t="s">
        <v>182</v>
      </c>
      <c r="D125" t="s">
        <v>583</v>
      </c>
      <c r="E125">
        <v>683.91</v>
      </c>
      <c r="F125" s="80">
        <v>0.36</v>
      </c>
      <c r="G125" t="s">
        <v>583</v>
      </c>
      <c r="H125" t="s">
        <v>583</v>
      </c>
      <c r="I125">
        <v>0.82</v>
      </c>
      <c r="J125" t="s">
        <v>583</v>
      </c>
      <c r="K125" t="s">
        <v>583</v>
      </c>
      <c r="L125">
        <f t="shared" si="10"/>
        <v>0</v>
      </c>
      <c r="M125">
        <f t="shared" si="11"/>
        <v>0</v>
      </c>
      <c r="N125">
        <f t="shared" si="12"/>
        <v>0</v>
      </c>
      <c r="O125">
        <f t="shared" si="13"/>
        <v>0</v>
      </c>
      <c r="P125">
        <f t="shared" si="14"/>
        <v>0</v>
      </c>
      <c r="Q125">
        <f t="shared" si="15"/>
        <v>0</v>
      </c>
      <c r="R125">
        <f t="shared" si="16"/>
        <v>0</v>
      </c>
      <c r="S125">
        <f t="shared" si="17"/>
        <v>0</v>
      </c>
      <c r="T125">
        <f t="shared" si="19"/>
        <v>0</v>
      </c>
      <c r="U125">
        <f t="shared" si="18"/>
        <v>0</v>
      </c>
    </row>
    <row r="126" spans="1:21" x14ac:dyDescent="0.25">
      <c r="A126" s="2">
        <v>125</v>
      </c>
      <c r="B126" s="2">
        <v>2018</v>
      </c>
      <c r="C126" s="2" t="s">
        <v>184</v>
      </c>
      <c r="D126">
        <v>203</v>
      </c>
      <c r="E126">
        <v>6517.36</v>
      </c>
      <c r="F126">
        <v>328.48</v>
      </c>
      <c r="G126">
        <v>416.65</v>
      </c>
      <c r="H126">
        <v>4460.4799999999996</v>
      </c>
      <c r="I126" s="80">
        <v>19220.77</v>
      </c>
      <c r="J126">
        <v>168.51</v>
      </c>
      <c r="K126">
        <v>2952.7</v>
      </c>
      <c r="L126">
        <f t="shared" si="10"/>
        <v>0</v>
      </c>
      <c r="M126">
        <f t="shared" si="11"/>
        <v>0</v>
      </c>
      <c r="N126">
        <f t="shared" si="12"/>
        <v>0</v>
      </c>
      <c r="O126">
        <f t="shared" si="13"/>
        <v>0</v>
      </c>
      <c r="P126">
        <f t="shared" si="14"/>
        <v>0</v>
      </c>
      <c r="Q126">
        <f t="shared" si="15"/>
        <v>0</v>
      </c>
      <c r="R126">
        <f t="shared" si="16"/>
        <v>0</v>
      </c>
      <c r="S126">
        <f t="shared" si="17"/>
        <v>0</v>
      </c>
      <c r="T126">
        <f t="shared" si="19"/>
        <v>0</v>
      </c>
      <c r="U126">
        <f t="shared" si="18"/>
        <v>0</v>
      </c>
    </row>
    <row r="127" spans="1:21" x14ac:dyDescent="0.25">
      <c r="A127" s="2">
        <v>126</v>
      </c>
      <c r="B127" s="2">
        <v>2018</v>
      </c>
      <c r="C127" s="2" t="s">
        <v>187</v>
      </c>
      <c r="D127">
        <v>1288.5</v>
      </c>
      <c r="E127">
        <v>7311.9</v>
      </c>
      <c r="F127">
        <v>372.3</v>
      </c>
      <c r="G127">
        <v>558.94000000000005</v>
      </c>
      <c r="H127" s="80">
        <v>17419.97</v>
      </c>
      <c r="I127" s="80">
        <v>20242.78</v>
      </c>
      <c r="J127">
        <v>336.3</v>
      </c>
      <c r="K127" s="80">
        <v>10764.62</v>
      </c>
      <c r="L127">
        <f t="shared" si="10"/>
        <v>0</v>
      </c>
      <c r="M127">
        <f t="shared" si="11"/>
        <v>0</v>
      </c>
      <c r="N127">
        <f t="shared" si="12"/>
        <v>0</v>
      </c>
      <c r="O127">
        <f t="shared" si="13"/>
        <v>0</v>
      </c>
      <c r="P127">
        <f t="shared" si="14"/>
        <v>0</v>
      </c>
      <c r="Q127">
        <f t="shared" si="15"/>
        <v>0</v>
      </c>
      <c r="R127">
        <f t="shared" si="16"/>
        <v>0</v>
      </c>
      <c r="S127">
        <f t="shared" si="17"/>
        <v>0</v>
      </c>
      <c r="T127">
        <f t="shared" si="19"/>
        <v>0</v>
      </c>
      <c r="U127">
        <f t="shared" si="18"/>
        <v>0</v>
      </c>
    </row>
    <row r="128" spans="1:21" x14ac:dyDescent="0.25">
      <c r="A128" s="2">
        <v>127</v>
      </c>
      <c r="B128" s="2">
        <v>2018</v>
      </c>
      <c r="C128" s="2" t="s">
        <v>189</v>
      </c>
      <c r="D128">
        <v>1306.67</v>
      </c>
      <c r="E128">
        <v>7851.96</v>
      </c>
      <c r="F128">
        <v>11.13</v>
      </c>
      <c r="G128">
        <v>487.65</v>
      </c>
      <c r="H128">
        <v>8778.0400000000009</v>
      </c>
      <c r="I128" s="80">
        <v>6846.22</v>
      </c>
      <c r="J128">
        <v>298.42</v>
      </c>
      <c r="K128">
        <v>7909.87</v>
      </c>
      <c r="L128">
        <f t="shared" si="10"/>
        <v>0</v>
      </c>
      <c r="M128">
        <f t="shared" si="11"/>
        <v>0</v>
      </c>
      <c r="N128">
        <f t="shared" si="12"/>
        <v>0</v>
      </c>
      <c r="O128">
        <f t="shared" si="13"/>
        <v>0</v>
      </c>
      <c r="P128">
        <f t="shared" si="14"/>
        <v>0</v>
      </c>
      <c r="Q128">
        <f t="shared" si="15"/>
        <v>0</v>
      </c>
      <c r="R128">
        <f t="shared" si="16"/>
        <v>0</v>
      </c>
      <c r="S128">
        <f t="shared" si="17"/>
        <v>0</v>
      </c>
      <c r="T128">
        <f t="shared" si="19"/>
        <v>0</v>
      </c>
      <c r="U128">
        <f t="shared" si="18"/>
        <v>0</v>
      </c>
    </row>
    <row r="129" spans="1:21" x14ac:dyDescent="0.25">
      <c r="A129" s="2">
        <v>128</v>
      </c>
      <c r="B129" s="2" t="s">
        <v>23</v>
      </c>
      <c r="C129" s="2" t="s">
        <v>162</v>
      </c>
      <c r="D129">
        <v>50.63</v>
      </c>
      <c r="E129">
        <v>15452.31</v>
      </c>
      <c r="F129">
        <v>4.4800000000000004</v>
      </c>
      <c r="G129">
        <v>345.98</v>
      </c>
      <c r="H129">
        <v>3.56</v>
      </c>
      <c r="I129">
        <v>7.59</v>
      </c>
      <c r="J129">
        <v>75.12</v>
      </c>
      <c r="K129">
        <v>12.46</v>
      </c>
      <c r="L129">
        <f t="shared" si="10"/>
        <v>0</v>
      </c>
      <c r="M129">
        <f t="shared" si="11"/>
        <v>0</v>
      </c>
      <c r="N129">
        <f t="shared" si="12"/>
        <v>0</v>
      </c>
      <c r="O129">
        <f t="shared" si="13"/>
        <v>0</v>
      </c>
      <c r="P129">
        <f t="shared" si="14"/>
        <v>0</v>
      </c>
      <c r="Q129">
        <f t="shared" si="15"/>
        <v>0</v>
      </c>
      <c r="R129">
        <f t="shared" si="16"/>
        <v>0</v>
      </c>
      <c r="S129">
        <f t="shared" si="17"/>
        <v>0</v>
      </c>
      <c r="T129">
        <f t="shared" si="19"/>
        <v>0</v>
      </c>
      <c r="U129">
        <f t="shared" si="18"/>
        <v>0</v>
      </c>
    </row>
    <row r="130" spans="1:21" x14ac:dyDescent="0.25">
      <c r="A130" s="2">
        <v>129</v>
      </c>
      <c r="B130" s="2" t="s">
        <v>23</v>
      </c>
      <c r="C130" s="2" t="s">
        <v>170</v>
      </c>
      <c r="D130">
        <v>89.69</v>
      </c>
      <c r="E130">
        <v>17832.09</v>
      </c>
      <c r="F130">
        <v>452.65</v>
      </c>
      <c r="G130">
        <v>487.65</v>
      </c>
      <c r="H130">
        <v>3749.95</v>
      </c>
      <c r="I130" s="80">
        <v>14629.59</v>
      </c>
      <c r="J130">
        <v>153.07</v>
      </c>
      <c r="K130">
        <v>1217.67</v>
      </c>
      <c r="L130">
        <f t="shared" ref="L130:L193" si="20">IF(D130 = "OOR &gt;", 1,0)</f>
        <v>0</v>
      </c>
      <c r="M130">
        <f t="shared" ref="M130:M193" si="21">IF(E130 = "OOR &gt;", 1,0)</f>
        <v>0</v>
      </c>
      <c r="N130">
        <f t="shared" ref="N130:N193" si="22">IF(F130 = "OOR &gt;", 1,0)</f>
        <v>0</v>
      </c>
      <c r="O130">
        <f t="shared" ref="O130:O193" si="23">IF(G130 = "OOR &gt;", 1,0)</f>
        <v>0</v>
      </c>
      <c r="P130">
        <f t="shared" ref="P130:P193" si="24">IF(H130 = "OOR &gt;", 1,0)</f>
        <v>0</v>
      </c>
      <c r="Q130">
        <f t="shared" ref="Q130:Q193" si="25">IF(I130 = "OOR &gt;", 1,0)</f>
        <v>0</v>
      </c>
      <c r="R130">
        <f t="shared" ref="R130:R193" si="26">IF(J130 = "OOR &gt;", 1,0)</f>
        <v>0</v>
      </c>
      <c r="S130">
        <f t="shared" ref="S130:S193" si="27">IF(K130 = "OOR &gt;", 1,0)</f>
        <v>0</v>
      </c>
      <c r="T130">
        <f t="shared" si="19"/>
        <v>0</v>
      </c>
      <c r="U130">
        <f t="shared" ref="U130:U193" si="28">IF(T130 &gt; 0,1,0)</f>
        <v>0</v>
      </c>
    </row>
    <row r="131" spans="1:21" x14ac:dyDescent="0.25">
      <c r="A131" s="2">
        <v>130</v>
      </c>
      <c r="B131" s="2" t="s">
        <v>23</v>
      </c>
      <c r="C131" s="2" t="s">
        <v>178</v>
      </c>
      <c r="D131">
        <v>244.37</v>
      </c>
      <c r="E131">
        <v>16791.73</v>
      </c>
      <c r="F131">
        <v>1386.91</v>
      </c>
      <c r="G131">
        <v>774.22</v>
      </c>
      <c r="H131">
        <v>15777.77</v>
      </c>
      <c r="I131" s="80">
        <v>18874.669999999998</v>
      </c>
      <c r="J131">
        <v>260.41000000000003</v>
      </c>
      <c r="K131">
        <v>2370.02</v>
      </c>
      <c r="L131">
        <f t="shared" si="20"/>
        <v>0</v>
      </c>
      <c r="M131">
        <f t="shared" si="21"/>
        <v>0</v>
      </c>
      <c r="N131">
        <f t="shared" si="22"/>
        <v>0</v>
      </c>
      <c r="O131">
        <f t="shared" si="23"/>
        <v>0</v>
      </c>
      <c r="P131">
        <f t="shared" si="24"/>
        <v>0</v>
      </c>
      <c r="Q131">
        <f t="shared" si="25"/>
        <v>0</v>
      </c>
      <c r="R131">
        <f t="shared" si="26"/>
        <v>0</v>
      </c>
      <c r="S131">
        <f t="shared" si="27"/>
        <v>0</v>
      </c>
      <c r="T131">
        <f t="shared" ref="T131:T194" si="29">SUMIF(L131:S131,"&gt;0")</f>
        <v>0</v>
      </c>
      <c r="U131">
        <f t="shared" si="28"/>
        <v>0</v>
      </c>
    </row>
    <row r="132" spans="1:21" x14ac:dyDescent="0.25">
      <c r="A132" s="2">
        <v>131</v>
      </c>
      <c r="B132" s="2" t="s">
        <v>23</v>
      </c>
      <c r="C132" s="2" t="s">
        <v>163</v>
      </c>
      <c r="D132">
        <v>4937.18</v>
      </c>
      <c r="E132">
        <v>13808.82</v>
      </c>
      <c r="F132">
        <v>320</v>
      </c>
      <c r="G132">
        <v>918.73</v>
      </c>
      <c r="H132" s="80">
        <v>18640.36</v>
      </c>
      <c r="I132" s="80">
        <v>14728.81</v>
      </c>
      <c r="J132">
        <v>441.79</v>
      </c>
      <c r="K132" s="89" t="s">
        <v>582</v>
      </c>
      <c r="L132">
        <f t="shared" si="20"/>
        <v>0</v>
      </c>
      <c r="M132">
        <f t="shared" si="21"/>
        <v>0</v>
      </c>
      <c r="N132">
        <f t="shared" si="22"/>
        <v>0</v>
      </c>
      <c r="O132">
        <f t="shared" si="23"/>
        <v>0</v>
      </c>
      <c r="P132">
        <f t="shared" si="24"/>
        <v>0</v>
      </c>
      <c r="Q132">
        <f t="shared" si="25"/>
        <v>0</v>
      </c>
      <c r="R132">
        <f t="shared" si="26"/>
        <v>0</v>
      </c>
      <c r="S132">
        <f t="shared" si="27"/>
        <v>1</v>
      </c>
      <c r="T132">
        <f t="shared" si="29"/>
        <v>1</v>
      </c>
      <c r="U132">
        <f t="shared" si="28"/>
        <v>1</v>
      </c>
    </row>
    <row r="133" spans="1:21" x14ac:dyDescent="0.25">
      <c r="A133" s="2">
        <v>132</v>
      </c>
      <c r="B133" s="92" t="s">
        <v>23</v>
      </c>
      <c r="C133" s="2" t="s">
        <v>181</v>
      </c>
      <c r="D133">
        <v>137.69999999999999</v>
      </c>
      <c r="E133" s="89" t="s">
        <v>582</v>
      </c>
      <c r="F133">
        <v>9.85</v>
      </c>
      <c r="G133">
        <v>738.21</v>
      </c>
      <c r="H133">
        <v>37.229999999999997</v>
      </c>
      <c r="I133">
        <v>345.59</v>
      </c>
      <c r="J133">
        <v>245.16</v>
      </c>
      <c r="K133">
        <v>305.14</v>
      </c>
      <c r="L133">
        <f t="shared" si="20"/>
        <v>0</v>
      </c>
      <c r="M133">
        <f t="shared" si="21"/>
        <v>1</v>
      </c>
      <c r="N133">
        <f t="shared" si="22"/>
        <v>0</v>
      </c>
      <c r="O133">
        <f t="shared" si="23"/>
        <v>0</v>
      </c>
      <c r="P133">
        <f t="shared" si="24"/>
        <v>0</v>
      </c>
      <c r="Q133">
        <f t="shared" si="25"/>
        <v>0</v>
      </c>
      <c r="R133">
        <f t="shared" si="26"/>
        <v>0</v>
      </c>
      <c r="S133">
        <f t="shared" si="27"/>
        <v>0</v>
      </c>
      <c r="T133">
        <f t="shared" si="29"/>
        <v>1</v>
      </c>
      <c r="U133">
        <f t="shared" si="28"/>
        <v>1</v>
      </c>
    </row>
    <row r="134" spans="1:21" x14ac:dyDescent="0.25">
      <c r="A134" s="2">
        <v>133</v>
      </c>
      <c r="B134" s="92" t="s">
        <v>23</v>
      </c>
      <c r="C134" s="2" t="s">
        <v>183</v>
      </c>
      <c r="D134">
        <v>203</v>
      </c>
      <c r="E134" s="89" t="s">
        <v>582</v>
      </c>
      <c r="F134" s="80">
        <v>3664.72</v>
      </c>
      <c r="G134">
        <v>1100.29</v>
      </c>
      <c r="H134">
        <v>15569.46</v>
      </c>
      <c r="I134" s="80">
        <v>38359</v>
      </c>
      <c r="J134">
        <v>486.79</v>
      </c>
      <c r="K134" s="80">
        <v>16460.669999999998</v>
      </c>
      <c r="L134">
        <f t="shared" si="20"/>
        <v>0</v>
      </c>
      <c r="M134">
        <f t="shared" si="21"/>
        <v>1</v>
      </c>
      <c r="N134">
        <f t="shared" si="22"/>
        <v>0</v>
      </c>
      <c r="O134">
        <f t="shared" si="23"/>
        <v>0</v>
      </c>
      <c r="P134">
        <f t="shared" si="24"/>
        <v>0</v>
      </c>
      <c r="Q134">
        <f t="shared" si="25"/>
        <v>0</v>
      </c>
      <c r="R134">
        <f t="shared" si="26"/>
        <v>0</v>
      </c>
      <c r="S134">
        <f t="shared" si="27"/>
        <v>0</v>
      </c>
      <c r="T134">
        <f t="shared" si="29"/>
        <v>1</v>
      </c>
      <c r="U134">
        <f t="shared" si="28"/>
        <v>1</v>
      </c>
    </row>
    <row r="135" spans="1:21" x14ac:dyDescent="0.25">
      <c r="A135" s="2">
        <v>134</v>
      </c>
      <c r="B135" s="92" t="s">
        <v>23</v>
      </c>
      <c r="C135" s="2" t="s">
        <v>186</v>
      </c>
      <c r="D135">
        <v>211.24</v>
      </c>
      <c r="E135" s="80">
        <v>95098.38</v>
      </c>
      <c r="F135" s="89" t="s">
        <v>582</v>
      </c>
      <c r="G135">
        <v>1502.67</v>
      </c>
      <c r="H135" s="80">
        <v>134764.70000000001</v>
      </c>
      <c r="I135" s="80">
        <v>37537.49</v>
      </c>
      <c r="J135">
        <v>516.72</v>
      </c>
      <c r="K135" s="89" t="s">
        <v>582</v>
      </c>
      <c r="L135">
        <f t="shared" si="20"/>
        <v>0</v>
      </c>
      <c r="M135">
        <f t="shared" si="21"/>
        <v>0</v>
      </c>
      <c r="N135">
        <f t="shared" si="22"/>
        <v>1</v>
      </c>
      <c r="O135">
        <f t="shared" si="23"/>
        <v>0</v>
      </c>
      <c r="P135">
        <f t="shared" si="24"/>
        <v>0</v>
      </c>
      <c r="Q135">
        <f t="shared" si="25"/>
        <v>0</v>
      </c>
      <c r="R135">
        <f t="shared" si="26"/>
        <v>0</v>
      </c>
      <c r="S135">
        <f t="shared" si="27"/>
        <v>1</v>
      </c>
      <c r="T135">
        <f t="shared" si="29"/>
        <v>2</v>
      </c>
      <c r="U135">
        <f t="shared" si="28"/>
        <v>1</v>
      </c>
    </row>
    <row r="136" spans="1:21" x14ac:dyDescent="0.25">
      <c r="A136" s="2">
        <v>135</v>
      </c>
      <c r="B136" s="92" t="s">
        <v>23</v>
      </c>
      <c r="C136" s="2" t="s">
        <v>188</v>
      </c>
      <c r="D136">
        <v>340.79</v>
      </c>
      <c r="E136" s="89" t="s">
        <v>582</v>
      </c>
      <c r="F136">
        <v>2131.13</v>
      </c>
      <c r="G136">
        <v>1649.86</v>
      </c>
      <c r="H136" s="80">
        <v>35620.03</v>
      </c>
      <c r="I136" s="80">
        <v>37635.99</v>
      </c>
      <c r="J136">
        <v>799.15</v>
      </c>
      <c r="K136" s="89" t="s">
        <v>582</v>
      </c>
      <c r="L136">
        <f t="shared" si="20"/>
        <v>0</v>
      </c>
      <c r="M136">
        <f t="shared" si="21"/>
        <v>1</v>
      </c>
      <c r="N136">
        <f t="shared" si="22"/>
        <v>0</v>
      </c>
      <c r="O136">
        <f t="shared" si="23"/>
        <v>0</v>
      </c>
      <c r="P136">
        <f t="shared" si="24"/>
        <v>0</v>
      </c>
      <c r="Q136">
        <f t="shared" si="25"/>
        <v>0</v>
      </c>
      <c r="R136">
        <f t="shared" si="26"/>
        <v>0</v>
      </c>
      <c r="S136">
        <f t="shared" si="27"/>
        <v>1</v>
      </c>
      <c r="T136">
        <f t="shared" si="29"/>
        <v>2</v>
      </c>
      <c r="U136">
        <f t="shared" si="28"/>
        <v>1</v>
      </c>
    </row>
    <row r="137" spans="1:21" x14ac:dyDescent="0.25">
      <c r="A137" s="2">
        <v>136</v>
      </c>
      <c r="B137" s="2" t="s">
        <v>23</v>
      </c>
      <c r="C137" s="2" t="s">
        <v>182</v>
      </c>
      <c r="D137" s="80">
        <v>9.57</v>
      </c>
      <c r="E137">
        <v>4997.84</v>
      </c>
      <c r="F137">
        <v>2.54</v>
      </c>
      <c r="G137">
        <v>205.92</v>
      </c>
      <c r="H137">
        <v>98.13</v>
      </c>
      <c r="I137">
        <v>717.49</v>
      </c>
      <c r="J137" s="80">
        <v>10.9</v>
      </c>
      <c r="K137">
        <v>24.12</v>
      </c>
      <c r="L137">
        <f t="shared" si="20"/>
        <v>0</v>
      </c>
      <c r="M137">
        <f t="shared" si="21"/>
        <v>0</v>
      </c>
      <c r="N137">
        <f t="shared" si="22"/>
        <v>0</v>
      </c>
      <c r="O137">
        <f t="shared" si="23"/>
        <v>0</v>
      </c>
      <c r="P137">
        <f t="shared" si="24"/>
        <v>0</v>
      </c>
      <c r="Q137">
        <f t="shared" si="25"/>
        <v>0</v>
      </c>
      <c r="R137">
        <f t="shared" si="26"/>
        <v>0</v>
      </c>
      <c r="S137">
        <f t="shared" si="27"/>
        <v>0</v>
      </c>
      <c r="T137">
        <f t="shared" si="29"/>
        <v>0</v>
      </c>
      <c r="U137">
        <f t="shared" si="28"/>
        <v>0</v>
      </c>
    </row>
    <row r="138" spans="1:21" x14ac:dyDescent="0.25">
      <c r="A138" s="2">
        <v>137</v>
      </c>
      <c r="B138" s="2" t="s">
        <v>23</v>
      </c>
      <c r="C138" s="2" t="s">
        <v>184</v>
      </c>
      <c r="D138">
        <v>2800.53</v>
      </c>
      <c r="E138">
        <v>7113.51</v>
      </c>
      <c r="F138">
        <v>293.83999999999997</v>
      </c>
      <c r="G138">
        <v>630.48</v>
      </c>
      <c r="H138">
        <v>11784.4</v>
      </c>
      <c r="I138" s="80">
        <v>26105.97</v>
      </c>
      <c r="J138">
        <v>275.63</v>
      </c>
      <c r="K138">
        <v>5381.57</v>
      </c>
      <c r="L138">
        <f t="shared" si="20"/>
        <v>0</v>
      </c>
      <c r="M138">
        <f t="shared" si="21"/>
        <v>0</v>
      </c>
      <c r="N138">
        <f t="shared" si="22"/>
        <v>0</v>
      </c>
      <c r="O138">
        <f t="shared" si="23"/>
        <v>0</v>
      </c>
      <c r="P138">
        <f t="shared" si="24"/>
        <v>0</v>
      </c>
      <c r="Q138">
        <f t="shared" si="25"/>
        <v>0</v>
      </c>
      <c r="R138">
        <f t="shared" si="26"/>
        <v>0</v>
      </c>
      <c r="S138">
        <f t="shared" si="27"/>
        <v>0</v>
      </c>
      <c r="T138">
        <f t="shared" si="29"/>
        <v>0</v>
      </c>
      <c r="U138">
        <f t="shared" si="28"/>
        <v>0</v>
      </c>
    </row>
    <row r="139" spans="1:21" x14ac:dyDescent="0.25">
      <c r="A139" s="2">
        <v>138</v>
      </c>
      <c r="B139" s="2" t="s">
        <v>23</v>
      </c>
      <c r="C139" s="2" t="s">
        <v>187</v>
      </c>
      <c r="D139">
        <v>4660.0200000000004</v>
      </c>
      <c r="E139">
        <v>5963.66</v>
      </c>
      <c r="F139">
        <v>601.49</v>
      </c>
      <c r="G139">
        <v>882.54</v>
      </c>
      <c r="H139" s="80">
        <v>33895.730000000003</v>
      </c>
      <c r="I139" s="80">
        <v>20135.169999999998</v>
      </c>
      <c r="J139">
        <v>426.77</v>
      </c>
      <c r="K139" s="80">
        <v>12809.59</v>
      </c>
      <c r="L139">
        <f t="shared" si="20"/>
        <v>0</v>
      </c>
      <c r="M139">
        <f t="shared" si="21"/>
        <v>0</v>
      </c>
      <c r="N139">
        <f t="shared" si="22"/>
        <v>0</v>
      </c>
      <c r="O139">
        <f t="shared" si="23"/>
        <v>0</v>
      </c>
      <c r="P139">
        <f t="shared" si="24"/>
        <v>0</v>
      </c>
      <c r="Q139">
        <f t="shared" si="25"/>
        <v>0</v>
      </c>
      <c r="R139">
        <f t="shared" si="26"/>
        <v>0</v>
      </c>
      <c r="S139">
        <f t="shared" si="27"/>
        <v>0</v>
      </c>
      <c r="T139">
        <f t="shared" si="29"/>
        <v>0</v>
      </c>
      <c r="U139">
        <f t="shared" si="28"/>
        <v>0</v>
      </c>
    </row>
    <row r="140" spans="1:21" x14ac:dyDescent="0.25">
      <c r="A140" s="2">
        <v>139</v>
      </c>
      <c r="B140" s="2" t="s">
        <v>23</v>
      </c>
      <c r="C140" s="2" t="s">
        <v>189</v>
      </c>
      <c r="D140">
        <v>7394.57</v>
      </c>
      <c r="E140">
        <v>7624.78</v>
      </c>
      <c r="F140">
        <v>15.68</v>
      </c>
      <c r="G140">
        <v>774.22</v>
      </c>
      <c r="H140">
        <v>12215.58</v>
      </c>
      <c r="I140" s="80">
        <v>11051.67</v>
      </c>
      <c r="J140">
        <v>434.28</v>
      </c>
      <c r="K140" s="80">
        <v>16538.599999999999</v>
      </c>
      <c r="L140">
        <f t="shared" si="20"/>
        <v>0</v>
      </c>
      <c r="M140">
        <f t="shared" si="21"/>
        <v>0</v>
      </c>
      <c r="N140">
        <f t="shared" si="22"/>
        <v>0</v>
      </c>
      <c r="O140">
        <f t="shared" si="23"/>
        <v>0</v>
      </c>
      <c r="P140">
        <f t="shared" si="24"/>
        <v>0</v>
      </c>
      <c r="Q140">
        <f t="shared" si="25"/>
        <v>0</v>
      </c>
      <c r="R140">
        <f t="shared" si="26"/>
        <v>0</v>
      </c>
      <c r="S140">
        <f t="shared" si="27"/>
        <v>0</v>
      </c>
      <c r="T140">
        <f t="shared" si="29"/>
        <v>0</v>
      </c>
      <c r="U140">
        <f t="shared" si="28"/>
        <v>0</v>
      </c>
    </row>
    <row r="141" spans="1:21" x14ac:dyDescent="0.25">
      <c r="A141" s="2">
        <v>140</v>
      </c>
      <c r="B141" s="92">
        <v>1030</v>
      </c>
      <c r="C141" s="2" t="s">
        <v>162</v>
      </c>
      <c r="D141">
        <v>81.8</v>
      </c>
      <c r="E141" s="89" t="s">
        <v>582</v>
      </c>
      <c r="F141">
        <v>6.78</v>
      </c>
      <c r="G141">
        <v>991.24</v>
      </c>
      <c r="H141">
        <v>26.9</v>
      </c>
      <c r="I141">
        <v>11.23</v>
      </c>
      <c r="J141">
        <v>199.26</v>
      </c>
      <c r="K141">
        <v>41.02</v>
      </c>
      <c r="L141">
        <f t="shared" si="20"/>
        <v>0</v>
      </c>
      <c r="M141">
        <f t="shared" si="21"/>
        <v>1</v>
      </c>
      <c r="N141">
        <f t="shared" si="22"/>
        <v>0</v>
      </c>
      <c r="O141">
        <f t="shared" si="23"/>
        <v>0</v>
      </c>
      <c r="P141">
        <f t="shared" si="24"/>
        <v>0</v>
      </c>
      <c r="Q141">
        <f t="shared" si="25"/>
        <v>0</v>
      </c>
      <c r="R141">
        <f t="shared" si="26"/>
        <v>0</v>
      </c>
      <c r="S141">
        <f t="shared" si="27"/>
        <v>0</v>
      </c>
      <c r="T141">
        <f t="shared" si="29"/>
        <v>1</v>
      </c>
      <c r="U141">
        <f t="shared" si="28"/>
        <v>1</v>
      </c>
    </row>
    <row r="142" spans="1:21" x14ac:dyDescent="0.25">
      <c r="A142" s="2">
        <v>141</v>
      </c>
      <c r="B142" s="2">
        <v>1030</v>
      </c>
      <c r="C142" s="2" t="s">
        <v>170</v>
      </c>
      <c r="D142">
        <v>73.94</v>
      </c>
      <c r="E142" s="80">
        <v>50914.879999999997</v>
      </c>
      <c r="F142">
        <v>100.28</v>
      </c>
      <c r="G142">
        <v>630.48</v>
      </c>
      <c r="H142">
        <v>615.87</v>
      </c>
      <c r="I142" s="80">
        <v>15544.29</v>
      </c>
      <c r="J142">
        <v>153.07</v>
      </c>
      <c r="K142">
        <v>598.72</v>
      </c>
      <c r="L142">
        <f t="shared" si="20"/>
        <v>0</v>
      </c>
      <c r="M142">
        <f t="shared" si="21"/>
        <v>0</v>
      </c>
      <c r="N142">
        <f t="shared" si="22"/>
        <v>0</v>
      </c>
      <c r="O142">
        <f t="shared" si="23"/>
        <v>0</v>
      </c>
      <c r="P142">
        <f t="shared" si="24"/>
        <v>0</v>
      </c>
      <c r="Q142">
        <f t="shared" si="25"/>
        <v>0</v>
      </c>
      <c r="R142">
        <f t="shared" si="26"/>
        <v>0</v>
      </c>
      <c r="S142">
        <f t="shared" si="27"/>
        <v>0</v>
      </c>
      <c r="T142">
        <f t="shared" si="29"/>
        <v>0</v>
      </c>
      <c r="U142">
        <f t="shared" si="28"/>
        <v>0</v>
      </c>
    </row>
    <row r="143" spans="1:21" x14ac:dyDescent="0.25">
      <c r="A143" s="2">
        <v>142</v>
      </c>
      <c r="B143" s="92">
        <v>1030</v>
      </c>
      <c r="C143" s="2" t="s">
        <v>178</v>
      </c>
      <c r="D143">
        <v>125.61</v>
      </c>
      <c r="E143" s="89" t="s">
        <v>582</v>
      </c>
      <c r="F143">
        <v>1061.92</v>
      </c>
      <c r="G143">
        <v>1027.55</v>
      </c>
      <c r="H143">
        <v>6784.76</v>
      </c>
      <c r="I143" s="80">
        <v>33082.160000000003</v>
      </c>
      <c r="J143">
        <v>306.01</v>
      </c>
      <c r="K143">
        <v>3015.99</v>
      </c>
      <c r="L143">
        <f t="shared" si="20"/>
        <v>0</v>
      </c>
      <c r="M143">
        <f t="shared" si="21"/>
        <v>1</v>
      </c>
      <c r="N143">
        <f t="shared" si="22"/>
        <v>0</v>
      </c>
      <c r="O143">
        <f t="shared" si="23"/>
        <v>0</v>
      </c>
      <c r="P143">
        <f t="shared" si="24"/>
        <v>0</v>
      </c>
      <c r="Q143">
        <f t="shared" si="25"/>
        <v>0</v>
      </c>
      <c r="R143">
        <f t="shared" si="26"/>
        <v>0</v>
      </c>
      <c r="S143">
        <f t="shared" si="27"/>
        <v>0</v>
      </c>
      <c r="T143">
        <f t="shared" si="29"/>
        <v>1</v>
      </c>
      <c r="U143">
        <f t="shared" si="28"/>
        <v>1</v>
      </c>
    </row>
    <row r="144" spans="1:21" x14ac:dyDescent="0.25">
      <c r="A144" s="2">
        <v>143</v>
      </c>
      <c r="B144" s="92">
        <v>1030</v>
      </c>
      <c r="C144" s="2" t="s">
        <v>163</v>
      </c>
      <c r="D144">
        <v>178.37</v>
      </c>
      <c r="E144" s="89" t="s">
        <v>582</v>
      </c>
      <c r="F144">
        <v>859.6</v>
      </c>
      <c r="G144">
        <v>1539.43</v>
      </c>
      <c r="H144">
        <v>8616.5400000000009</v>
      </c>
      <c r="I144" s="80">
        <v>28918.400000000001</v>
      </c>
      <c r="J144">
        <v>471.8</v>
      </c>
      <c r="K144" s="80">
        <v>31997.93</v>
      </c>
      <c r="L144">
        <f t="shared" si="20"/>
        <v>0</v>
      </c>
      <c r="M144">
        <f t="shared" si="21"/>
        <v>1</v>
      </c>
      <c r="N144">
        <f t="shared" si="22"/>
        <v>0</v>
      </c>
      <c r="O144">
        <f t="shared" si="23"/>
        <v>0</v>
      </c>
      <c r="P144">
        <f t="shared" si="24"/>
        <v>0</v>
      </c>
      <c r="Q144">
        <f t="shared" si="25"/>
        <v>0</v>
      </c>
      <c r="R144">
        <f t="shared" si="26"/>
        <v>0</v>
      </c>
      <c r="S144">
        <f t="shared" si="27"/>
        <v>0</v>
      </c>
      <c r="T144">
        <f t="shared" si="29"/>
        <v>1</v>
      </c>
      <c r="U144">
        <f t="shared" si="28"/>
        <v>1</v>
      </c>
    </row>
    <row r="145" spans="1:21" x14ac:dyDescent="0.25">
      <c r="A145" s="2">
        <v>144</v>
      </c>
      <c r="B145" s="92">
        <v>1030</v>
      </c>
      <c r="C145" s="2" t="s">
        <v>181</v>
      </c>
      <c r="D145">
        <v>105.58</v>
      </c>
      <c r="E145" s="89" t="s">
        <v>582</v>
      </c>
      <c r="F145">
        <v>11.55</v>
      </c>
      <c r="G145">
        <v>774.22</v>
      </c>
      <c r="H145">
        <v>41.61</v>
      </c>
      <c r="I145">
        <v>129.54</v>
      </c>
      <c r="J145">
        <v>245.16</v>
      </c>
      <c r="K145">
        <v>146.63</v>
      </c>
      <c r="L145">
        <f t="shared" si="20"/>
        <v>0</v>
      </c>
      <c r="M145">
        <f t="shared" si="21"/>
        <v>1</v>
      </c>
      <c r="N145">
        <f t="shared" si="22"/>
        <v>0</v>
      </c>
      <c r="O145">
        <f t="shared" si="23"/>
        <v>0</v>
      </c>
      <c r="P145">
        <f t="shared" si="24"/>
        <v>0</v>
      </c>
      <c r="Q145">
        <f t="shared" si="25"/>
        <v>0</v>
      </c>
      <c r="R145">
        <f t="shared" si="26"/>
        <v>0</v>
      </c>
      <c r="S145">
        <f t="shared" si="27"/>
        <v>0</v>
      </c>
      <c r="T145">
        <f t="shared" si="29"/>
        <v>1</v>
      </c>
      <c r="U145">
        <f t="shared" si="28"/>
        <v>1</v>
      </c>
    </row>
    <row r="146" spans="1:21" x14ac:dyDescent="0.25">
      <c r="A146" s="2">
        <v>145</v>
      </c>
      <c r="B146" s="92">
        <v>1030</v>
      </c>
      <c r="C146" s="2" t="s">
        <v>183</v>
      </c>
      <c r="D146">
        <v>166.11</v>
      </c>
      <c r="E146" s="89" t="s">
        <v>582</v>
      </c>
      <c r="F146">
        <v>197.35</v>
      </c>
      <c r="G146">
        <v>1136.71</v>
      </c>
      <c r="H146">
        <v>3287.59</v>
      </c>
      <c r="I146" s="80">
        <v>37668.879999999997</v>
      </c>
      <c r="J146">
        <v>396.68</v>
      </c>
      <c r="K146">
        <v>3977.15</v>
      </c>
      <c r="L146">
        <f t="shared" si="20"/>
        <v>0</v>
      </c>
      <c r="M146">
        <f t="shared" si="21"/>
        <v>1</v>
      </c>
      <c r="N146">
        <f t="shared" si="22"/>
        <v>0</v>
      </c>
      <c r="O146">
        <f t="shared" si="23"/>
        <v>0</v>
      </c>
      <c r="P146">
        <f t="shared" si="24"/>
        <v>0</v>
      </c>
      <c r="Q146">
        <f t="shared" si="25"/>
        <v>0</v>
      </c>
      <c r="R146">
        <f t="shared" si="26"/>
        <v>0</v>
      </c>
      <c r="S146">
        <f t="shared" si="27"/>
        <v>0</v>
      </c>
      <c r="T146">
        <f t="shared" si="29"/>
        <v>1</v>
      </c>
      <c r="U146">
        <f t="shared" si="28"/>
        <v>1</v>
      </c>
    </row>
    <row r="147" spans="1:21" x14ac:dyDescent="0.25">
      <c r="A147" s="2">
        <v>146</v>
      </c>
      <c r="B147" s="92">
        <v>1030</v>
      </c>
      <c r="C147" s="2" t="s">
        <v>186</v>
      </c>
      <c r="D147">
        <v>178.37</v>
      </c>
      <c r="E147" s="89" t="s">
        <v>582</v>
      </c>
      <c r="F147">
        <v>1187.1400000000001</v>
      </c>
      <c r="G147">
        <v>1355.92</v>
      </c>
      <c r="H147">
        <v>12862.36</v>
      </c>
      <c r="I147" s="80">
        <v>41842.550000000003</v>
      </c>
      <c r="J147">
        <v>471.8</v>
      </c>
      <c r="K147" s="80">
        <v>9286.7000000000007</v>
      </c>
      <c r="L147">
        <f t="shared" si="20"/>
        <v>0</v>
      </c>
      <c r="M147">
        <f t="shared" si="21"/>
        <v>1</v>
      </c>
      <c r="N147">
        <f t="shared" si="22"/>
        <v>0</v>
      </c>
      <c r="O147">
        <f t="shared" si="23"/>
        <v>0</v>
      </c>
      <c r="P147">
        <f t="shared" si="24"/>
        <v>0</v>
      </c>
      <c r="Q147">
        <f t="shared" si="25"/>
        <v>0</v>
      </c>
      <c r="R147">
        <f t="shared" si="26"/>
        <v>0</v>
      </c>
      <c r="S147">
        <f t="shared" si="27"/>
        <v>0</v>
      </c>
      <c r="T147">
        <f t="shared" si="29"/>
        <v>1</v>
      </c>
      <c r="U147">
        <f t="shared" si="28"/>
        <v>1</v>
      </c>
    </row>
    <row r="148" spans="1:21" x14ac:dyDescent="0.25">
      <c r="A148" s="2">
        <v>147</v>
      </c>
      <c r="B148" s="92">
        <v>1030</v>
      </c>
      <c r="C148" s="2" t="s">
        <v>188</v>
      </c>
      <c r="D148">
        <v>211.24</v>
      </c>
      <c r="E148" s="89" t="s">
        <v>582</v>
      </c>
      <c r="F148">
        <v>484.14</v>
      </c>
      <c r="G148">
        <v>1649.86</v>
      </c>
      <c r="H148">
        <v>8651.83</v>
      </c>
      <c r="I148" s="80">
        <v>36126.080000000002</v>
      </c>
      <c r="J148">
        <v>576.46</v>
      </c>
      <c r="K148" s="89" t="s">
        <v>582</v>
      </c>
      <c r="L148">
        <f t="shared" si="20"/>
        <v>0</v>
      </c>
      <c r="M148">
        <f t="shared" si="21"/>
        <v>1</v>
      </c>
      <c r="N148">
        <f t="shared" si="22"/>
        <v>0</v>
      </c>
      <c r="O148">
        <f t="shared" si="23"/>
        <v>0</v>
      </c>
      <c r="P148">
        <f t="shared" si="24"/>
        <v>0</v>
      </c>
      <c r="Q148">
        <f t="shared" si="25"/>
        <v>0</v>
      </c>
      <c r="R148">
        <f t="shared" si="26"/>
        <v>0</v>
      </c>
      <c r="S148">
        <f t="shared" si="27"/>
        <v>1</v>
      </c>
      <c r="T148">
        <f t="shared" si="29"/>
        <v>2</v>
      </c>
      <c r="U148">
        <f t="shared" si="28"/>
        <v>1</v>
      </c>
    </row>
    <row r="149" spans="1:21" x14ac:dyDescent="0.25">
      <c r="A149" s="2">
        <v>148</v>
      </c>
      <c r="B149" s="2">
        <v>1030</v>
      </c>
      <c r="C149" s="2" t="s">
        <v>182</v>
      </c>
      <c r="D149" s="80">
        <v>13.14</v>
      </c>
      <c r="E149">
        <v>4354.9399999999996</v>
      </c>
      <c r="F149" t="s">
        <v>583</v>
      </c>
      <c r="G149">
        <v>345.98</v>
      </c>
      <c r="H149" t="s">
        <v>583</v>
      </c>
      <c r="I149">
        <v>4.22</v>
      </c>
      <c r="J149" t="s">
        <v>583</v>
      </c>
      <c r="K149" s="80">
        <v>0.72</v>
      </c>
      <c r="L149">
        <f t="shared" si="20"/>
        <v>0</v>
      </c>
      <c r="M149">
        <f t="shared" si="21"/>
        <v>0</v>
      </c>
      <c r="N149">
        <f t="shared" si="22"/>
        <v>0</v>
      </c>
      <c r="O149">
        <f t="shared" si="23"/>
        <v>0</v>
      </c>
      <c r="P149">
        <f t="shared" si="24"/>
        <v>0</v>
      </c>
      <c r="Q149">
        <f t="shared" si="25"/>
        <v>0</v>
      </c>
      <c r="R149">
        <f t="shared" si="26"/>
        <v>0</v>
      </c>
      <c r="S149">
        <f t="shared" si="27"/>
        <v>0</v>
      </c>
      <c r="T149">
        <f t="shared" si="29"/>
        <v>0</v>
      </c>
      <c r="U149">
        <f t="shared" si="28"/>
        <v>0</v>
      </c>
    </row>
    <row r="150" spans="1:21" x14ac:dyDescent="0.25">
      <c r="A150" s="2">
        <v>149</v>
      </c>
      <c r="B150" s="2">
        <v>1030</v>
      </c>
      <c r="C150" s="2" t="s">
        <v>184</v>
      </c>
      <c r="D150">
        <v>81.8</v>
      </c>
      <c r="E150" s="80">
        <v>134554.09</v>
      </c>
      <c r="F150">
        <v>84.26</v>
      </c>
      <c r="G150">
        <v>918.73</v>
      </c>
      <c r="H150">
        <v>1068.24</v>
      </c>
      <c r="I150" s="80">
        <v>14503.71</v>
      </c>
      <c r="J150">
        <v>206.93</v>
      </c>
      <c r="K150">
        <v>325.52</v>
      </c>
      <c r="L150">
        <f t="shared" si="20"/>
        <v>0</v>
      </c>
      <c r="M150">
        <f t="shared" si="21"/>
        <v>0</v>
      </c>
      <c r="N150">
        <f t="shared" si="22"/>
        <v>0</v>
      </c>
      <c r="O150">
        <f t="shared" si="23"/>
        <v>0</v>
      </c>
      <c r="P150">
        <f t="shared" si="24"/>
        <v>0</v>
      </c>
      <c r="Q150">
        <f t="shared" si="25"/>
        <v>0</v>
      </c>
      <c r="R150">
        <f t="shared" si="26"/>
        <v>0</v>
      </c>
      <c r="S150">
        <f t="shared" si="27"/>
        <v>0</v>
      </c>
      <c r="T150">
        <f t="shared" si="29"/>
        <v>0</v>
      </c>
      <c r="U150">
        <f t="shared" si="28"/>
        <v>0</v>
      </c>
    </row>
    <row r="151" spans="1:21" x14ac:dyDescent="0.25">
      <c r="A151" s="2">
        <v>150</v>
      </c>
      <c r="B151" s="92">
        <v>1030</v>
      </c>
      <c r="C151" s="2" t="s">
        <v>187</v>
      </c>
      <c r="D151">
        <v>149.84</v>
      </c>
      <c r="E151" s="89" t="s">
        <v>582</v>
      </c>
      <c r="F151">
        <v>343.38</v>
      </c>
      <c r="G151">
        <v>991.24</v>
      </c>
      <c r="H151">
        <v>6673.88</v>
      </c>
      <c r="I151" s="80">
        <v>24560.07</v>
      </c>
      <c r="J151">
        <v>290.83</v>
      </c>
      <c r="K151">
        <v>4218.3599999999997</v>
      </c>
      <c r="L151">
        <f t="shared" si="20"/>
        <v>0</v>
      </c>
      <c r="M151">
        <f t="shared" si="21"/>
        <v>1</v>
      </c>
      <c r="N151">
        <f t="shared" si="22"/>
        <v>0</v>
      </c>
      <c r="O151">
        <f t="shared" si="23"/>
        <v>0</v>
      </c>
      <c r="P151">
        <f t="shared" si="24"/>
        <v>0</v>
      </c>
      <c r="Q151">
        <f t="shared" si="25"/>
        <v>0</v>
      </c>
      <c r="R151">
        <f t="shared" si="26"/>
        <v>0</v>
      </c>
      <c r="S151">
        <f t="shared" si="27"/>
        <v>0</v>
      </c>
      <c r="T151">
        <f t="shared" si="29"/>
        <v>1</v>
      </c>
      <c r="U151">
        <f t="shared" si="28"/>
        <v>1</v>
      </c>
    </row>
    <row r="152" spans="1:21" x14ac:dyDescent="0.25">
      <c r="A152" s="2">
        <v>151</v>
      </c>
      <c r="B152" s="2">
        <v>1030</v>
      </c>
      <c r="C152" s="2" t="s">
        <v>189</v>
      </c>
      <c r="D152">
        <v>73.94</v>
      </c>
      <c r="E152" s="80">
        <v>49116.49</v>
      </c>
      <c r="F152">
        <v>69.930000000000007</v>
      </c>
      <c r="G152">
        <v>702.25</v>
      </c>
      <c r="H152">
        <v>1369.94</v>
      </c>
      <c r="I152" s="80">
        <v>11936.39</v>
      </c>
      <c r="J152">
        <v>183.9</v>
      </c>
      <c r="K152">
        <v>1908.79</v>
      </c>
      <c r="L152">
        <f t="shared" si="20"/>
        <v>0</v>
      </c>
      <c r="M152">
        <f t="shared" si="21"/>
        <v>0</v>
      </c>
      <c r="N152">
        <f t="shared" si="22"/>
        <v>0</v>
      </c>
      <c r="O152">
        <f t="shared" si="23"/>
        <v>0</v>
      </c>
      <c r="P152">
        <f t="shared" si="24"/>
        <v>0</v>
      </c>
      <c r="Q152">
        <f t="shared" si="25"/>
        <v>0</v>
      </c>
      <c r="R152">
        <f t="shared" si="26"/>
        <v>0</v>
      </c>
      <c r="S152">
        <f t="shared" si="27"/>
        <v>0</v>
      </c>
      <c r="T152">
        <f t="shared" si="29"/>
        <v>0</v>
      </c>
      <c r="U152">
        <f t="shared" si="28"/>
        <v>0</v>
      </c>
    </row>
    <row r="153" spans="1:21" x14ac:dyDescent="0.25">
      <c r="A153" s="2">
        <v>152</v>
      </c>
      <c r="B153" s="92" t="s">
        <v>594</v>
      </c>
      <c r="C153" s="2" t="s">
        <v>162</v>
      </c>
      <c r="D153">
        <v>113.57</v>
      </c>
      <c r="E153" s="89" t="s">
        <v>582</v>
      </c>
      <c r="F153">
        <v>11.13</v>
      </c>
      <c r="G153">
        <v>1063.9000000000001</v>
      </c>
      <c r="H153">
        <v>31.35</v>
      </c>
      <c r="I153">
        <v>164.37</v>
      </c>
      <c r="J153">
        <v>183.9</v>
      </c>
      <c r="K153">
        <v>53.67</v>
      </c>
      <c r="L153">
        <f t="shared" si="20"/>
        <v>0</v>
      </c>
      <c r="M153">
        <f t="shared" si="21"/>
        <v>1</v>
      </c>
      <c r="N153">
        <f t="shared" si="22"/>
        <v>0</v>
      </c>
      <c r="O153">
        <f t="shared" si="23"/>
        <v>0</v>
      </c>
      <c r="P153">
        <f t="shared" si="24"/>
        <v>0</v>
      </c>
      <c r="Q153">
        <f t="shared" si="25"/>
        <v>0</v>
      </c>
      <c r="R153">
        <f t="shared" si="26"/>
        <v>0</v>
      </c>
      <c r="S153">
        <f t="shared" si="27"/>
        <v>0</v>
      </c>
      <c r="T153">
        <f t="shared" si="29"/>
        <v>1</v>
      </c>
      <c r="U153">
        <f t="shared" si="28"/>
        <v>1</v>
      </c>
    </row>
    <row r="154" spans="1:21" x14ac:dyDescent="0.25">
      <c r="A154" s="2">
        <v>153</v>
      </c>
      <c r="B154" s="92" t="s">
        <v>594</v>
      </c>
      <c r="C154" s="2" t="s">
        <v>170</v>
      </c>
      <c r="D154">
        <v>170.19</v>
      </c>
      <c r="E154" s="89" t="s">
        <v>582</v>
      </c>
      <c r="F154">
        <v>631.26</v>
      </c>
      <c r="G154">
        <v>918.73</v>
      </c>
      <c r="H154">
        <v>4233.47</v>
      </c>
      <c r="I154" s="80">
        <v>21113.68</v>
      </c>
      <c r="J154">
        <v>245.16</v>
      </c>
      <c r="K154">
        <v>1715.66</v>
      </c>
      <c r="L154">
        <f t="shared" si="20"/>
        <v>0</v>
      </c>
      <c r="M154">
        <f t="shared" si="21"/>
        <v>1</v>
      </c>
      <c r="N154">
        <f t="shared" si="22"/>
        <v>0</v>
      </c>
      <c r="O154">
        <f t="shared" si="23"/>
        <v>0</v>
      </c>
      <c r="P154">
        <f t="shared" si="24"/>
        <v>0</v>
      </c>
      <c r="Q154">
        <f t="shared" si="25"/>
        <v>0</v>
      </c>
      <c r="R154">
        <f t="shared" si="26"/>
        <v>0</v>
      </c>
      <c r="S154">
        <f t="shared" si="27"/>
        <v>0</v>
      </c>
      <c r="T154">
        <f t="shared" si="29"/>
        <v>1</v>
      </c>
      <c r="U154">
        <f t="shared" si="28"/>
        <v>1</v>
      </c>
    </row>
    <row r="155" spans="1:21" x14ac:dyDescent="0.25">
      <c r="A155" s="2">
        <v>154</v>
      </c>
      <c r="B155" s="92" t="s">
        <v>594</v>
      </c>
      <c r="C155" s="2" t="s">
        <v>178</v>
      </c>
      <c r="D155">
        <v>546.24</v>
      </c>
      <c r="E155" s="89" t="s">
        <v>582</v>
      </c>
      <c r="F155" s="80">
        <v>4313.12</v>
      </c>
      <c r="G155">
        <v>1355.92</v>
      </c>
      <c r="H155" s="80">
        <v>24886.74</v>
      </c>
      <c r="I155" s="80">
        <v>32244.06</v>
      </c>
      <c r="J155">
        <v>381.61</v>
      </c>
      <c r="K155">
        <v>4459.8599999999997</v>
      </c>
      <c r="L155">
        <f t="shared" si="20"/>
        <v>0</v>
      </c>
      <c r="M155">
        <f t="shared" si="21"/>
        <v>1</v>
      </c>
      <c r="N155">
        <f t="shared" si="22"/>
        <v>0</v>
      </c>
      <c r="O155">
        <f t="shared" si="23"/>
        <v>0</v>
      </c>
      <c r="P155">
        <f t="shared" si="24"/>
        <v>0</v>
      </c>
      <c r="Q155">
        <f t="shared" si="25"/>
        <v>0</v>
      </c>
      <c r="R155">
        <f t="shared" si="26"/>
        <v>0</v>
      </c>
      <c r="S155">
        <f t="shared" si="27"/>
        <v>0</v>
      </c>
      <c r="T155">
        <f t="shared" si="29"/>
        <v>1</v>
      </c>
      <c r="U155">
        <f t="shared" si="28"/>
        <v>1</v>
      </c>
    </row>
    <row r="156" spans="1:21" x14ac:dyDescent="0.25">
      <c r="A156" s="2">
        <v>155</v>
      </c>
      <c r="B156" s="92" t="s">
        <v>594</v>
      </c>
      <c r="C156" s="2" t="s">
        <v>163</v>
      </c>
      <c r="D156">
        <v>269.37</v>
      </c>
      <c r="E156" s="89" t="s">
        <v>582</v>
      </c>
      <c r="F156">
        <v>289.77</v>
      </c>
      <c r="G156">
        <v>1136.71</v>
      </c>
      <c r="H156">
        <v>3548.71</v>
      </c>
      <c r="I156" s="80">
        <v>16002.82</v>
      </c>
      <c r="J156">
        <v>366.52</v>
      </c>
      <c r="K156" s="80">
        <v>8381.66</v>
      </c>
      <c r="L156">
        <f t="shared" si="20"/>
        <v>0</v>
      </c>
      <c r="M156">
        <f t="shared" si="21"/>
        <v>1</v>
      </c>
      <c r="N156">
        <f t="shared" si="22"/>
        <v>0</v>
      </c>
      <c r="O156">
        <f t="shared" si="23"/>
        <v>0</v>
      </c>
      <c r="P156">
        <f t="shared" si="24"/>
        <v>0</v>
      </c>
      <c r="Q156">
        <f t="shared" si="25"/>
        <v>0</v>
      </c>
      <c r="R156">
        <f t="shared" si="26"/>
        <v>0</v>
      </c>
      <c r="S156">
        <f t="shared" si="27"/>
        <v>0</v>
      </c>
      <c r="T156">
        <f t="shared" si="29"/>
        <v>1</v>
      </c>
      <c r="U156">
        <f t="shared" si="28"/>
        <v>1</v>
      </c>
    </row>
    <row r="157" spans="1:21" x14ac:dyDescent="0.25">
      <c r="A157" s="2">
        <v>156</v>
      </c>
      <c r="B157" s="92" t="s">
        <v>594</v>
      </c>
      <c r="C157" s="2" t="s">
        <v>181</v>
      </c>
      <c r="D157">
        <v>97.62</v>
      </c>
      <c r="E157" s="89" t="s">
        <v>582</v>
      </c>
      <c r="F157">
        <v>5.41</v>
      </c>
      <c r="G157">
        <v>774.22</v>
      </c>
      <c r="H157">
        <v>332.9</v>
      </c>
      <c r="I157">
        <v>1340.36</v>
      </c>
      <c r="J157">
        <v>229.89</v>
      </c>
      <c r="K157">
        <v>469.15</v>
      </c>
      <c r="L157">
        <f t="shared" si="20"/>
        <v>0</v>
      </c>
      <c r="M157">
        <f t="shared" si="21"/>
        <v>1</v>
      </c>
      <c r="N157">
        <f t="shared" si="22"/>
        <v>0</v>
      </c>
      <c r="O157">
        <f t="shared" si="23"/>
        <v>0</v>
      </c>
      <c r="P157">
        <f t="shared" si="24"/>
        <v>0</v>
      </c>
      <c r="Q157">
        <f t="shared" si="25"/>
        <v>0</v>
      </c>
      <c r="R157">
        <f t="shared" si="26"/>
        <v>0</v>
      </c>
      <c r="S157">
        <f t="shared" si="27"/>
        <v>0</v>
      </c>
      <c r="T157">
        <f t="shared" si="29"/>
        <v>1</v>
      </c>
      <c r="U157">
        <f t="shared" si="28"/>
        <v>1</v>
      </c>
    </row>
    <row r="158" spans="1:21" x14ac:dyDescent="0.25">
      <c r="A158" s="2">
        <v>157</v>
      </c>
      <c r="B158" s="2" t="s">
        <v>594</v>
      </c>
      <c r="C158" s="2" t="s">
        <v>183</v>
      </c>
      <c r="D158">
        <v>113.57</v>
      </c>
      <c r="E158" s="80">
        <v>28411.7</v>
      </c>
      <c r="F158">
        <v>943.67</v>
      </c>
      <c r="G158">
        <v>846.39</v>
      </c>
      <c r="H158">
        <v>11880.9</v>
      </c>
      <c r="I158" s="80">
        <v>27828.45</v>
      </c>
      <c r="J158">
        <v>358.97</v>
      </c>
      <c r="K158">
        <v>8033.75</v>
      </c>
      <c r="L158">
        <f t="shared" si="20"/>
        <v>0</v>
      </c>
      <c r="M158">
        <f t="shared" si="21"/>
        <v>0</v>
      </c>
      <c r="N158">
        <f t="shared" si="22"/>
        <v>0</v>
      </c>
      <c r="O158">
        <f t="shared" si="23"/>
        <v>0</v>
      </c>
      <c r="P158">
        <f t="shared" si="24"/>
        <v>0</v>
      </c>
      <c r="Q158">
        <f t="shared" si="25"/>
        <v>0</v>
      </c>
      <c r="R158">
        <f t="shared" si="26"/>
        <v>0</v>
      </c>
      <c r="S158">
        <f t="shared" si="27"/>
        <v>0</v>
      </c>
      <c r="T158">
        <f t="shared" si="29"/>
        <v>0</v>
      </c>
      <c r="U158">
        <f t="shared" si="28"/>
        <v>0</v>
      </c>
    </row>
    <row r="159" spans="1:21" x14ac:dyDescent="0.25">
      <c r="A159" s="2">
        <v>158</v>
      </c>
      <c r="B159" s="2" t="s">
        <v>594</v>
      </c>
      <c r="C159" s="2" t="s">
        <v>186</v>
      </c>
      <c r="D159">
        <v>145.79</v>
      </c>
      <c r="E159">
        <v>20324.330000000002</v>
      </c>
      <c r="F159">
        <v>1440.25</v>
      </c>
      <c r="G159">
        <v>918.73</v>
      </c>
      <c r="H159" s="80">
        <v>42731.62</v>
      </c>
      <c r="I159" s="80">
        <v>33826.99</v>
      </c>
      <c r="J159">
        <v>441.79</v>
      </c>
      <c r="K159" s="80">
        <v>18900.400000000001</v>
      </c>
      <c r="L159">
        <f t="shared" si="20"/>
        <v>0</v>
      </c>
      <c r="M159">
        <f t="shared" si="21"/>
        <v>0</v>
      </c>
      <c r="N159">
        <f t="shared" si="22"/>
        <v>0</v>
      </c>
      <c r="O159">
        <f t="shared" si="23"/>
        <v>0</v>
      </c>
      <c r="P159">
        <f t="shared" si="24"/>
        <v>0</v>
      </c>
      <c r="Q159">
        <f t="shared" si="25"/>
        <v>0</v>
      </c>
      <c r="R159">
        <f t="shared" si="26"/>
        <v>0</v>
      </c>
      <c r="S159">
        <f t="shared" si="27"/>
        <v>0</v>
      </c>
      <c r="T159">
        <f t="shared" si="29"/>
        <v>0</v>
      </c>
      <c r="U159">
        <f t="shared" si="28"/>
        <v>0</v>
      </c>
    </row>
    <row r="160" spans="1:21" x14ac:dyDescent="0.25">
      <c r="A160" s="2">
        <v>159</v>
      </c>
      <c r="B160" s="92" t="s">
        <v>594</v>
      </c>
      <c r="C160" s="2" t="s">
        <v>188</v>
      </c>
      <c r="D160">
        <v>162.04</v>
      </c>
      <c r="E160" s="89" t="s">
        <v>582</v>
      </c>
      <c r="F160">
        <v>620.29</v>
      </c>
      <c r="G160">
        <v>991.24</v>
      </c>
      <c r="H160">
        <v>6981.69</v>
      </c>
      <c r="I160" s="80">
        <v>22487.93</v>
      </c>
      <c r="J160">
        <v>381.61</v>
      </c>
      <c r="K160" s="80">
        <v>12559.55</v>
      </c>
      <c r="L160">
        <f t="shared" si="20"/>
        <v>0</v>
      </c>
      <c r="M160">
        <f t="shared" si="21"/>
        <v>1</v>
      </c>
      <c r="N160">
        <f t="shared" si="22"/>
        <v>0</v>
      </c>
      <c r="O160">
        <f t="shared" si="23"/>
        <v>0</v>
      </c>
      <c r="P160">
        <f t="shared" si="24"/>
        <v>0</v>
      </c>
      <c r="Q160">
        <f t="shared" si="25"/>
        <v>0</v>
      </c>
      <c r="R160">
        <f t="shared" si="26"/>
        <v>0</v>
      </c>
      <c r="S160">
        <f t="shared" si="27"/>
        <v>0</v>
      </c>
      <c r="T160">
        <f t="shared" si="29"/>
        <v>1</v>
      </c>
      <c r="U160">
        <f t="shared" si="28"/>
        <v>1</v>
      </c>
    </row>
    <row r="161" spans="1:21" x14ac:dyDescent="0.25">
      <c r="A161" s="2">
        <v>160</v>
      </c>
      <c r="B161" s="2" t="s">
        <v>594</v>
      </c>
      <c r="C161" s="2" t="s">
        <v>182</v>
      </c>
      <c r="D161">
        <v>35.369999999999997</v>
      </c>
      <c r="E161">
        <v>7785.95</v>
      </c>
      <c r="F161">
        <v>40.99</v>
      </c>
      <c r="G161">
        <v>240.74</v>
      </c>
      <c r="H161">
        <v>856.54</v>
      </c>
      <c r="I161" s="80">
        <v>7320.6</v>
      </c>
      <c r="J161">
        <v>75.12</v>
      </c>
      <c r="K161">
        <v>296.26</v>
      </c>
      <c r="L161">
        <f t="shared" si="20"/>
        <v>0</v>
      </c>
      <c r="M161">
        <f t="shared" si="21"/>
        <v>0</v>
      </c>
      <c r="N161">
        <f t="shared" si="22"/>
        <v>0</v>
      </c>
      <c r="O161">
        <f t="shared" si="23"/>
        <v>0</v>
      </c>
      <c r="P161">
        <f t="shared" si="24"/>
        <v>0</v>
      </c>
      <c r="Q161">
        <f t="shared" si="25"/>
        <v>0</v>
      </c>
      <c r="R161">
        <f t="shared" si="26"/>
        <v>0</v>
      </c>
      <c r="S161">
        <f t="shared" si="27"/>
        <v>0</v>
      </c>
      <c r="T161">
        <f t="shared" si="29"/>
        <v>0</v>
      </c>
      <c r="U161">
        <f t="shared" si="28"/>
        <v>0</v>
      </c>
    </row>
    <row r="162" spans="1:21" x14ac:dyDescent="0.25">
      <c r="A162" s="2">
        <v>161</v>
      </c>
      <c r="B162" s="2" t="s">
        <v>594</v>
      </c>
      <c r="C162" s="2" t="s">
        <v>184</v>
      </c>
      <c r="D162">
        <v>261.02</v>
      </c>
      <c r="E162">
        <v>15064.17</v>
      </c>
      <c r="F162">
        <v>289.91000000000003</v>
      </c>
      <c r="G162">
        <v>702.25</v>
      </c>
      <c r="H162">
        <v>9958.98</v>
      </c>
      <c r="I162" s="80">
        <v>27409.32</v>
      </c>
      <c r="J162">
        <v>275.63</v>
      </c>
      <c r="K162">
        <v>2929.34</v>
      </c>
      <c r="L162">
        <f t="shared" si="20"/>
        <v>0</v>
      </c>
      <c r="M162">
        <f t="shared" si="21"/>
        <v>0</v>
      </c>
      <c r="N162">
        <f t="shared" si="22"/>
        <v>0</v>
      </c>
      <c r="O162">
        <f t="shared" si="23"/>
        <v>0</v>
      </c>
      <c r="P162">
        <f t="shared" si="24"/>
        <v>0</v>
      </c>
      <c r="Q162">
        <f t="shared" si="25"/>
        <v>0</v>
      </c>
      <c r="R162">
        <f t="shared" si="26"/>
        <v>0</v>
      </c>
      <c r="S162">
        <f t="shared" si="27"/>
        <v>0</v>
      </c>
      <c r="T162">
        <f t="shared" si="29"/>
        <v>0</v>
      </c>
      <c r="U162">
        <f t="shared" si="28"/>
        <v>0</v>
      </c>
    </row>
    <row r="163" spans="1:21" x14ac:dyDescent="0.25">
      <c r="A163" s="2">
        <v>162</v>
      </c>
      <c r="B163" s="2" t="s">
        <v>594</v>
      </c>
      <c r="C163" s="2" t="s">
        <v>187</v>
      </c>
      <c r="D163">
        <v>1867.97</v>
      </c>
      <c r="E163">
        <v>16712.8</v>
      </c>
      <c r="F163">
        <v>775.16</v>
      </c>
      <c r="G163">
        <v>702.25</v>
      </c>
      <c r="H163" s="80">
        <v>27086.15</v>
      </c>
      <c r="I163" s="80">
        <v>26337.77</v>
      </c>
      <c r="J163">
        <v>366.52</v>
      </c>
      <c r="K163" s="80">
        <v>11674.13</v>
      </c>
      <c r="L163">
        <f t="shared" si="20"/>
        <v>0</v>
      </c>
      <c r="M163">
        <f t="shared" si="21"/>
        <v>0</v>
      </c>
      <c r="N163">
        <f t="shared" si="22"/>
        <v>0</v>
      </c>
      <c r="O163">
        <f t="shared" si="23"/>
        <v>0</v>
      </c>
      <c r="P163">
        <f t="shared" si="24"/>
        <v>0</v>
      </c>
      <c r="Q163">
        <f t="shared" si="25"/>
        <v>0</v>
      </c>
      <c r="R163">
        <f t="shared" si="26"/>
        <v>0</v>
      </c>
      <c r="S163">
        <f t="shared" si="27"/>
        <v>0</v>
      </c>
      <c r="T163">
        <f t="shared" si="29"/>
        <v>0</v>
      </c>
      <c r="U163">
        <f t="shared" si="28"/>
        <v>0</v>
      </c>
    </row>
    <row r="164" spans="1:21" x14ac:dyDescent="0.25">
      <c r="A164" s="2">
        <v>163</v>
      </c>
      <c r="B164" s="2" t="s">
        <v>594</v>
      </c>
      <c r="C164" s="2" t="s">
        <v>189</v>
      </c>
      <c r="D164">
        <v>567.9</v>
      </c>
      <c r="E164">
        <v>14851.34</v>
      </c>
      <c r="F164">
        <v>46.04</v>
      </c>
      <c r="G164">
        <v>702.25</v>
      </c>
      <c r="H164">
        <v>6498.94</v>
      </c>
      <c r="I164" s="80">
        <v>21833.87</v>
      </c>
      <c r="J164">
        <v>290.83</v>
      </c>
      <c r="K164" s="80">
        <v>10343.25</v>
      </c>
      <c r="L164">
        <f t="shared" si="20"/>
        <v>0</v>
      </c>
      <c r="M164">
        <f t="shared" si="21"/>
        <v>0</v>
      </c>
      <c r="N164">
        <f t="shared" si="22"/>
        <v>0</v>
      </c>
      <c r="O164">
        <f t="shared" si="23"/>
        <v>0</v>
      </c>
      <c r="P164">
        <f t="shared" si="24"/>
        <v>0</v>
      </c>
      <c r="Q164">
        <f t="shared" si="25"/>
        <v>0</v>
      </c>
      <c r="R164">
        <f t="shared" si="26"/>
        <v>0</v>
      </c>
      <c r="S164">
        <f t="shared" si="27"/>
        <v>0</v>
      </c>
      <c r="T164">
        <f t="shared" si="29"/>
        <v>0</v>
      </c>
      <c r="U164">
        <f t="shared" si="28"/>
        <v>0</v>
      </c>
    </row>
    <row r="165" spans="1:21" x14ac:dyDescent="0.25">
      <c r="A165" s="2">
        <v>164</v>
      </c>
      <c r="B165" s="92">
        <v>1036</v>
      </c>
      <c r="C165" s="2" t="s">
        <v>162</v>
      </c>
      <c r="D165">
        <v>117.57</v>
      </c>
      <c r="E165" s="89" t="s">
        <v>582</v>
      </c>
      <c r="F165">
        <v>10.7</v>
      </c>
      <c r="G165">
        <v>1723.61</v>
      </c>
      <c r="H165">
        <v>20.88</v>
      </c>
      <c r="I165">
        <v>12.33</v>
      </c>
      <c r="J165">
        <v>252.79</v>
      </c>
      <c r="K165">
        <v>30.46</v>
      </c>
      <c r="L165">
        <f t="shared" si="20"/>
        <v>0</v>
      </c>
      <c r="M165">
        <f t="shared" si="21"/>
        <v>1</v>
      </c>
      <c r="N165">
        <f t="shared" si="22"/>
        <v>0</v>
      </c>
      <c r="O165">
        <f t="shared" si="23"/>
        <v>0</v>
      </c>
      <c r="P165">
        <f t="shared" si="24"/>
        <v>0</v>
      </c>
      <c r="Q165">
        <f t="shared" si="25"/>
        <v>0</v>
      </c>
      <c r="R165">
        <f t="shared" si="26"/>
        <v>0</v>
      </c>
      <c r="S165">
        <f t="shared" si="27"/>
        <v>0</v>
      </c>
      <c r="T165">
        <f t="shared" si="29"/>
        <v>1</v>
      </c>
      <c r="U165">
        <f t="shared" si="28"/>
        <v>1</v>
      </c>
    </row>
    <row r="166" spans="1:21" x14ac:dyDescent="0.25">
      <c r="A166" s="2">
        <v>165</v>
      </c>
      <c r="B166" s="2">
        <v>1036</v>
      </c>
      <c r="C166" s="2" t="s">
        <v>170</v>
      </c>
      <c r="D166">
        <v>119.04</v>
      </c>
      <c r="E166" s="80">
        <v>46522.77</v>
      </c>
      <c r="F166">
        <v>264.37</v>
      </c>
      <c r="G166">
        <v>521.25</v>
      </c>
      <c r="H166">
        <v>3411.02</v>
      </c>
      <c r="I166" s="80">
        <v>16827.169999999998</v>
      </c>
      <c r="J166">
        <v>356.34</v>
      </c>
      <c r="K166">
        <v>2253.92</v>
      </c>
      <c r="L166">
        <f t="shared" si="20"/>
        <v>0</v>
      </c>
      <c r="M166">
        <f t="shared" si="21"/>
        <v>0</v>
      </c>
      <c r="N166">
        <f t="shared" si="22"/>
        <v>0</v>
      </c>
      <c r="O166">
        <f t="shared" si="23"/>
        <v>0</v>
      </c>
      <c r="P166">
        <f t="shared" si="24"/>
        <v>0</v>
      </c>
      <c r="Q166">
        <f t="shared" si="25"/>
        <v>0</v>
      </c>
      <c r="R166">
        <f t="shared" si="26"/>
        <v>0</v>
      </c>
      <c r="S166">
        <f t="shared" si="27"/>
        <v>0</v>
      </c>
      <c r="T166">
        <f t="shared" si="29"/>
        <v>0</v>
      </c>
      <c r="U166">
        <f t="shared" si="28"/>
        <v>0</v>
      </c>
    </row>
    <row r="167" spans="1:21" x14ac:dyDescent="0.25">
      <c r="A167" s="2">
        <v>166</v>
      </c>
      <c r="B167" s="2">
        <v>1036</v>
      </c>
      <c r="C167" s="2" t="s">
        <v>178</v>
      </c>
      <c r="D167">
        <v>163.49</v>
      </c>
      <c r="E167" s="80">
        <v>55677.13</v>
      </c>
      <c r="F167">
        <v>1168.9000000000001</v>
      </c>
      <c r="G167">
        <v>739.73</v>
      </c>
      <c r="H167">
        <v>11635.83</v>
      </c>
      <c r="I167" s="80">
        <v>18909.55</v>
      </c>
      <c r="J167">
        <v>462.97</v>
      </c>
      <c r="K167">
        <v>4189.95</v>
      </c>
      <c r="L167">
        <f t="shared" si="20"/>
        <v>0</v>
      </c>
      <c r="M167">
        <f t="shared" si="21"/>
        <v>0</v>
      </c>
      <c r="N167">
        <f t="shared" si="22"/>
        <v>0</v>
      </c>
      <c r="O167">
        <f t="shared" si="23"/>
        <v>0</v>
      </c>
      <c r="P167">
        <f t="shared" si="24"/>
        <v>0</v>
      </c>
      <c r="Q167">
        <f t="shared" si="25"/>
        <v>0</v>
      </c>
      <c r="R167">
        <f t="shared" si="26"/>
        <v>0</v>
      </c>
      <c r="S167">
        <f t="shared" si="27"/>
        <v>0</v>
      </c>
      <c r="T167">
        <f t="shared" si="29"/>
        <v>0</v>
      </c>
      <c r="U167">
        <f t="shared" si="28"/>
        <v>0</v>
      </c>
    </row>
    <row r="168" spans="1:21" x14ac:dyDescent="0.25">
      <c r="A168" s="2">
        <v>167</v>
      </c>
      <c r="B168" s="2">
        <v>1036</v>
      </c>
      <c r="C168" s="2" t="s">
        <v>163</v>
      </c>
      <c r="D168">
        <v>193.79</v>
      </c>
      <c r="E168" s="80">
        <v>66428.11</v>
      </c>
      <c r="F168">
        <v>842.43</v>
      </c>
      <c r="G168">
        <v>1065.05</v>
      </c>
      <c r="H168">
        <v>11796.02</v>
      </c>
      <c r="I168" s="80">
        <v>17905.78</v>
      </c>
      <c r="J168">
        <v>644.86</v>
      </c>
      <c r="K168" s="80">
        <v>14430.33</v>
      </c>
      <c r="L168">
        <f t="shared" si="20"/>
        <v>0</v>
      </c>
      <c r="M168">
        <f t="shared" si="21"/>
        <v>0</v>
      </c>
      <c r="N168">
        <f t="shared" si="22"/>
        <v>0</v>
      </c>
      <c r="O168">
        <f t="shared" si="23"/>
        <v>0</v>
      </c>
      <c r="P168">
        <f t="shared" si="24"/>
        <v>0</v>
      </c>
      <c r="Q168">
        <f t="shared" si="25"/>
        <v>0</v>
      </c>
      <c r="R168">
        <f t="shared" si="26"/>
        <v>0</v>
      </c>
      <c r="S168">
        <f t="shared" si="27"/>
        <v>0</v>
      </c>
      <c r="T168">
        <f t="shared" si="29"/>
        <v>0</v>
      </c>
      <c r="U168">
        <f t="shared" si="28"/>
        <v>0</v>
      </c>
    </row>
    <row r="169" spans="1:21" x14ac:dyDescent="0.25">
      <c r="A169" s="2">
        <v>168</v>
      </c>
      <c r="B169" s="2">
        <v>1036</v>
      </c>
      <c r="C169" s="2" t="s">
        <v>181</v>
      </c>
      <c r="D169">
        <v>86.68</v>
      </c>
      <c r="E169" s="80">
        <v>55239.71</v>
      </c>
      <c r="F169">
        <v>10.57</v>
      </c>
      <c r="G169">
        <v>500.16</v>
      </c>
      <c r="H169">
        <v>234.91</v>
      </c>
      <c r="I169">
        <v>321.83</v>
      </c>
      <c r="J169">
        <v>279.87</v>
      </c>
      <c r="K169">
        <v>156.47</v>
      </c>
      <c r="L169">
        <f t="shared" si="20"/>
        <v>0</v>
      </c>
      <c r="M169">
        <f t="shared" si="21"/>
        <v>0</v>
      </c>
      <c r="N169">
        <f t="shared" si="22"/>
        <v>0</v>
      </c>
      <c r="O169">
        <f t="shared" si="23"/>
        <v>0</v>
      </c>
      <c r="P169">
        <f t="shared" si="24"/>
        <v>0</v>
      </c>
      <c r="Q169">
        <f t="shared" si="25"/>
        <v>0</v>
      </c>
      <c r="R169">
        <f t="shared" si="26"/>
        <v>0</v>
      </c>
      <c r="S169">
        <f t="shared" si="27"/>
        <v>0</v>
      </c>
      <c r="T169">
        <f t="shared" si="29"/>
        <v>0</v>
      </c>
      <c r="U169">
        <f t="shared" si="28"/>
        <v>0</v>
      </c>
    </row>
    <row r="170" spans="1:21" x14ac:dyDescent="0.25">
      <c r="A170" s="2">
        <v>169</v>
      </c>
      <c r="B170" s="2">
        <v>1036</v>
      </c>
      <c r="C170" s="2" t="s">
        <v>183</v>
      </c>
      <c r="D170">
        <v>171.02</v>
      </c>
      <c r="E170" s="80">
        <v>53794.48</v>
      </c>
      <c r="F170">
        <v>299.49</v>
      </c>
      <c r="G170">
        <v>695.01</v>
      </c>
      <c r="H170">
        <v>4015.03</v>
      </c>
      <c r="I170" s="80">
        <v>18647.07</v>
      </c>
      <c r="J170">
        <v>432.55</v>
      </c>
      <c r="K170">
        <v>4289.07</v>
      </c>
      <c r="L170">
        <f t="shared" si="20"/>
        <v>0</v>
      </c>
      <c r="M170">
        <f t="shared" si="21"/>
        <v>0</v>
      </c>
      <c r="N170">
        <f t="shared" si="22"/>
        <v>0</v>
      </c>
      <c r="O170">
        <f t="shared" si="23"/>
        <v>0</v>
      </c>
      <c r="P170">
        <f t="shared" si="24"/>
        <v>0</v>
      </c>
      <c r="Q170">
        <f t="shared" si="25"/>
        <v>0</v>
      </c>
      <c r="R170">
        <f t="shared" si="26"/>
        <v>0</v>
      </c>
      <c r="S170">
        <f t="shared" si="27"/>
        <v>0</v>
      </c>
      <c r="T170">
        <f t="shared" si="29"/>
        <v>0</v>
      </c>
      <c r="U170">
        <f t="shared" si="28"/>
        <v>0</v>
      </c>
    </row>
    <row r="171" spans="1:21" x14ac:dyDescent="0.25">
      <c r="A171" s="2">
        <v>170</v>
      </c>
      <c r="B171" s="2">
        <v>1036</v>
      </c>
      <c r="C171" s="2" t="s">
        <v>186</v>
      </c>
      <c r="D171">
        <v>178.58</v>
      </c>
      <c r="E171" s="80">
        <v>54149.95</v>
      </c>
      <c r="F171">
        <v>1245.1099999999999</v>
      </c>
      <c r="G171">
        <v>853.55</v>
      </c>
      <c r="H171">
        <v>12950.79</v>
      </c>
      <c r="I171" s="80">
        <v>19589.12</v>
      </c>
      <c r="J171">
        <v>569.19000000000005</v>
      </c>
      <c r="K171">
        <v>7611.19</v>
      </c>
      <c r="L171">
        <f t="shared" si="20"/>
        <v>0</v>
      </c>
      <c r="M171">
        <f t="shared" si="21"/>
        <v>0</v>
      </c>
      <c r="N171">
        <f t="shared" si="22"/>
        <v>0</v>
      </c>
      <c r="O171">
        <f t="shared" si="23"/>
        <v>0</v>
      </c>
      <c r="P171">
        <f t="shared" si="24"/>
        <v>0</v>
      </c>
      <c r="Q171">
        <f t="shared" si="25"/>
        <v>0</v>
      </c>
      <c r="R171">
        <f t="shared" si="26"/>
        <v>0</v>
      </c>
      <c r="S171">
        <f t="shared" si="27"/>
        <v>0</v>
      </c>
      <c r="T171">
        <f t="shared" si="29"/>
        <v>0</v>
      </c>
      <c r="U171">
        <f t="shared" si="28"/>
        <v>0</v>
      </c>
    </row>
    <row r="172" spans="1:21" x14ac:dyDescent="0.25">
      <c r="A172" s="2">
        <v>171</v>
      </c>
      <c r="B172" s="2">
        <v>1036</v>
      </c>
      <c r="C172" s="2" t="s">
        <v>188</v>
      </c>
      <c r="D172">
        <v>186.17</v>
      </c>
      <c r="E172" s="80">
        <v>66573.850000000006</v>
      </c>
      <c r="F172">
        <v>71.650000000000006</v>
      </c>
      <c r="G172">
        <v>807.69</v>
      </c>
      <c r="H172">
        <v>2719.64</v>
      </c>
      <c r="I172" s="80">
        <v>14907.72</v>
      </c>
      <c r="J172">
        <v>546.46</v>
      </c>
      <c r="K172">
        <v>5137.62</v>
      </c>
      <c r="L172">
        <f t="shared" si="20"/>
        <v>0</v>
      </c>
      <c r="M172">
        <f t="shared" si="21"/>
        <v>0</v>
      </c>
      <c r="N172">
        <f t="shared" si="22"/>
        <v>0</v>
      </c>
      <c r="O172">
        <f t="shared" si="23"/>
        <v>0</v>
      </c>
      <c r="P172">
        <f t="shared" si="24"/>
        <v>0</v>
      </c>
      <c r="Q172">
        <f t="shared" si="25"/>
        <v>0</v>
      </c>
      <c r="R172">
        <f t="shared" si="26"/>
        <v>0</v>
      </c>
      <c r="S172">
        <f t="shared" si="27"/>
        <v>0</v>
      </c>
      <c r="T172">
        <f t="shared" si="29"/>
        <v>0</v>
      </c>
      <c r="U172">
        <f t="shared" si="28"/>
        <v>0</v>
      </c>
    </row>
    <row r="173" spans="1:21" x14ac:dyDescent="0.25">
      <c r="A173" s="2">
        <v>172</v>
      </c>
      <c r="B173" s="2">
        <v>1036</v>
      </c>
      <c r="C173" s="2" t="s">
        <v>182</v>
      </c>
      <c r="D173">
        <v>4.92</v>
      </c>
      <c r="E173">
        <v>4304.21</v>
      </c>
      <c r="F173" t="s">
        <v>583</v>
      </c>
      <c r="G173">
        <v>279.33999999999997</v>
      </c>
      <c r="H173" t="s">
        <v>583</v>
      </c>
      <c r="I173">
        <v>29.8</v>
      </c>
      <c r="J173" t="s">
        <v>583</v>
      </c>
      <c r="K173">
        <v>2.17</v>
      </c>
      <c r="L173">
        <f t="shared" si="20"/>
        <v>0</v>
      </c>
      <c r="M173">
        <f t="shared" si="21"/>
        <v>0</v>
      </c>
      <c r="N173">
        <f t="shared" si="22"/>
        <v>0</v>
      </c>
      <c r="O173">
        <f t="shared" si="23"/>
        <v>0</v>
      </c>
      <c r="P173">
        <f t="shared" si="24"/>
        <v>0</v>
      </c>
      <c r="Q173">
        <f t="shared" si="25"/>
        <v>0</v>
      </c>
      <c r="R173">
        <f t="shared" si="26"/>
        <v>0</v>
      </c>
      <c r="S173">
        <f t="shared" si="27"/>
        <v>0</v>
      </c>
      <c r="T173">
        <f t="shared" si="29"/>
        <v>0</v>
      </c>
      <c r="U173">
        <f t="shared" si="28"/>
        <v>0</v>
      </c>
    </row>
    <row r="174" spans="1:21" x14ac:dyDescent="0.25">
      <c r="A174" s="2">
        <v>173</v>
      </c>
      <c r="B174" s="2">
        <v>1036</v>
      </c>
      <c r="C174" s="2" t="s">
        <v>184</v>
      </c>
      <c r="D174">
        <v>97.36</v>
      </c>
      <c r="E174" s="80">
        <v>33773.120000000003</v>
      </c>
      <c r="F174">
        <v>250.67</v>
      </c>
      <c r="G174">
        <v>563.87</v>
      </c>
      <c r="H174">
        <v>1121.94</v>
      </c>
      <c r="I174" s="80">
        <v>14342.28</v>
      </c>
      <c r="J174">
        <v>249.18</v>
      </c>
      <c r="K174">
        <v>1792.81</v>
      </c>
      <c r="L174">
        <f t="shared" si="20"/>
        <v>0</v>
      </c>
      <c r="M174">
        <f t="shared" si="21"/>
        <v>0</v>
      </c>
      <c r="N174">
        <f t="shared" si="22"/>
        <v>0</v>
      </c>
      <c r="O174">
        <f t="shared" si="23"/>
        <v>0</v>
      </c>
      <c r="P174">
        <f t="shared" si="24"/>
        <v>0</v>
      </c>
      <c r="Q174">
        <f t="shared" si="25"/>
        <v>0</v>
      </c>
      <c r="R174">
        <f t="shared" si="26"/>
        <v>0</v>
      </c>
      <c r="S174">
        <f t="shared" si="27"/>
        <v>0</v>
      </c>
      <c r="T174">
        <f t="shared" si="29"/>
        <v>0</v>
      </c>
      <c r="U174">
        <f t="shared" si="28"/>
        <v>0</v>
      </c>
    </row>
    <row r="175" spans="1:21" x14ac:dyDescent="0.25">
      <c r="A175" s="2">
        <v>174</v>
      </c>
      <c r="B175" s="2">
        <v>1036</v>
      </c>
      <c r="C175" s="2" t="s">
        <v>187</v>
      </c>
      <c r="D175">
        <v>137.4</v>
      </c>
      <c r="E175" s="80">
        <v>44044.12</v>
      </c>
      <c r="F175">
        <v>385.02</v>
      </c>
      <c r="G175">
        <v>899.85</v>
      </c>
      <c r="H175">
        <v>7471.36</v>
      </c>
      <c r="I175" s="80">
        <v>16323.95</v>
      </c>
      <c r="J175">
        <v>432.55</v>
      </c>
      <c r="K175">
        <v>7948.59</v>
      </c>
      <c r="L175">
        <f t="shared" si="20"/>
        <v>0</v>
      </c>
      <c r="M175">
        <f t="shared" si="21"/>
        <v>0</v>
      </c>
      <c r="N175">
        <f t="shared" si="22"/>
        <v>0</v>
      </c>
      <c r="O175">
        <f t="shared" si="23"/>
        <v>0</v>
      </c>
      <c r="P175">
        <f t="shared" si="24"/>
        <v>0</v>
      </c>
      <c r="Q175">
        <f t="shared" si="25"/>
        <v>0</v>
      </c>
      <c r="R175">
        <f t="shared" si="26"/>
        <v>0</v>
      </c>
      <c r="S175">
        <f t="shared" si="27"/>
        <v>0</v>
      </c>
      <c r="T175">
        <f t="shared" si="29"/>
        <v>0</v>
      </c>
      <c r="U175">
        <f t="shared" si="28"/>
        <v>0</v>
      </c>
    </row>
    <row r="176" spans="1:21" x14ac:dyDescent="0.25">
      <c r="A176" s="2">
        <v>175</v>
      </c>
      <c r="B176" s="2">
        <v>1036</v>
      </c>
      <c r="C176" s="2" t="s">
        <v>189</v>
      </c>
      <c r="D176">
        <v>126.35</v>
      </c>
      <c r="E176" s="80">
        <v>36465.43</v>
      </c>
      <c r="F176">
        <v>290.92</v>
      </c>
      <c r="G176">
        <v>739.73</v>
      </c>
      <c r="H176">
        <v>1495.42</v>
      </c>
      <c r="I176" s="80">
        <v>13331.37</v>
      </c>
      <c r="J176">
        <v>356.34</v>
      </c>
      <c r="K176">
        <v>7456.62</v>
      </c>
      <c r="L176">
        <f t="shared" si="20"/>
        <v>0</v>
      </c>
      <c r="M176">
        <f t="shared" si="21"/>
        <v>0</v>
      </c>
      <c r="N176">
        <f t="shared" si="22"/>
        <v>0</v>
      </c>
      <c r="O176">
        <f t="shared" si="23"/>
        <v>0</v>
      </c>
      <c r="P176">
        <f t="shared" si="24"/>
        <v>0</v>
      </c>
      <c r="Q176">
        <f t="shared" si="25"/>
        <v>0</v>
      </c>
      <c r="R176">
        <f t="shared" si="26"/>
        <v>0</v>
      </c>
      <c r="S176">
        <f t="shared" si="27"/>
        <v>0</v>
      </c>
      <c r="T176">
        <f t="shared" si="29"/>
        <v>0</v>
      </c>
      <c r="U176">
        <f t="shared" si="28"/>
        <v>0</v>
      </c>
    </row>
    <row r="177" spans="1:21" x14ac:dyDescent="0.25">
      <c r="A177" s="2">
        <v>176</v>
      </c>
      <c r="B177" s="2" t="s">
        <v>22</v>
      </c>
      <c r="C177" s="2" t="s">
        <v>181</v>
      </c>
      <c r="D177">
        <v>16.510000000000002</v>
      </c>
      <c r="E177">
        <v>9256.76</v>
      </c>
      <c r="F177">
        <v>6.81</v>
      </c>
      <c r="G177">
        <v>135.47999999999999</v>
      </c>
      <c r="H177">
        <v>23.82</v>
      </c>
      <c r="I177">
        <v>65.760000000000005</v>
      </c>
      <c r="J177">
        <v>39.619999999999997</v>
      </c>
      <c r="K177">
        <v>29.29</v>
      </c>
      <c r="L177">
        <f t="shared" si="20"/>
        <v>0</v>
      </c>
      <c r="M177">
        <f t="shared" si="21"/>
        <v>0</v>
      </c>
      <c r="N177">
        <f t="shared" si="22"/>
        <v>0</v>
      </c>
      <c r="O177">
        <f t="shared" si="23"/>
        <v>0</v>
      </c>
      <c r="P177">
        <f t="shared" si="24"/>
        <v>0</v>
      </c>
      <c r="Q177">
        <f t="shared" si="25"/>
        <v>0</v>
      </c>
      <c r="R177">
        <f t="shared" si="26"/>
        <v>0</v>
      </c>
      <c r="S177">
        <f t="shared" si="27"/>
        <v>0</v>
      </c>
      <c r="T177">
        <f t="shared" si="29"/>
        <v>0</v>
      </c>
      <c r="U177">
        <f t="shared" si="28"/>
        <v>0</v>
      </c>
    </row>
    <row r="178" spans="1:21" x14ac:dyDescent="0.25">
      <c r="A178" s="2">
        <v>177</v>
      </c>
      <c r="B178" s="2" t="s">
        <v>22</v>
      </c>
      <c r="C178" s="2" t="s">
        <v>183</v>
      </c>
      <c r="D178">
        <v>16.510000000000002</v>
      </c>
      <c r="E178">
        <v>8447.19</v>
      </c>
      <c r="F178">
        <v>13.29</v>
      </c>
      <c r="G178">
        <v>169.72</v>
      </c>
      <c r="H178">
        <v>201.29</v>
      </c>
      <c r="I178">
        <v>833.31</v>
      </c>
      <c r="J178">
        <v>31.69</v>
      </c>
      <c r="K178">
        <v>71.489999999999995</v>
      </c>
      <c r="L178">
        <f t="shared" si="20"/>
        <v>0</v>
      </c>
      <c r="M178">
        <f t="shared" si="21"/>
        <v>0</v>
      </c>
      <c r="N178">
        <f t="shared" si="22"/>
        <v>0</v>
      </c>
      <c r="O178">
        <f t="shared" si="23"/>
        <v>0</v>
      </c>
      <c r="P178">
        <f t="shared" si="24"/>
        <v>0</v>
      </c>
      <c r="Q178">
        <f t="shared" si="25"/>
        <v>0</v>
      </c>
      <c r="R178">
        <f t="shared" si="26"/>
        <v>0</v>
      </c>
      <c r="S178">
        <f t="shared" si="27"/>
        <v>0</v>
      </c>
      <c r="T178">
        <f t="shared" si="29"/>
        <v>0</v>
      </c>
      <c r="U178">
        <f t="shared" si="28"/>
        <v>0</v>
      </c>
    </row>
    <row r="179" spans="1:21" x14ac:dyDescent="0.25">
      <c r="A179" s="2">
        <v>178</v>
      </c>
      <c r="B179" s="2" t="s">
        <v>22</v>
      </c>
      <c r="C179" s="2" t="s">
        <v>186</v>
      </c>
      <c r="D179">
        <v>28.99</v>
      </c>
      <c r="E179">
        <v>5408.82</v>
      </c>
      <c r="F179">
        <v>4.8099999999999996</v>
      </c>
      <c r="G179">
        <v>135.47999999999999</v>
      </c>
      <c r="H179">
        <v>59.16</v>
      </c>
      <c r="I179">
        <v>184.7</v>
      </c>
      <c r="J179" t="s">
        <v>583</v>
      </c>
      <c r="K179">
        <v>22.08</v>
      </c>
      <c r="L179">
        <f t="shared" si="20"/>
        <v>0</v>
      </c>
      <c r="M179">
        <f t="shared" si="21"/>
        <v>0</v>
      </c>
      <c r="N179">
        <f t="shared" si="22"/>
        <v>0</v>
      </c>
      <c r="O179">
        <f t="shared" si="23"/>
        <v>0</v>
      </c>
      <c r="P179">
        <f t="shared" si="24"/>
        <v>0</v>
      </c>
      <c r="Q179">
        <f t="shared" si="25"/>
        <v>0</v>
      </c>
      <c r="R179">
        <f t="shared" si="26"/>
        <v>0</v>
      </c>
      <c r="S179">
        <f t="shared" si="27"/>
        <v>0</v>
      </c>
      <c r="T179">
        <f t="shared" si="29"/>
        <v>0</v>
      </c>
      <c r="U179">
        <f t="shared" si="28"/>
        <v>0</v>
      </c>
    </row>
    <row r="180" spans="1:21" x14ac:dyDescent="0.25">
      <c r="A180" s="2">
        <v>179</v>
      </c>
      <c r="B180" s="2" t="s">
        <v>22</v>
      </c>
      <c r="C180" s="2" t="s">
        <v>188</v>
      </c>
      <c r="D180" t="s">
        <v>583</v>
      </c>
      <c r="E180">
        <v>217.09</v>
      </c>
      <c r="F180" t="s">
        <v>583</v>
      </c>
      <c r="G180" s="80">
        <v>17.04</v>
      </c>
      <c r="H180" t="s">
        <v>583</v>
      </c>
      <c r="I180" t="s">
        <v>583</v>
      </c>
      <c r="J180" t="s">
        <v>583</v>
      </c>
      <c r="K180" t="s">
        <v>583</v>
      </c>
      <c r="L180">
        <f t="shared" si="20"/>
        <v>0</v>
      </c>
      <c r="M180">
        <f t="shared" si="21"/>
        <v>0</v>
      </c>
      <c r="N180">
        <f t="shared" si="22"/>
        <v>0</v>
      </c>
      <c r="O180">
        <f t="shared" si="23"/>
        <v>0</v>
      </c>
      <c r="P180">
        <f t="shared" si="24"/>
        <v>0</v>
      </c>
      <c r="Q180">
        <f t="shared" si="25"/>
        <v>0</v>
      </c>
      <c r="R180">
        <f t="shared" si="26"/>
        <v>0</v>
      </c>
      <c r="S180">
        <f t="shared" si="27"/>
        <v>0</v>
      </c>
      <c r="T180">
        <f t="shared" si="29"/>
        <v>0</v>
      </c>
      <c r="U180">
        <f t="shared" si="28"/>
        <v>0</v>
      </c>
    </row>
    <row r="181" spans="1:21" x14ac:dyDescent="0.25">
      <c r="A181" s="2">
        <v>180</v>
      </c>
      <c r="B181" s="2" t="s">
        <v>22</v>
      </c>
      <c r="C181" s="2" t="s">
        <v>182</v>
      </c>
      <c r="D181" s="80">
        <v>0.01</v>
      </c>
      <c r="E181">
        <v>1667.49</v>
      </c>
      <c r="F181" t="s">
        <v>583</v>
      </c>
      <c r="G181">
        <v>135.47999999999999</v>
      </c>
      <c r="H181" s="80">
        <v>0.57999999999999996</v>
      </c>
      <c r="I181">
        <v>2.1</v>
      </c>
      <c r="J181" t="s">
        <v>583</v>
      </c>
      <c r="K181">
        <v>0.97</v>
      </c>
      <c r="L181">
        <f t="shared" si="20"/>
        <v>0</v>
      </c>
      <c r="M181">
        <f t="shared" si="21"/>
        <v>0</v>
      </c>
      <c r="N181">
        <f t="shared" si="22"/>
        <v>0</v>
      </c>
      <c r="O181">
        <f t="shared" si="23"/>
        <v>0</v>
      </c>
      <c r="P181">
        <f t="shared" si="24"/>
        <v>0</v>
      </c>
      <c r="Q181">
        <f t="shared" si="25"/>
        <v>0</v>
      </c>
      <c r="R181">
        <f t="shared" si="26"/>
        <v>0</v>
      </c>
      <c r="S181">
        <f t="shared" si="27"/>
        <v>0</v>
      </c>
      <c r="T181">
        <f t="shared" si="29"/>
        <v>0</v>
      </c>
      <c r="U181">
        <f t="shared" si="28"/>
        <v>0</v>
      </c>
    </row>
    <row r="182" spans="1:21" x14ac:dyDescent="0.25">
      <c r="A182" s="2">
        <v>181</v>
      </c>
      <c r="B182" s="2" t="s">
        <v>22</v>
      </c>
      <c r="C182" s="2" t="s">
        <v>184</v>
      </c>
      <c r="D182">
        <v>126.35</v>
      </c>
      <c r="E182" s="80">
        <v>44411.01</v>
      </c>
      <c r="F182">
        <v>384.67</v>
      </c>
      <c r="G182">
        <v>695.01</v>
      </c>
      <c r="H182">
        <v>6511.59</v>
      </c>
      <c r="I182" s="80">
        <v>13296.29</v>
      </c>
      <c r="J182">
        <v>310.49</v>
      </c>
      <c r="K182">
        <v>750.85</v>
      </c>
      <c r="L182">
        <f t="shared" si="20"/>
        <v>0</v>
      </c>
      <c r="M182">
        <f t="shared" si="21"/>
        <v>0</v>
      </c>
      <c r="N182">
        <f t="shared" si="22"/>
        <v>0</v>
      </c>
      <c r="O182">
        <f t="shared" si="23"/>
        <v>0</v>
      </c>
      <c r="P182">
        <f t="shared" si="24"/>
        <v>0</v>
      </c>
      <c r="Q182">
        <f t="shared" si="25"/>
        <v>0</v>
      </c>
      <c r="R182">
        <f t="shared" si="26"/>
        <v>0</v>
      </c>
      <c r="S182">
        <f t="shared" si="27"/>
        <v>0</v>
      </c>
      <c r="T182">
        <f t="shared" si="29"/>
        <v>0</v>
      </c>
      <c r="U182">
        <f t="shared" si="28"/>
        <v>0</v>
      </c>
    </row>
    <row r="183" spans="1:21" x14ac:dyDescent="0.25">
      <c r="A183" s="2">
        <v>182</v>
      </c>
      <c r="B183" s="2" t="s">
        <v>22</v>
      </c>
      <c r="C183" s="2" t="s">
        <v>187</v>
      </c>
      <c r="D183">
        <v>255.7</v>
      </c>
      <c r="E183" s="80">
        <v>52682.46</v>
      </c>
      <c r="F183">
        <v>915</v>
      </c>
      <c r="G183">
        <v>970.06</v>
      </c>
      <c r="H183" s="80">
        <v>27299.23</v>
      </c>
      <c r="I183" s="80">
        <v>14916.34</v>
      </c>
      <c r="J183">
        <v>523.71</v>
      </c>
      <c r="K183">
        <v>7131.26</v>
      </c>
      <c r="L183">
        <f t="shared" si="20"/>
        <v>0</v>
      </c>
      <c r="M183">
        <f t="shared" si="21"/>
        <v>0</v>
      </c>
      <c r="N183">
        <f t="shared" si="22"/>
        <v>0</v>
      </c>
      <c r="O183">
        <f t="shared" si="23"/>
        <v>0</v>
      </c>
      <c r="P183">
        <f t="shared" si="24"/>
        <v>0</v>
      </c>
      <c r="Q183">
        <f t="shared" si="25"/>
        <v>0</v>
      </c>
      <c r="R183">
        <f t="shared" si="26"/>
        <v>0</v>
      </c>
      <c r="S183">
        <f t="shared" si="27"/>
        <v>0</v>
      </c>
      <c r="T183">
        <f t="shared" si="29"/>
        <v>0</v>
      </c>
      <c r="U183">
        <f t="shared" si="28"/>
        <v>0</v>
      </c>
    </row>
    <row r="184" spans="1:21" x14ac:dyDescent="0.25">
      <c r="A184" s="2">
        <v>183</v>
      </c>
      <c r="B184" s="2" t="s">
        <v>22</v>
      </c>
      <c r="C184" s="2" t="s">
        <v>189</v>
      </c>
      <c r="D184">
        <v>141.1</v>
      </c>
      <c r="E184" s="80">
        <v>46180.27</v>
      </c>
      <c r="F184">
        <v>596.28</v>
      </c>
      <c r="G184">
        <v>762.27</v>
      </c>
      <c r="H184">
        <v>5880.31</v>
      </c>
      <c r="I184" s="80">
        <v>11738.41</v>
      </c>
      <c r="J184">
        <v>432.55</v>
      </c>
      <c r="K184">
        <v>6235.85</v>
      </c>
      <c r="L184">
        <f t="shared" si="20"/>
        <v>0</v>
      </c>
      <c r="M184">
        <f t="shared" si="21"/>
        <v>0</v>
      </c>
      <c r="N184">
        <f t="shared" si="22"/>
        <v>0</v>
      </c>
      <c r="O184">
        <f t="shared" si="23"/>
        <v>0</v>
      </c>
      <c r="P184">
        <f t="shared" si="24"/>
        <v>0</v>
      </c>
      <c r="Q184">
        <f t="shared" si="25"/>
        <v>0</v>
      </c>
      <c r="R184">
        <f t="shared" si="26"/>
        <v>0</v>
      </c>
      <c r="S184">
        <f t="shared" si="27"/>
        <v>0</v>
      </c>
      <c r="T184">
        <f t="shared" si="29"/>
        <v>0</v>
      </c>
      <c r="U184">
        <f t="shared" si="28"/>
        <v>0</v>
      </c>
    </row>
    <row r="185" spans="1:21" x14ac:dyDescent="0.25">
      <c r="A185" s="2">
        <v>184</v>
      </c>
      <c r="B185" s="2" t="s">
        <v>5</v>
      </c>
      <c r="C185" s="2" t="s">
        <v>162</v>
      </c>
      <c r="D185">
        <v>62.25</v>
      </c>
      <c r="E185" s="80">
        <v>30712.560000000001</v>
      </c>
      <c r="F185">
        <v>9.6</v>
      </c>
      <c r="G185">
        <v>279.33999999999997</v>
      </c>
      <c r="H185">
        <v>13.22</v>
      </c>
      <c r="I185">
        <v>17.559999999999999</v>
      </c>
      <c r="J185">
        <v>141.22999999999999</v>
      </c>
      <c r="K185">
        <v>19.7</v>
      </c>
      <c r="L185">
        <f t="shared" si="20"/>
        <v>0</v>
      </c>
      <c r="M185">
        <f t="shared" si="21"/>
        <v>0</v>
      </c>
      <c r="N185">
        <f t="shared" si="22"/>
        <v>0</v>
      </c>
      <c r="O185">
        <f t="shared" si="23"/>
        <v>0</v>
      </c>
      <c r="P185">
        <f t="shared" si="24"/>
        <v>0</v>
      </c>
      <c r="Q185">
        <f t="shared" si="25"/>
        <v>0</v>
      </c>
      <c r="R185">
        <f t="shared" si="26"/>
        <v>0</v>
      </c>
      <c r="S185">
        <f t="shared" si="27"/>
        <v>0</v>
      </c>
      <c r="T185">
        <f t="shared" si="29"/>
        <v>0</v>
      </c>
      <c r="U185">
        <f t="shared" si="28"/>
        <v>0</v>
      </c>
    </row>
    <row r="186" spans="1:21" x14ac:dyDescent="0.25">
      <c r="A186" s="2">
        <v>185</v>
      </c>
      <c r="B186" s="2" t="s">
        <v>5</v>
      </c>
      <c r="C186" s="2" t="s">
        <v>170</v>
      </c>
      <c r="D186">
        <v>90.22</v>
      </c>
      <c r="E186" s="80">
        <v>25114.73</v>
      </c>
      <c r="F186">
        <v>383.64</v>
      </c>
      <c r="G186">
        <v>357.06</v>
      </c>
      <c r="H186">
        <v>1951</v>
      </c>
      <c r="I186" s="80">
        <v>11292.97</v>
      </c>
      <c r="J186">
        <v>187.62</v>
      </c>
      <c r="K186">
        <v>1236.8800000000001</v>
      </c>
      <c r="L186">
        <f t="shared" si="20"/>
        <v>0</v>
      </c>
      <c r="M186">
        <f t="shared" si="21"/>
        <v>0</v>
      </c>
      <c r="N186">
        <f t="shared" si="22"/>
        <v>0</v>
      </c>
      <c r="O186">
        <f t="shared" si="23"/>
        <v>0</v>
      </c>
      <c r="P186">
        <f t="shared" si="24"/>
        <v>0</v>
      </c>
      <c r="Q186">
        <f t="shared" si="25"/>
        <v>0</v>
      </c>
      <c r="R186">
        <f t="shared" si="26"/>
        <v>0</v>
      </c>
      <c r="S186">
        <f t="shared" si="27"/>
        <v>0</v>
      </c>
      <c r="T186">
        <f t="shared" si="29"/>
        <v>0</v>
      </c>
      <c r="U186">
        <f t="shared" si="28"/>
        <v>0</v>
      </c>
    </row>
    <row r="187" spans="1:21" x14ac:dyDescent="0.25">
      <c r="A187" s="2">
        <v>186</v>
      </c>
      <c r="B187" s="2" t="s">
        <v>5</v>
      </c>
      <c r="C187" s="2" t="s">
        <v>178</v>
      </c>
      <c r="D187">
        <v>335.08</v>
      </c>
      <c r="E187" s="80">
        <v>34846.18</v>
      </c>
      <c r="F187">
        <v>1967.68</v>
      </c>
      <c r="G187">
        <v>607.05999999999995</v>
      </c>
      <c r="H187">
        <v>7037.88</v>
      </c>
      <c r="I187" s="80">
        <v>14704.19</v>
      </c>
      <c r="J187">
        <v>341.07</v>
      </c>
      <c r="K187">
        <v>3037.03</v>
      </c>
      <c r="L187">
        <f t="shared" si="20"/>
        <v>0</v>
      </c>
      <c r="M187">
        <f t="shared" si="21"/>
        <v>0</v>
      </c>
      <c r="N187">
        <f t="shared" si="22"/>
        <v>0</v>
      </c>
      <c r="O187">
        <f t="shared" si="23"/>
        <v>0</v>
      </c>
      <c r="P187">
        <f t="shared" si="24"/>
        <v>0</v>
      </c>
      <c r="Q187">
        <f t="shared" si="25"/>
        <v>0</v>
      </c>
      <c r="R187">
        <f t="shared" si="26"/>
        <v>0</v>
      </c>
      <c r="S187">
        <f t="shared" si="27"/>
        <v>0</v>
      </c>
      <c r="T187">
        <f t="shared" si="29"/>
        <v>0</v>
      </c>
      <c r="U187">
        <f t="shared" si="28"/>
        <v>0</v>
      </c>
    </row>
    <row r="188" spans="1:21" x14ac:dyDescent="0.25">
      <c r="A188" s="2">
        <v>187</v>
      </c>
      <c r="B188" s="2" t="s">
        <v>5</v>
      </c>
      <c r="C188" s="2" t="s">
        <v>163</v>
      </c>
      <c r="D188">
        <v>14268.11</v>
      </c>
      <c r="E188" s="80">
        <v>26137.78</v>
      </c>
      <c r="F188">
        <v>636.99</v>
      </c>
      <c r="G188">
        <v>628.85</v>
      </c>
      <c r="H188" s="80">
        <v>23798.42</v>
      </c>
      <c r="I188" s="80">
        <v>13371.43</v>
      </c>
      <c r="J188">
        <v>554.04</v>
      </c>
      <c r="K188" s="80">
        <v>13418.07</v>
      </c>
      <c r="L188">
        <f t="shared" si="20"/>
        <v>0</v>
      </c>
      <c r="M188">
        <f t="shared" si="21"/>
        <v>0</v>
      </c>
      <c r="N188">
        <f t="shared" si="22"/>
        <v>0</v>
      </c>
      <c r="O188">
        <f t="shared" si="23"/>
        <v>0</v>
      </c>
      <c r="P188">
        <f t="shared" si="24"/>
        <v>0</v>
      </c>
      <c r="Q188">
        <f t="shared" si="25"/>
        <v>0</v>
      </c>
      <c r="R188">
        <f t="shared" si="26"/>
        <v>0</v>
      </c>
      <c r="S188">
        <f t="shared" si="27"/>
        <v>0</v>
      </c>
      <c r="T188">
        <f t="shared" si="29"/>
        <v>0</v>
      </c>
      <c r="U188">
        <f t="shared" si="28"/>
        <v>0</v>
      </c>
    </row>
    <row r="189" spans="1:21" x14ac:dyDescent="0.25">
      <c r="A189" s="2">
        <v>188</v>
      </c>
      <c r="B189" s="2" t="s">
        <v>5</v>
      </c>
      <c r="C189" s="2" t="s">
        <v>181</v>
      </c>
      <c r="D189">
        <v>122.69</v>
      </c>
      <c r="E189" s="80">
        <v>70338.880000000005</v>
      </c>
      <c r="F189">
        <v>16.11</v>
      </c>
      <c r="G189">
        <v>563.87</v>
      </c>
      <c r="H189">
        <v>588.4</v>
      </c>
      <c r="I189">
        <v>1399.55</v>
      </c>
      <c r="J189">
        <v>402.1</v>
      </c>
      <c r="K189">
        <v>380.31</v>
      </c>
      <c r="L189">
        <f t="shared" si="20"/>
        <v>0</v>
      </c>
      <c r="M189">
        <f t="shared" si="21"/>
        <v>0</v>
      </c>
      <c r="N189">
        <f t="shared" si="22"/>
        <v>0</v>
      </c>
      <c r="O189">
        <f t="shared" si="23"/>
        <v>0</v>
      </c>
      <c r="P189">
        <f t="shared" si="24"/>
        <v>0</v>
      </c>
      <c r="Q189">
        <f t="shared" si="25"/>
        <v>0</v>
      </c>
      <c r="R189">
        <f t="shared" si="26"/>
        <v>0</v>
      </c>
      <c r="S189">
        <f t="shared" si="27"/>
        <v>0</v>
      </c>
      <c r="T189">
        <f t="shared" si="29"/>
        <v>0</v>
      </c>
      <c r="U189">
        <f t="shared" si="28"/>
        <v>0</v>
      </c>
    </row>
    <row r="190" spans="1:21" x14ac:dyDescent="0.25">
      <c r="A190" s="2">
        <v>189</v>
      </c>
      <c r="B190" s="2" t="s">
        <v>5</v>
      </c>
      <c r="C190" s="2" t="s">
        <v>183</v>
      </c>
      <c r="D190">
        <v>193.79</v>
      </c>
      <c r="E190" s="80">
        <v>62145.78</v>
      </c>
      <c r="F190" s="80">
        <v>5946.68</v>
      </c>
      <c r="G190">
        <v>923.15</v>
      </c>
      <c r="H190" s="80">
        <v>16121.91</v>
      </c>
      <c r="I190" s="80">
        <v>19111.03</v>
      </c>
      <c r="J190">
        <v>584.34</v>
      </c>
      <c r="K190" s="80">
        <v>10061.25</v>
      </c>
      <c r="L190">
        <f t="shared" si="20"/>
        <v>0</v>
      </c>
      <c r="M190">
        <f t="shared" si="21"/>
        <v>0</v>
      </c>
      <c r="N190">
        <f t="shared" si="22"/>
        <v>0</v>
      </c>
      <c r="O190">
        <f t="shared" si="23"/>
        <v>0</v>
      </c>
      <c r="P190">
        <f t="shared" si="24"/>
        <v>0</v>
      </c>
      <c r="Q190">
        <f t="shared" si="25"/>
        <v>0</v>
      </c>
      <c r="R190">
        <f t="shared" si="26"/>
        <v>0</v>
      </c>
      <c r="S190">
        <f t="shared" si="27"/>
        <v>0</v>
      </c>
      <c r="T190">
        <f t="shared" si="29"/>
        <v>0</v>
      </c>
      <c r="U190">
        <f t="shared" si="28"/>
        <v>0</v>
      </c>
    </row>
    <row r="191" spans="1:21" x14ac:dyDescent="0.25">
      <c r="A191" s="2">
        <v>190</v>
      </c>
      <c r="B191" s="2" t="s">
        <v>5</v>
      </c>
      <c r="C191" s="2" t="s">
        <v>186</v>
      </c>
      <c r="D191">
        <v>263.54000000000002</v>
      </c>
      <c r="E191" s="80">
        <v>59733.25</v>
      </c>
      <c r="F191" s="80">
        <v>13008.31</v>
      </c>
      <c r="G191">
        <v>1113.1099999999999</v>
      </c>
      <c r="H191" s="89" t="s">
        <v>582</v>
      </c>
      <c r="I191" s="80">
        <v>19401.53</v>
      </c>
      <c r="J191">
        <v>788.26</v>
      </c>
      <c r="K191" s="80">
        <v>16274.26</v>
      </c>
      <c r="L191">
        <f t="shared" si="20"/>
        <v>0</v>
      </c>
      <c r="M191">
        <f t="shared" si="21"/>
        <v>0</v>
      </c>
      <c r="N191">
        <f t="shared" si="22"/>
        <v>0</v>
      </c>
      <c r="O191">
        <f t="shared" si="23"/>
        <v>0</v>
      </c>
      <c r="P191">
        <f t="shared" si="24"/>
        <v>1</v>
      </c>
      <c r="Q191">
        <f t="shared" si="25"/>
        <v>0</v>
      </c>
      <c r="R191">
        <f t="shared" si="26"/>
        <v>0</v>
      </c>
      <c r="S191">
        <f t="shared" si="27"/>
        <v>0</v>
      </c>
      <c r="T191">
        <f t="shared" si="29"/>
        <v>1</v>
      </c>
      <c r="U191">
        <f t="shared" si="28"/>
        <v>1</v>
      </c>
    </row>
    <row r="192" spans="1:21" x14ac:dyDescent="0.25">
      <c r="A192" s="2">
        <v>191</v>
      </c>
      <c r="B192" s="2" t="s">
        <v>5</v>
      </c>
      <c r="C192" s="2" t="s">
        <v>188</v>
      </c>
      <c r="D192">
        <v>287.20999999999998</v>
      </c>
      <c r="E192" s="80">
        <v>69463.649999999994</v>
      </c>
      <c r="F192" s="80">
        <v>4816.6899999999996</v>
      </c>
      <c r="G192">
        <v>1433.85</v>
      </c>
      <c r="H192" s="80">
        <v>87486.399999999994</v>
      </c>
      <c r="I192" s="80">
        <v>18973.96</v>
      </c>
      <c r="J192">
        <v>976.32</v>
      </c>
      <c r="K192" s="80">
        <v>19553.13</v>
      </c>
      <c r="L192">
        <f t="shared" si="20"/>
        <v>0</v>
      </c>
      <c r="M192">
        <f t="shared" si="21"/>
        <v>0</v>
      </c>
      <c r="N192">
        <f t="shared" si="22"/>
        <v>0</v>
      </c>
      <c r="O192">
        <f t="shared" si="23"/>
        <v>0</v>
      </c>
      <c r="P192">
        <f t="shared" si="24"/>
        <v>0</v>
      </c>
      <c r="Q192">
        <f t="shared" si="25"/>
        <v>0</v>
      </c>
      <c r="R192">
        <f t="shared" si="26"/>
        <v>0</v>
      </c>
      <c r="S192">
        <f t="shared" si="27"/>
        <v>0</v>
      </c>
      <c r="T192">
        <f t="shared" si="29"/>
        <v>0</v>
      </c>
      <c r="U192">
        <f t="shared" si="28"/>
        <v>0</v>
      </c>
    </row>
    <row r="193" spans="1:21" x14ac:dyDescent="0.25">
      <c r="A193" s="2">
        <v>192</v>
      </c>
      <c r="B193" s="2" t="s">
        <v>5</v>
      </c>
      <c r="C193" s="2" t="s">
        <v>182</v>
      </c>
      <c r="D193" s="80">
        <v>0.01</v>
      </c>
      <c r="E193">
        <v>1640.17</v>
      </c>
      <c r="F193">
        <v>0.71</v>
      </c>
      <c r="G193">
        <v>135.47999999999999</v>
      </c>
      <c r="H193">
        <v>7.03</v>
      </c>
      <c r="I193">
        <v>93.31</v>
      </c>
      <c r="J193" t="s">
        <v>583</v>
      </c>
      <c r="K193">
        <v>3.41</v>
      </c>
      <c r="L193">
        <f t="shared" si="20"/>
        <v>0</v>
      </c>
      <c r="M193">
        <f t="shared" si="21"/>
        <v>0</v>
      </c>
      <c r="N193">
        <f t="shared" si="22"/>
        <v>0</v>
      </c>
      <c r="O193">
        <f t="shared" si="23"/>
        <v>0</v>
      </c>
      <c r="P193">
        <f t="shared" si="24"/>
        <v>0</v>
      </c>
      <c r="Q193">
        <f t="shared" si="25"/>
        <v>0</v>
      </c>
      <c r="R193">
        <f t="shared" si="26"/>
        <v>0</v>
      </c>
      <c r="S193">
        <f t="shared" si="27"/>
        <v>0</v>
      </c>
      <c r="T193">
        <f t="shared" si="29"/>
        <v>0</v>
      </c>
      <c r="U193">
        <f t="shared" si="28"/>
        <v>0</v>
      </c>
    </row>
    <row r="194" spans="1:21" x14ac:dyDescent="0.25">
      <c r="A194" s="2">
        <v>193</v>
      </c>
      <c r="B194" s="2" t="s">
        <v>5</v>
      </c>
      <c r="C194" s="2" t="s">
        <v>184</v>
      </c>
      <c r="D194">
        <v>549.28</v>
      </c>
      <c r="E194">
        <v>13221.88</v>
      </c>
      <c r="F194">
        <v>253.07</v>
      </c>
      <c r="G194">
        <v>397.08</v>
      </c>
      <c r="H194">
        <v>4596.37</v>
      </c>
      <c r="I194" s="80">
        <v>15243.28</v>
      </c>
      <c r="J194">
        <v>233.82</v>
      </c>
      <c r="K194">
        <v>3114.77</v>
      </c>
      <c r="L194">
        <f t="shared" ref="L194:L257" si="30">IF(D194 = "OOR &gt;", 1,0)</f>
        <v>0</v>
      </c>
      <c r="M194">
        <f t="shared" ref="M194:M257" si="31">IF(E194 = "OOR &gt;", 1,0)</f>
        <v>0</v>
      </c>
      <c r="N194">
        <f t="shared" ref="N194:N257" si="32">IF(F194 = "OOR &gt;", 1,0)</f>
        <v>0</v>
      </c>
      <c r="O194">
        <f t="shared" ref="O194:O257" si="33">IF(G194 = "OOR &gt;", 1,0)</f>
        <v>0</v>
      </c>
      <c r="P194">
        <f t="shared" ref="P194:P257" si="34">IF(H194 = "OOR &gt;", 1,0)</f>
        <v>0</v>
      </c>
      <c r="Q194">
        <f t="shared" ref="Q194:Q257" si="35">IF(I194 = "OOR &gt;", 1,0)</f>
        <v>0</v>
      </c>
      <c r="R194">
        <f t="shared" ref="R194:R257" si="36">IF(J194 = "OOR &gt;", 1,0)</f>
        <v>0</v>
      </c>
      <c r="S194">
        <f t="shared" ref="S194:S257" si="37">IF(K194 = "OOR &gt;", 1,0)</f>
        <v>0</v>
      </c>
      <c r="T194">
        <f t="shared" si="29"/>
        <v>0</v>
      </c>
      <c r="U194">
        <f t="shared" ref="U194:U257" si="38">IF(T194 &gt; 0,1,0)</f>
        <v>0</v>
      </c>
    </row>
    <row r="195" spans="1:21" x14ac:dyDescent="0.25">
      <c r="A195" s="2">
        <v>194</v>
      </c>
      <c r="B195" s="2" t="s">
        <v>5</v>
      </c>
      <c r="C195" s="2" t="s">
        <v>187</v>
      </c>
      <c r="D195">
        <v>3156.88</v>
      </c>
      <c r="E195">
        <v>16836.88</v>
      </c>
      <c r="F195">
        <v>1072.51</v>
      </c>
      <c r="G195">
        <v>607.05999999999995</v>
      </c>
      <c r="H195">
        <v>15071.29</v>
      </c>
      <c r="I195" s="80">
        <v>16033.97</v>
      </c>
      <c r="J195">
        <v>417.33</v>
      </c>
      <c r="K195" s="80">
        <v>9834.7199999999993</v>
      </c>
      <c r="L195">
        <f t="shared" si="30"/>
        <v>0</v>
      </c>
      <c r="M195">
        <f t="shared" si="31"/>
        <v>0</v>
      </c>
      <c r="N195">
        <f t="shared" si="32"/>
        <v>0</v>
      </c>
      <c r="O195">
        <f t="shared" si="33"/>
        <v>0</v>
      </c>
      <c r="P195">
        <f t="shared" si="34"/>
        <v>0</v>
      </c>
      <c r="Q195">
        <f t="shared" si="35"/>
        <v>0</v>
      </c>
      <c r="R195">
        <f t="shared" si="36"/>
        <v>0</v>
      </c>
      <c r="S195">
        <f t="shared" si="37"/>
        <v>0</v>
      </c>
      <c r="T195">
        <f t="shared" ref="T195:T258" si="39">SUMIF(L195:S195,"&gt;0")</f>
        <v>0</v>
      </c>
      <c r="U195">
        <f t="shared" si="38"/>
        <v>0</v>
      </c>
    </row>
    <row r="196" spans="1:21" x14ac:dyDescent="0.25">
      <c r="A196" s="2">
        <v>195</v>
      </c>
      <c r="B196" s="2" t="s">
        <v>5</v>
      </c>
      <c r="C196" s="2" t="s">
        <v>189</v>
      </c>
      <c r="D196">
        <v>7561.25</v>
      </c>
      <c r="E196">
        <v>10238.530000000001</v>
      </c>
      <c r="F196">
        <v>22.33</v>
      </c>
      <c r="G196">
        <v>479.22</v>
      </c>
      <c r="H196">
        <v>10805.91</v>
      </c>
      <c r="I196" s="80">
        <v>11642.4</v>
      </c>
      <c r="J196">
        <v>447.76</v>
      </c>
      <c r="K196" s="80">
        <v>10394.84</v>
      </c>
      <c r="L196">
        <f t="shared" si="30"/>
        <v>0</v>
      </c>
      <c r="M196">
        <f t="shared" si="31"/>
        <v>0</v>
      </c>
      <c r="N196">
        <f t="shared" si="32"/>
        <v>0</v>
      </c>
      <c r="O196">
        <f t="shared" si="33"/>
        <v>0</v>
      </c>
      <c r="P196">
        <f t="shared" si="34"/>
        <v>0</v>
      </c>
      <c r="Q196">
        <f t="shared" si="35"/>
        <v>0</v>
      </c>
      <c r="R196">
        <f t="shared" si="36"/>
        <v>0</v>
      </c>
      <c r="S196">
        <f t="shared" si="37"/>
        <v>0</v>
      </c>
      <c r="T196">
        <f t="shared" si="39"/>
        <v>0</v>
      </c>
      <c r="U196">
        <f t="shared" si="38"/>
        <v>0</v>
      </c>
    </row>
    <row r="197" spans="1:21" x14ac:dyDescent="0.25">
      <c r="A197" s="2">
        <v>196</v>
      </c>
      <c r="B197" s="2">
        <v>1031</v>
      </c>
      <c r="C197" s="2" t="s">
        <v>162</v>
      </c>
      <c r="D197">
        <v>62.25</v>
      </c>
      <c r="E197" s="80">
        <v>31850.47</v>
      </c>
      <c r="F197">
        <v>7.55</v>
      </c>
      <c r="G197">
        <v>279.33999999999997</v>
      </c>
      <c r="H197">
        <v>14.75</v>
      </c>
      <c r="I197">
        <v>7.25</v>
      </c>
      <c r="J197">
        <v>164.45</v>
      </c>
      <c r="K197">
        <v>26.87</v>
      </c>
      <c r="L197">
        <f t="shared" si="30"/>
        <v>0</v>
      </c>
      <c r="M197">
        <f t="shared" si="31"/>
        <v>0</v>
      </c>
      <c r="N197">
        <f t="shared" si="32"/>
        <v>0</v>
      </c>
      <c r="O197">
        <f t="shared" si="33"/>
        <v>0</v>
      </c>
      <c r="P197">
        <f t="shared" si="34"/>
        <v>0</v>
      </c>
      <c r="Q197">
        <f t="shared" si="35"/>
        <v>0</v>
      </c>
      <c r="R197">
        <f t="shared" si="36"/>
        <v>0</v>
      </c>
      <c r="S197">
        <f t="shared" si="37"/>
        <v>0</v>
      </c>
      <c r="T197">
        <f t="shared" si="39"/>
        <v>0</v>
      </c>
      <c r="U197">
        <f t="shared" si="38"/>
        <v>0</v>
      </c>
    </row>
    <row r="198" spans="1:21" x14ac:dyDescent="0.25">
      <c r="A198" s="2">
        <v>197</v>
      </c>
      <c r="B198" s="2">
        <v>1031</v>
      </c>
      <c r="C198" s="2" t="s">
        <v>170</v>
      </c>
      <c r="D198">
        <v>55.42</v>
      </c>
      <c r="E198">
        <v>22778.16</v>
      </c>
      <c r="F198">
        <v>60.82</v>
      </c>
      <c r="G198">
        <v>279.33999999999997</v>
      </c>
      <c r="H198">
        <v>646.96</v>
      </c>
      <c r="I198" s="80">
        <v>3546.01</v>
      </c>
      <c r="J198">
        <v>156.72</v>
      </c>
      <c r="K198">
        <v>353.83</v>
      </c>
      <c r="L198">
        <f t="shared" si="30"/>
        <v>0</v>
      </c>
      <c r="M198">
        <f t="shared" si="31"/>
        <v>0</v>
      </c>
      <c r="N198">
        <f t="shared" si="32"/>
        <v>0</v>
      </c>
      <c r="O198">
        <f t="shared" si="33"/>
        <v>0</v>
      </c>
      <c r="P198">
        <f t="shared" si="34"/>
        <v>0</v>
      </c>
      <c r="Q198">
        <f t="shared" si="35"/>
        <v>0</v>
      </c>
      <c r="R198">
        <f t="shared" si="36"/>
        <v>0</v>
      </c>
      <c r="S198">
        <f t="shared" si="37"/>
        <v>0</v>
      </c>
      <c r="T198">
        <f t="shared" si="39"/>
        <v>0</v>
      </c>
      <c r="U198">
        <f t="shared" si="38"/>
        <v>0</v>
      </c>
    </row>
    <row r="199" spans="1:21" x14ac:dyDescent="0.25">
      <c r="A199" s="2">
        <v>198</v>
      </c>
      <c r="B199" s="2">
        <v>1031</v>
      </c>
      <c r="C199" s="2" t="s">
        <v>178</v>
      </c>
      <c r="D199">
        <v>240.07</v>
      </c>
      <c r="E199" s="80">
        <v>34481.730000000003</v>
      </c>
      <c r="F199">
        <v>659.13</v>
      </c>
      <c r="G199">
        <v>479.22</v>
      </c>
      <c r="H199">
        <v>5278.83</v>
      </c>
      <c r="I199" s="80">
        <v>9557.61</v>
      </c>
      <c r="J199">
        <v>264.52999999999997</v>
      </c>
      <c r="K199">
        <v>1651.6</v>
      </c>
      <c r="L199">
        <f t="shared" si="30"/>
        <v>0</v>
      </c>
      <c r="M199">
        <f t="shared" si="31"/>
        <v>0</v>
      </c>
      <c r="N199">
        <f t="shared" si="32"/>
        <v>0</v>
      </c>
      <c r="O199">
        <f t="shared" si="33"/>
        <v>0</v>
      </c>
      <c r="P199">
        <f t="shared" si="34"/>
        <v>0</v>
      </c>
      <c r="Q199">
        <f t="shared" si="35"/>
        <v>0</v>
      </c>
      <c r="R199">
        <f t="shared" si="36"/>
        <v>0</v>
      </c>
      <c r="S199">
        <f t="shared" si="37"/>
        <v>0</v>
      </c>
      <c r="T199">
        <f t="shared" si="39"/>
        <v>0</v>
      </c>
      <c r="U199">
        <f t="shared" si="38"/>
        <v>0</v>
      </c>
    </row>
    <row r="200" spans="1:21" x14ac:dyDescent="0.25">
      <c r="A200" s="2">
        <v>199</v>
      </c>
      <c r="B200" s="2">
        <v>1031</v>
      </c>
      <c r="C200" s="2" t="s">
        <v>163</v>
      </c>
      <c r="D200">
        <v>583.04</v>
      </c>
      <c r="E200" s="80">
        <v>32821.800000000003</v>
      </c>
      <c r="F200">
        <v>368.31</v>
      </c>
      <c r="G200">
        <v>628.85</v>
      </c>
      <c r="H200" s="80">
        <v>16468.11</v>
      </c>
      <c r="I200" s="80">
        <v>8794.7199999999993</v>
      </c>
      <c r="J200">
        <v>447.76</v>
      </c>
      <c r="K200" s="80">
        <v>12849.44</v>
      </c>
      <c r="L200">
        <f t="shared" si="30"/>
        <v>0</v>
      </c>
      <c r="M200">
        <f t="shared" si="31"/>
        <v>0</v>
      </c>
      <c r="N200">
        <f t="shared" si="32"/>
        <v>0</v>
      </c>
      <c r="O200">
        <f t="shared" si="33"/>
        <v>0</v>
      </c>
      <c r="P200">
        <f t="shared" si="34"/>
        <v>0</v>
      </c>
      <c r="Q200">
        <f t="shared" si="35"/>
        <v>0</v>
      </c>
      <c r="R200">
        <f t="shared" si="36"/>
        <v>0</v>
      </c>
      <c r="S200">
        <f t="shared" si="37"/>
        <v>0</v>
      </c>
      <c r="T200">
        <f t="shared" si="39"/>
        <v>0</v>
      </c>
      <c r="U200">
        <f t="shared" si="38"/>
        <v>0</v>
      </c>
    </row>
    <row r="201" spans="1:21" x14ac:dyDescent="0.25">
      <c r="A201" s="2">
        <v>200</v>
      </c>
      <c r="B201" s="2">
        <v>1031</v>
      </c>
      <c r="C201" s="2" t="s">
        <v>181</v>
      </c>
      <c r="D201">
        <v>97.36</v>
      </c>
      <c r="E201" s="80">
        <v>56195.17</v>
      </c>
      <c r="F201">
        <v>10.88</v>
      </c>
      <c r="G201">
        <v>479.22</v>
      </c>
      <c r="H201">
        <v>122.29</v>
      </c>
      <c r="I201">
        <v>116.87</v>
      </c>
      <c r="J201">
        <v>264.52999999999997</v>
      </c>
      <c r="K201">
        <v>172.83</v>
      </c>
      <c r="L201">
        <f t="shared" si="30"/>
        <v>0</v>
      </c>
      <c r="M201">
        <f t="shared" si="31"/>
        <v>0</v>
      </c>
      <c r="N201">
        <f t="shared" si="32"/>
        <v>0</v>
      </c>
      <c r="O201">
        <f t="shared" si="33"/>
        <v>0</v>
      </c>
      <c r="P201">
        <f t="shared" si="34"/>
        <v>0</v>
      </c>
      <c r="Q201">
        <f t="shared" si="35"/>
        <v>0</v>
      </c>
      <c r="R201">
        <f t="shared" si="36"/>
        <v>0</v>
      </c>
      <c r="S201">
        <f t="shared" si="37"/>
        <v>0</v>
      </c>
      <c r="T201">
        <f t="shared" si="39"/>
        <v>0</v>
      </c>
      <c r="U201">
        <f t="shared" si="38"/>
        <v>0</v>
      </c>
    </row>
    <row r="202" spans="1:21" x14ac:dyDescent="0.25">
      <c r="A202" s="2">
        <v>201</v>
      </c>
      <c r="B202" s="2">
        <v>1031</v>
      </c>
      <c r="C202" s="2" t="s">
        <v>183</v>
      </c>
      <c r="D202">
        <v>155.99</v>
      </c>
      <c r="E202" s="80">
        <v>53183.63</v>
      </c>
      <c r="F202">
        <v>769.94</v>
      </c>
      <c r="G202">
        <v>607.05999999999995</v>
      </c>
      <c r="H202">
        <v>2731.12</v>
      </c>
      <c r="I202" s="80">
        <v>15494.54</v>
      </c>
      <c r="J202">
        <v>371.61</v>
      </c>
      <c r="K202">
        <v>3602.65</v>
      </c>
      <c r="L202">
        <f t="shared" si="30"/>
        <v>0</v>
      </c>
      <c r="M202">
        <f t="shared" si="31"/>
        <v>0</v>
      </c>
      <c r="N202">
        <f t="shared" si="32"/>
        <v>0</v>
      </c>
      <c r="O202">
        <f t="shared" si="33"/>
        <v>0</v>
      </c>
      <c r="P202">
        <f t="shared" si="34"/>
        <v>0</v>
      </c>
      <c r="Q202">
        <f t="shared" si="35"/>
        <v>0</v>
      </c>
      <c r="R202">
        <f t="shared" si="36"/>
        <v>0</v>
      </c>
      <c r="S202">
        <f t="shared" si="37"/>
        <v>0</v>
      </c>
      <c r="T202">
        <f t="shared" si="39"/>
        <v>0</v>
      </c>
      <c r="U202">
        <f t="shared" si="38"/>
        <v>0</v>
      </c>
    </row>
    <row r="203" spans="1:21" x14ac:dyDescent="0.25">
      <c r="A203" s="2">
        <v>202</v>
      </c>
      <c r="B203" s="2">
        <v>1031</v>
      </c>
      <c r="C203" s="2" t="s">
        <v>186</v>
      </c>
      <c r="D203">
        <v>209.11</v>
      </c>
      <c r="E203" s="80">
        <v>52986.95</v>
      </c>
      <c r="F203">
        <v>3566.25</v>
      </c>
      <c r="G203">
        <v>970.06</v>
      </c>
      <c r="H203">
        <v>13418.21</v>
      </c>
      <c r="I203" s="80">
        <v>18600.02</v>
      </c>
      <c r="J203">
        <v>614.61</v>
      </c>
      <c r="K203" s="80">
        <v>9815.32</v>
      </c>
      <c r="L203">
        <f t="shared" si="30"/>
        <v>0</v>
      </c>
      <c r="M203">
        <f t="shared" si="31"/>
        <v>0</v>
      </c>
      <c r="N203">
        <f t="shared" si="32"/>
        <v>0</v>
      </c>
      <c r="O203">
        <f t="shared" si="33"/>
        <v>0</v>
      </c>
      <c r="P203">
        <f t="shared" si="34"/>
        <v>0</v>
      </c>
      <c r="Q203">
        <f t="shared" si="35"/>
        <v>0</v>
      </c>
      <c r="R203">
        <f t="shared" si="36"/>
        <v>0</v>
      </c>
      <c r="S203">
        <f t="shared" si="37"/>
        <v>0</v>
      </c>
      <c r="T203">
        <f t="shared" si="39"/>
        <v>0</v>
      </c>
      <c r="U203">
        <f t="shared" si="38"/>
        <v>0</v>
      </c>
    </row>
    <row r="204" spans="1:21" x14ac:dyDescent="0.25">
      <c r="A204" s="2">
        <v>203</v>
      </c>
      <c r="B204" s="2">
        <v>1031</v>
      </c>
      <c r="C204" s="2" t="s">
        <v>188</v>
      </c>
      <c r="D204">
        <v>209.11</v>
      </c>
      <c r="E204" s="80">
        <v>56394.74</v>
      </c>
      <c r="F204">
        <v>1025.77</v>
      </c>
      <c r="G204">
        <v>946.56</v>
      </c>
      <c r="H204" s="80">
        <v>18015.900000000001</v>
      </c>
      <c r="I204" s="80">
        <v>16186.82</v>
      </c>
      <c r="J204">
        <v>712.85</v>
      </c>
      <c r="K204" s="80">
        <v>17325.650000000001</v>
      </c>
      <c r="L204">
        <f t="shared" si="30"/>
        <v>0</v>
      </c>
      <c r="M204">
        <f t="shared" si="31"/>
        <v>0</v>
      </c>
      <c r="N204">
        <f t="shared" si="32"/>
        <v>0</v>
      </c>
      <c r="O204">
        <f t="shared" si="33"/>
        <v>0</v>
      </c>
      <c r="P204">
        <f t="shared" si="34"/>
        <v>0</v>
      </c>
      <c r="Q204">
        <f t="shared" si="35"/>
        <v>0</v>
      </c>
      <c r="R204">
        <f t="shared" si="36"/>
        <v>0</v>
      </c>
      <c r="S204">
        <f t="shared" si="37"/>
        <v>0</v>
      </c>
      <c r="T204">
        <f t="shared" si="39"/>
        <v>0</v>
      </c>
      <c r="U204">
        <f t="shared" si="38"/>
        <v>0</v>
      </c>
    </row>
    <row r="205" spans="1:21" x14ac:dyDescent="0.25">
      <c r="A205" s="2">
        <v>204</v>
      </c>
      <c r="B205" s="2">
        <v>1031</v>
      </c>
      <c r="C205" s="2" t="s">
        <v>182</v>
      </c>
      <c r="D205" s="80">
        <v>0.01</v>
      </c>
      <c r="E205">
        <v>1865.47</v>
      </c>
      <c r="F205" t="s">
        <v>583</v>
      </c>
      <c r="G205">
        <v>56.86</v>
      </c>
      <c r="H205">
        <v>2.25</v>
      </c>
      <c r="I205">
        <v>0.77</v>
      </c>
      <c r="J205" t="s">
        <v>583</v>
      </c>
      <c r="K205" s="80">
        <v>0.23</v>
      </c>
      <c r="L205">
        <f t="shared" si="30"/>
        <v>0</v>
      </c>
      <c r="M205">
        <f t="shared" si="31"/>
        <v>0</v>
      </c>
      <c r="N205">
        <f t="shared" si="32"/>
        <v>0</v>
      </c>
      <c r="O205">
        <f t="shared" si="33"/>
        <v>0</v>
      </c>
      <c r="P205">
        <f t="shared" si="34"/>
        <v>0</v>
      </c>
      <c r="Q205">
        <f t="shared" si="35"/>
        <v>0</v>
      </c>
      <c r="R205">
        <f t="shared" si="36"/>
        <v>0</v>
      </c>
      <c r="S205">
        <f t="shared" si="37"/>
        <v>0</v>
      </c>
      <c r="T205">
        <f t="shared" si="39"/>
        <v>0</v>
      </c>
      <c r="U205">
        <f t="shared" si="38"/>
        <v>0</v>
      </c>
    </row>
    <row r="206" spans="1:21" x14ac:dyDescent="0.25">
      <c r="A206" s="2">
        <v>205</v>
      </c>
      <c r="B206" s="2">
        <v>1031</v>
      </c>
      <c r="C206" s="2" t="s">
        <v>184</v>
      </c>
      <c r="D206">
        <v>42.01</v>
      </c>
      <c r="E206">
        <v>15834.77</v>
      </c>
      <c r="F206">
        <v>93.34</v>
      </c>
      <c r="G206">
        <v>205.2</v>
      </c>
      <c r="H206">
        <v>1781.12</v>
      </c>
      <c r="I206" s="80">
        <v>9716.93</v>
      </c>
      <c r="J206">
        <v>187.62</v>
      </c>
      <c r="K206">
        <v>1139.05</v>
      </c>
      <c r="L206">
        <f t="shared" si="30"/>
        <v>0</v>
      </c>
      <c r="M206">
        <f t="shared" si="31"/>
        <v>0</v>
      </c>
      <c r="N206">
        <f t="shared" si="32"/>
        <v>0</v>
      </c>
      <c r="O206">
        <f t="shared" si="33"/>
        <v>0</v>
      </c>
      <c r="P206">
        <f t="shared" si="34"/>
        <v>0</v>
      </c>
      <c r="Q206">
        <f t="shared" si="35"/>
        <v>0</v>
      </c>
      <c r="R206">
        <f t="shared" si="36"/>
        <v>0</v>
      </c>
      <c r="S206">
        <f t="shared" si="37"/>
        <v>0</v>
      </c>
      <c r="T206">
        <f t="shared" si="39"/>
        <v>0</v>
      </c>
      <c r="U206">
        <f t="shared" si="38"/>
        <v>0</v>
      </c>
    </row>
    <row r="207" spans="1:21" x14ac:dyDescent="0.25">
      <c r="A207" s="2">
        <v>206</v>
      </c>
      <c r="B207" s="2">
        <v>1031</v>
      </c>
      <c r="C207" s="2" t="s">
        <v>187</v>
      </c>
      <c r="D207">
        <v>119.04</v>
      </c>
      <c r="E207">
        <v>18844.72</v>
      </c>
      <c r="F207">
        <v>110.08</v>
      </c>
      <c r="G207">
        <v>279.33999999999997</v>
      </c>
      <c r="H207">
        <v>9051.3700000000008</v>
      </c>
      <c r="I207" s="80">
        <v>9613.26</v>
      </c>
      <c r="J207">
        <v>249.18</v>
      </c>
      <c r="K207">
        <v>4294.51</v>
      </c>
      <c r="L207">
        <f t="shared" si="30"/>
        <v>0</v>
      </c>
      <c r="M207">
        <f t="shared" si="31"/>
        <v>0</v>
      </c>
      <c r="N207">
        <f t="shared" si="32"/>
        <v>0</v>
      </c>
      <c r="O207">
        <f t="shared" si="33"/>
        <v>0</v>
      </c>
      <c r="P207">
        <f t="shared" si="34"/>
        <v>0</v>
      </c>
      <c r="Q207">
        <f t="shared" si="35"/>
        <v>0</v>
      </c>
      <c r="R207">
        <f t="shared" si="36"/>
        <v>0</v>
      </c>
      <c r="S207">
        <f t="shared" si="37"/>
        <v>0</v>
      </c>
      <c r="T207">
        <f t="shared" si="39"/>
        <v>0</v>
      </c>
      <c r="U207">
        <f t="shared" si="38"/>
        <v>0</v>
      </c>
    </row>
    <row r="208" spans="1:21" x14ac:dyDescent="0.25">
      <c r="A208" s="2">
        <v>207</v>
      </c>
      <c r="B208" s="2">
        <v>1031</v>
      </c>
      <c r="C208" s="2" t="s">
        <v>189</v>
      </c>
      <c r="D208">
        <v>72.63</v>
      </c>
      <c r="E208">
        <v>13955.17</v>
      </c>
      <c r="F208">
        <v>17.46</v>
      </c>
      <c r="G208">
        <v>241.78</v>
      </c>
      <c r="H208">
        <v>4795.55</v>
      </c>
      <c r="I208" s="80">
        <v>3738.09</v>
      </c>
      <c r="J208">
        <v>218.44</v>
      </c>
      <c r="K208">
        <v>4456.4399999999996</v>
      </c>
      <c r="L208">
        <f t="shared" si="30"/>
        <v>0</v>
      </c>
      <c r="M208">
        <f t="shared" si="31"/>
        <v>0</v>
      </c>
      <c r="N208">
        <f t="shared" si="32"/>
        <v>0</v>
      </c>
      <c r="O208">
        <f t="shared" si="33"/>
        <v>0</v>
      </c>
      <c r="P208">
        <f t="shared" si="34"/>
        <v>0</v>
      </c>
      <c r="Q208">
        <f t="shared" si="35"/>
        <v>0</v>
      </c>
      <c r="R208">
        <f t="shared" si="36"/>
        <v>0</v>
      </c>
      <c r="S208">
        <f t="shared" si="37"/>
        <v>0</v>
      </c>
      <c r="T208">
        <f t="shared" si="39"/>
        <v>0</v>
      </c>
      <c r="U208">
        <f t="shared" si="38"/>
        <v>0</v>
      </c>
    </row>
    <row r="209" spans="1:21" x14ac:dyDescent="0.25">
      <c r="A209" s="2">
        <v>208</v>
      </c>
      <c r="B209" s="2">
        <v>1029</v>
      </c>
      <c r="C209" s="2" t="s">
        <v>162</v>
      </c>
      <c r="D209">
        <v>48.67</v>
      </c>
      <c r="E209" s="80">
        <v>33587.660000000003</v>
      </c>
      <c r="F209">
        <v>6.81</v>
      </c>
      <c r="G209">
        <v>260.44</v>
      </c>
      <c r="H209">
        <v>13.22</v>
      </c>
      <c r="I209">
        <v>13.21</v>
      </c>
      <c r="J209">
        <v>141.22999999999999</v>
      </c>
      <c r="K209">
        <v>17.82</v>
      </c>
      <c r="L209">
        <f t="shared" si="30"/>
        <v>0</v>
      </c>
      <c r="M209">
        <f t="shared" si="31"/>
        <v>0</v>
      </c>
      <c r="N209">
        <f t="shared" si="32"/>
        <v>0</v>
      </c>
      <c r="O209">
        <f t="shared" si="33"/>
        <v>0</v>
      </c>
      <c r="P209">
        <f t="shared" si="34"/>
        <v>0</v>
      </c>
      <c r="Q209">
        <f t="shared" si="35"/>
        <v>0</v>
      </c>
      <c r="R209">
        <f t="shared" si="36"/>
        <v>0</v>
      </c>
      <c r="S209">
        <f t="shared" si="37"/>
        <v>0</v>
      </c>
      <c r="T209">
        <f t="shared" si="39"/>
        <v>0</v>
      </c>
      <c r="U209">
        <f t="shared" si="38"/>
        <v>0</v>
      </c>
    </row>
    <row r="210" spans="1:21" x14ac:dyDescent="0.25">
      <c r="A210" s="2">
        <v>209</v>
      </c>
      <c r="B210" s="2">
        <v>1029</v>
      </c>
      <c r="C210" s="2" t="s">
        <v>170</v>
      </c>
      <c r="D210">
        <v>119.04</v>
      </c>
      <c r="E210" s="80">
        <v>36240.78</v>
      </c>
      <c r="F210">
        <v>538.92999999999995</v>
      </c>
      <c r="G210">
        <v>479.22</v>
      </c>
      <c r="H210">
        <v>5209.3900000000003</v>
      </c>
      <c r="I210" s="80">
        <v>16635.43</v>
      </c>
      <c r="J210">
        <v>279.87</v>
      </c>
      <c r="K210">
        <v>2157.7600000000002</v>
      </c>
      <c r="L210">
        <f t="shared" si="30"/>
        <v>0</v>
      </c>
      <c r="M210">
        <f t="shared" si="31"/>
        <v>0</v>
      </c>
      <c r="N210">
        <f t="shared" si="32"/>
        <v>0</v>
      </c>
      <c r="O210">
        <f t="shared" si="33"/>
        <v>0</v>
      </c>
      <c r="P210">
        <f t="shared" si="34"/>
        <v>0</v>
      </c>
      <c r="Q210">
        <f t="shared" si="35"/>
        <v>0</v>
      </c>
      <c r="R210">
        <f t="shared" si="36"/>
        <v>0</v>
      </c>
      <c r="S210">
        <f t="shared" si="37"/>
        <v>0</v>
      </c>
      <c r="T210">
        <f t="shared" si="39"/>
        <v>0</v>
      </c>
      <c r="U210">
        <f t="shared" si="38"/>
        <v>0</v>
      </c>
    </row>
    <row r="211" spans="1:21" x14ac:dyDescent="0.25">
      <c r="A211" s="2">
        <v>210</v>
      </c>
      <c r="B211" s="2">
        <v>1029</v>
      </c>
      <c r="C211" s="2" t="s">
        <v>178</v>
      </c>
      <c r="D211">
        <v>263.54000000000002</v>
      </c>
      <c r="E211" s="80">
        <v>42099.66</v>
      </c>
      <c r="F211">
        <v>2282.67</v>
      </c>
      <c r="G211">
        <v>739.73</v>
      </c>
      <c r="H211" s="80">
        <v>36677.769999999997</v>
      </c>
      <c r="I211" s="80">
        <v>18737.5</v>
      </c>
      <c r="J211">
        <v>493.36</v>
      </c>
      <c r="K211">
        <v>6145.31</v>
      </c>
      <c r="L211">
        <f t="shared" si="30"/>
        <v>0</v>
      </c>
      <c r="M211">
        <f t="shared" si="31"/>
        <v>0</v>
      </c>
      <c r="N211">
        <f t="shared" si="32"/>
        <v>0</v>
      </c>
      <c r="O211">
        <f t="shared" si="33"/>
        <v>0</v>
      </c>
      <c r="P211">
        <f t="shared" si="34"/>
        <v>0</v>
      </c>
      <c r="Q211">
        <f t="shared" si="35"/>
        <v>0</v>
      </c>
      <c r="R211">
        <f t="shared" si="36"/>
        <v>0</v>
      </c>
      <c r="S211">
        <f t="shared" si="37"/>
        <v>0</v>
      </c>
      <c r="T211">
        <f t="shared" si="39"/>
        <v>0</v>
      </c>
      <c r="U211">
        <f t="shared" si="38"/>
        <v>0</v>
      </c>
    </row>
    <row r="212" spans="1:21" x14ac:dyDescent="0.25">
      <c r="A212" s="2">
        <v>211</v>
      </c>
      <c r="B212" s="2">
        <v>1029</v>
      </c>
      <c r="C212" s="2" t="s">
        <v>163</v>
      </c>
      <c r="D212">
        <v>789.22</v>
      </c>
      <c r="E212" s="80">
        <v>47439.07</v>
      </c>
      <c r="F212">
        <v>604.97</v>
      </c>
      <c r="G212">
        <v>923.15</v>
      </c>
      <c r="H212" s="80">
        <v>31782.98</v>
      </c>
      <c r="I212" s="80">
        <v>17444.939999999999</v>
      </c>
      <c r="J212">
        <v>644.86</v>
      </c>
      <c r="K212" s="80">
        <v>17563.97</v>
      </c>
      <c r="L212">
        <f t="shared" si="30"/>
        <v>0</v>
      </c>
      <c r="M212">
        <f t="shared" si="31"/>
        <v>0</v>
      </c>
      <c r="N212">
        <f t="shared" si="32"/>
        <v>0</v>
      </c>
      <c r="O212">
        <f t="shared" si="33"/>
        <v>0</v>
      </c>
      <c r="P212">
        <f t="shared" si="34"/>
        <v>0</v>
      </c>
      <c r="Q212">
        <f t="shared" si="35"/>
        <v>0</v>
      </c>
      <c r="R212">
        <f t="shared" si="36"/>
        <v>0</v>
      </c>
      <c r="S212">
        <f t="shared" si="37"/>
        <v>0</v>
      </c>
      <c r="T212">
        <f t="shared" si="39"/>
        <v>0</v>
      </c>
      <c r="U212">
        <f t="shared" si="38"/>
        <v>0</v>
      </c>
    </row>
    <row r="213" spans="1:21" x14ac:dyDescent="0.25">
      <c r="A213" s="2">
        <v>212</v>
      </c>
      <c r="B213" s="2">
        <v>1029</v>
      </c>
      <c r="C213" s="2" t="s">
        <v>181</v>
      </c>
      <c r="D213">
        <v>79.62</v>
      </c>
      <c r="E213" s="80">
        <v>42378.83</v>
      </c>
      <c r="F213">
        <v>10.25</v>
      </c>
      <c r="G213">
        <v>357.06</v>
      </c>
      <c r="H213">
        <v>120.87</v>
      </c>
      <c r="I213">
        <v>350.03</v>
      </c>
      <c r="J213">
        <v>164.45</v>
      </c>
      <c r="K213">
        <v>70.459999999999994</v>
      </c>
      <c r="L213">
        <f t="shared" si="30"/>
        <v>0</v>
      </c>
      <c r="M213">
        <f t="shared" si="31"/>
        <v>0</v>
      </c>
      <c r="N213">
        <f t="shared" si="32"/>
        <v>0</v>
      </c>
      <c r="O213">
        <f t="shared" si="33"/>
        <v>0</v>
      </c>
      <c r="P213">
        <f t="shared" si="34"/>
        <v>0</v>
      </c>
      <c r="Q213">
        <f t="shared" si="35"/>
        <v>0</v>
      </c>
      <c r="R213">
        <f t="shared" si="36"/>
        <v>0</v>
      </c>
      <c r="S213">
        <f t="shared" si="37"/>
        <v>0</v>
      </c>
      <c r="T213">
        <f t="shared" si="39"/>
        <v>0</v>
      </c>
      <c r="U213">
        <f t="shared" si="38"/>
        <v>0</v>
      </c>
    </row>
    <row r="214" spans="1:21" x14ac:dyDescent="0.25">
      <c r="A214" s="2">
        <v>213</v>
      </c>
      <c r="B214" s="2">
        <v>1029</v>
      </c>
      <c r="C214" s="2" t="s">
        <v>183</v>
      </c>
      <c r="D214">
        <v>148.53</v>
      </c>
      <c r="E214" s="80">
        <v>53814.21</v>
      </c>
      <c r="F214">
        <v>731.46</v>
      </c>
      <c r="G214">
        <v>830.57</v>
      </c>
      <c r="H214">
        <v>7034.12</v>
      </c>
      <c r="I214" s="80">
        <v>19268.810000000001</v>
      </c>
      <c r="J214">
        <v>493.36</v>
      </c>
      <c r="K214">
        <v>3553.65</v>
      </c>
      <c r="L214">
        <f t="shared" si="30"/>
        <v>0</v>
      </c>
      <c r="M214">
        <f t="shared" si="31"/>
        <v>0</v>
      </c>
      <c r="N214">
        <f t="shared" si="32"/>
        <v>0</v>
      </c>
      <c r="O214">
        <f t="shared" si="33"/>
        <v>0</v>
      </c>
      <c r="P214">
        <f t="shared" si="34"/>
        <v>0</v>
      </c>
      <c r="Q214">
        <f t="shared" si="35"/>
        <v>0</v>
      </c>
      <c r="R214">
        <f t="shared" si="36"/>
        <v>0</v>
      </c>
      <c r="S214">
        <f t="shared" si="37"/>
        <v>0</v>
      </c>
      <c r="T214">
        <f t="shared" si="39"/>
        <v>0</v>
      </c>
      <c r="U214">
        <f t="shared" si="38"/>
        <v>0</v>
      </c>
    </row>
    <row r="215" spans="1:21" x14ac:dyDescent="0.25">
      <c r="A215" s="2">
        <v>214</v>
      </c>
      <c r="B215" s="2">
        <v>1029</v>
      </c>
      <c r="C215" s="2" t="s">
        <v>186</v>
      </c>
      <c r="D215">
        <v>171.02</v>
      </c>
      <c r="E215" s="80">
        <v>54684.25</v>
      </c>
      <c r="F215">
        <v>2863.84</v>
      </c>
      <c r="G215">
        <v>899.85</v>
      </c>
      <c r="H215" s="80">
        <v>26602.94</v>
      </c>
      <c r="I215" s="80">
        <v>19667.64</v>
      </c>
      <c r="J215">
        <v>584.34</v>
      </c>
      <c r="K215">
        <v>7075.02</v>
      </c>
      <c r="L215">
        <f t="shared" si="30"/>
        <v>0</v>
      </c>
      <c r="M215">
        <f t="shared" si="31"/>
        <v>0</v>
      </c>
      <c r="N215">
        <f t="shared" si="32"/>
        <v>0</v>
      </c>
      <c r="O215">
        <f t="shared" si="33"/>
        <v>0</v>
      </c>
      <c r="P215">
        <f t="shared" si="34"/>
        <v>0</v>
      </c>
      <c r="Q215">
        <f t="shared" si="35"/>
        <v>0</v>
      </c>
      <c r="R215">
        <f t="shared" si="36"/>
        <v>0</v>
      </c>
      <c r="S215">
        <f t="shared" si="37"/>
        <v>0</v>
      </c>
      <c r="T215">
        <f t="shared" si="39"/>
        <v>0</v>
      </c>
      <c r="U215">
        <f t="shared" si="38"/>
        <v>0</v>
      </c>
    </row>
    <row r="216" spans="1:21" x14ac:dyDescent="0.25">
      <c r="A216" s="2">
        <v>215</v>
      </c>
      <c r="B216" s="2">
        <v>1029</v>
      </c>
      <c r="C216" s="2" t="s">
        <v>188</v>
      </c>
      <c r="D216">
        <v>209.11</v>
      </c>
      <c r="E216" s="80">
        <v>63273.72</v>
      </c>
      <c r="F216">
        <v>565.69000000000005</v>
      </c>
      <c r="G216">
        <v>1113.1099999999999</v>
      </c>
      <c r="H216" s="80">
        <v>18834.87</v>
      </c>
      <c r="I216" s="80">
        <v>19164.3</v>
      </c>
      <c r="J216">
        <v>690.2</v>
      </c>
      <c r="K216" s="80">
        <v>17176.34</v>
      </c>
      <c r="L216">
        <f t="shared" si="30"/>
        <v>0</v>
      </c>
      <c r="M216">
        <f t="shared" si="31"/>
        <v>0</v>
      </c>
      <c r="N216">
        <f t="shared" si="32"/>
        <v>0</v>
      </c>
      <c r="O216">
        <f t="shared" si="33"/>
        <v>0</v>
      </c>
      <c r="P216">
        <f t="shared" si="34"/>
        <v>0</v>
      </c>
      <c r="Q216">
        <f t="shared" si="35"/>
        <v>0</v>
      </c>
      <c r="R216">
        <f t="shared" si="36"/>
        <v>0</v>
      </c>
      <c r="S216">
        <f t="shared" si="37"/>
        <v>0</v>
      </c>
      <c r="T216">
        <f t="shared" si="39"/>
        <v>0</v>
      </c>
      <c r="U216">
        <f t="shared" si="38"/>
        <v>0</v>
      </c>
    </row>
    <row r="217" spans="1:21" x14ac:dyDescent="0.25">
      <c r="A217" s="2">
        <v>216</v>
      </c>
      <c r="B217" s="2">
        <v>1029</v>
      </c>
      <c r="C217" s="2" t="s">
        <v>182</v>
      </c>
      <c r="D217">
        <v>13.5</v>
      </c>
      <c r="E217">
        <v>2200.1999999999998</v>
      </c>
      <c r="F217" t="s">
        <v>583</v>
      </c>
      <c r="G217">
        <v>169.72</v>
      </c>
      <c r="H217">
        <v>0.57999999999999996</v>
      </c>
      <c r="I217">
        <v>24.38</v>
      </c>
      <c r="J217" t="s">
        <v>583</v>
      </c>
      <c r="K217">
        <v>3.41</v>
      </c>
      <c r="L217">
        <f t="shared" si="30"/>
        <v>0</v>
      </c>
      <c r="M217">
        <f t="shared" si="31"/>
        <v>0</v>
      </c>
      <c r="N217">
        <f t="shared" si="32"/>
        <v>0</v>
      </c>
      <c r="O217">
        <f t="shared" si="33"/>
        <v>0</v>
      </c>
      <c r="P217">
        <f t="shared" si="34"/>
        <v>0</v>
      </c>
      <c r="Q217">
        <f t="shared" si="35"/>
        <v>0</v>
      </c>
      <c r="R217">
        <f t="shared" si="36"/>
        <v>0</v>
      </c>
      <c r="S217">
        <f t="shared" si="37"/>
        <v>0</v>
      </c>
      <c r="T217">
        <f t="shared" si="39"/>
        <v>0</v>
      </c>
      <c r="U217">
        <f t="shared" si="38"/>
        <v>0</v>
      </c>
    </row>
    <row r="218" spans="1:21" x14ac:dyDescent="0.25">
      <c r="A218" s="2">
        <v>217</v>
      </c>
      <c r="B218" s="2">
        <v>1029</v>
      </c>
      <c r="C218" s="2" t="s">
        <v>184</v>
      </c>
      <c r="D218">
        <v>126.35</v>
      </c>
      <c r="E218" s="80">
        <v>40360.22</v>
      </c>
      <c r="F218">
        <v>331.21</v>
      </c>
      <c r="G218">
        <v>437.82</v>
      </c>
      <c r="H218">
        <v>4570.76</v>
      </c>
      <c r="I218" s="80">
        <v>16033.97</v>
      </c>
      <c r="J218">
        <v>279.87</v>
      </c>
      <c r="K218">
        <v>826.01</v>
      </c>
      <c r="L218">
        <f t="shared" si="30"/>
        <v>0</v>
      </c>
      <c r="M218">
        <f t="shared" si="31"/>
        <v>0</v>
      </c>
      <c r="N218">
        <f t="shared" si="32"/>
        <v>0</v>
      </c>
      <c r="O218">
        <f t="shared" si="33"/>
        <v>0</v>
      </c>
      <c r="P218">
        <f t="shared" si="34"/>
        <v>0</v>
      </c>
      <c r="Q218">
        <f t="shared" si="35"/>
        <v>0</v>
      </c>
      <c r="R218">
        <f t="shared" si="36"/>
        <v>0</v>
      </c>
      <c r="S218">
        <f t="shared" si="37"/>
        <v>0</v>
      </c>
      <c r="T218">
        <f t="shared" si="39"/>
        <v>0</v>
      </c>
      <c r="U218">
        <f t="shared" si="38"/>
        <v>0</v>
      </c>
    </row>
    <row r="219" spans="1:21" x14ac:dyDescent="0.25">
      <c r="A219" s="2">
        <v>218</v>
      </c>
      <c r="B219" s="2">
        <v>1029</v>
      </c>
      <c r="C219" s="2" t="s">
        <v>187</v>
      </c>
      <c r="D219">
        <v>391.75</v>
      </c>
      <c r="E219" s="80">
        <v>48552</v>
      </c>
      <c r="F219">
        <v>843.54</v>
      </c>
      <c r="G219">
        <v>830.57</v>
      </c>
      <c r="H219" s="80">
        <v>62070.47</v>
      </c>
      <c r="I219" s="80">
        <v>17687.400000000001</v>
      </c>
      <c r="J219">
        <v>584.34</v>
      </c>
      <c r="K219" s="80">
        <v>10417.209999999999</v>
      </c>
      <c r="L219">
        <f t="shared" si="30"/>
        <v>0</v>
      </c>
      <c r="M219">
        <f t="shared" si="31"/>
        <v>0</v>
      </c>
      <c r="N219">
        <f t="shared" si="32"/>
        <v>0</v>
      </c>
      <c r="O219">
        <f t="shared" si="33"/>
        <v>0</v>
      </c>
      <c r="P219">
        <f t="shared" si="34"/>
        <v>0</v>
      </c>
      <c r="Q219">
        <f t="shared" si="35"/>
        <v>0</v>
      </c>
      <c r="R219">
        <f t="shared" si="36"/>
        <v>0</v>
      </c>
      <c r="S219">
        <f t="shared" si="37"/>
        <v>0</v>
      </c>
      <c r="T219">
        <f t="shared" si="39"/>
        <v>0</v>
      </c>
      <c r="U219">
        <f t="shared" si="38"/>
        <v>0</v>
      </c>
    </row>
    <row r="220" spans="1:21" x14ac:dyDescent="0.25">
      <c r="A220" s="2">
        <v>219</v>
      </c>
      <c r="B220" s="2">
        <v>1029</v>
      </c>
      <c r="C220" s="2" t="s">
        <v>189</v>
      </c>
      <c r="D220">
        <v>224.54</v>
      </c>
      <c r="E220" s="80">
        <v>42341.58</v>
      </c>
      <c r="F220">
        <v>294.69</v>
      </c>
      <c r="G220">
        <v>762.27</v>
      </c>
      <c r="H220" s="80">
        <v>26045.05</v>
      </c>
      <c r="I220" s="80">
        <v>17060.759999999998</v>
      </c>
      <c r="J220">
        <v>538.88</v>
      </c>
      <c r="K220" s="80">
        <v>10719.04</v>
      </c>
      <c r="L220">
        <f t="shared" si="30"/>
        <v>0</v>
      </c>
      <c r="M220">
        <f t="shared" si="31"/>
        <v>0</v>
      </c>
      <c r="N220">
        <f t="shared" si="32"/>
        <v>0</v>
      </c>
      <c r="O220">
        <f t="shared" si="33"/>
        <v>0</v>
      </c>
      <c r="P220">
        <f t="shared" si="34"/>
        <v>0</v>
      </c>
      <c r="Q220">
        <f t="shared" si="35"/>
        <v>0</v>
      </c>
      <c r="R220">
        <f t="shared" si="36"/>
        <v>0</v>
      </c>
      <c r="S220">
        <f t="shared" si="37"/>
        <v>0</v>
      </c>
      <c r="T220">
        <f t="shared" si="39"/>
        <v>0</v>
      </c>
      <c r="U220">
        <f t="shared" si="38"/>
        <v>0</v>
      </c>
    </row>
    <row r="221" spans="1:21" x14ac:dyDescent="0.25">
      <c r="A221" s="2">
        <v>220</v>
      </c>
      <c r="B221" s="2">
        <v>1037</v>
      </c>
      <c r="C221" s="2" t="s">
        <v>181</v>
      </c>
      <c r="D221">
        <v>100.94</v>
      </c>
      <c r="E221" s="80">
        <v>60250.35</v>
      </c>
      <c r="F221">
        <v>14.44</v>
      </c>
      <c r="G221">
        <v>521.25</v>
      </c>
      <c r="H221">
        <v>64.97</v>
      </c>
      <c r="I221">
        <v>263.52999999999997</v>
      </c>
      <c r="J221">
        <v>279.87</v>
      </c>
      <c r="K221">
        <v>214.73</v>
      </c>
      <c r="L221">
        <f t="shared" si="30"/>
        <v>0</v>
      </c>
      <c r="M221">
        <f t="shared" si="31"/>
        <v>0</v>
      </c>
      <c r="N221">
        <f t="shared" si="32"/>
        <v>0</v>
      </c>
      <c r="O221">
        <f t="shared" si="33"/>
        <v>0</v>
      </c>
      <c r="P221">
        <f t="shared" si="34"/>
        <v>0</v>
      </c>
      <c r="Q221">
        <f t="shared" si="35"/>
        <v>0</v>
      </c>
      <c r="R221">
        <f t="shared" si="36"/>
        <v>0</v>
      </c>
      <c r="S221">
        <f t="shared" si="37"/>
        <v>0</v>
      </c>
      <c r="T221">
        <f t="shared" si="39"/>
        <v>0</v>
      </c>
      <c r="U221">
        <f t="shared" si="38"/>
        <v>0</v>
      </c>
    </row>
    <row r="222" spans="1:21" x14ac:dyDescent="0.25">
      <c r="A222" s="2">
        <v>221</v>
      </c>
      <c r="B222" s="2">
        <v>1037</v>
      </c>
      <c r="C222" s="2" t="s">
        <v>183</v>
      </c>
      <c r="D222">
        <v>186.17</v>
      </c>
      <c r="E222" s="80">
        <v>62248.11</v>
      </c>
      <c r="F222">
        <v>371.07</v>
      </c>
      <c r="G222">
        <v>830.57</v>
      </c>
      <c r="H222">
        <v>6945.36</v>
      </c>
      <c r="I222" s="80">
        <v>19466.349999999999</v>
      </c>
      <c r="J222">
        <v>584.34</v>
      </c>
      <c r="K222">
        <v>7643.69</v>
      </c>
      <c r="L222">
        <f t="shared" si="30"/>
        <v>0</v>
      </c>
      <c r="M222">
        <f t="shared" si="31"/>
        <v>0</v>
      </c>
      <c r="N222">
        <f t="shared" si="32"/>
        <v>0</v>
      </c>
      <c r="O222">
        <f t="shared" si="33"/>
        <v>0</v>
      </c>
      <c r="P222">
        <f t="shared" si="34"/>
        <v>0</v>
      </c>
      <c r="Q222">
        <f t="shared" si="35"/>
        <v>0</v>
      </c>
      <c r="R222">
        <f t="shared" si="36"/>
        <v>0</v>
      </c>
      <c r="S222">
        <f t="shared" si="37"/>
        <v>0</v>
      </c>
      <c r="T222">
        <f t="shared" si="39"/>
        <v>0</v>
      </c>
      <c r="U222">
        <f t="shared" si="38"/>
        <v>0</v>
      </c>
    </row>
    <row r="223" spans="1:21" x14ac:dyDescent="0.25">
      <c r="A223" s="2">
        <v>222</v>
      </c>
      <c r="B223" s="2">
        <v>1037</v>
      </c>
      <c r="C223" s="2" t="s">
        <v>186</v>
      </c>
      <c r="D223">
        <v>224.54</v>
      </c>
      <c r="E223" s="80">
        <v>59895.360000000001</v>
      </c>
      <c r="F223">
        <v>1968.11</v>
      </c>
      <c r="G223">
        <v>1259.4100000000001</v>
      </c>
      <c r="H223" s="80">
        <v>33016.870000000003</v>
      </c>
      <c r="I223" s="80">
        <v>20090.25</v>
      </c>
      <c r="J223">
        <v>735.48</v>
      </c>
      <c r="K223" s="80">
        <v>15157.95</v>
      </c>
      <c r="L223">
        <f t="shared" si="30"/>
        <v>0</v>
      </c>
      <c r="M223">
        <f t="shared" si="31"/>
        <v>0</v>
      </c>
      <c r="N223">
        <f t="shared" si="32"/>
        <v>0</v>
      </c>
      <c r="O223">
        <f t="shared" si="33"/>
        <v>0</v>
      </c>
      <c r="P223">
        <f t="shared" si="34"/>
        <v>0</v>
      </c>
      <c r="Q223">
        <f t="shared" si="35"/>
        <v>0</v>
      </c>
      <c r="R223">
        <f t="shared" si="36"/>
        <v>0</v>
      </c>
      <c r="S223">
        <f t="shared" si="37"/>
        <v>0</v>
      </c>
      <c r="T223">
        <f t="shared" si="39"/>
        <v>0</v>
      </c>
      <c r="U223">
        <f t="shared" si="38"/>
        <v>0</v>
      </c>
    </row>
    <row r="224" spans="1:21" x14ac:dyDescent="0.25">
      <c r="A224" s="2">
        <v>223</v>
      </c>
      <c r="B224" s="2">
        <v>1037</v>
      </c>
      <c r="C224" s="2" t="s">
        <v>188</v>
      </c>
      <c r="D224">
        <v>247.87</v>
      </c>
      <c r="E224" s="80">
        <v>70243.839999999997</v>
      </c>
      <c r="F224">
        <v>169.36</v>
      </c>
      <c r="G224">
        <v>970.06</v>
      </c>
      <c r="H224">
        <v>7720.56</v>
      </c>
      <c r="I224" s="80">
        <v>18413.73</v>
      </c>
      <c r="J224">
        <v>659.98</v>
      </c>
      <c r="K224" s="80">
        <v>12921.89</v>
      </c>
      <c r="L224">
        <f t="shared" si="30"/>
        <v>0</v>
      </c>
      <c r="M224">
        <f t="shared" si="31"/>
        <v>0</v>
      </c>
      <c r="N224">
        <f t="shared" si="32"/>
        <v>0</v>
      </c>
      <c r="O224">
        <f t="shared" si="33"/>
        <v>0</v>
      </c>
      <c r="P224">
        <f t="shared" si="34"/>
        <v>0</v>
      </c>
      <c r="Q224">
        <f t="shared" si="35"/>
        <v>0</v>
      </c>
      <c r="R224">
        <f t="shared" si="36"/>
        <v>0</v>
      </c>
      <c r="S224">
        <f t="shared" si="37"/>
        <v>0</v>
      </c>
      <c r="T224">
        <f t="shared" si="39"/>
        <v>0</v>
      </c>
      <c r="U224">
        <f t="shared" si="38"/>
        <v>0</v>
      </c>
    </row>
    <row r="225" spans="1:21" x14ac:dyDescent="0.25">
      <c r="A225" s="2">
        <v>224</v>
      </c>
      <c r="B225" s="2">
        <v>1037</v>
      </c>
      <c r="C225" s="2" t="s">
        <v>182</v>
      </c>
      <c r="D225">
        <v>16.510000000000002</v>
      </c>
      <c r="E225">
        <v>3348.82</v>
      </c>
      <c r="F225" t="s">
        <v>583</v>
      </c>
      <c r="G225">
        <v>135.47999999999999</v>
      </c>
      <c r="H225">
        <v>3.86</v>
      </c>
      <c r="I225">
        <v>11.37</v>
      </c>
      <c r="J225">
        <v>15.72</v>
      </c>
      <c r="K225">
        <v>2.58</v>
      </c>
      <c r="L225">
        <f t="shared" si="30"/>
        <v>0</v>
      </c>
      <c r="M225">
        <f t="shared" si="31"/>
        <v>0</v>
      </c>
      <c r="N225">
        <f t="shared" si="32"/>
        <v>0</v>
      </c>
      <c r="O225">
        <f t="shared" si="33"/>
        <v>0</v>
      </c>
      <c r="P225">
        <f t="shared" si="34"/>
        <v>0</v>
      </c>
      <c r="Q225">
        <f t="shared" si="35"/>
        <v>0</v>
      </c>
      <c r="R225">
        <f t="shared" si="36"/>
        <v>0</v>
      </c>
      <c r="S225">
        <f t="shared" si="37"/>
        <v>0</v>
      </c>
      <c r="T225">
        <f t="shared" si="39"/>
        <v>0</v>
      </c>
      <c r="U225">
        <f t="shared" si="38"/>
        <v>0</v>
      </c>
    </row>
    <row r="226" spans="1:21" x14ac:dyDescent="0.25">
      <c r="A226" s="2">
        <v>225</v>
      </c>
      <c r="B226" s="2">
        <v>1037</v>
      </c>
      <c r="C226" s="2" t="s">
        <v>184</v>
      </c>
      <c r="D226">
        <v>83.14</v>
      </c>
      <c r="E226">
        <v>24536.42</v>
      </c>
      <c r="F226">
        <v>135.57</v>
      </c>
      <c r="G226">
        <v>437.82</v>
      </c>
      <c r="H226">
        <v>2157.61</v>
      </c>
      <c r="I226" s="80">
        <v>13374.89</v>
      </c>
      <c r="J226">
        <v>218.44</v>
      </c>
      <c r="K226">
        <v>1274.4100000000001</v>
      </c>
      <c r="L226">
        <f t="shared" si="30"/>
        <v>0</v>
      </c>
      <c r="M226">
        <f t="shared" si="31"/>
        <v>0</v>
      </c>
      <c r="N226">
        <f t="shared" si="32"/>
        <v>0</v>
      </c>
      <c r="O226">
        <f t="shared" si="33"/>
        <v>0</v>
      </c>
      <c r="P226">
        <f t="shared" si="34"/>
        <v>0</v>
      </c>
      <c r="Q226">
        <f t="shared" si="35"/>
        <v>0</v>
      </c>
      <c r="R226">
        <f t="shared" si="36"/>
        <v>0</v>
      </c>
      <c r="S226">
        <f t="shared" si="37"/>
        <v>0</v>
      </c>
      <c r="T226">
        <f t="shared" si="39"/>
        <v>0</v>
      </c>
      <c r="U226">
        <f t="shared" si="38"/>
        <v>0</v>
      </c>
    </row>
    <row r="227" spans="1:21" x14ac:dyDescent="0.25">
      <c r="A227" s="2">
        <v>226</v>
      </c>
      <c r="B227" s="2">
        <v>1037</v>
      </c>
      <c r="C227" s="2" t="s">
        <v>187</v>
      </c>
      <c r="D227">
        <v>104.54</v>
      </c>
      <c r="E227" s="80">
        <v>26338.41</v>
      </c>
      <c r="F227">
        <v>261.98</v>
      </c>
      <c r="G227">
        <v>437.82</v>
      </c>
      <c r="H227">
        <v>8748.4599999999991</v>
      </c>
      <c r="I227" s="80">
        <v>13492.74</v>
      </c>
      <c r="J227">
        <v>348.71</v>
      </c>
      <c r="K227">
        <v>4446.91</v>
      </c>
      <c r="L227">
        <f t="shared" si="30"/>
        <v>0</v>
      </c>
      <c r="M227">
        <f t="shared" si="31"/>
        <v>0</v>
      </c>
      <c r="N227">
        <f t="shared" si="32"/>
        <v>0</v>
      </c>
      <c r="O227">
        <f t="shared" si="33"/>
        <v>0</v>
      </c>
      <c r="P227">
        <f t="shared" si="34"/>
        <v>0</v>
      </c>
      <c r="Q227">
        <f t="shared" si="35"/>
        <v>0</v>
      </c>
      <c r="R227">
        <f t="shared" si="36"/>
        <v>0</v>
      </c>
      <c r="S227">
        <f t="shared" si="37"/>
        <v>0</v>
      </c>
      <c r="T227">
        <f t="shared" si="39"/>
        <v>0</v>
      </c>
      <c r="U227">
        <f t="shared" si="38"/>
        <v>0</v>
      </c>
    </row>
    <row r="228" spans="1:21" x14ac:dyDescent="0.25">
      <c r="A228" s="2">
        <v>227</v>
      </c>
      <c r="B228" s="2">
        <v>1037</v>
      </c>
      <c r="C228" s="2" t="s">
        <v>189</v>
      </c>
      <c r="D228">
        <v>97.36</v>
      </c>
      <c r="E228" s="80">
        <v>31354.22</v>
      </c>
      <c r="F228">
        <v>100.66</v>
      </c>
      <c r="G228">
        <v>437.82</v>
      </c>
      <c r="H228">
        <v>2145.16</v>
      </c>
      <c r="I228" s="80">
        <v>10548.09</v>
      </c>
      <c r="J228">
        <v>249.18</v>
      </c>
      <c r="K228">
        <v>4374.75</v>
      </c>
      <c r="L228">
        <f t="shared" si="30"/>
        <v>0</v>
      </c>
      <c r="M228">
        <f t="shared" si="31"/>
        <v>0</v>
      </c>
      <c r="N228">
        <f t="shared" si="32"/>
        <v>0</v>
      </c>
      <c r="O228">
        <f t="shared" si="33"/>
        <v>0</v>
      </c>
      <c r="P228">
        <f t="shared" si="34"/>
        <v>0</v>
      </c>
      <c r="Q228">
        <f t="shared" si="35"/>
        <v>0</v>
      </c>
      <c r="R228">
        <f t="shared" si="36"/>
        <v>0</v>
      </c>
      <c r="S228">
        <f t="shared" si="37"/>
        <v>0</v>
      </c>
      <c r="T228">
        <f t="shared" si="39"/>
        <v>0</v>
      </c>
      <c r="U228">
        <f t="shared" si="38"/>
        <v>0</v>
      </c>
    </row>
    <row r="229" spans="1:21" x14ac:dyDescent="0.25">
      <c r="A229" s="2">
        <v>228</v>
      </c>
      <c r="B229" s="2" t="s">
        <v>592</v>
      </c>
      <c r="C229" s="2" t="s">
        <v>162</v>
      </c>
      <c r="D229">
        <v>42.01</v>
      </c>
      <c r="E229">
        <v>19094.88</v>
      </c>
      <c r="F229">
        <v>7.55</v>
      </c>
      <c r="G229">
        <v>205.2</v>
      </c>
      <c r="H229">
        <v>19.3</v>
      </c>
      <c r="I229">
        <v>50.07</v>
      </c>
      <c r="J229">
        <v>110.17</v>
      </c>
      <c r="K229">
        <v>19.7</v>
      </c>
      <c r="L229">
        <f t="shared" si="30"/>
        <v>0</v>
      </c>
      <c r="M229">
        <f t="shared" si="31"/>
        <v>0</v>
      </c>
      <c r="N229">
        <f t="shared" si="32"/>
        <v>0</v>
      </c>
      <c r="O229">
        <f t="shared" si="33"/>
        <v>0</v>
      </c>
      <c r="P229">
        <f t="shared" si="34"/>
        <v>0</v>
      </c>
      <c r="Q229">
        <f t="shared" si="35"/>
        <v>0</v>
      </c>
      <c r="R229">
        <f t="shared" si="36"/>
        <v>0</v>
      </c>
      <c r="S229">
        <f t="shared" si="37"/>
        <v>0</v>
      </c>
      <c r="T229">
        <f t="shared" si="39"/>
        <v>0</v>
      </c>
      <c r="U229">
        <f t="shared" si="38"/>
        <v>0</v>
      </c>
    </row>
    <row r="230" spans="1:21" x14ac:dyDescent="0.25">
      <c r="A230" s="2">
        <v>229</v>
      </c>
      <c r="B230" s="2" t="s">
        <v>592</v>
      </c>
      <c r="C230" s="2" t="s">
        <v>170</v>
      </c>
      <c r="D230">
        <v>171.02</v>
      </c>
      <c r="E230" s="80">
        <v>26539.37</v>
      </c>
      <c r="F230">
        <v>360.75</v>
      </c>
      <c r="G230">
        <v>357.06</v>
      </c>
      <c r="H230">
        <v>4035.52</v>
      </c>
      <c r="I230" s="80">
        <v>9270.32</v>
      </c>
      <c r="J230">
        <v>218.44</v>
      </c>
      <c r="K230">
        <v>1537.83</v>
      </c>
      <c r="L230">
        <f t="shared" si="30"/>
        <v>0</v>
      </c>
      <c r="M230">
        <f t="shared" si="31"/>
        <v>0</v>
      </c>
      <c r="N230">
        <f t="shared" si="32"/>
        <v>0</v>
      </c>
      <c r="O230">
        <f t="shared" si="33"/>
        <v>0</v>
      </c>
      <c r="P230">
        <f t="shared" si="34"/>
        <v>0</v>
      </c>
      <c r="Q230">
        <f t="shared" si="35"/>
        <v>0</v>
      </c>
      <c r="R230">
        <f t="shared" si="36"/>
        <v>0</v>
      </c>
      <c r="S230">
        <f t="shared" si="37"/>
        <v>0</v>
      </c>
      <c r="T230">
        <f t="shared" si="39"/>
        <v>0</v>
      </c>
      <c r="U230">
        <f t="shared" si="38"/>
        <v>0</v>
      </c>
    </row>
    <row r="231" spans="1:21" x14ac:dyDescent="0.25">
      <c r="A231" s="2">
        <v>230</v>
      </c>
      <c r="B231" s="2" t="s">
        <v>592</v>
      </c>
      <c r="C231" s="2" t="s">
        <v>178</v>
      </c>
      <c r="D231">
        <v>604.23</v>
      </c>
      <c r="E231" s="80">
        <v>30920.34</v>
      </c>
      <c r="F231">
        <v>1836.11</v>
      </c>
      <c r="G231">
        <v>650.77</v>
      </c>
      <c r="H231" s="80">
        <v>17120.18</v>
      </c>
      <c r="I231" s="80">
        <v>13175.38</v>
      </c>
      <c r="J231">
        <v>302.83999999999997</v>
      </c>
      <c r="K231">
        <v>3104.13</v>
      </c>
      <c r="L231">
        <f t="shared" si="30"/>
        <v>0</v>
      </c>
      <c r="M231">
        <f t="shared" si="31"/>
        <v>0</v>
      </c>
      <c r="N231">
        <f t="shared" si="32"/>
        <v>0</v>
      </c>
      <c r="O231">
        <f t="shared" si="33"/>
        <v>0</v>
      </c>
      <c r="P231">
        <f t="shared" si="34"/>
        <v>0</v>
      </c>
      <c r="Q231">
        <f t="shared" si="35"/>
        <v>0</v>
      </c>
      <c r="R231">
        <f t="shared" si="36"/>
        <v>0</v>
      </c>
      <c r="S231">
        <f t="shared" si="37"/>
        <v>0</v>
      </c>
      <c r="T231">
        <f t="shared" si="39"/>
        <v>0</v>
      </c>
      <c r="U231">
        <f t="shared" si="38"/>
        <v>0</v>
      </c>
    </row>
    <row r="232" spans="1:21" x14ac:dyDescent="0.25">
      <c r="A232" s="2">
        <v>231</v>
      </c>
      <c r="B232" s="2" t="s">
        <v>592</v>
      </c>
      <c r="C232" s="2" t="s">
        <v>163</v>
      </c>
      <c r="D232">
        <v>319.05</v>
      </c>
      <c r="E232" s="80">
        <v>34614.959999999999</v>
      </c>
      <c r="F232">
        <v>338.58</v>
      </c>
      <c r="G232">
        <v>479.22</v>
      </c>
      <c r="H232">
        <v>3004.64</v>
      </c>
      <c r="I232" s="80">
        <v>9461.64</v>
      </c>
      <c r="J232">
        <v>348.71</v>
      </c>
      <c r="K232">
        <v>6661.19</v>
      </c>
      <c r="L232">
        <f t="shared" si="30"/>
        <v>0</v>
      </c>
      <c r="M232">
        <f t="shared" si="31"/>
        <v>0</v>
      </c>
      <c r="N232">
        <f t="shared" si="32"/>
        <v>0</v>
      </c>
      <c r="O232">
        <f t="shared" si="33"/>
        <v>0</v>
      </c>
      <c r="P232">
        <f t="shared" si="34"/>
        <v>0</v>
      </c>
      <c r="Q232">
        <f t="shared" si="35"/>
        <v>0</v>
      </c>
      <c r="R232">
        <f t="shared" si="36"/>
        <v>0</v>
      </c>
      <c r="S232">
        <f t="shared" si="37"/>
        <v>0</v>
      </c>
      <c r="T232">
        <f t="shared" si="39"/>
        <v>0</v>
      </c>
      <c r="U232">
        <f t="shared" si="38"/>
        <v>0</v>
      </c>
    </row>
    <row r="233" spans="1:21" x14ac:dyDescent="0.25">
      <c r="A233" s="2">
        <v>232</v>
      </c>
      <c r="B233" s="2" t="s">
        <v>592</v>
      </c>
      <c r="C233" s="2" t="s">
        <v>181</v>
      </c>
      <c r="D233">
        <v>209.11</v>
      </c>
      <c r="E233" s="80">
        <v>58359.839999999997</v>
      </c>
      <c r="F233">
        <v>396.91</v>
      </c>
      <c r="G233">
        <v>876.65</v>
      </c>
      <c r="H233">
        <v>8091.95</v>
      </c>
      <c r="I233" s="80">
        <v>14297.06</v>
      </c>
      <c r="J233">
        <v>675.09</v>
      </c>
      <c r="K233" s="80">
        <v>14290.26</v>
      </c>
      <c r="L233">
        <f t="shared" si="30"/>
        <v>0</v>
      </c>
      <c r="M233">
        <f t="shared" si="31"/>
        <v>0</v>
      </c>
      <c r="N233">
        <f t="shared" si="32"/>
        <v>0</v>
      </c>
      <c r="O233">
        <f t="shared" si="33"/>
        <v>0</v>
      </c>
      <c r="P233">
        <f t="shared" si="34"/>
        <v>0</v>
      </c>
      <c r="Q233">
        <f t="shared" si="35"/>
        <v>0</v>
      </c>
      <c r="R233">
        <f t="shared" si="36"/>
        <v>0</v>
      </c>
      <c r="S233">
        <f t="shared" si="37"/>
        <v>0</v>
      </c>
      <c r="T233">
        <f t="shared" si="39"/>
        <v>0</v>
      </c>
      <c r="U233">
        <f t="shared" si="38"/>
        <v>0</v>
      </c>
    </row>
    <row r="234" spans="1:21" x14ac:dyDescent="0.25">
      <c r="A234" s="2">
        <v>233</v>
      </c>
      <c r="B234" s="2" t="s">
        <v>592</v>
      </c>
      <c r="C234" s="2" t="s">
        <v>183</v>
      </c>
      <c r="D234">
        <v>167.25</v>
      </c>
      <c r="E234" s="80">
        <v>40166.99</v>
      </c>
      <c r="F234" s="80">
        <v>4128.78</v>
      </c>
      <c r="G234">
        <v>853.55</v>
      </c>
      <c r="H234" s="80">
        <v>94291.98</v>
      </c>
      <c r="I234" s="80">
        <v>18404.669999999998</v>
      </c>
      <c r="J234">
        <v>614.61</v>
      </c>
      <c r="K234" s="80">
        <v>11626.48</v>
      </c>
      <c r="L234">
        <f t="shared" si="30"/>
        <v>0</v>
      </c>
      <c r="M234">
        <f t="shared" si="31"/>
        <v>0</v>
      </c>
      <c r="N234">
        <f t="shared" si="32"/>
        <v>0</v>
      </c>
      <c r="O234">
        <f t="shared" si="33"/>
        <v>0</v>
      </c>
      <c r="P234">
        <f t="shared" si="34"/>
        <v>0</v>
      </c>
      <c r="Q234">
        <f t="shared" si="35"/>
        <v>0</v>
      </c>
      <c r="R234">
        <f t="shared" si="36"/>
        <v>0</v>
      </c>
      <c r="S234">
        <f t="shared" si="37"/>
        <v>0</v>
      </c>
      <c r="T234">
        <f t="shared" si="39"/>
        <v>0</v>
      </c>
      <c r="U234">
        <f t="shared" si="38"/>
        <v>0</v>
      </c>
    </row>
    <row r="235" spans="1:21" x14ac:dyDescent="0.25">
      <c r="A235" s="2">
        <v>234</v>
      </c>
      <c r="B235" s="2" t="s">
        <v>592</v>
      </c>
      <c r="C235" s="2" t="s">
        <v>186</v>
      </c>
      <c r="D235">
        <v>171.02</v>
      </c>
      <c r="E235" s="80">
        <v>47238.26</v>
      </c>
      <c r="F235">
        <v>2021.27</v>
      </c>
      <c r="G235">
        <v>784.92</v>
      </c>
      <c r="H235" s="80">
        <v>19368.759999999998</v>
      </c>
      <c r="I235" s="80">
        <v>17814.759999999998</v>
      </c>
      <c r="J235">
        <v>478.17</v>
      </c>
      <c r="K235">
        <v>7427.01</v>
      </c>
      <c r="L235">
        <f t="shared" si="30"/>
        <v>0</v>
      </c>
      <c r="M235">
        <f t="shared" si="31"/>
        <v>0</v>
      </c>
      <c r="N235">
        <f t="shared" si="32"/>
        <v>0</v>
      </c>
      <c r="O235">
        <f t="shared" si="33"/>
        <v>0</v>
      </c>
      <c r="P235">
        <f t="shared" si="34"/>
        <v>0</v>
      </c>
      <c r="Q235">
        <f t="shared" si="35"/>
        <v>0</v>
      </c>
      <c r="R235">
        <f t="shared" si="36"/>
        <v>0</v>
      </c>
      <c r="S235">
        <f t="shared" si="37"/>
        <v>0</v>
      </c>
      <c r="T235">
        <f t="shared" si="39"/>
        <v>0</v>
      </c>
      <c r="U235">
        <f t="shared" si="38"/>
        <v>0</v>
      </c>
    </row>
    <row r="236" spans="1:21" x14ac:dyDescent="0.25">
      <c r="A236" s="2">
        <v>235</v>
      </c>
      <c r="B236" s="2" t="s">
        <v>592</v>
      </c>
      <c r="C236" s="2" t="s">
        <v>188</v>
      </c>
      <c r="D236">
        <v>90.22</v>
      </c>
      <c r="E236" s="80">
        <v>52231.43</v>
      </c>
      <c r="F236">
        <v>12.11</v>
      </c>
      <c r="G236">
        <v>458.44</v>
      </c>
      <c r="H236">
        <v>64.239999999999995</v>
      </c>
      <c r="I236">
        <v>215.41</v>
      </c>
      <c r="J236">
        <v>233.82</v>
      </c>
      <c r="K236">
        <v>69.430000000000007</v>
      </c>
      <c r="L236">
        <f t="shared" si="30"/>
        <v>0</v>
      </c>
      <c r="M236">
        <f t="shared" si="31"/>
        <v>0</v>
      </c>
      <c r="N236">
        <f t="shared" si="32"/>
        <v>0</v>
      </c>
      <c r="O236">
        <f t="shared" si="33"/>
        <v>0</v>
      </c>
      <c r="P236">
        <f t="shared" si="34"/>
        <v>0</v>
      </c>
      <c r="Q236">
        <f t="shared" si="35"/>
        <v>0</v>
      </c>
      <c r="R236">
        <f t="shared" si="36"/>
        <v>0</v>
      </c>
      <c r="S236">
        <f t="shared" si="37"/>
        <v>0</v>
      </c>
      <c r="T236">
        <f t="shared" si="39"/>
        <v>0</v>
      </c>
      <c r="U236">
        <f t="shared" si="38"/>
        <v>0</v>
      </c>
    </row>
    <row r="237" spans="1:21" x14ac:dyDescent="0.25">
      <c r="A237" s="2">
        <v>236</v>
      </c>
      <c r="B237" s="2" t="s">
        <v>592</v>
      </c>
      <c r="C237" s="2" t="s">
        <v>182</v>
      </c>
      <c r="D237">
        <v>7.69</v>
      </c>
      <c r="E237">
        <v>1744.22</v>
      </c>
      <c r="F237" t="s">
        <v>583</v>
      </c>
      <c r="G237" s="80">
        <v>17.04</v>
      </c>
      <c r="H237">
        <v>2.25</v>
      </c>
      <c r="I237">
        <v>12.66</v>
      </c>
      <c r="J237" t="s">
        <v>583</v>
      </c>
      <c r="K237">
        <v>1.36</v>
      </c>
      <c r="L237">
        <f t="shared" si="30"/>
        <v>0</v>
      </c>
      <c r="M237">
        <f t="shared" si="31"/>
        <v>0</v>
      </c>
      <c r="N237">
        <f t="shared" si="32"/>
        <v>0</v>
      </c>
      <c r="O237">
        <f t="shared" si="33"/>
        <v>0</v>
      </c>
      <c r="P237">
        <f t="shared" si="34"/>
        <v>0</v>
      </c>
      <c r="Q237">
        <f t="shared" si="35"/>
        <v>0</v>
      </c>
      <c r="R237">
        <f t="shared" si="36"/>
        <v>0</v>
      </c>
      <c r="S237">
        <f t="shared" si="37"/>
        <v>0</v>
      </c>
      <c r="T237">
        <f t="shared" si="39"/>
        <v>0</v>
      </c>
      <c r="U237">
        <f t="shared" si="38"/>
        <v>0</v>
      </c>
    </row>
    <row r="238" spans="1:21" x14ac:dyDescent="0.25">
      <c r="A238" s="2">
        <v>237</v>
      </c>
      <c r="B238" s="2" t="s">
        <v>592</v>
      </c>
      <c r="C238" s="2" t="s">
        <v>184</v>
      </c>
      <c r="D238">
        <v>279.3</v>
      </c>
      <c r="E238">
        <v>13738.09</v>
      </c>
      <c r="F238">
        <v>193.86</v>
      </c>
      <c r="G238">
        <v>294.29000000000002</v>
      </c>
      <c r="H238">
        <v>14895.85</v>
      </c>
      <c r="I238" s="80">
        <v>12215.23</v>
      </c>
      <c r="J238">
        <v>226.13</v>
      </c>
      <c r="K238">
        <v>2342.52</v>
      </c>
      <c r="L238">
        <f t="shared" si="30"/>
        <v>0</v>
      </c>
      <c r="M238">
        <f t="shared" si="31"/>
        <v>0</v>
      </c>
      <c r="N238">
        <f t="shared" si="32"/>
        <v>0</v>
      </c>
      <c r="O238">
        <f t="shared" si="33"/>
        <v>0</v>
      </c>
      <c r="P238">
        <f t="shared" si="34"/>
        <v>0</v>
      </c>
      <c r="Q238">
        <f t="shared" si="35"/>
        <v>0</v>
      </c>
      <c r="R238">
        <f t="shared" si="36"/>
        <v>0</v>
      </c>
      <c r="S238">
        <f t="shared" si="37"/>
        <v>0</v>
      </c>
      <c r="T238">
        <f t="shared" si="39"/>
        <v>0</v>
      </c>
      <c r="U238">
        <f t="shared" si="38"/>
        <v>0</v>
      </c>
    </row>
    <row r="239" spans="1:21" x14ac:dyDescent="0.25">
      <c r="A239" s="2">
        <v>238</v>
      </c>
      <c r="B239" s="2" t="s">
        <v>592</v>
      </c>
      <c r="C239" s="2" t="s">
        <v>187</v>
      </c>
      <c r="D239">
        <v>1659.03</v>
      </c>
      <c r="E239">
        <v>9603.99</v>
      </c>
      <c r="F239">
        <v>277.82</v>
      </c>
      <c r="G239">
        <v>356.22</v>
      </c>
      <c r="H239" s="80">
        <v>35900.660000000003</v>
      </c>
      <c r="I239" s="80">
        <v>11983.05</v>
      </c>
      <c r="J239">
        <v>302.83999999999997</v>
      </c>
      <c r="K239">
        <v>7159.39</v>
      </c>
      <c r="L239">
        <f t="shared" si="30"/>
        <v>0</v>
      </c>
      <c r="M239">
        <f t="shared" si="31"/>
        <v>0</v>
      </c>
      <c r="N239">
        <f t="shared" si="32"/>
        <v>0</v>
      </c>
      <c r="O239">
        <f t="shared" si="33"/>
        <v>0</v>
      </c>
      <c r="P239">
        <f t="shared" si="34"/>
        <v>0</v>
      </c>
      <c r="Q239">
        <f t="shared" si="35"/>
        <v>0</v>
      </c>
      <c r="R239">
        <f t="shared" si="36"/>
        <v>0</v>
      </c>
      <c r="S239">
        <f t="shared" si="37"/>
        <v>0</v>
      </c>
      <c r="T239">
        <f t="shared" si="39"/>
        <v>0</v>
      </c>
      <c r="U239">
        <f t="shared" si="38"/>
        <v>0</v>
      </c>
    </row>
    <row r="240" spans="1:21" x14ac:dyDescent="0.25">
      <c r="A240" s="2">
        <v>239</v>
      </c>
      <c r="B240" s="2" t="s">
        <v>592</v>
      </c>
      <c r="C240" s="2" t="s">
        <v>189</v>
      </c>
      <c r="D240">
        <v>1621.66</v>
      </c>
      <c r="E240">
        <v>8538.42</v>
      </c>
      <c r="F240">
        <v>11.65</v>
      </c>
      <c r="G240">
        <v>274.07</v>
      </c>
      <c r="H240">
        <v>15241.44</v>
      </c>
      <c r="I240" s="80">
        <v>5517.15</v>
      </c>
      <c r="J240">
        <v>272.2</v>
      </c>
      <c r="K240">
        <v>6528.29</v>
      </c>
      <c r="L240">
        <f t="shared" si="30"/>
        <v>0</v>
      </c>
      <c r="M240">
        <f t="shared" si="31"/>
        <v>0</v>
      </c>
      <c r="N240">
        <f t="shared" si="32"/>
        <v>0</v>
      </c>
      <c r="O240">
        <f t="shared" si="33"/>
        <v>0</v>
      </c>
      <c r="P240">
        <f t="shared" si="34"/>
        <v>0</v>
      </c>
      <c r="Q240">
        <f t="shared" si="35"/>
        <v>0</v>
      </c>
      <c r="R240">
        <f t="shared" si="36"/>
        <v>0</v>
      </c>
      <c r="S240">
        <f t="shared" si="37"/>
        <v>0</v>
      </c>
      <c r="T240">
        <f t="shared" si="39"/>
        <v>0</v>
      </c>
      <c r="U240">
        <f t="shared" si="38"/>
        <v>0</v>
      </c>
    </row>
    <row r="241" spans="1:21" x14ac:dyDescent="0.25">
      <c r="A241" s="2">
        <v>240</v>
      </c>
      <c r="B241" s="2" t="s">
        <v>595</v>
      </c>
      <c r="C241" s="2" t="s">
        <v>162</v>
      </c>
      <c r="D241">
        <v>48.67</v>
      </c>
      <c r="E241" s="80">
        <v>31785.07</v>
      </c>
      <c r="F241">
        <v>9.76</v>
      </c>
      <c r="G241">
        <v>294.29000000000002</v>
      </c>
      <c r="H241">
        <v>9.75</v>
      </c>
      <c r="I241">
        <v>9.19</v>
      </c>
      <c r="J241">
        <v>164.45</v>
      </c>
      <c r="K241">
        <v>26.39</v>
      </c>
      <c r="L241">
        <f t="shared" si="30"/>
        <v>0</v>
      </c>
      <c r="M241">
        <f t="shared" si="31"/>
        <v>0</v>
      </c>
      <c r="N241">
        <f t="shared" si="32"/>
        <v>0</v>
      </c>
      <c r="O241">
        <f t="shared" si="33"/>
        <v>0</v>
      </c>
      <c r="P241">
        <f t="shared" si="34"/>
        <v>0</v>
      </c>
      <c r="Q241">
        <f t="shared" si="35"/>
        <v>0</v>
      </c>
      <c r="R241">
        <f t="shared" si="36"/>
        <v>0</v>
      </c>
      <c r="S241">
        <f t="shared" si="37"/>
        <v>0</v>
      </c>
      <c r="T241">
        <f t="shared" si="39"/>
        <v>0</v>
      </c>
      <c r="U241">
        <f t="shared" si="38"/>
        <v>0</v>
      </c>
    </row>
    <row r="242" spans="1:21" x14ac:dyDescent="0.25">
      <c r="A242" s="2">
        <v>241</v>
      </c>
      <c r="B242" s="2" t="s">
        <v>595</v>
      </c>
      <c r="C242" s="2" t="s">
        <v>170</v>
      </c>
      <c r="D242">
        <v>122.69</v>
      </c>
      <c r="E242" s="80">
        <v>30976.67</v>
      </c>
      <c r="F242">
        <v>384.93</v>
      </c>
      <c r="G242">
        <v>441.45</v>
      </c>
      <c r="H242">
        <v>6774.41</v>
      </c>
      <c r="I242" s="80">
        <v>10784.78</v>
      </c>
      <c r="J242">
        <v>264.52999999999997</v>
      </c>
      <c r="K242">
        <v>1912.23</v>
      </c>
      <c r="L242">
        <f t="shared" si="30"/>
        <v>0</v>
      </c>
      <c r="M242">
        <f t="shared" si="31"/>
        <v>0</v>
      </c>
      <c r="N242">
        <f t="shared" si="32"/>
        <v>0</v>
      </c>
      <c r="O242">
        <f t="shared" si="33"/>
        <v>0</v>
      </c>
      <c r="P242">
        <f t="shared" si="34"/>
        <v>0</v>
      </c>
      <c r="Q242">
        <f t="shared" si="35"/>
        <v>0</v>
      </c>
      <c r="R242">
        <f t="shared" si="36"/>
        <v>0</v>
      </c>
      <c r="S242">
        <f t="shared" si="37"/>
        <v>0</v>
      </c>
      <c r="T242">
        <f t="shared" si="39"/>
        <v>0</v>
      </c>
      <c r="U242">
        <f t="shared" si="38"/>
        <v>0</v>
      </c>
    </row>
    <row r="243" spans="1:21" x14ac:dyDescent="0.25">
      <c r="A243" s="2">
        <v>242</v>
      </c>
      <c r="B243" s="2" t="s">
        <v>595</v>
      </c>
      <c r="C243" s="2" t="s">
        <v>178</v>
      </c>
      <c r="D243">
        <v>428.6</v>
      </c>
      <c r="E243" s="80">
        <v>26728.06</v>
      </c>
      <c r="F243">
        <v>1055.0899999999999</v>
      </c>
      <c r="G243">
        <v>574.16</v>
      </c>
      <c r="H243" s="80">
        <v>26766.09</v>
      </c>
      <c r="I243" s="80">
        <v>13107.39</v>
      </c>
      <c r="J243">
        <v>302.83999999999997</v>
      </c>
      <c r="K243">
        <v>4367.9399999999996</v>
      </c>
      <c r="L243">
        <f t="shared" si="30"/>
        <v>0</v>
      </c>
      <c r="M243">
        <f t="shared" si="31"/>
        <v>0</v>
      </c>
      <c r="N243">
        <f t="shared" si="32"/>
        <v>0</v>
      </c>
      <c r="O243">
        <f t="shared" si="33"/>
        <v>0</v>
      </c>
      <c r="P243">
        <f t="shared" si="34"/>
        <v>0</v>
      </c>
      <c r="Q243">
        <f t="shared" si="35"/>
        <v>0</v>
      </c>
      <c r="R243">
        <f t="shared" si="36"/>
        <v>0</v>
      </c>
      <c r="S243">
        <f t="shared" si="37"/>
        <v>0</v>
      </c>
      <c r="T243">
        <f t="shared" si="39"/>
        <v>0</v>
      </c>
      <c r="U243">
        <f t="shared" si="38"/>
        <v>0</v>
      </c>
    </row>
    <row r="244" spans="1:21" x14ac:dyDescent="0.25">
      <c r="A244" s="2">
        <v>243</v>
      </c>
      <c r="B244" s="2" t="s">
        <v>595</v>
      </c>
      <c r="C244" s="2" t="s">
        <v>163</v>
      </c>
      <c r="D244">
        <v>1180.27</v>
      </c>
      <c r="E244" s="80">
        <v>34699.410000000003</v>
      </c>
      <c r="F244">
        <v>97.83</v>
      </c>
      <c r="G244">
        <v>574.16</v>
      </c>
      <c r="H244">
        <v>7359.98</v>
      </c>
      <c r="I244" s="80">
        <v>7713.17</v>
      </c>
      <c r="J244">
        <v>394.48</v>
      </c>
      <c r="K244" s="80">
        <v>9983.5400000000009</v>
      </c>
      <c r="L244">
        <f t="shared" si="30"/>
        <v>0</v>
      </c>
      <c r="M244">
        <f t="shared" si="31"/>
        <v>0</v>
      </c>
      <c r="N244">
        <f t="shared" si="32"/>
        <v>0</v>
      </c>
      <c r="O244">
        <f t="shared" si="33"/>
        <v>0</v>
      </c>
      <c r="P244">
        <f t="shared" si="34"/>
        <v>0</v>
      </c>
      <c r="Q244">
        <f t="shared" si="35"/>
        <v>0</v>
      </c>
      <c r="R244">
        <f t="shared" si="36"/>
        <v>0</v>
      </c>
      <c r="S244">
        <f t="shared" si="37"/>
        <v>0</v>
      </c>
      <c r="T244">
        <f t="shared" si="39"/>
        <v>0</v>
      </c>
      <c r="U244">
        <f t="shared" si="38"/>
        <v>0</v>
      </c>
    </row>
    <row r="245" spans="1:21" x14ac:dyDescent="0.25">
      <c r="A245" s="2">
        <v>244</v>
      </c>
      <c r="B245" s="2" t="s">
        <v>595</v>
      </c>
      <c r="C245" s="2" t="s">
        <v>181</v>
      </c>
      <c r="D245">
        <v>83.14</v>
      </c>
      <c r="E245" s="80">
        <v>53208.23</v>
      </c>
      <c r="F245">
        <v>13.44</v>
      </c>
      <c r="G245">
        <v>356.22</v>
      </c>
      <c r="H245">
        <v>84.08</v>
      </c>
      <c r="I245">
        <v>233.03</v>
      </c>
      <c r="J245">
        <v>249.18</v>
      </c>
      <c r="K245">
        <v>272.39999999999998</v>
      </c>
      <c r="L245">
        <f t="shared" si="30"/>
        <v>0</v>
      </c>
      <c r="M245">
        <f t="shared" si="31"/>
        <v>0</v>
      </c>
      <c r="N245">
        <f t="shared" si="32"/>
        <v>0</v>
      </c>
      <c r="O245">
        <f t="shared" si="33"/>
        <v>0</v>
      </c>
      <c r="P245">
        <f t="shared" si="34"/>
        <v>0</v>
      </c>
      <c r="Q245">
        <f t="shared" si="35"/>
        <v>0</v>
      </c>
      <c r="R245">
        <f t="shared" si="36"/>
        <v>0</v>
      </c>
      <c r="S245">
        <f t="shared" si="37"/>
        <v>0</v>
      </c>
      <c r="T245">
        <f t="shared" si="39"/>
        <v>0</v>
      </c>
      <c r="U245">
        <f t="shared" si="38"/>
        <v>0</v>
      </c>
    </row>
    <row r="246" spans="1:21" x14ac:dyDescent="0.25">
      <c r="A246" s="2">
        <v>245</v>
      </c>
      <c r="B246" s="2" t="s">
        <v>595</v>
      </c>
      <c r="C246" s="2" t="s">
        <v>183</v>
      </c>
      <c r="D246">
        <v>174.8</v>
      </c>
      <c r="E246" s="80">
        <v>45596.57</v>
      </c>
      <c r="F246">
        <v>1808.8</v>
      </c>
      <c r="G246">
        <v>758.71</v>
      </c>
      <c r="H246">
        <v>15370.87</v>
      </c>
      <c r="I246" s="80">
        <v>18416.93</v>
      </c>
      <c r="J246">
        <v>500.95</v>
      </c>
      <c r="K246" s="80">
        <v>10355.18</v>
      </c>
      <c r="L246">
        <f t="shared" si="30"/>
        <v>0</v>
      </c>
      <c r="M246">
        <f t="shared" si="31"/>
        <v>0</v>
      </c>
      <c r="N246">
        <f t="shared" si="32"/>
        <v>0</v>
      </c>
      <c r="O246">
        <f t="shared" si="33"/>
        <v>0</v>
      </c>
      <c r="P246">
        <f t="shared" si="34"/>
        <v>0</v>
      </c>
      <c r="Q246">
        <f t="shared" si="35"/>
        <v>0</v>
      </c>
      <c r="R246">
        <f t="shared" si="36"/>
        <v>0</v>
      </c>
      <c r="S246">
        <f t="shared" si="37"/>
        <v>0</v>
      </c>
      <c r="T246">
        <f t="shared" si="39"/>
        <v>0</v>
      </c>
      <c r="U246">
        <f t="shared" si="38"/>
        <v>0</v>
      </c>
    </row>
    <row r="247" spans="1:21" x14ac:dyDescent="0.25">
      <c r="A247" s="2">
        <v>246</v>
      </c>
      <c r="B247" s="2" t="s">
        <v>595</v>
      </c>
      <c r="C247" s="2" t="s">
        <v>186</v>
      </c>
      <c r="D247">
        <v>186.17</v>
      </c>
      <c r="E247" s="80">
        <v>40383.24</v>
      </c>
      <c r="F247">
        <v>3514.01</v>
      </c>
      <c r="G247">
        <v>926.23</v>
      </c>
      <c r="H247" s="80">
        <v>247421.45</v>
      </c>
      <c r="I247" s="80">
        <v>18724.650000000001</v>
      </c>
      <c r="J247">
        <v>591.91</v>
      </c>
      <c r="K247" s="80">
        <v>14611.08</v>
      </c>
      <c r="L247">
        <f t="shared" si="30"/>
        <v>0</v>
      </c>
      <c r="M247">
        <f t="shared" si="31"/>
        <v>0</v>
      </c>
      <c r="N247">
        <f t="shared" si="32"/>
        <v>0</v>
      </c>
      <c r="O247">
        <f t="shared" si="33"/>
        <v>0</v>
      </c>
      <c r="P247">
        <f t="shared" si="34"/>
        <v>0</v>
      </c>
      <c r="Q247">
        <f t="shared" si="35"/>
        <v>0</v>
      </c>
      <c r="R247">
        <f t="shared" si="36"/>
        <v>0</v>
      </c>
      <c r="S247">
        <f t="shared" si="37"/>
        <v>0</v>
      </c>
      <c r="T247">
        <f t="shared" si="39"/>
        <v>0</v>
      </c>
      <c r="U247">
        <f t="shared" si="38"/>
        <v>0</v>
      </c>
    </row>
    <row r="248" spans="1:21" x14ac:dyDescent="0.25">
      <c r="A248" s="2">
        <v>247</v>
      </c>
      <c r="B248" s="2" t="s">
        <v>595</v>
      </c>
      <c r="C248" s="2" t="s">
        <v>188</v>
      </c>
      <c r="D248">
        <v>148.53</v>
      </c>
      <c r="E248" s="80">
        <v>51620.15</v>
      </c>
      <c r="F248">
        <v>189.37</v>
      </c>
      <c r="G248">
        <v>665.44</v>
      </c>
      <c r="H248">
        <v>4177.78</v>
      </c>
      <c r="I248" s="80">
        <v>11899.62</v>
      </c>
      <c r="J248">
        <v>531.29999999999995</v>
      </c>
      <c r="K248" s="80">
        <v>11702.08</v>
      </c>
      <c r="L248">
        <f t="shared" si="30"/>
        <v>0</v>
      </c>
      <c r="M248">
        <f t="shared" si="31"/>
        <v>0</v>
      </c>
      <c r="N248">
        <f t="shared" si="32"/>
        <v>0</v>
      </c>
      <c r="O248">
        <f t="shared" si="33"/>
        <v>0</v>
      </c>
      <c r="P248">
        <f t="shared" si="34"/>
        <v>0</v>
      </c>
      <c r="Q248">
        <f t="shared" si="35"/>
        <v>0</v>
      </c>
      <c r="R248">
        <f t="shared" si="36"/>
        <v>0</v>
      </c>
      <c r="S248">
        <f t="shared" si="37"/>
        <v>0</v>
      </c>
      <c r="T248">
        <f t="shared" si="39"/>
        <v>0</v>
      </c>
      <c r="U248">
        <f t="shared" si="38"/>
        <v>0</v>
      </c>
    </row>
    <row r="249" spans="1:21" x14ac:dyDescent="0.25">
      <c r="A249" s="2">
        <v>248</v>
      </c>
      <c r="B249" s="2" t="s">
        <v>595</v>
      </c>
      <c r="C249" s="2" t="s">
        <v>182</v>
      </c>
      <c r="D249">
        <v>28.99</v>
      </c>
      <c r="E249">
        <v>15057.39</v>
      </c>
      <c r="F249" t="s">
        <v>583</v>
      </c>
      <c r="G249">
        <v>54.68</v>
      </c>
      <c r="H249">
        <v>12.84</v>
      </c>
      <c r="I249">
        <v>4.3499999999999996</v>
      </c>
      <c r="J249">
        <v>71.12</v>
      </c>
      <c r="K249">
        <v>6.86</v>
      </c>
      <c r="L249">
        <f t="shared" si="30"/>
        <v>0</v>
      </c>
      <c r="M249">
        <f t="shared" si="31"/>
        <v>0</v>
      </c>
      <c r="N249">
        <f t="shared" si="32"/>
        <v>0</v>
      </c>
      <c r="O249">
        <f t="shared" si="33"/>
        <v>0</v>
      </c>
      <c r="P249">
        <f t="shared" si="34"/>
        <v>0</v>
      </c>
      <c r="Q249">
        <f t="shared" si="35"/>
        <v>0</v>
      </c>
      <c r="R249">
        <f t="shared" si="36"/>
        <v>0</v>
      </c>
      <c r="S249">
        <f t="shared" si="37"/>
        <v>0</v>
      </c>
      <c r="T249">
        <f t="shared" si="39"/>
        <v>0</v>
      </c>
      <c r="U249">
        <f t="shared" si="38"/>
        <v>0</v>
      </c>
    </row>
    <row r="250" spans="1:21" x14ac:dyDescent="0.25">
      <c r="A250" s="2">
        <v>249</v>
      </c>
      <c r="B250" s="2" t="s">
        <v>595</v>
      </c>
      <c r="C250" s="2" t="s">
        <v>184</v>
      </c>
      <c r="D250">
        <v>133.71</v>
      </c>
      <c r="E250">
        <v>14691.96</v>
      </c>
      <c r="F250">
        <v>165.79</v>
      </c>
      <c r="G250">
        <v>274.07</v>
      </c>
      <c r="H250">
        <v>6715.83</v>
      </c>
      <c r="I250" s="80">
        <v>15156.17</v>
      </c>
      <c r="J250">
        <v>272.2</v>
      </c>
      <c r="K250">
        <v>5302.18</v>
      </c>
      <c r="L250">
        <f t="shared" si="30"/>
        <v>0</v>
      </c>
      <c r="M250">
        <f t="shared" si="31"/>
        <v>0</v>
      </c>
      <c r="N250">
        <f t="shared" si="32"/>
        <v>0</v>
      </c>
      <c r="O250">
        <f t="shared" si="33"/>
        <v>0</v>
      </c>
      <c r="P250">
        <f t="shared" si="34"/>
        <v>0</v>
      </c>
      <c r="Q250">
        <f t="shared" si="35"/>
        <v>0</v>
      </c>
      <c r="R250">
        <f t="shared" si="36"/>
        <v>0</v>
      </c>
      <c r="S250">
        <f t="shared" si="37"/>
        <v>0</v>
      </c>
      <c r="T250">
        <f t="shared" si="39"/>
        <v>0</v>
      </c>
      <c r="U250">
        <f t="shared" si="38"/>
        <v>0</v>
      </c>
    </row>
    <row r="251" spans="1:21" x14ac:dyDescent="0.25">
      <c r="A251" s="2">
        <v>250</v>
      </c>
      <c r="B251" s="2" t="s">
        <v>595</v>
      </c>
      <c r="C251" s="2" t="s">
        <v>187</v>
      </c>
      <c r="D251">
        <v>646.83000000000004</v>
      </c>
      <c r="E251">
        <v>12081.96</v>
      </c>
      <c r="F251">
        <v>212.82</v>
      </c>
      <c r="G251">
        <v>356.22</v>
      </c>
      <c r="H251" s="80">
        <v>27017.95</v>
      </c>
      <c r="I251" s="80">
        <v>13776.43</v>
      </c>
      <c r="J251">
        <v>333.43</v>
      </c>
      <c r="K251" s="80">
        <v>10811.58</v>
      </c>
      <c r="L251">
        <f t="shared" si="30"/>
        <v>0</v>
      </c>
      <c r="M251">
        <f t="shared" si="31"/>
        <v>0</v>
      </c>
      <c r="N251">
        <f t="shared" si="32"/>
        <v>0</v>
      </c>
      <c r="O251">
        <f t="shared" si="33"/>
        <v>0</v>
      </c>
      <c r="P251">
        <f t="shared" si="34"/>
        <v>0</v>
      </c>
      <c r="Q251">
        <f t="shared" si="35"/>
        <v>0</v>
      </c>
      <c r="R251">
        <f t="shared" si="36"/>
        <v>0</v>
      </c>
      <c r="S251">
        <f t="shared" si="37"/>
        <v>0</v>
      </c>
      <c r="T251">
        <f t="shared" si="39"/>
        <v>0</v>
      </c>
      <c r="U251">
        <f t="shared" si="38"/>
        <v>0</v>
      </c>
    </row>
    <row r="252" spans="1:21" x14ac:dyDescent="0.25">
      <c r="A252" s="2">
        <v>251</v>
      </c>
      <c r="B252" s="2" t="s">
        <v>595</v>
      </c>
      <c r="C252" s="2" t="s">
        <v>189</v>
      </c>
      <c r="D252">
        <v>209.11</v>
      </c>
      <c r="E252">
        <v>18210.57</v>
      </c>
      <c r="F252">
        <v>21.96</v>
      </c>
      <c r="G252">
        <v>274.07</v>
      </c>
      <c r="H252">
        <v>6860.46</v>
      </c>
      <c r="I252" s="80">
        <v>8812.34</v>
      </c>
      <c r="J252">
        <v>333.43</v>
      </c>
      <c r="K252" s="80">
        <v>11452.15</v>
      </c>
      <c r="L252">
        <f t="shared" si="30"/>
        <v>0</v>
      </c>
      <c r="M252">
        <f t="shared" si="31"/>
        <v>0</v>
      </c>
      <c r="N252">
        <f t="shared" si="32"/>
        <v>0</v>
      </c>
      <c r="O252">
        <f t="shared" si="33"/>
        <v>0</v>
      </c>
      <c r="P252">
        <f t="shared" si="34"/>
        <v>0</v>
      </c>
      <c r="Q252">
        <f t="shared" si="35"/>
        <v>0</v>
      </c>
      <c r="R252">
        <f t="shared" si="36"/>
        <v>0</v>
      </c>
      <c r="S252">
        <f t="shared" si="37"/>
        <v>0</v>
      </c>
      <c r="T252">
        <f t="shared" si="39"/>
        <v>0</v>
      </c>
      <c r="U252">
        <f t="shared" si="38"/>
        <v>0</v>
      </c>
    </row>
    <row r="253" spans="1:21" x14ac:dyDescent="0.25">
      <c r="A253" s="2">
        <v>252</v>
      </c>
      <c r="B253" s="2" t="s">
        <v>24</v>
      </c>
      <c r="C253" s="2" t="s">
        <v>162</v>
      </c>
      <c r="D253">
        <v>48.67</v>
      </c>
      <c r="E253">
        <v>18210.57</v>
      </c>
      <c r="F253">
        <v>7</v>
      </c>
      <c r="G253">
        <v>234.33</v>
      </c>
      <c r="H253">
        <v>8.1999999999999993</v>
      </c>
      <c r="I253">
        <v>1.8</v>
      </c>
      <c r="J253">
        <v>117.94</v>
      </c>
      <c r="K253">
        <v>5.1100000000000003</v>
      </c>
      <c r="L253">
        <f t="shared" si="30"/>
        <v>0</v>
      </c>
      <c r="M253">
        <f t="shared" si="31"/>
        <v>0</v>
      </c>
      <c r="N253">
        <f t="shared" si="32"/>
        <v>0</v>
      </c>
      <c r="O253">
        <f t="shared" si="33"/>
        <v>0</v>
      </c>
      <c r="P253">
        <f t="shared" si="34"/>
        <v>0</v>
      </c>
      <c r="Q253">
        <f t="shared" si="35"/>
        <v>0</v>
      </c>
      <c r="R253">
        <f t="shared" si="36"/>
        <v>0</v>
      </c>
      <c r="S253">
        <f t="shared" si="37"/>
        <v>0</v>
      </c>
      <c r="T253">
        <f t="shared" si="39"/>
        <v>0</v>
      </c>
      <c r="U253">
        <f t="shared" si="38"/>
        <v>0</v>
      </c>
    </row>
    <row r="254" spans="1:21" x14ac:dyDescent="0.25">
      <c r="A254" s="2">
        <v>253</v>
      </c>
      <c r="B254" s="2" t="s">
        <v>24</v>
      </c>
      <c r="C254" s="2" t="s">
        <v>170</v>
      </c>
      <c r="D254">
        <v>76.12</v>
      </c>
      <c r="E254" s="80">
        <v>32475.4</v>
      </c>
      <c r="F254">
        <v>70.22</v>
      </c>
      <c r="G254">
        <v>294.29000000000002</v>
      </c>
      <c r="H254">
        <v>932.37</v>
      </c>
      <c r="I254" s="80">
        <v>9715.5499999999993</v>
      </c>
      <c r="J254">
        <v>226.13</v>
      </c>
      <c r="K254">
        <v>463.98</v>
      </c>
      <c r="L254">
        <f t="shared" si="30"/>
        <v>0</v>
      </c>
      <c r="M254">
        <f t="shared" si="31"/>
        <v>0</v>
      </c>
      <c r="N254">
        <f t="shared" si="32"/>
        <v>0</v>
      </c>
      <c r="O254">
        <f t="shared" si="33"/>
        <v>0</v>
      </c>
      <c r="P254">
        <f t="shared" si="34"/>
        <v>0</v>
      </c>
      <c r="Q254">
        <f t="shared" si="35"/>
        <v>0</v>
      </c>
      <c r="R254">
        <f t="shared" si="36"/>
        <v>0</v>
      </c>
      <c r="S254">
        <f t="shared" si="37"/>
        <v>0</v>
      </c>
      <c r="T254">
        <f t="shared" si="39"/>
        <v>0</v>
      </c>
      <c r="U254">
        <f t="shared" si="38"/>
        <v>0</v>
      </c>
    </row>
    <row r="255" spans="1:21" x14ac:dyDescent="0.25">
      <c r="A255" s="2">
        <v>254</v>
      </c>
      <c r="B255" s="2" t="s">
        <v>24</v>
      </c>
      <c r="C255" s="2" t="s">
        <v>178</v>
      </c>
      <c r="D255">
        <v>111.77</v>
      </c>
      <c r="E255" s="80">
        <v>38333.14</v>
      </c>
      <c r="F255">
        <v>360.66</v>
      </c>
      <c r="G255">
        <v>441.45</v>
      </c>
      <c r="H255">
        <v>4678.05</v>
      </c>
      <c r="I255" s="80">
        <v>12936.77</v>
      </c>
      <c r="J255">
        <v>226.13</v>
      </c>
      <c r="K255">
        <v>943.29</v>
      </c>
      <c r="L255">
        <f t="shared" si="30"/>
        <v>0</v>
      </c>
      <c r="M255">
        <f t="shared" si="31"/>
        <v>0</v>
      </c>
      <c r="N255">
        <f t="shared" si="32"/>
        <v>0</v>
      </c>
      <c r="O255">
        <f t="shared" si="33"/>
        <v>0</v>
      </c>
      <c r="P255">
        <f t="shared" si="34"/>
        <v>0</v>
      </c>
      <c r="Q255">
        <f t="shared" si="35"/>
        <v>0</v>
      </c>
      <c r="R255">
        <f t="shared" si="36"/>
        <v>0</v>
      </c>
      <c r="S255">
        <f t="shared" si="37"/>
        <v>0</v>
      </c>
      <c r="T255">
        <f t="shared" si="39"/>
        <v>0</v>
      </c>
      <c r="U255">
        <f t="shared" si="38"/>
        <v>0</v>
      </c>
    </row>
    <row r="256" spans="1:21" x14ac:dyDescent="0.25">
      <c r="A256" s="2">
        <v>255</v>
      </c>
      <c r="B256" s="2" t="s">
        <v>24</v>
      </c>
      <c r="C256" s="2" t="s">
        <v>163</v>
      </c>
      <c r="D256">
        <v>482.35</v>
      </c>
      <c r="E256" s="80">
        <v>43663.88</v>
      </c>
      <c r="F256">
        <v>140.07</v>
      </c>
      <c r="G256">
        <v>551.66999999999996</v>
      </c>
      <c r="H256">
        <v>3139.03</v>
      </c>
      <c r="I256" s="80">
        <v>6614.93</v>
      </c>
      <c r="J256">
        <v>333.43</v>
      </c>
      <c r="K256">
        <v>6455.62</v>
      </c>
      <c r="L256">
        <f t="shared" si="30"/>
        <v>0</v>
      </c>
      <c r="M256">
        <f t="shared" si="31"/>
        <v>0</v>
      </c>
      <c r="N256">
        <f t="shared" si="32"/>
        <v>0</v>
      </c>
      <c r="O256">
        <f t="shared" si="33"/>
        <v>0</v>
      </c>
      <c r="P256">
        <f t="shared" si="34"/>
        <v>0</v>
      </c>
      <c r="Q256">
        <f t="shared" si="35"/>
        <v>0</v>
      </c>
      <c r="R256">
        <f t="shared" si="36"/>
        <v>0</v>
      </c>
      <c r="S256">
        <f t="shared" si="37"/>
        <v>0</v>
      </c>
      <c r="T256">
        <f t="shared" si="39"/>
        <v>0</v>
      </c>
      <c r="U256">
        <f t="shared" si="38"/>
        <v>0</v>
      </c>
    </row>
    <row r="257" spans="1:21" x14ac:dyDescent="0.25">
      <c r="A257" s="2">
        <v>256</v>
      </c>
      <c r="B257" s="2" t="s">
        <v>24</v>
      </c>
      <c r="C257" s="2" t="s">
        <v>181</v>
      </c>
      <c r="D257">
        <v>69.150000000000006</v>
      </c>
      <c r="E257" s="80">
        <v>45113.89</v>
      </c>
      <c r="F257">
        <v>9.76</v>
      </c>
      <c r="G257">
        <v>234.33</v>
      </c>
      <c r="H257">
        <v>47.13</v>
      </c>
      <c r="I257">
        <v>15.46</v>
      </c>
      <c r="J257">
        <v>226.13</v>
      </c>
      <c r="K257">
        <v>29.29</v>
      </c>
      <c r="L257">
        <f t="shared" si="30"/>
        <v>0</v>
      </c>
      <c r="M257">
        <f t="shared" si="31"/>
        <v>0</v>
      </c>
      <c r="N257">
        <f t="shared" si="32"/>
        <v>0</v>
      </c>
      <c r="O257">
        <f t="shared" si="33"/>
        <v>0</v>
      </c>
      <c r="P257">
        <f t="shared" si="34"/>
        <v>0</v>
      </c>
      <c r="Q257">
        <f t="shared" si="35"/>
        <v>0</v>
      </c>
      <c r="R257">
        <f t="shared" si="36"/>
        <v>0</v>
      </c>
      <c r="S257">
        <f t="shared" si="37"/>
        <v>0</v>
      </c>
      <c r="T257">
        <f t="shared" si="39"/>
        <v>0</v>
      </c>
      <c r="U257">
        <f t="shared" si="38"/>
        <v>0</v>
      </c>
    </row>
    <row r="258" spans="1:21" x14ac:dyDescent="0.25">
      <c r="A258" s="2">
        <v>257</v>
      </c>
      <c r="B258" s="2" t="s">
        <v>24</v>
      </c>
      <c r="C258" s="2" t="s">
        <v>183</v>
      </c>
      <c r="D258">
        <v>126.35</v>
      </c>
      <c r="E258" s="80">
        <v>48797.49</v>
      </c>
      <c r="F258">
        <v>614.82000000000005</v>
      </c>
      <c r="G258">
        <v>574.16</v>
      </c>
      <c r="H258">
        <v>6999.65</v>
      </c>
      <c r="I258">
        <v>17877.189999999999</v>
      </c>
      <c r="J258">
        <v>394.48</v>
      </c>
      <c r="K258">
        <v>4840.3900000000003</v>
      </c>
      <c r="L258">
        <f t="shared" ref="L258:L321" si="40">IF(D258 = "OOR &gt;", 1,0)</f>
        <v>0</v>
      </c>
      <c r="M258">
        <f t="shared" ref="M258:M321" si="41">IF(E258 = "OOR &gt;", 1,0)</f>
        <v>0</v>
      </c>
      <c r="N258">
        <f t="shared" ref="N258:N321" si="42">IF(F258 = "OOR &gt;", 1,0)</f>
        <v>0</v>
      </c>
      <c r="O258">
        <f t="shared" ref="O258:O321" si="43">IF(G258 = "OOR &gt;", 1,0)</f>
        <v>0</v>
      </c>
      <c r="P258">
        <f t="shared" ref="P258:P321" si="44">IF(H258 = "OOR &gt;", 1,0)</f>
        <v>0</v>
      </c>
      <c r="Q258">
        <f t="shared" ref="Q258:Q321" si="45">IF(I258 = "OOR &gt;", 1,0)</f>
        <v>0</v>
      </c>
      <c r="R258">
        <f t="shared" ref="R258:R321" si="46">IF(J258 = "OOR &gt;", 1,0)</f>
        <v>0</v>
      </c>
      <c r="S258">
        <f t="shared" ref="S258:S321" si="47">IF(K258 = "OOR &gt;", 1,0)</f>
        <v>0</v>
      </c>
      <c r="T258">
        <f t="shared" si="39"/>
        <v>0</v>
      </c>
      <c r="U258">
        <f t="shared" ref="U258:U321" si="48">IF(T258 &gt; 0,1,0)</f>
        <v>0</v>
      </c>
    </row>
    <row r="259" spans="1:21" x14ac:dyDescent="0.25">
      <c r="A259" s="2">
        <v>258</v>
      </c>
      <c r="B259" s="2" t="s">
        <v>24</v>
      </c>
      <c r="C259" s="2" t="s">
        <v>186</v>
      </c>
      <c r="D259">
        <v>144.81</v>
      </c>
      <c r="E259" s="80">
        <v>45539.72</v>
      </c>
      <c r="F259">
        <v>1935.66</v>
      </c>
      <c r="G259">
        <v>735.22</v>
      </c>
      <c r="H259" s="80">
        <v>35086.449999999997</v>
      </c>
      <c r="I259" s="80">
        <v>18700.03</v>
      </c>
      <c r="J259">
        <v>470.57</v>
      </c>
      <c r="K259" s="80">
        <v>9071.4699999999993</v>
      </c>
      <c r="L259">
        <f t="shared" si="40"/>
        <v>0</v>
      </c>
      <c r="M259">
        <f t="shared" si="41"/>
        <v>0</v>
      </c>
      <c r="N259">
        <f t="shared" si="42"/>
        <v>0</v>
      </c>
      <c r="O259">
        <f t="shared" si="43"/>
        <v>0</v>
      </c>
      <c r="P259">
        <f t="shared" si="44"/>
        <v>0</v>
      </c>
      <c r="Q259">
        <f t="shared" si="45"/>
        <v>0</v>
      </c>
      <c r="R259">
        <f t="shared" si="46"/>
        <v>0</v>
      </c>
      <c r="S259">
        <f t="shared" si="47"/>
        <v>0</v>
      </c>
      <c r="T259">
        <f t="shared" ref="T259:T322" si="49">SUMIF(L259:S259,"&gt;0")</f>
        <v>0</v>
      </c>
      <c r="U259">
        <f t="shared" si="48"/>
        <v>0</v>
      </c>
    </row>
    <row r="260" spans="1:21" x14ac:dyDescent="0.25">
      <c r="A260" s="2">
        <v>259</v>
      </c>
      <c r="B260" s="2" t="s">
        <v>24</v>
      </c>
      <c r="C260" s="2" t="s">
        <v>188</v>
      </c>
      <c r="D260">
        <v>163.49</v>
      </c>
      <c r="E260" s="80">
        <v>58717.56</v>
      </c>
      <c r="F260">
        <v>105.83</v>
      </c>
      <c r="G260">
        <v>711.84</v>
      </c>
      <c r="H260">
        <v>4199.55</v>
      </c>
      <c r="I260" s="80">
        <v>9837.9500000000007</v>
      </c>
      <c r="J260">
        <v>516.13</v>
      </c>
      <c r="K260" s="80">
        <v>10787</v>
      </c>
      <c r="L260">
        <f t="shared" si="40"/>
        <v>0</v>
      </c>
      <c r="M260">
        <f t="shared" si="41"/>
        <v>0</v>
      </c>
      <c r="N260">
        <f t="shared" si="42"/>
        <v>0</v>
      </c>
      <c r="O260">
        <f t="shared" si="43"/>
        <v>0</v>
      </c>
      <c r="P260">
        <f t="shared" si="44"/>
        <v>0</v>
      </c>
      <c r="Q260">
        <f t="shared" si="45"/>
        <v>0</v>
      </c>
      <c r="R260">
        <f t="shared" si="46"/>
        <v>0</v>
      </c>
      <c r="S260">
        <f t="shared" si="47"/>
        <v>0</v>
      </c>
      <c r="T260">
        <f t="shared" si="49"/>
        <v>0</v>
      </c>
      <c r="U260">
        <f t="shared" si="48"/>
        <v>0</v>
      </c>
    </row>
    <row r="261" spans="1:21" x14ac:dyDescent="0.25">
      <c r="A261" s="2">
        <v>260</v>
      </c>
      <c r="B261" s="2" t="s">
        <v>24</v>
      </c>
      <c r="C261" s="2" t="s">
        <v>182</v>
      </c>
      <c r="D261" s="80">
        <v>0.01</v>
      </c>
      <c r="E261">
        <v>2001.45</v>
      </c>
      <c r="F261">
        <v>1.21</v>
      </c>
      <c r="G261">
        <v>121.83</v>
      </c>
      <c r="H261">
        <v>3.46</v>
      </c>
      <c r="I261">
        <v>30.61</v>
      </c>
      <c r="J261" t="s">
        <v>583</v>
      </c>
      <c r="K261">
        <v>3.41</v>
      </c>
      <c r="L261">
        <f t="shared" si="40"/>
        <v>0</v>
      </c>
      <c r="M261">
        <f t="shared" si="41"/>
        <v>0</v>
      </c>
      <c r="N261">
        <f t="shared" si="42"/>
        <v>0</v>
      </c>
      <c r="O261">
        <f t="shared" si="43"/>
        <v>0</v>
      </c>
      <c r="P261">
        <f t="shared" si="44"/>
        <v>0</v>
      </c>
      <c r="Q261">
        <f t="shared" si="45"/>
        <v>0</v>
      </c>
      <c r="R261">
        <f t="shared" si="46"/>
        <v>0</v>
      </c>
      <c r="S261">
        <f t="shared" si="47"/>
        <v>0</v>
      </c>
      <c r="T261">
        <f t="shared" si="49"/>
        <v>0</v>
      </c>
      <c r="U261">
        <f t="shared" si="48"/>
        <v>0</v>
      </c>
    </row>
    <row r="262" spans="1:21" x14ac:dyDescent="0.25">
      <c r="A262" s="2">
        <v>261</v>
      </c>
      <c r="B262" s="2" t="s">
        <v>24</v>
      </c>
      <c r="C262" s="2" t="s">
        <v>184</v>
      </c>
      <c r="D262">
        <v>62.25</v>
      </c>
      <c r="E262">
        <v>15808.36</v>
      </c>
      <c r="F262">
        <v>195.24</v>
      </c>
      <c r="G262">
        <v>294.29000000000002</v>
      </c>
      <c r="H262">
        <v>5852.88</v>
      </c>
      <c r="I262" s="80">
        <v>15758.58</v>
      </c>
      <c r="J262">
        <v>164.45</v>
      </c>
      <c r="K262">
        <v>822.36</v>
      </c>
      <c r="L262">
        <f t="shared" si="40"/>
        <v>0</v>
      </c>
      <c r="M262">
        <f t="shared" si="41"/>
        <v>0</v>
      </c>
      <c r="N262">
        <f t="shared" si="42"/>
        <v>0</v>
      </c>
      <c r="O262">
        <f t="shared" si="43"/>
        <v>0</v>
      </c>
      <c r="P262">
        <f t="shared" si="44"/>
        <v>0</v>
      </c>
      <c r="Q262">
        <f t="shared" si="45"/>
        <v>0</v>
      </c>
      <c r="R262">
        <f t="shared" si="46"/>
        <v>0</v>
      </c>
      <c r="S262">
        <f t="shared" si="47"/>
        <v>0</v>
      </c>
      <c r="T262">
        <f t="shared" si="49"/>
        <v>0</v>
      </c>
      <c r="U262">
        <f t="shared" si="48"/>
        <v>0</v>
      </c>
    </row>
    <row r="263" spans="1:21" x14ac:dyDescent="0.25">
      <c r="A263" s="2">
        <v>262</v>
      </c>
      <c r="B263" s="2" t="s">
        <v>24</v>
      </c>
      <c r="C263" s="2" t="s">
        <v>187</v>
      </c>
      <c r="D263">
        <v>100.94</v>
      </c>
      <c r="E263">
        <v>22879.64</v>
      </c>
      <c r="F263">
        <v>356.36</v>
      </c>
      <c r="G263">
        <v>441.45</v>
      </c>
      <c r="H263">
        <v>10048.51</v>
      </c>
      <c r="I263" s="80">
        <v>15823.85</v>
      </c>
      <c r="J263">
        <v>233.82</v>
      </c>
      <c r="K263">
        <v>3252.62</v>
      </c>
      <c r="L263">
        <f t="shared" si="40"/>
        <v>0</v>
      </c>
      <c r="M263">
        <f t="shared" si="41"/>
        <v>0</v>
      </c>
      <c r="N263">
        <f t="shared" si="42"/>
        <v>0</v>
      </c>
      <c r="O263">
        <f t="shared" si="43"/>
        <v>0</v>
      </c>
      <c r="P263">
        <f t="shared" si="44"/>
        <v>0</v>
      </c>
      <c r="Q263">
        <f t="shared" si="45"/>
        <v>0</v>
      </c>
      <c r="R263">
        <f t="shared" si="46"/>
        <v>0</v>
      </c>
      <c r="S263">
        <f t="shared" si="47"/>
        <v>0</v>
      </c>
      <c r="T263">
        <f t="shared" si="49"/>
        <v>0</v>
      </c>
      <c r="U263">
        <f t="shared" si="48"/>
        <v>0</v>
      </c>
    </row>
    <row r="264" spans="1:21" x14ac:dyDescent="0.25">
      <c r="A264" s="2">
        <v>263</v>
      </c>
      <c r="B264" s="2" t="s">
        <v>24</v>
      </c>
      <c r="C264" s="2" t="s">
        <v>189</v>
      </c>
      <c r="D264">
        <v>69.150000000000006</v>
      </c>
      <c r="E264">
        <v>21395.5</v>
      </c>
      <c r="F264">
        <v>127.69</v>
      </c>
      <c r="G264">
        <v>314.73</v>
      </c>
      <c r="H264">
        <v>4082.72</v>
      </c>
      <c r="I264" s="80">
        <v>12513.65</v>
      </c>
      <c r="J264">
        <v>226.13</v>
      </c>
      <c r="K264">
        <v>4558.71</v>
      </c>
      <c r="L264">
        <f t="shared" si="40"/>
        <v>0</v>
      </c>
      <c r="M264">
        <f t="shared" si="41"/>
        <v>0</v>
      </c>
      <c r="N264">
        <f t="shared" si="42"/>
        <v>0</v>
      </c>
      <c r="O264">
        <f t="shared" si="43"/>
        <v>0</v>
      </c>
      <c r="P264">
        <f t="shared" si="44"/>
        <v>0</v>
      </c>
      <c r="Q264">
        <f t="shared" si="45"/>
        <v>0</v>
      </c>
      <c r="R264">
        <f t="shared" si="46"/>
        <v>0</v>
      </c>
      <c r="S264">
        <f t="shared" si="47"/>
        <v>0</v>
      </c>
      <c r="T264">
        <f t="shared" si="49"/>
        <v>0</v>
      </c>
      <c r="U264">
        <f t="shared" si="48"/>
        <v>0</v>
      </c>
    </row>
    <row r="265" spans="1:21" x14ac:dyDescent="0.25">
      <c r="A265" s="2">
        <v>264</v>
      </c>
      <c r="B265" s="2">
        <v>1038</v>
      </c>
      <c r="C265" s="2" t="s">
        <v>162</v>
      </c>
      <c r="D265">
        <v>104.54</v>
      </c>
      <c r="E265" s="80">
        <v>49656.66</v>
      </c>
      <c r="F265">
        <v>128.93</v>
      </c>
      <c r="G265">
        <v>596.78</v>
      </c>
      <c r="H265">
        <v>1149.51</v>
      </c>
      <c r="I265" s="80">
        <v>7921.75</v>
      </c>
      <c r="J265">
        <v>272.2</v>
      </c>
      <c r="K265">
        <v>965.39</v>
      </c>
      <c r="L265">
        <f t="shared" si="40"/>
        <v>0</v>
      </c>
      <c r="M265">
        <f t="shared" si="41"/>
        <v>0</v>
      </c>
      <c r="N265">
        <f t="shared" si="42"/>
        <v>0</v>
      </c>
      <c r="O265">
        <f t="shared" si="43"/>
        <v>0</v>
      </c>
      <c r="P265">
        <f t="shared" si="44"/>
        <v>0</v>
      </c>
      <c r="Q265">
        <f t="shared" si="45"/>
        <v>0</v>
      </c>
      <c r="R265">
        <f t="shared" si="46"/>
        <v>0</v>
      </c>
      <c r="S265">
        <f t="shared" si="47"/>
        <v>0</v>
      </c>
      <c r="T265">
        <f t="shared" si="49"/>
        <v>0</v>
      </c>
      <c r="U265">
        <f t="shared" si="48"/>
        <v>0</v>
      </c>
    </row>
    <row r="266" spans="1:21" x14ac:dyDescent="0.25">
      <c r="A266" s="2">
        <v>265</v>
      </c>
      <c r="B266" s="2">
        <v>1038</v>
      </c>
      <c r="C266" s="2" t="s">
        <v>170</v>
      </c>
      <c r="D266">
        <v>104.54</v>
      </c>
      <c r="E266" s="80">
        <v>48076.32</v>
      </c>
      <c r="F266">
        <v>87.53</v>
      </c>
      <c r="G266">
        <v>398.48</v>
      </c>
      <c r="H266">
        <v>923.18</v>
      </c>
      <c r="I266" s="80">
        <v>7066.61</v>
      </c>
      <c r="J266">
        <v>264.52999999999997</v>
      </c>
      <c r="K266">
        <v>711.05</v>
      </c>
      <c r="L266">
        <f t="shared" si="40"/>
        <v>0</v>
      </c>
      <c r="M266">
        <f t="shared" si="41"/>
        <v>0</v>
      </c>
      <c r="N266">
        <f t="shared" si="42"/>
        <v>0</v>
      </c>
      <c r="O266">
        <f t="shared" si="43"/>
        <v>0</v>
      </c>
      <c r="P266">
        <f t="shared" si="44"/>
        <v>0</v>
      </c>
      <c r="Q266">
        <f t="shared" si="45"/>
        <v>0</v>
      </c>
      <c r="R266">
        <f t="shared" si="46"/>
        <v>0</v>
      </c>
      <c r="S266">
        <f t="shared" si="47"/>
        <v>0</v>
      </c>
      <c r="T266">
        <f t="shared" si="49"/>
        <v>0</v>
      </c>
      <c r="U266">
        <f t="shared" si="48"/>
        <v>0</v>
      </c>
    </row>
    <row r="267" spans="1:21" x14ac:dyDescent="0.25">
      <c r="A267" s="2">
        <v>266</v>
      </c>
      <c r="B267" s="2">
        <v>1038</v>
      </c>
      <c r="C267" s="2" t="s">
        <v>178</v>
      </c>
      <c r="D267">
        <v>216.82</v>
      </c>
      <c r="E267" s="80">
        <v>49792.14</v>
      </c>
      <c r="F267">
        <v>2795.55</v>
      </c>
      <c r="G267">
        <v>975.01</v>
      </c>
      <c r="H267" s="80">
        <v>19762.84</v>
      </c>
      <c r="I267" s="80">
        <v>17905.25</v>
      </c>
      <c r="J267">
        <v>470.57</v>
      </c>
      <c r="K267" s="80">
        <v>8279.14</v>
      </c>
      <c r="L267">
        <f t="shared" si="40"/>
        <v>0</v>
      </c>
      <c r="M267">
        <f t="shared" si="41"/>
        <v>0</v>
      </c>
      <c r="N267">
        <f t="shared" si="42"/>
        <v>0</v>
      </c>
      <c r="O267">
        <f t="shared" si="43"/>
        <v>0</v>
      </c>
      <c r="P267">
        <f t="shared" si="44"/>
        <v>0</v>
      </c>
      <c r="Q267">
        <f t="shared" si="45"/>
        <v>0</v>
      </c>
      <c r="R267">
        <f t="shared" si="46"/>
        <v>0</v>
      </c>
      <c r="S267">
        <f t="shared" si="47"/>
        <v>0</v>
      </c>
      <c r="T267">
        <f t="shared" si="49"/>
        <v>0</v>
      </c>
      <c r="U267">
        <f t="shared" si="48"/>
        <v>0</v>
      </c>
    </row>
    <row r="268" spans="1:21" x14ac:dyDescent="0.25">
      <c r="A268" s="2">
        <v>267</v>
      </c>
      <c r="B268" s="2">
        <v>1038</v>
      </c>
      <c r="C268" s="2" t="s">
        <v>163</v>
      </c>
      <c r="D268">
        <v>240.07</v>
      </c>
      <c r="E268" s="80">
        <v>64298.44</v>
      </c>
      <c r="F268">
        <v>139.71</v>
      </c>
      <c r="G268">
        <v>901.99</v>
      </c>
      <c r="H268">
        <v>4532.96</v>
      </c>
      <c r="I268" s="80">
        <v>10339.64</v>
      </c>
      <c r="J268">
        <v>500.95</v>
      </c>
      <c r="K268" s="80">
        <v>10169.25</v>
      </c>
      <c r="L268">
        <f t="shared" si="40"/>
        <v>0</v>
      </c>
      <c r="M268">
        <f t="shared" si="41"/>
        <v>0</v>
      </c>
      <c r="N268">
        <f t="shared" si="42"/>
        <v>0</v>
      </c>
      <c r="O268">
        <f t="shared" si="43"/>
        <v>0</v>
      </c>
      <c r="P268">
        <f t="shared" si="44"/>
        <v>0</v>
      </c>
      <c r="Q268">
        <f t="shared" si="45"/>
        <v>0</v>
      </c>
      <c r="R268">
        <f t="shared" si="46"/>
        <v>0</v>
      </c>
      <c r="S268">
        <f t="shared" si="47"/>
        <v>0</v>
      </c>
      <c r="T268">
        <f t="shared" si="49"/>
        <v>0</v>
      </c>
      <c r="U268">
        <f t="shared" si="48"/>
        <v>0</v>
      </c>
    </row>
    <row r="269" spans="1:21" x14ac:dyDescent="0.25">
      <c r="A269" s="2">
        <v>268</v>
      </c>
      <c r="B269" s="2">
        <v>1038</v>
      </c>
      <c r="C269" s="2" t="s">
        <v>181</v>
      </c>
      <c r="D269">
        <v>90.22</v>
      </c>
      <c r="E269" s="80">
        <v>52599.040000000001</v>
      </c>
      <c r="F269">
        <v>11.96</v>
      </c>
      <c r="G269">
        <v>356.22</v>
      </c>
      <c r="H269">
        <v>245.74</v>
      </c>
      <c r="I269">
        <v>39.479999999999997</v>
      </c>
      <c r="J269">
        <v>226.13</v>
      </c>
      <c r="K269">
        <v>66.349999999999994</v>
      </c>
      <c r="L269">
        <f t="shared" si="40"/>
        <v>0</v>
      </c>
      <c r="M269">
        <f t="shared" si="41"/>
        <v>0</v>
      </c>
      <c r="N269">
        <f t="shared" si="42"/>
        <v>0</v>
      </c>
      <c r="O269">
        <f t="shared" si="43"/>
        <v>0</v>
      </c>
      <c r="P269">
        <f t="shared" si="44"/>
        <v>0</v>
      </c>
      <c r="Q269">
        <f t="shared" si="45"/>
        <v>0</v>
      </c>
      <c r="R269">
        <f t="shared" si="46"/>
        <v>0</v>
      </c>
      <c r="S269">
        <f t="shared" si="47"/>
        <v>0</v>
      </c>
      <c r="T269">
        <f t="shared" si="49"/>
        <v>0</v>
      </c>
      <c r="U269">
        <f t="shared" si="48"/>
        <v>0</v>
      </c>
    </row>
    <row r="270" spans="1:21" x14ac:dyDescent="0.25">
      <c r="A270" s="2">
        <v>269</v>
      </c>
      <c r="B270" s="2">
        <v>1038</v>
      </c>
      <c r="C270" s="2" t="s">
        <v>183</v>
      </c>
      <c r="D270">
        <v>155.99</v>
      </c>
      <c r="E270" s="80">
        <v>57520.6</v>
      </c>
      <c r="F270">
        <v>195.76</v>
      </c>
      <c r="G270">
        <v>758.71</v>
      </c>
      <c r="H270">
        <v>6506.22</v>
      </c>
      <c r="I270" s="80">
        <v>16147.03</v>
      </c>
      <c r="J270">
        <v>485.76</v>
      </c>
      <c r="K270" s="80">
        <v>8408.48</v>
      </c>
      <c r="L270">
        <f t="shared" si="40"/>
        <v>0</v>
      </c>
      <c r="M270">
        <f t="shared" si="41"/>
        <v>0</v>
      </c>
      <c r="N270">
        <f t="shared" si="42"/>
        <v>0</v>
      </c>
      <c r="O270">
        <f t="shared" si="43"/>
        <v>0</v>
      </c>
      <c r="P270">
        <f t="shared" si="44"/>
        <v>0</v>
      </c>
      <c r="Q270">
        <f t="shared" si="45"/>
        <v>0</v>
      </c>
      <c r="R270">
        <f t="shared" si="46"/>
        <v>0</v>
      </c>
      <c r="S270">
        <f t="shared" si="47"/>
        <v>0</v>
      </c>
      <c r="T270">
        <f t="shared" si="49"/>
        <v>0</v>
      </c>
      <c r="U270">
        <f t="shared" si="48"/>
        <v>0</v>
      </c>
    </row>
    <row r="271" spans="1:21" x14ac:dyDescent="0.25">
      <c r="A271" s="2">
        <v>270</v>
      </c>
      <c r="B271" s="2">
        <v>1038</v>
      </c>
      <c r="C271" s="2" t="s">
        <v>186</v>
      </c>
      <c r="D271">
        <v>141.1</v>
      </c>
      <c r="E271" s="80">
        <v>46432.33</v>
      </c>
      <c r="F271">
        <v>1335.51</v>
      </c>
      <c r="G271">
        <v>806.04</v>
      </c>
      <c r="H271" s="80">
        <v>22388.29</v>
      </c>
      <c r="I271" s="80">
        <v>19409.63</v>
      </c>
      <c r="J271">
        <v>629.74</v>
      </c>
      <c r="K271" s="80">
        <v>15467.44</v>
      </c>
      <c r="L271">
        <f t="shared" si="40"/>
        <v>0</v>
      </c>
      <c r="M271">
        <f t="shared" si="41"/>
        <v>0</v>
      </c>
      <c r="N271">
        <f t="shared" si="42"/>
        <v>0</v>
      </c>
      <c r="O271">
        <f t="shared" si="43"/>
        <v>0</v>
      </c>
      <c r="P271">
        <f t="shared" si="44"/>
        <v>0</v>
      </c>
      <c r="Q271">
        <f t="shared" si="45"/>
        <v>0</v>
      </c>
      <c r="R271">
        <f t="shared" si="46"/>
        <v>0</v>
      </c>
      <c r="S271">
        <f t="shared" si="47"/>
        <v>0</v>
      </c>
      <c r="T271">
        <f t="shared" si="49"/>
        <v>0</v>
      </c>
      <c r="U271">
        <f t="shared" si="48"/>
        <v>0</v>
      </c>
    </row>
    <row r="272" spans="1:21" x14ac:dyDescent="0.25">
      <c r="A272" s="2">
        <v>271</v>
      </c>
      <c r="B272" s="2">
        <v>1038</v>
      </c>
      <c r="C272" s="2" t="s">
        <v>188</v>
      </c>
      <c r="D272">
        <v>155.99</v>
      </c>
      <c r="E272" s="80">
        <v>69647.95</v>
      </c>
      <c r="F272">
        <v>37.159999999999997</v>
      </c>
      <c r="G272">
        <v>758.71</v>
      </c>
      <c r="H272">
        <v>3004.22</v>
      </c>
      <c r="I272">
        <v>5974.98</v>
      </c>
      <c r="J272">
        <v>478.17</v>
      </c>
      <c r="K272" s="80">
        <v>8450.44</v>
      </c>
      <c r="L272">
        <f t="shared" si="40"/>
        <v>0</v>
      </c>
      <c r="M272">
        <f t="shared" si="41"/>
        <v>0</v>
      </c>
      <c r="N272">
        <f t="shared" si="42"/>
        <v>0</v>
      </c>
      <c r="O272">
        <f t="shared" si="43"/>
        <v>0</v>
      </c>
      <c r="P272">
        <f t="shared" si="44"/>
        <v>0</v>
      </c>
      <c r="Q272">
        <f t="shared" si="45"/>
        <v>0</v>
      </c>
      <c r="R272">
        <f t="shared" si="46"/>
        <v>0</v>
      </c>
      <c r="S272">
        <f t="shared" si="47"/>
        <v>0</v>
      </c>
      <c r="T272">
        <f t="shared" si="49"/>
        <v>0</v>
      </c>
      <c r="U272">
        <f t="shared" si="48"/>
        <v>0</v>
      </c>
    </row>
    <row r="273" spans="1:21" x14ac:dyDescent="0.25">
      <c r="A273" s="2">
        <v>272</v>
      </c>
      <c r="B273" s="2">
        <v>1038</v>
      </c>
      <c r="C273" s="2" t="s">
        <v>182</v>
      </c>
      <c r="D273">
        <v>10.56</v>
      </c>
      <c r="E273">
        <v>4063.98</v>
      </c>
      <c r="F273" t="s">
        <v>583</v>
      </c>
      <c r="G273">
        <v>87.23</v>
      </c>
      <c r="H273">
        <v>5.0599999999999996</v>
      </c>
      <c r="I273">
        <v>5.0199999999999996</v>
      </c>
      <c r="J273" t="s">
        <v>583</v>
      </c>
      <c r="K273">
        <v>2.58</v>
      </c>
      <c r="L273">
        <f t="shared" si="40"/>
        <v>0</v>
      </c>
      <c r="M273">
        <f t="shared" si="41"/>
        <v>0</v>
      </c>
      <c r="N273">
        <f t="shared" si="42"/>
        <v>0</v>
      </c>
      <c r="O273">
        <f t="shared" si="43"/>
        <v>0</v>
      </c>
      <c r="P273">
        <f t="shared" si="44"/>
        <v>0</v>
      </c>
      <c r="Q273">
        <f t="shared" si="45"/>
        <v>0</v>
      </c>
      <c r="R273">
        <f t="shared" si="46"/>
        <v>0</v>
      </c>
      <c r="S273">
        <f t="shared" si="47"/>
        <v>0</v>
      </c>
      <c r="T273">
        <f t="shared" si="49"/>
        <v>0</v>
      </c>
      <c r="U273">
        <f t="shared" si="48"/>
        <v>0</v>
      </c>
    </row>
    <row r="274" spans="1:21" x14ac:dyDescent="0.25">
      <c r="A274" s="2">
        <v>273</v>
      </c>
      <c r="B274" s="2">
        <v>1038</v>
      </c>
      <c r="C274" s="2" t="s">
        <v>184</v>
      </c>
      <c r="D274">
        <v>634.02</v>
      </c>
      <c r="E274" s="80">
        <v>33318.720000000001</v>
      </c>
      <c r="F274">
        <v>514.28</v>
      </c>
      <c r="G274">
        <v>574.16</v>
      </c>
      <c r="H274">
        <v>10675.63</v>
      </c>
      <c r="I274" s="80">
        <v>15995.81</v>
      </c>
      <c r="J274">
        <v>302.83999999999997</v>
      </c>
      <c r="K274">
        <v>4157.3900000000003</v>
      </c>
      <c r="L274">
        <f t="shared" si="40"/>
        <v>0</v>
      </c>
      <c r="M274">
        <f t="shared" si="41"/>
        <v>0</v>
      </c>
      <c r="N274">
        <f t="shared" si="42"/>
        <v>0</v>
      </c>
      <c r="O274">
        <f t="shared" si="43"/>
        <v>0</v>
      </c>
      <c r="P274">
        <f t="shared" si="44"/>
        <v>0</v>
      </c>
      <c r="Q274">
        <f t="shared" si="45"/>
        <v>0</v>
      </c>
      <c r="R274">
        <f t="shared" si="46"/>
        <v>0</v>
      </c>
      <c r="S274">
        <f t="shared" si="47"/>
        <v>0</v>
      </c>
      <c r="T274">
        <f t="shared" si="49"/>
        <v>0</v>
      </c>
      <c r="U274">
        <f t="shared" si="48"/>
        <v>0</v>
      </c>
    </row>
    <row r="275" spans="1:21" x14ac:dyDescent="0.25">
      <c r="A275" s="2">
        <v>274</v>
      </c>
      <c r="B275" s="2">
        <v>1038</v>
      </c>
      <c r="C275" s="2" t="s">
        <v>187</v>
      </c>
      <c r="D275">
        <v>6060.1</v>
      </c>
      <c r="E275" s="80">
        <v>38506.06</v>
      </c>
      <c r="F275">
        <v>754.94</v>
      </c>
      <c r="G275">
        <v>853.8</v>
      </c>
      <c r="H275" s="80">
        <v>100770.61</v>
      </c>
      <c r="I275" s="80">
        <v>17235.27</v>
      </c>
      <c r="J275">
        <v>591.91</v>
      </c>
      <c r="K275" s="80">
        <v>14212.16</v>
      </c>
      <c r="L275">
        <f t="shared" si="40"/>
        <v>0</v>
      </c>
      <c r="M275">
        <f t="shared" si="41"/>
        <v>0</v>
      </c>
      <c r="N275">
        <f t="shared" si="42"/>
        <v>0</v>
      </c>
      <c r="O275">
        <f t="shared" si="43"/>
        <v>0</v>
      </c>
      <c r="P275">
        <f t="shared" si="44"/>
        <v>0</v>
      </c>
      <c r="Q275">
        <f t="shared" si="45"/>
        <v>0</v>
      </c>
      <c r="R275">
        <f t="shared" si="46"/>
        <v>0</v>
      </c>
      <c r="S275">
        <f t="shared" si="47"/>
        <v>0</v>
      </c>
      <c r="T275">
        <f t="shared" si="49"/>
        <v>0</v>
      </c>
      <c r="U275">
        <f t="shared" si="48"/>
        <v>0</v>
      </c>
    </row>
    <row r="276" spans="1:21" x14ac:dyDescent="0.25">
      <c r="A276" s="2">
        <v>275</v>
      </c>
      <c r="B276" s="2">
        <v>1038</v>
      </c>
      <c r="C276" s="2" t="s">
        <v>189</v>
      </c>
      <c r="D276">
        <v>2051.41</v>
      </c>
      <c r="E276" s="80">
        <v>33901.31</v>
      </c>
      <c r="F276">
        <v>90.49</v>
      </c>
      <c r="G276">
        <v>665.44</v>
      </c>
      <c r="H276" s="80">
        <v>17304.03</v>
      </c>
      <c r="I276" s="80">
        <v>16483.669999999998</v>
      </c>
      <c r="J276">
        <v>516.13</v>
      </c>
      <c r="K276" s="80">
        <v>12364.96</v>
      </c>
      <c r="L276">
        <f t="shared" si="40"/>
        <v>0</v>
      </c>
      <c r="M276">
        <f t="shared" si="41"/>
        <v>0</v>
      </c>
      <c r="N276">
        <f t="shared" si="42"/>
        <v>0</v>
      </c>
      <c r="O276">
        <f t="shared" si="43"/>
        <v>0</v>
      </c>
      <c r="P276">
        <f t="shared" si="44"/>
        <v>0</v>
      </c>
      <c r="Q276">
        <f t="shared" si="45"/>
        <v>0</v>
      </c>
      <c r="R276">
        <f t="shared" si="46"/>
        <v>0</v>
      </c>
      <c r="S276">
        <f t="shared" si="47"/>
        <v>0</v>
      </c>
      <c r="T276">
        <f t="shared" si="49"/>
        <v>0</v>
      </c>
      <c r="U276">
        <f t="shared" si="48"/>
        <v>0</v>
      </c>
    </row>
    <row r="277" spans="1:21" x14ac:dyDescent="0.25">
      <c r="A277" s="2">
        <v>276</v>
      </c>
      <c r="B277" s="2" t="s">
        <v>596</v>
      </c>
      <c r="C277" s="2" t="s">
        <v>162</v>
      </c>
      <c r="D277">
        <v>62.25</v>
      </c>
      <c r="E277" s="80">
        <v>30855.38</v>
      </c>
      <c r="F277">
        <v>9.1</v>
      </c>
      <c r="G277">
        <v>234.33</v>
      </c>
      <c r="H277">
        <v>15.89</v>
      </c>
      <c r="I277">
        <v>13.96</v>
      </c>
      <c r="J277">
        <v>133.47999999999999</v>
      </c>
      <c r="K277">
        <v>15.48</v>
      </c>
      <c r="L277">
        <f t="shared" si="40"/>
        <v>0</v>
      </c>
      <c r="M277">
        <f t="shared" si="41"/>
        <v>0</v>
      </c>
      <c r="N277">
        <f t="shared" si="42"/>
        <v>0</v>
      </c>
      <c r="O277">
        <f t="shared" si="43"/>
        <v>0</v>
      </c>
      <c r="P277">
        <f t="shared" si="44"/>
        <v>0</v>
      </c>
      <c r="Q277">
        <f t="shared" si="45"/>
        <v>0</v>
      </c>
      <c r="R277">
        <f t="shared" si="46"/>
        <v>0</v>
      </c>
      <c r="S277">
        <f t="shared" si="47"/>
        <v>0</v>
      </c>
      <c r="T277">
        <f t="shared" si="49"/>
        <v>0</v>
      </c>
      <c r="U277">
        <f t="shared" si="48"/>
        <v>0</v>
      </c>
    </row>
    <row r="278" spans="1:21" x14ac:dyDescent="0.25">
      <c r="A278" s="2">
        <v>277</v>
      </c>
      <c r="B278" s="2" t="s">
        <v>596</v>
      </c>
      <c r="C278" s="2" t="s">
        <v>170</v>
      </c>
      <c r="D278">
        <v>133.71</v>
      </c>
      <c r="E278" s="80">
        <v>29802.880000000001</v>
      </c>
      <c r="F278">
        <v>374.25</v>
      </c>
      <c r="G278">
        <v>356.22</v>
      </c>
      <c r="H278">
        <v>3230.76</v>
      </c>
      <c r="I278" s="80">
        <v>9549.7999999999993</v>
      </c>
      <c r="J278">
        <v>195.33</v>
      </c>
      <c r="K278">
        <v>850.96</v>
      </c>
      <c r="L278">
        <f t="shared" si="40"/>
        <v>0</v>
      </c>
      <c r="M278">
        <f t="shared" si="41"/>
        <v>0</v>
      </c>
      <c r="N278">
        <f t="shared" si="42"/>
        <v>0</v>
      </c>
      <c r="O278">
        <f t="shared" si="43"/>
        <v>0</v>
      </c>
      <c r="P278">
        <f t="shared" si="44"/>
        <v>0</v>
      </c>
      <c r="Q278">
        <f t="shared" si="45"/>
        <v>0</v>
      </c>
      <c r="R278">
        <f t="shared" si="46"/>
        <v>0</v>
      </c>
      <c r="S278">
        <f t="shared" si="47"/>
        <v>0</v>
      </c>
      <c r="T278">
        <f t="shared" si="49"/>
        <v>0</v>
      </c>
      <c r="U278">
        <f t="shared" si="48"/>
        <v>0</v>
      </c>
    </row>
    <row r="279" spans="1:21" x14ac:dyDescent="0.25">
      <c r="A279" s="2">
        <v>278</v>
      </c>
      <c r="B279" s="2" t="s">
        <v>596</v>
      </c>
      <c r="C279" s="2" t="s">
        <v>178</v>
      </c>
      <c r="D279">
        <v>240.07</v>
      </c>
      <c r="E279" s="80">
        <v>32230.35</v>
      </c>
      <c r="F279">
        <v>1722.93</v>
      </c>
      <c r="G279">
        <v>574.16</v>
      </c>
      <c r="H279">
        <v>14513.1</v>
      </c>
      <c r="I279" s="80">
        <v>13639.13</v>
      </c>
      <c r="J279">
        <v>310.49</v>
      </c>
      <c r="K279">
        <v>2322.9499999999998</v>
      </c>
      <c r="L279">
        <f t="shared" si="40"/>
        <v>0</v>
      </c>
      <c r="M279">
        <f t="shared" si="41"/>
        <v>0</v>
      </c>
      <c r="N279">
        <f t="shared" si="42"/>
        <v>0</v>
      </c>
      <c r="O279">
        <f t="shared" si="43"/>
        <v>0</v>
      </c>
      <c r="P279">
        <f t="shared" si="44"/>
        <v>0</v>
      </c>
      <c r="Q279">
        <f t="shared" si="45"/>
        <v>0</v>
      </c>
      <c r="R279">
        <f t="shared" si="46"/>
        <v>0</v>
      </c>
      <c r="S279">
        <f t="shared" si="47"/>
        <v>0</v>
      </c>
      <c r="T279">
        <f t="shared" si="49"/>
        <v>0</v>
      </c>
      <c r="U279">
        <f t="shared" si="48"/>
        <v>0</v>
      </c>
    </row>
    <row r="280" spans="1:21" x14ac:dyDescent="0.25">
      <c r="A280" s="2">
        <v>279</v>
      </c>
      <c r="B280" s="2" t="s">
        <v>596</v>
      </c>
      <c r="C280" s="2" t="s">
        <v>163</v>
      </c>
      <c r="D280">
        <v>867.96</v>
      </c>
      <c r="E280" s="80">
        <v>36514.89</v>
      </c>
      <c r="F280">
        <v>269.26</v>
      </c>
      <c r="G280">
        <v>619.54</v>
      </c>
      <c r="H280">
        <v>11193.04</v>
      </c>
      <c r="I280" s="80">
        <v>11026.87</v>
      </c>
      <c r="J280">
        <v>447.76</v>
      </c>
      <c r="K280" s="80">
        <v>11697.72</v>
      </c>
      <c r="L280">
        <f t="shared" si="40"/>
        <v>0</v>
      </c>
      <c r="M280">
        <f t="shared" si="41"/>
        <v>0</v>
      </c>
      <c r="N280">
        <f t="shared" si="42"/>
        <v>0</v>
      </c>
      <c r="O280">
        <f t="shared" si="43"/>
        <v>0</v>
      </c>
      <c r="P280">
        <f t="shared" si="44"/>
        <v>0</v>
      </c>
      <c r="Q280">
        <f t="shared" si="45"/>
        <v>0</v>
      </c>
      <c r="R280">
        <f t="shared" si="46"/>
        <v>0</v>
      </c>
      <c r="S280">
        <f t="shared" si="47"/>
        <v>0</v>
      </c>
      <c r="T280">
        <f t="shared" si="49"/>
        <v>0</v>
      </c>
      <c r="U280">
        <f t="shared" si="48"/>
        <v>0</v>
      </c>
    </row>
    <row r="281" spans="1:21" x14ac:dyDescent="0.25">
      <c r="A281" s="2">
        <v>280</v>
      </c>
      <c r="B281" s="2" t="s">
        <v>596</v>
      </c>
      <c r="C281" s="2" t="s">
        <v>181</v>
      </c>
      <c r="D281">
        <v>141.1</v>
      </c>
      <c r="E281" s="80">
        <v>49888.959999999999</v>
      </c>
      <c r="F281">
        <v>97.83</v>
      </c>
      <c r="G281">
        <v>441.45</v>
      </c>
      <c r="H281">
        <v>6094.97</v>
      </c>
      <c r="I281" s="80">
        <v>13562.66</v>
      </c>
      <c r="J281">
        <v>310.49</v>
      </c>
      <c r="K281">
        <v>4786.97</v>
      </c>
      <c r="L281">
        <f t="shared" si="40"/>
        <v>0</v>
      </c>
      <c r="M281">
        <f t="shared" si="41"/>
        <v>0</v>
      </c>
      <c r="N281">
        <f t="shared" si="42"/>
        <v>0</v>
      </c>
      <c r="O281">
        <f t="shared" si="43"/>
        <v>0</v>
      </c>
      <c r="P281">
        <f t="shared" si="44"/>
        <v>0</v>
      </c>
      <c r="Q281">
        <f t="shared" si="45"/>
        <v>0</v>
      </c>
      <c r="R281">
        <f t="shared" si="46"/>
        <v>0</v>
      </c>
      <c r="S281">
        <f t="shared" si="47"/>
        <v>0</v>
      </c>
      <c r="T281">
        <f t="shared" si="49"/>
        <v>0</v>
      </c>
      <c r="U281">
        <f t="shared" si="48"/>
        <v>0</v>
      </c>
    </row>
    <row r="282" spans="1:21" x14ac:dyDescent="0.25">
      <c r="A282" s="2">
        <v>281</v>
      </c>
      <c r="B282" s="2" t="s">
        <v>596</v>
      </c>
      <c r="C282" s="2" t="s">
        <v>183</v>
      </c>
      <c r="D282">
        <v>133.71</v>
      </c>
      <c r="E282" s="80">
        <v>33680.36</v>
      </c>
      <c r="F282">
        <v>1884.94</v>
      </c>
      <c r="G282">
        <v>619.54</v>
      </c>
      <c r="H282">
        <v>12429.88</v>
      </c>
      <c r="I282" s="80">
        <v>17775.099999999999</v>
      </c>
      <c r="J282">
        <v>394.48</v>
      </c>
      <c r="K282" s="80">
        <v>9612.84</v>
      </c>
      <c r="L282">
        <f t="shared" si="40"/>
        <v>0</v>
      </c>
      <c r="M282">
        <f t="shared" si="41"/>
        <v>0</v>
      </c>
      <c r="N282">
        <f t="shared" si="42"/>
        <v>0</v>
      </c>
      <c r="O282">
        <f t="shared" si="43"/>
        <v>0</v>
      </c>
      <c r="P282">
        <f t="shared" si="44"/>
        <v>0</v>
      </c>
      <c r="Q282">
        <f t="shared" si="45"/>
        <v>0</v>
      </c>
      <c r="R282">
        <f t="shared" si="46"/>
        <v>0</v>
      </c>
      <c r="S282">
        <f t="shared" si="47"/>
        <v>0</v>
      </c>
      <c r="T282">
        <f t="shared" si="49"/>
        <v>0</v>
      </c>
      <c r="U282">
        <f t="shared" si="48"/>
        <v>0</v>
      </c>
    </row>
    <row r="283" spans="1:21" x14ac:dyDescent="0.25">
      <c r="A283" s="2">
        <v>282</v>
      </c>
      <c r="B283" s="2" t="s">
        <v>596</v>
      </c>
      <c r="C283" s="2" t="s">
        <v>186</v>
      </c>
      <c r="D283">
        <v>141.1</v>
      </c>
      <c r="E283" s="80">
        <v>30751.5</v>
      </c>
      <c r="F283">
        <v>2852.41</v>
      </c>
      <c r="G283">
        <v>619.54</v>
      </c>
      <c r="H283">
        <v>27451.68</v>
      </c>
      <c r="I283" s="80">
        <v>18447.330000000002</v>
      </c>
      <c r="J283">
        <v>462.97</v>
      </c>
      <c r="K283" s="80">
        <v>11439.08</v>
      </c>
      <c r="L283">
        <f t="shared" si="40"/>
        <v>0</v>
      </c>
      <c r="M283">
        <f t="shared" si="41"/>
        <v>0</v>
      </c>
      <c r="N283">
        <f t="shared" si="42"/>
        <v>0</v>
      </c>
      <c r="O283">
        <f t="shared" si="43"/>
        <v>0</v>
      </c>
      <c r="P283">
        <f t="shared" si="44"/>
        <v>0</v>
      </c>
      <c r="Q283">
        <f t="shared" si="45"/>
        <v>0</v>
      </c>
      <c r="R283">
        <f t="shared" si="46"/>
        <v>0</v>
      </c>
      <c r="S283">
        <f t="shared" si="47"/>
        <v>0</v>
      </c>
      <c r="T283">
        <f t="shared" si="49"/>
        <v>0</v>
      </c>
      <c r="U283">
        <f t="shared" si="48"/>
        <v>0</v>
      </c>
    </row>
    <row r="284" spans="1:21" x14ac:dyDescent="0.25">
      <c r="A284" s="2">
        <v>283</v>
      </c>
      <c r="B284" s="2" t="s">
        <v>596</v>
      </c>
      <c r="C284" s="2" t="s">
        <v>188</v>
      </c>
      <c r="D284">
        <v>167.25</v>
      </c>
      <c r="E284" s="80">
        <v>34273.230000000003</v>
      </c>
      <c r="F284">
        <v>3585.97</v>
      </c>
      <c r="G284">
        <v>758.71</v>
      </c>
      <c r="H284">
        <v>84613.34</v>
      </c>
      <c r="I284" s="80">
        <v>18783.02</v>
      </c>
      <c r="J284">
        <v>591.91</v>
      </c>
      <c r="K284" s="80">
        <v>15894.62</v>
      </c>
      <c r="L284">
        <f t="shared" si="40"/>
        <v>0</v>
      </c>
      <c r="M284">
        <f t="shared" si="41"/>
        <v>0</v>
      </c>
      <c r="N284">
        <f t="shared" si="42"/>
        <v>0</v>
      </c>
      <c r="O284">
        <f t="shared" si="43"/>
        <v>0</v>
      </c>
      <c r="P284">
        <f t="shared" si="44"/>
        <v>0</v>
      </c>
      <c r="Q284">
        <f t="shared" si="45"/>
        <v>0</v>
      </c>
      <c r="R284">
        <f t="shared" si="46"/>
        <v>0</v>
      </c>
      <c r="S284">
        <f t="shared" si="47"/>
        <v>0</v>
      </c>
      <c r="T284">
        <f t="shared" si="49"/>
        <v>0</v>
      </c>
      <c r="U284">
        <f t="shared" si="48"/>
        <v>0</v>
      </c>
    </row>
    <row r="285" spans="1:21" x14ac:dyDescent="0.25">
      <c r="A285" s="2">
        <v>284</v>
      </c>
      <c r="B285" s="2" t="s">
        <v>596</v>
      </c>
      <c r="C285" s="2" t="s">
        <v>182</v>
      </c>
      <c r="D285">
        <v>108.15</v>
      </c>
      <c r="E285">
        <v>9894.39</v>
      </c>
      <c r="F285">
        <v>18.91</v>
      </c>
      <c r="G285">
        <v>274.07</v>
      </c>
      <c r="H285">
        <v>4540.8100000000004</v>
      </c>
      <c r="I285" s="80">
        <v>9485.5</v>
      </c>
      <c r="J285">
        <v>241.5</v>
      </c>
      <c r="K285">
        <v>6238.64</v>
      </c>
      <c r="L285">
        <f t="shared" si="40"/>
        <v>0</v>
      </c>
      <c r="M285">
        <f t="shared" si="41"/>
        <v>0</v>
      </c>
      <c r="N285">
        <f t="shared" si="42"/>
        <v>0</v>
      </c>
      <c r="O285">
        <f t="shared" si="43"/>
        <v>0</v>
      </c>
      <c r="P285">
        <f t="shared" si="44"/>
        <v>0</v>
      </c>
      <c r="Q285">
        <f t="shared" si="45"/>
        <v>0</v>
      </c>
      <c r="R285">
        <f t="shared" si="46"/>
        <v>0</v>
      </c>
      <c r="S285">
        <f t="shared" si="47"/>
        <v>0</v>
      </c>
      <c r="T285">
        <f t="shared" si="49"/>
        <v>0</v>
      </c>
      <c r="U285">
        <f t="shared" si="48"/>
        <v>0</v>
      </c>
    </row>
    <row r="286" spans="1:21" x14ac:dyDescent="0.25">
      <c r="A286" s="2">
        <v>285</v>
      </c>
      <c r="B286" s="2" t="s">
        <v>596</v>
      </c>
      <c r="C286" s="2" t="s">
        <v>184</v>
      </c>
      <c r="D286">
        <v>416.28</v>
      </c>
      <c r="E286">
        <v>9949.8799999999992</v>
      </c>
      <c r="F286">
        <v>424.99</v>
      </c>
      <c r="G286">
        <v>398.48</v>
      </c>
      <c r="H286">
        <v>11205.96</v>
      </c>
      <c r="I286" s="80">
        <v>13959.97</v>
      </c>
      <c r="J286">
        <v>302.83999999999997</v>
      </c>
      <c r="K286">
        <v>5802.75</v>
      </c>
      <c r="L286">
        <f t="shared" si="40"/>
        <v>0</v>
      </c>
      <c r="M286">
        <f t="shared" si="41"/>
        <v>0</v>
      </c>
      <c r="N286">
        <f t="shared" si="42"/>
        <v>0</v>
      </c>
      <c r="O286">
        <f t="shared" si="43"/>
        <v>0</v>
      </c>
      <c r="P286">
        <f t="shared" si="44"/>
        <v>0</v>
      </c>
      <c r="Q286">
        <f t="shared" si="45"/>
        <v>0</v>
      </c>
      <c r="R286">
        <f t="shared" si="46"/>
        <v>0</v>
      </c>
      <c r="S286">
        <f t="shared" si="47"/>
        <v>0</v>
      </c>
      <c r="T286">
        <f t="shared" si="49"/>
        <v>0</v>
      </c>
      <c r="U286">
        <f t="shared" si="48"/>
        <v>0</v>
      </c>
    </row>
    <row r="287" spans="1:21" x14ac:dyDescent="0.25">
      <c r="A287" s="2">
        <v>286</v>
      </c>
      <c r="B287" s="2" t="s">
        <v>596</v>
      </c>
      <c r="C287" s="2" t="s">
        <v>187</v>
      </c>
      <c r="D287">
        <v>10.56</v>
      </c>
      <c r="E287">
        <v>4270.6499999999996</v>
      </c>
      <c r="F287">
        <v>8.08</v>
      </c>
      <c r="G287">
        <v>87.23</v>
      </c>
      <c r="H287">
        <v>346.09</v>
      </c>
      <c r="I287" s="80">
        <v>5422.57</v>
      </c>
      <c r="J287">
        <v>47.53</v>
      </c>
      <c r="K287">
        <v>325.76</v>
      </c>
      <c r="L287">
        <f t="shared" si="40"/>
        <v>0</v>
      </c>
      <c r="M287">
        <f t="shared" si="41"/>
        <v>0</v>
      </c>
      <c r="N287">
        <f t="shared" si="42"/>
        <v>0</v>
      </c>
      <c r="O287">
        <f t="shared" si="43"/>
        <v>0</v>
      </c>
      <c r="P287">
        <f t="shared" si="44"/>
        <v>0</v>
      </c>
      <c r="Q287">
        <f t="shared" si="45"/>
        <v>0</v>
      </c>
      <c r="R287">
        <f t="shared" si="46"/>
        <v>0</v>
      </c>
      <c r="S287">
        <f t="shared" si="47"/>
        <v>0</v>
      </c>
      <c r="T287">
        <f t="shared" si="49"/>
        <v>0</v>
      </c>
      <c r="U287">
        <f t="shared" si="48"/>
        <v>0</v>
      </c>
    </row>
    <row r="288" spans="1:21" x14ac:dyDescent="0.25">
      <c r="A288" s="2">
        <v>287</v>
      </c>
      <c r="B288" s="2" t="s">
        <v>596</v>
      </c>
      <c r="C288" s="2" t="s">
        <v>189</v>
      </c>
      <c r="D288">
        <v>83.14</v>
      </c>
      <c r="E288">
        <v>7793.18</v>
      </c>
      <c r="F288">
        <v>136.54</v>
      </c>
      <c r="G288">
        <v>274.07</v>
      </c>
      <c r="H288">
        <v>5018.83</v>
      </c>
      <c r="I288" s="80">
        <v>13623.73</v>
      </c>
      <c r="J288">
        <v>133.47999999999999</v>
      </c>
      <c r="K288">
        <v>1482.1</v>
      </c>
      <c r="L288">
        <f t="shared" si="40"/>
        <v>0</v>
      </c>
      <c r="M288">
        <f t="shared" si="41"/>
        <v>0</v>
      </c>
      <c r="N288">
        <f t="shared" si="42"/>
        <v>0</v>
      </c>
      <c r="O288">
        <f t="shared" si="43"/>
        <v>0</v>
      </c>
      <c r="P288">
        <f t="shared" si="44"/>
        <v>0</v>
      </c>
      <c r="Q288">
        <f t="shared" si="45"/>
        <v>0</v>
      </c>
      <c r="R288">
        <f t="shared" si="46"/>
        <v>0</v>
      </c>
      <c r="S288">
        <f t="shared" si="47"/>
        <v>0</v>
      </c>
      <c r="T288">
        <f t="shared" si="49"/>
        <v>0</v>
      </c>
      <c r="U288">
        <f t="shared" si="48"/>
        <v>0</v>
      </c>
    </row>
    <row r="289" spans="1:21" x14ac:dyDescent="0.25">
      <c r="A289" s="2">
        <v>288</v>
      </c>
      <c r="B289" s="2">
        <v>1024</v>
      </c>
      <c r="C289" s="2" t="s">
        <v>162</v>
      </c>
      <c r="D289">
        <v>76.12</v>
      </c>
      <c r="E289" s="80">
        <v>43588.86</v>
      </c>
      <c r="F289">
        <v>11.96</v>
      </c>
      <c r="G289">
        <v>335.38</v>
      </c>
      <c r="H289">
        <v>14.37</v>
      </c>
      <c r="I289">
        <v>11.73</v>
      </c>
      <c r="J289">
        <v>210.74</v>
      </c>
      <c r="K289">
        <v>19.23</v>
      </c>
      <c r="L289">
        <f t="shared" si="40"/>
        <v>0</v>
      </c>
      <c r="M289">
        <f t="shared" si="41"/>
        <v>0</v>
      </c>
      <c r="N289">
        <f t="shared" si="42"/>
        <v>0</v>
      </c>
      <c r="O289">
        <f t="shared" si="43"/>
        <v>0</v>
      </c>
      <c r="P289">
        <f t="shared" si="44"/>
        <v>0</v>
      </c>
      <c r="Q289">
        <f t="shared" si="45"/>
        <v>0</v>
      </c>
      <c r="R289">
        <f t="shared" si="46"/>
        <v>0</v>
      </c>
      <c r="S289">
        <f t="shared" si="47"/>
        <v>0</v>
      </c>
      <c r="T289">
        <f t="shared" si="49"/>
        <v>0</v>
      </c>
      <c r="U289">
        <f t="shared" si="48"/>
        <v>0</v>
      </c>
    </row>
    <row r="290" spans="1:21" x14ac:dyDescent="0.25">
      <c r="A290" s="2">
        <v>289</v>
      </c>
      <c r="B290" s="2">
        <v>1024</v>
      </c>
      <c r="C290" s="2" t="s">
        <v>170</v>
      </c>
      <c r="D290">
        <v>97.36</v>
      </c>
      <c r="E290" s="80">
        <v>37010.400000000001</v>
      </c>
      <c r="F290">
        <v>370.12</v>
      </c>
      <c r="G290">
        <v>485.08</v>
      </c>
      <c r="H290">
        <v>4228.03</v>
      </c>
      <c r="I290" s="80">
        <v>15954.07</v>
      </c>
      <c r="J290">
        <v>241.5</v>
      </c>
      <c r="K290">
        <v>1299.47</v>
      </c>
      <c r="L290">
        <f t="shared" si="40"/>
        <v>0</v>
      </c>
      <c r="M290">
        <f t="shared" si="41"/>
        <v>0</v>
      </c>
      <c r="N290">
        <f t="shared" si="42"/>
        <v>0</v>
      </c>
      <c r="O290">
        <f t="shared" si="43"/>
        <v>0</v>
      </c>
      <c r="P290">
        <f t="shared" si="44"/>
        <v>0</v>
      </c>
      <c r="Q290">
        <f t="shared" si="45"/>
        <v>0</v>
      </c>
      <c r="R290">
        <f t="shared" si="46"/>
        <v>0</v>
      </c>
      <c r="S290">
        <f t="shared" si="47"/>
        <v>0</v>
      </c>
      <c r="T290">
        <f t="shared" si="49"/>
        <v>0</v>
      </c>
      <c r="U290">
        <f t="shared" si="48"/>
        <v>0</v>
      </c>
    </row>
    <row r="291" spans="1:21" x14ac:dyDescent="0.25">
      <c r="A291" s="2">
        <v>290</v>
      </c>
      <c r="B291" s="2">
        <v>1024</v>
      </c>
      <c r="C291" s="2" t="s">
        <v>178</v>
      </c>
      <c r="D291">
        <v>171.02</v>
      </c>
      <c r="E291" s="80">
        <v>41380.519999999997</v>
      </c>
      <c r="F291">
        <v>2161.7600000000002</v>
      </c>
      <c r="G291">
        <v>619.54</v>
      </c>
      <c r="H291" s="80">
        <v>35267.57</v>
      </c>
      <c r="I291" s="80">
        <v>17744.98</v>
      </c>
      <c r="J291">
        <v>394.48</v>
      </c>
      <c r="K291">
        <v>4370.66</v>
      </c>
      <c r="L291">
        <f t="shared" si="40"/>
        <v>0</v>
      </c>
      <c r="M291">
        <f t="shared" si="41"/>
        <v>0</v>
      </c>
      <c r="N291">
        <f t="shared" si="42"/>
        <v>0</v>
      </c>
      <c r="O291">
        <f t="shared" si="43"/>
        <v>0</v>
      </c>
      <c r="P291">
        <f t="shared" si="44"/>
        <v>0</v>
      </c>
      <c r="Q291">
        <f t="shared" si="45"/>
        <v>0</v>
      </c>
      <c r="R291">
        <f t="shared" si="46"/>
        <v>0</v>
      </c>
      <c r="S291">
        <f t="shared" si="47"/>
        <v>0</v>
      </c>
      <c r="T291">
        <f t="shared" si="49"/>
        <v>0</v>
      </c>
      <c r="U291">
        <f t="shared" si="48"/>
        <v>0</v>
      </c>
    </row>
    <row r="292" spans="1:21" x14ac:dyDescent="0.25">
      <c r="A292" s="2">
        <v>291</v>
      </c>
      <c r="B292" s="2">
        <v>1024</v>
      </c>
      <c r="C292" s="2" t="s">
        <v>163</v>
      </c>
      <c r="D292">
        <v>465.74</v>
      </c>
      <c r="E292" s="80">
        <v>49850.23</v>
      </c>
      <c r="F292">
        <v>1372.63</v>
      </c>
      <c r="G292">
        <v>901.99</v>
      </c>
      <c r="H292" s="80">
        <v>37735.019999999997</v>
      </c>
      <c r="I292" s="80">
        <v>17831.68</v>
      </c>
      <c r="J292">
        <v>667.54</v>
      </c>
      <c r="K292" s="80">
        <v>18570.53</v>
      </c>
      <c r="L292">
        <f t="shared" si="40"/>
        <v>0</v>
      </c>
      <c r="M292">
        <f t="shared" si="41"/>
        <v>0</v>
      </c>
      <c r="N292">
        <f t="shared" si="42"/>
        <v>0</v>
      </c>
      <c r="O292">
        <f t="shared" si="43"/>
        <v>0</v>
      </c>
      <c r="P292">
        <f t="shared" si="44"/>
        <v>0</v>
      </c>
      <c r="Q292">
        <f t="shared" si="45"/>
        <v>0</v>
      </c>
      <c r="R292">
        <f t="shared" si="46"/>
        <v>0</v>
      </c>
      <c r="S292">
        <f t="shared" si="47"/>
        <v>0</v>
      </c>
      <c r="T292">
        <f t="shared" si="49"/>
        <v>0</v>
      </c>
      <c r="U292">
        <f t="shared" si="48"/>
        <v>0</v>
      </c>
    </row>
    <row r="293" spans="1:21" x14ac:dyDescent="0.25">
      <c r="A293" s="2">
        <v>292</v>
      </c>
      <c r="B293" s="2">
        <v>1024</v>
      </c>
      <c r="C293" s="2" t="s">
        <v>181</v>
      </c>
      <c r="D293" s="80">
        <v>0.01</v>
      </c>
      <c r="E293" t="s">
        <v>583</v>
      </c>
      <c r="F293" t="s">
        <v>583</v>
      </c>
      <c r="G293" s="80">
        <v>0.94</v>
      </c>
      <c r="H293" t="s">
        <v>583</v>
      </c>
      <c r="I293" t="s">
        <v>583</v>
      </c>
      <c r="J293" t="s">
        <v>583</v>
      </c>
      <c r="K293" t="s">
        <v>583</v>
      </c>
      <c r="L293">
        <f t="shared" si="40"/>
        <v>0</v>
      </c>
      <c r="M293">
        <f t="shared" si="41"/>
        <v>0</v>
      </c>
      <c r="N293">
        <f t="shared" si="42"/>
        <v>0</v>
      </c>
      <c r="O293">
        <f t="shared" si="43"/>
        <v>0</v>
      </c>
      <c r="P293">
        <f t="shared" si="44"/>
        <v>0</v>
      </c>
      <c r="Q293">
        <f t="shared" si="45"/>
        <v>0</v>
      </c>
      <c r="R293">
        <f t="shared" si="46"/>
        <v>0</v>
      </c>
      <c r="S293">
        <f t="shared" si="47"/>
        <v>0</v>
      </c>
      <c r="T293">
        <f t="shared" si="49"/>
        <v>0</v>
      </c>
      <c r="U293">
        <f t="shared" si="48"/>
        <v>0</v>
      </c>
    </row>
    <row r="294" spans="1:21" x14ac:dyDescent="0.25">
      <c r="A294" s="2">
        <v>293</v>
      </c>
      <c r="B294" s="2">
        <v>1024</v>
      </c>
      <c r="C294" s="2" t="s">
        <v>183</v>
      </c>
      <c r="D294">
        <v>4.92</v>
      </c>
      <c r="E294">
        <v>37.06</v>
      </c>
      <c r="F294" t="s">
        <v>583</v>
      </c>
      <c r="G294">
        <v>54.68</v>
      </c>
      <c r="H294" t="s">
        <v>583</v>
      </c>
      <c r="I294" t="s">
        <v>583</v>
      </c>
      <c r="J294" t="s">
        <v>583</v>
      </c>
      <c r="K294" t="s">
        <v>583</v>
      </c>
      <c r="L294">
        <f t="shared" si="40"/>
        <v>0</v>
      </c>
      <c r="M294">
        <f t="shared" si="41"/>
        <v>0</v>
      </c>
      <c r="N294">
        <f t="shared" si="42"/>
        <v>0</v>
      </c>
      <c r="O294">
        <f t="shared" si="43"/>
        <v>0</v>
      </c>
      <c r="P294">
        <f t="shared" si="44"/>
        <v>0</v>
      </c>
      <c r="Q294">
        <f t="shared" si="45"/>
        <v>0</v>
      </c>
      <c r="R294">
        <f t="shared" si="46"/>
        <v>0</v>
      </c>
      <c r="S294">
        <f t="shared" si="47"/>
        <v>0</v>
      </c>
      <c r="T294">
        <f t="shared" si="49"/>
        <v>0</v>
      </c>
      <c r="U294">
        <f t="shared" si="48"/>
        <v>0</v>
      </c>
    </row>
    <row r="295" spans="1:21" x14ac:dyDescent="0.25">
      <c r="A295" s="2">
        <v>294</v>
      </c>
      <c r="B295" s="2">
        <v>1024</v>
      </c>
      <c r="C295" s="2" t="s">
        <v>186</v>
      </c>
      <c r="D295" s="80">
        <v>0.01</v>
      </c>
      <c r="E295" s="80">
        <v>1.92</v>
      </c>
      <c r="F295" t="s">
        <v>583</v>
      </c>
      <c r="G295" s="80">
        <v>0.94</v>
      </c>
      <c r="H295" t="s">
        <v>583</v>
      </c>
      <c r="I295" s="80">
        <v>0.12</v>
      </c>
      <c r="J295" t="s">
        <v>583</v>
      </c>
      <c r="K295" t="s">
        <v>583</v>
      </c>
      <c r="L295">
        <f t="shared" si="40"/>
        <v>0</v>
      </c>
      <c r="M295">
        <f t="shared" si="41"/>
        <v>0</v>
      </c>
      <c r="N295">
        <f t="shared" si="42"/>
        <v>0</v>
      </c>
      <c r="O295">
        <f t="shared" si="43"/>
        <v>0</v>
      </c>
      <c r="P295">
        <f t="shared" si="44"/>
        <v>0</v>
      </c>
      <c r="Q295">
        <f t="shared" si="45"/>
        <v>0</v>
      </c>
      <c r="R295">
        <f t="shared" si="46"/>
        <v>0</v>
      </c>
      <c r="S295">
        <f t="shared" si="47"/>
        <v>0</v>
      </c>
      <c r="T295">
        <f t="shared" si="49"/>
        <v>0</v>
      </c>
      <c r="U295">
        <f t="shared" si="48"/>
        <v>0</v>
      </c>
    </row>
    <row r="296" spans="1:21" x14ac:dyDescent="0.25">
      <c r="A296" s="2">
        <v>295</v>
      </c>
      <c r="B296" s="2">
        <v>1024</v>
      </c>
      <c r="C296" s="2" t="s">
        <v>188</v>
      </c>
      <c r="D296" s="80">
        <v>0.01</v>
      </c>
      <c r="E296" t="s">
        <v>583</v>
      </c>
      <c r="F296" t="s">
        <v>583</v>
      </c>
      <c r="G296">
        <v>24.99</v>
      </c>
      <c r="H296" t="s">
        <v>583</v>
      </c>
      <c r="I296" t="s">
        <v>583</v>
      </c>
      <c r="J296" t="s">
        <v>583</v>
      </c>
      <c r="K296" s="80">
        <v>0.23</v>
      </c>
      <c r="L296">
        <f t="shared" si="40"/>
        <v>0</v>
      </c>
      <c r="M296">
        <f t="shared" si="41"/>
        <v>0</v>
      </c>
      <c r="N296">
        <f t="shared" si="42"/>
        <v>0</v>
      </c>
      <c r="O296">
        <f t="shared" si="43"/>
        <v>0</v>
      </c>
      <c r="P296">
        <f t="shared" si="44"/>
        <v>0</v>
      </c>
      <c r="Q296">
        <f t="shared" si="45"/>
        <v>0</v>
      </c>
      <c r="R296">
        <f t="shared" si="46"/>
        <v>0</v>
      </c>
      <c r="S296">
        <f t="shared" si="47"/>
        <v>0</v>
      </c>
      <c r="T296">
        <f t="shared" si="49"/>
        <v>0</v>
      </c>
      <c r="U296">
        <f t="shared" si="48"/>
        <v>0</v>
      </c>
    </row>
    <row r="297" spans="1:21" x14ac:dyDescent="0.25">
      <c r="A297" s="2">
        <v>296</v>
      </c>
      <c r="B297" s="2">
        <v>1024</v>
      </c>
      <c r="C297" s="2" t="s">
        <v>182</v>
      </c>
      <c r="D297" s="80">
        <v>0.01</v>
      </c>
      <c r="E297">
        <v>1615.62</v>
      </c>
      <c r="F297" t="s">
        <v>583</v>
      </c>
      <c r="G297">
        <v>54.68</v>
      </c>
      <c r="H297">
        <v>0.15</v>
      </c>
      <c r="I297">
        <v>5.7</v>
      </c>
      <c r="J297" t="s">
        <v>583</v>
      </c>
      <c r="K297" s="80">
        <v>0.23</v>
      </c>
      <c r="L297">
        <f t="shared" si="40"/>
        <v>0</v>
      </c>
      <c r="M297">
        <f t="shared" si="41"/>
        <v>0</v>
      </c>
      <c r="N297">
        <f t="shared" si="42"/>
        <v>0</v>
      </c>
      <c r="O297">
        <f t="shared" si="43"/>
        <v>0</v>
      </c>
      <c r="P297">
        <f t="shared" si="44"/>
        <v>0</v>
      </c>
      <c r="Q297">
        <f t="shared" si="45"/>
        <v>0</v>
      </c>
      <c r="R297">
        <f t="shared" si="46"/>
        <v>0</v>
      </c>
      <c r="S297">
        <f t="shared" si="47"/>
        <v>0</v>
      </c>
      <c r="T297">
        <f t="shared" si="49"/>
        <v>0</v>
      </c>
      <c r="U297">
        <f t="shared" si="48"/>
        <v>0</v>
      </c>
    </row>
    <row r="298" spans="1:21" x14ac:dyDescent="0.25">
      <c r="A298" s="2">
        <v>297</v>
      </c>
      <c r="B298" s="2">
        <v>1024</v>
      </c>
      <c r="C298" s="2" t="s">
        <v>184</v>
      </c>
      <c r="D298">
        <v>104.54</v>
      </c>
      <c r="E298" s="80">
        <v>30035.119999999999</v>
      </c>
      <c r="F298">
        <v>613.04999999999995</v>
      </c>
      <c r="G298">
        <v>485.08</v>
      </c>
      <c r="H298" s="83">
        <v>15277.55</v>
      </c>
      <c r="I298" s="80">
        <v>15264.18</v>
      </c>
      <c r="J298">
        <v>302.83999999999997</v>
      </c>
      <c r="K298">
        <v>3672.54</v>
      </c>
      <c r="L298">
        <f t="shared" si="40"/>
        <v>0</v>
      </c>
      <c r="M298">
        <f t="shared" si="41"/>
        <v>0</v>
      </c>
      <c r="N298">
        <f t="shared" si="42"/>
        <v>0</v>
      </c>
      <c r="O298">
        <f t="shared" si="43"/>
        <v>0</v>
      </c>
      <c r="P298">
        <f t="shared" si="44"/>
        <v>0</v>
      </c>
      <c r="Q298">
        <f t="shared" si="45"/>
        <v>0</v>
      </c>
      <c r="R298">
        <f t="shared" si="46"/>
        <v>0</v>
      </c>
      <c r="S298">
        <f t="shared" si="47"/>
        <v>0</v>
      </c>
      <c r="T298">
        <f t="shared" si="49"/>
        <v>0</v>
      </c>
      <c r="U298">
        <f t="shared" si="48"/>
        <v>0</v>
      </c>
    </row>
    <row r="299" spans="1:21" x14ac:dyDescent="0.25">
      <c r="A299" s="2">
        <v>298</v>
      </c>
      <c r="B299" s="2">
        <v>1024</v>
      </c>
      <c r="C299" s="2" t="s">
        <v>187</v>
      </c>
      <c r="D299">
        <v>271.41000000000003</v>
      </c>
      <c r="E299">
        <v>28196.93</v>
      </c>
      <c r="F299">
        <v>935.05</v>
      </c>
      <c r="G299">
        <v>665.44</v>
      </c>
      <c r="H299" s="80">
        <v>58783.72</v>
      </c>
      <c r="I299" s="80">
        <v>15552.39</v>
      </c>
      <c r="J299">
        <v>485.76</v>
      </c>
      <c r="K299" s="80">
        <v>9570.52</v>
      </c>
      <c r="L299">
        <f t="shared" si="40"/>
        <v>0</v>
      </c>
      <c r="M299">
        <f t="shared" si="41"/>
        <v>0</v>
      </c>
      <c r="N299">
        <f t="shared" si="42"/>
        <v>0</v>
      </c>
      <c r="O299">
        <f t="shared" si="43"/>
        <v>0</v>
      </c>
      <c r="P299">
        <f t="shared" si="44"/>
        <v>0</v>
      </c>
      <c r="Q299">
        <f t="shared" si="45"/>
        <v>0</v>
      </c>
      <c r="R299">
        <f t="shared" si="46"/>
        <v>0</v>
      </c>
      <c r="S299">
        <f t="shared" si="47"/>
        <v>0</v>
      </c>
      <c r="T299">
        <f t="shared" si="49"/>
        <v>0</v>
      </c>
      <c r="U299">
        <f t="shared" si="48"/>
        <v>0</v>
      </c>
    </row>
    <row r="300" spans="1:21" x14ac:dyDescent="0.25">
      <c r="A300" s="2">
        <v>299</v>
      </c>
      <c r="B300" s="2">
        <v>1024</v>
      </c>
      <c r="C300" s="2" t="s">
        <v>189</v>
      </c>
      <c r="D300">
        <v>220.68</v>
      </c>
      <c r="E300">
        <v>22498.59</v>
      </c>
      <c r="F300">
        <v>65.599999999999994</v>
      </c>
      <c r="G300">
        <v>574.16</v>
      </c>
      <c r="H300" s="80">
        <v>26310.91</v>
      </c>
      <c r="I300" s="80">
        <v>12316.63</v>
      </c>
      <c r="J300">
        <v>462.97</v>
      </c>
      <c r="K300" s="80">
        <v>11465.22</v>
      </c>
      <c r="L300">
        <f t="shared" si="40"/>
        <v>0</v>
      </c>
      <c r="M300">
        <f t="shared" si="41"/>
        <v>0</v>
      </c>
      <c r="N300">
        <f t="shared" si="42"/>
        <v>0</v>
      </c>
      <c r="O300">
        <f t="shared" si="43"/>
        <v>0</v>
      </c>
      <c r="P300">
        <f t="shared" si="44"/>
        <v>0</v>
      </c>
      <c r="Q300">
        <f t="shared" si="45"/>
        <v>0</v>
      </c>
      <c r="R300">
        <f t="shared" si="46"/>
        <v>0</v>
      </c>
      <c r="S300">
        <f t="shared" si="47"/>
        <v>0</v>
      </c>
      <c r="T300">
        <f t="shared" si="49"/>
        <v>0</v>
      </c>
      <c r="U300">
        <f t="shared" si="48"/>
        <v>0</v>
      </c>
    </row>
    <row r="301" spans="1:21" x14ac:dyDescent="0.25">
      <c r="A301" s="2">
        <v>300</v>
      </c>
      <c r="B301" s="2" t="s">
        <v>597</v>
      </c>
      <c r="C301" s="2" t="s">
        <v>162</v>
      </c>
      <c r="D301">
        <v>55.42</v>
      </c>
      <c r="E301" s="80">
        <v>28417.87</v>
      </c>
      <c r="F301">
        <v>7.73</v>
      </c>
      <c r="G301">
        <v>195.61</v>
      </c>
      <c r="H301">
        <v>9.75</v>
      </c>
      <c r="I301">
        <v>6.21</v>
      </c>
      <c r="J301">
        <v>148.97999999999999</v>
      </c>
      <c r="K301">
        <v>13.17</v>
      </c>
      <c r="L301">
        <f t="shared" si="40"/>
        <v>0</v>
      </c>
      <c r="M301">
        <f t="shared" si="41"/>
        <v>0</v>
      </c>
      <c r="N301">
        <f t="shared" si="42"/>
        <v>0</v>
      </c>
      <c r="O301">
        <f t="shared" si="43"/>
        <v>0</v>
      </c>
      <c r="P301">
        <f t="shared" si="44"/>
        <v>0</v>
      </c>
      <c r="Q301">
        <f t="shared" si="45"/>
        <v>0</v>
      </c>
      <c r="R301">
        <f t="shared" si="46"/>
        <v>0</v>
      </c>
      <c r="S301">
        <f t="shared" si="47"/>
        <v>0</v>
      </c>
      <c r="T301">
        <f t="shared" si="49"/>
        <v>0</v>
      </c>
      <c r="U301">
        <f t="shared" si="48"/>
        <v>0</v>
      </c>
    </row>
    <row r="302" spans="1:21" x14ac:dyDescent="0.25">
      <c r="A302" s="2">
        <v>301</v>
      </c>
      <c r="B302" s="2" t="s">
        <v>597</v>
      </c>
      <c r="C302" s="2" t="s">
        <v>170</v>
      </c>
      <c r="D302">
        <v>163.49</v>
      </c>
      <c r="E302" s="80">
        <v>40567.49</v>
      </c>
      <c r="F302">
        <v>728.66</v>
      </c>
      <c r="G302">
        <v>574.16</v>
      </c>
      <c r="H302">
        <v>6371.2</v>
      </c>
      <c r="I302" s="80">
        <v>12517.06</v>
      </c>
      <c r="J302">
        <v>287.52999999999997</v>
      </c>
      <c r="K302">
        <v>1321.42</v>
      </c>
      <c r="L302">
        <f t="shared" si="40"/>
        <v>0</v>
      </c>
      <c r="M302">
        <f t="shared" si="41"/>
        <v>0</v>
      </c>
      <c r="N302">
        <f t="shared" si="42"/>
        <v>0</v>
      </c>
      <c r="O302">
        <f t="shared" si="43"/>
        <v>0</v>
      </c>
      <c r="P302">
        <f t="shared" si="44"/>
        <v>0</v>
      </c>
      <c r="Q302">
        <f t="shared" si="45"/>
        <v>0</v>
      </c>
      <c r="R302">
        <f t="shared" si="46"/>
        <v>0</v>
      </c>
      <c r="S302">
        <f t="shared" si="47"/>
        <v>0</v>
      </c>
      <c r="T302">
        <f t="shared" si="49"/>
        <v>0</v>
      </c>
      <c r="U302">
        <f t="shared" si="48"/>
        <v>0</v>
      </c>
    </row>
    <row r="303" spans="1:21" x14ac:dyDescent="0.25">
      <c r="A303" s="2">
        <v>302</v>
      </c>
      <c r="B303" s="2" t="s">
        <v>597</v>
      </c>
      <c r="C303" s="2" t="s">
        <v>178</v>
      </c>
      <c r="D303">
        <v>440.95</v>
      </c>
      <c r="E303" s="80">
        <v>42980.5</v>
      </c>
      <c r="F303">
        <v>2149.48</v>
      </c>
      <c r="G303">
        <v>665.44</v>
      </c>
      <c r="H303" s="80">
        <v>29898.31</v>
      </c>
      <c r="I303" s="80">
        <v>14739.58</v>
      </c>
      <c r="J303">
        <v>386.86</v>
      </c>
      <c r="K303">
        <v>3060.27</v>
      </c>
      <c r="L303">
        <f t="shared" si="40"/>
        <v>0</v>
      </c>
      <c r="M303">
        <f t="shared" si="41"/>
        <v>0</v>
      </c>
      <c r="N303">
        <f t="shared" si="42"/>
        <v>0</v>
      </c>
      <c r="O303">
        <f t="shared" si="43"/>
        <v>0</v>
      </c>
      <c r="P303">
        <f t="shared" si="44"/>
        <v>0</v>
      </c>
      <c r="Q303">
        <f t="shared" si="45"/>
        <v>0</v>
      </c>
      <c r="R303">
        <f t="shared" si="46"/>
        <v>0</v>
      </c>
      <c r="S303">
        <f t="shared" si="47"/>
        <v>0</v>
      </c>
      <c r="T303">
        <f t="shared" si="49"/>
        <v>0</v>
      </c>
      <c r="U303">
        <f t="shared" si="48"/>
        <v>0</v>
      </c>
    </row>
    <row r="304" spans="1:21" x14ac:dyDescent="0.25">
      <c r="A304" s="2">
        <v>303</v>
      </c>
      <c r="B304" s="2" t="s">
        <v>597</v>
      </c>
      <c r="C304" s="2" t="s">
        <v>163</v>
      </c>
      <c r="D304">
        <v>499</v>
      </c>
      <c r="E304" s="80">
        <v>45473.42</v>
      </c>
      <c r="F304">
        <v>441.28</v>
      </c>
      <c r="G304">
        <v>829.87</v>
      </c>
      <c r="H304">
        <v>9708.9</v>
      </c>
      <c r="I304" s="80">
        <v>11873.6</v>
      </c>
      <c r="J304">
        <v>455.37</v>
      </c>
      <c r="K304" s="80">
        <v>10265.790000000001</v>
      </c>
      <c r="L304">
        <f t="shared" si="40"/>
        <v>0</v>
      </c>
      <c r="M304">
        <f t="shared" si="41"/>
        <v>0</v>
      </c>
      <c r="N304">
        <f t="shared" si="42"/>
        <v>0</v>
      </c>
      <c r="O304">
        <f t="shared" si="43"/>
        <v>0</v>
      </c>
      <c r="P304">
        <f t="shared" si="44"/>
        <v>0</v>
      </c>
      <c r="Q304">
        <f t="shared" si="45"/>
        <v>0</v>
      </c>
      <c r="R304">
        <f t="shared" si="46"/>
        <v>0</v>
      </c>
      <c r="S304">
        <f t="shared" si="47"/>
        <v>0</v>
      </c>
      <c r="T304">
        <f t="shared" si="49"/>
        <v>0</v>
      </c>
      <c r="U304">
        <f t="shared" si="48"/>
        <v>0</v>
      </c>
    </row>
    <row r="305" spans="1:21" x14ac:dyDescent="0.25">
      <c r="A305" s="2">
        <v>304</v>
      </c>
      <c r="B305" s="2" t="s">
        <v>597</v>
      </c>
      <c r="C305" s="2" t="s">
        <v>181</v>
      </c>
      <c r="D305">
        <v>97.36</v>
      </c>
      <c r="E305" s="80">
        <v>53050.85</v>
      </c>
      <c r="F305">
        <v>9.76</v>
      </c>
      <c r="G305">
        <v>398.48</v>
      </c>
      <c r="H305">
        <v>60.25</v>
      </c>
      <c r="I305">
        <v>100.71</v>
      </c>
      <c r="J305">
        <v>249.18</v>
      </c>
      <c r="K305">
        <v>76.14</v>
      </c>
      <c r="L305">
        <f t="shared" si="40"/>
        <v>0</v>
      </c>
      <c r="M305">
        <f t="shared" si="41"/>
        <v>0</v>
      </c>
      <c r="N305">
        <f t="shared" si="42"/>
        <v>0</v>
      </c>
      <c r="O305">
        <f t="shared" si="43"/>
        <v>0</v>
      </c>
      <c r="P305">
        <f t="shared" si="44"/>
        <v>0</v>
      </c>
      <c r="Q305">
        <f t="shared" si="45"/>
        <v>0</v>
      </c>
      <c r="R305">
        <f t="shared" si="46"/>
        <v>0</v>
      </c>
      <c r="S305">
        <f t="shared" si="47"/>
        <v>0</v>
      </c>
      <c r="T305">
        <f t="shared" si="49"/>
        <v>0</v>
      </c>
      <c r="U305">
        <f t="shared" si="48"/>
        <v>0</v>
      </c>
    </row>
    <row r="306" spans="1:21" x14ac:dyDescent="0.25">
      <c r="A306" s="2">
        <v>305</v>
      </c>
      <c r="B306" s="2" t="s">
        <v>597</v>
      </c>
      <c r="C306" s="2" t="s">
        <v>183</v>
      </c>
      <c r="D306">
        <v>148.53</v>
      </c>
      <c r="E306" s="80">
        <v>48287.6</v>
      </c>
      <c r="F306">
        <v>1730.02</v>
      </c>
      <c r="G306">
        <v>665.44</v>
      </c>
      <c r="H306">
        <v>15885.67</v>
      </c>
      <c r="I306" s="80">
        <v>18452.13</v>
      </c>
      <c r="J306">
        <v>485.76</v>
      </c>
      <c r="K306" s="80">
        <v>8427.68</v>
      </c>
      <c r="L306">
        <f t="shared" si="40"/>
        <v>0</v>
      </c>
      <c r="M306">
        <f t="shared" si="41"/>
        <v>0</v>
      </c>
      <c r="N306">
        <f t="shared" si="42"/>
        <v>0</v>
      </c>
      <c r="O306">
        <f t="shared" si="43"/>
        <v>0</v>
      </c>
      <c r="P306">
        <f t="shared" si="44"/>
        <v>0</v>
      </c>
      <c r="Q306">
        <f t="shared" si="45"/>
        <v>0</v>
      </c>
      <c r="R306">
        <f t="shared" si="46"/>
        <v>0</v>
      </c>
      <c r="S306">
        <f t="shared" si="47"/>
        <v>0</v>
      </c>
      <c r="T306">
        <f t="shared" si="49"/>
        <v>0</v>
      </c>
      <c r="U306">
        <f t="shared" si="48"/>
        <v>0</v>
      </c>
    </row>
    <row r="307" spans="1:21" x14ac:dyDescent="0.25">
      <c r="A307" s="2">
        <v>306</v>
      </c>
      <c r="B307" s="2" t="s">
        <v>597</v>
      </c>
      <c r="C307" s="2" t="s">
        <v>186</v>
      </c>
      <c r="D307">
        <v>163.49</v>
      </c>
      <c r="E307" s="80">
        <v>40235.980000000003</v>
      </c>
      <c r="F307">
        <v>2897.73</v>
      </c>
      <c r="G307">
        <v>806.04</v>
      </c>
      <c r="H307" s="80">
        <v>66182.59</v>
      </c>
      <c r="I307" s="80">
        <v>18474.54</v>
      </c>
      <c r="J307">
        <v>516.13</v>
      </c>
      <c r="K307" s="80">
        <v>12186.25</v>
      </c>
      <c r="L307">
        <f t="shared" si="40"/>
        <v>0</v>
      </c>
      <c r="M307">
        <f t="shared" si="41"/>
        <v>0</v>
      </c>
      <c r="N307">
        <f t="shared" si="42"/>
        <v>0</v>
      </c>
      <c r="O307">
        <f t="shared" si="43"/>
        <v>0</v>
      </c>
      <c r="P307">
        <f t="shared" si="44"/>
        <v>0</v>
      </c>
      <c r="Q307">
        <f t="shared" si="45"/>
        <v>0</v>
      </c>
      <c r="R307">
        <f t="shared" si="46"/>
        <v>0</v>
      </c>
      <c r="S307">
        <f t="shared" si="47"/>
        <v>0</v>
      </c>
      <c r="T307">
        <f t="shared" si="49"/>
        <v>0</v>
      </c>
      <c r="U307">
        <f t="shared" si="48"/>
        <v>0</v>
      </c>
    </row>
    <row r="308" spans="1:21" x14ac:dyDescent="0.25">
      <c r="A308" s="2">
        <v>307</v>
      </c>
      <c r="B308" s="2" t="s">
        <v>597</v>
      </c>
      <c r="C308" s="2" t="s">
        <v>188</v>
      </c>
      <c r="D308">
        <v>182.37</v>
      </c>
      <c r="E308" s="80">
        <v>58002.66</v>
      </c>
      <c r="F308">
        <v>468.38</v>
      </c>
      <c r="G308">
        <v>877.84</v>
      </c>
      <c r="H308">
        <v>11771.75</v>
      </c>
      <c r="I308" s="80">
        <v>15270.3</v>
      </c>
      <c r="J308">
        <v>584.34</v>
      </c>
      <c r="K308" s="80">
        <v>15197.16</v>
      </c>
      <c r="L308">
        <f t="shared" si="40"/>
        <v>0</v>
      </c>
      <c r="M308">
        <f t="shared" si="41"/>
        <v>0</v>
      </c>
      <c r="N308">
        <f t="shared" si="42"/>
        <v>0</v>
      </c>
      <c r="O308">
        <f t="shared" si="43"/>
        <v>0</v>
      </c>
      <c r="P308">
        <f t="shared" si="44"/>
        <v>0</v>
      </c>
      <c r="Q308">
        <f t="shared" si="45"/>
        <v>0</v>
      </c>
      <c r="R308">
        <f t="shared" si="46"/>
        <v>0</v>
      </c>
      <c r="S308">
        <f t="shared" si="47"/>
        <v>0</v>
      </c>
      <c r="T308">
        <f t="shared" si="49"/>
        <v>0</v>
      </c>
      <c r="U308">
        <f t="shared" si="48"/>
        <v>0</v>
      </c>
    </row>
    <row r="309" spans="1:21" x14ac:dyDescent="0.25">
      <c r="A309" s="2">
        <v>308</v>
      </c>
      <c r="B309" s="2" t="s">
        <v>597</v>
      </c>
      <c r="C309" s="2" t="s">
        <v>182</v>
      </c>
      <c r="D309" s="80">
        <v>0.01</v>
      </c>
      <c r="E309">
        <v>1016.78</v>
      </c>
      <c r="F309" t="s">
        <v>583</v>
      </c>
      <c r="G309">
        <v>54.68</v>
      </c>
      <c r="H309">
        <v>6.64</v>
      </c>
      <c r="I309">
        <v>8.1300000000000008</v>
      </c>
      <c r="J309" t="s">
        <v>583</v>
      </c>
      <c r="K309" t="s">
        <v>583</v>
      </c>
      <c r="L309">
        <f t="shared" si="40"/>
        <v>0</v>
      </c>
      <c r="M309">
        <f t="shared" si="41"/>
        <v>0</v>
      </c>
      <c r="N309">
        <f t="shared" si="42"/>
        <v>0</v>
      </c>
      <c r="O309">
        <f t="shared" si="43"/>
        <v>0</v>
      </c>
      <c r="P309">
        <f t="shared" si="44"/>
        <v>0</v>
      </c>
      <c r="Q309">
        <f t="shared" si="45"/>
        <v>0</v>
      </c>
      <c r="R309">
        <f t="shared" si="46"/>
        <v>0</v>
      </c>
      <c r="S309">
        <f t="shared" si="47"/>
        <v>0</v>
      </c>
      <c r="T309">
        <f t="shared" si="49"/>
        <v>0</v>
      </c>
      <c r="U309">
        <f t="shared" si="48"/>
        <v>0</v>
      </c>
    </row>
    <row r="310" spans="1:21" x14ac:dyDescent="0.25">
      <c r="A310" s="2">
        <v>309</v>
      </c>
      <c r="B310" s="2" t="s">
        <v>597</v>
      </c>
      <c r="C310" s="2" t="s">
        <v>184</v>
      </c>
      <c r="D310">
        <v>629.76</v>
      </c>
      <c r="E310" s="80">
        <v>26610.62</v>
      </c>
      <c r="F310">
        <v>422.05</v>
      </c>
      <c r="G310">
        <v>507.13</v>
      </c>
      <c r="H310">
        <v>11916.15</v>
      </c>
      <c r="I310" s="80">
        <v>15429.08</v>
      </c>
      <c r="J310">
        <v>264.52999999999997</v>
      </c>
      <c r="K310">
        <v>2608.34</v>
      </c>
      <c r="L310">
        <f t="shared" si="40"/>
        <v>0</v>
      </c>
      <c r="M310">
        <f t="shared" si="41"/>
        <v>0</v>
      </c>
      <c r="N310">
        <f t="shared" si="42"/>
        <v>0</v>
      </c>
      <c r="O310">
        <f t="shared" si="43"/>
        <v>0</v>
      </c>
      <c r="P310">
        <f t="shared" si="44"/>
        <v>0</v>
      </c>
      <c r="Q310">
        <f t="shared" si="45"/>
        <v>0</v>
      </c>
      <c r="R310">
        <f t="shared" si="46"/>
        <v>0</v>
      </c>
      <c r="S310">
        <f t="shared" si="47"/>
        <v>0</v>
      </c>
      <c r="T310">
        <f t="shared" si="49"/>
        <v>0</v>
      </c>
      <c r="U310">
        <f t="shared" si="48"/>
        <v>0</v>
      </c>
    </row>
    <row r="311" spans="1:21" x14ac:dyDescent="0.25">
      <c r="A311" s="2">
        <v>310</v>
      </c>
      <c r="B311" s="2" t="s">
        <v>597</v>
      </c>
      <c r="C311" s="2" t="s">
        <v>187</v>
      </c>
      <c r="D311">
        <v>6933.96</v>
      </c>
      <c r="E311" s="80">
        <v>32160.41</v>
      </c>
      <c r="F311">
        <v>574.6</v>
      </c>
      <c r="G311">
        <v>665.44</v>
      </c>
      <c r="H311" s="80">
        <v>38365.67</v>
      </c>
      <c r="I311" s="80">
        <v>14885.92</v>
      </c>
      <c r="J311">
        <v>356.34</v>
      </c>
      <c r="K311">
        <v>6173.16</v>
      </c>
      <c r="L311">
        <f t="shared" si="40"/>
        <v>0</v>
      </c>
      <c r="M311">
        <f t="shared" si="41"/>
        <v>0</v>
      </c>
      <c r="N311">
        <f t="shared" si="42"/>
        <v>0</v>
      </c>
      <c r="O311">
        <f t="shared" si="43"/>
        <v>0</v>
      </c>
      <c r="P311">
        <f t="shared" si="44"/>
        <v>0</v>
      </c>
      <c r="Q311">
        <f t="shared" si="45"/>
        <v>0</v>
      </c>
      <c r="R311">
        <f t="shared" si="46"/>
        <v>0</v>
      </c>
      <c r="S311">
        <f t="shared" si="47"/>
        <v>0</v>
      </c>
      <c r="T311">
        <f t="shared" si="49"/>
        <v>0</v>
      </c>
      <c r="U311">
        <f t="shared" si="48"/>
        <v>0</v>
      </c>
    </row>
    <row r="312" spans="1:21" x14ac:dyDescent="0.25">
      <c r="A312" s="2">
        <v>311</v>
      </c>
      <c r="B312" s="2" t="s">
        <v>597</v>
      </c>
      <c r="C312" s="2" t="s">
        <v>189</v>
      </c>
      <c r="D312">
        <v>3880.25</v>
      </c>
      <c r="E312">
        <v>22668.68</v>
      </c>
      <c r="F312">
        <v>82.32</v>
      </c>
      <c r="G312">
        <v>485.08</v>
      </c>
      <c r="H312" s="80">
        <v>18183.29</v>
      </c>
      <c r="I312" s="80">
        <v>11051.52</v>
      </c>
      <c r="J312">
        <v>310.49</v>
      </c>
      <c r="K312">
        <v>7197.38</v>
      </c>
      <c r="L312">
        <f t="shared" si="40"/>
        <v>0</v>
      </c>
      <c r="M312">
        <f t="shared" si="41"/>
        <v>0</v>
      </c>
      <c r="N312">
        <f t="shared" si="42"/>
        <v>0</v>
      </c>
      <c r="O312">
        <f t="shared" si="43"/>
        <v>0</v>
      </c>
      <c r="P312">
        <f t="shared" si="44"/>
        <v>0</v>
      </c>
      <c r="Q312">
        <f t="shared" si="45"/>
        <v>0</v>
      </c>
      <c r="R312">
        <f t="shared" si="46"/>
        <v>0</v>
      </c>
      <c r="S312">
        <f t="shared" si="47"/>
        <v>0</v>
      </c>
      <c r="T312">
        <f t="shared" si="49"/>
        <v>0</v>
      </c>
      <c r="U312">
        <f t="shared" si="48"/>
        <v>0</v>
      </c>
    </row>
    <row r="313" spans="1:21" x14ac:dyDescent="0.25">
      <c r="A313" s="2">
        <v>312</v>
      </c>
      <c r="B313" s="2" t="s">
        <v>598</v>
      </c>
      <c r="C313" s="2" t="s">
        <v>162</v>
      </c>
      <c r="D313" t="s">
        <v>583</v>
      </c>
      <c r="E313">
        <v>696.47</v>
      </c>
      <c r="F313" t="s">
        <v>583</v>
      </c>
      <c r="G313">
        <v>24.99</v>
      </c>
      <c r="H313" t="s">
        <v>583</v>
      </c>
      <c r="I313" t="s">
        <v>583</v>
      </c>
      <c r="J313" t="s">
        <v>583</v>
      </c>
      <c r="K313" t="s">
        <v>583</v>
      </c>
      <c r="L313">
        <f t="shared" si="40"/>
        <v>0</v>
      </c>
      <c r="M313">
        <f t="shared" si="41"/>
        <v>0</v>
      </c>
      <c r="N313">
        <f t="shared" si="42"/>
        <v>0</v>
      </c>
      <c r="O313">
        <f t="shared" si="43"/>
        <v>0</v>
      </c>
      <c r="P313">
        <f t="shared" si="44"/>
        <v>0</v>
      </c>
      <c r="Q313">
        <f t="shared" si="45"/>
        <v>0</v>
      </c>
      <c r="R313">
        <f t="shared" si="46"/>
        <v>0</v>
      </c>
      <c r="S313">
        <f t="shared" si="47"/>
        <v>0</v>
      </c>
      <c r="T313">
        <f t="shared" si="49"/>
        <v>0</v>
      </c>
      <c r="U313">
        <f t="shared" si="48"/>
        <v>0</v>
      </c>
    </row>
    <row r="314" spans="1:21" x14ac:dyDescent="0.25">
      <c r="A314" s="2">
        <v>313</v>
      </c>
      <c r="B314" s="2" t="s">
        <v>598</v>
      </c>
      <c r="C314" s="2" t="s">
        <v>170</v>
      </c>
      <c r="D314" t="s">
        <v>583</v>
      </c>
      <c r="E314">
        <v>2079.59</v>
      </c>
      <c r="F314" t="s">
        <v>583</v>
      </c>
      <c r="G314">
        <v>54.68</v>
      </c>
      <c r="H314">
        <v>5.0599999999999996</v>
      </c>
      <c r="I314">
        <v>2.2599999999999998</v>
      </c>
      <c r="J314">
        <v>23.73</v>
      </c>
      <c r="K314">
        <v>2.58</v>
      </c>
      <c r="L314">
        <f t="shared" si="40"/>
        <v>0</v>
      </c>
      <c r="M314">
        <f t="shared" si="41"/>
        <v>0</v>
      </c>
      <c r="N314">
        <f t="shared" si="42"/>
        <v>0</v>
      </c>
      <c r="O314">
        <f t="shared" si="43"/>
        <v>0</v>
      </c>
      <c r="P314">
        <f t="shared" si="44"/>
        <v>0</v>
      </c>
      <c r="Q314">
        <f t="shared" si="45"/>
        <v>0</v>
      </c>
      <c r="R314">
        <f t="shared" si="46"/>
        <v>0</v>
      </c>
      <c r="S314">
        <f t="shared" si="47"/>
        <v>0</v>
      </c>
      <c r="T314">
        <f t="shared" si="49"/>
        <v>0</v>
      </c>
      <c r="U314">
        <f t="shared" si="48"/>
        <v>0</v>
      </c>
    </row>
    <row r="315" spans="1:21" x14ac:dyDescent="0.25">
      <c r="A315" s="2">
        <v>314</v>
      </c>
      <c r="B315" s="2" t="s">
        <v>598</v>
      </c>
      <c r="C315" s="2" t="s">
        <v>178</v>
      </c>
      <c r="D315" s="80">
        <v>0.01</v>
      </c>
      <c r="E315">
        <v>2623.6</v>
      </c>
      <c r="F315" t="s">
        <v>583</v>
      </c>
      <c r="G315">
        <v>24.99</v>
      </c>
      <c r="H315">
        <v>18.920000000000002</v>
      </c>
      <c r="I315">
        <v>17.940000000000001</v>
      </c>
      <c r="J315">
        <v>7.64</v>
      </c>
      <c r="K315">
        <v>11.34</v>
      </c>
      <c r="L315">
        <f t="shared" si="40"/>
        <v>0</v>
      </c>
      <c r="M315">
        <f t="shared" si="41"/>
        <v>0</v>
      </c>
      <c r="N315">
        <f t="shared" si="42"/>
        <v>0</v>
      </c>
      <c r="O315">
        <f t="shared" si="43"/>
        <v>0</v>
      </c>
      <c r="P315">
        <f t="shared" si="44"/>
        <v>0</v>
      </c>
      <c r="Q315">
        <f t="shared" si="45"/>
        <v>0</v>
      </c>
      <c r="R315">
        <f t="shared" si="46"/>
        <v>0</v>
      </c>
      <c r="S315">
        <f t="shared" si="47"/>
        <v>0</v>
      </c>
      <c r="T315">
        <f t="shared" si="49"/>
        <v>0</v>
      </c>
      <c r="U315">
        <f t="shared" si="48"/>
        <v>0</v>
      </c>
    </row>
    <row r="316" spans="1:21" x14ac:dyDescent="0.25">
      <c r="A316" s="2">
        <v>315</v>
      </c>
      <c r="B316" s="2" t="s">
        <v>598</v>
      </c>
      <c r="C316" s="2" t="s">
        <v>163</v>
      </c>
      <c r="D316">
        <v>10.56</v>
      </c>
      <c r="E316">
        <v>1388.24</v>
      </c>
      <c r="F316" t="s">
        <v>583</v>
      </c>
      <c r="G316">
        <v>24.99</v>
      </c>
      <c r="H316">
        <v>3.46</v>
      </c>
      <c r="I316">
        <v>2.41</v>
      </c>
      <c r="J316" t="s">
        <v>583</v>
      </c>
      <c r="K316">
        <v>5.98</v>
      </c>
      <c r="L316">
        <f t="shared" si="40"/>
        <v>0</v>
      </c>
      <c r="M316">
        <f t="shared" si="41"/>
        <v>0</v>
      </c>
      <c r="N316">
        <f t="shared" si="42"/>
        <v>0</v>
      </c>
      <c r="O316">
        <f t="shared" si="43"/>
        <v>0</v>
      </c>
      <c r="P316">
        <f t="shared" si="44"/>
        <v>0</v>
      </c>
      <c r="Q316">
        <f t="shared" si="45"/>
        <v>0</v>
      </c>
      <c r="R316">
        <f t="shared" si="46"/>
        <v>0</v>
      </c>
      <c r="S316">
        <f t="shared" si="47"/>
        <v>0</v>
      </c>
      <c r="T316">
        <f t="shared" si="49"/>
        <v>0</v>
      </c>
      <c r="U316">
        <f t="shared" si="48"/>
        <v>0</v>
      </c>
    </row>
    <row r="317" spans="1:21" x14ac:dyDescent="0.25">
      <c r="A317" s="2">
        <v>316</v>
      </c>
      <c r="B317" s="2" t="s">
        <v>598</v>
      </c>
      <c r="C317" s="2" t="s">
        <v>181</v>
      </c>
      <c r="D317">
        <v>83.14</v>
      </c>
      <c r="E317" s="80">
        <v>43860.94</v>
      </c>
      <c r="F317">
        <v>10.41</v>
      </c>
      <c r="G317">
        <v>294.29000000000002</v>
      </c>
      <c r="H317">
        <v>50.05</v>
      </c>
      <c r="I317">
        <v>42</v>
      </c>
      <c r="J317">
        <v>210.74</v>
      </c>
      <c r="K317">
        <v>56.15</v>
      </c>
      <c r="L317">
        <f t="shared" si="40"/>
        <v>0</v>
      </c>
      <c r="M317">
        <f t="shared" si="41"/>
        <v>0</v>
      </c>
      <c r="N317">
        <f t="shared" si="42"/>
        <v>0</v>
      </c>
      <c r="O317">
        <f t="shared" si="43"/>
        <v>0</v>
      </c>
      <c r="P317">
        <f t="shared" si="44"/>
        <v>0</v>
      </c>
      <c r="Q317">
        <f t="shared" si="45"/>
        <v>0</v>
      </c>
      <c r="R317">
        <f t="shared" si="46"/>
        <v>0</v>
      </c>
      <c r="S317">
        <f t="shared" si="47"/>
        <v>0</v>
      </c>
      <c r="T317">
        <f t="shared" si="49"/>
        <v>0</v>
      </c>
      <c r="U317">
        <f t="shared" si="48"/>
        <v>0</v>
      </c>
    </row>
    <row r="318" spans="1:21" x14ac:dyDescent="0.25">
      <c r="A318" s="2">
        <v>317</v>
      </c>
      <c r="B318" s="2" t="s">
        <v>598</v>
      </c>
      <c r="C318" s="2" t="s">
        <v>183</v>
      </c>
      <c r="D318">
        <v>522.69000000000005</v>
      </c>
      <c r="E318" s="80">
        <v>138696.28</v>
      </c>
      <c r="F318">
        <v>4214.46</v>
      </c>
      <c r="G318">
        <v>2425.4</v>
      </c>
      <c r="H318">
        <v>32423.93</v>
      </c>
      <c r="I318" s="80">
        <v>71869.740000000005</v>
      </c>
      <c r="J318">
        <v>1590.72</v>
      </c>
      <c r="K318">
        <v>28920.16</v>
      </c>
      <c r="L318">
        <f t="shared" si="40"/>
        <v>0</v>
      </c>
      <c r="M318">
        <f t="shared" si="41"/>
        <v>0</v>
      </c>
      <c r="N318">
        <f t="shared" si="42"/>
        <v>0</v>
      </c>
      <c r="O318">
        <f t="shared" si="43"/>
        <v>0</v>
      </c>
      <c r="P318">
        <f t="shared" si="44"/>
        <v>0</v>
      </c>
      <c r="Q318">
        <f t="shared" si="45"/>
        <v>0</v>
      </c>
      <c r="R318">
        <f t="shared" si="46"/>
        <v>0</v>
      </c>
      <c r="S318">
        <f t="shared" si="47"/>
        <v>0</v>
      </c>
      <c r="T318">
        <f t="shared" si="49"/>
        <v>0</v>
      </c>
      <c r="U318">
        <f t="shared" si="48"/>
        <v>0</v>
      </c>
    </row>
    <row r="319" spans="1:21" x14ac:dyDescent="0.25">
      <c r="A319" s="2">
        <v>318</v>
      </c>
      <c r="B319" s="2" t="s">
        <v>598</v>
      </c>
      <c r="C319" s="2" t="s">
        <v>186</v>
      </c>
      <c r="D319">
        <v>576.99</v>
      </c>
      <c r="E319">
        <v>106497.14</v>
      </c>
      <c r="F319">
        <v>9170.5</v>
      </c>
      <c r="G319">
        <v>2983.9</v>
      </c>
      <c r="H319" s="80">
        <v>102205.34</v>
      </c>
      <c r="I319" s="80">
        <v>83052.320000000007</v>
      </c>
      <c r="J319">
        <v>2048.5700000000002</v>
      </c>
      <c r="K319" s="80">
        <v>49565.34</v>
      </c>
      <c r="L319">
        <f t="shared" si="40"/>
        <v>0</v>
      </c>
      <c r="M319">
        <f t="shared" si="41"/>
        <v>0</v>
      </c>
      <c r="N319">
        <f t="shared" si="42"/>
        <v>0</v>
      </c>
      <c r="O319">
        <f t="shared" si="43"/>
        <v>0</v>
      </c>
      <c r="P319">
        <f t="shared" si="44"/>
        <v>0</v>
      </c>
      <c r="Q319">
        <f t="shared" si="45"/>
        <v>0</v>
      </c>
      <c r="R319">
        <f t="shared" si="46"/>
        <v>0</v>
      </c>
      <c r="S319">
        <f t="shared" si="47"/>
        <v>0</v>
      </c>
      <c r="T319">
        <f t="shared" si="49"/>
        <v>0</v>
      </c>
      <c r="U319">
        <f t="shared" si="48"/>
        <v>0</v>
      </c>
    </row>
    <row r="320" spans="1:21" x14ac:dyDescent="0.25">
      <c r="A320" s="2">
        <v>319</v>
      </c>
      <c r="B320" s="2" t="s">
        <v>598</v>
      </c>
      <c r="C320" s="2" t="s">
        <v>188</v>
      </c>
      <c r="D320">
        <v>705.51</v>
      </c>
      <c r="E320" s="80">
        <v>245578.17</v>
      </c>
      <c r="F320">
        <v>3792.86</v>
      </c>
      <c r="G320">
        <v>3559.19</v>
      </c>
      <c r="H320">
        <v>30635.42</v>
      </c>
      <c r="I320" s="80">
        <v>59888.72</v>
      </c>
      <c r="J320">
        <v>3073.07</v>
      </c>
      <c r="K320" s="80">
        <v>87808.639999999999</v>
      </c>
      <c r="L320">
        <f t="shared" si="40"/>
        <v>0</v>
      </c>
      <c r="M320">
        <f t="shared" si="41"/>
        <v>0</v>
      </c>
      <c r="N320">
        <f t="shared" si="42"/>
        <v>0</v>
      </c>
      <c r="O320">
        <f t="shared" si="43"/>
        <v>0</v>
      </c>
      <c r="P320">
        <f t="shared" si="44"/>
        <v>0</v>
      </c>
      <c r="Q320">
        <f t="shared" si="45"/>
        <v>0</v>
      </c>
      <c r="R320">
        <f t="shared" si="46"/>
        <v>0</v>
      </c>
      <c r="S320">
        <f t="shared" si="47"/>
        <v>0</v>
      </c>
      <c r="T320">
        <f t="shared" si="49"/>
        <v>0</v>
      </c>
      <c r="U320">
        <f t="shared" si="48"/>
        <v>0</v>
      </c>
    </row>
    <row r="321" spans="1:21" x14ac:dyDescent="0.25">
      <c r="A321" s="2">
        <v>320</v>
      </c>
      <c r="B321" s="2" t="s">
        <v>598</v>
      </c>
      <c r="C321" s="2" t="s">
        <v>182</v>
      </c>
      <c r="D321" t="s">
        <v>583</v>
      </c>
      <c r="E321">
        <v>5346.19</v>
      </c>
      <c r="F321" t="s">
        <v>583</v>
      </c>
      <c r="G321">
        <v>124.97</v>
      </c>
      <c r="H321" s="80">
        <v>0.73</v>
      </c>
      <c r="I321" t="s">
        <v>583</v>
      </c>
      <c r="J321" t="s">
        <v>583</v>
      </c>
      <c r="K321" s="80">
        <v>1.1499999999999999</v>
      </c>
      <c r="L321">
        <f t="shared" si="40"/>
        <v>0</v>
      </c>
      <c r="M321">
        <f t="shared" si="41"/>
        <v>0</v>
      </c>
      <c r="N321">
        <f t="shared" si="42"/>
        <v>0</v>
      </c>
      <c r="O321">
        <f t="shared" si="43"/>
        <v>0</v>
      </c>
      <c r="P321">
        <f t="shared" si="44"/>
        <v>0</v>
      </c>
      <c r="Q321">
        <f t="shared" si="45"/>
        <v>0</v>
      </c>
      <c r="R321">
        <f t="shared" si="46"/>
        <v>0</v>
      </c>
      <c r="S321">
        <f t="shared" si="47"/>
        <v>0</v>
      </c>
      <c r="T321">
        <f t="shared" si="49"/>
        <v>0</v>
      </c>
      <c r="U321">
        <f t="shared" si="48"/>
        <v>0</v>
      </c>
    </row>
    <row r="322" spans="1:21" x14ac:dyDescent="0.25">
      <c r="A322" s="2">
        <v>321</v>
      </c>
      <c r="B322" s="2" t="s">
        <v>598</v>
      </c>
      <c r="C322" s="2" t="s">
        <v>184</v>
      </c>
      <c r="D322">
        <v>2872.89</v>
      </c>
      <c r="E322">
        <v>50722.38</v>
      </c>
      <c r="F322">
        <v>1414.79</v>
      </c>
      <c r="G322">
        <v>1471.44</v>
      </c>
      <c r="H322">
        <v>28697.54</v>
      </c>
      <c r="I322">
        <v>61515.15</v>
      </c>
      <c r="J322">
        <v>822.26</v>
      </c>
      <c r="K322">
        <v>13074.57</v>
      </c>
      <c r="L322">
        <f t="shared" ref="L322:L385" si="50">IF(D322 = "OOR &gt;", 1,0)</f>
        <v>0</v>
      </c>
      <c r="M322">
        <f t="shared" ref="M322:M385" si="51">IF(E322 = "OOR &gt;", 1,0)</f>
        <v>0</v>
      </c>
      <c r="N322">
        <f t="shared" ref="N322:N385" si="52">IF(F322 = "OOR &gt;", 1,0)</f>
        <v>0</v>
      </c>
      <c r="O322">
        <f t="shared" ref="O322:O385" si="53">IF(G322 = "OOR &gt;", 1,0)</f>
        <v>0</v>
      </c>
      <c r="P322">
        <f t="shared" ref="P322:P385" si="54">IF(H322 = "OOR &gt;", 1,0)</f>
        <v>0</v>
      </c>
      <c r="Q322">
        <f t="shared" ref="Q322:Q385" si="55">IF(I322 = "OOR &gt;", 1,0)</f>
        <v>0</v>
      </c>
      <c r="R322">
        <f t="shared" ref="R322:R385" si="56">IF(J322 = "OOR &gt;", 1,0)</f>
        <v>0</v>
      </c>
      <c r="S322">
        <f t="shared" ref="S322:S385" si="57">IF(K322 = "OOR &gt;", 1,0)</f>
        <v>0</v>
      </c>
      <c r="T322">
        <f t="shared" si="49"/>
        <v>0</v>
      </c>
      <c r="U322">
        <f t="shared" ref="U322:U385" si="58">IF(T322 &gt; 0,1,0)</f>
        <v>0</v>
      </c>
    </row>
    <row r="323" spans="1:21" x14ac:dyDescent="0.25">
      <c r="A323" s="2">
        <v>322</v>
      </c>
      <c r="B323" s="2" t="s">
        <v>598</v>
      </c>
      <c r="C323" s="2" t="s">
        <v>187</v>
      </c>
      <c r="D323">
        <v>7342.13</v>
      </c>
      <c r="E323">
        <v>58477.29</v>
      </c>
      <c r="F323">
        <v>4109.6899999999996</v>
      </c>
      <c r="G323">
        <v>2099.41</v>
      </c>
      <c r="H323">
        <v>76880.37</v>
      </c>
      <c r="I323">
        <v>56645.97</v>
      </c>
      <c r="J323">
        <v>1628.95</v>
      </c>
      <c r="K323">
        <v>34693.81</v>
      </c>
      <c r="L323">
        <f t="shared" si="50"/>
        <v>0</v>
      </c>
      <c r="M323">
        <f t="shared" si="51"/>
        <v>0</v>
      </c>
      <c r="N323">
        <f t="shared" si="52"/>
        <v>0</v>
      </c>
      <c r="O323">
        <f t="shared" si="53"/>
        <v>0</v>
      </c>
      <c r="P323">
        <f t="shared" si="54"/>
        <v>0</v>
      </c>
      <c r="Q323">
        <f t="shared" si="55"/>
        <v>0</v>
      </c>
      <c r="R323">
        <f t="shared" si="56"/>
        <v>0</v>
      </c>
      <c r="S323">
        <f t="shared" si="57"/>
        <v>0</v>
      </c>
      <c r="T323">
        <f t="shared" ref="T323:T386" si="59">SUMIF(L323:S323,"&gt;0")</f>
        <v>0</v>
      </c>
      <c r="U323">
        <f t="shared" si="58"/>
        <v>0</v>
      </c>
    </row>
    <row r="324" spans="1:21" x14ac:dyDescent="0.25">
      <c r="A324" s="2">
        <v>323</v>
      </c>
      <c r="B324" s="2" t="s">
        <v>598</v>
      </c>
      <c r="C324" s="2" t="s">
        <v>189</v>
      </c>
      <c r="D324">
        <v>18508.150000000001</v>
      </c>
      <c r="E324">
        <v>30590.560000000001</v>
      </c>
      <c r="F324">
        <v>65.73</v>
      </c>
      <c r="G324">
        <v>1370.34</v>
      </c>
      <c r="H324">
        <v>50134.35</v>
      </c>
      <c r="I324">
        <v>17914.580000000002</v>
      </c>
      <c r="J324">
        <v>1437.65</v>
      </c>
      <c r="K324">
        <v>38356.22</v>
      </c>
      <c r="L324">
        <f t="shared" si="50"/>
        <v>0</v>
      </c>
      <c r="M324">
        <f t="shared" si="51"/>
        <v>0</v>
      </c>
      <c r="N324">
        <f t="shared" si="52"/>
        <v>0</v>
      </c>
      <c r="O324">
        <f t="shared" si="53"/>
        <v>0</v>
      </c>
      <c r="P324">
        <f t="shared" si="54"/>
        <v>0</v>
      </c>
      <c r="Q324">
        <f t="shared" si="55"/>
        <v>0</v>
      </c>
      <c r="R324">
        <f t="shared" si="56"/>
        <v>0</v>
      </c>
      <c r="S324">
        <f t="shared" si="57"/>
        <v>0</v>
      </c>
      <c r="T324">
        <f t="shared" si="59"/>
        <v>0</v>
      </c>
      <c r="U324">
        <f t="shared" si="58"/>
        <v>0</v>
      </c>
    </row>
    <row r="325" spans="1:21" x14ac:dyDescent="0.25">
      <c r="A325" s="2">
        <v>324</v>
      </c>
      <c r="B325" s="2">
        <v>1022</v>
      </c>
      <c r="C325" s="2" t="s">
        <v>162</v>
      </c>
      <c r="D325">
        <v>52.79</v>
      </c>
      <c r="E325">
        <v>14213.42</v>
      </c>
      <c r="F325">
        <v>12.94</v>
      </c>
      <c r="G325">
        <v>273.39</v>
      </c>
      <c r="H325" t="s">
        <v>583</v>
      </c>
      <c r="I325" s="80">
        <v>1.21</v>
      </c>
      <c r="J325" s="80">
        <v>38.18</v>
      </c>
      <c r="K325">
        <v>4.87</v>
      </c>
      <c r="L325">
        <f t="shared" si="50"/>
        <v>0</v>
      </c>
      <c r="M325">
        <f t="shared" si="51"/>
        <v>0</v>
      </c>
      <c r="N325">
        <f t="shared" si="52"/>
        <v>0</v>
      </c>
      <c r="O325">
        <f t="shared" si="53"/>
        <v>0</v>
      </c>
      <c r="P325">
        <f t="shared" si="54"/>
        <v>0</v>
      </c>
      <c r="Q325">
        <f t="shared" si="55"/>
        <v>0</v>
      </c>
      <c r="R325">
        <f t="shared" si="56"/>
        <v>0</v>
      </c>
      <c r="S325">
        <f t="shared" si="57"/>
        <v>0</v>
      </c>
      <c r="T325">
        <f t="shared" si="59"/>
        <v>0</v>
      </c>
      <c r="U325">
        <f t="shared" si="58"/>
        <v>0</v>
      </c>
    </row>
    <row r="326" spans="1:21" x14ac:dyDescent="0.25">
      <c r="A326" s="2">
        <v>325</v>
      </c>
      <c r="B326" s="2">
        <v>1022</v>
      </c>
      <c r="C326" s="2" t="s">
        <v>170</v>
      </c>
      <c r="D326">
        <v>260.19</v>
      </c>
      <c r="E326" s="80">
        <v>143110.71</v>
      </c>
      <c r="F326">
        <v>124.47</v>
      </c>
      <c r="G326">
        <v>1573.64</v>
      </c>
      <c r="H326">
        <v>283.08</v>
      </c>
      <c r="I326">
        <v>7347.21</v>
      </c>
      <c r="J326">
        <v>744.89</v>
      </c>
      <c r="K326">
        <v>806.83</v>
      </c>
      <c r="L326">
        <f t="shared" si="50"/>
        <v>0</v>
      </c>
      <c r="M326">
        <f t="shared" si="51"/>
        <v>0</v>
      </c>
      <c r="N326">
        <f t="shared" si="52"/>
        <v>0</v>
      </c>
      <c r="O326">
        <f t="shared" si="53"/>
        <v>0</v>
      </c>
      <c r="P326">
        <f t="shared" si="54"/>
        <v>0</v>
      </c>
      <c r="Q326">
        <f t="shared" si="55"/>
        <v>0</v>
      </c>
      <c r="R326">
        <f t="shared" si="56"/>
        <v>0</v>
      </c>
      <c r="S326">
        <f t="shared" si="57"/>
        <v>0</v>
      </c>
      <c r="T326">
        <f t="shared" si="59"/>
        <v>0</v>
      </c>
      <c r="U326">
        <f t="shared" si="58"/>
        <v>0</v>
      </c>
    </row>
    <row r="327" spans="1:21" x14ac:dyDescent="0.25">
      <c r="A327" s="2">
        <v>326</v>
      </c>
      <c r="B327" s="2">
        <v>1022</v>
      </c>
      <c r="C327" s="2" t="s">
        <v>178</v>
      </c>
      <c r="D327">
        <v>415.71</v>
      </c>
      <c r="E327" s="80">
        <v>161108.01</v>
      </c>
      <c r="F327">
        <v>2429</v>
      </c>
      <c r="G327">
        <v>1781.11</v>
      </c>
      <c r="H327">
        <v>3491.47</v>
      </c>
      <c r="I327" s="80">
        <v>60962.239999999998</v>
      </c>
      <c r="J327">
        <v>1207.52</v>
      </c>
      <c r="K327">
        <v>5261.44</v>
      </c>
      <c r="L327">
        <f t="shared" si="50"/>
        <v>0</v>
      </c>
      <c r="M327">
        <f t="shared" si="51"/>
        <v>0</v>
      </c>
      <c r="N327">
        <f t="shared" si="52"/>
        <v>0</v>
      </c>
      <c r="O327">
        <f t="shared" si="53"/>
        <v>0</v>
      </c>
      <c r="P327">
        <f t="shared" si="54"/>
        <v>0</v>
      </c>
      <c r="Q327">
        <f t="shared" si="55"/>
        <v>0</v>
      </c>
      <c r="R327">
        <f t="shared" si="56"/>
        <v>0</v>
      </c>
      <c r="S327">
        <f t="shared" si="57"/>
        <v>0</v>
      </c>
      <c r="T327">
        <f t="shared" si="59"/>
        <v>0</v>
      </c>
      <c r="U327">
        <f t="shared" si="58"/>
        <v>0</v>
      </c>
    </row>
    <row r="328" spans="1:21" x14ac:dyDescent="0.25">
      <c r="A328" s="2">
        <v>327</v>
      </c>
      <c r="B328" s="2">
        <v>1022</v>
      </c>
      <c r="C328" s="2" t="s">
        <v>163</v>
      </c>
      <c r="D328">
        <v>576.99</v>
      </c>
      <c r="E328" s="80">
        <v>163604.32</v>
      </c>
      <c r="F328">
        <v>3588.19</v>
      </c>
      <c r="G328">
        <v>2207.2600000000002</v>
      </c>
      <c r="H328">
        <v>14218.67</v>
      </c>
      <c r="I328" s="80">
        <v>57637.120000000003</v>
      </c>
      <c r="J328">
        <v>1590.72</v>
      </c>
      <c r="K328" s="80">
        <v>48925.72</v>
      </c>
      <c r="L328">
        <f t="shared" si="50"/>
        <v>0</v>
      </c>
      <c r="M328">
        <f t="shared" si="51"/>
        <v>0</v>
      </c>
      <c r="N328">
        <f t="shared" si="52"/>
        <v>0</v>
      </c>
      <c r="O328">
        <f t="shared" si="53"/>
        <v>0</v>
      </c>
      <c r="P328">
        <f t="shared" si="54"/>
        <v>0</v>
      </c>
      <c r="Q328">
        <f t="shared" si="55"/>
        <v>0</v>
      </c>
      <c r="R328">
        <f t="shared" si="56"/>
        <v>0</v>
      </c>
      <c r="S328">
        <f t="shared" si="57"/>
        <v>0</v>
      </c>
      <c r="T328">
        <f t="shared" si="59"/>
        <v>0</v>
      </c>
      <c r="U328">
        <f t="shared" si="58"/>
        <v>0</v>
      </c>
    </row>
    <row r="329" spans="1:21" x14ac:dyDescent="0.25">
      <c r="A329" s="2">
        <v>328</v>
      </c>
      <c r="B329" s="2">
        <v>1022</v>
      </c>
      <c r="C329" s="2" t="s">
        <v>181</v>
      </c>
      <c r="D329">
        <v>243.36</v>
      </c>
      <c r="E329" s="80">
        <v>177061.72</v>
      </c>
      <c r="F329">
        <v>40.39</v>
      </c>
      <c r="G329">
        <v>1074.1500000000001</v>
      </c>
      <c r="H329">
        <v>79.45</v>
      </c>
      <c r="I329">
        <v>31.91</v>
      </c>
      <c r="J329">
        <v>589.72</v>
      </c>
      <c r="K329">
        <v>75.09</v>
      </c>
      <c r="L329">
        <f t="shared" si="50"/>
        <v>0</v>
      </c>
      <c r="M329">
        <f t="shared" si="51"/>
        <v>0</v>
      </c>
      <c r="N329">
        <f t="shared" si="52"/>
        <v>0</v>
      </c>
      <c r="O329">
        <f t="shared" si="53"/>
        <v>0</v>
      </c>
      <c r="P329">
        <f t="shared" si="54"/>
        <v>0</v>
      </c>
      <c r="Q329">
        <f t="shared" si="55"/>
        <v>0</v>
      </c>
      <c r="R329">
        <f t="shared" si="56"/>
        <v>0</v>
      </c>
      <c r="S329">
        <f t="shared" si="57"/>
        <v>0</v>
      </c>
      <c r="T329">
        <f t="shared" si="59"/>
        <v>0</v>
      </c>
      <c r="U329">
        <f t="shared" si="58"/>
        <v>0</v>
      </c>
    </row>
    <row r="330" spans="1:21" x14ac:dyDescent="0.25">
      <c r="A330" s="2">
        <v>329</v>
      </c>
      <c r="B330" s="2">
        <v>1022</v>
      </c>
      <c r="C330" s="2" t="s">
        <v>183</v>
      </c>
      <c r="D330">
        <v>57.12</v>
      </c>
      <c r="E330" s="80">
        <v>48129.120000000003</v>
      </c>
      <c r="F330">
        <v>96.19</v>
      </c>
      <c r="G330">
        <v>314.61</v>
      </c>
      <c r="H330">
        <v>176.7</v>
      </c>
      <c r="I330" s="80">
        <v>7022.56</v>
      </c>
      <c r="J330">
        <v>191.48</v>
      </c>
      <c r="K330">
        <v>484.19</v>
      </c>
      <c r="L330">
        <f t="shared" si="50"/>
        <v>0</v>
      </c>
      <c r="M330">
        <f t="shared" si="51"/>
        <v>0</v>
      </c>
      <c r="N330">
        <f t="shared" si="52"/>
        <v>0</v>
      </c>
      <c r="O330">
        <f t="shared" si="53"/>
        <v>0</v>
      </c>
      <c r="P330">
        <f t="shared" si="54"/>
        <v>0</v>
      </c>
      <c r="Q330">
        <f t="shared" si="55"/>
        <v>0</v>
      </c>
      <c r="R330">
        <f t="shared" si="56"/>
        <v>0</v>
      </c>
      <c r="S330">
        <f t="shared" si="57"/>
        <v>0</v>
      </c>
      <c r="T330">
        <f t="shared" si="59"/>
        <v>0</v>
      </c>
      <c r="U330">
        <f t="shared" si="58"/>
        <v>0</v>
      </c>
    </row>
    <row r="331" spans="1:21" x14ac:dyDescent="0.25">
      <c r="A331" s="2">
        <v>330</v>
      </c>
      <c r="B331" s="2">
        <v>1022</v>
      </c>
      <c r="C331" s="2" t="s">
        <v>186</v>
      </c>
      <c r="D331">
        <v>88.45</v>
      </c>
      <c r="E331" s="80">
        <v>47075.85</v>
      </c>
      <c r="F331">
        <v>1634.27</v>
      </c>
      <c r="G331">
        <v>448.02</v>
      </c>
      <c r="H331">
        <v>1286.03</v>
      </c>
      <c r="I331" s="80">
        <v>16887.189999999999</v>
      </c>
      <c r="J331">
        <v>329.61</v>
      </c>
      <c r="K331">
        <v>2051.88</v>
      </c>
      <c r="L331">
        <f t="shared" si="50"/>
        <v>0</v>
      </c>
      <c r="M331">
        <f t="shared" si="51"/>
        <v>0</v>
      </c>
      <c r="N331">
        <f t="shared" si="52"/>
        <v>0</v>
      </c>
      <c r="O331">
        <f t="shared" si="53"/>
        <v>0</v>
      </c>
      <c r="P331">
        <f t="shared" si="54"/>
        <v>0</v>
      </c>
      <c r="Q331">
        <f t="shared" si="55"/>
        <v>0</v>
      </c>
      <c r="R331">
        <f t="shared" si="56"/>
        <v>0</v>
      </c>
      <c r="S331">
        <f t="shared" si="57"/>
        <v>0</v>
      </c>
      <c r="T331">
        <f t="shared" si="59"/>
        <v>0</v>
      </c>
      <c r="U331">
        <f t="shared" si="58"/>
        <v>0</v>
      </c>
    </row>
    <row r="332" spans="1:21" x14ac:dyDescent="0.25">
      <c r="A332" s="2">
        <v>331</v>
      </c>
      <c r="B332" s="2">
        <v>1022</v>
      </c>
      <c r="C332" s="2" t="s">
        <v>188</v>
      </c>
      <c r="D332">
        <v>120.86</v>
      </c>
      <c r="E332">
        <v>50000.37</v>
      </c>
      <c r="F332">
        <v>765.48</v>
      </c>
      <c r="G332">
        <v>730.98</v>
      </c>
      <c r="H332">
        <v>1888.52</v>
      </c>
      <c r="I332" s="80">
        <v>13842.2</v>
      </c>
      <c r="J332">
        <v>428.75</v>
      </c>
      <c r="K332" s="80">
        <v>12016.1</v>
      </c>
      <c r="L332">
        <f t="shared" si="50"/>
        <v>0</v>
      </c>
      <c r="M332">
        <f t="shared" si="51"/>
        <v>0</v>
      </c>
      <c r="N332">
        <f t="shared" si="52"/>
        <v>0</v>
      </c>
      <c r="O332">
        <f t="shared" si="53"/>
        <v>0</v>
      </c>
      <c r="P332">
        <f t="shared" si="54"/>
        <v>0</v>
      </c>
      <c r="Q332">
        <f t="shared" si="55"/>
        <v>0</v>
      </c>
      <c r="R332">
        <f t="shared" si="56"/>
        <v>0</v>
      </c>
      <c r="S332">
        <f t="shared" si="57"/>
        <v>0</v>
      </c>
      <c r="T332">
        <f t="shared" si="59"/>
        <v>0</v>
      </c>
      <c r="U332">
        <f t="shared" si="58"/>
        <v>0</v>
      </c>
    </row>
    <row r="333" spans="1:21" x14ac:dyDescent="0.25">
      <c r="A333" s="2">
        <v>332</v>
      </c>
      <c r="B333" s="2">
        <v>1022</v>
      </c>
      <c r="C333" s="2" t="s">
        <v>182</v>
      </c>
      <c r="D333" s="80">
        <v>3.58</v>
      </c>
      <c r="E333">
        <v>3136.95</v>
      </c>
      <c r="F333" t="s">
        <v>583</v>
      </c>
      <c r="G333">
        <v>110.45</v>
      </c>
      <c r="H333" t="s">
        <v>583</v>
      </c>
      <c r="I333">
        <v>12.84</v>
      </c>
      <c r="J333" s="80">
        <v>3.55</v>
      </c>
      <c r="K333">
        <v>2.78</v>
      </c>
      <c r="L333">
        <f t="shared" si="50"/>
        <v>0</v>
      </c>
      <c r="M333">
        <f t="shared" si="51"/>
        <v>0</v>
      </c>
      <c r="N333">
        <f t="shared" si="52"/>
        <v>0</v>
      </c>
      <c r="O333">
        <f t="shared" si="53"/>
        <v>0</v>
      </c>
      <c r="P333">
        <f t="shared" si="54"/>
        <v>0</v>
      </c>
      <c r="Q333">
        <f t="shared" si="55"/>
        <v>0</v>
      </c>
      <c r="R333">
        <f t="shared" si="56"/>
        <v>0</v>
      </c>
      <c r="S333">
        <f t="shared" si="57"/>
        <v>0</v>
      </c>
      <c r="T333">
        <f t="shared" si="59"/>
        <v>0</v>
      </c>
      <c r="U333">
        <f t="shared" si="58"/>
        <v>0</v>
      </c>
    </row>
    <row r="334" spans="1:21" x14ac:dyDescent="0.25">
      <c r="A334" s="2">
        <v>333</v>
      </c>
      <c r="B334" s="2">
        <v>1022</v>
      </c>
      <c r="C334" s="2" t="s">
        <v>184</v>
      </c>
      <c r="D334">
        <v>47</v>
      </c>
      <c r="E334" s="80">
        <v>30263.439999999999</v>
      </c>
      <c r="F334">
        <v>570.9</v>
      </c>
      <c r="G334">
        <v>402.85</v>
      </c>
      <c r="H334">
        <v>1730.04</v>
      </c>
      <c r="I334" s="80">
        <v>15076.81</v>
      </c>
      <c r="J334">
        <v>206.89</v>
      </c>
      <c r="K334">
        <v>2144.4699999999998</v>
      </c>
      <c r="L334">
        <f t="shared" si="50"/>
        <v>0</v>
      </c>
      <c r="M334">
        <f t="shared" si="51"/>
        <v>0</v>
      </c>
      <c r="N334">
        <f t="shared" si="52"/>
        <v>0</v>
      </c>
      <c r="O334">
        <f t="shared" si="53"/>
        <v>0</v>
      </c>
      <c r="P334">
        <f t="shared" si="54"/>
        <v>0</v>
      </c>
      <c r="Q334">
        <f t="shared" si="55"/>
        <v>0</v>
      </c>
      <c r="R334">
        <f t="shared" si="56"/>
        <v>0</v>
      </c>
      <c r="S334">
        <f t="shared" si="57"/>
        <v>0</v>
      </c>
      <c r="T334">
        <f t="shared" si="59"/>
        <v>0</v>
      </c>
      <c r="U334">
        <f t="shared" si="58"/>
        <v>0</v>
      </c>
    </row>
    <row r="335" spans="1:21" x14ac:dyDescent="0.25">
      <c r="A335" s="2">
        <v>334</v>
      </c>
      <c r="B335" s="2">
        <v>1022</v>
      </c>
      <c r="C335" s="2" t="s">
        <v>187</v>
      </c>
      <c r="D335">
        <v>117.22</v>
      </c>
      <c r="E335" s="80">
        <v>36339.58</v>
      </c>
      <c r="F335">
        <v>647.96</v>
      </c>
      <c r="G335">
        <v>658.53</v>
      </c>
      <c r="H335">
        <v>10293.61</v>
      </c>
      <c r="I335" s="80">
        <v>16927.41</v>
      </c>
      <c r="J335">
        <v>390.67</v>
      </c>
      <c r="K335" s="80">
        <v>10370.68</v>
      </c>
      <c r="L335">
        <f t="shared" si="50"/>
        <v>0</v>
      </c>
      <c r="M335">
        <f t="shared" si="51"/>
        <v>0</v>
      </c>
      <c r="N335">
        <f t="shared" si="52"/>
        <v>0</v>
      </c>
      <c r="O335">
        <f t="shared" si="53"/>
        <v>0</v>
      </c>
      <c r="P335">
        <f t="shared" si="54"/>
        <v>0</v>
      </c>
      <c r="Q335">
        <f t="shared" si="55"/>
        <v>0</v>
      </c>
      <c r="R335">
        <f t="shared" si="56"/>
        <v>0</v>
      </c>
      <c r="S335">
        <f t="shared" si="57"/>
        <v>0</v>
      </c>
      <c r="T335">
        <f t="shared" si="59"/>
        <v>0</v>
      </c>
      <c r="U335">
        <f t="shared" si="58"/>
        <v>0</v>
      </c>
    </row>
    <row r="336" spans="1:21" x14ac:dyDescent="0.25">
      <c r="A336" s="2">
        <v>335</v>
      </c>
      <c r="B336" s="2">
        <v>1022</v>
      </c>
      <c r="C336" s="2" t="s">
        <v>189</v>
      </c>
      <c r="D336">
        <v>95.57</v>
      </c>
      <c r="E336" s="80">
        <v>26992.71</v>
      </c>
      <c r="F336">
        <v>176.22</v>
      </c>
      <c r="G336">
        <v>587.16</v>
      </c>
      <c r="H336">
        <v>8274.2000000000007</v>
      </c>
      <c r="I336" s="80">
        <v>13481.83</v>
      </c>
      <c r="J336">
        <v>329.61</v>
      </c>
      <c r="K336" s="80">
        <v>10835.09</v>
      </c>
      <c r="L336">
        <f t="shared" si="50"/>
        <v>0</v>
      </c>
      <c r="M336">
        <f t="shared" si="51"/>
        <v>0</v>
      </c>
      <c r="N336">
        <f t="shared" si="52"/>
        <v>0</v>
      </c>
      <c r="O336">
        <f t="shared" si="53"/>
        <v>0</v>
      </c>
      <c r="P336">
        <f t="shared" si="54"/>
        <v>0</v>
      </c>
      <c r="Q336">
        <f t="shared" si="55"/>
        <v>0</v>
      </c>
      <c r="R336">
        <f t="shared" si="56"/>
        <v>0</v>
      </c>
      <c r="S336">
        <f t="shared" si="57"/>
        <v>0</v>
      </c>
      <c r="T336">
        <f t="shared" si="59"/>
        <v>0</v>
      </c>
      <c r="U336">
        <f t="shared" si="58"/>
        <v>0</v>
      </c>
    </row>
    <row r="337" spans="1:21" x14ac:dyDescent="0.25">
      <c r="A337" s="2">
        <v>336</v>
      </c>
      <c r="B337" s="2">
        <v>1023</v>
      </c>
      <c r="C337" s="2" t="s">
        <v>162</v>
      </c>
      <c r="D337">
        <v>33.82</v>
      </c>
      <c r="E337" s="80">
        <v>29609.66</v>
      </c>
      <c r="F337">
        <v>8.43</v>
      </c>
      <c r="G337">
        <v>271.68</v>
      </c>
      <c r="H337">
        <v>15.51</v>
      </c>
      <c r="I337">
        <v>23.99</v>
      </c>
      <c r="J337">
        <v>121.83</v>
      </c>
      <c r="K337">
        <v>19.940000000000001</v>
      </c>
      <c r="L337">
        <f t="shared" si="50"/>
        <v>0</v>
      </c>
      <c r="M337">
        <f t="shared" si="51"/>
        <v>0</v>
      </c>
      <c r="N337">
        <f t="shared" si="52"/>
        <v>0</v>
      </c>
      <c r="O337">
        <f t="shared" si="53"/>
        <v>0</v>
      </c>
      <c r="P337">
        <f t="shared" si="54"/>
        <v>0</v>
      </c>
      <c r="Q337">
        <f t="shared" si="55"/>
        <v>0</v>
      </c>
      <c r="R337">
        <f t="shared" si="56"/>
        <v>0</v>
      </c>
      <c r="S337">
        <f t="shared" si="57"/>
        <v>0</v>
      </c>
      <c r="T337">
        <f t="shared" si="59"/>
        <v>0</v>
      </c>
      <c r="U337">
        <f t="shared" si="58"/>
        <v>0</v>
      </c>
    </row>
    <row r="338" spans="1:21" x14ac:dyDescent="0.25">
      <c r="A338" s="2">
        <v>337</v>
      </c>
      <c r="B338" s="2">
        <v>1023</v>
      </c>
      <c r="C338" s="2" t="s">
        <v>170</v>
      </c>
      <c r="D338">
        <v>102.74</v>
      </c>
      <c r="E338" s="80">
        <v>34410.720000000001</v>
      </c>
      <c r="F338">
        <v>1055.6600000000001</v>
      </c>
      <c r="G338">
        <v>516.95000000000005</v>
      </c>
      <c r="H338">
        <v>12453.49</v>
      </c>
      <c r="I338" s="80">
        <v>17323.48</v>
      </c>
      <c r="J338">
        <v>314.32</v>
      </c>
      <c r="K338">
        <v>4353.32</v>
      </c>
      <c r="L338">
        <f t="shared" si="50"/>
        <v>0</v>
      </c>
      <c r="M338">
        <f t="shared" si="51"/>
        <v>0</v>
      </c>
      <c r="N338">
        <f t="shared" si="52"/>
        <v>0</v>
      </c>
      <c r="O338">
        <f t="shared" si="53"/>
        <v>0</v>
      </c>
      <c r="P338">
        <f t="shared" si="54"/>
        <v>0</v>
      </c>
      <c r="Q338">
        <f t="shared" si="55"/>
        <v>0</v>
      </c>
      <c r="R338">
        <f t="shared" si="56"/>
        <v>0</v>
      </c>
      <c r="S338">
        <f t="shared" si="57"/>
        <v>0</v>
      </c>
      <c r="T338">
        <f t="shared" si="59"/>
        <v>0</v>
      </c>
      <c r="U338">
        <f t="shared" si="58"/>
        <v>0</v>
      </c>
    </row>
    <row r="339" spans="1:21" x14ac:dyDescent="0.25">
      <c r="A339" s="2">
        <v>338</v>
      </c>
      <c r="B339" s="2">
        <v>1023</v>
      </c>
      <c r="C339" s="2" t="s">
        <v>178</v>
      </c>
      <c r="D339">
        <v>161.61000000000001</v>
      </c>
      <c r="E339" s="80">
        <v>39487.839999999997</v>
      </c>
      <c r="F339">
        <v>2704.35</v>
      </c>
      <c r="G339">
        <v>779.84</v>
      </c>
      <c r="H339" s="80">
        <v>95447.23</v>
      </c>
      <c r="I339" s="80">
        <v>18583.46</v>
      </c>
      <c r="J339">
        <v>512.33000000000004</v>
      </c>
      <c r="K339" s="80">
        <v>9037.52</v>
      </c>
      <c r="L339">
        <f t="shared" si="50"/>
        <v>0</v>
      </c>
      <c r="M339">
        <f t="shared" si="51"/>
        <v>0</v>
      </c>
      <c r="N339">
        <f t="shared" si="52"/>
        <v>0</v>
      </c>
      <c r="O339">
        <f t="shared" si="53"/>
        <v>0</v>
      </c>
      <c r="P339">
        <f t="shared" si="54"/>
        <v>0</v>
      </c>
      <c r="Q339">
        <f t="shared" si="55"/>
        <v>0</v>
      </c>
      <c r="R339">
        <f t="shared" si="56"/>
        <v>0</v>
      </c>
      <c r="S339">
        <f t="shared" si="57"/>
        <v>0</v>
      </c>
      <c r="T339">
        <f t="shared" si="59"/>
        <v>0</v>
      </c>
      <c r="U339">
        <f t="shared" si="58"/>
        <v>0</v>
      </c>
    </row>
    <row r="340" spans="1:21" x14ac:dyDescent="0.25">
      <c r="A340" s="2">
        <v>339</v>
      </c>
      <c r="B340" s="2">
        <v>1023</v>
      </c>
      <c r="C340" s="2" t="s">
        <v>163</v>
      </c>
      <c r="D340">
        <v>253.74</v>
      </c>
      <c r="E340" s="80">
        <v>45800.43</v>
      </c>
      <c r="F340">
        <v>1865.84</v>
      </c>
      <c r="G340">
        <v>1004.66</v>
      </c>
      <c r="H340" s="80">
        <v>27940.79</v>
      </c>
      <c r="I340" s="80">
        <v>18238.009999999998</v>
      </c>
      <c r="J340">
        <v>572.98</v>
      </c>
      <c r="K340" s="80">
        <v>17755.009999999998</v>
      </c>
      <c r="L340">
        <f t="shared" si="50"/>
        <v>0</v>
      </c>
      <c r="M340">
        <f t="shared" si="51"/>
        <v>0</v>
      </c>
      <c r="N340">
        <f t="shared" si="52"/>
        <v>0</v>
      </c>
      <c r="O340">
        <f t="shared" si="53"/>
        <v>0</v>
      </c>
      <c r="P340">
        <f t="shared" si="54"/>
        <v>0</v>
      </c>
      <c r="Q340">
        <f t="shared" si="55"/>
        <v>0</v>
      </c>
      <c r="R340">
        <f t="shared" si="56"/>
        <v>0</v>
      </c>
      <c r="S340">
        <f t="shared" si="57"/>
        <v>0</v>
      </c>
      <c r="T340">
        <f t="shared" si="59"/>
        <v>0</v>
      </c>
      <c r="U340">
        <f t="shared" si="58"/>
        <v>0</v>
      </c>
    </row>
    <row r="341" spans="1:21" x14ac:dyDescent="0.25">
      <c r="A341" s="2">
        <v>340</v>
      </c>
      <c r="B341" s="2">
        <v>1023</v>
      </c>
      <c r="C341" s="2" t="s">
        <v>181</v>
      </c>
      <c r="D341">
        <v>74.37</v>
      </c>
      <c r="E341" s="80">
        <v>51595.73</v>
      </c>
      <c r="F341">
        <v>10.41</v>
      </c>
      <c r="G341">
        <v>314.61</v>
      </c>
      <c r="H341">
        <v>152.74</v>
      </c>
      <c r="I341">
        <v>104.43</v>
      </c>
      <c r="J341">
        <v>222.29</v>
      </c>
      <c r="K341">
        <v>148.06</v>
      </c>
      <c r="L341">
        <f t="shared" si="50"/>
        <v>0</v>
      </c>
      <c r="M341">
        <f t="shared" si="51"/>
        <v>0</v>
      </c>
      <c r="N341">
        <f t="shared" si="52"/>
        <v>0</v>
      </c>
      <c r="O341">
        <f t="shared" si="53"/>
        <v>0</v>
      </c>
      <c r="P341">
        <f t="shared" si="54"/>
        <v>0</v>
      </c>
      <c r="Q341">
        <f t="shared" si="55"/>
        <v>0</v>
      </c>
      <c r="R341">
        <f t="shared" si="56"/>
        <v>0</v>
      </c>
      <c r="S341">
        <f t="shared" si="57"/>
        <v>0</v>
      </c>
      <c r="T341">
        <f t="shared" si="59"/>
        <v>0</v>
      </c>
      <c r="U341">
        <f t="shared" si="58"/>
        <v>0</v>
      </c>
    </row>
    <row r="342" spans="1:21" x14ac:dyDescent="0.25">
      <c r="A342" s="2">
        <v>341</v>
      </c>
      <c r="B342" s="2">
        <v>1023</v>
      </c>
      <c r="C342" s="2" t="s">
        <v>183</v>
      </c>
      <c r="D342">
        <v>139.25</v>
      </c>
      <c r="E342" s="80">
        <v>48763.78</v>
      </c>
      <c r="F342">
        <v>1601.17</v>
      </c>
      <c r="G342">
        <v>755.36</v>
      </c>
      <c r="H342" s="80">
        <v>19316.55</v>
      </c>
      <c r="I342" s="80">
        <v>19666.560000000001</v>
      </c>
      <c r="J342">
        <v>527.5</v>
      </c>
      <c r="K342" s="80">
        <v>9714.4</v>
      </c>
      <c r="L342">
        <f t="shared" si="50"/>
        <v>0</v>
      </c>
      <c r="M342">
        <f t="shared" si="51"/>
        <v>0</v>
      </c>
      <c r="N342">
        <f t="shared" si="52"/>
        <v>0</v>
      </c>
      <c r="O342">
        <f t="shared" si="53"/>
        <v>0</v>
      </c>
      <c r="P342">
        <f t="shared" si="54"/>
        <v>0</v>
      </c>
      <c r="Q342">
        <f t="shared" si="55"/>
        <v>0</v>
      </c>
      <c r="R342">
        <f t="shared" si="56"/>
        <v>0</v>
      </c>
      <c r="S342">
        <f t="shared" si="57"/>
        <v>0</v>
      </c>
      <c r="T342">
        <f t="shared" si="59"/>
        <v>0</v>
      </c>
      <c r="U342">
        <f t="shared" si="58"/>
        <v>0</v>
      </c>
    </row>
    <row r="343" spans="1:21" x14ac:dyDescent="0.25">
      <c r="A343" s="2">
        <v>342</v>
      </c>
      <c r="B343" s="2">
        <v>1023</v>
      </c>
      <c r="C343" s="2" t="s">
        <v>186</v>
      </c>
      <c r="D343">
        <v>154.12</v>
      </c>
      <c r="E343" s="80">
        <v>44759.76</v>
      </c>
      <c r="F343">
        <v>2995.18</v>
      </c>
      <c r="G343">
        <v>829.12</v>
      </c>
      <c r="H343" s="80">
        <v>114776.31</v>
      </c>
      <c r="I343" s="80">
        <v>19857.490000000002</v>
      </c>
      <c r="J343">
        <v>512.33000000000004</v>
      </c>
      <c r="K343" s="80">
        <v>13201.34</v>
      </c>
      <c r="L343">
        <f t="shared" si="50"/>
        <v>0</v>
      </c>
      <c r="M343">
        <f t="shared" si="51"/>
        <v>0</v>
      </c>
      <c r="N343">
        <f t="shared" si="52"/>
        <v>0</v>
      </c>
      <c r="O343">
        <f t="shared" si="53"/>
        <v>0</v>
      </c>
      <c r="P343">
        <f t="shared" si="54"/>
        <v>0</v>
      </c>
      <c r="Q343">
        <f t="shared" si="55"/>
        <v>0</v>
      </c>
      <c r="R343">
        <f t="shared" si="56"/>
        <v>0</v>
      </c>
      <c r="S343">
        <f t="shared" si="57"/>
        <v>0</v>
      </c>
      <c r="T343">
        <f t="shared" si="59"/>
        <v>0</v>
      </c>
      <c r="U343">
        <f t="shared" si="58"/>
        <v>0</v>
      </c>
    </row>
    <row r="344" spans="1:21" x14ac:dyDescent="0.25">
      <c r="A344" s="2">
        <v>343</v>
      </c>
      <c r="B344" s="2">
        <v>1023</v>
      </c>
      <c r="C344" s="2" t="s">
        <v>188</v>
      </c>
      <c r="D344">
        <v>169.14</v>
      </c>
      <c r="E344" s="80">
        <v>52476.43</v>
      </c>
      <c r="F344">
        <v>1224.9100000000001</v>
      </c>
      <c r="G344">
        <v>878.8</v>
      </c>
      <c r="H344" s="80">
        <v>22717.82</v>
      </c>
      <c r="I344" s="80">
        <v>19186.38</v>
      </c>
      <c r="J344">
        <v>648.64</v>
      </c>
      <c r="K344" s="80">
        <v>18003.48</v>
      </c>
      <c r="L344">
        <f t="shared" si="50"/>
        <v>0</v>
      </c>
      <c r="M344">
        <f t="shared" si="51"/>
        <v>0</v>
      </c>
      <c r="N344">
        <f t="shared" si="52"/>
        <v>0</v>
      </c>
      <c r="O344">
        <f t="shared" si="53"/>
        <v>0</v>
      </c>
      <c r="P344">
        <f t="shared" si="54"/>
        <v>0</v>
      </c>
      <c r="Q344">
        <f t="shared" si="55"/>
        <v>0</v>
      </c>
      <c r="R344">
        <f t="shared" si="56"/>
        <v>0</v>
      </c>
      <c r="S344">
        <f t="shared" si="57"/>
        <v>0</v>
      </c>
      <c r="T344">
        <f t="shared" si="59"/>
        <v>0</v>
      </c>
      <c r="U344">
        <f t="shared" si="58"/>
        <v>0</v>
      </c>
    </row>
    <row r="345" spans="1:21" x14ac:dyDescent="0.25">
      <c r="A345" s="2">
        <v>344</v>
      </c>
      <c r="B345" s="2">
        <v>1023</v>
      </c>
      <c r="C345" s="2" t="s">
        <v>182</v>
      </c>
      <c r="D345">
        <v>33.82</v>
      </c>
      <c r="E345" s="80">
        <v>31562.95</v>
      </c>
      <c r="F345">
        <v>66.56</v>
      </c>
      <c r="G345">
        <v>358.36</v>
      </c>
      <c r="H345">
        <v>1286.03</v>
      </c>
      <c r="I345" s="80">
        <v>9275.34</v>
      </c>
      <c r="J345">
        <v>160.59</v>
      </c>
      <c r="K345">
        <v>265.35000000000002</v>
      </c>
      <c r="L345">
        <f t="shared" si="50"/>
        <v>0</v>
      </c>
      <c r="M345">
        <f t="shared" si="51"/>
        <v>0</v>
      </c>
      <c r="N345">
        <f t="shared" si="52"/>
        <v>0</v>
      </c>
      <c r="O345">
        <f t="shared" si="53"/>
        <v>0</v>
      </c>
      <c r="P345">
        <f t="shared" si="54"/>
        <v>0</v>
      </c>
      <c r="Q345">
        <f t="shared" si="55"/>
        <v>0</v>
      </c>
      <c r="R345">
        <f t="shared" si="56"/>
        <v>0</v>
      </c>
      <c r="S345">
        <f t="shared" si="57"/>
        <v>0</v>
      </c>
      <c r="T345">
        <f t="shared" si="59"/>
        <v>0</v>
      </c>
      <c r="U345">
        <f t="shared" si="58"/>
        <v>0</v>
      </c>
    </row>
    <row r="346" spans="1:21" x14ac:dyDescent="0.25">
      <c r="A346" s="2">
        <v>345</v>
      </c>
      <c r="B346" s="2">
        <v>1023</v>
      </c>
      <c r="C346" s="2" t="s">
        <v>184</v>
      </c>
      <c r="D346">
        <v>131.87</v>
      </c>
      <c r="E346" s="80">
        <v>43275.07</v>
      </c>
      <c r="F346">
        <v>664.41</v>
      </c>
      <c r="G346">
        <v>634.62</v>
      </c>
      <c r="H346" s="80">
        <v>19905.05</v>
      </c>
      <c r="I346" s="80">
        <v>16341.56</v>
      </c>
      <c r="J346">
        <v>375.42</v>
      </c>
      <c r="K346">
        <v>4360.12</v>
      </c>
      <c r="L346">
        <f t="shared" si="50"/>
        <v>0</v>
      </c>
      <c r="M346">
        <f t="shared" si="51"/>
        <v>0</v>
      </c>
      <c r="N346">
        <f t="shared" si="52"/>
        <v>0</v>
      </c>
      <c r="O346">
        <f t="shared" si="53"/>
        <v>0</v>
      </c>
      <c r="P346">
        <f t="shared" si="54"/>
        <v>0</v>
      </c>
      <c r="Q346">
        <f t="shared" si="55"/>
        <v>0</v>
      </c>
      <c r="R346">
        <f t="shared" si="56"/>
        <v>0</v>
      </c>
      <c r="S346">
        <f t="shared" si="57"/>
        <v>0</v>
      </c>
      <c r="T346">
        <f t="shared" si="59"/>
        <v>0</v>
      </c>
      <c r="U346">
        <f t="shared" si="58"/>
        <v>0</v>
      </c>
    </row>
    <row r="347" spans="1:21" x14ac:dyDescent="0.25">
      <c r="A347" s="2">
        <v>346</v>
      </c>
      <c r="B347" s="2">
        <v>1023</v>
      </c>
      <c r="C347" s="2" t="s">
        <v>187</v>
      </c>
      <c r="D347">
        <v>325.05</v>
      </c>
      <c r="E347" s="80">
        <v>41079.81</v>
      </c>
      <c r="F347">
        <v>439.55</v>
      </c>
      <c r="G347">
        <v>804.43</v>
      </c>
      <c r="H347" s="80">
        <v>185940.79</v>
      </c>
      <c r="I347" s="80">
        <v>16867.87</v>
      </c>
      <c r="J347">
        <v>497.15</v>
      </c>
      <c r="K347" s="80">
        <v>10798.93</v>
      </c>
      <c r="L347">
        <f t="shared" si="50"/>
        <v>0</v>
      </c>
      <c r="M347">
        <f t="shared" si="51"/>
        <v>0</v>
      </c>
      <c r="N347">
        <f t="shared" si="52"/>
        <v>0</v>
      </c>
      <c r="O347">
        <f t="shared" si="53"/>
        <v>0</v>
      </c>
      <c r="P347">
        <f t="shared" si="54"/>
        <v>0</v>
      </c>
      <c r="Q347">
        <f t="shared" si="55"/>
        <v>0</v>
      </c>
      <c r="R347">
        <f t="shared" si="56"/>
        <v>0</v>
      </c>
      <c r="S347">
        <f t="shared" si="57"/>
        <v>0</v>
      </c>
      <c r="T347">
        <f t="shared" si="59"/>
        <v>0</v>
      </c>
      <c r="U347">
        <f t="shared" si="58"/>
        <v>0</v>
      </c>
    </row>
    <row r="348" spans="1:21" x14ac:dyDescent="0.25">
      <c r="A348" s="2">
        <v>347</v>
      </c>
      <c r="B348" s="2">
        <v>1023</v>
      </c>
      <c r="C348" s="2" t="s">
        <v>189</v>
      </c>
      <c r="D348">
        <v>113.58</v>
      </c>
      <c r="E348" s="80">
        <v>37729.33</v>
      </c>
      <c r="F348">
        <v>156.72999999999999</v>
      </c>
      <c r="G348">
        <v>682.57</v>
      </c>
      <c r="H348">
        <v>13828.03</v>
      </c>
      <c r="I348" s="80">
        <v>15022.93</v>
      </c>
      <c r="J348">
        <v>352.53</v>
      </c>
      <c r="K348" s="80">
        <v>8499.17</v>
      </c>
      <c r="L348">
        <f t="shared" si="50"/>
        <v>0</v>
      </c>
      <c r="M348">
        <f t="shared" si="51"/>
        <v>0</v>
      </c>
      <c r="N348">
        <f t="shared" si="52"/>
        <v>0</v>
      </c>
      <c r="O348">
        <f t="shared" si="53"/>
        <v>0</v>
      </c>
      <c r="P348">
        <f t="shared" si="54"/>
        <v>0</v>
      </c>
      <c r="Q348">
        <f t="shared" si="55"/>
        <v>0</v>
      </c>
      <c r="R348">
        <f t="shared" si="56"/>
        <v>0</v>
      </c>
      <c r="S348">
        <f t="shared" si="57"/>
        <v>0</v>
      </c>
      <c r="T348">
        <f t="shared" si="59"/>
        <v>0</v>
      </c>
      <c r="U348">
        <f t="shared" si="58"/>
        <v>0</v>
      </c>
    </row>
    <row r="349" spans="1:21" x14ac:dyDescent="0.25">
      <c r="A349" s="2">
        <v>348</v>
      </c>
      <c r="B349" s="2" t="s">
        <v>599</v>
      </c>
      <c r="C349" s="2" t="s">
        <v>162</v>
      </c>
      <c r="D349">
        <v>33.82</v>
      </c>
      <c r="E349" s="80">
        <v>29386.720000000001</v>
      </c>
      <c r="F349">
        <v>10.41</v>
      </c>
      <c r="G349">
        <v>188.66</v>
      </c>
      <c r="H349">
        <v>9.3699999999999992</v>
      </c>
      <c r="I349">
        <v>7.77</v>
      </c>
      <c r="J349">
        <v>114.06</v>
      </c>
      <c r="K349">
        <v>18.52</v>
      </c>
      <c r="L349">
        <f t="shared" si="50"/>
        <v>0</v>
      </c>
      <c r="M349">
        <f t="shared" si="51"/>
        <v>0</v>
      </c>
      <c r="N349">
        <f t="shared" si="52"/>
        <v>0</v>
      </c>
      <c r="O349">
        <f t="shared" si="53"/>
        <v>0</v>
      </c>
      <c r="P349">
        <f t="shared" si="54"/>
        <v>0</v>
      </c>
      <c r="Q349">
        <f t="shared" si="55"/>
        <v>0</v>
      </c>
      <c r="R349">
        <f t="shared" si="56"/>
        <v>0</v>
      </c>
      <c r="S349">
        <f t="shared" si="57"/>
        <v>0</v>
      </c>
      <c r="T349">
        <f t="shared" si="59"/>
        <v>0</v>
      </c>
      <c r="U349">
        <f t="shared" si="58"/>
        <v>0</v>
      </c>
    </row>
    <row r="350" spans="1:21" x14ac:dyDescent="0.25">
      <c r="A350" s="2">
        <v>349</v>
      </c>
      <c r="B350" s="2" t="s">
        <v>599</v>
      </c>
      <c r="C350" s="2" t="s">
        <v>170</v>
      </c>
      <c r="D350">
        <v>365.33</v>
      </c>
      <c r="E350" s="80">
        <v>45061.91</v>
      </c>
      <c r="F350">
        <v>159.35</v>
      </c>
      <c r="G350">
        <v>540.22</v>
      </c>
      <c r="H350">
        <v>6636.42</v>
      </c>
      <c r="I350" s="80">
        <v>15715.44</v>
      </c>
      <c r="J350">
        <v>283.7</v>
      </c>
      <c r="K350">
        <v>2724.49</v>
      </c>
      <c r="L350">
        <f t="shared" si="50"/>
        <v>0</v>
      </c>
      <c r="M350">
        <f t="shared" si="51"/>
        <v>0</v>
      </c>
      <c r="N350">
        <f t="shared" si="52"/>
        <v>0</v>
      </c>
      <c r="O350">
        <f t="shared" si="53"/>
        <v>0</v>
      </c>
      <c r="P350">
        <f t="shared" si="54"/>
        <v>0</v>
      </c>
      <c r="Q350">
        <f t="shared" si="55"/>
        <v>0</v>
      </c>
      <c r="R350">
        <f t="shared" si="56"/>
        <v>0</v>
      </c>
      <c r="S350">
        <f t="shared" si="57"/>
        <v>0</v>
      </c>
      <c r="T350">
        <f t="shared" si="59"/>
        <v>0</v>
      </c>
      <c r="U350">
        <f t="shared" si="58"/>
        <v>0</v>
      </c>
    </row>
    <row r="351" spans="1:21" x14ac:dyDescent="0.25">
      <c r="A351" s="2">
        <v>350</v>
      </c>
      <c r="B351" s="2" t="s">
        <v>599</v>
      </c>
      <c r="C351" s="2" t="s">
        <v>178</v>
      </c>
      <c r="D351">
        <v>1132.8599999999999</v>
      </c>
      <c r="E351" s="80">
        <v>46265.83</v>
      </c>
      <c r="F351">
        <v>778.04</v>
      </c>
      <c r="G351">
        <v>634.62</v>
      </c>
      <c r="H351" s="80">
        <v>22195.54</v>
      </c>
      <c r="I351" s="80">
        <v>17535.5</v>
      </c>
      <c r="J351">
        <v>390.67</v>
      </c>
      <c r="K351">
        <v>3558.68</v>
      </c>
      <c r="L351">
        <f t="shared" si="50"/>
        <v>0</v>
      </c>
      <c r="M351">
        <f t="shared" si="51"/>
        <v>0</v>
      </c>
      <c r="N351">
        <f t="shared" si="52"/>
        <v>0</v>
      </c>
      <c r="O351">
        <f t="shared" si="53"/>
        <v>0</v>
      </c>
      <c r="P351">
        <f t="shared" si="54"/>
        <v>0</v>
      </c>
      <c r="Q351">
        <f t="shared" si="55"/>
        <v>0</v>
      </c>
      <c r="R351">
        <f t="shared" si="56"/>
        <v>0</v>
      </c>
      <c r="S351">
        <f t="shared" si="57"/>
        <v>0</v>
      </c>
      <c r="T351">
        <f t="shared" si="59"/>
        <v>0</v>
      </c>
      <c r="U351">
        <f t="shared" si="58"/>
        <v>0</v>
      </c>
    </row>
    <row r="352" spans="1:21" x14ac:dyDescent="0.25">
      <c r="A352" s="2">
        <v>351</v>
      </c>
      <c r="B352" s="2" t="s">
        <v>599</v>
      </c>
      <c r="C352" s="2" t="s">
        <v>163</v>
      </c>
      <c r="D352">
        <v>12276.22</v>
      </c>
      <c r="E352" s="80">
        <v>45961.77</v>
      </c>
      <c r="F352">
        <v>171.88</v>
      </c>
      <c r="G352">
        <v>779.84</v>
      </c>
      <c r="H352" s="80">
        <v>22730.89</v>
      </c>
      <c r="I352" s="80">
        <v>14953.88</v>
      </c>
      <c r="J352">
        <v>709.07</v>
      </c>
      <c r="K352" s="80">
        <v>16791.93</v>
      </c>
      <c r="L352">
        <f t="shared" si="50"/>
        <v>0</v>
      </c>
      <c r="M352">
        <f t="shared" si="51"/>
        <v>0</v>
      </c>
      <c r="N352">
        <f t="shared" si="52"/>
        <v>0</v>
      </c>
      <c r="O352">
        <f t="shared" si="53"/>
        <v>0</v>
      </c>
      <c r="P352">
        <f t="shared" si="54"/>
        <v>0</v>
      </c>
      <c r="Q352">
        <f t="shared" si="55"/>
        <v>0</v>
      </c>
      <c r="R352">
        <f t="shared" si="56"/>
        <v>0</v>
      </c>
      <c r="S352">
        <f t="shared" si="57"/>
        <v>0</v>
      </c>
      <c r="T352">
        <f t="shared" si="59"/>
        <v>0</v>
      </c>
      <c r="U352">
        <f t="shared" si="58"/>
        <v>0</v>
      </c>
    </row>
    <row r="353" spans="1:21" x14ac:dyDescent="0.25">
      <c r="A353" s="2">
        <v>352</v>
      </c>
      <c r="B353" s="2" t="s">
        <v>599</v>
      </c>
      <c r="C353" s="2" t="s">
        <v>181</v>
      </c>
      <c r="D353">
        <v>74.37</v>
      </c>
      <c r="E353" s="80">
        <v>47802.96</v>
      </c>
      <c r="F353">
        <v>9.44</v>
      </c>
      <c r="G353">
        <v>358.36</v>
      </c>
      <c r="H353">
        <v>31.28</v>
      </c>
      <c r="I353">
        <v>218.21</v>
      </c>
      <c r="J353">
        <v>237.66</v>
      </c>
      <c r="K353">
        <v>85.76</v>
      </c>
      <c r="L353">
        <f t="shared" si="50"/>
        <v>0</v>
      </c>
      <c r="M353">
        <f t="shared" si="51"/>
        <v>0</v>
      </c>
      <c r="N353">
        <f t="shared" si="52"/>
        <v>0</v>
      </c>
      <c r="O353">
        <f t="shared" si="53"/>
        <v>0</v>
      </c>
      <c r="P353">
        <f t="shared" si="54"/>
        <v>0</v>
      </c>
      <c r="Q353">
        <f t="shared" si="55"/>
        <v>0</v>
      </c>
      <c r="R353">
        <f t="shared" si="56"/>
        <v>0</v>
      </c>
      <c r="S353">
        <f t="shared" si="57"/>
        <v>0</v>
      </c>
      <c r="T353">
        <f t="shared" si="59"/>
        <v>0</v>
      </c>
      <c r="U353">
        <f t="shared" si="58"/>
        <v>0</v>
      </c>
    </row>
    <row r="354" spans="1:21" x14ac:dyDescent="0.25">
      <c r="A354" s="2">
        <v>353</v>
      </c>
      <c r="B354" s="2" t="s">
        <v>599</v>
      </c>
      <c r="C354" s="2" t="s">
        <v>183</v>
      </c>
      <c r="D354">
        <v>102.74</v>
      </c>
      <c r="E354" s="80">
        <v>44015.93</v>
      </c>
      <c r="F354">
        <v>935.79</v>
      </c>
      <c r="G354">
        <v>587.16</v>
      </c>
      <c r="H354">
        <v>6396.53</v>
      </c>
      <c r="I354" s="80">
        <v>17854.96</v>
      </c>
      <c r="J354">
        <v>375.42</v>
      </c>
      <c r="K354">
        <v>5574.56</v>
      </c>
      <c r="L354">
        <f t="shared" si="50"/>
        <v>0</v>
      </c>
      <c r="M354">
        <f t="shared" si="51"/>
        <v>0</v>
      </c>
      <c r="N354">
        <f t="shared" si="52"/>
        <v>0</v>
      </c>
      <c r="O354">
        <f t="shared" si="53"/>
        <v>0</v>
      </c>
      <c r="P354">
        <f t="shared" si="54"/>
        <v>0</v>
      </c>
      <c r="Q354">
        <f t="shared" si="55"/>
        <v>0</v>
      </c>
      <c r="R354">
        <f t="shared" si="56"/>
        <v>0</v>
      </c>
      <c r="S354">
        <f t="shared" si="57"/>
        <v>0</v>
      </c>
      <c r="T354">
        <f t="shared" si="59"/>
        <v>0</v>
      </c>
      <c r="U354">
        <f t="shared" si="58"/>
        <v>0</v>
      </c>
    </row>
    <row r="355" spans="1:21" x14ac:dyDescent="0.25">
      <c r="A355" s="2">
        <v>354</v>
      </c>
      <c r="B355" s="2" t="s">
        <v>599</v>
      </c>
      <c r="C355" s="2" t="s">
        <v>186</v>
      </c>
      <c r="D355">
        <v>154.12</v>
      </c>
      <c r="E355" s="80">
        <v>45355.08</v>
      </c>
      <c r="F355" s="80">
        <v>4670.71</v>
      </c>
      <c r="G355">
        <v>829.12</v>
      </c>
      <c r="H355" s="80">
        <v>37517.519999999997</v>
      </c>
      <c r="I355" s="80">
        <v>19244.560000000001</v>
      </c>
      <c r="J355">
        <v>542.66999999999996</v>
      </c>
      <c r="K355" s="80">
        <v>11259.5</v>
      </c>
      <c r="L355">
        <f t="shared" si="50"/>
        <v>0</v>
      </c>
      <c r="M355">
        <f t="shared" si="51"/>
        <v>0</v>
      </c>
      <c r="N355">
        <f t="shared" si="52"/>
        <v>0</v>
      </c>
      <c r="O355">
        <f t="shared" si="53"/>
        <v>0</v>
      </c>
      <c r="P355">
        <f t="shared" si="54"/>
        <v>0</v>
      </c>
      <c r="Q355">
        <f t="shared" si="55"/>
        <v>0</v>
      </c>
      <c r="R355">
        <f t="shared" si="56"/>
        <v>0</v>
      </c>
      <c r="S355">
        <f t="shared" si="57"/>
        <v>0</v>
      </c>
      <c r="T355">
        <f t="shared" si="59"/>
        <v>0</v>
      </c>
      <c r="U355">
        <f t="shared" si="58"/>
        <v>0</v>
      </c>
    </row>
    <row r="356" spans="1:21" x14ac:dyDescent="0.25">
      <c r="A356" s="2">
        <v>355</v>
      </c>
      <c r="B356" s="2" t="s">
        <v>599</v>
      </c>
      <c r="C356" s="2" t="s">
        <v>188</v>
      </c>
      <c r="D356">
        <v>146.66999999999999</v>
      </c>
      <c r="E356" s="80">
        <v>53390.34</v>
      </c>
      <c r="F356">
        <v>402.35</v>
      </c>
      <c r="G356">
        <v>658.53</v>
      </c>
      <c r="H356">
        <v>12677.54</v>
      </c>
      <c r="I356" s="80">
        <v>16289.77</v>
      </c>
      <c r="J356">
        <v>588.12</v>
      </c>
      <c r="K356" s="80">
        <v>17118.509999999998</v>
      </c>
      <c r="L356">
        <f t="shared" si="50"/>
        <v>0</v>
      </c>
      <c r="M356">
        <f t="shared" si="51"/>
        <v>0</v>
      </c>
      <c r="N356">
        <f t="shared" si="52"/>
        <v>0</v>
      </c>
      <c r="O356">
        <f t="shared" si="53"/>
        <v>0</v>
      </c>
      <c r="P356">
        <f t="shared" si="54"/>
        <v>0</v>
      </c>
      <c r="Q356">
        <f t="shared" si="55"/>
        <v>0</v>
      </c>
      <c r="R356">
        <f t="shared" si="56"/>
        <v>0</v>
      </c>
      <c r="S356">
        <f t="shared" si="57"/>
        <v>0</v>
      </c>
      <c r="T356">
        <f t="shared" si="59"/>
        <v>0</v>
      </c>
      <c r="U356">
        <f t="shared" si="58"/>
        <v>0</v>
      </c>
    </row>
    <row r="357" spans="1:21" x14ac:dyDescent="0.25">
      <c r="A357" s="2">
        <v>356</v>
      </c>
      <c r="B357" s="2" t="s">
        <v>599</v>
      </c>
      <c r="C357" s="2" t="s">
        <v>182</v>
      </c>
      <c r="D357" t="s">
        <v>583</v>
      </c>
      <c r="E357">
        <v>2228.35</v>
      </c>
      <c r="F357" t="s">
        <v>583</v>
      </c>
      <c r="G357" t="s">
        <v>583</v>
      </c>
      <c r="H357">
        <v>3.86</v>
      </c>
      <c r="I357">
        <v>2.89</v>
      </c>
      <c r="J357" t="s">
        <v>583</v>
      </c>
      <c r="K357">
        <v>1.17</v>
      </c>
      <c r="L357">
        <f t="shared" si="50"/>
        <v>0</v>
      </c>
      <c r="M357">
        <f t="shared" si="51"/>
        <v>0</v>
      </c>
      <c r="N357">
        <f t="shared" si="52"/>
        <v>0</v>
      </c>
      <c r="O357">
        <f t="shared" si="53"/>
        <v>0</v>
      </c>
      <c r="P357">
        <f t="shared" si="54"/>
        <v>0</v>
      </c>
      <c r="Q357">
        <f t="shared" si="55"/>
        <v>0</v>
      </c>
      <c r="R357">
        <f t="shared" si="56"/>
        <v>0</v>
      </c>
      <c r="S357">
        <f t="shared" si="57"/>
        <v>0</v>
      </c>
      <c r="T357">
        <f t="shared" si="59"/>
        <v>0</v>
      </c>
      <c r="U357">
        <f t="shared" si="58"/>
        <v>0</v>
      </c>
    </row>
    <row r="358" spans="1:21" x14ac:dyDescent="0.25">
      <c r="A358" s="2">
        <v>357</v>
      </c>
      <c r="B358" s="2" t="s">
        <v>599</v>
      </c>
      <c r="C358" s="2" t="s">
        <v>184</v>
      </c>
      <c r="D358">
        <v>1873.11</v>
      </c>
      <c r="E358">
        <v>24561.15</v>
      </c>
      <c r="F358">
        <v>480.57</v>
      </c>
      <c r="G358">
        <v>448.02</v>
      </c>
      <c r="H358" s="80">
        <v>21001.040000000001</v>
      </c>
      <c r="I358" s="80">
        <v>17586.63</v>
      </c>
      <c r="J358">
        <v>314.32</v>
      </c>
      <c r="K358">
        <v>5942.6</v>
      </c>
      <c r="L358">
        <f t="shared" si="50"/>
        <v>0</v>
      </c>
      <c r="M358">
        <f t="shared" si="51"/>
        <v>0</v>
      </c>
      <c r="N358">
        <f t="shared" si="52"/>
        <v>0</v>
      </c>
      <c r="O358">
        <f t="shared" si="53"/>
        <v>0</v>
      </c>
      <c r="P358">
        <f t="shared" si="54"/>
        <v>0</v>
      </c>
      <c r="Q358">
        <f t="shared" si="55"/>
        <v>0</v>
      </c>
      <c r="R358">
        <f t="shared" si="56"/>
        <v>0</v>
      </c>
      <c r="S358">
        <f t="shared" si="57"/>
        <v>0</v>
      </c>
      <c r="T358">
        <f t="shared" si="59"/>
        <v>0</v>
      </c>
      <c r="U358">
        <f t="shared" si="58"/>
        <v>0</v>
      </c>
    </row>
    <row r="359" spans="1:21" x14ac:dyDescent="0.25">
      <c r="A359" s="2">
        <v>358</v>
      </c>
      <c r="B359" s="2" t="s">
        <v>599</v>
      </c>
      <c r="C359" s="2" t="s">
        <v>187</v>
      </c>
      <c r="D359">
        <v>6341.03</v>
      </c>
      <c r="E359" s="80">
        <v>25845.78</v>
      </c>
      <c r="F359">
        <v>921.8</v>
      </c>
      <c r="G359">
        <v>610.83000000000004</v>
      </c>
      <c r="H359" s="80">
        <v>59693.41</v>
      </c>
      <c r="I359" s="80">
        <v>17082.22</v>
      </c>
      <c r="J359">
        <v>504.74</v>
      </c>
      <c r="K359" s="80">
        <v>11721.35</v>
      </c>
      <c r="L359">
        <f t="shared" si="50"/>
        <v>0</v>
      </c>
      <c r="M359">
        <f t="shared" si="51"/>
        <v>0</v>
      </c>
      <c r="N359">
        <f t="shared" si="52"/>
        <v>0</v>
      </c>
      <c r="O359">
        <f t="shared" si="53"/>
        <v>0</v>
      </c>
      <c r="P359">
        <f t="shared" si="54"/>
        <v>0</v>
      </c>
      <c r="Q359">
        <f t="shared" si="55"/>
        <v>0</v>
      </c>
      <c r="R359">
        <f t="shared" si="56"/>
        <v>0</v>
      </c>
      <c r="S359">
        <f t="shared" si="57"/>
        <v>0</v>
      </c>
      <c r="T359">
        <f t="shared" si="59"/>
        <v>0</v>
      </c>
      <c r="U359">
        <f t="shared" si="58"/>
        <v>0</v>
      </c>
    </row>
    <row r="360" spans="1:21" x14ac:dyDescent="0.25">
      <c r="A360" s="2">
        <v>359</v>
      </c>
      <c r="B360" s="2" t="s">
        <v>599</v>
      </c>
      <c r="C360" s="2" t="s">
        <v>189</v>
      </c>
      <c r="D360">
        <v>5033.12</v>
      </c>
      <c r="E360">
        <v>17158.2</v>
      </c>
      <c r="F360">
        <v>15.42</v>
      </c>
      <c r="G360">
        <v>448.02</v>
      </c>
      <c r="H360" s="80">
        <v>27869.67</v>
      </c>
      <c r="I360" s="80">
        <v>10354.6</v>
      </c>
      <c r="J360">
        <v>413.52</v>
      </c>
      <c r="K360" s="80">
        <v>12748.13</v>
      </c>
      <c r="L360">
        <f t="shared" si="50"/>
        <v>0</v>
      </c>
      <c r="M360">
        <f t="shared" si="51"/>
        <v>0</v>
      </c>
      <c r="N360">
        <f t="shared" si="52"/>
        <v>0</v>
      </c>
      <c r="O360">
        <f t="shared" si="53"/>
        <v>0</v>
      </c>
      <c r="P360">
        <f t="shared" si="54"/>
        <v>0</v>
      </c>
      <c r="Q360">
        <f t="shared" si="55"/>
        <v>0</v>
      </c>
      <c r="R360">
        <f t="shared" si="56"/>
        <v>0</v>
      </c>
      <c r="S360">
        <f t="shared" si="57"/>
        <v>0</v>
      </c>
      <c r="T360">
        <f t="shared" si="59"/>
        <v>0</v>
      </c>
      <c r="U360">
        <f t="shared" si="58"/>
        <v>0</v>
      </c>
    </row>
    <row r="361" spans="1:21" x14ac:dyDescent="0.25">
      <c r="A361" s="2">
        <v>360</v>
      </c>
      <c r="B361" s="2" t="s">
        <v>600</v>
      </c>
      <c r="C361" s="2" t="s">
        <v>162</v>
      </c>
      <c r="D361">
        <v>47</v>
      </c>
      <c r="E361" s="80">
        <v>47802.96</v>
      </c>
      <c r="F361">
        <v>10.41</v>
      </c>
      <c r="G361">
        <v>314.61</v>
      </c>
      <c r="H361">
        <v>17.03</v>
      </c>
      <c r="I361">
        <v>27.98</v>
      </c>
      <c r="J361">
        <v>160.59</v>
      </c>
      <c r="K361">
        <v>32.46</v>
      </c>
      <c r="L361">
        <f t="shared" si="50"/>
        <v>0</v>
      </c>
      <c r="M361">
        <f t="shared" si="51"/>
        <v>0</v>
      </c>
      <c r="N361">
        <f t="shared" si="52"/>
        <v>0</v>
      </c>
      <c r="O361">
        <f t="shared" si="53"/>
        <v>0</v>
      </c>
      <c r="P361">
        <f t="shared" si="54"/>
        <v>0</v>
      </c>
      <c r="Q361">
        <f t="shared" si="55"/>
        <v>0</v>
      </c>
      <c r="R361">
        <f t="shared" si="56"/>
        <v>0</v>
      </c>
      <c r="S361">
        <f t="shared" si="57"/>
        <v>0</v>
      </c>
      <c r="T361">
        <f t="shared" si="59"/>
        <v>0</v>
      </c>
      <c r="U361">
        <f t="shared" si="58"/>
        <v>0</v>
      </c>
    </row>
    <row r="362" spans="1:21" x14ac:dyDescent="0.25">
      <c r="A362" s="2">
        <v>361</v>
      </c>
      <c r="B362" s="2" t="s">
        <v>600</v>
      </c>
      <c r="C362" s="2" t="s">
        <v>170</v>
      </c>
      <c r="D362">
        <v>199.52</v>
      </c>
      <c r="E362" s="80">
        <v>38128.589999999997</v>
      </c>
      <c r="F362">
        <v>472.73</v>
      </c>
      <c r="G362">
        <v>540.22</v>
      </c>
      <c r="H362">
        <v>5846.74</v>
      </c>
      <c r="I362" s="80">
        <v>16978.099999999999</v>
      </c>
      <c r="J362">
        <v>314.32</v>
      </c>
      <c r="K362">
        <v>4627.3100000000004</v>
      </c>
      <c r="L362">
        <f t="shared" si="50"/>
        <v>0</v>
      </c>
      <c r="M362">
        <f t="shared" si="51"/>
        <v>0</v>
      </c>
      <c r="N362">
        <f t="shared" si="52"/>
        <v>0</v>
      </c>
      <c r="O362">
        <f t="shared" si="53"/>
        <v>0</v>
      </c>
      <c r="P362">
        <f t="shared" si="54"/>
        <v>0</v>
      </c>
      <c r="Q362">
        <f t="shared" si="55"/>
        <v>0</v>
      </c>
      <c r="R362">
        <f t="shared" si="56"/>
        <v>0</v>
      </c>
      <c r="S362">
        <f t="shared" si="57"/>
        <v>0</v>
      </c>
      <c r="T362">
        <f t="shared" si="59"/>
        <v>0</v>
      </c>
      <c r="U362">
        <f t="shared" si="58"/>
        <v>0</v>
      </c>
    </row>
    <row r="363" spans="1:21" x14ac:dyDescent="0.25">
      <c r="A363" s="2">
        <v>362</v>
      </c>
      <c r="B363" s="2" t="s">
        <v>600</v>
      </c>
      <c r="C363" s="2" t="s">
        <v>178</v>
      </c>
      <c r="D363">
        <v>547.16999999999996</v>
      </c>
      <c r="E363" s="80">
        <v>40240.58</v>
      </c>
      <c r="F363">
        <v>3575.16</v>
      </c>
      <c r="G363">
        <v>878.8</v>
      </c>
      <c r="H363" s="80">
        <v>45522.43</v>
      </c>
      <c r="I363" s="80">
        <v>18694.68</v>
      </c>
      <c r="J363">
        <v>497.15</v>
      </c>
      <c r="K363" s="80">
        <v>9946.5</v>
      </c>
      <c r="L363">
        <f t="shared" si="50"/>
        <v>0</v>
      </c>
      <c r="M363">
        <f t="shared" si="51"/>
        <v>0</v>
      </c>
      <c r="N363">
        <f t="shared" si="52"/>
        <v>0</v>
      </c>
      <c r="O363">
        <f t="shared" si="53"/>
        <v>0</v>
      </c>
      <c r="P363">
        <f t="shared" si="54"/>
        <v>0</v>
      </c>
      <c r="Q363">
        <f t="shared" si="55"/>
        <v>0</v>
      </c>
      <c r="R363">
        <f t="shared" si="56"/>
        <v>0</v>
      </c>
      <c r="S363">
        <f t="shared" si="57"/>
        <v>0</v>
      </c>
      <c r="T363">
        <f t="shared" si="59"/>
        <v>0</v>
      </c>
      <c r="U363">
        <f t="shared" si="58"/>
        <v>0</v>
      </c>
    </row>
    <row r="364" spans="1:21" x14ac:dyDescent="0.25">
      <c r="A364" s="2">
        <v>363</v>
      </c>
      <c r="B364" s="2" t="s">
        <v>600</v>
      </c>
      <c r="C364" s="2" t="s">
        <v>163</v>
      </c>
      <c r="D364">
        <v>980.66</v>
      </c>
      <c r="E364" s="80">
        <v>42807.72</v>
      </c>
      <c r="F364">
        <v>446.48</v>
      </c>
      <c r="G364">
        <v>682.57</v>
      </c>
      <c r="H364" s="80">
        <v>16138.45</v>
      </c>
      <c r="I364" s="80">
        <v>16738.009999999998</v>
      </c>
      <c r="J364">
        <v>527.5</v>
      </c>
      <c r="K364" s="80">
        <v>14743.61</v>
      </c>
      <c r="L364">
        <f t="shared" si="50"/>
        <v>0</v>
      </c>
      <c r="M364">
        <f t="shared" si="51"/>
        <v>0</v>
      </c>
      <c r="N364">
        <f t="shared" si="52"/>
        <v>0</v>
      </c>
      <c r="O364">
        <f t="shared" si="53"/>
        <v>0</v>
      </c>
      <c r="P364">
        <f t="shared" si="54"/>
        <v>0</v>
      </c>
      <c r="Q364">
        <f t="shared" si="55"/>
        <v>0</v>
      </c>
      <c r="R364">
        <f t="shared" si="56"/>
        <v>0</v>
      </c>
      <c r="S364">
        <f t="shared" si="57"/>
        <v>0</v>
      </c>
      <c r="T364">
        <f t="shared" si="59"/>
        <v>0</v>
      </c>
      <c r="U364">
        <f t="shared" si="58"/>
        <v>0</v>
      </c>
    </row>
    <row r="365" spans="1:21" x14ac:dyDescent="0.25">
      <c r="A365" s="2">
        <v>364</v>
      </c>
      <c r="B365" s="2" t="s">
        <v>600</v>
      </c>
      <c r="C365" s="2" t="s">
        <v>181</v>
      </c>
      <c r="D365">
        <v>60.54</v>
      </c>
      <c r="E365" s="80">
        <v>42378.83</v>
      </c>
      <c r="F365">
        <v>10.41</v>
      </c>
      <c r="G365">
        <v>271.68</v>
      </c>
      <c r="H365">
        <v>41.62</v>
      </c>
      <c r="I365">
        <v>284.99</v>
      </c>
      <c r="J365">
        <v>176.04</v>
      </c>
      <c r="K365">
        <v>75.88</v>
      </c>
      <c r="L365">
        <f t="shared" si="50"/>
        <v>0</v>
      </c>
      <c r="M365">
        <f t="shared" si="51"/>
        <v>0</v>
      </c>
      <c r="N365">
        <f t="shared" si="52"/>
        <v>0</v>
      </c>
      <c r="O365">
        <f t="shared" si="53"/>
        <v>0</v>
      </c>
      <c r="P365">
        <f t="shared" si="54"/>
        <v>0</v>
      </c>
      <c r="Q365">
        <f t="shared" si="55"/>
        <v>0</v>
      </c>
      <c r="R365">
        <f t="shared" si="56"/>
        <v>0</v>
      </c>
      <c r="S365">
        <f t="shared" si="57"/>
        <v>0</v>
      </c>
      <c r="T365">
        <f t="shared" si="59"/>
        <v>0</v>
      </c>
      <c r="U365">
        <f t="shared" si="58"/>
        <v>0</v>
      </c>
    </row>
    <row r="366" spans="1:21" x14ac:dyDescent="0.25">
      <c r="A366" s="2">
        <v>365</v>
      </c>
      <c r="B366" s="2" t="s">
        <v>600</v>
      </c>
      <c r="C366" s="2" t="s">
        <v>183</v>
      </c>
      <c r="D366">
        <v>60.54</v>
      </c>
      <c r="E366">
        <v>23331.3</v>
      </c>
      <c r="F366">
        <v>524.62</v>
      </c>
      <c r="G366">
        <v>358.36</v>
      </c>
      <c r="H366">
        <v>7119.84</v>
      </c>
      <c r="I366" s="80">
        <v>17019.419999999998</v>
      </c>
      <c r="J366">
        <v>253.02</v>
      </c>
      <c r="K366">
        <v>5363.2</v>
      </c>
      <c r="L366">
        <f t="shared" si="50"/>
        <v>0</v>
      </c>
      <c r="M366">
        <f t="shared" si="51"/>
        <v>0</v>
      </c>
      <c r="N366">
        <f t="shared" si="52"/>
        <v>0</v>
      </c>
      <c r="O366">
        <f t="shared" si="53"/>
        <v>0</v>
      </c>
      <c r="P366">
        <f t="shared" si="54"/>
        <v>0</v>
      </c>
      <c r="Q366">
        <f t="shared" si="55"/>
        <v>0</v>
      </c>
      <c r="R366">
        <f t="shared" si="56"/>
        <v>0</v>
      </c>
      <c r="S366">
        <f t="shared" si="57"/>
        <v>0</v>
      </c>
      <c r="T366">
        <f t="shared" si="59"/>
        <v>0</v>
      </c>
      <c r="U366">
        <f t="shared" si="58"/>
        <v>0</v>
      </c>
    </row>
    <row r="367" spans="1:21" x14ac:dyDescent="0.25">
      <c r="A367" s="2">
        <v>366</v>
      </c>
      <c r="B367" s="2" t="s">
        <v>600</v>
      </c>
      <c r="C367" s="2" t="s">
        <v>186</v>
      </c>
      <c r="D367">
        <v>146.66999999999999</v>
      </c>
      <c r="E367" s="80">
        <v>37005.879999999997</v>
      </c>
      <c r="F367">
        <v>2652.01</v>
      </c>
      <c r="G367">
        <v>878.8</v>
      </c>
      <c r="H367" s="84">
        <v>1142400</v>
      </c>
      <c r="I367" s="80">
        <v>19511.22</v>
      </c>
      <c r="J367">
        <v>565.4</v>
      </c>
      <c r="K367" s="80">
        <v>16370.56</v>
      </c>
      <c r="L367">
        <f t="shared" si="50"/>
        <v>0</v>
      </c>
      <c r="M367">
        <f t="shared" si="51"/>
        <v>0</v>
      </c>
      <c r="N367">
        <f t="shared" si="52"/>
        <v>0</v>
      </c>
      <c r="O367">
        <f t="shared" si="53"/>
        <v>0</v>
      </c>
      <c r="P367">
        <f t="shared" si="54"/>
        <v>0</v>
      </c>
      <c r="Q367">
        <f t="shared" si="55"/>
        <v>0</v>
      </c>
      <c r="R367">
        <f t="shared" si="56"/>
        <v>0</v>
      </c>
      <c r="S367">
        <f t="shared" si="57"/>
        <v>0</v>
      </c>
      <c r="T367">
        <f t="shared" si="59"/>
        <v>0</v>
      </c>
      <c r="U367">
        <f t="shared" si="58"/>
        <v>0</v>
      </c>
    </row>
    <row r="368" spans="1:21" x14ac:dyDescent="0.25">
      <c r="A368" s="2">
        <v>367</v>
      </c>
      <c r="B368" s="2" t="s">
        <v>600</v>
      </c>
      <c r="C368" s="2" t="s">
        <v>188</v>
      </c>
      <c r="D368">
        <v>146.66999999999999</v>
      </c>
      <c r="E368" s="80">
        <v>51254.23</v>
      </c>
      <c r="F368">
        <v>209.2</v>
      </c>
      <c r="G368">
        <v>730.98</v>
      </c>
      <c r="H368">
        <v>5875.82</v>
      </c>
      <c r="I368" s="80">
        <v>16677.07</v>
      </c>
      <c r="J368">
        <v>527.5</v>
      </c>
      <c r="K368" s="80">
        <v>15085.81</v>
      </c>
      <c r="L368">
        <f t="shared" si="50"/>
        <v>0</v>
      </c>
      <c r="M368">
        <f t="shared" si="51"/>
        <v>0</v>
      </c>
      <c r="N368">
        <f t="shared" si="52"/>
        <v>0</v>
      </c>
      <c r="O368">
        <f t="shared" si="53"/>
        <v>0</v>
      </c>
      <c r="P368">
        <f t="shared" si="54"/>
        <v>0</v>
      </c>
      <c r="Q368">
        <f t="shared" si="55"/>
        <v>0</v>
      </c>
      <c r="R368">
        <f t="shared" si="56"/>
        <v>0</v>
      </c>
      <c r="S368">
        <f t="shared" si="57"/>
        <v>0</v>
      </c>
      <c r="T368">
        <f t="shared" si="59"/>
        <v>0</v>
      </c>
      <c r="U368">
        <f t="shared" si="58"/>
        <v>0</v>
      </c>
    </row>
    <row r="369" spans="1:21" x14ac:dyDescent="0.25">
      <c r="A369" s="2">
        <v>368</v>
      </c>
      <c r="B369" s="2" t="s">
        <v>600</v>
      </c>
      <c r="C369" s="2" t="s">
        <v>182</v>
      </c>
      <c r="D369" t="s">
        <v>583</v>
      </c>
      <c r="E369">
        <v>5763.45</v>
      </c>
      <c r="F369" t="s">
        <v>583</v>
      </c>
      <c r="G369" s="80">
        <v>9.33</v>
      </c>
      <c r="H369">
        <v>9.3699999999999992</v>
      </c>
      <c r="I369">
        <v>12.1</v>
      </c>
      <c r="J369" s="80">
        <v>3.55</v>
      </c>
      <c r="K369">
        <v>2.78</v>
      </c>
      <c r="L369">
        <f t="shared" si="50"/>
        <v>0</v>
      </c>
      <c r="M369">
        <f t="shared" si="51"/>
        <v>0</v>
      </c>
      <c r="N369">
        <f t="shared" si="52"/>
        <v>0</v>
      </c>
      <c r="O369">
        <f t="shared" si="53"/>
        <v>0</v>
      </c>
      <c r="P369">
        <f t="shared" si="54"/>
        <v>0</v>
      </c>
      <c r="Q369">
        <f t="shared" si="55"/>
        <v>0</v>
      </c>
      <c r="R369">
        <f t="shared" si="56"/>
        <v>0</v>
      </c>
      <c r="S369">
        <f t="shared" si="57"/>
        <v>0</v>
      </c>
      <c r="T369">
        <f t="shared" si="59"/>
        <v>0</v>
      </c>
      <c r="U369">
        <f t="shared" si="58"/>
        <v>0</v>
      </c>
    </row>
    <row r="370" spans="1:21" x14ac:dyDescent="0.25">
      <c r="A370" s="2">
        <v>369</v>
      </c>
      <c r="B370" s="2" t="s">
        <v>600</v>
      </c>
      <c r="C370" s="2" t="s">
        <v>184</v>
      </c>
      <c r="D370">
        <v>161.61000000000001</v>
      </c>
      <c r="E370">
        <v>16959.150000000001</v>
      </c>
      <c r="F370">
        <v>204.55</v>
      </c>
      <c r="G370">
        <v>336.39</v>
      </c>
      <c r="H370">
        <v>9989.52</v>
      </c>
      <c r="I370" s="80">
        <v>17181.25</v>
      </c>
      <c r="J370">
        <v>283.7</v>
      </c>
      <c r="K370">
        <v>5131.08</v>
      </c>
      <c r="L370">
        <f t="shared" si="50"/>
        <v>0</v>
      </c>
      <c r="M370">
        <f t="shared" si="51"/>
        <v>0</v>
      </c>
      <c r="N370">
        <f t="shared" si="52"/>
        <v>0</v>
      </c>
      <c r="O370">
        <f t="shared" si="53"/>
        <v>0</v>
      </c>
      <c r="P370">
        <f t="shared" si="54"/>
        <v>0</v>
      </c>
      <c r="Q370">
        <f t="shared" si="55"/>
        <v>0</v>
      </c>
      <c r="R370">
        <f t="shared" si="56"/>
        <v>0</v>
      </c>
      <c r="S370">
        <f t="shared" si="57"/>
        <v>0</v>
      </c>
      <c r="T370">
        <f t="shared" si="59"/>
        <v>0</v>
      </c>
      <c r="U370">
        <f t="shared" si="58"/>
        <v>0</v>
      </c>
    </row>
    <row r="371" spans="1:21" x14ac:dyDescent="0.25">
      <c r="A371" s="2">
        <v>370</v>
      </c>
      <c r="B371" s="2" t="s">
        <v>600</v>
      </c>
      <c r="C371" s="2" t="s">
        <v>187</v>
      </c>
      <c r="D371">
        <v>555.59</v>
      </c>
      <c r="E371">
        <v>16791.07</v>
      </c>
      <c r="F371">
        <v>482.83</v>
      </c>
      <c r="G371">
        <v>493.83</v>
      </c>
      <c r="H371">
        <v>42121.41</v>
      </c>
      <c r="I371" s="80">
        <v>15837.74</v>
      </c>
      <c r="J371">
        <v>375.42</v>
      </c>
      <c r="K371" s="80">
        <v>10987.06</v>
      </c>
      <c r="L371">
        <f t="shared" si="50"/>
        <v>0</v>
      </c>
      <c r="M371">
        <f t="shared" si="51"/>
        <v>0</v>
      </c>
      <c r="N371">
        <f t="shared" si="52"/>
        <v>0</v>
      </c>
      <c r="O371">
        <f t="shared" si="53"/>
        <v>0</v>
      </c>
      <c r="P371">
        <f t="shared" si="54"/>
        <v>0</v>
      </c>
      <c r="Q371">
        <f t="shared" si="55"/>
        <v>0</v>
      </c>
      <c r="R371">
        <f t="shared" si="56"/>
        <v>0</v>
      </c>
      <c r="S371">
        <f t="shared" si="57"/>
        <v>0</v>
      </c>
      <c r="T371">
        <f t="shared" si="59"/>
        <v>0</v>
      </c>
      <c r="U371">
        <f t="shared" si="58"/>
        <v>0</v>
      </c>
    </row>
    <row r="372" spans="1:21" x14ac:dyDescent="0.25">
      <c r="A372" s="2">
        <v>371</v>
      </c>
      <c r="B372" s="2" t="s">
        <v>600</v>
      </c>
      <c r="C372" s="2" t="s">
        <v>189</v>
      </c>
      <c r="D372">
        <v>269.44</v>
      </c>
      <c r="E372">
        <v>18688.7</v>
      </c>
      <c r="F372">
        <v>62.49</v>
      </c>
      <c r="G372">
        <v>493.83</v>
      </c>
      <c r="H372">
        <v>12713.2</v>
      </c>
      <c r="I372" s="80">
        <v>15364.19</v>
      </c>
      <c r="J372">
        <v>344.89</v>
      </c>
      <c r="K372" s="80">
        <v>9830.0499999999993</v>
      </c>
      <c r="L372">
        <f t="shared" si="50"/>
        <v>0</v>
      </c>
      <c r="M372">
        <f t="shared" si="51"/>
        <v>0</v>
      </c>
      <c r="N372">
        <f t="shared" si="52"/>
        <v>0</v>
      </c>
      <c r="O372">
        <f t="shared" si="53"/>
        <v>0</v>
      </c>
      <c r="P372">
        <f t="shared" si="54"/>
        <v>0</v>
      </c>
      <c r="Q372">
        <f t="shared" si="55"/>
        <v>0</v>
      </c>
      <c r="R372">
        <f t="shared" si="56"/>
        <v>0</v>
      </c>
      <c r="S372">
        <f t="shared" si="57"/>
        <v>0</v>
      </c>
      <c r="T372">
        <f t="shared" si="59"/>
        <v>0</v>
      </c>
      <c r="U372">
        <f t="shared" si="58"/>
        <v>0</v>
      </c>
    </row>
    <row r="373" spans="1:21" x14ac:dyDescent="0.25">
      <c r="A373" s="2">
        <v>372</v>
      </c>
      <c r="B373" s="2" t="s">
        <v>601</v>
      </c>
      <c r="C373" s="2" t="s">
        <v>162</v>
      </c>
      <c r="D373">
        <v>33.82</v>
      </c>
      <c r="E373" s="80">
        <v>26816.22</v>
      </c>
      <c r="F373">
        <v>5.44</v>
      </c>
      <c r="G373">
        <v>148.85</v>
      </c>
      <c r="H373">
        <v>7.81</v>
      </c>
      <c r="I373">
        <v>3.86</v>
      </c>
      <c r="J373">
        <v>82.86</v>
      </c>
      <c r="K373">
        <v>12.48</v>
      </c>
      <c r="L373">
        <f t="shared" si="50"/>
        <v>0</v>
      </c>
      <c r="M373">
        <f t="shared" si="51"/>
        <v>0</v>
      </c>
      <c r="N373">
        <f t="shared" si="52"/>
        <v>0</v>
      </c>
      <c r="O373">
        <f t="shared" si="53"/>
        <v>0</v>
      </c>
      <c r="P373">
        <f t="shared" si="54"/>
        <v>0</v>
      </c>
      <c r="Q373">
        <f t="shared" si="55"/>
        <v>0</v>
      </c>
      <c r="R373">
        <f t="shared" si="56"/>
        <v>0</v>
      </c>
      <c r="S373">
        <f t="shared" si="57"/>
        <v>0</v>
      </c>
      <c r="T373">
        <f t="shared" si="59"/>
        <v>0</v>
      </c>
      <c r="U373">
        <f t="shared" si="58"/>
        <v>0</v>
      </c>
    </row>
    <row r="374" spans="1:21" x14ac:dyDescent="0.25">
      <c r="A374" s="2">
        <v>373</v>
      </c>
      <c r="B374" s="2" t="s">
        <v>601</v>
      </c>
      <c r="C374" s="2" t="s">
        <v>170</v>
      </c>
      <c r="D374">
        <v>102.74</v>
      </c>
      <c r="E374" s="80">
        <v>38793.15</v>
      </c>
      <c r="F374">
        <v>388.38</v>
      </c>
      <c r="G374">
        <v>380.52</v>
      </c>
      <c r="H374">
        <v>2992.86</v>
      </c>
      <c r="I374" s="80">
        <v>11930.47</v>
      </c>
      <c r="J374">
        <v>237.66</v>
      </c>
      <c r="K374">
        <v>1154.9000000000001</v>
      </c>
      <c r="L374">
        <f t="shared" si="50"/>
        <v>0</v>
      </c>
      <c r="M374">
        <f t="shared" si="51"/>
        <v>0</v>
      </c>
      <c r="N374">
        <f t="shared" si="52"/>
        <v>0</v>
      </c>
      <c r="O374">
        <f t="shared" si="53"/>
        <v>0</v>
      </c>
      <c r="P374">
        <f t="shared" si="54"/>
        <v>0</v>
      </c>
      <c r="Q374">
        <f t="shared" si="55"/>
        <v>0</v>
      </c>
      <c r="R374">
        <f t="shared" si="56"/>
        <v>0</v>
      </c>
      <c r="S374">
        <f t="shared" si="57"/>
        <v>0</v>
      </c>
      <c r="T374">
        <f t="shared" si="59"/>
        <v>0</v>
      </c>
      <c r="U374">
        <f t="shared" si="58"/>
        <v>0</v>
      </c>
    </row>
    <row r="375" spans="1:21" x14ac:dyDescent="0.25">
      <c r="A375" s="2">
        <v>374</v>
      </c>
      <c r="B375" s="2" t="s">
        <v>601</v>
      </c>
      <c r="C375" s="2" t="s">
        <v>178</v>
      </c>
      <c r="D375">
        <v>191.88</v>
      </c>
      <c r="E375" s="80">
        <v>35711.870000000003</v>
      </c>
      <c r="F375">
        <v>1436.79</v>
      </c>
      <c r="G375">
        <v>540.22</v>
      </c>
      <c r="H375">
        <v>11262.42</v>
      </c>
      <c r="I375" s="80">
        <v>12974.09</v>
      </c>
      <c r="J375">
        <v>283.7</v>
      </c>
      <c r="K375">
        <v>2029.9</v>
      </c>
      <c r="L375">
        <f t="shared" si="50"/>
        <v>0</v>
      </c>
      <c r="M375">
        <f t="shared" si="51"/>
        <v>0</v>
      </c>
      <c r="N375">
        <f t="shared" si="52"/>
        <v>0</v>
      </c>
      <c r="O375">
        <f t="shared" si="53"/>
        <v>0</v>
      </c>
      <c r="P375">
        <f t="shared" si="54"/>
        <v>0</v>
      </c>
      <c r="Q375">
        <f t="shared" si="55"/>
        <v>0</v>
      </c>
      <c r="R375">
        <f t="shared" si="56"/>
        <v>0</v>
      </c>
      <c r="S375">
        <f t="shared" si="57"/>
        <v>0</v>
      </c>
      <c r="T375">
        <f t="shared" si="59"/>
        <v>0</v>
      </c>
      <c r="U375">
        <f t="shared" si="58"/>
        <v>0</v>
      </c>
    </row>
    <row r="376" spans="1:21" x14ac:dyDescent="0.25">
      <c r="A376" s="2">
        <v>375</v>
      </c>
      <c r="B376" s="2" t="s">
        <v>601</v>
      </c>
      <c r="C376" s="2" t="s">
        <v>163</v>
      </c>
      <c r="D376">
        <v>509.44</v>
      </c>
      <c r="E376" s="80">
        <v>36366.54</v>
      </c>
      <c r="F376">
        <v>133.71</v>
      </c>
      <c r="G376">
        <v>358.36</v>
      </c>
      <c r="H376">
        <v>2743.44</v>
      </c>
      <c r="I376" s="80">
        <v>3324.89</v>
      </c>
      <c r="J376">
        <v>268.37</v>
      </c>
      <c r="K376">
        <v>5397.01</v>
      </c>
      <c r="L376">
        <f t="shared" si="50"/>
        <v>0</v>
      </c>
      <c r="M376">
        <f t="shared" si="51"/>
        <v>0</v>
      </c>
      <c r="N376">
        <f t="shared" si="52"/>
        <v>0</v>
      </c>
      <c r="O376">
        <f t="shared" si="53"/>
        <v>0</v>
      </c>
      <c r="P376">
        <f t="shared" si="54"/>
        <v>0</v>
      </c>
      <c r="Q376">
        <f t="shared" si="55"/>
        <v>0</v>
      </c>
      <c r="R376">
        <f t="shared" si="56"/>
        <v>0</v>
      </c>
      <c r="S376">
        <f t="shared" si="57"/>
        <v>0</v>
      </c>
      <c r="T376">
        <f t="shared" si="59"/>
        <v>0</v>
      </c>
      <c r="U376">
        <f t="shared" si="58"/>
        <v>0</v>
      </c>
    </row>
    <row r="377" spans="1:21" x14ac:dyDescent="0.25">
      <c r="A377" s="2">
        <v>376</v>
      </c>
      <c r="B377" s="2" t="s">
        <v>601</v>
      </c>
      <c r="C377" s="2" t="s">
        <v>181</v>
      </c>
      <c r="D377">
        <v>40.36</v>
      </c>
      <c r="E377" s="80">
        <v>46846.8</v>
      </c>
      <c r="F377">
        <v>8.77</v>
      </c>
      <c r="G377">
        <v>271.68</v>
      </c>
      <c r="H377">
        <v>37.94</v>
      </c>
      <c r="I377">
        <v>34.909999999999997</v>
      </c>
      <c r="J377">
        <v>176.04</v>
      </c>
      <c r="K377">
        <v>48.83</v>
      </c>
      <c r="L377">
        <f t="shared" si="50"/>
        <v>0</v>
      </c>
      <c r="M377">
        <f t="shared" si="51"/>
        <v>0</v>
      </c>
      <c r="N377">
        <f t="shared" si="52"/>
        <v>0</v>
      </c>
      <c r="O377">
        <f t="shared" si="53"/>
        <v>0</v>
      </c>
      <c r="P377">
        <f t="shared" si="54"/>
        <v>0</v>
      </c>
      <c r="Q377">
        <f t="shared" si="55"/>
        <v>0</v>
      </c>
      <c r="R377">
        <f t="shared" si="56"/>
        <v>0</v>
      </c>
      <c r="S377">
        <f t="shared" si="57"/>
        <v>0</v>
      </c>
      <c r="T377">
        <f t="shared" si="59"/>
        <v>0</v>
      </c>
      <c r="U377">
        <f t="shared" si="58"/>
        <v>0</v>
      </c>
    </row>
    <row r="378" spans="1:21" x14ac:dyDescent="0.25">
      <c r="A378" s="2">
        <v>377</v>
      </c>
      <c r="B378" s="2" t="s">
        <v>601</v>
      </c>
      <c r="C378" s="2" t="s">
        <v>183</v>
      </c>
      <c r="D378">
        <v>95.57</v>
      </c>
      <c r="E378" s="80">
        <v>42313.65</v>
      </c>
      <c r="F378">
        <v>846.21</v>
      </c>
      <c r="G378">
        <v>448.02</v>
      </c>
      <c r="H378">
        <v>7720.56</v>
      </c>
      <c r="I378" s="80">
        <v>16908.599999999999</v>
      </c>
      <c r="J378">
        <v>405.91</v>
      </c>
      <c r="K378">
        <v>5693.6</v>
      </c>
      <c r="L378">
        <f t="shared" si="50"/>
        <v>0</v>
      </c>
      <c r="M378">
        <f t="shared" si="51"/>
        <v>0</v>
      </c>
      <c r="N378">
        <f t="shared" si="52"/>
        <v>0</v>
      </c>
      <c r="O378">
        <f t="shared" si="53"/>
        <v>0</v>
      </c>
      <c r="P378">
        <f t="shared" si="54"/>
        <v>0</v>
      </c>
      <c r="Q378">
        <f t="shared" si="55"/>
        <v>0</v>
      </c>
      <c r="R378">
        <f t="shared" si="56"/>
        <v>0</v>
      </c>
      <c r="S378">
        <f t="shared" si="57"/>
        <v>0</v>
      </c>
      <c r="T378">
        <f t="shared" si="59"/>
        <v>0</v>
      </c>
      <c r="U378">
        <f t="shared" si="58"/>
        <v>0</v>
      </c>
    </row>
    <row r="379" spans="1:21" x14ac:dyDescent="0.25">
      <c r="A379" s="2">
        <v>378</v>
      </c>
      <c r="B379" s="2" t="s">
        <v>601</v>
      </c>
      <c r="C379" s="2" t="s">
        <v>186</v>
      </c>
      <c r="D379">
        <v>120.86</v>
      </c>
      <c r="E379" s="80">
        <v>41181.53</v>
      </c>
      <c r="F379">
        <v>3441.48</v>
      </c>
      <c r="G379">
        <v>779.84</v>
      </c>
      <c r="H379" s="80">
        <v>87346.3</v>
      </c>
      <c r="I379" s="80">
        <v>18551.41</v>
      </c>
      <c r="J379">
        <v>527.5</v>
      </c>
      <c r="K379" s="80">
        <v>11137.71</v>
      </c>
      <c r="L379">
        <f t="shared" si="50"/>
        <v>0</v>
      </c>
      <c r="M379">
        <f t="shared" si="51"/>
        <v>0</v>
      </c>
      <c r="N379">
        <f t="shared" si="52"/>
        <v>0</v>
      </c>
      <c r="O379">
        <f t="shared" si="53"/>
        <v>0</v>
      </c>
      <c r="P379">
        <f t="shared" si="54"/>
        <v>0</v>
      </c>
      <c r="Q379">
        <f t="shared" si="55"/>
        <v>0</v>
      </c>
      <c r="R379">
        <f t="shared" si="56"/>
        <v>0</v>
      </c>
      <c r="S379">
        <f t="shared" si="57"/>
        <v>0</v>
      </c>
      <c r="T379">
        <f t="shared" si="59"/>
        <v>0</v>
      </c>
      <c r="U379">
        <f t="shared" si="58"/>
        <v>0</v>
      </c>
    </row>
    <row r="380" spans="1:21" x14ac:dyDescent="0.25">
      <c r="A380" s="2">
        <v>379</v>
      </c>
      <c r="B380" s="2" t="s">
        <v>601</v>
      </c>
      <c r="C380" s="2" t="s">
        <v>188</v>
      </c>
      <c r="D380">
        <v>117.22</v>
      </c>
      <c r="E380" s="80">
        <v>53715.56</v>
      </c>
      <c r="F380">
        <v>104.2</v>
      </c>
      <c r="G380">
        <v>563.62</v>
      </c>
      <c r="H380">
        <v>3554.89</v>
      </c>
      <c r="I380" s="80">
        <v>6693.5</v>
      </c>
      <c r="J380">
        <v>421.13</v>
      </c>
      <c r="K380" s="80">
        <v>9827.17</v>
      </c>
      <c r="L380">
        <f t="shared" si="50"/>
        <v>0</v>
      </c>
      <c r="M380">
        <f t="shared" si="51"/>
        <v>0</v>
      </c>
      <c r="N380">
        <f t="shared" si="52"/>
        <v>0</v>
      </c>
      <c r="O380">
        <f t="shared" si="53"/>
        <v>0</v>
      </c>
      <c r="P380">
        <f t="shared" si="54"/>
        <v>0</v>
      </c>
      <c r="Q380">
        <f t="shared" si="55"/>
        <v>0</v>
      </c>
      <c r="R380">
        <f t="shared" si="56"/>
        <v>0</v>
      </c>
      <c r="S380">
        <f t="shared" si="57"/>
        <v>0</v>
      </c>
      <c r="T380">
        <f t="shared" si="59"/>
        <v>0</v>
      </c>
      <c r="U380">
        <f t="shared" si="58"/>
        <v>0</v>
      </c>
    </row>
    <row r="381" spans="1:21" x14ac:dyDescent="0.25">
      <c r="A381" s="2">
        <v>380</v>
      </c>
      <c r="B381" s="2" t="s">
        <v>601</v>
      </c>
      <c r="C381" s="2" t="s">
        <v>182</v>
      </c>
      <c r="D381" t="s">
        <v>583</v>
      </c>
      <c r="E381">
        <v>1733.24</v>
      </c>
      <c r="F381">
        <v>3.65</v>
      </c>
      <c r="G381">
        <v>39.58</v>
      </c>
      <c r="H381">
        <v>18.55</v>
      </c>
      <c r="I381">
        <v>360.03</v>
      </c>
      <c r="J381" t="s">
        <v>583</v>
      </c>
      <c r="K381">
        <v>16.18</v>
      </c>
      <c r="L381">
        <f t="shared" si="50"/>
        <v>0</v>
      </c>
      <c r="M381">
        <f t="shared" si="51"/>
        <v>0</v>
      </c>
      <c r="N381">
        <f t="shared" si="52"/>
        <v>0</v>
      </c>
      <c r="O381">
        <f t="shared" si="53"/>
        <v>0</v>
      </c>
      <c r="P381">
        <f t="shared" si="54"/>
        <v>0</v>
      </c>
      <c r="Q381">
        <f t="shared" si="55"/>
        <v>0</v>
      </c>
      <c r="R381">
        <f t="shared" si="56"/>
        <v>0</v>
      </c>
      <c r="S381">
        <f t="shared" si="57"/>
        <v>0</v>
      </c>
      <c r="T381">
        <f t="shared" si="59"/>
        <v>0</v>
      </c>
      <c r="U381">
        <f t="shared" si="58"/>
        <v>0</v>
      </c>
    </row>
    <row r="382" spans="1:21" x14ac:dyDescent="0.25">
      <c r="A382" s="2">
        <v>381</v>
      </c>
      <c r="B382" s="2" t="s">
        <v>601</v>
      </c>
      <c r="C382" s="2" t="s">
        <v>184</v>
      </c>
      <c r="D382">
        <v>77.87</v>
      </c>
      <c r="E382">
        <v>14785.02</v>
      </c>
      <c r="F382">
        <v>238.41</v>
      </c>
      <c r="G382">
        <v>314.61</v>
      </c>
      <c r="H382">
        <v>14764.91</v>
      </c>
      <c r="I382" s="80">
        <v>13154.68</v>
      </c>
      <c r="J382">
        <v>176.04</v>
      </c>
      <c r="K382">
        <v>1792.48</v>
      </c>
      <c r="L382">
        <f t="shared" si="50"/>
        <v>0</v>
      </c>
      <c r="M382">
        <f t="shared" si="51"/>
        <v>0</v>
      </c>
      <c r="N382">
        <f t="shared" si="52"/>
        <v>0</v>
      </c>
      <c r="O382">
        <f t="shared" si="53"/>
        <v>0</v>
      </c>
      <c r="P382">
        <f t="shared" si="54"/>
        <v>0</v>
      </c>
      <c r="Q382">
        <f t="shared" si="55"/>
        <v>0</v>
      </c>
      <c r="R382">
        <f t="shared" si="56"/>
        <v>0</v>
      </c>
      <c r="S382">
        <f t="shared" si="57"/>
        <v>0</v>
      </c>
      <c r="T382">
        <f t="shared" si="59"/>
        <v>0</v>
      </c>
      <c r="U382">
        <f t="shared" si="58"/>
        <v>0</v>
      </c>
    </row>
    <row r="383" spans="1:21" x14ac:dyDescent="0.25">
      <c r="A383" s="2">
        <v>382</v>
      </c>
      <c r="B383" s="2" t="s">
        <v>601</v>
      </c>
      <c r="C383" s="2" t="s">
        <v>187</v>
      </c>
      <c r="D383">
        <v>496.92</v>
      </c>
      <c r="E383">
        <v>15518.41</v>
      </c>
      <c r="F383">
        <v>372.19</v>
      </c>
      <c r="G383">
        <v>493.83</v>
      </c>
      <c r="H383" s="80">
        <v>33258.949999999997</v>
      </c>
      <c r="I383" s="80">
        <v>11660.15</v>
      </c>
      <c r="J383">
        <v>253.02</v>
      </c>
      <c r="K383">
        <v>5170.29</v>
      </c>
      <c r="L383">
        <f t="shared" si="50"/>
        <v>0</v>
      </c>
      <c r="M383">
        <f t="shared" si="51"/>
        <v>0</v>
      </c>
      <c r="N383">
        <f t="shared" si="52"/>
        <v>0</v>
      </c>
      <c r="O383">
        <f t="shared" si="53"/>
        <v>0</v>
      </c>
      <c r="P383">
        <f t="shared" si="54"/>
        <v>0</v>
      </c>
      <c r="Q383">
        <f t="shared" si="55"/>
        <v>0</v>
      </c>
      <c r="R383">
        <f t="shared" si="56"/>
        <v>0</v>
      </c>
      <c r="S383">
        <f t="shared" si="57"/>
        <v>0</v>
      </c>
      <c r="T383">
        <f t="shared" si="59"/>
        <v>0</v>
      </c>
      <c r="U383">
        <f t="shared" si="58"/>
        <v>0</v>
      </c>
    </row>
    <row r="384" spans="1:21" x14ac:dyDescent="0.25">
      <c r="A384" s="2">
        <v>383</v>
      </c>
      <c r="B384" s="2" t="s">
        <v>601</v>
      </c>
      <c r="C384" s="2" t="s">
        <v>189</v>
      </c>
      <c r="D384">
        <v>365.33</v>
      </c>
      <c r="E384">
        <v>13690.34</v>
      </c>
      <c r="F384">
        <v>43.34</v>
      </c>
      <c r="G384">
        <v>271.68</v>
      </c>
      <c r="H384">
        <v>8435.2099999999991</v>
      </c>
      <c r="I384">
        <v>7991.67</v>
      </c>
      <c r="J384">
        <v>229.98</v>
      </c>
      <c r="K384">
        <v>5681.13</v>
      </c>
      <c r="L384">
        <f t="shared" si="50"/>
        <v>0</v>
      </c>
      <c r="M384">
        <f t="shared" si="51"/>
        <v>0</v>
      </c>
      <c r="N384">
        <f t="shared" si="52"/>
        <v>0</v>
      </c>
      <c r="O384">
        <f t="shared" si="53"/>
        <v>0</v>
      </c>
      <c r="P384">
        <f t="shared" si="54"/>
        <v>0</v>
      </c>
      <c r="Q384">
        <f t="shared" si="55"/>
        <v>0</v>
      </c>
      <c r="R384">
        <f t="shared" si="56"/>
        <v>0</v>
      </c>
      <c r="S384">
        <f t="shared" si="57"/>
        <v>0</v>
      </c>
      <c r="T384">
        <f t="shared" si="59"/>
        <v>0</v>
      </c>
      <c r="U384">
        <f t="shared" si="58"/>
        <v>0</v>
      </c>
    </row>
    <row r="385" spans="1:21" x14ac:dyDescent="0.25">
      <c r="A385" s="2">
        <v>384</v>
      </c>
      <c r="B385" s="2">
        <v>1040</v>
      </c>
      <c r="C385" s="2" t="s">
        <v>162</v>
      </c>
      <c r="D385">
        <v>27.39</v>
      </c>
      <c r="E385" s="80">
        <v>32523.58</v>
      </c>
      <c r="F385">
        <v>9.1</v>
      </c>
      <c r="G385">
        <v>188.66</v>
      </c>
      <c r="H385">
        <v>12.45</v>
      </c>
      <c r="I385">
        <v>6.04</v>
      </c>
      <c r="J385">
        <v>114.06</v>
      </c>
      <c r="K385">
        <v>18.05</v>
      </c>
      <c r="L385">
        <f t="shared" si="50"/>
        <v>0</v>
      </c>
      <c r="M385">
        <f t="shared" si="51"/>
        <v>0</v>
      </c>
      <c r="N385">
        <f t="shared" si="52"/>
        <v>0</v>
      </c>
      <c r="O385">
        <f t="shared" si="53"/>
        <v>0</v>
      </c>
      <c r="P385">
        <f t="shared" si="54"/>
        <v>0</v>
      </c>
      <c r="Q385">
        <f t="shared" si="55"/>
        <v>0</v>
      </c>
      <c r="R385">
        <f t="shared" si="56"/>
        <v>0</v>
      </c>
      <c r="S385">
        <f t="shared" si="57"/>
        <v>0</v>
      </c>
      <c r="T385">
        <f t="shared" si="59"/>
        <v>0</v>
      </c>
      <c r="U385">
        <f t="shared" si="58"/>
        <v>0</v>
      </c>
    </row>
    <row r="386" spans="1:21" x14ac:dyDescent="0.25">
      <c r="A386" s="2">
        <v>385</v>
      </c>
      <c r="B386" s="2">
        <v>1040</v>
      </c>
      <c r="C386" s="2" t="s">
        <v>170</v>
      </c>
      <c r="D386">
        <v>57.12</v>
      </c>
      <c r="E386" s="80">
        <v>29901.75</v>
      </c>
      <c r="F386">
        <v>393.9</v>
      </c>
      <c r="G386">
        <v>402.85</v>
      </c>
      <c r="H386">
        <v>2383.21</v>
      </c>
      <c r="I386" s="80">
        <v>15549.83</v>
      </c>
      <c r="J386">
        <v>222.29</v>
      </c>
      <c r="K386">
        <v>2104.94</v>
      </c>
      <c r="L386">
        <f t="shared" ref="L386:L449" si="60">IF(D386 = "OOR &gt;", 1,0)</f>
        <v>0</v>
      </c>
      <c r="M386">
        <f t="shared" ref="M386:M449" si="61">IF(E386 = "OOR &gt;", 1,0)</f>
        <v>0</v>
      </c>
      <c r="N386">
        <f t="shared" ref="N386:N449" si="62">IF(F386 = "OOR &gt;", 1,0)</f>
        <v>0</v>
      </c>
      <c r="O386">
        <f t="shared" ref="O386:O449" si="63">IF(G386 = "OOR &gt;", 1,0)</f>
        <v>0</v>
      </c>
      <c r="P386">
        <f t="shared" ref="P386:P449" si="64">IF(H386 = "OOR &gt;", 1,0)</f>
        <v>0</v>
      </c>
      <c r="Q386">
        <f t="shared" ref="Q386:Q449" si="65">IF(I386 = "OOR &gt;", 1,0)</f>
        <v>0</v>
      </c>
      <c r="R386">
        <f t="shared" ref="R386:R449" si="66">IF(J386 = "OOR &gt;", 1,0)</f>
        <v>0</v>
      </c>
      <c r="S386">
        <f t="shared" ref="S386:S449" si="67">IF(K386 = "OOR &gt;", 1,0)</f>
        <v>0</v>
      </c>
      <c r="T386">
        <f t="shared" si="59"/>
        <v>0</v>
      </c>
      <c r="U386">
        <f t="shared" ref="U386:U449" si="68">IF(T386 &gt; 0,1,0)</f>
        <v>0</v>
      </c>
    </row>
    <row r="387" spans="1:21" x14ac:dyDescent="0.25">
      <c r="A387" s="2">
        <v>386</v>
      </c>
      <c r="B387" s="2">
        <v>1040</v>
      </c>
      <c r="C387" s="2" t="s">
        <v>178</v>
      </c>
      <c r="D387">
        <v>88.45</v>
      </c>
      <c r="E387" s="80">
        <v>39698.639999999999</v>
      </c>
      <c r="F387">
        <v>1905.79</v>
      </c>
      <c r="G387">
        <v>540.22</v>
      </c>
      <c r="H387">
        <v>12602.39</v>
      </c>
      <c r="I387" s="80">
        <v>18303.990000000002</v>
      </c>
      <c r="J387">
        <v>352.53</v>
      </c>
      <c r="K387">
        <v>4876.3599999999997</v>
      </c>
      <c r="L387">
        <f t="shared" si="60"/>
        <v>0</v>
      </c>
      <c r="M387">
        <f t="shared" si="61"/>
        <v>0</v>
      </c>
      <c r="N387">
        <f t="shared" si="62"/>
        <v>0</v>
      </c>
      <c r="O387">
        <f t="shared" si="63"/>
        <v>0</v>
      </c>
      <c r="P387">
        <f t="shared" si="64"/>
        <v>0</v>
      </c>
      <c r="Q387">
        <f t="shared" si="65"/>
        <v>0</v>
      </c>
      <c r="R387">
        <f t="shared" si="66"/>
        <v>0</v>
      </c>
      <c r="S387">
        <f t="shared" si="67"/>
        <v>0</v>
      </c>
      <c r="T387">
        <f t="shared" ref="T387:T450" si="69">SUMIF(L387:S387,"&gt;0")</f>
        <v>0</v>
      </c>
      <c r="U387">
        <f t="shared" si="68"/>
        <v>0</v>
      </c>
    </row>
    <row r="388" spans="1:21" x14ac:dyDescent="0.25">
      <c r="A388" s="2">
        <v>387</v>
      </c>
      <c r="B388" s="2">
        <v>1040</v>
      </c>
      <c r="C388" s="2" t="s">
        <v>163</v>
      </c>
      <c r="D388">
        <v>109.96</v>
      </c>
      <c r="E388" s="80">
        <v>44326.28</v>
      </c>
      <c r="F388">
        <v>717.28</v>
      </c>
      <c r="G388">
        <v>634.62</v>
      </c>
      <c r="H388">
        <v>3544.23</v>
      </c>
      <c r="I388" s="80">
        <v>16316.7</v>
      </c>
      <c r="J388">
        <v>375.42</v>
      </c>
      <c r="K388">
        <v>7354.05</v>
      </c>
      <c r="L388">
        <f t="shared" si="60"/>
        <v>0</v>
      </c>
      <c r="M388">
        <f t="shared" si="61"/>
        <v>0</v>
      </c>
      <c r="N388">
        <f t="shared" si="62"/>
        <v>0</v>
      </c>
      <c r="O388">
        <f t="shared" si="63"/>
        <v>0</v>
      </c>
      <c r="P388">
        <f t="shared" si="64"/>
        <v>0</v>
      </c>
      <c r="Q388">
        <f t="shared" si="65"/>
        <v>0</v>
      </c>
      <c r="R388">
        <f t="shared" si="66"/>
        <v>0</v>
      </c>
      <c r="S388">
        <f t="shared" si="67"/>
        <v>0</v>
      </c>
      <c r="T388">
        <f t="shared" si="69"/>
        <v>0</v>
      </c>
      <c r="U388">
        <f t="shared" si="68"/>
        <v>0</v>
      </c>
    </row>
    <row r="389" spans="1:21" x14ac:dyDescent="0.25">
      <c r="A389" s="2">
        <v>388</v>
      </c>
      <c r="B389" s="2">
        <v>1040</v>
      </c>
      <c r="C389" s="2" t="s">
        <v>181</v>
      </c>
      <c r="D389">
        <v>53.73</v>
      </c>
      <c r="E389" s="80">
        <v>43265.71</v>
      </c>
      <c r="F389">
        <v>9.1</v>
      </c>
      <c r="G389">
        <v>271.68</v>
      </c>
      <c r="H389">
        <v>86.59</v>
      </c>
      <c r="I389">
        <v>148.75</v>
      </c>
      <c r="J389">
        <v>206.89</v>
      </c>
      <c r="K389">
        <v>116.89</v>
      </c>
      <c r="L389">
        <f t="shared" si="60"/>
        <v>0</v>
      </c>
      <c r="M389">
        <f t="shared" si="61"/>
        <v>0</v>
      </c>
      <c r="N389">
        <f t="shared" si="62"/>
        <v>0</v>
      </c>
      <c r="O389">
        <f t="shared" si="63"/>
        <v>0</v>
      </c>
      <c r="P389">
        <f t="shared" si="64"/>
        <v>0</v>
      </c>
      <c r="Q389">
        <f t="shared" si="65"/>
        <v>0</v>
      </c>
      <c r="R389">
        <f t="shared" si="66"/>
        <v>0</v>
      </c>
      <c r="S389">
        <f t="shared" si="67"/>
        <v>0</v>
      </c>
      <c r="T389">
        <f t="shared" si="69"/>
        <v>0</v>
      </c>
      <c r="U389">
        <f t="shared" si="68"/>
        <v>0</v>
      </c>
    </row>
    <row r="390" spans="1:21" x14ac:dyDescent="0.25">
      <c r="A390" s="2">
        <v>389</v>
      </c>
      <c r="B390" s="2">
        <v>1040</v>
      </c>
      <c r="C390" s="2" t="s">
        <v>183</v>
      </c>
      <c r="D390">
        <v>131.87</v>
      </c>
      <c r="E390" s="80">
        <v>51908.45</v>
      </c>
      <c r="F390">
        <v>495.57</v>
      </c>
      <c r="G390">
        <v>587.16</v>
      </c>
      <c r="H390">
        <v>4105.6899999999996</v>
      </c>
      <c r="I390" s="80">
        <v>19451.22</v>
      </c>
      <c r="J390">
        <v>413.52</v>
      </c>
      <c r="K390" s="80">
        <v>8603.81</v>
      </c>
      <c r="L390">
        <f t="shared" si="60"/>
        <v>0</v>
      </c>
      <c r="M390">
        <f t="shared" si="61"/>
        <v>0</v>
      </c>
      <c r="N390">
        <f t="shared" si="62"/>
        <v>0</v>
      </c>
      <c r="O390">
        <f t="shared" si="63"/>
        <v>0</v>
      </c>
      <c r="P390">
        <f t="shared" si="64"/>
        <v>0</v>
      </c>
      <c r="Q390">
        <f t="shared" si="65"/>
        <v>0</v>
      </c>
      <c r="R390">
        <f t="shared" si="66"/>
        <v>0</v>
      </c>
      <c r="S390">
        <f t="shared" si="67"/>
        <v>0</v>
      </c>
      <c r="T390">
        <f t="shared" si="69"/>
        <v>0</v>
      </c>
      <c r="U390">
        <f t="shared" si="68"/>
        <v>0</v>
      </c>
    </row>
    <row r="391" spans="1:21" x14ac:dyDescent="0.25">
      <c r="A391" s="2">
        <v>390</v>
      </c>
      <c r="B391" s="2">
        <v>1040</v>
      </c>
      <c r="C391" s="2" t="s">
        <v>186</v>
      </c>
      <c r="D391">
        <v>139.25</v>
      </c>
      <c r="E391" s="80">
        <v>48417.35</v>
      </c>
      <c r="F391">
        <v>1977.66</v>
      </c>
      <c r="G391">
        <v>730.98</v>
      </c>
      <c r="H391">
        <v>14465.76</v>
      </c>
      <c r="I391" s="80">
        <v>19679.560000000001</v>
      </c>
      <c r="J391">
        <v>527.5</v>
      </c>
      <c r="K391" s="80">
        <v>11816.63</v>
      </c>
      <c r="L391">
        <f t="shared" si="60"/>
        <v>0</v>
      </c>
      <c r="M391">
        <f t="shared" si="61"/>
        <v>0</v>
      </c>
      <c r="N391">
        <f t="shared" si="62"/>
        <v>0</v>
      </c>
      <c r="O391">
        <f t="shared" si="63"/>
        <v>0</v>
      </c>
      <c r="P391">
        <f t="shared" si="64"/>
        <v>0</v>
      </c>
      <c r="Q391">
        <f t="shared" si="65"/>
        <v>0</v>
      </c>
      <c r="R391">
        <f t="shared" si="66"/>
        <v>0</v>
      </c>
      <c r="S391">
        <f t="shared" si="67"/>
        <v>0</v>
      </c>
      <c r="T391">
        <f t="shared" si="69"/>
        <v>0</v>
      </c>
      <c r="U391">
        <f t="shared" si="68"/>
        <v>0</v>
      </c>
    </row>
    <row r="392" spans="1:21" x14ac:dyDescent="0.25">
      <c r="A392" s="2">
        <v>391</v>
      </c>
      <c r="B392" s="2">
        <v>1040</v>
      </c>
      <c r="C392" s="2" t="s">
        <v>188</v>
      </c>
      <c r="D392">
        <v>154.12</v>
      </c>
      <c r="E392" s="80">
        <v>61685.84</v>
      </c>
      <c r="F392">
        <v>159.35</v>
      </c>
      <c r="G392">
        <v>682.57</v>
      </c>
      <c r="H392">
        <v>3790.52</v>
      </c>
      <c r="I392" s="80">
        <v>18150.3</v>
      </c>
      <c r="J392">
        <v>519.91999999999996</v>
      </c>
      <c r="K392" s="80">
        <v>9359.44</v>
      </c>
      <c r="L392">
        <f t="shared" si="60"/>
        <v>0</v>
      </c>
      <c r="M392">
        <f t="shared" si="61"/>
        <v>0</v>
      </c>
      <c r="N392">
        <f t="shared" si="62"/>
        <v>0</v>
      </c>
      <c r="O392">
        <f t="shared" si="63"/>
        <v>0</v>
      </c>
      <c r="P392">
        <f t="shared" si="64"/>
        <v>0</v>
      </c>
      <c r="Q392">
        <f t="shared" si="65"/>
        <v>0</v>
      </c>
      <c r="R392">
        <f t="shared" si="66"/>
        <v>0</v>
      </c>
      <c r="S392">
        <f t="shared" si="67"/>
        <v>0</v>
      </c>
      <c r="T392">
        <f t="shared" si="69"/>
        <v>0</v>
      </c>
      <c r="U392">
        <f t="shared" si="68"/>
        <v>0</v>
      </c>
    </row>
    <row r="393" spans="1:21" x14ac:dyDescent="0.25">
      <c r="A393" s="2">
        <v>392</v>
      </c>
      <c r="B393" s="2">
        <v>1040</v>
      </c>
      <c r="C393" s="2" t="s">
        <v>182</v>
      </c>
      <c r="D393" t="s">
        <v>583</v>
      </c>
      <c r="E393">
        <v>3729.62</v>
      </c>
      <c r="F393" t="s">
        <v>583</v>
      </c>
      <c r="G393">
        <v>148.85</v>
      </c>
      <c r="H393" t="s">
        <v>583</v>
      </c>
      <c r="I393">
        <v>9.5500000000000007</v>
      </c>
      <c r="J393" s="80">
        <v>3.55</v>
      </c>
      <c r="K393">
        <v>1.96</v>
      </c>
      <c r="L393">
        <f t="shared" si="60"/>
        <v>0</v>
      </c>
      <c r="M393">
        <f t="shared" si="61"/>
        <v>0</v>
      </c>
      <c r="N393">
        <f t="shared" si="62"/>
        <v>0</v>
      </c>
      <c r="O393">
        <f t="shared" si="63"/>
        <v>0</v>
      </c>
      <c r="P393">
        <f t="shared" si="64"/>
        <v>0</v>
      </c>
      <c r="Q393">
        <f t="shared" si="65"/>
        <v>0</v>
      </c>
      <c r="R393">
        <f t="shared" si="66"/>
        <v>0</v>
      </c>
      <c r="S393">
        <f t="shared" si="67"/>
        <v>0</v>
      </c>
      <c r="T393">
        <f t="shared" si="69"/>
        <v>0</v>
      </c>
      <c r="U393">
        <f t="shared" si="68"/>
        <v>0</v>
      </c>
    </row>
    <row r="394" spans="1:21" x14ac:dyDescent="0.25">
      <c r="A394" s="2">
        <v>393</v>
      </c>
      <c r="B394" s="2">
        <v>1040</v>
      </c>
      <c r="C394" s="2" t="s">
        <v>184</v>
      </c>
      <c r="D394">
        <v>27.39</v>
      </c>
      <c r="E394">
        <v>22106.78</v>
      </c>
      <c r="F394">
        <v>82.51</v>
      </c>
      <c r="G394">
        <v>271.68</v>
      </c>
      <c r="H394">
        <v>319.3</v>
      </c>
      <c r="I394" s="80">
        <v>4678.8900000000003</v>
      </c>
      <c r="J394">
        <v>98.48</v>
      </c>
      <c r="K394">
        <v>81.069999999999993</v>
      </c>
      <c r="L394">
        <f t="shared" si="60"/>
        <v>0</v>
      </c>
      <c r="M394">
        <f t="shared" si="61"/>
        <v>0</v>
      </c>
      <c r="N394">
        <f t="shared" si="62"/>
        <v>0</v>
      </c>
      <c r="O394">
        <f t="shared" si="63"/>
        <v>0</v>
      </c>
      <c r="P394">
        <f t="shared" si="64"/>
        <v>0</v>
      </c>
      <c r="Q394">
        <f t="shared" si="65"/>
        <v>0</v>
      </c>
      <c r="R394">
        <f t="shared" si="66"/>
        <v>0</v>
      </c>
      <c r="S394">
        <f t="shared" si="67"/>
        <v>0</v>
      </c>
      <c r="T394">
        <f t="shared" si="69"/>
        <v>0</v>
      </c>
      <c r="U394">
        <f t="shared" si="68"/>
        <v>0</v>
      </c>
    </row>
    <row r="395" spans="1:21" x14ac:dyDescent="0.25">
      <c r="A395" s="2">
        <v>394</v>
      </c>
      <c r="B395" s="2">
        <v>1040</v>
      </c>
      <c r="C395" s="2" t="s">
        <v>187</v>
      </c>
      <c r="D395">
        <v>60.54</v>
      </c>
      <c r="E395" s="80">
        <v>33534.720000000001</v>
      </c>
      <c r="F395">
        <v>299.06</v>
      </c>
      <c r="G395">
        <v>358.36</v>
      </c>
      <c r="H395">
        <v>4247.53</v>
      </c>
      <c r="I395" s="80">
        <v>11288.69</v>
      </c>
      <c r="J395">
        <v>206.89</v>
      </c>
      <c r="K395">
        <v>1886.83</v>
      </c>
      <c r="L395">
        <f t="shared" si="60"/>
        <v>0</v>
      </c>
      <c r="M395">
        <f t="shared" si="61"/>
        <v>0</v>
      </c>
      <c r="N395">
        <f t="shared" si="62"/>
        <v>0</v>
      </c>
      <c r="O395">
        <f t="shared" si="63"/>
        <v>0</v>
      </c>
      <c r="P395">
        <f t="shared" si="64"/>
        <v>0</v>
      </c>
      <c r="Q395">
        <f t="shared" si="65"/>
        <v>0</v>
      </c>
      <c r="R395">
        <f t="shared" si="66"/>
        <v>0</v>
      </c>
      <c r="S395">
        <f t="shared" si="67"/>
        <v>0</v>
      </c>
      <c r="T395">
        <f t="shared" si="69"/>
        <v>0</v>
      </c>
      <c r="U395">
        <f t="shared" si="68"/>
        <v>0</v>
      </c>
    </row>
    <row r="396" spans="1:21" x14ac:dyDescent="0.25">
      <c r="A396" s="2">
        <v>395</v>
      </c>
      <c r="B396" s="2">
        <v>1040</v>
      </c>
      <c r="C396" s="2" t="s">
        <v>189</v>
      </c>
      <c r="D396">
        <v>33.82</v>
      </c>
      <c r="E396">
        <v>21255.42</v>
      </c>
      <c r="F396">
        <v>47.28</v>
      </c>
      <c r="G396">
        <v>314.61</v>
      </c>
      <c r="H396">
        <v>172.48</v>
      </c>
      <c r="I396" s="80">
        <v>2961.61</v>
      </c>
      <c r="J396">
        <v>114.06</v>
      </c>
      <c r="K396">
        <v>166.54</v>
      </c>
      <c r="L396">
        <f t="shared" si="60"/>
        <v>0</v>
      </c>
      <c r="M396">
        <f t="shared" si="61"/>
        <v>0</v>
      </c>
      <c r="N396">
        <f t="shared" si="62"/>
        <v>0</v>
      </c>
      <c r="O396">
        <f t="shared" si="63"/>
        <v>0</v>
      </c>
      <c r="P396">
        <f t="shared" si="64"/>
        <v>0</v>
      </c>
      <c r="Q396">
        <f t="shared" si="65"/>
        <v>0</v>
      </c>
      <c r="R396">
        <f t="shared" si="66"/>
        <v>0</v>
      </c>
      <c r="S396">
        <f t="shared" si="67"/>
        <v>0</v>
      </c>
      <c r="T396">
        <f t="shared" si="69"/>
        <v>0</v>
      </c>
      <c r="U396">
        <f t="shared" si="68"/>
        <v>0</v>
      </c>
    </row>
    <row r="397" spans="1:21" x14ac:dyDescent="0.25">
      <c r="A397" s="2">
        <v>396</v>
      </c>
      <c r="B397" s="2" t="s">
        <v>602</v>
      </c>
      <c r="C397" s="2" t="s">
        <v>162</v>
      </c>
      <c r="D397" t="s">
        <v>583</v>
      </c>
      <c r="E397">
        <v>532.22</v>
      </c>
      <c r="F397" t="s">
        <v>583</v>
      </c>
      <c r="G397" t="s">
        <v>583</v>
      </c>
      <c r="H397">
        <v>13.98</v>
      </c>
      <c r="I397">
        <v>13.96</v>
      </c>
      <c r="J397" t="s">
        <v>583</v>
      </c>
      <c r="K397">
        <v>25.67</v>
      </c>
      <c r="L397">
        <f t="shared" si="60"/>
        <v>0</v>
      </c>
      <c r="M397">
        <f t="shared" si="61"/>
        <v>0</v>
      </c>
      <c r="N397">
        <f t="shared" si="62"/>
        <v>0</v>
      </c>
      <c r="O397">
        <f t="shared" si="63"/>
        <v>0</v>
      </c>
      <c r="P397">
        <f t="shared" si="64"/>
        <v>0</v>
      </c>
      <c r="Q397">
        <f t="shared" si="65"/>
        <v>0</v>
      </c>
      <c r="R397">
        <f t="shared" si="66"/>
        <v>0</v>
      </c>
      <c r="S397">
        <f t="shared" si="67"/>
        <v>0</v>
      </c>
      <c r="T397">
        <f t="shared" si="69"/>
        <v>0</v>
      </c>
      <c r="U397">
        <f t="shared" si="68"/>
        <v>0</v>
      </c>
    </row>
    <row r="398" spans="1:21" x14ac:dyDescent="0.25">
      <c r="A398" s="2">
        <v>397</v>
      </c>
      <c r="B398" s="2" t="s">
        <v>602</v>
      </c>
      <c r="C398" s="2" t="s">
        <v>170</v>
      </c>
      <c r="D398" t="s">
        <v>583</v>
      </c>
      <c r="E398">
        <v>724.53</v>
      </c>
      <c r="F398">
        <v>4.59</v>
      </c>
      <c r="G398">
        <v>9.33</v>
      </c>
      <c r="H398">
        <v>154.15</v>
      </c>
      <c r="I398">
        <v>378.51</v>
      </c>
      <c r="J398" t="s">
        <v>583</v>
      </c>
      <c r="K398">
        <v>35.4</v>
      </c>
      <c r="L398">
        <f t="shared" si="60"/>
        <v>0</v>
      </c>
      <c r="M398">
        <f t="shared" si="61"/>
        <v>0</v>
      </c>
      <c r="N398">
        <f t="shared" si="62"/>
        <v>0</v>
      </c>
      <c r="O398">
        <f t="shared" si="63"/>
        <v>0</v>
      </c>
      <c r="P398">
        <f t="shared" si="64"/>
        <v>0</v>
      </c>
      <c r="Q398">
        <f t="shared" si="65"/>
        <v>0</v>
      </c>
      <c r="R398">
        <f t="shared" si="66"/>
        <v>0</v>
      </c>
      <c r="S398">
        <f t="shared" si="67"/>
        <v>0</v>
      </c>
      <c r="T398">
        <f t="shared" si="69"/>
        <v>0</v>
      </c>
      <c r="U398">
        <f t="shared" si="68"/>
        <v>0</v>
      </c>
    </row>
    <row r="399" spans="1:21" x14ac:dyDescent="0.25">
      <c r="A399" s="2">
        <v>398</v>
      </c>
      <c r="B399" s="2" t="s">
        <v>602</v>
      </c>
      <c r="C399" s="2" t="s">
        <v>178</v>
      </c>
      <c r="D399" t="s">
        <v>583</v>
      </c>
      <c r="E399">
        <v>412.7</v>
      </c>
      <c r="F399">
        <v>9.1</v>
      </c>
      <c r="G399">
        <v>9.33</v>
      </c>
      <c r="H399">
        <v>500.04</v>
      </c>
      <c r="I399">
        <v>917.25</v>
      </c>
      <c r="J399" t="s">
        <v>583</v>
      </c>
      <c r="K399">
        <v>107.33</v>
      </c>
      <c r="L399">
        <f t="shared" si="60"/>
        <v>0</v>
      </c>
      <c r="M399">
        <f t="shared" si="61"/>
        <v>0</v>
      </c>
      <c r="N399">
        <f t="shared" si="62"/>
        <v>0</v>
      </c>
      <c r="O399">
        <f t="shared" si="63"/>
        <v>0</v>
      </c>
      <c r="P399">
        <f t="shared" si="64"/>
        <v>0</v>
      </c>
      <c r="Q399">
        <f t="shared" si="65"/>
        <v>0</v>
      </c>
      <c r="R399">
        <f t="shared" si="66"/>
        <v>0</v>
      </c>
      <c r="S399">
        <f t="shared" si="67"/>
        <v>0</v>
      </c>
      <c r="T399">
        <f t="shared" si="69"/>
        <v>0</v>
      </c>
      <c r="U399">
        <f t="shared" si="68"/>
        <v>0</v>
      </c>
    </row>
    <row r="400" spans="1:21" x14ac:dyDescent="0.25">
      <c r="A400" s="2">
        <v>399</v>
      </c>
      <c r="B400" s="2" t="s">
        <v>602</v>
      </c>
      <c r="C400" s="2" t="s">
        <v>163</v>
      </c>
      <c r="D400">
        <v>33.82</v>
      </c>
      <c r="E400" s="80">
        <v>29446.71</v>
      </c>
      <c r="F400">
        <v>7.73</v>
      </c>
      <c r="G400">
        <v>209.02</v>
      </c>
      <c r="H400">
        <v>10.91</v>
      </c>
      <c r="I400">
        <v>3.69</v>
      </c>
      <c r="J400">
        <v>98.48</v>
      </c>
      <c r="K400">
        <v>9.75</v>
      </c>
      <c r="L400">
        <f t="shared" si="60"/>
        <v>0</v>
      </c>
      <c r="M400">
        <f t="shared" si="61"/>
        <v>0</v>
      </c>
      <c r="N400">
        <f t="shared" si="62"/>
        <v>0</v>
      </c>
      <c r="O400">
        <f t="shared" si="63"/>
        <v>0</v>
      </c>
      <c r="P400">
        <f t="shared" si="64"/>
        <v>0</v>
      </c>
      <c r="Q400">
        <f t="shared" si="65"/>
        <v>0</v>
      </c>
      <c r="R400">
        <f t="shared" si="66"/>
        <v>0</v>
      </c>
      <c r="S400">
        <f t="shared" si="67"/>
        <v>0</v>
      </c>
      <c r="T400">
        <f t="shared" si="69"/>
        <v>0</v>
      </c>
      <c r="U400">
        <f t="shared" si="68"/>
        <v>0</v>
      </c>
    </row>
    <row r="401" spans="1:21" x14ac:dyDescent="0.25">
      <c r="A401" s="2">
        <v>400</v>
      </c>
      <c r="B401" s="2" t="s">
        <v>602</v>
      </c>
      <c r="C401" s="2" t="s">
        <v>181</v>
      </c>
      <c r="D401">
        <v>33.82</v>
      </c>
      <c r="E401" s="80">
        <v>40507.58</v>
      </c>
      <c r="F401">
        <v>9.76</v>
      </c>
      <c r="G401">
        <v>229.65</v>
      </c>
      <c r="H401">
        <v>121.58</v>
      </c>
      <c r="I401">
        <v>25.18</v>
      </c>
      <c r="J401">
        <v>160.59</v>
      </c>
      <c r="K401">
        <v>25.19</v>
      </c>
      <c r="L401">
        <f t="shared" si="60"/>
        <v>0</v>
      </c>
      <c r="M401">
        <f t="shared" si="61"/>
        <v>0</v>
      </c>
      <c r="N401">
        <f t="shared" si="62"/>
        <v>0</v>
      </c>
      <c r="O401">
        <f t="shared" si="63"/>
        <v>0</v>
      </c>
      <c r="P401">
        <f t="shared" si="64"/>
        <v>0</v>
      </c>
      <c r="Q401">
        <f t="shared" si="65"/>
        <v>0</v>
      </c>
      <c r="R401">
        <f t="shared" si="66"/>
        <v>0</v>
      </c>
      <c r="S401">
        <f t="shared" si="67"/>
        <v>0</v>
      </c>
      <c r="T401">
        <f t="shared" si="69"/>
        <v>0</v>
      </c>
      <c r="U401">
        <f t="shared" si="68"/>
        <v>0</v>
      </c>
    </row>
    <row r="402" spans="1:21" x14ac:dyDescent="0.25">
      <c r="A402" s="2">
        <v>401</v>
      </c>
      <c r="B402" s="2" t="s">
        <v>602</v>
      </c>
      <c r="C402" s="2" t="s">
        <v>183</v>
      </c>
      <c r="D402">
        <v>109.96</v>
      </c>
      <c r="E402" s="80">
        <v>56774.41</v>
      </c>
      <c r="F402">
        <v>247.84</v>
      </c>
      <c r="G402">
        <v>730.98</v>
      </c>
      <c r="H402">
        <v>4826.79</v>
      </c>
      <c r="I402" s="80">
        <v>18434</v>
      </c>
      <c r="J402">
        <v>451.57</v>
      </c>
      <c r="K402">
        <v>6210.42</v>
      </c>
      <c r="L402">
        <f t="shared" si="60"/>
        <v>0</v>
      </c>
      <c r="M402">
        <f t="shared" si="61"/>
        <v>0</v>
      </c>
      <c r="N402">
        <f t="shared" si="62"/>
        <v>0</v>
      </c>
      <c r="O402">
        <f t="shared" si="63"/>
        <v>0</v>
      </c>
      <c r="P402">
        <f t="shared" si="64"/>
        <v>0</v>
      </c>
      <c r="Q402">
        <f t="shared" si="65"/>
        <v>0</v>
      </c>
      <c r="R402">
        <f t="shared" si="66"/>
        <v>0</v>
      </c>
      <c r="S402">
        <f t="shared" si="67"/>
        <v>0</v>
      </c>
      <c r="T402">
        <f t="shared" si="69"/>
        <v>0</v>
      </c>
      <c r="U402">
        <f t="shared" si="68"/>
        <v>0</v>
      </c>
    </row>
    <row r="403" spans="1:21" x14ac:dyDescent="0.25">
      <c r="A403" s="2">
        <v>402</v>
      </c>
      <c r="B403" s="2" t="s">
        <v>602</v>
      </c>
      <c r="C403" s="2" t="s">
        <v>186</v>
      </c>
      <c r="D403">
        <v>146.66999999999999</v>
      </c>
      <c r="E403" s="80">
        <v>47783.79</v>
      </c>
      <c r="F403">
        <v>1604.45</v>
      </c>
      <c r="G403">
        <v>779.84</v>
      </c>
      <c r="H403" s="80">
        <v>25233.31</v>
      </c>
      <c r="I403" s="80">
        <v>19035.75</v>
      </c>
      <c r="J403">
        <v>542.66999999999996</v>
      </c>
      <c r="K403" s="80">
        <v>11237.02</v>
      </c>
      <c r="L403">
        <f t="shared" si="60"/>
        <v>0</v>
      </c>
      <c r="M403">
        <f t="shared" si="61"/>
        <v>0</v>
      </c>
      <c r="N403">
        <f t="shared" si="62"/>
        <v>0</v>
      </c>
      <c r="O403">
        <f t="shared" si="63"/>
        <v>0</v>
      </c>
      <c r="P403">
        <f t="shared" si="64"/>
        <v>0</v>
      </c>
      <c r="Q403">
        <f t="shared" si="65"/>
        <v>0</v>
      </c>
      <c r="R403">
        <f t="shared" si="66"/>
        <v>0</v>
      </c>
      <c r="S403">
        <f t="shared" si="67"/>
        <v>0</v>
      </c>
      <c r="T403">
        <f t="shared" si="69"/>
        <v>0</v>
      </c>
      <c r="U403">
        <f t="shared" si="68"/>
        <v>0</v>
      </c>
    </row>
    <row r="404" spans="1:21" x14ac:dyDescent="0.25">
      <c r="A404" s="2">
        <v>403</v>
      </c>
      <c r="B404" s="2" t="s">
        <v>602</v>
      </c>
      <c r="C404" s="2" t="s">
        <v>188</v>
      </c>
      <c r="D404">
        <v>74.37</v>
      </c>
      <c r="E404" s="80">
        <v>59885.22</v>
      </c>
      <c r="F404">
        <v>16.25</v>
      </c>
      <c r="G404">
        <v>380.52</v>
      </c>
      <c r="H404">
        <v>574.47</v>
      </c>
      <c r="I404">
        <v>2246.48</v>
      </c>
      <c r="J404">
        <v>268.37</v>
      </c>
      <c r="K404">
        <v>582.77</v>
      </c>
      <c r="L404">
        <f t="shared" si="60"/>
        <v>0</v>
      </c>
      <c r="M404">
        <f t="shared" si="61"/>
        <v>0</v>
      </c>
      <c r="N404">
        <f t="shared" si="62"/>
        <v>0</v>
      </c>
      <c r="O404">
        <f t="shared" si="63"/>
        <v>0</v>
      </c>
      <c r="P404">
        <f t="shared" si="64"/>
        <v>0</v>
      </c>
      <c r="Q404">
        <f t="shared" si="65"/>
        <v>0</v>
      </c>
      <c r="R404">
        <f t="shared" si="66"/>
        <v>0</v>
      </c>
      <c r="S404">
        <f t="shared" si="67"/>
        <v>0</v>
      </c>
      <c r="T404">
        <f t="shared" si="69"/>
        <v>0</v>
      </c>
      <c r="U404">
        <f t="shared" si="68"/>
        <v>0</v>
      </c>
    </row>
    <row r="405" spans="1:21" x14ac:dyDescent="0.25">
      <c r="A405" s="2">
        <v>404</v>
      </c>
      <c r="B405" s="2" t="s">
        <v>602</v>
      </c>
      <c r="C405" s="2" t="s">
        <v>182</v>
      </c>
      <c r="D405" t="s">
        <v>583</v>
      </c>
      <c r="E405">
        <v>1482.59</v>
      </c>
      <c r="F405" t="s">
        <v>583</v>
      </c>
      <c r="G405" t="s">
        <v>583</v>
      </c>
      <c r="H405" t="s">
        <v>583</v>
      </c>
      <c r="I405">
        <v>2.73</v>
      </c>
      <c r="J405" s="80">
        <v>3.55</v>
      </c>
      <c r="K405" t="s">
        <v>583</v>
      </c>
      <c r="L405">
        <f t="shared" si="60"/>
        <v>0</v>
      </c>
      <c r="M405">
        <f t="shared" si="61"/>
        <v>0</v>
      </c>
      <c r="N405">
        <f t="shared" si="62"/>
        <v>0</v>
      </c>
      <c r="O405">
        <f t="shared" si="63"/>
        <v>0</v>
      </c>
      <c r="P405">
        <f t="shared" si="64"/>
        <v>0</v>
      </c>
      <c r="Q405">
        <f t="shared" si="65"/>
        <v>0</v>
      </c>
      <c r="R405">
        <f t="shared" si="66"/>
        <v>0</v>
      </c>
      <c r="S405">
        <f t="shared" si="67"/>
        <v>0</v>
      </c>
      <c r="T405">
        <f t="shared" si="69"/>
        <v>0</v>
      </c>
      <c r="U405">
        <f t="shared" si="68"/>
        <v>0</v>
      </c>
    </row>
    <row r="406" spans="1:21" x14ac:dyDescent="0.25">
      <c r="A406" s="2">
        <v>405</v>
      </c>
      <c r="B406" s="2" t="s">
        <v>602</v>
      </c>
      <c r="C406" s="2" t="s">
        <v>184</v>
      </c>
      <c r="D406">
        <v>53.73</v>
      </c>
      <c r="E406">
        <v>22324.720000000001</v>
      </c>
      <c r="F406">
        <v>730.11</v>
      </c>
      <c r="G406">
        <v>358.36</v>
      </c>
      <c r="H406">
        <v>7350.27</v>
      </c>
      <c r="I406" s="80">
        <v>15293.76</v>
      </c>
      <c r="J406">
        <v>222.29</v>
      </c>
      <c r="K406">
        <v>3391.21</v>
      </c>
      <c r="L406">
        <f t="shared" si="60"/>
        <v>0</v>
      </c>
      <c r="M406">
        <f t="shared" si="61"/>
        <v>0</v>
      </c>
      <c r="N406">
        <f t="shared" si="62"/>
        <v>0</v>
      </c>
      <c r="O406">
        <f t="shared" si="63"/>
        <v>0</v>
      </c>
      <c r="P406">
        <f t="shared" si="64"/>
        <v>0</v>
      </c>
      <c r="Q406">
        <f t="shared" si="65"/>
        <v>0</v>
      </c>
      <c r="R406">
        <f t="shared" si="66"/>
        <v>0</v>
      </c>
      <c r="S406">
        <f t="shared" si="67"/>
        <v>0</v>
      </c>
      <c r="T406">
        <f t="shared" si="69"/>
        <v>0</v>
      </c>
      <c r="U406">
        <f t="shared" si="68"/>
        <v>0</v>
      </c>
    </row>
    <row r="407" spans="1:21" x14ac:dyDescent="0.25">
      <c r="A407" s="2">
        <v>406</v>
      </c>
      <c r="B407" s="2" t="s">
        <v>602</v>
      </c>
      <c r="C407" s="2" t="s">
        <v>187</v>
      </c>
      <c r="D407">
        <v>169.14</v>
      </c>
      <c r="E407" s="80">
        <v>26288.22</v>
      </c>
      <c r="F407">
        <v>709.16</v>
      </c>
      <c r="G407">
        <v>682.57</v>
      </c>
      <c r="H407" s="80">
        <v>35603.74</v>
      </c>
      <c r="I407" s="80">
        <v>16222.5</v>
      </c>
      <c r="J407">
        <v>428.75</v>
      </c>
      <c r="K407" s="80">
        <v>11193.52</v>
      </c>
      <c r="L407">
        <f t="shared" si="60"/>
        <v>0</v>
      </c>
      <c r="M407">
        <f t="shared" si="61"/>
        <v>0</v>
      </c>
      <c r="N407">
        <f t="shared" si="62"/>
        <v>0</v>
      </c>
      <c r="O407">
        <f t="shared" si="63"/>
        <v>0</v>
      </c>
      <c r="P407">
        <f t="shared" si="64"/>
        <v>0</v>
      </c>
      <c r="Q407">
        <f t="shared" si="65"/>
        <v>0</v>
      </c>
      <c r="R407">
        <f t="shared" si="66"/>
        <v>0</v>
      </c>
      <c r="S407">
        <f t="shared" si="67"/>
        <v>0</v>
      </c>
      <c r="T407">
        <f t="shared" si="69"/>
        <v>0</v>
      </c>
      <c r="U407">
        <f t="shared" si="68"/>
        <v>0</v>
      </c>
    </row>
    <row r="408" spans="1:21" x14ac:dyDescent="0.25">
      <c r="A408" s="2">
        <v>407</v>
      </c>
      <c r="B408" s="2" t="s">
        <v>602</v>
      </c>
      <c r="C408" s="2" t="s">
        <v>189</v>
      </c>
      <c r="D408">
        <v>74.37</v>
      </c>
      <c r="E408" s="80">
        <v>27819.65</v>
      </c>
      <c r="F408">
        <v>52.98</v>
      </c>
      <c r="G408">
        <v>358.36</v>
      </c>
      <c r="H408">
        <v>3369.91</v>
      </c>
      <c r="I408" s="80">
        <v>10921.76</v>
      </c>
      <c r="J408">
        <v>283.7</v>
      </c>
      <c r="K408">
        <v>7740.87</v>
      </c>
      <c r="L408">
        <f t="shared" si="60"/>
        <v>0</v>
      </c>
      <c r="M408">
        <f t="shared" si="61"/>
        <v>0</v>
      </c>
      <c r="N408">
        <f t="shared" si="62"/>
        <v>0</v>
      </c>
      <c r="O408">
        <f t="shared" si="63"/>
        <v>0</v>
      </c>
      <c r="P408">
        <f t="shared" si="64"/>
        <v>0</v>
      </c>
      <c r="Q408">
        <f t="shared" si="65"/>
        <v>0</v>
      </c>
      <c r="R408">
        <f t="shared" si="66"/>
        <v>0</v>
      </c>
      <c r="S408">
        <f t="shared" si="67"/>
        <v>0</v>
      </c>
      <c r="T408">
        <f t="shared" si="69"/>
        <v>0</v>
      </c>
      <c r="U408">
        <f t="shared" si="68"/>
        <v>0</v>
      </c>
    </row>
    <row r="409" spans="1:21" x14ac:dyDescent="0.25">
      <c r="A409" s="2">
        <v>408</v>
      </c>
      <c r="B409" s="2" t="s">
        <v>603</v>
      </c>
      <c r="C409" s="2" t="s">
        <v>162</v>
      </c>
      <c r="D409">
        <v>21.11</v>
      </c>
      <c r="E409">
        <v>24034.79</v>
      </c>
      <c r="F409">
        <v>6.24</v>
      </c>
      <c r="G409">
        <v>148.85</v>
      </c>
      <c r="H409">
        <v>7.81</v>
      </c>
      <c r="I409">
        <v>4.3499999999999996</v>
      </c>
      <c r="J409">
        <v>98.48</v>
      </c>
      <c r="K409">
        <v>12.48</v>
      </c>
      <c r="L409">
        <f t="shared" si="60"/>
        <v>0</v>
      </c>
      <c r="M409">
        <f t="shared" si="61"/>
        <v>0</v>
      </c>
      <c r="N409">
        <f t="shared" si="62"/>
        <v>0</v>
      </c>
      <c r="O409">
        <f t="shared" si="63"/>
        <v>0</v>
      </c>
      <c r="P409">
        <f t="shared" si="64"/>
        <v>0</v>
      </c>
      <c r="Q409">
        <f t="shared" si="65"/>
        <v>0</v>
      </c>
      <c r="R409">
        <f t="shared" si="66"/>
        <v>0</v>
      </c>
      <c r="S409">
        <f t="shared" si="67"/>
        <v>0</v>
      </c>
      <c r="T409">
        <f t="shared" si="69"/>
        <v>0</v>
      </c>
      <c r="U409">
        <f t="shared" si="68"/>
        <v>0</v>
      </c>
    </row>
    <row r="410" spans="1:21" x14ac:dyDescent="0.25">
      <c r="A410" s="2">
        <v>409</v>
      </c>
      <c r="B410" s="2" t="s">
        <v>603</v>
      </c>
      <c r="C410" s="2" t="s">
        <v>170</v>
      </c>
      <c r="D410">
        <v>47</v>
      </c>
      <c r="E410">
        <v>19298.62</v>
      </c>
      <c r="F410">
        <v>216.26</v>
      </c>
      <c r="G410">
        <v>229.65</v>
      </c>
      <c r="H410">
        <v>1840.75</v>
      </c>
      <c r="I410" s="80">
        <v>8228.92</v>
      </c>
      <c r="J410">
        <v>176.04</v>
      </c>
      <c r="K410">
        <v>1373.9</v>
      </c>
      <c r="L410">
        <f t="shared" si="60"/>
        <v>0</v>
      </c>
      <c r="M410">
        <f t="shared" si="61"/>
        <v>0</v>
      </c>
      <c r="N410">
        <f t="shared" si="62"/>
        <v>0</v>
      </c>
      <c r="O410">
        <f t="shared" si="63"/>
        <v>0</v>
      </c>
      <c r="P410">
        <f t="shared" si="64"/>
        <v>0</v>
      </c>
      <c r="Q410">
        <f t="shared" si="65"/>
        <v>0</v>
      </c>
      <c r="R410">
        <f t="shared" si="66"/>
        <v>0</v>
      </c>
      <c r="S410">
        <f t="shared" si="67"/>
        <v>0</v>
      </c>
      <c r="T410">
        <f t="shared" si="69"/>
        <v>0</v>
      </c>
      <c r="U410">
        <f t="shared" si="68"/>
        <v>0</v>
      </c>
    </row>
    <row r="411" spans="1:21" x14ac:dyDescent="0.25">
      <c r="A411" s="2">
        <v>410</v>
      </c>
      <c r="B411" s="2" t="s">
        <v>603</v>
      </c>
      <c r="C411" s="2" t="s">
        <v>178</v>
      </c>
      <c r="D411">
        <v>81.38</v>
      </c>
      <c r="E411">
        <v>17634.68</v>
      </c>
      <c r="F411">
        <v>1395.55</v>
      </c>
      <c r="G411">
        <v>314.61</v>
      </c>
      <c r="H411">
        <v>8010.27</v>
      </c>
      <c r="I411" s="80">
        <v>13518.52</v>
      </c>
      <c r="J411">
        <v>276.02999999999997</v>
      </c>
      <c r="K411">
        <v>3141.71</v>
      </c>
      <c r="L411">
        <f t="shared" si="60"/>
        <v>0</v>
      </c>
      <c r="M411">
        <f t="shared" si="61"/>
        <v>0</v>
      </c>
      <c r="N411">
        <f t="shared" si="62"/>
        <v>0</v>
      </c>
      <c r="O411">
        <f t="shared" si="63"/>
        <v>0</v>
      </c>
      <c r="P411">
        <f t="shared" si="64"/>
        <v>0</v>
      </c>
      <c r="Q411">
        <f t="shared" si="65"/>
        <v>0</v>
      </c>
      <c r="R411">
        <f t="shared" si="66"/>
        <v>0</v>
      </c>
      <c r="S411">
        <f t="shared" si="67"/>
        <v>0</v>
      </c>
      <c r="T411">
        <f t="shared" si="69"/>
        <v>0</v>
      </c>
      <c r="U411">
        <f t="shared" si="68"/>
        <v>0</v>
      </c>
    </row>
    <row r="412" spans="1:21" x14ac:dyDescent="0.25">
      <c r="A412" s="2">
        <v>411</v>
      </c>
      <c r="B412" s="2" t="s">
        <v>603</v>
      </c>
      <c r="C412" s="2" t="s">
        <v>163</v>
      </c>
      <c r="D412">
        <v>74.37</v>
      </c>
      <c r="E412" s="80">
        <v>35238.26</v>
      </c>
      <c r="F412">
        <v>71.37</v>
      </c>
      <c r="G412">
        <v>380.52</v>
      </c>
      <c r="H412">
        <v>1301.24</v>
      </c>
      <c r="I412">
        <v>2586.27</v>
      </c>
      <c r="J412">
        <v>237.66</v>
      </c>
      <c r="K412">
        <v>5132.46</v>
      </c>
      <c r="L412">
        <f t="shared" si="60"/>
        <v>0</v>
      </c>
      <c r="M412">
        <f t="shared" si="61"/>
        <v>0</v>
      </c>
      <c r="N412">
        <f t="shared" si="62"/>
        <v>0</v>
      </c>
      <c r="O412">
        <f t="shared" si="63"/>
        <v>0</v>
      </c>
      <c r="P412">
        <f t="shared" si="64"/>
        <v>0</v>
      </c>
      <c r="Q412">
        <f t="shared" si="65"/>
        <v>0</v>
      </c>
      <c r="R412">
        <f t="shared" si="66"/>
        <v>0</v>
      </c>
      <c r="S412">
        <f t="shared" si="67"/>
        <v>0</v>
      </c>
      <c r="T412">
        <f t="shared" si="69"/>
        <v>0</v>
      </c>
      <c r="U412">
        <f t="shared" si="68"/>
        <v>0</v>
      </c>
    </row>
    <row r="413" spans="1:21" x14ac:dyDescent="0.25">
      <c r="A413" s="2">
        <v>412</v>
      </c>
      <c r="B413" s="2" t="s">
        <v>603</v>
      </c>
      <c r="C413" s="2" t="s">
        <v>181</v>
      </c>
      <c r="D413">
        <v>47</v>
      </c>
      <c r="E413" s="80">
        <v>43340.59</v>
      </c>
      <c r="F413">
        <v>8.43</v>
      </c>
      <c r="G413">
        <v>250.55</v>
      </c>
      <c r="H413">
        <v>176.7</v>
      </c>
      <c r="I413">
        <v>197.72</v>
      </c>
      <c r="J413">
        <v>176.04</v>
      </c>
      <c r="K413">
        <v>172.01</v>
      </c>
      <c r="L413">
        <f t="shared" si="60"/>
        <v>0</v>
      </c>
      <c r="M413">
        <f t="shared" si="61"/>
        <v>0</v>
      </c>
      <c r="N413">
        <f t="shared" si="62"/>
        <v>0</v>
      </c>
      <c r="O413">
        <f t="shared" si="63"/>
        <v>0</v>
      </c>
      <c r="P413">
        <f t="shared" si="64"/>
        <v>0</v>
      </c>
      <c r="Q413">
        <f t="shared" si="65"/>
        <v>0</v>
      </c>
      <c r="R413">
        <f t="shared" si="66"/>
        <v>0</v>
      </c>
      <c r="S413">
        <f t="shared" si="67"/>
        <v>0</v>
      </c>
      <c r="T413">
        <f t="shared" si="69"/>
        <v>0</v>
      </c>
      <c r="U413">
        <f t="shared" si="68"/>
        <v>0</v>
      </c>
    </row>
    <row r="414" spans="1:21" x14ac:dyDescent="0.25">
      <c r="A414" s="2">
        <v>413</v>
      </c>
      <c r="B414" s="2" t="s">
        <v>603</v>
      </c>
      <c r="C414" s="2" t="s">
        <v>183</v>
      </c>
      <c r="D414">
        <v>74.37</v>
      </c>
      <c r="E414" s="80">
        <v>29918.95</v>
      </c>
      <c r="F414">
        <v>281.25</v>
      </c>
      <c r="G414">
        <v>380.52</v>
      </c>
      <c r="H414">
        <v>6380.03</v>
      </c>
      <c r="I414" s="80">
        <v>13818.27</v>
      </c>
      <c r="J414">
        <v>299.02</v>
      </c>
      <c r="K414">
        <v>7788.96</v>
      </c>
      <c r="L414">
        <f t="shared" si="60"/>
        <v>0</v>
      </c>
      <c r="M414">
        <f t="shared" si="61"/>
        <v>0</v>
      </c>
      <c r="N414">
        <f t="shared" si="62"/>
        <v>0</v>
      </c>
      <c r="O414">
        <f t="shared" si="63"/>
        <v>0</v>
      </c>
      <c r="P414">
        <f t="shared" si="64"/>
        <v>0</v>
      </c>
      <c r="Q414">
        <f t="shared" si="65"/>
        <v>0</v>
      </c>
      <c r="R414">
        <f t="shared" si="66"/>
        <v>0</v>
      </c>
      <c r="S414">
        <f t="shared" si="67"/>
        <v>0</v>
      </c>
      <c r="T414">
        <f t="shared" si="69"/>
        <v>0</v>
      </c>
      <c r="U414">
        <f t="shared" si="68"/>
        <v>0</v>
      </c>
    </row>
    <row r="415" spans="1:21" x14ac:dyDescent="0.25">
      <c r="A415" s="2">
        <v>414</v>
      </c>
      <c r="B415" s="2" t="s">
        <v>603</v>
      </c>
      <c r="C415" s="2" t="s">
        <v>188</v>
      </c>
      <c r="D415">
        <v>120.86</v>
      </c>
      <c r="E415" s="80">
        <v>47104.5</v>
      </c>
      <c r="F415">
        <v>139.36000000000001</v>
      </c>
      <c r="G415">
        <v>448.02</v>
      </c>
      <c r="H415">
        <v>2133.5100000000002</v>
      </c>
      <c r="I415" s="80">
        <v>7606.45</v>
      </c>
      <c r="J415">
        <v>405.91</v>
      </c>
      <c r="K415" s="80">
        <v>10926.25</v>
      </c>
      <c r="L415">
        <f t="shared" si="60"/>
        <v>0</v>
      </c>
      <c r="M415">
        <f t="shared" si="61"/>
        <v>0</v>
      </c>
      <c r="N415">
        <f t="shared" si="62"/>
        <v>0</v>
      </c>
      <c r="O415">
        <f t="shared" si="63"/>
        <v>0</v>
      </c>
      <c r="P415">
        <f t="shared" si="64"/>
        <v>0</v>
      </c>
      <c r="Q415">
        <f t="shared" si="65"/>
        <v>0</v>
      </c>
      <c r="R415">
        <f t="shared" si="66"/>
        <v>0</v>
      </c>
      <c r="S415">
        <f t="shared" si="67"/>
        <v>0</v>
      </c>
      <c r="T415">
        <f t="shared" si="69"/>
        <v>0</v>
      </c>
      <c r="U415">
        <f t="shared" si="68"/>
        <v>0</v>
      </c>
    </row>
    <row r="416" spans="1:21" x14ac:dyDescent="0.25">
      <c r="A416" s="2">
        <v>415</v>
      </c>
      <c r="B416" s="2" t="s">
        <v>603</v>
      </c>
      <c r="C416" s="2" t="s">
        <v>182</v>
      </c>
      <c r="D416" t="s">
        <v>583</v>
      </c>
      <c r="E416">
        <v>2460.65</v>
      </c>
      <c r="F416" t="s">
        <v>583</v>
      </c>
      <c r="G416" s="80">
        <v>9.33</v>
      </c>
      <c r="H416">
        <v>3.06</v>
      </c>
      <c r="I416">
        <v>0.91</v>
      </c>
      <c r="J416" t="s">
        <v>583</v>
      </c>
      <c r="K416">
        <v>1.56</v>
      </c>
      <c r="L416">
        <f t="shared" si="60"/>
        <v>0</v>
      </c>
      <c r="M416">
        <f t="shared" si="61"/>
        <v>0</v>
      </c>
      <c r="N416">
        <f t="shared" si="62"/>
        <v>0</v>
      </c>
      <c r="O416">
        <f t="shared" si="63"/>
        <v>0</v>
      </c>
      <c r="P416">
        <f t="shared" si="64"/>
        <v>0</v>
      </c>
      <c r="Q416">
        <f t="shared" si="65"/>
        <v>0</v>
      </c>
      <c r="R416">
        <f t="shared" si="66"/>
        <v>0</v>
      </c>
      <c r="S416">
        <f t="shared" si="67"/>
        <v>0</v>
      </c>
      <c r="T416">
        <f t="shared" si="69"/>
        <v>0</v>
      </c>
      <c r="U416">
        <f t="shared" si="68"/>
        <v>0</v>
      </c>
    </row>
    <row r="417" spans="1:21" x14ac:dyDescent="0.25">
      <c r="A417" s="2">
        <v>416</v>
      </c>
      <c r="B417" s="2" t="s">
        <v>603</v>
      </c>
      <c r="C417" s="2" t="s">
        <v>184</v>
      </c>
      <c r="D417">
        <v>674.66</v>
      </c>
      <c r="E417">
        <v>4475.6000000000004</v>
      </c>
      <c r="F417">
        <v>90.12</v>
      </c>
      <c r="G417">
        <v>188.66</v>
      </c>
      <c r="H417">
        <v>9579.61</v>
      </c>
      <c r="I417" s="80">
        <v>12842.58</v>
      </c>
      <c r="J417">
        <v>176.04</v>
      </c>
      <c r="K417">
        <v>2197.04</v>
      </c>
      <c r="L417">
        <f t="shared" si="60"/>
        <v>0</v>
      </c>
      <c r="M417">
        <f t="shared" si="61"/>
        <v>0</v>
      </c>
      <c r="N417">
        <f t="shared" si="62"/>
        <v>0</v>
      </c>
      <c r="O417">
        <f t="shared" si="63"/>
        <v>0</v>
      </c>
      <c r="P417">
        <f t="shared" si="64"/>
        <v>0</v>
      </c>
      <c r="Q417">
        <f t="shared" si="65"/>
        <v>0</v>
      </c>
      <c r="R417">
        <f t="shared" si="66"/>
        <v>0</v>
      </c>
      <c r="S417">
        <f t="shared" si="67"/>
        <v>0</v>
      </c>
      <c r="T417">
        <f t="shared" si="69"/>
        <v>0</v>
      </c>
      <c r="U417">
        <f t="shared" si="68"/>
        <v>0</v>
      </c>
    </row>
    <row r="418" spans="1:21" x14ac:dyDescent="0.25">
      <c r="A418" s="2">
        <v>417</v>
      </c>
      <c r="B418" s="2" t="s">
        <v>603</v>
      </c>
      <c r="C418" s="2" t="s">
        <v>187</v>
      </c>
      <c r="D418">
        <v>1007.37</v>
      </c>
      <c r="E418">
        <v>5718.94</v>
      </c>
      <c r="F418">
        <v>148.15</v>
      </c>
      <c r="G418">
        <v>271.68</v>
      </c>
      <c r="H418" s="80">
        <v>16468.11</v>
      </c>
      <c r="I418" s="80">
        <v>11968.09</v>
      </c>
      <c r="J418">
        <v>299.02</v>
      </c>
      <c r="K418">
        <v>5233.62</v>
      </c>
      <c r="L418">
        <f t="shared" si="60"/>
        <v>0</v>
      </c>
      <c r="M418">
        <f t="shared" si="61"/>
        <v>0</v>
      </c>
      <c r="N418">
        <f t="shared" si="62"/>
        <v>0</v>
      </c>
      <c r="O418">
        <f t="shared" si="63"/>
        <v>0</v>
      </c>
      <c r="P418">
        <f t="shared" si="64"/>
        <v>0</v>
      </c>
      <c r="Q418">
        <f t="shared" si="65"/>
        <v>0</v>
      </c>
      <c r="R418">
        <f t="shared" si="66"/>
        <v>0</v>
      </c>
      <c r="S418">
        <f t="shared" si="67"/>
        <v>0</v>
      </c>
      <c r="T418">
        <f t="shared" si="69"/>
        <v>0</v>
      </c>
      <c r="U418">
        <f t="shared" si="68"/>
        <v>0</v>
      </c>
    </row>
    <row r="419" spans="1:21" x14ac:dyDescent="0.25">
      <c r="A419" s="2">
        <v>418</v>
      </c>
      <c r="B419" s="2" t="s">
        <v>603</v>
      </c>
      <c r="C419" s="2" t="s">
        <v>189</v>
      </c>
      <c r="D419">
        <v>614.85</v>
      </c>
      <c r="E419">
        <v>6204.85</v>
      </c>
      <c r="F419">
        <v>12.56</v>
      </c>
      <c r="G419">
        <v>168.59</v>
      </c>
      <c r="H419">
        <v>7219.06</v>
      </c>
      <c r="I419" s="80">
        <v>6566.33</v>
      </c>
      <c r="J419">
        <v>199.19</v>
      </c>
      <c r="K419">
        <v>6958.77</v>
      </c>
      <c r="L419">
        <f t="shared" si="60"/>
        <v>0</v>
      </c>
      <c r="M419">
        <f t="shared" si="61"/>
        <v>0</v>
      </c>
      <c r="N419">
        <f t="shared" si="62"/>
        <v>0</v>
      </c>
      <c r="O419">
        <f t="shared" si="63"/>
        <v>0</v>
      </c>
      <c r="P419">
        <f t="shared" si="64"/>
        <v>0</v>
      </c>
      <c r="Q419">
        <f t="shared" si="65"/>
        <v>0</v>
      </c>
      <c r="R419">
        <f t="shared" si="66"/>
        <v>0</v>
      </c>
      <c r="S419">
        <f t="shared" si="67"/>
        <v>0</v>
      </c>
      <c r="T419">
        <f t="shared" si="69"/>
        <v>0</v>
      </c>
      <c r="U419">
        <f t="shared" si="68"/>
        <v>0</v>
      </c>
    </row>
    <row r="420" spans="1:21" x14ac:dyDescent="0.25">
      <c r="A420" s="2">
        <v>419</v>
      </c>
      <c r="B420" s="2">
        <v>1041</v>
      </c>
      <c r="C420" s="2" t="s">
        <v>162</v>
      </c>
      <c r="D420">
        <v>15</v>
      </c>
      <c r="E420">
        <v>19746.79</v>
      </c>
      <c r="F420">
        <v>7.37</v>
      </c>
      <c r="G420">
        <v>148.85</v>
      </c>
      <c r="H420">
        <v>7.81</v>
      </c>
      <c r="I420">
        <v>3.05</v>
      </c>
      <c r="J420">
        <v>51.47</v>
      </c>
      <c r="K420">
        <v>7.96</v>
      </c>
      <c r="L420">
        <f t="shared" si="60"/>
        <v>0</v>
      </c>
      <c r="M420">
        <f t="shared" si="61"/>
        <v>0</v>
      </c>
      <c r="N420">
        <f t="shared" si="62"/>
        <v>0</v>
      </c>
      <c r="O420">
        <f t="shared" si="63"/>
        <v>0</v>
      </c>
      <c r="P420">
        <f t="shared" si="64"/>
        <v>0</v>
      </c>
      <c r="Q420">
        <f t="shared" si="65"/>
        <v>0</v>
      </c>
      <c r="R420">
        <f t="shared" si="66"/>
        <v>0</v>
      </c>
      <c r="S420">
        <f t="shared" si="67"/>
        <v>0</v>
      </c>
      <c r="T420">
        <f t="shared" si="69"/>
        <v>0</v>
      </c>
      <c r="U420">
        <f t="shared" si="68"/>
        <v>0</v>
      </c>
    </row>
    <row r="421" spans="1:21" x14ac:dyDescent="0.25">
      <c r="A421" s="2">
        <v>420</v>
      </c>
      <c r="B421" s="2">
        <v>1041</v>
      </c>
      <c r="C421" s="2" t="s">
        <v>170</v>
      </c>
      <c r="D421">
        <v>33.82</v>
      </c>
      <c r="E421">
        <v>19526.38</v>
      </c>
      <c r="F421">
        <v>139.54</v>
      </c>
      <c r="G421">
        <v>229.65</v>
      </c>
      <c r="H421">
        <v>1861.96</v>
      </c>
      <c r="I421" s="80">
        <v>12895.05</v>
      </c>
      <c r="J421">
        <v>129.6</v>
      </c>
      <c r="K421">
        <v>699.92</v>
      </c>
      <c r="L421">
        <f t="shared" si="60"/>
        <v>0</v>
      </c>
      <c r="M421">
        <f t="shared" si="61"/>
        <v>0</v>
      </c>
      <c r="N421">
        <f t="shared" si="62"/>
        <v>0</v>
      </c>
      <c r="O421">
        <f t="shared" si="63"/>
        <v>0</v>
      </c>
      <c r="P421">
        <f t="shared" si="64"/>
        <v>0</v>
      </c>
      <c r="Q421">
        <f t="shared" si="65"/>
        <v>0</v>
      </c>
      <c r="R421">
        <f t="shared" si="66"/>
        <v>0</v>
      </c>
      <c r="S421">
        <f t="shared" si="67"/>
        <v>0</v>
      </c>
      <c r="T421">
        <f t="shared" si="69"/>
        <v>0</v>
      </c>
      <c r="U421">
        <f t="shared" si="68"/>
        <v>0</v>
      </c>
    </row>
    <row r="422" spans="1:21" x14ac:dyDescent="0.25">
      <c r="A422" s="2">
        <v>421</v>
      </c>
      <c r="B422" s="2">
        <v>1041</v>
      </c>
      <c r="C422" s="2" t="s">
        <v>178</v>
      </c>
      <c r="D422">
        <v>83.14</v>
      </c>
      <c r="E422" s="80">
        <v>31828.66</v>
      </c>
      <c r="F422">
        <v>767.75</v>
      </c>
      <c r="G422">
        <v>563.87</v>
      </c>
      <c r="H422">
        <v>9768.02</v>
      </c>
      <c r="I422" s="80">
        <v>16567.05</v>
      </c>
      <c r="J422">
        <v>283.7</v>
      </c>
      <c r="K422">
        <v>1721.15</v>
      </c>
      <c r="L422">
        <f t="shared" si="60"/>
        <v>0</v>
      </c>
      <c r="M422">
        <f t="shared" si="61"/>
        <v>0</v>
      </c>
      <c r="N422">
        <f t="shared" si="62"/>
        <v>0</v>
      </c>
      <c r="O422">
        <f t="shared" si="63"/>
        <v>0</v>
      </c>
      <c r="P422">
        <f t="shared" si="64"/>
        <v>0</v>
      </c>
      <c r="Q422">
        <f t="shared" si="65"/>
        <v>0</v>
      </c>
      <c r="R422">
        <f t="shared" si="66"/>
        <v>0</v>
      </c>
      <c r="S422">
        <f t="shared" si="67"/>
        <v>0</v>
      </c>
      <c r="T422">
        <f t="shared" si="69"/>
        <v>0</v>
      </c>
      <c r="U422">
        <f t="shared" si="68"/>
        <v>0</v>
      </c>
    </row>
    <row r="423" spans="1:21" x14ac:dyDescent="0.25">
      <c r="A423" s="2">
        <v>422</v>
      </c>
      <c r="B423" s="2">
        <v>1041</v>
      </c>
      <c r="C423" s="2" t="s">
        <v>163</v>
      </c>
      <c r="D423">
        <v>83.14</v>
      </c>
      <c r="E423" s="80">
        <v>37064.54</v>
      </c>
      <c r="F423">
        <v>268.99</v>
      </c>
      <c r="G423">
        <v>521.25</v>
      </c>
      <c r="H423">
        <v>3040.08</v>
      </c>
      <c r="I423" s="80">
        <v>14362.13</v>
      </c>
      <c r="J423">
        <v>283.7</v>
      </c>
      <c r="K423">
        <v>6229.58</v>
      </c>
      <c r="L423">
        <f t="shared" si="60"/>
        <v>0</v>
      </c>
      <c r="M423">
        <f t="shared" si="61"/>
        <v>0</v>
      </c>
      <c r="N423">
        <f t="shared" si="62"/>
        <v>0</v>
      </c>
      <c r="O423">
        <f t="shared" si="63"/>
        <v>0</v>
      </c>
      <c r="P423">
        <f t="shared" si="64"/>
        <v>0</v>
      </c>
      <c r="Q423">
        <f t="shared" si="65"/>
        <v>0</v>
      </c>
      <c r="R423">
        <f t="shared" si="66"/>
        <v>0</v>
      </c>
      <c r="S423">
        <f t="shared" si="67"/>
        <v>0</v>
      </c>
      <c r="T423">
        <f t="shared" si="69"/>
        <v>0</v>
      </c>
      <c r="U423">
        <f t="shared" si="68"/>
        <v>0</v>
      </c>
    </row>
    <row r="424" spans="1:21" x14ac:dyDescent="0.25">
      <c r="A424" s="2">
        <v>423</v>
      </c>
      <c r="B424" s="2">
        <v>1041</v>
      </c>
      <c r="C424" s="2" t="s">
        <v>181</v>
      </c>
      <c r="D424">
        <v>35.44</v>
      </c>
      <c r="E424" s="80">
        <v>42999.19</v>
      </c>
      <c r="F424">
        <v>6.53</v>
      </c>
      <c r="G424">
        <v>279.33999999999997</v>
      </c>
      <c r="H424">
        <v>129.38999999999999</v>
      </c>
      <c r="I424">
        <v>57.75</v>
      </c>
      <c r="J424">
        <v>137.35</v>
      </c>
      <c r="K424">
        <v>30.26</v>
      </c>
      <c r="L424">
        <f t="shared" si="60"/>
        <v>0</v>
      </c>
      <c r="M424">
        <f t="shared" si="61"/>
        <v>0</v>
      </c>
      <c r="N424">
        <f t="shared" si="62"/>
        <v>0</v>
      </c>
      <c r="O424">
        <f t="shared" si="63"/>
        <v>0</v>
      </c>
      <c r="P424">
        <f t="shared" si="64"/>
        <v>0</v>
      </c>
      <c r="Q424">
        <f t="shared" si="65"/>
        <v>0</v>
      </c>
      <c r="R424">
        <f t="shared" si="66"/>
        <v>0</v>
      </c>
      <c r="S424">
        <f t="shared" si="67"/>
        <v>0</v>
      </c>
      <c r="T424">
        <f t="shared" si="69"/>
        <v>0</v>
      </c>
      <c r="U424">
        <f t="shared" si="68"/>
        <v>0</v>
      </c>
    </row>
    <row r="425" spans="1:21" x14ac:dyDescent="0.25">
      <c r="A425" s="2">
        <v>424</v>
      </c>
      <c r="B425" s="2">
        <v>1041</v>
      </c>
      <c r="C425" s="2" t="s">
        <v>183</v>
      </c>
      <c r="D425">
        <v>104.54</v>
      </c>
      <c r="E425" s="80">
        <v>45416.61</v>
      </c>
      <c r="F425">
        <v>387.47</v>
      </c>
      <c r="G425">
        <v>417.37</v>
      </c>
      <c r="H425">
        <v>4738.38</v>
      </c>
      <c r="I425" s="80">
        <v>19147.89</v>
      </c>
      <c r="J425">
        <v>314.32</v>
      </c>
      <c r="K425">
        <v>2935.58</v>
      </c>
      <c r="L425">
        <f t="shared" si="60"/>
        <v>0</v>
      </c>
      <c r="M425">
        <f t="shared" si="61"/>
        <v>0</v>
      </c>
      <c r="N425">
        <f t="shared" si="62"/>
        <v>0</v>
      </c>
      <c r="O425">
        <f t="shared" si="63"/>
        <v>0</v>
      </c>
      <c r="P425">
        <f t="shared" si="64"/>
        <v>0</v>
      </c>
      <c r="Q425">
        <f t="shared" si="65"/>
        <v>0</v>
      </c>
      <c r="R425">
        <f t="shared" si="66"/>
        <v>0</v>
      </c>
      <c r="S425">
        <f t="shared" si="67"/>
        <v>0</v>
      </c>
      <c r="T425">
        <f t="shared" si="69"/>
        <v>0</v>
      </c>
      <c r="U425">
        <f t="shared" si="68"/>
        <v>0</v>
      </c>
    </row>
    <row r="426" spans="1:21" x14ac:dyDescent="0.25">
      <c r="A426" s="2">
        <v>425</v>
      </c>
      <c r="B426" s="2">
        <v>1041</v>
      </c>
      <c r="C426" s="2" t="s">
        <v>186</v>
      </c>
      <c r="D426">
        <v>193.79</v>
      </c>
      <c r="E426" s="80">
        <v>49608.29</v>
      </c>
      <c r="F426">
        <v>2642.14</v>
      </c>
      <c r="G426">
        <v>923.15</v>
      </c>
      <c r="H426" s="80">
        <v>26109.119999999999</v>
      </c>
      <c r="I426" s="80">
        <v>19134.97</v>
      </c>
      <c r="J426">
        <v>519.91999999999996</v>
      </c>
      <c r="K426" s="80">
        <v>9740.61</v>
      </c>
      <c r="L426">
        <f t="shared" si="60"/>
        <v>0</v>
      </c>
      <c r="M426">
        <f t="shared" si="61"/>
        <v>0</v>
      </c>
      <c r="N426">
        <f t="shared" si="62"/>
        <v>0</v>
      </c>
      <c r="O426">
        <f t="shared" si="63"/>
        <v>0</v>
      </c>
      <c r="P426">
        <f t="shared" si="64"/>
        <v>0</v>
      </c>
      <c r="Q426">
        <f t="shared" si="65"/>
        <v>0</v>
      </c>
      <c r="R426">
        <f t="shared" si="66"/>
        <v>0</v>
      </c>
      <c r="S426">
        <f t="shared" si="67"/>
        <v>0</v>
      </c>
      <c r="T426">
        <f t="shared" si="69"/>
        <v>0</v>
      </c>
      <c r="U426">
        <f t="shared" si="68"/>
        <v>0</v>
      </c>
    </row>
    <row r="427" spans="1:21" x14ac:dyDescent="0.25">
      <c r="A427" s="2">
        <v>426</v>
      </c>
      <c r="B427" s="2">
        <v>1041</v>
      </c>
      <c r="C427" s="2" t="s">
        <v>188</v>
      </c>
      <c r="D427">
        <v>126.35</v>
      </c>
      <c r="E427" s="80">
        <v>55175.17</v>
      </c>
      <c r="F427">
        <v>84.62</v>
      </c>
      <c r="G427">
        <v>607.05999999999995</v>
      </c>
      <c r="H427">
        <v>3123.26</v>
      </c>
      <c r="I427" s="80">
        <v>16140.57</v>
      </c>
      <c r="J427">
        <v>428.75</v>
      </c>
      <c r="K427">
        <v>4299.95</v>
      </c>
      <c r="L427">
        <f t="shared" si="60"/>
        <v>0</v>
      </c>
      <c r="M427">
        <f t="shared" si="61"/>
        <v>0</v>
      </c>
      <c r="N427">
        <f t="shared" si="62"/>
        <v>0</v>
      </c>
      <c r="O427">
        <f t="shared" si="63"/>
        <v>0</v>
      </c>
      <c r="P427">
        <f t="shared" si="64"/>
        <v>0</v>
      </c>
      <c r="Q427">
        <f t="shared" si="65"/>
        <v>0</v>
      </c>
      <c r="R427">
        <f t="shared" si="66"/>
        <v>0</v>
      </c>
      <c r="S427">
        <f t="shared" si="67"/>
        <v>0</v>
      </c>
      <c r="T427">
        <f t="shared" si="69"/>
        <v>0</v>
      </c>
      <c r="U427">
        <f t="shared" si="68"/>
        <v>0</v>
      </c>
    </row>
    <row r="428" spans="1:21" x14ac:dyDescent="0.25">
      <c r="A428" s="2">
        <v>427</v>
      </c>
      <c r="B428" s="2">
        <v>1041</v>
      </c>
      <c r="C428" s="2" t="s">
        <v>182</v>
      </c>
      <c r="D428">
        <v>25.81</v>
      </c>
      <c r="E428">
        <v>3601.12</v>
      </c>
      <c r="F428" t="s">
        <v>583</v>
      </c>
      <c r="G428">
        <v>241.78</v>
      </c>
      <c r="H428">
        <v>6.24</v>
      </c>
      <c r="I428">
        <v>12.38</v>
      </c>
      <c r="J428">
        <v>43.58</v>
      </c>
      <c r="K428">
        <v>3.41</v>
      </c>
      <c r="L428">
        <f t="shared" si="60"/>
        <v>0</v>
      </c>
      <c r="M428">
        <f t="shared" si="61"/>
        <v>0</v>
      </c>
      <c r="N428">
        <f t="shared" si="62"/>
        <v>0</v>
      </c>
      <c r="O428">
        <f t="shared" si="63"/>
        <v>0</v>
      </c>
      <c r="P428">
        <f t="shared" si="64"/>
        <v>0</v>
      </c>
      <c r="Q428">
        <f t="shared" si="65"/>
        <v>0</v>
      </c>
      <c r="R428">
        <f t="shared" si="66"/>
        <v>0</v>
      </c>
      <c r="S428">
        <f t="shared" si="67"/>
        <v>0</v>
      </c>
      <c r="T428">
        <f t="shared" si="69"/>
        <v>0</v>
      </c>
      <c r="U428">
        <f t="shared" si="68"/>
        <v>0</v>
      </c>
    </row>
    <row r="429" spans="1:21" x14ac:dyDescent="0.25">
      <c r="A429" s="2">
        <v>428</v>
      </c>
      <c r="B429" s="2">
        <v>1041</v>
      </c>
      <c r="C429" s="2" t="s">
        <v>184</v>
      </c>
      <c r="D429">
        <v>69.150000000000006</v>
      </c>
      <c r="E429" s="80">
        <v>37552.69</v>
      </c>
      <c r="F429">
        <v>37.26</v>
      </c>
      <c r="G429">
        <v>397.08</v>
      </c>
      <c r="H429">
        <v>1443.31</v>
      </c>
      <c r="I429" s="80">
        <v>7275.72</v>
      </c>
      <c r="J429">
        <v>206.89</v>
      </c>
      <c r="K429">
        <v>126.24</v>
      </c>
      <c r="L429">
        <f t="shared" si="60"/>
        <v>0</v>
      </c>
      <c r="M429">
        <f t="shared" si="61"/>
        <v>0</v>
      </c>
      <c r="N429">
        <f t="shared" si="62"/>
        <v>0</v>
      </c>
      <c r="O429">
        <f t="shared" si="63"/>
        <v>0</v>
      </c>
      <c r="P429">
        <f t="shared" si="64"/>
        <v>0</v>
      </c>
      <c r="Q429">
        <f t="shared" si="65"/>
        <v>0</v>
      </c>
      <c r="R429">
        <f t="shared" si="66"/>
        <v>0</v>
      </c>
      <c r="S429">
        <f t="shared" si="67"/>
        <v>0</v>
      </c>
      <c r="T429">
        <f t="shared" si="69"/>
        <v>0</v>
      </c>
      <c r="U429">
        <f t="shared" si="68"/>
        <v>0</v>
      </c>
    </row>
    <row r="430" spans="1:21" x14ac:dyDescent="0.25">
      <c r="A430" s="2">
        <v>429</v>
      </c>
      <c r="B430" s="2">
        <v>1041</v>
      </c>
      <c r="C430" s="2" t="s">
        <v>187</v>
      </c>
      <c r="D430">
        <v>115.4</v>
      </c>
      <c r="E430" s="80">
        <v>51991.59</v>
      </c>
      <c r="F430">
        <v>259.23</v>
      </c>
      <c r="G430">
        <v>695.01</v>
      </c>
      <c r="H430">
        <v>9193.74</v>
      </c>
      <c r="I430" s="80">
        <v>14703.43</v>
      </c>
      <c r="J430">
        <v>375.42</v>
      </c>
      <c r="K430">
        <v>1449.23</v>
      </c>
      <c r="L430">
        <f t="shared" si="60"/>
        <v>0</v>
      </c>
      <c r="M430">
        <f t="shared" si="61"/>
        <v>0</v>
      </c>
      <c r="N430">
        <f t="shared" si="62"/>
        <v>0</v>
      </c>
      <c r="O430">
        <f t="shared" si="63"/>
        <v>0</v>
      </c>
      <c r="P430">
        <f t="shared" si="64"/>
        <v>0</v>
      </c>
      <c r="Q430">
        <f t="shared" si="65"/>
        <v>0</v>
      </c>
      <c r="R430">
        <f t="shared" si="66"/>
        <v>0</v>
      </c>
      <c r="S430">
        <f t="shared" si="67"/>
        <v>0</v>
      </c>
      <c r="T430">
        <f t="shared" si="69"/>
        <v>0</v>
      </c>
      <c r="U430">
        <f t="shared" si="68"/>
        <v>0</v>
      </c>
    </row>
    <row r="431" spans="1:21" x14ac:dyDescent="0.25">
      <c r="A431" s="2">
        <v>430</v>
      </c>
      <c r="B431" s="2">
        <v>1041</v>
      </c>
      <c r="C431" s="2" t="s">
        <v>189</v>
      </c>
      <c r="D431">
        <v>90.22</v>
      </c>
      <c r="E431" s="80">
        <v>45445.01</v>
      </c>
      <c r="F431">
        <v>86.48</v>
      </c>
      <c r="G431">
        <v>479.22</v>
      </c>
      <c r="H431">
        <v>2950.03</v>
      </c>
      <c r="I431" s="80">
        <v>11196.59</v>
      </c>
      <c r="J431">
        <v>168.32</v>
      </c>
      <c r="K431">
        <v>985.68</v>
      </c>
      <c r="L431">
        <f t="shared" si="60"/>
        <v>0</v>
      </c>
      <c r="M431">
        <f t="shared" si="61"/>
        <v>0</v>
      </c>
      <c r="N431">
        <f t="shared" si="62"/>
        <v>0</v>
      </c>
      <c r="O431">
        <f t="shared" si="63"/>
        <v>0</v>
      </c>
      <c r="P431">
        <f t="shared" si="64"/>
        <v>0</v>
      </c>
      <c r="Q431">
        <f t="shared" si="65"/>
        <v>0</v>
      </c>
      <c r="R431">
        <f t="shared" si="66"/>
        <v>0</v>
      </c>
      <c r="S431">
        <f t="shared" si="67"/>
        <v>0</v>
      </c>
      <c r="T431">
        <f t="shared" si="69"/>
        <v>0</v>
      </c>
      <c r="U431">
        <f t="shared" si="68"/>
        <v>0</v>
      </c>
    </row>
    <row r="432" spans="1:21" x14ac:dyDescent="0.25">
      <c r="A432" s="2">
        <v>431</v>
      </c>
      <c r="B432" s="2" t="s">
        <v>604</v>
      </c>
      <c r="C432" s="2" t="s">
        <v>162</v>
      </c>
      <c r="D432">
        <v>76.12</v>
      </c>
      <c r="E432" s="80">
        <v>51874.22</v>
      </c>
      <c r="F432">
        <v>13.05</v>
      </c>
      <c r="G432">
        <v>357.06</v>
      </c>
      <c r="H432">
        <v>17.03</v>
      </c>
      <c r="I432">
        <v>9.82</v>
      </c>
      <c r="J432">
        <v>183.76</v>
      </c>
      <c r="K432">
        <v>40.590000000000003</v>
      </c>
      <c r="L432">
        <f t="shared" si="60"/>
        <v>0</v>
      </c>
      <c r="M432">
        <f t="shared" si="61"/>
        <v>0</v>
      </c>
      <c r="N432">
        <f t="shared" si="62"/>
        <v>0</v>
      </c>
      <c r="O432">
        <f t="shared" si="63"/>
        <v>0</v>
      </c>
      <c r="P432">
        <f t="shared" si="64"/>
        <v>0</v>
      </c>
      <c r="Q432">
        <f t="shared" si="65"/>
        <v>0</v>
      </c>
      <c r="R432">
        <f t="shared" si="66"/>
        <v>0</v>
      </c>
      <c r="S432">
        <f t="shared" si="67"/>
        <v>0</v>
      </c>
      <c r="T432">
        <f t="shared" si="69"/>
        <v>0</v>
      </c>
      <c r="U432">
        <f t="shared" si="68"/>
        <v>0</v>
      </c>
    </row>
    <row r="433" spans="1:21" x14ac:dyDescent="0.25">
      <c r="A433" s="2">
        <v>432</v>
      </c>
      <c r="B433" s="2" t="s">
        <v>604</v>
      </c>
      <c r="C433" s="2" t="s">
        <v>170</v>
      </c>
      <c r="D433">
        <v>100.94</v>
      </c>
      <c r="E433" s="80">
        <v>33724.53</v>
      </c>
      <c r="F433">
        <v>713.01</v>
      </c>
      <c r="G433">
        <v>376.98</v>
      </c>
      <c r="H433">
        <v>5490.07</v>
      </c>
      <c r="I433" s="80">
        <v>12354.76</v>
      </c>
      <c r="J433">
        <v>214.59</v>
      </c>
      <c r="K433">
        <v>1610.86</v>
      </c>
      <c r="L433">
        <f t="shared" si="60"/>
        <v>0</v>
      </c>
      <c r="M433">
        <f t="shared" si="61"/>
        <v>0</v>
      </c>
      <c r="N433">
        <f t="shared" si="62"/>
        <v>0</v>
      </c>
      <c r="O433">
        <f t="shared" si="63"/>
        <v>0</v>
      </c>
      <c r="P433">
        <f t="shared" si="64"/>
        <v>0</v>
      </c>
      <c r="Q433">
        <f t="shared" si="65"/>
        <v>0</v>
      </c>
      <c r="R433">
        <f t="shared" si="66"/>
        <v>0</v>
      </c>
      <c r="S433">
        <f t="shared" si="67"/>
        <v>0</v>
      </c>
      <c r="T433">
        <f t="shared" si="69"/>
        <v>0</v>
      </c>
      <c r="U433">
        <f t="shared" si="68"/>
        <v>0</v>
      </c>
    </row>
    <row r="434" spans="1:21" x14ac:dyDescent="0.25">
      <c r="A434" s="2">
        <v>433</v>
      </c>
      <c r="B434" s="2" t="s">
        <v>604</v>
      </c>
      <c r="C434" s="2" t="s">
        <v>178</v>
      </c>
      <c r="D434">
        <v>240.07</v>
      </c>
      <c r="E434" s="80">
        <v>32422.85</v>
      </c>
      <c r="F434">
        <v>3078.15</v>
      </c>
      <c r="G434">
        <v>563.87</v>
      </c>
      <c r="H434" s="80">
        <v>29769.89</v>
      </c>
      <c r="I434" s="80">
        <v>16081.7</v>
      </c>
      <c r="J434">
        <v>405.91</v>
      </c>
      <c r="K434">
        <v>4925.38</v>
      </c>
      <c r="L434">
        <f t="shared" si="60"/>
        <v>0</v>
      </c>
      <c r="M434">
        <f t="shared" si="61"/>
        <v>0</v>
      </c>
      <c r="N434">
        <f t="shared" si="62"/>
        <v>0</v>
      </c>
      <c r="O434">
        <f t="shared" si="63"/>
        <v>0</v>
      </c>
      <c r="P434">
        <f t="shared" si="64"/>
        <v>0</v>
      </c>
      <c r="Q434">
        <f t="shared" si="65"/>
        <v>0</v>
      </c>
      <c r="R434">
        <f t="shared" si="66"/>
        <v>0</v>
      </c>
      <c r="S434">
        <f t="shared" si="67"/>
        <v>0</v>
      </c>
      <c r="T434">
        <f t="shared" si="69"/>
        <v>0</v>
      </c>
      <c r="U434">
        <f t="shared" si="68"/>
        <v>0</v>
      </c>
    </row>
    <row r="435" spans="1:21" x14ac:dyDescent="0.25">
      <c r="A435" s="2">
        <v>434</v>
      </c>
      <c r="B435" s="2" t="s">
        <v>604</v>
      </c>
      <c r="C435" s="2" t="s">
        <v>163</v>
      </c>
      <c r="D435">
        <v>335.08</v>
      </c>
      <c r="E435" s="80">
        <v>40438.49</v>
      </c>
      <c r="F435">
        <v>1097.97</v>
      </c>
      <c r="G435">
        <v>739.73</v>
      </c>
      <c r="H435">
        <v>11735.93</v>
      </c>
      <c r="I435" s="80">
        <v>12978.76</v>
      </c>
      <c r="J435">
        <v>474.37</v>
      </c>
      <c r="K435" s="80">
        <v>12333.59</v>
      </c>
      <c r="L435">
        <f t="shared" si="60"/>
        <v>0</v>
      </c>
      <c r="M435">
        <f t="shared" si="61"/>
        <v>0</v>
      </c>
      <c r="N435">
        <f t="shared" si="62"/>
        <v>0</v>
      </c>
      <c r="O435">
        <f t="shared" si="63"/>
        <v>0</v>
      </c>
      <c r="P435">
        <f t="shared" si="64"/>
        <v>0</v>
      </c>
      <c r="Q435">
        <f t="shared" si="65"/>
        <v>0</v>
      </c>
      <c r="R435">
        <f t="shared" si="66"/>
        <v>0</v>
      </c>
      <c r="S435">
        <f t="shared" si="67"/>
        <v>0</v>
      </c>
      <c r="T435">
        <f t="shared" si="69"/>
        <v>0</v>
      </c>
      <c r="U435">
        <f t="shared" si="68"/>
        <v>0</v>
      </c>
    </row>
    <row r="436" spans="1:21" x14ac:dyDescent="0.25">
      <c r="A436" s="2">
        <v>435</v>
      </c>
      <c r="B436" s="2" t="s">
        <v>604</v>
      </c>
      <c r="C436" s="2" t="s">
        <v>181</v>
      </c>
      <c r="D436">
        <v>130.03</v>
      </c>
      <c r="E436" s="80">
        <v>53621.88</v>
      </c>
      <c r="F436">
        <v>15.33</v>
      </c>
      <c r="G436">
        <v>521.25</v>
      </c>
      <c r="H436">
        <v>481.96</v>
      </c>
      <c r="I436">
        <v>171.91</v>
      </c>
      <c r="J436">
        <v>314.32</v>
      </c>
      <c r="K436">
        <v>310.37</v>
      </c>
      <c r="L436">
        <f t="shared" si="60"/>
        <v>0</v>
      </c>
      <c r="M436">
        <f t="shared" si="61"/>
        <v>0</v>
      </c>
      <c r="N436">
        <f t="shared" si="62"/>
        <v>0</v>
      </c>
      <c r="O436">
        <f t="shared" si="63"/>
        <v>0</v>
      </c>
      <c r="P436">
        <f t="shared" si="64"/>
        <v>0</v>
      </c>
      <c r="Q436">
        <f t="shared" si="65"/>
        <v>0</v>
      </c>
      <c r="R436">
        <f t="shared" si="66"/>
        <v>0</v>
      </c>
      <c r="S436">
        <f t="shared" si="67"/>
        <v>0</v>
      </c>
      <c r="T436">
        <f t="shared" si="69"/>
        <v>0</v>
      </c>
      <c r="U436">
        <f t="shared" si="68"/>
        <v>0</v>
      </c>
    </row>
    <row r="437" spans="1:21" x14ac:dyDescent="0.25">
      <c r="A437" s="2">
        <v>436</v>
      </c>
      <c r="B437" s="2" t="s">
        <v>604</v>
      </c>
      <c r="C437" s="2" t="s">
        <v>183</v>
      </c>
      <c r="D437">
        <v>111.77</v>
      </c>
      <c r="E437">
        <v>22183.41</v>
      </c>
      <c r="F437">
        <v>445.94</v>
      </c>
      <c r="G437">
        <v>607.05999999999995</v>
      </c>
      <c r="H437">
        <v>9854.4500000000007</v>
      </c>
      <c r="I437" s="80">
        <v>15131.49</v>
      </c>
      <c r="J437">
        <v>367.79</v>
      </c>
      <c r="K437">
        <v>6701.8</v>
      </c>
      <c r="L437">
        <f t="shared" si="60"/>
        <v>0</v>
      </c>
      <c r="M437">
        <f t="shared" si="61"/>
        <v>0</v>
      </c>
      <c r="N437">
        <f t="shared" si="62"/>
        <v>0</v>
      </c>
      <c r="O437">
        <f t="shared" si="63"/>
        <v>0</v>
      </c>
      <c r="P437">
        <f t="shared" si="64"/>
        <v>0</v>
      </c>
      <c r="Q437">
        <f t="shared" si="65"/>
        <v>0</v>
      </c>
      <c r="R437">
        <f t="shared" si="66"/>
        <v>0</v>
      </c>
      <c r="S437">
        <f t="shared" si="67"/>
        <v>0</v>
      </c>
      <c r="T437">
        <f t="shared" si="69"/>
        <v>0</v>
      </c>
      <c r="U437">
        <f t="shared" si="68"/>
        <v>0</v>
      </c>
    </row>
    <row r="438" spans="1:21" x14ac:dyDescent="0.25">
      <c r="A438" s="2">
        <v>437</v>
      </c>
      <c r="B438" s="2" t="s">
        <v>604</v>
      </c>
      <c r="C438" s="2" t="s">
        <v>186</v>
      </c>
      <c r="D438">
        <v>111.77</v>
      </c>
      <c r="E438">
        <v>20470.5</v>
      </c>
      <c r="F438">
        <v>907.4</v>
      </c>
      <c r="G438">
        <v>607.05999999999995</v>
      </c>
      <c r="H438" s="80">
        <v>32262.85</v>
      </c>
      <c r="I438" s="80">
        <v>16636.21</v>
      </c>
      <c r="J438">
        <v>398.29</v>
      </c>
      <c r="K438" s="80">
        <v>10538.45</v>
      </c>
      <c r="L438">
        <f t="shared" si="60"/>
        <v>0</v>
      </c>
      <c r="M438">
        <f t="shared" si="61"/>
        <v>0</v>
      </c>
      <c r="N438">
        <f t="shared" si="62"/>
        <v>0</v>
      </c>
      <c r="O438">
        <f t="shared" si="63"/>
        <v>0</v>
      </c>
      <c r="P438">
        <f t="shared" si="64"/>
        <v>0</v>
      </c>
      <c r="Q438">
        <f t="shared" si="65"/>
        <v>0</v>
      </c>
      <c r="R438">
        <f t="shared" si="66"/>
        <v>0</v>
      </c>
      <c r="S438">
        <f t="shared" si="67"/>
        <v>0</v>
      </c>
      <c r="T438">
        <f t="shared" si="69"/>
        <v>0</v>
      </c>
      <c r="U438">
        <f t="shared" si="68"/>
        <v>0</v>
      </c>
    </row>
    <row r="439" spans="1:21" x14ac:dyDescent="0.25">
      <c r="A439" s="2">
        <v>438</v>
      </c>
      <c r="B439" s="2" t="s">
        <v>604</v>
      </c>
      <c r="C439" s="2" t="s">
        <v>188</v>
      </c>
      <c r="D439">
        <v>141.1</v>
      </c>
      <c r="E439" s="80">
        <v>46527.53</v>
      </c>
      <c r="F439">
        <v>348.57</v>
      </c>
      <c r="G439">
        <v>739.73</v>
      </c>
      <c r="H439">
        <v>5953.43</v>
      </c>
      <c r="I439" s="80">
        <v>11161.41</v>
      </c>
      <c r="J439">
        <v>443.96</v>
      </c>
      <c r="K439" s="80">
        <v>13661.11</v>
      </c>
      <c r="L439">
        <f t="shared" si="60"/>
        <v>0</v>
      </c>
      <c r="M439">
        <f t="shared" si="61"/>
        <v>0</v>
      </c>
      <c r="N439">
        <f t="shared" si="62"/>
        <v>0</v>
      </c>
      <c r="O439">
        <f t="shared" si="63"/>
        <v>0</v>
      </c>
      <c r="P439">
        <f t="shared" si="64"/>
        <v>0</v>
      </c>
      <c r="Q439">
        <f t="shared" si="65"/>
        <v>0</v>
      </c>
      <c r="R439">
        <f t="shared" si="66"/>
        <v>0</v>
      </c>
      <c r="S439">
        <f t="shared" si="67"/>
        <v>0</v>
      </c>
      <c r="T439">
        <f t="shared" si="69"/>
        <v>0</v>
      </c>
      <c r="U439">
        <f t="shared" si="68"/>
        <v>0</v>
      </c>
    </row>
    <row r="440" spans="1:21" x14ac:dyDescent="0.25">
      <c r="A440" s="2">
        <v>439</v>
      </c>
      <c r="B440" s="2" t="s">
        <v>604</v>
      </c>
      <c r="C440" s="2" t="s">
        <v>182</v>
      </c>
      <c r="D440" s="80">
        <v>0.01</v>
      </c>
      <c r="E440">
        <v>2001.45</v>
      </c>
      <c r="F440">
        <v>5.34</v>
      </c>
      <c r="G440">
        <v>118.88</v>
      </c>
      <c r="H440">
        <v>4.66</v>
      </c>
      <c r="I440">
        <v>1.28</v>
      </c>
      <c r="J440" t="s">
        <v>583</v>
      </c>
      <c r="K440">
        <v>2.58</v>
      </c>
      <c r="L440">
        <f t="shared" si="60"/>
        <v>0</v>
      </c>
      <c r="M440">
        <f t="shared" si="61"/>
        <v>0</v>
      </c>
      <c r="N440">
        <f t="shared" si="62"/>
        <v>0</v>
      </c>
      <c r="O440">
        <f t="shared" si="63"/>
        <v>0</v>
      </c>
      <c r="P440">
        <f t="shared" si="64"/>
        <v>0</v>
      </c>
      <c r="Q440">
        <f t="shared" si="65"/>
        <v>0</v>
      </c>
      <c r="R440">
        <f t="shared" si="66"/>
        <v>0</v>
      </c>
      <c r="S440">
        <f t="shared" si="67"/>
        <v>0</v>
      </c>
      <c r="T440">
        <f t="shared" si="69"/>
        <v>0</v>
      </c>
      <c r="U440">
        <f t="shared" si="68"/>
        <v>0</v>
      </c>
    </row>
    <row r="441" spans="1:21" x14ac:dyDescent="0.25">
      <c r="A441" s="2">
        <v>440</v>
      </c>
      <c r="B441" s="2" t="s">
        <v>604</v>
      </c>
      <c r="C441" s="2" t="s">
        <v>184</v>
      </c>
      <c r="D441">
        <v>137.4</v>
      </c>
      <c r="E441">
        <v>19900.580000000002</v>
      </c>
      <c r="F441">
        <v>465.05</v>
      </c>
      <c r="G441">
        <v>563.87</v>
      </c>
      <c r="H441" s="80">
        <v>16561.79</v>
      </c>
      <c r="I441" s="80">
        <v>16548.34</v>
      </c>
      <c r="J441">
        <v>253.02</v>
      </c>
      <c r="K441">
        <v>2086.48</v>
      </c>
      <c r="L441">
        <f t="shared" si="60"/>
        <v>0</v>
      </c>
      <c r="M441">
        <f t="shared" si="61"/>
        <v>0</v>
      </c>
      <c r="N441">
        <f t="shared" si="62"/>
        <v>0</v>
      </c>
      <c r="O441">
        <f t="shared" si="63"/>
        <v>0</v>
      </c>
      <c r="P441">
        <f t="shared" si="64"/>
        <v>0</v>
      </c>
      <c r="Q441">
        <f t="shared" si="65"/>
        <v>0</v>
      </c>
      <c r="R441">
        <f t="shared" si="66"/>
        <v>0</v>
      </c>
      <c r="S441">
        <f t="shared" si="67"/>
        <v>0</v>
      </c>
      <c r="T441">
        <f t="shared" si="69"/>
        <v>0</v>
      </c>
      <c r="U441">
        <f t="shared" si="68"/>
        <v>0</v>
      </c>
    </row>
    <row r="442" spans="1:21" x14ac:dyDescent="0.25">
      <c r="A442" s="2">
        <v>441</v>
      </c>
      <c r="B442" s="2" t="s">
        <v>604</v>
      </c>
      <c r="C442" s="2" t="s">
        <v>187</v>
      </c>
      <c r="D442">
        <v>1673.07</v>
      </c>
      <c r="E442">
        <v>23229.41</v>
      </c>
      <c r="F442">
        <v>854.98</v>
      </c>
      <c r="G442">
        <v>628.85</v>
      </c>
      <c r="H442" s="80">
        <v>108868.49</v>
      </c>
      <c r="I442" s="80">
        <v>16550.419999999998</v>
      </c>
      <c r="J442">
        <v>504.74</v>
      </c>
      <c r="K442" s="80">
        <v>10126.76</v>
      </c>
      <c r="L442">
        <f t="shared" si="60"/>
        <v>0</v>
      </c>
      <c r="M442">
        <f t="shared" si="61"/>
        <v>0</v>
      </c>
      <c r="N442">
        <f t="shared" si="62"/>
        <v>0</v>
      </c>
      <c r="O442">
        <f t="shared" si="63"/>
        <v>0</v>
      </c>
      <c r="P442">
        <f t="shared" si="64"/>
        <v>0</v>
      </c>
      <c r="Q442">
        <f t="shared" si="65"/>
        <v>0</v>
      </c>
      <c r="R442">
        <f t="shared" si="66"/>
        <v>0</v>
      </c>
      <c r="S442">
        <f t="shared" si="67"/>
        <v>0</v>
      </c>
      <c r="T442">
        <f t="shared" si="69"/>
        <v>0</v>
      </c>
      <c r="U442">
        <f t="shared" si="68"/>
        <v>0</v>
      </c>
    </row>
    <row r="443" spans="1:21" x14ac:dyDescent="0.25">
      <c r="A443" s="2">
        <v>442</v>
      </c>
      <c r="B443" s="2" t="s">
        <v>604</v>
      </c>
      <c r="C443" s="2" t="s">
        <v>189</v>
      </c>
      <c r="D443">
        <v>3332.33</v>
      </c>
      <c r="E443">
        <v>13378.92</v>
      </c>
      <c r="F443">
        <v>48.19</v>
      </c>
      <c r="G443">
        <v>607.05999999999995</v>
      </c>
      <c r="H443" s="80">
        <v>39174.68</v>
      </c>
      <c r="I443" s="80">
        <v>9321.73</v>
      </c>
      <c r="J443">
        <v>436.35</v>
      </c>
      <c r="K443" s="80">
        <v>11383.92</v>
      </c>
      <c r="L443">
        <f t="shared" si="60"/>
        <v>0</v>
      </c>
      <c r="M443">
        <f t="shared" si="61"/>
        <v>0</v>
      </c>
      <c r="N443">
        <f t="shared" si="62"/>
        <v>0</v>
      </c>
      <c r="O443">
        <f t="shared" si="63"/>
        <v>0</v>
      </c>
      <c r="P443">
        <f t="shared" si="64"/>
        <v>0</v>
      </c>
      <c r="Q443">
        <f t="shared" si="65"/>
        <v>0</v>
      </c>
      <c r="R443">
        <f t="shared" si="66"/>
        <v>0</v>
      </c>
      <c r="S443">
        <f t="shared" si="67"/>
        <v>0</v>
      </c>
      <c r="T443">
        <f t="shared" si="69"/>
        <v>0</v>
      </c>
      <c r="U443">
        <f t="shared" si="68"/>
        <v>0</v>
      </c>
    </row>
    <row r="444" spans="1:21" x14ac:dyDescent="0.25">
      <c r="A444" s="2">
        <v>443</v>
      </c>
      <c r="B444" s="2" t="s">
        <v>270</v>
      </c>
      <c r="C444" s="2" t="s">
        <v>162</v>
      </c>
      <c r="D444">
        <v>10.56</v>
      </c>
      <c r="E444">
        <v>1813.01</v>
      </c>
      <c r="F444">
        <v>4.92</v>
      </c>
      <c r="G444">
        <v>102.68</v>
      </c>
      <c r="H444">
        <v>6.24</v>
      </c>
      <c r="I444">
        <v>4.5999999999999996</v>
      </c>
      <c r="J444">
        <v>27.71</v>
      </c>
      <c r="K444">
        <v>4.25</v>
      </c>
      <c r="L444">
        <f t="shared" si="60"/>
        <v>0</v>
      </c>
      <c r="M444">
        <f t="shared" si="61"/>
        <v>0</v>
      </c>
      <c r="N444">
        <f t="shared" si="62"/>
        <v>0</v>
      </c>
      <c r="O444">
        <f t="shared" si="63"/>
        <v>0</v>
      </c>
      <c r="P444">
        <f t="shared" si="64"/>
        <v>0</v>
      </c>
      <c r="Q444">
        <f t="shared" si="65"/>
        <v>0</v>
      </c>
      <c r="R444">
        <f t="shared" si="66"/>
        <v>0</v>
      </c>
      <c r="S444">
        <f t="shared" si="67"/>
        <v>0</v>
      </c>
      <c r="T444">
        <f t="shared" si="69"/>
        <v>0</v>
      </c>
      <c r="U444">
        <f t="shared" si="68"/>
        <v>0</v>
      </c>
    </row>
    <row r="445" spans="1:21" x14ac:dyDescent="0.25">
      <c r="A445" s="2">
        <v>444</v>
      </c>
      <c r="B445" s="2" t="s">
        <v>270</v>
      </c>
      <c r="C445" s="2" t="s">
        <v>170</v>
      </c>
      <c r="D445">
        <v>55.42</v>
      </c>
      <c r="E445">
        <v>13532.63</v>
      </c>
      <c r="F445">
        <v>75.61</v>
      </c>
      <c r="G445">
        <v>241.78</v>
      </c>
      <c r="H445">
        <v>700.74</v>
      </c>
      <c r="I445" s="80">
        <v>5001.83</v>
      </c>
      <c r="J445">
        <v>129.6</v>
      </c>
      <c r="K445">
        <v>526.24</v>
      </c>
      <c r="L445">
        <f t="shared" si="60"/>
        <v>0</v>
      </c>
      <c r="M445">
        <f t="shared" si="61"/>
        <v>0</v>
      </c>
      <c r="N445">
        <f t="shared" si="62"/>
        <v>0</v>
      </c>
      <c r="O445">
        <f t="shared" si="63"/>
        <v>0</v>
      </c>
      <c r="P445">
        <f t="shared" si="64"/>
        <v>0</v>
      </c>
      <c r="Q445">
        <f t="shared" si="65"/>
        <v>0</v>
      </c>
      <c r="R445">
        <f t="shared" si="66"/>
        <v>0</v>
      </c>
      <c r="S445">
        <f t="shared" si="67"/>
        <v>0</v>
      </c>
      <c r="T445">
        <f t="shared" si="69"/>
        <v>0</v>
      </c>
      <c r="U445">
        <f t="shared" si="68"/>
        <v>0</v>
      </c>
    </row>
    <row r="446" spans="1:21" x14ac:dyDescent="0.25">
      <c r="A446" s="2">
        <v>445</v>
      </c>
      <c r="B446" s="2" t="s">
        <v>270</v>
      </c>
      <c r="C446" s="2" t="s">
        <v>178</v>
      </c>
      <c r="D446">
        <v>55.42</v>
      </c>
      <c r="E446">
        <v>14535.87</v>
      </c>
      <c r="F446">
        <v>245.68</v>
      </c>
      <c r="G446">
        <v>298.45</v>
      </c>
      <c r="H446">
        <v>2909.05</v>
      </c>
      <c r="I446" s="80">
        <v>7341.85</v>
      </c>
      <c r="J446">
        <v>137.35</v>
      </c>
      <c r="K446">
        <v>792.01</v>
      </c>
      <c r="L446">
        <f t="shared" si="60"/>
        <v>0</v>
      </c>
      <c r="M446">
        <f t="shared" si="61"/>
        <v>0</v>
      </c>
      <c r="N446">
        <f t="shared" si="62"/>
        <v>0</v>
      </c>
      <c r="O446">
        <f t="shared" si="63"/>
        <v>0</v>
      </c>
      <c r="P446">
        <f t="shared" si="64"/>
        <v>0</v>
      </c>
      <c r="Q446">
        <f t="shared" si="65"/>
        <v>0</v>
      </c>
      <c r="R446">
        <f t="shared" si="66"/>
        <v>0</v>
      </c>
      <c r="S446">
        <f t="shared" si="67"/>
        <v>0</v>
      </c>
      <c r="T446">
        <f t="shared" si="69"/>
        <v>0</v>
      </c>
      <c r="U446">
        <f t="shared" si="68"/>
        <v>0</v>
      </c>
    </row>
    <row r="447" spans="1:21" x14ac:dyDescent="0.25">
      <c r="A447" s="2">
        <v>446</v>
      </c>
      <c r="B447" s="2" t="s">
        <v>270</v>
      </c>
      <c r="C447" s="2" t="s">
        <v>163</v>
      </c>
      <c r="D447">
        <v>90.22</v>
      </c>
      <c r="E447">
        <v>22078.560000000001</v>
      </c>
      <c r="F447">
        <v>596.22</v>
      </c>
      <c r="G447">
        <v>563.87</v>
      </c>
      <c r="H447">
        <v>6652.13</v>
      </c>
      <c r="I447" s="80">
        <v>10752.48</v>
      </c>
      <c r="J447">
        <v>314.32</v>
      </c>
      <c r="K447" s="80">
        <v>9538.24</v>
      </c>
      <c r="L447">
        <f t="shared" si="60"/>
        <v>0</v>
      </c>
      <c r="M447">
        <f t="shared" si="61"/>
        <v>0</v>
      </c>
      <c r="N447">
        <f t="shared" si="62"/>
        <v>0</v>
      </c>
      <c r="O447">
        <f t="shared" si="63"/>
        <v>0</v>
      </c>
      <c r="P447">
        <f t="shared" si="64"/>
        <v>0</v>
      </c>
      <c r="Q447">
        <f t="shared" si="65"/>
        <v>0</v>
      </c>
      <c r="R447">
        <f t="shared" si="66"/>
        <v>0</v>
      </c>
      <c r="S447">
        <f t="shared" si="67"/>
        <v>0</v>
      </c>
      <c r="T447">
        <f t="shared" si="69"/>
        <v>0</v>
      </c>
      <c r="U447">
        <f t="shared" si="68"/>
        <v>0</v>
      </c>
    </row>
    <row r="448" spans="1:21" x14ac:dyDescent="0.25">
      <c r="A448" s="2">
        <v>447</v>
      </c>
      <c r="B448" s="2" t="s">
        <v>270</v>
      </c>
      <c r="C448" s="2" t="s">
        <v>181</v>
      </c>
      <c r="D448">
        <v>22.66</v>
      </c>
      <c r="E448">
        <v>6660.79</v>
      </c>
      <c r="F448" t="s">
        <v>583</v>
      </c>
      <c r="G448">
        <v>152.44</v>
      </c>
      <c r="H448">
        <v>341.57</v>
      </c>
      <c r="I448">
        <v>22.31</v>
      </c>
      <c r="J448">
        <v>27.71</v>
      </c>
      <c r="K448">
        <v>135.37</v>
      </c>
      <c r="L448">
        <f t="shared" si="60"/>
        <v>0</v>
      </c>
      <c r="M448">
        <f t="shared" si="61"/>
        <v>0</v>
      </c>
      <c r="N448">
        <f t="shared" si="62"/>
        <v>0</v>
      </c>
      <c r="O448">
        <f t="shared" si="63"/>
        <v>0</v>
      </c>
      <c r="P448">
        <f t="shared" si="64"/>
        <v>0</v>
      </c>
      <c r="Q448">
        <f t="shared" si="65"/>
        <v>0</v>
      </c>
      <c r="R448">
        <f t="shared" si="66"/>
        <v>0</v>
      </c>
      <c r="S448">
        <f t="shared" si="67"/>
        <v>0</v>
      </c>
      <c r="T448">
        <f t="shared" si="69"/>
        <v>0</v>
      </c>
      <c r="U448">
        <f t="shared" si="68"/>
        <v>0</v>
      </c>
    </row>
    <row r="449" spans="1:21" x14ac:dyDescent="0.25">
      <c r="A449" s="2">
        <v>448</v>
      </c>
      <c r="B449" s="2" t="s">
        <v>270</v>
      </c>
      <c r="C449" s="2" t="s">
        <v>183</v>
      </c>
      <c r="D449">
        <v>69.150000000000006</v>
      </c>
      <c r="E449">
        <v>19365.32</v>
      </c>
      <c r="F449">
        <v>396.96</v>
      </c>
      <c r="G449">
        <v>317.79000000000002</v>
      </c>
      <c r="H449">
        <v>6389.46</v>
      </c>
      <c r="I449" s="80">
        <v>14405.89</v>
      </c>
      <c r="J449">
        <v>276.02999999999997</v>
      </c>
      <c r="K449">
        <v>5653.09</v>
      </c>
      <c r="L449">
        <f t="shared" si="60"/>
        <v>0</v>
      </c>
      <c r="M449">
        <f t="shared" si="61"/>
        <v>0</v>
      </c>
      <c r="N449">
        <f t="shared" si="62"/>
        <v>0</v>
      </c>
      <c r="O449">
        <f t="shared" si="63"/>
        <v>0</v>
      </c>
      <c r="P449">
        <f t="shared" si="64"/>
        <v>0</v>
      </c>
      <c r="Q449">
        <f t="shared" si="65"/>
        <v>0</v>
      </c>
      <c r="R449">
        <f t="shared" si="66"/>
        <v>0</v>
      </c>
      <c r="S449">
        <f t="shared" si="67"/>
        <v>0</v>
      </c>
      <c r="T449">
        <f t="shared" si="69"/>
        <v>0</v>
      </c>
      <c r="U449">
        <f t="shared" si="68"/>
        <v>0</v>
      </c>
    </row>
    <row r="450" spans="1:21" x14ac:dyDescent="0.25">
      <c r="A450" s="2">
        <v>449</v>
      </c>
      <c r="B450" s="2" t="s">
        <v>270</v>
      </c>
      <c r="C450" s="2" t="s">
        <v>186</v>
      </c>
      <c r="D450">
        <v>108.15</v>
      </c>
      <c r="E450">
        <v>18459.05</v>
      </c>
      <c r="F450">
        <v>980.53</v>
      </c>
      <c r="G450">
        <v>628.85</v>
      </c>
      <c r="H450">
        <v>14717.85</v>
      </c>
      <c r="I450" s="80">
        <v>16889.54</v>
      </c>
      <c r="J450">
        <v>405.91</v>
      </c>
      <c r="K450">
        <v>7790.73</v>
      </c>
      <c r="L450">
        <f t="shared" ref="L450:L513" si="70">IF(D450 = "OOR &gt;", 1,0)</f>
        <v>0</v>
      </c>
      <c r="M450">
        <f t="shared" ref="M450:M513" si="71">IF(E450 = "OOR &gt;", 1,0)</f>
        <v>0</v>
      </c>
      <c r="N450">
        <f t="shared" ref="N450:N513" si="72">IF(F450 = "OOR &gt;", 1,0)</f>
        <v>0</v>
      </c>
      <c r="O450">
        <f t="shared" ref="O450:O513" si="73">IF(G450 = "OOR &gt;", 1,0)</f>
        <v>0</v>
      </c>
      <c r="P450">
        <f t="shared" ref="P450:P513" si="74">IF(H450 = "OOR &gt;", 1,0)</f>
        <v>0</v>
      </c>
      <c r="Q450">
        <f t="shared" ref="Q450:Q513" si="75">IF(I450 = "OOR &gt;", 1,0)</f>
        <v>0</v>
      </c>
      <c r="R450">
        <f t="shared" ref="R450:R513" si="76">IF(J450 = "OOR &gt;", 1,0)</f>
        <v>0</v>
      </c>
      <c r="S450">
        <f t="shared" ref="S450:S513" si="77">IF(K450 = "OOR &gt;", 1,0)</f>
        <v>0</v>
      </c>
      <c r="T450">
        <f t="shared" si="69"/>
        <v>0</v>
      </c>
      <c r="U450">
        <f t="shared" ref="U450:U513" si="78">IF(T450 &gt; 0,1,0)</f>
        <v>0</v>
      </c>
    </row>
    <row r="451" spans="1:21" x14ac:dyDescent="0.25">
      <c r="A451" s="2">
        <v>450</v>
      </c>
      <c r="B451" s="2" t="s">
        <v>270</v>
      </c>
      <c r="C451" s="2" t="s">
        <v>188</v>
      </c>
      <c r="D451">
        <v>90.22</v>
      </c>
      <c r="E451">
        <v>20296.009999999998</v>
      </c>
      <c r="F451">
        <v>80.510000000000005</v>
      </c>
      <c r="G451">
        <v>521.25</v>
      </c>
      <c r="H451">
        <v>2789.55</v>
      </c>
      <c r="I451" s="80">
        <v>7694.04</v>
      </c>
      <c r="J451">
        <v>337.25</v>
      </c>
      <c r="K451" s="80">
        <v>8952.8799999999992</v>
      </c>
      <c r="L451">
        <f t="shared" si="70"/>
        <v>0</v>
      </c>
      <c r="M451">
        <f t="shared" si="71"/>
        <v>0</v>
      </c>
      <c r="N451">
        <f t="shared" si="72"/>
        <v>0</v>
      </c>
      <c r="O451">
        <f t="shared" si="73"/>
        <v>0</v>
      </c>
      <c r="P451">
        <f t="shared" si="74"/>
        <v>0</v>
      </c>
      <c r="Q451">
        <f t="shared" si="75"/>
        <v>0</v>
      </c>
      <c r="R451">
        <f t="shared" si="76"/>
        <v>0</v>
      </c>
      <c r="S451">
        <f t="shared" si="77"/>
        <v>0</v>
      </c>
      <c r="T451">
        <f t="shared" ref="T451:T514" si="79">SUMIF(L451:S451,"&gt;0")</f>
        <v>0</v>
      </c>
      <c r="U451">
        <f t="shared" si="78"/>
        <v>0</v>
      </c>
    </row>
    <row r="452" spans="1:21" x14ac:dyDescent="0.25">
      <c r="A452" s="2">
        <v>451</v>
      </c>
      <c r="B452" s="2" t="s">
        <v>270</v>
      </c>
      <c r="C452" s="2" t="s">
        <v>182</v>
      </c>
      <c r="D452">
        <v>4.92</v>
      </c>
      <c r="E452">
        <v>1195.98</v>
      </c>
      <c r="F452" t="s">
        <v>583</v>
      </c>
      <c r="G452">
        <v>205.2</v>
      </c>
      <c r="H452">
        <v>4.66</v>
      </c>
      <c r="I452">
        <v>0.84</v>
      </c>
      <c r="J452">
        <v>27.71</v>
      </c>
      <c r="K452">
        <v>2.58</v>
      </c>
      <c r="L452">
        <f t="shared" si="70"/>
        <v>0</v>
      </c>
      <c r="M452">
        <f t="shared" si="71"/>
        <v>0</v>
      </c>
      <c r="N452">
        <f t="shared" si="72"/>
        <v>0</v>
      </c>
      <c r="O452">
        <f t="shared" si="73"/>
        <v>0</v>
      </c>
      <c r="P452">
        <f t="shared" si="74"/>
        <v>0</v>
      </c>
      <c r="Q452">
        <f t="shared" si="75"/>
        <v>0</v>
      </c>
      <c r="R452">
        <f t="shared" si="76"/>
        <v>0</v>
      </c>
      <c r="S452">
        <f t="shared" si="77"/>
        <v>0</v>
      </c>
      <c r="T452">
        <f t="shared" si="79"/>
        <v>0</v>
      </c>
      <c r="U452">
        <f t="shared" si="78"/>
        <v>0</v>
      </c>
    </row>
    <row r="453" spans="1:21" x14ac:dyDescent="0.25">
      <c r="A453" s="2">
        <v>452</v>
      </c>
      <c r="B453" s="2" t="s">
        <v>270</v>
      </c>
      <c r="C453" s="2" t="s">
        <v>184</v>
      </c>
      <c r="D453">
        <v>69.150000000000006</v>
      </c>
      <c r="E453" s="80">
        <v>25475.55</v>
      </c>
      <c r="F453">
        <v>357.16</v>
      </c>
      <c r="G453">
        <v>607.05999999999995</v>
      </c>
      <c r="H453">
        <v>1828.65</v>
      </c>
      <c r="I453" s="80">
        <v>13043.65</v>
      </c>
      <c r="J453">
        <v>245.34</v>
      </c>
      <c r="K453">
        <v>441.79</v>
      </c>
      <c r="L453">
        <f t="shared" si="70"/>
        <v>0</v>
      </c>
      <c r="M453">
        <f t="shared" si="71"/>
        <v>0</v>
      </c>
      <c r="N453">
        <f t="shared" si="72"/>
        <v>0</v>
      </c>
      <c r="O453">
        <f t="shared" si="73"/>
        <v>0</v>
      </c>
      <c r="P453">
        <f t="shared" si="74"/>
        <v>0</v>
      </c>
      <c r="Q453">
        <f t="shared" si="75"/>
        <v>0</v>
      </c>
      <c r="R453">
        <f t="shared" si="76"/>
        <v>0</v>
      </c>
      <c r="S453">
        <f t="shared" si="77"/>
        <v>0</v>
      </c>
      <c r="T453">
        <f t="shared" si="79"/>
        <v>0</v>
      </c>
      <c r="U453">
        <f t="shared" si="78"/>
        <v>0</v>
      </c>
    </row>
    <row r="454" spans="1:21" x14ac:dyDescent="0.25">
      <c r="A454" s="2">
        <v>453</v>
      </c>
      <c r="B454" s="2" t="s">
        <v>270</v>
      </c>
      <c r="C454" s="2" t="s">
        <v>187</v>
      </c>
      <c r="D454">
        <v>97.36</v>
      </c>
      <c r="E454" s="80">
        <v>27781.56</v>
      </c>
      <c r="F454">
        <v>570.55999999999995</v>
      </c>
      <c r="G454">
        <v>650.77</v>
      </c>
      <c r="H454">
        <v>10852.35</v>
      </c>
      <c r="I454" s="80">
        <v>13619.01</v>
      </c>
      <c r="J454">
        <v>306.67</v>
      </c>
      <c r="K454">
        <v>3803.14</v>
      </c>
      <c r="L454">
        <f t="shared" si="70"/>
        <v>0</v>
      </c>
      <c r="M454">
        <f t="shared" si="71"/>
        <v>0</v>
      </c>
      <c r="N454">
        <f t="shared" si="72"/>
        <v>0</v>
      </c>
      <c r="O454">
        <f t="shared" si="73"/>
        <v>0</v>
      </c>
      <c r="P454">
        <f t="shared" si="74"/>
        <v>0</v>
      </c>
      <c r="Q454">
        <f t="shared" si="75"/>
        <v>0</v>
      </c>
      <c r="R454">
        <f t="shared" si="76"/>
        <v>0</v>
      </c>
      <c r="S454">
        <f t="shared" si="77"/>
        <v>0</v>
      </c>
      <c r="T454">
        <f t="shared" si="79"/>
        <v>0</v>
      </c>
      <c r="U454">
        <f t="shared" si="78"/>
        <v>0</v>
      </c>
    </row>
    <row r="455" spans="1:21" x14ac:dyDescent="0.25">
      <c r="A455" s="2">
        <v>454</v>
      </c>
      <c r="B455" s="2" t="s">
        <v>270</v>
      </c>
      <c r="C455" s="2" t="s">
        <v>189</v>
      </c>
      <c r="D455">
        <v>93.78</v>
      </c>
      <c r="E455">
        <v>22571.45</v>
      </c>
      <c r="F455">
        <v>251.51</v>
      </c>
      <c r="G455">
        <v>563.87</v>
      </c>
      <c r="H455">
        <v>4746.38</v>
      </c>
      <c r="I455" s="80">
        <v>10166.780000000001</v>
      </c>
      <c r="J455">
        <v>260.7</v>
      </c>
      <c r="K455">
        <v>4493.24</v>
      </c>
      <c r="L455">
        <f t="shared" si="70"/>
        <v>0</v>
      </c>
      <c r="M455">
        <f t="shared" si="71"/>
        <v>0</v>
      </c>
      <c r="N455">
        <f t="shared" si="72"/>
        <v>0</v>
      </c>
      <c r="O455">
        <f t="shared" si="73"/>
        <v>0</v>
      </c>
      <c r="P455">
        <f t="shared" si="74"/>
        <v>0</v>
      </c>
      <c r="Q455">
        <f t="shared" si="75"/>
        <v>0</v>
      </c>
      <c r="R455">
        <f t="shared" si="76"/>
        <v>0</v>
      </c>
      <c r="S455">
        <f t="shared" si="77"/>
        <v>0</v>
      </c>
      <c r="T455">
        <f t="shared" si="79"/>
        <v>0</v>
      </c>
      <c r="U455">
        <f t="shared" si="78"/>
        <v>0</v>
      </c>
    </row>
    <row r="456" spans="1:21" x14ac:dyDescent="0.25">
      <c r="A456" s="2">
        <v>455</v>
      </c>
      <c r="B456" s="2">
        <v>1021</v>
      </c>
      <c r="C456" s="2" t="s">
        <v>162</v>
      </c>
      <c r="D456">
        <v>55.42</v>
      </c>
      <c r="E456" s="80">
        <v>42635.11</v>
      </c>
      <c r="F456">
        <v>8.33</v>
      </c>
      <c r="G456">
        <v>205.2</v>
      </c>
      <c r="H456">
        <v>23.07</v>
      </c>
      <c r="I456">
        <v>36.46</v>
      </c>
      <c r="J456">
        <v>176.04</v>
      </c>
      <c r="K456">
        <v>34.17</v>
      </c>
      <c r="L456">
        <f t="shared" si="70"/>
        <v>0</v>
      </c>
      <c r="M456">
        <f t="shared" si="71"/>
        <v>0</v>
      </c>
      <c r="N456">
        <f t="shared" si="72"/>
        <v>0</v>
      </c>
      <c r="O456">
        <f t="shared" si="73"/>
        <v>0</v>
      </c>
      <c r="P456">
        <f t="shared" si="74"/>
        <v>0</v>
      </c>
      <c r="Q456">
        <f t="shared" si="75"/>
        <v>0</v>
      </c>
      <c r="R456">
        <f t="shared" si="76"/>
        <v>0</v>
      </c>
      <c r="S456">
        <f t="shared" si="77"/>
        <v>0</v>
      </c>
      <c r="T456">
        <f t="shared" si="79"/>
        <v>0</v>
      </c>
      <c r="U456">
        <f t="shared" si="78"/>
        <v>0</v>
      </c>
    </row>
    <row r="457" spans="1:21" x14ac:dyDescent="0.25">
      <c r="A457" s="2">
        <v>456</v>
      </c>
      <c r="B457" s="2">
        <v>1021</v>
      </c>
      <c r="C457" s="2" t="s">
        <v>170</v>
      </c>
      <c r="D457">
        <v>83.14</v>
      </c>
      <c r="E457" s="80">
        <v>35340.9</v>
      </c>
      <c r="F457">
        <v>700.75</v>
      </c>
      <c r="G457">
        <v>397.08</v>
      </c>
      <c r="H457">
        <v>4319.21</v>
      </c>
      <c r="I457" s="80">
        <v>14169.37</v>
      </c>
      <c r="J457">
        <v>229.98</v>
      </c>
      <c r="K457">
        <v>2007.62</v>
      </c>
      <c r="L457">
        <f t="shared" si="70"/>
        <v>0</v>
      </c>
      <c r="M457">
        <f t="shared" si="71"/>
        <v>0</v>
      </c>
      <c r="N457">
        <f t="shared" si="72"/>
        <v>0</v>
      </c>
      <c r="O457">
        <f t="shared" si="73"/>
        <v>0</v>
      </c>
      <c r="P457">
        <f t="shared" si="74"/>
        <v>0</v>
      </c>
      <c r="Q457">
        <f t="shared" si="75"/>
        <v>0</v>
      </c>
      <c r="R457">
        <f t="shared" si="76"/>
        <v>0</v>
      </c>
      <c r="S457">
        <f t="shared" si="77"/>
        <v>0</v>
      </c>
      <c r="T457">
        <f t="shared" si="79"/>
        <v>0</v>
      </c>
      <c r="U457">
        <f t="shared" si="78"/>
        <v>0</v>
      </c>
    </row>
    <row r="458" spans="1:21" x14ac:dyDescent="0.25">
      <c r="A458" s="2">
        <v>457</v>
      </c>
      <c r="B458" s="2">
        <v>1021</v>
      </c>
      <c r="C458" s="2" t="s">
        <v>178</v>
      </c>
      <c r="D458">
        <v>282.2</v>
      </c>
      <c r="E458" s="80">
        <v>73029.789999999994</v>
      </c>
      <c r="F458">
        <v>5945.25</v>
      </c>
      <c r="G458">
        <v>1390.01</v>
      </c>
      <c r="H458" s="80">
        <v>41722.97</v>
      </c>
      <c r="I458" s="80">
        <v>34533</v>
      </c>
      <c r="J458">
        <v>857.49</v>
      </c>
      <c r="K458">
        <v>10891.35</v>
      </c>
      <c r="L458">
        <f t="shared" si="70"/>
        <v>0</v>
      </c>
      <c r="M458">
        <f t="shared" si="71"/>
        <v>0</v>
      </c>
      <c r="N458">
        <f t="shared" si="72"/>
        <v>0</v>
      </c>
      <c r="O458">
        <f t="shared" si="73"/>
        <v>0</v>
      </c>
      <c r="P458">
        <f t="shared" si="74"/>
        <v>0</v>
      </c>
      <c r="Q458">
        <f t="shared" si="75"/>
        <v>0</v>
      </c>
      <c r="R458">
        <f t="shared" si="76"/>
        <v>0</v>
      </c>
      <c r="S458">
        <f t="shared" si="77"/>
        <v>0</v>
      </c>
      <c r="T458">
        <f t="shared" si="79"/>
        <v>0</v>
      </c>
      <c r="U458">
        <f t="shared" si="78"/>
        <v>0</v>
      </c>
    </row>
    <row r="459" spans="1:21" x14ac:dyDescent="0.25">
      <c r="A459" s="2">
        <v>458</v>
      </c>
      <c r="B459" s="2">
        <v>1021</v>
      </c>
      <c r="C459" s="2" t="s">
        <v>163</v>
      </c>
      <c r="D459">
        <v>167.25</v>
      </c>
      <c r="E459" s="80">
        <v>43158.12</v>
      </c>
      <c r="F459">
        <v>1410.51</v>
      </c>
      <c r="G459">
        <v>695.01</v>
      </c>
      <c r="H459">
        <v>11312.63</v>
      </c>
      <c r="I459" s="80">
        <v>14742.36</v>
      </c>
      <c r="J459">
        <v>535.09</v>
      </c>
      <c r="K459" s="80">
        <v>14746.93</v>
      </c>
      <c r="L459">
        <f t="shared" si="70"/>
        <v>0</v>
      </c>
      <c r="M459">
        <f t="shared" si="71"/>
        <v>0</v>
      </c>
      <c r="N459">
        <f t="shared" si="72"/>
        <v>0</v>
      </c>
      <c r="O459">
        <f t="shared" si="73"/>
        <v>0</v>
      </c>
      <c r="P459">
        <f t="shared" si="74"/>
        <v>0</v>
      </c>
      <c r="Q459">
        <f t="shared" si="75"/>
        <v>0</v>
      </c>
      <c r="R459">
        <f t="shared" si="76"/>
        <v>0</v>
      </c>
      <c r="S459">
        <f t="shared" si="77"/>
        <v>0</v>
      </c>
      <c r="T459">
        <f t="shared" si="79"/>
        <v>0</v>
      </c>
      <c r="U459">
        <f t="shared" si="78"/>
        <v>0</v>
      </c>
    </row>
    <row r="460" spans="1:21" x14ac:dyDescent="0.25">
      <c r="A460" s="2">
        <v>459</v>
      </c>
      <c r="B460" s="2">
        <v>1021</v>
      </c>
      <c r="C460" s="2" t="s">
        <v>181</v>
      </c>
      <c r="D460">
        <v>111.77</v>
      </c>
      <c r="E460" s="80">
        <v>53385.41</v>
      </c>
      <c r="F460">
        <v>14.77</v>
      </c>
      <c r="G460">
        <v>521.25</v>
      </c>
      <c r="H460">
        <v>159.80000000000001</v>
      </c>
      <c r="I460">
        <v>200.36</v>
      </c>
      <c r="J460">
        <v>321.97000000000003</v>
      </c>
      <c r="K460">
        <v>243.17</v>
      </c>
      <c r="L460">
        <f t="shared" si="70"/>
        <v>0</v>
      </c>
      <c r="M460">
        <f t="shared" si="71"/>
        <v>0</v>
      </c>
      <c r="N460">
        <f t="shared" si="72"/>
        <v>0</v>
      </c>
      <c r="O460">
        <f t="shared" si="73"/>
        <v>0</v>
      </c>
      <c r="P460">
        <f t="shared" si="74"/>
        <v>0</v>
      </c>
      <c r="Q460">
        <f t="shared" si="75"/>
        <v>0</v>
      </c>
      <c r="R460">
        <f t="shared" si="76"/>
        <v>0</v>
      </c>
      <c r="S460">
        <f t="shared" si="77"/>
        <v>0</v>
      </c>
      <c r="T460">
        <f t="shared" si="79"/>
        <v>0</v>
      </c>
      <c r="U460">
        <f t="shared" si="78"/>
        <v>0</v>
      </c>
    </row>
    <row r="461" spans="1:21" x14ac:dyDescent="0.25">
      <c r="A461" s="2">
        <v>460</v>
      </c>
      <c r="B461" s="2">
        <v>1021</v>
      </c>
      <c r="C461" s="2" t="s">
        <v>183</v>
      </c>
      <c r="D461">
        <v>141.1</v>
      </c>
      <c r="E461" s="80">
        <v>51991.59</v>
      </c>
      <c r="F461">
        <v>1179.8</v>
      </c>
      <c r="G461">
        <v>807.69</v>
      </c>
      <c r="H461">
        <v>6214.17</v>
      </c>
      <c r="I461" s="80">
        <v>18300.53</v>
      </c>
      <c r="J461">
        <v>497.15</v>
      </c>
      <c r="K461" s="80">
        <v>8239.3700000000008</v>
      </c>
      <c r="L461">
        <f t="shared" si="70"/>
        <v>0</v>
      </c>
      <c r="M461">
        <f t="shared" si="71"/>
        <v>0</v>
      </c>
      <c r="N461">
        <f t="shared" si="72"/>
        <v>0</v>
      </c>
      <c r="O461">
        <f t="shared" si="73"/>
        <v>0</v>
      </c>
      <c r="P461">
        <f t="shared" si="74"/>
        <v>0</v>
      </c>
      <c r="Q461">
        <f t="shared" si="75"/>
        <v>0</v>
      </c>
      <c r="R461">
        <f t="shared" si="76"/>
        <v>0</v>
      </c>
      <c r="S461">
        <f t="shared" si="77"/>
        <v>0</v>
      </c>
      <c r="T461">
        <f t="shared" si="79"/>
        <v>0</v>
      </c>
      <c r="U461">
        <f t="shared" si="78"/>
        <v>0</v>
      </c>
    </row>
    <row r="462" spans="1:21" x14ac:dyDescent="0.25">
      <c r="A462" s="2">
        <v>461</v>
      </c>
      <c r="B462" s="2">
        <v>1021</v>
      </c>
      <c r="C462" s="2" t="s">
        <v>186</v>
      </c>
      <c r="D462">
        <v>178.58</v>
      </c>
      <c r="E462" s="80">
        <v>46441.84</v>
      </c>
      <c r="F462">
        <v>3659.47</v>
      </c>
      <c r="G462">
        <v>970.06</v>
      </c>
      <c r="H462" s="80">
        <v>30121.01</v>
      </c>
      <c r="I462" s="80">
        <v>18211.68</v>
      </c>
      <c r="J462">
        <v>535.09</v>
      </c>
      <c r="K462" s="80">
        <v>12718.52</v>
      </c>
      <c r="L462">
        <f t="shared" si="70"/>
        <v>0</v>
      </c>
      <c r="M462">
        <f t="shared" si="71"/>
        <v>0</v>
      </c>
      <c r="N462">
        <f t="shared" si="72"/>
        <v>0</v>
      </c>
      <c r="O462">
        <f t="shared" si="73"/>
        <v>0</v>
      </c>
      <c r="P462">
        <f t="shared" si="74"/>
        <v>0</v>
      </c>
      <c r="Q462">
        <f t="shared" si="75"/>
        <v>0</v>
      </c>
      <c r="R462">
        <f t="shared" si="76"/>
        <v>0</v>
      </c>
      <c r="S462">
        <f t="shared" si="77"/>
        <v>0</v>
      </c>
      <c r="T462">
        <f t="shared" si="79"/>
        <v>0</v>
      </c>
      <c r="U462">
        <f t="shared" si="78"/>
        <v>0</v>
      </c>
    </row>
    <row r="463" spans="1:21" x14ac:dyDescent="0.25">
      <c r="A463" s="2">
        <v>462</v>
      </c>
      <c r="B463" s="2">
        <v>1021</v>
      </c>
      <c r="C463" s="2" t="s">
        <v>188</v>
      </c>
      <c r="D463">
        <v>174.8</v>
      </c>
      <c r="E463" s="80">
        <v>62724.49</v>
      </c>
      <c r="F463">
        <v>525.85</v>
      </c>
      <c r="G463">
        <v>1017.37</v>
      </c>
      <c r="H463" s="80">
        <v>16704.98</v>
      </c>
      <c r="I463" s="80">
        <v>16981.5</v>
      </c>
      <c r="J463">
        <v>769.42</v>
      </c>
      <c r="K463" s="80">
        <v>18287.78</v>
      </c>
      <c r="L463">
        <f t="shared" si="70"/>
        <v>0</v>
      </c>
      <c r="M463">
        <f t="shared" si="71"/>
        <v>0</v>
      </c>
      <c r="N463">
        <f t="shared" si="72"/>
        <v>0</v>
      </c>
      <c r="O463">
        <f t="shared" si="73"/>
        <v>0</v>
      </c>
      <c r="P463">
        <f t="shared" si="74"/>
        <v>0</v>
      </c>
      <c r="Q463">
        <f t="shared" si="75"/>
        <v>0</v>
      </c>
      <c r="R463">
        <f t="shared" si="76"/>
        <v>0</v>
      </c>
      <c r="S463">
        <f t="shared" si="77"/>
        <v>0</v>
      </c>
      <c r="T463">
        <f t="shared" si="79"/>
        <v>0</v>
      </c>
      <c r="U463">
        <f t="shared" si="78"/>
        <v>0</v>
      </c>
    </row>
    <row r="464" spans="1:21" x14ac:dyDescent="0.25">
      <c r="A464" s="2">
        <v>463</v>
      </c>
      <c r="B464" s="2">
        <v>1021</v>
      </c>
      <c r="C464" s="2" t="s">
        <v>182</v>
      </c>
      <c r="D464">
        <v>10.56</v>
      </c>
      <c r="E464">
        <v>2101.9699999999998</v>
      </c>
      <c r="F464">
        <v>4.03</v>
      </c>
      <c r="G464">
        <v>152.44</v>
      </c>
      <c r="H464">
        <v>3.06</v>
      </c>
      <c r="I464">
        <v>1.1299999999999999</v>
      </c>
      <c r="J464" t="s">
        <v>583</v>
      </c>
      <c r="K464" s="80">
        <v>0.23</v>
      </c>
      <c r="L464">
        <f t="shared" si="70"/>
        <v>0</v>
      </c>
      <c r="M464">
        <f t="shared" si="71"/>
        <v>0</v>
      </c>
      <c r="N464">
        <f t="shared" si="72"/>
        <v>0</v>
      </c>
      <c r="O464">
        <f t="shared" si="73"/>
        <v>0</v>
      </c>
      <c r="P464">
        <f t="shared" si="74"/>
        <v>0</v>
      </c>
      <c r="Q464">
        <f t="shared" si="75"/>
        <v>0</v>
      </c>
      <c r="R464">
        <f t="shared" si="76"/>
        <v>0</v>
      </c>
      <c r="S464">
        <f t="shared" si="77"/>
        <v>0</v>
      </c>
      <c r="T464">
        <f t="shared" si="79"/>
        <v>0</v>
      </c>
      <c r="U464">
        <f t="shared" si="78"/>
        <v>0</v>
      </c>
    </row>
    <row r="465" spans="1:21" x14ac:dyDescent="0.25">
      <c r="A465" s="2">
        <v>464</v>
      </c>
      <c r="B465" s="2">
        <v>1021</v>
      </c>
      <c r="C465" s="2" t="s">
        <v>184</v>
      </c>
      <c r="D465">
        <v>52.04</v>
      </c>
      <c r="E465">
        <v>18490.150000000001</v>
      </c>
      <c r="F465">
        <v>134.82</v>
      </c>
      <c r="G465">
        <v>317.79000000000002</v>
      </c>
      <c r="H465">
        <v>3832.47</v>
      </c>
      <c r="I465" s="80">
        <v>11129.11</v>
      </c>
      <c r="J465">
        <v>229.98</v>
      </c>
      <c r="K465">
        <v>1726.26</v>
      </c>
      <c r="L465">
        <f t="shared" si="70"/>
        <v>0</v>
      </c>
      <c r="M465">
        <f t="shared" si="71"/>
        <v>0</v>
      </c>
      <c r="N465">
        <f t="shared" si="72"/>
        <v>0</v>
      </c>
      <c r="O465">
        <f t="shared" si="73"/>
        <v>0</v>
      </c>
      <c r="P465">
        <f t="shared" si="74"/>
        <v>0</v>
      </c>
      <c r="Q465">
        <f t="shared" si="75"/>
        <v>0</v>
      </c>
      <c r="R465">
        <f t="shared" si="76"/>
        <v>0</v>
      </c>
      <c r="S465">
        <f t="shared" si="77"/>
        <v>0</v>
      </c>
      <c r="T465">
        <f t="shared" si="79"/>
        <v>0</v>
      </c>
      <c r="U465">
        <f t="shared" si="78"/>
        <v>0</v>
      </c>
    </row>
    <row r="466" spans="1:21" x14ac:dyDescent="0.25">
      <c r="A466" s="2">
        <v>465</v>
      </c>
      <c r="B466" s="2">
        <v>1021</v>
      </c>
      <c r="C466" s="2" t="s">
        <v>187</v>
      </c>
      <c r="D466">
        <v>111.77</v>
      </c>
      <c r="E466" s="80">
        <v>26242.23</v>
      </c>
      <c r="F466">
        <v>132.35</v>
      </c>
      <c r="G466">
        <v>650.77</v>
      </c>
      <c r="H466" s="80">
        <v>16946.11</v>
      </c>
      <c r="I466" s="80">
        <v>10195.66</v>
      </c>
      <c r="J466">
        <v>337.25</v>
      </c>
      <c r="K466">
        <v>6097.28</v>
      </c>
      <c r="L466">
        <f t="shared" si="70"/>
        <v>0</v>
      </c>
      <c r="M466">
        <f t="shared" si="71"/>
        <v>0</v>
      </c>
      <c r="N466">
        <f t="shared" si="72"/>
        <v>0</v>
      </c>
      <c r="O466">
        <f t="shared" si="73"/>
        <v>0</v>
      </c>
      <c r="P466">
        <f t="shared" si="74"/>
        <v>0</v>
      </c>
      <c r="Q466">
        <f t="shared" si="75"/>
        <v>0</v>
      </c>
      <c r="R466">
        <f t="shared" si="76"/>
        <v>0</v>
      </c>
      <c r="S466">
        <f t="shared" si="77"/>
        <v>0</v>
      </c>
      <c r="T466">
        <f t="shared" si="79"/>
        <v>0</v>
      </c>
      <c r="U466">
        <f t="shared" si="78"/>
        <v>0</v>
      </c>
    </row>
    <row r="467" spans="1:21" x14ac:dyDescent="0.25">
      <c r="A467" s="2">
        <v>466</v>
      </c>
      <c r="B467" s="2">
        <v>1021</v>
      </c>
      <c r="C467" s="2" t="s">
        <v>189</v>
      </c>
      <c r="D467">
        <v>104.54</v>
      </c>
      <c r="E467" s="80">
        <v>26526.799999999999</v>
      </c>
      <c r="F467">
        <v>96.61</v>
      </c>
      <c r="G467">
        <v>650.77</v>
      </c>
      <c r="H467">
        <v>6649.71</v>
      </c>
      <c r="I467" s="80">
        <v>7008.53</v>
      </c>
      <c r="J467">
        <v>321.97000000000003</v>
      </c>
      <c r="K467">
        <v>5592.2</v>
      </c>
      <c r="L467">
        <f t="shared" si="70"/>
        <v>0</v>
      </c>
      <c r="M467">
        <f t="shared" si="71"/>
        <v>0</v>
      </c>
      <c r="N467">
        <f t="shared" si="72"/>
        <v>0</v>
      </c>
      <c r="O467">
        <f t="shared" si="73"/>
        <v>0</v>
      </c>
      <c r="P467">
        <f t="shared" si="74"/>
        <v>0</v>
      </c>
      <c r="Q467">
        <f t="shared" si="75"/>
        <v>0</v>
      </c>
      <c r="R467">
        <f t="shared" si="76"/>
        <v>0</v>
      </c>
      <c r="S467">
        <f t="shared" si="77"/>
        <v>0</v>
      </c>
      <c r="T467">
        <f t="shared" si="79"/>
        <v>0</v>
      </c>
      <c r="U467">
        <f t="shared" si="78"/>
        <v>0</v>
      </c>
    </row>
    <row r="468" spans="1:21" x14ac:dyDescent="0.25">
      <c r="A468" s="2">
        <v>467</v>
      </c>
      <c r="B468" s="2" t="s">
        <v>605</v>
      </c>
      <c r="C468" s="2" t="s">
        <v>162</v>
      </c>
      <c r="D468">
        <v>97.36</v>
      </c>
      <c r="E468" s="80">
        <v>48730.07</v>
      </c>
      <c r="F468">
        <v>13.05</v>
      </c>
      <c r="G468">
        <v>397.08</v>
      </c>
      <c r="H468">
        <v>29.79</v>
      </c>
      <c r="I468">
        <v>34.6</v>
      </c>
      <c r="J468">
        <v>260.7</v>
      </c>
      <c r="K468">
        <v>27.35</v>
      </c>
      <c r="L468">
        <f t="shared" si="70"/>
        <v>0</v>
      </c>
      <c r="M468">
        <f t="shared" si="71"/>
        <v>0</v>
      </c>
      <c r="N468">
        <f t="shared" si="72"/>
        <v>0</v>
      </c>
      <c r="O468">
        <f t="shared" si="73"/>
        <v>0</v>
      </c>
      <c r="P468">
        <f t="shared" si="74"/>
        <v>0</v>
      </c>
      <c r="Q468">
        <f t="shared" si="75"/>
        <v>0</v>
      </c>
      <c r="R468">
        <f t="shared" si="76"/>
        <v>0</v>
      </c>
      <c r="S468">
        <f t="shared" si="77"/>
        <v>0</v>
      </c>
      <c r="T468">
        <f t="shared" si="79"/>
        <v>0</v>
      </c>
      <c r="U468">
        <f t="shared" si="78"/>
        <v>0</v>
      </c>
    </row>
    <row r="469" spans="1:21" x14ac:dyDescent="0.25">
      <c r="A469" s="2">
        <v>468</v>
      </c>
      <c r="B469" s="2" t="s">
        <v>605</v>
      </c>
      <c r="C469" s="2" t="s">
        <v>170</v>
      </c>
      <c r="D469">
        <v>126.35</v>
      </c>
      <c r="E469" s="80">
        <v>43692.02</v>
      </c>
      <c r="F469">
        <v>1354.92</v>
      </c>
      <c r="G469">
        <v>650.77</v>
      </c>
      <c r="H469">
        <v>3786.88</v>
      </c>
      <c r="I469" s="80">
        <v>14657.95</v>
      </c>
      <c r="J469">
        <v>383.04</v>
      </c>
      <c r="K469">
        <v>1704.54</v>
      </c>
      <c r="L469">
        <f t="shared" si="70"/>
        <v>0</v>
      </c>
      <c r="M469">
        <f t="shared" si="71"/>
        <v>0</v>
      </c>
      <c r="N469">
        <f t="shared" si="72"/>
        <v>0</v>
      </c>
      <c r="O469">
        <f t="shared" si="73"/>
        <v>0</v>
      </c>
      <c r="P469">
        <f t="shared" si="74"/>
        <v>0</v>
      </c>
      <c r="Q469">
        <f t="shared" si="75"/>
        <v>0</v>
      </c>
      <c r="R469">
        <f t="shared" si="76"/>
        <v>0</v>
      </c>
      <c r="S469">
        <f t="shared" si="77"/>
        <v>0</v>
      </c>
      <c r="T469">
        <f t="shared" si="79"/>
        <v>0</v>
      </c>
      <c r="U469">
        <f t="shared" si="78"/>
        <v>0</v>
      </c>
    </row>
    <row r="470" spans="1:21" x14ac:dyDescent="0.25">
      <c r="A470" s="2">
        <v>469</v>
      </c>
      <c r="B470" s="2" t="s">
        <v>605</v>
      </c>
      <c r="C470" s="2" t="s">
        <v>178</v>
      </c>
      <c r="D470">
        <v>271.41000000000003</v>
      </c>
      <c r="E470" s="80">
        <v>51025.25</v>
      </c>
      <c r="F470" s="80">
        <v>6174.45</v>
      </c>
      <c r="G470">
        <v>923.15</v>
      </c>
      <c r="H470" s="80">
        <v>27840.12</v>
      </c>
      <c r="I470" s="80">
        <v>17966.97</v>
      </c>
      <c r="J470">
        <v>519.91999999999996</v>
      </c>
      <c r="K470">
        <v>4821.21</v>
      </c>
      <c r="L470">
        <f t="shared" si="70"/>
        <v>0</v>
      </c>
      <c r="M470">
        <f t="shared" si="71"/>
        <v>0</v>
      </c>
      <c r="N470">
        <f t="shared" si="72"/>
        <v>0</v>
      </c>
      <c r="O470">
        <f t="shared" si="73"/>
        <v>0</v>
      </c>
      <c r="P470">
        <f t="shared" si="74"/>
        <v>0</v>
      </c>
      <c r="Q470">
        <f t="shared" si="75"/>
        <v>0</v>
      </c>
      <c r="R470">
        <f t="shared" si="76"/>
        <v>0</v>
      </c>
      <c r="S470">
        <f t="shared" si="77"/>
        <v>0</v>
      </c>
      <c r="T470">
        <f t="shared" si="79"/>
        <v>0</v>
      </c>
      <c r="U470">
        <f t="shared" si="78"/>
        <v>0</v>
      </c>
    </row>
    <row r="471" spans="1:21" x14ac:dyDescent="0.25">
      <c r="A471" s="2">
        <v>470</v>
      </c>
      <c r="B471" s="2" t="s">
        <v>605</v>
      </c>
      <c r="C471" s="2" t="s">
        <v>163</v>
      </c>
      <c r="D471">
        <v>540.87</v>
      </c>
      <c r="E471" s="80">
        <v>49424.61</v>
      </c>
      <c r="F471">
        <v>1707.47</v>
      </c>
      <c r="G471">
        <v>830.57</v>
      </c>
      <c r="H471" s="80">
        <v>20476.75</v>
      </c>
      <c r="I471" s="80">
        <v>14784.36</v>
      </c>
      <c r="J471">
        <v>565.4</v>
      </c>
      <c r="K471" s="80">
        <v>12735.34</v>
      </c>
      <c r="L471">
        <f t="shared" si="70"/>
        <v>0</v>
      </c>
      <c r="M471">
        <f t="shared" si="71"/>
        <v>0</v>
      </c>
      <c r="N471">
        <f t="shared" si="72"/>
        <v>0</v>
      </c>
      <c r="O471">
        <f t="shared" si="73"/>
        <v>0</v>
      </c>
      <c r="P471">
        <f t="shared" si="74"/>
        <v>0</v>
      </c>
      <c r="Q471">
        <f t="shared" si="75"/>
        <v>0</v>
      </c>
      <c r="R471">
        <f t="shared" si="76"/>
        <v>0</v>
      </c>
      <c r="S471">
        <f t="shared" si="77"/>
        <v>0</v>
      </c>
      <c r="T471">
        <f t="shared" si="79"/>
        <v>0</v>
      </c>
      <c r="U471">
        <f t="shared" si="78"/>
        <v>0</v>
      </c>
    </row>
    <row r="472" spans="1:21" x14ac:dyDescent="0.25">
      <c r="A472" s="2">
        <v>471</v>
      </c>
      <c r="B472" s="2" t="s">
        <v>605</v>
      </c>
      <c r="C472" s="2" t="s">
        <v>181</v>
      </c>
      <c r="D472">
        <v>69.150000000000006</v>
      </c>
      <c r="E472" s="80">
        <v>49202.49</v>
      </c>
      <c r="F472">
        <v>12.46</v>
      </c>
      <c r="G472">
        <v>279.33999999999997</v>
      </c>
      <c r="H472">
        <v>341.57</v>
      </c>
      <c r="I472">
        <v>545</v>
      </c>
      <c r="J472">
        <v>229.98</v>
      </c>
      <c r="K472">
        <v>110.24</v>
      </c>
      <c r="L472">
        <f t="shared" si="70"/>
        <v>0</v>
      </c>
      <c r="M472">
        <f t="shared" si="71"/>
        <v>0</v>
      </c>
      <c r="N472">
        <f t="shared" si="72"/>
        <v>0</v>
      </c>
      <c r="O472">
        <f t="shared" si="73"/>
        <v>0</v>
      </c>
      <c r="P472">
        <f t="shared" si="74"/>
        <v>0</v>
      </c>
      <c r="Q472">
        <f t="shared" si="75"/>
        <v>0</v>
      </c>
      <c r="R472">
        <f t="shared" si="76"/>
        <v>0</v>
      </c>
      <c r="S472">
        <f t="shared" si="77"/>
        <v>0</v>
      </c>
      <c r="T472">
        <f t="shared" si="79"/>
        <v>0</v>
      </c>
      <c r="U472">
        <f t="shared" si="78"/>
        <v>0</v>
      </c>
    </row>
    <row r="473" spans="1:21" x14ac:dyDescent="0.25">
      <c r="A473" s="2">
        <v>472</v>
      </c>
      <c r="B473" s="2" t="s">
        <v>605</v>
      </c>
      <c r="C473" s="2" t="s">
        <v>183</v>
      </c>
      <c r="D473">
        <v>144.81</v>
      </c>
      <c r="E473" s="80">
        <v>48527.95</v>
      </c>
      <c r="F473" s="80">
        <v>4911.6899999999996</v>
      </c>
      <c r="G473">
        <v>717.31</v>
      </c>
      <c r="H473">
        <v>13929.75</v>
      </c>
      <c r="I473" s="80">
        <v>18785.96</v>
      </c>
      <c r="J473">
        <v>489.56</v>
      </c>
      <c r="K473" s="80">
        <v>11789.35</v>
      </c>
      <c r="L473">
        <f t="shared" si="70"/>
        <v>0</v>
      </c>
      <c r="M473">
        <f t="shared" si="71"/>
        <v>0</v>
      </c>
      <c r="N473">
        <f t="shared" si="72"/>
        <v>0</v>
      </c>
      <c r="O473">
        <f t="shared" si="73"/>
        <v>0</v>
      </c>
      <c r="P473">
        <f t="shared" si="74"/>
        <v>0</v>
      </c>
      <c r="Q473">
        <f t="shared" si="75"/>
        <v>0</v>
      </c>
      <c r="R473">
        <f t="shared" si="76"/>
        <v>0</v>
      </c>
      <c r="S473">
        <f t="shared" si="77"/>
        <v>0</v>
      </c>
      <c r="T473">
        <f t="shared" si="79"/>
        <v>0</v>
      </c>
      <c r="U473">
        <f t="shared" si="78"/>
        <v>0</v>
      </c>
    </row>
    <row r="474" spans="1:21" x14ac:dyDescent="0.25">
      <c r="A474" s="2">
        <v>473</v>
      </c>
      <c r="B474" s="2" t="s">
        <v>605</v>
      </c>
      <c r="C474" s="2" t="s">
        <v>186</v>
      </c>
      <c r="D474">
        <v>193.79</v>
      </c>
      <c r="E474" s="80">
        <v>45274.65</v>
      </c>
      <c r="F474" s="80">
        <v>6765.24</v>
      </c>
      <c r="G474">
        <v>1041.1600000000001</v>
      </c>
      <c r="H474" s="80">
        <v>129955.8</v>
      </c>
      <c r="I474" s="80">
        <v>19266.93</v>
      </c>
      <c r="J474">
        <v>588.12</v>
      </c>
      <c r="K474" s="80">
        <v>15232.69</v>
      </c>
      <c r="L474">
        <f t="shared" si="70"/>
        <v>0</v>
      </c>
      <c r="M474">
        <f t="shared" si="71"/>
        <v>0</v>
      </c>
      <c r="N474">
        <f t="shared" si="72"/>
        <v>0</v>
      </c>
      <c r="O474">
        <f t="shared" si="73"/>
        <v>0</v>
      </c>
      <c r="P474">
        <f t="shared" si="74"/>
        <v>0</v>
      </c>
      <c r="Q474">
        <f t="shared" si="75"/>
        <v>0</v>
      </c>
      <c r="R474">
        <f t="shared" si="76"/>
        <v>0</v>
      </c>
      <c r="S474">
        <f t="shared" si="77"/>
        <v>0</v>
      </c>
      <c r="T474">
        <f t="shared" si="79"/>
        <v>0</v>
      </c>
      <c r="U474">
        <f t="shared" si="78"/>
        <v>0</v>
      </c>
    </row>
    <row r="475" spans="1:21" x14ac:dyDescent="0.25">
      <c r="A475" s="2">
        <v>474</v>
      </c>
      <c r="B475" s="2" t="s">
        <v>605</v>
      </c>
      <c r="C475" s="2" t="s">
        <v>188</v>
      </c>
      <c r="D475">
        <v>186.17</v>
      </c>
      <c r="E475" s="80">
        <v>51854.67</v>
      </c>
      <c r="F475">
        <v>1113.68</v>
      </c>
      <c r="G475">
        <v>1017.37</v>
      </c>
      <c r="H475">
        <v>12057.39</v>
      </c>
      <c r="I475" s="80">
        <v>16733.060000000001</v>
      </c>
      <c r="J475">
        <v>603.26</v>
      </c>
      <c r="K475" s="80">
        <v>14380.93</v>
      </c>
      <c r="L475">
        <f t="shared" si="70"/>
        <v>0</v>
      </c>
      <c r="M475">
        <f t="shared" si="71"/>
        <v>0</v>
      </c>
      <c r="N475">
        <f t="shared" si="72"/>
        <v>0</v>
      </c>
      <c r="O475">
        <f t="shared" si="73"/>
        <v>0</v>
      </c>
      <c r="P475">
        <f t="shared" si="74"/>
        <v>0</v>
      </c>
      <c r="Q475">
        <f t="shared" si="75"/>
        <v>0</v>
      </c>
      <c r="R475">
        <f t="shared" si="76"/>
        <v>0</v>
      </c>
      <c r="S475">
        <f t="shared" si="77"/>
        <v>0</v>
      </c>
      <c r="T475">
        <f t="shared" si="79"/>
        <v>0</v>
      </c>
      <c r="U475">
        <f t="shared" si="78"/>
        <v>0</v>
      </c>
    </row>
    <row r="476" spans="1:21" x14ac:dyDescent="0.25">
      <c r="A476" s="2">
        <v>475</v>
      </c>
      <c r="B476" s="2" t="s">
        <v>605</v>
      </c>
      <c r="C476" s="2" t="s">
        <v>182</v>
      </c>
      <c r="D476">
        <v>28.99</v>
      </c>
      <c r="E476">
        <v>5906.85</v>
      </c>
      <c r="F476">
        <v>41.54</v>
      </c>
      <c r="G476">
        <v>205.2</v>
      </c>
      <c r="H476">
        <v>180.22</v>
      </c>
      <c r="I476" s="80">
        <v>4746.68</v>
      </c>
      <c r="J476">
        <v>82.86</v>
      </c>
      <c r="K476">
        <v>427.24</v>
      </c>
      <c r="L476">
        <f t="shared" si="70"/>
        <v>0</v>
      </c>
      <c r="M476">
        <f t="shared" si="71"/>
        <v>0</v>
      </c>
      <c r="N476">
        <f t="shared" si="72"/>
        <v>0</v>
      </c>
      <c r="O476">
        <f t="shared" si="73"/>
        <v>0</v>
      </c>
      <c r="P476">
        <f t="shared" si="74"/>
        <v>0</v>
      </c>
      <c r="Q476">
        <f t="shared" si="75"/>
        <v>0</v>
      </c>
      <c r="R476">
        <f t="shared" si="76"/>
        <v>0</v>
      </c>
      <c r="S476">
        <f t="shared" si="77"/>
        <v>0</v>
      </c>
      <c r="T476">
        <f t="shared" si="79"/>
        <v>0</v>
      </c>
      <c r="U476">
        <f t="shared" si="78"/>
        <v>0</v>
      </c>
    </row>
    <row r="477" spans="1:21" x14ac:dyDescent="0.25">
      <c r="A477" s="2">
        <v>476</v>
      </c>
      <c r="B477" s="2" t="s">
        <v>605</v>
      </c>
      <c r="C477" s="2" t="s">
        <v>184</v>
      </c>
      <c r="D477">
        <v>155.99</v>
      </c>
      <c r="E477">
        <v>22944.63</v>
      </c>
      <c r="F477">
        <v>659.81</v>
      </c>
      <c r="G477">
        <v>500.16</v>
      </c>
      <c r="H477" s="80">
        <v>16335.82</v>
      </c>
      <c r="I477" s="80">
        <v>15041.99</v>
      </c>
      <c r="J477">
        <v>306.67</v>
      </c>
      <c r="K477">
        <v>3104.79</v>
      </c>
      <c r="L477">
        <f t="shared" si="70"/>
        <v>0</v>
      </c>
      <c r="M477">
        <f t="shared" si="71"/>
        <v>0</v>
      </c>
      <c r="N477">
        <f t="shared" si="72"/>
        <v>0</v>
      </c>
      <c r="O477">
        <f t="shared" si="73"/>
        <v>0</v>
      </c>
      <c r="P477">
        <f t="shared" si="74"/>
        <v>0</v>
      </c>
      <c r="Q477">
        <f t="shared" si="75"/>
        <v>0</v>
      </c>
      <c r="R477">
        <f t="shared" si="76"/>
        <v>0</v>
      </c>
      <c r="S477">
        <f t="shared" si="77"/>
        <v>0</v>
      </c>
      <c r="T477">
        <f t="shared" si="79"/>
        <v>0</v>
      </c>
      <c r="U477">
        <f t="shared" si="78"/>
        <v>0</v>
      </c>
    </row>
    <row r="478" spans="1:21" x14ac:dyDescent="0.25">
      <c r="A478" s="2">
        <v>477</v>
      </c>
      <c r="B478" s="2" t="s">
        <v>605</v>
      </c>
      <c r="C478" s="2" t="s">
        <v>187</v>
      </c>
      <c r="D478">
        <v>174.8</v>
      </c>
      <c r="E478">
        <v>14773.85</v>
      </c>
      <c r="F478">
        <v>468.88</v>
      </c>
      <c r="G478">
        <v>479.22</v>
      </c>
      <c r="H478" s="80">
        <v>19912.28</v>
      </c>
      <c r="I478" s="80">
        <v>12412.62</v>
      </c>
      <c r="J478">
        <v>276.02999999999997</v>
      </c>
      <c r="K478">
        <v>4433.29</v>
      </c>
      <c r="L478">
        <f t="shared" si="70"/>
        <v>0</v>
      </c>
      <c r="M478">
        <f t="shared" si="71"/>
        <v>0</v>
      </c>
      <c r="N478">
        <f t="shared" si="72"/>
        <v>0</v>
      </c>
      <c r="O478">
        <f t="shared" si="73"/>
        <v>0</v>
      </c>
      <c r="P478">
        <f t="shared" si="74"/>
        <v>0</v>
      </c>
      <c r="Q478">
        <f t="shared" si="75"/>
        <v>0</v>
      </c>
      <c r="R478">
        <f t="shared" si="76"/>
        <v>0</v>
      </c>
      <c r="S478">
        <f t="shared" si="77"/>
        <v>0</v>
      </c>
      <c r="T478">
        <f t="shared" si="79"/>
        <v>0</v>
      </c>
      <c r="U478">
        <f t="shared" si="78"/>
        <v>0</v>
      </c>
    </row>
    <row r="479" spans="1:21" x14ac:dyDescent="0.25">
      <c r="A479" s="2">
        <v>478</v>
      </c>
      <c r="B479" s="2" t="s">
        <v>605</v>
      </c>
      <c r="C479" s="2" t="s">
        <v>189</v>
      </c>
      <c r="D479">
        <v>97.36</v>
      </c>
      <c r="E479">
        <v>20137.650000000001</v>
      </c>
      <c r="F479">
        <v>152.22999999999999</v>
      </c>
      <c r="G479">
        <v>376.98</v>
      </c>
      <c r="H479">
        <v>11426.88</v>
      </c>
      <c r="I479" s="80">
        <v>13422.64</v>
      </c>
      <c r="J479">
        <v>276.02999999999997</v>
      </c>
      <c r="K479">
        <v>5867.97</v>
      </c>
      <c r="L479">
        <f t="shared" si="70"/>
        <v>0</v>
      </c>
      <c r="M479">
        <f t="shared" si="71"/>
        <v>0</v>
      </c>
      <c r="N479">
        <f t="shared" si="72"/>
        <v>0</v>
      </c>
      <c r="O479">
        <f t="shared" si="73"/>
        <v>0</v>
      </c>
      <c r="P479">
        <f t="shared" si="74"/>
        <v>0</v>
      </c>
      <c r="Q479">
        <f t="shared" si="75"/>
        <v>0</v>
      </c>
      <c r="R479">
        <f t="shared" si="76"/>
        <v>0</v>
      </c>
      <c r="S479">
        <f t="shared" si="77"/>
        <v>0</v>
      </c>
      <c r="T479">
        <f t="shared" si="79"/>
        <v>0</v>
      </c>
      <c r="U479">
        <f t="shared" si="78"/>
        <v>0</v>
      </c>
    </row>
    <row r="480" spans="1:21" x14ac:dyDescent="0.25">
      <c r="A480" s="2">
        <v>479</v>
      </c>
      <c r="B480" s="2">
        <v>2014</v>
      </c>
      <c r="C480" s="2" t="s">
        <v>162</v>
      </c>
      <c r="D480">
        <v>35.44</v>
      </c>
      <c r="E480" s="80">
        <v>30371.27</v>
      </c>
      <c r="F480">
        <v>6.53</v>
      </c>
      <c r="G480">
        <v>241.78</v>
      </c>
      <c r="H480">
        <v>13.98</v>
      </c>
      <c r="I480">
        <v>8.0399999999999991</v>
      </c>
      <c r="J480">
        <v>183.76</v>
      </c>
      <c r="K480">
        <v>15.95</v>
      </c>
      <c r="L480">
        <f t="shared" si="70"/>
        <v>0</v>
      </c>
      <c r="M480">
        <f t="shared" si="71"/>
        <v>0</v>
      </c>
      <c r="N480">
        <f t="shared" si="72"/>
        <v>0</v>
      </c>
      <c r="O480">
        <f t="shared" si="73"/>
        <v>0</v>
      </c>
      <c r="P480">
        <f t="shared" si="74"/>
        <v>0</v>
      </c>
      <c r="Q480">
        <f t="shared" si="75"/>
        <v>0</v>
      </c>
      <c r="R480">
        <f t="shared" si="76"/>
        <v>0</v>
      </c>
      <c r="S480">
        <f t="shared" si="77"/>
        <v>0</v>
      </c>
      <c r="T480">
        <f t="shared" si="79"/>
        <v>0</v>
      </c>
      <c r="U480">
        <f t="shared" si="78"/>
        <v>0</v>
      </c>
    </row>
    <row r="481" spans="1:21" x14ac:dyDescent="0.25">
      <c r="A481" s="2">
        <v>480</v>
      </c>
      <c r="B481" s="2">
        <v>2014</v>
      </c>
      <c r="C481" s="2" t="s">
        <v>170</v>
      </c>
      <c r="D481">
        <v>69.150000000000006</v>
      </c>
      <c r="E481" s="80">
        <v>32177.89</v>
      </c>
      <c r="F481">
        <v>273.79000000000002</v>
      </c>
      <c r="G481">
        <v>241.78</v>
      </c>
      <c r="H481">
        <v>2900.71</v>
      </c>
      <c r="I481" s="80">
        <v>8028.24</v>
      </c>
      <c r="J481">
        <v>206.89</v>
      </c>
      <c r="K481">
        <v>857.67</v>
      </c>
      <c r="L481">
        <f t="shared" si="70"/>
        <v>0</v>
      </c>
      <c r="M481">
        <f t="shared" si="71"/>
        <v>0</v>
      </c>
      <c r="N481">
        <f t="shared" si="72"/>
        <v>0</v>
      </c>
      <c r="O481">
        <f t="shared" si="73"/>
        <v>0</v>
      </c>
      <c r="P481">
        <f t="shared" si="74"/>
        <v>0</v>
      </c>
      <c r="Q481">
        <f t="shared" si="75"/>
        <v>0</v>
      </c>
      <c r="R481">
        <f t="shared" si="76"/>
        <v>0</v>
      </c>
      <c r="S481">
        <f t="shared" si="77"/>
        <v>0</v>
      </c>
      <c r="T481">
        <f t="shared" si="79"/>
        <v>0</v>
      </c>
      <c r="U481">
        <f t="shared" si="78"/>
        <v>0</v>
      </c>
    </row>
    <row r="482" spans="1:21" x14ac:dyDescent="0.25">
      <c r="A482" s="2">
        <v>481</v>
      </c>
      <c r="B482" s="2">
        <v>2014</v>
      </c>
      <c r="C482" s="2" t="s">
        <v>178</v>
      </c>
      <c r="D482">
        <v>251.78</v>
      </c>
      <c r="E482" s="80">
        <v>33019.49</v>
      </c>
      <c r="F482">
        <v>1349.96</v>
      </c>
      <c r="G482">
        <v>521.25</v>
      </c>
      <c r="H482">
        <v>9722.64</v>
      </c>
      <c r="I482" s="80">
        <v>11647.44</v>
      </c>
      <c r="J482">
        <v>291.36</v>
      </c>
      <c r="K482">
        <v>1943.13</v>
      </c>
      <c r="L482">
        <f t="shared" si="70"/>
        <v>0</v>
      </c>
      <c r="M482">
        <f t="shared" si="71"/>
        <v>0</v>
      </c>
      <c r="N482">
        <f t="shared" si="72"/>
        <v>0</v>
      </c>
      <c r="O482">
        <f t="shared" si="73"/>
        <v>0</v>
      </c>
      <c r="P482">
        <f t="shared" si="74"/>
        <v>0</v>
      </c>
      <c r="Q482">
        <f t="shared" si="75"/>
        <v>0</v>
      </c>
      <c r="R482">
        <f t="shared" si="76"/>
        <v>0</v>
      </c>
      <c r="S482">
        <f t="shared" si="77"/>
        <v>0</v>
      </c>
      <c r="T482">
        <f t="shared" si="79"/>
        <v>0</v>
      </c>
      <c r="U482">
        <f t="shared" si="78"/>
        <v>0</v>
      </c>
    </row>
    <row r="483" spans="1:21" x14ac:dyDescent="0.25">
      <c r="A483" s="2">
        <v>482</v>
      </c>
      <c r="B483" s="2">
        <v>2014</v>
      </c>
      <c r="C483" s="2" t="s">
        <v>163</v>
      </c>
      <c r="D483">
        <v>499</v>
      </c>
      <c r="E483" s="80">
        <v>41602.910000000003</v>
      </c>
      <c r="F483">
        <v>286.64</v>
      </c>
      <c r="G483">
        <v>628.85</v>
      </c>
      <c r="H483">
        <v>4102.88</v>
      </c>
      <c r="I483" s="80">
        <v>7604.92</v>
      </c>
      <c r="J483">
        <v>352.53</v>
      </c>
      <c r="K483">
        <v>7586.48</v>
      </c>
      <c r="L483">
        <f t="shared" si="70"/>
        <v>0</v>
      </c>
      <c r="M483">
        <f t="shared" si="71"/>
        <v>0</v>
      </c>
      <c r="N483">
        <f t="shared" si="72"/>
        <v>0</v>
      </c>
      <c r="O483">
        <f t="shared" si="73"/>
        <v>0</v>
      </c>
      <c r="P483">
        <f t="shared" si="74"/>
        <v>0</v>
      </c>
      <c r="Q483">
        <f t="shared" si="75"/>
        <v>0</v>
      </c>
      <c r="R483">
        <f t="shared" si="76"/>
        <v>0</v>
      </c>
      <c r="S483">
        <f t="shared" si="77"/>
        <v>0</v>
      </c>
      <c r="T483">
        <f t="shared" si="79"/>
        <v>0</v>
      </c>
      <c r="U483">
        <f t="shared" si="78"/>
        <v>0</v>
      </c>
    </row>
    <row r="484" spans="1:21" x14ac:dyDescent="0.25">
      <c r="A484" s="2">
        <v>483</v>
      </c>
      <c r="B484" s="2">
        <v>2014</v>
      </c>
      <c r="C484" s="2" t="s">
        <v>181</v>
      </c>
      <c r="D484">
        <v>108.15</v>
      </c>
      <c r="E484" s="80">
        <v>49501.93</v>
      </c>
      <c r="F484">
        <v>9.34</v>
      </c>
      <c r="G484">
        <v>376.98</v>
      </c>
      <c r="H484">
        <v>331.83</v>
      </c>
      <c r="I484">
        <v>140.38999999999999</v>
      </c>
      <c r="J484">
        <v>276.02999999999997</v>
      </c>
      <c r="K484">
        <v>173.38</v>
      </c>
      <c r="L484">
        <f t="shared" si="70"/>
        <v>0</v>
      </c>
      <c r="M484">
        <f t="shared" si="71"/>
        <v>0</v>
      </c>
      <c r="N484">
        <f t="shared" si="72"/>
        <v>0</v>
      </c>
      <c r="O484">
        <f t="shared" si="73"/>
        <v>0</v>
      </c>
      <c r="P484">
        <f t="shared" si="74"/>
        <v>0</v>
      </c>
      <c r="Q484">
        <f t="shared" si="75"/>
        <v>0</v>
      </c>
      <c r="R484">
        <f t="shared" si="76"/>
        <v>0</v>
      </c>
      <c r="S484">
        <f t="shared" si="77"/>
        <v>0</v>
      </c>
      <c r="T484">
        <f t="shared" si="79"/>
        <v>0</v>
      </c>
      <c r="U484">
        <f t="shared" si="78"/>
        <v>0</v>
      </c>
    </row>
    <row r="485" spans="1:21" x14ac:dyDescent="0.25">
      <c r="A485" s="2">
        <v>484</v>
      </c>
      <c r="B485" s="2">
        <v>2014</v>
      </c>
      <c r="C485" s="2" t="s">
        <v>183</v>
      </c>
      <c r="D485">
        <v>148.53</v>
      </c>
      <c r="E485" s="80">
        <v>35537.449999999997</v>
      </c>
      <c r="F485">
        <v>922.48</v>
      </c>
      <c r="G485">
        <v>650.77</v>
      </c>
      <c r="H485">
        <v>11745.6</v>
      </c>
      <c r="I485" s="80">
        <v>15770.14</v>
      </c>
      <c r="J485">
        <v>443.96</v>
      </c>
      <c r="K485">
        <v>7381.89</v>
      </c>
      <c r="L485">
        <f t="shared" si="70"/>
        <v>0</v>
      </c>
      <c r="M485">
        <f t="shared" si="71"/>
        <v>0</v>
      </c>
      <c r="N485">
        <f t="shared" si="72"/>
        <v>0</v>
      </c>
      <c r="O485">
        <f t="shared" si="73"/>
        <v>0</v>
      </c>
      <c r="P485">
        <f t="shared" si="74"/>
        <v>0</v>
      </c>
      <c r="Q485">
        <f t="shared" si="75"/>
        <v>0</v>
      </c>
      <c r="R485">
        <f t="shared" si="76"/>
        <v>0</v>
      </c>
      <c r="S485">
        <f t="shared" si="77"/>
        <v>0</v>
      </c>
      <c r="T485">
        <f t="shared" si="79"/>
        <v>0</v>
      </c>
      <c r="U485">
        <f t="shared" si="78"/>
        <v>0</v>
      </c>
    </row>
    <row r="486" spans="1:21" x14ac:dyDescent="0.25">
      <c r="A486" s="2">
        <v>485</v>
      </c>
      <c r="B486" s="2">
        <v>2014</v>
      </c>
      <c r="C486" s="2" t="s">
        <v>186</v>
      </c>
      <c r="D486">
        <v>126.35</v>
      </c>
      <c r="E486">
        <v>24203.13</v>
      </c>
      <c r="F486">
        <v>1426.53</v>
      </c>
      <c r="G486">
        <v>628.85</v>
      </c>
      <c r="H486" s="80">
        <v>21292.02</v>
      </c>
      <c r="I486" s="80">
        <v>15951.75</v>
      </c>
      <c r="J486">
        <v>337.25</v>
      </c>
      <c r="K486" s="80">
        <v>8398.5300000000007</v>
      </c>
      <c r="L486">
        <f t="shared" si="70"/>
        <v>0</v>
      </c>
      <c r="M486">
        <f t="shared" si="71"/>
        <v>0</v>
      </c>
      <c r="N486">
        <f t="shared" si="72"/>
        <v>0</v>
      </c>
      <c r="O486">
        <f t="shared" si="73"/>
        <v>0</v>
      </c>
      <c r="P486">
        <f t="shared" si="74"/>
        <v>0</v>
      </c>
      <c r="Q486">
        <f t="shared" si="75"/>
        <v>0</v>
      </c>
      <c r="R486">
        <f t="shared" si="76"/>
        <v>0</v>
      </c>
      <c r="S486">
        <f t="shared" si="77"/>
        <v>0</v>
      </c>
      <c r="T486">
        <f t="shared" si="79"/>
        <v>0</v>
      </c>
      <c r="U486">
        <f t="shared" si="78"/>
        <v>0</v>
      </c>
    </row>
    <row r="487" spans="1:21" x14ac:dyDescent="0.25">
      <c r="A487" s="2">
        <v>486</v>
      </c>
      <c r="B487" s="2">
        <v>2014</v>
      </c>
      <c r="C487" s="2" t="s">
        <v>188</v>
      </c>
      <c r="D487">
        <v>133.71</v>
      </c>
      <c r="E487" s="80">
        <v>54402.1</v>
      </c>
      <c r="F487">
        <v>341.01</v>
      </c>
      <c r="G487">
        <v>717.31</v>
      </c>
      <c r="H487">
        <v>5247.21</v>
      </c>
      <c r="I487" s="80">
        <v>10150.01</v>
      </c>
      <c r="J487">
        <v>603.26</v>
      </c>
      <c r="K487" s="80">
        <v>12894.08</v>
      </c>
      <c r="L487">
        <f t="shared" si="70"/>
        <v>0</v>
      </c>
      <c r="M487">
        <f t="shared" si="71"/>
        <v>0</v>
      </c>
      <c r="N487">
        <f t="shared" si="72"/>
        <v>0</v>
      </c>
      <c r="O487">
        <f t="shared" si="73"/>
        <v>0</v>
      </c>
      <c r="P487">
        <f t="shared" si="74"/>
        <v>0</v>
      </c>
      <c r="Q487">
        <f t="shared" si="75"/>
        <v>0</v>
      </c>
      <c r="R487">
        <f t="shared" si="76"/>
        <v>0</v>
      </c>
      <c r="S487">
        <f t="shared" si="77"/>
        <v>0</v>
      </c>
      <c r="T487">
        <f t="shared" si="79"/>
        <v>0</v>
      </c>
      <c r="U487">
        <f t="shared" si="78"/>
        <v>0</v>
      </c>
    </row>
    <row r="488" spans="1:21" x14ac:dyDescent="0.25">
      <c r="A488" s="2">
        <v>487</v>
      </c>
      <c r="B488" s="2">
        <v>2014</v>
      </c>
      <c r="C488" s="2" t="s">
        <v>182</v>
      </c>
      <c r="D488">
        <v>4.92</v>
      </c>
      <c r="E488">
        <v>2023.74</v>
      </c>
      <c r="F488" t="s">
        <v>583</v>
      </c>
      <c r="G488">
        <v>102.68</v>
      </c>
      <c r="H488">
        <v>3.06</v>
      </c>
      <c r="I488">
        <v>0.56999999999999995</v>
      </c>
      <c r="J488" t="s">
        <v>583</v>
      </c>
      <c r="K488" s="80">
        <v>0.59</v>
      </c>
      <c r="L488">
        <f t="shared" si="70"/>
        <v>0</v>
      </c>
      <c r="M488">
        <f t="shared" si="71"/>
        <v>0</v>
      </c>
      <c r="N488">
        <f t="shared" si="72"/>
        <v>0</v>
      </c>
      <c r="O488">
        <f t="shared" si="73"/>
        <v>0</v>
      </c>
      <c r="P488">
        <f t="shared" si="74"/>
        <v>0</v>
      </c>
      <c r="Q488">
        <f t="shared" si="75"/>
        <v>0</v>
      </c>
      <c r="R488">
        <f t="shared" si="76"/>
        <v>0</v>
      </c>
      <c r="S488">
        <f t="shared" si="77"/>
        <v>0</v>
      </c>
      <c r="T488">
        <f t="shared" si="79"/>
        <v>0</v>
      </c>
      <c r="U488">
        <f t="shared" si="78"/>
        <v>0</v>
      </c>
    </row>
    <row r="489" spans="1:21" x14ac:dyDescent="0.25">
      <c r="A489" s="2">
        <v>488</v>
      </c>
      <c r="B489" s="2">
        <v>2014</v>
      </c>
      <c r="C489" s="2" t="s">
        <v>184</v>
      </c>
      <c r="D489">
        <v>209.11</v>
      </c>
      <c r="E489">
        <v>15296.94</v>
      </c>
      <c r="F489">
        <v>388.33</v>
      </c>
      <c r="G489">
        <v>317.79000000000002</v>
      </c>
      <c r="H489">
        <v>8919.86</v>
      </c>
      <c r="I489" s="80">
        <v>13514.8</v>
      </c>
      <c r="J489">
        <v>199.19</v>
      </c>
      <c r="K489">
        <v>1539.1</v>
      </c>
      <c r="L489">
        <f t="shared" si="70"/>
        <v>0</v>
      </c>
      <c r="M489">
        <f t="shared" si="71"/>
        <v>0</v>
      </c>
      <c r="N489">
        <f t="shared" si="72"/>
        <v>0</v>
      </c>
      <c r="O489">
        <f t="shared" si="73"/>
        <v>0</v>
      </c>
      <c r="P489">
        <f t="shared" si="74"/>
        <v>0</v>
      </c>
      <c r="Q489">
        <f t="shared" si="75"/>
        <v>0</v>
      </c>
      <c r="R489">
        <f t="shared" si="76"/>
        <v>0</v>
      </c>
      <c r="S489">
        <f t="shared" si="77"/>
        <v>0</v>
      </c>
      <c r="T489">
        <f t="shared" si="79"/>
        <v>0</v>
      </c>
      <c r="U489">
        <f t="shared" si="78"/>
        <v>0</v>
      </c>
    </row>
    <row r="490" spans="1:21" x14ac:dyDescent="0.25">
      <c r="A490" s="2">
        <v>489</v>
      </c>
      <c r="B490" s="2">
        <v>2014</v>
      </c>
      <c r="C490" s="2" t="s">
        <v>187</v>
      </c>
      <c r="D490">
        <v>1486.92</v>
      </c>
      <c r="E490">
        <v>18303.669999999998</v>
      </c>
      <c r="F490">
        <v>883.45</v>
      </c>
      <c r="G490">
        <v>521.25</v>
      </c>
      <c r="H490" s="80">
        <v>23719.43</v>
      </c>
      <c r="I490" s="80">
        <v>13410.27</v>
      </c>
      <c r="J490">
        <v>383.04</v>
      </c>
      <c r="K490">
        <v>5509.23</v>
      </c>
      <c r="L490">
        <f t="shared" si="70"/>
        <v>0</v>
      </c>
      <c r="M490">
        <f t="shared" si="71"/>
        <v>0</v>
      </c>
      <c r="N490">
        <f t="shared" si="72"/>
        <v>0</v>
      </c>
      <c r="O490">
        <f t="shared" si="73"/>
        <v>0</v>
      </c>
      <c r="P490">
        <f t="shared" si="74"/>
        <v>0</v>
      </c>
      <c r="Q490">
        <f t="shared" si="75"/>
        <v>0</v>
      </c>
      <c r="R490">
        <f t="shared" si="76"/>
        <v>0</v>
      </c>
      <c r="S490">
        <f t="shared" si="77"/>
        <v>0</v>
      </c>
      <c r="T490">
        <f t="shared" si="79"/>
        <v>0</v>
      </c>
      <c r="U490">
        <f t="shared" si="78"/>
        <v>0</v>
      </c>
    </row>
    <row r="491" spans="1:21" x14ac:dyDescent="0.25">
      <c r="A491" s="2">
        <v>490</v>
      </c>
      <c r="B491" s="2">
        <v>2014</v>
      </c>
      <c r="C491" s="2" t="s">
        <v>189</v>
      </c>
      <c r="D491">
        <v>1473.05</v>
      </c>
      <c r="E491">
        <v>9521.2800000000007</v>
      </c>
      <c r="F491">
        <v>14.77</v>
      </c>
      <c r="G491">
        <v>563.87</v>
      </c>
      <c r="H491" s="80">
        <v>18581.830000000002</v>
      </c>
      <c r="I491" s="80">
        <v>3888.81</v>
      </c>
      <c r="J491">
        <v>337.25</v>
      </c>
      <c r="K491">
        <v>6474.48</v>
      </c>
      <c r="L491">
        <f t="shared" si="70"/>
        <v>0</v>
      </c>
      <c r="M491">
        <f t="shared" si="71"/>
        <v>0</v>
      </c>
      <c r="N491">
        <f t="shared" si="72"/>
        <v>0</v>
      </c>
      <c r="O491">
        <f t="shared" si="73"/>
        <v>0</v>
      </c>
      <c r="P491">
        <f t="shared" si="74"/>
        <v>0</v>
      </c>
      <c r="Q491">
        <f t="shared" si="75"/>
        <v>0</v>
      </c>
      <c r="R491">
        <f t="shared" si="76"/>
        <v>0</v>
      </c>
      <c r="S491">
        <f t="shared" si="77"/>
        <v>0</v>
      </c>
      <c r="T491">
        <f t="shared" si="79"/>
        <v>0</v>
      </c>
      <c r="U491">
        <f t="shared" si="78"/>
        <v>0</v>
      </c>
    </row>
    <row r="492" spans="1:21" x14ac:dyDescent="0.25">
      <c r="A492" s="2">
        <v>491</v>
      </c>
      <c r="B492" s="2">
        <v>2020</v>
      </c>
      <c r="C492" s="2" t="s">
        <v>162</v>
      </c>
      <c r="D492">
        <v>22.66</v>
      </c>
      <c r="E492">
        <v>21869.15</v>
      </c>
      <c r="F492">
        <v>4.92</v>
      </c>
      <c r="G492">
        <v>260.44</v>
      </c>
      <c r="H492">
        <v>9.3699999999999992</v>
      </c>
      <c r="I492">
        <v>3.77</v>
      </c>
      <c r="J492">
        <v>75.040000000000006</v>
      </c>
      <c r="K492">
        <v>9.5299999999999994</v>
      </c>
      <c r="L492">
        <f t="shared" si="70"/>
        <v>0</v>
      </c>
      <c r="M492">
        <f t="shared" si="71"/>
        <v>0</v>
      </c>
      <c r="N492">
        <f t="shared" si="72"/>
        <v>0</v>
      </c>
      <c r="O492">
        <f t="shared" si="73"/>
        <v>0</v>
      </c>
      <c r="P492">
        <f t="shared" si="74"/>
        <v>0</v>
      </c>
      <c r="Q492">
        <f t="shared" si="75"/>
        <v>0</v>
      </c>
      <c r="R492">
        <f t="shared" si="76"/>
        <v>0</v>
      </c>
      <c r="S492">
        <f t="shared" si="77"/>
        <v>0</v>
      </c>
      <c r="T492">
        <f t="shared" si="79"/>
        <v>0</v>
      </c>
      <c r="U492">
        <f t="shared" si="78"/>
        <v>0</v>
      </c>
    </row>
    <row r="493" spans="1:21" x14ac:dyDescent="0.25">
      <c r="A493" s="2">
        <v>492</v>
      </c>
      <c r="B493" s="2">
        <v>2020</v>
      </c>
      <c r="C493" s="2" t="s">
        <v>170</v>
      </c>
      <c r="D493">
        <v>148.53</v>
      </c>
      <c r="E493" s="80">
        <v>29545.31</v>
      </c>
      <c r="F493">
        <v>361.98</v>
      </c>
      <c r="G493">
        <v>521.25</v>
      </c>
      <c r="H493">
        <v>2960.93</v>
      </c>
      <c r="I493" s="80">
        <v>9962.2900000000009</v>
      </c>
      <c r="J493">
        <v>253.02</v>
      </c>
      <c r="K493">
        <v>1296.96</v>
      </c>
      <c r="L493">
        <f t="shared" si="70"/>
        <v>0</v>
      </c>
      <c r="M493">
        <f t="shared" si="71"/>
        <v>0</v>
      </c>
      <c r="N493">
        <f t="shared" si="72"/>
        <v>0</v>
      </c>
      <c r="O493">
        <f t="shared" si="73"/>
        <v>0</v>
      </c>
      <c r="P493">
        <f t="shared" si="74"/>
        <v>0</v>
      </c>
      <c r="Q493">
        <f t="shared" si="75"/>
        <v>0</v>
      </c>
      <c r="R493">
        <f t="shared" si="76"/>
        <v>0</v>
      </c>
      <c r="S493">
        <f t="shared" si="77"/>
        <v>0</v>
      </c>
      <c r="T493">
        <f t="shared" si="79"/>
        <v>0</v>
      </c>
      <c r="U493">
        <f t="shared" si="78"/>
        <v>0</v>
      </c>
    </row>
    <row r="494" spans="1:21" x14ac:dyDescent="0.25">
      <c r="A494" s="2">
        <v>493</v>
      </c>
      <c r="B494" s="2">
        <v>2020</v>
      </c>
      <c r="C494" s="2" t="s">
        <v>178</v>
      </c>
      <c r="D494">
        <v>698.3</v>
      </c>
      <c r="E494" s="80">
        <v>27460.37</v>
      </c>
      <c r="F494">
        <v>1377.78</v>
      </c>
      <c r="G494">
        <v>521.25</v>
      </c>
      <c r="H494">
        <v>15424.31</v>
      </c>
      <c r="I494" s="80">
        <v>14050.7</v>
      </c>
      <c r="J494">
        <v>344.89</v>
      </c>
      <c r="K494">
        <v>3126.74</v>
      </c>
      <c r="L494">
        <f t="shared" si="70"/>
        <v>0</v>
      </c>
      <c r="M494">
        <f t="shared" si="71"/>
        <v>0</v>
      </c>
      <c r="N494">
        <f t="shared" si="72"/>
        <v>0</v>
      </c>
      <c r="O494">
        <f t="shared" si="73"/>
        <v>0</v>
      </c>
      <c r="P494">
        <f t="shared" si="74"/>
        <v>0</v>
      </c>
      <c r="Q494">
        <f t="shared" si="75"/>
        <v>0</v>
      </c>
      <c r="R494">
        <f t="shared" si="76"/>
        <v>0</v>
      </c>
      <c r="S494">
        <f t="shared" si="77"/>
        <v>0</v>
      </c>
      <c r="T494">
        <f t="shared" si="79"/>
        <v>0</v>
      </c>
      <c r="U494">
        <f t="shared" si="78"/>
        <v>0</v>
      </c>
    </row>
    <row r="495" spans="1:21" x14ac:dyDescent="0.25">
      <c r="A495" s="2">
        <v>494</v>
      </c>
      <c r="B495" s="2">
        <v>2020</v>
      </c>
      <c r="C495" s="2" t="s">
        <v>163</v>
      </c>
      <c r="D495">
        <v>391.75</v>
      </c>
      <c r="E495" s="80">
        <v>37172.89</v>
      </c>
      <c r="F495">
        <v>187.53</v>
      </c>
      <c r="G495">
        <v>521.25</v>
      </c>
      <c r="H495">
        <v>2499.8000000000002</v>
      </c>
      <c r="I495" s="80">
        <v>7317.47</v>
      </c>
      <c r="J495">
        <v>314.32</v>
      </c>
      <c r="K495">
        <v>5752.84</v>
      </c>
      <c r="L495">
        <f t="shared" si="70"/>
        <v>0</v>
      </c>
      <c r="M495">
        <f t="shared" si="71"/>
        <v>0</v>
      </c>
      <c r="N495">
        <f t="shared" si="72"/>
        <v>0</v>
      </c>
      <c r="O495">
        <f t="shared" si="73"/>
        <v>0</v>
      </c>
      <c r="P495">
        <f t="shared" si="74"/>
        <v>0</v>
      </c>
      <c r="Q495">
        <f t="shared" si="75"/>
        <v>0</v>
      </c>
      <c r="R495">
        <f t="shared" si="76"/>
        <v>0</v>
      </c>
      <c r="S495">
        <f t="shared" si="77"/>
        <v>0</v>
      </c>
      <c r="T495">
        <f t="shared" si="79"/>
        <v>0</v>
      </c>
      <c r="U495">
        <f t="shared" si="78"/>
        <v>0</v>
      </c>
    </row>
    <row r="496" spans="1:21" x14ac:dyDescent="0.25">
      <c r="A496" s="2">
        <v>495</v>
      </c>
      <c r="B496" s="2">
        <v>2020</v>
      </c>
      <c r="C496" s="2" t="s">
        <v>181</v>
      </c>
      <c r="D496">
        <v>76.12</v>
      </c>
      <c r="E496" s="80">
        <v>49821.18</v>
      </c>
      <c r="F496">
        <v>8.33</v>
      </c>
      <c r="G496">
        <v>317.79000000000002</v>
      </c>
      <c r="H496">
        <v>229.31</v>
      </c>
      <c r="I496">
        <v>222.92</v>
      </c>
      <c r="J496">
        <v>260.7</v>
      </c>
      <c r="K496">
        <v>136.99</v>
      </c>
      <c r="L496">
        <f t="shared" si="70"/>
        <v>0</v>
      </c>
      <c r="M496">
        <f t="shared" si="71"/>
        <v>0</v>
      </c>
      <c r="N496">
        <f t="shared" si="72"/>
        <v>0</v>
      </c>
      <c r="O496">
        <f t="shared" si="73"/>
        <v>0</v>
      </c>
      <c r="P496">
        <f t="shared" si="74"/>
        <v>0</v>
      </c>
      <c r="Q496">
        <f t="shared" si="75"/>
        <v>0</v>
      </c>
      <c r="R496">
        <f t="shared" si="76"/>
        <v>0</v>
      </c>
      <c r="S496">
        <f t="shared" si="77"/>
        <v>0</v>
      </c>
      <c r="T496">
        <f t="shared" si="79"/>
        <v>0</v>
      </c>
      <c r="U496">
        <f t="shared" si="78"/>
        <v>0</v>
      </c>
    </row>
    <row r="497" spans="1:21" x14ac:dyDescent="0.25">
      <c r="A497" s="2">
        <v>496</v>
      </c>
      <c r="B497" s="2">
        <v>2020</v>
      </c>
      <c r="C497" s="2" t="s">
        <v>183</v>
      </c>
      <c r="D497">
        <v>130.03</v>
      </c>
      <c r="E497" s="80">
        <v>41473.14</v>
      </c>
      <c r="F497">
        <v>1424.93</v>
      </c>
      <c r="G497">
        <v>563.87</v>
      </c>
      <c r="H497">
        <v>13180.06</v>
      </c>
      <c r="I497" s="80">
        <v>17922.46</v>
      </c>
      <c r="J497">
        <v>443.96</v>
      </c>
      <c r="K497" s="80">
        <v>8583.52</v>
      </c>
      <c r="L497">
        <f t="shared" si="70"/>
        <v>0</v>
      </c>
      <c r="M497">
        <f t="shared" si="71"/>
        <v>0</v>
      </c>
      <c r="N497">
        <f t="shared" si="72"/>
        <v>0</v>
      </c>
      <c r="O497">
        <f t="shared" si="73"/>
        <v>0</v>
      </c>
      <c r="P497">
        <f t="shared" si="74"/>
        <v>0</v>
      </c>
      <c r="Q497">
        <f t="shared" si="75"/>
        <v>0</v>
      </c>
      <c r="R497">
        <f t="shared" si="76"/>
        <v>0</v>
      </c>
      <c r="S497">
        <f t="shared" si="77"/>
        <v>0</v>
      </c>
      <c r="T497">
        <f t="shared" si="79"/>
        <v>0</v>
      </c>
      <c r="U497">
        <f t="shared" si="78"/>
        <v>0</v>
      </c>
    </row>
    <row r="498" spans="1:21" x14ac:dyDescent="0.25">
      <c r="A498" s="2">
        <v>497</v>
      </c>
      <c r="B498" s="2">
        <v>2020</v>
      </c>
      <c r="C498" s="2" t="s">
        <v>186</v>
      </c>
      <c r="D498">
        <v>178.58</v>
      </c>
      <c r="E498" s="80">
        <v>37951.519999999997</v>
      </c>
      <c r="F498">
        <v>3366.76</v>
      </c>
      <c r="G498">
        <v>876.65</v>
      </c>
      <c r="H498" s="80">
        <v>60550</v>
      </c>
      <c r="I498" s="80">
        <v>19201.73</v>
      </c>
      <c r="J498">
        <v>610.83000000000004</v>
      </c>
      <c r="K498" s="80">
        <v>13296.29</v>
      </c>
      <c r="L498">
        <f t="shared" si="70"/>
        <v>0</v>
      </c>
      <c r="M498">
        <f t="shared" si="71"/>
        <v>0</v>
      </c>
      <c r="N498">
        <f t="shared" si="72"/>
        <v>0</v>
      </c>
      <c r="O498">
        <f t="shared" si="73"/>
        <v>0</v>
      </c>
      <c r="P498">
        <f t="shared" si="74"/>
        <v>0</v>
      </c>
      <c r="Q498">
        <f t="shared" si="75"/>
        <v>0</v>
      </c>
      <c r="R498">
        <f t="shared" si="76"/>
        <v>0</v>
      </c>
      <c r="S498">
        <f t="shared" si="77"/>
        <v>0</v>
      </c>
      <c r="T498">
        <f t="shared" si="79"/>
        <v>0</v>
      </c>
      <c r="U498">
        <f t="shared" si="78"/>
        <v>0</v>
      </c>
    </row>
    <row r="499" spans="1:21" x14ac:dyDescent="0.25">
      <c r="A499" s="2">
        <v>498</v>
      </c>
      <c r="B499" s="2">
        <v>2020</v>
      </c>
      <c r="C499" s="2" t="s">
        <v>188</v>
      </c>
      <c r="D499">
        <v>155.99</v>
      </c>
      <c r="E499" s="80">
        <v>57500.54</v>
      </c>
      <c r="F499">
        <v>185.45</v>
      </c>
      <c r="G499">
        <v>695.01</v>
      </c>
      <c r="H499">
        <v>2673.02</v>
      </c>
      <c r="I499" s="80">
        <v>10263.280000000001</v>
      </c>
      <c r="J499">
        <v>474.37</v>
      </c>
      <c r="K499" s="80">
        <v>8239.3700000000008</v>
      </c>
      <c r="L499">
        <f t="shared" si="70"/>
        <v>0</v>
      </c>
      <c r="M499">
        <f t="shared" si="71"/>
        <v>0</v>
      </c>
      <c r="N499">
        <f t="shared" si="72"/>
        <v>0</v>
      </c>
      <c r="O499">
        <f t="shared" si="73"/>
        <v>0</v>
      </c>
      <c r="P499">
        <f t="shared" si="74"/>
        <v>0</v>
      </c>
      <c r="Q499">
        <f t="shared" si="75"/>
        <v>0</v>
      </c>
      <c r="R499">
        <f t="shared" si="76"/>
        <v>0</v>
      </c>
      <c r="S499">
        <f t="shared" si="77"/>
        <v>0</v>
      </c>
      <c r="T499">
        <f t="shared" si="79"/>
        <v>0</v>
      </c>
      <c r="U499">
        <f t="shared" si="78"/>
        <v>0</v>
      </c>
    </row>
    <row r="500" spans="1:21" x14ac:dyDescent="0.25">
      <c r="A500" s="2">
        <v>499</v>
      </c>
      <c r="B500" s="2">
        <v>2020</v>
      </c>
      <c r="C500" s="2" t="s">
        <v>182</v>
      </c>
      <c r="D500" s="80">
        <v>0.01</v>
      </c>
      <c r="E500">
        <v>1339.94</v>
      </c>
      <c r="F500" t="s">
        <v>583</v>
      </c>
      <c r="G500">
        <v>102.68</v>
      </c>
      <c r="H500">
        <v>13.98</v>
      </c>
      <c r="I500">
        <v>29.9</v>
      </c>
      <c r="J500">
        <v>35.659999999999997</v>
      </c>
      <c r="K500">
        <v>3.41</v>
      </c>
      <c r="L500">
        <f t="shared" si="70"/>
        <v>0</v>
      </c>
      <c r="M500">
        <f t="shared" si="71"/>
        <v>0</v>
      </c>
      <c r="N500">
        <f t="shared" si="72"/>
        <v>0</v>
      </c>
      <c r="O500">
        <f t="shared" si="73"/>
        <v>0</v>
      </c>
      <c r="P500">
        <f t="shared" si="74"/>
        <v>0</v>
      </c>
      <c r="Q500">
        <f t="shared" si="75"/>
        <v>0</v>
      </c>
      <c r="R500">
        <f t="shared" si="76"/>
        <v>0</v>
      </c>
      <c r="S500">
        <f t="shared" si="77"/>
        <v>0</v>
      </c>
      <c r="T500">
        <f t="shared" si="79"/>
        <v>0</v>
      </c>
      <c r="U500">
        <f t="shared" si="78"/>
        <v>0</v>
      </c>
    </row>
    <row r="501" spans="1:21" x14ac:dyDescent="0.25">
      <c r="A501" s="2">
        <v>500</v>
      </c>
      <c r="B501" s="2">
        <v>2020</v>
      </c>
      <c r="C501" s="2" t="s">
        <v>184</v>
      </c>
      <c r="D501">
        <v>991.78</v>
      </c>
      <c r="E501">
        <v>9219.08</v>
      </c>
      <c r="F501">
        <v>193.4</v>
      </c>
      <c r="G501">
        <v>458.44</v>
      </c>
      <c r="H501">
        <v>8951.4599999999991</v>
      </c>
      <c r="I501" s="80">
        <v>14318.41</v>
      </c>
      <c r="J501">
        <v>299.02</v>
      </c>
      <c r="K501">
        <v>3896.23</v>
      </c>
      <c r="L501">
        <f t="shared" si="70"/>
        <v>0</v>
      </c>
      <c r="M501">
        <f t="shared" si="71"/>
        <v>0</v>
      </c>
      <c r="N501">
        <f t="shared" si="72"/>
        <v>0</v>
      </c>
      <c r="O501">
        <f t="shared" si="73"/>
        <v>0</v>
      </c>
      <c r="P501">
        <f t="shared" si="74"/>
        <v>0</v>
      </c>
      <c r="Q501">
        <f t="shared" si="75"/>
        <v>0</v>
      </c>
      <c r="R501">
        <f t="shared" si="76"/>
        <v>0</v>
      </c>
      <c r="S501">
        <f t="shared" si="77"/>
        <v>0</v>
      </c>
      <c r="T501">
        <f t="shared" si="79"/>
        <v>0</v>
      </c>
      <c r="U501">
        <f t="shared" si="78"/>
        <v>0</v>
      </c>
    </row>
    <row r="502" spans="1:21" x14ac:dyDescent="0.25">
      <c r="A502" s="2">
        <v>501</v>
      </c>
      <c r="B502" s="2">
        <v>2020</v>
      </c>
      <c r="C502" s="2" t="s">
        <v>187</v>
      </c>
      <c r="D502">
        <v>3798.47</v>
      </c>
      <c r="E502">
        <v>12687.6</v>
      </c>
      <c r="F502">
        <v>343.07</v>
      </c>
      <c r="G502">
        <v>437.82</v>
      </c>
      <c r="H502" s="80">
        <v>17426.47</v>
      </c>
      <c r="I502" s="80">
        <v>14435.58</v>
      </c>
      <c r="J502">
        <v>443.96</v>
      </c>
      <c r="K502" s="80">
        <v>8301.8700000000008</v>
      </c>
      <c r="L502">
        <f t="shared" si="70"/>
        <v>0</v>
      </c>
      <c r="M502">
        <f t="shared" si="71"/>
        <v>0</v>
      </c>
      <c r="N502">
        <f t="shared" si="72"/>
        <v>0</v>
      </c>
      <c r="O502">
        <f t="shared" si="73"/>
        <v>0</v>
      </c>
      <c r="P502">
        <f t="shared" si="74"/>
        <v>0</v>
      </c>
      <c r="Q502">
        <f t="shared" si="75"/>
        <v>0</v>
      </c>
      <c r="R502">
        <f t="shared" si="76"/>
        <v>0</v>
      </c>
      <c r="S502">
        <f t="shared" si="77"/>
        <v>0</v>
      </c>
      <c r="T502">
        <f t="shared" si="79"/>
        <v>0</v>
      </c>
      <c r="U502">
        <f t="shared" si="78"/>
        <v>0</v>
      </c>
    </row>
    <row r="503" spans="1:21" x14ac:dyDescent="0.25">
      <c r="A503" s="2">
        <v>502</v>
      </c>
      <c r="B503" s="2">
        <v>2020</v>
      </c>
      <c r="C503" s="2" t="s">
        <v>189</v>
      </c>
      <c r="D503">
        <v>3453.25</v>
      </c>
      <c r="E503">
        <v>8322.4500000000007</v>
      </c>
      <c r="F503">
        <v>11.86</v>
      </c>
      <c r="G503">
        <v>479.22</v>
      </c>
      <c r="H503">
        <v>12121.15</v>
      </c>
      <c r="I503" s="80">
        <v>7592.2</v>
      </c>
      <c r="J503">
        <v>329.61</v>
      </c>
      <c r="K503" s="80">
        <v>9245.9599999999991</v>
      </c>
      <c r="L503">
        <f t="shared" si="70"/>
        <v>0</v>
      </c>
      <c r="M503">
        <f t="shared" si="71"/>
        <v>0</v>
      </c>
      <c r="N503">
        <f t="shared" si="72"/>
        <v>0</v>
      </c>
      <c r="O503">
        <f t="shared" si="73"/>
        <v>0</v>
      </c>
      <c r="P503">
        <f t="shared" si="74"/>
        <v>0</v>
      </c>
      <c r="Q503">
        <f t="shared" si="75"/>
        <v>0</v>
      </c>
      <c r="R503">
        <f t="shared" si="76"/>
        <v>0</v>
      </c>
      <c r="S503">
        <f t="shared" si="77"/>
        <v>0</v>
      </c>
      <c r="T503">
        <f t="shared" si="79"/>
        <v>0</v>
      </c>
      <c r="U503">
        <f t="shared" si="78"/>
        <v>0</v>
      </c>
    </row>
    <row r="504" spans="1:21" x14ac:dyDescent="0.25">
      <c r="A504" s="2">
        <v>503</v>
      </c>
      <c r="B504" s="2" t="s">
        <v>606</v>
      </c>
      <c r="C504" s="2" t="s">
        <v>181</v>
      </c>
      <c r="D504">
        <v>111.77</v>
      </c>
      <c r="E504" s="80">
        <v>53957.33</v>
      </c>
      <c r="F504">
        <v>9.99</v>
      </c>
      <c r="G504">
        <v>357.06</v>
      </c>
      <c r="H504">
        <v>633.01</v>
      </c>
      <c r="I504">
        <v>206.16</v>
      </c>
      <c r="J504">
        <v>245.34</v>
      </c>
      <c r="K504">
        <v>352.68</v>
      </c>
      <c r="L504">
        <f t="shared" si="70"/>
        <v>0</v>
      </c>
      <c r="M504">
        <f t="shared" si="71"/>
        <v>0</v>
      </c>
      <c r="N504">
        <f t="shared" si="72"/>
        <v>0</v>
      </c>
      <c r="O504">
        <f t="shared" si="73"/>
        <v>0</v>
      </c>
      <c r="P504">
        <f t="shared" si="74"/>
        <v>0</v>
      </c>
      <c r="Q504">
        <f t="shared" si="75"/>
        <v>0</v>
      </c>
      <c r="R504">
        <f t="shared" si="76"/>
        <v>0</v>
      </c>
      <c r="S504">
        <f t="shared" si="77"/>
        <v>0</v>
      </c>
      <c r="T504">
        <f t="shared" si="79"/>
        <v>0</v>
      </c>
      <c r="U504">
        <f t="shared" si="78"/>
        <v>0</v>
      </c>
    </row>
    <row r="505" spans="1:21" x14ac:dyDescent="0.25">
      <c r="A505" s="2">
        <v>504</v>
      </c>
      <c r="B505" s="2" t="s">
        <v>606</v>
      </c>
      <c r="C505" s="2" t="s">
        <v>183</v>
      </c>
      <c r="D505">
        <v>119.04</v>
      </c>
      <c r="E505" s="80">
        <v>41195.4</v>
      </c>
      <c r="F505">
        <v>270.36</v>
      </c>
      <c r="G505">
        <v>607.05999999999995</v>
      </c>
      <c r="H505">
        <v>3676.52</v>
      </c>
      <c r="I505" s="80">
        <v>15728.54</v>
      </c>
      <c r="J505">
        <v>352.53</v>
      </c>
      <c r="K505">
        <v>5160.32</v>
      </c>
      <c r="L505">
        <f t="shared" si="70"/>
        <v>0</v>
      </c>
      <c r="M505">
        <f t="shared" si="71"/>
        <v>0</v>
      </c>
      <c r="N505">
        <f t="shared" si="72"/>
        <v>0</v>
      </c>
      <c r="O505">
        <f t="shared" si="73"/>
        <v>0</v>
      </c>
      <c r="P505">
        <f t="shared" si="74"/>
        <v>0</v>
      </c>
      <c r="Q505">
        <f t="shared" si="75"/>
        <v>0</v>
      </c>
      <c r="R505">
        <f t="shared" si="76"/>
        <v>0</v>
      </c>
      <c r="S505">
        <f t="shared" si="77"/>
        <v>0</v>
      </c>
      <c r="T505">
        <f t="shared" si="79"/>
        <v>0</v>
      </c>
      <c r="U505">
        <f t="shared" si="78"/>
        <v>0</v>
      </c>
    </row>
    <row r="506" spans="1:21" x14ac:dyDescent="0.25">
      <c r="A506" s="2">
        <v>505</v>
      </c>
      <c r="B506" s="2" t="s">
        <v>606</v>
      </c>
      <c r="C506" s="2" t="s">
        <v>186</v>
      </c>
      <c r="D506">
        <v>141.1</v>
      </c>
      <c r="E506" s="80">
        <v>34681.629999999997</v>
      </c>
      <c r="F506">
        <v>1118.48</v>
      </c>
      <c r="G506">
        <v>672.83</v>
      </c>
      <c r="H506">
        <v>13075.7</v>
      </c>
      <c r="I506" s="80">
        <v>18862.61</v>
      </c>
      <c r="J506">
        <v>428.75</v>
      </c>
      <c r="K506" s="80">
        <v>11455.05</v>
      </c>
      <c r="L506">
        <f t="shared" si="70"/>
        <v>0</v>
      </c>
      <c r="M506">
        <f t="shared" si="71"/>
        <v>0</v>
      </c>
      <c r="N506">
        <f t="shared" si="72"/>
        <v>0</v>
      </c>
      <c r="O506">
        <f t="shared" si="73"/>
        <v>0</v>
      </c>
      <c r="P506">
        <f t="shared" si="74"/>
        <v>0</v>
      </c>
      <c r="Q506">
        <f t="shared" si="75"/>
        <v>0</v>
      </c>
      <c r="R506">
        <f t="shared" si="76"/>
        <v>0</v>
      </c>
      <c r="S506">
        <f t="shared" si="77"/>
        <v>0</v>
      </c>
      <c r="T506">
        <f t="shared" si="79"/>
        <v>0</v>
      </c>
      <c r="U506">
        <f t="shared" si="78"/>
        <v>0</v>
      </c>
    </row>
    <row r="507" spans="1:21" x14ac:dyDescent="0.25">
      <c r="A507" s="2">
        <v>506</v>
      </c>
      <c r="B507" s="2" t="s">
        <v>606</v>
      </c>
      <c r="C507" s="2" t="s">
        <v>188</v>
      </c>
      <c r="D507">
        <v>155.99</v>
      </c>
      <c r="E507" s="80">
        <v>46832.49</v>
      </c>
      <c r="F507">
        <v>48.6</v>
      </c>
      <c r="G507">
        <v>695.01</v>
      </c>
      <c r="H507">
        <v>3967.69</v>
      </c>
      <c r="I507" s="80">
        <v>7618.95</v>
      </c>
      <c r="J507">
        <v>428.75</v>
      </c>
      <c r="K507">
        <v>6959.82</v>
      </c>
      <c r="L507">
        <f t="shared" si="70"/>
        <v>0</v>
      </c>
      <c r="M507">
        <f t="shared" si="71"/>
        <v>0</v>
      </c>
      <c r="N507">
        <f t="shared" si="72"/>
        <v>0</v>
      </c>
      <c r="O507">
        <f t="shared" si="73"/>
        <v>0</v>
      </c>
      <c r="P507">
        <f t="shared" si="74"/>
        <v>0</v>
      </c>
      <c r="Q507">
        <f t="shared" si="75"/>
        <v>0</v>
      </c>
      <c r="R507">
        <f t="shared" si="76"/>
        <v>0</v>
      </c>
      <c r="S507">
        <f t="shared" si="77"/>
        <v>0</v>
      </c>
      <c r="T507">
        <f t="shared" si="79"/>
        <v>0</v>
      </c>
      <c r="U507">
        <f t="shared" si="78"/>
        <v>0</v>
      </c>
    </row>
    <row r="508" spans="1:21" x14ac:dyDescent="0.25">
      <c r="A508" s="2">
        <v>507</v>
      </c>
      <c r="B508" s="2" t="s">
        <v>606</v>
      </c>
      <c r="C508" s="2" t="s">
        <v>182</v>
      </c>
      <c r="D508">
        <v>42.01</v>
      </c>
      <c r="E508">
        <v>1037.74</v>
      </c>
      <c r="F508">
        <v>4.03</v>
      </c>
      <c r="G508">
        <v>317.79000000000002</v>
      </c>
      <c r="H508">
        <v>9.3699999999999992</v>
      </c>
      <c r="I508">
        <v>2.65</v>
      </c>
      <c r="J508">
        <v>106.27</v>
      </c>
      <c r="K508">
        <v>5.98</v>
      </c>
      <c r="L508">
        <f t="shared" si="70"/>
        <v>0</v>
      </c>
      <c r="M508">
        <f t="shared" si="71"/>
        <v>0</v>
      </c>
      <c r="N508">
        <f t="shared" si="72"/>
        <v>0</v>
      </c>
      <c r="O508">
        <f t="shared" si="73"/>
        <v>0</v>
      </c>
      <c r="P508">
        <f t="shared" si="74"/>
        <v>0</v>
      </c>
      <c r="Q508">
        <f t="shared" si="75"/>
        <v>0</v>
      </c>
      <c r="R508">
        <f t="shared" si="76"/>
        <v>0</v>
      </c>
      <c r="S508">
        <f t="shared" si="77"/>
        <v>0</v>
      </c>
      <c r="T508">
        <f t="shared" si="79"/>
        <v>0</v>
      </c>
      <c r="U508">
        <f t="shared" si="78"/>
        <v>0</v>
      </c>
    </row>
    <row r="509" spans="1:21" x14ac:dyDescent="0.25">
      <c r="A509" s="2">
        <v>508</v>
      </c>
      <c r="B509" s="2" t="s">
        <v>606</v>
      </c>
      <c r="C509" s="2" t="s">
        <v>184</v>
      </c>
      <c r="D509">
        <v>76.12</v>
      </c>
      <c r="E509">
        <v>7355.38</v>
      </c>
      <c r="F509">
        <v>237.45</v>
      </c>
      <c r="G509">
        <v>479.22</v>
      </c>
      <c r="H509">
        <v>961.74</v>
      </c>
      <c r="I509" s="80">
        <v>10529.56</v>
      </c>
      <c r="J509">
        <v>199.19</v>
      </c>
      <c r="K509">
        <v>611.62</v>
      </c>
      <c r="L509">
        <f t="shared" si="70"/>
        <v>0</v>
      </c>
      <c r="M509">
        <f t="shared" si="71"/>
        <v>0</v>
      </c>
      <c r="N509">
        <f t="shared" si="72"/>
        <v>0</v>
      </c>
      <c r="O509">
        <f t="shared" si="73"/>
        <v>0</v>
      </c>
      <c r="P509">
        <f t="shared" si="74"/>
        <v>0</v>
      </c>
      <c r="Q509">
        <f t="shared" si="75"/>
        <v>0</v>
      </c>
      <c r="R509">
        <f t="shared" si="76"/>
        <v>0</v>
      </c>
      <c r="S509">
        <f t="shared" si="77"/>
        <v>0</v>
      </c>
      <c r="T509">
        <f t="shared" si="79"/>
        <v>0</v>
      </c>
      <c r="U509">
        <f t="shared" si="78"/>
        <v>0</v>
      </c>
    </row>
    <row r="510" spans="1:21" x14ac:dyDescent="0.25">
      <c r="A510" s="2">
        <v>509</v>
      </c>
      <c r="B510" s="2" t="s">
        <v>606</v>
      </c>
      <c r="C510" s="2" t="s">
        <v>187</v>
      </c>
      <c r="D510">
        <v>69.150000000000006</v>
      </c>
      <c r="E510">
        <v>13944.12</v>
      </c>
      <c r="F510">
        <v>548.88</v>
      </c>
      <c r="G510">
        <v>479.22</v>
      </c>
      <c r="H510">
        <v>3787.79</v>
      </c>
      <c r="I510" s="80">
        <v>13587.23</v>
      </c>
      <c r="J510">
        <v>229.98</v>
      </c>
      <c r="K510">
        <v>3967.83</v>
      </c>
      <c r="L510">
        <f t="shared" si="70"/>
        <v>0</v>
      </c>
      <c r="M510">
        <f t="shared" si="71"/>
        <v>0</v>
      </c>
      <c r="N510">
        <f t="shared" si="72"/>
        <v>0</v>
      </c>
      <c r="O510">
        <f t="shared" si="73"/>
        <v>0</v>
      </c>
      <c r="P510">
        <f t="shared" si="74"/>
        <v>0</v>
      </c>
      <c r="Q510">
        <f t="shared" si="75"/>
        <v>0</v>
      </c>
      <c r="R510">
        <f t="shared" si="76"/>
        <v>0</v>
      </c>
      <c r="S510">
        <f t="shared" si="77"/>
        <v>0</v>
      </c>
      <c r="T510">
        <f t="shared" si="79"/>
        <v>0</v>
      </c>
      <c r="U510">
        <f t="shared" si="78"/>
        <v>0</v>
      </c>
    </row>
    <row r="511" spans="1:21" x14ac:dyDescent="0.25">
      <c r="A511" s="2">
        <v>510</v>
      </c>
      <c r="B511" s="2" t="s">
        <v>606</v>
      </c>
      <c r="C511" s="2" t="s">
        <v>189</v>
      </c>
      <c r="D511">
        <v>38.71</v>
      </c>
      <c r="E511">
        <v>9369.98</v>
      </c>
      <c r="F511">
        <v>152.41</v>
      </c>
      <c r="G511">
        <v>317.79000000000002</v>
      </c>
      <c r="H511">
        <v>1064.79</v>
      </c>
      <c r="I511" s="80">
        <v>6977.05</v>
      </c>
      <c r="J511">
        <v>137.35</v>
      </c>
      <c r="K511">
        <v>2288.42</v>
      </c>
      <c r="L511">
        <f t="shared" si="70"/>
        <v>0</v>
      </c>
      <c r="M511">
        <f t="shared" si="71"/>
        <v>0</v>
      </c>
      <c r="N511">
        <f t="shared" si="72"/>
        <v>0</v>
      </c>
      <c r="O511">
        <f t="shared" si="73"/>
        <v>0</v>
      </c>
      <c r="P511">
        <f t="shared" si="74"/>
        <v>0</v>
      </c>
      <c r="Q511">
        <f t="shared" si="75"/>
        <v>0</v>
      </c>
      <c r="R511">
        <f t="shared" si="76"/>
        <v>0</v>
      </c>
      <c r="S511">
        <f t="shared" si="77"/>
        <v>0</v>
      </c>
      <c r="T511">
        <f t="shared" si="79"/>
        <v>0</v>
      </c>
      <c r="U511">
        <f t="shared" si="78"/>
        <v>0</v>
      </c>
    </row>
    <row r="512" spans="1:21" x14ac:dyDescent="0.25">
      <c r="A512" s="2">
        <v>511</v>
      </c>
      <c r="B512" s="2">
        <v>1039</v>
      </c>
      <c r="C512" s="2" t="s">
        <v>162</v>
      </c>
      <c r="D512">
        <v>83.14</v>
      </c>
      <c r="E512" s="80">
        <v>52011.16</v>
      </c>
      <c r="F512">
        <v>11.86</v>
      </c>
      <c r="G512">
        <v>397.08</v>
      </c>
      <c r="H512">
        <v>23.82</v>
      </c>
      <c r="I512">
        <v>21.33</v>
      </c>
      <c r="J512">
        <v>183.76</v>
      </c>
      <c r="K512">
        <v>34.17</v>
      </c>
      <c r="L512">
        <f t="shared" si="70"/>
        <v>0</v>
      </c>
      <c r="M512">
        <f t="shared" si="71"/>
        <v>0</v>
      </c>
      <c r="N512">
        <f t="shared" si="72"/>
        <v>0</v>
      </c>
      <c r="O512">
        <f t="shared" si="73"/>
        <v>0</v>
      </c>
      <c r="P512">
        <f t="shared" si="74"/>
        <v>0</v>
      </c>
      <c r="Q512">
        <f t="shared" si="75"/>
        <v>0</v>
      </c>
      <c r="R512">
        <f t="shared" si="76"/>
        <v>0</v>
      </c>
      <c r="S512">
        <f t="shared" si="77"/>
        <v>0</v>
      </c>
      <c r="T512">
        <f t="shared" si="79"/>
        <v>0</v>
      </c>
      <c r="U512">
        <f t="shared" si="78"/>
        <v>0</v>
      </c>
    </row>
    <row r="513" spans="1:21" x14ac:dyDescent="0.25">
      <c r="A513" s="2">
        <v>512</v>
      </c>
      <c r="B513" s="2">
        <v>1039</v>
      </c>
      <c r="C513" s="2" t="s">
        <v>170</v>
      </c>
      <c r="D513">
        <v>69.150000000000006</v>
      </c>
      <c r="E513" s="80">
        <v>27316.94</v>
      </c>
      <c r="F513">
        <v>432.93</v>
      </c>
      <c r="G513">
        <v>317.79000000000002</v>
      </c>
      <c r="H513">
        <v>5673.96</v>
      </c>
      <c r="I513" s="80">
        <v>12590.94</v>
      </c>
      <c r="J513">
        <v>183.76</v>
      </c>
      <c r="K513">
        <v>1116.7</v>
      </c>
      <c r="L513">
        <f t="shared" si="70"/>
        <v>0</v>
      </c>
      <c r="M513">
        <f t="shared" si="71"/>
        <v>0</v>
      </c>
      <c r="N513">
        <f t="shared" si="72"/>
        <v>0</v>
      </c>
      <c r="O513">
        <f t="shared" si="73"/>
        <v>0</v>
      </c>
      <c r="P513">
        <f t="shared" si="74"/>
        <v>0</v>
      </c>
      <c r="Q513">
        <f t="shared" si="75"/>
        <v>0</v>
      </c>
      <c r="R513">
        <f t="shared" si="76"/>
        <v>0</v>
      </c>
      <c r="S513">
        <f t="shared" si="77"/>
        <v>0</v>
      </c>
      <c r="T513">
        <f t="shared" si="79"/>
        <v>0</v>
      </c>
      <c r="U513">
        <f t="shared" si="78"/>
        <v>0</v>
      </c>
    </row>
    <row r="514" spans="1:21" x14ac:dyDescent="0.25">
      <c r="A514" s="2">
        <v>513</v>
      </c>
      <c r="B514" s="2">
        <v>1039</v>
      </c>
      <c r="C514" s="2" t="s">
        <v>178</v>
      </c>
      <c r="D514">
        <v>137.4</v>
      </c>
      <c r="E514">
        <v>24010.18</v>
      </c>
      <c r="F514">
        <v>1860</v>
      </c>
      <c r="G514">
        <v>730.98</v>
      </c>
      <c r="H514" s="80">
        <v>21341.72</v>
      </c>
      <c r="I514" s="80">
        <v>14741.6</v>
      </c>
      <c r="J514">
        <v>299.02</v>
      </c>
      <c r="K514">
        <v>2783.84</v>
      </c>
      <c r="L514">
        <f t="shared" ref="L514:L577" si="80">IF(D514 = "OOR &gt;", 1,0)</f>
        <v>0</v>
      </c>
      <c r="M514">
        <f t="shared" ref="M514:M577" si="81">IF(E514 = "OOR &gt;", 1,0)</f>
        <v>0</v>
      </c>
      <c r="N514">
        <f t="shared" ref="N514:N577" si="82">IF(F514 = "OOR &gt;", 1,0)</f>
        <v>0</v>
      </c>
      <c r="O514">
        <f t="shared" ref="O514:O577" si="83">IF(G514 = "OOR &gt;", 1,0)</f>
        <v>0</v>
      </c>
      <c r="P514">
        <f t="shared" ref="P514:P577" si="84">IF(H514 = "OOR &gt;", 1,0)</f>
        <v>0</v>
      </c>
      <c r="Q514">
        <f t="shared" ref="Q514:Q577" si="85">IF(I514 = "OOR &gt;", 1,0)</f>
        <v>0</v>
      </c>
      <c r="R514">
        <f t="shared" ref="R514:R577" si="86">IF(J514 = "OOR &gt;", 1,0)</f>
        <v>0</v>
      </c>
      <c r="S514">
        <f t="shared" ref="S514:S577" si="87">IF(K514 = "OOR &gt;", 1,0)</f>
        <v>0</v>
      </c>
      <c r="T514">
        <f t="shared" si="79"/>
        <v>0</v>
      </c>
      <c r="U514">
        <f t="shared" ref="U514:U577" si="88">IF(T514 &gt; 0,1,0)</f>
        <v>0</v>
      </c>
    </row>
    <row r="515" spans="1:21" x14ac:dyDescent="0.25">
      <c r="A515" s="2">
        <v>514</v>
      </c>
      <c r="B515" s="2">
        <v>1039</v>
      </c>
      <c r="C515" s="2" t="s">
        <v>163</v>
      </c>
      <c r="D515">
        <v>86.68</v>
      </c>
      <c r="E515" s="80">
        <v>30652.02</v>
      </c>
      <c r="F515">
        <v>1213.07</v>
      </c>
      <c r="G515">
        <v>587.16</v>
      </c>
      <c r="H515">
        <v>8335.9</v>
      </c>
      <c r="I515" s="80">
        <v>13199.05</v>
      </c>
      <c r="J515">
        <v>329.61</v>
      </c>
      <c r="K515">
        <v>6934.2</v>
      </c>
      <c r="L515">
        <f t="shared" si="80"/>
        <v>0</v>
      </c>
      <c r="M515">
        <f t="shared" si="81"/>
        <v>0</v>
      </c>
      <c r="N515">
        <f t="shared" si="82"/>
        <v>0</v>
      </c>
      <c r="O515">
        <f t="shared" si="83"/>
        <v>0</v>
      </c>
      <c r="P515">
        <f t="shared" si="84"/>
        <v>0</v>
      </c>
      <c r="Q515">
        <f t="shared" si="85"/>
        <v>0</v>
      </c>
      <c r="R515">
        <f t="shared" si="86"/>
        <v>0</v>
      </c>
      <c r="S515">
        <f t="shared" si="87"/>
        <v>0</v>
      </c>
      <c r="T515">
        <f t="shared" ref="T515:T578" si="89">SUMIF(L515:S515,"&gt;0")</f>
        <v>0</v>
      </c>
      <c r="U515">
        <f t="shared" si="88"/>
        <v>0</v>
      </c>
    </row>
    <row r="516" spans="1:21" x14ac:dyDescent="0.25">
      <c r="A516" s="2">
        <v>515</v>
      </c>
      <c r="B516" s="2">
        <v>1039</v>
      </c>
      <c r="C516" s="2" t="s">
        <v>181</v>
      </c>
      <c r="D516">
        <v>38.71</v>
      </c>
      <c r="E516" s="80">
        <v>42295.03</v>
      </c>
      <c r="F516">
        <v>4.8499999999999996</v>
      </c>
      <c r="G516">
        <v>39.58</v>
      </c>
      <c r="H516">
        <v>1086.55</v>
      </c>
      <c r="I516">
        <v>448.27</v>
      </c>
      <c r="J516">
        <v>137.35</v>
      </c>
      <c r="K516">
        <v>206.69</v>
      </c>
      <c r="L516">
        <f t="shared" si="80"/>
        <v>0</v>
      </c>
      <c r="M516">
        <f t="shared" si="81"/>
        <v>0</v>
      </c>
      <c r="N516">
        <f t="shared" si="82"/>
        <v>0</v>
      </c>
      <c r="O516">
        <f t="shared" si="83"/>
        <v>0</v>
      </c>
      <c r="P516">
        <f t="shared" si="84"/>
        <v>0</v>
      </c>
      <c r="Q516">
        <f t="shared" si="85"/>
        <v>0</v>
      </c>
      <c r="R516">
        <f t="shared" si="86"/>
        <v>0</v>
      </c>
      <c r="S516">
        <f t="shared" si="87"/>
        <v>0</v>
      </c>
      <c r="T516">
        <f t="shared" si="89"/>
        <v>0</v>
      </c>
      <c r="U516">
        <f t="shared" si="88"/>
        <v>0</v>
      </c>
    </row>
    <row r="517" spans="1:21" x14ac:dyDescent="0.25">
      <c r="A517" s="2">
        <v>516</v>
      </c>
      <c r="B517" s="2">
        <v>1039</v>
      </c>
      <c r="C517" s="2" t="s">
        <v>183</v>
      </c>
      <c r="D517">
        <v>25.81</v>
      </c>
      <c r="E517" s="80">
        <v>30263.439999999999</v>
      </c>
      <c r="F517">
        <v>417.42</v>
      </c>
      <c r="G517">
        <v>110.45</v>
      </c>
      <c r="H517">
        <v>9892.99</v>
      </c>
      <c r="I517" s="80">
        <v>17006.34</v>
      </c>
      <c r="J517">
        <v>160.59</v>
      </c>
      <c r="K517">
        <v>6711.25</v>
      </c>
      <c r="L517">
        <f t="shared" si="80"/>
        <v>0</v>
      </c>
      <c r="M517">
        <f t="shared" si="81"/>
        <v>0</v>
      </c>
      <c r="N517">
        <f t="shared" si="82"/>
        <v>0</v>
      </c>
      <c r="O517">
        <f t="shared" si="83"/>
        <v>0</v>
      </c>
      <c r="P517">
        <f t="shared" si="84"/>
        <v>0</v>
      </c>
      <c r="Q517">
        <f t="shared" si="85"/>
        <v>0</v>
      </c>
      <c r="R517">
        <f t="shared" si="86"/>
        <v>0</v>
      </c>
      <c r="S517">
        <f t="shared" si="87"/>
        <v>0</v>
      </c>
      <c r="T517">
        <f t="shared" si="89"/>
        <v>0</v>
      </c>
      <c r="U517">
        <f t="shared" si="88"/>
        <v>0</v>
      </c>
    </row>
    <row r="518" spans="1:21" x14ac:dyDescent="0.25">
      <c r="A518" s="2">
        <v>517</v>
      </c>
      <c r="B518" s="2">
        <v>1039</v>
      </c>
      <c r="C518" s="2" t="s">
        <v>186</v>
      </c>
      <c r="D518">
        <v>79.62</v>
      </c>
      <c r="E518">
        <v>22122.9</v>
      </c>
      <c r="F518">
        <v>808.58</v>
      </c>
      <c r="G518">
        <v>402.85</v>
      </c>
      <c r="H518" s="80">
        <v>32206.880000000001</v>
      </c>
      <c r="I518" s="80">
        <v>17152.939999999999</v>
      </c>
      <c r="J518">
        <v>321.97000000000003</v>
      </c>
      <c r="K518" s="80">
        <v>9413.16</v>
      </c>
      <c r="L518">
        <f t="shared" si="80"/>
        <v>0</v>
      </c>
      <c r="M518">
        <f t="shared" si="81"/>
        <v>0</v>
      </c>
      <c r="N518">
        <f t="shared" si="82"/>
        <v>0</v>
      </c>
      <c r="O518">
        <f t="shared" si="83"/>
        <v>0</v>
      </c>
      <c r="P518">
        <f t="shared" si="84"/>
        <v>0</v>
      </c>
      <c r="Q518">
        <f t="shared" si="85"/>
        <v>0</v>
      </c>
      <c r="R518">
        <f t="shared" si="86"/>
        <v>0</v>
      </c>
      <c r="S518">
        <f t="shared" si="87"/>
        <v>0</v>
      </c>
      <c r="T518">
        <f t="shared" si="89"/>
        <v>0</v>
      </c>
      <c r="U518">
        <f t="shared" si="88"/>
        <v>0</v>
      </c>
    </row>
    <row r="519" spans="1:21" x14ac:dyDescent="0.25">
      <c r="A519" s="2">
        <v>518</v>
      </c>
      <c r="B519" s="2">
        <v>1039</v>
      </c>
      <c r="C519" s="2" t="s">
        <v>188</v>
      </c>
      <c r="D519">
        <v>122.69</v>
      </c>
      <c r="E519" s="80">
        <v>39946.43</v>
      </c>
      <c r="F519">
        <v>527.99</v>
      </c>
      <c r="G519">
        <v>563.62</v>
      </c>
      <c r="H519">
        <v>8207.25</v>
      </c>
      <c r="I519" s="80">
        <v>14717.33</v>
      </c>
      <c r="J519">
        <v>443.96</v>
      </c>
      <c r="K519" s="80">
        <v>10568.41</v>
      </c>
      <c r="L519">
        <f t="shared" si="80"/>
        <v>0</v>
      </c>
      <c r="M519">
        <f t="shared" si="81"/>
        <v>0</v>
      </c>
      <c r="N519">
        <f t="shared" si="82"/>
        <v>0</v>
      </c>
      <c r="O519">
        <f t="shared" si="83"/>
        <v>0</v>
      </c>
      <c r="P519">
        <f t="shared" si="84"/>
        <v>0</v>
      </c>
      <c r="Q519">
        <f t="shared" si="85"/>
        <v>0</v>
      </c>
      <c r="R519">
        <f t="shared" si="86"/>
        <v>0</v>
      </c>
      <c r="S519">
        <f t="shared" si="87"/>
        <v>0</v>
      </c>
      <c r="T519">
        <f t="shared" si="89"/>
        <v>0</v>
      </c>
      <c r="U519">
        <f t="shared" si="88"/>
        <v>0</v>
      </c>
    </row>
    <row r="520" spans="1:21" x14ac:dyDescent="0.25">
      <c r="A520" s="2">
        <v>519</v>
      </c>
      <c r="B520" s="2">
        <v>1039</v>
      </c>
      <c r="C520" s="2" t="s">
        <v>182</v>
      </c>
      <c r="D520">
        <v>79.62</v>
      </c>
      <c r="E520">
        <v>7876.55</v>
      </c>
      <c r="F520">
        <v>15.31</v>
      </c>
      <c r="G520">
        <v>271.68</v>
      </c>
      <c r="H520">
        <v>100.56</v>
      </c>
      <c r="I520">
        <v>986.76</v>
      </c>
      <c r="J520">
        <v>106.27</v>
      </c>
      <c r="K520">
        <v>12.02</v>
      </c>
      <c r="L520">
        <f t="shared" si="80"/>
        <v>0</v>
      </c>
      <c r="M520">
        <f t="shared" si="81"/>
        <v>0</v>
      </c>
      <c r="N520">
        <f t="shared" si="82"/>
        <v>0</v>
      </c>
      <c r="O520">
        <f t="shared" si="83"/>
        <v>0</v>
      </c>
      <c r="P520">
        <f t="shared" si="84"/>
        <v>0</v>
      </c>
      <c r="Q520">
        <f t="shared" si="85"/>
        <v>0</v>
      </c>
      <c r="R520">
        <f t="shared" si="86"/>
        <v>0</v>
      </c>
      <c r="S520">
        <f t="shared" si="87"/>
        <v>0</v>
      </c>
      <c r="T520">
        <f t="shared" si="89"/>
        <v>0</v>
      </c>
      <c r="U520">
        <f t="shared" si="88"/>
        <v>0</v>
      </c>
    </row>
    <row r="521" spans="1:21" x14ac:dyDescent="0.25">
      <c r="A521" s="2">
        <v>520</v>
      </c>
      <c r="B521" s="2">
        <v>1039</v>
      </c>
      <c r="C521" s="2" t="s">
        <v>184</v>
      </c>
      <c r="D521">
        <v>212.96</v>
      </c>
      <c r="E521" s="80">
        <v>27895.87</v>
      </c>
      <c r="F521">
        <v>207.03</v>
      </c>
      <c r="G521">
        <v>928.86</v>
      </c>
      <c r="H521">
        <v>12333.87</v>
      </c>
      <c r="I521" s="80">
        <v>14251.87</v>
      </c>
      <c r="J521">
        <v>451.57</v>
      </c>
      <c r="K521">
        <v>79.510000000000005</v>
      </c>
      <c r="L521">
        <f t="shared" si="80"/>
        <v>0</v>
      </c>
      <c r="M521">
        <f t="shared" si="81"/>
        <v>0</v>
      </c>
      <c r="N521">
        <f t="shared" si="82"/>
        <v>0</v>
      </c>
      <c r="O521">
        <f t="shared" si="83"/>
        <v>0</v>
      </c>
      <c r="P521">
        <f t="shared" si="84"/>
        <v>0</v>
      </c>
      <c r="Q521">
        <f t="shared" si="85"/>
        <v>0</v>
      </c>
      <c r="R521">
        <f t="shared" si="86"/>
        <v>0</v>
      </c>
      <c r="S521">
        <f t="shared" si="87"/>
        <v>0</v>
      </c>
      <c r="T521">
        <f t="shared" si="89"/>
        <v>0</v>
      </c>
      <c r="U521">
        <f t="shared" si="88"/>
        <v>0</v>
      </c>
    </row>
    <row r="522" spans="1:21" x14ac:dyDescent="0.25">
      <c r="A522" s="2">
        <v>521</v>
      </c>
      <c r="B522" s="2">
        <v>1039</v>
      </c>
      <c r="C522" s="2" t="s">
        <v>187</v>
      </c>
      <c r="D522">
        <v>167.25</v>
      </c>
      <c r="E522" s="80">
        <v>25679.25</v>
      </c>
      <c r="F522">
        <v>339.4</v>
      </c>
      <c r="G522">
        <v>779.84</v>
      </c>
      <c r="H522" s="80">
        <v>31713.82</v>
      </c>
      <c r="I522" s="80">
        <v>12590.7</v>
      </c>
      <c r="J522">
        <v>443.96</v>
      </c>
      <c r="K522">
        <v>101.51</v>
      </c>
      <c r="L522">
        <f t="shared" si="80"/>
        <v>0</v>
      </c>
      <c r="M522">
        <f t="shared" si="81"/>
        <v>0</v>
      </c>
      <c r="N522">
        <f t="shared" si="82"/>
        <v>0</v>
      </c>
      <c r="O522">
        <f t="shared" si="83"/>
        <v>0</v>
      </c>
      <c r="P522">
        <f t="shared" si="84"/>
        <v>0</v>
      </c>
      <c r="Q522">
        <f t="shared" si="85"/>
        <v>0</v>
      </c>
      <c r="R522">
        <f t="shared" si="86"/>
        <v>0</v>
      </c>
      <c r="S522">
        <f t="shared" si="87"/>
        <v>0</v>
      </c>
      <c r="T522">
        <f t="shared" si="89"/>
        <v>0</v>
      </c>
      <c r="U522">
        <f t="shared" si="88"/>
        <v>0</v>
      </c>
    </row>
    <row r="523" spans="1:21" x14ac:dyDescent="0.25">
      <c r="A523" s="2">
        <v>522</v>
      </c>
      <c r="B523" s="2">
        <v>1039</v>
      </c>
      <c r="C523" s="2" t="s">
        <v>189</v>
      </c>
      <c r="D523">
        <v>189.98</v>
      </c>
      <c r="E523" s="80">
        <v>26891.83</v>
      </c>
      <c r="F523">
        <v>193.58</v>
      </c>
      <c r="G523">
        <v>1081.24</v>
      </c>
      <c r="H523">
        <v>10842.51</v>
      </c>
      <c r="I523" s="80">
        <v>12697.18</v>
      </c>
      <c r="J523">
        <v>443.96</v>
      </c>
      <c r="K523">
        <v>119.56</v>
      </c>
      <c r="L523">
        <f t="shared" si="80"/>
        <v>0</v>
      </c>
      <c r="M523">
        <f t="shared" si="81"/>
        <v>0</v>
      </c>
      <c r="N523">
        <f t="shared" si="82"/>
        <v>0</v>
      </c>
      <c r="O523">
        <f t="shared" si="83"/>
        <v>0</v>
      </c>
      <c r="P523">
        <f t="shared" si="84"/>
        <v>0</v>
      </c>
      <c r="Q523">
        <f t="shared" si="85"/>
        <v>0</v>
      </c>
      <c r="R523">
        <f t="shared" si="86"/>
        <v>0</v>
      </c>
      <c r="S523">
        <f t="shared" si="87"/>
        <v>0</v>
      </c>
      <c r="T523">
        <f t="shared" si="89"/>
        <v>0</v>
      </c>
      <c r="U523">
        <f t="shared" si="88"/>
        <v>0</v>
      </c>
    </row>
    <row r="524" spans="1:21" x14ac:dyDescent="0.25">
      <c r="A524" s="2">
        <v>523</v>
      </c>
      <c r="B524" s="2">
        <v>1034</v>
      </c>
      <c r="C524" s="2" t="s">
        <v>162</v>
      </c>
      <c r="D524">
        <v>65.69</v>
      </c>
      <c r="E524" s="80">
        <v>47410.37</v>
      </c>
      <c r="F524">
        <v>28.33</v>
      </c>
      <c r="G524">
        <v>402.85</v>
      </c>
      <c r="H524">
        <v>15.13</v>
      </c>
      <c r="I524">
        <v>4.5199999999999996</v>
      </c>
      <c r="J524">
        <v>199.19</v>
      </c>
      <c r="K524">
        <v>22.31</v>
      </c>
      <c r="L524">
        <f t="shared" si="80"/>
        <v>0</v>
      </c>
      <c r="M524">
        <f t="shared" si="81"/>
        <v>0</v>
      </c>
      <c r="N524">
        <f t="shared" si="82"/>
        <v>0</v>
      </c>
      <c r="O524">
        <f t="shared" si="83"/>
        <v>0</v>
      </c>
      <c r="P524">
        <f t="shared" si="84"/>
        <v>0</v>
      </c>
      <c r="Q524">
        <f t="shared" si="85"/>
        <v>0</v>
      </c>
      <c r="R524">
        <f t="shared" si="86"/>
        <v>0</v>
      </c>
      <c r="S524">
        <f t="shared" si="87"/>
        <v>0</v>
      </c>
      <c r="T524">
        <f t="shared" si="89"/>
        <v>0</v>
      </c>
      <c r="U524">
        <f t="shared" si="88"/>
        <v>0</v>
      </c>
    </row>
    <row r="525" spans="1:21" x14ac:dyDescent="0.25">
      <c r="A525" s="2">
        <v>524</v>
      </c>
      <c r="B525" s="2">
        <v>1034</v>
      </c>
      <c r="C525" s="2" t="s">
        <v>170</v>
      </c>
      <c r="D525">
        <v>100.94</v>
      </c>
      <c r="E525" s="80">
        <v>37765.58</v>
      </c>
      <c r="F525">
        <v>274.11</v>
      </c>
      <c r="G525">
        <v>448.02</v>
      </c>
      <c r="H525">
        <v>777.43</v>
      </c>
      <c r="I525" s="80">
        <v>5313.57</v>
      </c>
      <c r="J525">
        <v>229.98</v>
      </c>
      <c r="K525">
        <v>1077.3399999999999</v>
      </c>
      <c r="L525">
        <f t="shared" si="80"/>
        <v>0</v>
      </c>
      <c r="M525">
        <f t="shared" si="81"/>
        <v>0</v>
      </c>
      <c r="N525">
        <f t="shared" si="82"/>
        <v>0</v>
      </c>
      <c r="O525">
        <f t="shared" si="83"/>
        <v>0</v>
      </c>
      <c r="P525">
        <f t="shared" si="84"/>
        <v>0</v>
      </c>
      <c r="Q525">
        <f t="shared" si="85"/>
        <v>0</v>
      </c>
      <c r="R525">
        <f t="shared" si="86"/>
        <v>0</v>
      </c>
      <c r="S525">
        <f t="shared" si="87"/>
        <v>0</v>
      </c>
      <c r="T525">
        <f t="shared" si="89"/>
        <v>0</v>
      </c>
      <c r="U525">
        <f t="shared" si="88"/>
        <v>0</v>
      </c>
    </row>
    <row r="526" spans="1:21" x14ac:dyDescent="0.25">
      <c r="A526" s="2">
        <v>525</v>
      </c>
      <c r="B526" s="2">
        <v>1034</v>
      </c>
      <c r="C526" s="2" t="s">
        <v>178</v>
      </c>
      <c r="D526">
        <v>72.63</v>
      </c>
      <c r="E526" s="80">
        <v>38975.68</v>
      </c>
      <c r="F526">
        <v>1121.43</v>
      </c>
      <c r="G526">
        <v>493.83</v>
      </c>
      <c r="H526">
        <v>3465.95</v>
      </c>
      <c r="I526" s="80">
        <v>8862.5300000000007</v>
      </c>
      <c r="J526">
        <v>199.19</v>
      </c>
      <c r="K526">
        <v>1547.66</v>
      </c>
      <c r="L526">
        <f t="shared" si="80"/>
        <v>0</v>
      </c>
      <c r="M526">
        <f t="shared" si="81"/>
        <v>0</v>
      </c>
      <c r="N526">
        <f t="shared" si="82"/>
        <v>0</v>
      </c>
      <c r="O526">
        <f t="shared" si="83"/>
        <v>0</v>
      </c>
      <c r="P526">
        <f t="shared" si="84"/>
        <v>0</v>
      </c>
      <c r="Q526">
        <f t="shared" si="85"/>
        <v>0</v>
      </c>
      <c r="R526">
        <f t="shared" si="86"/>
        <v>0</v>
      </c>
      <c r="S526">
        <f t="shared" si="87"/>
        <v>0</v>
      </c>
      <c r="T526">
        <f t="shared" si="89"/>
        <v>0</v>
      </c>
      <c r="U526">
        <f t="shared" si="88"/>
        <v>0</v>
      </c>
    </row>
    <row r="527" spans="1:21" x14ac:dyDescent="0.25">
      <c r="A527" s="2">
        <v>526</v>
      </c>
      <c r="B527" s="2">
        <v>1034</v>
      </c>
      <c r="C527" s="2" t="s">
        <v>163</v>
      </c>
      <c r="D527">
        <v>122.69</v>
      </c>
      <c r="E527" s="80">
        <v>45620.27</v>
      </c>
      <c r="F527">
        <v>221.47</v>
      </c>
      <c r="G527">
        <v>634.62</v>
      </c>
      <c r="H527">
        <v>1700.46</v>
      </c>
      <c r="I527">
        <v>1844.7</v>
      </c>
      <c r="J527">
        <v>276.02999999999997</v>
      </c>
      <c r="K527">
        <v>3611.04</v>
      </c>
      <c r="L527">
        <f t="shared" si="80"/>
        <v>0</v>
      </c>
      <c r="M527">
        <f t="shared" si="81"/>
        <v>0</v>
      </c>
      <c r="N527">
        <f t="shared" si="82"/>
        <v>0</v>
      </c>
      <c r="O527">
        <f t="shared" si="83"/>
        <v>0</v>
      </c>
      <c r="P527">
        <f t="shared" si="84"/>
        <v>0</v>
      </c>
      <c r="Q527">
        <f t="shared" si="85"/>
        <v>0</v>
      </c>
      <c r="R527">
        <f t="shared" si="86"/>
        <v>0</v>
      </c>
      <c r="S527">
        <f t="shared" si="87"/>
        <v>0</v>
      </c>
      <c r="T527">
        <f t="shared" si="89"/>
        <v>0</v>
      </c>
      <c r="U527">
        <f t="shared" si="88"/>
        <v>0</v>
      </c>
    </row>
    <row r="528" spans="1:21" x14ac:dyDescent="0.25">
      <c r="A528" s="2">
        <v>527</v>
      </c>
      <c r="B528" s="2">
        <v>1034</v>
      </c>
      <c r="C528" s="2" t="s">
        <v>181</v>
      </c>
      <c r="D528">
        <v>144.81</v>
      </c>
      <c r="E528" s="80">
        <v>60646.55</v>
      </c>
      <c r="F528">
        <v>18.02</v>
      </c>
      <c r="G528">
        <v>470.85</v>
      </c>
      <c r="H528">
        <v>98.41</v>
      </c>
      <c r="I528">
        <v>58.95</v>
      </c>
      <c r="J528">
        <v>360.16</v>
      </c>
      <c r="K528">
        <v>211.68</v>
      </c>
      <c r="L528">
        <f t="shared" si="80"/>
        <v>0</v>
      </c>
      <c r="M528">
        <f t="shared" si="81"/>
        <v>0</v>
      </c>
      <c r="N528">
        <f t="shared" si="82"/>
        <v>0</v>
      </c>
      <c r="O528">
        <f t="shared" si="83"/>
        <v>0</v>
      </c>
      <c r="P528">
        <f t="shared" si="84"/>
        <v>0</v>
      </c>
      <c r="Q528">
        <f t="shared" si="85"/>
        <v>0</v>
      </c>
      <c r="R528">
        <f t="shared" si="86"/>
        <v>0</v>
      </c>
      <c r="S528">
        <f t="shared" si="87"/>
        <v>0</v>
      </c>
      <c r="T528">
        <f t="shared" si="89"/>
        <v>0</v>
      </c>
      <c r="U528">
        <f t="shared" si="88"/>
        <v>0</v>
      </c>
    </row>
    <row r="529" spans="1:21" x14ac:dyDescent="0.25">
      <c r="A529" s="2">
        <v>528</v>
      </c>
      <c r="B529" s="2">
        <v>1034</v>
      </c>
      <c r="C529" s="2" t="s">
        <v>183</v>
      </c>
      <c r="D529">
        <v>412.18</v>
      </c>
      <c r="E529" s="80">
        <v>48138.720000000001</v>
      </c>
      <c r="F529">
        <v>491.59</v>
      </c>
      <c r="G529">
        <v>2050.29</v>
      </c>
      <c r="H529">
        <v>2139.34</v>
      </c>
      <c r="I529" s="80">
        <v>11798.99</v>
      </c>
      <c r="J529">
        <v>927.49</v>
      </c>
      <c r="K529">
        <v>2147.06</v>
      </c>
      <c r="L529">
        <f t="shared" si="80"/>
        <v>0</v>
      </c>
      <c r="M529">
        <f t="shared" si="81"/>
        <v>0</v>
      </c>
      <c r="N529">
        <f t="shared" si="82"/>
        <v>0</v>
      </c>
      <c r="O529">
        <f t="shared" si="83"/>
        <v>0</v>
      </c>
      <c r="P529">
        <f t="shared" si="84"/>
        <v>0</v>
      </c>
      <c r="Q529">
        <f t="shared" si="85"/>
        <v>0</v>
      </c>
      <c r="R529">
        <f t="shared" si="86"/>
        <v>0</v>
      </c>
      <c r="S529">
        <f t="shared" si="87"/>
        <v>0</v>
      </c>
      <c r="T529">
        <f t="shared" si="89"/>
        <v>0</v>
      </c>
      <c r="U529">
        <f t="shared" si="88"/>
        <v>0</v>
      </c>
    </row>
    <row r="530" spans="1:21" x14ac:dyDescent="0.25">
      <c r="A530" s="2">
        <v>529</v>
      </c>
      <c r="B530" s="2">
        <v>1034</v>
      </c>
      <c r="C530" s="2" t="s">
        <v>186</v>
      </c>
      <c r="D530">
        <v>212.96</v>
      </c>
      <c r="E530" s="80">
        <v>46837.26</v>
      </c>
      <c r="F530">
        <v>1517.79</v>
      </c>
      <c r="G530">
        <v>1081.24</v>
      </c>
      <c r="H530">
        <v>6740.2</v>
      </c>
      <c r="I530" s="80">
        <v>13595.92</v>
      </c>
      <c r="J530">
        <v>504.74</v>
      </c>
      <c r="K530">
        <v>3443.4</v>
      </c>
      <c r="L530">
        <f t="shared" si="80"/>
        <v>0</v>
      </c>
      <c r="M530">
        <f t="shared" si="81"/>
        <v>0</v>
      </c>
      <c r="N530">
        <f t="shared" si="82"/>
        <v>0</v>
      </c>
      <c r="O530">
        <f t="shared" si="83"/>
        <v>0</v>
      </c>
      <c r="P530">
        <f t="shared" si="84"/>
        <v>0</v>
      </c>
      <c r="Q530">
        <f t="shared" si="85"/>
        <v>0</v>
      </c>
      <c r="R530">
        <f t="shared" si="86"/>
        <v>0</v>
      </c>
      <c r="S530">
        <f t="shared" si="87"/>
        <v>0</v>
      </c>
      <c r="T530">
        <f t="shared" si="89"/>
        <v>0</v>
      </c>
      <c r="U530">
        <f t="shared" si="88"/>
        <v>0</v>
      </c>
    </row>
    <row r="531" spans="1:21" x14ac:dyDescent="0.25">
      <c r="A531" s="2">
        <v>530</v>
      </c>
      <c r="B531" s="2">
        <v>1034</v>
      </c>
      <c r="C531" s="2" t="s">
        <v>188</v>
      </c>
      <c r="D531">
        <v>201.44</v>
      </c>
      <c r="E531" s="80">
        <v>60646.55</v>
      </c>
      <c r="F531">
        <v>152.08000000000001</v>
      </c>
      <c r="G531">
        <v>853.91</v>
      </c>
      <c r="H531">
        <v>3339.84</v>
      </c>
      <c r="I531" s="80">
        <v>3716.62</v>
      </c>
      <c r="J531">
        <v>459.17</v>
      </c>
      <c r="K531" s="80">
        <v>8182.22</v>
      </c>
      <c r="L531">
        <f t="shared" si="80"/>
        <v>0</v>
      </c>
      <c r="M531">
        <f t="shared" si="81"/>
        <v>0</v>
      </c>
      <c r="N531">
        <f t="shared" si="82"/>
        <v>0</v>
      </c>
      <c r="O531">
        <f t="shared" si="83"/>
        <v>0</v>
      </c>
      <c r="P531">
        <f t="shared" si="84"/>
        <v>0</v>
      </c>
      <c r="Q531">
        <f t="shared" si="85"/>
        <v>0</v>
      </c>
      <c r="R531">
        <f t="shared" si="86"/>
        <v>0</v>
      </c>
      <c r="S531">
        <f t="shared" si="87"/>
        <v>0</v>
      </c>
      <c r="T531">
        <f t="shared" si="89"/>
        <v>0</v>
      </c>
      <c r="U531">
        <f t="shared" si="88"/>
        <v>0</v>
      </c>
    </row>
    <row r="532" spans="1:21" x14ac:dyDescent="0.25">
      <c r="A532" s="2">
        <v>531</v>
      </c>
      <c r="B532" s="2">
        <v>1034</v>
      </c>
      <c r="C532" s="2" t="s">
        <v>182</v>
      </c>
      <c r="D532">
        <v>45.33</v>
      </c>
      <c r="E532">
        <v>15751.79</v>
      </c>
      <c r="F532">
        <v>62.78</v>
      </c>
      <c r="G532">
        <v>73.819999999999993</v>
      </c>
      <c r="H532">
        <v>2442.5500000000002</v>
      </c>
      <c r="I532" s="80">
        <v>9271.23</v>
      </c>
      <c r="J532">
        <v>121.83</v>
      </c>
      <c r="K532">
        <v>2040.89</v>
      </c>
      <c r="L532">
        <f t="shared" si="80"/>
        <v>0</v>
      </c>
      <c r="M532">
        <f t="shared" si="81"/>
        <v>0</v>
      </c>
      <c r="N532">
        <f t="shared" si="82"/>
        <v>0</v>
      </c>
      <c r="O532">
        <f t="shared" si="83"/>
        <v>0</v>
      </c>
      <c r="P532">
        <f t="shared" si="84"/>
        <v>0</v>
      </c>
      <c r="Q532">
        <f t="shared" si="85"/>
        <v>0</v>
      </c>
      <c r="R532">
        <f t="shared" si="86"/>
        <v>0</v>
      </c>
      <c r="S532">
        <f t="shared" si="87"/>
        <v>0</v>
      </c>
      <c r="T532">
        <f t="shared" si="89"/>
        <v>0</v>
      </c>
      <c r="U532">
        <f t="shared" si="88"/>
        <v>0</v>
      </c>
    </row>
    <row r="533" spans="1:21" x14ac:dyDescent="0.25">
      <c r="A533" s="2">
        <v>532</v>
      </c>
      <c r="B533" s="2">
        <v>1034</v>
      </c>
      <c r="C533" s="2" t="s">
        <v>184</v>
      </c>
      <c r="D533">
        <v>104.54</v>
      </c>
      <c r="E533">
        <v>14703.12</v>
      </c>
      <c r="F533">
        <v>203.76</v>
      </c>
      <c r="G533">
        <v>271.68</v>
      </c>
      <c r="H533">
        <v>7521.91</v>
      </c>
      <c r="I533" s="80">
        <v>14163.6</v>
      </c>
      <c r="J533">
        <v>199.19</v>
      </c>
      <c r="K533">
        <v>2572.5500000000002</v>
      </c>
      <c r="L533">
        <f t="shared" si="80"/>
        <v>0</v>
      </c>
      <c r="M533">
        <f t="shared" si="81"/>
        <v>0</v>
      </c>
      <c r="N533">
        <f t="shared" si="82"/>
        <v>0</v>
      </c>
      <c r="O533">
        <f t="shared" si="83"/>
        <v>0</v>
      </c>
      <c r="P533">
        <f t="shared" si="84"/>
        <v>0</v>
      </c>
      <c r="Q533">
        <f t="shared" si="85"/>
        <v>0</v>
      </c>
      <c r="R533">
        <f t="shared" si="86"/>
        <v>0</v>
      </c>
      <c r="S533">
        <f t="shared" si="87"/>
        <v>0</v>
      </c>
      <c r="T533">
        <f t="shared" si="89"/>
        <v>0</v>
      </c>
      <c r="U533">
        <f t="shared" si="88"/>
        <v>0</v>
      </c>
    </row>
    <row r="534" spans="1:21" x14ac:dyDescent="0.25">
      <c r="A534" s="2">
        <v>533</v>
      </c>
      <c r="B534" s="2">
        <v>1034</v>
      </c>
      <c r="C534" s="2" t="s">
        <v>187</v>
      </c>
      <c r="D534">
        <v>259.62</v>
      </c>
      <c r="E534">
        <v>17135.21</v>
      </c>
      <c r="F534">
        <v>795.78</v>
      </c>
      <c r="G534">
        <v>148.85</v>
      </c>
      <c r="H534" s="80">
        <v>18260.490000000002</v>
      </c>
      <c r="I534" s="80">
        <v>13753.02</v>
      </c>
      <c r="J534">
        <v>321.97000000000003</v>
      </c>
      <c r="K534" s="80">
        <v>8375.42</v>
      </c>
      <c r="L534">
        <f t="shared" si="80"/>
        <v>0</v>
      </c>
      <c r="M534">
        <f t="shared" si="81"/>
        <v>0</v>
      </c>
      <c r="N534">
        <f t="shared" si="82"/>
        <v>0</v>
      </c>
      <c r="O534">
        <f t="shared" si="83"/>
        <v>0</v>
      </c>
      <c r="P534">
        <f t="shared" si="84"/>
        <v>0</v>
      </c>
      <c r="Q534">
        <f t="shared" si="85"/>
        <v>0</v>
      </c>
      <c r="R534">
        <f t="shared" si="86"/>
        <v>0</v>
      </c>
      <c r="S534">
        <f t="shared" si="87"/>
        <v>0</v>
      </c>
      <c r="T534">
        <f t="shared" si="89"/>
        <v>0</v>
      </c>
      <c r="U534">
        <f t="shared" si="88"/>
        <v>0</v>
      </c>
    </row>
    <row r="535" spans="1:21" x14ac:dyDescent="0.25">
      <c r="A535" s="2">
        <v>534</v>
      </c>
      <c r="B535" s="2">
        <v>1034</v>
      </c>
      <c r="C535" s="2" t="s">
        <v>189</v>
      </c>
      <c r="D535">
        <v>240.07</v>
      </c>
      <c r="E535">
        <v>20363.39</v>
      </c>
      <c r="F535">
        <v>83.72</v>
      </c>
      <c r="G535">
        <v>448.02</v>
      </c>
      <c r="H535">
        <v>12222.49</v>
      </c>
      <c r="I535" s="80">
        <v>8943.15</v>
      </c>
      <c r="J535">
        <v>367.79</v>
      </c>
      <c r="K535" s="80">
        <v>9895.4500000000007</v>
      </c>
      <c r="L535">
        <f t="shared" si="80"/>
        <v>0</v>
      </c>
      <c r="M535">
        <f t="shared" si="81"/>
        <v>0</v>
      </c>
      <c r="N535">
        <f t="shared" si="82"/>
        <v>0</v>
      </c>
      <c r="O535">
        <f t="shared" si="83"/>
        <v>0</v>
      </c>
      <c r="P535">
        <f t="shared" si="84"/>
        <v>0</v>
      </c>
      <c r="Q535">
        <f t="shared" si="85"/>
        <v>0</v>
      </c>
      <c r="R535">
        <f t="shared" si="86"/>
        <v>0</v>
      </c>
      <c r="S535">
        <f t="shared" si="87"/>
        <v>0</v>
      </c>
      <c r="T535">
        <f t="shared" si="89"/>
        <v>0</v>
      </c>
      <c r="U535">
        <f t="shared" si="88"/>
        <v>0</v>
      </c>
    </row>
    <row r="536" spans="1:21" x14ac:dyDescent="0.25">
      <c r="A536" s="2">
        <v>535</v>
      </c>
      <c r="B536" s="2" t="s">
        <v>607</v>
      </c>
      <c r="C536" s="2" t="s">
        <v>162</v>
      </c>
      <c r="D536">
        <v>108.15</v>
      </c>
      <c r="E536">
        <v>18899.38</v>
      </c>
      <c r="F536">
        <v>15.86</v>
      </c>
      <c r="G536">
        <v>878.8</v>
      </c>
      <c r="H536">
        <v>20.43</v>
      </c>
      <c r="I536">
        <v>5.7</v>
      </c>
      <c r="J536">
        <v>183.76</v>
      </c>
      <c r="K536">
        <v>14.79</v>
      </c>
      <c r="L536">
        <f t="shared" si="80"/>
        <v>0</v>
      </c>
      <c r="M536">
        <f t="shared" si="81"/>
        <v>0</v>
      </c>
      <c r="N536">
        <f t="shared" si="82"/>
        <v>0</v>
      </c>
      <c r="O536">
        <f t="shared" si="83"/>
        <v>0</v>
      </c>
      <c r="P536">
        <f t="shared" si="84"/>
        <v>0</v>
      </c>
      <c r="Q536">
        <f t="shared" si="85"/>
        <v>0</v>
      </c>
      <c r="R536">
        <f t="shared" si="86"/>
        <v>0</v>
      </c>
      <c r="S536">
        <f t="shared" si="87"/>
        <v>0</v>
      </c>
      <c r="T536">
        <f t="shared" si="89"/>
        <v>0</v>
      </c>
      <c r="U536">
        <f t="shared" si="88"/>
        <v>0</v>
      </c>
    </row>
    <row r="537" spans="1:21" x14ac:dyDescent="0.25">
      <c r="A537" s="2">
        <v>536</v>
      </c>
      <c r="B537" s="2" t="s">
        <v>607</v>
      </c>
      <c r="C537" s="2" t="s">
        <v>170</v>
      </c>
      <c r="D537">
        <v>267.47000000000003</v>
      </c>
      <c r="E537">
        <v>19967.689999999999</v>
      </c>
      <c r="F537">
        <v>147.52000000000001</v>
      </c>
      <c r="G537">
        <v>1800.46</v>
      </c>
      <c r="H537">
        <v>676.63</v>
      </c>
      <c r="I537" s="80">
        <v>10380.33</v>
      </c>
      <c r="J537">
        <v>535.09</v>
      </c>
      <c r="K537">
        <v>811.73</v>
      </c>
      <c r="L537">
        <f t="shared" si="80"/>
        <v>0</v>
      </c>
      <c r="M537">
        <f t="shared" si="81"/>
        <v>0</v>
      </c>
      <c r="N537">
        <f t="shared" si="82"/>
        <v>0</v>
      </c>
      <c r="O537">
        <f t="shared" si="83"/>
        <v>0</v>
      </c>
      <c r="P537">
        <f t="shared" si="84"/>
        <v>0</v>
      </c>
      <c r="Q537">
        <f t="shared" si="85"/>
        <v>0</v>
      </c>
      <c r="R537">
        <f t="shared" si="86"/>
        <v>0</v>
      </c>
      <c r="S537">
        <f t="shared" si="87"/>
        <v>0</v>
      </c>
      <c r="T537">
        <f t="shared" si="89"/>
        <v>0</v>
      </c>
      <c r="U537">
        <f t="shared" si="88"/>
        <v>0</v>
      </c>
    </row>
    <row r="538" spans="1:21" x14ac:dyDescent="0.25">
      <c r="A538" s="2">
        <v>537</v>
      </c>
      <c r="B538" s="2" t="s">
        <v>607</v>
      </c>
      <c r="C538" s="2" t="s">
        <v>178</v>
      </c>
      <c r="D538">
        <v>243.97</v>
      </c>
      <c r="E538">
        <v>23813.46</v>
      </c>
      <c r="F538">
        <v>2432.1999999999998</v>
      </c>
      <c r="G538">
        <v>1341.73</v>
      </c>
      <c r="H538">
        <v>12473.03</v>
      </c>
      <c r="I538" s="80">
        <v>17090.080000000002</v>
      </c>
      <c r="J538">
        <v>580.54999999999995</v>
      </c>
      <c r="K538">
        <v>7323.75</v>
      </c>
      <c r="L538">
        <f t="shared" si="80"/>
        <v>0</v>
      </c>
      <c r="M538">
        <f t="shared" si="81"/>
        <v>0</v>
      </c>
      <c r="N538">
        <f t="shared" si="82"/>
        <v>0</v>
      </c>
      <c r="O538">
        <f t="shared" si="83"/>
        <v>0</v>
      </c>
      <c r="P538">
        <f t="shared" si="84"/>
        <v>0</v>
      </c>
      <c r="Q538">
        <f t="shared" si="85"/>
        <v>0</v>
      </c>
      <c r="R538">
        <f t="shared" si="86"/>
        <v>0</v>
      </c>
      <c r="S538">
        <f t="shared" si="87"/>
        <v>0</v>
      </c>
      <c r="T538">
        <f t="shared" si="89"/>
        <v>0</v>
      </c>
      <c r="U538">
        <f t="shared" si="88"/>
        <v>0</v>
      </c>
    </row>
    <row r="539" spans="1:21" x14ac:dyDescent="0.25">
      <c r="A539" s="2">
        <v>538</v>
      </c>
      <c r="B539" s="2" t="s">
        <v>607</v>
      </c>
      <c r="C539" s="2" t="s">
        <v>163</v>
      </c>
      <c r="D539">
        <v>93.78</v>
      </c>
      <c r="E539" s="80">
        <v>38866.14</v>
      </c>
      <c r="F539">
        <v>579.94000000000005</v>
      </c>
      <c r="G539">
        <v>779.84</v>
      </c>
      <c r="H539">
        <v>7277.39</v>
      </c>
      <c r="I539" s="80">
        <v>14755.26</v>
      </c>
      <c r="J539">
        <v>421.13</v>
      </c>
      <c r="K539" s="80">
        <v>13004.26</v>
      </c>
      <c r="L539">
        <f t="shared" si="80"/>
        <v>0</v>
      </c>
      <c r="M539">
        <f t="shared" si="81"/>
        <v>0</v>
      </c>
      <c r="N539">
        <f t="shared" si="82"/>
        <v>0</v>
      </c>
      <c r="O539">
        <f t="shared" si="83"/>
        <v>0</v>
      </c>
      <c r="P539">
        <f t="shared" si="84"/>
        <v>0</v>
      </c>
      <c r="Q539">
        <f t="shared" si="85"/>
        <v>0</v>
      </c>
      <c r="R539">
        <f t="shared" si="86"/>
        <v>0</v>
      </c>
      <c r="S539">
        <f t="shared" si="87"/>
        <v>0</v>
      </c>
      <c r="T539">
        <f t="shared" si="89"/>
        <v>0</v>
      </c>
      <c r="U539">
        <f t="shared" si="88"/>
        <v>0</v>
      </c>
    </row>
    <row r="540" spans="1:21" x14ac:dyDescent="0.25">
      <c r="A540" s="2">
        <v>539</v>
      </c>
      <c r="B540" s="2" t="s">
        <v>607</v>
      </c>
      <c r="C540" s="2" t="s">
        <v>181</v>
      </c>
      <c r="D540">
        <v>16.510000000000002</v>
      </c>
      <c r="E540" s="80">
        <v>30375.58</v>
      </c>
      <c r="F540">
        <v>2.93</v>
      </c>
      <c r="G540">
        <v>73.819999999999993</v>
      </c>
      <c r="H540">
        <v>212.16</v>
      </c>
      <c r="I540">
        <v>340.86</v>
      </c>
      <c r="J540">
        <v>75.040000000000006</v>
      </c>
      <c r="K540">
        <v>92.04</v>
      </c>
      <c r="L540">
        <f t="shared" si="80"/>
        <v>0</v>
      </c>
      <c r="M540">
        <f t="shared" si="81"/>
        <v>0</v>
      </c>
      <c r="N540">
        <f t="shared" si="82"/>
        <v>0</v>
      </c>
      <c r="O540">
        <f t="shared" si="83"/>
        <v>0</v>
      </c>
      <c r="P540">
        <f t="shared" si="84"/>
        <v>0</v>
      </c>
      <c r="Q540">
        <f t="shared" si="85"/>
        <v>0</v>
      </c>
      <c r="R540">
        <f t="shared" si="86"/>
        <v>0</v>
      </c>
      <c r="S540">
        <f t="shared" si="87"/>
        <v>0</v>
      </c>
      <c r="T540">
        <f t="shared" si="89"/>
        <v>0</v>
      </c>
      <c r="U540">
        <f t="shared" si="88"/>
        <v>0</v>
      </c>
    </row>
    <row r="541" spans="1:21" x14ac:dyDescent="0.25">
      <c r="A541" s="2">
        <v>540</v>
      </c>
      <c r="B541" s="2" t="s">
        <v>607</v>
      </c>
      <c r="C541" s="2" t="s">
        <v>183</v>
      </c>
      <c r="D541">
        <v>48.67</v>
      </c>
      <c r="E541" s="80">
        <v>26967.48</v>
      </c>
      <c r="F541">
        <v>146.47</v>
      </c>
      <c r="G541">
        <v>293.04000000000002</v>
      </c>
      <c r="H541">
        <v>4450.0200000000004</v>
      </c>
      <c r="I541" s="80">
        <v>15266.73</v>
      </c>
      <c r="J541">
        <v>268.37</v>
      </c>
      <c r="K541">
        <v>5814.2</v>
      </c>
      <c r="L541">
        <f t="shared" si="80"/>
        <v>0</v>
      </c>
      <c r="M541">
        <f t="shared" si="81"/>
        <v>0</v>
      </c>
      <c r="N541">
        <f t="shared" si="82"/>
        <v>0</v>
      </c>
      <c r="O541">
        <f t="shared" si="83"/>
        <v>0</v>
      </c>
      <c r="P541">
        <f t="shared" si="84"/>
        <v>0</v>
      </c>
      <c r="Q541">
        <f t="shared" si="85"/>
        <v>0</v>
      </c>
      <c r="R541">
        <f t="shared" si="86"/>
        <v>0</v>
      </c>
      <c r="S541">
        <f t="shared" si="87"/>
        <v>0</v>
      </c>
      <c r="T541">
        <f t="shared" si="89"/>
        <v>0</v>
      </c>
      <c r="U541">
        <f t="shared" si="88"/>
        <v>0</v>
      </c>
    </row>
    <row r="542" spans="1:21" x14ac:dyDescent="0.25">
      <c r="A542" s="2">
        <v>541</v>
      </c>
      <c r="B542" s="2" t="s">
        <v>607</v>
      </c>
      <c r="C542" s="2" t="s">
        <v>186</v>
      </c>
      <c r="D542">
        <v>58.83</v>
      </c>
      <c r="E542">
        <v>15510.89</v>
      </c>
      <c r="F542">
        <v>488.28</v>
      </c>
      <c r="G542">
        <v>314.61</v>
      </c>
      <c r="H542">
        <v>8034.43</v>
      </c>
      <c r="I542" s="80">
        <v>16691.13</v>
      </c>
      <c r="J542">
        <v>229.98</v>
      </c>
      <c r="K542" s="80">
        <v>9215.5499999999993</v>
      </c>
      <c r="L542">
        <f t="shared" si="80"/>
        <v>0</v>
      </c>
      <c r="M542">
        <f t="shared" si="81"/>
        <v>0</v>
      </c>
      <c r="N542">
        <f t="shared" si="82"/>
        <v>0</v>
      </c>
      <c r="O542">
        <f t="shared" si="83"/>
        <v>0</v>
      </c>
      <c r="P542">
        <f t="shared" si="84"/>
        <v>0</v>
      </c>
      <c r="Q542">
        <f t="shared" si="85"/>
        <v>0</v>
      </c>
      <c r="R542">
        <f t="shared" si="86"/>
        <v>0</v>
      </c>
      <c r="S542">
        <f t="shared" si="87"/>
        <v>0</v>
      </c>
      <c r="T542">
        <f t="shared" si="89"/>
        <v>0</v>
      </c>
      <c r="U542">
        <f t="shared" si="88"/>
        <v>0</v>
      </c>
    </row>
    <row r="543" spans="1:21" x14ac:dyDescent="0.25">
      <c r="A543" s="2">
        <v>542</v>
      </c>
      <c r="B543" s="2" t="s">
        <v>607</v>
      </c>
      <c r="C543" s="2" t="s">
        <v>188</v>
      </c>
      <c r="D543">
        <v>115.4</v>
      </c>
      <c r="E543" s="80">
        <v>39323.050000000003</v>
      </c>
      <c r="F543">
        <v>26.69</v>
      </c>
      <c r="G543">
        <v>448.02</v>
      </c>
      <c r="H543">
        <v>2425.79</v>
      </c>
      <c r="I543" s="80">
        <v>7725.49</v>
      </c>
      <c r="J543">
        <v>337.25</v>
      </c>
      <c r="K543" s="80">
        <v>8156.67</v>
      </c>
      <c r="L543">
        <f t="shared" si="80"/>
        <v>0</v>
      </c>
      <c r="M543">
        <f t="shared" si="81"/>
        <v>0</v>
      </c>
      <c r="N543">
        <f t="shared" si="82"/>
        <v>0</v>
      </c>
      <c r="O543">
        <f t="shared" si="83"/>
        <v>0</v>
      </c>
      <c r="P543">
        <f t="shared" si="84"/>
        <v>0</v>
      </c>
      <c r="Q543">
        <f t="shared" si="85"/>
        <v>0</v>
      </c>
      <c r="R543">
        <f t="shared" si="86"/>
        <v>0</v>
      </c>
      <c r="S543">
        <f t="shared" si="87"/>
        <v>0</v>
      </c>
      <c r="T543">
        <f t="shared" si="89"/>
        <v>0</v>
      </c>
      <c r="U543">
        <f t="shared" si="88"/>
        <v>0</v>
      </c>
    </row>
    <row r="544" spans="1:21" x14ac:dyDescent="0.25">
      <c r="A544" s="2">
        <v>543</v>
      </c>
      <c r="B544" s="2" t="s">
        <v>607</v>
      </c>
      <c r="C544" s="2" t="s">
        <v>182</v>
      </c>
      <c r="D544">
        <v>38.71</v>
      </c>
      <c r="E544">
        <v>2296.08</v>
      </c>
      <c r="F544">
        <v>8.6300000000000008</v>
      </c>
      <c r="G544">
        <v>168.59</v>
      </c>
      <c r="H544">
        <v>13.6</v>
      </c>
      <c r="I544">
        <v>202</v>
      </c>
      <c r="J544">
        <v>75.040000000000006</v>
      </c>
      <c r="K544">
        <v>7.52</v>
      </c>
      <c r="L544">
        <f t="shared" si="80"/>
        <v>0</v>
      </c>
      <c r="M544">
        <f t="shared" si="81"/>
        <v>0</v>
      </c>
      <c r="N544">
        <f t="shared" si="82"/>
        <v>0</v>
      </c>
      <c r="O544">
        <f t="shared" si="83"/>
        <v>0</v>
      </c>
      <c r="P544">
        <f t="shared" si="84"/>
        <v>0</v>
      </c>
      <c r="Q544">
        <f t="shared" si="85"/>
        <v>0</v>
      </c>
      <c r="R544">
        <f t="shared" si="86"/>
        <v>0</v>
      </c>
      <c r="S544">
        <f t="shared" si="87"/>
        <v>0</v>
      </c>
      <c r="T544">
        <f t="shared" si="89"/>
        <v>0</v>
      </c>
      <c r="U544">
        <f t="shared" si="88"/>
        <v>0</v>
      </c>
    </row>
    <row r="545" spans="1:21" x14ac:dyDescent="0.25">
      <c r="A545" s="2">
        <v>544</v>
      </c>
      <c r="B545" s="2" t="s">
        <v>607</v>
      </c>
      <c r="C545" s="2" t="s">
        <v>184</v>
      </c>
      <c r="D545">
        <v>259.62</v>
      </c>
      <c r="E545">
        <v>17657.8</v>
      </c>
      <c r="F545">
        <v>364.49</v>
      </c>
      <c r="G545">
        <v>1184.51</v>
      </c>
      <c r="H545">
        <v>2507.4299999999998</v>
      </c>
      <c r="I545" s="80">
        <v>14941.2</v>
      </c>
      <c r="J545">
        <v>527.5</v>
      </c>
      <c r="K545">
        <v>814.77</v>
      </c>
      <c r="L545">
        <f t="shared" si="80"/>
        <v>0</v>
      </c>
      <c r="M545">
        <f t="shared" si="81"/>
        <v>0</v>
      </c>
      <c r="N545">
        <f t="shared" si="82"/>
        <v>0</v>
      </c>
      <c r="O545">
        <f t="shared" si="83"/>
        <v>0</v>
      </c>
      <c r="P545">
        <f t="shared" si="84"/>
        <v>0</v>
      </c>
      <c r="Q545">
        <f t="shared" si="85"/>
        <v>0</v>
      </c>
      <c r="R545">
        <f t="shared" si="86"/>
        <v>0</v>
      </c>
      <c r="S545">
        <f t="shared" si="87"/>
        <v>0</v>
      </c>
      <c r="T545">
        <f t="shared" si="89"/>
        <v>0</v>
      </c>
      <c r="U545">
        <f t="shared" si="88"/>
        <v>0</v>
      </c>
    </row>
    <row r="546" spans="1:21" x14ac:dyDescent="0.25">
      <c r="A546" s="2">
        <v>545</v>
      </c>
      <c r="B546" s="2" t="s">
        <v>607</v>
      </c>
      <c r="C546" s="2" t="s">
        <v>187</v>
      </c>
      <c r="D546">
        <v>436.83</v>
      </c>
      <c r="E546" s="80">
        <v>27709.65</v>
      </c>
      <c r="F546">
        <v>1077.98</v>
      </c>
      <c r="G546">
        <v>1938.7</v>
      </c>
      <c r="H546">
        <v>15451.77</v>
      </c>
      <c r="I546" s="80">
        <v>15699.53</v>
      </c>
      <c r="J546">
        <v>867.33</v>
      </c>
      <c r="K546">
        <v>7665.94</v>
      </c>
      <c r="L546">
        <f t="shared" si="80"/>
        <v>0</v>
      </c>
      <c r="M546">
        <f t="shared" si="81"/>
        <v>0</v>
      </c>
      <c r="N546">
        <f t="shared" si="82"/>
        <v>0</v>
      </c>
      <c r="O546">
        <f t="shared" si="83"/>
        <v>0</v>
      </c>
      <c r="P546">
        <f t="shared" si="84"/>
        <v>0</v>
      </c>
      <c r="Q546">
        <f t="shared" si="85"/>
        <v>0</v>
      </c>
      <c r="R546">
        <f t="shared" si="86"/>
        <v>0</v>
      </c>
      <c r="S546">
        <f t="shared" si="87"/>
        <v>0</v>
      </c>
      <c r="T546">
        <f t="shared" si="89"/>
        <v>0</v>
      </c>
      <c r="U546">
        <f t="shared" si="88"/>
        <v>0</v>
      </c>
    </row>
    <row r="547" spans="1:21" x14ac:dyDescent="0.25">
      <c r="A547" s="2">
        <v>546</v>
      </c>
      <c r="B547" s="2" t="s">
        <v>607</v>
      </c>
      <c r="C547" s="2" t="s">
        <v>189</v>
      </c>
      <c r="D547">
        <v>58.83</v>
      </c>
      <c r="E547">
        <v>23682.5</v>
      </c>
      <c r="F547">
        <v>207.54</v>
      </c>
      <c r="G547">
        <v>229.65</v>
      </c>
      <c r="H547">
        <v>6311.37</v>
      </c>
      <c r="I547" s="80">
        <v>15339.18</v>
      </c>
      <c r="J547">
        <v>276.02999999999997</v>
      </c>
      <c r="K547">
        <v>7542.35</v>
      </c>
      <c r="L547">
        <f t="shared" si="80"/>
        <v>0</v>
      </c>
      <c r="M547">
        <f t="shared" si="81"/>
        <v>0</v>
      </c>
      <c r="N547">
        <f t="shared" si="82"/>
        <v>0</v>
      </c>
      <c r="O547">
        <f t="shared" si="83"/>
        <v>0</v>
      </c>
      <c r="P547">
        <f t="shared" si="84"/>
        <v>0</v>
      </c>
      <c r="Q547">
        <f t="shared" si="85"/>
        <v>0</v>
      </c>
      <c r="R547">
        <f t="shared" si="86"/>
        <v>0</v>
      </c>
      <c r="S547">
        <f t="shared" si="87"/>
        <v>0</v>
      </c>
      <c r="T547">
        <f t="shared" si="89"/>
        <v>0</v>
      </c>
      <c r="U547">
        <f t="shared" si="88"/>
        <v>0</v>
      </c>
    </row>
    <row r="548" spans="1:21" x14ac:dyDescent="0.25">
      <c r="A548" s="2">
        <v>547</v>
      </c>
      <c r="B548" s="2" t="s">
        <v>608</v>
      </c>
      <c r="C548" s="2" t="s">
        <v>162</v>
      </c>
      <c r="D548">
        <v>86.68</v>
      </c>
      <c r="E548" s="80">
        <v>51527.39</v>
      </c>
      <c r="F548">
        <v>31.53</v>
      </c>
      <c r="G548">
        <v>358.36</v>
      </c>
      <c r="H548">
        <v>15.13</v>
      </c>
      <c r="I548">
        <v>13.77</v>
      </c>
      <c r="J548">
        <v>183.76</v>
      </c>
      <c r="K548">
        <v>89.94</v>
      </c>
      <c r="L548">
        <f t="shared" si="80"/>
        <v>0</v>
      </c>
      <c r="M548">
        <f t="shared" si="81"/>
        <v>0</v>
      </c>
      <c r="N548">
        <f t="shared" si="82"/>
        <v>0</v>
      </c>
      <c r="O548">
        <f t="shared" si="83"/>
        <v>0</v>
      </c>
      <c r="P548">
        <f t="shared" si="84"/>
        <v>0</v>
      </c>
      <c r="Q548">
        <f t="shared" si="85"/>
        <v>0</v>
      </c>
      <c r="R548">
        <f t="shared" si="86"/>
        <v>0</v>
      </c>
      <c r="S548">
        <f t="shared" si="87"/>
        <v>0</v>
      </c>
      <c r="T548">
        <f t="shared" si="89"/>
        <v>0</v>
      </c>
      <c r="U548">
        <f t="shared" si="88"/>
        <v>0</v>
      </c>
    </row>
    <row r="549" spans="1:21" x14ac:dyDescent="0.25">
      <c r="A549" s="2">
        <v>548</v>
      </c>
      <c r="B549" s="2" t="s">
        <v>608</v>
      </c>
      <c r="C549" s="2" t="s">
        <v>170</v>
      </c>
      <c r="D549">
        <v>38.71</v>
      </c>
      <c r="E549" s="80">
        <v>38446.879999999997</v>
      </c>
      <c r="F549">
        <v>599.41</v>
      </c>
      <c r="G549">
        <v>229.65</v>
      </c>
      <c r="H549">
        <v>2105.21</v>
      </c>
      <c r="I549" s="80">
        <v>9548.8799999999992</v>
      </c>
      <c r="J549">
        <v>183.76</v>
      </c>
      <c r="K549">
        <v>1046.42</v>
      </c>
      <c r="L549">
        <f t="shared" si="80"/>
        <v>0</v>
      </c>
      <c r="M549">
        <f t="shared" si="81"/>
        <v>0</v>
      </c>
      <c r="N549">
        <f t="shared" si="82"/>
        <v>0</v>
      </c>
      <c r="O549">
        <f t="shared" si="83"/>
        <v>0</v>
      </c>
      <c r="P549">
        <f t="shared" si="84"/>
        <v>0</v>
      </c>
      <c r="Q549">
        <f t="shared" si="85"/>
        <v>0</v>
      </c>
      <c r="R549">
        <f t="shared" si="86"/>
        <v>0</v>
      </c>
      <c r="S549">
        <f t="shared" si="87"/>
        <v>0</v>
      </c>
      <c r="T549">
        <f t="shared" si="89"/>
        <v>0</v>
      </c>
      <c r="U549">
        <f t="shared" si="88"/>
        <v>0</v>
      </c>
    </row>
    <row r="550" spans="1:21" x14ac:dyDescent="0.25">
      <c r="A550" s="2">
        <v>549</v>
      </c>
      <c r="B550" s="2" t="s">
        <v>608</v>
      </c>
      <c r="C550" s="2" t="s">
        <v>178</v>
      </c>
      <c r="D550">
        <v>247.87</v>
      </c>
      <c r="E550" s="80">
        <v>43490.45</v>
      </c>
      <c r="F550">
        <v>2277.6</v>
      </c>
      <c r="G550">
        <v>878.8</v>
      </c>
      <c r="H550">
        <v>7861.69</v>
      </c>
      <c r="I550" s="80">
        <v>12604.36</v>
      </c>
      <c r="J550">
        <v>321.97000000000003</v>
      </c>
      <c r="K550">
        <v>2945.84</v>
      </c>
      <c r="L550">
        <f t="shared" si="80"/>
        <v>0</v>
      </c>
      <c r="M550">
        <f t="shared" si="81"/>
        <v>0</v>
      </c>
      <c r="N550">
        <f t="shared" si="82"/>
        <v>0</v>
      </c>
      <c r="O550">
        <f t="shared" si="83"/>
        <v>0</v>
      </c>
      <c r="P550">
        <f t="shared" si="84"/>
        <v>0</v>
      </c>
      <c r="Q550">
        <f t="shared" si="85"/>
        <v>0</v>
      </c>
      <c r="R550">
        <f t="shared" si="86"/>
        <v>0</v>
      </c>
      <c r="S550">
        <f t="shared" si="87"/>
        <v>0</v>
      </c>
      <c r="T550">
        <f t="shared" si="89"/>
        <v>0</v>
      </c>
      <c r="U550">
        <f t="shared" si="88"/>
        <v>0</v>
      </c>
    </row>
    <row r="551" spans="1:21" x14ac:dyDescent="0.25">
      <c r="A551" s="2">
        <v>550</v>
      </c>
      <c r="B551" s="2" t="s">
        <v>608</v>
      </c>
      <c r="C551" s="2" t="s">
        <v>163</v>
      </c>
      <c r="D551">
        <v>271.41000000000003</v>
      </c>
      <c r="E551" s="80">
        <v>42667.75</v>
      </c>
      <c r="F551">
        <v>1171.74</v>
      </c>
      <c r="G551">
        <v>878.8</v>
      </c>
      <c r="H551">
        <v>5146.16</v>
      </c>
      <c r="I551" s="80">
        <v>9762.6200000000008</v>
      </c>
      <c r="J551">
        <v>398.29</v>
      </c>
      <c r="K551">
        <v>5597.38</v>
      </c>
      <c r="L551">
        <f t="shared" si="80"/>
        <v>0</v>
      </c>
      <c r="M551">
        <f t="shared" si="81"/>
        <v>0</v>
      </c>
      <c r="N551">
        <f t="shared" si="82"/>
        <v>0</v>
      </c>
      <c r="O551">
        <f t="shared" si="83"/>
        <v>0</v>
      </c>
      <c r="P551">
        <f t="shared" si="84"/>
        <v>0</v>
      </c>
      <c r="Q551">
        <f t="shared" si="85"/>
        <v>0</v>
      </c>
      <c r="R551">
        <f t="shared" si="86"/>
        <v>0</v>
      </c>
      <c r="S551">
        <f t="shared" si="87"/>
        <v>0</v>
      </c>
      <c r="T551">
        <f t="shared" si="89"/>
        <v>0</v>
      </c>
      <c r="U551">
        <f t="shared" si="88"/>
        <v>0</v>
      </c>
    </row>
    <row r="552" spans="1:21" x14ac:dyDescent="0.25">
      <c r="A552" s="2">
        <v>551</v>
      </c>
      <c r="B552" s="2" t="s">
        <v>608</v>
      </c>
      <c r="C552" s="2" t="s">
        <v>181</v>
      </c>
      <c r="D552">
        <v>45.33</v>
      </c>
      <c r="E552">
        <v>497.2</v>
      </c>
      <c r="F552">
        <v>8.6300000000000008</v>
      </c>
      <c r="G552">
        <v>314.61</v>
      </c>
      <c r="H552">
        <v>13.6</v>
      </c>
      <c r="I552">
        <v>1.95</v>
      </c>
      <c r="J552">
        <v>145.1</v>
      </c>
      <c r="K552">
        <v>6.2</v>
      </c>
      <c r="L552">
        <f t="shared" si="80"/>
        <v>0</v>
      </c>
      <c r="M552">
        <f t="shared" si="81"/>
        <v>0</v>
      </c>
      <c r="N552">
        <f t="shared" si="82"/>
        <v>0</v>
      </c>
      <c r="O552">
        <f t="shared" si="83"/>
        <v>0</v>
      </c>
      <c r="P552">
        <f t="shared" si="84"/>
        <v>0</v>
      </c>
      <c r="Q552">
        <f t="shared" si="85"/>
        <v>0</v>
      </c>
      <c r="R552">
        <f t="shared" si="86"/>
        <v>0</v>
      </c>
      <c r="S552">
        <f t="shared" si="87"/>
        <v>0</v>
      </c>
      <c r="T552">
        <f t="shared" si="89"/>
        <v>0</v>
      </c>
      <c r="U552">
        <f t="shared" si="88"/>
        <v>0</v>
      </c>
    </row>
    <row r="553" spans="1:21" x14ac:dyDescent="0.25">
      <c r="A553" s="2">
        <v>552</v>
      </c>
      <c r="B553" s="2" t="s">
        <v>608</v>
      </c>
      <c r="C553" s="2" t="s">
        <v>183</v>
      </c>
      <c r="D553">
        <v>395.83</v>
      </c>
      <c r="E553">
        <v>3958.15</v>
      </c>
      <c r="F553">
        <v>32.43</v>
      </c>
      <c r="G553">
        <v>2022.31</v>
      </c>
      <c r="H553">
        <v>95.55</v>
      </c>
      <c r="I553">
        <v>48.57</v>
      </c>
      <c r="J553">
        <v>701.52</v>
      </c>
      <c r="K553">
        <v>65.069999999999993</v>
      </c>
      <c r="L553">
        <f t="shared" si="80"/>
        <v>0</v>
      </c>
      <c r="M553">
        <f t="shared" si="81"/>
        <v>0</v>
      </c>
      <c r="N553">
        <f t="shared" si="82"/>
        <v>0</v>
      </c>
      <c r="O553">
        <f t="shared" si="83"/>
        <v>0</v>
      </c>
      <c r="P553">
        <f t="shared" si="84"/>
        <v>0</v>
      </c>
      <c r="Q553">
        <f t="shared" si="85"/>
        <v>0</v>
      </c>
      <c r="R553">
        <f t="shared" si="86"/>
        <v>0</v>
      </c>
      <c r="S553">
        <f t="shared" si="87"/>
        <v>0</v>
      </c>
      <c r="T553">
        <f t="shared" si="89"/>
        <v>0</v>
      </c>
      <c r="U553">
        <f t="shared" si="88"/>
        <v>0</v>
      </c>
    </row>
    <row r="554" spans="1:21" x14ac:dyDescent="0.25">
      <c r="A554" s="2">
        <v>553</v>
      </c>
      <c r="B554" s="2" t="s">
        <v>608</v>
      </c>
      <c r="C554" s="2" t="s">
        <v>186</v>
      </c>
      <c r="D554">
        <v>263.54000000000002</v>
      </c>
      <c r="E554">
        <v>3348.82</v>
      </c>
      <c r="F554">
        <v>22.1</v>
      </c>
      <c r="G554">
        <v>928.86</v>
      </c>
      <c r="H554">
        <v>68.95</v>
      </c>
      <c r="I554">
        <v>57.21</v>
      </c>
      <c r="J554">
        <v>436.35</v>
      </c>
      <c r="K554">
        <v>47.32</v>
      </c>
      <c r="L554">
        <f t="shared" si="80"/>
        <v>0</v>
      </c>
      <c r="M554">
        <f t="shared" si="81"/>
        <v>0</v>
      </c>
      <c r="N554">
        <f t="shared" si="82"/>
        <v>0</v>
      </c>
      <c r="O554">
        <f t="shared" si="83"/>
        <v>0</v>
      </c>
      <c r="P554">
        <f t="shared" si="84"/>
        <v>0</v>
      </c>
      <c r="Q554">
        <f t="shared" si="85"/>
        <v>0</v>
      </c>
      <c r="R554">
        <f t="shared" si="86"/>
        <v>0</v>
      </c>
      <c r="S554">
        <f t="shared" si="87"/>
        <v>0</v>
      </c>
      <c r="T554">
        <f t="shared" si="89"/>
        <v>0</v>
      </c>
      <c r="U554">
        <f t="shared" si="88"/>
        <v>0</v>
      </c>
    </row>
    <row r="555" spans="1:21" x14ac:dyDescent="0.25">
      <c r="A555" s="2">
        <v>554</v>
      </c>
      <c r="B555" s="92" t="s">
        <v>608</v>
      </c>
      <c r="C555" s="92" t="s">
        <v>188</v>
      </c>
      <c r="D555" s="89" t="s">
        <v>583</v>
      </c>
      <c r="E555" s="89">
        <v>1198.6300000000001</v>
      </c>
      <c r="F555" s="89" t="s">
        <v>583</v>
      </c>
      <c r="G555" s="89">
        <v>9.33</v>
      </c>
      <c r="H555" s="89">
        <v>1.84</v>
      </c>
      <c r="I555" s="89">
        <v>0.01</v>
      </c>
      <c r="J555" s="89" t="s">
        <v>583</v>
      </c>
      <c r="K555" s="89">
        <v>2.37</v>
      </c>
      <c r="L555">
        <f t="shared" si="80"/>
        <v>0</v>
      </c>
      <c r="M555">
        <f t="shared" si="81"/>
        <v>0</v>
      </c>
      <c r="N555">
        <f t="shared" si="82"/>
        <v>0</v>
      </c>
      <c r="O555">
        <f t="shared" si="83"/>
        <v>0</v>
      </c>
      <c r="P555">
        <f t="shared" si="84"/>
        <v>0</v>
      </c>
      <c r="Q555">
        <f t="shared" si="85"/>
        <v>0</v>
      </c>
      <c r="R555">
        <f t="shared" si="86"/>
        <v>0</v>
      </c>
      <c r="S555">
        <f t="shared" si="87"/>
        <v>0</v>
      </c>
      <c r="T555">
        <f t="shared" si="89"/>
        <v>0</v>
      </c>
      <c r="U555">
        <f t="shared" si="88"/>
        <v>0</v>
      </c>
    </row>
    <row r="556" spans="1:21" x14ac:dyDescent="0.25">
      <c r="A556" s="2">
        <v>555</v>
      </c>
      <c r="B556" s="2" t="s">
        <v>608</v>
      </c>
      <c r="C556" s="2" t="s">
        <v>182</v>
      </c>
      <c r="D556" t="s">
        <v>583</v>
      </c>
      <c r="E556">
        <v>801.41</v>
      </c>
      <c r="F556" t="s">
        <v>583</v>
      </c>
      <c r="G556" t="s">
        <v>583</v>
      </c>
      <c r="H556" t="s">
        <v>583</v>
      </c>
      <c r="I556" t="s">
        <v>583</v>
      </c>
      <c r="J556" t="s">
        <v>583</v>
      </c>
      <c r="K556" t="s">
        <v>583</v>
      </c>
      <c r="L556">
        <f t="shared" si="80"/>
        <v>0</v>
      </c>
      <c r="M556">
        <f t="shared" si="81"/>
        <v>0</v>
      </c>
      <c r="N556">
        <f t="shared" si="82"/>
        <v>0</v>
      </c>
      <c r="O556">
        <f t="shared" si="83"/>
        <v>0</v>
      </c>
      <c r="P556">
        <f t="shared" si="84"/>
        <v>0</v>
      </c>
      <c r="Q556">
        <f t="shared" si="85"/>
        <v>0</v>
      </c>
      <c r="R556">
        <f t="shared" si="86"/>
        <v>0</v>
      </c>
      <c r="S556">
        <f t="shared" si="87"/>
        <v>0</v>
      </c>
      <c r="T556">
        <f t="shared" si="89"/>
        <v>0</v>
      </c>
      <c r="U556">
        <f t="shared" si="88"/>
        <v>0</v>
      </c>
    </row>
    <row r="557" spans="1:21" x14ac:dyDescent="0.25">
      <c r="A557" s="2">
        <v>556</v>
      </c>
      <c r="B557" s="2" t="s">
        <v>608</v>
      </c>
      <c r="C557" s="2" t="s">
        <v>184</v>
      </c>
      <c r="D557">
        <v>996.23</v>
      </c>
      <c r="E557">
        <v>12495.96</v>
      </c>
      <c r="F557">
        <v>78.849999999999994</v>
      </c>
      <c r="G557">
        <v>188.66</v>
      </c>
      <c r="H557">
        <v>6773.19</v>
      </c>
      <c r="I557" s="80">
        <v>12695.23</v>
      </c>
      <c r="J557">
        <v>199.19</v>
      </c>
      <c r="K557">
        <v>4105.54</v>
      </c>
      <c r="L557">
        <f t="shared" si="80"/>
        <v>0</v>
      </c>
      <c r="M557">
        <f t="shared" si="81"/>
        <v>0</v>
      </c>
      <c r="N557">
        <f t="shared" si="82"/>
        <v>0</v>
      </c>
      <c r="O557">
        <f t="shared" si="83"/>
        <v>0</v>
      </c>
      <c r="P557">
        <f t="shared" si="84"/>
        <v>0</v>
      </c>
      <c r="Q557">
        <f t="shared" si="85"/>
        <v>0</v>
      </c>
      <c r="R557">
        <f t="shared" si="86"/>
        <v>0</v>
      </c>
      <c r="S557">
        <f t="shared" si="87"/>
        <v>0</v>
      </c>
      <c r="T557">
        <f t="shared" si="89"/>
        <v>0</v>
      </c>
      <c r="U557">
        <f t="shared" si="88"/>
        <v>0</v>
      </c>
    </row>
    <row r="558" spans="1:21" x14ac:dyDescent="0.25">
      <c r="A558" s="2">
        <v>557</v>
      </c>
      <c r="B558" s="2" t="s">
        <v>608</v>
      </c>
      <c r="C558" s="2" t="s">
        <v>187</v>
      </c>
      <c r="D558">
        <v>1184.8</v>
      </c>
      <c r="E558">
        <v>11165.94</v>
      </c>
      <c r="F558">
        <v>321.05</v>
      </c>
      <c r="G558">
        <v>448.02</v>
      </c>
      <c r="H558">
        <v>15381.28</v>
      </c>
      <c r="I558" s="80">
        <v>12923.51</v>
      </c>
      <c r="J558">
        <v>306.67</v>
      </c>
      <c r="K558">
        <v>7045.86</v>
      </c>
      <c r="L558">
        <f t="shared" si="80"/>
        <v>0</v>
      </c>
      <c r="M558">
        <f t="shared" si="81"/>
        <v>0</v>
      </c>
      <c r="N558">
        <f t="shared" si="82"/>
        <v>0</v>
      </c>
      <c r="O558">
        <f t="shared" si="83"/>
        <v>0</v>
      </c>
      <c r="P558">
        <f t="shared" si="84"/>
        <v>0</v>
      </c>
      <c r="Q558">
        <f t="shared" si="85"/>
        <v>0</v>
      </c>
      <c r="R558">
        <f t="shared" si="86"/>
        <v>0</v>
      </c>
      <c r="S558">
        <f t="shared" si="87"/>
        <v>0</v>
      </c>
      <c r="T558">
        <f t="shared" si="89"/>
        <v>0</v>
      </c>
      <c r="U558">
        <f t="shared" si="88"/>
        <v>0</v>
      </c>
    </row>
    <row r="559" spans="1:21" x14ac:dyDescent="0.25">
      <c r="A559" s="2">
        <v>558</v>
      </c>
      <c r="B559" s="2" t="s">
        <v>608</v>
      </c>
      <c r="C559" s="2" t="s">
        <v>189</v>
      </c>
      <c r="D559">
        <v>681.1</v>
      </c>
      <c r="E559">
        <v>15691.5</v>
      </c>
      <c r="F559">
        <v>22.6</v>
      </c>
      <c r="G559">
        <v>229.65</v>
      </c>
      <c r="H559">
        <v>6264.69</v>
      </c>
      <c r="I559" s="80">
        <v>6010.96</v>
      </c>
      <c r="J559">
        <v>337.25</v>
      </c>
      <c r="K559">
        <v>6864.04</v>
      </c>
      <c r="L559">
        <f t="shared" si="80"/>
        <v>0</v>
      </c>
      <c r="M559">
        <f t="shared" si="81"/>
        <v>0</v>
      </c>
      <c r="N559">
        <f t="shared" si="82"/>
        <v>0</v>
      </c>
      <c r="O559">
        <f t="shared" si="83"/>
        <v>0</v>
      </c>
      <c r="P559">
        <f t="shared" si="84"/>
        <v>0</v>
      </c>
      <c r="Q559">
        <f t="shared" si="85"/>
        <v>0</v>
      </c>
      <c r="R559">
        <f t="shared" si="86"/>
        <v>0</v>
      </c>
      <c r="S559">
        <f t="shared" si="87"/>
        <v>0</v>
      </c>
      <c r="T559">
        <f t="shared" si="89"/>
        <v>0</v>
      </c>
      <c r="U559">
        <f t="shared" si="88"/>
        <v>0</v>
      </c>
    </row>
    <row r="560" spans="1:21" x14ac:dyDescent="0.25">
      <c r="A560" s="2">
        <v>559</v>
      </c>
      <c r="B560" s="2" t="s">
        <v>609</v>
      </c>
      <c r="C560" s="2" t="s">
        <v>162</v>
      </c>
      <c r="D560">
        <v>137.4</v>
      </c>
      <c r="E560" s="80">
        <v>48831.21</v>
      </c>
      <c r="F560">
        <v>20.6</v>
      </c>
      <c r="G560">
        <v>682.57</v>
      </c>
      <c r="H560">
        <v>34.61</v>
      </c>
      <c r="I560">
        <v>16.79</v>
      </c>
      <c r="J560">
        <v>306.67</v>
      </c>
      <c r="K560">
        <v>96.24</v>
      </c>
      <c r="L560">
        <f t="shared" si="80"/>
        <v>0</v>
      </c>
      <c r="M560">
        <f t="shared" si="81"/>
        <v>0</v>
      </c>
      <c r="N560">
        <f t="shared" si="82"/>
        <v>0</v>
      </c>
      <c r="O560">
        <f t="shared" si="83"/>
        <v>0</v>
      </c>
      <c r="P560">
        <f t="shared" si="84"/>
        <v>0</v>
      </c>
      <c r="Q560">
        <f t="shared" si="85"/>
        <v>0</v>
      </c>
      <c r="R560">
        <f t="shared" si="86"/>
        <v>0</v>
      </c>
      <c r="S560">
        <f t="shared" si="87"/>
        <v>0</v>
      </c>
      <c r="T560">
        <f t="shared" si="89"/>
        <v>0</v>
      </c>
      <c r="U560">
        <f t="shared" si="88"/>
        <v>0</v>
      </c>
    </row>
    <row r="561" spans="1:21" x14ac:dyDescent="0.25">
      <c r="A561" s="2">
        <v>560</v>
      </c>
      <c r="B561" s="2" t="s">
        <v>609</v>
      </c>
      <c r="C561" s="2" t="s">
        <v>170</v>
      </c>
      <c r="D561">
        <v>604.23</v>
      </c>
      <c r="E561" s="80">
        <v>41200.03</v>
      </c>
      <c r="F561">
        <v>503.3</v>
      </c>
      <c r="G561">
        <v>2447.2399999999998</v>
      </c>
      <c r="H561">
        <v>4189.13</v>
      </c>
      <c r="I561" s="80">
        <v>12586.79</v>
      </c>
      <c r="J561">
        <v>807.1</v>
      </c>
      <c r="K561">
        <v>2355.89</v>
      </c>
      <c r="L561">
        <f t="shared" si="80"/>
        <v>0</v>
      </c>
      <c r="M561">
        <f t="shared" si="81"/>
        <v>0</v>
      </c>
      <c r="N561">
        <f t="shared" si="82"/>
        <v>0</v>
      </c>
      <c r="O561">
        <f t="shared" si="83"/>
        <v>0</v>
      </c>
      <c r="P561">
        <f t="shared" si="84"/>
        <v>0</v>
      </c>
      <c r="Q561">
        <f t="shared" si="85"/>
        <v>0</v>
      </c>
      <c r="R561">
        <f t="shared" si="86"/>
        <v>0</v>
      </c>
      <c r="S561">
        <f t="shared" si="87"/>
        <v>0</v>
      </c>
      <c r="T561">
        <f t="shared" si="89"/>
        <v>0</v>
      </c>
      <c r="U561">
        <f t="shared" si="88"/>
        <v>0</v>
      </c>
    </row>
    <row r="562" spans="1:21" x14ac:dyDescent="0.25">
      <c r="A562" s="2">
        <v>561</v>
      </c>
      <c r="B562" s="2" t="s">
        <v>609</v>
      </c>
      <c r="C562" s="2" t="s">
        <v>178</v>
      </c>
      <c r="D562">
        <v>2166.35</v>
      </c>
      <c r="E562" s="80">
        <v>45459.22</v>
      </c>
      <c r="F562">
        <v>2873.65</v>
      </c>
      <c r="G562">
        <v>1262.78</v>
      </c>
      <c r="H562" s="80">
        <v>18537.349999999999</v>
      </c>
      <c r="I562" s="80">
        <v>15279.99</v>
      </c>
      <c r="J562">
        <v>595.69000000000005</v>
      </c>
      <c r="K562">
        <v>4738.7299999999996</v>
      </c>
      <c r="L562">
        <f t="shared" si="80"/>
        <v>0</v>
      </c>
      <c r="M562">
        <f t="shared" si="81"/>
        <v>0</v>
      </c>
      <c r="N562">
        <f t="shared" si="82"/>
        <v>0</v>
      </c>
      <c r="O562">
        <f t="shared" si="83"/>
        <v>0</v>
      </c>
      <c r="P562">
        <f t="shared" si="84"/>
        <v>0</v>
      </c>
      <c r="Q562">
        <f t="shared" si="85"/>
        <v>0</v>
      </c>
      <c r="R562">
        <f t="shared" si="86"/>
        <v>0</v>
      </c>
      <c r="S562">
        <f t="shared" si="87"/>
        <v>0</v>
      </c>
      <c r="T562">
        <f t="shared" si="89"/>
        <v>0</v>
      </c>
      <c r="U562">
        <f t="shared" si="88"/>
        <v>0</v>
      </c>
    </row>
    <row r="563" spans="1:21" x14ac:dyDescent="0.25">
      <c r="A563" s="2">
        <v>562</v>
      </c>
      <c r="B563" s="2" t="s">
        <v>609</v>
      </c>
      <c r="C563" s="2" t="s">
        <v>163</v>
      </c>
      <c r="D563">
        <v>8434.35</v>
      </c>
      <c r="E563" s="80">
        <v>46437.08</v>
      </c>
      <c r="F563">
        <v>244.47</v>
      </c>
      <c r="G563">
        <v>730.98</v>
      </c>
      <c r="H563">
        <v>3365.98</v>
      </c>
      <c r="I563" s="80">
        <v>11673.11</v>
      </c>
      <c r="J563">
        <v>474.37</v>
      </c>
      <c r="K563" s="80">
        <v>12288.72</v>
      </c>
      <c r="L563">
        <f t="shared" si="80"/>
        <v>0</v>
      </c>
      <c r="M563">
        <f t="shared" si="81"/>
        <v>0</v>
      </c>
      <c r="N563">
        <f t="shared" si="82"/>
        <v>0</v>
      </c>
      <c r="O563">
        <f t="shared" si="83"/>
        <v>0</v>
      </c>
      <c r="P563">
        <f t="shared" si="84"/>
        <v>0</v>
      </c>
      <c r="Q563">
        <f t="shared" si="85"/>
        <v>0</v>
      </c>
      <c r="R563">
        <f t="shared" si="86"/>
        <v>0</v>
      </c>
      <c r="S563">
        <f t="shared" si="87"/>
        <v>0</v>
      </c>
      <c r="T563">
        <f t="shared" si="89"/>
        <v>0</v>
      </c>
      <c r="U563">
        <f t="shared" si="88"/>
        <v>0</v>
      </c>
    </row>
    <row r="564" spans="1:21" x14ac:dyDescent="0.25">
      <c r="A564" s="2">
        <v>563</v>
      </c>
      <c r="B564" s="2" t="s">
        <v>609</v>
      </c>
      <c r="C564" s="2" t="s">
        <v>181</v>
      </c>
      <c r="D564">
        <v>90.22</v>
      </c>
      <c r="E564" s="80">
        <v>52055.199999999997</v>
      </c>
      <c r="F564">
        <v>12.43</v>
      </c>
      <c r="G564">
        <v>271.68</v>
      </c>
      <c r="H564">
        <v>221.26</v>
      </c>
      <c r="I564">
        <v>327.71</v>
      </c>
      <c r="J564">
        <v>199.19</v>
      </c>
      <c r="K564">
        <v>327.19</v>
      </c>
      <c r="L564">
        <f t="shared" si="80"/>
        <v>0</v>
      </c>
      <c r="M564">
        <f t="shared" si="81"/>
        <v>0</v>
      </c>
      <c r="N564">
        <f t="shared" si="82"/>
        <v>0</v>
      </c>
      <c r="O564">
        <f t="shared" si="83"/>
        <v>0</v>
      </c>
      <c r="P564">
        <f t="shared" si="84"/>
        <v>0</v>
      </c>
      <c r="Q564">
        <f t="shared" si="85"/>
        <v>0</v>
      </c>
      <c r="R564">
        <f t="shared" si="86"/>
        <v>0</v>
      </c>
      <c r="S564">
        <f t="shared" si="87"/>
        <v>0</v>
      </c>
      <c r="T564">
        <f t="shared" si="89"/>
        <v>0</v>
      </c>
      <c r="U564">
        <f t="shared" si="88"/>
        <v>0</v>
      </c>
    </row>
    <row r="565" spans="1:21" x14ac:dyDescent="0.25">
      <c r="A565" s="2">
        <v>564</v>
      </c>
      <c r="B565" s="2" t="s">
        <v>609</v>
      </c>
      <c r="C565" s="2" t="s">
        <v>183</v>
      </c>
      <c r="D565">
        <v>86.68</v>
      </c>
      <c r="E565">
        <v>39964.800000000003</v>
      </c>
      <c r="F565">
        <v>2835.24</v>
      </c>
      <c r="G565">
        <v>358.36</v>
      </c>
      <c r="H565">
        <v>10476.5</v>
      </c>
      <c r="I565" s="80">
        <v>16763.55</v>
      </c>
      <c r="J565">
        <v>268.37</v>
      </c>
      <c r="K565">
        <v>8228.36</v>
      </c>
      <c r="L565">
        <f t="shared" si="80"/>
        <v>0</v>
      </c>
      <c r="M565">
        <f t="shared" si="81"/>
        <v>0</v>
      </c>
      <c r="N565">
        <f t="shared" si="82"/>
        <v>0</v>
      </c>
      <c r="O565">
        <f t="shared" si="83"/>
        <v>0</v>
      </c>
      <c r="P565">
        <f t="shared" si="84"/>
        <v>0</v>
      </c>
      <c r="Q565">
        <f t="shared" si="85"/>
        <v>0</v>
      </c>
      <c r="R565">
        <f t="shared" si="86"/>
        <v>0</v>
      </c>
      <c r="S565">
        <f t="shared" si="87"/>
        <v>0</v>
      </c>
      <c r="T565">
        <f t="shared" si="89"/>
        <v>0</v>
      </c>
      <c r="U565">
        <f t="shared" si="88"/>
        <v>0</v>
      </c>
    </row>
    <row r="566" spans="1:21" x14ac:dyDescent="0.25">
      <c r="A566" s="2">
        <v>565</v>
      </c>
      <c r="B566" s="2" t="s">
        <v>609</v>
      </c>
      <c r="C566" s="2" t="s">
        <v>186</v>
      </c>
      <c r="D566">
        <v>108.15</v>
      </c>
      <c r="E566" s="80">
        <v>30825.07</v>
      </c>
      <c r="F566" s="80">
        <v>4017.51</v>
      </c>
      <c r="G566">
        <v>448.02</v>
      </c>
      <c r="H566" s="80">
        <v>21647.48</v>
      </c>
      <c r="I566" s="80">
        <v>17421.79</v>
      </c>
      <c r="J566">
        <v>436.35</v>
      </c>
      <c r="K566">
        <v>11087.72</v>
      </c>
      <c r="L566">
        <f t="shared" si="80"/>
        <v>0</v>
      </c>
      <c r="M566">
        <f t="shared" si="81"/>
        <v>0</v>
      </c>
      <c r="N566">
        <f t="shared" si="82"/>
        <v>0</v>
      </c>
      <c r="O566">
        <f t="shared" si="83"/>
        <v>0</v>
      </c>
      <c r="P566">
        <f t="shared" si="84"/>
        <v>0</v>
      </c>
      <c r="Q566">
        <f t="shared" si="85"/>
        <v>0</v>
      </c>
      <c r="R566">
        <f t="shared" si="86"/>
        <v>0</v>
      </c>
      <c r="S566">
        <f t="shared" si="87"/>
        <v>0</v>
      </c>
      <c r="T566">
        <f t="shared" si="89"/>
        <v>0</v>
      </c>
      <c r="U566">
        <f t="shared" si="88"/>
        <v>0</v>
      </c>
    </row>
    <row r="567" spans="1:21" x14ac:dyDescent="0.25">
      <c r="A567" s="2">
        <v>566</v>
      </c>
      <c r="B567" s="2" t="s">
        <v>609</v>
      </c>
      <c r="C567" s="2" t="s">
        <v>188</v>
      </c>
      <c r="D567">
        <v>130.03</v>
      </c>
      <c r="E567" s="80">
        <v>49352.15</v>
      </c>
      <c r="F567">
        <v>205.13</v>
      </c>
      <c r="G567">
        <v>402.85</v>
      </c>
      <c r="H567">
        <v>1692.99</v>
      </c>
      <c r="I567" s="80">
        <v>8048.86</v>
      </c>
      <c r="J567">
        <v>398.29</v>
      </c>
      <c r="K567">
        <v>6279.42</v>
      </c>
      <c r="L567">
        <f t="shared" si="80"/>
        <v>0</v>
      </c>
      <c r="M567">
        <f t="shared" si="81"/>
        <v>0</v>
      </c>
      <c r="N567">
        <f t="shared" si="82"/>
        <v>0</v>
      </c>
      <c r="O567">
        <f t="shared" si="83"/>
        <v>0</v>
      </c>
      <c r="P567">
        <f t="shared" si="84"/>
        <v>0</v>
      </c>
      <c r="Q567">
        <f t="shared" si="85"/>
        <v>0</v>
      </c>
      <c r="R567">
        <f t="shared" si="86"/>
        <v>0</v>
      </c>
      <c r="S567">
        <f t="shared" si="87"/>
        <v>0</v>
      </c>
      <c r="T567">
        <f t="shared" si="89"/>
        <v>0</v>
      </c>
      <c r="U567">
        <f t="shared" si="88"/>
        <v>0</v>
      </c>
    </row>
    <row r="568" spans="1:21" x14ac:dyDescent="0.25">
      <c r="A568" s="2">
        <v>567</v>
      </c>
      <c r="B568" s="2" t="s">
        <v>609</v>
      </c>
      <c r="C568" s="2" t="s">
        <v>182</v>
      </c>
      <c r="D568">
        <v>45.33</v>
      </c>
      <c r="E568">
        <v>1251.79</v>
      </c>
      <c r="F568">
        <v>7.94</v>
      </c>
      <c r="G568">
        <v>110.45</v>
      </c>
      <c r="H568">
        <v>16.649999999999999</v>
      </c>
      <c r="I568">
        <v>4.8499999999999996</v>
      </c>
      <c r="J568">
        <v>106.27</v>
      </c>
      <c r="K568">
        <v>4.9000000000000004</v>
      </c>
      <c r="L568">
        <f t="shared" si="80"/>
        <v>0</v>
      </c>
      <c r="M568">
        <f t="shared" si="81"/>
        <v>0</v>
      </c>
      <c r="N568">
        <f t="shared" si="82"/>
        <v>0</v>
      </c>
      <c r="O568">
        <f t="shared" si="83"/>
        <v>0</v>
      </c>
      <c r="P568">
        <f t="shared" si="84"/>
        <v>0</v>
      </c>
      <c r="Q568">
        <f t="shared" si="85"/>
        <v>0</v>
      </c>
      <c r="R568">
        <f t="shared" si="86"/>
        <v>0</v>
      </c>
      <c r="S568">
        <f t="shared" si="87"/>
        <v>0</v>
      </c>
      <c r="T568">
        <f t="shared" si="89"/>
        <v>0</v>
      </c>
      <c r="U568">
        <f t="shared" si="88"/>
        <v>0</v>
      </c>
    </row>
    <row r="569" spans="1:21" x14ac:dyDescent="0.25">
      <c r="A569" s="2">
        <v>568</v>
      </c>
      <c r="B569" s="2" t="s">
        <v>609</v>
      </c>
      <c r="C569" s="2" t="s">
        <v>184</v>
      </c>
      <c r="D569">
        <v>758.8</v>
      </c>
      <c r="E569">
        <v>20490.349999999999</v>
      </c>
      <c r="F569">
        <v>538.16999999999996</v>
      </c>
      <c r="G569">
        <v>2247.56</v>
      </c>
      <c r="H569">
        <v>5388.69</v>
      </c>
      <c r="I569" s="80">
        <v>14266.93</v>
      </c>
      <c r="J569">
        <v>844.75</v>
      </c>
      <c r="K569">
        <v>2997.55</v>
      </c>
      <c r="L569">
        <f t="shared" si="80"/>
        <v>0</v>
      </c>
      <c r="M569">
        <f t="shared" si="81"/>
        <v>0</v>
      </c>
      <c r="N569">
        <f t="shared" si="82"/>
        <v>0</v>
      </c>
      <c r="O569">
        <f t="shared" si="83"/>
        <v>0</v>
      </c>
      <c r="P569">
        <f t="shared" si="84"/>
        <v>0</v>
      </c>
      <c r="Q569">
        <f t="shared" si="85"/>
        <v>0</v>
      </c>
      <c r="R569">
        <f t="shared" si="86"/>
        <v>0</v>
      </c>
      <c r="S569">
        <f t="shared" si="87"/>
        <v>0</v>
      </c>
      <c r="T569">
        <f t="shared" si="89"/>
        <v>0</v>
      </c>
      <c r="U569">
        <f t="shared" si="88"/>
        <v>0</v>
      </c>
    </row>
    <row r="570" spans="1:21" x14ac:dyDescent="0.25">
      <c r="A570" s="2">
        <v>569</v>
      </c>
      <c r="B570" s="2" t="s">
        <v>609</v>
      </c>
      <c r="C570" s="2" t="s">
        <v>187</v>
      </c>
      <c r="D570">
        <v>3798.47</v>
      </c>
      <c r="E570" s="80">
        <v>27878.93</v>
      </c>
      <c r="F570">
        <v>2218.6799999999998</v>
      </c>
      <c r="G570">
        <v>2678.21</v>
      </c>
      <c r="H570" s="80">
        <v>27790</v>
      </c>
      <c r="I570" s="80">
        <v>15447.49</v>
      </c>
      <c r="J570">
        <v>1107.6199999999999</v>
      </c>
      <c r="K570" s="80">
        <v>10689.77</v>
      </c>
      <c r="L570">
        <f t="shared" si="80"/>
        <v>0</v>
      </c>
      <c r="M570">
        <f t="shared" si="81"/>
        <v>0</v>
      </c>
      <c r="N570">
        <f t="shared" si="82"/>
        <v>0</v>
      </c>
      <c r="O570">
        <f t="shared" si="83"/>
        <v>0</v>
      </c>
      <c r="P570">
        <f t="shared" si="84"/>
        <v>0</v>
      </c>
      <c r="Q570">
        <f t="shared" si="85"/>
        <v>0</v>
      </c>
      <c r="R570">
        <f t="shared" si="86"/>
        <v>0</v>
      </c>
      <c r="S570">
        <f t="shared" si="87"/>
        <v>0</v>
      </c>
      <c r="T570">
        <f t="shared" si="89"/>
        <v>0</v>
      </c>
      <c r="U570">
        <f t="shared" si="88"/>
        <v>0</v>
      </c>
    </row>
    <row r="571" spans="1:21" x14ac:dyDescent="0.25">
      <c r="A571" s="2">
        <v>570</v>
      </c>
      <c r="B571" s="2" t="s">
        <v>609</v>
      </c>
      <c r="C571" s="2" t="s">
        <v>189</v>
      </c>
      <c r="D571">
        <v>2228.88</v>
      </c>
      <c r="E571">
        <v>20840.3</v>
      </c>
      <c r="F571">
        <v>112.77</v>
      </c>
      <c r="G571">
        <v>448.02</v>
      </c>
      <c r="H571">
        <v>10964.79</v>
      </c>
      <c r="I571" s="80">
        <v>12726.53</v>
      </c>
      <c r="J571">
        <v>398.29</v>
      </c>
      <c r="K571" s="80">
        <v>9928.5300000000007</v>
      </c>
      <c r="L571">
        <f t="shared" si="80"/>
        <v>0</v>
      </c>
      <c r="M571">
        <f t="shared" si="81"/>
        <v>0</v>
      </c>
      <c r="N571">
        <f t="shared" si="82"/>
        <v>0</v>
      </c>
      <c r="O571">
        <f t="shared" si="83"/>
        <v>0</v>
      </c>
      <c r="P571">
        <f t="shared" si="84"/>
        <v>0</v>
      </c>
      <c r="Q571">
        <f t="shared" si="85"/>
        <v>0</v>
      </c>
      <c r="R571">
        <f t="shared" si="86"/>
        <v>0</v>
      </c>
      <c r="S571">
        <f t="shared" si="87"/>
        <v>0</v>
      </c>
      <c r="T571">
        <f t="shared" si="89"/>
        <v>0</v>
      </c>
      <c r="U571">
        <f t="shared" si="88"/>
        <v>0</v>
      </c>
    </row>
    <row r="572" spans="1:21" x14ac:dyDescent="0.25">
      <c r="A572" s="2">
        <v>571</v>
      </c>
      <c r="B572" s="2">
        <v>1043</v>
      </c>
      <c r="C572" s="2" t="s">
        <v>162</v>
      </c>
      <c r="D572">
        <v>45.33</v>
      </c>
      <c r="E572" s="80">
        <v>31484.639999999999</v>
      </c>
      <c r="F572">
        <v>15.31</v>
      </c>
      <c r="G572">
        <v>271.68</v>
      </c>
      <c r="H572">
        <v>5.85</v>
      </c>
      <c r="I572">
        <v>6.21</v>
      </c>
      <c r="J572">
        <v>106.27</v>
      </c>
      <c r="K572">
        <v>10.210000000000001</v>
      </c>
      <c r="L572">
        <f t="shared" si="80"/>
        <v>0</v>
      </c>
      <c r="M572">
        <f t="shared" si="81"/>
        <v>0</v>
      </c>
      <c r="N572">
        <f t="shared" si="82"/>
        <v>0</v>
      </c>
      <c r="O572">
        <f t="shared" si="83"/>
        <v>0</v>
      </c>
      <c r="P572">
        <f t="shared" si="84"/>
        <v>0</v>
      </c>
      <c r="Q572">
        <f t="shared" si="85"/>
        <v>0</v>
      </c>
      <c r="R572">
        <f t="shared" si="86"/>
        <v>0</v>
      </c>
      <c r="S572">
        <f t="shared" si="87"/>
        <v>0</v>
      </c>
      <c r="T572">
        <f t="shared" si="89"/>
        <v>0</v>
      </c>
      <c r="U572">
        <f t="shared" si="88"/>
        <v>0</v>
      </c>
    </row>
    <row r="573" spans="1:21" x14ac:dyDescent="0.25">
      <c r="A573" s="2">
        <v>572</v>
      </c>
      <c r="B573" s="2">
        <v>1043</v>
      </c>
      <c r="C573" s="2" t="s">
        <v>170</v>
      </c>
      <c r="D573">
        <v>58.83</v>
      </c>
      <c r="E573" s="80">
        <v>29979.17</v>
      </c>
      <c r="F573">
        <v>582.05999999999995</v>
      </c>
      <c r="G573">
        <v>271.68</v>
      </c>
      <c r="H573">
        <v>3947.8</v>
      </c>
      <c r="I573" s="80">
        <v>14260.91</v>
      </c>
      <c r="J573">
        <v>168.32</v>
      </c>
      <c r="K573">
        <v>2251.64</v>
      </c>
      <c r="L573">
        <f t="shared" si="80"/>
        <v>0</v>
      </c>
      <c r="M573">
        <f t="shared" si="81"/>
        <v>0</v>
      </c>
      <c r="N573">
        <f t="shared" si="82"/>
        <v>0</v>
      </c>
      <c r="O573">
        <f t="shared" si="83"/>
        <v>0</v>
      </c>
      <c r="P573">
        <f t="shared" si="84"/>
        <v>0</v>
      </c>
      <c r="Q573">
        <f t="shared" si="85"/>
        <v>0</v>
      </c>
      <c r="R573">
        <f t="shared" si="86"/>
        <v>0</v>
      </c>
      <c r="S573">
        <f t="shared" si="87"/>
        <v>0</v>
      </c>
      <c r="T573">
        <f t="shared" si="89"/>
        <v>0</v>
      </c>
      <c r="U573">
        <f t="shared" si="88"/>
        <v>0</v>
      </c>
    </row>
    <row r="574" spans="1:21" x14ac:dyDescent="0.25">
      <c r="A574" s="2">
        <v>573</v>
      </c>
      <c r="B574" s="2">
        <v>1043</v>
      </c>
      <c r="C574" s="2" t="s">
        <v>178</v>
      </c>
      <c r="D574">
        <v>93.78</v>
      </c>
      <c r="E574" s="80">
        <v>36762.449999999997</v>
      </c>
      <c r="F574" s="80">
        <v>3964.74</v>
      </c>
      <c r="G574">
        <v>402.85</v>
      </c>
      <c r="H574" s="80">
        <v>17243.97</v>
      </c>
      <c r="I574" s="80">
        <v>16945.7</v>
      </c>
      <c r="J574">
        <v>321.97000000000003</v>
      </c>
      <c r="K574">
        <v>5376.31</v>
      </c>
      <c r="L574">
        <f t="shared" si="80"/>
        <v>0</v>
      </c>
      <c r="M574">
        <f t="shared" si="81"/>
        <v>0</v>
      </c>
      <c r="N574">
        <f t="shared" si="82"/>
        <v>0</v>
      </c>
      <c r="O574">
        <f t="shared" si="83"/>
        <v>0</v>
      </c>
      <c r="P574">
        <f t="shared" si="84"/>
        <v>0</v>
      </c>
      <c r="Q574">
        <f t="shared" si="85"/>
        <v>0</v>
      </c>
      <c r="R574">
        <f t="shared" si="86"/>
        <v>0</v>
      </c>
      <c r="S574">
        <f t="shared" si="87"/>
        <v>0</v>
      </c>
      <c r="T574">
        <f t="shared" si="89"/>
        <v>0</v>
      </c>
      <c r="U574">
        <f t="shared" si="88"/>
        <v>0</v>
      </c>
    </row>
    <row r="575" spans="1:21" x14ac:dyDescent="0.25">
      <c r="A575" s="2">
        <v>574</v>
      </c>
      <c r="B575" s="2">
        <v>1043</v>
      </c>
      <c r="C575" s="2" t="s">
        <v>163</v>
      </c>
      <c r="D575">
        <v>122.69</v>
      </c>
      <c r="E575" s="80">
        <v>44844.69</v>
      </c>
      <c r="F575">
        <v>788.1</v>
      </c>
      <c r="G575">
        <v>634.62</v>
      </c>
      <c r="H575">
        <v>8311.74</v>
      </c>
      <c r="I575" s="80">
        <v>16084.54</v>
      </c>
      <c r="J575">
        <v>428.75</v>
      </c>
      <c r="K575" s="80">
        <v>12487.97</v>
      </c>
      <c r="L575">
        <f t="shared" si="80"/>
        <v>0</v>
      </c>
      <c r="M575">
        <f t="shared" si="81"/>
        <v>0</v>
      </c>
      <c r="N575">
        <f t="shared" si="82"/>
        <v>0</v>
      </c>
      <c r="O575">
        <f t="shared" si="83"/>
        <v>0</v>
      </c>
      <c r="P575">
        <f t="shared" si="84"/>
        <v>0</v>
      </c>
      <c r="Q575">
        <f t="shared" si="85"/>
        <v>0</v>
      </c>
      <c r="R575">
        <f t="shared" si="86"/>
        <v>0</v>
      </c>
      <c r="S575">
        <f t="shared" si="87"/>
        <v>0</v>
      </c>
      <c r="T575">
        <f t="shared" si="89"/>
        <v>0</v>
      </c>
      <c r="U575">
        <f t="shared" si="88"/>
        <v>0</v>
      </c>
    </row>
    <row r="576" spans="1:21" x14ac:dyDescent="0.25">
      <c r="A576" s="2">
        <v>575</v>
      </c>
      <c r="B576" s="2">
        <v>1043</v>
      </c>
      <c r="C576" s="2" t="s">
        <v>181</v>
      </c>
      <c r="D576">
        <v>72.63</v>
      </c>
      <c r="E576" s="80">
        <v>37956.06</v>
      </c>
      <c r="F576">
        <v>13.9</v>
      </c>
      <c r="G576">
        <v>336.39</v>
      </c>
      <c r="H576">
        <v>76.89</v>
      </c>
      <c r="I576">
        <v>266.13</v>
      </c>
      <c r="J576">
        <v>206.89</v>
      </c>
      <c r="K576">
        <v>94.66</v>
      </c>
      <c r="L576">
        <f t="shared" si="80"/>
        <v>0</v>
      </c>
      <c r="M576">
        <f t="shared" si="81"/>
        <v>0</v>
      </c>
      <c r="N576">
        <f t="shared" si="82"/>
        <v>0</v>
      </c>
      <c r="O576">
        <f t="shared" si="83"/>
        <v>0</v>
      </c>
      <c r="P576">
        <f t="shared" si="84"/>
        <v>0</v>
      </c>
      <c r="Q576">
        <f t="shared" si="85"/>
        <v>0</v>
      </c>
      <c r="R576">
        <f t="shared" si="86"/>
        <v>0</v>
      </c>
      <c r="S576">
        <f t="shared" si="87"/>
        <v>0</v>
      </c>
      <c r="T576">
        <f t="shared" si="89"/>
        <v>0</v>
      </c>
      <c r="U576">
        <f t="shared" si="88"/>
        <v>0</v>
      </c>
    </row>
    <row r="577" spans="1:21" x14ac:dyDescent="0.25">
      <c r="A577" s="2">
        <v>576</v>
      </c>
      <c r="B577" s="2">
        <v>1043</v>
      </c>
      <c r="C577" s="2" t="s">
        <v>183</v>
      </c>
      <c r="D577">
        <v>359.26</v>
      </c>
      <c r="E577" s="80">
        <v>41385.15</v>
      </c>
      <c r="F577">
        <v>1792.9</v>
      </c>
      <c r="G577">
        <v>1718.2</v>
      </c>
      <c r="H577" s="83">
        <v>14078.04</v>
      </c>
      <c r="I577" s="80">
        <v>17243.150000000001</v>
      </c>
      <c r="J577">
        <v>807.1</v>
      </c>
      <c r="K577" s="80">
        <v>11287.79</v>
      </c>
      <c r="L577">
        <f t="shared" si="80"/>
        <v>0</v>
      </c>
      <c r="M577">
        <f t="shared" si="81"/>
        <v>0</v>
      </c>
      <c r="N577">
        <f t="shared" si="82"/>
        <v>0</v>
      </c>
      <c r="O577">
        <f t="shared" si="83"/>
        <v>0</v>
      </c>
      <c r="P577">
        <f t="shared" si="84"/>
        <v>0</v>
      </c>
      <c r="Q577">
        <f t="shared" si="85"/>
        <v>0</v>
      </c>
      <c r="R577">
        <f t="shared" si="86"/>
        <v>0</v>
      </c>
      <c r="S577">
        <f t="shared" si="87"/>
        <v>0</v>
      </c>
      <c r="T577">
        <f t="shared" si="89"/>
        <v>0</v>
      </c>
      <c r="U577">
        <f t="shared" si="88"/>
        <v>0</v>
      </c>
    </row>
    <row r="578" spans="1:21" x14ac:dyDescent="0.25">
      <c r="A578" s="2">
        <v>577</v>
      </c>
      <c r="B578" s="2">
        <v>1043</v>
      </c>
      <c r="C578" s="2" t="s">
        <v>186</v>
      </c>
      <c r="D578">
        <v>453.33</v>
      </c>
      <c r="E578" s="80">
        <v>40811.919999999998</v>
      </c>
      <c r="F578" s="80">
        <v>4402.84</v>
      </c>
      <c r="G578">
        <v>2418.5700000000002</v>
      </c>
      <c r="H578" s="80">
        <v>39874.32</v>
      </c>
      <c r="I578" s="80">
        <v>17774.57</v>
      </c>
      <c r="J578">
        <v>927.49</v>
      </c>
      <c r="K578" s="80">
        <v>13673.97</v>
      </c>
      <c r="L578">
        <f t="shared" ref="L578:L641" si="90">IF(D578 = "OOR &gt;", 1,0)</f>
        <v>0</v>
      </c>
      <c r="M578">
        <f t="shared" ref="M578:M641" si="91">IF(E578 = "OOR &gt;", 1,0)</f>
        <v>0</v>
      </c>
      <c r="N578">
        <f t="shared" ref="N578:N641" si="92">IF(F578 = "OOR &gt;", 1,0)</f>
        <v>0</v>
      </c>
      <c r="O578">
        <f t="shared" ref="O578:O641" si="93">IF(G578 = "OOR &gt;", 1,0)</f>
        <v>0</v>
      </c>
      <c r="P578">
        <f t="shared" ref="P578:P641" si="94">IF(H578 = "OOR &gt;", 1,0)</f>
        <v>0</v>
      </c>
      <c r="Q578">
        <f t="shared" ref="Q578:Q641" si="95">IF(I578 = "OOR &gt;", 1,0)</f>
        <v>0</v>
      </c>
      <c r="R578">
        <f t="shared" ref="R578:R641" si="96">IF(J578 = "OOR &gt;", 1,0)</f>
        <v>0</v>
      </c>
      <c r="S578">
        <f t="shared" ref="S578:S641" si="97">IF(K578 = "OOR &gt;", 1,0)</f>
        <v>0</v>
      </c>
      <c r="T578">
        <f t="shared" si="89"/>
        <v>0</v>
      </c>
      <c r="U578">
        <f t="shared" ref="U578:U641" si="98">IF(T578 &gt; 0,1,0)</f>
        <v>0</v>
      </c>
    </row>
    <row r="579" spans="1:21" x14ac:dyDescent="0.25">
      <c r="A579" s="2">
        <v>578</v>
      </c>
      <c r="B579" s="2">
        <v>1043</v>
      </c>
      <c r="C579" s="2" t="s">
        <v>188</v>
      </c>
      <c r="D579">
        <v>171.02</v>
      </c>
      <c r="E579" s="80">
        <v>48966.14</v>
      </c>
      <c r="F579">
        <v>246.01</v>
      </c>
      <c r="G579">
        <v>755.36</v>
      </c>
      <c r="H579">
        <v>4733.88</v>
      </c>
      <c r="I579">
        <v>15776.56</v>
      </c>
      <c r="J579">
        <v>474.37</v>
      </c>
      <c r="K579" s="80">
        <v>8903.98</v>
      </c>
      <c r="L579">
        <f t="shared" si="90"/>
        <v>0</v>
      </c>
      <c r="M579">
        <f t="shared" si="91"/>
        <v>0</v>
      </c>
      <c r="N579">
        <f t="shared" si="92"/>
        <v>0</v>
      </c>
      <c r="O579">
        <f t="shared" si="93"/>
        <v>0</v>
      </c>
      <c r="P579">
        <f t="shared" si="94"/>
        <v>0</v>
      </c>
      <c r="Q579">
        <f t="shared" si="95"/>
        <v>0</v>
      </c>
      <c r="R579">
        <f t="shared" si="96"/>
        <v>0</v>
      </c>
      <c r="S579">
        <f t="shared" si="97"/>
        <v>0</v>
      </c>
      <c r="T579">
        <f t="shared" ref="T579:T642" si="99">SUMIF(L579:S579,"&gt;0")</f>
        <v>0</v>
      </c>
      <c r="U579">
        <f t="shared" si="98"/>
        <v>0</v>
      </c>
    </row>
    <row r="580" spans="1:21" x14ac:dyDescent="0.25">
      <c r="A580" s="2">
        <v>579</v>
      </c>
      <c r="B580" s="2">
        <v>1043</v>
      </c>
      <c r="C580" s="2" t="s">
        <v>182</v>
      </c>
      <c r="D580" t="s">
        <v>583</v>
      </c>
      <c r="E580">
        <v>842.62</v>
      </c>
      <c r="F580" t="s">
        <v>583</v>
      </c>
      <c r="G580" t="s">
        <v>583</v>
      </c>
      <c r="H580" t="s">
        <v>583</v>
      </c>
      <c r="I580">
        <v>5.7</v>
      </c>
      <c r="J580" t="s">
        <v>583</v>
      </c>
      <c r="K580" t="s">
        <v>583</v>
      </c>
      <c r="L580">
        <f t="shared" si="90"/>
        <v>0</v>
      </c>
      <c r="M580">
        <f t="shared" si="91"/>
        <v>0</v>
      </c>
      <c r="N580">
        <f t="shared" si="92"/>
        <v>0</v>
      </c>
      <c r="O580">
        <f t="shared" si="93"/>
        <v>0</v>
      </c>
      <c r="P580">
        <f t="shared" si="94"/>
        <v>0</v>
      </c>
      <c r="Q580">
        <f t="shared" si="95"/>
        <v>0</v>
      </c>
      <c r="R580">
        <f t="shared" si="96"/>
        <v>0</v>
      </c>
      <c r="S580">
        <f t="shared" si="97"/>
        <v>0</v>
      </c>
      <c r="T580">
        <f t="shared" si="99"/>
        <v>0</v>
      </c>
      <c r="U580">
        <f t="shared" si="98"/>
        <v>0</v>
      </c>
    </row>
    <row r="581" spans="1:21" x14ac:dyDescent="0.25">
      <c r="A581" s="2">
        <v>580</v>
      </c>
      <c r="B581" s="2">
        <v>1043</v>
      </c>
      <c r="C581" s="2" t="s">
        <v>184</v>
      </c>
      <c r="D581">
        <v>32.200000000000003</v>
      </c>
      <c r="E581">
        <v>18105.939999999999</v>
      </c>
      <c r="F581">
        <v>423.65</v>
      </c>
      <c r="G581">
        <v>188.66</v>
      </c>
      <c r="H581">
        <v>4919.55</v>
      </c>
      <c r="I581" s="80">
        <v>12830.81</v>
      </c>
      <c r="J581">
        <v>90.68</v>
      </c>
      <c r="K581">
        <v>2055.11</v>
      </c>
      <c r="L581">
        <f t="shared" si="90"/>
        <v>0</v>
      </c>
      <c r="M581">
        <f t="shared" si="91"/>
        <v>0</v>
      </c>
      <c r="N581">
        <f t="shared" si="92"/>
        <v>0</v>
      </c>
      <c r="O581">
        <f t="shared" si="93"/>
        <v>0</v>
      </c>
      <c r="P581">
        <f t="shared" si="94"/>
        <v>0</v>
      </c>
      <c r="Q581">
        <f t="shared" si="95"/>
        <v>0</v>
      </c>
      <c r="R581">
        <f t="shared" si="96"/>
        <v>0</v>
      </c>
      <c r="S581">
        <f t="shared" si="97"/>
        <v>0</v>
      </c>
      <c r="T581">
        <f t="shared" si="99"/>
        <v>0</v>
      </c>
      <c r="U581">
        <f t="shared" si="98"/>
        <v>0</v>
      </c>
    </row>
    <row r="582" spans="1:21" x14ac:dyDescent="0.25">
      <c r="A582" s="2">
        <v>581</v>
      </c>
      <c r="B582" s="2">
        <v>1043</v>
      </c>
      <c r="C582" s="2" t="s">
        <v>187</v>
      </c>
      <c r="D582">
        <v>137.4</v>
      </c>
      <c r="E582">
        <v>19620.78</v>
      </c>
      <c r="F582">
        <v>582.59</v>
      </c>
      <c r="G582">
        <v>358.36</v>
      </c>
      <c r="H582" s="80">
        <v>19221.330000000002</v>
      </c>
      <c r="I582" s="80">
        <v>13654.54</v>
      </c>
      <c r="J582">
        <v>291.36</v>
      </c>
      <c r="K582">
        <v>7768.45</v>
      </c>
      <c r="L582">
        <f t="shared" si="90"/>
        <v>0</v>
      </c>
      <c r="M582">
        <f t="shared" si="91"/>
        <v>0</v>
      </c>
      <c r="N582">
        <f t="shared" si="92"/>
        <v>0</v>
      </c>
      <c r="O582">
        <f t="shared" si="93"/>
        <v>0</v>
      </c>
      <c r="P582">
        <f t="shared" si="94"/>
        <v>0</v>
      </c>
      <c r="Q582">
        <f t="shared" si="95"/>
        <v>0</v>
      </c>
      <c r="R582">
        <f t="shared" si="96"/>
        <v>0</v>
      </c>
      <c r="S582">
        <f t="shared" si="97"/>
        <v>0</v>
      </c>
      <c r="T582">
        <f t="shared" si="99"/>
        <v>0</v>
      </c>
      <c r="U582">
        <f t="shared" si="98"/>
        <v>0</v>
      </c>
    </row>
    <row r="583" spans="1:21" x14ac:dyDescent="0.25">
      <c r="A583" s="2">
        <v>582</v>
      </c>
      <c r="B583" s="2">
        <v>1043</v>
      </c>
      <c r="C583" s="2" t="s">
        <v>189</v>
      </c>
      <c r="D583">
        <v>69.150000000000006</v>
      </c>
      <c r="E583">
        <v>16084.18</v>
      </c>
      <c r="F583">
        <v>223.36</v>
      </c>
      <c r="G583">
        <v>402.85</v>
      </c>
      <c r="H583">
        <v>5222.5</v>
      </c>
      <c r="I583">
        <v>13001.61</v>
      </c>
      <c r="J583">
        <v>291.36</v>
      </c>
      <c r="K583" s="80">
        <v>10044.34</v>
      </c>
      <c r="L583">
        <f t="shared" si="90"/>
        <v>0</v>
      </c>
      <c r="M583">
        <f t="shared" si="91"/>
        <v>0</v>
      </c>
      <c r="N583">
        <f t="shared" si="92"/>
        <v>0</v>
      </c>
      <c r="O583">
        <f t="shared" si="93"/>
        <v>0</v>
      </c>
      <c r="P583">
        <f t="shared" si="94"/>
        <v>0</v>
      </c>
      <c r="Q583">
        <f t="shared" si="95"/>
        <v>0</v>
      </c>
      <c r="R583">
        <f t="shared" si="96"/>
        <v>0</v>
      </c>
      <c r="S583">
        <f t="shared" si="97"/>
        <v>0</v>
      </c>
      <c r="T583">
        <f t="shared" si="99"/>
        <v>0</v>
      </c>
      <c r="U583">
        <f t="shared" si="98"/>
        <v>0</v>
      </c>
    </row>
    <row r="584" spans="1:21" x14ac:dyDescent="0.25">
      <c r="A584" s="2">
        <v>583</v>
      </c>
      <c r="B584" s="2" t="s">
        <v>631</v>
      </c>
      <c r="C584" s="2" t="s">
        <v>162</v>
      </c>
      <c r="D584">
        <v>167.25</v>
      </c>
      <c r="E584" s="80">
        <v>39579.46</v>
      </c>
      <c r="F584">
        <v>19.84</v>
      </c>
      <c r="G584">
        <v>829.12</v>
      </c>
      <c r="H584">
        <v>33.130000000000003</v>
      </c>
      <c r="I584">
        <v>14.71</v>
      </c>
      <c r="J584">
        <v>352.53</v>
      </c>
      <c r="K584">
        <v>37.86</v>
      </c>
      <c r="L584">
        <f t="shared" si="90"/>
        <v>0</v>
      </c>
      <c r="M584">
        <f t="shared" si="91"/>
        <v>0</v>
      </c>
      <c r="N584">
        <f t="shared" si="92"/>
        <v>0</v>
      </c>
      <c r="O584">
        <f t="shared" si="93"/>
        <v>0</v>
      </c>
      <c r="P584">
        <f t="shared" si="94"/>
        <v>0</v>
      </c>
      <c r="Q584">
        <f t="shared" si="95"/>
        <v>0</v>
      </c>
      <c r="R584">
        <f t="shared" si="96"/>
        <v>0</v>
      </c>
      <c r="S584">
        <f t="shared" si="97"/>
        <v>0</v>
      </c>
      <c r="T584">
        <f t="shared" si="99"/>
        <v>0</v>
      </c>
      <c r="U584">
        <f t="shared" si="98"/>
        <v>0</v>
      </c>
    </row>
    <row r="585" spans="1:21" x14ac:dyDescent="0.25">
      <c r="A585" s="2">
        <v>584</v>
      </c>
      <c r="B585" s="2" t="s">
        <v>631</v>
      </c>
      <c r="C585" s="2" t="s">
        <v>170</v>
      </c>
      <c r="D585">
        <v>741.46</v>
      </c>
      <c r="E585" s="80">
        <v>33252.660000000003</v>
      </c>
      <c r="F585">
        <v>1274.25</v>
      </c>
      <c r="G585">
        <v>4055.79</v>
      </c>
      <c r="H585">
        <v>7220.98</v>
      </c>
      <c r="I585">
        <v>13169.46</v>
      </c>
      <c r="J585">
        <v>1302.26</v>
      </c>
      <c r="K585">
        <v>2560.08</v>
      </c>
      <c r="L585">
        <f t="shared" si="90"/>
        <v>0</v>
      </c>
      <c r="M585">
        <f t="shared" si="91"/>
        <v>0</v>
      </c>
      <c r="N585">
        <f t="shared" si="92"/>
        <v>0</v>
      </c>
      <c r="O585">
        <f t="shared" si="93"/>
        <v>0</v>
      </c>
      <c r="P585">
        <f t="shared" si="94"/>
        <v>0</v>
      </c>
      <c r="Q585">
        <f t="shared" si="95"/>
        <v>0</v>
      </c>
      <c r="R585">
        <f t="shared" si="96"/>
        <v>0</v>
      </c>
      <c r="S585">
        <f t="shared" si="97"/>
        <v>0</v>
      </c>
      <c r="T585">
        <f t="shared" si="99"/>
        <v>0</v>
      </c>
      <c r="U585">
        <f t="shared" si="98"/>
        <v>0</v>
      </c>
    </row>
    <row r="586" spans="1:21" x14ac:dyDescent="0.25">
      <c r="A586" s="2">
        <v>585</v>
      </c>
      <c r="B586" s="2" t="s">
        <v>631</v>
      </c>
      <c r="C586" s="2" t="s">
        <v>178</v>
      </c>
      <c r="D586">
        <v>395.83</v>
      </c>
      <c r="E586" s="80">
        <v>32663.84</v>
      </c>
      <c r="F586" s="80">
        <v>3835.71</v>
      </c>
      <c r="G586">
        <v>1855.59</v>
      </c>
      <c r="H586" s="80">
        <v>33531.83</v>
      </c>
      <c r="I586" s="80">
        <v>15654.89</v>
      </c>
      <c r="J586">
        <v>709.07</v>
      </c>
      <c r="K586">
        <v>7421.01</v>
      </c>
      <c r="L586">
        <f t="shared" si="90"/>
        <v>0</v>
      </c>
      <c r="M586">
        <f t="shared" si="91"/>
        <v>0</v>
      </c>
      <c r="N586">
        <f t="shared" si="92"/>
        <v>0</v>
      </c>
      <c r="O586">
        <f t="shared" si="93"/>
        <v>0</v>
      </c>
      <c r="P586">
        <f t="shared" si="94"/>
        <v>0</v>
      </c>
      <c r="Q586">
        <f t="shared" si="95"/>
        <v>0</v>
      </c>
      <c r="R586">
        <f t="shared" si="96"/>
        <v>0</v>
      </c>
      <c r="S586">
        <f t="shared" si="97"/>
        <v>0</v>
      </c>
      <c r="T586">
        <f t="shared" si="99"/>
        <v>0</v>
      </c>
      <c r="U586">
        <f t="shared" si="98"/>
        <v>0</v>
      </c>
    </row>
    <row r="587" spans="1:21" x14ac:dyDescent="0.25">
      <c r="A587" s="2">
        <v>586</v>
      </c>
      <c r="B587" s="2" t="s">
        <v>631</v>
      </c>
      <c r="C587" s="2" t="s">
        <v>163</v>
      </c>
      <c r="D587">
        <v>243.97</v>
      </c>
      <c r="E587" s="80">
        <v>40130.21</v>
      </c>
      <c r="F587">
        <v>468.76</v>
      </c>
      <c r="G587">
        <v>878.8</v>
      </c>
      <c r="H587">
        <v>3933.94</v>
      </c>
      <c r="I587" s="80">
        <v>9377.7800000000007</v>
      </c>
      <c r="J587">
        <v>413.52</v>
      </c>
      <c r="K587" s="80">
        <v>10670.98</v>
      </c>
      <c r="L587">
        <f t="shared" si="90"/>
        <v>0</v>
      </c>
      <c r="M587">
        <f t="shared" si="91"/>
        <v>0</v>
      </c>
      <c r="N587">
        <f t="shared" si="92"/>
        <v>0</v>
      </c>
      <c r="O587">
        <f t="shared" si="93"/>
        <v>0</v>
      </c>
      <c r="P587">
        <f t="shared" si="94"/>
        <v>0</v>
      </c>
      <c r="Q587">
        <f t="shared" si="95"/>
        <v>0</v>
      </c>
      <c r="R587">
        <f t="shared" si="96"/>
        <v>0</v>
      </c>
      <c r="S587">
        <f t="shared" si="97"/>
        <v>0</v>
      </c>
      <c r="T587">
        <f t="shared" si="99"/>
        <v>0</v>
      </c>
      <c r="U587">
        <f t="shared" si="98"/>
        <v>0</v>
      </c>
    </row>
    <row r="588" spans="1:21" x14ac:dyDescent="0.25">
      <c r="A588" s="2">
        <v>587</v>
      </c>
      <c r="B588" s="2" t="s">
        <v>631</v>
      </c>
      <c r="C588" s="2" t="s">
        <v>181</v>
      </c>
      <c r="D588">
        <v>79.62</v>
      </c>
      <c r="E588" s="80">
        <v>45544.46</v>
      </c>
      <c r="F588">
        <v>13.03</v>
      </c>
      <c r="G588">
        <v>229.65</v>
      </c>
      <c r="H588">
        <v>152.38999999999999</v>
      </c>
      <c r="I588">
        <v>325.57</v>
      </c>
      <c r="J588">
        <v>168.32</v>
      </c>
      <c r="K588">
        <v>214.45</v>
      </c>
      <c r="L588">
        <f t="shared" si="90"/>
        <v>0</v>
      </c>
      <c r="M588">
        <f t="shared" si="91"/>
        <v>0</v>
      </c>
      <c r="N588">
        <f t="shared" si="92"/>
        <v>0</v>
      </c>
      <c r="O588">
        <f t="shared" si="93"/>
        <v>0</v>
      </c>
      <c r="P588">
        <f t="shared" si="94"/>
        <v>0</v>
      </c>
      <c r="Q588">
        <f t="shared" si="95"/>
        <v>0</v>
      </c>
      <c r="R588">
        <f t="shared" si="96"/>
        <v>0</v>
      </c>
      <c r="S588">
        <f t="shared" si="97"/>
        <v>0</v>
      </c>
      <c r="T588">
        <f t="shared" si="99"/>
        <v>0</v>
      </c>
      <c r="U588">
        <f t="shared" si="98"/>
        <v>0</v>
      </c>
    </row>
    <row r="589" spans="1:21" x14ac:dyDescent="0.25">
      <c r="A589" s="2">
        <v>588</v>
      </c>
      <c r="B589" s="2" t="s">
        <v>631</v>
      </c>
      <c r="C589" s="2" t="s">
        <v>183</v>
      </c>
      <c r="D589">
        <v>122.69</v>
      </c>
      <c r="E589" s="80">
        <v>35899.919999999998</v>
      </c>
      <c r="F589">
        <v>2784.09</v>
      </c>
      <c r="G589">
        <v>516.95000000000005</v>
      </c>
      <c r="H589">
        <v>13282.03</v>
      </c>
      <c r="I589" s="80">
        <v>17535.5</v>
      </c>
      <c r="J589">
        <v>367.79</v>
      </c>
      <c r="K589" s="80">
        <v>12778.12</v>
      </c>
      <c r="L589">
        <f t="shared" si="90"/>
        <v>0</v>
      </c>
      <c r="M589">
        <f t="shared" si="91"/>
        <v>0</v>
      </c>
      <c r="N589">
        <f t="shared" si="92"/>
        <v>0</v>
      </c>
      <c r="O589">
        <f t="shared" si="93"/>
        <v>0</v>
      </c>
      <c r="P589">
        <f t="shared" si="94"/>
        <v>0</v>
      </c>
      <c r="Q589">
        <f t="shared" si="95"/>
        <v>0</v>
      </c>
      <c r="R589">
        <f t="shared" si="96"/>
        <v>0</v>
      </c>
      <c r="S589">
        <f t="shared" si="97"/>
        <v>0</v>
      </c>
      <c r="T589">
        <f t="shared" si="99"/>
        <v>0</v>
      </c>
      <c r="U589">
        <f t="shared" si="98"/>
        <v>0</v>
      </c>
    </row>
    <row r="590" spans="1:21" x14ac:dyDescent="0.25">
      <c r="A590" s="2">
        <v>589</v>
      </c>
      <c r="B590" s="2" t="s">
        <v>631</v>
      </c>
      <c r="C590" s="2" t="s">
        <v>186</v>
      </c>
      <c r="D590">
        <v>108.15</v>
      </c>
      <c r="E590" s="80">
        <v>32025</v>
      </c>
      <c r="F590" s="80">
        <v>4167.87</v>
      </c>
      <c r="G590">
        <v>516.95000000000005</v>
      </c>
      <c r="H590" s="80">
        <v>39927.800000000003</v>
      </c>
      <c r="I590" s="80">
        <v>16807.87</v>
      </c>
      <c r="J590">
        <v>413.52</v>
      </c>
      <c r="K590" s="80">
        <v>14422.59</v>
      </c>
      <c r="L590">
        <f t="shared" si="90"/>
        <v>0</v>
      </c>
      <c r="M590">
        <f t="shared" si="91"/>
        <v>0</v>
      </c>
      <c r="N590">
        <f t="shared" si="92"/>
        <v>0</v>
      </c>
      <c r="O590">
        <f t="shared" si="93"/>
        <v>0</v>
      </c>
      <c r="P590">
        <f t="shared" si="94"/>
        <v>0</v>
      </c>
      <c r="Q590">
        <f t="shared" si="95"/>
        <v>0</v>
      </c>
      <c r="R590">
        <f t="shared" si="96"/>
        <v>0</v>
      </c>
      <c r="S590">
        <f t="shared" si="97"/>
        <v>0</v>
      </c>
      <c r="T590">
        <f t="shared" si="99"/>
        <v>0</v>
      </c>
      <c r="U590">
        <f t="shared" si="98"/>
        <v>0</v>
      </c>
    </row>
    <row r="591" spans="1:21" x14ac:dyDescent="0.25">
      <c r="A591" s="2">
        <v>590</v>
      </c>
      <c r="B591" s="2" t="s">
        <v>631</v>
      </c>
      <c r="C591" s="2" t="s">
        <v>188</v>
      </c>
      <c r="D591">
        <v>137.4</v>
      </c>
      <c r="E591" s="80">
        <v>44053.52</v>
      </c>
      <c r="F591">
        <v>475.38</v>
      </c>
      <c r="G591">
        <v>493.83</v>
      </c>
      <c r="H591">
        <v>3159.54</v>
      </c>
      <c r="I591" s="80">
        <v>12368.61</v>
      </c>
      <c r="J591">
        <v>443.96</v>
      </c>
      <c r="K591" s="80">
        <v>11887.22</v>
      </c>
      <c r="L591">
        <f t="shared" si="90"/>
        <v>0</v>
      </c>
      <c r="M591">
        <f t="shared" si="91"/>
        <v>0</v>
      </c>
      <c r="N591">
        <f t="shared" si="92"/>
        <v>0</v>
      </c>
      <c r="O591">
        <f t="shared" si="93"/>
        <v>0</v>
      </c>
      <c r="P591">
        <f t="shared" si="94"/>
        <v>0</v>
      </c>
      <c r="Q591">
        <f t="shared" si="95"/>
        <v>0</v>
      </c>
      <c r="R591">
        <f t="shared" si="96"/>
        <v>0</v>
      </c>
      <c r="S591">
        <f t="shared" si="97"/>
        <v>0</v>
      </c>
      <c r="T591">
        <f t="shared" si="99"/>
        <v>0</v>
      </c>
      <c r="U591">
        <f t="shared" si="98"/>
        <v>0</v>
      </c>
    </row>
    <row r="592" spans="1:21" x14ac:dyDescent="0.25">
      <c r="A592" s="2">
        <v>591</v>
      </c>
      <c r="B592" s="2" t="s">
        <v>631</v>
      </c>
      <c r="C592" s="2" t="s">
        <v>182</v>
      </c>
      <c r="D592">
        <v>19.559999999999999</v>
      </c>
      <c r="E592">
        <v>2985.01</v>
      </c>
      <c r="F592">
        <v>9.3000000000000007</v>
      </c>
      <c r="G592">
        <v>110.45</v>
      </c>
      <c r="H592">
        <v>34.61</v>
      </c>
      <c r="I592">
        <v>95.39</v>
      </c>
      <c r="J592">
        <v>114.06</v>
      </c>
      <c r="K592">
        <v>16.649999999999999</v>
      </c>
      <c r="L592">
        <f t="shared" si="90"/>
        <v>0</v>
      </c>
      <c r="M592">
        <f t="shared" si="91"/>
        <v>0</v>
      </c>
      <c r="N592">
        <f t="shared" si="92"/>
        <v>0</v>
      </c>
      <c r="O592">
        <f t="shared" si="93"/>
        <v>0</v>
      </c>
      <c r="P592">
        <f t="shared" si="94"/>
        <v>0</v>
      </c>
      <c r="Q592">
        <f t="shared" si="95"/>
        <v>0</v>
      </c>
      <c r="R592">
        <f t="shared" si="96"/>
        <v>0</v>
      </c>
      <c r="S592">
        <f t="shared" si="97"/>
        <v>0</v>
      </c>
      <c r="T592">
        <f t="shared" si="99"/>
        <v>0</v>
      </c>
      <c r="U592">
        <f t="shared" si="98"/>
        <v>0</v>
      </c>
    </row>
    <row r="593" spans="1:21" x14ac:dyDescent="0.25">
      <c r="A593" s="2">
        <v>592</v>
      </c>
      <c r="B593" s="2" t="s">
        <v>631</v>
      </c>
      <c r="C593" s="2" t="s">
        <v>184</v>
      </c>
      <c r="D593">
        <v>621.24</v>
      </c>
      <c r="E593">
        <v>15616.2</v>
      </c>
      <c r="F593">
        <v>317.79000000000002</v>
      </c>
      <c r="G593">
        <v>2332.85</v>
      </c>
      <c r="H593">
        <v>12649.31</v>
      </c>
      <c r="I593" s="80">
        <v>13240</v>
      </c>
      <c r="J593">
        <v>912.45</v>
      </c>
      <c r="K593">
        <v>4154.34</v>
      </c>
      <c r="L593">
        <f t="shared" si="90"/>
        <v>0</v>
      </c>
      <c r="M593">
        <f t="shared" si="91"/>
        <v>0</v>
      </c>
      <c r="N593">
        <f t="shared" si="92"/>
        <v>0</v>
      </c>
      <c r="O593">
        <f t="shared" si="93"/>
        <v>0</v>
      </c>
      <c r="P593">
        <f t="shared" si="94"/>
        <v>0</v>
      </c>
      <c r="Q593">
        <f t="shared" si="95"/>
        <v>0</v>
      </c>
      <c r="R593">
        <f t="shared" si="96"/>
        <v>0</v>
      </c>
      <c r="S593">
        <f t="shared" si="97"/>
        <v>0</v>
      </c>
      <c r="T593">
        <f t="shared" si="99"/>
        <v>0</v>
      </c>
      <c r="U593">
        <f t="shared" si="98"/>
        <v>0</v>
      </c>
    </row>
    <row r="594" spans="1:21" x14ac:dyDescent="0.25">
      <c r="A594" s="2">
        <v>593</v>
      </c>
      <c r="B594" s="2" t="s">
        <v>631</v>
      </c>
      <c r="C594" s="2" t="s">
        <v>187</v>
      </c>
      <c r="D594">
        <v>898.77</v>
      </c>
      <c r="E594">
        <v>16920.919999999998</v>
      </c>
      <c r="F594">
        <v>525.01</v>
      </c>
      <c r="G594">
        <v>1772.98</v>
      </c>
      <c r="H594" s="80">
        <v>26616.7</v>
      </c>
      <c r="I594" s="80">
        <v>11164.97</v>
      </c>
      <c r="J594">
        <v>807.1</v>
      </c>
      <c r="K594" s="80">
        <v>8240.43</v>
      </c>
      <c r="L594">
        <f t="shared" si="90"/>
        <v>0</v>
      </c>
      <c r="M594">
        <f t="shared" si="91"/>
        <v>0</v>
      </c>
      <c r="N594">
        <f t="shared" si="92"/>
        <v>0</v>
      </c>
      <c r="O594">
        <f t="shared" si="93"/>
        <v>0</v>
      </c>
      <c r="P594">
        <f t="shared" si="94"/>
        <v>0</v>
      </c>
      <c r="Q594">
        <f t="shared" si="95"/>
        <v>0</v>
      </c>
      <c r="R594">
        <f t="shared" si="96"/>
        <v>0</v>
      </c>
      <c r="S594">
        <f t="shared" si="97"/>
        <v>0</v>
      </c>
      <c r="T594">
        <f t="shared" si="99"/>
        <v>0</v>
      </c>
      <c r="U594">
        <f t="shared" si="98"/>
        <v>0</v>
      </c>
    </row>
    <row r="595" spans="1:21" x14ac:dyDescent="0.25">
      <c r="A595" s="2">
        <v>594</v>
      </c>
      <c r="B595" s="2" t="s">
        <v>631</v>
      </c>
      <c r="C595" s="2" t="s">
        <v>189</v>
      </c>
      <c r="D595">
        <v>1486.92</v>
      </c>
      <c r="E595">
        <v>17842.97</v>
      </c>
      <c r="F595">
        <v>54.29</v>
      </c>
      <c r="G595">
        <v>682.57</v>
      </c>
      <c r="H595" s="83">
        <v>14087.44</v>
      </c>
      <c r="I595" s="80">
        <v>8621.15</v>
      </c>
      <c r="J595">
        <v>390.67</v>
      </c>
      <c r="K595" s="80">
        <v>10519.32</v>
      </c>
      <c r="L595">
        <f t="shared" si="90"/>
        <v>0</v>
      </c>
      <c r="M595">
        <f t="shared" si="91"/>
        <v>0</v>
      </c>
      <c r="N595">
        <f t="shared" si="92"/>
        <v>0</v>
      </c>
      <c r="O595">
        <f t="shared" si="93"/>
        <v>0</v>
      </c>
      <c r="P595">
        <f t="shared" si="94"/>
        <v>0</v>
      </c>
      <c r="Q595">
        <f t="shared" si="95"/>
        <v>0</v>
      </c>
      <c r="R595">
        <f t="shared" si="96"/>
        <v>0</v>
      </c>
      <c r="S595">
        <f t="shared" si="97"/>
        <v>0</v>
      </c>
      <c r="T595">
        <f t="shared" si="99"/>
        <v>0</v>
      </c>
      <c r="U595">
        <f t="shared" si="98"/>
        <v>0</v>
      </c>
    </row>
    <row r="596" spans="1:21" x14ac:dyDescent="0.25">
      <c r="A596" s="2">
        <v>595</v>
      </c>
      <c r="B596" s="2" t="s">
        <v>632</v>
      </c>
      <c r="C596" s="2" t="s">
        <v>162</v>
      </c>
      <c r="D596">
        <v>19.559999999999999</v>
      </c>
      <c r="E596">
        <v>17858.419999999998</v>
      </c>
      <c r="F596">
        <v>6.85</v>
      </c>
      <c r="G596">
        <v>271.68</v>
      </c>
      <c r="H596" s="80">
        <v>1.01</v>
      </c>
      <c r="I596">
        <v>1.95</v>
      </c>
      <c r="J596">
        <v>43.58</v>
      </c>
      <c r="K596">
        <v>3.2</v>
      </c>
      <c r="L596">
        <f t="shared" si="90"/>
        <v>0</v>
      </c>
      <c r="M596">
        <f t="shared" si="91"/>
        <v>0</v>
      </c>
      <c r="N596">
        <f t="shared" si="92"/>
        <v>0</v>
      </c>
      <c r="O596">
        <f t="shared" si="93"/>
        <v>0</v>
      </c>
      <c r="P596">
        <f t="shared" si="94"/>
        <v>0</v>
      </c>
      <c r="Q596">
        <f t="shared" si="95"/>
        <v>0</v>
      </c>
      <c r="R596">
        <f t="shared" si="96"/>
        <v>0</v>
      </c>
      <c r="S596">
        <f t="shared" si="97"/>
        <v>0</v>
      </c>
      <c r="T596">
        <f t="shared" si="99"/>
        <v>0</v>
      </c>
      <c r="U596">
        <f t="shared" si="98"/>
        <v>0</v>
      </c>
    </row>
    <row r="597" spans="1:21" x14ac:dyDescent="0.25">
      <c r="A597" s="2">
        <v>596</v>
      </c>
      <c r="B597" s="2" t="s">
        <v>632</v>
      </c>
      <c r="C597" s="2" t="s">
        <v>170</v>
      </c>
      <c r="D597">
        <v>7.69</v>
      </c>
      <c r="E597">
        <v>17373.07</v>
      </c>
      <c r="F597">
        <v>367.07</v>
      </c>
      <c r="G597">
        <v>110.45</v>
      </c>
      <c r="H597">
        <v>944.39</v>
      </c>
      <c r="I597" s="80">
        <v>7305.51</v>
      </c>
      <c r="J597" s="80">
        <v>11.69</v>
      </c>
      <c r="K597">
        <v>733.04</v>
      </c>
      <c r="L597">
        <f t="shared" si="90"/>
        <v>0</v>
      </c>
      <c r="M597">
        <f t="shared" si="91"/>
        <v>0</v>
      </c>
      <c r="N597">
        <f t="shared" si="92"/>
        <v>0</v>
      </c>
      <c r="O597">
        <f t="shared" si="93"/>
        <v>0</v>
      </c>
      <c r="P597">
        <f t="shared" si="94"/>
        <v>0</v>
      </c>
      <c r="Q597">
        <f t="shared" si="95"/>
        <v>0</v>
      </c>
      <c r="R597">
        <f t="shared" si="96"/>
        <v>0</v>
      </c>
      <c r="S597">
        <f t="shared" si="97"/>
        <v>0</v>
      </c>
      <c r="T597">
        <f t="shared" si="99"/>
        <v>0</v>
      </c>
      <c r="U597">
        <f t="shared" si="98"/>
        <v>0</v>
      </c>
    </row>
    <row r="598" spans="1:21" x14ac:dyDescent="0.25">
      <c r="A598" s="2">
        <v>597</v>
      </c>
      <c r="B598" s="2" t="s">
        <v>632</v>
      </c>
      <c r="C598" s="2" t="s">
        <v>178</v>
      </c>
      <c r="D598">
        <v>62.25</v>
      </c>
      <c r="E598">
        <v>21752.55</v>
      </c>
      <c r="F598">
        <v>2521.85</v>
      </c>
      <c r="G598">
        <v>402.85</v>
      </c>
      <c r="H598">
        <v>4991.1000000000004</v>
      </c>
      <c r="I598" s="80">
        <v>12579.96</v>
      </c>
      <c r="J598">
        <v>168.32</v>
      </c>
      <c r="K598">
        <v>2079.69</v>
      </c>
      <c r="L598">
        <f t="shared" si="90"/>
        <v>0</v>
      </c>
      <c r="M598">
        <f t="shared" si="91"/>
        <v>0</v>
      </c>
      <c r="N598">
        <f t="shared" si="92"/>
        <v>0</v>
      </c>
      <c r="O598">
        <f t="shared" si="93"/>
        <v>0</v>
      </c>
      <c r="P598">
        <f t="shared" si="94"/>
        <v>0</v>
      </c>
      <c r="Q598">
        <f t="shared" si="95"/>
        <v>0</v>
      </c>
      <c r="R598">
        <f t="shared" si="96"/>
        <v>0</v>
      </c>
      <c r="S598">
        <f t="shared" si="97"/>
        <v>0</v>
      </c>
      <c r="T598">
        <f t="shared" si="99"/>
        <v>0</v>
      </c>
      <c r="U598">
        <f t="shared" si="98"/>
        <v>0</v>
      </c>
    </row>
    <row r="599" spans="1:21" x14ac:dyDescent="0.25">
      <c r="A599" s="2">
        <v>598</v>
      </c>
      <c r="B599" s="2" t="s">
        <v>632</v>
      </c>
      <c r="C599" s="2" t="s">
        <v>163</v>
      </c>
      <c r="D599">
        <v>108.15</v>
      </c>
      <c r="E599" s="80">
        <v>25695.89</v>
      </c>
      <c r="F599">
        <v>636.75</v>
      </c>
      <c r="G599">
        <v>587.16</v>
      </c>
      <c r="H599">
        <v>2702.03</v>
      </c>
      <c r="I599" s="80">
        <v>7775.67</v>
      </c>
      <c r="J599">
        <v>291.36</v>
      </c>
      <c r="K599">
        <v>5732.39</v>
      </c>
      <c r="L599">
        <f t="shared" si="90"/>
        <v>0</v>
      </c>
      <c r="M599">
        <f t="shared" si="91"/>
        <v>0</v>
      </c>
      <c r="N599">
        <f t="shared" si="92"/>
        <v>0</v>
      </c>
      <c r="O599">
        <f t="shared" si="93"/>
        <v>0</v>
      </c>
      <c r="P599">
        <f t="shared" si="94"/>
        <v>0</v>
      </c>
      <c r="Q599">
        <f t="shared" si="95"/>
        <v>0</v>
      </c>
      <c r="R599">
        <f t="shared" si="96"/>
        <v>0</v>
      </c>
      <c r="S599">
        <f t="shared" si="97"/>
        <v>0</v>
      </c>
      <c r="T599">
        <f t="shared" si="99"/>
        <v>0</v>
      </c>
      <c r="U599">
        <f t="shared" si="98"/>
        <v>0</v>
      </c>
    </row>
    <row r="600" spans="1:21" x14ac:dyDescent="0.25">
      <c r="A600" s="2">
        <v>599</v>
      </c>
      <c r="B600" s="2" t="s">
        <v>632</v>
      </c>
      <c r="C600" s="2" t="s">
        <v>181</v>
      </c>
      <c r="D600">
        <v>144.81</v>
      </c>
      <c r="E600" s="80">
        <v>38902.65</v>
      </c>
      <c r="F600">
        <v>13.61</v>
      </c>
      <c r="G600">
        <v>658.53</v>
      </c>
      <c r="H600">
        <v>50.78</v>
      </c>
      <c r="I600">
        <v>27.38</v>
      </c>
      <c r="J600">
        <v>291.36</v>
      </c>
      <c r="K600">
        <v>50.84</v>
      </c>
      <c r="L600">
        <f t="shared" si="90"/>
        <v>0</v>
      </c>
      <c r="M600">
        <f t="shared" si="91"/>
        <v>0</v>
      </c>
      <c r="N600">
        <f t="shared" si="92"/>
        <v>0</v>
      </c>
      <c r="O600">
        <f t="shared" si="93"/>
        <v>0</v>
      </c>
      <c r="P600">
        <f t="shared" si="94"/>
        <v>0</v>
      </c>
      <c r="Q600">
        <f t="shared" si="95"/>
        <v>0</v>
      </c>
      <c r="R600">
        <f t="shared" si="96"/>
        <v>0</v>
      </c>
      <c r="S600">
        <f t="shared" si="97"/>
        <v>0</v>
      </c>
      <c r="T600">
        <f t="shared" si="99"/>
        <v>0</v>
      </c>
      <c r="U600">
        <f t="shared" si="98"/>
        <v>0</v>
      </c>
    </row>
    <row r="601" spans="1:21" x14ac:dyDescent="0.25">
      <c r="A601" s="2">
        <v>600</v>
      </c>
      <c r="B601" s="2" t="s">
        <v>632</v>
      </c>
      <c r="C601" s="2" t="s">
        <v>183</v>
      </c>
      <c r="D601">
        <v>595.74</v>
      </c>
      <c r="E601" s="80">
        <v>39588.620000000003</v>
      </c>
      <c r="F601">
        <v>1457.95</v>
      </c>
      <c r="G601">
        <v>2794.75</v>
      </c>
      <c r="H601">
        <v>2510.64</v>
      </c>
      <c r="I601" s="80">
        <v>15818.2</v>
      </c>
      <c r="J601">
        <v>1077.6300000000001</v>
      </c>
      <c r="K601">
        <v>4360.12</v>
      </c>
      <c r="L601">
        <f t="shared" si="90"/>
        <v>0</v>
      </c>
      <c r="M601">
        <f t="shared" si="91"/>
        <v>0</v>
      </c>
      <c r="N601">
        <f t="shared" si="92"/>
        <v>0</v>
      </c>
      <c r="O601">
        <f t="shared" si="93"/>
        <v>0</v>
      </c>
      <c r="P601">
        <f t="shared" si="94"/>
        <v>0</v>
      </c>
      <c r="Q601">
        <f t="shared" si="95"/>
        <v>0</v>
      </c>
      <c r="R601">
        <f t="shared" si="96"/>
        <v>0</v>
      </c>
      <c r="S601">
        <f t="shared" si="97"/>
        <v>0</v>
      </c>
      <c r="T601">
        <f t="shared" si="99"/>
        <v>0</v>
      </c>
      <c r="U601">
        <f t="shared" si="98"/>
        <v>0</v>
      </c>
    </row>
    <row r="602" spans="1:21" x14ac:dyDescent="0.25">
      <c r="A602" s="2">
        <v>601</v>
      </c>
      <c r="B602" s="2" t="s">
        <v>632</v>
      </c>
      <c r="C602" s="2" t="s">
        <v>186</v>
      </c>
      <c r="D602">
        <v>465.74</v>
      </c>
      <c r="E602" s="80">
        <v>38410.480000000003</v>
      </c>
      <c r="F602" s="80">
        <v>6005.94</v>
      </c>
      <c r="G602">
        <v>2504.71</v>
      </c>
      <c r="H602">
        <v>10226.540000000001</v>
      </c>
      <c r="I602" s="80">
        <v>17575.560000000001</v>
      </c>
      <c r="J602">
        <v>987.59</v>
      </c>
      <c r="K602" s="80">
        <v>8909.69</v>
      </c>
      <c r="L602">
        <f t="shared" si="90"/>
        <v>0</v>
      </c>
      <c r="M602">
        <f t="shared" si="91"/>
        <v>0</v>
      </c>
      <c r="N602">
        <f t="shared" si="92"/>
        <v>0</v>
      </c>
      <c r="O602">
        <f t="shared" si="93"/>
        <v>0</v>
      </c>
      <c r="P602">
        <f t="shared" si="94"/>
        <v>0</v>
      </c>
      <c r="Q602">
        <f t="shared" si="95"/>
        <v>0</v>
      </c>
      <c r="R602">
        <f t="shared" si="96"/>
        <v>0</v>
      </c>
      <c r="S602">
        <f t="shared" si="97"/>
        <v>0</v>
      </c>
      <c r="T602">
        <f t="shared" si="99"/>
        <v>0</v>
      </c>
      <c r="U602">
        <f t="shared" si="98"/>
        <v>0</v>
      </c>
    </row>
    <row r="603" spans="1:21" x14ac:dyDescent="0.25">
      <c r="A603" s="2">
        <v>602</v>
      </c>
      <c r="B603" s="2" t="s">
        <v>632</v>
      </c>
      <c r="C603" s="2" t="s">
        <v>188</v>
      </c>
      <c r="D603">
        <v>159.74</v>
      </c>
      <c r="E603" s="80">
        <v>52918.16</v>
      </c>
      <c r="F603">
        <v>157.66999999999999</v>
      </c>
      <c r="G603">
        <v>682.57</v>
      </c>
      <c r="H603">
        <v>1384.47</v>
      </c>
      <c r="I603" s="80">
        <v>7127.59</v>
      </c>
      <c r="J603">
        <v>459.17</v>
      </c>
      <c r="K603">
        <v>7611.55</v>
      </c>
      <c r="L603">
        <f t="shared" si="90"/>
        <v>0</v>
      </c>
      <c r="M603">
        <f t="shared" si="91"/>
        <v>0</v>
      </c>
      <c r="N603">
        <f t="shared" si="92"/>
        <v>0</v>
      </c>
      <c r="O603">
        <f t="shared" si="93"/>
        <v>0</v>
      </c>
      <c r="P603">
        <f t="shared" si="94"/>
        <v>0</v>
      </c>
      <c r="Q603">
        <f t="shared" si="95"/>
        <v>0</v>
      </c>
      <c r="R603">
        <f t="shared" si="96"/>
        <v>0</v>
      </c>
      <c r="S603">
        <f t="shared" si="97"/>
        <v>0</v>
      </c>
      <c r="T603">
        <f t="shared" si="99"/>
        <v>0</v>
      </c>
      <c r="U603">
        <f t="shared" si="98"/>
        <v>0</v>
      </c>
    </row>
    <row r="604" spans="1:21" x14ac:dyDescent="0.25">
      <c r="A604" s="2">
        <v>603</v>
      </c>
      <c r="B604" s="2" t="s">
        <v>632</v>
      </c>
      <c r="C604" s="2" t="s">
        <v>182</v>
      </c>
      <c r="D604">
        <v>22.66</v>
      </c>
      <c r="E604">
        <v>8110.74</v>
      </c>
      <c r="F604">
        <v>1.69</v>
      </c>
      <c r="G604" s="80">
        <v>9.33</v>
      </c>
      <c r="H604">
        <v>25.69</v>
      </c>
      <c r="I604">
        <v>191.45</v>
      </c>
      <c r="J604">
        <v>43.58</v>
      </c>
      <c r="K604">
        <v>4.04</v>
      </c>
      <c r="L604">
        <f t="shared" si="90"/>
        <v>0</v>
      </c>
      <c r="M604">
        <f t="shared" si="91"/>
        <v>0</v>
      </c>
      <c r="N604">
        <f t="shared" si="92"/>
        <v>0</v>
      </c>
      <c r="O604">
        <f t="shared" si="93"/>
        <v>0</v>
      </c>
      <c r="P604">
        <f t="shared" si="94"/>
        <v>0</v>
      </c>
      <c r="Q604">
        <f t="shared" si="95"/>
        <v>0</v>
      </c>
      <c r="R604">
        <f t="shared" si="96"/>
        <v>0</v>
      </c>
      <c r="S604">
        <f t="shared" si="97"/>
        <v>0</v>
      </c>
      <c r="T604">
        <f t="shared" si="99"/>
        <v>0</v>
      </c>
      <c r="U604">
        <f t="shared" si="98"/>
        <v>0</v>
      </c>
    </row>
    <row r="605" spans="1:21" x14ac:dyDescent="0.25">
      <c r="A605" s="2">
        <v>604</v>
      </c>
      <c r="B605" s="2" t="s">
        <v>632</v>
      </c>
      <c r="C605" s="2" t="s">
        <v>184</v>
      </c>
      <c r="D605">
        <v>28.99</v>
      </c>
      <c r="E605">
        <v>14346.75</v>
      </c>
      <c r="F605">
        <v>526.76</v>
      </c>
      <c r="G605">
        <v>73.819999999999993</v>
      </c>
      <c r="H605">
        <v>7093.92</v>
      </c>
      <c r="I605" s="80">
        <v>13456.56</v>
      </c>
      <c r="J605">
        <v>137.35</v>
      </c>
      <c r="K605">
        <v>2438.87</v>
      </c>
      <c r="L605">
        <f t="shared" si="90"/>
        <v>0</v>
      </c>
      <c r="M605">
        <f t="shared" si="91"/>
        <v>0</v>
      </c>
      <c r="N605">
        <f t="shared" si="92"/>
        <v>0</v>
      </c>
      <c r="O605">
        <f t="shared" si="93"/>
        <v>0</v>
      </c>
      <c r="P605">
        <f t="shared" si="94"/>
        <v>0</v>
      </c>
      <c r="Q605">
        <f t="shared" si="95"/>
        <v>0</v>
      </c>
      <c r="R605">
        <f t="shared" si="96"/>
        <v>0</v>
      </c>
      <c r="S605">
        <f t="shared" si="97"/>
        <v>0</v>
      </c>
      <c r="T605">
        <f t="shared" si="99"/>
        <v>0</v>
      </c>
      <c r="U605">
        <f t="shared" si="98"/>
        <v>0</v>
      </c>
    </row>
    <row r="606" spans="1:21" x14ac:dyDescent="0.25">
      <c r="A606" s="2">
        <v>605</v>
      </c>
      <c r="B606" s="2" t="s">
        <v>632</v>
      </c>
      <c r="C606" s="2" t="s">
        <v>187</v>
      </c>
      <c r="D606">
        <v>385.64</v>
      </c>
      <c r="E606">
        <v>18797.89</v>
      </c>
      <c r="F606">
        <v>1161.49</v>
      </c>
      <c r="G606">
        <v>1210.52</v>
      </c>
      <c r="H606" s="80">
        <v>34707.75</v>
      </c>
      <c r="I606" s="80">
        <v>14414.44</v>
      </c>
      <c r="J606">
        <v>588.12</v>
      </c>
      <c r="K606" s="80">
        <v>10070.969999999999</v>
      </c>
      <c r="L606">
        <f t="shared" si="90"/>
        <v>0</v>
      </c>
      <c r="M606">
        <f t="shared" si="91"/>
        <v>0</v>
      </c>
      <c r="N606">
        <f t="shared" si="92"/>
        <v>0</v>
      </c>
      <c r="O606">
        <f t="shared" si="93"/>
        <v>0</v>
      </c>
      <c r="P606">
        <f t="shared" si="94"/>
        <v>0</v>
      </c>
      <c r="Q606">
        <f t="shared" si="95"/>
        <v>0</v>
      </c>
      <c r="R606">
        <f t="shared" si="96"/>
        <v>0</v>
      </c>
      <c r="S606">
        <f t="shared" si="97"/>
        <v>0</v>
      </c>
      <c r="T606">
        <f t="shared" si="99"/>
        <v>0</v>
      </c>
      <c r="U606">
        <f t="shared" si="98"/>
        <v>0</v>
      </c>
    </row>
    <row r="607" spans="1:21" x14ac:dyDescent="0.25">
      <c r="A607" s="2">
        <v>606</v>
      </c>
      <c r="B607" s="2" t="s">
        <v>632</v>
      </c>
      <c r="C607" s="2" t="s">
        <v>189</v>
      </c>
      <c r="D607">
        <v>994.01</v>
      </c>
      <c r="E607">
        <v>19212.37</v>
      </c>
      <c r="F607">
        <v>156.97</v>
      </c>
      <c r="G607">
        <v>516.95000000000005</v>
      </c>
      <c r="H607">
        <v>12648.26</v>
      </c>
      <c r="I607" s="80">
        <v>13179.08</v>
      </c>
      <c r="J607">
        <v>352.53</v>
      </c>
      <c r="K607" s="80">
        <v>8834.0400000000009</v>
      </c>
      <c r="L607">
        <f t="shared" si="90"/>
        <v>0</v>
      </c>
      <c r="M607">
        <f t="shared" si="91"/>
        <v>0</v>
      </c>
      <c r="N607">
        <f t="shared" si="92"/>
        <v>0</v>
      </c>
      <c r="O607">
        <f t="shared" si="93"/>
        <v>0</v>
      </c>
      <c r="P607">
        <f t="shared" si="94"/>
        <v>0</v>
      </c>
      <c r="Q607">
        <f t="shared" si="95"/>
        <v>0</v>
      </c>
      <c r="R607">
        <f t="shared" si="96"/>
        <v>0</v>
      </c>
      <c r="S607">
        <f t="shared" si="97"/>
        <v>0</v>
      </c>
      <c r="T607">
        <f t="shared" si="99"/>
        <v>0</v>
      </c>
      <c r="U607">
        <f t="shared" si="98"/>
        <v>0</v>
      </c>
    </row>
    <row r="608" spans="1:21" x14ac:dyDescent="0.25">
      <c r="A608" s="2">
        <v>607</v>
      </c>
      <c r="B608" s="2">
        <v>1044</v>
      </c>
      <c r="C608" s="2" t="s">
        <v>162</v>
      </c>
      <c r="D608">
        <v>24.23</v>
      </c>
      <c r="E608">
        <v>16562.400000000001</v>
      </c>
      <c r="F608">
        <v>7.58</v>
      </c>
      <c r="G608">
        <v>110.45</v>
      </c>
      <c r="H608" t="s">
        <v>583</v>
      </c>
      <c r="I608">
        <v>1.28</v>
      </c>
      <c r="J608">
        <v>59.34</v>
      </c>
      <c r="K608">
        <v>4.9000000000000004</v>
      </c>
      <c r="L608">
        <f t="shared" si="90"/>
        <v>0</v>
      </c>
      <c r="M608">
        <f t="shared" si="91"/>
        <v>0</v>
      </c>
      <c r="N608">
        <f t="shared" si="92"/>
        <v>0</v>
      </c>
      <c r="O608">
        <f t="shared" si="93"/>
        <v>0</v>
      </c>
      <c r="P608">
        <f t="shared" si="94"/>
        <v>0</v>
      </c>
      <c r="Q608">
        <f t="shared" si="95"/>
        <v>0</v>
      </c>
      <c r="R608">
        <f t="shared" si="96"/>
        <v>0</v>
      </c>
      <c r="S608">
        <f t="shared" si="97"/>
        <v>0</v>
      </c>
      <c r="T608">
        <f t="shared" si="99"/>
        <v>0</v>
      </c>
      <c r="U608">
        <f t="shared" si="98"/>
        <v>0</v>
      </c>
    </row>
    <row r="609" spans="1:21" x14ac:dyDescent="0.25">
      <c r="A609" s="2">
        <v>608</v>
      </c>
      <c r="B609" s="2">
        <v>1044</v>
      </c>
      <c r="C609" s="2" t="s">
        <v>170</v>
      </c>
      <c r="D609">
        <v>50.35</v>
      </c>
      <c r="E609" s="80">
        <v>25829.119999999999</v>
      </c>
      <c r="F609">
        <v>749.52</v>
      </c>
      <c r="G609">
        <v>293.04000000000002</v>
      </c>
      <c r="H609">
        <v>4295.26</v>
      </c>
      <c r="I609" s="80">
        <v>15546.5</v>
      </c>
      <c r="J609">
        <v>152.85</v>
      </c>
      <c r="K609">
        <v>4960.71</v>
      </c>
      <c r="L609">
        <f t="shared" si="90"/>
        <v>0</v>
      </c>
      <c r="M609">
        <f t="shared" si="91"/>
        <v>0</v>
      </c>
      <c r="N609">
        <f t="shared" si="92"/>
        <v>0</v>
      </c>
      <c r="O609">
        <f t="shared" si="93"/>
        <v>0</v>
      </c>
      <c r="P609">
        <f t="shared" si="94"/>
        <v>0</v>
      </c>
      <c r="Q609">
        <f t="shared" si="95"/>
        <v>0</v>
      </c>
      <c r="R609">
        <f t="shared" si="96"/>
        <v>0</v>
      </c>
      <c r="S609">
        <f t="shared" si="97"/>
        <v>0</v>
      </c>
      <c r="T609">
        <f t="shared" si="99"/>
        <v>0</v>
      </c>
      <c r="U609">
        <f t="shared" si="98"/>
        <v>0</v>
      </c>
    </row>
    <row r="610" spans="1:21" x14ac:dyDescent="0.25">
      <c r="A610" s="2">
        <v>609</v>
      </c>
      <c r="B610" s="2">
        <v>1044</v>
      </c>
      <c r="C610" s="2" t="s">
        <v>178</v>
      </c>
      <c r="D610">
        <v>99.15</v>
      </c>
      <c r="E610" s="80">
        <v>30022.21</v>
      </c>
      <c r="F610">
        <v>2126.86</v>
      </c>
      <c r="G610">
        <v>706.72</v>
      </c>
      <c r="H610">
        <v>15175.93</v>
      </c>
      <c r="I610" s="80">
        <v>17047.41</v>
      </c>
      <c r="J610">
        <v>428.75</v>
      </c>
      <c r="K610" s="80">
        <v>10850.28</v>
      </c>
      <c r="L610">
        <f t="shared" si="90"/>
        <v>0</v>
      </c>
      <c r="M610">
        <f t="shared" si="91"/>
        <v>0</v>
      </c>
      <c r="N610">
        <f t="shared" si="92"/>
        <v>0</v>
      </c>
      <c r="O610">
        <f t="shared" si="93"/>
        <v>0</v>
      </c>
      <c r="P610">
        <f t="shared" si="94"/>
        <v>0</v>
      </c>
      <c r="Q610">
        <f t="shared" si="95"/>
        <v>0</v>
      </c>
      <c r="R610">
        <f t="shared" si="96"/>
        <v>0</v>
      </c>
      <c r="S610">
        <f t="shared" si="97"/>
        <v>0</v>
      </c>
      <c r="T610">
        <f t="shared" si="99"/>
        <v>0</v>
      </c>
      <c r="U610">
        <f t="shared" si="98"/>
        <v>0</v>
      </c>
    </row>
    <row r="611" spans="1:21" x14ac:dyDescent="0.25">
      <c r="A611" s="2">
        <v>610</v>
      </c>
      <c r="B611" s="2">
        <v>1044</v>
      </c>
      <c r="C611" s="2" t="s">
        <v>163</v>
      </c>
      <c r="D611">
        <v>165.37</v>
      </c>
      <c r="E611" s="80">
        <v>35980.58</v>
      </c>
      <c r="F611">
        <v>1339.13</v>
      </c>
      <c r="G611">
        <v>804.43</v>
      </c>
      <c r="H611">
        <v>8112.82</v>
      </c>
      <c r="I611" s="80">
        <v>16244.48</v>
      </c>
      <c r="J611">
        <v>489.56</v>
      </c>
      <c r="K611" s="80">
        <v>16051.68</v>
      </c>
      <c r="L611">
        <f t="shared" si="90"/>
        <v>0</v>
      </c>
      <c r="M611">
        <f t="shared" si="91"/>
        <v>0</v>
      </c>
      <c r="N611">
        <f t="shared" si="92"/>
        <v>0</v>
      </c>
      <c r="O611">
        <f t="shared" si="93"/>
        <v>0</v>
      </c>
      <c r="P611">
        <f t="shared" si="94"/>
        <v>0</v>
      </c>
      <c r="Q611">
        <f t="shared" si="95"/>
        <v>0</v>
      </c>
      <c r="R611">
        <f t="shared" si="96"/>
        <v>0</v>
      </c>
      <c r="S611">
        <f t="shared" si="97"/>
        <v>0</v>
      </c>
      <c r="T611">
        <f t="shared" si="99"/>
        <v>0</v>
      </c>
      <c r="U611">
        <f t="shared" si="98"/>
        <v>0</v>
      </c>
    </row>
    <row r="612" spans="1:21" x14ac:dyDescent="0.25">
      <c r="A612" s="2">
        <v>611</v>
      </c>
      <c r="B612" s="2">
        <v>1044</v>
      </c>
      <c r="C612" s="2" t="s">
        <v>181</v>
      </c>
      <c r="D612">
        <v>102.74</v>
      </c>
      <c r="E612" s="80">
        <v>32892.06</v>
      </c>
      <c r="F612">
        <v>15.86</v>
      </c>
      <c r="G612">
        <v>610.83000000000004</v>
      </c>
      <c r="H612">
        <v>202.69</v>
      </c>
      <c r="I612">
        <v>155.19999999999999</v>
      </c>
      <c r="J612">
        <v>245.34</v>
      </c>
      <c r="K612">
        <v>115.3</v>
      </c>
      <c r="L612">
        <f t="shared" si="90"/>
        <v>0</v>
      </c>
      <c r="M612">
        <f t="shared" si="91"/>
        <v>0</v>
      </c>
      <c r="N612">
        <f t="shared" si="92"/>
        <v>0</v>
      </c>
      <c r="O612">
        <f t="shared" si="93"/>
        <v>0</v>
      </c>
      <c r="P612">
        <f t="shared" si="94"/>
        <v>0</v>
      </c>
      <c r="Q612">
        <f t="shared" si="95"/>
        <v>0</v>
      </c>
      <c r="R612">
        <f t="shared" si="96"/>
        <v>0</v>
      </c>
      <c r="S612">
        <f t="shared" si="97"/>
        <v>0</v>
      </c>
      <c r="T612">
        <f t="shared" si="99"/>
        <v>0</v>
      </c>
      <c r="U612">
        <f t="shared" si="98"/>
        <v>0</v>
      </c>
    </row>
    <row r="613" spans="1:21" x14ac:dyDescent="0.25">
      <c r="A613" s="2">
        <v>612</v>
      </c>
      <c r="B613" s="2">
        <v>1044</v>
      </c>
      <c r="C613" s="2" t="s">
        <v>183</v>
      </c>
      <c r="D613">
        <v>128.19</v>
      </c>
      <c r="E613" s="80">
        <v>33411.25</v>
      </c>
      <c r="F613">
        <v>564.4</v>
      </c>
      <c r="G613">
        <v>1030.0999999999999</v>
      </c>
      <c r="H613">
        <v>5599.56</v>
      </c>
      <c r="I613" s="80">
        <v>16837.86</v>
      </c>
      <c r="J613">
        <v>459.17</v>
      </c>
      <c r="K613" s="80">
        <v>9036.09</v>
      </c>
      <c r="L613">
        <f t="shared" si="90"/>
        <v>0</v>
      </c>
      <c r="M613">
        <f t="shared" si="91"/>
        <v>0</v>
      </c>
      <c r="N613">
        <f t="shared" si="92"/>
        <v>0</v>
      </c>
      <c r="O613">
        <f t="shared" si="93"/>
        <v>0</v>
      </c>
      <c r="P613">
        <f t="shared" si="94"/>
        <v>0</v>
      </c>
      <c r="Q613">
        <f t="shared" si="95"/>
        <v>0</v>
      </c>
      <c r="R613">
        <f t="shared" si="96"/>
        <v>0</v>
      </c>
      <c r="S613">
        <f t="shared" si="97"/>
        <v>0</v>
      </c>
      <c r="T613">
        <f t="shared" si="99"/>
        <v>0</v>
      </c>
      <c r="U613">
        <f t="shared" si="98"/>
        <v>0</v>
      </c>
    </row>
    <row r="614" spans="1:21" x14ac:dyDescent="0.25">
      <c r="A614" s="2">
        <v>613</v>
      </c>
      <c r="B614" s="2">
        <v>1044</v>
      </c>
      <c r="C614" s="2" t="s">
        <v>186</v>
      </c>
      <c r="D614">
        <v>154.12</v>
      </c>
      <c r="E614" s="80">
        <v>29575.34</v>
      </c>
      <c r="F614">
        <v>1245.6400000000001</v>
      </c>
      <c r="G614">
        <v>658.53</v>
      </c>
      <c r="H614">
        <v>11834.95</v>
      </c>
      <c r="I614" s="80">
        <v>17539.98</v>
      </c>
      <c r="J614">
        <v>497.15</v>
      </c>
      <c r="K614" s="80">
        <v>12370.44</v>
      </c>
      <c r="L614">
        <f t="shared" si="90"/>
        <v>0</v>
      </c>
      <c r="M614">
        <f t="shared" si="91"/>
        <v>0</v>
      </c>
      <c r="N614">
        <f t="shared" si="92"/>
        <v>0</v>
      </c>
      <c r="O614">
        <f t="shared" si="93"/>
        <v>0</v>
      </c>
      <c r="P614">
        <f t="shared" si="94"/>
        <v>0</v>
      </c>
      <c r="Q614">
        <f t="shared" si="95"/>
        <v>0</v>
      </c>
      <c r="R614">
        <f t="shared" si="96"/>
        <v>0</v>
      </c>
      <c r="S614">
        <f t="shared" si="97"/>
        <v>0</v>
      </c>
      <c r="T614">
        <f t="shared" si="99"/>
        <v>0</v>
      </c>
      <c r="U614">
        <f t="shared" si="98"/>
        <v>0</v>
      </c>
    </row>
    <row r="615" spans="1:21" x14ac:dyDescent="0.25">
      <c r="A615" s="2">
        <v>614</v>
      </c>
      <c r="B615" s="2">
        <v>1044</v>
      </c>
      <c r="C615" s="2" t="s">
        <v>188</v>
      </c>
      <c r="D615">
        <v>120.86</v>
      </c>
      <c r="E615" s="80">
        <v>42276.42</v>
      </c>
      <c r="F615">
        <v>690.64</v>
      </c>
      <c r="G615">
        <v>706.72</v>
      </c>
      <c r="H615">
        <v>5934.25</v>
      </c>
      <c r="I615" s="80">
        <v>17101.86</v>
      </c>
      <c r="J615">
        <v>459.17</v>
      </c>
      <c r="K615" s="80">
        <v>13314.26</v>
      </c>
      <c r="L615">
        <f t="shared" si="90"/>
        <v>0</v>
      </c>
      <c r="M615">
        <f t="shared" si="91"/>
        <v>0</v>
      </c>
      <c r="N615">
        <f t="shared" si="92"/>
        <v>0</v>
      </c>
      <c r="O615">
        <f t="shared" si="93"/>
        <v>0</v>
      </c>
      <c r="P615">
        <f t="shared" si="94"/>
        <v>0</v>
      </c>
      <c r="Q615">
        <f t="shared" si="95"/>
        <v>0</v>
      </c>
      <c r="R615">
        <f t="shared" si="96"/>
        <v>0</v>
      </c>
      <c r="S615">
        <f t="shared" si="97"/>
        <v>0</v>
      </c>
      <c r="T615">
        <f t="shared" si="99"/>
        <v>0</v>
      </c>
      <c r="U615">
        <f t="shared" si="98"/>
        <v>0</v>
      </c>
    </row>
    <row r="616" spans="1:21" x14ac:dyDescent="0.25">
      <c r="A616" s="2">
        <v>615</v>
      </c>
      <c r="B616" s="2">
        <v>1044</v>
      </c>
      <c r="C616" s="2" t="s">
        <v>182</v>
      </c>
      <c r="D616">
        <v>18.03</v>
      </c>
      <c r="E616" s="80">
        <v>26992.71</v>
      </c>
      <c r="F616">
        <v>5.68</v>
      </c>
      <c r="G616">
        <v>250.55</v>
      </c>
      <c r="H616">
        <v>20.81</v>
      </c>
      <c r="I616">
        <v>85.64</v>
      </c>
      <c r="J616">
        <v>106.27</v>
      </c>
      <c r="K616">
        <v>15.72</v>
      </c>
      <c r="L616">
        <f t="shared" si="90"/>
        <v>0</v>
      </c>
      <c r="M616">
        <f t="shared" si="91"/>
        <v>0</v>
      </c>
      <c r="N616">
        <f t="shared" si="92"/>
        <v>0</v>
      </c>
      <c r="O616">
        <f t="shared" si="93"/>
        <v>0</v>
      </c>
      <c r="P616">
        <f t="shared" si="94"/>
        <v>0</v>
      </c>
      <c r="Q616">
        <f t="shared" si="95"/>
        <v>0</v>
      </c>
      <c r="R616">
        <f t="shared" si="96"/>
        <v>0</v>
      </c>
      <c r="S616">
        <f t="shared" si="97"/>
        <v>0</v>
      </c>
      <c r="T616">
        <f t="shared" si="99"/>
        <v>0</v>
      </c>
      <c r="U616">
        <f t="shared" si="98"/>
        <v>0</v>
      </c>
    </row>
    <row r="617" spans="1:21" x14ac:dyDescent="0.25">
      <c r="A617" s="2">
        <v>616</v>
      </c>
      <c r="B617" s="2">
        <v>1044</v>
      </c>
      <c r="C617" s="2" t="s">
        <v>184</v>
      </c>
      <c r="D617">
        <v>30.59</v>
      </c>
      <c r="E617" s="80">
        <v>33834.99</v>
      </c>
      <c r="F617">
        <v>454.51</v>
      </c>
      <c r="G617">
        <v>336.39</v>
      </c>
      <c r="H617">
        <v>3554.89</v>
      </c>
      <c r="I617" s="80">
        <v>13203.73</v>
      </c>
      <c r="J617">
        <v>152.85</v>
      </c>
      <c r="K617">
        <v>448.5</v>
      </c>
      <c r="L617">
        <f t="shared" si="90"/>
        <v>0</v>
      </c>
      <c r="M617">
        <f t="shared" si="91"/>
        <v>0</v>
      </c>
      <c r="N617">
        <f t="shared" si="92"/>
        <v>0</v>
      </c>
      <c r="O617">
        <f t="shared" si="93"/>
        <v>0</v>
      </c>
      <c r="P617">
        <f t="shared" si="94"/>
        <v>0</v>
      </c>
      <c r="Q617">
        <f t="shared" si="95"/>
        <v>0</v>
      </c>
      <c r="R617">
        <f t="shared" si="96"/>
        <v>0</v>
      </c>
      <c r="S617">
        <f t="shared" si="97"/>
        <v>0</v>
      </c>
      <c r="T617">
        <f t="shared" si="99"/>
        <v>0</v>
      </c>
      <c r="U617">
        <f t="shared" si="98"/>
        <v>0</v>
      </c>
    </row>
    <row r="618" spans="1:21" x14ac:dyDescent="0.25">
      <c r="A618" s="2">
        <v>617</v>
      </c>
      <c r="B618" s="2">
        <v>1044</v>
      </c>
      <c r="C618" s="2" t="s">
        <v>187</v>
      </c>
      <c r="D618">
        <v>92</v>
      </c>
      <c r="E618" s="80">
        <v>42388.14</v>
      </c>
      <c r="F618">
        <v>1753.07</v>
      </c>
      <c r="G618">
        <v>610.83000000000004</v>
      </c>
      <c r="H618">
        <v>10317.49</v>
      </c>
      <c r="I618" s="80">
        <v>15845.71</v>
      </c>
      <c r="J618">
        <v>398.29</v>
      </c>
      <c r="K618">
        <v>3296.33</v>
      </c>
      <c r="L618">
        <f t="shared" si="90"/>
        <v>0</v>
      </c>
      <c r="M618">
        <f t="shared" si="91"/>
        <v>0</v>
      </c>
      <c r="N618">
        <f t="shared" si="92"/>
        <v>0</v>
      </c>
      <c r="O618">
        <f t="shared" si="93"/>
        <v>0</v>
      </c>
      <c r="P618">
        <f t="shared" si="94"/>
        <v>0</v>
      </c>
      <c r="Q618">
        <f t="shared" si="95"/>
        <v>0</v>
      </c>
      <c r="R618">
        <f t="shared" si="96"/>
        <v>0</v>
      </c>
      <c r="S618">
        <f t="shared" si="97"/>
        <v>0</v>
      </c>
      <c r="T618">
        <f t="shared" si="99"/>
        <v>0</v>
      </c>
      <c r="U618">
        <f t="shared" si="98"/>
        <v>0</v>
      </c>
    </row>
    <row r="619" spans="1:21" x14ac:dyDescent="0.25">
      <c r="A619" s="2">
        <v>618</v>
      </c>
      <c r="B619" s="2">
        <v>1044</v>
      </c>
      <c r="C619" s="2" t="s">
        <v>189</v>
      </c>
      <c r="D619">
        <v>70.89</v>
      </c>
      <c r="E619" s="80">
        <v>35631.339999999997</v>
      </c>
      <c r="F619">
        <v>523.78</v>
      </c>
      <c r="G619">
        <v>658.53</v>
      </c>
      <c r="H619">
        <v>1622.57</v>
      </c>
      <c r="I619" s="80">
        <v>12017.57</v>
      </c>
      <c r="J619">
        <v>321.97000000000003</v>
      </c>
      <c r="K619">
        <v>1255.95</v>
      </c>
      <c r="L619">
        <f t="shared" si="90"/>
        <v>0</v>
      </c>
      <c r="M619">
        <f t="shared" si="91"/>
        <v>0</v>
      </c>
      <c r="N619">
        <f t="shared" si="92"/>
        <v>0</v>
      </c>
      <c r="O619">
        <f t="shared" si="93"/>
        <v>0</v>
      </c>
      <c r="P619">
        <f t="shared" si="94"/>
        <v>0</v>
      </c>
      <c r="Q619">
        <f t="shared" si="95"/>
        <v>0</v>
      </c>
      <c r="R619">
        <f t="shared" si="96"/>
        <v>0</v>
      </c>
      <c r="S619">
        <f t="shared" si="97"/>
        <v>0</v>
      </c>
      <c r="T619">
        <f t="shared" si="99"/>
        <v>0</v>
      </c>
      <c r="U619">
        <f t="shared" si="98"/>
        <v>0</v>
      </c>
    </row>
    <row r="620" spans="1:21" x14ac:dyDescent="0.25">
      <c r="A620" s="2">
        <v>619</v>
      </c>
      <c r="B620" s="2">
        <v>1048</v>
      </c>
      <c r="C620" s="2" t="s">
        <v>162</v>
      </c>
      <c r="D620">
        <v>154.12</v>
      </c>
      <c r="E620" s="80">
        <v>43959.55</v>
      </c>
      <c r="F620">
        <v>18.28</v>
      </c>
      <c r="G620">
        <v>878.8</v>
      </c>
      <c r="H620">
        <v>32.76</v>
      </c>
      <c r="I620">
        <v>9.2799999999999994</v>
      </c>
      <c r="J620">
        <v>367.79</v>
      </c>
      <c r="K620">
        <v>48.83</v>
      </c>
      <c r="L620">
        <f t="shared" si="90"/>
        <v>0</v>
      </c>
      <c r="M620">
        <f t="shared" si="91"/>
        <v>0</v>
      </c>
      <c r="N620">
        <f t="shared" si="92"/>
        <v>0</v>
      </c>
      <c r="O620">
        <f t="shared" si="93"/>
        <v>0</v>
      </c>
      <c r="P620">
        <f t="shared" si="94"/>
        <v>0</v>
      </c>
      <c r="Q620">
        <f t="shared" si="95"/>
        <v>0</v>
      </c>
      <c r="R620">
        <f t="shared" si="96"/>
        <v>0</v>
      </c>
      <c r="S620">
        <f t="shared" si="97"/>
        <v>0</v>
      </c>
      <c r="T620">
        <f t="shared" si="99"/>
        <v>0</v>
      </c>
      <c r="U620">
        <f t="shared" si="98"/>
        <v>0</v>
      </c>
    </row>
    <row r="621" spans="1:21" x14ac:dyDescent="0.25">
      <c r="A621" s="2">
        <v>620</v>
      </c>
      <c r="B621" s="2">
        <v>1048</v>
      </c>
      <c r="C621" s="2" t="s">
        <v>170</v>
      </c>
      <c r="D621">
        <v>109.96</v>
      </c>
      <c r="E621" s="80">
        <v>34419.589999999997</v>
      </c>
      <c r="F621">
        <v>452.25</v>
      </c>
      <c r="G621">
        <v>516.95000000000005</v>
      </c>
      <c r="H621">
        <v>629.52</v>
      </c>
      <c r="I621" s="80">
        <v>7188.9</v>
      </c>
      <c r="J621">
        <v>352.53</v>
      </c>
      <c r="K621">
        <v>856.75</v>
      </c>
      <c r="L621">
        <f t="shared" si="90"/>
        <v>0</v>
      </c>
      <c r="M621">
        <f t="shared" si="91"/>
        <v>0</v>
      </c>
      <c r="N621">
        <f t="shared" si="92"/>
        <v>0</v>
      </c>
      <c r="O621">
        <f t="shared" si="93"/>
        <v>0</v>
      </c>
      <c r="P621">
        <f t="shared" si="94"/>
        <v>0</v>
      </c>
      <c r="Q621">
        <f t="shared" si="95"/>
        <v>0</v>
      </c>
      <c r="R621">
        <f t="shared" si="96"/>
        <v>0</v>
      </c>
      <c r="S621">
        <f t="shared" si="97"/>
        <v>0</v>
      </c>
      <c r="T621">
        <f t="shared" si="99"/>
        <v>0</v>
      </c>
      <c r="U621">
        <f t="shared" si="98"/>
        <v>0</v>
      </c>
    </row>
    <row r="622" spans="1:21" x14ac:dyDescent="0.25">
      <c r="A622" s="2">
        <v>621</v>
      </c>
      <c r="B622" s="2">
        <v>1048</v>
      </c>
      <c r="C622" s="2" t="s">
        <v>178</v>
      </c>
      <c r="D622">
        <v>131.87</v>
      </c>
      <c r="E622" s="80">
        <v>39249.86</v>
      </c>
      <c r="F622" s="80">
        <v>4754.75</v>
      </c>
      <c r="G622">
        <v>706.72</v>
      </c>
      <c r="H622">
        <v>8064.19</v>
      </c>
      <c r="I622" s="80">
        <v>14302.83</v>
      </c>
      <c r="J622">
        <v>321.97000000000003</v>
      </c>
      <c r="K622">
        <v>3327.04</v>
      </c>
      <c r="L622">
        <f t="shared" si="90"/>
        <v>0</v>
      </c>
      <c r="M622">
        <f t="shared" si="91"/>
        <v>0</v>
      </c>
      <c r="N622">
        <f t="shared" si="92"/>
        <v>0</v>
      </c>
      <c r="O622">
        <f t="shared" si="93"/>
        <v>0</v>
      </c>
      <c r="P622">
        <f t="shared" si="94"/>
        <v>0</v>
      </c>
      <c r="Q622">
        <f t="shared" si="95"/>
        <v>0</v>
      </c>
      <c r="R622">
        <f t="shared" si="96"/>
        <v>0</v>
      </c>
      <c r="S622">
        <f t="shared" si="97"/>
        <v>0</v>
      </c>
      <c r="T622">
        <f t="shared" si="99"/>
        <v>0</v>
      </c>
      <c r="U622">
        <f t="shared" si="98"/>
        <v>0</v>
      </c>
    </row>
    <row r="623" spans="1:21" x14ac:dyDescent="0.25">
      <c r="A623" s="2">
        <v>622</v>
      </c>
      <c r="B623" s="2">
        <v>1048</v>
      </c>
      <c r="C623" s="2" t="s">
        <v>163</v>
      </c>
      <c r="D623">
        <v>142.96</v>
      </c>
      <c r="E623" s="80">
        <v>47219.15</v>
      </c>
      <c r="F623">
        <v>1773.38</v>
      </c>
      <c r="G623">
        <v>658.53</v>
      </c>
      <c r="H623">
        <v>5112.3599999999997</v>
      </c>
      <c r="I623" s="80">
        <v>8743.4699999999993</v>
      </c>
      <c r="J623">
        <v>413.52</v>
      </c>
      <c r="K623" s="80">
        <v>9301.44</v>
      </c>
      <c r="L623">
        <f t="shared" si="90"/>
        <v>0</v>
      </c>
      <c r="M623">
        <f t="shared" si="91"/>
        <v>0</v>
      </c>
      <c r="N623">
        <f t="shared" si="92"/>
        <v>0</v>
      </c>
      <c r="O623">
        <f t="shared" si="93"/>
        <v>0</v>
      </c>
      <c r="P623">
        <f t="shared" si="94"/>
        <v>0</v>
      </c>
      <c r="Q623">
        <f t="shared" si="95"/>
        <v>0</v>
      </c>
      <c r="R623">
        <f t="shared" si="96"/>
        <v>0</v>
      </c>
      <c r="S623">
        <f t="shared" si="97"/>
        <v>0</v>
      </c>
      <c r="T623">
        <f t="shared" si="99"/>
        <v>0</v>
      </c>
      <c r="U623">
        <f t="shared" si="98"/>
        <v>0</v>
      </c>
    </row>
    <row r="624" spans="1:21" x14ac:dyDescent="0.25">
      <c r="A624" s="2">
        <v>623</v>
      </c>
      <c r="B624" s="2">
        <v>1048</v>
      </c>
      <c r="C624" s="2" t="s">
        <v>181</v>
      </c>
      <c r="D624">
        <v>43.67</v>
      </c>
      <c r="E624" s="80">
        <v>51879.11</v>
      </c>
      <c r="F624">
        <v>12.73</v>
      </c>
      <c r="G624">
        <v>293.04000000000002</v>
      </c>
      <c r="H624">
        <v>1627.77</v>
      </c>
      <c r="I624">
        <v>204.39</v>
      </c>
      <c r="J624">
        <v>176.04</v>
      </c>
      <c r="K624">
        <v>722.79</v>
      </c>
      <c r="L624">
        <f t="shared" si="90"/>
        <v>0</v>
      </c>
      <c r="M624">
        <f t="shared" si="91"/>
        <v>0</v>
      </c>
      <c r="N624">
        <f t="shared" si="92"/>
        <v>0</v>
      </c>
      <c r="O624">
        <f t="shared" si="93"/>
        <v>0</v>
      </c>
      <c r="P624">
        <f t="shared" si="94"/>
        <v>0</v>
      </c>
      <c r="Q624">
        <f t="shared" si="95"/>
        <v>0</v>
      </c>
      <c r="R624">
        <f t="shared" si="96"/>
        <v>0</v>
      </c>
      <c r="S624">
        <f t="shared" si="97"/>
        <v>0</v>
      </c>
      <c r="T624">
        <f t="shared" si="99"/>
        <v>0</v>
      </c>
      <c r="U624">
        <f t="shared" si="98"/>
        <v>0</v>
      </c>
    </row>
    <row r="625" spans="1:21" x14ac:dyDescent="0.25">
      <c r="A625" s="2">
        <v>624</v>
      </c>
      <c r="B625" s="2">
        <v>1048</v>
      </c>
      <c r="C625" s="2" t="s">
        <v>183</v>
      </c>
      <c r="D625">
        <v>57.12</v>
      </c>
      <c r="E625" s="80">
        <v>36133.06</v>
      </c>
      <c r="F625">
        <v>1103.02</v>
      </c>
      <c r="G625">
        <v>336.39</v>
      </c>
      <c r="H625">
        <v>8044.8</v>
      </c>
      <c r="I625" s="80">
        <v>13383.55</v>
      </c>
      <c r="J625">
        <v>291.36</v>
      </c>
      <c r="K625">
        <v>7247.7</v>
      </c>
      <c r="L625">
        <f t="shared" si="90"/>
        <v>0</v>
      </c>
      <c r="M625">
        <f t="shared" si="91"/>
        <v>0</v>
      </c>
      <c r="N625">
        <f t="shared" si="92"/>
        <v>0</v>
      </c>
      <c r="O625">
        <f t="shared" si="93"/>
        <v>0</v>
      </c>
      <c r="P625">
        <f t="shared" si="94"/>
        <v>0</v>
      </c>
      <c r="Q625">
        <f t="shared" si="95"/>
        <v>0</v>
      </c>
      <c r="R625">
        <f t="shared" si="96"/>
        <v>0</v>
      </c>
      <c r="S625">
        <f t="shared" si="97"/>
        <v>0</v>
      </c>
      <c r="T625">
        <f t="shared" si="99"/>
        <v>0</v>
      </c>
      <c r="U625">
        <f t="shared" si="98"/>
        <v>0</v>
      </c>
    </row>
    <row r="626" spans="1:21" x14ac:dyDescent="0.25">
      <c r="A626" s="2">
        <v>625</v>
      </c>
      <c r="B626" s="2">
        <v>1048</v>
      </c>
      <c r="C626" s="2" t="s">
        <v>186</v>
      </c>
      <c r="D626">
        <v>99.15</v>
      </c>
      <c r="E626" s="80">
        <v>29035.919999999998</v>
      </c>
      <c r="F626">
        <v>2636.07</v>
      </c>
      <c r="G626">
        <v>634.62</v>
      </c>
      <c r="H626" s="80">
        <v>19668.21</v>
      </c>
      <c r="I626" s="80">
        <v>15768.6</v>
      </c>
      <c r="J626">
        <v>398.29</v>
      </c>
      <c r="K626" s="80">
        <v>10898.03</v>
      </c>
      <c r="L626">
        <f t="shared" si="90"/>
        <v>0</v>
      </c>
      <c r="M626">
        <f t="shared" si="91"/>
        <v>0</v>
      </c>
      <c r="N626">
        <f t="shared" si="92"/>
        <v>0</v>
      </c>
      <c r="O626">
        <f t="shared" si="93"/>
        <v>0</v>
      </c>
      <c r="P626">
        <f t="shared" si="94"/>
        <v>0</v>
      </c>
      <c r="Q626">
        <f t="shared" si="95"/>
        <v>0</v>
      </c>
      <c r="R626">
        <f t="shared" si="96"/>
        <v>0</v>
      </c>
      <c r="S626">
        <f t="shared" si="97"/>
        <v>0</v>
      </c>
      <c r="T626">
        <f t="shared" si="99"/>
        <v>0</v>
      </c>
      <c r="U626">
        <f t="shared" si="98"/>
        <v>0</v>
      </c>
    </row>
    <row r="627" spans="1:21" x14ac:dyDescent="0.25">
      <c r="A627" s="2">
        <v>626</v>
      </c>
      <c r="B627" s="2">
        <v>1048</v>
      </c>
      <c r="C627" s="2" t="s">
        <v>188</v>
      </c>
      <c r="D627">
        <v>120.86</v>
      </c>
      <c r="E627" s="80">
        <v>47506.05</v>
      </c>
      <c r="F627">
        <v>375.5</v>
      </c>
      <c r="G627">
        <v>706.72</v>
      </c>
      <c r="H627">
        <v>5159.1899999999996</v>
      </c>
      <c r="I627" s="80">
        <v>7431.66</v>
      </c>
      <c r="J627">
        <v>459.17</v>
      </c>
      <c r="K627">
        <v>10666.65</v>
      </c>
      <c r="L627">
        <f t="shared" si="90"/>
        <v>0</v>
      </c>
      <c r="M627">
        <f t="shared" si="91"/>
        <v>0</v>
      </c>
      <c r="N627">
        <f t="shared" si="92"/>
        <v>0</v>
      </c>
      <c r="O627">
        <f t="shared" si="93"/>
        <v>0</v>
      </c>
      <c r="P627">
        <f t="shared" si="94"/>
        <v>0</v>
      </c>
      <c r="Q627">
        <f t="shared" si="95"/>
        <v>0</v>
      </c>
      <c r="R627">
        <f t="shared" si="96"/>
        <v>0</v>
      </c>
      <c r="S627">
        <f t="shared" si="97"/>
        <v>0</v>
      </c>
      <c r="T627">
        <f t="shared" si="99"/>
        <v>0</v>
      </c>
      <c r="U627">
        <f t="shared" si="98"/>
        <v>0</v>
      </c>
    </row>
    <row r="628" spans="1:21" x14ac:dyDescent="0.25">
      <c r="A628" s="2">
        <v>627</v>
      </c>
      <c r="B628" s="2">
        <v>1048</v>
      </c>
      <c r="C628" s="2" t="s">
        <v>182</v>
      </c>
      <c r="D628">
        <v>84.91</v>
      </c>
      <c r="E628">
        <v>14391.21</v>
      </c>
      <c r="F628">
        <v>31.53</v>
      </c>
      <c r="G628">
        <v>293.04000000000002</v>
      </c>
      <c r="H628">
        <v>219.51</v>
      </c>
      <c r="I628">
        <v>2170.83</v>
      </c>
      <c r="J628">
        <v>199.19</v>
      </c>
      <c r="K628">
        <v>64.56</v>
      </c>
      <c r="L628">
        <f t="shared" si="90"/>
        <v>0</v>
      </c>
      <c r="M628">
        <f t="shared" si="91"/>
        <v>0</v>
      </c>
      <c r="N628">
        <f t="shared" si="92"/>
        <v>0</v>
      </c>
      <c r="O628">
        <f t="shared" si="93"/>
        <v>0</v>
      </c>
      <c r="P628">
        <f t="shared" si="94"/>
        <v>0</v>
      </c>
      <c r="Q628">
        <f t="shared" si="95"/>
        <v>0</v>
      </c>
      <c r="R628">
        <f t="shared" si="96"/>
        <v>0</v>
      </c>
      <c r="S628">
        <f t="shared" si="97"/>
        <v>0</v>
      </c>
      <c r="T628">
        <f t="shared" si="99"/>
        <v>0</v>
      </c>
      <c r="U628">
        <f t="shared" si="98"/>
        <v>0</v>
      </c>
    </row>
    <row r="629" spans="1:21" x14ac:dyDescent="0.25">
      <c r="A629" s="2">
        <v>628</v>
      </c>
      <c r="B629" s="2">
        <v>1048</v>
      </c>
      <c r="C629" s="2" t="s">
        <v>184</v>
      </c>
      <c r="D629">
        <v>120.86</v>
      </c>
      <c r="E629" s="80">
        <v>29095.75</v>
      </c>
      <c r="F629">
        <v>455.2</v>
      </c>
      <c r="G629">
        <v>706.72</v>
      </c>
      <c r="H629">
        <v>4687.5</v>
      </c>
      <c r="I629" s="80">
        <v>12450.09</v>
      </c>
      <c r="J629">
        <v>352.53</v>
      </c>
      <c r="K629">
        <v>1077.3399999999999</v>
      </c>
      <c r="L629">
        <f t="shared" si="90"/>
        <v>0</v>
      </c>
      <c r="M629">
        <f t="shared" si="91"/>
        <v>0</v>
      </c>
      <c r="N629">
        <f t="shared" si="92"/>
        <v>0</v>
      </c>
      <c r="O629">
        <f t="shared" si="93"/>
        <v>0</v>
      </c>
      <c r="P629">
        <f t="shared" si="94"/>
        <v>0</v>
      </c>
      <c r="Q629">
        <f t="shared" si="95"/>
        <v>0</v>
      </c>
      <c r="R629">
        <f t="shared" si="96"/>
        <v>0</v>
      </c>
      <c r="S629">
        <f t="shared" si="97"/>
        <v>0</v>
      </c>
      <c r="T629">
        <f t="shared" si="99"/>
        <v>0</v>
      </c>
      <c r="U629">
        <f t="shared" si="98"/>
        <v>0</v>
      </c>
    </row>
    <row r="630" spans="1:21" x14ac:dyDescent="0.25">
      <c r="A630" s="2">
        <v>629</v>
      </c>
      <c r="B630" s="2">
        <v>1048</v>
      </c>
      <c r="C630" s="2" t="s">
        <v>187</v>
      </c>
      <c r="D630">
        <v>157.87</v>
      </c>
      <c r="E630" s="80">
        <v>32164.78</v>
      </c>
      <c r="F630">
        <v>895.6</v>
      </c>
      <c r="G630">
        <v>755.36</v>
      </c>
      <c r="H630" s="80">
        <v>25177.52</v>
      </c>
      <c r="I630" s="80">
        <v>14121.27</v>
      </c>
      <c r="J630">
        <v>428.75</v>
      </c>
      <c r="K630">
        <v>6347.77</v>
      </c>
      <c r="L630">
        <f t="shared" si="90"/>
        <v>0</v>
      </c>
      <c r="M630">
        <f t="shared" si="91"/>
        <v>0</v>
      </c>
      <c r="N630">
        <f t="shared" si="92"/>
        <v>0</v>
      </c>
      <c r="O630">
        <f t="shared" si="93"/>
        <v>0</v>
      </c>
      <c r="P630">
        <f t="shared" si="94"/>
        <v>0</v>
      </c>
      <c r="Q630">
        <f t="shared" si="95"/>
        <v>0</v>
      </c>
      <c r="R630">
        <f t="shared" si="96"/>
        <v>0</v>
      </c>
      <c r="S630">
        <f t="shared" si="97"/>
        <v>0</v>
      </c>
      <c r="T630">
        <f t="shared" si="99"/>
        <v>0</v>
      </c>
      <c r="U630">
        <f t="shared" si="98"/>
        <v>0</v>
      </c>
    </row>
    <row r="631" spans="1:21" x14ac:dyDescent="0.25">
      <c r="A631" s="2">
        <v>630</v>
      </c>
      <c r="B631" s="2">
        <v>1048</v>
      </c>
      <c r="C631" s="2" t="s">
        <v>189</v>
      </c>
      <c r="D631">
        <v>84.91</v>
      </c>
      <c r="E631" s="80">
        <v>30963.67</v>
      </c>
      <c r="F631">
        <v>206.68</v>
      </c>
      <c r="G631">
        <v>380.52</v>
      </c>
      <c r="H631">
        <v>5193.68</v>
      </c>
      <c r="I631" s="80">
        <v>11288.45</v>
      </c>
      <c r="J631">
        <v>283.7</v>
      </c>
      <c r="K631">
        <v>5157.91</v>
      </c>
      <c r="L631">
        <f t="shared" si="90"/>
        <v>0</v>
      </c>
      <c r="M631">
        <f t="shared" si="91"/>
        <v>0</v>
      </c>
      <c r="N631">
        <f t="shared" si="92"/>
        <v>0</v>
      </c>
      <c r="O631">
        <f t="shared" si="93"/>
        <v>0</v>
      </c>
      <c r="P631">
        <f t="shared" si="94"/>
        <v>0</v>
      </c>
      <c r="Q631">
        <f t="shared" si="95"/>
        <v>0</v>
      </c>
      <c r="R631">
        <f t="shared" si="96"/>
        <v>0</v>
      </c>
      <c r="S631">
        <f t="shared" si="97"/>
        <v>0</v>
      </c>
      <c r="T631">
        <f t="shared" si="99"/>
        <v>0</v>
      </c>
      <c r="U631">
        <f t="shared" si="98"/>
        <v>0</v>
      </c>
    </row>
    <row r="632" spans="1:21" x14ac:dyDescent="0.25">
      <c r="A632" s="2">
        <v>631</v>
      </c>
      <c r="B632" s="2" t="s">
        <v>610</v>
      </c>
      <c r="C632" s="2" t="s">
        <v>162</v>
      </c>
      <c r="D632">
        <v>88.45</v>
      </c>
      <c r="E632" s="80">
        <v>51537.15</v>
      </c>
      <c r="F632">
        <v>14.47</v>
      </c>
      <c r="G632">
        <v>470.85</v>
      </c>
      <c r="H632">
        <v>11.68</v>
      </c>
      <c r="I632">
        <v>5.78</v>
      </c>
      <c r="J632">
        <v>183.76</v>
      </c>
      <c r="K632">
        <v>38.85</v>
      </c>
      <c r="L632">
        <f t="shared" si="90"/>
        <v>0</v>
      </c>
      <c r="M632">
        <f t="shared" si="91"/>
        <v>0</v>
      </c>
      <c r="N632">
        <f t="shared" si="92"/>
        <v>0</v>
      </c>
      <c r="O632">
        <f t="shared" si="93"/>
        <v>0</v>
      </c>
      <c r="P632">
        <f t="shared" si="94"/>
        <v>0</v>
      </c>
      <c r="Q632">
        <f t="shared" si="95"/>
        <v>0</v>
      </c>
      <c r="R632">
        <f t="shared" si="96"/>
        <v>0</v>
      </c>
      <c r="S632">
        <f t="shared" si="97"/>
        <v>0</v>
      </c>
      <c r="T632">
        <f t="shared" si="99"/>
        <v>0</v>
      </c>
      <c r="U632">
        <f t="shared" si="98"/>
        <v>0</v>
      </c>
    </row>
    <row r="633" spans="1:21" x14ac:dyDescent="0.25">
      <c r="A633" s="2">
        <v>632</v>
      </c>
      <c r="B633" s="2" t="s">
        <v>610</v>
      </c>
      <c r="C633" s="2" t="s">
        <v>170</v>
      </c>
      <c r="D633">
        <v>37.07</v>
      </c>
      <c r="E633" s="80">
        <v>32025</v>
      </c>
      <c r="F633">
        <v>281.3</v>
      </c>
      <c r="G633">
        <v>380.52</v>
      </c>
      <c r="H633">
        <v>756.04</v>
      </c>
      <c r="I633" s="80">
        <v>12201.41</v>
      </c>
      <c r="J633">
        <v>183.76</v>
      </c>
      <c r="K633">
        <v>1660.84</v>
      </c>
      <c r="L633">
        <f t="shared" si="90"/>
        <v>0</v>
      </c>
      <c r="M633">
        <f t="shared" si="91"/>
        <v>0</v>
      </c>
      <c r="N633">
        <f t="shared" si="92"/>
        <v>0</v>
      </c>
      <c r="O633">
        <f t="shared" si="93"/>
        <v>0</v>
      </c>
      <c r="P633">
        <f t="shared" si="94"/>
        <v>0</v>
      </c>
      <c r="Q633">
        <f t="shared" si="95"/>
        <v>0</v>
      </c>
      <c r="R633">
        <f t="shared" si="96"/>
        <v>0</v>
      </c>
      <c r="S633">
        <f t="shared" si="97"/>
        <v>0</v>
      </c>
      <c r="T633">
        <f t="shared" si="99"/>
        <v>0</v>
      </c>
      <c r="U633">
        <f t="shared" si="98"/>
        <v>0</v>
      </c>
    </row>
    <row r="634" spans="1:21" x14ac:dyDescent="0.25">
      <c r="A634" s="2">
        <v>633</v>
      </c>
      <c r="B634" s="2" t="s">
        <v>610</v>
      </c>
      <c r="C634" s="2" t="s">
        <v>178</v>
      </c>
      <c r="D634">
        <v>106.34</v>
      </c>
      <c r="E634" s="80">
        <v>49855.07</v>
      </c>
      <c r="F634">
        <v>60.83</v>
      </c>
      <c r="G634">
        <v>610.83000000000004</v>
      </c>
      <c r="H634">
        <v>920.7</v>
      </c>
      <c r="I634" s="80">
        <v>4276.13</v>
      </c>
      <c r="J634">
        <v>329.61</v>
      </c>
      <c r="K634">
        <v>4162.4799999999996</v>
      </c>
      <c r="L634">
        <f t="shared" si="90"/>
        <v>0</v>
      </c>
      <c r="M634">
        <f t="shared" si="91"/>
        <v>0</v>
      </c>
      <c r="N634">
        <f t="shared" si="92"/>
        <v>0</v>
      </c>
      <c r="O634">
        <f t="shared" si="93"/>
        <v>0</v>
      </c>
      <c r="P634">
        <f t="shared" si="94"/>
        <v>0</v>
      </c>
      <c r="Q634">
        <f t="shared" si="95"/>
        <v>0</v>
      </c>
      <c r="R634">
        <f t="shared" si="96"/>
        <v>0</v>
      </c>
      <c r="S634">
        <f t="shared" si="97"/>
        <v>0</v>
      </c>
      <c r="T634">
        <f t="shared" si="99"/>
        <v>0</v>
      </c>
      <c r="U634">
        <f t="shared" si="98"/>
        <v>0</v>
      </c>
    </row>
    <row r="635" spans="1:21" x14ac:dyDescent="0.25">
      <c r="A635" s="2">
        <v>634</v>
      </c>
      <c r="B635" s="2" t="s">
        <v>610</v>
      </c>
      <c r="C635" s="2" t="s">
        <v>163</v>
      </c>
      <c r="D635">
        <v>131.87</v>
      </c>
      <c r="E635" s="80">
        <v>33481.79</v>
      </c>
      <c r="F635">
        <v>2231.0500000000002</v>
      </c>
      <c r="G635">
        <v>804.43</v>
      </c>
      <c r="H635">
        <v>6970.29</v>
      </c>
      <c r="I635" s="80">
        <v>16982.03</v>
      </c>
      <c r="J635">
        <v>367.79</v>
      </c>
      <c r="K635">
        <v>4298.93</v>
      </c>
      <c r="L635">
        <f t="shared" si="90"/>
        <v>0</v>
      </c>
      <c r="M635">
        <f t="shared" si="91"/>
        <v>0</v>
      </c>
      <c r="N635">
        <f t="shared" si="92"/>
        <v>0</v>
      </c>
      <c r="O635">
        <f t="shared" si="93"/>
        <v>0</v>
      </c>
      <c r="P635">
        <f t="shared" si="94"/>
        <v>0</v>
      </c>
      <c r="Q635">
        <f t="shared" si="95"/>
        <v>0</v>
      </c>
      <c r="R635">
        <f t="shared" si="96"/>
        <v>0</v>
      </c>
      <c r="S635">
        <f t="shared" si="97"/>
        <v>0</v>
      </c>
      <c r="T635">
        <f t="shared" si="99"/>
        <v>0</v>
      </c>
      <c r="U635">
        <f t="shared" si="98"/>
        <v>0</v>
      </c>
    </row>
    <row r="636" spans="1:21" x14ac:dyDescent="0.25">
      <c r="A636" s="2">
        <v>635</v>
      </c>
      <c r="B636" s="2" t="s">
        <v>610</v>
      </c>
      <c r="C636" s="2" t="s">
        <v>181</v>
      </c>
      <c r="D636">
        <v>131.87</v>
      </c>
      <c r="E636" s="80">
        <v>27464.59</v>
      </c>
      <c r="F636">
        <v>18.8</v>
      </c>
      <c r="G636">
        <v>755.36</v>
      </c>
      <c r="H636">
        <v>110.9</v>
      </c>
      <c r="I636">
        <v>44.21</v>
      </c>
      <c r="J636">
        <v>337.25</v>
      </c>
      <c r="K636">
        <v>67.12</v>
      </c>
      <c r="L636">
        <f t="shared" si="90"/>
        <v>0</v>
      </c>
      <c r="M636">
        <f t="shared" si="91"/>
        <v>0</v>
      </c>
      <c r="N636">
        <f t="shared" si="92"/>
        <v>0</v>
      </c>
      <c r="O636">
        <f t="shared" si="93"/>
        <v>0</v>
      </c>
      <c r="P636">
        <f t="shared" si="94"/>
        <v>0</v>
      </c>
      <c r="Q636">
        <f t="shared" si="95"/>
        <v>0</v>
      </c>
      <c r="R636">
        <f t="shared" si="96"/>
        <v>0</v>
      </c>
      <c r="S636">
        <f t="shared" si="97"/>
        <v>0</v>
      </c>
      <c r="T636">
        <f t="shared" si="99"/>
        <v>0</v>
      </c>
      <c r="U636">
        <f t="shared" si="98"/>
        <v>0</v>
      </c>
    </row>
    <row r="637" spans="1:21" x14ac:dyDescent="0.25">
      <c r="A637" s="2">
        <v>636</v>
      </c>
      <c r="B637" s="2" t="s">
        <v>610</v>
      </c>
      <c r="C637" s="2" t="s">
        <v>183</v>
      </c>
      <c r="D637">
        <v>109.96</v>
      </c>
      <c r="E637">
        <v>22770.05</v>
      </c>
      <c r="F637">
        <v>31.76</v>
      </c>
      <c r="G637">
        <v>563.62</v>
      </c>
      <c r="H637">
        <v>4478.7299999999996</v>
      </c>
      <c r="I637" s="80">
        <v>9707.94</v>
      </c>
      <c r="J637">
        <v>337.25</v>
      </c>
      <c r="K637">
        <v>3464.16</v>
      </c>
      <c r="L637">
        <f t="shared" si="90"/>
        <v>0</v>
      </c>
      <c r="M637">
        <f t="shared" si="91"/>
        <v>0</v>
      </c>
      <c r="N637">
        <f t="shared" si="92"/>
        <v>0</v>
      </c>
      <c r="O637">
        <f t="shared" si="93"/>
        <v>0</v>
      </c>
      <c r="P637">
        <f t="shared" si="94"/>
        <v>0</v>
      </c>
      <c r="Q637">
        <f t="shared" si="95"/>
        <v>0</v>
      </c>
      <c r="R637">
        <f t="shared" si="96"/>
        <v>0</v>
      </c>
      <c r="S637">
        <f t="shared" si="97"/>
        <v>0</v>
      </c>
      <c r="T637">
        <f t="shared" si="99"/>
        <v>0</v>
      </c>
      <c r="U637">
        <f t="shared" si="98"/>
        <v>0</v>
      </c>
    </row>
    <row r="638" spans="1:21" x14ac:dyDescent="0.25">
      <c r="A638" s="2">
        <v>637</v>
      </c>
      <c r="B638" s="2" t="s">
        <v>610</v>
      </c>
      <c r="C638" s="2" t="s">
        <v>186</v>
      </c>
      <c r="D638">
        <v>77.87</v>
      </c>
      <c r="E638">
        <v>14495.04</v>
      </c>
      <c r="F638">
        <v>126.7</v>
      </c>
      <c r="G638">
        <v>563.62</v>
      </c>
      <c r="H638">
        <v>6463.99</v>
      </c>
      <c r="I638" s="80">
        <v>14108.25</v>
      </c>
      <c r="J638">
        <v>260.7</v>
      </c>
      <c r="K638">
        <v>6128.25</v>
      </c>
      <c r="L638">
        <f t="shared" si="90"/>
        <v>0</v>
      </c>
      <c r="M638">
        <f t="shared" si="91"/>
        <v>0</v>
      </c>
      <c r="N638">
        <f t="shared" si="92"/>
        <v>0</v>
      </c>
      <c r="O638">
        <f t="shared" si="93"/>
        <v>0</v>
      </c>
      <c r="P638">
        <f t="shared" si="94"/>
        <v>0</v>
      </c>
      <c r="Q638">
        <f t="shared" si="95"/>
        <v>0</v>
      </c>
      <c r="R638">
        <f t="shared" si="96"/>
        <v>0</v>
      </c>
      <c r="S638">
        <f t="shared" si="97"/>
        <v>0</v>
      </c>
      <c r="T638">
        <f t="shared" si="99"/>
        <v>0</v>
      </c>
      <c r="U638">
        <f t="shared" si="98"/>
        <v>0</v>
      </c>
    </row>
    <row r="639" spans="1:21" x14ac:dyDescent="0.25">
      <c r="A639" s="2">
        <v>638</v>
      </c>
      <c r="B639" s="2" t="s">
        <v>610</v>
      </c>
      <c r="C639" s="2" t="s">
        <v>188</v>
      </c>
      <c r="D639">
        <v>77.87</v>
      </c>
      <c r="E639" s="80">
        <v>36825.53</v>
      </c>
      <c r="F639">
        <v>17.48</v>
      </c>
      <c r="G639">
        <v>358.36</v>
      </c>
      <c r="H639">
        <v>775.67</v>
      </c>
      <c r="I639" s="80">
        <v>1289.8800000000001</v>
      </c>
      <c r="J639">
        <v>168.32</v>
      </c>
      <c r="K639">
        <v>1554</v>
      </c>
      <c r="L639">
        <f t="shared" si="90"/>
        <v>0</v>
      </c>
      <c r="M639">
        <f t="shared" si="91"/>
        <v>0</v>
      </c>
      <c r="N639">
        <f t="shared" si="92"/>
        <v>0</v>
      </c>
      <c r="O639">
        <f t="shared" si="93"/>
        <v>0</v>
      </c>
      <c r="P639">
        <f t="shared" si="94"/>
        <v>0</v>
      </c>
      <c r="Q639">
        <f t="shared" si="95"/>
        <v>0</v>
      </c>
      <c r="R639">
        <f t="shared" si="96"/>
        <v>0</v>
      </c>
      <c r="S639">
        <f t="shared" si="97"/>
        <v>0</v>
      </c>
      <c r="T639">
        <f t="shared" si="99"/>
        <v>0</v>
      </c>
      <c r="U639">
        <f t="shared" si="98"/>
        <v>0</v>
      </c>
    </row>
    <row r="640" spans="1:21" x14ac:dyDescent="0.25">
      <c r="A640" s="2">
        <v>639</v>
      </c>
      <c r="B640" s="2" t="s">
        <v>610</v>
      </c>
      <c r="C640" s="2" t="s">
        <v>182</v>
      </c>
      <c r="D640" t="s">
        <v>583</v>
      </c>
      <c r="E640">
        <v>1380.18</v>
      </c>
      <c r="F640" t="s">
        <v>583</v>
      </c>
      <c r="G640" t="s">
        <v>583</v>
      </c>
      <c r="H640" t="s">
        <v>583</v>
      </c>
      <c r="I640">
        <v>2.1800000000000002</v>
      </c>
      <c r="J640" t="s">
        <v>583</v>
      </c>
      <c r="K640" t="s">
        <v>583</v>
      </c>
      <c r="L640">
        <f t="shared" si="90"/>
        <v>0</v>
      </c>
      <c r="M640">
        <f t="shared" si="91"/>
        <v>0</v>
      </c>
      <c r="N640">
        <f t="shared" si="92"/>
        <v>0</v>
      </c>
      <c r="O640">
        <f t="shared" si="93"/>
        <v>0</v>
      </c>
      <c r="P640">
        <f t="shared" si="94"/>
        <v>0</v>
      </c>
      <c r="Q640">
        <f t="shared" si="95"/>
        <v>0</v>
      </c>
      <c r="R640">
        <f t="shared" si="96"/>
        <v>0</v>
      </c>
      <c r="S640">
        <f t="shared" si="97"/>
        <v>0</v>
      </c>
      <c r="T640">
        <f t="shared" si="99"/>
        <v>0</v>
      </c>
      <c r="U640">
        <f t="shared" si="98"/>
        <v>0</v>
      </c>
    </row>
    <row r="641" spans="1:21" x14ac:dyDescent="0.25">
      <c r="A641" s="2">
        <v>640</v>
      </c>
      <c r="B641" s="2" t="s">
        <v>610</v>
      </c>
      <c r="C641" s="2" t="s">
        <v>184</v>
      </c>
      <c r="D641">
        <v>27.39</v>
      </c>
      <c r="E641">
        <v>14599.01</v>
      </c>
      <c r="F641">
        <v>382.04</v>
      </c>
      <c r="G641">
        <v>91.89</v>
      </c>
      <c r="H641">
        <v>13494.15</v>
      </c>
      <c r="I641" s="80">
        <v>14216.5</v>
      </c>
      <c r="J641">
        <v>152.85</v>
      </c>
      <c r="K641">
        <v>4834.5600000000004</v>
      </c>
      <c r="L641">
        <f t="shared" si="90"/>
        <v>0</v>
      </c>
      <c r="M641">
        <f t="shared" si="91"/>
        <v>0</v>
      </c>
      <c r="N641">
        <f t="shared" si="92"/>
        <v>0</v>
      </c>
      <c r="O641">
        <f t="shared" si="93"/>
        <v>0</v>
      </c>
      <c r="P641">
        <f t="shared" si="94"/>
        <v>0</v>
      </c>
      <c r="Q641">
        <f t="shared" si="95"/>
        <v>0</v>
      </c>
      <c r="R641">
        <f t="shared" si="96"/>
        <v>0</v>
      </c>
      <c r="S641">
        <f t="shared" si="97"/>
        <v>0</v>
      </c>
      <c r="T641">
        <f t="shared" si="99"/>
        <v>0</v>
      </c>
      <c r="U641">
        <f t="shared" si="98"/>
        <v>0</v>
      </c>
    </row>
    <row r="642" spans="1:21" x14ac:dyDescent="0.25">
      <c r="A642" s="2">
        <v>641</v>
      </c>
      <c r="B642" s="2" t="s">
        <v>610</v>
      </c>
      <c r="C642" s="2" t="s">
        <v>187</v>
      </c>
      <c r="D642">
        <v>102.74</v>
      </c>
      <c r="E642">
        <v>19494.93</v>
      </c>
      <c r="F642">
        <v>872.63</v>
      </c>
      <c r="G642">
        <v>493.83</v>
      </c>
      <c r="H642" s="80">
        <v>23384.6</v>
      </c>
      <c r="I642" s="80">
        <v>15402.25</v>
      </c>
      <c r="J642">
        <v>367.79</v>
      </c>
      <c r="K642">
        <v>7713.3</v>
      </c>
      <c r="L642">
        <f t="shared" ref="L642:L705" si="100">IF(D642 = "OOR &gt;", 1,0)</f>
        <v>0</v>
      </c>
      <c r="M642">
        <f t="shared" ref="M642:M705" si="101">IF(E642 = "OOR &gt;", 1,0)</f>
        <v>0</v>
      </c>
      <c r="N642">
        <f t="shared" ref="N642:N705" si="102">IF(F642 = "OOR &gt;", 1,0)</f>
        <v>0</v>
      </c>
      <c r="O642">
        <f t="shared" ref="O642:O705" si="103">IF(G642 = "OOR &gt;", 1,0)</f>
        <v>0</v>
      </c>
      <c r="P642">
        <f t="shared" ref="P642:P705" si="104">IF(H642 = "OOR &gt;", 1,0)</f>
        <v>0</v>
      </c>
      <c r="Q642">
        <f t="shared" ref="Q642:Q705" si="105">IF(I642 = "OOR &gt;", 1,0)</f>
        <v>0</v>
      </c>
      <c r="R642">
        <f t="shared" ref="R642:R705" si="106">IF(J642 = "OOR &gt;", 1,0)</f>
        <v>0</v>
      </c>
      <c r="S642">
        <f t="shared" ref="S642:S705" si="107">IF(K642 = "OOR &gt;", 1,0)</f>
        <v>0</v>
      </c>
      <c r="T642">
        <f t="shared" si="99"/>
        <v>0</v>
      </c>
      <c r="U642">
        <f t="shared" ref="U642:U705" si="108">IF(T642 &gt; 0,1,0)</f>
        <v>0</v>
      </c>
    </row>
    <row r="643" spans="1:21" x14ac:dyDescent="0.25">
      <c r="A643" s="2">
        <v>642</v>
      </c>
      <c r="B643" s="2" t="s">
        <v>610</v>
      </c>
      <c r="C643" s="2" t="s">
        <v>189</v>
      </c>
      <c r="D643">
        <v>92</v>
      </c>
      <c r="E643">
        <v>14287.51</v>
      </c>
      <c r="F643">
        <v>710.09</v>
      </c>
      <c r="G643">
        <v>470.85</v>
      </c>
      <c r="H643">
        <v>7929.22</v>
      </c>
      <c r="I643" s="80">
        <v>14728.2</v>
      </c>
      <c r="J643">
        <v>398.29</v>
      </c>
      <c r="K643">
        <v>9166.91</v>
      </c>
      <c r="L643">
        <f t="shared" si="100"/>
        <v>0</v>
      </c>
      <c r="M643">
        <f t="shared" si="101"/>
        <v>0</v>
      </c>
      <c r="N643">
        <f t="shared" si="102"/>
        <v>0</v>
      </c>
      <c r="O643">
        <f t="shared" si="103"/>
        <v>0</v>
      </c>
      <c r="P643">
        <f t="shared" si="104"/>
        <v>0</v>
      </c>
      <c r="Q643">
        <f t="shared" si="105"/>
        <v>0</v>
      </c>
      <c r="R643">
        <f t="shared" si="106"/>
        <v>0</v>
      </c>
      <c r="S643">
        <f t="shared" si="107"/>
        <v>0</v>
      </c>
      <c r="T643">
        <f t="shared" ref="T643:T706" si="109">SUMIF(L643:S643,"&gt;0")</f>
        <v>0</v>
      </c>
      <c r="U643">
        <f t="shared" si="108"/>
        <v>0</v>
      </c>
    </row>
    <row r="644" spans="1:21" x14ac:dyDescent="0.25">
      <c r="A644" s="2">
        <v>643</v>
      </c>
      <c r="B644" s="2">
        <v>1045</v>
      </c>
      <c r="C644" s="2" t="s">
        <v>162</v>
      </c>
      <c r="D644">
        <v>203.36</v>
      </c>
      <c r="E644" s="80">
        <v>36097.17</v>
      </c>
      <c r="F644">
        <v>22.85</v>
      </c>
      <c r="G644">
        <v>1262.78</v>
      </c>
      <c r="H644">
        <v>48.96</v>
      </c>
      <c r="I644">
        <v>21.33</v>
      </c>
      <c r="J644">
        <v>459.17</v>
      </c>
      <c r="K644">
        <v>51.85</v>
      </c>
      <c r="L644">
        <f t="shared" si="100"/>
        <v>0</v>
      </c>
      <c r="M644">
        <f t="shared" si="101"/>
        <v>0</v>
      </c>
      <c r="N644">
        <f t="shared" si="102"/>
        <v>0</v>
      </c>
      <c r="O644">
        <f t="shared" si="103"/>
        <v>0</v>
      </c>
      <c r="P644">
        <f t="shared" si="104"/>
        <v>0</v>
      </c>
      <c r="Q644">
        <f t="shared" si="105"/>
        <v>0</v>
      </c>
      <c r="R644">
        <f t="shared" si="106"/>
        <v>0</v>
      </c>
      <c r="S644">
        <f t="shared" si="107"/>
        <v>0</v>
      </c>
      <c r="T644">
        <f t="shared" si="109"/>
        <v>0</v>
      </c>
      <c r="U644">
        <f t="shared" si="108"/>
        <v>0</v>
      </c>
    </row>
    <row r="645" spans="1:21" x14ac:dyDescent="0.25">
      <c r="A645" s="2">
        <v>644</v>
      </c>
      <c r="B645" s="2">
        <v>1045</v>
      </c>
      <c r="C645" s="2" t="s">
        <v>170</v>
      </c>
      <c r="D645">
        <v>242.02</v>
      </c>
      <c r="E645" s="80">
        <v>24957.48</v>
      </c>
      <c r="F645">
        <v>174.38</v>
      </c>
      <c r="G645">
        <v>1474.71</v>
      </c>
      <c r="H645">
        <v>1009.28</v>
      </c>
      <c r="I645" s="80">
        <v>11912.39</v>
      </c>
      <c r="J645">
        <v>504.74</v>
      </c>
      <c r="K645">
        <v>989.07</v>
      </c>
      <c r="L645">
        <f t="shared" si="100"/>
        <v>0</v>
      </c>
      <c r="M645">
        <f t="shared" si="101"/>
        <v>0</v>
      </c>
      <c r="N645">
        <f t="shared" si="102"/>
        <v>0</v>
      </c>
      <c r="O645">
        <f t="shared" si="103"/>
        <v>0</v>
      </c>
      <c r="P645">
        <f t="shared" si="104"/>
        <v>0</v>
      </c>
      <c r="Q645">
        <f t="shared" si="105"/>
        <v>0</v>
      </c>
      <c r="R645">
        <f t="shared" si="106"/>
        <v>0</v>
      </c>
      <c r="S645">
        <f t="shared" si="107"/>
        <v>0</v>
      </c>
      <c r="T645">
        <f t="shared" si="109"/>
        <v>0</v>
      </c>
      <c r="U645">
        <f t="shared" si="108"/>
        <v>0</v>
      </c>
    </row>
    <row r="646" spans="1:21" x14ac:dyDescent="0.25">
      <c r="A646" s="2">
        <v>645</v>
      </c>
      <c r="B646" s="2">
        <v>1045</v>
      </c>
      <c r="C646" s="2" t="s">
        <v>178</v>
      </c>
      <c r="D646">
        <v>113.58</v>
      </c>
      <c r="E646" s="80">
        <v>32191</v>
      </c>
      <c r="F646">
        <v>1006.8</v>
      </c>
      <c r="G646">
        <v>563.62</v>
      </c>
      <c r="H646">
        <v>5915.11</v>
      </c>
      <c r="I646" s="80">
        <v>15398.67</v>
      </c>
      <c r="J646">
        <v>306.67</v>
      </c>
      <c r="K646">
        <v>2137.98</v>
      </c>
      <c r="L646">
        <f t="shared" si="100"/>
        <v>0</v>
      </c>
      <c r="M646">
        <f t="shared" si="101"/>
        <v>0</v>
      </c>
      <c r="N646">
        <f t="shared" si="102"/>
        <v>0</v>
      </c>
      <c r="O646">
        <f t="shared" si="103"/>
        <v>0</v>
      </c>
      <c r="P646">
        <f t="shared" si="104"/>
        <v>0</v>
      </c>
      <c r="Q646">
        <f t="shared" si="105"/>
        <v>0</v>
      </c>
      <c r="R646">
        <f t="shared" si="106"/>
        <v>0</v>
      </c>
      <c r="S646">
        <f t="shared" si="107"/>
        <v>0</v>
      </c>
      <c r="T646">
        <f t="shared" si="109"/>
        <v>0</v>
      </c>
      <c r="U646">
        <f t="shared" si="108"/>
        <v>0</v>
      </c>
    </row>
    <row r="647" spans="1:21" x14ac:dyDescent="0.25">
      <c r="A647" s="2">
        <v>646</v>
      </c>
      <c r="B647" s="2">
        <v>1045</v>
      </c>
      <c r="C647" s="2" t="s">
        <v>163</v>
      </c>
      <c r="D647">
        <v>191.88</v>
      </c>
      <c r="E647" s="80">
        <v>39579.46</v>
      </c>
      <c r="F647">
        <v>638.35</v>
      </c>
      <c r="G647">
        <v>755.36</v>
      </c>
      <c r="H647">
        <v>6505.63</v>
      </c>
      <c r="I647" s="80">
        <v>13117.97</v>
      </c>
      <c r="J647">
        <v>474.37</v>
      </c>
      <c r="K647" s="80">
        <v>11831.91</v>
      </c>
      <c r="L647">
        <f t="shared" si="100"/>
        <v>0</v>
      </c>
      <c r="M647">
        <f t="shared" si="101"/>
        <v>0</v>
      </c>
      <c r="N647">
        <f t="shared" si="102"/>
        <v>0</v>
      </c>
      <c r="O647">
        <f t="shared" si="103"/>
        <v>0</v>
      </c>
      <c r="P647">
        <f t="shared" si="104"/>
        <v>0</v>
      </c>
      <c r="Q647">
        <f t="shared" si="105"/>
        <v>0</v>
      </c>
      <c r="R647">
        <f t="shared" si="106"/>
        <v>0</v>
      </c>
      <c r="S647">
        <f t="shared" si="107"/>
        <v>0</v>
      </c>
      <c r="T647">
        <f t="shared" si="109"/>
        <v>0</v>
      </c>
      <c r="U647">
        <f t="shared" si="108"/>
        <v>0</v>
      </c>
    </row>
    <row r="648" spans="1:21" x14ac:dyDescent="0.25">
      <c r="A648" s="2">
        <v>647</v>
      </c>
      <c r="B648" s="2">
        <v>1045</v>
      </c>
      <c r="C648" s="2" t="s">
        <v>181</v>
      </c>
      <c r="D648">
        <v>50.35</v>
      </c>
      <c r="E648" s="80">
        <v>46389.5</v>
      </c>
      <c r="F648">
        <v>15.03</v>
      </c>
      <c r="G648">
        <v>293.04000000000002</v>
      </c>
      <c r="H648">
        <v>54.79</v>
      </c>
      <c r="I648">
        <v>583.5</v>
      </c>
      <c r="J648">
        <v>199.19</v>
      </c>
      <c r="K648">
        <v>141.03</v>
      </c>
      <c r="L648">
        <f t="shared" si="100"/>
        <v>0</v>
      </c>
      <c r="M648">
        <f t="shared" si="101"/>
        <v>0</v>
      </c>
      <c r="N648">
        <f t="shared" si="102"/>
        <v>0</v>
      </c>
      <c r="O648">
        <f t="shared" si="103"/>
        <v>0</v>
      </c>
      <c r="P648">
        <f t="shared" si="104"/>
        <v>0</v>
      </c>
      <c r="Q648">
        <f t="shared" si="105"/>
        <v>0</v>
      </c>
      <c r="R648">
        <f t="shared" si="106"/>
        <v>0</v>
      </c>
      <c r="S648">
        <f t="shared" si="107"/>
        <v>0</v>
      </c>
      <c r="T648">
        <f t="shared" si="109"/>
        <v>0</v>
      </c>
      <c r="U648">
        <f t="shared" si="108"/>
        <v>0</v>
      </c>
    </row>
    <row r="649" spans="1:21" x14ac:dyDescent="0.25">
      <c r="A649" s="2">
        <v>648</v>
      </c>
      <c r="B649" s="2">
        <v>1045</v>
      </c>
      <c r="C649" s="2" t="s">
        <v>183</v>
      </c>
      <c r="D649">
        <v>63.97</v>
      </c>
      <c r="E649" s="80">
        <v>42527.89</v>
      </c>
      <c r="F649">
        <v>440.62</v>
      </c>
      <c r="G649">
        <v>271.68</v>
      </c>
      <c r="H649">
        <v>3022.35</v>
      </c>
      <c r="I649" s="80">
        <v>17178.37</v>
      </c>
      <c r="J649">
        <v>237.66</v>
      </c>
      <c r="K649">
        <v>3646.65</v>
      </c>
      <c r="L649">
        <f t="shared" si="100"/>
        <v>0</v>
      </c>
      <c r="M649">
        <f t="shared" si="101"/>
        <v>0</v>
      </c>
      <c r="N649">
        <f t="shared" si="102"/>
        <v>0</v>
      </c>
      <c r="O649">
        <f t="shared" si="103"/>
        <v>0</v>
      </c>
      <c r="P649">
        <f t="shared" si="104"/>
        <v>0</v>
      </c>
      <c r="Q649">
        <f t="shared" si="105"/>
        <v>0</v>
      </c>
      <c r="R649">
        <f t="shared" si="106"/>
        <v>0</v>
      </c>
      <c r="S649">
        <f t="shared" si="107"/>
        <v>0</v>
      </c>
      <c r="T649">
        <f t="shared" si="109"/>
        <v>0</v>
      </c>
      <c r="U649">
        <f t="shared" si="108"/>
        <v>0</v>
      </c>
    </row>
    <row r="650" spans="1:21" x14ac:dyDescent="0.25">
      <c r="A650" s="2">
        <v>649</v>
      </c>
      <c r="B650" s="2">
        <v>1045</v>
      </c>
      <c r="C650" s="2" t="s">
        <v>186</v>
      </c>
      <c r="D650">
        <v>157.87</v>
      </c>
      <c r="E650" s="80">
        <v>45601.31</v>
      </c>
      <c r="F650">
        <v>2499.08</v>
      </c>
      <c r="G650">
        <v>903.78</v>
      </c>
      <c r="H650" s="80">
        <v>15990.29</v>
      </c>
      <c r="I650" s="80">
        <v>17824.54</v>
      </c>
      <c r="J650">
        <v>504.74</v>
      </c>
      <c r="K650" s="80">
        <v>8526.2099999999991</v>
      </c>
      <c r="L650">
        <f t="shared" si="100"/>
        <v>0</v>
      </c>
      <c r="M650">
        <f t="shared" si="101"/>
        <v>0</v>
      </c>
      <c r="N650">
        <f t="shared" si="102"/>
        <v>0</v>
      </c>
      <c r="O650">
        <f t="shared" si="103"/>
        <v>0</v>
      </c>
      <c r="P650">
        <f t="shared" si="104"/>
        <v>0</v>
      </c>
      <c r="Q650">
        <f t="shared" si="105"/>
        <v>0</v>
      </c>
      <c r="R650">
        <f t="shared" si="106"/>
        <v>0</v>
      </c>
      <c r="S650">
        <f t="shared" si="107"/>
        <v>0</v>
      </c>
      <c r="T650">
        <f t="shared" si="109"/>
        <v>0</v>
      </c>
      <c r="U650">
        <f t="shared" si="108"/>
        <v>0</v>
      </c>
    </row>
    <row r="651" spans="1:21" x14ac:dyDescent="0.25">
      <c r="A651" s="2">
        <v>650</v>
      </c>
      <c r="B651" s="2">
        <v>1045</v>
      </c>
      <c r="C651" s="2" t="s">
        <v>188</v>
      </c>
      <c r="D651">
        <v>180.48</v>
      </c>
      <c r="E651" s="80">
        <v>52564.71</v>
      </c>
      <c r="F651">
        <v>130.78</v>
      </c>
      <c r="G651">
        <v>829.12</v>
      </c>
      <c r="H651">
        <v>3529.15</v>
      </c>
      <c r="I651" s="80">
        <v>12683.74</v>
      </c>
      <c r="J651">
        <v>459.17</v>
      </c>
      <c r="K651">
        <v>7701.99</v>
      </c>
      <c r="L651">
        <f t="shared" si="100"/>
        <v>0</v>
      </c>
      <c r="M651">
        <f t="shared" si="101"/>
        <v>0</v>
      </c>
      <c r="N651">
        <f t="shared" si="102"/>
        <v>0</v>
      </c>
      <c r="O651">
        <f t="shared" si="103"/>
        <v>0</v>
      </c>
      <c r="P651">
        <f t="shared" si="104"/>
        <v>0</v>
      </c>
      <c r="Q651">
        <f t="shared" si="105"/>
        <v>0</v>
      </c>
      <c r="R651">
        <f t="shared" si="106"/>
        <v>0</v>
      </c>
      <c r="S651">
        <f t="shared" si="107"/>
        <v>0</v>
      </c>
      <c r="T651">
        <f t="shared" si="109"/>
        <v>0</v>
      </c>
      <c r="U651">
        <f t="shared" si="108"/>
        <v>0</v>
      </c>
    </row>
    <row r="652" spans="1:21" x14ac:dyDescent="0.25">
      <c r="A652" s="2">
        <v>651</v>
      </c>
      <c r="B652" s="2">
        <v>1045</v>
      </c>
      <c r="C652" s="2" t="s">
        <v>182</v>
      </c>
      <c r="D652">
        <v>135.55000000000001</v>
      </c>
      <c r="E652">
        <v>5465.59</v>
      </c>
      <c r="F652">
        <v>17.75</v>
      </c>
      <c r="G652">
        <v>755.36</v>
      </c>
      <c r="H652">
        <v>29.79</v>
      </c>
      <c r="I652">
        <v>77.489999999999995</v>
      </c>
      <c r="J652">
        <v>291.36</v>
      </c>
      <c r="K652">
        <v>19.47</v>
      </c>
      <c r="L652">
        <f t="shared" si="100"/>
        <v>0</v>
      </c>
      <c r="M652">
        <f t="shared" si="101"/>
        <v>0</v>
      </c>
      <c r="N652">
        <f t="shared" si="102"/>
        <v>0</v>
      </c>
      <c r="O652">
        <f t="shared" si="103"/>
        <v>0</v>
      </c>
      <c r="P652">
        <f t="shared" si="104"/>
        <v>0</v>
      </c>
      <c r="Q652">
        <f t="shared" si="105"/>
        <v>0</v>
      </c>
      <c r="R652">
        <f t="shared" si="106"/>
        <v>0</v>
      </c>
      <c r="S652">
        <f t="shared" si="107"/>
        <v>0</v>
      </c>
      <c r="T652">
        <f t="shared" si="109"/>
        <v>0</v>
      </c>
      <c r="U652">
        <f t="shared" si="108"/>
        <v>0</v>
      </c>
    </row>
    <row r="653" spans="1:21" x14ac:dyDescent="0.25">
      <c r="A653" s="2">
        <v>652</v>
      </c>
      <c r="B653" s="2">
        <v>1045</v>
      </c>
      <c r="C653" s="2" t="s">
        <v>184</v>
      </c>
      <c r="D653">
        <v>180.48</v>
      </c>
      <c r="E653">
        <v>19510.650000000001</v>
      </c>
      <c r="F653">
        <v>105.92</v>
      </c>
      <c r="G653">
        <v>1106.94</v>
      </c>
      <c r="H653">
        <v>796.02</v>
      </c>
      <c r="I653" s="80">
        <v>8852.81</v>
      </c>
      <c r="J653">
        <v>428.75</v>
      </c>
      <c r="K653">
        <v>189.02</v>
      </c>
      <c r="L653">
        <f t="shared" si="100"/>
        <v>0</v>
      </c>
      <c r="M653">
        <f t="shared" si="101"/>
        <v>0</v>
      </c>
      <c r="N653">
        <f t="shared" si="102"/>
        <v>0</v>
      </c>
      <c r="O653">
        <f t="shared" si="103"/>
        <v>0</v>
      </c>
      <c r="P653">
        <f t="shared" si="104"/>
        <v>0</v>
      </c>
      <c r="Q653">
        <f t="shared" si="105"/>
        <v>0</v>
      </c>
      <c r="R653">
        <f t="shared" si="106"/>
        <v>0</v>
      </c>
      <c r="S653">
        <f t="shared" si="107"/>
        <v>0</v>
      </c>
      <c r="T653">
        <f t="shared" si="109"/>
        <v>0</v>
      </c>
      <c r="U653">
        <f t="shared" si="108"/>
        <v>0</v>
      </c>
    </row>
    <row r="654" spans="1:21" x14ac:dyDescent="0.25">
      <c r="A654" s="2">
        <v>653</v>
      </c>
      <c r="B654" s="2">
        <v>1045</v>
      </c>
      <c r="C654" s="2" t="s">
        <v>187</v>
      </c>
      <c r="D654">
        <v>124.52</v>
      </c>
      <c r="E654" s="80">
        <v>31449.85</v>
      </c>
      <c r="F654">
        <v>716.4</v>
      </c>
      <c r="G654">
        <v>730.98</v>
      </c>
      <c r="H654">
        <v>6088.68</v>
      </c>
      <c r="I654" s="80">
        <v>14010.19</v>
      </c>
      <c r="J654">
        <v>367.79</v>
      </c>
      <c r="K654">
        <v>3539.23</v>
      </c>
      <c r="L654">
        <f t="shared" si="100"/>
        <v>0</v>
      </c>
      <c r="M654">
        <f t="shared" si="101"/>
        <v>0</v>
      </c>
      <c r="N654">
        <f t="shared" si="102"/>
        <v>0</v>
      </c>
      <c r="O654">
        <f t="shared" si="103"/>
        <v>0</v>
      </c>
      <c r="P654">
        <f t="shared" si="104"/>
        <v>0</v>
      </c>
      <c r="Q654">
        <f t="shared" si="105"/>
        <v>0</v>
      </c>
      <c r="R654">
        <f t="shared" si="106"/>
        <v>0</v>
      </c>
      <c r="S654">
        <f t="shared" si="107"/>
        <v>0</v>
      </c>
      <c r="T654">
        <f t="shared" si="109"/>
        <v>0</v>
      </c>
      <c r="U654">
        <f t="shared" si="108"/>
        <v>0</v>
      </c>
    </row>
    <row r="655" spans="1:21" x14ac:dyDescent="0.25">
      <c r="A655" s="2">
        <v>654</v>
      </c>
      <c r="B655" s="2">
        <v>1045</v>
      </c>
      <c r="C655" s="2" t="s">
        <v>189</v>
      </c>
      <c r="D655">
        <v>70.89</v>
      </c>
      <c r="E655">
        <v>23895.38</v>
      </c>
      <c r="F655">
        <v>211.5</v>
      </c>
      <c r="G655">
        <v>470.85</v>
      </c>
      <c r="H655">
        <v>2764</v>
      </c>
      <c r="I655" s="80">
        <v>9588.19</v>
      </c>
      <c r="J655">
        <v>214.59</v>
      </c>
      <c r="K655">
        <v>3959.38</v>
      </c>
      <c r="L655">
        <f t="shared" si="100"/>
        <v>0</v>
      </c>
      <c r="M655">
        <f t="shared" si="101"/>
        <v>0</v>
      </c>
      <c r="N655">
        <f t="shared" si="102"/>
        <v>0</v>
      </c>
      <c r="O655">
        <f t="shared" si="103"/>
        <v>0</v>
      </c>
      <c r="P655">
        <f t="shared" si="104"/>
        <v>0</v>
      </c>
      <c r="Q655">
        <f t="shared" si="105"/>
        <v>0</v>
      </c>
      <c r="R655">
        <f t="shared" si="106"/>
        <v>0</v>
      </c>
      <c r="S655">
        <f t="shared" si="107"/>
        <v>0</v>
      </c>
      <c r="T655">
        <f t="shared" si="109"/>
        <v>0</v>
      </c>
      <c r="U655">
        <f t="shared" si="108"/>
        <v>0</v>
      </c>
    </row>
    <row r="656" spans="1:21" x14ac:dyDescent="0.25">
      <c r="A656" s="2">
        <v>655</v>
      </c>
      <c r="B656" s="2">
        <v>1046</v>
      </c>
      <c r="C656" s="2" t="s">
        <v>162</v>
      </c>
      <c r="D656">
        <v>6.29</v>
      </c>
      <c r="E656">
        <v>15586.1</v>
      </c>
      <c r="F656">
        <v>11.83</v>
      </c>
      <c r="G656">
        <v>168.59</v>
      </c>
      <c r="H656">
        <v>4.66</v>
      </c>
      <c r="I656">
        <v>2.65</v>
      </c>
      <c r="J656">
        <v>67.2</v>
      </c>
      <c r="K656">
        <v>8.41</v>
      </c>
      <c r="L656">
        <f t="shared" si="100"/>
        <v>0</v>
      </c>
      <c r="M656">
        <f t="shared" si="101"/>
        <v>0</v>
      </c>
      <c r="N656">
        <f t="shared" si="102"/>
        <v>0</v>
      </c>
      <c r="O656">
        <f t="shared" si="103"/>
        <v>0</v>
      </c>
      <c r="P656">
        <f t="shared" si="104"/>
        <v>0</v>
      </c>
      <c r="Q656">
        <f t="shared" si="105"/>
        <v>0</v>
      </c>
      <c r="R656">
        <f t="shared" si="106"/>
        <v>0</v>
      </c>
      <c r="S656">
        <f t="shared" si="107"/>
        <v>0</v>
      </c>
      <c r="T656">
        <f t="shared" si="109"/>
        <v>0</v>
      </c>
      <c r="U656">
        <f t="shared" si="108"/>
        <v>0</v>
      </c>
    </row>
    <row r="657" spans="1:21" x14ac:dyDescent="0.25">
      <c r="A657" s="2">
        <v>656</v>
      </c>
      <c r="B657" s="2">
        <v>1046</v>
      </c>
      <c r="C657" s="2" t="s">
        <v>170</v>
      </c>
      <c r="D657">
        <v>24.23</v>
      </c>
      <c r="E657" s="80">
        <v>25263.9</v>
      </c>
      <c r="F657">
        <v>538.87</v>
      </c>
      <c r="G657">
        <v>209.02</v>
      </c>
      <c r="H657">
        <v>1228.96</v>
      </c>
      <c r="I657" s="80">
        <v>8566.5300000000007</v>
      </c>
      <c r="J657">
        <v>121.83</v>
      </c>
      <c r="K657">
        <v>610.13</v>
      </c>
      <c r="L657">
        <f t="shared" si="100"/>
        <v>0</v>
      </c>
      <c r="M657">
        <f t="shared" si="101"/>
        <v>0</v>
      </c>
      <c r="N657">
        <f t="shared" si="102"/>
        <v>0</v>
      </c>
      <c r="O657">
        <f t="shared" si="103"/>
        <v>0</v>
      </c>
      <c r="P657">
        <f t="shared" si="104"/>
        <v>0</v>
      </c>
      <c r="Q657">
        <f t="shared" si="105"/>
        <v>0</v>
      </c>
      <c r="R657">
        <f t="shared" si="106"/>
        <v>0</v>
      </c>
      <c r="S657">
        <f t="shared" si="107"/>
        <v>0</v>
      </c>
      <c r="T657">
        <f t="shared" si="109"/>
        <v>0</v>
      </c>
      <c r="U657">
        <f t="shared" si="108"/>
        <v>0</v>
      </c>
    </row>
    <row r="658" spans="1:21" x14ac:dyDescent="0.25">
      <c r="A658" s="2">
        <v>657</v>
      </c>
      <c r="B658" s="2">
        <v>1046</v>
      </c>
      <c r="C658" s="2" t="s">
        <v>178</v>
      </c>
      <c r="D658">
        <v>99.15</v>
      </c>
      <c r="E658" s="80">
        <v>27980.6</v>
      </c>
      <c r="F658">
        <v>2494.08</v>
      </c>
      <c r="G658">
        <v>682.57</v>
      </c>
      <c r="H658">
        <v>6609.88</v>
      </c>
      <c r="I658" s="80">
        <v>13094.34</v>
      </c>
      <c r="J658">
        <v>260.7</v>
      </c>
      <c r="K658">
        <v>1319.23</v>
      </c>
      <c r="L658">
        <f t="shared" si="100"/>
        <v>0</v>
      </c>
      <c r="M658">
        <f t="shared" si="101"/>
        <v>0</v>
      </c>
      <c r="N658">
        <f t="shared" si="102"/>
        <v>0</v>
      </c>
      <c r="O658">
        <f t="shared" si="103"/>
        <v>0</v>
      </c>
      <c r="P658">
        <f t="shared" si="104"/>
        <v>0</v>
      </c>
      <c r="Q658">
        <f t="shared" si="105"/>
        <v>0</v>
      </c>
      <c r="R658">
        <f t="shared" si="106"/>
        <v>0</v>
      </c>
      <c r="S658">
        <f t="shared" si="107"/>
        <v>0</v>
      </c>
      <c r="T658">
        <f t="shared" si="109"/>
        <v>0</v>
      </c>
      <c r="U658">
        <f t="shared" si="108"/>
        <v>0</v>
      </c>
    </row>
    <row r="659" spans="1:21" x14ac:dyDescent="0.25">
      <c r="A659" s="2">
        <v>658</v>
      </c>
      <c r="B659" s="2">
        <v>1046</v>
      </c>
      <c r="C659" s="2" t="s">
        <v>163</v>
      </c>
      <c r="D659">
        <v>99.15</v>
      </c>
      <c r="E659" s="80">
        <v>31137.11</v>
      </c>
      <c r="F659">
        <v>570.57000000000005</v>
      </c>
      <c r="G659">
        <v>470.85</v>
      </c>
      <c r="H659">
        <v>1578.07</v>
      </c>
      <c r="I659" s="80">
        <v>5771.77</v>
      </c>
      <c r="J659">
        <v>276.02999999999997</v>
      </c>
      <c r="K659">
        <v>4234.3999999999996</v>
      </c>
      <c r="L659">
        <f t="shared" si="100"/>
        <v>0</v>
      </c>
      <c r="M659">
        <f t="shared" si="101"/>
        <v>0</v>
      </c>
      <c r="N659">
        <f t="shared" si="102"/>
        <v>0</v>
      </c>
      <c r="O659">
        <f t="shared" si="103"/>
        <v>0</v>
      </c>
      <c r="P659">
        <f t="shared" si="104"/>
        <v>0</v>
      </c>
      <c r="Q659">
        <f t="shared" si="105"/>
        <v>0</v>
      </c>
      <c r="R659">
        <f t="shared" si="106"/>
        <v>0</v>
      </c>
      <c r="S659">
        <f t="shared" si="107"/>
        <v>0</v>
      </c>
      <c r="T659">
        <f t="shared" si="109"/>
        <v>0</v>
      </c>
      <c r="U659">
        <f t="shared" si="108"/>
        <v>0</v>
      </c>
    </row>
    <row r="660" spans="1:21" x14ac:dyDescent="0.25">
      <c r="A660" s="2">
        <v>659</v>
      </c>
      <c r="B660" s="2">
        <v>1046</v>
      </c>
      <c r="C660" s="2" t="s">
        <v>181</v>
      </c>
      <c r="D660">
        <v>195.7</v>
      </c>
      <c r="E660" s="80">
        <v>47018.559999999998</v>
      </c>
      <c r="F660">
        <v>21.36</v>
      </c>
      <c r="G660">
        <v>954.04</v>
      </c>
      <c r="H660">
        <v>137.18</v>
      </c>
      <c r="I660">
        <v>237.01</v>
      </c>
      <c r="J660">
        <v>428.75</v>
      </c>
      <c r="K660">
        <v>235.62</v>
      </c>
      <c r="L660">
        <f t="shared" si="100"/>
        <v>0</v>
      </c>
      <c r="M660">
        <f t="shared" si="101"/>
        <v>0</v>
      </c>
      <c r="N660">
        <f t="shared" si="102"/>
        <v>0</v>
      </c>
      <c r="O660">
        <f t="shared" si="103"/>
        <v>0</v>
      </c>
      <c r="P660">
        <f t="shared" si="104"/>
        <v>0</v>
      </c>
      <c r="Q660">
        <f t="shared" si="105"/>
        <v>0</v>
      </c>
      <c r="R660">
        <f t="shared" si="106"/>
        <v>0</v>
      </c>
      <c r="S660">
        <f t="shared" si="107"/>
        <v>0</v>
      </c>
      <c r="T660">
        <f t="shared" si="109"/>
        <v>0</v>
      </c>
      <c r="U660">
        <f t="shared" si="108"/>
        <v>0</v>
      </c>
    </row>
    <row r="661" spans="1:21" x14ac:dyDescent="0.25">
      <c r="A661" s="2">
        <v>660</v>
      </c>
      <c r="B661" s="2">
        <v>1046</v>
      </c>
      <c r="C661" s="2" t="s">
        <v>183</v>
      </c>
      <c r="D661">
        <v>226.48</v>
      </c>
      <c r="E661" s="80">
        <v>49990.68</v>
      </c>
      <c r="F661">
        <v>3481.45</v>
      </c>
      <c r="G661">
        <v>1262.78</v>
      </c>
      <c r="H661">
        <v>5638.88</v>
      </c>
      <c r="I661" s="80">
        <v>18255.29</v>
      </c>
      <c r="J661">
        <v>595.69000000000005</v>
      </c>
      <c r="K661">
        <v>6478.32</v>
      </c>
      <c r="L661">
        <f t="shared" si="100"/>
        <v>0</v>
      </c>
      <c r="M661">
        <f t="shared" si="101"/>
        <v>0</v>
      </c>
      <c r="N661">
        <f t="shared" si="102"/>
        <v>0</v>
      </c>
      <c r="O661">
        <f t="shared" si="103"/>
        <v>0</v>
      </c>
      <c r="P661">
        <f t="shared" si="104"/>
        <v>0</v>
      </c>
      <c r="Q661">
        <f t="shared" si="105"/>
        <v>0</v>
      </c>
      <c r="R661">
        <f t="shared" si="106"/>
        <v>0</v>
      </c>
      <c r="S661">
        <f t="shared" si="107"/>
        <v>0</v>
      </c>
      <c r="T661">
        <f t="shared" si="109"/>
        <v>0</v>
      </c>
      <c r="U661">
        <f t="shared" si="108"/>
        <v>0</v>
      </c>
    </row>
    <row r="662" spans="1:21" x14ac:dyDescent="0.25">
      <c r="A662" s="2">
        <v>661</v>
      </c>
      <c r="B662" s="2">
        <v>1046</v>
      </c>
      <c r="C662" s="2" t="s">
        <v>186</v>
      </c>
      <c r="D662">
        <v>257.64999999999998</v>
      </c>
      <c r="E662" s="80">
        <v>49313.52</v>
      </c>
      <c r="F662" s="80">
        <v>10693.11</v>
      </c>
      <c r="G662">
        <v>1184.51</v>
      </c>
      <c r="H662" s="80">
        <v>29182.03</v>
      </c>
      <c r="I662" s="80">
        <v>18489.740000000002</v>
      </c>
      <c r="J662">
        <v>686.42</v>
      </c>
      <c r="K662" s="80">
        <v>11984.78</v>
      </c>
      <c r="L662">
        <f t="shared" si="100"/>
        <v>0</v>
      </c>
      <c r="M662">
        <f t="shared" si="101"/>
        <v>0</v>
      </c>
      <c r="N662">
        <f t="shared" si="102"/>
        <v>0</v>
      </c>
      <c r="O662">
        <f t="shared" si="103"/>
        <v>0</v>
      </c>
      <c r="P662">
        <f t="shared" si="104"/>
        <v>0</v>
      </c>
      <c r="Q662">
        <f t="shared" si="105"/>
        <v>0</v>
      </c>
      <c r="R662">
        <f t="shared" si="106"/>
        <v>0</v>
      </c>
      <c r="S662">
        <f t="shared" si="107"/>
        <v>0</v>
      </c>
      <c r="T662">
        <f t="shared" si="109"/>
        <v>0</v>
      </c>
      <c r="U662">
        <f t="shared" si="108"/>
        <v>0</v>
      </c>
    </row>
    <row r="663" spans="1:21" x14ac:dyDescent="0.25">
      <c r="A663" s="2">
        <v>662</v>
      </c>
      <c r="B663" s="2">
        <v>1046</v>
      </c>
      <c r="C663" s="2" t="s">
        <v>188</v>
      </c>
      <c r="D663">
        <v>150.38999999999999</v>
      </c>
      <c r="E663" s="80">
        <v>52270.61</v>
      </c>
      <c r="F663">
        <v>1186.46</v>
      </c>
      <c r="G663">
        <v>682.57</v>
      </c>
      <c r="H663">
        <v>3636.11</v>
      </c>
      <c r="I663" s="80">
        <v>12916.89</v>
      </c>
      <c r="J663">
        <v>398.29</v>
      </c>
      <c r="K663">
        <v>7031.1</v>
      </c>
      <c r="L663">
        <f t="shared" si="100"/>
        <v>0</v>
      </c>
      <c r="M663">
        <f t="shared" si="101"/>
        <v>0</v>
      </c>
      <c r="N663">
        <f t="shared" si="102"/>
        <v>0</v>
      </c>
      <c r="O663">
        <f t="shared" si="103"/>
        <v>0</v>
      </c>
      <c r="P663">
        <f t="shared" si="104"/>
        <v>0</v>
      </c>
      <c r="Q663">
        <f t="shared" si="105"/>
        <v>0</v>
      </c>
      <c r="R663">
        <f t="shared" si="106"/>
        <v>0</v>
      </c>
      <c r="S663">
        <f t="shared" si="107"/>
        <v>0</v>
      </c>
      <c r="T663">
        <f t="shared" si="109"/>
        <v>0</v>
      </c>
      <c r="U663">
        <f t="shared" si="108"/>
        <v>0</v>
      </c>
    </row>
    <row r="664" spans="1:21" x14ac:dyDescent="0.25">
      <c r="A664" s="2">
        <v>663</v>
      </c>
      <c r="B664" s="2">
        <v>1046</v>
      </c>
      <c r="C664" s="2" t="s">
        <v>182</v>
      </c>
      <c r="D664">
        <v>6.29</v>
      </c>
      <c r="E664">
        <v>4079.13</v>
      </c>
      <c r="F664">
        <v>30.4</v>
      </c>
      <c r="G664" s="80">
        <v>23.76</v>
      </c>
      <c r="H664">
        <v>62.07</v>
      </c>
      <c r="I664">
        <v>1571.57</v>
      </c>
      <c r="J664">
        <v>35.659999999999997</v>
      </c>
      <c r="K664">
        <v>86.81</v>
      </c>
      <c r="L664">
        <f t="shared" si="100"/>
        <v>0</v>
      </c>
      <c r="M664">
        <f t="shared" si="101"/>
        <v>0</v>
      </c>
      <c r="N664">
        <f t="shared" si="102"/>
        <v>0</v>
      </c>
      <c r="O664">
        <f t="shared" si="103"/>
        <v>0</v>
      </c>
      <c r="P664">
        <f t="shared" si="104"/>
        <v>0</v>
      </c>
      <c r="Q664">
        <f t="shared" si="105"/>
        <v>0</v>
      </c>
      <c r="R664">
        <f t="shared" si="106"/>
        <v>0</v>
      </c>
      <c r="S664">
        <f t="shared" si="107"/>
        <v>0</v>
      </c>
      <c r="T664">
        <f t="shared" si="109"/>
        <v>0</v>
      </c>
      <c r="U664">
        <f t="shared" si="108"/>
        <v>0</v>
      </c>
    </row>
    <row r="665" spans="1:21" x14ac:dyDescent="0.25">
      <c r="A665" s="2">
        <v>664</v>
      </c>
      <c r="B665" s="2">
        <v>1046</v>
      </c>
      <c r="C665" s="2" t="s">
        <v>184</v>
      </c>
      <c r="D665">
        <v>53.73</v>
      </c>
      <c r="E665">
        <v>17288.59</v>
      </c>
      <c r="F665">
        <v>608.1</v>
      </c>
      <c r="G665" s="80">
        <v>9.33</v>
      </c>
      <c r="H665">
        <v>3412.77</v>
      </c>
      <c r="I665" s="80">
        <v>13272.33</v>
      </c>
      <c r="J665">
        <v>106.27</v>
      </c>
      <c r="K665">
        <v>1161.75</v>
      </c>
      <c r="L665">
        <f t="shared" si="100"/>
        <v>0</v>
      </c>
      <c r="M665">
        <f t="shared" si="101"/>
        <v>0</v>
      </c>
      <c r="N665">
        <f t="shared" si="102"/>
        <v>0</v>
      </c>
      <c r="O665">
        <f t="shared" si="103"/>
        <v>0</v>
      </c>
      <c r="P665">
        <f t="shared" si="104"/>
        <v>0</v>
      </c>
      <c r="Q665">
        <f t="shared" si="105"/>
        <v>0</v>
      </c>
      <c r="R665">
        <f t="shared" si="106"/>
        <v>0</v>
      </c>
      <c r="S665">
        <f t="shared" si="107"/>
        <v>0</v>
      </c>
      <c r="T665">
        <f t="shared" si="109"/>
        <v>0</v>
      </c>
      <c r="U665">
        <f t="shared" si="108"/>
        <v>0</v>
      </c>
    </row>
    <row r="666" spans="1:21" x14ac:dyDescent="0.25">
      <c r="A666" s="2">
        <v>665</v>
      </c>
      <c r="B666" s="2">
        <v>1046</v>
      </c>
      <c r="C666" s="2" t="s">
        <v>187</v>
      </c>
      <c r="D666">
        <v>329.06</v>
      </c>
      <c r="E666">
        <v>20284.13</v>
      </c>
      <c r="F666">
        <v>1574</v>
      </c>
      <c r="G666">
        <v>516.95000000000005</v>
      </c>
      <c r="H666">
        <v>9774.52</v>
      </c>
      <c r="I666" s="80">
        <v>14322.93</v>
      </c>
      <c r="J666">
        <v>344.89</v>
      </c>
      <c r="K666">
        <v>5779.53</v>
      </c>
      <c r="L666">
        <f t="shared" si="100"/>
        <v>0</v>
      </c>
      <c r="M666">
        <f t="shared" si="101"/>
        <v>0</v>
      </c>
      <c r="N666">
        <f t="shared" si="102"/>
        <v>0</v>
      </c>
      <c r="O666">
        <f t="shared" si="103"/>
        <v>0</v>
      </c>
      <c r="P666">
        <f t="shared" si="104"/>
        <v>0</v>
      </c>
      <c r="Q666">
        <f t="shared" si="105"/>
        <v>0</v>
      </c>
      <c r="R666">
        <f t="shared" si="106"/>
        <v>0</v>
      </c>
      <c r="S666">
        <f t="shared" si="107"/>
        <v>0</v>
      </c>
      <c r="T666">
        <f t="shared" si="109"/>
        <v>0</v>
      </c>
      <c r="U666">
        <f t="shared" si="108"/>
        <v>0</v>
      </c>
    </row>
    <row r="667" spans="1:21" x14ac:dyDescent="0.25">
      <c r="A667" s="2">
        <v>666</v>
      </c>
      <c r="B667" s="2">
        <v>1046</v>
      </c>
      <c r="C667" s="2" t="s">
        <v>189</v>
      </c>
      <c r="D667">
        <v>377.5</v>
      </c>
      <c r="E667">
        <v>17673.21</v>
      </c>
      <c r="F667">
        <v>261.95</v>
      </c>
      <c r="G667">
        <v>293.04000000000002</v>
      </c>
      <c r="H667">
        <v>4224.7</v>
      </c>
      <c r="I667" s="80">
        <v>11034.21</v>
      </c>
      <c r="J667">
        <v>260.7</v>
      </c>
      <c r="K667">
        <v>4877.7299999999996</v>
      </c>
      <c r="L667">
        <f t="shared" si="100"/>
        <v>0</v>
      </c>
      <c r="M667">
        <f t="shared" si="101"/>
        <v>0</v>
      </c>
      <c r="N667">
        <f t="shared" si="102"/>
        <v>0</v>
      </c>
      <c r="O667">
        <f t="shared" si="103"/>
        <v>0</v>
      </c>
      <c r="P667">
        <f t="shared" si="104"/>
        <v>0</v>
      </c>
      <c r="Q667">
        <f t="shared" si="105"/>
        <v>0</v>
      </c>
      <c r="R667">
        <f t="shared" si="106"/>
        <v>0</v>
      </c>
      <c r="S667">
        <f t="shared" si="107"/>
        <v>0</v>
      </c>
      <c r="T667">
        <f t="shared" si="109"/>
        <v>0</v>
      </c>
      <c r="U667">
        <f t="shared" si="108"/>
        <v>0</v>
      </c>
    </row>
    <row r="668" spans="1:21" x14ac:dyDescent="0.25">
      <c r="A668" s="2">
        <v>667</v>
      </c>
      <c r="B668" s="2">
        <v>1047</v>
      </c>
      <c r="C668" s="2" t="s">
        <v>162</v>
      </c>
      <c r="D668">
        <v>139.25</v>
      </c>
      <c r="E668" s="80">
        <v>25496.32</v>
      </c>
      <c r="F668">
        <v>15.59</v>
      </c>
      <c r="G668">
        <v>804.43</v>
      </c>
      <c r="H668">
        <v>28.3</v>
      </c>
      <c r="I668">
        <v>12.19</v>
      </c>
      <c r="J668">
        <v>291.36</v>
      </c>
      <c r="K668">
        <v>24.23</v>
      </c>
      <c r="L668">
        <f t="shared" si="100"/>
        <v>0</v>
      </c>
      <c r="M668">
        <f t="shared" si="101"/>
        <v>0</v>
      </c>
      <c r="N668">
        <f t="shared" si="102"/>
        <v>0</v>
      </c>
      <c r="O668">
        <f t="shared" si="103"/>
        <v>0</v>
      </c>
      <c r="P668">
        <f t="shared" si="104"/>
        <v>0</v>
      </c>
      <c r="Q668">
        <f t="shared" si="105"/>
        <v>0</v>
      </c>
      <c r="R668">
        <f t="shared" si="106"/>
        <v>0</v>
      </c>
      <c r="S668">
        <f t="shared" si="107"/>
        <v>0</v>
      </c>
      <c r="T668">
        <f t="shared" si="109"/>
        <v>0</v>
      </c>
      <c r="U668">
        <f t="shared" si="108"/>
        <v>0</v>
      </c>
    </row>
    <row r="669" spans="1:21" x14ac:dyDescent="0.25">
      <c r="A669" s="2">
        <v>668</v>
      </c>
      <c r="B669" s="2">
        <v>1047</v>
      </c>
      <c r="C669" s="2" t="s">
        <v>170</v>
      </c>
      <c r="D669">
        <v>135.55000000000001</v>
      </c>
      <c r="E669">
        <v>22761.94</v>
      </c>
      <c r="F669">
        <v>122.43</v>
      </c>
      <c r="G669">
        <v>755.36</v>
      </c>
      <c r="H669">
        <v>683.27</v>
      </c>
      <c r="I669" s="80">
        <v>10062.1</v>
      </c>
      <c r="J669">
        <v>329.61</v>
      </c>
      <c r="K669">
        <v>523</v>
      </c>
      <c r="L669">
        <f t="shared" si="100"/>
        <v>0</v>
      </c>
      <c r="M669">
        <f t="shared" si="101"/>
        <v>0</v>
      </c>
      <c r="N669">
        <f t="shared" si="102"/>
        <v>0</v>
      </c>
      <c r="O669">
        <f t="shared" si="103"/>
        <v>0</v>
      </c>
      <c r="P669">
        <f t="shared" si="104"/>
        <v>0</v>
      </c>
      <c r="Q669">
        <f t="shared" si="105"/>
        <v>0</v>
      </c>
      <c r="R669">
        <f t="shared" si="106"/>
        <v>0</v>
      </c>
      <c r="S669">
        <f t="shared" si="107"/>
        <v>0</v>
      </c>
      <c r="T669">
        <f t="shared" si="109"/>
        <v>0</v>
      </c>
      <c r="U669">
        <f t="shared" si="108"/>
        <v>0</v>
      </c>
    </row>
    <row r="670" spans="1:21" x14ac:dyDescent="0.25">
      <c r="A670" s="2">
        <v>669</v>
      </c>
      <c r="B670" s="2">
        <v>1047</v>
      </c>
      <c r="C670" s="2" t="s">
        <v>178</v>
      </c>
      <c r="D670">
        <v>146.66999999999999</v>
      </c>
      <c r="E670" s="80">
        <v>28379.599999999999</v>
      </c>
      <c r="F670">
        <v>593.74</v>
      </c>
      <c r="G670">
        <v>853.91</v>
      </c>
      <c r="H670">
        <v>3502.58</v>
      </c>
      <c r="I670" s="80">
        <v>13263.94</v>
      </c>
      <c r="J670">
        <v>337.25</v>
      </c>
      <c r="K670">
        <v>1191.01</v>
      </c>
      <c r="L670">
        <f t="shared" si="100"/>
        <v>0</v>
      </c>
      <c r="M670">
        <f t="shared" si="101"/>
        <v>0</v>
      </c>
      <c r="N670">
        <f t="shared" si="102"/>
        <v>0</v>
      </c>
      <c r="O670">
        <f t="shared" si="103"/>
        <v>0</v>
      </c>
      <c r="P670">
        <f t="shared" si="104"/>
        <v>0</v>
      </c>
      <c r="Q670">
        <f t="shared" si="105"/>
        <v>0</v>
      </c>
      <c r="R670">
        <f t="shared" si="106"/>
        <v>0</v>
      </c>
      <c r="S670">
        <f t="shared" si="107"/>
        <v>0</v>
      </c>
      <c r="T670">
        <f t="shared" si="109"/>
        <v>0</v>
      </c>
      <c r="U670">
        <f t="shared" si="108"/>
        <v>0</v>
      </c>
    </row>
    <row r="671" spans="1:21" x14ac:dyDescent="0.25">
      <c r="A671" s="2">
        <v>670</v>
      </c>
      <c r="B671" s="2">
        <v>1047</v>
      </c>
      <c r="C671" s="2" t="s">
        <v>163</v>
      </c>
      <c r="D671">
        <v>77.87</v>
      </c>
      <c r="E671" s="80">
        <v>33340.75</v>
      </c>
      <c r="F671">
        <v>249.44</v>
      </c>
      <c r="G671">
        <v>658.53</v>
      </c>
      <c r="H671">
        <v>3332.44</v>
      </c>
      <c r="I671" s="80">
        <v>13014.64</v>
      </c>
      <c r="J671">
        <v>329.61</v>
      </c>
      <c r="K671">
        <v>6193.01</v>
      </c>
      <c r="L671">
        <f t="shared" si="100"/>
        <v>0</v>
      </c>
      <c r="M671">
        <f t="shared" si="101"/>
        <v>0</v>
      </c>
      <c r="N671">
        <f t="shared" si="102"/>
        <v>0</v>
      </c>
      <c r="O671">
        <f t="shared" si="103"/>
        <v>0</v>
      </c>
      <c r="P671">
        <f t="shared" si="104"/>
        <v>0</v>
      </c>
      <c r="Q671">
        <f t="shared" si="105"/>
        <v>0</v>
      </c>
      <c r="R671">
        <f t="shared" si="106"/>
        <v>0</v>
      </c>
      <c r="S671">
        <f t="shared" si="107"/>
        <v>0</v>
      </c>
      <c r="T671">
        <f t="shared" si="109"/>
        <v>0</v>
      </c>
      <c r="U671">
        <f t="shared" si="108"/>
        <v>0</v>
      </c>
    </row>
    <row r="672" spans="1:21" x14ac:dyDescent="0.25">
      <c r="A672" s="2">
        <v>671</v>
      </c>
      <c r="B672" s="2">
        <v>1047</v>
      </c>
      <c r="C672" s="2" t="s">
        <v>181</v>
      </c>
      <c r="D672">
        <v>67.42</v>
      </c>
      <c r="E672" s="80">
        <v>45497.1</v>
      </c>
      <c r="F672">
        <v>10.28</v>
      </c>
      <c r="G672">
        <v>336.39</v>
      </c>
      <c r="H672">
        <v>63.52</v>
      </c>
      <c r="I672">
        <v>172.9</v>
      </c>
      <c r="J672">
        <v>191.48</v>
      </c>
      <c r="K672">
        <v>99.4</v>
      </c>
      <c r="L672">
        <f t="shared" si="100"/>
        <v>0</v>
      </c>
      <c r="M672">
        <f t="shared" si="101"/>
        <v>0</v>
      </c>
      <c r="N672">
        <f t="shared" si="102"/>
        <v>0</v>
      </c>
      <c r="O672">
        <f t="shared" si="103"/>
        <v>0</v>
      </c>
      <c r="P672">
        <f t="shared" si="104"/>
        <v>0</v>
      </c>
      <c r="Q672">
        <f t="shared" si="105"/>
        <v>0</v>
      </c>
      <c r="R672">
        <f t="shared" si="106"/>
        <v>0</v>
      </c>
      <c r="S672">
        <f t="shared" si="107"/>
        <v>0</v>
      </c>
      <c r="T672">
        <f t="shared" si="109"/>
        <v>0</v>
      </c>
      <c r="U672">
        <f t="shared" si="108"/>
        <v>0</v>
      </c>
    </row>
    <row r="673" spans="1:21" x14ac:dyDescent="0.25">
      <c r="A673" s="2">
        <v>672</v>
      </c>
      <c r="B673" s="2">
        <v>1047</v>
      </c>
      <c r="C673" s="2" t="s">
        <v>183</v>
      </c>
      <c r="D673">
        <v>77.87</v>
      </c>
      <c r="E673" s="80">
        <v>48677.120000000003</v>
      </c>
      <c r="F673">
        <v>365.18</v>
      </c>
      <c r="G673">
        <v>425.36</v>
      </c>
      <c r="H673">
        <v>2284.38</v>
      </c>
      <c r="I673" s="80">
        <v>16523.400000000001</v>
      </c>
      <c r="J673">
        <v>260.7</v>
      </c>
      <c r="K673">
        <v>2259.4499999999998</v>
      </c>
      <c r="L673">
        <f t="shared" si="100"/>
        <v>0</v>
      </c>
      <c r="M673">
        <f t="shared" si="101"/>
        <v>0</v>
      </c>
      <c r="N673">
        <f t="shared" si="102"/>
        <v>0</v>
      </c>
      <c r="O673">
        <f t="shared" si="103"/>
        <v>0</v>
      </c>
      <c r="P673">
        <f t="shared" si="104"/>
        <v>0</v>
      </c>
      <c r="Q673">
        <f t="shared" si="105"/>
        <v>0</v>
      </c>
      <c r="R673">
        <f t="shared" si="106"/>
        <v>0</v>
      </c>
      <c r="S673">
        <f t="shared" si="107"/>
        <v>0</v>
      </c>
      <c r="T673">
        <f t="shared" si="109"/>
        <v>0</v>
      </c>
      <c r="U673">
        <f t="shared" si="108"/>
        <v>0</v>
      </c>
    </row>
    <row r="674" spans="1:21" x14ac:dyDescent="0.25">
      <c r="A674" s="2">
        <v>673</v>
      </c>
      <c r="B674" s="2">
        <v>1047</v>
      </c>
      <c r="C674" s="2" t="s">
        <v>186</v>
      </c>
      <c r="D674">
        <v>150.38999999999999</v>
      </c>
      <c r="E674" s="80">
        <v>51918.23</v>
      </c>
      <c r="F674">
        <v>3513.66</v>
      </c>
      <c r="G674">
        <v>853.91</v>
      </c>
      <c r="H674">
        <v>8969.5499999999993</v>
      </c>
      <c r="I674" s="80">
        <v>17927.23</v>
      </c>
      <c r="J674">
        <v>428.75</v>
      </c>
      <c r="K674">
        <v>4934.6400000000003</v>
      </c>
      <c r="L674">
        <f t="shared" si="100"/>
        <v>0</v>
      </c>
      <c r="M674">
        <f t="shared" si="101"/>
        <v>0</v>
      </c>
      <c r="N674">
        <f t="shared" si="102"/>
        <v>0</v>
      </c>
      <c r="O674">
        <f t="shared" si="103"/>
        <v>0</v>
      </c>
      <c r="P674">
        <f t="shared" si="104"/>
        <v>0</v>
      </c>
      <c r="Q674">
        <f t="shared" si="105"/>
        <v>0</v>
      </c>
      <c r="R674">
        <f t="shared" si="106"/>
        <v>0</v>
      </c>
      <c r="S674">
        <f t="shared" si="107"/>
        <v>0</v>
      </c>
      <c r="T674">
        <f t="shared" si="109"/>
        <v>0</v>
      </c>
      <c r="U674">
        <f t="shared" si="108"/>
        <v>0</v>
      </c>
    </row>
    <row r="675" spans="1:21" x14ac:dyDescent="0.25">
      <c r="A675" s="2">
        <v>674</v>
      </c>
      <c r="B675" s="2">
        <v>1047</v>
      </c>
      <c r="C675" s="2" t="s">
        <v>188</v>
      </c>
      <c r="D675">
        <v>172.91</v>
      </c>
      <c r="E675" s="80">
        <v>52016.05</v>
      </c>
      <c r="F675">
        <v>203.93</v>
      </c>
      <c r="G675">
        <v>634.62</v>
      </c>
      <c r="H675">
        <v>4490.43</v>
      </c>
      <c r="I675" s="80">
        <v>15958.45</v>
      </c>
      <c r="J675">
        <v>474.37</v>
      </c>
      <c r="K675">
        <v>5668.67</v>
      </c>
      <c r="L675">
        <f t="shared" si="100"/>
        <v>0</v>
      </c>
      <c r="M675">
        <f t="shared" si="101"/>
        <v>0</v>
      </c>
      <c r="N675">
        <f t="shared" si="102"/>
        <v>0</v>
      </c>
      <c r="O675">
        <f t="shared" si="103"/>
        <v>0</v>
      </c>
      <c r="P675">
        <f t="shared" si="104"/>
        <v>0</v>
      </c>
      <c r="Q675">
        <f t="shared" si="105"/>
        <v>0</v>
      </c>
      <c r="R675">
        <f t="shared" si="106"/>
        <v>0</v>
      </c>
      <c r="S675">
        <f t="shared" si="107"/>
        <v>0</v>
      </c>
      <c r="T675">
        <f t="shared" si="109"/>
        <v>0</v>
      </c>
      <c r="U675">
        <f t="shared" si="108"/>
        <v>0</v>
      </c>
    </row>
    <row r="676" spans="1:21" x14ac:dyDescent="0.25">
      <c r="A676" s="2">
        <v>675</v>
      </c>
      <c r="B676" s="2">
        <v>1047</v>
      </c>
      <c r="C676" s="2" t="s">
        <v>182</v>
      </c>
      <c r="D676">
        <v>60.54</v>
      </c>
      <c r="E676">
        <v>3556.43</v>
      </c>
      <c r="F676">
        <v>8.2899999999999991</v>
      </c>
      <c r="G676">
        <v>336.39</v>
      </c>
      <c r="H676">
        <v>23.82</v>
      </c>
      <c r="I676">
        <v>45.91</v>
      </c>
      <c r="J676">
        <v>152.85</v>
      </c>
      <c r="K676">
        <v>13.86</v>
      </c>
      <c r="L676">
        <f t="shared" si="100"/>
        <v>0</v>
      </c>
      <c r="M676">
        <f t="shared" si="101"/>
        <v>0</v>
      </c>
      <c r="N676">
        <f t="shared" si="102"/>
        <v>0</v>
      </c>
      <c r="O676">
        <f t="shared" si="103"/>
        <v>0</v>
      </c>
      <c r="P676">
        <f t="shared" si="104"/>
        <v>0</v>
      </c>
      <c r="Q676">
        <f t="shared" si="105"/>
        <v>0</v>
      </c>
      <c r="R676">
        <f t="shared" si="106"/>
        <v>0</v>
      </c>
      <c r="S676">
        <f t="shared" si="107"/>
        <v>0</v>
      </c>
      <c r="T676">
        <f t="shared" si="109"/>
        <v>0</v>
      </c>
      <c r="U676">
        <f t="shared" si="108"/>
        <v>0</v>
      </c>
    </row>
    <row r="677" spans="1:21" x14ac:dyDescent="0.25">
      <c r="A677" s="2">
        <v>676</v>
      </c>
      <c r="B677" s="2">
        <v>1047</v>
      </c>
      <c r="C677" s="2" t="s">
        <v>184</v>
      </c>
      <c r="D677">
        <v>157.87</v>
      </c>
      <c r="E677" s="80">
        <v>32620</v>
      </c>
      <c r="F677">
        <v>231.43</v>
      </c>
      <c r="G677">
        <v>878.8</v>
      </c>
      <c r="H677">
        <v>5733.43</v>
      </c>
      <c r="I677" s="80">
        <v>13816.03</v>
      </c>
      <c r="J677">
        <v>360.16</v>
      </c>
      <c r="K677">
        <v>1333.04</v>
      </c>
      <c r="L677">
        <f t="shared" si="100"/>
        <v>0</v>
      </c>
      <c r="M677">
        <f t="shared" si="101"/>
        <v>0</v>
      </c>
      <c r="N677">
        <f t="shared" si="102"/>
        <v>0</v>
      </c>
      <c r="O677">
        <f t="shared" si="103"/>
        <v>0</v>
      </c>
      <c r="P677">
        <f t="shared" si="104"/>
        <v>0</v>
      </c>
      <c r="Q677">
        <f t="shared" si="105"/>
        <v>0</v>
      </c>
      <c r="R677">
        <f t="shared" si="106"/>
        <v>0</v>
      </c>
      <c r="S677">
        <f t="shared" si="107"/>
        <v>0</v>
      </c>
      <c r="T677">
        <f t="shared" si="109"/>
        <v>0</v>
      </c>
      <c r="U677">
        <f t="shared" si="108"/>
        <v>0</v>
      </c>
    </row>
    <row r="678" spans="1:21" x14ac:dyDescent="0.25">
      <c r="A678" s="2">
        <v>677</v>
      </c>
      <c r="B678" s="2">
        <v>1047</v>
      </c>
      <c r="C678" s="2" t="s">
        <v>187</v>
      </c>
      <c r="D678">
        <v>139.25</v>
      </c>
      <c r="E678" s="80">
        <v>27236.86</v>
      </c>
      <c r="F678">
        <v>270</v>
      </c>
      <c r="G678">
        <v>516.95000000000005</v>
      </c>
      <c r="H678">
        <v>12115.16</v>
      </c>
      <c r="I678" s="80">
        <v>12778.16</v>
      </c>
      <c r="J678">
        <v>321.97000000000003</v>
      </c>
      <c r="K678">
        <v>3652.7</v>
      </c>
      <c r="L678">
        <f t="shared" si="100"/>
        <v>0</v>
      </c>
      <c r="M678">
        <f t="shared" si="101"/>
        <v>0</v>
      </c>
      <c r="N678">
        <f t="shared" si="102"/>
        <v>0</v>
      </c>
      <c r="O678">
        <f t="shared" si="103"/>
        <v>0</v>
      </c>
      <c r="P678">
        <f t="shared" si="104"/>
        <v>0</v>
      </c>
      <c r="Q678">
        <f t="shared" si="105"/>
        <v>0</v>
      </c>
      <c r="R678">
        <f t="shared" si="106"/>
        <v>0</v>
      </c>
      <c r="S678">
        <f t="shared" si="107"/>
        <v>0</v>
      </c>
      <c r="T678">
        <f t="shared" si="109"/>
        <v>0</v>
      </c>
      <c r="U678">
        <f t="shared" si="108"/>
        <v>0</v>
      </c>
    </row>
    <row r="679" spans="1:21" x14ac:dyDescent="0.25">
      <c r="A679" s="2">
        <v>678</v>
      </c>
      <c r="B679" s="2">
        <v>1047</v>
      </c>
      <c r="C679" s="2" t="s">
        <v>189</v>
      </c>
      <c r="D679">
        <v>106.34</v>
      </c>
      <c r="E679" s="80">
        <v>32392.21</v>
      </c>
      <c r="F679">
        <v>192.55</v>
      </c>
      <c r="G679">
        <v>587.16</v>
      </c>
      <c r="H679">
        <v>7640.38</v>
      </c>
      <c r="I679" s="80">
        <v>12726.77</v>
      </c>
      <c r="J679">
        <v>299.02</v>
      </c>
      <c r="K679">
        <v>6592.27</v>
      </c>
      <c r="L679">
        <f t="shared" si="100"/>
        <v>0</v>
      </c>
      <c r="M679">
        <f t="shared" si="101"/>
        <v>0</v>
      </c>
      <c r="N679">
        <f t="shared" si="102"/>
        <v>0</v>
      </c>
      <c r="O679">
        <f t="shared" si="103"/>
        <v>0</v>
      </c>
      <c r="P679">
        <f t="shared" si="104"/>
        <v>0</v>
      </c>
      <c r="Q679">
        <f t="shared" si="105"/>
        <v>0</v>
      </c>
      <c r="R679">
        <f t="shared" si="106"/>
        <v>0</v>
      </c>
      <c r="S679">
        <f t="shared" si="107"/>
        <v>0</v>
      </c>
      <c r="T679">
        <f t="shared" si="109"/>
        <v>0</v>
      </c>
      <c r="U679">
        <f t="shared" si="108"/>
        <v>0</v>
      </c>
    </row>
    <row r="680" spans="1:21" x14ac:dyDescent="0.25">
      <c r="A680" s="2">
        <v>679</v>
      </c>
      <c r="B680" s="2">
        <v>2021</v>
      </c>
      <c r="C680" s="2" t="s">
        <v>162</v>
      </c>
      <c r="D680" t="s">
        <v>583</v>
      </c>
      <c r="E680">
        <v>13141.66</v>
      </c>
      <c r="F680">
        <v>4.41</v>
      </c>
      <c r="G680">
        <v>129.46</v>
      </c>
      <c r="H680" t="s">
        <v>583</v>
      </c>
      <c r="I680">
        <v>1.57</v>
      </c>
      <c r="J680">
        <v>75.040000000000006</v>
      </c>
      <c r="K680">
        <v>6.64</v>
      </c>
      <c r="L680">
        <f t="shared" si="100"/>
        <v>0</v>
      </c>
      <c r="M680">
        <f t="shared" si="101"/>
        <v>0</v>
      </c>
      <c r="N680">
        <f t="shared" si="102"/>
        <v>0</v>
      </c>
      <c r="O680">
        <f t="shared" si="103"/>
        <v>0</v>
      </c>
      <c r="P680">
        <f t="shared" si="104"/>
        <v>0</v>
      </c>
      <c r="Q680">
        <f t="shared" si="105"/>
        <v>0</v>
      </c>
      <c r="R680">
        <f t="shared" si="106"/>
        <v>0</v>
      </c>
      <c r="S680">
        <f t="shared" si="107"/>
        <v>0</v>
      </c>
      <c r="T680">
        <f t="shared" si="109"/>
        <v>0</v>
      </c>
      <c r="U680">
        <f t="shared" si="108"/>
        <v>0</v>
      </c>
    </row>
    <row r="681" spans="1:21" x14ac:dyDescent="0.25">
      <c r="A681" s="2">
        <v>680</v>
      </c>
      <c r="B681" s="2">
        <v>2021</v>
      </c>
      <c r="C681" s="2" t="s">
        <v>170</v>
      </c>
      <c r="D681">
        <v>12.02</v>
      </c>
      <c r="E681">
        <v>8083.92</v>
      </c>
      <c r="F681">
        <v>196.34</v>
      </c>
      <c r="G681">
        <v>91.89</v>
      </c>
      <c r="H681">
        <v>1252.77</v>
      </c>
      <c r="I681" s="80">
        <v>4638.37</v>
      </c>
      <c r="J681">
        <v>43.58</v>
      </c>
      <c r="K681">
        <v>511.81</v>
      </c>
      <c r="L681">
        <f t="shared" si="100"/>
        <v>0</v>
      </c>
      <c r="M681">
        <f t="shared" si="101"/>
        <v>0</v>
      </c>
      <c r="N681">
        <f t="shared" si="102"/>
        <v>0</v>
      </c>
      <c r="O681">
        <f t="shared" si="103"/>
        <v>0</v>
      </c>
      <c r="P681">
        <f t="shared" si="104"/>
        <v>0</v>
      </c>
      <c r="Q681">
        <f t="shared" si="105"/>
        <v>0</v>
      </c>
      <c r="R681">
        <f t="shared" si="106"/>
        <v>0</v>
      </c>
      <c r="S681">
        <f t="shared" si="107"/>
        <v>0</v>
      </c>
      <c r="T681">
        <f t="shared" si="109"/>
        <v>0</v>
      </c>
      <c r="U681">
        <f t="shared" si="108"/>
        <v>0</v>
      </c>
    </row>
    <row r="682" spans="1:21" x14ac:dyDescent="0.25">
      <c r="A682" s="2">
        <v>681</v>
      </c>
      <c r="B682" s="2">
        <v>2021</v>
      </c>
      <c r="C682" s="2" t="s">
        <v>178</v>
      </c>
      <c r="D682">
        <v>63.97</v>
      </c>
      <c r="E682">
        <v>9099.34</v>
      </c>
      <c r="F682">
        <v>596.75</v>
      </c>
      <c r="G682">
        <v>209.02</v>
      </c>
      <c r="H682">
        <v>4883.46</v>
      </c>
      <c r="I682" s="80">
        <v>7116.56</v>
      </c>
      <c r="J682">
        <v>114.06</v>
      </c>
      <c r="K682">
        <v>1136.8800000000001</v>
      </c>
      <c r="L682">
        <f t="shared" si="100"/>
        <v>0</v>
      </c>
      <c r="M682">
        <f t="shared" si="101"/>
        <v>0</v>
      </c>
      <c r="N682">
        <f t="shared" si="102"/>
        <v>0</v>
      </c>
      <c r="O682">
        <f t="shared" si="103"/>
        <v>0</v>
      </c>
      <c r="P682">
        <f t="shared" si="104"/>
        <v>0</v>
      </c>
      <c r="Q682">
        <f t="shared" si="105"/>
        <v>0</v>
      </c>
      <c r="R682">
        <f t="shared" si="106"/>
        <v>0</v>
      </c>
      <c r="S682">
        <f t="shared" si="107"/>
        <v>0</v>
      </c>
      <c r="T682">
        <f t="shared" si="109"/>
        <v>0</v>
      </c>
      <c r="U682">
        <f t="shared" si="108"/>
        <v>0</v>
      </c>
    </row>
    <row r="683" spans="1:21" x14ac:dyDescent="0.25">
      <c r="A683" s="2">
        <v>682</v>
      </c>
      <c r="B683" s="2">
        <v>2021</v>
      </c>
      <c r="C683" s="2" t="s">
        <v>163</v>
      </c>
      <c r="D683">
        <v>157.87</v>
      </c>
      <c r="E683">
        <v>18136.93</v>
      </c>
      <c r="F683">
        <v>1415.2</v>
      </c>
      <c r="G683">
        <v>293.04000000000002</v>
      </c>
      <c r="H683">
        <v>8888.36</v>
      </c>
      <c r="I683" s="80">
        <v>11882.51</v>
      </c>
      <c r="J683">
        <v>276.02999999999997</v>
      </c>
      <c r="K683">
        <v>3151.02</v>
      </c>
      <c r="L683">
        <f t="shared" si="100"/>
        <v>0</v>
      </c>
      <c r="M683">
        <f t="shared" si="101"/>
        <v>0</v>
      </c>
      <c r="N683">
        <f t="shared" si="102"/>
        <v>0</v>
      </c>
      <c r="O683">
        <f t="shared" si="103"/>
        <v>0</v>
      </c>
      <c r="P683">
        <f t="shared" si="104"/>
        <v>0</v>
      </c>
      <c r="Q683">
        <f t="shared" si="105"/>
        <v>0</v>
      </c>
      <c r="R683">
        <f t="shared" si="106"/>
        <v>0</v>
      </c>
      <c r="S683">
        <f t="shared" si="107"/>
        <v>0</v>
      </c>
      <c r="T683">
        <f t="shared" si="109"/>
        <v>0</v>
      </c>
      <c r="U683">
        <f t="shared" si="108"/>
        <v>0</v>
      </c>
    </row>
    <row r="684" spans="1:21" x14ac:dyDescent="0.25">
      <c r="A684" s="2">
        <v>683</v>
      </c>
      <c r="B684" s="2">
        <v>2021</v>
      </c>
      <c r="C684" s="2" t="s">
        <v>181</v>
      </c>
      <c r="D684">
        <v>77.87</v>
      </c>
      <c r="E684" s="80">
        <v>34597.19</v>
      </c>
      <c r="F684">
        <v>14.47</v>
      </c>
      <c r="G684">
        <v>425.36</v>
      </c>
      <c r="H684">
        <v>96.63</v>
      </c>
      <c r="I684">
        <v>210.46</v>
      </c>
      <c r="J684">
        <v>229.98</v>
      </c>
      <c r="K684">
        <v>116.89</v>
      </c>
      <c r="L684">
        <f t="shared" si="100"/>
        <v>0</v>
      </c>
      <c r="M684">
        <f t="shared" si="101"/>
        <v>0</v>
      </c>
      <c r="N684">
        <f t="shared" si="102"/>
        <v>0</v>
      </c>
      <c r="O684">
        <f t="shared" si="103"/>
        <v>0</v>
      </c>
      <c r="P684">
        <f t="shared" si="104"/>
        <v>0</v>
      </c>
      <c r="Q684">
        <f t="shared" si="105"/>
        <v>0</v>
      </c>
      <c r="R684">
        <f t="shared" si="106"/>
        <v>0</v>
      </c>
      <c r="S684">
        <f t="shared" si="107"/>
        <v>0</v>
      </c>
      <c r="T684">
        <f t="shared" si="109"/>
        <v>0</v>
      </c>
      <c r="U684">
        <f t="shared" si="108"/>
        <v>0</v>
      </c>
    </row>
    <row r="685" spans="1:21" x14ac:dyDescent="0.25">
      <c r="A685" s="2">
        <v>684</v>
      </c>
      <c r="B685" s="2">
        <v>2021</v>
      </c>
      <c r="C685" s="2" t="s">
        <v>183</v>
      </c>
      <c r="D685">
        <v>139.25</v>
      </c>
      <c r="E685" s="80">
        <v>28882.2</v>
      </c>
      <c r="F685">
        <v>2465.6999999999998</v>
      </c>
      <c r="G685">
        <v>706.72</v>
      </c>
      <c r="H685">
        <v>7012.8</v>
      </c>
      <c r="I685" s="80">
        <v>14509.11</v>
      </c>
      <c r="J685">
        <v>383.04</v>
      </c>
      <c r="K685">
        <v>6679.74</v>
      </c>
      <c r="L685">
        <f t="shared" si="100"/>
        <v>0</v>
      </c>
      <c r="M685">
        <f t="shared" si="101"/>
        <v>0</v>
      </c>
      <c r="N685">
        <f t="shared" si="102"/>
        <v>0</v>
      </c>
      <c r="O685">
        <f t="shared" si="103"/>
        <v>0</v>
      </c>
      <c r="P685">
        <f t="shared" si="104"/>
        <v>0</v>
      </c>
      <c r="Q685">
        <f t="shared" si="105"/>
        <v>0</v>
      </c>
      <c r="R685">
        <f t="shared" si="106"/>
        <v>0</v>
      </c>
      <c r="S685">
        <f t="shared" si="107"/>
        <v>0</v>
      </c>
      <c r="T685">
        <f t="shared" si="109"/>
        <v>0</v>
      </c>
      <c r="U685">
        <f t="shared" si="108"/>
        <v>0</v>
      </c>
    </row>
    <row r="686" spans="1:21" x14ac:dyDescent="0.25">
      <c r="A686" s="2">
        <v>685</v>
      </c>
      <c r="B686" s="2">
        <v>2021</v>
      </c>
      <c r="C686" s="2" t="s">
        <v>186</v>
      </c>
      <c r="D686">
        <v>113.58</v>
      </c>
      <c r="E686">
        <v>21543.79</v>
      </c>
      <c r="F686">
        <v>2924.3</v>
      </c>
      <c r="G686">
        <v>730.98</v>
      </c>
      <c r="H686">
        <v>13409.3</v>
      </c>
      <c r="I686" s="80">
        <v>14928.26</v>
      </c>
      <c r="J686">
        <v>367.79</v>
      </c>
      <c r="K686">
        <v>7644.04</v>
      </c>
      <c r="L686">
        <f t="shared" si="100"/>
        <v>0</v>
      </c>
      <c r="M686">
        <f t="shared" si="101"/>
        <v>0</v>
      </c>
      <c r="N686">
        <f t="shared" si="102"/>
        <v>0</v>
      </c>
      <c r="O686">
        <f t="shared" si="103"/>
        <v>0</v>
      </c>
      <c r="P686">
        <f t="shared" si="104"/>
        <v>0</v>
      </c>
      <c r="Q686">
        <f t="shared" si="105"/>
        <v>0</v>
      </c>
      <c r="R686">
        <f t="shared" si="106"/>
        <v>0</v>
      </c>
      <c r="S686">
        <f t="shared" si="107"/>
        <v>0</v>
      </c>
      <c r="T686">
        <f t="shared" si="109"/>
        <v>0</v>
      </c>
      <c r="U686">
        <f t="shared" si="108"/>
        <v>0</v>
      </c>
    </row>
    <row r="687" spans="1:21" x14ac:dyDescent="0.25">
      <c r="A687" s="2">
        <v>686</v>
      </c>
      <c r="B687" s="2">
        <v>2021</v>
      </c>
      <c r="C687" s="2" t="s">
        <v>188</v>
      </c>
      <c r="D687">
        <v>106.34</v>
      </c>
      <c r="E687" s="80">
        <v>34668.29</v>
      </c>
      <c r="F687">
        <v>637.64</v>
      </c>
      <c r="G687">
        <v>516.95000000000005</v>
      </c>
      <c r="H687">
        <v>2326.9699999999998</v>
      </c>
      <c r="I687" s="80">
        <v>10137.91</v>
      </c>
      <c r="J687">
        <v>367.79</v>
      </c>
      <c r="K687">
        <v>7347.71</v>
      </c>
      <c r="L687">
        <f t="shared" si="100"/>
        <v>0</v>
      </c>
      <c r="M687">
        <f t="shared" si="101"/>
        <v>0</v>
      </c>
      <c r="N687">
        <f t="shared" si="102"/>
        <v>0</v>
      </c>
      <c r="O687">
        <f t="shared" si="103"/>
        <v>0</v>
      </c>
      <c r="P687">
        <f t="shared" si="104"/>
        <v>0</v>
      </c>
      <c r="Q687">
        <f t="shared" si="105"/>
        <v>0</v>
      </c>
      <c r="R687">
        <f t="shared" si="106"/>
        <v>0</v>
      </c>
      <c r="S687">
        <f t="shared" si="107"/>
        <v>0</v>
      </c>
      <c r="T687">
        <f t="shared" si="109"/>
        <v>0</v>
      </c>
      <c r="U687">
        <f t="shared" si="108"/>
        <v>0</v>
      </c>
    </row>
    <row r="688" spans="1:21" x14ac:dyDescent="0.25">
      <c r="A688" s="2">
        <v>687</v>
      </c>
      <c r="B688" s="2">
        <v>2021</v>
      </c>
      <c r="C688" s="2" t="s">
        <v>182</v>
      </c>
      <c r="D688" t="s">
        <v>583</v>
      </c>
      <c r="E688">
        <v>1477.18</v>
      </c>
      <c r="F688">
        <v>3.45</v>
      </c>
      <c r="G688" t="s">
        <v>583</v>
      </c>
      <c r="H688">
        <v>28.3</v>
      </c>
      <c r="I688">
        <v>383.83</v>
      </c>
      <c r="J688" t="s">
        <v>583</v>
      </c>
      <c r="K688">
        <v>3.2</v>
      </c>
      <c r="L688">
        <f t="shared" si="100"/>
        <v>0</v>
      </c>
      <c r="M688">
        <f t="shared" si="101"/>
        <v>0</v>
      </c>
      <c r="N688">
        <f t="shared" si="102"/>
        <v>0</v>
      </c>
      <c r="O688">
        <f t="shared" si="103"/>
        <v>0</v>
      </c>
      <c r="P688">
        <f t="shared" si="104"/>
        <v>0</v>
      </c>
      <c r="Q688">
        <f t="shared" si="105"/>
        <v>0</v>
      </c>
      <c r="R688">
        <f t="shared" si="106"/>
        <v>0</v>
      </c>
      <c r="S688">
        <f t="shared" si="107"/>
        <v>0</v>
      </c>
      <c r="T688">
        <f t="shared" si="109"/>
        <v>0</v>
      </c>
      <c r="U688">
        <f t="shared" si="108"/>
        <v>0</v>
      </c>
    </row>
    <row r="689" spans="1:21" x14ac:dyDescent="0.25">
      <c r="A689" s="2">
        <v>688</v>
      </c>
      <c r="B689" s="2">
        <v>2021</v>
      </c>
      <c r="C689" s="2" t="s">
        <v>184</v>
      </c>
      <c r="D689" s="80">
        <v>3.58</v>
      </c>
      <c r="E689">
        <v>5935.59</v>
      </c>
      <c r="F689">
        <v>249.1</v>
      </c>
      <c r="G689" s="80">
        <v>23.76</v>
      </c>
      <c r="H689">
        <v>7150.27</v>
      </c>
      <c r="I689" s="80">
        <v>10298.76</v>
      </c>
      <c r="J689">
        <v>51.47</v>
      </c>
      <c r="K689">
        <v>945.44</v>
      </c>
      <c r="L689">
        <f t="shared" si="100"/>
        <v>0</v>
      </c>
      <c r="M689">
        <f t="shared" si="101"/>
        <v>0</v>
      </c>
      <c r="N689">
        <f t="shared" si="102"/>
        <v>0</v>
      </c>
      <c r="O689">
        <f t="shared" si="103"/>
        <v>0</v>
      </c>
      <c r="P689">
        <f t="shared" si="104"/>
        <v>0</v>
      </c>
      <c r="Q689">
        <f t="shared" si="105"/>
        <v>0</v>
      </c>
      <c r="R689">
        <f t="shared" si="106"/>
        <v>0</v>
      </c>
      <c r="S689">
        <f t="shared" si="107"/>
        <v>0</v>
      </c>
      <c r="T689">
        <f t="shared" si="109"/>
        <v>0</v>
      </c>
      <c r="U689">
        <f t="shared" si="108"/>
        <v>0</v>
      </c>
    </row>
    <row r="690" spans="1:21" x14ac:dyDescent="0.25">
      <c r="A690" s="2">
        <v>689</v>
      </c>
      <c r="B690" s="2">
        <v>2021</v>
      </c>
      <c r="C690" s="2" t="s">
        <v>187</v>
      </c>
      <c r="D690">
        <v>50.35</v>
      </c>
      <c r="E690">
        <v>7036.24</v>
      </c>
      <c r="F690">
        <v>508.37</v>
      </c>
      <c r="G690">
        <v>250.55</v>
      </c>
      <c r="H690">
        <v>10225.69</v>
      </c>
      <c r="I690" s="80">
        <v>8979.66</v>
      </c>
      <c r="J690">
        <v>137.35</v>
      </c>
      <c r="K690">
        <v>2873.03</v>
      </c>
      <c r="L690">
        <f t="shared" si="100"/>
        <v>0</v>
      </c>
      <c r="M690">
        <f t="shared" si="101"/>
        <v>0</v>
      </c>
      <c r="N690">
        <f t="shared" si="102"/>
        <v>0</v>
      </c>
      <c r="O690">
        <f t="shared" si="103"/>
        <v>0</v>
      </c>
      <c r="P690">
        <f t="shared" si="104"/>
        <v>0</v>
      </c>
      <c r="Q690">
        <f t="shared" si="105"/>
        <v>0</v>
      </c>
      <c r="R690">
        <f t="shared" si="106"/>
        <v>0</v>
      </c>
      <c r="S690">
        <f t="shared" si="107"/>
        <v>0</v>
      </c>
      <c r="T690">
        <f t="shared" si="109"/>
        <v>0</v>
      </c>
      <c r="U690">
        <f t="shared" si="108"/>
        <v>0</v>
      </c>
    </row>
    <row r="691" spans="1:21" x14ac:dyDescent="0.25">
      <c r="A691" s="2">
        <v>690</v>
      </c>
      <c r="B691" s="2">
        <v>2021</v>
      </c>
      <c r="C691" s="2" t="s">
        <v>189</v>
      </c>
      <c r="D691">
        <v>50.35</v>
      </c>
      <c r="E691">
        <v>6560.13</v>
      </c>
      <c r="F691">
        <v>138.91</v>
      </c>
      <c r="G691">
        <v>168.59</v>
      </c>
      <c r="H691">
        <v>3381.26</v>
      </c>
      <c r="I691" s="80">
        <v>7816</v>
      </c>
      <c r="J691">
        <v>137.35</v>
      </c>
      <c r="K691">
        <v>2692.21</v>
      </c>
      <c r="L691">
        <f t="shared" si="100"/>
        <v>0</v>
      </c>
      <c r="M691">
        <f t="shared" si="101"/>
        <v>0</v>
      </c>
      <c r="N691">
        <f t="shared" si="102"/>
        <v>0</v>
      </c>
      <c r="O691">
        <f t="shared" si="103"/>
        <v>0</v>
      </c>
      <c r="P691">
        <f t="shared" si="104"/>
        <v>0</v>
      </c>
      <c r="Q691">
        <f t="shared" si="105"/>
        <v>0</v>
      </c>
      <c r="R691">
        <f t="shared" si="106"/>
        <v>0</v>
      </c>
      <c r="S691">
        <f t="shared" si="107"/>
        <v>0</v>
      </c>
      <c r="T691">
        <f t="shared" si="109"/>
        <v>0</v>
      </c>
      <c r="U691">
        <f t="shared" si="108"/>
        <v>0</v>
      </c>
    </row>
    <row r="692" spans="1:21" x14ac:dyDescent="0.25">
      <c r="A692" s="2">
        <v>691</v>
      </c>
      <c r="B692" s="2">
        <v>1033</v>
      </c>
      <c r="C692" s="2" t="s">
        <v>181</v>
      </c>
      <c r="D692">
        <v>63.97</v>
      </c>
      <c r="E692">
        <v>10961</v>
      </c>
      <c r="F692">
        <v>15.31</v>
      </c>
      <c r="G692">
        <v>380.52</v>
      </c>
      <c r="H692">
        <v>31.28</v>
      </c>
      <c r="I692">
        <v>45.48</v>
      </c>
      <c r="J692">
        <v>168.32</v>
      </c>
      <c r="K692">
        <v>21.36</v>
      </c>
      <c r="L692">
        <f t="shared" si="100"/>
        <v>0</v>
      </c>
      <c r="M692">
        <f t="shared" si="101"/>
        <v>0</v>
      </c>
      <c r="N692">
        <f t="shared" si="102"/>
        <v>0</v>
      </c>
      <c r="O692">
        <f t="shared" si="103"/>
        <v>0</v>
      </c>
      <c r="P692">
        <f t="shared" si="104"/>
        <v>0</v>
      </c>
      <c r="Q692">
        <f t="shared" si="105"/>
        <v>0</v>
      </c>
      <c r="R692">
        <f t="shared" si="106"/>
        <v>0</v>
      </c>
      <c r="S692">
        <f t="shared" si="107"/>
        <v>0</v>
      </c>
      <c r="T692">
        <f t="shared" si="109"/>
        <v>0</v>
      </c>
      <c r="U692">
        <f t="shared" si="108"/>
        <v>0</v>
      </c>
    </row>
    <row r="693" spans="1:21" x14ac:dyDescent="0.25">
      <c r="A693" s="2">
        <v>692</v>
      </c>
      <c r="B693" s="2">
        <v>1033</v>
      </c>
      <c r="C693" s="2" t="s">
        <v>183</v>
      </c>
      <c r="D693">
        <v>63.97</v>
      </c>
      <c r="E693" s="80">
        <v>27692.73</v>
      </c>
      <c r="F693">
        <v>122.08</v>
      </c>
      <c r="G693">
        <v>380.52</v>
      </c>
      <c r="H693">
        <v>295.62</v>
      </c>
      <c r="I693" s="80">
        <v>11015.73</v>
      </c>
      <c r="J693">
        <v>268.37</v>
      </c>
      <c r="K693">
        <v>498.86</v>
      </c>
      <c r="L693">
        <f t="shared" si="100"/>
        <v>0</v>
      </c>
      <c r="M693">
        <f t="shared" si="101"/>
        <v>0</v>
      </c>
      <c r="N693">
        <f t="shared" si="102"/>
        <v>0</v>
      </c>
      <c r="O693">
        <f t="shared" si="103"/>
        <v>0</v>
      </c>
      <c r="P693">
        <f t="shared" si="104"/>
        <v>0</v>
      </c>
      <c r="Q693">
        <f t="shared" si="105"/>
        <v>0</v>
      </c>
      <c r="R693">
        <f t="shared" si="106"/>
        <v>0</v>
      </c>
      <c r="S693">
        <f t="shared" si="107"/>
        <v>0</v>
      </c>
      <c r="T693">
        <f t="shared" si="109"/>
        <v>0</v>
      </c>
      <c r="U693">
        <f t="shared" si="108"/>
        <v>0</v>
      </c>
    </row>
    <row r="694" spans="1:21" x14ac:dyDescent="0.25">
      <c r="A694" s="2">
        <v>693</v>
      </c>
      <c r="B694" s="2">
        <v>1033</v>
      </c>
      <c r="C694" s="2" t="s">
        <v>182</v>
      </c>
      <c r="D694">
        <v>18.03</v>
      </c>
      <c r="E694">
        <v>1358.7</v>
      </c>
      <c r="F694">
        <v>4.8499999999999996</v>
      </c>
      <c r="G694">
        <v>209.02</v>
      </c>
      <c r="H694">
        <v>5.46</v>
      </c>
      <c r="I694">
        <v>20.16</v>
      </c>
      <c r="J694">
        <v>59.34</v>
      </c>
      <c r="K694">
        <v>6.64</v>
      </c>
      <c r="L694">
        <f t="shared" si="100"/>
        <v>0</v>
      </c>
      <c r="M694">
        <f t="shared" si="101"/>
        <v>0</v>
      </c>
      <c r="N694">
        <f t="shared" si="102"/>
        <v>0</v>
      </c>
      <c r="O694">
        <f t="shared" si="103"/>
        <v>0</v>
      </c>
      <c r="P694">
        <f t="shared" si="104"/>
        <v>0</v>
      </c>
      <c r="Q694">
        <f t="shared" si="105"/>
        <v>0</v>
      </c>
      <c r="R694">
        <f t="shared" si="106"/>
        <v>0</v>
      </c>
      <c r="S694">
        <f t="shared" si="107"/>
        <v>0</v>
      </c>
      <c r="T694">
        <f t="shared" si="109"/>
        <v>0</v>
      </c>
      <c r="U694">
        <f t="shared" si="108"/>
        <v>0</v>
      </c>
    </row>
    <row r="695" spans="1:21" x14ac:dyDescent="0.25">
      <c r="A695" s="2">
        <v>694</v>
      </c>
      <c r="B695" s="2">
        <v>1033</v>
      </c>
      <c r="C695" s="2" t="s">
        <v>184</v>
      </c>
      <c r="D695">
        <v>40.36</v>
      </c>
      <c r="E695">
        <v>21784.7</v>
      </c>
      <c r="F695">
        <v>205.31</v>
      </c>
      <c r="G695">
        <v>380.52</v>
      </c>
      <c r="H695">
        <v>375.64</v>
      </c>
      <c r="I695" s="80">
        <v>7170.69</v>
      </c>
      <c r="J695">
        <v>168.32</v>
      </c>
      <c r="K695">
        <v>456.67</v>
      </c>
      <c r="L695">
        <f t="shared" si="100"/>
        <v>0</v>
      </c>
      <c r="M695">
        <f t="shared" si="101"/>
        <v>0</v>
      </c>
      <c r="N695">
        <f t="shared" si="102"/>
        <v>0</v>
      </c>
      <c r="O695">
        <f t="shared" si="103"/>
        <v>0</v>
      </c>
      <c r="P695">
        <f t="shared" si="104"/>
        <v>0</v>
      </c>
      <c r="Q695">
        <f t="shared" si="105"/>
        <v>0</v>
      </c>
      <c r="R695">
        <f t="shared" si="106"/>
        <v>0</v>
      </c>
      <c r="S695">
        <f t="shared" si="107"/>
        <v>0</v>
      </c>
      <c r="T695">
        <f t="shared" si="109"/>
        <v>0</v>
      </c>
      <c r="U695">
        <f t="shared" si="108"/>
        <v>0</v>
      </c>
    </row>
    <row r="696" spans="1:21" x14ac:dyDescent="0.25">
      <c r="A696" s="2">
        <v>695</v>
      </c>
      <c r="B696" s="2">
        <v>1033</v>
      </c>
      <c r="C696" s="2" t="s">
        <v>187</v>
      </c>
      <c r="D696" s="80">
        <v>1.07</v>
      </c>
      <c r="E696">
        <v>10581.16</v>
      </c>
      <c r="F696">
        <v>16.14</v>
      </c>
      <c r="G696">
        <v>91.89</v>
      </c>
      <c r="H696">
        <v>32.76</v>
      </c>
      <c r="I696">
        <v>1790.08</v>
      </c>
      <c r="J696" t="s">
        <v>583</v>
      </c>
      <c r="K696">
        <v>16.649999999999999</v>
      </c>
      <c r="L696">
        <f t="shared" si="100"/>
        <v>0</v>
      </c>
      <c r="M696">
        <f t="shared" si="101"/>
        <v>0</v>
      </c>
      <c r="N696">
        <f t="shared" si="102"/>
        <v>0</v>
      </c>
      <c r="O696">
        <f t="shared" si="103"/>
        <v>0</v>
      </c>
      <c r="P696">
        <f t="shared" si="104"/>
        <v>0</v>
      </c>
      <c r="Q696">
        <f t="shared" si="105"/>
        <v>0</v>
      </c>
      <c r="R696">
        <f t="shared" si="106"/>
        <v>0</v>
      </c>
      <c r="S696">
        <f t="shared" si="107"/>
        <v>0</v>
      </c>
      <c r="T696">
        <f t="shared" si="109"/>
        <v>0</v>
      </c>
      <c r="U696">
        <f t="shared" si="108"/>
        <v>0</v>
      </c>
    </row>
    <row r="697" spans="1:21" x14ac:dyDescent="0.25">
      <c r="A697" s="2">
        <v>696</v>
      </c>
      <c r="B697" s="2">
        <v>1033</v>
      </c>
      <c r="C697" s="2" t="s">
        <v>189</v>
      </c>
      <c r="D697" t="s">
        <v>583</v>
      </c>
      <c r="E697">
        <v>8447.19</v>
      </c>
      <c r="F697">
        <v>21.36</v>
      </c>
      <c r="G697">
        <v>56.34</v>
      </c>
      <c r="H697">
        <v>36.46</v>
      </c>
      <c r="I697">
        <v>1054</v>
      </c>
      <c r="J697" s="80">
        <v>11.69</v>
      </c>
      <c r="K697">
        <v>103.62</v>
      </c>
      <c r="L697">
        <f t="shared" si="100"/>
        <v>0</v>
      </c>
      <c r="M697">
        <f t="shared" si="101"/>
        <v>0</v>
      </c>
      <c r="N697">
        <f t="shared" si="102"/>
        <v>0</v>
      </c>
      <c r="O697">
        <f t="shared" si="103"/>
        <v>0</v>
      </c>
      <c r="P697">
        <f t="shared" si="104"/>
        <v>0</v>
      </c>
      <c r="Q697">
        <f t="shared" si="105"/>
        <v>0</v>
      </c>
      <c r="R697">
        <f t="shared" si="106"/>
        <v>0</v>
      </c>
      <c r="S697">
        <f t="shared" si="107"/>
        <v>0</v>
      </c>
      <c r="T697">
        <f t="shared" si="109"/>
        <v>0</v>
      </c>
      <c r="U697">
        <f t="shared" si="108"/>
        <v>0</v>
      </c>
    </row>
    <row r="698" spans="1:21" x14ac:dyDescent="0.25">
      <c r="A698" s="2">
        <v>697</v>
      </c>
      <c r="B698" s="86" t="s">
        <v>592</v>
      </c>
      <c r="C698" s="41" t="s">
        <v>162</v>
      </c>
      <c r="D698">
        <v>8.83</v>
      </c>
      <c r="E698">
        <v>7882.78</v>
      </c>
      <c r="F698">
        <v>15.9</v>
      </c>
      <c r="G698">
        <v>32.64</v>
      </c>
      <c r="H698">
        <v>2605.5500000000002</v>
      </c>
      <c r="I698">
        <v>358.65</v>
      </c>
      <c r="J698">
        <v>28.26</v>
      </c>
      <c r="K698">
        <v>2546.56</v>
      </c>
      <c r="L698">
        <f t="shared" si="100"/>
        <v>0</v>
      </c>
      <c r="M698">
        <f t="shared" si="101"/>
        <v>0</v>
      </c>
      <c r="N698">
        <f t="shared" si="102"/>
        <v>0</v>
      </c>
      <c r="O698">
        <f t="shared" si="103"/>
        <v>0</v>
      </c>
      <c r="P698">
        <f t="shared" si="104"/>
        <v>0</v>
      </c>
      <c r="Q698">
        <f t="shared" si="105"/>
        <v>0</v>
      </c>
      <c r="R698">
        <f t="shared" si="106"/>
        <v>0</v>
      </c>
      <c r="S698">
        <f t="shared" si="107"/>
        <v>0</v>
      </c>
      <c r="T698">
        <f t="shared" si="109"/>
        <v>0</v>
      </c>
      <c r="U698">
        <f t="shared" si="108"/>
        <v>0</v>
      </c>
    </row>
    <row r="699" spans="1:21" x14ac:dyDescent="0.25">
      <c r="A699" s="2">
        <v>698</v>
      </c>
      <c r="B699" s="86" t="s">
        <v>592</v>
      </c>
      <c r="C699" s="41" t="s">
        <v>170</v>
      </c>
      <c r="D699">
        <v>11.41</v>
      </c>
      <c r="E699">
        <v>7457.54</v>
      </c>
      <c r="F699">
        <v>18.36</v>
      </c>
      <c r="G699" s="80">
        <v>15.31</v>
      </c>
      <c r="H699">
        <v>3746.22</v>
      </c>
      <c r="I699">
        <v>463.25</v>
      </c>
      <c r="J699">
        <v>25.83</v>
      </c>
      <c r="K699">
        <v>2661.15</v>
      </c>
      <c r="L699">
        <f t="shared" si="100"/>
        <v>0</v>
      </c>
      <c r="M699">
        <f t="shared" si="101"/>
        <v>0</v>
      </c>
      <c r="N699">
        <f t="shared" si="102"/>
        <v>0</v>
      </c>
      <c r="O699">
        <f t="shared" si="103"/>
        <v>0</v>
      </c>
      <c r="P699">
        <f t="shared" si="104"/>
        <v>0</v>
      </c>
      <c r="Q699">
        <f t="shared" si="105"/>
        <v>0</v>
      </c>
      <c r="R699">
        <f t="shared" si="106"/>
        <v>0</v>
      </c>
      <c r="S699">
        <f t="shared" si="107"/>
        <v>0</v>
      </c>
      <c r="T699">
        <f t="shared" si="109"/>
        <v>0</v>
      </c>
      <c r="U699">
        <f t="shared" si="108"/>
        <v>0</v>
      </c>
    </row>
    <row r="700" spans="1:21" x14ac:dyDescent="0.25">
      <c r="A700" s="2">
        <v>699</v>
      </c>
      <c r="B700" s="86" t="s">
        <v>592</v>
      </c>
      <c r="C700" s="41" t="s">
        <v>178</v>
      </c>
      <c r="D700">
        <v>6.4</v>
      </c>
      <c r="E700">
        <v>5656.08</v>
      </c>
      <c r="F700">
        <v>14.49</v>
      </c>
      <c r="G700" s="80">
        <v>11.55</v>
      </c>
      <c r="H700">
        <v>3274.16</v>
      </c>
      <c r="I700">
        <v>347.51</v>
      </c>
      <c r="J700">
        <v>21.11</v>
      </c>
      <c r="K700">
        <v>2515.21</v>
      </c>
      <c r="L700">
        <f t="shared" si="100"/>
        <v>0</v>
      </c>
      <c r="M700">
        <f t="shared" si="101"/>
        <v>0</v>
      </c>
      <c r="N700">
        <f t="shared" si="102"/>
        <v>0</v>
      </c>
      <c r="O700">
        <f t="shared" si="103"/>
        <v>0</v>
      </c>
      <c r="P700">
        <f t="shared" si="104"/>
        <v>0</v>
      </c>
      <c r="Q700">
        <f t="shared" si="105"/>
        <v>0</v>
      </c>
      <c r="R700">
        <f t="shared" si="106"/>
        <v>0</v>
      </c>
      <c r="S700">
        <f t="shared" si="107"/>
        <v>0</v>
      </c>
      <c r="T700">
        <f t="shared" si="109"/>
        <v>0</v>
      </c>
      <c r="U700">
        <f t="shared" si="108"/>
        <v>0</v>
      </c>
    </row>
    <row r="701" spans="1:21" x14ac:dyDescent="0.25">
      <c r="A701" s="2">
        <v>700</v>
      </c>
      <c r="B701" s="86" t="s">
        <v>592</v>
      </c>
      <c r="C701" s="41" t="s">
        <v>163</v>
      </c>
      <c r="D701">
        <v>6.4</v>
      </c>
      <c r="E701">
        <v>5485.13</v>
      </c>
      <c r="F701">
        <v>15.16</v>
      </c>
      <c r="G701">
        <v>28.01</v>
      </c>
      <c r="H701">
        <v>2791.2</v>
      </c>
      <c r="I701">
        <v>624.88</v>
      </c>
      <c r="J701">
        <v>18.829999999999998</v>
      </c>
      <c r="K701">
        <v>2691.95</v>
      </c>
      <c r="L701">
        <f t="shared" si="100"/>
        <v>0</v>
      </c>
      <c r="M701">
        <f t="shared" si="101"/>
        <v>0</v>
      </c>
      <c r="N701">
        <f t="shared" si="102"/>
        <v>0</v>
      </c>
      <c r="O701">
        <f t="shared" si="103"/>
        <v>0</v>
      </c>
      <c r="P701">
        <f t="shared" si="104"/>
        <v>0</v>
      </c>
      <c r="Q701">
        <f t="shared" si="105"/>
        <v>0</v>
      </c>
      <c r="R701">
        <f t="shared" si="106"/>
        <v>0</v>
      </c>
      <c r="S701">
        <f t="shared" si="107"/>
        <v>0</v>
      </c>
      <c r="T701">
        <f t="shared" si="109"/>
        <v>0</v>
      </c>
      <c r="U701">
        <f t="shared" si="108"/>
        <v>0</v>
      </c>
    </row>
    <row r="702" spans="1:21" x14ac:dyDescent="0.25">
      <c r="A702" s="2">
        <v>701</v>
      </c>
      <c r="B702" s="86" t="s">
        <v>592</v>
      </c>
      <c r="C702" s="41" t="s">
        <v>181</v>
      </c>
      <c r="D702">
        <v>21.83</v>
      </c>
      <c r="E702" s="80">
        <v>36779.160000000003</v>
      </c>
      <c r="F702">
        <v>124.98</v>
      </c>
      <c r="G702">
        <v>69.400000000000006</v>
      </c>
      <c r="H702">
        <v>9646.39</v>
      </c>
      <c r="I702" s="80">
        <v>3781.95</v>
      </c>
      <c r="J702">
        <v>54.55</v>
      </c>
      <c r="K702" s="80">
        <v>9967.4500000000007</v>
      </c>
      <c r="L702">
        <f t="shared" si="100"/>
        <v>0</v>
      </c>
      <c r="M702">
        <f t="shared" si="101"/>
        <v>0</v>
      </c>
      <c r="N702">
        <f t="shared" si="102"/>
        <v>0</v>
      </c>
      <c r="O702">
        <f t="shared" si="103"/>
        <v>0</v>
      </c>
      <c r="P702">
        <f t="shared" si="104"/>
        <v>0</v>
      </c>
      <c r="Q702">
        <f t="shared" si="105"/>
        <v>0</v>
      </c>
      <c r="R702">
        <f t="shared" si="106"/>
        <v>0</v>
      </c>
      <c r="S702">
        <f t="shared" si="107"/>
        <v>0</v>
      </c>
      <c r="T702">
        <f t="shared" si="109"/>
        <v>0</v>
      </c>
      <c r="U702">
        <f t="shared" si="108"/>
        <v>0</v>
      </c>
    </row>
    <row r="703" spans="1:21" x14ac:dyDescent="0.25">
      <c r="A703" s="2">
        <v>702</v>
      </c>
      <c r="B703" s="86" t="s">
        <v>592</v>
      </c>
      <c r="C703" s="41" t="s">
        <v>183</v>
      </c>
      <c r="D703">
        <v>19.84</v>
      </c>
      <c r="E703" s="80">
        <v>38782.79</v>
      </c>
      <c r="F703">
        <v>130.12</v>
      </c>
      <c r="G703">
        <v>93.19</v>
      </c>
      <c r="H703">
        <v>8669.11</v>
      </c>
      <c r="I703" s="80">
        <v>3534.29</v>
      </c>
      <c r="J703">
        <v>60.18</v>
      </c>
      <c r="K703" s="80">
        <v>11602.46</v>
      </c>
      <c r="L703">
        <f t="shared" si="100"/>
        <v>0</v>
      </c>
      <c r="M703">
        <f t="shared" si="101"/>
        <v>0</v>
      </c>
      <c r="N703">
        <f t="shared" si="102"/>
        <v>0</v>
      </c>
      <c r="O703">
        <f t="shared" si="103"/>
        <v>0</v>
      </c>
      <c r="P703">
        <f t="shared" si="104"/>
        <v>0</v>
      </c>
      <c r="Q703">
        <f t="shared" si="105"/>
        <v>0</v>
      </c>
      <c r="R703">
        <f t="shared" si="106"/>
        <v>0</v>
      </c>
      <c r="S703">
        <f t="shared" si="107"/>
        <v>0</v>
      </c>
      <c r="T703">
        <f t="shared" si="109"/>
        <v>0</v>
      </c>
      <c r="U703">
        <f t="shared" si="108"/>
        <v>0</v>
      </c>
    </row>
    <row r="704" spans="1:21" x14ac:dyDescent="0.25">
      <c r="A704" s="2">
        <v>703</v>
      </c>
      <c r="B704" s="86" t="s">
        <v>592</v>
      </c>
      <c r="C704" s="41" t="s">
        <v>186</v>
      </c>
      <c r="D704">
        <v>26.96</v>
      </c>
      <c r="E704" s="80">
        <v>35087.11</v>
      </c>
      <c r="F704">
        <v>110.84</v>
      </c>
      <c r="G704">
        <v>81.069999999999993</v>
      </c>
      <c r="H704">
        <v>9705.81</v>
      </c>
      <c r="I704" s="80">
        <v>3206.33</v>
      </c>
      <c r="J704">
        <v>61.6</v>
      </c>
      <c r="K704" s="80">
        <v>10457.299999999999</v>
      </c>
      <c r="L704">
        <f t="shared" si="100"/>
        <v>0</v>
      </c>
      <c r="M704">
        <f t="shared" si="101"/>
        <v>0</v>
      </c>
      <c r="N704">
        <f t="shared" si="102"/>
        <v>0</v>
      </c>
      <c r="O704">
        <f t="shared" si="103"/>
        <v>0</v>
      </c>
      <c r="P704">
        <f t="shared" si="104"/>
        <v>0</v>
      </c>
      <c r="Q704">
        <f t="shared" si="105"/>
        <v>0</v>
      </c>
      <c r="R704">
        <f t="shared" si="106"/>
        <v>0</v>
      </c>
      <c r="S704">
        <f t="shared" si="107"/>
        <v>0</v>
      </c>
      <c r="T704">
        <f t="shared" si="109"/>
        <v>0</v>
      </c>
      <c r="U704">
        <f t="shared" si="108"/>
        <v>0</v>
      </c>
    </row>
    <row r="705" spans="1:21" x14ac:dyDescent="0.25">
      <c r="A705" s="2">
        <v>704</v>
      </c>
      <c r="B705" s="86" t="s">
        <v>592</v>
      </c>
      <c r="C705" s="41" t="s">
        <v>188</v>
      </c>
      <c r="D705">
        <v>24.88</v>
      </c>
      <c r="E705" s="80">
        <v>34780.660000000003</v>
      </c>
      <c r="F705">
        <v>166.88</v>
      </c>
      <c r="G705">
        <v>105.73</v>
      </c>
      <c r="H705">
        <v>10319.290000000001</v>
      </c>
      <c r="I705" s="80">
        <v>9161.65</v>
      </c>
      <c r="J705">
        <v>61.6</v>
      </c>
      <c r="K705" s="80">
        <v>10875.78</v>
      </c>
      <c r="L705">
        <f t="shared" si="100"/>
        <v>0</v>
      </c>
      <c r="M705">
        <f t="shared" si="101"/>
        <v>0</v>
      </c>
      <c r="N705">
        <f t="shared" si="102"/>
        <v>0</v>
      </c>
      <c r="O705">
        <f t="shared" si="103"/>
        <v>0</v>
      </c>
      <c r="P705">
        <f t="shared" si="104"/>
        <v>0</v>
      </c>
      <c r="Q705">
        <f t="shared" si="105"/>
        <v>0</v>
      </c>
      <c r="R705">
        <f t="shared" si="106"/>
        <v>0</v>
      </c>
      <c r="S705">
        <f t="shared" si="107"/>
        <v>0</v>
      </c>
      <c r="T705">
        <f t="shared" si="109"/>
        <v>0</v>
      </c>
      <c r="U705">
        <f t="shared" si="108"/>
        <v>0</v>
      </c>
    </row>
    <row r="706" spans="1:21" x14ac:dyDescent="0.25">
      <c r="A706" s="2">
        <v>705</v>
      </c>
      <c r="B706" s="86" t="s">
        <v>592</v>
      </c>
      <c r="C706" s="41" t="s">
        <v>182</v>
      </c>
      <c r="D706" t="s">
        <v>583</v>
      </c>
      <c r="E706">
        <v>420.73</v>
      </c>
      <c r="F706">
        <v>7.0000000000000007E-2</v>
      </c>
      <c r="G706" s="80">
        <v>4.96</v>
      </c>
      <c r="H706">
        <v>2.4300000000000002</v>
      </c>
      <c r="I706">
        <v>202.6</v>
      </c>
      <c r="J706" t="s">
        <v>583</v>
      </c>
      <c r="K706">
        <v>0.4</v>
      </c>
      <c r="L706">
        <f t="shared" ref="L706:L769" si="110">IF(D706 = "OOR &gt;", 1,0)</f>
        <v>0</v>
      </c>
      <c r="M706">
        <f t="shared" ref="M706:M769" si="111">IF(E706 = "OOR &gt;", 1,0)</f>
        <v>0</v>
      </c>
      <c r="N706">
        <f t="shared" ref="N706:N769" si="112">IF(F706 = "OOR &gt;", 1,0)</f>
        <v>0</v>
      </c>
      <c r="O706">
        <f t="shared" ref="O706:O769" si="113">IF(G706 = "OOR &gt;", 1,0)</f>
        <v>0</v>
      </c>
      <c r="P706">
        <f t="shared" ref="P706:P769" si="114">IF(H706 = "OOR &gt;", 1,0)</f>
        <v>0</v>
      </c>
      <c r="Q706">
        <f t="shared" ref="Q706:Q769" si="115">IF(I706 = "OOR &gt;", 1,0)</f>
        <v>0</v>
      </c>
      <c r="R706">
        <f t="shared" ref="R706:R769" si="116">IF(J706 = "OOR &gt;", 1,0)</f>
        <v>0</v>
      </c>
      <c r="S706">
        <f t="shared" ref="S706:S769" si="117">IF(K706 = "OOR &gt;", 1,0)</f>
        <v>0</v>
      </c>
      <c r="T706">
        <f t="shared" si="109"/>
        <v>0</v>
      </c>
      <c r="U706">
        <f t="shared" ref="U706:U769" si="118">IF(T706 &gt; 0,1,0)</f>
        <v>0</v>
      </c>
    </row>
    <row r="707" spans="1:21" x14ac:dyDescent="0.25">
      <c r="A707" s="2">
        <v>706</v>
      </c>
      <c r="B707" s="86" t="s">
        <v>592</v>
      </c>
      <c r="C707" s="41" t="s">
        <v>184</v>
      </c>
      <c r="D707">
        <v>61.56</v>
      </c>
      <c r="E707">
        <v>4304.68</v>
      </c>
      <c r="F707">
        <v>84.53</v>
      </c>
      <c r="G707">
        <v>58.21</v>
      </c>
      <c r="H707">
        <v>9933.0300000000007</v>
      </c>
      <c r="I707" s="80">
        <v>17086.080000000002</v>
      </c>
      <c r="J707">
        <v>28.26</v>
      </c>
      <c r="K707">
        <v>1340.8</v>
      </c>
      <c r="L707">
        <f t="shared" si="110"/>
        <v>0</v>
      </c>
      <c r="M707">
        <f t="shared" si="111"/>
        <v>0</v>
      </c>
      <c r="N707">
        <f t="shared" si="112"/>
        <v>0</v>
      </c>
      <c r="O707">
        <f t="shared" si="113"/>
        <v>0</v>
      </c>
      <c r="P707">
        <f t="shared" si="114"/>
        <v>0</v>
      </c>
      <c r="Q707">
        <f t="shared" si="115"/>
        <v>0</v>
      </c>
      <c r="R707">
        <f t="shared" si="116"/>
        <v>0</v>
      </c>
      <c r="S707">
        <f t="shared" si="117"/>
        <v>0</v>
      </c>
      <c r="T707">
        <f t="shared" ref="T707:T770" si="119">SUMIF(L707:S707,"&gt;0")</f>
        <v>0</v>
      </c>
      <c r="U707">
        <f t="shared" si="118"/>
        <v>0</v>
      </c>
    </row>
    <row r="708" spans="1:21" x14ac:dyDescent="0.25">
      <c r="A708" s="2">
        <v>707</v>
      </c>
      <c r="B708" s="86" t="s">
        <v>592</v>
      </c>
      <c r="C708" s="41" t="s">
        <v>187</v>
      </c>
      <c r="D708">
        <v>286.74</v>
      </c>
      <c r="E708">
        <v>4003.52</v>
      </c>
      <c r="F708">
        <v>99.21</v>
      </c>
      <c r="G708">
        <v>81.069999999999993</v>
      </c>
      <c r="H708" s="80">
        <v>22051.51</v>
      </c>
      <c r="I708" s="80">
        <v>14586.53</v>
      </c>
      <c r="J708">
        <v>50.4</v>
      </c>
      <c r="K708">
        <v>4262.5200000000004</v>
      </c>
      <c r="L708">
        <f t="shared" si="110"/>
        <v>0</v>
      </c>
      <c r="M708">
        <f t="shared" si="111"/>
        <v>0</v>
      </c>
      <c r="N708">
        <f t="shared" si="112"/>
        <v>0</v>
      </c>
      <c r="O708">
        <f t="shared" si="113"/>
        <v>0</v>
      </c>
      <c r="P708">
        <f t="shared" si="114"/>
        <v>0</v>
      </c>
      <c r="Q708">
        <f t="shared" si="115"/>
        <v>0</v>
      </c>
      <c r="R708">
        <f t="shared" si="116"/>
        <v>0</v>
      </c>
      <c r="S708">
        <f t="shared" si="117"/>
        <v>0</v>
      </c>
      <c r="T708">
        <f t="shared" si="119"/>
        <v>0</v>
      </c>
      <c r="U708">
        <f t="shared" si="118"/>
        <v>0</v>
      </c>
    </row>
    <row r="709" spans="1:21" x14ac:dyDescent="0.25">
      <c r="A709" s="2">
        <v>708</v>
      </c>
      <c r="B709" s="86" t="s">
        <v>592</v>
      </c>
      <c r="C709" s="41" t="s">
        <v>189</v>
      </c>
      <c r="D709">
        <v>165.28</v>
      </c>
      <c r="E709">
        <v>3126.83</v>
      </c>
      <c r="F709">
        <v>1.1200000000000001</v>
      </c>
      <c r="G709">
        <v>99.41</v>
      </c>
      <c r="H709">
        <v>10556.11</v>
      </c>
      <c r="I709" s="80">
        <v>4607.3</v>
      </c>
      <c r="J709">
        <v>30.73</v>
      </c>
      <c r="K709">
        <v>4073.35</v>
      </c>
      <c r="L709">
        <f t="shared" si="110"/>
        <v>0</v>
      </c>
      <c r="M709">
        <f t="shared" si="111"/>
        <v>0</v>
      </c>
      <c r="N709">
        <f t="shared" si="112"/>
        <v>0</v>
      </c>
      <c r="O709">
        <f t="shared" si="113"/>
        <v>0</v>
      </c>
      <c r="P709">
        <f t="shared" si="114"/>
        <v>0</v>
      </c>
      <c r="Q709">
        <f t="shared" si="115"/>
        <v>0</v>
      </c>
      <c r="R709">
        <f t="shared" si="116"/>
        <v>0</v>
      </c>
      <c r="S709">
        <f t="shared" si="117"/>
        <v>0</v>
      </c>
      <c r="T709">
        <f t="shared" si="119"/>
        <v>0</v>
      </c>
      <c r="U709">
        <f t="shared" si="118"/>
        <v>0</v>
      </c>
    </row>
    <row r="710" spans="1:21" x14ac:dyDescent="0.25">
      <c r="A710" s="2">
        <v>709</v>
      </c>
      <c r="B710" s="39">
        <v>2023</v>
      </c>
      <c r="C710" s="41" t="s">
        <v>162</v>
      </c>
      <c r="D710">
        <v>8</v>
      </c>
      <c r="E710">
        <v>20417.48</v>
      </c>
      <c r="F710">
        <v>0.7</v>
      </c>
      <c r="G710">
        <v>105.73</v>
      </c>
      <c r="H710">
        <v>1.03</v>
      </c>
      <c r="I710">
        <v>1.05</v>
      </c>
      <c r="J710">
        <v>12.3</v>
      </c>
      <c r="K710">
        <v>2.25</v>
      </c>
      <c r="L710">
        <f t="shared" si="110"/>
        <v>0</v>
      </c>
      <c r="M710">
        <f t="shared" si="111"/>
        <v>0</v>
      </c>
      <c r="N710">
        <f t="shared" si="112"/>
        <v>0</v>
      </c>
      <c r="O710">
        <f t="shared" si="113"/>
        <v>0</v>
      </c>
      <c r="P710">
        <f t="shared" si="114"/>
        <v>0</v>
      </c>
      <c r="Q710">
        <f t="shared" si="115"/>
        <v>0</v>
      </c>
      <c r="R710">
        <f t="shared" si="116"/>
        <v>0</v>
      </c>
      <c r="S710">
        <f t="shared" si="117"/>
        <v>0</v>
      </c>
      <c r="T710">
        <f t="shared" si="119"/>
        <v>0</v>
      </c>
      <c r="U710">
        <f t="shared" si="118"/>
        <v>0</v>
      </c>
    </row>
    <row r="711" spans="1:21" x14ac:dyDescent="0.25">
      <c r="A711" s="2">
        <v>710</v>
      </c>
      <c r="B711" s="39">
        <v>2023</v>
      </c>
      <c r="C711" s="41" t="s">
        <v>170</v>
      </c>
      <c r="D711">
        <v>31.22</v>
      </c>
      <c r="E711" s="80">
        <v>40560.42</v>
      </c>
      <c r="F711">
        <v>708.15</v>
      </c>
      <c r="G711">
        <v>211.03</v>
      </c>
      <c r="H711">
        <v>1322.55</v>
      </c>
      <c r="I711" s="80">
        <v>12255.39</v>
      </c>
      <c r="J711">
        <v>25.83</v>
      </c>
      <c r="K711">
        <v>684.19</v>
      </c>
      <c r="L711">
        <f t="shared" si="110"/>
        <v>0</v>
      </c>
      <c r="M711">
        <f t="shared" si="111"/>
        <v>0</v>
      </c>
      <c r="N711">
        <f t="shared" si="112"/>
        <v>0</v>
      </c>
      <c r="O711">
        <f t="shared" si="113"/>
        <v>0</v>
      </c>
      <c r="P711">
        <f t="shared" si="114"/>
        <v>0</v>
      </c>
      <c r="Q711">
        <f t="shared" si="115"/>
        <v>0</v>
      </c>
      <c r="R711">
        <f t="shared" si="116"/>
        <v>0</v>
      </c>
      <c r="S711">
        <f t="shared" si="117"/>
        <v>0</v>
      </c>
      <c r="T711">
        <f t="shared" si="119"/>
        <v>0</v>
      </c>
      <c r="U711">
        <f t="shared" si="118"/>
        <v>0</v>
      </c>
    </row>
    <row r="712" spans="1:21" x14ac:dyDescent="0.25">
      <c r="A712" s="2">
        <v>711</v>
      </c>
      <c r="B712" s="39">
        <v>2023</v>
      </c>
      <c r="C712" s="41" t="s">
        <v>178</v>
      </c>
      <c r="D712">
        <v>106.55</v>
      </c>
      <c r="E712" s="80">
        <v>49269.86</v>
      </c>
      <c r="F712">
        <v>2731.75</v>
      </c>
      <c r="G712">
        <v>226.37</v>
      </c>
      <c r="H712">
        <v>9439.7199999999993</v>
      </c>
      <c r="I712" s="80">
        <v>21488.97</v>
      </c>
      <c r="J712">
        <v>51.78</v>
      </c>
      <c r="K712">
        <v>2642.73</v>
      </c>
      <c r="L712">
        <f t="shared" si="110"/>
        <v>0</v>
      </c>
      <c r="M712">
        <f t="shared" si="111"/>
        <v>0</v>
      </c>
      <c r="N712">
        <f t="shared" si="112"/>
        <v>0</v>
      </c>
      <c r="O712">
        <f t="shared" si="113"/>
        <v>0</v>
      </c>
      <c r="P712">
        <f t="shared" si="114"/>
        <v>0</v>
      </c>
      <c r="Q712">
        <f t="shared" si="115"/>
        <v>0</v>
      </c>
      <c r="R712">
        <f t="shared" si="116"/>
        <v>0</v>
      </c>
      <c r="S712">
        <f t="shared" si="117"/>
        <v>0</v>
      </c>
      <c r="T712">
        <f t="shared" si="119"/>
        <v>0</v>
      </c>
      <c r="U712">
        <f t="shared" si="118"/>
        <v>0</v>
      </c>
    </row>
    <row r="713" spans="1:21" x14ac:dyDescent="0.25">
      <c r="A713" s="2">
        <v>712</v>
      </c>
      <c r="B713" s="39">
        <v>2023</v>
      </c>
      <c r="C713" s="41" t="s">
        <v>163</v>
      </c>
      <c r="D713">
        <v>130.83000000000001</v>
      </c>
      <c r="E713" s="80">
        <v>49269.86</v>
      </c>
      <c r="F713">
        <v>215.49</v>
      </c>
      <c r="G713">
        <v>203.46</v>
      </c>
      <c r="H713">
        <v>1975.33</v>
      </c>
      <c r="I713" s="80">
        <v>7111.96</v>
      </c>
      <c r="J713">
        <v>49.03</v>
      </c>
      <c r="K713">
        <v>5974.77</v>
      </c>
      <c r="L713">
        <f t="shared" si="110"/>
        <v>0</v>
      </c>
      <c r="M713">
        <f t="shared" si="111"/>
        <v>0</v>
      </c>
      <c r="N713">
        <f t="shared" si="112"/>
        <v>0</v>
      </c>
      <c r="O713">
        <f t="shared" si="113"/>
        <v>0</v>
      </c>
      <c r="P713">
        <f t="shared" si="114"/>
        <v>0</v>
      </c>
      <c r="Q713">
        <f t="shared" si="115"/>
        <v>0</v>
      </c>
      <c r="R713">
        <f t="shared" si="116"/>
        <v>0</v>
      </c>
      <c r="S713">
        <f t="shared" si="117"/>
        <v>0</v>
      </c>
      <c r="T713">
        <f t="shared" si="119"/>
        <v>0</v>
      </c>
      <c r="U713">
        <f t="shared" si="118"/>
        <v>0</v>
      </c>
    </row>
    <row r="714" spans="1:21" x14ac:dyDescent="0.25">
      <c r="A714" s="2">
        <v>713</v>
      </c>
      <c r="B714" s="39">
        <v>2023</v>
      </c>
      <c r="C714" s="41" t="s">
        <v>181</v>
      </c>
      <c r="D714">
        <v>16.93</v>
      </c>
      <c r="E714" s="80">
        <v>52295.54</v>
      </c>
      <c r="F714">
        <v>0.56999999999999995</v>
      </c>
      <c r="G714">
        <v>69.400000000000006</v>
      </c>
      <c r="H714">
        <v>5.51</v>
      </c>
      <c r="I714">
        <v>14.98</v>
      </c>
      <c r="J714">
        <v>18.829999999999998</v>
      </c>
      <c r="K714">
        <v>9.57</v>
      </c>
      <c r="L714">
        <f t="shared" si="110"/>
        <v>0</v>
      </c>
      <c r="M714">
        <f t="shared" si="111"/>
        <v>0</v>
      </c>
      <c r="N714">
        <f t="shared" si="112"/>
        <v>0</v>
      </c>
      <c r="O714">
        <f t="shared" si="113"/>
        <v>0</v>
      </c>
      <c r="P714">
        <f t="shared" si="114"/>
        <v>0</v>
      </c>
      <c r="Q714">
        <f t="shared" si="115"/>
        <v>0</v>
      </c>
      <c r="R714">
        <f t="shared" si="116"/>
        <v>0</v>
      </c>
      <c r="S714">
        <f t="shared" si="117"/>
        <v>0</v>
      </c>
      <c r="T714">
        <f t="shared" si="119"/>
        <v>0</v>
      </c>
      <c r="U714">
        <f t="shared" si="118"/>
        <v>0</v>
      </c>
    </row>
    <row r="715" spans="1:21" x14ac:dyDescent="0.25">
      <c r="A715" s="2">
        <v>714</v>
      </c>
      <c r="B715" s="39">
        <v>2023</v>
      </c>
      <c r="C715" s="41" t="s">
        <v>183</v>
      </c>
      <c r="D715">
        <v>29.08</v>
      </c>
      <c r="E715" s="80">
        <v>26717.82</v>
      </c>
      <c r="F715">
        <v>665.13</v>
      </c>
      <c r="G715">
        <v>188.54</v>
      </c>
      <c r="H715">
        <v>10382.15</v>
      </c>
      <c r="I715" s="80">
        <v>24510.44</v>
      </c>
      <c r="J715">
        <v>68.819999999999993</v>
      </c>
      <c r="K715">
        <v>6792.72</v>
      </c>
      <c r="L715">
        <f t="shared" si="110"/>
        <v>0</v>
      </c>
      <c r="M715">
        <f t="shared" si="111"/>
        <v>0</v>
      </c>
      <c r="N715">
        <f t="shared" si="112"/>
        <v>0</v>
      </c>
      <c r="O715">
        <f t="shared" si="113"/>
        <v>0</v>
      </c>
      <c r="P715">
        <f t="shared" si="114"/>
        <v>0</v>
      </c>
      <c r="Q715">
        <f t="shared" si="115"/>
        <v>0</v>
      </c>
      <c r="R715">
        <f t="shared" si="116"/>
        <v>0</v>
      </c>
      <c r="S715">
        <f t="shared" si="117"/>
        <v>0</v>
      </c>
      <c r="T715">
        <f t="shared" si="119"/>
        <v>0</v>
      </c>
      <c r="U715">
        <f t="shared" si="118"/>
        <v>0</v>
      </c>
    </row>
    <row r="716" spans="1:21" x14ac:dyDescent="0.25">
      <c r="A716" s="2">
        <v>715</v>
      </c>
      <c r="B716" s="39">
        <v>2023</v>
      </c>
      <c r="C716" s="41" t="s">
        <v>186</v>
      </c>
      <c r="D716">
        <v>33.4</v>
      </c>
      <c r="E716">
        <v>18953.82</v>
      </c>
      <c r="F716">
        <v>1111.8</v>
      </c>
      <c r="G716">
        <v>152.57</v>
      </c>
      <c r="H716">
        <v>20012.16</v>
      </c>
      <c r="I716" s="80">
        <v>28893.19</v>
      </c>
      <c r="J716">
        <v>77.680000000000007</v>
      </c>
      <c r="K716" s="80">
        <v>10182.23</v>
      </c>
      <c r="L716">
        <f t="shared" si="110"/>
        <v>0</v>
      </c>
      <c r="M716">
        <f t="shared" si="111"/>
        <v>0</v>
      </c>
      <c r="N716">
        <f t="shared" si="112"/>
        <v>0</v>
      </c>
      <c r="O716">
        <f t="shared" si="113"/>
        <v>0</v>
      </c>
      <c r="P716">
        <f t="shared" si="114"/>
        <v>0</v>
      </c>
      <c r="Q716">
        <f t="shared" si="115"/>
        <v>0</v>
      </c>
      <c r="R716">
        <f t="shared" si="116"/>
        <v>0</v>
      </c>
      <c r="S716">
        <f t="shared" si="117"/>
        <v>0</v>
      </c>
      <c r="T716">
        <f t="shared" si="119"/>
        <v>0</v>
      </c>
      <c r="U716">
        <f t="shared" si="118"/>
        <v>0</v>
      </c>
    </row>
    <row r="717" spans="1:21" x14ac:dyDescent="0.25">
      <c r="A717" s="2">
        <v>716</v>
      </c>
      <c r="B717" s="39">
        <v>2023</v>
      </c>
      <c r="C717" s="41" t="s">
        <v>188</v>
      </c>
      <c r="D717">
        <v>33.4</v>
      </c>
      <c r="E717" s="80">
        <v>76040.240000000005</v>
      </c>
      <c r="F717">
        <v>66.430000000000007</v>
      </c>
      <c r="G717">
        <v>152.57</v>
      </c>
      <c r="H717">
        <v>701.56</v>
      </c>
      <c r="I717" s="80">
        <v>7155.71</v>
      </c>
      <c r="J717">
        <v>51.78</v>
      </c>
      <c r="K717">
        <v>5236.57</v>
      </c>
      <c r="L717">
        <f t="shared" si="110"/>
        <v>0</v>
      </c>
      <c r="M717">
        <f t="shared" si="111"/>
        <v>0</v>
      </c>
      <c r="N717">
        <f t="shared" si="112"/>
        <v>0</v>
      </c>
      <c r="O717">
        <f t="shared" si="113"/>
        <v>0</v>
      </c>
      <c r="P717">
        <f t="shared" si="114"/>
        <v>0</v>
      </c>
      <c r="Q717">
        <f t="shared" si="115"/>
        <v>0</v>
      </c>
      <c r="R717">
        <f t="shared" si="116"/>
        <v>0</v>
      </c>
      <c r="S717">
        <f t="shared" si="117"/>
        <v>0</v>
      </c>
      <c r="T717">
        <f t="shared" si="119"/>
        <v>0</v>
      </c>
      <c r="U717">
        <f t="shared" si="118"/>
        <v>0</v>
      </c>
    </row>
    <row r="718" spans="1:21" x14ac:dyDescent="0.25">
      <c r="A718" s="2">
        <v>717</v>
      </c>
      <c r="B718" s="39">
        <v>2023</v>
      </c>
      <c r="C718" s="41" t="s">
        <v>182</v>
      </c>
      <c r="D718">
        <v>4.87</v>
      </c>
      <c r="E718">
        <v>2255.12</v>
      </c>
      <c r="F718">
        <v>2.61</v>
      </c>
      <c r="G718">
        <v>42.42</v>
      </c>
      <c r="H718">
        <v>54.49</v>
      </c>
      <c r="I718">
        <v>2210.75</v>
      </c>
      <c r="J718">
        <v>4.63</v>
      </c>
      <c r="K718">
        <v>14.34</v>
      </c>
      <c r="L718">
        <f t="shared" si="110"/>
        <v>0</v>
      </c>
      <c r="M718">
        <f t="shared" si="111"/>
        <v>0</v>
      </c>
      <c r="N718">
        <f t="shared" si="112"/>
        <v>0</v>
      </c>
      <c r="O718">
        <f t="shared" si="113"/>
        <v>0</v>
      </c>
      <c r="P718">
        <f t="shared" si="114"/>
        <v>0</v>
      </c>
      <c r="Q718">
        <f t="shared" si="115"/>
        <v>0</v>
      </c>
      <c r="R718">
        <f t="shared" si="116"/>
        <v>0</v>
      </c>
      <c r="S718">
        <f t="shared" si="117"/>
        <v>0</v>
      </c>
      <c r="T718">
        <f t="shared" si="119"/>
        <v>0</v>
      </c>
      <c r="U718">
        <f t="shared" si="118"/>
        <v>0</v>
      </c>
    </row>
    <row r="719" spans="1:21" x14ac:dyDescent="0.25">
      <c r="A719" s="2">
        <v>718</v>
      </c>
      <c r="B719" s="39">
        <v>2023</v>
      </c>
      <c r="C719" s="41" t="s">
        <v>184</v>
      </c>
      <c r="D719">
        <v>135.22</v>
      </c>
      <c r="E719">
        <v>9099.33</v>
      </c>
      <c r="F719">
        <v>161.06</v>
      </c>
      <c r="G719">
        <v>81.069999999999993</v>
      </c>
      <c r="H719">
        <v>6878.44</v>
      </c>
      <c r="I719" s="80">
        <v>21481.75</v>
      </c>
      <c r="J719">
        <v>30.73</v>
      </c>
      <c r="K719">
        <v>1339.35</v>
      </c>
      <c r="L719">
        <f t="shared" si="110"/>
        <v>0</v>
      </c>
      <c r="M719">
        <f t="shared" si="111"/>
        <v>0</v>
      </c>
      <c r="N719">
        <f t="shared" si="112"/>
        <v>0</v>
      </c>
      <c r="O719">
        <f t="shared" si="113"/>
        <v>0</v>
      </c>
      <c r="P719">
        <f t="shared" si="114"/>
        <v>0</v>
      </c>
      <c r="Q719">
        <f t="shared" si="115"/>
        <v>0</v>
      </c>
      <c r="R719">
        <f t="shared" si="116"/>
        <v>0</v>
      </c>
      <c r="S719">
        <f t="shared" si="117"/>
        <v>0</v>
      </c>
      <c r="T719">
        <f t="shared" si="119"/>
        <v>0</v>
      </c>
      <c r="U719">
        <f t="shared" si="118"/>
        <v>0</v>
      </c>
    </row>
    <row r="720" spans="1:21" x14ac:dyDescent="0.25">
      <c r="A720" s="2">
        <v>719</v>
      </c>
      <c r="B720" s="39">
        <v>2023</v>
      </c>
      <c r="C720" s="41" t="s">
        <v>187</v>
      </c>
      <c r="D720">
        <v>681.97</v>
      </c>
      <c r="E720">
        <v>10613.1</v>
      </c>
      <c r="F720">
        <v>333.23</v>
      </c>
      <c r="G720">
        <v>131.97</v>
      </c>
      <c r="H720">
        <v>15767.37</v>
      </c>
      <c r="I720" s="80">
        <v>21554.05</v>
      </c>
      <c r="J720">
        <v>51.78</v>
      </c>
      <c r="K720">
        <v>5321.18</v>
      </c>
      <c r="L720">
        <f t="shared" si="110"/>
        <v>0</v>
      </c>
      <c r="M720">
        <f t="shared" si="111"/>
        <v>0</v>
      </c>
      <c r="N720">
        <f t="shared" si="112"/>
        <v>0</v>
      </c>
      <c r="O720">
        <f t="shared" si="113"/>
        <v>0</v>
      </c>
      <c r="P720">
        <f t="shared" si="114"/>
        <v>0</v>
      </c>
      <c r="Q720">
        <f t="shared" si="115"/>
        <v>0</v>
      </c>
      <c r="R720">
        <f t="shared" si="116"/>
        <v>0</v>
      </c>
      <c r="S720">
        <f t="shared" si="117"/>
        <v>0</v>
      </c>
      <c r="T720">
        <f t="shared" si="119"/>
        <v>0</v>
      </c>
      <c r="U720">
        <f t="shared" si="118"/>
        <v>0</v>
      </c>
    </row>
    <row r="721" spans="1:21" x14ac:dyDescent="0.25">
      <c r="A721" s="2">
        <v>720</v>
      </c>
      <c r="B721" s="39">
        <v>2023</v>
      </c>
      <c r="C721" s="41" t="s">
        <v>189</v>
      </c>
      <c r="D721">
        <v>1005.17</v>
      </c>
      <c r="E721">
        <v>7521.19</v>
      </c>
      <c r="F721">
        <v>6.62</v>
      </c>
      <c r="G721">
        <v>93.19</v>
      </c>
      <c r="H721">
        <v>6275.98</v>
      </c>
      <c r="I721" s="80">
        <v>10695.19</v>
      </c>
      <c r="J721">
        <v>42.31</v>
      </c>
      <c r="K721">
        <v>4731.78</v>
      </c>
      <c r="L721">
        <f t="shared" si="110"/>
        <v>0</v>
      </c>
      <c r="M721">
        <f t="shared" si="111"/>
        <v>0</v>
      </c>
      <c r="N721">
        <f t="shared" si="112"/>
        <v>0</v>
      </c>
      <c r="O721">
        <f t="shared" si="113"/>
        <v>0</v>
      </c>
      <c r="P721">
        <f t="shared" si="114"/>
        <v>0</v>
      </c>
      <c r="Q721">
        <f t="shared" si="115"/>
        <v>0</v>
      </c>
      <c r="R721">
        <f t="shared" si="116"/>
        <v>0</v>
      </c>
      <c r="S721">
        <f t="shared" si="117"/>
        <v>0</v>
      </c>
      <c r="T721">
        <f t="shared" si="119"/>
        <v>0</v>
      </c>
      <c r="U721">
        <f t="shared" si="118"/>
        <v>0</v>
      </c>
    </row>
    <row r="722" spans="1:21" x14ac:dyDescent="0.25">
      <c r="A722" s="2">
        <v>721</v>
      </c>
      <c r="B722" s="39">
        <v>2024</v>
      </c>
      <c r="C722" s="41" t="s">
        <v>162</v>
      </c>
      <c r="D722">
        <v>9.68</v>
      </c>
      <c r="E722">
        <v>22495.64</v>
      </c>
      <c r="F722">
        <v>1.01</v>
      </c>
      <c r="G722">
        <v>125.27</v>
      </c>
      <c r="H722">
        <v>1.85</v>
      </c>
      <c r="I722">
        <v>2.65</v>
      </c>
      <c r="J722">
        <v>12.3</v>
      </c>
      <c r="K722">
        <v>2.35</v>
      </c>
      <c r="L722">
        <f t="shared" si="110"/>
        <v>0</v>
      </c>
      <c r="M722">
        <f t="shared" si="111"/>
        <v>0</v>
      </c>
      <c r="N722">
        <f t="shared" si="112"/>
        <v>0</v>
      </c>
      <c r="O722">
        <f t="shared" si="113"/>
        <v>0</v>
      </c>
      <c r="P722">
        <f t="shared" si="114"/>
        <v>0</v>
      </c>
      <c r="Q722">
        <f t="shared" si="115"/>
        <v>0</v>
      </c>
      <c r="R722">
        <f t="shared" si="116"/>
        <v>0</v>
      </c>
      <c r="S722">
        <f t="shared" si="117"/>
        <v>0</v>
      </c>
      <c r="T722">
        <f t="shared" si="119"/>
        <v>0</v>
      </c>
      <c r="U722">
        <f t="shared" si="118"/>
        <v>0</v>
      </c>
    </row>
    <row r="723" spans="1:21" x14ac:dyDescent="0.25">
      <c r="A723" s="2">
        <v>722</v>
      </c>
      <c r="B723" s="39">
        <v>2024</v>
      </c>
      <c r="C723" s="41" t="s">
        <v>170</v>
      </c>
      <c r="D723">
        <v>86.07</v>
      </c>
      <c r="E723" s="80">
        <v>55463.42</v>
      </c>
      <c r="F723">
        <v>151.35</v>
      </c>
      <c r="G723">
        <v>159.61000000000001</v>
      </c>
      <c r="H723">
        <v>1788.35</v>
      </c>
      <c r="I723" s="80">
        <v>10652.06</v>
      </c>
      <c r="J723">
        <v>40.99</v>
      </c>
      <c r="K723">
        <v>171.9</v>
      </c>
      <c r="L723">
        <f t="shared" si="110"/>
        <v>0</v>
      </c>
      <c r="M723">
        <f t="shared" si="111"/>
        <v>0</v>
      </c>
      <c r="N723">
        <f t="shared" si="112"/>
        <v>0</v>
      </c>
      <c r="O723">
        <f t="shared" si="113"/>
        <v>0</v>
      </c>
      <c r="P723">
        <f t="shared" si="114"/>
        <v>0</v>
      </c>
      <c r="Q723">
        <f t="shared" si="115"/>
        <v>0</v>
      </c>
      <c r="R723">
        <f t="shared" si="116"/>
        <v>0</v>
      </c>
      <c r="S723">
        <f t="shared" si="117"/>
        <v>0</v>
      </c>
      <c r="T723">
        <f t="shared" si="119"/>
        <v>0</v>
      </c>
      <c r="U723">
        <f t="shared" si="118"/>
        <v>0</v>
      </c>
    </row>
    <row r="724" spans="1:21" x14ac:dyDescent="0.25">
      <c r="A724" s="2">
        <v>723</v>
      </c>
      <c r="B724" s="39">
        <v>2024</v>
      </c>
      <c r="C724" s="41" t="s">
        <v>178</v>
      </c>
      <c r="D724">
        <v>1636.86</v>
      </c>
      <c r="E724" s="80">
        <v>70502.61</v>
      </c>
      <c r="F724">
        <v>1414.9</v>
      </c>
      <c r="G724">
        <v>218.66</v>
      </c>
      <c r="H724">
        <v>16060.15</v>
      </c>
      <c r="I724" s="80">
        <v>21383.13</v>
      </c>
      <c r="J724">
        <v>55.95</v>
      </c>
      <c r="K724">
        <v>884.57</v>
      </c>
      <c r="L724">
        <f t="shared" si="110"/>
        <v>0</v>
      </c>
      <c r="M724">
        <f t="shared" si="111"/>
        <v>0</v>
      </c>
      <c r="N724">
        <f t="shared" si="112"/>
        <v>0</v>
      </c>
      <c r="O724">
        <f t="shared" si="113"/>
        <v>0</v>
      </c>
      <c r="P724">
        <f t="shared" si="114"/>
        <v>0</v>
      </c>
      <c r="Q724">
        <f t="shared" si="115"/>
        <v>0</v>
      </c>
      <c r="R724">
        <f t="shared" si="116"/>
        <v>0</v>
      </c>
      <c r="S724">
        <f t="shared" si="117"/>
        <v>0</v>
      </c>
      <c r="T724">
        <f t="shared" si="119"/>
        <v>0</v>
      </c>
      <c r="U724">
        <f t="shared" si="118"/>
        <v>0</v>
      </c>
    </row>
    <row r="725" spans="1:21" x14ac:dyDescent="0.25">
      <c r="A725" s="2">
        <v>724</v>
      </c>
      <c r="B725" s="39">
        <v>2024</v>
      </c>
      <c r="C725" s="41" t="s">
        <v>163</v>
      </c>
      <c r="D725">
        <v>117.84</v>
      </c>
      <c r="E725" s="80">
        <v>65141.760000000002</v>
      </c>
      <c r="F725">
        <v>196.21</v>
      </c>
      <c r="G725">
        <v>145.62</v>
      </c>
      <c r="H725">
        <v>2492.16</v>
      </c>
      <c r="I725" s="80">
        <v>4735.13</v>
      </c>
      <c r="J725">
        <v>49.03</v>
      </c>
      <c r="K725">
        <v>2547.77</v>
      </c>
      <c r="L725">
        <f t="shared" si="110"/>
        <v>0</v>
      </c>
      <c r="M725">
        <f t="shared" si="111"/>
        <v>0</v>
      </c>
      <c r="N725">
        <f t="shared" si="112"/>
        <v>0</v>
      </c>
      <c r="O725">
        <f t="shared" si="113"/>
        <v>0</v>
      </c>
      <c r="P725">
        <f t="shared" si="114"/>
        <v>0</v>
      </c>
      <c r="Q725">
        <f t="shared" si="115"/>
        <v>0</v>
      </c>
      <c r="R725">
        <f t="shared" si="116"/>
        <v>0</v>
      </c>
      <c r="S725">
        <f t="shared" si="117"/>
        <v>0</v>
      </c>
      <c r="T725">
        <f t="shared" si="119"/>
        <v>0</v>
      </c>
      <c r="U725">
        <f t="shared" si="118"/>
        <v>0</v>
      </c>
    </row>
    <row r="726" spans="1:21" x14ac:dyDescent="0.25">
      <c r="A726" s="2">
        <v>725</v>
      </c>
      <c r="B726" s="39">
        <v>2024</v>
      </c>
      <c r="C726" s="41" t="s">
        <v>181</v>
      </c>
      <c r="D726">
        <v>16.93</v>
      </c>
      <c r="E726" s="80">
        <v>55033.13</v>
      </c>
      <c r="F726">
        <v>0.45</v>
      </c>
      <c r="G726">
        <v>105.73</v>
      </c>
      <c r="H726">
        <v>9.8699999999999992</v>
      </c>
      <c r="I726">
        <v>8.24</v>
      </c>
      <c r="J726">
        <v>25.83</v>
      </c>
      <c r="K726">
        <v>6.5</v>
      </c>
      <c r="L726">
        <f t="shared" si="110"/>
        <v>0</v>
      </c>
      <c r="M726">
        <f t="shared" si="111"/>
        <v>0</v>
      </c>
      <c r="N726">
        <f t="shared" si="112"/>
        <v>0</v>
      </c>
      <c r="O726">
        <f t="shared" si="113"/>
        <v>0</v>
      </c>
      <c r="P726">
        <f t="shared" si="114"/>
        <v>0</v>
      </c>
      <c r="Q726">
        <f t="shared" si="115"/>
        <v>0</v>
      </c>
      <c r="R726">
        <f t="shared" si="116"/>
        <v>0</v>
      </c>
      <c r="S726">
        <f t="shared" si="117"/>
        <v>0</v>
      </c>
      <c r="T726">
        <f t="shared" si="119"/>
        <v>0</v>
      </c>
      <c r="U726">
        <f t="shared" si="118"/>
        <v>0</v>
      </c>
    </row>
    <row r="727" spans="1:21" x14ac:dyDescent="0.25">
      <c r="A727" s="2">
        <v>726</v>
      </c>
      <c r="B727" s="39">
        <v>2024</v>
      </c>
      <c r="C727" s="41" t="s">
        <v>183</v>
      </c>
      <c r="D727">
        <v>29.08</v>
      </c>
      <c r="E727" s="80">
        <v>34857.03</v>
      </c>
      <c r="F727">
        <v>735.71</v>
      </c>
      <c r="G727">
        <v>145.62</v>
      </c>
      <c r="H727">
        <v>9556.74</v>
      </c>
      <c r="I727" s="80">
        <v>26528.55</v>
      </c>
      <c r="J727">
        <v>49.03</v>
      </c>
      <c r="K727">
        <v>3651.78</v>
      </c>
      <c r="L727">
        <f t="shared" si="110"/>
        <v>0</v>
      </c>
      <c r="M727">
        <f t="shared" si="111"/>
        <v>0</v>
      </c>
      <c r="N727">
        <f t="shared" si="112"/>
        <v>0</v>
      </c>
      <c r="O727">
        <f t="shared" si="113"/>
        <v>0</v>
      </c>
      <c r="P727">
        <f t="shared" si="114"/>
        <v>0</v>
      </c>
      <c r="Q727">
        <f t="shared" si="115"/>
        <v>0</v>
      </c>
      <c r="R727">
        <f t="shared" si="116"/>
        <v>0</v>
      </c>
      <c r="S727">
        <f t="shared" si="117"/>
        <v>0</v>
      </c>
      <c r="T727">
        <f t="shared" si="119"/>
        <v>0</v>
      </c>
      <c r="U727">
        <f t="shared" si="118"/>
        <v>0</v>
      </c>
    </row>
    <row r="728" spans="1:21" x14ac:dyDescent="0.25">
      <c r="A728" s="2">
        <v>727</v>
      </c>
      <c r="B728" s="39">
        <v>2024</v>
      </c>
      <c r="C728" s="41" t="s">
        <v>186</v>
      </c>
      <c r="D728">
        <v>40.1</v>
      </c>
      <c r="E728" s="80">
        <v>25917.49</v>
      </c>
      <c r="F728">
        <v>1230.3599999999999</v>
      </c>
      <c r="G728">
        <v>188.54</v>
      </c>
      <c r="H728" s="80">
        <v>33124.620000000003</v>
      </c>
      <c r="I728" s="80">
        <v>29522.67</v>
      </c>
      <c r="J728">
        <v>80.680000000000007</v>
      </c>
      <c r="K728">
        <v>6672.3</v>
      </c>
      <c r="L728">
        <f t="shared" si="110"/>
        <v>0</v>
      </c>
      <c r="M728">
        <f t="shared" si="111"/>
        <v>0</v>
      </c>
      <c r="N728">
        <f t="shared" si="112"/>
        <v>0</v>
      </c>
      <c r="O728">
        <f t="shared" si="113"/>
        <v>0</v>
      </c>
      <c r="P728">
        <f t="shared" si="114"/>
        <v>0</v>
      </c>
      <c r="Q728">
        <f t="shared" si="115"/>
        <v>0</v>
      </c>
      <c r="R728">
        <f t="shared" si="116"/>
        <v>0</v>
      </c>
      <c r="S728">
        <f t="shared" si="117"/>
        <v>0</v>
      </c>
      <c r="T728">
        <f t="shared" si="119"/>
        <v>0</v>
      </c>
      <c r="U728">
        <f t="shared" si="118"/>
        <v>0</v>
      </c>
    </row>
    <row r="729" spans="1:21" x14ac:dyDescent="0.25">
      <c r="A729" s="2">
        <v>728</v>
      </c>
      <c r="B729" s="39">
        <v>2024</v>
      </c>
      <c r="C729" s="41" t="s">
        <v>188</v>
      </c>
      <c r="D729">
        <v>44.7</v>
      </c>
      <c r="E729" s="80">
        <v>182691.86</v>
      </c>
      <c r="F729">
        <v>49.63</v>
      </c>
      <c r="G729">
        <v>188.54</v>
      </c>
      <c r="H729">
        <v>425.45</v>
      </c>
      <c r="I729" s="80">
        <v>5304.93</v>
      </c>
      <c r="J729">
        <v>61.6</v>
      </c>
      <c r="K729">
        <v>4744.38</v>
      </c>
      <c r="L729">
        <f t="shared" si="110"/>
        <v>0</v>
      </c>
      <c r="M729">
        <f t="shared" si="111"/>
        <v>0</v>
      </c>
      <c r="N729">
        <f t="shared" si="112"/>
        <v>0</v>
      </c>
      <c r="O729">
        <f t="shared" si="113"/>
        <v>0</v>
      </c>
      <c r="P729">
        <f t="shared" si="114"/>
        <v>0</v>
      </c>
      <c r="Q729">
        <f t="shared" si="115"/>
        <v>0</v>
      </c>
      <c r="R729">
        <f t="shared" si="116"/>
        <v>0</v>
      </c>
      <c r="S729">
        <f t="shared" si="117"/>
        <v>0</v>
      </c>
      <c r="T729">
        <f t="shared" si="119"/>
        <v>0</v>
      </c>
      <c r="U729">
        <f t="shared" si="118"/>
        <v>0</v>
      </c>
    </row>
    <row r="730" spans="1:21" x14ac:dyDescent="0.25">
      <c r="A730" s="2">
        <v>729</v>
      </c>
      <c r="B730" s="39">
        <v>2024</v>
      </c>
      <c r="C730" s="41" t="s">
        <v>182</v>
      </c>
      <c r="D730">
        <v>4.87</v>
      </c>
      <c r="E730">
        <v>2539.9299999999998</v>
      </c>
      <c r="F730">
        <v>3.42</v>
      </c>
      <c r="G730">
        <v>23.57</v>
      </c>
      <c r="H730">
        <v>90.13</v>
      </c>
      <c r="I730" s="80">
        <v>4166.58</v>
      </c>
      <c r="J730">
        <v>6.4</v>
      </c>
      <c r="K730">
        <v>69.790000000000006</v>
      </c>
      <c r="L730">
        <f t="shared" si="110"/>
        <v>0</v>
      </c>
      <c r="M730">
        <f t="shared" si="111"/>
        <v>0</v>
      </c>
      <c r="N730">
        <f t="shared" si="112"/>
        <v>0</v>
      </c>
      <c r="O730">
        <f t="shared" si="113"/>
        <v>0</v>
      </c>
      <c r="P730">
        <f t="shared" si="114"/>
        <v>0</v>
      </c>
      <c r="Q730">
        <f t="shared" si="115"/>
        <v>0</v>
      </c>
      <c r="R730">
        <f t="shared" si="116"/>
        <v>0</v>
      </c>
      <c r="S730">
        <f t="shared" si="117"/>
        <v>0</v>
      </c>
      <c r="T730">
        <f t="shared" si="119"/>
        <v>0</v>
      </c>
      <c r="U730">
        <f t="shared" si="118"/>
        <v>0</v>
      </c>
    </row>
    <row r="731" spans="1:21" x14ac:dyDescent="0.25">
      <c r="A731" s="2">
        <v>730</v>
      </c>
      <c r="B731" s="39">
        <v>2024</v>
      </c>
      <c r="C731" s="41" t="s">
        <v>184</v>
      </c>
      <c r="D731">
        <v>439.01</v>
      </c>
      <c r="E731">
        <v>8441.9500000000007</v>
      </c>
      <c r="F731">
        <v>49.7</v>
      </c>
      <c r="G731">
        <v>138.75</v>
      </c>
      <c r="H731" s="80">
        <v>22336.77</v>
      </c>
      <c r="I731" s="80">
        <v>22129.4</v>
      </c>
      <c r="J731">
        <v>35.79</v>
      </c>
      <c r="K731">
        <v>1026.6600000000001</v>
      </c>
      <c r="L731">
        <f t="shared" si="110"/>
        <v>0</v>
      </c>
      <c r="M731">
        <f t="shared" si="111"/>
        <v>0</v>
      </c>
      <c r="N731">
        <f t="shared" si="112"/>
        <v>0</v>
      </c>
      <c r="O731">
        <f t="shared" si="113"/>
        <v>0</v>
      </c>
      <c r="P731">
        <f t="shared" si="114"/>
        <v>0</v>
      </c>
      <c r="Q731">
        <f t="shared" si="115"/>
        <v>0</v>
      </c>
      <c r="R731">
        <f t="shared" si="116"/>
        <v>0</v>
      </c>
      <c r="S731">
        <f t="shared" si="117"/>
        <v>0</v>
      </c>
      <c r="T731">
        <f t="shared" si="119"/>
        <v>0</v>
      </c>
      <c r="U731">
        <f t="shared" si="118"/>
        <v>0</v>
      </c>
    </row>
    <row r="732" spans="1:21" x14ac:dyDescent="0.25">
      <c r="A732" s="2">
        <v>731</v>
      </c>
      <c r="B732" s="39">
        <v>2024</v>
      </c>
      <c r="C732" s="41" t="s">
        <v>187</v>
      </c>
      <c r="D732">
        <v>705.76</v>
      </c>
      <c r="E732">
        <v>6364.21</v>
      </c>
      <c r="F732">
        <v>103.76</v>
      </c>
      <c r="G732">
        <v>145.62</v>
      </c>
      <c r="H732" s="80">
        <v>21387.71</v>
      </c>
      <c r="I732" s="80">
        <v>15811.63</v>
      </c>
      <c r="J732">
        <v>37.07</v>
      </c>
      <c r="K732">
        <v>2424.4299999999998</v>
      </c>
      <c r="L732">
        <f t="shared" si="110"/>
        <v>0</v>
      </c>
      <c r="M732">
        <f t="shared" si="111"/>
        <v>0</v>
      </c>
      <c r="N732">
        <f t="shared" si="112"/>
        <v>0</v>
      </c>
      <c r="O732">
        <f t="shared" si="113"/>
        <v>0</v>
      </c>
      <c r="P732">
        <f t="shared" si="114"/>
        <v>0</v>
      </c>
      <c r="Q732">
        <f t="shared" si="115"/>
        <v>0</v>
      </c>
      <c r="R732">
        <f t="shared" si="116"/>
        <v>0</v>
      </c>
      <c r="S732">
        <f t="shared" si="117"/>
        <v>0</v>
      </c>
      <c r="T732">
        <f t="shared" si="119"/>
        <v>0</v>
      </c>
      <c r="U732">
        <f t="shared" si="118"/>
        <v>0</v>
      </c>
    </row>
    <row r="733" spans="1:21" x14ac:dyDescent="0.25">
      <c r="A733" s="2">
        <v>732</v>
      </c>
      <c r="B733" s="39">
        <v>2024</v>
      </c>
      <c r="C733" s="41" t="s">
        <v>189</v>
      </c>
      <c r="D733">
        <v>1771.98</v>
      </c>
      <c r="E733">
        <v>7106.21</v>
      </c>
      <c r="F733">
        <v>8.24</v>
      </c>
      <c r="G733">
        <v>105.73</v>
      </c>
      <c r="H733">
        <v>12629.62</v>
      </c>
      <c r="I733" s="80">
        <v>12517.02</v>
      </c>
      <c r="J733">
        <v>46.32</v>
      </c>
      <c r="K733">
        <v>4347.6000000000004</v>
      </c>
      <c r="L733">
        <f t="shared" si="110"/>
        <v>0</v>
      </c>
      <c r="M733">
        <f t="shared" si="111"/>
        <v>0</v>
      </c>
      <c r="N733">
        <f t="shared" si="112"/>
        <v>0</v>
      </c>
      <c r="O733">
        <f t="shared" si="113"/>
        <v>0</v>
      </c>
      <c r="P733">
        <f t="shared" si="114"/>
        <v>0</v>
      </c>
      <c r="Q733">
        <f t="shared" si="115"/>
        <v>0</v>
      </c>
      <c r="R733">
        <f t="shared" si="116"/>
        <v>0</v>
      </c>
      <c r="S733">
        <f t="shared" si="117"/>
        <v>0</v>
      </c>
      <c r="T733">
        <f t="shared" si="119"/>
        <v>0</v>
      </c>
      <c r="U733">
        <f t="shared" si="118"/>
        <v>0</v>
      </c>
    </row>
    <row r="734" spans="1:21" x14ac:dyDescent="0.25">
      <c r="A734" s="2">
        <v>733</v>
      </c>
      <c r="B734" s="39">
        <v>2025</v>
      </c>
      <c r="C734" s="41" t="s">
        <v>162</v>
      </c>
      <c r="D734">
        <v>2.75</v>
      </c>
      <c r="E734">
        <v>5305.76</v>
      </c>
      <c r="F734">
        <v>0.28000000000000003</v>
      </c>
      <c r="G734">
        <v>37.450000000000003</v>
      </c>
      <c r="H734" s="80">
        <v>7.0000000000000007E-2</v>
      </c>
      <c r="I734">
        <v>0.23</v>
      </c>
      <c r="J734">
        <v>4.63</v>
      </c>
      <c r="K734">
        <v>0.81</v>
      </c>
      <c r="L734">
        <f t="shared" si="110"/>
        <v>0</v>
      </c>
      <c r="M734">
        <f t="shared" si="111"/>
        <v>0</v>
      </c>
      <c r="N734">
        <f t="shared" si="112"/>
        <v>0</v>
      </c>
      <c r="O734">
        <f t="shared" si="113"/>
        <v>0</v>
      </c>
      <c r="P734">
        <f t="shared" si="114"/>
        <v>0</v>
      </c>
      <c r="Q734">
        <f t="shared" si="115"/>
        <v>0</v>
      </c>
      <c r="R734">
        <f t="shared" si="116"/>
        <v>0</v>
      </c>
      <c r="S734">
        <f t="shared" si="117"/>
        <v>0</v>
      </c>
      <c r="T734">
        <f t="shared" si="119"/>
        <v>0</v>
      </c>
      <c r="U734">
        <f t="shared" si="118"/>
        <v>0</v>
      </c>
    </row>
    <row r="735" spans="1:21" x14ac:dyDescent="0.25">
      <c r="A735" s="2">
        <v>734</v>
      </c>
      <c r="B735" s="39">
        <v>2025</v>
      </c>
      <c r="C735" s="41" t="s">
        <v>170</v>
      </c>
      <c r="D735">
        <v>15.04</v>
      </c>
      <c r="E735">
        <v>24280.67</v>
      </c>
      <c r="F735">
        <v>85.47</v>
      </c>
      <c r="G735">
        <v>118.66</v>
      </c>
      <c r="H735">
        <v>418.95</v>
      </c>
      <c r="I735" s="80">
        <v>4470.5</v>
      </c>
      <c r="J735">
        <v>18.829999999999998</v>
      </c>
      <c r="K735">
        <v>255.98</v>
      </c>
      <c r="L735">
        <f t="shared" si="110"/>
        <v>0</v>
      </c>
      <c r="M735">
        <f t="shared" si="111"/>
        <v>0</v>
      </c>
      <c r="N735">
        <f t="shared" si="112"/>
        <v>0</v>
      </c>
      <c r="O735">
        <f t="shared" si="113"/>
        <v>0</v>
      </c>
      <c r="P735">
        <f t="shared" si="114"/>
        <v>0</v>
      </c>
      <c r="Q735">
        <f t="shared" si="115"/>
        <v>0</v>
      </c>
      <c r="R735">
        <f t="shared" si="116"/>
        <v>0</v>
      </c>
      <c r="S735">
        <f t="shared" si="117"/>
        <v>0</v>
      </c>
      <c r="T735">
        <f t="shared" si="119"/>
        <v>0</v>
      </c>
      <c r="U735">
        <f t="shared" si="118"/>
        <v>0</v>
      </c>
    </row>
    <row r="736" spans="1:21" x14ac:dyDescent="0.25">
      <c r="A736" s="2">
        <v>735</v>
      </c>
      <c r="B736" s="39">
        <v>2025</v>
      </c>
      <c r="C736" s="41" t="s">
        <v>178</v>
      </c>
      <c r="D736">
        <v>51.79</v>
      </c>
      <c r="E736" s="80">
        <v>26747.87</v>
      </c>
      <c r="F736">
        <v>931.41</v>
      </c>
      <c r="G736">
        <v>195.96</v>
      </c>
      <c r="H736">
        <v>5493.77</v>
      </c>
      <c r="I736" s="80">
        <v>17215.599999999999</v>
      </c>
      <c r="J736">
        <v>38.369999999999997</v>
      </c>
      <c r="K736">
        <v>1685.13</v>
      </c>
      <c r="L736">
        <f t="shared" si="110"/>
        <v>0</v>
      </c>
      <c r="M736">
        <f t="shared" si="111"/>
        <v>0</v>
      </c>
      <c r="N736">
        <f t="shared" si="112"/>
        <v>0</v>
      </c>
      <c r="O736">
        <f t="shared" si="113"/>
        <v>0</v>
      </c>
      <c r="P736">
        <f t="shared" si="114"/>
        <v>0</v>
      </c>
      <c r="Q736">
        <f t="shared" si="115"/>
        <v>0</v>
      </c>
      <c r="R736">
        <f t="shared" si="116"/>
        <v>0</v>
      </c>
      <c r="S736">
        <f t="shared" si="117"/>
        <v>0</v>
      </c>
      <c r="T736">
        <f t="shared" si="119"/>
        <v>0</v>
      </c>
      <c r="U736">
        <f t="shared" si="118"/>
        <v>0</v>
      </c>
    </row>
    <row r="737" spans="1:21" x14ac:dyDescent="0.25">
      <c r="A737" s="2">
        <v>736</v>
      </c>
      <c r="B737" s="39">
        <v>2025</v>
      </c>
      <c r="C737" s="41" t="s">
        <v>163</v>
      </c>
      <c r="D737">
        <v>237.37</v>
      </c>
      <c r="E737" s="80">
        <v>32940.1</v>
      </c>
      <c r="F737">
        <v>130.47</v>
      </c>
      <c r="G737">
        <v>203.46</v>
      </c>
      <c r="H737">
        <v>1763.04</v>
      </c>
      <c r="I737" s="80">
        <v>3670.88</v>
      </c>
      <c r="J737">
        <v>49.03</v>
      </c>
      <c r="K737">
        <v>7623.68</v>
      </c>
      <c r="L737">
        <f t="shared" si="110"/>
        <v>0</v>
      </c>
      <c r="M737">
        <f t="shared" si="111"/>
        <v>0</v>
      </c>
      <c r="N737">
        <f t="shared" si="112"/>
        <v>0</v>
      </c>
      <c r="O737">
        <f t="shared" si="113"/>
        <v>0</v>
      </c>
      <c r="P737">
        <f t="shared" si="114"/>
        <v>0</v>
      </c>
      <c r="Q737">
        <f t="shared" si="115"/>
        <v>0</v>
      </c>
      <c r="R737">
        <f t="shared" si="116"/>
        <v>0</v>
      </c>
      <c r="S737">
        <f t="shared" si="117"/>
        <v>0</v>
      </c>
      <c r="T737">
        <f t="shared" si="119"/>
        <v>0</v>
      </c>
      <c r="U737">
        <f t="shared" si="118"/>
        <v>0</v>
      </c>
    </row>
    <row r="738" spans="1:21" x14ac:dyDescent="0.25">
      <c r="A738" s="2">
        <v>737</v>
      </c>
      <c r="B738" s="2">
        <v>2025</v>
      </c>
      <c r="C738" s="2" t="s">
        <v>181</v>
      </c>
      <c r="D738">
        <v>6.4</v>
      </c>
      <c r="E738" s="80">
        <v>28036.57</v>
      </c>
      <c r="F738">
        <v>0.32</v>
      </c>
      <c r="G738">
        <v>58.21</v>
      </c>
      <c r="H738">
        <v>35.99</v>
      </c>
      <c r="I738">
        <v>5.71</v>
      </c>
      <c r="J738">
        <v>21.11</v>
      </c>
      <c r="K738">
        <v>12.04</v>
      </c>
      <c r="L738">
        <f t="shared" si="110"/>
        <v>0</v>
      </c>
      <c r="M738">
        <f t="shared" si="111"/>
        <v>0</v>
      </c>
      <c r="N738">
        <f t="shared" si="112"/>
        <v>0</v>
      </c>
      <c r="O738">
        <f t="shared" si="113"/>
        <v>0</v>
      </c>
      <c r="P738">
        <f t="shared" si="114"/>
        <v>0</v>
      </c>
      <c r="Q738">
        <f t="shared" si="115"/>
        <v>0</v>
      </c>
      <c r="R738">
        <f t="shared" si="116"/>
        <v>0</v>
      </c>
      <c r="S738">
        <f t="shared" si="117"/>
        <v>0</v>
      </c>
      <c r="T738">
        <f t="shared" si="119"/>
        <v>0</v>
      </c>
      <c r="U738">
        <f t="shared" si="118"/>
        <v>0</v>
      </c>
    </row>
    <row r="739" spans="1:21" x14ac:dyDescent="0.25">
      <c r="A739" s="2">
        <v>738</v>
      </c>
      <c r="B739" s="2">
        <v>2025</v>
      </c>
      <c r="C739" s="2" t="s">
        <v>183</v>
      </c>
      <c r="D739">
        <v>20.83</v>
      </c>
      <c r="E739">
        <v>24197.71</v>
      </c>
      <c r="F739">
        <v>299.29000000000002</v>
      </c>
      <c r="G739">
        <v>118.66</v>
      </c>
      <c r="H739">
        <v>2207.08</v>
      </c>
      <c r="I739" s="80">
        <v>14618.51</v>
      </c>
      <c r="J739">
        <v>38.369999999999997</v>
      </c>
      <c r="K739">
        <v>3103.74</v>
      </c>
      <c r="L739">
        <f t="shared" si="110"/>
        <v>0</v>
      </c>
      <c r="M739">
        <f t="shared" si="111"/>
        <v>0</v>
      </c>
      <c r="N739">
        <f t="shared" si="112"/>
        <v>0</v>
      </c>
      <c r="O739">
        <f t="shared" si="113"/>
        <v>0</v>
      </c>
      <c r="P739">
        <f t="shared" si="114"/>
        <v>0</v>
      </c>
      <c r="Q739">
        <f t="shared" si="115"/>
        <v>0</v>
      </c>
      <c r="R739">
        <f t="shared" si="116"/>
        <v>0</v>
      </c>
      <c r="S739">
        <f t="shared" si="117"/>
        <v>0</v>
      </c>
      <c r="T739">
        <f t="shared" si="119"/>
        <v>0</v>
      </c>
      <c r="U739">
        <f t="shared" si="118"/>
        <v>0</v>
      </c>
    </row>
    <row r="740" spans="1:21" x14ac:dyDescent="0.25">
      <c r="A740" s="2">
        <v>739</v>
      </c>
      <c r="B740" s="2">
        <v>2025</v>
      </c>
      <c r="C740" s="2" t="s">
        <v>186</v>
      </c>
      <c r="D740">
        <v>29.08</v>
      </c>
      <c r="E740">
        <v>16870.990000000002</v>
      </c>
      <c r="F740">
        <v>815.47</v>
      </c>
      <c r="G740">
        <v>131.97</v>
      </c>
      <c r="H740">
        <v>10833.75</v>
      </c>
      <c r="I740" s="80">
        <v>21927.06</v>
      </c>
      <c r="J740">
        <v>50.4</v>
      </c>
      <c r="K740">
        <v>7016.87</v>
      </c>
      <c r="L740">
        <f t="shared" si="110"/>
        <v>0</v>
      </c>
      <c r="M740">
        <f t="shared" si="111"/>
        <v>0</v>
      </c>
      <c r="N740">
        <f t="shared" si="112"/>
        <v>0</v>
      </c>
      <c r="O740">
        <f t="shared" si="113"/>
        <v>0</v>
      </c>
      <c r="P740">
        <f t="shared" si="114"/>
        <v>0</v>
      </c>
      <c r="Q740">
        <f t="shared" si="115"/>
        <v>0</v>
      </c>
      <c r="R740">
        <f t="shared" si="116"/>
        <v>0</v>
      </c>
      <c r="S740">
        <f t="shared" si="117"/>
        <v>0</v>
      </c>
      <c r="T740">
        <f t="shared" si="119"/>
        <v>0</v>
      </c>
      <c r="U740">
        <f t="shared" si="118"/>
        <v>0</v>
      </c>
    </row>
    <row r="741" spans="1:21" ht="15.75" thickBot="1" x14ac:dyDescent="0.3">
      <c r="A741" s="2">
        <v>740</v>
      </c>
      <c r="B741" s="2">
        <v>2025</v>
      </c>
      <c r="C741" s="2" t="s">
        <v>188</v>
      </c>
      <c r="D741">
        <v>29.08</v>
      </c>
      <c r="E741" s="80">
        <v>58517.25</v>
      </c>
      <c r="F741">
        <v>79.81</v>
      </c>
      <c r="G741">
        <v>166.73</v>
      </c>
      <c r="H741">
        <v>809.04</v>
      </c>
      <c r="I741" s="80">
        <v>3663.38</v>
      </c>
      <c r="J741">
        <v>63.03</v>
      </c>
      <c r="K741" s="80">
        <v>9982.86</v>
      </c>
      <c r="L741">
        <f t="shared" si="110"/>
        <v>0</v>
      </c>
      <c r="M741">
        <f t="shared" si="111"/>
        <v>0</v>
      </c>
      <c r="N741">
        <f t="shared" si="112"/>
        <v>0</v>
      </c>
      <c r="O741">
        <f t="shared" si="113"/>
        <v>0</v>
      </c>
      <c r="P741">
        <f t="shared" si="114"/>
        <v>0</v>
      </c>
      <c r="Q741">
        <f t="shared" si="115"/>
        <v>0</v>
      </c>
      <c r="R741">
        <f t="shared" si="116"/>
        <v>0</v>
      </c>
      <c r="S741">
        <f t="shared" si="117"/>
        <v>0</v>
      </c>
      <c r="T741">
        <f t="shared" si="119"/>
        <v>0</v>
      </c>
      <c r="U741">
        <f t="shared" si="118"/>
        <v>0</v>
      </c>
    </row>
    <row r="742" spans="1:21" x14ac:dyDescent="0.25">
      <c r="A742" s="2">
        <v>741</v>
      </c>
      <c r="B742" s="39">
        <v>2025</v>
      </c>
      <c r="C742" s="40" t="s">
        <v>182</v>
      </c>
      <c r="D742" t="s">
        <v>583</v>
      </c>
      <c r="E742">
        <v>603.6</v>
      </c>
      <c r="F742">
        <v>0.2</v>
      </c>
      <c r="G742">
        <v>19.329999999999998</v>
      </c>
      <c r="H742">
        <v>0.52</v>
      </c>
      <c r="I742">
        <v>0.61</v>
      </c>
      <c r="J742" s="80">
        <v>1.49</v>
      </c>
      <c r="K742">
        <v>0.34</v>
      </c>
      <c r="L742">
        <f t="shared" si="110"/>
        <v>0</v>
      </c>
      <c r="M742">
        <f t="shared" si="111"/>
        <v>0</v>
      </c>
      <c r="N742">
        <f t="shared" si="112"/>
        <v>0</v>
      </c>
      <c r="O742">
        <f t="shared" si="113"/>
        <v>0</v>
      </c>
      <c r="P742">
        <f t="shared" si="114"/>
        <v>0</v>
      </c>
      <c r="Q742">
        <f t="shared" si="115"/>
        <v>0</v>
      </c>
      <c r="R742">
        <f t="shared" si="116"/>
        <v>0</v>
      </c>
      <c r="S742">
        <f t="shared" si="117"/>
        <v>0</v>
      </c>
      <c r="T742">
        <f t="shared" si="119"/>
        <v>0</v>
      </c>
      <c r="U742">
        <f t="shared" si="118"/>
        <v>0</v>
      </c>
    </row>
    <row r="743" spans="1:21" x14ac:dyDescent="0.25">
      <c r="A743" s="2">
        <v>742</v>
      </c>
      <c r="B743" s="39">
        <v>2025</v>
      </c>
      <c r="C743" s="41" t="s">
        <v>184</v>
      </c>
      <c r="D743">
        <v>92.79</v>
      </c>
      <c r="E743">
        <v>10428.89</v>
      </c>
      <c r="F743">
        <v>312.55</v>
      </c>
      <c r="G743">
        <v>118.66</v>
      </c>
      <c r="H743">
        <v>5590.82</v>
      </c>
      <c r="I743" s="80">
        <v>19297.09</v>
      </c>
      <c r="J743">
        <v>35.79</v>
      </c>
      <c r="K743">
        <v>2057.1999999999998</v>
      </c>
      <c r="L743">
        <f t="shared" si="110"/>
        <v>0</v>
      </c>
      <c r="M743">
        <f t="shared" si="111"/>
        <v>0</v>
      </c>
      <c r="N743">
        <f t="shared" si="112"/>
        <v>0</v>
      </c>
      <c r="O743">
        <f t="shared" si="113"/>
        <v>0</v>
      </c>
      <c r="P743">
        <f t="shared" si="114"/>
        <v>0</v>
      </c>
      <c r="Q743">
        <f t="shared" si="115"/>
        <v>0</v>
      </c>
      <c r="R743">
        <f t="shared" si="116"/>
        <v>0</v>
      </c>
      <c r="S743">
        <f t="shared" si="117"/>
        <v>0</v>
      </c>
      <c r="T743">
        <f t="shared" si="119"/>
        <v>0</v>
      </c>
      <c r="U743">
        <f t="shared" si="118"/>
        <v>0</v>
      </c>
    </row>
    <row r="744" spans="1:21" x14ac:dyDescent="0.25">
      <c r="A744" s="2">
        <v>743</v>
      </c>
      <c r="B744" s="39">
        <v>2025</v>
      </c>
      <c r="C744" s="41" t="s">
        <v>187</v>
      </c>
      <c r="D744">
        <v>1053.4000000000001</v>
      </c>
      <c r="E744">
        <v>13049.05</v>
      </c>
      <c r="F744">
        <v>397.53</v>
      </c>
      <c r="G744">
        <v>131.97</v>
      </c>
      <c r="H744">
        <v>9767.75</v>
      </c>
      <c r="I744" s="80">
        <v>19335.96</v>
      </c>
      <c r="J744">
        <v>51.78</v>
      </c>
      <c r="K744">
        <v>7399.75</v>
      </c>
      <c r="L744">
        <f t="shared" si="110"/>
        <v>0</v>
      </c>
      <c r="M744">
        <f t="shared" si="111"/>
        <v>0</v>
      </c>
      <c r="N744">
        <f t="shared" si="112"/>
        <v>0</v>
      </c>
      <c r="O744">
        <f t="shared" si="113"/>
        <v>0</v>
      </c>
      <c r="P744">
        <f t="shared" si="114"/>
        <v>0</v>
      </c>
      <c r="Q744">
        <f t="shared" si="115"/>
        <v>0</v>
      </c>
      <c r="R744">
        <f t="shared" si="116"/>
        <v>0</v>
      </c>
      <c r="S744">
        <f t="shared" si="117"/>
        <v>0</v>
      </c>
      <c r="T744">
        <f t="shared" si="119"/>
        <v>0</v>
      </c>
      <c r="U744">
        <f t="shared" si="118"/>
        <v>0</v>
      </c>
    </row>
    <row r="745" spans="1:21" x14ac:dyDescent="0.25">
      <c r="A745" s="2">
        <v>744</v>
      </c>
      <c r="B745" s="39">
        <v>2025</v>
      </c>
      <c r="C745" s="41" t="s">
        <v>189</v>
      </c>
      <c r="D745">
        <v>1634.08</v>
      </c>
      <c r="E745">
        <v>8819.24</v>
      </c>
      <c r="F745">
        <v>4.41</v>
      </c>
      <c r="G745">
        <v>105.73</v>
      </c>
      <c r="H745">
        <v>7363.81</v>
      </c>
      <c r="I745" s="80">
        <v>7058.33</v>
      </c>
      <c r="J745">
        <v>46.32</v>
      </c>
      <c r="K745">
        <v>7281.33</v>
      </c>
      <c r="L745">
        <f t="shared" si="110"/>
        <v>0</v>
      </c>
      <c r="M745">
        <f t="shared" si="111"/>
        <v>0</v>
      </c>
      <c r="N745">
        <f t="shared" si="112"/>
        <v>0</v>
      </c>
      <c r="O745">
        <f t="shared" si="113"/>
        <v>0</v>
      </c>
      <c r="P745">
        <f t="shared" si="114"/>
        <v>0</v>
      </c>
      <c r="Q745">
        <f t="shared" si="115"/>
        <v>0</v>
      </c>
      <c r="R745">
        <f t="shared" si="116"/>
        <v>0</v>
      </c>
      <c r="S745">
        <f t="shared" si="117"/>
        <v>0</v>
      </c>
      <c r="T745">
        <f t="shared" si="119"/>
        <v>0</v>
      </c>
      <c r="U745">
        <f t="shared" si="118"/>
        <v>0</v>
      </c>
    </row>
    <row r="746" spans="1:21" x14ac:dyDescent="0.25">
      <c r="A746" s="2">
        <v>745</v>
      </c>
      <c r="B746" s="39">
        <v>2026</v>
      </c>
      <c r="C746" s="41" t="s">
        <v>162</v>
      </c>
      <c r="D746">
        <v>11.41</v>
      </c>
      <c r="E746">
        <v>17409.82</v>
      </c>
      <c r="F746">
        <v>0.45</v>
      </c>
      <c r="G746">
        <v>69.400000000000006</v>
      </c>
      <c r="H746">
        <v>1.03</v>
      </c>
      <c r="I746">
        <v>2.0699999999999998</v>
      </c>
      <c r="J746">
        <v>14.41</v>
      </c>
      <c r="K746">
        <v>1.79</v>
      </c>
      <c r="L746">
        <f t="shared" si="110"/>
        <v>0</v>
      </c>
      <c r="M746">
        <f t="shared" si="111"/>
        <v>0</v>
      </c>
      <c r="N746">
        <f t="shared" si="112"/>
        <v>0</v>
      </c>
      <c r="O746">
        <f t="shared" si="113"/>
        <v>0</v>
      </c>
      <c r="P746">
        <f t="shared" si="114"/>
        <v>0</v>
      </c>
      <c r="Q746">
        <f t="shared" si="115"/>
        <v>0</v>
      </c>
      <c r="R746">
        <f t="shared" si="116"/>
        <v>0</v>
      </c>
      <c r="S746">
        <f t="shared" si="117"/>
        <v>0</v>
      </c>
      <c r="T746">
        <f t="shared" si="119"/>
        <v>0</v>
      </c>
      <c r="U746">
        <f t="shared" si="118"/>
        <v>0</v>
      </c>
    </row>
    <row r="747" spans="1:21" x14ac:dyDescent="0.25">
      <c r="A747" s="2">
        <v>746</v>
      </c>
      <c r="B747" s="2">
        <v>2026</v>
      </c>
      <c r="C747" s="2" t="s">
        <v>170</v>
      </c>
      <c r="D747">
        <v>25.92</v>
      </c>
      <c r="E747" s="80">
        <v>33876.49</v>
      </c>
      <c r="F747">
        <v>87.58</v>
      </c>
      <c r="G747">
        <v>173.92</v>
      </c>
      <c r="H747">
        <v>1372.09</v>
      </c>
      <c r="I747" s="80">
        <v>17454.259999999998</v>
      </c>
      <c r="J747">
        <v>35.79</v>
      </c>
      <c r="K747">
        <v>770.88</v>
      </c>
      <c r="L747">
        <f t="shared" si="110"/>
        <v>0</v>
      </c>
      <c r="M747">
        <f t="shared" si="111"/>
        <v>0</v>
      </c>
      <c r="N747">
        <f t="shared" si="112"/>
        <v>0</v>
      </c>
      <c r="O747">
        <f t="shared" si="113"/>
        <v>0</v>
      </c>
      <c r="P747">
        <f t="shared" si="114"/>
        <v>0</v>
      </c>
      <c r="Q747">
        <f t="shared" si="115"/>
        <v>0</v>
      </c>
      <c r="R747">
        <f t="shared" si="116"/>
        <v>0</v>
      </c>
      <c r="S747">
        <f t="shared" si="117"/>
        <v>0</v>
      </c>
      <c r="T747">
        <f t="shared" si="119"/>
        <v>0</v>
      </c>
      <c r="U747">
        <f t="shared" si="118"/>
        <v>0</v>
      </c>
    </row>
    <row r="748" spans="1:21" x14ac:dyDescent="0.25">
      <c r="A748" s="2">
        <v>747</v>
      </c>
      <c r="B748" s="2">
        <v>2026</v>
      </c>
      <c r="C748" s="2" t="s">
        <v>178</v>
      </c>
      <c r="D748">
        <v>56.63</v>
      </c>
      <c r="E748" s="80">
        <v>39144.839999999997</v>
      </c>
      <c r="F748">
        <v>676.78</v>
      </c>
      <c r="G748">
        <v>131.97</v>
      </c>
      <c r="H748">
        <v>11486.43</v>
      </c>
      <c r="I748" s="80">
        <v>24008.1</v>
      </c>
      <c r="J748">
        <v>49.03</v>
      </c>
      <c r="K748">
        <v>1715.4</v>
      </c>
      <c r="L748">
        <f t="shared" si="110"/>
        <v>0</v>
      </c>
      <c r="M748">
        <f t="shared" si="111"/>
        <v>0</v>
      </c>
      <c r="N748">
        <f t="shared" si="112"/>
        <v>0</v>
      </c>
      <c r="O748">
        <f t="shared" si="113"/>
        <v>0</v>
      </c>
      <c r="P748">
        <f t="shared" si="114"/>
        <v>0</v>
      </c>
      <c r="Q748">
        <f t="shared" si="115"/>
        <v>0</v>
      </c>
      <c r="R748">
        <f t="shared" si="116"/>
        <v>0</v>
      </c>
      <c r="S748">
        <f t="shared" si="117"/>
        <v>0</v>
      </c>
      <c r="T748">
        <f t="shared" si="119"/>
        <v>0</v>
      </c>
      <c r="U748">
        <f t="shared" si="118"/>
        <v>0</v>
      </c>
    </row>
    <row r="749" spans="1:21" x14ac:dyDescent="0.25">
      <c r="A749" s="2">
        <v>748</v>
      </c>
      <c r="B749" s="2">
        <v>2026</v>
      </c>
      <c r="C749" s="2" t="s">
        <v>163</v>
      </c>
      <c r="D749">
        <v>174.55</v>
      </c>
      <c r="E749" s="80">
        <v>45974.83</v>
      </c>
      <c r="F749">
        <v>70.2</v>
      </c>
      <c r="G749">
        <v>203.46</v>
      </c>
      <c r="H749">
        <v>4519.84</v>
      </c>
      <c r="I749" s="80">
        <v>12218.62</v>
      </c>
      <c r="J749">
        <v>65.91</v>
      </c>
      <c r="K749">
        <v>7710.66</v>
      </c>
      <c r="L749">
        <f t="shared" si="110"/>
        <v>0</v>
      </c>
      <c r="M749">
        <f t="shared" si="111"/>
        <v>0</v>
      </c>
      <c r="N749">
        <f t="shared" si="112"/>
        <v>0</v>
      </c>
      <c r="O749">
        <f t="shared" si="113"/>
        <v>0</v>
      </c>
      <c r="P749">
        <f t="shared" si="114"/>
        <v>0</v>
      </c>
      <c r="Q749">
        <f t="shared" si="115"/>
        <v>0</v>
      </c>
      <c r="R749">
        <f t="shared" si="116"/>
        <v>0</v>
      </c>
      <c r="S749">
        <f t="shared" si="117"/>
        <v>0</v>
      </c>
      <c r="T749">
        <f t="shared" si="119"/>
        <v>0</v>
      </c>
      <c r="U749">
        <f t="shared" si="118"/>
        <v>0</v>
      </c>
    </row>
    <row r="750" spans="1:21" x14ac:dyDescent="0.25">
      <c r="A750" s="2">
        <v>749</v>
      </c>
      <c r="B750" s="2">
        <v>2026</v>
      </c>
      <c r="C750" s="2" t="s">
        <v>181</v>
      </c>
      <c r="D750">
        <v>16.93</v>
      </c>
      <c r="E750" s="80">
        <v>48757.34</v>
      </c>
      <c r="F750">
        <v>0.8</v>
      </c>
      <c r="G750">
        <v>118.66</v>
      </c>
      <c r="H750">
        <v>113.99</v>
      </c>
      <c r="I750">
        <v>167.74</v>
      </c>
      <c r="J750">
        <v>21.11</v>
      </c>
      <c r="K750">
        <v>37.14</v>
      </c>
      <c r="L750">
        <f t="shared" si="110"/>
        <v>0</v>
      </c>
      <c r="M750">
        <f t="shared" si="111"/>
        <v>0</v>
      </c>
      <c r="N750">
        <f t="shared" si="112"/>
        <v>0</v>
      </c>
      <c r="O750">
        <f t="shared" si="113"/>
        <v>0</v>
      </c>
      <c r="P750">
        <f t="shared" si="114"/>
        <v>0</v>
      </c>
      <c r="Q750">
        <f t="shared" si="115"/>
        <v>0</v>
      </c>
      <c r="R750">
        <f t="shared" si="116"/>
        <v>0</v>
      </c>
      <c r="S750">
        <f t="shared" si="117"/>
        <v>0</v>
      </c>
      <c r="T750">
        <f t="shared" si="119"/>
        <v>0</v>
      </c>
      <c r="U750">
        <f t="shared" si="118"/>
        <v>0</v>
      </c>
    </row>
    <row r="751" spans="1:21" x14ac:dyDescent="0.25">
      <c r="A751" s="2">
        <v>750</v>
      </c>
      <c r="B751" s="39">
        <v>2026</v>
      </c>
      <c r="C751" s="41" t="s">
        <v>183</v>
      </c>
      <c r="D751">
        <v>35.6</v>
      </c>
      <c r="E751" s="80">
        <v>26717.82</v>
      </c>
      <c r="F751">
        <v>391.05</v>
      </c>
      <c r="G751">
        <v>173.92</v>
      </c>
      <c r="H751">
        <v>15632.87</v>
      </c>
      <c r="I751" s="80">
        <v>29525.49</v>
      </c>
      <c r="J751">
        <v>74.7</v>
      </c>
      <c r="K751">
        <v>7274.46</v>
      </c>
      <c r="L751">
        <f t="shared" si="110"/>
        <v>0</v>
      </c>
      <c r="M751">
        <f t="shared" si="111"/>
        <v>0</v>
      </c>
      <c r="N751">
        <f t="shared" si="112"/>
        <v>0</v>
      </c>
      <c r="O751">
        <f t="shared" si="113"/>
        <v>0</v>
      </c>
      <c r="P751">
        <f t="shared" si="114"/>
        <v>0</v>
      </c>
      <c r="Q751">
        <f t="shared" si="115"/>
        <v>0</v>
      </c>
      <c r="R751">
        <f t="shared" si="116"/>
        <v>0</v>
      </c>
      <c r="S751">
        <f t="shared" si="117"/>
        <v>0</v>
      </c>
      <c r="T751">
        <f t="shared" si="119"/>
        <v>0</v>
      </c>
      <c r="U751">
        <f t="shared" si="118"/>
        <v>0</v>
      </c>
    </row>
    <row r="752" spans="1:21" x14ac:dyDescent="0.25">
      <c r="A752" s="2">
        <v>751</v>
      </c>
      <c r="B752" s="39">
        <v>2026</v>
      </c>
      <c r="C752" s="41" t="s">
        <v>186</v>
      </c>
      <c r="D752">
        <v>18.86</v>
      </c>
      <c r="E752">
        <v>8448.73</v>
      </c>
      <c r="F752">
        <v>279.13</v>
      </c>
      <c r="G752">
        <v>159.61000000000001</v>
      </c>
      <c r="H752" s="80">
        <v>22266.28</v>
      </c>
      <c r="I752" s="80">
        <v>27106.21</v>
      </c>
      <c r="J752">
        <v>51.78</v>
      </c>
      <c r="K752">
        <v>7199.08</v>
      </c>
      <c r="L752">
        <f t="shared" si="110"/>
        <v>0</v>
      </c>
      <c r="M752">
        <f t="shared" si="111"/>
        <v>0</v>
      </c>
      <c r="N752">
        <f t="shared" si="112"/>
        <v>0</v>
      </c>
      <c r="O752">
        <f t="shared" si="113"/>
        <v>0</v>
      </c>
      <c r="P752">
        <f t="shared" si="114"/>
        <v>0</v>
      </c>
      <c r="Q752">
        <f t="shared" si="115"/>
        <v>0</v>
      </c>
      <c r="R752">
        <f t="shared" si="116"/>
        <v>0</v>
      </c>
      <c r="S752">
        <f t="shared" si="117"/>
        <v>0</v>
      </c>
      <c r="T752">
        <f t="shared" si="119"/>
        <v>0</v>
      </c>
      <c r="U752">
        <f t="shared" si="118"/>
        <v>0</v>
      </c>
    </row>
    <row r="753" spans="1:21" x14ac:dyDescent="0.25">
      <c r="A753" s="2">
        <v>752</v>
      </c>
      <c r="B753" s="39">
        <v>2026</v>
      </c>
      <c r="C753" s="46" t="s">
        <v>188</v>
      </c>
      <c r="D753">
        <v>20.83</v>
      </c>
      <c r="E753" s="80">
        <v>39748.480000000003</v>
      </c>
      <c r="F753">
        <v>36.49</v>
      </c>
      <c r="G753">
        <v>93.19</v>
      </c>
      <c r="H753">
        <v>2177.14</v>
      </c>
      <c r="I753" s="80">
        <v>14396.36</v>
      </c>
      <c r="J753">
        <v>54.55</v>
      </c>
      <c r="K753">
        <v>7956.42</v>
      </c>
      <c r="L753">
        <f t="shared" si="110"/>
        <v>0</v>
      </c>
      <c r="M753">
        <f t="shared" si="111"/>
        <v>0</v>
      </c>
      <c r="N753">
        <f t="shared" si="112"/>
        <v>0</v>
      </c>
      <c r="O753">
        <f t="shared" si="113"/>
        <v>0</v>
      </c>
      <c r="P753">
        <f t="shared" si="114"/>
        <v>0</v>
      </c>
      <c r="Q753">
        <f t="shared" si="115"/>
        <v>0</v>
      </c>
      <c r="R753">
        <f t="shared" si="116"/>
        <v>0</v>
      </c>
      <c r="S753">
        <f t="shared" si="117"/>
        <v>0</v>
      </c>
      <c r="T753">
        <f t="shared" si="119"/>
        <v>0</v>
      </c>
      <c r="U753">
        <f t="shared" si="118"/>
        <v>0</v>
      </c>
    </row>
    <row r="754" spans="1:21" x14ac:dyDescent="0.25">
      <c r="A754" s="2">
        <v>753</v>
      </c>
      <c r="B754" s="39">
        <v>2026</v>
      </c>
      <c r="C754" s="41" t="s">
        <v>182</v>
      </c>
      <c r="D754" s="80">
        <v>0.04</v>
      </c>
      <c r="E754">
        <v>1674.4</v>
      </c>
      <c r="F754" t="s">
        <v>583</v>
      </c>
      <c r="G754">
        <v>19.329999999999998</v>
      </c>
      <c r="H754" s="80">
        <v>7.0000000000000007E-2</v>
      </c>
      <c r="I754">
        <v>0.61</v>
      </c>
      <c r="J754">
        <v>4.63</v>
      </c>
      <c r="K754">
        <v>0.4</v>
      </c>
      <c r="L754">
        <f t="shared" si="110"/>
        <v>0</v>
      </c>
      <c r="M754">
        <f t="shared" si="111"/>
        <v>0</v>
      </c>
      <c r="N754">
        <f t="shared" si="112"/>
        <v>0</v>
      </c>
      <c r="O754">
        <f t="shared" si="113"/>
        <v>0</v>
      </c>
      <c r="P754">
        <f t="shared" si="114"/>
        <v>0</v>
      </c>
      <c r="Q754">
        <f t="shared" si="115"/>
        <v>0</v>
      </c>
      <c r="R754">
        <f t="shared" si="116"/>
        <v>0</v>
      </c>
      <c r="S754">
        <f t="shared" si="117"/>
        <v>0</v>
      </c>
      <c r="T754">
        <f t="shared" si="119"/>
        <v>0</v>
      </c>
      <c r="U754">
        <f t="shared" si="118"/>
        <v>0</v>
      </c>
    </row>
    <row r="755" spans="1:21" x14ac:dyDescent="0.25">
      <c r="A755" s="2">
        <v>754</v>
      </c>
      <c r="B755" s="39">
        <v>2026</v>
      </c>
      <c r="C755" s="41" t="s">
        <v>184</v>
      </c>
      <c r="D755">
        <v>25.92</v>
      </c>
      <c r="E755">
        <v>5403.26</v>
      </c>
      <c r="F755">
        <v>27.81</v>
      </c>
      <c r="G755">
        <v>69.400000000000006</v>
      </c>
      <c r="H755">
        <v>6699.21</v>
      </c>
      <c r="I755" s="80">
        <v>20658.849999999999</v>
      </c>
      <c r="J755">
        <v>28.26</v>
      </c>
      <c r="K755">
        <v>2324.4</v>
      </c>
      <c r="L755">
        <f t="shared" si="110"/>
        <v>0</v>
      </c>
      <c r="M755">
        <f t="shared" si="111"/>
        <v>0</v>
      </c>
      <c r="N755">
        <f t="shared" si="112"/>
        <v>0</v>
      </c>
      <c r="O755">
        <f t="shared" si="113"/>
        <v>0</v>
      </c>
      <c r="P755">
        <f t="shared" si="114"/>
        <v>0</v>
      </c>
      <c r="Q755">
        <f t="shared" si="115"/>
        <v>0</v>
      </c>
      <c r="R755">
        <f t="shared" si="116"/>
        <v>0</v>
      </c>
      <c r="S755">
        <f t="shared" si="117"/>
        <v>0</v>
      </c>
      <c r="T755">
        <f t="shared" si="119"/>
        <v>0</v>
      </c>
      <c r="U755">
        <f t="shared" si="118"/>
        <v>0</v>
      </c>
    </row>
    <row r="756" spans="1:21" x14ac:dyDescent="0.25">
      <c r="A756" s="2">
        <v>755</v>
      </c>
      <c r="B756" s="2">
        <v>2026</v>
      </c>
      <c r="C756" s="2" t="s">
        <v>187</v>
      </c>
      <c r="D756">
        <v>65.319999999999993</v>
      </c>
      <c r="E756">
        <v>6927.63</v>
      </c>
      <c r="F756">
        <v>67.02</v>
      </c>
      <c r="G756">
        <v>145.62</v>
      </c>
      <c r="H756" s="80">
        <v>16724.939999999999</v>
      </c>
      <c r="I756" s="80">
        <v>17064.54</v>
      </c>
      <c r="J756">
        <v>46.32</v>
      </c>
      <c r="K756">
        <v>5519.52</v>
      </c>
      <c r="L756">
        <f t="shared" si="110"/>
        <v>0</v>
      </c>
      <c r="M756">
        <f t="shared" si="111"/>
        <v>0</v>
      </c>
      <c r="N756">
        <f t="shared" si="112"/>
        <v>0</v>
      </c>
      <c r="O756">
        <f t="shared" si="113"/>
        <v>0</v>
      </c>
      <c r="P756">
        <f t="shared" si="114"/>
        <v>0</v>
      </c>
      <c r="Q756">
        <f t="shared" si="115"/>
        <v>0</v>
      </c>
      <c r="R756">
        <f t="shared" si="116"/>
        <v>0</v>
      </c>
      <c r="S756">
        <f t="shared" si="117"/>
        <v>0</v>
      </c>
      <c r="T756">
        <f t="shared" si="119"/>
        <v>0</v>
      </c>
      <c r="U756">
        <f t="shared" si="118"/>
        <v>0</v>
      </c>
    </row>
    <row r="757" spans="1:21" x14ac:dyDescent="0.25">
      <c r="A757" s="2">
        <v>756</v>
      </c>
      <c r="B757" s="2">
        <v>2026</v>
      </c>
      <c r="C757" s="2" t="s">
        <v>189</v>
      </c>
      <c r="D757">
        <v>45.87</v>
      </c>
      <c r="E757">
        <v>8557.61</v>
      </c>
      <c r="F757">
        <v>0.88</v>
      </c>
      <c r="G757">
        <v>93.19</v>
      </c>
      <c r="H757">
        <v>3768.07</v>
      </c>
      <c r="I757" s="80">
        <v>9979.83</v>
      </c>
      <c r="J757">
        <v>38.369999999999997</v>
      </c>
      <c r="K757">
        <v>4734.93</v>
      </c>
      <c r="L757">
        <f t="shared" si="110"/>
        <v>0</v>
      </c>
      <c r="M757">
        <f t="shared" si="111"/>
        <v>0</v>
      </c>
      <c r="N757">
        <f t="shared" si="112"/>
        <v>0</v>
      </c>
      <c r="O757">
        <f t="shared" si="113"/>
        <v>0</v>
      </c>
      <c r="P757">
        <f t="shared" si="114"/>
        <v>0</v>
      </c>
      <c r="Q757">
        <f t="shared" si="115"/>
        <v>0</v>
      </c>
      <c r="R757">
        <f t="shared" si="116"/>
        <v>0</v>
      </c>
      <c r="S757">
        <f t="shared" si="117"/>
        <v>0</v>
      </c>
      <c r="T757">
        <f t="shared" si="119"/>
        <v>0</v>
      </c>
      <c r="U757">
        <f t="shared" si="118"/>
        <v>0</v>
      </c>
    </row>
    <row r="758" spans="1:21" x14ac:dyDescent="0.25">
      <c r="A758" s="2">
        <v>757</v>
      </c>
      <c r="B758" s="2">
        <v>2027</v>
      </c>
      <c r="C758" s="2" t="s">
        <v>162</v>
      </c>
      <c r="D758">
        <v>2.1</v>
      </c>
      <c r="E758">
        <v>619.54999999999995</v>
      </c>
      <c r="F758">
        <v>0.24</v>
      </c>
      <c r="G758">
        <v>47.54</v>
      </c>
      <c r="H758" t="s">
        <v>583</v>
      </c>
      <c r="I758">
        <v>0.41</v>
      </c>
      <c r="J758">
        <v>2.97</v>
      </c>
      <c r="K758">
        <v>0.28000000000000003</v>
      </c>
      <c r="L758">
        <f t="shared" si="110"/>
        <v>0</v>
      </c>
      <c r="M758">
        <f t="shared" si="111"/>
        <v>0</v>
      </c>
      <c r="N758">
        <f t="shared" si="112"/>
        <v>0</v>
      </c>
      <c r="O758">
        <f t="shared" si="113"/>
        <v>0</v>
      </c>
      <c r="P758">
        <f t="shared" si="114"/>
        <v>0</v>
      </c>
      <c r="Q758">
        <f t="shared" si="115"/>
        <v>0</v>
      </c>
      <c r="R758">
        <f t="shared" si="116"/>
        <v>0</v>
      </c>
      <c r="S758">
        <f t="shared" si="117"/>
        <v>0</v>
      </c>
      <c r="T758">
        <f t="shared" si="119"/>
        <v>0</v>
      </c>
      <c r="U758">
        <f t="shared" si="118"/>
        <v>0</v>
      </c>
    </row>
    <row r="759" spans="1:21" x14ac:dyDescent="0.25">
      <c r="A759" s="2">
        <v>758</v>
      </c>
      <c r="B759" s="2">
        <v>2027</v>
      </c>
      <c r="C759" s="2" t="s">
        <v>170</v>
      </c>
      <c r="D759">
        <v>18.86</v>
      </c>
      <c r="E759" s="80">
        <v>26538.16</v>
      </c>
      <c r="F759">
        <v>127.12</v>
      </c>
      <c r="G759">
        <v>118.66</v>
      </c>
      <c r="H759">
        <v>323.37</v>
      </c>
      <c r="I759" s="80">
        <v>12741.87</v>
      </c>
      <c r="J759">
        <v>25.83</v>
      </c>
      <c r="K759">
        <v>215.74</v>
      </c>
      <c r="L759">
        <f t="shared" si="110"/>
        <v>0</v>
      </c>
      <c r="M759">
        <f t="shared" si="111"/>
        <v>0</v>
      </c>
      <c r="N759">
        <f t="shared" si="112"/>
        <v>0</v>
      </c>
      <c r="O759">
        <f t="shared" si="113"/>
        <v>0</v>
      </c>
      <c r="P759">
        <f t="shared" si="114"/>
        <v>0</v>
      </c>
      <c r="Q759">
        <f t="shared" si="115"/>
        <v>0</v>
      </c>
      <c r="R759">
        <f t="shared" si="116"/>
        <v>0</v>
      </c>
      <c r="S759">
        <f t="shared" si="117"/>
        <v>0</v>
      </c>
      <c r="T759">
        <f t="shared" si="119"/>
        <v>0</v>
      </c>
      <c r="U759">
        <f t="shared" si="118"/>
        <v>0</v>
      </c>
    </row>
    <row r="760" spans="1:21" x14ac:dyDescent="0.25">
      <c r="A760" s="2">
        <v>759</v>
      </c>
      <c r="B760" s="2">
        <v>2027</v>
      </c>
      <c r="C760" s="2" t="s">
        <v>178</v>
      </c>
      <c r="D760">
        <v>71.67</v>
      </c>
      <c r="E760" s="80">
        <v>35125.599999999999</v>
      </c>
      <c r="F760">
        <v>948.68</v>
      </c>
      <c r="G760">
        <v>188.54</v>
      </c>
      <c r="H760">
        <v>3780.11</v>
      </c>
      <c r="I760" s="80">
        <v>21995.21</v>
      </c>
      <c r="J760">
        <v>38.369999999999997</v>
      </c>
      <c r="K760">
        <v>588.12</v>
      </c>
      <c r="L760">
        <f t="shared" si="110"/>
        <v>0</v>
      </c>
      <c r="M760">
        <f t="shared" si="111"/>
        <v>0</v>
      </c>
      <c r="N760">
        <f t="shared" si="112"/>
        <v>0</v>
      </c>
      <c r="O760">
        <f t="shared" si="113"/>
        <v>0</v>
      </c>
      <c r="P760">
        <f t="shared" si="114"/>
        <v>0</v>
      </c>
      <c r="Q760">
        <f t="shared" si="115"/>
        <v>0</v>
      </c>
      <c r="R760">
        <f t="shared" si="116"/>
        <v>0</v>
      </c>
      <c r="S760">
        <f t="shared" si="117"/>
        <v>0</v>
      </c>
      <c r="T760">
        <f t="shared" si="119"/>
        <v>0</v>
      </c>
      <c r="U760">
        <f t="shared" si="118"/>
        <v>0</v>
      </c>
    </row>
    <row r="761" spans="1:21" x14ac:dyDescent="0.25">
      <c r="A761" s="2">
        <v>760</v>
      </c>
      <c r="B761" s="2">
        <v>2027</v>
      </c>
      <c r="C761" s="2" t="s">
        <v>163</v>
      </c>
      <c r="D761">
        <v>33.4</v>
      </c>
      <c r="E761" s="80">
        <v>29972.42</v>
      </c>
      <c r="F761">
        <v>46.9</v>
      </c>
      <c r="G761">
        <v>105.73</v>
      </c>
      <c r="H761">
        <v>342.49</v>
      </c>
      <c r="I761" s="80">
        <v>4789.09</v>
      </c>
      <c r="J761">
        <v>35.79</v>
      </c>
      <c r="K761">
        <v>1493.42</v>
      </c>
      <c r="L761">
        <f t="shared" si="110"/>
        <v>0</v>
      </c>
      <c r="M761">
        <f t="shared" si="111"/>
        <v>0</v>
      </c>
      <c r="N761">
        <f t="shared" si="112"/>
        <v>0</v>
      </c>
      <c r="O761">
        <f t="shared" si="113"/>
        <v>0</v>
      </c>
      <c r="P761">
        <f t="shared" si="114"/>
        <v>0</v>
      </c>
      <c r="Q761">
        <f t="shared" si="115"/>
        <v>0</v>
      </c>
      <c r="R761">
        <f t="shared" si="116"/>
        <v>0</v>
      </c>
      <c r="S761">
        <f t="shared" si="117"/>
        <v>0</v>
      </c>
      <c r="T761">
        <f t="shared" si="119"/>
        <v>0</v>
      </c>
      <c r="U761">
        <f t="shared" si="118"/>
        <v>0</v>
      </c>
    </row>
    <row r="762" spans="1:21" x14ac:dyDescent="0.25">
      <c r="A762" s="2">
        <v>761</v>
      </c>
      <c r="B762" s="2">
        <v>2027</v>
      </c>
      <c r="C762" s="2" t="s">
        <v>181</v>
      </c>
      <c r="D762">
        <v>14.11</v>
      </c>
      <c r="E762">
        <v>24614.89</v>
      </c>
      <c r="F762">
        <v>0.55000000000000004</v>
      </c>
      <c r="G762">
        <v>58.21</v>
      </c>
      <c r="H762">
        <v>7.14</v>
      </c>
      <c r="I762">
        <v>64.27</v>
      </c>
      <c r="J762">
        <v>16.59</v>
      </c>
      <c r="K762">
        <v>6.5</v>
      </c>
      <c r="L762">
        <f t="shared" si="110"/>
        <v>0</v>
      </c>
      <c r="M762">
        <f t="shared" si="111"/>
        <v>0</v>
      </c>
      <c r="N762">
        <f t="shared" si="112"/>
        <v>0</v>
      </c>
      <c r="O762">
        <f t="shared" si="113"/>
        <v>0</v>
      </c>
      <c r="P762">
        <f t="shared" si="114"/>
        <v>0</v>
      </c>
      <c r="Q762">
        <f t="shared" si="115"/>
        <v>0</v>
      </c>
      <c r="R762">
        <f t="shared" si="116"/>
        <v>0</v>
      </c>
      <c r="S762">
        <f t="shared" si="117"/>
        <v>0</v>
      </c>
      <c r="T762">
        <f t="shared" si="119"/>
        <v>0</v>
      </c>
      <c r="U762">
        <f t="shared" si="118"/>
        <v>0</v>
      </c>
    </row>
    <row r="763" spans="1:21" ht="15.75" thickBot="1" x14ac:dyDescent="0.3">
      <c r="A763" s="2">
        <v>762</v>
      </c>
      <c r="B763" s="2">
        <v>2027</v>
      </c>
      <c r="C763" s="2" t="s">
        <v>183</v>
      </c>
      <c r="D763">
        <v>44.7</v>
      </c>
      <c r="E763" s="80">
        <v>51378.59</v>
      </c>
      <c r="F763">
        <v>1421.87</v>
      </c>
      <c r="G763">
        <v>195.96</v>
      </c>
      <c r="H763">
        <v>13413.09</v>
      </c>
      <c r="I763" s="80">
        <v>33369.370000000003</v>
      </c>
      <c r="J763">
        <v>68.819999999999993</v>
      </c>
      <c r="K763">
        <v>7688.36</v>
      </c>
      <c r="L763">
        <f t="shared" si="110"/>
        <v>0</v>
      </c>
      <c r="M763">
        <f t="shared" si="111"/>
        <v>0</v>
      </c>
      <c r="N763">
        <f t="shared" si="112"/>
        <v>0</v>
      </c>
      <c r="O763">
        <f t="shared" si="113"/>
        <v>0</v>
      </c>
      <c r="P763">
        <f t="shared" si="114"/>
        <v>0</v>
      </c>
      <c r="Q763">
        <f t="shared" si="115"/>
        <v>0</v>
      </c>
      <c r="R763">
        <f t="shared" si="116"/>
        <v>0</v>
      </c>
      <c r="S763">
        <f t="shared" si="117"/>
        <v>0</v>
      </c>
      <c r="T763">
        <f t="shared" si="119"/>
        <v>0</v>
      </c>
      <c r="U763">
        <f t="shared" si="118"/>
        <v>0</v>
      </c>
    </row>
    <row r="764" spans="1:21" x14ac:dyDescent="0.25">
      <c r="A764" s="2">
        <v>763</v>
      </c>
      <c r="B764" s="39">
        <v>2027</v>
      </c>
      <c r="C764" s="40" t="s">
        <v>186</v>
      </c>
      <c r="D764">
        <v>50.6</v>
      </c>
      <c r="E764" s="80">
        <v>44536.75</v>
      </c>
      <c r="F764">
        <v>2204.2800000000002</v>
      </c>
      <c r="G764">
        <v>234.14</v>
      </c>
      <c r="H764" s="80">
        <v>48301.599999999999</v>
      </c>
      <c r="I764" s="80">
        <v>34479.040000000001</v>
      </c>
      <c r="J764">
        <v>96.01</v>
      </c>
      <c r="K764" s="80">
        <v>13353.99</v>
      </c>
      <c r="L764">
        <f t="shared" si="110"/>
        <v>0</v>
      </c>
      <c r="M764">
        <f t="shared" si="111"/>
        <v>0</v>
      </c>
      <c r="N764">
        <f t="shared" si="112"/>
        <v>0</v>
      </c>
      <c r="O764">
        <f t="shared" si="113"/>
        <v>0</v>
      </c>
      <c r="P764">
        <f t="shared" si="114"/>
        <v>0</v>
      </c>
      <c r="Q764">
        <f t="shared" si="115"/>
        <v>0</v>
      </c>
      <c r="R764">
        <f t="shared" si="116"/>
        <v>0</v>
      </c>
      <c r="S764">
        <f t="shared" si="117"/>
        <v>0</v>
      </c>
      <c r="T764">
        <f t="shared" si="119"/>
        <v>0</v>
      </c>
      <c r="U764">
        <f t="shared" si="118"/>
        <v>0</v>
      </c>
    </row>
    <row r="765" spans="1:21" x14ac:dyDescent="0.25">
      <c r="A765" s="2">
        <v>764</v>
      </c>
      <c r="B765" s="39">
        <v>2027</v>
      </c>
      <c r="C765" s="41" t="s">
        <v>188</v>
      </c>
      <c r="D765">
        <v>32.31</v>
      </c>
      <c r="E765" s="80">
        <v>87947.79</v>
      </c>
      <c r="F765">
        <v>119.55</v>
      </c>
      <c r="G765">
        <v>188.54</v>
      </c>
      <c r="H765">
        <v>963.81</v>
      </c>
      <c r="I765" s="80">
        <v>14438.07</v>
      </c>
      <c r="J765">
        <v>57.35</v>
      </c>
      <c r="K765">
        <v>4400.68</v>
      </c>
      <c r="L765">
        <f t="shared" si="110"/>
        <v>0</v>
      </c>
      <c r="M765">
        <f t="shared" si="111"/>
        <v>0</v>
      </c>
      <c r="N765">
        <f t="shared" si="112"/>
        <v>0</v>
      </c>
      <c r="O765">
        <f t="shared" si="113"/>
        <v>0</v>
      </c>
      <c r="P765">
        <f t="shared" si="114"/>
        <v>0</v>
      </c>
      <c r="Q765">
        <f t="shared" si="115"/>
        <v>0</v>
      </c>
      <c r="R765">
        <f t="shared" si="116"/>
        <v>0</v>
      </c>
      <c r="S765">
        <f t="shared" si="117"/>
        <v>0</v>
      </c>
      <c r="T765">
        <f t="shared" si="119"/>
        <v>0</v>
      </c>
      <c r="U765">
        <f t="shared" si="118"/>
        <v>0</v>
      </c>
    </row>
    <row r="766" spans="1:21" x14ac:dyDescent="0.25">
      <c r="A766" s="2">
        <v>765</v>
      </c>
      <c r="B766" s="39">
        <v>2027</v>
      </c>
      <c r="C766" s="41" t="s">
        <v>182</v>
      </c>
      <c r="D766" t="s">
        <v>583</v>
      </c>
      <c r="E766">
        <v>317.51</v>
      </c>
      <c r="F766" t="s">
        <v>583</v>
      </c>
      <c r="G766" t="s">
        <v>583</v>
      </c>
      <c r="H766">
        <v>0.77</v>
      </c>
      <c r="I766">
        <v>2.36</v>
      </c>
      <c r="J766" t="s">
        <v>583</v>
      </c>
      <c r="K766">
        <v>0.28000000000000003</v>
      </c>
      <c r="L766">
        <f t="shared" si="110"/>
        <v>0</v>
      </c>
      <c r="M766">
        <f t="shared" si="111"/>
        <v>0</v>
      </c>
      <c r="N766">
        <f t="shared" si="112"/>
        <v>0</v>
      </c>
      <c r="O766">
        <f t="shared" si="113"/>
        <v>0</v>
      </c>
      <c r="P766">
        <f t="shared" si="114"/>
        <v>0</v>
      </c>
      <c r="Q766">
        <f t="shared" si="115"/>
        <v>0</v>
      </c>
      <c r="R766">
        <f t="shared" si="116"/>
        <v>0</v>
      </c>
      <c r="S766">
        <f t="shared" si="117"/>
        <v>0</v>
      </c>
      <c r="T766">
        <f t="shared" si="119"/>
        <v>0</v>
      </c>
      <c r="U766">
        <f t="shared" si="118"/>
        <v>0</v>
      </c>
    </row>
    <row r="767" spans="1:21" x14ac:dyDescent="0.25">
      <c r="A767" s="2">
        <v>766</v>
      </c>
      <c r="B767" s="39">
        <v>2027</v>
      </c>
      <c r="C767" s="41" t="s">
        <v>184</v>
      </c>
      <c r="D767">
        <v>257.54000000000002</v>
      </c>
      <c r="E767">
        <v>4187.04</v>
      </c>
      <c r="F767">
        <v>22.03</v>
      </c>
      <c r="G767">
        <v>47.54</v>
      </c>
      <c r="H767">
        <v>6735.42</v>
      </c>
      <c r="I767" s="80">
        <v>22699.82</v>
      </c>
      <c r="J767">
        <v>57.35</v>
      </c>
      <c r="K767">
        <v>3808.56</v>
      </c>
      <c r="L767">
        <f t="shared" si="110"/>
        <v>0</v>
      </c>
      <c r="M767">
        <f t="shared" si="111"/>
        <v>0</v>
      </c>
      <c r="N767">
        <f t="shared" si="112"/>
        <v>0</v>
      </c>
      <c r="O767">
        <f t="shared" si="113"/>
        <v>0</v>
      </c>
      <c r="P767">
        <f t="shared" si="114"/>
        <v>0</v>
      </c>
      <c r="Q767">
        <f t="shared" si="115"/>
        <v>0</v>
      </c>
      <c r="R767">
        <f t="shared" si="116"/>
        <v>0</v>
      </c>
      <c r="S767">
        <f t="shared" si="117"/>
        <v>0</v>
      </c>
      <c r="T767">
        <f t="shared" si="119"/>
        <v>0</v>
      </c>
      <c r="U767">
        <f t="shared" si="118"/>
        <v>0</v>
      </c>
    </row>
    <row r="768" spans="1:21" x14ac:dyDescent="0.25">
      <c r="A768" s="2">
        <v>767</v>
      </c>
      <c r="B768" s="39">
        <v>2027</v>
      </c>
      <c r="C768" s="41" t="s">
        <v>187</v>
      </c>
      <c r="D768">
        <v>417.96</v>
      </c>
      <c r="E768">
        <v>6235.7</v>
      </c>
      <c r="F768">
        <v>287.51</v>
      </c>
      <c r="G768">
        <v>69.400000000000006</v>
      </c>
      <c r="H768" s="80">
        <v>17751.62</v>
      </c>
      <c r="I768" s="80">
        <v>23202.29</v>
      </c>
      <c r="J768">
        <v>105.45</v>
      </c>
      <c r="K768" s="80">
        <v>10429.209999999999</v>
      </c>
      <c r="L768">
        <f t="shared" si="110"/>
        <v>0</v>
      </c>
      <c r="M768">
        <f t="shared" si="111"/>
        <v>0</v>
      </c>
      <c r="N768">
        <f t="shared" si="112"/>
        <v>0</v>
      </c>
      <c r="O768">
        <f t="shared" si="113"/>
        <v>0</v>
      </c>
      <c r="P768">
        <f t="shared" si="114"/>
        <v>0</v>
      </c>
      <c r="Q768">
        <f t="shared" si="115"/>
        <v>0</v>
      </c>
      <c r="R768">
        <f t="shared" si="116"/>
        <v>0</v>
      </c>
      <c r="S768">
        <f t="shared" si="117"/>
        <v>0</v>
      </c>
      <c r="T768">
        <f t="shared" si="119"/>
        <v>0</v>
      </c>
      <c r="U768">
        <f t="shared" si="118"/>
        <v>0</v>
      </c>
    </row>
    <row r="769" spans="1:21" x14ac:dyDescent="0.25">
      <c r="A769" s="2">
        <v>768</v>
      </c>
      <c r="B769" s="2">
        <v>2027</v>
      </c>
      <c r="C769" s="85" t="s">
        <v>189</v>
      </c>
      <c r="D769">
        <v>40.1</v>
      </c>
      <c r="E769">
        <v>7312.2</v>
      </c>
      <c r="F769">
        <v>1.78</v>
      </c>
      <c r="G769">
        <v>37.450000000000003</v>
      </c>
      <c r="H769">
        <v>2529.63</v>
      </c>
      <c r="I769" s="80">
        <v>5220.99</v>
      </c>
      <c r="J769">
        <v>30.73</v>
      </c>
      <c r="K769">
        <v>3144.37</v>
      </c>
      <c r="L769">
        <f t="shared" si="110"/>
        <v>0</v>
      </c>
      <c r="M769">
        <f t="shared" si="111"/>
        <v>0</v>
      </c>
      <c r="N769">
        <f t="shared" si="112"/>
        <v>0</v>
      </c>
      <c r="O769">
        <f t="shared" si="113"/>
        <v>0</v>
      </c>
      <c r="P769">
        <f t="shared" si="114"/>
        <v>0</v>
      </c>
      <c r="Q769">
        <f t="shared" si="115"/>
        <v>0</v>
      </c>
      <c r="R769">
        <f t="shared" si="116"/>
        <v>0</v>
      </c>
      <c r="S769">
        <f t="shared" si="117"/>
        <v>0</v>
      </c>
      <c r="T769">
        <f t="shared" si="119"/>
        <v>0</v>
      </c>
      <c r="U769">
        <f t="shared" si="118"/>
        <v>0</v>
      </c>
    </row>
    <row r="770" spans="1:21" x14ac:dyDescent="0.25">
      <c r="A770" s="2">
        <v>769</v>
      </c>
      <c r="B770" s="2">
        <v>2028</v>
      </c>
      <c r="C770" s="2" t="s">
        <v>162</v>
      </c>
      <c r="D770">
        <v>14.57</v>
      </c>
      <c r="E770" s="80">
        <v>43453.19</v>
      </c>
      <c r="F770">
        <v>0.86</v>
      </c>
      <c r="G770">
        <v>87.08</v>
      </c>
      <c r="H770">
        <v>1.57</v>
      </c>
      <c r="I770">
        <v>1.63</v>
      </c>
      <c r="J770">
        <v>19.96</v>
      </c>
      <c r="K770">
        <v>2.73</v>
      </c>
      <c r="L770">
        <f t="shared" ref="L770:L833" si="120">IF(D770 = "OOR &gt;", 1,0)</f>
        <v>0</v>
      </c>
      <c r="M770">
        <f t="shared" ref="M770:M833" si="121">IF(E770 = "OOR &gt;", 1,0)</f>
        <v>0</v>
      </c>
      <c r="N770">
        <f t="shared" ref="N770:N833" si="122">IF(F770 = "OOR &gt;", 1,0)</f>
        <v>0</v>
      </c>
      <c r="O770">
        <f t="shared" ref="O770:O833" si="123">IF(G770 = "OOR &gt;", 1,0)</f>
        <v>0</v>
      </c>
      <c r="P770">
        <f t="shared" ref="P770:P833" si="124">IF(H770 = "OOR &gt;", 1,0)</f>
        <v>0</v>
      </c>
      <c r="Q770">
        <f t="shared" ref="Q770:Q833" si="125">IF(I770 = "OOR &gt;", 1,0)</f>
        <v>0</v>
      </c>
      <c r="R770">
        <f t="shared" ref="R770:R833" si="126">IF(J770 = "OOR &gt;", 1,0)</f>
        <v>0</v>
      </c>
      <c r="S770">
        <f t="shared" ref="S770:S833" si="127">IF(K770 = "OOR &gt;", 1,0)</f>
        <v>0</v>
      </c>
      <c r="T770">
        <f t="shared" si="119"/>
        <v>0</v>
      </c>
      <c r="U770">
        <f t="shared" ref="U770:U833" si="128">IF(T770 &gt; 0,1,0)</f>
        <v>0</v>
      </c>
    </row>
    <row r="771" spans="1:21" x14ac:dyDescent="0.25">
      <c r="A771" s="2">
        <v>770</v>
      </c>
      <c r="B771" s="2">
        <v>2028</v>
      </c>
      <c r="C771" s="2" t="s">
        <v>170</v>
      </c>
      <c r="D771">
        <v>28.54</v>
      </c>
      <c r="E771" s="80">
        <v>57833.43</v>
      </c>
      <c r="F771">
        <v>502.28</v>
      </c>
      <c r="G771">
        <v>166.73</v>
      </c>
      <c r="H771">
        <v>736.86</v>
      </c>
      <c r="I771" s="80">
        <v>14866.46</v>
      </c>
      <c r="J771">
        <v>42.31</v>
      </c>
      <c r="K771">
        <v>478.81</v>
      </c>
      <c r="L771">
        <f t="shared" si="120"/>
        <v>0</v>
      </c>
      <c r="M771">
        <f t="shared" si="121"/>
        <v>0</v>
      </c>
      <c r="N771">
        <f t="shared" si="122"/>
        <v>0</v>
      </c>
      <c r="O771">
        <f t="shared" si="123"/>
        <v>0</v>
      </c>
      <c r="P771">
        <f t="shared" si="124"/>
        <v>0</v>
      </c>
      <c r="Q771">
        <f t="shared" si="125"/>
        <v>0</v>
      </c>
      <c r="R771">
        <f t="shared" si="126"/>
        <v>0</v>
      </c>
      <c r="S771">
        <f t="shared" si="127"/>
        <v>0</v>
      </c>
      <c r="T771">
        <f t="shared" ref="T771:T834" si="129">SUMIF(L771:S771,"&gt;0")</f>
        <v>0</v>
      </c>
      <c r="U771">
        <f t="shared" si="128"/>
        <v>0</v>
      </c>
    </row>
    <row r="772" spans="1:21" x14ac:dyDescent="0.25">
      <c r="A772" s="2">
        <v>771</v>
      </c>
      <c r="B772" s="92">
        <v>2028</v>
      </c>
      <c r="C772" s="2" t="s">
        <v>178</v>
      </c>
      <c r="D772">
        <v>84.08</v>
      </c>
      <c r="E772" s="80">
        <v>79006.55</v>
      </c>
      <c r="F772" s="89" t="s">
        <v>582</v>
      </c>
      <c r="G772">
        <v>249.89</v>
      </c>
      <c r="H772">
        <v>13871.8</v>
      </c>
      <c r="I772" s="80">
        <v>29710.44</v>
      </c>
      <c r="J772">
        <v>76.19</v>
      </c>
      <c r="K772">
        <v>4063.81</v>
      </c>
      <c r="L772">
        <f t="shared" si="120"/>
        <v>0</v>
      </c>
      <c r="M772">
        <f t="shared" si="121"/>
        <v>0</v>
      </c>
      <c r="N772">
        <f t="shared" si="122"/>
        <v>1</v>
      </c>
      <c r="O772">
        <f t="shared" si="123"/>
        <v>0</v>
      </c>
      <c r="P772">
        <f t="shared" si="124"/>
        <v>0</v>
      </c>
      <c r="Q772">
        <f t="shared" si="125"/>
        <v>0</v>
      </c>
      <c r="R772">
        <f t="shared" si="126"/>
        <v>0</v>
      </c>
      <c r="S772">
        <f t="shared" si="127"/>
        <v>0</v>
      </c>
      <c r="T772">
        <f t="shared" si="129"/>
        <v>1</v>
      </c>
      <c r="U772">
        <f t="shared" si="128"/>
        <v>1</v>
      </c>
    </row>
    <row r="773" spans="1:21" x14ac:dyDescent="0.25">
      <c r="A773" s="2">
        <v>772</v>
      </c>
      <c r="B773" s="39">
        <v>2028</v>
      </c>
      <c r="C773" s="41" t="s">
        <v>163</v>
      </c>
      <c r="D773">
        <v>158.4</v>
      </c>
      <c r="E773" s="80">
        <v>89295.6</v>
      </c>
      <c r="F773">
        <v>387.09</v>
      </c>
      <c r="G773">
        <v>375.81</v>
      </c>
      <c r="H773">
        <v>3975.2</v>
      </c>
      <c r="I773" s="80">
        <v>14948.2</v>
      </c>
      <c r="J773">
        <v>79.180000000000007</v>
      </c>
      <c r="K773" s="80">
        <v>14476.09</v>
      </c>
      <c r="L773">
        <f t="shared" si="120"/>
        <v>0</v>
      </c>
      <c r="M773">
        <f t="shared" si="121"/>
        <v>0</v>
      </c>
      <c r="N773">
        <f t="shared" si="122"/>
        <v>0</v>
      </c>
      <c r="O773">
        <f t="shared" si="123"/>
        <v>0</v>
      </c>
      <c r="P773">
        <f t="shared" si="124"/>
        <v>0</v>
      </c>
      <c r="Q773">
        <f t="shared" si="125"/>
        <v>0</v>
      </c>
      <c r="R773">
        <f t="shared" si="126"/>
        <v>0</v>
      </c>
      <c r="S773">
        <f t="shared" si="127"/>
        <v>0</v>
      </c>
      <c r="T773">
        <f t="shared" si="129"/>
        <v>0</v>
      </c>
      <c r="U773">
        <f t="shared" si="128"/>
        <v>0</v>
      </c>
    </row>
    <row r="774" spans="1:21" x14ac:dyDescent="0.25">
      <c r="A774" s="2">
        <v>773</v>
      </c>
      <c r="B774" s="39">
        <v>2028</v>
      </c>
      <c r="C774" s="41" t="s">
        <v>181</v>
      </c>
      <c r="D774">
        <v>14.57</v>
      </c>
      <c r="E774" s="80">
        <v>63497.99</v>
      </c>
      <c r="F774">
        <v>0.97</v>
      </c>
      <c r="G774">
        <v>69.400000000000006</v>
      </c>
      <c r="H774">
        <v>7.65</v>
      </c>
      <c r="I774">
        <v>55.52</v>
      </c>
      <c r="J774">
        <v>30.73</v>
      </c>
      <c r="K774">
        <v>9.84</v>
      </c>
      <c r="L774">
        <f t="shared" si="120"/>
        <v>0</v>
      </c>
      <c r="M774">
        <f t="shared" si="121"/>
        <v>0</v>
      </c>
      <c r="N774">
        <f t="shared" si="122"/>
        <v>0</v>
      </c>
      <c r="O774">
        <f t="shared" si="123"/>
        <v>0</v>
      </c>
      <c r="P774">
        <f t="shared" si="124"/>
        <v>0</v>
      </c>
      <c r="Q774">
        <f t="shared" si="125"/>
        <v>0</v>
      </c>
      <c r="R774">
        <f t="shared" si="126"/>
        <v>0</v>
      </c>
      <c r="S774">
        <f t="shared" si="127"/>
        <v>0</v>
      </c>
      <c r="T774">
        <f t="shared" si="129"/>
        <v>0</v>
      </c>
      <c r="U774">
        <f t="shared" si="128"/>
        <v>0</v>
      </c>
    </row>
    <row r="775" spans="1:21" x14ac:dyDescent="0.25">
      <c r="A775" s="2">
        <v>774</v>
      </c>
      <c r="B775" s="2">
        <v>2028</v>
      </c>
      <c r="C775" s="2" t="s">
        <v>183</v>
      </c>
      <c r="D775">
        <v>35.049999999999997</v>
      </c>
      <c r="E775" s="80">
        <v>45349.120000000003</v>
      </c>
      <c r="F775">
        <v>770.9</v>
      </c>
      <c r="G775">
        <v>152.57</v>
      </c>
      <c r="H775">
        <v>6480.18</v>
      </c>
      <c r="I775" s="80">
        <v>29884.62</v>
      </c>
      <c r="J775">
        <v>70.28</v>
      </c>
      <c r="K775">
        <v>6631.18</v>
      </c>
      <c r="L775">
        <f t="shared" si="120"/>
        <v>0</v>
      </c>
      <c r="M775">
        <f t="shared" si="121"/>
        <v>0</v>
      </c>
      <c r="N775">
        <f t="shared" si="122"/>
        <v>0</v>
      </c>
      <c r="O775">
        <f t="shared" si="123"/>
        <v>0</v>
      </c>
      <c r="P775">
        <f t="shared" si="124"/>
        <v>0</v>
      </c>
      <c r="Q775">
        <f t="shared" si="125"/>
        <v>0</v>
      </c>
      <c r="R775">
        <f t="shared" si="126"/>
        <v>0</v>
      </c>
      <c r="S775">
        <f t="shared" si="127"/>
        <v>0</v>
      </c>
      <c r="T775">
        <f t="shared" si="129"/>
        <v>0</v>
      </c>
      <c r="U775">
        <f t="shared" si="128"/>
        <v>0</v>
      </c>
    </row>
    <row r="776" spans="1:21" x14ac:dyDescent="0.25">
      <c r="A776" s="2">
        <v>775</v>
      </c>
      <c r="B776" s="2">
        <v>2028</v>
      </c>
      <c r="C776" s="2" t="s">
        <v>186</v>
      </c>
      <c r="D776">
        <v>41.81</v>
      </c>
      <c r="E776" s="80">
        <v>35884.22</v>
      </c>
      <c r="F776">
        <v>1517.14</v>
      </c>
      <c r="G776">
        <v>241.98</v>
      </c>
      <c r="H776" s="80">
        <v>27609.1</v>
      </c>
      <c r="I776" s="80">
        <v>33766.370000000003</v>
      </c>
      <c r="J776">
        <v>110.23</v>
      </c>
      <c r="K776" s="80">
        <v>14384.35</v>
      </c>
      <c r="L776">
        <f t="shared" si="120"/>
        <v>0</v>
      </c>
      <c r="M776">
        <f t="shared" si="121"/>
        <v>0</v>
      </c>
      <c r="N776">
        <f t="shared" si="122"/>
        <v>0</v>
      </c>
      <c r="O776">
        <f t="shared" si="123"/>
        <v>0</v>
      </c>
      <c r="P776">
        <f t="shared" si="124"/>
        <v>0</v>
      </c>
      <c r="Q776">
        <f t="shared" si="125"/>
        <v>0</v>
      </c>
      <c r="R776">
        <f t="shared" si="126"/>
        <v>0</v>
      </c>
      <c r="S776">
        <f t="shared" si="127"/>
        <v>0</v>
      </c>
      <c r="T776">
        <f t="shared" si="129"/>
        <v>0</v>
      </c>
      <c r="U776">
        <f t="shared" si="128"/>
        <v>0</v>
      </c>
    </row>
    <row r="777" spans="1:21" x14ac:dyDescent="0.25">
      <c r="A777" s="2">
        <v>776</v>
      </c>
      <c r="B777" s="2">
        <v>2028</v>
      </c>
      <c r="C777" s="2" t="s">
        <v>188</v>
      </c>
      <c r="D777">
        <v>44.12</v>
      </c>
      <c r="E777" s="80">
        <v>114401.64</v>
      </c>
      <c r="F777">
        <v>159.30000000000001</v>
      </c>
      <c r="G777">
        <v>211.03</v>
      </c>
      <c r="H777">
        <v>1316.49</v>
      </c>
      <c r="I777" s="80">
        <v>15593.35</v>
      </c>
      <c r="J777">
        <v>85.22</v>
      </c>
      <c r="K777">
        <v>10983.98</v>
      </c>
      <c r="L777">
        <f t="shared" si="120"/>
        <v>0</v>
      </c>
      <c r="M777">
        <f t="shared" si="121"/>
        <v>0</v>
      </c>
      <c r="N777">
        <f t="shared" si="122"/>
        <v>0</v>
      </c>
      <c r="O777">
        <f t="shared" si="123"/>
        <v>0</v>
      </c>
      <c r="P777">
        <f t="shared" si="124"/>
        <v>0</v>
      </c>
      <c r="Q777">
        <f t="shared" si="125"/>
        <v>0</v>
      </c>
      <c r="R777">
        <f t="shared" si="126"/>
        <v>0</v>
      </c>
      <c r="S777">
        <f t="shared" si="127"/>
        <v>0</v>
      </c>
      <c r="T777">
        <f t="shared" si="129"/>
        <v>0</v>
      </c>
      <c r="U777">
        <f t="shared" si="128"/>
        <v>0</v>
      </c>
    </row>
    <row r="778" spans="1:21" x14ac:dyDescent="0.25">
      <c r="A778" s="2">
        <v>777</v>
      </c>
      <c r="B778" s="2">
        <v>2028</v>
      </c>
      <c r="C778" s="2" t="s">
        <v>182</v>
      </c>
      <c r="D778" t="s">
        <v>583</v>
      </c>
      <c r="E778">
        <v>2037.87</v>
      </c>
      <c r="F778">
        <v>0.33</v>
      </c>
      <c r="G778">
        <v>23.57</v>
      </c>
      <c r="H778">
        <v>2</v>
      </c>
      <c r="I778">
        <v>1.54</v>
      </c>
      <c r="J778">
        <v>3.78</v>
      </c>
      <c r="K778">
        <v>0.34</v>
      </c>
      <c r="L778">
        <f t="shared" si="120"/>
        <v>0</v>
      </c>
      <c r="M778">
        <f t="shared" si="121"/>
        <v>0</v>
      </c>
      <c r="N778">
        <f t="shared" si="122"/>
        <v>0</v>
      </c>
      <c r="O778">
        <f t="shared" si="123"/>
        <v>0</v>
      </c>
      <c r="P778">
        <f t="shared" si="124"/>
        <v>0</v>
      </c>
      <c r="Q778">
        <f t="shared" si="125"/>
        <v>0</v>
      </c>
      <c r="R778">
        <f t="shared" si="126"/>
        <v>0</v>
      </c>
      <c r="S778">
        <f t="shared" si="127"/>
        <v>0</v>
      </c>
      <c r="T778">
        <f t="shared" si="129"/>
        <v>0</v>
      </c>
      <c r="U778">
        <f t="shared" si="128"/>
        <v>0</v>
      </c>
    </row>
    <row r="779" spans="1:21" x14ac:dyDescent="0.25">
      <c r="A779" s="2">
        <v>778</v>
      </c>
      <c r="B779" s="2">
        <v>2028</v>
      </c>
      <c r="C779" s="2" t="s">
        <v>184</v>
      </c>
      <c r="D779">
        <v>53.6</v>
      </c>
      <c r="E779">
        <v>7255.72</v>
      </c>
      <c r="F779">
        <v>42.24</v>
      </c>
      <c r="G779">
        <v>112.15</v>
      </c>
      <c r="H779">
        <v>10848.28</v>
      </c>
      <c r="I779" s="80">
        <v>25185.63</v>
      </c>
      <c r="J779">
        <v>35.79</v>
      </c>
      <c r="K779">
        <v>2243.7800000000002</v>
      </c>
      <c r="L779">
        <f t="shared" si="120"/>
        <v>0</v>
      </c>
      <c r="M779">
        <f t="shared" si="121"/>
        <v>0</v>
      </c>
      <c r="N779">
        <f t="shared" si="122"/>
        <v>0</v>
      </c>
      <c r="O779">
        <f t="shared" si="123"/>
        <v>0</v>
      </c>
      <c r="P779">
        <f t="shared" si="124"/>
        <v>0</v>
      </c>
      <c r="Q779">
        <f t="shared" si="125"/>
        <v>0</v>
      </c>
      <c r="R779">
        <f t="shared" si="126"/>
        <v>0</v>
      </c>
      <c r="S779">
        <f t="shared" si="127"/>
        <v>0</v>
      </c>
      <c r="T779">
        <f t="shared" si="129"/>
        <v>0</v>
      </c>
      <c r="U779">
        <f t="shared" si="128"/>
        <v>0</v>
      </c>
    </row>
    <row r="780" spans="1:21" x14ac:dyDescent="0.25">
      <c r="A780" s="2">
        <v>779</v>
      </c>
      <c r="B780" s="2">
        <v>2028</v>
      </c>
      <c r="C780" s="2" t="s">
        <v>187</v>
      </c>
      <c r="D780">
        <v>313.99</v>
      </c>
      <c r="E780">
        <v>9127.6</v>
      </c>
      <c r="F780">
        <v>161.01</v>
      </c>
      <c r="G780">
        <v>152.57</v>
      </c>
      <c r="H780" s="80">
        <v>27256.26</v>
      </c>
      <c r="I780" s="80">
        <v>23933.13</v>
      </c>
      <c r="J780">
        <v>67.36</v>
      </c>
      <c r="K780" s="80">
        <v>8717.67</v>
      </c>
      <c r="L780">
        <f t="shared" si="120"/>
        <v>0</v>
      </c>
      <c r="M780">
        <f t="shared" si="121"/>
        <v>0</v>
      </c>
      <c r="N780">
        <f t="shared" si="122"/>
        <v>0</v>
      </c>
      <c r="O780">
        <f t="shared" si="123"/>
        <v>0</v>
      </c>
      <c r="P780">
        <f t="shared" si="124"/>
        <v>0</v>
      </c>
      <c r="Q780">
        <f t="shared" si="125"/>
        <v>0</v>
      </c>
      <c r="R780">
        <f t="shared" si="126"/>
        <v>0</v>
      </c>
      <c r="S780">
        <f t="shared" si="127"/>
        <v>0</v>
      </c>
      <c r="T780">
        <f t="shared" si="129"/>
        <v>0</v>
      </c>
      <c r="U780">
        <f t="shared" si="128"/>
        <v>0</v>
      </c>
    </row>
    <row r="781" spans="1:21" x14ac:dyDescent="0.25">
      <c r="A781" s="2">
        <v>780</v>
      </c>
      <c r="B781" s="2">
        <v>2028</v>
      </c>
      <c r="C781" s="2" t="s">
        <v>189</v>
      </c>
      <c r="D781">
        <v>956.41</v>
      </c>
      <c r="E781">
        <v>10513.08</v>
      </c>
      <c r="F781">
        <v>7.73</v>
      </c>
      <c r="G781">
        <v>112.15</v>
      </c>
      <c r="H781">
        <v>13859.79</v>
      </c>
      <c r="I781" s="80">
        <v>13965.71</v>
      </c>
      <c r="J781">
        <v>54.55</v>
      </c>
      <c r="K781" s="80">
        <v>9373.42</v>
      </c>
      <c r="L781">
        <f t="shared" si="120"/>
        <v>0</v>
      </c>
      <c r="M781">
        <f t="shared" si="121"/>
        <v>0</v>
      </c>
      <c r="N781">
        <f t="shared" si="122"/>
        <v>0</v>
      </c>
      <c r="O781">
        <f t="shared" si="123"/>
        <v>0</v>
      </c>
      <c r="P781">
        <f t="shared" si="124"/>
        <v>0</v>
      </c>
      <c r="Q781">
        <f t="shared" si="125"/>
        <v>0</v>
      </c>
      <c r="R781">
        <f t="shared" si="126"/>
        <v>0</v>
      </c>
      <c r="S781">
        <f t="shared" si="127"/>
        <v>0</v>
      </c>
      <c r="T781">
        <f t="shared" si="129"/>
        <v>0</v>
      </c>
      <c r="U781">
        <f t="shared" si="128"/>
        <v>0</v>
      </c>
    </row>
    <row r="782" spans="1:21" x14ac:dyDescent="0.25">
      <c r="A782" s="2">
        <v>781</v>
      </c>
      <c r="B782" s="2" t="s">
        <v>611</v>
      </c>
      <c r="C782" s="2" t="s">
        <v>162</v>
      </c>
      <c r="D782">
        <v>28.54</v>
      </c>
      <c r="E782" s="80">
        <v>131262.98000000001</v>
      </c>
      <c r="F782">
        <v>1.43</v>
      </c>
      <c r="G782">
        <v>131.97</v>
      </c>
      <c r="H782">
        <v>3.93</v>
      </c>
      <c r="I782">
        <v>1.41</v>
      </c>
      <c r="J782">
        <v>37.07</v>
      </c>
      <c r="K782">
        <v>5.67</v>
      </c>
      <c r="L782">
        <f t="shared" si="120"/>
        <v>0</v>
      </c>
      <c r="M782">
        <f t="shared" si="121"/>
        <v>0</v>
      </c>
      <c r="N782">
        <f t="shared" si="122"/>
        <v>0</v>
      </c>
      <c r="O782">
        <f t="shared" si="123"/>
        <v>0</v>
      </c>
      <c r="P782">
        <f t="shared" si="124"/>
        <v>0</v>
      </c>
      <c r="Q782">
        <f t="shared" si="125"/>
        <v>0</v>
      </c>
      <c r="R782">
        <f t="shared" si="126"/>
        <v>0</v>
      </c>
      <c r="S782">
        <f t="shared" si="127"/>
        <v>0</v>
      </c>
      <c r="T782">
        <f t="shared" si="129"/>
        <v>0</v>
      </c>
      <c r="U782">
        <f t="shared" si="128"/>
        <v>0</v>
      </c>
    </row>
    <row r="783" spans="1:21" x14ac:dyDescent="0.25">
      <c r="A783" s="2">
        <v>782</v>
      </c>
      <c r="B783" s="2" t="s">
        <v>611</v>
      </c>
      <c r="C783" s="2" t="s">
        <v>170</v>
      </c>
      <c r="D783">
        <v>14.57</v>
      </c>
      <c r="E783">
        <v>24046.23</v>
      </c>
      <c r="F783">
        <v>3.3</v>
      </c>
      <c r="G783">
        <v>58.21</v>
      </c>
      <c r="H783">
        <v>51.09</v>
      </c>
      <c r="I783">
        <v>1881.2</v>
      </c>
      <c r="J783">
        <v>27.04</v>
      </c>
      <c r="K783">
        <v>346.42</v>
      </c>
      <c r="L783">
        <f t="shared" si="120"/>
        <v>0</v>
      </c>
      <c r="M783">
        <f t="shared" si="121"/>
        <v>0</v>
      </c>
      <c r="N783">
        <f t="shared" si="122"/>
        <v>0</v>
      </c>
      <c r="O783">
        <f t="shared" si="123"/>
        <v>0</v>
      </c>
      <c r="P783">
        <f t="shared" si="124"/>
        <v>0</v>
      </c>
      <c r="Q783">
        <f t="shared" si="125"/>
        <v>0</v>
      </c>
      <c r="R783">
        <f t="shared" si="126"/>
        <v>0</v>
      </c>
      <c r="S783">
        <f t="shared" si="127"/>
        <v>0</v>
      </c>
      <c r="T783">
        <f t="shared" si="129"/>
        <v>0</v>
      </c>
      <c r="U783">
        <f t="shared" si="128"/>
        <v>0</v>
      </c>
    </row>
    <row r="784" spans="1:21" x14ac:dyDescent="0.25">
      <c r="A784" s="2">
        <v>783</v>
      </c>
      <c r="B784" s="2" t="s">
        <v>611</v>
      </c>
      <c r="C784" s="2" t="s">
        <v>178</v>
      </c>
      <c r="D784">
        <v>22.33</v>
      </c>
      <c r="E784" s="80">
        <v>43121.65</v>
      </c>
      <c r="F784">
        <v>69.72</v>
      </c>
      <c r="G784">
        <v>99.41</v>
      </c>
      <c r="H784">
        <v>543.19000000000005</v>
      </c>
      <c r="I784" s="80">
        <v>11920.88</v>
      </c>
      <c r="J784">
        <v>35.79</v>
      </c>
      <c r="K784">
        <v>752.66</v>
      </c>
      <c r="L784">
        <f t="shared" si="120"/>
        <v>0</v>
      </c>
      <c r="M784">
        <f t="shared" si="121"/>
        <v>0</v>
      </c>
      <c r="N784">
        <f t="shared" si="122"/>
        <v>0</v>
      </c>
      <c r="O784">
        <f t="shared" si="123"/>
        <v>0</v>
      </c>
      <c r="P784">
        <f t="shared" si="124"/>
        <v>0</v>
      </c>
      <c r="Q784">
        <f t="shared" si="125"/>
        <v>0</v>
      </c>
      <c r="R784">
        <f t="shared" si="126"/>
        <v>0</v>
      </c>
      <c r="S784">
        <f t="shared" si="127"/>
        <v>0</v>
      </c>
      <c r="T784">
        <f t="shared" si="129"/>
        <v>0</v>
      </c>
      <c r="U784">
        <f t="shared" si="128"/>
        <v>0</v>
      </c>
    </row>
    <row r="785" spans="1:21" x14ac:dyDescent="0.25">
      <c r="A785" s="2">
        <v>784</v>
      </c>
      <c r="B785" s="2" t="s">
        <v>611</v>
      </c>
      <c r="C785" s="2" t="s">
        <v>163</v>
      </c>
      <c r="D785">
        <v>1110.9000000000001</v>
      </c>
      <c r="E785" s="80">
        <v>201125.46</v>
      </c>
      <c r="F785">
        <v>35.630000000000003</v>
      </c>
      <c r="G785">
        <v>349.59</v>
      </c>
      <c r="H785" s="80">
        <v>24065.75</v>
      </c>
      <c r="I785" s="80">
        <v>16600.349999999999</v>
      </c>
      <c r="J785">
        <v>156.80000000000001</v>
      </c>
      <c r="K785" s="80">
        <v>30505.87</v>
      </c>
      <c r="L785">
        <f t="shared" si="120"/>
        <v>0</v>
      </c>
      <c r="M785">
        <f t="shared" si="121"/>
        <v>0</v>
      </c>
      <c r="N785">
        <f t="shared" si="122"/>
        <v>0</v>
      </c>
      <c r="O785">
        <f t="shared" si="123"/>
        <v>0</v>
      </c>
      <c r="P785">
        <f t="shared" si="124"/>
        <v>0</v>
      </c>
      <c r="Q785">
        <f t="shared" si="125"/>
        <v>0</v>
      </c>
      <c r="R785">
        <f t="shared" si="126"/>
        <v>0</v>
      </c>
      <c r="S785">
        <f t="shared" si="127"/>
        <v>0</v>
      </c>
      <c r="T785">
        <f t="shared" si="129"/>
        <v>0</v>
      </c>
      <c r="U785">
        <f t="shared" si="128"/>
        <v>0</v>
      </c>
    </row>
    <row r="786" spans="1:21" x14ac:dyDescent="0.25">
      <c r="A786" s="2">
        <v>785</v>
      </c>
      <c r="B786" s="2" t="s">
        <v>611</v>
      </c>
      <c r="C786" s="2" t="s">
        <v>181</v>
      </c>
      <c r="D786">
        <v>14.57</v>
      </c>
      <c r="E786" s="80">
        <v>70380.639999999999</v>
      </c>
      <c r="F786">
        <v>0.92</v>
      </c>
      <c r="G786">
        <v>93.19</v>
      </c>
      <c r="H786">
        <v>47.5</v>
      </c>
      <c r="I786">
        <v>2.31</v>
      </c>
      <c r="J786">
        <v>30.73</v>
      </c>
      <c r="K786">
        <v>11.06</v>
      </c>
      <c r="L786">
        <f t="shared" si="120"/>
        <v>0</v>
      </c>
      <c r="M786">
        <f t="shared" si="121"/>
        <v>0</v>
      </c>
      <c r="N786">
        <f t="shared" si="122"/>
        <v>0</v>
      </c>
      <c r="O786">
        <f t="shared" si="123"/>
        <v>0</v>
      </c>
      <c r="P786">
        <f t="shared" si="124"/>
        <v>0</v>
      </c>
      <c r="Q786">
        <f t="shared" si="125"/>
        <v>0</v>
      </c>
      <c r="R786">
        <f t="shared" si="126"/>
        <v>0</v>
      </c>
      <c r="S786">
        <f t="shared" si="127"/>
        <v>0</v>
      </c>
      <c r="T786">
        <f t="shared" si="129"/>
        <v>0</v>
      </c>
      <c r="U786">
        <f t="shared" si="128"/>
        <v>0</v>
      </c>
    </row>
    <row r="787" spans="1:21" x14ac:dyDescent="0.25">
      <c r="A787" s="2">
        <v>786</v>
      </c>
      <c r="B787" s="2" t="s">
        <v>611</v>
      </c>
      <c r="C787" s="2" t="s">
        <v>183</v>
      </c>
      <c r="D787">
        <v>30.68</v>
      </c>
      <c r="E787" s="80">
        <v>127875.91</v>
      </c>
      <c r="F787">
        <v>7.16</v>
      </c>
      <c r="G787">
        <v>166.73</v>
      </c>
      <c r="H787">
        <v>690.09</v>
      </c>
      <c r="I787" s="80">
        <v>6676.21</v>
      </c>
      <c r="J787">
        <v>53.16</v>
      </c>
      <c r="K787">
        <v>1820.66</v>
      </c>
      <c r="L787">
        <f t="shared" si="120"/>
        <v>0</v>
      </c>
      <c r="M787">
        <f t="shared" si="121"/>
        <v>0</v>
      </c>
      <c r="N787">
        <f t="shared" si="122"/>
        <v>0</v>
      </c>
      <c r="O787">
        <f t="shared" si="123"/>
        <v>0</v>
      </c>
      <c r="P787">
        <f t="shared" si="124"/>
        <v>0</v>
      </c>
      <c r="Q787">
        <f t="shared" si="125"/>
        <v>0</v>
      </c>
      <c r="R787">
        <f t="shared" si="126"/>
        <v>0</v>
      </c>
      <c r="S787">
        <f t="shared" si="127"/>
        <v>0</v>
      </c>
      <c r="T787">
        <f t="shared" si="129"/>
        <v>0</v>
      </c>
      <c r="U787">
        <f t="shared" si="128"/>
        <v>0</v>
      </c>
    </row>
    <row r="788" spans="1:21" x14ac:dyDescent="0.25">
      <c r="A788" s="2">
        <v>787</v>
      </c>
      <c r="B788" s="2" t="s">
        <v>611</v>
      </c>
      <c r="C788" s="2" t="s">
        <v>186</v>
      </c>
      <c r="D788">
        <v>32.85</v>
      </c>
      <c r="E788" s="80">
        <v>61173.1</v>
      </c>
      <c r="F788">
        <v>293.7</v>
      </c>
      <c r="G788">
        <v>181.19</v>
      </c>
      <c r="H788">
        <v>2369.33</v>
      </c>
      <c r="I788" s="80">
        <v>26559.29</v>
      </c>
      <c r="J788">
        <v>70.28</v>
      </c>
      <c r="K788">
        <v>5404.78</v>
      </c>
      <c r="L788">
        <f t="shared" si="120"/>
        <v>0</v>
      </c>
      <c r="M788">
        <f t="shared" si="121"/>
        <v>0</v>
      </c>
      <c r="N788">
        <f t="shared" si="122"/>
        <v>0</v>
      </c>
      <c r="O788">
        <f t="shared" si="123"/>
        <v>0</v>
      </c>
      <c r="P788">
        <f t="shared" si="124"/>
        <v>0</v>
      </c>
      <c r="Q788">
        <f t="shared" si="125"/>
        <v>0</v>
      </c>
      <c r="R788">
        <f t="shared" si="126"/>
        <v>0</v>
      </c>
      <c r="S788">
        <f t="shared" si="127"/>
        <v>0</v>
      </c>
      <c r="T788">
        <f t="shared" si="129"/>
        <v>0</v>
      </c>
      <c r="U788">
        <f t="shared" si="128"/>
        <v>0</v>
      </c>
    </row>
    <row r="789" spans="1:21" x14ac:dyDescent="0.25">
      <c r="A789" s="2">
        <v>788</v>
      </c>
      <c r="B789" s="2" t="s">
        <v>611</v>
      </c>
      <c r="C789" s="2" t="s">
        <v>188</v>
      </c>
      <c r="D789">
        <v>51.19</v>
      </c>
      <c r="E789" s="80">
        <v>129020.93</v>
      </c>
      <c r="F789">
        <v>30.69</v>
      </c>
      <c r="G789">
        <v>234.14</v>
      </c>
      <c r="H789">
        <v>5314.4</v>
      </c>
      <c r="I789" s="80">
        <v>11741.73</v>
      </c>
      <c r="J789">
        <v>126.48</v>
      </c>
      <c r="K789" s="80">
        <v>24904.62</v>
      </c>
      <c r="L789">
        <f t="shared" si="120"/>
        <v>0</v>
      </c>
      <c r="M789">
        <f t="shared" si="121"/>
        <v>0</v>
      </c>
      <c r="N789">
        <f t="shared" si="122"/>
        <v>0</v>
      </c>
      <c r="O789">
        <f t="shared" si="123"/>
        <v>0</v>
      </c>
      <c r="P789">
        <f t="shared" si="124"/>
        <v>0</v>
      </c>
      <c r="Q789">
        <f t="shared" si="125"/>
        <v>0</v>
      </c>
      <c r="R789">
        <f t="shared" si="126"/>
        <v>0</v>
      </c>
      <c r="S789">
        <f t="shared" si="127"/>
        <v>0</v>
      </c>
      <c r="T789">
        <f t="shared" si="129"/>
        <v>0</v>
      </c>
      <c r="U789">
        <f t="shared" si="128"/>
        <v>0</v>
      </c>
    </row>
    <row r="790" spans="1:21" x14ac:dyDescent="0.25">
      <c r="A790" s="2">
        <v>789</v>
      </c>
      <c r="B790" s="2" t="s">
        <v>611</v>
      </c>
      <c r="C790" s="2" t="s">
        <v>182</v>
      </c>
      <c r="D790" s="80">
        <v>0.22</v>
      </c>
      <c r="E790">
        <v>2162.7600000000002</v>
      </c>
      <c r="F790">
        <v>0.44</v>
      </c>
      <c r="G790" s="80">
        <v>15.31</v>
      </c>
      <c r="H790">
        <v>1.1599999999999999</v>
      </c>
      <c r="I790">
        <v>0.28999999999999998</v>
      </c>
      <c r="J790">
        <v>2.21</v>
      </c>
      <c r="K790">
        <v>0.6</v>
      </c>
      <c r="L790">
        <f t="shared" si="120"/>
        <v>0</v>
      </c>
      <c r="M790">
        <f t="shared" si="121"/>
        <v>0</v>
      </c>
      <c r="N790">
        <f t="shared" si="122"/>
        <v>0</v>
      </c>
      <c r="O790">
        <f t="shared" si="123"/>
        <v>0</v>
      </c>
      <c r="P790">
        <f t="shared" si="124"/>
        <v>0</v>
      </c>
      <c r="Q790">
        <f t="shared" si="125"/>
        <v>0</v>
      </c>
      <c r="R790">
        <f t="shared" si="126"/>
        <v>0</v>
      </c>
      <c r="S790">
        <f t="shared" si="127"/>
        <v>0</v>
      </c>
      <c r="T790">
        <f t="shared" si="129"/>
        <v>0</v>
      </c>
      <c r="U790">
        <f t="shared" si="128"/>
        <v>0</v>
      </c>
    </row>
    <row r="791" spans="1:21" x14ac:dyDescent="0.25">
      <c r="A791" s="2">
        <v>790</v>
      </c>
      <c r="B791" s="2" t="s">
        <v>611</v>
      </c>
      <c r="C791" s="41" t="s">
        <v>184</v>
      </c>
      <c r="D791">
        <v>16.45</v>
      </c>
      <c r="E791" s="80">
        <v>53318.95</v>
      </c>
      <c r="F791">
        <v>98.2</v>
      </c>
      <c r="G791">
        <v>99.41</v>
      </c>
      <c r="H791">
        <v>1042.28</v>
      </c>
      <c r="I791" s="80">
        <v>18321.009999999998</v>
      </c>
      <c r="J791">
        <v>43.64</v>
      </c>
      <c r="K791">
        <v>648.36</v>
      </c>
      <c r="L791">
        <f t="shared" si="120"/>
        <v>0</v>
      </c>
      <c r="M791">
        <f t="shared" si="121"/>
        <v>0</v>
      </c>
      <c r="N791">
        <f t="shared" si="122"/>
        <v>0</v>
      </c>
      <c r="O791">
        <f t="shared" si="123"/>
        <v>0</v>
      </c>
      <c r="P791">
        <f t="shared" si="124"/>
        <v>0</v>
      </c>
      <c r="Q791">
        <f t="shared" si="125"/>
        <v>0</v>
      </c>
      <c r="R791">
        <f t="shared" si="126"/>
        <v>0</v>
      </c>
      <c r="S791">
        <f t="shared" si="127"/>
        <v>0</v>
      </c>
      <c r="T791">
        <f t="shared" si="129"/>
        <v>0</v>
      </c>
      <c r="U791">
        <f t="shared" si="128"/>
        <v>0</v>
      </c>
    </row>
    <row r="792" spans="1:21" x14ac:dyDescent="0.25">
      <c r="A792" s="2">
        <v>791</v>
      </c>
      <c r="B792" s="2" t="s">
        <v>611</v>
      </c>
      <c r="C792" s="41" t="s">
        <v>187</v>
      </c>
      <c r="D792">
        <v>100.31</v>
      </c>
      <c r="E792" s="80">
        <v>90892.07</v>
      </c>
      <c r="F792">
        <v>588.59</v>
      </c>
      <c r="G792">
        <v>241.98</v>
      </c>
      <c r="H792">
        <v>11344.7</v>
      </c>
      <c r="I792" s="80">
        <v>26930.92</v>
      </c>
      <c r="J792">
        <v>85.22</v>
      </c>
      <c r="K792">
        <v>4752.26</v>
      </c>
      <c r="L792">
        <f t="shared" si="120"/>
        <v>0</v>
      </c>
      <c r="M792">
        <f t="shared" si="121"/>
        <v>0</v>
      </c>
      <c r="N792">
        <f t="shared" si="122"/>
        <v>0</v>
      </c>
      <c r="O792">
        <f t="shared" si="123"/>
        <v>0</v>
      </c>
      <c r="P792">
        <f t="shared" si="124"/>
        <v>0</v>
      </c>
      <c r="Q792">
        <f t="shared" si="125"/>
        <v>0</v>
      </c>
      <c r="R792">
        <f t="shared" si="126"/>
        <v>0</v>
      </c>
      <c r="S792">
        <f t="shared" si="127"/>
        <v>0</v>
      </c>
      <c r="T792">
        <f t="shared" si="129"/>
        <v>0</v>
      </c>
      <c r="U792">
        <f t="shared" si="128"/>
        <v>0</v>
      </c>
    </row>
    <row r="793" spans="1:21" x14ac:dyDescent="0.25">
      <c r="A793" s="2">
        <v>792</v>
      </c>
      <c r="B793" s="2" t="s">
        <v>611</v>
      </c>
      <c r="C793" s="41" t="s">
        <v>189</v>
      </c>
      <c r="D793">
        <v>203.81</v>
      </c>
      <c r="E793" s="80">
        <v>68384.31</v>
      </c>
      <c r="F793">
        <v>96.51</v>
      </c>
      <c r="G793">
        <v>226.37</v>
      </c>
      <c r="H793">
        <v>7856.82</v>
      </c>
      <c r="I793" s="80">
        <v>15137.74</v>
      </c>
      <c r="J793">
        <v>79.180000000000007</v>
      </c>
      <c r="K793" s="80">
        <v>9855.27</v>
      </c>
      <c r="L793">
        <f t="shared" si="120"/>
        <v>0</v>
      </c>
      <c r="M793">
        <f t="shared" si="121"/>
        <v>0</v>
      </c>
      <c r="N793">
        <f t="shared" si="122"/>
        <v>0</v>
      </c>
      <c r="O793">
        <f t="shared" si="123"/>
        <v>0</v>
      </c>
      <c r="P793">
        <f t="shared" si="124"/>
        <v>0</v>
      </c>
      <c r="Q793">
        <f t="shared" si="125"/>
        <v>0</v>
      </c>
      <c r="R793">
        <f t="shared" si="126"/>
        <v>0</v>
      </c>
      <c r="S793">
        <f t="shared" si="127"/>
        <v>0</v>
      </c>
      <c r="T793">
        <f t="shared" si="129"/>
        <v>0</v>
      </c>
      <c r="U793">
        <f t="shared" si="128"/>
        <v>0</v>
      </c>
    </row>
    <row r="794" spans="1:21" x14ac:dyDescent="0.25">
      <c r="A794" s="2">
        <v>793</v>
      </c>
      <c r="B794" s="39">
        <v>1020</v>
      </c>
      <c r="C794" s="41" t="s">
        <v>162</v>
      </c>
      <c r="D794">
        <v>16.45</v>
      </c>
      <c r="E794" s="80">
        <v>34837.93</v>
      </c>
      <c r="F794">
        <v>0.84</v>
      </c>
      <c r="G794">
        <v>99.41</v>
      </c>
      <c r="H794">
        <v>2.87</v>
      </c>
      <c r="I794">
        <v>1.17</v>
      </c>
      <c r="J794">
        <v>25.83</v>
      </c>
      <c r="K794">
        <v>2.64</v>
      </c>
      <c r="L794">
        <f t="shared" si="120"/>
        <v>0</v>
      </c>
      <c r="M794">
        <f t="shared" si="121"/>
        <v>0</v>
      </c>
      <c r="N794">
        <f t="shared" si="122"/>
        <v>0</v>
      </c>
      <c r="O794">
        <f t="shared" si="123"/>
        <v>0</v>
      </c>
      <c r="P794">
        <f t="shared" si="124"/>
        <v>0</v>
      </c>
      <c r="Q794">
        <f t="shared" si="125"/>
        <v>0</v>
      </c>
      <c r="R794">
        <f t="shared" si="126"/>
        <v>0</v>
      </c>
      <c r="S794">
        <f t="shared" si="127"/>
        <v>0</v>
      </c>
      <c r="T794">
        <f t="shared" si="129"/>
        <v>0</v>
      </c>
      <c r="U794">
        <f t="shared" si="128"/>
        <v>0</v>
      </c>
    </row>
    <row r="795" spans="1:21" x14ac:dyDescent="0.25">
      <c r="A795" s="2">
        <v>794</v>
      </c>
      <c r="B795" s="39">
        <v>1020</v>
      </c>
      <c r="C795" s="41" t="s">
        <v>170</v>
      </c>
      <c r="D795">
        <v>14.57</v>
      </c>
      <c r="E795" s="80">
        <v>27864.79</v>
      </c>
      <c r="F795">
        <v>112.13</v>
      </c>
      <c r="G795">
        <v>105.73</v>
      </c>
      <c r="H795">
        <v>2129.5500000000002</v>
      </c>
      <c r="I795" s="80">
        <v>13181.98</v>
      </c>
      <c r="J795">
        <v>31.98</v>
      </c>
      <c r="K795">
        <v>217.46</v>
      </c>
      <c r="L795">
        <f t="shared" si="120"/>
        <v>0</v>
      </c>
      <c r="M795">
        <f t="shared" si="121"/>
        <v>0</v>
      </c>
      <c r="N795">
        <f t="shared" si="122"/>
        <v>0</v>
      </c>
      <c r="O795">
        <f t="shared" si="123"/>
        <v>0</v>
      </c>
      <c r="P795">
        <f t="shared" si="124"/>
        <v>0</v>
      </c>
      <c r="Q795">
        <f t="shared" si="125"/>
        <v>0</v>
      </c>
      <c r="R795">
        <f t="shared" si="126"/>
        <v>0</v>
      </c>
      <c r="S795">
        <f t="shared" si="127"/>
        <v>0</v>
      </c>
      <c r="T795">
        <f t="shared" si="129"/>
        <v>0</v>
      </c>
      <c r="U795">
        <f t="shared" si="128"/>
        <v>0</v>
      </c>
    </row>
    <row r="796" spans="1:21" x14ac:dyDescent="0.25">
      <c r="A796" s="2">
        <v>795</v>
      </c>
      <c r="B796" s="39">
        <v>1020</v>
      </c>
      <c r="C796" s="41" t="s">
        <v>178</v>
      </c>
      <c r="D796">
        <v>33.950000000000003</v>
      </c>
      <c r="E796" s="80">
        <v>41095.96</v>
      </c>
      <c r="F796">
        <v>763.06</v>
      </c>
      <c r="G796">
        <v>145.62</v>
      </c>
      <c r="H796">
        <v>7258.39</v>
      </c>
      <c r="I796" s="80">
        <v>20652.939999999999</v>
      </c>
      <c r="J796">
        <v>38.369999999999997</v>
      </c>
      <c r="K796">
        <v>561.23</v>
      </c>
      <c r="L796">
        <f t="shared" si="120"/>
        <v>0</v>
      </c>
      <c r="M796">
        <f t="shared" si="121"/>
        <v>0</v>
      </c>
      <c r="N796">
        <f t="shared" si="122"/>
        <v>0</v>
      </c>
      <c r="O796">
        <f t="shared" si="123"/>
        <v>0</v>
      </c>
      <c r="P796">
        <f t="shared" si="124"/>
        <v>0</v>
      </c>
      <c r="Q796">
        <f t="shared" si="125"/>
        <v>0</v>
      </c>
      <c r="R796">
        <f t="shared" si="126"/>
        <v>0</v>
      </c>
      <c r="S796">
        <f t="shared" si="127"/>
        <v>0</v>
      </c>
      <c r="T796">
        <f t="shared" si="129"/>
        <v>0</v>
      </c>
      <c r="U796">
        <f t="shared" si="128"/>
        <v>0</v>
      </c>
    </row>
    <row r="797" spans="1:21" x14ac:dyDescent="0.25">
      <c r="A797" s="2">
        <v>796</v>
      </c>
      <c r="B797" s="39">
        <v>1020</v>
      </c>
      <c r="C797" s="41" t="s">
        <v>163</v>
      </c>
      <c r="D797">
        <v>62.19</v>
      </c>
      <c r="E797" s="80">
        <v>36418.620000000003</v>
      </c>
      <c r="F797">
        <v>375.89</v>
      </c>
      <c r="G797">
        <v>188.54</v>
      </c>
      <c r="H797" s="80">
        <v>20469.490000000002</v>
      </c>
      <c r="I797" s="80">
        <v>21433.61</v>
      </c>
      <c r="J797">
        <v>85.22</v>
      </c>
      <c r="K797" s="80">
        <v>14159.89</v>
      </c>
      <c r="L797">
        <f t="shared" si="120"/>
        <v>0</v>
      </c>
      <c r="M797">
        <f t="shared" si="121"/>
        <v>0</v>
      </c>
      <c r="N797">
        <f t="shared" si="122"/>
        <v>0</v>
      </c>
      <c r="O797">
        <f t="shared" si="123"/>
        <v>0</v>
      </c>
      <c r="P797">
        <f t="shared" si="124"/>
        <v>0</v>
      </c>
      <c r="Q797">
        <f t="shared" si="125"/>
        <v>0</v>
      </c>
      <c r="R797">
        <f t="shared" si="126"/>
        <v>0</v>
      </c>
      <c r="S797">
        <f t="shared" si="127"/>
        <v>0</v>
      </c>
      <c r="T797">
        <f t="shared" si="129"/>
        <v>0</v>
      </c>
      <c r="U797">
        <f t="shared" si="128"/>
        <v>0</v>
      </c>
    </row>
    <row r="798" spans="1:21" x14ac:dyDescent="0.25">
      <c r="A798" s="2">
        <v>797</v>
      </c>
      <c r="B798" s="39">
        <v>1020</v>
      </c>
      <c r="C798" s="41" t="s">
        <v>181</v>
      </c>
      <c r="D798">
        <v>26.44</v>
      </c>
      <c r="E798" s="80">
        <v>149564.21</v>
      </c>
      <c r="F798">
        <v>1.08</v>
      </c>
      <c r="G798">
        <v>152.57</v>
      </c>
      <c r="H798">
        <v>41.35</v>
      </c>
      <c r="I798">
        <v>111.9</v>
      </c>
      <c r="J798">
        <v>39.67</v>
      </c>
      <c r="K798">
        <v>34.39</v>
      </c>
      <c r="L798">
        <f t="shared" si="120"/>
        <v>0</v>
      </c>
      <c r="M798">
        <f t="shared" si="121"/>
        <v>0</v>
      </c>
      <c r="N798">
        <f t="shared" si="122"/>
        <v>0</v>
      </c>
      <c r="O798">
        <f t="shared" si="123"/>
        <v>0</v>
      </c>
      <c r="P798">
        <f t="shared" si="124"/>
        <v>0</v>
      </c>
      <c r="Q798">
        <f t="shared" si="125"/>
        <v>0</v>
      </c>
      <c r="R798">
        <f t="shared" si="126"/>
        <v>0</v>
      </c>
      <c r="S798">
        <f t="shared" si="127"/>
        <v>0</v>
      </c>
      <c r="T798">
        <f t="shared" si="129"/>
        <v>0</v>
      </c>
      <c r="U798">
        <f t="shared" si="128"/>
        <v>0</v>
      </c>
    </row>
    <row r="799" spans="1:21" x14ac:dyDescent="0.25">
      <c r="A799" s="2">
        <v>798</v>
      </c>
      <c r="B799" s="39">
        <v>1020</v>
      </c>
      <c r="C799" s="41" t="s">
        <v>183</v>
      </c>
      <c r="D799">
        <v>51.19</v>
      </c>
      <c r="E799" s="80">
        <v>178403.13</v>
      </c>
      <c r="F799">
        <v>904.22</v>
      </c>
      <c r="G799">
        <v>241.98</v>
      </c>
      <c r="H799">
        <v>6147.17</v>
      </c>
      <c r="I799" s="80">
        <v>33816.160000000003</v>
      </c>
      <c r="J799">
        <v>85.22</v>
      </c>
      <c r="K799">
        <v>2613.37</v>
      </c>
      <c r="L799">
        <f t="shared" si="120"/>
        <v>0</v>
      </c>
      <c r="M799">
        <f t="shared" si="121"/>
        <v>0</v>
      </c>
      <c r="N799">
        <f t="shared" si="122"/>
        <v>0</v>
      </c>
      <c r="O799">
        <f t="shared" si="123"/>
        <v>0</v>
      </c>
      <c r="P799">
        <f t="shared" si="124"/>
        <v>0</v>
      </c>
      <c r="Q799">
        <f t="shared" si="125"/>
        <v>0</v>
      </c>
      <c r="R799">
        <f t="shared" si="126"/>
        <v>0</v>
      </c>
      <c r="S799">
        <f t="shared" si="127"/>
        <v>0</v>
      </c>
      <c r="T799">
        <f t="shared" si="129"/>
        <v>0</v>
      </c>
      <c r="U799">
        <f t="shared" si="128"/>
        <v>0</v>
      </c>
    </row>
    <row r="800" spans="1:21" x14ac:dyDescent="0.25">
      <c r="A800" s="2">
        <v>799</v>
      </c>
      <c r="B800" s="93">
        <v>1020</v>
      </c>
      <c r="C800" s="41" t="s">
        <v>186</v>
      </c>
      <c r="D800">
        <v>65.95</v>
      </c>
      <c r="E800" s="80">
        <v>207653.06</v>
      </c>
      <c r="F800" s="89" t="s">
        <v>582</v>
      </c>
      <c r="G800">
        <v>340.96</v>
      </c>
      <c r="H800" s="80">
        <v>36394.410000000003</v>
      </c>
      <c r="I800" s="80">
        <v>37771.75</v>
      </c>
      <c r="J800">
        <v>105.45</v>
      </c>
      <c r="K800" s="80">
        <v>8237.2099999999991</v>
      </c>
      <c r="L800">
        <f t="shared" si="120"/>
        <v>0</v>
      </c>
      <c r="M800">
        <f t="shared" si="121"/>
        <v>0</v>
      </c>
      <c r="N800">
        <f t="shared" si="122"/>
        <v>1</v>
      </c>
      <c r="O800">
        <f t="shared" si="123"/>
        <v>0</v>
      </c>
      <c r="P800">
        <f t="shared" si="124"/>
        <v>0</v>
      </c>
      <c r="Q800">
        <f t="shared" si="125"/>
        <v>0</v>
      </c>
      <c r="R800">
        <f t="shared" si="126"/>
        <v>0</v>
      </c>
      <c r="S800">
        <f t="shared" si="127"/>
        <v>0</v>
      </c>
      <c r="T800">
        <f t="shared" si="129"/>
        <v>1</v>
      </c>
      <c r="U800">
        <f t="shared" si="128"/>
        <v>1</v>
      </c>
    </row>
    <row r="801" spans="1:21" x14ac:dyDescent="0.25">
      <c r="A801" s="2">
        <v>800</v>
      </c>
      <c r="B801" s="39">
        <v>1020</v>
      </c>
      <c r="C801" s="41" t="s">
        <v>188</v>
      </c>
      <c r="D801" t="s">
        <v>583</v>
      </c>
      <c r="E801">
        <v>641</v>
      </c>
      <c r="F801">
        <v>0.47</v>
      </c>
      <c r="G801">
        <v>23.57</v>
      </c>
      <c r="H801">
        <v>10.039999999999999</v>
      </c>
      <c r="I801">
        <v>27.82</v>
      </c>
      <c r="J801">
        <v>3.78</v>
      </c>
      <c r="K801">
        <v>16.28</v>
      </c>
      <c r="L801">
        <f t="shared" si="120"/>
        <v>0</v>
      </c>
      <c r="M801">
        <f t="shared" si="121"/>
        <v>0</v>
      </c>
      <c r="N801">
        <f t="shared" si="122"/>
        <v>0</v>
      </c>
      <c r="O801">
        <f t="shared" si="123"/>
        <v>0</v>
      </c>
      <c r="P801">
        <f t="shared" si="124"/>
        <v>0</v>
      </c>
      <c r="Q801">
        <f t="shared" si="125"/>
        <v>0</v>
      </c>
      <c r="R801">
        <f t="shared" si="126"/>
        <v>0</v>
      </c>
      <c r="S801">
        <f t="shared" si="127"/>
        <v>0</v>
      </c>
      <c r="T801">
        <f t="shared" si="129"/>
        <v>0</v>
      </c>
      <c r="U801">
        <f t="shared" si="128"/>
        <v>0</v>
      </c>
    </row>
    <row r="802" spans="1:21" x14ac:dyDescent="0.25">
      <c r="A802" s="2">
        <v>801</v>
      </c>
      <c r="B802" s="39">
        <v>1020</v>
      </c>
      <c r="C802" s="41" t="s">
        <v>182</v>
      </c>
      <c r="D802">
        <v>1.79</v>
      </c>
      <c r="E802">
        <v>627.57000000000005</v>
      </c>
      <c r="F802">
        <v>0.42</v>
      </c>
      <c r="G802" s="80">
        <v>15.31</v>
      </c>
      <c r="H802">
        <v>0.17</v>
      </c>
      <c r="I802">
        <v>0.89</v>
      </c>
      <c r="J802">
        <v>3.78</v>
      </c>
      <c r="K802" s="80">
        <v>0.04</v>
      </c>
      <c r="L802">
        <f t="shared" si="120"/>
        <v>0</v>
      </c>
      <c r="M802">
        <f t="shared" si="121"/>
        <v>0</v>
      </c>
      <c r="N802">
        <f t="shared" si="122"/>
        <v>0</v>
      </c>
      <c r="O802">
        <f t="shared" si="123"/>
        <v>0</v>
      </c>
      <c r="P802">
        <f t="shared" si="124"/>
        <v>0</v>
      </c>
      <c r="Q802">
        <f t="shared" si="125"/>
        <v>0</v>
      </c>
      <c r="R802">
        <f t="shared" si="126"/>
        <v>0</v>
      </c>
      <c r="S802">
        <f t="shared" si="127"/>
        <v>0</v>
      </c>
      <c r="T802">
        <f t="shared" si="129"/>
        <v>0</v>
      </c>
      <c r="U802">
        <f t="shared" si="128"/>
        <v>0</v>
      </c>
    </row>
    <row r="803" spans="1:21" x14ac:dyDescent="0.25">
      <c r="A803" s="2">
        <v>802</v>
      </c>
      <c r="B803" s="39">
        <v>1020</v>
      </c>
      <c r="C803" s="41" t="s">
        <v>184</v>
      </c>
      <c r="D803">
        <v>14.57</v>
      </c>
      <c r="E803">
        <v>20381.37</v>
      </c>
      <c r="F803">
        <v>55.09</v>
      </c>
      <c r="G803">
        <v>75.180000000000007</v>
      </c>
      <c r="H803">
        <v>5000.01</v>
      </c>
      <c r="I803" s="80">
        <v>15786.73</v>
      </c>
      <c r="J803">
        <v>30.73</v>
      </c>
      <c r="K803">
        <v>343.17</v>
      </c>
      <c r="L803">
        <f t="shared" si="120"/>
        <v>0</v>
      </c>
      <c r="M803">
        <f t="shared" si="121"/>
        <v>0</v>
      </c>
      <c r="N803">
        <f t="shared" si="122"/>
        <v>0</v>
      </c>
      <c r="O803">
        <f t="shared" si="123"/>
        <v>0</v>
      </c>
      <c r="P803">
        <f t="shared" si="124"/>
        <v>0</v>
      </c>
      <c r="Q803">
        <f t="shared" si="125"/>
        <v>0</v>
      </c>
      <c r="R803">
        <f t="shared" si="126"/>
        <v>0</v>
      </c>
      <c r="S803">
        <f t="shared" si="127"/>
        <v>0</v>
      </c>
      <c r="T803">
        <f t="shared" si="129"/>
        <v>0</v>
      </c>
      <c r="U803">
        <f t="shared" si="128"/>
        <v>0</v>
      </c>
    </row>
    <row r="804" spans="1:21" x14ac:dyDescent="0.25">
      <c r="A804" s="2">
        <v>803</v>
      </c>
      <c r="B804" s="39">
        <v>1020</v>
      </c>
      <c r="C804" s="41" t="s">
        <v>187</v>
      </c>
      <c r="D804">
        <v>22.33</v>
      </c>
      <c r="E804" s="80">
        <v>27833.65</v>
      </c>
      <c r="F804">
        <v>62.96</v>
      </c>
      <c r="G804">
        <v>138.75</v>
      </c>
      <c r="H804" s="80">
        <v>17880.25</v>
      </c>
      <c r="I804" s="80">
        <v>15304.9</v>
      </c>
      <c r="J804">
        <v>44.97</v>
      </c>
      <c r="K804">
        <v>2018.82</v>
      </c>
      <c r="L804">
        <f t="shared" si="120"/>
        <v>0</v>
      </c>
      <c r="M804">
        <f t="shared" si="121"/>
        <v>0</v>
      </c>
      <c r="N804">
        <f t="shared" si="122"/>
        <v>0</v>
      </c>
      <c r="O804">
        <f t="shared" si="123"/>
        <v>0</v>
      </c>
      <c r="P804">
        <f t="shared" si="124"/>
        <v>0</v>
      </c>
      <c r="Q804">
        <f t="shared" si="125"/>
        <v>0</v>
      </c>
      <c r="R804">
        <f t="shared" si="126"/>
        <v>0</v>
      </c>
      <c r="S804">
        <f t="shared" si="127"/>
        <v>0</v>
      </c>
      <c r="T804">
        <f t="shared" si="129"/>
        <v>0</v>
      </c>
      <c r="U804">
        <f t="shared" si="128"/>
        <v>0</v>
      </c>
    </row>
    <row r="805" spans="1:21" x14ac:dyDescent="0.25">
      <c r="A805" s="2">
        <v>804</v>
      </c>
      <c r="B805" s="39">
        <v>1020</v>
      </c>
      <c r="C805" s="41" t="s">
        <v>189</v>
      </c>
      <c r="D805">
        <v>24.37</v>
      </c>
      <c r="E805" s="80">
        <v>26838.18</v>
      </c>
      <c r="F805">
        <v>22.28</v>
      </c>
      <c r="G805">
        <v>112.15</v>
      </c>
      <c r="H805">
        <v>7114.49</v>
      </c>
      <c r="I805" s="80">
        <v>11373.01</v>
      </c>
      <c r="J805">
        <v>35.79</v>
      </c>
      <c r="K805">
        <v>2422.06</v>
      </c>
      <c r="L805">
        <f t="shared" si="120"/>
        <v>0</v>
      </c>
      <c r="M805">
        <f t="shared" si="121"/>
        <v>0</v>
      </c>
      <c r="N805">
        <f t="shared" si="122"/>
        <v>0</v>
      </c>
      <c r="O805">
        <f t="shared" si="123"/>
        <v>0</v>
      </c>
      <c r="P805">
        <f t="shared" si="124"/>
        <v>0</v>
      </c>
      <c r="Q805">
        <f t="shared" si="125"/>
        <v>0</v>
      </c>
      <c r="R805">
        <f t="shared" si="126"/>
        <v>0</v>
      </c>
      <c r="S805">
        <f t="shared" si="127"/>
        <v>0</v>
      </c>
      <c r="T805">
        <f t="shared" si="129"/>
        <v>0</v>
      </c>
      <c r="U805">
        <f t="shared" si="128"/>
        <v>0</v>
      </c>
    </row>
    <row r="806" spans="1:21" x14ac:dyDescent="0.25">
      <c r="A806" s="2">
        <v>805</v>
      </c>
      <c r="B806" s="39">
        <v>2013</v>
      </c>
      <c r="C806" s="41" t="s">
        <v>162</v>
      </c>
      <c r="D806">
        <v>22.33</v>
      </c>
      <c r="E806" s="80">
        <v>60487.98</v>
      </c>
      <c r="F806">
        <v>1.08</v>
      </c>
      <c r="G806">
        <v>87.08</v>
      </c>
      <c r="H806">
        <v>2.57</v>
      </c>
      <c r="I806">
        <v>2.36</v>
      </c>
      <c r="J806">
        <v>31.98</v>
      </c>
      <c r="K806">
        <v>6.75</v>
      </c>
      <c r="L806">
        <f t="shared" si="120"/>
        <v>0</v>
      </c>
      <c r="M806">
        <f t="shared" si="121"/>
        <v>0</v>
      </c>
      <c r="N806">
        <f t="shared" si="122"/>
        <v>0</v>
      </c>
      <c r="O806">
        <f t="shared" si="123"/>
        <v>0</v>
      </c>
      <c r="P806">
        <f t="shared" si="124"/>
        <v>0</v>
      </c>
      <c r="Q806">
        <f t="shared" si="125"/>
        <v>0</v>
      </c>
      <c r="R806">
        <f t="shared" si="126"/>
        <v>0</v>
      </c>
      <c r="S806">
        <f t="shared" si="127"/>
        <v>0</v>
      </c>
      <c r="T806">
        <f t="shared" si="129"/>
        <v>0</v>
      </c>
      <c r="U806">
        <f t="shared" si="128"/>
        <v>0</v>
      </c>
    </row>
    <row r="807" spans="1:21" x14ac:dyDescent="0.25">
      <c r="A807" s="2">
        <v>806</v>
      </c>
      <c r="B807" s="39">
        <v>2013</v>
      </c>
      <c r="C807" s="41" t="s">
        <v>170</v>
      </c>
      <c r="D807">
        <v>32.85</v>
      </c>
      <c r="E807" s="80">
        <v>37367.32</v>
      </c>
      <c r="F807">
        <v>84.96</v>
      </c>
      <c r="G807">
        <v>112.15</v>
      </c>
      <c r="H807">
        <v>894.12</v>
      </c>
      <c r="I807" s="80">
        <v>17053.78</v>
      </c>
      <c r="J807">
        <v>38.369999999999997</v>
      </c>
      <c r="K807">
        <v>686.55</v>
      </c>
      <c r="L807">
        <f t="shared" si="120"/>
        <v>0</v>
      </c>
      <c r="M807">
        <f t="shared" si="121"/>
        <v>0</v>
      </c>
      <c r="N807">
        <f t="shared" si="122"/>
        <v>0</v>
      </c>
      <c r="O807">
        <f t="shared" si="123"/>
        <v>0</v>
      </c>
      <c r="P807">
        <f t="shared" si="124"/>
        <v>0</v>
      </c>
      <c r="Q807">
        <f t="shared" si="125"/>
        <v>0</v>
      </c>
      <c r="R807">
        <f t="shared" si="126"/>
        <v>0</v>
      </c>
      <c r="S807">
        <f t="shared" si="127"/>
        <v>0</v>
      </c>
      <c r="T807">
        <f t="shared" si="129"/>
        <v>0</v>
      </c>
      <c r="U807">
        <f t="shared" si="128"/>
        <v>0</v>
      </c>
    </row>
    <row r="808" spans="1:21" x14ac:dyDescent="0.25">
      <c r="A808" s="2">
        <v>807</v>
      </c>
      <c r="B808" s="39">
        <v>2013</v>
      </c>
      <c r="C808" s="41" t="s">
        <v>178</v>
      </c>
      <c r="D808">
        <v>125.74</v>
      </c>
      <c r="E808" s="80">
        <v>56872.08</v>
      </c>
      <c r="F808">
        <v>692.62</v>
      </c>
      <c r="G808">
        <v>181.19</v>
      </c>
      <c r="H808">
        <v>7488.3</v>
      </c>
      <c r="I808" s="80">
        <v>23712.7</v>
      </c>
      <c r="J808">
        <v>55.95</v>
      </c>
      <c r="K808">
        <v>1435.86</v>
      </c>
      <c r="L808">
        <f t="shared" si="120"/>
        <v>0</v>
      </c>
      <c r="M808">
        <f t="shared" si="121"/>
        <v>0</v>
      </c>
      <c r="N808">
        <f t="shared" si="122"/>
        <v>0</v>
      </c>
      <c r="O808">
        <f t="shared" si="123"/>
        <v>0</v>
      </c>
      <c r="P808">
        <f t="shared" si="124"/>
        <v>0</v>
      </c>
      <c r="Q808">
        <f t="shared" si="125"/>
        <v>0</v>
      </c>
      <c r="R808">
        <f t="shared" si="126"/>
        <v>0</v>
      </c>
      <c r="S808">
        <f t="shared" si="127"/>
        <v>0</v>
      </c>
      <c r="T808">
        <f t="shared" si="129"/>
        <v>0</v>
      </c>
      <c r="U808">
        <f t="shared" si="128"/>
        <v>0</v>
      </c>
    </row>
    <row r="809" spans="1:21" x14ac:dyDescent="0.25">
      <c r="A809" s="2">
        <v>808</v>
      </c>
      <c r="B809" s="39">
        <v>2013</v>
      </c>
      <c r="C809" s="41" t="s">
        <v>163</v>
      </c>
      <c r="D809">
        <v>494.7</v>
      </c>
      <c r="E809" s="80">
        <v>62534.81</v>
      </c>
      <c r="F809">
        <v>67.94</v>
      </c>
      <c r="G809">
        <v>211.03</v>
      </c>
      <c r="H809">
        <v>2290.2199999999998</v>
      </c>
      <c r="I809" s="80">
        <v>15605.72</v>
      </c>
      <c r="J809">
        <v>73.22</v>
      </c>
      <c r="K809" s="80">
        <v>9755.58</v>
      </c>
      <c r="L809">
        <f t="shared" si="120"/>
        <v>0</v>
      </c>
      <c r="M809">
        <f t="shared" si="121"/>
        <v>0</v>
      </c>
      <c r="N809">
        <f t="shared" si="122"/>
        <v>0</v>
      </c>
      <c r="O809">
        <f t="shared" si="123"/>
        <v>0</v>
      </c>
      <c r="P809">
        <f t="shared" si="124"/>
        <v>0</v>
      </c>
      <c r="Q809">
        <f t="shared" si="125"/>
        <v>0</v>
      </c>
      <c r="R809">
        <f t="shared" si="126"/>
        <v>0</v>
      </c>
      <c r="S809">
        <f t="shared" si="127"/>
        <v>0</v>
      </c>
      <c r="T809">
        <f t="shared" si="129"/>
        <v>0</v>
      </c>
      <c r="U809">
        <f t="shared" si="128"/>
        <v>0</v>
      </c>
    </row>
    <row r="810" spans="1:21" x14ac:dyDescent="0.25">
      <c r="A810" s="2">
        <v>809</v>
      </c>
      <c r="B810" s="39">
        <v>2013</v>
      </c>
      <c r="C810" s="41" t="s">
        <v>181</v>
      </c>
      <c r="D810">
        <v>26.44</v>
      </c>
      <c r="E810" s="80">
        <v>133745.37</v>
      </c>
      <c r="F810">
        <v>1.28</v>
      </c>
      <c r="G810">
        <v>125.27</v>
      </c>
      <c r="H810">
        <v>4.4000000000000004</v>
      </c>
      <c r="I810">
        <v>4.4400000000000004</v>
      </c>
      <c r="J810">
        <v>40.99</v>
      </c>
      <c r="K810">
        <v>11.06</v>
      </c>
      <c r="L810">
        <f t="shared" si="120"/>
        <v>0</v>
      </c>
      <c r="M810">
        <f t="shared" si="121"/>
        <v>0</v>
      </c>
      <c r="N810">
        <f t="shared" si="122"/>
        <v>0</v>
      </c>
      <c r="O810">
        <f t="shared" si="123"/>
        <v>0</v>
      </c>
      <c r="P810">
        <f t="shared" si="124"/>
        <v>0</v>
      </c>
      <c r="Q810">
        <f t="shared" si="125"/>
        <v>0</v>
      </c>
      <c r="R810">
        <f t="shared" si="126"/>
        <v>0</v>
      </c>
      <c r="S810">
        <f t="shared" si="127"/>
        <v>0</v>
      </c>
      <c r="T810">
        <f t="shared" si="129"/>
        <v>0</v>
      </c>
      <c r="U810">
        <f t="shared" si="128"/>
        <v>0</v>
      </c>
    </row>
    <row r="811" spans="1:21" x14ac:dyDescent="0.25">
      <c r="A811" s="2">
        <v>810</v>
      </c>
      <c r="B811" s="39">
        <v>2013</v>
      </c>
      <c r="C811" s="41" t="s">
        <v>183</v>
      </c>
      <c r="D811">
        <v>41.81</v>
      </c>
      <c r="E811" s="80">
        <v>108028.78</v>
      </c>
      <c r="F811">
        <v>1670.09</v>
      </c>
      <c r="G811">
        <v>226.37</v>
      </c>
      <c r="H811">
        <v>10996.93</v>
      </c>
      <c r="I811" s="80">
        <v>33531.5</v>
      </c>
      <c r="J811">
        <v>88.28</v>
      </c>
      <c r="K811">
        <v>4451.78</v>
      </c>
      <c r="L811">
        <f t="shared" si="120"/>
        <v>0</v>
      </c>
      <c r="M811">
        <f t="shared" si="121"/>
        <v>0</v>
      </c>
      <c r="N811">
        <f t="shared" si="122"/>
        <v>0</v>
      </c>
      <c r="O811">
        <f t="shared" si="123"/>
        <v>0</v>
      </c>
      <c r="P811">
        <f t="shared" si="124"/>
        <v>0</v>
      </c>
      <c r="Q811">
        <f t="shared" si="125"/>
        <v>0</v>
      </c>
      <c r="R811">
        <f t="shared" si="126"/>
        <v>0</v>
      </c>
      <c r="S811">
        <f t="shared" si="127"/>
        <v>0</v>
      </c>
      <c r="T811">
        <f t="shared" si="129"/>
        <v>0</v>
      </c>
      <c r="U811">
        <f t="shared" si="128"/>
        <v>0</v>
      </c>
    </row>
    <row r="812" spans="1:21" x14ac:dyDescent="0.25">
      <c r="A812" s="2">
        <v>811</v>
      </c>
      <c r="B812" s="93">
        <v>2013</v>
      </c>
      <c r="C812" s="41" t="s">
        <v>186</v>
      </c>
      <c r="D812">
        <v>51.19</v>
      </c>
      <c r="E812" s="80">
        <v>82067.42</v>
      </c>
      <c r="F812" s="89" t="s">
        <v>582</v>
      </c>
      <c r="G812">
        <v>298.67</v>
      </c>
      <c r="H812" s="80">
        <v>50674.28</v>
      </c>
      <c r="I812" s="80">
        <v>34297.879999999997</v>
      </c>
      <c r="J812">
        <v>107.04</v>
      </c>
      <c r="K812" s="80">
        <v>9332.43</v>
      </c>
      <c r="L812">
        <f t="shared" si="120"/>
        <v>0</v>
      </c>
      <c r="M812">
        <f t="shared" si="121"/>
        <v>0</v>
      </c>
      <c r="N812">
        <f t="shared" si="122"/>
        <v>1</v>
      </c>
      <c r="O812">
        <f t="shared" si="123"/>
        <v>0</v>
      </c>
      <c r="P812">
        <f t="shared" si="124"/>
        <v>0</v>
      </c>
      <c r="Q812">
        <f t="shared" si="125"/>
        <v>0</v>
      </c>
      <c r="R812">
        <f t="shared" si="126"/>
        <v>0</v>
      </c>
      <c r="S812">
        <f t="shared" si="127"/>
        <v>0</v>
      </c>
      <c r="T812">
        <f t="shared" si="129"/>
        <v>1</v>
      </c>
      <c r="U812">
        <f t="shared" si="128"/>
        <v>1</v>
      </c>
    </row>
    <row r="813" spans="1:21" x14ac:dyDescent="0.25">
      <c r="A813" s="2">
        <v>812</v>
      </c>
      <c r="B813" s="39">
        <v>2013</v>
      </c>
      <c r="C813" s="41" t="s">
        <v>188</v>
      </c>
      <c r="D813">
        <v>63.44</v>
      </c>
      <c r="E813" s="80">
        <v>185486.81</v>
      </c>
      <c r="F813">
        <v>357.77</v>
      </c>
      <c r="G813">
        <v>282.16000000000003</v>
      </c>
      <c r="H813">
        <v>10086.959999999999</v>
      </c>
      <c r="I813" s="80">
        <v>27681.89</v>
      </c>
      <c r="J813">
        <v>143.16</v>
      </c>
      <c r="K813" s="80">
        <v>30459.14</v>
      </c>
      <c r="L813">
        <f t="shared" si="120"/>
        <v>0</v>
      </c>
      <c r="M813">
        <f t="shared" si="121"/>
        <v>0</v>
      </c>
      <c r="N813">
        <f t="shared" si="122"/>
        <v>0</v>
      </c>
      <c r="O813">
        <f t="shared" si="123"/>
        <v>0</v>
      </c>
      <c r="P813">
        <f t="shared" si="124"/>
        <v>0</v>
      </c>
      <c r="Q813">
        <f t="shared" si="125"/>
        <v>0</v>
      </c>
      <c r="R813">
        <f t="shared" si="126"/>
        <v>0</v>
      </c>
      <c r="S813">
        <f t="shared" si="127"/>
        <v>0</v>
      </c>
      <c r="T813">
        <f t="shared" si="129"/>
        <v>0</v>
      </c>
      <c r="U813">
        <f t="shared" si="128"/>
        <v>0</v>
      </c>
    </row>
    <row r="814" spans="1:21" x14ac:dyDescent="0.25">
      <c r="A814" s="2">
        <v>813</v>
      </c>
      <c r="B814" s="39">
        <v>2013</v>
      </c>
      <c r="C814" s="41" t="s">
        <v>182</v>
      </c>
      <c r="D814">
        <v>1.79</v>
      </c>
      <c r="E814">
        <v>836.3</v>
      </c>
      <c r="F814">
        <v>0.12</v>
      </c>
      <c r="G814" s="80">
        <v>15.31</v>
      </c>
      <c r="H814">
        <v>0.65</v>
      </c>
      <c r="I814">
        <v>4.78</v>
      </c>
      <c r="J814">
        <v>3.78</v>
      </c>
      <c r="K814">
        <v>0.23</v>
      </c>
      <c r="L814">
        <f t="shared" si="120"/>
        <v>0</v>
      </c>
      <c r="M814">
        <f t="shared" si="121"/>
        <v>0</v>
      </c>
      <c r="N814">
        <f t="shared" si="122"/>
        <v>0</v>
      </c>
      <c r="O814">
        <f t="shared" si="123"/>
        <v>0</v>
      </c>
      <c r="P814">
        <f t="shared" si="124"/>
        <v>0</v>
      </c>
      <c r="Q814">
        <f t="shared" si="125"/>
        <v>0</v>
      </c>
      <c r="R814">
        <f t="shared" si="126"/>
        <v>0</v>
      </c>
      <c r="S814">
        <f t="shared" si="127"/>
        <v>0</v>
      </c>
      <c r="T814">
        <f t="shared" si="129"/>
        <v>0</v>
      </c>
      <c r="U814">
        <f t="shared" si="128"/>
        <v>0</v>
      </c>
    </row>
    <row r="815" spans="1:21" x14ac:dyDescent="0.25">
      <c r="A815" s="2">
        <v>814</v>
      </c>
      <c r="B815" s="39">
        <v>2013</v>
      </c>
      <c r="C815" s="41" t="s">
        <v>184</v>
      </c>
      <c r="D815">
        <v>26.44</v>
      </c>
      <c r="E815">
        <v>6440.74</v>
      </c>
      <c r="F815">
        <v>82.63</v>
      </c>
      <c r="G815">
        <v>93.19</v>
      </c>
      <c r="H815">
        <v>4386.49</v>
      </c>
      <c r="I815" s="80">
        <v>25394.400000000001</v>
      </c>
      <c r="J815">
        <v>29.49</v>
      </c>
      <c r="K815">
        <v>676.35</v>
      </c>
      <c r="L815">
        <f t="shared" si="120"/>
        <v>0</v>
      </c>
      <c r="M815">
        <f t="shared" si="121"/>
        <v>0</v>
      </c>
      <c r="N815">
        <f t="shared" si="122"/>
        <v>0</v>
      </c>
      <c r="O815">
        <f t="shared" si="123"/>
        <v>0</v>
      </c>
      <c r="P815">
        <f t="shared" si="124"/>
        <v>0</v>
      </c>
      <c r="Q815">
        <f t="shared" si="125"/>
        <v>0</v>
      </c>
      <c r="R815">
        <f t="shared" si="126"/>
        <v>0</v>
      </c>
      <c r="S815">
        <f t="shared" si="127"/>
        <v>0</v>
      </c>
      <c r="T815">
        <f t="shared" si="129"/>
        <v>0</v>
      </c>
      <c r="U815">
        <f t="shared" si="128"/>
        <v>0</v>
      </c>
    </row>
    <row r="816" spans="1:21" x14ac:dyDescent="0.25">
      <c r="A816" s="2">
        <v>815</v>
      </c>
      <c r="B816" s="39">
        <v>2013</v>
      </c>
      <c r="C816" s="41" t="s">
        <v>187</v>
      </c>
      <c r="D816">
        <v>103.07</v>
      </c>
      <c r="E816">
        <v>10940.09</v>
      </c>
      <c r="F816">
        <v>353.95</v>
      </c>
      <c r="G816">
        <v>166.73</v>
      </c>
      <c r="H816" s="80">
        <v>16166.91</v>
      </c>
      <c r="I816" s="80">
        <v>25261.21</v>
      </c>
      <c r="J816">
        <v>49.03</v>
      </c>
      <c r="K816">
        <v>4478.57</v>
      </c>
      <c r="L816">
        <f t="shared" si="120"/>
        <v>0</v>
      </c>
      <c r="M816">
        <f t="shared" si="121"/>
        <v>0</v>
      </c>
      <c r="N816">
        <f t="shared" si="122"/>
        <v>0</v>
      </c>
      <c r="O816">
        <f t="shared" si="123"/>
        <v>0</v>
      </c>
      <c r="P816">
        <f t="shared" si="124"/>
        <v>0</v>
      </c>
      <c r="Q816">
        <f t="shared" si="125"/>
        <v>0</v>
      </c>
      <c r="R816">
        <f t="shared" si="126"/>
        <v>0</v>
      </c>
      <c r="S816">
        <f t="shared" si="127"/>
        <v>0</v>
      </c>
      <c r="T816">
        <f t="shared" si="129"/>
        <v>0</v>
      </c>
      <c r="U816">
        <f t="shared" si="128"/>
        <v>0</v>
      </c>
    </row>
    <row r="817" spans="1:21" x14ac:dyDescent="0.25">
      <c r="A817" s="2">
        <v>816</v>
      </c>
      <c r="B817" s="39">
        <v>2013</v>
      </c>
      <c r="C817" s="41" t="s">
        <v>189</v>
      </c>
      <c r="D817">
        <v>1399.63</v>
      </c>
      <c r="E817">
        <v>7143.44</v>
      </c>
      <c r="F817">
        <v>5.0199999999999996</v>
      </c>
      <c r="G817">
        <v>145.62</v>
      </c>
      <c r="H817" s="80">
        <v>16160</v>
      </c>
      <c r="I817" s="80">
        <v>13372.07</v>
      </c>
      <c r="J817">
        <v>85.22</v>
      </c>
      <c r="K817" s="80">
        <v>13783.66</v>
      </c>
      <c r="L817">
        <f t="shared" si="120"/>
        <v>0</v>
      </c>
      <c r="M817">
        <f t="shared" si="121"/>
        <v>0</v>
      </c>
      <c r="N817">
        <f t="shared" si="122"/>
        <v>0</v>
      </c>
      <c r="O817">
        <f t="shared" si="123"/>
        <v>0</v>
      </c>
      <c r="P817">
        <f t="shared" si="124"/>
        <v>0</v>
      </c>
      <c r="Q817">
        <f t="shared" si="125"/>
        <v>0</v>
      </c>
      <c r="R817">
        <f t="shared" si="126"/>
        <v>0</v>
      </c>
      <c r="S817">
        <f t="shared" si="127"/>
        <v>0</v>
      </c>
      <c r="T817">
        <f t="shared" si="129"/>
        <v>0</v>
      </c>
      <c r="U817">
        <f t="shared" si="128"/>
        <v>0</v>
      </c>
    </row>
    <row r="818" spans="1:21" x14ac:dyDescent="0.25">
      <c r="A818" s="2">
        <v>817</v>
      </c>
      <c r="B818" s="39">
        <v>2022</v>
      </c>
      <c r="C818" s="41" t="s">
        <v>162</v>
      </c>
      <c r="D818">
        <v>14.57</v>
      </c>
      <c r="E818">
        <v>20165.72</v>
      </c>
      <c r="F818">
        <v>0.78</v>
      </c>
      <c r="G818">
        <v>69.400000000000006</v>
      </c>
      <c r="H818">
        <v>2.87</v>
      </c>
      <c r="I818">
        <v>14.9</v>
      </c>
      <c r="J818">
        <v>15.5</v>
      </c>
      <c r="K818">
        <v>3.65</v>
      </c>
      <c r="L818">
        <f t="shared" si="120"/>
        <v>0</v>
      </c>
      <c r="M818">
        <f t="shared" si="121"/>
        <v>0</v>
      </c>
      <c r="N818">
        <f t="shared" si="122"/>
        <v>0</v>
      </c>
      <c r="O818">
        <f t="shared" si="123"/>
        <v>0</v>
      </c>
      <c r="P818">
        <f t="shared" si="124"/>
        <v>0</v>
      </c>
      <c r="Q818">
        <f t="shared" si="125"/>
        <v>0</v>
      </c>
      <c r="R818">
        <f t="shared" si="126"/>
        <v>0</v>
      </c>
      <c r="S818">
        <f t="shared" si="127"/>
        <v>0</v>
      </c>
      <c r="T818">
        <f t="shared" si="129"/>
        <v>0</v>
      </c>
      <c r="U818">
        <f t="shared" si="128"/>
        <v>0</v>
      </c>
    </row>
    <row r="819" spans="1:21" x14ac:dyDescent="0.25">
      <c r="A819" s="2">
        <v>818</v>
      </c>
      <c r="B819" s="39">
        <v>2022</v>
      </c>
      <c r="C819" s="41" t="s">
        <v>170</v>
      </c>
      <c r="D819">
        <v>20.329999999999998</v>
      </c>
      <c r="E819" s="80">
        <v>24938.79</v>
      </c>
      <c r="F819">
        <v>210.89</v>
      </c>
      <c r="G819">
        <v>99.41</v>
      </c>
      <c r="H819">
        <v>1080.5999999999999</v>
      </c>
      <c r="I819" s="80">
        <v>13847.56</v>
      </c>
      <c r="J819">
        <v>35.79</v>
      </c>
      <c r="K819">
        <v>648.36</v>
      </c>
      <c r="L819">
        <f t="shared" si="120"/>
        <v>0</v>
      </c>
      <c r="M819">
        <f t="shared" si="121"/>
        <v>0</v>
      </c>
      <c r="N819">
        <f t="shared" si="122"/>
        <v>0</v>
      </c>
      <c r="O819">
        <f t="shared" si="123"/>
        <v>0</v>
      </c>
      <c r="P819">
        <f t="shared" si="124"/>
        <v>0</v>
      </c>
      <c r="Q819">
        <f t="shared" si="125"/>
        <v>0</v>
      </c>
      <c r="R819">
        <f t="shared" si="126"/>
        <v>0</v>
      </c>
      <c r="S819">
        <f t="shared" si="127"/>
        <v>0</v>
      </c>
      <c r="T819">
        <f t="shared" si="129"/>
        <v>0</v>
      </c>
      <c r="U819">
        <f t="shared" si="128"/>
        <v>0</v>
      </c>
    </row>
    <row r="820" spans="1:21" x14ac:dyDescent="0.25">
      <c r="A820" s="2">
        <v>819</v>
      </c>
      <c r="B820" s="39">
        <v>2022</v>
      </c>
      <c r="C820" s="41" t="s">
        <v>178</v>
      </c>
      <c r="D820">
        <v>48.81</v>
      </c>
      <c r="E820">
        <v>16181.44</v>
      </c>
      <c r="F820">
        <v>92.44</v>
      </c>
      <c r="G820">
        <v>125.27</v>
      </c>
      <c r="H820">
        <v>1928.02</v>
      </c>
      <c r="I820" s="80">
        <v>5992.31</v>
      </c>
      <c r="J820">
        <v>35.79</v>
      </c>
      <c r="K820">
        <v>3503.34</v>
      </c>
      <c r="L820">
        <f t="shared" si="120"/>
        <v>0</v>
      </c>
      <c r="M820">
        <f t="shared" si="121"/>
        <v>0</v>
      </c>
      <c r="N820">
        <f t="shared" si="122"/>
        <v>0</v>
      </c>
      <c r="O820">
        <f t="shared" si="123"/>
        <v>0</v>
      </c>
      <c r="P820">
        <f t="shared" si="124"/>
        <v>0</v>
      </c>
      <c r="Q820">
        <f t="shared" si="125"/>
        <v>0</v>
      </c>
      <c r="R820">
        <f t="shared" si="126"/>
        <v>0</v>
      </c>
      <c r="S820">
        <f t="shared" si="127"/>
        <v>0</v>
      </c>
      <c r="T820">
        <f t="shared" si="129"/>
        <v>0</v>
      </c>
      <c r="U820">
        <f t="shared" si="128"/>
        <v>0</v>
      </c>
    </row>
    <row r="821" spans="1:21" x14ac:dyDescent="0.25">
      <c r="A821" s="2">
        <v>820</v>
      </c>
      <c r="B821" s="39">
        <v>2022</v>
      </c>
      <c r="C821" s="41" t="s">
        <v>163</v>
      </c>
      <c r="D821">
        <v>114.29</v>
      </c>
      <c r="E821" s="80">
        <v>32976.36</v>
      </c>
      <c r="F821">
        <v>40.92</v>
      </c>
      <c r="G821">
        <v>188.54</v>
      </c>
      <c r="H821">
        <v>1898.03</v>
      </c>
      <c r="I821" s="80">
        <v>10830.24</v>
      </c>
      <c r="J821">
        <v>50.4</v>
      </c>
      <c r="K821">
        <v>5953.6</v>
      </c>
      <c r="L821">
        <f t="shared" si="120"/>
        <v>0</v>
      </c>
      <c r="M821">
        <f t="shared" si="121"/>
        <v>0</v>
      </c>
      <c r="N821">
        <f t="shared" si="122"/>
        <v>0</v>
      </c>
      <c r="O821">
        <f t="shared" si="123"/>
        <v>0</v>
      </c>
      <c r="P821">
        <f t="shared" si="124"/>
        <v>0</v>
      </c>
      <c r="Q821">
        <f t="shared" si="125"/>
        <v>0</v>
      </c>
      <c r="R821">
        <f t="shared" si="126"/>
        <v>0</v>
      </c>
      <c r="S821">
        <f t="shared" si="127"/>
        <v>0</v>
      </c>
      <c r="T821">
        <f t="shared" si="129"/>
        <v>0</v>
      </c>
      <c r="U821">
        <f t="shared" si="128"/>
        <v>0</v>
      </c>
    </row>
    <row r="822" spans="1:21" ht="15.75" thickBot="1" x14ac:dyDescent="0.3">
      <c r="A822" s="2">
        <v>821</v>
      </c>
      <c r="B822" s="39">
        <v>2022</v>
      </c>
      <c r="C822" s="41" t="s">
        <v>181</v>
      </c>
      <c r="D822">
        <v>14.57</v>
      </c>
      <c r="E822" s="80">
        <v>54334.23</v>
      </c>
      <c r="F822">
        <v>0.89</v>
      </c>
      <c r="G822">
        <v>75.180000000000007</v>
      </c>
      <c r="H822">
        <v>21.14</v>
      </c>
      <c r="I822">
        <v>57.15</v>
      </c>
      <c r="J822">
        <v>31.98</v>
      </c>
      <c r="K822">
        <v>15.38</v>
      </c>
      <c r="L822">
        <f t="shared" si="120"/>
        <v>0</v>
      </c>
      <c r="M822">
        <f t="shared" si="121"/>
        <v>0</v>
      </c>
      <c r="N822">
        <f t="shared" si="122"/>
        <v>0</v>
      </c>
      <c r="O822">
        <f t="shared" si="123"/>
        <v>0</v>
      </c>
      <c r="P822">
        <f t="shared" si="124"/>
        <v>0</v>
      </c>
      <c r="Q822">
        <f t="shared" si="125"/>
        <v>0</v>
      </c>
      <c r="R822">
        <f t="shared" si="126"/>
        <v>0</v>
      </c>
      <c r="S822">
        <f t="shared" si="127"/>
        <v>0</v>
      </c>
      <c r="T822">
        <f t="shared" si="129"/>
        <v>0</v>
      </c>
      <c r="U822">
        <f t="shared" si="128"/>
        <v>0</v>
      </c>
    </row>
    <row r="823" spans="1:21" x14ac:dyDescent="0.25">
      <c r="A823" s="2">
        <v>822</v>
      </c>
      <c r="B823" s="39">
        <v>2022</v>
      </c>
      <c r="C823" s="40" t="s">
        <v>183</v>
      </c>
      <c r="D823">
        <v>28.54</v>
      </c>
      <c r="E823" s="80">
        <v>34382.31</v>
      </c>
      <c r="F823">
        <v>460.02</v>
      </c>
      <c r="G823">
        <v>131.97</v>
      </c>
      <c r="H823">
        <v>5468.29</v>
      </c>
      <c r="I823" s="80">
        <v>27665.51</v>
      </c>
      <c r="J823">
        <v>54.55</v>
      </c>
      <c r="K823">
        <v>4676.08</v>
      </c>
      <c r="L823">
        <f t="shared" si="120"/>
        <v>0</v>
      </c>
      <c r="M823">
        <f t="shared" si="121"/>
        <v>0</v>
      </c>
      <c r="N823">
        <f t="shared" si="122"/>
        <v>0</v>
      </c>
      <c r="O823">
        <f t="shared" si="123"/>
        <v>0</v>
      </c>
      <c r="P823">
        <f t="shared" si="124"/>
        <v>0</v>
      </c>
      <c r="Q823">
        <f t="shared" si="125"/>
        <v>0</v>
      </c>
      <c r="R823">
        <f t="shared" si="126"/>
        <v>0</v>
      </c>
      <c r="S823">
        <f t="shared" si="127"/>
        <v>0</v>
      </c>
      <c r="T823">
        <f t="shared" si="129"/>
        <v>0</v>
      </c>
      <c r="U823">
        <f t="shared" si="128"/>
        <v>0</v>
      </c>
    </row>
    <row r="824" spans="1:21" x14ac:dyDescent="0.25">
      <c r="A824" s="2">
        <v>823</v>
      </c>
      <c r="B824" s="39">
        <v>2022</v>
      </c>
      <c r="C824" s="41" t="s">
        <v>186</v>
      </c>
      <c r="D824">
        <v>41.81</v>
      </c>
      <c r="E824" s="80">
        <v>25990.720000000001</v>
      </c>
      <c r="F824">
        <v>1078.47</v>
      </c>
      <c r="G824">
        <v>241.98</v>
      </c>
      <c r="H824" s="80">
        <v>21779.01</v>
      </c>
      <c r="I824" s="80">
        <v>30840.95</v>
      </c>
      <c r="J824">
        <v>85.22</v>
      </c>
      <c r="K824" s="80">
        <v>10820.69</v>
      </c>
      <c r="L824">
        <f t="shared" si="120"/>
        <v>0</v>
      </c>
      <c r="M824">
        <f t="shared" si="121"/>
        <v>0</v>
      </c>
      <c r="N824">
        <f t="shared" si="122"/>
        <v>0</v>
      </c>
      <c r="O824">
        <f t="shared" si="123"/>
        <v>0</v>
      </c>
      <c r="P824">
        <f t="shared" si="124"/>
        <v>0</v>
      </c>
      <c r="Q824">
        <f t="shared" si="125"/>
        <v>0</v>
      </c>
      <c r="R824">
        <f t="shared" si="126"/>
        <v>0</v>
      </c>
      <c r="S824">
        <f t="shared" si="127"/>
        <v>0</v>
      </c>
      <c r="T824">
        <f t="shared" si="129"/>
        <v>0</v>
      </c>
      <c r="U824">
        <f t="shared" si="128"/>
        <v>0</v>
      </c>
    </row>
    <row r="825" spans="1:21" x14ac:dyDescent="0.25">
      <c r="A825" s="2">
        <v>824</v>
      </c>
      <c r="B825" s="39">
        <v>2022</v>
      </c>
      <c r="C825" s="41" t="s">
        <v>188</v>
      </c>
      <c r="D825">
        <v>31.76</v>
      </c>
      <c r="E825" s="80">
        <v>65625.81</v>
      </c>
      <c r="F825">
        <v>20.65</v>
      </c>
      <c r="G825">
        <v>138.75</v>
      </c>
      <c r="H825">
        <v>766.17</v>
      </c>
      <c r="I825" s="80">
        <v>10304.92</v>
      </c>
      <c r="J825">
        <v>51.78</v>
      </c>
      <c r="K825">
        <v>4249.04</v>
      </c>
      <c r="L825">
        <f t="shared" si="120"/>
        <v>0</v>
      </c>
      <c r="M825">
        <f t="shared" si="121"/>
        <v>0</v>
      </c>
      <c r="N825">
        <f t="shared" si="122"/>
        <v>0</v>
      </c>
      <c r="O825">
        <f t="shared" si="123"/>
        <v>0</v>
      </c>
      <c r="P825">
        <f t="shared" si="124"/>
        <v>0</v>
      </c>
      <c r="Q825">
        <f t="shared" si="125"/>
        <v>0</v>
      </c>
      <c r="R825">
        <f t="shared" si="126"/>
        <v>0</v>
      </c>
      <c r="S825">
        <f t="shared" si="127"/>
        <v>0</v>
      </c>
      <c r="T825">
        <f t="shared" si="129"/>
        <v>0</v>
      </c>
      <c r="U825">
        <f t="shared" si="128"/>
        <v>0</v>
      </c>
    </row>
    <row r="826" spans="1:21" x14ac:dyDescent="0.25">
      <c r="A826" s="2">
        <v>825</v>
      </c>
      <c r="B826" s="39">
        <v>2022</v>
      </c>
      <c r="C826" s="41" t="s">
        <v>182</v>
      </c>
      <c r="D826">
        <v>1.79</v>
      </c>
      <c r="E826">
        <v>839.19</v>
      </c>
      <c r="F826">
        <v>0.28999999999999998</v>
      </c>
      <c r="G826">
        <v>28.01</v>
      </c>
      <c r="H826" t="s">
        <v>583</v>
      </c>
      <c r="I826">
        <v>1.21</v>
      </c>
      <c r="J826">
        <v>3.78</v>
      </c>
      <c r="K826">
        <v>0.23</v>
      </c>
      <c r="L826">
        <f t="shared" si="120"/>
        <v>0</v>
      </c>
      <c r="M826">
        <f t="shared" si="121"/>
        <v>0</v>
      </c>
      <c r="N826">
        <f t="shared" si="122"/>
        <v>0</v>
      </c>
      <c r="O826">
        <f t="shared" si="123"/>
        <v>0</v>
      </c>
      <c r="P826">
        <f t="shared" si="124"/>
        <v>0</v>
      </c>
      <c r="Q826">
        <f t="shared" si="125"/>
        <v>0</v>
      </c>
      <c r="R826">
        <f t="shared" si="126"/>
        <v>0</v>
      </c>
      <c r="S826">
        <f t="shared" si="127"/>
        <v>0</v>
      </c>
      <c r="T826">
        <f t="shared" si="129"/>
        <v>0</v>
      </c>
      <c r="U826">
        <f t="shared" si="128"/>
        <v>0</v>
      </c>
    </row>
    <row r="827" spans="1:21" x14ac:dyDescent="0.25">
      <c r="A827" s="2">
        <v>826</v>
      </c>
      <c r="B827" s="39">
        <v>2022</v>
      </c>
      <c r="C827" s="41" t="s">
        <v>184</v>
      </c>
      <c r="D827">
        <v>14.57</v>
      </c>
      <c r="E827">
        <v>5976.72</v>
      </c>
      <c r="F827">
        <v>144.29</v>
      </c>
      <c r="G827">
        <v>87.08</v>
      </c>
      <c r="H827">
        <v>9388.09</v>
      </c>
      <c r="I827" s="80">
        <v>21356.71</v>
      </c>
      <c r="J827">
        <v>24.64</v>
      </c>
      <c r="K827">
        <v>987.91</v>
      </c>
      <c r="L827">
        <f t="shared" si="120"/>
        <v>0</v>
      </c>
      <c r="M827">
        <f t="shared" si="121"/>
        <v>0</v>
      </c>
      <c r="N827">
        <f t="shared" si="122"/>
        <v>0</v>
      </c>
      <c r="O827">
        <f t="shared" si="123"/>
        <v>0</v>
      </c>
      <c r="P827">
        <f t="shared" si="124"/>
        <v>0</v>
      </c>
      <c r="Q827">
        <f t="shared" si="125"/>
        <v>0</v>
      </c>
      <c r="R827">
        <f t="shared" si="126"/>
        <v>0</v>
      </c>
      <c r="S827">
        <f t="shared" si="127"/>
        <v>0</v>
      </c>
      <c r="T827">
        <f t="shared" si="129"/>
        <v>0</v>
      </c>
      <c r="U827">
        <f t="shared" si="128"/>
        <v>0</v>
      </c>
    </row>
    <row r="828" spans="1:21" x14ac:dyDescent="0.25">
      <c r="A828" s="2">
        <v>827</v>
      </c>
      <c r="B828" s="39">
        <v>2022</v>
      </c>
      <c r="C828" s="41" t="s">
        <v>187</v>
      </c>
      <c r="D828">
        <v>18.37</v>
      </c>
      <c r="E828">
        <v>7694.43</v>
      </c>
      <c r="F828">
        <v>386.98</v>
      </c>
      <c r="G828">
        <v>125.27</v>
      </c>
      <c r="H828">
        <v>12119.32</v>
      </c>
      <c r="I828" s="80">
        <v>20084.009999999998</v>
      </c>
      <c r="J828">
        <v>34.51</v>
      </c>
      <c r="K828">
        <v>3953</v>
      </c>
      <c r="L828">
        <f t="shared" si="120"/>
        <v>0</v>
      </c>
      <c r="M828">
        <f t="shared" si="121"/>
        <v>0</v>
      </c>
      <c r="N828">
        <f t="shared" si="122"/>
        <v>0</v>
      </c>
      <c r="O828">
        <f t="shared" si="123"/>
        <v>0</v>
      </c>
      <c r="P828">
        <f t="shared" si="124"/>
        <v>0</v>
      </c>
      <c r="Q828">
        <f t="shared" si="125"/>
        <v>0</v>
      </c>
      <c r="R828">
        <f t="shared" si="126"/>
        <v>0</v>
      </c>
      <c r="S828">
        <f t="shared" si="127"/>
        <v>0</v>
      </c>
      <c r="T828">
        <f t="shared" si="129"/>
        <v>0</v>
      </c>
      <c r="U828">
        <f t="shared" si="128"/>
        <v>0</v>
      </c>
    </row>
    <row r="829" spans="1:21" x14ac:dyDescent="0.25">
      <c r="A829" s="2">
        <v>828</v>
      </c>
      <c r="B829" s="39">
        <v>2022</v>
      </c>
      <c r="C829" s="41" t="s">
        <v>189</v>
      </c>
      <c r="D829">
        <v>12.75</v>
      </c>
      <c r="E829">
        <v>7882.78</v>
      </c>
      <c r="F829">
        <v>21.21</v>
      </c>
      <c r="G829">
        <v>63.74</v>
      </c>
      <c r="H829">
        <v>2816.65</v>
      </c>
      <c r="I829" s="80">
        <v>13849.51</v>
      </c>
      <c r="J829">
        <v>37.07</v>
      </c>
      <c r="K829">
        <v>2709.88</v>
      </c>
      <c r="L829">
        <f t="shared" si="120"/>
        <v>0</v>
      </c>
      <c r="M829">
        <f t="shared" si="121"/>
        <v>0</v>
      </c>
      <c r="N829">
        <f t="shared" si="122"/>
        <v>0</v>
      </c>
      <c r="O829">
        <f t="shared" si="123"/>
        <v>0</v>
      </c>
      <c r="P829">
        <f t="shared" si="124"/>
        <v>0</v>
      </c>
      <c r="Q829">
        <f t="shared" si="125"/>
        <v>0</v>
      </c>
      <c r="R829">
        <f t="shared" si="126"/>
        <v>0</v>
      </c>
      <c r="S829">
        <f t="shared" si="127"/>
        <v>0</v>
      </c>
      <c r="T829">
        <f t="shared" si="129"/>
        <v>0</v>
      </c>
      <c r="U829">
        <f t="shared" si="128"/>
        <v>0</v>
      </c>
    </row>
    <row r="830" spans="1:21" x14ac:dyDescent="0.25">
      <c r="A830" s="2">
        <v>829</v>
      </c>
      <c r="B830" s="86" t="s">
        <v>630</v>
      </c>
      <c r="C830" s="41" t="s">
        <v>162</v>
      </c>
      <c r="D830" t="s">
        <v>583</v>
      </c>
      <c r="E830">
        <v>342.65</v>
      </c>
      <c r="F830">
        <v>0.28999999999999998</v>
      </c>
      <c r="G830" s="80">
        <v>8.08</v>
      </c>
      <c r="H830">
        <v>2</v>
      </c>
      <c r="I830" t="s">
        <v>583</v>
      </c>
      <c r="J830">
        <v>3.78</v>
      </c>
      <c r="K830">
        <v>0.23</v>
      </c>
      <c r="L830">
        <f t="shared" si="120"/>
        <v>0</v>
      </c>
      <c r="M830">
        <f t="shared" si="121"/>
        <v>0</v>
      </c>
      <c r="N830">
        <f t="shared" si="122"/>
        <v>0</v>
      </c>
      <c r="O830">
        <f t="shared" si="123"/>
        <v>0</v>
      </c>
      <c r="P830">
        <f t="shared" si="124"/>
        <v>0</v>
      </c>
      <c r="Q830">
        <f t="shared" si="125"/>
        <v>0</v>
      </c>
      <c r="R830">
        <f t="shared" si="126"/>
        <v>0</v>
      </c>
      <c r="S830">
        <f t="shared" si="127"/>
        <v>0</v>
      </c>
      <c r="T830">
        <f t="shared" si="129"/>
        <v>0</v>
      </c>
      <c r="U830">
        <f t="shared" si="128"/>
        <v>0</v>
      </c>
    </row>
    <row r="831" spans="1:21" x14ac:dyDescent="0.25">
      <c r="A831" s="2">
        <v>830</v>
      </c>
      <c r="B831" s="86" t="s">
        <v>630</v>
      </c>
      <c r="C831" s="41" t="s">
        <v>170</v>
      </c>
      <c r="D831">
        <v>15.51</v>
      </c>
      <c r="E831">
        <v>17700.09</v>
      </c>
      <c r="F831">
        <v>185.04</v>
      </c>
      <c r="G831">
        <v>75.180000000000007</v>
      </c>
      <c r="H831">
        <v>316.73</v>
      </c>
      <c r="I831" s="80">
        <v>5106.6899999999996</v>
      </c>
      <c r="J831">
        <v>15.5</v>
      </c>
      <c r="K831">
        <v>74.59</v>
      </c>
      <c r="L831">
        <f t="shared" si="120"/>
        <v>0</v>
      </c>
      <c r="M831">
        <f t="shared" si="121"/>
        <v>0</v>
      </c>
      <c r="N831">
        <f t="shared" si="122"/>
        <v>0</v>
      </c>
      <c r="O831">
        <f t="shared" si="123"/>
        <v>0</v>
      </c>
      <c r="P831">
        <f t="shared" si="124"/>
        <v>0</v>
      </c>
      <c r="Q831">
        <f t="shared" si="125"/>
        <v>0</v>
      </c>
      <c r="R831">
        <f t="shared" si="126"/>
        <v>0</v>
      </c>
      <c r="S831">
        <f t="shared" si="127"/>
        <v>0</v>
      </c>
      <c r="T831">
        <f t="shared" si="129"/>
        <v>0</v>
      </c>
      <c r="U831">
        <f t="shared" si="128"/>
        <v>0</v>
      </c>
    </row>
    <row r="832" spans="1:21" x14ac:dyDescent="0.25">
      <c r="A832" s="2">
        <v>831</v>
      </c>
      <c r="B832" s="86" t="s">
        <v>630</v>
      </c>
      <c r="C832" s="41" t="s">
        <v>178</v>
      </c>
      <c r="D832">
        <v>0.67</v>
      </c>
      <c r="E832">
        <v>657.2</v>
      </c>
      <c r="F832">
        <v>0.33</v>
      </c>
      <c r="G832" s="80">
        <v>8.08</v>
      </c>
      <c r="H832">
        <v>41.35</v>
      </c>
      <c r="I832">
        <v>61.27</v>
      </c>
      <c r="J832">
        <v>5.5</v>
      </c>
      <c r="K832">
        <v>3.03</v>
      </c>
      <c r="L832">
        <f t="shared" si="120"/>
        <v>0</v>
      </c>
      <c r="M832">
        <f t="shared" si="121"/>
        <v>0</v>
      </c>
      <c r="N832">
        <f t="shared" si="122"/>
        <v>0</v>
      </c>
      <c r="O832">
        <f t="shared" si="123"/>
        <v>0</v>
      </c>
      <c r="P832">
        <f t="shared" si="124"/>
        <v>0</v>
      </c>
      <c r="Q832">
        <f t="shared" si="125"/>
        <v>0</v>
      </c>
      <c r="R832">
        <f t="shared" si="126"/>
        <v>0</v>
      </c>
      <c r="S832">
        <f t="shared" si="127"/>
        <v>0</v>
      </c>
      <c r="T832">
        <f t="shared" si="129"/>
        <v>0</v>
      </c>
      <c r="U832">
        <f t="shared" si="128"/>
        <v>0</v>
      </c>
    </row>
    <row r="833" spans="1:21" x14ac:dyDescent="0.25">
      <c r="A833" s="2">
        <v>832</v>
      </c>
      <c r="B833" s="86" t="s">
        <v>630</v>
      </c>
      <c r="C833" s="41" t="s">
        <v>163</v>
      </c>
      <c r="D833">
        <v>4.5</v>
      </c>
      <c r="E833">
        <v>739.75</v>
      </c>
      <c r="F833">
        <v>0.25</v>
      </c>
      <c r="G833" s="80">
        <v>11.55</v>
      </c>
      <c r="H833">
        <v>11.1</v>
      </c>
      <c r="I833">
        <v>4.21</v>
      </c>
      <c r="J833">
        <v>5.5</v>
      </c>
      <c r="K833">
        <v>5.43</v>
      </c>
      <c r="L833">
        <f t="shared" si="120"/>
        <v>0</v>
      </c>
      <c r="M833">
        <f t="shared" si="121"/>
        <v>0</v>
      </c>
      <c r="N833">
        <f t="shared" si="122"/>
        <v>0</v>
      </c>
      <c r="O833">
        <f t="shared" si="123"/>
        <v>0</v>
      </c>
      <c r="P833">
        <f t="shared" si="124"/>
        <v>0</v>
      </c>
      <c r="Q833">
        <f t="shared" si="125"/>
        <v>0</v>
      </c>
      <c r="R833">
        <f t="shared" si="126"/>
        <v>0</v>
      </c>
      <c r="S833">
        <f t="shared" si="127"/>
        <v>0</v>
      </c>
      <c r="T833">
        <f t="shared" si="129"/>
        <v>0</v>
      </c>
      <c r="U833">
        <f t="shared" si="128"/>
        <v>0</v>
      </c>
    </row>
    <row r="834" spans="1:21" ht="15.75" thickBot="1" x14ac:dyDescent="0.3">
      <c r="A834" s="2">
        <v>833</v>
      </c>
      <c r="B834" s="86" t="s">
        <v>630</v>
      </c>
      <c r="C834" s="41" t="s">
        <v>181</v>
      </c>
      <c r="D834">
        <v>18.37</v>
      </c>
      <c r="E834" s="80">
        <v>92582.05</v>
      </c>
      <c r="F834">
        <v>1.03</v>
      </c>
      <c r="G834">
        <v>99.41</v>
      </c>
      <c r="H834">
        <v>237.1</v>
      </c>
      <c r="I834">
        <v>135.16999999999999</v>
      </c>
      <c r="J834">
        <v>37.07</v>
      </c>
      <c r="K834">
        <v>147.71</v>
      </c>
      <c r="L834">
        <f t="shared" ref="L834:L897" si="130">IF(D834 = "OOR &gt;", 1,0)</f>
        <v>0</v>
      </c>
      <c r="M834">
        <f t="shared" ref="M834:M897" si="131">IF(E834 = "OOR &gt;", 1,0)</f>
        <v>0</v>
      </c>
      <c r="N834">
        <f t="shared" ref="N834:N897" si="132">IF(F834 = "OOR &gt;", 1,0)</f>
        <v>0</v>
      </c>
      <c r="O834">
        <f t="shared" ref="O834:O897" si="133">IF(G834 = "OOR &gt;", 1,0)</f>
        <v>0</v>
      </c>
      <c r="P834">
        <f t="shared" ref="P834:P897" si="134">IF(H834 = "OOR &gt;", 1,0)</f>
        <v>0</v>
      </c>
      <c r="Q834">
        <f t="shared" ref="Q834:Q897" si="135">IF(I834 = "OOR &gt;", 1,0)</f>
        <v>0</v>
      </c>
      <c r="R834">
        <f t="shared" ref="R834:R897" si="136">IF(J834 = "OOR &gt;", 1,0)</f>
        <v>0</v>
      </c>
      <c r="S834">
        <f t="shared" ref="S834:S897" si="137">IF(K834 = "OOR &gt;", 1,0)</f>
        <v>0</v>
      </c>
      <c r="T834">
        <f t="shared" si="129"/>
        <v>0</v>
      </c>
      <c r="U834">
        <f t="shared" ref="U834:U897" si="138">IF(T834 &gt; 0,1,0)</f>
        <v>0</v>
      </c>
    </row>
    <row r="835" spans="1:21" x14ac:dyDescent="0.25">
      <c r="A835" s="2">
        <v>834</v>
      </c>
      <c r="B835" s="86" t="s">
        <v>630</v>
      </c>
      <c r="C835" s="40" t="s">
        <v>183</v>
      </c>
      <c r="D835">
        <v>22.33</v>
      </c>
      <c r="E835" s="80">
        <v>27601.119999999999</v>
      </c>
      <c r="F835">
        <v>273.83999999999997</v>
      </c>
      <c r="G835">
        <v>93.19</v>
      </c>
      <c r="H835">
        <v>4829.72</v>
      </c>
      <c r="I835" s="80">
        <v>21359.11</v>
      </c>
      <c r="J835">
        <v>53.16</v>
      </c>
      <c r="K835">
        <v>4907.9799999999996</v>
      </c>
      <c r="L835">
        <f t="shared" si="130"/>
        <v>0</v>
      </c>
      <c r="M835">
        <f t="shared" si="131"/>
        <v>0</v>
      </c>
      <c r="N835">
        <f t="shared" si="132"/>
        <v>0</v>
      </c>
      <c r="O835">
        <f t="shared" si="133"/>
        <v>0</v>
      </c>
      <c r="P835">
        <f t="shared" si="134"/>
        <v>0</v>
      </c>
      <c r="Q835">
        <f t="shared" si="135"/>
        <v>0</v>
      </c>
      <c r="R835">
        <f t="shared" si="136"/>
        <v>0</v>
      </c>
      <c r="S835">
        <f t="shared" si="137"/>
        <v>0</v>
      </c>
      <c r="T835">
        <f t="shared" ref="T835:T898" si="139">SUMIF(L835:S835,"&gt;0")</f>
        <v>0</v>
      </c>
      <c r="U835">
        <f t="shared" si="138"/>
        <v>0</v>
      </c>
    </row>
    <row r="836" spans="1:21" x14ac:dyDescent="0.25">
      <c r="A836" s="2">
        <v>835</v>
      </c>
      <c r="B836" s="86" t="s">
        <v>630</v>
      </c>
      <c r="C836" s="41" t="s">
        <v>186</v>
      </c>
      <c r="D836">
        <v>41.81</v>
      </c>
      <c r="E836" s="80">
        <v>27400.959999999999</v>
      </c>
      <c r="F836">
        <v>1246.68</v>
      </c>
      <c r="G836">
        <v>166.73</v>
      </c>
      <c r="H836" s="80">
        <v>41317.760000000002</v>
      </c>
      <c r="I836" s="80">
        <v>34948.620000000003</v>
      </c>
      <c r="J836">
        <v>85.22</v>
      </c>
      <c r="K836" s="80">
        <v>10986.51</v>
      </c>
      <c r="L836">
        <f t="shared" si="130"/>
        <v>0</v>
      </c>
      <c r="M836">
        <f t="shared" si="131"/>
        <v>0</v>
      </c>
      <c r="N836">
        <f t="shared" si="132"/>
        <v>0</v>
      </c>
      <c r="O836">
        <f t="shared" si="133"/>
        <v>0</v>
      </c>
      <c r="P836">
        <f t="shared" si="134"/>
        <v>0</v>
      </c>
      <c r="Q836">
        <f t="shared" si="135"/>
        <v>0</v>
      </c>
      <c r="R836">
        <f t="shared" si="136"/>
        <v>0</v>
      </c>
      <c r="S836">
        <f t="shared" si="137"/>
        <v>0</v>
      </c>
      <c r="T836">
        <f t="shared" si="139"/>
        <v>0</v>
      </c>
      <c r="U836">
        <f t="shared" si="138"/>
        <v>0</v>
      </c>
    </row>
    <row r="837" spans="1:21" x14ac:dyDescent="0.25">
      <c r="A837" s="2">
        <v>836</v>
      </c>
      <c r="B837" s="86" t="s">
        <v>630</v>
      </c>
      <c r="C837" s="41" t="s">
        <v>188</v>
      </c>
      <c r="D837">
        <v>44.12</v>
      </c>
      <c r="E837" s="80">
        <v>86835.45</v>
      </c>
      <c r="F837">
        <v>515.69000000000005</v>
      </c>
      <c r="G837">
        <v>211.03</v>
      </c>
      <c r="H837">
        <v>4994.71</v>
      </c>
      <c r="I837" s="80">
        <v>19017</v>
      </c>
      <c r="J837">
        <v>94.45</v>
      </c>
      <c r="K837" s="80">
        <v>12185.8</v>
      </c>
      <c r="L837">
        <f t="shared" si="130"/>
        <v>0</v>
      </c>
      <c r="M837">
        <f t="shared" si="131"/>
        <v>0</v>
      </c>
      <c r="N837">
        <f t="shared" si="132"/>
        <v>0</v>
      </c>
      <c r="O837">
        <f t="shared" si="133"/>
        <v>0</v>
      </c>
      <c r="P837">
        <f t="shared" si="134"/>
        <v>0</v>
      </c>
      <c r="Q837">
        <f t="shared" si="135"/>
        <v>0</v>
      </c>
      <c r="R837">
        <f t="shared" si="136"/>
        <v>0</v>
      </c>
      <c r="S837">
        <f t="shared" si="137"/>
        <v>0</v>
      </c>
      <c r="T837">
        <f t="shared" si="139"/>
        <v>0</v>
      </c>
      <c r="U837">
        <f t="shared" si="138"/>
        <v>0</v>
      </c>
    </row>
    <row r="838" spans="1:21" x14ac:dyDescent="0.25">
      <c r="A838" s="2">
        <v>837</v>
      </c>
      <c r="B838" s="86" t="s">
        <v>630</v>
      </c>
      <c r="C838" s="41" t="s">
        <v>182</v>
      </c>
      <c r="D838">
        <v>1.79</v>
      </c>
      <c r="E838">
        <v>1294.6099999999999</v>
      </c>
      <c r="F838">
        <v>0.57999999999999996</v>
      </c>
      <c r="G838" s="80">
        <v>15.31</v>
      </c>
      <c r="H838">
        <v>14.34</v>
      </c>
      <c r="I838">
        <v>1991.95</v>
      </c>
      <c r="J838">
        <v>4.63</v>
      </c>
      <c r="K838">
        <v>1.7</v>
      </c>
      <c r="L838">
        <f t="shared" si="130"/>
        <v>0</v>
      </c>
      <c r="M838">
        <f t="shared" si="131"/>
        <v>0</v>
      </c>
      <c r="N838">
        <f t="shared" si="132"/>
        <v>0</v>
      </c>
      <c r="O838">
        <f t="shared" si="133"/>
        <v>0</v>
      </c>
      <c r="P838">
        <f t="shared" si="134"/>
        <v>0</v>
      </c>
      <c r="Q838">
        <f t="shared" si="135"/>
        <v>0</v>
      </c>
      <c r="R838">
        <f t="shared" si="136"/>
        <v>0</v>
      </c>
      <c r="S838">
        <f t="shared" si="137"/>
        <v>0</v>
      </c>
      <c r="T838">
        <f t="shared" si="139"/>
        <v>0</v>
      </c>
      <c r="U838">
        <f t="shared" si="138"/>
        <v>0</v>
      </c>
    </row>
    <row r="839" spans="1:21" x14ac:dyDescent="0.25">
      <c r="A839" s="2">
        <v>838</v>
      </c>
      <c r="B839" s="86" t="s">
        <v>630</v>
      </c>
      <c r="C839" s="41" t="s">
        <v>184</v>
      </c>
      <c r="D839">
        <v>10.97</v>
      </c>
      <c r="E839">
        <v>4681.0200000000004</v>
      </c>
      <c r="F839">
        <v>93.31</v>
      </c>
      <c r="G839">
        <v>52.8</v>
      </c>
      <c r="H839">
        <v>9260.0300000000007</v>
      </c>
      <c r="I839" s="80">
        <v>22190.52</v>
      </c>
      <c r="J839">
        <v>19.96</v>
      </c>
      <c r="K839">
        <v>16.28</v>
      </c>
      <c r="L839">
        <f t="shared" si="130"/>
        <v>0</v>
      </c>
      <c r="M839">
        <f t="shared" si="131"/>
        <v>0</v>
      </c>
      <c r="N839">
        <f t="shared" si="132"/>
        <v>0</v>
      </c>
      <c r="O839">
        <f t="shared" si="133"/>
        <v>0</v>
      </c>
      <c r="P839">
        <f t="shared" si="134"/>
        <v>0</v>
      </c>
      <c r="Q839">
        <f t="shared" si="135"/>
        <v>0</v>
      </c>
      <c r="R839">
        <f t="shared" si="136"/>
        <v>0</v>
      </c>
      <c r="S839">
        <f t="shared" si="137"/>
        <v>0</v>
      </c>
      <c r="T839">
        <f t="shared" si="139"/>
        <v>0</v>
      </c>
      <c r="U839">
        <f t="shared" si="138"/>
        <v>0</v>
      </c>
    </row>
    <row r="840" spans="1:21" x14ac:dyDescent="0.25">
      <c r="A840" s="2">
        <v>839</v>
      </c>
      <c r="B840" s="86" t="s">
        <v>630</v>
      </c>
      <c r="C840" s="41" t="s">
        <v>187</v>
      </c>
      <c r="D840">
        <v>16.45</v>
      </c>
      <c r="E840">
        <v>4109.3599999999997</v>
      </c>
      <c r="F840">
        <v>102.82</v>
      </c>
      <c r="G840">
        <v>69.400000000000006</v>
      </c>
      <c r="H840" s="80">
        <v>18395.84</v>
      </c>
      <c r="I840" s="80">
        <v>14268.59</v>
      </c>
      <c r="J840">
        <v>31.98</v>
      </c>
      <c r="K840">
        <v>29.22</v>
      </c>
      <c r="L840">
        <f t="shared" si="130"/>
        <v>0</v>
      </c>
      <c r="M840">
        <f t="shared" si="131"/>
        <v>0</v>
      </c>
      <c r="N840">
        <f t="shared" si="132"/>
        <v>0</v>
      </c>
      <c r="O840">
        <f t="shared" si="133"/>
        <v>0</v>
      </c>
      <c r="P840">
        <f t="shared" si="134"/>
        <v>0</v>
      </c>
      <c r="Q840">
        <f t="shared" si="135"/>
        <v>0</v>
      </c>
      <c r="R840">
        <f t="shared" si="136"/>
        <v>0</v>
      </c>
      <c r="S840">
        <f t="shared" si="137"/>
        <v>0</v>
      </c>
      <c r="T840">
        <f t="shared" si="139"/>
        <v>0</v>
      </c>
      <c r="U840">
        <f t="shared" si="138"/>
        <v>0</v>
      </c>
    </row>
    <row r="841" spans="1:21" x14ac:dyDescent="0.25">
      <c r="A841" s="2">
        <v>840</v>
      </c>
      <c r="B841" s="86" t="s">
        <v>630</v>
      </c>
      <c r="C841" s="41" t="s">
        <v>189</v>
      </c>
      <c r="D841">
        <v>9.25</v>
      </c>
      <c r="E841">
        <v>4508.7700000000004</v>
      </c>
      <c r="F841">
        <v>31.12</v>
      </c>
      <c r="G841">
        <v>52.8</v>
      </c>
      <c r="H841">
        <v>5167.71</v>
      </c>
      <c r="I841" s="80">
        <v>8212.91</v>
      </c>
      <c r="J841">
        <v>11.27</v>
      </c>
      <c r="K841">
        <v>42.61</v>
      </c>
      <c r="L841">
        <f t="shared" si="130"/>
        <v>0</v>
      </c>
      <c r="M841">
        <f t="shared" si="131"/>
        <v>0</v>
      </c>
      <c r="N841">
        <f t="shared" si="132"/>
        <v>0</v>
      </c>
      <c r="O841">
        <f t="shared" si="133"/>
        <v>0</v>
      </c>
      <c r="P841">
        <f t="shared" si="134"/>
        <v>0</v>
      </c>
      <c r="Q841">
        <f t="shared" si="135"/>
        <v>0</v>
      </c>
      <c r="R841">
        <f t="shared" si="136"/>
        <v>0</v>
      </c>
      <c r="S841">
        <f t="shared" si="137"/>
        <v>0</v>
      </c>
      <c r="T841">
        <f t="shared" si="139"/>
        <v>0</v>
      </c>
      <c r="U841">
        <f t="shared" si="138"/>
        <v>0</v>
      </c>
    </row>
    <row r="842" spans="1:21" x14ac:dyDescent="0.25">
      <c r="A842" s="2">
        <v>841</v>
      </c>
      <c r="B842" s="39" t="s">
        <v>612</v>
      </c>
      <c r="C842" s="41" t="s">
        <v>162</v>
      </c>
      <c r="D842">
        <v>26.44</v>
      </c>
      <c r="E842" s="80">
        <v>150329.71</v>
      </c>
      <c r="F842">
        <v>1.1399999999999999</v>
      </c>
      <c r="G842">
        <v>166.73</v>
      </c>
      <c r="H842">
        <v>4.71</v>
      </c>
      <c r="I842">
        <v>3.99</v>
      </c>
      <c r="J842">
        <v>40.99</v>
      </c>
      <c r="K842">
        <v>50.83</v>
      </c>
      <c r="L842">
        <f t="shared" si="130"/>
        <v>0</v>
      </c>
      <c r="M842">
        <f t="shared" si="131"/>
        <v>0</v>
      </c>
      <c r="N842">
        <f t="shared" si="132"/>
        <v>0</v>
      </c>
      <c r="O842">
        <f t="shared" si="133"/>
        <v>0</v>
      </c>
      <c r="P842">
        <f t="shared" si="134"/>
        <v>0</v>
      </c>
      <c r="Q842">
        <f t="shared" si="135"/>
        <v>0</v>
      </c>
      <c r="R842">
        <f t="shared" si="136"/>
        <v>0</v>
      </c>
      <c r="S842">
        <f t="shared" si="137"/>
        <v>0</v>
      </c>
      <c r="T842">
        <f t="shared" si="139"/>
        <v>0</v>
      </c>
      <c r="U842">
        <f t="shared" si="138"/>
        <v>0</v>
      </c>
    </row>
    <row r="843" spans="1:21" x14ac:dyDescent="0.25">
      <c r="A843" s="2">
        <v>842</v>
      </c>
      <c r="B843" s="39" t="s">
        <v>612</v>
      </c>
      <c r="C843" s="41" t="s">
        <v>170</v>
      </c>
      <c r="D843">
        <v>77.5</v>
      </c>
      <c r="E843" s="80">
        <v>112247.28</v>
      </c>
      <c r="F843">
        <v>198.82</v>
      </c>
      <c r="G843">
        <v>195.96</v>
      </c>
      <c r="H843">
        <v>4506.26</v>
      </c>
      <c r="I843" s="80">
        <v>30361.61</v>
      </c>
      <c r="J843">
        <v>61.6</v>
      </c>
      <c r="K843">
        <v>3236.92</v>
      </c>
      <c r="L843">
        <f t="shared" si="130"/>
        <v>0</v>
      </c>
      <c r="M843">
        <f t="shared" si="131"/>
        <v>0</v>
      </c>
      <c r="N843">
        <f t="shared" si="132"/>
        <v>0</v>
      </c>
      <c r="O843">
        <f t="shared" si="133"/>
        <v>0</v>
      </c>
      <c r="P843">
        <f t="shared" si="134"/>
        <v>0</v>
      </c>
      <c r="Q843">
        <f t="shared" si="135"/>
        <v>0</v>
      </c>
      <c r="R843">
        <f t="shared" si="136"/>
        <v>0</v>
      </c>
      <c r="S843">
        <f t="shared" si="137"/>
        <v>0</v>
      </c>
      <c r="T843">
        <f t="shared" si="139"/>
        <v>0</v>
      </c>
      <c r="U843">
        <f t="shared" si="138"/>
        <v>0</v>
      </c>
    </row>
    <row r="844" spans="1:21" x14ac:dyDescent="0.25">
      <c r="A844" s="2">
        <v>843</v>
      </c>
      <c r="B844" s="39" t="s">
        <v>612</v>
      </c>
      <c r="C844" s="41" t="s">
        <v>178</v>
      </c>
      <c r="D844">
        <v>173.77</v>
      </c>
      <c r="E844" s="80">
        <v>117934.45</v>
      </c>
      <c r="F844">
        <v>1553.4</v>
      </c>
      <c r="G844">
        <v>340.96</v>
      </c>
      <c r="H844" s="80">
        <v>32394.53</v>
      </c>
      <c r="I844" s="80">
        <v>33477.410000000003</v>
      </c>
      <c r="J844">
        <v>100.71</v>
      </c>
      <c r="K844">
        <v>7118.31</v>
      </c>
      <c r="L844">
        <f t="shared" si="130"/>
        <v>0</v>
      </c>
      <c r="M844">
        <f t="shared" si="131"/>
        <v>0</v>
      </c>
      <c r="N844">
        <f t="shared" si="132"/>
        <v>0</v>
      </c>
      <c r="O844">
        <f t="shared" si="133"/>
        <v>0</v>
      </c>
      <c r="P844">
        <f t="shared" si="134"/>
        <v>0</v>
      </c>
      <c r="Q844">
        <f t="shared" si="135"/>
        <v>0</v>
      </c>
      <c r="R844">
        <f t="shared" si="136"/>
        <v>0</v>
      </c>
      <c r="S844">
        <f t="shared" si="137"/>
        <v>0</v>
      </c>
      <c r="T844">
        <f t="shared" si="139"/>
        <v>0</v>
      </c>
      <c r="U844">
        <f t="shared" si="138"/>
        <v>0</v>
      </c>
    </row>
    <row r="845" spans="1:21" x14ac:dyDescent="0.25">
      <c r="A845" s="2">
        <v>844</v>
      </c>
      <c r="B845" s="39" t="s">
        <v>612</v>
      </c>
      <c r="C845" s="41" t="s">
        <v>163</v>
      </c>
      <c r="D845">
        <v>1308.06</v>
      </c>
      <c r="E845" s="80">
        <v>125798.43</v>
      </c>
      <c r="F845">
        <v>142.44</v>
      </c>
      <c r="G845">
        <v>290.38</v>
      </c>
      <c r="H845" s="80">
        <v>22745.13</v>
      </c>
      <c r="I845" s="80">
        <v>30643.88</v>
      </c>
      <c r="J845">
        <v>158.52000000000001</v>
      </c>
      <c r="K845" s="80">
        <v>26663.59</v>
      </c>
      <c r="L845">
        <f t="shared" si="130"/>
        <v>0</v>
      </c>
      <c r="M845">
        <f t="shared" si="131"/>
        <v>0</v>
      </c>
      <c r="N845">
        <f t="shared" si="132"/>
        <v>0</v>
      </c>
      <c r="O845">
        <f t="shared" si="133"/>
        <v>0</v>
      </c>
      <c r="P845">
        <f t="shared" si="134"/>
        <v>0</v>
      </c>
      <c r="Q845">
        <f t="shared" si="135"/>
        <v>0</v>
      </c>
      <c r="R845">
        <f t="shared" si="136"/>
        <v>0</v>
      </c>
      <c r="S845">
        <f t="shared" si="137"/>
        <v>0</v>
      </c>
      <c r="T845">
        <f t="shared" si="139"/>
        <v>0</v>
      </c>
      <c r="U845">
        <f t="shared" si="138"/>
        <v>0</v>
      </c>
    </row>
    <row r="846" spans="1:21" ht="15.75" thickBot="1" x14ac:dyDescent="0.3">
      <c r="A846" s="2">
        <v>845</v>
      </c>
      <c r="B846" s="39" t="s">
        <v>612</v>
      </c>
      <c r="C846" s="41" t="s">
        <v>181</v>
      </c>
      <c r="D846">
        <v>39.53</v>
      </c>
      <c r="E846" s="80">
        <v>368794.09</v>
      </c>
      <c r="F846">
        <v>1.43</v>
      </c>
      <c r="G846">
        <v>173.92</v>
      </c>
      <c r="H846">
        <v>11.98</v>
      </c>
      <c r="I846">
        <v>492.4</v>
      </c>
      <c r="J846">
        <v>64.47</v>
      </c>
      <c r="K846">
        <v>74.59</v>
      </c>
      <c r="L846">
        <f t="shared" si="130"/>
        <v>0</v>
      </c>
      <c r="M846">
        <f t="shared" si="131"/>
        <v>0</v>
      </c>
      <c r="N846">
        <f t="shared" si="132"/>
        <v>0</v>
      </c>
      <c r="O846">
        <f t="shared" si="133"/>
        <v>0</v>
      </c>
      <c r="P846">
        <f t="shared" si="134"/>
        <v>0</v>
      </c>
      <c r="Q846">
        <f t="shared" si="135"/>
        <v>0</v>
      </c>
      <c r="R846">
        <f t="shared" si="136"/>
        <v>0</v>
      </c>
      <c r="S846">
        <f t="shared" si="137"/>
        <v>0</v>
      </c>
      <c r="T846">
        <f t="shared" si="139"/>
        <v>0</v>
      </c>
      <c r="U846">
        <f t="shared" si="138"/>
        <v>0</v>
      </c>
    </row>
    <row r="847" spans="1:21" x14ac:dyDescent="0.25">
      <c r="A847" s="2">
        <v>846</v>
      </c>
      <c r="B847" s="39" t="s">
        <v>612</v>
      </c>
      <c r="C847" s="40" t="s">
        <v>183</v>
      </c>
      <c r="D847">
        <v>54.81</v>
      </c>
      <c r="E847" s="80">
        <v>209601.9</v>
      </c>
      <c r="F847">
        <v>1194.8900000000001</v>
      </c>
      <c r="G847">
        <v>241.98</v>
      </c>
      <c r="H847">
        <v>7484.72</v>
      </c>
      <c r="I847" s="80">
        <v>36420.629999999997</v>
      </c>
      <c r="J847">
        <v>94.45</v>
      </c>
      <c r="K847">
        <v>7369.05</v>
      </c>
      <c r="L847">
        <f t="shared" si="130"/>
        <v>0</v>
      </c>
      <c r="M847">
        <f t="shared" si="131"/>
        <v>0</v>
      </c>
      <c r="N847">
        <f t="shared" si="132"/>
        <v>0</v>
      </c>
      <c r="O847">
        <f t="shared" si="133"/>
        <v>0</v>
      </c>
      <c r="P847">
        <f t="shared" si="134"/>
        <v>0</v>
      </c>
      <c r="Q847">
        <f t="shared" si="135"/>
        <v>0</v>
      </c>
      <c r="R847">
        <f t="shared" si="136"/>
        <v>0</v>
      </c>
      <c r="S847">
        <f t="shared" si="137"/>
        <v>0</v>
      </c>
      <c r="T847">
        <f t="shared" si="139"/>
        <v>0</v>
      </c>
      <c r="U847">
        <f t="shared" si="138"/>
        <v>0</v>
      </c>
    </row>
    <row r="848" spans="1:21" x14ac:dyDescent="0.25">
      <c r="A848" s="92">
        <v>847</v>
      </c>
      <c r="B848" s="39" t="s">
        <v>612</v>
      </c>
      <c r="C848" s="41" t="s">
        <v>186</v>
      </c>
      <c r="D848">
        <v>62.19</v>
      </c>
      <c r="E848" s="80">
        <v>193466.77</v>
      </c>
      <c r="F848" s="89" t="s">
        <v>582</v>
      </c>
      <c r="G848">
        <v>375.81</v>
      </c>
      <c r="H848" s="80">
        <v>89404.47</v>
      </c>
      <c r="I848" s="80">
        <v>40083.93</v>
      </c>
      <c r="J848">
        <v>146.55000000000001</v>
      </c>
      <c r="K848" s="80">
        <v>24297.919999999998</v>
      </c>
      <c r="L848">
        <f t="shared" si="130"/>
        <v>0</v>
      </c>
      <c r="M848">
        <f t="shared" si="131"/>
        <v>0</v>
      </c>
      <c r="N848">
        <f t="shared" si="132"/>
        <v>1</v>
      </c>
      <c r="O848">
        <f t="shared" si="133"/>
        <v>0</v>
      </c>
      <c r="P848">
        <f t="shared" si="134"/>
        <v>0</v>
      </c>
      <c r="Q848">
        <f t="shared" si="135"/>
        <v>0</v>
      </c>
      <c r="R848">
        <f t="shared" si="136"/>
        <v>0</v>
      </c>
      <c r="S848">
        <f t="shared" si="137"/>
        <v>0</v>
      </c>
      <c r="T848">
        <f t="shared" si="139"/>
        <v>1</v>
      </c>
      <c r="U848">
        <f t="shared" si="138"/>
        <v>1</v>
      </c>
    </row>
    <row r="849" spans="1:21" x14ac:dyDescent="0.25">
      <c r="A849" s="2">
        <v>848</v>
      </c>
      <c r="B849" s="39" t="s">
        <v>612</v>
      </c>
      <c r="C849" s="41" t="s">
        <v>188</v>
      </c>
      <c r="D849">
        <v>68.48</v>
      </c>
      <c r="E849" s="80">
        <v>255226.92</v>
      </c>
      <c r="F849">
        <v>433.1</v>
      </c>
      <c r="G849">
        <v>340.96</v>
      </c>
      <c r="H849" s="80">
        <v>18197.97</v>
      </c>
      <c r="I849" s="80">
        <v>31513.14</v>
      </c>
      <c r="J849">
        <v>131.44</v>
      </c>
      <c r="K849" s="80">
        <v>23875.53</v>
      </c>
      <c r="L849">
        <f t="shared" si="130"/>
        <v>0</v>
      </c>
      <c r="M849">
        <f t="shared" si="131"/>
        <v>0</v>
      </c>
      <c r="N849">
        <f t="shared" si="132"/>
        <v>0</v>
      </c>
      <c r="O849">
        <f t="shared" si="133"/>
        <v>0</v>
      </c>
      <c r="P849">
        <f t="shared" si="134"/>
        <v>0</v>
      </c>
      <c r="Q849">
        <f t="shared" si="135"/>
        <v>0</v>
      </c>
      <c r="R849">
        <f t="shared" si="136"/>
        <v>0</v>
      </c>
      <c r="S849">
        <f t="shared" si="137"/>
        <v>0</v>
      </c>
      <c r="T849">
        <f t="shared" si="139"/>
        <v>0</v>
      </c>
      <c r="U849">
        <f t="shared" si="138"/>
        <v>0</v>
      </c>
    </row>
    <row r="850" spans="1:21" x14ac:dyDescent="0.25">
      <c r="A850" s="2">
        <v>849</v>
      </c>
      <c r="B850" s="39" t="s">
        <v>612</v>
      </c>
      <c r="C850" s="41" t="s">
        <v>182</v>
      </c>
      <c r="D850" s="80">
        <v>0.22</v>
      </c>
      <c r="E850">
        <v>338.05</v>
      </c>
      <c r="F850">
        <v>0.33</v>
      </c>
      <c r="G850" t="s">
        <v>583</v>
      </c>
      <c r="H850" t="s">
        <v>583</v>
      </c>
      <c r="I850">
        <v>0.28999999999999998</v>
      </c>
      <c r="J850" s="80">
        <v>0.83</v>
      </c>
      <c r="K850">
        <v>0.23</v>
      </c>
      <c r="L850">
        <f t="shared" si="130"/>
        <v>0</v>
      </c>
      <c r="M850">
        <f t="shared" si="131"/>
        <v>0</v>
      </c>
      <c r="N850">
        <f t="shared" si="132"/>
        <v>0</v>
      </c>
      <c r="O850">
        <f t="shared" si="133"/>
        <v>0</v>
      </c>
      <c r="P850">
        <f t="shared" si="134"/>
        <v>0</v>
      </c>
      <c r="Q850">
        <f t="shared" si="135"/>
        <v>0</v>
      </c>
      <c r="R850">
        <f t="shared" si="136"/>
        <v>0</v>
      </c>
      <c r="S850">
        <f t="shared" si="137"/>
        <v>0</v>
      </c>
      <c r="T850">
        <f t="shared" si="139"/>
        <v>0</v>
      </c>
      <c r="U850">
        <f t="shared" si="138"/>
        <v>0</v>
      </c>
    </row>
    <row r="851" spans="1:21" x14ac:dyDescent="0.25">
      <c r="A851" s="2">
        <v>850</v>
      </c>
      <c r="B851" s="39" t="s">
        <v>612</v>
      </c>
      <c r="C851" s="41" t="s">
        <v>184</v>
      </c>
      <c r="D851">
        <v>67.209999999999994</v>
      </c>
      <c r="E851" s="80">
        <v>42073.4</v>
      </c>
      <c r="F851">
        <v>384.2</v>
      </c>
      <c r="G851">
        <v>152.57</v>
      </c>
      <c r="H851">
        <v>3677.96</v>
      </c>
      <c r="I851" s="80">
        <v>25722.32</v>
      </c>
      <c r="J851">
        <v>58.76</v>
      </c>
      <c r="K851">
        <v>5395.55</v>
      </c>
      <c r="L851">
        <f t="shared" si="130"/>
        <v>0</v>
      </c>
      <c r="M851">
        <f t="shared" si="131"/>
        <v>0</v>
      </c>
      <c r="N851">
        <f t="shared" si="132"/>
        <v>0</v>
      </c>
      <c r="O851">
        <f t="shared" si="133"/>
        <v>0</v>
      </c>
      <c r="P851">
        <f t="shared" si="134"/>
        <v>0</v>
      </c>
      <c r="Q851">
        <f t="shared" si="135"/>
        <v>0</v>
      </c>
      <c r="R851">
        <f t="shared" si="136"/>
        <v>0</v>
      </c>
      <c r="S851">
        <f t="shared" si="137"/>
        <v>0</v>
      </c>
      <c r="T851">
        <f t="shared" si="139"/>
        <v>0</v>
      </c>
      <c r="U851">
        <f t="shared" si="138"/>
        <v>0</v>
      </c>
    </row>
    <row r="852" spans="1:21" x14ac:dyDescent="0.25">
      <c r="A852" s="2">
        <v>851</v>
      </c>
      <c r="B852" s="39" t="s">
        <v>612</v>
      </c>
      <c r="C852" s="41" t="s">
        <v>187</v>
      </c>
      <c r="D852">
        <v>335.47</v>
      </c>
      <c r="E852" s="80">
        <v>36698.74</v>
      </c>
      <c r="F852">
        <v>1705.06</v>
      </c>
      <c r="G852">
        <v>195.96</v>
      </c>
      <c r="H852" s="80">
        <v>21935.63</v>
      </c>
      <c r="I852" s="80">
        <v>30096.3</v>
      </c>
      <c r="J852">
        <v>103.86</v>
      </c>
      <c r="K852" s="80">
        <v>13033.15</v>
      </c>
      <c r="L852">
        <f t="shared" si="130"/>
        <v>0</v>
      </c>
      <c r="M852">
        <f t="shared" si="131"/>
        <v>0</v>
      </c>
      <c r="N852">
        <f t="shared" si="132"/>
        <v>0</v>
      </c>
      <c r="O852">
        <f t="shared" si="133"/>
        <v>0</v>
      </c>
      <c r="P852">
        <f t="shared" si="134"/>
        <v>0</v>
      </c>
      <c r="Q852">
        <f t="shared" si="135"/>
        <v>0</v>
      </c>
      <c r="R852">
        <f t="shared" si="136"/>
        <v>0</v>
      </c>
      <c r="S852">
        <f t="shared" si="137"/>
        <v>0</v>
      </c>
      <c r="T852">
        <f t="shared" si="139"/>
        <v>0</v>
      </c>
      <c r="U852">
        <f t="shared" si="138"/>
        <v>0</v>
      </c>
    </row>
    <row r="853" spans="1:21" x14ac:dyDescent="0.25">
      <c r="A853" s="2">
        <v>852</v>
      </c>
      <c r="B853" s="39" t="s">
        <v>612</v>
      </c>
      <c r="C853" s="41" t="s">
        <v>189</v>
      </c>
      <c r="D853">
        <v>238.2</v>
      </c>
      <c r="E853" s="80">
        <v>39510.239999999998</v>
      </c>
      <c r="F853">
        <v>105.44</v>
      </c>
      <c r="G853">
        <v>166.73</v>
      </c>
      <c r="H853">
        <v>8683.19</v>
      </c>
      <c r="I853" s="80">
        <v>29172.74</v>
      </c>
      <c r="J853">
        <v>91.35</v>
      </c>
      <c r="K853" s="80">
        <v>10874.52</v>
      </c>
      <c r="L853">
        <f t="shared" si="130"/>
        <v>0</v>
      </c>
      <c r="M853">
        <f t="shared" si="131"/>
        <v>0</v>
      </c>
      <c r="N853">
        <f t="shared" si="132"/>
        <v>0</v>
      </c>
      <c r="O853">
        <f t="shared" si="133"/>
        <v>0</v>
      </c>
      <c r="P853">
        <f t="shared" si="134"/>
        <v>0</v>
      </c>
      <c r="Q853">
        <f t="shared" si="135"/>
        <v>0</v>
      </c>
      <c r="R853">
        <f t="shared" si="136"/>
        <v>0</v>
      </c>
      <c r="S853">
        <f t="shared" si="137"/>
        <v>0</v>
      </c>
      <c r="T853">
        <f t="shared" si="139"/>
        <v>0</v>
      </c>
      <c r="U853">
        <f t="shared" si="138"/>
        <v>0</v>
      </c>
    </row>
    <row r="854" spans="1:21" x14ac:dyDescent="0.25">
      <c r="A854" s="2">
        <v>853</v>
      </c>
      <c r="B854" s="39">
        <v>2015</v>
      </c>
      <c r="C854" s="41" t="s">
        <v>162</v>
      </c>
      <c r="D854">
        <v>18.37</v>
      </c>
      <c r="E854" s="80">
        <v>37244.879999999997</v>
      </c>
      <c r="F854">
        <v>0.89</v>
      </c>
      <c r="G854">
        <v>131.97</v>
      </c>
      <c r="H854">
        <v>2.2799999999999998</v>
      </c>
      <c r="I854">
        <v>2.0699999999999998</v>
      </c>
      <c r="J854">
        <v>24.64</v>
      </c>
      <c r="K854">
        <v>4.3</v>
      </c>
      <c r="L854">
        <f t="shared" si="130"/>
        <v>0</v>
      </c>
      <c r="M854">
        <f t="shared" si="131"/>
        <v>0</v>
      </c>
      <c r="N854">
        <f t="shared" si="132"/>
        <v>0</v>
      </c>
      <c r="O854">
        <f t="shared" si="133"/>
        <v>0</v>
      </c>
      <c r="P854">
        <f t="shared" si="134"/>
        <v>0</v>
      </c>
      <c r="Q854">
        <f t="shared" si="135"/>
        <v>0</v>
      </c>
      <c r="R854">
        <f t="shared" si="136"/>
        <v>0</v>
      </c>
      <c r="S854">
        <f t="shared" si="137"/>
        <v>0</v>
      </c>
      <c r="T854">
        <f t="shared" si="139"/>
        <v>0</v>
      </c>
      <c r="U854">
        <f t="shared" si="138"/>
        <v>0</v>
      </c>
    </row>
    <row r="855" spans="1:21" x14ac:dyDescent="0.25">
      <c r="A855" s="2">
        <v>854</v>
      </c>
      <c r="B855" s="39">
        <v>2015</v>
      </c>
      <c r="C855" s="41" t="s">
        <v>170</v>
      </c>
      <c r="D855">
        <v>92.12</v>
      </c>
      <c r="E855" s="80">
        <v>29249.200000000001</v>
      </c>
      <c r="F855">
        <v>265.76</v>
      </c>
      <c r="G855">
        <v>145.62</v>
      </c>
      <c r="H855">
        <v>2263.65</v>
      </c>
      <c r="I855" s="80">
        <v>13611.73</v>
      </c>
      <c r="J855">
        <v>39.67</v>
      </c>
      <c r="K855">
        <v>815.97</v>
      </c>
      <c r="L855">
        <f t="shared" si="130"/>
        <v>0</v>
      </c>
      <c r="M855">
        <f t="shared" si="131"/>
        <v>0</v>
      </c>
      <c r="N855">
        <f t="shared" si="132"/>
        <v>0</v>
      </c>
      <c r="O855">
        <f t="shared" si="133"/>
        <v>0</v>
      </c>
      <c r="P855">
        <f t="shared" si="134"/>
        <v>0</v>
      </c>
      <c r="Q855">
        <f t="shared" si="135"/>
        <v>0</v>
      </c>
      <c r="R855">
        <f t="shared" si="136"/>
        <v>0</v>
      </c>
      <c r="S855">
        <f t="shared" si="137"/>
        <v>0</v>
      </c>
      <c r="T855">
        <f t="shared" si="139"/>
        <v>0</v>
      </c>
      <c r="U855">
        <f t="shared" si="138"/>
        <v>0</v>
      </c>
    </row>
    <row r="856" spans="1:21" ht="15.75" thickBot="1" x14ac:dyDescent="0.3">
      <c r="A856" s="2">
        <v>855</v>
      </c>
      <c r="B856" s="39">
        <v>2015</v>
      </c>
      <c r="C856" s="41" t="s">
        <v>178</v>
      </c>
      <c r="D856">
        <v>305.13</v>
      </c>
      <c r="E856" s="80">
        <v>36022.04</v>
      </c>
      <c r="F856">
        <v>1545.63</v>
      </c>
      <c r="G856">
        <v>145.62</v>
      </c>
      <c r="H856">
        <v>14889.37</v>
      </c>
      <c r="I856" s="80">
        <v>21191.35</v>
      </c>
      <c r="J856">
        <v>55.95</v>
      </c>
      <c r="K856">
        <v>1756.4</v>
      </c>
      <c r="L856">
        <f t="shared" si="130"/>
        <v>0</v>
      </c>
      <c r="M856">
        <f t="shared" si="131"/>
        <v>0</v>
      </c>
      <c r="N856">
        <f t="shared" si="132"/>
        <v>0</v>
      </c>
      <c r="O856">
        <f t="shared" si="133"/>
        <v>0</v>
      </c>
      <c r="P856">
        <f t="shared" si="134"/>
        <v>0</v>
      </c>
      <c r="Q856">
        <f t="shared" si="135"/>
        <v>0</v>
      </c>
      <c r="R856">
        <f t="shared" si="136"/>
        <v>0</v>
      </c>
      <c r="S856">
        <f t="shared" si="137"/>
        <v>0</v>
      </c>
      <c r="T856">
        <f t="shared" si="139"/>
        <v>0</v>
      </c>
      <c r="U856">
        <f t="shared" si="138"/>
        <v>0</v>
      </c>
    </row>
    <row r="857" spans="1:21" x14ac:dyDescent="0.25">
      <c r="A857" s="2">
        <v>856</v>
      </c>
      <c r="B857" s="39">
        <v>2015</v>
      </c>
      <c r="C857" s="40" t="s">
        <v>163</v>
      </c>
      <c r="D857">
        <v>923.51</v>
      </c>
      <c r="E857" s="80">
        <v>40516.11</v>
      </c>
      <c r="F857">
        <v>157.85</v>
      </c>
      <c r="G857">
        <v>166.73</v>
      </c>
      <c r="H857">
        <v>3057.81</v>
      </c>
      <c r="I857" s="80">
        <v>8178.54</v>
      </c>
      <c r="J857">
        <v>64.47</v>
      </c>
      <c r="K857">
        <v>7188.34</v>
      </c>
      <c r="L857">
        <f t="shared" si="130"/>
        <v>0</v>
      </c>
      <c r="M857">
        <f t="shared" si="131"/>
        <v>0</v>
      </c>
      <c r="N857">
        <f t="shared" si="132"/>
        <v>0</v>
      </c>
      <c r="O857">
        <f t="shared" si="133"/>
        <v>0</v>
      </c>
      <c r="P857">
        <f t="shared" si="134"/>
        <v>0</v>
      </c>
      <c r="Q857">
        <f t="shared" si="135"/>
        <v>0</v>
      </c>
      <c r="R857">
        <f t="shared" si="136"/>
        <v>0</v>
      </c>
      <c r="S857">
        <f t="shared" si="137"/>
        <v>0</v>
      </c>
      <c r="T857">
        <f t="shared" si="139"/>
        <v>0</v>
      </c>
      <c r="U857">
        <f t="shared" si="138"/>
        <v>0</v>
      </c>
    </row>
    <row r="858" spans="1:21" x14ac:dyDescent="0.25">
      <c r="A858" s="2">
        <v>857</v>
      </c>
      <c r="B858" s="39">
        <v>2015</v>
      </c>
      <c r="C858" s="41" t="s">
        <v>181</v>
      </c>
      <c r="D858">
        <v>30.68</v>
      </c>
      <c r="E858" s="80">
        <v>157009.17000000001</v>
      </c>
      <c r="F858">
        <v>1.96</v>
      </c>
      <c r="G858">
        <v>125.27</v>
      </c>
      <c r="H858">
        <v>98.55</v>
      </c>
      <c r="I858">
        <v>574.99</v>
      </c>
      <c r="J858">
        <v>42.31</v>
      </c>
      <c r="K858">
        <v>206.03</v>
      </c>
      <c r="L858">
        <f t="shared" si="130"/>
        <v>0</v>
      </c>
      <c r="M858">
        <f t="shared" si="131"/>
        <v>0</v>
      </c>
      <c r="N858">
        <f t="shared" si="132"/>
        <v>0</v>
      </c>
      <c r="O858">
        <f t="shared" si="133"/>
        <v>0</v>
      </c>
      <c r="P858">
        <f t="shared" si="134"/>
        <v>0</v>
      </c>
      <c r="Q858">
        <f t="shared" si="135"/>
        <v>0</v>
      </c>
      <c r="R858">
        <f t="shared" si="136"/>
        <v>0</v>
      </c>
      <c r="S858">
        <f t="shared" si="137"/>
        <v>0</v>
      </c>
      <c r="T858">
        <f t="shared" si="139"/>
        <v>0</v>
      </c>
      <c r="U858">
        <f t="shared" si="138"/>
        <v>0</v>
      </c>
    </row>
    <row r="859" spans="1:21" x14ac:dyDescent="0.25">
      <c r="A859" s="2">
        <v>858</v>
      </c>
      <c r="B859" s="39">
        <v>2015</v>
      </c>
      <c r="C859" s="41" t="s">
        <v>183</v>
      </c>
      <c r="D859">
        <v>41.81</v>
      </c>
      <c r="E859" s="80">
        <v>53141.96</v>
      </c>
      <c r="F859">
        <v>3391.42</v>
      </c>
      <c r="G859">
        <v>218.66</v>
      </c>
      <c r="H859" s="80">
        <v>21847.97</v>
      </c>
      <c r="I859" s="80">
        <v>28013.17</v>
      </c>
      <c r="J859">
        <v>88.28</v>
      </c>
      <c r="K859">
        <v>7540.26</v>
      </c>
      <c r="L859">
        <f t="shared" si="130"/>
        <v>0</v>
      </c>
      <c r="M859">
        <f t="shared" si="131"/>
        <v>0</v>
      </c>
      <c r="N859">
        <f t="shared" si="132"/>
        <v>0</v>
      </c>
      <c r="O859">
        <f t="shared" si="133"/>
        <v>0</v>
      </c>
      <c r="P859">
        <f t="shared" si="134"/>
        <v>0</v>
      </c>
      <c r="Q859">
        <f t="shared" si="135"/>
        <v>0</v>
      </c>
      <c r="R859">
        <f t="shared" si="136"/>
        <v>0</v>
      </c>
      <c r="S859">
        <f t="shared" si="137"/>
        <v>0</v>
      </c>
      <c r="T859">
        <f t="shared" si="139"/>
        <v>0</v>
      </c>
      <c r="U859">
        <f t="shared" si="138"/>
        <v>0</v>
      </c>
    </row>
    <row r="860" spans="1:21" x14ac:dyDescent="0.25">
      <c r="A860" s="92">
        <v>859</v>
      </c>
      <c r="B860" s="39">
        <v>2015</v>
      </c>
      <c r="C860" s="41" t="s">
        <v>186</v>
      </c>
      <c r="D860">
        <v>46.45</v>
      </c>
      <c r="E860" s="80">
        <v>38382.07</v>
      </c>
      <c r="F860" s="89" t="s">
        <v>582</v>
      </c>
      <c r="G860">
        <v>211.03</v>
      </c>
      <c r="H860" s="80">
        <v>78979.98</v>
      </c>
      <c r="I860" s="80">
        <v>33986.949999999997</v>
      </c>
      <c r="J860">
        <v>105.45</v>
      </c>
      <c r="K860" s="80">
        <v>12334.05</v>
      </c>
      <c r="L860">
        <f t="shared" si="130"/>
        <v>0</v>
      </c>
      <c r="M860">
        <f t="shared" si="131"/>
        <v>0</v>
      </c>
      <c r="N860">
        <f t="shared" si="132"/>
        <v>1</v>
      </c>
      <c r="O860">
        <f t="shared" si="133"/>
        <v>0</v>
      </c>
      <c r="P860">
        <f t="shared" si="134"/>
        <v>0</v>
      </c>
      <c r="Q860">
        <f t="shared" si="135"/>
        <v>0</v>
      </c>
      <c r="R860">
        <f t="shared" si="136"/>
        <v>0</v>
      </c>
      <c r="S860">
        <f t="shared" si="137"/>
        <v>0</v>
      </c>
      <c r="T860">
        <f t="shared" si="139"/>
        <v>1</v>
      </c>
      <c r="U860">
        <f t="shared" si="138"/>
        <v>1</v>
      </c>
    </row>
    <row r="861" spans="1:21" x14ac:dyDescent="0.25">
      <c r="A861" s="2">
        <v>860</v>
      </c>
      <c r="B861" s="39">
        <v>2015</v>
      </c>
      <c r="C861" s="41" t="s">
        <v>188</v>
      </c>
      <c r="D861">
        <v>56.02</v>
      </c>
      <c r="E861" s="80">
        <v>104483.52</v>
      </c>
      <c r="F861">
        <v>701.05</v>
      </c>
      <c r="G861">
        <v>274</v>
      </c>
      <c r="H861">
        <v>12148.67</v>
      </c>
      <c r="I861" s="80">
        <v>23654.6</v>
      </c>
      <c r="J861">
        <v>116.68</v>
      </c>
      <c r="K861" s="80">
        <v>23810.79</v>
      </c>
      <c r="L861">
        <f t="shared" si="130"/>
        <v>0</v>
      </c>
      <c r="M861">
        <f t="shared" si="131"/>
        <v>0</v>
      </c>
      <c r="N861">
        <f t="shared" si="132"/>
        <v>0</v>
      </c>
      <c r="O861">
        <f t="shared" si="133"/>
        <v>0</v>
      </c>
      <c r="P861">
        <f t="shared" si="134"/>
        <v>0</v>
      </c>
      <c r="Q861">
        <f t="shared" si="135"/>
        <v>0</v>
      </c>
      <c r="R861">
        <f t="shared" si="136"/>
        <v>0</v>
      </c>
      <c r="S861">
        <f t="shared" si="137"/>
        <v>0</v>
      </c>
      <c r="T861">
        <f t="shared" si="139"/>
        <v>0</v>
      </c>
      <c r="U861">
        <f t="shared" si="138"/>
        <v>0</v>
      </c>
    </row>
    <row r="862" spans="1:21" x14ac:dyDescent="0.25">
      <c r="A862" s="2">
        <v>861</v>
      </c>
      <c r="B862" s="39">
        <v>2015</v>
      </c>
      <c r="C862" s="41" t="s">
        <v>182</v>
      </c>
      <c r="D862" t="s">
        <v>583</v>
      </c>
      <c r="E862">
        <v>1447.05</v>
      </c>
      <c r="F862" t="s">
        <v>583</v>
      </c>
      <c r="G862" s="80">
        <v>15.31</v>
      </c>
      <c r="H862">
        <v>0.17</v>
      </c>
      <c r="I862">
        <v>0.19</v>
      </c>
      <c r="J862" s="80">
        <v>0.27</v>
      </c>
      <c r="K862" t="s">
        <v>583</v>
      </c>
      <c r="L862">
        <f t="shared" si="130"/>
        <v>0</v>
      </c>
      <c r="M862">
        <f t="shared" si="131"/>
        <v>0</v>
      </c>
      <c r="N862">
        <f t="shared" si="132"/>
        <v>0</v>
      </c>
      <c r="O862">
        <f t="shared" si="133"/>
        <v>0</v>
      </c>
      <c r="P862">
        <f t="shared" si="134"/>
        <v>0</v>
      </c>
      <c r="Q862">
        <f t="shared" si="135"/>
        <v>0</v>
      </c>
      <c r="R862">
        <f t="shared" si="136"/>
        <v>0</v>
      </c>
      <c r="S862">
        <f t="shared" si="137"/>
        <v>0</v>
      </c>
      <c r="T862">
        <f t="shared" si="139"/>
        <v>0</v>
      </c>
      <c r="U862">
        <f t="shared" si="138"/>
        <v>0</v>
      </c>
    </row>
    <row r="863" spans="1:21" x14ac:dyDescent="0.25">
      <c r="A863" s="2">
        <v>862</v>
      </c>
      <c r="B863" s="39">
        <v>2015</v>
      </c>
      <c r="C863" s="46" t="s">
        <v>184</v>
      </c>
      <c r="D863">
        <v>671.23</v>
      </c>
      <c r="E863">
        <v>7236.95</v>
      </c>
      <c r="F863">
        <v>28.98</v>
      </c>
      <c r="G863">
        <v>42.42</v>
      </c>
      <c r="H863">
        <v>10970</v>
      </c>
      <c r="I863" s="80">
        <v>21494.39</v>
      </c>
      <c r="J863">
        <v>33.24</v>
      </c>
      <c r="K863">
        <v>1209.9100000000001</v>
      </c>
      <c r="L863">
        <f t="shared" si="130"/>
        <v>0</v>
      </c>
      <c r="M863">
        <f t="shared" si="131"/>
        <v>0</v>
      </c>
      <c r="N863">
        <f t="shared" si="132"/>
        <v>0</v>
      </c>
      <c r="O863">
        <f t="shared" si="133"/>
        <v>0</v>
      </c>
      <c r="P863">
        <f t="shared" si="134"/>
        <v>0</v>
      </c>
      <c r="Q863">
        <f t="shared" si="135"/>
        <v>0</v>
      </c>
      <c r="R863">
        <f t="shared" si="136"/>
        <v>0</v>
      </c>
      <c r="S863">
        <f t="shared" si="137"/>
        <v>0</v>
      </c>
      <c r="T863">
        <f t="shared" si="139"/>
        <v>0</v>
      </c>
      <c r="U863">
        <f t="shared" si="138"/>
        <v>0</v>
      </c>
    </row>
    <row r="864" spans="1:21" x14ac:dyDescent="0.25">
      <c r="A864" s="2">
        <v>863</v>
      </c>
      <c r="B864" s="39">
        <v>2015</v>
      </c>
      <c r="C864" s="41" t="s">
        <v>187</v>
      </c>
      <c r="D864">
        <v>2506.52</v>
      </c>
      <c r="E864">
        <v>8812.2999999999993</v>
      </c>
      <c r="F864">
        <v>247.48</v>
      </c>
      <c r="G864">
        <v>159.61000000000001</v>
      </c>
      <c r="H864" s="80">
        <v>32907.279999999999</v>
      </c>
      <c r="I864" s="80">
        <v>21798.94</v>
      </c>
      <c r="J864">
        <v>50.4</v>
      </c>
      <c r="K864">
        <v>5192.05</v>
      </c>
      <c r="L864">
        <f t="shared" si="130"/>
        <v>0</v>
      </c>
      <c r="M864">
        <f t="shared" si="131"/>
        <v>0</v>
      </c>
      <c r="N864">
        <f t="shared" si="132"/>
        <v>0</v>
      </c>
      <c r="O864">
        <f t="shared" si="133"/>
        <v>0</v>
      </c>
      <c r="P864">
        <f t="shared" si="134"/>
        <v>0</v>
      </c>
      <c r="Q864">
        <f t="shared" si="135"/>
        <v>0</v>
      </c>
      <c r="R864">
        <f t="shared" si="136"/>
        <v>0</v>
      </c>
      <c r="S864">
        <f t="shared" si="137"/>
        <v>0</v>
      </c>
      <c r="T864">
        <f t="shared" si="139"/>
        <v>0</v>
      </c>
      <c r="U864">
        <f t="shared" si="138"/>
        <v>0</v>
      </c>
    </row>
    <row r="865" spans="1:21" x14ac:dyDescent="0.25">
      <c r="A865" s="2">
        <v>864</v>
      </c>
      <c r="B865" s="39">
        <v>2015</v>
      </c>
      <c r="C865" s="41" t="s">
        <v>189</v>
      </c>
      <c r="D865">
        <v>626.6</v>
      </c>
      <c r="E865">
        <v>6143.02</v>
      </c>
      <c r="F865">
        <v>5.63</v>
      </c>
      <c r="G865">
        <v>58.21</v>
      </c>
      <c r="H865">
        <v>13167.34</v>
      </c>
      <c r="I865" s="80">
        <v>7362.82</v>
      </c>
      <c r="J865">
        <v>58.76</v>
      </c>
      <c r="K865">
        <v>5969.47</v>
      </c>
      <c r="L865">
        <f t="shared" si="130"/>
        <v>0</v>
      </c>
      <c r="M865">
        <f t="shared" si="131"/>
        <v>0</v>
      </c>
      <c r="N865">
        <f t="shared" si="132"/>
        <v>0</v>
      </c>
      <c r="O865">
        <f t="shared" si="133"/>
        <v>0</v>
      </c>
      <c r="P865">
        <f t="shared" si="134"/>
        <v>0</v>
      </c>
      <c r="Q865">
        <f t="shared" si="135"/>
        <v>0</v>
      </c>
      <c r="R865">
        <f t="shared" si="136"/>
        <v>0</v>
      </c>
      <c r="S865">
        <f t="shared" si="137"/>
        <v>0</v>
      </c>
      <c r="T865">
        <f t="shared" si="139"/>
        <v>0</v>
      </c>
      <c r="U865">
        <f t="shared" si="138"/>
        <v>0</v>
      </c>
    </row>
    <row r="866" spans="1:21" x14ac:dyDescent="0.25">
      <c r="A866" s="2">
        <v>865</v>
      </c>
      <c r="B866" s="39">
        <v>1042</v>
      </c>
      <c r="C866" s="41" t="s">
        <v>162</v>
      </c>
      <c r="D866">
        <v>29.08</v>
      </c>
      <c r="E866" s="80">
        <v>215430.22</v>
      </c>
      <c r="F866">
        <v>1.05</v>
      </c>
      <c r="G866">
        <v>138.75</v>
      </c>
      <c r="H866">
        <v>4.4000000000000004</v>
      </c>
      <c r="I866">
        <v>2.33</v>
      </c>
      <c r="J866">
        <v>39.67</v>
      </c>
      <c r="K866">
        <v>9.43</v>
      </c>
      <c r="L866">
        <f t="shared" si="130"/>
        <v>0</v>
      </c>
      <c r="M866">
        <f t="shared" si="131"/>
        <v>0</v>
      </c>
      <c r="N866">
        <f t="shared" si="132"/>
        <v>0</v>
      </c>
      <c r="O866">
        <f t="shared" si="133"/>
        <v>0</v>
      </c>
      <c r="P866">
        <f t="shared" si="134"/>
        <v>0</v>
      </c>
      <c r="Q866">
        <f t="shared" si="135"/>
        <v>0</v>
      </c>
      <c r="R866">
        <f t="shared" si="136"/>
        <v>0</v>
      </c>
      <c r="S866">
        <f t="shared" si="137"/>
        <v>0</v>
      </c>
      <c r="T866">
        <f t="shared" si="139"/>
        <v>0</v>
      </c>
      <c r="U866">
        <f t="shared" si="138"/>
        <v>0</v>
      </c>
    </row>
    <row r="867" spans="1:21" x14ac:dyDescent="0.25">
      <c r="A867" s="2">
        <v>866</v>
      </c>
      <c r="B867" s="39">
        <v>1042</v>
      </c>
      <c r="C867" s="41" t="s">
        <v>170</v>
      </c>
      <c r="D867">
        <v>25.92</v>
      </c>
      <c r="E867" s="80">
        <v>58157.93</v>
      </c>
      <c r="F867">
        <v>84.26</v>
      </c>
      <c r="G867">
        <v>152.57</v>
      </c>
      <c r="H867">
        <v>886.51</v>
      </c>
      <c r="I867" s="80">
        <v>25707.19</v>
      </c>
      <c r="J867">
        <v>44.97</v>
      </c>
      <c r="K867">
        <v>788.83</v>
      </c>
      <c r="L867">
        <f t="shared" si="130"/>
        <v>0</v>
      </c>
      <c r="M867">
        <f t="shared" si="131"/>
        <v>0</v>
      </c>
      <c r="N867">
        <f t="shared" si="132"/>
        <v>0</v>
      </c>
      <c r="O867">
        <f t="shared" si="133"/>
        <v>0</v>
      </c>
      <c r="P867">
        <f t="shared" si="134"/>
        <v>0</v>
      </c>
      <c r="Q867">
        <f t="shared" si="135"/>
        <v>0</v>
      </c>
      <c r="R867">
        <f t="shared" si="136"/>
        <v>0</v>
      </c>
      <c r="S867">
        <f t="shared" si="137"/>
        <v>0</v>
      </c>
      <c r="T867">
        <f t="shared" si="139"/>
        <v>0</v>
      </c>
      <c r="U867">
        <f t="shared" si="138"/>
        <v>0</v>
      </c>
    </row>
    <row r="868" spans="1:21" x14ac:dyDescent="0.25">
      <c r="A868" s="2">
        <v>867</v>
      </c>
      <c r="B868" s="39">
        <v>1042</v>
      </c>
      <c r="C868" s="41" t="s">
        <v>178</v>
      </c>
      <c r="D868">
        <v>42.39</v>
      </c>
      <c r="E868" s="80">
        <v>63462.02</v>
      </c>
      <c r="F868">
        <v>899.47</v>
      </c>
      <c r="G868">
        <v>203.46</v>
      </c>
      <c r="H868" s="80">
        <v>22346.18</v>
      </c>
      <c r="I868" s="80">
        <v>35601.699999999997</v>
      </c>
      <c r="J868">
        <v>82.19</v>
      </c>
      <c r="K868">
        <v>5731.01</v>
      </c>
      <c r="L868">
        <f t="shared" si="130"/>
        <v>0</v>
      </c>
      <c r="M868">
        <f t="shared" si="131"/>
        <v>0</v>
      </c>
      <c r="N868">
        <f t="shared" si="132"/>
        <v>0</v>
      </c>
      <c r="O868">
        <f t="shared" si="133"/>
        <v>0</v>
      </c>
      <c r="P868">
        <f t="shared" si="134"/>
        <v>0</v>
      </c>
      <c r="Q868">
        <f t="shared" si="135"/>
        <v>0</v>
      </c>
      <c r="R868">
        <f t="shared" si="136"/>
        <v>0</v>
      </c>
      <c r="S868">
        <f t="shared" si="137"/>
        <v>0</v>
      </c>
      <c r="T868">
        <f t="shared" si="139"/>
        <v>0</v>
      </c>
      <c r="U868">
        <f t="shared" si="138"/>
        <v>0</v>
      </c>
    </row>
    <row r="869" spans="1:21" x14ac:dyDescent="0.25">
      <c r="A869" s="2">
        <v>868</v>
      </c>
      <c r="B869" s="39">
        <v>1042</v>
      </c>
      <c r="C869" s="41" t="s">
        <v>163</v>
      </c>
      <c r="D869">
        <v>56.63</v>
      </c>
      <c r="E869" s="80">
        <v>178966.38</v>
      </c>
      <c r="F869">
        <v>199.68</v>
      </c>
      <c r="G869">
        <v>290.38</v>
      </c>
      <c r="H869">
        <v>7884.74</v>
      </c>
      <c r="I869" s="80">
        <v>33033.65</v>
      </c>
      <c r="J869">
        <v>105.45</v>
      </c>
      <c r="K869" s="80">
        <v>17459.95</v>
      </c>
      <c r="L869">
        <f t="shared" si="130"/>
        <v>0</v>
      </c>
      <c r="M869">
        <f t="shared" si="131"/>
        <v>0</v>
      </c>
      <c r="N869">
        <f t="shared" si="132"/>
        <v>0</v>
      </c>
      <c r="O869">
        <f t="shared" si="133"/>
        <v>0</v>
      </c>
      <c r="P869">
        <f t="shared" si="134"/>
        <v>0</v>
      </c>
      <c r="Q869">
        <f t="shared" si="135"/>
        <v>0</v>
      </c>
      <c r="R869">
        <f t="shared" si="136"/>
        <v>0</v>
      </c>
      <c r="S869">
        <f t="shared" si="137"/>
        <v>0</v>
      </c>
      <c r="T869">
        <f t="shared" si="139"/>
        <v>0</v>
      </c>
      <c r="U869">
        <f t="shared" si="138"/>
        <v>0</v>
      </c>
    </row>
    <row r="870" spans="1:21" x14ac:dyDescent="0.25">
      <c r="A870" s="2">
        <v>869</v>
      </c>
      <c r="B870" s="39">
        <v>1042</v>
      </c>
      <c r="C870" s="41" t="s">
        <v>181</v>
      </c>
      <c r="D870">
        <v>26.96</v>
      </c>
      <c r="E870" s="80">
        <v>89132.49</v>
      </c>
      <c r="F870">
        <v>0.71</v>
      </c>
      <c r="G870">
        <v>99.41</v>
      </c>
      <c r="H870">
        <v>450.22</v>
      </c>
      <c r="I870">
        <v>551.25</v>
      </c>
      <c r="J870">
        <v>31.98</v>
      </c>
      <c r="K870">
        <v>116.06</v>
      </c>
      <c r="L870">
        <f t="shared" si="130"/>
        <v>0</v>
      </c>
      <c r="M870">
        <f t="shared" si="131"/>
        <v>0</v>
      </c>
      <c r="N870">
        <f t="shared" si="132"/>
        <v>0</v>
      </c>
      <c r="O870">
        <f t="shared" si="133"/>
        <v>0</v>
      </c>
      <c r="P870">
        <f t="shared" si="134"/>
        <v>0</v>
      </c>
      <c r="Q870">
        <f t="shared" si="135"/>
        <v>0</v>
      </c>
      <c r="R870">
        <f t="shared" si="136"/>
        <v>0</v>
      </c>
      <c r="S870">
        <f t="shared" si="137"/>
        <v>0</v>
      </c>
      <c r="T870">
        <f t="shared" si="139"/>
        <v>0</v>
      </c>
      <c r="U870">
        <f t="shared" si="138"/>
        <v>0</v>
      </c>
    </row>
    <row r="871" spans="1:21" x14ac:dyDescent="0.25">
      <c r="A871" s="2">
        <v>870</v>
      </c>
      <c r="B871" s="39">
        <v>1042</v>
      </c>
      <c r="C871" s="41" t="s">
        <v>183</v>
      </c>
      <c r="D871">
        <v>33.4</v>
      </c>
      <c r="E871" s="80">
        <v>65067.66</v>
      </c>
      <c r="F871">
        <v>36.07</v>
      </c>
      <c r="G871">
        <v>159.61000000000001</v>
      </c>
      <c r="H871">
        <v>4118.5600000000004</v>
      </c>
      <c r="I871" s="80">
        <v>27756.32</v>
      </c>
      <c r="J871">
        <v>50.4</v>
      </c>
      <c r="K871">
        <v>3641.29</v>
      </c>
      <c r="L871">
        <f t="shared" si="130"/>
        <v>0</v>
      </c>
      <c r="M871">
        <f t="shared" si="131"/>
        <v>0</v>
      </c>
      <c r="N871">
        <f t="shared" si="132"/>
        <v>0</v>
      </c>
      <c r="O871">
        <f t="shared" si="133"/>
        <v>0</v>
      </c>
      <c r="P871">
        <f t="shared" si="134"/>
        <v>0</v>
      </c>
      <c r="Q871">
        <f t="shared" si="135"/>
        <v>0</v>
      </c>
      <c r="R871">
        <f t="shared" si="136"/>
        <v>0</v>
      </c>
      <c r="S871">
        <f t="shared" si="137"/>
        <v>0</v>
      </c>
      <c r="T871">
        <f t="shared" si="139"/>
        <v>0</v>
      </c>
      <c r="U871">
        <f t="shared" si="138"/>
        <v>0</v>
      </c>
    </row>
    <row r="872" spans="1:21" x14ac:dyDescent="0.25">
      <c r="A872" s="2">
        <v>871</v>
      </c>
      <c r="B872" s="39">
        <v>1042</v>
      </c>
      <c r="C872" s="41" t="s">
        <v>186</v>
      </c>
      <c r="D872">
        <v>40.1</v>
      </c>
      <c r="E872" s="80">
        <v>44124.160000000003</v>
      </c>
      <c r="F872">
        <v>294.32</v>
      </c>
      <c r="G872">
        <v>181.19</v>
      </c>
      <c r="H872" s="80">
        <v>16434.95</v>
      </c>
      <c r="I872" s="80">
        <v>37756.58</v>
      </c>
      <c r="J872">
        <v>70.28</v>
      </c>
      <c r="K872" s="80">
        <v>9790.69</v>
      </c>
      <c r="L872">
        <f t="shared" si="130"/>
        <v>0</v>
      </c>
      <c r="M872">
        <f t="shared" si="131"/>
        <v>0</v>
      </c>
      <c r="N872">
        <f t="shared" si="132"/>
        <v>0</v>
      </c>
      <c r="O872">
        <f t="shared" si="133"/>
        <v>0</v>
      </c>
      <c r="P872">
        <f t="shared" si="134"/>
        <v>0</v>
      </c>
      <c r="Q872">
        <f t="shared" si="135"/>
        <v>0</v>
      </c>
      <c r="R872">
        <f t="shared" si="136"/>
        <v>0</v>
      </c>
      <c r="S872">
        <f t="shared" si="137"/>
        <v>0</v>
      </c>
      <c r="T872">
        <f t="shared" si="139"/>
        <v>0</v>
      </c>
      <c r="U872">
        <f t="shared" si="138"/>
        <v>0</v>
      </c>
    </row>
    <row r="873" spans="1:21" x14ac:dyDescent="0.25">
      <c r="A873" s="2">
        <v>872</v>
      </c>
      <c r="B873" s="39">
        <v>1042</v>
      </c>
      <c r="C873" s="41" t="s">
        <v>188</v>
      </c>
      <c r="D873">
        <v>29.08</v>
      </c>
      <c r="E873" s="80">
        <v>120802.86</v>
      </c>
      <c r="F873">
        <v>2.56</v>
      </c>
      <c r="G873">
        <v>166.73</v>
      </c>
      <c r="H873">
        <v>1628.55</v>
      </c>
      <c r="I873" s="80">
        <v>9342.89</v>
      </c>
      <c r="J873">
        <v>64.47</v>
      </c>
      <c r="K873">
        <v>3506.09</v>
      </c>
      <c r="L873">
        <f t="shared" si="130"/>
        <v>0</v>
      </c>
      <c r="M873">
        <f t="shared" si="131"/>
        <v>0</v>
      </c>
      <c r="N873">
        <f t="shared" si="132"/>
        <v>0</v>
      </c>
      <c r="O873">
        <f t="shared" si="133"/>
        <v>0</v>
      </c>
      <c r="P873">
        <f t="shared" si="134"/>
        <v>0</v>
      </c>
      <c r="Q873">
        <f t="shared" si="135"/>
        <v>0</v>
      </c>
      <c r="R873">
        <f t="shared" si="136"/>
        <v>0</v>
      </c>
      <c r="S873">
        <f t="shared" si="137"/>
        <v>0</v>
      </c>
      <c r="T873">
        <f t="shared" si="139"/>
        <v>0</v>
      </c>
      <c r="U873">
        <f t="shared" si="138"/>
        <v>0</v>
      </c>
    </row>
    <row r="874" spans="1:21" x14ac:dyDescent="0.25">
      <c r="A874" s="2">
        <v>873</v>
      </c>
      <c r="B874" s="39">
        <v>1042</v>
      </c>
      <c r="C874" s="41" t="s">
        <v>182</v>
      </c>
      <c r="D874" s="80">
        <v>0.04</v>
      </c>
      <c r="E874">
        <v>484.87</v>
      </c>
      <c r="F874">
        <v>0.05</v>
      </c>
      <c r="G874" s="80">
        <v>2.2799999999999998</v>
      </c>
      <c r="H874" t="s">
        <v>583</v>
      </c>
      <c r="I874">
        <v>4.92</v>
      </c>
      <c r="J874" s="80">
        <v>0.83</v>
      </c>
      <c r="K874">
        <v>0.08</v>
      </c>
      <c r="L874">
        <f t="shared" si="130"/>
        <v>0</v>
      </c>
      <c r="M874">
        <f t="shared" si="131"/>
        <v>0</v>
      </c>
      <c r="N874">
        <f t="shared" si="132"/>
        <v>0</v>
      </c>
      <c r="O874">
        <f t="shared" si="133"/>
        <v>0</v>
      </c>
      <c r="P874">
        <f t="shared" si="134"/>
        <v>0</v>
      </c>
      <c r="Q874">
        <f t="shared" si="135"/>
        <v>0</v>
      </c>
      <c r="R874">
        <f t="shared" si="136"/>
        <v>0</v>
      </c>
      <c r="S874">
        <f t="shared" si="137"/>
        <v>0</v>
      </c>
      <c r="T874">
        <f t="shared" si="139"/>
        <v>0</v>
      </c>
      <c r="U874">
        <f t="shared" si="138"/>
        <v>0</v>
      </c>
    </row>
    <row r="875" spans="1:21" x14ac:dyDescent="0.25">
      <c r="A875" s="2">
        <v>874</v>
      </c>
      <c r="B875" s="39">
        <v>1042</v>
      </c>
      <c r="C875" s="41" t="s">
        <v>184</v>
      </c>
      <c r="D875">
        <v>15.98</v>
      </c>
      <c r="E875" s="80">
        <v>37041.69</v>
      </c>
      <c r="F875">
        <v>36.200000000000003</v>
      </c>
      <c r="G875">
        <v>75.180000000000007</v>
      </c>
      <c r="H875">
        <v>269.07</v>
      </c>
      <c r="I875" s="80">
        <v>11371.68</v>
      </c>
      <c r="J875">
        <v>22.28</v>
      </c>
      <c r="K875">
        <v>59.61</v>
      </c>
      <c r="L875">
        <f t="shared" si="130"/>
        <v>0</v>
      </c>
      <c r="M875">
        <f t="shared" si="131"/>
        <v>0</v>
      </c>
      <c r="N875">
        <f t="shared" si="132"/>
        <v>0</v>
      </c>
      <c r="O875">
        <f t="shared" si="133"/>
        <v>0</v>
      </c>
      <c r="P875">
        <f t="shared" si="134"/>
        <v>0</v>
      </c>
      <c r="Q875">
        <f t="shared" si="135"/>
        <v>0</v>
      </c>
      <c r="R875">
        <f t="shared" si="136"/>
        <v>0</v>
      </c>
      <c r="S875">
        <f t="shared" si="137"/>
        <v>0</v>
      </c>
      <c r="T875">
        <f t="shared" si="139"/>
        <v>0</v>
      </c>
      <c r="U875">
        <f t="shared" si="138"/>
        <v>0</v>
      </c>
    </row>
    <row r="876" spans="1:21" x14ac:dyDescent="0.25">
      <c r="A876" s="2">
        <v>875</v>
      </c>
      <c r="B876" s="39">
        <v>1042</v>
      </c>
      <c r="C876" s="41" t="s">
        <v>187</v>
      </c>
      <c r="D876">
        <v>49.41</v>
      </c>
      <c r="E876" s="80">
        <v>101474.03</v>
      </c>
      <c r="F876">
        <v>726.09</v>
      </c>
      <c r="G876">
        <v>226.37</v>
      </c>
      <c r="H876" s="80">
        <v>26092.799999999999</v>
      </c>
      <c r="I876" s="80">
        <v>33154.58</v>
      </c>
      <c r="J876">
        <v>85.22</v>
      </c>
      <c r="K876">
        <v>5818.65</v>
      </c>
      <c r="L876">
        <f t="shared" si="130"/>
        <v>0</v>
      </c>
      <c r="M876">
        <f t="shared" si="131"/>
        <v>0</v>
      </c>
      <c r="N876">
        <f t="shared" si="132"/>
        <v>0</v>
      </c>
      <c r="O876">
        <f t="shared" si="133"/>
        <v>0</v>
      </c>
      <c r="P876">
        <f t="shared" si="134"/>
        <v>0</v>
      </c>
      <c r="Q876">
        <f t="shared" si="135"/>
        <v>0</v>
      </c>
      <c r="R876">
        <f t="shared" si="136"/>
        <v>0</v>
      </c>
      <c r="S876">
        <f t="shared" si="137"/>
        <v>0</v>
      </c>
      <c r="T876">
        <f t="shared" si="139"/>
        <v>0</v>
      </c>
      <c r="U876">
        <f t="shared" si="138"/>
        <v>0</v>
      </c>
    </row>
    <row r="877" spans="1:21" x14ac:dyDescent="0.25">
      <c r="A877" s="2">
        <v>876</v>
      </c>
      <c r="B877" s="39">
        <v>1042</v>
      </c>
      <c r="C877" s="41" t="s">
        <v>189</v>
      </c>
      <c r="D877">
        <v>44.7</v>
      </c>
      <c r="E877" s="80">
        <v>71487.48</v>
      </c>
      <c r="F877">
        <v>203.11</v>
      </c>
      <c r="G877">
        <v>159.61000000000001</v>
      </c>
      <c r="H877">
        <v>6955.88</v>
      </c>
      <c r="I877" s="80">
        <v>29640.48</v>
      </c>
      <c r="J877">
        <v>76.19</v>
      </c>
      <c r="K877">
        <v>8124.84</v>
      </c>
      <c r="L877">
        <f t="shared" si="130"/>
        <v>0</v>
      </c>
      <c r="M877">
        <f t="shared" si="131"/>
        <v>0</v>
      </c>
      <c r="N877">
        <f t="shared" si="132"/>
        <v>0</v>
      </c>
      <c r="O877">
        <f t="shared" si="133"/>
        <v>0</v>
      </c>
      <c r="P877">
        <f t="shared" si="134"/>
        <v>0</v>
      </c>
      <c r="Q877">
        <f t="shared" si="135"/>
        <v>0</v>
      </c>
      <c r="R877">
        <f t="shared" si="136"/>
        <v>0</v>
      </c>
      <c r="S877">
        <f t="shared" si="137"/>
        <v>0</v>
      </c>
      <c r="T877">
        <f t="shared" si="139"/>
        <v>0</v>
      </c>
      <c r="U877">
        <f t="shared" si="138"/>
        <v>0</v>
      </c>
    </row>
    <row r="878" spans="1:21" x14ac:dyDescent="0.25">
      <c r="A878" s="2">
        <v>877</v>
      </c>
      <c r="B878" s="39">
        <v>1049</v>
      </c>
      <c r="C878" s="41" t="s">
        <v>162</v>
      </c>
      <c r="D878">
        <v>12.3</v>
      </c>
      <c r="E878" s="80">
        <v>27385.62</v>
      </c>
      <c r="F878">
        <v>0.27</v>
      </c>
      <c r="G878">
        <v>105.73</v>
      </c>
      <c r="H878">
        <v>1.44</v>
      </c>
      <c r="I878">
        <v>0.91</v>
      </c>
      <c r="J878">
        <v>17.7</v>
      </c>
      <c r="K878">
        <v>2.16</v>
      </c>
      <c r="L878">
        <f t="shared" si="130"/>
        <v>0</v>
      </c>
      <c r="M878">
        <f t="shared" si="131"/>
        <v>0</v>
      </c>
      <c r="N878">
        <f t="shared" si="132"/>
        <v>0</v>
      </c>
      <c r="O878">
        <f t="shared" si="133"/>
        <v>0</v>
      </c>
      <c r="P878">
        <f t="shared" si="134"/>
        <v>0</v>
      </c>
      <c r="Q878">
        <f t="shared" si="135"/>
        <v>0</v>
      </c>
      <c r="R878">
        <f t="shared" si="136"/>
        <v>0</v>
      </c>
      <c r="S878">
        <f t="shared" si="137"/>
        <v>0</v>
      </c>
      <c r="T878">
        <f t="shared" si="139"/>
        <v>0</v>
      </c>
      <c r="U878">
        <f t="shared" si="138"/>
        <v>0</v>
      </c>
    </row>
    <row r="879" spans="1:21" x14ac:dyDescent="0.25">
      <c r="A879" s="2">
        <v>878</v>
      </c>
      <c r="B879" s="39">
        <v>1049</v>
      </c>
      <c r="C879" s="41" t="s">
        <v>170</v>
      </c>
      <c r="D879">
        <v>25.92</v>
      </c>
      <c r="E879" s="80">
        <v>44977.97</v>
      </c>
      <c r="F879">
        <v>103.88</v>
      </c>
      <c r="G879">
        <v>125.27</v>
      </c>
      <c r="H879">
        <v>1144.3399999999999</v>
      </c>
      <c r="I879" s="80">
        <v>24277.8</v>
      </c>
      <c r="J879">
        <v>34.51</v>
      </c>
      <c r="K879">
        <v>662.7</v>
      </c>
      <c r="L879">
        <f t="shared" si="130"/>
        <v>0</v>
      </c>
      <c r="M879">
        <f t="shared" si="131"/>
        <v>0</v>
      </c>
      <c r="N879">
        <f t="shared" si="132"/>
        <v>0</v>
      </c>
      <c r="O879">
        <f t="shared" si="133"/>
        <v>0</v>
      </c>
      <c r="P879">
        <f t="shared" si="134"/>
        <v>0</v>
      </c>
      <c r="Q879">
        <f t="shared" si="135"/>
        <v>0</v>
      </c>
      <c r="R879">
        <f t="shared" si="136"/>
        <v>0</v>
      </c>
      <c r="S879">
        <f t="shared" si="137"/>
        <v>0</v>
      </c>
      <c r="T879">
        <f t="shared" si="139"/>
        <v>0</v>
      </c>
      <c r="U879">
        <f t="shared" si="138"/>
        <v>0</v>
      </c>
    </row>
    <row r="880" spans="1:21" ht="15.75" thickBot="1" x14ac:dyDescent="0.3">
      <c r="A880" s="2">
        <v>879</v>
      </c>
      <c r="B880" s="39">
        <v>1049</v>
      </c>
      <c r="C880" s="41" t="s">
        <v>178</v>
      </c>
      <c r="D880">
        <v>31.22</v>
      </c>
      <c r="E880" s="80">
        <v>66340.850000000006</v>
      </c>
      <c r="F880">
        <v>1363.27</v>
      </c>
      <c r="G880">
        <v>218.66</v>
      </c>
      <c r="H880" s="80">
        <v>20643.04</v>
      </c>
      <c r="I880" s="80">
        <v>31547.38</v>
      </c>
      <c r="J880">
        <v>55.95</v>
      </c>
      <c r="K880">
        <v>2925.48</v>
      </c>
      <c r="L880">
        <f t="shared" si="130"/>
        <v>0</v>
      </c>
      <c r="M880">
        <f t="shared" si="131"/>
        <v>0</v>
      </c>
      <c r="N880">
        <f t="shared" si="132"/>
        <v>0</v>
      </c>
      <c r="O880">
        <f t="shared" si="133"/>
        <v>0</v>
      </c>
      <c r="P880">
        <f t="shared" si="134"/>
        <v>0</v>
      </c>
      <c r="Q880">
        <f t="shared" si="135"/>
        <v>0</v>
      </c>
      <c r="R880">
        <f t="shared" si="136"/>
        <v>0</v>
      </c>
      <c r="S880">
        <f t="shared" si="137"/>
        <v>0</v>
      </c>
      <c r="T880">
        <f t="shared" si="139"/>
        <v>0</v>
      </c>
      <c r="U880">
        <f t="shared" si="138"/>
        <v>0</v>
      </c>
    </row>
    <row r="881" spans="1:21" x14ac:dyDescent="0.25">
      <c r="A881" s="2">
        <v>880</v>
      </c>
      <c r="B881" s="39">
        <v>1049</v>
      </c>
      <c r="C881" s="40" t="s">
        <v>163</v>
      </c>
      <c r="D881">
        <v>35.6</v>
      </c>
      <c r="E881" s="80">
        <v>50982.93</v>
      </c>
      <c r="F881">
        <v>393.89</v>
      </c>
      <c r="G881">
        <v>152.57</v>
      </c>
      <c r="H881">
        <v>2897.55</v>
      </c>
      <c r="I881" s="80">
        <v>23966.79</v>
      </c>
      <c r="J881">
        <v>55.95</v>
      </c>
      <c r="K881">
        <v>5957.12</v>
      </c>
      <c r="L881">
        <f t="shared" si="130"/>
        <v>0</v>
      </c>
      <c r="M881">
        <f t="shared" si="131"/>
        <v>0</v>
      </c>
      <c r="N881">
        <f t="shared" si="132"/>
        <v>0</v>
      </c>
      <c r="O881">
        <f t="shared" si="133"/>
        <v>0</v>
      </c>
      <c r="P881">
        <f t="shared" si="134"/>
        <v>0</v>
      </c>
      <c r="Q881">
        <f t="shared" si="135"/>
        <v>0</v>
      </c>
      <c r="R881">
        <f t="shared" si="136"/>
        <v>0</v>
      </c>
      <c r="S881">
        <f t="shared" si="137"/>
        <v>0</v>
      </c>
      <c r="T881">
        <f t="shared" si="139"/>
        <v>0</v>
      </c>
      <c r="U881">
        <f t="shared" si="138"/>
        <v>0</v>
      </c>
    </row>
    <row r="882" spans="1:21" x14ac:dyDescent="0.25">
      <c r="A882" s="2">
        <v>881</v>
      </c>
      <c r="B882" s="39">
        <v>1049</v>
      </c>
      <c r="C882" s="41" t="s">
        <v>181</v>
      </c>
      <c r="D882">
        <v>22.84</v>
      </c>
      <c r="E882" s="80">
        <v>75067.149999999994</v>
      </c>
      <c r="F882">
        <v>0.27</v>
      </c>
      <c r="G882">
        <v>99.41</v>
      </c>
      <c r="H882">
        <v>17.690000000000001</v>
      </c>
      <c r="I882">
        <v>210.14</v>
      </c>
      <c r="J882">
        <v>29.49</v>
      </c>
      <c r="K882">
        <v>44.34</v>
      </c>
      <c r="L882">
        <f t="shared" si="130"/>
        <v>0</v>
      </c>
      <c r="M882">
        <f t="shared" si="131"/>
        <v>0</v>
      </c>
      <c r="N882">
        <f t="shared" si="132"/>
        <v>0</v>
      </c>
      <c r="O882">
        <f t="shared" si="133"/>
        <v>0</v>
      </c>
      <c r="P882">
        <f t="shared" si="134"/>
        <v>0</v>
      </c>
      <c r="Q882">
        <f t="shared" si="135"/>
        <v>0</v>
      </c>
      <c r="R882">
        <f t="shared" si="136"/>
        <v>0</v>
      </c>
      <c r="S882">
        <f t="shared" si="137"/>
        <v>0</v>
      </c>
      <c r="T882">
        <f t="shared" si="139"/>
        <v>0</v>
      </c>
      <c r="U882">
        <f t="shared" si="138"/>
        <v>0</v>
      </c>
    </row>
    <row r="883" spans="1:21" x14ac:dyDescent="0.25">
      <c r="A883" s="2">
        <v>882</v>
      </c>
      <c r="B883" s="39">
        <v>1049</v>
      </c>
      <c r="C883" s="41" t="s">
        <v>183</v>
      </c>
      <c r="D883">
        <v>40.1</v>
      </c>
      <c r="E883" s="80">
        <v>56209.8</v>
      </c>
      <c r="F883">
        <v>219.72</v>
      </c>
      <c r="G883">
        <v>188.54</v>
      </c>
      <c r="H883">
        <v>5515.08</v>
      </c>
      <c r="I883" s="80">
        <v>37016.36</v>
      </c>
      <c r="J883">
        <v>76.19</v>
      </c>
      <c r="K883" s="80">
        <v>11430.46</v>
      </c>
      <c r="L883">
        <f t="shared" si="130"/>
        <v>0</v>
      </c>
      <c r="M883">
        <f t="shared" si="131"/>
        <v>0</v>
      </c>
      <c r="N883">
        <f t="shared" si="132"/>
        <v>0</v>
      </c>
      <c r="O883">
        <f t="shared" si="133"/>
        <v>0</v>
      </c>
      <c r="P883">
        <f t="shared" si="134"/>
        <v>0</v>
      </c>
      <c r="Q883">
        <f t="shared" si="135"/>
        <v>0</v>
      </c>
      <c r="R883">
        <f t="shared" si="136"/>
        <v>0</v>
      </c>
      <c r="S883">
        <f t="shared" si="137"/>
        <v>0</v>
      </c>
      <c r="T883">
        <f t="shared" si="139"/>
        <v>0</v>
      </c>
      <c r="U883">
        <f t="shared" si="138"/>
        <v>0</v>
      </c>
    </row>
    <row r="884" spans="1:21" x14ac:dyDescent="0.25">
      <c r="A884" s="2">
        <v>883</v>
      </c>
      <c r="B884" s="39">
        <v>1049</v>
      </c>
      <c r="C884" s="41" t="s">
        <v>186</v>
      </c>
      <c r="D884">
        <v>56.63</v>
      </c>
      <c r="E884" s="80">
        <v>43715.519999999997</v>
      </c>
      <c r="F884">
        <v>537.80999999999995</v>
      </c>
      <c r="G884">
        <v>226.37</v>
      </c>
      <c r="H884" s="80">
        <v>48588.61</v>
      </c>
      <c r="I884" s="80">
        <v>38404.370000000003</v>
      </c>
      <c r="J884">
        <v>110.23</v>
      </c>
      <c r="K884" s="80">
        <v>18926.580000000002</v>
      </c>
      <c r="L884">
        <f t="shared" si="130"/>
        <v>0</v>
      </c>
      <c r="M884">
        <f t="shared" si="131"/>
        <v>0</v>
      </c>
      <c r="N884">
        <f t="shared" si="132"/>
        <v>0</v>
      </c>
      <c r="O884">
        <f t="shared" si="133"/>
        <v>0</v>
      </c>
      <c r="P884">
        <f t="shared" si="134"/>
        <v>0</v>
      </c>
      <c r="Q884">
        <f t="shared" si="135"/>
        <v>0</v>
      </c>
      <c r="R884">
        <f t="shared" si="136"/>
        <v>0</v>
      </c>
      <c r="S884">
        <f t="shared" si="137"/>
        <v>0</v>
      </c>
      <c r="T884">
        <f t="shared" si="139"/>
        <v>0</v>
      </c>
      <c r="U884">
        <f t="shared" si="138"/>
        <v>0</v>
      </c>
    </row>
    <row r="885" spans="1:21" x14ac:dyDescent="0.25">
      <c r="A885" s="2">
        <v>884</v>
      </c>
      <c r="B885" s="39">
        <v>1049</v>
      </c>
      <c r="C885" s="41" t="s">
        <v>188</v>
      </c>
      <c r="D885">
        <v>38.97</v>
      </c>
      <c r="E885" s="80">
        <v>140692.87</v>
      </c>
      <c r="F885">
        <v>0.92</v>
      </c>
      <c r="G885">
        <v>152.57</v>
      </c>
      <c r="H885">
        <v>1075.08</v>
      </c>
      <c r="I885" s="80">
        <v>22159.34</v>
      </c>
      <c r="J885">
        <v>71.75</v>
      </c>
      <c r="K885">
        <v>5450.19</v>
      </c>
      <c r="L885">
        <f t="shared" si="130"/>
        <v>0</v>
      </c>
      <c r="M885">
        <f t="shared" si="131"/>
        <v>0</v>
      </c>
      <c r="N885">
        <f t="shared" si="132"/>
        <v>0</v>
      </c>
      <c r="O885">
        <f t="shared" si="133"/>
        <v>0</v>
      </c>
      <c r="P885">
        <f t="shared" si="134"/>
        <v>0</v>
      </c>
      <c r="Q885">
        <f t="shared" si="135"/>
        <v>0</v>
      </c>
      <c r="R885">
        <f t="shared" si="136"/>
        <v>0</v>
      </c>
      <c r="S885">
        <f t="shared" si="137"/>
        <v>0</v>
      </c>
      <c r="T885">
        <f t="shared" si="139"/>
        <v>0</v>
      </c>
      <c r="U885">
        <f t="shared" si="138"/>
        <v>0</v>
      </c>
    </row>
    <row r="886" spans="1:21" x14ac:dyDescent="0.25">
      <c r="A886" s="2">
        <v>885</v>
      </c>
      <c r="B886" s="39">
        <v>1049</v>
      </c>
      <c r="C886" s="41" t="s">
        <v>182</v>
      </c>
      <c r="D886">
        <v>6.4</v>
      </c>
      <c r="E886">
        <v>3771.8</v>
      </c>
      <c r="F886" s="80">
        <v>0.03</v>
      </c>
      <c r="G886" s="80">
        <v>11.55</v>
      </c>
      <c r="H886">
        <v>0.9</v>
      </c>
      <c r="I886">
        <v>11.54</v>
      </c>
      <c r="J886">
        <v>7.33</v>
      </c>
      <c r="K886">
        <v>0.4</v>
      </c>
      <c r="L886">
        <f t="shared" si="130"/>
        <v>0</v>
      </c>
      <c r="M886">
        <f t="shared" si="131"/>
        <v>0</v>
      </c>
      <c r="N886">
        <f t="shared" si="132"/>
        <v>0</v>
      </c>
      <c r="O886">
        <f t="shared" si="133"/>
        <v>0</v>
      </c>
      <c r="P886">
        <f t="shared" si="134"/>
        <v>0</v>
      </c>
      <c r="Q886">
        <f t="shared" si="135"/>
        <v>0</v>
      </c>
      <c r="R886">
        <f t="shared" si="136"/>
        <v>0</v>
      </c>
      <c r="S886">
        <f t="shared" si="137"/>
        <v>0</v>
      </c>
      <c r="T886">
        <f t="shared" si="139"/>
        <v>0</v>
      </c>
      <c r="U886">
        <f t="shared" si="138"/>
        <v>0</v>
      </c>
    </row>
    <row r="887" spans="1:21" x14ac:dyDescent="0.25">
      <c r="A887" s="2">
        <v>886</v>
      </c>
      <c r="B887" s="39">
        <v>1049</v>
      </c>
      <c r="C887" s="46" t="s">
        <v>184</v>
      </c>
      <c r="D887">
        <v>15.04</v>
      </c>
      <c r="E887" s="80">
        <v>24924.63</v>
      </c>
      <c r="F887">
        <v>96.03</v>
      </c>
      <c r="G887">
        <v>99.41</v>
      </c>
      <c r="H887">
        <v>3178.06</v>
      </c>
      <c r="I887" s="80">
        <v>25301</v>
      </c>
      <c r="J887">
        <v>39.67</v>
      </c>
      <c r="K887">
        <v>468.9</v>
      </c>
      <c r="L887">
        <f t="shared" si="130"/>
        <v>0</v>
      </c>
      <c r="M887">
        <f t="shared" si="131"/>
        <v>0</v>
      </c>
      <c r="N887">
        <f t="shared" si="132"/>
        <v>0</v>
      </c>
      <c r="O887">
        <f t="shared" si="133"/>
        <v>0</v>
      </c>
      <c r="P887">
        <f t="shared" si="134"/>
        <v>0</v>
      </c>
      <c r="Q887">
        <f t="shared" si="135"/>
        <v>0</v>
      </c>
      <c r="R887">
        <f t="shared" si="136"/>
        <v>0</v>
      </c>
      <c r="S887">
        <f t="shared" si="137"/>
        <v>0</v>
      </c>
      <c r="T887">
        <f t="shared" si="139"/>
        <v>0</v>
      </c>
      <c r="U887">
        <f t="shared" si="138"/>
        <v>0</v>
      </c>
    </row>
    <row r="888" spans="1:21" x14ac:dyDescent="0.25">
      <c r="A888" s="2">
        <v>887</v>
      </c>
      <c r="B888" s="39">
        <v>1049</v>
      </c>
      <c r="C888" s="41" t="s">
        <v>187</v>
      </c>
      <c r="D888">
        <v>40.1</v>
      </c>
      <c r="E888" s="80">
        <v>52643.98</v>
      </c>
      <c r="F888">
        <v>203.69</v>
      </c>
      <c r="G888">
        <v>195.96</v>
      </c>
      <c r="H888" s="80">
        <v>26828.74</v>
      </c>
      <c r="I888" s="80">
        <v>29736.6</v>
      </c>
      <c r="J888">
        <v>85.22</v>
      </c>
      <c r="K888">
        <v>7024.57</v>
      </c>
      <c r="L888">
        <f t="shared" si="130"/>
        <v>0</v>
      </c>
      <c r="M888">
        <f t="shared" si="131"/>
        <v>0</v>
      </c>
      <c r="N888">
        <f t="shared" si="132"/>
        <v>0</v>
      </c>
      <c r="O888">
        <f t="shared" si="133"/>
        <v>0</v>
      </c>
      <c r="P888">
        <f t="shared" si="134"/>
        <v>0</v>
      </c>
      <c r="Q888">
        <f t="shared" si="135"/>
        <v>0</v>
      </c>
      <c r="R888">
        <f t="shared" si="136"/>
        <v>0</v>
      </c>
      <c r="S888">
        <f t="shared" si="137"/>
        <v>0</v>
      </c>
      <c r="T888">
        <f t="shared" si="139"/>
        <v>0</v>
      </c>
      <c r="U888">
        <f t="shared" si="138"/>
        <v>0</v>
      </c>
    </row>
    <row r="889" spans="1:21" x14ac:dyDescent="0.25">
      <c r="A889" s="2">
        <v>888</v>
      </c>
      <c r="B889" s="39">
        <v>1049</v>
      </c>
      <c r="C889" s="41" t="s">
        <v>189</v>
      </c>
      <c r="D889">
        <v>26.96</v>
      </c>
      <c r="E889" s="80">
        <v>36259.480000000003</v>
      </c>
      <c r="F889">
        <v>41.78</v>
      </c>
      <c r="G889">
        <v>125.27</v>
      </c>
      <c r="H889">
        <v>2601.1999999999998</v>
      </c>
      <c r="I889" s="80">
        <v>20138.22</v>
      </c>
      <c r="J889">
        <v>47.67</v>
      </c>
      <c r="K889">
        <v>3819.97</v>
      </c>
      <c r="L889">
        <f t="shared" si="130"/>
        <v>0</v>
      </c>
      <c r="M889">
        <f t="shared" si="131"/>
        <v>0</v>
      </c>
      <c r="N889">
        <f t="shared" si="132"/>
        <v>0</v>
      </c>
      <c r="O889">
        <f t="shared" si="133"/>
        <v>0</v>
      </c>
      <c r="P889">
        <f t="shared" si="134"/>
        <v>0</v>
      </c>
      <c r="Q889">
        <f t="shared" si="135"/>
        <v>0</v>
      </c>
      <c r="R889">
        <f t="shared" si="136"/>
        <v>0</v>
      </c>
      <c r="S889">
        <f t="shared" si="137"/>
        <v>0</v>
      </c>
      <c r="T889">
        <f t="shared" si="139"/>
        <v>0</v>
      </c>
      <c r="U889">
        <f t="shared" si="138"/>
        <v>0</v>
      </c>
    </row>
    <row r="890" spans="1:21" x14ac:dyDescent="0.25">
      <c r="A890" s="2">
        <v>889</v>
      </c>
      <c r="B890" s="39">
        <v>1050</v>
      </c>
      <c r="C890" s="41" t="s">
        <v>162</v>
      </c>
      <c r="D890">
        <v>18.86</v>
      </c>
      <c r="E890" s="80">
        <v>47253.57</v>
      </c>
      <c r="F890">
        <v>0.78</v>
      </c>
      <c r="G890">
        <v>99.41</v>
      </c>
      <c r="H890">
        <v>1.57</v>
      </c>
      <c r="I890">
        <v>2.1</v>
      </c>
      <c r="J890">
        <v>19.96</v>
      </c>
      <c r="K890">
        <v>4.08</v>
      </c>
      <c r="L890">
        <f t="shared" si="130"/>
        <v>0</v>
      </c>
      <c r="M890">
        <f t="shared" si="131"/>
        <v>0</v>
      </c>
      <c r="N890">
        <f t="shared" si="132"/>
        <v>0</v>
      </c>
      <c r="O890">
        <f t="shared" si="133"/>
        <v>0</v>
      </c>
      <c r="P890">
        <f t="shared" si="134"/>
        <v>0</v>
      </c>
      <c r="Q890">
        <f t="shared" si="135"/>
        <v>0</v>
      </c>
      <c r="R890">
        <f t="shared" si="136"/>
        <v>0</v>
      </c>
      <c r="S890">
        <f t="shared" si="137"/>
        <v>0</v>
      </c>
      <c r="T890">
        <f t="shared" si="139"/>
        <v>0</v>
      </c>
      <c r="U890">
        <f t="shared" si="138"/>
        <v>0</v>
      </c>
    </row>
    <row r="891" spans="1:21" x14ac:dyDescent="0.25">
      <c r="A891" s="2">
        <v>890</v>
      </c>
      <c r="B891" s="39">
        <v>1050</v>
      </c>
      <c r="C891" s="41" t="s">
        <v>170</v>
      </c>
      <c r="D891">
        <v>26.96</v>
      </c>
      <c r="E891" s="80">
        <v>39102.07</v>
      </c>
      <c r="F891">
        <v>94.43</v>
      </c>
      <c r="G891">
        <v>152.57</v>
      </c>
      <c r="H891">
        <v>2784.85</v>
      </c>
      <c r="I891" s="80">
        <v>25009.49</v>
      </c>
      <c r="J891">
        <v>39.67</v>
      </c>
      <c r="K891">
        <v>979.17</v>
      </c>
      <c r="L891">
        <f t="shared" si="130"/>
        <v>0</v>
      </c>
      <c r="M891">
        <f t="shared" si="131"/>
        <v>0</v>
      </c>
      <c r="N891">
        <f t="shared" si="132"/>
        <v>0</v>
      </c>
      <c r="O891">
        <f t="shared" si="133"/>
        <v>0</v>
      </c>
      <c r="P891">
        <f t="shared" si="134"/>
        <v>0</v>
      </c>
      <c r="Q891">
        <f t="shared" si="135"/>
        <v>0</v>
      </c>
      <c r="R891">
        <f t="shared" si="136"/>
        <v>0</v>
      </c>
      <c r="S891">
        <f t="shared" si="137"/>
        <v>0</v>
      </c>
      <c r="T891">
        <f t="shared" si="139"/>
        <v>0</v>
      </c>
      <c r="U891">
        <f t="shared" si="138"/>
        <v>0</v>
      </c>
    </row>
    <row r="892" spans="1:21" x14ac:dyDescent="0.25">
      <c r="A892" s="2">
        <v>891</v>
      </c>
      <c r="B892" s="39">
        <v>1050</v>
      </c>
      <c r="C892" s="41" t="s">
        <v>178</v>
      </c>
      <c r="D892">
        <v>70.39</v>
      </c>
      <c r="E892" s="80">
        <v>86993.27</v>
      </c>
      <c r="F892">
        <v>758.63</v>
      </c>
      <c r="G892">
        <v>241.98</v>
      </c>
      <c r="H892" s="80">
        <v>40089.599999999999</v>
      </c>
      <c r="I892" s="80">
        <v>35184.629999999997</v>
      </c>
      <c r="J892">
        <v>85.22</v>
      </c>
      <c r="K892">
        <v>3584.86</v>
      </c>
      <c r="L892">
        <f t="shared" si="130"/>
        <v>0</v>
      </c>
      <c r="M892">
        <f t="shared" si="131"/>
        <v>0</v>
      </c>
      <c r="N892">
        <f t="shared" si="132"/>
        <v>0</v>
      </c>
      <c r="O892">
        <f t="shared" si="133"/>
        <v>0</v>
      </c>
      <c r="P892">
        <f t="shared" si="134"/>
        <v>0</v>
      </c>
      <c r="Q892">
        <f t="shared" si="135"/>
        <v>0</v>
      </c>
      <c r="R892">
        <f t="shared" si="136"/>
        <v>0</v>
      </c>
      <c r="S892">
        <f t="shared" si="137"/>
        <v>0</v>
      </c>
      <c r="T892">
        <f t="shared" si="139"/>
        <v>0</v>
      </c>
      <c r="U892">
        <f t="shared" si="138"/>
        <v>0</v>
      </c>
    </row>
    <row r="893" spans="1:21" x14ac:dyDescent="0.25">
      <c r="A893" s="2">
        <v>892</v>
      </c>
      <c r="B893" s="39">
        <v>1050</v>
      </c>
      <c r="C893" s="41" t="s">
        <v>163</v>
      </c>
      <c r="D893">
        <v>78.150000000000006</v>
      </c>
      <c r="E893" s="80">
        <v>93039.49</v>
      </c>
      <c r="F893">
        <v>322.8</v>
      </c>
      <c r="G893">
        <v>234.14</v>
      </c>
      <c r="H893" s="80">
        <v>16445.48</v>
      </c>
      <c r="I893" s="80">
        <v>29791.8</v>
      </c>
      <c r="J893">
        <v>100.71</v>
      </c>
      <c r="K893" s="80">
        <v>16085.99</v>
      </c>
      <c r="L893">
        <f t="shared" si="130"/>
        <v>0</v>
      </c>
      <c r="M893">
        <f t="shared" si="131"/>
        <v>0</v>
      </c>
      <c r="N893">
        <f t="shared" si="132"/>
        <v>0</v>
      </c>
      <c r="O893">
        <f t="shared" si="133"/>
        <v>0</v>
      </c>
      <c r="P893">
        <f t="shared" si="134"/>
        <v>0</v>
      </c>
      <c r="Q893">
        <f t="shared" si="135"/>
        <v>0</v>
      </c>
      <c r="R893">
        <f t="shared" si="136"/>
        <v>0</v>
      </c>
      <c r="S893">
        <f t="shared" si="137"/>
        <v>0</v>
      </c>
      <c r="T893">
        <f t="shared" si="139"/>
        <v>0</v>
      </c>
      <c r="U893">
        <f t="shared" si="138"/>
        <v>0</v>
      </c>
    </row>
    <row r="894" spans="1:21" x14ac:dyDescent="0.25">
      <c r="A894" s="2">
        <v>893</v>
      </c>
      <c r="B894" s="39">
        <v>1050</v>
      </c>
      <c r="C894" s="41" t="s">
        <v>181</v>
      </c>
      <c r="D894">
        <v>15.04</v>
      </c>
      <c r="E894" s="80">
        <v>42699.18</v>
      </c>
      <c r="F894">
        <v>0.63</v>
      </c>
      <c r="G894">
        <v>99.41</v>
      </c>
      <c r="H894">
        <v>53.35</v>
      </c>
      <c r="I894">
        <v>85.11</v>
      </c>
      <c r="J894">
        <v>22.28</v>
      </c>
      <c r="K894">
        <v>27.83</v>
      </c>
      <c r="L894">
        <f t="shared" si="130"/>
        <v>0</v>
      </c>
      <c r="M894">
        <f t="shared" si="131"/>
        <v>0</v>
      </c>
      <c r="N894">
        <f t="shared" si="132"/>
        <v>0</v>
      </c>
      <c r="O894">
        <f t="shared" si="133"/>
        <v>0</v>
      </c>
      <c r="P894">
        <f t="shared" si="134"/>
        <v>0</v>
      </c>
      <c r="Q894">
        <f t="shared" si="135"/>
        <v>0</v>
      </c>
      <c r="R894">
        <f t="shared" si="136"/>
        <v>0</v>
      </c>
      <c r="S894">
        <f t="shared" si="137"/>
        <v>0</v>
      </c>
      <c r="T894">
        <f t="shared" si="139"/>
        <v>0</v>
      </c>
      <c r="U894">
        <f t="shared" si="138"/>
        <v>0</v>
      </c>
    </row>
    <row r="895" spans="1:21" x14ac:dyDescent="0.25">
      <c r="A895" s="2">
        <v>894</v>
      </c>
      <c r="B895" s="39">
        <v>1050</v>
      </c>
      <c r="C895" s="41" t="s">
        <v>183</v>
      </c>
      <c r="D895">
        <v>33.4</v>
      </c>
      <c r="E895" s="80">
        <v>44100.01</v>
      </c>
      <c r="F895">
        <v>157.58000000000001</v>
      </c>
      <c r="G895">
        <v>131.97</v>
      </c>
      <c r="H895">
        <v>4629.51</v>
      </c>
      <c r="I895" s="80">
        <v>34731.79</v>
      </c>
      <c r="J895">
        <v>53.16</v>
      </c>
      <c r="K895">
        <v>3917.57</v>
      </c>
      <c r="L895">
        <f t="shared" si="130"/>
        <v>0</v>
      </c>
      <c r="M895">
        <f t="shared" si="131"/>
        <v>0</v>
      </c>
      <c r="N895">
        <f t="shared" si="132"/>
        <v>0</v>
      </c>
      <c r="O895">
        <f t="shared" si="133"/>
        <v>0</v>
      </c>
      <c r="P895">
        <f t="shared" si="134"/>
        <v>0</v>
      </c>
      <c r="Q895">
        <f t="shared" si="135"/>
        <v>0</v>
      </c>
      <c r="R895">
        <f t="shared" si="136"/>
        <v>0</v>
      </c>
      <c r="S895">
        <f t="shared" si="137"/>
        <v>0</v>
      </c>
      <c r="T895">
        <f t="shared" si="139"/>
        <v>0</v>
      </c>
      <c r="U895">
        <f t="shared" si="138"/>
        <v>0</v>
      </c>
    </row>
    <row r="896" spans="1:21" x14ac:dyDescent="0.25">
      <c r="A896" s="2">
        <v>895</v>
      </c>
      <c r="B896" s="39">
        <v>1050</v>
      </c>
      <c r="C896" s="41" t="s">
        <v>186</v>
      </c>
      <c r="D896">
        <v>40.1</v>
      </c>
      <c r="E896" s="80">
        <v>61104.19</v>
      </c>
      <c r="F896">
        <v>582.71</v>
      </c>
      <c r="G896">
        <v>226.37</v>
      </c>
      <c r="H896" s="80">
        <v>23283.13</v>
      </c>
      <c r="I896" s="80">
        <v>38507.51</v>
      </c>
      <c r="J896">
        <v>96.01</v>
      </c>
      <c r="K896" s="80">
        <v>9254.18</v>
      </c>
      <c r="L896">
        <f t="shared" si="130"/>
        <v>0</v>
      </c>
      <c r="M896">
        <f t="shared" si="131"/>
        <v>0</v>
      </c>
      <c r="N896">
        <f t="shared" si="132"/>
        <v>0</v>
      </c>
      <c r="O896">
        <f t="shared" si="133"/>
        <v>0</v>
      </c>
      <c r="P896">
        <f t="shared" si="134"/>
        <v>0</v>
      </c>
      <c r="Q896">
        <f t="shared" si="135"/>
        <v>0</v>
      </c>
      <c r="R896">
        <f t="shared" si="136"/>
        <v>0</v>
      </c>
      <c r="S896">
        <f t="shared" si="137"/>
        <v>0</v>
      </c>
      <c r="T896">
        <f t="shared" si="139"/>
        <v>0</v>
      </c>
      <c r="U896">
        <f t="shared" si="138"/>
        <v>0</v>
      </c>
    </row>
    <row r="897" spans="1:21" x14ac:dyDescent="0.25">
      <c r="A897" s="2">
        <v>896</v>
      </c>
      <c r="B897" s="39">
        <v>1050</v>
      </c>
      <c r="C897" s="41" t="s">
        <v>188</v>
      </c>
      <c r="D897">
        <v>35.6</v>
      </c>
      <c r="E897" s="80">
        <v>68659.72</v>
      </c>
      <c r="F897">
        <v>43.37</v>
      </c>
      <c r="G897">
        <v>181.19</v>
      </c>
      <c r="H897">
        <v>3302.23</v>
      </c>
      <c r="I897" s="80">
        <v>25833.63</v>
      </c>
      <c r="J897">
        <v>68.819999999999993</v>
      </c>
      <c r="K897">
        <v>8166.74</v>
      </c>
      <c r="L897">
        <f t="shared" si="130"/>
        <v>0</v>
      </c>
      <c r="M897">
        <f t="shared" si="131"/>
        <v>0</v>
      </c>
      <c r="N897">
        <f t="shared" si="132"/>
        <v>0</v>
      </c>
      <c r="O897">
        <f t="shared" si="133"/>
        <v>0</v>
      </c>
      <c r="P897">
        <f t="shared" si="134"/>
        <v>0</v>
      </c>
      <c r="Q897">
        <f t="shared" si="135"/>
        <v>0</v>
      </c>
      <c r="R897">
        <f t="shared" si="136"/>
        <v>0</v>
      </c>
      <c r="S897">
        <f t="shared" si="137"/>
        <v>0</v>
      </c>
      <c r="T897">
        <f t="shared" si="139"/>
        <v>0</v>
      </c>
      <c r="U897">
        <f t="shared" si="138"/>
        <v>0</v>
      </c>
    </row>
    <row r="898" spans="1:21" x14ac:dyDescent="0.25">
      <c r="A898" s="2">
        <v>897</v>
      </c>
      <c r="B898" s="39">
        <v>1050</v>
      </c>
      <c r="C898" s="41" t="s">
        <v>182</v>
      </c>
      <c r="D898">
        <v>8</v>
      </c>
      <c r="E898">
        <v>9865.36</v>
      </c>
      <c r="F898">
        <v>2.2200000000000002</v>
      </c>
      <c r="G898">
        <v>69.400000000000006</v>
      </c>
      <c r="H898">
        <v>47.95</v>
      </c>
      <c r="I898" s="80">
        <v>3211.64</v>
      </c>
      <c r="J898">
        <v>13.35</v>
      </c>
      <c r="K898">
        <v>29.22</v>
      </c>
      <c r="L898">
        <f t="shared" ref="L898:L961" si="140">IF(D898 = "OOR &gt;", 1,0)</f>
        <v>0</v>
      </c>
      <c r="M898">
        <f t="shared" ref="M898:M961" si="141">IF(E898 = "OOR &gt;", 1,0)</f>
        <v>0</v>
      </c>
      <c r="N898">
        <f t="shared" ref="N898:N961" si="142">IF(F898 = "OOR &gt;", 1,0)</f>
        <v>0</v>
      </c>
      <c r="O898">
        <f t="shared" ref="O898:O961" si="143">IF(G898 = "OOR &gt;", 1,0)</f>
        <v>0</v>
      </c>
      <c r="P898">
        <f t="shared" ref="P898:P961" si="144">IF(H898 = "OOR &gt;", 1,0)</f>
        <v>0</v>
      </c>
      <c r="Q898">
        <f t="shared" ref="Q898:Q961" si="145">IF(I898 = "OOR &gt;", 1,0)</f>
        <v>0</v>
      </c>
      <c r="R898">
        <f t="shared" ref="R898:R961" si="146">IF(J898 = "OOR &gt;", 1,0)</f>
        <v>0</v>
      </c>
      <c r="S898">
        <f t="shared" ref="S898:S961" si="147">IF(K898 = "OOR &gt;", 1,0)</f>
        <v>0</v>
      </c>
      <c r="T898">
        <f t="shared" si="139"/>
        <v>0</v>
      </c>
      <c r="U898">
        <f t="shared" ref="U898:U961" si="148">IF(T898 &gt; 0,1,0)</f>
        <v>0</v>
      </c>
    </row>
    <row r="899" spans="1:21" x14ac:dyDescent="0.25">
      <c r="A899" s="2">
        <v>898</v>
      </c>
      <c r="B899" s="39">
        <v>1050</v>
      </c>
      <c r="C899" s="41" t="s">
        <v>184</v>
      </c>
      <c r="D899">
        <v>35.6</v>
      </c>
      <c r="E899" s="80">
        <v>43811.32</v>
      </c>
      <c r="F899">
        <v>173.07</v>
      </c>
      <c r="G899">
        <v>195.96</v>
      </c>
      <c r="H899" s="80">
        <v>17055.97</v>
      </c>
      <c r="I899" s="80">
        <v>25856.06</v>
      </c>
      <c r="J899">
        <v>55.95</v>
      </c>
      <c r="K899">
        <v>2989.58</v>
      </c>
      <c r="L899">
        <f t="shared" si="140"/>
        <v>0</v>
      </c>
      <c r="M899">
        <f t="shared" si="141"/>
        <v>0</v>
      </c>
      <c r="N899">
        <f t="shared" si="142"/>
        <v>0</v>
      </c>
      <c r="O899">
        <f t="shared" si="143"/>
        <v>0</v>
      </c>
      <c r="P899">
        <f t="shared" si="144"/>
        <v>0</v>
      </c>
      <c r="Q899">
        <f t="shared" si="145"/>
        <v>0</v>
      </c>
      <c r="R899">
        <f t="shared" si="146"/>
        <v>0</v>
      </c>
      <c r="S899">
        <f t="shared" si="147"/>
        <v>0</v>
      </c>
      <c r="T899">
        <f t="shared" ref="T899:T962" si="149">SUMIF(L899:S899,"&gt;0")</f>
        <v>0</v>
      </c>
      <c r="U899">
        <f t="shared" si="148"/>
        <v>0</v>
      </c>
    </row>
    <row r="900" spans="1:21" x14ac:dyDescent="0.25">
      <c r="A900" s="2">
        <v>899</v>
      </c>
      <c r="B900" s="39">
        <v>1050</v>
      </c>
      <c r="C900" s="41" t="s">
        <v>187</v>
      </c>
      <c r="D900">
        <v>51.79</v>
      </c>
      <c r="E900" s="80">
        <v>51549.17</v>
      </c>
      <c r="F900">
        <v>194.36</v>
      </c>
      <c r="G900">
        <v>211.03</v>
      </c>
      <c r="H900" s="80">
        <v>50730.22</v>
      </c>
      <c r="I900" s="80">
        <v>26561.3</v>
      </c>
      <c r="J900">
        <v>91.35</v>
      </c>
      <c r="K900" s="80">
        <v>12384.66</v>
      </c>
      <c r="L900">
        <f t="shared" si="140"/>
        <v>0</v>
      </c>
      <c r="M900">
        <f t="shared" si="141"/>
        <v>0</v>
      </c>
      <c r="N900">
        <f t="shared" si="142"/>
        <v>0</v>
      </c>
      <c r="O900">
        <f t="shared" si="143"/>
        <v>0</v>
      </c>
      <c r="P900">
        <f t="shared" si="144"/>
        <v>0</v>
      </c>
      <c r="Q900">
        <f t="shared" si="145"/>
        <v>0</v>
      </c>
      <c r="R900">
        <f t="shared" si="146"/>
        <v>0</v>
      </c>
      <c r="S900">
        <f t="shared" si="147"/>
        <v>0</v>
      </c>
      <c r="T900">
        <f t="shared" si="149"/>
        <v>0</v>
      </c>
      <c r="U900">
        <f t="shared" si="148"/>
        <v>0</v>
      </c>
    </row>
    <row r="901" spans="1:21" x14ac:dyDescent="0.25">
      <c r="A901" s="2">
        <v>900</v>
      </c>
      <c r="B901" s="39">
        <v>1050</v>
      </c>
      <c r="C901" s="41" t="s">
        <v>189</v>
      </c>
      <c r="D901">
        <v>37.840000000000003</v>
      </c>
      <c r="E901" s="80">
        <v>37061.96</v>
      </c>
      <c r="F901">
        <v>132.24</v>
      </c>
      <c r="G901">
        <v>241.98</v>
      </c>
      <c r="H901">
        <v>11184.57</v>
      </c>
      <c r="I901" s="80">
        <v>22613.919999999998</v>
      </c>
      <c r="J901">
        <v>82.19</v>
      </c>
      <c r="K901" s="80">
        <v>10373.19</v>
      </c>
      <c r="L901">
        <f t="shared" si="140"/>
        <v>0</v>
      </c>
      <c r="M901">
        <f t="shared" si="141"/>
        <v>0</v>
      </c>
      <c r="N901">
        <f t="shared" si="142"/>
        <v>0</v>
      </c>
      <c r="O901">
        <f t="shared" si="143"/>
        <v>0</v>
      </c>
      <c r="P901">
        <f t="shared" si="144"/>
        <v>0</v>
      </c>
      <c r="Q901">
        <f t="shared" si="145"/>
        <v>0</v>
      </c>
      <c r="R901">
        <f t="shared" si="146"/>
        <v>0</v>
      </c>
      <c r="S901">
        <f t="shared" si="147"/>
        <v>0</v>
      </c>
      <c r="T901">
        <f t="shared" si="149"/>
        <v>0</v>
      </c>
      <c r="U901">
        <f t="shared" si="148"/>
        <v>0</v>
      </c>
    </row>
    <row r="902" spans="1:21" x14ac:dyDescent="0.25">
      <c r="A902" s="2">
        <v>901</v>
      </c>
      <c r="B902" s="39">
        <v>1051</v>
      </c>
      <c r="C902" s="41" t="s">
        <v>162</v>
      </c>
      <c r="D902">
        <v>17.89</v>
      </c>
      <c r="E902" s="80">
        <v>65963.38</v>
      </c>
      <c r="F902">
        <v>0.78</v>
      </c>
      <c r="G902">
        <v>138.75</v>
      </c>
      <c r="H902">
        <v>2.2799999999999998</v>
      </c>
      <c r="I902">
        <v>2.1</v>
      </c>
      <c r="J902">
        <v>31.98</v>
      </c>
      <c r="K902">
        <v>2.73</v>
      </c>
      <c r="L902">
        <f t="shared" si="140"/>
        <v>0</v>
      </c>
      <c r="M902">
        <f t="shared" si="141"/>
        <v>0</v>
      </c>
      <c r="N902">
        <f t="shared" si="142"/>
        <v>0</v>
      </c>
      <c r="O902">
        <f t="shared" si="143"/>
        <v>0</v>
      </c>
      <c r="P902">
        <f t="shared" si="144"/>
        <v>0</v>
      </c>
      <c r="Q902">
        <f t="shared" si="145"/>
        <v>0</v>
      </c>
      <c r="R902">
        <f t="shared" si="146"/>
        <v>0</v>
      </c>
      <c r="S902">
        <f t="shared" si="147"/>
        <v>0</v>
      </c>
      <c r="T902">
        <f t="shared" si="149"/>
        <v>0</v>
      </c>
      <c r="U902">
        <f t="shared" si="148"/>
        <v>0</v>
      </c>
    </row>
    <row r="903" spans="1:21" x14ac:dyDescent="0.25">
      <c r="A903" s="2">
        <v>902</v>
      </c>
      <c r="B903" s="39">
        <v>1051</v>
      </c>
      <c r="C903" s="41" t="s">
        <v>170</v>
      </c>
      <c r="D903">
        <v>44.7</v>
      </c>
      <c r="E903" s="80">
        <v>115614.06</v>
      </c>
      <c r="F903">
        <v>177.6</v>
      </c>
      <c r="G903">
        <v>211.03</v>
      </c>
      <c r="H903">
        <v>3197.73</v>
      </c>
      <c r="I903" s="80">
        <v>24905.79</v>
      </c>
      <c r="J903">
        <v>58.76</v>
      </c>
      <c r="K903">
        <v>992.29</v>
      </c>
      <c r="L903">
        <f t="shared" si="140"/>
        <v>0</v>
      </c>
      <c r="M903">
        <f t="shared" si="141"/>
        <v>0</v>
      </c>
      <c r="N903">
        <f t="shared" si="142"/>
        <v>0</v>
      </c>
      <c r="O903">
        <f t="shared" si="143"/>
        <v>0</v>
      </c>
      <c r="P903">
        <f t="shared" si="144"/>
        <v>0</v>
      </c>
      <c r="Q903">
        <f t="shared" si="145"/>
        <v>0</v>
      </c>
      <c r="R903">
        <f t="shared" si="146"/>
        <v>0</v>
      </c>
      <c r="S903">
        <f t="shared" si="147"/>
        <v>0</v>
      </c>
      <c r="T903">
        <f t="shared" si="149"/>
        <v>0</v>
      </c>
      <c r="U903">
        <f t="shared" si="148"/>
        <v>0</v>
      </c>
    </row>
    <row r="904" spans="1:21" ht="15.75" thickBot="1" x14ac:dyDescent="0.3">
      <c r="A904" s="2">
        <v>903</v>
      </c>
      <c r="B904" s="39">
        <v>1051</v>
      </c>
      <c r="C904" s="41" t="s">
        <v>178</v>
      </c>
      <c r="D904">
        <v>3209.36</v>
      </c>
      <c r="E904" s="80">
        <v>152996.97</v>
      </c>
      <c r="F904">
        <v>1624.32</v>
      </c>
      <c r="G904">
        <v>340.96</v>
      </c>
      <c r="H904" s="80">
        <v>119399.1</v>
      </c>
      <c r="I904" s="80">
        <v>35471.68</v>
      </c>
      <c r="J904">
        <v>113.45</v>
      </c>
      <c r="K904" s="80">
        <v>9471.7900000000009</v>
      </c>
      <c r="L904">
        <f t="shared" si="140"/>
        <v>0</v>
      </c>
      <c r="M904">
        <f t="shared" si="141"/>
        <v>0</v>
      </c>
      <c r="N904">
        <f t="shared" si="142"/>
        <v>0</v>
      </c>
      <c r="O904">
        <f t="shared" si="143"/>
        <v>0</v>
      </c>
      <c r="P904">
        <f t="shared" si="144"/>
        <v>0</v>
      </c>
      <c r="Q904">
        <f t="shared" si="145"/>
        <v>0</v>
      </c>
      <c r="R904">
        <f t="shared" si="146"/>
        <v>0</v>
      </c>
      <c r="S904">
        <f t="shared" si="147"/>
        <v>0</v>
      </c>
      <c r="T904">
        <f t="shared" si="149"/>
        <v>0</v>
      </c>
      <c r="U904">
        <f t="shared" si="148"/>
        <v>0</v>
      </c>
    </row>
    <row r="905" spans="1:21" x14ac:dyDescent="0.25">
      <c r="A905" s="2">
        <v>904</v>
      </c>
      <c r="B905" s="39">
        <v>1051</v>
      </c>
      <c r="C905" s="40" t="s">
        <v>163</v>
      </c>
      <c r="D905">
        <v>11400.25</v>
      </c>
      <c r="E905" s="80">
        <v>100898.54</v>
      </c>
      <c r="F905">
        <v>791.23</v>
      </c>
      <c r="G905">
        <v>358.27</v>
      </c>
      <c r="H905" s="80">
        <v>107829.7</v>
      </c>
      <c r="I905" s="80">
        <v>35161.53</v>
      </c>
      <c r="J905">
        <v>181.24</v>
      </c>
      <c r="K905" s="80">
        <v>31467.73</v>
      </c>
      <c r="L905">
        <f t="shared" si="140"/>
        <v>0</v>
      </c>
      <c r="M905">
        <f t="shared" si="141"/>
        <v>0</v>
      </c>
      <c r="N905">
        <f t="shared" si="142"/>
        <v>0</v>
      </c>
      <c r="O905">
        <f t="shared" si="143"/>
        <v>0</v>
      </c>
      <c r="P905">
        <f t="shared" si="144"/>
        <v>0</v>
      </c>
      <c r="Q905">
        <f t="shared" si="145"/>
        <v>0</v>
      </c>
      <c r="R905">
        <f t="shared" si="146"/>
        <v>0</v>
      </c>
      <c r="S905">
        <f t="shared" si="147"/>
        <v>0</v>
      </c>
      <c r="T905">
        <f t="shared" si="149"/>
        <v>0</v>
      </c>
      <c r="U905">
        <f t="shared" si="148"/>
        <v>0</v>
      </c>
    </row>
    <row r="906" spans="1:21" x14ac:dyDescent="0.25">
      <c r="A906" s="2">
        <v>905</v>
      </c>
      <c r="B906" s="39">
        <v>1051</v>
      </c>
      <c r="C906" s="41" t="s">
        <v>181</v>
      </c>
      <c r="D906">
        <v>29.08</v>
      </c>
      <c r="E906" s="80">
        <v>163873.04999999999</v>
      </c>
      <c r="F906">
        <v>0.68</v>
      </c>
      <c r="G906">
        <v>99.41</v>
      </c>
      <c r="H906">
        <v>90.13</v>
      </c>
      <c r="I906">
        <v>102.84</v>
      </c>
      <c r="J906">
        <v>39.67</v>
      </c>
      <c r="K906">
        <v>34.03</v>
      </c>
      <c r="L906">
        <f t="shared" si="140"/>
        <v>0</v>
      </c>
      <c r="M906">
        <f t="shared" si="141"/>
        <v>0</v>
      </c>
      <c r="N906">
        <f t="shared" si="142"/>
        <v>0</v>
      </c>
      <c r="O906">
        <f t="shared" si="143"/>
        <v>0</v>
      </c>
      <c r="P906">
        <f t="shared" si="144"/>
        <v>0</v>
      </c>
      <c r="Q906">
        <f t="shared" si="145"/>
        <v>0</v>
      </c>
      <c r="R906">
        <f t="shared" si="146"/>
        <v>0</v>
      </c>
      <c r="S906">
        <f t="shared" si="147"/>
        <v>0</v>
      </c>
      <c r="T906">
        <f t="shared" si="149"/>
        <v>0</v>
      </c>
      <c r="U906">
        <f t="shared" si="148"/>
        <v>0</v>
      </c>
    </row>
    <row r="907" spans="1:21" x14ac:dyDescent="0.25">
      <c r="A907" s="2">
        <v>906</v>
      </c>
      <c r="B907" s="39">
        <v>1051</v>
      </c>
      <c r="C907" s="41" t="s">
        <v>183</v>
      </c>
      <c r="D907">
        <v>54.2</v>
      </c>
      <c r="E907" s="80">
        <v>78866.55</v>
      </c>
      <c r="F907">
        <v>243.28</v>
      </c>
      <c r="G907">
        <v>265.89999999999998</v>
      </c>
      <c r="H907" s="80">
        <v>21541.58</v>
      </c>
      <c r="I907" s="80">
        <v>35326.46</v>
      </c>
      <c r="J907">
        <v>107.04</v>
      </c>
      <c r="K907" s="80">
        <v>13382.91</v>
      </c>
      <c r="L907">
        <f t="shared" si="140"/>
        <v>0</v>
      </c>
      <c r="M907">
        <f t="shared" si="141"/>
        <v>0</v>
      </c>
      <c r="N907">
        <f t="shared" si="142"/>
        <v>0</v>
      </c>
      <c r="O907">
        <f t="shared" si="143"/>
        <v>0</v>
      </c>
      <c r="P907">
        <f t="shared" si="144"/>
        <v>0</v>
      </c>
      <c r="Q907">
        <f t="shared" si="145"/>
        <v>0</v>
      </c>
      <c r="R907">
        <f t="shared" si="146"/>
        <v>0</v>
      </c>
      <c r="S907">
        <f t="shared" si="147"/>
        <v>0</v>
      </c>
      <c r="T907">
        <f t="shared" si="149"/>
        <v>0</v>
      </c>
      <c r="U907">
        <f t="shared" si="148"/>
        <v>0</v>
      </c>
    </row>
    <row r="908" spans="1:21" x14ac:dyDescent="0.25">
      <c r="A908" s="2">
        <v>907</v>
      </c>
      <c r="B908" s="39">
        <v>1051</v>
      </c>
      <c r="C908" s="41" t="s">
        <v>186</v>
      </c>
      <c r="D908">
        <v>55.42</v>
      </c>
      <c r="E908" s="80">
        <v>65104.7</v>
      </c>
      <c r="F908">
        <v>432.41</v>
      </c>
      <c r="G908">
        <v>290.38</v>
      </c>
      <c r="H908" s="80">
        <v>68214.240000000005</v>
      </c>
      <c r="I908" s="80">
        <v>36872.68</v>
      </c>
      <c r="J908">
        <v>116.68</v>
      </c>
      <c r="K908" s="80">
        <v>19240.93</v>
      </c>
      <c r="L908">
        <f t="shared" si="140"/>
        <v>0</v>
      </c>
      <c r="M908">
        <f t="shared" si="141"/>
        <v>0</v>
      </c>
      <c r="N908">
        <f t="shared" si="142"/>
        <v>0</v>
      </c>
      <c r="O908">
        <f t="shared" si="143"/>
        <v>0</v>
      </c>
      <c r="P908">
        <f t="shared" si="144"/>
        <v>0</v>
      </c>
      <c r="Q908">
        <f t="shared" si="145"/>
        <v>0</v>
      </c>
      <c r="R908">
        <f t="shared" si="146"/>
        <v>0</v>
      </c>
      <c r="S908">
        <f t="shared" si="147"/>
        <v>0</v>
      </c>
      <c r="T908">
        <f t="shared" si="149"/>
        <v>0</v>
      </c>
      <c r="U908">
        <f t="shared" si="148"/>
        <v>0</v>
      </c>
    </row>
    <row r="909" spans="1:21" x14ac:dyDescent="0.25">
      <c r="A909" s="2">
        <v>908</v>
      </c>
      <c r="B909" s="39">
        <v>1051</v>
      </c>
      <c r="C909" s="41" t="s">
        <v>188</v>
      </c>
      <c r="D909">
        <v>54.2</v>
      </c>
      <c r="E909" s="80">
        <v>122108.16</v>
      </c>
      <c r="F909">
        <v>18.440000000000001</v>
      </c>
      <c r="G909">
        <v>234.14</v>
      </c>
      <c r="H909">
        <v>7744.06</v>
      </c>
      <c r="I909" s="80">
        <v>30060.02</v>
      </c>
      <c r="J909">
        <v>97.57</v>
      </c>
      <c r="K909" s="80">
        <v>15278.47</v>
      </c>
      <c r="L909">
        <f t="shared" si="140"/>
        <v>0</v>
      </c>
      <c r="M909">
        <f t="shared" si="141"/>
        <v>0</v>
      </c>
      <c r="N909">
        <f t="shared" si="142"/>
        <v>0</v>
      </c>
      <c r="O909">
        <f t="shared" si="143"/>
        <v>0</v>
      </c>
      <c r="P909">
        <f t="shared" si="144"/>
        <v>0</v>
      </c>
      <c r="Q909">
        <f t="shared" si="145"/>
        <v>0</v>
      </c>
      <c r="R909">
        <f t="shared" si="146"/>
        <v>0</v>
      </c>
      <c r="S909">
        <f t="shared" si="147"/>
        <v>0</v>
      </c>
      <c r="T909">
        <f t="shared" si="149"/>
        <v>0</v>
      </c>
      <c r="U909">
        <f t="shared" si="148"/>
        <v>0</v>
      </c>
    </row>
    <row r="910" spans="1:21" x14ac:dyDescent="0.25">
      <c r="A910" s="2">
        <v>909</v>
      </c>
      <c r="B910" s="39">
        <v>1051</v>
      </c>
      <c r="C910" s="41" t="s">
        <v>182</v>
      </c>
      <c r="D910">
        <v>9.68</v>
      </c>
      <c r="E910">
        <v>15277.02</v>
      </c>
      <c r="F910">
        <v>5.0999999999999996</v>
      </c>
      <c r="G910">
        <v>87.08</v>
      </c>
      <c r="H910">
        <v>38.11</v>
      </c>
      <c r="I910" s="80">
        <v>6193.14</v>
      </c>
      <c r="J910">
        <v>17.7</v>
      </c>
      <c r="K910">
        <v>6.5</v>
      </c>
      <c r="L910">
        <f t="shared" si="140"/>
        <v>0</v>
      </c>
      <c r="M910">
        <f t="shared" si="141"/>
        <v>0</v>
      </c>
      <c r="N910">
        <f t="shared" si="142"/>
        <v>0</v>
      </c>
      <c r="O910">
        <f t="shared" si="143"/>
        <v>0</v>
      </c>
      <c r="P910">
        <f t="shared" si="144"/>
        <v>0</v>
      </c>
      <c r="Q910">
        <f t="shared" si="145"/>
        <v>0</v>
      </c>
      <c r="R910">
        <f t="shared" si="146"/>
        <v>0</v>
      </c>
      <c r="S910">
        <f t="shared" si="147"/>
        <v>0</v>
      </c>
      <c r="T910">
        <f t="shared" si="149"/>
        <v>0</v>
      </c>
      <c r="U910">
        <f t="shared" si="148"/>
        <v>0</v>
      </c>
    </row>
    <row r="911" spans="1:21" x14ac:dyDescent="0.25">
      <c r="A911" s="2">
        <v>910</v>
      </c>
      <c r="B911" s="39">
        <v>1051</v>
      </c>
      <c r="C911" s="46" t="s">
        <v>184</v>
      </c>
      <c r="D911">
        <v>35.6</v>
      </c>
      <c r="E911" s="80">
        <v>48250.51</v>
      </c>
      <c r="F911">
        <v>196.73</v>
      </c>
      <c r="G911">
        <v>282.16000000000003</v>
      </c>
      <c r="H911" s="80">
        <v>16767.77</v>
      </c>
      <c r="I911" s="80">
        <v>25823.08</v>
      </c>
      <c r="J911">
        <v>67.36</v>
      </c>
      <c r="K911">
        <v>2819.69</v>
      </c>
      <c r="L911">
        <f t="shared" si="140"/>
        <v>0</v>
      </c>
      <c r="M911">
        <f t="shared" si="141"/>
        <v>0</v>
      </c>
      <c r="N911">
        <f t="shared" si="142"/>
        <v>0</v>
      </c>
      <c r="O911">
        <f t="shared" si="143"/>
        <v>0</v>
      </c>
      <c r="P911">
        <f t="shared" si="144"/>
        <v>0</v>
      </c>
      <c r="Q911">
        <f t="shared" si="145"/>
        <v>0</v>
      </c>
      <c r="R911">
        <f t="shared" si="146"/>
        <v>0</v>
      </c>
      <c r="S911">
        <f t="shared" si="147"/>
        <v>0</v>
      </c>
      <c r="T911">
        <f t="shared" si="149"/>
        <v>0</v>
      </c>
      <c r="U911">
        <f t="shared" si="148"/>
        <v>0</v>
      </c>
    </row>
    <row r="912" spans="1:21" x14ac:dyDescent="0.25">
      <c r="A912" s="2">
        <v>911</v>
      </c>
      <c r="B912" s="39">
        <v>1051</v>
      </c>
      <c r="C912" s="41" t="s">
        <v>187</v>
      </c>
      <c r="D912">
        <v>5482.95</v>
      </c>
      <c r="E912" s="80">
        <v>38382.07</v>
      </c>
      <c r="F912">
        <v>147.21</v>
      </c>
      <c r="G912">
        <v>249.89</v>
      </c>
      <c r="H912" s="80">
        <v>74504.89</v>
      </c>
      <c r="I912" s="80">
        <v>26861.63</v>
      </c>
      <c r="J912">
        <v>88.28</v>
      </c>
      <c r="K912" s="80">
        <v>8790.93</v>
      </c>
      <c r="L912">
        <f t="shared" si="140"/>
        <v>0</v>
      </c>
      <c r="M912">
        <f t="shared" si="141"/>
        <v>0</v>
      </c>
      <c r="N912">
        <f t="shared" si="142"/>
        <v>0</v>
      </c>
      <c r="O912">
        <f t="shared" si="143"/>
        <v>0</v>
      </c>
      <c r="P912">
        <f t="shared" si="144"/>
        <v>0</v>
      </c>
      <c r="Q912">
        <f t="shared" si="145"/>
        <v>0</v>
      </c>
      <c r="R912">
        <f t="shared" si="146"/>
        <v>0</v>
      </c>
      <c r="S912">
        <f t="shared" si="147"/>
        <v>0</v>
      </c>
      <c r="T912">
        <f t="shared" si="149"/>
        <v>0</v>
      </c>
      <c r="U912">
        <f t="shared" si="148"/>
        <v>0</v>
      </c>
    </row>
    <row r="913" spans="1:21" x14ac:dyDescent="0.25">
      <c r="A913" s="2">
        <v>912</v>
      </c>
      <c r="B913" s="39">
        <v>1051</v>
      </c>
      <c r="C913" s="41" t="s">
        <v>189</v>
      </c>
      <c r="D913">
        <v>5996.83</v>
      </c>
      <c r="E913" s="80">
        <v>30105.62</v>
      </c>
      <c r="F913">
        <v>28.14</v>
      </c>
      <c r="G913">
        <v>274</v>
      </c>
      <c r="H913" s="80">
        <v>75701.37</v>
      </c>
      <c r="I913" s="80">
        <v>30928.18</v>
      </c>
      <c r="J913">
        <v>85.22</v>
      </c>
      <c r="K913" s="80">
        <v>14955.49</v>
      </c>
      <c r="L913">
        <f t="shared" si="140"/>
        <v>0</v>
      </c>
      <c r="M913">
        <f t="shared" si="141"/>
        <v>0</v>
      </c>
      <c r="N913">
        <f t="shared" si="142"/>
        <v>0</v>
      </c>
      <c r="O913">
        <f t="shared" si="143"/>
        <v>0</v>
      </c>
      <c r="P913">
        <f t="shared" si="144"/>
        <v>0</v>
      </c>
      <c r="Q913">
        <f t="shared" si="145"/>
        <v>0</v>
      </c>
      <c r="R913">
        <f t="shared" si="146"/>
        <v>0</v>
      </c>
      <c r="S913">
        <f t="shared" si="147"/>
        <v>0</v>
      </c>
      <c r="T913">
        <f t="shared" si="149"/>
        <v>0</v>
      </c>
      <c r="U913">
        <f t="shared" si="148"/>
        <v>0</v>
      </c>
    </row>
    <row r="914" spans="1:21" x14ac:dyDescent="0.25">
      <c r="A914" s="2">
        <v>913</v>
      </c>
      <c r="B914" s="39">
        <v>1052</v>
      </c>
      <c r="C914" s="41" t="s">
        <v>162</v>
      </c>
      <c r="D914">
        <v>22.84</v>
      </c>
      <c r="E914" s="80">
        <v>73850.399999999994</v>
      </c>
      <c r="F914">
        <v>0.68</v>
      </c>
      <c r="G914">
        <v>87.08</v>
      </c>
      <c r="H914">
        <v>2.57</v>
      </c>
      <c r="I914">
        <v>2.19</v>
      </c>
      <c r="J914">
        <v>31.98</v>
      </c>
      <c r="K914">
        <v>3.55</v>
      </c>
      <c r="L914">
        <f t="shared" si="140"/>
        <v>0</v>
      </c>
      <c r="M914">
        <f t="shared" si="141"/>
        <v>0</v>
      </c>
      <c r="N914">
        <f t="shared" si="142"/>
        <v>0</v>
      </c>
      <c r="O914">
        <f t="shared" si="143"/>
        <v>0</v>
      </c>
      <c r="P914">
        <f t="shared" si="144"/>
        <v>0</v>
      </c>
      <c r="Q914">
        <f t="shared" si="145"/>
        <v>0</v>
      </c>
      <c r="R914">
        <f t="shared" si="146"/>
        <v>0</v>
      </c>
      <c r="S914">
        <f t="shared" si="147"/>
        <v>0</v>
      </c>
      <c r="T914">
        <f t="shared" si="149"/>
        <v>0</v>
      </c>
      <c r="U914">
        <f t="shared" si="148"/>
        <v>0</v>
      </c>
    </row>
    <row r="915" spans="1:21" x14ac:dyDescent="0.25">
      <c r="A915" s="2">
        <v>914</v>
      </c>
      <c r="B915" s="39">
        <v>1052</v>
      </c>
      <c r="C915" s="41" t="s">
        <v>170</v>
      </c>
      <c r="D915">
        <v>18.86</v>
      </c>
      <c r="E915">
        <v>24600.89</v>
      </c>
      <c r="F915">
        <v>36.200000000000003</v>
      </c>
      <c r="G915">
        <v>87.08</v>
      </c>
      <c r="H915">
        <v>341.42</v>
      </c>
      <c r="I915" s="80">
        <v>9155.6200000000008</v>
      </c>
      <c r="J915">
        <v>24.64</v>
      </c>
      <c r="K915">
        <v>307.36</v>
      </c>
      <c r="L915">
        <f t="shared" si="140"/>
        <v>0</v>
      </c>
      <c r="M915">
        <f t="shared" si="141"/>
        <v>0</v>
      </c>
      <c r="N915">
        <f t="shared" si="142"/>
        <v>0</v>
      </c>
      <c r="O915">
        <f t="shared" si="143"/>
        <v>0</v>
      </c>
      <c r="P915">
        <f t="shared" si="144"/>
        <v>0</v>
      </c>
      <c r="Q915">
        <f t="shared" si="145"/>
        <v>0</v>
      </c>
      <c r="R915">
        <f t="shared" si="146"/>
        <v>0</v>
      </c>
      <c r="S915">
        <f t="shared" si="147"/>
        <v>0</v>
      </c>
      <c r="T915">
        <f t="shared" si="149"/>
        <v>0</v>
      </c>
      <c r="U915">
        <f t="shared" si="148"/>
        <v>0</v>
      </c>
    </row>
    <row r="916" spans="1:21" ht="15.75" thickBot="1" x14ac:dyDescent="0.3">
      <c r="A916" s="2">
        <v>915</v>
      </c>
      <c r="B916" s="39">
        <v>1052</v>
      </c>
      <c r="C916" s="41" t="s">
        <v>178</v>
      </c>
      <c r="D916">
        <v>49.41</v>
      </c>
      <c r="E916" s="80">
        <v>69214.48</v>
      </c>
      <c r="F916">
        <v>723.64</v>
      </c>
      <c r="G916">
        <v>181.19</v>
      </c>
      <c r="H916">
        <v>14329.07</v>
      </c>
      <c r="I916" s="80">
        <v>26393.1</v>
      </c>
      <c r="J916">
        <v>64.47</v>
      </c>
      <c r="K916">
        <v>2137</v>
      </c>
      <c r="L916">
        <f t="shared" si="140"/>
        <v>0</v>
      </c>
      <c r="M916">
        <f t="shared" si="141"/>
        <v>0</v>
      </c>
      <c r="N916">
        <f t="shared" si="142"/>
        <v>0</v>
      </c>
      <c r="O916">
        <f t="shared" si="143"/>
        <v>0</v>
      </c>
      <c r="P916">
        <f t="shared" si="144"/>
        <v>0</v>
      </c>
      <c r="Q916">
        <f t="shared" si="145"/>
        <v>0</v>
      </c>
      <c r="R916">
        <f t="shared" si="146"/>
        <v>0</v>
      </c>
      <c r="S916">
        <f t="shared" si="147"/>
        <v>0</v>
      </c>
      <c r="T916">
        <f t="shared" si="149"/>
        <v>0</v>
      </c>
      <c r="U916">
        <f t="shared" si="148"/>
        <v>0</v>
      </c>
    </row>
    <row r="917" spans="1:21" x14ac:dyDescent="0.25">
      <c r="A917" s="2">
        <v>916</v>
      </c>
      <c r="B917" s="39">
        <v>1052</v>
      </c>
      <c r="C917" s="40" t="s">
        <v>163</v>
      </c>
      <c r="D917">
        <v>56.63</v>
      </c>
      <c r="E917" s="80">
        <v>162147.79999999999</v>
      </c>
      <c r="F917">
        <v>229.31</v>
      </c>
      <c r="G917">
        <v>274</v>
      </c>
      <c r="H917">
        <v>6187.3</v>
      </c>
      <c r="I917" s="80">
        <v>17194.52</v>
      </c>
      <c r="J917">
        <v>97.57</v>
      </c>
      <c r="K917" s="80">
        <v>13607.09</v>
      </c>
      <c r="L917">
        <f t="shared" si="140"/>
        <v>0</v>
      </c>
      <c r="M917">
        <f t="shared" si="141"/>
        <v>0</v>
      </c>
      <c r="N917">
        <f t="shared" si="142"/>
        <v>0</v>
      </c>
      <c r="O917">
        <f t="shared" si="143"/>
        <v>0</v>
      </c>
      <c r="P917">
        <f t="shared" si="144"/>
        <v>0</v>
      </c>
      <c r="Q917">
        <f t="shared" si="145"/>
        <v>0</v>
      </c>
      <c r="R917">
        <f t="shared" si="146"/>
        <v>0</v>
      </c>
      <c r="S917">
        <f t="shared" si="147"/>
        <v>0</v>
      </c>
      <c r="T917">
        <f t="shared" si="149"/>
        <v>0</v>
      </c>
      <c r="U917">
        <f t="shared" si="148"/>
        <v>0</v>
      </c>
    </row>
    <row r="918" spans="1:21" x14ac:dyDescent="0.25">
      <c r="A918" s="2">
        <v>917</v>
      </c>
      <c r="B918" s="39">
        <v>1052</v>
      </c>
      <c r="C918" s="41" t="s">
        <v>181</v>
      </c>
      <c r="D918">
        <v>25.92</v>
      </c>
      <c r="E918" s="80">
        <v>144876.56</v>
      </c>
      <c r="F918">
        <v>0.94</v>
      </c>
      <c r="G918">
        <v>125.27</v>
      </c>
      <c r="H918">
        <v>33.46</v>
      </c>
      <c r="I918">
        <v>17.010000000000002</v>
      </c>
      <c r="J918">
        <v>43.64</v>
      </c>
      <c r="K918">
        <v>34.94</v>
      </c>
      <c r="L918">
        <f t="shared" si="140"/>
        <v>0</v>
      </c>
      <c r="M918">
        <f t="shared" si="141"/>
        <v>0</v>
      </c>
      <c r="N918">
        <f t="shared" si="142"/>
        <v>0</v>
      </c>
      <c r="O918">
        <f t="shared" si="143"/>
        <v>0</v>
      </c>
      <c r="P918">
        <f t="shared" si="144"/>
        <v>0</v>
      </c>
      <c r="Q918">
        <f t="shared" si="145"/>
        <v>0</v>
      </c>
      <c r="R918">
        <f t="shared" si="146"/>
        <v>0</v>
      </c>
      <c r="S918">
        <f t="shared" si="147"/>
        <v>0</v>
      </c>
      <c r="T918">
        <f t="shared" si="149"/>
        <v>0</v>
      </c>
      <c r="U918">
        <f t="shared" si="148"/>
        <v>0</v>
      </c>
    </row>
    <row r="919" spans="1:21" x14ac:dyDescent="0.25">
      <c r="A919" s="2">
        <v>918</v>
      </c>
      <c r="B919" s="39">
        <v>1052</v>
      </c>
      <c r="C919" s="41" t="s">
        <v>183</v>
      </c>
      <c r="D919">
        <v>42.39</v>
      </c>
      <c r="E919" s="80">
        <v>63678.239999999998</v>
      </c>
      <c r="F919">
        <v>392</v>
      </c>
      <c r="G919">
        <v>218.66</v>
      </c>
      <c r="H919">
        <v>6602.81</v>
      </c>
      <c r="I919" s="80">
        <v>34040.69</v>
      </c>
      <c r="J919">
        <v>82.19</v>
      </c>
      <c r="K919" s="80">
        <v>9383.69</v>
      </c>
      <c r="L919">
        <f t="shared" si="140"/>
        <v>0</v>
      </c>
      <c r="M919">
        <f t="shared" si="141"/>
        <v>0</v>
      </c>
      <c r="N919">
        <f t="shared" si="142"/>
        <v>0</v>
      </c>
      <c r="O919">
        <f t="shared" si="143"/>
        <v>0</v>
      </c>
      <c r="P919">
        <f t="shared" si="144"/>
        <v>0</v>
      </c>
      <c r="Q919">
        <f t="shared" si="145"/>
        <v>0</v>
      </c>
      <c r="R919">
        <f t="shared" si="146"/>
        <v>0</v>
      </c>
      <c r="S919">
        <f t="shared" si="147"/>
        <v>0</v>
      </c>
      <c r="T919">
        <f t="shared" si="149"/>
        <v>0</v>
      </c>
      <c r="U919">
        <f t="shared" si="148"/>
        <v>0</v>
      </c>
    </row>
    <row r="920" spans="1:21" x14ac:dyDescent="0.25">
      <c r="A920" s="2">
        <v>919</v>
      </c>
      <c r="B920" s="39">
        <v>1052</v>
      </c>
      <c r="C920" s="41" t="s">
        <v>186</v>
      </c>
      <c r="D920">
        <v>47.04</v>
      </c>
      <c r="E920" s="80">
        <v>54123.47</v>
      </c>
      <c r="F920">
        <v>872.72</v>
      </c>
      <c r="G920">
        <v>241.98</v>
      </c>
      <c r="H920" s="80">
        <v>38651.269999999997</v>
      </c>
      <c r="I920" s="80">
        <v>39296.97</v>
      </c>
      <c r="J920">
        <v>94.45</v>
      </c>
      <c r="K920" s="80">
        <v>18924.689999999999</v>
      </c>
      <c r="L920">
        <f t="shared" si="140"/>
        <v>0</v>
      </c>
      <c r="M920">
        <f t="shared" si="141"/>
        <v>0</v>
      </c>
      <c r="N920">
        <f t="shared" si="142"/>
        <v>0</v>
      </c>
      <c r="O920">
        <f t="shared" si="143"/>
        <v>0</v>
      </c>
      <c r="P920">
        <f t="shared" si="144"/>
        <v>0</v>
      </c>
      <c r="Q920">
        <f t="shared" si="145"/>
        <v>0</v>
      </c>
      <c r="R920">
        <f t="shared" si="146"/>
        <v>0</v>
      </c>
      <c r="S920">
        <f t="shared" si="147"/>
        <v>0</v>
      </c>
      <c r="T920">
        <f t="shared" si="149"/>
        <v>0</v>
      </c>
      <c r="U920">
        <f t="shared" si="148"/>
        <v>0</v>
      </c>
    </row>
    <row r="921" spans="1:21" x14ac:dyDescent="0.25">
      <c r="A921" s="2">
        <v>920</v>
      </c>
      <c r="B921" s="39">
        <v>1052</v>
      </c>
      <c r="C921" s="41" t="s">
        <v>188</v>
      </c>
      <c r="D921">
        <v>56.63</v>
      </c>
      <c r="E921" s="80">
        <v>381637.68</v>
      </c>
      <c r="F921">
        <v>11.75</v>
      </c>
      <c r="G921">
        <v>211.03</v>
      </c>
      <c r="H921">
        <v>2223.73</v>
      </c>
      <c r="I921" s="80">
        <v>10578.52</v>
      </c>
      <c r="J921">
        <v>82.19</v>
      </c>
      <c r="K921" s="80">
        <v>12454.65</v>
      </c>
      <c r="L921">
        <f t="shared" si="140"/>
        <v>0</v>
      </c>
      <c r="M921">
        <f t="shared" si="141"/>
        <v>0</v>
      </c>
      <c r="N921">
        <f t="shared" si="142"/>
        <v>0</v>
      </c>
      <c r="O921">
        <f t="shared" si="143"/>
        <v>0</v>
      </c>
      <c r="P921">
        <f t="shared" si="144"/>
        <v>0</v>
      </c>
      <c r="Q921">
        <f t="shared" si="145"/>
        <v>0</v>
      </c>
      <c r="R921">
        <f t="shared" si="146"/>
        <v>0</v>
      </c>
      <c r="S921">
        <f t="shared" si="147"/>
        <v>0</v>
      </c>
      <c r="T921">
        <f t="shared" si="149"/>
        <v>0</v>
      </c>
      <c r="U921">
        <f t="shared" si="148"/>
        <v>0</v>
      </c>
    </row>
    <row r="922" spans="1:21" x14ac:dyDescent="0.25">
      <c r="A922" s="2">
        <v>921</v>
      </c>
      <c r="B922" s="39">
        <v>1052</v>
      </c>
      <c r="C922" s="41" t="s">
        <v>182</v>
      </c>
      <c r="D922">
        <v>2.75</v>
      </c>
      <c r="E922">
        <v>1324.04</v>
      </c>
      <c r="F922">
        <v>0.06</v>
      </c>
      <c r="G922">
        <v>28.01</v>
      </c>
      <c r="H922" t="s">
        <v>583</v>
      </c>
      <c r="I922">
        <v>0.3</v>
      </c>
      <c r="J922">
        <v>5.5</v>
      </c>
      <c r="K922" s="80">
        <v>0.01</v>
      </c>
      <c r="L922">
        <f t="shared" si="140"/>
        <v>0</v>
      </c>
      <c r="M922">
        <f t="shared" si="141"/>
        <v>0</v>
      </c>
      <c r="N922">
        <f t="shared" si="142"/>
        <v>0</v>
      </c>
      <c r="O922">
        <f t="shared" si="143"/>
        <v>0</v>
      </c>
      <c r="P922">
        <f t="shared" si="144"/>
        <v>0</v>
      </c>
      <c r="Q922">
        <f t="shared" si="145"/>
        <v>0</v>
      </c>
      <c r="R922">
        <f t="shared" si="146"/>
        <v>0</v>
      </c>
      <c r="S922">
        <f t="shared" si="147"/>
        <v>0</v>
      </c>
      <c r="T922">
        <f t="shared" si="149"/>
        <v>0</v>
      </c>
      <c r="U922">
        <f t="shared" si="148"/>
        <v>0</v>
      </c>
    </row>
    <row r="923" spans="1:21" x14ac:dyDescent="0.25">
      <c r="A923" s="2">
        <v>922</v>
      </c>
      <c r="B923" s="39">
        <v>1052</v>
      </c>
      <c r="C923" s="46" t="s">
        <v>184</v>
      </c>
      <c r="D923">
        <v>16.93</v>
      </c>
      <c r="E923" s="80">
        <v>28893.48</v>
      </c>
      <c r="F923">
        <v>50.28</v>
      </c>
      <c r="G923">
        <v>75.180000000000007</v>
      </c>
      <c r="H923">
        <v>3518.69</v>
      </c>
      <c r="I923" s="80">
        <v>14217.73</v>
      </c>
      <c r="J923">
        <v>28.26</v>
      </c>
      <c r="K923">
        <v>215.45</v>
      </c>
      <c r="L923">
        <f t="shared" si="140"/>
        <v>0</v>
      </c>
      <c r="M923">
        <f t="shared" si="141"/>
        <v>0</v>
      </c>
      <c r="N923">
        <f t="shared" si="142"/>
        <v>0</v>
      </c>
      <c r="O923">
        <f t="shared" si="143"/>
        <v>0</v>
      </c>
      <c r="P923">
        <f t="shared" si="144"/>
        <v>0</v>
      </c>
      <c r="Q923">
        <f t="shared" si="145"/>
        <v>0</v>
      </c>
      <c r="R923">
        <f t="shared" si="146"/>
        <v>0</v>
      </c>
      <c r="S923">
        <f t="shared" si="147"/>
        <v>0</v>
      </c>
      <c r="T923">
        <f t="shared" si="149"/>
        <v>0</v>
      </c>
      <c r="U923">
        <f t="shared" si="148"/>
        <v>0</v>
      </c>
    </row>
    <row r="924" spans="1:21" x14ac:dyDescent="0.25">
      <c r="A924" s="2">
        <v>923</v>
      </c>
      <c r="B924" s="39">
        <v>1052</v>
      </c>
      <c r="C924" s="41" t="s">
        <v>187</v>
      </c>
      <c r="D924">
        <v>24.88</v>
      </c>
      <c r="E924" s="80">
        <v>47072.31</v>
      </c>
      <c r="F924">
        <v>124.25</v>
      </c>
      <c r="G924">
        <v>138.75</v>
      </c>
      <c r="H924">
        <v>12239.79</v>
      </c>
      <c r="I924" s="80">
        <v>17170.75</v>
      </c>
      <c r="J924">
        <v>47.67</v>
      </c>
      <c r="K924">
        <v>1476.97</v>
      </c>
      <c r="L924">
        <f t="shared" si="140"/>
        <v>0</v>
      </c>
      <c r="M924">
        <f t="shared" si="141"/>
        <v>0</v>
      </c>
      <c r="N924">
        <f t="shared" si="142"/>
        <v>0</v>
      </c>
      <c r="O924">
        <f t="shared" si="143"/>
        <v>0</v>
      </c>
      <c r="P924">
        <f t="shared" si="144"/>
        <v>0</v>
      </c>
      <c r="Q924">
        <f t="shared" si="145"/>
        <v>0</v>
      </c>
      <c r="R924">
        <f t="shared" si="146"/>
        <v>0</v>
      </c>
      <c r="S924">
        <f t="shared" si="147"/>
        <v>0</v>
      </c>
      <c r="T924">
        <f t="shared" si="149"/>
        <v>0</v>
      </c>
      <c r="U924">
        <f t="shared" si="148"/>
        <v>0</v>
      </c>
    </row>
    <row r="925" spans="1:21" x14ac:dyDescent="0.25">
      <c r="A925" s="2">
        <v>924</v>
      </c>
      <c r="B925" s="39">
        <v>1052</v>
      </c>
      <c r="C925" s="41" t="s">
        <v>189</v>
      </c>
      <c r="D925">
        <v>20.83</v>
      </c>
      <c r="E925" s="80">
        <v>36219.81</v>
      </c>
      <c r="F925">
        <v>45.11</v>
      </c>
      <c r="G925">
        <v>125.27</v>
      </c>
      <c r="H925">
        <v>4401.04</v>
      </c>
      <c r="I925" s="80">
        <v>11202.62</v>
      </c>
      <c r="J925">
        <v>40.99</v>
      </c>
      <c r="K925">
        <v>1708.08</v>
      </c>
      <c r="L925">
        <f t="shared" si="140"/>
        <v>0</v>
      </c>
      <c r="M925">
        <f t="shared" si="141"/>
        <v>0</v>
      </c>
      <c r="N925">
        <f t="shared" si="142"/>
        <v>0</v>
      </c>
      <c r="O925">
        <f t="shared" si="143"/>
        <v>0</v>
      </c>
      <c r="P925">
        <f t="shared" si="144"/>
        <v>0</v>
      </c>
      <c r="Q925">
        <f t="shared" si="145"/>
        <v>0</v>
      </c>
      <c r="R925">
        <f t="shared" si="146"/>
        <v>0</v>
      </c>
      <c r="S925">
        <f t="shared" si="147"/>
        <v>0</v>
      </c>
      <c r="T925">
        <f t="shared" si="149"/>
        <v>0</v>
      </c>
      <c r="U925">
        <f t="shared" si="148"/>
        <v>0</v>
      </c>
    </row>
    <row r="926" spans="1:21" x14ac:dyDescent="0.25">
      <c r="A926" s="2">
        <v>925</v>
      </c>
      <c r="B926" s="39">
        <v>1053</v>
      </c>
      <c r="C926" s="41" t="s">
        <v>162</v>
      </c>
      <c r="D926">
        <v>33.4</v>
      </c>
      <c r="E926" s="80">
        <v>111662.55</v>
      </c>
      <c r="F926">
        <v>0.97</v>
      </c>
      <c r="G926">
        <v>152.57</v>
      </c>
      <c r="H926">
        <v>9.01</v>
      </c>
      <c r="I926">
        <v>36.049999999999997</v>
      </c>
      <c r="J926">
        <v>39.67</v>
      </c>
      <c r="K926">
        <v>11.62</v>
      </c>
      <c r="L926">
        <f t="shared" si="140"/>
        <v>0</v>
      </c>
      <c r="M926">
        <f t="shared" si="141"/>
        <v>0</v>
      </c>
      <c r="N926">
        <f t="shared" si="142"/>
        <v>0</v>
      </c>
      <c r="O926">
        <f t="shared" si="143"/>
        <v>0</v>
      </c>
      <c r="P926">
        <f t="shared" si="144"/>
        <v>0</v>
      </c>
      <c r="Q926">
        <f t="shared" si="145"/>
        <v>0</v>
      </c>
      <c r="R926">
        <f t="shared" si="146"/>
        <v>0</v>
      </c>
      <c r="S926">
        <f t="shared" si="147"/>
        <v>0</v>
      </c>
      <c r="T926">
        <f t="shared" si="149"/>
        <v>0</v>
      </c>
      <c r="U926">
        <f t="shared" si="148"/>
        <v>0</v>
      </c>
    </row>
    <row r="927" spans="1:21" x14ac:dyDescent="0.25">
      <c r="A927" s="2">
        <v>926</v>
      </c>
      <c r="B927" s="39">
        <v>1053</v>
      </c>
      <c r="C927" s="41" t="s">
        <v>170</v>
      </c>
      <c r="D927">
        <v>35.6</v>
      </c>
      <c r="E927" s="80">
        <v>53973.48</v>
      </c>
      <c r="F927">
        <v>280.20999999999998</v>
      </c>
      <c r="G927">
        <v>195.96</v>
      </c>
      <c r="H927">
        <v>4864.75</v>
      </c>
      <c r="I927" s="80">
        <v>32340.77</v>
      </c>
      <c r="J927">
        <v>51.78</v>
      </c>
      <c r="K927">
        <v>1743.75</v>
      </c>
      <c r="L927">
        <f t="shared" si="140"/>
        <v>0</v>
      </c>
      <c r="M927">
        <f t="shared" si="141"/>
        <v>0</v>
      </c>
      <c r="N927">
        <f t="shared" si="142"/>
        <v>0</v>
      </c>
      <c r="O927">
        <f t="shared" si="143"/>
        <v>0</v>
      </c>
      <c r="P927">
        <f t="shared" si="144"/>
        <v>0</v>
      </c>
      <c r="Q927">
        <f t="shared" si="145"/>
        <v>0</v>
      </c>
      <c r="R927">
        <f t="shared" si="146"/>
        <v>0</v>
      </c>
      <c r="S927">
        <f t="shared" si="147"/>
        <v>0</v>
      </c>
      <c r="T927">
        <f t="shared" si="149"/>
        <v>0</v>
      </c>
      <c r="U927">
        <f t="shared" si="148"/>
        <v>0</v>
      </c>
    </row>
    <row r="928" spans="1:21" ht="15.75" thickBot="1" x14ac:dyDescent="0.3">
      <c r="A928" s="2">
        <v>927</v>
      </c>
      <c r="B928" s="39">
        <v>1053</v>
      </c>
      <c r="C928" s="41" t="s">
        <v>178</v>
      </c>
      <c r="D928">
        <v>55.42</v>
      </c>
      <c r="E928" s="80">
        <v>70016.240000000005</v>
      </c>
      <c r="F928">
        <v>1395.17</v>
      </c>
      <c r="G928">
        <v>195.96</v>
      </c>
      <c r="H928" s="80">
        <v>44359.37</v>
      </c>
      <c r="I928" s="80">
        <v>37932.400000000001</v>
      </c>
      <c r="J928">
        <v>82.19</v>
      </c>
      <c r="K928">
        <v>5015.82</v>
      </c>
      <c r="L928">
        <f t="shared" si="140"/>
        <v>0</v>
      </c>
      <c r="M928">
        <f t="shared" si="141"/>
        <v>0</v>
      </c>
      <c r="N928">
        <f t="shared" si="142"/>
        <v>0</v>
      </c>
      <c r="O928">
        <f t="shared" si="143"/>
        <v>0</v>
      </c>
      <c r="P928">
        <f t="shared" si="144"/>
        <v>0</v>
      </c>
      <c r="Q928">
        <f t="shared" si="145"/>
        <v>0</v>
      </c>
      <c r="R928">
        <f t="shared" si="146"/>
        <v>0</v>
      </c>
      <c r="S928">
        <f t="shared" si="147"/>
        <v>0</v>
      </c>
      <c r="T928">
        <f t="shared" si="149"/>
        <v>0</v>
      </c>
      <c r="U928">
        <f t="shared" si="148"/>
        <v>0</v>
      </c>
    </row>
    <row r="929" spans="1:21" x14ac:dyDescent="0.25">
      <c r="A929" s="2">
        <v>928</v>
      </c>
      <c r="B929" s="39">
        <v>1053</v>
      </c>
      <c r="C929" s="40" t="s">
        <v>163</v>
      </c>
      <c r="D929">
        <v>56.63</v>
      </c>
      <c r="E929" s="80">
        <v>65327.44</v>
      </c>
      <c r="F929">
        <v>672.66</v>
      </c>
      <c r="G929">
        <v>188.54</v>
      </c>
      <c r="H929">
        <v>12191.48</v>
      </c>
      <c r="I929" s="80">
        <v>33691.75</v>
      </c>
      <c r="J929">
        <v>77.680000000000007</v>
      </c>
      <c r="K929" s="80">
        <v>11650.98</v>
      </c>
      <c r="L929">
        <f t="shared" si="140"/>
        <v>0</v>
      </c>
      <c r="M929">
        <f t="shared" si="141"/>
        <v>0</v>
      </c>
      <c r="N929">
        <f t="shared" si="142"/>
        <v>0</v>
      </c>
      <c r="O929">
        <f t="shared" si="143"/>
        <v>0</v>
      </c>
      <c r="P929">
        <f t="shared" si="144"/>
        <v>0</v>
      </c>
      <c r="Q929">
        <f t="shared" si="145"/>
        <v>0</v>
      </c>
      <c r="R929">
        <f t="shared" si="146"/>
        <v>0</v>
      </c>
      <c r="S929">
        <f t="shared" si="147"/>
        <v>0</v>
      </c>
      <c r="T929">
        <f t="shared" si="149"/>
        <v>0</v>
      </c>
      <c r="U929">
        <f t="shared" si="148"/>
        <v>0</v>
      </c>
    </row>
    <row r="930" spans="1:21" x14ac:dyDescent="0.25">
      <c r="A930" s="2">
        <v>929</v>
      </c>
      <c r="B930" s="39">
        <v>1053</v>
      </c>
      <c r="C930" s="41" t="s">
        <v>181</v>
      </c>
      <c r="D930">
        <v>29.08</v>
      </c>
      <c r="E930" s="80">
        <v>200790.43</v>
      </c>
      <c r="F930">
        <v>1.05</v>
      </c>
      <c r="G930">
        <v>138.75</v>
      </c>
      <c r="H930">
        <v>175.52</v>
      </c>
      <c r="I930">
        <v>1009.51</v>
      </c>
      <c r="J930">
        <v>50.4</v>
      </c>
      <c r="K930">
        <v>57.12</v>
      </c>
      <c r="L930">
        <f t="shared" si="140"/>
        <v>0</v>
      </c>
      <c r="M930">
        <f t="shared" si="141"/>
        <v>0</v>
      </c>
      <c r="N930">
        <f t="shared" si="142"/>
        <v>0</v>
      </c>
      <c r="O930">
        <f t="shared" si="143"/>
        <v>0</v>
      </c>
      <c r="P930">
        <f t="shared" si="144"/>
        <v>0</v>
      </c>
      <c r="Q930">
        <f t="shared" si="145"/>
        <v>0</v>
      </c>
      <c r="R930">
        <f t="shared" si="146"/>
        <v>0</v>
      </c>
      <c r="S930">
        <f t="shared" si="147"/>
        <v>0</v>
      </c>
      <c r="T930">
        <f t="shared" si="149"/>
        <v>0</v>
      </c>
      <c r="U930">
        <f t="shared" si="148"/>
        <v>0</v>
      </c>
    </row>
    <row r="931" spans="1:21" x14ac:dyDescent="0.25">
      <c r="A931" s="2">
        <v>930</v>
      </c>
      <c r="B931" s="39">
        <v>1053</v>
      </c>
      <c r="C931" s="41" t="s">
        <v>183</v>
      </c>
      <c r="D931">
        <v>55.42</v>
      </c>
      <c r="E931" s="80">
        <v>149782.35999999999</v>
      </c>
      <c r="F931">
        <v>710.14</v>
      </c>
      <c r="G931">
        <v>226.37</v>
      </c>
      <c r="H931">
        <v>11455.93</v>
      </c>
      <c r="I931" s="80">
        <v>37579.58</v>
      </c>
      <c r="J931">
        <v>79.180000000000007</v>
      </c>
      <c r="K931">
        <v>3847.13</v>
      </c>
      <c r="L931">
        <f t="shared" si="140"/>
        <v>0</v>
      </c>
      <c r="M931">
        <f t="shared" si="141"/>
        <v>0</v>
      </c>
      <c r="N931">
        <f t="shared" si="142"/>
        <v>0</v>
      </c>
      <c r="O931">
        <f t="shared" si="143"/>
        <v>0</v>
      </c>
      <c r="P931">
        <f t="shared" si="144"/>
        <v>0</v>
      </c>
      <c r="Q931">
        <f t="shared" si="145"/>
        <v>0</v>
      </c>
      <c r="R931">
        <f t="shared" si="146"/>
        <v>0</v>
      </c>
      <c r="S931">
        <f t="shared" si="147"/>
        <v>0</v>
      </c>
      <c r="T931">
        <f t="shared" si="149"/>
        <v>0</v>
      </c>
      <c r="U931">
        <f t="shared" si="148"/>
        <v>0</v>
      </c>
    </row>
    <row r="932" spans="1:21" x14ac:dyDescent="0.25">
      <c r="A932" s="92">
        <v>931</v>
      </c>
      <c r="B932" s="39">
        <v>1053</v>
      </c>
      <c r="C932" s="41" t="s">
        <v>186</v>
      </c>
      <c r="D932">
        <v>61.56</v>
      </c>
      <c r="E932" s="80">
        <v>187435.57</v>
      </c>
      <c r="F932" s="89" t="s">
        <v>582</v>
      </c>
      <c r="G932">
        <v>307.01</v>
      </c>
      <c r="H932" s="80">
        <v>92726.73</v>
      </c>
      <c r="I932" s="80">
        <v>40943.78</v>
      </c>
      <c r="J932">
        <v>107.04</v>
      </c>
      <c r="K932" s="80">
        <v>11874.37</v>
      </c>
      <c r="L932">
        <f t="shared" si="140"/>
        <v>0</v>
      </c>
      <c r="M932">
        <f t="shared" si="141"/>
        <v>0</v>
      </c>
      <c r="N932">
        <f t="shared" si="142"/>
        <v>1</v>
      </c>
      <c r="O932">
        <f t="shared" si="143"/>
        <v>0</v>
      </c>
      <c r="P932">
        <f t="shared" si="144"/>
        <v>0</v>
      </c>
      <c r="Q932">
        <f t="shared" si="145"/>
        <v>0</v>
      </c>
      <c r="R932">
        <f t="shared" si="146"/>
        <v>0</v>
      </c>
      <c r="S932">
        <f t="shared" si="147"/>
        <v>0</v>
      </c>
      <c r="T932">
        <f t="shared" si="149"/>
        <v>1</v>
      </c>
      <c r="U932">
        <f t="shared" si="148"/>
        <v>1</v>
      </c>
    </row>
    <row r="933" spans="1:21" x14ac:dyDescent="0.25">
      <c r="A933" s="2">
        <v>932</v>
      </c>
      <c r="B933" s="39">
        <v>1053</v>
      </c>
      <c r="C933" s="41" t="s">
        <v>188</v>
      </c>
      <c r="D933">
        <v>51.79</v>
      </c>
      <c r="E933" s="80">
        <v>175625.4</v>
      </c>
      <c r="F933">
        <v>160.47</v>
      </c>
      <c r="G933">
        <v>290.38</v>
      </c>
      <c r="H933">
        <v>8796.56</v>
      </c>
      <c r="I933" s="80">
        <v>38068.550000000003</v>
      </c>
      <c r="J933">
        <v>94.45</v>
      </c>
      <c r="K933">
        <v>6255.41</v>
      </c>
      <c r="L933">
        <f t="shared" si="140"/>
        <v>0</v>
      </c>
      <c r="M933">
        <f t="shared" si="141"/>
        <v>0</v>
      </c>
      <c r="N933">
        <f t="shared" si="142"/>
        <v>0</v>
      </c>
      <c r="O933">
        <f t="shared" si="143"/>
        <v>0</v>
      </c>
      <c r="P933">
        <f t="shared" si="144"/>
        <v>0</v>
      </c>
      <c r="Q933">
        <f t="shared" si="145"/>
        <v>0</v>
      </c>
      <c r="R933">
        <f t="shared" si="146"/>
        <v>0</v>
      </c>
      <c r="S933">
        <f t="shared" si="147"/>
        <v>0</v>
      </c>
      <c r="T933">
        <f t="shared" si="149"/>
        <v>0</v>
      </c>
      <c r="U933">
        <f t="shared" si="148"/>
        <v>0</v>
      </c>
    </row>
    <row r="934" spans="1:21" x14ac:dyDescent="0.25">
      <c r="A934" s="2">
        <v>933</v>
      </c>
      <c r="B934" s="39">
        <v>1053</v>
      </c>
      <c r="C934" s="41" t="s">
        <v>182</v>
      </c>
      <c r="D934">
        <v>4.87</v>
      </c>
      <c r="E934">
        <v>4923.68</v>
      </c>
      <c r="F934">
        <v>0.11</v>
      </c>
      <c r="G934">
        <v>52.8</v>
      </c>
      <c r="H934">
        <v>0.4</v>
      </c>
      <c r="I934">
        <v>5.62</v>
      </c>
      <c r="J934">
        <v>9.26</v>
      </c>
      <c r="K934">
        <v>0.4</v>
      </c>
      <c r="L934">
        <f t="shared" si="140"/>
        <v>0</v>
      </c>
      <c r="M934">
        <f t="shared" si="141"/>
        <v>0</v>
      </c>
      <c r="N934">
        <f t="shared" si="142"/>
        <v>0</v>
      </c>
      <c r="O934">
        <f t="shared" si="143"/>
        <v>0</v>
      </c>
      <c r="P934">
        <f t="shared" si="144"/>
        <v>0</v>
      </c>
      <c r="Q934">
        <f t="shared" si="145"/>
        <v>0</v>
      </c>
      <c r="R934">
        <f t="shared" si="146"/>
        <v>0</v>
      </c>
      <c r="S934">
        <f t="shared" si="147"/>
        <v>0</v>
      </c>
      <c r="T934">
        <f t="shared" si="149"/>
        <v>0</v>
      </c>
      <c r="U934">
        <f t="shared" si="148"/>
        <v>0</v>
      </c>
    </row>
    <row r="935" spans="1:21" x14ac:dyDescent="0.25">
      <c r="A935" s="2">
        <v>934</v>
      </c>
      <c r="B935" s="39">
        <v>1053</v>
      </c>
      <c r="C935" s="46" t="s">
        <v>184</v>
      </c>
      <c r="D935">
        <v>25.92</v>
      </c>
      <c r="E935" s="80">
        <v>43524.57</v>
      </c>
      <c r="F935">
        <v>100.71</v>
      </c>
      <c r="G935">
        <v>118.66</v>
      </c>
      <c r="H935">
        <v>2791.2</v>
      </c>
      <c r="I935" s="80">
        <v>23451.15</v>
      </c>
      <c r="J935">
        <v>44.97</v>
      </c>
      <c r="K935">
        <v>398.45</v>
      </c>
      <c r="L935">
        <f t="shared" si="140"/>
        <v>0</v>
      </c>
      <c r="M935">
        <f t="shared" si="141"/>
        <v>0</v>
      </c>
      <c r="N935">
        <f t="shared" si="142"/>
        <v>0</v>
      </c>
      <c r="O935">
        <f t="shared" si="143"/>
        <v>0</v>
      </c>
      <c r="P935">
        <f t="shared" si="144"/>
        <v>0</v>
      </c>
      <c r="Q935">
        <f t="shared" si="145"/>
        <v>0</v>
      </c>
      <c r="R935">
        <f t="shared" si="146"/>
        <v>0</v>
      </c>
      <c r="S935">
        <f t="shared" si="147"/>
        <v>0</v>
      </c>
      <c r="T935">
        <f t="shared" si="149"/>
        <v>0</v>
      </c>
      <c r="U935">
        <f t="shared" si="148"/>
        <v>0</v>
      </c>
    </row>
    <row r="936" spans="1:21" x14ac:dyDescent="0.25">
      <c r="A936" s="2">
        <v>935</v>
      </c>
      <c r="B936" s="39">
        <v>1053</v>
      </c>
      <c r="C936" s="41" t="s">
        <v>187</v>
      </c>
      <c r="D936">
        <v>95.51</v>
      </c>
      <c r="E936" s="80">
        <v>81433.97</v>
      </c>
      <c r="F936">
        <v>224.79</v>
      </c>
      <c r="G936">
        <v>226.37</v>
      </c>
      <c r="H936" s="80">
        <v>26525.15</v>
      </c>
      <c r="I936" s="80">
        <v>34431.040000000001</v>
      </c>
      <c r="J936">
        <v>68.819999999999993</v>
      </c>
      <c r="K936">
        <v>5301.21</v>
      </c>
      <c r="L936">
        <f t="shared" si="140"/>
        <v>0</v>
      </c>
      <c r="M936">
        <f t="shared" si="141"/>
        <v>0</v>
      </c>
      <c r="N936">
        <f t="shared" si="142"/>
        <v>0</v>
      </c>
      <c r="O936">
        <f t="shared" si="143"/>
        <v>0</v>
      </c>
      <c r="P936">
        <f t="shared" si="144"/>
        <v>0</v>
      </c>
      <c r="Q936">
        <f t="shared" si="145"/>
        <v>0</v>
      </c>
      <c r="R936">
        <f t="shared" si="146"/>
        <v>0</v>
      </c>
      <c r="S936">
        <f t="shared" si="147"/>
        <v>0</v>
      </c>
      <c r="T936">
        <f t="shared" si="149"/>
        <v>0</v>
      </c>
      <c r="U936">
        <f t="shared" si="148"/>
        <v>0</v>
      </c>
    </row>
    <row r="937" spans="1:21" x14ac:dyDescent="0.25">
      <c r="A937" s="2">
        <v>936</v>
      </c>
      <c r="B937" s="39">
        <v>1053</v>
      </c>
      <c r="C937" s="41" t="s">
        <v>189</v>
      </c>
      <c r="D937">
        <v>51.79</v>
      </c>
      <c r="E937" s="80">
        <v>66227.350000000006</v>
      </c>
      <c r="F937">
        <v>114.46</v>
      </c>
      <c r="G937">
        <v>181.19</v>
      </c>
      <c r="H937">
        <v>6307.32</v>
      </c>
      <c r="I937" s="80">
        <v>27236.7</v>
      </c>
      <c r="J937">
        <v>64.47</v>
      </c>
      <c r="K937">
        <v>6217.48</v>
      </c>
      <c r="L937">
        <f t="shared" si="140"/>
        <v>0</v>
      </c>
      <c r="M937">
        <f t="shared" si="141"/>
        <v>0</v>
      </c>
      <c r="N937">
        <f t="shared" si="142"/>
        <v>0</v>
      </c>
      <c r="O937">
        <f t="shared" si="143"/>
        <v>0</v>
      </c>
      <c r="P937">
        <f t="shared" si="144"/>
        <v>0</v>
      </c>
      <c r="Q937">
        <f t="shared" si="145"/>
        <v>0</v>
      </c>
      <c r="R937">
        <f t="shared" si="146"/>
        <v>0</v>
      </c>
      <c r="S937">
        <f t="shared" si="147"/>
        <v>0</v>
      </c>
      <c r="T937">
        <f t="shared" si="149"/>
        <v>0</v>
      </c>
      <c r="U937">
        <f t="shared" si="148"/>
        <v>0</v>
      </c>
    </row>
    <row r="938" spans="1:21" x14ac:dyDescent="0.25">
      <c r="A938" s="2">
        <v>937</v>
      </c>
      <c r="B938" s="39">
        <v>1054</v>
      </c>
      <c r="C938" s="41" t="s">
        <v>162</v>
      </c>
      <c r="D938">
        <v>9.68</v>
      </c>
      <c r="E938" s="80">
        <v>30882.02</v>
      </c>
      <c r="F938">
        <v>0.57999999999999996</v>
      </c>
      <c r="G938">
        <v>125.27</v>
      </c>
      <c r="H938">
        <v>1.44</v>
      </c>
      <c r="I938">
        <v>0.84</v>
      </c>
      <c r="J938">
        <v>17.7</v>
      </c>
      <c r="K938">
        <v>4.41</v>
      </c>
      <c r="L938">
        <f t="shared" si="140"/>
        <v>0</v>
      </c>
      <c r="M938">
        <f t="shared" si="141"/>
        <v>0</v>
      </c>
      <c r="N938">
        <f t="shared" si="142"/>
        <v>0</v>
      </c>
      <c r="O938">
        <f t="shared" si="143"/>
        <v>0</v>
      </c>
      <c r="P938">
        <f t="shared" si="144"/>
        <v>0</v>
      </c>
      <c r="Q938">
        <f t="shared" si="145"/>
        <v>0</v>
      </c>
      <c r="R938">
        <f t="shared" si="146"/>
        <v>0</v>
      </c>
      <c r="S938">
        <f t="shared" si="147"/>
        <v>0</v>
      </c>
      <c r="T938">
        <f t="shared" si="149"/>
        <v>0</v>
      </c>
      <c r="U938">
        <f t="shared" si="148"/>
        <v>0</v>
      </c>
    </row>
    <row r="939" spans="1:21" x14ac:dyDescent="0.25">
      <c r="A939" s="2">
        <v>938</v>
      </c>
      <c r="B939" s="39">
        <v>1054</v>
      </c>
      <c r="C939" s="41" t="s">
        <v>170</v>
      </c>
      <c r="D939">
        <v>94.15</v>
      </c>
      <c r="E939" s="80">
        <v>34552.5</v>
      </c>
      <c r="F939">
        <v>42.64</v>
      </c>
      <c r="G939">
        <v>166.73</v>
      </c>
      <c r="H939">
        <v>1753.95</v>
      </c>
      <c r="I939" s="80">
        <v>15581.49</v>
      </c>
      <c r="J939">
        <v>44.97</v>
      </c>
      <c r="K939">
        <v>1343.21</v>
      </c>
      <c r="L939">
        <f t="shared" si="140"/>
        <v>0</v>
      </c>
      <c r="M939">
        <f t="shared" si="141"/>
        <v>0</v>
      </c>
      <c r="N939">
        <f t="shared" si="142"/>
        <v>0</v>
      </c>
      <c r="O939">
        <f t="shared" si="143"/>
        <v>0</v>
      </c>
      <c r="P939">
        <f t="shared" si="144"/>
        <v>0</v>
      </c>
      <c r="Q939">
        <f t="shared" si="145"/>
        <v>0</v>
      </c>
      <c r="R939">
        <f t="shared" si="146"/>
        <v>0</v>
      </c>
      <c r="S939">
        <f t="shared" si="147"/>
        <v>0</v>
      </c>
      <c r="T939">
        <f t="shared" si="149"/>
        <v>0</v>
      </c>
      <c r="U939">
        <f t="shared" si="148"/>
        <v>0</v>
      </c>
    </row>
    <row r="940" spans="1:21" ht="15.75" thickBot="1" x14ac:dyDescent="0.3">
      <c r="A940" s="2">
        <v>939</v>
      </c>
      <c r="B940" s="39">
        <v>1054</v>
      </c>
      <c r="C940" s="41" t="s">
        <v>178</v>
      </c>
      <c r="D940">
        <v>291.97000000000003</v>
      </c>
      <c r="E940" s="80">
        <v>41889.79</v>
      </c>
      <c r="F940">
        <v>639.04</v>
      </c>
      <c r="G940">
        <v>282.16000000000003</v>
      </c>
      <c r="H940" s="80">
        <v>29154.04</v>
      </c>
      <c r="I940" s="80">
        <v>29498.01</v>
      </c>
      <c r="J940">
        <v>67.36</v>
      </c>
      <c r="K940">
        <v>4602.03</v>
      </c>
      <c r="L940">
        <f t="shared" si="140"/>
        <v>0</v>
      </c>
      <c r="M940">
        <f t="shared" si="141"/>
        <v>0</v>
      </c>
      <c r="N940">
        <f t="shared" si="142"/>
        <v>0</v>
      </c>
      <c r="O940">
        <f t="shared" si="143"/>
        <v>0</v>
      </c>
      <c r="P940">
        <f t="shared" si="144"/>
        <v>0</v>
      </c>
      <c r="Q940">
        <f t="shared" si="145"/>
        <v>0</v>
      </c>
      <c r="R940">
        <f t="shared" si="146"/>
        <v>0</v>
      </c>
      <c r="S940">
        <f t="shared" si="147"/>
        <v>0</v>
      </c>
      <c r="T940">
        <f t="shared" si="149"/>
        <v>0</v>
      </c>
      <c r="U940">
        <f t="shared" si="148"/>
        <v>0</v>
      </c>
    </row>
    <row r="941" spans="1:21" x14ac:dyDescent="0.25">
      <c r="A941" s="2">
        <v>940</v>
      </c>
      <c r="B941" s="39">
        <v>1054</v>
      </c>
      <c r="C941" s="40" t="s">
        <v>163</v>
      </c>
      <c r="D941">
        <v>714.47</v>
      </c>
      <c r="E941" s="80">
        <v>35067.879999999997</v>
      </c>
      <c r="F941">
        <v>23.08</v>
      </c>
      <c r="G941">
        <v>181.19</v>
      </c>
      <c r="H941">
        <v>7429.41</v>
      </c>
      <c r="I941" s="80">
        <v>22068.97</v>
      </c>
      <c r="J941">
        <v>77.680000000000007</v>
      </c>
      <c r="K941" s="80">
        <v>13891.89</v>
      </c>
      <c r="L941">
        <f t="shared" si="140"/>
        <v>0</v>
      </c>
      <c r="M941">
        <f t="shared" si="141"/>
        <v>0</v>
      </c>
      <c r="N941">
        <f t="shared" si="142"/>
        <v>0</v>
      </c>
      <c r="O941">
        <f t="shared" si="143"/>
        <v>0</v>
      </c>
      <c r="P941">
        <f t="shared" si="144"/>
        <v>0</v>
      </c>
      <c r="Q941">
        <f t="shared" si="145"/>
        <v>0</v>
      </c>
      <c r="R941">
        <f t="shared" si="146"/>
        <v>0</v>
      </c>
      <c r="S941">
        <f t="shared" si="147"/>
        <v>0</v>
      </c>
      <c r="T941">
        <f t="shared" si="149"/>
        <v>0</v>
      </c>
      <c r="U941">
        <f t="shared" si="148"/>
        <v>0</v>
      </c>
    </row>
    <row r="942" spans="1:21" x14ac:dyDescent="0.25">
      <c r="A942" s="2">
        <v>941</v>
      </c>
      <c r="B942" s="39">
        <v>1054</v>
      </c>
      <c r="C942" s="41" t="s">
        <v>181</v>
      </c>
      <c r="D942">
        <v>18.86</v>
      </c>
      <c r="E942" s="80">
        <v>40827.31</v>
      </c>
      <c r="F942">
        <v>0.61</v>
      </c>
      <c r="G942">
        <v>112.15</v>
      </c>
      <c r="H942">
        <v>993.92</v>
      </c>
      <c r="I942">
        <v>235.28</v>
      </c>
      <c r="J942">
        <v>23.45</v>
      </c>
      <c r="K942">
        <v>508.88</v>
      </c>
      <c r="L942">
        <f t="shared" si="140"/>
        <v>0</v>
      </c>
      <c r="M942">
        <f t="shared" si="141"/>
        <v>0</v>
      </c>
      <c r="N942">
        <f t="shared" si="142"/>
        <v>0</v>
      </c>
      <c r="O942">
        <f t="shared" si="143"/>
        <v>0</v>
      </c>
      <c r="P942">
        <f t="shared" si="144"/>
        <v>0</v>
      </c>
      <c r="Q942">
        <f t="shared" si="145"/>
        <v>0</v>
      </c>
      <c r="R942">
        <f t="shared" si="146"/>
        <v>0</v>
      </c>
      <c r="S942">
        <f t="shared" si="147"/>
        <v>0</v>
      </c>
      <c r="T942">
        <f t="shared" si="149"/>
        <v>0</v>
      </c>
      <c r="U942">
        <f t="shared" si="148"/>
        <v>0</v>
      </c>
    </row>
    <row r="943" spans="1:21" x14ac:dyDescent="0.25">
      <c r="A943" s="2">
        <v>942</v>
      </c>
      <c r="B943" s="39">
        <v>1054</v>
      </c>
      <c r="C943" s="41" t="s">
        <v>183</v>
      </c>
      <c r="D943">
        <v>33.4</v>
      </c>
      <c r="E943" s="80">
        <v>27477.79</v>
      </c>
      <c r="F943">
        <v>181.31</v>
      </c>
      <c r="G943">
        <v>181.19</v>
      </c>
      <c r="H943">
        <v>10754.14</v>
      </c>
      <c r="I943" s="80">
        <v>26838.78</v>
      </c>
      <c r="J943">
        <v>77.680000000000007</v>
      </c>
      <c r="K943" s="80">
        <v>10231.56</v>
      </c>
      <c r="L943">
        <f t="shared" si="140"/>
        <v>0</v>
      </c>
      <c r="M943">
        <f t="shared" si="141"/>
        <v>0</v>
      </c>
      <c r="N943">
        <f t="shared" si="142"/>
        <v>0</v>
      </c>
      <c r="O943">
        <f t="shared" si="143"/>
        <v>0</v>
      </c>
      <c r="P943">
        <f t="shared" si="144"/>
        <v>0</v>
      </c>
      <c r="Q943">
        <f t="shared" si="145"/>
        <v>0</v>
      </c>
      <c r="R943">
        <f t="shared" si="146"/>
        <v>0</v>
      </c>
      <c r="S943">
        <f t="shared" si="147"/>
        <v>0</v>
      </c>
      <c r="T943">
        <f t="shared" si="149"/>
        <v>0</v>
      </c>
      <c r="U943">
        <f t="shared" si="148"/>
        <v>0</v>
      </c>
    </row>
    <row r="944" spans="1:21" x14ac:dyDescent="0.25">
      <c r="A944" s="2">
        <v>943</v>
      </c>
      <c r="B944" s="39">
        <v>1054</v>
      </c>
      <c r="C944" s="41" t="s">
        <v>186</v>
      </c>
      <c r="D944">
        <v>28.02</v>
      </c>
      <c r="E944">
        <v>21763.99</v>
      </c>
      <c r="F944">
        <v>443.75</v>
      </c>
      <c r="G944">
        <v>152.57</v>
      </c>
      <c r="H944" s="80">
        <v>18290.830000000002</v>
      </c>
      <c r="I944" s="80">
        <v>29864.06</v>
      </c>
      <c r="J944">
        <v>61.6</v>
      </c>
      <c r="K944" s="80">
        <v>12780.75</v>
      </c>
      <c r="L944">
        <f t="shared" si="140"/>
        <v>0</v>
      </c>
      <c r="M944">
        <f t="shared" si="141"/>
        <v>0</v>
      </c>
      <c r="N944">
        <f t="shared" si="142"/>
        <v>0</v>
      </c>
      <c r="O944">
        <f t="shared" si="143"/>
        <v>0</v>
      </c>
      <c r="P944">
        <f t="shared" si="144"/>
        <v>0</v>
      </c>
      <c r="Q944">
        <f t="shared" si="145"/>
        <v>0</v>
      </c>
      <c r="R944">
        <f t="shared" si="146"/>
        <v>0</v>
      </c>
      <c r="S944">
        <f t="shared" si="147"/>
        <v>0</v>
      </c>
      <c r="T944">
        <f t="shared" si="149"/>
        <v>0</v>
      </c>
      <c r="U944">
        <f t="shared" si="148"/>
        <v>0</v>
      </c>
    </row>
    <row r="945" spans="1:21" x14ac:dyDescent="0.25">
      <c r="A945" s="2">
        <v>944</v>
      </c>
      <c r="B945" s="39">
        <v>1054</v>
      </c>
      <c r="C945" s="41" t="s">
        <v>188</v>
      </c>
      <c r="D945">
        <v>26.96</v>
      </c>
      <c r="E945" s="80">
        <v>25080.720000000001</v>
      </c>
      <c r="F945">
        <v>19.149999999999999</v>
      </c>
      <c r="G945">
        <v>166.73</v>
      </c>
      <c r="H945">
        <v>6664.77</v>
      </c>
      <c r="I945" s="80">
        <v>20000.79</v>
      </c>
      <c r="J945">
        <v>58.76</v>
      </c>
      <c r="K945" s="80">
        <v>12849.5</v>
      </c>
      <c r="L945">
        <f t="shared" si="140"/>
        <v>0</v>
      </c>
      <c r="M945">
        <f t="shared" si="141"/>
        <v>0</v>
      </c>
      <c r="N945">
        <f t="shared" si="142"/>
        <v>0</v>
      </c>
      <c r="O945">
        <f t="shared" si="143"/>
        <v>0</v>
      </c>
      <c r="P945">
        <f t="shared" si="144"/>
        <v>0</v>
      </c>
      <c r="Q945">
        <f t="shared" si="145"/>
        <v>0</v>
      </c>
      <c r="R945">
        <f t="shared" si="146"/>
        <v>0</v>
      </c>
      <c r="S945">
        <f t="shared" si="147"/>
        <v>0</v>
      </c>
      <c r="T945">
        <f t="shared" si="149"/>
        <v>0</v>
      </c>
      <c r="U945">
        <f t="shared" si="148"/>
        <v>0</v>
      </c>
    </row>
    <row r="946" spans="1:21" x14ac:dyDescent="0.25">
      <c r="A946" s="2">
        <v>945</v>
      </c>
      <c r="B946" s="39">
        <v>1054</v>
      </c>
      <c r="C946" s="41" t="s">
        <v>182</v>
      </c>
      <c r="D946">
        <v>5.62</v>
      </c>
      <c r="E946">
        <v>2844.7</v>
      </c>
      <c r="F946">
        <v>0.33</v>
      </c>
      <c r="G946">
        <v>32.64</v>
      </c>
      <c r="H946">
        <v>7.31</v>
      </c>
      <c r="I946">
        <v>996.55</v>
      </c>
      <c r="J946">
        <v>7.33</v>
      </c>
      <c r="K946">
        <v>2.54</v>
      </c>
      <c r="L946">
        <f t="shared" si="140"/>
        <v>0</v>
      </c>
      <c r="M946">
        <f t="shared" si="141"/>
        <v>0</v>
      </c>
      <c r="N946">
        <f t="shared" si="142"/>
        <v>0</v>
      </c>
      <c r="O946">
        <f t="shared" si="143"/>
        <v>0</v>
      </c>
      <c r="P946">
        <f t="shared" si="144"/>
        <v>0</v>
      </c>
      <c r="Q946">
        <f t="shared" si="145"/>
        <v>0</v>
      </c>
      <c r="R946">
        <f t="shared" si="146"/>
        <v>0</v>
      </c>
      <c r="S946">
        <f t="shared" si="147"/>
        <v>0</v>
      </c>
      <c r="T946">
        <f t="shared" si="149"/>
        <v>0</v>
      </c>
      <c r="U946">
        <f t="shared" si="148"/>
        <v>0</v>
      </c>
    </row>
    <row r="947" spans="1:21" x14ac:dyDescent="0.25">
      <c r="A947" s="2">
        <v>946</v>
      </c>
      <c r="B947" s="39">
        <v>1054</v>
      </c>
      <c r="C947" s="46" t="s">
        <v>184</v>
      </c>
      <c r="D947">
        <v>133.75</v>
      </c>
      <c r="E947">
        <v>17292.560000000001</v>
      </c>
      <c r="F947">
        <v>73.010000000000005</v>
      </c>
      <c r="G947">
        <v>125.27</v>
      </c>
      <c r="H947">
        <v>13178.81</v>
      </c>
      <c r="I947" s="80">
        <v>24081.279999999999</v>
      </c>
      <c r="J947">
        <v>44.97</v>
      </c>
      <c r="K947">
        <v>3152.26</v>
      </c>
      <c r="L947">
        <f t="shared" si="140"/>
        <v>0</v>
      </c>
      <c r="M947">
        <f t="shared" si="141"/>
        <v>0</v>
      </c>
      <c r="N947">
        <f t="shared" si="142"/>
        <v>0</v>
      </c>
      <c r="O947">
        <f t="shared" si="143"/>
        <v>0</v>
      </c>
      <c r="P947">
        <f t="shared" si="144"/>
        <v>0</v>
      </c>
      <c r="Q947">
        <f t="shared" si="145"/>
        <v>0</v>
      </c>
      <c r="R947">
        <f t="shared" si="146"/>
        <v>0</v>
      </c>
      <c r="S947">
        <f t="shared" si="147"/>
        <v>0</v>
      </c>
      <c r="T947">
        <f t="shared" si="149"/>
        <v>0</v>
      </c>
      <c r="U947">
        <f t="shared" si="148"/>
        <v>0</v>
      </c>
    </row>
    <row r="948" spans="1:21" x14ac:dyDescent="0.25">
      <c r="A948" s="2">
        <v>947</v>
      </c>
      <c r="B948" s="39">
        <v>1054</v>
      </c>
      <c r="C948" s="41" t="s">
        <v>187</v>
      </c>
      <c r="D948">
        <v>306.02</v>
      </c>
      <c r="E948">
        <v>11915.91</v>
      </c>
      <c r="F948">
        <v>44.1</v>
      </c>
      <c r="G948">
        <v>118.66</v>
      </c>
      <c r="H948">
        <v>15479.51</v>
      </c>
      <c r="I948" s="80">
        <v>13608.35</v>
      </c>
      <c r="J948">
        <v>44.97</v>
      </c>
      <c r="K948">
        <v>4063.07</v>
      </c>
      <c r="L948">
        <f t="shared" si="140"/>
        <v>0</v>
      </c>
      <c r="M948">
        <f t="shared" si="141"/>
        <v>0</v>
      </c>
      <c r="N948">
        <f t="shared" si="142"/>
        <v>0</v>
      </c>
      <c r="O948">
        <f t="shared" si="143"/>
        <v>0</v>
      </c>
      <c r="P948">
        <f t="shared" si="144"/>
        <v>0</v>
      </c>
      <c r="Q948">
        <f t="shared" si="145"/>
        <v>0</v>
      </c>
      <c r="R948">
        <f t="shared" si="146"/>
        <v>0</v>
      </c>
      <c r="S948">
        <f t="shared" si="147"/>
        <v>0</v>
      </c>
      <c r="T948">
        <f t="shared" si="149"/>
        <v>0</v>
      </c>
      <c r="U948">
        <f t="shared" si="148"/>
        <v>0</v>
      </c>
    </row>
    <row r="949" spans="1:21" x14ac:dyDescent="0.25">
      <c r="A949" s="2">
        <v>948</v>
      </c>
      <c r="B949" s="39">
        <v>1054</v>
      </c>
      <c r="C949" s="41" t="s">
        <v>189</v>
      </c>
      <c r="D949">
        <v>112.17</v>
      </c>
      <c r="E949">
        <v>17972</v>
      </c>
      <c r="F949">
        <v>3.55</v>
      </c>
      <c r="G949">
        <v>138.75</v>
      </c>
      <c r="H949">
        <v>10809.58</v>
      </c>
      <c r="I949" s="80">
        <v>22616.39</v>
      </c>
      <c r="J949">
        <v>68.819999999999993</v>
      </c>
      <c r="K949" s="80">
        <v>9911.85</v>
      </c>
      <c r="L949">
        <f t="shared" si="140"/>
        <v>0</v>
      </c>
      <c r="M949">
        <f t="shared" si="141"/>
        <v>0</v>
      </c>
      <c r="N949">
        <f t="shared" si="142"/>
        <v>0</v>
      </c>
      <c r="O949">
        <f t="shared" si="143"/>
        <v>0</v>
      </c>
      <c r="P949">
        <f t="shared" si="144"/>
        <v>0</v>
      </c>
      <c r="Q949">
        <f t="shared" si="145"/>
        <v>0</v>
      </c>
      <c r="R949">
        <f t="shared" si="146"/>
        <v>0</v>
      </c>
      <c r="S949">
        <f t="shared" si="147"/>
        <v>0</v>
      </c>
      <c r="T949">
        <f t="shared" si="149"/>
        <v>0</v>
      </c>
      <c r="U949">
        <f t="shared" si="148"/>
        <v>0</v>
      </c>
    </row>
    <row r="950" spans="1:21" x14ac:dyDescent="0.25">
      <c r="A950" s="2">
        <v>949</v>
      </c>
      <c r="B950" s="39">
        <v>1055</v>
      </c>
      <c r="C950" s="41" t="s">
        <v>162</v>
      </c>
      <c r="D950">
        <v>29.08</v>
      </c>
      <c r="E950" s="80">
        <v>89023.96</v>
      </c>
      <c r="F950">
        <v>0.78</v>
      </c>
      <c r="G950">
        <v>131.97</v>
      </c>
      <c r="H950">
        <v>3.47</v>
      </c>
      <c r="I950">
        <v>12.87</v>
      </c>
      <c r="J950">
        <v>37.07</v>
      </c>
      <c r="K950">
        <v>9.0399999999999991</v>
      </c>
      <c r="L950">
        <f t="shared" si="140"/>
        <v>0</v>
      </c>
      <c r="M950">
        <f t="shared" si="141"/>
        <v>0</v>
      </c>
      <c r="N950">
        <f t="shared" si="142"/>
        <v>0</v>
      </c>
      <c r="O950">
        <f t="shared" si="143"/>
        <v>0</v>
      </c>
      <c r="P950">
        <f t="shared" si="144"/>
        <v>0</v>
      </c>
      <c r="Q950">
        <f t="shared" si="145"/>
        <v>0</v>
      </c>
      <c r="R950">
        <f t="shared" si="146"/>
        <v>0</v>
      </c>
      <c r="S950">
        <f t="shared" si="147"/>
        <v>0</v>
      </c>
      <c r="T950">
        <f t="shared" si="149"/>
        <v>0</v>
      </c>
      <c r="U950">
        <f t="shared" si="148"/>
        <v>0</v>
      </c>
    </row>
    <row r="951" spans="1:21" x14ac:dyDescent="0.25">
      <c r="A951" s="2">
        <v>950</v>
      </c>
      <c r="B951" s="39">
        <v>1055</v>
      </c>
      <c r="C951" s="41" t="s">
        <v>170</v>
      </c>
      <c r="D951">
        <v>21.83</v>
      </c>
      <c r="E951" s="80">
        <v>59811.61</v>
      </c>
      <c r="F951">
        <v>202.64</v>
      </c>
      <c r="G951">
        <v>159.61000000000001</v>
      </c>
      <c r="H951">
        <v>550.29999999999995</v>
      </c>
      <c r="I951" s="80">
        <v>28418.97</v>
      </c>
      <c r="J951">
        <v>40.99</v>
      </c>
      <c r="K951">
        <v>476.68</v>
      </c>
      <c r="L951">
        <f t="shared" si="140"/>
        <v>0</v>
      </c>
      <c r="M951">
        <f t="shared" si="141"/>
        <v>0</v>
      </c>
      <c r="N951">
        <f t="shared" si="142"/>
        <v>0</v>
      </c>
      <c r="O951">
        <f t="shared" si="143"/>
        <v>0</v>
      </c>
      <c r="P951">
        <f t="shared" si="144"/>
        <v>0</v>
      </c>
      <c r="Q951">
        <f t="shared" si="145"/>
        <v>0</v>
      </c>
      <c r="R951">
        <f t="shared" si="146"/>
        <v>0</v>
      </c>
      <c r="S951">
        <f t="shared" si="147"/>
        <v>0</v>
      </c>
      <c r="T951">
        <f t="shared" si="149"/>
        <v>0</v>
      </c>
      <c r="U951">
        <f t="shared" si="148"/>
        <v>0</v>
      </c>
    </row>
    <row r="952" spans="1:21" ht="15.75" thickBot="1" x14ac:dyDescent="0.3">
      <c r="A952" s="2">
        <v>951</v>
      </c>
      <c r="B952" s="39">
        <v>1055</v>
      </c>
      <c r="C952" s="41" t="s">
        <v>178</v>
      </c>
      <c r="D952">
        <v>40.1</v>
      </c>
      <c r="E952" s="80">
        <v>73850.399999999994</v>
      </c>
      <c r="F952">
        <v>1975.83</v>
      </c>
      <c r="G952">
        <v>211.03</v>
      </c>
      <c r="H952">
        <v>8183.68</v>
      </c>
      <c r="I952" s="80">
        <v>35721.11</v>
      </c>
      <c r="J952">
        <v>47.67</v>
      </c>
      <c r="K952">
        <v>2022.14</v>
      </c>
      <c r="L952">
        <f t="shared" si="140"/>
        <v>0</v>
      </c>
      <c r="M952">
        <f t="shared" si="141"/>
        <v>0</v>
      </c>
      <c r="N952">
        <f t="shared" si="142"/>
        <v>0</v>
      </c>
      <c r="O952">
        <f t="shared" si="143"/>
        <v>0</v>
      </c>
      <c r="P952">
        <f t="shared" si="144"/>
        <v>0</v>
      </c>
      <c r="Q952">
        <f t="shared" si="145"/>
        <v>0</v>
      </c>
      <c r="R952">
        <f t="shared" si="146"/>
        <v>0</v>
      </c>
      <c r="S952">
        <f t="shared" si="147"/>
        <v>0</v>
      </c>
      <c r="T952">
        <f t="shared" si="149"/>
        <v>0</v>
      </c>
      <c r="U952">
        <f t="shared" si="148"/>
        <v>0</v>
      </c>
    </row>
    <row r="953" spans="1:21" x14ac:dyDescent="0.25">
      <c r="A953" s="85">
        <v>952</v>
      </c>
      <c r="B953" s="54">
        <v>1055</v>
      </c>
      <c r="C953" s="87" t="s">
        <v>163</v>
      </c>
      <c r="D953" s="50">
        <v>40.1</v>
      </c>
      <c r="E953" s="88">
        <v>79053.279999999999</v>
      </c>
      <c r="F953" s="50">
        <v>357.22</v>
      </c>
      <c r="G953" s="50">
        <v>234.14</v>
      </c>
      <c r="H953" s="50">
        <v>1709.55</v>
      </c>
      <c r="I953" s="88">
        <v>27244.83</v>
      </c>
      <c r="J953" s="50">
        <v>61.6</v>
      </c>
      <c r="K953" s="50">
        <v>6619.05</v>
      </c>
      <c r="L953">
        <f t="shared" si="140"/>
        <v>0</v>
      </c>
      <c r="M953">
        <f t="shared" si="141"/>
        <v>0</v>
      </c>
      <c r="N953">
        <f t="shared" si="142"/>
        <v>0</v>
      </c>
      <c r="O953">
        <f t="shared" si="143"/>
        <v>0</v>
      </c>
      <c r="P953">
        <f t="shared" si="144"/>
        <v>0</v>
      </c>
      <c r="Q953">
        <f t="shared" si="145"/>
        <v>0</v>
      </c>
      <c r="R953">
        <f t="shared" si="146"/>
        <v>0</v>
      </c>
      <c r="S953">
        <f t="shared" si="147"/>
        <v>0</v>
      </c>
      <c r="T953">
        <f t="shared" si="149"/>
        <v>0</v>
      </c>
      <c r="U953">
        <f t="shared" si="148"/>
        <v>0</v>
      </c>
    </row>
    <row r="954" spans="1:21" x14ac:dyDescent="0.25">
      <c r="A954" s="2">
        <v>953</v>
      </c>
      <c r="B954" s="39">
        <v>1055</v>
      </c>
      <c r="C954" s="41" t="s">
        <v>181</v>
      </c>
      <c r="D954">
        <v>31.22</v>
      </c>
      <c r="E954" s="80">
        <v>182111.35</v>
      </c>
      <c r="F954">
        <v>1.1200000000000001</v>
      </c>
      <c r="G954">
        <v>93.19</v>
      </c>
      <c r="H954">
        <v>23.59</v>
      </c>
      <c r="I954">
        <v>143.33000000000001</v>
      </c>
      <c r="J954">
        <v>37.07</v>
      </c>
      <c r="K954">
        <v>24.6</v>
      </c>
      <c r="L954">
        <f t="shared" si="140"/>
        <v>0</v>
      </c>
      <c r="M954">
        <f t="shared" si="141"/>
        <v>0</v>
      </c>
      <c r="N954">
        <f t="shared" si="142"/>
        <v>0</v>
      </c>
      <c r="O954">
        <f t="shared" si="143"/>
        <v>0</v>
      </c>
      <c r="P954">
        <f t="shared" si="144"/>
        <v>0</v>
      </c>
      <c r="Q954">
        <f t="shared" si="145"/>
        <v>0</v>
      </c>
      <c r="R954">
        <f t="shared" si="146"/>
        <v>0</v>
      </c>
      <c r="S954">
        <f t="shared" si="147"/>
        <v>0</v>
      </c>
      <c r="T954">
        <f t="shared" si="149"/>
        <v>0</v>
      </c>
      <c r="U954">
        <f t="shared" si="148"/>
        <v>0</v>
      </c>
    </row>
    <row r="955" spans="1:21" x14ac:dyDescent="0.25">
      <c r="A955" s="2">
        <v>954</v>
      </c>
      <c r="B955" s="39">
        <v>1055</v>
      </c>
      <c r="C955" s="41" t="s">
        <v>183</v>
      </c>
      <c r="D955">
        <v>35.6</v>
      </c>
      <c r="E955" s="80">
        <v>126055.57</v>
      </c>
      <c r="F955">
        <v>418.48</v>
      </c>
      <c r="G955">
        <v>166.73</v>
      </c>
      <c r="H955">
        <v>1370.55</v>
      </c>
      <c r="I955" s="80">
        <v>34236.339999999997</v>
      </c>
      <c r="J955">
        <v>60.18</v>
      </c>
      <c r="K955">
        <v>1344.65</v>
      </c>
      <c r="L955">
        <f t="shared" si="140"/>
        <v>0</v>
      </c>
      <c r="M955">
        <f t="shared" si="141"/>
        <v>0</v>
      </c>
      <c r="N955">
        <f t="shared" si="142"/>
        <v>0</v>
      </c>
      <c r="O955">
        <f t="shared" si="143"/>
        <v>0</v>
      </c>
      <c r="P955">
        <f t="shared" si="144"/>
        <v>0</v>
      </c>
      <c r="Q955">
        <f t="shared" si="145"/>
        <v>0</v>
      </c>
      <c r="R955">
        <f t="shared" si="146"/>
        <v>0</v>
      </c>
      <c r="S955">
        <f t="shared" si="147"/>
        <v>0</v>
      </c>
      <c r="T955">
        <f t="shared" si="149"/>
        <v>0</v>
      </c>
      <c r="U955">
        <f t="shared" si="148"/>
        <v>0</v>
      </c>
    </row>
    <row r="956" spans="1:21" x14ac:dyDescent="0.25">
      <c r="A956" s="2">
        <v>955</v>
      </c>
      <c r="B956" s="39">
        <v>1055</v>
      </c>
      <c r="C956" s="41" t="s">
        <v>186</v>
      </c>
      <c r="D956">
        <v>40.1</v>
      </c>
      <c r="E956" s="80">
        <v>125371.46</v>
      </c>
      <c r="F956">
        <v>2169.7800000000002</v>
      </c>
      <c r="G956">
        <v>195.96</v>
      </c>
      <c r="H956">
        <v>6724.71</v>
      </c>
      <c r="I956" s="80">
        <v>35787.879999999997</v>
      </c>
      <c r="J956">
        <v>65.91</v>
      </c>
      <c r="K956">
        <v>3607.11</v>
      </c>
      <c r="L956">
        <f t="shared" si="140"/>
        <v>0</v>
      </c>
      <c r="M956">
        <f t="shared" si="141"/>
        <v>0</v>
      </c>
      <c r="N956">
        <f t="shared" si="142"/>
        <v>0</v>
      </c>
      <c r="O956">
        <f t="shared" si="143"/>
        <v>0</v>
      </c>
      <c r="P956">
        <f t="shared" si="144"/>
        <v>0</v>
      </c>
      <c r="Q956">
        <f t="shared" si="145"/>
        <v>0</v>
      </c>
      <c r="R956">
        <f t="shared" si="146"/>
        <v>0</v>
      </c>
      <c r="S956">
        <f t="shared" si="147"/>
        <v>0</v>
      </c>
      <c r="T956">
        <f t="shared" si="149"/>
        <v>0</v>
      </c>
      <c r="U956">
        <f t="shared" si="148"/>
        <v>0</v>
      </c>
    </row>
    <row r="957" spans="1:21" x14ac:dyDescent="0.25">
      <c r="A957" s="2">
        <v>956</v>
      </c>
      <c r="B957" s="39">
        <v>1055</v>
      </c>
      <c r="C957" s="41" t="s">
        <v>188</v>
      </c>
      <c r="D957">
        <v>33.4</v>
      </c>
      <c r="E957" s="80">
        <v>217301.7</v>
      </c>
      <c r="F957">
        <v>98.32</v>
      </c>
      <c r="G957">
        <v>211.03</v>
      </c>
      <c r="H957">
        <v>960.41</v>
      </c>
      <c r="I957" s="80">
        <v>27634.82</v>
      </c>
      <c r="J957">
        <v>63.03</v>
      </c>
      <c r="K957">
        <v>3325.19</v>
      </c>
      <c r="L957">
        <f t="shared" si="140"/>
        <v>0</v>
      </c>
      <c r="M957">
        <f t="shared" si="141"/>
        <v>0</v>
      </c>
      <c r="N957">
        <f t="shared" si="142"/>
        <v>0</v>
      </c>
      <c r="O957">
        <f t="shared" si="143"/>
        <v>0</v>
      </c>
      <c r="P957">
        <f t="shared" si="144"/>
        <v>0</v>
      </c>
      <c r="Q957">
        <f t="shared" si="145"/>
        <v>0</v>
      </c>
      <c r="R957">
        <f t="shared" si="146"/>
        <v>0</v>
      </c>
      <c r="S957">
        <f t="shared" si="147"/>
        <v>0</v>
      </c>
      <c r="T957">
        <f t="shared" si="149"/>
        <v>0</v>
      </c>
      <c r="U957">
        <f t="shared" si="148"/>
        <v>0</v>
      </c>
    </row>
    <row r="958" spans="1:21" x14ac:dyDescent="0.25">
      <c r="A958" s="2">
        <v>957</v>
      </c>
      <c r="B958" s="39">
        <v>1055</v>
      </c>
      <c r="C958" s="41" t="s">
        <v>182</v>
      </c>
      <c r="D958" s="80">
        <v>0.04</v>
      </c>
      <c r="E958">
        <v>3495.54</v>
      </c>
      <c r="F958" s="80">
        <v>0</v>
      </c>
      <c r="G958">
        <v>32.64</v>
      </c>
      <c r="H958" t="s">
        <v>583</v>
      </c>
      <c r="I958">
        <v>4.0199999999999996</v>
      </c>
      <c r="J958">
        <v>2.97</v>
      </c>
      <c r="K958">
        <v>0.46</v>
      </c>
      <c r="L958">
        <f t="shared" si="140"/>
        <v>0</v>
      </c>
      <c r="M958">
        <f t="shared" si="141"/>
        <v>0</v>
      </c>
      <c r="N958">
        <f t="shared" si="142"/>
        <v>0</v>
      </c>
      <c r="O958">
        <f t="shared" si="143"/>
        <v>0</v>
      </c>
      <c r="P958">
        <f t="shared" si="144"/>
        <v>0</v>
      </c>
      <c r="Q958">
        <f t="shared" si="145"/>
        <v>0</v>
      </c>
      <c r="R958">
        <f t="shared" si="146"/>
        <v>0</v>
      </c>
      <c r="S958">
        <f t="shared" si="147"/>
        <v>0</v>
      </c>
      <c r="T958">
        <f t="shared" si="149"/>
        <v>0</v>
      </c>
      <c r="U958">
        <f t="shared" si="148"/>
        <v>0</v>
      </c>
    </row>
    <row r="959" spans="1:21" x14ac:dyDescent="0.25">
      <c r="A959" s="2">
        <v>958</v>
      </c>
      <c r="B959" s="39">
        <v>1055</v>
      </c>
      <c r="C959" s="46" t="s">
        <v>184</v>
      </c>
      <c r="D959">
        <v>16.93</v>
      </c>
      <c r="E959" s="80">
        <v>58060.36</v>
      </c>
      <c r="F959">
        <v>49.28</v>
      </c>
      <c r="G959">
        <v>87.08</v>
      </c>
      <c r="H959">
        <v>486.07</v>
      </c>
      <c r="I959" s="80">
        <v>17472.23</v>
      </c>
      <c r="J959">
        <v>33.24</v>
      </c>
      <c r="K959">
        <v>148.75</v>
      </c>
      <c r="L959">
        <f t="shared" si="140"/>
        <v>0</v>
      </c>
      <c r="M959">
        <f t="shared" si="141"/>
        <v>0</v>
      </c>
      <c r="N959">
        <f t="shared" si="142"/>
        <v>0</v>
      </c>
      <c r="O959">
        <f t="shared" si="143"/>
        <v>0</v>
      </c>
      <c r="P959">
        <f t="shared" si="144"/>
        <v>0</v>
      </c>
      <c r="Q959">
        <f t="shared" si="145"/>
        <v>0</v>
      </c>
      <c r="R959">
        <f t="shared" si="146"/>
        <v>0</v>
      </c>
      <c r="S959">
        <f t="shared" si="147"/>
        <v>0</v>
      </c>
      <c r="T959">
        <f t="shared" si="149"/>
        <v>0</v>
      </c>
      <c r="U959">
        <f t="shared" si="148"/>
        <v>0</v>
      </c>
    </row>
    <row r="960" spans="1:21" x14ac:dyDescent="0.25">
      <c r="A960" s="2">
        <v>959</v>
      </c>
      <c r="B960" s="39">
        <v>1055</v>
      </c>
      <c r="C960" s="41" t="s">
        <v>187</v>
      </c>
      <c r="D960">
        <v>33.4</v>
      </c>
      <c r="E960" s="80">
        <v>96444.26</v>
      </c>
      <c r="F960">
        <v>224.65</v>
      </c>
      <c r="G960">
        <v>166.73</v>
      </c>
      <c r="H960">
        <v>5977.23</v>
      </c>
      <c r="I960" s="80">
        <v>22547.29</v>
      </c>
      <c r="J960">
        <v>51.78</v>
      </c>
      <c r="K960">
        <v>4228.1099999999997</v>
      </c>
      <c r="L960">
        <f t="shared" si="140"/>
        <v>0</v>
      </c>
      <c r="M960">
        <f t="shared" si="141"/>
        <v>0</v>
      </c>
      <c r="N960">
        <f t="shared" si="142"/>
        <v>0</v>
      </c>
      <c r="O960">
        <f t="shared" si="143"/>
        <v>0</v>
      </c>
      <c r="P960">
        <f t="shared" si="144"/>
        <v>0</v>
      </c>
      <c r="Q960">
        <f t="shared" si="145"/>
        <v>0</v>
      </c>
      <c r="R960">
        <f t="shared" si="146"/>
        <v>0</v>
      </c>
      <c r="S960">
        <f t="shared" si="147"/>
        <v>0</v>
      </c>
      <c r="T960">
        <f t="shared" si="149"/>
        <v>0</v>
      </c>
      <c r="U960">
        <f t="shared" si="148"/>
        <v>0</v>
      </c>
    </row>
    <row r="961" spans="1:21" x14ac:dyDescent="0.25">
      <c r="A961" s="2">
        <v>960</v>
      </c>
      <c r="B961" s="39">
        <v>1055</v>
      </c>
      <c r="C961" s="41" t="s">
        <v>189</v>
      </c>
      <c r="D961">
        <v>19.84</v>
      </c>
      <c r="E961" s="80">
        <v>56967.4</v>
      </c>
      <c r="F961">
        <v>43.27</v>
      </c>
      <c r="G961">
        <v>138.75</v>
      </c>
      <c r="H961">
        <v>2165.77</v>
      </c>
      <c r="I961" s="80">
        <v>16724.349999999999</v>
      </c>
      <c r="J961">
        <v>40.99</v>
      </c>
      <c r="K961">
        <v>3309.74</v>
      </c>
      <c r="L961">
        <f t="shared" si="140"/>
        <v>0</v>
      </c>
      <c r="M961">
        <f t="shared" si="141"/>
        <v>0</v>
      </c>
      <c r="N961">
        <f t="shared" si="142"/>
        <v>0</v>
      </c>
      <c r="O961">
        <f t="shared" si="143"/>
        <v>0</v>
      </c>
      <c r="P961">
        <f t="shared" si="144"/>
        <v>0</v>
      </c>
      <c r="Q961">
        <f t="shared" si="145"/>
        <v>0</v>
      </c>
      <c r="R961">
        <f t="shared" si="146"/>
        <v>0</v>
      </c>
      <c r="S961">
        <f t="shared" si="147"/>
        <v>0</v>
      </c>
      <c r="T961">
        <f t="shared" si="149"/>
        <v>0</v>
      </c>
      <c r="U961">
        <f t="shared" si="148"/>
        <v>0</v>
      </c>
    </row>
    <row r="962" spans="1:21" x14ac:dyDescent="0.25">
      <c r="A962" s="2">
        <v>961</v>
      </c>
      <c r="B962" s="39">
        <v>1056</v>
      </c>
      <c r="C962" s="41" t="s">
        <v>162</v>
      </c>
      <c r="D962" s="80">
        <v>0.04</v>
      </c>
      <c r="E962">
        <v>3623.44</v>
      </c>
      <c r="F962">
        <v>0.3</v>
      </c>
      <c r="G962">
        <v>52.8</v>
      </c>
      <c r="H962" t="s">
        <v>583</v>
      </c>
      <c r="I962">
        <v>4.8600000000000003</v>
      </c>
      <c r="J962">
        <v>6.4</v>
      </c>
      <c r="K962">
        <v>0.23</v>
      </c>
      <c r="L962">
        <f t="shared" ref="L962:L1025" si="150">IF(D962 = "OOR &gt;", 1,0)</f>
        <v>0</v>
      </c>
      <c r="M962">
        <f t="shared" ref="M962:M1025" si="151">IF(E962 = "OOR &gt;", 1,0)</f>
        <v>0</v>
      </c>
      <c r="N962">
        <f t="shared" ref="N962:N1025" si="152">IF(F962 = "OOR &gt;", 1,0)</f>
        <v>0</v>
      </c>
      <c r="O962">
        <f t="shared" ref="O962:O1025" si="153">IF(G962 = "OOR &gt;", 1,0)</f>
        <v>0</v>
      </c>
      <c r="P962">
        <f t="shared" ref="P962:P1025" si="154">IF(H962 = "OOR &gt;", 1,0)</f>
        <v>0</v>
      </c>
      <c r="Q962">
        <f t="shared" ref="Q962:Q1025" si="155">IF(I962 = "OOR &gt;", 1,0)</f>
        <v>0</v>
      </c>
      <c r="R962">
        <f t="shared" ref="R962:R1025" si="156">IF(J962 = "OOR &gt;", 1,0)</f>
        <v>0</v>
      </c>
      <c r="S962">
        <f t="shared" ref="S962:S1025" si="157">IF(K962 = "OOR &gt;", 1,0)</f>
        <v>0</v>
      </c>
      <c r="T962">
        <f t="shared" si="149"/>
        <v>0</v>
      </c>
      <c r="U962">
        <f t="shared" ref="U962:U1025" si="158">IF(T962 &gt; 0,1,0)</f>
        <v>0</v>
      </c>
    </row>
    <row r="963" spans="1:21" x14ac:dyDescent="0.25">
      <c r="A963" s="2">
        <v>962</v>
      </c>
      <c r="B963" s="39">
        <v>1056</v>
      </c>
      <c r="C963" s="41" t="s">
        <v>170</v>
      </c>
      <c r="D963">
        <v>13.2</v>
      </c>
      <c r="E963">
        <v>21802.01</v>
      </c>
      <c r="F963">
        <v>132.37</v>
      </c>
      <c r="G963">
        <v>99.41</v>
      </c>
      <c r="H963">
        <v>292.77999999999997</v>
      </c>
      <c r="I963" s="80">
        <v>10443.23</v>
      </c>
      <c r="J963">
        <v>18.829999999999998</v>
      </c>
      <c r="K963">
        <v>54.06</v>
      </c>
      <c r="L963">
        <f t="shared" si="150"/>
        <v>0</v>
      </c>
      <c r="M963">
        <f t="shared" si="151"/>
        <v>0</v>
      </c>
      <c r="N963">
        <f t="shared" si="152"/>
        <v>0</v>
      </c>
      <c r="O963">
        <f t="shared" si="153"/>
        <v>0</v>
      </c>
      <c r="P963">
        <f t="shared" si="154"/>
        <v>0</v>
      </c>
      <c r="Q963">
        <f t="shared" si="155"/>
        <v>0</v>
      </c>
      <c r="R963">
        <f t="shared" si="156"/>
        <v>0</v>
      </c>
      <c r="S963">
        <f t="shared" si="157"/>
        <v>0</v>
      </c>
      <c r="T963">
        <f t="shared" ref="T963:T1026" si="159">SUMIF(L963:S963,"&gt;0")</f>
        <v>0</v>
      </c>
      <c r="U963">
        <f t="shared" si="158"/>
        <v>0</v>
      </c>
    </row>
    <row r="964" spans="1:21" ht="15.75" thickBot="1" x14ac:dyDescent="0.3">
      <c r="A964" s="2">
        <v>963</v>
      </c>
      <c r="B964" s="39">
        <v>1056</v>
      </c>
      <c r="C964" s="41" t="s">
        <v>178</v>
      </c>
      <c r="D964">
        <v>16.93</v>
      </c>
      <c r="E964" s="80">
        <v>37326.46</v>
      </c>
      <c r="F964">
        <v>1054.3900000000001</v>
      </c>
      <c r="G964">
        <v>99.41</v>
      </c>
      <c r="H964">
        <v>2504.4699999999998</v>
      </c>
      <c r="I964" s="80">
        <v>21061.77</v>
      </c>
      <c r="J964">
        <v>35.79</v>
      </c>
      <c r="K964">
        <v>163.29</v>
      </c>
      <c r="L964">
        <f t="shared" si="150"/>
        <v>0</v>
      </c>
      <c r="M964">
        <f t="shared" si="151"/>
        <v>0</v>
      </c>
      <c r="N964">
        <f t="shared" si="152"/>
        <v>0</v>
      </c>
      <c r="O964">
        <f t="shared" si="153"/>
        <v>0</v>
      </c>
      <c r="P964">
        <f t="shared" si="154"/>
        <v>0</v>
      </c>
      <c r="Q964">
        <f t="shared" si="155"/>
        <v>0</v>
      </c>
      <c r="R964">
        <f t="shared" si="156"/>
        <v>0</v>
      </c>
      <c r="S964">
        <f t="shared" si="157"/>
        <v>0</v>
      </c>
      <c r="T964">
        <f t="shared" si="159"/>
        <v>0</v>
      </c>
      <c r="U964">
        <f t="shared" si="158"/>
        <v>0</v>
      </c>
    </row>
    <row r="965" spans="1:21" x14ac:dyDescent="0.25">
      <c r="A965" s="2">
        <v>964</v>
      </c>
      <c r="B965" s="39">
        <v>1056</v>
      </c>
      <c r="C965" s="40" t="s">
        <v>163</v>
      </c>
      <c r="D965">
        <v>11.41</v>
      </c>
      <c r="E965" s="80">
        <v>25757</v>
      </c>
      <c r="F965">
        <v>306.01</v>
      </c>
      <c r="G965">
        <v>87.08</v>
      </c>
      <c r="H965">
        <v>348.05</v>
      </c>
      <c r="I965" s="80">
        <v>9938.49</v>
      </c>
      <c r="J965">
        <v>24.64</v>
      </c>
      <c r="K965">
        <v>404.88</v>
      </c>
      <c r="L965">
        <f t="shared" si="150"/>
        <v>0</v>
      </c>
      <c r="M965">
        <f t="shared" si="151"/>
        <v>0</v>
      </c>
      <c r="N965">
        <f t="shared" si="152"/>
        <v>0</v>
      </c>
      <c r="O965">
        <f t="shared" si="153"/>
        <v>0</v>
      </c>
      <c r="P965">
        <f t="shared" si="154"/>
        <v>0</v>
      </c>
      <c r="Q965">
        <f t="shared" si="155"/>
        <v>0</v>
      </c>
      <c r="R965">
        <f t="shared" si="156"/>
        <v>0</v>
      </c>
      <c r="S965">
        <f t="shared" si="157"/>
        <v>0</v>
      </c>
      <c r="T965">
        <f t="shared" si="159"/>
        <v>0</v>
      </c>
      <c r="U965">
        <f t="shared" si="158"/>
        <v>0</v>
      </c>
    </row>
    <row r="966" spans="1:21" x14ac:dyDescent="0.25">
      <c r="A966" s="2">
        <v>965</v>
      </c>
      <c r="B966" s="39">
        <v>1056</v>
      </c>
      <c r="C966" s="41" t="s">
        <v>181</v>
      </c>
      <c r="D966">
        <v>2.1</v>
      </c>
      <c r="E966">
        <v>13609.05</v>
      </c>
      <c r="F966">
        <v>0.17</v>
      </c>
      <c r="G966">
        <v>28.01</v>
      </c>
      <c r="H966">
        <v>9.9600000000000009</v>
      </c>
      <c r="I966">
        <v>106.24</v>
      </c>
      <c r="J966">
        <v>10.25</v>
      </c>
      <c r="K966">
        <v>1.53</v>
      </c>
      <c r="L966">
        <f t="shared" si="150"/>
        <v>0</v>
      </c>
      <c r="M966">
        <f t="shared" si="151"/>
        <v>0</v>
      </c>
      <c r="N966">
        <f t="shared" si="152"/>
        <v>0</v>
      </c>
      <c r="O966">
        <f t="shared" si="153"/>
        <v>0</v>
      </c>
      <c r="P966">
        <f t="shared" si="154"/>
        <v>0</v>
      </c>
      <c r="Q966">
        <f t="shared" si="155"/>
        <v>0</v>
      </c>
      <c r="R966">
        <f t="shared" si="156"/>
        <v>0</v>
      </c>
      <c r="S966">
        <f t="shared" si="157"/>
        <v>0</v>
      </c>
      <c r="T966">
        <f t="shared" si="159"/>
        <v>0</v>
      </c>
      <c r="U966">
        <f t="shared" si="158"/>
        <v>0</v>
      </c>
    </row>
    <row r="967" spans="1:21" x14ac:dyDescent="0.25">
      <c r="A967" s="2">
        <v>966</v>
      </c>
      <c r="B967" s="39">
        <v>1056</v>
      </c>
      <c r="C967" s="41" t="s">
        <v>183</v>
      </c>
      <c r="D967">
        <v>24.88</v>
      </c>
      <c r="E967" s="80">
        <v>57318.46</v>
      </c>
      <c r="F967">
        <v>618.29</v>
      </c>
      <c r="G967">
        <v>138.75</v>
      </c>
      <c r="H967">
        <v>3489.98</v>
      </c>
      <c r="I967" s="80">
        <v>29906.6</v>
      </c>
      <c r="J967">
        <v>43.64</v>
      </c>
      <c r="K967">
        <v>536.52</v>
      </c>
      <c r="L967">
        <f t="shared" si="150"/>
        <v>0</v>
      </c>
      <c r="M967">
        <f t="shared" si="151"/>
        <v>0</v>
      </c>
      <c r="N967">
        <f t="shared" si="152"/>
        <v>0</v>
      </c>
      <c r="O967">
        <f t="shared" si="153"/>
        <v>0</v>
      </c>
      <c r="P967">
        <f t="shared" si="154"/>
        <v>0</v>
      </c>
      <c r="Q967">
        <f t="shared" si="155"/>
        <v>0</v>
      </c>
      <c r="R967">
        <f t="shared" si="156"/>
        <v>0</v>
      </c>
      <c r="S967">
        <f t="shared" si="157"/>
        <v>0</v>
      </c>
      <c r="T967">
        <f t="shared" si="159"/>
        <v>0</v>
      </c>
      <c r="U967">
        <f t="shared" si="158"/>
        <v>0</v>
      </c>
    </row>
    <row r="968" spans="1:21" x14ac:dyDescent="0.25">
      <c r="A968" s="2">
        <v>967</v>
      </c>
      <c r="B968" s="39">
        <v>1056</v>
      </c>
      <c r="C968" s="41" t="s">
        <v>186</v>
      </c>
      <c r="D968">
        <v>33.4</v>
      </c>
      <c r="E968" s="80">
        <v>75154.98</v>
      </c>
      <c r="F968">
        <v>1956.45</v>
      </c>
      <c r="G968">
        <v>138.75</v>
      </c>
      <c r="H968">
        <v>13987.9</v>
      </c>
      <c r="I968" s="80">
        <v>35172.31</v>
      </c>
      <c r="J968">
        <v>57.35</v>
      </c>
      <c r="K968">
        <v>1194.56</v>
      </c>
      <c r="L968">
        <f t="shared" si="150"/>
        <v>0</v>
      </c>
      <c r="M968">
        <f t="shared" si="151"/>
        <v>0</v>
      </c>
      <c r="N968">
        <f t="shared" si="152"/>
        <v>0</v>
      </c>
      <c r="O968">
        <f t="shared" si="153"/>
        <v>0</v>
      </c>
      <c r="P968">
        <f t="shared" si="154"/>
        <v>0</v>
      </c>
      <c r="Q968">
        <f t="shared" si="155"/>
        <v>0</v>
      </c>
      <c r="R968">
        <f t="shared" si="156"/>
        <v>0</v>
      </c>
      <c r="S968">
        <f t="shared" si="157"/>
        <v>0</v>
      </c>
      <c r="T968">
        <f t="shared" si="159"/>
        <v>0</v>
      </c>
      <c r="U968">
        <f t="shared" si="158"/>
        <v>0</v>
      </c>
    </row>
    <row r="969" spans="1:21" x14ac:dyDescent="0.25">
      <c r="A969" s="2">
        <v>968</v>
      </c>
      <c r="B969" s="39">
        <v>1056</v>
      </c>
      <c r="C969" s="41" t="s">
        <v>188</v>
      </c>
      <c r="D969">
        <v>22.84</v>
      </c>
      <c r="E969" s="80">
        <v>52731.49</v>
      </c>
      <c r="F969">
        <v>132.28</v>
      </c>
      <c r="G969">
        <v>87.08</v>
      </c>
      <c r="H969">
        <v>279.25</v>
      </c>
      <c r="I969" s="80">
        <v>13872.42</v>
      </c>
      <c r="J969">
        <v>35.79</v>
      </c>
      <c r="K969">
        <v>302.33</v>
      </c>
      <c r="L969">
        <f t="shared" si="150"/>
        <v>0</v>
      </c>
      <c r="M969">
        <f t="shared" si="151"/>
        <v>0</v>
      </c>
      <c r="N969">
        <f t="shared" si="152"/>
        <v>0</v>
      </c>
      <c r="O969">
        <f t="shared" si="153"/>
        <v>0</v>
      </c>
      <c r="P969">
        <f t="shared" si="154"/>
        <v>0</v>
      </c>
      <c r="Q969">
        <f t="shared" si="155"/>
        <v>0</v>
      </c>
      <c r="R969">
        <f t="shared" si="156"/>
        <v>0</v>
      </c>
      <c r="S969">
        <f t="shared" si="157"/>
        <v>0</v>
      </c>
      <c r="T969">
        <f t="shared" si="159"/>
        <v>0</v>
      </c>
      <c r="U969">
        <f t="shared" si="158"/>
        <v>0</v>
      </c>
    </row>
    <row r="970" spans="1:21" x14ac:dyDescent="0.25">
      <c r="A970" s="2">
        <v>969</v>
      </c>
      <c r="B970" s="39">
        <v>1056</v>
      </c>
      <c r="C970" s="41" t="s">
        <v>182</v>
      </c>
      <c r="D970" t="s">
        <v>583</v>
      </c>
      <c r="E970">
        <v>1477.46</v>
      </c>
      <c r="F970">
        <v>0.24</v>
      </c>
      <c r="G970" s="80">
        <v>15.31</v>
      </c>
      <c r="H970" s="80">
        <v>0.12</v>
      </c>
      <c r="I970">
        <v>102.7</v>
      </c>
      <c r="J970">
        <v>4.63</v>
      </c>
      <c r="K970">
        <v>0.6</v>
      </c>
      <c r="L970">
        <f t="shared" si="150"/>
        <v>0</v>
      </c>
      <c r="M970">
        <f t="shared" si="151"/>
        <v>0</v>
      </c>
      <c r="N970">
        <f t="shared" si="152"/>
        <v>0</v>
      </c>
      <c r="O970">
        <f t="shared" si="153"/>
        <v>0</v>
      </c>
      <c r="P970">
        <f t="shared" si="154"/>
        <v>0</v>
      </c>
      <c r="Q970">
        <f t="shared" si="155"/>
        <v>0</v>
      </c>
      <c r="R970">
        <f t="shared" si="156"/>
        <v>0</v>
      </c>
      <c r="S970">
        <f t="shared" si="157"/>
        <v>0</v>
      </c>
      <c r="T970">
        <f t="shared" si="159"/>
        <v>0</v>
      </c>
      <c r="U970">
        <f t="shared" si="158"/>
        <v>0</v>
      </c>
    </row>
    <row r="971" spans="1:21" x14ac:dyDescent="0.25">
      <c r="A971" s="2">
        <v>970</v>
      </c>
      <c r="B971" s="39">
        <v>1056</v>
      </c>
      <c r="C971" s="46" t="s">
        <v>184</v>
      </c>
      <c r="D971">
        <v>10.54</v>
      </c>
      <c r="E971">
        <v>8749.98</v>
      </c>
      <c r="F971">
        <v>155.65</v>
      </c>
      <c r="G971">
        <v>87.08</v>
      </c>
      <c r="H971">
        <v>2031.94</v>
      </c>
      <c r="I971" s="80">
        <v>23707.01</v>
      </c>
      <c r="J971">
        <v>8.2899999999999991</v>
      </c>
      <c r="K971">
        <v>155.05000000000001</v>
      </c>
      <c r="L971">
        <f t="shared" si="150"/>
        <v>0</v>
      </c>
      <c r="M971">
        <f t="shared" si="151"/>
        <v>0</v>
      </c>
      <c r="N971">
        <f t="shared" si="152"/>
        <v>0</v>
      </c>
      <c r="O971">
        <f t="shared" si="153"/>
        <v>0</v>
      </c>
      <c r="P971">
        <f t="shared" si="154"/>
        <v>0</v>
      </c>
      <c r="Q971">
        <f t="shared" si="155"/>
        <v>0</v>
      </c>
      <c r="R971">
        <f t="shared" si="156"/>
        <v>0</v>
      </c>
      <c r="S971">
        <f t="shared" si="157"/>
        <v>0</v>
      </c>
      <c r="T971">
        <f t="shared" si="159"/>
        <v>0</v>
      </c>
      <c r="U971">
        <f t="shared" si="158"/>
        <v>0</v>
      </c>
    </row>
    <row r="972" spans="1:21" x14ac:dyDescent="0.25">
      <c r="A972" s="2">
        <v>971</v>
      </c>
      <c r="B972" s="39">
        <v>1056</v>
      </c>
      <c r="C972" s="41" t="s">
        <v>187</v>
      </c>
      <c r="D972">
        <v>19.84</v>
      </c>
      <c r="E972">
        <v>15969.49</v>
      </c>
      <c r="F972">
        <v>791.96</v>
      </c>
      <c r="G972">
        <v>112.15</v>
      </c>
      <c r="H972">
        <v>11953.71</v>
      </c>
      <c r="I972" s="80">
        <v>23942.65</v>
      </c>
      <c r="J972">
        <v>38.369999999999997</v>
      </c>
      <c r="K972">
        <v>2065.02</v>
      </c>
      <c r="L972">
        <f t="shared" si="150"/>
        <v>0</v>
      </c>
      <c r="M972">
        <f t="shared" si="151"/>
        <v>0</v>
      </c>
      <c r="N972">
        <f t="shared" si="152"/>
        <v>0</v>
      </c>
      <c r="O972">
        <f t="shared" si="153"/>
        <v>0</v>
      </c>
      <c r="P972">
        <f t="shared" si="154"/>
        <v>0</v>
      </c>
      <c r="Q972">
        <f t="shared" si="155"/>
        <v>0</v>
      </c>
      <c r="R972">
        <f t="shared" si="156"/>
        <v>0</v>
      </c>
      <c r="S972">
        <f t="shared" si="157"/>
        <v>0</v>
      </c>
      <c r="T972">
        <f t="shared" si="159"/>
        <v>0</v>
      </c>
      <c r="U972">
        <f t="shared" si="158"/>
        <v>0</v>
      </c>
    </row>
    <row r="973" spans="1:21" x14ac:dyDescent="0.25">
      <c r="A973" s="2">
        <v>972</v>
      </c>
      <c r="B973" s="39">
        <v>1056</v>
      </c>
      <c r="C973" s="41" t="s">
        <v>189</v>
      </c>
      <c r="D973">
        <v>15.04</v>
      </c>
      <c r="E973">
        <v>19102.2</v>
      </c>
      <c r="F973">
        <v>124.89</v>
      </c>
      <c r="G973">
        <v>99.41</v>
      </c>
      <c r="H973">
        <v>3586.62</v>
      </c>
      <c r="I973" s="80">
        <v>22680.65</v>
      </c>
      <c r="J973">
        <v>38.369999999999997</v>
      </c>
      <c r="K973">
        <v>2931.23</v>
      </c>
      <c r="L973">
        <f t="shared" si="150"/>
        <v>0</v>
      </c>
      <c r="M973">
        <f t="shared" si="151"/>
        <v>0</v>
      </c>
      <c r="N973">
        <f t="shared" si="152"/>
        <v>0</v>
      </c>
      <c r="O973">
        <f t="shared" si="153"/>
        <v>0</v>
      </c>
      <c r="P973">
        <f t="shared" si="154"/>
        <v>0</v>
      </c>
      <c r="Q973">
        <f t="shared" si="155"/>
        <v>0</v>
      </c>
      <c r="R973">
        <f t="shared" si="156"/>
        <v>0</v>
      </c>
      <c r="S973">
        <f t="shared" si="157"/>
        <v>0</v>
      </c>
      <c r="T973">
        <f t="shared" si="159"/>
        <v>0</v>
      </c>
      <c r="U973">
        <f t="shared" si="158"/>
        <v>0</v>
      </c>
    </row>
    <row r="974" spans="1:21" x14ac:dyDescent="0.25">
      <c r="A974" s="2">
        <v>973</v>
      </c>
      <c r="B974" s="39">
        <v>1057</v>
      </c>
      <c r="C974" s="41" t="s">
        <v>181</v>
      </c>
      <c r="D974">
        <v>12.3</v>
      </c>
      <c r="E974" s="80">
        <v>31869.38</v>
      </c>
      <c r="F974">
        <v>0.55000000000000004</v>
      </c>
      <c r="G974">
        <v>69.400000000000006</v>
      </c>
      <c r="H974">
        <v>4.16</v>
      </c>
      <c r="I974">
        <v>13.55</v>
      </c>
      <c r="J974">
        <v>15.5</v>
      </c>
      <c r="K974">
        <v>6.38</v>
      </c>
      <c r="L974">
        <f t="shared" si="150"/>
        <v>0</v>
      </c>
      <c r="M974">
        <f t="shared" si="151"/>
        <v>0</v>
      </c>
      <c r="N974">
        <f t="shared" si="152"/>
        <v>0</v>
      </c>
      <c r="O974">
        <f t="shared" si="153"/>
        <v>0</v>
      </c>
      <c r="P974">
        <f t="shared" si="154"/>
        <v>0</v>
      </c>
      <c r="Q974">
        <f t="shared" si="155"/>
        <v>0</v>
      </c>
      <c r="R974">
        <f t="shared" si="156"/>
        <v>0</v>
      </c>
      <c r="S974">
        <f t="shared" si="157"/>
        <v>0</v>
      </c>
      <c r="T974">
        <f t="shared" si="159"/>
        <v>0</v>
      </c>
      <c r="U974">
        <f t="shared" si="158"/>
        <v>0</v>
      </c>
    </row>
    <row r="975" spans="1:21" x14ac:dyDescent="0.25">
      <c r="A975" s="2">
        <v>974</v>
      </c>
      <c r="B975" s="39">
        <v>1057</v>
      </c>
      <c r="C975" s="41" t="s">
        <v>183</v>
      </c>
      <c r="D975">
        <v>26.96</v>
      </c>
      <c r="E975" s="80">
        <v>89023.96</v>
      </c>
      <c r="F975">
        <v>1970.78</v>
      </c>
      <c r="G975">
        <v>211.03</v>
      </c>
      <c r="H975">
        <v>4013.29</v>
      </c>
      <c r="I975" s="80">
        <v>30955.599999999999</v>
      </c>
      <c r="J975">
        <v>65.91</v>
      </c>
      <c r="K975">
        <v>2317.98</v>
      </c>
      <c r="L975">
        <f t="shared" si="150"/>
        <v>0</v>
      </c>
      <c r="M975">
        <f t="shared" si="151"/>
        <v>0</v>
      </c>
      <c r="N975">
        <f t="shared" si="152"/>
        <v>0</v>
      </c>
      <c r="O975">
        <f t="shared" si="153"/>
        <v>0</v>
      </c>
      <c r="P975">
        <f t="shared" si="154"/>
        <v>0</v>
      </c>
      <c r="Q975">
        <f t="shared" si="155"/>
        <v>0</v>
      </c>
      <c r="R975">
        <f t="shared" si="156"/>
        <v>0</v>
      </c>
      <c r="S975">
        <f t="shared" si="157"/>
        <v>0</v>
      </c>
      <c r="T975">
        <f t="shared" si="159"/>
        <v>0</v>
      </c>
      <c r="U975">
        <f t="shared" si="158"/>
        <v>0</v>
      </c>
    </row>
    <row r="976" spans="1:21" x14ac:dyDescent="0.25">
      <c r="A976" s="2">
        <v>975</v>
      </c>
      <c r="B976" s="39">
        <v>1057</v>
      </c>
      <c r="C976" s="41" t="s">
        <v>182</v>
      </c>
      <c r="D976" t="s">
        <v>583</v>
      </c>
      <c r="E976">
        <v>105.69</v>
      </c>
      <c r="F976" s="80">
        <v>0</v>
      </c>
      <c r="G976" t="s">
        <v>583</v>
      </c>
      <c r="H976" t="s">
        <v>583</v>
      </c>
      <c r="I976">
        <v>0.52</v>
      </c>
      <c r="J976" t="s">
        <v>583</v>
      </c>
      <c r="K976">
        <v>0.12</v>
      </c>
      <c r="L976">
        <f t="shared" si="150"/>
        <v>0</v>
      </c>
      <c r="M976">
        <f t="shared" si="151"/>
        <v>0</v>
      </c>
      <c r="N976">
        <f t="shared" si="152"/>
        <v>0</v>
      </c>
      <c r="O976">
        <f t="shared" si="153"/>
        <v>0</v>
      </c>
      <c r="P976">
        <f t="shared" si="154"/>
        <v>0</v>
      </c>
      <c r="Q976">
        <f t="shared" si="155"/>
        <v>0</v>
      </c>
      <c r="R976">
        <f t="shared" si="156"/>
        <v>0</v>
      </c>
      <c r="S976">
        <f t="shared" si="157"/>
        <v>0</v>
      </c>
      <c r="T976">
        <f t="shared" si="159"/>
        <v>0</v>
      </c>
      <c r="U976">
        <f t="shared" si="158"/>
        <v>0</v>
      </c>
    </row>
    <row r="977" spans="1:21" x14ac:dyDescent="0.25">
      <c r="A977" s="2">
        <v>976</v>
      </c>
      <c r="B977" s="39">
        <v>1057</v>
      </c>
      <c r="C977" s="46" t="s">
        <v>184</v>
      </c>
      <c r="D977">
        <v>6.4</v>
      </c>
      <c r="E977">
        <v>2045.37</v>
      </c>
      <c r="F977">
        <v>39.71</v>
      </c>
      <c r="G977" s="80">
        <v>15.31</v>
      </c>
      <c r="H977">
        <v>2214.61</v>
      </c>
      <c r="I977" s="80">
        <v>8000.5</v>
      </c>
      <c r="J977">
        <v>14.41</v>
      </c>
      <c r="K977">
        <v>364.09</v>
      </c>
      <c r="L977">
        <f t="shared" si="150"/>
        <v>0</v>
      </c>
      <c r="M977">
        <f t="shared" si="151"/>
        <v>0</v>
      </c>
      <c r="N977">
        <f t="shared" si="152"/>
        <v>0</v>
      </c>
      <c r="O977">
        <f t="shared" si="153"/>
        <v>0</v>
      </c>
      <c r="P977">
        <f t="shared" si="154"/>
        <v>0</v>
      </c>
      <c r="Q977">
        <f t="shared" si="155"/>
        <v>0</v>
      </c>
      <c r="R977">
        <f t="shared" si="156"/>
        <v>0</v>
      </c>
      <c r="S977">
        <f t="shared" si="157"/>
        <v>0</v>
      </c>
      <c r="T977">
        <f t="shared" si="159"/>
        <v>0</v>
      </c>
      <c r="U977">
        <f t="shared" si="158"/>
        <v>0</v>
      </c>
    </row>
    <row r="978" spans="1:21" x14ac:dyDescent="0.25">
      <c r="A978" s="2">
        <v>977</v>
      </c>
      <c r="B978" s="39">
        <v>1057</v>
      </c>
      <c r="C978" s="41" t="s">
        <v>187</v>
      </c>
      <c r="D978">
        <v>16.93</v>
      </c>
      <c r="E978">
        <v>2629.26</v>
      </c>
      <c r="F978">
        <v>59.6</v>
      </c>
      <c r="G978">
        <v>32.64</v>
      </c>
      <c r="H978">
        <v>5418.28</v>
      </c>
      <c r="I978" s="80">
        <v>10872.39</v>
      </c>
      <c r="J978">
        <v>21.11</v>
      </c>
      <c r="K978">
        <v>1575.57</v>
      </c>
      <c r="L978">
        <f t="shared" si="150"/>
        <v>0</v>
      </c>
      <c r="M978">
        <f t="shared" si="151"/>
        <v>0</v>
      </c>
      <c r="N978">
        <f t="shared" si="152"/>
        <v>0</v>
      </c>
      <c r="O978">
        <f t="shared" si="153"/>
        <v>0</v>
      </c>
      <c r="P978">
        <f t="shared" si="154"/>
        <v>0</v>
      </c>
      <c r="Q978">
        <f t="shared" si="155"/>
        <v>0</v>
      </c>
      <c r="R978">
        <f t="shared" si="156"/>
        <v>0</v>
      </c>
      <c r="S978">
        <f t="shared" si="157"/>
        <v>0</v>
      </c>
      <c r="T978">
        <f t="shared" si="159"/>
        <v>0</v>
      </c>
      <c r="U978">
        <f t="shared" si="158"/>
        <v>0</v>
      </c>
    </row>
    <row r="979" spans="1:21" x14ac:dyDescent="0.25">
      <c r="A979" s="2">
        <v>978</v>
      </c>
      <c r="B979" s="39">
        <v>1057</v>
      </c>
      <c r="C979" s="41" t="s">
        <v>189</v>
      </c>
      <c r="D979" t="s">
        <v>583</v>
      </c>
      <c r="E979">
        <v>1661.07</v>
      </c>
      <c r="F979">
        <v>5.01</v>
      </c>
      <c r="G979">
        <v>47.14</v>
      </c>
      <c r="H979">
        <v>617.13</v>
      </c>
      <c r="I979">
        <v>1999.41</v>
      </c>
      <c r="J979">
        <v>9.25</v>
      </c>
      <c r="K979">
        <v>569.20000000000005</v>
      </c>
      <c r="L979">
        <f t="shared" si="150"/>
        <v>0</v>
      </c>
      <c r="M979">
        <f t="shared" si="151"/>
        <v>0</v>
      </c>
      <c r="N979">
        <f t="shared" si="152"/>
        <v>0</v>
      </c>
      <c r="O979">
        <f t="shared" si="153"/>
        <v>0</v>
      </c>
      <c r="P979">
        <f t="shared" si="154"/>
        <v>0</v>
      </c>
      <c r="Q979">
        <f t="shared" si="155"/>
        <v>0</v>
      </c>
      <c r="R979">
        <f t="shared" si="156"/>
        <v>0</v>
      </c>
      <c r="S979">
        <f t="shared" si="157"/>
        <v>0</v>
      </c>
      <c r="T979">
        <f t="shared" si="159"/>
        <v>0</v>
      </c>
      <c r="U979">
        <f t="shared" si="158"/>
        <v>0</v>
      </c>
    </row>
    <row r="980" spans="1:21" x14ac:dyDescent="0.25">
      <c r="A980" s="2">
        <v>979</v>
      </c>
      <c r="B980" s="39">
        <v>1058</v>
      </c>
      <c r="C980" s="41" t="s">
        <v>162</v>
      </c>
      <c r="D980">
        <v>4.13</v>
      </c>
      <c r="E980">
        <v>7591.52</v>
      </c>
      <c r="F980">
        <v>0.52</v>
      </c>
      <c r="G980">
        <v>63.74</v>
      </c>
      <c r="H980" s="80">
        <v>0.02</v>
      </c>
      <c r="I980">
        <v>1.1499999999999999</v>
      </c>
      <c r="J980">
        <v>5.5</v>
      </c>
      <c r="K980">
        <v>1.2</v>
      </c>
      <c r="L980">
        <f t="shared" si="150"/>
        <v>0</v>
      </c>
      <c r="M980">
        <f t="shared" si="151"/>
        <v>0</v>
      </c>
      <c r="N980">
        <f t="shared" si="152"/>
        <v>0</v>
      </c>
      <c r="O980">
        <f t="shared" si="153"/>
        <v>0</v>
      </c>
      <c r="P980">
        <f t="shared" si="154"/>
        <v>0</v>
      </c>
      <c r="Q980">
        <f t="shared" si="155"/>
        <v>0</v>
      </c>
      <c r="R980">
        <f t="shared" si="156"/>
        <v>0</v>
      </c>
      <c r="S980">
        <f t="shared" si="157"/>
        <v>0</v>
      </c>
      <c r="T980">
        <f t="shared" si="159"/>
        <v>0</v>
      </c>
      <c r="U980">
        <f t="shared" si="158"/>
        <v>0</v>
      </c>
    </row>
    <row r="981" spans="1:21" x14ac:dyDescent="0.25">
      <c r="A981" s="2">
        <v>980</v>
      </c>
      <c r="B981" s="39">
        <v>1058</v>
      </c>
      <c r="C981" s="41" t="s">
        <v>170</v>
      </c>
      <c r="D981">
        <v>61.56</v>
      </c>
      <c r="E981" s="80">
        <v>28733.07</v>
      </c>
      <c r="F981">
        <v>75.47</v>
      </c>
      <c r="G981">
        <v>181.19</v>
      </c>
      <c r="H981">
        <v>4372.58</v>
      </c>
      <c r="I981" s="80">
        <v>29788.97</v>
      </c>
      <c r="J981">
        <v>57.35</v>
      </c>
      <c r="K981">
        <v>5687.87</v>
      </c>
      <c r="L981">
        <f t="shared" si="150"/>
        <v>0</v>
      </c>
      <c r="M981">
        <f t="shared" si="151"/>
        <v>0</v>
      </c>
      <c r="N981">
        <f t="shared" si="152"/>
        <v>0</v>
      </c>
      <c r="O981">
        <f t="shared" si="153"/>
        <v>0</v>
      </c>
      <c r="P981">
        <f t="shared" si="154"/>
        <v>0</v>
      </c>
      <c r="Q981">
        <f t="shared" si="155"/>
        <v>0</v>
      </c>
      <c r="R981">
        <f t="shared" si="156"/>
        <v>0</v>
      </c>
      <c r="S981">
        <f t="shared" si="157"/>
        <v>0</v>
      </c>
      <c r="T981">
        <f t="shared" si="159"/>
        <v>0</v>
      </c>
      <c r="U981">
        <f t="shared" si="158"/>
        <v>0</v>
      </c>
    </row>
    <row r="982" spans="1:21" ht="15.75" thickBot="1" x14ac:dyDescent="0.3">
      <c r="A982" s="2">
        <v>981</v>
      </c>
      <c r="B982" s="39">
        <v>1058</v>
      </c>
      <c r="C982" s="41" t="s">
        <v>178</v>
      </c>
      <c r="D982">
        <v>180.79</v>
      </c>
      <c r="E982" s="80">
        <v>40449.74</v>
      </c>
      <c r="F982">
        <v>316.79000000000002</v>
      </c>
      <c r="G982">
        <v>265.89999999999998</v>
      </c>
      <c r="H982" s="80">
        <v>29305.31</v>
      </c>
      <c r="I982" s="80">
        <v>35110.74</v>
      </c>
      <c r="J982">
        <v>92.9</v>
      </c>
      <c r="K982" s="80">
        <v>12038.79</v>
      </c>
      <c r="L982">
        <f t="shared" si="150"/>
        <v>0</v>
      </c>
      <c r="M982">
        <f t="shared" si="151"/>
        <v>0</v>
      </c>
      <c r="N982">
        <f t="shared" si="152"/>
        <v>0</v>
      </c>
      <c r="O982">
        <f t="shared" si="153"/>
        <v>0</v>
      </c>
      <c r="P982">
        <f t="shared" si="154"/>
        <v>0</v>
      </c>
      <c r="Q982">
        <f t="shared" si="155"/>
        <v>0</v>
      </c>
      <c r="R982">
        <f t="shared" si="156"/>
        <v>0</v>
      </c>
      <c r="S982">
        <f t="shared" si="157"/>
        <v>0</v>
      </c>
      <c r="T982">
        <f t="shared" si="159"/>
        <v>0</v>
      </c>
      <c r="U982">
        <f t="shared" si="158"/>
        <v>0</v>
      </c>
    </row>
    <row r="983" spans="1:21" x14ac:dyDescent="0.25">
      <c r="A983" s="2">
        <v>982</v>
      </c>
      <c r="B983" s="39">
        <v>1058</v>
      </c>
      <c r="C983" s="40" t="s">
        <v>163</v>
      </c>
      <c r="D983">
        <v>76.84</v>
      </c>
      <c r="E983" s="80">
        <v>36859.74</v>
      </c>
      <c r="F983">
        <v>70.28</v>
      </c>
      <c r="G983">
        <v>181.19</v>
      </c>
      <c r="H983">
        <v>3582.39</v>
      </c>
      <c r="I983" s="80">
        <v>30882.03</v>
      </c>
      <c r="J983">
        <v>71.75</v>
      </c>
      <c r="K983" s="80">
        <v>14699.6</v>
      </c>
      <c r="L983">
        <f t="shared" si="150"/>
        <v>0</v>
      </c>
      <c r="M983">
        <f t="shared" si="151"/>
        <v>0</v>
      </c>
      <c r="N983">
        <f t="shared" si="152"/>
        <v>0</v>
      </c>
      <c r="O983">
        <f t="shared" si="153"/>
        <v>0</v>
      </c>
      <c r="P983">
        <f t="shared" si="154"/>
        <v>0</v>
      </c>
      <c r="Q983">
        <f t="shared" si="155"/>
        <v>0</v>
      </c>
      <c r="R983">
        <f t="shared" si="156"/>
        <v>0</v>
      </c>
      <c r="S983">
        <f t="shared" si="157"/>
        <v>0</v>
      </c>
      <c r="T983">
        <f t="shared" si="159"/>
        <v>0</v>
      </c>
      <c r="U983">
        <f t="shared" si="158"/>
        <v>0</v>
      </c>
    </row>
    <row r="984" spans="1:21" x14ac:dyDescent="0.25">
      <c r="A984" s="2">
        <v>983</v>
      </c>
      <c r="B984" s="39">
        <v>1058</v>
      </c>
      <c r="C984" s="41" t="s">
        <v>181</v>
      </c>
      <c r="D984">
        <v>29.08</v>
      </c>
      <c r="E984" s="80">
        <v>148804.22</v>
      </c>
      <c r="F984">
        <v>1.33</v>
      </c>
      <c r="G984">
        <v>138.75</v>
      </c>
      <c r="H984">
        <v>9.44</v>
      </c>
      <c r="I984">
        <v>212.11</v>
      </c>
      <c r="J984">
        <v>35.79</v>
      </c>
      <c r="K984">
        <v>30.27</v>
      </c>
      <c r="L984">
        <f t="shared" si="150"/>
        <v>0</v>
      </c>
      <c r="M984">
        <f t="shared" si="151"/>
        <v>0</v>
      </c>
      <c r="N984">
        <f t="shared" si="152"/>
        <v>0</v>
      </c>
      <c r="O984">
        <f t="shared" si="153"/>
        <v>0</v>
      </c>
      <c r="P984">
        <f t="shared" si="154"/>
        <v>0</v>
      </c>
      <c r="Q984">
        <f t="shared" si="155"/>
        <v>0</v>
      </c>
      <c r="R984">
        <f t="shared" si="156"/>
        <v>0</v>
      </c>
      <c r="S984">
        <f t="shared" si="157"/>
        <v>0</v>
      </c>
      <c r="T984">
        <f t="shared" si="159"/>
        <v>0</v>
      </c>
      <c r="U984">
        <f t="shared" si="158"/>
        <v>0</v>
      </c>
    </row>
    <row r="985" spans="1:21" x14ac:dyDescent="0.25">
      <c r="A985" s="2">
        <v>984</v>
      </c>
      <c r="B985" s="39">
        <v>1058</v>
      </c>
      <c r="C985" s="41" t="s">
        <v>183</v>
      </c>
      <c r="D985">
        <v>49.41</v>
      </c>
      <c r="E985" s="80">
        <v>158537.76</v>
      </c>
      <c r="F985">
        <v>364.06</v>
      </c>
      <c r="G985">
        <v>241.98</v>
      </c>
      <c r="H985">
        <v>12123.32</v>
      </c>
      <c r="I985" s="80">
        <v>37742.21</v>
      </c>
      <c r="J985">
        <v>83.7</v>
      </c>
      <c r="K985">
        <v>5674.1</v>
      </c>
      <c r="L985">
        <f t="shared" si="150"/>
        <v>0</v>
      </c>
      <c r="M985">
        <f t="shared" si="151"/>
        <v>0</v>
      </c>
      <c r="N985">
        <f t="shared" si="152"/>
        <v>0</v>
      </c>
      <c r="O985">
        <f t="shared" si="153"/>
        <v>0</v>
      </c>
      <c r="P985">
        <f t="shared" si="154"/>
        <v>0</v>
      </c>
      <c r="Q985">
        <f t="shared" si="155"/>
        <v>0</v>
      </c>
      <c r="R985">
        <f t="shared" si="156"/>
        <v>0</v>
      </c>
      <c r="S985">
        <f t="shared" si="157"/>
        <v>0</v>
      </c>
      <c r="T985">
        <f t="shared" si="159"/>
        <v>0</v>
      </c>
      <c r="U985">
        <f t="shared" si="158"/>
        <v>0</v>
      </c>
    </row>
    <row r="986" spans="1:21" x14ac:dyDescent="0.25">
      <c r="A986" s="2">
        <v>985</v>
      </c>
      <c r="B986" s="39">
        <v>1058</v>
      </c>
      <c r="C986" s="41" t="s">
        <v>186</v>
      </c>
      <c r="D986">
        <v>65.319999999999993</v>
      </c>
      <c r="E986" s="80">
        <v>216362.9</v>
      </c>
      <c r="F986">
        <v>2374.4499999999998</v>
      </c>
      <c r="G986">
        <v>375.81</v>
      </c>
      <c r="H986" s="80">
        <v>54404.31</v>
      </c>
      <c r="I986" s="80">
        <v>38402.76</v>
      </c>
      <c r="J986">
        <v>124.84</v>
      </c>
      <c r="K986" s="80">
        <v>15813.8</v>
      </c>
      <c r="L986">
        <f t="shared" si="150"/>
        <v>0</v>
      </c>
      <c r="M986">
        <f t="shared" si="151"/>
        <v>0</v>
      </c>
      <c r="N986">
        <f t="shared" si="152"/>
        <v>0</v>
      </c>
      <c r="O986">
        <f t="shared" si="153"/>
        <v>0</v>
      </c>
      <c r="P986">
        <f t="shared" si="154"/>
        <v>0</v>
      </c>
      <c r="Q986">
        <f t="shared" si="155"/>
        <v>0</v>
      </c>
      <c r="R986">
        <f t="shared" si="156"/>
        <v>0</v>
      </c>
      <c r="S986">
        <f t="shared" si="157"/>
        <v>0</v>
      </c>
      <c r="T986">
        <f t="shared" si="159"/>
        <v>0</v>
      </c>
      <c r="U986">
        <f t="shared" si="158"/>
        <v>0</v>
      </c>
    </row>
    <row r="987" spans="1:21" x14ac:dyDescent="0.25">
      <c r="A987" s="2">
        <v>986</v>
      </c>
      <c r="B987" s="39">
        <v>1058</v>
      </c>
      <c r="C987" s="41" t="s">
        <v>188</v>
      </c>
      <c r="D987">
        <v>47.04</v>
      </c>
      <c r="E987" s="80">
        <v>134212.20000000001</v>
      </c>
      <c r="F987">
        <v>79.05</v>
      </c>
      <c r="G987">
        <v>257.86</v>
      </c>
      <c r="H987">
        <v>4323.2299999999996</v>
      </c>
      <c r="I987" s="80">
        <v>32110.97</v>
      </c>
      <c r="J987">
        <v>86.75</v>
      </c>
      <c r="K987" s="80">
        <v>9852.91</v>
      </c>
      <c r="L987">
        <f t="shared" si="150"/>
        <v>0</v>
      </c>
      <c r="M987">
        <f t="shared" si="151"/>
        <v>0</v>
      </c>
      <c r="N987">
        <f t="shared" si="152"/>
        <v>0</v>
      </c>
      <c r="O987">
        <f t="shared" si="153"/>
        <v>0</v>
      </c>
      <c r="P987">
        <f t="shared" si="154"/>
        <v>0</v>
      </c>
      <c r="Q987">
        <f t="shared" si="155"/>
        <v>0</v>
      </c>
      <c r="R987">
        <f t="shared" si="156"/>
        <v>0</v>
      </c>
      <c r="S987">
        <f t="shared" si="157"/>
        <v>0</v>
      </c>
      <c r="T987">
        <f t="shared" si="159"/>
        <v>0</v>
      </c>
      <c r="U987">
        <f t="shared" si="158"/>
        <v>0</v>
      </c>
    </row>
    <row r="988" spans="1:21" x14ac:dyDescent="0.25">
      <c r="A988" s="2">
        <v>987</v>
      </c>
      <c r="B988" s="39">
        <v>1058</v>
      </c>
      <c r="C988" s="41" t="s">
        <v>182</v>
      </c>
      <c r="D988" t="s">
        <v>583</v>
      </c>
      <c r="E988">
        <v>3554.7</v>
      </c>
      <c r="F988" t="s">
        <v>583</v>
      </c>
      <c r="G988" t="s">
        <v>583</v>
      </c>
      <c r="H988" t="s">
        <v>583</v>
      </c>
      <c r="I988">
        <v>5.27</v>
      </c>
      <c r="J988">
        <v>8.2899999999999991</v>
      </c>
      <c r="K988">
        <v>0.74</v>
      </c>
      <c r="L988">
        <f t="shared" si="150"/>
        <v>0</v>
      </c>
      <c r="M988">
        <f t="shared" si="151"/>
        <v>0</v>
      </c>
      <c r="N988">
        <f t="shared" si="152"/>
        <v>0</v>
      </c>
      <c r="O988">
        <f t="shared" si="153"/>
        <v>0</v>
      </c>
      <c r="P988">
        <f t="shared" si="154"/>
        <v>0</v>
      </c>
      <c r="Q988">
        <f t="shared" si="155"/>
        <v>0</v>
      </c>
      <c r="R988">
        <f t="shared" si="156"/>
        <v>0</v>
      </c>
      <c r="S988">
        <f t="shared" si="157"/>
        <v>0</v>
      </c>
      <c r="T988">
        <f t="shared" si="159"/>
        <v>0</v>
      </c>
      <c r="U988">
        <f t="shared" si="158"/>
        <v>0</v>
      </c>
    </row>
    <row r="989" spans="1:21" x14ac:dyDescent="0.25">
      <c r="A989" s="2">
        <v>988</v>
      </c>
      <c r="B989" s="39">
        <v>1058</v>
      </c>
      <c r="C989" s="46" t="s">
        <v>184</v>
      </c>
      <c r="D989">
        <v>22.84</v>
      </c>
      <c r="E989" s="80">
        <v>35202.69</v>
      </c>
      <c r="F989">
        <v>28.47</v>
      </c>
      <c r="G989">
        <v>63.74</v>
      </c>
      <c r="H989">
        <v>3409.37</v>
      </c>
      <c r="I989" s="80">
        <v>28779.66</v>
      </c>
      <c r="J989">
        <v>53.16</v>
      </c>
      <c r="K989">
        <v>3555.06</v>
      </c>
      <c r="L989">
        <f t="shared" si="150"/>
        <v>0</v>
      </c>
      <c r="M989">
        <f t="shared" si="151"/>
        <v>0</v>
      </c>
      <c r="N989">
        <f t="shared" si="152"/>
        <v>0</v>
      </c>
      <c r="O989">
        <f t="shared" si="153"/>
        <v>0</v>
      </c>
      <c r="P989">
        <f t="shared" si="154"/>
        <v>0</v>
      </c>
      <c r="Q989">
        <f t="shared" si="155"/>
        <v>0</v>
      </c>
      <c r="R989">
        <f t="shared" si="156"/>
        <v>0</v>
      </c>
      <c r="S989">
        <f t="shared" si="157"/>
        <v>0</v>
      </c>
      <c r="T989">
        <f t="shared" si="159"/>
        <v>0</v>
      </c>
      <c r="U989">
        <f t="shared" si="158"/>
        <v>0</v>
      </c>
    </row>
    <row r="990" spans="1:21" x14ac:dyDescent="0.25">
      <c r="A990" s="2">
        <v>989</v>
      </c>
      <c r="B990" s="39">
        <v>1058</v>
      </c>
      <c r="C990" s="41" t="s">
        <v>187</v>
      </c>
      <c r="D990">
        <v>44.7</v>
      </c>
      <c r="E990" s="80">
        <v>42536.04</v>
      </c>
      <c r="F990">
        <v>59.74</v>
      </c>
      <c r="G990">
        <v>138.75</v>
      </c>
      <c r="H990">
        <v>12211.59</v>
      </c>
      <c r="I990" s="80">
        <v>31981.71</v>
      </c>
      <c r="J990">
        <v>77.680000000000007</v>
      </c>
      <c r="K990" s="80">
        <v>9859.9699999999993</v>
      </c>
      <c r="L990">
        <f t="shared" si="150"/>
        <v>0</v>
      </c>
      <c r="M990">
        <f t="shared" si="151"/>
        <v>0</v>
      </c>
      <c r="N990">
        <f t="shared" si="152"/>
        <v>0</v>
      </c>
      <c r="O990">
        <f t="shared" si="153"/>
        <v>0</v>
      </c>
      <c r="P990">
        <f t="shared" si="154"/>
        <v>0</v>
      </c>
      <c r="Q990">
        <f t="shared" si="155"/>
        <v>0</v>
      </c>
      <c r="R990">
        <f t="shared" si="156"/>
        <v>0</v>
      </c>
      <c r="S990">
        <f t="shared" si="157"/>
        <v>0</v>
      </c>
      <c r="T990">
        <f t="shared" si="159"/>
        <v>0</v>
      </c>
      <c r="U990">
        <f t="shared" si="158"/>
        <v>0</v>
      </c>
    </row>
    <row r="991" spans="1:21" x14ac:dyDescent="0.25">
      <c r="A991" s="2">
        <v>990</v>
      </c>
      <c r="B991" s="39">
        <v>1058</v>
      </c>
      <c r="C991" s="41" t="s">
        <v>189</v>
      </c>
      <c r="D991">
        <v>21.83</v>
      </c>
      <c r="E991" s="80">
        <v>26211.48</v>
      </c>
      <c r="F991">
        <v>5.24</v>
      </c>
      <c r="G991">
        <v>75.180000000000007</v>
      </c>
      <c r="H991">
        <v>329.18</v>
      </c>
      <c r="I991" s="80">
        <v>19741.169999999998</v>
      </c>
      <c r="J991">
        <v>44.97</v>
      </c>
      <c r="K991">
        <v>3443.75</v>
      </c>
      <c r="L991">
        <f t="shared" si="150"/>
        <v>0</v>
      </c>
      <c r="M991">
        <f t="shared" si="151"/>
        <v>0</v>
      </c>
      <c r="N991">
        <f t="shared" si="152"/>
        <v>0</v>
      </c>
      <c r="O991">
        <f t="shared" si="153"/>
        <v>0</v>
      </c>
      <c r="P991">
        <f t="shared" si="154"/>
        <v>0</v>
      </c>
      <c r="Q991">
        <f t="shared" si="155"/>
        <v>0</v>
      </c>
      <c r="R991">
        <f t="shared" si="156"/>
        <v>0</v>
      </c>
      <c r="S991">
        <f t="shared" si="157"/>
        <v>0</v>
      </c>
      <c r="T991">
        <f t="shared" si="159"/>
        <v>0</v>
      </c>
      <c r="U991">
        <f t="shared" si="158"/>
        <v>0</v>
      </c>
    </row>
    <row r="992" spans="1:21" x14ac:dyDescent="0.25">
      <c r="A992" s="2">
        <v>991</v>
      </c>
      <c r="B992" s="39">
        <v>2030</v>
      </c>
      <c r="C992" s="27" t="s">
        <v>162</v>
      </c>
      <c r="D992">
        <v>18.86</v>
      </c>
      <c r="E992" s="80">
        <v>105896.47</v>
      </c>
      <c r="F992">
        <v>0.9</v>
      </c>
      <c r="G992">
        <v>99.41</v>
      </c>
      <c r="H992">
        <v>2.65</v>
      </c>
      <c r="I992">
        <v>6.48</v>
      </c>
      <c r="J992">
        <v>35.79</v>
      </c>
      <c r="K992">
        <v>9.43</v>
      </c>
      <c r="L992">
        <f t="shared" si="150"/>
        <v>0</v>
      </c>
      <c r="M992">
        <f t="shared" si="151"/>
        <v>0</v>
      </c>
      <c r="N992">
        <f t="shared" si="152"/>
        <v>0</v>
      </c>
      <c r="O992">
        <f t="shared" si="153"/>
        <v>0</v>
      </c>
      <c r="P992">
        <f t="shared" si="154"/>
        <v>0</v>
      </c>
      <c r="Q992">
        <f t="shared" si="155"/>
        <v>0</v>
      </c>
      <c r="R992">
        <f t="shared" si="156"/>
        <v>0</v>
      </c>
      <c r="S992">
        <f t="shared" si="157"/>
        <v>0</v>
      </c>
      <c r="T992">
        <f t="shared" si="159"/>
        <v>0</v>
      </c>
      <c r="U992">
        <f t="shared" si="158"/>
        <v>0</v>
      </c>
    </row>
    <row r="993" spans="1:21" x14ac:dyDescent="0.25">
      <c r="A993" s="2">
        <v>992</v>
      </c>
      <c r="B993" s="39">
        <v>2030</v>
      </c>
      <c r="C993" s="27" t="s">
        <v>170</v>
      </c>
      <c r="D993">
        <v>24.88</v>
      </c>
      <c r="E993" s="80">
        <v>86888.02</v>
      </c>
      <c r="F993">
        <v>417.57</v>
      </c>
      <c r="G993">
        <v>152.57</v>
      </c>
      <c r="H993">
        <v>2909.15</v>
      </c>
      <c r="I993" s="80">
        <v>26257.32</v>
      </c>
      <c r="J993">
        <v>50.4</v>
      </c>
      <c r="K993">
        <v>1075.3</v>
      </c>
      <c r="L993">
        <f t="shared" si="150"/>
        <v>0</v>
      </c>
      <c r="M993">
        <f t="shared" si="151"/>
        <v>0</v>
      </c>
      <c r="N993">
        <f t="shared" si="152"/>
        <v>0</v>
      </c>
      <c r="O993">
        <f t="shared" si="153"/>
        <v>0</v>
      </c>
      <c r="P993">
        <f t="shared" si="154"/>
        <v>0</v>
      </c>
      <c r="Q993">
        <f t="shared" si="155"/>
        <v>0</v>
      </c>
      <c r="R993">
        <f t="shared" si="156"/>
        <v>0</v>
      </c>
      <c r="S993">
        <f t="shared" si="157"/>
        <v>0</v>
      </c>
      <c r="T993">
        <f t="shared" si="159"/>
        <v>0</v>
      </c>
      <c r="U993">
        <f t="shared" si="158"/>
        <v>0</v>
      </c>
    </row>
    <row r="994" spans="1:21" x14ac:dyDescent="0.25">
      <c r="A994" s="2">
        <v>993</v>
      </c>
      <c r="B994" s="39">
        <v>2030</v>
      </c>
      <c r="C994" s="27" t="s">
        <v>178</v>
      </c>
      <c r="D994">
        <v>66.58</v>
      </c>
      <c r="E994" s="80">
        <v>99634.87</v>
      </c>
      <c r="F994" s="80">
        <v>4055.68</v>
      </c>
      <c r="G994">
        <v>257.86</v>
      </c>
      <c r="H994" s="80">
        <v>18875.52</v>
      </c>
      <c r="I994" s="80">
        <v>32011.06</v>
      </c>
      <c r="J994">
        <v>71.75</v>
      </c>
      <c r="K994">
        <v>2711.12</v>
      </c>
      <c r="L994">
        <f t="shared" si="150"/>
        <v>0</v>
      </c>
      <c r="M994">
        <f t="shared" si="151"/>
        <v>0</v>
      </c>
      <c r="N994">
        <f t="shared" si="152"/>
        <v>0</v>
      </c>
      <c r="O994">
        <f t="shared" si="153"/>
        <v>0</v>
      </c>
      <c r="P994">
        <f t="shared" si="154"/>
        <v>0</v>
      </c>
      <c r="Q994">
        <f t="shared" si="155"/>
        <v>0</v>
      </c>
      <c r="R994">
        <f t="shared" si="156"/>
        <v>0</v>
      </c>
      <c r="S994">
        <f t="shared" si="157"/>
        <v>0</v>
      </c>
      <c r="T994">
        <f t="shared" si="159"/>
        <v>0</v>
      </c>
      <c r="U994">
        <f t="shared" si="158"/>
        <v>0</v>
      </c>
    </row>
    <row r="995" spans="1:21" x14ac:dyDescent="0.25">
      <c r="A995" s="2">
        <v>994</v>
      </c>
      <c r="B995" s="39">
        <v>2030</v>
      </c>
      <c r="C995" s="27" t="s">
        <v>163</v>
      </c>
      <c r="D995">
        <v>132.29</v>
      </c>
      <c r="E995" s="80">
        <v>118248.57</v>
      </c>
      <c r="F995">
        <v>187.81</v>
      </c>
      <c r="G995">
        <v>203.46</v>
      </c>
      <c r="H995">
        <v>4613.82</v>
      </c>
      <c r="I995" s="80">
        <v>16869.669999999998</v>
      </c>
      <c r="J995">
        <v>83.7</v>
      </c>
      <c r="K995">
        <v>6954.47</v>
      </c>
      <c r="L995">
        <f t="shared" si="150"/>
        <v>0</v>
      </c>
      <c r="M995">
        <f t="shared" si="151"/>
        <v>0</v>
      </c>
      <c r="N995">
        <f t="shared" si="152"/>
        <v>0</v>
      </c>
      <c r="O995">
        <f t="shared" si="153"/>
        <v>0</v>
      </c>
      <c r="P995">
        <f t="shared" si="154"/>
        <v>0</v>
      </c>
      <c r="Q995">
        <f t="shared" si="155"/>
        <v>0</v>
      </c>
      <c r="R995">
        <f t="shared" si="156"/>
        <v>0</v>
      </c>
      <c r="S995">
        <f t="shared" si="157"/>
        <v>0</v>
      </c>
      <c r="T995">
        <f t="shared" si="159"/>
        <v>0</v>
      </c>
      <c r="U995">
        <f t="shared" si="158"/>
        <v>0</v>
      </c>
    </row>
    <row r="996" spans="1:21" x14ac:dyDescent="0.25">
      <c r="A996" s="2">
        <v>995</v>
      </c>
      <c r="B996" s="39">
        <v>2030</v>
      </c>
      <c r="C996" s="41" t="s">
        <v>181</v>
      </c>
      <c r="D996">
        <v>26.96</v>
      </c>
      <c r="E996" s="80">
        <v>273793.45</v>
      </c>
      <c r="F996">
        <v>1.1200000000000001</v>
      </c>
      <c r="G996">
        <v>125.27</v>
      </c>
      <c r="H996">
        <v>6.4</v>
      </c>
      <c r="I996">
        <v>69.72</v>
      </c>
      <c r="J996">
        <v>40.99</v>
      </c>
      <c r="K996" s="80">
        <v>28</v>
      </c>
      <c r="L996">
        <f t="shared" si="150"/>
        <v>0</v>
      </c>
      <c r="M996">
        <f t="shared" si="151"/>
        <v>0</v>
      </c>
      <c r="N996">
        <f t="shared" si="152"/>
        <v>0</v>
      </c>
      <c r="O996">
        <f t="shared" si="153"/>
        <v>0</v>
      </c>
      <c r="P996">
        <f t="shared" si="154"/>
        <v>0</v>
      </c>
      <c r="Q996">
        <f t="shared" si="155"/>
        <v>0</v>
      </c>
      <c r="R996">
        <f t="shared" si="156"/>
        <v>0</v>
      </c>
      <c r="S996">
        <f t="shared" si="157"/>
        <v>0</v>
      </c>
      <c r="T996">
        <f t="shared" si="159"/>
        <v>0</v>
      </c>
      <c r="U996">
        <f t="shared" si="158"/>
        <v>0</v>
      </c>
    </row>
    <row r="997" spans="1:21" x14ac:dyDescent="0.25">
      <c r="A997" s="2">
        <v>996</v>
      </c>
      <c r="B997" s="39">
        <v>2030</v>
      </c>
      <c r="C997" s="41" t="s">
        <v>183</v>
      </c>
      <c r="D997">
        <v>45.87</v>
      </c>
      <c r="E997" s="80">
        <v>125542.01</v>
      </c>
      <c r="F997">
        <v>1649.69</v>
      </c>
      <c r="G997">
        <v>234.14</v>
      </c>
      <c r="H997">
        <v>17682</v>
      </c>
      <c r="I997" s="80">
        <v>35409.85</v>
      </c>
      <c r="J997">
        <v>83.7</v>
      </c>
      <c r="K997">
        <v>5774.31</v>
      </c>
      <c r="L997">
        <f t="shared" si="150"/>
        <v>0</v>
      </c>
      <c r="M997">
        <f t="shared" si="151"/>
        <v>0</v>
      </c>
      <c r="N997">
        <f t="shared" si="152"/>
        <v>0</v>
      </c>
      <c r="O997">
        <f t="shared" si="153"/>
        <v>0</v>
      </c>
      <c r="P997">
        <f t="shared" si="154"/>
        <v>0</v>
      </c>
      <c r="Q997">
        <f t="shared" si="155"/>
        <v>0</v>
      </c>
      <c r="R997">
        <f t="shared" si="156"/>
        <v>0</v>
      </c>
      <c r="S997">
        <f t="shared" si="157"/>
        <v>0</v>
      </c>
      <c r="T997">
        <f t="shared" si="159"/>
        <v>0</v>
      </c>
      <c r="U997">
        <f t="shared" si="158"/>
        <v>0</v>
      </c>
    </row>
    <row r="998" spans="1:21" x14ac:dyDescent="0.25">
      <c r="A998" s="2">
        <v>997</v>
      </c>
      <c r="B998" s="39">
        <v>2030</v>
      </c>
      <c r="C998" s="41" t="s">
        <v>182</v>
      </c>
      <c r="D998" t="s">
        <v>583</v>
      </c>
      <c r="E998">
        <v>1835.16</v>
      </c>
      <c r="F998" t="s">
        <v>583</v>
      </c>
      <c r="G998" s="80">
        <v>8.08</v>
      </c>
      <c r="H998" s="80">
        <v>0.02</v>
      </c>
      <c r="I998">
        <v>1.07</v>
      </c>
      <c r="J998" s="80">
        <v>1.49</v>
      </c>
      <c r="K998">
        <v>0.12</v>
      </c>
      <c r="L998">
        <f t="shared" si="150"/>
        <v>0</v>
      </c>
      <c r="M998">
        <f t="shared" si="151"/>
        <v>0</v>
      </c>
      <c r="N998">
        <f t="shared" si="152"/>
        <v>0</v>
      </c>
      <c r="O998">
        <f t="shared" si="153"/>
        <v>0</v>
      </c>
      <c r="P998">
        <f t="shared" si="154"/>
        <v>0</v>
      </c>
      <c r="Q998">
        <f t="shared" si="155"/>
        <v>0</v>
      </c>
      <c r="R998">
        <f t="shared" si="156"/>
        <v>0</v>
      </c>
      <c r="S998">
        <f t="shared" si="157"/>
        <v>0</v>
      </c>
      <c r="T998">
        <f t="shared" si="159"/>
        <v>0</v>
      </c>
      <c r="U998">
        <f t="shared" si="158"/>
        <v>0</v>
      </c>
    </row>
    <row r="999" spans="1:21" x14ac:dyDescent="0.25">
      <c r="A999" s="2">
        <v>998</v>
      </c>
      <c r="B999" s="39">
        <v>2030</v>
      </c>
      <c r="C999" s="41" t="s">
        <v>184</v>
      </c>
      <c r="D999">
        <v>59.09</v>
      </c>
      <c r="E999">
        <v>9769.52</v>
      </c>
      <c r="F999">
        <v>73.650000000000006</v>
      </c>
      <c r="G999">
        <v>138.75</v>
      </c>
      <c r="H999">
        <v>13006.2</v>
      </c>
      <c r="I999" s="80">
        <v>24395.59</v>
      </c>
      <c r="J999">
        <v>43.64</v>
      </c>
      <c r="K999">
        <v>3162.13</v>
      </c>
      <c r="L999">
        <f t="shared" si="150"/>
        <v>0</v>
      </c>
      <c r="M999">
        <f t="shared" si="151"/>
        <v>0</v>
      </c>
      <c r="N999">
        <f t="shared" si="152"/>
        <v>0</v>
      </c>
      <c r="O999">
        <f t="shared" si="153"/>
        <v>0</v>
      </c>
      <c r="P999">
        <f t="shared" si="154"/>
        <v>0</v>
      </c>
      <c r="Q999">
        <f t="shared" si="155"/>
        <v>0</v>
      </c>
      <c r="R999">
        <f t="shared" si="156"/>
        <v>0</v>
      </c>
      <c r="S999">
        <f t="shared" si="157"/>
        <v>0</v>
      </c>
      <c r="T999">
        <f t="shared" si="159"/>
        <v>0</v>
      </c>
      <c r="U999">
        <f t="shared" si="158"/>
        <v>0</v>
      </c>
    </row>
    <row r="1000" spans="1:21" x14ac:dyDescent="0.25">
      <c r="A1000" s="2">
        <v>999</v>
      </c>
      <c r="B1000" s="39">
        <v>2030</v>
      </c>
      <c r="C1000" s="27" t="s">
        <v>187</v>
      </c>
      <c r="D1000">
        <v>203</v>
      </c>
      <c r="E1000">
        <v>10216.370000000001</v>
      </c>
      <c r="F1000">
        <v>294.06</v>
      </c>
      <c r="G1000">
        <v>166.73</v>
      </c>
      <c r="H1000" s="80">
        <v>26227.83</v>
      </c>
      <c r="I1000" s="80">
        <v>25095.21</v>
      </c>
      <c r="J1000">
        <v>68.819999999999993</v>
      </c>
      <c r="K1000" s="80">
        <v>9263.23</v>
      </c>
      <c r="L1000">
        <f t="shared" si="150"/>
        <v>0</v>
      </c>
      <c r="M1000">
        <f t="shared" si="151"/>
        <v>0</v>
      </c>
      <c r="N1000">
        <f t="shared" si="152"/>
        <v>0</v>
      </c>
      <c r="O1000">
        <f t="shared" si="153"/>
        <v>0</v>
      </c>
      <c r="P1000">
        <f t="shared" si="154"/>
        <v>0</v>
      </c>
      <c r="Q1000">
        <f t="shared" si="155"/>
        <v>0</v>
      </c>
      <c r="R1000">
        <f t="shared" si="156"/>
        <v>0</v>
      </c>
      <c r="S1000">
        <f t="shared" si="157"/>
        <v>0</v>
      </c>
      <c r="T1000">
        <f t="shared" si="159"/>
        <v>0</v>
      </c>
      <c r="U1000">
        <f t="shared" si="158"/>
        <v>0</v>
      </c>
    </row>
    <row r="1001" spans="1:21" x14ac:dyDescent="0.25">
      <c r="A1001" s="2">
        <v>1000</v>
      </c>
      <c r="B1001" s="39">
        <v>2030</v>
      </c>
      <c r="C1001" s="27" t="s">
        <v>189</v>
      </c>
      <c r="D1001">
        <v>31.22</v>
      </c>
      <c r="E1001">
        <v>10713.68</v>
      </c>
      <c r="F1001">
        <v>170.17</v>
      </c>
      <c r="G1001">
        <v>138.75</v>
      </c>
      <c r="H1001">
        <v>11243.14</v>
      </c>
      <c r="I1001" s="80">
        <v>22415.56</v>
      </c>
      <c r="J1001">
        <v>54.55</v>
      </c>
      <c r="K1001" s="80">
        <v>9839.98</v>
      </c>
      <c r="L1001">
        <f t="shared" si="150"/>
        <v>0</v>
      </c>
      <c r="M1001">
        <f t="shared" si="151"/>
        <v>0</v>
      </c>
      <c r="N1001">
        <f t="shared" si="152"/>
        <v>0</v>
      </c>
      <c r="O1001">
        <f t="shared" si="153"/>
        <v>0</v>
      </c>
      <c r="P1001">
        <f t="shared" si="154"/>
        <v>0</v>
      </c>
      <c r="Q1001">
        <f t="shared" si="155"/>
        <v>0</v>
      </c>
      <c r="R1001">
        <f t="shared" si="156"/>
        <v>0</v>
      </c>
      <c r="S1001">
        <f t="shared" si="157"/>
        <v>0</v>
      </c>
      <c r="T1001">
        <f t="shared" si="159"/>
        <v>0</v>
      </c>
      <c r="U1001">
        <f t="shared" si="158"/>
        <v>0</v>
      </c>
    </row>
    <row r="1002" spans="1:21" x14ac:dyDescent="0.25">
      <c r="A1002" s="2">
        <v>1001</v>
      </c>
      <c r="B1002" s="39">
        <v>2031</v>
      </c>
      <c r="C1002" s="41" t="s">
        <v>162</v>
      </c>
      <c r="D1002">
        <v>6.4</v>
      </c>
      <c r="E1002">
        <v>22756.99</v>
      </c>
      <c r="F1002">
        <v>0.37</v>
      </c>
      <c r="G1002">
        <v>75.180000000000007</v>
      </c>
      <c r="H1002">
        <v>4.16</v>
      </c>
      <c r="I1002">
        <v>158.65</v>
      </c>
      <c r="J1002">
        <v>12.3</v>
      </c>
      <c r="K1002">
        <v>8.1300000000000008</v>
      </c>
      <c r="L1002">
        <f t="shared" si="150"/>
        <v>0</v>
      </c>
      <c r="M1002">
        <f t="shared" si="151"/>
        <v>0</v>
      </c>
      <c r="N1002">
        <f t="shared" si="152"/>
        <v>0</v>
      </c>
      <c r="O1002">
        <f t="shared" si="153"/>
        <v>0</v>
      </c>
      <c r="P1002">
        <f t="shared" si="154"/>
        <v>0</v>
      </c>
      <c r="Q1002">
        <f t="shared" si="155"/>
        <v>0</v>
      </c>
      <c r="R1002">
        <f t="shared" si="156"/>
        <v>0</v>
      </c>
      <c r="S1002">
        <f t="shared" si="157"/>
        <v>0</v>
      </c>
      <c r="T1002">
        <f t="shared" si="159"/>
        <v>0</v>
      </c>
      <c r="U1002">
        <f t="shared" si="158"/>
        <v>0</v>
      </c>
    </row>
    <row r="1003" spans="1:21" x14ac:dyDescent="0.25">
      <c r="A1003" s="2">
        <v>1002</v>
      </c>
      <c r="B1003" s="39">
        <v>2031</v>
      </c>
      <c r="C1003" s="41" t="s">
        <v>170</v>
      </c>
      <c r="D1003">
        <v>83.41</v>
      </c>
      <c r="E1003" s="80">
        <v>40582.6</v>
      </c>
      <c r="F1003">
        <v>581.54</v>
      </c>
      <c r="G1003">
        <v>188.54</v>
      </c>
      <c r="H1003">
        <v>8263.68</v>
      </c>
      <c r="I1003" s="80">
        <v>24095.29</v>
      </c>
      <c r="J1003">
        <v>49.03</v>
      </c>
      <c r="K1003">
        <v>1721.16</v>
      </c>
      <c r="L1003">
        <f t="shared" si="150"/>
        <v>0</v>
      </c>
      <c r="M1003">
        <f t="shared" si="151"/>
        <v>0</v>
      </c>
      <c r="N1003">
        <f t="shared" si="152"/>
        <v>0</v>
      </c>
      <c r="O1003">
        <f t="shared" si="153"/>
        <v>0</v>
      </c>
      <c r="P1003">
        <f t="shared" si="154"/>
        <v>0</v>
      </c>
      <c r="Q1003">
        <f t="shared" si="155"/>
        <v>0</v>
      </c>
      <c r="R1003">
        <f t="shared" si="156"/>
        <v>0</v>
      </c>
      <c r="S1003">
        <f t="shared" si="157"/>
        <v>0</v>
      </c>
      <c r="T1003">
        <f t="shared" si="159"/>
        <v>0</v>
      </c>
      <c r="U1003">
        <f t="shared" si="158"/>
        <v>0</v>
      </c>
    </row>
    <row r="1004" spans="1:21" x14ac:dyDescent="0.25">
      <c r="A1004" s="2">
        <v>1003</v>
      </c>
      <c r="B1004" s="39">
        <v>2031</v>
      </c>
      <c r="C1004" s="41" t="s">
        <v>178</v>
      </c>
      <c r="D1004">
        <v>290.22000000000003</v>
      </c>
      <c r="E1004" s="80">
        <v>39316.370000000003</v>
      </c>
      <c r="F1004">
        <v>1617.16</v>
      </c>
      <c r="G1004">
        <v>249.89</v>
      </c>
      <c r="H1004" s="80">
        <v>37065.730000000003</v>
      </c>
      <c r="I1004" s="80">
        <v>29277.22</v>
      </c>
      <c r="J1004">
        <v>71.75</v>
      </c>
      <c r="K1004">
        <v>4106.45</v>
      </c>
      <c r="L1004">
        <f t="shared" si="150"/>
        <v>0</v>
      </c>
      <c r="M1004">
        <f t="shared" si="151"/>
        <v>0</v>
      </c>
      <c r="N1004">
        <f t="shared" si="152"/>
        <v>0</v>
      </c>
      <c r="O1004">
        <f t="shared" si="153"/>
        <v>0</v>
      </c>
      <c r="P1004">
        <f t="shared" si="154"/>
        <v>0</v>
      </c>
      <c r="Q1004">
        <f t="shared" si="155"/>
        <v>0</v>
      </c>
      <c r="R1004">
        <f t="shared" si="156"/>
        <v>0</v>
      </c>
      <c r="S1004">
        <f t="shared" si="157"/>
        <v>0</v>
      </c>
      <c r="T1004">
        <f t="shared" si="159"/>
        <v>0</v>
      </c>
      <c r="U1004">
        <f t="shared" si="158"/>
        <v>0</v>
      </c>
    </row>
    <row r="1005" spans="1:21" x14ac:dyDescent="0.25">
      <c r="A1005" s="2">
        <v>1004</v>
      </c>
      <c r="B1005" s="39">
        <v>2031</v>
      </c>
      <c r="C1005" s="41" t="s">
        <v>163</v>
      </c>
      <c r="D1005">
        <v>234.04</v>
      </c>
      <c r="E1005" s="80">
        <v>45027.27</v>
      </c>
      <c r="F1005">
        <v>315.08999999999997</v>
      </c>
      <c r="G1005">
        <v>211.03</v>
      </c>
      <c r="H1005">
        <v>8568.02</v>
      </c>
      <c r="I1005" s="80">
        <v>22312.41</v>
      </c>
      <c r="J1005">
        <v>65.91</v>
      </c>
      <c r="K1005" s="80">
        <v>10619.45</v>
      </c>
      <c r="L1005">
        <f t="shared" si="150"/>
        <v>0</v>
      </c>
      <c r="M1005">
        <f t="shared" si="151"/>
        <v>0</v>
      </c>
      <c r="N1005">
        <f t="shared" si="152"/>
        <v>0</v>
      </c>
      <c r="O1005">
        <f t="shared" si="153"/>
        <v>0</v>
      </c>
      <c r="P1005">
        <f t="shared" si="154"/>
        <v>0</v>
      </c>
      <c r="Q1005">
        <f t="shared" si="155"/>
        <v>0</v>
      </c>
      <c r="R1005">
        <f t="shared" si="156"/>
        <v>0</v>
      </c>
      <c r="S1005">
        <f t="shared" si="157"/>
        <v>0</v>
      </c>
      <c r="T1005">
        <f t="shared" si="159"/>
        <v>0</v>
      </c>
      <c r="U1005">
        <f t="shared" si="158"/>
        <v>0</v>
      </c>
    </row>
    <row r="1006" spans="1:21" x14ac:dyDescent="0.25">
      <c r="A1006" s="2">
        <v>1005</v>
      </c>
      <c r="B1006" s="39">
        <v>2031</v>
      </c>
      <c r="C1006" s="41" t="s">
        <v>181</v>
      </c>
      <c r="D1006">
        <v>15.04</v>
      </c>
      <c r="E1006" s="80">
        <v>45874.11</v>
      </c>
      <c r="F1006">
        <v>0.3</v>
      </c>
      <c r="G1006">
        <v>93.19</v>
      </c>
      <c r="H1006">
        <v>90.51</v>
      </c>
      <c r="I1006">
        <v>288.02999999999997</v>
      </c>
      <c r="J1006">
        <v>25.83</v>
      </c>
      <c r="K1006">
        <v>83.5</v>
      </c>
      <c r="L1006">
        <f t="shared" si="150"/>
        <v>0</v>
      </c>
      <c r="M1006">
        <f t="shared" si="151"/>
        <v>0</v>
      </c>
      <c r="N1006">
        <f t="shared" si="152"/>
        <v>0</v>
      </c>
      <c r="O1006">
        <f t="shared" si="153"/>
        <v>0</v>
      </c>
      <c r="P1006">
        <f t="shared" si="154"/>
        <v>0</v>
      </c>
      <c r="Q1006">
        <f t="shared" si="155"/>
        <v>0</v>
      </c>
      <c r="R1006">
        <f t="shared" si="156"/>
        <v>0</v>
      </c>
      <c r="S1006">
        <f t="shared" si="157"/>
        <v>0</v>
      </c>
      <c r="T1006">
        <f t="shared" si="159"/>
        <v>0</v>
      </c>
      <c r="U1006">
        <f t="shared" si="158"/>
        <v>0</v>
      </c>
    </row>
    <row r="1007" spans="1:21" x14ac:dyDescent="0.25">
      <c r="A1007" s="2">
        <v>1006</v>
      </c>
      <c r="B1007" s="39">
        <v>2031</v>
      </c>
      <c r="C1007" s="41" t="s">
        <v>183</v>
      </c>
      <c r="D1007">
        <v>29.08</v>
      </c>
      <c r="E1007">
        <v>18896.990000000002</v>
      </c>
      <c r="F1007">
        <v>425.74</v>
      </c>
      <c r="G1007">
        <v>99.41</v>
      </c>
      <c r="H1007">
        <v>7579.13</v>
      </c>
      <c r="I1007" s="80">
        <v>25473.57</v>
      </c>
      <c r="J1007">
        <v>49.03</v>
      </c>
      <c r="K1007">
        <v>6696.67</v>
      </c>
      <c r="L1007">
        <f t="shared" si="150"/>
        <v>0</v>
      </c>
      <c r="M1007">
        <f t="shared" si="151"/>
        <v>0</v>
      </c>
      <c r="N1007">
        <f t="shared" si="152"/>
        <v>0</v>
      </c>
      <c r="O1007">
        <f t="shared" si="153"/>
        <v>0</v>
      </c>
      <c r="P1007">
        <f t="shared" si="154"/>
        <v>0</v>
      </c>
      <c r="Q1007">
        <f t="shared" si="155"/>
        <v>0</v>
      </c>
      <c r="R1007">
        <f t="shared" si="156"/>
        <v>0</v>
      </c>
      <c r="S1007">
        <f t="shared" si="157"/>
        <v>0</v>
      </c>
      <c r="T1007">
        <f t="shared" si="159"/>
        <v>0</v>
      </c>
      <c r="U1007">
        <f t="shared" si="158"/>
        <v>0</v>
      </c>
    </row>
    <row r="1008" spans="1:21" x14ac:dyDescent="0.25">
      <c r="A1008" s="2">
        <v>1007</v>
      </c>
      <c r="B1008" s="39">
        <v>2031</v>
      </c>
      <c r="C1008" s="41" t="s">
        <v>186</v>
      </c>
      <c r="D1008">
        <v>16.93</v>
      </c>
      <c r="E1008">
        <v>14268.14</v>
      </c>
      <c r="F1008">
        <v>471.93</v>
      </c>
      <c r="G1008">
        <v>112.15</v>
      </c>
      <c r="H1008" s="80">
        <v>18312.18</v>
      </c>
      <c r="I1008" s="80">
        <v>25627.01</v>
      </c>
      <c r="J1008">
        <v>51.78</v>
      </c>
      <c r="K1008">
        <v>7868.87</v>
      </c>
      <c r="L1008">
        <f t="shared" si="150"/>
        <v>0</v>
      </c>
      <c r="M1008">
        <f t="shared" si="151"/>
        <v>0</v>
      </c>
      <c r="N1008">
        <f t="shared" si="152"/>
        <v>0</v>
      </c>
      <c r="O1008">
        <f t="shared" si="153"/>
        <v>0</v>
      </c>
      <c r="P1008">
        <f t="shared" si="154"/>
        <v>0</v>
      </c>
      <c r="Q1008">
        <f t="shared" si="155"/>
        <v>0</v>
      </c>
      <c r="R1008">
        <f t="shared" si="156"/>
        <v>0</v>
      </c>
      <c r="S1008">
        <f t="shared" si="157"/>
        <v>0</v>
      </c>
      <c r="T1008">
        <f t="shared" si="159"/>
        <v>0</v>
      </c>
      <c r="U1008">
        <f t="shared" si="158"/>
        <v>0</v>
      </c>
    </row>
    <row r="1009" spans="1:21" x14ac:dyDescent="0.25">
      <c r="A1009" s="2">
        <v>1008</v>
      </c>
      <c r="B1009" s="39">
        <v>2031</v>
      </c>
      <c r="C1009" s="41" t="s">
        <v>188</v>
      </c>
      <c r="D1009">
        <v>33.4</v>
      </c>
      <c r="E1009" s="80">
        <v>64186.080000000002</v>
      </c>
      <c r="F1009">
        <v>264.18</v>
      </c>
      <c r="G1009">
        <v>241.98</v>
      </c>
      <c r="H1009">
        <v>5279.17</v>
      </c>
      <c r="I1009" s="80">
        <v>22522.639999999999</v>
      </c>
      <c r="J1009">
        <v>86.75</v>
      </c>
      <c r="K1009" s="80">
        <v>12872</v>
      </c>
      <c r="L1009">
        <f t="shared" si="150"/>
        <v>0</v>
      </c>
      <c r="M1009">
        <f t="shared" si="151"/>
        <v>0</v>
      </c>
      <c r="N1009">
        <f t="shared" si="152"/>
        <v>0</v>
      </c>
      <c r="O1009">
        <f t="shared" si="153"/>
        <v>0</v>
      </c>
      <c r="P1009">
        <f t="shared" si="154"/>
        <v>0</v>
      </c>
      <c r="Q1009">
        <f t="shared" si="155"/>
        <v>0</v>
      </c>
      <c r="R1009">
        <f t="shared" si="156"/>
        <v>0</v>
      </c>
      <c r="S1009">
        <f t="shared" si="157"/>
        <v>0</v>
      </c>
      <c r="T1009">
        <f t="shared" si="159"/>
        <v>0</v>
      </c>
      <c r="U1009">
        <f t="shared" si="158"/>
        <v>0</v>
      </c>
    </row>
    <row r="1010" spans="1:21" x14ac:dyDescent="0.25">
      <c r="A1010" s="2">
        <v>1009</v>
      </c>
      <c r="B1010" s="39">
        <v>2031</v>
      </c>
      <c r="C1010" s="41" t="s">
        <v>182</v>
      </c>
      <c r="D1010">
        <v>6.4</v>
      </c>
      <c r="E1010">
        <v>2777.77</v>
      </c>
      <c r="F1010">
        <v>19.670000000000002</v>
      </c>
      <c r="G1010">
        <v>87.08</v>
      </c>
      <c r="H1010">
        <v>1061.0899999999999</v>
      </c>
      <c r="I1010" s="80">
        <v>19605.07</v>
      </c>
      <c r="J1010">
        <v>14.41</v>
      </c>
      <c r="K1010">
        <v>410.31</v>
      </c>
      <c r="L1010">
        <f t="shared" si="150"/>
        <v>0</v>
      </c>
      <c r="M1010">
        <f t="shared" si="151"/>
        <v>0</v>
      </c>
      <c r="N1010">
        <f t="shared" si="152"/>
        <v>0</v>
      </c>
      <c r="O1010">
        <f t="shared" si="153"/>
        <v>0</v>
      </c>
      <c r="P1010">
        <f t="shared" si="154"/>
        <v>0</v>
      </c>
      <c r="Q1010">
        <f t="shared" si="155"/>
        <v>0</v>
      </c>
      <c r="R1010">
        <f t="shared" si="156"/>
        <v>0</v>
      </c>
      <c r="S1010">
        <f t="shared" si="157"/>
        <v>0</v>
      </c>
      <c r="T1010">
        <f t="shared" si="159"/>
        <v>0</v>
      </c>
      <c r="U1010">
        <f t="shared" si="158"/>
        <v>0</v>
      </c>
    </row>
    <row r="1011" spans="1:21" x14ac:dyDescent="0.25">
      <c r="A1011" s="2">
        <v>1010</v>
      </c>
      <c r="B1011" s="39">
        <v>2031</v>
      </c>
      <c r="C1011" s="41" t="s">
        <v>184</v>
      </c>
      <c r="D1011">
        <v>747.37</v>
      </c>
      <c r="E1011">
        <v>8993.73</v>
      </c>
      <c r="F1011">
        <v>100.51</v>
      </c>
      <c r="G1011">
        <v>125.27</v>
      </c>
      <c r="H1011" s="80">
        <v>26183.66</v>
      </c>
      <c r="I1011" s="80">
        <v>26112.62</v>
      </c>
      <c r="J1011">
        <v>60.18</v>
      </c>
      <c r="K1011">
        <v>3383.91</v>
      </c>
      <c r="L1011">
        <f t="shared" si="150"/>
        <v>0</v>
      </c>
      <c r="M1011">
        <f t="shared" si="151"/>
        <v>0</v>
      </c>
      <c r="N1011">
        <f t="shared" si="152"/>
        <v>0</v>
      </c>
      <c r="O1011">
        <f t="shared" si="153"/>
        <v>0</v>
      </c>
      <c r="P1011">
        <f t="shared" si="154"/>
        <v>0</v>
      </c>
      <c r="Q1011">
        <f t="shared" si="155"/>
        <v>0</v>
      </c>
      <c r="R1011">
        <f t="shared" si="156"/>
        <v>0</v>
      </c>
      <c r="S1011">
        <f t="shared" si="157"/>
        <v>0</v>
      </c>
      <c r="T1011">
        <f t="shared" si="159"/>
        <v>0</v>
      </c>
      <c r="U1011">
        <f t="shared" si="158"/>
        <v>0</v>
      </c>
    </row>
    <row r="1012" spans="1:21" x14ac:dyDescent="0.25">
      <c r="A1012" s="2">
        <v>1011</v>
      </c>
      <c r="B1012" s="39">
        <v>2031</v>
      </c>
      <c r="C1012" s="41" t="s">
        <v>187</v>
      </c>
      <c r="D1012">
        <v>910.68</v>
      </c>
      <c r="E1012">
        <v>9917.19</v>
      </c>
      <c r="F1012">
        <v>173.21</v>
      </c>
      <c r="G1012">
        <v>166.73</v>
      </c>
      <c r="H1012" s="80">
        <v>31497.27</v>
      </c>
      <c r="I1012" s="80">
        <v>22968.41</v>
      </c>
      <c r="J1012">
        <v>63.03</v>
      </c>
      <c r="K1012">
        <v>6218.39</v>
      </c>
      <c r="L1012">
        <f t="shared" si="150"/>
        <v>0</v>
      </c>
      <c r="M1012">
        <f t="shared" si="151"/>
        <v>0</v>
      </c>
      <c r="N1012">
        <f t="shared" si="152"/>
        <v>0</v>
      </c>
      <c r="O1012">
        <f t="shared" si="153"/>
        <v>0</v>
      </c>
      <c r="P1012">
        <f t="shared" si="154"/>
        <v>0</v>
      </c>
      <c r="Q1012">
        <f t="shared" si="155"/>
        <v>0</v>
      </c>
      <c r="R1012">
        <f t="shared" si="156"/>
        <v>0</v>
      </c>
      <c r="S1012">
        <f t="shared" si="157"/>
        <v>0</v>
      </c>
      <c r="T1012">
        <f t="shared" si="159"/>
        <v>0</v>
      </c>
      <c r="U1012">
        <f t="shared" si="158"/>
        <v>0</v>
      </c>
    </row>
    <row r="1013" spans="1:21" x14ac:dyDescent="0.25">
      <c r="A1013" s="2">
        <v>1012</v>
      </c>
      <c r="B1013" s="39">
        <v>2031</v>
      </c>
      <c r="C1013" s="41" t="s">
        <v>189</v>
      </c>
      <c r="D1013">
        <v>402.81</v>
      </c>
      <c r="E1013">
        <v>10223.92</v>
      </c>
      <c r="F1013">
        <v>14.54</v>
      </c>
      <c r="G1013">
        <v>125.27</v>
      </c>
      <c r="H1013">
        <v>10784.24</v>
      </c>
      <c r="I1013" s="80">
        <v>20660.62</v>
      </c>
      <c r="J1013">
        <v>49.03</v>
      </c>
      <c r="K1013">
        <v>6316.17</v>
      </c>
      <c r="L1013">
        <f t="shared" si="150"/>
        <v>0</v>
      </c>
      <c r="M1013">
        <f t="shared" si="151"/>
        <v>0</v>
      </c>
      <c r="N1013">
        <f t="shared" si="152"/>
        <v>0</v>
      </c>
      <c r="O1013">
        <f t="shared" si="153"/>
        <v>0</v>
      </c>
      <c r="P1013">
        <f t="shared" si="154"/>
        <v>0</v>
      </c>
      <c r="Q1013">
        <f t="shared" si="155"/>
        <v>0</v>
      </c>
      <c r="R1013">
        <f t="shared" si="156"/>
        <v>0</v>
      </c>
      <c r="S1013">
        <f t="shared" si="157"/>
        <v>0</v>
      </c>
      <c r="T1013">
        <f t="shared" si="159"/>
        <v>0</v>
      </c>
      <c r="U1013">
        <f t="shared" si="158"/>
        <v>0</v>
      </c>
    </row>
    <row r="1014" spans="1:21" x14ac:dyDescent="0.25">
      <c r="A1014" s="2">
        <v>1013</v>
      </c>
      <c r="B1014" s="39">
        <v>2032</v>
      </c>
      <c r="C1014" s="41" t="s">
        <v>162</v>
      </c>
      <c r="D1014">
        <v>4.87</v>
      </c>
      <c r="E1014">
        <v>19148.03</v>
      </c>
      <c r="F1014">
        <v>0.37</v>
      </c>
      <c r="G1014">
        <v>75.180000000000007</v>
      </c>
      <c r="H1014">
        <v>1.5</v>
      </c>
      <c r="I1014">
        <v>15.57</v>
      </c>
      <c r="J1014">
        <v>16.59</v>
      </c>
      <c r="K1014">
        <v>4.8600000000000003</v>
      </c>
      <c r="L1014">
        <f t="shared" si="150"/>
        <v>0</v>
      </c>
      <c r="M1014">
        <f t="shared" si="151"/>
        <v>0</v>
      </c>
      <c r="N1014">
        <f t="shared" si="152"/>
        <v>0</v>
      </c>
      <c r="O1014">
        <f t="shared" si="153"/>
        <v>0</v>
      </c>
      <c r="P1014">
        <f t="shared" si="154"/>
        <v>0</v>
      </c>
      <c r="Q1014">
        <f t="shared" si="155"/>
        <v>0</v>
      </c>
      <c r="R1014">
        <f t="shared" si="156"/>
        <v>0</v>
      </c>
      <c r="S1014">
        <f t="shared" si="157"/>
        <v>0</v>
      </c>
      <c r="T1014">
        <f t="shared" si="159"/>
        <v>0</v>
      </c>
      <c r="U1014">
        <f t="shared" si="158"/>
        <v>0</v>
      </c>
    </row>
    <row r="1015" spans="1:21" x14ac:dyDescent="0.25">
      <c r="A1015" s="2">
        <v>1014</v>
      </c>
      <c r="B1015" s="39">
        <v>2032</v>
      </c>
      <c r="C1015" s="41" t="s">
        <v>170</v>
      </c>
      <c r="D1015">
        <v>40.1</v>
      </c>
      <c r="E1015">
        <v>23704.86</v>
      </c>
      <c r="F1015">
        <v>96.79</v>
      </c>
      <c r="G1015">
        <v>99.41</v>
      </c>
      <c r="H1015">
        <v>2047.09</v>
      </c>
      <c r="I1015" s="80">
        <v>12847.47</v>
      </c>
      <c r="J1015">
        <v>28.26</v>
      </c>
      <c r="K1015">
        <v>403.18</v>
      </c>
      <c r="L1015">
        <f t="shared" si="150"/>
        <v>0</v>
      </c>
      <c r="M1015">
        <f t="shared" si="151"/>
        <v>0</v>
      </c>
      <c r="N1015">
        <f t="shared" si="152"/>
        <v>0</v>
      </c>
      <c r="O1015">
        <f t="shared" si="153"/>
        <v>0</v>
      </c>
      <c r="P1015">
        <f t="shared" si="154"/>
        <v>0</v>
      </c>
      <c r="Q1015">
        <f t="shared" si="155"/>
        <v>0</v>
      </c>
      <c r="R1015">
        <f t="shared" si="156"/>
        <v>0</v>
      </c>
      <c r="S1015">
        <f t="shared" si="157"/>
        <v>0</v>
      </c>
      <c r="T1015">
        <f t="shared" si="159"/>
        <v>0</v>
      </c>
      <c r="U1015">
        <f t="shared" si="158"/>
        <v>0</v>
      </c>
    </row>
    <row r="1016" spans="1:21" x14ac:dyDescent="0.25">
      <c r="A1016" s="2">
        <v>1015</v>
      </c>
      <c r="B1016" s="39">
        <v>2032</v>
      </c>
      <c r="C1016" s="41" t="s">
        <v>178</v>
      </c>
      <c r="D1016">
        <v>92.79</v>
      </c>
      <c r="E1016">
        <v>21738.67</v>
      </c>
      <c r="F1016">
        <v>552.82000000000005</v>
      </c>
      <c r="G1016">
        <v>181.19</v>
      </c>
      <c r="H1016">
        <v>9851.2199999999993</v>
      </c>
      <c r="I1016">
        <v>18691.05</v>
      </c>
      <c r="J1016">
        <v>33.24</v>
      </c>
      <c r="K1016">
        <v>1010.31</v>
      </c>
      <c r="L1016">
        <f t="shared" si="150"/>
        <v>0</v>
      </c>
      <c r="M1016">
        <f t="shared" si="151"/>
        <v>0</v>
      </c>
      <c r="N1016">
        <f t="shared" si="152"/>
        <v>0</v>
      </c>
      <c r="O1016">
        <f t="shared" si="153"/>
        <v>0</v>
      </c>
      <c r="P1016">
        <f t="shared" si="154"/>
        <v>0</v>
      </c>
      <c r="Q1016">
        <f t="shared" si="155"/>
        <v>0</v>
      </c>
      <c r="R1016">
        <f t="shared" si="156"/>
        <v>0</v>
      </c>
      <c r="S1016">
        <f t="shared" si="157"/>
        <v>0</v>
      </c>
      <c r="T1016">
        <f t="shared" si="159"/>
        <v>0</v>
      </c>
      <c r="U1016">
        <f t="shared" si="158"/>
        <v>0</v>
      </c>
    </row>
    <row r="1017" spans="1:21" x14ac:dyDescent="0.25">
      <c r="A1017" s="2">
        <v>1016</v>
      </c>
      <c r="B1017" s="39">
        <v>2032</v>
      </c>
      <c r="C1017" s="41" t="s">
        <v>163</v>
      </c>
      <c r="D1017">
        <v>29.08</v>
      </c>
      <c r="E1017">
        <v>24294.52</v>
      </c>
      <c r="F1017">
        <v>348.02</v>
      </c>
      <c r="G1017">
        <v>131.97</v>
      </c>
      <c r="H1017">
        <v>4871.8999999999996</v>
      </c>
      <c r="I1017" s="80">
        <v>13391.72</v>
      </c>
      <c r="J1017">
        <v>49.03</v>
      </c>
      <c r="K1017">
        <v>4513.91</v>
      </c>
      <c r="L1017">
        <f t="shared" si="150"/>
        <v>0</v>
      </c>
      <c r="M1017">
        <f t="shared" si="151"/>
        <v>0</v>
      </c>
      <c r="N1017">
        <f t="shared" si="152"/>
        <v>0</v>
      </c>
      <c r="O1017">
        <f t="shared" si="153"/>
        <v>0</v>
      </c>
      <c r="P1017">
        <f t="shared" si="154"/>
        <v>0</v>
      </c>
      <c r="Q1017">
        <f t="shared" si="155"/>
        <v>0</v>
      </c>
      <c r="R1017">
        <f t="shared" si="156"/>
        <v>0</v>
      </c>
      <c r="S1017">
        <f t="shared" si="157"/>
        <v>0</v>
      </c>
      <c r="T1017">
        <f t="shared" si="159"/>
        <v>0</v>
      </c>
      <c r="U1017">
        <f t="shared" si="158"/>
        <v>0</v>
      </c>
    </row>
    <row r="1018" spans="1:21" x14ac:dyDescent="0.25">
      <c r="A1018" s="2">
        <v>1017</v>
      </c>
      <c r="B1018" s="39">
        <v>2032</v>
      </c>
      <c r="C1018" s="41" t="s">
        <v>181</v>
      </c>
      <c r="D1018">
        <v>20.83</v>
      </c>
      <c r="E1018" s="80">
        <v>143737.10999999999</v>
      </c>
      <c r="F1018">
        <v>0.96</v>
      </c>
      <c r="G1018">
        <v>138.75</v>
      </c>
      <c r="H1018">
        <v>25.98</v>
      </c>
      <c r="I1018">
        <v>804.03</v>
      </c>
      <c r="J1018">
        <v>35.79</v>
      </c>
      <c r="K1018">
        <v>111.91</v>
      </c>
      <c r="L1018">
        <f t="shared" si="150"/>
        <v>0</v>
      </c>
      <c r="M1018">
        <f t="shared" si="151"/>
        <v>0</v>
      </c>
      <c r="N1018">
        <f t="shared" si="152"/>
        <v>0</v>
      </c>
      <c r="O1018">
        <f t="shared" si="153"/>
        <v>0</v>
      </c>
      <c r="P1018">
        <f t="shared" si="154"/>
        <v>0</v>
      </c>
      <c r="Q1018">
        <f t="shared" si="155"/>
        <v>0</v>
      </c>
      <c r="R1018">
        <f t="shared" si="156"/>
        <v>0</v>
      </c>
      <c r="S1018">
        <f t="shared" si="157"/>
        <v>0</v>
      </c>
      <c r="T1018">
        <f t="shared" si="159"/>
        <v>0</v>
      </c>
      <c r="U1018">
        <f t="shared" si="158"/>
        <v>0</v>
      </c>
    </row>
    <row r="1019" spans="1:21" x14ac:dyDescent="0.25">
      <c r="A1019" s="2">
        <v>1018</v>
      </c>
      <c r="B1019" s="39">
        <v>2032</v>
      </c>
      <c r="C1019" s="41" t="s">
        <v>183</v>
      </c>
      <c r="D1019">
        <v>51.79</v>
      </c>
      <c r="E1019" s="80">
        <v>95016.25</v>
      </c>
      <c r="F1019">
        <v>2016.22</v>
      </c>
      <c r="G1019">
        <v>307.01</v>
      </c>
      <c r="H1019" s="80">
        <v>21735.439999999999</v>
      </c>
      <c r="I1019" s="80">
        <v>34446.269999999997</v>
      </c>
      <c r="J1019">
        <v>86.75</v>
      </c>
      <c r="K1019" s="80">
        <v>9621.7199999999993</v>
      </c>
      <c r="L1019">
        <f t="shared" si="150"/>
        <v>0</v>
      </c>
      <c r="M1019">
        <f t="shared" si="151"/>
        <v>0</v>
      </c>
      <c r="N1019">
        <f t="shared" si="152"/>
        <v>0</v>
      </c>
      <c r="O1019">
        <f t="shared" si="153"/>
        <v>0</v>
      </c>
      <c r="P1019">
        <f t="shared" si="154"/>
        <v>0</v>
      </c>
      <c r="Q1019">
        <f t="shared" si="155"/>
        <v>0</v>
      </c>
      <c r="R1019">
        <f t="shared" si="156"/>
        <v>0</v>
      </c>
      <c r="S1019">
        <f t="shared" si="157"/>
        <v>0</v>
      </c>
      <c r="T1019">
        <f t="shared" si="159"/>
        <v>0</v>
      </c>
      <c r="U1019">
        <f t="shared" si="158"/>
        <v>0</v>
      </c>
    </row>
    <row r="1020" spans="1:21" x14ac:dyDescent="0.25">
      <c r="A1020" s="92">
        <v>1019</v>
      </c>
      <c r="B1020" s="39">
        <v>2032</v>
      </c>
      <c r="C1020" s="41" t="s">
        <v>186</v>
      </c>
      <c r="D1020">
        <v>54.2</v>
      </c>
      <c r="E1020" s="80">
        <v>73721.460000000006</v>
      </c>
      <c r="F1020" s="89" t="s">
        <v>582</v>
      </c>
      <c r="G1020">
        <v>274</v>
      </c>
      <c r="H1020" s="80">
        <v>62202.33</v>
      </c>
      <c r="I1020" s="80">
        <v>36352.480000000003</v>
      </c>
      <c r="J1020">
        <v>108.63</v>
      </c>
      <c r="K1020" s="80">
        <v>16571.5</v>
      </c>
      <c r="L1020">
        <f t="shared" si="150"/>
        <v>0</v>
      </c>
      <c r="M1020">
        <f t="shared" si="151"/>
        <v>0</v>
      </c>
      <c r="N1020">
        <f t="shared" si="152"/>
        <v>1</v>
      </c>
      <c r="O1020">
        <f t="shared" si="153"/>
        <v>0</v>
      </c>
      <c r="P1020">
        <f t="shared" si="154"/>
        <v>0</v>
      </c>
      <c r="Q1020">
        <f t="shared" si="155"/>
        <v>0</v>
      </c>
      <c r="R1020">
        <f t="shared" si="156"/>
        <v>0</v>
      </c>
      <c r="S1020">
        <f t="shared" si="157"/>
        <v>0</v>
      </c>
      <c r="T1020">
        <f t="shared" si="159"/>
        <v>1</v>
      </c>
      <c r="U1020">
        <f t="shared" si="158"/>
        <v>1</v>
      </c>
    </row>
    <row r="1021" spans="1:21" x14ac:dyDescent="0.25">
      <c r="A1021" s="2">
        <v>1020</v>
      </c>
      <c r="B1021" s="39">
        <v>2032</v>
      </c>
      <c r="C1021" s="41" t="s">
        <v>188</v>
      </c>
      <c r="D1021">
        <v>36.72</v>
      </c>
      <c r="E1021" s="80">
        <v>131081.64000000001</v>
      </c>
      <c r="F1021">
        <v>395.96</v>
      </c>
      <c r="G1021">
        <v>226.37</v>
      </c>
      <c r="H1021">
        <v>2537.7600000000002</v>
      </c>
      <c r="I1021" s="80">
        <v>26559.96</v>
      </c>
      <c r="J1021">
        <v>74.7</v>
      </c>
      <c r="K1021" s="80">
        <v>8317.58</v>
      </c>
      <c r="L1021">
        <f t="shared" si="150"/>
        <v>0</v>
      </c>
      <c r="M1021">
        <f t="shared" si="151"/>
        <v>0</v>
      </c>
      <c r="N1021">
        <f t="shared" si="152"/>
        <v>0</v>
      </c>
      <c r="O1021">
        <f t="shared" si="153"/>
        <v>0</v>
      </c>
      <c r="P1021">
        <f t="shared" si="154"/>
        <v>0</v>
      </c>
      <c r="Q1021">
        <f t="shared" si="155"/>
        <v>0</v>
      </c>
      <c r="R1021">
        <f t="shared" si="156"/>
        <v>0</v>
      </c>
      <c r="S1021">
        <f t="shared" si="157"/>
        <v>0</v>
      </c>
      <c r="T1021">
        <f t="shared" si="159"/>
        <v>0</v>
      </c>
      <c r="U1021">
        <f t="shared" si="158"/>
        <v>0</v>
      </c>
    </row>
    <row r="1022" spans="1:21" x14ac:dyDescent="0.25">
      <c r="A1022" s="2">
        <v>1021</v>
      </c>
      <c r="B1022" s="39">
        <v>2032</v>
      </c>
      <c r="C1022" s="41" t="s">
        <v>182</v>
      </c>
      <c r="D1022" t="s">
        <v>583</v>
      </c>
      <c r="E1022">
        <v>1239.55</v>
      </c>
      <c r="F1022">
        <v>0.41</v>
      </c>
      <c r="G1022">
        <v>23.57</v>
      </c>
      <c r="H1022">
        <v>10.83</v>
      </c>
      <c r="I1022">
        <v>1330.65</v>
      </c>
      <c r="J1022">
        <v>7.33</v>
      </c>
      <c r="K1022">
        <v>1.7</v>
      </c>
      <c r="L1022">
        <f t="shared" si="150"/>
        <v>0</v>
      </c>
      <c r="M1022">
        <f t="shared" si="151"/>
        <v>0</v>
      </c>
      <c r="N1022">
        <f t="shared" si="152"/>
        <v>0</v>
      </c>
      <c r="O1022">
        <f t="shared" si="153"/>
        <v>0</v>
      </c>
      <c r="P1022">
        <f t="shared" si="154"/>
        <v>0</v>
      </c>
      <c r="Q1022">
        <f t="shared" si="155"/>
        <v>0</v>
      </c>
      <c r="R1022">
        <f t="shared" si="156"/>
        <v>0</v>
      </c>
      <c r="S1022">
        <f t="shared" si="157"/>
        <v>0</v>
      </c>
      <c r="T1022">
        <f t="shared" si="159"/>
        <v>0</v>
      </c>
      <c r="U1022">
        <f t="shared" si="158"/>
        <v>0</v>
      </c>
    </row>
    <row r="1023" spans="1:21" x14ac:dyDescent="0.25">
      <c r="A1023" s="2">
        <v>1022</v>
      </c>
      <c r="B1023" s="39">
        <v>2032</v>
      </c>
      <c r="C1023" s="41" t="s">
        <v>184</v>
      </c>
      <c r="D1023">
        <v>98.25</v>
      </c>
      <c r="E1023">
        <v>7324.78</v>
      </c>
      <c r="F1023">
        <v>68.05</v>
      </c>
      <c r="G1023">
        <v>87.08</v>
      </c>
      <c r="H1023">
        <v>8254.01</v>
      </c>
      <c r="I1023" s="80">
        <v>23280.5</v>
      </c>
      <c r="J1023">
        <v>27.04</v>
      </c>
      <c r="K1023">
        <v>1220.19</v>
      </c>
      <c r="L1023">
        <f t="shared" si="150"/>
        <v>0</v>
      </c>
      <c r="M1023">
        <f t="shared" si="151"/>
        <v>0</v>
      </c>
      <c r="N1023">
        <f t="shared" si="152"/>
        <v>0</v>
      </c>
      <c r="O1023">
        <f t="shared" si="153"/>
        <v>0</v>
      </c>
      <c r="P1023">
        <f t="shared" si="154"/>
        <v>0</v>
      </c>
      <c r="Q1023">
        <f t="shared" si="155"/>
        <v>0</v>
      </c>
      <c r="R1023">
        <f t="shared" si="156"/>
        <v>0</v>
      </c>
      <c r="S1023">
        <f t="shared" si="157"/>
        <v>0</v>
      </c>
      <c r="T1023">
        <f t="shared" si="159"/>
        <v>0</v>
      </c>
      <c r="U1023">
        <f t="shared" si="158"/>
        <v>0</v>
      </c>
    </row>
    <row r="1024" spans="1:21" x14ac:dyDescent="0.25">
      <c r="A1024" s="2">
        <v>1023</v>
      </c>
      <c r="B1024" s="39">
        <v>2032</v>
      </c>
      <c r="C1024" s="41" t="s">
        <v>187</v>
      </c>
      <c r="D1024">
        <v>361.87</v>
      </c>
      <c r="E1024">
        <v>6334.89</v>
      </c>
      <c r="F1024">
        <v>105.64</v>
      </c>
      <c r="G1024">
        <v>152.57</v>
      </c>
      <c r="H1024">
        <v>15931.87</v>
      </c>
      <c r="I1024" s="80">
        <v>19993.82</v>
      </c>
      <c r="J1024">
        <v>49.03</v>
      </c>
      <c r="K1024">
        <v>3579.31</v>
      </c>
      <c r="L1024">
        <f t="shared" si="150"/>
        <v>0</v>
      </c>
      <c r="M1024">
        <f t="shared" si="151"/>
        <v>0</v>
      </c>
      <c r="N1024">
        <f t="shared" si="152"/>
        <v>0</v>
      </c>
      <c r="O1024">
        <f t="shared" si="153"/>
        <v>0</v>
      </c>
      <c r="P1024">
        <f t="shared" si="154"/>
        <v>0</v>
      </c>
      <c r="Q1024">
        <f t="shared" si="155"/>
        <v>0</v>
      </c>
      <c r="R1024">
        <f t="shared" si="156"/>
        <v>0</v>
      </c>
      <c r="S1024">
        <f t="shared" si="157"/>
        <v>0</v>
      </c>
      <c r="T1024">
        <f t="shared" si="159"/>
        <v>0</v>
      </c>
      <c r="U1024">
        <f t="shared" si="158"/>
        <v>0</v>
      </c>
    </row>
    <row r="1025" spans="1:21" x14ac:dyDescent="0.25">
      <c r="A1025" s="2">
        <v>1024</v>
      </c>
      <c r="B1025" s="39">
        <v>2032</v>
      </c>
      <c r="C1025" s="41" t="s">
        <v>189</v>
      </c>
      <c r="D1025">
        <v>50.6</v>
      </c>
      <c r="E1025">
        <v>5745.26</v>
      </c>
      <c r="F1025">
        <v>6.88</v>
      </c>
      <c r="G1025">
        <v>99.41</v>
      </c>
      <c r="H1025">
        <v>7398.33</v>
      </c>
      <c r="I1025" s="80">
        <v>11224.68</v>
      </c>
      <c r="J1025">
        <v>33.24</v>
      </c>
      <c r="K1025">
        <v>2703.69</v>
      </c>
      <c r="L1025">
        <f t="shared" si="150"/>
        <v>0</v>
      </c>
      <c r="M1025">
        <f t="shared" si="151"/>
        <v>0</v>
      </c>
      <c r="N1025">
        <f t="shared" si="152"/>
        <v>0</v>
      </c>
      <c r="O1025">
        <f t="shared" si="153"/>
        <v>0</v>
      </c>
      <c r="P1025">
        <f t="shared" si="154"/>
        <v>0</v>
      </c>
      <c r="Q1025">
        <f t="shared" si="155"/>
        <v>0</v>
      </c>
      <c r="R1025">
        <f t="shared" si="156"/>
        <v>0</v>
      </c>
      <c r="S1025">
        <f t="shared" si="157"/>
        <v>0</v>
      </c>
      <c r="T1025">
        <f t="shared" si="159"/>
        <v>0</v>
      </c>
      <c r="U1025">
        <f t="shared" si="158"/>
        <v>0</v>
      </c>
    </row>
    <row r="1026" spans="1:21" x14ac:dyDescent="0.25">
      <c r="A1026" s="2">
        <v>1025</v>
      </c>
      <c r="B1026" s="39">
        <v>2033</v>
      </c>
      <c r="C1026" s="46" t="s">
        <v>162</v>
      </c>
      <c r="D1026">
        <v>3.43</v>
      </c>
      <c r="E1026">
        <v>5767.65</v>
      </c>
      <c r="F1026">
        <v>0.32</v>
      </c>
      <c r="G1026">
        <v>47.54</v>
      </c>
      <c r="H1026">
        <v>0.71</v>
      </c>
      <c r="I1026">
        <v>7.23</v>
      </c>
      <c r="J1026">
        <v>12.3</v>
      </c>
      <c r="K1026">
        <v>1.36</v>
      </c>
      <c r="L1026">
        <f t="shared" ref="L1026:L1089" si="160">IF(D1026 = "OOR &gt;", 1,0)</f>
        <v>0</v>
      </c>
      <c r="M1026">
        <f t="shared" ref="M1026:M1089" si="161">IF(E1026 = "OOR &gt;", 1,0)</f>
        <v>0</v>
      </c>
      <c r="N1026">
        <f t="shared" ref="N1026:N1089" si="162">IF(F1026 = "OOR &gt;", 1,0)</f>
        <v>0</v>
      </c>
      <c r="O1026">
        <f t="shared" ref="O1026:O1089" si="163">IF(G1026 = "OOR &gt;", 1,0)</f>
        <v>0</v>
      </c>
      <c r="P1026">
        <f t="shared" ref="P1026:P1089" si="164">IF(H1026 = "OOR &gt;", 1,0)</f>
        <v>0</v>
      </c>
      <c r="Q1026">
        <f t="shared" ref="Q1026:Q1089" si="165">IF(I1026 = "OOR &gt;", 1,0)</f>
        <v>0</v>
      </c>
      <c r="R1026">
        <f t="shared" ref="R1026:R1089" si="166">IF(J1026 = "OOR &gt;", 1,0)</f>
        <v>0</v>
      </c>
      <c r="S1026">
        <f t="shared" ref="S1026:S1089" si="167">IF(K1026 = "OOR &gt;", 1,0)</f>
        <v>0</v>
      </c>
      <c r="T1026">
        <f t="shared" si="159"/>
        <v>0</v>
      </c>
      <c r="U1026">
        <f t="shared" ref="U1026:U1089" si="168">IF(T1026 &gt; 0,1,0)</f>
        <v>0</v>
      </c>
    </row>
    <row r="1027" spans="1:21" x14ac:dyDescent="0.25">
      <c r="A1027" s="2">
        <v>1026</v>
      </c>
      <c r="B1027" s="39">
        <v>2033</v>
      </c>
      <c r="C1027" s="41" t="s">
        <v>170</v>
      </c>
      <c r="D1027">
        <v>2.1</v>
      </c>
      <c r="E1027">
        <v>2954.68</v>
      </c>
      <c r="F1027">
        <v>16.05</v>
      </c>
      <c r="G1027">
        <v>63.74</v>
      </c>
      <c r="H1027">
        <v>726.8</v>
      </c>
      <c r="I1027" s="80">
        <v>4869.01</v>
      </c>
      <c r="J1027">
        <v>7.33</v>
      </c>
      <c r="K1027">
        <v>98.98</v>
      </c>
      <c r="L1027">
        <f t="shared" si="160"/>
        <v>0</v>
      </c>
      <c r="M1027">
        <f t="shared" si="161"/>
        <v>0</v>
      </c>
      <c r="N1027">
        <f t="shared" si="162"/>
        <v>0</v>
      </c>
      <c r="O1027">
        <f t="shared" si="163"/>
        <v>0</v>
      </c>
      <c r="P1027">
        <f t="shared" si="164"/>
        <v>0</v>
      </c>
      <c r="Q1027">
        <f t="shared" si="165"/>
        <v>0</v>
      </c>
      <c r="R1027">
        <f t="shared" si="166"/>
        <v>0</v>
      </c>
      <c r="S1027">
        <f t="shared" si="167"/>
        <v>0</v>
      </c>
      <c r="T1027">
        <f t="shared" ref="T1027:T1090" si="169">SUMIF(L1027:S1027,"&gt;0")</f>
        <v>0</v>
      </c>
      <c r="U1027">
        <f t="shared" si="168"/>
        <v>0</v>
      </c>
    </row>
    <row r="1028" spans="1:21" x14ac:dyDescent="0.25">
      <c r="A1028" s="2">
        <v>1027</v>
      </c>
      <c r="B1028" s="39">
        <v>2033</v>
      </c>
      <c r="C1028" s="41" t="s">
        <v>178</v>
      </c>
      <c r="D1028">
        <v>4.87</v>
      </c>
      <c r="E1028">
        <v>2954.68</v>
      </c>
      <c r="F1028">
        <v>97.28</v>
      </c>
      <c r="G1028">
        <v>87.08</v>
      </c>
      <c r="H1028">
        <v>5463.34</v>
      </c>
      <c r="I1028" s="80">
        <v>10227.42</v>
      </c>
      <c r="J1028">
        <v>18.829999999999998</v>
      </c>
      <c r="K1028">
        <v>437.78</v>
      </c>
      <c r="L1028">
        <f t="shared" si="160"/>
        <v>0</v>
      </c>
      <c r="M1028">
        <f t="shared" si="161"/>
        <v>0</v>
      </c>
      <c r="N1028">
        <f t="shared" si="162"/>
        <v>0</v>
      </c>
      <c r="O1028">
        <f t="shared" si="163"/>
        <v>0</v>
      </c>
      <c r="P1028">
        <f t="shared" si="164"/>
        <v>0</v>
      </c>
      <c r="Q1028">
        <f t="shared" si="165"/>
        <v>0</v>
      </c>
      <c r="R1028">
        <f t="shared" si="166"/>
        <v>0</v>
      </c>
      <c r="S1028">
        <f t="shared" si="167"/>
        <v>0</v>
      </c>
      <c r="T1028">
        <f t="shared" si="169"/>
        <v>0</v>
      </c>
      <c r="U1028">
        <f t="shared" si="168"/>
        <v>0</v>
      </c>
    </row>
    <row r="1029" spans="1:21" x14ac:dyDescent="0.25">
      <c r="A1029" s="2">
        <v>1028</v>
      </c>
      <c r="B1029" s="39">
        <v>2033</v>
      </c>
      <c r="C1029" s="41" t="s">
        <v>163</v>
      </c>
      <c r="D1029">
        <v>18.86</v>
      </c>
      <c r="E1029">
        <v>11899.36</v>
      </c>
      <c r="F1029">
        <v>5.45</v>
      </c>
      <c r="G1029">
        <v>63.74</v>
      </c>
      <c r="H1029">
        <v>1270.01</v>
      </c>
      <c r="I1029" s="80">
        <v>3947.08</v>
      </c>
      <c r="J1029">
        <v>33.24</v>
      </c>
      <c r="K1029">
        <v>1916.65</v>
      </c>
      <c r="L1029">
        <f t="shared" si="160"/>
        <v>0</v>
      </c>
      <c r="M1029">
        <f t="shared" si="161"/>
        <v>0</v>
      </c>
      <c r="N1029">
        <f t="shared" si="162"/>
        <v>0</v>
      </c>
      <c r="O1029">
        <f t="shared" si="163"/>
        <v>0</v>
      </c>
      <c r="P1029">
        <f t="shared" si="164"/>
        <v>0</v>
      </c>
      <c r="Q1029">
        <f t="shared" si="165"/>
        <v>0</v>
      </c>
      <c r="R1029">
        <f t="shared" si="166"/>
        <v>0</v>
      </c>
      <c r="S1029">
        <f t="shared" si="167"/>
        <v>0</v>
      </c>
      <c r="T1029">
        <f t="shared" si="169"/>
        <v>0</v>
      </c>
      <c r="U1029">
        <f t="shared" si="168"/>
        <v>0</v>
      </c>
    </row>
    <row r="1030" spans="1:21" x14ac:dyDescent="0.25">
      <c r="A1030" s="2">
        <v>1029</v>
      </c>
      <c r="B1030" s="39">
        <v>2033</v>
      </c>
      <c r="C1030" s="41" t="s">
        <v>181</v>
      </c>
      <c r="D1030">
        <v>21.83</v>
      </c>
      <c r="E1030" s="80">
        <v>127875.91</v>
      </c>
      <c r="F1030">
        <v>0.77</v>
      </c>
      <c r="G1030">
        <v>99.41</v>
      </c>
      <c r="H1030">
        <v>161.06</v>
      </c>
      <c r="I1030">
        <v>685.16</v>
      </c>
      <c r="J1030">
        <v>39.67</v>
      </c>
      <c r="K1030">
        <v>197.84</v>
      </c>
      <c r="L1030">
        <f t="shared" si="160"/>
        <v>0</v>
      </c>
      <c r="M1030">
        <f t="shared" si="161"/>
        <v>0</v>
      </c>
      <c r="N1030">
        <f t="shared" si="162"/>
        <v>0</v>
      </c>
      <c r="O1030">
        <f t="shared" si="163"/>
        <v>0</v>
      </c>
      <c r="P1030">
        <f t="shared" si="164"/>
        <v>0</v>
      </c>
      <c r="Q1030">
        <f t="shared" si="165"/>
        <v>0</v>
      </c>
      <c r="R1030">
        <f t="shared" si="166"/>
        <v>0</v>
      </c>
      <c r="S1030">
        <f t="shared" si="167"/>
        <v>0</v>
      </c>
      <c r="T1030">
        <f t="shared" si="169"/>
        <v>0</v>
      </c>
      <c r="U1030">
        <f t="shared" si="168"/>
        <v>0</v>
      </c>
    </row>
    <row r="1031" spans="1:21" ht="15.75" thickBot="1" x14ac:dyDescent="0.3">
      <c r="A1031" s="2">
        <v>1030</v>
      </c>
      <c r="B1031" s="39">
        <v>2033</v>
      </c>
      <c r="C1031" s="41" t="s">
        <v>183</v>
      </c>
      <c r="D1031">
        <v>29.08</v>
      </c>
      <c r="E1031" s="80">
        <v>37408.22</v>
      </c>
      <c r="F1031">
        <v>402.8</v>
      </c>
      <c r="G1031">
        <v>211.03</v>
      </c>
      <c r="H1031" s="80">
        <v>17908.740000000002</v>
      </c>
      <c r="I1031" s="80">
        <v>33215.879999999997</v>
      </c>
      <c r="J1031">
        <v>65.91</v>
      </c>
      <c r="K1031" s="80">
        <v>12864.97</v>
      </c>
      <c r="L1031">
        <f t="shared" si="160"/>
        <v>0</v>
      </c>
      <c r="M1031">
        <f t="shared" si="161"/>
        <v>0</v>
      </c>
      <c r="N1031">
        <f t="shared" si="162"/>
        <v>0</v>
      </c>
      <c r="O1031">
        <f t="shared" si="163"/>
        <v>0</v>
      </c>
      <c r="P1031">
        <f t="shared" si="164"/>
        <v>0</v>
      </c>
      <c r="Q1031">
        <f t="shared" si="165"/>
        <v>0</v>
      </c>
      <c r="R1031">
        <f t="shared" si="166"/>
        <v>0</v>
      </c>
      <c r="S1031">
        <f t="shared" si="167"/>
        <v>0</v>
      </c>
      <c r="T1031">
        <f t="shared" si="169"/>
        <v>0</v>
      </c>
      <c r="U1031">
        <f t="shared" si="168"/>
        <v>0</v>
      </c>
    </row>
    <row r="1032" spans="1:21" x14ac:dyDescent="0.25">
      <c r="A1032" s="2">
        <v>1031</v>
      </c>
      <c r="B1032" s="39">
        <v>2033</v>
      </c>
      <c r="C1032" s="40" t="s">
        <v>186</v>
      </c>
      <c r="D1032">
        <v>33.4</v>
      </c>
      <c r="E1032" s="80">
        <v>32063.23</v>
      </c>
      <c r="F1032">
        <v>812.68</v>
      </c>
      <c r="G1032">
        <v>226.37</v>
      </c>
      <c r="H1032" s="80">
        <v>46992.12</v>
      </c>
      <c r="I1032" s="80">
        <v>35691.629999999997</v>
      </c>
      <c r="J1032">
        <v>85.22</v>
      </c>
      <c r="K1032" s="80">
        <v>17306.37</v>
      </c>
      <c r="L1032">
        <f t="shared" si="160"/>
        <v>0</v>
      </c>
      <c r="M1032">
        <f t="shared" si="161"/>
        <v>0</v>
      </c>
      <c r="N1032">
        <f t="shared" si="162"/>
        <v>0</v>
      </c>
      <c r="O1032">
        <f t="shared" si="163"/>
        <v>0</v>
      </c>
      <c r="P1032">
        <f t="shared" si="164"/>
        <v>0</v>
      </c>
      <c r="Q1032">
        <f t="shared" si="165"/>
        <v>0</v>
      </c>
      <c r="R1032">
        <f t="shared" si="166"/>
        <v>0</v>
      </c>
      <c r="S1032">
        <f t="shared" si="167"/>
        <v>0</v>
      </c>
      <c r="T1032">
        <f t="shared" si="169"/>
        <v>0</v>
      </c>
      <c r="U1032">
        <f t="shared" si="168"/>
        <v>0</v>
      </c>
    </row>
    <row r="1033" spans="1:21" x14ac:dyDescent="0.25">
      <c r="A1033" s="2">
        <v>1032</v>
      </c>
      <c r="B1033" s="39">
        <v>2033</v>
      </c>
      <c r="C1033" s="41" t="s">
        <v>188</v>
      </c>
      <c r="D1033">
        <v>40.1</v>
      </c>
      <c r="E1033" s="80">
        <v>99135.18</v>
      </c>
      <c r="F1033">
        <v>62.63</v>
      </c>
      <c r="G1033">
        <v>241.98</v>
      </c>
      <c r="H1033">
        <v>6931.4</v>
      </c>
      <c r="I1033" s="80">
        <v>26099.360000000001</v>
      </c>
      <c r="J1033">
        <v>92.9</v>
      </c>
      <c r="K1033" s="80">
        <v>18620.240000000002</v>
      </c>
      <c r="L1033">
        <f t="shared" si="160"/>
        <v>0</v>
      </c>
      <c r="M1033">
        <f t="shared" si="161"/>
        <v>0</v>
      </c>
      <c r="N1033">
        <f t="shared" si="162"/>
        <v>0</v>
      </c>
      <c r="O1033">
        <f t="shared" si="163"/>
        <v>0</v>
      </c>
      <c r="P1033">
        <f t="shared" si="164"/>
        <v>0</v>
      </c>
      <c r="Q1033">
        <f t="shared" si="165"/>
        <v>0</v>
      </c>
      <c r="R1033">
        <f t="shared" si="166"/>
        <v>0</v>
      </c>
      <c r="S1033">
        <f t="shared" si="167"/>
        <v>0</v>
      </c>
      <c r="T1033">
        <f t="shared" si="169"/>
        <v>0</v>
      </c>
      <c r="U1033">
        <f t="shared" si="168"/>
        <v>0</v>
      </c>
    </row>
    <row r="1034" spans="1:21" x14ac:dyDescent="0.25">
      <c r="A1034" s="2">
        <v>1033</v>
      </c>
      <c r="B1034" s="39">
        <v>2033</v>
      </c>
      <c r="C1034" s="41" t="s">
        <v>182</v>
      </c>
      <c r="D1034" t="s">
        <v>583</v>
      </c>
      <c r="E1034">
        <v>1249.21</v>
      </c>
      <c r="F1034" t="s">
        <v>583</v>
      </c>
      <c r="G1034">
        <v>19.329999999999998</v>
      </c>
      <c r="H1034">
        <v>1.5</v>
      </c>
      <c r="I1034">
        <v>109.09</v>
      </c>
      <c r="J1034" s="80">
        <v>1.49</v>
      </c>
      <c r="K1034">
        <v>0.23</v>
      </c>
      <c r="L1034">
        <f t="shared" si="160"/>
        <v>0</v>
      </c>
      <c r="M1034">
        <f t="shared" si="161"/>
        <v>0</v>
      </c>
      <c r="N1034">
        <f t="shared" si="162"/>
        <v>0</v>
      </c>
      <c r="O1034">
        <f t="shared" si="163"/>
        <v>0</v>
      </c>
      <c r="P1034">
        <f t="shared" si="164"/>
        <v>0</v>
      </c>
      <c r="Q1034">
        <f t="shared" si="165"/>
        <v>0</v>
      </c>
      <c r="R1034">
        <f t="shared" si="166"/>
        <v>0</v>
      </c>
      <c r="S1034">
        <f t="shared" si="167"/>
        <v>0</v>
      </c>
      <c r="T1034">
        <f t="shared" si="169"/>
        <v>0</v>
      </c>
      <c r="U1034">
        <f t="shared" si="168"/>
        <v>0</v>
      </c>
    </row>
    <row r="1035" spans="1:21" x14ac:dyDescent="0.25">
      <c r="A1035" s="2">
        <v>1034</v>
      </c>
      <c r="B1035" s="39">
        <v>2033</v>
      </c>
      <c r="C1035" s="41" t="s">
        <v>184</v>
      </c>
      <c r="D1035">
        <v>26.96</v>
      </c>
      <c r="E1035">
        <v>2372.39</v>
      </c>
      <c r="F1035">
        <v>9.3000000000000007</v>
      </c>
      <c r="G1035">
        <v>32.64</v>
      </c>
      <c r="H1035">
        <v>2233.67</v>
      </c>
      <c r="I1035" s="80">
        <v>15651.65</v>
      </c>
      <c r="J1035">
        <v>14.41</v>
      </c>
      <c r="K1035">
        <v>250.89</v>
      </c>
      <c r="L1035">
        <f t="shared" si="160"/>
        <v>0</v>
      </c>
      <c r="M1035">
        <f t="shared" si="161"/>
        <v>0</v>
      </c>
      <c r="N1035">
        <f t="shared" si="162"/>
        <v>0</v>
      </c>
      <c r="O1035">
        <f t="shared" si="163"/>
        <v>0</v>
      </c>
      <c r="P1035">
        <f t="shared" si="164"/>
        <v>0</v>
      </c>
      <c r="Q1035">
        <f t="shared" si="165"/>
        <v>0</v>
      </c>
      <c r="R1035">
        <f t="shared" si="166"/>
        <v>0</v>
      </c>
      <c r="S1035">
        <f t="shared" si="167"/>
        <v>0</v>
      </c>
      <c r="T1035">
        <f t="shared" si="169"/>
        <v>0</v>
      </c>
      <c r="U1035">
        <f t="shared" si="168"/>
        <v>0</v>
      </c>
    </row>
    <row r="1036" spans="1:21" x14ac:dyDescent="0.25">
      <c r="A1036" s="2">
        <v>1035</v>
      </c>
      <c r="B1036" s="39">
        <v>2033</v>
      </c>
      <c r="C1036" s="41" t="s">
        <v>187</v>
      </c>
      <c r="D1036">
        <v>283.27</v>
      </c>
      <c r="E1036">
        <v>3214.26</v>
      </c>
      <c r="F1036">
        <v>30.17</v>
      </c>
      <c r="G1036">
        <v>63.74</v>
      </c>
      <c r="H1036">
        <v>8996.81</v>
      </c>
      <c r="I1036" s="80">
        <v>17428.689999999999</v>
      </c>
      <c r="J1036">
        <v>38.369999999999997</v>
      </c>
      <c r="K1036">
        <v>1404.91</v>
      </c>
      <c r="L1036">
        <f t="shared" si="160"/>
        <v>0</v>
      </c>
      <c r="M1036">
        <f t="shared" si="161"/>
        <v>0</v>
      </c>
      <c r="N1036">
        <f t="shared" si="162"/>
        <v>0</v>
      </c>
      <c r="O1036">
        <f t="shared" si="163"/>
        <v>0</v>
      </c>
      <c r="P1036">
        <f t="shared" si="164"/>
        <v>0</v>
      </c>
      <c r="Q1036">
        <f t="shared" si="165"/>
        <v>0</v>
      </c>
      <c r="R1036">
        <f t="shared" si="166"/>
        <v>0</v>
      </c>
      <c r="S1036">
        <f t="shared" si="167"/>
        <v>0</v>
      </c>
      <c r="T1036">
        <f t="shared" si="169"/>
        <v>0</v>
      </c>
      <c r="U1036">
        <f t="shared" si="168"/>
        <v>0</v>
      </c>
    </row>
    <row r="1037" spans="1:21" x14ac:dyDescent="0.25">
      <c r="A1037" s="2">
        <v>1036</v>
      </c>
      <c r="B1037" s="39">
        <v>2033</v>
      </c>
      <c r="C1037" s="41" t="s">
        <v>189</v>
      </c>
      <c r="D1037">
        <v>533.73</v>
      </c>
      <c r="E1037">
        <v>4235.8900000000003</v>
      </c>
      <c r="F1037">
        <v>2.99</v>
      </c>
      <c r="G1037">
        <v>52.8</v>
      </c>
      <c r="H1037">
        <v>4264.75</v>
      </c>
      <c r="I1037" s="80">
        <v>12001.37</v>
      </c>
      <c r="J1037">
        <v>33.24</v>
      </c>
      <c r="K1037">
        <v>1550.72</v>
      </c>
      <c r="L1037">
        <f t="shared" si="160"/>
        <v>0</v>
      </c>
      <c r="M1037">
        <f t="shared" si="161"/>
        <v>0</v>
      </c>
      <c r="N1037">
        <f t="shared" si="162"/>
        <v>0</v>
      </c>
      <c r="O1037">
        <f t="shared" si="163"/>
        <v>0</v>
      </c>
      <c r="P1037">
        <f t="shared" si="164"/>
        <v>0</v>
      </c>
      <c r="Q1037">
        <f t="shared" si="165"/>
        <v>0</v>
      </c>
      <c r="R1037">
        <f t="shared" si="166"/>
        <v>0</v>
      </c>
      <c r="S1037">
        <f t="shared" si="167"/>
        <v>0</v>
      </c>
      <c r="T1037">
        <f t="shared" si="169"/>
        <v>0</v>
      </c>
      <c r="U1037">
        <f t="shared" si="168"/>
        <v>0</v>
      </c>
    </row>
    <row r="1038" spans="1:21" x14ac:dyDescent="0.25">
      <c r="A1038" s="2">
        <v>1037</v>
      </c>
      <c r="B1038" s="39">
        <v>2035</v>
      </c>
      <c r="C1038" s="41" t="s">
        <v>162</v>
      </c>
      <c r="D1038">
        <v>10.54</v>
      </c>
      <c r="E1038">
        <v>19587.59</v>
      </c>
      <c r="F1038">
        <v>0.37</v>
      </c>
      <c r="G1038">
        <v>63.74</v>
      </c>
      <c r="H1038">
        <v>5.43</v>
      </c>
      <c r="I1038">
        <v>59.08</v>
      </c>
      <c r="J1038">
        <v>17.7</v>
      </c>
      <c r="K1038">
        <v>15.38</v>
      </c>
      <c r="L1038">
        <f t="shared" si="160"/>
        <v>0</v>
      </c>
      <c r="M1038">
        <f t="shared" si="161"/>
        <v>0</v>
      </c>
      <c r="N1038">
        <f t="shared" si="162"/>
        <v>0</v>
      </c>
      <c r="O1038">
        <f t="shared" si="163"/>
        <v>0</v>
      </c>
      <c r="P1038">
        <f t="shared" si="164"/>
        <v>0</v>
      </c>
      <c r="Q1038">
        <f t="shared" si="165"/>
        <v>0</v>
      </c>
      <c r="R1038">
        <f t="shared" si="166"/>
        <v>0</v>
      </c>
      <c r="S1038">
        <f t="shared" si="167"/>
        <v>0</v>
      </c>
      <c r="T1038">
        <f t="shared" si="169"/>
        <v>0</v>
      </c>
      <c r="U1038">
        <f t="shared" si="168"/>
        <v>0</v>
      </c>
    </row>
    <row r="1039" spans="1:21" x14ac:dyDescent="0.25">
      <c r="A1039" s="2">
        <v>1038</v>
      </c>
      <c r="B1039" s="39">
        <v>2035</v>
      </c>
      <c r="C1039" s="46" t="s">
        <v>170</v>
      </c>
      <c r="D1039">
        <v>18.86</v>
      </c>
      <c r="E1039">
        <v>14614.98</v>
      </c>
      <c r="F1039">
        <v>124.3</v>
      </c>
      <c r="G1039">
        <v>118.66</v>
      </c>
      <c r="H1039">
        <v>2896.16</v>
      </c>
      <c r="I1039" s="80">
        <v>15047.9</v>
      </c>
      <c r="J1039">
        <v>27.04</v>
      </c>
      <c r="K1039">
        <v>842.96</v>
      </c>
      <c r="L1039">
        <f t="shared" si="160"/>
        <v>0</v>
      </c>
      <c r="M1039">
        <f t="shared" si="161"/>
        <v>0</v>
      </c>
      <c r="N1039">
        <f t="shared" si="162"/>
        <v>0</v>
      </c>
      <c r="O1039">
        <f t="shared" si="163"/>
        <v>0</v>
      </c>
      <c r="P1039">
        <f t="shared" si="164"/>
        <v>0</v>
      </c>
      <c r="Q1039">
        <f t="shared" si="165"/>
        <v>0</v>
      </c>
      <c r="R1039">
        <f t="shared" si="166"/>
        <v>0</v>
      </c>
      <c r="S1039">
        <f t="shared" si="167"/>
        <v>0</v>
      </c>
      <c r="T1039">
        <f t="shared" si="169"/>
        <v>0</v>
      </c>
      <c r="U1039">
        <f t="shared" si="168"/>
        <v>0</v>
      </c>
    </row>
    <row r="1040" spans="1:21" x14ac:dyDescent="0.25">
      <c r="A1040" s="2">
        <v>1039</v>
      </c>
      <c r="B1040" s="39">
        <v>2035</v>
      </c>
      <c r="C1040" s="41" t="s">
        <v>178</v>
      </c>
      <c r="D1040">
        <v>74.25</v>
      </c>
      <c r="E1040">
        <v>15492.35</v>
      </c>
      <c r="F1040">
        <v>659.83</v>
      </c>
      <c r="G1040">
        <v>125.27</v>
      </c>
      <c r="H1040" s="80">
        <v>16175.55</v>
      </c>
      <c r="I1040" s="80">
        <v>21311.71</v>
      </c>
      <c r="J1040">
        <v>46.32</v>
      </c>
      <c r="K1040">
        <v>2573.81</v>
      </c>
      <c r="L1040">
        <f t="shared" si="160"/>
        <v>0</v>
      </c>
      <c r="M1040">
        <f t="shared" si="161"/>
        <v>0</v>
      </c>
      <c r="N1040">
        <f t="shared" si="162"/>
        <v>0</v>
      </c>
      <c r="O1040">
        <f t="shared" si="163"/>
        <v>0</v>
      </c>
      <c r="P1040">
        <f t="shared" si="164"/>
        <v>0</v>
      </c>
      <c r="Q1040">
        <f t="shared" si="165"/>
        <v>0</v>
      </c>
      <c r="R1040">
        <f t="shared" si="166"/>
        <v>0</v>
      </c>
      <c r="S1040">
        <f t="shared" si="167"/>
        <v>0</v>
      </c>
      <c r="T1040">
        <f t="shared" si="169"/>
        <v>0</v>
      </c>
      <c r="U1040">
        <f t="shared" si="168"/>
        <v>0</v>
      </c>
    </row>
    <row r="1041" spans="1:21" x14ac:dyDescent="0.25">
      <c r="A1041" s="2">
        <v>1040</v>
      </c>
      <c r="B1041" s="39">
        <v>2035</v>
      </c>
      <c r="C1041" s="41" t="s">
        <v>163</v>
      </c>
      <c r="D1041">
        <v>66.58</v>
      </c>
      <c r="E1041" s="80">
        <v>29281.73</v>
      </c>
      <c r="F1041">
        <v>39.97</v>
      </c>
      <c r="G1041">
        <v>152.57</v>
      </c>
      <c r="H1041">
        <v>4534.07</v>
      </c>
      <c r="I1041" s="80">
        <v>13562.96</v>
      </c>
      <c r="J1041">
        <v>53.16</v>
      </c>
      <c r="K1041">
        <v>7192.25</v>
      </c>
      <c r="L1041">
        <f t="shared" si="160"/>
        <v>0</v>
      </c>
      <c r="M1041">
        <f t="shared" si="161"/>
        <v>0</v>
      </c>
      <c r="N1041">
        <f t="shared" si="162"/>
        <v>0</v>
      </c>
      <c r="O1041">
        <f t="shared" si="163"/>
        <v>0</v>
      </c>
      <c r="P1041">
        <f t="shared" si="164"/>
        <v>0</v>
      </c>
      <c r="Q1041">
        <f t="shared" si="165"/>
        <v>0</v>
      </c>
      <c r="R1041">
        <f t="shared" si="166"/>
        <v>0</v>
      </c>
      <c r="S1041">
        <f t="shared" si="167"/>
        <v>0</v>
      </c>
      <c r="T1041">
        <f t="shared" si="169"/>
        <v>0</v>
      </c>
      <c r="U1041">
        <f t="shared" si="168"/>
        <v>0</v>
      </c>
    </row>
    <row r="1042" spans="1:21" x14ac:dyDescent="0.25">
      <c r="A1042" s="2">
        <v>1041</v>
      </c>
      <c r="B1042" s="39">
        <v>2035</v>
      </c>
      <c r="C1042" s="41" t="s">
        <v>181</v>
      </c>
      <c r="D1042">
        <v>22.84</v>
      </c>
      <c r="E1042" s="80">
        <v>109363.87</v>
      </c>
      <c r="F1042">
        <v>1.07</v>
      </c>
      <c r="G1042">
        <v>125.27</v>
      </c>
      <c r="H1042">
        <v>17.78</v>
      </c>
      <c r="I1042">
        <v>2340.6799999999998</v>
      </c>
      <c r="J1042">
        <v>37.07</v>
      </c>
      <c r="K1042">
        <v>158.22999999999999</v>
      </c>
      <c r="L1042">
        <f t="shared" si="160"/>
        <v>0</v>
      </c>
      <c r="M1042">
        <f t="shared" si="161"/>
        <v>0</v>
      </c>
      <c r="N1042">
        <f t="shared" si="162"/>
        <v>0</v>
      </c>
      <c r="O1042">
        <f t="shared" si="163"/>
        <v>0</v>
      </c>
      <c r="P1042">
        <f t="shared" si="164"/>
        <v>0</v>
      </c>
      <c r="Q1042">
        <f t="shared" si="165"/>
        <v>0</v>
      </c>
      <c r="R1042">
        <f t="shared" si="166"/>
        <v>0</v>
      </c>
      <c r="S1042">
        <f t="shared" si="167"/>
        <v>0</v>
      </c>
      <c r="T1042">
        <f t="shared" si="169"/>
        <v>0</v>
      </c>
      <c r="U1042">
        <f t="shared" si="168"/>
        <v>0</v>
      </c>
    </row>
    <row r="1043" spans="1:21" x14ac:dyDescent="0.25">
      <c r="A1043" s="2">
        <v>1042</v>
      </c>
      <c r="B1043" s="39">
        <v>2035</v>
      </c>
      <c r="C1043" s="41" t="s">
        <v>183</v>
      </c>
      <c r="D1043">
        <v>47.04</v>
      </c>
      <c r="E1043" s="80">
        <v>105625.41</v>
      </c>
      <c r="F1043">
        <v>1056.6500000000001</v>
      </c>
      <c r="G1043">
        <v>241.98</v>
      </c>
      <c r="H1043">
        <v>14318.25</v>
      </c>
      <c r="I1043" s="80">
        <v>35465.49</v>
      </c>
      <c r="J1043">
        <v>74.7</v>
      </c>
      <c r="K1043" s="80">
        <v>8981.81</v>
      </c>
      <c r="L1043">
        <f t="shared" si="160"/>
        <v>0</v>
      </c>
      <c r="M1043">
        <f t="shared" si="161"/>
        <v>0</v>
      </c>
      <c r="N1043">
        <f t="shared" si="162"/>
        <v>0</v>
      </c>
      <c r="O1043">
        <f t="shared" si="163"/>
        <v>0</v>
      </c>
      <c r="P1043">
        <f t="shared" si="164"/>
        <v>0</v>
      </c>
      <c r="Q1043">
        <f t="shared" si="165"/>
        <v>0</v>
      </c>
      <c r="R1043">
        <f t="shared" si="166"/>
        <v>0</v>
      </c>
      <c r="S1043">
        <f t="shared" si="167"/>
        <v>0</v>
      </c>
      <c r="T1043">
        <f t="shared" si="169"/>
        <v>0</v>
      </c>
      <c r="U1043">
        <f t="shared" si="168"/>
        <v>0</v>
      </c>
    </row>
    <row r="1044" spans="1:21" ht="15.75" thickBot="1" x14ac:dyDescent="0.3">
      <c r="A1044" s="92">
        <v>1043</v>
      </c>
      <c r="B1044" s="39">
        <v>2035</v>
      </c>
      <c r="C1044" s="41" t="s">
        <v>186</v>
      </c>
      <c r="D1044">
        <v>60.32</v>
      </c>
      <c r="E1044" s="80">
        <v>91901.28</v>
      </c>
      <c r="F1044" s="89" t="s">
        <v>582</v>
      </c>
      <c r="G1044">
        <v>290.38</v>
      </c>
      <c r="H1044" s="80">
        <v>55062.87</v>
      </c>
      <c r="I1044" s="80">
        <v>36719.85</v>
      </c>
      <c r="J1044">
        <v>96.01</v>
      </c>
      <c r="K1044" s="80">
        <v>17028.48</v>
      </c>
      <c r="L1044">
        <f t="shared" si="160"/>
        <v>0</v>
      </c>
      <c r="M1044">
        <f t="shared" si="161"/>
        <v>0</v>
      </c>
      <c r="N1044">
        <f t="shared" si="162"/>
        <v>1</v>
      </c>
      <c r="O1044">
        <f t="shared" si="163"/>
        <v>0</v>
      </c>
      <c r="P1044">
        <f t="shared" si="164"/>
        <v>0</v>
      </c>
      <c r="Q1044">
        <f t="shared" si="165"/>
        <v>0</v>
      </c>
      <c r="R1044">
        <f t="shared" si="166"/>
        <v>0</v>
      </c>
      <c r="S1044">
        <f t="shared" si="167"/>
        <v>0</v>
      </c>
      <c r="T1044">
        <f t="shared" si="169"/>
        <v>1</v>
      </c>
      <c r="U1044">
        <f t="shared" si="168"/>
        <v>1</v>
      </c>
    </row>
    <row r="1045" spans="1:21" x14ac:dyDescent="0.25">
      <c r="A1045" s="2">
        <v>1044</v>
      </c>
      <c r="B1045" s="39">
        <v>2035</v>
      </c>
      <c r="C1045" s="40" t="s">
        <v>188</v>
      </c>
      <c r="D1045">
        <v>49.41</v>
      </c>
      <c r="E1045" s="80">
        <v>163997.29</v>
      </c>
      <c r="F1045">
        <v>236.07</v>
      </c>
      <c r="G1045">
        <v>226.37</v>
      </c>
      <c r="H1045">
        <v>8196.17</v>
      </c>
      <c r="I1045">
        <v>30709.26</v>
      </c>
      <c r="J1045">
        <v>92.9</v>
      </c>
      <c r="K1045" s="80">
        <v>12370.97</v>
      </c>
      <c r="L1045">
        <f t="shared" si="160"/>
        <v>0</v>
      </c>
      <c r="M1045">
        <f t="shared" si="161"/>
        <v>0</v>
      </c>
      <c r="N1045">
        <f t="shared" si="162"/>
        <v>0</v>
      </c>
      <c r="O1045">
        <f t="shared" si="163"/>
        <v>0</v>
      </c>
      <c r="P1045">
        <f t="shared" si="164"/>
        <v>0</v>
      </c>
      <c r="Q1045">
        <f t="shared" si="165"/>
        <v>0</v>
      </c>
      <c r="R1045">
        <f t="shared" si="166"/>
        <v>0</v>
      </c>
      <c r="S1045">
        <f t="shared" si="167"/>
        <v>0</v>
      </c>
      <c r="T1045">
        <f t="shared" si="169"/>
        <v>0</v>
      </c>
      <c r="U1045">
        <f t="shared" si="168"/>
        <v>0</v>
      </c>
    </row>
    <row r="1046" spans="1:21" x14ac:dyDescent="0.25">
      <c r="A1046" s="2">
        <v>1045</v>
      </c>
      <c r="B1046" s="39">
        <v>2035</v>
      </c>
      <c r="C1046" s="41" t="s">
        <v>182</v>
      </c>
      <c r="D1046" t="s">
        <v>583</v>
      </c>
      <c r="E1046">
        <v>952.34</v>
      </c>
      <c r="F1046">
        <v>0.72</v>
      </c>
      <c r="G1046" s="80">
        <v>13.4</v>
      </c>
      <c r="H1046">
        <v>116.13</v>
      </c>
      <c r="I1046">
        <v>1482.64</v>
      </c>
      <c r="J1046" s="80">
        <v>1.49</v>
      </c>
      <c r="K1046">
        <v>5.09</v>
      </c>
      <c r="L1046">
        <f t="shared" si="160"/>
        <v>0</v>
      </c>
      <c r="M1046">
        <f t="shared" si="161"/>
        <v>0</v>
      </c>
      <c r="N1046">
        <f t="shared" si="162"/>
        <v>0</v>
      </c>
      <c r="O1046">
        <f t="shared" si="163"/>
        <v>0</v>
      </c>
      <c r="P1046">
        <f t="shared" si="164"/>
        <v>0</v>
      </c>
      <c r="Q1046">
        <f t="shared" si="165"/>
        <v>0</v>
      </c>
      <c r="R1046">
        <f t="shared" si="166"/>
        <v>0</v>
      </c>
      <c r="S1046">
        <f t="shared" si="167"/>
        <v>0</v>
      </c>
      <c r="T1046">
        <f t="shared" si="169"/>
        <v>0</v>
      </c>
      <c r="U1046">
        <f t="shared" si="168"/>
        <v>0</v>
      </c>
    </row>
    <row r="1047" spans="1:21" x14ac:dyDescent="0.25">
      <c r="A1047" s="2">
        <v>1046</v>
      </c>
      <c r="B1047" s="39">
        <v>2035</v>
      </c>
      <c r="C1047" s="41" t="s">
        <v>184</v>
      </c>
      <c r="D1047">
        <v>148.58000000000001</v>
      </c>
      <c r="E1047">
        <v>2817.44</v>
      </c>
      <c r="F1047">
        <v>13.52</v>
      </c>
      <c r="G1047">
        <v>50.15</v>
      </c>
      <c r="H1047">
        <v>7549.36</v>
      </c>
      <c r="I1047" s="80">
        <v>18875.439999999999</v>
      </c>
      <c r="J1047">
        <v>30.73</v>
      </c>
      <c r="K1047">
        <v>1718.54</v>
      </c>
      <c r="L1047">
        <f t="shared" si="160"/>
        <v>0</v>
      </c>
      <c r="M1047">
        <f t="shared" si="161"/>
        <v>0</v>
      </c>
      <c r="N1047">
        <f t="shared" si="162"/>
        <v>0</v>
      </c>
      <c r="O1047">
        <f t="shared" si="163"/>
        <v>0</v>
      </c>
      <c r="P1047">
        <f t="shared" si="164"/>
        <v>0</v>
      </c>
      <c r="Q1047">
        <f t="shared" si="165"/>
        <v>0</v>
      </c>
      <c r="R1047">
        <f t="shared" si="166"/>
        <v>0</v>
      </c>
      <c r="S1047">
        <f t="shared" si="167"/>
        <v>0</v>
      </c>
      <c r="T1047">
        <f t="shared" si="169"/>
        <v>0</v>
      </c>
      <c r="U1047">
        <f t="shared" si="168"/>
        <v>0</v>
      </c>
    </row>
    <row r="1048" spans="1:21" x14ac:dyDescent="0.25">
      <c r="A1048" s="2">
        <v>1047</v>
      </c>
      <c r="B1048" s="39">
        <v>2035</v>
      </c>
      <c r="C1048" s="41" t="s">
        <v>187</v>
      </c>
      <c r="D1048">
        <v>427.5</v>
      </c>
      <c r="E1048">
        <v>3644.16</v>
      </c>
      <c r="F1048">
        <v>82.67</v>
      </c>
      <c r="G1048">
        <v>66.55</v>
      </c>
      <c r="H1048">
        <v>14749.05</v>
      </c>
      <c r="I1048" s="80">
        <v>19071.5</v>
      </c>
      <c r="J1048">
        <v>40.99</v>
      </c>
      <c r="K1048">
        <v>6208.47</v>
      </c>
      <c r="L1048">
        <f t="shared" si="160"/>
        <v>0</v>
      </c>
      <c r="M1048">
        <f t="shared" si="161"/>
        <v>0</v>
      </c>
      <c r="N1048">
        <f t="shared" si="162"/>
        <v>0</v>
      </c>
      <c r="O1048">
        <f t="shared" si="163"/>
        <v>0</v>
      </c>
      <c r="P1048">
        <f t="shared" si="164"/>
        <v>0</v>
      </c>
      <c r="Q1048">
        <f t="shared" si="165"/>
        <v>0</v>
      </c>
      <c r="R1048">
        <f t="shared" si="166"/>
        <v>0</v>
      </c>
      <c r="S1048">
        <f t="shared" si="167"/>
        <v>0</v>
      </c>
      <c r="T1048">
        <f t="shared" si="169"/>
        <v>0</v>
      </c>
      <c r="U1048">
        <f t="shared" si="168"/>
        <v>0</v>
      </c>
    </row>
    <row r="1049" spans="1:21" x14ac:dyDescent="0.25">
      <c r="A1049" s="2">
        <v>1048</v>
      </c>
      <c r="B1049" s="39">
        <v>2035</v>
      </c>
      <c r="C1049" s="41" t="s">
        <v>189</v>
      </c>
      <c r="D1049">
        <v>230.73</v>
      </c>
      <c r="E1049">
        <v>3972.46</v>
      </c>
      <c r="F1049">
        <v>1.1499999999999999</v>
      </c>
      <c r="G1049">
        <v>50.15</v>
      </c>
      <c r="H1049">
        <v>11753.69</v>
      </c>
      <c r="I1049" s="80">
        <v>13726.98</v>
      </c>
      <c r="J1049">
        <v>31.98</v>
      </c>
      <c r="K1049">
        <v>7039.02</v>
      </c>
      <c r="L1049">
        <f t="shared" si="160"/>
        <v>0</v>
      </c>
      <c r="M1049">
        <f t="shared" si="161"/>
        <v>0</v>
      </c>
      <c r="N1049">
        <f t="shared" si="162"/>
        <v>0</v>
      </c>
      <c r="O1049">
        <f t="shared" si="163"/>
        <v>0</v>
      </c>
      <c r="P1049">
        <f t="shared" si="164"/>
        <v>0</v>
      </c>
      <c r="Q1049">
        <f t="shared" si="165"/>
        <v>0</v>
      </c>
      <c r="R1049">
        <f t="shared" si="166"/>
        <v>0</v>
      </c>
      <c r="S1049">
        <f t="shared" si="167"/>
        <v>0</v>
      </c>
      <c r="T1049">
        <f t="shared" si="169"/>
        <v>0</v>
      </c>
      <c r="U1049">
        <f t="shared" si="168"/>
        <v>0</v>
      </c>
    </row>
    <row r="1050" spans="1:21" x14ac:dyDescent="0.25">
      <c r="A1050" s="2">
        <v>1049</v>
      </c>
      <c r="B1050" s="39">
        <v>2036</v>
      </c>
      <c r="C1050" s="41" t="s">
        <v>162</v>
      </c>
      <c r="D1050">
        <v>1.49</v>
      </c>
      <c r="E1050">
        <v>13256.15</v>
      </c>
      <c r="F1050">
        <v>0.28000000000000003</v>
      </c>
      <c r="G1050">
        <v>44.96</v>
      </c>
      <c r="H1050">
        <v>1.44</v>
      </c>
      <c r="I1050">
        <v>3.2</v>
      </c>
      <c r="J1050">
        <v>6.4</v>
      </c>
      <c r="K1050">
        <v>1.97</v>
      </c>
      <c r="L1050">
        <f t="shared" si="160"/>
        <v>0</v>
      </c>
      <c r="M1050">
        <f t="shared" si="161"/>
        <v>0</v>
      </c>
      <c r="N1050">
        <f t="shared" si="162"/>
        <v>0</v>
      </c>
      <c r="O1050">
        <f t="shared" si="163"/>
        <v>0</v>
      </c>
      <c r="P1050">
        <f t="shared" si="164"/>
        <v>0</v>
      </c>
      <c r="Q1050">
        <f t="shared" si="165"/>
        <v>0</v>
      </c>
      <c r="R1050">
        <f t="shared" si="166"/>
        <v>0</v>
      </c>
      <c r="S1050">
        <f t="shared" si="167"/>
        <v>0</v>
      </c>
      <c r="T1050">
        <f t="shared" si="169"/>
        <v>0</v>
      </c>
      <c r="U1050">
        <f t="shared" si="168"/>
        <v>0</v>
      </c>
    </row>
    <row r="1051" spans="1:21" x14ac:dyDescent="0.25">
      <c r="A1051" s="2">
        <v>1050</v>
      </c>
      <c r="B1051" s="39">
        <v>2036</v>
      </c>
      <c r="C1051" s="46" t="s">
        <v>170</v>
      </c>
      <c r="D1051">
        <v>5.62</v>
      </c>
      <c r="E1051">
        <v>12844.06</v>
      </c>
      <c r="F1051">
        <v>27.15</v>
      </c>
      <c r="G1051">
        <v>50.15</v>
      </c>
      <c r="H1051">
        <v>171.4</v>
      </c>
      <c r="I1051" s="80">
        <v>10180.549999999999</v>
      </c>
      <c r="J1051">
        <v>18.829999999999998</v>
      </c>
      <c r="K1051">
        <v>414.74</v>
      </c>
      <c r="L1051">
        <f t="shared" si="160"/>
        <v>0</v>
      </c>
      <c r="M1051">
        <f t="shared" si="161"/>
        <v>0</v>
      </c>
      <c r="N1051">
        <f t="shared" si="162"/>
        <v>0</v>
      </c>
      <c r="O1051">
        <f t="shared" si="163"/>
        <v>0</v>
      </c>
      <c r="P1051">
        <f t="shared" si="164"/>
        <v>0</v>
      </c>
      <c r="Q1051">
        <f t="shared" si="165"/>
        <v>0</v>
      </c>
      <c r="R1051">
        <f t="shared" si="166"/>
        <v>0</v>
      </c>
      <c r="S1051">
        <f t="shared" si="167"/>
        <v>0</v>
      </c>
      <c r="T1051">
        <f t="shared" si="169"/>
        <v>0</v>
      </c>
      <c r="U1051">
        <f t="shared" si="168"/>
        <v>0</v>
      </c>
    </row>
    <row r="1052" spans="1:21" x14ac:dyDescent="0.25">
      <c r="A1052" s="2">
        <v>1051</v>
      </c>
      <c r="B1052" s="39">
        <v>2036</v>
      </c>
      <c r="C1052" s="27" t="s">
        <v>178</v>
      </c>
      <c r="D1052">
        <v>21.83</v>
      </c>
      <c r="E1052">
        <v>20836.38</v>
      </c>
      <c r="F1052">
        <v>884.79</v>
      </c>
      <c r="G1052">
        <v>135.35</v>
      </c>
      <c r="H1052">
        <v>7838.24</v>
      </c>
      <c r="I1052" s="80">
        <v>28822.12</v>
      </c>
      <c r="J1052">
        <v>46.32</v>
      </c>
      <c r="K1052">
        <v>2587.7800000000002</v>
      </c>
      <c r="L1052">
        <f t="shared" si="160"/>
        <v>0</v>
      </c>
      <c r="M1052">
        <f t="shared" si="161"/>
        <v>0</v>
      </c>
      <c r="N1052">
        <f t="shared" si="162"/>
        <v>0</v>
      </c>
      <c r="O1052">
        <f t="shared" si="163"/>
        <v>0</v>
      </c>
      <c r="P1052">
        <f t="shared" si="164"/>
        <v>0</v>
      </c>
      <c r="Q1052">
        <f t="shared" si="165"/>
        <v>0</v>
      </c>
      <c r="R1052">
        <f t="shared" si="166"/>
        <v>0</v>
      </c>
      <c r="S1052">
        <f t="shared" si="167"/>
        <v>0</v>
      </c>
      <c r="T1052">
        <f t="shared" si="169"/>
        <v>0</v>
      </c>
      <c r="U1052">
        <f t="shared" si="168"/>
        <v>0</v>
      </c>
    </row>
    <row r="1053" spans="1:21" x14ac:dyDescent="0.25">
      <c r="A1053" s="2">
        <v>1052</v>
      </c>
      <c r="B1053" s="39">
        <v>2036</v>
      </c>
      <c r="C1053" s="27" t="s">
        <v>163</v>
      </c>
      <c r="D1053">
        <v>21.83</v>
      </c>
      <c r="E1053" s="80">
        <v>28949.82</v>
      </c>
      <c r="F1053">
        <v>278.10000000000002</v>
      </c>
      <c r="G1053">
        <v>163.16</v>
      </c>
      <c r="H1053">
        <v>2465.12</v>
      </c>
      <c r="I1053" s="80">
        <v>21724.42</v>
      </c>
      <c r="J1053">
        <v>51.78</v>
      </c>
      <c r="K1053" s="80">
        <v>11091.63</v>
      </c>
      <c r="L1053">
        <f t="shared" si="160"/>
        <v>0</v>
      </c>
      <c r="M1053">
        <f t="shared" si="161"/>
        <v>0</v>
      </c>
      <c r="N1053">
        <f t="shared" si="162"/>
        <v>0</v>
      </c>
      <c r="O1053">
        <f t="shared" si="163"/>
        <v>0</v>
      </c>
      <c r="P1053">
        <f t="shared" si="164"/>
        <v>0</v>
      </c>
      <c r="Q1053">
        <f t="shared" si="165"/>
        <v>0</v>
      </c>
      <c r="R1053">
        <f t="shared" si="166"/>
        <v>0</v>
      </c>
      <c r="S1053">
        <f t="shared" si="167"/>
        <v>0</v>
      </c>
      <c r="T1053">
        <f t="shared" si="169"/>
        <v>0</v>
      </c>
      <c r="U1053">
        <f t="shared" si="168"/>
        <v>0</v>
      </c>
    </row>
    <row r="1054" spans="1:21" x14ac:dyDescent="0.25">
      <c r="A1054" s="2">
        <v>1053</v>
      </c>
      <c r="B1054" s="39">
        <v>2036</v>
      </c>
      <c r="C1054" s="27" t="s">
        <v>181</v>
      </c>
      <c r="D1054">
        <v>17.89</v>
      </c>
      <c r="E1054" s="80">
        <v>76375.48</v>
      </c>
      <c r="F1054">
        <v>0.85</v>
      </c>
      <c r="G1054">
        <v>90.12</v>
      </c>
      <c r="H1054">
        <v>77.94</v>
      </c>
      <c r="I1054">
        <v>460.18</v>
      </c>
      <c r="J1054">
        <v>25.83</v>
      </c>
      <c r="K1054">
        <v>60.44</v>
      </c>
      <c r="L1054">
        <f t="shared" si="160"/>
        <v>0</v>
      </c>
      <c r="M1054">
        <f t="shared" si="161"/>
        <v>0</v>
      </c>
      <c r="N1054">
        <f t="shared" si="162"/>
        <v>0</v>
      </c>
      <c r="O1054">
        <f t="shared" si="163"/>
        <v>0</v>
      </c>
      <c r="P1054">
        <f t="shared" si="164"/>
        <v>0</v>
      </c>
      <c r="Q1054">
        <f t="shared" si="165"/>
        <v>0</v>
      </c>
      <c r="R1054">
        <f t="shared" si="166"/>
        <v>0</v>
      </c>
      <c r="S1054">
        <f t="shared" si="167"/>
        <v>0</v>
      </c>
      <c r="T1054">
        <f t="shared" si="169"/>
        <v>0</v>
      </c>
      <c r="U1054">
        <f t="shared" si="168"/>
        <v>0</v>
      </c>
    </row>
    <row r="1055" spans="1:21" x14ac:dyDescent="0.25">
      <c r="A1055" s="2">
        <v>1054</v>
      </c>
      <c r="B1055" s="39">
        <v>2036</v>
      </c>
      <c r="C1055" s="27" t="s">
        <v>183</v>
      </c>
      <c r="D1055">
        <v>29.08</v>
      </c>
      <c r="E1055" s="80">
        <v>68956.25</v>
      </c>
      <c r="F1055">
        <v>657.94</v>
      </c>
      <c r="G1055">
        <v>135.35</v>
      </c>
      <c r="H1055">
        <v>3531.27</v>
      </c>
      <c r="I1055" s="80">
        <v>33144.870000000003</v>
      </c>
      <c r="J1055">
        <v>64.47</v>
      </c>
      <c r="K1055">
        <v>7009.17</v>
      </c>
      <c r="L1055">
        <f t="shared" si="160"/>
        <v>0</v>
      </c>
      <c r="M1055">
        <f t="shared" si="161"/>
        <v>0</v>
      </c>
      <c r="N1055">
        <f t="shared" si="162"/>
        <v>0</v>
      </c>
      <c r="O1055">
        <f t="shared" si="163"/>
        <v>0</v>
      </c>
      <c r="P1055">
        <f t="shared" si="164"/>
        <v>0</v>
      </c>
      <c r="Q1055">
        <f t="shared" si="165"/>
        <v>0</v>
      </c>
      <c r="R1055">
        <f t="shared" si="166"/>
        <v>0</v>
      </c>
      <c r="S1055">
        <f t="shared" si="167"/>
        <v>0</v>
      </c>
      <c r="T1055">
        <f t="shared" si="169"/>
        <v>0</v>
      </c>
      <c r="U1055">
        <f t="shared" si="168"/>
        <v>0</v>
      </c>
    </row>
    <row r="1056" spans="1:21" x14ac:dyDescent="0.25">
      <c r="A1056" s="92">
        <v>1055</v>
      </c>
      <c r="B1056" s="39">
        <v>2036</v>
      </c>
      <c r="C1056" s="27" t="s">
        <v>186</v>
      </c>
      <c r="D1056">
        <v>52.99</v>
      </c>
      <c r="E1056" s="80">
        <v>79971.399999999994</v>
      </c>
      <c r="F1056" s="89" t="s">
        <v>582</v>
      </c>
      <c r="G1056">
        <v>286.26</v>
      </c>
      <c r="H1056" s="80">
        <v>37629.279999999999</v>
      </c>
      <c r="I1056" s="80">
        <v>35844.6</v>
      </c>
      <c r="J1056">
        <v>96.01</v>
      </c>
      <c r="K1056" s="80">
        <v>19063.22</v>
      </c>
      <c r="L1056">
        <f t="shared" si="160"/>
        <v>0</v>
      </c>
      <c r="M1056">
        <f t="shared" si="161"/>
        <v>0</v>
      </c>
      <c r="N1056">
        <f t="shared" si="162"/>
        <v>1</v>
      </c>
      <c r="O1056">
        <f t="shared" si="163"/>
        <v>0</v>
      </c>
      <c r="P1056">
        <f t="shared" si="164"/>
        <v>0</v>
      </c>
      <c r="Q1056">
        <f t="shared" si="165"/>
        <v>0</v>
      </c>
      <c r="R1056">
        <f t="shared" si="166"/>
        <v>0</v>
      </c>
      <c r="S1056">
        <f t="shared" si="167"/>
        <v>0</v>
      </c>
      <c r="T1056">
        <f t="shared" si="169"/>
        <v>1</v>
      </c>
      <c r="U1056">
        <f t="shared" si="168"/>
        <v>1</v>
      </c>
    </row>
    <row r="1057" spans="1:21" x14ac:dyDescent="0.25">
      <c r="A1057" s="2">
        <v>1056</v>
      </c>
      <c r="B1057" s="39">
        <v>2036</v>
      </c>
      <c r="C1057" s="27" t="s">
        <v>188</v>
      </c>
      <c r="D1057">
        <v>32.31</v>
      </c>
      <c r="E1057" s="80">
        <v>76644.97</v>
      </c>
      <c r="F1057">
        <v>905.38</v>
      </c>
      <c r="G1057">
        <v>192.24</v>
      </c>
      <c r="H1057">
        <v>5689.11</v>
      </c>
      <c r="I1057" s="80">
        <v>35059.22</v>
      </c>
      <c r="J1057">
        <v>76.19</v>
      </c>
      <c r="K1057" s="80">
        <v>16036.23</v>
      </c>
      <c r="L1057">
        <f t="shared" si="160"/>
        <v>0</v>
      </c>
      <c r="M1057">
        <f t="shared" si="161"/>
        <v>0</v>
      </c>
      <c r="N1057">
        <f t="shared" si="162"/>
        <v>0</v>
      </c>
      <c r="O1057">
        <f t="shared" si="163"/>
        <v>0</v>
      </c>
      <c r="P1057">
        <f t="shared" si="164"/>
        <v>0</v>
      </c>
      <c r="Q1057">
        <f t="shared" si="165"/>
        <v>0</v>
      </c>
      <c r="R1057">
        <f t="shared" si="166"/>
        <v>0</v>
      </c>
      <c r="S1057">
        <f t="shared" si="167"/>
        <v>0</v>
      </c>
      <c r="T1057">
        <f t="shared" si="169"/>
        <v>0</v>
      </c>
      <c r="U1057">
        <f t="shared" si="168"/>
        <v>0</v>
      </c>
    </row>
    <row r="1058" spans="1:21" x14ac:dyDescent="0.25">
      <c r="A1058" s="2">
        <v>1057</v>
      </c>
      <c r="B1058" s="39">
        <v>2036</v>
      </c>
      <c r="C1058" s="27" t="s">
        <v>182</v>
      </c>
      <c r="D1058" t="s">
        <v>583</v>
      </c>
      <c r="E1058">
        <v>5465.97</v>
      </c>
      <c r="F1058">
        <v>0.11</v>
      </c>
      <c r="G1058">
        <v>35.03</v>
      </c>
      <c r="H1058">
        <v>5.03</v>
      </c>
      <c r="I1058">
        <v>586.03</v>
      </c>
      <c r="J1058">
        <v>2.21</v>
      </c>
      <c r="K1058">
        <v>1.28</v>
      </c>
      <c r="L1058">
        <f t="shared" si="160"/>
        <v>0</v>
      </c>
      <c r="M1058">
        <f t="shared" si="161"/>
        <v>0</v>
      </c>
      <c r="N1058">
        <f t="shared" si="162"/>
        <v>0</v>
      </c>
      <c r="O1058">
        <f t="shared" si="163"/>
        <v>0</v>
      </c>
      <c r="P1058">
        <f t="shared" si="164"/>
        <v>0</v>
      </c>
      <c r="Q1058">
        <f t="shared" si="165"/>
        <v>0</v>
      </c>
      <c r="R1058">
        <f t="shared" si="166"/>
        <v>0</v>
      </c>
      <c r="S1058">
        <f t="shared" si="167"/>
        <v>0</v>
      </c>
      <c r="T1058">
        <f t="shared" si="169"/>
        <v>0</v>
      </c>
      <c r="U1058">
        <f t="shared" si="168"/>
        <v>0</v>
      </c>
    </row>
    <row r="1059" spans="1:21" x14ac:dyDescent="0.25">
      <c r="A1059" s="2">
        <v>1058</v>
      </c>
      <c r="B1059" s="39">
        <v>2036</v>
      </c>
      <c r="C1059" s="27" t="s">
        <v>184</v>
      </c>
      <c r="D1059">
        <v>19.84</v>
      </c>
      <c r="E1059" s="80">
        <v>30839.360000000001</v>
      </c>
      <c r="F1059">
        <v>236.27</v>
      </c>
      <c r="G1059">
        <v>163.16</v>
      </c>
      <c r="H1059">
        <v>9859.0400000000009</v>
      </c>
      <c r="I1059" s="80">
        <v>27512.91</v>
      </c>
      <c r="J1059">
        <v>33.24</v>
      </c>
      <c r="K1059">
        <v>1780.2</v>
      </c>
      <c r="L1059">
        <f t="shared" si="160"/>
        <v>0</v>
      </c>
      <c r="M1059">
        <f t="shared" si="161"/>
        <v>0</v>
      </c>
      <c r="N1059">
        <f t="shared" si="162"/>
        <v>0</v>
      </c>
      <c r="O1059">
        <f t="shared" si="163"/>
        <v>0</v>
      </c>
      <c r="P1059">
        <f t="shared" si="164"/>
        <v>0</v>
      </c>
      <c r="Q1059">
        <f t="shared" si="165"/>
        <v>0</v>
      </c>
      <c r="R1059">
        <f t="shared" si="166"/>
        <v>0</v>
      </c>
      <c r="S1059">
        <f t="shared" si="167"/>
        <v>0</v>
      </c>
      <c r="T1059">
        <f t="shared" si="169"/>
        <v>0</v>
      </c>
      <c r="U1059">
        <f t="shared" si="168"/>
        <v>0</v>
      </c>
    </row>
    <row r="1060" spans="1:21" x14ac:dyDescent="0.25">
      <c r="A1060" s="2">
        <v>1059</v>
      </c>
      <c r="B1060" s="39">
        <v>2036</v>
      </c>
      <c r="C1060" s="27" t="s">
        <v>187</v>
      </c>
      <c r="D1060">
        <v>55.42</v>
      </c>
      <c r="E1060" s="80">
        <v>25532.28</v>
      </c>
      <c r="F1060">
        <v>429.27</v>
      </c>
      <c r="G1060">
        <v>184.86</v>
      </c>
      <c r="H1060" s="80">
        <v>34059.910000000003</v>
      </c>
      <c r="I1060" s="80">
        <v>26455.11</v>
      </c>
      <c r="J1060">
        <v>77.680000000000007</v>
      </c>
      <c r="K1060">
        <v>7761.5</v>
      </c>
      <c r="L1060">
        <f t="shared" si="160"/>
        <v>0</v>
      </c>
      <c r="M1060">
        <f t="shared" si="161"/>
        <v>0</v>
      </c>
      <c r="N1060">
        <f t="shared" si="162"/>
        <v>0</v>
      </c>
      <c r="O1060">
        <f t="shared" si="163"/>
        <v>0</v>
      </c>
      <c r="P1060">
        <f t="shared" si="164"/>
        <v>0</v>
      </c>
      <c r="Q1060">
        <f t="shared" si="165"/>
        <v>0</v>
      </c>
      <c r="R1060">
        <f t="shared" si="166"/>
        <v>0</v>
      </c>
      <c r="S1060">
        <f t="shared" si="167"/>
        <v>0</v>
      </c>
      <c r="T1060">
        <f t="shared" si="169"/>
        <v>0</v>
      </c>
      <c r="U1060">
        <f t="shared" si="168"/>
        <v>0</v>
      </c>
    </row>
    <row r="1061" spans="1:21" x14ac:dyDescent="0.25">
      <c r="A1061" s="2">
        <v>1060</v>
      </c>
      <c r="B1061" s="39">
        <v>2036</v>
      </c>
      <c r="C1061" s="27" t="s">
        <v>189</v>
      </c>
      <c r="D1061">
        <v>32.31</v>
      </c>
      <c r="E1061">
        <v>24706.07</v>
      </c>
      <c r="F1061">
        <v>90.02</v>
      </c>
      <c r="G1061">
        <v>177.55</v>
      </c>
      <c r="H1061">
        <v>11144.84</v>
      </c>
      <c r="I1061" s="80">
        <v>22790.21</v>
      </c>
      <c r="J1061">
        <v>63.03</v>
      </c>
      <c r="K1061">
        <v>7193.22</v>
      </c>
      <c r="L1061">
        <f t="shared" si="160"/>
        <v>0</v>
      </c>
      <c r="M1061">
        <f t="shared" si="161"/>
        <v>0</v>
      </c>
      <c r="N1061">
        <f t="shared" si="162"/>
        <v>0</v>
      </c>
      <c r="O1061">
        <f t="shared" si="163"/>
        <v>0</v>
      </c>
      <c r="P1061">
        <f t="shared" si="164"/>
        <v>0</v>
      </c>
      <c r="Q1061">
        <f t="shared" si="165"/>
        <v>0</v>
      </c>
      <c r="R1061">
        <f t="shared" si="166"/>
        <v>0</v>
      </c>
      <c r="S1061">
        <f t="shared" si="167"/>
        <v>0</v>
      </c>
      <c r="T1061">
        <f t="shared" si="169"/>
        <v>0</v>
      </c>
      <c r="U1061">
        <f t="shared" si="168"/>
        <v>0</v>
      </c>
    </row>
    <row r="1062" spans="1:21" x14ac:dyDescent="0.25">
      <c r="A1062" s="2">
        <v>1061</v>
      </c>
      <c r="B1062" s="39">
        <v>2037</v>
      </c>
      <c r="C1062" s="46" t="s">
        <v>162</v>
      </c>
      <c r="D1062">
        <v>14.11</v>
      </c>
      <c r="E1062" s="80">
        <v>49719.62</v>
      </c>
      <c r="F1062">
        <v>0.6</v>
      </c>
      <c r="G1062">
        <v>72.27</v>
      </c>
      <c r="H1062">
        <v>3.17</v>
      </c>
      <c r="I1062">
        <v>2.31</v>
      </c>
      <c r="J1062">
        <v>24.64</v>
      </c>
      <c r="K1062">
        <v>9.3000000000000007</v>
      </c>
      <c r="L1062">
        <f t="shared" si="160"/>
        <v>0</v>
      </c>
      <c r="M1062">
        <f t="shared" si="161"/>
        <v>0</v>
      </c>
      <c r="N1062">
        <f t="shared" si="162"/>
        <v>0</v>
      </c>
      <c r="O1062">
        <f t="shared" si="163"/>
        <v>0</v>
      </c>
      <c r="P1062">
        <f t="shared" si="164"/>
        <v>0</v>
      </c>
      <c r="Q1062">
        <f t="shared" si="165"/>
        <v>0</v>
      </c>
      <c r="R1062">
        <f t="shared" si="166"/>
        <v>0</v>
      </c>
      <c r="S1062">
        <f t="shared" si="167"/>
        <v>0</v>
      </c>
      <c r="T1062">
        <f t="shared" si="169"/>
        <v>0</v>
      </c>
      <c r="U1062">
        <f t="shared" si="168"/>
        <v>0</v>
      </c>
    </row>
    <row r="1063" spans="1:21" x14ac:dyDescent="0.25">
      <c r="A1063" s="2">
        <v>1062</v>
      </c>
      <c r="B1063" s="39">
        <v>2037</v>
      </c>
      <c r="C1063" s="41" t="s">
        <v>170</v>
      </c>
      <c r="D1063">
        <v>19.84</v>
      </c>
      <c r="E1063" s="80">
        <v>33904.400000000001</v>
      </c>
      <c r="F1063">
        <v>54.35</v>
      </c>
      <c r="G1063">
        <v>78.11</v>
      </c>
      <c r="H1063">
        <v>326.54000000000002</v>
      </c>
      <c r="I1063" s="80">
        <v>7929.26</v>
      </c>
      <c r="J1063">
        <v>21.11</v>
      </c>
      <c r="K1063">
        <v>349.02</v>
      </c>
      <c r="L1063">
        <f t="shared" si="160"/>
        <v>0</v>
      </c>
      <c r="M1063">
        <f t="shared" si="161"/>
        <v>0</v>
      </c>
      <c r="N1063">
        <f t="shared" si="162"/>
        <v>0</v>
      </c>
      <c r="O1063">
        <f t="shared" si="163"/>
        <v>0</v>
      </c>
      <c r="P1063">
        <f t="shared" si="164"/>
        <v>0</v>
      </c>
      <c r="Q1063">
        <f t="shared" si="165"/>
        <v>0</v>
      </c>
      <c r="R1063">
        <f t="shared" si="166"/>
        <v>0</v>
      </c>
      <c r="S1063">
        <f t="shared" si="167"/>
        <v>0</v>
      </c>
      <c r="T1063">
        <f t="shared" si="169"/>
        <v>0</v>
      </c>
      <c r="U1063">
        <f t="shared" si="168"/>
        <v>0</v>
      </c>
    </row>
    <row r="1064" spans="1:21" x14ac:dyDescent="0.25">
      <c r="A1064" s="2">
        <v>1063</v>
      </c>
      <c r="B1064" s="39">
        <v>2037</v>
      </c>
      <c r="C1064" s="41" t="s">
        <v>178</v>
      </c>
      <c r="D1064">
        <v>71.67</v>
      </c>
      <c r="E1064" s="80">
        <v>45685.89</v>
      </c>
      <c r="F1064">
        <v>552.46</v>
      </c>
      <c r="G1064">
        <v>108.93</v>
      </c>
      <c r="H1064">
        <v>2985.51</v>
      </c>
      <c r="I1064" s="80">
        <v>18201.97</v>
      </c>
      <c r="J1064">
        <v>30.73</v>
      </c>
      <c r="K1064">
        <v>696.39</v>
      </c>
      <c r="L1064">
        <f t="shared" si="160"/>
        <v>0</v>
      </c>
      <c r="M1064">
        <f t="shared" si="161"/>
        <v>0</v>
      </c>
      <c r="N1064">
        <f t="shared" si="162"/>
        <v>0</v>
      </c>
      <c r="O1064">
        <f t="shared" si="163"/>
        <v>0</v>
      </c>
      <c r="P1064">
        <f t="shared" si="164"/>
        <v>0</v>
      </c>
      <c r="Q1064">
        <f t="shared" si="165"/>
        <v>0</v>
      </c>
      <c r="R1064">
        <f t="shared" si="166"/>
        <v>0</v>
      </c>
      <c r="S1064">
        <f t="shared" si="167"/>
        <v>0</v>
      </c>
      <c r="T1064">
        <f t="shared" si="169"/>
        <v>0</v>
      </c>
      <c r="U1064">
        <f t="shared" si="168"/>
        <v>0</v>
      </c>
    </row>
    <row r="1065" spans="1:21" x14ac:dyDescent="0.25">
      <c r="A1065" s="2">
        <v>1064</v>
      </c>
      <c r="B1065" s="39">
        <v>2037</v>
      </c>
      <c r="C1065" s="41" t="s">
        <v>163</v>
      </c>
      <c r="D1065">
        <v>166.81</v>
      </c>
      <c r="E1065" s="80">
        <v>57623.6</v>
      </c>
      <c r="F1065">
        <v>56.61</v>
      </c>
      <c r="G1065">
        <v>170.31</v>
      </c>
      <c r="H1065">
        <v>1090.55</v>
      </c>
      <c r="I1065" s="80">
        <v>5036.4399999999996</v>
      </c>
      <c r="J1065">
        <v>40.99</v>
      </c>
      <c r="K1065">
        <v>5121.53</v>
      </c>
      <c r="L1065">
        <f t="shared" si="160"/>
        <v>0</v>
      </c>
      <c r="M1065">
        <f t="shared" si="161"/>
        <v>0</v>
      </c>
      <c r="N1065">
        <f t="shared" si="162"/>
        <v>0</v>
      </c>
      <c r="O1065">
        <f t="shared" si="163"/>
        <v>0</v>
      </c>
      <c r="P1065">
        <f t="shared" si="164"/>
        <v>0</v>
      </c>
      <c r="Q1065">
        <f t="shared" si="165"/>
        <v>0</v>
      </c>
      <c r="R1065">
        <f t="shared" si="166"/>
        <v>0</v>
      </c>
      <c r="S1065">
        <f t="shared" si="167"/>
        <v>0</v>
      </c>
      <c r="T1065">
        <f t="shared" si="169"/>
        <v>0</v>
      </c>
      <c r="U1065">
        <f t="shared" si="168"/>
        <v>0</v>
      </c>
    </row>
    <row r="1066" spans="1:21" x14ac:dyDescent="0.25">
      <c r="A1066" s="2">
        <v>1065</v>
      </c>
      <c r="B1066" s="39">
        <v>2037</v>
      </c>
      <c r="C1066" s="41" t="s">
        <v>181</v>
      </c>
      <c r="D1066">
        <v>14.11</v>
      </c>
      <c r="E1066" s="80">
        <v>107300.23</v>
      </c>
      <c r="F1066">
        <v>0.5</v>
      </c>
      <c r="G1066">
        <v>78.11</v>
      </c>
      <c r="H1066">
        <v>28.3</v>
      </c>
      <c r="I1066">
        <v>32.909999999999997</v>
      </c>
      <c r="J1066">
        <v>28.26</v>
      </c>
      <c r="K1066">
        <v>42.03</v>
      </c>
      <c r="L1066">
        <f t="shared" si="160"/>
        <v>0</v>
      </c>
      <c r="M1066">
        <f t="shared" si="161"/>
        <v>0</v>
      </c>
      <c r="N1066">
        <f t="shared" si="162"/>
        <v>0</v>
      </c>
      <c r="O1066">
        <f t="shared" si="163"/>
        <v>0</v>
      </c>
      <c r="P1066">
        <f t="shared" si="164"/>
        <v>0</v>
      </c>
      <c r="Q1066">
        <f t="shared" si="165"/>
        <v>0</v>
      </c>
      <c r="R1066">
        <f t="shared" si="166"/>
        <v>0</v>
      </c>
      <c r="S1066">
        <f t="shared" si="167"/>
        <v>0</v>
      </c>
      <c r="T1066">
        <f t="shared" si="169"/>
        <v>0</v>
      </c>
      <c r="U1066">
        <f t="shared" si="168"/>
        <v>0</v>
      </c>
    </row>
    <row r="1067" spans="1:21" ht="15.75" thickBot="1" x14ac:dyDescent="0.3">
      <c r="A1067" s="2">
        <v>1066</v>
      </c>
      <c r="B1067" s="39">
        <v>2037</v>
      </c>
      <c r="C1067" s="41" t="s">
        <v>183</v>
      </c>
      <c r="D1067">
        <v>38.97</v>
      </c>
      <c r="E1067" s="80">
        <v>69075.289999999994</v>
      </c>
      <c r="F1067">
        <v>2167.4</v>
      </c>
      <c r="G1067">
        <v>199.7</v>
      </c>
      <c r="H1067">
        <v>11704.47</v>
      </c>
      <c r="I1067" s="80">
        <v>31476.73</v>
      </c>
      <c r="J1067">
        <v>77.680000000000007</v>
      </c>
      <c r="K1067">
        <v>6077.66</v>
      </c>
      <c r="L1067">
        <f t="shared" si="160"/>
        <v>0</v>
      </c>
      <c r="M1067">
        <f t="shared" si="161"/>
        <v>0</v>
      </c>
      <c r="N1067">
        <f t="shared" si="162"/>
        <v>0</v>
      </c>
      <c r="O1067">
        <f t="shared" si="163"/>
        <v>0</v>
      </c>
      <c r="P1067">
        <f t="shared" si="164"/>
        <v>0</v>
      </c>
      <c r="Q1067">
        <f t="shared" si="165"/>
        <v>0</v>
      </c>
      <c r="R1067">
        <f t="shared" si="166"/>
        <v>0</v>
      </c>
      <c r="S1067">
        <f t="shared" si="167"/>
        <v>0</v>
      </c>
      <c r="T1067">
        <f t="shared" si="169"/>
        <v>0</v>
      </c>
      <c r="U1067">
        <f t="shared" si="168"/>
        <v>0</v>
      </c>
    </row>
    <row r="1068" spans="1:21" x14ac:dyDescent="0.25">
      <c r="A1068" s="2">
        <v>1067</v>
      </c>
      <c r="B1068" s="39">
        <v>2037</v>
      </c>
      <c r="C1068" s="40" t="s">
        <v>186</v>
      </c>
      <c r="D1068">
        <v>36.72</v>
      </c>
      <c r="E1068" s="80">
        <v>57078.84</v>
      </c>
      <c r="F1068">
        <v>2791.35</v>
      </c>
      <c r="G1068">
        <v>192.24</v>
      </c>
      <c r="H1068" s="80">
        <v>46700.28</v>
      </c>
      <c r="I1068" s="80">
        <v>34712.660000000003</v>
      </c>
      <c r="J1068">
        <v>97.57</v>
      </c>
      <c r="K1068" s="80">
        <v>11446.02</v>
      </c>
      <c r="L1068">
        <f t="shared" si="160"/>
        <v>0</v>
      </c>
      <c r="M1068">
        <f t="shared" si="161"/>
        <v>0</v>
      </c>
      <c r="N1068">
        <f t="shared" si="162"/>
        <v>0</v>
      </c>
      <c r="O1068">
        <f t="shared" si="163"/>
        <v>0</v>
      </c>
      <c r="P1068">
        <f t="shared" si="164"/>
        <v>0</v>
      </c>
      <c r="Q1068">
        <f t="shared" si="165"/>
        <v>0</v>
      </c>
      <c r="R1068">
        <f t="shared" si="166"/>
        <v>0</v>
      </c>
      <c r="S1068">
        <f t="shared" si="167"/>
        <v>0</v>
      </c>
      <c r="T1068">
        <f t="shared" si="169"/>
        <v>0</v>
      </c>
      <c r="U1068">
        <f t="shared" si="168"/>
        <v>0</v>
      </c>
    </row>
    <row r="1069" spans="1:21" x14ac:dyDescent="0.25">
      <c r="A1069" s="2">
        <v>1068</v>
      </c>
      <c r="B1069" s="39">
        <v>2037</v>
      </c>
      <c r="C1069" s="41" t="s">
        <v>188</v>
      </c>
      <c r="D1069">
        <v>35.6</v>
      </c>
      <c r="E1069" s="80">
        <v>264766.46000000002</v>
      </c>
      <c r="F1069">
        <v>81.89</v>
      </c>
      <c r="G1069">
        <v>214.84</v>
      </c>
      <c r="H1069">
        <v>3354.77</v>
      </c>
      <c r="I1069" s="80">
        <v>8324.1</v>
      </c>
      <c r="J1069">
        <v>71.75</v>
      </c>
      <c r="K1069">
        <v>7935.77</v>
      </c>
      <c r="L1069">
        <f t="shared" si="160"/>
        <v>0</v>
      </c>
      <c r="M1069">
        <f t="shared" si="161"/>
        <v>0</v>
      </c>
      <c r="N1069">
        <f t="shared" si="162"/>
        <v>0</v>
      </c>
      <c r="O1069">
        <f t="shared" si="163"/>
        <v>0</v>
      </c>
      <c r="P1069">
        <f t="shared" si="164"/>
        <v>0</v>
      </c>
      <c r="Q1069">
        <f t="shared" si="165"/>
        <v>0</v>
      </c>
      <c r="R1069">
        <f t="shared" si="166"/>
        <v>0</v>
      </c>
      <c r="S1069">
        <f t="shared" si="167"/>
        <v>0</v>
      </c>
      <c r="T1069">
        <f t="shared" si="169"/>
        <v>0</v>
      </c>
      <c r="U1069">
        <f t="shared" si="168"/>
        <v>0</v>
      </c>
    </row>
    <row r="1070" spans="1:21" x14ac:dyDescent="0.25">
      <c r="A1070" s="2">
        <v>1069</v>
      </c>
      <c r="B1070" s="39">
        <v>2037</v>
      </c>
      <c r="C1070" s="41" t="s">
        <v>182</v>
      </c>
      <c r="D1070" t="s">
        <v>583</v>
      </c>
      <c r="E1070">
        <v>586.42999999999995</v>
      </c>
      <c r="F1070">
        <v>0.18</v>
      </c>
      <c r="G1070" s="80">
        <v>1.17</v>
      </c>
      <c r="H1070">
        <v>0.65</v>
      </c>
      <c r="I1070">
        <v>0.56999999999999995</v>
      </c>
      <c r="J1070" t="s">
        <v>583</v>
      </c>
      <c r="K1070">
        <v>0.28000000000000003</v>
      </c>
      <c r="L1070">
        <f t="shared" si="160"/>
        <v>0</v>
      </c>
      <c r="M1070">
        <f t="shared" si="161"/>
        <v>0</v>
      </c>
      <c r="N1070">
        <f t="shared" si="162"/>
        <v>0</v>
      </c>
      <c r="O1070">
        <f t="shared" si="163"/>
        <v>0</v>
      </c>
      <c r="P1070">
        <f t="shared" si="164"/>
        <v>0</v>
      </c>
      <c r="Q1070">
        <f t="shared" si="165"/>
        <v>0</v>
      </c>
      <c r="R1070">
        <f t="shared" si="166"/>
        <v>0</v>
      </c>
      <c r="S1070">
        <f t="shared" si="167"/>
        <v>0</v>
      </c>
      <c r="T1070">
        <f t="shared" si="169"/>
        <v>0</v>
      </c>
      <c r="U1070">
        <f t="shared" si="168"/>
        <v>0</v>
      </c>
    </row>
    <row r="1071" spans="1:21" x14ac:dyDescent="0.25">
      <c r="A1071" s="2">
        <v>1070</v>
      </c>
      <c r="B1071" s="39">
        <v>2037</v>
      </c>
      <c r="C1071" s="41" t="s">
        <v>184</v>
      </c>
      <c r="D1071">
        <v>14.11</v>
      </c>
      <c r="E1071">
        <v>17716.32</v>
      </c>
      <c r="F1071">
        <v>159.69999999999999</v>
      </c>
      <c r="G1071">
        <v>60.96</v>
      </c>
      <c r="H1071">
        <v>15095.65</v>
      </c>
      <c r="I1071" s="80">
        <v>17533.8</v>
      </c>
      <c r="J1071">
        <v>25.83</v>
      </c>
      <c r="K1071">
        <v>153.72999999999999</v>
      </c>
      <c r="L1071">
        <f t="shared" si="160"/>
        <v>0</v>
      </c>
      <c r="M1071">
        <f t="shared" si="161"/>
        <v>0</v>
      </c>
      <c r="N1071">
        <f t="shared" si="162"/>
        <v>0</v>
      </c>
      <c r="O1071">
        <f t="shared" si="163"/>
        <v>0</v>
      </c>
      <c r="P1071">
        <f t="shared" si="164"/>
        <v>0</v>
      </c>
      <c r="Q1071">
        <f t="shared" si="165"/>
        <v>0</v>
      </c>
      <c r="R1071">
        <f t="shared" si="166"/>
        <v>0</v>
      </c>
      <c r="S1071">
        <f t="shared" si="167"/>
        <v>0</v>
      </c>
      <c r="T1071">
        <f t="shared" si="169"/>
        <v>0</v>
      </c>
      <c r="U1071">
        <f t="shared" si="168"/>
        <v>0</v>
      </c>
    </row>
    <row r="1072" spans="1:21" x14ac:dyDescent="0.25">
      <c r="A1072" s="2">
        <v>1071</v>
      </c>
      <c r="B1072" s="39">
        <v>2037</v>
      </c>
      <c r="C1072" s="41" t="s">
        <v>187</v>
      </c>
      <c r="D1072">
        <v>91.44</v>
      </c>
      <c r="E1072">
        <v>18665.3</v>
      </c>
      <c r="F1072">
        <v>117.78</v>
      </c>
      <c r="G1072">
        <v>96.29</v>
      </c>
      <c r="H1072" s="80">
        <v>34674.32</v>
      </c>
      <c r="I1072" s="80">
        <v>19476.89</v>
      </c>
      <c r="J1072">
        <v>38.369999999999997</v>
      </c>
      <c r="K1072">
        <v>2103.15</v>
      </c>
      <c r="L1072">
        <f t="shared" si="160"/>
        <v>0</v>
      </c>
      <c r="M1072">
        <f t="shared" si="161"/>
        <v>0</v>
      </c>
      <c r="N1072">
        <f t="shared" si="162"/>
        <v>0</v>
      </c>
      <c r="O1072">
        <f t="shared" si="163"/>
        <v>0</v>
      </c>
      <c r="P1072">
        <f t="shared" si="164"/>
        <v>0</v>
      </c>
      <c r="Q1072">
        <f t="shared" si="165"/>
        <v>0</v>
      </c>
      <c r="R1072">
        <f t="shared" si="166"/>
        <v>0</v>
      </c>
      <c r="S1072">
        <f t="shared" si="167"/>
        <v>0</v>
      </c>
      <c r="T1072">
        <f t="shared" si="169"/>
        <v>0</v>
      </c>
      <c r="U1072">
        <f t="shared" si="168"/>
        <v>0</v>
      </c>
    </row>
    <row r="1073" spans="1:21" x14ac:dyDescent="0.25">
      <c r="A1073" s="2">
        <v>1072</v>
      </c>
      <c r="B1073" s="39">
        <v>2037</v>
      </c>
      <c r="C1073" s="41" t="s">
        <v>189</v>
      </c>
      <c r="D1073">
        <v>107.95</v>
      </c>
      <c r="E1073">
        <v>15087.88</v>
      </c>
      <c r="F1073">
        <v>20.95</v>
      </c>
      <c r="G1073">
        <v>72.27</v>
      </c>
      <c r="H1073">
        <v>10084.69</v>
      </c>
      <c r="I1073" s="80">
        <v>11875.52</v>
      </c>
      <c r="J1073">
        <v>30.73</v>
      </c>
      <c r="K1073">
        <v>3643.38</v>
      </c>
      <c r="L1073">
        <f t="shared" si="160"/>
        <v>0</v>
      </c>
      <c r="M1073">
        <f t="shared" si="161"/>
        <v>0</v>
      </c>
      <c r="N1073">
        <f t="shared" si="162"/>
        <v>0</v>
      </c>
      <c r="O1073">
        <f t="shared" si="163"/>
        <v>0</v>
      </c>
      <c r="P1073">
        <f t="shared" si="164"/>
        <v>0</v>
      </c>
      <c r="Q1073">
        <f t="shared" si="165"/>
        <v>0</v>
      </c>
      <c r="R1073">
        <f t="shared" si="166"/>
        <v>0</v>
      </c>
      <c r="S1073">
        <f t="shared" si="167"/>
        <v>0</v>
      </c>
      <c r="T1073">
        <f t="shared" si="169"/>
        <v>0</v>
      </c>
      <c r="U1073">
        <f t="shared" si="168"/>
        <v>0</v>
      </c>
    </row>
    <row r="1074" spans="1:21" x14ac:dyDescent="0.25">
      <c r="A1074" s="2">
        <v>1073</v>
      </c>
      <c r="B1074" s="39">
        <v>2038</v>
      </c>
      <c r="C1074" s="46" t="s">
        <v>162</v>
      </c>
      <c r="D1074">
        <v>14.11</v>
      </c>
      <c r="E1074" s="80">
        <v>49719.62</v>
      </c>
      <c r="F1074">
        <v>0.67</v>
      </c>
      <c r="G1074">
        <v>102.56</v>
      </c>
      <c r="H1074">
        <v>3.47</v>
      </c>
      <c r="I1074">
        <v>10.93</v>
      </c>
      <c r="J1074">
        <v>23.45</v>
      </c>
      <c r="K1074">
        <v>11.76</v>
      </c>
      <c r="L1074">
        <f t="shared" si="160"/>
        <v>0</v>
      </c>
      <c r="M1074">
        <f t="shared" si="161"/>
        <v>0</v>
      </c>
      <c r="N1074">
        <f t="shared" si="162"/>
        <v>0</v>
      </c>
      <c r="O1074">
        <f t="shared" si="163"/>
        <v>0</v>
      </c>
      <c r="P1074">
        <f t="shared" si="164"/>
        <v>0</v>
      </c>
      <c r="Q1074">
        <f t="shared" si="165"/>
        <v>0</v>
      </c>
      <c r="R1074">
        <f t="shared" si="166"/>
        <v>0</v>
      </c>
      <c r="S1074">
        <f t="shared" si="167"/>
        <v>0</v>
      </c>
      <c r="T1074">
        <f t="shared" si="169"/>
        <v>0</v>
      </c>
      <c r="U1074">
        <f t="shared" si="168"/>
        <v>0</v>
      </c>
    </row>
    <row r="1075" spans="1:21" x14ac:dyDescent="0.25">
      <c r="A1075" s="2">
        <v>1074</v>
      </c>
      <c r="B1075" s="39">
        <v>2038</v>
      </c>
      <c r="C1075" s="41" t="s">
        <v>170</v>
      </c>
      <c r="D1075">
        <v>19.84</v>
      </c>
      <c r="E1075" s="80">
        <v>36930.400000000001</v>
      </c>
      <c r="F1075">
        <v>155.19999999999999</v>
      </c>
      <c r="G1075">
        <v>108.93</v>
      </c>
      <c r="H1075">
        <v>867.87</v>
      </c>
      <c r="I1075" s="80">
        <v>12889.36</v>
      </c>
      <c r="J1075">
        <v>33.24</v>
      </c>
      <c r="K1075">
        <v>644.11</v>
      </c>
      <c r="L1075">
        <f t="shared" si="160"/>
        <v>0</v>
      </c>
      <c r="M1075">
        <f t="shared" si="161"/>
        <v>0</v>
      </c>
      <c r="N1075">
        <f t="shared" si="162"/>
        <v>0</v>
      </c>
      <c r="O1075">
        <f t="shared" si="163"/>
        <v>0</v>
      </c>
      <c r="P1075">
        <f t="shared" si="164"/>
        <v>0</v>
      </c>
      <c r="Q1075">
        <f t="shared" si="165"/>
        <v>0</v>
      </c>
      <c r="R1075">
        <f t="shared" si="166"/>
        <v>0</v>
      </c>
      <c r="S1075">
        <f t="shared" si="167"/>
        <v>0</v>
      </c>
      <c r="T1075">
        <f t="shared" si="169"/>
        <v>0</v>
      </c>
      <c r="U1075">
        <f t="shared" si="168"/>
        <v>0</v>
      </c>
    </row>
    <row r="1076" spans="1:21" x14ac:dyDescent="0.25">
      <c r="A1076" s="2">
        <v>1075</v>
      </c>
      <c r="B1076" s="39">
        <v>2038</v>
      </c>
      <c r="C1076" s="41" t="s">
        <v>178</v>
      </c>
      <c r="D1076">
        <v>84.74</v>
      </c>
      <c r="E1076" s="80">
        <v>35933.379999999997</v>
      </c>
      <c r="F1076">
        <v>940.86</v>
      </c>
      <c r="G1076">
        <v>128.61000000000001</v>
      </c>
      <c r="H1076">
        <v>4678.6899999999996</v>
      </c>
      <c r="I1076" s="80">
        <v>20177.32</v>
      </c>
      <c r="J1076">
        <v>44.97</v>
      </c>
      <c r="K1076">
        <v>1058.71</v>
      </c>
      <c r="L1076">
        <f t="shared" si="160"/>
        <v>0</v>
      </c>
      <c r="M1076">
        <f t="shared" si="161"/>
        <v>0</v>
      </c>
      <c r="N1076">
        <f t="shared" si="162"/>
        <v>0</v>
      </c>
      <c r="O1076">
        <f t="shared" si="163"/>
        <v>0</v>
      </c>
      <c r="P1076">
        <f t="shared" si="164"/>
        <v>0</v>
      </c>
      <c r="Q1076">
        <f t="shared" si="165"/>
        <v>0</v>
      </c>
      <c r="R1076">
        <f t="shared" si="166"/>
        <v>0</v>
      </c>
      <c r="S1076">
        <f t="shared" si="167"/>
        <v>0</v>
      </c>
      <c r="T1076">
        <f t="shared" si="169"/>
        <v>0</v>
      </c>
      <c r="U1076">
        <f t="shared" si="168"/>
        <v>0</v>
      </c>
    </row>
    <row r="1077" spans="1:21" x14ac:dyDescent="0.25">
      <c r="A1077" s="2">
        <v>1076</v>
      </c>
      <c r="B1077" s="39">
        <v>2038</v>
      </c>
      <c r="C1077" s="41" t="s">
        <v>163</v>
      </c>
      <c r="D1077">
        <v>52.99</v>
      </c>
      <c r="E1077" s="80">
        <v>38329.65</v>
      </c>
      <c r="F1077">
        <v>211.81</v>
      </c>
      <c r="G1077">
        <v>163.16</v>
      </c>
      <c r="H1077">
        <v>3571.28</v>
      </c>
      <c r="I1077" s="80">
        <v>11931.78</v>
      </c>
      <c r="J1077">
        <v>49.03</v>
      </c>
      <c r="K1077">
        <v>6557.68</v>
      </c>
      <c r="L1077">
        <f t="shared" si="160"/>
        <v>0</v>
      </c>
      <c r="M1077">
        <f t="shared" si="161"/>
        <v>0</v>
      </c>
      <c r="N1077">
        <f t="shared" si="162"/>
        <v>0</v>
      </c>
      <c r="O1077">
        <f t="shared" si="163"/>
        <v>0</v>
      </c>
      <c r="P1077">
        <f t="shared" si="164"/>
        <v>0</v>
      </c>
      <c r="Q1077">
        <f t="shared" si="165"/>
        <v>0</v>
      </c>
      <c r="R1077">
        <f t="shared" si="166"/>
        <v>0</v>
      </c>
      <c r="S1077">
        <f t="shared" si="167"/>
        <v>0</v>
      </c>
      <c r="T1077">
        <f t="shared" si="169"/>
        <v>0</v>
      </c>
      <c r="U1077">
        <f t="shared" si="168"/>
        <v>0</v>
      </c>
    </row>
    <row r="1078" spans="1:21" x14ac:dyDescent="0.25">
      <c r="A1078" s="2">
        <v>1077</v>
      </c>
      <c r="B1078" s="39">
        <v>2038</v>
      </c>
      <c r="C1078" s="46" t="s">
        <v>181</v>
      </c>
      <c r="D1078">
        <v>17.89</v>
      </c>
      <c r="E1078" s="80">
        <v>100866.7</v>
      </c>
      <c r="F1078">
        <v>0.88</v>
      </c>
      <c r="G1078">
        <v>135.35</v>
      </c>
      <c r="H1078">
        <v>486.67</v>
      </c>
      <c r="I1078">
        <v>356.93</v>
      </c>
      <c r="J1078">
        <v>40.99</v>
      </c>
      <c r="K1078">
        <v>209.16</v>
      </c>
      <c r="L1078">
        <f t="shared" si="160"/>
        <v>0</v>
      </c>
      <c r="M1078">
        <f t="shared" si="161"/>
        <v>0</v>
      </c>
      <c r="N1078">
        <f t="shared" si="162"/>
        <v>0</v>
      </c>
      <c r="O1078">
        <f t="shared" si="163"/>
        <v>0</v>
      </c>
      <c r="P1078">
        <f t="shared" si="164"/>
        <v>0</v>
      </c>
      <c r="Q1078">
        <f t="shared" si="165"/>
        <v>0</v>
      </c>
      <c r="R1078">
        <f t="shared" si="166"/>
        <v>0</v>
      </c>
      <c r="S1078">
        <f t="shared" si="167"/>
        <v>0</v>
      </c>
      <c r="T1078">
        <f t="shared" si="169"/>
        <v>0</v>
      </c>
      <c r="U1078">
        <f t="shared" si="168"/>
        <v>0</v>
      </c>
    </row>
    <row r="1079" spans="1:21" x14ac:dyDescent="0.25">
      <c r="A1079" s="2">
        <v>1078</v>
      </c>
      <c r="B1079" s="39">
        <v>2038</v>
      </c>
      <c r="C1079" s="41" t="s">
        <v>183</v>
      </c>
      <c r="D1079">
        <v>31.22</v>
      </c>
      <c r="E1079" s="80">
        <v>52600.28</v>
      </c>
      <c r="F1079">
        <v>1313.63</v>
      </c>
      <c r="G1079">
        <v>192.24</v>
      </c>
      <c r="H1079" s="80">
        <v>19764.23</v>
      </c>
      <c r="I1079" s="80">
        <v>30851.040000000001</v>
      </c>
      <c r="J1079">
        <v>80.680000000000007</v>
      </c>
      <c r="K1079" s="80">
        <v>11605.07</v>
      </c>
      <c r="L1079">
        <f t="shared" si="160"/>
        <v>0</v>
      </c>
      <c r="M1079">
        <f t="shared" si="161"/>
        <v>0</v>
      </c>
      <c r="N1079">
        <f t="shared" si="162"/>
        <v>0</v>
      </c>
      <c r="O1079">
        <f t="shared" si="163"/>
        <v>0</v>
      </c>
      <c r="P1079">
        <f t="shared" si="164"/>
        <v>0</v>
      </c>
      <c r="Q1079">
        <f t="shared" si="165"/>
        <v>0</v>
      </c>
      <c r="R1079">
        <f t="shared" si="166"/>
        <v>0</v>
      </c>
      <c r="S1079">
        <f t="shared" si="167"/>
        <v>0</v>
      </c>
      <c r="T1079">
        <f t="shared" si="169"/>
        <v>0</v>
      </c>
      <c r="U1079">
        <f t="shared" si="168"/>
        <v>0</v>
      </c>
    </row>
    <row r="1080" spans="1:21" x14ac:dyDescent="0.25">
      <c r="A1080" s="2">
        <v>1079</v>
      </c>
      <c r="B1080" s="39">
        <v>2038</v>
      </c>
      <c r="C1080" s="41" t="s">
        <v>186</v>
      </c>
      <c r="D1080">
        <v>40.1</v>
      </c>
      <c r="E1080" s="80">
        <v>37051.83</v>
      </c>
      <c r="F1080">
        <v>2094.71</v>
      </c>
      <c r="G1080">
        <v>207.23</v>
      </c>
      <c r="H1080" s="80">
        <v>36675.47</v>
      </c>
      <c r="I1080" s="80">
        <v>33352.879999999997</v>
      </c>
      <c r="J1080">
        <v>92.9</v>
      </c>
      <c r="K1080" s="80">
        <v>17331.009999999998</v>
      </c>
      <c r="L1080">
        <f t="shared" si="160"/>
        <v>0</v>
      </c>
      <c r="M1080">
        <f t="shared" si="161"/>
        <v>0</v>
      </c>
      <c r="N1080">
        <f t="shared" si="162"/>
        <v>0</v>
      </c>
      <c r="O1080">
        <f t="shared" si="163"/>
        <v>0</v>
      </c>
      <c r="P1080">
        <f t="shared" si="164"/>
        <v>0</v>
      </c>
      <c r="Q1080">
        <f t="shared" si="165"/>
        <v>0</v>
      </c>
      <c r="R1080">
        <f t="shared" si="166"/>
        <v>0</v>
      </c>
      <c r="S1080">
        <f t="shared" si="167"/>
        <v>0</v>
      </c>
      <c r="T1080">
        <f t="shared" si="169"/>
        <v>0</v>
      </c>
      <c r="U1080">
        <f t="shared" si="168"/>
        <v>0</v>
      </c>
    </row>
    <row r="1081" spans="1:21" x14ac:dyDescent="0.25">
      <c r="A1081" s="2">
        <v>1080</v>
      </c>
      <c r="B1081" s="39">
        <v>2038</v>
      </c>
      <c r="C1081" s="41" t="s">
        <v>188</v>
      </c>
      <c r="D1081">
        <v>36.72</v>
      </c>
      <c r="E1081" s="80">
        <v>136150.07999999999</v>
      </c>
      <c r="F1081">
        <v>186.4</v>
      </c>
      <c r="G1081">
        <v>177.55</v>
      </c>
      <c r="H1081">
        <v>7659.88</v>
      </c>
      <c r="I1081" s="80">
        <v>20256.8</v>
      </c>
      <c r="J1081">
        <v>83.7</v>
      </c>
      <c r="K1081" s="80">
        <v>11805.33</v>
      </c>
      <c r="L1081">
        <f t="shared" si="160"/>
        <v>0</v>
      </c>
      <c r="M1081">
        <f t="shared" si="161"/>
        <v>0</v>
      </c>
      <c r="N1081">
        <f t="shared" si="162"/>
        <v>0</v>
      </c>
      <c r="O1081">
        <f t="shared" si="163"/>
        <v>0</v>
      </c>
      <c r="P1081">
        <f t="shared" si="164"/>
        <v>0</v>
      </c>
      <c r="Q1081">
        <f t="shared" si="165"/>
        <v>0</v>
      </c>
      <c r="R1081">
        <f t="shared" si="166"/>
        <v>0</v>
      </c>
      <c r="S1081">
        <f t="shared" si="167"/>
        <v>0</v>
      </c>
      <c r="T1081">
        <f t="shared" si="169"/>
        <v>0</v>
      </c>
      <c r="U1081">
        <f t="shared" si="168"/>
        <v>0</v>
      </c>
    </row>
    <row r="1082" spans="1:21" x14ac:dyDescent="0.25">
      <c r="A1082" s="2">
        <v>1081</v>
      </c>
      <c r="B1082" s="39">
        <v>2038</v>
      </c>
      <c r="C1082" s="41" t="s">
        <v>182</v>
      </c>
      <c r="D1082" s="80">
        <v>0.43</v>
      </c>
      <c r="E1082">
        <v>1676.17</v>
      </c>
      <c r="F1082">
        <v>2.61</v>
      </c>
      <c r="G1082" s="80">
        <v>6.47</v>
      </c>
      <c r="H1082">
        <v>86.86</v>
      </c>
      <c r="I1082" s="80">
        <v>4594.8999999999996</v>
      </c>
      <c r="J1082">
        <v>3.78</v>
      </c>
      <c r="K1082">
        <v>9.0399999999999991</v>
      </c>
      <c r="L1082">
        <f t="shared" si="160"/>
        <v>0</v>
      </c>
      <c r="M1082">
        <f t="shared" si="161"/>
        <v>0</v>
      </c>
      <c r="N1082">
        <f t="shared" si="162"/>
        <v>0</v>
      </c>
      <c r="O1082">
        <f t="shared" si="163"/>
        <v>0</v>
      </c>
      <c r="P1082">
        <f t="shared" si="164"/>
        <v>0</v>
      </c>
      <c r="Q1082">
        <f t="shared" si="165"/>
        <v>0</v>
      </c>
      <c r="R1082">
        <f t="shared" si="166"/>
        <v>0</v>
      </c>
      <c r="S1082">
        <f t="shared" si="167"/>
        <v>0</v>
      </c>
      <c r="T1082">
        <f t="shared" si="169"/>
        <v>0</v>
      </c>
      <c r="U1082">
        <f t="shared" si="168"/>
        <v>0</v>
      </c>
    </row>
    <row r="1083" spans="1:21" x14ac:dyDescent="0.25">
      <c r="A1083" s="2">
        <v>1082</v>
      </c>
      <c r="B1083" s="39">
        <v>2038</v>
      </c>
      <c r="C1083" s="41" t="s">
        <v>184</v>
      </c>
      <c r="D1083">
        <v>119.27</v>
      </c>
      <c r="E1083">
        <v>9510.52</v>
      </c>
      <c r="F1083">
        <v>115.26</v>
      </c>
      <c r="G1083">
        <v>102.56</v>
      </c>
      <c r="H1083">
        <v>9631.0300000000007</v>
      </c>
      <c r="I1083" s="80">
        <v>23739.25</v>
      </c>
      <c r="J1083">
        <v>30.73</v>
      </c>
      <c r="K1083">
        <v>1565.92</v>
      </c>
      <c r="L1083">
        <f t="shared" si="160"/>
        <v>0</v>
      </c>
      <c r="M1083">
        <f t="shared" si="161"/>
        <v>0</v>
      </c>
      <c r="N1083">
        <f t="shared" si="162"/>
        <v>0</v>
      </c>
      <c r="O1083">
        <f t="shared" si="163"/>
        <v>0</v>
      </c>
      <c r="P1083">
        <f t="shared" si="164"/>
        <v>0</v>
      </c>
      <c r="Q1083">
        <f t="shared" si="165"/>
        <v>0</v>
      </c>
      <c r="R1083">
        <f t="shared" si="166"/>
        <v>0</v>
      </c>
      <c r="S1083">
        <f t="shared" si="167"/>
        <v>0</v>
      </c>
      <c r="T1083">
        <f t="shared" si="169"/>
        <v>0</v>
      </c>
      <c r="U1083">
        <f t="shared" si="168"/>
        <v>0</v>
      </c>
    </row>
    <row r="1084" spans="1:21" x14ac:dyDescent="0.25">
      <c r="A1084" s="2">
        <v>1083</v>
      </c>
      <c r="B1084" s="39">
        <v>2038</v>
      </c>
      <c r="C1084" s="41" t="s">
        <v>187</v>
      </c>
      <c r="D1084">
        <v>950.51</v>
      </c>
      <c r="E1084">
        <v>9251.8799999999992</v>
      </c>
      <c r="F1084">
        <v>158.62</v>
      </c>
      <c r="G1084">
        <v>108.93</v>
      </c>
      <c r="H1084" s="80">
        <v>19885.73</v>
      </c>
      <c r="I1084" s="80">
        <v>19118.099999999999</v>
      </c>
      <c r="J1084">
        <v>57.35</v>
      </c>
      <c r="K1084">
        <v>5664.65</v>
      </c>
      <c r="L1084">
        <f t="shared" si="160"/>
        <v>0</v>
      </c>
      <c r="M1084">
        <f t="shared" si="161"/>
        <v>0</v>
      </c>
      <c r="N1084">
        <f t="shared" si="162"/>
        <v>0</v>
      </c>
      <c r="O1084">
        <f t="shared" si="163"/>
        <v>0</v>
      </c>
      <c r="P1084">
        <f t="shared" si="164"/>
        <v>0</v>
      </c>
      <c r="Q1084">
        <f t="shared" si="165"/>
        <v>0</v>
      </c>
      <c r="R1084">
        <f t="shared" si="166"/>
        <v>0</v>
      </c>
      <c r="S1084">
        <f t="shared" si="167"/>
        <v>0</v>
      </c>
      <c r="T1084">
        <f t="shared" si="169"/>
        <v>0</v>
      </c>
      <c r="U1084">
        <f t="shared" si="168"/>
        <v>0</v>
      </c>
    </row>
    <row r="1085" spans="1:21" x14ac:dyDescent="0.25">
      <c r="A1085" s="2">
        <v>1084</v>
      </c>
      <c r="B1085" s="39">
        <v>2038</v>
      </c>
      <c r="C1085" s="41" t="s">
        <v>189</v>
      </c>
      <c r="D1085">
        <v>742.96</v>
      </c>
      <c r="E1085">
        <v>6863.53</v>
      </c>
      <c r="F1085">
        <v>3.21</v>
      </c>
      <c r="G1085">
        <v>66.55</v>
      </c>
      <c r="H1085">
        <v>9758.8799999999992</v>
      </c>
      <c r="I1085" s="80">
        <v>11914.53</v>
      </c>
      <c r="J1085">
        <v>35.79</v>
      </c>
      <c r="K1085">
        <v>5281.28</v>
      </c>
      <c r="L1085">
        <f t="shared" si="160"/>
        <v>0</v>
      </c>
      <c r="M1085">
        <f t="shared" si="161"/>
        <v>0</v>
      </c>
      <c r="N1085">
        <f t="shared" si="162"/>
        <v>0</v>
      </c>
      <c r="O1085">
        <f t="shared" si="163"/>
        <v>0</v>
      </c>
      <c r="P1085">
        <f t="shared" si="164"/>
        <v>0</v>
      </c>
      <c r="Q1085">
        <f t="shared" si="165"/>
        <v>0</v>
      </c>
      <c r="R1085">
        <f t="shared" si="166"/>
        <v>0</v>
      </c>
      <c r="S1085">
        <f t="shared" si="167"/>
        <v>0</v>
      </c>
      <c r="T1085">
        <f t="shared" si="169"/>
        <v>0</v>
      </c>
      <c r="U1085">
        <f t="shared" si="168"/>
        <v>0</v>
      </c>
    </row>
    <row r="1086" spans="1:21" x14ac:dyDescent="0.25">
      <c r="A1086" s="2">
        <v>1085</v>
      </c>
      <c r="B1086" s="39">
        <v>2039</v>
      </c>
      <c r="C1086" s="41" t="s">
        <v>162</v>
      </c>
      <c r="D1086">
        <v>12.3</v>
      </c>
      <c r="E1086" s="80">
        <v>46878.92</v>
      </c>
      <c r="F1086">
        <v>0.52</v>
      </c>
      <c r="G1086">
        <v>60.96</v>
      </c>
      <c r="H1086">
        <v>3.17</v>
      </c>
      <c r="I1086">
        <v>3.25</v>
      </c>
      <c r="J1086">
        <v>23.45</v>
      </c>
      <c r="K1086">
        <v>5.09</v>
      </c>
      <c r="L1086">
        <f t="shared" si="160"/>
        <v>0</v>
      </c>
      <c r="M1086">
        <f t="shared" si="161"/>
        <v>0</v>
      </c>
      <c r="N1086">
        <f t="shared" si="162"/>
        <v>0</v>
      </c>
      <c r="O1086">
        <f t="shared" si="163"/>
        <v>0</v>
      </c>
      <c r="P1086">
        <f t="shared" si="164"/>
        <v>0</v>
      </c>
      <c r="Q1086">
        <f t="shared" si="165"/>
        <v>0</v>
      </c>
      <c r="R1086">
        <f t="shared" si="166"/>
        <v>0</v>
      </c>
      <c r="S1086">
        <f t="shared" si="167"/>
        <v>0</v>
      </c>
      <c r="T1086">
        <f t="shared" si="169"/>
        <v>0</v>
      </c>
      <c r="U1086">
        <f t="shared" si="168"/>
        <v>0</v>
      </c>
    </row>
    <row r="1087" spans="1:21" x14ac:dyDescent="0.25">
      <c r="A1087" s="2">
        <v>1086</v>
      </c>
      <c r="B1087" s="39">
        <v>2039</v>
      </c>
      <c r="C1087" s="41" t="s">
        <v>170</v>
      </c>
      <c r="D1087">
        <v>109.35</v>
      </c>
      <c r="E1087" s="80">
        <v>43703.56</v>
      </c>
      <c r="F1087">
        <v>208.63</v>
      </c>
      <c r="G1087">
        <v>135.35</v>
      </c>
      <c r="H1087">
        <v>4645.8599999999997</v>
      </c>
      <c r="I1087" s="80">
        <v>25810.560000000001</v>
      </c>
      <c r="J1087">
        <v>40.99</v>
      </c>
      <c r="K1087">
        <v>1235.6500000000001</v>
      </c>
      <c r="L1087">
        <f t="shared" si="160"/>
        <v>0</v>
      </c>
      <c r="M1087">
        <f t="shared" si="161"/>
        <v>0</v>
      </c>
      <c r="N1087">
        <f t="shared" si="162"/>
        <v>0</v>
      </c>
      <c r="O1087">
        <f t="shared" si="163"/>
        <v>0</v>
      </c>
      <c r="P1087">
        <f t="shared" si="164"/>
        <v>0</v>
      </c>
      <c r="Q1087">
        <f t="shared" si="165"/>
        <v>0</v>
      </c>
      <c r="R1087">
        <f t="shared" si="166"/>
        <v>0</v>
      </c>
      <c r="S1087">
        <f t="shared" si="167"/>
        <v>0</v>
      </c>
      <c r="T1087">
        <f t="shared" si="169"/>
        <v>0</v>
      </c>
      <c r="U1087">
        <f t="shared" si="168"/>
        <v>0</v>
      </c>
    </row>
    <row r="1088" spans="1:21" x14ac:dyDescent="0.25">
      <c r="A1088" s="2">
        <v>1087</v>
      </c>
      <c r="B1088" s="39">
        <v>2039</v>
      </c>
      <c r="C1088" s="41" t="s">
        <v>178</v>
      </c>
      <c r="D1088">
        <v>671.23</v>
      </c>
      <c r="E1088" s="80">
        <v>49719.62</v>
      </c>
      <c r="F1088">
        <v>1221.45</v>
      </c>
      <c r="G1088">
        <v>199.7</v>
      </c>
      <c r="H1088" s="80">
        <v>31228.23</v>
      </c>
      <c r="I1088" s="80">
        <v>31527.7</v>
      </c>
      <c r="J1088">
        <v>68.819999999999993</v>
      </c>
      <c r="K1088">
        <v>4226.6099999999997</v>
      </c>
      <c r="L1088">
        <f t="shared" si="160"/>
        <v>0</v>
      </c>
      <c r="M1088">
        <f t="shared" si="161"/>
        <v>0</v>
      </c>
      <c r="N1088">
        <f t="shared" si="162"/>
        <v>0</v>
      </c>
      <c r="O1088">
        <f t="shared" si="163"/>
        <v>0</v>
      </c>
      <c r="P1088">
        <f t="shared" si="164"/>
        <v>0</v>
      </c>
      <c r="Q1088">
        <f t="shared" si="165"/>
        <v>0</v>
      </c>
      <c r="R1088">
        <f t="shared" si="166"/>
        <v>0</v>
      </c>
      <c r="S1088">
        <f t="shared" si="167"/>
        <v>0</v>
      </c>
      <c r="T1088">
        <f t="shared" si="169"/>
        <v>0</v>
      </c>
      <c r="U1088">
        <f t="shared" si="168"/>
        <v>0</v>
      </c>
    </row>
    <row r="1089" spans="1:21" x14ac:dyDescent="0.25">
      <c r="A1089" s="2">
        <v>1088</v>
      </c>
      <c r="B1089" s="39">
        <v>2039</v>
      </c>
      <c r="C1089" s="41" t="s">
        <v>163</v>
      </c>
      <c r="D1089">
        <v>15525.72</v>
      </c>
      <c r="E1089" s="80">
        <v>61190.34</v>
      </c>
      <c r="F1089">
        <v>86.48</v>
      </c>
      <c r="G1089">
        <v>238.06</v>
      </c>
      <c r="H1089">
        <v>15373.64</v>
      </c>
      <c r="I1089">
        <v>23571.35</v>
      </c>
      <c r="J1089">
        <v>118.3</v>
      </c>
      <c r="K1089" s="80">
        <v>23952.04</v>
      </c>
      <c r="L1089">
        <f t="shared" si="160"/>
        <v>0</v>
      </c>
      <c r="M1089">
        <f t="shared" si="161"/>
        <v>0</v>
      </c>
      <c r="N1089">
        <f t="shared" si="162"/>
        <v>0</v>
      </c>
      <c r="O1089">
        <f t="shared" si="163"/>
        <v>0</v>
      </c>
      <c r="P1089">
        <f t="shared" si="164"/>
        <v>0</v>
      </c>
      <c r="Q1089">
        <f t="shared" si="165"/>
        <v>0</v>
      </c>
      <c r="R1089">
        <f t="shared" si="166"/>
        <v>0</v>
      </c>
      <c r="S1089">
        <f t="shared" si="167"/>
        <v>0</v>
      </c>
      <c r="T1089">
        <f t="shared" si="169"/>
        <v>0</v>
      </c>
      <c r="U1089">
        <f t="shared" si="168"/>
        <v>0</v>
      </c>
    </row>
    <row r="1090" spans="1:21" x14ac:dyDescent="0.25">
      <c r="A1090" s="2">
        <v>1089</v>
      </c>
      <c r="B1090" s="39">
        <v>2039</v>
      </c>
      <c r="C1090" s="46" t="s">
        <v>181</v>
      </c>
      <c r="D1090">
        <v>25.92</v>
      </c>
      <c r="E1090" s="80">
        <v>158478.57999999999</v>
      </c>
      <c r="F1090">
        <v>1.1499999999999999</v>
      </c>
      <c r="G1090">
        <v>121.95</v>
      </c>
      <c r="H1090">
        <v>72.099999999999994</v>
      </c>
      <c r="I1090">
        <v>720.6</v>
      </c>
      <c r="J1090">
        <v>33.24</v>
      </c>
      <c r="K1090">
        <v>77.23</v>
      </c>
      <c r="L1090">
        <f t="shared" ref="L1090:L1153" si="170">IF(D1090 = "OOR &gt;", 1,0)</f>
        <v>0</v>
      </c>
      <c r="M1090">
        <f t="shared" ref="M1090:M1153" si="171">IF(E1090 = "OOR &gt;", 1,0)</f>
        <v>0</v>
      </c>
      <c r="N1090">
        <f t="shared" ref="N1090:N1153" si="172">IF(F1090 = "OOR &gt;", 1,0)</f>
        <v>0</v>
      </c>
      <c r="O1090">
        <f t="shared" ref="O1090:O1153" si="173">IF(G1090 = "OOR &gt;", 1,0)</f>
        <v>0</v>
      </c>
      <c r="P1090">
        <f t="shared" ref="P1090:P1153" si="174">IF(H1090 = "OOR &gt;", 1,0)</f>
        <v>0</v>
      </c>
      <c r="Q1090">
        <f t="shared" ref="Q1090:Q1153" si="175">IF(I1090 = "OOR &gt;", 1,0)</f>
        <v>0</v>
      </c>
      <c r="R1090">
        <f t="shared" ref="R1090:R1153" si="176">IF(J1090 = "OOR &gt;", 1,0)</f>
        <v>0</v>
      </c>
      <c r="S1090">
        <f t="shared" ref="S1090:S1153" si="177">IF(K1090 = "OOR &gt;", 1,0)</f>
        <v>0</v>
      </c>
      <c r="T1090">
        <f t="shared" si="169"/>
        <v>0</v>
      </c>
      <c r="U1090">
        <f t="shared" ref="U1090:U1153" si="178">IF(T1090 &gt; 0,1,0)</f>
        <v>0</v>
      </c>
    </row>
    <row r="1091" spans="1:21" x14ac:dyDescent="0.25">
      <c r="A1091" s="2">
        <v>1090</v>
      </c>
      <c r="B1091" s="39">
        <v>2039</v>
      </c>
      <c r="C1091" s="41" t="s">
        <v>183</v>
      </c>
      <c r="D1091">
        <v>50.6</v>
      </c>
      <c r="E1091" s="80">
        <v>80638.67</v>
      </c>
      <c r="F1091">
        <v>1000.65</v>
      </c>
      <c r="G1091">
        <v>199.7</v>
      </c>
      <c r="H1091" s="80">
        <v>21838.76</v>
      </c>
      <c r="I1091" s="80">
        <v>35763.800000000003</v>
      </c>
      <c r="J1091">
        <v>92.9</v>
      </c>
      <c r="K1091">
        <v>8168.84</v>
      </c>
      <c r="L1091">
        <f t="shared" si="170"/>
        <v>0</v>
      </c>
      <c r="M1091">
        <f t="shared" si="171"/>
        <v>0</v>
      </c>
      <c r="N1091">
        <f t="shared" si="172"/>
        <v>0</v>
      </c>
      <c r="O1091">
        <f t="shared" si="173"/>
        <v>0</v>
      </c>
      <c r="P1091">
        <f t="shared" si="174"/>
        <v>0</v>
      </c>
      <c r="Q1091">
        <f t="shared" si="175"/>
        <v>0</v>
      </c>
      <c r="R1091">
        <f t="shared" si="176"/>
        <v>0</v>
      </c>
      <c r="S1091">
        <f t="shared" si="177"/>
        <v>0</v>
      </c>
      <c r="T1091">
        <f t="shared" ref="T1091:T1154" si="179">SUMIF(L1091:S1091,"&gt;0")</f>
        <v>0</v>
      </c>
      <c r="U1091">
        <f t="shared" si="178"/>
        <v>0</v>
      </c>
    </row>
    <row r="1092" spans="1:21" x14ac:dyDescent="0.25">
      <c r="A1092" s="2">
        <v>1091</v>
      </c>
      <c r="B1092" s="39">
        <v>2039</v>
      </c>
      <c r="C1092" s="41" t="s">
        <v>186</v>
      </c>
      <c r="D1092">
        <v>65.319999999999993</v>
      </c>
      <c r="E1092" s="80">
        <v>73785.899999999994</v>
      </c>
      <c r="F1092">
        <v>2755.52</v>
      </c>
      <c r="G1092">
        <v>253.87</v>
      </c>
      <c r="H1092" s="80">
        <v>83618.039999999994</v>
      </c>
      <c r="I1092" s="80">
        <v>38029.279999999999</v>
      </c>
      <c r="J1092">
        <v>111.84</v>
      </c>
      <c r="K1092" s="80">
        <v>18266.490000000002</v>
      </c>
      <c r="L1092">
        <f t="shared" si="170"/>
        <v>0</v>
      </c>
      <c r="M1092">
        <f t="shared" si="171"/>
        <v>0</v>
      </c>
      <c r="N1092">
        <f t="shared" si="172"/>
        <v>0</v>
      </c>
      <c r="O1092">
        <f t="shared" si="173"/>
        <v>0</v>
      </c>
      <c r="P1092">
        <f t="shared" si="174"/>
        <v>0</v>
      </c>
      <c r="Q1092">
        <f t="shared" si="175"/>
        <v>0</v>
      </c>
      <c r="R1092">
        <f t="shared" si="176"/>
        <v>0</v>
      </c>
      <c r="S1092">
        <f t="shared" si="177"/>
        <v>0</v>
      </c>
      <c r="T1092">
        <f t="shared" si="179"/>
        <v>0</v>
      </c>
      <c r="U1092">
        <f t="shared" si="178"/>
        <v>0</v>
      </c>
    </row>
    <row r="1093" spans="1:21" x14ac:dyDescent="0.25">
      <c r="A1093" s="2">
        <v>1092</v>
      </c>
      <c r="B1093" s="39">
        <v>2039</v>
      </c>
      <c r="C1093" s="27" t="s">
        <v>188</v>
      </c>
      <c r="D1093">
        <v>55.42</v>
      </c>
      <c r="E1093" s="80">
        <v>118919.86</v>
      </c>
      <c r="F1093">
        <v>269.18</v>
      </c>
      <c r="G1093">
        <v>238.06</v>
      </c>
      <c r="H1093">
        <v>6187.3</v>
      </c>
      <c r="I1093" s="80">
        <v>27198.13</v>
      </c>
      <c r="J1093">
        <v>102.28</v>
      </c>
      <c r="K1093" s="80">
        <v>14946.07</v>
      </c>
      <c r="L1093">
        <f t="shared" si="170"/>
        <v>0</v>
      </c>
      <c r="M1093">
        <f t="shared" si="171"/>
        <v>0</v>
      </c>
      <c r="N1093">
        <f t="shared" si="172"/>
        <v>0</v>
      </c>
      <c r="O1093">
        <f t="shared" si="173"/>
        <v>0</v>
      </c>
      <c r="P1093">
        <f t="shared" si="174"/>
        <v>0</v>
      </c>
      <c r="Q1093">
        <f t="shared" si="175"/>
        <v>0</v>
      </c>
      <c r="R1093">
        <f t="shared" si="176"/>
        <v>0</v>
      </c>
      <c r="S1093">
        <f t="shared" si="177"/>
        <v>0</v>
      </c>
      <c r="T1093">
        <f t="shared" si="179"/>
        <v>0</v>
      </c>
      <c r="U1093">
        <f t="shared" si="178"/>
        <v>0</v>
      </c>
    </row>
    <row r="1094" spans="1:21" x14ac:dyDescent="0.25">
      <c r="A1094" s="2">
        <v>1093</v>
      </c>
      <c r="B1094" s="39">
        <v>2039</v>
      </c>
      <c r="C1094" s="27" t="s">
        <v>182</v>
      </c>
      <c r="D1094">
        <v>7.19</v>
      </c>
      <c r="E1094">
        <v>4145.7</v>
      </c>
      <c r="F1094">
        <v>9.34</v>
      </c>
      <c r="G1094" s="80">
        <v>6.47</v>
      </c>
      <c r="H1094">
        <v>401.53</v>
      </c>
      <c r="I1094" s="80">
        <v>27492.5</v>
      </c>
      <c r="J1094">
        <v>14.41</v>
      </c>
      <c r="K1094">
        <v>321.62</v>
      </c>
      <c r="L1094">
        <f t="shared" si="170"/>
        <v>0</v>
      </c>
      <c r="M1094">
        <f t="shared" si="171"/>
        <v>0</v>
      </c>
      <c r="N1094">
        <f t="shared" si="172"/>
        <v>0</v>
      </c>
      <c r="O1094">
        <f t="shared" si="173"/>
        <v>0</v>
      </c>
      <c r="P1094">
        <f t="shared" si="174"/>
        <v>0</v>
      </c>
      <c r="Q1094">
        <f t="shared" si="175"/>
        <v>0</v>
      </c>
      <c r="R1094">
        <f t="shared" si="176"/>
        <v>0</v>
      </c>
      <c r="S1094">
        <f t="shared" si="177"/>
        <v>0</v>
      </c>
      <c r="T1094">
        <f t="shared" si="179"/>
        <v>0</v>
      </c>
      <c r="U1094">
        <f t="shared" si="178"/>
        <v>0</v>
      </c>
    </row>
    <row r="1095" spans="1:21" x14ac:dyDescent="0.25">
      <c r="A1095" s="2">
        <v>1094</v>
      </c>
      <c r="B1095" s="39">
        <v>2039</v>
      </c>
      <c r="C1095" s="27" t="s">
        <v>184</v>
      </c>
      <c r="D1095">
        <v>3248.4</v>
      </c>
      <c r="E1095">
        <v>16595.8</v>
      </c>
      <c r="F1095">
        <v>91.76</v>
      </c>
      <c r="G1095">
        <v>170.31</v>
      </c>
      <c r="H1095">
        <v>14372.44</v>
      </c>
      <c r="I1095" s="80">
        <v>29355.17</v>
      </c>
      <c r="J1095">
        <v>38.369999999999997</v>
      </c>
      <c r="K1095">
        <v>3108.97</v>
      </c>
      <c r="L1095">
        <f t="shared" si="170"/>
        <v>0</v>
      </c>
      <c r="M1095">
        <f t="shared" si="171"/>
        <v>0</v>
      </c>
      <c r="N1095">
        <f t="shared" si="172"/>
        <v>0</v>
      </c>
      <c r="O1095">
        <f t="shared" si="173"/>
        <v>0</v>
      </c>
      <c r="P1095">
        <f t="shared" si="174"/>
        <v>0</v>
      </c>
      <c r="Q1095">
        <f t="shared" si="175"/>
        <v>0</v>
      </c>
      <c r="R1095">
        <f t="shared" si="176"/>
        <v>0</v>
      </c>
      <c r="S1095">
        <f t="shared" si="177"/>
        <v>0</v>
      </c>
      <c r="T1095">
        <f t="shared" si="179"/>
        <v>0</v>
      </c>
      <c r="U1095">
        <f t="shared" si="178"/>
        <v>0</v>
      </c>
    </row>
    <row r="1096" spans="1:21" x14ac:dyDescent="0.25">
      <c r="A1096" s="2">
        <v>1095</v>
      </c>
      <c r="B1096" s="39">
        <v>2039</v>
      </c>
      <c r="C1096" s="27" t="s">
        <v>187</v>
      </c>
      <c r="D1096">
        <v>21187.34</v>
      </c>
      <c r="E1096">
        <v>23093.79</v>
      </c>
      <c r="F1096">
        <v>1023.1</v>
      </c>
      <c r="G1096">
        <v>207.23</v>
      </c>
      <c r="H1096" s="80">
        <v>37061.769999999997</v>
      </c>
      <c r="I1096" s="80">
        <v>27763.84</v>
      </c>
      <c r="J1096">
        <v>80.680000000000007</v>
      </c>
      <c r="K1096" s="80">
        <v>15163.88</v>
      </c>
      <c r="L1096">
        <f t="shared" si="170"/>
        <v>0</v>
      </c>
      <c r="M1096">
        <f t="shared" si="171"/>
        <v>0</v>
      </c>
      <c r="N1096">
        <f t="shared" si="172"/>
        <v>0</v>
      </c>
      <c r="O1096">
        <f t="shared" si="173"/>
        <v>0</v>
      </c>
      <c r="P1096">
        <f t="shared" si="174"/>
        <v>0</v>
      </c>
      <c r="Q1096">
        <f t="shared" si="175"/>
        <v>0</v>
      </c>
      <c r="R1096">
        <f t="shared" si="176"/>
        <v>0</v>
      </c>
      <c r="S1096">
        <f t="shared" si="177"/>
        <v>0</v>
      </c>
      <c r="T1096">
        <f t="shared" si="179"/>
        <v>0</v>
      </c>
      <c r="U1096">
        <f t="shared" si="178"/>
        <v>0</v>
      </c>
    </row>
    <row r="1097" spans="1:21" x14ac:dyDescent="0.25">
      <c r="A1097" s="2">
        <v>1096</v>
      </c>
      <c r="B1097" s="39">
        <v>2039</v>
      </c>
      <c r="C1097" s="27" t="s">
        <v>189</v>
      </c>
      <c r="D1097">
        <v>30537.21</v>
      </c>
      <c r="E1097">
        <v>21230.91</v>
      </c>
      <c r="F1097">
        <v>8.6999999999999993</v>
      </c>
      <c r="G1097">
        <v>192.24</v>
      </c>
      <c r="H1097" s="80">
        <v>32039.24</v>
      </c>
      <c r="I1097" s="80">
        <v>27767.94</v>
      </c>
      <c r="J1097">
        <v>105.45</v>
      </c>
      <c r="K1097" s="80">
        <v>18156.5</v>
      </c>
      <c r="L1097">
        <f t="shared" si="170"/>
        <v>0</v>
      </c>
      <c r="M1097">
        <f t="shared" si="171"/>
        <v>0</v>
      </c>
      <c r="N1097">
        <f t="shared" si="172"/>
        <v>0</v>
      </c>
      <c r="O1097">
        <f t="shared" si="173"/>
        <v>0</v>
      </c>
      <c r="P1097">
        <f t="shared" si="174"/>
        <v>0</v>
      </c>
      <c r="Q1097">
        <f t="shared" si="175"/>
        <v>0</v>
      </c>
      <c r="R1097">
        <f t="shared" si="176"/>
        <v>0</v>
      </c>
      <c r="S1097">
        <f t="shared" si="177"/>
        <v>0</v>
      </c>
      <c r="T1097">
        <f t="shared" si="179"/>
        <v>0</v>
      </c>
      <c r="U1097">
        <f t="shared" si="178"/>
        <v>0</v>
      </c>
    </row>
    <row r="1098" spans="1:21" x14ac:dyDescent="0.25">
      <c r="A1098" s="2">
        <v>1097</v>
      </c>
      <c r="B1098" s="39" t="s">
        <v>593</v>
      </c>
      <c r="C1098" s="41" t="s">
        <v>162</v>
      </c>
      <c r="D1098">
        <v>4.13</v>
      </c>
      <c r="E1098">
        <v>9431.06</v>
      </c>
      <c r="F1098">
        <v>0.43</v>
      </c>
      <c r="G1098">
        <v>25.77</v>
      </c>
      <c r="H1098" s="80">
        <v>1.1599999999999999</v>
      </c>
      <c r="I1098">
        <v>0.64</v>
      </c>
      <c r="J1098">
        <v>12.3</v>
      </c>
      <c r="K1098">
        <v>1.45</v>
      </c>
      <c r="L1098">
        <f t="shared" si="170"/>
        <v>0</v>
      </c>
      <c r="M1098">
        <f t="shared" si="171"/>
        <v>0</v>
      </c>
      <c r="N1098">
        <f t="shared" si="172"/>
        <v>0</v>
      </c>
      <c r="O1098">
        <f t="shared" si="173"/>
        <v>0</v>
      </c>
      <c r="P1098">
        <f t="shared" si="174"/>
        <v>0</v>
      </c>
      <c r="Q1098">
        <f t="shared" si="175"/>
        <v>0</v>
      </c>
      <c r="R1098">
        <f t="shared" si="176"/>
        <v>0</v>
      </c>
      <c r="S1098">
        <f t="shared" si="177"/>
        <v>0</v>
      </c>
      <c r="T1098">
        <f t="shared" si="179"/>
        <v>0</v>
      </c>
      <c r="U1098">
        <f t="shared" si="178"/>
        <v>0</v>
      </c>
    </row>
    <row r="1099" spans="1:21" x14ac:dyDescent="0.25">
      <c r="A1099" s="2">
        <v>1098</v>
      </c>
      <c r="B1099" s="39" t="s">
        <v>593</v>
      </c>
      <c r="C1099" s="41" t="s">
        <v>170</v>
      </c>
      <c r="D1099">
        <v>14.11</v>
      </c>
      <c r="E1099" s="80">
        <v>32338.240000000002</v>
      </c>
      <c r="F1099">
        <v>104.91</v>
      </c>
      <c r="G1099">
        <v>72.27</v>
      </c>
      <c r="H1099">
        <v>438.16</v>
      </c>
      <c r="I1099" s="80">
        <v>13253.47</v>
      </c>
      <c r="J1099">
        <v>30.73</v>
      </c>
      <c r="K1099">
        <v>251.19</v>
      </c>
      <c r="L1099">
        <f t="shared" si="170"/>
        <v>0</v>
      </c>
      <c r="M1099">
        <f t="shared" si="171"/>
        <v>0</v>
      </c>
      <c r="N1099">
        <f t="shared" si="172"/>
        <v>0</v>
      </c>
      <c r="O1099">
        <f t="shared" si="173"/>
        <v>0</v>
      </c>
      <c r="P1099">
        <f t="shared" si="174"/>
        <v>0</v>
      </c>
      <c r="Q1099">
        <f t="shared" si="175"/>
        <v>0</v>
      </c>
      <c r="R1099">
        <f t="shared" si="176"/>
        <v>0</v>
      </c>
      <c r="S1099">
        <f t="shared" si="177"/>
        <v>0</v>
      </c>
      <c r="T1099">
        <f t="shared" si="179"/>
        <v>0</v>
      </c>
      <c r="U1099">
        <f t="shared" si="178"/>
        <v>0</v>
      </c>
    </row>
    <row r="1100" spans="1:21" x14ac:dyDescent="0.25">
      <c r="A1100" s="2">
        <v>1099</v>
      </c>
      <c r="B1100" s="39" t="s">
        <v>593</v>
      </c>
      <c r="C1100" s="41" t="s">
        <v>178</v>
      </c>
      <c r="D1100">
        <v>36.72</v>
      </c>
      <c r="E1100" s="80">
        <v>54168.56</v>
      </c>
      <c r="F1100">
        <v>1471.25</v>
      </c>
      <c r="G1100">
        <v>149.09</v>
      </c>
      <c r="H1100">
        <v>7342.63</v>
      </c>
      <c r="I1100" s="80">
        <v>26106.65</v>
      </c>
      <c r="J1100">
        <v>40.99</v>
      </c>
      <c r="K1100">
        <v>1351.41</v>
      </c>
      <c r="L1100">
        <f t="shared" si="170"/>
        <v>0</v>
      </c>
      <c r="M1100">
        <f t="shared" si="171"/>
        <v>0</v>
      </c>
      <c r="N1100">
        <f t="shared" si="172"/>
        <v>0</v>
      </c>
      <c r="O1100">
        <f t="shared" si="173"/>
        <v>0</v>
      </c>
      <c r="P1100">
        <f t="shared" si="174"/>
        <v>0</v>
      </c>
      <c r="Q1100">
        <f t="shared" si="175"/>
        <v>0</v>
      </c>
      <c r="R1100">
        <f t="shared" si="176"/>
        <v>0</v>
      </c>
      <c r="S1100">
        <f t="shared" si="177"/>
        <v>0</v>
      </c>
      <c r="T1100">
        <f t="shared" si="179"/>
        <v>0</v>
      </c>
      <c r="U1100">
        <f t="shared" si="178"/>
        <v>0</v>
      </c>
    </row>
    <row r="1101" spans="1:21" x14ac:dyDescent="0.25">
      <c r="A1101" s="2">
        <v>1100</v>
      </c>
      <c r="B1101" s="39" t="s">
        <v>593</v>
      </c>
      <c r="C1101" s="41" t="s">
        <v>163</v>
      </c>
      <c r="D1101">
        <v>34.5</v>
      </c>
      <c r="E1101" s="80">
        <v>99980.31</v>
      </c>
      <c r="F1101">
        <v>38.29</v>
      </c>
      <c r="G1101">
        <v>142.16999999999999</v>
      </c>
      <c r="H1101">
        <v>705.24</v>
      </c>
      <c r="I1101" s="80">
        <v>6757.89</v>
      </c>
      <c r="J1101">
        <v>46.32</v>
      </c>
      <c r="K1101">
        <v>2205.3000000000002</v>
      </c>
      <c r="L1101">
        <f t="shared" si="170"/>
        <v>0</v>
      </c>
      <c r="M1101">
        <f t="shared" si="171"/>
        <v>0</v>
      </c>
      <c r="N1101">
        <f t="shared" si="172"/>
        <v>0</v>
      </c>
      <c r="O1101">
        <f t="shared" si="173"/>
        <v>0</v>
      </c>
      <c r="P1101">
        <f t="shared" si="174"/>
        <v>0</v>
      </c>
      <c r="Q1101">
        <f t="shared" si="175"/>
        <v>0</v>
      </c>
      <c r="R1101">
        <f t="shared" si="176"/>
        <v>0</v>
      </c>
      <c r="S1101">
        <f t="shared" si="177"/>
        <v>0</v>
      </c>
      <c r="T1101">
        <f t="shared" si="179"/>
        <v>0</v>
      </c>
      <c r="U1101">
        <f t="shared" si="178"/>
        <v>0</v>
      </c>
    </row>
    <row r="1102" spans="1:21" x14ac:dyDescent="0.25">
      <c r="A1102" s="2">
        <v>1101</v>
      </c>
      <c r="B1102" s="39" t="s">
        <v>593</v>
      </c>
      <c r="C1102" s="46" t="s">
        <v>181</v>
      </c>
      <c r="D1102">
        <v>38.97</v>
      </c>
      <c r="E1102" s="80">
        <v>109328.46</v>
      </c>
      <c r="F1102">
        <v>1559.7</v>
      </c>
      <c r="G1102">
        <v>192.24</v>
      </c>
      <c r="H1102">
        <v>6773.45</v>
      </c>
      <c r="I1102" s="80">
        <v>34337.42</v>
      </c>
      <c r="J1102">
        <v>71.75</v>
      </c>
      <c r="K1102">
        <v>5230.79</v>
      </c>
      <c r="L1102">
        <f t="shared" si="170"/>
        <v>0</v>
      </c>
      <c r="M1102">
        <f t="shared" si="171"/>
        <v>0</v>
      </c>
      <c r="N1102">
        <f t="shared" si="172"/>
        <v>0</v>
      </c>
      <c r="O1102">
        <f t="shared" si="173"/>
        <v>0</v>
      </c>
      <c r="P1102">
        <f t="shared" si="174"/>
        <v>0</v>
      </c>
      <c r="Q1102">
        <f t="shared" si="175"/>
        <v>0</v>
      </c>
      <c r="R1102">
        <f t="shared" si="176"/>
        <v>0</v>
      </c>
      <c r="S1102">
        <f t="shared" si="177"/>
        <v>0</v>
      </c>
      <c r="T1102">
        <f t="shared" si="179"/>
        <v>0</v>
      </c>
      <c r="U1102">
        <f t="shared" si="178"/>
        <v>0</v>
      </c>
    </row>
    <row r="1103" spans="1:21" x14ac:dyDescent="0.25">
      <c r="A1103" s="2">
        <v>1102</v>
      </c>
      <c r="B1103" s="39" t="s">
        <v>593</v>
      </c>
      <c r="C1103" s="41" t="s">
        <v>183</v>
      </c>
      <c r="D1103">
        <v>14.11</v>
      </c>
      <c r="E1103" s="80">
        <v>70482.259999999995</v>
      </c>
      <c r="F1103">
        <v>0.82</v>
      </c>
      <c r="G1103">
        <v>84.06</v>
      </c>
      <c r="H1103">
        <v>5.03</v>
      </c>
      <c r="I1103">
        <v>14.51</v>
      </c>
      <c r="J1103">
        <v>21.11</v>
      </c>
      <c r="K1103">
        <v>11.2</v>
      </c>
      <c r="L1103">
        <f t="shared" si="170"/>
        <v>0</v>
      </c>
      <c r="M1103">
        <f t="shared" si="171"/>
        <v>0</v>
      </c>
      <c r="N1103">
        <f t="shared" si="172"/>
        <v>0</v>
      </c>
      <c r="O1103">
        <f t="shared" si="173"/>
        <v>0</v>
      </c>
      <c r="P1103">
        <f t="shared" si="174"/>
        <v>0</v>
      </c>
      <c r="Q1103">
        <f t="shared" si="175"/>
        <v>0</v>
      </c>
      <c r="R1103">
        <f t="shared" si="176"/>
        <v>0</v>
      </c>
      <c r="S1103">
        <f t="shared" si="177"/>
        <v>0</v>
      </c>
      <c r="T1103">
        <f t="shared" si="179"/>
        <v>0</v>
      </c>
      <c r="U1103">
        <f t="shared" si="178"/>
        <v>0</v>
      </c>
    </row>
    <row r="1104" spans="1:21" x14ac:dyDescent="0.25">
      <c r="A1104" s="92">
        <v>1103</v>
      </c>
      <c r="B1104" s="39" t="s">
        <v>593</v>
      </c>
      <c r="C1104" s="41" t="s">
        <v>186</v>
      </c>
      <c r="D1104">
        <v>57.86</v>
      </c>
      <c r="E1104" s="80">
        <v>115805.06</v>
      </c>
      <c r="F1104" s="89" t="s">
        <v>582</v>
      </c>
      <c r="G1104">
        <v>311.2</v>
      </c>
      <c r="H1104" s="80">
        <v>49920.46</v>
      </c>
      <c r="I1104" s="80">
        <v>38138.32</v>
      </c>
      <c r="J1104">
        <v>115.06</v>
      </c>
      <c r="K1104" s="80">
        <v>16964.32</v>
      </c>
      <c r="L1104">
        <f t="shared" si="170"/>
        <v>0</v>
      </c>
      <c r="M1104">
        <f t="shared" si="171"/>
        <v>0</v>
      </c>
      <c r="N1104">
        <f t="shared" si="172"/>
        <v>1</v>
      </c>
      <c r="O1104">
        <f t="shared" si="173"/>
        <v>0</v>
      </c>
      <c r="P1104">
        <f t="shared" si="174"/>
        <v>0</v>
      </c>
      <c r="Q1104">
        <f t="shared" si="175"/>
        <v>0</v>
      </c>
      <c r="R1104">
        <f t="shared" si="176"/>
        <v>0</v>
      </c>
      <c r="S1104">
        <f t="shared" si="177"/>
        <v>0</v>
      </c>
      <c r="T1104">
        <f t="shared" si="179"/>
        <v>1</v>
      </c>
      <c r="U1104">
        <f t="shared" si="178"/>
        <v>1</v>
      </c>
    </row>
    <row r="1105" spans="1:21" x14ac:dyDescent="0.25">
      <c r="A1105" s="2">
        <v>1104</v>
      </c>
      <c r="B1105" s="39" t="s">
        <v>593</v>
      </c>
      <c r="C1105" s="27" t="s">
        <v>188</v>
      </c>
      <c r="D1105">
        <v>33.4</v>
      </c>
      <c r="E1105" s="80">
        <v>153957.79</v>
      </c>
      <c r="F1105">
        <v>33.700000000000003</v>
      </c>
      <c r="G1105">
        <v>177.55</v>
      </c>
      <c r="H1105">
        <v>1049.8900000000001</v>
      </c>
      <c r="I1105" s="80">
        <v>11552.21</v>
      </c>
      <c r="J1105">
        <v>65.91</v>
      </c>
      <c r="K1105">
        <v>4104.97</v>
      </c>
      <c r="L1105">
        <f t="shared" si="170"/>
        <v>0</v>
      </c>
      <c r="M1105">
        <f t="shared" si="171"/>
        <v>0</v>
      </c>
      <c r="N1105">
        <f t="shared" si="172"/>
        <v>0</v>
      </c>
      <c r="O1105">
        <f t="shared" si="173"/>
        <v>0</v>
      </c>
      <c r="P1105">
        <f t="shared" si="174"/>
        <v>0</v>
      </c>
      <c r="Q1105">
        <f t="shared" si="175"/>
        <v>0</v>
      </c>
      <c r="R1105">
        <f t="shared" si="176"/>
        <v>0</v>
      </c>
      <c r="S1105">
        <f t="shared" si="177"/>
        <v>0</v>
      </c>
      <c r="T1105">
        <f t="shared" si="179"/>
        <v>0</v>
      </c>
      <c r="U1105">
        <f t="shared" si="178"/>
        <v>0</v>
      </c>
    </row>
    <row r="1106" spans="1:21" x14ac:dyDescent="0.25">
      <c r="A1106" s="2">
        <v>1105</v>
      </c>
      <c r="B1106" s="39" t="s">
        <v>593</v>
      </c>
      <c r="C1106" s="27" t="s">
        <v>182</v>
      </c>
      <c r="D1106" t="s">
        <v>583</v>
      </c>
      <c r="E1106">
        <v>483.62</v>
      </c>
      <c r="F1106">
        <v>1.38</v>
      </c>
      <c r="G1106" s="80">
        <v>17.29</v>
      </c>
      <c r="H1106">
        <v>2</v>
      </c>
      <c r="I1106">
        <v>300.77999999999997</v>
      </c>
      <c r="J1106" s="80">
        <v>1.49</v>
      </c>
      <c r="K1106">
        <v>5.2</v>
      </c>
      <c r="L1106">
        <f t="shared" si="170"/>
        <v>0</v>
      </c>
      <c r="M1106">
        <f t="shared" si="171"/>
        <v>0</v>
      </c>
      <c r="N1106">
        <f t="shared" si="172"/>
        <v>0</v>
      </c>
      <c r="O1106">
        <f t="shared" si="173"/>
        <v>0</v>
      </c>
      <c r="P1106">
        <f t="shared" si="174"/>
        <v>0</v>
      </c>
      <c r="Q1106">
        <f t="shared" si="175"/>
        <v>0</v>
      </c>
      <c r="R1106">
        <f t="shared" si="176"/>
        <v>0</v>
      </c>
      <c r="S1106">
        <f t="shared" si="177"/>
        <v>0</v>
      </c>
      <c r="T1106">
        <f t="shared" si="179"/>
        <v>0</v>
      </c>
      <c r="U1106">
        <f t="shared" si="178"/>
        <v>0</v>
      </c>
    </row>
    <row r="1107" spans="1:21" x14ac:dyDescent="0.25">
      <c r="A1107" s="2">
        <v>1106</v>
      </c>
      <c r="B1107" s="39" t="s">
        <v>593</v>
      </c>
      <c r="C1107" s="27" t="s">
        <v>184</v>
      </c>
      <c r="D1107">
        <v>10.54</v>
      </c>
      <c r="E1107">
        <v>7384.69</v>
      </c>
      <c r="F1107">
        <v>201.92</v>
      </c>
      <c r="G1107">
        <v>84.06</v>
      </c>
      <c r="H1107">
        <v>1690.31</v>
      </c>
      <c r="I1107" s="80">
        <v>25181.72</v>
      </c>
      <c r="J1107" s="80">
        <v>16.59</v>
      </c>
      <c r="K1107">
        <v>916.49</v>
      </c>
      <c r="L1107">
        <f t="shared" si="170"/>
        <v>0</v>
      </c>
      <c r="M1107">
        <f t="shared" si="171"/>
        <v>0</v>
      </c>
      <c r="N1107">
        <f t="shared" si="172"/>
        <v>0</v>
      </c>
      <c r="O1107">
        <f t="shared" si="173"/>
        <v>0</v>
      </c>
      <c r="P1107">
        <f t="shared" si="174"/>
        <v>0</v>
      </c>
      <c r="Q1107">
        <f t="shared" si="175"/>
        <v>0</v>
      </c>
      <c r="R1107">
        <f t="shared" si="176"/>
        <v>0</v>
      </c>
      <c r="S1107">
        <f t="shared" si="177"/>
        <v>0</v>
      </c>
      <c r="T1107">
        <f t="shared" si="179"/>
        <v>0</v>
      </c>
      <c r="U1107">
        <f t="shared" si="178"/>
        <v>0</v>
      </c>
    </row>
    <row r="1108" spans="1:21" x14ac:dyDescent="0.25">
      <c r="A1108" s="2">
        <v>1107</v>
      </c>
      <c r="B1108" s="39" t="s">
        <v>593</v>
      </c>
      <c r="C1108" s="27" t="s">
        <v>187</v>
      </c>
      <c r="D1108">
        <v>42.39</v>
      </c>
      <c r="E1108">
        <v>8608.91</v>
      </c>
      <c r="F1108">
        <v>288.33999999999997</v>
      </c>
      <c r="G1108">
        <v>163.16</v>
      </c>
      <c r="H1108" s="80">
        <v>26491.64</v>
      </c>
      <c r="I1108" s="80">
        <v>27372.94</v>
      </c>
      <c r="J1108">
        <v>54.55</v>
      </c>
      <c r="K1108">
        <v>7172.75</v>
      </c>
      <c r="L1108">
        <f t="shared" si="170"/>
        <v>0</v>
      </c>
      <c r="M1108">
        <f t="shared" si="171"/>
        <v>0</v>
      </c>
      <c r="N1108">
        <f t="shared" si="172"/>
        <v>0</v>
      </c>
      <c r="O1108">
        <f t="shared" si="173"/>
        <v>0</v>
      </c>
      <c r="P1108">
        <f t="shared" si="174"/>
        <v>0</v>
      </c>
      <c r="Q1108">
        <f t="shared" si="175"/>
        <v>0</v>
      </c>
      <c r="R1108">
        <f t="shared" si="176"/>
        <v>0</v>
      </c>
      <c r="S1108">
        <f t="shared" si="177"/>
        <v>0</v>
      </c>
      <c r="T1108">
        <f t="shared" si="179"/>
        <v>0</v>
      </c>
      <c r="U1108">
        <f t="shared" si="178"/>
        <v>0</v>
      </c>
    </row>
    <row r="1109" spans="1:21" x14ac:dyDescent="0.25">
      <c r="A1109" s="2">
        <v>1108</v>
      </c>
      <c r="B1109" s="39" t="s">
        <v>593</v>
      </c>
      <c r="C1109" s="27" t="s">
        <v>189</v>
      </c>
      <c r="D1109">
        <v>10.54</v>
      </c>
      <c r="E1109">
        <v>5731.28</v>
      </c>
      <c r="F1109">
        <v>37.770000000000003</v>
      </c>
      <c r="G1109">
        <v>108.93</v>
      </c>
      <c r="H1109">
        <v>1918.48</v>
      </c>
      <c r="I1109" s="80">
        <v>20832.849999999999</v>
      </c>
      <c r="J1109">
        <v>38.369999999999997</v>
      </c>
      <c r="K1109">
        <v>7590.45</v>
      </c>
      <c r="L1109">
        <f t="shared" si="170"/>
        <v>0</v>
      </c>
      <c r="M1109">
        <f t="shared" si="171"/>
        <v>0</v>
      </c>
      <c r="N1109">
        <f t="shared" si="172"/>
        <v>0</v>
      </c>
      <c r="O1109">
        <f t="shared" si="173"/>
        <v>0</v>
      </c>
      <c r="P1109">
        <f t="shared" si="174"/>
        <v>0</v>
      </c>
      <c r="Q1109">
        <f t="shared" si="175"/>
        <v>0</v>
      </c>
      <c r="R1109">
        <f t="shared" si="176"/>
        <v>0</v>
      </c>
      <c r="S1109">
        <f t="shared" si="177"/>
        <v>0</v>
      </c>
      <c r="T1109">
        <f t="shared" si="179"/>
        <v>0</v>
      </c>
      <c r="U1109">
        <f t="shared" si="178"/>
        <v>0</v>
      </c>
    </row>
    <row r="1110" spans="1:21" x14ac:dyDescent="0.25">
      <c r="A1110" s="2">
        <v>1109</v>
      </c>
      <c r="B1110" s="39" t="s">
        <v>613</v>
      </c>
      <c r="C1110" s="46" t="s">
        <v>162</v>
      </c>
      <c r="D1110">
        <v>4.13</v>
      </c>
      <c r="E1110">
        <v>10991.22</v>
      </c>
      <c r="F1110">
        <v>0.43</v>
      </c>
      <c r="G1110">
        <v>55.49</v>
      </c>
      <c r="H1110">
        <v>1.44</v>
      </c>
      <c r="I1110">
        <v>0.38</v>
      </c>
      <c r="J1110">
        <v>9.26</v>
      </c>
      <c r="K1110">
        <v>0.96</v>
      </c>
      <c r="L1110">
        <f t="shared" si="170"/>
        <v>0</v>
      </c>
      <c r="M1110">
        <f t="shared" si="171"/>
        <v>0</v>
      </c>
      <c r="N1110">
        <f t="shared" si="172"/>
        <v>0</v>
      </c>
      <c r="O1110">
        <f t="shared" si="173"/>
        <v>0</v>
      </c>
      <c r="P1110">
        <f t="shared" si="174"/>
        <v>0</v>
      </c>
      <c r="Q1110">
        <f t="shared" si="175"/>
        <v>0</v>
      </c>
      <c r="R1110">
        <f t="shared" si="176"/>
        <v>0</v>
      </c>
      <c r="S1110">
        <f t="shared" si="177"/>
        <v>0</v>
      </c>
      <c r="T1110">
        <f t="shared" si="179"/>
        <v>0</v>
      </c>
      <c r="U1110">
        <f t="shared" si="178"/>
        <v>0</v>
      </c>
    </row>
    <row r="1111" spans="1:21" x14ac:dyDescent="0.25">
      <c r="A1111" s="2">
        <v>1110</v>
      </c>
      <c r="B1111" s="39" t="s">
        <v>613</v>
      </c>
      <c r="C1111" s="41" t="s">
        <v>170</v>
      </c>
      <c r="D1111">
        <v>14.11</v>
      </c>
      <c r="E1111">
        <v>22921.59</v>
      </c>
      <c r="F1111">
        <v>119.38</v>
      </c>
      <c r="G1111">
        <v>60.96</v>
      </c>
      <c r="H1111">
        <v>574.4</v>
      </c>
      <c r="I1111" s="80">
        <v>14194.55</v>
      </c>
      <c r="J1111">
        <v>30.73</v>
      </c>
      <c r="K1111">
        <v>161.69</v>
      </c>
      <c r="L1111">
        <f t="shared" si="170"/>
        <v>0</v>
      </c>
      <c r="M1111">
        <f t="shared" si="171"/>
        <v>0</v>
      </c>
      <c r="N1111">
        <f t="shared" si="172"/>
        <v>0</v>
      </c>
      <c r="O1111">
        <f t="shared" si="173"/>
        <v>0</v>
      </c>
      <c r="P1111">
        <f t="shared" si="174"/>
        <v>0</v>
      </c>
      <c r="Q1111">
        <f t="shared" si="175"/>
        <v>0</v>
      </c>
      <c r="R1111">
        <f t="shared" si="176"/>
        <v>0</v>
      </c>
      <c r="S1111">
        <f t="shared" si="177"/>
        <v>0</v>
      </c>
      <c r="T1111">
        <f t="shared" si="179"/>
        <v>0</v>
      </c>
      <c r="U1111">
        <f t="shared" si="178"/>
        <v>0</v>
      </c>
    </row>
    <row r="1112" spans="1:21" x14ac:dyDescent="0.25">
      <c r="A1112" s="2">
        <v>1111</v>
      </c>
      <c r="B1112" s="39" t="s">
        <v>613</v>
      </c>
      <c r="C1112" s="41" t="s">
        <v>178</v>
      </c>
      <c r="D1112">
        <v>23.85</v>
      </c>
      <c r="E1112" s="80">
        <v>33058.080000000002</v>
      </c>
      <c r="F1112">
        <v>1011.23</v>
      </c>
      <c r="G1112">
        <v>121.95</v>
      </c>
      <c r="H1112">
        <v>5830.01</v>
      </c>
      <c r="I1112" s="80">
        <v>23358.85</v>
      </c>
      <c r="J1112">
        <v>31.98</v>
      </c>
      <c r="K1112">
        <v>397.1</v>
      </c>
      <c r="L1112">
        <f t="shared" si="170"/>
        <v>0</v>
      </c>
      <c r="M1112">
        <f t="shared" si="171"/>
        <v>0</v>
      </c>
      <c r="N1112">
        <f t="shared" si="172"/>
        <v>0</v>
      </c>
      <c r="O1112">
        <f t="shared" si="173"/>
        <v>0</v>
      </c>
      <c r="P1112">
        <f t="shared" si="174"/>
        <v>0</v>
      </c>
      <c r="Q1112">
        <f t="shared" si="175"/>
        <v>0</v>
      </c>
      <c r="R1112">
        <f t="shared" si="176"/>
        <v>0</v>
      </c>
      <c r="S1112">
        <f t="shared" si="177"/>
        <v>0</v>
      </c>
      <c r="T1112">
        <f t="shared" si="179"/>
        <v>0</v>
      </c>
      <c r="U1112">
        <f t="shared" si="178"/>
        <v>0</v>
      </c>
    </row>
    <row r="1113" spans="1:21" x14ac:dyDescent="0.25">
      <c r="A1113" s="2">
        <v>1112</v>
      </c>
      <c r="B1113" s="39" t="s">
        <v>613</v>
      </c>
      <c r="C1113" s="41" t="s">
        <v>163</v>
      </c>
      <c r="D1113">
        <v>45.87</v>
      </c>
      <c r="E1113" s="80">
        <v>46827.49</v>
      </c>
      <c r="F1113">
        <v>268.16000000000003</v>
      </c>
      <c r="G1113">
        <v>135.35</v>
      </c>
      <c r="H1113">
        <v>2869.81</v>
      </c>
      <c r="I1113" s="80">
        <v>13259.2</v>
      </c>
      <c r="J1113">
        <v>49.03</v>
      </c>
      <c r="K1113">
        <v>5058.79</v>
      </c>
      <c r="L1113">
        <f t="shared" si="170"/>
        <v>0</v>
      </c>
      <c r="M1113">
        <f t="shared" si="171"/>
        <v>0</v>
      </c>
      <c r="N1113">
        <f t="shared" si="172"/>
        <v>0</v>
      </c>
      <c r="O1113">
        <f t="shared" si="173"/>
        <v>0</v>
      </c>
      <c r="P1113">
        <f t="shared" si="174"/>
        <v>0</v>
      </c>
      <c r="Q1113">
        <f t="shared" si="175"/>
        <v>0</v>
      </c>
      <c r="R1113">
        <f t="shared" si="176"/>
        <v>0</v>
      </c>
      <c r="S1113">
        <f t="shared" si="177"/>
        <v>0</v>
      </c>
      <c r="T1113">
        <f t="shared" si="179"/>
        <v>0</v>
      </c>
      <c r="U1113">
        <f t="shared" si="178"/>
        <v>0</v>
      </c>
    </row>
    <row r="1114" spans="1:21" x14ac:dyDescent="0.25">
      <c r="A1114" s="2">
        <v>1113</v>
      </c>
      <c r="B1114" s="39" t="s">
        <v>613</v>
      </c>
      <c r="C1114" s="41" t="s">
        <v>181</v>
      </c>
      <c r="D1114">
        <v>7.19</v>
      </c>
      <c r="E1114" s="80">
        <v>30113.97</v>
      </c>
      <c r="F1114">
        <v>0.56999999999999995</v>
      </c>
      <c r="G1114">
        <v>72.27</v>
      </c>
      <c r="H1114">
        <v>17.690000000000001</v>
      </c>
      <c r="I1114">
        <v>31.34</v>
      </c>
      <c r="J1114">
        <v>15.5</v>
      </c>
      <c r="K1114">
        <v>8</v>
      </c>
      <c r="L1114">
        <f t="shared" si="170"/>
        <v>0</v>
      </c>
      <c r="M1114">
        <f t="shared" si="171"/>
        <v>0</v>
      </c>
      <c r="N1114">
        <f t="shared" si="172"/>
        <v>0</v>
      </c>
      <c r="O1114">
        <f t="shared" si="173"/>
        <v>0</v>
      </c>
      <c r="P1114">
        <f t="shared" si="174"/>
        <v>0</v>
      </c>
      <c r="Q1114">
        <f t="shared" si="175"/>
        <v>0</v>
      </c>
      <c r="R1114">
        <f t="shared" si="176"/>
        <v>0</v>
      </c>
      <c r="S1114">
        <f t="shared" si="177"/>
        <v>0</v>
      </c>
      <c r="T1114">
        <f t="shared" si="179"/>
        <v>0</v>
      </c>
      <c r="U1114">
        <f t="shared" si="178"/>
        <v>0</v>
      </c>
    </row>
    <row r="1115" spans="1:21" ht="15.75" thickBot="1" x14ac:dyDescent="0.3">
      <c r="A1115" s="2">
        <v>1114</v>
      </c>
      <c r="B1115" s="39" t="s">
        <v>613</v>
      </c>
      <c r="C1115" s="41" t="s">
        <v>183</v>
      </c>
      <c r="D1115">
        <v>32.31</v>
      </c>
      <c r="E1115" s="80">
        <v>47709.94</v>
      </c>
      <c r="F1115">
        <v>669.69</v>
      </c>
      <c r="G1115">
        <v>177.55</v>
      </c>
      <c r="H1115">
        <v>5231.78</v>
      </c>
      <c r="I1115" s="80">
        <v>32689.25</v>
      </c>
      <c r="J1115">
        <v>49.03</v>
      </c>
      <c r="K1115">
        <v>3886.59</v>
      </c>
      <c r="L1115">
        <f t="shared" si="170"/>
        <v>0</v>
      </c>
      <c r="M1115">
        <f t="shared" si="171"/>
        <v>0</v>
      </c>
      <c r="N1115">
        <f t="shared" si="172"/>
        <v>0</v>
      </c>
      <c r="O1115">
        <f t="shared" si="173"/>
        <v>0</v>
      </c>
      <c r="P1115">
        <f t="shared" si="174"/>
        <v>0</v>
      </c>
      <c r="Q1115">
        <f t="shared" si="175"/>
        <v>0</v>
      </c>
      <c r="R1115">
        <f t="shared" si="176"/>
        <v>0</v>
      </c>
      <c r="S1115">
        <f t="shared" si="177"/>
        <v>0</v>
      </c>
      <c r="T1115">
        <f t="shared" si="179"/>
        <v>0</v>
      </c>
      <c r="U1115">
        <f t="shared" si="178"/>
        <v>0</v>
      </c>
    </row>
    <row r="1116" spans="1:21" x14ac:dyDescent="0.25">
      <c r="A1116" s="2">
        <v>1115</v>
      </c>
      <c r="B1116" s="39" t="s">
        <v>613</v>
      </c>
      <c r="C1116" s="40" t="s">
        <v>186</v>
      </c>
      <c r="D1116">
        <v>35.6</v>
      </c>
      <c r="E1116" s="80">
        <v>36688.699999999997</v>
      </c>
      <c r="F1116">
        <v>1515.99</v>
      </c>
      <c r="G1116">
        <v>177.55</v>
      </c>
      <c r="H1116" s="80">
        <v>29852.2</v>
      </c>
      <c r="I1116" s="80">
        <v>36667.14</v>
      </c>
      <c r="J1116">
        <v>68.819999999999993</v>
      </c>
      <c r="K1116" s="80">
        <v>11203.82</v>
      </c>
      <c r="L1116">
        <f t="shared" si="170"/>
        <v>0</v>
      </c>
      <c r="M1116">
        <f t="shared" si="171"/>
        <v>0</v>
      </c>
      <c r="N1116">
        <f t="shared" si="172"/>
        <v>0</v>
      </c>
      <c r="O1116">
        <f t="shared" si="173"/>
        <v>0</v>
      </c>
      <c r="P1116">
        <f t="shared" si="174"/>
        <v>0</v>
      </c>
      <c r="Q1116">
        <f t="shared" si="175"/>
        <v>0</v>
      </c>
      <c r="R1116">
        <f t="shared" si="176"/>
        <v>0</v>
      </c>
      <c r="S1116">
        <f t="shared" si="177"/>
        <v>0</v>
      </c>
      <c r="T1116">
        <f t="shared" si="179"/>
        <v>0</v>
      </c>
      <c r="U1116">
        <f t="shared" si="178"/>
        <v>0</v>
      </c>
    </row>
    <row r="1117" spans="1:21" x14ac:dyDescent="0.25">
      <c r="A1117" s="2">
        <v>1116</v>
      </c>
      <c r="B1117" s="39" t="s">
        <v>613</v>
      </c>
      <c r="C1117" s="41" t="s">
        <v>188</v>
      </c>
      <c r="D1117">
        <v>34.5</v>
      </c>
      <c r="E1117" s="80">
        <v>83627.91</v>
      </c>
      <c r="F1117">
        <v>119.8</v>
      </c>
      <c r="G1117">
        <v>149.09</v>
      </c>
      <c r="H1117">
        <v>1831.66</v>
      </c>
      <c r="I1117" s="80">
        <v>14569.56</v>
      </c>
      <c r="J1117">
        <v>68.819999999999993</v>
      </c>
      <c r="K1117">
        <v>6956.38</v>
      </c>
      <c r="L1117">
        <f t="shared" si="170"/>
        <v>0</v>
      </c>
      <c r="M1117">
        <f t="shared" si="171"/>
        <v>0</v>
      </c>
      <c r="N1117">
        <f t="shared" si="172"/>
        <v>0</v>
      </c>
      <c r="O1117">
        <f t="shared" si="173"/>
        <v>0</v>
      </c>
      <c r="P1117">
        <f t="shared" si="174"/>
        <v>0</v>
      </c>
      <c r="Q1117">
        <f t="shared" si="175"/>
        <v>0</v>
      </c>
      <c r="R1117">
        <f t="shared" si="176"/>
        <v>0</v>
      </c>
      <c r="S1117">
        <f t="shared" si="177"/>
        <v>0</v>
      </c>
      <c r="T1117">
        <f t="shared" si="179"/>
        <v>0</v>
      </c>
      <c r="U1117">
        <f t="shared" si="178"/>
        <v>0</v>
      </c>
    </row>
    <row r="1118" spans="1:21" x14ac:dyDescent="0.25">
      <c r="A1118" s="2">
        <v>1117</v>
      </c>
      <c r="B1118" s="39" t="s">
        <v>613</v>
      </c>
      <c r="C1118" s="41" t="s">
        <v>182</v>
      </c>
      <c r="D1118" t="s">
        <v>583</v>
      </c>
      <c r="E1118">
        <v>77.52</v>
      </c>
      <c r="F1118">
        <v>0.3</v>
      </c>
      <c r="G1118" t="s">
        <v>583</v>
      </c>
      <c r="H1118" t="s">
        <v>583</v>
      </c>
      <c r="I1118" s="80">
        <v>0.15</v>
      </c>
      <c r="J1118" t="s">
        <v>583</v>
      </c>
      <c r="K1118">
        <v>0.4</v>
      </c>
      <c r="L1118">
        <f t="shared" si="170"/>
        <v>0</v>
      </c>
      <c r="M1118">
        <f t="shared" si="171"/>
        <v>0</v>
      </c>
      <c r="N1118">
        <f t="shared" si="172"/>
        <v>0</v>
      </c>
      <c r="O1118">
        <f t="shared" si="173"/>
        <v>0</v>
      </c>
      <c r="P1118">
        <f t="shared" si="174"/>
        <v>0</v>
      </c>
      <c r="Q1118">
        <f t="shared" si="175"/>
        <v>0</v>
      </c>
      <c r="R1118">
        <f t="shared" si="176"/>
        <v>0</v>
      </c>
      <c r="S1118">
        <f t="shared" si="177"/>
        <v>0</v>
      </c>
      <c r="T1118">
        <f t="shared" si="179"/>
        <v>0</v>
      </c>
      <c r="U1118">
        <f t="shared" si="178"/>
        <v>0</v>
      </c>
    </row>
    <row r="1119" spans="1:21" x14ac:dyDescent="0.25">
      <c r="A1119" s="2">
        <v>1118</v>
      </c>
      <c r="B1119" s="39" t="s">
        <v>613</v>
      </c>
      <c r="C1119" s="41" t="s">
        <v>184</v>
      </c>
      <c r="D1119">
        <v>10.54</v>
      </c>
      <c r="E1119">
        <v>9670.56</v>
      </c>
      <c r="F1119">
        <v>108.52</v>
      </c>
      <c r="G1119">
        <v>60.96</v>
      </c>
      <c r="H1119">
        <v>506.08</v>
      </c>
      <c r="I1119" s="80">
        <v>20624.61</v>
      </c>
      <c r="J1119">
        <v>17.7</v>
      </c>
      <c r="K1119">
        <v>90.35</v>
      </c>
      <c r="L1119">
        <f t="shared" si="170"/>
        <v>0</v>
      </c>
      <c r="M1119">
        <f t="shared" si="171"/>
        <v>0</v>
      </c>
      <c r="N1119">
        <f t="shared" si="172"/>
        <v>0</v>
      </c>
      <c r="O1119">
        <f t="shared" si="173"/>
        <v>0</v>
      </c>
      <c r="P1119">
        <f t="shared" si="174"/>
        <v>0</v>
      </c>
      <c r="Q1119">
        <f t="shared" si="175"/>
        <v>0</v>
      </c>
      <c r="R1119">
        <f t="shared" si="176"/>
        <v>0</v>
      </c>
      <c r="S1119">
        <f t="shared" si="177"/>
        <v>0</v>
      </c>
      <c r="T1119">
        <f t="shared" si="179"/>
        <v>0</v>
      </c>
      <c r="U1119">
        <f t="shared" si="178"/>
        <v>0</v>
      </c>
    </row>
    <row r="1120" spans="1:21" x14ac:dyDescent="0.25">
      <c r="A1120" s="2">
        <v>1119</v>
      </c>
      <c r="B1120" s="39" t="s">
        <v>613</v>
      </c>
      <c r="C1120" s="41" t="s">
        <v>187</v>
      </c>
      <c r="D1120">
        <v>30.15</v>
      </c>
      <c r="E1120">
        <v>24454.27</v>
      </c>
      <c r="F1120">
        <v>751.92</v>
      </c>
      <c r="G1120">
        <v>115.4</v>
      </c>
      <c r="H1120">
        <v>5676.03</v>
      </c>
      <c r="I1120" s="80">
        <v>25533.19</v>
      </c>
      <c r="J1120">
        <v>44.97</v>
      </c>
      <c r="K1120">
        <v>1909.58</v>
      </c>
      <c r="L1120">
        <f t="shared" si="170"/>
        <v>0</v>
      </c>
      <c r="M1120">
        <f t="shared" si="171"/>
        <v>0</v>
      </c>
      <c r="N1120">
        <f t="shared" si="172"/>
        <v>0</v>
      </c>
      <c r="O1120">
        <f t="shared" si="173"/>
        <v>0</v>
      </c>
      <c r="P1120">
        <f t="shared" si="174"/>
        <v>0</v>
      </c>
      <c r="Q1120">
        <f t="shared" si="175"/>
        <v>0</v>
      </c>
      <c r="R1120">
        <f t="shared" si="176"/>
        <v>0</v>
      </c>
      <c r="S1120">
        <f t="shared" si="177"/>
        <v>0</v>
      </c>
      <c r="T1120">
        <f t="shared" si="179"/>
        <v>0</v>
      </c>
      <c r="U1120">
        <f t="shared" si="178"/>
        <v>0</v>
      </c>
    </row>
    <row r="1121" spans="1:21" x14ac:dyDescent="0.25">
      <c r="A1121" s="2">
        <v>1120</v>
      </c>
      <c r="B1121" s="39" t="s">
        <v>613</v>
      </c>
      <c r="C1121" s="41" t="s">
        <v>189</v>
      </c>
      <c r="D1121">
        <v>23.85</v>
      </c>
      <c r="E1121">
        <v>14263.49</v>
      </c>
      <c r="F1121">
        <v>80.739999999999995</v>
      </c>
      <c r="G1121">
        <v>66.55</v>
      </c>
      <c r="H1121">
        <v>2032.32</v>
      </c>
      <c r="I1121" s="80">
        <v>11101.84</v>
      </c>
      <c r="J1121">
        <v>22.28</v>
      </c>
      <c r="K1121">
        <v>1871.68</v>
      </c>
      <c r="L1121">
        <f t="shared" si="170"/>
        <v>0</v>
      </c>
      <c r="M1121">
        <f t="shared" si="171"/>
        <v>0</v>
      </c>
      <c r="N1121">
        <f t="shared" si="172"/>
        <v>0</v>
      </c>
      <c r="O1121">
        <f t="shared" si="173"/>
        <v>0</v>
      </c>
      <c r="P1121">
        <f t="shared" si="174"/>
        <v>0</v>
      </c>
      <c r="Q1121">
        <f t="shared" si="175"/>
        <v>0</v>
      </c>
      <c r="R1121">
        <f t="shared" si="176"/>
        <v>0</v>
      </c>
      <c r="S1121">
        <f t="shared" si="177"/>
        <v>0</v>
      </c>
      <c r="T1121">
        <f t="shared" si="179"/>
        <v>0</v>
      </c>
      <c r="U1121">
        <f t="shared" si="178"/>
        <v>0</v>
      </c>
    </row>
    <row r="1122" spans="1:21" x14ac:dyDescent="0.25">
      <c r="A1122" s="2">
        <v>1121</v>
      </c>
      <c r="B1122" s="39" t="s">
        <v>614</v>
      </c>
      <c r="C1122" s="46" t="s">
        <v>162</v>
      </c>
      <c r="D1122">
        <v>62.81</v>
      </c>
      <c r="E1122" s="80">
        <v>34467.300000000003</v>
      </c>
      <c r="F1122">
        <v>1.85</v>
      </c>
      <c r="G1122">
        <v>336.67</v>
      </c>
      <c r="H1122">
        <v>9.01</v>
      </c>
      <c r="I1122">
        <v>2.6</v>
      </c>
      <c r="J1122">
        <v>68.819999999999993</v>
      </c>
      <c r="K1122">
        <v>9.9700000000000006</v>
      </c>
      <c r="L1122">
        <f t="shared" si="170"/>
        <v>0</v>
      </c>
      <c r="M1122">
        <f t="shared" si="171"/>
        <v>0</v>
      </c>
      <c r="N1122">
        <f t="shared" si="172"/>
        <v>0</v>
      </c>
      <c r="O1122">
        <f t="shared" si="173"/>
        <v>0</v>
      </c>
      <c r="P1122">
        <f t="shared" si="174"/>
        <v>0</v>
      </c>
      <c r="Q1122">
        <f t="shared" si="175"/>
        <v>0</v>
      </c>
      <c r="R1122">
        <f t="shared" si="176"/>
        <v>0</v>
      </c>
      <c r="S1122">
        <f t="shared" si="177"/>
        <v>0</v>
      </c>
      <c r="T1122">
        <f t="shared" si="179"/>
        <v>0</v>
      </c>
      <c r="U1122">
        <f t="shared" si="178"/>
        <v>0</v>
      </c>
    </row>
    <row r="1123" spans="1:21" x14ac:dyDescent="0.25">
      <c r="A1123" s="2">
        <v>1122</v>
      </c>
      <c r="B1123" s="39" t="s">
        <v>614</v>
      </c>
      <c r="C1123" s="41" t="s">
        <v>170</v>
      </c>
      <c r="D1123">
        <v>19.84</v>
      </c>
      <c r="E1123" s="80">
        <v>34203.53</v>
      </c>
      <c r="F1123">
        <v>223.77</v>
      </c>
      <c r="G1123">
        <v>102.56</v>
      </c>
      <c r="H1123">
        <v>2489.62</v>
      </c>
      <c r="I1123" s="80">
        <v>13420.03</v>
      </c>
      <c r="J1123">
        <v>21.11</v>
      </c>
      <c r="K1123">
        <v>351.3</v>
      </c>
      <c r="L1123">
        <f t="shared" si="170"/>
        <v>0</v>
      </c>
      <c r="M1123">
        <f t="shared" si="171"/>
        <v>0</v>
      </c>
      <c r="N1123">
        <f t="shared" si="172"/>
        <v>0</v>
      </c>
      <c r="O1123">
        <f t="shared" si="173"/>
        <v>0</v>
      </c>
      <c r="P1123">
        <f t="shared" si="174"/>
        <v>0</v>
      </c>
      <c r="Q1123">
        <f t="shared" si="175"/>
        <v>0</v>
      </c>
      <c r="R1123">
        <f t="shared" si="176"/>
        <v>0</v>
      </c>
      <c r="S1123">
        <f t="shared" si="177"/>
        <v>0</v>
      </c>
      <c r="T1123">
        <f t="shared" si="179"/>
        <v>0</v>
      </c>
      <c r="U1123">
        <f t="shared" si="178"/>
        <v>0</v>
      </c>
    </row>
    <row r="1124" spans="1:21" x14ac:dyDescent="0.25">
      <c r="A1124" s="2">
        <v>1123</v>
      </c>
      <c r="B1124" s="39" t="s">
        <v>614</v>
      </c>
      <c r="C1124" s="41" t="s">
        <v>178</v>
      </c>
      <c r="D1124">
        <v>204.61</v>
      </c>
      <c r="E1124" s="80">
        <v>26710.32</v>
      </c>
      <c r="F1124">
        <v>1118.93</v>
      </c>
      <c r="G1124">
        <v>135.35</v>
      </c>
      <c r="H1124">
        <v>12866.47</v>
      </c>
      <c r="I1124" s="80">
        <v>22410.03</v>
      </c>
      <c r="J1124">
        <v>40.99</v>
      </c>
      <c r="K1124">
        <v>1362.06</v>
      </c>
      <c r="L1124">
        <f t="shared" si="170"/>
        <v>0</v>
      </c>
      <c r="M1124">
        <f t="shared" si="171"/>
        <v>0</v>
      </c>
      <c r="N1124">
        <f t="shared" si="172"/>
        <v>0</v>
      </c>
      <c r="O1124">
        <f t="shared" si="173"/>
        <v>0</v>
      </c>
      <c r="P1124">
        <f t="shared" si="174"/>
        <v>0</v>
      </c>
      <c r="Q1124">
        <f t="shared" si="175"/>
        <v>0</v>
      </c>
      <c r="R1124">
        <f t="shared" si="176"/>
        <v>0</v>
      </c>
      <c r="S1124">
        <f t="shared" si="177"/>
        <v>0</v>
      </c>
      <c r="T1124">
        <f t="shared" si="179"/>
        <v>0</v>
      </c>
      <c r="U1124">
        <f t="shared" si="178"/>
        <v>0</v>
      </c>
    </row>
    <row r="1125" spans="1:21" x14ac:dyDescent="0.25">
      <c r="A1125" s="2">
        <v>1124</v>
      </c>
      <c r="B1125" s="39" t="s">
        <v>614</v>
      </c>
      <c r="C1125" s="41" t="s">
        <v>163</v>
      </c>
      <c r="D1125">
        <v>247.41</v>
      </c>
      <c r="E1125">
        <v>24565.919999999998</v>
      </c>
      <c r="F1125">
        <v>606.64</v>
      </c>
      <c r="G1125">
        <v>149.09</v>
      </c>
      <c r="H1125" s="80">
        <v>21007.73</v>
      </c>
      <c r="I1125" s="80">
        <v>19936.310000000001</v>
      </c>
      <c r="J1125">
        <v>46.32</v>
      </c>
      <c r="K1125">
        <v>4736.5</v>
      </c>
      <c r="L1125">
        <f t="shared" si="170"/>
        <v>0</v>
      </c>
      <c r="M1125">
        <f t="shared" si="171"/>
        <v>0</v>
      </c>
      <c r="N1125">
        <f t="shared" si="172"/>
        <v>0</v>
      </c>
      <c r="O1125">
        <f t="shared" si="173"/>
        <v>0</v>
      </c>
      <c r="P1125">
        <f t="shared" si="174"/>
        <v>0</v>
      </c>
      <c r="Q1125">
        <f t="shared" si="175"/>
        <v>0</v>
      </c>
      <c r="R1125">
        <f t="shared" si="176"/>
        <v>0</v>
      </c>
      <c r="S1125">
        <f t="shared" si="177"/>
        <v>0</v>
      </c>
      <c r="T1125">
        <f t="shared" si="179"/>
        <v>0</v>
      </c>
      <c r="U1125">
        <f t="shared" si="178"/>
        <v>0</v>
      </c>
    </row>
    <row r="1126" spans="1:21" x14ac:dyDescent="0.25">
      <c r="A1126" s="2">
        <v>1125</v>
      </c>
      <c r="B1126" s="39" t="s">
        <v>614</v>
      </c>
      <c r="C1126" s="41" t="s">
        <v>181</v>
      </c>
      <c r="D1126">
        <v>19.84</v>
      </c>
      <c r="E1126" s="80">
        <v>83979.69</v>
      </c>
      <c r="F1126">
        <v>0.62</v>
      </c>
      <c r="G1126">
        <v>108.93</v>
      </c>
      <c r="H1126">
        <v>4.71</v>
      </c>
      <c r="I1126">
        <v>13.59</v>
      </c>
      <c r="J1126">
        <v>33.24</v>
      </c>
      <c r="K1126">
        <v>13.18</v>
      </c>
      <c r="L1126">
        <f t="shared" si="170"/>
        <v>0</v>
      </c>
      <c r="M1126">
        <f t="shared" si="171"/>
        <v>0</v>
      </c>
      <c r="N1126">
        <f t="shared" si="172"/>
        <v>0</v>
      </c>
      <c r="O1126">
        <f t="shared" si="173"/>
        <v>0</v>
      </c>
      <c r="P1126">
        <f t="shared" si="174"/>
        <v>0</v>
      </c>
      <c r="Q1126">
        <f t="shared" si="175"/>
        <v>0</v>
      </c>
      <c r="R1126">
        <f t="shared" si="176"/>
        <v>0</v>
      </c>
      <c r="S1126">
        <f t="shared" si="177"/>
        <v>0</v>
      </c>
      <c r="T1126">
        <f t="shared" si="179"/>
        <v>0</v>
      </c>
      <c r="U1126">
        <f t="shared" si="178"/>
        <v>0</v>
      </c>
    </row>
    <row r="1127" spans="1:21" x14ac:dyDescent="0.25">
      <c r="A1127" s="2">
        <v>1126</v>
      </c>
      <c r="B1127" s="39" t="s">
        <v>614</v>
      </c>
      <c r="C1127" s="41" t="s">
        <v>183</v>
      </c>
      <c r="D1127">
        <v>32.31</v>
      </c>
      <c r="E1127" s="80">
        <v>71013.53</v>
      </c>
      <c r="F1127">
        <v>1438.89</v>
      </c>
      <c r="G1127">
        <v>163.16</v>
      </c>
      <c r="H1127">
        <v>6012.75</v>
      </c>
      <c r="I1127" s="80">
        <v>30477.51</v>
      </c>
      <c r="J1127">
        <v>65.91</v>
      </c>
      <c r="K1127">
        <v>4690.96</v>
      </c>
      <c r="L1127">
        <f t="shared" si="170"/>
        <v>0</v>
      </c>
      <c r="M1127">
        <f t="shared" si="171"/>
        <v>0</v>
      </c>
      <c r="N1127">
        <f t="shared" si="172"/>
        <v>0</v>
      </c>
      <c r="O1127">
        <f t="shared" si="173"/>
        <v>0</v>
      </c>
      <c r="P1127">
        <f t="shared" si="174"/>
        <v>0</v>
      </c>
      <c r="Q1127">
        <f t="shared" si="175"/>
        <v>0</v>
      </c>
      <c r="R1127">
        <f t="shared" si="176"/>
        <v>0</v>
      </c>
      <c r="S1127">
        <f t="shared" si="177"/>
        <v>0</v>
      </c>
      <c r="T1127">
        <f t="shared" si="179"/>
        <v>0</v>
      </c>
      <c r="U1127">
        <f t="shared" si="178"/>
        <v>0</v>
      </c>
    </row>
    <row r="1128" spans="1:21" x14ac:dyDescent="0.25">
      <c r="A1128" s="2">
        <v>1127</v>
      </c>
      <c r="B1128" s="39" t="s">
        <v>614</v>
      </c>
      <c r="C1128" s="41" t="s">
        <v>182</v>
      </c>
      <c r="D1128" t="s">
        <v>583</v>
      </c>
      <c r="E1128">
        <v>263.18</v>
      </c>
      <c r="F1128">
        <v>0.05</v>
      </c>
      <c r="G1128" s="80">
        <v>6.47</v>
      </c>
      <c r="H1128">
        <v>0.4</v>
      </c>
      <c r="I1128">
        <v>0.2</v>
      </c>
      <c r="J1128" t="s">
        <v>583</v>
      </c>
      <c r="K1128">
        <v>0.08</v>
      </c>
      <c r="L1128">
        <f t="shared" si="170"/>
        <v>0</v>
      </c>
      <c r="M1128">
        <f t="shared" si="171"/>
        <v>0</v>
      </c>
      <c r="N1128">
        <f t="shared" si="172"/>
        <v>0</v>
      </c>
      <c r="O1128">
        <f t="shared" si="173"/>
        <v>0</v>
      </c>
      <c r="P1128">
        <f t="shared" si="174"/>
        <v>0</v>
      </c>
      <c r="Q1128">
        <f t="shared" si="175"/>
        <v>0</v>
      </c>
      <c r="R1128">
        <f t="shared" si="176"/>
        <v>0</v>
      </c>
      <c r="S1128">
        <f t="shared" si="177"/>
        <v>0</v>
      </c>
      <c r="T1128">
        <f t="shared" si="179"/>
        <v>0</v>
      </c>
      <c r="U1128">
        <f t="shared" si="178"/>
        <v>0</v>
      </c>
    </row>
    <row r="1129" spans="1:21" x14ac:dyDescent="0.25">
      <c r="A1129" s="2">
        <v>1128</v>
      </c>
      <c r="B1129" s="39" t="s">
        <v>614</v>
      </c>
      <c r="C1129" s="41" t="s">
        <v>184</v>
      </c>
      <c r="D1129">
        <v>349.06</v>
      </c>
      <c r="E1129">
        <v>4228.55</v>
      </c>
      <c r="F1129">
        <v>21.18</v>
      </c>
      <c r="G1129">
        <v>50.15</v>
      </c>
      <c r="H1129">
        <v>4491.47</v>
      </c>
      <c r="I1129" s="80">
        <v>15996.91</v>
      </c>
      <c r="J1129">
        <v>23.45</v>
      </c>
      <c r="K1129">
        <v>1225.8</v>
      </c>
      <c r="L1129">
        <f t="shared" si="170"/>
        <v>0</v>
      </c>
      <c r="M1129">
        <f t="shared" si="171"/>
        <v>0</v>
      </c>
      <c r="N1129">
        <f t="shared" si="172"/>
        <v>0</v>
      </c>
      <c r="O1129">
        <f t="shared" si="173"/>
        <v>0</v>
      </c>
      <c r="P1129">
        <f t="shared" si="174"/>
        <v>0</v>
      </c>
      <c r="Q1129">
        <f t="shared" si="175"/>
        <v>0</v>
      </c>
      <c r="R1129">
        <f t="shared" si="176"/>
        <v>0</v>
      </c>
      <c r="S1129">
        <f t="shared" si="177"/>
        <v>0</v>
      </c>
      <c r="T1129">
        <f t="shared" si="179"/>
        <v>0</v>
      </c>
      <c r="U1129">
        <f t="shared" si="178"/>
        <v>0</v>
      </c>
    </row>
    <row r="1130" spans="1:21" x14ac:dyDescent="0.25">
      <c r="A1130" s="2">
        <v>1129</v>
      </c>
      <c r="B1130" s="39" t="s">
        <v>614</v>
      </c>
      <c r="C1130" s="41" t="s">
        <v>187</v>
      </c>
      <c r="D1130">
        <v>503.64</v>
      </c>
      <c r="E1130">
        <v>6343.68</v>
      </c>
      <c r="F1130">
        <v>141.96</v>
      </c>
      <c r="G1130">
        <v>149.09</v>
      </c>
      <c r="H1130">
        <v>8719.5</v>
      </c>
      <c r="I1130" s="80">
        <v>17824.02</v>
      </c>
      <c r="J1130">
        <v>63.03</v>
      </c>
      <c r="K1130">
        <v>3490.98</v>
      </c>
      <c r="L1130">
        <f t="shared" si="170"/>
        <v>0</v>
      </c>
      <c r="M1130">
        <f t="shared" si="171"/>
        <v>0</v>
      </c>
      <c r="N1130">
        <f t="shared" si="172"/>
        <v>0</v>
      </c>
      <c r="O1130">
        <f t="shared" si="173"/>
        <v>0</v>
      </c>
      <c r="P1130">
        <f t="shared" si="174"/>
        <v>0</v>
      </c>
      <c r="Q1130">
        <f t="shared" si="175"/>
        <v>0</v>
      </c>
      <c r="R1130">
        <f t="shared" si="176"/>
        <v>0</v>
      </c>
      <c r="S1130">
        <f t="shared" si="177"/>
        <v>0</v>
      </c>
      <c r="T1130">
        <f t="shared" si="179"/>
        <v>0</v>
      </c>
      <c r="U1130">
        <f t="shared" si="178"/>
        <v>0</v>
      </c>
    </row>
    <row r="1131" spans="1:21" x14ac:dyDescent="0.25">
      <c r="A1131" s="2">
        <v>1130</v>
      </c>
      <c r="B1131" s="39" t="s">
        <v>614</v>
      </c>
      <c r="C1131" s="41" t="s">
        <v>189</v>
      </c>
      <c r="D1131">
        <v>1046.1300000000001</v>
      </c>
      <c r="E1131">
        <v>3644.16</v>
      </c>
      <c r="F1131">
        <v>3.91</v>
      </c>
      <c r="G1131">
        <v>50.15</v>
      </c>
      <c r="H1131">
        <v>9491.58</v>
      </c>
      <c r="I1131" s="80">
        <v>11179.26</v>
      </c>
      <c r="J1131">
        <v>35.79</v>
      </c>
      <c r="K1131">
        <v>5044.17</v>
      </c>
      <c r="L1131">
        <f t="shared" si="170"/>
        <v>0</v>
      </c>
      <c r="M1131">
        <f t="shared" si="171"/>
        <v>0</v>
      </c>
      <c r="N1131">
        <f t="shared" si="172"/>
        <v>0</v>
      </c>
      <c r="O1131">
        <f t="shared" si="173"/>
        <v>0</v>
      </c>
      <c r="P1131">
        <f t="shared" si="174"/>
        <v>0</v>
      </c>
      <c r="Q1131">
        <f t="shared" si="175"/>
        <v>0</v>
      </c>
      <c r="R1131">
        <f t="shared" si="176"/>
        <v>0</v>
      </c>
      <c r="S1131">
        <f t="shared" si="177"/>
        <v>0</v>
      </c>
      <c r="T1131">
        <f t="shared" si="179"/>
        <v>0</v>
      </c>
      <c r="U1131">
        <f t="shared" si="178"/>
        <v>0</v>
      </c>
    </row>
    <row r="1132" spans="1:21" x14ac:dyDescent="0.25">
      <c r="A1132" s="2">
        <v>1131</v>
      </c>
      <c r="B1132" s="39" t="s">
        <v>615</v>
      </c>
      <c r="C1132" s="46" t="s">
        <v>162</v>
      </c>
      <c r="D1132">
        <v>4.13</v>
      </c>
      <c r="E1132">
        <v>14733.44</v>
      </c>
      <c r="F1132">
        <v>0.77</v>
      </c>
      <c r="G1132">
        <v>102.56</v>
      </c>
      <c r="H1132">
        <v>1.71</v>
      </c>
      <c r="I1132">
        <v>2.99</v>
      </c>
      <c r="J1132">
        <v>12.3</v>
      </c>
      <c r="K1132">
        <v>1.97</v>
      </c>
      <c r="L1132">
        <f t="shared" si="170"/>
        <v>0</v>
      </c>
      <c r="M1132">
        <f t="shared" si="171"/>
        <v>0</v>
      </c>
      <c r="N1132">
        <f t="shared" si="172"/>
        <v>0</v>
      </c>
      <c r="O1132">
        <f t="shared" si="173"/>
        <v>0</v>
      </c>
      <c r="P1132">
        <f t="shared" si="174"/>
        <v>0</v>
      </c>
      <c r="Q1132">
        <f t="shared" si="175"/>
        <v>0</v>
      </c>
      <c r="R1132">
        <f t="shared" si="176"/>
        <v>0</v>
      </c>
      <c r="S1132">
        <f t="shared" si="177"/>
        <v>0</v>
      </c>
      <c r="T1132">
        <f t="shared" si="179"/>
        <v>0</v>
      </c>
      <c r="U1132">
        <f t="shared" si="178"/>
        <v>0</v>
      </c>
    </row>
    <row r="1133" spans="1:21" x14ac:dyDescent="0.25">
      <c r="A1133" s="2">
        <v>1132</v>
      </c>
      <c r="B1133" s="39" t="s">
        <v>615</v>
      </c>
      <c r="C1133" s="41" t="s">
        <v>170</v>
      </c>
      <c r="D1133">
        <v>23.85</v>
      </c>
      <c r="E1133" s="80">
        <v>36150.47</v>
      </c>
      <c r="F1133">
        <v>42.94</v>
      </c>
      <c r="G1133">
        <v>121.95</v>
      </c>
      <c r="H1133">
        <v>428.14</v>
      </c>
      <c r="I1133" s="80">
        <v>13933.44</v>
      </c>
      <c r="J1133">
        <v>28.26</v>
      </c>
      <c r="K1133">
        <v>495.93</v>
      </c>
      <c r="L1133">
        <f t="shared" si="170"/>
        <v>0</v>
      </c>
      <c r="M1133">
        <f t="shared" si="171"/>
        <v>0</v>
      </c>
      <c r="N1133">
        <f t="shared" si="172"/>
        <v>0</v>
      </c>
      <c r="O1133">
        <f t="shared" si="173"/>
        <v>0</v>
      </c>
      <c r="P1133">
        <f t="shared" si="174"/>
        <v>0</v>
      </c>
      <c r="Q1133">
        <f t="shared" si="175"/>
        <v>0</v>
      </c>
      <c r="R1133">
        <f t="shared" si="176"/>
        <v>0</v>
      </c>
      <c r="S1133">
        <f t="shared" si="177"/>
        <v>0</v>
      </c>
      <c r="T1133">
        <f t="shared" si="179"/>
        <v>0</v>
      </c>
      <c r="U1133">
        <f t="shared" si="178"/>
        <v>0</v>
      </c>
    </row>
    <row r="1134" spans="1:21" x14ac:dyDescent="0.25">
      <c r="A1134" s="2">
        <v>1133</v>
      </c>
      <c r="B1134" s="39" t="s">
        <v>615</v>
      </c>
      <c r="C1134" s="41" t="s">
        <v>178</v>
      </c>
      <c r="D1134">
        <v>52.99</v>
      </c>
      <c r="E1134" s="80">
        <v>50465.15</v>
      </c>
      <c r="F1134">
        <v>424.27</v>
      </c>
      <c r="G1134">
        <v>96.29</v>
      </c>
      <c r="H1134">
        <v>4051.62</v>
      </c>
      <c r="I1134" s="80">
        <v>19694.41</v>
      </c>
      <c r="J1134">
        <v>40.99</v>
      </c>
      <c r="K1134">
        <v>986.16</v>
      </c>
      <c r="L1134">
        <f t="shared" si="170"/>
        <v>0</v>
      </c>
      <c r="M1134">
        <f t="shared" si="171"/>
        <v>0</v>
      </c>
      <c r="N1134">
        <f t="shared" si="172"/>
        <v>0</v>
      </c>
      <c r="O1134">
        <f t="shared" si="173"/>
        <v>0</v>
      </c>
      <c r="P1134">
        <f t="shared" si="174"/>
        <v>0</v>
      </c>
      <c r="Q1134">
        <f t="shared" si="175"/>
        <v>0</v>
      </c>
      <c r="R1134">
        <f t="shared" si="176"/>
        <v>0</v>
      </c>
      <c r="S1134">
        <f t="shared" si="177"/>
        <v>0</v>
      </c>
      <c r="T1134">
        <f t="shared" si="179"/>
        <v>0</v>
      </c>
      <c r="U1134">
        <f t="shared" si="178"/>
        <v>0</v>
      </c>
    </row>
    <row r="1135" spans="1:21" x14ac:dyDescent="0.25">
      <c r="A1135" s="2">
        <v>1134</v>
      </c>
      <c r="B1135" s="39" t="s">
        <v>615</v>
      </c>
      <c r="C1135" s="41" t="s">
        <v>163</v>
      </c>
      <c r="D1135">
        <v>127.92</v>
      </c>
      <c r="E1135" s="80">
        <v>35697.99</v>
      </c>
      <c r="F1135">
        <v>39.520000000000003</v>
      </c>
      <c r="G1135">
        <v>135.35</v>
      </c>
      <c r="H1135">
        <v>2307.21</v>
      </c>
      <c r="I1135" s="80">
        <v>10527.47</v>
      </c>
      <c r="J1135">
        <v>43.64</v>
      </c>
      <c r="K1135">
        <v>4377.8999999999996</v>
      </c>
      <c r="L1135">
        <f t="shared" si="170"/>
        <v>0</v>
      </c>
      <c r="M1135">
        <f t="shared" si="171"/>
        <v>0</v>
      </c>
      <c r="N1135">
        <f t="shared" si="172"/>
        <v>0</v>
      </c>
      <c r="O1135">
        <f t="shared" si="173"/>
        <v>0</v>
      </c>
      <c r="P1135">
        <f t="shared" si="174"/>
        <v>0</v>
      </c>
      <c r="Q1135">
        <f t="shared" si="175"/>
        <v>0</v>
      </c>
      <c r="R1135">
        <f t="shared" si="176"/>
        <v>0</v>
      </c>
      <c r="S1135">
        <f t="shared" si="177"/>
        <v>0</v>
      </c>
      <c r="T1135">
        <f t="shared" si="179"/>
        <v>0</v>
      </c>
      <c r="U1135">
        <f t="shared" si="178"/>
        <v>0</v>
      </c>
    </row>
    <row r="1136" spans="1:21" x14ac:dyDescent="0.25">
      <c r="A1136" s="2">
        <v>1135</v>
      </c>
      <c r="B1136" s="39" t="s">
        <v>615</v>
      </c>
      <c r="C1136" s="41" t="s">
        <v>181</v>
      </c>
      <c r="D1136">
        <v>15.98</v>
      </c>
      <c r="E1136" s="80">
        <v>82484.91</v>
      </c>
      <c r="F1136">
        <v>0.56999999999999995</v>
      </c>
      <c r="G1136">
        <v>72.27</v>
      </c>
      <c r="H1136">
        <v>4.71</v>
      </c>
      <c r="I1136">
        <v>8.7100000000000009</v>
      </c>
      <c r="J1136">
        <v>35.79</v>
      </c>
      <c r="K1136">
        <v>9.3000000000000007</v>
      </c>
      <c r="L1136">
        <f t="shared" si="170"/>
        <v>0</v>
      </c>
      <c r="M1136">
        <f t="shared" si="171"/>
        <v>0</v>
      </c>
      <c r="N1136">
        <f t="shared" si="172"/>
        <v>0</v>
      </c>
      <c r="O1136">
        <f t="shared" si="173"/>
        <v>0</v>
      </c>
      <c r="P1136">
        <f t="shared" si="174"/>
        <v>0</v>
      </c>
      <c r="Q1136">
        <f t="shared" si="175"/>
        <v>0</v>
      </c>
      <c r="R1136">
        <f t="shared" si="176"/>
        <v>0</v>
      </c>
      <c r="S1136">
        <f t="shared" si="177"/>
        <v>0</v>
      </c>
      <c r="T1136">
        <f t="shared" si="179"/>
        <v>0</v>
      </c>
      <c r="U1136">
        <f t="shared" si="178"/>
        <v>0</v>
      </c>
    </row>
    <row r="1137" spans="1:21" x14ac:dyDescent="0.25">
      <c r="A1137" s="85">
        <v>1136</v>
      </c>
      <c r="B1137" s="54" t="s">
        <v>615</v>
      </c>
      <c r="C1137" s="46" t="s">
        <v>183</v>
      </c>
      <c r="D1137" s="50">
        <v>35.6</v>
      </c>
      <c r="E1137" s="88">
        <v>88780.37</v>
      </c>
      <c r="F1137" s="50">
        <v>1666.51</v>
      </c>
      <c r="G1137" s="50">
        <v>192.24</v>
      </c>
      <c r="H1137" s="50">
        <v>10982.24</v>
      </c>
      <c r="I1137" s="88">
        <v>35478.639999999999</v>
      </c>
      <c r="J1137" s="50">
        <v>65.91</v>
      </c>
      <c r="K1137" s="50">
        <v>5573.08</v>
      </c>
      <c r="L1137">
        <f t="shared" si="170"/>
        <v>0</v>
      </c>
      <c r="M1137">
        <f t="shared" si="171"/>
        <v>0</v>
      </c>
      <c r="N1137">
        <f t="shared" si="172"/>
        <v>0</v>
      </c>
      <c r="O1137">
        <f t="shared" si="173"/>
        <v>0</v>
      </c>
      <c r="P1137">
        <f t="shared" si="174"/>
        <v>0</v>
      </c>
      <c r="Q1137">
        <f t="shared" si="175"/>
        <v>0</v>
      </c>
      <c r="R1137">
        <f t="shared" si="176"/>
        <v>0</v>
      </c>
      <c r="S1137">
        <f t="shared" si="177"/>
        <v>0</v>
      </c>
      <c r="T1137">
        <f t="shared" si="179"/>
        <v>0</v>
      </c>
      <c r="U1137">
        <f t="shared" si="178"/>
        <v>0</v>
      </c>
    </row>
    <row r="1138" spans="1:21" x14ac:dyDescent="0.25">
      <c r="A1138" s="92">
        <v>1137</v>
      </c>
      <c r="B1138" s="39" t="s">
        <v>615</v>
      </c>
      <c r="C1138" s="41" t="s">
        <v>186</v>
      </c>
      <c r="D1138">
        <v>41.24</v>
      </c>
      <c r="E1138" s="80">
        <v>74869.97</v>
      </c>
      <c r="F1138" s="89" t="s">
        <v>582</v>
      </c>
      <c r="G1138">
        <v>234.14</v>
      </c>
      <c r="H1138" s="80">
        <v>38226.629999999997</v>
      </c>
      <c r="I1138" s="80">
        <v>34987.769999999997</v>
      </c>
      <c r="J1138">
        <v>94.45</v>
      </c>
      <c r="K1138" s="80">
        <v>13659.89</v>
      </c>
      <c r="L1138">
        <f t="shared" si="170"/>
        <v>0</v>
      </c>
      <c r="M1138">
        <f t="shared" si="171"/>
        <v>0</v>
      </c>
      <c r="N1138">
        <f t="shared" si="172"/>
        <v>1</v>
      </c>
      <c r="O1138">
        <f t="shared" si="173"/>
        <v>0</v>
      </c>
      <c r="P1138">
        <f t="shared" si="174"/>
        <v>0</v>
      </c>
      <c r="Q1138">
        <f t="shared" si="175"/>
        <v>0</v>
      </c>
      <c r="R1138">
        <f t="shared" si="176"/>
        <v>0</v>
      </c>
      <c r="S1138">
        <f t="shared" si="177"/>
        <v>0</v>
      </c>
      <c r="T1138">
        <f t="shared" si="179"/>
        <v>1</v>
      </c>
      <c r="U1138">
        <f t="shared" si="178"/>
        <v>1</v>
      </c>
    </row>
    <row r="1139" spans="1:21" x14ac:dyDescent="0.25">
      <c r="A1139" s="2">
        <v>1138</v>
      </c>
      <c r="B1139" s="39" t="s">
        <v>615</v>
      </c>
      <c r="C1139" s="41" t="s">
        <v>188</v>
      </c>
      <c r="D1139">
        <v>49.41</v>
      </c>
      <c r="E1139" s="80">
        <v>132588.1</v>
      </c>
      <c r="F1139">
        <v>216.22</v>
      </c>
      <c r="G1139">
        <v>218.66</v>
      </c>
      <c r="H1139">
        <v>10035.81</v>
      </c>
      <c r="I1139" s="80">
        <v>27150.13</v>
      </c>
      <c r="J1139">
        <v>107.04</v>
      </c>
      <c r="K1139" s="80">
        <v>16072.71</v>
      </c>
      <c r="L1139">
        <f t="shared" si="170"/>
        <v>0</v>
      </c>
      <c r="M1139">
        <f t="shared" si="171"/>
        <v>0</v>
      </c>
      <c r="N1139">
        <f t="shared" si="172"/>
        <v>0</v>
      </c>
      <c r="O1139">
        <f t="shared" si="173"/>
        <v>0</v>
      </c>
      <c r="P1139">
        <f t="shared" si="174"/>
        <v>0</v>
      </c>
      <c r="Q1139">
        <f t="shared" si="175"/>
        <v>0</v>
      </c>
      <c r="R1139">
        <f t="shared" si="176"/>
        <v>0</v>
      </c>
      <c r="S1139">
        <f t="shared" si="177"/>
        <v>0</v>
      </c>
      <c r="T1139">
        <f t="shared" si="179"/>
        <v>0</v>
      </c>
      <c r="U1139">
        <f t="shared" si="178"/>
        <v>0</v>
      </c>
    </row>
    <row r="1140" spans="1:21" x14ac:dyDescent="0.25">
      <c r="A1140" s="2">
        <v>1139</v>
      </c>
      <c r="B1140" s="39" t="s">
        <v>615</v>
      </c>
      <c r="C1140" s="41" t="s">
        <v>182</v>
      </c>
      <c r="D1140" t="s">
        <v>583</v>
      </c>
      <c r="E1140">
        <v>1089.4100000000001</v>
      </c>
      <c r="F1140" t="s">
        <v>583</v>
      </c>
      <c r="G1140" s="80">
        <v>11.55</v>
      </c>
      <c r="H1140">
        <v>0.46</v>
      </c>
      <c r="I1140">
        <v>0.91</v>
      </c>
      <c r="J1140">
        <v>2.21</v>
      </c>
      <c r="K1140">
        <v>0.28000000000000003</v>
      </c>
      <c r="L1140">
        <f t="shared" si="170"/>
        <v>0</v>
      </c>
      <c r="M1140">
        <f t="shared" si="171"/>
        <v>0</v>
      </c>
      <c r="N1140">
        <f t="shared" si="172"/>
        <v>0</v>
      </c>
      <c r="O1140">
        <f t="shared" si="173"/>
        <v>0</v>
      </c>
      <c r="P1140">
        <f t="shared" si="174"/>
        <v>0</v>
      </c>
      <c r="Q1140">
        <f t="shared" si="175"/>
        <v>0</v>
      </c>
      <c r="R1140">
        <f t="shared" si="176"/>
        <v>0</v>
      </c>
      <c r="S1140">
        <f t="shared" si="177"/>
        <v>0</v>
      </c>
      <c r="T1140">
        <f t="shared" si="179"/>
        <v>0</v>
      </c>
      <c r="U1140">
        <f t="shared" si="178"/>
        <v>0</v>
      </c>
    </row>
    <row r="1141" spans="1:21" x14ac:dyDescent="0.25">
      <c r="A1141" s="2">
        <v>1140</v>
      </c>
      <c r="B1141" s="39" t="s">
        <v>615</v>
      </c>
      <c r="C1141" s="41" t="s">
        <v>184</v>
      </c>
      <c r="D1141">
        <v>60.32</v>
      </c>
      <c r="E1141">
        <v>13776.43</v>
      </c>
      <c r="F1141">
        <v>123.91</v>
      </c>
      <c r="G1141">
        <v>58.21</v>
      </c>
      <c r="H1141">
        <v>5053.92</v>
      </c>
      <c r="I1141" s="80">
        <v>27247.54</v>
      </c>
      <c r="J1141">
        <v>27.04</v>
      </c>
      <c r="K1141">
        <v>1565.92</v>
      </c>
      <c r="L1141">
        <f t="shared" si="170"/>
        <v>0</v>
      </c>
      <c r="M1141">
        <f t="shared" si="171"/>
        <v>0</v>
      </c>
      <c r="N1141">
        <f t="shared" si="172"/>
        <v>0</v>
      </c>
      <c r="O1141">
        <f t="shared" si="173"/>
        <v>0</v>
      </c>
      <c r="P1141">
        <f t="shared" si="174"/>
        <v>0</v>
      </c>
      <c r="Q1141">
        <f t="shared" si="175"/>
        <v>0</v>
      </c>
      <c r="R1141">
        <f t="shared" si="176"/>
        <v>0</v>
      </c>
      <c r="S1141">
        <f t="shared" si="177"/>
        <v>0</v>
      </c>
      <c r="T1141">
        <f t="shared" si="179"/>
        <v>0</v>
      </c>
      <c r="U1141">
        <f t="shared" si="178"/>
        <v>0</v>
      </c>
    </row>
    <row r="1142" spans="1:21" x14ac:dyDescent="0.25">
      <c r="A1142" s="2">
        <v>1141</v>
      </c>
      <c r="B1142" s="39" t="s">
        <v>615</v>
      </c>
      <c r="C1142" s="41" t="s">
        <v>187</v>
      </c>
      <c r="D1142">
        <v>427.5</v>
      </c>
      <c r="E1142">
        <v>12313.14</v>
      </c>
      <c r="F1142">
        <v>307.11</v>
      </c>
      <c r="G1142">
        <v>131.97</v>
      </c>
      <c r="H1142">
        <v>15955.74</v>
      </c>
      <c r="I1142" s="80">
        <v>26265.3</v>
      </c>
      <c r="J1142">
        <v>55.95</v>
      </c>
      <c r="K1142">
        <v>6136.62</v>
      </c>
      <c r="L1142">
        <f t="shared" si="170"/>
        <v>0</v>
      </c>
      <c r="M1142">
        <f t="shared" si="171"/>
        <v>0</v>
      </c>
      <c r="N1142">
        <f t="shared" si="172"/>
        <v>0</v>
      </c>
      <c r="O1142">
        <f t="shared" si="173"/>
        <v>0</v>
      </c>
      <c r="P1142">
        <f t="shared" si="174"/>
        <v>0</v>
      </c>
      <c r="Q1142">
        <f t="shared" si="175"/>
        <v>0</v>
      </c>
      <c r="R1142">
        <f t="shared" si="176"/>
        <v>0</v>
      </c>
      <c r="S1142">
        <f t="shared" si="177"/>
        <v>0</v>
      </c>
      <c r="T1142">
        <f t="shared" si="179"/>
        <v>0</v>
      </c>
      <c r="U1142">
        <f t="shared" si="178"/>
        <v>0</v>
      </c>
    </row>
    <row r="1143" spans="1:21" x14ac:dyDescent="0.25">
      <c r="A1143" s="2">
        <v>1142</v>
      </c>
      <c r="B1143" s="39" t="s">
        <v>615</v>
      </c>
      <c r="C1143" s="41" t="s">
        <v>189</v>
      </c>
      <c r="D1143">
        <v>566.32000000000005</v>
      </c>
      <c r="E1143">
        <v>10250.35</v>
      </c>
      <c r="F1143">
        <v>19.149999999999999</v>
      </c>
      <c r="G1143">
        <v>145.62</v>
      </c>
      <c r="H1143">
        <v>12912.9</v>
      </c>
      <c r="I1143" s="80">
        <v>22055.55</v>
      </c>
      <c r="J1143">
        <v>53.16</v>
      </c>
      <c r="K1143">
        <v>7130.93</v>
      </c>
      <c r="L1143">
        <f t="shared" si="170"/>
        <v>0</v>
      </c>
      <c r="M1143">
        <f t="shared" si="171"/>
        <v>0</v>
      </c>
      <c r="N1143">
        <f t="shared" si="172"/>
        <v>0</v>
      </c>
      <c r="O1143">
        <f t="shared" si="173"/>
        <v>0</v>
      </c>
      <c r="P1143">
        <f t="shared" si="174"/>
        <v>0</v>
      </c>
      <c r="Q1143">
        <f t="shared" si="175"/>
        <v>0</v>
      </c>
      <c r="R1143">
        <f t="shared" si="176"/>
        <v>0</v>
      </c>
      <c r="S1143">
        <f t="shared" si="177"/>
        <v>0</v>
      </c>
      <c r="T1143">
        <f t="shared" si="179"/>
        <v>0</v>
      </c>
      <c r="U1143">
        <f t="shared" si="178"/>
        <v>0</v>
      </c>
    </row>
    <row r="1144" spans="1:21" x14ac:dyDescent="0.25">
      <c r="A1144" s="2">
        <v>1143</v>
      </c>
      <c r="B1144" s="39">
        <v>1049</v>
      </c>
      <c r="C1144" s="46" t="s">
        <v>162</v>
      </c>
      <c r="D1144">
        <v>7.19</v>
      </c>
      <c r="E1144">
        <v>11157.41</v>
      </c>
      <c r="F1144">
        <v>0.19</v>
      </c>
      <c r="G1144">
        <v>37.450000000000003</v>
      </c>
      <c r="H1144">
        <v>0.97</v>
      </c>
      <c r="I1144">
        <v>3.07</v>
      </c>
      <c r="J1144">
        <v>9.26</v>
      </c>
      <c r="K1144">
        <v>0.96</v>
      </c>
      <c r="L1144">
        <f t="shared" si="170"/>
        <v>0</v>
      </c>
      <c r="M1144">
        <f t="shared" si="171"/>
        <v>0</v>
      </c>
      <c r="N1144">
        <f t="shared" si="172"/>
        <v>0</v>
      </c>
      <c r="O1144">
        <f t="shared" si="173"/>
        <v>0</v>
      </c>
      <c r="P1144">
        <f t="shared" si="174"/>
        <v>0</v>
      </c>
      <c r="Q1144">
        <f t="shared" si="175"/>
        <v>0</v>
      </c>
      <c r="R1144">
        <f t="shared" si="176"/>
        <v>0</v>
      </c>
      <c r="S1144">
        <f t="shared" si="177"/>
        <v>0</v>
      </c>
      <c r="T1144">
        <f t="shared" si="179"/>
        <v>0</v>
      </c>
      <c r="U1144">
        <f t="shared" si="178"/>
        <v>0</v>
      </c>
    </row>
    <row r="1145" spans="1:21" x14ac:dyDescent="0.25">
      <c r="A1145" s="2">
        <v>1144</v>
      </c>
      <c r="B1145" s="39">
        <v>1049</v>
      </c>
      <c r="C1145" s="41" t="s">
        <v>170</v>
      </c>
      <c r="D1145">
        <v>62.81</v>
      </c>
      <c r="E1145" s="80">
        <v>29551.35</v>
      </c>
      <c r="F1145">
        <v>41.06</v>
      </c>
      <c r="G1145">
        <v>69.400000000000006</v>
      </c>
      <c r="H1145">
        <v>1186.8900000000001</v>
      </c>
      <c r="I1145" s="80">
        <v>12908.68</v>
      </c>
      <c r="J1145">
        <v>27.04</v>
      </c>
      <c r="K1145">
        <v>463.97</v>
      </c>
      <c r="L1145">
        <f t="shared" si="170"/>
        <v>0</v>
      </c>
      <c r="M1145">
        <f t="shared" si="171"/>
        <v>0</v>
      </c>
      <c r="N1145">
        <f t="shared" si="172"/>
        <v>0</v>
      </c>
      <c r="O1145">
        <f t="shared" si="173"/>
        <v>0</v>
      </c>
      <c r="P1145">
        <f t="shared" si="174"/>
        <v>0</v>
      </c>
      <c r="Q1145">
        <f t="shared" si="175"/>
        <v>0</v>
      </c>
      <c r="R1145">
        <f t="shared" si="176"/>
        <v>0</v>
      </c>
      <c r="S1145">
        <f t="shared" si="177"/>
        <v>0</v>
      </c>
      <c r="T1145">
        <f t="shared" si="179"/>
        <v>0</v>
      </c>
      <c r="U1145">
        <f t="shared" si="178"/>
        <v>0</v>
      </c>
    </row>
    <row r="1146" spans="1:21" x14ac:dyDescent="0.25">
      <c r="A1146" s="2">
        <v>1145</v>
      </c>
      <c r="B1146" s="39">
        <v>1049</v>
      </c>
      <c r="C1146" s="41" t="s">
        <v>178</v>
      </c>
      <c r="D1146">
        <v>198.19</v>
      </c>
      <c r="E1146" s="80">
        <v>30013.99</v>
      </c>
      <c r="F1146">
        <v>588.59</v>
      </c>
      <c r="G1146">
        <v>93.19</v>
      </c>
      <c r="H1146">
        <v>10362.33</v>
      </c>
      <c r="I1146" s="80">
        <v>22871.46</v>
      </c>
      <c r="J1146">
        <v>39.67</v>
      </c>
      <c r="K1146">
        <v>1204.79</v>
      </c>
      <c r="L1146">
        <f t="shared" si="170"/>
        <v>0</v>
      </c>
      <c r="M1146">
        <f t="shared" si="171"/>
        <v>0</v>
      </c>
      <c r="N1146">
        <f t="shared" si="172"/>
        <v>0</v>
      </c>
      <c r="O1146">
        <f t="shared" si="173"/>
        <v>0</v>
      </c>
      <c r="P1146">
        <f t="shared" si="174"/>
        <v>0</v>
      </c>
      <c r="Q1146">
        <f t="shared" si="175"/>
        <v>0</v>
      </c>
      <c r="R1146">
        <f t="shared" si="176"/>
        <v>0</v>
      </c>
      <c r="S1146">
        <f t="shared" si="177"/>
        <v>0</v>
      </c>
      <c r="T1146">
        <f t="shared" si="179"/>
        <v>0</v>
      </c>
      <c r="U1146">
        <f t="shared" si="178"/>
        <v>0</v>
      </c>
    </row>
    <row r="1147" spans="1:21" x14ac:dyDescent="0.25">
      <c r="A1147" s="2">
        <v>1146</v>
      </c>
      <c r="B1147" s="39">
        <v>1049</v>
      </c>
      <c r="C1147" s="41" t="s">
        <v>163</v>
      </c>
      <c r="D1147">
        <v>1832.19</v>
      </c>
      <c r="E1147" s="80">
        <v>36170.269999999997</v>
      </c>
      <c r="F1147">
        <v>24.18</v>
      </c>
      <c r="G1147">
        <v>159.61000000000001</v>
      </c>
      <c r="H1147">
        <v>3769.71</v>
      </c>
      <c r="I1147" s="80">
        <v>8793.41</v>
      </c>
      <c r="J1147">
        <v>61.6</v>
      </c>
      <c r="K1147">
        <v>6223.8</v>
      </c>
      <c r="L1147">
        <f t="shared" si="170"/>
        <v>0</v>
      </c>
      <c r="M1147">
        <f t="shared" si="171"/>
        <v>0</v>
      </c>
      <c r="N1147">
        <f t="shared" si="172"/>
        <v>0</v>
      </c>
      <c r="O1147">
        <f t="shared" si="173"/>
        <v>0</v>
      </c>
      <c r="P1147">
        <f t="shared" si="174"/>
        <v>0</v>
      </c>
      <c r="Q1147">
        <f t="shared" si="175"/>
        <v>0</v>
      </c>
      <c r="R1147">
        <f t="shared" si="176"/>
        <v>0</v>
      </c>
      <c r="S1147">
        <f t="shared" si="177"/>
        <v>0</v>
      </c>
      <c r="T1147">
        <f t="shared" si="179"/>
        <v>0</v>
      </c>
      <c r="U1147">
        <f t="shared" si="178"/>
        <v>0</v>
      </c>
    </row>
    <row r="1148" spans="1:21" x14ac:dyDescent="0.25">
      <c r="A1148" s="2">
        <v>1147</v>
      </c>
      <c r="B1148" s="39">
        <v>1049</v>
      </c>
      <c r="C1148" s="41" t="s">
        <v>181</v>
      </c>
      <c r="D1148">
        <v>14.11</v>
      </c>
      <c r="E1148" s="80">
        <v>35600.35</v>
      </c>
      <c r="F1148">
        <v>0.31</v>
      </c>
      <c r="G1148">
        <v>58.21</v>
      </c>
      <c r="H1148">
        <v>4.01</v>
      </c>
      <c r="I1148">
        <v>3.91</v>
      </c>
      <c r="J1148">
        <v>19.96</v>
      </c>
      <c r="K1148">
        <v>6.99</v>
      </c>
      <c r="L1148">
        <f t="shared" si="170"/>
        <v>0</v>
      </c>
      <c r="M1148">
        <f t="shared" si="171"/>
        <v>0</v>
      </c>
      <c r="N1148">
        <f t="shared" si="172"/>
        <v>0</v>
      </c>
      <c r="O1148">
        <f t="shared" si="173"/>
        <v>0</v>
      </c>
      <c r="P1148">
        <f t="shared" si="174"/>
        <v>0</v>
      </c>
      <c r="Q1148">
        <f t="shared" si="175"/>
        <v>0</v>
      </c>
      <c r="R1148">
        <f t="shared" si="176"/>
        <v>0</v>
      </c>
      <c r="S1148">
        <f t="shared" si="177"/>
        <v>0</v>
      </c>
      <c r="T1148">
        <f t="shared" si="179"/>
        <v>0</v>
      </c>
      <c r="U1148">
        <f t="shared" si="178"/>
        <v>0</v>
      </c>
    </row>
    <row r="1149" spans="1:21" ht="15.75" thickBot="1" x14ac:dyDescent="0.3">
      <c r="A1149" s="2">
        <v>1148</v>
      </c>
      <c r="B1149" s="39">
        <v>1049</v>
      </c>
      <c r="C1149" s="41" t="s">
        <v>183</v>
      </c>
      <c r="D1149">
        <v>15.04</v>
      </c>
      <c r="E1149">
        <v>9810</v>
      </c>
      <c r="F1149">
        <v>84.41</v>
      </c>
      <c r="G1149">
        <v>105.73</v>
      </c>
      <c r="H1149">
        <v>5130.4799999999996</v>
      </c>
      <c r="I1149" s="80">
        <v>18035.18</v>
      </c>
      <c r="J1149">
        <v>31.98</v>
      </c>
      <c r="K1149">
        <v>3137.8</v>
      </c>
      <c r="L1149">
        <f t="shared" si="170"/>
        <v>0</v>
      </c>
      <c r="M1149">
        <f t="shared" si="171"/>
        <v>0</v>
      </c>
      <c r="N1149">
        <f t="shared" si="172"/>
        <v>0</v>
      </c>
      <c r="O1149">
        <f t="shared" si="173"/>
        <v>0</v>
      </c>
      <c r="P1149">
        <f t="shared" si="174"/>
        <v>0</v>
      </c>
      <c r="Q1149">
        <f t="shared" si="175"/>
        <v>0</v>
      </c>
      <c r="R1149">
        <f t="shared" si="176"/>
        <v>0</v>
      </c>
      <c r="S1149">
        <f t="shared" si="177"/>
        <v>0</v>
      </c>
      <c r="T1149">
        <f t="shared" si="179"/>
        <v>0</v>
      </c>
      <c r="U1149">
        <f t="shared" si="178"/>
        <v>0</v>
      </c>
    </row>
    <row r="1150" spans="1:21" x14ac:dyDescent="0.25">
      <c r="A1150" s="2">
        <v>1149</v>
      </c>
      <c r="B1150" s="39">
        <v>1049</v>
      </c>
      <c r="C1150" s="40" t="s">
        <v>186</v>
      </c>
      <c r="D1150">
        <v>17.89</v>
      </c>
      <c r="E1150">
        <v>7435.33</v>
      </c>
      <c r="F1150">
        <v>229.41</v>
      </c>
      <c r="G1150">
        <v>93.19</v>
      </c>
      <c r="H1150">
        <v>12246.51</v>
      </c>
      <c r="I1150" s="80">
        <v>22084.83</v>
      </c>
      <c r="J1150">
        <v>42.31</v>
      </c>
      <c r="K1150">
        <v>3740.41</v>
      </c>
      <c r="L1150">
        <f t="shared" si="170"/>
        <v>0</v>
      </c>
      <c r="M1150">
        <f t="shared" si="171"/>
        <v>0</v>
      </c>
      <c r="N1150">
        <f t="shared" si="172"/>
        <v>0</v>
      </c>
      <c r="O1150">
        <f t="shared" si="173"/>
        <v>0</v>
      </c>
      <c r="P1150">
        <f t="shared" si="174"/>
        <v>0</v>
      </c>
      <c r="Q1150">
        <f t="shared" si="175"/>
        <v>0</v>
      </c>
      <c r="R1150">
        <f t="shared" si="176"/>
        <v>0</v>
      </c>
      <c r="S1150">
        <f t="shared" si="177"/>
        <v>0</v>
      </c>
      <c r="T1150">
        <f t="shared" si="179"/>
        <v>0</v>
      </c>
      <c r="U1150">
        <f t="shared" si="178"/>
        <v>0</v>
      </c>
    </row>
    <row r="1151" spans="1:21" x14ac:dyDescent="0.25">
      <c r="A1151" s="2">
        <v>1150</v>
      </c>
      <c r="B1151" s="39">
        <v>1049</v>
      </c>
      <c r="C1151" s="41" t="s">
        <v>188</v>
      </c>
      <c r="D1151">
        <v>21.83</v>
      </c>
      <c r="E1151" s="80">
        <v>41947.08</v>
      </c>
      <c r="F1151">
        <v>11.61</v>
      </c>
      <c r="G1151">
        <v>118.66</v>
      </c>
      <c r="H1151">
        <v>999.51</v>
      </c>
      <c r="I1151" s="80">
        <v>7405.8</v>
      </c>
      <c r="J1151">
        <v>47.67</v>
      </c>
      <c r="K1151">
        <v>3968.23</v>
      </c>
      <c r="L1151">
        <f t="shared" si="170"/>
        <v>0</v>
      </c>
      <c r="M1151">
        <f t="shared" si="171"/>
        <v>0</v>
      </c>
      <c r="N1151">
        <f t="shared" si="172"/>
        <v>0</v>
      </c>
      <c r="O1151">
        <f t="shared" si="173"/>
        <v>0</v>
      </c>
      <c r="P1151">
        <f t="shared" si="174"/>
        <v>0</v>
      </c>
      <c r="Q1151">
        <f t="shared" si="175"/>
        <v>0</v>
      </c>
      <c r="R1151">
        <f t="shared" si="176"/>
        <v>0</v>
      </c>
      <c r="S1151">
        <f t="shared" si="177"/>
        <v>0</v>
      </c>
      <c r="T1151">
        <f t="shared" si="179"/>
        <v>0</v>
      </c>
      <c r="U1151">
        <f t="shared" si="178"/>
        <v>0</v>
      </c>
    </row>
    <row r="1152" spans="1:21" x14ac:dyDescent="0.25">
      <c r="A1152" s="2">
        <v>1151</v>
      </c>
      <c r="B1152" s="39">
        <v>1049</v>
      </c>
      <c r="C1152" s="41" t="s">
        <v>182</v>
      </c>
      <c r="D1152">
        <v>2.75</v>
      </c>
      <c r="E1152">
        <v>3416.51</v>
      </c>
      <c r="F1152">
        <v>0.12</v>
      </c>
      <c r="G1152">
        <v>19.329999999999998</v>
      </c>
      <c r="H1152">
        <v>4.47</v>
      </c>
      <c r="I1152">
        <v>117.21</v>
      </c>
      <c r="J1152">
        <v>7.33</v>
      </c>
      <c r="K1152">
        <v>1.1200000000000001</v>
      </c>
      <c r="L1152">
        <f t="shared" si="170"/>
        <v>0</v>
      </c>
      <c r="M1152">
        <f t="shared" si="171"/>
        <v>0</v>
      </c>
      <c r="N1152">
        <f t="shared" si="172"/>
        <v>0</v>
      </c>
      <c r="O1152">
        <f t="shared" si="173"/>
        <v>0</v>
      </c>
      <c r="P1152">
        <f t="shared" si="174"/>
        <v>0</v>
      </c>
      <c r="Q1152">
        <f t="shared" si="175"/>
        <v>0</v>
      </c>
      <c r="R1152">
        <f t="shared" si="176"/>
        <v>0</v>
      </c>
      <c r="S1152">
        <f t="shared" si="177"/>
        <v>0</v>
      </c>
      <c r="T1152">
        <f t="shared" si="179"/>
        <v>0</v>
      </c>
      <c r="U1152">
        <f t="shared" si="178"/>
        <v>0</v>
      </c>
    </row>
    <row r="1153" spans="1:21" x14ac:dyDescent="0.25">
      <c r="A1153" s="2">
        <v>1152</v>
      </c>
      <c r="B1153" s="39">
        <v>1049</v>
      </c>
      <c r="C1153" s="41" t="s">
        <v>184</v>
      </c>
      <c r="D1153">
        <v>266.05</v>
      </c>
      <c r="E1153">
        <v>17191.759999999998</v>
      </c>
      <c r="F1153">
        <v>149.52000000000001</v>
      </c>
      <c r="G1153">
        <v>87.08</v>
      </c>
      <c r="H1153">
        <v>11700.59</v>
      </c>
      <c r="I1153" s="80">
        <v>26563.97</v>
      </c>
      <c r="J1153">
        <v>50.4</v>
      </c>
      <c r="K1153">
        <v>2929.31</v>
      </c>
      <c r="L1153">
        <f t="shared" si="170"/>
        <v>0</v>
      </c>
      <c r="M1153">
        <f t="shared" si="171"/>
        <v>0</v>
      </c>
      <c r="N1153">
        <f t="shared" si="172"/>
        <v>0</v>
      </c>
      <c r="O1153">
        <f t="shared" si="173"/>
        <v>0</v>
      </c>
      <c r="P1153">
        <f t="shared" si="174"/>
        <v>0</v>
      </c>
      <c r="Q1153">
        <f t="shared" si="175"/>
        <v>0</v>
      </c>
      <c r="R1153">
        <f t="shared" si="176"/>
        <v>0</v>
      </c>
      <c r="S1153">
        <f t="shared" si="177"/>
        <v>0</v>
      </c>
      <c r="T1153">
        <f t="shared" si="179"/>
        <v>0</v>
      </c>
      <c r="U1153">
        <f t="shared" si="178"/>
        <v>0</v>
      </c>
    </row>
    <row r="1154" spans="1:21" x14ac:dyDescent="0.25">
      <c r="A1154" s="2">
        <v>1153</v>
      </c>
      <c r="B1154" s="39">
        <v>1049</v>
      </c>
      <c r="C1154" s="41" t="s">
        <v>187</v>
      </c>
      <c r="D1154">
        <v>2732.28</v>
      </c>
      <c r="E1154">
        <v>19085.03</v>
      </c>
      <c r="F1154">
        <v>294.95</v>
      </c>
      <c r="G1154">
        <v>188.54</v>
      </c>
      <c r="H1154" s="80">
        <v>36742.17</v>
      </c>
      <c r="I1154" s="80">
        <v>27868.51</v>
      </c>
      <c r="J1154">
        <v>88.28</v>
      </c>
      <c r="K1154" s="80">
        <v>9692.58</v>
      </c>
      <c r="L1154">
        <f t="shared" ref="L1154:L1217" si="180">IF(D1154 = "OOR &gt;", 1,0)</f>
        <v>0</v>
      </c>
      <c r="M1154">
        <f t="shared" ref="M1154:M1217" si="181">IF(E1154 = "OOR &gt;", 1,0)</f>
        <v>0</v>
      </c>
      <c r="N1154">
        <f t="shared" ref="N1154:N1217" si="182">IF(F1154 = "OOR &gt;", 1,0)</f>
        <v>0</v>
      </c>
      <c r="O1154">
        <f t="shared" ref="O1154:O1217" si="183">IF(G1154 = "OOR &gt;", 1,0)</f>
        <v>0</v>
      </c>
      <c r="P1154">
        <f t="shared" ref="P1154:P1217" si="184">IF(H1154 = "OOR &gt;", 1,0)</f>
        <v>0</v>
      </c>
      <c r="Q1154">
        <f t="shared" ref="Q1154:Q1217" si="185">IF(I1154 = "OOR &gt;", 1,0)</f>
        <v>0</v>
      </c>
      <c r="R1154">
        <f t="shared" ref="R1154:R1217" si="186">IF(J1154 = "OOR &gt;", 1,0)</f>
        <v>0</v>
      </c>
      <c r="S1154">
        <f t="shared" ref="S1154:S1217" si="187">IF(K1154 = "OOR &gt;", 1,0)</f>
        <v>0</v>
      </c>
      <c r="T1154">
        <f t="shared" si="179"/>
        <v>0</v>
      </c>
      <c r="U1154">
        <f t="shared" ref="U1154:U1217" si="188">IF(T1154 &gt; 0,1,0)</f>
        <v>0</v>
      </c>
    </row>
    <row r="1155" spans="1:21" x14ac:dyDescent="0.25">
      <c r="A1155" s="2">
        <v>1154</v>
      </c>
      <c r="B1155" s="39">
        <v>1049</v>
      </c>
      <c r="C1155" s="41" t="s">
        <v>189</v>
      </c>
      <c r="D1155">
        <v>3072.47</v>
      </c>
      <c r="E1155">
        <v>16918.04</v>
      </c>
      <c r="F1155">
        <v>5.63</v>
      </c>
      <c r="G1155">
        <v>93.19</v>
      </c>
      <c r="H1155">
        <v>9436.48</v>
      </c>
      <c r="I1155" s="80">
        <v>17416.73</v>
      </c>
      <c r="J1155">
        <v>70.28</v>
      </c>
      <c r="K1155">
        <v>7106.68</v>
      </c>
      <c r="L1155">
        <f t="shared" si="180"/>
        <v>0</v>
      </c>
      <c r="M1155">
        <f t="shared" si="181"/>
        <v>0</v>
      </c>
      <c r="N1155">
        <f t="shared" si="182"/>
        <v>0</v>
      </c>
      <c r="O1155">
        <f t="shared" si="183"/>
        <v>0</v>
      </c>
      <c r="P1155">
        <f t="shared" si="184"/>
        <v>0</v>
      </c>
      <c r="Q1155">
        <f t="shared" si="185"/>
        <v>0</v>
      </c>
      <c r="R1155">
        <f t="shared" si="186"/>
        <v>0</v>
      </c>
      <c r="S1155">
        <f t="shared" si="187"/>
        <v>0</v>
      </c>
      <c r="T1155">
        <f t="shared" ref="T1155:T1218" si="189">SUMIF(L1155:S1155,"&gt;0")</f>
        <v>0</v>
      </c>
      <c r="U1155">
        <f t="shared" si="188"/>
        <v>0</v>
      </c>
    </row>
    <row r="1156" spans="1:21" x14ac:dyDescent="0.25">
      <c r="A1156" s="2">
        <v>1155</v>
      </c>
      <c r="B1156" s="39">
        <v>1051</v>
      </c>
      <c r="C1156" s="46" t="s">
        <v>162</v>
      </c>
      <c r="D1156">
        <v>10.54</v>
      </c>
      <c r="E1156" s="80">
        <v>38687.51</v>
      </c>
      <c r="F1156">
        <v>0.57999999999999996</v>
      </c>
      <c r="G1156">
        <v>93.19</v>
      </c>
      <c r="H1156">
        <v>2.35</v>
      </c>
      <c r="I1156">
        <v>0.99</v>
      </c>
      <c r="J1156">
        <v>22.28</v>
      </c>
      <c r="K1156">
        <v>1.53</v>
      </c>
      <c r="L1156">
        <f t="shared" si="180"/>
        <v>0</v>
      </c>
      <c r="M1156">
        <f t="shared" si="181"/>
        <v>0</v>
      </c>
      <c r="N1156">
        <f t="shared" si="182"/>
        <v>0</v>
      </c>
      <c r="O1156">
        <f t="shared" si="183"/>
        <v>0</v>
      </c>
      <c r="P1156">
        <f t="shared" si="184"/>
        <v>0</v>
      </c>
      <c r="Q1156">
        <f t="shared" si="185"/>
        <v>0</v>
      </c>
      <c r="R1156">
        <f t="shared" si="186"/>
        <v>0</v>
      </c>
      <c r="S1156">
        <f t="shared" si="187"/>
        <v>0</v>
      </c>
      <c r="T1156">
        <f t="shared" si="189"/>
        <v>0</v>
      </c>
      <c r="U1156">
        <f t="shared" si="188"/>
        <v>0</v>
      </c>
    </row>
    <row r="1157" spans="1:21" x14ac:dyDescent="0.25">
      <c r="A1157" s="2">
        <v>1156</v>
      </c>
      <c r="B1157" s="39">
        <v>1051</v>
      </c>
      <c r="C1157" s="41" t="s">
        <v>170</v>
      </c>
      <c r="D1157">
        <v>32.31</v>
      </c>
      <c r="E1157" s="80">
        <v>70279.19</v>
      </c>
      <c r="F1157">
        <v>149.34</v>
      </c>
      <c r="G1157">
        <v>131.97</v>
      </c>
      <c r="H1157">
        <v>2406.9699999999998</v>
      </c>
      <c r="I1157" s="80">
        <v>17388.47</v>
      </c>
      <c r="J1157">
        <v>50.4</v>
      </c>
      <c r="K1157">
        <v>549.76</v>
      </c>
      <c r="L1157">
        <f t="shared" si="180"/>
        <v>0</v>
      </c>
      <c r="M1157">
        <f t="shared" si="181"/>
        <v>0</v>
      </c>
      <c r="N1157">
        <f t="shared" si="182"/>
        <v>0</v>
      </c>
      <c r="O1157">
        <f t="shared" si="183"/>
        <v>0</v>
      </c>
      <c r="P1157">
        <f t="shared" si="184"/>
        <v>0</v>
      </c>
      <c r="Q1157">
        <f t="shared" si="185"/>
        <v>0</v>
      </c>
      <c r="R1157">
        <f t="shared" si="186"/>
        <v>0</v>
      </c>
      <c r="S1157">
        <f t="shared" si="187"/>
        <v>0</v>
      </c>
      <c r="T1157">
        <f t="shared" si="189"/>
        <v>0</v>
      </c>
      <c r="U1157">
        <f t="shared" si="188"/>
        <v>0</v>
      </c>
    </row>
    <row r="1158" spans="1:21" x14ac:dyDescent="0.25">
      <c r="A1158" s="2">
        <v>1157</v>
      </c>
      <c r="B1158" s="39">
        <v>1051</v>
      </c>
      <c r="C1158" s="41" t="s">
        <v>178</v>
      </c>
      <c r="D1158">
        <v>1925.24</v>
      </c>
      <c r="E1158" s="80">
        <v>66435.61</v>
      </c>
      <c r="F1158">
        <v>1390.95</v>
      </c>
      <c r="G1158">
        <v>218.66</v>
      </c>
      <c r="H1158" s="80">
        <v>56991.33</v>
      </c>
      <c r="I1158" s="80">
        <v>23385.83</v>
      </c>
      <c r="J1158">
        <v>79.180000000000007</v>
      </c>
      <c r="K1158">
        <v>4022.09</v>
      </c>
      <c r="L1158">
        <f t="shared" si="180"/>
        <v>0</v>
      </c>
      <c r="M1158">
        <f t="shared" si="181"/>
        <v>0</v>
      </c>
      <c r="N1158">
        <f t="shared" si="182"/>
        <v>0</v>
      </c>
      <c r="O1158">
        <f t="shared" si="183"/>
        <v>0</v>
      </c>
      <c r="P1158">
        <f t="shared" si="184"/>
        <v>0</v>
      </c>
      <c r="Q1158">
        <f t="shared" si="185"/>
        <v>0</v>
      </c>
      <c r="R1158">
        <f t="shared" si="186"/>
        <v>0</v>
      </c>
      <c r="S1158">
        <f t="shared" si="187"/>
        <v>0</v>
      </c>
      <c r="T1158">
        <f t="shared" si="189"/>
        <v>0</v>
      </c>
      <c r="U1158">
        <f t="shared" si="188"/>
        <v>0</v>
      </c>
    </row>
    <row r="1159" spans="1:21" x14ac:dyDescent="0.25">
      <c r="A1159" s="2">
        <v>1158</v>
      </c>
      <c r="B1159" s="39">
        <v>1051</v>
      </c>
      <c r="C1159" s="41" t="s">
        <v>163</v>
      </c>
      <c r="D1159">
        <v>18115.18</v>
      </c>
      <c r="E1159" s="80">
        <v>87177.84</v>
      </c>
      <c r="F1159">
        <v>483.44</v>
      </c>
      <c r="G1159">
        <v>332.39</v>
      </c>
      <c r="H1159" s="80">
        <v>72895.97</v>
      </c>
      <c r="I1159" s="80">
        <v>23448.639999999999</v>
      </c>
      <c r="J1159">
        <v>139.80000000000001</v>
      </c>
      <c r="K1159" s="80">
        <v>24863.74</v>
      </c>
      <c r="L1159">
        <f t="shared" si="180"/>
        <v>0</v>
      </c>
      <c r="M1159">
        <f t="shared" si="181"/>
        <v>0</v>
      </c>
      <c r="N1159">
        <f t="shared" si="182"/>
        <v>0</v>
      </c>
      <c r="O1159">
        <f t="shared" si="183"/>
        <v>0</v>
      </c>
      <c r="P1159">
        <f t="shared" si="184"/>
        <v>0</v>
      </c>
      <c r="Q1159">
        <f t="shared" si="185"/>
        <v>0</v>
      </c>
      <c r="R1159">
        <f t="shared" si="186"/>
        <v>0</v>
      </c>
      <c r="S1159">
        <f t="shared" si="187"/>
        <v>0</v>
      </c>
      <c r="T1159">
        <f t="shared" si="189"/>
        <v>0</v>
      </c>
      <c r="U1159">
        <f t="shared" si="188"/>
        <v>0</v>
      </c>
    </row>
    <row r="1160" spans="1:21" x14ac:dyDescent="0.25">
      <c r="A1160" s="2">
        <v>1159</v>
      </c>
      <c r="B1160" s="39">
        <v>1051</v>
      </c>
      <c r="C1160" s="41" t="s">
        <v>181</v>
      </c>
      <c r="D1160">
        <v>19.84</v>
      </c>
      <c r="E1160" s="80">
        <v>59127.24</v>
      </c>
      <c r="F1160">
        <v>0.63</v>
      </c>
      <c r="G1160">
        <v>69.400000000000006</v>
      </c>
      <c r="H1160">
        <v>4.79</v>
      </c>
      <c r="I1160">
        <v>2.2799999999999998</v>
      </c>
      <c r="J1160">
        <v>29.49</v>
      </c>
      <c r="K1160">
        <v>6.99</v>
      </c>
      <c r="L1160">
        <f t="shared" si="180"/>
        <v>0</v>
      </c>
      <c r="M1160">
        <f t="shared" si="181"/>
        <v>0</v>
      </c>
      <c r="N1160">
        <f t="shared" si="182"/>
        <v>0</v>
      </c>
      <c r="O1160">
        <f t="shared" si="183"/>
        <v>0</v>
      </c>
      <c r="P1160">
        <f t="shared" si="184"/>
        <v>0</v>
      </c>
      <c r="Q1160">
        <f t="shared" si="185"/>
        <v>0</v>
      </c>
      <c r="R1160">
        <f t="shared" si="186"/>
        <v>0</v>
      </c>
      <c r="S1160">
        <f t="shared" si="187"/>
        <v>0</v>
      </c>
      <c r="T1160">
        <f t="shared" si="189"/>
        <v>0</v>
      </c>
      <c r="U1160">
        <f t="shared" si="188"/>
        <v>0</v>
      </c>
    </row>
    <row r="1161" spans="1:21" ht="15.75" thickBot="1" x14ac:dyDescent="0.3">
      <c r="A1161" s="2">
        <v>1160</v>
      </c>
      <c r="B1161" s="39">
        <v>1051</v>
      </c>
      <c r="C1161" s="41" t="s">
        <v>183</v>
      </c>
      <c r="D1161">
        <v>25.92</v>
      </c>
      <c r="E1161">
        <v>23562.68</v>
      </c>
      <c r="F1161">
        <v>38.25</v>
      </c>
      <c r="G1161">
        <v>118.66</v>
      </c>
      <c r="H1161" s="80">
        <v>24762.28</v>
      </c>
      <c r="I1161" s="80">
        <v>30624.49</v>
      </c>
      <c r="J1161">
        <v>55.95</v>
      </c>
      <c r="K1161">
        <v>4993.1899999999996</v>
      </c>
      <c r="L1161">
        <f t="shared" si="180"/>
        <v>0</v>
      </c>
      <c r="M1161">
        <f t="shared" si="181"/>
        <v>0</v>
      </c>
      <c r="N1161">
        <f t="shared" si="182"/>
        <v>0</v>
      </c>
      <c r="O1161">
        <f t="shared" si="183"/>
        <v>0</v>
      </c>
      <c r="P1161">
        <f t="shared" si="184"/>
        <v>0</v>
      </c>
      <c r="Q1161">
        <f t="shared" si="185"/>
        <v>0</v>
      </c>
      <c r="R1161">
        <f t="shared" si="186"/>
        <v>0</v>
      </c>
      <c r="S1161">
        <f t="shared" si="187"/>
        <v>0</v>
      </c>
      <c r="T1161">
        <f t="shared" si="189"/>
        <v>0</v>
      </c>
      <c r="U1161">
        <f t="shared" si="188"/>
        <v>0</v>
      </c>
    </row>
    <row r="1162" spans="1:21" x14ac:dyDescent="0.25">
      <c r="A1162" s="2">
        <v>1161</v>
      </c>
      <c r="B1162" s="39">
        <v>1051</v>
      </c>
      <c r="C1162" s="40" t="s">
        <v>186</v>
      </c>
      <c r="D1162">
        <v>32.31</v>
      </c>
      <c r="E1162">
        <v>18164.16</v>
      </c>
      <c r="F1162">
        <v>76.34</v>
      </c>
      <c r="G1162">
        <v>138.75</v>
      </c>
      <c r="H1162" s="80">
        <v>58180.12</v>
      </c>
      <c r="I1162" s="80">
        <v>28724.02</v>
      </c>
      <c r="J1162">
        <v>70.28</v>
      </c>
      <c r="K1162">
        <v>7041.91</v>
      </c>
      <c r="L1162">
        <f t="shared" si="180"/>
        <v>0</v>
      </c>
      <c r="M1162">
        <f t="shared" si="181"/>
        <v>0</v>
      </c>
      <c r="N1162">
        <f t="shared" si="182"/>
        <v>0</v>
      </c>
      <c r="O1162">
        <f t="shared" si="183"/>
        <v>0</v>
      </c>
      <c r="P1162">
        <f t="shared" si="184"/>
        <v>0</v>
      </c>
      <c r="Q1162">
        <f t="shared" si="185"/>
        <v>0</v>
      </c>
      <c r="R1162">
        <f t="shared" si="186"/>
        <v>0</v>
      </c>
      <c r="S1162">
        <f t="shared" si="187"/>
        <v>0</v>
      </c>
      <c r="T1162">
        <f t="shared" si="189"/>
        <v>0</v>
      </c>
      <c r="U1162">
        <f t="shared" si="188"/>
        <v>0</v>
      </c>
    </row>
    <row r="1163" spans="1:21" x14ac:dyDescent="0.25">
      <c r="A1163" s="2">
        <v>1162</v>
      </c>
      <c r="B1163" s="39">
        <v>1051</v>
      </c>
      <c r="C1163" s="41" t="s">
        <v>188</v>
      </c>
      <c r="D1163">
        <v>43.54</v>
      </c>
      <c r="E1163" s="80">
        <v>82435.66</v>
      </c>
      <c r="F1163">
        <v>4</v>
      </c>
      <c r="G1163">
        <v>152.57</v>
      </c>
      <c r="H1163">
        <v>1624.19</v>
      </c>
      <c r="I1163" s="80">
        <v>13503.2</v>
      </c>
      <c r="J1163">
        <v>67.36</v>
      </c>
      <c r="K1163" s="80">
        <v>9297.2199999999993</v>
      </c>
      <c r="L1163">
        <f t="shared" si="180"/>
        <v>0</v>
      </c>
      <c r="M1163">
        <f t="shared" si="181"/>
        <v>0</v>
      </c>
      <c r="N1163">
        <f t="shared" si="182"/>
        <v>0</v>
      </c>
      <c r="O1163">
        <f t="shared" si="183"/>
        <v>0</v>
      </c>
      <c r="P1163">
        <f t="shared" si="184"/>
        <v>0</v>
      </c>
      <c r="Q1163">
        <f t="shared" si="185"/>
        <v>0</v>
      </c>
      <c r="R1163">
        <f t="shared" si="186"/>
        <v>0</v>
      </c>
      <c r="S1163">
        <f t="shared" si="187"/>
        <v>0</v>
      </c>
      <c r="T1163">
        <f t="shared" si="189"/>
        <v>0</v>
      </c>
      <c r="U1163">
        <f t="shared" si="188"/>
        <v>0</v>
      </c>
    </row>
    <row r="1164" spans="1:21" x14ac:dyDescent="0.25">
      <c r="A1164" s="2">
        <v>1163</v>
      </c>
      <c r="B1164" s="39">
        <v>1051</v>
      </c>
      <c r="C1164" s="41" t="s">
        <v>182</v>
      </c>
      <c r="D1164">
        <v>7.19</v>
      </c>
      <c r="E1164">
        <v>14422.12</v>
      </c>
      <c r="F1164">
        <v>0.66</v>
      </c>
      <c r="G1164">
        <v>37.450000000000003</v>
      </c>
      <c r="H1164">
        <v>4.95</v>
      </c>
      <c r="I1164">
        <v>15.64</v>
      </c>
      <c r="J1164">
        <v>13.35</v>
      </c>
      <c r="K1164">
        <v>1.62</v>
      </c>
      <c r="L1164">
        <f t="shared" si="180"/>
        <v>0</v>
      </c>
      <c r="M1164">
        <f t="shared" si="181"/>
        <v>0</v>
      </c>
      <c r="N1164">
        <f t="shared" si="182"/>
        <v>0</v>
      </c>
      <c r="O1164">
        <f t="shared" si="183"/>
        <v>0</v>
      </c>
      <c r="P1164">
        <f t="shared" si="184"/>
        <v>0</v>
      </c>
      <c r="Q1164">
        <f t="shared" si="185"/>
        <v>0</v>
      </c>
      <c r="R1164">
        <f t="shared" si="186"/>
        <v>0</v>
      </c>
      <c r="S1164">
        <f t="shared" si="187"/>
        <v>0</v>
      </c>
      <c r="T1164">
        <f t="shared" si="189"/>
        <v>0</v>
      </c>
      <c r="U1164">
        <f t="shared" si="188"/>
        <v>0</v>
      </c>
    </row>
    <row r="1165" spans="1:21" x14ac:dyDescent="0.25">
      <c r="A1165" s="2">
        <v>1164</v>
      </c>
      <c r="B1165" s="39">
        <v>1051</v>
      </c>
      <c r="C1165" s="41" t="s">
        <v>184</v>
      </c>
      <c r="D1165">
        <v>65.319999999999993</v>
      </c>
      <c r="E1165" s="80">
        <v>30856.41</v>
      </c>
      <c r="F1165">
        <v>91.96</v>
      </c>
      <c r="G1165">
        <v>145.62</v>
      </c>
      <c r="H1165">
        <v>12048.86</v>
      </c>
      <c r="I1165" s="80">
        <v>27269.21</v>
      </c>
      <c r="J1165">
        <v>39.67</v>
      </c>
      <c r="K1165">
        <v>1754.29</v>
      </c>
      <c r="L1165">
        <f t="shared" si="180"/>
        <v>0</v>
      </c>
      <c r="M1165">
        <f t="shared" si="181"/>
        <v>0</v>
      </c>
      <c r="N1165">
        <f t="shared" si="182"/>
        <v>0</v>
      </c>
      <c r="O1165">
        <f t="shared" si="183"/>
        <v>0</v>
      </c>
      <c r="P1165">
        <f t="shared" si="184"/>
        <v>0</v>
      </c>
      <c r="Q1165">
        <f t="shared" si="185"/>
        <v>0</v>
      </c>
      <c r="R1165">
        <f t="shared" si="186"/>
        <v>0</v>
      </c>
      <c r="S1165">
        <f t="shared" si="187"/>
        <v>0</v>
      </c>
      <c r="T1165">
        <f t="shared" si="189"/>
        <v>0</v>
      </c>
      <c r="U1165">
        <f t="shared" si="188"/>
        <v>0</v>
      </c>
    </row>
    <row r="1166" spans="1:21" x14ac:dyDescent="0.25">
      <c r="A1166" s="2">
        <v>1165</v>
      </c>
      <c r="B1166" s="39">
        <v>1051</v>
      </c>
      <c r="C1166" s="41" t="s">
        <v>187</v>
      </c>
      <c r="D1166">
        <v>20398.36</v>
      </c>
      <c r="E1166">
        <v>19698.669999999998</v>
      </c>
      <c r="F1166">
        <v>101.77</v>
      </c>
      <c r="G1166">
        <v>195.96</v>
      </c>
      <c r="H1166" s="80">
        <v>72102.679999999993</v>
      </c>
      <c r="I1166" s="80">
        <v>28450.78</v>
      </c>
      <c r="J1166">
        <v>100.71</v>
      </c>
      <c r="K1166" s="80">
        <v>11482.4</v>
      </c>
      <c r="L1166">
        <f t="shared" si="180"/>
        <v>0</v>
      </c>
      <c r="M1166">
        <f t="shared" si="181"/>
        <v>0</v>
      </c>
      <c r="N1166">
        <f t="shared" si="182"/>
        <v>0</v>
      </c>
      <c r="O1166">
        <f t="shared" si="183"/>
        <v>0</v>
      </c>
      <c r="P1166">
        <f t="shared" si="184"/>
        <v>0</v>
      </c>
      <c r="Q1166">
        <f t="shared" si="185"/>
        <v>0</v>
      </c>
      <c r="R1166">
        <f t="shared" si="186"/>
        <v>0</v>
      </c>
      <c r="S1166">
        <f t="shared" si="187"/>
        <v>0</v>
      </c>
      <c r="T1166">
        <f t="shared" si="189"/>
        <v>0</v>
      </c>
      <c r="U1166">
        <f t="shared" si="188"/>
        <v>0</v>
      </c>
    </row>
    <row r="1167" spans="1:21" x14ac:dyDescent="0.25">
      <c r="A1167" s="2">
        <v>1166</v>
      </c>
      <c r="B1167" s="39">
        <v>1051</v>
      </c>
      <c r="C1167" s="41" t="s">
        <v>189</v>
      </c>
      <c r="D1167">
        <v>33992.11</v>
      </c>
      <c r="E1167">
        <v>18285.73</v>
      </c>
      <c r="F1167">
        <v>9.09</v>
      </c>
      <c r="G1167">
        <v>173.92</v>
      </c>
      <c r="H1167" s="80">
        <v>58838.080000000002</v>
      </c>
      <c r="I1167" s="80">
        <v>20419.150000000001</v>
      </c>
      <c r="J1167">
        <v>100.71</v>
      </c>
      <c r="K1167" s="80">
        <v>14352.34</v>
      </c>
      <c r="L1167">
        <f t="shared" si="180"/>
        <v>0</v>
      </c>
      <c r="M1167">
        <f t="shared" si="181"/>
        <v>0</v>
      </c>
      <c r="N1167">
        <f t="shared" si="182"/>
        <v>0</v>
      </c>
      <c r="O1167">
        <f t="shared" si="183"/>
        <v>0</v>
      </c>
      <c r="P1167">
        <f t="shared" si="184"/>
        <v>0</v>
      </c>
      <c r="Q1167">
        <f t="shared" si="185"/>
        <v>0</v>
      </c>
      <c r="R1167">
        <f t="shared" si="186"/>
        <v>0</v>
      </c>
      <c r="S1167">
        <f t="shared" si="187"/>
        <v>0</v>
      </c>
      <c r="T1167">
        <f t="shared" si="189"/>
        <v>0</v>
      </c>
      <c r="U1167">
        <f t="shared" si="188"/>
        <v>0</v>
      </c>
    </row>
    <row r="1168" spans="1:21" x14ac:dyDescent="0.25">
      <c r="A1168" s="2">
        <v>1167</v>
      </c>
      <c r="B1168" s="39">
        <v>1015</v>
      </c>
      <c r="C1168" s="46" t="s">
        <v>162</v>
      </c>
      <c r="D1168">
        <v>10.54</v>
      </c>
      <c r="E1168" s="80">
        <v>29534.95</v>
      </c>
      <c r="F1168">
        <v>0.57999999999999996</v>
      </c>
      <c r="G1168">
        <v>58.21</v>
      </c>
      <c r="H1168">
        <v>2.65</v>
      </c>
      <c r="I1168">
        <v>12.5</v>
      </c>
      <c r="J1168">
        <v>15.5</v>
      </c>
      <c r="K1168">
        <v>4.63</v>
      </c>
      <c r="L1168">
        <f t="shared" si="180"/>
        <v>0</v>
      </c>
      <c r="M1168">
        <f t="shared" si="181"/>
        <v>0</v>
      </c>
      <c r="N1168">
        <f t="shared" si="182"/>
        <v>0</v>
      </c>
      <c r="O1168">
        <f t="shared" si="183"/>
        <v>0</v>
      </c>
      <c r="P1168">
        <f t="shared" si="184"/>
        <v>0</v>
      </c>
      <c r="Q1168">
        <f t="shared" si="185"/>
        <v>0</v>
      </c>
      <c r="R1168">
        <f t="shared" si="186"/>
        <v>0</v>
      </c>
      <c r="S1168">
        <f t="shared" si="187"/>
        <v>0</v>
      </c>
      <c r="T1168">
        <f t="shared" si="189"/>
        <v>0</v>
      </c>
      <c r="U1168">
        <f t="shared" si="188"/>
        <v>0</v>
      </c>
    </row>
    <row r="1169" spans="1:21" x14ac:dyDescent="0.25">
      <c r="A1169" s="2">
        <v>1168</v>
      </c>
      <c r="B1169" s="39">
        <v>1015</v>
      </c>
      <c r="C1169" s="41" t="s">
        <v>170</v>
      </c>
      <c r="D1169">
        <v>23.85</v>
      </c>
      <c r="E1169" s="80">
        <v>33830.01</v>
      </c>
      <c r="F1169">
        <v>291.39999999999998</v>
      </c>
      <c r="G1169">
        <v>131.97</v>
      </c>
      <c r="H1169">
        <v>2430.3000000000002</v>
      </c>
      <c r="I1169" s="80">
        <v>29131.42</v>
      </c>
      <c r="J1169">
        <v>42.31</v>
      </c>
      <c r="K1169">
        <v>1836.18</v>
      </c>
      <c r="L1169">
        <f t="shared" si="180"/>
        <v>0</v>
      </c>
      <c r="M1169">
        <f t="shared" si="181"/>
        <v>0</v>
      </c>
      <c r="N1169">
        <f t="shared" si="182"/>
        <v>0</v>
      </c>
      <c r="O1169">
        <f t="shared" si="183"/>
        <v>0</v>
      </c>
      <c r="P1169">
        <f t="shared" si="184"/>
        <v>0</v>
      </c>
      <c r="Q1169">
        <f t="shared" si="185"/>
        <v>0</v>
      </c>
      <c r="R1169">
        <f t="shared" si="186"/>
        <v>0</v>
      </c>
      <c r="S1169">
        <f t="shared" si="187"/>
        <v>0</v>
      </c>
      <c r="T1169">
        <f t="shared" si="189"/>
        <v>0</v>
      </c>
      <c r="U1169">
        <f t="shared" si="188"/>
        <v>0</v>
      </c>
    </row>
    <row r="1170" spans="1:21" x14ac:dyDescent="0.25">
      <c r="A1170" s="2">
        <v>1169</v>
      </c>
      <c r="B1170" s="39">
        <v>1015</v>
      </c>
      <c r="C1170" s="41" t="s">
        <v>178</v>
      </c>
      <c r="D1170">
        <v>65.319999999999993</v>
      </c>
      <c r="E1170">
        <v>22502.14</v>
      </c>
      <c r="F1170">
        <v>880.8</v>
      </c>
      <c r="G1170">
        <v>159.61000000000001</v>
      </c>
      <c r="H1170">
        <v>15969.4</v>
      </c>
      <c r="I1170" s="80">
        <v>31236.28</v>
      </c>
      <c r="J1170">
        <v>63.03</v>
      </c>
      <c r="K1170">
        <v>5286.26</v>
      </c>
      <c r="L1170">
        <f t="shared" si="180"/>
        <v>0</v>
      </c>
      <c r="M1170">
        <f t="shared" si="181"/>
        <v>0</v>
      </c>
      <c r="N1170">
        <f t="shared" si="182"/>
        <v>0</v>
      </c>
      <c r="O1170">
        <f t="shared" si="183"/>
        <v>0</v>
      </c>
      <c r="P1170">
        <f t="shared" si="184"/>
        <v>0</v>
      </c>
      <c r="Q1170">
        <f t="shared" si="185"/>
        <v>0</v>
      </c>
      <c r="R1170">
        <f t="shared" si="186"/>
        <v>0</v>
      </c>
      <c r="S1170">
        <f t="shared" si="187"/>
        <v>0</v>
      </c>
      <c r="T1170">
        <f t="shared" si="189"/>
        <v>0</v>
      </c>
      <c r="U1170">
        <f t="shared" si="188"/>
        <v>0</v>
      </c>
    </row>
    <row r="1171" spans="1:21" x14ac:dyDescent="0.25">
      <c r="A1171" s="2">
        <v>1170</v>
      </c>
      <c r="B1171" s="39">
        <v>1015</v>
      </c>
      <c r="C1171" s="41" t="s">
        <v>163</v>
      </c>
      <c r="D1171">
        <v>180.79</v>
      </c>
      <c r="E1171" s="80">
        <v>38518.699999999997</v>
      </c>
      <c r="F1171">
        <v>575.37</v>
      </c>
      <c r="G1171">
        <v>138.75</v>
      </c>
      <c r="H1171">
        <v>8494.57</v>
      </c>
      <c r="I1171" s="80">
        <v>32043.37</v>
      </c>
      <c r="J1171">
        <v>88.28</v>
      </c>
      <c r="K1171" s="80">
        <v>20228.36</v>
      </c>
      <c r="L1171">
        <f t="shared" si="180"/>
        <v>0</v>
      </c>
      <c r="M1171">
        <f t="shared" si="181"/>
        <v>0</v>
      </c>
      <c r="N1171">
        <f t="shared" si="182"/>
        <v>0</v>
      </c>
      <c r="O1171">
        <f t="shared" si="183"/>
        <v>0</v>
      </c>
      <c r="P1171">
        <f t="shared" si="184"/>
        <v>0</v>
      </c>
      <c r="Q1171">
        <f t="shared" si="185"/>
        <v>0</v>
      </c>
      <c r="R1171">
        <f t="shared" si="186"/>
        <v>0</v>
      </c>
      <c r="S1171">
        <f t="shared" si="187"/>
        <v>0</v>
      </c>
      <c r="T1171">
        <f t="shared" si="189"/>
        <v>0</v>
      </c>
      <c r="U1171">
        <f t="shared" si="188"/>
        <v>0</v>
      </c>
    </row>
    <row r="1172" spans="1:21" x14ac:dyDescent="0.25">
      <c r="A1172" s="2">
        <v>1171</v>
      </c>
      <c r="B1172" s="39">
        <v>1015</v>
      </c>
      <c r="C1172" s="41" t="s">
        <v>181</v>
      </c>
      <c r="D1172">
        <v>34.5</v>
      </c>
      <c r="E1172" s="80">
        <v>249895.55</v>
      </c>
      <c r="F1172">
        <v>1.58</v>
      </c>
      <c r="G1172">
        <v>131.97</v>
      </c>
      <c r="H1172">
        <v>133.1</v>
      </c>
      <c r="I1172" s="80">
        <v>4865.99</v>
      </c>
      <c r="J1172">
        <v>49.03</v>
      </c>
      <c r="K1172">
        <v>262.61</v>
      </c>
      <c r="L1172">
        <f t="shared" si="180"/>
        <v>0</v>
      </c>
      <c r="M1172">
        <f t="shared" si="181"/>
        <v>0</v>
      </c>
      <c r="N1172">
        <f t="shared" si="182"/>
        <v>0</v>
      </c>
      <c r="O1172">
        <f t="shared" si="183"/>
        <v>0</v>
      </c>
      <c r="P1172">
        <f t="shared" si="184"/>
        <v>0</v>
      </c>
      <c r="Q1172">
        <f t="shared" si="185"/>
        <v>0</v>
      </c>
      <c r="R1172">
        <f t="shared" si="186"/>
        <v>0</v>
      </c>
      <c r="S1172">
        <f t="shared" si="187"/>
        <v>0</v>
      </c>
      <c r="T1172">
        <f t="shared" si="189"/>
        <v>0</v>
      </c>
      <c r="U1172">
        <f t="shared" si="188"/>
        <v>0</v>
      </c>
    </row>
    <row r="1173" spans="1:21" ht="15.75" thickBot="1" x14ac:dyDescent="0.3">
      <c r="A1173" s="2">
        <v>1172</v>
      </c>
      <c r="B1173" s="39">
        <v>1015</v>
      </c>
      <c r="C1173" s="41" t="s">
        <v>183</v>
      </c>
      <c r="D1173">
        <v>45.87</v>
      </c>
      <c r="E1173" s="80">
        <v>132588.1</v>
      </c>
      <c r="F1173">
        <v>1056.8599999999999</v>
      </c>
      <c r="G1173">
        <v>249.89</v>
      </c>
      <c r="H1173">
        <v>3873.51</v>
      </c>
      <c r="I1173" s="80">
        <v>36150.769999999997</v>
      </c>
      <c r="J1173">
        <v>97.57</v>
      </c>
      <c r="K1173" s="80">
        <v>14089.16</v>
      </c>
      <c r="L1173">
        <f t="shared" si="180"/>
        <v>0</v>
      </c>
      <c r="M1173">
        <f t="shared" si="181"/>
        <v>0</v>
      </c>
      <c r="N1173">
        <f t="shared" si="182"/>
        <v>0</v>
      </c>
      <c r="O1173">
        <f t="shared" si="183"/>
        <v>0</v>
      </c>
      <c r="P1173">
        <f t="shared" si="184"/>
        <v>0</v>
      </c>
      <c r="Q1173">
        <f t="shared" si="185"/>
        <v>0</v>
      </c>
      <c r="R1173">
        <f t="shared" si="186"/>
        <v>0</v>
      </c>
      <c r="S1173">
        <f t="shared" si="187"/>
        <v>0</v>
      </c>
      <c r="T1173">
        <f t="shared" si="189"/>
        <v>0</v>
      </c>
      <c r="U1173">
        <f t="shared" si="188"/>
        <v>0</v>
      </c>
    </row>
    <row r="1174" spans="1:21" x14ac:dyDescent="0.25">
      <c r="A1174" s="92">
        <v>1173</v>
      </c>
      <c r="B1174" s="39">
        <v>1015</v>
      </c>
      <c r="C1174" s="40" t="s">
        <v>186</v>
      </c>
      <c r="D1174">
        <v>48.22</v>
      </c>
      <c r="E1174" s="80">
        <v>117348.5</v>
      </c>
      <c r="F1174" s="89" t="s">
        <v>582</v>
      </c>
      <c r="G1174">
        <v>332.39</v>
      </c>
      <c r="H1174" s="80">
        <v>18641.12</v>
      </c>
      <c r="I1174" s="80">
        <v>39779.17</v>
      </c>
      <c r="J1174">
        <v>113.45</v>
      </c>
      <c r="K1174" s="80">
        <v>23043.93</v>
      </c>
      <c r="L1174">
        <f t="shared" si="180"/>
        <v>0</v>
      </c>
      <c r="M1174">
        <f t="shared" si="181"/>
        <v>0</v>
      </c>
      <c r="N1174">
        <f t="shared" si="182"/>
        <v>1</v>
      </c>
      <c r="O1174">
        <f t="shared" si="183"/>
        <v>0</v>
      </c>
      <c r="P1174">
        <f t="shared" si="184"/>
        <v>0</v>
      </c>
      <c r="Q1174">
        <f t="shared" si="185"/>
        <v>0</v>
      </c>
      <c r="R1174">
        <f t="shared" si="186"/>
        <v>0</v>
      </c>
      <c r="S1174">
        <f t="shared" si="187"/>
        <v>0</v>
      </c>
      <c r="T1174">
        <f t="shared" si="189"/>
        <v>1</v>
      </c>
      <c r="U1174">
        <f t="shared" si="188"/>
        <v>1</v>
      </c>
    </row>
    <row r="1175" spans="1:21" x14ac:dyDescent="0.25">
      <c r="A1175" s="2">
        <v>1174</v>
      </c>
      <c r="B1175" s="39">
        <v>1015</v>
      </c>
      <c r="C1175" s="41" t="s">
        <v>188</v>
      </c>
      <c r="D1175">
        <v>56.63</v>
      </c>
      <c r="E1175" s="80">
        <v>152156.26999999999</v>
      </c>
      <c r="F1175">
        <v>1514.52</v>
      </c>
      <c r="G1175">
        <v>332.39</v>
      </c>
      <c r="H1175" s="80">
        <v>17123.27</v>
      </c>
      <c r="I1175" s="80">
        <v>35258.589999999997</v>
      </c>
      <c r="J1175">
        <v>143.16</v>
      </c>
      <c r="K1175" s="80">
        <v>30186.03</v>
      </c>
      <c r="L1175">
        <f t="shared" si="180"/>
        <v>0</v>
      </c>
      <c r="M1175">
        <f t="shared" si="181"/>
        <v>0</v>
      </c>
      <c r="N1175">
        <f t="shared" si="182"/>
        <v>0</v>
      </c>
      <c r="O1175">
        <f t="shared" si="183"/>
        <v>0</v>
      </c>
      <c r="P1175">
        <f t="shared" si="184"/>
        <v>0</v>
      </c>
      <c r="Q1175">
        <f t="shared" si="185"/>
        <v>0</v>
      </c>
      <c r="R1175">
        <f t="shared" si="186"/>
        <v>0</v>
      </c>
      <c r="S1175">
        <f t="shared" si="187"/>
        <v>0</v>
      </c>
      <c r="T1175">
        <f t="shared" si="189"/>
        <v>0</v>
      </c>
      <c r="U1175">
        <f t="shared" si="188"/>
        <v>0</v>
      </c>
    </row>
    <row r="1176" spans="1:21" x14ac:dyDescent="0.25">
      <c r="A1176" s="2">
        <v>1175</v>
      </c>
      <c r="B1176" s="39">
        <v>1015</v>
      </c>
      <c r="C1176" s="41" t="s">
        <v>182</v>
      </c>
      <c r="D1176" t="s">
        <v>583</v>
      </c>
      <c r="E1176">
        <v>578.54999999999995</v>
      </c>
      <c r="F1176">
        <v>0.27</v>
      </c>
      <c r="G1176">
        <v>19.329999999999998</v>
      </c>
      <c r="H1176" t="s">
        <v>583</v>
      </c>
      <c r="I1176">
        <v>5.09</v>
      </c>
      <c r="J1176" t="s">
        <v>583</v>
      </c>
      <c r="K1176" s="80">
        <v>0.01</v>
      </c>
      <c r="L1176">
        <f t="shared" si="180"/>
        <v>0</v>
      </c>
      <c r="M1176">
        <f t="shared" si="181"/>
        <v>0</v>
      </c>
      <c r="N1176">
        <f t="shared" si="182"/>
        <v>0</v>
      </c>
      <c r="O1176">
        <f t="shared" si="183"/>
        <v>0</v>
      </c>
      <c r="P1176">
        <f t="shared" si="184"/>
        <v>0</v>
      </c>
      <c r="Q1176">
        <f t="shared" si="185"/>
        <v>0</v>
      </c>
      <c r="R1176">
        <f t="shared" si="186"/>
        <v>0</v>
      </c>
      <c r="S1176">
        <f t="shared" si="187"/>
        <v>0</v>
      </c>
      <c r="T1176">
        <f t="shared" si="189"/>
        <v>0</v>
      </c>
      <c r="U1176">
        <f t="shared" si="188"/>
        <v>0</v>
      </c>
    </row>
    <row r="1177" spans="1:21" x14ac:dyDescent="0.25">
      <c r="A1177" s="2">
        <v>1176</v>
      </c>
      <c r="B1177" s="39">
        <v>1015</v>
      </c>
      <c r="C1177" s="41" t="s">
        <v>184</v>
      </c>
      <c r="D1177">
        <v>19.84</v>
      </c>
      <c r="E1177">
        <v>7556.31</v>
      </c>
      <c r="F1177">
        <v>47.27</v>
      </c>
      <c r="G1177">
        <v>58.21</v>
      </c>
      <c r="H1177">
        <v>1406.55</v>
      </c>
      <c r="I1177" s="80">
        <v>19943.86</v>
      </c>
      <c r="J1177">
        <v>22.28</v>
      </c>
      <c r="K1177">
        <v>1996.69</v>
      </c>
      <c r="L1177">
        <f t="shared" si="180"/>
        <v>0</v>
      </c>
      <c r="M1177">
        <f t="shared" si="181"/>
        <v>0</v>
      </c>
      <c r="N1177">
        <f t="shared" si="182"/>
        <v>0</v>
      </c>
      <c r="O1177">
        <f t="shared" si="183"/>
        <v>0</v>
      </c>
      <c r="P1177">
        <f t="shared" si="184"/>
        <v>0</v>
      </c>
      <c r="Q1177">
        <f t="shared" si="185"/>
        <v>0</v>
      </c>
      <c r="R1177">
        <f t="shared" si="186"/>
        <v>0</v>
      </c>
      <c r="S1177">
        <f t="shared" si="187"/>
        <v>0</v>
      </c>
      <c r="T1177">
        <f t="shared" si="189"/>
        <v>0</v>
      </c>
      <c r="U1177">
        <f t="shared" si="188"/>
        <v>0</v>
      </c>
    </row>
    <row r="1178" spans="1:21" x14ac:dyDescent="0.25">
      <c r="A1178" s="2">
        <v>1177</v>
      </c>
      <c r="B1178" s="39">
        <v>1015</v>
      </c>
      <c r="C1178" s="41" t="s">
        <v>187</v>
      </c>
      <c r="D1178">
        <v>196.6</v>
      </c>
      <c r="E1178">
        <v>7658.97</v>
      </c>
      <c r="F1178">
        <v>53.75</v>
      </c>
      <c r="G1178">
        <v>105.73</v>
      </c>
      <c r="H1178">
        <v>9128.17</v>
      </c>
      <c r="I1178" s="80">
        <v>20607.5</v>
      </c>
      <c r="J1178">
        <v>55.95</v>
      </c>
      <c r="K1178">
        <v>5546.69</v>
      </c>
      <c r="L1178">
        <f t="shared" si="180"/>
        <v>0</v>
      </c>
      <c r="M1178">
        <f t="shared" si="181"/>
        <v>0</v>
      </c>
      <c r="N1178">
        <f t="shared" si="182"/>
        <v>0</v>
      </c>
      <c r="O1178">
        <f t="shared" si="183"/>
        <v>0</v>
      </c>
      <c r="P1178">
        <f t="shared" si="184"/>
        <v>0</v>
      </c>
      <c r="Q1178">
        <f t="shared" si="185"/>
        <v>0</v>
      </c>
      <c r="R1178">
        <f t="shared" si="186"/>
        <v>0</v>
      </c>
      <c r="S1178">
        <f t="shared" si="187"/>
        <v>0</v>
      </c>
      <c r="T1178">
        <f t="shared" si="189"/>
        <v>0</v>
      </c>
      <c r="U1178">
        <f t="shared" si="188"/>
        <v>0</v>
      </c>
    </row>
    <row r="1179" spans="1:21" x14ac:dyDescent="0.25">
      <c r="A1179" s="2">
        <v>1178</v>
      </c>
      <c r="B1179" s="39">
        <v>1015</v>
      </c>
      <c r="C1179" s="41" t="s">
        <v>189</v>
      </c>
      <c r="D1179" t="s">
        <v>583</v>
      </c>
      <c r="E1179">
        <v>1644.56</v>
      </c>
      <c r="F1179">
        <v>0.12</v>
      </c>
      <c r="G1179" s="80">
        <v>8.08</v>
      </c>
      <c r="H1179">
        <v>1.78</v>
      </c>
      <c r="I1179">
        <v>6.6</v>
      </c>
      <c r="J1179">
        <v>3.78</v>
      </c>
      <c r="K1179">
        <v>7.49</v>
      </c>
      <c r="L1179">
        <f t="shared" si="180"/>
        <v>0</v>
      </c>
      <c r="M1179">
        <f t="shared" si="181"/>
        <v>0</v>
      </c>
      <c r="N1179">
        <f t="shared" si="182"/>
        <v>0</v>
      </c>
      <c r="O1179">
        <f t="shared" si="183"/>
        <v>0</v>
      </c>
      <c r="P1179">
        <f t="shared" si="184"/>
        <v>0</v>
      </c>
      <c r="Q1179">
        <f t="shared" si="185"/>
        <v>0</v>
      </c>
      <c r="R1179">
        <f t="shared" si="186"/>
        <v>0</v>
      </c>
      <c r="S1179">
        <f t="shared" si="187"/>
        <v>0</v>
      </c>
      <c r="T1179">
        <f t="shared" si="189"/>
        <v>0</v>
      </c>
      <c r="U1179">
        <f t="shared" si="188"/>
        <v>0</v>
      </c>
    </row>
    <row r="1180" spans="1:21" x14ac:dyDescent="0.25">
      <c r="A1180" s="2">
        <v>1179</v>
      </c>
      <c r="B1180" s="39">
        <v>2011</v>
      </c>
      <c r="C1180" s="46" t="s">
        <v>162</v>
      </c>
      <c r="D1180">
        <v>19.84</v>
      </c>
      <c r="E1180">
        <v>11986.4</v>
      </c>
      <c r="F1180">
        <v>0.84</v>
      </c>
      <c r="G1180">
        <v>37.450000000000003</v>
      </c>
      <c r="H1180">
        <v>253.11</v>
      </c>
      <c r="I1180">
        <v>1476.2</v>
      </c>
      <c r="J1180">
        <v>24.64</v>
      </c>
      <c r="K1180">
        <v>2001.66</v>
      </c>
      <c r="L1180">
        <f t="shared" si="180"/>
        <v>0</v>
      </c>
      <c r="M1180">
        <f t="shared" si="181"/>
        <v>0</v>
      </c>
      <c r="N1180">
        <f t="shared" si="182"/>
        <v>0</v>
      </c>
      <c r="O1180">
        <f t="shared" si="183"/>
        <v>0</v>
      </c>
      <c r="P1180">
        <f t="shared" si="184"/>
        <v>0</v>
      </c>
      <c r="Q1180">
        <f t="shared" si="185"/>
        <v>0</v>
      </c>
      <c r="R1180">
        <f t="shared" si="186"/>
        <v>0</v>
      </c>
      <c r="S1180">
        <f t="shared" si="187"/>
        <v>0</v>
      </c>
      <c r="T1180">
        <f t="shared" si="189"/>
        <v>0</v>
      </c>
      <c r="U1180">
        <f t="shared" si="188"/>
        <v>0</v>
      </c>
    </row>
    <row r="1181" spans="1:21" x14ac:dyDescent="0.25">
      <c r="A1181" s="2">
        <v>1180</v>
      </c>
      <c r="B1181" s="39">
        <v>2011</v>
      </c>
      <c r="C1181" s="41" t="s">
        <v>170</v>
      </c>
      <c r="D1181">
        <v>110.76</v>
      </c>
      <c r="E1181" s="80">
        <v>27686.18</v>
      </c>
      <c r="F1181">
        <v>73.459999999999994</v>
      </c>
      <c r="G1181">
        <v>93.19</v>
      </c>
      <c r="H1181">
        <v>5161.6000000000004</v>
      </c>
      <c r="I1181" s="80">
        <v>19536.04</v>
      </c>
      <c r="J1181">
        <v>39.67</v>
      </c>
      <c r="K1181">
        <v>2810.9</v>
      </c>
      <c r="L1181">
        <f t="shared" si="180"/>
        <v>0</v>
      </c>
      <c r="M1181">
        <f t="shared" si="181"/>
        <v>0</v>
      </c>
      <c r="N1181">
        <f t="shared" si="182"/>
        <v>0</v>
      </c>
      <c r="O1181">
        <f t="shared" si="183"/>
        <v>0</v>
      </c>
      <c r="P1181">
        <f t="shared" si="184"/>
        <v>0</v>
      </c>
      <c r="Q1181">
        <f t="shared" si="185"/>
        <v>0</v>
      </c>
      <c r="R1181">
        <f t="shared" si="186"/>
        <v>0</v>
      </c>
      <c r="S1181">
        <f t="shared" si="187"/>
        <v>0</v>
      </c>
      <c r="T1181">
        <f t="shared" si="189"/>
        <v>0</v>
      </c>
      <c r="U1181">
        <f t="shared" si="188"/>
        <v>0</v>
      </c>
    </row>
    <row r="1182" spans="1:21" x14ac:dyDescent="0.25">
      <c r="A1182" s="2">
        <v>1181</v>
      </c>
      <c r="B1182" s="39">
        <v>2011</v>
      </c>
      <c r="C1182" s="41" t="s">
        <v>178</v>
      </c>
      <c r="D1182">
        <v>274.63</v>
      </c>
      <c r="E1182">
        <v>21082.28</v>
      </c>
      <c r="F1182">
        <v>606.33000000000004</v>
      </c>
      <c r="G1182">
        <v>118.66</v>
      </c>
      <c r="H1182" s="80">
        <v>27035.94</v>
      </c>
      <c r="I1182" s="80">
        <v>26063.59</v>
      </c>
      <c r="J1182">
        <v>54.55</v>
      </c>
      <c r="K1182">
        <v>4777.5200000000004</v>
      </c>
      <c r="L1182">
        <f t="shared" si="180"/>
        <v>0</v>
      </c>
      <c r="M1182">
        <f t="shared" si="181"/>
        <v>0</v>
      </c>
      <c r="N1182">
        <f t="shared" si="182"/>
        <v>0</v>
      </c>
      <c r="O1182">
        <f t="shared" si="183"/>
        <v>0</v>
      </c>
      <c r="P1182">
        <f t="shared" si="184"/>
        <v>0</v>
      </c>
      <c r="Q1182">
        <f t="shared" si="185"/>
        <v>0</v>
      </c>
      <c r="R1182">
        <f t="shared" si="186"/>
        <v>0</v>
      </c>
      <c r="S1182">
        <f t="shared" si="187"/>
        <v>0</v>
      </c>
      <c r="T1182">
        <f t="shared" si="189"/>
        <v>0</v>
      </c>
      <c r="U1182">
        <f t="shared" si="188"/>
        <v>0</v>
      </c>
    </row>
    <row r="1183" spans="1:21" x14ac:dyDescent="0.25">
      <c r="A1183" s="2">
        <v>1182</v>
      </c>
      <c r="B1183" s="39">
        <v>2011</v>
      </c>
      <c r="C1183" s="41" t="s">
        <v>163</v>
      </c>
      <c r="D1183">
        <v>1275.82</v>
      </c>
      <c r="E1183">
        <v>22398.25</v>
      </c>
      <c r="F1183">
        <v>133.71</v>
      </c>
      <c r="G1183">
        <v>131.97</v>
      </c>
      <c r="H1183">
        <v>6513.09</v>
      </c>
      <c r="I1183" s="80">
        <v>23926.15</v>
      </c>
      <c r="J1183">
        <v>82.19</v>
      </c>
      <c r="K1183" s="80">
        <v>16003.13</v>
      </c>
      <c r="L1183">
        <f t="shared" si="180"/>
        <v>0</v>
      </c>
      <c r="M1183">
        <f t="shared" si="181"/>
        <v>0</v>
      </c>
      <c r="N1183">
        <f t="shared" si="182"/>
        <v>0</v>
      </c>
      <c r="O1183">
        <f t="shared" si="183"/>
        <v>0</v>
      </c>
      <c r="P1183">
        <f t="shared" si="184"/>
        <v>0</v>
      </c>
      <c r="Q1183">
        <f t="shared" si="185"/>
        <v>0</v>
      </c>
      <c r="R1183">
        <f t="shared" si="186"/>
        <v>0</v>
      </c>
      <c r="S1183">
        <f t="shared" si="187"/>
        <v>0</v>
      </c>
      <c r="T1183">
        <f t="shared" si="189"/>
        <v>0</v>
      </c>
      <c r="U1183">
        <f t="shared" si="188"/>
        <v>0</v>
      </c>
    </row>
    <row r="1184" spans="1:21" x14ac:dyDescent="0.25">
      <c r="A1184" s="2">
        <v>1183</v>
      </c>
      <c r="B1184" s="39">
        <v>2011</v>
      </c>
      <c r="C1184" s="41" t="s">
        <v>181</v>
      </c>
      <c r="D1184">
        <v>16.93</v>
      </c>
      <c r="E1184" s="80">
        <v>40505.040000000001</v>
      </c>
      <c r="F1184">
        <v>1.28</v>
      </c>
      <c r="G1184">
        <v>58.21</v>
      </c>
      <c r="H1184">
        <v>413.05</v>
      </c>
      <c r="I1184">
        <v>2075.4299999999998</v>
      </c>
      <c r="J1184">
        <v>34.51</v>
      </c>
      <c r="K1184">
        <v>2061.66</v>
      </c>
      <c r="L1184">
        <f t="shared" si="180"/>
        <v>0</v>
      </c>
      <c r="M1184">
        <f t="shared" si="181"/>
        <v>0</v>
      </c>
      <c r="N1184">
        <f t="shared" si="182"/>
        <v>0</v>
      </c>
      <c r="O1184">
        <f t="shared" si="183"/>
        <v>0</v>
      </c>
      <c r="P1184">
        <f t="shared" si="184"/>
        <v>0</v>
      </c>
      <c r="Q1184">
        <f t="shared" si="185"/>
        <v>0</v>
      </c>
      <c r="R1184">
        <f t="shared" si="186"/>
        <v>0</v>
      </c>
      <c r="S1184">
        <f t="shared" si="187"/>
        <v>0</v>
      </c>
      <c r="T1184">
        <f t="shared" si="189"/>
        <v>0</v>
      </c>
      <c r="U1184">
        <f t="shared" si="188"/>
        <v>0</v>
      </c>
    </row>
    <row r="1185" spans="1:21" ht="15.75" thickBot="1" x14ac:dyDescent="0.3">
      <c r="A1185" s="2">
        <v>1184</v>
      </c>
      <c r="B1185" s="39">
        <v>2011</v>
      </c>
      <c r="C1185" s="41" t="s">
        <v>183</v>
      </c>
      <c r="D1185">
        <v>21.83</v>
      </c>
      <c r="E1185">
        <v>21355.4</v>
      </c>
      <c r="F1185">
        <v>272.81</v>
      </c>
      <c r="G1185">
        <v>145.62</v>
      </c>
      <c r="H1185">
        <v>11916.89</v>
      </c>
      <c r="I1185" s="80">
        <v>29319.34</v>
      </c>
      <c r="J1185">
        <v>61.6</v>
      </c>
      <c r="K1185" s="80">
        <v>8518.3700000000008</v>
      </c>
      <c r="L1185">
        <f t="shared" si="180"/>
        <v>0</v>
      </c>
      <c r="M1185">
        <f t="shared" si="181"/>
        <v>0</v>
      </c>
      <c r="N1185">
        <f t="shared" si="182"/>
        <v>0</v>
      </c>
      <c r="O1185">
        <f t="shared" si="183"/>
        <v>0</v>
      </c>
      <c r="P1185">
        <f t="shared" si="184"/>
        <v>0</v>
      </c>
      <c r="Q1185">
        <f t="shared" si="185"/>
        <v>0</v>
      </c>
      <c r="R1185">
        <f t="shared" si="186"/>
        <v>0</v>
      </c>
      <c r="S1185">
        <f t="shared" si="187"/>
        <v>0</v>
      </c>
      <c r="T1185">
        <f t="shared" si="189"/>
        <v>0</v>
      </c>
      <c r="U1185">
        <f t="shared" si="188"/>
        <v>0</v>
      </c>
    </row>
    <row r="1186" spans="1:21" x14ac:dyDescent="0.25">
      <c r="A1186" s="2">
        <v>1185</v>
      </c>
      <c r="B1186" s="39">
        <v>2011</v>
      </c>
      <c r="C1186" s="40" t="s">
        <v>186</v>
      </c>
      <c r="D1186">
        <v>25.92</v>
      </c>
      <c r="E1186">
        <v>16065.13</v>
      </c>
      <c r="F1186">
        <v>427.05</v>
      </c>
      <c r="G1186">
        <v>181.19</v>
      </c>
      <c r="H1186" s="80">
        <v>27887.09</v>
      </c>
      <c r="I1186" s="80">
        <v>30353.74</v>
      </c>
      <c r="J1186">
        <v>67.36</v>
      </c>
      <c r="K1186" s="80">
        <v>11173.15</v>
      </c>
      <c r="L1186">
        <f t="shared" si="180"/>
        <v>0</v>
      </c>
      <c r="M1186">
        <f t="shared" si="181"/>
        <v>0</v>
      </c>
      <c r="N1186">
        <f t="shared" si="182"/>
        <v>0</v>
      </c>
      <c r="O1186">
        <f t="shared" si="183"/>
        <v>0</v>
      </c>
      <c r="P1186">
        <f t="shared" si="184"/>
        <v>0</v>
      </c>
      <c r="Q1186">
        <f t="shared" si="185"/>
        <v>0</v>
      </c>
      <c r="R1186">
        <f t="shared" si="186"/>
        <v>0</v>
      </c>
      <c r="S1186">
        <f t="shared" si="187"/>
        <v>0</v>
      </c>
      <c r="T1186">
        <f t="shared" si="189"/>
        <v>0</v>
      </c>
      <c r="U1186">
        <f t="shared" si="188"/>
        <v>0</v>
      </c>
    </row>
    <row r="1187" spans="1:21" x14ac:dyDescent="0.25">
      <c r="A1187" s="2">
        <v>1186</v>
      </c>
      <c r="B1187" s="39">
        <v>2011</v>
      </c>
      <c r="C1187" s="41" t="s">
        <v>188</v>
      </c>
      <c r="D1187">
        <v>30.15</v>
      </c>
      <c r="E1187" s="80">
        <v>30703.21</v>
      </c>
      <c r="F1187">
        <v>127.76</v>
      </c>
      <c r="G1187">
        <v>145.62</v>
      </c>
      <c r="H1187">
        <v>6741.2</v>
      </c>
      <c r="I1187" s="80">
        <v>25792.77</v>
      </c>
      <c r="J1187">
        <v>76.19</v>
      </c>
      <c r="K1187" s="80">
        <v>15848.25</v>
      </c>
      <c r="L1187">
        <f t="shared" si="180"/>
        <v>0</v>
      </c>
      <c r="M1187">
        <f t="shared" si="181"/>
        <v>0</v>
      </c>
      <c r="N1187">
        <f t="shared" si="182"/>
        <v>0</v>
      </c>
      <c r="O1187">
        <f t="shared" si="183"/>
        <v>0</v>
      </c>
      <c r="P1187">
        <f t="shared" si="184"/>
        <v>0</v>
      </c>
      <c r="Q1187">
        <f t="shared" si="185"/>
        <v>0</v>
      </c>
      <c r="R1187">
        <f t="shared" si="186"/>
        <v>0</v>
      </c>
      <c r="S1187">
        <f t="shared" si="187"/>
        <v>0</v>
      </c>
      <c r="T1187">
        <f t="shared" si="189"/>
        <v>0</v>
      </c>
      <c r="U1187">
        <f t="shared" si="188"/>
        <v>0</v>
      </c>
    </row>
    <row r="1188" spans="1:21" x14ac:dyDescent="0.25">
      <c r="A1188" s="2">
        <v>1187</v>
      </c>
      <c r="B1188" s="39">
        <v>2011</v>
      </c>
      <c r="C1188" s="41" t="s">
        <v>182</v>
      </c>
      <c r="D1188" t="s">
        <v>583</v>
      </c>
      <c r="E1188">
        <v>843.53</v>
      </c>
      <c r="F1188">
        <v>0.27</v>
      </c>
      <c r="G1188" s="80">
        <v>4.96</v>
      </c>
      <c r="H1188">
        <v>5.43</v>
      </c>
      <c r="I1188">
        <v>270.29000000000002</v>
      </c>
      <c r="J1188">
        <v>2.21</v>
      </c>
      <c r="K1188">
        <v>3.34</v>
      </c>
      <c r="L1188">
        <f t="shared" si="180"/>
        <v>0</v>
      </c>
      <c r="M1188">
        <f t="shared" si="181"/>
        <v>0</v>
      </c>
      <c r="N1188">
        <f t="shared" si="182"/>
        <v>0</v>
      </c>
      <c r="O1188">
        <f t="shared" si="183"/>
        <v>0</v>
      </c>
      <c r="P1188">
        <f t="shared" si="184"/>
        <v>0</v>
      </c>
      <c r="Q1188">
        <f t="shared" si="185"/>
        <v>0</v>
      </c>
      <c r="R1188">
        <f t="shared" si="186"/>
        <v>0</v>
      </c>
      <c r="S1188">
        <f t="shared" si="187"/>
        <v>0</v>
      </c>
      <c r="T1188">
        <f t="shared" si="189"/>
        <v>0</v>
      </c>
      <c r="U1188">
        <f t="shared" si="188"/>
        <v>0</v>
      </c>
    </row>
    <row r="1189" spans="1:21" x14ac:dyDescent="0.25">
      <c r="A1189" s="2">
        <v>1188</v>
      </c>
      <c r="B1189" s="39">
        <v>2011</v>
      </c>
      <c r="C1189" s="41" t="s">
        <v>184</v>
      </c>
      <c r="D1189">
        <v>29.08</v>
      </c>
      <c r="E1189">
        <v>6863.53</v>
      </c>
      <c r="F1189">
        <v>52.57</v>
      </c>
      <c r="G1189">
        <v>112.15</v>
      </c>
      <c r="H1189">
        <v>11533.58</v>
      </c>
      <c r="I1189" s="80">
        <v>22794.55</v>
      </c>
      <c r="J1189">
        <v>27.04</v>
      </c>
      <c r="K1189">
        <v>2287.73</v>
      </c>
      <c r="L1189">
        <f t="shared" si="180"/>
        <v>0</v>
      </c>
      <c r="M1189">
        <f t="shared" si="181"/>
        <v>0</v>
      </c>
      <c r="N1189">
        <f t="shared" si="182"/>
        <v>0</v>
      </c>
      <c r="O1189">
        <f t="shared" si="183"/>
        <v>0</v>
      </c>
      <c r="P1189">
        <f t="shared" si="184"/>
        <v>0</v>
      </c>
      <c r="Q1189">
        <f t="shared" si="185"/>
        <v>0</v>
      </c>
      <c r="R1189">
        <f t="shared" si="186"/>
        <v>0</v>
      </c>
      <c r="S1189">
        <f t="shared" si="187"/>
        <v>0</v>
      </c>
      <c r="T1189">
        <f t="shared" si="189"/>
        <v>0</v>
      </c>
      <c r="U1189">
        <f t="shared" si="188"/>
        <v>0</v>
      </c>
    </row>
    <row r="1190" spans="1:21" x14ac:dyDescent="0.25">
      <c r="A1190" s="2">
        <v>1189</v>
      </c>
      <c r="B1190" s="39">
        <v>2011</v>
      </c>
      <c r="C1190" s="41" t="s">
        <v>187</v>
      </c>
      <c r="D1190">
        <v>356.37</v>
      </c>
      <c r="E1190">
        <v>6285.2</v>
      </c>
      <c r="F1190">
        <v>29.23</v>
      </c>
      <c r="G1190">
        <v>105.73</v>
      </c>
      <c r="H1190" s="80">
        <v>24715.4</v>
      </c>
      <c r="I1190" s="80">
        <v>21965.38</v>
      </c>
      <c r="J1190">
        <v>51.78</v>
      </c>
      <c r="K1190">
        <v>5164.1099999999997</v>
      </c>
      <c r="L1190">
        <f t="shared" si="180"/>
        <v>0</v>
      </c>
      <c r="M1190">
        <f t="shared" si="181"/>
        <v>0</v>
      </c>
      <c r="N1190">
        <f t="shared" si="182"/>
        <v>0</v>
      </c>
      <c r="O1190">
        <f t="shared" si="183"/>
        <v>0</v>
      </c>
      <c r="P1190">
        <f t="shared" si="184"/>
        <v>0</v>
      </c>
      <c r="Q1190">
        <f t="shared" si="185"/>
        <v>0</v>
      </c>
      <c r="R1190">
        <f t="shared" si="186"/>
        <v>0</v>
      </c>
      <c r="S1190">
        <f t="shared" si="187"/>
        <v>0</v>
      </c>
      <c r="T1190">
        <f t="shared" si="189"/>
        <v>0</v>
      </c>
      <c r="U1190">
        <f t="shared" si="188"/>
        <v>0</v>
      </c>
    </row>
    <row r="1191" spans="1:21" x14ac:dyDescent="0.25">
      <c r="A1191" s="2">
        <v>1190</v>
      </c>
      <c r="B1191" s="39">
        <v>2011</v>
      </c>
      <c r="C1191" s="41" t="s">
        <v>189</v>
      </c>
      <c r="D1191">
        <v>320.22000000000003</v>
      </c>
      <c r="E1191">
        <v>4106.9399999999996</v>
      </c>
      <c r="F1191">
        <v>0.76</v>
      </c>
      <c r="G1191">
        <v>93.19</v>
      </c>
      <c r="H1191">
        <v>11396.41</v>
      </c>
      <c r="I1191" s="80">
        <v>6316.89</v>
      </c>
      <c r="J1191">
        <v>29.49</v>
      </c>
      <c r="K1191">
        <v>3898.83</v>
      </c>
      <c r="L1191">
        <f t="shared" si="180"/>
        <v>0</v>
      </c>
      <c r="M1191">
        <f t="shared" si="181"/>
        <v>0</v>
      </c>
      <c r="N1191">
        <f t="shared" si="182"/>
        <v>0</v>
      </c>
      <c r="O1191">
        <f t="shared" si="183"/>
        <v>0</v>
      </c>
      <c r="P1191">
        <f t="shared" si="184"/>
        <v>0</v>
      </c>
      <c r="Q1191">
        <f t="shared" si="185"/>
        <v>0</v>
      </c>
      <c r="R1191">
        <f t="shared" si="186"/>
        <v>0</v>
      </c>
      <c r="S1191">
        <f t="shared" si="187"/>
        <v>0</v>
      </c>
      <c r="T1191">
        <f t="shared" si="189"/>
        <v>0</v>
      </c>
      <c r="U1191">
        <f t="shared" si="188"/>
        <v>0</v>
      </c>
    </row>
    <row r="1192" spans="1:21" x14ac:dyDescent="0.25">
      <c r="A1192" s="2">
        <v>1191</v>
      </c>
      <c r="B1192" s="39">
        <v>2012</v>
      </c>
      <c r="C1192" s="46" t="s">
        <v>162</v>
      </c>
      <c r="D1192">
        <v>3.43</v>
      </c>
      <c r="E1192">
        <v>14394.04</v>
      </c>
      <c r="F1192">
        <v>0.4</v>
      </c>
      <c r="G1192">
        <v>23.57</v>
      </c>
      <c r="H1192">
        <v>0.71</v>
      </c>
      <c r="I1192">
        <v>2.0499999999999998</v>
      </c>
      <c r="J1192">
        <v>10.25</v>
      </c>
      <c r="K1192">
        <v>2.16</v>
      </c>
      <c r="L1192">
        <f t="shared" si="180"/>
        <v>0</v>
      </c>
      <c r="M1192">
        <f t="shared" si="181"/>
        <v>0</v>
      </c>
      <c r="N1192">
        <f t="shared" si="182"/>
        <v>0</v>
      </c>
      <c r="O1192">
        <f t="shared" si="183"/>
        <v>0</v>
      </c>
      <c r="P1192">
        <f t="shared" si="184"/>
        <v>0</v>
      </c>
      <c r="Q1192">
        <f t="shared" si="185"/>
        <v>0</v>
      </c>
      <c r="R1192">
        <f t="shared" si="186"/>
        <v>0</v>
      </c>
      <c r="S1192">
        <f t="shared" si="187"/>
        <v>0</v>
      </c>
      <c r="T1192">
        <f t="shared" si="189"/>
        <v>0</v>
      </c>
      <c r="U1192">
        <f t="shared" si="188"/>
        <v>0</v>
      </c>
    </row>
    <row r="1193" spans="1:21" x14ac:dyDescent="0.25">
      <c r="A1193" s="2">
        <v>1192</v>
      </c>
      <c r="B1193" s="39">
        <v>2012</v>
      </c>
      <c r="C1193" s="41" t="s">
        <v>170</v>
      </c>
      <c r="D1193">
        <v>57.86</v>
      </c>
      <c r="E1193">
        <v>23752.41</v>
      </c>
      <c r="F1193">
        <v>76.87</v>
      </c>
      <c r="G1193">
        <v>75.180000000000007</v>
      </c>
      <c r="H1193">
        <v>3176.59</v>
      </c>
      <c r="I1193" s="80">
        <v>15146.38</v>
      </c>
      <c r="J1193">
        <v>34.51</v>
      </c>
      <c r="K1193">
        <v>641.79</v>
      </c>
      <c r="L1193">
        <f t="shared" si="180"/>
        <v>0</v>
      </c>
      <c r="M1193">
        <f t="shared" si="181"/>
        <v>0</v>
      </c>
      <c r="N1193">
        <f t="shared" si="182"/>
        <v>0</v>
      </c>
      <c r="O1193">
        <f t="shared" si="183"/>
        <v>0</v>
      </c>
      <c r="P1193">
        <f t="shared" si="184"/>
        <v>0</v>
      </c>
      <c r="Q1193">
        <f t="shared" si="185"/>
        <v>0</v>
      </c>
      <c r="R1193">
        <f t="shared" si="186"/>
        <v>0</v>
      </c>
      <c r="S1193">
        <f t="shared" si="187"/>
        <v>0</v>
      </c>
      <c r="T1193">
        <f t="shared" si="189"/>
        <v>0</v>
      </c>
      <c r="U1193">
        <f t="shared" si="188"/>
        <v>0</v>
      </c>
    </row>
    <row r="1194" spans="1:21" x14ac:dyDescent="0.25">
      <c r="A1194" s="2">
        <v>1193</v>
      </c>
      <c r="B1194" s="39">
        <v>2012</v>
      </c>
      <c r="C1194" s="41" t="s">
        <v>178</v>
      </c>
      <c r="D1194">
        <v>332.76</v>
      </c>
      <c r="E1194">
        <v>19593.419999999998</v>
      </c>
      <c r="F1194">
        <v>551.79999999999995</v>
      </c>
      <c r="G1194">
        <v>118.66</v>
      </c>
      <c r="H1194" s="80">
        <v>20776.330000000002</v>
      </c>
      <c r="I1194" s="80">
        <v>22372.55</v>
      </c>
      <c r="J1194">
        <v>55.95</v>
      </c>
      <c r="K1194">
        <v>1901.98</v>
      </c>
      <c r="L1194">
        <f t="shared" si="180"/>
        <v>0</v>
      </c>
      <c r="M1194">
        <f t="shared" si="181"/>
        <v>0</v>
      </c>
      <c r="N1194">
        <f t="shared" si="182"/>
        <v>0</v>
      </c>
      <c r="O1194">
        <f t="shared" si="183"/>
        <v>0</v>
      </c>
      <c r="P1194">
        <f t="shared" si="184"/>
        <v>0</v>
      </c>
      <c r="Q1194">
        <f t="shared" si="185"/>
        <v>0</v>
      </c>
      <c r="R1194">
        <f t="shared" si="186"/>
        <v>0</v>
      </c>
      <c r="S1194">
        <f t="shared" si="187"/>
        <v>0</v>
      </c>
      <c r="T1194">
        <f t="shared" si="189"/>
        <v>0</v>
      </c>
      <c r="U1194">
        <f t="shared" si="188"/>
        <v>0</v>
      </c>
    </row>
    <row r="1195" spans="1:21" x14ac:dyDescent="0.25">
      <c r="A1195" s="2">
        <v>1194</v>
      </c>
      <c r="B1195" s="39">
        <v>2012</v>
      </c>
      <c r="C1195" s="41" t="s">
        <v>163</v>
      </c>
      <c r="D1195">
        <v>224.13</v>
      </c>
      <c r="E1195" s="80">
        <v>28725.07</v>
      </c>
      <c r="F1195">
        <v>94.99</v>
      </c>
      <c r="G1195">
        <v>203.46</v>
      </c>
      <c r="H1195">
        <v>5987.79</v>
      </c>
      <c r="I1195" s="80">
        <v>14391.89</v>
      </c>
      <c r="J1195">
        <v>60.18</v>
      </c>
      <c r="K1195" s="80">
        <v>11354.14</v>
      </c>
      <c r="L1195">
        <f t="shared" si="180"/>
        <v>0</v>
      </c>
      <c r="M1195">
        <f t="shared" si="181"/>
        <v>0</v>
      </c>
      <c r="N1195">
        <f t="shared" si="182"/>
        <v>0</v>
      </c>
      <c r="O1195">
        <f t="shared" si="183"/>
        <v>0</v>
      </c>
      <c r="P1195">
        <f t="shared" si="184"/>
        <v>0</v>
      </c>
      <c r="Q1195">
        <f t="shared" si="185"/>
        <v>0</v>
      </c>
      <c r="R1195">
        <f t="shared" si="186"/>
        <v>0</v>
      </c>
      <c r="S1195">
        <f t="shared" si="187"/>
        <v>0</v>
      </c>
      <c r="T1195">
        <f t="shared" si="189"/>
        <v>0</v>
      </c>
      <c r="U1195">
        <f t="shared" si="188"/>
        <v>0</v>
      </c>
    </row>
    <row r="1196" spans="1:21" x14ac:dyDescent="0.25">
      <c r="A1196" s="2">
        <v>1195</v>
      </c>
      <c r="B1196" s="39">
        <v>2012</v>
      </c>
      <c r="C1196" s="41" t="s">
        <v>181</v>
      </c>
      <c r="D1196">
        <v>50.6</v>
      </c>
      <c r="E1196" s="80">
        <v>436791.44</v>
      </c>
      <c r="F1196">
        <v>24.94</v>
      </c>
      <c r="G1196">
        <v>181.19</v>
      </c>
      <c r="H1196">
        <v>855.12</v>
      </c>
      <c r="I1196" s="80">
        <v>19554.439999999999</v>
      </c>
      <c r="J1196">
        <v>97.57</v>
      </c>
      <c r="K1196" s="80">
        <v>19017.59</v>
      </c>
      <c r="L1196">
        <f t="shared" si="180"/>
        <v>0</v>
      </c>
      <c r="M1196">
        <f t="shared" si="181"/>
        <v>0</v>
      </c>
      <c r="N1196">
        <f t="shared" si="182"/>
        <v>0</v>
      </c>
      <c r="O1196">
        <f t="shared" si="183"/>
        <v>0</v>
      </c>
      <c r="P1196">
        <f t="shared" si="184"/>
        <v>0</v>
      </c>
      <c r="Q1196">
        <f t="shared" si="185"/>
        <v>0</v>
      </c>
      <c r="R1196">
        <f t="shared" si="186"/>
        <v>0</v>
      </c>
      <c r="S1196">
        <f t="shared" si="187"/>
        <v>0</v>
      </c>
      <c r="T1196">
        <f t="shared" si="189"/>
        <v>0</v>
      </c>
      <c r="U1196">
        <f t="shared" si="188"/>
        <v>0</v>
      </c>
    </row>
    <row r="1197" spans="1:21" ht="15.75" thickBot="1" x14ac:dyDescent="0.3">
      <c r="A1197" s="2">
        <v>1196</v>
      </c>
      <c r="B1197" s="39">
        <v>2012</v>
      </c>
      <c r="C1197" s="41" t="s">
        <v>183</v>
      </c>
      <c r="D1197">
        <v>52.99</v>
      </c>
      <c r="E1197" s="80">
        <v>110254.22</v>
      </c>
      <c r="F1197">
        <v>3353.52</v>
      </c>
      <c r="G1197">
        <v>241.98</v>
      </c>
      <c r="H1197" s="80">
        <v>17901.14</v>
      </c>
      <c r="I1197" s="80">
        <v>33643.56</v>
      </c>
      <c r="J1197">
        <v>100.71</v>
      </c>
      <c r="K1197" s="80">
        <v>11722.04</v>
      </c>
      <c r="L1197">
        <f t="shared" si="180"/>
        <v>0</v>
      </c>
      <c r="M1197">
        <f t="shared" si="181"/>
        <v>0</v>
      </c>
      <c r="N1197">
        <f t="shared" si="182"/>
        <v>0</v>
      </c>
      <c r="O1197">
        <f t="shared" si="183"/>
        <v>0</v>
      </c>
      <c r="P1197">
        <f t="shared" si="184"/>
        <v>0</v>
      </c>
      <c r="Q1197">
        <f t="shared" si="185"/>
        <v>0</v>
      </c>
      <c r="R1197">
        <f t="shared" si="186"/>
        <v>0</v>
      </c>
      <c r="S1197">
        <f t="shared" si="187"/>
        <v>0</v>
      </c>
      <c r="T1197">
        <f t="shared" si="189"/>
        <v>0</v>
      </c>
      <c r="U1197">
        <f t="shared" si="188"/>
        <v>0</v>
      </c>
    </row>
    <row r="1198" spans="1:21" x14ac:dyDescent="0.25">
      <c r="A1198" s="92">
        <v>1197</v>
      </c>
      <c r="B1198" s="39">
        <v>2012</v>
      </c>
      <c r="C1198" s="40" t="s">
        <v>186</v>
      </c>
      <c r="D1198">
        <v>55.42</v>
      </c>
      <c r="E1198" s="80">
        <v>91310.85</v>
      </c>
      <c r="F1198" s="89" t="s">
        <v>582</v>
      </c>
      <c r="G1198">
        <v>298.67</v>
      </c>
      <c r="H1198">
        <v>74723.149999999994</v>
      </c>
      <c r="I1198" s="80">
        <v>36452.769999999997</v>
      </c>
      <c r="J1198">
        <v>118.3</v>
      </c>
      <c r="K1198" s="80">
        <v>18633.310000000001</v>
      </c>
      <c r="L1198">
        <f t="shared" si="180"/>
        <v>0</v>
      </c>
      <c r="M1198">
        <f t="shared" si="181"/>
        <v>0</v>
      </c>
      <c r="N1198">
        <f t="shared" si="182"/>
        <v>1</v>
      </c>
      <c r="O1198">
        <f t="shared" si="183"/>
        <v>0</v>
      </c>
      <c r="P1198">
        <f t="shared" si="184"/>
        <v>0</v>
      </c>
      <c r="Q1198">
        <f t="shared" si="185"/>
        <v>0</v>
      </c>
      <c r="R1198">
        <f t="shared" si="186"/>
        <v>0</v>
      </c>
      <c r="S1198">
        <f t="shared" si="187"/>
        <v>0</v>
      </c>
      <c r="T1198">
        <f t="shared" si="189"/>
        <v>1</v>
      </c>
      <c r="U1198">
        <f t="shared" si="188"/>
        <v>1</v>
      </c>
    </row>
    <row r="1199" spans="1:21" x14ac:dyDescent="0.25">
      <c r="A1199" s="2">
        <v>1198</v>
      </c>
      <c r="B1199" s="39">
        <v>2012</v>
      </c>
      <c r="C1199" s="41" t="s">
        <v>188</v>
      </c>
      <c r="D1199">
        <v>55.42</v>
      </c>
      <c r="E1199" s="80">
        <v>193704.45</v>
      </c>
      <c r="F1199">
        <v>1473.62</v>
      </c>
      <c r="G1199">
        <v>282.16000000000003</v>
      </c>
      <c r="H1199" s="80">
        <v>22091.040000000001</v>
      </c>
      <c r="I1199" s="80">
        <v>34245.449999999997</v>
      </c>
      <c r="J1199">
        <v>139.80000000000001</v>
      </c>
      <c r="K1199" s="80">
        <v>26512.67</v>
      </c>
      <c r="L1199">
        <f t="shared" si="180"/>
        <v>0</v>
      </c>
      <c r="M1199">
        <f t="shared" si="181"/>
        <v>0</v>
      </c>
      <c r="N1199">
        <f t="shared" si="182"/>
        <v>0</v>
      </c>
      <c r="O1199">
        <f t="shared" si="183"/>
        <v>0</v>
      </c>
      <c r="P1199">
        <f t="shared" si="184"/>
        <v>0</v>
      </c>
      <c r="Q1199">
        <f t="shared" si="185"/>
        <v>0</v>
      </c>
      <c r="R1199">
        <f t="shared" si="186"/>
        <v>0</v>
      </c>
      <c r="S1199">
        <f t="shared" si="187"/>
        <v>0</v>
      </c>
      <c r="T1199">
        <f t="shared" si="189"/>
        <v>0</v>
      </c>
      <c r="U1199">
        <f t="shared" si="188"/>
        <v>0</v>
      </c>
    </row>
    <row r="1200" spans="1:21" x14ac:dyDescent="0.25">
      <c r="A1200" s="2">
        <v>1199</v>
      </c>
      <c r="B1200" s="39">
        <v>2012</v>
      </c>
      <c r="C1200" s="41" t="s">
        <v>182</v>
      </c>
      <c r="D1200" t="s">
        <v>583</v>
      </c>
      <c r="E1200">
        <v>1811.65</v>
      </c>
      <c r="F1200">
        <v>1.08</v>
      </c>
      <c r="G1200">
        <v>19.329999999999998</v>
      </c>
      <c r="H1200">
        <v>83.99</v>
      </c>
      <c r="I1200" s="80">
        <v>5659.83</v>
      </c>
      <c r="J1200">
        <v>2.21</v>
      </c>
      <c r="K1200">
        <v>28</v>
      </c>
      <c r="L1200">
        <f t="shared" si="180"/>
        <v>0</v>
      </c>
      <c r="M1200">
        <f t="shared" si="181"/>
        <v>0</v>
      </c>
      <c r="N1200">
        <f t="shared" si="182"/>
        <v>0</v>
      </c>
      <c r="O1200">
        <f t="shared" si="183"/>
        <v>0</v>
      </c>
      <c r="P1200">
        <f t="shared" si="184"/>
        <v>0</v>
      </c>
      <c r="Q1200">
        <f t="shared" si="185"/>
        <v>0</v>
      </c>
      <c r="R1200">
        <f t="shared" si="186"/>
        <v>0</v>
      </c>
      <c r="S1200">
        <f t="shared" si="187"/>
        <v>0</v>
      </c>
      <c r="T1200">
        <f t="shared" si="189"/>
        <v>0</v>
      </c>
      <c r="U1200">
        <f t="shared" si="188"/>
        <v>0</v>
      </c>
    </row>
    <row r="1201" spans="1:21" x14ac:dyDescent="0.25">
      <c r="A1201" s="2">
        <v>1200</v>
      </c>
      <c r="B1201" s="39">
        <v>2012</v>
      </c>
      <c r="C1201" s="41" t="s">
        <v>184</v>
      </c>
      <c r="D1201">
        <v>271.19</v>
      </c>
      <c r="E1201">
        <v>9431.06</v>
      </c>
      <c r="F1201">
        <v>95.63</v>
      </c>
      <c r="G1201">
        <v>118.66</v>
      </c>
      <c r="H1201">
        <v>10793.89</v>
      </c>
      <c r="I1201" s="80">
        <v>23810.76</v>
      </c>
      <c r="J1201">
        <v>31.98</v>
      </c>
      <c r="K1201">
        <v>1035.54</v>
      </c>
      <c r="L1201">
        <f t="shared" si="180"/>
        <v>0</v>
      </c>
      <c r="M1201">
        <f t="shared" si="181"/>
        <v>0</v>
      </c>
      <c r="N1201">
        <f t="shared" si="182"/>
        <v>0</v>
      </c>
      <c r="O1201">
        <f t="shared" si="183"/>
        <v>0</v>
      </c>
      <c r="P1201">
        <f t="shared" si="184"/>
        <v>0</v>
      </c>
      <c r="Q1201">
        <f t="shared" si="185"/>
        <v>0</v>
      </c>
      <c r="R1201">
        <f t="shared" si="186"/>
        <v>0</v>
      </c>
      <c r="S1201">
        <f t="shared" si="187"/>
        <v>0</v>
      </c>
      <c r="T1201">
        <f t="shared" si="189"/>
        <v>0</v>
      </c>
      <c r="U1201">
        <f t="shared" si="188"/>
        <v>0</v>
      </c>
    </row>
    <row r="1202" spans="1:21" x14ac:dyDescent="0.25">
      <c r="A1202" s="2">
        <v>1201</v>
      </c>
      <c r="B1202" s="39">
        <v>2012</v>
      </c>
      <c r="C1202" s="41" t="s">
        <v>187</v>
      </c>
      <c r="D1202">
        <v>2226.04</v>
      </c>
      <c r="E1202">
        <v>11062.26</v>
      </c>
      <c r="F1202">
        <v>300.7</v>
      </c>
      <c r="G1202">
        <v>131.97</v>
      </c>
      <c r="H1202" s="80">
        <v>33247.980000000003</v>
      </c>
      <c r="I1202" s="80">
        <v>24970.58</v>
      </c>
      <c r="J1202">
        <v>76.19</v>
      </c>
      <c r="K1202">
        <v>6731.42</v>
      </c>
      <c r="L1202">
        <f t="shared" si="180"/>
        <v>0</v>
      </c>
      <c r="M1202">
        <f t="shared" si="181"/>
        <v>0</v>
      </c>
      <c r="N1202">
        <f t="shared" si="182"/>
        <v>0</v>
      </c>
      <c r="O1202">
        <f t="shared" si="183"/>
        <v>0</v>
      </c>
      <c r="P1202">
        <f t="shared" si="184"/>
        <v>0</v>
      </c>
      <c r="Q1202">
        <f t="shared" si="185"/>
        <v>0</v>
      </c>
      <c r="R1202">
        <f t="shared" si="186"/>
        <v>0</v>
      </c>
      <c r="S1202">
        <f t="shared" si="187"/>
        <v>0</v>
      </c>
      <c r="T1202">
        <f t="shared" si="189"/>
        <v>0</v>
      </c>
      <c r="U1202">
        <f t="shared" si="188"/>
        <v>0</v>
      </c>
    </row>
    <row r="1203" spans="1:21" x14ac:dyDescent="0.25">
      <c r="A1203" s="2">
        <v>1202</v>
      </c>
      <c r="B1203" s="39">
        <v>2012</v>
      </c>
      <c r="C1203" s="41" t="s">
        <v>189</v>
      </c>
      <c r="D1203">
        <v>1780.54</v>
      </c>
      <c r="E1203">
        <v>5843.53</v>
      </c>
      <c r="F1203">
        <v>1.67</v>
      </c>
      <c r="G1203">
        <v>118.66</v>
      </c>
      <c r="H1203" s="80">
        <v>18092.11</v>
      </c>
      <c r="I1203" s="80">
        <v>11336.18</v>
      </c>
      <c r="J1203">
        <v>53.16</v>
      </c>
      <c r="K1203">
        <v>8108.11</v>
      </c>
      <c r="L1203">
        <f t="shared" si="180"/>
        <v>0</v>
      </c>
      <c r="M1203">
        <f t="shared" si="181"/>
        <v>0</v>
      </c>
      <c r="N1203">
        <f t="shared" si="182"/>
        <v>0</v>
      </c>
      <c r="O1203">
        <f t="shared" si="183"/>
        <v>0</v>
      </c>
      <c r="P1203">
        <f t="shared" si="184"/>
        <v>0</v>
      </c>
      <c r="Q1203">
        <f t="shared" si="185"/>
        <v>0</v>
      </c>
      <c r="R1203">
        <f t="shared" si="186"/>
        <v>0</v>
      </c>
      <c r="S1203">
        <f t="shared" si="187"/>
        <v>0</v>
      </c>
      <c r="T1203">
        <f t="shared" si="189"/>
        <v>0</v>
      </c>
      <c r="U1203">
        <f t="shared" si="188"/>
        <v>0</v>
      </c>
    </row>
    <row r="1204" spans="1:21" x14ac:dyDescent="0.25">
      <c r="A1204" s="2">
        <v>1203</v>
      </c>
      <c r="B1204" s="39">
        <v>1017</v>
      </c>
      <c r="C1204" s="46" t="s">
        <v>162</v>
      </c>
      <c r="D1204">
        <v>115</v>
      </c>
      <c r="E1204" s="80">
        <v>101956.88</v>
      </c>
      <c r="F1204">
        <v>577.69000000000005</v>
      </c>
      <c r="G1204">
        <v>173.92</v>
      </c>
      <c r="H1204">
        <v>6580.9</v>
      </c>
      <c r="I1204" s="80">
        <v>36233.57</v>
      </c>
      <c r="J1204">
        <v>168.93</v>
      </c>
      <c r="K1204" s="80">
        <v>27791.11</v>
      </c>
      <c r="L1204">
        <f t="shared" si="180"/>
        <v>0</v>
      </c>
      <c r="M1204">
        <f t="shared" si="181"/>
        <v>0</v>
      </c>
      <c r="N1204">
        <f t="shared" si="182"/>
        <v>0</v>
      </c>
      <c r="O1204">
        <f t="shared" si="183"/>
        <v>0</v>
      </c>
      <c r="P1204">
        <f t="shared" si="184"/>
        <v>0</v>
      </c>
      <c r="Q1204">
        <f t="shared" si="185"/>
        <v>0</v>
      </c>
      <c r="R1204">
        <f t="shared" si="186"/>
        <v>0</v>
      </c>
      <c r="S1204">
        <f t="shared" si="187"/>
        <v>0</v>
      </c>
      <c r="T1204">
        <f t="shared" si="189"/>
        <v>0</v>
      </c>
      <c r="U1204">
        <f t="shared" si="188"/>
        <v>0</v>
      </c>
    </row>
    <row r="1205" spans="1:21" x14ac:dyDescent="0.25">
      <c r="A1205" s="2">
        <v>1204</v>
      </c>
      <c r="B1205" s="39">
        <v>1017</v>
      </c>
      <c r="C1205" s="41" t="s">
        <v>170</v>
      </c>
      <c r="D1205">
        <v>34.5</v>
      </c>
      <c r="E1205" s="80">
        <v>54018.43</v>
      </c>
      <c r="F1205">
        <v>1280.68</v>
      </c>
      <c r="G1205">
        <v>131.97</v>
      </c>
      <c r="H1205">
        <v>12884.74</v>
      </c>
      <c r="I1205" s="80">
        <v>36987.919999999998</v>
      </c>
      <c r="J1205">
        <v>57.35</v>
      </c>
      <c r="K1205" s="80">
        <v>9477.5300000000007</v>
      </c>
      <c r="L1205">
        <f t="shared" si="180"/>
        <v>0</v>
      </c>
      <c r="M1205">
        <f t="shared" si="181"/>
        <v>0</v>
      </c>
      <c r="N1205">
        <f t="shared" si="182"/>
        <v>0</v>
      </c>
      <c r="O1205">
        <f t="shared" si="183"/>
        <v>0</v>
      </c>
      <c r="P1205">
        <f t="shared" si="184"/>
        <v>0</v>
      </c>
      <c r="Q1205">
        <f t="shared" si="185"/>
        <v>0</v>
      </c>
      <c r="R1205">
        <f t="shared" si="186"/>
        <v>0</v>
      </c>
      <c r="S1205">
        <f t="shared" si="187"/>
        <v>0</v>
      </c>
      <c r="T1205">
        <f t="shared" si="189"/>
        <v>0</v>
      </c>
      <c r="U1205">
        <f t="shared" si="188"/>
        <v>0</v>
      </c>
    </row>
    <row r="1206" spans="1:21" x14ac:dyDescent="0.25">
      <c r="A1206" s="2">
        <v>1205</v>
      </c>
      <c r="B1206" s="39">
        <v>1017</v>
      </c>
      <c r="C1206" s="41" t="s">
        <v>178</v>
      </c>
      <c r="D1206">
        <v>36.72</v>
      </c>
      <c r="E1206" s="80">
        <v>43727.48</v>
      </c>
      <c r="F1206">
        <v>1577.87</v>
      </c>
      <c r="G1206">
        <v>118.66</v>
      </c>
      <c r="H1206" s="80">
        <v>20536.57</v>
      </c>
      <c r="I1206" s="80">
        <v>39306.74</v>
      </c>
      <c r="J1206">
        <v>60.18</v>
      </c>
      <c r="K1206">
        <v>6288.02</v>
      </c>
      <c r="L1206">
        <f t="shared" si="180"/>
        <v>0</v>
      </c>
      <c r="M1206">
        <f t="shared" si="181"/>
        <v>0</v>
      </c>
      <c r="N1206">
        <f t="shared" si="182"/>
        <v>0</v>
      </c>
      <c r="O1206">
        <f t="shared" si="183"/>
        <v>0</v>
      </c>
      <c r="P1206">
        <f t="shared" si="184"/>
        <v>0</v>
      </c>
      <c r="Q1206">
        <f t="shared" si="185"/>
        <v>0</v>
      </c>
      <c r="R1206">
        <f t="shared" si="186"/>
        <v>0</v>
      </c>
      <c r="S1206">
        <f t="shared" si="187"/>
        <v>0</v>
      </c>
      <c r="T1206">
        <f t="shared" si="189"/>
        <v>0</v>
      </c>
      <c r="U1206">
        <f t="shared" si="188"/>
        <v>0</v>
      </c>
    </row>
    <row r="1207" spans="1:21" x14ac:dyDescent="0.25">
      <c r="A1207" s="2">
        <v>1206</v>
      </c>
      <c r="B1207" s="39">
        <v>1017</v>
      </c>
      <c r="C1207" s="41" t="s">
        <v>163</v>
      </c>
      <c r="D1207">
        <v>119.27</v>
      </c>
      <c r="E1207" s="80">
        <v>47893.8</v>
      </c>
      <c r="F1207">
        <v>757.06</v>
      </c>
      <c r="G1207">
        <v>218.66</v>
      </c>
      <c r="H1207" s="80">
        <v>23816.21</v>
      </c>
      <c r="I1207" s="80">
        <v>38727.15</v>
      </c>
      <c r="J1207">
        <v>91.35</v>
      </c>
      <c r="K1207" s="80">
        <v>23307.61</v>
      </c>
      <c r="L1207">
        <f t="shared" si="180"/>
        <v>0</v>
      </c>
      <c r="M1207">
        <f t="shared" si="181"/>
        <v>0</v>
      </c>
      <c r="N1207">
        <f t="shared" si="182"/>
        <v>0</v>
      </c>
      <c r="O1207">
        <f t="shared" si="183"/>
        <v>0</v>
      </c>
      <c r="P1207">
        <f t="shared" si="184"/>
        <v>0</v>
      </c>
      <c r="Q1207">
        <f t="shared" si="185"/>
        <v>0</v>
      </c>
      <c r="R1207">
        <f t="shared" si="186"/>
        <v>0</v>
      </c>
      <c r="S1207">
        <f t="shared" si="187"/>
        <v>0</v>
      </c>
      <c r="T1207">
        <f t="shared" si="189"/>
        <v>0</v>
      </c>
      <c r="U1207">
        <f t="shared" si="188"/>
        <v>0</v>
      </c>
    </row>
    <row r="1208" spans="1:21" x14ac:dyDescent="0.25">
      <c r="A1208" s="2">
        <v>1207</v>
      </c>
      <c r="B1208" s="39">
        <v>1017</v>
      </c>
      <c r="C1208" s="41" t="s">
        <v>181</v>
      </c>
      <c r="D1208">
        <v>38.97</v>
      </c>
      <c r="E1208" s="80">
        <v>206339.85</v>
      </c>
      <c r="F1208">
        <v>1018.7</v>
      </c>
      <c r="G1208">
        <v>218.66</v>
      </c>
      <c r="H1208">
        <v>3175.61</v>
      </c>
      <c r="I1208" s="80">
        <v>33989.22</v>
      </c>
      <c r="J1208">
        <v>103.86</v>
      </c>
      <c r="K1208" s="80">
        <v>27462.13</v>
      </c>
      <c r="L1208">
        <f t="shared" si="180"/>
        <v>0</v>
      </c>
      <c r="M1208">
        <f t="shared" si="181"/>
        <v>0</v>
      </c>
      <c r="N1208">
        <f t="shared" si="182"/>
        <v>0</v>
      </c>
      <c r="O1208">
        <f t="shared" si="183"/>
        <v>0</v>
      </c>
      <c r="P1208">
        <f t="shared" si="184"/>
        <v>0</v>
      </c>
      <c r="Q1208">
        <f t="shared" si="185"/>
        <v>0</v>
      </c>
      <c r="R1208">
        <f t="shared" si="186"/>
        <v>0</v>
      </c>
      <c r="S1208">
        <f t="shared" si="187"/>
        <v>0</v>
      </c>
      <c r="T1208">
        <f t="shared" si="189"/>
        <v>0</v>
      </c>
      <c r="U1208">
        <f t="shared" si="188"/>
        <v>0</v>
      </c>
    </row>
    <row r="1209" spans="1:21" ht="15.75" thickBot="1" x14ac:dyDescent="0.3">
      <c r="A1209" s="2">
        <v>1208</v>
      </c>
      <c r="B1209" s="39">
        <v>1017</v>
      </c>
      <c r="C1209" s="41" t="s">
        <v>183</v>
      </c>
      <c r="D1209">
        <v>38.97</v>
      </c>
      <c r="E1209" s="80">
        <v>97563.98</v>
      </c>
      <c r="F1209">
        <v>2878.55</v>
      </c>
      <c r="G1209">
        <v>211.03</v>
      </c>
      <c r="H1209">
        <v>10439.48</v>
      </c>
      <c r="I1209" s="80">
        <v>35335.72</v>
      </c>
      <c r="J1209">
        <v>82.19</v>
      </c>
      <c r="K1209" s="80">
        <v>9885.89</v>
      </c>
      <c r="L1209">
        <f t="shared" si="180"/>
        <v>0</v>
      </c>
      <c r="M1209">
        <f t="shared" si="181"/>
        <v>0</v>
      </c>
      <c r="N1209">
        <f t="shared" si="182"/>
        <v>0</v>
      </c>
      <c r="O1209">
        <f t="shared" si="183"/>
        <v>0</v>
      </c>
      <c r="P1209">
        <f t="shared" si="184"/>
        <v>0</v>
      </c>
      <c r="Q1209">
        <f t="shared" si="185"/>
        <v>0</v>
      </c>
      <c r="R1209">
        <f t="shared" si="186"/>
        <v>0</v>
      </c>
      <c r="S1209">
        <f t="shared" si="187"/>
        <v>0</v>
      </c>
      <c r="T1209">
        <f t="shared" si="189"/>
        <v>0</v>
      </c>
      <c r="U1209">
        <f t="shared" si="188"/>
        <v>0</v>
      </c>
    </row>
    <row r="1210" spans="1:21" x14ac:dyDescent="0.25">
      <c r="A1210" s="2">
        <v>1209</v>
      </c>
      <c r="B1210" s="39">
        <v>1017</v>
      </c>
      <c r="C1210" s="40" t="s">
        <v>186</v>
      </c>
      <c r="D1210">
        <v>34.5</v>
      </c>
      <c r="E1210" s="80">
        <v>75176.960000000006</v>
      </c>
      <c r="F1210" s="89" t="s">
        <v>582</v>
      </c>
      <c r="G1210">
        <v>173.92</v>
      </c>
      <c r="H1210" s="80">
        <v>19737.099999999999</v>
      </c>
      <c r="I1210" s="80">
        <v>35809.629999999997</v>
      </c>
      <c r="J1210">
        <v>94.45</v>
      </c>
      <c r="K1210" s="80">
        <v>12922.74</v>
      </c>
      <c r="L1210">
        <f t="shared" si="180"/>
        <v>0</v>
      </c>
      <c r="M1210">
        <f t="shared" si="181"/>
        <v>0</v>
      </c>
      <c r="N1210">
        <f t="shared" si="182"/>
        <v>1</v>
      </c>
      <c r="O1210">
        <f t="shared" si="183"/>
        <v>0</v>
      </c>
      <c r="P1210">
        <f t="shared" si="184"/>
        <v>0</v>
      </c>
      <c r="Q1210">
        <f t="shared" si="185"/>
        <v>0</v>
      </c>
      <c r="R1210">
        <f t="shared" si="186"/>
        <v>0</v>
      </c>
      <c r="S1210">
        <f t="shared" si="187"/>
        <v>0</v>
      </c>
      <c r="T1210">
        <f t="shared" si="189"/>
        <v>1</v>
      </c>
      <c r="U1210">
        <f t="shared" si="188"/>
        <v>1</v>
      </c>
    </row>
    <row r="1211" spans="1:21" x14ac:dyDescent="0.25">
      <c r="A1211" s="92">
        <v>1210</v>
      </c>
      <c r="B1211" s="39">
        <v>1017</v>
      </c>
      <c r="C1211" s="41" t="s">
        <v>188</v>
      </c>
      <c r="D1211">
        <v>52.99</v>
      </c>
      <c r="E1211" s="80">
        <v>173785.98</v>
      </c>
      <c r="F1211" s="89" t="s">
        <v>582</v>
      </c>
      <c r="G1211">
        <v>234.14</v>
      </c>
      <c r="H1211">
        <v>12845.41</v>
      </c>
      <c r="I1211" s="80">
        <v>36836.42</v>
      </c>
      <c r="J1211">
        <v>94.45</v>
      </c>
      <c r="K1211" s="80">
        <v>24527.09</v>
      </c>
      <c r="L1211">
        <f t="shared" si="180"/>
        <v>0</v>
      </c>
      <c r="M1211">
        <f t="shared" si="181"/>
        <v>0</v>
      </c>
      <c r="N1211">
        <f t="shared" si="182"/>
        <v>1</v>
      </c>
      <c r="O1211">
        <f t="shared" si="183"/>
        <v>0</v>
      </c>
      <c r="P1211">
        <f t="shared" si="184"/>
        <v>0</v>
      </c>
      <c r="Q1211">
        <f t="shared" si="185"/>
        <v>0</v>
      </c>
      <c r="R1211">
        <f t="shared" si="186"/>
        <v>0</v>
      </c>
      <c r="S1211">
        <f t="shared" si="187"/>
        <v>0</v>
      </c>
      <c r="T1211">
        <f t="shared" si="189"/>
        <v>1</v>
      </c>
      <c r="U1211">
        <f t="shared" si="188"/>
        <v>1</v>
      </c>
    </row>
    <row r="1212" spans="1:21" x14ac:dyDescent="0.25">
      <c r="A1212" s="92">
        <v>1211</v>
      </c>
      <c r="B1212" s="39">
        <v>1017</v>
      </c>
      <c r="C1212" s="41" t="s">
        <v>182</v>
      </c>
      <c r="D1212">
        <v>0.93</v>
      </c>
      <c r="E1212">
        <v>3260.52</v>
      </c>
      <c r="F1212" t="s">
        <v>583</v>
      </c>
      <c r="G1212" s="80">
        <v>0.28999999999999998</v>
      </c>
      <c r="H1212">
        <v>3.24</v>
      </c>
      <c r="I1212">
        <v>708.25</v>
      </c>
      <c r="J1212">
        <v>2.97</v>
      </c>
      <c r="K1212">
        <v>3.34</v>
      </c>
      <c r="L1212">
        <f t="shared" si="180"/>
        <v>0</v>
      </c>
      <c r="M1212">
        <f t="shared" si="181"/>
        <v>0</v>
      </c>
      <c r="N1212">
        <f t="shared" si="182"/>
        <v>0</v>
      </c>
      <c r="O1212">
        <f t="shared" si="183"/>
        <v>0</v>
      </c>
      <c r="P1212">
        <f t="shared" si="184"/>
        <v>0</v>
      </c>
      <c r="Q1212">
        <f t="shared" si="185"/>
        <v>0</v>
      </c>
      <c r="R1212">
        <f t="shared" si="186"/>
        <v>0</v>
      </c>
      <c r="S1212">
        <f t="shared" si="187"/>
        <v>0</v>
      </c>
      <c r="T1212">
        <f t="shared" si="189"/>
        <v>0</v>
      </c>
      <c r="U1212">
        <f t="shared" si="188"/>
        <v>0</v>
      </c>
    </row>
    <row r="1213" spans="1:21" x14ac:dyDescent="0.25">
      <c r="A1213" s="2">
        <v>1212</v>
      </c>
      <c r="B1213" s="39">
        <v>1017</v>
      </c>
      <c r="C1213" s="41" t="s">
        <v>184</v>
      </c>
      <c r="D1213">
        <v>12.3</v>
      </c>
      <c r="E1213" s="80">
        <v>25259.1</v>
      </c>
      <c r="F1213">
        <v>36.520000000000003</v>
      </c>
      <c r="G1213">
        <v>99.41</v>
      </c>
      <c r="H1213">
        <v>5824.83</v>
      </c>
      <c r="I1213" s="80">
        <v>23548.04</v>
      </c>
      <c r="J1213">
        <v>40.99</v>
      </c>
      <c r="K1213">
        <v>1441.29</v>
      </c>
      <c r="L1213">
        <f t="shared" si="180"/>
        <v>0</v>
      </c>
      <c r="M1213">
        <f t="shared" si="181"/>
        <v>0</v>
      </c>
      <c r="N1213">
        <f t="shared" si="182"/>
        <v>0</v>
      </c>
      <c r="O1213">
        <f t="shared" si="183"/>
        <v>0</v>
      </c>
      <c r="P1213">
        <f t="shared" si="184"/>
        <v>0</v>
      </c>
      <c r="Q1213">
        <f t="shared" si="185"/>
        <v>0</v>
      </c>
      <c r="R1213">
        <f t="shared" si="186"/>
        <v>0</v>
      </c>
      <c r="S1213">
        <f t="shared" si="187"/>
        <v>0</v>
      </c>
      <c r="T1213">
        <f t="shared" si="189"/>
        <v>0</v>
      </c>
      <c r="U1213">
        <f t="shared" si="188"/>
        <v>0</v>
      </c>
    </row>
    <row r="1214" spans="1:21" x14ac:dyDescent="0.25">
      <c r="A1214" s="2">
        <v>1213</v>
      </c>
      <c r="B1214" s="39">
        <v>1017</v>
      </c>
      <c r="C1214" s="41" t="s">
        <v>187</v>
      </c>
      <c r="D1214">
        <v>23.85</v>
      </c>
      <c r="E1214">
        <v>17372.45</v>
      </c>
      <c r="F1214">
        <v>48.02</v>
      </c>
      <c r="G1214">
        <v>81.069999999999993</v>
      </c>
      <c r="H1214">
        <v>9048.75</v>
      </c>
      <c r="I1214" s="80">
        <v>20948.64</v>
      </c>
      <c r="J1214">
        <v>37.07</v>
      </c>
      <c r="K1214">
        <v>2878.41</v>
      </c>
      <c r="L1214">
        <f t="shared" si="180"/>
        <v>0</v>
      </c>
      <c r="M1214">
        <f t="shared" si="181"/>
        <v>0</v>
      </c>
      <c r="N1214">
        <f t="shared" si="182"/>
        <v>0</v>
      </c>
      <c r="O1214">
        <f t="shared" si="183"/>
        <v>0</v>
      </c>
      <c r="P1214">
        <f t="shared" si="184"/>
        <v>0</v>
      </c>
      <c r="Q1214">
        <f t="shared" si="185"/>
        <v>0</v>
      </c>
      <c r="R1214">
        <f t="shared" si="186"/>
        <v>0</v>
      </c>
      <c r="S1214">
        <f t="shared" si="187"/>
        <v>0</v>
      </c>
      <c r="T1214">
        <f t="shared" si="189"/>
        <v>0</v>
      </c>
      <c r="U1214">
        <f t="shared" si="188"/>
        <v>0</v>
      </c>
    </row>
    <row r="1215" spans="1:21" x14ac:dyDescent="0.25">
      <c r="A1215" s="2">
        <v>1214</v>
      </c>
      <c r="B1215" s="39">
        <v>1017</v>
      </c>
      <c r="C1215" s="41" t="s">
        <v>189</v>
      </c>
      <c r="D1215">
        <v>14.11</v>
      </c>
      <c r="E1215">
        <v>13070.99</v>
      </c>
      <c r="F1215">
        <v>5.88</v>
      </c>
      <c r="G1215">
        <v>81.069999999999993</v>
      </c>
      <c r="H1215">
        <v>6501.84</v>
      </c>
      <c r="I1215" s="80">
        <v>18094.939999999999</v>
      </c>
      <c r="J1215">
        <v>37.07</v>
      </c>
      <c r="K1215">
        <v>3849.28</v>
      </c>
      <c r="L1215">
        <f t="shared" si="180"/>
        <v>0</v>
      </c>
      <c r="M1215">
        <f t="shared" si="181"/>
        <v>0</v>
      </c>
      <c r="N1215">
        <f t="shared" si="182"/>
        <v>0</v>
      </c>
      <c r="O1215">
        <f t="shared" si="183"/>
        <v>0</v>
      </c>
      <c r="P1215">
        <f t="shared" si="184"/>
        <v>0</v>
      </c>
      <c r="Q1215">
        <f t="shared" si="185"/>
        <v>0</v>
      </c>
      <c r="R1215">
        <f t="shared" si="186"/>
        <v>0</v>
      </c>
      <c r="S1215">
        <f t="shared" si="187"/>
        <v>0</v>
      </c>
      <c r="T1215">
        <f t="shared" si="189"/>
        <v>0</v>
      </c>
      <c r="U1215">
        <f t="shared" si="188"/>
        <v>0</v>
      </c>
    </row>
    <row r="1216" spans="1:21" x14ac:dyDescent="0.25">
      <c r="A1216" s="2">
        <v>1215</v>
      </c>
      <c r="B1216" s="39">
        <v>1016</v>
      </c>
      <c r="C1216" s="41" t="s">
        <v>162</v>
      </c>
      <c r="D1216">
        <v>52.99</v>
      </c>
      <c r="E1216">
        <v>12757.46</v>
      </c>
      <c r="F1216">
        <v>280.11</v>
      </c>
      <c r="G1216">
        <v>69.400000000000006</v>
      </c>
      <c r="H1216">
        <v>1252.82</v>
      </c>
      <c r="I1216" s="80">
        <v>13069.39</v>
      </c>
      <c r="J1216">
        <v>67.36</v>
      </c>
      <c r="K1216">
        <v>7925.46</v>
      </c>
      <c r="L1216">
        <f t="shared" si="180"/>
        <v>0</v>
      </c>
      <c r="M1216">
        <f t="shared" si="181"/>
        <v>0</v>
      </c>
      <c r="N1216">
        <f t="shared" si="182"/>
        <v>0</v>
      </c>
      <c r="O1216">
        <f t="shared" si="183"/>
        <v>0</v>
      </c>
      <c r="P1216">
        <f t="shared" si="184"/>
        <v>0</v>
      </c>
      <c r="Q1216">
        <f t="shared" si="185"/>
        <v>0</v>
      </c>
      <c r="R1216">
        <f t="shared" si="186"/>
        <v>0</v>
      </c>
      <c r="S1216">
        <f t="shared" si="187"/>
        <v>0</v>
      </c>
      <c r="T1216">
        <f t="shared" si="189"/>
        <v>0</v>
      </c>
      <c r="U1216">
        <f t="shared" si="188"/>
        <v>0</v>
      </c>
    </row>
    <row r="1217" spans="1:21" x14ac:dyDescent="0.25">
      <c r="A1217" s="2">
        <v>1216</v>
      </c>
      <c r="B1217" s="39">
        <v>1016</v>
      </c>
      <c r="C1217" s="41" t="s">
        <v>170</v>
      </c>
      <c r="D1217">
        <v>30.15</v>
      </c>
      <c r="E1217">
        <v>17212.95</v>
      </c>
      <c r="F1217">
        <v>546.6</v>
      </c>
      <c r="G1217">
        <v>93.19</v>
      </c>
      <c r="H1217">
        <v>13458.35</v>
      </c>
      <c r="I1217" s="80">
        <v>24068.54</v>
      </c>
      <c r="J1217">
        <v>47.67</v>
      </c>
      <c r="K1217">
        <v>5953.6</v>
      </c>
      <c r="L1217">
        <f t="shared" si="180"/>
        <v>0</v>
      </c>
      <c r="M1217">
        <f t="shared" si="181"/>
        <v>0</v>
      </c>
      <c r="N1217">
        <f t="shared" si="182"/>
        <v>0</v>
      </c>
      <c r="O1217">
        <f t="shared" si="183"/>
        <v>0</v>
      </c>
      <c r="P1217">
        <f t="shared" si="184"/>
        <v>0</v>
      </c>
      <c r="Q1217">
        <f t="shared" si="185"/>
        <v>0</v>
      </c>
      <c r="R1217">
        <f t="shared" si="186"/>
        <v>0</v>
      </c>
      <c r="S1217">
        <f t="shared" si="187"/>
        <v>0</v>
      </c>
      <c r="T1217">
        <f t="shared" si="189"/>
        <v>0</v>
      </c>
      <c r="U1217">
        <f t="shared" si="188"/>
        <v>0</v>
      </c>
    </row>
    <row r="1218" spans="1:21" x14ac:dyDescent="0.25">
      <c r="A1218" s="2">
        <v>1217</v>
      </c>
      <c r="B1218" s="39">
        <v>1016</v>
      </c>
      <c r="C1218" s="41" t="s">
        <v>178</v>
      </c>
      <c r="D1218">
        <v>26.96</v>
      </c>
      <c r="E1218">
        <v>17001.93</v>
      </c>
      <c r="F1218">
        <v>1179.0999999999999</v>
      </c>
      <c r="G1218">
        <v>145.62</v>
      </c>
      <c r="H1218">
        <v>17105.060000000001</v>
      </c>
      <c r="I1218" s="80">
        <v>27324.77</v>
      </c>
      <c r="J1218">
        <v>33.24</v>
      </c>
      <c r="K1218">
        <v>5014.2</v>
      </c>
      <c r="L1218">
        <f t="shared" ref="L1218:L1281" si="190">IF(D1218 = "OOR &gt;", 1,0)</f>
        <v>0</v>
      </c>
      <c r="M1218">
        <f t="shared" ref="M1218:M1281" si="191">IF(E1218 = "OOR &gt;", 1,0)</f>
        <v>0</v>
      </c>
      <c r="N1218">
        <f t="shared" ref="N1218:N1281" si="192">IF(F1218 = "OOR &gt;", 1,0)</f>
        <v>0</v>
      </c>
      <c r="O1218">
        <f t="shared" ref="O1218:O1281" si="193">IF(G1218 = "OOR &gt;", 1,0)</f>
        <v>0</v>
      </c>
      <c r="P1218">
        <f t="shared" ref="P1218:P1281" si="194">IF(H1218 = "OOR &gt;", 1,0)</f>
        <v>0</v>
      </c>
      <c r="Q1218">
        <f t="shared" ref="Q1218:Q1281" si="195">IF(I1218 = "OOR &gt;", 1,0)</f>
        <v>0</v>
      </c>
      <c r="R1218">
        <f t="shared" ref="R1218:R1281" si="196">IF(J1218 = "OOR &gt;", 1,0)</f>
        <v>0</v>
      </c>
      <c r="S1218">
        <f t="shared" ref="S1218:S1281" si="197">IF(K1218 = "OOR &gt;", 1,0)</f>
        <v>0</v>
      </c>
      <c r="T1218">
        <f t="shared" si="189"/>
        <v>0</v>
      </c>
      <c r="U1218">
        <f t="shared" ref="U1218:U1281" si="198">IF(T1218 &gt; 0,1,0)</f>
        <v>0</v>
      </c>
    </row>
    <row r="1219" spans="1:21" x14ac:dyDescent="0.25">
      <c r="A1219" s="2">
        <v>1218</v>
      </c>
      <c r="B1219" s="39">
        <v>1016</v>
      </c>
      <c r="C1219" s="41" t="s">
        <v>163</v>
      </c>
      <c r="D1219">
        <v>30.15</v>
      </c>
      <c r="E1219">
        <v>16709.64</v>
      </c>
      <c r="F1219">
        <v>1075.21</v>
      </c>
      <c r="G1219">
        <v>118.66</v>
      </c>
      <c r="H1219">
        <v>8761</v>
      </c>
      <c r="I1219" s="80">
        <v>28654.55</v>
      </c>
      <c r="J1219">
        <v>50.4</v>
      </c>
      <c r="K1219" s="80">
        <v>12824.21</v>
      </c>
      <c r="L1219">
        <f t="shared" si="190"/>
        <v>0</v>
      </c>
      <c r="M1219">
        <f t="shared" si="191"/>
        <v>0</v>
      </c>
      <c r="N1219">
        <f t="shared" si="192"/>
        <v>0</v>
      </c>
      <c r="O1219">
        <f t="shared" si="193"/>
        <v>0</v>
      </c>
      <c r="P1219">
        <f t="shared" si="194"/>
        <v>0</v>
      </c>
      <c r="Q1219">
        <f t="shared" si="195"/>
        <v>0</v>
      </c>
      <c r="R1219">
        <f t="shared" si="196"/>
        <v>0</v>
      </c>
      <c r="S1219">
        <f t="shared" si="197"/>
        <v>0</v>
      </c>
      <c r="T1219">
        <f t="shared" ref="T1219:T1282" si="199">SUMIF(L1219:S1219,"&gt;0")</f>
        <v>0</v>
      </c>
      <c r="U1219">
        <f t="shared" si="198"/>
        <v>0</v>
      </c>
    </row>
    <row r="1220" spans="1:21" x14ac:dyDescent="0.25">
      <c r="A1220" s="2">
        <v>1219</v>
      </c>
      <c r="B1220" s="39">
        <v>1016</v>
      </c>
      <c r="C1220" s="41" t="s">
        <v>181</v>
      </c>
      <c r="D1220">
        <v>34.5</v>
      </c>
      <c r="E1220" s="80">
        <v>55726.49</v>
      </c>
      <c r="F1220">
        <v>1359.07</v>
      </c>
      <c r="G1220">
        <v>131.97</v>
      </c>
      <c r="H1220">
        <v>1310.1500000000001</v>
      </c>
      <c r="I1220" s="80">
        <v>28005.62</v>
      </c>
      <c r="J1220">
        <v>73.22</v>
      </c>
      <c r="K1220" s="80">
        <v>21658.62</v>
      </c>
      <c r="L1220">
        <f t="shared" si="190"/>
        <v>0</v>
      </c>
      <c r="M1220">
        <f t="shared" si="191"/>
        <v>0</v>
      </c>
      <c r="N1220">
        <f t="shared" si="192"/>
        <v>0</v>
      </c>
      <c r="O1220">
        <f t="shared" si="193"/>
        <v>0</v>
      </c>
      <c r="P1220">
        <f t="shared" si="194"/>
        <v>0</v>
      </c>
      <c r="Q1220">
        <f t="shared" si="195"/>
        <v>0</v>
      </c>
      <c r="R1220">
        <f t="shared" si="196"/>
        <v>0</v>
      </c>
      <c r="S1220">
        <f t="shared" si="197"/>
        <v>0</v>
      </c>
      <c r="T1220">
        <f t="shared" si="199"/>
        <v>0</v>
      </c>
      <c r="U1220">
        <f t="shared" si="198"/>
        <v>0</v>
      </c>
    </row>
    <row r="1221" spans="1:21" x14ac:dyDescent="0.25">
      <c r="A1221" s="2">
        <v>1220</v>
      </c>
      <c r="B1221" s="39">
        <v>1016</v>
      </c>
      <c r="C1221" s="41" t="s">
        <v>183</v>
      </c>
      <c r="D1221">
        <v>22.84</v>
      </c>
      <c r="E1221" s="80">
        <v>29617.05</v>
      </c>
      <c r="F1221">
        <v>1839.05</v>
      </c>
      <c r="G1221">
        <v>118.66</v>
      </c>
      <c r="H1221">
        <v>4314.84</v>
      </c>
      <c r="I1221" s="80">
        <v>31486.2</v>
      </c>
      <c r="J1221">
        <v>42.31</v>
      </c>
      <c r="K1221" s="80">
        <v>9881.17</v>
      </c>
      <c r="L1221">
        <f t="shared" si="190"/>
        <v>0</v>
      </c>
      <c r="M1221">
        <f t="shared" si="191"/>
        <v>0</v>
      </c>
      <c r="N1221">
        <f t="shared" si="192"/>
        <v>0</v>
      </c>
      <c r="O1221">
        <f t="shared" si="193"/>
        <v>0</v>
      </c>
      <c r="P1221">
        <f t="shared" si="194"/>
        <v>0</v>
      </c>
      <c r="Q1221">
        <f t="shared" si="195"/>
        <v>0</v>
      </c>
      <c r="R1221">
        <f t="shared" si="196"/>
        <v>0</v>
      </c>
      <c r="S1221">
        <f t="shared" si="197"/>
        <v>0</v>
      </c>
      <c r="T1221">
        <f t="shared" si="199"/>
        <v>0</v>
      </c>
      <c r="U1221">
        <f t="shared" si="198"/>
        <v>0</v>
      </c>
    </row>
    <row r="1222" spans="1:21" x14ac:dyDescent="0.25">
      <c r="A1222" s="2">
        <v>1221</v>
      </c>
      <c r="B1222" s="39">
        <v>1016</v>
      </c>
      <c r="C1222" s="41" t="s">
        <v>186</v>
      </c>
      <c r="D1222">
        <v>13.2</v>
      </c>
      <c r="E1222">
        <v>20028.87</v>
      </c>
      <c r="F1222">
        <v>1666.91</v>
      </c>
      <c r="G1222">
        <v>81.069999999999993</v>
      </c>
      <c r="H1222">
        <v>5158.8900000000003</v>
      </c>
      <c r="I1222" s="80">
        <v>28546.34</v>
      </c>
      <c r="J1222">
        <v>31.98</v>
      </c>
      <c r="K1222" s="80">
        <v>9462.6200000000008</v>
      </c>
      <c r="L1222">
        <f t="shared" si="190"/>
        <v>0</v>
      </c>
      <c r="M1222">
        <f t="shared" si="191"/>
        <v>0</v>
      </c>
      <c r="N1222">
        <f t="shared" si="192"/>
        <v>0</v>
      </c>
      <c r="O1222">
        <f t="shared" si="193"/>
        <v>0</v>
      </c>
      <c r="P1222">
        <f t="shared" si="194"/>
        <v>0</v>
      </c>
      <c r="Q1222">
        <f t="shared" si="195"/>
        <v>0</v>
      </c>
      <c r="R1222">
        <f t="shared" si="196"/>
        <v>0</v>
      </c>
      <c r="S1222">
        <f t="shared" si="197"/>
        <v>0</v>
      </c>
      <c r="T1222">
        <f t="shared" si="199"/>
        <v>0</v>
      </c>
      <c r="U1222">
        <f t="shared" si="198"/>
        <v>0</v>
      </c>
    </row>
    <row r="1223" spans="1:21" x14ac:dyDescent="0.25">
      <c r="A1223" s="2">
        <v>1222</v>
      </c>
      <c r="B1223" s="39">
        <v>1016</v>
      </c>
      <c r="C1223" s="41" t="s">
        <v>188</v>
      </c>
      <c r="D1223">
        <v>30.15</v>
      </c>
      <c r="E1223" s="80">
        <v>49283.42</v>
      </c>
      <c r="F1223">
        <v>1719.5</v>
      </c>
      <c r="G1223">
        <v>152.57</v>
      </c>
      <c r="H1223">
        <v>5191.5</v>
      </c>
      <c r="I1223" s="80">
        <v>28435.57</v>
      </c>
      <c r="J1223">
        <v>61.6</v>
      </c>
      <c r="K1223" s="80">
        <v>22054.400000000001</v>
      </c>
      <c r="L1223">
        <f t="shared" si="190"/>
        <v>0</v>
      </c>
      <c r="M1223">
        <f t="shared" si="191"/>
        <v>0</v>
      </c>
      <c r="N1223">
        <f t="shared" si="192"/>
        <v>0</v>
      </c>
      <c r="O1223">
        <f t="shared" si="193"/>
        <v>0</v>
      </c>
      <c r="P1223">
        <f t="shared" si="194"/>
        <v>0</v>
      </c>
      <c r="Q1223">
        <f t="shared" si="195"/>
        <v>0</v>
      </c>
      <c r="R1223">
        <f t="shared" si="196"/>
        <v>0</v>
      </c>
      <c r="S1223">
        <f t="shared" si="197"/>
        <v>0</v>
      </c>
      <c r="T1223">
        <f t="shared" si="199"/>
        <v>0</v>
      </c>
      <c r="U1223">
        <f t="shared" si="198"/>
        <v>0</v>
      </c>
    </row>
    <row r="1224" spans="1:21" x14ac:dyDescent="0.25">
      <c r="A1224" s="2">
        <v>1223</v>
      </c>
      <c r="B1224" s="39">
        <v>1016</v>
      </c>
      <c r="C1224" s="41" t="s">
        <v>182</v>
      </c>
      <c r="D1224" t="s">
        <v>583</v>
      </c>
      <c r="E1224">
        <v>451.29</v>
      </c>
      <c r="F1224" t="s">
        <v>583</v>
      </c>
      <c r="G1224" s="80">
        <v>11.55</v>
      </c>
      <c r="H1224" t="s">
        <v>583</v>
      </c>
      <c r="I1224">
        <v>0.36</v>
      </c>
      <c r="J1224" t="s">
        <v>583</v>
      </c>
      <c r="K1224" t="s">
        <v>583</v>
      </c>
      <c r="L1224">
        <f t="shared" si="190"/>
        <v>0</v>
      </c>
      <c r="M1224">
        <f t="shared" si="191"/>
        <v>0</v>
      </c>
      <c r="N1224">
        <f t="shared" si="192"/>
        <v>0</v>
      </c>
      <c r="O1224">
        <f t="shared" si="193"/>
        <v>0</v>
      </c>
      <c r="P1224">
        <f t="shared" si="194"/>
        <v>0</v>
      </c>
      <c r="Q1224">
        <f t="shared" si="195"/>
        <v>0</v>
      </c>
      <c r="R1224">
        <f t="shared" si="196"/>
        <v>0</v>
      </c>
      <c r="S1224">
        <f t="shared" si="197"/>
        <v>0</v>
      </c>
      <c r="T1224">
        <f t="shared" si="199"/>
        <v>0</v>
      </c>
      <c r="U1224">
        <f t="shared" si="198"/>
        <v>0</v>
      </c>
    </row>
    <row r="1225" spans="1:21" x14ac:dyDescent="0.25">
      <c r="A1225" s="2">
        <v>1224</v>
      </c>
      <c r="B1225" s="39">
        <v>1016</v>
      </c>
      <c r="C1225" s="41" t="s">
        <v>184</v>
      </c>
      <c r="D1225">
        <v>42.39</v>
      </c>
      <c r="E1225">
        <v>3566.12</v>
      </c>
      <c r="F1225">
        <v>30.63</v>
      </c>
      <c r="G1225">
        <v>75.180000000000007</v>
      </c>
      <c r="H1225">
        <v>5158.8900000000003</v>
      </c>
      <c r="I1225" s="80">
        <v>18696.68</v>
      </c>
      <c r="J1225">
        <v>25.83</v>
      </c>
      <c r="K1225">
        <v>3471.78</v>
      </c>
      <c r="L1225">
        <f t="shared" si="190"/>
        <v>0</v>
      </c>
      <c r="M1225">
        <f t="shared" si="191"/>
        <v>0</v>
      </c>
      <c r="N1225">
        <f t="shared" si="192"/>
        <v>0</v>
      </c>
      <c r="O1225">
        <f t="shared" si="193"/>
        <v>0</v>
      </c>
      <c r="P1225">
        <f t="shared" si="194"/>
        <v>0</v>
      </c>
      <c r="Q1225">
        <f t="shared" si="195"/>
        <v>0</v>
      </c>
      <c r="R1225">
        <f t="shared" si="196"/>
        <v>0</v>
      </c>
      <c r="S1225">
        <f t="shared" si="197"/>
        <v>0</v>
      </c>
      <c r="T1225">
        <f t="shared" si="199"/>
        <v>0</v>
      </c>
      <c r="U1225">
        <f t="shared" si="198"/>
        <v>0</v>
      </c>
    </row>
    <row r="1226" spans="1:21" x14ac:dyDescent="0.25">
      <c r="A1226" s="2">
        <v>1225</v>
      </c>
      <c r="B1226" s="39">
        <v>1016</v>
      </c>
      <c r="C1226" s="41" t="s">
        <v>187</v>
      </c>
      <c r="D1226">
        <v>65.319999999999993</v>
      </c>
      <c r="E1226">
        <v>3251.69</v>
      </c>
      <c r="F1226">
        <v>71.06</v>
      </c>
      <c r="G1226">
        <v>81.069999999999993</v>
      </c>
      <c r="H1226">
        <v>14846.19</v>
      </c>
      <c r="I1226" s="80">
        <v>15008.39</v>
      </c>
      <c r="J1226">
        <v>44.97</v>
      </c>
      <c r="K1226">
        <v>8141.58</v>
      </c>
      <c r="L1226">
        <f t="shared" si="190"/>
        <v>0</v>
      </c>
      <c r="M1226">
        <f t="shared" si="191"/>
        <v>0</v>
      </c>
      <c r="N1226">
        <f t="shared" si="192"/>
        <v>0</v>
      </c>
      <c r="O1226">
        <f t="shared" si="193"/>
        <v>0</v>
      </c>
      <c r="P1226">
        <f t="shared" si="194"/>
        <v>0</v>
      </c>
      <c r="Q1226">
        <f t="shared" si="195"/>
        <v>0</v>
      </c>
      <c r="R1226">
        <f t="shared" si="196"/>
        <v>0</v>
      </c>
      <c r="S1226">
        <f t="shared" si="197"/>
        <v>0</v>
      </c>
      <c r="T1226">
        <f t="shared" si="199"/>
        <v>0</v>
      </c>
      <c r="U1226">
        <f t="shared" si="198"/>
        <v>0</v>
      </c>
    </row>
    <row r="1227" spans="1:21" x14ac:dyDescent="0.25">
      <c r="A1227" s="2">
        <v>1226</v>
      </c>
      <c r="B1227" s="39">
        <v>1016</v>
      </c>
      <c r="C1227" s="41" t="s">
        <v>189</v>
      </c>
      <c r="D1227">
        <v>127.92</v>
      </c>
      <c r="E1227">
        <v>2051</v>
      </c>
      <c r="F1227">
        <v>2.2200000000000002</v>
      </c>
      <c r="G1227">
        <v>118.66</v>
      </c>
      <c r="H1227">
        <v>14373.99</v>
      </c>
      <c r="I1227" s="80">
        <v>4627.71</v>
      </c>
      <c r="J1227">
        <v>33.24</v>
      </c>
      <c r="K1227">
        <v>7563.32</v>
      </c>
      <c r="L1227">
        <f t="shared" si="190"/>
        <v>0</v>
      </c>
      <c r="M1227">
        <f t="shared" si="191"/>
        <v>0</v>
      </c>
      <c r="N1227">
        <f t="shared" si="192"/>
        <v>0</v>
      </c>
      <c r="O1227">
        <f t="shared" si="193"/>
        <v>0</v>
      </c>
      <c r="P1227">
        <f t="shared" si="194"/>
        <v>0</v>
      </c>
      <c r="Q1227">
        <f t="shared" si="195"/>
        <v>0</v>
      </c>
      <c r="R1227">
        <f t="shared" si="196"/>
        <v>0</v>
      </c>
      <c r="S1227">
        <f t="shared" si="197"/>
        <v>0</v>
      </c>
      <c r="T1227">
        <f t="shared" si="199"/>
        <v>0</v>
      </c>
      <c r="U1227">
        <f t="shared" si="198"/>
        <v>0</v>
      </c>
    </row>
    <row r="1228" spans="1:21" x14ac:dyDescent="0.25">
      <c r="A1228" s="2">
        <v>1227</v>
      </c>
      <c r="B1228" s="39">
        <v>1018</v>
      </c>
      <c r="C1228" s="41" t="s">
        <v>162</v>
      </c>
      <c r="D1228">
        <v>28.02</v>
      </c>
      <c r="E1228" s="80">
        <v>41039.85</v>
      </c>
      <c r="F1228">
        <v>129.74</v>
      </c>
      <c r="G1228">
        <v>125.27</v>
      </c>
      <c r="H1228">
        <v>10486.47</v>
      </c>
      <c r="I1228" s="80">
        <v>41402.75</v>
      </c>
      <c r="J1228">
        <v>53.16</v>
      </c>
      <c r="K1228" s="80">
        <v>12741.59</v>
      </c>
      <c r="L1228">
        <f t="shared" si="190"/>
        <v>0</v>
      </c>
      <c r="M1228">
        <f t="shared" si="191"/>
        <v>0</v>
      </c>
      <c r="N1228">
        <f t="shared" si="192"/>
        <v>0</v>
      </c>
      <c r="O1228">
        <f t="shared" si="193"/>
        <v>0</v>
      </c>
      <c r="P1228">
        <f t="shared" si="194"/>
        <v>0</v>
      </c>
      <c r="Q1228">
        <f t="shared" si="195"/>
        <v>0</v>
      </c>
      <c r="R1228">
        <f t="shared" si="196"/>
        <v>0</v>
      </c>
      <c r="S1228">
        <f t="shared" si="197"/>
        <v>0</v>
      </c>
      <c r="T1228">
        <f t="shared" si="199"/>
        <v>0</v>
      </c>
      <c r="U1228">
        <f t="shared" si="198"/>
        <v>0</v>
      </c>
    </row>
    <row r="1229" spans="1:21" x14ac:dyDescent="0.25">
      <c r="A1229" s="85">
        <v>1228</v>
      </c>
      <c r="B1229" s="54">
        <v>1018</v>
      </c>
      <c r="C1229" s="46" t="s">
        <v>170</v>
      </c>
      <c r="D1229" s="50">
        <v>20.83</v>
      </c>
      <c r="E1229" s="88">
        <v>35173.760000000002</v>
      </c>
      <c r="F1229" s="50">
        <v>171.05</v>
      </c>
      <c r="G1229" s="50">
        <v>75.180000000000007</v>
      </c>
      <c r="H1229" s="50">
        <v>16203.22</v>
      </c>
      <c r="I1229" s="88">
        <v>38108.639999999999</v>
      </c>
      <c r="J1229" s="50">
        <v>39.67</v>
      </c>
      <c r="K1229" s="50">
        <v>7356.2</v>
      </c>
      <c r="L1229">
        <f t="shared" si="190"/>
        <v>0</v>
      </c>
      <c r="M1229">
        <f t="shared" si="191"/>
        <v>0</v>
      </c>
      <c r="N1229">
        <f t="shared" si="192"/>
        <v>0</v>
      </c>
      <c r="O1229">
        <f t="shared" si="193"/>
        <v>0</v>
      </c>
      <c r="P1229">
        <f t="shared" si="194"/>
        <v>0</v>
      </c>
      <c r="Q1229">
        <f t="shared" si="195"/>
        <v>0</v>
      </c>
      <c r="R1229">
        <f t="shared" si="196"/>
        <v>0</v>
      </c>
      <c r="S1229">
        <f t="shared" si="197"/>
        <v>0</v>
      </c>
      <c r="T1229">
        <f t="shared" si="199"/>
        <v>0</v>
      </c>
      <c r="U1229">
        <f t="shared" si="198"/>
        <v>0</v>
      </c>
    </row>
    <row r="1230" spans="1:21" x14ac:dyDescent="0.25">
      <c r="A1230" s="99">
        <v>1229</v>
      </c>
      <c r="B1230" s="39">
        <v>1018</v>
      </c>
      <c r="C1230" s="41" t="s">
        <v>178</v>
      </c>
      <c r="D1230">
        <v>34.04</v>
      </c>
      <c r="E1230" s="80">
        <v>25810.53</v>
      </c>
      <c r="F1230">
        <v>222.93</v>
      </c>
      <c r="G1230">
        <v>156.94</v>
      </c>
      <c r="H1230" s="80">
        <v>28715.81</v>
      </c>
      <c r="I1230" s="80">
        <v>24172.47</v>
      </c>
      <c r="J1230">
        <v>91.12</v>
      </c>
      <c r="K1230" s="80">
        <v>8596.17</v>
      </c>
      <c r="L1230">
        <f t="shared" si="190"/>
        <v>0</v>
      </c>
      <c r="M1230">
        <f t="shared" si="191"/>
        <v>0</v>
      </c>
      <c r="N1230">
        <f t="shared" si="192"/>
        <v>0</v>
      </c>
      <c r="O1230">
        <f t="shared" si="193"/>
        <v>0</v>
      </c>
      <c r="P1230">
        <f t="shared" si="194"/>
        <v>0</v>
      </c>
      <c r="Q1230">
        <f t="shared" si="195"/>
        <v>0</v>
      </c>
      <c r="R1230">
        <f t="shared" si="196"/>
        <v>0</v>
      </c>
      <c r="S1230">
        <f t="shared" si="197"/>
        <v>0</v>
      </c>
      <c r="T1230">
        <f t="shared" si="199"/>
        <v>0</v>
      </c>
      <c r="U1230">
        <f t="shared" si="198"/>
        <v>0</v>
      </c>
    </row>
    <row r="1231" spans="1:21" x14ac:dyDescent="0.25">
      <c r="A1231" s="99">
        <v>1230</v>
      </c>
      <c r="B1231" s="39">
        <v>1018</v>
      </c>
      <c r="C1231" s="41" t="s">
        <v>163</v>
      </c>
      <c r="D1231">
        <v>36</v>
      </c>
      <c r="E1231" s="80">
        <v>25935.77</v>
      </c>
      <c r="F1231">
        <v>202.61</v>
      </c>
      <c r="G1231">
        <v>163.31</v>
      </c>
      <c r="H1231" s="80">
        <v>21191.87</v>
      </c>
      <c r="I1231" s="80">
        <v>24566.58</v>
      </c>
      <c r="J1231">
        <v>104.39</v>
      </c>
      <c r="K1231" s="80">
        <v>36293.31</v>
      </c>
      <c r="L1231">
        <f t="shared" si="190"/>
        <v>0</v>
      </c>
      <c r="M1231">
        <f t="shared" si="191"/>
        <v>0</v>
      </c>
      <c r="N1231">
        <f t="shared" si="192"/>
        <v>0</v>
      </c>
      <c r="O1231">
        <f t="shared" si="193"/>
        <v>0</v>
      </c>
      <c r="P1231">
        <f t="shared" si="194"/>
        <v>0</v>
      </c>
      <c r="Q1231">
        <f t="shared" si="195"/>
        <v>0</v>
      </c>
      <c r="R1231">
        <f t="shared" si="196"/>
        <v>0</v>
      </c>
      <c r="S1231">
        <f t="shared" si="197"/>
        <v>0</v>
      </c>
      <c r="T1231">
        <f t="shared" si="199"/>
        <v>0</v>
      </c>
      <c r="U1231">
        <f t="shared" si="198"/>
        <v>0</v>
      </c>
    </row>
    <row r="1232" spans="1:21" x14ac:dyDescent="0.25">
      <c r="A1232" s="99">
        <v>1231</v>
      </c>
      <c r="B1232" s="39">
        <v>1018</v>
      </c>
      <c r="C1232" s="41" t="s">
        <v>181</v>
      </c>
      <c r="D1232">
        <v>52.65</v>
      </c>
      <c r="E1232" t="s">
        <v>582</v>
      </c>
      <c r="F1232">
        <v>276.63</v>
      </c>
      <c r="G1232">
        <v>230.51</v>
      </c>
      <c r="H1232">
        <v>12208.81</v>
      </c>
      <c r="I1232" s="80">
        <v>25560.67</v>
      </c>
      <c r="J1232">
        <v>160.68</v>
      </c>
      <c r="K1232" t="s">
        <v>582</v>
      </c>
      <c r="L1232">
        <f t="shared" si="190"/>
        <v>0</v>
      </c>
      <c r="M1232">
        <f t="shared" si="191"/>
        <v>1</v>
      </c>
      <c r="N1232">
        <f t="shared" si="192"/>
        <v>0</v>
      </c>
      <c r="O1232">
        <f t="shared" si="193"/>
        <v>0</v>
      </c>
      <c r="P1232">
        <f t="shared" si="194"/>
        <v>0</v>
      </c>
      <c r="Q1232">
        <f t="shared" si="195"/>
        <v>0</v>
      </c>
      <c r="R1232">
        <f t="shared" si="196"/>
        <v>0</v>
      </c>
      <c r="S1232">
        <f t="shared" si="197"/>
        <v>1</v>
      </c>
      <c r="T1232">
        <f t="shared" si="199"/>
        <v>2</v>
      </c>
      <c r="U1232">
        <f t="shared" si="198"/>
        <v>1</v>
      </c>
    </row>
    <row r="1233" spans="1:21" x14ac:dyDescent="0.25">
      <c r="A1233" s="99">
        <v>1232</v>
      </c>
      <c r="B1233" s="39">
        <v>1018</v>
      </c>
      <c r="C1233" s="41" t="s">
        <v>183</v>
      </c>
      <c r="D1233">
        <v>37.99</v>
      </c>
      <c r="E1233" s="80">
        <v>56911.66</v>
      </c>
      <c r="F1233">
        <v>265.36</v>
      </c>
      <c r="G1233">
        <v>189.46</v>
      </c>
      <c r="H1233">
        <v>15485.6</v>
      </c>
      <c r="I1233" s="80">
        <v>25378.85</v>
      </c>
      <c r="J1233">
        <v>116.04</v>
      </c>
      <c r="K1233" t="s">
        <v>582</v>
      </c>
      <c r="L1233">
        <f t="shared" si="190"/>
        <v>0</v>
      </c>
      <c r="M1233">
        <f t="shared" si="191"/>
        <v>0</v>
      </c>
      <c r="N1233">
        <f t="shared" si="192"/>
        <v>0</v>
      </c>
      <c r="O1233">
        <f t="shared" si="193"/>
        <v>0</v>
      </c>
      <c r="P1233">
        <f t="shared" si="194"/>
        <v>0</v>
      </c>
      <c r="Q1233">
        <f t="shared" si="195"/>
        <v>0</v>
      </c>
      <c r="R1233">
        <f t="shared" si="196"/>
        <v>0</v>
      </c>
      <c r="S1233">
        <f t="shared" si="197"/>
        <v>1</v>
      </c>
      <c r="T1233">
        <f t="shared" si="199"/>
        <v>1</v>
      </c>
      <c r="U1233">
        <f t="shared" si="198"/>
        <v>1</v>
      </c>
    </row>
    <row r="1234" spans="1:21" x14ac:dyDescent="0.25">
      <c r="A1234" s="99">
        <v>1233</v>
      </c>
      <c r="B1234" s="39">
        <v>1018</v>
      </c>
      <c r="C1234" s="41" t="s">
        <v>186</v>
      </c>
      <c r="D1234">
        <v>44.12</v>
      </c>
      <c r="E1234" s="80">
        <v>43213.04</v>
      </c>
      <c r="F1234">
        <v>227.22</v>
      </c>
      <c r="G1234">
        <v>202.91</v>
      </c>
      <c r="H1234" s="80">
        <v>16941.89</v>
      </c>
      <c r="I1234" s="80">
        <v>25177.85</v>
      </c>
      <c r="J1234">
        <v>108.24</v>
      </c>
      <c r="K1234" s="80">
        <v>18282.71</v>
      </c>
      <c r="L1234">
        <f t="shared" si="190"/>
        <v>0</v>
      </c>
      <c r="M1234">
        <f t="shared" si="191"/>
        <v>0</v>
      </c>
      <c r="N1234">
        <f t="shared" si="192"/>
        <v>0</v>
      </c>
      <c r="O1234">
        <f t="shared" si="193"/>
        <v>0</v>
      </c>
      <c r="P1234">
        <f t="shared" si="194"/>
        <v>0</v>
      </c>
      <c r="Q1234">
        <f t="shared" si="195"/>
        <v>0</v>
      </c>
      <c r="R1234">
        <f t="shared" si="196"/>
        <v>0</v>
      </c>
      <c r="S1234">
        <f t="shared" si="197"/>
        <v>0</v>
      </c>
      <c r="T1234">
        <f t="shared" si="199"/>
        <v>0</v>
      </c>
      <c r="U1234">
        <f t="shared" si="198"/>
        <v>0</v>
      </c>
    </row>
    <row r="1235" spans="1:21" x14ac:dyDescent="0.25">
      <c r="A1235" s="99">
        <v>1234</v>
      </c>
      <c r="B1235" s="39">
        <v>1018</v>
      </c>
      <c r="C1235" s="41" t="s">
        <v>188</v>
      </c>
      <c r="D1235">
        <v>46.21</v>
      </c>
      <c r="E1235" s="80">
        <v>59253.15</v>
      </c>
      <c r="F1235">
        <v>231.91</v>
      </c>
      <c r="G1235">
        <v>169.76</v>
      </c>
      <c r="H1235">
        <v>16114.59</v>
      </c>
      <c r="I1235" s="80">
        <v>25714.97</v>
      </c>
      <c r="J1235">
        <v>127.92</v>
      </c>
      <c r="K1235" t="s">
        <v>582</v>
      </c>
      <c r="L1235">
        <f t="shared" si="190"/>
        <v>0</v>
      </c>
      <c r="M1235">
        <f t="shared" si="191"/>
        <v>0</v>
      </c>
      <c r="N1235">
        <f t="shared" si="192"/>
        <v>0</v>
      </c>
      <c r="O1235">
        <f t="shared" si="193"/>
        <v>0</v>
      </c>
      <c r="P1235">
        <f t="shared" si="194"/>
        <v>0</v>
      </c>
      <c r="Q1235">
        <f t="shared" si="195"/>
        <v>0</v>
      </c>
      <c r="R1235">
        <f t="shared" si="196"/>
        <v>0</v>
      </c>
      <c r="S1235">
        <f t="shared" si="197"/>
        <v>1</v>
      </c>
      <c r="T1235">
        <f t="shared" si="199"/>
        <v>1</v>
      </c>
      <c r="U1235">
        <f t="shared" si="198"/>
        <v>1</v>
      </c>
    </row>
    <row r="1236" spans="1:21" x14ac:dyDescent="0.25">
      <c r="A1236" s="99">
        <v>1235</v>
      </c>
      <c r="B1236" s="39">
        <v>1018</v>
      </c>
      <c r="C1236" s="41" t="s">
        <v>182</v>
      </c>
      <c r="D1236">
        <v>3.83</v>
      </c>
      <c r="E1236">
        <v>7306.07</v>
      </c>
      <c r="F1236">
        <v>0.37</v>
      </c>
      <c r="G1236">
        <v>65.180000000000007</v>
      </c>
      <c r="H1236">
        <v>1.1000000000000001</v>
      </c>
      <c r="I1236">
        <v>26.43</v>
      </c>
      <c r="J1236">
        <v>11.76</v>
      </c>
      <c r="K1236">
        <v>1.05</v>
      </c>
      <c r="L1236">
        <f t="shared" si="190"/>
        <v>0</v>
      </c>
      <c r="M1236">
        <f t="shared" si="191"/>
        <v>0</v>
      </c>
      <c r="N1236">
        <f t="shared" si="192"/>
        <v>0</v>
      </c>
      <c r="O1236">
        <f t="shared" si="193"/>
        <v>0</v>
      </c>
      <c r="P1236">
        <f t="shared" si="194"/>
        <v>0</v>
      </c>
      <c r="Q1236">
        <f t="shared" si="195"/>
        <v>0</v>
      </c>
      <c r="R1236">
        <f t="shared" si="196"/>
        <v>0</v>
      </c>
      <c r="S1236">
        <f t="shared" si="197"/>
        <v>0</v>
      </c>
      <c r="T1236">
        <f t="shared" si="199"/>
        <v>0</v>
      </c>
      <c r="U1236">
        <f t="shared" si="198"/>
        <v>0</v>
      </c>
    </row>
    <row r="1237" spans="1:21" x14ac:dyDescent="0.25">
      <c r="A1237" s="99">
        <v>1236</v>
      </c>
      <c r="B1237" s="39">
        <v>1018</v>
      </c>
      <c r="C1237" s="41" t="s">
        <v>184</v>
      </c>
      <c r="D1237">
        <v>14.64</v>
      </c>
      <c r="E1237" s="80">
        <v>36150.01</v>
      </c>
      <c r="F1237">
        <v>76.760000000000005</v>
      </c>
      <c r="G1237">
        <v>138.22</v>
      </c>
      <c r="H1237">
        <v>511.95</v>
      </c>
      <c r="I1237" s="80">
        <v>13352.04</v>
      </c>
      <c r="J1237">
        <v>43.79</v>
      </c>
      <c r="K1237">
        <v>217.97</v>
      </c>
      <c r="L1237">
        <f t="shared" si="190"/>
        <v>0</v>
      </c>
      <c r="M1237">
        <f t="shared" si="191"/>
        <v>0</v>
      </c>
      <c r="N1237">
        <f t="shared" si="192"/>
        <v>0</v>
      </c>
      <c r="O1237">
        <f t="shared" si="193"/>
        <v>0</v>
      </c>
      <c r="P1237">
        <f t="shared" si="194"/>
        <v>0</v>
      </c>
      <c r="Q1237">
        <f t="shared" si="195"/>
        <v>0</v>
      </c>
      <c r="R1237">
        <f t="shared" si="196"/>
        <v>0</v>
      </c>
      <c r="S1237">
        <f t="shared" si="197"/>
        <v>0</v>
      </c>
      <c r="T1237">
        <f t="shared" si="199"/>
        <v>0</v>
      </c>
      <c r="U1237">
        <f t="shared" si="198"/>
        <v>0</v>
      </c>
    </row>
    <row r="1238" spans="1:21" x14ac:dyDescent="0.25">
      <c r="A1238" s="99">
        <v>1237</v>
      </c>
      <c r="B1238" s="39">
        <v>1018</v>
      </c>
      <c r="C1238" s="46" t="s">
        <v>187</v>
      </c>
      <c r="D1238">
        <v>28.34</v>
      </c>
      <c r="E1238" s="80">
        <v>108879.47</v>
      </c>
      <c r="F1238">
        <v>129.44999999999999</v>
      </c>
      <c r="G1238">
        <v>189.46</v>
      </c>
      <c r="H1238">
        <v>3861.99</v>
      </c>
      <c r="I1238" s="80">
        <v>16750.12</v>
      </c>
      <c r="J1238">
        <v>71.03</v>
      </c>
      <c r="K1238">
        <v>2119.0500000000002</v>
      </c>
      <c r="L1238">
        <f t="shared" si="190"/>
        <v>0</v>
      </c>
      <c r="M1238">
        <f t="shared" si="191"/>
        <v>0</v>
      </c>
      <c r="N1238">
        <f t="shared" si="192"/>
        <v>0</v>
      </c>
      <c r="O1238">
        <f t="shared" si="193"/>
        <v>0</v>
      </c>
      <c r="P1238">
        <f t="shared" si="194"/>
        <v>0</v>
      </c>
      <c r="Q1238">
        <f t="shared" si="195"/>
        <v>0</v>
      </c>
      <c r="R1238">
        <f t="shared" si="196"/>
        <v>0</v>
      </c>
      <c r="S1238">
        <f t="shared" si="197"/>
        <v>0</v>
      </c>
      <c r="T1238">
        <f t="shared" si="199"/>
        <v>0</v>
      </c>
      <c r="U1238">
        <f t="shared" si="198"/>
        <v>0</v>
      </c>
    </row>
    <row r="1239" spans="1:21" x14ac:dyDescent="0.25">
      <c r="A1239" s="99">
        <v>1238</v>
      </c>
      <c r="B1239" s="39">
        <v>1018</v>
      </c>
      <c r="C1239" s="41" t="s">
        <v>189</v>
      </c>
      <c r="D1239">
        <v>24.7</v>
      </c>
      <c r="E1239" s="80">
        <v>47457.54</v>
      </c>
      <c r="F1239">
        <v>38.22</v>
      </c>
      <c r="G1239">
        <v>138.22</v>
      </c>
      <c r="H1239">
        <v>1164.1400000000001</v>
      </c>
      <c r="I1239" s="80">
        <v>13648.61</v>
      </c>
      <c r="J1239">
        <v>53.7</v>
      </c>
      <c r="K1239">
        <v>2111.73</v>
      </c>
      <c r="L1239">
        <f t="shared" si="190"/>
        <v>0</v>
      </c>
      <c r="M1239">
        <f t="shared" si="191"/>
        <v>0</v>
      </c>
      <c r="N1239">
        <f t="shared" si="192"/>
        <v>0</v>
      </c>
      <c r="O1239">
        <f t="shared" si="193"/>
        <v>0</v>
      </c>
      <c r="P1239">
        <f t="shared" si="194"/>
        <v>0</v>
      </c>
      <c r="Q1239">
        <f t="shared" si="195"/>
        <v>0</v>
      </c>
      <c r="R1239">
        <f t="shared" si="196"/>
        <v>0</v>
      </c>
      <c r="S1239">
        <f t="shared" si="197"/>
        <v>0</v>
      </c>
      <c r="T1239">
        <f t="shared" si="199"/>
        <v>0</v>
      </c>
      <c r="U1239">
        <f t="shared" si="198"/>
        <v>0</v>
      </c>
    </row>
    <row r="1240" spans="1:21" x14ac:dyDescent="0.25">
      <c r="A1240" s="99">
        <v>1239</v>
      </c>
      <c r="B1240" s="39">
        <v>3001</v>
      </c>
      <c r="C1240" s="41" t="s">
        <v>162</v>
      </c>
      <c r="D1240">
        <v>16.22</v>
      </c>
      <c r="E1240" s="80">
        <v>62620.76</v>
      </c>
      <c r="F1240">
        <v>1.29</v>
      </c>
      <c r="G1240">
        <v>108.48</v>
      </c>
      <c r="H1240">
        <v>8.59</v>
      </c>
      <c r="I1240">
        <v>71.33</v>
      </c>
      <c r="J1240">
        <v>35.86</v>
      </c>
      <c r="K1240">
        <v>10.49</v>
      </c>
      <c r="L1240">
        <f t="shared" si="190"/>
        <v>0</v>
      </c>
      <c r="M1240">
        <f t="shared" si="191"/>
        <v>0</v>
      </c>
      <c r="N1240">
        <f t="shared" si="192"/>
        <v>0</v>
      </c>
      <c r="O1240">
        <f t="shared" si="193"/>
        <v>0</v>
      </c>
      <c r="P1240">
        <f t="shared" si="194"/>
        <v>0</v>
      </c>
      <c r="Q1240">
        <f t="shared" si="195"/>
        <v>0</v>
      </c>
      <c r="R1240">
        <f t="shared" si="196"/>
        <v>0</v>
      </c>
      <c r="S1240">
        <f t="shared" si="197"/>
        <v>0</v>
      </c>
      <c r="T1240">
        <f t="shared" si="199"/>
        <v>0</v>
      </c>
      <c r="U1240">
        <f t="shared" si="198"/>
        <v>0</v>
      </c>
    </row>
    <row r="1241" spans="1:21" x14ac:dyDescent="0.25">
      <c r="A1241" s="99">
        <v>1240</v>
      </c>
      <c r="B1241" s="39">
        <v>3001</v>
      </c>
      <c r="C1241" s="41" t="s">
        <v>170</v>
      </c>
      <c r="D1241">
        <v>46.21</v>
      </c>
      <c r="E1241" s="80">
        <v>109111.63</v>
      </c>
      <c r="F1241">
        <v>734.13</v>
      </c>
      <c r="G1241">
        <v>244.65</v>
      </c>
      <c r="H1241">
        <v>2325.85</v>
      </c>
      <c r="I1241" s="80">
        <v>16609.79</v>
      </c>
      <c r="J1241">
        <v>96.76</v>
      </c>
      <c r="K1241">
        <v>7391.06</v>
      </c>
      <c r="L1241">
        <f t="shared" si="190"/>
        <v>0</v>
      </c>
      <c r="M1241">
        <f t="shared" si="191"/>
        <v>0</v>
      </c>
      <c r="N1241">
        <f t="shared" si="192"/>
        <v>0</v>
      </c>
      <c r="O1241">
        <f t="shared" si="193"/>
        <v>0</v>
      </c>
      <c r="P1241">
        <f t="shared" si="194"/>
        <v>0</v>
      </c>
      <c r="Q1241">
        <f t="shared" si="195"/>
        <v>0</v>
      </c>
      <c r="R1241">
        <f t="shared" si="196"/>
        <v>0</v>
      </c>
      <c r="S1241">
        <f t="shared" si="197"/>
        <v>0</v>
      </c>
      <c r="T1241">
        <f t="shared" si="199"/>
        <v>0</v>
      </c>
      <c r="U1241">
        <f t="shared" si="198"/>
        <v>0</v>
      </c>
    </row>
    <row r="1242" spans="1:21" x14ac:dyDescent="0.25">
      <c r="A1242" s="99">
        <v>1241</v>
      </c>
      <c r="B1242" s="39">
        <v>3001</v>
      </c>
      <c r="C1242" s="41" t="s">
        <v>178</v>
      </c>
      <c r="D1242">
        <v>70.84</v>
      </c>
      <c r="E1242" s="80">
        <v>90185.56</v>
      </c>
      <c r="F1242" s="80">
        <v>5552.51</v>
      </c>
      <c r="G1242">
        <v>288.36</v>
      </c>
      <c r="H1242" s="80">
        <v>19822.66</v>
      </c>
      <c r="I1242" s="80">
        <v>19317.98</v>
      </c>
      <c r="J1242">
        <v>144.12</v>
      </c>
      <c r="K1242" s="80">
        <v>15953.92</v>
      </c>
      <c r="L1242">
        <f t="shared" si="190"/>
        <v>0</v>
      </c>
      <c r="M1242">
        <f t="shared" si="191"/>
        <v>0</v>
      </c>
      <c r="N1242">
        <f t="shared" si="192"/>
        <v>0</v>
      </c>
      <c r="O1242">
        <f t="shared" si="193"/>
        <v>0</v>
      </c>
      <c r="P1242">
        <f t="shared" si="194"/>
        <v>0</v>
      </c>
      <c r="Q1242">
        <f t="shared" si="195"/>
        <v>0</v>
      </c>
      <c r="R1242">
        <f t="shared" si="196"/>
        <v>0</v>
      </c>
      <c r="S1242">
        <f t="shared" si="197"/>
        <v>0</v>
      </c>
      <c r="T1242">
        <f t="shared" si="199"/>
        <v>0</v>
      </c>
      <c r="U1242">
        <f t="shared" si="198"/>
        <v>0</v>
      </c>
    </row>
    <row r="1243" spans="1:21" x14ac:dyDescent="0.25">
      <c r="A1243" s="99">
        <v>1242</v>
      </c>
      <c r="B1243" s="39">
        <v>3001</v>
      </c>
      <c r="C1243" s="41" t="s">
        <v>163</v>
      </c>
      <c r="D1243">
        <v>40</v>
      </c>
      <c r="E1243" s="80">
        <v>47051.98</v>
      </c>
      <c r="F1243">
        <v>1682.56</v>
      </c>
      <c r="G1243">
        <v>216.59</v>
      </c>
      <c r="H1243">
        <v>3831.31</v>
      </c>
      <c r="I1243" s="80">
        <v>15935.68</v>
      </c>
      <c r="J1243">
        <v>118</v>
      </c>
      <c r="K1243" s="80">
        <v>66065.25</v>
      </c>
      <c r="L1243">
        <f t="shared" si="190"/>
        <v>0</v>
      </c>
      <c r="M1243">
        <f t="shared" si="191"/>
        <v>0</v>
      </c>
      <c r="N1243">
        <f t="shared" si="192"/>
        <v>0</v>
      </c>
      <c r="O1243">
        <f t="shared" si="193"/>
        <v>0</v>
      </c>
      <c r="P1243">
        <f t="shared" si="194"/>
        <v>0</v>
      </c>
      <c r="Q1243">
        <f t="shared" si="195"/>
        <v>0</v>
      </c>
      <c r="R1243">
        <f t="shared" si="196"/>
        <v>0</v>
      </c>
      <c r="S1243">
        <f t="shared" si="197"/>
        <v>0</v>
      </c>
      <c r="T1243">
        <f t="shared" si="199"/>
        <v>0</v>
      </c>
      <c r="U1243">
        <f t="shared" si="198"/>
        <v>0</v>
      </c>
    </row>
    <row r="1244" spans="1:21" x14ac:dyDescent="0.25">
      <c r="A1244" s="99">
        <v>1243</v>
      </c>
      <c r="B1244" s="39">
        <v>3001</v>
      </c>
      <c r="C1244" s="41" t="s">
        <v>181</v>
      </c>
      <c r="D1244">
        <v>17.84</v>
      </c>
      <c r="E1244" s="80">
        <v>187893.15</v>
      </c>
      <c r="F1244">
        <v>1.34</v>
      </c>
      <c r="G1244">
        <v>91.58</v>
      </c>
      <c r="H1244">
        <v>102.38</v>
      </c>
      <c r="I1244">
        <v>82.64</v>
      </c>
      <c r="J1244">
        <v>42.18</v>
      </c>
      <c r="K1244">
        <v>149.97999999999999</v>
      </c>
      <c r="L1244">
        <f t="shared" si="190"/>
        <v>0</v>
      </c>
      <c r="M1244">
        <f t="shared" si="191"/>
        <v>0</v>
      </c>
      <c r="N1244">
        <f t="shared" si="192"/>
        <v>0</v>
      </c>
      <c r="O1244">
        <f t="shared" si="193"/>
        <v>0</v>
      </c>
      <c r="P1244">
        <f t="shared" si="194"/>
        <v>0</v>
      </c>
      <c r="Q1244">
        <f t="shared" si="195"/>
        <v>0</v>
      </c>
      <c r="R1244">
        <f t="shared" si="196"/>
        <v>0</v>
      </c>
      <c r="S1244">
        <f t="shared" si="197"/>
        <v>0</v>
      </c>
      <c r="T1244">
        <f t="shared" si="199"/>
        <v>0</v>
      </c>
      <c r="U1244">
        <f t="shared" si="198"/>
        <v>0</v>
      </c>
    </row>
    <row r="1245" spans="1:21" x14ac:dyDescent="0.25">
      <c r="A1245" s="99">
        <v>1244</v>
      </c>
      <c r="B1245" s="39">
        <v>3001</v>
      </c>
      <c r="C1245" s="41" t="s">
        <v>183</v>
      </c>
      <c r="D1245">
        <v>42.05</v>
      </c>
      <c r="E1245" s="80">
        <v>79273.61</v>
      </c>
      <c r="F1245">
        <v>701.98</v>
      </c>
      <c r="G1245">
        <v>244.65</v>
      </c>
      <c r="H1245">
        <v>3117.2</v>
      </c>
      <c r="I1245" s="80">
        <v>19332.98</v>
      </c>
      <c r="J1245">
        <v>127.92</v>
      </c>
      <c r="K1245" t="s">
        <v>582</v>
      </c>
      <c r="L1245">
        <f t="shared" si="190"/>
        <v>0</v>
      </c>
      <c r="M1245">
        <f t="shared" si="191"/>
        <v>0</v>
      </c>
      <c r="N1245">
        <f t="shared" si="192"/>
        <v>0</v>
      </c>
      <c r="O1245">
        <f t="shared" si="193"/>
        <v>0</v>
      </c>
      <c r="P1245">
        <f t="shared" si="194"/>
        <v>0</v>
      </c>
      <c r="Q1245">
        <f t="shared" si="195"/>
        <v>0</v>
      </c>
      <c r="R1245">
        <f t="shared" si="196"/>
        <v>0</v>
      </c>
      <c r="S1245">
        <f t="shared" si="197"/>
        <v>1</v>
      </c>
      <c r="T1245">
        <f t="shared" si="199"/>
        <v>1</v>
      </c>
      <c r="U1245">
        <f t="shared" si="198"/>
        <v>1</v>
      </c>
    </row>
    <row r="1246" spans="1:21" x14ac:dyDescent="0.25">
      <c r="A1246" s="99">
        <v>1245</v>
      </c>
      <c r="B1246" s="39">
        <v>3001</v>
      </c>
      <c r="C1246" s="41" t="s">
        <v>186</v>
      </c>
      <c r="D1246">
        <v>52.65</v>
      </c>
      <c r="E1246" s="80">
        <v>127809.8</v>
      </c>
      <c r="F1246">
        <v>2277.88</v>
      </c>
      <c r="G1246">
        <v>273.58</v>
      </c>
      <c r="H1246">
        <v>11385.95</v>
      </c>
      <c r="I1246" s="80">
        <v>20266.650000000001</v>
      </c>
      <c r="J1246">
        <v>169.1</v>
      </c>
      <c r="K1246" t="s">
        <v>582</v>
      </c>
      <c r="L1246">
        <f t="shared" si="190"/>
        <v>0</v>
      </c>
      <c r="M1246">
        <f t="shared" si="191"/>
        <v>0</v>
      </c>
      <c r="N1246">
        <f t="shared" si="192"/>
        <v>0</v>
      </c>
      <c r="O1246">
        <f t="shared" si="193"/>
        <v>0</v>
      </c>
      <c r="P1246">
        <f t="shared" si="194"/>
        <v>0</v>
      </c>
      <c r="Q1246">
        <f t="shared" si="195"/>
        <v>0</v>
      </c>
      <c r="R1246">
        <f t="shared" si="196"/>
        <v>0</v>
      </c>
      <c r="S1246">
        <f t="shared" si="197"/>
        <v>1</v>
      </c>
      <c r="T1246">
        <f t="shared" si="199"/>
        <v>1</v>
      </c>
      <c r="U1246">
        <f t="shared" si="198"/>
        <v>1</v>
      </c>
    </row>
    <row r="1247" spans="1:21" x14ac:dyDescent="0.25">
      <c r="A1247" s="99">
        <v>1246</v>
      </c>
      <c r="B1247" s="39">
        <v>3001</v>
      </c>
      <c r="C1247" s="41" t="s">
        <v>188</v>
      </c>
      <c r="D1247">
        <v>42.05</v>
      </c>
      <c r="E1247" s="80">
        <v>101801.71</v>
      </c>
      <c r="F1247">
        <v>134.53</v>
      </c>
      <c r="G1247">
        <v>202.91</v>
      </c>
      <c r="H1247">
        <v>2586.2399999999998</v>
      </c>
      <c r="I1247" s="80">
        <v>15056.56</v>
      </c>
      <c r="J1247">
        <v>129.93</v>
      </c>
      <c r="K1247" s="80">
        <v>29755.57</v>
      </c>
      <c r="L1247">
        <f t="shared" si="190"/>
        <v>0</v>
      </c>
      <c r="M1247">
        <f t="shared" si="191"/>
        <v>0</v>
      </c>
      <c r="N1247">
        <f t="shared" si="192"/>
        <v>0</v>
      </c>
      <c r="O1247">
        <f t="shared" si="193"/>
        <v>0</v>
      </c>
      <c r="P1247">
        <f t="shared" si="194"/>
        <v>0</v>
      </c>
      <c r="Q1247">
        <f t="shared" si="195"/>
        <v>0</v>
      </c>
      <c r="R1247">
        <f t="shared" si="196"/>
        <v>0</v>
      </c>
      <c r="S1247">
        <f t="shared" si="197"/>
        <v>0</v>
      </c>
      <c r="T1247">
        <f t="shared" si="199"/>
        <v>0</v>
      </c>
      <c r="U1247">
        <f t="shared" si="198"/>
        <v>0</v>
      </c>
    </row>
    <row r="1248" spans="1:21" x14ac:dyDescent="0.25">
      <c r="A1248" s="99">
        <v>1247</v>
      </c>
      <c r="B1248" s="39">
        <v>3001</v>
      </c>
      <c r="C1248" s="41" t="s">
        <v>182</v>
      </c>
      <c r="D1248">
        <v>6.18</v>
      </c>
      <c r="E1248">
        <v>5835.77</v>
      </c>
      <c r="F1248">
        <v>0.52</v>
      </c>
      <c r="G1248">
        <v>32.65</v>
      </c>
      <c r="H1248">
        <v>11.38</v>
      </c>
      <c r="I1248">
        <v>167.15</v>
      </c>
      <c r="J1248">
        <v>11.76</v>
      </c>
      <c r="K1248">
        <v>2.11</v>
      </c>
      <c r="L1248">
        <f t="shared" si="190"/>
        <v>0</v>
      </c>
      <c r="M1248">
        <f t="shared" si="191"/>
        <v>0</v>
      </c>
      <c r="N1248">
        <f t="shared" si="192"/>
        <v>0</v>
      </c>
      <c r="O1248">
        <f t="shared" si="193"/>
        <v>0</v>
      </c>
      <c r="P1248">
        <f t="shared" si="194"/>
        <v>0</v>
      </c>
      <c r="Q1248">
        <f t="shared" si="195"/>
        <v>0</v>
      </c>
      <c r="R1248">
        <f t="shared" si="196"/>
        <v>0</v>
      </c>
      <c r="S1248">
        <f t="shared" si="197"/>
        <v>0</v>
      </c>
      <c r="T1248">
        <f t="shared" si="199"/>
        <v>0</v>
      </c>
      <c r="U1248">
        <f t="shared" si="198"/>
        <v>0</v>
      </c>
    </row>
    <row r="1249" spans="1:21" x14ac:dyDescent="0.25">
      <c r="A1249" s="99">
        <v>1248</v>
      </c>
      <c r="B1249" s="39">
        <v>3001</v>
      </c>
      <c r="C1249" s="41" t="s">
        <v>184</v>
      </c>
      <c r="D1249">
        <v>95.46</v>
      </c>
      <c r="E1249">
        <v>19561.88</v>
      </c>
      <c r="F1249">
        <v>47</v>
      </c>
      <c r="G1249">
        <v>150.63</v>
      </c>
      <c r="H1249">
        <v>13095.34</v>
      </c>
      <c r="I1249" s="80">
        <v>17080.93</v>
      </c>
      <c r="J1249">
        <v>80.040000000000006</v>
      </c>
      <c r="K1249">
        <v>6656.42</v>
      </c>
      <c r="L1249">
        <f t="shared" si="190"/>
        <v>0</v>
      </c>
      <c r="M1249">
        <f t="shared" si="191"/>
        <v>0</v>
      </c>
      <c r="N1249">
        <f t="shared" si="192"/>
        <v>0</v>
      </c>
      <c r="O1249">
        <f t="shared" si="193"/>
        <v>0</v>
      </c>
      <c r="P1249">
        <f t="shared" si="194"/>
        <v>0</v>
      </c>
      <c r="Q1249">
        <f t="shared" si="195"/>
        <v>0</v>
      </c>
      <c r="R1249">
        <f t="shared" si="196"/>
        <v>0</v>
      </c>
      <c r="S1249">
        <f t="shared" si="197"/>
        <v>0</v>
      </c>
      <c r="T1249">
        <f t="shared" si="199"/>
        <v>0</v>
      </c>
      <c r="U1249">
        <f t="shared" si="198"/>
        <v>0</v>
      </c>
    </row>
    <row r="1250" spans="1:21" x14ac:dyDescent="0.25">
      <c r="A1250" s="99">
        <v>1249</v>
      </c>
      <c r="B1250" s="39">
        <v>3001</v>
      </c>
      <c r="C1250" s="46" t="s">
        <v>187</v>
      </c>
      <c r="D1250">
        <v>181.08</v>
      </c>
      <c r="E1250">
        <v>19992.169999999998</v>
      </c>
      <c r="F1250">
        <v>177.33</v>
      </c>
      <c r="G1250">
        <v>169.76</v>
      </c>
      <c r="H1250">
        <v>15891.42</v>
      </c>
      <c r="I1250" s="80">
        <v>16592.63</v>
      </c>
      <c r="J1250">
        <v>127.92</v>
      </c>
      <c r="K1250" s="80">
        <v>13484.59</v>
      </c>
      <c r="L1250">
        <f t="shared" si="190"/>
        <v>0</v>
      </c>
      <c r="M1250">
        <f t="shared" si="191"/>
        <v>0</v>
      </c>
      <c r="N1250">
        <f t="shared" si="192"/>
        <v>0</v>
      </c>
      <c r="O1250">
        <f t="shared" si="193"/>
        <v>0</v>
      </c>
      <c r="P1250">
        <f t="shared" si="194"/>
        <v>0</v>
      </c>
      <c r="Q1250">
        <f t="shared" si="195"/>
        <v>0</v>
      </c>
      <c r="R1250">
        <f t="shared" si="196"/>
        <v>0</v>
      </c>
      <c r="S1250">
        <f t="shared" si="197"/>
        <v>0</v>
      </c>
      <c r="T1250">
        <f t="shared" si="199"/>
        <v>0</v>
      </c>
      <c r="U1250">
        <f t="shared" si="198"/>
        <v>0</v>
      </c>
    </row>
    <row r="1251" spans="1:21" x14ac:dyDescent="0.25">
      <c r="A1251" s="99">
        <v>1250</v>
      </c>
      <c r="B1251" s="39">
        <v>3001</v>
      </c>
      <c r="C1251" s="41" t="s">
        <v>189</v>
      </c>
      <c r="D1251">
        <v>42.05</v>
      </c>
      <c r="E1251">
        <v>13810.61</v>
      </c>
      <c r="F1251">
        <v>15.41</v>
      </c>
      <c r="G1251">
        <v>120.15</v>
      </c>
      <c r="H1251">
        <v>7260.64</v>
      </c>
      <c r="I1251" s="80">
        <v>14772.57</v>
      </c>
      <c r="J1251">
        <v>92.99</v>
      </c>
      <c r="K1251" s="80">
        <v>11871.26</v>
      </c>
      <c r="L1251">
        <f t="shared" si="190"/>
        <v>0</v>
      </c>
      <c r="M1251">
        <f t="shared" si="191"/>
        <v>0</v>
      </c>
      <c r="N1251">
        <f t="shared" si="192"/>
        <v>0</v>
      </c>
      <c r="O1251">
        <f t="shared" si="193"/>
        <v>0</v>
      </c>
      <c r="P1251">
        <f t="shared" si="194"/>
        <v>0</v>
      </c>
      <c r="Q1251">
        <f t="shared" si="195"/>
        <v>0</v>
      </c>
      <c r="R1251">
        <f t="shared" si="196"/>
        <v>0</v>
      </c>
      <c r="S1251">
        <f t="shared" si="197"/>
        <v>0</v>
      </c>
      <c r="T1251">
        <f t="shared" si="199"/>
        <v>0</v>
      </c>
      <c r="U1251">
        <f t="shared" si="198"/>
        <v>0</v>
      </c>
    </row>
    <row r="1252" spans="1:21" x14ac:dyDescent="0.25">
      <c r="A1252" s="99">
        <v>1251</v>
      </c>
      <c r="B1252" s="39">
        <v>3002</v>
      </c>
      <c r="C1252" s="41" t="s">
        <v>181</v>
      </c>
      <c r="D1252">
        <v>11.61</v>
      </c>
      <c r="E1252">
        <v>23824.73</v>
      </c>
      <c r="F1252">
        <v>0.6</v>
      </c>
      <c r="G1252">
        <v>41.34</v>
      </c>
      <c r="H1252">
        <v>58.56</v>
      </c>
      <c r="I1252">
        <v>99.64</v>
      </c>
      <c r="J1252">
        <v>25.33</v>
      </c>
      <c r="K1252">
        <v>121.08</v>
      </c>
      <c r="L1252">
        <f t="shared" si="190"/>
        <v>0</v>
      </c>
      <c r="M1252">
        <f t="shared" si="191"/>
        <v>0</v>
      </c>
      <c r="N1252">
        <f t="shared" si="192"/>
        <v>0</v>
      </c>
      <c r="O1252">
        <f t="shared" si="193"/>
        <v>0</v>
      </c>
      <c r="P1252">
        <f t="shared" si="194"/>
        <v>0</v>
      </c>
      <c r="Q1252">
        <f t="shared" si="195"/>
        <v>0</v>
      </c>
      <c r="R1252">
        <f t="shared" si="196"/>
        <v>0</v>
      </c>
      <c r="S1252">
        <f t="shared" si="197"/>
        <v>0</v>
      </c>
      <c r="T1252">
        <f t="shared" si="199"/>
        <v>0</v>
      </c>
      <c r="U1252">
        <f t="shared" si="198"/>
        <v>0</v>
      </c>
    </row>
    <row r="1253" spans="1:21" x14ac:dyDescent="0.25">
      <c r="A1253" s="99">
        <v>1252</v>
      </c>
      <c r="B1253" s="39">
        <v>3002</v>
      </c>
      <c r="C1253" s="41" t="s">
        <v>183</v>
      </c>
      <c r="D1253">
        <v>22.06</v>
      </c>
      <c r="E1253">
        <v>20598.009999999998</v>
      </c>
      <c r="F1253">
        <v>190.4</v>
      </c>
      <c r="G1253">
        <v>102.76</v>
      </c>
      <c r="H1253">
        <v>2380.2199999999998</v>
      </c>
      <c r="I1253" s="80">
        <v>16384.34</v>
      </c>
      <c r="J1253">
        <v>78.22</v>
      </c>
      <c r="K1253">
        <v>6926.24</v>
      </c>
      <c r="L1253">
        <f t="shared" si="190"/>
        <v>0</v>
      </c>
      <c r="M1253">
        <f t="shared" si="191"/>
        <v>0</v>
      </c>
      <c r="N1253">
        <f t="shared" si="192"/>
        <v>0</v>
      </c>
      <c r="O1253">
        <f t="shared" si="193"/>
        <v>0</v>
      </c>
      <c r="P1253">
        <f t="shared" si="194"/>
        <v>0</v>
      </c>
      <c r="Q1253">
        <f t="shared" si="195"/>
        <v>0</v>
      </c>
      <c r="R1253">
        <f t="shared" si="196"/>
        <v>0</v>
      </c>
      <c r="S1253">
        <f t="shared" si="197"/>
        <v>0</v>
      </c>
      <c r="T1253">
        <f t="shared" si="199"/>
        <v>0</v>
      </c>
      <c r="U1253">
        <f t="shared" si="198"/>
        <v>0</v>
      </c>
    </row>
    <row r="1254" spans="1:21" x14ac:dyDescent="0.25">
      <c r="A1254" s="99">
        <v>1253</v>
      </c>
      <c r="B1254" s="39">
        <v>3002</v>
      </c>
      <c r="C1254" s="41" t="s">
        <v>186</v>
      </c>
      <c r="D1254">
        <v>32.11</v>
      </c>
      <c r="E1254">
        <v>19889.330000000002</v>
      </c>
      <c r="F1254">
        <v>579.08000000000004</v>
      </c>
      <c r="G1254">
        <v>150.63</v>
      </c>
      <c r="H1254">
        <v>7553.04</v>
      </c>
      <c r="I1254" s="80">
        <v>18792.18</v>
      </c>
      <c r="J1254">
        <v>96.76</v>
      </c>
      <c r="K1254" s="80">
        <v>14025.25</v>
      </c>
      <c r="L1254">
        <f t="shared" si="190"/>
        <v>0</v>
      </c>
      <c r="M1254">
        <f t="shared" si="191"/>
        <v>0</v>
      </c>
      <c r="N1254">
        <f t="shared" si="192"/>
        <v>0</v>
      </c>
      <c r="O1254">
        <f t="shared" si="193"/>
        <v>0</v>
      </c>
      <c r="P1254">
        <f t="shared" si="194"/>
        <v>0</v>
      </c>
      <c r="Q1254">
        <f t="shared" si="195"/>
        <v>0</v>
      </c>
      <c r="R1254">
        <f t="shared" si="196"/>
        <v>0</v>
      </c>
      <c r="S1254">
        <f t="shared" si="197"/>
        <v>0</v>
      </c>
      <c r="T1254">
        <f t="shared" si="199"/>
        <v>0</v>
      </c>
      <c r="U1254">
        <f t="shared" si="198"/>
        <v>0</v>
      </c>
    </row>
    <row r="1255" spans="1:21" x14ac:dyDescent="0.25">
      <c r="A1255" s="99">
        <v>1254</v>
      </c>
      <c r="B1255" s="39">
        <v>3002</v>
      </c>
      <c r="C1255" s="41" t="s">
        <v>188</v>
      </c>
      <c r="D1255">
        <v>22.93</v>
      </c>
      <c r="E1255" s="80">
        <v>30760.47</v>
      </c>
      <c r="F1255">
        <v>11.88</v>
      </c>
      <c r="G1255">
        <v>126.1</v>
      </c>
      <c r="H1255">
        <v>1214.0999999999999</v>
      </c>
      <c r="I1255" s="80">
        <v>5480.53</v>
      </c>
      <c r="J1255">
        <v>71.03</v>
      </c>
      <c r="K1255">
        <v>6255.08</v>
      </c>
      <c r="L1255">
        <f t="shared" si="190"/>
        <v>0</v>
      </c>
      <c r="M1255">
        <f t="shared" si="191"/>
        <v>0</v>
      </c>
      <c r="N1255">
        <f t="shared" si="192"/>
        <v>0</v>
      </c>
      <c r="O1255">
        <f t="shared" si="193"/>
        <v>0</v>
      </c>
      <c r="P1255">
        <f t="shared" si="194"/>
        <v>0</v>
      </c>
      <c r="Q1255">
        <f t="shared" si="195"/>
        <v>0</v>
      </c>
      <c r="R1255">
        <f t="shared" si="196"/>
        <v>0</v>
      </c>
      <c r="S1255">
        <f t="shared" si="197"/>
        <v>0</v>
      </c>
      <c r="T1255">
        <f t="shared" si="199"/>
        <v>0</v>
      </c>
      <c r="U1255">
        <f t="shared" si="198"/>
        <v>0</v>
      </c>
    </row>
    <row r="1256" spans="1:21" x14ac:dyDescent="0.25">
      <c r="A1256" s="99">
        <v>1255</v>
      </c>
      <c r="B1256" s="39">
        <v>3002</v>
      </c>
      <c r="C1256" s="41" t="s">
        <v>182</v>
      </c>
      <c r="D1256">
        <v>4.97</v>
      </c>
      <c r="E1256">
        <v>3461.8</v>
      </c>
      <c r="F1256">
        <v>4.75</v>
      </c>
      <c r="G1256">
        <v>41.34</v>
      </c>
      <c r="H1256">
        <v>86.29</v>
      </c>
      <c r="I1256" s="80">
        <v>3029.46</v>
      </c>
      <c r="J1256">
        <v>4.84</v>
      </c>
      <c r="K1256">
        <v>41.66</v>
      </c>
      <c r="L1256">
        <f t="shared" si="190"/>
        <v>0</v>
      </c>
      <c r="M1256">
        <f t="shared" si="191"/>
        <v>0</v>
      </c>
      <c r="N1256">
        <f t="shared" si="192"/>
        <v>0</v>
      </c>
      <c r="O1256">
        <f t="shared" si="193"/>
        <v>0</v>
      </c>
      <c r="P1256">
        <f t="shared" si="194"/>
        <v>0</v>
      </c>
      <c r="Q1256">
        <f t="shared" si="195"/>
        <v>0</v>
      </c>
      <c r="R1256">
        <f t="shared" si="196"/>
        <v>0</v>
      </c>
      <c r="S1256">
        <f t="shared" si="197"/>
        <v>0</v>
      </c>
      <c r="T1256">
        <f t="shared" si="199"/>
        <v>0</v>
      </c>
      <c r="U1256">
        <f t="shared" si="198"/>
        <v>0</v>
      </c>
    </row>
    <row r="1257" spans="1:21" x14ac:dyDescent="0.25">
      <c r="A1257" s="99">
        <v>1256</v>
      </c>
      <c r="B1257" s="39">
        <v>3002</v>
      </c>
      <c r="C1257" s="41" t="s">
        <v>184</v>
      </c>
      <c r="D1257">
        <v>20.34</v>
      </c>
      <c r="E1257">
        <v>15252.79</v>
      </c>
      <c r="F1257">
        <v>123.81</v>
      </c>
      <c r="G1257">
        <v>120.15</v>
      </c>
      <c r="H1257">
        <v>10454.25</v>
      </c>
      <c r="I1257" s="80">
        <v>14724.38</v>
      </c>
      <c r="J1257">
        <v>50.35</v>
      </c>
      <c r="K1257">
        <v>1722.67</v>
      </c>
      <c r="L1257">
        <f t="shared" si="190"/>
        <v>0</v>
      </c>
      <c r="M1257">
        <f t="shared" si="191"/>
        <v>0</v>
      </c>
      <c r="N1257">
        <f t="shared" si="192"/>
        <v>0</v>
      </c>
      <c r="O1257">
        <f t="shared" si="193"/>
        <v>0</v>
      </c>
      <c r="P1257">
        <f t="shared" si="194"/>
        <v>0</v>
      </c>
      <c r="Q1257">
        <f t="shared" si="195"/>
        <v>0</v>
      </c>
      <c r="R1257">
        <f t="shared" si="196"/>
        <v>0</v>
      </c>
      <c r="S1257">
        <f t="shared" si="197"/>
        <v>0</v>
      </c>
      <c r="T1257">
        <f t="shared" si="199"/>
        <v>0</v>
      </c>
      <c r="U1257">
        <f t="shared" si="198"/>
        <v>0</v>
      </c>
    </row>
    <row r="1258" spans="1:21" x14ac:dyDescent="0.25">
      <c r="A1258" s="99">
        <v>1257</v>
      </c>
      <c r="B1258" s="39">
        <v>3002</v>
      </c>
      <c r="C1258" s="41" t="s">
        <v>187</v>
      </c>
      <c r="D1258">
        <v>29.27</v>
      </c>
      <c r="E1258">
        <v>17582.96</v>
      </c>
      <c r="F1258">
        <v>103.57</v>
      </c>
      <c r="G1258">
        <v>182.83</v>
      </c>
      <c r="H1258" s="80">
        <v>21770.97</v>
      </c>
      <c r="I1258" s="80">
        <v>14824.27</v>
      </c>
      <c r="J1258">
        <v>63.98</v>
      </c>
      <c r="K1258">
        <v>5290.42</v>
      </c>
      <c r="L1258">
        <f t="shared" si="190"/>
        <v>0</v>
      </c>
      <c r="M1258">
        <f t="shared" si="191"/>
        <v>0</v>
      </c>
      <c r="N1258">
        <f t="shared" si="192"/>
        <v>0</v>
      </c>
      <c r="O1258">
        <f t="shared" si="193"/>
        <v>0</v>
      </c>
      <c r="P1258">
        <f t="shared" si="194"/>
        <v>0</v>
      </c>
      <c r="Q1258">
        <f t="shared" si="195"/>
        <v>0</v>
      </c>
      <c r="R1258">
        <f t="shared" si="196"/>
        <v>0</v>
      </c>
      <c r="S1258">
        <f t="shared" si="197"/>
        <v>0</v>
      </c>
      <c r="T1258">
        <f t="shared" si="199"/>
        <v>0</v>
      </c>
      <c r="U1258">
        <f t="shared" si="198"/>
        <v>0</v>
      </c>
    </row>
    <row r="1259" spans="1:21" x14ac:dyDescent="0.25">
      <c r="A1259" s="99">
        <v>1258</v>
      </c>
      <c r="B1259" s="39">
        <v>3002</v>
      </c>
      <c r="C1259" s="27" t="s">
        <v>189</v>
      </c>
      <c r="D1259">
        <v>20.34</v>
      </c>
      <c r="E1259">
        <v>12797.62</v>
      </c>
      <c r="F1259">
        <v>33.18</v>
      </c>
      <c r="G1259">
        <v>126.1</v>
      </c>
      <c r="H1259">
        <v>5886.11</v>
      </c>
      <c r="I1259" s="80">
        <v>9704.93</v>
      </c>
      <c r="J1259">
        <v>47.05</v>
      </c>
      <c r="K1259">
        <v>4818.75</v>
      </c>
      <c r="L1259">
        <f t="shared" si="190"/>
        <v>0</v>
      </c>
      <c r="M1259">
        <f t="shared" si="191"/>
        <v>0</v>
      </c>
      <c r="N1259">
        <f t="shared" si="192"/>
        <v>0</v>
      </c>
      <c r="O1259">
        <f t="shared" si="193"/>
        <v>0</v>
      </c>
      <c r="P1259">
        <f t="shared" si="194"/>
        <v>0</v>
      </c>
      <c r="Q1259">
        <f t="shared" si="195"/>
        <v>0</v>
      </c>
      <c r="R1259">
        <f t="shared" si="196"/>
        <v>0</v>
      </c>
      <c r="S1259">
        <f t="shared" si="197"/>
        <v>0</v>
      </c>
      <c r="T1259">
        <f t="shared" si="199"/>
        <v>0</v>
      </c>
      <c r="U1259">
        <f t="shared" si="198"/>
        <v>0</v>
      </c>
    </row>
    <row r="1260" spans="1:21" x14ac:dyDescent="0.25">
      <c r="A1260" s="99">
        <v>1259</v>
      </c>
      <c r="B1260" s="39">
        <v>1063</v>
      </c>
      <c r="C1260" s="27" t="s">
        <v>162</v>
      </c>
      <c r="D1260">
        <v>21.19</v>
      </c>
      <c r="E1260" s="80">
        <v>46376.85</v>
      </c>
      <c r="F1260">
        <v>187.02</v>
      </c>
      <c r="G1260">
        <v>108.48</v>
      </c>
      <c r="H1260">
        <v>1884.49</v>
      </c>
      <c r="I1260" s="80">
        <v>12646.3</v>
      </c>
      <c r="J1260">
        <v>47.05</v>
      </c>
      <c r="K1260">
        <v>735.19</v>
      </c>
      <c r="L1260">
        <f t="shared" si="190"/>
        <v>0</v>
      </c>
      <c r="M1260">
        <f t="shared" si="191"/>
        <v>0</v>
      </c>
      <c r="N1260">
        <f t="shared" si="192"/>
        <v>0</v>
      </c>
      <c r="O1260">
        <f t="shared" si="193"/>
        <v>0</v>
      </c>
      <c r="P1260">
        <f t="shared" si="194"/>
        <v>0</v>
      </c>
      <c r="Q1260">
        <f t="shared" si="195"/>
        <v>0</v>
      </c>
      <c r="R1260">
        <f t="shared" si="196"/>
        <v>0</v>
      </c>
      <c r="S1260">
        <f t="shared" si="197"/>
        <v>0</v>
      </c>
      <c r="T1260">
        <f t="shared" si="199"/>
        <v>0</v>
      </c>
      <c r="U1260">
        <f t="shared" si="198"/>
        <v>0</v>
      </c>
    </row>
    <row r="1261" spans="1:21" x14ac:dyDescent="0.25">
      <c r="A1261" s="99">
        <v>1260</v>
      </c>
      <c r="B1261" s="39">
        <v>1063</v>
      </c>
      <c r="C1261" s="27" t="s">
        <v>170</v>
      </c>
      <c r="D1261">
        <v>27.42</v>
      </c>
      <c r="E1261" s="80">
        <v>31367.15</v>
      </c>
      <c r="F1261">
        <v>515.76</v>
      </c>
      <c r="G1261">
        <v>132.13</v>
      </c>
      <c r="H1261">
        <v>4356.24</v>
      </c>
      <c r="I1261" s="80">
        <v>16429.21</v>
      </c>
      <c r="J1261">
        <v>63.98</v>
      </c>
      <c r="K1261">
        <v>1949.47</v>
      </c>
      <c r="L1261">
        <f t="shared" si="190"/>
        <v>0</v>
      </c>
      <c r="M1261">
        <f t="shared" si="191"/>
        <v>0</v>
      </c>
      <c r="N1261">
        <f t="shared" si="192"/>
        <v>0</v>
      </c>
      <c r="O1261">
        <f t="shared" si="193"/>
        <v>0</v>
      </c>
      <c r="P1261">
        <f t="shared" si="194"/>
        <v>0</v>
      </c>
      <c r="Q1261">
        <f t="shared" si="195"/>
        <v>0</v>
      </c>
      <c r="R1261">
        <f t="shared" si="196"/>
        <v>0</v>
      </c>
      <c r="S1261">
        <f t="shared" si="197"/>
        <v>0</v>
      </c>
      <c r="T1261">
        <f t="shared" si="199"/>
        <v>0</v>
      </c>
      <c r="U1261">
        <f t="shared" si="198"/>
        <v>0</v>
      </c>
    </row>
    <row r="1262" spans="1:21" x14ac:dyDescent="0.25">
      <c r="A1262" s="99">
        <v>1261</v>
      </c>
      <c r="B1262" s="39">
        <v>1063</v>
      </c>
      <c r="C1262" s="27" t="s">
        <v>178</v>
      </c>
      <c r="D1262">
        <v>32.11</v>
      </c>
      <c r="E1262">
        <v>20740.73</v>
      </c>
      <c r="F1262">
        <v>1271.25</v>
      </c>
      <c r="G1262">
        <v>126.1</v>
      </c>
      <c r="H1262">
        <v>11841.7</v>
      </c>
      <c r="I1262" s="80">
        <v>16131.53</v>
      </c>
      <c r="J1262">
        <v>67.489999999999995</v>
      </c>
      <c r="K1262">
        <v>3191.02</v>
      </c>
      <c r="L1262">
        <f t="shared" si="190"/>
        <v>0</v>
      </c>
      <c r="M1262">
        <f t="shared" si="191"/>
        <v>0</v>
      </c>
      <c r="N1262">
        <f t="shared" si="192"/>
        <v>0</v>
      </c>
      <c r="O1262">
        <f t="shared" si="193"/>
        <v>0</v>
      </c>
      <c r="P1262">
        <f t="shared" si="194"/>
        <v>0</v>
      </c>
      <c r="Q1262">
        <f t="shared" si="195"/>
        <v>0</v>
      </c>
      <c r="R1262">
        <f t="shared" si="196"/>
        <v>0</v>
      </c>
      <c r="S1262">
        <f t="shared" si="197"/>
        <v>0</v>
      </c>
      <c r="T1262">
        <f t="shared" si="199"/>
        <v>0</v>
      </c>
      <c r="U1262">
        <f t="shared" si="198"/>
        <v>0</v>
      </c>
    </row>
    <row r="1263" spans="1:21" x14ac:dyDescent="0.25">
      <c r="A1263" s="99">
        <v>1262</v>
      </c>
      <c r="B1263" s="39">
        <v>1063</v>
      </c>
      <c r="C1263" s="27" t="s">
        <v>163</v>
      </c>
      <c r="D1263">
        <v>59.31</v>
      </c>
      <c r="E1263" s="80">
        <v>30463.61</v>
      </c>
      <c r="F1263">
        <v>722.11</v>
      </c>
      <c r="G1263">
        <v>138.22</v>
      </c>
      <c r="H1263">
        <v>8482.69</v>
      </c>
      <c r="I1263" s="80">
        <v>15329.02</v>
      </c>
      <c r="J1263">
        <v>110.18</v>
      </c>
      <c r="K1263" s="80">
        <v>15641.03</v>
      </c>
      <c r="L1263">
        <f t="shared" si="190"/>
        <v>0</v>
      </c>
      <c r="M1263">
        <f t="shared" si="191"/>
        <v>0</v>
      </c>
      <c r="N1263">
        <f t="shared" si="192"/>
        <v>0</v>
      </c>
      <c r="O1263">
        <f t="shared" si="193"/>
        <v>0</v>
      </c>
      <c r="P1263">
        <f t="shared" si="194"/>
        <v>0</v>
      </c>
      <c r="Q1263">
        <f t="shared" si="195"/>
        <v>0</v>
      </c>
      <c r="R1263">
        <f t="shared" si="196"/>
        <v>0</v>
      </c>
      <c r="S1263">
        <f t="shared" si="197"/>
        <v>0</v>
      </c>
      <c r="T1263">
        <f t="shared" si="199"/>
        <v>0</v>
      </c>
      <c r="U1263">
        <f t="shared" si="198"/>
        <v>0</v>
      </c>
    </row>
    <row r="1264" spans="1:21" x14ac:dyDescent="0.25">
      <c r="A1264" s="99">
        <v>1263</v>
      </c>
      <c r="B1264" s="39">
        <v>1063</v>
      </c>
      <c r="C1264" s="27" t="s">
        <v>181</v>
      </c>
      <c r="D1264">
        <v>21.19</v>
      </c>
      <c r="E1264" t="s">
        <v>582</v>
      </c>
      <c r="F1264">
        <v>1.52</v>
      </c>
      <c r="G1264">
        <v>80.739999999999995</v>
      </c>
      <c r="H1264">
        <v>41.46</v>
      </c>
      <c r="I1264">
        <v>83.04</v>
      </c>
      <c r="J1264">
        <v>55.39</v>
      </c>
      <c r="K1264">
        <v>45.35</v>
      </c>
      <c r="L1264">
        <f t="shared" si="190"/>
        <v>0</v>
      </c>
      <c r="M1264">
        <f t="shared" si="191"/>
        <v>1</v>
      </c>
      <c r="N1264">
        <f t="shared" si="192"/>
        <v>0</v>
      </c>
      <c r="O1264">
        <f t="shared" si="193"/>
        <v>0</v>
      </c>
      <c r="P1264">
        <f t="shared" si="194"/>
        <v>0</v>
      </c>
      <c r="Q1264">
        <f t="shared" si="195"/>
        <v>0</v>
      </c>
      <c r="R1264">
        <f t="shared" si="196"/>
        <v>0</v>
      </c>
      <c r="S1264">
        <f t="shared" si="197"/>
        <v>0</v>
      </c>
      <c r="T1264">
        <f t="shared" si="199"/>
        <v>1</v>
      </c>
      <c r="U1264">
        <f t="shared" si="198"/>
        <v>1</v>
      </c>
    </row>
    <row r="1265" spans="1:21" x14ac:dyDescent="0.25">
      <c r="A1265" s="99">
        <v>1264</v>
      </c>
      <c r="B1265" s="39">
        <v>1063</v>
      </c>
      <c r="C1265" s="27" t="s">
        <v>183</v>
      </c>
      <c r="D1265">
        <v>35.020000000000003</v>
      </c>
      <c r="E1265" t="s">
        <v>582</v>
      </c>
      <c r="F1265">
        <v>1359.38</v>
      </c>
      <c r="G1265">
        <v>189.46</v>
      </c>
      <c r="H1265">
        <v>4461.13</v>
      </c>
      <c r="I1265" s="80">
        <v>19230.27</v>
      </c>
      <c r="J1265">
        <v>116.04</v>
      </c>
      <c r="K1265">
        <v>6711.29</v>
      </c>
      <c r="L1265">
        <f t="shared" si="190"/>
        <v>0</v>
      </c>
      <c r="M1265">
        <f t="shared" si="191"/>
        <v>1</v>
      </c>
      <c r="N1265">
        <f t="shared" si="192"/>
        <v>0</v>
      </c>
      <c r="O1265">
        <f t="shared" si="193"/>
        <v>0</v>
      </c>
      <c r="P1265">
        <f t="shared" si="194"/>
        <v>0</v>
      </c>
      <c r="Q1265">
        <f t="shared" si="195"/>
        <v>0</v>
      </c>
      <c r="R1265">
        <f t="shared" si="196"/>
        <v>0</v>
      </c>
      <c r="S1265">
        <f t="shared" si="197"/>
        <v>0</v>
      </c>
      <c r="T1265">
        <f t="shared" si="199"/>
        <v>1</v>
      </c>
      <c r="U1265">
        <f t="shared" si="198"/>
        <v>1</v>
      </c>
    </row>
    <row r="1266" spans="1:21" x14ac:dyDescent="0.25">
      <c r="A1266" s="99">
        <v>1265</v>
      </c>
      <c r="B1266" s="39">
        <v>1063</v>
      </c>
      <c r="C1266" s="27" t="s">
        <v>186</v>
      </c>
      <c r="D1266">
        <v>54.85</v>
      </c>
      <c r="E1266" s="80">
        <v>409866.03</v>
      </c>
      <c r="F1266" s="80">
        <v>3938.44</v>
      </c>
      <c r="G1266">
        <v>266.27</v>
      </c>
      <c r="H1266" s="80">
        <v>25737.37</v>
      </c>
      <c r="I1266" s="80">
        <v>20606.490000000002</v>
      </c>
      <c r="J1266">
        <v>140.03</v>
      </c>
      <c r="K1266" s="80">
        <v>27366.09</v>
      </c>
      <c r="L1266">
        <f t="shared" si="190"/>
        <v>0</v>
      </c>
      <c r="M1266">
        <f t="shared" si="191"/>
        <v>0</v>
      </c>
      <c r="N1266">
        <f t="shared" si="192"/>
        <v>0</v>
      </c>
      <c r="O1266">
        <f t="shared" si="193"/>
        <v>0</v>
      </c>
      <c r="P1266">
        <f t="shared" si="194"/>
        <v>0</v>
      </c>
      <c r="Q1266">
        <f t="shared" si="195"/>
        <v>0</v>
      </c>
      <c r="R1266">
        <f t="shared" si="196"/>
        <v>0</v>
      </c>
      <c r="S1266">
        <f t="shared" si="197"/>
        <v>0</v>
      </c>
      <c r="T1266">
        <f t="shared" si="199"/>
        <v>0</v>
      </c>
      <c r="U1266">
        <f t="shared" si="198"/>
        <v>0</v>
      </c>
    </row>
    <row r="1267" spans="1:21" x14ac:dyDescent="0.25">
      <c r="A1267" s="99">
        <v>1266</v>
      </c>
      <c r="B1267" s="39">
        <v>1063</v>
      </c>
      <c r="C1267" s="27" t="s">
        <v>188</v>
      </c>
      <c r="D1267">
        <v>52.65</v>
      </c>
      <c r="E1267" t="s">
        <v>582</v>
      </c>
      <c r="F1267">
        <v>644.62</v>
      </c>
      <c r="G1267">
        <v>216.59</v>
      </c>
      <c r="H1267">
        <v>11139.72</v>
      </c>
      <c r="I1267" s="80">
        <v>19759.150000000001</v>
      </c>
      <c r="J1267">
        <v>154.43</v>
      </c>
      <c r="K1267" t="s">
        <v>582</v>
      </c>
      <c r="L1267">
        <f t="shared" si="190"/>
        <v>0</v>
      </c>
      <c r="M1267">
        <f t="shared" si="191"/>
        <v>1</v>
      </c>
      <c r="N1267">
        <f t="shared" si="192"/>
        <v>0</v>
      </c>
      <c r="O1267">
        <f t="shared" si="193"/>
        <v>0</v>
      </c>
      <c r="P1267">
        <f t="shared" si="194"/>
        <v>0</v>
      </c>
      <c r="Q1267">
        <f t="shared" si="195"/>
        <v>0</v>
      </c>
      <c r="R1267">
        <f t="shared" si="196"/>
        <v>0</v>
      </c>
      <c r="S1267">
        <f t="shared" si="197"/>
        <v>1</v>
      </c>
      <c r="T1267">
        <f t="shared" si="199"/>
        <v>2</v>
      </c>
      <c r="U1267">
        <f t="shared" si="198"/>
        <v>1</v>
      </c>
    </row>
    <row r="1268" spans="1:21" x14ac:dyDescent="0.25">
      <c r="A1268" s="99">
        <v>1267</v>
      </c>
      <c r="B1268" s="39">
        <v>1063</v>
      </c>
      <c r="C1268" s="27" t="s">
        <v>182</v>
      </c>
      <c r="D1268" s="80">
        <v>0.31</v>
      </c>
      <c r="E1268">
        <v>1265.8499999999999</v>
      </c>
      <c r="F1268" t="s">
        <v>583</v>
      </c>
      <c r="G1268" s="80">
        <v>0.51</v>
      </c>
      <c r="H1268" t="s">
        <v>583</v>
      </c>
      <c r="I1268">
        <v>0.55000000000000004</v>
      </c>
      <c r="J1268" t="s">
        <v>583</v>
      </c>
      <c r="K1268">
        <v>0.14000000000000001</v>
      </c>
      <c r="L1268">
        <f t="shared" si="190"/>
        <v>0</v>
      </c>
      <c r="M1268">
        <f t="shared" si="191"/>
        <v>0</v>
      </c>
      <c r="N1268">
        <f t="shared" si="192"/>
        <v>0</v>
      </c>
      <c r="O1268">
        <f t="shared" si="193"/>
        <v>0</v>
      </c>
      <c r="P1268">
        <f t="shared" si="194"/>
        <v>0</v>
      </c>
      <c r="Q1268">
        <f t="shared" si="195"/>
        <v>0</v>
      </c>
      <c r="R1268">
        <f t="shared" si="196"/>
        <v>0</v>
      </c>
      <c r="S1268">
        <f t="shared" si="197"/>
        <v>0</v>
      </c>
      <c r="T1268">
        <f t="shared" si="199"/>
        <v>0</v>
      </c>
      <c r="U1268">
        <f t="shared" si="198"/>
        <v>0</v>
      </c>
    </row>
    <row r="1269" spans="1:21" x14ac:dyDescent="0.25">
      <c r="A1269" s="99">
        <v>1268</v>
      </c>
      <c r="B1269" s="39">
        <v>1063</v>
      </c>
      <c r="C1269" s="27" t="s">
        <v>184</v>
      </c>
      <c r="D1269">
        <v>28.34</v>
      </c>
      <c r="E1269">
        <v>44561.97</v>
      </c>
      <c r="F1269">
        <v>142.12</v>
      </c>
      <c r="G1269">
        <v>126.1</v>
      </c>
      <c r="H1269">
        <v>4283.34</v>
      </c>
      <c r="I1269" s="80">
        <v>14835.99</v>
      </c>
      <c r="J1269">
        <v>58.8</v>
      </c>
      <c r="K1269">
        <v>265.61</v>
      </c>
      <c r="L1269">
        <f t="shared" si="190"/>
        <v>0</v>
      </c>
      <c r="M1269">
        <f t="shared" si="191"/>
        <v>0</v>
      </c>
      <c r="N1269">
        <f t="shared" si="192"/>
        <v>0</v>
      </c>
      <c r="O1269">
        <f t="shared" si="193"/>
        <v>0</v>
      </c>
      <c r="P1269">
        <f t="shared" si="194"/>
        <v>0</v>
      </c>
      <c r="Q1269">
        <f t="shared" si="195"/>
        <v>0</v>
      </c>
      <c r="R1269">
        <f t="shared" si="196"/>
        <v>0</v>
      </c>
      <c r="S1269">
        <f t="shared" si="197"/>
        <v>0</v>
      </c>
      <c r="T1269">
        <f t="shared" si="199"/>
        <v>0</v>
      </c>
      <c r="U1269">
        <f t="shared" si="198"/>
        <v>0</v>
      </c>
    </row>
    <row r="1270" spans="1:21" x14ac:dyDescent="0.25">
      <c r="A1270" s="99">
        <v>1269</v>
      </c>
      <c r="B1270" s="39">
        <v>1063</v>
      </c>
      <c r="C1270" s="27" t="s">
        <v>187</v>
      </c>
      <c r="D1270">
        <v>54.85</v>
      </c>
      <c r="E1270">
        <v>100818.89</v>
      </c>
      <c r="F1270">
        <v>233.48</v>
      </c>
      <c r="G1270">
        <v>216.59</v>
      </c>
      <c r="H1270" s="80">
        <v>16310.7</v>
      </c>
      <c r="I1270" s="80">
        <v>16050.83</v>
      </c>
      <c r="J1270">
        <v>96.76</v>
      </c>
      <c r="K1270">
        <v>3972.12</v>
      </c>
      <c r="L1270">
        <f t="shared" si="190"/>
        <v>0</v>
      </c>
      <c r="M1270">
        <f t="shared" si="191"/>
        <v>0</v>
      </c>
      <c r="N1270">
        <f t="shared" si="192"/>
        <v>0</v>
      </c>
      <c r="O1270">
        <f t="shared" si="193"/>
        <v>0</v>
      </c>
      <c r="P1270">
        <f t="shared" si="194"/>
        <v>0</v>
      </c>
      <c r="Q1270">
        <f t="shared" si="195"/>
        <v>0</v>
      </c>
      <c r="R1270">
        <f t="shared" si="196"/>
        <v>0</v>
      </c>
      <c r="S1270">
        <f t="shared" si="197"/>
        <v>0</v>
      </c>
      <c r="T1270">
        <f t="shared" si="199"/>
        <v>0</v>
      </c>
      <c r="U1270">
        <f t="shared" si="198"/>
        <v>0</v>
      </c>
    </row>
    <row r="1271" spans="1:21" x14ac:dyDescent="0.25">
      <c r="A1271" s="99">
        <v>1270</v>
      </c>
      <c r="B1271" s="39">
        <v>1063</v>
      </c>
      <c r="C1271" s="27" t="s">
        <v>189</v>
      </c>
      <c r="D1271">
        <v>34.04</v>
      </c>
      <c r="E1271" s="103">
        <v>69448.55</v>
      </c>
      <c r="F1271">
        <v>98.91</v>
      </c>
      <c r="G1271">
        <v>138.22</v>
      </c>
      <c r="H1271">
        <v>3499</v>
      </c>
      <c r="I1271" s="103">
        <v>13867.49</v>
      </c>
      <c r="J1271">
        <v>74.61</v>
      </c>
      <c r="K1271">
        <v>3301.57</v>
      </c>
      <c r="L1271">
        <f t="shared" si="190"/>
        <v>0</v>
      </c>
      <c r="M1271">
        <f t="shared" si="191"/>
        <v>0</v>
      </c>
      <c r="N1271">
        <f t="shared" si="192"/>
        <v>0</v>
      </c>
      <c r="O1271">
        <f t="shared" si="193"/>
        <v>0</v>
      </c>
      <c r="P1271">
        <f t="shared" si="194"/>
        <v>0</v>
      </c>
      <c r="Q1271">
        <f t="shared" si="195"/>
        <v>0</v>
      </c>
      <c r="R1271">
        <f t="shared" si="196"/>
        <v>0</v>
      </c>
      <c r="S1271">
        <f t="shared" si="197"/>
        <v>0</v>
      </c>
      <c r="T1271">
        <f t="shared" si="199"/>
        <v>0</v>
      </c>
      <c r="U1271">
        <f t="shared" si="198"/>
        <v>0</v>
      </c>
    </row>
    <row r="1272" spans="1:21" x14ac:dyDescent="0.25">
      <c r="A1272" s="99">
        <v>1271</v>
      </c>
      <c r="B1272" s="39">
        <v>1064</v>
      </c>
      <c r="C1272" s="41" t="s">
        <v>162</v>
      </c>
      <c r="D1272">
        <v>14.64</v>
      </c>
      <c r="E1272" s="103">
        <v>32182.87</v>
      </c>
      <c r="F1272">
        <v>0.98</v>
      </c>
      <c r="G1272">
        <v>70.27</v>
      </c>
      <c r="H1272">
        <v>1.81</v>
      </c>
      <c r="I1272">
        <v>1.6</v>
      </c>
      <c r="J1272">
        <v>31.26</v>
      </c>
      <c r="K1272">
        <v>2.62</v>
      </c>
      <c r="L1272">
        <f t="shared" si="190"/>
        <v>0</v>
      </c>
      <c r="M1272">
        <f t="shared" si="191"/>
        <v>0</v>
      </c>
      <c r="N1272">
        <f t="shared" si="192"/>
        <v>0</v>
      </c>
      <c r="O1272">
        <f t="shared" si="193"/>
        <v>0</v>
      </c>
      <c r="P1272">
        <f t="shared" si="194"/>
        <v>0</v>
      </c>
      <c r="Q1272">
        <f t="shared" si="195"/>
        <v>0</v>
      </c>
      <c r="R1272">
        <f t="shared" si="196"/>
        <v>0</v>
      </c>
      <c r="S1272">
        <f t="shared" si="197"/>
        <v>0</v>
      </c>
      <c r="T1272">
        <f t="shared" si="199"/>
        <v>0</v>
      </c>
      <c r="U1272">
        <f t="shared" si="198"/>
        <v>0</v>
      </c>
    </row>
    <row r="1273" spans="1:21" x14ac:dyDescent="0.25">
      <c r="A1273" s="99">
        <v>1272</v>
      </c>
      <c r="B1273" s="39">
        <v>1064</v>
      </c>
      <c r="C1273" s="46" t="s">
        <v>170</v>
      </c>
      <c r="D1273">
        <v>46.21</v>
      </c>
      <c r="E1273" s="103">
        <v>30365.59</v>
      </c>
      <c r="F1273">
        <v>198.05</v>
      </c>
      <c r="G1273">
        <v>126.1</v>
      </c>
      <c r="H1273">
        <v>2636.77</v>
      </c>
      <c r="I1273" s="103">
        <v>16451.3</v>
      </c>
      <c r="J1273">
        <v>57.09</v>
      </c>
      <c r="K1273">
        <v>1347.1</v>
      </c>
      <c r="L1273">
        <f t="shared" si="190"/>
        <v>0</v>
      </c>
      <c r="M1273">
        <f t="shared" si="191"/>
        <v>0</v>
      </c>
      <c r="N1273">
        <f t="shared" si="192"/>
        <v>0</v>
      </c>
      <c r="O1273">
        <f t="shared" si="193"/>
        <v>0</v>
      </c>
      <c r="P1273">
        <f t="shared" si="194"/>
        <v>0</v>
      </c>
      <c r="Q1273">
        <f t="shared" si="195"/>
        <v>0</v>
      </c>
      <c r="R1273">
        <f t="shared" si="196"/>
        <v>0</v>
      </c>
      <c r="S1273">
        <f t="shared" si="197"/>
        <v>0</v>
      </c>
      <c r="T1273">
        <f t="shared" si="199"/>
        <v>0</v>
      </c>
      <c r="U1273">
        <f t="shared" si="198"/>
        <v>0</v>
      </c>
    </row>
    <row r="1274" spans="1:21" x14ac:dyDescent="0.25">
      <c r="A1274" s="99">
        <v>1273</v>
      </c>
      <c r="B1274" s="39">
        <v>1064</v>
      </c>
      <c r="C1274" s="41" t="s">
        <v>178</v>
      </c>
      <c r="D1274">
        <v>138.57</v>
      </c>
      <c r="E1274" s="103">
        <v>50168.23</v>
      </c>
      <c r="F1274">
        <v>865.25</v>
      </c>
      <c r="G1274">
        <v>189.46</v>
      </c>
      <c r="H1274" s="103">
        <v>18109.599999999999</v>
      </c>
      <c r="I1274" s="103">
        <v>18272.48</v>
      </c>
      <c r="J1274">
        <v>104.39</v>
      </c>
      <c r="K1274">
        <v>4179.6499999999996</v>
      </c>
      <c r="L1274">
        <f t="shared" si="190"/>
        <v>0</v>
      </c>
      <c r="M1274">
        <f t="shared" si="191"/>
        <v>0</v>
      </c>
      <c r="N1274">
        <f t="shared" si="192"/>
        <v>0</v>
      </c>
      <c r="O1274">
        <f t="shared" si="193"/>
        <v>0</v>
      </c>
      <c r="P1274">
        <f t="shared" si="194"/>
        <v>0</v>
      </c>
      <c r="Q1274">
        <f t="shared" si="195"/>
        <v>0</v>
      </c>
      <c r="R1274">
        <f t="shared" si="196"/>
        <v>0</v>
      </c>
      <c r="S1274">
        <f t="shared" si="197"/>
        <v>0</v>
      </c>
      <c r="T1274">
        <f t="shared" si="199"/>
        <v>0</v>
      </c>
      <c r="U1274">
        <f t="shared" si="198"/>
        <v>0</v>
      </c>
    </row>
    <row r="1275" spans="1:21" x14ac:dyDescent="0.25">
      <c r="A1275" s="99">
        <v>1274</v>
      </c>
      <c r="B1275" s="39">
        <v>1064</v>
      </c>
      <c r="C1275" s="41" t="s">
        <v>163</v>
      </c>
      <c r="D1275">
        <v>479.69</v>
      </c>
      <c r="E1275" s="103">
        <v>31949.599999999999</v>
      </c>
      <c r="F1275">
        <v>195.12</v>
      </c>
      <c r="G1275">
        <v>216.59</v>
      </c>
      <c r="H1275" s="103">
        <v>32027.37</v>
      </c>
      <c r="I1275" s="103">
        <v>16801.759999999998</v>
      </c>
      <c r="J1275">
        <v>152.36000000000001</v>
      </c>
      <c r="K1275" s="103">
        <v>41582.58</v>
      </c>
      <c r="L1275">
        <f t="shared" si="190"/>
        <v>0</v>
      </c>
      <c r="M1275">
        <f t="shared" si="191"/>
        <v>0</v>
      </c>
      <c r="N1275">
        <f t="shared" si="192"/>
        <v>0</v>
      </c>
      <c r="O1275">
        <f t="shared" si="193"/>
        <v>0</v>
      </c>
      <c r="P1275">
        <f t="shared" si="194"/>
        <v>0</v>
      </c>
      <c r="Q1275">
        <f t="shared" si="195"/>
        <v>0</v>
      </c>
      <c r="R1275">
        <f t="shared" si="196"/>
        <v>0</v>
      </c>
      <c r="S1275">
        <f t="shared" si="197"/>
        <v>0</v>
      </c>
      <c r="T1275">
        <f t="shared" si="199"/>
        <v>0</v>
      </c>
      <c r="U1275">
        <f t="shared" si="198"/>
        <v>0</v>
      </c>
    </row>
    <row r="1276" spans="1:21" x14ac:dyDescent="0.25">
      <c r="A1276" s="99">
        <v>1275</v>
      </c>
      <c r="B1276" s="39">
        <v>1064</v>
      </c>
      <c r="C1276" s="41" t="s">
        <v>181</v>
      </c>
      <c r="D1276">
        <v>17.84</v>
      </c>
      <c r="E1276" s="103">
        <v>57435.66</v>
      </c>
      <c r="F1276">
        <v>1.1100000000000001</v>
      </c>
      <c r="G1276">
        <v>70.27</v>
      </c>
      <c r="H1276">
        <v>163.05000000000001</v>
      </c>
      <c r="I1276">
        <v>146.77000000000001</v>
      </c>
      <c r="J1276">
        <v>43.79</v>
      </c>
      <c r="K1276">
        <v>52.19</v>
      </c>
      <c r="L1276">
        <f t="shared" si="190"/>
        <v>0</v>
      </c>
      <c r="M1276">
        <f t="shared" si="191"/>
        <v>0</v>
      </c>
      <c r="N1276">
        <f t="shared" si="192"/>
        <v>0</v>
      </c>
      <c r="O1276">
        <f t="shared" si="193"/>
        <v>0</v>
      </c>
      <c r="P1276">
        <f t="shared" si="194"/>
        <v>0</v>
      </c>
      <c r="Q1276">
        <f t="shared" si="195"/>
        <v>0</v>
      </c>
      <c r="R1276">
        <f t="shared" si="196"/>
        <v>0</v>
      </c>
      <c r="S1276">
        <f t="shared" si="197"/>
        <v>0</v>
      </c>
      <c r="T1276">
        <f t="shared" si="199"/>
        <v>0</v>
      </c>
      <c r="U1276">
        <f t="shared" si="198"/>
        <v>0</v>
      </c>
    </row>
    <row r="1277" spans="1:21" x14ac:dyDescent="0.25">
      <c r="A1277" s="99">
        <v>1276</v>
      </c>
      <c r="B1277" s="39">
        <v>1064</v>
      </c>
      <c r="C1277" s="41" t="s">
        <v>183</v>
      </c>
      <c r="D1277">
        <v>37.99</v>
      </c>
      <c r="E1277" s="103">
        <v>43247.61</v>
      </c>
      <c r="F1277">
        <v>460.54</v>
      </c>
      <c r="G1277">
        <v>163.31</v>
      </c>
      <c r="H1277">
        <v>5942.34</v>
      </c>
      <c r="I1277" s="103">
        <v>20109.189999999999</v>
      </c>
      <c r="J1277">
        <v>119.97</v>
      </c>
      <c r="K1277" s="103">
        <v>10537.5</v>
      </c>
      <c r="L1277">
        <f t="shared" si="190"/>
        <v>0</v>
      </c>
      <c r="M1277">
        <f t="shared" si="191"/>
        <v>0</v>
      </c>
      <c r="N1277">
        <f t="shared" si="192"/>
        <v>0</v>
      </c>
      <c r="O1277">
        <f t="shared" si="193"/>
        <v>0</v>
      </c>
      <c r="P1277">
        <f t="shared" si="194"/>
        <v>0</v>
      </c>
      <c r="Q1277">
        <f t="shared" si="195"/>
        <v>0</v>
      </c>
      <c r="R1277">
        <f t="shared" si="196"/>
        <v>0</v>
      </c>
      <c r="S1277">
        <f t="shared" si="197"/>
        <v>0</v>
      </c>
      <c r="T1277">
        <f t="shared" si="199"/>
        <v>0</v>
      </c>
      <c r="U1277">
        <f t="shared" si="198"/>
        <v>0</v>
      </c>
    </row>
    <row r="1278" spans="1:21" ht="15.75" thickBot="1" x14ac:dyDescent="0.3">
      <c r="A1278" s="99">
        <v>1277</v>
      </c>
      <c r="B1278" s="39">
        <v>1064</v>
      </c>
      <c r="C1278" s="41" t="s">
        <v>186</v>
      </c>
      <c r="D1278">
        <v>38.99</v>
      </c>
      <c r="E1278" s="103">
        <v>37602.03</v>
      </c>
      <c r="F1278">
        <v>814.78</v>
      </c>
      <c r="G1278">
        <v>189.46</v>
      </c>
      <c r="H1278">
        <v>12247.06</v>
      </c>
      <c r="I1278" s="103">
        <v>20562.099999999999</v>
      </c>
      <c r="J1278">
        <v>112.13</v>
      </c>
      <c r="K1278" s="103">
        <v>15544.59</v>
      </c>
      <c r="L1278">
        <f t="shared" si="190"/>
        <v>0</v>
      </c>
      <c r="M1278">
        <f t="shared" si="191"/>
        <v>0</v>
      </c>
      <c r="N1278">
        <f t="shared" si="192"/>
        <v>0</v>
      </c>
      <c r="O1278">
        <f t="shared" si="193"/>
        <v>0</v>
      </c>
      <c r="P1278">
        <f t="shared" si="194"/>
        <v>0</v>
      </c>
      <c r="Q1278">
        <f t="shared" si="195"/>
        <v>0</v>
      </c>
      <c r="R1278">
        <f t="shared" si="196"/>
        <v>0</v>
      </c>
      <c r="S1278">
        <f t="shared" si="197"/>
        <v>0</v>
      </c>
      <c r="T1278">
        <f t="shared" si="199"/>
        <v>0</v>
      </c>
      <c r="U1278">
        <f t="shared" si="198"/>
        <v>0</v>
      </c>
    </row>
    <row r="1279" spans="1:21" x14ac:dyDescent="0.25">
      <c r="A1279" s="99">
        <v>1278</v>
      </c>
      <c r="B1279" s="39">
        <v>1064</v>
      </c>
      <c r="C1279" s="40" t="s">
        <v>188</v>
      </c>
      <c r="D1279">
        <v>17.02</v>
      </c>
      <c r="E1279">
        <v>5873.85</v>
      </c>
      <c r="F1279">
        <v>16.649999999999999</v>
      </c>
      <c r="G1279">
        <v>102.76</v>
      </c>
      <c r="H1279">
        <v>13490.06</v>
      </c>
      <c r="I1279" s="103">
        <v>15299.75</v>
      </c>
      <c r="J1279">
        <v>85.54</v>
      </c>
      <c r="K1279" s="103">
        <v>13215.75</v>
      </c>
      <c r="L1279">
        <f t="shared" si="190"/>
        <v>0</v>
      </c>
      <c r="M1279">
        <f t="shared" si="191"/>
        <v>0</v>
      </c>
      <c r="N1279">
        <f t="shared" si="192"/>
        <v>0</v>
      </c>
      <c r="O1279">
        <f t="shared" si="193"/>
        <v>0</v>
      </c>
      <c r="P1279">
        <f t="shared" si="194"/>
        <v>0</v>
      </c>
      <c r="Q1279">
        <f t="shared" si="195"/>
        <v>0</v>
      </c>
      <c r="R1279">
        <f t="shared" si="196"/>
        <v>0</v>
      </c>
      <c r="S1279">
        <f t="shared" si="197"/>
        <v>0</v>
      </c>
      <c r="T1279">
        <f t="shared" si="199"/>
        <v>0</v>
      </c>
      <c r="U1279">
        <f t="shared" si="198"/>
        <v>0</v>
      </c>
    </row>
    <row r="1280" spans="1:21" x14ac:dyDescent="0.25">
      <c r="A1280" s="99">
        <v>1279</v>
      </c>
      <c r="B1280" s="39">
        <v>1064</v>
      </c>
      <c r="C1280" s="41" t="s">
        <v>182</v>
      </c>
      <c r="D1280" s="103">
        <v>0.31</v>
      </c>
      <c r="E1280">
        <v>1974.96</v>
      </c>
      <c r="F1280">
        <v>0.15</v>
      </c>
      <c r="G1280" s="103">
        <v>0.51</v>
      </c>
      <c r="H1280">
        <v>1.33</v>
      </c>
      <c r="I1280">
        <v>9.77</v>
      </c>
      <c r="J1280">
        <v>2.85</v>
      </c>
      <c r="K1280">
        <v>0.43</v>
      </c>
      <c r="L1280">
        <f t="shared" si="190"/>
        <v>0</v>
      </c>
      <c r="M1280">
        <f t="shared" si="191"/>
        <v>0</v>
      </c>
      <c r="N1280">
        <f t="shared" si="192"/>
        <v>0</v>
      </c>
      <c r="O1280">
        <f t="shared" si="193"/>
        <v>0</v>
      </c>
      <c r="P1280">
        <f t="shared" si="194"/>
        <v>0</v>
      </c>
      <c r="Q1280">
        <f t="shared" si="195"/>
        <v>0</v>
      </c>
      <c r="R1280">
        <f t="shared" si="196"/>
        <v>0</v>
      </c>
      <c r="S1280">
        <f t="shared" si="197"/>
        <v>0</v>
      </c>
      <c r="T1280">
        <f t="shared" si="199"/>
        <v>0</v>
      </c>
      <c r="U1280">
        <f t="shared" si="198"/>
        <v>0</v>
      </c>
    </row>
    <row r="1281" spans="1:21" x14ac:dyDescent="0.25">
      <c r="A1281" s="99">
        <v>1280</v>
      </c>
      <c r="B1281" s="39">
        <v>1064</v>
      </c>
      <c r="C1281" s="41" t="s">
        <v>184</v>
      </c>
      <c r="D1281">
        <v>11.61</v>
      </c>
      <c r="E1281">
        <v>14549.84</v>
      </c>
      <c r="F1281">
        <v>32.56</v>
      </c>
      <c r="G1281">
        <v>50.53</v>
      </c>
      <c r="H1281">
        <v>788.43</v>
      </c>
      <c r="I1281" s="103">
        <v>10046.83</v>
      </c>
      <c r="J1281">
        <v>28.26</v>
      </c>
      <c r="K1281">
        <v>54.92</v>
      </c>
      <c r="L1281">
        <f t="shared" si="190"/>
        <v>0</v>
      </c>
      <c r="M1281">
        <f t="shared" si="191"/>
        <v>0</v>
      </c>
      <c r="N1281">
        <f t="shared" si="192"/>
        <v>0</v>
      </c>
      <c r="O1281">
        <f t="shared" si="193"/>
        <v>0</v>
      </c>
      <c r="P1281">
        <f t="shared" si="194"/>
        <v>0</v>
      </c>
      <c r="Q1281">
        <f t="shared" si="195"/>
        <v>0</v>
      </c>
      <c r="R1281">
        <f t="shared" si="196"/>
        <v>0</v>
      </c>
      <c r="S1281">
        <f t="shared" si="197"/>
        <v>0</v>
      </c>
      <c r="T1281">
        <f t="shared" si="199"/>
        <v>0</v>
      </c>
      <c r="U1281">
        <f t="shared" si="198"/>
        <v>0</v>
      </c>
    </row>
    <row r="1282" spans="1:21" x14ac:dyDescent="0.25">
      <c r="A1282" s="99">
        <v>1281</v>
      </c>
      <c r="B1282" s="39">
        <v>1064</v>
      </c>
      <c r="C1282" s="41" t="s">
        <v>187</v>
      </c>
      <c r="D1282">
        <v>30.21</v>
      </c>
      <c r="E1282" s="103">
        <v>38548.19</v>
      </c>
      <c r="F1282">
        <v>70.930000000000007</v>
      </c>
      <c r="G1282">
        <v>132.13</v>
      </c>
      <c r="H1282">
        <v>5427.04</v>
      </c>
      <c r="I1282" s="103">
        <v>14225.43</v>
      </c>
      <c r="J1282">
        <v>67.489999999999995</v>
      </c>
      <c r="K1282">
        <v>1510.72</v>
      </c>
      <c r="L1282">
        <f t="shared" ref="L1282:L1345" si="200">IF(D1282 = "OOR &gt;", 1,0)</f>
        <v>0</v>
      </c>
      <c r="M1282">
        <f t="shared" ref="M1282:M1345" si="201">IF(E1282 = "OOR &gt;", 1,0)</f>
        <v>0</v>
      </c>
      <c r="N1282">
        <f t="shared" ref="N1282:N1345" si="202">IF(F1282 = "OOR &gt;", 1,0)</f>
        <v>0</v>
      </c>
      <c r="O1282">
        <f t="shared" ref="O1282:O1345" si="203">IF(G1282 = "OOR &gt;", 1,0)</f>
        <v>0</v>
      </c>
      <c r="P1282">
        <f t="shared" ref="P1282:P1345" si="204">IF(H1282 = "OOR &gt;", 1,0)</f>
        <v>0</v>
      </c>
      <c r="Q1282">
        <f t="shared" ref="Q1282:Q1345" si="205">IF(I1282 = "OOR &gt;", 1,0)</f>
        <v>0</v>
      </c>
      <c r="R1282">
        <f t="shared" ref="R1282:R1345" si="206">IF(J1282 = "OOR &gt;", 1,0)</f>
        <v>0</v>
      </c>
      <c r="S1282">
        <f t="shared" ref="S1282:S1345" si="207">IF(K1282 = "OOR &gt;", 1,0)</f>
        <v>0</v>
      </c>
      <c r="T1282">
        <f t="shared" si="199"/>
        <v>0</v>
      </c>
      <c r="U1282">
        <f t="shared" ref="U1282:U1345" si="208">IF(T1282 &gt; 0,1,0)</f>
        <v>0</v>
      </c>
    </row>
    <row r="1283" spans="1:21" x14ac:dyDescent="0.25">
      <c r="A1283" s="99">
        <v>1282</v>
      </c>
      <c r="B1283" s="39">
        <v>1064</v>
      </c>
      <c r="C1283" s="41" t="s">
        <v>189</v>
      </c>
      <c r="D1283">
        <v>24.7</v>
      </c>
      <c r="E1283" s="103">
        <v>30035.73</v>
      </c>
      <c r="F1283">
        <v>43.87</v>
      </c>
      <c r="G1283">
        <v>91.58</v>
      </c>
      <c r="H1283">
        <v>3220.6</v>
      </c>
      <c r="I1283" s="103">
        <v>11059.52</v>
      </c>
      <c r="J1283">
        <v>60.51</v>
      </c>
      <c r="K1283">
        <v>3061.78</v>
      </c>
      <c r="L1283">
        <f t="shared" si="200"/>
        <v>0</v>
      </c>
      <c r="M1283">
        <f t="shared" si="201"/>
        <v>0</v>
      </c>
      <c r="N1283">
        <f t="shared" si="202"/>
        <v>0</v>
      </c>
      <c r="O1283">
        <f t="shared" si="203"/>
        <v>0</v>
      </c>
      <c r="P1283">
        <f t="shared" si="204"/>
        <v>0</v>
      </c>
      <c r="Q1283">
        <f t="shared" si="205"/>
        <v>0</v>
      </c>
      <c r="R1283">
        <f t="shared" si="206"/>
        <v>0</v>
      </c>
      <c r="S1283">
        <f t="shared" si="207"/>
        <v>0</v>
      </c>
      <c r="T1283">
        <f t="shared" ref="T1283:T1346" si="209">SUMIF(L1283:S1283,"&gt;0")</f>
        <v>0</v>
      </c>
      <c r="U1283">
        <f t="shared" si="208"/>
        <v>0</v>
      </c>
    </row>
    <row r="1284" spans="1:21" x14ac:dyDescent="0.25">
      <c r="A1284" s="99">
        <v>1283</v>
      </c>
      <c r="B1284" s="39">
        <v>3003</v>
      </c>
      <c r="C1284" s="41" t="s">
        <v>162</v>
      </c>
      <c r="D1284">
        <v>13.86</v>
      </c>
      <c r="E1284" s="103">
        <v>32311.19</v>
      </c>
      <c r="F1284">
        <v>0.94</v>
      </c>
      <c r="G1284">
        <v>50.53</v>
      </c>
      <c r="H1284">
        <v>1.81</v>
      </c>
      <c r="I1284">
        <v>3.78</v>
      </c>
      <c r="J1284">
        <v>29.75</v>
      </c>
      <c r="K1284">
        <v>5.35</v>
      </c>
      <c r="L1284">
        <f t="shared" si="200"/>
        <v>0</v>
      </c>
      <c r="M1284">
        <f t="shared" si="201"/>
        <v>0</v>
      </c>
      <c r="N1284">
        <f t="shared" si="202"/>
        <v>0</v>
      </c>
      <c r="O1284">
        <f t="shared" si="203"/>
        <v>0</v>
      </c>
      <c r="P1284">
        <f t="shared" si="204"/>
        <v>0</v>
      </c>
      <c r="Q1284">
        <f t="shared" si="205"/>
        <v>0</v>
      </c>
      <c r="R1284">
        <f t="shared" si="206"/>
        <v>0</v>
      </c>
      <c r="S1284">
        <f t="shared" si="207"/>
        <v>0</v>
      </c>
      <c r="T1284">
        <f t="shared" si="209"/>
        <v>0</v>
      </c>
      <c r="U1284">
        <f t="shared" si="208"/>
        <v>0</v>
      </c>
    </row>
    <row r="1285" spans="1:21" x14ac:dyDescent="0.25">
      <c r="A1285" s="99">
        <v>1284</v>
      </c>
      <c r="B1285" s="39">
        <v>3003</v>
      </c>
      <c r="C1285" s="46" t="s">
        <v>170</v>
      </c>
      <c r="D1285">
        <v>19.5</v>
      </c>
      <c r="E1285">
        <v>23025.13</v>
      </c>
      <c r="F1285">
        <v>169.02</v>
      </c>
      <c r="G1285">
        <v>91.58</v>
      </c>
      <c r="H1285">
        <v>1215.0899999999999</v>
      </c>
      <c r="I1285" s="103">
        <v>11584.33</v>
      </c>
      <c r="J1285">
        <v>40.58</v>
      </c>
      <c r="K1285">
        <v>757.93</v>
      </c>
      <c r="L1285">
        <f t="shared" si="200"/>
        <v>0</v>
      </c>
      <c r="M1285">
        <f t="shared" si="201"/>
        <v>0</v>
      </c>
      <c r="N1285">
        <f t="shared" si="202"/>
        <v>0</v>
      </c>
      <c r="O1285">
        <f t="shared" si="203"/>
        <v>0</v>
      </c>
      <c r="P1285">
        <f t="shared" si="204"/>
        <v>0</v>
      </c>
      <c r="Q1285">
        <f t="shared" si="205"/>
        <v>0</v>
      </c>
      <c r="R1285">
        <f t="shared" si="206"/>
        <v>0</v>
      </c>
      <c r="S1285">
        <f t="shared" si="207"/>
        <v>0</v>
      </c>
      <c r="T1285">
        <f t="shared" si="209"/>
        <v>0</v>
      </c>
      <c r="U1285">
        <f t="shared" si="208"/>
        <v>0</v>
      </c>
    </row>
    <row r="1286" spans="1:21" x14ac:dyDescent="0.25">
      <c r="A1286" s="99">
        <v>1285</v>
      </c>
      <c r="B1286" s="39">
        <v>3003</v>
      </c>
      <c r="C1286" s="41" t="s">
        <v>178</v>
      </c>
      <c r="D1286">
        <v>50.48</v>
      </c>
      <c r="E1286" s="103">
        <v>31387.68</v>
      </c>
      <c r="F1286">
        <v>860.03</v>
      </c>
      <c r="G1286">
        <v>138.22</v>
      </c>
      <c r="H1286">
        <v>6048.19</v>
      </c>
      <c r="I1286" s="103">
        <v>15839.8</v>
      </c>
      <c r="J1286">
        <v>63.98</v>
      </c>
      <c r="K1286">
        <v>1689.25</v>
      </c>
      <c r="L1286">
        <f t="shared" si="200"/>
        <v>0</v>
      </c>
      <c r="M1286">
        <f t="shared" si="201"/>
        <v>0</v>
      </c>
      <c r="N1286">
        <f t="shared" si="202"/>
        <v>0</v>
      </c>
      <c r="O1286">
        <f t="shared" si="203"/>
        <v>0</v>
      </c>
      <c r="P1286">
        <f t="shared" si="204"/>
        <v>0</v>
      </c>
      <c r="Q1286">
        <f t="shared" si="205"/>
        <v>0</v>
      </c>
      <c r="R1286">
        <f t="shared" si="206"/>
        <v>0</v>
      </c>
      <c r="S1286">
        <f t="shared" si="207"/>
        <v>0</v>
      </c>
      <c r="T1286">
        <f t="shared" si="209"/>
        <v>0</v>
      </c>
      <c r="U1286">
        <f t="shared" si="208"/>
        <v>0</v>
      </c>
    </row>
    <row r="1287" spans="1:21" x14ac:dyDescent="0.25">
      <c r="A1287" s="99">
        <v>1286</v>
      </c>
      <c r="B1287" s="39">
        <v>3003</v>
      </c>
      <c r="C1287" s="41" t="s">
        <v>163</v>
      </c>
      <c r="D1287">
        <v>44.12</v>
      </c>
      <c r="E1287" s="103">
        <v>31346.639999999999</v>
      </c>
      <c r="F1287">
        <v>392.62</v>
      </c>
      <c r="G1287">
        <v>102.76</v>
      </c>
      <c r="H1287">
        <v>3586.75</v>
      </c>
      <c r="I1287" s="103">
        <v>12045.7</v>
      </c>
      <c r="J1287">
        <v>78.22</v>
      </c>
      <c r="K1287">
        <v>7665.23</v>
      </c>
      <c r="L1287">
        <f t="shared" si="200"/>
        <v>0</v>
      </c>
      <c r="M1287">
        <f t="shared" si="201"/>
        <v>0</v>
      </c>
      <c r="N1287">
        <f t="shared" si="202"/>
        <v>0</v>
      </c>
      <c r="O1287">
        <f t="shared" si="203"/>
        <v>0</v>
      </c>
      <c r="P1287">
        <f t="shared" si="204"/>
        <v>0</v>
      </c>
      <c r="Q1287">
        <f t="shared" si="205"/>
        <v>0</v>
      </c>
      <c r="R1287">
        <f t="shared" si="206"/>
        <v>0</v>
      </c>
      <c r="S1287">
        <f t="shared" si="207"/>
        <v>0</v>
      </c>
      <c r="T1287">
        <f t="shared" si="209"/>
        <v>0</v>
      </c>
      <c r="U1287">
        <f t="shared" si="208"/>
        <v>0</v>
      </c>
    </row>
    <row r="1288" spans="1:21" x14ac:dyDescent="0.25">
      <c r="A1288" s="99">
        <v>1287</v>
      </c>
      <c r="B1288" s="39">
        <v>3003</v>
      </c>
      <c r="C1288" s="41" t="s">
        <v>181</v>
      </c>
      <c r="D1288">
        <v>22.93</v>
      </c>
      <c r="E1288" t="s">
        <v>582</v>
      </c>
      <c r="F1288">
        <v>4.33</v>
      </c>
      <c r="G1288">
        <v>126.1</v>
      </c>
      <c r="H1288">
        <v>906.06</v>
      </c>
      <c r="I1288">
        <v>1239.29</v>
      </c>
      <c r="J1288">
        <v>57.09</v>
      </c>
      <c r="K1288">
        <v>156.93</v>
      </c>
      <c r="L1288">
        <f t="shared" si="200"/>
        <v>0</v>
      </c>
      <c r="M1288">
        <f t="shared" si="201"/>
        <v>1</v>
      </c>
      <c r="N1288">
        <f t="shared" si="202"/>
        <v>0</v>
      </c>
      <c r="O1288">
        <f t="shared" si="203"/>
        <v>0</v>
      </c>
      <c r="P1288">
        <f t="shared" si="204"/>
        <v>0</v>
      </c>
      <c r="Q1288">
        <f t="shared" si="205"/>
        <v>0</v>
      </c>
      <c r="R1288">
        <f t="shared" si="206"/>
        <v>0</v>
      </c>
      <c r="S1288">
        <f t="shared" si="207"/>
        <v>0</v>
      </c>
      <c r="T1288">
        <f t="shared" si="209"/>
        <v>1</v>
      </c>
      <c r="U1288">
        <f t="shared" si="208"/>
        <v>1</v>
      </c>
    </row>
    <row r="1289" spans="1:21" x14ac:dyDescent="0.25">
      <c r="A1289" s="99">
        <v>1288</v>
      </c>
      <c r="B1289" s="39">
        <v>3003</v>
      </c>
      <c r="C1289" s="46" t="s">
        <v>183</v>
      </c>
      <c r="D1289">
        <v>34.04</v>
      </c>
      <c r="E1289" s="103">
        <v>55780.1</v>
      </c>
      <c r="F1289">
        <v>1478.77</v>
      </c>
      <c r="G1289">
        <v>182.83</v>
      </c>
      <c r="H1289">
        <v>6960.83</v>
      </c>
      <c r="I1289" s="103">
        <v>19447.14</v>
      </c>
      <c r="J1289">
        <v>104.39</v>
      </c>
      <c r="K1289">
        <v>5906.89</v>
      </c>
      <c r="L1289">
        <f t="shared" si="200"/>
        <v>0</v>
      </c>
      <c r="M1289">
        <f t="shared" si="201"/>
        <v>0</v>
      </c>
      <c r="N1289">
        <f t="shared" si="202"/>
        <v>0</v>
      </c>
      <c r="O1289">
        <f t="shared" si="203"/>
        <v>0</v>
      </c>
      <c r="P1289">
        <f t="shared" si="204"/>
        <v>0</v>
      </c>
      <c r="Q1289">
        <f t="shared" si="205"/>
        <v>0</v>
      </c>
      <c r="R1289">
        <f t="shared" si="206"/>
        <v>0</v>
      </c>
      <c r="S1289">
        <f t="shared" si="207"/>
        <v>0</v>
      </c>
      <c r="T1289">
        <f t="shared" si="209"/>
        <v>0</v>
      </c>
      <c r="U1289">
        <f t="shared" si="208"/>
        <v>0</v>
      </c>
    </row>
    <row r="1290" spans="1:21" x14ac:dyDescent="0.25">
      <c r="A1290" s="99">
        <v>1289</v>
      </c>
      <c r="B1290" s="39">
        <v>3003</v>
      </c>
      <c r="C1290" s="41" t="s">
        <v>186</v>
      </c>
      <c r="D1290">
        <v>36</v>
      </c>
      <c r="E1290" s="103">
        <v>44163.89</v>
      </c>
      <c r="F1290">
        <v>2486.4</v>
      </c>
      <c r="G1290">
        <v>202.91</v>
      </c>
      <c r="H1290" s="103">
        <v>26260.85</v>
      </c>
      <c r="I1290" s="103">
        <v>19651.95</v>
      </c>
      <c r="J1290">
        <v>131.94</v>
      </c>
      <c r="K1290" s="103">
        <v>14394.15</v>
      </c>
      <c r="L1290">
        <f t="shared" si="200"/>
        <v>0</v>
      </c>
      <c r="M1290">
        <f t="shared" si="201"/>
        <v>0</v>
      </c>
      <c r="N1290">
        <f t="shared" si="202"/>
        <v>0</v>
      </c>
      <c r="O1290">
        <f t="shared" si="203"/>
        <v>0</v>
      </c>
      <c r="P1290">
        <f t="shared" si="204"/>
        <v>0</v>
      </c>
      <c r="Q1290">
        <f t="shared" si="205"/>
        <v>0</v>
      </c>
      <c r="R1290">
        <f t="shared" si="206"/>
        <v>0</v>
      </c>
      <c r="S1290">
        <f t="shared" si="207"/>
        <v>0</v>
      </c>
      <c r="T1290">
        <f t="shared" si="209"/>
        <v>0</v>
      </c>
      <c r="U1290">
        <f t="shared" si="208"/>
        <v>0</v>
      </c>
    </row>
    <row r="1291" spans="1:21" x14ac:dyDescent="0.25">
      <c r="A1291" s="99">
        <v>1290</v>
      </c>
      <c r="B1291" s="39">
        <v>3003</v>
      </c>
      <c r="C1291" s="41" t="s">
        <v>188</v>
      </c>
      <c r="D1291">
        <v>46.21</v>
      </c>
      <c r="E1291" s="103">
        <v>82620.06</v>
      </c>
      <c r="F1291">
        <v>913.84</v>
      </c>
      <c r="G1291">
        <v>216.59</v>
      </c>
      <c r="H1291">
        <v>12263.49</v>
      </c>
      <c r="I1291" s="103">
        <v>19131.48</v>
      </c>
      <c r="J1291">
        <v>116.04</v>
      </c>
      <c r="K1291" s="103">
        <v>15122.31</v>
      </c>
      <c r="L1291">
        <f t="shared" si="200"/>
        <v>0</v>
      </c>
      <c r="M1291">
        <f t="shared" si="201"/>
        <v>0</v>
      </c>
      <c r="N1291">
        <f t="shared" si="202"/>
        <v>0</v>
      </c>
      <c r="O1291">
        <f t="shared" si="203"/>
        <v>0</v>
      </c>
      <c r="P1291">
        <f t="shared" si="204"/>
        <v>0</v>
      </c>
      <c r="Q1291">
        <f t="shared" si="205"/>
        <v>0</v>
      </c>
      <c r="R1291">
        <f t="shared" si="206"/>
        <v>0</v>
      </c>
      <c r="S1291">
        <f t="shared" si="207"/>
        <v>0</v>
      </c>
      <c r="T1291">
        <f t="shared" si="209"/>
        <v>0</v>
      </c>
      <c r="U1291">
        <f t="shared" si="208"/>
        <v>0</v>
      </c>
    </row>
    <row r="1292" spans="1:21" x14ac:dyDescent="0.25">
      <c r="A1292" s="99">
        <v>1291</v>
      </c>
      <c r="B1292" s="39">
        <v>3003</v>
      </c>
      <c r="C1292" s="41" t="s">
        <v>182</v>
      </c>
      <c r="D1292">
        <v>17.84</v>
      </c>
      <c r="E1292">
        <v>15252.79</v>
      </c>
      <c r="F1292">
        <v>107.26</v>
      </c>
      <c r="G1292">
        <v>70.27</v>
      </c>
      <c r="H1292">
        <v>944.76</v>
      </c>
      <c r="I1292" s="103">
        <v>14730.57</v>
      </c>
      <c r="J1292">
        <v>57.09</v>
      </c>
      <c r="K1292">
        <v>4138.58</v>
      </c>
      <c r="L1292">
        <f t="shared" si="200"/>
        <v>0</v>
      </c>
      <c r="M1292">
        <f t="shared" si="201"/>
        <v>0</v>
      </c>
      <c r="N1292">
        <f t="shared" si="202"/>
        <v>0</v>
      </c>
      <c r="O1292">
        <f t="shared" si="203"/>
        <v>0</v>
      </c>
      <c r="P1292">
        <f t="shared" si="204"/>
        <v>0</v>
      </c>
      <c r="Q1292">
        <f t="shared" si="205"/>
        <v>0</v>
      </c>
      <c r="R1292">
        <f t="shared" si="206"/>
        <v>0</v>
      </c>
      <c r="S1292">
        <f t="shared" si="207"/>
        <v>0</v>
      </c>
      <c r="T1292">
        <f t="shared" si="209"/>
        <v>0</v>
      </c>
      <c r="U1292">
        <f t="shared" si="208"/>
        <v>0</v>
      </c>
    </row>
    <row r="1293" spans="1:21" x14ac:dyDescent="0.25">
      <c r="A1293" s="99">
        <v>1292</v>
      </c>
      <c r="B1293" s="39">
        <v>3003</v>
      </c>
      <c r="C1293" s="41" t="s">
        <v>184</v>
      </c>
      <c r="D1293">
        <v>34.04</v>
      </c>
      <c r="E1293">
        <v>20015.099999999999</v>
      </c>
      <c r="F1293">
        <v>80.42</v>
      </c>
      <c r="G1293">
        <v>114.28</v>
      </c>
      <c r="H1293" s="103">
        <v>33643.83</v>
      </c>
      <c r="I1293" s="103">
        <v>17630.509999999998</v>
      </c>
      <c r="J1293">
        <v>63.98</v>
      </c>
      <c r="K1293">
        <v>2199.0500000000002</v>
      </c>
      <c r="L1293">
        <f t="shared" si="200"/>
        <v>0</v>
      </c>
      <c r="M1293">
        <f t="shared" si="201"/>
        <v>0</v>
      </c>
      <c r="N1293">
        <f t="shared" si="202"/>
        <v>0</v>
      </c>
      <c r="O1293">
        <f t="shared" si="203"/>
        <v>0</v>
      </c>
      <c r="P1293">
        <f t="shared" si="204"/>
        <v>0</v>
      </c>
      <c r="Q1293">
        <f t="shared" si="205"/>
        <v>0</v>
      </c>
      <c r="R1293">
        <f t="shared" si="206"/>
        <v>0</v>
      </c>
      <c r="S1293">
        <f t="shared" si="207"/>
        <v>0</v>
      </c>
      <c r="T1293">
        <f t="shared" si="209"/>
        <v>0</v>
      </c>
      <c r="U1293">
        <f t="shared" si="208"/>
        <v>0</v>
      </c>
    </row>
    <row r="1294" spans="1:21" x14ac:dyDescent="0.25">
      <c r="A1294" s="99">
        <v>1293</v>
      </c>
      <c r="B1294" s="39">
        <v>3003</v>
      </c>
      <c r="C1294" s="41" t="s">
        <v>187</v>
      </c>
      <c r="D1294">
        <v>73.22</v>
      </c>
      <c r="E1294">
        <v>16809.22</v>
      </c>
      <c r="F1294">
        <v>182.35</v>
      </c>
      <c r="G1294">
        <v>138.22</v>
      </c>
      <c r="H1294" s="103">
        <v>28615.35</v>
      </c>
      <c r="I1294" s="103">
        <v>15763.09</v>
      </c>
      <c r="J1294">
        <v>87.39</v>
      </c>
      <c r="K1294">
        <v>5231.63</v>
      </c>
      <c r="L1294">
        <f t="shared" si="200"/>
        <v>0</v>
      </c>
      <c r="M1294">
        <f t="shared" si="201"/>
        <v>0</v>
      </c>
      <c r="N1294">
        <f t="shared" si="202"/>
        <v>0</v>
      </c>
      <c r="O1294">
        <f t="shared" si="203"/>
        <v>0</v>
      </c>
      <c r="P1294">
        <f t="shared" si="204"/>
        <v>0</v>
      </c>
      <c r="Q1294">
        <f t="shared" si="205"/>
        <v>0</v>
      </c>
      <c r="R1294">
        <f t="shared" si="206"/>
        <v>0</v>
      </c>
      <c r="S1294">
        <f t="shared" si="207"/>
        <v>0</v>
      </c>
      <c r="T1294">
        <f t="shared" si="209"/>
        <v>0</v>
      </c>
      <c r="U1294">
        <f t="shared" si="208"/>
        <v>0</v>
      </c>
    </row>
    <row r="1295" spans="1:21" x14ac:dyDescent="0.25">
      <c r="A1295" s="99">
        <v>1294</v>
      </c>
      <c r="B1295" s="39">
        <v>3003</v>
      </c>
      <c r="C1295" s="41" t="s">
        <v>189</v>
      </c>
      <c r="D1295">
        <v>44.12</v>
      </c>
      <c r="E1295">
        <v>22051.82</v>
      </c>
      <c r="F1295">
        <v>73.760000000000005</v>
      </c>
      <c r="G1295">
        <v>144.38999999999999</v>
      </c>
      <c r="H1295" s="103">
        <v>16816.419999999998</v>
      </c>
      <c r="I1295" s="103">
        <v>16519.78</v>
      </c>
      <c r="J1295">
        <v>89.25</v>
      </c>
      <c r="K1295" s="103">
        <v>9707.44</v>
      </c>
      <c r="L1295">
        <f t="shared" si="200"/>
        <v>0</v>
      </c>
      <c r="M1295">
        <f t="shared" si="201"/>
        <v>0</v>
      </c>
      <c r="N1295">
        <f t="shared" si="202"/>
        <v>0</v>
      </c>
      <c r="O1295">
        <f t="shared" si="203"/>
        <v>0</v>
      </c>
      <c r="P1295">
        <f t="shared" si="204"/>
        <v>0</v>
      </c>
      <c r="Q1295">
        <f t="shared" si="205"/>
        <v>0</v>
      </c>
      <c r="R1295">
        <f t="shared" si="206"/>
        <v>0</v>
      </c>
      <c r="S1295">
        <f t="shared" si="207"/>
        <v>0</v>
      </c>
      <c r="T1295">
        <f t="shared" si="209"/>
        <v>0</v>
      </c>
      <c r="U1295">
        <f t="shared" si="208"/>
        <v>0</v>
      </c>
    </row>
    <row r="1296" spans="1:21" x14ac:dyDescent="0.25">
      <c r="A1296" s="99">
        <v>1295</v>
      </c>
      <c r="B1296" s="39">
        <v>3004</v>
      </c>
      <c r="C1296" s="41" t="s">
        <v>182</v>
      </c>
      <c r="D1296" t="s">
        <v>583</v>
      </c>
      <c r="E1296">
        <v>517.71</v>
      </c>
      <c r="F1296" t="s">
        <v>583</v>
      </c>
      <c r="G1296" s="103">
        <v>0.51</v>
      </c>
      <c r="H1296">
        <v>0.28000000000000003</v>
      </c>
      <c r="I1296">
        <v>5.15</v>
      </c>
      <c r="J1296" t="s">
        <v>583</v>
      </c>
      <c r="K1296" s="80">
        <v>0.23</v>
      </c>
      <c r="L1296">
        <f t="shared" si="200"/>
        <v>0</v>
      </c>
      <c r="M1296">
        <f t="shared" si="201"/>
        <v>0</v>
      </c>
      <c r="N1296">
        <f t="shared" si="202"/>
        <v>0</v>
      </c>
      <c r="O1296">
        <f t="shared" si="203"/>
        <v>0</v>
      </c>
      <c r="P1296">
        <f t="shared" si="204"/>
        <v>0</v>
      </c>
      <c r="Q1296">
        <f t="shared" si="205"/>
        <v>0</v>
      </c>
      <c r="R1296">
        <f t="shared" si="206"/>
        <v>0</v>
      </c>
      <c r="S1296">
        <f t="shared" si="207"/>
        <v>0</v>
      </c>
      <c r="T1296">
        <f t="shared" si="209"/>
        <v>0</v>
      </c>
      <c r="U1296">
        <f t="shared" si="208"/>
        <v>0</v>
      </c>
    </row>
    <row r="1297" spans="1:21" x14ac:dyDescent="0.25">
      <c r="A1297" s="99">
        <v>1296</v>
      </c>
      <c r="B1297" s="39">
        <v>3004</v>
      </c>
      <c r="C1297" s="41" t="s">
        <v>184</v>
      </c>
      <c r="D1297">
        <v>3.83</v>
      </c>
      <c r="E1297">
        <v>1418.29</v>
      </c>
      <c r="F1297">
        <v>25.17</v>
      </c>
      <c r="G1297">
        <v>24.53</v>
      </c>
      <c r="H1297">
        <v>1399.46</v>
      </c>
      <c r="I1297" s="103">
        <v>8211.64</v>
      </c>
      <c r="J1297">
        <v>9.33</v>
      </c>
      <c r="K1297">
        <v>430.92</v>
      </c>
      <c r="L1297">
        <f t="shared" si="200"/>
        <v>0</v>
      </c>
      <c r="M1297">
        <f t="shared" si="201"/>
        <v>0</v>
      </c>
      <c r="N1297">
        <f t="shared" si="202"/>
        <v>0</v>
      </c>
      <c r="O1297">
        <f t="shared" si="203"/>
        <v>0</v>
      </c>
      <c r="P1297">
        <f t="shared" si="204"/>
        <v>0</v>
      </c>
      <c r="Q1297">
        <f t="shared" si="205"/>
        <v>0</v>
      </c>
      <c r="R1297">
        <f t="shared" si="206"/>
        <v>0</v>
      </c>
      <c r="S1297">
        <f t="shared" si="207"/>
        <v>0</v>
      </c>
      <c r="T1297">
        <f t="shared" si="209"/>
        <v>0</v>
      </c>
      <c r="U1297">
        <f t="shared" si="208"/>
        <v>0</v>
      </c>
    </row>
    <row r="1298" spans="1:21" x14ac:dyDescent="0.25">
      <c r="A1298" s="99">
        <v>1297</v>
      </c>
      <c r="B1298" s="39">
        <v>3004</v>
      </c>
      <c r="C1298" s="41" t="s">
        <v>187</v>
      </c>
      <c r="D1298">
        <v>4.97</v>
      </c>
      <c r="E1298">
        <v>1800.09</v>
      </c>
      <c r="F1298">
        <v>50.53</v>
      </c>
      <c r="G1298">
        <v>41.34</v>
      </c>
      <c r="H1298">
        <v>3037.3</v>
      </c>
      <c r="I1298" s="103">
        <v>9564.19</v>
      </c>
      <c r="J1298">
        <v>25.33</v>
      </c>
      <c r="K1298">
        <v>1656.02</v>
      </c>
      <c r="L1298">
        <f t="shared" si="200"/>
        <v>0</v>
      </c>
      <c r="M1298">
        <f t="shared" si="201"/>
        <v>0</v>
      </c>
      <c r="N1298">
        <f t="shared" si="202"/>
        <v>0</v>
      </c>
      <c r="O1298">
        <f t="shared" si="203"/>
        <v>0</v>
      </c>
      <c r="P1298">
        <f t="shared" si="204"/>
        <v>0</v>
      </c>
      <c r="Q1298">
        <f t="shared" si="205"/>
        <v>0</v>
      </c>
      <c r="R1298">
        <f t="shared" si="206"/>
        <v>0</v>
      </c>
      <c r="S1298">
        <f t="shared" si="207"/>
        <v>0</v>
      </c>
      <c r="T1298">
        <f t="shared" si="209"/>
        <v>0</v>
      </c>
      <c r="U1298">
        <f t="shared" si="208"/>
        <v>0</v>
      </c>
    </row>
    <row r="1299" spans="1:21" x14ac:dyDescent="0.25">
      <c r="A1299" s="99">
        <v>1298</v>
      </c>
      <c r="B1299" s="39">
        <v>3004</v>
      </c>
      <c r="C1299" s="41" t="s">
        <v>189</v>
      </c>
      <c r="D1299">
        <v>3.83</v>
      </c>
      <c r="E1299">
        <v>1554.57</v>
      </c>
      <c r="F1299">
        <v>8.61</v>
      </c>
      <c r="G1299">
        <v>13.6</v>
      </c>
      <c r="H1299">
        <v>1968.11</v>
      </c>
      <c r="I1299" s="103">
        <v>4134.9799999999996</v>
      </c>
      <c r="J1299">
        <v>11.76</v>
      </c>
      <c r="K1299">
        <v>1433.41</v>
      </c>
      <c r="L1299">
        <f t="shared" si="200"/>
        <v>0</v>
      </c>
      <c r="M1299">
        <f t="shared" si="201"/>
        <v>0</v>
      </c>
      <c r="N1299">
        <f t="shared" si="202"/>
        <v>0</v>
      </c>
      <c r="O1299">
        <f t="shared" si="203"/>
        <v>0</v>
      </c>
      <c r="P1299">
        <f t="shared" si="204"/>
        <v>0</v>
      </c>
      <c r="Q1299">
        <f t="shared" si="205"/>
        <v>0</v>
      </c>
      <c r="R1299">
        <f t="shared" si="206"/>
        <v>0</v>
      </c>
      <c r="S1299">
        <f t="shared" si="207"/>
        <v>0</v>
      </c>
      <c r="T1299">
        <f t="shared" si="209"/>
        <v>0</v>
      </c>
      <c r="U1299">
        <f t="shared" si="208"/>
        <v>0</v>
      </c>
    </row>
    <row r="1300" spans="1:21" x14ac:dyDescent="0.25">
      <c r="A1300" s="99">
        <v>1299</v>
      </c>
      <c r="B1300" s="39">
        <v>3005</v>
      </c>
      <c r="C1300" s="41" t="s">
        <v>162</v>
      </c>
      <c r="D1300">
        <v>13.86</v>
      </c>
      <c r="E1300" s="103">
        <v>44416.480000000003</v>
      </c>
      <c r="F1300">
        <v>1.03</v>
      </c>
      <c r="G1300">
        <v>60.19</v>
      </c>
      <c r="H1300">
        <v>1.33</v>
      </c>
      <c r="I1300">
        <v>0.93</v>
      </c>
      <c r="J1300">
        <v>25.33</v>
      </c>
      <c r="K1300">
        <v>4.32</v>
      </c>
      <c r="L1300">
        <f t="shared" si="200"/>
        <v>0</v>
      </c>
      <c r="M1300">
        <f t="shared" si="201"/>
        <v>0</v>
      </c>
      <c r="N1300">
        <f t="shared" si="202"/>
        <v>0</v>
      </c>
      <c r="O1300">
        <f t="shared" si="203"/>
        <v>0</v>
      </c>
      <c r="P1300">
        <f t="shared" si="204"/>
        <v>0</v>
      </c>
      <c r="Q1300">
        <f t="shared" si="205"/>
        <v>0</v>
      </c>
      <c r="R1300">
        <f t="shared" si="206"/>
        <v>0</v>
      </c>
      <c r="S1300">
        <f t="shared" si="207"/>
        <v>0</v>
      </c>
      <c r="T1300">
        <f t="shared" si="209"/>
        <v>0</v>
      </c>
      <c r="U1300">
        <f t="shared" si="208"/>
        <v>0</v>
      </c>
    </row>
    <row r="1301" spans="1:21" x14ac:dyDescent="0.25">
      <c r="A1301" s="100">
        <v>1300</v>
      </c>
      <c r="B1301" s="54">
        <v>3005</v>
      </c>
      <c r="C1301" s="46" t="s">
        <v>170</v>
      </c>
      <c r="D1301">
        <v>22.06</v>
      </c>
      <c r="E1301" s="103">
        <v>28766.69</v>
      </c>
      <c r="F1301">
        <v>361.16</v>
      </c>
      <c r="G1301">
        <v>80.739999999999995</v>
      </c>
      <c r="H1301">
        <v>1197.8399999999999</v>
      </c>
      <c r="I1301" s="103">
        <v>14525.24</v>
      </c>
      <c r="J1301">
        <v>57.09</v>
      </c>
      <c r="K1301">
        <v>1852.64</v>
      </c>
      <c r="L1301">
        <f t="shared" si="200"/>
        <v>0</v>
      </c>
      <c r="M1301">
        <f t="shared" si="201"/>
        <v>0</v>
      </c>
      <c r="N1301">
        <f t="shared" si="202"/>
        <v>0</v>
      </c>
      <c r="O1301">
        <f t="shared" si="203"/>
        <v>0</v>
      </c>
      <c r="P1301">
        <f t="shared" si="204"/>
        <v>0</v>
      </c>
      <c r="Q1301">
        <f t="shared" si="205"/>
        <v>0</v>
      </c>
      <c r="R1301">
        <f t="shared" si="206"/>
        <v>0</v>
      </c>
      <c r="S1301">
        <f t="shared" si="207"/>
        <v>0</v>
      </c>
      <c r="T1301">
        <f t="shared" si="209"/>
        <v>0</v>
      </c>
      <c r="U1301">
        <f t="shared" si="208"/>
        <v>0</v>
      </c>
    </row>
    <row r="1302" spans="1:21" x14ac:dyDescent="0.25">
      <c r="A1302" s="2">
        <v>1301</v>
      </c>
      <c r="B1302" s="39">
        <v>3005</v>
      </c>
      <c r="C1302" s="41" t="s">
        <v>178</v>
      </c>
      <c r="D1302">
        <v>51.19</v>
      </c>
      <c r="E1302" s="80">
        <v>50632.45</v>
      </c>
      <c r="F1302">
        <v>2098.1799999999998</v>
      </c>
      <c r="G1302">
        <v>156.08000000000001</v>
      </c>
      <c r="H1302">
        <v>9409.57</v>
      </c>
      <c r="I1302" s="80">
        <v>31570.7</v>
      </c>
      <c r="J1302">
        <v>53.16</v>
      </c>
      <c r="K1302">
        <v>5672.81</v>
      </c>
      <c r="L1302">
        <f t="shared" si="200"/>
        <v>0</v>
      </c>
      <c r="M1302">
        <f t="shared" si="201"/>
        <v>0</v>
      </c>
      <c r="N1302">
        <f t="shared" si="202"/>
        <v>0</v>
      </c>
      <c r="O1302">
        <f t="shared" si="203"/>
        <v>0</v>
      </c>
      <c r="P1302">
        <f t="shared" si="204"/>
        <v>0</v>
      </c>
      <c r="Q1302">
        <f t="shared" si="205"/>
        <v>0</v>
      </c>
      <c r="R1302">
        <f t="shared" si="206"/>
        <v>0</v>
      </c>
      <c r="S1302">
        <f t="shared" si="207"/>
        <v>0</v>
      </c>
      <c r="T1302">
        <f t="shared" si="209"/>
        <v>0</v>
      </c>
      <c r="U1302">
        <f t="shared" si="208"/>
        <v>0</v>
      </c>
    </row>
    <row r="1303" spans="1:21" x14ac:dyDescent="0.25">
      <c r="A1303" s="2">
        <v>1302</v>
      </c>
      <c r="B1303" s="39">
        <v>3005</v>
      </c>
      <c r="C1303" s="41" t="s">
        <v>163</v>
      </c>
      <c r="D1303">
        <v>48.81</v>
      </c>
      <c r="E1303" s="80">
        <v>40615.879999999997</v>
      </c>
      <c r="F1303">
        <v>1791.27</v>
      </c>
      <c r="G1303">
        <v>184.86</v>
      </c>
      <c r="H1303" s="80">
        <v>23608.99</v>
      </c>
      <c r="I1303" s="80">
        <v>31355.3</v>
      </c>
      <c r="J1303">
        <v>77.680000000000007</v>
      </c>
      <c r="K1303" s="80">
        <v>24395.73</v>
      </c>
      <c r="L1303">
        <f t="shared" si="200"/>
        <v>0</v>
      </c>
      <c r="M1303">
        <f t="shared" si="201"/>
        <v>0</v>
      </c>
      <c r="N1303">
        <f t="shared" si="202"/>
        <v>0</v>
      </c>
      <c r="O1303">
        <f t="shared" si="203"/>
        <v>0</v>
      </c>
      <c r="P1303">
        <f t="shared" si="204"/>
        <v>0</v>
      </c>
      <c r="Q1303">
        <f t="shared" si="205"/>
        <v>0</v>
      </c>
      <c r="R1303">
        <f t="shared" si="206"/>
        <v>0</v>
      </c>
      <c r="S1303">
        <f t="shared" si="207"/>
        <v>0</v>
      </c>
      <c r="T1303">
        <f t="shared" si="209"/>
        <v>0</v>
      </c>
      <c r="U1303">
        <f t="shared" si="208"/>
        <v>0</v>
      </c>
    </row>
    <row r="1304" spans="1:21" x14ac:dyDescent="0.25">
      <c r="A1304" s="2">
        <v>1303</v>
      </c>
      <c r="B1304" s="39">
        <v>3005</v>
      </c>
      <c r="C1304" s="27" t="s">
        <v>181</v>
      </c>
      <c r="D1304">
        <v>7.59</v>
      </c>
      <c r="E1304">
        <v>19372.64</v>
      </c>
      <c r="F1304">
        <v>0.21</v>
      </c>
      <c r="G1304">
        <v>35.03</v>
      </c>
      <c r="H1304">
        <v>33.67</v>
      </c>
      <c r="I1304">
        <v>10.68</v>
      </c>
      <c r="J1304">
        <v>11.27</v>
      </c>
      <c r="K1304">
        <v>25.69</v>
      </c>
      <c r="L1304">
        <f t="shared" si="200"/>
        <v>0</v>
      </c>
      <c r="M1304">
        <f t="shared" si="201"/>
        <v>0</v>
      </c>
      <c r="N1304">
        <f t="shared" si="202"/>
        <v>0</v>
      </c>
      <c r="O1304">
        <f t="shared" si="203"/>
        <v>0</v>
      </c>
      <c r="P1304">
        <f t="shared" si="204"/>
        <v>0</v>
      </c>
      <c r="Q1304">
        <f t="shared" si="205"/>
        <v>0</v>
      </c>
      <c r="R1304">
        <f t="shared" si="206"/>
        <v>0</v>
      </c>
      <c r="S1304">
        <f t="shared" si="207"/>
        <v>0</v>
      </c>
      <c r="T1304">
        <f t="shared" si="209"/>
        <v>0</v>
      </c>
      <c r="U1304">
        <f t="shared" si="208"/>
        <v>0</v>
      </c>
    </row>
    <row r="1305" spans="1:21" x14ac:dyDescent="0.25">
      <c r="A1305" s="2">
        <v>1304</v>
      </c>
      <c r="B1305" s="39">
        <v>3005</v>
      </c>
      <c r="C1305" s="27" t="s">
        <v>183</v>
      </c>
      <c r="D1305">
        <v>10.97</v>
      </c>
      <c r="E1305">
        <v>3055.38</v>
      </c>
      <c r="F1305">
        <v>38.97</v>
      </c>
      <c r="G1305">
        <v>35.03</v>
      </c>
      <c r="H1305">
        <v>1078.94</v>
      </c>
      <c r="I1305" s="80">
        <v>14804.54</v>
      </c>
      <c r="J1305">
        <v>19.96</v>
      </c>
      <c r="K1305">
        <v>2169.63</v>
      </c>
      <c r="L1305">
        <f t="shared" si="200"/>
        <v>0</v>
      </c>
      <c r="M1305">
        <f t="shared" si="201"/>
        <v>0</v>
      </c>
      <c r="N1305">
        <f t="shared" si="202"/>
        <v>0</v>
      </c>
      <c r="O1305">
        <f t="shared" si="203"/>
        <v>0</v>
      </c>
      <c r="P1305">
        <f t="shared" si="204"/>
        <v>0</v>
      </c>
      <c r="Q1305">
        <f t="shared" si="205"/>
        <v>0</v>
      </c>
      <c r="R1305">
        <f t="shared" si="206"/>
        <v>0</v>
      </c>
      <c r="S1305">
        <f t="shared" si="207"/>
        <v>0</v>
      </c>
      <c r="T1305">
        <f t="shared" si="209"/>
        <v>0</v>
      </c>
      <c r="U1305">
        <f t="shared" si="208"/>
        <v>0</v>
      </c>
    </row>
    <row r="1306" spans="1:21" x14ac:dyDescent="0.25">
      <c r="A1306" s="2">
        <v>1305</v>
      </c>
      <c r="B1306" s="39">
        <v>3005</v>
      </c>
      <c r="C1306" s="27" t="s">
        <v>186</v>
      </c>
      <c r="D1306">
        <v>10.97</v>
      </c>
      <c r="E1306">
        <v>3924.87</v>
      </c>
      <c r="F1306">
        <v>98.12</v>
      </c>
      <c r="G1306">
        <v>44.96</v>
      </c>
      <c r="H1306">
        <v>3438.69</v>
      </c>
      <c r="I1306" s="80">
        <v>18767.63</v>
      </c>
      <c r="J1306">
        <v>22.28</v>
      </c>
      <c r="K1306">
        <v>3701.96</v>
      </c>
      <c r="L1306">
        <f t="shared" si="200"/>
        <v>0</v>
      </c>
      <c r="M1306">
        <f t="shared" si="201"/>
        <v>0</v>
      </c>
      <c r="N1306">
        <f t="shared" si="202"/>
        <v>0</v>
      </c>
      <c r="O1306">
        <f t="shared" si="203"/>
        <v>0</v>
      </c>
      <c r="P1306">
        <f t="shared" si="204"/>
        <v>0</v>
      </c>
      <c r="Q1306">
        <f t="shared" si="205"/>
        <v>0</v>
      </c>
      <c r="R1306">
        <f t="shared" si="206"/>
        <v>0</v>
      </c>
      <c r="S1306">
        <f t="shared" si="207"/>
        <v>0</v>
      </c>
      <c r="T1306">
        <f t="shared" si="209"/>
        <v>0</v>
      </c>
      <c r="U1306">
        <f t="shared" si="208"/>
        <v>0</v>
      </c>
    </row>
    <row r="1307" spans="1:21" x14ac:dyDescent="0.25">
      <c r="A1307" s="2">
        <v>1306</v>
      </c>
      <c r="B1307" s="39">
        <v>3005</v>
      </c>
      <c r="C1307" s="27" t="s">
        <v>188</v>
      </c>
      <c r="D1307">
        <v>20.329999999999998</v>
      </c>
      <c r="E1307">
        <v>11730.58</v>
      </c>
      <c r="F1307">
        <v>20.2</v>
      </c>
      <c r="G1307">
        <v>78.11</v>
      </c>
      <c r="H1307">
        <v>1612.46</v>
      </c>
      <c r="I1307" s="80">
        <v>15826.69</v>
      </c>
      <c r="J1307">
        <v>34.51</v>
      </c>
      <c r="K1307">
        <v>7626.2</v>
      </c>
      <c r="L1307">
        <f t="shared" si="200"/>
        <v>0</v>
      </c>
      <c r="M1307">
        <f t="shared" si="201"/>
        <v>0</v>
      </c>
      <c r="N1307">
        <f t="shared" si="202"/>
        <v>0</v>
      </c>
      <c r="O1307">
        <f t="shared" si="203"/>
        <v>0</v>
      </c>
      <c r="P1307">
        <f t="shared" si="204"/>
        <v>0</v>
      </c>
      <c r="Q1307">
        <f t="shared" si="205"/>
        <v>0</v>
      </c>
      <c r="R1307">
        <f t="shared" si="206"/>
        <v>0</v>
      </c>
      <c r="S1307">
        <f t="shared" si="207"/>
        <v>0</v>
      </c>
      <c r="T1307">
        <f t="shared" si="209"/>
        <v>0</v>
      </c>
      <c r="U1307">
        <f t="shared" si="208"/>
        <v>0</v>
      </c>
    </row>
    <row r="1308" spans="1:21" x14ac:dyDescent="0.25">
      <c r="A1308" s="2">
        <v>1307</v>
      </c>
      <c r="B1308" s="39">
        <v>3005</v>
      </c>
      <c r="C1308" s="27" t="s">
        <v>182</v>
      </c>
      <c r="D1308">
        <v>4.5</v>
      </c>
      <c r="E1308">
        <v>5455.04</v>
      </c>
      <c r="F1308">
        <v>0.14000000000000001</v>
      </c>
      <c r="G1308">
        <v>35.03</v>
      </c>
      <c r="H1308">
        <v>2.2799999999999998</v>
      </c>
      <c r="I1308">
        <v>10.82</v>
      </c>
      <c r="J1308">
        <v>2.21</v>
      </c>
      <c r="K1308">
        <v>1.08</v>
      </c>
      <c r="L1308">
        <f t="shared" si="200"/>
        <v>0</v>
      </c>
      <c r="M1308">
        <f t="shared" si="201"/>
        <v>0</v>
      </c>
      <c r="N1308">
        <f t="shared" si="202"/>
        <v>0</v>
      </c>
      <c r="O1308">
        <f t="shared" si="203"/>
        <v>0</v>
      </c>
      <c r="P1308">
        <f t="shared" si="204"/>
        <v>0</v>
      </c>
      <c r="Q1308">
        <f t="shared" si="205"/>
        <v>0</v>
      </c>
      <c r="R1308">
        <f t="shared" si="206"/>
        <v>0</v>
      </c>
      <c r="S1308">
        <f t="shared" si="207"/>
        <v>0</v>
      </c>
      <c r="T1308">
        <f t="shared" si="209"/>
        <v>0</v>
      </c>
      <c r="U1308">
        <f t="shared" si="208"/>
        <v>0</v>
      </c>
    </row>
    <row r="1309" spans="1:21" x14ac:dyDescent="0.25">
      <c r="A1309" s="2">
        <v>1308</v>
      </c>
      <c r="B1309" s="39">
        <v>3005</v>
      </c>
      <c r="C1309" s="27" t="s">
        <v>184</v>
      </c>
      <c r="D1309">
        <v>41.81</v>
      </c>
      <c r="E1309" s="80">
        <v>41855.449999999997</v>
      </c>
      <c r="F1309">
        <v>306.27</v>
      </c>
      <c r="G1309">
        <v>156.08000000000001</v>
      </c>
      <c r="H1309">
        <v>9587.27</v>
      </c>
      <c r="I1309" s="80">
        <v>27493.18</v>
      </c>
      <c r="J1309">
        <v>44.97</v>
      </c>
      <c r="K1309">
        <v>3651.43</v>
      </c>
      <c r="L1309">
        <f t="shared" si="200"/>
        <v>0</v>
      </c>
      <c r="M1309">
        <f t="shared" si="201"/>
        <v>0</v>
      </c>
      <c r="N1309">
        <f t="shared" si="202"/>
        <v>0</v>
      </c>
      <c r="O1309">
        <f t="shared" si="203"/>
        <v>0</v>
      </c>
      <c r="P1309">
        <f t="shared" si="204"/>
        <v>0</v>
      </c>
      <c r="Q1309">
        <f t="shared" si="205"/>
        <v>0</v>
      </c>
      <c r="R1309">
        <f t="shared" si="206"/>
        <v>0</v>
      </c>
      <c r="S1309">
        <f t="shared" si="207"/>
        <v>0</v>
      </c>
      <c r="T1309">
        <f t="shared" si="209"/>
        <v>0</v>
      </c>
      <c r="U1309">
        <f t="shared" si="208"/>
        <v>0</v>
      </c>
    </row>
    <row r="1310" spans="1:21" x14ac:dyDescent="0.25">
      <c r="A1310" s="2">
        <v>1309</v>
      </c>
      <c r="B1310" s="39">
        <v>3005</v>
      </c>
      <c r="C1310" s="27" t="s">
        <v>187</v>
      </c>
      <c r="D1310">
        <v>388.73</v>
      </c>
      <c r="E1310" s="80">
        <v>42570.95</v>
      </c>
      <c r="F1310">
        <v>560.15</v>
      </c>
      <c r="G1310">
        <v>238.06</v>
      </c>
      <c r="H1310" s="80">
        <v>36998.400000000001</v>
      </c>
      <c r="I1310" s="80">
        <v>29228.11</v>
      </c>
      <c r="J1310">
        <v>82.19</v>
      </c>
      <c r="K1310" s="80">
        <v>15218.71</v>
      </c>
      <c r="L1310">
        <f t="shared" si="200"/>
        <v>0</v>
      </c>
      <c r="M1310">
        <f t="shared" si="201"/>
        <v>0</v>
      </c>
      <c r="N1310">
        <f t="shared" si="202"/>
        <v>0</v>
      </c>
      <c r="O1310">
        <f t="shared" si="203"/>
        <v>0</v>
      </c>
      <c r="P1310">
        <f t="shared" si="204"/>
        <v>0</v>
      </c>
      <c r="Q1310">
        <f t="shared" si="205"/>
        <v>0</v>
      </c>
      <c r="R1310">
        <f t="shared" si="206"/>
        <v>0</v>
      </c>
      <c r="S1310">
        <f t="shared" si="207"/>
        <v>0</v>
      </c>
      <c r="T1310">
        <f t="shared" si="209"/>
        <v>0</v>
      </c>
      <c r="U1310">
        <f t="shared" si="208"/>
        <v>0</v>
      </c>
    </row>
    <row r="1311" spans="1:21" x14ac:dyDescent="0.25">
      <c r="A1311" s="2">
        <v>1310</v>
      </c>
      <c r="B1311" s="39">
        <v>3005</v>
      </c>
      <c r="C1311" s="27" t="s">
        <v>189</v>
      </c>
      <c r="D1311">
        <v>346.33</v>
      </c>
      <c r="E1311" s="80">
        <v>33533.97</v>
      </c>
      <c r="F1311">
        <v>129.47999999999999</v>
      </c>
      <c r="G1311">
        <v>230.25</v>
      </c>
      <c r="H1311" s="80">
        <v>25645.96</v>
      </c>
      <c r="I1311" s="80">
        <v>20575.66</v>
      </c>
      <c r="J1311">
        <v>91.35</v>
      </c>
      <c r="K1311" s="80">
        <v>18217.84</v>
      </c>
      <c r="L1311">
        <f t="shared" si="200"/>
        <v>0</v>
      </c>
      <c r="M1311">
        <f t="shared" si="201"/>
        <v>0</v>
      </c>
      <c r="N1311">
        <f t="shared" si="202"/>
        <v>0</v>
      </c>
      <c r="O1311">
        <f t="shared" si="203"/>
        <v>0</v>
      </c>
      <c r="P1311">
        <f t="shared" si="204"/>
        <v>0</v>
      </c>
      <c r="Q1311">
        <f t="shared" si="205"/>
        <v>0</v>
      </c>
      <c r="R1311">
        <f t="shared" si="206"/>
        <v>0</v>
      </c>
      <c r="S1311">
        <f t="shared" si="207"/>
        <v>0</v>
      </c>
      <c r="T1311">
        <f t="shared" si="209"/>
        <v>0</v>
      </c>
      <c r="U1311">
        <f t="shared" si="208"/>
        <v>0</v>
      </c>
    </row>
    <row r="1312" spans="1:21" x14ac:dyDescent="0.25">
      <c r="A1312" s="2">
        <v>1311</v>
      </c>
      <c r="B1312" s="39">
        <v>1065</v>
      </c>
      <c r="C1312" s="41" t="s">
        <v>162</v>
      </c>
      <c r="D1312">
        <v>0.67</v>
      </c>
      <c r="E1312">
        <v>285.06</v>
      </c>
      <c r="F1312" s="80">
        <v>0.03</v>
      </c>
      <c r="G1312">
        <v>25.77</v>
      </c>
      <c r="H1312" t="s">
        <v>583</v>
      </c>
      <c r="I1312">
        <v>0.88</v>
      </c>
      <c r="J1312" t="s">
        <v>583</v>
      </c>
      <c r="K1312">
        <v>0.15</v>
      </c>
      <c r="L1312">
        <f t="shared" si="200"/>
        <v>0</v>
      </c>
      <c r="M1312">
        <f t="shared" si="201"/>
        <v>0</v>
      </c>
      <c r="N1312">
        <f t="shared" si="202"/>
        <v>0</v>
      </c>
      <c r="O1312">
        <f t="shared" si="203"/>
        <v>0</v>
      </c>
      <c r="P1312">
        <f t="shared" si="204"/>
        <v>0</v>
      </c>
      <c r="Q1312">
        <f t="shared" si="205"/>
        <v>0</v>
      </c>
      <c r="R1312">
        <f t="shared" si="206"/>
        <v>0</v>
      </c>
      <c r="S1312">
        <f t="shared" si="207"/>
        <v>0</v>
      </c>
      <c r="T1312">
        <f t="shared" si="209"/>
        <v>0</v>
      </c>
      <c r="U1312">
        <f t="shared" si="208"/>
        <v>0</v>
      </c>
    </row>
    <row r="1313" spans="1:21" x14ac:dyDescent="0.25">
      <c r="A1313" s="2">
        <v>1312</v>
      </c>
      <c r="B1313" s="39">
        <v>1065</v>
      </c>
      <c r="C1313" s="41" t="s">
        <v>170</v>
      </c>
      <c r="D1313">
        <v>16.45</v>
      </c>
      <c r="E1313">
        <v>16834.46</v>
      </c>
      <c r="F1313">
        <v>67.64</v>
      </c>
      <c r="G1313">
        <v>128.61000000000001</v>
      </c>
      <c r="H1313">
        <v>2776.71</v>
      </c>
      <c r="I1313" s="80">
        <v>14638.01</v>
      </c>
      <c r="J1313">
        <v>17.7</v>
      </c>
      <c r="K1313">
        <v>1138.0899999999999</v>
      </c>
      <c r="L1313">
        <f t="shared" si="200"/>
        <v>0</v>
      </c>
      <c r="M1313">
        <f t="shared" si="201"/>
        <v>0</v>
      </c>
      <c r="N1313">
        <f t="shared" si="202"/>
        <v>0</v>
      </c>
      <c r="O1313">
        <f t="shared" si="203"/>
        <v>0</v>
      </c>
      <c r="P1313">
        <f t="shared" si="204"/>
        <v>0</v>
      </c>
      <c r="Q1313">
        <f t="shared" si="205"/>
        <v>0</v>
      </c>
      <c r="R1313">
        <f t="shared" si="206"/>
        <v>0</v>
      </c>
      <c r="S1313">
        <f t="shared" si="207"/>
        <v>0</v>
      </c>
      <c r="T1313">
        <f t="shared" si="209"/>
        <v>0</v>
      </c>
      <c r="U1313">
        <f t="shared" si="208"/>
        <v>0</v>
      </c>
    </row>
    <row r="1314" spans="1:21" x14ac:dyDescent="0.25">
      <c r="A1314" s="2">
        <v>1313</v>
      </c>
      <c r="B1314" s="39">
        <v>1065</v>
      </c>
      <c r="C1314" s="41" t="s">
        <v>178</v>
      </c>
      <c r="D1314">
        <v>15.51</v>
      </c>
      <c r="E1314">
        <v>6420.09</v>
      </c>
      <c r="F1314">
        <v>54.88</v>
      </c>
      <c r="G1314">
        <v>84.06</v>
      </c>
      <c r="H1314" s="80">
        <v>41829.5</v>
      </c>
      <c r="I1314" s="80">
        <v>18632.59</v>
      </c>
      <c r="J1314">
        <v>24.64</v>
      </c>
      <c r="K1314">
        <v>1529.27</v>
      </c>
      <c r="L1314">
        <f t="shared" si="200"/>
        <v>0</v>
      </c>
      <c r="M1314">
        <f t="shared" si="201"/>
        <v>0</v>
      </c>
      <c r="N1314">
        <f t="shared" si="202"/>
        <v>0</v>
      </c>
      <c r="O1314">
        <f t="shared" si="203"/>
        <v>0</v>
      </c>
      <c r="P1314">
        <f t="shared" si="204"/>
        <v>0</v>
      </c>
      <c r="Q1314">
        <f t="shared" si="205"/>
        <v>0</v>
      </c>
      <c r="R1314">
        <f t="shared" si="206"/>
        <v>0</v>
      </c>
      <c r="S1314">
        <f t="shared" si="207"/>
        <v>0</v>
      </c>
      <c r="T1314">
        <f t="shared" si="209"/>
        <v>0</v>
      </c>
      <c r="U1314">
        <f t="shared" si="208"/>
        <v>0</v>
      </c>
    </row>
    <row r="1315" spans="1:21" x14ac:dyDescent="0.25">
      <c r="A1315" s="2">
        <v>1314</v>
      </c>
      <c r="B1315" s="39">
        <v>1065</v>
      </c>
      <c r="C1315" s="41" t="s">
        <v>163</v>
      </c>
      <c r="D1315">
        <v>12.75</v>
      </c>
      <c r="E1315">
        <v>1231.51</v>
      </c>
      <c r="F1315">
        <v>2.94</v>
      </c>
      <c r="G1315">
        <v>78.11</v>
      </c>
      <c r="H1315" s="80">
        <v>25570.45</v>
      </c>
      <c r="I1315" s="80">
        <v>7758.19</v>
      </c>
      <c r="J1315">
        <v>17.7</v>
      </c>
      <c r="K1315">
        <v>3605.37</v>
      </c>
      <c r="L1315">
        <f t="shared" si="200"/>
        <v>0</v>
      </c>
      <c r="M1315">
        <f t="shared" si="201"/>
        <v>0</v>
      </c>
      <c r="N1315">
        <f t="shared" si="202"/>
        <v>0</v>
      </c>
      <c r="O1315">
        <f t="shared" si="203"/>
        <v>0</v>
      </c>
      <c r="P1315">
        <f t="shared" si="204"/>
        <v>0</v>
      </c>
      <c r="Q1315">
        <f t="shared" si="205"/>
        <v>0</v>
      </c>
      <c r="R1315">
        <f t="shared" si="206"/>
        <v>0</v>
      </c>
      <c r="S1315">
        <f t="shared" si="207"/>
        <v>0</v>
      </c>
      <c r="T1315">
        <f t="shared" si="209"/>
        <v>0</v>
      </c>
      <c r="U1315">
        <f t="shared" si="208"/>
        <v>0</v>
      </c>
    </row>
    <row r="1316" spans="1:21" x14ac:dyDescent="0.25">
      <c r="A1316" s="2">
        <v>1315</v>
      </c>
      <c r="B1316" s="39">
        <v>1065</v>
      </c>
      <c r="C1316" s="27" t="s">
        <v>181</v>
      </c>
      <c r="D1316">
        <v>9.25</v>
      </c>
      <c r="E1316">
        <v>22398.25</v>
      </c>
      <c r="F1316">
        <v>0.47</v>
      </c>
      <c r="G1316">
        <v>84.06</v>
      </c>
      <c r="H1316">
        <v>1.44</v>
      </c>
      <c r="I1316">
        <v>8.4700000000000006</v>
      </c>
      <c r="J1316">
        <v>9.26</v>
      </c>
      <c r="K1316">
        <v>8.19</v>
      </c>
      <c r="L1316">
        <f t="shared" si="200"/>
        <v>0</v>
      </c>
      <c r="M1316">
        <f t="shared" si="201"/>
        <v>0</v>
      </c>
      <c r="N1316">
        <f t="shared" si="202"/>
        <v>0</v>
      </c>
      <c r="O1316">
        <f t="shared" si="203"/>
        <v>0</v>
      </c>
      <c r="P1316">
        <f t="shared" si="204"/>
        <v>0</v>
      </c>
      <c r="Q1316">
        <f t="shared" si="205"/>
        <v>0</v>
      </c>
      <c r="R1316">
        <f t="shared" si="206"/>
        <v>0</v>
      </c>
      <c r="S1316">
        <f t="shared" si="207"/>
        <v>0</v>
      </c>
      <c r="T1316">
        <f t="shared" si="209"/>
        <v>0</v>
      </c>
      <c r="U1316">
        <f t="shared" si="208"/>
        <v>0</v>
      </c>
    </row>
    <row r="1317" spans="1:21" x14ac:dyDescent="0.25">
      <c r="A1317" s="2">
        <v>1316</v>
      </c>
      <c r="B1317" s="39">
        <v>1065</v>
      </c>
      <c r="C1317" s="27" t="s">
        <v>183</v>
      </c>
      <c r="D1317">
        <v>47.63</v>
      </c>
      <c r="E1317" s="80">
        <v>71013.53</v>
      </c>
      <c r="F1317">
        <v>677.61</v>
      </c>
      <c r="G1317">
        <v>230.25</v>
      </c>
      <c r="H1317" s="80">
        <v>63843.5</v>
      </c>
      <c r="I1317" s="80">
        <v>33756.57</v>
      </c>
      <c r="J1317">
        <v>88.28</v>
      </c>
      <c r="K1317" s="80">
        <v>10310.69</v>
      </c>
      <c r="L1317">
        <f t="shared" si="200"/>
        <v>0</v>
      </c>
      <c r="M1317">
        <f t="shared" si="201"/>
        <v>0</v>
      </c>
      <c r="N1317">
        <f t="shared" si="202"/>
        <v>0</v>
      </c>
      <c r="O1317">
        <f t="shared" si="203"/>
        <v>0</v>
      </c>
      <c r="P1317">
        <f t="shared" si="204"/>
        <v>0</v>
      </c>
      <c r="Q1317">
        <f t="shared" si="205"/>
        <v>0</v>
      </c>
      <c r="R1317">
        <f t="shared" si="206"/>
        <v>0</v>
      </c>
      <c r="S1317">
        <f t="shared" si="207"/>
        <v>0</v>
      </c>
      <c r="T1317">
        <f t="shared" si="209"/>
        <v>0</v>
      </c>
      <c r="U1317">
        <f t="shared" si="208"/>
        <v>0</v>
      </c>
    </row>
    <row r="1318" spans="1:21" x14ac:dyDescent="0.25">
      <c r="A1318" s="2">
        <v>1317</v>
      </c>
      <c r="B1318" s="39">
        <v>1065</v>
      </c>
      <c r="C1318" s="27" t="s">
        <v>186</v>
      </c>
      <c r="D1318">
        <v>60.94</v>
      </c>
      <c r="E1318" s="80">
        <v>96414.22</v>
      </c>
      <c r="F1318">
        <v>2229.41</v>
      </c>
      <c r="G1318">
        <v>245.93</v>
      </c>
      <c r="H1318" s="80">
        <v>45404.23</v>
      </c>
      <c r="I1318" s="80">
        <v>35143.06</v>
      </c>
      <c r="J1318">
        <v>97.57</v>
      </c>
      <c r="K1318" s="80">
        <v>17189.71</v>
      </c>
      <c r="L1318">
        <f t="shared" si="200"/>
        <v>0</v>
      </c>
      <c r="M1318">
        <f t="shared" si="201"/>
        <v>0</v>
      </c>
      <c r="N1318">
        <f t="shared" si="202"/>
        <v>0</v>
      </c>
      <c r="O1318">
        <f t="shared" si="203"/>
        <v>0</v>
      </c>
      <c r="P1318">
        <f t="shared" si="204"/>
        <v>0</v>
      </c>
      <c r="Q1318">
        <f t="shared" si="205"/>
        <v>0</v>
      </c>
      <c r="R1318">
        <f t="shared" si="206"/>
        <v>0</v>
      </c>
      <c r="S1318">
        <f t="shared" si="207"/>
        <v>0</v>
      </c>
      <c r="T1318">
        <f t="shared" si="209"/>
        <v>0</v>
      </c>
      <c r="U1318">
        <f t="shared" si="208"/>
        <v>0</v>
      </c>
    </row>
    <row r="1319" spans="1:21" x14ac:dyDescent="0.25">
      <c r="A1319" s="2">
        <v>1318</v>
      </c>
      <c r="B1319" s="39">
        <v>1065</v>
      </c>
      <c r="C1319" s="27" t="s">
        <v>188</v>
      </c>
      <c r="D1319">
        <v>53.6</v>
      </c>
      <c r="E1319" s="80">
        <v>98484.26</v>
      </c>
      <c r="F1319">
        <v>298.70999999999998</v>
      </c>
      <c r="G1319">
        <v>207.23</v>
      </c>
      <c r="H1319">
        <v>3376.14</v>
      </c>
      <c r="I1319" s="80">
        <v>24027.82</v>
      </c>
      <c r="J1319">
        <v>79.180000000000007</v>
      </c>
      <c r="K1319" s="80">
        <v>14902.95</v>
      </c>
      <c r="L1319">
        <f t="shared" si="200"/>
        <v>0</v>
      </c>
      <c r="M1319">
        <f t="shared" si="201"/>
        <v>0</v>
      </c>
      <c r="N1319">
        <f t="shared" si="202"/>
        <v>0</v>
      </c>
      <c r="O1319">
        <f t="shared" si="203"/>
        <v>0</v>
      </c>
      <c r="P1319">
        <f t="shared" si="204"/>
        <v>0</v>
      </c>
      <c r="Q1319">
        <f t="shared" si="205"/>
        <v>0</v>
      </c>
      <c r="R1319">
        <f t="shared" si="206"/>
        <v>0</v>
      </c>
      <c r="S1319">
        <f t="shared" si="207"/>
        <v>0</v>
      </c>
      <c r="T1319">
        <f t="shared" si="209"/>
        <v>0</v>
      </c>
      <c r="U1319">
        <f t="shared" si="208"/>
        <v>0</v>
      </c>
    </row>
    <row r="1320" spans="1:21" x14ac:dyDescent="0.25">
      <c r="A1320" s="2">
        <v>1319</v>
      </c>
      <c r="B1320" s="39">
        <v>1065</v>
      </c>
      <c r="C1320" s="27" t="s">
        <v>182</v>
      </c>
      <c r="D1320" t="s">
        <v>583</v>
      </c>
      <c r="E1320">
        <v>323.18</v>
      </c>
      <c r="F1320" t="s">
        <v>583</v>
      </c>
      <c r="G1320" t="s">
        <v>583</v>
      </c>
      <c r="H1320" t="s">
        <v>583</v>
      </c>
      <c r="I1320" s="80">
        <v>0.03</v>
      </c>
      <c r="J1320" t="s">
        <v>583</v>
      </c>
      <c r="K1320" t="s">
        <v>583</v>
      </c>
      <c r="L1320">
        <f t="shared" si="200"/>
        <v>0</v>
      </c>
      <c r="M1320">
        <f t="shared" si="201"/>
        <v>0</v>
      </c>
      <c r="N1320">
        <f t="shared" si="202"/>
        <v>0</v>
      </c>
      <c r="O1320">
        <f t="shared" si="203"/>
        <v>0</v>
      </c>
      <c r="P1320">
        <f t="shared" si="204"/>
        <v>0</v>
      </c>
      <c r="Q1320">
        <f t="shared" si="205"/>
        <v>0</v>
      </c>
      <c r="R1320">
        <f t="shared" si="206"/>
        <v>0</v>
      </c>
      <c r="S1320">
        <f t="shared" si="207"/>
        <v>0</v>
      </c>
      <c r="T1320">
        <f t="shared" si="209"/>
        <v>0</v>
      </c>
      <c r="U1320">
        <f t="shared" si="208"/>
        <v>0</v>
      </c>
    </row>
    <row r="1321" spans="1:21" x14ac:dyDescent="0.25">
      <c r="A1321" s="2">
        <v>1320</v>
      </c>
      <c r="B1321" s="39">
        <v>1065</v>
      </c>
      <c r="C1321" s="27" t="s">
        <v>184</v>
      </c>
      <c r="D1321">
        <v>1.79</v>
      </c>
      <c r="E1321">
        <v>2792.36</v>
      </c>
      <c r="F1321">
        <v>19.37</v>
      </c>
      <c r="G1321" s="80">
        <v>9.7799999999999994</v>
      </c>
      <c r="H1321">
        <v>452.18</v>
      </c>
      <c r="I1321" s="80">
        <v>10380.14</v>
      </c>
      <c r="J1321">
        <v>2.21</v>
      </c>
      <c r="K1321">
        <v>76.239999999999995</v>
      </c>
      <c r="L1321">
        <f t="shared" si="200"/>
        <v>0</v>
      </c>
      <c r="M1321">
        <f t="shared" si="201"/>
        <v>0</v>
      </c>
      <c r="N1321">
        <f t="shared" si="202"/>
        <v>0</v>
      </c>
      <c r="O1321">
        <f t="shared" si="203"/>
        <v>0</v>
      </c>
      <c r="P1321">
        <f t="shared" si="204"/>
        <v>0</v>
      </c>
      <c r="Q1321">
        <f t="shared" si="205"/>
        <v>0</v>
      </c>
      <c r="R1321">
        <f t="shared" si="206"/>
        <v>0</v>
      </c>
      <c r="S1321">
        <f t="shared" si="207"/>
        <v>0</v>
      </c>
      <c r="T1321">
        <f t="shared" si="209"/>
        <v>0</v>
      </c>
      <c r="U1321">
        <f t="shared" si="208"/>
        <v>0</v>
      </c>
    </row>
    <row r="1322" spans="1:21" x14ac:dyDescent="0.25">
      <c r="A1322" s="2">
        <v>1321</v>
      </c>
      <c r="B1322" s="39">
        <v>1065</v>
      </c>
      <c r="C1322" s="27" t="s">
        <v>187</v>
      </c>
      <c r="D1322">
        <v>9.25</v>
      </c>
      <c r="E1322">
        <v>5753.65</v>
      </c>
      <c r="F1322">
        <v>75.58</v>
      </c>
      <c r="G1322">
        <v>44.96</v>
      </c>
      <c r="H1322">
        <v>1602.45</v>
      </c>
      <c r="I1322" s="80">
        <v>12634.81</v>
      </c>
      <c r="J1322">
        <v>13.35</v>
      </c>
      <c r="K1322">
        <v>700.14</v>
      </c>
      <c r="L1322">
        <f t="shared" si="200"/>
        <v>0</v>
      </c>
      <c r="M1322">
        <f t="shared" si="201"/>
        <v>0</v>
      </c>
      <c r="N1322">
        <f t="shared" si="202"/>
        <v>0</v>
      </c>
      <c r="O1322">
        <f t="shared" si="203"/>
        <v>0</v>
      </c>
      <c r="P1322">
        <f t="shared" si="204"/>
        <v>0</v>
      </c>
      <c r="Q1322">
        <f t="shared" si="205"/>
        <v>0</v>
      </c>
      <c r="R1322">
        <f t="shared" si="206"/>
        <v>0</v>
      </c>
      <c r="S1322">
        <f t="shared" si="207"/>
        <v>0</v>
      </c>
      <c r="T1322">
        <f t="shared" si="209"/>
        <v>0</v>
      </c>
      <c r="U1322">
        <f t="shared" si="208"/>
        <v>0</v>
      </c>
    </row>
    <row r="1323" spans="1:21" x14ac:dyDescent="0.25">
      <c r="A1323" s="2">
        <v>1322</v>
      </c>
      <c r="B1323" s="39">
        <v>1065</v>
      </c>
      <c r="C1323" s="27" t="s">
        <v>189</v>
      </c>
      <c r="D1323">
        <v>6.79</v>
      </c>
      <c r="E1323">
        <v>3896.43</v>
      </c>
      <c r="F1323">
        <v>8.1300000000000008</v>
      </c>
      <c r="G1323">
        <v>25.77</v>
      </c>
      <c r="H1323">
        <v>1059.72</v>
      </c>
      <c r="I1323" s="80">
        <v>4054.37</v>
      </c>
      <c r="J1323">
        <v>10.25</v>
      </c>
      <c r="K1323">
        <v>770.68</v>
      </c>
      <c r="L1323">
        <f t="shared" si="200"/>
        <v>0</v>
      </c>
      <c r="M1323">
        <f t="shared" si="201"/>
        <v>0</v>
      </c>
      <c r="N1323">
        <f t="shared" si="202"/>
        <v>0</v>
      </c>
      <c r="O1323">
        <f t="shared" si="203"/>
        <v>0</v>
      </c>
      <c r="P1323">
        <f t="shared" si="204"/>
        <v>0</v>
      </c>
      <c r="Q1323">
        <f t="shared" si="205"/>
        <v>0</v>
      </c>
      <c r="R1323">
        <f t="shared" si="206"/>
        <v>0</v>
      </c>
      <c r="S1323">
        <f t="shared" si="207"/>
        <v>0</v>
      </c>
      <c r="T1323">
        <f t="shared" si="209"/>
        <v>0</v>
      </c>
      <c r="U1323">
        <f t="shared" si="208"/>
        <v>0</v>
      </c>
    </row>
    <row r="1324" spans="1:21" x14ac:dyDescent="0.25">
      <c r="A1324" s="2">
        <v>1323</v>
      </c>
      <c r="B1324" s="39">
        <v>1061</v>
      </c>
      <c r="C1324" s="41" t="s">
        <v>162</v>
      </c>
      <c r="D1324">
        <v>6.01</v>
      </c>
      <c r="E1324">
        <v>12654.03</v>
      </c>
      <c r="F1324">
        <v>0.38</v>
      </c>
      <c r="G1324">
        <v>25.77</v>
      </c>
      <c r="H1324">
        <v>0.52</v>
      </c>
      <c r="I1324">
        <v>0.36</v>
      </c>
      <c r="J1324">
        <v>5.5</v>
      </c>
      <c r="K1324">
        <v>0.92</v>
      </c>
      <c r="L1324">
        <f t="shared" si="200"/>
        <v>0</v>
      </c>
      <c r="M1324">
        <f t="shared" si="201"/>
        <v>0</v>
      </c>
      <c r="N1324">
        <f t="shared" si="202"/>
        <v>0</v>
      </c>
      <c r="O1324">
        <f t="shared" si="203"/>
        <v>0</v>
      </c>
      <c r="P1324">
        <f t="shared" si="204"/>
        <v>0</v>
      </c>
      <c r="Q1324">
        <f t="shared" si="205"/>
        <v>0</v>
      </c>
      <c r="R1324">
        <f t="shared" si="206"/>
        <v>0</v>
      </c>
      <c r="S1324">
        <f t="shared" si="207"/>
        <v>0</v>
      </c>
      <c r="T1324">
        <f t="shared" si="209"/>
        <v>0</v>
      </c>
      <c r="U1324">
        <f t="shared" si="208"/>
        <v>0</v>
      </c>
    </row>
    <row r="1325" spans="1:21" x14ac:dyDescent="0.25">
      <c r="A1325" s="2">
        <v>1324</v>
      </c>
      <c r="B1325" s="39">
        <v>1061</v>
      </c>
      <c r="C1325" s="41" t="s">
        <v>170</v>
      </c>
      <c r="D1325">
        <v>20.329999999999998</v>
      </c>
      <c r="E1325" s="80">
        <v>24832.78</v>
      </c>
      <c r="F1325">
        <v>19.43</v>
      </c>
      <c r="G1325">
        <v>66.55</v>
      </c>
      <c r="H1325">
        <v>65.650000000000006</v>
      </c>
      <c r="I1325" s="80">
        <v>9249.85</v>
      </c>
      <c r="J1325">
        <v>24.64</v>
      </c>
      <c r="K1325">
        <v>198.26</v>
      </c>
      <c r="L1325">
        <f t="shared" si="200"/>
        <v>0</v>
      </c>
      <c r="M1325">
        <f t="shared" si="201"/>
        <v>0</v>
      </c>
      <c r="N1325">
        <f t="shared" si="202"/>
        <v>0</v>
      </c>
      <c r="O1325">
        <f t="shared" si="203"/>
        <v>0</v>
      </c>
      <c r="P1325">
        <f t="shared" si="204"/>
        <v>0</v>
      </c>
      <c r="Q1325">
        <f t="shared" si="205"/>
        <v>0</v>
      </c>
      <c r="R1325">
        <f t="shared" si="206"/>
        <v>0</v>
      </c>
      <c r="S1325">
        <f t="shared" si="207"/>
        <v>0</v>
      </c>
      <c r="T1325">
        <f t="shared" si="209"/>
        <v>0</v>
      </c>
      <c r="U1325">
        <f t="shared" si="208"/>
        <v>0</v>
      </c>
    </row>
    <row r="1326" spans="1:21" x14ac:dyDescent="0.25">
      <c r="A1326" s="2">
        <v>1325</v>
      </c>
      <c r="B1326" s="39">
        <v>1061</v>
      </c>
      <c r="C1326" s="41" t="s">
        <v>178</v>
      </c>
      <c r="D1326">
        <v>22.33</v>
      </c>
      <c r="E1326" s="80">
        <v>45411.29</v>
      </c>
      <c r="F1326">
        <v>93.15</v>
      </c>
      <c r="G1326">
        <v>102.56</v>
      </c>
      <c r="H1326">
        <v>551.98</v>
      </c>
      <c r="I1326" s="80">
        <v>16755.29</v>
      </c>
      <c r="J1326">
        <v>31.98</v>
      </c>
      <c r="K1326">
        <v>382.17</v>
      </c>
      <c r="L1326">
        <f t="shared" si="200"/>
        <v>0</v>
      </c>
      <c r="M1326">
        <f t="shared" si="201"/>
        <v>0</v>
      </c>
      <c r="N1326">
        <f t="shared" si="202"/>
        <v>0</v>
      </c>
      <c r="O1326">
        <f t="shared" si="203"/>
        <v>0</v>
      </c>
      <c r="P1326">
        <f t="shared" si="204"/>
        <v>0</v>
      </c>
      <c r="Q1326">
        <f t="shared" si="205"/>
        <v>0</v>
      </c>
      <c r="R1326">
        <f t="shared" si="206"/>
        <v>0</v>
      </c>
      <c r="S1326">
        <f t="shared" si="207"/>
        <v>0</v>
      </c>
      <c r="T1326">
        <f t="shared" si="209"/>
        <v>0</v>
      </c>
      <c r="U1326">
        <f t="shared" si="208"/>
        <v>0</v>
      </c>
    </row>
    <row r="1327" spans="1:21" x14ac:dyDescent="0.25">
      <c r="A1327" s="2">
        <v>1326</v>
      </c>
      <c r="B1327" s="39">
        <v>1061</v>
      </c>
      <c r="C1327" s="41" t="s">
        <v>163</v>
      </c>
      <c r="D1327">
        <v>18.37</v>
      </c>
      <c r="E1327" s="80">
        <v>32624.41</v>
      </c>
      <c r="F1327">
        <v>8.2200000000000006</v>
      </c>
      <c r="G1327">
        <v>60.96</v>
      </c>
      <c r="H1327">
        <v>143.25</v>
      </c>
      <c r="I1327">
        <v>2084.3000000000002</v>
      </c>
      <c r="J1327">
        <v>24.64</v>
      </c>
      <c r="K1327">
        <v>843.17</v>
      </c>
      <c r="L1327">
        <f t="shared" si="200"/>
        <v>0</v>
      </c>
      <c r="M1327">
        <f t="shared" si="201"/>
        <v>0</v>
      </c>
      <c r="N1327">
        <f t="shared" si="202"/>
        <v>0</v>
      </c>
      <c r="O1327">
        <f t="shared" si="203"/>
        <v>0</v>
      </c>
      <c r="P1327">
        <f t="shared" si="204"/>
        <v>0</v>
      </c>
      <c r="Q1327">
        <f t="shared" si="205"/>
        <v>0</v>
      </c>
      <c r="R1327">
        <f t="shared" si="206"/>
        <v>0</v>
      </c>
      <c r="S1327">
        <f t="shared" si="207"/>
        <v>0</v>
      </c>
      <c r="T1327">
        <f t="shared" si="209"/>
        <v>0</v>
      </c>
      <c r="U1327">
        <f t="shared" si="208"/>
        <v>0</v>
      </c>
    </row>
    <row r="1328" spans="1:21" x14ac:dyDescent="0.25">
      <c r="A1328" s="2">
        <v>1327</v>
      </c>
      <c r="B1328" s="39">
        <v>1061</v>
      </c>
      <c r="C1328" s="41" t="s">
        <v>181</v>
      </c>
      <c r="D1328">
        <v>7.59</v>
      </c>
      <c r="E1328">
        <v>9067.58</v>
      </c>
      <c r="F1328">
        <v>0.16</v>
      </c>
      <c r="G1328">
        <v>44.96</v>
      </c>
      <c r="H1328">
        <v>0.65</v>
      </c>
      <c r="I1328">
        <v>1.96</v>
      </c>
      <c r="J1328">
        <v>3.78</v>
      </c>
      <c r="K1328">
        <v>1.08</v>
      </c>
      <c r="L1328">
        <f t="shared" si="200"/>
        <v>0</v>
      </c>
      <c r="M1328">
        <f t="shared" si="201"/>
        <v>0</v>
      </c>
      <c r="N1328">
        <f t="shared" si="202"/>
        <v>0</v>
      </c>
      <c r="O1328">
        <f t="shared" si="203"/>
        <v>0</v>
      </c>
      <c r="P1328">
        <f t="shared" si="204"/>
        <v>0</v>
      </c>
      <c r="Q1328">
        <f t="shared" si="205"/>
        <v>0</v>
      </c>
      <c r="R1328">
        <f t="shared" si="206"/>
        <v>0</v>
      </c>
      <c r="S1328">
        <f t="shared" si="207"/>
        <v>0</v>
      </c>
      <c r="T1328">
        <f t="shared" si="209"/>
        <v>0</v>
      </c>
      <c r="U1328">
        <f t="shared" si="208"/>
        <v>0</v>
      </c>
    </row>
    <row r="1329" spans="1:21" x14ac:dyDescent="0.25">
      <c r="A1329" s="2">
        <v>1328</v>
      </c>
      <c r="B1329" s="39">
        <v>1061</v>
      </c>
      <c r="C1329" s="41" t="s">
        <v>183</v>
      </c>
      <c r="D1329">
        <v>22.33</v>
      </c>
      <c r="E1329" s="80">
        <v>102150.86</v>
      </c>
      <c r="F1329">
        <v>218.26</v>
      </c>
      <c r="G1329">
        <v>135.35</v>
      </c>
      <c r="H1329">
        <v>935.15</v>
      </c>
      <c r="I1329" s="80">
        <v>25066.62</v>
      </c>
      <c r="J1329">
        <v>39.67</v>
      </c>
      <c r="K1329">
        <v>679.68</v>
      </c>
      <c r="L1329">
        <f t="shared" si="200"/>
        <v>0</v>
      </c>
      <c r="M1329">
        <f t="shared" si="201"/>
        <v>0</v>
      </c>
      <c r="N1329">
        <f t="shared" si="202"/>
        <v>0</v>
      </c>
      <c r="O1329">
        <f t="shared" si="203"/>
        <v>0</v>
      </c>
      <c r="P1329">
        <f t="shared" si="204"/>
        <v>0</v>
      </c>
      <c r="Q1329">
        <f t="shared" si="205"/>
        <v>0</v>
      </c>
      <c r="R1329">
        <f t="shared" si="206"/>
        <v>0</v>
      </c>
      <c r="S1329">
        <f t="shared" si="207"/>
        <v>0</v>
      </c>
      <c r="T1329">
        <f t="shared" si="209"/>
        <v>0</v>
      </c>
      <c r="U1329">
        <f t="shared" si="208"/>
        <v>0</v>
      </c>
    </row>
    <row r="1330" spans="1:21" x14ac:dyDescent="0.25">
      <c r="A1330" s="2">
        <v>1329</v>
      </c>
      <c r="B1330" s="39">
        <v>1061</v>
      </c>
      <c r="C1330" s="41" t="s">
        <v>186</v>
      </c>
      <c r="D1330">
        <v>35.049999999999997</v>
      </c>
      <c r="E1330" s="80">
        <v>131854.72</v>
      </c>
      <c r="F1330">
        <v>1184.74</v>
      </c>
      <c r="G1330">
        <v>156.08000000000001</v>
      </c>
      <c r="H1330">
        <v>6406.8</v>
      </c>
      <c r="I1330" s="80">
        <v>31874.67</v>
      </c>
      <c r="J1330">
        <v>73.22</v>
      </c>
      <c r="K1330">
        <v>2193.58</v>
      </c>
      <c r="L1330">
        <f t="shared" si="200"/>
        <v>0</v>
      </c>
      <c r="M1330">
        <f t="shared" si="201"/>
        <v>0</v>
      </c>
      <c r="N1330">
        <f t="shared" si="202"/>
        <v>0</v>
      </c>
      <c r="O1330">
        <f t="shared" si="203"/>
        <v>0</v>
      </c>
      <c r="P1330">
        <f t="shared" si="204"/>
        <v>0</v>
      </c>
      <c r="Q1330">
        <f t="shared" si="205"/>
        <v>0</v>
      </c>
      <c r="R1330">
        <f t="shared" si="206"/>
        <v>0</v>
      </c>
      <c r="S1330">
        <f t="shared" si="207"/>
        <v>0</v>
      </c>
      <c r="T1330">
        <f t="shared" si="209"/>
        <v>0</v>
      </c>
      <c r="U1330">
        <f t="shared" si="208"/>
        <v>0</v>
      </c>
    </row>
    <row r="1331" spans="1:21" x14ac:dyDescent="0.25">
      <c r="A1331" s="2">
        <v>1330</v>
      </c>
      <c r="B1331" s="39">
        <v>1061</v>
      </c>
      <c r="C1331" s="41" t="s">
        <v>188</v>
      </c>
      <c r="D1331">
        <v>24.37</v>
      </c>
      <c r="E1331" s="80">
        <v>91310.85</v>
      </c>
      <c r="F1331">
        <v>39.619999999999997</v>
      </c>
      <c r="G1331">
        <v>156.08000000000001</v>
      </c>
      <c r="H1331">
        <v>660.19</v>
      </c>
      <c r="I1331" s="80">
        <v>10298.56</v>
      </c>
      <c r="J1331">
        <v>37.07</v>
      </c>
      <c r="K1331">
        <v>1496.17</v>
      </c>
      <c r="L1331">
        <f t="shared" si="200"/>
        <v>0</v>
      </c>
      <c r="M1331">
        <f t="shared" si="201"/>
        <v>0</v>
      </c>
      <c r="N1331">
        <f t="shared" si="202"/>
        <v>0</v>
      </c>
      <c r="O1331">
        <f t="shared" si="203"/>
        <v>0</v>
      </c>
      <c r="P1331">
        <f t="shared" si="204"/>
        <v>0</v>
      </c>
      <c r="Q1331">
        <f t="shared" si="205"/>
        <v>0</v>
      </c>
      <c r="R1331">
        <f t="shared" si="206"/>
        <v>0</v>
      </c>
      <c r="S1331">
        <f t="shared" si="207"/>
        <v>0</v>
      </c>
      <c r="T1331">
        <f t="shared" si="209"/>
        <v>0</v>
      </c>
      <c r="U1331">
        <f t="shared" si="208"/>
        <v>0</v>
      </c>
    </row>
    <row r="1332" spans="1:21" x14ac:dyDescent="0.25">
      <c r="A1332" s="2">
        <v>1331</v>
      </c>
      <c r="B1332" s="39">
        <v>1061</v>
      </c>
      <c r="C1332" s="41" t="s">
        <v>182</v>
      </c>
      <c r="D1332">
        <v>3.09</v>
      </c>
      <c r="E1332">
        <v>1322.4</v>
      </c>
      <c r="F1332">
        <v>0.21</v>
      </c>
      <c r="G1332" s="80">
        <v>3.55</v>
      </c>
      <c r="H1332">
        <v>2</v>
      </c>
      <c r="I1332">
        <v>1201.6300000000001</v>
      </c>
      <c r="J1332" t="s">
        <v>583</v>
      </c>
      <c r="K1332">
        <v>1.24</v>
      </c>
      <c r="L1332">
        <f t="shared" si="200"/>
        <v>0</v>
      </c>
      <c r="M1332">
        <f t="shared" si="201"/>
        <v>0</v>
      </c>
      <c r="N1332">
        <f t="shared" si="202"/>
        <v>0</v>
      </c>
      <c r="O1332">
        <f t="shared" si="203"/>
        <v>0</v>
      </c>
      <c r="P1332">
        <f t="shared" si="204"/>
        <v>0</v>
      </c>
      <c r="Q1332">
        <f t="shared" si="205"/>
        <v>0</v>
      </c>
      <c r="R1332">
        <f t="shared" si="206"/>
        <v>0</v>
      </c>
      <c r="S1332">
        <f t="shared" si="207"/>
        <v>0</v>
      </c>
      <c r="T1332">
        <f t="shared" si="209"/>
        <v>0</v>
      </c>
      <c r="U1332">
        <f t="shared" si="208"/>
        <v>0</v>
      </c>
    </row>
    <row r="1333" spans="1:21" x14ac:dyDescent="0.25">
      <c r="A1333" s="2">
        <v>1332</v>
      </c>
      <c r="B1333" s="39">
        <v>1061</v>
      </c>
      <c r="C1333" s="41" t="s">
        <v>184</v>
      </c>
      <c r="D1333">
        <v>16.45</v>
      </c>
      <c r="E1333">
        <v>11197.2</v>
      </c>
      <c r="F1333">
        <v>140.69</v>
      </c>
      <c r="G1333">
        <v>90.12</v>
      </c>
      <c r="H1333">
        <v>6999.94</v>
      </c>
      <c r="I1333" s="80">
        <v>26713.93</v>
      </c>
      <c r="J1333">
        <v>27.04</v>
      </c>
      <c r="K1333">
        <v>1084.52</v>
      </c>
      <c r="L1333">
        <f t="shared" si="200"/>
        <v>0</v>
      </c>
      <c r="M1333">
        <f t="shared" si="201"/>
        <v>0</v>
      </c>
      <c r="N1333">
        <f t="shared" si="202"/>
        <v>0</v>
      </c>
      <c r="O1333">
        <f t="shared" si="203"/>
        <v>0</v>
      </c>
      <c r="P1333">
        <f t="shared" si="204"/>
        <v>0</v>
      </c>
      <c r="Q1333">
        <f t="shared" si="205"/>
        <v>0</v>
      </c>
      <c r="R1333">
        <f t="shared" si="206"/>
        <v>0</v>
      </c>
      <c r="S1333">
        <f t="shared" si="207"/>
        <v>0</v>
      </c>
      <c r="T1333">
        <f t="shared" si="209"/>
        <v>0</v>
      </c>
      <c r="U1333">
        <f t="shared" si="208"/>
        <v>0</v>
      </c>
    </row>
    <row r="1334" spans="1:21" ht="15.75" thickBot="1" x14ac:dyDescent="0.3">
      <c r="A1334" s="2">
        <v>1333</v>
      </c>
      <c r="B1334" s="39">
        <v>1061</v>
      </c>
      <c r="C1334" s="41" t="s">
        <v>187</v>
      </c>
      <c r="D1334">
        <v>30.68</v>
      </c>
      <c r="E1334">
        <v>16369.79</v>
      </c>
      <c r="F1334">
        <v>188.04</v>
      </c>
      <c r="G1334">
        <v>96.29</v>
      </c>
      <c r="H1334">
        <v>11246.89</v>
      </c>
      <c r="I1334" s="80">
        <v>25899.61</v>
      </c>
      <c r="J1334">
        <v>39.67</v>
      </c>
      <c r="K1334">
        <v>3582.43</v>
      </c>
      <c r="L1334">
        <f t="shared" si="200"/>
        <v>0</v>
      </c>
      <c r="M1334">
        <f t="shared" si="201"/>
        <v>0</v>
      </c>
      <c r="N1334">
        <f t="shared" si="202"/>
        <v>0</v>
      </c>
      <c r="O1334">
        <f t="shared" si="203"/>
        <v>0</v>
      </c>
      <c r="P1334">
        <f t="shared" si="204"/>
        <v>0</v>
      </c>
      <c r="Q1334">
        <f t="shared" si="205"/>
        <v>0</v>
      </c>
      <c r="R1334">
        <f t="shared" si="206"/>
        <v>0</v>
      </c>
      <c r="S1334">
        <f t="shared" si="207"/>
        <v>0</v>
      </c>
      <c r="T1334">
        <f t="shared" si="209"/>
        <v>0</v>
      </c>
      <c r="U1334">
        <f t="shared" si="208"/>
        <v>0</v>
      </c>
    </row>
    <row r="1335" spans="1:21" x14ac:dyDescent="0.25">
      <c r="A1335" s="2">
        <v>1334</v>
      </c>
      <c r="B1335" s="39">
        <v>1061</v>
      </c>
      <c r="C1335" s="40" t="s">
        <v>189</v>
      </c>
      <c r="D1335">
        <v>24.37</v>
      </c>
      <c r="E1335">
        <v>15694.89</v>
      </c>
      <c r="F1335">
        <v>42.24</v>
      </c>
      <c r="G1335">
        <v>90.12</v>
      </c>
      <c r="H1335">
        <v>4063.11</v>
      </c>
      <c r="I1335" s="80">
        <v>23785.43</v>
      </c>
      <c r="J1335">
        <v>31.98</v>
      </c>
      <c r="K1335">
        <v>5222.12</v>
      </c>
      <c r="L1335">
        <f t="shared" si="200"/>
        <v>0</v>
      </c>
      <c r="M1335">
        <f t="shared" si="201"/>
        <v>0</v>
      </c>
      <c r="N1335">
        <f t="shared" si="202"/>
        <v>0</v>
      </c>
      <c r="O1335">
        <f t="shared" si="203"/>
        <v>0</v>
      </c>
      <c r="P1335">
        <f t="shared" si="204"/>
        <v>0</v>
      </c>
      <c r="Q1335">
        <f t="shared" si="205"/>
        <v>0</v>
      </c>
      <c r="R1335">
        <f t="shared" si="206"/>
        <v>0</v>
      </c>
      <c r="S1335">
        <f t="shared" si="207"/>
        <v>0</v>
      </c>
      <c r="T1335">
        <f t="shared" si="209"/>
        <v>0</v>
      </c>
      <c r="U1335">
        <f t="shared" si="208"/>
        <v>0</v>
      </c>
    </row>
    <row r="1336" spans="1:21" x14ac:dyDescent="0.25">
      <c r="A1336" s="2">
        <v>1335</v>
      </c>
      <c r="B1336" s="39">
        <v>1062</v>
      </c>
      <c r="C1336" s="41" t="s">
        <v>162</v>
      </c>
      <c r="D1336">
        <v>26.44</v>
      </c>
      <c r="E1336" s="80">
        <v>78610.69</v>
      </c>
      <c r="F1336">
        <v>0.97</v>
      </c>
      <c r="G1336">
        <v>142.16999999999999</v>
      </c>
      <c r="H1336">
        <v>2.87</v>
      </c>
      <c r="I1336">
        <v>1.48</v>
      </c>
      <c r="J1336">
        <v>19.96</v>
      </c>
      <c r="K1336">
        <v>4.8</v>
      </c>
      <c r="L1336">
        <f t="shared" si="200"/>
        <v>0</v>
      </c>
      <c r="M1336">
        <f t="shared" si="201"/>
        <v>0</v>
      </c>
      <c r="N1336">
        <f t="shared" si="202"/>
        <v>0</v>
      </c>
      <c r="O1336">
        <f t="shared" si="203"/>
        <v>0</v>
      </c>
      <c r="P1336">
        <f t="shared" si="204"/>
        <v>0</v>
      </c>
      <c r="Q1336">
        <f t="shared" si="205"/>
        <v>0</v>
      </c>
      <c r="R1336">
        <f t="shared" si="206"/>
        <v>0</v>
      </c>
      <c r="S1336">
        <f t="shared" si="207"/>
        <v>0</v>
      </c>
      <c r="T1336">
        <f t="shared" si="209"/>
        <v>0</v>
      </c>
      <c r="U1336">
        <f t="shared" si="208"/>
        <v>0</v>
      </c>
    </row>
    <row r="1337" spans="1:21" x14ac:dyDescent="0.25">
      <c r="A1337" s="2">
        <v>1336</v>
      </c>
      <c r="B1337" s="39">
        <v>1062</v>
      </c>
      <c r="C1337" s="41" t="s">
        <v>170</v>
      </c>
      <c r="D1337">
        <v>22.33</v>
      </c>
      <c r="E1337" s="80">
        <v>44208.78</v>
      </c>
      <c r="F1337">
        <v>220.79</v>
      </c>
      <c r="G1337">
        <v>108.93</v>
      </c>
      <c r="H1337">
        <v>788.21</v>
      </c>
      <c r="I1337" s="80">
        <v>15203.38</v>
      </c>
      <c r="J1337">
        <v>25.83</v>
      </c>
      <c r="K1337">
        <v>883.51</v>
      </c>
      <c r="L1337">
        <f t="shared" si="200"/>
        <v>0</v>
      </c>
      <c r="M1337">
        <f t="shared" si="201"/>
        <v>0</v>
      </c>
      <c r="N1337">
        <f t="shared" si="202"/>
        <v>0</v>
      </c>
      <c r="O1337">
        <f t="shared" si="203"/>
        <v>0</v>
      </c>
      <c r="P1337">
        <f t="shared" si="204"/>
        <v>0</v>
      </c>
      <c r="Q1337">
        <f t="shared" si="205"/>
        <v>0</v>
      </c>
      <c r="R1337">
        <f t="shared" si="206"/>
        <v>0</v>
      </c>
      <c r="S1337">
        <f t="shared" si="207"/>
        <v>0</v>
      </c>
      <c r="T1337">
        <f t="shared" si="209"/>
        <v>0</v>
      </c>
      <c r="U1337">
        <f t="shared" si="208"/>
        <v>0</v>
      </c>
    </row>
    <row r="1338" spans="1:21" x14ac:dyDescent="0.25">
      <c r="A1338" s="2">
        <v>1337</v>
      </c>
      <c r="B1338" s="39">
        <v>1062</v>
      </c>
      <c r="C1338" s="41" t="s">
        <v>178</v>
      </c>
      <c r="D1338">
        <v>32.85</v>
      </c>
      <c r="E1338" s="80">
        <v>64240.77</v>
      </c>
      <c r="F1338">
        <v>1648.98</v>
      </c>
      <c r="G1338">
        <v>170.31</v>
      </c>
      <c r="H1338">
        <v>6470.58</v>
      </c>
      <c r="I1338" s="80">
        <v>23590.89</v>
      </c>
      <c r="J1338">
        <v>46.32</v>
      </c>
      <c r="K1338">
        <v>2589.3000000000002</v>
      </c>
      <c r="L1338">
        <f t="shared" si="200"/>
        <v>0</v>
      </c>
      <c r="M1338">
        <f t="shared" si="201"/>
        <v>0</v>
      </c>
      <c r="N1338">
        <f t="shared" si="202"/>
        <v>0</v>
      </c>
      <c r="O1338">
        <f t="shared" si="203"/>
        <v>0</v>
      </c>
      <c r="P1338">
        <f t="shared" si="204"/>
        <v>0</v>
      </c>
      <c r="Q1338">
        <f t="shared" si="205"/>
        <v>0</v>
      </c>
      <c r="R1338">
        <f t="shared" si="206"/>
        <v>0</v>
      </c>
      <c r="S1338">
        <f t="shared" si="207"/>
        <v>0</v>
      </c>
      <c r="T1338">
        <f t="shared" si="209"/>
        <v>0</v>
      </c>
      <c r="U1338">
        <f t="shared" si="208"/>
        <v>0</v>
      </c>
    </row>
    <row r="1339" spans="1:21" x14ac:dyDescent="0.25">
      <c r="A1339" s="2">
        <v>1338</v>
      </c>
      <c r="B1339" s="39">
        <v>1062</v>
      </c>
      <c r="C1339" s="41" t="s">
        <v>163</v>
      </c>
      <c r="D1339">
        <v>30.68</v>
      </c>
      <c r="E1339" s="80">
        <v>81798.679999999993</v>
      </c>
      <c r="F1339">
        <v>1246.68</v>
      </c>
      <c r="G1339">
        <v>278.07</v>
      </c>
      <c r="H1339">
        <v>3015.82</v>
      </c>
      <c r="I1339" s="80">
        <v>16507.509999999998</v>
      </c>
      <c r="J1339">
        <v>63.03</v>
      </c>
      <c r="K1339">
        <v>5511.46</v>
      </c>
      <c r="L1339">
        <f t="shared" si="200"/>
        <v>0</v>
      </c>
      <c r="M1339">
        <f t="shared" si="201"/>
        <v>0</v>
      </c>
      <c r="N1339">
        <f t="shared" si="202"/>
        <v>0</v>
      </c>
      <c r="O1339">
        <f t="shared" si="203"/>
        <v>0</v>
      </c>
      <c r="P1339">
        <f t="shared" si="204"/>
        <v>0</v>
      </c>
      <c r="Q1339">
        <f t="shared" si="205"/>
        <v>0</v>
      </c>
      <c r="R1339">
        <f t="shared" si="206"/>
        <v>0</v>
      </c>
      <c r="S1339">
        <f t="shared" si="207"/>
        <v>0</v>
      </c>
      <c r="T1339">
        <f t="shared" si="209"/>
        <v>0</v>
      </c>
      <c r="U1339">
        <f t="shared" si="208"/>
        <v>0</v>
      </c>
    </row>
    <row r="1340" spans="1:21" x14ac:dyDescent="0.25">
      <c r="A1340" s="2">
        <v>1339</v>
      </c>
      <c r="B1340" s="39">
        <v>1062</v>
      </c>
      <c r="C1340" s="41" t="s">
        <v>181</v>
      </c>
      <c r="D1340">
        <v>35.049999999999997</v>
      </c>
      <c r="E1340" s="80">
        <v>186307.62</v>
      </c>
      <c r="F1340">
        <v>0.92</v>
      </c>
      <c r="G1340">
        <v>121.95</v>
      </c>
      <c r="H1340">
        <v>18.829999999999998</v>
      </c>
      <c r="I1340">
        <v>71.84</v>
      </c>
      <c r="J1340">
        <v>31.98</v>
      </c>
      <c r="K1340">
        <v>82.49</v>
      </c>
      <c r="L1340">
        <f t="shared" si="200"/>
        <v>0</v>
      </c>
      <c r="M1340">
        <f t="shared" si="201"/>
        <v>0</v>
      </c>
      <c r="N1340">
        <f t="shared" si="202"/>
        <v>0</v>
      </c>
      <c r="O1340">
        <f t="shared" si="203"/>
        <v>0</v>
      </c>
      <c r="P1340">
        <f t="shared" si="204"/>
        <v>0</v>
      </c>
      <c r="Q1340">
        <f t="shared" si="205"/>
        <v>0</v>
      </c>
      <c r="R1340">
        <f t="shared" si="206"/>
        <v>0</v>
      </c>
      <c r="S1340">
        <f t="shared" si="207"/>
        <v>0</v>
      </c>
      <c r="T1340">
        <f t="shared" si="209"/>
        <v>0</v>
      </c>
      <c r="U1340">
        <f t="shared" si="208"/>
        <v>0</v>
      </c>
    </row>
    <row r="1341" spans="1:21" x14ac:dyDescent="0.25">
      <c r="A1341" s="2">
        <v>1340</v>
      </c>
      <c r="B1341" s="39">
        <v>1062</v>
      </c>
      <c r="C1341" s="41" t="s">
        <v>183</v>
      </c>
      <c r="D1341">
        <v>44.12</v>
      </c>
      <c r="E1341" s="80">
        <v>111335.43</v>
      </c>
      <c r="F1341">
        <v>690.07</v>
      </c>
      <c r="G1341">
        <v>184.86</v>
      </c>
      <c r="H1341">
        <v>2362.7399999999998</v>
      </c>
      <c r="I1341" s="80">
        <v>30750.97</v>
      </c>
      <c r="J1341">
        <v>61.6</v>
      </c>
      <c r="K1341">
        <v>5172.7299999999996</v>
      </c>
      <c r="L1341">
        <f t="shared" si="200"/>
        <v>0</v>
      </c>
      <c r="M1341">
        <f t="shared" si="201"/>
        <v>0</v>
      </c>
      <c r="N1341">
        <f t="shared" si="202"/>
        <v>0</v>
      </c>
      <c r="O1341">
        <f t="shared" si="203"/>
        <v>0</v>
      </c>
      <c r="P1341">
        <f t="shared" si="204"/>
        <v>0</v>
      </c>
      <c r="Q1341">
        <f t="shared" si="205"/>
        <v>0</v>
      </c>
      <c r="R1341">
        <f t="shared" si="206"/>
        <v>0</v>
      </c>
      <c r="S1341">
        <f t="shared" si="207"/>
        <v>0</v>
      </c>
      <c r="T1341">
        <f t="shared" si="209"/>
        <v>0</v>
      </c>
      <c r="U1341">
        <f t="shared" si="208"/>
        <v>0</v>
      </c>
    </row>
    <row r="1342" spans="1:21" x14ac:dyDescent="0.25">
      <c r="A1342" s="2">
        <v>1341</v>
      </c>
      <c r="B1342" s="39">
        <v>1062</v>
      </c>
      <c r="C1342" s="41" t="s">
        <v>186</v>
      </c>
      <c r="D1342">
        <v>46.45</v>
      </c>
      <c r="E1342" s="80">
        <v>94108.46</v>
      </c>
      <c r="F1342">
        <v>2512.4299999999998</v>
      </c>
      <c r="G1342">
        <v>278.07</v>
      </c>
      <c r="H1342">
        <v>14553.36</v>
      </c>
      <c r="I1342" s="80">
        <v>36089.9</v>
      </c>
      <c r="J1342">
        <v>79.180000000000007</v>
      </c>
      <c r="K1342" s="80">
        <v>12640.57</v>
      </c>
      <c r="L1342">
        <f t="shared" si="200"/>
        <v>0</v>
      </c>
      <c r="M1342">
        <f t="shared" si="201"/>
        <v>0</v>
      </c>
      <c r="N1342">
        <f t="shared" si="202"/>
        <v>0</v>
      </c>
      <c r="O1342">
        <f t="shared" si="203"/>
        <v>0</v>
      </c>
      <c r="P1342">
        <f t="shared" si="204"/>
        <v>0</v>
      </c>
      <c r="Q1342">
        <f t="shared" si="205"/>
        <v>0</v>
      </c>
      <c r="R1342">
        <f t="shared" si="206"/>
        <v>0</v>
      </c>
      <c r="S1342">
        <f t="shared" si="207"/>
        <v>0</v>
      </c>
      <c r="T1342">
        <f t="shared" si="209"/>
        <v>0</v>
      </c>
      <c r="U1342">
        <f t="shared" si="208"/>
        <v>0</v>
      </c>
    </row>
    <row r="1343" spans="1:21" x14ac:dyDescent="0.25">
      <c r="A1343" s="2">
        <v>1342</v>
      </c>
      <c r="B1343" s="39">
        <v>1062</v>
      </c>
      <c r="C1343" s="41" t="s">
        <v>188</v>
      </c>
      <c r="D1343">
        <v>44.12</v>
      </c>
      <c r="E1343" s="80">
        <v>192598.97</v>
      </c>
      <c r="F1343">
        <v>204.45</v>
      </c>
      <c r="G1343">
        <v>214.84</v>
      </c>
      <c r="H1343">
        <v>2211.83</v>
      </c>
      <c r="I1343" s="80">
        <v>20186.080000000002</v>
      </c>
      <c r="J1343">
        <v>74.7</v>
      </c>
      <c r="K1343">
        <v>5385.91</v>
      </c>
      <c r="L1343">
        <f t="shared" si="200"/>
        <v>0</v>
      </c>
      <c r="M1343">
        <f t="shared" si="201"/>
        <v>0</v>
      </c>
      <c r="N1343">
        <f t="shared" si="202"/>
        <v>0</v>
      </c>
      <c r="O1343">
        <f t="shared" si="203"/>
        <v>0</v>
      </c>
      <c r="P1343">
        <f t="shared" si="204"/>
        <v>0</v>
      </c>
      <c r="Q1343">
        <f t="shared" si="205"/>
        <v>0</v>
      </c>
      <c r="R1343">
        <f t="shared" si="206"/>
        <v>0</v>
      </c>
      <c r="S1343">
        <f t="shared" si="207"/>
        <v>0</v>
      </c>
      <c r="T1343">
        <f t="shared" si="209"/>
        <v>0</v>
      </c>
      <c r="U1343">
        <f t="shared" si="208"/>
        <v>0</v>
      </c>
    </row>
    <row r="1344" spans="1:21" x14ac:dyDescent="0.25">
      <c r="A1344" s="2">
        <v>1343</v>
      </c>
      <c r="B1344" s="39">
        <v>1062</v>
      </c>
      <c r="C1344" s="41" t="s">
        <v>182</v>
      </c>
      <c r="D1344">
        <v>6.01</v>
      </c>
      <c r="E1344">
        <v>7846.88</v>
      </c>
      <c r="F1344">
        <v>4.3499999999999996</v>
      </c>
      <c r="G1344">
        <v>25.77</v>
      </c>
      <c r="H1344">
        <v>47.06</v>
      </c>
      <c r="I1344" s="80">
        <v>4433.53</v>
      </c>
      <c r="J1344">
        <v>5.5</v>
      </c>
      <c r="K1344">
        <v>19.149999999999999</v>
      </c>
      <c r="L1344">
        <f t="shared" si="200"/>
        <v>0</v>
      </c>
      <c r="M1344">
        <f t="shared" si="201"/>
        <v>0</v>
      </c>
      <c r="N1344">
        <f t="shared" si="202"/>
        <v>0</v>
      </c>
      <c r="O1344">
        <f t="shared" si="203"/>
        <v>0</v>
      </c>
      <c r="P1344">
        <f t="shared" si="204"/>
        <v>0</v>
      </c>
      <c r="Q1344">
        <f t="shared" si="205"/>
        <v>0</v>
      </c>
      <c r="R1344">
        <f t="shared" si="206"/>
        <v>0</v>
      </c>
      <c r="S1344">
        <f t="shared" si="207"/>
        <v>0</v>
      </c>
      <c r="T1344">
        <f t="shared" si="209"/>
        <v>0</v>
      </c>
      <c r="U1344">
        <f t="shared" si="208"/>
        <v>0</v>
      </c>
    </row>
    <row r="1345" spans="1:21" x14ac:dyDescent="0.25">
      <c r="A1345" s="2">
        <v>1344</v>
      </c>
      <c r="B1345" s="39">
        <v>1062</v>
      </c>
      <c r="C1345" s="46" t="s">
        <v>184</v>
      </c>
      <c r="D1345">
        <v>14.57</v>
      </c>
      <c r="E1345">
        <v>22281.84</v>
      </c>
      <c r="F1345">
        <v>48.98</v>
      </c>
      <c r="G1345">
        <v>72.27</v>
      </c>
      <c r="H1345">
        <v>2434.06</v>
      </c>
      <c r="I1345" s="80">
        <v>18323.79</v>
      </c>
      <c r="J1345">
        <v>24.64</v>
      </c>
      <c r="K1345">
        <v>475.44</v>
      </c>
      <c r="L1345">
        <f t="shared" si="200"/>
        <v>0</v>
      </c>
      <c r="M1345">
        <f t="shared" si="201"/>
        <v>0</v>
      </c>
      <c r="N1345">
        <f t="shared" si="202"/>
        <v>0</v>
      </c>
      <c r="O1345">
        <f t="shared" si="203"/>
        <v>0</v>
      </c>
      <c r="P1345">
        <f t="shared" si="204"/>
        <v>0</v>
      </c>
      <c r="Q1345">
        <f t="shared" si="205"/>
        <v>0</v>
      </c>
      <c r="R1345">
        <f t="shared" si="206"/>
        <v>0</v>
      </c>
      <c r="S1345">
        <f t="shared" si="207"/>
        <v>0</v>
      </c>
      <c r="T1345">
        <f t="shared" si="209"/>
        <v>0</v>
      </c>
      <c r="U1345">
        <f t="shared" si="208"/>
        <v>0</v>
      </c>
    </row>
    <row r="1346" spans="1:21" x14ac:dyDescent="0.25">
      <c r="A1346" s="2">
        <v>1345</v>
      </c>
      <c r="B1346" s="39">
        <v>1062</v>
      </c>
      <c r="C1346" s="41" t="s">
        <v>187</v>
      </c>
      <c r="D1346">
        <v>29.61</v>
      </c>
      <c r="E1346" s="80">
        <v>37459.4</v>
      </c>
      <c r="F1346">
        <v>236.42</v>
      </c>
      <c r="G1346">
        <v>170.31</v>
      </c>
      <c r="H1346" s="80">
        <v>16494.68</v>
      </c>
      <c r="I1346" s="80">
        <v>20744.57</v>
      </c>
      <c r="J1346">
        <v>50.4</v>
      </c>
      <c r="K1346">
        <v>6510.93</v>
      </c>
      <c r="L1346">
        <f t="shared" ref="L1346:L1409" si="210">IF(D1346 = "OOR &gt;", 1,0)</f>
        <v>0</v>
      </c>
      <c r="M1346">
        <f t="shared" ref="M1346:M1409" si="211">IF(E1346 = "OOR &gt;", 1,0)</f>
        <v>0</v>
      </c>
      <c r="N1346">
        <f t="shared" ref="N1346:N1409" si="212">IF(F1346 = "OOR &gt;", 1,0)</f>
        <v>0</v>
      </c>
      <c r="O1346">
        <f t="shared" ref="O1346:O1409" si="213">IF(G1346 = "OOR &gt;", 1,0)</f>
        <v>0</v>
      </c>
      <c r="P1346">
        <f t="shared" ref="P1346:P1409" si="214">IF(H1346 = "OOR &gt;", 1,0)</f>
        <v>0</v>
      </c>
      <c r="Q1346">
        <f t="shared" ref="Q1346:Q1409" si="215">IF(I1346 = "OOR &gt;", 1,0)</f>
        <v>0</v>
      </c>
      <c r="R1346">
        <f t="shared" ref="R1346:R1409" si="216">IF(J1346 = "OOR &gt;", 1,0)</f>
        <v>0</v>
      </c>
      <c r="S1346">
        <f t="shared" ref="S1346:S1409" si="217">IF(K1346 = "OOR &gt;", 1,0)</f>
        <v>0</v>
      </c>
      <c r="T1346">
        <f t="shared" si="209"/>
        <v>0</v>
      </c>
      <c r="U1346">
        <f t="shared" ref="U1346:U1409" si="218">IF(T1346 &gt; 0,1,0)</f>
        <v>0</v>
      </c>
    </row>
    <row r="1347" spans="1:21" x14ac:dyDescent="0.25">
      <c r="A1347" s="2">
        <v>1346</v>
      </c>
      <c r="B1347" s="39">
        <v>1062</v>
      </c>
      <c r="C1347" s="41" t="s">
        <v>189</v>
      </c>
      <c r="D1347">
        <v>27.49</v>
      </c>
      <c r="E1347" s="80">
        <v>30839.360000000001</v>
      </c>
      <c r="F1347">
        <v>46.12</v>
      </c>
      <c r="G1347">
        <v>115.4</v>
      </c>
      <c r="H1347">
        <v>7427.63</v>
      </c>
      <c r="I1347" s="80">
        <v>14466.41</v>
      </c>
      <c r="J1347">
        <v>49.03</v>
      </c>
      <c r="K1347">
        <v>5694.33</v>
      </c>
      <c r="L1347">
        <f t="shared" si="210"/>
        <v>0</v>
      </c>
      <c r="M1347">
        <f t="shared" si="211"/>
        <v>0</v>
      </c>
      <c r="N1347">
        <f t="shared" si="212"/>
        <v>0</v>
      </c>
      <c r="O1347">
        <f t="shared" si="213"/>
        <v>0</v>
      </c>
      <c r="P1347">
        <f t="shared" si="214"/>
        <v>0</v>
      </c>
      <c r="Q1347">
        <f t="shared" si="215"/>
        <v>0</v>
      </c>
      <c r="R1347">
        <f t="shared" si="216"/>
        <v>0</v>
      </c>
      <c r="S1347">
        <f t="shared" si="217"/>
        <v>0</v>
      </c>
      <c r="T1347">
        <f t="shared" ref="T1347:T1410" si="219">SUMIF(L1347:S1347,"&gt;0")</f>
        <v>0</v>
      </c>
      <c r="U1347">
        <f t="shared" si="218"/>
        <v>0</v>
      </c>
    </row>
    <row r="1348" spans="1:21" x14ac:dyDescent="0.25">
      <c r="A1348" s="2">
        <v>1347</v>
      </c>
      <c r="B1348" s="39">
        <v>3006</v>
      </c>
      <c r="C1348" s="41" t="s">
        <v>162</v>
      </c>
      <c r="D1348">
        <v>14.57</v>
      </c>
      <c r="E1348" s="80">
        <v>33978.949999999997</v>
      </c>
      <c r="F1348">
        <v>0.47</v>
      </c>
      <c r="G1348">
        <v>44.96</v>
      </c>
      <c r="H1348">
        <v>1.71</v>
      </c>
      <c r="I1348">
        <v>1.82</v>
      </c>
      <c r="J1348">
        <v>13.35</v>
      </c>
      <c r="K1348">
        <v>3.92</v>
      </c>
      <c r="L1348">
        <f t="shared" si="210"/>
        <v>0</v>
      </c>
      <c r="M1348">
        <f t="shared" si="211"/>
        <v>0</v>
      </c>
      <c r="N1348">
        <f t="shared" si="212"/>
        <v>0</v>
      </c>
      <c r="O1348">
        <f t="shared" si="213"/>
        <v>0</v>
      </c>
      <c r="P1348">
        <f t="shared" si="214"/>
        <v>0</v>
      </c>
      <c r="Q1348">
        <f t="shared" si="215"/>
        <v>0</v>
      </c>
      <c r="R1348">
        <f t="shared" si="216"/>
        <v>0</v>
      </c>
      <c r="S1348">
        <f t="shared" si="217"/>
        <v>0</v>
      </c>
      <c r="T1348">
        <f t="shared" si="219"/>
        <v>0</v>
      </c>
      <c r="U1348">
        <f t="shared" si="218"/>
        <v>0</v>
      </c>
    </row>
    <row r="1349" spans="1:21" x14ac:dyDescent="0.25">
      <c r="A1349" s="2">
        <v>1348</v>
      </c>
      <c r="B1349" s="39">
        <v>3006</v>
      </c>
      <c r="C1349" s="41" t="s">
        <v>170</v>
      </c>
      <c r="D1349">
        <v>39.53</v>
      </c>
      <c r="E1349" s="80">
        <v>25045.18</v>
      </c>
      <c r="F1349">
        <v>230.69</v>
      </c>
      <c r="G1349">
        <v>128.61000000000001</v>
      </c>
      <c r="H1349">
        <v>4814.21</v>
      </c>
      <c r="I1349">
        <v>23545.52</v>
      </c>
      <c r="J1349">
        <v>29.49</v>
      </c>
      <c r="K1349">
        <v>1223.7</v>
      </c>
      <c r="L1349">
        <f t="shared" si="210"/>
        <v>0</v>
      </c>
      <c r="M1349">
        <f t="shared" si="211"/>
        <v>0</v>
      </c>
      <c r="N1349">
        <f t="shared" si="212"/>
        <v>0</v>
      </c>
      <c r="O1349">
        <f t="shared" si="213"/>
        <v>0</v>
      </c>
      <c r="P1349">
        <f t="shared" si="214"/>
        <v>0</v>
      </c>
      <c r="Q1349">
        <f t="shared" si="215"/>
        <v>0</v>
      </c>
      <c r="R1349">
        <f t="shared" si="216"/>
        <v>0</v>
      </c>
      <c r="S1349">
        <f t="shared" si="217"/>
        <v>0</v>
      </c>
      <c r="T1349">
        <f t="shared" si="219"/>
        <v>0</v>
      </c>
      <c r="U1349">
        <f t="shared" si="218"/>
        <v>0</v>
      </c>
    </row>
    <row r="1350" spans="1:21" ht="15.75" thickBot="1" x14ac:dyDescent="0.3">
      <c r="A1350" s="2">
        <v>1349</v>
      </c>
      <c r="B1350" s="39">
        <v>3006</v>
      </c>
      <c r="C1350" s="41" t="s">
        <v>178</v>
      </c>
      <c r="D1350">
        <v>122.86</v>
      </c>
      <c r="E1350" s="80">
        <v>28375.02</v>
      </c>
      <c r="F1350">
        <v>625.05999999999995</v>
      </c>
      <c r="G1350">
        <v>115.4</v>
      </c>
      <c r="H1350">
        <v>17914.45</v>
      </c>
      <c r="I1350">
        <v>26349.13</v>
      </c>
      <c r="J1350">
        <v>50.4</v>
      </c>
      <c r="K1350">
        <v>2676.84</v>
      </c>
      <c r="L1350">
        <f t="shared" si="210"/>
        <v>0</v>
      </c>
      <c r="M1350">
        <f t="shared" si="211"/>
        <v>0</v>
      </c>
      <c r="N1350">
        <f t="shared" si="212"/>
        <v>0</v>
      </c>
      <c r="O1350">
        <f t="shared" si="213"/>
        <v>0</v>
      </c>
      <c r="P1350">
        <f t="shared" si="214"/>
        <v>0</v>
      </c>
      <c r="Q1350">
        <f t="shared" si="215"/>
        <v>0</v>
      </c>
      <c r="R1350">
        <f t="shared" si="216"/>
        <v>0</v>
      </c>
      <c r="S1350">
        <f t="shared" si="217"/>
        <v>0</v>
      </c>
      <c r="T1350">
        <f t="shared" si="219"/>
        <v>0</v>
      </c>
      <c r="U1350">
        <f t="shared" si="218"/>
        <v>0</v>
      </c>
    </row>
    <row r="1351" spans="1:21" x14ac:dyDescent="0.25">
      <c r="A1351" s="2">
        <v>1350</v>
      </c>
      <c r="B1351" s="39">
        <v>3006</v>
      </c>
      <c r="C1351" s="40" t="s">
        <v>163</v>
      </c>
      <c r="D1351">
        <v>71.03</v>
      </c>
      <c r="E1351">
        <v>21317.99</v>
      </c>
      <c r="F1351">
        <v>361.38</v>
      </c>
      <c r="G1351">
        <v>128.61000000000001</v>
      </c>
      <c r="H1351">
        <v>15350.57</v>
      </c>
      <c r="I1351">
        <v>25974.92</v>
      </c>
      <c r="J1351">
        <v>54.55</v>
      </c>
      <c r="K1351">
        <v>15008.17</v>
      </c>
      <c r="L1351">
        <f t="shared" si="210"/>
        <v>0</v>
      </c>
      <c r="M1351">
        <f t="shared" si="211"/>
        <v>0</v>
      </c>
      <c r="N1351">
        <f t="shared" si="212"/>
        <v>0</v>
      </c>
      <c r="O1351">
        <f t="shared" si="213"/>
        <v>0</v>
      </c>
      <c r="P1351">
        <f t="shared" si="214"/>
        <v>0</v>
      </c>
      <c r="Q1351">
        <f t="shared" si="215"/>
        <v>0</v>
      </c>
      <c r="R1351">
        <f t="shared" si="216"/>
        <v>0</v>
      </c>
      <c r="S1351">
        <f t="shared" si="217"/>
        <v>0</v>
      </c>
      <c r="T1351">
        <f t="shared" si="219"/>
        <v>0</v>
      </c>
      <c r="U1351">
        <f t="shared" si="218"/>
        <v>0</v>
      </c>
    </row>
    <row r="1352" spans="1:21" x14ac:dyDescent="0.25">
      <c r="A1352" s="2">
        <v>1351</v>
      </c>
      <c r="B1352" s="39">
        <v>3006</v>
      </c>
      <c r="C1352" s="41" t="s">
        <v>181</v>
      </c>
      <c r="D1352">
        <v>25.4</v>
      </c>
      <c r="E1352" s="80">
        <v>131126.94</v>
      </c>
      <c r="F1352">
        <v>0.86</v>
      </c>
      <c r="G1352">
        <v>78.11</v>
      </c>
      <c r="H1352">
        <v>144.66</v>
      </c>
      <c r="I1352">
        <v>427.73</v>
      </c>
      <c r="J1352">
        <v>37.07</v>
      </c>
      <c r="K1352">
        <v>103.36</v>
      </c>
      <c r="L1352">
        <f t="shared" si="210"/>
        <v>0</v>
      </c>
      <c r="M1352">
        <f t="shared" si="211"/>
        <v>0</v>
      </c>
      <c r="N1352">
        <f t="shared" si="212"/>
        <v>0</v>
      </c>
      <c r="O1352">
        <f t="shared" si="213"/>
        <v>0</v>
      </c>
      <c r="P1352">
        <f t="shared" si="214"/>
        <v>0</v>
      </c>
      <c r="Q1352">
        <f t="shared" si="215"/>
        <v>0</v>
      </c>
      <c r="R1352">
        <f t="shared" si="216"/>
        <v>0</v>
      </c>
      <c r="S1352">
        <f t="shared" si="217"/>
        <v>0</v>
      </c>
      <c r="T1352">
        <f t="shared" si="219"/>
        <v>0</v>
      </c>
      <c r="U1352">
        <f t="shared" si="218"/>
        <v>0</v>
      </c>
    </row>
    <row r="1353" spans="1:21" x14ac:dyDescent="0.25">
      <c r="A1353" s="2">
        <v>1352</v>
      </c>
      <c r="B1353" s="39">
        <v>3006</v>
      </c>
      <c r="C1353" s="41" t="s">
        <v>183</v>
      </c>
      <c r="D1353">
        <v>37.28</v>
      </c>
      <c r="E1353" s="80">
        <v>56413.86</v>
      </c>
      <c r="F1353">
        <v>669.37</v>
      </c>
      <c r="G1353">
        <v>170.31</v>
      </c>
      <c r="H1353" s="80">
        <v>18580</v>
      </c>
      <c r="I1353" s="80">
        <v>36441.800000000003</v>
      </c>
      <c r="J1353">
        <v>58.76</v>
      </c>
      <c r="K1353">
        <v>7044.32</v>
      </c>
      <c r="L1353">
        <f t="shared" si="210"/>
        <v>0</v>
      </c>
      <c r="M1353">
        <f t="shared" si="211"/>
        <v>0</v>
      </c>
      <c r="N1353">
        <f t="shared" si="212"/>
        <v>0</v>
      </c>
      <c r="O1353">
        <f t="shared" si="213"/>
        <v>0</v>
      </c>
      <c r="P1353">
        <f t="shared" si="214"/>
        <v>0</v>
      </c>
      <c r="Q1353">
        <f t="shared" si="215"/>
        <v>0</v>
      </c>
      <c r="R1353">
        <f t="shared" si="216"/>
        <v>0</v>
      </c>
      <c r="S1353">
        <f t="shared" si="217"/>
        <v>0</v>
      </c>
      <c r="T1353">
        <f t="shared" si="219"/>
        <v>0</v>
      </c>
      <c r="U1353">
        <f t="shared" si="218"/>
        <v>0</v>
      </c>
    </row>
    <row r="1354" spans="1:21" x14ac:dyDescent="0.25">
      <c r="A1354" s="2">
        <v>1353</v>
      </c>
      <c r="B1354" s="39">
        <v>3006</v>
      </c>
      <c r="C1354" s="41" t="s">
        <v>186</v>
      </c>
      <c r="D1354">
        <v>41.81</v>
      </c>
      <c r="E1354" s="80">
        <v>49664.87</v>
      </c>
      <c r="F1354">
        <v>1244.19</v>
      </c>
      <c r="G1354">
        <v>170.31</v>
      </c>
      <c r="H1354" s="80">
        <v>38312.79</v>
      </c>
      <c r="I1354" s="80">
        <v>33421.120000000003</v>
      </c>
      <c r="J1354">
        <v>70.28</v>
      </c>
      <c r="K1354" s="80">
        <v>9569.08</v>
      </c>
      <c r="L1354">
        <f t="shared" si="210"/>
        <v>0</v>
      </c>
      <c r="M1354">
        <f t="shared" si="211"/>
        <v>0</v>
      </c>
      <c r="N1354">
        <f t="shared" si="212"/>
        <v>0</v>
      </c>
      <c r="O1354">
        <f t="shared" si="213"/>
        <v>0</v>
      </c>
      <c r="P1354">
        <f t="shared" si="214"/>
        <v>0</v>
      </c>
      <c r="Q1354">
        <f t="shared" si="215"/>
        <v>0</v>
      </c>
      <c r="R1354">
        <f t="shared" si="216"/>
        <v>0</v>
      </c>
      <c r="S1354">
        <f t="shared" si="217"/>
        <v>0</v>
      </c>
      <c r="T1354">
        <f t="shared" si="219"/>
        <v>0</v>
      </c>
      <c r="U1354">
        <f t="shared" si="218"/>
        <v>0</v>
      </c>
    </row>
    <row r="1355" spans="1:21" x14ac:dyDescent="0.25">
      <c r="A1355" s="2">
        <v>1354</v>
      </c>
      <c r="B1355" s="39">
        <v>3006</v>
      </c>
      <c r="C1355" s="41" t="s">
        <v>188</v>
      </c>
      <c r="D1355">
        <v>53.6</v>
      </c>
      <c r="E1355" s="80">
        <v>84485.45</v>
      </c>
      <c r="F1355">
        <v>650.71</v>
      </c>
      <c r="G1355">
        <v>230.25</v>
      </c>
      <c r="H1355" s="80">
        <v>17523.03</v>
      </c>
      <c r="I1355" s="80">
        <v>33966.519999999997</v>
      </c>
      <c r="J1355">
        <v>80.680000000000007</v>
      </c>
      <c r="K1355" s="80">
        <v>19773.560000000001</v>
      </c>
      <c r="L1355">
        <f t="shared" si="210"/>
        <v>0</v>
      </c>
      <c r="M1355">
        <f t="shared" si="211"/>
        <v>0</v>
      </c>
      <c r="N1355">
        <f t="shared" si="212"/>
        <v>0</v>
      </c>
      <c r="O1355">
        <f t="shared" si="213"/>
        <v>0</v>
      </c>
      <c r="P1355">
        <f t="shared" si="214"/>
        <v>0</v>
      </c>
      <c r="Q1355">
        <f t="shared" si="215"/>
        <v>0</v>
      </c>
      <c r="R1355">
        <f t="shared" si="216"/>
        <v>0</v>
      </c>
      <c r="S1355">
        <f t="shared" si="217"/>
        <v>0</v>
      </c>
      <c r="T1355">
        <f t="shared" si="219"/>
        <v>0</v>
      </c>
      <c r="U1355">
        <f t="shared" si="218"/>
        <v>0</v>
      </c>
    </row>
    <row r="1356" spans="1:21" x14ac:dyDescent="0.25">
      <c r="A1356" s="2">
        <v>1355</v>
      </c>
      <c r="B1356" s="39">
        <v>3006</v>
      </c>
      <c r="C1356" s="41" t="s">
        <v>182</v>
      </c>
      <c r="D1356" t="s">
        <v>583</v>
      </c>
      <c r="E1356">
        <v>1186.77</v>
      </c>
      <c r="F1356">
        <v>0.21</v>
      </c>
      <c r="G1356">
        <v>21.42</v>
      </c>
      <c r="H1356" t="s">
        <v>583</v>
      </c>
      <c r="I1356">
        <v>2.0499999999999998</v>
      </c>
      <c r="J1356" t="s">
        <v>583</v>
      </c>
      <c r="K1356" t="s">
        <v>583</v>
      </c>
      <c r="L1356">
        <f t="shared" si="210"/>
        <v>0</v>
      </c>
      <c r="M1356">
        <f t="shared" si="211"/>
        <v>0</v>
      </c>
      <c r="N1356">
        <f t="shared" si="212"/>
        <v>0</v>
      </c>
      <c r="O1356">
        <f t="shared" si="213"/>
        <v>0</v>
      </c>
      <c r="P1356">
        <f t="shared" si="214"/>
        <v>0</v>
      </c>
      <c r="Q1356">
        <f t="shared" si="215"/>
        <v>0</v>
      </c>
      <c r="R1356">
        <f t="shared" si="216"/>
        <v>0</v>
      </c>
      <c r="S1356">
        <f t="shared" si="217"/>
        <v>0</v>
      </c>
      <c r="T1356">
        <f t="shared" si="219"/>
        <v>0</v>
      </c>
      <c r="U1356">
        <f t="shared" si="218"/>
        <v>0</v>
      </c>
    </row>
    <row r="1357" spans="1:21" x14ac:dyDescent="0.25">
      <c r="A1357" s="2">
        <v>1356</v>
      </c>
      <c r="B1357" s="39">
        <v>3006</v>
      </c>
      <c r="C1357" s="46" t="s">
        <v>184</v>
      </c>
      <c r="D1357">
        <v>14.57</v>
      </c>
      <c r="E1357" s="80">
        <v>38708.67</v>
      </c>
      <c r="F1357">
        <v>27.84</v>
      </c>
      <c r="G1357">
        <v>90.12</v>
      </c>
      <c r="H1357">
        <v>3528.12</v>
      </c>
      <c r="I1357" s="80">
        <v>16746.75</v>
      </c>
      <c r="J1357">
        <v>24.64</v>
      </c>
      <c r="K1357">
        <v>201.08</v>
      </c>
      <c r="L1357">
        <f t="shared" si="210"/>
        <v>0</v>
      </c>
      <c r="M1357">
        <f t="shared" si="211"/>
        <v>0</v>
      </c>
      <c r="N1357">
        <f t="shared" si="212"/>
        <v>0</v>
      </c>
      <c r="O1357">
        <f t="shared" si="213"/>
        <v>0</v>
      </c>
      <c r="P1357">
        <f t="shared" si="214"/>
        <v>0</v>
      </c>
      <c r="Q1357">
        <f t="shared" si="215"/>
        <v>0</v>
      </c>
      <c r="R1357">
        <f t="shared" si="216"/>
        <v>0</v>
      </c>
      <c r="S1357">
        <f t="shared" si="217"/>
        <v>0</v>
      </c>
      <c r="T1357">
        <f t="shared" si="219"/>
        <v>0</v>
      </c>
      <c r="U1357">
        <f t="shared" si="218"/>
        <v>0</v>
      </c>
    </row>
    <row r="1358" spans="1:21" x14ac:dyDescent="0.25">
      <c r="A1358" s="2">
        <v>1357</v>
      </c>
      <c r="B1358" s="39">
        <v>3006</v>
      </c>
      <c r="C1358" s="41" t="s">
        <v>187</v>
      </c>
      <c r="D1358">
        <v>31.76</v>
      </c>
      <c r="E1358" s="80">
        <v>38942.11</v>
      </c>
      <c r="F1358">
        <v>48.43</v>
      </c>
      <c r="G1358">
        <v>128.61000000000001</v>
      </c>
      <c r="H1358">
        <v>10730.12</v>
      </c>
      <c r="I1358" s="80">
        <v>19436.16</v>
      </c>
      <c r="J1358">
        <v>33.24</v>
      </c>
      <c r="K1358">
        <v>942.49</v>
      </c>
      <c r="L1358">
        <f t="shared" si="210"/>
        <v>0</v>
      </c>
      <c r="M1358">
        <f t="shared" si="211"/>
        <v>0</v>
      </c>
      <c r="N1358">
        <f t="shared" si="212"/>
        <v>0</v>
      </c>
      <c r="O1358">
        <f t="shared" si="213"/>
        <v>0</v>
      </c>
      <c r="P1358">
        <f t="shared" si="214"/>
        <v>0</v>
      </c>
      <c r="Q1358">
        <f t="shared" si="215"/>
        <v>0</v>
      </c>
      <c r="R1358">
        <f t="shared" si="216"/>
        <v>0</v>
      </c>
      <c r="S1358">
        <f t="shared" si="217"/>
        <v>0</v>
      </c>
      <c r="T1358">
        <f t="shared" si="219"/>
        <v>0</v>
      </c>
      <c r="U1358">
        <f t="shared" si="218"/>
        <v>0</v>
      </c>
    </row>
    <row r="1359" spans="1:21" x14ac:dyDescent="0.25">
      <c r="A1359" s="2">
        <v>1358</v>
      </c>
      <c r="B1359" s="39">
        <v>3006</v>
      </c>
      <c r="C1359" s="41" t="s">
        <v>189</v>
      </c>
      <c r="D1359">
        <v>28.54</v>
      </c>
      <c r="E1359" s="80">
        <v>36329.019999999997</v>
      </c>
      <c r="F1359">
        <v>15.45</v>
      </c>
      <c r="G1359">
        <v>102.56</v>
      </c>
      <c r="H1359">
        <v>5311.63</v>
      </c>
      <c r="I1359" s="80">
        <v>12346.16</v>
      </c>
      <c r="J1359">
        <v>27.04</v>
      </c>
      <c r="K1359">
        <v>3042.23</v>
      </c>
      <c r="L1359">
        <f t="shared" si="210"/>
        <v>0</v>
      </c>
      <c r="M1359">
        <f t="shared" si="211"/>
        <v>0</v>
      </c>
      <c r="N1359">
        <f t="shared" si="212"/>
        <v>0</v>
      </c>
      <c r="O1359">
        <f t="shared" si="213"/>
        <v>0</v>
      </c>
      <c r="P1359">
        <f t="shared" si="214"/>
        <v>0</v>
      </c>
      <c r="Q1359">
        <f t="shared" si="215"/>
        <v>0</v>
      </c>
      <c r="R1359">
        <f t="shared" si="216"/>
        <v>0</v>
      </c>
      <c r="S1359">
        <f t="shared" si="217"/>
        <v>0</v>
      </c>
      <c r="T1359">
        <f t="shared" si="219"/>
        <v>0</v>
      </c>
      <c r="U1359">
        <f t="shared" si="218"/>
        <v>0</v>
      </c>
    </row>
    <row r="1360" spans="1:21" x14ac:dyDescent="0.25">
      <c r="A1360" s="2">
        <v>1359</v>
      </c>
      <c r="B1360" s="86" t="s">
        <v>121</v>
      </c>
      <c r="C1360" s="27" t="s">
        <v>162</v>
      </c>
      <c r="D1360">
        <v>10.1</v>
      </c>
      <c r="E1360">
        <v>23806.84</v>
      </c>
      <c r="F1360">
        <v>0.63</v>
      </c>
      <c r="G1360">
        <v>60.96</v>
      </c>
      <c r="H1360">
        <v>1.71</v>
      </c>
      <c r="I1360">
        <v>1.69</v>
      </c>
      <c r="J1360">
        <v>9.26</v>
      </c>
      <c r="K1360">
        <v>2.2999999999999998</v>
      </c>
      <c r="L1360">
        <f t="shared" si="210"/>
        <v>0</v>
      </c>
      <c r="M1360">
        <f t="shared" si="211"/>
        <v>0</v>
      </c>
      <c r="N1360">
        <f t="shared" si="212"/>
        <v>0</v>
      </c>
      <c r="O1360">
        <f t="shared" si="213"/>
        <v>0</v>
      </c>
      <c r="P1360">
        <f t="shared" si="214"/>
        <v>0</v>
      </c>
      <c r="Q1360">
        <f t="shared" si="215"/>
        <v>0</v>
      </c>
      <c r="R1360">
        <f t="shared" si="216"/>
        <v>0</v>
      </c>
      <c r="S1360">
        <f t="shared" si="217"/>
        <v>0</v>
      </c>
      <c r="T1360">
        <f t="shared" si="219"/>
        <v>0</v>
      </c>
      <c r="U1360">
        <f t="shared" si="218"/>
        <v>0</v>
      </c>
    </row>
    <row r="1361" spans="1:21" x14ac:dyDescent="0.25">
      <c r="A1361" s="2">
        <v>1360</v>
      </c>
      <c r="B1361" s="86" t="s">
        <v>121</v>
      </c>
      <c r="C1361" s="27" t="s">
        <v>170</v>
      </c>
      <c r="D1361">
        <v>37.28</v>
      </c>
      <c r="E1361" s="80">
        <v>52892.33</v>
      </c>
      <c r="F1361">
        <v>293.7</v>
      </c>
      <c r="G1361">
        <v>170.31</v>
      </c>
      <c r="H1361">
        <v>4137.16</v>
      </c>
      <c r="I1361" s="80">
        <v>27043.45</v>
      </c>
      <c r="J1361">
        <v>39.67</v>
      </c>
      <c r="K1361">
        <v>3302.02</v>
      </c>
      <c r="L1361">
        <f t="shared" si="210"/>
        <v>0</v>
      </c>
      <c r="M1361">
        <f t="shared" si="211"/>
        <v>0</v>
      </c>
      <c r="N1361">
        <f t="shared" si="212"/>
        <v>0</v>
      </c>
      <c r="O1361">
        <f t="shared" si="213"/>
        <v>0</v>
      </c>
      <c r="P1361">
        <f t="shared" si="214"/>
        <v>0</v>
      </c>
      <c r="Q1361">
        <f t="shared" si="215"/>
        <v>0</v>
      </c>
      <c r="R1361">
        <f t="shared" si="216"/>
        <v>0</v>
      </c>
      <c r="S1361">
        <f t="shared" si="217"/>
        <v>0</v>
      </c>
      <c r="T1361">
        <f t="shared" si="219"/>
        <v>0</v>
      </c>
      <c r="U1361">
        <f t="shared" si="218"/>
        <v>0</v>
      </c>
    </row>
    <row r="1362" spans="1:21" x14ac:dyDescent="0.25">
      <c r="A1362" s="2">
        <v>1361</v>
      </c>
      <c r="B1362" s="86" t="s">
        <v>121</v>
      </c>
      <c r="C1362" s="27" t="s">
        <v>178</v>
      </c>
      <c r="D1362">
        <v>39.53</v>
      </c>
      <c r="E1362" s="80">
        <v>48797.59</v>
      </c>
      <c r="F1362">
        <v>1299.6099999999999</v>
      </c>
      <c r="G1362">
        <v>214.84</v>
      </c>
      <c r="H1362" s="80">
        <v>16368.43</v>
      </c>
      <c r="I1362" s="80">
        <v>29828.63</v>
      </c>
      <c r="J1362">
        <v>53.16</v>
      </c>
      <c r="K1362">
        <v>5385.91</v>
      </c>
      <c r="L1362">
        <f t="shared" si="210"/>
        <v>0</v>
      </c>
      <c r="M1362">
        <f t="shared" si="211"/>
        <v>0</v>
      </c>
      <c r="N1362">
        <f t="shared" si="212"/>
        <v>0</v>
      </c>
      <c r="O1362">
        <f t="shared" si="213"/>
        <v>0</v>
      </c>
      <c r="P1362">
        <f t="shared" si="214"/>
        <v>0</v>
      </c>
      <c r="Q1362">
        <f t="shared" si="215"/>
        <v>0</v>
      </c>
      <c r="R1362">
        <f t="shared" si="216"/>
        <v>0</v>
      </c>
      <c r="S1362">
        <f t="shared" si="217"/>
        <v>0</v>
      </c>
      <c r="T1362">
        <f t="shared" si="219"/>
        <v>0</v>
      </c>
      <c r="U1362">
        <f t="shared" si="218"/>
        <v>0</v>
      </c>
    </row>
    <row r="1363" spans="1:21" x14ac:dyDescent="0.25">
      <c r="A1363" s="2">
        <v>1362</v>
      </c>
      <c r="B1363" s="86" t="s">
        <v>121</v>
      </c>
      <c r="C1363" s="27" t="s">
        <v>163</v>
      </c>
      <c r="D1363">
        <v>44.12</v>
      </c>
      <c r="E1363" s="80">
        <v>52804.53</v>
      </c>
      <c r="F1363">
        <v>481.68</v>
      </c>
      <c r="G1363">
        <v>156.08000000000001</v>
      </c>
      <c r="H1363">
        <v>14304.35</v>
      </c>
      <c r="I1363" s="80">
        <v>25573.19</v>
      </c>
      <c r="J1363">
        <v>63.03</v>
      </c>
      <c r="K1363" s="80">
        <v>18908.62</v>
      </c>
      <c r="L1363">
        <f t="shared" si="210"/>
        <v>0</v>
      </c>
      <c r="M1363">
        <f t="shared" si="211"/>
        <v>0</v>
      </c>
      <c r="N1363">
        <f t="shared" si="212"/>
        <v>0</v>
      </c>
      <c r="O1363">
        <f t="shared" si="213"/>
        <v>0</v>
      </c>
      <c r="P1363">
        <f t="shared" si="214"/>
        <v>0</v>
      </c>
      <c r="Q1363">
        <f t="shared" si="215"/>
        <v>0</v>
      </c>
      <c r="R1363">
        <f t="shared" si="216"/>
        <v>0</v>
      </c>
      <c r="S1363">
        <f t="shared" si="217"/>
        <v>0</v>
      </c>
      <c r="T1363">
        <f t="shared" si="219"/>
        <v>0</v>
      </c>
      <c r="U1363">
        <f t="shared" si="218"/>
        <v>0</v>
      </c>
    </row>
    <row r="1364" spans="1:21" x14ac:dyDescent="0.25">
      <c r="A1364" s="2">
        <v>1363</v>
      </c>
      <c r="B1364" s="86" t="s">
        <v>121</v>
      </c>
      <c r="C1364" s="41" t="s">
        <v>181</v>
      </c>
      <c r="D1364">
        <v>28.54</v>
      </c>
      <c r="E1364" s="80">
        <v>131581.15</v>
      </c>
      <c r="F1364">
        <v>0.76</v>
      </c>
      <c r="G1364">
        <v>102.56</v>
      </c>
      <c r="H1364">
        <v>28.71</v>
      </c>
      <c r="I1364">
        <v>212.11</v>
      </c>
      <c r="J1364">
        <v>38.369999999999997</v>
      </c>
      <c r="K1364">
        <v>164.23</v>
      </c>
      <c r="L1364">
        <f t="shared" si="210"/>
        <v>0</v>
      </c>
      <c r="M1364">
        <f t="shared" si="211"/>
        <v>0</v>
      </c>
      <c r="N1364">
        <f t="shared" si="212"/>
        <v>0</v>
      </c>
      <c r="O1364">
        <f t="shared" si="213"/>
        <v>0</v>
      </c>
      <c r="P1364">
        <f t="shared" si="214"/>
        <v>0</v>
      </c>
      <c r="Q1364">
        <f t="shared" si="215"/>
        <v>0</v>
      </c>
      <c r="R1364">
        <f t="shared" si="216"/>
        <v>0</v>
      </c>
      <c r="S1364">
        <f t="shared" si="217"/>
        <v>0</v>
      </c>
      <c r="T1364">
        <f t="shared" si="219"/>
        <v>0</v>
      </c>
      <c r="U1364">
        <f t="shared" si="218"/>
        <v>0</v>
      </c>
    </row>
    <row r="1365" spans="1:21" x14ac:dyDescent="0.25">
      <c r="A1365" s="2">
        <v>1364</v>
      </c>
      <c r="B1365" s="86" t="s">
        <v>121</v>
      </c>
      <c r="C1365" s="41" t="s">
        <v>183</v>
      </c>
      <c r="D1365">
        <v>58.47</v>
      </c>
      <c r="E1365" s="80">
        <v>151377.53</v>
      </c>
      <c r="F1365">
        <v>1497.11</v>
      </c>
      <c r="G1365">
        <v>302.83</v>
      </c>
      <c r="H1365" s="80">
        <v>20599.52</v>
      </c>
      <c r="I1365" s="80">
        <v>37414.129999999997</v>
      </c>
      <c r="J1365">
        <v>110.23</v>
      </c>
      <c r="K1365" s="80">
        <v>25247.26</v>
      </c>
      <c r="L1365">
        <f t="shared" si="210"/>
        <v>0</v>
      </c>
      <c r="M1365">
        <f t="shared" si="211"/>
        <v>0</v>
      </c>
      <c r="N1365">
        <f t="shared" si="212"/>
        <v>0</v>
      </c>
      <c r="O1365">
        <f t="shared" si="213"/>
        <v>0</v>
      </c>
      <c r="P1365">
        <f t="shared" si="214"/>
        <v>0</v>
      </c>
      <c r="Q1365">
        <f t="shared" si="215"/>
        <v>0</v>
      </c>
      <c r="R1365">
        <f t="shared" si="216"/>
        <v>0</v>
      </c>
      <c r="S1365">
        <f t="shared" si="217"/>
        <v>0</v>
      </c>
      <c r="T1365">
        <f t="shared" si="219"/>
        <v>0</v>
      </c>
      <c r="U1365">
        <f t="shared" si="218"/>
        <v>0</v>
      </c>
    </row>
    <row r="1366" spans="1:21" x14ac:dyDescent="0.25">
      <c r="A1366" s="92">
        <v>1365</v>
      </c>
      <c r="B1366" s="86" t="s">
        <v>121</v>
      </c>
      <c r="C1366" s="41" t="s">
        <v>186</v>
      </c>
      <c r="D1366">
        <v>65.95</v>
      </c>
      <c r="E1366" s="80">
        <v>137495.98000000001</v>
      </c>
      <c r="F1366" s="89" t="s">
        <v>582</v>
      </c>
      <c r="G1366">
        <v>389.1</v>
      </c>
      <c r="H1366" s="80">
        <v>95164.77</v>
      </c>
      <c r="I1366" s="80">
        <v>37675.199999999997</v>
      </c>
      <c r="J1366">
        <v>143.16</v>
      </c>
      <c r="K1366" s="80">
        <v>33175.86</v>
      </c>
      <c r="L1366">
        <f t="shared" si="210"/>
        <v>0</v>
      </c>
      <c r="M1366">
        <f t="shared" si="211"/>
        <v>0</v>
      </c>
      <c r="N1366">
        <f t="shared" si="212"/>
        <v>1</v>
      </c>
      <c r="O1366">
        <f t="shared" si="213"/>
        <v>0</v>
      </c>
      <c r="P1366">
        <f t="shared" si="214"/>
        <v>0</v>
      </c>
      <c r="Q1366">
        <f t="shared" si="215"/>
        <v>0</v>
      </c>
      <c r="R1366">
        <f t="shared" si="216"/>
        <v>0</v>
      </c>
      <c r="S1366">
        <f t="shared" si="217"/>
        <v>0</v>
      </c>
      <c r="T1366">
        <f t="shared" si="219"/>
        <v>1</v>
      </c>
      <c r="U1366">
        <f t="shared" si="218"/>
        <v>1</v>
      </c>
    </row>
    <row r="1367" spans="1:21" x14ac:dyDescent="0.25">
      <c r="A1367" s="2">
        <v>1366</v>
      </c>
      <c r="B1367" s="86" t="s">
        <v>121</v>
      </c>
      <c r="C1367" s="41" t="s">
        <v>188</v>
      </c>
      <c r="D1367">
        <v>78.8</v>
      </c>
      <c r="E1367" s="80">
        <v>246664.33</v>
      </c>
      <c r="F1367">
        <v>1152.4100000000001</v>
      </c>
      <c r="G1367">
        <v>362.64</v>
      </c>
      <c r="H1367" s="80">
        <v>49744.92</v>
      </c>
      <c r="I1367" s="80">
        <v>36225.760000000002</v>
      </c>
      <c r="J1367">
        <v>144.85</v>
      </c>
      <c r="K1367" s="80">
        <v>35628.910000000003</v>
      </c>
      <c r="L1367">
        <f t="shared" si="210"/>
        <v>0</v>
      </c>
      <c r="M1367">
        <f t="shared" si="211"/>
        <v>0</v>
      </c>
      <c r="N1367">
        <f t="shared" si="212"/>
        <v>0</v>
      </c>
      <c r="O1367">
        <f t="shared" si="213"/>
        <v>0</v>
      </c>
      <c r="P1367">
        <f t="shared" si="214"/>
        <v>0</v>
      </c>
      <c r="Q1367">
        <f t="shared" si="215"/>
        <v>0</v>
      </c>
      <c r="R1367">
        <f t="shared" si="216"/>
        <v>0</v>
      </c>
      <c r="S1367">
        <f t="shared" si="217"/>
        <v>0</v>
      </c>
      <c r="T1367">
        <f t="shared" si="219"/>
        <v>0</v>
      </c>
      <c r="U1367">
        <f t="shared" si="218"/>
        <v>0</v>
      </c>
    </row>
    <row r="1368" spans="1:21" x14ac:dyDescent="0.25">
      <c r="A1368" s="2">
        <v>1367</v>
      </c>
      <c r="B1368" s="86" t="s">
        <v>121</v>
      </c>
      <c r="C1368" s="41" t="s">
        <v>182</v>
      </c>
      <c r="D1368" s="80">
        <v>0.22</v>
      </c>
      <c r="E1368">
        <v>3385.09</v>
      </c>
      <c r="F1368" s="80">
        <v>0</v>
      </c>
      <c r="G1368" s="80">
        <v>9.7799999999999994</v>
      </c>
      <c r="H1368" t="s">
        <v>583</v>
      </c>
      <c r="I1368">
        <v>0.22</v>
      </c>
      <c r="J1368" s="80">
        <v>0.83</v>
      </c>
      <c r="K1368" s="80">
        <v>0.06</v>
      </c>
      <c r="L1368">
        <f t="shared" si="210"/>
        <v>0</v>
      </c>
      <c r="M1368">
        <f t="shared" si="211"/>
        <v>0</v>
      </c>
      <c r="N1368">
        <f t="shared" si="212"/>
        <v>0</v>
      </c>
      <c r="O1368">
        <f t="shared" si="213"/>
        <v>0</v>
      </c>
      <c r="P1368">
        <f t="shared" si="214"/>
        <v>0</v>
      </c>
      <c r="Q1368">
        <f t="shared" si="215"/>
        <v>0</v>
      </c>
      <c r="R1368">
        <f t="shared" si="216"/>
        <v>0</v>
      </c>
      <c r="S1368">
        <f t="shared" si="217"/>
        <v>0</v>
      </c>
      <c r="T1368">
        <f t="shared" si="219"/>
        <v>0</v>
      </c>
      <c r="U1368">
        <f t="shared" si="218"/>
        <v>0</v>
      </c>
    </row>
    <row r="1369" spans="1:21" x14ac:dyDescent="0.25">
      <c r="A1369" s="2">
        <v>1368</v>
      </c>
      <c r="B1369" s="86" t="s">
        <v>121</v>
      </c>
      <c r="C1369" s="41" t="s">
        <v>184</v>
      </c>
      <c r="D1369">
        <v>35.049999999999997</v>
      </c>
      <c r="E1369">
        <v>14991.52</v>
      </c>
      <c r="F1369">
        <v>44.91</v>
      </c>
      <c r="G1369">
        <v>108.93</v>
      </c>
      <c r="H1369">
        <v>12170.06</v>
      </c>
      <c r="I1369" s="80">
        <v>26912.75</v>
      </c>
      <c r="J1369">
        <v>31.98</v>
      </c>
      <c r="K1369">
        <v>3895.59</v>
      </c>
      <c r="L1369">
        <f t="shared" si="210"/>
        <v>0</v>
      </c>
      <c r="M1369">
        <f t="shared" si="211"/>
        <v>0</v>
      </c>
      <c r="N1369">
        <f t="shared" si="212"/>
        <v>0</v>
      </c>
      <c r="O1369">
        <f t="shared" si="213"/>
        <v>0</v>
      </c>
      <c r="P1369">
        <f t="shared" si="214"/>
        <v>0</v>
      </c>
      <c r="Q1369">
        <f t="shared" si="215"/>
        <v>0</v>
      </c>
      <c r="R1369">
        <f t="shared" si="216"/>
        <v>0</v>
      </c>
      <c r="S1369">
        <f t="shared" si="217"/>
        <v>0</v>
      </c>
      <c r="T1369">
        <f t="shared" si="219"/>
        <v>0</v>
      </c>
      <c r="U1369">
        <f t="shared" si="218"/>
        <v>0</v>
      </c>
    </row>
    <row r="1370" spans="1:21" x14ac:dyDescent="0.25">
      <c r="A1370" s="2">
        <v>1369</v>
      </c>
      <c r="B1370" s="86" t="s">
        <v>121</v>
      </c>
      <c r="C1370" t="s">
        <v>187</v>
      </c>
      <c r="D1370">
        <v>112.87</v>
      </c>
      <c r="E1370">
        <v>14866.87</v>
      </c>
      <c r="F1370">
        <v>124.85</v>
      </c>
      <c r="G1370">
        <v>149.09</v>
      </c>
      <c r="H1370" s="80">
        <v>26280.37</v>
      </c>
      <c r="I1370" s="80">
        <v>28374.73</v>
      </c>
      <c r="J1370">
        <v>67.36</v>
      </c>
      <c r="K1370" s="80">
        <v>9846.44</v>
      </c>
      <c r="L1370">
        <f t="shared" si="210"/>
        <v>0</v>
      </c>
      <c r="M1370">
        <f t="shared" si="211"/>
        <v>0</v>
      </c>
      <c r="N1370">
        <f t="shared" si="212"/>
        <v>0</v>
      </c>
      <c r="O1370">
        <f t="shared" si="213"/>
        <v>0</v>
      </c>
      <c r="P1370">
        <f t="shared" si="214"/>
        <v>0</v>
      </c>
      <c r="Q1370">
        <f t="shared" si="215"/>
        <v>0</v>
      </c>
      <c r="R1370">
        <f t="shared" si="216"/>
        <v>0</v>
      </c>
      <c r="S1370">
        <f t="shared" si="217"/>
        <v>0</v>
      </c>
      <c r="T1370">
        <f t="shared" si="219"/>
        <v>0</v>
      </c>
      <c r="U1370">
        <f t="shared" si="218"/>
        <v>0</v>
      </c>
    </row>
    <row r="1371" spans="1:21" x14ac:dyDescent="0.25">
      <c r="A1371" s="2">
        <v>1370</v>
      </c>
      <c r="B1371" s="86" t="s">
        <v>121</v>
      </c>
      <c r="C1371" t="s">
        <v>189</v>
      </c>
      <c r="D1371">
        <v>93.47</v>
      </c>
      <c r="E1371">
        <v>16145.98</v>
      </c>
      <c r="F1371">
        <v>22</v>
      </c>
      <c r="G1371">
        <v>90.12</v>
      </c>
      <c r="H1371" s="80">
        <v>17198.14</v>
      </c>
      <c r="I1371" s="80">
        <v>17663.3</v>
      </c>
      <c r="J1371">
        <v>53.16</v>
      </c>
      <c r="K1371" s="80">
        <v>8631.2199999999993</v>
      </c>
      <c r="L1371">
        <f t="shared" si="210"/>
        <v>0</v>
      </c>
      <c r="M1371">
        <f t="shared" si="211"/>
        <v>0</v>
      </c>
      <c r="N1371">
        <f t="shared" si="212"/>
        <v>0</v>
      </c>
      <c r="O1371">
        <f t="shared" si="213"/>
        <v>0</v>
      </c>
      <c r="P1371">
        <f t="shared" si="214"/>
        <v>0</v>
      </c>
      <c r="Q1371">
        <f t="shared" si="215"/>
        <v>0</v>
      </c>
      <c r="R1371">
        <f t="shared" si="216"/>
        <v>0</v>
      </c>
      <c r="S1371">
        <f t="shared" si="217"/>
        <v>0</v>
      </c>
      <c r="T1371">
        <f t="shared" si="219"/>
        <v>0</v>
      </c>
      <c r="U1371">
        <f t="shared" si="218"/>
        <v>0</v>
      </c>
    </row>
    <row r="1372" spans="1:21" x14ac:dyDescent="0.25">
      <c r="A1372" s="2">
        <v>1371</v>
      </c>
      <c r="B1372" s="10" t="s">
        <v>616</v>
      </c>
      <c r="C1372" t="s">
        <v>162</v>
      </c>
      <c r="D1372">
        <v>14.57</v>
      </c>
      <c r="E1372" s="80">
        <v>30030.63</v>
      </c>
      <c r="F1372">
        <v>0.51</v>
      </c>
      <c r="G1372">
        <v>108.93</v>
      </c>
      <c r="H1372">
        <v>1.71</v>
      </c>
      <c r="I1372">
        <v>0.73</v>
      </c>
      <c r="J1372">
        <v>11.27</v>
      </c>
      <c r="K1372">
        <v>2.88</v>
      </c>
      <c r="L1372">
        <f t="shared" si="210"/>
        <v>0</v>
      </c>
      <c r="M1372">
        <f t="shared" si="211"/>
        <v>0</v>
      </c>
      <c r="N1372">
        <f t="shared" si="212"/>
        <v>0</v>
      </c>
      <c r="O1372">
        <f t="shared" si="213"/>
        <v>0</v>
      </c>
      <c r="P1372">
        <f t="shared" si="214"/>
        <v>0</v>
      </c>
      <c r="Q1372">
        <f t="shared" si="215"/>
        <v>0</v>
      </c>
      <c r="R1372">
        <f t="shared" si="216"/>
        <v>0</v>
      </c>
      <c r="S1372">
        <f t="shared" si="217"/>
        <v>0</v>
      </c>
      <c r="T1372">
        <f t="shared" si="219"/>
        <v>0</v>
      </c>
      <c r="U1372">
        <f t="shared" si="218"/>
        <v>0</v>
      </c>
    </row>
    <row r="1373" spans="1:21" x14ac:dyDescent="0.25">
      <c r="A1373" s="2">
        <v>1372</v>
      </c>
      <c r="B1373" s="10" t="s">
        <v>616</v>
      </c>
      <c r="C1373" t="s">
        <v>170</v>
      </c>
      <c r="D1373">
        <v>35.049999999999997</v>
      </c>
      <c r="E1373" s="80">
        <v>33626.22</v>
      </c>
      <c r="F1373">
        <v>522.6</v>
      </c>
      <c r="G1373">
        <v>128.61000000000001</v>
      </c>
      <c r="H1373">
        <v>2170.08</v>
      </c>
      <c r="I1373" s="80">
        <v>24890.25</v>
      </c>
      <c r="J1373">
        <v>34.51</v>
      </c>
      <c r="K1373">
        <v>1220.8900000000001</v>
      </c>
      <c r="L1373">
        <f t="shared" si="210"/>
        <v>0</v>
      </c>
      <c r="M1373">
        <f t="shared" si="211"/>
        <v>0</v>
      </c>
      <c r="N1373">
        <f t="shared" si="212"/>
        <v>0</v>
      </c>
      <c r="O1373">
        <f t="shared" si="213"/>
        <v>0</v>
      </c>
      <c r="P1373">
        <f t="shared" si="214"/>
        <v>0</v>
      </c>
      <c r="Q1373">
        <f t="shared" si="215"/>
        <v>0</v>
      </c>
      <c r="R1373">
        <f t="shared" si="216"/>
        <v>0</v>
      </c>
      <c r="S1373">
        <f t="shared" si="217"/>
        <v>0</v>
      </c>
      <c r="T1373">
        <f t="shared" si="219"/>
        <v>0</v>
      </c>
      <c r="U1373">
        <f t="shared" si="218"/>
        <v>0</v>
      </c>
    </row>
    <row r="1374" spans="1:21" x14ac:dyDescent="0.25">
      <c r="A1374" s="2">
        <v>1373</v>
      </c>
      <c r="B1374" s="10" t="s">
        <v>616</v>
      </c>
      <c r="C1374" t="s">
        <v>178</v>
      </c>
      <c r="D1374">
        <v>80.11</v>
      </c>
      <c r="E1374" s="80">
        <v>37173.64</v>
      </c>
      <c r="F1374">
        <v>1873.2</v>
      </c>
      <c r="G1374">
        <v>149.09</v>
      </c>
      <c r="H1374">
        <v>11324.58</v>
      </c>
      <c r="I1374" s="80">
        <v>29808.79</v>
      </c>
      <c r="J1374">
        <v>39.67</v>
      </c>
      <c r="K1374">
        <v>2528.7600000000002</v>
      </c>
      <c r="L1374">
        <f t="shared" si="210"/>
        <v>0</v>
      </c>
      <c r="M1374">
        <f t="shared" si="211"/>
        <v>0</v>
      </c>
      <c r="N1374">
        <f t="shared" si="212"/>
        <v>0</v>
      </c>
      <c r="O1374">
        <f t="shared" si="213"/>
        <v>0</v>
      </c>
      <c r="P1374">
        <f t="shared" si="214"/>
        <v>0</v>
      </c>
      <c r="Q1374">
        <f t="shared" si="215"/>
        <v>0</v>
      </c>
      <c r="R1374">
        <f t="shared" si="216"/>
        <v>0</v>
      </c>
      <c r="S1374">
        <f t="shared" si="217"/>
        <v>0</v>
      </c>
      <c r="T1374">
        <f t="shared" si="219"/>
        <v>0</v>
      </c>
      <c r="U1374">
        <f t="shared" si="218"/>
        <v>0</v>
      </c>
    </row>
    <row r="1375" spans="1:21" x14ac:dyDescent="0.25">
      <c r="A1375" s="2">
        <v>1374</v>
      </c>
      <c r="B1375" s="10" t="s">
        <v>616</v>
      </c>
      <c r="C1375" s="43" t="s">
        <v>163</v>
      </c>
      <c r="D1375">
        <v>94.83</v>
      </c>
      <c r="E1375" s="80">
        <v>35135.230000000003</v>
      </c>
      <c r="F1375">
        <v>54.66</v>
      </c>
      <c r="G1375">
        <v>66.55</v>
      </c>
      <c r="H1375">
        <v>349.3</v>
      </c>
      <c r="I1375" s="80">
        <v>4823.1000000000004</v>
      </c>
      <c r="J1375">
        <v>33.24</v>
      </c>
      <c r="K1375">
        <v>3204.07</v>
      </c>
      <c r="L1375">
        <f t="shared" si="210"/>
        <v>0</v>
      </c>
      <c r="M1375">
        <f t="shared" si="211"/>
        <v>0</v>
      </c>
      <c r="N1375">
        <f t="shared" si="212"/>
        <v>0</v>
      </c>
      <c r="O1375">
        <f t="shared" si="213"/>
        <v>0</v>
      </c>
      <c r="P1375">
        <f t="shared" si="214"/>
        <v>0</v>
      </c>
      <c r="Q1375">
        <f t="shared" si="215"/>
        <v>0</v>
      </c>
      <c r="R1375">
        <f t="shared" si="216"/>
        <v>0</v>
      </c>
      <c r="S1375">
        <f t="shared" si="217"/>
        <v>0</v>
      </c>
      <c r="T1375">
        <f t="shared" si="219"/>
        <v>0</v>
      </c>
      <c r="U1375">
        <f t="shared" si="218"/>
        <v>0</v>
      </c>
    </row>
    <row r="1376" spans="1:21" x14ac:dyDescent="0.25">
      <c r="A1376" s="2">
        <v>1375</v>
      </c>
      <c r="B1376" s="10" t="s">
        <v>616</v>
      </c>
      <c r="C1376" s="43" t="s">
        <v>181</v>
      </c>
      <c r="D1376">
        <v>26.44</v>
      </c>
      <c r="E1376" s="80">
        <v>155099.22</v>
      </c>
      <c r="F1376">
        <v>0.42</v>
      </c>
      <c r="G1376">
        <v>142.16999999999999</v>
      </c>
      <c r="H1376">
        <v>3.17</v>
      </c>
      <c r="I1376">
        <v>8.01</v>
      </c>
      <c r="J1376">
        <v>38.369999999999997</v>
      </c>
      <c r="K1376">
        <v>18.2</v>
      </c>
      <c r="L1376">
        <f t="shared" si="210"/>
        <v>0</v>
      </c>
      <c r="M1376">
        <f t="shared" si="211"/>
        <v>0</v>
      </c>
      <c r="N1376">
        <f t="shared" si="212"/>
        <v>0</v>
      </c>
      <c r="O1376">
        <f t="shared" si="213"/>
        <v>0</v>
      </c>
      <c r="P1376">
        <f t="shared" si="214"/>
        <v>0</v>
      </c>
      <c r="Q1376">
        <f t="shared" si="215"/>
        <v>0</v>
      </c>
      <c r="R1376">
        <f t="shared" si="216"/>
        <v>0</v>
      </c>
      <c r="S1376">
        <f t="shared" si="217"/>
        <v>0</v>
      </c>
      <c r="T1376">
        <f t="shared" si="219"/>
        <v>0</v>
      </c>
      <c r="U1376">
        <f t="shared" si="218"/>
        <v>0</v>
      </c>
    </row>
    <row r="1377" spans="1:21" x14ac:dyDescent="0.25">
      <c r="A1377" s="92">
        <v>1376</v>
      </c>
      <c r="B1377" s="10" t="s">
        <v>616</v>
      </c>
      <c r="C1377" s="43" t="s">
        <v>183</v>
      </c>
      <c r="D1377">
        <v>52.39</v>
      </c>
      <c r="E1377" s="80">
        <v>129866.64</v>
      </c>
      <c r="F1377" s="89" t="s">
        <v>582</v>
      </c>
      <c r="G1377">
        <v>278.07</v>
      </c>
      <c r="H1377">
        <v>13907.89</v>
      </c>
      <c r="I1377" s="80">
        <v>37974.019999999997</v>
      </c>
      <c r="J1377">
        <v>85.22</v>
      </c>
      <c r="K1377" s="80">
        <v>16295.44</v>
      </c>
      <c r="L1377">
        <f t="shared" si="210"/>
        <v>0</v>
      </c>
      <c r="M1377">
        <f t="shared" si="211"/>
        <v>0</v>
      </c>
      <c r="N1377">
        <f t="shared" si="212"/>
        <v>1</v>
      </c>
      <c r="O1377">
        <f t="shared" si="213"/>
        <v>0</v>
      </c>
      <c r="P1377">
        <f t="shared" si="214"/>
        <v>0</v>
      </c>
      <c r="Q1377">
        <f t="shared" si="215"/>
        <v>0</v>
      </c>
      <c r="R1377">
        <f t="shared" si="216"/>
        <v>0</v>
      </c>
      <c r="S1377">
        <f t="shared" si="217"/>
        <v>0</v>
      </c>
      <c r="T1377">
        <f t="shared" si="219"/>
        <v>1</v>
      </c>
      <c r="U1377">
        <f t="shared" si="218"/>
        <v>1</v>
      </c>
    </row>
    <row r="1378" spans="1:21" x14ac:dyDescent="0.25">
      <c r="A1378" s="92">
        <v>1377</v>
      </c>
      <c r="B1378" s="10" t="s">
        <v>616</v>
      </c>
      <c r="C1378" s="43" t="s">
        <v>186</v>
      </c>
      <c r="D1378">
        <v>59.71</v>
      </c>
      <c r="E1378" s="80">
        <v>92269.24</v>
      </c>
      <c r="F1378" s="89" t="s">
        <v>582</v>
      </c>
      <c r="G1378">
        <v>261.87</v>
      </c>
      <c r="H1378" s="80">
        <v>50506.91</v>
      </c>
      <c r="I1378" s="80">
        <v>36249.21</v>
      </c>
      <c r="J1378">
        <v>116.68</v>
      </c>
      <c r="K1378" s="80">
        <v>24939.53</v>
      </c>
      <c r="L1378">
        <f t="shared" si="210"/>
        <v>0</v>
      </c>
      <c r="M1378">
        <f t="shared" si="211"/>
        <v>0</v>
      </c>
      <c r="N1378">
        <f t="shared" si="212"/>
        <v>1</v>
      </c>
      <c r="O1378">
        <f t="shared" si="213"/>
        <v>0</v>
      </c>
      <c r="P1378">
        <f t="shared" si="214"/>
        <v>0</v>
      </c>
      <c r="Q1378">
        <f t="shared" si="215"/>
        <v>0</v>
      </c>
      <c r="R1378">
        <f t="shared" si="216"/>
        <v>0</v>
      </c>
      <c r="S1378">
        <f t="shared" si="217"/>
        <v>0</v>
      </c>
      <c r="T1378">
        <f t="shared" si="219"/>
        <v>1</v>
      </c>
      <c r="U1378">
        <f t="shared" si="218"/>
        <v>1</v>
      </c>
    </row>
    <row r="1379" spans="1:21" x14ac:dyDescent="0.25">
      <c r="A1379" s="2">
        <v>1378</v>
      </c>
      <c r="B1379" s="10" t="s">
        <v>616</v>
      </c>
      <c r="C1379" s="43" t="s">
        <v>188</v>
      </c>
      <c r="D1379">
        <v>48.81</v>
      </c>
      <c r="E1379" s="80">
        <v>179745.11</v>
      </c>
      <c r="F1379">
        <v>367.85</v>
      </c>
      <c r="G1379">
        <v>184.86</v>
      </c>
      <c r="H1379">
        <v>613.66999999999996</v>
      </c>
      <c r="I1379" s="80">
        <v>17045.71</v>
      </c>
      <c r="J1379">
        <v>61.6</v>
      </c>
      <c r="K1379">
        <v>5740.09</v>
      </c>
      <c r="L1379">
        <f t="shared" si="210"/>
        <v>0</v>
      </c>
      <c r="M1379">
        <f t="shared" si="211"/>
        <v>0</v>
      </c>
      <c r="N1379">
        <f t="shared" si="212"/>
        <v>0</v>
      </c>
      <c r="O1379">
        <f t="shared" si="213"/>
        <v>0</v>
      </c>
      <c r="P1379">
        <f t="shared" si="214"/>
        <v>0</v>
      </c>
      <c r="Q1379">
        <f t="shared" si="215"/>
        <v>0</v>
      </c>
      <c r="R1379">
        <f t="shared" si="216"/>
        <v>0</v>
      </c>
      <c r="S1379">
        <f t="shared" si="217"/>
        <v>0</v>
      </c>
      <c r="T1379">
        <f t="shared" si="219"/>
        <v>0</v>
      </c>
      <c r="U1379">
        <f t="shared" si="218"/>
        <v>0</v>
      </c>
    </row>
    <row r="1380" spans="1:21" x14ac:dyDescent="0.25">
      <c r="A1380" s="2">
        <v>1379</v>
      </c>
      <c r="B1380" s="10" t="s">
        <v>616</v>
      </c>
      <c r="C1380" s="51" t="s">
        <v>182</v>
      </c>
      <c r="D1380">
        <v>1.79</v>
      </c>
      <c r="E1380">
        <v>1114.31</v>
      </c>
      <c r="F1380">
        <v>0.11</v>
      </c>
      <c r="G1380">
        <v>35.03</v>
      </c>
      <c r="H1380" t="s">
        <v>583</v>
      </c>
      <c r="I1380">
        <v>16.84</v>
      </c>
      <c r="J1380" t="s">
        <v>583</v>
      </c>
      <c r="K1380">
        <v>0.15</v>
      </c>
      <c r="L1380">
        <f t="shared" si="210"/>
        <v>0</v>
      </c>
      <c r="M1380">
        <f t="shared" si="211"/>
        <v>0</v>
      </c>
      <c r="N1380">
        <f t="shared" si="212"/>
        <v>0</v>
      </c>
      <c r="O1380">
        <f t="shared" si="213"/>
        <v>0</v>
      </c>
      <c r="P1380">
        <f t="shared" si="214"/>
        <v>0</v>
      </c>
      <c r="Q1380">
        <f t="shared" si="215"/>
        <v>0</v>
      </c>
      <c r="R1380">
        <f t="shared" si="216"/>
        <v>0</v>
      </c>
      <c r="S1380">
        <f t="shared" si="217"/>
        <v>0</v>
      </c>
      <c r="T1380">
        <f t="shared" si="219"/>
        <v>0</v>
      </c>
      <c r="U1380">
        <f t="shared" si="218"/>
        <v>0</v>
      </c>
    </row>
    <row r="1381" spans="1:21" x14ac:dyDescent="0.25">
      <c r="A1381" s="2">
        <v>1380</v>
      </c>
      <c r="B1381" s="10" t="s">
        <v>616</v>
      </c>
      <c r="C1381" s="43" t="s">
        <v>184</v>
      </c>
      <c r="D1381">
        <v>298.10000000000002</v>
      </c>
      <c r="E1381">
        <v>11470.08</v>
      </c>
      <c r="F1381">
        <v>51.45</v>
      </c>
      <c r="G1381">
        <v>102.56</v>
      </c>
      <c r="H1381">
        <v>11201.99</v>
      </c>
      <c r="I1381" s="80">
        <v>29976.16</v>
      </c>
      <c r="J1381">
        <v>50.4</v>
      </c>
      <c r="K1381">
        <v>4146.7</v>
      </c>
      <c r="L1381">
        <f t="shared" si="210"/>
        <v>0</v>
      </c>
      <c r="M1381">
        <f t="shared" si="211"/>
        <v>0</v>
      </c>
      <c r="N1381">
        <f t="shared" si="212"/>
        <v>0</v>
      </c>
      <c r="O1381">
        <f t="shared" si="213"/>
        <v>0</v>
      </c>
      <c r="P1381">
        <f t="shared" si="214"/>
        <v>0</v>
      </c>
      <c r="Q1381">
        <f t="shared" si="215"/>
        <v>0</v>
      </c>
      <c r="R1381">
        <f t="shared" si="216"/>
        <v>0</v>
      </c>
      <c r="S1381">
        <f t="shared" si="217"/>
        <v>0</v>
      </c>
      <c r="T1381">
        <f t="shared" si="219"/>
        <v>0</v>
      </c>
      <c r="U1381">
        <f t="shared" si="218"/>
        <v>0</v>
      </c>
    </row>
    <row r="1382" spans="1:21" x14ac:dyDescent="0.25">
      <c r="A1382" s="2">
        <v>1381</v>
      </c>
      <c r="B1382" s="10" t="s">
        <v>616</v>
      </c>
      <c r="C1382" s="43" t="s">
        <v>187</v>
      </c>
      <c r="D1382">
        <v>795.2</v>
      </c>
      <c r="E1382">
        <v>13986.41</v>
      </c>
      <c r="F1382">
        <v>404.09</v>
      </c>
      <c r="G1382">
        <v>163.16</v>
      </c>
      <c r="H1382" s="80">
        <v>20853.189999999999</v>
      </c>
      <c r="I1382" s="80">
        <v>27905.49</v>
      </c>
      <c r="J1382">
        <v>67.36</v>
      </c>
      <c r="K1382" s="80">
        <v>13421.29</v>
      </c>
      <c r="L1382">
        <f t="shared" si="210"/>
        <v>0</v>
      </c>
      <c r="M1382">
        <f t="shared" si="211"/>
        <v>0</v>
      </c>
      <c r="N1382">
        <f t="shared" si="212"/>
        <v>0</v>
      </c>
      <c r="O1382">
        <f t="shared" si="213"/>
        <v>0</v>
      </c>
      <c r="P1382">
        <f t="shared" si="214"/>
        <v>0</v>
      </c>
      <c r="Q1382">
        <f t="shared" si="215"/>
        <v>0</v>
      </c>
      <c r="R1382">
        <f t="shared" si="216"/>
        <v>0</v>
      </c>
      <c r="S1382">
        <f t="shared" si="217"/>
        <v>0</v>
      </c>
      <c r="T1382">
        <f t="shared" si="219"/>
        <v>0</v>
      </c>
      <c r="U1382">
        <f t="shared" si="218"/>
        <v>0</v>
      </c>
    </row>
    <row r="1383" spans="1:21" x14ac:dyDescent="0.25">
      <c r="A1383" s="2">
        <v>1382</v>
      </c>
      <c r="B1383" s="10" t="s">
        <v>616</v>
      </c>
      <c r="C1383" s="43" t="s">
        <v>189</v>
      </c>
      <c r="D1383">
        <v>285.87</v>
      </c>
      <c r="E1383">
        <v>11470.08</v>
      </c>
      <c r="F1383">
        <v>2.59</v>
      </c>
      <c r="G1383">
        <v>78.11</v>
      </c>
      <c r="H1383">
        <v>4183.8900000000003</v>
      </c>
      <c r="I1383" s="80">
        <v>13493.57</v>
      </c>
      <c r="J1383">
        <v>38.369999999999997</v>
      </c>
      <c r="K1383">
        <v>6620.45</v>
      </c>
      <c r="L1383">
        <f t="shared" si="210"/>
        <v>0</v>
      </c>
      <c r="M1383">
        <f t="shared" si="211"/>
        <v>0</v>
      </c>
      <c r="N1383">
        <f t="shared" si="212"/>
        <v>0</v>
      </c>
      <c r="O1383">
        <f t="shared" si="213"/>
        <v>0</v>
      </c>
      <c r="P1383">
        <f t="shared" si="214"/>
        <v>0</v>
      </c>
      <c r="Q1383">
        <f t="shared" si="215"/>
        <v>0</v>
      </c>
      <c r="R1383">
        <f t="shared" si="216"/>
        <v>0</v>
      </c>
      <c r="S1383">
        <f t="shared" si="217"/>
        <v>0</v>
      </c>
      <c r="T1383">
        <f t="shared" si="219"/>
        <v>0</v>
      </c>
      <c r="U1383">
        <f t="shared" si="218"/>
        <v>0</v>
      </c>
    </row>
    <row r="1384" spans="1:21" x14ac:dyDescent="0.25">
      <c r="A1384" s="2">
        <v>1383</v>
      </c>
      <c r="B1384" s="10">
        <v>1066</v>
      </c>
      <c r="C1384" t="s">
        <v>182</v>
      </c>
      <c r="D1384">
        <v>4.5</v>
      </c>
      <c r="E1384">
        <v>1098.73</v>
      </c>
      <c r="F1384">
        <v>0.25</v>
      </c>
      <c r="G1384" s="80">
        <v>9.7799999999999994</v>
      </c>
      <c r="H1384" t="s">
        <v>583</v>
      </c>
      <c r="I1384">
        <v>15.49</v>
      </c>
      <c r="J1384" t="s">
        <v>583</v>
      </c>
      <c r="K1384">
        <v>0.37</v>
      </c>
      <c r="L1384">
        <f t="shared" si="210"/>
        <v>0</v>
      </c>
      <c r="M1384">
        <f t="shared" si="211"/>
        <v>0</v>
      </c>
      <c r="N1384">
        <f t="shared" si="212"/>
        <v>0</v>
      </c>
      <c r="O1384">
        <f t="shared" si="213"/>
        <v>0</v>
      </c>
      <c r="P1384">
        <f t="shared" si="214"/>
        <v>0</v>
      </c>
      <c r="Q1384">
        <f t="shared" si="215"/>
        <v>0</v>
      </c>
      <c r="R1384">
        <f t="shared" si="216"/>
        <v>0</v>
      </c>
      <c r="S1384">
        <f t="shared" si="217"/>
        <v>0</v>
      </c>
      <c r="T1384">
        <f t="shared" si="219"/>
        <v>0</v>
      </c>
      <c r="U1384">
        <f t="shared" si="218"/>
        <v>0</v>
      </c>
    </row>
    <row r="1385" spans="1:21" x14ac:dyDescent="0.25">
      <c r="A1385" s="2">
        <v>1384</v>
      </c>
      <c r="B1385" s="10">
        <v>1066</v>
      </c>
      <c r="C1385" t="s">
        <v>184</v>
      </c>
      <c r="D1385">
        <v>1.79</v>
      </c>
      <c r="E1385">
        <v>2750.74</v>
      </c>
      <c r="F1385">
        <v>1.31</v>
      </c>
      <c r="G1385" s="80">
        <v>9.7799999999999994</v>
      </c>
      <c r="H1385">
        <v>82.12</v>
      </c>
      <c r="I1385">
        <v>2592.09</v>
      </c>
      <c r="J1385" t="s">
        <v>583</v>
      </c>
      <c r="K1385">
        <v>47.76</v>
      </c>
      <c r="L1385">
        <f t="shared" si="210"/>
        <v>0</v>
      </c>
      <c r="M1385">
        <f t="shared" si="211"/>
        <v>0</v>
      </c>
      <c r="N1385">
        <f t="shared" si="212"/>
        <v>0</v>
      </c>
      <c r="O1385">
        <f t="shared" si="213"/>
        <v>0</v>
      </c>
      <c r="P1385">
        <f t="shared" si="214"/>
        <v>0</v>
      </c>
      <c r="Q1385">
        <f t="shared" si="215"/>
        <v>0</v>
      </c>
      <c r="R1385">
        <f t="shared" si="216"/>
        <v>0</v>
      </c>
      <c r="S1385">
        <f t="shared" si="217"/>
        <v>0</v>
      </c>
      <c r="T1385">
        <f t="shared" si="219"/>
        <v>0</v>
      </c>
      <c r="U1385">
        <f t="shared" si="218"/>
        <v>0</v>
      </c>
    </row>
    <row r="1386" spans="1:21" x14ac:dyDescent="0.25">
      <c r="A1386" s="2">
        <v>1385</v>
      </c>
      <c r="B1386" s="10">
        <v>1066</v>
      </c>
      <c r="C1386" t="s">
        <v>187</v>
      </c>
      <c r="D1386">
        <v>12.75</v>
      </c>
      <c r="E1386">
        <v>4001.13</v>
      </c>
      <c r="F1386">
        <v>2.97</v>
      </c>
      <c r="G1386">
        <v>60.96</v>
      </c>
      <c r="H1386">
        <v>698.34</v>
      </c>
      <c r="I1386" s="80">
        <v>6146.77</v>
      </c>
      <c r="J1386">
        <v>5.5</v>
      </c>
      <c r="K1386">
        <v>593.58000000000004</v>
      </c>
      <c r="L1386">
        <f t="shared" si="210"/>
        <v>0</v>
      </c>
      <c r="M1386">
        <f t="shared" si="211"/>
        <v>0</v>
      </c>
      <c r="N1386">
        <f t="shared" si="212"/>
        <v>0</v>
      </c>
      <c r="O1386">
        <f t="shared" si="213"/>
        <v>0</v>
      </c>
      <c r="P1386">
        <f t="shared" si="214"/>
        <v>0</v>
      </c>
      <c r="Q1386">
        <f t="shared" si="215"/>
        <v>0</v>
      </c>
      <c r="R1386">
        <f t="shared" si="216"/>
        <v>0</v>
      </c>
      <c r="S1386">
        <f t="shared" si="217"/>
        <v>0</v>
      </c>
      <c r="T1386">
        <f t="shared" si="219"/>
        <v>0</v>
      </c>
      <c r="U1386">
        <f t="shared" si="218"/>
        <v>0</v>
      </c>
    </row>
    <row r="1387" spans="1:21" x14ac:dyDescent="0.25">
      <c r="A1387" s="2">
        <v>1386</v>
      </c>
      <c r="B1387" s="10">
        <v>1066</v>
      </c>
      <c r="C1387" t="s">
        <v>189</v>
      </c>
      <c r="D1387">
        <v>7.59</v>
      </c>
      <c r="E1387">
        <v>2191.4899999999998</v>
      </c>
      <c r="F1387">
        <v>0.42</v>
      </c>
      <c r="G1387">
        <v>25.77</v>
      </c>
      <c r="H1387">
        <v>156.31</v>
      </c>
      <c r="I1387">
        <v>501.98</v>
      </c>
      <c r="J1387">
        <v>2.21</v>
      </c>
      <c r="K1387">
        <v>308.14999999999998</v>
      </c>
      <c r="L1387">
        <f t="shared" si="210"/>
        <v>0</v>
      </c>
      <c r="M1387">
        <f t="shared" si="211"/>
        <v>0</v>
      </c>
      <c r="N1387">
        <f t="shared" si="212"/>
        <v>0</v>
      </c>
      <c r="O1387">
        <f t="shared" si="213"/>
        <v>0</v>
      </c>
      <c r="P1387">
        <f t="shared" si="214"/>
        <v>0</v>
      </c>
      <c r="Q1387">
        <f t="shared" si="215"/>
        <v>0</v>
      </c>
      <c r="R1387">
        <f t="shared" si="216"/>
        <v>0</v>
      </c>
      <c r="S1387">
        <f t="shared" si="217"/>
        <v>0</v>
      </c>
      <c r="T1387">
        <f t="shared" si="219"/>
        <v>0</v>
      </c>
      <c r="U1387">
        <f t="shared" si="218"/>
        <v>0</v>
      </c>
    </row>
    <row r="1388" spans="1:21" x14ac:dyDescent="0.25">
      <c r="A1388" s="2">
        <v>1387</v>
      </c>
      <c r="B1388" s="10">
        <v>1067</v>
      </c>
      <c r="C1388" s="43" t="s">
        <v>162</v>
      </c>
      <c r="D1388">
        <v>12.75</v>
      </c>
      <c r="E1388" s="80">
        <v>28597.34</v>
      </c>
      <c r="F1388">
        <v>0.76</v>
      </c>
      <c r="G1388">
        <v>35.03</v>
      </c>
      <c r="H1388">
        <v>1.44</v>
      </c>
      <c r="I1388">
        <v>1.6</v>
      </c>
      <c r="J1388">
        <v>15.5</v>
      </c>
      <c r="K1388">
        <v>2.11</v>
      </c>
      <c r="L1388">
        <f t="shared" si="210"/>
        <v>0</v>
      </c>
      <c r="M1388">
        <f t="shared" si="211"/>
        <v>0</v>
      </c>
      <c r="N1388">
        <f t="shared" si="212"/>
        <v>0</v>
      </c>
      <c r="O1388">
        <f t="shared" si="213"/>
        <v>0</v>
      </c>
      <c r="P1388">
        <f t="shared" si="214"/>
        <v>0</v>
      </c>
      <c r="Q1388">
        <f t="shared" si="215"/>
        <v>0</v>
      </c>
      <c r="R1388">
        <f t="shared" si="216"/>
        <v>0</v>
      </c>
      <c r="S1388">
        <f t="shared" si="217"/>
        <v>0</v>
      </c>
      <c r="T1388">
        <f t="shared" si="219"/>
        <v>0</v>
      </c>
      <c r="U1388">
        <f t="shared" si="218"/>
        <v>0</v>
      </c>
    </row>
    <row r="1389" spans="1:21" ht="15.75" thickBot="1" x14ac:dyDescent="0.3">
      <c r="A1389" s="2">
        <v>1388</v>
      </c>
      <c r="B1389" s="10">
        <v>1067</v>
      </c>
      <c r="C1389" s="43" t="s">
        <v>170</v>
      </c>
      <c r="D1389">
        <v>26.44</v>
      </c>
      <c r="E1389" s="80">
        <v>31354.82</v>
      </c>
      <c r="F1389">
        <v>171.41</v>
      </c>
      <c r="G1389">
        <v>78.11</v>
      </c>
      <c r="H1389">
        <v>3965.01</v>
      </c>
      <c r="I1389" s="80">
        <v>27129.85</v>
      </c>
      <c r="J1389">
        <v>27.04</v>
      </c>
      <c r="K1389">
        <v>1908.23</v>
      </c>
      <c r="L1389">
        <f t="shared" si="210"/>
        <v>0</v>
      </c>
      <c r="M1389">
        <f t="shared" si="211"/>
        <v>0</v>
      </c>
      <c r="N1389">
        <f t="shared" si="212"/>
        <v>0</v>
      </c>
      <c r="O1389">
        <f t="shared" si="213"/>
        <v>0</v>
      </c>
      <c r="P1389">
        <f t="shared" si="214"/>
        <v>0</v>
      </c>
      <c r="Q1389">
        <f t="shared" si="215"/>
        <v>0</v>
      </c>
      <c r="R1389">
        <f t="shared" si="216"/>
        <v>0</v>
      </c>
      <c r="S1389">
        <f t="shared" si="217"/>
        <v>0</v>
      </c>
      <c r="T1389">
        <f t="shared" si="219"/>
        <v>0</v>
      </c>
      <c r="U1389">
        <f t="shared" si="218"/>
        <v>0</v>
      </c>
    </row>
    <row r="1390" spans="1:21" x14ac:dyDescent="0.25">
      <c r="A1390" s="2">
        <v>1389</v>
      </c>
      <c r="B1390" s="10">
        <v>1067</v>
      </c>
      <c r="C1390" s="33" t="s">
        <v>178</v>
      </c>
      <c r="D1390">
        <v>63.44</v>
      </c>
      <c r="E1390" s="80">
        <v>37092.39</v>
      </c>
      <c r="F1390">
        <v>827.88</v>
      </c>
      <c r="G1390">
        <v>170.31</v>
      </c>
      <c r="H1390" s="80">
        <v>35678.949999999997</v>
      </c>
      <c r="I1390" s="80">
        <v>31756.12</v>
      </c>
      <c r="J1390">
        <v>47.67</v>
      </c>
      <c r="K1390">
        <v>4264.3900000000003</v>
      </c>
      <c r="L1390">
        <f t="shared" si="210"/>
        <v>0</v>
      </c>
      <c r="M1390">
        <f t="shared" si="211"/>
        <v>0</v>
      </c>
      <c r="N1390">
        <f t="shared" si="212"/>
        <v>0</v>
      </c>
      <c r="O1390">
        <f t="shared" si="213"/>
        <v>0</v>
      </c>
      <c r="P1390">
        <f t="shared" si="214"/>
        <v>0</v>
      </c>
      <c r="Q1390">
        <f t="shared" si="215"/>
        <v>0</v>
      </c>
      <c r="R1390">
        <f t="shared" si="216"/>
        <v>0</v>
      </c>
      <c r="S1390">
        <f t="shared" si="217"/>
        <v>0</v>
      </c>
      <c r="T1390">
        <f t="shared" si="219"/>
        <v>0</v>
      </c>
      <c r="U1390">
        <f t="shared" si="218"/>
        <v>0</v>
      </c>
    </row>
    <row r="1391" spans="1:21" x14ac:dyDescent="0.25">
      <c r="A1391" s="2">
        <v>1390</v>
      </c>
      <c r="B1391" s="10">
        <v>1067</v>
      </c>
      <c r="C1391" s="43" t="s">
        <v>163</v>
      </c>
      <c r="D1391">
        <v>68.48</v>
      </c>
      <c r="E1391" s="80">
        <v>45262.239999999998</v>
      </c>
      <c r="F1391">
        <v>454.46</v>
      </c>
      <c r="G1391">
        <v>253.87</v>
      </c>
      <c r="H1391" s="80">
        <v>32435.79</v>
      </c>
      <c r="I1391" s="80">
        <v>33218.870000000003</v>
      </c>
      <c r="J1391">
        <v>83.7</v>
      </c>
      <c r="K1391" s="80">
        <v>22431.360000000001</v>
      </c>
      <c r="L1391">
        <f t="shared" si="210"/>
        <v>0</v>
      </c>
      <c r="M1391">
        <f t="shared" si="211"/>
        <v>0</v>
      </c>
      <c r="N1391">
        <f t="shared" si="212"/>
        <v>0</v>
      </c>
      <c r="O1391">
        <f t="shared" si="213"/>
        <v>0</v>
      </c>
      <c r="P1391">
        <f t="shared" si="214"/>
        <v>0</v>
      </c>
      <c r="Q1391">
        <f t="shared" si="215"/>
        <v>0</v>
      </c>
      <c r="R1391">
        <f t="shared" si="216"/>
        <v>0</v>
      </c>
      <c r="S1391">
        <f t="shared" si="217"/>
        <v>0</v>
      </c>
      <c r="T1391">
        <f t="shared" si="219"/>
        <v>0</v>
      </c>
      <c r="U1391">
        <f t="shared" si="218"/>
        <v>0</v>
      </c>
    </row>
    <row r="1392" spans="1:21" x14ac:dyDescent="0.25">
      <c r="A1392" s="2">
        <v>1391</v>
      </c>
      <c r="B1392" s="10">
        <v>1067</v>
      </c>
      <c r="C1392" s="43" t="s">
        <v>181</v>
      </c>
      <c r="D1392">
        <v>28.54</v>
      </c>
      <c r="E1392" s="80">
        <v>137206.01</v>
      </c>
      <c r="F1392">
        <v>1.4</v>
      </c>
      <c r="G1392">
        <v>90.12</v>
      </c>
      <c r="H1392">
        <v>598.89</v>
      </c>
      <c r="I1392">
        <v>916.24</v>
      </c>
      <c r="J1392">
        <v>29.49</v>
      </c>
      <c r="K1392">
        <v>62.43</v>
      </c>
      <c r="L1392">
        <f t="shared" si="210"/>
        <v>0</v>
      </c>
      <c r="M1392">
        <f t="shared" si="211"/>
        <v>0</v>
      </c>
      <c r="N1392">
        <f t="shared" si="212"/>
        <v>0</v>
      </c>
      <c r="O1392">
        <f t="shared" si="213"/>
        <v>0</v>
      </c>
      <c r="P1392">
        <f t="shared" si="214"/>
        <v>0</v>
      </c>
      <c r="Q1392">
        <f t="shared" si="215"/>
        <v>0</v>
      </c>
      <c r="R1392">
        <f t="shared" si="216"/>
        <v>0</v>
      </c>
      <c r="S1392">
        <f t="shared" si="217"/>
        <v>0</v>
      </c>
      <c r="T1392">
        <f t="shared" si="219"/>
        <v>0</v>
      </c>
      <c r="U1392">
        <f t="shared" si="218"/>
        <v>0</v>
      </c>
    </row>
    <row r="1393" spans="1:21" x14ac:dyDescent="0.25">
      <c r="A1393" s="2">
        <v>1392</v>
      </c>
      <c r="B1393" s="10">
        <v>1067</v>
      </c>
      <c r="C1393" s="43" t="s">
        <v>183</v>
      </c>
      <c r="D1393">
        <v>51.19</v>
      </c>
      <c r="E1393" s="80">
        <v>126012.67</v>
      </c>
      <c r="F1393">
        <v>869.08</v>
      </c>
      <c r="G1393">
        <v>214.84</v>
      </c>
      <c r="H1393" s="80">
        <v>38494.01</v>
      </c>
      <c r="I1393" s="80">
        <v>37573.21</v>
      </c>
      <c r="J1393">
        <v>92.9</v>
      </c>
      <c r="K1393" s="80">
        <v>11440.19</v>
      </c>
      <c r="L1393">
        <f t="shared" si="210"/>
        <v>0</v>
      </c>
      <c r="M1393">
        <f t="shared" si="211"/>
        <v>0</v>
      </c>
      <c r="N1393">
        <f t="shared" si="212"/>
        <v>0</v>
      </c>
      <c r="O1393">
        <f t="shared" si="213"/>
        <v>0</v>
      </c>
      <c r="P1393">
        <f t="shared" si="214"/>
        <v>0</v>
      </c>
      <c r="Q1393">
        <f t="shared" si="215"/>
        <v>0</v>
      </c>
      <c r="R1393">
        <f t="shared" si="216"/>
        <v>0</v>
      </c>
      <c r="S1393">
        <f t="shared" si="217"/>
        <v>0</v>
      </c>
      <c r="T1393">
        <f t="shared" si="219"/>
        <v>0</v>
      </c>
      <c r="U1393">
        <f t="shared" si="218"/>
        <v>0</v>
      </c>
    </row>
    <row r="1394" spans="1:21" x14ac:dyDescent="0.25">
      <c r="A1394" s="2">
        <v>1393</v>
      </c>
      <c r="B1394" s="10">
        <v>1067</v>
      </c>
      <c r="C1394" s="43" t="s">
        <v>186</v>
      </c>
      <c r="D1394">
        <v>50</v>
      </c>
      <c r="E1394" s="80">
        <v>108168.29</v>
      </c>
      <c r="F1394">
        <v>1457.03</v>
      </c>
      <c r="G1394">
        <v>245.93</v>
      </c>
      <c r="H1394" s="80">
        <v>68909.83</v>
      </c>
      <c r="I1394" s="80">
        <v>37131.03</v>
      </c>
      <c r="J1394">
        <v>123.2</v>
      </c>
      <c r="K1394" s="80">
        <v>19425.82</v>
      </c>
      <c r="L1394">
        <f t="shared" si="210"/>
        <v>0</v>
      </c>
      <c r="M1394">
        <f t="shared" si="211"/>
        <v>0</v>
      </c>
      <c r="N1394">
        <f t="shared" si="212"/>
        <v>0</v>
      </c>
      <c r="O1394">
        <f t="shared" si="213"/>
        <v>0</v>
      </c>
      <c r="P1394">
        <f t="shared" si="214"/>
        <v>0</v>
      </c>
      <c r="Q1394">
        <f t="shared" si="215"/>
        <v>0</v>
      </c>
      <c r="R1394">
        <f t="shared" si="216"/>
        <v>0</v>
      </c>
      <c r="S1394">
        <f t="shared" si="217"/>
        <v>0</v>
      </c>
      <c r="T1394">
        <f t="shared" si="219"/>
        <v>0</v>
      </c>
      <c r="U1394">
        <f t="shared" si="218"/>
        <v>0</v>
      </c>
    </row>
    <row r="1395" spans="1:21" x14ac:dyDescent="0.25">
      <c r="A1395" s="2">
        <v>1394</v>
      </c>
      <c r="B1395" s="10">
        <v>1067</v>
      </c>
      <c r="C1395" s="43" t="s">
        <v>188</v>
      </c>
      <c r="D1395">
        <v>60.94</v>
      </c>
      <c r="E1395" s="80">
        <v>316211.5</v>
      </c>
      <c r="F1395">
        <v>750.88</v>
      </c>
      <c r="G1395">
        <v>230.25</v>
      </c>
      <c r="H1395" s="80">
        <v>25468.33</v>
      </c>
      <c r="I1395" s="80">
        <v>35698.61</v>
      </c>
      <c r="J1395">
        <v>119.93</v>
      </c>
      <c r="K1395" s="80">
        <v>23963.65</v>
      </c>
      <c r="L1395">
        <f t="shared" si="210"/>
        <v>0</v>
      </c>
      <c r="M1395">
        <f t="shared" si="211"/>
        <v>0</v>
      </c>
      <c r="N1395">
        <f t="shared" si="212"/>
        <v>0</v>
      </c>
      <c r="O1395">
        <f t="shared" si="213"/>
        <v>0</v>
      </c>
      <c r="P1395">
        <f t="shared" si="214"/>
        <v>0</v>
      </c>
      <c r="Q1395">
        <f t="shared" si="215"/>
        <v>0</v>
      </c>
      <c r="R1395">
        <f t="shared" si="216"/>
        <v>0</v>
      </c>
      <c r="S1395">
        <f t="shared" si="217"/>
        <v>0</v>
      </c>
      <c r="T1395">
        <f t="shared" si="219"/>
        <v>0</v>
      </c>
      <c r="U1395">
        <f t="shared" si="218"/>
        <v>0</v>
      </c>
    </row>
    <row r="1396" spans="1:21" x14ac:dyDescent="0.25">
      <c r="A1396" s="2">
        <v>1395</v>
      </c>
      <c r="B1396" s="10">
        <v>1067</v>
      </c>
      <c r="C1396" s="51" t="s">
        <v>182</v>
      </c>
      <c r="D1396" t="s">
        <v>583</v>
      </c>
      <c r="E1396">
        <v>2752.81</v>
      </c>
      <c r="F1396">
        <v>0.2</v>
      </c>
      <c r="G1396">
        <v>39.909999999999997</v>
      </c>
      <c r="H1396" s="80">
        <v>7.0000000000000007E-2</v>
      </c>
      <c r="I1396">
        <v>6.02</v>
      </c>
      <c r="J1396">
        <v>11.27</v>
      </c>
      <c r="K1396">
        <v>0.34</v>
      </c>
      <c r="L1396">
        <f t="shared" si="210"/>
        <v>0</v>
      </c>
      <c r="M1396">
        <f t="shared" si="211"/>
        <v>0</v>
      </c>
      <c r="N1396">
        <f t="shared" si="212"/>
        <v>0</v>
      </c>
      <c r="O1396">
        <f t="shared" si="213"/>
        <v>0</v>
      </c>
      <c r="P1396">
        <f t="shared" si="214"/>
        <v>0</v>
      </c>
      <c r="Q1396">
        <f t="shared" si="215"/>
        <v>0</v>
      </c>
      <c r="R1396">
        <f t="shared" si="216"/>
        <v>0</v>
      </c>
      <c r="S1396">
        <f t="shared" si="217"/>
        <v>0</v>
      </c>
      <c r="T1396">
        <f t="shared" si="219"/>
        <v>0</v>
      </c>
      <c r="U1396">
        <f t="shared" si="218"/>
        <v>0</v>
      </c>
    </row>
    <row r="1397" spans="1:21" x14ac:dyDescent="0.25">
      <c r="A1397" s="2">
        <v>1396</v>
      </c>
      <c r="B1397" s="10">
        <v>1067</v>
      </c>
      <c r="C1397" s="43" t="s">
        <v>184</v>
      </c>
      <c r="D1397">
        <v>29.61</v>
      </c>
      <c r="E1397" s="80">
        <v>70788.179999999993</v>
      </c>
      <c r="F1397">
        <v>206.9</v>
      </c>
      <c r="G1397">
        <v>170.31</v>
      </c>
      <c r="H1397">
        <v>11560.42</v>
      </c>
      <c r="I1397">
        <v>29025.81</v>
      </c>
      <c r="J1397">
        <v>39.67</v>
      </c>
      <c r="K1397">
        <v>598.66999999999996</v>
      </c>
      <c r="L1397">
        <f t="shared" si="210"/>
        <v>0</v>
      </c>
      <c r="M1397">
        <f t="shared" si="211"/>
        <v>0</v>
      </c>
      <c r="N1397">
        <f t="shared" si="212"/>
        <v>0</v>
      </c>
      <c r="O1397">
        <f t="shared" si="213"/>
        <v>0</v>
      </c>
      <c r="P1397">
        <f t="shared" si="214"/>
        <v>0</v>
      </c>
      <c r="Q1397">
        <f t="shared" si="215"/>
        <v>0</v>
      </c>
      <c r="R1397">
        <f t="shared" si="216"/>
        <v>0</v>
      </c>
      <c r="S1397">
        <f t="shared" si="217"/>
        <v>0</v>
      </c>
      <c r="T1397">
        <f t="shared" si="219"/>
        <v>0</v>
      </c>
      <c r="U1397">
        <f t="shared" si="218"/>
        <v>0</v>
      </c>
    </row>
    <row r="1398" spans="1:21" x14ac:dyDescent="0.25">
      <c r="A1398" s="2">
        <v>1397</v>
      </c>
      <c r="B1398" s="10">
        <v>1067</v>
      </c>
      <c r="C1398" s="43" t="s">
        <v>187</v>
      </c>
      <c r="D1398">
        <v>48.81</v>
      </c>
      <c r="E1398" s="80">
        <v>74760.7</v>
      </c>
      <c r="F1398">
        <v>347.16</v>
      </c>
      <c r="G1398">
        <v>207.23</v>
      </c>
      <c r="H1398" s="80">
        <v>34067.160000000003</v>
      </c>
      <c r="I1398" s="80">
        <v>29456.46</v>
      </c>
      <c r="J1398">
        <v>91.35</v>
      </c>
      <c r="K1398">
        <v>8088.27</v>
      </c>
      <c r="L1398">
        <f t="shared" si="210"/>
        <v>0</v>
      </c>
      <c r="M1398">
        <f t="shared" si="211"/>
        <v>0</v>
      </c>
      <c r="N1398">
        <f t="shared" si="212"/>
        <v>0</v>
      </c>
      <c r="O1398">
        <f t="shared" si="213"/>
        <v>0</v>
      </c>
      <c r="P1398">
        <f t="shared" si="214"/>
        <v>0</v>
      </c>
      <c r="Q1398">
        <f t="shared" si="215"/>
        <v>0</v>
      </c>
      <c r="R1398">
        <f t="shared" si="216"/>
        <v>0</v>
      </c>
      <c r="S1398">
        <f t="shared" si="217"/>
        <v>0</v>
      </c>
      <c r="T1398">
        <f t="shared" si="219"/>
        <v>0</v>
      </c>
      <c r="U1398">
        <f t="shared" si="218"/>
        <v>0</v>
      </c>
    </row>
    <row r="1399" spans="1:21" x14ac:dyDescent="0.25">
      <c r="A1399" s="2">
        <v>1398</v>
      </c>
      <c r="B1399" s="10">
        <v>1067</v>
      </c>
      <c r="C1399" s="43" t="s">
        <v>189</v>
      </c>
      <c r="D1399">
        <v>48.81</v>
      </c>
      <c r="E1399" s="80">
        <v>56935.61</v>
      </c>
      <c r="F1399">
        <v>173.58</v>
      </c>
      <c r="G1399">
        <v>207.23</v>
      </c>
      <c r="H1399" s="80">
        <v>21230.44</v>
      </c>
      <c r="I1399" s="80">
        <v>27375.65</v>
      </c>
      <c r="J1399">
        <v>85.22</v>
      </c>
      <c r="K1399" s="80">
        <v>14093.67</v>
      </c>
      <c r="L1399">
        <f t="shared" si="210"/>
        <v>0</v>
      </c>
      <c r="M1399">
        <f t="shared" si="211"/>
        <v>0</v>
      </c>
      <c r="N1399">
        <f t="shared" si="212"/>
        <v>0</v>
      </c>
      <c r="O1399">
        <f t="shared" si="213"/>
        <v>0</v>
      </c>
      <c r="P1399">
        <f t="shared" si="214"/>
        <v>0</v>
      </c>
      <c r="Q1399">
        <f t="shared" si="215"/>
        <v>0</v>
      </c>
      <c r="R1399">
        <f t="shared" si="216"/>
        <v>0</v>
      </c>
      <c r="S1399">
        <f t="shared" si="217"/>
        <v>0</v>
      </c>
      <c r="T1399">
        <f t="shared" si="219"/>
        <v>0</v>
      </c>
      <c r="U1399">
        <f t="shared" si="218"/>
        <v>0</v>
      </c>
    </row>
    <row r="1400" spans="1:21" x14ac:dyDescent="0.25">
      <c r="A1400" s="2">
        <v>1399</v>
      </c>
      <c r="B1400" s="10" t="s">
        <v>617</v>
      </c>
      <c r="C1400" s="43" t="s">
        <v>162</v>
      </c>
      <c r="D1400">
        <v>7.59</v>
      </c>
      <c r="E1400" s="80">
        <v>36940.5</v>
      </c>
      <c r="F1400">
        <v>0.55000000000000004</v>
      </c>
      <c r="G1400">
        <v>66.55</v>
      </c>
      <c r="H1400">
        <v>5.51</v>
      </c>
      <c r="I1400">
        <v>24.96</v>
      </c>
      <c r="J1400">
        <v>24.64</v>
      </c>
      <c r="K1400">
        <v>6.99</v>
      </c>
      <c r="L1400">
        <f t="shared" si="210"/>
        <v>0</v>
      </c>
      <c r="M1400">
        <f t="shared" si="211"/>
        <v>0</v>
      </c>
      <c r="N1400">
        <f t="shared" si="212"/>
        <v>0</v>
      </c>
      <c r="O1400">
        <f t="shared" si="213"/>
        <v>0</v>
      </c>
      <c r="P1400">
        <f t="shared" si="214"/>
        <v>0</v>
      </c>
      <c r="Q1400">
        <f t="shared" si="215"/>
        <v>0</v>
      </c>
      <c r="R1400">
        <f t="shared" si="216"/>
        <v>0</v>
      </c>
      <c r="S1400">
        <f t="shared" si="217"/>
        <v>0</v>
      </c>
      <c r="T1400">
        <f t="shared" si="219"/>
        <v>0</v>
      </c>
      <c r="U1400">
        <f t="shared" si="218"/>
        <v>0</v>
      </c>
    </row>
    <row r="1401" spans="1:21" x14ac:dyDescent="0.25">
      <c r="A1401" s="2">
        <v>1400</v>
      </c>
      <c r="B1401" s="10" t="s">
        <v>617</v>
      </c>
      <c r="C1401" s="43" t="s">
        <v>170</v>
      </c>
      <c r="D1401">
        <v>22.33</v>
      </c>
      <c r="E1401">
        <v>17260.68</v>
      </c>
      <c r="F1401">
        <v>40.17</v>
      </c>
      <c r="G1401">
        <v>90.12</v>
      </c>
      <c r="H1401">
        <v>1751.86</v>
      </c>
      <c r="I1401" s="80">
        <v>14282.43</v>
      </c>
      <c r="J1401">
        <v>28.26</v>
      </c>
      <c r="K1401">
        <v>449.6</v>
      </c>
      <c r="L1401">
        <f t="shared" si="210"/>
        <v>0</v>
      </c>
      <c r="M1401">
        <f t="shared" si="211"/>
        <v>0</v>
      </c>
      <c r="N1401">
        <f t="shared" si="212"/>
        <v>0</v>
      </c>
      <c r="O1401">
        <f t="shared" si="213"/>
        <v>0</v>
      </c>
      <c r="P1401">
        <f t="shared" si="214"/>
        <v>0</v>
      </c>
      <c r="Q1401">
        <f t="shared" si="215"/>
        <v>0</v>
      </c>
      <c r="R1401">
        <f t="shared" si="216"/>
        <v>0</v>
      </c>
      <c r="S1401">
        <f t="shared" si="217"/>
        <v>0</v>
      </c>
      <c r="T1401">
        <f t="shared" si="219"/>
        <v>0</v>
      </c>
      <c r="U1401">
        <f t="shared" si="218"/>
        <v>0</v>
      </c>
    </row>
    <row r="1402" spans="1:21" x14ac:dyDescent="0.25">
      <c r="A1402" s="2">
        <v>1401</v>
      </c>
      <c r="B1402" s="10" t="s">
        <v>617</v>
      </c>
      <c r="C1402" s="43" t="s">
        <v>178</v>
      </c>
      <c r="D1402">
        <v>48.81</v>
      </c>
      <c r="E1402" s="80">
        <v>27493.18</v>
      </c>
      <c r="F1402">
        <v>463.09</v>
      </c>
      <c r="G1402">
        <v>128.61000000000001</v>
      </c>
      <c r="H1402">
        <v>12544.2</v>
      </c>
      <c r="I1402" s="80">
        <v>24334.74</v>
      </c>
      <c r="J1402">
        <v>42.31</v>
      </c>
      <c r="K1402">
        <v>1005.47</v>
      </c>
      <c r="L1402">
        <f t="shared" si="210"/>
        <v>0</v>
      </c>
      <c r="M1402">
        <f t="shared" si="211"/>
        <v>0</v>
      </c>
      <c r="N1402">
        <f t="shared" si="212"/>
        <v>0</v>
      </c>
      <c r="O1402">
        <f t="shared" si="213"/>
        <v>0</v>
      </c>
      <c r="P1402">
        <f t="shared" si="214"/>
        <v>0</v>
      </c>
      <c r="Q1402">
        <f t="shared" si="215"/>
        <v>0</v>
      </c>
      <c r="R1402">
        <f t="shared" si="216"/>
        <v>0</v>
      </c>
      <c r="S1402">
        <f t="shared" si="217"/>
        <v>0</v>
      </c>
      <c r="T1402">
        <f t="shared" si="219"/>
        <v>0</v>
      </c>
      <c r="U1402">
        <f t="shared" si="218"/>
        <v>0</v>
      </c>
    </row>
    <row r="1403" spans="1:21" x14ac:dyDescent="0.25">
      <c r="A1403" s="2">
        <v>1402</v>
      </c>
      <c r="B1403" s="10" t="s">
        <v>617</v>
      </c>
      <c r="C1403" s="43" t="s">
        <v>163</v>
      </c>
      <c r="D1403">
        <v>125.74</v>
      </c>
      <c r="E1403" s="80">
        <v>28941.759999999998</v>
      </c>
      <c r="F1403">
        <v>158.35</v>
      </c>
      <c r="G1403">
        <v>156.08000000000001</v>
      </c>
      <c r="H1403">
        <v>6142.55</v>
      </c>
      <c r="I1403" s="80">
        <v>20913.57</v>
      </c>
      <c r="J1403">
        <v>44.97</v>
      </c>
      <c r="K1403">
        <v>5998.64</v>
      </c>
      <c r="L1403">
        <f t="shared" si="210"/>
        <v>0</v>
      </c>
      <c r="M1403">
        <f t="shared" si="211"/>
        <v>0</v>
      </c>
      <c r="N1403">
        <f t="shared" si="212"/>
        <v>0</v>
      </c>
      <c r="O1403">
        <f t="shared" si="213"/>
        <v>0</v>
      </c>
      <c r="P1403">
        <f t="shared" si="214"/>
        <v>0</v>
      </c>
      <c r="Q1403">
        <f t="shared" si="215"/>
        <v>0</v>
      </c>
      <c r="R1403">
        <f t="shared" si="216"/>
        <v>0</v>
      </c>
      <c r="S1403">
        <f t="shared" si="217"/>
        <v>0</v>
      </c>
      <c r="T1403">
        <f t="shared" si="219"/>
        <v>0</v>
      </c>
      <c r="U1403">
        <f t="shared" si="218"/>
        <v>0</v>
      </c>
    </row>
    <row r="1404" spans="1:21" x14ac:dyDescent="0.25">
      <c r="A1404" s="2">
        <v>1403</v>
      </c>
      <c r="B1404" s="10" t="s">
        <v>617</v>
      </c>
      <c r="C1404" s="43" t="s">
        <v>181</v>
      </c>
      <c r="D1404">
        <v>16.45</v>
      </c>
      <c r="E1404" s="80">
        <v>99572.23</v>
      </c>
      <c r="F1404">
        <v>0.52</v>
      </c>
      <c r="G1404">
        <v>66.55</v>
      </c>
      <c r="H1404">
        <v>12.34</v>
      </c>
      <c r="I1404">
        <v>599.22</v>
      </c>
      <c r="J1404">
        <v>37.07</v>
      </c>
      <c r="K1404">
        <v>62.32</v>
      </c>
      <c r="L1404">
        <f t="shared" si="210"/>
        <v>0</v>
      </c>
      <c r="M1404">
        <f t="shared" si="211"/>
        <v>0</v>
      </c>
      <c r="N1404">
        <f t="shared" si="212"/>
        <v>0</v>
      </c>
      <c r="O1404">
        <f t="shared" si="213"/>
        <v>0</v>
      </c>
      <c r="P1404">
        <f t="shared" si="214"/>
        <v>0</v>
      </c>
      <c r="Q1404">
        <f t="shared" si="215"/>
        <v>0</v>
      </c>
      <c r="R1404">
        <f t="shared" si="216"/>
        <v>0</v>
      </c>
      <c r="S1404">
        <f t="shared" si="217"/>
        <v>0</v>
      </c>
      <c r="T1404">
        <f t="shared" si="219"/>
        <v>0</v>
      </c>
      <c r="U1404">
        <f t="shared" si="218"/>
        <v>0</v>
      </c>
    </row>
    <row r="1405" spans="1:21" x14ac:dyDescent="0.25">
      <c r="A1405" s="2">
        <v>1404</v>
      </c>
      <c r="B1405" s="10" t="s">
        <v>617</v>
      </c>
      <c r="C1405" s="43" t="s">
        <v>183</v>
      </c>
      <c r="D1405">
        <v>35.049999999999997</v>
      </c>
      <c r="E1405" s="80">
        <v>84156.27</v>
      </c>
      <c r="F1405">
        <v>709.95</v>
      </c>
      <c r="G1405">
        <v>156.08000000000001</v>
      </c>
      <c r="H1405">
        <v>15060.01</v>
      </c>
      <c r="I1405" s="80">
        <v>34179.410000000003</v>
      </c>
      <c r="J1405">
        <v>77.680000000000007</v>
      </c>
      <c r="K1405">
        <v>4434.21</v>
      </c>
      <c r="L1405">
        <f t="shared" si="210"/>
        <v>0</v>
      </c>
      <c r="M1405">
        <f t="shared" si="211"/>
        <v>0</v>
      </c>
      <c r="N1405">
        <f t="shared" si="212"/>
        <v>0</v>
      </c>
      <c r="O1405">
        <f t="shared" si="213"/>
        <v>0</v>
      </c>
      <c r="P1405">
        <f t="shared" si="214"/>
        <v>0</v>
      </c>
      <c r="Q1405">
        <f t="shared" si="215"/>
        <v>0</v>
      </c>
      <c r="R1405">
        <f t="shared" si="216"/>
        <v>0</v>
      </c>
      <c r="S1405">
        <f t="shared" si="217"/>
        <v>0</v>
      </c>
      <c r="T1405">
        <f t="shared" si="219"/>
        <v>0</v>
      </c>
      <c r="U1405">
        <f t="shared" si="218"/>
        <v>0</v>
      </c>
    </row>
    <row r="1406" spans="1:21" x14ac:dyDescent="0.25">
      <c r="A1406" s="2">
        <v>1405</v>
      </c>
      <c r="B1406" s="10" t="s">
        <v>617</v>
      </c>
      <c r="C1406" s="43" t="s">
        <v>186</v>
      </c>
      <c r="D1406">
        <v>41.81</v>
      </c>
      <c r="E1406" s="80">
        <v>82263.56</v>
      </c>
      <c r="F1406">
        <v>2106.48</v>
      </c>
      <c r="G1406">
        <v>192.24</v>
      </c>
      <c r="H1406" s="80">
        <v>37613.160000000003</v>
      </c>
      <c r="I1406" s="80">
        <v>35500.300000000003</v>
      </c>
      <c r="J1406">
        <v>91.35</v>
      </c>
      <c r="K1406">
        <v>5761.3</v>
      </c>
      <c r="L1406">
        <f t="shared" si="210"/>
        <v>0</v>
      </c>
      <c r="M1406">
        <f t="shared" si="211"/>
        <v>0</v>
      </c>
      <c r="N1406">
        <f t="shared" si="212"/>
        <v>0</v>
      </c>
      <c r="O1406">
        <f t="shared" si="213"/>
        <v>0</v>
      </c>
      <c r="P1406">
        <f t="shared" si="214"/>
        <v>0</v>
      </c>
      <c r="Q1406">
        <f t="shared" si="215"/>
        <v>0</v>
      </c>
      <c r="R1406">
        <f t="shared" si="216"/>
        <v>0</v>
      </c>
      <c r="S1406">
        <f t="shared" si="217"/>
        <v>0</v>
      </c>
      <c r="T1406">
        <f t="shared" si="219"/>
        <v>0</v>
      </c>
      <c r="U1406">
        <f t="shared" si="218"/>
        <v>0</v>
      </c>
    </row>
    <row r="1407" spans="1:21" x14ac:dyDescent="0.25">
      <c r="A1407" s="2">
        <v>1406</v>
      </c>
      <c r="B1407" s="10" t="s">
        <v>617</v>
      </c>
      <c r="C1407" s="43" t="s">
        <v>188</v>
      </c>
      <c r="D1407">
        <v>32.85</v>
      </c>
      <c r="E1407" s="80">
        <v>84358.65</v>
      </c>
      <c r="F1407">
        <v>180.99</v>
      </c>
      <c r="G1407">
        <v>142.16999999999999</v>
      </c>
      <c r="H1407">
        <v>5600.88</v>
      </c>
      <c r="I1407" s="80">
        <v>28152.01</v>
      </c>
      <c r="J1407">
        <v>64.47</v>
      </c>
      <c r="K1407">
        <v>4462.49</v>
      </c>
      <c r="L1407">
        <f t="shared" si="210"/>
        <v>0</v>
      </c>
      <c r="M1407">
        <f t="shared" si="211"/>
        <v>0</v>
      </c>
      <c r="N1407">
        <f t="shared" si="212"/>
        <v>0</v>
      </c>
      <c r="O1407">
        <f t="shared" si="213"/>
        <v>0</v>
      </c>
      <c r="P1407">
        <f t="shared" si="214"/>
        <v>0</v>
      </c>
      <c r="Q1407">
        <f t="shared" si="215"/>
        <v>0</v>
      </c>
      <c r="R1407">
        <f t="shared" si="216"/>
        <v>0</v>
      </c>
      <c r="S1407">
        <f t="shared" si="217"/>
        <v>0</v>
      </c>
      <c r="T1407">
        <f t="shared" si="219"/>
        <v>0</v>
      </c>
      <c r="U1407">
        <f t="shared" si="218"/>
        <v>0</v>
      </c>
    </row>
    <row r="1408" spans="1:21" x14ac:dyDescent="0.25">
      <c r="A1408" s="2">
        <v>1407</v>
      </c>
      <c r="B1408" s="10" t="s">
        <v>617</v>
      </c>
      <c r="C1408" s="43" t="s">
        <v>182</v>
      </c>
      <c r="D1408">
        <v>3.09</v>
      </c>
      <c r="E1408">
        <v>1653.32</v>
      </c>
      <c r="F1408">
        <v>4.68</v>
      </c>
      <c r="G1408">
        <v>55.49</v>
      </c>
      <c r="H1408">
        <v>636.54999999999995</v>
      </c>
      <c r="I1408" s="80">
        <v>15861.49</v>
      </c>
      <c r="J1408">
        <v>14.41</v>
      </c>
      <c r="K1408">
        <v>157.16999999999999</v>
      </c>
      <c r="L1408">
        <f t="shared" si="210"/>
        <v>0</v>
      </c>
      <c r="M1408">
        <f t="shared" si="211"/>
        <v>0</v>
      </c>
      <c r="N1408">
        <f t="shared" si="212"/>
        <v>0</v>
      </c>
      <c r="O1408">
        <f t="shared" si="213"/>
        <v>0</v>
      </c>
      <c r="P1408">
        <f t="shared" si="214"/>
        <v>0</v>
      </c>
      <c r="Q1408">
        <f t="shared" si="215"/>
        <v>0</v>
      </c>
      <c r="R1408">
        <f t="shared" si="216"/>
        <v>0</v>
      </c>
      <c r="S1408">
        <f t="shared" si="217"/>
        <v>0</v>
      </c>
      <c r="T1408">
        <f t="shared" si="219"/>
        <v>0</v>
      </c>
      <c r="U1408">
        <f t="shared" si="218"/>
        <v>0</v>
      </c>
    </row>
    <row r="1409" spans="1:21" x14ac:dyDescent="0.25">
      <c r="A1409" s="2">
        <v>1408</v>
      </c>
      <c r="B1409" s="10" t="s">
        <v>617</v>
      </c>
      <c r="C1409" s="43" t="s">
        <v>184</v>
      </c>
      <c r="D1409">
        <v>63.44</v>
      </c>
      <c r="E1409">
        <v>4768.18</v>
      </c>
      <c r="F1409">
        <v>36.81</v>
      </c>
      <c r="G1409">
        <v>55.49</v>
      </c>
      <c r="H1409">
        <v>9319.61</v>
      </c>
      <c r="I1409" s="80">
        <v>20525.580000000002</v>
      </c>
      <c r="J1409">
        <v>29.49</v>
      </c>
      <c r="K1409">
        <v>456.59</v>
      </c>
      <c r="L1409">
        <f t="shared" si="210"/>
        <v>0</v>
      </c>
      <c r="M1409">
        <f t="shared" si="211"/>
        <v>0</v>
      </c>
      <c r="N1409">
        <f t="shared" si="212"/>
        <v>0</v>
      </c>
      <c r="O1409">
        <f t="shared" si="213"/>
        <v>0</v>
      </c>
      <c r="P1409">
        <f t="shared" si="214"/>
        <v>0</v>
      </c>
      <c r="Q1409">
        <f t="shared" si="215"/>
        <v>0</v>
      </c>
      <c r="R1409">
        <f t="shared" si="216"/>
        <v>0</v>
      </c>
      <c r="S1409">
        <f t="shared" si="217"/>
        <v>0</v>
      </c>
      <c r="T1409">
        <f t="shared" si="219"/>
        <v>0</v>
      </c>
      <c r="U1409">
        <f t="shared" si="218"/>
        <v>0</v>
      </c>
    </row>
    <row r="1410" spans="1:21" x14ac:dyDescent="0.25">
      <c r="A1410" s="2">
        <v>1409</v>
      </c>
      <c r="B1410" s="10" t="s">
        <v>617</v>
      </c>
      <c r="C1410" s="43" t="s">
        <v>187</v>
      </c>
      <c r="D1410">
        <v>474.97</v>
      </c>
      <c r="E1410">
        <v>8557.61</v>
      </c>
      <c r="F1410">
        <v>128.15</v>
      </c>
      <c r="G1410">
        <v>78.11</v>
      </c>
      <c r="H1410" s="80">
        <v>20884.009999999998</v>
      </c>
      <c r="I1410" s="80">
        <v>24821.040000000001</v>
      </c>
      <c r="J1410">
        <v>50.4</v>
      </c>
      <c r="K1410">
        <v>3238.91</v>
      </c>
      <c r="L1410">
        <f t="shared" ref="L1410:L1473" si="220">IF(D1410 = "OOR &gt;", 1,0)</f>
        <v>0</v>
      </c>
      <c r="M1410">
        <f t="shared" ref="M1410:M1473" si="221">IF(E1410 = "OOR &gt;", 1,0)</f>
        <v>0</v>
      </c>
      <c r="N1410">
        <f t="shared" ref="N1410:N1473" si="222">IF(F1410 = "OOR &gt;", 1,0)</f>
        <v>0</v>
      </c>
      <c r="O1410">
        <f t="shared" ref="O1410:O1473" si="223">IF(G1410 = "OOR &gt;", 1,0)</f>
        <v>0</v>
      </c>
      <c r="P1410">
        <f t="shared" ref="P1410:P1473" si="224">IF(H1410 = "OOR &gt;", 1,0)</f>
        <v>0</v>
      </c>
      <c r="Q1410">
        <f t="shared" ref="Q1410:Q1473" si="225">IF(I1410 = "OOR &gt;", 1,0)</f>
        <v>0</v>
      </c>
      <c r="R1410">
        <f t="shared" ref="R1410:R1473" si="226">IF(J1410 = "OOR &gt;", 1,0)</f>
        <v>0</v>
      </c>
      <c r="S1410">
        <f t="shared" ref="S1410:S1473" si="227">IF(K1410 = "OOR &gt;", 1,0)</f>
        <v>0</v>
      </c>
      <c r="T1410">
        <f t="shared" si="219"/>
        <v>0</v>
      </c>
      <c r="U1410">
        <f t="shared" ref="U1410:U1473" si="228">IF(T1410 &gt; 0,1,0)</f>
        <v>0</v>
      </c>
    </row>
    <row r="1411" spans="1:21" x14ac:dyDescent="0.25">
      <c r="A1411" s="2">
        <v>1410</v>
      </c>
      <c r="B1411" s="10" t="s">
        <v>617</v>
      </c>
      <c r="C1411" s="43" t="s">
        <v>189</v>
      </c>
      <c r="D1411">
        <v>2289.5700000000002</v>
      </c>
      <c r="E1411">
        <v>6848.31</v>
      </c>
      <c r="F1411">
        <v>7.4</v>
      </c>
      <c r="G1411">
        <v>90.12</v>
      </c>
      <c r="H1411">
        <v>14144.56</v>
      </c>
      <c r="I1411" s="80">
        <v>22348.61</v>
      </c>
      <c r="J1411">
        <v>53.16</v>
      </c>
      <c r="K1411">
        <v>6694.79</v>
      </c>
      <c r="L1411">
        <f t="shared" si="220"/>
        <v>0</v>
      </c>
      <c r="M1411">
        <f t="shared" si="221"/>
        <v>0</v>
      </c>
      <c r="N1411">
        <f t="shared" si="222"/>
        <v>0</v>
      </c>
      <c r="O1411">
        <f t="shared" si="223"/>
        <v>0</v>
      </c>
      <c r="P1411">
        <f t="shared" si="224"/>
        <v>0</v>
      </c>
      <c r="Q1411">
        <f t="shared" si="225"/>
        <v>0</v>
      </c>
      <c r="R1411">
        <f t="shared" si="226"/>
        <v>0</v>
      </c>
      <c r="S1411">
        <f t="shared" si="227"/>
        <v>0</v>
      </c>
      <c r="T1411">
        <f t="shared" ref="T1411:T1474" si="229">SUMIF(L1411:S1411,"&gt;0")</f>
        <v>0</v>
      </c>
      <c r="U1411">
        <f t="shared" si="228"/>
        <v>0</v>
      </c>
    </row>
    <row r="1412" spans="1:21" x14ac:dyDescent="0.25">
      <c r="A1412" s="2">
        <v>1411</v>
      </c>
      <c r="B1412" s="10" t="s">
        <v>618</v>
      </c>
      <c r="C1412" t="s">
        <v>162</v>
      </c>
      <c r="D1412">
        <v>1.79</v>
      </c>
      <c r="E1412">
        <v>4284.9799999999996</v>
      </c>
      <c r="F1412">
        <v>0.41</v>
      </c>
      <c r="G1412">
        <v>25.77</v>
      </c>
      <c r="H1412">
        <v>0.77</v>
      </c>
      <c r="I1412">
        <v>35.9</v>
      </c>
      <c r="J1412">
        <v>11.27</v>
      </c>
      <c r="K1412">
        <v>1.2</v>
      </c>
      <c r="L1412">
        <f t="shared" si="220"/>
        <v>0</v>
      </c>
      <c r="M1412">
        <f t="shared" si="221"/>
        <v>0</v>
      </c>
      <c r="N1412">
        <f t="shared" si="222"/>
        <v>0</v>
      </c>
      <c r="O1412">
        <f t="shared" si="223"/>
        <v>0</v>
      </c>
      <c r="P1412">
        <f t="shared" si="224"/>
        <v>0</v>
      </c>
      <c r="Q1412">
        <f t="shared" si="225"/>
        <v>0</v>
      </c>
      <c r="R1412">
        <f t="shared" si="226"/>
        <v>0</v>
      </c>
      <c r="S1412">
        <f t="shared" si="227"/>
        <v>0</v>
      </c>
      <c r="T1412">
        <f t="shared" si="229"/>
        <v>0</v>
      </c>
      <c r="U1412">
        <f t="shared" si="228"/>
        <v>0</v>
      </c>
    </row>
    <row r="1413" spans="1:21" x14ac:dyDescent="0.25">
      <c r="A1413" s="2">
        <v>1412</v>
      </c>
      <c r="B1413" s="10" t="s">
        <v>618</v>
      </c>
      <c r="C1413" t="s">
        <v>170</v>
      </c>
      <c r="D1413">
        <v>111.46</v>
      </c>
      <c r="E1413" s="80">
        <v>27755.95</v>
      </c>
      <c r="F1413">
        <v>354.22</v>
      </c>
      <c r="G1413">
        <v>177.55</v>
      </c>
      <c r="H1413">
        <v>11499.15</v>
      </c>
      <c r="I1413" s="80">
        <v>26873.06</v>
      </c>
      <c r="J1413">
        <v>57.35</v>
      </c>
      <c r="K1413">
        <v>2992.15</v>
      </c>
      <c r="L1413">
        <f t="shared" si="220"/>
        <v>0</v>
      </c>
      <c r="M1413">
        <f t="shared" si="221"/>
        <v>0</v>
      </c>
      <c r="N1413">
        <f t="shared" si="222"/>
        <v>0</v>
      </c>
      <c r="O1413">
        <f t="shared" si="223"/>
        <v>0</v>
      </c>
      <c r="P1413">
        <f t="shared" si="224"/>
        <v>0</v>
      </c>
      <c r="Q1413">
        <f t="shared" si="225"/>
        <v>0</v>
      </c>
      <c r="R1413">
        <f t="shared" si="226"/>
        <v>0</v>
      </c>
      <c r="S1413">
        <f t="shared" si="227"/>
        <v>0</v>
      </c>
      <c r="T1413">
        <f t="shared" si="229"/>
        <v>0</v>
      </c>
      <c r="U1413">
        <f t="shared" si="228"/>
        <v>0</v>
      </c>
    </row>
    <row r="1414" spans="1:21" x14ac:dyDescent="0.25">
      <c r="A1414" s="2">
        <v>1413</v>
      </c>
      <c r="B1414" s="10" t="s">
        <v>618</v>
      </c>
      <c r="C1414" t="s">
        <v>178</v>
      </c>
      <c r="D1414">
        <v>506.63</v>
      </c>
      <c r="E1414">
        <v>19880.939999999999</v>
      </c>
      <c r="F1414">
        <v>853.98</v>
      </c>
      <c r="G1414">
        <v>142.16999999999999</v>
      </c>
      <c r="H1414" s="80">
        <v>39160.839999999997</v>
      </c>
      <c r="I1414" s="80">
        <v>28017.29</v>
      </c>
      <c r="J1414">
        <v>80.680000000000007</v>
      </c>
      <c r="K1414">
        <v>5292.9</v>
      </c>
      <c r="L1414">
        <f t="shared" si="220"/>
        <v>0</v>
      </c>
      <c r="M1414">
        <f t="shared" si="221"/>
        <v>0</v>
      </c>
      <c r="N1414">
        <f t="shared" si="222"/>
        <v>0</v>
      </c>
      <c r="O1414">
        <f t="shared" si="223"/>
        <v>0</v>
      </c>
      <c r="P1414">
        <f t="shared" si="224"/>
        <v>0</v>
      </c>
      <c r="Q1414">
        <f t="shared" si="225"/>
        <v>0</v>
      </c>
      <c r="R1414">
        <f t="shared" si="226"/>
        <v>0</v>
      </c>
      <c r="S1414">
        <f t="shared" si="227"/>
        <v>0</v>
      </c>
      <c r="T1414">
        <f t="shared" si="229"/>
        <v>0</v>
      </c>
      <c r="U1414">
        <f t="shared" si="228"/>
        <v>0</v>
      </c>
    </row>
    <row r="1415" spans="1:21" x14ac:dyDescent="0.25">
      <c r="A1415" s="2">
        <v>1414</v>
      </c>
      <c r="B1415" s="10" t="s">
        <v>618</v>
      </c>
      <c r="C1415" t="s">
        <v>163</v>
      </c>
      <c r="D1415">
        <v>11711.57</v>
      </c>
      <c r="E1415">
        <v>18772.400000000001</v>
      </c>
      <c r="F1415">
        <v>36.17</v>
      </c>
      <c r="G1415">
        <v>142.16999999999999</v>
      </c>
      <c r="H1415" s="80">
        <v>23853.85</v>
      </c>
      <c r="I1415" s="80">
        <v>25082.86</v>
      </c>
      <c r="J1415">
        <v>119.93</v>
      </c>
      <c r="K1415" s="80">
        <v>16534.14</v>
      </c>
      <c r="L1415">
        <f t="shared" si="220"/>
        <v>0</v>
      </c>
      <c r="M1415">
        <f t="shared" si="221"/>
        <v>0</v>
      </c>
      <c r="N1415">
        <f t="shared" si="222"/>
        <v>0</v>
      </c>
      <c r="O1415">
        <f t="shared" si="223"/>
        <v>0</v>
      </c>
      <c r="P1415">
        <f t="shared" si="224"/>
        <v>0</v>
      </c>
      <c r="Q1415">
        <f t="shared" si="225"/>
        <v>0</v>
      </c>
      <c r="R1415">
        <f t="shared" si="226"/>
        <v>0</v>
      </c>
      <c r="S1415">
        <f t="shared" si="227"/>
        <v>0</v>
      </c>
      <c r="T1415">
        <f t="shared" si="229"/>
        <v>0</v>
      </c>
      <c r="U1415">
        <f t="shared" si="228"/>
        <v>0</v>
      </c>
    </row>
    <row r="1416" spans="1:21" x14ac:dyDescent="0.25">
      <c r="A1416" s="2">
        <v>1415</v>
      </c>
      <c r="B1416" s="10" t="s">
        <v>618</v>
      </c>
      <c r="C1416" t="s">
        <v>181</v>
      </c>
      <c r="D1416">
        <v>12.75</v>
      </c>
      <c r="E1416" s="80">
        <v>85276.93</v>
      </c>
      <c r="F1416">
        <v>0.82</v>
      </c>
      <c r="G1416">
        <v>102.56</v>
      </c>
      <c r="H1416">
        <v>7.48</v>
      </c>
      <c r="I1416">
        <v>299.77</v>
      </c>
      <c r="J1416">
        <v>34.51</v>
      </c>
      <c r="K1416">
        <v>12.6</v>
      </c>
      <c r="L1416">
        <f t="shared" si="220"/>
        <v>0</v>
      </c>
      <c r="M1416">
        <f t="shared" si="221"/>
        <v>0</v>
      </c>
      <c r="N1416">
        <f t="shared" si="222"/>
        <v>0</v>
      </c>
      <c r="O1416">
        <f t="shared" si="223"/>
        <v>0</v>
      </c>
      <c r="P1416">
        <f t="shared" si="224"/>
        <v>0</v>
      </c>
      <c r="Q1416">
        <f t="shared" si="225"/>
        <v>0</v>
      </c>
      <c r="R1416">
        <f t="shared" si="226"/>
        <v>0</v>
      </c>
      <c r="S1416">
        <f t="shared" si="227"/>
        <v>0</v>
      </c>
      <c r="T1416">
        <f t="shared" si="229"/>
        <v>0</v>
      </c>
      <c r="U1416">
        <f t="shared" si="228"/>
        <v>0</v>
      </c>
    </row>
    <row r="1417" spans="1:21" x14ac:dyDescent="0.25">
      <c r="A1417" s="2">
        <v>1416</v>
      </c>
      <c r="B1417" s="10" t="s">
        <v>618</v>
      </c>
      <c r="C1417" t="s">
        <v>183</v>
      </c>
      <c r="D1417">
        <v>51.19</v>
      </c>
      <c r="E1417" s="80">
        <v>106236.6</v>
      </c>
      <c r="F1417">
        <v>2145</v>
      </c>
      <c r="G1417">
        <v>336.67</v>
      </c>
      <c r="H1417" s="80">
        <v>58056.06</v>
      </c>
      <c r="I1417" s="80">
        <v>35886.589999999997</v>
      </c>
      <c r="J1417">
        <v>111.84</v>
      </c>
      <c r="K1417" s="80">
        <v>12886.08</v>
      </c>
      <c r="L1417">
        <f t="shared" si="220"/>
        <v>0</v>
      </c>
      <c r="M1417">
        <f t="shared" si="221"/>
        <v>0</v>
      </c>
      <c r="N1417">
        <f t="shared" si="222"/>
        <v>0</v>
      </c>
      <c r="O1417">
        <f t="shared" si="223"/>
        <v>0</v>
      </c>
      <c r="P1417">
        <f t="shared" si="224"/>
        <v>0</v>
      </c>
      <c r="Q1417">
        <f t="shared" si="225"/>
        <v>0</v>
      </c>
      <c r="R1417">
        <f t="shared" si="226"/>
        <v>0</v>
      </c>
      <c r="S1417">
        <f t="shared" si="227"/>
        <v>0</v>
      </c>
      <c r="T1417">
        <f t="shared" si="229"/>
        <v>0</v>
      </c>
      <c r="U1417">
        <f t="shared" si="228"/>
        <v>0</v>
      </c>
    </row>
    <row r="1418" spans="1:21" x14ac:dyDescent="0.25">
      <c r="A1418" s="92">
        <v>1417</v>
      </c>
      <c r="B1418" s="10" t="s">
        <v>618</v>
      </c>
      <c r="C1418" t="s">
        <v>186</v>
      </c>
      <c r="D1418">
        <v>59.71</v>
      </c>
      <c r="E1418" s="80">
        <v>96624.7</v>
      </c>
      <c r="F1418" s="89" t="s">
        <v>582</v>
      </c>
      <c r="G1418">
        <v>261.87</v>
      </c>
      <c r="H1418" s="80">
        <v>103814.27</v>
      </c>
      <c r="I1418" s="80">
        <v>35888.15</v>
      </c>
      <c r="J1418">
        <v>133.11000000000001</v>
      </c>
      <c r="K1418" s="80">
        <v>20220.36</v>
      </c>
      <c r="L1418">
        <f t="shared" si="220"/>
        <v>0</v>
      </c>
      <c r="M1418">
        <f t="shared" si="221"/>
        <v>0</v>
      </c>
      <c r="N1418">
        <f t="shared" si="222"/>
        <v>1</v>
      </c>
      <c r="O1418">
        <f t="shared" si="223"/>
        <v>0</v>
      </c>
      <c r="P1418">
        <f t="shared" si="224"/>
        <v>0</v>
      </c>
      <c r="Q1418">
        <f t="shared" si="225"/>
        <v>0</v>
      </c>
      <c r="R1418">
        <f t="shared" si="226"/>
        <v>0</v>
      </c>
      <c r="S1418">
        <f t="shared" si="227"/>
        <v>0</v>
      </c>
      <c r="T1418">
        <f t="shared" si="229"/>
        <v>1</v>
      </c>
      <c r="U1418">
        <f t="shared" si="228"/>
        <v>1</v>
      </c>
    </row>
    <row r="1419" spans="1:21" x14ac:dyDescent="0.25">
      <c r="A1419" s="2">
        <v>1418</v>
      </c>
      <c r="B1419" s="10" t="s">
        <v>618</v>
      </c>
      <c r="C1419" s="43" t="s">
        <v>188</v>
      </c>
      <c r="D1419">
        <v>51.19</v>
      </c>
      <c r="E1419" s="80">
        <v>110865.18</v>
      </c>
      <c r="F1419">
        <v>230.44</v>
      </c>
      <c r="G1419">
        <v>245.93</v>
      </c>
      <c r="H1419" s="80">
        <v>24070.81</v>
      </c>
      <c r="I1419" s="80">
        <v>32658.1</v>
      </c>
      <c r="J1419">
        <v>119.93</v>
      </c>
      <c r="K1419" s="80">
        <v>20015.22</v>
      </c>
      <c r="L1419">
        <f t="shared" si="220"/>
        <v>0</v>
      </c>
      <c r="M1419">
        <f t="shared" si="221"/>
        <v>0</v>
      </c>
      <c r="N1419">
        <f t="shared" si="222"/>
        <v>0</v>
      </c>
      <c r="O1419">
        <f t="shared" si="223"/>
        <v>0</v>
      </c>
      <c r="P1419">
        <f t="shared" si="224"/>
        <v>0</v>
      </c>
      <c r="Q1419">
        <f t="shared" si="225"/>
        <v>0</v>
      </c>
      <c r="R1419">
        <f t="shared" si="226"/>
        <v>0</v>
      </c>
      <c r="S1419">
        <f t="shared" si="227"/>
        <v>0</v>
      </c>
      <c r="T1419">
        <f t="shared" si="229"/>
        <v>0</v>
      </c>
      <c r="U1419">
        <f t="shared" si="228"/>
        <v>0</v>
      </c>
    </row>
    <row r="1420" spans="1:21" x14ac:dyDescent="0.25">
      <c r="A1420" s="2">
        <v>1419</v>
      </c>
      <c r="B1420" s="10" t="s">
        <v>618</v>
      </c>
      <c r="C1420" s="43" t="s">
        <v>182</v>
      </c>
      <c r="D1420" t="s">
        <v>583</v>
      </c>
      <c r="E1420">
        <v>874.04</v>
      </c>
      <c r="F1420" s="80">
        <v>0.02</v>
      </c>
      <c r="G1420" t="s">
        <v>583</v>
      </c>
      <c r="H1420">
        <v>0.77</v>
      </c>
      <c r="I1420">
        <v>110.31</v>
      </c>
      <c r="J1420">
        <v>2.21</v>
      </c>
      <c r="K1420">
        <v>0.46</v>
      </c>
      <c r="L1420">
        <f t="shared" si="220"/>
        <v>0</v>
      </c>
      <c r="M1420">
        <f t="shared" si="221"/>
        <v>0</v>
      </c>
      <c r="N1420">
        <f t="shared" si="222"/>
        <v>0</v>
      </c>
      <c r="O1420">
        <f t="shared" si="223"/>
        <v>0</v>
      </c>
      <c r="P1420">
        <f t="shared" si="224"/>
        <v>0</v>
      </c>
      <c r="Q1420">
        <f t="shared" si="225"/>
        <v>0</v>
      </c>
      <c r="R1420">
        <f t="shared" si="226"/>
        <v>0</v>
      </c>
      <c r="S1420">
        <f t="shared" si="227"/>
        <v>0</v>
      </c>
      <c r="T1420">
        <f t="shared" si="229"/>
        <v>0</v>
      </c>
      <c r="U1420">
        <f t="shared" si="228"/>
        <v>0</v>
      </c>
    </row>
    <row r="1421" spans="1:21" x14ac:dyDescent="0.25">
      <c r="A1421" s="2">
        <v>1420</v>
      </c>
      <c r="B1421" s="10" t="s">
        <v>618</v>
      </c>
      <c r="C1421" s="43" t="s">
        <v>184</v>
      </c>
      <c r="D1421">
        <v>161.44999999999999</v>
      </c>
      <c r="E1421">
        <v>5392.39</v>
      </c>
      <c r="F1421">
        <v>27.51</v>
      </c>
      <c r="G1421" s="80">
        <v>3.55</v>
      </c>
      <c r="H1421">
        <v>7095.59</v>
      </c>
      <c r="I1421" s="80">
        <v>25476.84</v>
      </c>
      <c r="J1421">
        <v>31.98</v>
      </c>
      <c r="K1421">
        <v>2279.61</v>
      </c>
      <c r="L1421">
        <f t="shared" si="220"/>
        <v>0</v>
      </c>
      <c r="M1421">
        <f t="shared" si="221"/>
        <v>0</v>
      </c>
      <c r="N1421">
        <f t="shared" si="222"/>
        <v>0</v>
      </c>
      <c r="O1421">
        <f t="shared" si="223"/>
        <v>0</v>
      </c>
      <c r="P1421">
        <f t="shared" si="224"/>
        <v>0</v>
      </c>
      <c r="Q1421">
        <f t="shared" si="225"/>
        <v>0</v>
      </c>
      <c r="R1421">
        <f t="shared" si="226"/>
        <v>0</v>
      </c>
      <c r="S1421">
        <f t="shared" si="227"/>
        <v>0</v>
      </c>
      <c r="T1421">
        <f t="shared" si="229"/>
        <v>0</v>
      </c>
      <c r="U1421">
        <f t="shared" si="228"/>
        <v>0</v>
      </c>
    </row>
    <row r="1422" spans="1:21" x14ac:dyDescent="0.25">
      <c r="A1422" s="2">
        <v>1421</v>
      </c>
      <c r="B1422" s="10" t="s">
        <v>618</v>
      </c>
      <c r="C1422" s="43" t="s">
        <v>187</v>
      </c>
      <c r="D1422">
        <v>555.05999999999995</v>
      </c>
      <c r="E1422">
        <v>6903.17</v>
      </c>
      <c r="F1422">
        <v>202.87</v>
      </c>
      <c r="G1422">
        <v>25.77</v>
      </c>
      <c r="H1422" s="80">
        <v>23361.71</v>
      </c>
      <c r="I1422" s="80">
        <v>27737.88</v>
      </c>
      <c r="J1422">
        <v>64.47</v>
      </c>
      <c r="K1422" s="80">
        <v>9933.1200000000008</v>
      </c>
      <c r="L1422">
        <f t="shared" si="220"/>
        <v>0</v>
      </c>
      <c r="M1422">
        <f t="shared" si="221"/>
        <v>0</v>
      </c>
      <c r="N1422">
        <f t="shared" si="222"/>
        <v>0</v>
      </c>
      <c r="O1422">
        <f t="shared" si="223"/>
        <v>0</v>
      </c>
      <c r="P1422">
        <f t="shared" si="224"/>
        <v>0</v>
      </c>
      <c r="Q1422">
        <f t="shared" si="225"/>
        <v>0</v>
      </c>
      <c r="R1422">
        <f t="shared" si="226"/>
        <v>0</v>
      </c>
      <c r="S1422">
        <f t="shared" si="227"/>
        <v>0</v>
      </c>
      <c r="T1422">
        <f t="shared" si="229"/>
        <v>0</v>
      </c>
      <c r="U1422">
        <f t="shared" si="228"/>
        <v>0</v>
      </c>
    </row>
    <row r="1423" spans="1:21" x14ac:dyDescent="0.25">
      <c r="A1423" s="2">
        <v>1422</v>
      </c>
      <c r="B1423" s="10" t="s">
        <v>618</v>
      </c>
      <c r="C1423" s="43" t="s">
        <v>189</v>
      </c>
      <c r="D1423">
        <v>1856.76</v>
      </c>
      <c r="E1423">
        <v>4955.04</v>
      </c>
      <c r="F1423">
        <v>2.99</v>
      </c>
      <c r="G1423" s="80">
        <v>17.29</v>
      </c>
      <c r="H1423">
        <v>10080.129999999999</v>
      </c>
      <c r="I1423" s="80">
        <v>19994.400000000001</v>
      </c>
      <c r="J1423">
        <v>47.67</v>
      </c>
      <c r="K1423">
        <v>7217.64</v>
      </c>
      <c r="L1423">
        <f t="shared" si="220"/>
        <v>0</v>
      </c>
      <c r="M1423">
        <f t="shared" si="221"/>
        <v>0</v>
      </c>
      <c r="N1423">
        <f t="shared" si="222"/>
        <v>0</v>
      </c>
      <c r="O1423">
        <f t="shared" si="223"/>
        <v>0</v>
      </c>
      <c r="P1423">
        <f t="shared" si="224"/>
        <v>0</v>
      </c>
      <c r="Q1423">
        <f t="shared" si="225"/>
        <v>0</v>
      </c>
      <c r="R1423">
        <f t="shared" si="226"/>
        <v>0</v>
      </c>
      <c r="S1423">
        <f t="shared" si="227"/>
        <v>0</v>
      </c>
      <c r="T1423">
        <f t="shared" si="229"/>
        <v>0</v>
      </c>
      <c r="U1423">
        <f t="shared" si="228"/>
        <v>0</v>
      </c>
    </row>
    <row r="1424" spans="1:21" x14ac:dyDescent="0.25">
      <c r="A1424" s="2">
        <v>1423</v>
      </c>
      <c r="B1424" s="10" t="s">
        <v>619</v>
      </c>
      <c r="C1424" t="s">
        <v>162</v>
      </c>
      <c r="D1424">
        <v>16.45</v>
      </c>
      <c r="E1424" s="80">
        <v>48596.68</v>
      </c>
      <c r="F1424">
        <v>0.52</v>
      </c>
      <c r="G1424">
        <v>90.12</v>
      </c>
      <c r="H1424">
        <v>2.57</v>
      </c>
      <c r="I1424">
        <v>1.0900000000000001</v>
      </c>
      <c r="J1424">
        <v>24.64</v>
      </c>
      <c r="K1424">
        <v>3.24</v>
      </c>
      <c r="L1424">
        <f t="shared" si="220"/>
        <v>0</v>
      </c>
      <c r="M1424">
        <f t="shared" si="221"/>
        <v>0</v>
      </c>
      <c r="N1424">
        <f t="shared" si="222"/>
        <v>0</v>
      </c>
      <c r="O1424">
        <f t="shared" si="223"/>
        <v>0</v>
      </c>
      <c r="P1424">
        <f t="shared" si="224"/>
        <v>0</v>
      </c>
      <c r="Q1424">
        <f t="shared" si="225"/>
        <v>0</v>
      </c>
      <c r="R1424">
        <f t="shared" si="226"/>
        <v>0</v>
      </c>
      <c r="S1424">
        <f t="shared" si="227"/>
        <v>0</v>
      </c>
      <c r="T1424">
        <f t="shared" si="229"/>
        <v>0</v>
      </c>
      <c r="U1424">
        <f t="shared" si="228"/>
        <v>0</v>
      </c>
    </row>
    <row r="1425" spans="1:21" x14ac:dyDescent="0.25">
      <c r="A1425" s="2">
        <v>1424</v>
      </c>
      <c r="B1425" s="10" t="s">
        <v>619</v>
      </c>
      <c r="C1425" t="s">
        <v>170</v>
      </c>
      <c r="D1425">
        <v>10.97</v>
      </c>
      <c r="E1425" s="80">
        <v>29526.75</v>
      </c>
      <c r="F1425">
        <v>30.23</v>
      </c>
      <c r="G1425">
        <v>90.12</v>
      </c>
      <c r="H1425">
        <v>280.77</v>
      </c>
      <c r="I1425" s="80">
        <v>8136.62</v>
      </c>
      <c r="J1425">
        <v>29.49</v>
      </c>
      <c r="K1425">
        <v>222.95</v>
      </c>
      <c r="L1425">
        <f t="shared" si="220"/>
        <v>0</v>
      </c>
      <c r="M1425">
        <f t="shared" si="221"/>
        <v>0</v>
      </c>
      <c r="N1425">
        <f t="shared" si="222"/>
        <v>0</v>
      </c>
      <c r="O1425">
        <f t="shared" si="223"/>
        <v>0</v>
      </c>
      <c r="P1425">
        <f t="shared" si="224"/>
        <v>0</v>
      </c>
      <c r="Q1425">
        <f t="shared" si="225"/>
        <v>0</v>
      </c>
      <c r="R1425">
        <f t="shared" si="226"/>
        <v>0</v>
      </c>
      <c r="S1425">
        <f t="shared" si="227"/>
        <v>0</v>
      </c>
      <c r="T1425">
        <f t="shared" si="229"/>
        <v>0</v>
      </c>
      <c r="U1425">
        <f t="shared" si="228"/>
        <v>0</v>
      </c>
    </row>
    <row r="1426" spans="1:21" x14ac:dyDescent="0.25">
      <c r="A1426" s="2">
        <v>1425</v>
      </c>
      <c r="B1426" s="10" t="s">
        <v>619</v>
      </c>
      <c r="C1426" t="s">
        <v>178</v>
      </c>
      <c r="D1426">
        <v>18.37</v>
      </c>
      <c r="E1426" s="80">
        <v>49733.32</v>
      </c>
      <c r="F1426">
        <v>318.60000000000002</v>
      </c>
      <c r="G1426">
        <v>102.56</v>
      </c>
      <c r="H1426">
        <v>3636.11</v>
      </c>
      <c r="I1426" s="80">
        <v>17860.330000000002</v>
      </c>
      <c r="J1426">
        <v>42.31</v>
      </c>
      <c r="K1426">
        <v>482.01</v>
      </c>
      <c r="L1426">
        <f t="shared" si="220"/>
        <v>0</v>
      </c>
      <c r="M1426">
        <f t="shared" si="221"/>
        <v>0</v>
      </c>
      <c r="N1426">
        <f t="shared" si="222"/>
        <v>0</v>
      </c>
      <c r="O1426">
        <f t="shared" si="223"/>
        <v>0</v>
      </c>
      <c r="P1426">
        <f t="shared" si="224"/>
        <v>0</v>
      </c>
      <c r="Q1426">
        <f t="shared" si="225"/>
        <v>0</v>
      </c>
      <c r="R1426">
        <f t="shared" si="226"/>
        <v>0</v>
      </c>
      <c r="S1426">
        <f t="shared" si="227"/>
        <v>0</v>
      </c>
      <c r="T1426">
        <f t="shared" si="229"/>
        <v>0</v>
      </c>
      <c r="U1426">
        <f t="shared" si="228"/>
        <v>0</v>
      </c>
    </row>
    <row r="1427" spans="1:21" x14ac:dyDescent="0.25">
      <c r="A1427" s="2">
        <v>1426</v>
      </c>
      <c r="B1427" s="10" t="s">
        <v>619</v>
      </c>
      <c r="C1427" t="s">
        <v>163</v>
      </c>
      <c r="D1427">
        <v>81.430000000000007</v>
      </c>
      <c r="E1427" s="80">
        <v>51406.98</v>
      </c>
      <c r="F1427">
        <v>58.03</v>
      </c>
      <c r="G1427">
        <v>142.16999999999999</v>
      </c>
      <c r="H1427">
        <v>2700.53</v>
      </c>
      <c r="I1427" s="80">
        <v>7822</v>
      </c>
      <c r="J1427">
        <v>63.03</v>
      </c>
      <c r="K1427">
        <v>5885.05</v>
      </c>
      <c r="L1427">
        <f t="shared" si="220"/>
        <v>0</v>
      </c>
      <c r="M1427">
        <f t="shared" si="221"/>
        <v>0</v>
      </c>
      <c r="N1427">
        <f t="shared" si="222"/>
        <v>0</v>
      </c>
      <c r="O1427">
        <f t="shared" si="223"/>
        <v>0</v>
      </c>
      <c r="P1427">
        <f t="shared" si="224"/>
        <v>0</v>
      </c>
      <c r="Q1427">
        <f t="shared" si="225"/>
        <v>0</v>
      </c>
      <c r="R1427">
        <f t="shared" si="226"/>
        <v>0</v>
      </c>
      <c r="S1427">
        <f t="shared" si="227"/>
        <v>0</v>
      </c>
      <c r="T1427">
        <f t="shared" si="229"/>
        <v>0</v>
      </c>
      <c r="U1427">
        <f t="shared" si="228"/>
        <v>0</v>
      </c>
    </row>
    <row r="1428" spans="1:21" x14ac:dyDescent="0.25">
      <c r="A1428" s="2">
        <v>1427</v>
      </c>
      <c r="B1428" s="10" t="s">
        <v>619</v>
      </c>
      <c r="C1428" t="s">
        <v>181</v>
      </c>
      <c r="D1428">
        <v>12.75</v>
      </c>
      <c r="E1428" s="80">
        <v>76667.48</v>
      </c>
      <c r="F1428">
        <v>0.75</v>
      </c>
      <c r="G1428">
        <v>66.55</v>
      </c>
      <c r="H1428">
        <v>9.35</v>
      </c>
      <c r="I1428">
        <v>12.39</v>
      </c>
      <c r="J1428">
        <v>27.04</v>
      </c>
      <c r="K1428">
        <v>9.6999999999999993</v>
      </c>
      <c r="L1428">
        <f t="shared" si="220"/>
        <v>0</v>
      </c>
      <c r="M1428">
        <f t="shared" si="221"/>
        <v>0</v>
      </c>
      <c r="N1428">
        <f t="shared" si="222"/>
        <v>0</v>
      </c>
      <c r="O1428">
        <f t="shared" si="223"/>
        <v>0</v>
      </c>
      <c r="P1428">
        <f t="shared" si="224"/>
        <v>0</v>
      </c>
      <c r="Q1428">
        <f t="shared" si="225"/>
        <v>0</v>
      </c>
      <c r="R1428">
        <f t="shared" si="226"/>
        <v>0</v>
      </c>
      <c r="S1428">
        <f t="shared" si="227"/>
        <v>0</v>
      </c>
      <c r="T1428">
        <f t="shared" si="229"/>
        <v>0</v>
      </c>
      <c r="U1428">
        <f t="shared" si="228"/>
        <v>0</v>
      </c>
    </row>
    <row r="1429" spans="1:21" x14ac:dyDescent="0.25">
      <c r="A1429" s="2">
        <v>1428</v>
      </c>
      <c r="B1429" s="10" t="s">
        <v>619</v>
      </c>
      <c r="C1429" t="s">
        <v>183</v>
      </c>
      <c r="D1429">
        <v>26.44</v>
      </c>
      <c r="E1429" s="80">
        <v>64368.59</v>
      </c>
      <c r="F1429">
        <v>428.14</v>
      </c>
      <c r="G1429">
        <v>170.31</v>
      </c>
      <c r="H1429">
        <v>9020.67</v>
      </c>
      <c r="I1429" s="80">
        <v>32042.63</v>
      </c>
      <c r="J1429">
        <v>79.180000000000007</v>
      </c>
      <c r="K1429">
        <v>7025.53</v>
      </c>
      <c r="L1429">
        <f t="shared" si="220"/>
        <v>0</v>
      </c>
      <c r="M1429">
        <f t="shared" si="221"/>
        <v>0</v>
      </c>
      <c r="N1429">
        <f t="shared" si="222"/>
        <v>0</v>
      </c>
      <c r="O1429">
        <f t="shared" si="223"/>
        <v>0</v>
      </c>
      <c r="P1429">
        <f t="shared" si="224"/>
        <v>0</v>
      </c>
      <c r="Q1429">
        <f t="shared" si="225"/>
        <v>0</v>
      </c>
      <c r="R1429">
        <f t="shared" si="226"/>
        <v>0</v>
      </c>
      <c r="S1429">
        <f t="shared" si="227"/>
        <v>0</v>
      </c>
      <c r="T1429">
        <f t="shared" si="229"/>
        <v>0</v>
      </c>
      <c r="U1429">
        <f t="shared" si="228"/>
        <v>0</v>
      </c>
    </row>
    <row r="1430" spans="1:21" x14ac:dyDescent="0.25">
      <c r="A1430" s="2">
        <v>1429</v>
      </c>
      <c r="B1430" s="10" t="s">
        <v>619</v>
      </c>
      <c r="C1430" t="s">
        <v>186</v>
      </c>
      <c r="D1430">
        <v>35.049999999999997</v>
      </c>
      <c r="E1430" s="80">
        <v>45002.61</v>
      </c>
      <c r="F1430">
        <v>806.2</v>
      </c>
      <c r="G1430">
        <v>199.7</v>
      </c>
      <c r="H1430" s="80">
        <v>34453.550000000003</v>
      </c>
      <c r="I1430" s="80">
        <v>33615.71</v>
      </c>
      <c r="J1430">
        <v>79.180000000000007</v>
      </c>
      <c r="K1430" s="80">
        <v>14171.96</v>
      </c>
      <c r="L1430">
        <f t="shared" si="220"/>
        <v>0</v>
      </c>
      <c r="M1430">
        <f t="shared" si="221"/>
        <v>0</v>
      </c>
      <c r="N1430">
        <f t="shared" si="222"/>
        <v>0</v>
      </c>
      <c r="O1430">
        <f t="shared" si="223"/>
        <v>0</v>
      </c>
      <c r="P1430">
        <f t="shared" si="224"/>
        <v>0</v>
      </c>
      <c r="Q1430">
        <f t="shared" si="225"/>
        <v>0</v>
      </c>
      <c r="R1430">
        <f t="shared" si="226"/>
        <v>0</v>
      </c>
      <c r="S1430">
        <f t="shared" si="227"/>
        <v>0</v>
      </c>
      <c r="T1430">
        <f t="shared" si="229"/>
        <v>0</v>
      </c>
      <c r="U1430">
        <f t="shared" si="228"/>
        <v>0</v>
      </c>
    </row>
    <row r="1431" spans="1:21" x14ac:dyDescent="0.25">
      <c r="A1431" s="2">
        <v>1430</v>
      </c>
      <c r="B1431" s="10" t="s">
        <v>619</v>
      </c>
      <c r="C1431" t="s">
        <v>188</v>
      </c>
      <c r="D1431">
        <v>27.49</v>
      </c>
      <c r="E1431" s="80">
        <v>121943.95</v>
      </c>
      <c r="F1431">
        <v>50.8</v>
      </c>
      <c r="G1431">
        <v>156.08000000000001</v>
      </c>
      <c r="H1431">
        <v>4180.37</v>
      </c>
      <c r="I1431" s="80">
        <v>14802.02</v>
      </c>
      <c r="J1431">
        <v>89.81</v>
      </c>
      <c r="K1431" s="80">
        <v>11460.3</v>
      </c>
      <c r="L1431">
        <f t="shared" si="220"/>
        <v>0</v>
      </c>
      <c r="M1431">
        <f t="shared" si="221"/>
        <v>0</v>
      </c>
      <c r="N1431">
        <f t="shared" si="222"/>
        <v>0</v>
      </c>
      <c r="O1431">
        <f t="shared" si="223"/>
        <v>0</v>
      </c>
      <c r="P1431">
        <f t="shared" si="224"/>
        <v>0</v>
      </c>
      <c r="Q1431">
        <f t="shared" si="225"/>
        <v>0</v>
      </c>
      <c r="R1431">
        <f t="shared" si="226"/>
        <v>0</v>
      </c>
      <c r="S1431">
        <f t="shared" si="227"/>
        <v>0</v>
      </c>
      <c r="T1431">
        <f t="shared" si="229"/>
        <v>0</v>
      </c>
      <c r="U1431">
        <f t="shared" si="228"/>
        <v>0</v>
      </c>
    </row>
    <row r="1432" spans="1:21" x14ac:dyDescent="0.25">
      <c r="A1432" s="2">
        <v>1431</v>
      </c>
      <c r="B1432" s="10" t="s">
        <v>619</v>
      </c>
      <c r="C1432" t="s">
        <v>182</v>
      </c>
      <c r="D1432" t="s">
        <v>583</v>
      </c>
      <c r="E1432">
        <v>962.82</v>
      </c>
      <c r="F1432">
        <v>0.18</v>
      </c>
      <c r="G1432" s="80">
        <v>17.29</v>
      </c>
      <c r="H1432" s="80">
        <v>7.0000000000000007E-2</v>
      </c>
      <c r="I1432" s="80">
        <v>0.15</v>
      </c>
      <c r="J1432">
        <v>5.5</v>
      </c>
      <c r="K1432" s="80">
        <v>0.01</v>
      </c>
      <c r="L1432">
        <f t="shared" si="220"/>
        <v>0</v>
      </c>
      <c r="M1432">
        <f t="shared" si="221"/>
        <v>0</v>
      </c>
      <c r="N1432">
        <f t="shared" si="222"/>
        <v>0</v>
      </c>
      <c r="O1432">
        <f t="shared" si="223"/>
        <v>0</v>
      </c>
      <c r="P1432">
        <f t="shared" si="224"/>
        <v>0</v>
      </c>
      <c r="Q1432">
        <f t="shared" si="225"/>
        <v>0</v>
      </c>
      <c r="R1432">
        <f t="shared" si="226"/>
        <v>0</v>
      </c>
      <c r="S1432">
        <f t="shared" si="227"/>
        <v>0</v>
      </c>
      <c r="T1432">
        <f t="shared" si="229"/>
        <v>0</v>
      </c>
      <c r="U1432">
        <f t="shared" si="228"/>
        <v>0</v>
      </c>
    </row>
    <row r="1433" spans="1:21" x14ac:dyDescent="0.25">
      <c r="A1433" s="2">
        <v>1432</v>
      </c>
      <c r="B1433" s="10" t="s">
        <v>619</v>
      </c>
      <c r="C1433" t="s">
        <v>184</v>
      </c>
      <c r="D1433">
        <v>10.1</v>
      </c>
      <c r="E1433">
        <v>10081.1</v>
      </c>
      <c r="F1433">
        <v>37.130000000000003</v>
      </c>
      <c r="G1433">
        <v>66.55</v>
      </c>
      <c r="H1433">
        <v>2638.74</v>
      </c>
      <c r="I1433" s="80">
        <v>18376.759999999998</v>
      </c>
      <c r="J1433">
        <v>27.04</v>
      </c>
      <c r="K1433">
        <v>323.86</v>
      </c>
      <c r="L1433">
        <f t="shared" si="220"/>
        <v>0</v>
      </c>
      <c r="M1433">
        <f t="shared" si="221"/>
        <v>0</v>
      </c>
      <c r="N1433">
        <f t="shared" si="222"/>
        <v>0</v>
      </c>
      <c r="O1433">
        <f t="shared" si="223"/>
        <v>0</v>
      </c>
      <c r="P1433">
        <f t="shared" si="224"/>
        <v>0</v>
      </c>
      <c r="Q1433">
        <f t="shared" si="225"/>
        <v>0</v>
      </c>
      <c r="R1433">
        <f t="shared" si="226"/>
        <v>0</v>
      </c>
      <c r="S1433">
        <f t="shared" si="227"/>
        <v>0</v>
      </c>
      <c r="T1433">
        <f t="shared" si="229"/>
        <v>0</v>
      </c>
      <c r="U1433">
        <f t="shared" si="228"/>
        <v>0</v>
      </c>
    </row>
    <row r="1434" spans="1:21" x14ac:dyDescent="0.25">
      <c r="A1434" s="2">
        <v>1433</v>
      </c>
      <c r="B1434" s="10" t="s">
        <v>619</v>
      </c>
      <c r="C1434" t="s">
        <v>187</v>
      </c>
      <c r="D1434">
        <v>24.37</v>
      </c>
      <c r="E1434">
        <v>17732.560000000001</v>
      </c>
      <c r="F1434">
        <v>222.4</v>
      </c>
      <c r="G1434">
        <v>90.12</v>
      </c>
      <c r="H1434">
        <v>11246.89</v>
      </c>
      <c r="I1434" s="80">
        <v>22222.34</v>
      </c>
      <c r="J1434">
        <v>58.76</v>
      </c>
      <c r="K1434">
        <v>3695.98</v>
      </c>
      <c r="L1434">
        <f t="shared" si="220"/>
        <v>0</v>
      </c>
      <c r="M1434">
        <f t="shared" si="221"/>
        <v>0</v>
      </c>
      <c r="N1434">
        <f t="shared" si="222"/>
        <v>0</v>
      </c>
      <c r="O1434">
        <f t="shared" si="223"/>
        <v>0</v>
      </c>
      <c r="P1434">
        <f t="shared" si="224"/>
        <v>0</v>
      </c>
      <c r="Q1434">
        <f t="shared" si="225"/>
        <v>0</v>
      </c>
      <c r="R1434">
        <f t="shared" si="226"/>
        <v>0</v>
      </c>
      <c r="S1434">
        <f t="shared" si="227"/>
        <v>0</v>
      </c>
      <c r="T1434">
        <f t="shared" si="229"/>
        <v>0</v>
      </c>
      <c r="U1434">
        <f t="shared" si="228"/>
        <v>0</v>
      </c>
    </row>
    <row r="1435" spans="1:21" x14ac:dyDescent="0.25">
      <c r="A1435" s="2">
        <v>1434</v>
      </c>
      <c r="B1435" s="10" t="s">
        <v>619</v>
      </c>
      <c r="C1435" t="s">
        <v>189</v>
      </c>
      <c r="D1435">
        <v>16.45</v>
      </c>
      <c r="E1435">
        <v>12325.81</v>
      </c>
      <c r="F1435">
        <v>43.54</v>
      </c>
      <c r="G1435">
        <v>78.11</v>
      </c>
      <c r="H1435">
        <v>3963.88</v>
      </c>
      <c r="I1435" s="80">
        <v>10863.26</v>
      </c>
      <c r="J1435">
        <v>38.369999999999997</v>
      </c>
      <c r="K1435">
        <v>4134.49</v>
      </c>
      <c r="L1435">
        <f t="shared" si="220"/>
        <v>0</v>
      </c>
      <c r="M1435">
        <f t="shared" si="221"/>
        <v>0</v>
      </c>
      <c r="N1435">
        <f t="shared" si="222"/>
        <v>0</v>
      </c>
      <c r="O1435">
        <f t="shared" si="223"/>
        <v>0</v>
      </c>
      <c r="P1435">
        <f t="shared" si="224"/>
        <v>0</v>
      </c>
      <c r="Q1435">
        <f t="shared" si="225"/>
        <v>0</v>
      </c>
      <c r="R1435">
        <f t="shared" si="226"/>
        <v>0</v>
      </c>
      <c r="S1435">
        <f t="shared" si="227"/>
        <v>0</v>
      </c>
      <c r="T1435">
        <f t="shared" si="229"/>
        <v>0</v>
      </c>
      <c r="U1435">
        <f t="shared" si="228"/>
        <v>0</v>
      </c>
    </row>
    <row r="1436" spans="1:21" x14ac:dyDescent="0.25">
      <c r="A1436" s="2">
        <v>1435</v>
      </c>
      <c r="B1436" s="10" t="s">
        <v>620</v>
      </c>
      <c r="C1436" s="43" t="s">
        <v>162</v>
      </c>
      <c r="D1436">
        <v>13.65</v>
      </c>
      <c r="E1436" s="80">
        <v>56935.61</v>
      </c>
      <c r="F1436">
        <v>0.62</v>
      </c>
      <c r="G1436">
        <v>149.09</v>
      </c>
      <c r="H1436">
        <v>2.4300000000000002</v>
      </c>
      <c r="I1436">
        <v>3.1</v>
      </c>
      <c r="J1436">
        <v>31.98</v>
      </c>
      <c r="K1436">
        <v>5.2</v>
      </c>
      <c r="L1436">
        <f t="shared" si="220"/>
        <v>0</v>
      </c>
      <c r="M1436">
        <f t="shared" si="221"/>
        <v>0</v>
      </c>
      <c r="N1436">
        <f t="shared" si="222"/>
        <v>0</v>
      </c>
      <c r="O1436">
        <f t="shared" si="223"/>
        <v>0</v>
      </c>
      <c r="P1436">
        <f t="shared" si="224"/>
        <v>0</v>
      </c>
      <c r="Q1436">
        <f t="shared" si="225"/>
        <v>0</v>
      </c>
      <c r="R1436">
        <f t="shared" si="226"/>
        <v>0</v>
      </c>
      <c r="S1436">
        <f t="shared" si="227"/>
        <v>0</v>
      </c>
      <c r="T1436">
        <f t="shared" si="229"/>
        <v>0</v>
      </c>
      <c r="U1436">
        <f t="shared" si="228"/>
        <v>0</v>
      </c>
    </row>
    <row r="1437" spans="1:21" x14ac:dyDescent="0.25">
      <c r="A1437" s="2">
        <v>1436</v>
      </c>
      <c r="B1437" s="10" t="s">
        <v>620</v>
      </c>
      <c r="C1437" s="43" t="s">
        <v>170</v>
      </c>
      <c r="D1437">
        <v>28.54</v>
      </c>
      <c r="E1437" s="80">
        <v>37082.239999999998</v>
      </c>
      <c r="F1437">
        <v>327.02</v>
      </c>
      <c r="G1437">
        <v>142.16999999999999</v>
      </c>
      <c r="H1437">
        <v>1838.1</v>
      </c>
      <c r="I1437" s="80">
        <v>15386.76</v>
      </c>
      <c r="J1437">
        <v>37.07</v>
      </c>
      <c r="K1437">
        <v>622.23</v>
      </c>
      <c r="L1437">
        <f t="shared" si="220"/>
        <v>0</v>
      </c>
      <c r="M1437">
        <f t="shared" si="221"/>
        <v>0</v>
      </c>
      <c r="N1437">
        <f t="shared" si="222"/>
        <v>0</v>
      </c>
      <c r="O1437">
        <f t="shared" si="223"/>
        <v>0</v>
      </c>
      <c r="P1437">
        <f t="shared" si="224"/>
        <v>0</v>
      </c>
      <c r="Q1437">
        <f t="shared" si="225"/>
        <v>0</v>
      </c>
      <c r="R1437">
        <f t="shared" si="226"/>
        <v>0</v>
      </c>
      <c r="S1437">
        <f t="shared" si="227"/>
        <v>0</v>
      </c>
      <c r="T1437">
        <f t="shared" si="229"/>
        <v>0</v>
      </c>
      <c r="U1437">
        <f t="shared" si="228"/>
        <v>0</v>
      </c>
    </row>
    <row r="1438" spans="1:21" x14ac:dyDescent="0.25">
      <c r="A1438" s="2">
        <v>1437</v>
      </c>
      <c r="B1438" s="10" t="s">
        <v>620</v>
      </c>
      <c r="C1438" s="43" t="s">
        <v>178</v>
      </c>
      <c r="D1438">
        <v>48.81</v>
      </c>
      <c r="E1438" s="80">
        <v>35338</v>
      </c>
      <c r="F1438">
        <v>1603.79</v>
      </c>
      <c r="G1438">
        <v>121.95</v>
      </c>
      <c r="H1438">
        <v>9569.81</v>
      </c>
      <c r="I1438" s="80">
        <v>21319.51</v>
      </c>
      <c r="J1438">
        <v>42.31</v>
      </c>
      <c r="K1438">
        <v>1403.93</v>
      </c>
      <c r="L1438">
        <f t="shared" si="220"/>
        <v>0</v>
      </c>
      <c r="M1438">
        <f t="shared" si="221"/>
        <v>0</v>
      </c>
      <c r="N1438">
        <f t="shared" si="222"/>
        <v>0</v>
      </c>
      <c r="O1438">
        <f t="shared" si="223"/>
        <v>0</v>
      </c>
      <c r="P1438">
        <f t="shared" si="224"/>
        <v>0</v>
      </c>
      <c r="Q1438">
        <f t="shared" si="225"/>
        <v>0</v>
      </c>
      <c r="R1438">
        <f t="shared" si="226"/>
        <v>0</v>
      </c>
      <c r="S1438">
        <f t="shared" si="227"/>
        <v>0</v>
      </c>
      <c r="T1438">
        <f t="shared" si="229"/>
        <v>0</v>
      </c>
      <c r="U1438">
        <f t="shared" si="228"/>
        <v>0</v>
      </c>
    </row>
    <row r="1439" spans="1:21" x14ac:dyDescent="0.25">
      <c r="A1439" s="2">
        <v>1438</v>
      </c>
      <c r="B1439" s="10" t="s">
        <v>620</v>
      </c>
      <c r="C1439" s="43" t="s">
        <v>163</v>
      </c>
      <c r="D1439">
        <v>748.47</v>
      </c>
      <c r="E1439" s="80">
        <v>32633.39</v>
      </c>
      <c r="F1439">
        <v>495.61</v>
      </c>
      <c r="G1439">
        <v>238.06</v>
      </c>
      <c r="H1439" s="80">
        <v>19743.36</v>
      </c>
      <c r="I1439" s="80">
        <v>16535.599999999999</v>
      </c>
      <c r="J1439">
        <v>83.7</v>
      </c>
      <c r="K1439" s="80">
        <v>16251.04</v>
      </c>
      <c r="L1439">
        <f t="shared" si="220"/>
        <v>0</v>
      </c>
      <c r="M1439">
        <f t="shared" si="221"/>
        <v>0</v>
      </c>
      <c r="N1439">
        <f t="shared" si="222"/>
        <v>0</v>
      </c>
      <c r="O1439">
        <f t="shared" si="223"/>
        <v>0</v>
      </c>
      <c r="P1439">
        <f t="shared" si="224"/>
        <v>0</v>
      </c>
      <c r="Q1439">
        <f t="shared" si="225"/>
        <v>0</v>
      </c>
      <c r="R1439">
        <f t="shared" si="226"/>
        <v>0</v>
      </c>
      <c r="S1439">
        <f t="shared" si="227"/>
        <v>0</v>
      </c>
      <c r="T1439">
        <f t="shared" si="229"/>
        <v>0</v>
      </c>
      <c r="U1439">
        <f t="shared" si="228"/>
        <v>0</v>
      </c>
    </row>
    <row r="1440" spans="1:21" x14ac:dyDescent="0.25">
      <c r="A1440" s="2">
        <v>1439</v>
      </c>
      <c r="B1440" s="10" t="s">
        <v>620</v>
      </c>
      <c r="C1440" s="43" t="s">
        <v>181</v>
      </c>
      <c r="D1440">
        <v>18.37</v>
      </c>
      <c r="E1440" s="80">
        <v>62853.99</v>
      </c>
      <c r="F1440">
        <v>0.65</v>
      </c>
      <c r="G1440">
        <v>78.11</v>
      </c>
      <c r="H1440">
        <v>7.31</v>
      </c>
      <c r="I1440">
        <v>10.64</v>
      </c>
      <c r="J1440">
        <v>31.98</v>
      </c>
      <c r="K1440">
        <v>11.34</v>
      </c>
      <c r="L1440">
        <f t="shared" si="220"/>
        <v>0</v>
      </c>
      <c r="M1440">
        <f t="shared" si="221"/>
        <v>0</v>
      </c>
      <c r="N1440">
        <f t="shared" si="222"/>
        <v>0</v>
      </c>
      <c r="O1440">
        <f t="shared" si="223"/>
        <v>0</v>
      </c>
      <c r="P1440">
        <f t="shared" si="224"/>
        <v>0</v>
      </c>
      <c r="Q1440">
        <f t="shared" si="225"/>
        <v>0</v>
      </c>
      <c r="R1440">
        <f t="shared" si="226"/>
        <v>0</v>
      </c>
      <c r="S1440">
        <f t="shared" si="227"/>
        <v>0</v>
      </c>
      <c r="T1440">
        <f t="shared" si="229"/>
        <v>0</v>
      </c>
      <c r="U1440">
        <f t="shared" si="228"/>
        <v>0</v>
      </c>
    </row>
    <row r="1441" spans="1:21" x14ac:dyDescent="0.25">
      <c r="A1441" s="2">
        <v>1440</v>
      </c>
      <c r="B1441" s="10" t="s">
        <v>620</v>
      </c>
      <c r="C1441" s="43" t="s">
        <v>183</v>
      </c>
      <c r="D1441">
        <v>24.37</v>
      </c>
      <c r="E1441" s="80">
        <v>48623.41</v>
      </c>
      <c r="F1441">
        <v>884.52</v>
      </c>
      <c r="G1441">
        <v>156.08000000000001</v>
      </c>
      <c r="H1441">
        <v>2131.87</v>
      </c>
      <c r="I1441" s="80">
        <v>23414.080000000002</v>
      </c>
      <c r="J1441">
        <v>53.16</v>
      </c>
      <c r="K1441">
        <v>2960.67</v>
      </c>
      <c r="L1441">
        <f t="shared" si="220"/>
        <v>0</v>
      </c>
      <c r="M1441">
        <f t="shared" si="221"/>
        <v>0</v>
      </c>
      <c r="N1441">
        <f t="shared" si="222"/>
        <v>0</v>
      </c>
      <c r="O1441">
        <f t="shared" si="223"/>
        <v>0</v>
      </c>
      <c r="P1441">
        <f t="shared" si="224"/>
        <v>0</v>
      </c>
      <c r="Q1441">
        <f t="shared" si="225"/>
        <v>0</v>
      </c>
      <c r="R1441">
        <f t="shared" si="226"/>
        <v>0</v>
      </c>
      <c r="S1441">
        <f t="shared" si="227"/>
        <v>0</v>
      </c>
      <c r="T1441">
        <f t="shared" si="229"/>
        <v>0</v>
      </c>
      <c r="U1441">
        <f t="shared" si="228"/>
        <v>0</v>
      </c>
    </row>
    <row r="1442" spans="1:21" x14ac:dyDescent="0.25">
      <c r="A1442" s="2">
        <v>1441</v>
      </c>
      <c r="B1442" s="10" t="s">
        <v>620</v>
      </c>
      <c r="C1442" s="43" t="s">
        <v>186</v>
      </c>
      <c r="D1442">
        <v>30.68</v>
      </c>
      <c r="E1442" s="80">
        <v>51691.8</v>
      </c>
      <c r="F1442">
        <v>2549.0500000000002</v>
      </c>
      <c r="G1442">
        <v>222.51</v>
      </c>
      <c r="H1442" s="80">
        <v>17370.95</v>
      </c>
      <c r="I1442" s="80">
        <v>30790.54</v>
      </c>
      <c r="J1442">
        <v>85.22</v>
      </c>
      <c r="K1442">
        <v>6571.6</v>
      </c>
      <c r="L1442">
        <f t="shared" si="220"/>
        <v>0</v>
      </c>
      <c r="M1442">
        <f t="shared" si="221"/>
        <v>0</v>
      </c>
      <c r="N1442">
        <f t="shared" si="222"/>
        <v>0</v>
      </c>
      <c r="O1442">
        <f t="shared" si="223"/>
        <v>0</v>
      </c>
      <c r="P1442">
        <f t="shared" si="224"/>
        <v>0</v>
      </c>
      <c r="Q1442">
        <f t="shared" si="225"/>
        <v>0</v>
      </c>
      <c r="R1442">
        <f t="shared" si="226"/>
        <v>0</v>
      </c>
      <c r="S1442">
        <f t="shared" si="227"/>
        <v>0</v>
      </c>
      <c r="T1442">
        <f t="shared" si="229"/>
        <v>0</v>
      </c>
      <c r="U1442">
        <f t="shared" si="228"/>
        <v>0</v>
      </c>
    </row>
    <row r="1443" spans="1:21" x14ac:dyDescent="0.25">
      <c r="A1443" s="2">
        <v>1442</v>
      </c>
      <c r="B1443" s="10" t="s">
        <v>620</v>
      </c>
      <c r="C1443" s="43" t="s">
        <v>188</v>
      </c>
      <c r="D1443">
        <v>20.329999999999998</v>
      </c>
      <c r="E1443" s="80">
        <v>66265.16</v>
      </c>
      <c r="F1443">
        <v>152.87</v>
      </c>
      <c r="G1443">
        <v>128.61000000000001</v>
      </c>
      <c r="H1443">
        <v>826.66</v>
      </c>
      <c r="I1443" s="80">
        <v>11729.11</v>
      </c>
      <c r="J1443">
        <v>67.36</v>
      </c>
      <c r="K1443">
        <v>7200.05</v>
      </c>
      <c r="L1443">
        <f t="shared" si="220"/>
        <v>0</v>
      </c>
      <c r="M1443">
        <f t="shared" si="221"/>
        <v>0</v>
      </c>
      <c r="N1443">
        <f t="shared" si="222"/>
        <v>0</v>
      </c>
      <c r="O1443">
        <f t="shared" si="223"/>
        <v>0</v>
      </c>
      <c r="P1443">
        <f t="shared" si="224"/>
        <v>0</v>
      </c>
      <c r="Q1443">
        <f t="shared" si="225"/>
        <v>0</v>
      </c>
      <c r="R1443">
        <f t="shared" si="226"/>
        <v>0</v>
      </c>
      <c r="S1443">
        <f t="shared" si="227"/>
        <v>0</v>
      </c>
      <c r="T1443">
        <f t="shared" si="229"/>
        <v>0</v>
      </c>
      <c r="U1443">
        <f t="shared" si="228"/>
        <v>0</v>
      </c>
    </row>
    <row r="1444" spans="1:21" x14ac:dyDescent="0.25">
      <c r="A1444" s="2">
        <v>1443</v>
      </c>
      <c r="B1444" s="10" t="s">
        <v>620</v>
      </c>
      <c r="C1444" s="43" t="s">
        <v>182</v>
      </c>
      <c r="D1444" t="s">
        <v>583</v>
      </c>
      <c r="E1444">
        <v>821.91</v>
      </c>
      <c r="F1444" s="80">
        <v>0.03</v>
      </c>
      <c r="G1444" s="80">
        <v>17.29</v>
      </c>
      <c r="H1444">
        <v>1.57</v>
      </c>
      <c r="I1444">
        <v>3.2</v>
      </c>
      <c r="J1444">
        <v>7.33</v>
      </c>
      <c r="K1444">
        <v>0.4</v>
      </c>
      <c r="L1444">
        <f t="shared" si="220"/>
        <v>0</v>
      </c>
      <c r="M1444">
        <f t="shared" si="221"/>
        <v>0</v>
      </c>
      <c r="N1444">
        <f t="shared" si="222"/>
        <v>0</v>
      </c>
      <c r="O1444">
        <f t="shared" si="223"/>
        <v>0</v>
      </c>
      <c r="P1444">
        <f t="shared" si="224"/>
        <v>0</v>
      </c>
      <c r="Q1444">
        <f t="shared" si="225"/>
        <v>0</v>
      </c>
      <c r="R1444">
        <f t="shared" si="226"/>
        <v>0</v>
      </c>
      <c r="S1444">
        <f t="shared" si="227"/>
        <v>0</v>
      </c>
      <c r="T1444">
        <f t="shared" si="229"/>
        <v>0</v>
      </c>
      <c r="U1444">
        <f t="shared" si="228"/>
        <v>0</v>
      </c>
    </row>
    <row r="1445" spans="1:21" x14ac:dyDescent="0.25">
      <c r="A1445" s="2">
        <v>1444</v>
      </c>
      <c r="B1445" s="10" t="s">
        <v>620</v>
      </c>
      <c r="C1445" s="43" t="s">
        <v>184</v>
      </c>
      <c r="D1445">
        <v>4.5</v>
      </c>
      <c r="E1445">
        <v>10096.08</v>
      </c>
      <c r="F1445">
        <v>191.57</v>
      </c>
      <c r="G1445">
        <v>35.03</v>
      </c>
      <c r="H1445">
        <v>4873.8599999999997</v>
      </c>
      <c r="I1445" s="80">
        <v>18468.37</v>
      </c>
      <c r="J1445">
        <v>19.96</v>
      </c>
      <c r="K1445">
        <v>1310.06</v>
      </c>
      <c r="L1445">
        <f t="shared" si="220"/>
        <v>0</v>
      </c>
      <c r="M1445">
        <f t="shared" si="221"/>
        <v>0</v>
      </c>
      <c r="N1445">
        <f t="shared" si="222"/>
        <v>0</v>
      </c>
      <c r="O1445">
        <f t="shared" si="223"/>
        <v>0</v>
      </c>
      <c r="P1445">
        <f t="shared" si="224"/>
        <v>0</v>
      </c>
      <c r="Q1445">
        <f t="shared" si="225"/>
        <v>0</v>
      </c>
      <c r="R1445">
        <f t="shared" si="226"/>
        <v>0</v>
      </c>
      <c r="S1445">
        <f t="shared" si="227"/>
        <v>0</v>
      </c>
      <c r="T1445">
        <f t="shared" si="229"/>
        <v>0</v>
      </c>
      <c r="U1445">
        <f t="shared" si="228"/>
        <v>0</v>
      </c>
    </row>
    <row r="1446" spans="1:21" x14ac:dyDescent="0.25">
      <c r="A1446" s="2">
        <v>1445</v>
      </c>
      <c r="B1446" s="10" t="s">
        <v>620</v>
      </c>
      <c r="C1446" s="43" t="s">
        <v>187</v>
      </c>
      <c r="D1446">
        <v>81.430000000000007</v>
      </c>
      <c r="E1446">
        <v>9902.36</v>
      </c>
      <c r="F1446">
        <v>62.41</v>
      </c>
      <c r="G1446">
        <v>96.29</v>
      </c>
      <c r="H1446">
        <v>14866.96</v>
      </c>
      <c r="I1446" s="80">
        <v>16952.75</v>
      </c>
      <c r="J1446">
        <v>42.31</v>
      </c>
      <c r="K1446">
        <v>3252.23</v>
      </c>
      <c r="L1446">
        <f t="shared" si="220"/>
        <v>0</v>
      </c>
      <c r="M1446">
        <f t="shared" si="221"/>
        <v>0</v>
      </c>
      <c r="N1446">
        <f t="shared" si="222"/>
        <v>0</v>
      </c>
      <c r="O1446">
        <f t="shared" si="223"/>
        <v>0</v>
      </c>
      <c r="P1446">
        <f t="shared" si="224"/>
        <v>0</v>
      </c>
      <c r="Q1446">
        <f t="shared" si="225"/>
        <v>0</v>
      </c>
      <c r="R1446">
        <f t="shared" si="226"/>
        <v>0</v>
      </c>
      <c r="S1446">
        <f t="shared" si="227"/>
        <v>0</v>
      </c>
      <c r="T1446">
        <f t="shared" si="229"/>
        <v>0</v>
      </c>
      <c r="U1446">
        <f t="shared" si="228"/>
        <v>0</v>
      </c>
    </row>
    <row r="1447" spans="1:21" x14ac:dyDescent="0.25">
      <c r="A1447" s="2">
        <v>1446</v>
      </c>
      <c r="B1447" s="10" t="s">
        <v>620</v>
      </c>
      <c r="C1447" s="43" t="s">
        <v>189</v>
      </c>
      <c r="D1447">
        <v>134.47999999999999</v>
      </c>
      <c r="E1447">
        <v>3818.64</v>
      </c>
      <c r="F1447">
        <v>1.5</v>
      </c>
      <c r="G1447">
        <v>90.12</v>
      </c>
      <c r="H1447">
        <v>8311.2000000000007</v>
      </c>
      <c r="I1447" s="80">
        <v>6161.2</v>
      </c>
      <c r="J1447">
        <v>31.98</v>
      </c>
      <c r="K1447">
        <v>5097.8500000000004</v>
      </c>
      <c r="L1447">
        <f t="shared" si="220"/>
        <v>0</v>
      </c>
      <c r="M1447">
        <f t="shared" si="221"/>
        <v>0</v>
      </c>
      <c r="N1447">
        <f t="shared" si="222"/>
        <v>0</v>
      </c>
      <c r="O1447">
        <f t="shared" si="223"/>
        <v>0</v>
      </c>
      <c r="P1447">
        <f t="shared" si="224"/>
        <v>0</v>
      </c>
      <c r="Q1447">
        <f t="shared" si="225"/>
        <v>0</v>
      </c>
      <c r="R1447">
        <f t="shared" si="226"/>
        <v>0</v>
      </c>
      <c r="S1447">
        <f t="shared" si="227"/>
        <v>0</v>
      </c>
      <c r="T1447">
        <f t="shared" si="229"/>
        <v>0</v>
      </c>
      <c r="U1447">
        <f t="shared" si="228"/>
        <v>0</v>
      </c>
    </row>
    <row r="1448" spans="1:21" x14ac:dyDescent="0.25">
      <c r="A1448" s="2">
        <v>1447</v>
      </c>
      <c r="B1448" s="10">
        <v>1060</v>
      </c>
      <c r="C1448" s="43" t="s">
        <v>162</v>
      </c>
      <c r="D1448">
        <v>14.57</v>
      </c>
      <c r="E1448" s="80">
        <v>47801.78</v>
      </c>
      <c r="F1448">
        <v>0.82</v>
      </c>
      <c r="G1448">
        <v>55.49</v>
      </c>
      <c r="H1448">
        <v>3.32</v>
      </c>
      <c r="I1448">
        <v>22.99</v>
      </c>
      <c r="J1448">
        <v>29.49</v>
      </c>
      <c r="K1448">
        <v>6.99</v>
      </c>
      <c r="L1448">
        <f t="shared" si="220"/>
        <v>0</v>
      </c>
      <c r="M1448">
        <f t="shared" si="221"/>
        <v>0</v>
      </c>
      <c r="N1448">
        <f t="shared" si="222"/>
        <v>0</v>
      </c>
      <c r="O1448">
        <f t="shared" si="223"/>
        <v>0</v>
      </c>
      <c r="P1448">
        <f t="shared" si="224"/>
        <v>0</v>
      </c>
      <c r="Q1448">
        <f t="shared" si="225"/>
        <v>0</v>
      </c>
      <c r="R1448">
        <f t="shared" si="226"/>
        <v>0</v>
      </c>
      <c r="S1448">
        <f t="shared" si="227"/>
        <v>0</v>
      </c>
      <c r="T1448">
        <f t="shared" si="229"/>
        <v>0</v>
      </c>
      <c r="U1448">
        <f t="shared" si="228"/>
        <v>0</v>
      </c>
    </row>
    <row r="1449" spans="1:21" x14ac:dyDescent="0.25">
      <c r="A1449" s="2">
        <v>1448</v>
      </c>
      <c r="B1449" s="10">
        <v>1060</v>
      </c>
      <c r="C1449" s="43" t="s">
        <v>170</v>
      </c>
      <c r="D1449">
        <v>20.329999999999998</v>
      </c>
      <c r="E1449" s="80">
        <v>35376.75</v>
      </c>
      <c r="F1449">
        <v>246.73</v>
      </c>
      <c r="G1449">
        <v>102.56</v>
      </c>
      <c r="H1449">
        <v>2780.33</v>
      </c>
      <c r="I1449" s="80">
        <v>24787.43</v>
      </c>
      <c r="J1449">
        <v>44.97</v>
      </c>
      <c r="K1449">
        <v>866</v>
      </c>
      <c r="L1449">
        <f t="shared" si="220"/>
        <v>0</v>
      </c>
      <c r="M1449">
        <f t="shared" si="221"/>
        <v>0</v>
      </c>
      <c r="N1449">
        <f t="shared" si="222"/>
        <v>0</v>
      </c>
      <c r="O1449">
        <f t="shared" si="223"/>
        <v>0</v>
      </c>
      <c r="P1449">
        <f t="shared" si="224"/>
        <v>0</v>
      </c>
      <c r="Q1449">
        <f t="shared" si="225"/>
        <v>0</v>
      </c>
      <c r="R1449">
        <f t="shared" si="226"/>
        <v>0</v>
      </c>
      <c r="S1449">
        <f t="shared" si="227"/>
        <v>0</v>
      </c>
      <c r="T1449">
        <f t="shared" si="229"/>
        <v>0</v>
      </c>
      <c r="U1449">
        <f t="shared" si="228"/>
        <v>0</v>
      </c>
    </row>
    <row r="1450" spans="1:21" x14ac:dyDescent="0.25">
      <c r="A1450" s="2">
        <v>1449</v>
      </c>
      <c r="B1450" s="10">
        <v>1060</v>
      </c>
      <c r="C1450" s="43" t="s">
        <v>178</v>
      </c>
      <c r="D1450">
        <v>28.54</v>
      </c>
      <c r="E1450" s="80">
        <v>52848.41</v>
      </c>
      <c r="F1450">
        <v>942.09</v>
      </c>
      <c r="G1450">
        <v>177.55</v>
      </c>
      <c r="H1450">
        <v>11923.46</v>
      </c>
      <c r="I1450" s="80">
        <v>31386.55</v>
      </c>
      <c r="J1450">
        <v>55.95</v>
      </c>
      <c r="K1450">
        <v>1604.64</v>
      </c>
      <c r="L1450">
        <f t="shared" si="220"/>
        <v>0</v>
      </c>
      <c r="M1450">
        <f t="shared" si="221"/>
        <v>0</v>
      </c>
      <c r="N1450">
        <f t="shared" si="222"/>
        <v>0</v>
      </c>
      <c r="O1450">
        <f t="shared" si="223"/>
        <v>0</v>
      </c>
      <c r="P1450">
        <f t="shared" si="224"/>
        <v>0</v>
      </c>
      <c r="Q1450">
        <f t="shared" si="225"/>
        <v>0</v>
      </c>
      <c r="R1450">
        <f t="shared" si="226"/>
        <v>0</v>
      </c>
      <c r="S1450">
        <f t="shared" si="227"/>
        <v>0</v>
      </c>
      <c r="T1450">
        <f t="shared" si="229"/>
        <v>0</v>
      </c>
      <c r="U1450">
        <f t="shared" si="228"/>
        <v>0</v>
      </c>
    </row>
    <row r="1451" spans="1:21" x14ac:dyDescent="0.25">
      <c r="A1451" s="2">
        <v>1450</v>
      </c>
      <c r="B1451" s="10">
        <v>1060</v>
      </c>
      <c r="C1451" s="43" t="s">
        <v>163</v>
      </c>
      <c r="D1451">
        <v>30.68</v>
      </c>
      <c r="E1451" s="80">
        <v>65476.43</v>
      </c>
      <c r="F1451">
        <v>496.32</v>
      </c>
      <c r="G1451">
        <v>199.7</v>
      </c>
      <c r="H1451">
        <v>5908.89</v>
      </c>
      <c r="I1451" s="80">
        <v>29727.41</v>
      </c>
      <c r="J1451">
        <v>85.22</v>
      </c>
      <c r="K1451" s="80">
        <v>8400.5400000000009</v>
      </c>
      <c r="L1451">
        <f t="shared" si="220"/>
        <v>0</v>
      </c>
      <c r="M1451">
        <f t="shared" si="221"/>
        <v>0</v>
      </c>
      <c r="N1451">
        <f t="shared" si="222"/>
        <v>0</v>
      </c>
      <c r="O1451">
        <f t="shared" si="223"/>
        <v>0</v>
      </c>
      <c r="P1451">
        <f t="shared" si="224"/>
        <v>0</v>
      </c>
      <c r="Q1451">
        <f t="shared" si="225"/>
        <v>0</v>
      </c>
      <c r="R1451">
        <f t="shared" si="226"/>
        <v>0</v>
      </c>
      <c r="S1451">
        <f t="shared" si="227"/>
        <v>0</v>
      </c>
      <c r="T1451">
        <f t="shared" si="229"/>
        <v>0</v>
      </c>
      <c r="U1451">
        <f t="shared" si="228"/>
        <v>0</v>
      </c>
    </row>
    <row r="1452" spans="1:21" x14ac:dyDescent="0.25">
      <c r="A1452" s="2">
        <v>1451</v>
      </c>
      <c r="B1452" s="10">
        <v>1060</v>
      </c>
      <c r="C1452" s="43" t="s">
        <v>181</v>
      </c>
      <c r="D1452">
        <v>22.33</v>
      </c>
      <c r="E1452" s="80">
        <v>132910.73000000001</v>
      </c>
      <c r="F1452">
        <v>1.21</v>
      </c>
      <c r="G1452">
        <v>102.56</v>
      </c>
      <c r="H1452">
        <v>40.909999999999997</v>
      </c>
      <c r="I1452" s="80">
        <v>4445.45</v>
      </c>
      <c r="J1452">
        <v>47.67</v>
      </c>
      <c r="K1452">
        <v>120.75</v>
      </c>
      <c r="L1452">
        <f t="shared" si="220"/>
        <v>0</v>
      </c>
      <c r="M1452">
        <f t="shared" si="221"/>
        <v>0</v>
      </c>
      <c r="N1452">
        <f t="shared" si="222"/>
        <v>0</v>
      </c>
      <c r="O1452">
        <f t="shared" si="223"/>
        <v>0</v>
      </c>
      <c r="P1452">
        <f t="shared" si="224"/>
        <v>0</v>
      </c>
      <c r="Q1452">
        <f t="shared" si="225"/>
        <v>0</v>
      </c>
      <c r="R1452">
        <f t="shared" si="226"/>
        <v>0</v>
      </c>
      <c r="S1452">
        <f t="shared" si="227"/>
        <v>0</v>
      </c>
      <c r="T1452">
        <f t="shared" si="229"/>
        <v>0</v>
      </c>
      <c r="U1452">
        <f t="shared" si="228"/>
        <v>0</v>
      </c>
    </row>
    <row r="1453" spans="1:21" x14ac:dyDescent="0.25">
      <c r="A1453" s="2">
        <v>1452</v>
      </c>
      <c r="B1453" s="10">
        <v>1060</v>
      </c>
      <c r="C1453" s="43" t="s">
        <v>183</v>
      </c>
      <c r="D1453">
        <v>28.54</v>
      </c>
      <c r="E1453" s="80">
        <v>121616.43</v>
      </c>
      <c r="F1453">
        <v>1195.25</v>
      </c>
      <c r="G1453">
        <v>214.84</v>
      </c>
      <c r="H1453">
        <v>6502.64</v>
      </c>
      <c r="I1453" s="80">
        <v>36810.410000000003</v>
      </c>
      <c r="J1453">
        <v>80.680000000000007</v>
      </c>
      <c r="K1453">
        <v>3586.25</v>
      </c>
      <c r="L1453">
        <f t="shared" si="220"/>
        <v>0</v>
      </c>
      <c r="M1453">
        <f t="shared" si="221"/>
        <v>0</v>
      </c>
      <c r="N1453">
        <f t="shared" si="222"/>
        <v>0</v>
      </c>
      <c r="O1453">
        <f t="shared" si="223"/>
        <v>0</v>
      </c>
      <c r="P1453">
        <f t="shared" si="224"/>
        <v>0</v>
      </c>
      <c r="Q1453">
        <f t="shared" si="225"/>
        <v>0</v>
      </c>
      <c r="R1453">
        <f t="shared" si="226"/>
        <v>0</v>
      </c>
      <c r="S1453">
        <f t="shared" si="227"/>
        <v>0</v>
      </c>
      <c r="T1453">
        <f t="shared" si="229"/>
        <v>0</v>
      </c>
      <c r="U1453">
        <f t="shared" si="228"/>
        <v>0</v>
      </c>
    </row>
    <row r="1454" spans="1:21" x14ac:dyDescent="0.25">
      <c r="A1454" s="2">
        <v>1453</v>
      </c>
      <c r="B1454" s="10">
        <v>1060</v>
      </c>
      <c r="C1454" s="43" t="s">
        <v>186</v>
      </c>
      <c r="D1454">
        <v>42.96</v>
      </c>
      <c r="E1454" s="80">
        <v>147835.10999999999</v>
      </c>
      <c r="F1454">
        <v>2801.18</v>
      </c>
      <c r="G1454">
        <v>311.2</v>
      </c>
      <c r="H1454" s="80">
        <v>23000.46</v>
      </c>
      <c r="I1454" s="80">
        <v>38295.75</v>
      </c>
      <c r="J1454">
        <v>99.13</v>
      </c>
      <c r="K1454">
        <v>5324.51</v>
      </c>
      <c r="L1454">
        <f t="shared" si="220"/>
        <v>0</v>
      </c>
      <c r="M1454">
        <f t="shared" si="221"/>
        <v>0</v>
      </c>
      <c r="N1454">
        <f t="shared" si="222"/>
        <v>0</v>
      </c>
      <c r="O1454">
        <f t="shared" si="223"/>
        <v>0</v>
      </c>
      <c r="P1454">
        <f t="shared" si="224"/>
        <v>0</v>
      </c>
      <c r="Q1454">
        <f t="shared" si="225"/>
        <v>0</v>
      </c>
      <c r="R1454">
        <f t="shared" si="226"/>
        <v>0</v>
      </c>
      <c r="S1454">
        <f t="shared" si="227"/>
        <v>0</v>
      </c>
      <c r="T1454">
        <f t="shared" si="229"/>
        <v>0</v>
      </c>
      <c r="U1454">
        <f t="shared" si="228"/>
        <v>0</v>
      </c>
    </row>
    <row r="1455" spans="1:21" x14ac:dyDescent="0.25">
      <c r="A1455" s="2">
        <v>1454</v>
      </c>
      <c r="B1455" s="10">
        <v>1060</v>
      </c>
      <c r="C1455" s="43" t="s">
        <v>188</v>
      </c>
      <c r="D1455">
        <v>30.68</v>
      </c>
      <c r="E1455" s="80">
        <v>97108.02</v>
      </c>
      <c r="F1455">
        <v>134.01</v>
      </c>
      <c r="G1455">
        <v>142.16999999999999</v>
      </c>
      <c r="H1455">
        <v>2994.02</v>
      </c>
      <c r="I1455" s="80">
        <v>30717.16</v>
      </c>
      <c r="J1455">
        <v>77.680000000000007</v>
      </c>
      <c r="K1455">
        <v>3953.72</v>
      </c>
      <c r="L1455">
        <f t="shared" si="220"/>
        <v>0</v>
      </c>
      <c r="M1455">
        <f t="shared" si="221"/>
        <v>0</v>
      </c>
      <c r="N1455">
        <f t="shared" si="222"/>
        <v>0</v>
      </c>
      <c r="O1455">
        <f t="shared" si="223"/>
        <v>0</v>
      </c>
      <c r="P1455">
        <f t="shared" si="224"/>
        <v>0</v>
      </c>
      <c r="Q1455">
        <f t="shared" si="225"/>
        <v>0</v>
      </c>
      <c r="R1455">
        <f t="shared" si="226"/>
        <v>0</v>
      </c>
      <c r="S1455">
        <f t="shared" si="227"/>
        <v>0</v>
      </c>
      <c r="T1455">
        <f t="shared" si="229"/>
        <v>0</v>
      </c>
      <c r="U1455">
        <f t="shared" si="228"/>
        <v>0</v>
      </c>
    </row>
    <row r="1456" spans="1:21" x14ac:dyDescent="0.25">
      <c r="A1456" s="2">
        <v>1455</v>
      </c>
      <c r="B1456" s="10">
        <v>1060</v>
      </c>
      <c r="C1456" s="43" t="s">
        <v>182</v>
      </c>
      <c r="D1456" t="s">
        <v>583</v>
      </c>
      <c r="E1456">
        <v>301.74</v>
      </c>
      <c r="F1456">
        <v>0.11</v>
      </c>
      <c r="G1456" s="80">
        <v>17.29</v>
      </c>
      <c r="H1456" t="s">
        <v>583</v>
      </c>
      <c r="I1456">
        <v>5.54</v>
      </c>
      <c r="J1456">
        <v>3.78</v>
      </c>
      <c r="K1456" s="80">
        <v>0.04</v>
      </c>
      <c r="L1456">
        <f t="shared" si="220"/>
        <v>0</v>
      </c>
      <c r="M1456">
        <f t="shared" si="221"/>
        <v>0</v>
      </c>
      <c r="N1456">
        <f t="shared" si="222"/>
        <v>0</v>
      </c>
      <c r="O1456">
        <f t="shared" si="223"/>
        <v>0</v>
      </c>
      <c r="P1456">
        <f t="shared" si="224"/>
        <v>0</v>
      </c>
      <c r="Q1456">
        <f t="shared" si="225"/>
        <v>0</v>
      </c>
      <c r="R1456">
        <f t="shared" si="226"/>
        <v>0</v>
      </c>
      <c r="S1456">
        <f t="shared" si="227"/>
        <v>0</v>
      </c>
      <c r="T1456">
        <f t="shared" si="229"/>
        <v>0</v>
      </c>
      <c r="U1456">
        <f t="shared" si="228"/>
        <v>0</v>
      </c>
    </row>
    <row r="1457" spans="1:21" ht="15.75" thickBot="1" x14ac:dyDescent="0.3">
      <c r="A1457" s="2">
        <v>1456</v>
      </c>
      <c r="B1457" s="10">
        <v>1060</v>
      </c>
      <c r="C1457" s="43" t="s">
        <v>184</v>
      </c>
      <c r="D1457">
        <v>6.01</v>
      </c>
      <c r="E1457">
        <v>13663.19</v>
      </c>
      <c r="F1457">
        <v>41.75</v>
      </c>
      <c r="G1457">
        <v>78.11</v>
      </c>
      <c r="H1457">
        <v>531.13</v>
      </c>
      <c r="I1457" s="80">
        <v>20645.86</v>
      </c>
      <c r="J1457">
        <v>24.64</v>
      </c>
      <c r="K1457">
        <v>309.89</v>
      </c>
      <c r="L1457">
        <f t="shared" si="220"/>
        <v>0</v>
      </c>
      <c r="M1457">
        <f t="shared" si="221"/>
        <v>0</v>
      </c>
      <c r="N1457">
        <f t="shared" si="222"/>
        <v>0</v>
      </c>
      <c r="O1457">
        <f t="shared" si="223"/>
        <v>0</v>
      </c>
      <c r="P1457">
        <f t="shared" si="224"/>
        <v>0</v>
      </c>
      <c r="Q1457">
        <f t="shared" si="225"/>
        <v>0</v>
      </c>
      <c r="R1457">
        <f t="shared" si="226"/>
        <v>0</v>
      </c>
      <c r="S1457">
        <f t="shared" si="227"/>
        <v>0</v>
      </c>
      <c r="T1457">
        <f t="shared" si="229"/>
        <v>0</v>
      </c>
      <c r="U1457">
        <f t="shared" si="228"/>
        <v>0</v>
      </c>
    </row>
    <row r="1458" spans="1:21" x14ac:dyDescent="0.25">
      <c r="A1458" s="2">
        <v>1457</v>
      </c>
      <c r="B1458" s="10">
        <v>1060</v>
      </c>
      <c r="C1458" s="33" t="s">
        <v>187</v>
      </c>
      <c r="D1458">
        <v>15.51</v>
      </c>
      <c r="E1458">
        <v>23827.279999999999</v>
      </c>
      <c r="F1458">
        <v>251.44</v>
      </c>
      <c r="G1458">
        <v>142.16999999999999</v>
      </c>
      <c r="H1458">
        <v>4495.17</v>
      </c>
      <c r="I1458" s="80">
        <v>24062.81</v>
      </c>
      <c r="J1458">
        <v>44.97</v>
      </c>
      <c r="K1458">
        <v>2599.34</v>
      </c>
      <c r="L1458">
        <f t="shared" si="220"/>
        <v>0</v>
      </c>
      <c r="M1458">
        <f t="shared" si="221"/>
        <v>0</v>
      </c>
      <c r="N1458">
        <f t="shared" si="222"/>
        <v>0</v>
      </c>
      <c r="O1458">
        <f t="shared" si="223"/>
        <v>0</v>
      </c>
      <c r="P1458">
        <f t="shared" si="224"/>
        <v>0</v>
      </c>
      <c r="Q1458">
        <f t="shared" si="225"/>
        <v>0</v>
      </c>
      <c r="R1458">
        <f t="shared" si="226"/>
        <v>0</v>
      </c>
      <c r="S1458">
        <f t="shared" si="227"/>
        <v>0</v>
      </c>
      <c r="T1458">
        <f t="shared" si="229"/>
        <v>0</v>
      </c>
      <c r="U1458">
        <f t="shared" si="228"/>
        <v>0</v>
      </c>
    </row>
    <row r="1459" spans="1:21" x14ac:dyDescent="0.25">
      <c r="A1459" s="2">
        <v>1458</v>
      </c>
      <c r="B1459" s="10">
        <v>1060</v>
      </c>
      <c r="C1459" s="43" t="s">
        <v>189</v>
      </c>
      <c r="D1459">
        <v>14.57</v>
      </c>
      <c r="E1459">
        <v>22404.73</v>
      </c>
      <c r="F1459">
        <v>64.45</v>
      </c>
      <c r="G1459">
        <v>128.61000000000001</v>
      </c>
      <c r="H1459">
        <v>1778.49</v>
      </c>
      <c r="I1459" s="80">
        <v>17357.52</v>
      </c>
      <c r="J1459">
        <v>43.64</v>
      </c>
      <c r="K1459">
        <v>3632.9</v>
      </c>
      <c r="L1459">
        <f t="shared" si="220"/>
        <v>0</v>
      </c>
      <c r="M1459">
        <f t="shared" si="221"/>
        <v>0</v>
      </c>
      <c r="N1459">
        <f t="shared" si="222"/>
        <v>0</v>
      </c>
      <c r="O1459">
        <f t="shared" si="223"/>
        <v>0</v>
      </c>
      <c r="P1459">
        <f t="shared" si="224"/>
        <v>0</v>
      </c>
      <c r="Q1459">
        <f t="shared" si="225"/>
        <v>0</v>
      </c>
      <c r="R1459">
        <f t="shared" si="226"/>
        <v>0</v>
      </c>
      <c r="S1459">
        <f t="shared" si="227"/>
        <v>0</v>
      </c>
      <c r="T1459">
        <f t="shared" si="229"/>
        <v>0</v>
      </c>
      <c r="U1459">
        <f t="shared" si="228"/>
        <v>0</v>
      </c>
    </row>
    <row r="1460" spans="1:21" x14ac:dyDescent="0.25">
      <c r="A1460" s="2">
        <v>1459</v>
      </c>
      <c r="B1460" s="10">
        <v>1057</v>
      </c>
      <c r="C1460" s="43" t="s">
        <v>162</v>
      </c>
      <c r="D1460">
        <v>1.79</v>
      </c>
      <c r="E1460">
        <v>16808.400000000001</v>
      </c>
      <c r="F1460">
        <v>0.34</v>
      </c>
      <c r="G1460">
        <v>50.15</v>
      </c>
      <c r="H1460">
        <v>1.3</v>
      </c>
      <c r="I1460">
        <v>5.18</v>
      </c>
      <c r="J1460">
        <v>18.829999999999998</v>
      </c>
      <c r="K1460">
        <v>3.24</v>
      </c>
      <c r="L1460">
        <f t="shared" si="220"/>
        <v>0</v>
      </c>
      <c r="M1460">
        <f t="shared" si="221"/>
        <v>0</v>
      </c>
      <c r="N1460">
        <f t="shared" si="222"/>
        <v>0</v>
      </c>
      <c r="O1460">
        <f t="shared" si="223"/>
        <v>0</v>
      </c>
      <c r="P1460">
        <f t="shared" si="224"/>
        <v>0</v>
      </c>
      <c r="Q1460">
        <f t="shared" si="225"/>
        <v>0</v>
      </c>
      <c r="R1460">
        <f t="shared" si="226"/>
        <v>0</v>
      </c>
      <c r="S1460">
        <f t="shared" si="227"/>
        <v>0</v>
      </c>
      <c r="T1460">
        <f t="shared" si="229"/>
        <v>0</v>
      </c>
      <c r="U1460">
        <f t="shared" si="228"/>
        <v>0</v>
      </c>
    </row>
    <row r="1461" spans="1:21" x14ac:dyDescent="0.25">
      <c r="A1461" s="2">
        <v>1460</v>
      </c>
      <c r="B1461" s="10">
        <v>1057</v>
      </c>
      <c r="C1461" s="43" t="s">
        <v>170</v>
      </c>
      <c r="D1461">
        <v>24.37</v>
      </c>
      <c r="E1461" s="80">
        <v>43405.66</v>
      </c>
      <c r="F1461">
        <v>127.46</v>
      </c>
      <c r="G1461">
        <v>90.12</v>
      </c>
      <c r="H1461">
        <v>2854.17</v>
      </c>
      <c r="I1461" s="80">
        <v>21697.79</v>
      </c>
      <c r="J1461">
        <v>42.31</v>
      </c>
      <c r="K1461">
        <v>1018.26</v>
      </c>
      <c r="L1461">
        <f t="shared" si="220"/>
        <v>0</v>
      </c>
      <c r="M1461">
        <f t="shared" si="221"/>
        <v>0</v>
      </c>
      <c r="N1461">
        <f t="shared" si="222"/>
        <v>0</v>
      </c>
      <c r="O1461">
        <f t="shared" si="223"/>
        <v>0</v>
      </c>
      <c r="P1461">
        <f t="shared" si="224"/>
        <v>0</v>
      </c>
      <c r="Q1461">
        <f t="shared" si="225"/>
        <v>0</v>
      </c>
      <c r="R1461">
        <f t="shared" si="226"/>
        <v>0</v>
      </c>
      <c r="S1461">
        <f t="shared" si="227"/>
        <v>0</v>
      </c>
      <c r="T1461">
        <f t="shared" si="229"/>
        <v>0</v>
      </c>
      <c r="U1461">
        <f t="shared" si="228"/>
        <v>0</v>
      </c>
    </row>
    <row r="1462" spans="1:21" x14ac:dyDescent="0.25">
      <c r="A1462" s="2">
        <v>1461</v>
      </c>
      <c r="B1462" s="10">
        <v>1057</v>
      </c>
      <c r="C1462" s="43" t="s">
        <v>178</v>
      </c>
      <c r="D1462">
        <v>231.56</v>
      </c>
      <c r="E1462" s="80">
        <v>50090.89</v>
      </c>
      <c r="F1462">
        <v>494.43</v>
      </c>
      <c r="G1462">
        <v>128.61000000000001</v>
      </c>
      <c r="H1462">
        <v>15666.4</v>
      </c>
      <c r="I1462" s="80">
        <v>29014.63</v>
      </c>
      <c r="J1462">
        <v>58.76</v>
      </c>
      <c r="K1462">
        <v>1887.89</v>
      </c>
      <c r="L1462">
        <f t="shared" si="220"/>
        <v>0</v>
      </c>
      <c r="M1462">
        <f t="shared" si="221"/>
        <v>0</v>
      </c>
      <c r="N1462">
        <f t="shared" si="222"/>
        <v>0</v>
      </c>
      <c r="O1462">
        <f t="shared" si="223"/>
        <v>0</v>
      </c>
      <c r="P1462">
        <f t="shared" si="224"/>
        <v>0</v>
      </c>
      <c r="Q1462">
        <f t="shared" si="225"/>
        <v>0</v>
      </c>
      <c r="R1462">
        <f t="shared" si="226"/>
        <v>0</v>
      </c>
      <c r="S1462">
        <f t="shared" si="227"/>
        <v>0</v>
      </c>
      <c r="T1462">
        <f t="shared" si="229"/>
        <v>0</v>
      </c>
      <c r="U1462">
        <f t="shared" si="228"/>
        <v>0</v>
      </c>
    </row>
    <row r="1463" spans="1:21" x14ac:dyDescent="0.25">
      <c r="A1463" s="2">
        <v>1462</v>
      </c>
      <c r="B1463" s="10">
        <v>1057</v>
      </c>
      <c r="C1463" s="43" t="s">
        <v>163</v>
      </c>
      <c r="D1463">
        <v>455.44</v>
      </c>
      <c r="E1463" s="80">
        <v>35338</v>
      </c>
      <c r="F1463">
        <v>21.57</v>
      </c>
      <c r="G1463">
        <v>108.93</v>
      </c>
      <c r="H1463">
        <v>1848.14</v>
      </c>
      <c r="I1463" s="80">
        <v>10987.93</v>
      </c>
      <c r="J1463">
        <v>50.4</v>
      </c>
      <c r="K1463">
        <v>3245.57</v>
      </c>
      <c r="L1463">
        <f t="shared" si="220"/>
        <v>0</v>
      </c>
      <c r="M1463">
        <f t="shared" si="221"/>
        <v>0</v>
      </c>
      <c r="N1463">
        <f t="shared" si="222"/>
        <v>0</v>
      </c>
      <c r="O1463">
        <f t="shared" si="223"/>
        <v>0</v>
      </c>
      <c r="P1463">
        <f t="shared" si="224"/>
        <v>0</v>
      </c>
      <c r="Q1463">
        <f t="shared" si="225"/>
        <v>0</v>
      </c>
      <c r="R1463">
        <f t="shared" si="226"/>
        <v>0</v>
      </c>
      <c r="S1463">
        <f t="shared" si="227"/>
        <v>0</v>
      </c>
      <c r="T1463">
        <f t="shared" si="229"/>
        <v>0</v>
      </c>
      <c r="U1463">
        <f t="shared" si="228"/>
        <v>0</v>
      </c>
    </row>
    <row r="1464" spans="1:21" x14ac:dyDescent="0.25">
      <c r="A1464" s="2">
        <v>1463</v>
      </c>
      <c r="B1464" s="10">
        <v>1057</v>
      </c>
      <c r="C1464" t="s">
        <v>181</v>
      </c>
      <c r="D1464">
        <v>8.41</v>
      </c>
      <c r="E1464">
        <v>22327.06</v>
      </c>
      <c r="F1464">
        <v>0.62</v>
      </c>
      <c r="G1464">
        <v>55.49</v>
      </c>
      <c r="H1464">
        <v>4.24</v>
      </c>
      <c r="I1464">
        <v>18.03</v>
      </c>
      <c r="J1464">
        <v>22.28</v>
      </c>
      <c r="K1464">
        <v>6.38</v>
      </c>
      <c r="L1464">
        <f t="shared" si="220"/>
        <v>0</v>
      </c>
      <c r="M1464">
        <f t="shared" si="221"/>
        <v>0</v>
      </c>
      <c r="N1464">
        <f t="shared" si="222"/>
        <v>0</v>
      </c>
      <c r="O1464">
        <f t="shared" si="223"/>
        <v>0</v>
      </c>
      <c r="P1464">
        <f t="shared" si="224"/>
        <v>0</v>
      </c>
      <c r="Q1464">
        <f t="shared" si="225"/>
        <v>0</v>
      </c>
      <c r="R1464">
        <f t="shared" si="226"/>
        <v>0</v>
      </c>
      <c r="S1464">
        <f t="shared" si="227"/>
        <v>0</v>
      </c>
      <c r="T1464">
        <f t="shared" si="229"/>
        <v>0</v>
      </c>
      <c r="U1464">
        <f t="shared" si="228"/>
        <v>0</v>
      </c>
    </row>
    <row r="1465" spans="1:21" x14ac:dyDescent="0.25">
      <c r="A1465" s="2">
        <v>1464</v>
      </c>
      <c r="B1465" s="10">
        <v>1057</v>
      </c>
      <c r="C1465" t="s">
        <v>183</v>
      </c>
      <c r="D1465">
        <v>38.4</v>
      </c>
      <c r="E1465" s="80">
        <v>61104.19</v>
      </c>
      <c r="F1465">
        <v>1438.13</v>
      </c>
      <c r="G1465">
        <v>222.51</v>
      </c>
      <c r="H1465">
        <v>11683.8</v>
      </c>
      <c r="I1465" s="80">
        <v>34231.019999999997</v>
      </c>
      <c r="J1465">
        <v>85.22</v>
      </c>
      <c r="K1465" s="80">
        <v>8676.2800000000007</v>
      </c>
      <c r="L1465">
        <f t="shared" si="220"/>
        <v>0</v>
      </c>
      <c r="M1465">
        <f t="shared" si="221"/>
        <v>0</v>
      </c>
      <c r="N1465">
        <f t="shared" si="222"/>
        <v>0</v>
      </c>
      <c r="O1465">
        <f t="shared" si="223"/>
        <v>0</v>
      </c>
      <c r="P1465">
        <f t="shared" si="224"/>
        <v>0</v>
      </c>
      <c r="Q1465">
        <f t="shared" si="225"/>
        <v>0</v>
      </c>
      <c r="R1465">
        <f t="shared" si="226"/>
        <v>0</v>
      </c>
      <c r="S1465">
        <f t="shared" si="227"/>
        <v>0</v>
      </c>
      <c r="T1465">
        <f t="shared" si="229"/>
        <v>0</v>
      </c>
      <c r="U1465">
        <f t="shared" si="228"/>
        <v>0</v>
      </c>
    </row>
    <row r="1466" spans="1:21" x14ac:dyDescent="0.25">
      <c r="A1466" s="2">
        <v>1465</v>
      </c>
      <c r="B1466" s="10">
        <v>1057</v>
      </c>
      <c r="C1466" t="s">
        <v>186</v>
      </c>
      <c r="D1466">
        <v>39.53</v>
      </c>
      <c r="E1466" s="80">
        <v>54819.37</v>
      </c>
      <c r="F1466">
        <v>2860.44</v>
      </c>
      <c r="G1466">
        <v>214.84</v>
      </c>
      <c r="H1466">
        <v>28890.5</v>
      </c>
      <c r="I1466" s="80">
        <v>37273.629999999997</v>
      </c>
      <c r="J1466">
        <v>99.13</v>
      </c>
      <c r="K1466" s="80">
        <v>13569.05</v>
      </c>
      <c r="L1466">
        <f t="shared" si="220"/>
        <v>0</v>
      </c>
      <c r="M1466">
        <f t="shared" si="221"/>
        <v>0</v>
      </c>
      <c r="N1466">
        <f t="shared" si="222"/>
        <v>0</v>
      </c>
      <c r="O1466">
        <f t="shared" si="223"/>
        <v>0</v>
      </c>
      <c r="P1466">
        <f t="shared" si="224"/>
        <v>0</v>
      </c>
      <c r="Q1466">
        <f t="shared" si="225"/>
        <v>0</v>
      </c>
      <c r="R1466">
        <f t="shared" si="226"/>
        <v>0</v>
      </c>
      <c r="S1466">
        <f t="shared" si="227"/>
        <v>0</v>
      </c>
      <c r="T1466">
        <f t="shared" si="229"/>
        <v>0</v>
      </c>
      <c r="U1466">
        <f t="shared" si="228"/>
        <v>0</v>
      </c>
    </row>
    <row r="1467" spans="1:21" x14ac:dyDescent="0.25">
      <c r="A1467" s="2">
        <v>1466</v>
      </c>
      <c r="B1467" s="10">
        <v>1057</v>
      </c>
      <c r="C1467" t="s">
        <v>188</v>
      </c>
      <c r="D1467">
        <v>16.45</v>
      </c>
      <c r="E1467" s="80">
        <v>36438.559999999998</v>
      </c>
      <c r="F1467">
        <v>83.75</v>
      </c>
      <c r="G1467">
        <v>84.06</v>
      </c>
      <c r="H1467">
        <v>854.37</v>
      </c>
      <c r="I1467" s="80">
        <v>12045.59</v>
      </c>
      <c r="J1467">
        <v>42.31</v>
      </c>
      <c r="K1467">
        <v>2438.08</v>
      </c>
      <c r="L1467">
        <f t="shared" si="220"/>
        <v>0</v>
      </c>
      <c r="M1467">
        <f t="shared" si="221"/>
        <v>0</v>
      </c>
      <c r="N1467">
        <f t="shared" si="222"/>
        <v>0</v>
      </c>
      <c r="O1467">
        <f t="shared" si="223"/>
        <v>0</v>
      </c>
      <c r="P1467">
        <f t="shared" si="224"/>
        <v>0</v>
      </c>
      <c r="Q1467">
        <f t="shared" si="225"/>
        <v>0</v>
      </c>
      <c r="R1467">
        <f t="shared" si="226"/>
        <v>0</v>
      </c>
      <c r="S1467">
        <f t="shared" si="227"/>
        <v>0</v>
      </c>
      <c r="T1467">
        <f t="shared" si="229"/>
        <v>0</v>
      </c>
      <c r="U1467">
        <f t="shared" si="228"/>
        <v>0</v>
      </c>
    </row>
    <row r="1468" spans="1:21" x14ac:dyDescent="0.25">
      <c r="A1468" s="2">
        <v>1467</v>
      </c>
      <c r="B1468" s="10">
        <v>1057</v>
      </c>
      <c r="C1468" t="s">
        <v>182</v>
      </c>
      <c r="D1468" t="s">
        <v>583</v>
      </c>
      <c r="E1468">
        <v>457.47</v>
      </c>
      <c r="F1468">
        <v>0.52</v>
      </c>
      <c r="G1468" s="80">
        <v>1.17</v>
      </c>
      <c r="H1468">
        <v>5.03</v>
      </c>
      <c r="I1468">
        <v>2081.13</v>
      </c>
      <c r="J1468">
        <v>3.78</v>
      </c>
      <c r="K1468">
        <v>0.6</v>
      </c>
      <c r="L1468">
        <f t="shared" si="220"/>
        <v>0</v>
      </c>
      <c r="M1468">
        <f t="shared" si="221"/>
        <v>0</v>
      </c>
      <c r="N1468">
        <f t="shared" si="222"/>
        <v>0</v>
      </c>
      <c r="O1468">
        <f t="shared" si="223"/>
        <v>0</v>
      </c>
      <c r="P1468">
        <f t="shared" si="224"/>
        <v>0</v>
      </c>
      <c r="Q1468">
        <f t="shared" si="225"/>
        <v>0</v>
      </c>
      <c r="R1468">
        <f t="shared" si="226"/>
        <v>0</v>
      </c>
      <c r="S1468">
        <f t="shared" si="227"/>
        <v>0</v>
      </c>
      <c r="T1468">
        <f t="shared" si="229"/>
        <v>0</v>
      </c>
      <c r="U1468">
        <f t="shared" si="228"/>
        <v>0</v>
      </c>
    </row>
    <row r="1469" spans="1:21" x14ac:dyDescent="0.25">
      <c r="A1469" s="2">
        <v>1468</v>
      </c>
      <c r="B1469" s="10">
        <v>1057</v>
      </c>
      <c r="C1469" t="s">
        <v>184</v>
      </c>
      <c r="D1469">
        <v>143.35</v>
      </c>
      <c r="E1469">
        <v>5182.33</v>
      </c>
      <c r="F1469">
        <v>72.67</v>
      </c>
      <c r="G1469">
        <v>78.11</v>
      </c>
      <c r="H1469">
        <v>12334.21</v>
      </c>
      <c r="I1469" s="80">
        <v>23942.02</v>
      </c>
      <c r="J1469">
        <v>29.49</v>
      </c>
      <c r="K1469">
        <v>1146.0999999999999</v>
      </c>
      <c r="L1469">
        <f t="shared" si="220"/>
        <v>0</v>
      </c>
      <c r="M1469">
        <f t="shared" si="221"/>
        <v>0</v>
      </c>
      <c r="N1469">
        <f t="shared" si="222"/>
        <v>0</v>
      </c>
      <c r="O1469">
        <f t="shared" si="223"/>
        <v>0</v>
      </c>
      <c r="P1469">
        <f t="shared" si="224"/>
        <v>0</v>
      </c>
      <c r="Q1469">
        <f t="shared" si="225"/>
        <v>0</v>
      </c>
      <c r="R1469">
        <f t="shared" si="226"/>
        <v>0</v>
      </c>
      <c r="S1469">
        <f t="shared" si="227"/>
        <v>0</v>
      </c>
      <c r="T1469">
        <f t="shared" si="229"/>
        <v>0</v>
      </c>
      <c r="U1469">
        <f t="shared" si="228"/>
        <v>0</v>
      </c>
    </row>
    <row r="1470" spans="1:21" x14ac:dyDescent="0.25">
      <c r="A1470" s="2">
        <v>1469</v>
      </c>
      <c r="B1470" s="10">
        <v>1057</v>
      </c>
      <c r="C1470" t="s">
        <v>187</v>
      </c>
      <c r="D1470">
        <v>1402.28</v>
      </c>
      <c r="E1470">
        <v>7694.43</v>
      </c>
      <c r="F1470">
        <v>145.04</v>
      </c>
      <c r="G1470">
        <v>102.56</v>
      </c>
      <c r="H1470">
        <v>40055.089999999997</v>
      </c>
      <c r="I1470" s="80">
        <v>24766.77</v>
      </c>
      <c r="J1470">
        <v>76.19</v>
      </c>
      <c r="K1470">
        <v>6665.75</v>
      </c>
      <c r="L1470">
        <f t="shared" si="220"/>
        <v>0</v>
      </c>
      <c r="M1470">
        <f t="shared" si="221"/>
        <v>0</v>
      </c>
      <c r="N1470">
        <f t="shared" si="222"/>
        <v>0</v>
      </c>
      <c r="O1470">
        <f t="shared" si="223"/>
        <v>0</v>
      </c>
      <c r="P1470">
        <f t="shared" si="224"/>
        <v>0</v>
      </c>
      <c r="Q1470">
        <f t="shared" si="225"/>
        <v>0</v>
      </c>
      <c r="R1470">
        <f t="shared" si="226"/>
        <v>0</v>
      </c>
      <c r="S1470">
        <f t="shared" si="227"/>
        <v>0</v>
      </c>
      <c r="T1470">
        <f t="shared" si="229"/>
        <v>0</v>
      </c>
      <c r="U1470">
        <f t="shared" si="228"/>
        <v>0</v>
      </c>
    </row>
    <row r="1471" spans="1:21" x14ac:dyDescent="0.25">
      <c r="A1471" s="2">
        <v>1470</v>
      </c>
      <c r="B1471" s="10">
        <v>1057</v>
      </c>
      <c r="C1471" t="s">
        <v>189</v>
      </c>
      <c r="D1471">
        <v>1078.98</v>
      </c>
      <c r="E1471">
        <v>8173.14</v>
      </c>
      <c r="F1471">
        <v>7.05</v>
      </c>
      <c r="G1471">
        <v>44.96</v>
      </c>
      <c r="H1471">
        <v>9298.2900000000009</v>
      </c>
      <c r="I1471" s="80">
        <v>13755.14</v>
      </c>
      <c r="J1471">
        <v>50.4</v>
      </c>
      <c r="K1471">
        <v>4567.1499999999996</v>
      </c>
      <c r="L1471">
        <f t="shared" si="220"/>
        <v>0</v>
      </c>
      <c r="M1471">
        <f t="shared" si="221"/>
        <v>0</v>
      </c>
      <c r="N1471">
        <f t="shared" si="222"/>
        <v>0</v>
      </c>
      <c r="O1471">
        <f t="shared" si="223"/>
        <v>0</v>
      </c>
      <c r="P1471">
        <f t="shared" si="224"/>
        <v>0</v>
      </c>
      <c r="Q1471">
        <f t="shared" si="225"/>
        <v>0</v>
      </c>
      <c r="R1471">
        <f t="shared" si="226"/>
        <v>0</v>
      </c>
      <c r="S1471">
        <f t="shared" si="227"/>
        <v>0</v>
      </c>
      <c r="T1471">
        <f t="shared" si="229"/>
        <v>0</v>
      </c>
      <c r="U1471">
        <f t="shared" si="228"/>
        <v>0</v>
      </c>
    </row>
    <row r="1472" spans="1:21" x14ac:dyDescent="0.25">
      <c r="A1472" s="2">
        <v>1471</v>
      </c>
      <c r="B1472" s="90" t="s">
        <v>623</v>
      </c>
      <c r="C1472" s="43" t="s">
        <v>162</v>
      </c>
      <c r="D1472">
        <v>12.75</v>
      </c>
      <c r="E1472" s="80">
        <v>43643.81</v>
      </c>
      <c r="F1472">
        <v>0.65</v>
      </c>
      <c r="G1472">
        <v>55.49</v>
      </c>
      <c r="H1472">
        <v>2.4300000000000002</v>
      </c>
      <c r="I1472">
        <v>2.31</v>
      </c>
      <c r="J1472">
        <v>24.64</v>
      </c>
      <c r="K1472">
        <v>3.44</v>
      </c>
      <c r="L1472">
        <f t="shared" si="220"/>
        <v>0</v>
      </c>
      <c r="M1472">
        <f t="shared" si="221"/>
        <v>0</v>
      </c>
      <c r="N1472">
        <f t="shared" si="222"/>
        <v>0</v>
      </c>
      <c r="O1472">
        <f t="shared" si="223"/>
        <v>0</v>
      </c>
      <c r="P1472">
        <f t="shared" si="224"/>
        <v>0</v>
      </c>
      <c r="Q1472">
        <f t="shared" si="225"/>
        <v>0</v>
      </c>
      <c r="R1472">
        <f t="shared" si="226"/>
        <v>0</v>
      </c>
      <c r="S1472">
        <f t="shared" si="227"/>
        <v>0</v>
      </c>
      <c r="T1472">
        <f t="shared" si="229"/>
        <v>0</v>
      </c>
      <c r="U1472">
        <f t="shared" si="228"/>
        <v>0</v>
      </c>
    </row>
    <row r="1473" spans="1:21" x14ac:dyDescent="0.25">
      <c r="A1473" s="2">
        <v>1472</v>
      </c>
      <c r="B1473" s="90" t="s">
        <v>623</v>
      </c>
      <c r="C1473" s="43" t="s">
        <v>170</v>
      </c>
      <c r="D1473">
        <v>16.45</v>
      </c>
      <c r="E1473" s="80">
        <v>31415.47</v>
      </c>
      <c r="F1473">
        <v>188.28</v>
      </c>
      <c r="G1473">
        <v>102.56</v>
      </c>
      <c r="H1473">
        <v>827.15</v>
      </c>
      <c r="I1473" s="80">
        <v>16435</v>
      </c>
      <c r="J1473">
        <v>42.31</v>
      </c>
      <c r="K1473">
        <v>1162.6500000000001</v>
      </c>
      <c r="L1473">
        <f t="shared" si="220"/>
        <v>0</v>
      </c>
      <c r="M1473">
        <f t="shared" si="221"/>
        <v>0</v>
      </c>
      <c r="N1473">
        <f t="shared" si="222"/>
        <v>0</v>
      </c>
      <c r="O1473">
        <f t="shared" si="223"/>
        <v>0</v>
      </c>
      <c r="P1473">
        <f t="shared" si="224"/>
        <v>0</v>
      </c>
      <c r="Q1473">
        <f t="shared" si="225"/>
        <v>0</v>
      </c>
      <c r="R1473">
        <f t="shared" si="226"/>
        <v>0</v>
      </c>
      <c r="S1473">
        <f t="shared" si="227"/>
        <v>0</v>
      </c>
      <c r="T1473">
        <f t="shared" si="229"/>
        <v>0</v>
      </c>
      <c r="U1473">
        <f t="shared" si="228"/>
        <v>0</v>
      </c>
    </row>
    <row r="1474" spans="1:21" x14ac:dyDescent="0.25">
      <c r="A1474" s="2">
        <v>1473</v>
      </c>
      <c r="B1474" s="90" t="s">
        <v>623</v>
      </c>
      <c r="C1474" s="43" t="s">
        <v>178</v>
      </c>
      <c r="D1474">
        <v>41.81</v>
      </c>
      <c r="E1474" s="80">
        <v>47749.279999999999</v>
      </c>
      <c r="F1474">
        <v>2061.4499999999998</v>
      </c>
      <c r="G1474">
        <v>184.86</v>
      </c>
      <c r="H1474">
        <v>6969.41</v>
      </c>
      <c r="I1474" s="80">
        <v>27792.55</v>
      </c>
      <c r="J1474">
        <v>67.36</v>
      </c>
      <c r="K1474">
        <v>4243.8</v>
      </c>
      <c r="L1474">
        <f t="shared" ref="L1474:L1537" si="230">IF(D1474 = "OOR &gt;", 1,0)</f>
        <v>0</v>
      </c>
      <c r="M1474">
        <f t="shared" ref="M1474:M1537" si="231">IF(E1474 = "OOR &gt;", 1,0)</f>
        <v>0</v>
      </c>
      <c r="N1474">
        <f t="shared" ref="N1474:N1537" si="232">IF(F1474 = "OOR &gt;", 1,0)</f>
        <v>0</v>
      </c>
      <c r="O1474">
        <f t="shared" ref="O1474:O1537" si="233">IF(G1474 = "OOR &gt;", 1,0)</f>
        <v>0</v>
      </c>
      <c r="P1474">
        <f t="shared" ref="P1474:P1537" si="234">IF(H1474 = "OOR &gt;", 1,0)</f>
        <v>0</v>
      </c>
      <c r="Q1474">
        <f t="shared" ref="Q1474:Q1537" si="235">IF(I1474 = "OOR &gt;", 1,0)</f>
        <v>0</v>
      </c>
      <c r="R1474">
        <f t="shared" ref="R1474:R1537" si="236">IF(J1474 = "OOR &gt;", 1,0)</f>
        <v>0</v>
      </c>
      <c r="S1474">
        <f t="shared" ref="S1474:S1537" si="237">IF(K1474 = "OOR &gt;", 1,0)</f>
        <v>0</v>
      </c>
      <c r="T1474">
        <f t="shared" si="229"/>
        <v>0</v>
      </c>
      <c r="U1474">
        <f t="shared" ref="U1474:U1537" si="238">IF(T1474 &gt; 0,1,0)</f>
        <v>0</v>
      </c>
    </row>
    <row r="1475" spans="1:21" x14ac:dyDescent="0.25">
      <c r="A1475" s="2">
        <v>1474</v>
      </c>
      <c r="B1475" s="90" t="s">
        <v>623</v>
      </c>
      <c r="C1475" s="43" t="s">
        <v>163</v>
      </c>
      <c r="D1475">
        <v>122.86</v>
      </c>
      <c r="E1475" s="80">
        <v>49080.37</v>
      </c>
      <c r="F1475">
        <v>1041.32</v>
      </c>
      <c r="G1475">
        <v>199.7</v>
      </c>
      <c r="H1475">
        <v>35398.49</v>
      </c>
      <c r="I1475" s="80">
        <v>27421.82</v>
      </c>
      <c r="J1475">
        <v>113.45</v>
      </c>
      <c r="K1475" s="80">
        <v>25934.5</v>
      </c>
      <c r="L1475">
        <f t="shared" si="230"/>
        <v>0</v>
      </c>
      <c r="M1475">
        <f t="shared" si="231"/>
        <v>0</v>
      </c>
      <c r="N1475">
        <f t="shared" si="232"/>
        <v>0</v>
      </c>
      <c r="O1475">
        <f t="shared" si="233"/>
        <v>0</v>
      </c>
      <c r="P1475">
        <f t="shared" si="234"/>
        <v>0</v>
      </c>
      <c r="Q1475">
        <f t="shared" si="235"/>
        <v>0</v>
      </c>
      <c r="R1475">
        <f t="shared" si="236"/>
        <v>0</v>
      </c>
      <c r="S1475">
        <f t="shared" si="237"/>
        <v>0</v>
      </c>
      <c r="T1475">
        <f t="shared" ref="T1475:T1538" si="239">SUMIF(L1475:S1475,"&gt;0")</f>
        <v>0</v>
      </c>
      <c r="U1475">
        <f t="shared" si="238"/>
        <v>0</v>
      </c>
    </row>
    <row r="1476" spans="1:21" x14ac:dyDescent="0.25">
      <c r="A1476" s="2">
        <v>1475</v>
      </c>
      <c r="B1476" s="90" t="s">
        <v>623</v>
      </c>
      <c r="C1476" t="s">
        <v>181</v>
      </c>
      <c r="D1476">
        <v>16.45</v>
      </c>
      <c r="E1476" s="80">
        <v>74065.919999999998</v>
      </c>
      <c r="F1476">
        <v>0.7</v>
      </c>
      <c r="G1476">
        <v>78.11</v>
      </c>
      <c r="H1476">
        <v>67.08</v>
      </c>
      <c r="I1476">
        <v>30.18</v>
      </c>
      <c r="J1476">
        <v>35.79</v>
      </c>
      <c r="K1476">
        <v>35.299999999999997</v>
      </c>
      <c r="L1476">
        <f t="shared" si="230"/>
        <v>0</v>
      </c>
      <c r="M1476">
        <f t="shared" si="231"/>
        <v>0</v>
      </c>
      <c r="N1476">
        <f t="shared" si="232"/>
        <v>0</v>
      </c>
      <c r="O1476">
        <f t="shared" si="233"/>
        <v>0</v>
      </c>
      <c r="P1476">
        <f t="shared" si="234"/>
        <v>0</v>
      </c>
      <c r="Q1476">
        <f t="shared" si="235"/>
        <v>0</v>
      </c>
      <c r="R1476">
        <f t="shared" si="236"/>
        <v>0</v>
      </c>
      <c r="S1476">
        <f t="shared" si="237"/>
        <v>0</v>
      </c>
      <c r="T1476">
        <f t="shared" si="239"/>
        <v>0</v>
      </c>
      <c r="U1476">
        <f t="shared" si="238"/>
        <v>0</v>
      </c>
    </row>
    <row r="1477" spans="1:21" x14ac:dyDescent="0.25">
      <c r="A1477" s="2">
        <v>1476</v>
      </c>
      <c r="B1477" s="90" t="s">
        <v>623</v>
      </c>
      <c r="C1477" t="s">
        <v>183</v>
      </c>
      <c r="D1477">
        <v>35.049999999999997</v>
      </c>
      <c r="E1477" s="80">
        <v>45299.45</v>
      </c>
      <c r="F1477">
        <v>832.61</v>
      </c>
      <c r="G1477">
        <v>170.31</v>
      </c>
      <c r="H1477">
        <v>5560.72</v>
      </c>
      <c r="I1477" s="80">
        <v>31929.63</v>
      </c>
      <c r="J1477">
        <v>70.28</v>
      </c>
      <c r="K1477">
        <v>8202.4500000000007</v>
      </c>
      <c r="L1477">
        <f t="shared" si="230"/>
        <v>0</v>
      </c>
      <c r="M1477">
        <f t="shared" si="231"/>
        <v>0</v>
      </c>
      <c r="N1477">
        <f t="shared" si="232"/>
        <v>0</v>
      </c>
      <c r="O1477">
        <f t="shared" si="233"/>
        <v>0</v>
      </c>
      <c r="P1477">
        <f t="shared" si="234"/>
        <v>0</v>
      </c>
      <c r="Q1477">
        <f t="shared" si="235"/>
        <v>0</v>
      </c>
      <c r="R1477">
        <f t="shared" si="236"/>
        <v>0</v>
      </c>
      <c r="S1477">
        <f t="shared" si="237"/>
        <v>0</v>
      </c>
      <c r="T1477">
        <f t="shared" si="239"/>
        <v>0</v>
      </c>
      <c r="U1477">
        <f t="shared" si="238"/>
        <v>0</v>
      </c>
    </row>
    <row r="1478" spans="1:21" x14ac:dyDescent="0.25">
      <c r="A1478" s="2">
        <v>1477</v>
      </c>
      <c r="B1478" s="90" t="s">
        <v>623</v>
      </c>
      <c r="C1478" t="s">
        <v>186</v>
      </c>
      <c r="D1478">
        <v>32.85</v>
      </c>
      <c r="E1478" s="80">
        <v>42652.51</v>
      </c>
      <c r="F1478">
        <v>922.26</v>
      </c>
      <c r="G1478">
        <v>163.16</v>
      </c>
      <c r="H1478">
        <v>10511.21</v>
      </c>
      <c r="I1478" s="80">
        <v>29876.11</v>
      </c>
      <c r="J1478">
        <v>73.22</v>
      </c>
      <c r="K1478" s="80">
        <v>15152.78</v>
      </c>
      <c r="L1478">
        <f t="shared" si="230"/>
        <v>0</v>
      </c>
      <c r="M1478">
        <f t="shared" si="231"/>
        <v>0</v>
      </c>
      <c r="N1478">
        <f t="shared" si="232"/>
        <v>0</v>
      </c>
      <c r="O1478">
        <f t="shared" si="233"/>
        <v>0</v>
      </c>
      <c r="P1478">
        <f t="shared" si="234"/>
        <v>0</v>
      </c>
      <c r="Q1478">
        <f t="shared" si="235"/>
        <v>0</v>
      </c>
      <c r="R1478">
        <f t="shared" si="236"/>
        <v>0</v>
      </c>
      <c r="S1478">
        <f t="shared" si="237"/>
        <v>0</v>
      </c>
      <c r="T1478">
        <f t="shared" si="239"/>
        <v>0</v>
      </c>
      <c r="U1478">
        <f t="shared" si="238"/>
        <v>0</v>
      </c>
    </row>
    <row r="1479" spans="1:21" x14ac:dyDescent="0.25">
      <c r="A1479" s="2">
        <v>1478</v>
      </c>
      <c r="B1479" s="90" t="s">
        <v>623</v>
      </c>
      <c r="C1479" t="s">
        <v>188</v>
      </c>
      <c r="D1479">
        <v>28.54</v>
      </c>
      <c r="E1479" s="80">
        <v>37326.46</v>
      </c>
      <c r="F1479">
        <v>613.94000000000005</v>
      </c>
      <c r="G1479">
        <v>170.31</v>
      </c>
      <c r="H1479">
        <v>8375.5499999999993</v>
      </c>
      <c r="I1479" s="80">
        <v>28596.95</v>
      </c>
      <c r="J1479">
        <v>74.7</v>
      </c>
      <c r="K1479" s="80">
        <v>12783.55</v>
      </c>
      <c r="L1479">
        <f t="shared" si="230"/>
        <v>0</v>
      </c>
      <c r="M1479">
        <f t="shared" si="231"/>
        <v>0</v>
      </c>
      <c r="N1479">
        <f t="shared" si="232"/>
        <v>0</v>
      </c>
      <c r="O1479">
        <f t="shared" si="233"/>
        <v>0</v>
      </c>
      <c r="P1479">
        <f t="shared" si="234"/>
        <v>0</v>
      </c>
      <c r="Q1479">
        <f t="shared" si="235"/>
        <v>0</v>
      </c>
      <c r="R1479">
        <f t="shared" si="236"/>
        <v>0</v>
      </c>
      <c r="S1479">
        <f t="shared" si="237"/>
        <v>0</v>
      </c>
      <c r="T1479">
        <f t="shared" si="239"/>
        <v>0</v>
      </c>
      <c r="U1479">
        <f t="shared" si="238"/>
        <v>0</v>
      </c>
    </row>
    <row r="1480" spans="1:21" x14ac:dyDescent="0.25">
      <c r="A1480" s="2">
        <v>1479</v>
      </c>
      <c r="B1480" s="90" t="s">
        <v>623</v>
      </c>
      <c r="C1480" t="s">
        <v>182</v>
      </c>
      <c r="D1480" t="s">
        <v>583</v>
      </c>
      <c r="E1480">
        <v>1681.45</v>
      </c>
      <c r="F1480">
        <v>0.08</v>
      </c>
      <c r="G1480" s="80">
        <v>17.29</v>
      </c>
      <c r="H1480">
        <v>0.77</v>
      </c>
      <c r="I1480">
        <v>1.17</v>
      </c>
      <c r="J1480">
        <v>9.26</v>
      </c>
      <c r="K1480">
        <v>0.34</v>
      </c>
      <c r="L1480">
        <f t="shared" si="230"/>
        <v>0</v>
      </c>
      <c r="M1480">
        <f t="shared" si="231"/>
        <v>0</v>
      </c>
      <c r="N1480">
        <f t="shared" si="232"/>
        <v>0</v>
      </c>
      <c r="O1480">
        <f t="shared" si="233"/>
        <v>0</v>
      </c>
      <c r="P1480">
        <f t="shared" si="234"/>
        <v>0</v>
      </c>
      <c r="Q1480">
        <f t="shared" si="235"/>
        <v>0</v>
      </c>
      <c r="R1480">
        <f t="shared" si="236"/>
        <v>0</v>
      </c>
      <c r="S1480">
        <f t="shared" si="237"/>
        <v>0</v>
      </c>
      <c r="T1480">
        <f t="shared" si="239"/>
        <v>0</v>
      </c>
      <c r="U1480">
        <f t="shared" si="238"/>
        <v>0</v>
      </c>
    </row>
    <row r="1481" spans="1:21" x14ac:dyDescent="0.25">
      <c r="A1481" s="2">
        <v>1480</v>
      </c>
      <c r="B1481" s="90" t="s">
        <v>623</v>
      </c>
      <c r="C1481" t="s">
        <v>184</v>
      </c>
      <c r="D1481">
        <v>14.57</v>
      </c>
      <c r="E1481">
        <v>9652.2900000000009</v>
      </c>
      <c r="F1481">
        <v>102.38</v>
      </c>
      <c r="G1481">
        <v>66.55</v>
      </c>
      <c r="H1481">
        <v>3467.64</v>
      </c>
      <c r="I1481" s="80">
        <v>22723.33</v>
      </c>
      <c r="J1481">
        <v>27.04</v>
      </c>
      <c r="K1481">
        <v>1679.93</v>
      </c>
      <c r="L1481">
        <f t="shared" si="230"/>
        <v>0</v>
      </c>
      <c r="M1481">
        <f t="shared" si="231"/>
        <v>0</v>
      </c>
      <c r="N1481">
        <f t="shared" si="232"/>
        <v>0</v>
      </c>
      <c r="O1481">
        <f t="shared" si="233"/>
        <v>0</v>
      </c>
      <c r="P1481">
        <f t="shared" si="234"/>
        <v>0</v>
      </c>
      <c r="Q1481">
        <f t="shared" si="235"/>
        <v>0</v>
      </c>
      <c r="R1481">
        <f t="shared" si="236"/>
        <v>0</v>
      </c>
      <c r="S1481">
        <f t="shared" si="237"/>
        <v>0</v>
      </c>
      <c r="T1481">
        <f t="shared" si="239"/>
        <v>0</v>
      </c>
      <c r="U1481">
        <f t="shared" si="238"/>
        <v>0</v>
      </c>
    </row>
    <row r="1482" spans="1:21" x14ac:dyDescent="0.25">
      <c r="A1482" s="2">
        <v>1481</v>
      </c>
      <c r="B1482" s="90" t="s">
        <v>623</v>
      </c>
      <c r="C1482" t="s">
        <v>187</v>
      </c>
      <c r="D1482">
        <v>228.25</v>
      </c>
      <c r="E1482">
        <v>13331.58</v>
      </c>
      <c r="F1482">
        <v>381.71</v>
      </c>
      <c r="G1482">
        <v>177.55</v>
      </c>
      <c r="H1482">
        <v>15706.71</v>
      </c>
      <c r="I1482" s="80">
        <v>25943.86</v>
      </c>
      <c r="J1482">
        <v>64.47</v>
      </c>
      <c r="K1482" s="80">
        <v>9373.42</v>
      </c>
      <c r="L1482">
        <f t="shared" si="230"/>
        <v>0</v>
      </c>
      <c r="M1482">
        <f t="shared" si="231"/>
        <v>0</v>
      </c>
      <c r="N1482">
        <f t="shared" si="232"/>
        <v>0</v>
      </c>
      <c r="O1482">
        <f t="shared" si="233"/>
        <v>0</v>
      </c>
      <c r="P1482">
        <f t="shared" si="234"/>
        <v>0</v>
      </c>
      <c r="Q1482">
        <f t="shared" si="235"/>
        <v>0</v>
      </c>
      <c r="R1482">
        <f t="shared" si="236"/>
        <v>0</v>
      </c>
      <c r="S1482">
        <f t="shared" si="237"/>
        <v>0</v>
      </c>
      <c r="T1482">
        <f t="shared" si="239"/>
        <v>0</v>
      </c>
      <c r="U1482">
        <f t="shared" si="238"/>
        <v>0</v>
      </c>
    </row>
    <row r="1483" spans="1:21" x14ac:dyDescent="0.25">
      <c r="A1483" s="2">
        <v>1482</v>
      </c>
      <c r="B1483" s="90" t="s">
        <v>623</v>
      </c>
      <c r="C1483" t="s">
        <v>189</v>
      </c>
      <c r="D1483">
        <v>143.35</v>
      </c>
      <c r="E1483">
        <v>11353.21</v>
      </c>
      <c r="F1483">
        <v>16.579999999999998</v>
      </c>
      <c r="G1483">
        <v>142.16999999999999</v>
      </c>
      <c r="H1483">
        <v>8757.9599999999991</v>
      </c>
      <c r="I1483" s="80">
        <v>15499.65</v>
      </c>
      <c r="J1483">
        <v>46.32</v>
      </c>
      <c r="K1483" s="80">
        <v>8837.0400000000009</v>
      </c>
      <c r="L1483">
        <f t="shared" si="230"/>
        <v>0</v>
      </c>
      <c r="M1483">
        <f t="shared" si="231"/>
        <v>0</v>
      </c>
      <c r="N1483">
        <f t="shared" si="232"/>
        <v>0</v>
      </c>
      <c r="O1483">
        <f t="shared" si="233"/>
        <v>0</v>
      </c>
      <c r="P1483">
        <f t="shared" si="234"/>
        <v>0</v>
      </c>
      <c r="Q1483">
        <f t="shared" si="235"/>
        <v>0</v>
      </c>
      <c r="R1483">
        <f t="shared" si="236"/>
        <v>0</v>
      </c>
      <c r="S1483">
        <f t="shared" si="237"/>
        <v>0</v>
      </c>
      <c r="T1483">
        <f t="shared" si="239"/>
        <v>0</v>
      </c>
      <c r="U1483">
        <f t="shared" si="238"/>
        <v>0</v>
      </c>
    </row>
    <row r="1484" spans="1:21" x14ac:dyDescent="0.25">
      <c r="A1484" s="2">
        <v>1483</v>
      </c>
      <c r="B1484" s="90" t="s">
        <v>624</v>
      </c>
      <c r="C1484" s="43" t="s">
        <v>162</v>
      </c>
      <c r="D1484">
        <v>12.75</v>
      </c>
      <c r="E1484" s="80">
        <v>44075.88</v>
      </c>
      <c r="F1484">
        <v>0.82</v>
      </c>
      <c r="G1484">
        <v>102.56</v>
      </c>
      <c r="H1484">
        <v>1.85</v>
      </c>
      <c r="I1484">
        <v>1.1299999999999999</v>
      </c>
      <c r="J1484">
        <v>24.64</v>
      </c>
      <c r="K1484">
        <v>3.65</v>
      </c>
      <c r="L1484">
        <f t="shared" si="230"/>
        <v>0</v>
      </c>
      <c r="M1484">
        <f t="shared" si="231"/>
        <v>0</v>
      </c>
      <c r="N1484">
        <f t="shared" si="232"/>
        <v>0</v>
      </c>
      <c r="O1484">
        <f t="shared" si="233"/>
        <v>0</v>
      </c>
      <c r="P1484">
        <f t="shared" si="234"/>
        <v>0</v>
      </c>
      <c r="Q1484">
        <f t="shared" si="235"/>
        <v>0</v>
      </c>
      <c r="R1484">
        <f t="shared" si="236"/>
        <v>0</v>
      </c>
      <c r="S1484">
        <f t="shared" si="237"/>
        <v>0</v>
      </c>
      <c r="T1484">
        <f t="shared" si="239"/>
        <v>0</v>
      </c>
      <c r="U1484">
        <f t="shared" si="238"/>
        <v>0</v>
      </c>
    </row>
    <row r="1485" spans="1:21" x14ac:dyDescent="0.25">
      <c r="A1485" s="2">
        <v>1484</v>
      </c>
      <c r="B1485" s="90" t="s">
        <v>624</v>
      </c>
      <c r="C1485" s="43" t="s">
        <v>170</v>
      </c>
      <c r="D1485">
        <v>39.53</v>
      </c>
      <c r="E1485" s="80">
        <v>47959.64</v>
      </c>
      <c r="F1485">
        <v>513.84</v>
      </c>
      <c r="G1485">
        <v>184.86</v>
      </c>
      <c r="H1485">
        <v>7506.22</v>
      </c>
      <c r="I1485" s="80">
        <v>27696.91</v>
      </c>
      <c r="J1485">
        <v>42.31</v>
      </c>
      <c r="K1485">
        <v>1060.95</v>
      </c>
      <c r="L1485">
        <f t="shared" si="230"/>
        <v>0</v>
      </c>
      <c r="M1485">
        <f t="shared" si="231"/>
        <v>0</v>
      </c>
      <c r="N1485">
        <f t="shared" si="232"/>
        <v>0</v>
      </c>
      <c r="O1485">
        <f t="shared" si="233"/>
        <v>0</v>
      </c>
      <c r="P1485">
        <f t="shared" si="234"/>
        <v>0</v>
      </c>
      <c r="Q1485">
        <f t="shared" si="235"/>
        <v>0</v>
      </c>
      <c r="R1485">
        <f t="shared" si="236"/>
        <v>0</v>
      </c>
      <c r="S1485">
        <f t="shared" si="237"/>
        <v>0</v>
      </c>
      <c r="T1485">
        <f t="shared" si="239"/>
        <v>0</v>
      </c>
      <c r="U1485">
        <f t="shared" si="238"/>
        <v>0</v>
      </c>
    </row>
    <row r="1486" spans="1:21" x14ac:dyDescent="0.25">
      <c r="A1486" s="101">
        <v>1485</v>
      </c>
      <c r="B1486" s="90" t="s">
        <v>624</v>
      </c>
      <c r="C1486" s="43" t="s">
        <v>178</v>
      </c>
      <c r="D1486">
        <v>95.46</v>
      </c>
      <c r="E1486" s="80">
        <v>29767.97</v>
      </c>
      <c r="F1486">
        <v>1648.83</v>
      </c>
      <c r="G1486">
        <v>169.76</v>
      </c>
      <c r="H1486" s="80">
        <v>30885.279999999999</v>
      </c>
      <c r="I1486" s="80">
        <v>19451.650000000001</v>
      </c>
      <c r="J1486">
        <v>73.709999999999994</v>
      </c>
      <c r="K1486">
        <v>3281.04</v>
      </c>
      <c r="L1486">
        <f t="shared" si="230"/>
        <v>0</v>
      </c>
      <c r="M1486">
        <f t="shared" si="231"/>
        <v>0</v>
      </c>
      <c r="N1486">
        <f t="shared" si="232"/>
        <v>0</v>
      </c>
      <c r="O1486">
        <f t="shared" si="233"/>
        <v>0</v>
      </c>
      <c r="P1486">
        <f t="shared" si="234"/>
        <v>0</v>
      </c>
      <c r="Q1486">
        <f t="shared" si="235"/>
        <v>0</v>
      </c>
      <c r="R1486">
        <f t="shared" si="236"/>
        <v>0</v>
      </c>
      <c r="S1486">
        <f t="shared" si="237"/>
        <v>0</v>
      </c>
      <c r="T1486">
        <f t="shared" si="239"/>
        <v>0</v>
      </c>
      <c r="U1486">
        <f t="shared" si="238"/>
        <v>0</v>
      </c>
    </row>
    <row r="1487" spans="1:21" x14ac:dyDescent="0.25">
      <c r="A1487" s="101">
        <v>1486</v>
      </c>
      <c r="B1487" s="90" t="s">
        <v>624</v>
      </c>
      <c r="C1487" s="105" t="s">
        <v>163</v>
      </c>
      <c r="D1487">
        <v>286.52999999999997</v>
      </c>
      <c r="E1487">
        <v>23434.51</v>
      </c>
      <c r="F1487">
        <v>394.83</v>
      </c>
      <c r="G1487">
        <v>189.46</v>
      </c>
      <c r="H1487" s="80">
        <v>53443.040000000001</v>
      </c>
      <c r="I1487" s="80">
        <v>17804.93</v>
      </c>
      <c r="J1487">
        <v>143.1</v>
      </c>
      <c r="K1487" s="89" t="s">
        <v>582</v>
      </c>
      <c r="L1487">
        <f t="shared" si="230"/>
        <v>0</v>
      </c>
      <c r="M1487">
        <f t="shared" si="231"/>
        <v>0</v>
      </c>
      <c r="N1487">
        <f t="shared" si="232"/>
        <v>0</v>
      </c>
      <c r="O1487">
        <f t="shared" si="233"/>
        <v>0</v>
      </c>
      <c r="P1487">
        <f t="shared" si="234"/>
        <v>0</v>
      </c>
      <c r="Q1487">
        <f t="shared" si="235"/>
        <v>0</v>
      </c>
      <c r="R1487">
        <f t="shared" si="236"/>
        <v>0</v>
      </c>
      <c r="S1487">
        <f t="shared" si="237"/>
        <v>1</v>
      </c>
      <c r="T1487">
        <f t="shared" si="239"/>
        <v>1</v>
      </c>
      <c r="U1487">
        <f t="shared" si="238"/>
        <v>1</v>
      </c>
    </row>
    <row r="1488" spans="1:21" x14ac:dyDescent="0.25">
      <c r="A1488" s="101">
        <v>1487</v>
      </c>
      <c r="B1488" s="90" t="s">
        <v>624</v>
      </c>
      <c r="C1488" s="105" t="s">
        <v>181</v>
      </c>
      <c r="D1488">
        <v>19.5</v>
      </c>
      <c r="E1488" s="89" t="s">
        <v>582</v>
      </c>
      <c r="F1488">
        <v>0.94</v>
      </c>
      <c r="G1488">
        <v>91.58</v>
      </c>
      <c r="H1488">
        <v>123.17</v>
      </c>
      <c r="I1488">
        <v>173.33</v>
      </c>
      <c r="J1488">
        <v>52.86</v>
      </c>
      <c r="K1488">
        <v>44.79</v>
      </c>
      <c r="L1488">
        <f t="shared" si="230"/>
        <v>0</v>
      </c>
      <c r="M1488">
        <f t="shared" si="231"/>
        <v>1</v>
      </c>
      <c r="N1488">
        <f t="shared" si="232"/>
        <v>0</v>
      </c>
      <c r="O1488">
        <f t="shared" si="233"/>
        <v>0</v>
      </c>
      <c r="P1488">
        <f t="shared" si="234"/>
        <v>0</v>
      </c>
      <c r="Q1488">
        <f t="shared" si="235"/>
        <v>0</v>
      </c>
      <c r="R1488">
        <f t="shared" si="236"/>
        <v>0</v>
      </c>
      <c r="S1488">
        <f t="shared" si="237"/>
        <v>0</v>
      </c>
      <c r="T1488">
        <f t="shared" si="239"/>
        <v>1</v>
      </c>
      <c r="U1488">
        <f t="shared" si="238"/>
        <v>1</v>
      </c>
    </row>
    <row r="1489" spans="1:21" x14ac:dyDescent="0.25">
      <c r="A1489" s="101">
        <v>1488</v>
      </c>
      <c r="B1489" s="90" t="s">
        <v>624</v>
      </c>
      <c r="C1489" s="43" t="s">
        <v>183</v>
      </c>
      <c r="D1489">
        <v>37.99</v>
      </c>
      <c r="E1489" s="80">
        <v>56624.58</v>
      </c>
      <c r="F1489">
        <v>1219.8</v>
      </c>
      <c r="G1489">
        <v>202.91</v>
      </c>
      <c r="H1489" s="80">
        <v>18292.55</v>
      </c>
      <c r="I1489" s="80">
        <v>21066.76</v>
      </c>
      <c r="J1489">
        <v>95.81</v>
      </c>
      <c r="K1489">
        <v>7048.03</v>
      </c>
      <c r="L1489">
        <f t="shared" si="230"/>
        <v>0</v>
      </c>
      <c r="M1489">
        <f t="shared" si="231"/>
        <v>0</v>
      </c>
      <c r="N1489">
        <f t="shared" si="232"/>
        <v>0</v>
      </c>
      <c r="O1489">
        <f t="shared" si="233"/>
        <v>0</v>
      </c>
      <c r="P1489">
        <f t="shared" si="234"/>
        <v>0</v>
      </c>
      <c r="Q1489">
        <f t="shared" si="235"/>
        <v>0</v>
      </c>
      <c r="R1489">
        <f t="shared" si="236"/>
        <v>0</v>
      </c>
      <c r="S1489">
        <f t="shared" si="237"/>
        <v>0</v>
      </c>
      <c r="T1489">
        <f t="shared" si="239"/>
        <v>0</v>
      </c>
      <c r="U1489">
        <f t="shared" si="238"/>
        <v>0</v>
      </c>
    </row>
    <row r="1490" spans="1:21" x14ac:dyDescent="0.25">
      <c r="A1490" s="101">
        <v>1489</v>
      </c>
      <c r="B1490" s="90" t="s">
        <v>624</v>
      </c>
      <c r="C1490" s="43" t="s">
        <v>186</v>
      </c>
      <c r="D1490">
        <v>42.05</v>
      </c>
      <c r="E1490" s="80">
        <v>45949.31</v>
      </c>
      <c r="F1490">
        <v>1935.7</v>
      </c>
      <c r="G1490">
        <v>196.15</v>
      </c>
      <c r="H1490" s="80">
        <v>65096.51</v>
      </c>
      <c r="I1490" s="80">
        <v>21843.09</v>
      </c>
      <c r="J1490">
        <v>143.1</v>
      </c>
      <c r="K1490" s="80">
        <v>15847.05</v>
      </c>
      <c r="L1490">
        <f t="shared" si="230"/>
        <v>0</v>
      </c>
      <c r="M1490">
        <f t="shared" si="231"/>
        <v>0</v>
      </c>
      <c r="N1490">
        <f t="shared" si="232"/>
        <v>0</v>
      </c>
      <c r="O1490">
        <f t="shared" si="233"/>
        <v>0</v>
      </c>
      <c r="P1490">
        <f t="shared" si="234"/>
        <v>0</v>
      </c>
      <c r="Q1490">
        <f t="shared" si="235"/>
        <v>0</v>
      </c>
      <c r="R1490">
        <f t="shared" si="236"/>
        <v>0</v>
      </c>
      <c r="S1490">
        <f t="shared" si="237"/>
        <v>0</v>
      </c>
      <c r="T1490">
        <f t="shared" si="239"/>
        <v>0</v>
      </c>
      <c r="U1490">
        <f t="shared" si="238"/>
        <v>0</v>
      </c>
    </row>
    <row r="1491" spans="1:21" x14ac:dyDescent="0.25">
      <c r="A1491" s="101">
        <v>1490</v>
      </c>
      <c r="B1491" s="90" t="s">
        <v>624</v>
      </c>
      <c r="C1491" s="105" t="s">
        <v>188</v>
      </c>
      <c r="D1491">
        <v>50.48</v>
      </c>
      <c r="E1491" s="80">
        <v>185408.27</v>
      </c>
      <c r="F1491">
        <v>1113.71</v>
      </c>
      <c r="G1491">
        <v>244.65</v>
      </c>
      <c r="H1491" s="80">
        <v>20649.36</v>
      </c>
      <c r="I1491" s="80">
        <v>19569.79</v>
      </c>
      <c r="J1491">
        <v>126.92</v>
      </c>
      <c r="K1491" s="89" t="s">
        <v>582</v>
      </c>
      <c r="L1491">
        <f t="shared" si="230"/>
        <v>0</v>
      </c>
      <c r="M1491">
        <f t="shared" si="231"/>
        <v>0</v>
      </c>
      <c r="N1491">
        <f t="shared" si="232"/>
        <v>0</v>
      </c>
      <c r="O1491">
        <f t="shared" si="233"/>
        <v>0</v>
      </c>
      <c r="P1491">
        <f t="shared" si="234"/>
        <v>0</v>
      </c>
      <c r="Q1491">
        <f t="shared" si="235"/>
        <v>0</v>
      </c>
      <c r="R1491">
        <f t="shared" si="236"/>
        <v>0</v>
      </c>
      <c r="S1491">
        <f t="shared" si="237"/>
        <v>1</v>
      </c>
      <c r="T1491">
        <f t="shared" si="239"/>
        <v>1</v>
      </c>
      <c r="U1491">
        <f t="shared" si="238"/>
        <v>1</v>
      </c>
    </row>
    <row r="1492" spans="1:21" x14ac:dyDescent="0.25">
      <c r="A1492" s="101">
        <v>1491</v>
      </c>
      <c r="B1492" s="90" t="s">
        <v>624</v>
      </c>
      <c r="C1492" s="43" t="s">
        <v>182</v>
      </c>
      <c r="D1492">
        <v>0.99</v>
      </c>
      <c r="E1492">
        <v>1803.22</v>
      </c>
      <c r="F1492" t="s">
        <v>583</v>
      </c>
      <c r="G1492">
        <v>17.05</v>
      </c>
      <c r="H1492">
        <v>2.0499999999999998</v>
      </c>
      <c r="I1492">
        <v>108.51</v>
      </c>
      <c r="J1492">
        <v>3.32</v>
      </c>
      <c r="K1492">
        <v>0.78</v>
      </c>
      <c r="L1492">
        <f t="shared" si="230"/>
        <v>0</v>
      </c>
      <c r="M1492">
        <f t="shared" si="231"/>
        <v>0</v>
      </c>
      <c r="N1492">
        <f t="shared" si="232"/>
        <v>0</v>
      </c>
      <c r="O1492">
        <f t="shared" si="233"/>
        <v>0</v>
      </c>
      <c r="P1492">
        <f t="shared" si="234"/>
        <v>0</v>
      </c>
      <c r="Q1492">
        <f t="shared" si="235"/>
        <v>0</v>
      </c>
      <c r="R1492">
        <f t="shared" si="236"/>
        <v>0</v>
      </c>
      <c r="S1492">
        <f t="shared" si="237"/>
        <v>0</v>
      </c>
      <c r="T1492">
        <f t="shared" si="239"/>
        <v>0</v>
      </c>
      <c r="U1492">
        <f t="shared" si="238"/>
        <v>0</v>
      </c>
    </row>
    <row r="1493" spans="1:21" x14ac:dyDescent="0.25">
      <c r="A1493" s="101">
        <v>1492</v>
      </c>
      <c r="B1493" s="90" t="s">
        <v>624</v>
      </c>
      <c r="C1493" s="43" t="s">
        <v>184</v>
      </c>
      <c r="D1493">
        <v>22.93</v>
      </c>
      <c r="E1493">
        <v>16972.849999999999</v>
      </c>
      <c r="F1493">
        <v>180.67</v>
      </c>
      <c r="G1493">
        <v>91.58</v>
      </c>
      <c r="H1493">
        <v>7400.64</v>
      </c>
      <c r="I1493" s="80">
        <v>16738.650000000001</v>
      </c>
      <c r="J1493">
        <v>46.23</v>
      </c>
      <c r="K1493">
        <v>1028.32</v>
      </c>
      <c r="L1493">
        <f t="shared" si="230"/>
        <v>0</v>
      </c>
      <c r="M1493">
        <f t="shared" si="231"/>
        <v>0</v>
      </c>
      <c r="N1493">
        <f t="shared" si="232"/>
        <v>0</v>
      </c>
      <c r="O1493">
        <f t="shared" si="233"/>
        <v>0</v>
      </c>
      <c r="P1493">
        <f t="shared" si="234"/>
        <v>0</v>
      </c>
      <c r="Q1493">
        <f t="shared" si="235"/>
        <v>0</v>
      </c>
      <c r="R1493">
        <f t="shared" si="236"/>
        <v>0</v>
      </c>
      <c r="S1493">
        <f t="shared" si="237"/>
        <v>0</v>
      </c>
      <c r="T1493">
        <f t="shared" si="239"/>
        <v>0</v>
      </c>
      <c r="U1493">
        <f t="shared" si="238"/>
        <v>0</v>
      </c>
    </row>
    <row r="1494" spans="1:21" x14ac:dyDescent="0.25">
      <c r="A1494" s="101">
        <v>1493</v>
      </c>
      <c r="B1494" s="90" t="s">
        <v>624</v>
      </c>
      <c r="C1494" s="43" t="s">
        <v>187</v>
      </c>
      <c r="D1494">
        <v>95.46</v>
      </c>
      <c r="E1494">
        <v>17663.25</v>
      </c>
      <c r="F1494">
        <v>241.37</v>
      </c>
      <c r="G1494">
        <v>114.28</v>
      </c>
      <c r="H1494" s="80">
        <v>20330.78</v>
      </c>
      <c r="I1494" s="80">
        <v>17073.72</v>
      </c>
      <c r="J1494">
        <v>52.86</v>
      </c>
      <c r="K1494">
        <v>2754.19</v>
      </c>
      <c r="L1494">
        <f t="shared" si="230"/>
        <v>0</v>
      </c>
      <c r="M1494">
        <f t="shared" si="231"/>
        <v>0</v>
      </c>
      <c r="N1494">
        <f t="shared" si="232"/>
        <v>0</v>
      </c>
      <c r="O1494">
        <f t="shared" si="233"/>
        <v>0</v>
      </c>
      <c r="P1494">
        <f t="shared" si="234"/>
        <v>0</v>
      </c>
      <c r="Q1494">
        <f t="shared" si="235"/>
        <v>0</v>
      </c>
      <c r="R1494">
        <f t="shared" si="236"/>
        <v>0</v>
      </c>
      <c r="S1494">
        <f t="shared" si="237"/>
        <v>0</v>
      </c>
      <c r="T1494">
        <f t="shared" si="239"/>
        <v>0</v>
      </c>
      <c r="U1494">
        <f t="shared" si="238"/>
        <v>0</v>
      </c>
    </row>
    <row r="1495" spans="1:21" x14ac:dyDescent="0.25">
      <c r="A1495" s="101">
        <v>1494</v>
      </c>
      <c r="B1495" s="90" t="s">
        <v>624</v>
      </c>
      <c r="C1495" s="43" t="s">
        <v>189</v>
      </c>
      <c r="D1495">
        <v>82.91</v>
      </c>
      <c r="E1495">
        <v>17216.310000000001</v>
      </c>
      <c r="F1495">
        <v>45.18</v>
      </c>
      <c r="G1495">
        <v>114.28</v>
      </c>
      <c r="H1495">
        <v>14004.47</v>
      </c>
      <c r="I1495" s="80">
        <v>14789.8</v>
      </c>
      <c r="J1495">
        <v>77.31</v>
      </c>
      <c r="K1495">
        <v>5948.48</v>
      </c>
      <c r="L1495">
        <f t="shared" si="230"/>
        <v>0</v>
      </c>
      <c r="M1495">
        <f t="shared" si="231"/>
        <v>0</v>
      </c>
      <c r="N1495">
        <f t="shared" si="232"/>
        <v>0</v>
      </c>
      <c r="O1495">
        <f t="shared" si="233"/>
        <v>0</v>
      </c>
      <c r="P1495">
        <f t="shared" si="234"/>
        <v>0</v>
      </c>
      <c r="Q1495">
        <f t="shared" si="235"/>
        <v>0</v>
      </c>
      <c r="R1495">
        <f t="shared" si="236"/>
        <v>0</v>
      </c>
      <c r="S1495">
        <f t="shared" si="237"/>
        <v>0</v>
      </c>
      <c r="T1495">
        <f t="shared" si="239"/>
        <v>0</v>
      </c>
      <c r="U1495">
        <f t="shared" si="238"/>
        <v>0</v>
      </c>
    </row>
    <row r="1496" spans="1:21" x14ac:dyDescent="0.25">
      <c r="A1496" s="101">
        <v>1495</v>
      </c>
      <c r="B1496" s="90" t="s">
        <v>625</v>
      </c>
      <c r="C1496" s="43" t="s">
        <v>162</v>
      </c>
      <c r="D1496">
        <v>6.18</v>
      </c>
      <c r="E1496">
        <v>13118.16</v>
      </c>
      <c r="F1496">
        <v>0.6</v>
      </c>
      <c r="G1496">
        <v>32.65</v>
      </c>
      <c r="H1496">
        <v>1.56</v>
      </c>
      <c r="I1496">
        <v>2.25</v>
      </c>
      <c r="J1496">
        <v>16.28</v>
      </c>
      <c r="K1496">
        <v>2.11</v>
      </c>
      <c r="L1496">
        <f t="shared" si="230"/>
        <v>0</v>
      </c>
      <c r="M1496">
        <f t="shared" si="231"/>
        <v>0</v>
      </c>
      <c r="N1496">
        <f t="shared" si="232"/>
        <v>0</v>
      </c>
      <c r="O1496">
        <f t="shared" si="233"/>
        <v>0</v>
      </c>
      <c r="P1496">
        <f t="shared" si="234"/>
        <v>0</v>
      </c>
      <c r="Q1496">
        <f t="shared" si="235"/>
        <v>0</v>
      </c>
      <c r="R1496">
        <f t="shared" si="236"/>
        <v>0</v>
      </c>
      <c r="S1496">
        <f t="shared" si="237"/>
        <v>0</v>
      </c>
      <c r="T1496">
        <f t="shared" si="239"/>
        <v>0</v>
      </c>
      <c r="U1496">
        <f t="shared" si="238"/>
        <v>0</v>
      </c>
    </row>
    <row r="1497" spans="1:21" x14ac:dyDescent="0.25">
      <c r="A1497" s="101">
        <v>1496</v>
      </c>
      <c r="B1497" s="90" t="s">
        <v>625</v>
      </c>
      <c r="C1497" s="43" t="s">
        <v>170</v>
      </c>
      <c r="D1497">
        <v>13.1</v>
      </c>
      <c r="E1497">
        <v>15052.66</v>
      </c>
      <c r="F1497">
        <v>32.21</v>
      </c>
      <c r="G1497">
        <v>32.65</v>
      </c>
      <c r="H1497">
        <v>388.79</v>
      </c>
      <c r="I1497" s="80">
        <v>6395.77</v>
      </c>
      <c r="J1497">
        <v>23.17</v>
      </c>
      <c r="K1497">
        <v>235.97</v>
      </c>
      <c r="L1497">
        <f t="shared" si="230"/>
        <v>0</v>
      </c>
      <c r="M1497">
        <f t="shared" si="231"/>
        <v>0</v>
      </c>
      <c r="N1497">
        <f t="shared" si="232"/>
        <v>0</v>
      </c>
      <c r="O1497">
        <f t="shared" si="233"/>
        <v>0</v>
      </c>
      <c r="P1497">
        <f t="shared" si="234"/>
        <v>0</v>
      </c>
      <c r="Q1497">
        <f t="shared" si="235"/>
        <v>0</v>
      </c>
      <c r="R1497">
        <f t="shared" si="236"/>
        <v>0</v>
      </c>
      <c r="S1497">
        <f t="shared" si="237"/>
        <v>0</v>
      </c>
      <c r="T1497">
        <f t="shared" si="239"/>
        <v>0</v>
      </c>
      <c r="U1497">
        <f t="shared" si="238"/>
        <v>0</v>
      </c>
    </row>
    <row r="1498" spans="1:21" x14ac:dyDescent="0.25">
      <c r="A1498" s="101">
        <v>1497</v>
      </c>
      <c r="B1498" s="90" t="s">
        <v>625</v>
      </c>
      <c r="C1498" s="43" t="s">
        <v>178</v>
      </c>
      <c r="D1498">
        <v>50.48</v>
      </c>
      <c r="E1498">
        <v>20257.66</v>
      </c>
      <c r="F1498">
        <v>314.08</v>
      </c>
      <c r="G1498">
        <v>91.58</v>
      </c>
      <c r="H1498">
        <v>2602.06</v>
      </c>
      <c r="I1498" s="80">
        <v>10357.969999999999</v>
      </c>
      <c r="J1498">
        <v>42.98</v>
      </c>
      <c r="K1498">
        <v>583.54999999999995</v>
      </c>
      <c r="L1498">
        <f t="shared" si="230"/>
        <v>0</v>
      </c>
      <c r="M1498">
        <f t="shared" si="231"/>
        <v>0</v>
      </c>
      <c r="N1498">
        <f t="shared" si="232"/>
        <v>0</v>
      </c>
      <c r="O1498">
        <f t="shared" si="233"/>
        <v>0</v>
      </c>
      <c r="P1498">
        <f t="shared" si="234"/>
        <v>0</v>
      </c>
      <c r="Q1498">
        <f t="shared" si="235"/>
        <v>0</v>
      </c>
      <c r="R1498">
        <f t="shared" si="236"/>
        <v>0</v>
      </c>
      <c r="S1498">
        <f t="shared" si="237"/>
        <v>0</v>
      </c>
      <c r="T1498">
        <f t="shared" si="239"/>
        <v>0</v>
      </c>
      <c r="U1498">
        <f t="shared" si="238"/>
        <v>0</v>
      </c>
    </row>
    <row r="1499" spans="1:21" x14ac:dyDescent="0.25">
      <c r="A1499" s="101">
        <v>1498</v>
      </c>
      <c r="B1499" s="90" t="s">
        <v>625</v>
      </c>
      <c r="C1499" s="43" t="s">
        <v>163</v>
      </c>
      <c r="D1499">
        <v>321.49</v>
      </c>
      <c r="E1499">
        <v>17294.939999999999</v>
      </c>
      <c r="F1499">
        <v>95.77</v>
      </c>
      <c r="G1499">
        <v>97.13</v>
      </c>
      <c r="H1499">
        <v>7126.26</v>
      </c>
      <c r="I1499" s="80">
        <v>7501.4</v>
      </c>
      <c r="J1499">
        <v>66.61</v>
      </c>
      <c r="K1499">
        <v>8195.66</v>
      </c>
      <c r="L1499">
        <f t="shared" si="230"/>
        <v>0</v>
      </c>
      <c r="M1499">
        <f t="shared" si="231"/>
        <v>0</v>
      </c>
      <c r="N1499">
        <f t="shared" si="232"/>
        <v>0</v>
      </c>
      <c r="O1499">
        <f t="shared" si="233"/>
        <v>0</v>
      </c>
      <c r="P1499">
        <f t="shared" si="234"/>
        <v>0</v>
      </c>
      <c r="Q1499">
        <f t="shared" si="235"/>
        <v>0</v>
      </c>
      <c r="R1499">
        <f t="shared" si="236"/>
        <v>0</v>
      </c>
      <c r="S1499">
        <f t="shared" si="237"/>
        <v>0</v>
      </c>
      <c r="T1499">
        <f t="shared" si="239"/>
        <v>0</v>
      </c>
      <c r="U1499">
        <f t="shared" si="238"/>
        <v>0</v>
      </c>
    </row>
    <row r="1500" spans="1:21" x14ac:dyDescent="0.25">
      <c r="A1500" s="101">
        <v>1499</v>
      </c>
      <c r="B1500" s="90" t="s">
        <v>625</v>
      </c>
      <c r="C1500" s="43" t="s">
        <v>181</v>
      </c>
      <c r="D1500">
        <v>15.42</v>
      </c>
      <c r="E1500" s="80">
        <v>190460.41</v>
      </c>
      <c r="F1500">
        <v>1.38</v>
      </c>
      <c r="G1500">
        <v>80.739999999999995</v>
      </c>
      <c r="H1500">
        <v>17.690000000000001</v>
      </c>
      <c r="I1500">
        <v>445.04</v>
      </c>
      <c r="J1500">
        <v>42.98</v>
      </c>
      <c r="K1500">
        <v>41.66</v>
      </c>
      <c r="L1500">
        <f t="shared" si="230"/>
        <v>0</v>
      </c>
      <c r="M1500">
        <f t="shared" si="231"/>
        <v>0</v>
      </c>
      <c r="N1500">
        <f t="shared" si="232"/>
        <v>0</v>
      </c>
      <c r="O1500">
        <f t="shared" si="233"/>
        <v>0</v>
      </c>
      <c r="P1500">
        <f t="shared" si="234"/>
        <v>0</v>
      </c>
      <c r="Q1500">
        <f t="shared" si="235"/>
        <v>0</v>
      </c>
      <c r="R1500">
        <f t="shared" si="236"/>
        <v>0</v>
      </c>
      <c r="S1500">
        <f t="shared" si="237"/>
        <v>0</v>
      </c>
      <c r="T1500">
        <f t="shared" si="239"/>
        <v>0</v>
      </c>
      <c r="U1500">
        <f t="shared" si="238"/>
        <v>0</v>
      </c>
    </row>
    <row r="1501" spans="1:21" x14ac:dyDescent="0.25">
      <c r="A1501" s="101">
        <v>1500</v>
      </c>
      <c r="B1501" s="90" t="s">
        <v>625</v>
      </c>
      <c r="C1501" s="43" t="s">
        <v>183</v>
      </c>
      <c r="D1501">
        <v>36</v>
      </c>
      <c r="E1501" s="80">
        <v>82000.160000000003</v>
      </c>
      <c r="F1501">
        <v>1496.43</v>
      </c>
      <c r="G1501">
        <v>189.46</v>
      </c>
      <c r="H1501">
        <v>9746.56</v>
      </c>
      <c r="I1501" s="80">
        <v>19253.5</v>
      </c>
      <c r="J1501">
        <v>95.81</v>
      </c>
      <c r="K1501">
        <v>6301.66</v>
      </c>
      <c r="L1501">
        <f t="shared" si="230"/>
        <v>0</v>
      </c>
      <c r="M1501">
        <f t="shared" si="231"/>
        <v>0</v>
      </c>
      <c r="N1501">
        <f t="shared" si="232"/>
        <v>0</v>
      </c>
      <c r="O1501">
        <f t="shared" si="233"/>
        <v>0</v>
      </c>
      <c r="P1501">
        <f t="shared" si="234"/>
        <v>0</v>
      </c>
      <c r="Q1501">
        <f t="shared" si="235"/>
        <v>0</v>
      </c>
      <c r="R1501">
        <f t="shared" si="236"/>
        <v>0</v>
      </c>
      <c r="S1501">
        <f t="shared" si="237"/>
        <v>0</v>
      </c>
      <c r="T1501">
        <f t="shared" si="239"/>
        <v>0</v>
      </c>
      <c r="U1501">
        <f t="shared" si="238"/>
        <v>0</v>
      </c>
    </row>
    <row r="1502" spans="1:21" x14ac:dyDescent="0.25">
      <c r="A1502" s="101">
        <v>1501</v>
      </c>
      <c r="B1502" s="90" t="s">
        <v>625</v>
      </c>
      <c r="C1502" s="43" t="s">
        <v>186</v>
      </c>
      <c r="D1502">
        <v>48.33</v>
      </c>
      <c r="E1502" s="80">
        <v>63541.760000000002</v>
      </c>
      <c r="F1502">
        <v>3265.86</v>
      </c>
      <c r="G1502">
        <v>244.65</v>
      </c>
      <c r="H1502" s="80">
        <v>60530.21</v>
      </c>
      <c r="I1502" s="80">
        <v>21555.09</v>
      </c>
      <c r="J1502">
        <v>124.93</v>
      </c>
      <c r="K1502" s="80">
        <v>13512.71</v>
      </c>
      <c r="L1502">
        <f t="shared" si="230"/>
        <v>0</v>
      </c>
      <c r="M1502">
        <f t="shared" si="231"/>
        <v>0</v>
      </c>
      <c r="N1502">
        <f t="shared" si="232"/>
        <v>0</v>
      </c>
      <c r="O1502">
        <f t="shared" si="233"/>
        <v>0</v>
      </c>
      <c r="P1502">
        <f t="shared" si="234"/>
        <v>0</v>
      </c>
      <c r="Q1502">
        <f t="shared" si="235"/>
        <v>0</v>
      </c>
      <c r="R1502">
        <f t="shared" si="236"/>
        <v>0</v>
      </c>
      <c r="S1502">
        <f t="shared" si="237"/>
        <v>0</v>
      </c>
      <c r="T1502">
        <f t="shared" si="239"/>
        <v>0</v>
      </c>
      <c r="U1502">
        <f t="shared" si="238"/>
        <v>0</v>
      </c>
    </row>
    <row r="1503" spans="1:21" x14ac:dyDescent="0.25">
      <c r="A1503" s="101">
        <v>1502</v>
      </c>
      <c r="B1503" s="90" t="s">
        <v>625</v>
      </c>
      <c r="C1503" s="105" t="s">
        <v>188</v>
      </c>
      <c r="D1503">
        <v>52.65</v>
      </c>
      <c r="E1503" s="89" t="s">
        <v>582</v>
      </c>
      <c r="F1503">
        <v>1620.98</v>
      </c>
      <c r="G1503">
        <v>266.27</v>
      </c>
      <c r="H1503">
        <v>15683.18</v>
      </c>
      <c r="I1503" s="80">
        <v>18134.830000000002</v>
      </c>
      <c r="J1503">
        <v>147.19999999999999</v>
      </c>
      <c r="K1503" s="89" t="s">
        <v>582</v>
      </c>
      <c r="L1503">
        <f t="shared" si="230"/>
        <v>0</v>
      </c>
      <c r="M1503">
        <f t="shared" si="231"/>
        <v>1</v>
      </c>
      <c r="N1503">
        <f t="shared" si="232"/>
        <v>0</v>
      </c>
      <c r="O1503">
        <f t="shared" si="233"/>
        <v>0</v>
      </c>
      <c r="P1503">
        <f t="shared" si="234"/>
        <v>0</v>
      </c>
      <c r="Q1503">
        <f t="shared" si="235"/>
        <v>0</v>
      </c>
      <c r="R1503">
        <f t="shared" si="236"/>
        <v>0</v>
      </c>
      <c r="S1503">
        <f t="shared" si="237"/>
        <v>1</v>
      </c>
      <c r="T1503">
        <f t="shared" si="239"/>
        <v>2</v>
      </c>
      <c r="U1503">
        <f t="shared" si="238"/>
        <v>1</v>
      </c>
    </row>
    <row r="1504" spans="1:21" x14ac:dyDescent="0.25">
      <c r="A1504" s="101">
        <v>1503</v>
      </c>
      <c r="B1504" s="90" t="s">
        <v>625</v>
      </c>
      <c r="C1504" s="43" t="s">
        <v>182</v>
      </c>
      <c r="D1504">
        <v>0.99</v>
      </c>
      <c r="E1504">
        <v>3175.97</v>
      </c>
      <c r="F1504">
        <v>0.15</v>
      </c>
      <c r="G1504">
        <v>4.66</v>
      </c>
      <c r="H1504">
        <v>10.38</v>
      </c>
      <c r="I1504">
        <v>94.88</v>
      </c>
      <c r="J1504">
        <v>7.58</v>
      </c>
      <c r="K1504">
        <v>1.48</v>
      </c>
      <c r="L1504">
        <f t="shared" si="230"/>
        <v>0</v>
      </c>
      <c r="M1504">
        <f t="shared" si="231"/>
        <v>0</v>
      </c>
      <c r="N1504">
        <f t="shared" si="232"/>
        <v>0</v>
      </c>
      <c r="O1504">
        <f t="shared" si="233"/>
        <v>0</v>
      </c>
      <c r="P1504">
        <f t="shared" si="234"/>
        <v>0</v>
      </c>
      <c r="Q1504">
        <f t="shared" si="235"/>
        <v>0</v>
      </c>
      <c r="R1504">
        <f t="shared" si="236"/>
        <v>0</v>
      </c>
      <c r="S1504">
        <f t="shared" si="237"/>
        <v>0</v>
      </c>
      <c r="T1504">
        <f t="shared" si="239"/>
        <v>0</v>
      </c>
      <c r="U1504">
        <f t="shared" si="238"/>
        <v>0</v>
      </c>
    </row>
    <row r="1505" spans="1:21" x14ac:dyDescent="0.25">
      <c r="A1505" s="101">
        <v>1504</v>
      </c>
      <c r="B1505" s="90" t="s">
        <v>625</v>
      </c>
      <c r="C1505" s="43" t="s">
        <v>184</v>
      </c>
      <c r="D1505">
        <v>22.93</v>
      </c>
      <c r="E1505">
        <v>8887.82</v>
      </c>
      <c r="F1505">
        <v>48.61</v>
      </c>
      <c r="G1505">
        <v>70.27</v>
      </c>
      <c r="H1505">
        <v>8380.4500000000007</v>
      </c>
      <c r="I1505" s="80">
        <v>14613.72</v>
      </c>
      <c r="J1505">
        <v>36.64</v>
      </c>
      <c r="K1505">
        <v>1203.02</v>
      </c>
      <c r="L1505">
        <f t="shared" si="230"/>
        <v>0</v>
      </c>
      <c r="M1505">
        <f t="shared" si="231"/>
        <v>0</v>
      </c>
      <c r="N1505">
        <f t="shared" si="232"/>
        <v>0</v>
      </c>
      <c r="O1505">
        <f t="shared" si="233"/>
        <v>0</v>
      </c>
      <c r="P1505">
        <f t="shared" si="234"/>
        <v>0</v>
      </c>
      <c r="Q1505">
        <f t="shared" si="235"/>
        <v>0</v>
      </c>
      <c r="R1505">
        <f t="shared" si="236"/>
        <v>0</v>
      </c>
      <c r="S1505">
        <f t="shared" si="237"/>
        <v>0</v>
      </c>
      <c r="T1505">
        <f t="shared" si="239"/>
        <v>0</v>
      </c>
      <c r="U1505">
        <f t="shared" si="238"/>
        <v>0</v>
      </c>
    </row>
    <row r="1506" spans="1:21" x14ac:dyDescent="0.25">
      <c r="A1506" s="101">
        <v>1505</v>
      </c>
      <c r="B1506" s="90" t="s">
        <v>625</v>
      </c>
      <c r="C1506" s="43" t="s">
        <v>187</v>
      </c>
      <c r="D1506">
        <v>220.08</v>
      </c>
      <c r="E1506">
        <v>11822.17</v>
      </c>
      <c r="F1506">
        <v>290.88</v>
      </c>
      <c r="G1506">
        <v>91.58</v>
      </c>
      <c r="H1506" s="80">
        <v>20115.27</v>
      </c>
      <c r="I1506" s="80">
        <v>15044.78</v>
      </c>
      <c r="J1506">
        <v>56.23</v>
      </c>
      <c r="K1506">
        <v>4087.15</v>
      </c>
      <c r="L1506">
        <f t="shared" si="230"/>
        <v>0</v>
      </c>
      <c r="M1506">
        <f t="shared" si="231"/>
        <v>0</v>
      </c>
      <c r="N1506">
        <f t="shared" si="232"/>
        <v>0</v>
      </c>
      <c r="O1506">
        <f t="shared" si="233"/>
        <v>0</v>
      </c>
      <c r="P1506">
        <f t="shared" si="234"/>
        <v>0</v>
      </c>
      <c r="Q1506">
        <f t="shared" si="235"/>
        <v>0</v>
      </c>
      <c r="R1506">
        <f t="shared" si="236"/>
        <v>0</v>
      </c>
      <c r="S1506">
        <f t="shared" si="237"/>
        <v>0</v>
      </c>
      <c r="T1506">
        <f t="shared" si="239"/>
        <v>0</v>
      </c>
      <c r="U1506">
        <f t="shared" si="238"/>
        <v>0</v>
      </c>
    </row>
    <row r="1507" spans="1:21" x14ac:dyDescent="0.25">
      <c r="A1507" s="101">
        <v>1506</v>
      </c>
      <c r="B1507" s="90" t="s">
        <v>625</v>
      </c>
      <c r="C1507" s="43" t="s">
        <v>189</v>
      </c>
      <c r="D1507">
        <v>411.64</v>
      </c>
      <c r="E1507">
        <v>7263.78</v>
      </c>
      <c r="F1507">
        <v>10.11</v>
      </c>
      <c r="G1507">
        <v>97.13</v>
      </c>
      <c r="H1507">
        <v>13769.49</v>
      </c>
      <c r="I1507" s="80">
        <v>7708.97</v>
      </c>
      <c r="J1507">
        <v>66.61</v>
      </c>
      <c r="K1507">
        <v>7545.79</v>
      </c>
      <c r="L1507">
        <f t="shared" si="230"/>
        <v>0</v>
      </c>
      <c r="M1507">
        <f t="shared" si="231"/>
        <v>0</v>
      </c>
      <c r="N1507">
        <f t="shared" si="232"/>
        <v>0</v>
      </c>
      <c r="O1507">
        <f t="shared" si="233"/>
        <v>0</v>
      </c>
      <c r="P1507">
        <f t="shared" si="234"/>
        <v>0</v>
      </c>
      <c r="Q1507">
        <f t="shared" si="235"/>
        <v>0</v>
      </c>
      <c r="R1507">
        <f t="shared" si="236"/>
        <v>0</v>
      </c>
      <c r="S1507">
        <f t="shared" si="237"/>
        <v>0</v>
      </c>
      <c r="T1507">
        <f t="shared" si="239"/>
        <v>0</v>
      </c>
      <c r="U1507">
        <f t="shared" si="238"/>
        <v>0</v>
      </c>
    </row>
    <row r="1508" spans="1:21" x14ac:dyDescent="0.25">
      <c r="A1508" s="101">
        <v>1507</v>
      </c>
      <c r="B1508" s="90" t="s">
        <v>626</v>
      </c>
      <c r="C1508" s="43" t="s">
        <v>162</v>
      </c>
      <c r="D1508">
        <v>6.18</v>
      </c>
      <c r="E1508">
        <v>16666.11</v>
      </c>
      <c r="F1508">
        <v>0.69</v>
      </c>
      <c r="G1508">
        <v>36.93</v>
      </c>
      <c r="H1508">
        <v>1.1000000000000001</v>
      </c>
      <c r="I1508">
        <v>0.55000000000000004</v>
      </c>
      <c r="J1508">
        <v>16.28</v>
      </c>
      <c r="K1508">
        <v>2.8</v>
      </c>
      <c r="L1508">
        <f t="shared" si="230"/>
        <v>0</v>
      </c>
      <c r="M1508">
        <f t="shared" si="231"/>
        <v>0</v>
      </c>
      <c r="N1508">
        <f t="shared" si="232"/>
        <v>0</v>
      </c>
      <c r="O1508">
        <f t="shared" si="233"/>
        <v>0</v>
      </c>
      <c r="P1508">
        <f t="shared" si="234"/>
        <v>0</v>
      </c>
      <c r="Q1508">
        <f t="shared" si="235"/>
        <v>0</v>
      </c>
      <c r="R1508">
        <f t="shared" si="236"/>
        <v>0</v>
      </c>
      <c r="S1508">
        <f t="shared" si="237"/>
        <v>0</v>
      </c>
      <c r="T1508">
        <f t="shared" si="239"/>
        <v>0</v>
      </c>
      <c r="U1508">
        <f t="shared" si="238"/>
        <v>0</v>
      </c>
    </row>
    <row r="1509" spans="1:21" x14ac:dyDescent="0.25">
      <c r="A1509" s="101">
        <v>1508</v>
      </c>
      <c r="B1509" s="90" t="s">
        <v>626</v>
      </c>
      <c r="C1509" s="43" t="s">
        <v>170</v>
      </c>
      <c r="D1509">
        <v>42.05</v>
      </c>
      <c r="E1509">
        <v>17896.14</v>
      </c>
      <c r="F1509">
        <v>119.25</v>
      </c>
      <c r="G1509">
        <v>60.19</v>
      </c>
      <c r="H1509">
        <v>2199.52</v>
      </c>
      <c r="I1509" s="80">
        <v>8224.7900000000009</v>
      </c>
      <c r="J1509">
        <v>38.200000000000003</v>
      </c>
      <c r="K1509">
        <v>346.59</v>
      </c>
      <c r="L1509">
        <f t="shared" si="230"/>
        <v>0</v>
      </c>
      <c r="M1509">
        <f t="shared" si="231"/>
        <v>0</v>
      </c>
      <c r="N1509">
        <f t="shared" si="232"/>
        <v>0</v>
      </c>
      <c r="O1509">
        <f t="shared" si="233"/>
        <v>0</v>
      </c>
      <c r="P1509">
        <f t="shared" si="234"/>
        <v>0</v>
      </c>
      <c r="Q1509">
        <f t="shared" si="235"/>
        <v>0</v>
      </c>
      <c r="R1509">
        <f t="shared" si="236"/>
        <v>0</v>
      </c>
      <c r="S1509">
        <f t="shared" si="237"/>
        <v>0</v>
      </c>
      <c r="T1509">
        <f t="shared" si="239"/>
        <v>0</v>
      </c>
      <c r="U1509">
        <f t="shared" si="238"/>
        <v>0</v>
      </c>
    </row>
    <row r="1510" spans="1:21" x14ac:dyDescent="0.25">
      <c r="A1510" s="101">
        <v>1509</v>
      </c>
      <c r="B1510" s="90" t="s">
        <v>626</v>
      </c>
      <c r="C1510" s="43" t="s">
        <v>178</v>
      </c>
      <c r="D1510">
        <v>158.71</v>
      </c>
      <c r="E1510">
        <v>20538.88</v>
      </c>
      <c r="F1510">
        <v>449.28</v>
      </c>
      <c r="G1510">
        <v>126.1</v>
      </c>
      <c r="H1510">
        <v>10017.969999999999</v>
      </c>
      <c r="I1510" s="80">
        <v>12076.06</v>
      </c>
      <c r="J1510">
        <v>49.52</v>
      </c>
      <c r="K1510">
        <v>765.82</v>
      </c>
      <c r="L1510">
        <f t="shared" si="230"/>
        <v>0</v>
      </c>
      <c r="M1510">
        <f t="shared" si="231"/>
        <v>0</v>
      </c>
      <c r="N1510">
        <f t="shared" si="232"/>
        <v>0</v>
      </c>
      <c r="O1510">
        <f t="shared" si="233"/>
        <v>0</v>
      </c>
      <c r="P1510">
        <f t="shared" si="234"/>
        <v>0</v>
      </c>
      <c r="Q1510">
        <f t="shared" si="235"/>
        <v>0</v>
      </c>
      <c r="R1510">
        <f t="shared" si="236"/>
        <v>0</v>
      </c>
      <c r="S1510">
        <f t="shared" si="237"/>
        <v>0</v>
      </c>
      <c r="T1510">
        <f t="shared" si="239"/>
        <v>0</v>
      </c>
      <c r="U1510">
        <f t="shared" si="238"/>
        <v>0</v>
      </c>
    </row>
    <row r="1511" spans="1:21" x14ac:dyDescent="0.25">
      <c r="A1511" s="101">
        <v>1510</v>
      </c>
      <c r="B1511" s="90" t="s">
        <v>626</v>
      </c>
      <c r="C1511" s="43" t="s">
        <v>163</v>
      </c>
      <c r="D1511">
        <v>2469.8000000000002</v>
      </c>
      <c r="E1511">
        <v>21847.87</v>
      </c>
      <c r="F1511">
        <v>153.38</v>
      </c>
      <c r="G1511">
        <v>138.22</v>
      </c>
      <c r="H1511">
        <v>13377.15</v>
      </c>
      <c r="I1511" s="80">
        <v>9309.0499999999993</v>
      </c>
      <c r="J1511">
        <v>88.32</v>
      </c>
      <c r="K1511" s="80">
        <v>10034.709999999999</v>
      </c>
      <c r="L1511">
        <f t="shared" si="230"/>
        <v>0</v>
      </c>
      <c r="M1511">
        <f t="shared" si="231"/>
        <v>0</v>
      </c>
      <c r="N1511">
        <f t="shared" si="232"/>
        <v>0</v>
      </c>
      <c r="O1511">
        <f t="shared" si="233"/>
        <v>0</v>
      </c>
      <c r="P1511">
        <f t="shared" si="234"/>
        <v>0</v>
      </c>
      <c r="Q1511">
        <f t="shared" si="235"/>
        <v>0</v>
      </c>
      <c r="R1511">
        <f t="shared" si="236"/>
        <v>0</v>
      </c>
      <c r="S1511">
        <f t="shared" si="237"/>
        <v>0</v>
      </c>
      <c r="T1511">
        <f t="shared" si="239"/>
        <v>0</v>
      </c>
      <c r="U1511">
        <f t="shared" si="238"/>
        <v>0</v>
      </c>
    </row>
    <row r="1512" spans="1:21" x14ac:dyDescent="0.25">
      <c r="A1512" s="101">
        <v>1511</v>
      </c>
      <c r="B1512" s="90" t="s">
        <v>626</v>
      </c>
      <c r="C1512" s="43" t="s">
        <v>181</v>
      </c>
      <c r="D1512">
        <v>7.45</v>
      </c>
      <c r="E1512" s="80">
        <v>27829.64</v>
      </c>
      <c r="F1512">
        <v>0.64</v>
      </c>
      <c r="G1512">
        <v>41.34</v>
      </c>
      <c r="H1512">
        <v>2.56</v>
      </c>
      <c r="I1512">
        <v>4.03</v>
      </c>
      <c r="J1512">
        <v>27.52</v>
      </c>
      <c r="K1512">
        <v>4.12</v>
      </c>
      <c r="L1512">
        <f t="shared" si="230"/>
        <v>0</v>
      </c>
      <c r="M1512">
        <f t="shared" si="231"/>
        <v>0</v>
      </c>
      <c r="N1512">
        <f t="shared" si="232"/>
        <v>0</v>
      </c>
      <c r="O1512">
        <f t="shared" si="233"/>
        <v>0</v>
      </c>
      <c r="P1512">
        <f t="shared" si="234"/>
        <v>0</v>
      </c>
      <c r="Q1512">
        <f t="shared" si="235"/>
        <v>0</v>
      </c>
      <c r="R1512">
        <f t="shared" si="236"/>
        <v>0</v>
      </c>
      <c r="S1512">
        <f t="shared" si="237"/>
        <v>0</v>
      </c>
      <c r="T1512">
        <f t="shared" si="239"/>
        <v>0</v>
      </c>
      <c r="U1512">
        <f t="shared" si="238"/>
        <v>0</v>
      </c>
    </row>
    <row r="1513" spans="1:21" x14ac:dyDescent="0.25">
      <c r="A1513" s="101">
        <v>1512</v>
      </c>
      <c r="B1513" s="90" t="s">
        <v>626</v>
      </c>
      <c r="C1513" s="43" t="s">
        <v>183</v>
      </c>
      <c r="D1513">
        <v>24.7</v>
      </c>
      <c r="E1513">
        <v>22401.119999999999</v>
      </c>
      <c r="F1513">
        <v>1385.99</v>
      </c>
      <c r="G1513">
        <v>150.63</v>
      </c>
      <c r="H1513">
        <v>11910.38</v>
      </c>
      <c r="I1513" s="80">
        <v>17447.189999999999</v>
      </c>
      <c r="J1513">
        <v>77.31</v>
      </c>
      <c r="K1513">
        <v>6358.55</v>
      </c>
      <c r="L1513">
        <f t="shared" si="230"/>
        <v>0</v>
      </c>
      <c r="M1513">
        <f t="shared" si="231"/>
        <v>0</v>
      </c>
      <c r="N1513">
        <f t="shared" si="232"/>
        <v>0</v>
      </c>
      <c r="O1513">
        <f t="shared" si="233"/>
        <v>0</v>
      </c>
      <c r="P1513">
        <f t="shared" si="234"/>
        <v>0</v>
      </c>
      <c r="Q1513">
        <f t="shared" si="235"/>
        <v>0</v>
      </c>
      <c r="R1513">
        <f t="shared" si="236"/>
        <v>0</v>
      </c>
      <c r="S1513">
        <f t="shared" si="237"/>
        <v>0</v>
      </c>
      <c r="T1513">
        <f t="shared" si="239"/>
        <v>0</v>
      </c>
      <c r="U1513">
        <f t="shared" si="238"/>
        <v>0</v>
      </c>
    </row>
    <row r="1514" spans="1:21" x14ac:dyDescent="0.25">
      <c r="A1514" s="101">
        <v>1513</v>
      </c>
      <c r="B1514" s="90" t="s">
        <v>626</v>
      </c>
      <c r="C1514" s="43" t="s">
        <v>186</v>
      </c>
      <c r="D1514">
        <v>28.34</v>
      </c>
      <c r="E1514">
        <v>16895.66</v>
      </c>
      <c r="F1514">
        <v>1303.8599999999999</v>
      </c>
      <c r="G1514">
        <v>163.31</v>
      </c>
      <c r="H1514" s="80">
        <v>28960.720000000001</v>
      </c>
      <c r="I1514" s="80">
        <v>18578.41</v>
      </c>
      <c r="J1514">
        <v>73.709999999999994</v>
      </c>
      <c r="K1514" s="80">
        <v>8437.4</v>
      </c>
      <c r="L1514">
        <f t="shared" si="230"/>
        <v>0</v>
      </c>
      <c r="M1514">
        <f t="shared" si="231"/>
        <v>0</v>
      </c>
      <c r="N1514">
        <f t="shared" si="232"/>
        <v>0</v>
      </c>
      <c r="O1514">
        <f t="shared" si="233"/>
        <v>0</v>
      </c>
      <c r="P1514">
        <f t="shared" si="234"/>
        <v>0</v>
      </c>
      <c r="Q1514">
        <f t="shared" si="235"/>
        <v>0</v>
      </c>
      <c r="R1514">
        <f t="shared" si="236"/>
        <v>0</v>
      </c>
      <c r="S1514">
        <f t="shared" si="237"/>
        <v>0</v>
      </c>
      <c r="T1514">
        <f t="shared" si="239"/>
        <v>0</v>
      </c>
      <c r="U1514">
        <f t="shared" si="238"/>
        <v>0</v>
      </c>
    </row>
    <row r="1515" spans="1:21" x14ac:dyDescent="0.25">
      <c r="A1515" s="101">
        <v>1514</v>
      </c>
      <c r="B1515" s="90" t="s">
        <v>626</v>
      </c>
      <c r="C1515" s="43" t="s">
        <v>188</v>
      </c>
      <c r="D1515">
        <v>43.08</v>
      </c>
      <c r="E1515" s="80">
        <v>61726.37</v>
      </c>
      <c r="F1515">
        <v>646.89</v>
      </c>
      <c r="G1515">
        <v>209.72</v>
      </c>
      <c r="H1515">
        <v>11348.25</v>
      </c>
      <c r="I1515" s="80">
        <v>16307.51</v>
      </c>
      <c r="J1515">
        <v>124.93</v>
      </c>
      <c r="K1515" s="80">
        <v>82128.81</v>
      </c>
      <c r="L1515">
        <f t="shared" si="230"/>
        <v>0</v>
      </c>
      <c r="M1515">
        <f t="shared" si="231"/>
        <v>0</v>
      </c>
      <c r="N1515">
        <f t="shared" si="232"/>
        <v>0</v>
      </c>
      <c r="O1515">
        <f t="shared" si="233"/>
        <v>0</v>
      </c>
      <c r="P1515">
        <f t="shared" si="234"/>
        <v>0</v>
      </c>
      <c r="Q1515">
        <f t="shared" si="235"/>
        <v>0</v>
      </c>
      <c r="R1515">
        <f t="shared" si="236"/>
        <v>0</v>
      </c>
      <c r="S1515">
        <f t="shared" si="237"/>
        <v>0</v>
      </c>
      <c r="T1515">
        <f t="shared" si="239"/>
        <v>0</v>
      </c>
      <c r="U1515">
        <f t="shared" si="238"/>
        <v>0</v>
      </c>
    </row>
    <row r="1516" spans="1:21" x14ac:dyDescent="0.25">
      <c r="A1516" s="101">
        <v>1515</v>
      </c>
      <c r="B1516" s="90" t="s">
        <v>626</v>
      </c>
      <c r="C1516" s="43" t="s">
        <v>182</v>
      </c>
      <c r="D1516">
        <v>1.83</v>
      </c>
      <c r="E1516">
        <v>2000.8</v>
      </c>
      <c r="F1516">
        <v>13.57</v>
      </c>
      <c r="G1516">
        <v>10.36</v>
      </c>
      <c r="H1516">
        <v>711.54</v>
      </c>
      <c r="I1516" s="80">
        <v>7889.51</v>
      </c>
      <c r="J1516">
        <v>13.66</v>
      </c>
      <c r="K1516">
        <v>511.37</v>
      </c>
      <c r="L1516">
        <f t="shared" si="230"/>
        <v>0</v>
      </c>
      <c r="M1516">
        <f t="shared" si="231"/>
        <v>0</v>
      </c>
      <c r="N1516">
        <f t="shared" si="232"/>
        <v>0</v>
      </c>
      <c r="O1516">
        <f t="shared" si="233"/>
        <v>0</v>
      </c>
      <c r="P1516">
        <f t="shared" si="234"/>
        <v>0</v>
      </c>
      <c r="Q1516">
        <f t="shared" si="235"/>
        <v>0</v>
      </c>
      <c r="R1516">
        <f t="shared" si="236"/>
        <v>0</v>
      </c>
      <c r="S1516">
        <f t="shared" si="237"/>
        <v>0</v>
      </c>
      <c r="T1516">
        <f t="shared" si="239"/>
        <v>0</v>
      </c>
      <c r="U1516">
        <f t="shared" si="238"/>
        <v>0</v>
      </c>
    </row>
    <row r="1517" spans="1:21" x14ac:dyDescent="0.25">
      <c r="A1517" s="101">
        <v>1516</v>
      </c>
      <c r="B1517" s="90" t="s">
        <v>626</v>
      </c>
      <c r="C1517" s="43" t="s">
        <v>184</v>
      </c>
      <c r="D1517">
        <v>34.04</v>
      </c>
      <c r="E1517">
        <v>4379.37</v>
      </c>
      <c r="F1517">
        <v>54.99</v>
      </c>
      <c r="G1517">
        <v>60.19</v>
      </c>
      <c r="H1517">
        <v>9834</v>
      </c>
      <c r="I1517" s="80">
        <v>11389.71</v>
      </c>
      <c r="J1517">
        <v>27.52</v>
      </c>
      <c r="K1517">
        <v>651.39</v>
      </c>
      <c r="L1517">
        <f t="shared" si="230"/>
        <v>0</v>
      </c>
      <c r="M1517">
        <f t="shared" si="231"/>
        <v>0</v>
      </c>
      <c r="N1517">
        <f t="shared" si="232"/>
        <v>0</v>
      </c>
      <c r="O1517">
        <f t="shared" si="233"/>
        <v>0</v>
      </c>
      <c r="P1517">
        <f t="shared" si="234"/>
        <v>0</v>
      </c>
      <c r="Q1517">
        <f t="shared" si="235"/>
        <v>0</v>
      </c>
      <c r="R1517">
        <f t="shared" si="236"/>
        <v>0</v>
      </c>
      <c r="S1517">
        <f t="shared" si="237"/>
        <v>0</v>
      </c>
      <c r="T1517">
        <f t="shared" si="239"/>
        <v>0</v>
      </c>
      <c r="U1517">
        <f t="shared" si="238"/>
        <v>0</v>
      </c>
    </row>
    <row r="1518" spans="1:21" x14ac:dyDescent="0.25">
      <c r="A1518" s="101">
        <v>1517</v>
      </c>
      <c r="B1518" s="90" t="s">
        <v>626</v>
      </c>
      <c r="C1518" s="43" t="s">
        <v>187</v>
      </c>
      <c r="D1518">
        <v>57.06</v>
      </c>
      <c r="E1518">
        <v>4519.43</v>
      </c>
      <c r="F1518">
        <v>83.95</v>
      </c>
      <c r="G1518">
        <v>70.27</v>
      </c>
      <c r="H1518">
        <v>11515.19</v>
      </c>
      <c r="I1518" s="80">
        <v>8127.73</v>
      </c>
      <c r="J1518">
        <v>27.52</v>
      </c>
      <c r="K1518">
        <v>1212.8499999999999</v>
      </c>
      <c r="L1518">
        <f t="shared" si="230"/>
        <v>0</v>
      </c>
      <c r="M1518">
        <f t="shared" si="231"/>
        <v>0</v>
      </c>
      <c r="N1518">
        <f t="shared" si="232"/>
        <v>0</v>
      </c>
      <c r="O1518">
        <f t="shared" si="233"/>
        <v>0</v>
      </c>
      <c r="P1518">
        <f t="shared" si="234"/>
        <v>0</v>
      </c>
      <c r="Q1518">
        <f t="shared" si="235"/>
        <v>0</v>
      </c>
      <c r="R1518">
        <f t="shared" si="236"/>
        <v>0</v>
      </c>
      <c r="S1518">
        <f t="shared" si="237"/>
        <v>0</v>
      </c>
      <c r="T1518">
        <f t="shared" si="239"/>
        <v>0</v>
      </c>
      <c r="U1518">
        <f t="shared" si="238"/>
        <v>0</v>
      </c>
    </row>
    <row r="1519" spans="1:21" x14ac:dyDescent="0.25">
      <c r="A1519" s="101">
        <v>1518</v>
      </c>
      <c r="B1519" s="90" t="s">
        <v>626</v>
      </c>
      <c r="C1519" s="43" t="s">
        <v>189</v>
      </c>
      <c r="D1519">
        <v>92.91</v>
      </c>
      <c r="E1519">
        <v>3346.44</v>
      </c>
      <c r="F1519">
        <v>4.0199999999999996</v>
      </c>
      <c r="G1519">
        <v>50.53</v>
      </c>
      <c r="H1519">
        <v>5993.73</v>
      </c>
      <c r="I1519" s="80">
        <v>4907.6499999999996</v>
      </c>
      <c r="J1519">
        <v>30.5</v>
      </c>
      <c r="K1519">
        <v>2841.53</v>
      </c>
      <c r="L1519">
        <f t="shared" si="230"/>
        <v>0</v>
      </c>
      <c r="M1519">
        <f t="shared" si="231"/>
        <v>0</v>
      </c>
      <c r="N1519">
        <f t="shared" si="232"/>
        <v>0</v>
      </c>
      <c r="O1519">
        <f t="shared" si="233"/>
        <v>0</v>
      </c>
      <c r="P1519">
        <f t="shared" si="234"/>
        <v>0</v>
      </c>
      <c r="Q1519">
        <f t="shared" si="235"/>
        <v>0</v>
      </c>
      <c r="R1519">
        <f t="shared" si="236"/>
        <v>0</v>
      </c>
      <c r="S1519">
        <f t="shared" si="237"/>
        <v>0</v>
      </c>
      <c r="T1519">
        <f t="shared" si="239"/>
        <v>0</v>
      </c>
      <c r="U1519">
        <f t="shared" si="238"/>
        <v>0</v>
      </c>
    </row>
    <row r="1520" spans="1:21" x14ac:dyDescent="0.25">
      <c r="A1520" s="101">
        <v>1519</v>
      </c>
      <c r="B1520" s="90" t="s">
        <v>621</v>
      </c>
      <c r="C1520" s="43" t="s">
        <v>162</v>
      </c>
      <c r="D1520">
        <v>1.83</v>
      </c>
      <c r="E1520">
        <v>9768.27</v>
      </c>
      <c r="F1520">
        <v>0.6</v>
      </c>
      <c r="G1520">
        <v>17.05</v>
      </c>
      <c r="H1520">
        <v>0.88</v>
      </c>
      <c r="I1520">
        <v>0.35</v>
      </c>
      <c r="J1520">
        <v>12.39</v>
      </c>
      <c r="K1520">
        <v>1.19</v>
      </c>
      <c r="L1520">
        <f t="shared" si="230"/>
        <v>0</v>
      </c>
      <c r="M1520">
        <f t="shared" si="231"/>
        <v>0</v>
      </c>
      <c r="N1520">
        <f t="shared" si="232"/>
        <v>0</v>
      </c>
      <c r="O1520">
        <f t="shared" si="233"/>
        <v>0</v>
      </c>
      <c r="P1520">
        <f t="shared" si="234"/>
        <v>0</v>
      </c>
      <c r="Q1520">
        <f t="shared" si="235"/>
        <v>0</v>
      </c>
      <c r="R1520">
        <f t="shared" si="236"/>
        <v>0</v>
      </c>
      <c r="S1520">
        <f t="shared" si="237"/>
        <v>0</v>
      </c>
      <c r="T1520">
        <f t="shared" si="239"/>
        <v>0</v>
      </c>
      <c r="U1520">
        <f t="shared" si="238"/>
        <v>0</v>
      </c>
    </row>
    <row r="1521" spans="1:21" x14ac:dyDescent="0.25">
      <c r="A1521" s="101">
        <v>1520</v>
      </c>
      <c r="B1521" s="90" t="s">
        <v>621</v>
      </c>
      <c r="C1521" s="43" t="s">
        <v>170</v>
      </c>
      <c r="D1521">
        <v>8.7799999999999994</v>
      </c>
      <c r="E1521">
        <v>12729.74</v>
      </c>
      <c r="F1521">
        <v>85.48</v>
      </c>
      <c r="G1521">
        <v>36.93</v>
      </c>
      <c r="H1521">
        <v>556.95000000000005</v>
      </c>
      <c r="I1521" s="80">
        <v>7539.21</v>
      </c>
      <c r="J1521">
        <v>24.6</v>
      </c>
      <c r="K1521">
        <v>259.95999999999998</v>
      </c>
      <c r="L1521">
        <f t="shared" si="230"/>
        <v>0</v>
      </c>
      <c r="M1521">
        <f t="shared" si="231"/>
        <v>0</v>
      </c>
      <c r="N1521">
        <f t="shared" si="232"/>
        <v>0</v>
      </c>
      <c r="O1521">
        <f t="shared" si="233"/>
        <v>0</v>
      </c>
      <c r="P1521">
        <f t="shared" si="234"/>
        <v>0</v>
      </c>
      <c r="Q1521">
        <f t="shared" si="235"/>
        <v>0</v>
      </c>
      <c r="R1521">
        <f t="shared" si="236"/>
        <v>0</v>
      </c>
      <c r="S1521">
        <f t="shared" si="237"/>
        <v>0</v>
      </c>
      <c r="T1521">
        <f t="shared" si="239"/>
        <v>0</v>
      </c>
      <c r="U1521">
        <f t="shared" si="238"/>
        <v>0</v>
      </c>
    </row>
    <row r="1522" spans="1:21" x14ac:dyDescent="0.25">
      <c r="A1522" s="101">
        <v>1521</v>
      </c>
      <c r="B1522" s="90" t="s">
        <v>621</v>
      </c>
      <c r="C1522" s="43" t="s">
        <v>178</v>
      </c>
      <c r="D1522">
        <v>44.12</v>
      </c>
      <c r="E1522">
        <v>20095.59</v>
      </c>
      <c r="F1522">
        <v>788.43</v>
      </c>
      <c r="G1522">
        <v>80.739999999999995</v>
      </c>
      <c r="H1522">
        <v>4114.84</v>
      </c>
      <c r="I1522" s="80">
        <v>13342.7</v>
      </c>
      <c r="J1522">
        <v>42.98</v>
      </c>
      <c r="K1522">
        <v>980.75</v>
      </c>
      <c r="L1522">
        <f t="shared" si="230"/>
        <v>0</v>
      </c>
      <c r="M1522">
        <f t="shared" si="231"/>
        <v>0</v>
      </c>
      <c r="N1522">
        <f t="shared" si="232"/>
        <v>0</v>
      </c>
      <c r="O1522">
        <f t="shared" si="233"/>
        <v>0</v>
      </c>
      <c r="P1522">
        <f t="shared" si="234"/>
        <v>0</v>
      </c>
      <c r="Q1522">
        <f t="shared" si="235"/>
        <v>0</v>
      </c>
      <c r="R1522">
        <f t="shared" si="236"/>
        <v>0</v>
      </c>
      <c r="S1522">
        <f t="shared" si="237"/>
        <v>0</v>
      </c>
      <c r="T1522">
        <f t="shared" si="239"/>
        <v>0</v>
      </c>
      <c r="U1522">
        <f t="shared" si="238"/>
        <v>0</v>
      </c>
    </row>
    <row r="1523" spans="1:21" x14ac:dyDescent="0.25">
      <c r="A1523" s="101">
        <v>1522</v>
      </c>
      <c r="B1523" s="90" t="s">
        <v>621</v>
      </c>
      <c r="C1523" s="43" t="s">
        <v>163</v>
      </c>
      <c r="D1523">
        <v>346.61</v>
      </c>
      <c r="E1523" s="80">
        <v>25030.52</v>
      </c>
      <c r="F1523">
        <v>91.42</v>
      </c>
      <c r="G1523">
        <v>138.22</v>
      </c>
      <c r="H1523">
        <v>3023.86</v>
      </c>
      <c r="I1523" s="80">
        <v>11562.65</v>
      </c>
      <c r="J1523">
        <v>99.61</v>
      </c>
      <c r="K1523" s="80">
        <v>11728.76</v>
      </c>
      <c r="L1523">
        <f t="shared" si="230"/>
        <v>0</v>
      </c>
      <c r="M1523">
        <f t="shared" si="231"/>
        <v>0</v>
      </c>
      <c r="N1523">
        <f t="shared" si="232"/>
        <v>0</v>
      </c>
      <c r="O1523">
        <f t="shared" si="233"/>
        <v>0</v>
      </c>
      <c r="P1523">
        <f t="shared" si="234"/>
        <v>0</v>
      </c>
      <c r="Q1523">
        <f t="shared" si="235"/>
        <v>0</v>
      </c>
      <c r="R1523">
        <f t="shared" si="236"/>
        <v>0</v>
      </c>
      <c r="S1523">
        <f t="shared" si="237"/>
        <v>0</v>
      </c>
      <c r="T1523">
        <f t="shared" si="239"/>
        <v>0</v>
      </c>
      <c r="U1523">
        <f t="shared" si="238"/>
        <v>0</v>
      </c>
    </row>
    <row r="1524" spans="1:21" x14ac:dyDescent="0.25">
      <c r="A1524" s="101">
        <v>1523</v>
      </c>
      <c r="B1524" s="90" t="s">
        <v>621</v>
      </c>
      <c r="C1524" s="43" t="s">
        <v>181</v>
      </c>
      <c r="D1524">
        <v>14.64</v>
      </c>
      <c r="E1524" s="80">
        <v>58512.67</v>
      </c>
      <c r="F1524">
        <v>0.98</v>
      </c>
      <c r="G1524">
        <v>70.27</v>
      </c>
      <c r="H1524">
        <v>207.48</v>
      </c>
      <c r="I1524">
        <v>120.91</v>
      </c>
      <c r="J1524">
        <v>36.64</v>
      </c>
      <c r="K1524">
        <v>31.79</v>
      </c>
      <c r="L1524">
        <f t="shared" si="230"/>
        <v>0</v>
      </c>
      <c r="M1524">
        <f t="shared" si="231"/>
        <v>0</v>
      </c>
      <c r="N1524">
        <f t="shared" si="232"/>
        <v>0</v>
      </c>
      <c r="O1524">
        <f t="shared" si="233"/>
        <v>0</v>
      </c>
      <c r="P1524">
        <f t="shared" si="234"/>
        <v>0</v>
      </c>
      <c r="Q1524">
        <f t="shared" si="235"/>
        <v>0</v>
      </c>
      <c r="R1524">
        <f t="shared" si="236"/>
        <v>0</v>
      </c>
      <c r="S1524">
        <f t="shared" si="237"/>
        <v>0</v>
      </c>
      <c r="T1524">
        <f t="shared" si="239"/>
        <v>0</v>
      </c>
      <c r="U1524">
        <f t="shared" si="238"/>
        <v>0</v>
      </c>
    </row>
    <row r="1525" spans="1:21" x14ac:dyDescent="0.25">
      <c r="A1525" s="101">
        <v>1524</v>
      </c>
      <c r="B1525" s="90" t="s">
        <v>621</v>
      </c>
      <c r="C1525" s="43" t="s">
        <v>183</v>
      </c>
      <c r="D1525">
        <v>30.21</v>
      </c>
      <c r="E1525" s="80">
        <v>47375.92</v>
      </c>
      <c r="F1525">
        <v>1018.12</v>
      </c>
      <c r="G1525">
        <v>138.22</v>
      </c>
      <c r="H1525">
        <v>6044.19</v>
      </c>
      <c r="I1525" s="80">
        <v>18669.61</v>
      </c>
      <c r="J1525">
        <v>70.14</v>
      </c>
      <c r="K1525">
        <v>2972.77</v>
      </c>
      <c r="L1525">
        <f t="shared" si="230"/>
        <v>0</v>
      </c>
      <c r="M1525">
        <f t="shared" si="231"/>
        <v>0</v>
      </c>
      <c r="N1525">
        <f t="shared" si="232"/>
        <v>0</v>
      </c>
      <c r="O1525">
        <f t="shared" si="233"/>
        <v>0</v>
      </c>
      <c r="P1525">
        <f t="shared" si="234"/>
        <v>0</v>
      </c>
      <c r="Q1525">
        <f t="shared" si="235"/>
        <v>0</v>
      </c>
      <c r="R1525">
        <f t="shared" si="236"/>
        <v>0</v>
      </c>
      <c r="S1525">
        <f t="shared" si="237"/>
        <v>0</v>
      </c>
      <c r="T1525">
        <f t="shared" si="239"/>
        <v>0</v>
      </c>
      <c r="U1525">
        <f t="shared" si="238"/>
        <v>0</v>
      </c>
    </row>
    <row r="1526" spans="1:21" x14ac:dyDescent="0.25">
      <c r="A1526" s="101">
        <v>1525</v>
      </c>
      <c r="B1526" s="90" t="s">
        <v>621</v>
      </c>
      <c r="C1526" s="43" t="s">
        <v>186</v>
      </c>
      <c r="D1526">
        <v>41.02</v>
      </c>
      <c r="E1526" s="80">
        <v>35895.769999999997</v>
      </c>
      <c r="F1526">
        <v>2671.96</v>
      </c>
      <c r="G1526">
        <v>202.91</v>
      </c>
      <c r="H1526" s="80">
        <v>29555.87</v>
      </c>
      <c r="I1526" s="80">
        <v>20786.68</v>
      </c>
      <c r="J1526">
        <v>117.02</v>
      </c>
      <c r="K1526" s="80">
        <v>9493.27</v>
      </c>
      <c r="L1526">
        <f t="shared" si="230"/>
        <v>0</v>
      </c>
      <c r="M1526">
        <f t="shared" si="231"/>
        <v>0</v>
      </c>
      <c r="N1526">
        <f t="shared" si="232"/>
        <v>0</v>
      </c>
      <c r="O1526">
        <f t="shared" si="233"/>
        <v>0</v>
      </c>
      <c r="P1526">
        <f t="shared" si="234"/>
        <v>0</v>
      </c>
      <c r="Q1526">
        <f t="shared" si="235"/>
        <v>0</v>
      </c>
      <c r="R1526">
        <f t="shared" si="236"/>
        <v>0</v>
      </c>
      <c r="S1526">
        <f t="shared" si="237"/>
        <v>0</v>
      </c>
      <c r="T1526">
        <f t="shared" si="239"/>
        <v>0</v>
      </c>
      <c r="U1526">
        <f t="shared" si="238"/>
        <v>0</v>
      </c>
    </row>
    <row r="1527" spans="1:21" x14ac:dyDescent="0.25">
      <c r="A1527" s="101">
        <v>1526</v>
      </c>
      <c r="B1527" s="90" t="s">
        <v>621</v>
      </c>
      <c r="C1527" s="43" t="s">
        <v>188</v>
      </c>
      <c r="D1527">
        <v>36.99</v>
      </c>
      <c r="E1527" s="80">
        <v>224420.02</v>
      </c>
      <c r="F1527">
        <v>187.96</v>
      </c>
      <c r="G1527">
        <v>202.91</v>
      </c>
      <c r="H1527">
        <v>3466.05</v>
      </c>
      <c r="I1527" s="80">
        <v>16208.09</v>
      </c>
      <c r="J1527">
        <v>101.51</v>
      </c>
      <c r="K1527" s="80">
        <v>8563.2800000000007</v>
      </c>
      <c r="L1527">
        <f t="shared" si="230"/>
        <v>0</v>
      </c>
      <c r="M1527">
        <f t="shared" si="231"/>
        <v>0</v>
      </c>
      <c r="N1527">
        <f t="shared" si="232"/>
        <v>0</v>
      </c>
      <c r="O1527">
        <f t="shared" si="233"/>
        <v>0</v>
      </c>
      <c r="P1527">
        <f t="shared" si="234"/>
        <v>0</v>
      </c>
      <c r="Q1527">
        <f t="shared" si="235"/>
        <v>0</v>
      </c>
      <c r="R1527">
        <f t="shared" si="236"/>
        <v>0</v>
      </c>
      <c r="S1527">
        <f t="shared" si="237"/>
        <v>0</v>
      </c>
      <c r="T1527">
        <f t="shared" si="239"/>
        <v>0</v>
      </c>
      <c r="U1527">
        <f t="shared" si="238"/>
        <v>0</v>
      </c>
    </row>
    <row r="1528" spans="1:21" x14ac:dyDescent="0.25">
      <c r="A1528" s="101">
        <v>1527</v>
      </c>
      <c r="B1528" s="90" t="s">
        <v>621</v>
      </c>
      <c r="C1528" s="43" t="s">
        <v>182</v>
      </c>
      <c r="D1528">
        <v>3.83</v>
      </c>
      <c r="E1528">
        <v>3403.95</v>
      </c>
      <c r="F1528">
        <v>39.85</v>
      </c>
      <c r="G1528">
        <v>17.05</v>
      </c>
      <c r="H1528">
        <v>200.21</v>
      </c>
      <c r="I1528" s="80">
        <v>7475.31</v>
      </c>
      <c r="J1528">
        <v>16.28</v>
      </c>
      <c r="K1528">
        <v>64.55</v>
      </c>
      <c r="L1528">
        <f t="shared" si="230"/>
        <v>0</v>
      </c>
      <c r="M1528">
        <f t="shared" si="231"/>
        <v>0</v>
      </c>
      <c r="N1528">
        <f t="shared" si="232"/>
        <v>0</v>
      </c>
      <c r="O1528">
        <f t="shared" si="233"/>
        <v>0</v>
      </c>
      <c r="P1528">
        <f t="shared" si="234"/>
        <v>0</v>
      </c>
      <c r="Q1528">
        <f t="shared" si="235"/>
        <v>0</v>
      </c>
      <c r="R1528">
        <f t="shared" si="236"/>
        <v>0</v>
      </c>
      <c r="S1528">
        <f t="shared" si="237"/>
        <v>0</v>
      </c>
      <c r="T1528">
        <f t="shared" si="239"/>
        <v>0</v>
      </c>
      <c r="U1528">
        <f t="shared" si="238"/>
        <v>0</v>
      </c>
    </row>
    <row r="1529" spans="1:21" x14ac:dyDescent="0.25">
      <c r="A1529" s="101">
        <v>1528</v>
      </c>
      <c r="B1529" s="90" t="s">
        <v>621</v>
      </c>
      <c r="C1529" s="43" t="s">
        <v>184</v>
      </c>
      <c r="D1529">
        <v>19.5</v>
      </c>
      <c r="E1529">
        <v>9324.7199999999993</v>
      </c>
      <c r="F1529">
        <v>257.91000000000003</v>
      </c>
      <c r="G1529">
        <v>70.27</v>
      </c>
      <c r="H1529">
        <v>5275.78</v>
      </c>
      <c r="I1529" s="80">
        <v>13030.4</v>
      </c>
      <c r="J1529">
        <v>30.5</v>
      </c>
      <c r="K1529">
        <v>697.95</v>
      </c>
      <c r="L1529">
        <f t="shared" si="230"/>
        <v>0</v>
      </c>
      <c r="M1529">
        <f t="shared" si="231"/>
        <v>0</v>
      </c>
      <c r="N1529">
        <f t="shared" si="232"/>
        <v>0</v>
      </c>
      <c r="O1529">
        <f t="shared" si="233"/>
        <v>0</v>
      </c>
      <c r="P1529">
        <f t="shared" si="234"/>
        <v>0</v>
      </c>
      <c r="Q1529">
        <f t="shared" si="235"/>
        <v>0</v>
      </c>
      <c r="R1529">
        <f t="shared" si="236"/>
        <v>0</v>
      </c>
      <c r="S1529">
        <f t="shared" si="237"/>
        <v>0</v>
      </c>
      <c r="T1529">
        <f t="shared" si="239"/>
        <v>0</v>
      </c>
      <c r="U1529">
        <f t="shared" si="238"/>
        <v>0</v>
      </c>
    </row>
    <row r="1530" spans="1:21" x14ac:dyDescent="0.25">
      <c r="A1530" s="101">
        <v>1529</v>
      </c>
      <c r="B1530" s="90" t="s">
        <v>621</v>
      </c>
      <c r="C1530" s="43" t="s">
        <v>187</v>
      </c>
      <c r="D1530">
        <v>163.12</v>
      </c>
      <c r="E1530">
        <v>8735.2199999999993</v>
      </c>
      <c r="F1530">
        <v>281.12</v>
      </c>
      <c r="G1530">
        <v>80.739999999999995</v>
      </c>
      <c r="H1530">
        <v>14603.42</v>
      </c>
      <c r="I1530" s="80">
        <v>13491.03</v>
      </c>
      <c r="J1530">
        <v>56.23</v>
      </c>
      <c r="K1530">
        <v>2757.59</v>
      </c>
      <c r="L1530">
        <f t="shared" si="230"/>
        <v>0</v>
      </c>
      <c r="M1530">
        <f t="shared" si="231"/>
        <v>0</v>
      </c>
      <c r="N1530">
        <f t="shared" si="232"/>
        <v>0</v>
      </c>
      <c r="O1530">
        <f t="shared" si="233"/>
        <v>0</v>
      </c>
      <c r="P1530">
        <f t="shared" si="234"/>
        <v>0</v>
      </c>
      <c r="Q1530">
        <f t="shared" si="235"/>
        <v>0</v>
      </c>
      <c r="R1530">
        <f t="shared" si="236"/>
        <v>0</v>
      </c>
      <c r="S1530">
        <f t="shared" si="237"/>
        <v>0</v>
      </c>
      <c r="T1530">
        <f t="shared" si="239"/>
        <v>0</v>
      </c>
      <c r="U1530">
        <f t="shared" si="238"/>
        <v>0</v>
      </c>
    </row>
    <row r="1531" spans="1:21" x14ac:dyDescent="0.25">
      <c r="A1531" s="101">
        <v>1530</v>
      </c>
      <c r="B1531" s="90" t="s">
        <v>621</v>
      </c>
      <c r="C1531" s="43" t="s">
        <v>189</v>
      </c>
      <c r="D1531">
        <v>87.87</v>
      </c>
      <c r="E1531">
        <v>8440.32</v>
      </c>
      <c r="F1531">
        <v>36.11</v>
      </c>
      <c r="G1531">
        <v>50.53</v>
      </c>
      <c r="H1531">
        <v>7436.04</v>
      </c>
      <c r="I1531" s="80">
        <v>11754.35</v>
      </c>
      <c r="J1531">
        <v>46.23</v>
      </c>
      <c r="K1531" s="80">
        <v>4079.26</v>
      </c>
      <c r="L1531">
        <f t="shared" si="230"/>
        <v>0</v>
      </c>
      <c r="M1531">
        <f t="shared" si="231"/>
        <v>0</v>
      </c>
      <c r="N1531">
        <f t="shared" si="232"/>
        <v>0</v>
      </c>
      <c r="O1531">
        <f t="shared" si="233"/>
        <v>0</v>
      </c>
      <c r="P1531">
        <f t="shared" si="234"/>
        <v>0</v>
      </c>
      <c r="Q1531">
        <f t="shared" si="235"/>
        <v>0</v>
      </c>
      <c r="R1531">
        <f t="shared" si="236"/>
        <v>0</v>
      </c>
      <c r="S1531">
        <f t="shared" si="237"/>
        <v>0</v>
      </c>
      <c r="T1531">
        <f t="shared" si="239"/>
        <v>0</v>
      </c>
      <c r="U1531">
        <f t="shared" si="238"/>
        <v>0</v>
      </c>
    </row>
    <row r="1532" spans="1:21" x14ac:dyDescent="0.25">
      <c r="A1532" s="101">
        <v>1531</v>
      </c>
      <c r="B1532" s="10">
        <v>1068</v>
      </c>
      <c r="C1532" s="43" t="s">
        <v>162</v>
      </c>
      <c r="D1532">
        <v>8.7799999999999994</v>
      </c>
      <c r="E1532" s="80">
        <v>27555.11</v>
      </c>
      <c r="F1532">
        <v>0.73</v>
      </c>
      <c r="G1532">
        <v>50.53</v>
      </c>
      <c r="H1532">
        <v>1.81</v>
      </c>
      <c r="I1532">
        <v>1.1000000000000001</v>
      </c>
      <c r="J1532">
        <v>24.6</v>
      </c>
      <c r="K1532">
        <v>3.35</v>
      </c>
      <c r="L1532">
        <f t="shared" si="230"/>
        <v>0</v>
      </c>
      <c r="M1532">
        <f t="shared" si="231"/>
        <v>0</v>
      </c>
      <c r="N1532">
        <f t="shared" si="232"/>
        <v>0</v>
      </c>
      <c r="O1532">
        <f t="shared" si="233"/>
        <v>0</v>
      </c>
      <c r="P1532">
        <f t="shared" si="234"/>
        <v>0</v>
      </c>
      <c r="Q1532">
        <f t="shared" si="235"/>
        <v>0</v>
      </c>
      <c r="R1532">
        <f t="shared" si="236"/>
        <v>0</v>
      </c>
      <c r="S1532">
        <f t="shared" si="237"/>
        <v>0</v>
      </c>
      <c r="T1532">
        <f t="shared" si="239"/>
        <v>0</v>
      </c>
      <c r="U1532">
        <f t="shared" si="238"/>
        <v>0</v>
      </c>
    </row>
    <row r="1533" spans="1:21" x14ac:dyDescent="0.25">
      <c r="A1533" s="101">
        <v>1532</v>
      </c>
      <c r="B1533" s="10">
        <v>1068</v>
      </c>
      <c r="C1533" s="43" t="s">
        <v>170</v>
      </c>
      <c r="D1533">
        <v>417.36</v>
      </c>
      <c r="E1533" s="80">
        <v>33983.550000000003</v>
      </c>
      <c r="F1533">
        <v>62.11</v>
      </c>
      <c r="G1533">
        <v>138.22</v>
      </c>
      <c r="H1533">
        <v>5979.2</v>
      </c>
      <c r="I1533" s="80">
        <v>16155.62</v>
      </c>
      <c r="J1533">
        <v>84.62</v>
      </c>
      <c r="K1533">
        <v>4332.25</v>
      </c>
      <c r="L1533">
        <f t="shared" si="230"/>
        <v>0</v>
      </c>
      <c r="M1533">
        <f t="shared" si="231"/>
        <v>0</v>
      </c>
      <c r="N1533">
        <f t="shared" si="232"/>
        <v>0</v>
      </c>
      <c r="O1533">
        <f t="shared" si="233"/>
        <v>0</v>
      </c>
      <c r="P1533">
        <f t="shared" si="234"/>
        <v>0</v>
      </c>
      <c r="Q1533">
        <f t="shared" si="235"/>
        <v>0</v>
      </c>
      <c r="R1533">
        <f t="shared" si="236"/>
        <v>0</v>
      </c>
      <c r="S1533">
        <f t="shared" si="237"/>
        <v>0</v>
      </c>
      <c r="T1533">
        <f t="shared" si="239"/>
        <v>0</v>
      </c>
      <c r="U1533">
        <f t="shared" si="238"/>
        <v>0</v>
      </c>
    </row>
    <row r="1534" spans="1:21" x14ac:dyDescent="0.25">
      <c r="A1534" s="101">
        <v>1533</v>
      </c>
      <c r="B1534" s="10">
        <v>1068</v>
      </c>
      <c r="C1534" s="43" t="s">
        <v>178</v>
      </c>
      <c r="D1534">
        <v>745.08</v>
      </c>
      <c r="E1534" s="80">
        <v>33389.01</v>
      </c>
      <c r="F1534">
        <v>614.53</v>
      </c>
      <c r="G1534">
        <v>202.91</v>
      </c>
      <c r="H1534" s="80">
        <v>30745.63</v>
      </c>
      <c r="I1534" s="80">
        <v>18262.169999999998</v>
      </c>
      <c r="J1534">
        <v>103.43</v>
      </c>
      <c r="K1534">
        <v>8056.93</v>
      </c>
      <c r="L1534">
        <f t="shared" si="230"/>
        <v>0</v>
      </c>
      <c r="M1534">
        <f t="shared" si="231"/>
        <v>0</v>
      </c>
      <c r="N1534">
        <f t="shared" si="232"/>
        <v>0</v>
      </c>
      <c r="O1534">
        <f t="shared" si="233"/>
        <v>0</v>
      </c>
      <c r="P1534">
        <f t="shared" si="234"/>
        <v>0</v>
      </c>
      <c r="Q1534">
        <f t="shared" si="235"/>
        <v>0</v>
      </c>
      <c r="R1534">
        <f t="shared" si="236"/>
        <v>0</v>
      </c>
      <c r="S1534">
        <f t="shared" si="237"/>
        <v>0</v>
      </c>
      <c r="T1534">
        <f t="shared" si="239"/>
        <v>0</v>
      </c>
      <c r="U1534">
        <f t="shared" si="238"/>
        <v>0</v>
      </c>
    </row>
    <row r="1535" spans="1:21" x14ac:dyDescent="0.25">
      <c r="A1535" s="101">
        <v>1534</v>
      </c>
      <c r="B1535" s="10">
        <v>1068</v>
      </c>
      <c r="C1535" s="105" t="s">
        <v>163</v>
      </c>
      <c r="D1535">
        <v>239.51</v>
      </c>
      <c r="E1535">
        <v>22245.07</v>
      </c>
      <c r="F1535">
        <v>144.6</v>
      </c>
      <c r="G1535">
        <v>202.91</v>
      </c>
      <c r="H1535" s="80">
        <v>37195.61</v>
      </c>
      <c r="I1535" s="80">
        <v>17591.169999999998</v>
      </c>
      <c r="J1535">
        <v>118.99</v>
      </c>
      <c r="K1535" s="89" t="s">
        <v>582</v>
      </c>
      <c r="L1535">
        <f t="shared" si="230"/>
        <v>0</v>
      </c>
      <c r="M1535">
        <f t="shared" si="231"/>
        <v>0</v>
      </c>
      <c r="N1535">
        <f t="shared" si="232"/>
        <v>0</v>
      </c>
      <c r="O1535">
        <f t="shared" si="233"/>
        <v>0</v>
      </c>
      <c r="P1535">
        <f t="shared" si="234"/>
        <v>0</v>
      </c>
      <c r="Q1535">
        <f t="shared" si="235"/>
        <v>0</v>
      </c>
      <c r="R1535">
        <f t="shared" si="236"/>
        <v>0</v>
      </c>
      <c r="S1535">
        <f t="shared" si="237"/>
        <v>1</v>
      </c>
      <c r="T1535">
        <f t="shared" si="239"/>
        <v>1</v>
      </c>
      <c r="U1535">
        <f t="shared" si="238"/>
        <v>1</v>
      </c>
    </row>
    <row r="1536" spans="1:21" x14ac:dyDescent="0.25">
      <c r="A1536" s="101">
        <v>1535</v>
      </c>
      <c r="B1536" s="10">
        <v>1068</v>
      </c>
      <c r="C1536" s="43" t="s">
        <v>181</v>
      </c>
      <c r="D1536">
        <v>13.1</v>
      </c>
      <c r="E1536" s="80">
        <v>39534.69</v>
      </c>
      <c r="F1536">
        <v>0.85</v>
      </c>
      <c r="G1536">
        <v>50.53</v>
      </c>
      <c r="H1536">
        <v>288.38</v>
      </c>
      <c r="I1536">
        <v>658.67</v>
      </c>
      <c r="J1536">
        <v>24.6</v>
      </c>
      <c r="K1536">
        <v>240.9</v>
      </c>
      <c r="L1536">
        <f t="shared" si="230"/>
        <v>0</v>
      </c>
      <c r="M1536">
        <f t="shared" si="231"/>
        <v>0</v>
      </c>
      <c r="N1536">
        <f t="shared" si="232"/>
        <v>0</v>
      </c>
      <c r="O1536">
        <f t="shared" si="233"/>
        <v>0</v>
      </c>
      <c r="P1536">
        <f t="shared" si="234"/>
        <v>0</v>
      </c>
      <c r="Q1536">
        <f t="shared" si="235"/>
        <v>0</v>
      </c>
      <c r="R1536">
        <f t="shared" si="236"/>
        <v>0</v>
      </c>
      <c r="S1536">
        <f t="shared" si="237"/>
        <v>0</v>
      </c>
      <c r="T1536">
        <f t="shared" si="239"/>
        <v>0</v>
      </c>
      <c r="U1536">
        <f t="shared" si="238"/>
        <v>0</v>
      </c>
    </row>
    <row r="1537" spans="1:21" x14ac:dyDescent="0.25">
      <c r="A1537" s="101">
        <v>1536</v>
      </c>
      <c r="B1537" s="10">
        <v>1068</v>
      </c>
      <c r="C1537" s="43" t="s">
        <v>183</v>
      </c>
      <c r="D1537">
        <v>32.11</v>
      </c>
      <c r="E1537" s="80">
        <v>33983.550000000003</v>
      </c>
      <c r="F1537">
        <v>134.09</v>
      </c>
      <c r="G1537">
        <v>150.63</v>
      </c>
      <c r="H1537">
        <v>13235.36</v>
      </c>
      <c r="I1537" s="80">
        <v>19256.5</v>
      </c>
      <c r="J1537">
        <v>99.61</v>
      </c>
      <c r="K1537" s="80">
        <v>12458.91</v>
      </c>
      <c r="L1537">
        <f t="shared" si="230"/>
        <v>0</v>
      </c>
      <c r="M1537">
        <f t="shared" si="231"/>
        <v>0</v>
      </c>
      <c r="N1537">
        <f t="shared" si="232"/>
        <v>0</v>
      </c>
      <c r="O1537">
        <f t="shared" si="233"/>
        <v>0</v>
      </c>
      <c r="P1537">
        <f t="shared" si="234"/>
        <v>0</v>
      </c>
      <c r="Q1537">
        <f t="shared" si="235"/>
        <v>0</v>
      </c>
      <c r="R1537">
        <f t="shared" si="236"/>
        <v>0</v>
      </c>
      <c r="S1537">
        <f t="shared" si="237"/>
        <v>0</v>
      </c>
      <c r="T1537">
        <f t="shared" si="239"/>
        <v>0</v>
      </c>
      <c r="U1537">
        <f t="shared" si="238"/>
        <v>0</v>
      </c>
    </row>
    <row r="1538" spans="1:21" x14ac:dyDescent="0.25">
      <c r="A1538" s="101">
        <v>1537</v>
      </c>
      <c r="B1538" s="10">
        <v>1068</v>
      </c>
      <c r="C1538" s="43" t="s">
        <v>186</v>
      </c>
      <c r="D1538">
        <v>26.5</v>
      </c>
      <c r="E1538">
        <v>22984.68</v>
      </c>
      <c r="F1538">
        <v>269.61</v>
      </c>
      <c r="G1538">
        <v>163.31</v>
      </c>
      <c r="H1538" s="80">
        <v>29626.03</v>
      </c>
      <c r="I1538" s="80">
        <v>18788.46</v>
      </c>
      <c r="J1538">
        <v>107.28</v>
      </c>
      <c r="K1538" s="80">
        <v>20965.849999999999</v>
      </c>
      <c r="L1538">
        <f t="shared" ref="L1538:L1601" si="240">IF(D1538 = "OOR &gt;", 1,0)</f>
        <v>0</v>
      </c>
      <c r="M1538">
        <f t="shared" ref="M1538:M1601" si="241">IF(E1538 = "OOR &gt;", 1,0)</f>
        <v>0</v>
      </c>
      <c r="N1538">
        <f t="shared" ref="N1538:N1601" si="242">IF(F1538 = "OOR &gt;", 1,0)</f>
        <v>0</v>
      </c>
      <c r="O1538">
        <f t="shared" ref="O1538:O1601" si="243">IF(G1538 = "OOR &gt;", 1,0)</f>
        <v>0</v>
      </c>
      <c r="P1538">
        <f t="shared" ref="P1538:P1601" si="244">IF(H1538 = "OOR &gt;", 1,0)</f>
        <v>0</v>
      </c>
      <c r="Q1538">
        <f t="shared" ref="Q1538:Q1601" si="245">IF(I1538 = "OOR &gt;", 1,0)</f>
        <v>0</v>
      </c>
      <c r="R1538">
        <f t="shared" ref="R1538:R1601" si="246">IF(J1538 = "OOR &gt;", 1,0)</f>
        <v>0</v>
      </c>
      <c r="S1538">
        <f t="shared" ref="S1538:S1601" si="247">IF(K1538 = "OOR &gt;", 1,0)</f>
        <v>0</v>
      </c>
      <c r="T1538">
        <f t="shared" si="239"/>
        <v>0</v>
      </c>
      <c r="U1538">
        <f t="shared" ref="U1538:U1601" si="248">IF(T1538 &gt; 0,1,0)</f>
        <v>0</v>
      </c>
    </row>
    <row r="1539" spans="1:21" x14ac:dyDescent="0.25">
      <c r="A1539" s="101">
        <v>1538</v>
      </c>
      <c r="B1539" s="10">
        <v>1068</v>
      </c>
      <c r="C1539" s="105" t="s">
        <v>188</v>
      </c>
      <c r="D1539">
        <v>37.99</v>
      </c>
      <c r="E1539" s="80">
        <v>38209.79</v>
      </c>
      <c r="F1539">
        <v>72.42</v>
      </c>
      <c r="G1539">
        <v>189.46</v>
      </c>
      <c r="H1539" s="80">
        <v>16326.21</v>
      </c>
      <c r="I1539" s="80">
        <v>18711.919999999998</v>
      </c>
      <c r="J1539">
        <v>134.96</v>
      </c>
      <c r="K1539" s="89" t="s">
        <v>582</v>
      </c>
      <c r="L1539">
        <f t="shared" si="240"/>
        <v>0</v>
      </c>
      <c r="M1539">
        <f t="shared" si="241"/>
        <v>0</v>
      </c>
      <c r="N1539">
        <f t="shared" si="242"/>
        <v>0</v>
      </c>
      <c r="O1539">
        <f t="shared" si="243"/>
        <v>0</v>
      </c>
      <c r="P1539">
        <f t="shared" si="244"/>
        <v>0</v>
      </c>
      <c r="Q1539">
        <f t="shared" si="245"/>
        <v>0</v>
      </c>
      <c r="R1539">
        <f t="shared" si="246"/>
        <v>0</v>
      </c>
      <c r="S1539">
        <f t="shared" si="247"/>
        <v>1</v>
      </c>
      <c r="T1539">
        <f t="shared" ref="T1539:T1602" si="249">SUMIF(L1539:S1539,"&gt;0")</f>
        <v>1</v>
      </c>
      <c r="U1539">
        <f t="shared" si="248"/>
        <v>1</v>
      </c>
    </row>
    <row r="1540" spans="1:21" x14ac:dyDescent="0.25">
      <c r="A1540" s="101">
        <v>1539</v>
      </c>
      <c r="B1540" s="10">
        <v>1068</v>
      </c>
      <c r="C1540" s="43" t="s">
        <v>182</v>
      </c>
      <c r="D1540" s="80">
        <v>0.31</v>
      </c>
      <c r="E1540">
        <v>903.61</v>
      </c>
      <c r="F1540">
        <v>0.33</v>
      </c>
      <c r="G1540" t="s">
        <v>583</v>
      </c>
      <c r="H1540">
        <v>2.56</v>
      </c>
      <c r="I1540">
        <v>166.31</v>
      </c>
      <c r="J1540" s="80">
        <v>0.73</v>
      </c>
      <c r="K1540">
        <v>0.66</v>
      </c>
      <c r="L1540">
        <f t="shared" si="240"/>
        <v>0</v>
      </c>
      <c r="M1540">
        <f t="shared" si="241"/>
        <v>0</v>
      </c>
      <c r="N1540">
        <f t="shared" si="242"/>
        <v>0</v>
      </c>
      <c r="O1540">
        <f t="shared" si="243"/>
        <v>0</v>
      </c>
      <c r="P1540">
        <f t="shared" si="244"/>
        <v>0</v>
      </c>
      <c r="Q1540">
        <f t="shared" si="245"/>
        <v>0</v>
      </c>
      <c r="R1540">
        <f t="shared" si="246"/>
        <v>0</v>
      </c>
      <c r="S1540">
        <f t="shared" si="247"/>
        <v>0</v>
      </c>
      <c r="T1540">
        <f t="shared" si="249"/>
        <v>0</v>
      </c>
      <c r="U1540">
        <f t="shared" si="248"/>
        <v>0</v>
      </c>
    </row>
    <row r="1541" spans="1:21" x14ac:dyDescent="0.25">
      <c r="A1541" s="101">
        <v>1540</v>
      </c>
      <c r="B1541" s="10">
        <v>1068</v>
      </c>
      <c r="C1541" s="43" t="s">
        <v>184</v>
      </c>
      <c r="D1541">
        <v>167.56</v>
      </c>
      <c r="E1541">
        <v>13674.57</v>
      </c>
      <c r="F1541">
        <v>26.44</v>
      </c>
      <c r="G1541">
        <v>70.27</v>
      </c>
      <c r="H1541">
        <v>7590.79</v>
      </c>
      <c r="I1541" s="80">
        <v>14191.41</v>
      </c>
      <c r="J1541">
        <v>66.61</v>
      </c>
      <c r="K1541">
        <v>2791.18</v>
      </c>
      <c r="L1541">
        <f t="shared" si="240"/>
        <v>0</v>
      </c>
      <c r="M1541">
        <f t="shared" si="241"/>
        <v>0</v>
      </c>
      <c r="N1541">
        <f t="shared" si="242"/>
        <v>0</v>
      </c>
      <c r="O1541">
        <f t="shared" si="243"/>
        <v>0</v>
      </c>
      <c r="P1541">
        <f t="shared" si="244"/>
        <v>0</v>
      </c>
      <c r="Q1541">
        <f t="shared" si="245"/>
        <v>0</v>
      </c>
      <c r="R1541">
        <f t="shared" si="246"/>
        <v>0</v>
      </c>
      <c r="S1541">
        <f t="shared" si="247"/>
        <v>0</v>
      </c>
      <c r="T1541">
        <f t="shared" si="249"/>
        <v>0</v>
      </c>
      <c r="U1541">
        <f t="shared" si="248"/>
        <v>0</v>
      </c>
    </row>
    <row r="1542" spans="1:21" x14ac:dyDescent="0.25">
      <c r="A1542" s="101">
        <v>1541</v>
      </c>
      <c r="B1542" s="10">
        <v>1068</v>
      </c>
      <c r="C1542" s="43" t="s">
        <v>187</v>
      </c>
      <c r="D1542">
        <v>182.6</v>
      </c>
      <c r="E1542">
        <v>11207.68</v>
      </c>
      <c r="F1542">
        <v>28.12</v>
      </c>
      <c r="G1542">
        <v>80.739999999999995</v>
      </c>
      <c r="H1542">
        <v>12089.49</v>
      </c>
      <c r="I1542" s="80">
        <v>13216.17</v>
      </c>
      <c r="J1542">
        <v>77.31</v>
      </c>
      <c r="K1542">
        <v>4175.67</v>
      </c>
      <c r="L1542">
        <f t="shared" si="240"/>
        <v>0</v>
      </c>
      <c r="M1542">
        <f t="shared" si="241"/>
        <v>0</v>
      </c>
      <c r="N1542">
        <f t="shared" si="242"/>
        <v>0</v>
      </c>
      <c r="O1542">
        <f t="shared" si="243"/>
        <v>0</v>
      </c>
      <c r="P1542">
        <f t="shared" si="244"/>
        <v>0</v>
      </c>
      <c r="Q1542">
        <f t="shared" si="245"/>
        <v>0</v>
      </c>
      <c r="R1542">
        <f t="shared" si="246"/>
        <v>0</v>
      </c>
      <c r="S1542">
        <f t="shared" si="247"/>
        <v>0</v>
      </c>
      <c r="T1542">
        <f t="shared" si="249"/>
        <v>0</v>
      </c>
      <c r="U1542">
        <f t="shared" si="248"/>
        <v>0</v>
      </c>
    </row>
    <row r="1543" spans="1:21" x14ac:dyDescent="0.25">
      <c r="A1543" s="101">
        <v>1542</v>
      </c>
      <c r="B1543" s="10">
        <v>1068</v>
      </c>
      <c r="C1543" s="43" t="s">
        <v>189</v>
      </c>
      <c r="D1543">
        <v>167.56</v>
      </c>
      <c r="E1543">
        <v>7090.63</v>
      </c>
      <c r="F1543">
        <v>1.94</v>
      </c>
      <c r="G1543">
        <v>86.11</v>
      </c>
      <c r="H1543">
        <v>9127.3700000000008</v>
      </c>
      <c r="I1543" s="80">
        <v>6957.87</v>
      </c>
      <c r="J1543">
        <v>63.11</v>
      </c>
      <c r="K1543">
        <v>6218.66</v>
      </c>
      <c r="L1543">
        <f t="shared" si="240"/>
        <v>0</v>
      </c>
      <c r="M1543">
        <f t="shared" si="241"/>
        <v>0</v>
      </c>
      <c r="N1543">
        <f t="shared" si="242"/>
        <v>0</v>
      </c>
      <c r="O1543">
        <f t="shared" si="243"/>
        <v>0</v>
      </c>
      <c r="P1543">
        <f t="shared" si="244"/>
        <v>0</v>
      </c>
      <c r="Q1543">
        <f t="shared" si="245"/>
        <v>0</v>
      </c>
      <c r="R1543">
        <f t="shared" si="246"/>
        <v>0</v>
      </c>
      <c r="S1543">
        <f t="shared" si="247"/>
        <v>0</v>
      </c>
      <c r="T1543">
        <f t="shared" si="249"/>
        <v>0</v>
      </c>
      <c r="U1543">
        <f t="shared" si="248"/>
        <v>0</v>
      </c>
    </row>
    <row r="1544" spans="1:21" x14ac:dyDescent="0.25">
      <c r="A1544" s="101">
        <v>1543</v>
      </c>
      <c r="B1544" s="10">
        <v>1069</v>
      </c>
      <c r="C1544" s="105" t="s">
        <v>162</v>
      </c>
      <c r="D1544">
        <v>17.84</v>
      </c>
      <c r="E1544" s="89" t="s">
        <v>582</v>
      </c>
      <c r="F1544">
        <v>1.56</v>
      </c>
      <c r="G1544">
        <v>97.13</v>
      </c>
      <c r="H1544">
        <v>3.09</v>
      </c>
      <c r="I1544">
        <v>1.03</v>
      </c>
      <c r="J1544">
        <v>49.52</v>
      </c>
      <c r="K1544">
        <v>5.56</v>
      </c>
      <c r="L1544">
        <f t="shared" si="240"/>
        <v>0</v>
      </c>
      <c r="M1544">
        <f t="shared" si="241"/>
        <v>1</v>
      </c>
      <c r="N1544">
        <f t="shared" si="242"/>
        <v>0</v>
      </c>
      <c r="O1544">
        <f t="shared" si="243"/>
        <v>0</v>
      </c>
      <c r="P1544">
        <f t="shared" si="244"/>
        <v>0</v>
      </c>
      <c r="Q1544">
        <f t="shared" si="245"/>
        <v>0</v>
      </c>
      <c r="R1544">
        <f t="shared" si="246"/>
        <v>0</v>
      </c>
      <c r="S1544">
        <f t="shared" si="247"/>
        <v>0</v>
      </c>
      <c r="T1544">
        <f t="shared" si="249"/>
        <v>1</v>
      </c>
      <c r="U1544">
        <f t="shared" si="248"/>
        <v>1</v>
      </c>
    </row>
    <row r="1545" spans="1:21" x14ac:dyDescent="0.25">
      <c r="A1545" s="101">
        <v>1544</v>
      </c>
      <c r="B1545" s="10">
        <v>1069</v>
      </c>
      <c r="C1545" s="43" t="s">
        <v>170</v>
      </c>
      <c r="D1545">
        <v>26.5</v>
      </c>
      <c r="E1545" s="80">
        <v>169344.02</v>
      </c>
      <c r="F1545">
        <v>35.9</v>
      </c>
      <c r="G1545">
        <v>150.63</v>
      </c>
      <c r="H1545">
        <v>3016.75</v>
      </c>
      <c r="I1545" s="80">
        <v>17270.990000000002</v>
      </c>
      <c r="J1545">
        <v>77.31</v>
      </c>
      <c r="K1545">
        <v>1444.18</v>
      </c>
      <c r="L1545">
        <f t="shared" si="240"/>
        <v>0</v>
      </c>
      <c r="M1545">
        <f t="shared" si="241"/>
        <v>0</v>
      </c>
      <c r="N1545">
        <f t="shared" si="242"/>
        <v>0</v>
      </c>
      <c r="O1545">
        <f t="shared" si="243"/>
        <v>0</v>
      </c>
      <c r="P1545">
        <f t="shared" si="244"/>
        <v>0</v>
      </c>
      <c r="Q1545">
        <f t="shared" si="245"/>
        <v>0</v>
      </c>
      <c r="R1545">
        <f t="shared" si="246"/>
        <v>0</v>
      </c>
      <c r="S1545">
        <f t="shared" si="247"/>
        <v>0</v>
      </c>
      <c r="T1545">
        <f t="shared" si="249"/>
        <v>0</v>
      </c>
      <c r="U1545">
        <f t="shared" si="248"/>
        <v>0</v>
      </c>
    </row>
    <row r="1546" spans="1:21" x14ac:dyDescent="0.25">
      <c r="A1546" s="101">
        <v>1545</v>
      </c>
      <c r="B1546" s="10">
        <v>1069</v>
      </c>
      <c r="C1546" s="43" t="s">
        <v>178</v>
      </c>
      <c r="D1546">
        <v>38.99</v>
      </c>
      <c r="E1546" s="80">
        <v>508388.71</v>
      </c>
      <c r="F1546">
        <v>224.49</v>
      </c>
      <c r="G1546">
        <v>189.46</v>
      </c>
      <c r="H1546">
        <v>11525.4</v>
      </c>
      <c r="I1546" s="80">
        <v>19647.43</v>
      </c>
      <c r="J1546">
        <v>92.05</v>
      </c>
      <c r="K1546">
        <v>3456.42</v>
      </c>
      <c r="L1546">
        <f t="shared" si="240"/>
        <v>0</v>
      </c>
      <c r="M1546">
        <f t="shared" si="241"/>
        <v>0</v>
      </c>
      <c r="N1546">
        <f t="shared" si="242"/>
        <v>0</v>
      </c>
      <c r="O1546">
        <f t="shared" si="243"/>
        <v>0</v>
      </c>
      <c r="P1546">
        <f t="shared" si="244"/>
        <v>0</v>
      </c>
      <c r="Q1546">
        <f t="shared" si="245"/>
        <v>0</v>
      </c>
      <c r="R1546">
        <f t="shared" si="246"/>
        <v>0</v>
      </c>
      <c r="S1546">
        <f t="shared" si="247"/>
        <v>0</v>
      </c>
      <c r="T1546">
        <f t="shared" si="249"/>
        <v>0</v>
      </c>
      <c r="U1546">
        <f t="shared" si="248"/>
        <v>0</v>
      </c>
    </row>
    <row r="1547" spans="1:21" x14ac:dyDescent="0.25">
      <c r="A1547" s="101">
        <v>1546</v>
      </c>
      <c r="B1547" s="10">
        <v>1069</v>
      </c>
      <c r="C1547" s="105" t="s">
        <v>163</v>
      </c>
      <c r="D1547">
        <v>40</v>
      </c>
      <c r="E1547" s="89" t="s">
        <v>582</v>
      </c>
      <c r="F1547">
        <v>106</v>
      </c>
      <c r="G1547">
        <v>182.83</v>
      </c>
      <c r="H1547">
        <v>6763.51</v>
      </c>
      <c r="I1547" s="80">
        <v>16495.52</v>
      </c>
      <c r="J1547">
        <v>122.94</v>
      </c>
      <c r="K1547" s="89" t="s">
        <v>582</v>
      </c>
      <c r="L1547">
        <f t="shared" si="240"/>
        <v>0</v>
      </c>
      <c r="M1547">
        <f t="shared" si="241"/>
        <v>1</v>
      </c>
      <c r="N1547">
        <f t="shared" si="242"/>
        <v>0</v>
      </c>
      <c r="O1547">
        <f t="shared" si="243"/>
        <v>0</v>
      </c>
      <c r="P1547">
        <f t="shared" si="244"/>
        <v>0</v>
      </c>
      <c r="Q1547">
        <f t="shared" si="245"/>
        <v>0</v>
      </c>
      <c r="R1547">
        <f t="shared" si="246"/>
        <v>0</v>
      </c>
      <c r="S1547">
        <f t="shared" si="247"/>
        <v>1</v>
      </c>
      <c r="T1547">
        <f t="shared" si="249"/>
        <v>2</v>
      </c>
      <c r="U1547">
        <f t="shared" si="248"/>
        <v>1</v>
      </c>
    </row>
    <row r="1548" spans="1:21" x14ac:dyDescent="0.25">
      <c r="A1548" s="101">
        <v>1547</v>
      </c>
      <c r="B1548" s="10">
        <v>1069</v>
      </c>
      <c r="C1548" s="105" t="s">
        <v>181</v>
      </c>
      <c r="D1548">
        <v>14.64</v>
      </c>
      <c r="E1548" s="89" t="s">
        <v>582</v>
      </c>
      <c r="F1548">
        <v>0.94</v>
      </c>
      <c r="G1548">
        <v>70.27</v>
      </c>
      <c r="H1548">
        <v>95.63</v>
      </c>
      <c r="I1548">
        <v>77.11</v>
      </c>
      <c r="J1548">
        <v>46.23</v>
      </c>
      <c r="K1548">
        <v>108.2</v>
      </c>
      <c r="L1548">
        <f t="shared" si="240"/>
        <v>0</v>
      </c>
      <c r="M1548">
        <f t="shared" si="241"/>
        <v>1</v>
      </c>
      <c r="N1548">
        <f t="shared" si="242"/>
        <v>0</v>
      </c>
      <c r="O1548">
        <f t="shared" si="243"/>
        <v>0</v>
      </c>
      <c r="P1548">
        <f t="shared" si="244"/>
        <v>0</v>
      </c>
      <c r="Q1548">
        <f t="shared" si="245"/>
        <v>0</v>
      </c>
      <c r="R1548">
        <f t="shared" si="246"/>
        <v>0</v>
      </c>
      <c r="S1548">
        <f t="shared" si="247"/>
        <v>0</v>
      </c>
      <c r="T1548">
        <f t="shared" si="249"/>
        <v>1</v>
      </c>
      <c r="U1548">
        <f t="shared" si="248"/>
        <v>1</v>
      </c>
    </row>
    <row r="1549" spans="1:21" x14ac:dyDescent="0.25">
      <c r="A1549" s="101">
        <v>1548</v>
      </c>
      <c r="B1549" s="10">
        <v>1069</v>
      </c>
      <c r="C1549" s="43" t="s">
        <v>183</v>
      </c>
      <c r="D1549">
        <v>22.06</v>
      </c>
      <c r="E1549" s="80">
        <v>31326.15</v>
      </c>
      <c r="F1549">
        <v>21.17</v>
      </c>
      <c r="G1549">
        <v>114.28</v>
      </c>
      <c r="H1549">
        <v>3715.77</v>
      </c>
      <c r="I1549" s="80">
        <v>20114.509999999998</v>
      </c>
      <c r="J1549">
        <v>80.95</v>
      </c>
      <c r="K1549" s="80">
        <v>8415.9</v>
      </c>
      <c r="L1549">
        <f t="shared" si="240"/>
        <v>0</v>
      </c>
      <c r="M1549">
        <f t="shared" si="241"/>
        <v>0</v>
      </c>
      <c r="N1549">
        <f t="shared" si="242"/>
        <v>0</v>
      </c>
      <c r="O1549">
        <f t="shared" si="243"/>
        <v>0</v>
      </c>
      <c r="P1549">
        <f t="shared" si="244"/>
        <v>0</v>
      </c>
      <c r="Q1549">
        <f t="shared" si="245"/>
        <v>0</v>
      </c>
      <c r="R1549">
        <f t="shared" si="246"/>
        <v>0</v>
      </c>
      <c r="S1549">
        <f t="shared" si="247"/>
        <v>0</v>
      </c>
      <c r="T1549">
        <f t="shared" si="249"/>
        <v>0</v>
      </c>
      <c r="U1549">
        <f t="shared" si="248"/>
        <v>0</v>
      </c>
    </row>
    <row r="1550" spans="1:21" x14ac:dyDescent="0.25">
      <c r="A1550" s="101">
        <v>1549</v>
      </c>
      <c r="B1550" s="10">
        <v>1069</v>
      </c>
      <c r="C1550" s="43" t="s">
        <v>186</v>
      </c>
      <c r="D1550">
        <v>28.34</v>
      </c>
      <c r="E1550" s="80">
        <v>26140.99</v>
      </c>
      <c r="F1550">
        <v>72.5</v>
      </c>
      <c r="G1550">
        <v>156.94</v>
      </c>
      <c r="H1550">
        <v>10243.65</v>
      </c>
      <c r="I1550" s="80">
        <v>20904.259999999998</v>
      </c>
      <c r="J1550">
        <v>88.32</v>
      </c>
      <c r="K1550" s="80">
        <v>13911.86</v>
      </c>
      <c r="L1550">
        <f t="shared" si="240"/>
        <v>0</v>
      </c>
      <c r="M1550">
        <f t="shared" si="241"/>
        <v>0</v>
      </c>
      <c r="N1550">
        <f t="shared" si="242"/>
        <v>0</v>
      </c>
      <c r="O1550">
        <f t="shared" si="243"/>
        <v>0</v>
      </c>
      <c r="P1550">
        <f t="shared" si="244"/>
        <v>0</v>
      </c>
      <c r="Q1550">
        <f t="shared" si="245"/>
        <v>0</v>
      </c>
      <c r="R1550">
        <f t="shared" si="246"/>
        <v>0</v>
      </c>
      <c r="S1550">
        <f t="shared" si="247"/>
        <v>0</v>
      </c>
      <c r="T1550">
        <f t="shared" si="249"/>
        <v>0</v>
      </c>
      <c r="U1550">
        <f t="shared" si="248"/>
        <v>0</v>
      </c>
    </row>
    <row r="1551" spans="1:21" x14ac:dyDescent="0.25">
      <c r="A1551" s="101">
        <v>1550</v>
      </c>
      <c r="B1551" s="10">
        <v>1069</v>
      </c>
      <c r="C1551" s="43" t="s">
        <v>188</v>
      </c>
      <c r="D1551">
        <v>32.11</v>
      </c>
      <c r="E1551" s="80">
        <v>59948.47</v>
      </c>
      <c r="F1551">
        <v>4.33</v>
      </c>
      <c r="G1551">
        <v>126.1</v>
      </c>
      <c r="H1551">
        <v>2497.44</v>
      </c>
      <c r="I1551" s="80">
        <v>16176.88</v>
      </c>
      <c r="J1551">
        <v>99.61</v>
      </c>
      <c r="K1551" s="80">
        <v>11917.68</v>
      </c>
      <c r="L1551">
        <f t="shared" si="240"/>
        <v>0</v>
      </c>
      <c r="M1551">
        <f t="shared" si="241"/>
        <v>0</v>
      </c>
      <c r="N1551">
        <f t="shared" si="242"/>
        <v>0</v>
      </c>
      <c r="O1551">
        <f t="shared" si="243"/>
        <v>0</v>
      </c>
      <c r="P1551">
        <f t="shared" si="244"/>
        <v>0</v>
      </c>
      <c r="Q1551">
        <f t="shared" si="245"/>
        <v>0</v>
      </c>
      <c r="R1551">
        <f t="shared" si="246"/>
        <v>0</v>
      </c>
      <c r="S1551">
        <f t="shared" si="247"/>
        <v>0</v>
      </c>
      <c r="T1551">
        <f t="shared" si="249"/>
        <v>0</v>
      </c>
      <c r="U1551">
        <f t="shared" si="248"/>
        <v>0</v>
      </c>
    </row>
    <row r="1552" spans="1:21" x14ac:dyDescent="0.25">
      <c r="A1552" s="101">
        <v>1551</v>
      </c>
      <c r="B1552" s="10">
        <v>1069</v>
      </c>
      <c r="C1552" s="43" t="s">
        <v>182</v>
      </c>
      <c r="D1552">
        <v>16.22</v>
      </c>
      <c r="E1552">
        <v>24022.880000000001</v>
      </c>
      <c r="F1552">
        <v>479.54</v>
      </c>
      <c r="G1552">
        <v>144.38999999999999</v>
      </c>
      <c r="H1552">
        <v>1742.4</v>
      </c>
      <c r="I1552" s="80">
        <v>16564.77</v>
      </c>
      <c r="J1552">
        <v>46.23</v>
      </c>
      <c r="K1552">
        <v>3504.51</v>
      </c>
      <c r="L1552">
        <f t="shared" si="240"/>
        <v>0</v>
      </c>
      <c r="M1552">
        <f t="shared" si="241"/>
        <v>0</v>
      </c>
      <c r="N1552">
        <f t="shared" si="242"/>
        <v>0</v>
      </c>
      <c r="O1552">
        <f t="shared" si="243"/>
        <v>0</v>
      </c>
      <c r="P1552">
        <f t="shared" si="244"/>
        <v>0</v>
      </c>
      <c r="Q1552">
        <f t="shared" si="245"/>
        <v>0</v>
      </c>
      <c r="R1552">
        <f t="shared" si="246"/>
        <v>0</v>
      </c>
      <c r="S1552">
        <f t="shared" si="247"/>
        <v>0</v>
      </c>
      <c r="T1552">
        <f t="shared" si="249"/>
        <v>0</v>
      </c>
      <c r="U1552">
        <f t="shared" si="248"/>
        <v>0</v>
      </c>
    </row>
    <row r="1553" spans="1:21" x14ac:dyDescent="0.25">
      <c r="A1553" s="101">
        <v>1552</v>
      </c>
      <c r="B1553" s="10">
        <v>1069</v>
      </c>
      <c r="C1553" s="43" t="s">
        <v>184</v>
      </c>
      <c r="D1553">
        <v>130.16</v>
      </c>
      <c r="E1553" s="80">
        <v>63469.94</v>
      </c>
      <c r="F1553">
        <v>409.76</v>
      </c>
      <c r="G1553">
        <v>237.55</v>
      </c>
      <c r="H1553" s="80">
        <v>39966.44</v>
      </c>
      <c r="I1553" s="80">
        <v>18748.32</v>
      </c>
      <c r="J1553">
        <v>79.13</v>
      </c>
      <c r="K1553">
        <v>3821.32</v>
      </c>
      <c r="L1553">
        <f t="shared" si="240"/>
        <v>0</v>
      </c>
      <c r="M1553">
        <f t="shared" si="241"/>
        <v>0</v>
      </c>
      <c r="N1553">
        <f t="shared" si="242"/>
        <v>0</v>
      </c>
      <c r="O1553">
        <f t="shared" si="243"/>
        <v>0</v>
      </c>
      <c r="P1553">
        <f t="shared" si="244"/>
        <v>0</v>
      </c>
      <c r="Q1553">
        <f t="shared" si="245"/>
        <v>0</v>
      </c>
      <c r="R1553">
        <f t="shared" si="246"/>
        <v>0</v>
      </c>
      <c r="S1553">
        <f t="shared" si="247"/>
        <v>0</v>
      </c>
      <c r="T1553">
        <f t="shared" si="249"/>
        <v>0</v>
      </c>
      <c r="U1553">
        <f t="shared" si="248"/>
        <v>0</v>
      </c>
    </row>
    <row r="1554" spans="1:21" x14ac:dyDescent="0.25">
      <c r="A1554" s="101">
        <v>1553</v>
      </c>
      <c r="B1554" s="10">
        <v>1069</v>
      </c>
      <c r="C1554" s="105" t="s">
        <v>187</v>
      </c>
      <c r="D1554">
        <v>1885.36</v>
      </c>
      <c r="E1554" s="89" t="s">
        <v>582</v>
      </c>
      <c r="F1554">
        <v>552.42999999999995</v>
      </c>
      <c r="G1554">
        <v>259.01</v>
      </c>
      <c r="H1554" s="80">
        <v>53839.94</v>
      </c>
      <c r="I1554" s="80">
        <v>18633.259999999998</v>
      </c>
      <c r="J1554">
        <v>111.15</v>
      </c>
      <c r="K1554" s="80">
        <v>14825.51</v>
      </c>
      <c r="L1554">
        <f t="shared" si="240"/>
        <v>0</v>
      </c>
      <c r="M1554">
        <f t="shared" si="241"/>
        <v>1</v>
      </c>
      <c r="N1554">
        <f t="shared" si="242"/>
        <v>0</v>
      </c>
      <c r="O1554">
        <f t="shared" si="243"/>
        <v>0</v>
      </c>
      <c r="P1554">
        <f t="shared" si="244"/>
        <v>0</v>
      </c>
      <c r="Q1554">
        <f t="shared" si="245"/>
        <v>0</v>
      </c>
      <c r="R1554">
        <f t="shared" si="246"/>
        <v>0</v>
      </c>
      <c r="S1554">
        <f t="shared" si="247"/>
        <v>0</v>
      </c>
      <c r="T1554">
        <f t="shared" si="249"/>
        <v>1</v>
      </c>
      <c r="U1554">
        <f t="shared" si="248"/>
        <v>1</v>
      </c>
    </row>
    <row r="1555" spans="1:21" x14ac:dyDescent="0.25">
      <c r="A1555" s="101">
        <v>1554</v>
      </c>
      <c r="B1555" s="10">
        <v>1069</v>
      </c>
      <c r="C1555" s="105" t="s">
        <v>189</v>
      </c>
      <c r="D1555">
        <v>1909.5</v>
      </c>
      <c r="E1555" s="89" t="s">
        <v>582</v>
      </c>
      <c r="F1555">
        <v>110.47</v>
      </c>
      <c r="G1555">
        <v>288.36</v>
      </c>
      <c r="H1555" s="80">
        <v>45896.12</v>
      </c>
      <c r="I1555" s="80">
        <v>18372.8</v>
      </c>
      <c r="J1555">
        <v>126.92</v>
      </c>
      <c r="K1555" s="89" t="s">
        <v>582</v>
      </c>
      <c r="L1555">
        <f t="shared" si="240"/>
        <v>0</v>
      </c>
      <c r="M1555">
        <f t="shared" si="241"/>
        <v>1</v>
      </c>
      <c r="N1555">
        <f t="shared" si="242"/>
        <v>0</v>
      </c>
      <c r="O1555">
        <f t="shared" si="243"/>
        <v>0</v>
      </c>
      <c r="P1555">
        <f t="shared" si="244"/>
        <v>0</v>
      </c>
      <c r="Q1555">
        <f t="shared" si="245"/>
        <v>0</v>
      </c>
      <c r="R1555">
        <f t="shared" si="246"/>
        <v>0</v>
      </c>
      <c r="S1555">
        <f t="shared" si="247"/>
        <v>1</v>
      </c>
      <c r="T1555">
        <f t="shared" si="249"/>
        <v>2</v>
      </c>
      <c r="U1555">
        <f t="shared" si="248"/>
        <v>1</v>
      </c>
    </row>
    <row r="1556" spans="1:21" x14ac:dyDescent="0.25">
      <c r="A1556" s="101">
        <v>1555</v>
      </c>
      <c r="B1556" s="10">
        <v>3009</v>
      </c>
      <c r="C1556" s="43" t="s">
        <v>162</v>
      </c>
      <c r="D1556">
        <v>6.8</v>
      </c>
      <c r="E1556">
        <v>19262.25</v>
      </c>
      <c r="F1556">
        <v>0.69</v>
      </c>
      <c r="G1556">
        <v>32.65</v>
      </c>
      <c r="H1556">
        <v>1.1000000000000001</v>
      </c>
      <c r="I1556">
        <v>0.49</v>
      </c>
      <c r="J1556">
        <v>24.6</v>
      </c>
      <c r="K1556">
        <v>1.63</v>
      </c>
      <c r="L1556">
        <f t="shared" si="240"/>
        <v>0</v>
      </c>
      <c r="M1556">
        <f t="shared" si="241"/>
        <v>0</v>
      </c>
      <c r="N1556">
        <f t="shared" si="242"/>
        <v>0</v>
      </c>
      <c r="O1556">
        <f t="shared" si="243"/>
        <v>0</v>
      </c>
      <c r="P1556">
        <f t="shared" si="244"/>
        <v>0</v>
      </c>
      <c r="Q1556">
        <f t="shared" si="245"/>
        <v>0</v>
      </c>
      <c r="R1556">
        <f t="shared" si="246"/>
        <v>0</v>
      </c>
      <c r="S1556">
        <f t="shared" si="247"/>
        <v>0</v>
      </c>
      <c r="T1556">
        <f t="shared" si="249"/>
        <v>0</v>
      </c>
      <c r="U1556">
        <f t="shared" si="248"/>
        <v>0</v>
      </c>
    </row>
    <row r="1557" spans="1:21" x14ac:dyDescent="0.25">
      <c r="A1557" s="101">
        <v>1556</v>
      </c>
      <c r="B1557" s="10">
        <v>3009</v>
      </c>
      <c r="C1557" s="43" t="s">
        <v>170</v>
      </c>
      <c r="D1557">
        <v>14.64</v>
      </c>
      <c r="E1557">
        <v>18008.63</v>
      </c>
      <c r="F1557">
        <v>64.569999999999993</v>
      </c>
      <c r="G1557">
        <v>70.27</v>
      </c>
      <c r="H1557">
        <v>1019.31</v>
      </c>
      <c r="I1557" s="80">
        <v>14315.37</v>
      </c>
      <c r="J1557">
        <v>39.79</v>
      </c>
      <c r="K1557">
        <v>1144.99</v>
      </c>
      <c r="L1557">
        <f t="shared" si="240"/>
        <v>0</v>
      </c>
      <c r="M1557">
        <f t="shared" si="241"/>
        <v>0</v>
      </c>
      <c r="N1557">
        <f t="shared" si="242"/>
        <v>0</v>
      </c>
      <c r="O1557">
        <f t="shared" si="243"/>
        <v>0</v>
      </c>
      <c r="P1557">
        <f t="shared" si="244"/>
        <v>0</v>
      </c>
      <c r="Q1557">
        <f t="shared" si="245"/>
        <v>0</v>
      </c>
      <c r="R1557">
        <f t="shared" si="246"/>
        <v>0</v>
      </c>
      <c r="S1557">
        <f t="shared" si="247"/>
        <v>0</v>
      </c>
      <c r="T1557">
        <f t="shared" si="249"/>
        <v>0</v>
      </c>
      <c r="U1557">
        <f t="shared" si="248"/>
        <v>0</v>
      </c>
    </row>
    <row r="1558" spans="1:21" x14ac:dyDescent="0.25">
      <c r="A1558" s="101">
        <v>1557</v>
      </c>
      <c r="B1558" s="10">
        <v>3009</v>
      </c>
      <c r="C1558" s="43" t="s">
        <v>178</v>
      </c>
      <c r="D1558">
        <v>24.7</v>
      </c>
      <c r="E1558" s="80">
        <v>24910.959999999999</v>
      </c>
      <c r="F1558">
        <v>332.15</v>
      </c>
      <c r="G1558">
        <v>150.63</v>
      </c>
      <c r="H1558">
        <v>5393.12</v>
      </c>
      <c r="I1558" s="80">
        <v>17969.64</v>
      </c>
      <c r="J1558">
        <v>64.86</v>
      </c>
      <c r="K1558">
        <v>4309.34</v>
      </c>
      <c r="L1558">
        <f t="shared" si="240"/>
        <v>0</v>
      </c>
      <c r="M1558">
        <f t="shared" si="241"/>
        <v>0</v>
      </c>
      <c r="N1558">
        <f t="shared" si="242"/>
        <v>0</v>
      </c>
      <c r="O1558">
        <f t="shared" si="243"/>
        <v>0</v>
      </c>
      <c r="P1558">
        <f t="shared" si="244"/>
        <v>0</v>
      </c>
      <c r="Q1558">
        <f t="shared" si="245"/>
        <v>0</v>
      </c>
      <c r="R1558">
        <f t="shared" si="246"/>
        <v>0</v>
      </c>
      <c r="S1558">
        <f t="shared" si="247"/>
        <v>0</v>
      </c>
      <c r="T1558">
        <f t="shared" si="249"/>
        <v>0</v>
      </c>
      <c r="U1558">
        <f t="shared" si="248"/>
        <v>0</v>
      </c>
    </row>
    <row r="1559" spans="1:21" x14ac:dyDescent="0.25">
      <c r="A1559" s="101">
        <v>1558</v>
      </c>
      <c r="B1559" s="10">
        <v>3009</v>
      </c>
      <c r="C1559" s="105" t="s">
        <v>163</v>
      </c>
      <c r="D1559">
        <v>42.05</v>
      </c>
      <c r="E1559" s="80">
        <v>32613.66</v>
      </c>
      <c r="F1559">
        <v>182.53</v>
      </c>
      <c r="G1559">
        <v>189.46</v>
      </c>
      <c r="H1559">
        <v>8162.01</v>
      </c>
      <c r="I1559" s="80">
        <v>18088.53</v>
      </c>
      <c r="J1559">
        <v>111.15</v>
      </c>
      <c r="K1559" s="89" t="s">
        <v>582</v>
      </c>
      <c r="L1559">
        <f t="shared" si="240"/>
        <v>0</v>
      </c>
      <c r="M1559">
        <f t="shared" si="241"/>
        <v>0</v>
      </c>
      <c r="N1559">
        <f t="shared" si="242"/>
        <v>0</v>
      </c>
      <c r="O1559">
        <f t="shared" si="243"/>
        <v>0</v>
      </c>
      <c r="P1559">
        <f t="shared" si="244"/>
        <v>0</v>
      </c>
      <c r="Q1559">
        <f t="shared" si="245"/>
        <v>0</v>
      </c>
      <c r="R1559">
        <f t="shared" si="246"/>
        <v>0</v>
      </c>
      <c r="S1559">
        <f t="shared" si="247"/>
        <v>1</v>
      </c>
      <c r="T1559">
        <f t="shared" si="249"/>
        <v>1</v>
      </c>
      <c r="U1559">
        <f t="shared" si="248"/>
        <v>1</v>
      </c>
    </row>
    <row r="1560" spans="1:21" x14ac:dyDescent="0.25">
      <c r="A1560" s="101">
        <v>1559</v>
      </c>
      <c r="B1560" s="10">
        <v>3009</v>
      </c>
      <c r="C1560" s="43" t="s">
        <v>181</v>
      </c>
      <c r="D1560">
        <v>11.61</v>
      </c>
      <c r="E1560" s="80">
        <v>52982.49</v>
      </c>
      <c r="F1560">
        <v>1.1100000000000001</v>
      </c>
      <c r="G1560">
        <v>60.19</v>
      </c>
      <c r="H1560">
        <v>27.94</v>
      </c>
      <c r="I1560">
        <v>35.479999999999997</v>
      </c>
      <c r="J1560">
        <v>30.5</v>
      </c>
      <c r="K1560">
        <v>20.83</v>
      </c>
      <c r="L1560">
        <f t="shared" si="240"/>
        <v>0</v>
      </c>
      <c r="M1560">
        <f t="shared" si="241"/>
        <v>0</v>
      </c>
      <c r="N1560">
        <f t="shared" si="242"/>
        <v>0</v>
      </c>
      <c r="O1560">
        <f t="shared" si="243"/>
        <v>0</v>
      </c>
      <c r="P1560">
        <f t="shared" si="244"/>
        <v>0</v>
      </c>
      <c r="Q1560">
        <f t="shared" si="245"/>
        <v>0</v>
      </c>
      <c r="R1560">
        <f t="shared" si="246"/>
        <v>0</v>
      </c>
      <c r="S1560">
        <f t="shared" si="247"/>
        <v>0</v>
      </c>
      <c r="T1560">
        <f t="shared" si="249"/>
        <v>0</v>
      </c>
      <c r="U1560">
        <f t="shared" si="248"/>
        <v>0</v>
      </c>
    </row>
    <row r="1561" spans="1:21" x14ac:dyDescent="0.25">
      <c r="A1561" s="101">
        <v>1560</v>
      </c>
      <c r="B1561" s="10">
        <v>3009</v>
      </c>
      <c r="C1561" s="43" t="s">
        <v>183</v>
      </c>
      <c r="D1561">
        <v>22.93</v>
      </c>
      <c r="E1561" s="80">
        <v>41641.08</v>
      </c>
      <c r="F1561">
        <v>420.2</v>
      </c>
      <c r="G1561">
        <v>102.76</v>
      </c>
      <c r="H1561">
        <v>1419.46</v>
      </c>
      <c r="I1561" s="80">
        <v>19833.23</v>
      </c>
      <c r="J1561">
        <v>59.65</v>
      </c>
      <c r="K1561">
        <v>5135.6899999999996</v>
      </c>
      <c r="L1561">
        <f t="shared" si="240"/>
        <v>0</v>
      </c>
      <c r="M1561">
        <f t="shared" si="241"/>
        <v>0</v>
      </c>
      <c r="N1561">
        <f t="shared" si="242"/>
        <v>0</v>
      </c>
      <c r="O1561">
        <f t="shared" si="243"/>
        <v>0</v>
      </c>
      <c r="P1561">
        <f t="shared" si="244"/>
        <v>0</v>
      </c>
      <c r="Q1561">
        <f t="shared" si="245"/>
        <v>0</v>
      </c>
      <c r="R1561">
        <f t="shared" si="246"/>
        <v>0</v>
      </c>
      <c r="S1561">
        <f t="shared" si="247"/>
        <v>0</v>
      </c>
      <c r="T1561">
        <f t="shared" si="249"/>
        <v>0</v>
      </c>
      <c r="U1561">
        <f t="shared" si="248"/>
        <v>0</v>
      </c>
    </row>
    <row r="1562" spans="1:21" x14ac:dyDescent="0.25">
      <c r="A1562" s="101">
        <v>1561</v>
      </c>
      <c r="B1562" s="10">
        <v>3009</v>
      </c>
      <c r="C1562" s="43" t="s">
        <v>186</v>
      </c>
      <c r="D1562">
        <v>28.34</v>
      </c>
      <c r="E1562" s="80">
        <v>49718.97</v>
      </c>
      <c r="F1562">
        <v>1082.82</v>
      </c>
      <c r="G1562">
        <v>176.26</v>
      </c>
      <c r="H1562">
        <v>5579.44</v>
      </c>
      <c r="I1562" s="80">
        <v>20526.91</v>
      </c>
      <c r="J1562">
        <v>99.61</v>
      </c>
      <c r="K1562" s="80">
        <v>16081.22</v>
      </c>
      <c r="L1562">
        <f t="shared" si="240"/>
        <v>0</v>
      </c>
      <c r="M1562">
        <f t="shared" si="241"/>
        <v>0</v>
      </c>
      <c r="N1562">
        <f t="shared" si="242"/>
        <v>0</v>
      </c>
      <c r="O1562">
        <f t="shared" si="243"/>
        <v>0</v>
      </c>
      <c r="P1562">
        <f t="shared" si="244"/>
        <v>0</v>
      </c>
      <c r="Q1562">
        <f t="shared" si="245"/>
        <v>0</v>
      </c>
      <c r="R1562">
        <f t="shared" si="246"/>
        <v>0</v>
      </c>
      <c r="S1562">
        <f t="shared" si="247"/>
        <v>0</v>
      </c>
      <c r="T1562">
        <f t="shared" si="249"/>
        <v>0</v>
      </c>
      <c r="U1562">
        <f t="shared" si="248"/>
        <v>0</v>
      </c>
    </row>
    <row r="1563" spans="1:21" x14ac:dyDescent="0.25">
      <c r="A1563" s="101">
        <v>1562</v>
      </c>
      <c r="B1563" s="10">
        <v>3009</v>
      </c>
      <c r="C1563" s="105" t="s">
        <v>188</v>
      </c>
      <c r="D1563">
        <v>46.21</v>
      </c>
      <c r="E1563" s="80">
        <v>128146.45</v>
      </c>
      <c r="F1563">
        <v>760.34</v>
      </c>
      <c r="G1563">
        <v>189.46</v>
      </c>
      <c r="H1563">
        <v>9337.81</v>
      </c>
      <c r="I1563" s="80">
        <v>19136.71</v>
      </c>
      <c r="J1563">
        <v>122.94</v>
      </c>
      <c r="K1563" s="89" t="s">
        <v>582</v>
      </c>
      <c r="L1563">
        <f t="shared" si="240"/>
        <v>0</v>
      </c>
      <c r="M1563">
        <f t="shared" si="241"/>
        <v>0</v>
      </c>
      <c r="N1563">
        <f t="shared" si="242"/>
        <v>0</v>
      </c>
      <c r="O1563">
        <f t="shared" si="243"/>
        <v>0</v>
      </c>
      <c r="P1563">
        <f t="shared" si="244"/>
        <v>0</v>
      </c>
      <c r="Q1563">
        <f t="shared" si="245"/>
        <v>0</v>
      </c>
      <c r="R1563">
        <f t="shared" si="246"/>
        <v>0</v>
      </c>
      <c r="S1563">
        <f t="shared" si="247"/>
        <v>1</v>
      </c>
      <c r="T1563">
        <f t="shared" si="249"/>
        <v>1</v>
      </c>
      <c r="U1563">
        <f t="shared" si="248"/>
        <v>1</v>
      </c>
    </row>
    <row r="1564" spans="1:21" x14ac:dyDescent="0.25">
      <c r="A1564" s="101">
        <v>1563</v>
      </c>
      <c r="B1564" s="10">
        <v>3009</v>
      </c>
      <c r="C1564" s="43" t="s">
        <v>182</v>
      </c>
      <c r="D1564">
        <v>2.78</v>
      </c>
      <c r="E1564">
        <v>5945.55</v>
      </c>
      <c r="F1564">
        <v>0.18</v>
      </c>
      <c r="G1564">
        <v>17.05</v>
      </c>
      <c r="H1564">
        <v>2.31</v>
      </c>
      <c r="I1564">
        <v>56.98</v>
      </c>
      <c r="J1564">
        <v>8.74</v>
      </c>
      <c r="K1564">
        <v>1.05</v>
      </c>
      <c r="L1564">
        <f t="shared" si="240"/>
        <v>0</v>
      </c>
      <c r="M1564">
        <f t="shared" si="241"/>
        <v>0</v>
      </c>
      <c r="N1564">
        <f t="shared" si="242"/>
        <v>0</v>
      </c>
      <c r="O1564">
        <f t="shared" si="243"/>
        <v>0</v>
      </c>
      <c r="P1564">
        <f t="shared" si="244"/>
        <v>0</v>
      </c>
      <c r="Q1564">
        <f t="shared" si="245"/>
        <v>0</v>
      </c>
      <c r="R1564">
        <f t="shared" si="246"/>
        <v>0</v>
      </c>
      <c r="S1564">
        <f t="shared" si="247"/>
        <v>0</v>
      </c>
      <c r="T1564">
        <f t="shared" si="249"/>
        <v>0</v>
      </c>
      <c r="U1564">
        <f t="shared" si="248"/>
        <v>0</v>
      </c>
    </row>
    <row r="1565" spans="1:21" x14ac:dyDescent="0.25">
      <c r="A1565" s="101">
        <v>1564</v>
      </c>
      <c r="B1565" s="10">
        <v>3009</v>
      </c>
      <c r="C1565" s="43" t="s">
        <v>184</v>
      </c>
      <c r="D1565">
        <v>37.99</v>
      </c>
      <c r="E1565">
        <v>22984.68</v>
      </c>
      <c r="F1565">
        <v>189.46</v>
      </c>
      <c r="G1565">
        <v>126.1</v>
      </c>
      <c r="H1565">
        <v>15184.39</v>
      </c>
      <c r="I1565" s="80">
        <v>18013.64</v>
      </c>
      <c r="J1565">
        <v>63.11</v>
      </c>
      <c r="K1565">
        <v>5310.59</v>
      </c>
      <c r="L1565">
        <f t="shared" si="240"/>
        <v>0</v>
      </c>
      <c r="M1565">
        <f t="shared" si="241"/>
        <v>0</v>
      </c>
      <c r="N1565">
        <f t="shared" si="242"/>
        <v>0</v>
      </c>
      <c r="O1565">
        <f t="shared" si="243"/>
        <v>0</v>
      </c>
      <c r="P1565">
        <f t="shared" si="244"/>
        <v>0</v>
      </c>
      <c r="Q1565">
        <f t="shared" si="245"/>
        <v>0</v>
      </c>
      <c r="R1565">
        <f t="shared" si="246"/>
        <v>0</v>
      </c>
      <c r="S1565">
        <f t="shared" si="247"/>
        <v>0</v>
      </c>
      <c r="T1565">
        <f t="shared" si="249"/>
        <v>0</v>
      </c>
      <c r="U1565">
        <f t="shared" si="248"/>
        <v>0</v>
      </c>
    </row>
    <row r="1566" spans="1:21" x14ac:dyDescent="0.25">
      <c r="A1566" s="101">
        <v>1565</v>
      </c>
      <c r="B1566" s="10">
        <v>3009</v>
      </c>
      <c r="C1566" s="43" t="s">
        <v>187</v>
      </c>
      <c r="D1566">
        <v>52.65</v>
      </c>
      <c r="E1566" s="80">
        <v>30502.95</v>
      </c>
      <c r="F1566">
        <v>556.17999999999995</v>
      </c>
      <c r="G1566">
        <v>126.1</v>
      </c>
      <c r="H1566" s="80">
        <v>22947.23</v>
      </c>
      <c r="I1566" s="80">
        <v>18508.07</v>
      </c>
      <c r="J1566">
        <v>88.32</v>
      </c>
      <c r="K1566" s="80">
        <v>9607.74</v>
      </c>
      <c r="L1566">
        <f t="shared" si="240"/>
        <v>0</v>
      </c>
      <c r="M1566">
        <f t="shared" si="241"/>
        <v>0</v>
      </c>
      <c r="N1566">
        <f t="shared" si="242"/>
        <v>0</v>
      </c>
      <c r="O1566">
        <f t="shared" si="243"/>
        <v>0</v>
      </c>
      <c r="P1566">
        <f t="shared" si="244"/>
        <v>0</v>
      </c>
      <c r="Q1566">
        <f t="shared" si="245"/>
        <v>0</v>
      </c>
      <c r="R1566">
        <f t="shared" si="246"/>
        <v>0</v>
      </c>
      <c r="S1566">
        <f t="shared" si="247"/>
        <v>0</v>
      </c>
      <c r="T1566">
        <f t="shared" si="249"/>
        <v>0</v>
      </c>
      <c r="U1566">
        <f t="shared" si="248"/>
        <v>0</v>
      </c>
    </row>
    <row r="1567" spans="1:21" x14ac:dyDescent="0.25">
      <c r="A1567" s="101">
        <v>1566</v>
      </c>
      <c r="B1567" s="10">
        <v>3009</v>
      </c>
      <c r="C1567" s="43" t="s">
        <v>189</v>
      </c>
      <c r="D1567">
        <v>36</v>
      </c>
      <c r="E1567">
        <v>22077.47</v>
      </c>
      <c r="F1567">
        <v>66.42</v>
      </c>
      <c r="G1567">
        <v>114.28</v>
      </c>
      <c r="H1567" s="80">
        <v>22242.95</v>
      </c>
      <c r="I1567" s="80">
        <v>14069.83</v>
      </c>
      <c r="J1567">
        <v>86.47</v>
      </c>
      <c r="K1567" s="80">
        <v>26103.84</v>
      </c>
      <c r="L1567">
        <f t="shared" si="240"/>
        <v>0</v>
      </c>
      <c r="M1567">
        <f t="shared" si="241"/>
        <v>0</v>
      </c>
      <c r="N1567">
        <f t="shared" si="242"/>
        <v>0</v>
      </c>
      <c r="O1567">
        <f t="shared" si="243"/>
        <v>0</v>
      </c>
      <c r="P1567">
        <f t="shared" si="244"/>
        <v>0</v>
      </c>
      <c r="Q1567">
        <f t="shared" si="245"/>
        <v>0</v>
      </c>
      <c r="R1567">
        <f t="shared" si="246"/>
        <v>0</v>
      </c>
      <c r="S1567">
        <f t="shared" si="247"/>
        <v>0</v>
      </c>
      <c r="T1567">
        <f t="shared" si="249"/>
        <v>0</v>
      </c>
      <c r="U1567">
        <f t="shared" si="248"/>
        <v>0</v>
      </c>
    </row>
    <row r="1568" spans="1:21" x14ac:dyDescent="0.25">
      <c r="A1568" s="101">
        <v>1567</v>
      </c>
      <c r="B1568" s="10">
        <v>3010</v>
      </c>
      <c r="C1568" s="43" t="s">
        <v>182</v>
      </c>
      <c r="D1568" t="s">
        <v>583</v>
      </c>
      <c r="E1568">
        <v>210.07</v>
      </c>
      <c r="F1568" t="s">
        <v>583</v>
      </c>
      <c r="G1568" t="s">
        <v>583</v>
      </c>
      <c r="H1568" t="s">
        <v>583</v>
      </c>
      <c r="I1568">
        <v>0.97</v>
      </c>
      <c r="J1568" t="s">
        <v>583</v>
      </c>
      <c r="K1568" s="80">
        <v>0.01</v>
      </c>
      <c r="L1568">
        <f t="shared" si="240"/>
        <v>0</v>
      </c>
      <c r="M1568">
        <f t="shared" si="241"/>
        <v>0</v>
      </c>
      <c r="N1568">
        <f t="shared" si="242"/>
        <v>0</v>
      </c>
      <c r="O1568">
        <f t="shared" si="243"/>
        <v>0</v>
      </c>
      <c r="P1568">
        <f t="shared" si="244"/>
        <v>0</v>
      </c>
      <c r="Q1568">
        <f t="shared" si="245"/>
        <v>0</v>
      </c>
      <c r="R1568">
        <f t="shared" si="246"/>
        <v>0</v>
      </c>
      <c r="S1568">
        <f t="shared" si="247"/>
        <v>0</v>
      </c>
      <c r="T1568">
        <f t="shared" si="249"/>
        <v>0</v>
      </c>
      <c r="U1568">
        <f t="shared" si="248"/>
        <v>0</v>
      </c>
    </row>
    <row r="1569" spans="1:21" x14ac:dyDescent="0.25">
      <c r="A1569" s="101">
        <v>1568</v>
      </c>
      <c r="B1569" s="10">
        <v>3010</v>
      </c>
      <c r="C1569" s="43" t="s">
        <v>184</v>
      </c>
      <c r="D1569">
        <v>1.83</v>
      </c>
      <c r="E1569">
        <v>2295.12</v>
      </c>
      <c r="F1569">
        <v>2.17</v>
      </c>
      <c r="G1569">
        <v>4.66</v>
      </c>
      <c r="H1569">
        <v>38.729999999999997</v>
      </c>
      <c r="I1569" s="80">
        <v>3972.74</v>
      </c>
      <c r="J1569">
        <v>6.45</v>
      </c>
      <c r="K1569">
        <v>74.150000000000006</v>
      </c>
      <c r="L1569">
        <f t="shared" si="240"/>
        <v>0</v>
      </c>
      <c r="M1569">
        <f t="shared" si="241"/>
        <v>0</v>
      </c>
      <c r="N1569">
        <f t="shared" si="242"/>
        <v>0</v>
      </c>
      <c r="O1569">
        <f t="shared" si="243"/>
        <v>0</v>
      </c>
      <c r="P1569">
        <f t="shared" si="244"/>
        <v>0</v>
      </c>
      <c r="Q1569">
        <f t="shared" si="245"/>
        <v>0</v>
      </c>
      <c r="R1569">
        <f t="shared" si="246"/>
        <v>0</v>
      </c>
      <c r="S1569">
        <f t="shared" si="247"/>
        <v>0</v>
      </c>
      <c r="T1569">
        <f t="shared" si="249"/>
        <v>0</v>
      </c>
      <c r="U1569">
        <f t="shared" si="248"/>
        <v>0</v>
      </c>
    </row>
    <row r="1570" spans="1:21" x14ac:dyDescent="0.25">
      <c r="A1570" s="101">
        <v>1569</v>
      </c>
      <c r="B1570" s="10">
        <v>3010</v>
      </c>
      <c r="C1570" s="43" t="s">
        <v>187</v>
      </c>
      <c r="D1570">
        <v>1.83</v>
      </c>
      <c r="E1570">
        <v>2285</v>
      </c>
      <c r="F1570">
        <v>11.35</v>
      </c>
      <c r="G1570">
        <v>17.05</v>
      </c>
      <c r="H1570">
        <v>201.08</v>
      </c>
      <c r="I1570" s="80">
        <v>7058.99</v>
      </c>
      <c r="J1570">
        <v>13.66</v>
      </c>
      <c r="K1570">
        <v>815.99</v>
      </c>
      <c r="L1570">
        <f t="shared" si="240"/>
        <v>0</v>
      </c>
      <c r="M1570">
        <f t="shared" si="241"/>
        <v>0</v>
      </c>
      <c r="N1570">
        <f t="shared" si="242"/>
        <v>0</v>
      </c>
      <c r="O1570">
        <f t="shared" si="243"/>
        <v>0</v>
      </c>
      <c r="P1570">
        <f t="shared" si="244"/>
        <v>0</v>
      </c>
      <c r="Q1570">
        <f t="shared" si="245"/>
        <v>0</v>
      </c>
      <c r="R1570">
        <f t="shared" si="246"/>
        <v>0</v>
      </c>
      <c r="S1570">
        <f t="shared" si="247"/>
        <v>0</v>
      </c>
      <c r="T1570">
        <f t="shared" si="249"/>
        <v>0</v>
      </c>
      <c r="U1570">
        <f t="shared" si="248"/>
        <v>0</v>
      </c>
    </row>
    <row r="1571" spans="1:21" x14ac:dyDescent="0.25">
      <c r="A1571" s="101">
        <v>1570</v>
      </c>
      <c r="B1571" s="10">
        <v>3010</v>
      </c>
      <c r="C1571" s="43" t="s">
        <v>189</v>
      </c>
      <c r="D1571" s="80">
        <v>0.31</v>
      </c>
      <c r="E1571">
        <v>984.33</v>
      </c>
      <c r="F1571">
        <v>2.8</v>
      </c>
      <c r="G1571">
        <v>17.05</v>
      </c>
      <c r="H1571">
        <v>639.24</v>
      </c>
      <c r="I1571" s="80">
        <v>3291.26</v>
      </c>
      <c r="J1571">
        <v>8.74</v>
      </c>
      <c r="K1571">
        <v>1220.9000000000001</v>
      </c>
      <c r="L1571">
        <f t="shared" si="240"/>
        <v>0</v>
      </c>
      <c r="M1571">
        <f t="shared" si="241"/>
        <v>0</v>
      </c>
      <c r="N1571">
        <f t="shared" si="242"/>
        <v>0</v>
      </c>
      <c r="O1571">
        <f t="shared" si="243"/>
        <v>0</v>
      </c>
      <c r="P1571">
        <f t="shared" si="244"/>
        <v>0</v>
      </c>
      <c r="Q1571">
        <f t="shared" si="245"/>
        <v>0</v>
      </c>
      <c r="R1571">
        <f t="shared" si="246"/>
        <v>0</v>
      </c>
      <c r="S1571">
        <f t="shared" si="247"/>
        <v>0</v>
      </c>
      <c r="T1571">
        <f t="shared" si="249"/>
        <v>0</v>
      </c>
      <c r="U1571">
        <f t="shared" si="248"/>
        <v>0</v>
      </c>
    </row>
    <row r="1572" spans="1:21" x14ac:dyDescent="0.25">
      <c r="A1572" s="101">
        <v>1571</v>
      </c>
      <c r="B1572" s="10">
        <v>3008</v>
      </c>
      <c r="C1572" s="43" t="s">
        <v>182</v>
      </c>
      <c r="D1572" s="80">
        <v>0.31</v>
      </c>
      <c r="E1572">
        <v>128.66999999999999</v>
      </c>
      <c r="F1572" t="s">
        <v>583</v>
      </c>
      <c r="G1572" t="s">
        <v>583</v>
      </c>
      <c r="H1572" t="s">
        <v>583</v>
      </c>
      <c r="I1572">
        <v>7.0000000000000007E-2</v>
      </c>
      <c r="J1572" t="s">
        <v>583</v>
      </c>
      <c r="K1572" t="s">
        <v>583</v>
      </c>
      <c r="L1572">
        <f t="shared" si="240"/>
        <v>0</v>
      </c>
      <c r="M1572">
        <f t="shared" si="241"/>
        <v>0</v>
      </c>
      <c r="N1572">
        <f t="shared" si="242"/>
        <v>0</v>
      </c>
      <c r="O1572">
        <f t="shared" si="243"/>
        <v>0</v>
      </c>
      <c r="P1572">
        <f t="shared" si="244"/>
        <v>0</v>
      </c>
      <c r="Q1572">
        <f t="shared" si="245"/>
        <v>0</v>
      </c>
      <c r="R1572">
        <f t="shared" si="246"/>
        <v>0</v>
      </c>
      <c r="S1572">
        <f t="shared" si="247"/>
        <v>0</v>
      </c>
      <c r="T1572">
        <f t="shared" si="249"/>
        <v>0</v>
      </c>
      <c r="U1572">
        <f t="shared" si="248"/>
        <v>0</v>
      </c>
    </row>
    <row r="1573" spans="1:21" x14ac:dyDescent="0.25">
      <c r="A1573" s="101">
        <v>1572</v>
      </c>
      <c r="B1573" s="10">
        <v>3008</v>
      </c>
      <c r="C1573" s="43" t="s">
        <v>184</v>
      </c>
      <c r="D1573" s="80">
        <v>0.31</v>
      </c>
      <c r="E1573">
        <v>2665.26</v>
      </c>
      <c r="F1573">
        <v>3.3</v>
      </c>
      <c r="G1573">
        <v>4.66</v>
      </c>
      <c r="H1573">
        <v>8.27</v>
      </c>
      <c r="I1573">
        <v>1364.87</v>
      </c>
      <c r="J1573">
        <v>4.32</v>
      </c>
      <c r="K1573">
        <v>4.5199999999999996</v>
      </c>
      <c r="L1573">
        <f t="shared" si="240"/>
        <v>0</v>
      </c>
      <c r="M1573">
        <f t="shared" si="241"/>
        <v>0</v>
      </c>
      <c r="N1573">
        <f t="shared" si="242"/>
        <v>0</v>
      </c>
      <c r="O1573">
        <f t="shared" si="243"/>
        <v>0</v>
      </c>
      <c r="P1573">
        <f t="shared" si="244"/>
        <v>0</v>
      </c>
      <c r="Q1573">
        <f t="shared" si="245"/>
        <v>0</v>
      </c>
      <c r="R1573">
        <f t="shared" si="246"/>
        <v>0</v>
      </c>
      <c r="S1573">
        <f t="shared" si="247"/>
        <v>0</v>
      </c>
      <c r="T1573">
        <f t="shared" si="249"/>
        <v>0</v>
      </c>
      <c r="U1573">
        <f t="shared" si="248"/>
        <v>0</v>
      </c>
    </row>
    <row r="1574" spans="1:21" x14ac:dyDescent="0.25">
      <c r="A1574" s="101">
        <v>1573</v>
      </c>
      <c r="B1574" s="10">
        <v>3008</v>
      </c>
      <c r="C1574" s="43" t="s">
        <v>187</v>
      </c>
      <c r="D1574">
        <v>2.78</v>
      </c>
      <c r="E1574">
        <v>9071.82</v>
      </c>
      <c r="F1574">
        <v>59.07</v>
      </c>
      <c r="G1574">
        <v>4.66</v>
      </c>
      <c r="H1574">
        <v>190.12</v>
      </c>
      <c r="I1574" s="80">
        <v>4732.87</v>
      </c>
      <c r="J1574">
        <v>13.66</v>
      </c>
      <c r="K1574">
        <v>164.23</v>
      </c>
      <c r="L1574">
        <f t="shared" si="240"/>
        <v>0</v>
      </c>
      <c r="M1574">
        <f t="shared" si="241"/>
        <v>0</v>
      </c>
      <c r="N1574">
        <f t="shared" si="242"/>
        <v>0</v>
      </c>
      <c r="O1574">
        <f t="shared" si="243"/>
        <v>0</v>
      </c>
      <c r="P1574">
        <f t="shared" si="244"/>
        <v>0</v>
      </c>
      <c r="Q1574">
        <f t="shared" si="245"/>
        <v>0</v>
      </c>
      <c r="R1574">
        <f t="shared" si="246"/>
        <v>0</v>
      </c>
      <c r="S1574">
        <f t="shared" si="247"/>
        <v>0</v>
      </c>
      <c r="T1574">
        <f t="shared" si="249"/>
        <v>0</v>
      </c>
      <c r="U1574">
        <f t="shared" si="248"/>
        <v>0</v>
      </c>
    </row>
    <row r="1575" spans="1:21" x14ac:dyDescent="0.25">
      <c r="A1575" s="101">
        <v>1574</v>
      </c>
      <c r="B1575" s="10">
        <v>3008</v>
      </c>
      <c r="C1575" s="43" t="s">
        <v>189</v>
      </c>
      <c r="D1575" t="s">
        <v>583</v>
      </c>
      <c r="E1575">
        <v>2497.04</v>
      </c>
      <c r="F1575">
        <v>13.81</v>
      </c>
      <c r="G1575" t="s">
        <v>583</v>
      </c>
      <c r="H1575">
        <v>139.06</v>
      </c>
      <c r="I1575">
        <v>1945.68</v>
      </c>
      <c r="J1575">
        <v>6.45</v>
      </c>
      <c r="K1575">
        <v>265.01</v>
      </c>
      <c r="L1575">
        <f t="shared" si="240"/>
        <v>0</v>
      </c>
      <c r="M1575">
        <f t="shared" si="241"/>
        <v>0</v>
      </c>
      <c r="N1575">
        <f t="shared" si="242"/>
        <v>0</v>
      </c>
      <c r="O1575">
        <f t="shared" si="243"/>
        <v>0</v>
      </c>
      <c r="P1575">
        <f t="shared" si="244"/>
        <v>0</v>
      </c>
      <c r="Q1575">
        <f t="shared" si="245"/>
        <v>0</v>
      </c>
      <c r="R1575">
        <f t="shared" si="246"/>
        <v>0</v>
      </c>
      <c r="S1575">
        <f t="shared" si="247"/>
        <v>0</v>
      </c>
      <c r="T1575">
        <f t="shared" si="249"/>
        <v>0</v>
      </c>
      <c r="U1575">
        <f t="shared" si="248"/>
        <v>0</v>
      </c>
    </row>
    <row r="1576" spans="1:21" x14ac:dyDescent="0.25">
      <c r="A1576" s="101">
        <v>1575</v>
      </c>
      <c r="B1576" s="10">
        <v>2040</v>
      </c>
      <c r="C1576" s="43" t="s">
        <v>162</v>
      </c>
      <c r="D1576">
        <v>4.97</v>
      </c>
      <c r="E1576">
        <v>9000.33</v>
      </c>
      <c r="F1576">
        <v>0.52</v>
      </c>
      <c r="G1576">
        <v>102.76</v>
      </c>
      <c r="H1576">
        <v>0.47</v>
      </c>
      <c r="I1576">
        <v>0.6</v>
      </c>
      <c r="J1576">
        <v>13.66</v>
      </c>
      <c r="K1576">
        <v>1.95</v>
      </c>
      <c r="L1576">
        <f t="shared" si="240"/>
        <v>0</v>
      </c>
      <c r="M1576">
        <f t="shared" si="241"/>
        <v>0</v>
      </c>
      <c r="N1576">
        <f t="shared" si="242"/>
        <v>0</v>
      </c>
      <c r="O1576">
        <f t="shared" si="243"/>
        <v>0</v>
      </c>
      <c r="P1576">
        <f t="shared" si="244"/>
        <v>0</v>
      </c>
      <c r="Q1576">
        <f t="shared" si="245"/>
        <v>0</v>
      </c>
      <c r="R1576">
        <f t="shared" si="246"/>
        <v>0</v>
      </c>
      <c r="S1576">
        <f t="shared" si="247"/>
        <v>0</v>
      </c>
      <c r="T1576">
        <f t="shared" si="249"/>
        <v>0</v>
      </c>
      <c r="U1576">
        <f t="shared" si="248"/>
        <v>0</v>
      </c>
    </row>
    <row r="1577" spans="1:21" x14ac:dyDescent="0.25">
      <c r="A1577" s="101">
        <v>1576</v>
      </c>
      <c r="B1577" s="10">
        <v>2040</v>
      </c>
      <c r="C1577" s="43" t="s">
        <v>170</v>
      </c>
      <c r="D1577">
        <v>8.7799999999999994</v>
      </c>
      <c r="E1577">
        <v>12609.76</v>
      </c>
      <c r="F1577">
        <v>30.43</v>
      </c>
      <c r="G1577">
        <v>45.88</v>
      </c>
      <c r="H1577">
        <v>177.6</v>
      </c>
      <c r="I1577" s="80">
        <v>5431.82</v>
      </c>
      <c r="J1577">
        <v>24.6</v>
      </c>
      <c r="K1577">
        <v>194.84</v>
      </c>
      <c r="L1577">
        <f t="shared" si="240"/>
        <v>0</v>
      </c>
      <c r="M1577">
        <f t="shared" si="241"/>
        <v>0</v>
      </c>
      <c r="N1577">
        <f t="shared" si="242"/>
        <v>0</v>
      </c>
      <c r="O1577">
        <f t="shared" si="243"/>
        <v>0</v>
      </c>
      <c r="P1577">
        <f t="shared" si="244"/>
        <v>0</v>
      </c>
      <c r="Q1577">
        <f t="shared" si="245"/>
        <v>0</v>
      </c>
      <c r="R1577">
        <f t="shared" si="246"/>
        <v>0</v>
      </c>
      <c r="S1577">
        <f t="shared" si="247"/>
        <v>0</v>
      </c>
      <c r="T1577">
        <f t="shared" si="249"/>
        <v>0</v>
      </c>
      <c r="U1577">
        <f t="shared" si="248"/>
        <v>0</v>
      </c>
    </row>
    <row r="1578" spans="1:21" x14ac:dyDescent="0.25">
      <c r="A1578" s="99">
        <v>1577</v>
      </c>
      <c r="B1578" s="10">
        <v>2040</v>
      </c>
      <c r="C1578" s="43" t="s">
        <v>178</v>
      </c>
      <c r="D1578">
        <v>23.81</v>
      </c>
      <c r="E1578">
        <v>19284.28</v>
      </c>
      <c r="F1578">
        <v>353.91</v>
      </c>
      <c r="G1578">
        <v>83.42</v>
      </c>
      <c r="H1578">
        <v>1629.83</v>
      </c>
      <c r="I1578" s="80">
        <v>9234.19</v>
      </c>
      <c r="J1578">
        <v>33.54</v>
      </c>
      <c r="K1578">
        <v>495.13</v>
      </c>
      <c r="L1578">
        <f t="shared" si="240"/>
        <v>0</v>
      </c>
      <c r="M1578">
        <f t="shared" si="241"/>
        <v>0</v>
      </c>
      <c r="N1578">
        <f t="shared" si="242"/>
        <v>0</v>
      </c>
      <c r="O1578">
        <f t="shared" si="243"/>
        <v>0</v>
      </c>
      <c r="P1578">
        <f t="shared" si="244"/>
        <v>0</v>
      </c>
      <c r="Q1578">
        <f t="shared" si="245"/>
        <v>0</v>
      </c>
      <c r="R1578">
        <f t="shared" si="246"/>
        <v>0</v>
      </c>
      <c r="S1578">
        <f t="shared" si="247"/>
        <v>0</v>
      </c>
      <c r="T1578">
        <f t="shared" si="249"/>
        <v>0</v>
      </c>
      <c r="U1578">
        <f t="shared" si="248"/>
        <v>0</v>
      </c>
    </row>
    <row r="1579" spans="1:21" x14ac:dyDescent="0.25">
      <c r="A1579" s="99">
        <v>1578</v>
      </c>
      <c r="B1579" s="10">
        <v>2040</v>
      </c>
      <c r="C1579" s="43" t="s">
        <v>163</v>
      </c>
      <c r="D1579">
        <v>49.4</v>
      </c>
      <c r="E1579">
        <v>18529.099999999999</v>
      </c>
      <c r="F1579">
        <v>36.46</v>
      </c>
      <c r="G1579">
        <v>83.42</v>
      </c>
      <c r="H1579">
        <v>599.97</v>
      </c>
      <c r="I1579" s="80">
        <v>3215.82</v>
      </c>
      <c r="J1579">
        <v>38.200000000000003</v>
      </c>
      <c r="K1579">
        <v>2219.7199999999998</v>
      </c>
      <c r="L1579">
        <f t="shared" si="240"/>
        <v>0</v>
      </c>
      <c r="M1579">
        <f t="shared" si="241"/>
        <v>0</v>
      </c>
      <c r="N1579">
        <f t="shared" si="242"/>
        <v>0</v>
      </c>
      <c r="O1579">
        <f t="shared" si="243"/>
        <v>0</v>
      </c>
      <c r="P1579">
        <f t="shared" si="244"/>
        <v>0</v>
      </c>
      <c r="Q1579">
        <f t="shared" si="245"/>
        <v>0</v>
      </c>
      <c r="R1579">
        <f t="shared" si="246"/>
        <v>0</v>
      </c>
      <c r="S1579">
        <f t="shared" si="247"/>
        <v>0</v>
      </c>
      <c r="T1579">
        <f t="shared" si="249"/>
        <v>0</v>
      </c>
      <c r="U1579">
        <f t="shared" si="248"/>
        <v>0</v>
      </c>
    </row>
    <row r="1580" spans="1:21" x14ac:dyDescent="0.25">
      <c r="A1580" s="99">
        <v>1579</v>
      </c>
      <c r="B1580" s="10">
        <v>2040</v>
      </c>
      <c r="C1580" s="43" t="s">
        <v>181</v>
      </c>
      <c r="D1580">
        <v>12.35</v>
      </c>
      <c r="E1580" s="80">
        <v>40844.82</v>
      </c>
      <c r="F1580">
        <v>0.6</v>
      </c>
      <c r="G1580">
        <v>62.67</v>
      </c>
      <c r="H1580">
        <v>3.09</v>
      </c>
      <c r="I1580">
        <v>2.38</v>
      </c>
      <c r="J1580">
        <v>27.52</v>
      </c>
      <c r="K1580">
        <v>6.54</v>
      </c>
      <c r="L1580">
        <f t="shared" si="240"/>
        <v>0</v>
      </c>
      <c r="M1580">
        <f t="shared" si="241"/>
        <v>0</v>
      </c>
      <c r="N1580">
        <f t="shared" si="242"/>
        <v>0</v>
      </c>
      <c r="O1580">
        <f t="shared" si="243"/>
        <v>0</v>
      </c>
      <c r="P1580">
        <f t="shared" si="244"/>
        <v>0</v>
      </c>
      <c r="Q1580">
        <f t="shared" si="245"/>
        <v>0</v>
      </c>
      <c r="R1580">
        <f t="shared" si="246"/>
        <v>0</v>
      </c>
      <c r="S1580">
        <f t="shared" si="247"/>
        <v>0</v>
      </c>
      <c r="T1580">
        <f t="shared" si="249"/>
        <v>0</v>
      </c>
      <c r="U1580">
        <f t="shared" si="248"/>
        <v>0</v>
      </c>
    </row>
    <row r="1581" spans="1:21" x14ac:dyDescent="0.25">
      <c r="A1581" s="99">
        <v>1580</v>
      </c>
      <c r="B1581" s="10">
        <v>2040</v>
      </c>
      <c r="C1581" s="43" t="s">
        <v>183</v>
      </c>
      <c r="D1581">
        <v>29.27</v>
      </c>
      <c r="E1581" s="80">
        <v>45604.76</v>
      </c>
      <c r="F1581">
        <v>839.77</v>
      </c>
      <c r="G1581">
        <v>129.1</v>
      </c>
      <c r="H1581">
        <v>7856.83</v>
      </c>
      <c r="I1581" s="80">
        <v>17376.78</v>
      </c>
      <c r="J1581">
        <v>68.37</v>
      </c>
      <c r="K1581">
        <v>5158.4799999999996</v>
      </c>
      <c r="L1581">
        <f t="shared" si="240"/>
        <v>0</v>
      </c>
      <c r="M1581">
        <f t="shared" si="241"/>
        <v>0</v>
      </c>
      <c r="N1581">
        <f t="shared" si="242"/>
        <v>0</v>
      </c>
      <c r="O1581">
        <f t="shared" si="243"/>
        <v>0</v>
      </c>
      <c r="P1581">
        <f t="shared" si="244"/>
        <v>0</v>
      </c>
      <c r="Q1581">
        <f t="shared" si="245"/>
        <v>0</v>
      </c>
      <c r="R1581">
        <f t="shared" si="246"/>
        <v>0</v>
      </c>
      <c r="S1581">
        <f t="shared" si="247"/>
        <v>0</v>
      </c>
      <c r="T1581">
        <f t="shared" si="249"/>
        <v>0</v>
      </c>
      <c r="U1581">
        <f t="shared" si="248"/>
        <v>0</v>
      </c>
    </row>
    <row r="1582" spans="1:21" x14ac:dyDescent="0.25">
      <c r="A1582" s="99">
        <v>1581</v>
      </c>
      <c r="B1582" s="10">
        <v>2040</v>
      </c>
      <c r="C1582" s="43" t="s">
        <v>186</v>
      </c>
      <c r="D1582">
        <v>35.020000000000003</v>
      </c>
      <c r="E1582">
        <v>24381.9</v>
      </c>
      <c r="F1582">
        <v>1136.17</v>
      </c>
      <c r="G1582">
        <v>153.78</v>
      </c>
      <c r="H1582" s="80">
        <v>22097.58</v>
      </c>
      <c r="I1582" s="80">
        <v>18164.98</v>
      </c>
      <c r="J1582">
        <v>86.47</v>
      </c>
      <c r="K1582" s="80">
        <v>9951.5300000000007</v>
      </c>
      <c r="L1582">
        <f t="shared" si="240"/>
        <v>0</v>
      </c>
      <c r="M1582">
        <f t="shared" si="241"/>
        <v>0</v>
      </c>
      <c r="N1582">
        <f t="shared" si="242"/>
        <v>0</v>
      </c>
      <c r="O1582">
        <f t="shared" si="243"/>
        <v>0</v>
      </c>
      <c r="P1582">
        <f t="shared" si="244"/>
        <v>0</v>
      </c>
      <c r="Q1582">
        <f t="shared" si="245"/>
        <v>0</v>
      </c>
      <c r="R1582">
        <f t="shared" si="246"/>
        <v>0</v>
      </c>
      <c r="S1582">
        <f t="shared" si="247"/>
        <v>0</v>
      </c>
      <c r="T1582">
        <f t="shared" si="249"/>
        <v>0</v>
      </c>
      <c r="U1582">
        <f t="shared" si="248"/>
        <v>0</v>
      </c>
    </row>
    <row r="1583" spans="1:21" x14ac:dyDescent="0.25">
      <c r="A1583" s="99">
        <v>1582</v>
      </c>
      <c r="B1583" s="10">
        <v>2040</v>
      </c>
      <c r="C1583" s="43" t="s">
        <v>188</v>
      </c>
      <c r="D1583">
        <v>35.020000000000003</v>
      </c>
      <c r="E1583" s="80">
        <v>398667.45</v>
      </c>
      <c r="F1583">
        <v>42.79</v>
      </c>
      <c r="G1583">
        <v>117.2</v>
      </c>
      <c r="H1583">
        <v>1339.69</v>
      </c>
      <c r="I1583" s="80">
        <v>6349.88</v>
      </c>
      <c r="J1583">
        <v>77.31</v>
      </c>
      <c r="K1583">
        <v>6874.45</v>
      </c>
      <c r="L1583">
        <f t="shared" si="240"/>
        <v>0</v>
      </c>
      <c r="M1583">
        <f t="shared" si="241"/>
        <v>0</v>
      </c>
      <c r="N1583">
        <f t="shared" si="242"/>
        <v>0</v>
      </c>
      <c r="O1583">
        <f t="shared" si="243"/>
        <v>0</v>
      </c>
      <c r="P1583">
        <f t="shared" si="244"/>
        <v>0</v>
      </c>
      <c r="Q1583">
        <f t="shared" si="245"/>
        <v>0</v>
      </c>
      <c r="R1583">
        <f t="shared" si="246"/>
        <v>0</v>
      </c>
      <c r="S1583">
        <f t="shared" si="247"/>
        <v>0</v>
      </c>
      <c r="T1583">
        <f t="shared" si="249"/>
        <v>0</v>
      </c>
      <c r="U1583">
        <f t="shared" si="248"/>
        <v>0</v>
      </c>
    </row>
    <row r="1584" spans="1:21" x14ac:dyDescent="0.25">
      <c r="A1584" s="99">
        <v>1583</v>
      </c>
      <c r="B1584" s="10">
        <v>2040</v>
      </c>
      <c r="C1584" s="43" t="s">
        <v>182</v>
      </c>
      <c r="D1584" s="80">
        <v>7.0000000000000007E-2</v>
      </c>
      <c r="E1584">
        <v>335.94</v>
      </c>
      <c r="F1584" t="s">
        <v>583</v>
      </c>
      <c r="G1584" t="s">
        <v>583</v>
      </c>
      <c r="H1584">
        <v>0.47</v>
      </c>
      <c r="I1584">
        <v>26.53</v>
      </c>
      <c r="J1584" s="80">
        <v>0.73</v>
      </c>
      <c r="K1584">
        <v>0.18</v>
      </c>
      <c r="L1584">
        <f t="shared" si="240"/>
        <v>0</v>
      </c>
      <c r="M1584">
        <f t="shared" si="241"/>
        <v>0</v>
      </c>
      <c r="N1584">
        <f t="shared" si="242"/>
        <v>0</v>
      </c>
      <c r="O1584">
        <f t="shared" si="243"/>
        <v>0</v>
      </c>
      <c r="P1584">
        <f t="shared" si="244"/>
        <v>0</v>
      </c>
      <c r="Q1584">
        <f t="shared" si="245"/>
        <v>0</v>
      </c>
      <c r="R1584">
        <f t="shared" si="246"/>
        <v>0</v>
      </c>
      <c r="S1584">
        <f t="shared" si="247"/>
        <v>0</v>
      </c>
      <c r="T1584">
        <f t="shared" si="249"/>
        <v>0</v>
      </c>
      <c r="U1584">
        <f t="shared" si="248"/>
        <v>0</v>
      </c>
    </row>
    <row r="1585" spans="1:21" x14ac:dyDescent="0.25">
      <c r="A1585" s="99">
        <v>1584</v>
      </c>
      <c r="B1585" s="10">
        <v>2040</v>
      </c>
      <c r="C1585" s="43" t="s">
        <v>184</v>
      </c>
      <c r="D1585">
        <v>55.95</v>
      </c>
      <c r="E1585">
        <v>6206.96</v>
      </c>
      <c r="F1585">
        <v>213.92</v>
      </c>
      <c r="G1585">
        <v>62.67</v>
      </c>
      <c r="H1585">
        <v>3075.49</v>
      </c>
      <c r="I1585" s="80">
        <v>13951.97</v>
      </c>
      <c r="J1585">
        <v>33.54</v>
      </c>
      <c r="K1585">
        <v>1393.78</v>
      </c>
      <c r="L1585">
        <f t="shared" si="240"/>
        <v>0</v>
      </c>
      <c r="M1585">
        <f t="shared" si="241"/>
        <v>0</v>
      </c>
      <c r="N1585">
        <f t="shared" si="242"/>
        <v>0</v>
      </c>
      <c r="O1585">
        <f t="shared" si="243"/>
        <v>0</v>
      </c>
      <c r="P1585">
        <f t="shared" si="244"/>
        <v>0</v>
      </c>
      <c r="Q1585">
        <f t="shared" si="245"/>
        <v>0</v>
      </c>
      <c r="R1585">
        <f t="shared" si="246"/>
        <v>0</v>
      </c>
      <c r="S1585">
        <f t="shared" si="247"/>
        <v>0</v>
      </c>
      <c r="T1585">
        <f t="shared" si="249"/>
        <v>0</v>
      </c>
      <c r="U1585">
        <f t="shared" si="248"/>
        <v>0</v>
      </c>
    </row>
    <row r="1586" spans="1:21" x14ac:dyDescent="0.25">
      <c r="A1586" s="99">
        <v>1585</v>
      </c>
      <c r="B1586" s="10">
        <v>2040</v>
      </c>
      <c r="C1586" s="43" t="s">
        <v>187</v>
      </c>
      <c r="D1586">
        <v>485.66</v>
      </c>
      <c r="E1586">
        <v>7589.5</v>
      </c>
      <c r="F1586">
        <v>332.79</v>
      </c>
      <c r="G1586">
        <v>94.34</v>
      </c>
      <c r="H1586">
        <v>9501.57</v>
      </c>
      <c r="I1586" s="80">
        <v>13715.16</v>
      </c>
      <c r="J1586">
        <v>66.61</v>
      </c>
      <c r="K1586">
        <v>6559.72</v>
      </c>
      <c r="L1586">
        <f t="shared" si="240"/>
        <v>0</v>
      </c>
      <c r="M1586">
        <f t="shared" si="241"/>
        <v>0</v>
      </c>
      <c r="N1586">
        <f t="shared" si="242"/>
        <v>0</v>
      </c>
      <c r="O1586">
        <f t="shared" si="243"/>
        <v>0</v>
      </c>
      <c r="P1586">
        <f t="shared" si="244"/>
        <v>0</v>
      </c>
      <c r="Q1586">
        <f t="shared" si="245"/>
        <v>0</v>
      </c>
      <c r="R1586">
        <f t="shared" si="246"/>
        <v>0</v>
      </c>
      <c r="S1586">
        <f t="shared" si="247"/>
        <v>0</v>
      </c>
      <c r="T1586">
        <f t="shared" si="249"/>
        <v>0</v>
      </c>
      <c r="U1586">
        <f t="shared" si="248"/>
        <v>0</v>
      </c>
    </row>
    <row r="1587" spans="1:21" x14ac:dyDescent="0.25">
      <c r="A1587" s="99">
        <v>1586</v>
      </c>
      <c r="B1587" s="10">
        <v>2040</v>
      </c>
      <c r="C1587" s="43" t="s">
        <v>189</v>
      </c>
      <c r="D1587">
        <v>224.89</v>
      </c>
      <c r="E1587">
        <v>5878.62</v>
      </c>
      <c r="F1587">
        <v>7.48</v>
      </c>
      <c r="G1587">
        <v>72.849999999999994</v>
      </c>
      <c r="H1587">
        <v>3801.73</v>
      </c>
      <c r="I1587" s="80">
        <v>8598.09</v>
      </c>
      <c r="J1587">
        <v>47.87</v>
      </c>
      <c r="K1587">
        <v>4870.01</v>
      </c>
      <c r="L1587">
        <f t="shared" si="240"/>
        <v>0</v>
      </c>
      <c r="M1587">
        <f t="shared" si="241"/>
        <v>0</v>
      </c>
      <c r="N1587">
        <f t="shared" si="242"/>
        <v>0</v>
      </c>
      <c r="O1587">
        <f t="shared" si="243"/>
        <v>0</v>
      </c>
      <c r="P1587">
        <f t="shared" si="244"/>
        <v>0</v>
      </c>
      <c r="Q1587">
        <f t="shared" si="245"/>
        <v>0</v>
      </c>
      <c r="R1587">
        <f t="shared" si="246"/>
        <v>0</v>
      </c>
      <c r="S1587">
        <f t="shared" si="247"/>
        <v>0</v>
      </c>
      <c r="T1587">
        <f t="shared" si="249"/>
        <v>0</v>
      </c>
      <c r="U1587">
        <f t="shared" si="248"/>
        <v>0</v>
      </c>
    </row>
    <row r="1588" spans="1:21" x14ac:dyDescent="0.25">
      <c r="A1588" s="99">
        <v>1587</v>
      </c>
      <c r="B1588" s="10">
        <v>2041</v>
      </c>
      <c r="C1588" s="43" t="s">
        <v>162</v>
      </c>
      <c r="D1588">
        <v>15.42</v>
      </c>
      <c r="E1588" s="80">
        <v>65164.79</v>
      </c>
      <c r="F1588">
        <v>1.38</v>
      </c>
      <c r="G1588">
        <v>83.42</v>
      </c>
      <c r="H1588">
        <v>1.56</v>
      </c>
      <c r="I1588">
        <v>1.57</v>
      </c>
      <c r="J1588">
        <v>33.54</v>
      </c>
      <c r="K1588">
        <v>13.63</v>
      </c>
      <c r="L1588">
        <f t="shared" si="240"/>
        <v>0</v>
      </c>
      <c r="M1588">
        <f t="shared" si="241"/>
        <v>0</v>
      </c>
      <c r="N1588">
        <f t="shared" si="242"/>
        <v>0</v>
      </c>
      <c r="O1588">
        <f t="shared" si="243"/>
        <v>0</v>
      </c>
      <c r="P1588">
        <f t="shared" si="244"/>
        <v>0</v>
      </c>
      <c r="Q1588">
        <f t="shared" si="245"/>
        <v>0</v>
      </c>
      <c r="R1588">
        <f t="shared" si="246"/>
        <v>0</v>
      </c>
      <c r="S1588">
        <f t="shared" si="247"/>
        <v>0</v>
      </c>
      <c r="T1588">
        <f t="shared" si="249"/>
        <v>0</v>
      </c>
      <c r="U1588">
        <f t="shared" si="248"/>
        <v>0</v>
      </c>
    </row>
    <row r="1589" spans="1:21" x14ac:dyDescent="0.25">
      <c r="A1589" s="99">
        <v>1588</v>
      </c>
      <c r="B1589" s="10">
        <v>2041</v>
      </c>
      <c r="C1589" s="43" t="s">
        <v>170</v>
      </c>
      <c r="D1589">
        <v>52.65</v>
      </c>
      <c r="E1589" s="80">
        <v>28213.35</v>
      </c>
      <c r="F1589">
        <v>156.36000000000001</v>
      </c>
      <c r="G1589">
        <v>72.849999999999994</v>
      </c>
      <c r="H1589">
        <v>1430.03</v>
      </c>
      <c r="I1589" s="80">
        <v>10399.23</v>
      </c>
      <c r="J1589">
        <v>33.54</v>
      </c>
      <c r="K1589">
        <v>782.84</v>
      </c>
      <c r="L1589">
        <f t="shared" si="240"/>
        <v>0</v>
      </c>
      <c r="M1589">
        <f t="shared" si="241"/>
        <v>0</v>
      </c>
      <c r="N1589">
        <f t="shared" si="242"/>
        <v>0</v>
      </c>
      <c r="O1589">
        <f t="shared" si="243"/>
        <v>0</v>
      </c>
      <c r="P1589">
        <f t="shared" si="244"/>
        <v>0</v>
      </c>
      <c r="Q1589">
        <f t="shared" si="245"/>
        <v>0</v>
      </c>
      <c r="R1589">
        <f t="shared" si="246"/>
        <v>0</v>
      </c>
      <c r="S1589">
        <f t="shared" si="247"/>
        <v>0</v>
      </c>
      <c r="T1589">
        <f t="shared" si="249"/>
        <v>0</v>
      </c>
      <c r="U1589">
        <f t="shared" si="248"/>
        <v>0</v>
      </c>
    </row>
    <row r="1590" spans="1:21" x14ac:dyDescent="0.25">
      <c r="A1590" s="99">
        <v>1589</v>
      </c>
      <c r="B1590" s="10">
        <v>2041</v>
      </c>
      <c r="C1590" s="43" t="s">
        <v>178</v>
      </c>
      <c r="D1590">
        <v>185.65</v>
      </c>
      <c r="E1590" s="80">
        <v>29224.17</v>
      </c>
      <c r="F1590">
        <v>1043.43</v>
      </c>
      <c r="G1590">
        <v>141.30000000000001</v>
      </c>
      <c r="H1590">
        <v>6420.7</v>
      </c>
      <c r="I1590" s="80">
        <v>13798</v>
      </c>
      <c r="J1590">
        <v>49.52</v>
      </c>
      <c r="K1590">
        <v>1926.53</v>
      </c>
      <c r="L1590">
        <f t="shared" si="240"/>
        <v>0</v>
      </c>
      <c r="M1590">
        <f t="shared" si="241"/>
        <v>0</v>
      </c>
      <c r="N1590">
        <f t="shared" si="242"/>
        <v>0</v>
      </c>
      <c r="O1590">
        <f t="shared" si="243"/>
        <v>0</v>
      </c>
      <c r="P1590">
        <f t="shared" si="244"/>
        <v>0</v>
      </c>
      <c r="Q1590">
        <f t="shared" si="245"/>
        <v>0</v>
      </c>
      <c r="R1590">
        <f t="shared" si="246"/>
        <v>0</v>
      </c>
      <c r="S1590">
        <f t="shared" si="247"/>
        <v>0</v>
      </c>
      <c r="T1590">
        <f t="shared" si="249"/>
        <v>0</v>
      </c>
      <c r="U1590">
        <f t="shared" si="248"/>
        <v>0</v>
      </c>
    </row>
    <row r="1591" spans="1:21" x14ac:dyDescent="0.25">
      <c r="A1591" s="99">
        <v>1590</v>
      </c>
      <c r="B1591" s="10">
        <v>2041</v>
      </c>
      <c r="C1591" s="43" t="s">
        <v>163</v>
      </c>
      <c r="D1591">
        <v>6830.33</v>
      </c>
      <c r="E1591" s="80">
        <v>27487.06</v>
      </c>
      <c r="F1591">
        <v>278.77</v>
      </c>
      <c r="G1591">
        <v>213.15</v>
      </c>
      <c r="H1591">
        <v>11920.99</v>
      </c>
      <c r="I1591" s="80">
        <v>11835.16</v>
      </c>
      <c r="J1591">
        <v>111.15</v>
      </c>
      <c r="K1591" s="89" t="s">
        <v>582</v>
      </c>
      <c r="L1591">
        <f t="shared" si="240"/>
        <v>0</v>
      </c>
      <c r="M1591">
        <f t="shared" si="241"/>
        <v>0</v>
      </c>
      <c r="N1591">
        <f t="shared" si="242"/>
        <v>0</v>
      </c>
      <c r="O1591">
        <f t="shared" si="243"/>
        <v>0</v>
      </c>
      <c r="P1591">
        <f t="shared" si="244"/>
        <v>0</v>
      </c>
      <c r="Q1591">
        <f t="shared" si="245"/>
        <v>0</v>
      </c>
      <c r="R1591">
        <f t="shared" si="246"/>
        <v>0</v>
      </c>
      <c r="S1591">
        <f t="shared" si="247"/>
        <v>1</v>
      </c>
      <c r="T1591">
        <f t="shared" si="249"/>
        <v>1</v>
      </c>
      <c r="U1591">
        <f t="shared" si="248"/>
        <v>1</v>
      </c>
    </row>
    <row r="1592" spans="1:21" x14ac:dyDescent="0.25">
      <c r="A1592" s="99">
        <v>1591</v>
      </c>
      <c r="B1592" s="10">
        <v>2041</v>
      </c>
      <c r="C1592" s="43" t="s">
        <v>181</v>
      </c>
      <c r="D1592">
        <v>24.7</v>
      </c>
      <c r="E1592" s="89" t="s">
        <v>582</v>
      </c>
      <c r="F1592">
        <v>2.3199999999999998</v>
      </c>
      <c r="G1592">
        <v>129.1</v>
      </c>
      <c r="H1592">
        <v>28.74</v>
      </c>
      <c r="I1592">
        <v>164.16</v>
      </c>
      <c r="J1592">
        <v>49.52</v>
      </c>
      <c r="K1592">
        <v>260.85000000000002</v>
      </c>
      <c r="L1592">
        <f t="shared" si="240"/>
        <v>0</v>
      </c>
      <c r="M1592">
        <f t="shared" si="241"/>
        <v>1</v>
      </c>
      <c r="N1592">
        <f t="shared" si="242"/>
        <v>0</v>
      </c>
      <c r="O1592">
        <f t="shared" si="243"/>
        <v>0</v>
      </c>
      <c r="P1592">
        <f t="shared" si="244"/>
        <v>0</v>
      </c>
      <c r="Q1592">
        <f t="shared" si="245"/>
        <v>0</v>
      </c>
      <c r="R1592">
        <f t="shared" si="246"/>
        <v>0</v>
      </c>
      <c r="S1592">
        <f t="shared" si="247"/>
        <v>0</v>
      </c>
      <c r="T1592">
        <f t="shared" si="249"/>
        <v>1</v>
      </c>
      <c r="U1592">
        <f t="shared" si="248"/>
        <v>1</v>
      </c>
    </row>
    <row r="1593" spans="1:21" x14ac:dyDescent="0.25">
      <c r="A1593" s="99">
        <v>1592</v>
      </c>
      <c r="B1593" s="10">
        <v>2041</v>
      </c>
      <c r="C1593" s="43" t="s">
        <v>183</v>
      </c>
      <c r="D1593">
        <v>33.07</v>
      </c>
      <c r="E1593" s="80">
        <v>41641.08</v>
      </c>
      <c r="F1593">
        <v>1526.14</v>
      </c>
      <c r="G1593">
        <v>141.30000000000001</v>
      </c>
      <c r="H1593">
        <v>8375.01</v>
      </c>
      <c r="I1593" s="80">
        <v>19178.61</v>
      </c>
      <c r="J1593">
        <v>92.05</v>
      </c>
      <c r="K1593" s="80">
        <v>8390.17</v>
      </c>
      <c r="L1593">
        <f t="shared" si="240"/>
        <v>0</v>
      </c>
      <c r="M1593">
        <f t="shared" si="241"/>
        <v>0</v>
      </c>
      <c r="N1593">
        <f t="shared" si="242"/>
        <v>0</v>
      </c>
      <c r="O1593">
        <f t="shared" si="243"/>
        <v>0</v>
      </c>
      <c r="P1593">
        <f t="shared" si="244"/>
        <v>0</v>
      </c>
      <c r="Q1593">
        <f t="shared" si="245"/>
        <v>0</v>
      </c>
      <c r="R1593">
        <f t="shared" si="246"/>
        <v>0</v>
      </c>
      <c r="S1593">
        <f t="shared" si="247"/>
        <v>0</v>
      </c>
      <c r="T1593">
        <f t="shared" si="249"/>
        <v>0</v>
      </c>
      <c r="U1593">
        <f t="shared" si="248"/>
        <v>0</v>
      </c>
    </row>
    <row r="1594" spans="1:21" x14ac:dyDescent="0.25">
      <c r="A1594" s="99">
        <v>1593</v>
      </c>
      <c r="B1594" s="10">
        <v>2041</v>
      </c>
      <c r="C1594" s="43" t="s">
        <v>186</v>
      </c>
      <c r="D1594">
        <v>35.020000000000003</v>
      </c>
      <c r="E1594" s="80">
        <v>27812.37</v>
      </c>
      <c r="F1594">
        <v>2141.15</v>
      </c>
      <c r="G1594">
        <v>186.14</v>
      </c>
      <c r="H1594">
        <v>21028.73</v>
      </c>
      <c r="I1594" s="80">
        <v>18961.21</v>
      </c>
      <c r="J1594">
        <v>109.21</v>
      </c>
      <c r="K1594" s="80">
        <v>11713.66</v>
      </c>
      <c r="L1594">
        <f t="shared" si="240"/>
        <v>0</v>
      </c>
      <c r="M1594">
        <f t="shared" si="241"/>
        <v>0</v>
      </c>
      <c r="N1594">
        <f t="shared" si="242"/>
        <v>0</v>
      </c>
      <c r="O1594">
        <f t="shared" si="243"/>
        <v>0</v>
      </c>
      <c r="P1594">
        <f t="shared" si="244"/>
        <v>0</v>
      </c>
      <c r="Q1594">
        <f t="shared" si="245"/>
        <v>0</v>
      </c>
      <c r="R1594">
        <f t="shared" si="246"/>
        <v>0</v>
      </c>
      <c r="S1594">
        <f t="shared" si="247"/>
        <v>0</v>
      </c>
      <c r="T1594">
        <f t="shared" si="249"/>
        <v>0</v>
      </c>
      <c r="U1594">
        <f t="shared" si="248"/>
        <v>0</v>
      </c>
    </row>
    <row r="1595" spans="1:21" x14ac:dyDescent="0.25">
      <c r="A1595" s="99">
        <v>1594</v>
      </c>
      <c r="B1595" s="10">
        <v>2041</v>
      </c>
      <c r="C1595" s="43" t="s">
        <v>188</v>
      </c>
      <c r="D1595">
        <v>43.08</v>
      </c>
      <c r="E1595" s="89" t="s">
        <v>582</v>
      </c>
      <c r="F1595">
        <v>924.36</v>
      </c>
      <c r="G1595">
        <v>206.31</v>
      </c>
      <c r="H1595">
        <v>4185.59</v>
      </c>
      <c r="I1595" s="80">
        <v>16381.49</v>
      </c>
      <c r="J1595">
        <v>126.92</v>
      </c>
      <c r="K1595" s="89" t="s">
        <v>582</v>
      </c>
      <c r="L1595">
        <f t="shared" si="240"/>
        <v>0</v>
      </c>
      <c r="M1595">
        <f t="shared" si="241"/>
        <v>1</v>
      </c>
      <c r="N1595">
        <f t="shared" si="242"/>
        <v>0</v>
      </c>
      <c r="O1595">
        <f t="shared" si="243"/>
        <v>0</v>
      </c>
      <c r="P1595">
        <f t="shared" si="244"/>
        <v>0</v>
      </c>
      <c r="Q1595">
        <f t="shared" si="245"/>
        <v>0</v>
      </c>
      <c r="R1595">
        <f t="shared" si="246"/>
        <v>0</v>
      </c>
      <c r="S1595">
        <f t="shared" si="247"/>
        <v>1</v>
      </c>
      <c r="T1595">
        <f t="shared" si="249"/>
        <v>2</v>
      </c>
      <c r="U1595">
        <f t="shared" si="248"/>
        <v>1</v>
      </c>
    </row>
    <row r="1596" spans="1:21" x14ac:dyDescent="0.25">
      <c r="A1596" s="99">
        <v>1595</v>
      </c>
      <c r="B1596" s="10">
        <v>2041</v>
      </c>
      <c r="C1596" s="43" t="s">
        <v>182</v>
      </c>
      <c r="D1596" t="s">
        <v>583</v>
      </c>
      <c r="E1596" s="80">
        <v>952.86</v>
      </c>
      <c r="F1596">
        <v>0.25</v>
      </c>
      <c r="G1596">
        <v>1.33</v>
      </c>
      <c r="H1596" t="s">
        <v>583</v>
      </c>
      <c r="I1596">
        <v>0.12</v>
      </c>
      <c r="J1596">
        <v>2.38</v>
      </c>
      <c r="K1596">
        <v>0.1</v>
      </c>
      <c r="L1596">
        <f t="shared" si="240"/>
        <v>0</v>
      </c>
      <c r="M1596">
        <f t="shared" si="241"/>
        <v>0</v>
      </c>
      <c r="N1596">
        <f t="shared" si="242"/>
        <v>0</v>
      </c>
      <c r="O1596">
        <f t="shared" si="243"/>
        <v>0</v>
      </c>
      <c r="P1596">
        <f t="shared" si="244"/>
        <v>0</v>
      </c>
      <c r="Q1596">
        <f t="shared" si="245"/>
        <v>0</v>
      </c>
      <c r="R1596">
        <f t="shared" si="246"/>
        <v>0</v>
      </c>
      <c r="S1596">
        <f t="shared" si="247"/>
        <v>0</v>
      </c>
      <c r="T1596">
        <f t="shared" si="249"/>
        <v>0</v>
      </c>
      <c r="U1596">
        <f t="shared" si="248"/>
        <v>0</v>
      </c>
    </row>
    <row r="1597" spans="1:21" x14ac:dyDescent="0.25">
      <c r="A1597" s="99">
        <v>1596</v>
      </c>
      <c r="B1597" s="10">
        <v>2041</v>
      </c>
      <c r="C1597" s="43" t="s">
        <v>184</v>
      </c>
      <c r="D1597">
        <v>749.6</v>
      </c>
      <c r="E1597" s="80">
        <v>7327.27</v>
      </c>
      <c r="F1597">
        <v>49.64</v>
      </c>
      <c r="G1597">
        <v>43.59</v>
      </c>
      <c r="H1597">
        <v>7126.26</v>
      </c>
      <c r="I1597" s="80">
        <v>15006</v>
      </c>
      <c r="J1597">
        <v>36.64</v>
      </c>
      <c r="K1597">
        <v>21.14</v>
      </c>
      <c r="L1597">
        <f t="shared" si="240"/>
        <v>0</v>
      </c>
      <c r="M1597">
        <f t="shared" si="241"/>
        <v>0</v>
      </c>
      <c r="N1597">
        <f t="shared" si="242"/>
        <v>0</v>
      </c>
      <c r="O1597">
        <f t="shared" si="243"/>
        <v>0</v>
      </c>
      <c r="P1597">
        <f t="shared" si="244"/>
        <v>0</v>
      </c>
      <c r="Q1597">
        <f t="shared" si="245"/>
        <v>0</v>
      </c>
      <c r="R1597">
        <f t="shared" si="246"/>
        <v>0</v>
      </c>
      <c r="S1597">
        <f t="shared" si="247"/>
        <v>0</v>
      </c>
      <c r="T1597">
        <f t="shared" si="249"/>
        <v>0</v>
      </c>
      <c r="U1597">
        <f t="shared" si="248"/>
        <v>0</v>
      </c>
    </row>
    <row r="1598" spans="1:21" x14ac:dyDescent="0.25">
      <c r="A1598" s="99">
        <v>1597</v>
      </c>
      <c r="B1598" s="10">
        <v>2041</v>
      </c>
      <c r="C1598" s="43" t="s">
        <v>187</v>
      </c>
      <c r="D1598">
        <v>2576.4</v>
      </c>
      <c r="E1598" s="80">
        <v>7955.99</v>
      </c>
      <c r="F1598">
        <v>143.54</v>
      </c>
      <c r="G1598">
        <v>52.91</v>
      </c>
      <c r="H1598">
        <v>10435.950000000001</v>
      </c>
      <c r="I1598" s="80">
        <v>13856.01</v>
      </c>
      <c r="J1598">
        <v>46.23</v>
      </c>
      <c r="K1598">
        <v>29.6</v>
      </c>
      <c r="L1598">
        <f t="shared" si="240"/>
        <v>0</v>
      </c>
      <c r="M1598">
        <f t="shared" si="241"/>
        <v>0</v>
      </c>
      <c r="N1598">
        <f t="shared" si="242"/>
        <v>0</v>
      </c>
      <c r="O1598">
        <f t="shared" si="243"/>
        <v>0</v>
      </c>
      <c r="P1598">
        <f t="shared" si="244"/>
        <v>0</v>
      </c>
      <c r="Q1598">
        <f t="shared" si="245"/>
        <v>0</v>
      </c>
      <c r="R1598">
        <f t="shared" si="246"/>
        <v>0</v>
      </c>
      <c r="S1598">
        <f t="shared" si="247"/>
        <v>0</v>
      </c>
      <c r="T1598">
        <f t="shared" si="249"/>
        <v>0</v>
      </c>
      <c r="U1598">
        <f t="shared" si="248"/>
        <v>0</v>
      </c>
    </row>
    <row r="1599" spans="1:21" x14ac:dyDescent="0.25">
      <c r="A1599" s="99">
        <v>1598</v>
      </c>
      <c r="B1599" s="10">
        <v>2041</v>
      </c>
      <c r="C1599" s="43" t="s">
        <v>189</v>
      </c>
      <c r="D1599">
        <v>3227.97</v>
      </c>
      <c r="E1599" s="80">
        <v>9036.0300000000007</v>
      </c>
      <c r="F1599">
        <v>6.42</v>
      </c>
      <c r="G1599">
        <v>43.59</v>
      </c>
      <c r="H1599">
        <v>5505.25</v>
      </c>
      <c r="I1599" s="80">
        <v>9208.09</v>
      </c>
      <c r="J1599">
        <v>49.52</v>
      </c>
      <c r="K1599">
        <v>32.64</v>
      </c>
      <c r="L1599">
        <f t="shared" si="240"/>
        <v>0</v>
      </c>
      <c r="M1599">
        <f t="shared" si="241"/>
        <v>0</v>
      </c>
      <c r="N1599">
        <f t="shared" si="242"/>
        <v>0</v>
      </c>
      <c r="O1599">
        <f t="shared" si="243"/>
        <v>0</v>
      </c>
      <c r="P1599">
        <f t="shared" si="244"/>
        <v>0</v>
      </c>
      <c r="Q1599">
        <f t="shared" si="245"/>
        <v>0</v>
      </c>
      <c r="R1599">
        <f t="shared" si="246"/>
        <v>0</v>
      </c>
      <c r="S1599">
        <f t="shared" si="247"/>
        <v>0</v>
      </c>
      <c r="T1599">
        <f t="shared" si="249"/>
        <v>0</v>
      </c>
      <c r="U1599">
        <f t="shared" si="248"/>
        <v>0</v>
      </c>
    </row>
    <row r="1600" spans="1:21" x14ac:dyDescent="0.25">
      <c r="A1600" s="99">
        <v>1599</v>
      </c>
      <c r="B1600" s="90" t="s">
        <v>628</v>
      </c>
      <c r="C1600" s="43" t="s">
        <v>162</v>
      </c>
      <c r="D1600">
        <v>4.3899999999999997</v>
      </c>
      <c r="E1600" s="80">
        <v>7922.79</v>
      </c>
      <c r="F1600">
        <v>0.69</v>
      </c>
      <c r="G1600">
        <v>15.3</v>
      </c>
      <c r="H1600">
        <v>0.28000000000000003</v>
      </c>
      <c r="I1600">
        <v>0.37</v>
      </c>
      <c r="J1600">
        <v>8.74</v>
      </c>
      <c r="K1600">
        <v>0.72</v>
      </c>
      <c r="L1600">
        <f t="shared" si="240"/>
        <v>0</v>
      </c>
      <c r="M1600">
        <f t="shared" si="241"/>
        <v>0</v>
      </c>
      <c r="N1600">
        <f t="shared" si="242"/>
        <v>0</v>
      </c>
      <c r="O1600">
        <f t="shared" si="243"/>
        <v>0</v>
      </c>
      <c r="P1600">
        <f t="shared" si="244"/>
        <v>0</v>
      </c>
      <c r="Q1600">
        <f t="shared" si="245"/>
        <v>0</v>
      </c>
      <c r="R1600">
        <f t="shared" si="246"/>
        <v>0</v>
      </c>
      <c r="S1600">
        <f t="shared" si="247"/>
        <v>0</v>
      </c>
      <c r="T1600">
        <f t="shared" si="249"/>
        <v>0</v>
      </c>
      <c r="U1600">
        <f t="shared" si="248"/>
        <v>0</v>
      </c>
    </row>
    <row r="1601" spans="1:21" x14ac:dyDescent="0.25">
      <c r="A1601" s="99">
        <v>1600</v>
      </c>
      <c r="B1601" s="90" t="s">
        <v>628</v>
      </c>
      <c r="C1601" s="43" t="s">
        <v>170</v>
      </c>
      <c r="D1601">
        <v>58.18</v>
      </c>
      <c r="E1601" s="80">
        <v>20072.560000000001</v>
      </c>
      <c r="F1601">
        <v>1742.2</v>
      </c>
      <c r="G1601">
        <v>105.61</v>
      </c>
      <c r="H1601">
        <v>9933.1</v>
      </c>
      <c r="I1601" s="80">
        <v>15159.94</v>
      </c>
      <c r="J1601">
        <v>63.11</v>
      </c>
      <c r="K1601">
        <v>1501.71</v>
      </c>
      <c r="L1601">
        <f t="shared" si="240"/>
        <v>0</v>
      </c>
      <c r="M1601">
        <f t="shared" si="241"/>
        <v>0</v>
      </c>
      <c r="N1601">
        <f t="shared" si="242"/>
        <v>0</v>
      </c>
      <c r="O1601">
        <f t="shared" si="243"/>
        <v>0</v>
      </c>
      <c r="P1601">
        <f t="shared" si="244"/>
        <v>0</v>
      </c>
      <c r="Q1601">
        <f t="shared" si="245"/>
        <v>0</v>
      </c>
      <c r="R1601">
        <f t="shared" si="246"/>
        <v>0</v>
      </c>
      <c r="S1601">
        <f t="shared" si="247"/>
        <v>0</v>
      </c>
      <c r="T1601">
        <f t="shared" si="249"/>
        <v>0</v>
      </c>
      <c r="U1601">
        <f t="shared" si="248"/>
        <v>0</v>
      </c>
    </row>
    <row r="1602" spans="1:21" x14ac:dyDescent="0.25">
      <c r="A1602" s="99">
        <v>1601</v>
      </c>
      <c r="B1602" s="90" t="s">
        <v>628</v>
      </c>
      <c r="C1602" s="43" t="s">
        <v>178</v>
      </c>
      <c r="D1602" s="80">
        <v>7.0000000000000007E-2</v>
      </c>
      <c r="E1602" s="80">
        <v>155.13999999999999</v>
      </c>
      <c r="F1602">
        <v>0.02</v>
      </c>
      <c r="G1602" t="s">
        <v>583</v>
      </c>
      <c r="H1602">
        <v>1.33</v>
      </c>
      <c r="I1602">
        <v>154.16999999999999</v>
      </c>
      <c r="J1602" t="s">
        <v>583</v>
      </c>
      <c r="K1602">
        <v>155.38</v>
      </c>
      <c r="L1602">
        <f t="shared" ref="L1602:L1665" si="250">IF(D1602 = "OOR &gt;", 1,0)</f>
        <v>0</v>
      </c>
      <c r="M1602">
        <f t="shared" ref="M1602:M1665" si="251">IF(E1602 = "OOR &gt;", 1,0)</f>
        <v>0</v>
      </c>
      <c r="N1602">
        <f t="shared" ref="N1602:N1665" si="252">IF(F1602 = "OOR &gt;", 1,0)</f>
        <v>0</v>
      </c>
      <c r="O1602">
        <f t="shared" ref="O1602:O1665" si="253">IF(G1602 = "OOR &gt;", 1,0)</f>
        <v>0</v>
      </c>
      <c r="P1602">
        <f t="shared" ref="P1602:P1665" si="254">IF(H1602 = "OOR &gt;", 1,0)</f>
        <v>0</v>
      </c>
      <c r="Q1602">
        <f t="shared" ref="Q1602:Q1665" si="255">IF(I1602 = "OOR &gt;", 1,0)</f>
        <v>0</v>
      </c>
      <c r="R1602">
        <f t="shared" ref="R1602:R1665" si="256">IF(J1602 = "OOR &gt;", 1,0)</f>
        <v>0</v>
      </c>
      <c r="S1602">
        <f t="shared" ref="S1602:S1665" si="257">IF(K1602 = "OOR &gt;", 1,0)</f>
        <v>0</v>
      </c>
      <c r="T1602">
        <f t="shared" si="249"/>
        <v>0</v>
      </c>
      <c r="U1602">
        <f t="shared" ref="U1602:U1665" si="258">IF(T1602 &gt; 0,1,0)</f>
        <v>0</v>
      </c>
    </row>
    <row r="1603" spans="1:21" x14ac:dyDescent="0.25">
      <c r="A1603" s="99">
        <v>1602</v>
      </c>
      <c r="B1603" s="90" t="s">
        <v>628</v>
      </c>
      <c r="C1603" s="43" t="s">
        <v>163</v>
      </c>
      <c r="D1603">
        <v>120.54</v>
      </c>
      <c r="E1603" s="80">
        <v>24792.13</v>
      </c>
      <c r="F1603">
        <v>494.04</v>
      </c>
      <c r="G1603">
        <v>153.78</v>
      </c>
      <c r="H1603">
        <v>8501.07</v>
      </c>
      <c r="I1603" s="80">
        <v>14113.27</v>
      </c>
      <c r="J1603">
        <v>84.62</v>
      </c>
      <c r="K1603" s="80">
        <v>11691.91</v>
      </c>
      <c r="L1603">
        <f t="shared" si="250"/>
        <v>0</v>
      </c>
      <c r="M1603">
        <f t="shared" si="251"/>
        <v>0</v>
      </c>
      <c r="N1603">
        <f t="shared" si="252"/>
        <v>0</v>
      </c>
      <c r="O1603">
        <f t="shared" si="253"/>
        <v>0</v>
      </c>
      <c r="P1603">
        <f t="shared" si="254"/>
        <v>0</v>
      </c>
      <c r="Q1603">
        <f t="shared" si="255"/>
        <v>0</v>
      </c>
      <c r="R1603">
        <f t="shared" si="256"/>
        <v>0</v>
      </c>
      <c r="S1603">
        <f t="shared" si="257"/>
        <v>0</v>
      </c>
      <c r="T1603">
        <f t="shared" ref="T1603:T1666" si="259">SUMIF(L1603:S1603,"&gt;0")</f>
        <v>0</v>
      </c>
      <c r="U1603">
        <f t="shared" si="258"/>
        <v>0</v>
      </c>
    </row>
    <row r="1604" spans="1:21" x14ac:dyDescent="0.25">
      <c r="A1604" s="99">
        <v>1603</v>
      </c>
      <c r="B1604" s="90" t="s">
        <v>628</v>
      </c>
      <c r="C1604" s="43" t="s">
        <v>181</v>
      </c>
      <c r="D1604">
        <v>15.42</v>
      </c>
      <c r="E1604" s="80">
        <v>34882.699999999997</v>
      </c>
      <c r="F1604">
        <v>1.03</v>
      </c>
      <c r="G1604">
        <v>67.709999999999994</v>
      </c>
      <c r="H1604">
        <v>171.69</v>
      </c>
      <c r="I1604">
        <v>531.66999999999996</v>
      </c>
      <c r="J1604">
        <v>27.52</v>
      </c>
      <c r="K1604">
        <v>36.99</v>
      </c>
      <c r="L1604">
        <f t="shared" si="250"/>
        <v>0</v>
      </c>
      <c r="M1604">
        <f t="shared" si="251"/>
        <v>0</v>
      </c>
      <c r="N1604">
        <f t="shared" si="252"/>
        <v>0</v>
      </c>
      <c r="O1604">
        <f t="shared" si="253"/>
        <v>0</v>
      </c>
      <c r="P1604">
        <f t="shared" si="254"/>
        <v>0</v>
      </c>
      <c r="Q1604">
        <f t="shared" si="255"/>
        <v>0</v>
      </c>
      <c r="R1604">
        <f t="shared" si="256"/>
        <v>0</v>
      </c>
      <c r="S1604">
        <f t="shared" si="257"/>
        <v>0</v>
      </c>
      <c r="T1604">
        <f t="shared" si="259"/>
        <v>0</v>
      </c>
      <c r="U1604">
        <f t="shared" si="258"/>
        <v>0</v>
      </c>
    </row>
    <row r="1605" spans="1:21" x14ac:dyDescent="0.25">
      <c r="A1605" s="99">
        <v>1604</v>
      </c>
      <c r="B1605" s="90" t="s">
        <v>628</v>
      </c>
      <c r="C1605" s="43" t="s">
        <v>183</v>
      </c>
      <c r="D1605">
        <v>22.93</v>
      </c>
      <c r="E1605">
        <v>17147.8</v>
      </c>
      <c r="F1605">
        <v>660.45</v>
      </c>
      <c r="G1605">
        <v>117.2</v>
      </c>
      <c r="H1605">
        <v>8523.19</v>
      </c>
      <c r="I1605" s="80">
        <v>17130.009999999998</v>
      </c>
      <c r="J1605">
        <v>66.61</v>
      </c>
      <c r="K1605">
        <v>6003.97</v>
      </c>
      <c r="L1605">
        <f t="shared" si="250"/>
        <v>0</v>
      </c>
      <c r="M1605">
        <f t="shared" si="251"/>
        <v>0</v>
      </c>
      <c r="N1605">
        <f t="shared" si="252"/>
        <v>0</v>
      </c>
      <c r="O1605">
        <f t="shared" si="253"/>
        <v>0</v>
      </c>
      <c r="P1605">
        <f t="shared" si="254"/>
        <v>0</v>
      </c>
      <c r="Q1605">
        <f t="shared" si="255"/>
        <v>0</v>
      </c>
      <c r="R1605">
        <f t="shared" si="256"/>
        <v>0</v>
      </c>
      <c r="S1605">
        <f t="shared" si="257"/>
        <v>0</v>
      </c>
      <c r="T1605">
        <f t="shared" si="259"/>
        <v>0</v>
      </c>
      <c r="U1605">
        <f t="shared" si="258"/>
        <v>0</v>
      </c>
    </row>
    <row r="1606" spans="1:21" x14ac:dyDescent="0.25">
      <c r="A1606" s="99">
        <v>1605</v>
      </c>
      <c r="B1606" s="90" t="s">
        <v>628</v>
      </c>
      <c r="C1606" s="43" t="s">
        <v>186</v>
      </c>
      <c r="D1606">
        <v>27.42</v>
      </c>
      <c r="E1606">
        <v>20072.560000000001</v>
      </c>
      <c r="F1606">
        <v>326.85000000000002</v>
      </c>
      <c r="G1606">
        <v>72.849999999999994</v>
      </c>
      <c r="H1606">
        <v>1633.2</v>
      </c>
      <c r="I1606" s="80">
        <v>9794.89</v>
      </c>
      <c r="J1606">
        <v>33.54</v>
      </c>
      <c r="K1606">
        <v>510.3</v>
      </c>
      <c r="L1606">
        <f t="shared" si="250"/>
        <v>0</v>
      </c>
      <c r="M1606">
        <f t="shared" si="251"/>
        <v>0</v>
      </c>
      <c r="N1606">
        <f t="shared" si="252"/>
        <v>0</v>
      </c>
      <c r="O1606">
        <f t="shared" si="253"/>
        <v>0</v>
      </c>
      <c r="P1606">
        <f t="shared" si="254"/>
        <v>0</v>
      </c>
      <c r="Q1606">
        <f t="shared" si="255"/>
        <v>0</v>
      </c>
      <c r="R1606">
        <f t="shared" si="256"/>
        <v>0</v>
      </c>
      <c r="S1606">
        <f t="shared" si="257"/>
        <v>0</v>
      </c>
      <c r="T1606">
        <f t="shared" si="259"/>
        <v>0</v>
      </c>
      <c r="U1606">
        <f t="shared" si="258"/>
        <v>0</v>
      </c>
    </row>
    <row r="1607" spans="1:21" x14ac:dyDescent="0.25">
      <c r="A1607" s="99">
        <v>1606</v>
      </c>
      <c r="B1607" s="90" t="s">
        <v>628</v>
      </c>
      <c r="C1607" s="43" t="s">
        <v>188</v>
      </c>
      <c r="D1607">
        <v>38.99</v>
      </c>
      <c r="E1607" s="80">
        <v>32591.91</v>
      </c>
      <c r="F1607">
        <v>636.42999999999995</v>
      </c>
      <c r="G1607">
        <v>179.54</v>
      </c>
      <c r="H1607">
        <v>11100.49</v>
      </c>
      <c r="I1607" s="80">
        <v>17402.900000000001</v>
      </c>
      <c r="J1607">
        <v>111.15</v>
      </c>
      <c r="K1607" s="80">
        <v>32740.31</v>
      </c>
      <c r="L1607">
        <f t="shared" si="250"/>
        <v>0</v>
      </c>
      <c r="M1607">
        <f t="shared" si="251"/>
        <v>0</v>
      </c>
      <c r="N1607">
        <f t="shared" si="252"/>
        <v>0</v>
      </c>
      <c r="O1607">
        <f t="shared" si="253"/>
        <v>0</v>
      </c>
      <c r="P1607">
        <f t="shared" si="254"/>
        <v>0</v>
      </c>
      <c r="Q1607">
        <f t="shared" si="255"/>
        <v>0</v>
      </c>
      <c r="R1607">
        <f t="shared" si="256"/>
        <v>0</v>
      </c>
      <c r="S1607">
        <f t="shared" si="257"/>
        <v>0</v>
      </c>
      <c r="T1607">
        <f t="shared" si="259"/>
        <v>0</v>
      </c>
      <c r="U1607">
        <f t="shared" si="258"/>
        <v>0</v>
      </c>
    </row>
    <row r="1608" spans="1:21" x14ac:dyDescent="0.25">
      <c r="A1608" s="99">
        <v>1607</v>
      </c>
      <c r="B1608" s="90" t="s">
        <v>628</v>
      </c>
      <c r="C1608" s="43" t="s">
        <v>182</v>
      </c>
      <c r="D1608" s="80">
        <v>7.0000000000000007E-2</v>
      </c>
      <c r="E1608">
        <v>203.18</v>
      </c>
      <c r="F1608" t="s">
        <v>583</v>
      </c>
      <c r="G1608" t="s">
        <v>583</v>
      </c>
      <c r="H1608" t="s">
        <v>583</v>
      </c>
      <c r="I1608" s="80">
        <v>0</v>
      </c>
      <c r="J1608" t="s">
        <v>583</v>
      </c>
      <c r="K1608" s="80">
        <v>0.03</v>
      </c>
      <c r="L1608">
        <f t="shared" si="250"/>
        <v>0</v>
      </c>
      <c r="M1608">
        <f t="shared" si="251"/>
        <v>0</v>
      </c>
      <c r="N1608">
        <f t="shared" si="252"/>
        <v>0</v>
      </c>
      <c r="O1608">
        <f t="shared" si="253"/>
        <v>0</v>
      </c>
      <c r="P1608">
        <f t="shared" si="254"/>
        <v>0</v>
      </c>
      <c r="Q1608">
        <f t="shared" si="255"/>
        <v>0</v>
      </c>
      <c r="R1608">
        <f t="shared" si="256"/>
        <v>0</v>
      </c>
      <c r="S1608">
        <f t="shared" si="257"/>
        <v>0</v>
      </c>
      <c r="T1608">
        <f t="shared" si="259"/>
        <v>0</v>
      </c>
      <c r="U1608">
        <f t="shared" si="258"/>
        <v>0</v>
      </c>
    </row>
    <row r="1609" spans="1:21" x14ac:dyDescent="0.25">
      <c r="A1609" s="99">
        <v>1608</v>
      </c>
      <c r="B1609" s="90" t="s">
        <v>628</v>
      </c>
      <c r="C1609" s="43" t="s">
        <v>184</v>
      </c>
      <c r="D1609">
        <v>65.010000000000005</v>
      </c>
      <c r="E1609">
        <v>5530.46</v>
      </c>
      <c r="F1609">
        <v>170.12</v>
      </c>
      <c r="G1609">
        <v>67.709999999999994</v>
      </c>
      <c r="H1609">
        <v>5646.94</v>
      </c>
      <c r="I1609" s="80">
        <v>14905.03</v>
      </c>
      <c r="J1609">
        <v>36.64</v>
      </c>
      <c r="K1609">
        <v>2394.2199999999998</v>
      </c>
      <c r="L1609">
        <f t="shared" si="250"/>
        <v>0</v>
      </c>
      <c r="M1609">
        <f t="shared" si="251"/>
        <v>0</v>
      </c>
      <c r="N1609">
        <f t="shared" si="252"/>
        <v>0</v>
      </c>
      <c r="O1609">
        <f t="shared" si="253"/>
        <v>0</v>
      </c>
      <c r="P1609">
        <f t="shared" si="254"/>
        <v>0</v>
      </c>
      <c r="Q1609">
        <f t="shared" si="255"/>
        <v>0</v>
      </c>
      <c r="R1609">
        <f t="shared" si="256"/>
        <v>0</v>
      </c>
      <c r="S1609">
        <f t="shared" si="257"/>
        <v>0</v>
      </c>
      <c r="T1609">
        <f t="shared" si="259"/>
        <v>0</v>
      </c>
      <c r="U1609">
        <f t="shared" si="258"/>
        <v>0</v>
      </c>
    </row>
    <row r="1610" spans="1:21" x14ac:dyDescent="0.25">
      <c r="A1610" s="99">
        <v>1609</v>
      </c>
      <c r="B1610" s="90" t="s">
        <v>628</v>
      </c>
      <c r="C1610" s="43" t="s">
        <v>187</v>
      </c>
      <c r="D1610">
        <v>257.70999999999998</v>
      </c>
      <c r="E1610">
        <v>5401.15</v>
      </c>
      <c r="F1610">
        <v>133.74</v>
      </c>
      <c r="G1610">
        <v>99.94</v>
      </c>
      <c r="H1610">
        <v>12200.63</v>
      </c>
      <c r="I1610" s="80">
        <v>14296.28</v>
      </c>
      <c r="J1610">
        <v>59.65</v>
      </c>
      <c r="K1610">
        <v>6078.49</v>
      </c>
      <c r="L1610">
        <f t="shared" si="250"/>
        <v>0</v>
      </c>
      <c r="M1610">
        <f t="shared" si="251"/>
        <v>0</v>
      </c>
      <c r="N1610">
        <f t="shared" si="252"/>
        <v>0</v>
      </c>
      <c r="O1610">
        <f t="shared" si="253"/>
        <v>0</v>
      </c>
      <c r="P1610">
        <f t="shared" si="254"/>
        <v>0</v>
      </c>
      <c r="Q1610">
        <f t="shared" si="255"/>
        <v>0</v>
      </c>
      <c r="R1610">
        <f t="shared" si="256"/>
        <v>0</v>
      </c>
      <c r="S1610">
        <f t="shared" si="257"/>
        <v>0</v>
      </c>
      <c r="T1610">
        <f t="shared" si="259"/>
        <v>0</v>
      </c>
      <c r="U1610">
        <f t="shared" si="258"/>
        <v>0</v>
      </c>
    </row>
    <row r="1611" spans="1:21" x14ac:dyDescent="0.25">
      <c r="A1611" s="99">
        <v>1610</v>
      </c>
      <c r="B1611" s="90" t="s">
        <v>628</v>
      </c>
      <c r="C1611" s="43" t="s">
        <v>189</v>
      </c>
      <c r="D1611">
        <v>43.08</v>
      </c>
      <c r="E1611">
        <v>3027.01</v>
      </c>
      <c r="F1611">
        <v>2.0299999999999998</v>
      </c>
      <c r="G1611">
        <v>62.67</v>
      </c>
      <c r="H1611">
        <v>5667.07</v>
      </c>
      <c r="I1611" s="80">
        <v>6810.82</v>
      </c>
      <c r="J1611">
        <v>39.79</v>
      </c>
      <c r="K1611">
        <v>7995.58</v>
      </c>
      <c r="L1611">
        <f t="shared" si="250"/>
        <v>0</v>
      </c>
      <c r="M1611">
        <f t="shared" si="251"/>
        <v>0</v>
      </c>
      <c r="N1611">
        <f t="shared" si="252"/>
        <v>0</v>
      </c>
      <c r="O1611">
        <f t="shared" si="253"/>
        <v>0</v>
      </c>
      <c r="P1611">
        <f t="shared" si="254"/>
        <v>0</v>
      </c>
      <c r="Q1611">
        <f t="shared" si="255"/>
        <v>0</v>
      </c>
      <c r="R1611">
        <f t="shared" si="256"/>
        <v>0</v>
      </c>
      <c r="S1611">
        <f t="shared" si="257"/>
        <v>0</v>
      </c>
      <c r="T1611">
        <f t="shared" si="259"/>
        <v>0</v>
      </c>
      <c r="U1611">
        <f t="shared" si="258"/>
        <v>0</v>
      </c>
    </row>
    <row r="1612" spans="1:21" x14ac:dyDescent="0.25">
      <c r="A1612" s="99">
        <v>1611</v>
      </c>
      <c r="B1612" s="90" t="s">
        <v>629</v>
      </c>
      <c r="C1612" s="43" t="s">
        <v>162</v>
      </c>
      <c r="D1612">
        <v>22.06</v>
      </c>
      <c r="E1612" s="80">
        <v>292612.84000000003</v>
      </c>
      <c r="F1612">
        <v>63.72</v>
      </c>
      <c r="G1612">
        <v>117.2</v>
      </c>
      <c r="H1612">
        <v>93.65</v>
      </c>
      <c r="I1612">
        <v>2735.82</v>
      </c>
      <c r="J1612">
        <v>39.79</v>
      </c>
      <c r="K1612">
        <v>326.27999999999997</v>
      </c>
      <c r="L1612">
        <f t="shared" si="250"/>
        <v>0</v>
      </c>
      <c r="M1612">
        <f t="shared" si="251"/>
        <v>0</v>
      </c>
      <c r="N1612">
        <f t="shared" si="252"/>
        <v>0</v>
      </c>
      <c r="O1612">
        <f t="shared" si="253"/>
        <v>0</v>
      </c>
      <c r="P1612">
        <f t="shared" si="254"/>
        <v>0</v>
      </c>
      <c r="Q1612">
        <f t="shared" si="255"/>
        <v>0</v>
      </c>
      <c r="R1612">
        <f t="shared" si="256"/>
        <v>0</v>
      </c>
      <c r="S1612">
        <f t="shared" si="257"/>
        <v>0</v>
      </c>
      <c r="T1612">
        <f t="shared" si="259"/>
        <v>0</v>
      </c>
      <c r="U1612">
        <f t="shared" si="258"/>
        <v>0</v>
      </c>
    </row>
    <row r="1613" spans="1:21" x14ac:dyDescent="0.25">
      <c r="A1613" s="99">
        <v>1612</v>
      </c>
      <c r="B1613" s="90" t="s">
        <v>629</v>
      </c>
      <c r="C1613" s="43" t="s">
        <v>170</v>
      </c>
      <c r="D1613">
        <v>35.020000000000003</v>
      </c>
      <c r="E1613" s="80">
        <v>65776.19</v>
      </c>
      <c r="F1613">
        <v>2850.02</v>
      </c>
      <c r="G1613">
        <v>179.54</v>
      </c>
      <c r="H1613">
        <v>3905.99</v>
      </c>
      <c r="I1613" s="80">
        <v>17891.990000000002</v>
      </c>
      <c r="J1613">
        <v>92.05</v>
      </c>
      <c r="K1613">
        <v>5114.43</v>
      </c>
      <c r="L1613">
        <f t="shared" si="250"/>
        <v>0</v>
      </c>
      <c r="M1613">
        <f t="shared" si="251"/>
        <v>0</v>
      </c>
      <c r="N1613">
        <f t="shared" si="252"/>
        <v>0</v>
      </c>
      <c r="O1613">
        <f t="shared" si="253"/>
        <v>0</v>
      </c>
      <c r="P1613">
        <f t="shared" si="254"/>
        <v>0</v>
      </c>
      <c r="Q1613">
        <f t="shared" si="255"/>
        <v>0</v>
      </c>
      <c r="R1613">
        <f t="shared" si="256"/>
        <v>0</v>
      </c>
      <c r="S1613">
        <f t="shared" si="257"/>
        <v>0</v>
      </c>
      <c r="T1613">
        <f t="shared" si="259"/>
        <v>0</v>
      </c>
      <c r="U1613">
        <f t="shared" si="258"/>
        <v>0</v>
      </c>
    </row>
    <row r="1614" spans="1:21" x14ac:dyDescent="0.25">
      <c r="A1614" s="99">
        <v>1613</v>
      </c>
      <c r="B1614" s="90" t="s">
        <v>629</v>
      </c>
      <c r="C1614" s="43" t="s">
        <v>178</v>
      </c>
      <c r="D1614">
        <v>89.12</v>
      </c>
      <c r="E1614" s="80">
        <v>103010.15</v>
      </c>
      <c r="F1614" s="80">
        <v>8877.07</v>
      </c>
      <c r="G1614">
        <v>262.63</v>
      </c>
      <c r="H1614" s="80">
        <v>42065.53</v>
      </c>
      <c r="I1614" s="80">
        <v>20303.22</v>
      </c>
      <c r="J1614">
        <v>136.99</v>
      </c>
      <c r="K1614" s="80">
        <v>20303.810000000001</v>
      </c>
      <c r="L1614">
        <f t="shared" si="250"/>
        <v>0</v>
      </c>
      <c r="M1614">
        <f t="shared" si="251"/>
        <v>0</v>
      </c>
      <c r="N1614">
        <f t="shared" si="252"/>
        <v>0</v>
      </c>
      <c r="O1614">
        <f t="shared" si="253"/>
        <v>0</v>
      </c>
      <c r="P1614">
        <f t="shared" si="254"/>
        <v>0</v>
      </c>
      <c r="Q1614">
        <f t="shared" si="255"/>
        <v>0</v>
      </c>
      <c r="R1614">
        <f t="shared" si="256"/>
        <v>0</v>
      </c>
      <c r="S1614">
        <f t="shared" si="257"/>
        <v>0</v>
      </c>
      <c r="T1614">
        <f t="shared" si="259"/>
        <v>0</v>
      </c>
      <c r="U1614">
        <f t="shared" si="258"/>
        <v>0</v>
      </c>
    </row>
    <row r="1615" spans="1:21" x14ac:dyDescent="0.25">
      <c r="A1615" s="99">
        <v>1614</v>
      </c>
      <c r="B1615" s="90" t="s">
        <v>629</v>
      </c>
      <c r="C1615" s="43" t="s">
        <v>163</v>
      </c>
      <c r="D1615">
        <v>208.95</v>
      </c>
      <c r="E1615" s="80">
        <v>69104.97</v>
      </c>
      <c r="F1615">
        <v>850.43</v>
      </c>
      <c r="G1615">
        <v>234.02</v>
      </c>
      <c r="H1615" s="80">
        <v>24253.07</v>
      </c>
      <c r="I1615" s="80">
        <v>18173.07</v>
      </c>
      <c r="J1615">
        <v>151.32</v>
      </c>
      <c r="K1615" s="89" t="s">
        <v>582</v>
      </c>
      <c r="L1615">
        <f t="shared" si="250"/>
        <v>0</v>
      </c>
      <c r="M1615">
        <f t="shared" si="251"/>
        <v>0</v>
      </c>
      <c r="N1615">
        <f t="shared" si="252"/>
        <v>0</v>
      </c>
      <c r="O1615">
        <f t="shared" si="253"/>
        <v>0</v>
      </c>
      <c r="P1615">
        <f t="shared" si="254"/>
        <v>0</v>
      </c>
      <c r="Q1615">
        <f t="shared" si="255"/>
        <v>0</v>
      </c>
      <c r="R1615">
        <f t="shared" si="256"/>
        <v>0</v>
      </c>
      <c r="S1615">
        <f t="shared" si="257"/>
        <v>1</v>
      </c>
      <c r="T1615">
        <f t="shared" si="259"/>
        <v>1</v>
      </c>
      <c r="U1615">
        <f t="shared" si="258"/>
        <v>1</v>
      </c>
    </row>
    <row r="1616" spans="1:21" x14ac:dyDescent="0.25">
      <c r="A1616" s="99">
        <v>1615</v>
      </c>
      <c r="B1616" s="90" t="s">
        <v>629</v>
      </c>
      <c r="C1616" s="43" t="s">
        <v>181</v>
      </c>
      <c r="D1616">
        <v>22.06</v>
      </c>
      <c r="E1616" s="89" t="s">
        <v>582</v>
      </c>
      <c r="F1616">
        <v>1.75</v>
      </c>
      <c r="G1616">
        <v>83.42</v>
      </c>
      <c r="H1616">
        <v>14.48</v>
      </c>
      <c r="I1616">
        <v>141.69999999999999</v>
      </c>
      <c r="J1616">
        <v>46.23</v>
      </c>
      <c r="K1616">
        <v>89.63</v>
      </c>
      <c r="L1616">
        <f t="shared" si="250"/>
        <v>0</v>
      </c>
      <c r="M1616">
        <f t="shared" si="251"/>
        <v>1</v>
      </c>
      <c r="N1616">
        <f t="shared" si="252"/>
        <v>0</v>
      </c>
      <c r="O1616">
        <f t="shared" si="253"/>
        <v>0</v>
      </c>
      <c r="P1616">
        <f t="shared" si="254"/>
        <v>0</v>
      </c>
      <c r="Q1616">
        <f t="shared" si="255"/>
        <v>0</v>
      </c>
      <c r="R1616">
        <f t="shared" si="256"/>
        <v>0</v>
      </c>
      <c r="S1616">
        <f t="shared" si="257"/>
        <v>0</v>
      </c>
      <c r="T1616">
        <f t="shared" si="259"/>
        <v>1</v>
      </c>
      <c r="U1616">
        <f t="shared" si="258"/>
        <v>1</v>
      </c>
    </row>
    <row r="1617" spans="1:21" x14ac:dyDescent="0.25">
      <c r="A1617" s="99">
        <v>1616</v>
      </c>
      <c r="B1617" s="90" t="s">
        <v>629</v>
      </c>
      <c r="C1617" s="43" t="s">
        <v>183</v>
      </c>
      <c r="D1617">
        <v>35.020000000000003</v>
      </c>
      <c r="E1617" s="80">
        <v>63613.75</v>
      </c>
      <c r="F1617">
        <v>1488.83</v>
      </c>
      <c r="G1617">
        <v>179.54</v>
      </c>
      <c r="H1617">
        <v>5976.56</v>
      </c>
      <c r="I1617" s="80">
        <v>19131.48</v>
      </c>
      <c r="J1617">
        <v>92.05</v>
      </c>
      <c r="K1617" s="80">
        <v>8581.9</v>
      </c>
      <c r="L1617">
        <f t="shared" si="250"/>
        <v>0</v>
      </c>
      <c r="M1617">
        <f t="shared" si="251"/>
        <v>0</v>
      </c>
      <c r="N1617">
        <f t="shared" si="252"/>
        <v>0</v>
      </c>
      <c r="O1617">
        <f t="shared" si="253"/>
        <v>0</v>
      </c>
      <c r="P1617">
        <f t="shared" si="254"/>
        <v>0</v>
      </c>
      <c r="Q1617">
        <f t="shared" si="255"/>
        <v>0</v>
      </c>
      <c r="R1617">
        <f t="shared" si="256"/>
        <v>0</v>
      </c>
      <c r="S1617">
        <f t="shared" si="257"/>
        <v>0</v>
      </c>
      <c r="T1617">
        <f t="shared" si="259"/>
        <v>0</v>
      </c>
      <c r="U1617">
        <f t="shared" si="258"/>
        <v>0</v>
      </c>
    </row>
    <row r="1618" spans="1:21" x14ac:dyDescent="0.25">
      <c r="A1618" s="99">
        <v>1617</v>
      </c>
      <c r="B1618" s="90" t="s">
        <v>629</v>
      </c>
      <c r="C1618" s="43" t="s">
        <v>186</v>
      </c>
      <c r="D1618">
        <v>38.99</v>
      </c>
      <c r="E1618" s="80">
        <v>33524.769999999997</v>
      </c>
      <c r="F1618">
        <v>1473.18</v>
      </c>
      <c r="G1618">
        <v>153.78</v>
      </c>
      <c r="H1618" s="80">
        <v>23094.25</v>
      </c>
      <c r="I1618" s="80">
        <v>20099.310000000001</v>
      </c>
      <c r="J1618">
        <v>107.28</v>
      </c>
      <c r="K1618" s="80">
        <v>19648.82</v>
      </c>
      <c r="L1618">
        <f t="shared" si="250"/>
        <v>0</v>
      </c>
      <c r="M1618">
        <f t="shared" si="251"/>
        <v>0</v>
      </c>
      <c r="N1618">
        <f t="shared" si="252"/>
        <v>0</v>
      </c>
      <c r="O1618">
        <f t="shared" si="253"/>
        <v>0</v>
      </c>
      <c r="P1618">
        <f t="shared" si="254"/>
        <v>0</v>
      </c>
      <c r="Q1618">
        <f t="shared" si="255"/>
        <v>0</v>
      </c>
      <c r="R1618">
        <f t="shared" si="256"/>
        <v>0</v>
      </c>
      <c r="S1618">
        <f t="shared" si="257"/>
        <v>0</v>
      </c>
      <c r="T1618">
        <f t="shared" si="259"/>
        <v>0</v>
      </c>
      <c r="U1618">
        <f t="shared" si="258"/>
        <v>0</v>
      </c>
    </row>
    <row r="1619" spans="1:21" x14ac:dyDescent="0.25">
      <c r="A1619" s="99">
        <v>1618</v>
      </c>
      <c r="B1619" s="90" t="s">
        <v>629</v>
      </c>
      <c r="C1619" s="43" t="s">
        <v>188</v>
      </c>
      <c r="D1619">
        <v>55.95</v>
      </c>
      <c r="E1619" s="89" t="s">
        <v>582</v>
      </c>
      <c r="F1619">
        <v>897.37</v>
      </c>
      <c r="G1619">
        <v>277.26</v>
      </c>
      <c r="H1619">
        <v>13738.1</v>
      </c>
      <c r="I1619" s="80">
        <v>18816.72</v>
      </c>
      <c r="J1619">
        <v>151.32</v>
      </c>
      <c r="K1619" s="89" t="s">
        <v>582</v>
      </c>
      <c r="L1619">
        <f t="shared" si="250"/>
        <v>0</v>
      </c>
      <c r="M1619">
        <f t="shared" si="251"/>
        <v>1</v>
      </c>
      <c r="N1619">
        <f t="shared" si="252"/>
        <v>0</v>
      </c>
      <c r="O1619">
        <f t="shared" si="253"/>
        <v>0</v>
      </c>
      <c r="P1619">
        <f t="shared" si="254"/>
        <v>0</v>
      </c>
      <c r="Q1619">
        <f t="shared" si="255"/>
        <v>0</v>
      </c>
      <c r="R1619">
        <f t="shared" si="256"/>
        <v>0</v>
      </c>
      <c r="S1619">
        <f t="shared" si="257"/>
        <v>1</v>
      </c>
      <c r="T1619">
        <f t="shared" si="259"/>
        <v>2</v>
      </c>
      <c r="U1619">
        <f t="shared" si="258"/>
        <v>1</v>
      </c>
    </row>
    <row r="1620" spans="1:21" x14ac:dyDescent="0.25">
      <c r="A1620" s="99">
        <v>1619</v>
      </c>
      <c r="B1620" s="90" t="s">
        <v>629</v>
      </c>
      <c r="C1620" s="43" t="s">
        <v>182</v>
      </c>
      <c r="D1620" s="80">
        <v>7.0000000000000007E-2</v>
      </c>
      <c r="E1620" s="80">
        <v>0.14000000000000001</v>
      </c>
      <c r="F1620" t="s">
        <v>583</v>
      </c>
      <c r="G1620" t="s">
        <v>583</v>
      </c>
      <c r="H1620" t="s">
        <v>583</v>
      </c>
      <c r="I1620" t="s">
        <v>583</v>
      </c>
      <c r="J1620" t="s">
        <v>583</v>
      </c>
      <c r="K1620" t="s">
        <v>583</v>
      </c>
      <c r="L1620">
        <f t="shared" si="250"/>
        <v>0</v>
      </c>
      <c r="M1620">
        <f t="shared" si="251"/>
        <v>0</v>
      </c>
      <c r="N1620">
        <f t="shared" si="252"/>
        <v>0</v>
      </c>
      <c r="O1620">
        <f t="shared" si="253"/>
        <v>0</v>
      </c>
      <c r="P1620">
        <f t="shared" si="254"/>
        <v>0</v>
      </c>
      <c r="Q1620">
        <f t="shared" si="255"/>
        <v>0</v>
      </c>
      <c r="R1620">
        <f t="shared" si="256"/>
        <v>0</v>
      </c>
      <c r="S1620">
        <f t="shared" si="257"/>
        <v>0</v>
      </c>
      <c r="T1620">
        <f t="shared" si="259"/>
        <v>0</v>
      </c>
      <c r="U1620">
        <f t="shared" si="258"/>
        <v>0</v>
      </c>
    </row>
    <row r="1621" spans="1:21" x14ac:dyDescent="0.25">
      <c r="A1621" s="99">
        <v>1620</v>
      </c>
      <c r="B1621" s="90" t="s">
        <v>629</v>
      </c>
      <c r="C1621" s="43" t="s">
        <v>184</v>
      </c>
      <c r="D1621">
        <v>550.59</v>
      </c>
      <c r="E1621">
        <v>14332.92</v>
      </c>
      <c r="F1621">
        <v>139.81</v>
      </c>
      <c r="G1621">
        <v>129.1</v>
      </c>
      <c r="H1621">
        <v>14952.81</v>
      </c>
      <c r="I1621" s="80">
        <v>17961.580000000002</v>
      </c>
      <c r="J1621">
        <v>70.14</v>
      </c>
      <c r="K1621">
        <v>5836.14</v>
      </c>
      <c r="L1621">
        <f t="shared" si="250"/>
        <v>0</v>
      </c>
      <c r="M1621">
        <f t="shared" si="251"/>
        <v>0</v>
      </c>
      <c r="N1621">
        <f t="shared" si="252"/>
        <v>0</v>
      </c>
      <c r="O1621">
        <f t="shared" si="253"/>
        <v>0</v>
      </c>
      <c r="P1621">
        <f t="shared" si="254"/>
        <v>0</v>
      </c>
      <c r="Q1621">
        <f t="shared" si="255"/>
        <v>0</v>
      </c>
      <c r="R1621">
        <f t="shared" si="256"/>
        <v>0</v>
      </c>
      <c r="S1621">
        <f t="shared" si="257"/>
        <v>0</v>
      </c>
      <c r="T1621">
        <f t="shared" si="259"/>
        <v>0</v>
      </c>
      <c r="U1621">
        <f t="shared" si="258"/>
        <v>0</v>
      </c>
    </row>
    <row r="1622" spans="1:21" x14ac:dyDescent="0.25">
      <c r="A1622" s="99">
        <v>1621</v>
      </c>
      <c r="B1622" s="90" t="s">
        <v>629</v>
      </c>
      <c r="C1622" s="43" t="s">
        <v>187</v>
      </c>
      <c r="D1622">
        <v>1739.77</v>
      </c>
      <c r="E1622">
        <v>11772.42</v>
      </c>
      <c r="F1622">
        <v>322.82</v>
      </c>
      <c r="G1622">
        <v>105.61</v>
      </c>
      <c r="H1622" s="80">
        <v>20197</v>
      </c>
      <c r="I1622" s="80">
        <v>16547.62</v>
      </c>
      <c r="J1622">
        <v>84.62</v>
      </c>
      <c r="K1622">
        <v>7410.96</v>
      </c>
      <c r="L1622">
        <f t="shared" si="250"/>
        <v>0</v>
      </c>
      <c r="M1622">
        <f t="shared" si="251"/>
        <v>0</v>
      </c>
      <c r="N1622">
        <f t="shared" si="252"/>
        <v>0</v>
      </c>
      <c r="O1622">
        <f t="shared" si="253"/>
        <v>0</v>
      </c>
      <c r="P1622">
        <f t="shared" si="254"/>
        <v>0</v>
      </c>
      <c r="Q1622">
        <f t="shared" si="255"/>
        <v>0</v>
      </c>
      <c r="R1622">
        <f t="shared" si="256"/>
        <v>0</v>
      </c>
      <c r="S1622">
        <f t="shared" si="257"/>
        <v>0</v>
      </c>
      <c r="T1622">
        <f t="shared" si="259"/>
        <v>0</v>
      </c>
      <c r="U1622">
        <f t="shared" si="258"/>
        <v>0</v>
      </c>
    </row>
    <row r="1623" spans="1:21" x14ac:dyDescent="0.25">
      <c r="A1623" s="99">
        <v>1622</v>
      </c>
      <c r="B1623" s="90" t="s">
        <v>629</v>
      </c>
      <c r="C1623" s="43" t="s">
        <v>189</v>
      </c>
      <c r="D1623">
        <v>2290.36</v>
      </c>
      <c r="E1623">
        <v>8224.35</v>
      </c>
      <c r="F1623">
        <v>7.25</v>
      </c>
      <c r="G1623">
        <v>105.61</v>
      </c>
      <c r="H1623">
        <v>14023.74</v>
      </c>
      <c r="I1623" s="80">
        <v>11347.88</v>
      </c>
      <c r="J1623">
        <v>80.95</v>
      </c>
      <c r="K1623" s="80">
        <v>11696.92</v>
      </c>
      <c r="L1623">
        <f t="shared" si="250"/>
        <v>0</v>
      </c>
      <c r="M1623">
        <f t="shared" si="251"/>
        <v>0</v>
      </c>
      <c r="N1623">
        <f t="shared" si="252"/>
        <v>0</v>
      </c>
      <c r="O1623">
        <f t="shared" si="253"/>
        <v>0</v>
      </c>
      <c r="P1623">
        <f t="shared" si="254"/>
        <v>0</v>
      </c>
      <c r="Q1623">
        <f t="shared" si="255"/>
        <v>0</v>
      </c>
      <c r="R1623">
        <f t="shared" si="256"/>
        <v>0</v>
      </c>
      <c r="S1623">
        <f t="shared" si="257"/>
        <v>0</v>
      </c>
      <c r="T1623">
        <f t="shared" si="259"/>
        <v>0</v>
      </c>
      <c r="U1623">
        <f t="shared" si="258"/>
        <v>0</v>
      </c>
    </row>
    <row r="1624" spans="1:21" x14ac:dyDescent="0.25">
      <c r="A1624" s="99">
        <v>1623</v>
      </c>
      <c r="B1624" s="10">
        <v>1012</v>
      </c>
      <c r="C1624" s="43" t="s">
        <v>181</v>
      </c>
      <c r="D1624">
        <v>12.35</v>
      </c>
      <c r="E1624">
        <v>23038.63</v>
      </c>
      <c r="F1624">
        <v>0.85</v>
      </c>
      <c r="G1624">
        <v>34.770000000000003</v>
      </c>
      <c r="H1624">
        <v>1.33</v>
      </c>
      <c r="I1624">
        <v>3.68</v>
      </c>
      <c r="J1624">
        <v>17.62</v>
      </c>
      <c r="K1624">
        <v>2.19</v>
      </c>
      <c r="L1624">
        <f t="shared" si="250"/>
        <v>0</v>
      </c>
      <c r="M1624">
        <f t="shared" si="251"/>
        <v>0</v>
      </c>
      <c r="N1624">
        <f t="shared" si="252"/>
        <v>0</v>
      </c>
      <c r="O1624">
        <f t="shared" si="253"/>
        <v>0</v>
      </c>
      <c r="P1624">
        <f t="shared" si="254"/>
        <v>0</v>
      </c>
      <c r="Q1624">
        <f t="shared" si="255"/>
        <v>0</v>
      </c>
      <c r="R1624">
        <f t="shared" si="256"/>
        <v>0</v>
      </c>
      <c r="S1624">
        <f t="shared" si="257"/>
        <v>0</v>
      </c>
      <c r="T1624">
        <f t="shared" si="259"/>
        <v>0</v>
      </c>
      <c r="U1624">
        <f t="shared" si="258"/>
        <v>0</v>
      </c>
    </row>
    <row r="1625" spans="1:21" x14ac:dyDescent="0.25">
      <c r="A1625" s="99">
        <v>1624</v>
      </c>
      <c r="B1625" s="10">
        <v>1012</v>
      </c>
      <c r="C1625" s="43" t="s">
        <v>183</v>
      </c>
      <c r="D1625">
        <v>32.11</v>
      </c>
      <c r="E1625" s="80">
        <v>156267.01</v>
      </c>
      <c r="F1625">
        <v>383.45</v>
      </c>
      <c r="G1625">
        <v>129.1</v>
      </c>
      <c r="H1625">
        <v>4425.96</v>
      </c>
      <c r="I1625" s="80">
        <v>19353.25</v>
      </c>
      <c r="J1625">
        <v>70.14</v>
      </c>
      <c r="K1625">
        <v>1495.08</v>
      </c>
      <c r="L1625">
        <f t="shared" si="250"/>
        <v>0</v>
      </c>
      <c r="M1625">
        <f t="shared" si="251"/>
        <v>0</v>
      </c>
      <c r="N1625">
        <f t="shared" si="252"/>
        <v>0</v>
      </c>
      <c r="O1625">
        <f t="shared" si="253"/>
        <v>0</v>
      </c>
      <c r="P1625">
        <f t="shared" si="254"/>
        <v>0</v>
      </c>
      <c r="Q1625">
        <f t="shared" si="255"/>
        <v>0</v>
      </c>
      <c r="R1625">
        <f t="shared" si="256"/>
        <v>0</v>
      </c>
      <c r="S1625">
        <f t="shared" si="257"/>
        <v>0</v>
      </c>
      <c r="T1625">
        <f t="shared" si="259"/>
        <v>0</v>
      </c>
      <c r="U1625">
        <f t="shared" si="258"/>
        <v>0</v>
      </c>
    </row>
    <row r="1626" spans="1:21" x14ac:dyDescent="0.25">
      <c r="A1626" s="99">
        <v>1625</v>
      </c>
      <c r="B1626" s="10">
        <v>1012</v>
      </c>
      <c r="C1626" s="43" t="s">
        <v>186</v>
      </c>
      <c r="D1626">
        <v>40</v>
      </c>
      <c r="E1626" s="89" t="s">
        <v>582</v>
      </c>
      <c r="F1626">
        <v>1664.29</v>
      </c>
      <c r="G1626">
        <v>206.31</v>
      </c>
      <c r="H1626">
        <v>14323.18</v>
      </c>
      <c r="I1626" s="80">
        <v>19930.89</v>
      </c>
      <c r="J1626">
        <v>107.28</v>
      </c>
      <c r="K1626">
        <v>3987.73</v>
      </c>
      <c r="L1626">
        <f t="shared" si="250"/>
        <v>0</v>
      </c>
      <c r="M1626">
        <f t="shared" si="251"/>
        <v>1</v>
      </c>
      <c r="N1626">
        <f t="shared" si="252"/>
        <v>0</v>
      </c>
      <c r="O1626">
        <f t="shared" si="253"/>
        <v>0</v>
      </c>
      <c r="P1626">
        <f t="shared" si="254"/>
        <v>0</v>
      </c>
      <c r="Q1626">
        <f t="shared" si="255"/>
        <v>0</v>
      </c>
      <c r="R1626">
        <f t="shared" si="256"/>
        <v>0</v>
      </c>
      <c r="S1626">
        <f t="shared" si="257"/>
        <v>0</v>
      </c>
      <c r="T1626">
        <f t="shared" si="259"/>
        <v>1</v>
      </c>
      <c r="U1626">
        <f t="shared" si="258"/>
        <v>1</v>
      </c>
    </row>
    <row r="1627" spans="1:21" x14ac:dyDescent="0.25">
      <c r="A1627" s="99">
        <v>1626</v>
      </c>
      <c r="B1627" s="10">
        <v>1012</v>
      </c>
      <c r="C1627" s="43" t="s">
        <v>188</v>
      </c>
      <c r="D1627">
        <v>49.4</v>
      </c>
      <c r="E1627" s="89" t="s">
        <v>582</v>
      </c>
      <c r="F1627">
        <v>395.39</v>
      </c>
      <c r="G1627">
        <v>234.02</v>
      </c>
      <c r="H1627">
        <v>11494.81</v>
      </c>
      <c r="I1627" s="80">
        <v>19046.29</v>
      </c>
      <c r="J1627">
        <v>149.26</v>
      </c>
      <c r="K1627" s="89" t="s">
        <v>582</v>
      </c>
      <c r="L1627">
        <f t="shared" si="250"/>
        <v>0</v>
      </c>
      <c r="M1627">
        <f t="shared" si="251"/>
        <v>1</v>
      </c>
      <c r="N1627">
        <f t="shared" si="252"/>
        <v>0</v>
      </c>
      <c r="O1627">
        <f t="shared" si="253"/>
        <v>0</v>
      </c>
      <c r="P1627">
        <f t="shared" si="254"/>
        <v>0</v>
      </c>
      <c r="Q1627">
        <f t="shared" si="255"/>
        <v>0</v>
      </c>
      <c r="R1627">
        <f t="shared" si="256"/>
        <v>0</v>
      </c>
      <c r="S1627">
        <f t="shared" si="257"/>
        <v>1</v>
      </c>
      <c r="T1627">
        <f t="shared" si="259"/>
        <v>2</v>
      </c>
      <c r="U1627">
        <f t="shared" si="258"/>
        <v>1</v>
      </c>
    </row>
    <row r="1628" spans="1:21" x14ac:dyDescent="0.25">
      <c r="A1628" s="99">
        <v>1627</v>
      </c>
      <c r="B1628" s="10">
        <v>1012</v>
      </c>
      <c r="C1628" s="43" t="s">
        <v>182</v>
      </c>
      <c r="D1628" s="80">
        <v>7.0000000000000007E-2</v>
      </c>
      <c r="E1628">
        <v>842.46</v>
      </c>
      <c r="F1628" t="s">
        <v>583</v>
      </c>
      <c r="G1628" s="80">
        <v>1.33</v>
      </c>
      <c r="H1628" t="s">
        <v>583</v>
      </c>
      <c r="I1628">
        <v>0.47</v>
      </c>
      <c r="J1628" s="80">
        <v>0.73</v>
      </c>
      <c r="K1628">
        <v>0.1</v>
      </c>
      <c r="L1628">
        <f t="shared" si="250"/>
        <v>0</v>
      </c>
      <c r="M1628">
        <f t="shared" si="251"/>
        <v>0</v>
      </c>
      <c r="N1628">
        <f t="shared" si="252"/>
        <v>0</v>
      </c>
      <c r="O1628">
        <f t="shared" si="253"/>
        <v>0</v>
      </c>
      <c r="P1628">
        <f t="shared" si="254"/>
        <v>0</v>
      </c>
      <c r="Q1628">
        <f t="shared" si="255"/>
        <v>0</v>
      </c>
      <c r="R1628">
        <f t="shared" si="256"/>
        <v>0</v>
      </c>
      <c r="S1628">
        <f t="shared" si="257"/>
        <v>0</v>
      </c>
      <c r="T1628">
        <f t="shared" si="259"/>
        <v>0</v>
      </c>
      <c r="U1628">
        <f t="shared" si="258"/>
        <v>0</v>
      </c>
    </row>
    <row r="1629" spans="1:21" x14ac:dyDescent="0.25">
      <c r="A1629" s="99">
        <v>1628</v>
      </c>
      <c r="B1629" s="10">
        <v>1012</v>
      </c>
      <c r="C1629" s="43" t="s">
        <v>184</v>
      </c>
      <c r="D1629">
        <v>11.61</v>
      </c>
      <c r="E1629">
        <v>15813.3</v>
      </c>
      <c r="F1629">
        <v>65.180000000000007</v>
      </c>
      <c r="G1629">
        <v>52.91</v>
      </c>
      <c r="H1629">
        <v>1388.46</v>
      </c>
      <c r="I1629" s="80">
        <v>11432.87</v>
      </c>
      <c r="J1629">
        <v>27.52</v>
      </c>
      <c r="K1629">
        <v>264.12</v>
      </c>
      <c r="L1629">
        <f t="shared" si="250"/>
        <v>0</v>
      </c>
      <c r="M1629">
        <f t="shared" si="251"/>
        <v>0</v>
      </c>
      <c r="N1629">
        <f t="shared" si="252"/>
        <v>0</v>
      </c>
      <c r="O1629">
        <f t="shared" si="253"/>
        <v>0</v>
      </c>
      <c r="P1629">
        <f t="shared" si="254"/>
        <v>0</v>
      </c>
      <c r="Q1629">
        <f t="shared" si="255"/>
        <v>0</v>
      </c>
      <c r="R1629">
        <f t="shared" si="256"/>
        <v>0</v>
      </c>
      <c r="S1629">
        <f t="shared" si="257"/>
        <v>0</v>
      </c>
      <c r="T1629">
        <f t="shared" si="259"/>
        <v>0</v>
      </c>
      <c r="U1629">
        <f t="shared" si="258"/>
        <v>0</v>
      </c>
    </row>
    <row r="1630" spans="1:21" x14ac:dyDescent="0.25">
      <c r="A1630" s="99">
        <v>1629</v>
      </c>
      <c r="B1630" s="10">
        <v>1012</v>
      </c>
      <c r="C1630" s="43" t="s">
        <v>187</v>
      </c>
      <c r="D1630">
        <v>22.06</v>
      </c>
      <c r="E1630" s="80">
        <v>25577.86</v>
      </c>
      <c r="F1630">
        <v>70.62</v>
      </c>
      <c r="G1630">
        <v>105.61</v>
      </c>
      <c r="H1630">
        <v>4227.2700000000004</v>
      </c>
      <c r="I1630" s="80">
        <v>12651.54</v>
      </c>
      <c r="J1630">
        <v>52.86</v>
      </c>
      <c r="K1630">
        <v>1128.3</v>
      </c>
      <c r="L1630">
        <f t="shared" si="250"/>
        <v>0</v>
      </c>
      <c r="M1630">
        <f t="shared" si="251"/>
        <v>0</v>
      </c>
      <c r="N1630">
        <f t="shared" si="252"/>
        <v>0</v>
      </c>
      <c r="O1630">
        <f t="shared" si="253"/>
        <v>0</v>
      </c>
      <c r="P1630">
        <f t="shared" si="254"/>
        <v>0</v>
      </c>
      <c r="Q1630">
        <f t="shared" si="255"/>
        <v>0</v>
      </c>
      <c r="R1630">
        <f t="shared" si="256"/>
        <v>0</v>
      </c>
      <c r="S1630">
        <f t="shared" si="257"/>
        <v>0</v>
      </c>
      <c r="T1630">
        <f t="shared" si="259"/>
        <v>0</v>
      </c>
      <c r="U1630">
        <f t="shared" si="258"/>
        <v>0</v>
      </c>
    </row>
    <row r="1631" spans="1:21" x14ac:dyDescent="0.25">
      <c r="A1631" s="99">
        <v>1630</v>
      </c>
      <c r="B1631" s="10">
        <v>1012</v>
      </c>
      <c r="C1631" s="43" t="s">
        <v>189</v>
      </c>
      <c r="D1631">
        <v>13.86</v>
      </c>
      <c r="E1631">
        <v>17423.47</v>
      </c>
      <c r="F1631">
        <v>26.11</v>
      </c>
      <c r="G1631">
        <v>62.67</v>
      </c>
      <c r="H1631">
        <v>3592.06</v>
      </c>
      <c r="I1631" s="80">
        <v>7553.13</v>
      </c>
      <c r="J1631">
        <v>36.64</v>
      </c>
      <c r="K1631">
        <v>3045.32</v>
      </c>
      <c r="L1631">
        <f t="shared" si="250"/>
        <v>0</v>
      </c>
      <c r="M1631">
        <f t="shared" si="251"/>
        <v>0</v>
      </c>
      <c r="N1631">
        <f t="shared" si="252"/>
        <v>0</v>
      </c>
      <c r="O1631">
        <f t="shared" si="253"/>
        <v>0</v>
      </c>
      <c r="P1631">
        <f t="shared" si="254"/>
        <v>0</v>
      </c>
      <c r="Q1631">
        <f t="shared" si="255"/>
        <v>0</v>
      </c>
      <c r="R1631">
        <f t="shared" si="256"/>
        <v>0</v>
      </c>
      <c r="S1631">
        <f t="shared" si="257"/>
        <v>0</v>
      </c>
      <c r="T1631">
        <f t="shared" si="259"/>
        <v>0</v>
      </c>
      <c r="U1631">
        <f t="shared" si="258"/>
        <v>0</v>
      </c>
    </row>
    <row r="1632" spans="1:21" x14ac:dyDescent="0.25">
      <c r="A1632" s="99">
        <v>1631</v>
      </c>
      <c r="B1632" s="10" t="s">
        <v>622</v>
      </c>
      <c r="C1632" s="43" t="s">
        <v>182</v>
      </c>
      <c r="D1632">
        <v>0.63</v>
      </c>
      <c r="E1632">
        <v>528.78</v>
      </c>
      <c r="F1632">
        <v>0.02</v>
      </c>
      <c r="G1632" s="80">
        <v>3.44</v>
      </c>
      <c r="H1632">
        <v>65.41</v>
      </c>
      <c r="I1632">
        <v>62.98</v>
      </c>
      <c r="J1632">
        <v>2.38</v>
      </c>
      <c r="K1632">
        <v>6.1</v>
      </c>
      <c r="L1632">
        <f t="shared" si="250"/>
        <v>0</v>
      </c>
      <c r="M1632">
        <f t="shared" si="251"/>
        <v>0</v>
      </c>
      <c r="N1632">
        <f t="shared" si="252"/>
        <v>0</v>
      </c>
      <c r="O1632">
        <f t="shared" si="253"/>
        <v>0</v>
      </c>
      <c r="P1632">
        <f t="shared" si="254"/>
        <v>0</v>
      </c>
      <c r="Q1632">
        <f t="shared" si="255"/>
        <v>0</v>
      </c>
      <c r="R1632">
        <f t="shared" si="256"/>
        <v>0</v>
      </c>
      <c r="S1632">
        <f t="shared" si="257"/>
        <v>0</v>
      </c>
      <c r="T1632">
        <f t="shared" si="259"/>
        <v>0</v>
      </c>
      <c r="U1632">
        <f t="shared" si="258"/>
        <v>0</v>
      </c>
    </row>
    <row r="1633" spans="1:21" x14ac:dyDescent="0.25">
      <c r="A1633" s="99">
        <v>1632</v>
      </c>
      <c r="B1633" s="10" t="s">
        <v>622</v>
      </c>
      <c r="C1633" s="43" t="s">
        <v>184</v>
      </c>
      <c r="D1633">
        <v>1.39</v>
      </c>
      <c r="E1633">
        <v>671.14</v>
      </c>
      <c r="F1633" t="s">
        <v>583</v>
      </c>
      <c r="G1633" t="s">
        <v>583</v>
      </c>
      <c r="H1633">
        <v>317.77</v>
      </c>
      <c r="I1633">
        <v>370.94</v>
      </c>
      <c r="J1633" s="80">
        <v>0.73</v>
      </c>
      <c r="K1633">
        <v>39.299999999999997</v>
      </c>
      <c r="L1633">
        <f t="shared" si="250"/>
        <v>0</v>
      </c>
      <c r="M1633">
        <f t="shared" si="251"/>
        <v>0</v>
      </c>
      <c r="N1633">
        <f t="shared" si="252"/>
        <v>0</v>
      </c>
      <c r="O1633">
        <f t="shared" si="253"/>
        <v>0</v>
      </c>
      <c r="P1633">
        <f t="shared" si="254"/>
        <v>0</v>
      </c>
      <c r="Q1633">
        <f t="shared" si="255"/>
        <v>0</v>
      </c>
      <c r="R1633">
        <f t="shared" si="256"/>
        <v>0</v>
      </c>
      <c r="S1633">
        <f t="shared" si="257"/>
        <v>0</v>
      </c>
      <c r="T1633">
        <f t="shared" si="259"/>
        <v>0</v>
      </c>
      <c r="U1633">
        <f t="shared" si="258"/>
        <v>0</v>
      </c>
    </row>
    <row r="1634" spans="1:21" x14ac:dyDescent="0.25">
      <c r="A1634" s="99">
        <v>1633</v>
      </c>
      <c r="B1634" s="10" t="s">
        <v>622</v>
      </c>
      <c r="C1634" s="43" t="s">
        <v>187</v>
      </c>
      <c r="D1634">
        <v>0.63</v>
      </c>
      <c r="E1634">
        <v>578.23</v>
      </c>
      <c r="F1634">
        <v>0.15</v>
      </c>
      <c r="G1634">
        <v>5.97</v>
      </c>
      <c r="H1634">
        <v>555.82000000000005</v>
      </c>
      <c r="I1634">
        <v>928.99</v>
      </c>
      <c r="J1634" s="80">
        <v>0.73</v>
      </c>
      <c r="K1634">
        <v>247.01</v>
      </c>
      <c r="L1634">
        <f t="shared" si="250"/>
        <v>0</v>
      </c>
      <c r="M1634">
        <f t="shared" si="251"/>
        <v>0</v>
      </c>
      <c r="N1634">
        <f t="shared" si="252"/>
        <v>0</v>
      </c>
      <c r="O1634">
        <f t="shared" si="253"/>
        <v>0</v>
      </c>
      <c r="P1634">
        <f t="shared" si="254"/>
        <v>0</v>
      </c>
      <c r="Q1634">
        <f t="shared" si="255"/>
        <v>0</v>
      </c>
      <c r="R1634">
        <f t="shared" si="256"/>
        <v>0</v>
      </c>
      <c r="S1634">
        <f t="shared" si="257"/>
        <v>0</v>
      </c>
      <c r="T1634">
        <f t="shared" si="259"/>
        <v>0</v>
      </c>
      <c r="U1634">
        <f t="shared" si="258"/>
        <v>0</v>
      </c>
    </row>
    <row r="1635" spans="1:21" x14ac:dyDescent="0.25">
      <c r="A1635" s="99">
        <v>1634</v>
      </c>
      <c r="B1635" s="10" t="s">
        <v>622</v>
      </c>
      <c r="C1635" s="43" t="s">
        <v>189</v>
      </c>
      <c r="D1635" t="s">
        <v>583</v>
      </c>
      <c r="E1635">
        <v>753.02</v>
      </c>
      <c r="F1635">
        <v>0.11</v>
      </c>
      <c r="G1635" s="80">
        <v>1.33</v>
      </c>
      <c r="H1635">
        <v>59.92</v>
      </c>
      <c r="I1635">
        <v>93.22</v>
      </c>
      <c r="J1635" t="s">
        <v>583</v>
      </c>
      <c r="K1635">
        <v>30.77</v>
      </c>
      <c r="L1635">
        <f t="shared" si="250"/>
        <v>0</v>
      </c>
      <c r="M1635">
        <f t="shared" si="251"/>
        <v>0</v>
      </c>
      <c r="N1635">
        <f t="shared" si="252"/>
        <v>0</v>
      </c>
      <c r="O1635">
        <f t="shared" si="253"/>
        <v>0</v>
      </c>
      <c r="P1635">
        <f t="shared" si="254"/>
        <v>0</v>
      </c>
      <c r="Q1635">
        <f t="shared" si="255"/>
        <v>0</v>
      </c>
      <c r="R1635">
        <f t="shared" si="256"/>
        <v>0</v>
      </c>
      <c r="S1635">
        <f t="shared" si="257"/>
        <v>0</v>
      </c>
      <c r="T1635">
        <f t="shared" si="259"/>
        <v>0</v>
      </c>
      <c r="U1635">
        <f t="shared" si="258"/>
        <v>0</v>
      </c>
    </row>
    <row r="1636" spans="1:21" x14ac:dyDescent="0.25">
      <c r="A1636" s="99">
        <v>1635</v>
      </c>
      <c r="B1636" s="10">
        <v>1019</v>
      </c>
      <c r="C1636" s="43" t="s">
        <v>182</v>
      </c>
      <c r="D1636" t="s">
        <v>583</v>
      </c>
      <c r="E1636">
        <v>69.56</v>
      </c>
      <c r="F1636" t="s">
        <v>583</v>
      </c>
      <c r="G1636" t="s">
        <v>583</v>
      </c>
      <c r="H1636" t="s">
        <v>583</v>
      </c>
      <c r="I1636" t="s">
        <v>583</v>
      </c>
      <c r="J1636" t="s">
        <v>583</v>
      </c>
      <c r="K1636" s="80">
        <v>0.03</v>
      </c>
      <c r="L1636">
        <f t="shared" si="250"/>
        <v>0</v>
      </c>
      <c r="M1636">
        <f t="shared" si="251"/>
        <v>0</v>
      </c>
      <c r="N1636">
        <f t="shared" si="252"/>
        <v>0</v>
      </c>
      <c r="O1636">
        <f t="shared" si="253"/>
        <v>0</v>
      </c>
      <c r="P1636">
        <f t="shared" si="254"/>
        <v>0</v>
      </c>
      <c r="Q1636">
        <f t="shared" si="255"/>
        <v>0</v>
      </c>
      <c r="R1636">
        <f t="shared" si="256"/>
        <v>0</v>
      </c>
      <c r="S1636">
        <f t="shared" si="257"/>
        <v>0</v>
      </c>
      <c r="T1636">
        <f t="shared" si="259"/>
        <v>0</v>
      </c>
      <c r="U1636">
        <f t="shared" si="258"/>
        <v>0</v>
      </c>
    </row>
    <row r="1637" spans="1:21" x14ac:dyDescent="0.25">
      <c r="A1637" s="99">
        <v>1636</v>
      </c>
      <c r="B1637" s="10">
        <v>1019</v>
      </c>
      <c r="C1637" s="43" t="s">
        <v>184</v>
      </c>
      <c r="D1637">
        <v>2.29</v>
      </c>
      <c r="E1637">
        <v>3300.68</v>
      </c>
      <c r="F1637">
        <v>8.1</v>
      </c>
      <c r="G1637">
        <v>5.97</v>
      </c>
      <c r="H1637">
        <v>25.98</v>
      </c>
      <c r="I1637">
        <v>2730.18</v>
      </c>
      <c r="J1637">
        <v>8.74</v>
      </c>
      <c r="K1637">
        <v>4.62</v>
      </c>
      <c r="L1637">
        <f t="shared" si="250"/>
        <v>0</v>
      </c>
      <c r="M1637">
        <f t="shared" si="251"/>
        <v>0</v>
      </c>
      <c r="N1637">
        <f t="shared" si="252"/>
        <v>0</v>
      </c>
      <c r="O1637">
        <f t="shared" si="253"/>
        <v>0</v>
      </c>
      <c r="P1637">
        <f t="shared" si="254"/>
        <v>0</v>
      </c>
      <c r="Q1637">
        <f t="shared" si="255"/>
        <v>0</v>
      </c>
      <c r="R1637">
        <f t="shared" si="256"/>
        <v>0</v>
      </c>
      <c r="S1637">
        <f t="shared" si="257"/>
        <v>0</v>
      </c>
      <c r="T1637">
        <f t="shared" si="259"/>
        <v>0</v>
      </c>
      <c r="U1637">
        <f t="shared" si="258"/>
        <v>0</v>
      </c>
    </row>
    <row r="1638" spans="1:21" x14ac:dyDescent="0.25">
      <c r="A1638" s="99">
        <v>1637</v>
      </c>
      <c r="B1638" s="10">
        <v>1019</v>
      </c>
      <c r="C1638" s="43" t="s">
        <v>187</v>
      </c>
      <c r="D1638">
        <v>13.1</v>
      </c>
      <c r="E1638">
        <v>13079.67</v>
      </c>
      <c r="F1638">
        <v>102.24</v>
      </c>
      <c r="G1638">
        <v>26.5</v>
      </c>
      <c r="H1638">
        <v>1744.14</v>
      </c>
      <c r="I1638" s="80">
        <v>7306.11</v>
      </c>
      <c r="J1638">
        <v>24.6</v>
      </c>
      <c r="K1638">
        <v>1228.97</v>
      </c>
      <c r="L1638">
        <f t="shared" si="250"/>
        <v>0</v>
      </c>
      <c r="M1638">
        <f t="shared" si="251"/>
        <v>0</v>
      </c>
      <c r="N1638">
        <f t="shared" si="252"/>
        <v>0</v>
      </c>
      <c r="O1638">
        <f t="shared" si="253"/>
        <v>0</v>
      </c>
      <c r="P1638">
        <f t="shared" si="254"/>
        <v>0</v>
      </c>
      <c r="Q1638">
        <f t="shared" si="255"/>
        <v>0</v>
      </c>
      <c r="R1638">
        <f t="shared" si="256"/>
        <v>0</v>
      </c>
      <c r="S1638">
        <f t="shared" si="257"/>
        <v>0</v>
      </c>
      <c r="T1638">
        <f t="shared" si="259"/>
        <v>0</v>
      </c>
      <c r="U1638">
        <f t="shared" si="258"/>
        <v>0</v>
      </c>
    </row>
    <row r="1639" spans="1:21" x14ac:dyDescent="0.25">
      <c r="A1639" s="99">
        <v>1638</v>
      </c>
      <c r="B1639" s="10">
        <v>1019</v>
      </c>
      <c r="C1639" s="43" t="s">
        <v>189</v>
      </c>
      <c r="D1639">
        <v>5.56</v>
      </c>
      <c r="E1639">
        <v>6765.92</v>
      </c>
      <c r="F1639">
        <v>29</v>
      </c>
      <c r="G1639">
        <v>26.5</v>
      </c>
      <c r="H1639">
        <v>755.04</v>
      </c>
      <c r="I1639">
        <v>2471.77</v>
      </c>
      <c r="J1639">
        <v>18.98</v>
      </c>
      <c r="K1639">
        <v>1199.9000000000001</v>
      </c>
      <c r="L1639">
        <f t="shared" si="250"/>
        <v>0</v>
      </c>
      <c r="M1639">
        <f t="shared" si="251"/>
        <v>0</v>
      </c>
      <c r="N1639">
        <f t="shared" si="252"/>
        <v>0</v>
      </c>
      <c r="O1639">
        <f t="shared" si="253"/>
        <v>0</v>
      </c>
      <c r="P1639">
        <f t="shared" si="254"/>
        <v>0</v>
      </c>
      <c r="Q1639">
        <f t="shared" si="255"/>
        <v>0</v>
      </c>
      <c r="R1639">
        <f t="shared" si="256"/>
        <v>0</v>
      </c>
      <c r="S1639">
        <f t="shared" si="257"/>
        <v>0</v>
      </c>
      <c r="T1639">
        <f t="shared" si="259"/>
        <v>0</v>
      </c>
      <c r="U1639">
        <f t="shared" si="258"/>
        <v>0</v>
      </c>
    </row>
    <row r="1640" spans="1:21" x14ac:dyDescent="0.25">
      <c r="A1640" s="99">
        <v>1639</v>
      </c>
      <c r="B1640" s="10">
        <v>1013</v>
      </c>
      <c r="C1640" s="43" t="s">
        <v>181</v>
      </c>
      <c r="D1640" s="80">
        <v>7.0000000000000007E-2</v>
      </c>
      <c r="E1640">
        <v>236.45</v>
      </c>
      <c r="F1640" t="s">
        <v>583</v>
      </c>
      <c r="G1640" t="s">
        <v>583</v>
      </c>
      <c r="H1640" t="s">
        <v>583</v>
      </c>
      <c r="I1640">
        <v>0.28000000000000003</v>
      </c>
      <c r="J1640" t="s">
        <v>583</v>
      </c>
      <c r="K1640">
        <v>0.18</v>
      </c>
      <c r="L1640">
        <f t="shared" si="250"/>
        <v>0</v>
      </c>
      <c r="M1640">
        <f t="shared" si="251"/>
        <v>0</v>
      </c>
      <c r="N1640">
        <f t="shared" si="252"/>
        <v>0</v>
      </c>
      <c r="O1640">
        <f t="shared" si="253"/>
        <v>0</v>
      </c>
      <c r="P1640">
        <f t="shared" si="254"/>
        <v>0</v>
      </c>
      <c r="Q1640">
        <f t="shared" si="255"/>
        <v>0</v>
      </c>
      <c r="R1640">
        <f t="shared" si="256"/>
        <v>0</v>
      </c>
      <c r="S1640">
        <f t="shared" si="257"/>
        <v>0</v>
      </c>
      <c r="T1640">
        <f t="shared" si="259"/>
        <v>0</v>
      </c>
      <c r="U1640">
        <f t="shared" si="258"/>
        <v>0</v>
      </c>
    </row>
    <row r="1641" spans="1:21" x14ac:dyDescent="0.25">
      <c r="A1641" s="99">
        <v>1640</v>
      </c>
      <c r="B1641" s="10">
        <v>1013</v>
      </c>
      <c r="C1641" s="43" t="s">
        <v>183</v>
      </c>
      <c r="D1641">
        <v>9.4700000000000006</v>
      </c>
      <c r="E1641">
        <v>6493.55</v>
      </c>
      <c r="F1641">
        <v>65.959999999999994</v>
      </c>
      <c r="G1641">
        <v>26.5</v>
      </c>
      <c r="H1641">
        <v>256.32</v>
      </c>
      <c r="I1641" s="80">
        <v>16169.08</v>
      </c>
      <c r="J1641">
        <v>24.6</v>
      </c>
      <c r="K1641">
        <v>614.24</v>
      </c>
      <c r="L1641">
        <f t="shared" si="250"/>
        <v>0</v>
      </c>
      <c r="M1641">
        <f t="shared" si="251"/>
        <v>0</v>
      </c>
      <c r="N1641">
        <f t="shared" si="252"/>
        <v>0</v>
      </c>
      <c r="O1641">
        <f t="shared" si="253"/>
        <v>0</v>
      </c>
      <c r="P1641">
        <f t="shared" si="254"/>
        <v>0</v>
      </c>
      <c r="Q1641">
        <f t="shared" si="255"/>
        <v>0</v>
      </c>
      <c r="R1641">
        <f t="shared" si="256"/>
        <v>0</v>
      </c>
      <c r="S1641">
        <f t="shared" si="257"/>
        <v>0</v>
      </c>
      <c r="T1641">
        <f t="shared" si="259"/>
        <v>0</v>
      </c>
      <c r="U1641">
        <f t="shared" si="258"/>
        <v>0</v>
      </c>
    </row>
    <row r="1642" spans="1:21" x14ac:dyDescent="0.25">
      <c r="A1642" s="99">
        <v>1641</v>
      </c>
      <c r="B1642" s="10">
        <v>1013</v>
      </c>
      <c r="C1642" s="43" t="s">
        <v>186</v>
      </c>
      <c r="D1642">
        <v>12.35</v>
      </c>
      <c r="E1642">
        <v>11567.94</v>
      </c>
      <c r="F1642">
        <v>347.55</v>
      </c>
      <c r="G1642">
        <v>52.91</v>
      </c>
      <c r="H1642">
        <v>1182.6500000000001</v>
      </c>
      <c r="I1642" s="80">
        <v>17894.18</v>
      </c>
      <c r="J1642">
        <v>36.64</v>
      </c>
      <c r="K1642">
        <v>1943.85</v>
      </c>
      <c r="L1642">
        <f t="shared" si="250"/>
        <v>0</v>
      </c>
      <c r="M1642">
        <f t="shared" si="251"/>
        <v>0</v>
      </c>
      <c r="N1642">
        <f t="shared" si="252"/>
        <v>0</v>
      </c>
      <c r="O1642">
        <f t="shared" si="253"/>
        <v>0</v>
      </c>
      <c r="P1642">
        <f t="shared" si="254"/>
        <v>0</v>
      </c>
      <c r="Q1642">
        <f t="shared" si="255"/>
        <v>0</v>
      </c>
      <c r="R1642">
        <f t="shared" si="256"/>
        <v>0</v>
      </c>
      <c r="S1642">
        <f t="shared" si="257"/>
        <v>0</v>
      </c>
      <c r="T1642">
        <f t="shared" si="259"/>
        <v>0</v>
      </c>
      <c r="U1642">
        <f t="shared" si="258"/>
        <v>0</v>
      </c>
    </row>
    <row r="1643" spans="1:21" x14ac:dyDescent="0.25">
      <c r="A1643" s="99">
        <v>1642</v>
      </c>
      <c r="B1643" s="10">
        <v>1013</v>
      </c>
      <c r="C1643" s="43" t="s">
        <v>188</v>
      </c>
      <c r="D1643">
        <v>13.86</v>
      </c>
      <c r="E1643">
        <v>9409.9699999999993</v>
      </c>
      <c r="F1643">
        <v>20.98</v>
      </c>
      <c r="G1643">
        <v>43.59</v>
      </c>
      <c r="H1643">
        <v>204.57</v>
      </c>
      <c r="I1643" s="80">
        <v>11289.64</v>
      </c>
      <c r="J1643">
        <v>33.54</v>
      </c>
      <c r="K1643">
        <v>3295.53</v>
      </c>
      <c r="L1643">
        <f t="shared" si="250"/>
        <v>0</v>
      </c>
      <c r="M1643">
        <f t="shared" si="251"/>
        <v>0</v>
      </c>
      <c r="N1643">
        <f t="shared" si="252"/>
        <v>0</v>
      </c>
      <c r="O1643">
        <f t="shared" si="253"/>
        <v>0</v>
      </c>
      <c r="P1643">
        <f t="shared" si="254"/>
        <v>0</v>
      </c>
      <c r="Q1643">
        <f t="shared" si="255"/>
        <v>0</v>
      </c>
      <c r="R1643">
        <f t="shared" si="256"/>
        <v>0</v>
      </c>
      <c r="S1643">
        <f t="shared" si="257"/>
        <v>0</v>
      </c>
      <c r="T1643">
        <f t="shared" si="259"/>
        <v>0</v>
      </c>
      <c r="U1643">
        <f t="shared" si="258"/>
        <v>0</v>
      </c>
    </row>
    <row r="1644" spans="1:21" x14ac:dyDescent="0.25">
      <c r="A1644" s="99">
        <v>1643</v>
      </c>
      <c r="B1644" s="10">
        <v>1013</v>
      </c>
      <c r="C1644" s="43" t="s">
        <v>182</v>
      </c>
      <c r="D1644" t="s">
        <v>583</v>
      </c>
      <c r="E1644">
        <v>164.79</v>
      </c>
      <c r="F1644" t="s">
        <v>583</v>
      </c>
      <c r="G1644" s="80">
        <v>3.44</v>
      </c>
      <c r="H1644" t="s">
        <v>583</v>
      </c>
      <c r="I1644">
        <v>0.28000000000000003</v>
      </c>
      <c r="J1644" t="s">
        <v>583</v>
      </c>
      <c r="K1644" t="s">
        <v>583</v>
      </c>
      <c r="L1644">
        <f t="shared" si="250"/>
        <v>0</v>
      </c>
      <c r="M1644">
        <f t="shared" si="251"/>
        <v>0</v>
      </c>
      <c r="N1644">
        <f t="shared" si="252"/>
        <v>0</v>
      </c>
      <c r="O1644">
        <f t="shared" si="253"/>
        <v>0</v>
      </c>
      <c r="P1644">
        <f t="shared" si="254"/>
        <v>0</v>
      </c>
      <c r="Q1644">
        <f t="shared" si="255"/>
        <v>0</v>
      </c>
      <c r="R1644">
        <f t="shared" si="256"/>
        <v>0</v>
      </c>
      <c r="S1644">
        <f t="shared" si="257"/>
        <v>0</v>
      </c>
      <c r="T1644">
        <f t="shared" si="259"/>
        <v>0</v>
      </c>
      <c r="U1644">
        <f t="shared" si="258"/>
        <v>0</v>
      </c>
    </row>
    <row r="1645" spans="1:21" x14ac:dyDescent="0.25">
      <c r="A1645" s="99">
        <v>1644</v>
      </c>
      <c r="B1645" s="10">
        <v>1013</v>
      </c>
      <c r="C1645" s="43" t="s">
        <v>184</v>
      </c>
      <c r="D1645" s="80">
        <v>7.0000000000000007E-2</v>
      </c>
      <c r="E1645">
        <v>1530.61</v>
      </c>
      <c r="F1645">
        <v>1.84</v>
      </c>
      <c r="G1645">
        <v>18.850000000000001</v>
      </c>
      <c r="H1645">
        <v>4.34</v>
      </c>
      <c r="I1645">
        <v>445.27</v>
      </c>
      <c r="J1645" t="s">
        <v>583</v>
      </c>
      <c r="K1645">
        <v>1.48</v>
      </c>
      <c r="L1645">
        <f t="shared" si="250"/>
        <v>0</v>
      </c>
      <c r="M1645">
        <f t="shared" si="251"/>
        <v>0</v>
      </c>
      <c r="N1645">
        <f t="shared" si="252"/>
        <v>0</v>
      </c>
      <c r="O1645">
        <f t="shared" si="253"/>
        <v>0</v>
      </c>
      <c r="P1645">
        <f t="shared" si="254"/>
        <v>0</v>
      </c>
      <c r="Q1645">
        <f t="shared" si="255"/>
        <v>0</v>
      </c>
      <c r="R1645">
        <f t="shared" si="256"/>
        <v>0</v>
      </c>
      <c r="S1645">
        <f t="shared" si="257"/>
        <v>0</v>
      </c>
      <c r="T1645">
        <f t="shared" si="259"/>
        <v>0</v>
      </c>
      <c r="U1645">
        <f t="shared" si="258"/>
        <v>0</v>
      </c>
    </row>
    <row r="1646" spans="1:21" x14ac:dyDescent="0.25">
      <c r="A1646" s="99">
        <v>1645</v>
      </c>
      <c r="B1646" s="10">
        <v>1013</v>
      </c>
      <c r="C1646" s="43" t="s">
        <v>187</v>
      </c>
      <c r="D1646">
        <v>2.29</v>
      </c>
      <c r="E1646">
        <v>2858.72</v>
      </c>
      <c r="F1646">
        <v>21.69</v>
      </c>
      <c r="G1646">
        <v>26.5</v>
      </c>
      <c r="H1646">
        <v>114.35</v>
      </c>
      <c r="I1646" s="80">
        <v>4713.2</v>
      </c>
      <c r="J1646">
        <v>8.74</v>
      </c>
      <c r="K1646">
        <v>154.86000000000001</v>
      </c>
      <c r="L1646">
        <f t="shared" si="250"/>
        <v>0</v>
      </c>
      <c r="M1646">
        <f t="shared" si="251"/>
        <v>0</v>
      </c>
      <c r="N1646">
        <f t="shared" si="252"/>
        <v>0</v>
      </c>
      <c r="O1646">
        <f t="shared" si="253"/>
        <v>0</v>
      </c>
      <c r="P1646">
        <f t="shared" si="254"/>
        <v>0</v>
      </c>
      <c r="Q1646">
        <f t="shared" si="255"/>
        <v>0</v>
      </c>
      <c r="R1646">
        <f t="shared" si="256"/>
        <v>0</v>
      </c>
      <c r="S1646">
        <f t="shared" si="257"/>
        <v>0</v>
      </c>
      <c r="T1646">
        <f t="shared" si="259"/>
        <v>0</v>
      </c>
      <c r="U1646">
        <f t="shared" si="258"/>
        <v>0</v>
      </c>
    </row>
    <row r="1647" spans="1:21" x14ac:dyDescent="0.25">
      <c r="A1647" s="99">
        <v>1646</v>
      </c>
      <c r="B1647" s="10">
        <v>1013</v>
      </c>
      <c r="C1647" s="43" t="s">
        <v>189</v>
      </c>
      <c r="D1647">
        <v>1.39</v>
      </c>
      <c r="E1647">
        <v>1518.67</v>
      </c>
      <c r="F1647">
        <v>1.38</v>
      </c>
      <c r="G1647">
        <v>11.95</v>
      </c>
      <c r="H1647">
        <v>86.53</v>
      </c>
      <c r="I1647">
        <v>477.16</v>
      </c>
      <c r="J1647">
        <v>2.38</v>
      </c>
      <c r="K1647">
        <v>168.18</v>
      </c>
      <c r="L1647">
        <f t="shared" si="250"/>
        <v>0</v>
      </c>
      <c r="M1647">
        <f t="shared" si="251"/>
        <v>0</v>
      </c>
      <c r="N1647">
        <f t="shared" si="252"/>
        <v>0</v>
      </c>
      <c r="O1647">
        <f t="shared" si="253"/>
        <v>0</v>
      </c>
      <c r="P1647">
        <f t="shared" si="254"/>
        <v>0</v>
      </c>
      <c r="Q1647">
        <f t="shared" si="255"/>
        <v>0</v>
      </c>
      <c r="R1647">
        <f t="shared" si="256"/>
        <v>0</v>
      </c>
      <c r="S1647">
        <f t="shared" si="257"/>
        <v>0</v>
      </c>
      <c r="T1647">
        <f t="shared" si="259"/>
        <v>0</v>
      </c>
      <c r="U1647">
        <f t="shared" si="258"/>
        <v>0</v>
      </c>
    </row>
    <row r="1648" spans="1:21" x14ac:dyDescent="0.25">
      <c r="A1648" s="99">
        <v>1647</v>
      </c>
      <c r="B1648" s="10">
        <v>1014</v>
      </c>
      <c r="C1648" s="43" t="s">
        <v>181</v>
      </c>
      <c r="D1648">
        <v>20.34</v>
      </c>
      <c r="E1648" s="80">
        <v>159589.45000000001</v>
      </c>
      <c r="F1648">
        <v>1.2</v>
      </c>
      <c r="G1648">
        <v>67.709999999999994</v>
      </c>
      <c r="H1648">
        <v>15.36</v>
      </c>
      <c r="I1648">
        <v>236.75</v>
      </c>
      <c r="J1648">
        <v>39.79</v>
      </c>
      <c r="K1648">
        <v>63.94</v>
      </c>
      <c r="L1648">
        <f t="shared" si="250"/>
        <v>0</v>
      </c>
      <c r="M1648">
        <f t="shared" si="251"/>
        <v>0</v>
      </c>
      <c r="N1648">
        <f t="shared" si="252"/>
        <v>0</v>
      </c>
      <c r="O1648">
        <f t="shared" si="253"/>
        <v>0</v>
      </c>
      <c r="P1648">
        <f t="shared" si="254"/>
        <v>0</v>
      </c>
      <c r="Q1648">
        <f t="shared" si="255"/>
        <v>0</v>
      </c>
      <c r="R1648">
        <f t="shared" si="256"/>
        <v>0</v>
      </c>
      <c r="S1648">
        <f t="shared" si="257"/>
        <v>0</v>
      </c>
      <c r="T1648">
        <f t="shared" si="259"/>
        <v>0</v>
      </c>
      <c r="U1648">
        <f t="shared" si="258"/>
        <v>0</v>
      </c>
    </row>
    <row r="1649" spans="1:21" x14ac:dyDescent="0.25">
      <c r="A1649" s="99">
        <v>1648</v>
      </c>
      <c r="B1649" s="10">
        <v>1014</v>
      </c>
      <c r="C1649" s="43" t="s">
        <v>183</v>
      </c>
      <c r="D1649">
        <v>27.42</v>
      </c>
      <c r="E1649" s="80">
        <v>49497.15</v>
      </c>
      <c r="F1649">
        <v>543.26</v>
      </c>
      <c r="G1649">
        <v>117.2</v>
      </c>
      <c r="H1649">
        <v>2168.2199999999998</v>
      </c>
      <c r="I1649" s="80">
        <v>18859.88</v>
      </c>
      <c r="J1649">
        <v>66.61</v>
      </c>
      <c r="K1649">
        <v>2617.88</v>
      </c>
      <c r="L1649">
        <f t="shared" si="250"/>
        <v>0</v>
      </c>
      <c r="M1649">
        <f t="shared" si="251"/>
        <v>0</v>
      </c>
      <c r="N1649">
        <f t="shared" si="252"/>
        <v>0</v>
      </c>
      <c r="O1649">
        <f t="shared" si="253"/>
        <v>0</v>
      </c>
      <c r="P1649">
        <f t="shared" si="254"/>
        <v>0</v>
      </c>
      <c r="Q1649">
        <f t="shared" si="255"/>
        <v>0</v>
      </c>
      <c r="R1649">
        <f t="shared" si="256"/>
        <v>0</v>
      </c>
      <c r="S1649">
        <f t="shared" si="257"/>
        <v>0</v>
      </c>
      <c r="T1649">
        <f t="shared" si="259"/>
        <v>0</v>
      </c>
      <c r="U1649">
        <f t="shared" si="258"/>
        <v>0</v>
      </c>
    </row>
    <row r="1650" spans="1:21" x14ac:dyDescent="0.25">
      <c r="A1650" s="99">
        <v>1649</v>
      </c>
      <c r="B1650" s="10">
        <v>1014</v>
      </c>
      <c r="C1650" s="43" t="s">
        <v>186</v>
      </c>
      <c r="D1650">
        <v>35.020000000000003</v>
      </c>
      <c r="E1650" s="80">
        <v>69190.539999999994</v>
      </c>
      <c r="F1650">
        <v>2328.5500000000002</v>
      </c>
      <c r="G1650">
        <v>192.8</v>
      </c>
      <c r="H1650">
        <v>9360.15</v>
      </c>
      <c r="I1650" s="80">
        <v>19967.27</v>
      </c>
      <c r="J1650">
        <v>103.43</v>
      </c>
      <c r="K1650">
        <v>6750.7</v>
      </c>
      <c r="L1650">
        <f t="shared" si="250"/>
        <v>0</v>
      </c>
      <c r="M1650">
        <f t="shared" si="251"/>
        <v>0</v>
      </c>
      <c r="N1650">
        <f t="shared" si="252"/>
        <v>0</v>
      </c>
      <c r="O1650">
        <f t="shared" si="253"/>
        <v>0</v>
      </c>
      <c r="P1650">
        <f t="shared" si="254"/>
        <v>0</v>
      </c>
      <c r="Q1650">
        <f t="shared" si="255"/>
        <v>0</v>
      </c>
      <c r="R1650">
        <f t="shared" si="256"/>
        <v>0</v>
      </c>
      <c r="S1650">
        <f t="shared" si="257"/>
        <v>0</v>
      </c>
      <c r="T1650">
        <f t="shared" si="259"/>
        <v>0</v>
      </c>
      <c r="U1650">
        <f t="shared" si="258"/>
        <v>0</v>
      </c>
    </row>
    <row r="1651" spans="1:21" x14ac:dyDescent="0.25">
      <c r="A1651" s="99">
        <v>1650</v>
      </c>
      <c r="B1651" s="10">
        <v>1014</v>
      </c>
      <c r="C1651" s="43" t="s">
        <v>188</v>
      </c>
      <c r="D1651">
        <v>43.08</v>
      </c>
      <c r="E1651" s="80">
        <v>140146.99</v>
      </c>
      <c r="F1651">
        <v>957.85</v>
      </c>
      <c r="G1651">
        <v>192.8</v>
      </c>
      <c r="H1651" s="80">
        <v>19892.77</v>
      </c>
      <c r="I1651" s="80">
        <v>18926.18</v>
      </c>
      <c r="J1651">
        <v>147.19999999999999</v>
      </c>
      <c r="K1651" s="89" t="s">
        <v>582</v>
      </c>
      <c r="L1651">
        <f t="shared" si="250"/>
        <v>0</v>
      </c>
      <c r="M1651">
        <f t="shared" si="251"/>
        <v>0</v>
      </c>
      <c r="N1651">
        <f t="shared" si="252"/>
        <v>0</v>
      </c>
      <c r="O1651">
        <f t="shared" si="253"/>
        <v>0</v>
      </c>
      <c r="P1651">
        <f t="shared" si="254"/>
        <v>0</v>
      </c>
      <c r="Q1651">
        <f t="shared" si="255"/>
        <v>0</v>
      </c>
      <c r="R1651">
        <f t="shared" si="256"/>
        <v>0</v>
      </c>
      <c r="S1651">
        <f t="shared" si="257"/>
        <v>1</v>
      </c>
      <c r="T1651">
        <f t="shared" si="259"/>
        <v>1</v>
      </c>
      <c r="U1651">
        <f t="shared" si="258"/>
        <v>1</v>
      </c>
    </row>
    <row r="1652" spans="1:21" x14ac:dyDescent="0.25">
      <c r="A1652" s="99">
        <v>1651</v>
      </c>
      <c r="B1652" s="10">
        <v>1014</v>
      </c>
      <c r="C1652" s="43" t="s">
        <v>182</v>
      </c>
      <c r="D1652" s="80">
        <v>7.0000000000000007E-2</v>
      </c>
      <c r="E1652">
        <v>675.89</v>
      </c>
      <c r="F1652">
        <v>0.05</v>
      </c>
      <c r="G1652">
        <v>5.97</v>
      </c>
      <c r="H1652" t="s">
        <v>583</v>
      </c>
      <c r="I1652">
        <v>4.5</v>
      </c>
      <c r="J1652" s="80">
        <v>0.73</v>
      </c>
      <c r="K1652">
        <v>0.18</v>
      </c>
      <c r="L1652">
        <f t="shared" si="250"/>
        <v>0</v>
      </c>
      <c r="M1652">
        <f t="shared" si="251"/>
        <v>0</v>
      </c>
      <c r="N1652">
        <f t="shared" si="252"/>
        <v>0</v>
      </c>
      <c r="O1652">
        <f t="shared" si="253"/>
        <v>0</v>
      </c>
      <c r="P1652">
        <f t="shared" si="254"/>
        <v>0</v>
      </c>
      <c r="Q1652">
        <f t="shared" si="255"/>
        <v>0</v>
      </c>
      <c r="R1652">
        <f t="shared" si="256"/>
        <v>0</v>
      </c>
      <c r="S1652">
        <f t="shared" si="257"/>
        <v>0</v>
      </c>
      <c r="T1652">
        <f t="shared" si="259"/>
        <v>0</v>
      </c>
      <c r="U1652">
        <f t="shared" si="258"/>
        <v>0</v>
      </c>
    </row>
    <row r="1653" spans="1:21" x14ac:dyDescent="0.25">
      <c r="A1653" s="99">
        <v>1652</v>
      </c>
      <c r="B1653" s="10">
        <v>1014</v>
      </c>
      <c r="C1653" s="43" t="s">
        <v>184</v>
      </c>
      <c r="D1653">
        <v>23.81</v>
      </c>
      <c r="E1653">
        <v>19010.900000000001</v>
      </c>
      <c r="F1653">
        <v>109.54</v>
      </c>
      <c r="G1653">
        <v>117.2</v>
      </c>
      <c r="H1653">
        <v>11228.56</v>
      </c>
      <c r="I1653" s="80">
        <v>16479.82</v>
      </c>
      <c r="J1653">
        <v>52.86</v>
      </c>
      <c r="K1653">
        <v>3105.44</v>
      </c>
      <c r="L1653">
        <f t="shared" si="250"/>
        <v>0</v>
      </c>
      <c r="M1653">
        <f t="shared" si="251"/>
        <v>0</v>
      </c>
      <c r="N1653">
        <f t="shared" si="252"/>
        <v>0</v>
      </c>
      <c r="O1653">
        <f t="shared" si="253"/>
        <v>0</v>
      </c>
      <c r="P1653">
        <f t="shared" si="254"/>
        <v>0</v>
      </c>
      <c r="Q1653">
        <f t="shared" si="255"/>
        <v>0</v>
      </c>
      <c r="R1653">
        <f t="shared" si="256"/>
        <v>0</v>
      </c>
      <c r="S1653">
        <f t="shared" si="257"/>
        <v>0</v>
      </c>
      <c r="T1653">
        <f t="shared" si="259"/>
        <v>0</v>
      </c>
      <c r="U1653">
        <f t="shared" si="258"/>
        <v>0</v>
      </c>
    </row>
    <row r="1654" spans="1:21" x14ac:dyDescent="0.25">
      <c r="A1654" s="99">
        <v>1653</v>
      </c>
      <c r="B1654" s="10">
        <v>1014</v>
      </c>
      <c r="C1654" s="43" t="s">
        <v>187</v>
      </c>
      <c r="D1654">
        <v>47.27</v>
      </c>
      <c r="E1654">
        <v>16934.21</v>
      </c>
      <c r="F1654">
        <v>126.41</v>
      </c>
      <c r="G1654">
        <v>94.34</v>
      </c>
      <c r="H1654">
        <v>13214.39</v>
      </c>
      <c r="I1654" s="80">
        <v>14612.34</v>
      </c>
      <c r="J1654">
        <v>66.61</v>
      </c>
      <c r="K1654">
        <v>6217.01</v>
      </c>
      <c r="L1654">
        <f t="shared" si="250"/>
        <v>0</v>
      </c>
      <c r="M1654">
        <f t="shared" si="251"/>
        <v>0</v>
      </c>
      <c r="N1654">
        <f t="shared" si="252"/>
        <v>0</v>
      </c>
      <c r="O1654">
        <f t="shared" si="253"/>
        <v>0</v>
      </c>
      <c r="P1654">
        <f t="shared" si="254"/>
        <v>0</v>
      </c>
      <c r="Q1654">
        <f t="shared" si="255"/>
        <v>0</v>
      </c>
      <c r="R1654">
        <f t="shared" si="256"/>
        <v>0</v>
      </c>
      <c r="S1654">
        <f t="shared" si="257"/>
        <v>0</v>
      </c>
      <c r="T1654">
        <f t="shared" si="259"/>
        <v>0</v>
      </c>
      <c r="U1654">
        <f t="shared" si="258"/>
        <v>0</v>
      </c>
    </row>
    <row r="1655" spans="1:21" x14ac:dyDescent="0.25">
      <c r="A1655" s="99">
        <v>1654</v>
      </c>
      <c r="B1655" s="10">
        <v>1014</v>
      </c>
      <c r="C1655" s="43" t="s">
        <v>189</v>
      </c>
      <c r="D1655">
        <v>17.02</v>
      </c>
      <c r="E1655">
        <v>9681.01</v>
      </c>
      <c r="F1655">
        <v>17.66</v>
      </c>
      <c r="G1655">
        <v>83.42</v>
      </c>
      <c r="H1655">
        <v>6375.83</v>
      </c>
      <c r="I1655" s="80">
        <v>10619.96</v>
      </c>
      <c r="J1655">
        <v>57.94</v>
      </c>
      <c r="K1655">
        <v>7811.29</v>
      </c>
      <c r="L1655">
        <f t="shared" si="250"/>
        <v>0</v>
      </c>
      <c r="M1655">
        <f t="shared" si="251"/>
        <v>0</v>
      </c>
      <c r="N1655">
        <f t="shared" si="252"/>
        <v>0</v>
      </c>
      <c r="O1655">
        <f t="shared" si="253"/>
        <v>0</v>
      </c>
      <c r="P1655">
        <f t="shared" si="254"/>
        <v>0</v>
      </c>
      <c r="Q1655">
        <f t="shared" si="255"/>
        <v>0</v>
      </c>
      <c r="R1655">
        <f t="shared" si="256"/>
        <v>0</v>
      </c>
      <c r="S1655">
        <f t="shared" si="257"/>
        <v>0</v>
      </c>
      <c r="T1655">
        <f t="shared" si="259"/>
        <v>0</v>
      </c>
      <c r="U1655">
        <f t="shared" si="258"/>
        <v>0</v>
      </c>
    </row>
    <row r="1656" spans="1:21" x14ac:dyDescent="0.25">
      <c r="A1656" s="99">
        <v>1655</v>
      </c>
      <c r="B1656" s="10">
        <v>1059</v>
      </c>
      <c r="C1656" s="43" t="s">
        <v>162</v>
      </c>
      <c r="D1656" t="s">
        <v>583</v>
      </c>
      <c r="E1656">
        <v>709.35</v>
      </c>
      <c r="F1656">
        <v>0.22</v>
      </c>
      <c r="G1656">
        <v>5.97</v>
      </c>
      <c r="H1656">
        <v>0.12</v>
      </c>
      <c r="I1656">
        <v>13.48</v>
      </c>
      <c r="J1656" t="s">
        <v>583</v>
      </c>
      <c r="K1656">
        <v>0.91</v>
      </c>
      <c r="L1656">
        <f t="shared" si="250"/>
        <v>0</v>
      </c>
      <c r="M1656">
        <f t="shared" si="251"/>
        <v>0</v>
      </c>
      <c r="N1656">
        <f t="shared" si="252"/>
        <v>0</v>
      </c>
      <c r="O1656">
        <f t="shared" si="253"/>
        <v>0</v>
      </c>
      <c r="P1656">
        <f t="shared" si="254"/>
        <v>0</v>
      </c>
      <c r="Q1656">
        <f t="shared" si="255"/>
        <v>0</v>
      </c>
      <c r="R1656">
        <f t="shared" si="256"/>
        <v>0</v>
      </c>
      <c r="S1656">
        <f t="shared" si="257"/>
        <v>0</v>
      </c>
      <c r="T1656">
        <f t="shared" si="259"/>
        <v>0</v>
      </c>
      <c r="U1656">
        <f t="shared" si="258"/>
        <v>0</v>
      </c>
    </row>
    <row r="1657" spans="1:21" x14ac:dyDescent="0.25">
      <c r="A1657" s="99">
        <v>1656</v>
      </c>
      <c r="B1657" s="10">
        <v>1059</v>
      </c>
      <c r="C1657" s="43" t="s">
        <v>170</v>
      </c>
      <c r="D1657">
        <v>9.4700000000000006</v>
      </c>
      <c r="E1657">
        <v>9089.74</v>
      </c>
      <c r="F1657">
        <v>73.92</v>
      </c>
      <c r="G1657">
        <v>62.67</v>
      </c>
      <c r="H1657">
        <v>453.46</v>
      </c>
      <c r="I1657" s="80">
        <v>9275.76</v>
      </c>
      <c r="J1657">
        <v>18.98</v>
      </c>
      <c r="K1657">
        <v>485.66</v>
      </c>
      <c r="L1657">
        <f t="shared" si="250"/>
        <v>0</v>
      </c>
      <c r="M1657">
        <f t="shared" si="251"/>
        <v>0</v>
      </c>
      <c r="N1657">
        <f t="shared" si="252"/>
        <v>0</v>
      </c>
      <c r="O1657">
        <f t="shared" si="253"/>
        <v>0</v>
      </c>
      <c r="P1657">
        <f t="shared" si="254"/>
        <v>0</v>
      </c>
      <c r="Q1657">
        <f t="shared" si="255"/>
        <v>0</v>
      </c>
      <c r="R1657">
        <f t="shared" si="256"/>
        <v>0</v>
      </c>
      <c r="S1657">
        <f t="shared" si="257"/>
        <v>0</v>
      </c>
      <c r="T1657">
        <f t="shared" si="259"/>
        <v>0</v>
      </c>
      <c r="U1657">
        <f t="shared" si="258"/>
        <v>0</v>
      </c>
    </row>
    <row r="1658" spans="1:21" x14ac:dyDescent="0.25">
      <c r="A1658" s="99">
        <v>1657</v>
      </c>
      <c r="B1658" s="10">
        <v>1059</v>
      </c>
      <c r="C1658" s="43" t="s">
        <v>178</v>
      </c>
      <c r="D1658">
        <v>13.86</v>
      </c>
      <c r="E1658">
        <v>8578.3700000000008</v>
      </c>
      <c r="F1658">
        <v>654.99</v>
      </c>
      <c r="G1658">
        <v>62.67</v>
      </c>
      <c r="H1658">
        <v>2418.6999999999998</v>
      </c>
      <c r="I1658" s="80">
        <v>13625.77</v>
      </c>
      <c r="J1658">
        <v>27.52</v>
      </c>
      <c r="K1658">
        <v>1121.3</v>
      </c>
      <c r="L1658">
        <f t="shared" si="250"/>
        <v>0</v>
      </c>
      <c r="M1658">
        <f t="shared" si="251"/>
        <v>0</v>
      </c>
      <c r="N1658">
        <f t="shared" si="252"/>
        <v>0</v>
      </c>
      <c r="O1658">
        <f t="shared" si="253"/>
        <v>0</v>
      </c>
      <c r="P1658">
        <f t="shared" si="254"/>
        <v>0</v>
      </c>
      <c r="Q1658">
        <f t="shared" si="255"/>
        <v>0</v>
      </c>
      <c r="R1658">
        <f t="shared" si="256"/>
        <v>0</v>
      </c>
      <c r="S1658">
        <f t="shared" si="257"/>
        <v>0</v>
      </c>
      <c r="T1658">
        <f t="shared" si="259"/>
        <v>0</v>
      </c>
      <c r="U1658">
        <f t="shared" si="258"/>
        <v>0</v>
      </c>
    </row>
    <row r="1659" spans="1:21" x14ac:dyDescent="0.25">
      <c r="A1659" s="99">
        <v>1658</v>
      </c>
      <c r="B1659" s="10">
        <v>1059</v>
      </c>
      <c r="C1659" s="43" t="s">
        <v>163</v>
      </c>
      <c r="D1659">
        <v>23.81</v>
      </c>
      <c r="E1659">
        <v>9179.69</v>
      </c>
      <c r="F1659">
        <v>185.52</v>
      </c>
      <c r="G1659">
        <v>105.61</v>
      </c>
      <c r="H1659">
        <v>4805.13</v>
      </c>
      <c r="I1659" s="80">
        <v>14769.82</v>
      </c>
      <c r="J1659">
        <v>56.23</v>
      </c>
      <c r="K1659">
        <v>7965.08</v>
      </c>
      <c r="L1659">
        <f t="shared" si="250"/>
        <v>0</v>
      </c>
      <c r="M1659">
        <f t="shared" si="251"/>
        <v>0</v>
      </c>
      <c r="N1659">
        <f t="shared" si="252"/>
        <v>0</v>
      </c>
      <c r="O1659">
        <f t="shared" si="253"/>
        <v>0</v>
      </c>
      <c r="P1659">
        <f t="shared" si="254"/>
        <v>0</v>
      </c>
      <c r="Q1659">
        <f t="shared" si="255"/>
        <v>0</v>
      </c>
      <c r="R1659">
        <f t="shared" si="256"/>
        <v>0</v>
      </c>
      <c r="S1659">
        <f t="shared" si="257"/>
        <v>0</v>
      </c>
      <c r="T1659">
        <f t="shared" si="259"/>
        <v>0</v>
      </c>
      <c r="U1659">
        <f t="shared" si="258"/>
        <v>0</v>
      </c>
    </row>
    <row r="1660" spans="1:21" x14ac:dyDescent="0.25">
      <c r="A1660" s="99">
        <v>1659</v>
      </c>
      <c r="B1660" s="10">
        <v>1059</v>
      </c>
      <c r="C1660" s="43" t="s">
        <v>181</v>
      </c>
      <c r="D1660">
        <v>5.56</v>
      </c>
      <c r="E1660">
        <v>9712.1200000000008</v>
      </c>
      <c r="F1660">
        <v>0.64</v>
      </c>
      <c r="G1660">
        <v>18.850000000000001</v>
      </c>
      <c r="H1660">
        <v>7.79</v>
      </c>
      <c r="I1660">
        <v>459.18</v>
      </c>
      <c r="J1660">
        <v>7.58</v>
      </c>
      <c r="K1660">
        <v>29.27</v>
      </c>
      <c r="L1660">
        <f t="shared" si="250"/>
        <v>0</v>
      </c>
      <c r="M1660">
        <f t="shared" si="251"/>
        <v>0</v>
      </c>
      <c r="N1660">
        <f t="shared" si="252"/>
        <v>0</v>
      </c>
      <c r="O1660">
        <f t="shared" si="253"/>
        <v>0</v>
      </c>
      <c r="P1660">
        <f t="shared" si="254"/>
        <v>0</v>
      </c>
      <c r="Q1660">
        <f t="shared" si="255"/>
        <v>0</v>
      </c>
      <c r="R1660">
        <f t="shared" si="256"/>
        <v>0</v>
      </c>
      <c r="S1660">
        <f t="shared" si="257"/>
        <v>0</v>
      </c>
      <c r="T1660">
        <f t="shared" si="259"/>
        <v>0</v>
      </c>
      <c r="U1660">
        <f t="shared" si="258"/>
        <v>0</v>
      </c>
    </row>
    <row r="1661" spans="1:21" x14ac:dyDescent="0.25">
      <c r="A1661" s="99">
        <v>1660</v>
      </c>
      <c r="B1661" s="10">
        <v>1059</v>
      </c>
      <c r="C1661" s="43" t="s">
        <v>183</v>
      </c>
      <c r="D1661">
        <v>23.81</v>
      </c>
      <c r="E1661" s="80">
        <v>30365.59</v>
      </c>
      <c r="F1661">
        <v>321.35000000000002</v>
      </c>
      <c r="G1661">
        <v>88.83</v>
      </c>
      <c r="H1661">
        <v>1693.38</v>
      </c>
      <c r="I1661" s="80">
        <v>17946.919999999998</v>
      </c>
      <c r="J1661">
        <v>56.23</v>
      </c>
      <c r="K1661">
        <v>3511.31</v>
      </c>
      <c r="L1661">
        <f t="shared" si="250"/>
        <v>0</v>
      </c>
      <c r="M1661">
        <f t="shared" si="251"/>
        <v>0</v>
      </c>
      <c r="N1661">
        <f t="shared" si="252"/>
        <v>0</v>
      </c>
      <c r="O1661">
        <f t="shared" si="253"/>
        <v>0</v>
      </c>
      <c r="P1661">
        <f t="shared" si="254"/>
        <v>0</v>
      </c>
      <c r="Q1661">
        <f t="shared" si="255"/>
        <v>0</v>
      </c>
      <c r="R1661">
        <f t="shared" si="256"/>
        <v>0</v>
      </c>
      <c r="S1661">
        <f t="shared" si="257"/>
        <v>0</v>
      </c>
      <c r="T1661">
        <f t="shared" si="259"/>
        <v>0</v>
      </c>
      <c r="U1661">
        <f t="shared" si="258"/>
        <v>0</v>
      </c>
    </row>
    <row r="1662" spans="1:21" x14ac:dyDescent="0.25">
      <c r="A1662" s="99">
        <v>1661</v>
      </c>
      <c r="B1662" s="10">
        <v>1059</v>
      </c>
      <c r="C1662" s="43" t="s">
        <v>186</v>
      </c>
      <c r="D1662">
        <v>25.6</v>
      </c>
      <c r="E1662" s="80">
        <v>30502.95</v>
      </c>
      <c r="F1662">
        <v>1523.81</v>
      </c>
      <c r="G1662">
        <v>135.16999999999999</v>
      </c>
      <c r="H1662">
        <v>6992.71</v>
      </c>
      <c r="I1662" s="80">
        <v>18419.330000000002</v>
      </c>
      <c r="J1662">
        <v>70.14</v>
      </c>
      <c r="K1662">
        <v>5255.4</v>
      </c>
      <c r="L1662">
        <f t="shared" si="250"/>
        <v>0</v>
      </c>
      <c r="M1662">
        <f t="shared" si="251"/>
        <v>0</v>
      </c>
      <c r="N1662">
        <f t="shared" si="252"/>
        <v>0</v>
      </c>
      <c r="O1662">
        <f t="shared" si="253"/>
        <v>0</v>
      </c>
      <c r="P1662">
        <f t="shared" si="254"/>
        <v>0</v>
      </c>
      <c r="Q1662">
        <f t="shared" si="255"/>
        <v>0</v>
      </c>
      <c r="R1662">
        <f t="shared" si="256"/>
        <v>0</v>
      </c>
      <c r="S1662">
        <f t="shared" si="257"/>
        <v>0</v>
      </c>
      <c r="T1662">
        <f t="shared" si="259"/>
        <v>0</v>
      </c>
      <c r="U1662">
        <f t="shared" si="258"/>
        <v>0</v>
      </c>
    </row>
    <row r="1663" spans="1:21" x14ac:dyDescent="0.25">
      <c r="A1663" s="99">
        <v>1662</v>
      </c>
      <c r="B1663" s="10">
        <v>1059</v>
      </c>
      <c r="C1663" s="43" t="s">
        <v>188</v>
      </c>
      <c r="D1663">
        <v>25.6</v>
      </c>
      <c r="E1663">
        <v>23572.959999999999</v>
      </c>
      <c r="F1663">
        <v>117.19</v>
      </c>
      <c r="G1663">
        <v>105.61</v>
      </c>
      <c r="H1663">
        <v>2994.71</v>
      </c>
      <c r="I1663" s="80">
        <v>15058.64</v>
      </c>
      <c r="J1663">
        <v>64.86</v>
      </c>
      <c r="K1663">
        <v>6074.42</v>
      </c>
      <c r="L1663">
        <f t="shared" si="250"/>
        <v>0</v>
      </c>
      <c r="M1663">
        <f t="shared" si="251"/>
        <v>0</v>
      </c>
      <c r="N1663">
        <f t="shared" si="252"/>
        <v>0</v>
      </c>
      <c r="O1663">
        <f t="shared" si="253"/>
        <v>0</v>
      </c>
      <c r="P1663">
        <f t="shared" si="254"/>
        <v>0</v>
      </c>
      <c r="Q1663">
        <f t="shared" si="255"/>
        <v>0</v>
      </c>
      <c r="R1663">
        <f t="shared" si="256"/>
        <v>0</v>
      </c>
      <c r="S1663">
        <f t="shared" si="257"/>
        <v>0</v>
      </c>
      <c r="T1663">
        <f t="shared" si="259"/>
        <v>0</v>
      </c>
      <c r="U1663">
        <f t="shared" si="258"/>
        <v>0</v>
      </c>
    </row>
    <row r="1664" spans="1:21" x14ac:dyDescent="0.25">
      <c r="A1664" s="99">
        <v>1663</v>
      </c>
      <c r="B1664" s="10">
        <v>1059</v>
      </c>
      <c r="C1664" s="43" t="s">
        <v>182</v>
      </c>
      <c r="D1664" s="80">
        <v>7.0000000000000007E-2</v>
      </c>
      <c r="E1664">
        <v>293.51</v>
      </c>
      <c r="F1664">
        <v>0.69</v>
      </c>
      <c r="G1664">
        <v>11.95</v>
      </c>
      <c r="H1664">
        <v>2.0499999999999998</v>
      </c>
      <c r="I1664">
        <v>351.83</v>
      </c>
      <c r="J1664" s="80">
        <v>0.73</v>
      </c>
      <c r="K1664">
        <v>0.37</v>
      </c>
      <c r="L1664">
        <f t="shared" si="250"/>
        <v>0</v>
      </c>
      <c r="M1664">
        <f t="shared" si="251"/>
        <v>0</v>
      </c>
      <c r="N1664">
        <f t="shared" si="252"/>
        <v>0</v>
      </c>
      <c r="O1664">
        <f t="shared" si="253"/>
        <v>0</v>
      </c>
      <c r="P1664">
        <f t="shared" si="254"/>
        <v>0</v>
      </c>
      <c r="Q1664">
        <f t="shared" si="255"/>
        <v>0</v>
      </c>
      <c r="R1664">
        <f t="shared" si="256"/>
        <v>0</v>
      </c>
      <c r="S1664">
        <f t="shared" si="257"/>
        <v>0</v>
      </c>
      <c r="T1664">
        <f t="shared" si="259"/>
        <v>0</v>
      </c>
      <c r="U1664">
        <f t="shared" si="258"/>
        <v>0</v>
      </c>
    </row>
    <row r="1665" spans="1:21" x14ac:dyDescent="0.25">
      <c r="A1665" s="99">
        <v>1664</v>
      </c>
      <c r="B1665" s="10">
        <v>1059</v>
      </c>
      <c r="C1665" s="43" t="s">
        <v>184</v>
      </c>
      <c r="D1665">
        <v>6.8</v>
      </c>
      <c r="E1665">
        <v>4756.7</v>
      </c>
      <c r="F1665">
        <v>79.150000000000006</v>
      </c>
      <c r="G1665">
        <v>39.119999999999997</v>
      </c>
      <c r="H1665">
        <v>1681.95</v>
      </c>
      <c r="I1665" s="80">
        <v>9774.34</v>
      </c>
      <c r="J1665">
        <v>18.98</v>
      </c>
      <c r="K1665">
        <v>530.25</v>
      </c>
      <c r="L1665">
        <f t="shared" si="250"/>
        <v>0</v>
      </c>
      <c r="M1665">
        <f t="shared" si="251"/>
        <v>0</v>
      </c>
      <c r="N1665">
        <f t="shared" si="252"/>
        <v>0</v>
      </c>
      <c r="O1665">
        <f t="shared" si="253"/>
        <v>0</v>
      </c>
      <c r="P1665">
        <f t="shared" si="254"/>
        <v>0</v>
      </c>
      <c r="Q1665">
        <f t="shared" si="255"/>
        <v>0</v>
      </c>
      <c r="R1665">
        <f t="shared" si="256"/>
        <v>0</v>
      </c>
      <c r="S1665">
        <f t="shared" si="257"/>
        <v>0</v>
      </c>
      <c r="T1665">
        <f t="shared" si="259"/>
        <v>0</v>
      </c>
      <c r="U1665">
        <f t="shared" si="258"/>
        <v>0</v>
      </c>
    </row>
    <row r="1666" spans="1:21" x14ac:dyDescent="0.25">
      <c r="A1666" s="99">
        <v>1665</v>
      </c>
      <c r="B1666" s="10">
        <v>1059</v>
      </c>
      <c r="C1666" s="43" t="s">
        <v>187</v>
      </c>
      <c r="D1666">
        <v>25.6</v>
      </c>
      <c r="E1666">
        <v>8371.7800000000007</v>
      </c>
      <c r="F1666">
        <v>106.93</v>
      </c>
      <c r="G1666">
        <v>94.34</v>
      </c>
      <c r="H1666">
        <v>6585.75</v>
      </c>
      <c r="I1666" s="80">
        <v>11927.73</v>
      </c>
      <c r="J1666">
        <v>39.79</v>
      </c>
      <c r="K1666">
        <v>3154.67</v>
      </c>
      <c r="L1666">
        <f t="shared" ref="L1666:L1729" si="260">IF(D1666 = "OOR &gt;", 1,0)</f>
        <v>0</v>
      </c>
      <c r="M1666">
        <f t="shared" ref="M1666:M1729" si="261">IF(E1666 = "OOR &gt;", 1,0)</f>
        <v>0</v>
      </c>
      <c r="N1666">
        <f t="shared" ref="N1666:N1729" si="262">IF(F1666 = "OOR &gt;", 1,0)</f>
        <v>0</v>
      </c>
      <c r="O1666">
        <f t="shared" ref="O1666:O1729" si="263">IF(G1666 = "OOR &gt;", 1,0)</f>
        <v>0</v>
      </c>
      <c r="P1666">
        <f t="shared" ref="P1666:P1729" si="264">IF(H1666 = "OOR &gt;", 1,0)</f>
        <v>0</v>
      </c>
      <c r="Q1666">
        <f t="shared" ref="Q1666:Q1729" si="265">IF(I1666 = "OOR &gt;", 1,0)</f>
        <v>0</v>
      </c>
      <c r="R1666">
        <f t="shared" ref="R1666:R1729" si="266">IF(J1666 = "OOR &gt;", 1,0)</f>
        <v>0</v>
      </c>
      <c r="S1666">
        <f t="shared" ref="S1666:S1729" si="267">IF(K1666 = "OOR &gt;", 1,0)</f>
        <v>0</v>
      </c>
      <c r="T1666">
        <f t="shared" si="259"/>
        <v>0</v>
      </c>
      <c r="U1666">
        <f t="shared" ref="U1666:U1729" si="268">IF(T1666 &gt; 0,1,0)</f>
        <v>0</v>
      </c>
    </row>
    <row r="1667" spans="1:21" x14ac:dyDescent="0.25">
      <c r="A1667" s="99">
        <v>1666</v>
      </c>
      <c r="B1667" s="10">
        <v>1059</v>
      </c>
      <c r="C1667" s="43" t="s">
        <v>189</v>
      </c>
      <c r="D1667">
        <v>17.02</v>
      </c>
      <c r="E1667">
        <v>6032.11</v>
      </c>
      <c r="F1667">
        <v>22.34</v>
      </c>
      <c r="G1667">
        <v>83.42</v>
      </c>
      <c r="H1667">
        <v>5649.45</v>
      </c>
      <c r="I1667" s="80">
        <v>8325.66</v>
      </c>
      <c r="J1667">
        <v>33.54</v>
      </c>
      <c r="K1667">
        <v>3819.4</v>
      </c>
      <c r="L1667">
        <f t="shared" si="260"/>
        <v>0</v>
      </c>
      <c r="M1667">
        <f t="shared" si="261"/>
        <v>0</v>
      </c>
      <c r="N1667">
        <f t="shared" si="262"/>
        <v>0</v>
      </c>
      <c r="O1667">
        <f t="shared" si="263"/>
        <v>0</v>
      </c>
      <c r="P1667">
        <f t="shared" si="264"/>
        <v>0</v>
      </c>
      <c r="Q1667">
        <f t="shared" si="265"/>
        <v>0</v>
      </c>
      <c r="R1667">
        <f t="shared" si="266"/>
        <v>0</v>
      </c>
      <c r="S1667">
        <f t="shared" si="267"/>
        <v>0</v>
      </c>
      <c r="T1667">
        <f t="shared" ref="T1667:T1730" si="269">SUMIF(L1667:S1667,"&gt;0")</f>
        <v>0</v>
      </c>
      <c r="U1667">
        <f t="shared" si="268"/>
        <v>0</v>
      </c>
    </row>
    <row r="1668" spans="1:21" x14ac:dyDescent="0.25">
      <c r="A1668" s="99">
        <v>1667</v>
      </c>
      <c r="B1668" s="90" t="s">
        <v>627</v>
      </c>
      <c r="C1668" s="43" t="s">
        <v>181</v>
      </c>
      <c r="D1668">
        <v>17.02</v>
      </c>
      <c r="E1668" s="89" t="s">
        <v>582</v>
      </c>
      <c r="F1668">
        <v>0.94</v>
      </c>
      <c r="G1668">
        <v>67.709999999999994</v>
      </c>
      <c r="H1668">
        <v>18.059999999999999</v>
      </c>
      <c r="I1668">
        <v>35.58</v>
      </c>
      <c r="J1668">
        <v>42.98</v>
      </c>
      <c r="K1668">
        <v>78.22</v>
      </c>
      <c r="L1668">
        <f t="shared" si="260"/>
        <v>0</v>
      </c>
      <c r="M1668">
        <f t="shared" si="261"/>
        <v>1</v>
      </c>
      <c r="N1668">
        <f t="shared" si="262"/>
        <v>0</v>
      </c>
      <c r="O1668">
        <f t="shared" si="263"/>
        <v>0</v>
      </c>
      <c r="P1668">
        <f t="shared" si="264"/>
        <v>0</v>
      </c>
      <c r="Q1668">
        <f t="shared" si="265"/>
        <v>0</v>
      </c>
      <c r="R1668">
        <f t="shared" si="266"/>
        <v>0</v>
      </c>
      <c r="S1668">
        <f t="shared" si="267"/>
        <v>0</v>
      </c>
      <c r="T1668">
        <f t="shared" si="269"/>
        <v>1</v>
      </c>
      <c r="U1668">
        <f t="shared" si="268"/>
        <v>1</v>
      </c>
    </row>
    <row r="1669" spans="1:21" x14ac:dyDescent="0.25">
      <c r="A1669" s="99">
        <v>1668</v>
      </c>
      <c r="B1669" s="90" t="s">
        <v>627</v>
      </c>
      <c r="C1669" s="43" t="s">
        <v>183</v>
      </c>
      <c r="D1669">
        <v>25.6</v>
      </c>
      <c r="E1669" s="80">
        <v>29298.33</v>
      </c>
      <c r="F1669">
        <v>813.03</v>
      </c>
      <c r="G1669">
        <v>94.34</v>
      </c>
      <c r="H1669">
        <v>5825.19</v>
      </c>
      <c r="I1669" s="80">
        <v>17968.91</v>
      </c>
      <c r="J1669">
        <v>70.14</v>
      </c>
      <c r="K1669">
        <v>6088.25</v>
      </c>
      <c r="L1669">
        <f t="shared" si="260"/>
        <v>0</v>
      </c>
      <c r="M1669">
        <f t="shared" si="261"/>
        <v>0</v>
      </c>
      <c r="N1669">
        <f t="shared" si="262"/>
        <v>0</v>
      </c>
      <c r="O1669">
        <f t="shared" si="263"/>
        <v>0</v>
      </c>
      <c r="P1669">
        <f t="shared" si="264"/>
        <v>0</v>
      </c>
      <c r="Q1669">
        <f t="shared" si="265"/>
        <v>0</v>
      </c>
      <c r="R1669">
        <f t="shared" si="266"/>
        <v>0</v>
      </c>
      <c r="S1669">
        <f t="shared" si="267"/>
        <v>0</v>
      </c>
      <c r="T1669">
        <f t="shared" si="269"/>
        <v>0</v>
      </c>
      <c r="U1669">
        <f t="shared" si="268"/>
        <v>0</v>
      </c>
    </row>
    <row r="1670" spans="1:21" x14ac:dyDescent="0.25">
      <c r="A1670" s="98">
        <v>1669</v>
      </c>
      <c r="B1670" s="90" t="s">
        <v>627</v>
      </c>
      <c r="C1670" s="43" t="s">
        <v>186</v>
      </c>
      <c r="D1670">
        <v>36</v>
      </c>
      <c r="E1670">
        <v>21114.62</v>
      </c>
      <c r="F1670">
        <v>1370.5</v>
      </c>
      <c r="G1670">
        <v>132.13</v>
      </c>
      <c r="H1670" s="80">
        <v>17130.3</v>
      </c>
      <c r="I1670" s="80">
        <v>17562.78</v>
      </c>
      <c r="J1670">
        <v>98.66</v>
      </c>
      <c r="K1670" s="80">
        <v>13006.1</v>
      </c>
      <c r="L1670">
        <f t="shared" si="260"/>
        <v>0</v>
      </c>
      <c r="M1670">
        <f t="shared" si="261"/>
        <v>0</v>
      </c>
      <c r="N1670">
        <f t="shared" si="262"/>
        <v>0</v>
      </c>
      <c r="O1670">
        <f t="shared" si="263"/>
        <v>0</v>
      </c>
      <c r="P1670">
        <f t="shared" si="264"/>
        <v>0</v>
      </c>
      <c r="Q1670">
        <f t="shared" si="265"/>
        <v>0</v>
      </c>
      <c r="R1670">
        <f t="shared" si="266"/>
        <v>0</v>
      </c>
      <c r="S1670">
        <f t="shared" si="267"/>
        <v>0</v>
      </c>
      <c r="T1670">
        <f t="shared" si="269"/>
        <v>0</v>
      </c>
      <c r="U1670">
        <f t="shared" si="268"/>
        <v>0</v>
      </c>
    </row>
    <row r="1671" spans="1:21" x14ac:dyDescent="0.25">
      <c r="A1671" s="98">
        <v>1670</v>
      </c>
      <c r="B1671" s="90" t="s">
        <v>627</v>
      </c>
      <c r="C1671" s="43" t="s">
        <v>188</v>
      </c>
      <c r="D1671">
        <v>36</v>
      </c>
      <c r="E1671" s="89" t="s">
        <v>582</v>
      </c>
      <c r="F1671">
        <v>55.03</v>
      </c>
      <c r="G1671">
        <v>163.31</v>
      </c>
      <c r="H1671">
        <v>2582.66</v>
      </c>
      <c r="I1671" s="80">
        <v>9393.06</v>
      </c>
      <c r="J1671">
        <v>110.18</v>
      </c>
      <c r="K1671" s="80">
        <v>11299.48</v>
      </c>
      <c r="L1671">
        <f t="shared" si="260"/>
        <v>0</v>
      </c>
      <c r="M1671">
        <f t="shared" si="261"/>
        <v>1</v>
      </c>
      <c r="N1671">
        <f t="shared" si="262"/>
        <v>0</v>
      </c>
      <c r="O1671">
        <f t="shared" si="263"/>
        <v>0</v>
      </c>
      <c r="P1671">
        <f t="shared" si="264"/>
        <v>0</v>
      </c>
      <c r="Q1671">
        <f t="shared" si="265"/>
        <v>0</v>
      </c>
      <c r="R1671">
        <f t="shared" si="266"/>
        <v>0</v>
      </c>
      <c r="S1671">
        <f t="shared" si="267"/>
        <v>0</v>
      </c>
      <c r="T1671">
        <f t="shared" si="269"/>
        <v>1</v>
      </c>
      <c r="U1671">
        <f t="shared" si="268"/>
        <v>1</v>
      </c>
    </row>
    <row r="1672" spans="1:21" x14ac:dyDescent="0.25">
      <c r="A1672" s="98">
        <v>1671</v>
      </c>
      <c r="B1672" s="90" t="s">
        <v>627</v>
      </c>
      <c r="C1672" s="43" t="s">
        <v>182</v>
      </c>
      <c r="D1672">
        <v>0.99</v>
      </c>
      <c r="E1672">
        <v>619.57000000000005</v>
      </c>
      <c r="F1672" t="s">
        <v>583</v>
      </c>
      <c r="G1672">
        <v>7.37</v>
      </c>
      <c r="H1672">
        <v>0.2</v>
      </c>
      <c r="I1672">
        <v>9.5</v>
      </c>
      <c r="J1672">
        <v>1.94</v>
      </c>
      <c r="K1672">
        <v>0.16</v>
      </c>
      <c r="L1672">
        <f t="shared" si="260"/>
        <v>0</v>
      </c>
      <c r="M1672">
        <f t="shared" si="261"/>
        <v>0</v>
      </c>
      <c r="N1672">
        <f t="shared" si="262"/>
        <v>0</v>
      </c>
      <c r="O1672">
        <f t="shared" si="263"/>
        <v>0</v>
      </c>
      <c r="P1672">
        <f t="shared" si="264"/>
        <v>0</v>
      </c>
      <c r="Q1672">
        <f t="shared" si="265"/>
        <v>0</v>
      </c>
      <c r="R1672">
        <f t="shared" si="266"/>
        <v>0</v>
      </c>
      <c r="S1672">
        <f t="shared" si="267"/>
        <v>0</v>
      </c>
      <c r="T1672">
        <f t="shared" si="269"/>
        <v>0</v>
      </c>
      <c r="U1672">
        <f t="shared" si="268"/>
        <v>0</v>
      </c>
    </row>
    <row r="1673" spans="1:21" x14ac:dyDescent="0.25">
      <c r="A1673" s="98">
        <v>1672</v>
      </c>
      <c r="B1673" s="90" t="s">
        <v>627</v>
      </c>
      <c r="C1673" s="43" t="s">
        <v>184</v>
      </c>
      <c r="D1673">
        <v>6.18</v>
      </c>
      <c r="E1673">
        <v>5034.47</v>
      </c>
      <c r="F1673">
        <v>25.81</v>
      </c>
      <c r="G1673">
        <v>13.6</v>
      </c>
      <c r="H1673">
        <v>2234.37</v>
      </c>
      <c r="I1673" s="80">
        <v>9006.6200000000008</v>
      </c>
      <c r="J1673">
        <v>19.66</v>
      </c>
      <c r="K1673">
        <v>455.66</v>
      </c>
      <c r="L1673">
        <f t="shared" si="260"/>
        <v>0</v>
      </c>
      <c r="M1673">
        <f t="shared" si="261"/>
        <v>0</v>
      </c>
      <c r="N1673">
        <f t="shared" si="262"/>
        <v>0</v>
      </c>
      <c r="O1673">
        <f t="shared" si="263"/>
        <v>0</v>
      </c>
      <c r="P1673">
        <f t="shared" si="264"/>
        <v>0</v>
      </c>
      <c r="Q1673">
        <f t="shared" si="265"/>
        <v>0</v>
      </c>
      <c r="R1673">
        <f t="shared" si="266"/>
        <v>0</v>
      </c>
      <c r="S1673">
        <f t="shared" si="267"/>
        <v>0</v>
      </c>
      <c r="T1673">
        <f t="shared" si="269"/>
        <v>0</v>
      </c>
      <c r="U1673">
        <f t="shared" si="268"/>
        <v>0</v>
      </c>
    </row>
    <row r="1674" spans="1:21" x14ac:dyDescent="0.25">
      <c r="A1674" s="98">
        <v>1673</v>
      </c>
      <c r="B1674" s="90" t="s">
        <v>627</v>
      </c>
      <c r="C1674" s="43" t="s">
        <v>187</v>
      </c>
      <c r="D1674">
        <v>14.64</v>
      </c>
      <c r="E1674">
        <v>9264.1299999999992</v>
      </c>
      <c r="F1674">
        <v>60.93</v>
      </c>
      <c r="G1674">
        <v>36.93</v>
      </c>
      <c r="H1674">
        <v>5563.3</v>
      </c>
      <c r="I1674" s="80">
        <v>8907.2999999999993</v>
      </c>
      <c r="J1674">
        <v>28.26</v>
      </c>
      <c r="K1674">
        <v>1935.44</v>
      </c>
      <c r="L1674">
        <f t="shared" si="260"/>
        <v>0</v>
      </c>
      <c r="M1674">
        <f t="shared" si="261"/>
        <v>0</v>
      </c>
      <c r="N1674">
        <f t="shared" si="262"/>
        <v>0</v>
      </c>
      <c r="O1674">
        <f t="shared" si="263"/>
        <v>0</v>
      </c>
      <c r="P1674">
        <f t="shared" si="264"/>
        <v>0</v>
      </c>
      <c r="Q1674">
        <f t="shared" si="265"/>
        <v>0</v>
      </c>
      <c r="R1674">
        <f t="shared" si="266"/>
        <v>0</v>
      </c>
      <c r="S1674">
        <f t="shared" si="267"/>
        <v>0</v>
      </c>
      <c r="T1674">
        <f t="shared" si="269"/>
        <v>0</v>
      </c>
      <c r="U1674">
        <f t="shared" si="268"/>
        <v>0</v>
      </c>
    </row>
    <row r="1675" spans="1:21" x14ac:dyDescent="0.25">
      <c r="A1675" s="98">
        <v>1674</v>
      </c>
      <c r="B1675" s="90" t="s">
        <v>627</v>
      </c>
      <c r="C1675" s="43" t="s">
        <v>189</v>
      </c>
      <c r="D1675">
        <v>8.11</v>
      </c>
      <c r="E1675">
        <v>8624.67</v>
      </c>
      <c r="F1675">
        <v>13.29</v>
      </c>
      <c r="G1675">
        <v>28.51</v>
      </c>
      <c r="H1675">
        <v>1351.03</v>
      </c>
      <c r="I1675" s="80">
        <v>4902.79</v>
      </c>
      <c r="J1675">
        <v>21.05</v>
      </c>
      <c r="K1675">
        <v>1428.03</v>
      </c>
      <c r="L1675">
        <f t="shared" si="260"/>
        <v>0</v>
      </c>
      <c r="M1675">
        <f t="shared" si="261"/>
        <v>0</v>
      </c>
      <c r="N1675">
        <f t="shared" si="262"/>
        <v>0</v>
      </c>
      <c r="O1675">
        <f t="shared" si="263"/>
        <v>0</v>
      </c>
      <c r="P1675">
        <f t="shared" si="264"/>
        <v>0</v>
      </c>
      <c r="Q1675">
        <f t="shared" si="265"/>
        <v>0</v>
      </c>
      <c r="R1675">
        <f t="shared" si="266"/>
        <v>0</v>
      </c>
      <c r="S1675">
        <f t="shared" si="267"/>
        <v>0</v>
      </c>
      <c r="T1675">
        <f t="shared" si="269"/>
        <v>0</v>
      </c>
      <c r="U1675">
        <f t="shared" si="268"/>
        <v>0</v>
      </c>
    </row>
    <row r="1676" spans="1:21" x14ac:dyDescent="0.25">
      <c r="A1676" s="98">
        <v>1675</v>
      </c>
      <c r="B1676" s="90" t="s">
        <v>610</v>
      </c>
      <c r="C1676" s="43" t="s">
        <v>162</v>
      </c>
      <c r="D1676">
        <v>10.17</v>
      </c>
      <c r="E1676">
        <v>18298.21</v>
      </c>
      <c r="F1676">
        <v>0.54</v>
      </c>
      <c r="G1676">
        <v>50.53</v>
      </c>
      <c r="H1676">
        <v>3.5</v>
      </c>
      <c r="I1676">
        <v>11.22</v>
      </c>
      <c r="J1676">
        <v>15.61</v>
      </c>
      <c r="K1676">
        <v>2.84</v>
      </c>
      <c r="L1676">
        <f t="shared" si="260"/>
        <v>0</v>
      </c>
      <c r="M1676">
        <f t="shared" si="261"/>
        <v>0</v>
      </c>
      <c r="N1676">
        <f t="shared" si="262"/>
        <v>0</v>
      </c>
      <c r="O1676">
        <f t="shared" si="263"/>
        <v>0</v>
      </c>
      <c r="P1676">
        <f t="shared" si="264"/>
        <v>0</v>
      </c>
      <c r="Q1676">
        <f t="shared" si="265"/>
        <v>0</v>
      </c>
      <c r="R1676">
        <f t="shared" si="266"/>
        <v>0</v>
      </c>
      <c r="S1676">
        <f t="shared" si="267"/>
        <v>0</v>
      </c>
      <c r="T1676">
        <f t="shared" si="269"/>
        <v>0</v>
      </c>
      <c r="U1676">
        <f t="shared" si="268"/>
        <v>0</v>
      </c>
    </row>
    <row r="1677" spans="1:21" x14ac:dyDescent="0.25">
      <c r="A1677" s="98">
        <v>1676</v>
      </c>
      <c r="B1677" s="90" t="s">
        <v>610</v>
      </c>
      <c r="C1677" s="43" t="s">
        <v>170</v>
      </c>
      <c r="D1677">
        <v>13.86</v>
      </c>
      <c r="E1677">
        <v>18319.080000000002</v>
      </c>
      <c r="F1677">
        <v>219.39</v>
      </c>
      <c r="G1677">
        <v>75.459999999999994</v>
      </c>
      <c r="H1677">
        <v>729.08</v>
      </c>
      <c r="I1677" s="80">
        <v>7621.15</v>
      </c>
      <c r="J1677">
        <v>29.75</v>
      </c>
      <c r="K1677">
        <v>156.03</v>
      </c>
      <c r="L1677">
        <f t="shared" si="260"/>
        <v>0</v>
      </c>
      <c r="M1677">
        <f t="shared" si="261"/>
        <v>0</v>
      </c>
      <c r="N1677">
        <f t="shared" si="262"/>
        <v>0</v>
      </c>
      <c r="O1677">
        <f t="shared" si="263"/>
        <v>0</v>
      </c>
      <c r="P1677">
        <f t="shared" si="264"/>
        <v>0</v>
      </c>
      <c r="Q1677">
        <f t="shared" si="265"/>
        <v>0</v>
      </c>
      <c r="R1677">
        <f t="shared" si="266"/>
        <v>0</v>
      </c>
      <c r="S1677">
        <f t="shared" si="267"/>
        <v>0</v>
      </c>
      <c r="T1677">
        <f t="shared" si="269"/>
        <v>0</v>
      </c>
      <c r="U1677">
        <f t="shared" si="268"/>
        <v>0</v>
      </c>
    </row>
    <row r="1678" spans="1:21" x14ac:dyDescent="0.25">
      <c r="A1678" s="98">
        <v>1677</v>
      </c>
      <c r="B1678" s="90" t="s">
        <v>610</v>
      </c>
      <c r="C1678" s="43" t="s">
        <v>178</v>
      </c>
      <c r="D1678">
        <v>22.93</v>
      </c>
      <c r="E1678" s="80">
        <v>27284.29</v>
      </c>
      <c r="F1678">
        <v>2196.21</v>
      </c>
      <c r="G1678">
        <v>91.58</v>
      </c>
      <c r="H1678">
        <v>3820.2</v>
      </c>
      <c r="I1678" s="80">
        <v>13642.56</v>
      </c>
      <c r="J1678">
        <v>42.18</v>
      </c>
      <c r="K1678">
        <v>524.35</v>
      </c>
      <c r="L1678">
        <f t="shared" si="260"/>
        <v>0</v>
      </c>
      <c r="M1678">
        <f t="shared" si="261"/>
        <v>0</v>
      </c>
      <c r="N1678">
        <f t="shared" si="262"/>
        <v>0</v>
      </c>
      <c r="O1678">
        <f t="shared" si="263"/>
        <v>0</v>
      </c>
      <c r="P1678">
        <f t="shared" si="264"/>
        <v>0</v>
      </c>
      <c r="Q1678">
        <f t="shared" si="265"/>
        <v>0</v>
      </c>
      <c r="R1678">
        <f t="shared" si="266"/>
        <v>0</v>
      </c>
      <c r="S1678">
        <f t="shared" si="267"/>
        <v>0</v>
      </c>
      <c r="T1678">
        <f t="shared" si="269"/>
        <v>0</v>
      </c>
      <c r="U1678">
        <f t="shared" si="268"/>
        <v>0</v>
      </c>
    </row>
    <row r="1679" spans="1:21" x14ac:dyDescent="0.25">
      <c r="A1679" s="98">
        <v>1678</v>
      </c>
      <c r="B1679" s="90" t="s">
        <v>610</v>
      </c>
      <c r="C1679" s="43" t="s">
        <v>163</v>
      </c>
      <c r="D1679">
        <v>40</v>
      </c>
      <c r="E1679" s="80">
        <v>45339.99</v>
      </c>
      <c r="F1679">
        <v>1405.59</v>
      </c>
      <c r="G1679">
        <v>144.38999999999999</v>
      </c>
      <c r="H1679">
        <v>8768.51</v>
      </c>
      <c r="I1679" s="80">
        <v>13027.75</v>
      </c>
      <c r="J1679">
        <v>80.040000000000006</v>
      </c>
      <c r="K1679" s="80">
        <v>9252.06</v>
      </c>
      <c r="L1679">
        <f t="shared" si="260"/>
        <v>0</v>
      </c>
      <c r="M1679">
        <f t="shared" si="261"/>
        <v>0</v>
      </c>
      <c r="N1679">
        <f t="shared" si="262"/>
        <v>0</v>
      </c>
      <c r="O1679">
        <f t="shared" si="263"/>
        <v>0</v>
      </c>
      <c r="P1679">
        <f t="shared" si="264"/>
        <v>0</v>
      </c>
      <c r="Q1679">
        <f t="shared" si="265"/>
        <v>0</v>
      </c>
      <c r="R1679">
        <f t="shared" si="266"/>
        <v>0</v>
      </c>
      <c r="S1679">
        <f t="shared" si="267"/>
        <v>0</v>
      </c>
      <c r="T1679">
        <f t="shared" si="269"/>
        <v>0</v>
      </c>
      <c r="U1679">
        <f t="shared" si="268"/>
        <v>0</v>
      </c>
    </row>
    <row r="1680" spans="1:21" x14ac:dyDescent="0.25">
      <c r="A1680" s="98">
        <v>1679</v>
      </c>
      <c r="B1680" s="90" t="s">
        <v>610</v>
      </c>
      <c r="C1680" s="43" t="s">
        <v>181</v>
      </c>
      <c r="D1680">
        <v>14.64</v>
      </c>
      <c r="E1680" s="80">
        <v>34475.879999999997</v>
      </c>
      <c r="F1680">
        <v>1.1399999999999999</v>
      </c>
      <c r="G1680">
        <v>45.88</v>
      </c>
      <c r="H1680">
        <v>109.48</v>
      </c>
      <c r="I1680">
        <v>164.99</v>
      </c>
      <c r="J1680">
        <v>23.89</v>
      </c>
      <c r="K1680">
        <v>58.98</v>
      </c>
      <c r="L1680">
        <f t="shared" si="260"/>
        <v>0</v>
      </c>
      <c r="M1680">
        <f t="shared" si="261"/>
        <v>0</v>
      </c>
      <c r="N1680">
        <f t="shared" si="262"/>
        <v>0</v>
      </c>
      <c r="O1680">
        <f t="shared" si="263"/>
        <v>0</v>
      </c>
      <c r="P1680">
        <f t="shared" si="264"/>
        <v>0</v>
      </c>
      <c r="Q1680">
        <f t="shared" si="265"/>
        <v>0</v>
      </c>
      <c r="R1680">
        <f t="shared" si="266"/>
        <v>0</v>
      </c>
      <c r="S1680">
        <f t="shared" si="267"/>
        <v>0</v>
      </c>
      <c r="T1680">
        <f t="shared" si="269"/>
        <v>0</v>
      </c>
      <c r="U1680">
        <f t="shared" si="268"/>
        <v>0</v>
      </c>
    </row>
    <row r="1681" spans="1:21" x14ac:dyDescent="0.25">
      <c r="A1681" s="98">
        <v>1680</v>
      </c>
      <c r="B1681" s="90" t="s">
        <v>610</v>
      </c>
      <c r="C1681" s="43" t="s">
        <v>183</v>
      </c>
      <c r="D1681">
        <v>20.34</v>
      </c>
      <c r="E1681" s="80">
        <v>28425.759999999998</v>
      </c>
      <c r="F1681">
        <v>722.83</v>
      </c>
      <c r="G1681">
        <v>97.13</v>
      </c>
      <c r="H1681">
        <v>2442.94</v>
      </c>
      <c r="I1681" s="80">
        <v>15580.59</v>
      </c>
      <c r="J1681">
        <v>65.73</v>
      </c>
      <c r="K1681">
        <v>3583.02</v>
      </c>
      <c r="L1681">
        <f t="shared" si="260"/>
        <v>0</v>
      </c>
      <c r="M1681">
        <f t="shared" si="261"/>
        <v>0</v>
      </c>
      <c r="N1681">
        <f t="shared" si="262"/>
        <v>0</v>
      </c>
      <c r="O1681">
        <f t="shared" si="263"/>
        <v>0</v>
      </c>
      <c r="P1681">
        <f t="shared" si="264"/>
        <v>0</v>
      </c>
      <c r="Q1681">
        <f t="shared" si="265"/>
        <v>0</v>
      </c>
      <c r="R1681">
        <f t="shared" si="266"/>
        <v>0</v>
      </c>
      <c r="S1681">
        <f t="shared" si="267"/>
        <v>0</v>
      </c>
      <c r="T1681">
        <f t="shared" si="269"/>
        <v>0</v>
      </c>
      <c r="U1681">
        <f t="shared" si="268"/>
        <v>0</v>
      </c>
    </row>
    <row r="1682" spans="1:21" x14ac:dyDescent="0.25">
      <c r="A1682" s="98">
        <v>1681</v>
      </c>
      <c r="B1682" s="90" t="s">
        <v>610</v>
      </c>
      <c r="C1682" s="43" t="s">
        <v>186</v>
      </c>
      <c r="D1682">
        <v>33.07</v>
      </c>
      <c r="E1682" s="80">
        <v>32354.14</v>
      </c>
      <c r="F1682">
        <v>2803.96</v>
      </c>
      <c r="G1682">
        <v>156.94</v>
      </c>
      <c r="H1682">
        <v>7365.4</v>
      </c>
      <c r="I1682" s="80">
        <v>17880.27</v>
      </c>
      <c r="J1682">
        <v>83.7</v>
      </c>
      <c r="K1682">
        <v>7753.25</v>
      </c>
      <c r="L1682">
        <f t="shared" si="260"/>
        <v>0</v>
      </c>
      <c r="M1682">
        <f t="shared" si="261"/>
        <v>0</v>
      </c>
      <c r="N1682">
        <f t="shared" si="262"/>
        <v>0</v>
      </c>
      <c r="O1682">
        <f t="shared" si="263"/>
        <v>0</v>
      </c>
      <c r="P1682">
        <f t="shared" si="264"/>
        <v>0</v>
      </c>
      <c r="Q1682">
        <f t="shared" si="265"/>
        <v>0</v>
      </c>
      <c r="R1682">
        <f t="shared" si="266"/>
        <v>0</v>
      </c>
      <c r="S1682">
        <f t="shared" si="267"/>
        <v>0</v>
      </c>
      <c r="T1682">
        <f t="shared" si="269"/>
        <v>0</v>
      </c>
      <c r="U1682">
        <f t="shared" si="268"/>
        <v>0</v>
      </c>
    </row>
    <row r="1683" spans="1:21" x14ac:dyDescent="0.25">
      <c r="A1683" s="98">
        <v>1682</v>
      </c>
      <c r="B1683" s="90" t="s">
        <v>610</v>
      </c>
      <c r="C1683" s="43" t="s">
        <v>188</v>
      </c>
      <c r="D1683">
        <v>28.34</v>
      </c>
      <c r="E1683" s="80">
        <v>40074.300000000003</v>
      </c>
      <c r="F1683">
        <v>314.77</v>
      </c>
      <c r="G1683">
        <v>138.22</v>
      </c>
      <c r="H1683">
        <v>3242.87</v>
      </c>
      <c r="I1683" s="80">
        <v>12441.59</v>
      </c>
      <c r="J1683">
        <v>76.41</v>
      </c>
      <c r="K1683" s="80">
        <v>9018.85</v>
      </c>
      <c r="L1683">
        <f t="shared" si="260"/>
        <v>0</v>
      </c>
      <c r="M1683">
        <f t="shared" si="261"/>
        <v>0</v>
      </c>
      <c r="N1683">
        <f t="shared" si="262"/>
        <v>0</v>
      </c>
      <c r="O1683">
        <f t="shared" si="263"/>
        <v>0</v>
      </c>
      <c r="P1683">
        <f t="shared" si="264"/>
        <v>0</v>
      </c>
      <c r="Q1683">
        <f t="shared" si="265"/>
        <v>0</v>
      </c>
      <c r="R1683">
        <f t="shared" si="266"/>
        <v>0</v>
      </c>
      <c r="S1683">
        <f t="shared" si="267"/>
        <v>0</v>
      </c>
      <c r="T1683">
        <f t="shared" si="269"/>
        <v>0</v>
      </c>
      <c r="U1683">
        <f t="shared" si="268"/>
        <v>0</v>
      </c>
    </row>
    <row r="1684" spans="1:21" x14ac:dyDescent="0.25">
      <c r="A1684" s="98">
        <v>1683</v>
      </c>
      <c r="B1684" s="90" t="s">
        <v>610</v>
      </c>
      <c r="C1684" s="43" t="s">
        <v>182</v>
      </c>
      <c r="D1684" t="s">
        <v>583</v>
      </c>
      <c r="E1684">
        <v>1013.43</v>
      </c>
      <c r="F1684">
        <v>112.21</v>
      </c>
      <c r="G1684" t="s">
        <v>583</v>
      </c>
      <c r="H1684">
        <v>566</v>
      </c>
      <c r="I1684" s="80">
        <v>13023.78</v>
      </c>
      <c r="J1684">
        <v>18.29</v>
      </c>
      <c r="K1684">
        <v>1138.6199999999999</v>
      </c>
      <c r="L1684">
        <f t="shared" si="260"/>
        <v>0</v>
      </c>
      <c r="M1684">
        <f t="shared" si="261"/>
        <v>0</v>
      </c>
      <c r="N1684">
        <f t="shared" si="262"/>
        <v>0</v>
      </c>
      <c r="O1684">
        <f t="shared" si="263"/>
        <v>0</v>
      </c>
      <c r="P1684">
        <f t="shared" si="264"/>
        <v>0</v>
      </c>
      <c r="Q1684">
        <f t="shared" si="265"/>
        <v>0</v>
      </c>
      <c r="R1684">
        <f t="shared" si="266"/>
        <v>0</v>
      </c>
      <c r="S1684">
        <f t="shared" si="267"/>
        <v>0</v>
      </c>
      <c r="T1684">
        <f t="shared" si="269"/>
        <v>0</v>
      </c>
      <c r="U1684">
        <f t="shared" si="268"/>
        <v>0</v>
      </c>
    </row>
    <row r="1685" spans="1:21" x14ac:dyDescent="0.25">
      <c r="A1685" s="98">
        <v>1684</v>
      </c>
      <c r="B1685" s="90" t="s">
        <v>610</v>
      </c>
      <c r="C1685" s="43" t="s">
        <v>184</v>
      </c>
      <c r="D1685">
        <v>0.63</v>
      </c>
      <c r="E1685">
        <v>1121.23</v>
      </c>
      <c r="F1685">
        <v>241.81</v>
      </c>
      <c r="G1685">
        <v>4.66</v>
      </c>
      <c r="H1685">
        <v>9358.1200000000008</v>
      </c>
      <c r="I1685" s="80">
        <v>14007.47</v>
      </c>
      <c r="J1685">
        <v>29.75</v>
      </c>
      <c r="K1685">
        <v>1174.8</v>
      </c>
      <c r="L1685">
        <f t="shared" si="260"/>
        <v>0</v>
      </c>
      <c r="M1685">
        <f t="shared" si="261"/>
        <v>0</v>
      </c>
      <c r="N1685">
        <f t="shared" si="262"/>
        <v>0</v>
      </c>
      <c r="O1685">
        <f t="shared" si="263"/>
        <v>0</v>
      </c>
      <c r="P1685">
        <f t="shared" si="264"/>
        <v>0</v>
      </c>
      <c r="Q1685">
        <f t="shared" si="265"/>
        <v>0</v>
      </c>
      <c r="R1685">
        <f t="shared" si="266"/>
        <v>0</v>
      </c>
      <c r="S1685">
        <f t="shared" si="267"/>
        <v>0</v>
      </c>
      <c r="T1685">
        <f t="shared" si="269"/>
        <v>0</v>
      </c>
      <c r="U1685">
        <f t="shared" si="268"/>
        <v>0</v>
      </c>
    </row>
    <row r="1686" spans="1:21" x14ac:dyDescent="0.25">
      <c r="A1686" s="98">
        <v>1685</v>
      </c>
      <c r="B1686" s="90" t="s">
        <v>610</v>
      </c>
      <c r="C1686" s="43" t="s">
        <v>187</v>
      </c>
      <c r="D1686">
        <v>2.78</v>
      </c>
      <c r="E1686">
        <v>1882.15</v>
      </c>
      <c r="F1686">
        <v>828.4</v>
      </c>
      <c r="G1686">
        <v>7.37</v>
      </c>
      <c r="H1686">
        <v>12057.19</v>
      </c>
      <c r="I1686" s="80">
        <v>14293.55</v>
      </c>
      <c r="J1686">
        <v>47.05</v>
      </c>
      <c r="K1686">
        <v>2414.0700000000002</v>
      </c>
      <c r="L1686">
        <f t="shared" si="260"/>
        <v>0</v>
      </c>
      <c r="M1686">
        <f t="shared" si="261"/>
        <v>0</v>
      </c>
      <c r="N1686">
        <f t="shared" si="262"/>
        <v>0</v>
      </c>
      <c r="O1686">
        <f t="shared" si="263"/>
        <v>0</v>
      </c>
      <c r="P1686">
        <f t="shared" si="264"/>
        <v>0</v>
      </c>
      <c r="Q1686">
        <f t="shared" si="265"/>
        <v>0</v>
      </c>
      <c r="R1686">
        <f t="shared" si="266"/>
        <v>0</v>
      </c>
      <c r="S1686">
        <f t="shared" si="267"/>
        <v>0</v>
      </c>
      <c r="T1686">
        <f t="shared" si="269"/>
        <v>0</v>
      </c>
      <c r="U1686">
        <f t="shared" si="268"/>
        <v>0</v>
      </c>
    </row>
    <row r="1687" spans="1:21" x14ac:dyDescent="0.25">
      <c r="A1687" s="98">
        <v>1686</v>
      </c>
      <c r="B1687" s="90" t="s">
        <v>610</v>
      </c>
      <c r="C1687" s="43" t="s">
        <v>189</v>
      </c>
      <c r="D1687">
        <v>4.97</v>
      </c>
      <c r="E1687">
        <v>2421.12</v>
      </c>
      <c r="F1687">
        <v>414.19</v>
      </c>
      <c r="G1687">
        <v>20.7</v>
      </c>
      <c r="H1687">
        <v>5262.74</v>
      </c>
      <c r="I1687" s="80">
        <v>15164.11</v>
      </c>
      <c r="J1687">
        <v>52.02</v>
      </c>
      <c r="K1687">
        <v>4799.95</v>
      </c>
      <c r="L1687">
        <f t="shared" si="260"/>
        <v>0</v>
      </c>
      <c r="M1687">
        <f t="shared" si="261"/>
        <v>0</v>
      </c>
      <c r="N1687">
        <f t="shared" si="262"/>
        <v>0</v>
      </c>
      <c r="O1687">
        <f t="shared" si="263"/>
        <v>0</v>
      </c>
      <c r="P1687">
        <f t="shared" si="264"/>
        <v>0</v>
      </c>
      <c r="Q1687">
        <f t="shared" si="265"/>
        <v>0</v>
      </c>
      <c r="R1687">
        <f t="shared" si="266"/>
        <v>0</v>
      </c>
      <c r="S1687">
        <f t="shared" si="267"/>
        <v>0</v>
      </c>
      <c r="T1687">
        <f t="shared" si="269"/>
        <v>0</v>
      </c>
      <c r="U1687">
        <f t="shared" si="268"/>
        <v>0</v>
      </c>
    </row>
    <row r="1688" spans="1:21" x14ac:dyDescent="0.25">
      <c r="A1688" s="98">
        <v>1687</v>
      </c>
      <c r="B1688" s="10">
        <v>3011</v>
      </c>
      <c r="C1688" s="43" t="s">
        <v>181</v>
      </c>
      <c r="D1688">
        <v>14.64</v>
      </c>
      <c r="E1688" s="80">
        <v>232559.15</v>
      </c>
      <c r="F1688">
        <v>0.71</v>
      </c>
      <c r="G1688">
        <v>75.459999999999994</v>
      </c>
      <c r="H1688">
        <v>40.409999999999997</v>
      </c>
      <c r="I1688">
        <v>17.95</v>
      </c>
      <c r="J1688">
        <v>35.86</v>
      </c>
      <c r="K1688">
        <v>37.43</v>
      </c>
      <c r="L1688">
        <f t="shared" si="260"/>
        <v>0</v>
      </c>
      <c r="M1688">
        <f t="shared" si="261"/>
        <v>0</v>
      </c>
      <c r="N1688">
        <f t="shared" si="262"/>
        <v>0</v>
      </c>
      <c r="O1688">
        <f t="shared" si="263"/>
        <v>0</v>
      </c>
      <c r="P1688">
        <f t="shared" si="264"/>
        <v>0</v>
      </c>
      <c r="Q1688">
        <f t="shared" si="265"/>
        <v>0</v>
      </c>
      <c r="R1688">
        <f t="shared" si="266"/>
        <v>0</v>
      </c>
      <c r="S1688">
        <f t="shared" si="267"/>
        <v>0</v>
      </c>
      <c r="T1688">
        <f t="shared" si="269"/>
        <v>0</v>
      </c>
      <c r="U1688">
        <f t="shared" si="268"/>
        <v>0</v>
      </c>
    </row>
    <row r="1689" spans="1:21" x14ac:dyDescent="0.25">
      <c r="A1689" s="98">
        <v>1688</v>
      </c>
      <c r="B1689" s="10">
        <v>3011</v>
      </c>
      <c r="C1689" s="43" t="s">
        <v>183</v>
      </c>
      <c r="D1689">
        <v>32.11</v>
      </c>
      <c r="E1689" s="80">
        <v>81149.070000000007</v>
      </c>
      <c r="F1689">
        <v>386.82</v>
      </c>
      <c r="G1689">
        <v>150.63</v>
      </c>
      <c r="H1689">
        <v>4040.16</v>
      </c>
      <c r="I1689" s="80">
        <v>20644.79</v>
      </c>
      <c r="J1689">
        <v>74.61</v>
      </c>
      <c r="K1689">
        <v>6365.68</v>
      </c>
      <c r="L1689">
        <f t="shared" si="260"/>
        <v>0</v>
      </c>
      <c r="M1689">
        <f t="shared" si="261"/>
        <v>0</v>
      </c>
      <c r="N1689">
        <f t="shared" si="262"/>
        <v>0</v>
      </c>
      <c r="O1689">
        <f t="shared" si="263"/>
        <v>0</v>
      </c>
      <c r="P1689">
        <f t="shared" si="264"/>
        <v>0</v>
      </c>
      <c r="Q1689">
        <f t="shared" si="265"/>
        <v>0</v>
      </c>
      <c r="R1689">
        <f t="shared" si="266"/>
        <v>0</v>
      </c>
      <c r="S1689">
        <f t="shared" si="267"/>
        <v>0</v>
      </c>
      <c r="T1689">
        <f t="shared" si="269"/>
        <v>0</v>
      </c>
      <c r="U1689">
        <f t="shared" si="268"/>
        <v>0</v>
      </c>
    </row>
    <row r="1690" spans="1:21" x14ac:dyDescent="0.25">
      <c r="A1690" s="102">
        <v>1689</v>
      </c>
      <c r="B1690" s="10">
        <v>3011</v>
      </c>
      <c r="C1690" s="43" t="s">
        <v>186</v>
      </c>
      <c r="D1690">
        <v>43.08</v>
      </c>
      <c r="E1690" s="80">
        <v>51706.37</v>
      </c>
      <c r="F1690">
        <v>1099.49</v>
      </c>
      <c r="G1690">
        <v>176.26</v>
      </c>
      <c r="H1690">
        <v>13697.42</v>
      </c>
      <c r="I1690" s="80">
        <v>19279.73</v>
      </c>
      <c r="J1690">
        <v>106.31</v>
      </c>
      <c r="K1690" s="80">
        <v>15348.58</v>
      </c>
      <c r="L1690">
        <f t="shared" si="260"/>
        <v>0</v>
      </c>
      <c r="M1690">
        <f t="shared" si="261"/>
        <v>0</v>
      </c>
      <c r="N1690">
        <f t="shared" si="262"/>
        <v>0</v>
      </c>
      <c r="O1690">
        <f t="shared" si="263"/>
        <v>0</v>
      </c>
      <c r="P1690">
        <f t="shared" si="264"/>
        <v>0</v>
      </c>
      <c r="Q1690">
        <f t="shared" si="265"/>
        <v>0</v>
      </c>
      <c r="R1690">
        <f t="shared" si="266"/>
        <v>0</v>
      </c>
      <c r="S1690">
        <f t="shared" si="267"/>
        <v>0</v>
      </c>
      <c r="T1690">
        <f t="shared" si="269"/>
        <v>0</v>
      </c>
      <c r="U1690">
        <f t="shared" si="268"/>
        <v>0</v>
      </c>
    </row>
    <row r="1691" spans="1:21" x14ac:dyDescent="0.25">
      <c r="A1691" s="102">
        <v>1690</v>
      </c>
      <c r="B1691" s="10">
        <v>3011</v>
      </c>
      <c r="C1691" s="43" t="s">
        <v>188</v>
      </c>
      <c r="D1691">
        <v>47.27</v>
      </c>
      <c r="E1691" s="104" t="s">
        <v>582</v>
      </c>
      <c r="F1691">
        <v>270.58</v>
      </c>
      <c r="G1691">
        <v>156.94</v>
      </c>
      <c r="H1691">
        <v>6060.2</v>
      </c>
      <c r="I1691" s="80">
        <v>17753.79</v>
      </c>
      <c r="J1691">
        <v>116.04</v>
      </c>
      <c r="K1691" s="80">
        <v>24215.1</v>
      </c>
      <c r="L1691">
        <f t="shared" si="260"/>
        <v>0</v>
      </c>
      <c r="M1691">
        <f t="shared" si="261"/>
        <v>1</v>
      </c>
      <c r="N1691">
        <f t="shared" si="262"/>
        <v>0</v>
      </c>
      <c r="O1691">
        <f t="shared" si="263"/>
        <v>0</v>
      </c>
      <c r="P1691">
        <f t="shared" si="264"/>
        <v>0</v>
      </c>
      <c r="Q1691">
        <f t="shared" si="265"/>
        <v>0</v>
      </c>
      <c r="R1691">
        <f t="shared" si="266"/>
        <v>0</v>
      </c>
      <c r="S1691">
        <f t="shared" si="267"/>
        <v>0</v>
      </c>
      <c r="T1691">
        <f t="shared" si="269"/>
        <v>1</v>
      </c>
      <c r="U1691">
        <f t="shared" si="268"/>
        <v>1</v>
      </c>
    </row>
    <row r="1692" spans="1:21" x14ac:dyDescent="0.25">
      <c r="A1692" s="102">
        <v>1691</v>
      </c>
      <c r="B1692" s="10">
        <v>3011</v>
      </c>
      <c r="C1692" s="43" t="s">
        <v>182</v>
      </c>
      <c r="D1692" t="s">
        <v>583</v>
      </c>
      <c r="E1692">
        <v>1013.43</v>
      </c>
      <c r="F1692" t="s">
        <v>583</v>
      </c>
      <c r="G1692" t="s">
        <v>583</v>
      </c>
      <c r="H1692" t="s">
        <v>583</v>
      </c>
      <c r="I1692">
        <v>0.16</v>
      </c>
      <c r="J1692" s="80">
        <v>1.1100000000000001</v>
      </c>
      <c r="K1692">
        <v>0.25</v>
      </c>
      <c r="L1692">
        <f t="shared" si="260"/>
        <v>0</v>
      </c>
      <c r="M1692">
        <f t="shared" si="261"/>
        <v>0</v>
      </c>
      <c r="N1692">
        <f t="shared" si="262"/>
        <v>0</v>
      </c>
      <c r="O1692">
        <f t="shared" si="263"/>
        <v>0</v>
      </c>
      <c r="P1692">
        <f t="shared" si="264"/>
        <v>0</v>
      </c>
      <c r="Q1692">
        <f t="shared" si="265"/>
        <v>0</v>
      </c>
      <c r="R1692">
        <f t="shared" si="266"/>
        <v>0</v>
      </c>
      <c r="S1692">
        <f t="shared" si="267"/>
        <v>0</v>
      </c>
      <c r="T1692">
        <f t="shared" si="269"/>
        <v>0</v>
      </c>
      <c r="U1692">
        <f t="shared" si="268"/>
        <v>0</v>
      </c>
    </row>
    <row r="1693" spans="1:21" x14ac:dyDescent="0.25">
      <c r="A1693" s="102">
        <v>1692</v>
      </c>
      <c r="B1693" s="10">
        <v>3011</v>
      </c>
      <c r="C1693" s="43" t="s">
        <v>184</v>
      </c>
      <c r="D1693">
        <v>5.56</v>
      </c>
      <c r="E1693">
        <v>13203.15</v>
      </c>
      <c r="F1693">
        <v>97.71</v>
      </c>
      <c r="G1693">
        <v>28.51</v>
      </c>
      <c r="H1693">
        <v>4590.1899999999996</v>
      </c>
      <c r="I1693" s="80">
        <v>12699.44</v>
      </c>
      <c r="J1693">
        <v>38.99</v>
      </c>
      <c r="K1693">
        <v>1321.63</v>
      </c>
      <c r="L1693">
        <f t="shared" si="260"/>
        <v>0</v>
      </c>
      <c r="M1693">
        <f t="shared" si="261"/>
        <v>0</v>
      </c>
      <c r="N1693">
        <f t="shared" si="262"/>
        <v>0</v>
      </c>
      <c r="O1693">
        <f t="shared" si="263"/>
        <v>0</v>
      </c>
      <c r="P1693">
        <f t="shared" si="264"/>
        <v>0</v>
      </c>
      <c r="Q1693">
        <f t="shared" si="265"/>
        <v>0</v>
      </c>
      <c r="R1693">
        <f t="shared" si="266"/>
        <v>0</v>
      </c>
      <c r="S1693">
        <f t="shared" si="267"/>
        <v>0</v>
      </c>
      <c r="T1693">
        <f t="shared" si="269"/>
        <v>0</v>
      </c>
      <c r="U1693">
        <f t="shared" si="268"/>
        <v>0</v>
      </c>
    </row>
    <row r="1694" spans="1:21" x14ac:dyDescent="0.25">
      <c r="A1694" s="102">
        <v>1693</v>
      </c>
      <c r="B1694" s="10">
        <v>3011</v>
      </c>
      <c r="C1694" s="43" t="s">
        <v>187</v>
      </c>
      <c r="D1694">
        <v>10.17</v>
      </c>
      <c r="E1694">
        <v>12880.97</v>
      </c>
      <c r="F1694">
        <v>142.78</v>
      </c>
      <c r="G1694">
        <v>55.31</v>
      </c>
      <c r="H1694">
        <v>10110.24</v>
      </c>
      <c r="I1694" s="80">
        <v>13204.2</v>
      </c>
      <c r="J1694">
        <v>55.39</v>
      </c>
      <c r="K1694">
        <v>3060.9</v>
      </c>
      <c r="L1694">
        <f t="shared" si="260"/>
        <v>0</v>
      </c>
      <c r="M1694">
        <f t="shared" si="261"/>
        <v>0</v>
      </c>
      <c r="N1694">
        <f t="shared" si="262"/>
        <v>0</v>
      </c>
      <c r="O1694">
        <f t="shared" si="263"/>
        <v>0</v>
      </c>
      <c r="P1694">
        <f t="shared" si="264"/>
        <v>0</v>
      </c>
      <c r="Q1694">
        <f t="shared" si="265"/>
        <v>0</v>
      </c>
      <c r="R1694">
        <f t="shared" si="266"/>
        <v>0</v>
      </c>
      <c r="S1694">
        <f t="shared" si="267"/>
        <v>0</v>
      </c>
      <c r="T1694">
        <f t="shared" si="269"/>
        <v>0</v>
      </c>
      <c r="U1694">
        <f t="shared" si="268"/>
        <v>0</v>
      </c>
    </row>
    <row r="1695" spans="1:21" x14ac:dyDescent="0.25">
      <c r="A1695" s="102">
        <v>1694</v>
      </c>
      <c r="B1695" s="10">
        <v>3011</v>
      </c>
      <c r="C1695" s="43" t="s">
        <v>189</v>
      </c>
      <c r="D1695">
        <v>13.1</v>
      </c>
      <c r="E1695">
        <v>11836.42</v>
      </c>
      <c r="F1695">
        <v>46.74</v>
      </c>
      <c r="G1695">
        <v>55.31</v>
      </c>
      <c r="H1695">
        <v>5255.64</v>
      </c>
      <c r="I1695" s="80">
        <v>12325.65</v>
      </c>
      <c r="J1695">
        <v>62.24</v>
      </c>
      <c r="K1695">
        <v>6312.09</v>
      </c>
      <c r="L1695">
        <f t="shared" si="260"/>
        <v>0</v>
      </c>
      <c r="M1695">
        <f t="shared" si="261"/>
        <v>0</v>
      </c>
      <c r="N1695">
        <f t="shared" si="262"/>
        <v>0</v>
      </c>
      <c r="O1695">
        <f t="shared" si="263"/>
        <v>0</v>
      </c>
      <c r="P1695">
        <f t="shared" si="264"/>
        <v>0</v>
      </c>
      <c r="Q1695">
        <f t="shared" si="265"/>
        <v>0</v>
      </c>
      <c r="R1695">
        <f t="shared" si="266"/>
        <v>0</v>
      </c>
      <c r="S1695">
        <f t="shared" si="267"/>
        <v>0</v>
      </c>
      <c r="T1695">
        <f t="shared" si="269"/>
        <v>0</v>
      </c>
      <c r="U1695">
        <f t="shared" si="268"/>
        <v>0</v>
      </c>
    </row>
    <row r="1696" spans="1:21" x14ac:dyDescent="0.25">
      <c r="A1696" s="102">
        <v>1695</v>
      </c>
      <c r="B1696" t="s">
        <v>8</v>
      </c>
      <c r="C1696" t="s">
        <v>162</v>
      </c>
      <c r="D1696">
        <v>63.86</v>
      </c>
      <c r="E1696">
        <v>9119.67</v>
      </c>
      <c r="F1696">
        <v>5.74</v>
      </c>
      <c r="G1696">
        <v>156.94</v>
      </c>
      <c r="H1696" s="80">
        <v>46661.45</v>
      </c>
      <c r="I1696" s="80">
        <v>12584.05</v>
      </c>
      <c r="J1696">
        <v>91.12</v>
      </c>
      <c r="K1696" s="80">
        <v>26905.96</v>
      </c>
      <c r="L1696">
        <f t="shared" si="260"/>
        <v>0</v>
      </c>
      <c r="M1696">
        <f t="shared" si="261"/>
        <v>0</v>
      </c>
      <c r="N1696">
        <f t="shared" si="262"/>
        <v>0</v>
      </c>
      <c r="O1696">
        <f t="shared" si="263"/>
        <v>0</v>
      </c>
      <c r="P1696">
        <f t="shared" si="264"/>
        <v>0</v>
      </c>
      <c r="Q1696">
        <f t="shared" si="265"/>
        <v>0</v>
      </c>
      <c r="R1696">
        <f t="shared" si="266"/>
        <v>0</v>
      </c>
      <c r="S1696">
        <f t="shared" si="267"/>
        <v>0</v>
      </c>
      <c r="T1696">
        <f t="shared" si="269"/>
        <v>0</v>
      </c>
      <c r="U1696">
        <f t="shared" si="268"/>
        <v>0</v>
      </c>
    </row>
    <row r="1697" spans="1:21" x14ac:dyDescent="0.25">
      <c r="A1697" s="102">
        <v>1696</v>
      </c>
      <c r="B1697" t="s">
        <v>633</v>
      </c>
      <c r="C1697" t="s">
        <v>170</v>
      </c>
      <c r="D1697">
        <v>82.91</v>
      </c>
      <c r="E1697">
        <v>5974.34</v>
      </c>
      <c r="F1697">
        <v>2.2400000000000002</v>
      </c>
      <c r="G1697">
        <v>97.13</v>
      </c>
      <c r="H1697" s="80">
        <v>98189.05</v>
      </c>
      <c r="I1697" s="80">
        <v>10594.54</v>
      </c>
      <c r="J1697">
        <v>80.040000000000006</v>
      </c>
      <c r="K1697" s="80">
        <v>12354.43</v>
      </c>
      <c r="L1697">
        <f t="shared" si="260"/>
        <v>0</v>
      </c>
      <c r="M1697">
        <f t="shared" si="261"/>
        <v>0</v>
      </c>
      <c r="N1697">
        <f t="shared" si="262"/>
        <v>0</v>
      </c>
      <c r="O1697">
        <f t="shared" si="263"/>
        <v>0</v>
      </c>
      <c r="P1697">
        <f t="shared" si="264"/>
        <v>0</v>
      </c>
      <c r="Q1697">
        <f t="shared" si="265"/>
        <v>0</v>
      </c>
      <c r="R1697">
        <f t="shared" si="266"/>
        <v>0</v>
      </c>
      <c r="S1697">
        <f t="shared" si="267"/>
        <v>0</v>
      </c>
      <c r="T1697">
        <f t="shared" si="269"/>
        <v>0</v>
      </c>
      <c r="U1697">
        <f t="shared" si="268"/>
        <v>0</v>
      </c>
    </row>
    <row r="1698" spans="1:21" x14ac:dyDescent="0.25">
      <c r="A1698" s="102">
        <v>1697</v>
      </c>
      <c r="B1698" t="s">
        <v>633</v>
      </c>
      <c r="C1698" t="s">
        <v>178</v>
      </c>
      <c r="D1698">
        <v>73.22</v>
      </c>
      <c r="E1698">
        <v>5689.25</v>
      </c>
      <c r="F1698">
        <v>1.77</v>
      </c>
      <c r="G1698">
        <v>108.48</v>
      </c>
      <c r="H1698" s="80">
        <v>37619.68</v>
      </c>
      <c r="I1698" s="80">
        <v>9653.73</v>
      </c>
      <c r="J1698">
        <v>72.81</v>
      </c>
      <c r="K1698" s="80">
        <v>11488.52</v>
      </c>
      <c r="L1698">
        <f t="shared" si="260"/>
        <v>0</v>
      </c>
      <c r="M1698">
        <f t="shared" si="261"/>
        <v>0</v>
      </c>
      <c r="N1698">
        <f t="shared" si="262"/>
        <v>0</v>
      </c>
      <c r="O1698">
        <f t="shared" si="263"/>
        <v>0</v>
      </c>
      <c r="P1698">
        <f t="shared" si="264"/>
        <v>0</v>
      </c>
      <c r="Q1698">
        <f t="shared" si="265"/>
        <v>0</v>
      </c>
      <c r="R1698">
        <f t="shared" si="266"/>
        <v>0</v>
      </c>
      <c r="S1698">
        <f t="shared" si="267"/>
        <v>0</v>
      </c>
      <c r="T1698">
        <f t="shared" si="269"/>
        <v>0</v>
      </c>
      <c r="U1698">
        <f t="shared" si="268"/>
        <v>0</v>
      </c>
    </row>
    <row r="1699" spans="1:21" x14ac:dyDescent="0.25">
      <c r="A1699" s="102">
        <v>1698</v>
      </c>
      <c r="B1699" t="s">
        <v>633</v>
      </c>
      <c r="C1699" t="s">
        <v>163</v>
      </c>
      <c r="D1699">
        <v>36</v>
      </c>
      <c r="E1699">
        <v>8326.26</v>
      </c>
      <c r="F1699">
        <v>5.9</v>
      </c>
      <c r="G1699">
        <v>132.13</v>
      </c>
      <c r="H1699" s="80">
        <v>36381.1</v>
      </c>
      <c r="I1699" s="80">
        <v>11311.78</v>
      </c>
      <c r="J1699">
        <v>71.03</v>
      </c>
      <c r="K1699" s="80">
        <v>10080.66</v>
      </c>
      <c r="L1699">
        <f t="shared" si="260"/>
        <v>0</v>
      </c>
      <c r="M1699">
        <f t="shared" si="261"/>
        <v>0</v>
      </c>
      <c r="N1699">
        <f t="shared" si="262"/>
        <v>0</v>
      </c>
      <c r="O1699">
        <f t="shared" si="263"/>
        <v>0</v>
      </c>
      <c r="P1699">
        <f t="shared" si="264"/>
        <v>0</v>
      </c>
      <c r="Q1699">
        <f t="shared" si="265"/>
        <v>0</v>
      </c>
      <c r="R1699">
        <f t="shared" si="266"/>
        <v>0</v>
      </c>
      <c r="S1699">
        <f t="shared" si="267"/>
        <v>0</v>
      </c>
      <c r="T1699">
        <f t="shared" si="269"/>
        <v>0</v>
      </c>
      <c r="U1699">
        <f t="shared" si="268"/>
        <v>0</v>
      </c>
    </row>
    <row r="1700" spans="1:21" x14ac:dyDescent="0.25">
      <c r="A1700" s="102">
        <v>1699</v>
      </c>
      <c r="B1700" t="s">
        <v>373</v>
      </c>
      <c r="C1700" t="s">
        <v>181</v>
      </c>
      <c r="D1700">
        <v>36</v>
      </c>
      <c r="E1700">
        <v>16402.07</v>
      </c>
      <c r="F1700">
        <v>3.84</v>
      </c>
      <c r="G1700">
        <v>132.13</v>
      </c>
      <c r="H1700" s="80">
        <v>46137.46</v>
      </c>
      <c r="I1700" s="80">
        <v>14386.36</v>
      </c>
      <c r="J1700">
        <v>112.13</v>
      </c>
      <c r="K1700" s="104" t="s">
        <v>582</v>
      </c>
      <c r="L1700">
        <f t="shared" si="260"/>
        <v>0</v>
      </c>
      <c r="M1700">
        <f t="shared" si="261"/>
        <v>0</v>
      </c>
      <c r="N1700">
        <f t="shared" si="262"/>
        <v>0</v>
      </c>
      <c r="O1700">
        <f t="shared" si="263"/>
        <v>0</v>
      </c>
      <c r="P1700">
        <f t="shared" si="264"/>
        <v>0</v>
      </c>
      <c r="Q1700">
        <f t="shared" si="265"/>
        <v>0</v>
      </c>
      <c r="R1700">
        <f t="shared" si="266"/>
        <v>0</v>
      </c>
      <c r="S1700">
        <f t="shared" si="267"/>
        <v>1</v>
      </c>
      <c r="T1700">
        <f t="shared" si="269"/>
        <v>1</v>
      </c>
      <c r="U1700">
        <f t="shared" si="268"/>
        <v>1</v>
      </c>
    </row>
    <row r="1701" spans="1:21" x14ac:dyDescent="0.25">
      <c r="A1701" s="102">
        <v>1700</v>
      </c>
      <c r="B1701" t="s">
        <v>374</v>
      </c>
      <c r="C1701" t="s">
        <v>183</v>
      </c>
      <c r="D1701">
        <v>32.11</v>
      </c>
      <c r="E1701">
        <v>13311.95</v>
      </c>
      <c r="F1701">
        <v>2.34</v>
      </c>
      <c r="G1701">
        <v>120.15</v>
      </c>
      <c r="H1701" s="80">
        <v>55244.43</v>
      </c>
      <c r="I1701" s="80">
        <v>13431.5</v>
      </c>
      <c r="J1701">
        <v>118</v>
      </c>
      <c r="K1701" s="104" t="s">
        <v>582</v>
      </c>
      <c r="L1701">
        <f t="shared" si="260"/>
        <v>0</v>
      </c>
      <c r="M1701">
        <f t="shared" si="261"/>
        <v>0</v>
      </c>
      <c r="N1701">
        <f t="shared" si="262"/>
        <v>0</v>
      </c>
      <c r="O1701">
        <f t="shared" si="263"/>
        <v>0</v>
      </c>
      <c r="P1701">
        <f t="shared" si="264"/>
        <v>0</v>
      </c>
      <c r="Q1701">
        <f t="shared" si="265"/>
        <v>0</v>
      </c>
      <c r="R1701">
        <f t="shared" si="266"/>
        <v>0</v>
      </c>
      <c r="S1701">
        <f t="shared" si="267"/>
        <v>1</v>
      </c>
      <c r="T1701">
        <f t="shared" si="269"/>
        <v>1</v>
      </c>
      <c r="U1701">
        <f t="shared" si="268"/>
        <v>1</v>
      </c>
    </row>
    <row r="1702" spans="1:21" x14ac:dyDescent="0.25">
      <c r="A1702" s="102">
        <v>1701</v>
      </c>
      <c r="B1702" t="s">
        <v>376</v>
      </c>
      <c r="C1702" t="s">
        <v>186</v>
      </c>
      <c r="D1702">
        <v>28.34</v>
      </c>
      <c r="E1702">
        <v>12372.4</v>
      </c>
      <c r="F1702">
        <v>1.77</v>
      </c>
      <c r="G1702">
        <v>132.13</v>
      </c>
      <c r="H1702" s="80">
        <v>37183.24</v>
      </c>
      <c r="I1702" s="80">
        <v>13666.75</v>
      </c>
      <c r="J1702">
        <v>98.66</v>
      </c>
      <c r="K1702" s="104" t="s">
        <v>582</v>
      </c>
      <c r="L1702">
        <f t="shared" si="260"/>
        <v>0</v>
      </c>
      <c r="M1702">
        <f t="shared" si="261"/>
        <v>0</v>
      </c>
      <c r="N1702">
        <f t="shared" si="262"/>
        <v>0</v>
      </c>
      <c r="O1702">
        <f t="shared" si="263"/>
        <v>0</v>
      </c>
      <c r="P1702">
        <f t="shared" si="264"/>
        <v>0</v>
      </c>
      <c r="Q1702">
        <f t="shared" si="265"/>
        <v>0</v>
      </c>
      <c r="R1702">
        <f t="shared" si="266"/>
        <v>0</v>
      </c>
      <c r="S1702">
        <f t="shared" si="267"/>
        <v>1</v>
      </c>
      <c r="T1702">
        <f t="shared" si="269"/>
        <v>1</v>
      </c>
      <c r="U1702">
        <f t="shared" si="268"/>
        <v>1</v>
      </c>
    </row>
    <row r="1703" spans="1:21" x14ac:dyDescent="0.25">
      <c r="A1703" s="102">
        <v>1702</v>
      </c>
      <c r="B1703" t="s">
        <v>378</v>
      </c>
      <c r="C1703" t="s">
        <v>188</v>
      </c>
      <c r="D1703">
        <v>32.11</v>
      </c>
      <c r="E1703">
        <v>15958.62</v>
      </c>
      <c r="F1703">
        <v>6.95</v>
      </c>
      <c r="G1703">
        <v>156.94</v>
      </c>
      <c r="H1703" s="80">
        <v>36524.959999999999</v>
      </c>
      <c r="I1703" s="80">
        <v>15684.39</v>
      </c>
      <c r="J1703">
        <v>94.87</v>
      </c>
      <c r="K1703" s="104" t="s">
        <v>582</v>
      </c>
      <c r="L1703">
        <f t="shared" si="260"/>
        <v>0</v>
      </c>
      <c r="M1703">
        <f t="shared" si="261"/>
        <v>0</v>
      </c>
      <c r="N1703">
        <f t="shared" si="262"/>
        <v>0</v>
      </c>
      <c r="O1703">
        <f t="shared" si="263"/>
        <v>0</v>
      </c>
      <c r="P1703">
        <f t="shared" si="264"/>
        <v>0</v>
      </c>
      <c r="Q1703">
        <f t="shared" si="265"/>
        <v>0</v>
      </c>
      <c r="R1703">
        <f t="shared" si="266"/>
        <v>0</v>
      </c>
      <c r="S1703">
        <f t="shared" si="267"/>
        <v>1</v>
      </c>
      <c r="T1703">
        <f t="shared" si="269"/>
        <v>1</v>
      </c>
      <c r="U1703">
        <f t="shared" si="268"/>
        <v>1</v>
      </c>
    </row>
    <row r="1704" spans="1:21" x14ac:dyDescent="0.25">
      <c r="A1704" s="102">
        <v>1703</v>
      </c>
      <c r="B1704" t="s">
        <v>380</v>
      </c>
      <c r="C1704" t="s">
        <v>182</v>
      </c>
      <c r="D1704" s="80">
        <v>0.31</v>
      </c>
      <c r="E1704">
        <v>945.03</v>
      </c>
      <c r="F1704" t="s">
        <v>583</v>
      </c>
      <c r="G1704" t="s">
        <v>583</v>
      </c>
      <c r="H1704">
        <v>1.45</v>
      </c>
      <c r="I1704">
        <v>18.690000000000001</v>
      </c>
      <c r="J1704" s="80">
        <v>0.39</v>
      </c>
      <c r="K1704">
        <v>0.35</v>
      </c>
      <c r="L1704">
        <f t="shared" si="260"/>
        <v>0</v>
      </c>
      <c r="M1704">
        <f t="shared" si="261"/>
        <v>0</v>
      </c>
      <c r="N1704">
        <f t="shared" si="262"/>
        <v>0</v>
      </c>
      <c r="O1704">
        <f t="shared" si="263"/>
        <v>0</v>
      </c>
      <c r="P1704">
        <f t="shared" si="264"/>
        <v>0</v>
      </c>
      <c r="Q1704">
        <f t="shared" si="265"/>
        <v>0</v>
      </c>
      <c r="R1704">
        <f t="shared" si="266"/>
        <v>0</v>
      </c>
      <c r="S1704">
        <f t="shared" si="267"/>
        <v>0</v>
      </c>
      <c r="T1704">
        <f t="shared" si="269"/>
        <v>0</v>
      </c>
      <c r="U1704">
        <f t="shared" si="268"/>
        <v>0</v>
      </c>
    </row>
    <row r="1705" spans="1:21" x14ac:dyDescent="0.25">
      <c r="A1705" s="102">
        <v>1704</v>
      </c>
      <c r="B1705" t="s">
        <v>382</v>
      </c>
      <c r="C1705" t="s">
        <v>184</v>
      </c>
      <c r="D1705">
        <v>316.18</v>
      </c>
      <c r="E1705">
        <v>8383.18</v>
      </c>
      <c r="F1705">
        <v>138.71</v>
      </c>
      <c r="G1705">
        <v>45.88</v>
      </c>
      <c r="H1705">
        <v>5550.9</v>
      </c>
      <c r="I1705" s="80">
        <v>13688.93</v>
      </c>
      <c r="J1705">
        <v>38.99</v>
      </c>
      <c r="K1705">
        <v>1742.66</v>
      </c>
      <c r="L1705">
        <f t="shared" si="260"/>
        <v>0</v>
      </c>
      <c r="M1705">
        <f t="shared" si="261"/>
        <v>0</v>
      </c>
      <c r="N1705">
        <f t="shared" si="262"/>
        <v>0</v>
      </c>
      <c r="O1705">
        <f t="shared" si="263"/>
        <v>0</v>
      </c>
      <c r="P1705">
        <f t="shared" si="264"/>
        <v>0</v>
      </c>
      <c r="Q1705">
        <f t="shared" si="265"/>
        <v>0</v>
      </c>
      <c r="R1705">
        <f t="shared" si="266"/>
        <v>0</v>
      </c>
      <c r="S1705">
        <f t="shared" si="267"/>
        <v>0</v>
      </c>
      <c r="T1705">
        <f t="shared" si="269"/>
        <v>0</v>
      </c>
      <c r="U1705">
        <f t="shared" si="268"/>
        <v>0</v>
      </c>
    </row>
    <row r="1706" spans="1:21" x14ac:dyDescent="0.25">
      <c r="A1706" s="102">
        <v>1705</v>
      </c>
      <c r="B1706" t="s">
        <v>384</v>
      </c>
      <c r="C1706" t="s">
        <v>187</v>
      </c>
      <c r="D1706">
        <v>811.28</v>
      </c>
      <c r="E1706">
        <v>7967.08</v>
      </c>
      <c r="F1706">
        <v>253.65</v>
      </c>
      <c r="G1706">
        <v>65.180000000000007</v>
      </c>
      <c r="H1706">
        <v>15452.97</v>
      </c>
      <c r="I1706" s="80">
        <v>15191.9</v>
      </c>
      <c r="J1706">
        <v>87.39</v>
      </c>
      <c r="K1706">
        <v>7363.19</v>
      </c>
      <c r="L1706">
        <f t="shared" si="260"/>
        <v>0</v>
      </c>
      <c r="M1706">
        <f t="shared" si="261"/>
        <v>0</v>
      </c>
      <c r="N1706">
        <f t="shared" si="262"/>
        <v>0</v>
      </c>
      <c r="O1706">
        <f t="shared" si="263"/>
        <v>0</v>
      </c>
      <c r="P1706">
        <f t="shared" si="264"/>
        <v>0</v>
      </c>
      <c r="Q1706">
        <f t="shared" si="265"/>
        <v>0</v>
      </c>
      <c r="R1706">
        <f t="shared" si="266"/>
        <v>0</v>
      </c>
      <c r="S1706">
        <f t="shared" si="267"/>
        <v>0</v>
      </c>
      <c r="T1706">
        <f t="shared" si="269"/>
        <v>0</v>
      </c>
      <c r="U1706">
        <f t="shared" si="268"/>
        <v>0</v>
      </c>
    </row>
    <row r="1707" spans="1:21" x14ac:dyDescent="0.25">
      <c r="A1707" s="102">
        <v>1706</v>
      </c>
      <c r="B1707" t="s">
        <v>386</v>
      </c>
      <c r="C1707" t="s">
        <v>189</v>
      </c>
      <c r="D1707">
        <v>1575.35</v>
      </c>
      <c r="E1707">
        <v>4923.47</v>
      </c>
      <c r="F1707">
        <v>3.23</v>
      </c>
      <c r="G1707">
        <v>41.34</v>
      </c>
      <c r="H1707">
        <v>11512.64</v>
      </c>
      <c r="I1707" s="80">
        <v>6830.23</v>
      </c>
      <c r="J1707">
        <v>87.39</v>
      </c>
      <c r="K1707" s="80">
        <v>10143.73</v>
      </c>
      <c r="L1707">
        <f t="shared" si="260"/>
        <v>0</v>
      </c>
      <c r="M1707">
        <f t="shared" si="261"/>
        <v>0</v>
      </c>
      <c r="N1707">
        <f t="shared" si="262"/>
        <v>0</v>
      </c>
      <c r="O1707">
        <f t="shared" si="263"/>
        <v>0</v>
      </c>
      <c r="P1707">
        <f t="shared" si="264"/>
        <v>0</v>
      </c>
      <c r="Q1707">
        <f t="shared" si="265"/>
        <v>0</v>
      </c>
      <c r="R1707">
        <f t="shared" si="266"/>
        <v>0</v>
      </c>
      <c r="S1707">
        <f t="shared" si="267"/>
        <v>0</v>
      </c>
      <c r="T1707">
        <f t="shared" si="269"/>
        <v>0</v>
      </c>
      <c r="U1707">
        <f t="shared" si="268"/>
        <v>0</v>
      </c>
    </row>
    <row r="1708" spans="1:21" x14ac:dyDescent="0.25">
      <c r="A1708" s="102">
        <v>1707</v>
      </c>
      <c r="B1708" t="s">
        <v>28</v>
      </c>
      <c r="C1708" t="s">
        <v>162</v>
      </c>
      <c r="D1708">
        <v>8.7799999999999994</v>
      </c>
      <c r="E1708">
        <v>12594.82</v>
      </c>
      <c r="F1708" t="s">
        <v>583</v>
      </c>
      <c r="G1708">
        <v>20.7</v>
      </c>
      <c r="H1708">
        <v>0.47</v>
      </c>
      <c r="I1708">
        <v>2.78</v>
      </c>
      <c r="J1708">
        <v>10.53</v>
      </c>
      <c r="K1708">
        <v>7.63</v>
      </c>
      <c r="L1708">
        <f t="shared" si="260"/>
        <v>0</v>
      </c>
      <c r="M1708">
        <f t="shared" si="261"/>
        <v>0</v>
      </c>
      <c r="N1708">
        <f t="shared" si="262"/>
        <v>0</v>
      </c>
      <c r="O1708">
        <f t="shared" si="263"/>
        <v>0</v>
      </c>
      <c r="P1708">
        <f t="shared" si="264"/>
        <v>0</v>
      </c>
      <c r="Q1708">
        <f t="shared" si="265"/>
        <v>0</v>
      </c>
      <c r="R1708">
        <f t="shared" si="266"/>
        <v>0</v>
      </c>
      <c r="S1708">
        <f t="shared" si="267"/>
        <v>0</v>
      </c>
      <c r="T1708">
        <f t="shared" si="269"/>
        <v>0</v>
      </c>
      <c r="U1708">
        <f t="shared" si="268"/>
        <v>0</v>
      </c>
    </row>
    <row r="1709" spans="1:21" x14ac:dyDescent="0.25">
      <c r="A1709" s="102">
        <v>1708</v>
      </c>
      <c r="B1709" t="s">
        <v>634</v>
      </c>
      <c r="C1709" t="s">
        <v>170</v>
      </c>
      <c r="D1709">
        <v>11.61</v>
      </c>
      <c r="E1709">
        <v>6608.9</v>
      </c>
      <c r="F1709">
        <v>72.3</v>
      </c>
      <c r="G1709">
        <v>20.7</v>
      </c>
      <c r="H1709">
        <v>618.15</v>
      </c>
      <c r="I1709" s="80">
        <v>5665.05</v>
      </c>
      <c r="J1709">
        <v>18.29</v>
      </c>
      <c r="K1709">
        <v>340.37</v>
      </c>
      <c r="L1709">
        <f t="shared" si="260"/>
        <v>0</v>
      </c>
      <c r="M1709">
        <f t="shared" si="261"/>
        <v>0</v>
      </c>
      <c r="N1709">
        <f t="shared" si="262"/>
        <v>0</v>
      </c>
      <c r="O1709">
        <f t="shared" si="263"/>
        <v>0</v>
      </c>
      <c r="P1709">
        <f t="shared" si="264"/>
        <v>0</v>
      </c>
      <c r="Q1709">
        <f t="shared" si="265"/>
        <v>0</v>
      </c>
      <c r="R1709">
        <f t="shared" si="266"/>
        <v>0</v>
      </c>
      <c r="S1709">
        <f t="shared" si="267"/>
        <v>0</v>
      </c>
      <c r="T1709">
        <f t="shared" si="269"/>
        <v>0</v>
      </c>
      <c r="U1709">
        <f t="shared" si="268"/>
        <v>0</v>
      </c>
    </row>
    <row r="1710" spans="1:21" x14ac:dyDescent="0.25">
      <c r="A1710" s="102">
        <v>1709</v>
      </c>
      <c r="B1710" t="s">
        <v>634</v>
      </c>
      <c r="C1710" t="s">
        <v>178</v>
      </c>
      <c r="D1710">
        <v>55.95</v>
      </c>
      <c r="E1710">
        <v>7697.93</v>
      </c>
      <c r="F1710">
        <v>200.66</v>
      </c>
      <c r="G1710">
        <v>32.65</v>
      </c>
      <c r="H1710">
        <v>2201.48</v>
      </c>
      <c r="I1710" s="80">
        <v>7934.15</v>
      </c>
      <c r="J1710">
        <v>21.05</v>
      </c>
      <c r="K1710">
        <v>649.30999999999995</v>
      </c>
      <c r="L1710">
        <f t="shared" si="260"/>
        <v>0</v>
      </c>
      <c r="M1710">
        <f t="shared" si="261"/>
        <v>0</v>
      </c>
      <c r="N1710">
        <f t="shared" si="262"/>
        <v>0</v>
      </c>
      <c r="O1710">
        <f t="shared" si="263"/>
        <v>0</v>
      </c>
      <c r="P1710">
        <f t="shared" si="264"/>
        <v>0</v>
      </c>
      <c r="Q1710">
        <f t="shared" si="265"/>
        <v>0</v>
      </c>
      <c r="R1710">
        <f t="shared" si="266"/>
        <v>0</v>
      </c>
      <c r="S1710">
        <f t="shared" si="267"/>
        <v>0</v>
      </c>
      <c r="T1710">
        <f t="shared" si="269"/>
        <v>0</v>
      </c>
      <c r="U1710">
        <f t="shared" si="268"/>
        <v>0</v>
      </c>
    </row>
    <row r="1711" spans="1:21" x14ac:dyDescent="0.25">
      <c r="A1711" s="102">
        <v>1710</v>
      </c>
      <c r="B1711" t="s">
        <v>634</v>
      </c>
      <c r="C1711" t="s">
        <v>163</v>
      </c>
      <c r="D1711">
        <v>1900.43</v>
      </c>
      <c r="E1711">
        <v>7487.25</v>
      </c>
      <c r="F1711">
        <v>75.14</v>
      </c>
      <c r="G1711">
        <v>60.19</v>
      </c>
      <c r="H1711">
        <v>2797.17</v>
      </c>
      <c r="I1711" s="80">
        <v>5762.89</v>
      </c>
      <c r="J1711">
        <v>38.99</v>
      </c>
      <c r="K1711">
        <v>4834.03</v>
      </c>
      <c r="L1711">
        <f t="shared" si="260"/>
        <v>0</v>
      </c>
      <c r="M1711">
        <f t="shared" si="261"/>
        <v>0</v>
      </c>
      <c r="N1711">
        <f t="shared" si="262"/>
        <v>0</v>
      </c>
      <c r="O1711">
        <f t="shared" si="263"/>
        <v>0</v>
      </c>
      <c r="P1711">
        <f t="shared" si="264"/>
        <v>0</v>
      </c>
      <c r="Q1711">
        <f t="shared" si="265"/>
        <v>0</v>
      </c>
      <c r="R1711">
        <f t="shared" si="266"/>
        <v>0</v>
      </c>
      <c r="S1711">
        <f t="shared" si="267"/>
        <v>0</v>
      </c>
      <c r="T1711">
        <f t="shared" si="269"/>
        <v>0</v>
      </c>
      <c r="U1711">
        <f t="shared" si="268"/>
        <v>0</v>
      </c>
    </row>
    <row r="1712" spans="1:21" x14ac:dyDescent="0.25">
      <c r="A1712" s="102">
        <v>1711</v>
      </c>
      <c r="B1712" t="s">
        <v>634</v>
      </c>
      <c r="C1712" t="s">
        <v>181</v>
      </c>
      <c r="D1712">
        <v>20.34</v>
      </c>
      <c r="E1712" s="80">
        <v>117194.49</v>
      </c>
      <c r="F1712">
        <v>2.63</v>
      </c>
      <c r="G1712">
        <v>75.459999999999994</v>
      </c>
      <c r="H1712">
        <v>25.21</v>
      </c>
      <c r="I1712">
        <v>787.44</v>
      </c>
      <c r="J1712">
        <v>38.99</v>
      </c>
      <c r="K1712">
        <v>217.55</v>
      </c>
      <c r="L1712">
        <f t="shared" si="260"/>
        <v>0</v>
      </c>
      <c r="M1712">
        <f t="shared" si="261"/>
        <v>0</v>
      </c>
      <c r="N1712">
        <f t="shared" si="262"/>
        <v>0</v>
      </c>
      <c r="O1712">
        <f t="shared" si="263"/>
        <v>0</v>
      </c>
      <c r="P1712">
        <f t="shared" si="264"/>
        <v>0</v>
      </c>
      <c r="Q1712">
        <f t="shared" si="265"/>
        <v>0</v>
      </c>
      <c r="R1712">
        <f t="shared" si="266"/>
        <v>0</v>
      </c>
      <c r="S1712">
        <f t="shared" si="267"/>
        <v>0</v>
      </c>
      <c r="T1712">
        <f t="shared" si="269"/>
        <v>0</v>
      </c>
      <c r="U1712">
        <f t="shared" si="268"/>
        <v>0</v>
      </c>
    </row>
    <row r="1713" spans="1:21" x14ac:dyDescent="0.25">
      <c r="A1713" s="102">
        <v>1712</v>
      </c>
      <c r="B1713" t="s">
        <v>634</v>
      </c>
      <c r="C1713" t="s">
        <v>183</v>
      </c>
      <c r="D1713">
        <v>30.21</v>
      </c>
      <c r="E1713" s="80">
        <v>41255.57</v>
      </c>
      <c r="F1713">
        <v>1376.75</v>
      </c>
      <c r="G1713">
        <v>102.76</v>
      </c>
      <c r="H1713">
        <v>10818.26</v>
      </c>
      <c r="I1713" s="80">
        <v>18695.59</v>
      </c>
      <c r="J1713">
        <v>76.41</v>
      </c>
      <c r="K1713">
        <v>7077.61</v>
      </c>
      <c r="L1713">
        <f t="shared" si="260"/>
        <v>0</v>
      </c>
      <c r="M1713">
        <f t="shared" si="261"/>
        <v>0</v>
      </c>
      <c r="N1713">
        <f t="shared" si="262"/>
        <v>0</v>
      </c>
      <c r="O1713">
        <f t="shared" si="263"/>
        <v>0</v>
      </c>
      <c r="P1713">
        <f t="shared" si="264"/>
        <v>0</v>
      </c>
      <c r="Q1713">
        <f t="shared" si="265"/>
        <v>0</v>
      </c>
      <c r="R1713">
        <f t="shared" si="266"/>
        <v>0</v>
      </c>
      <c r="S1713">
        <f t="shared" si="267"/>
        <v>0</v>
      </c>
      <c r="T1713">
        <f t="shared" si="269"/>
        <v>0</v>
      </c>
      <c r="U1713">
        <f t="shared" si="268"/>
        <v>0</v>
      </c>
    </row>
    <row r="1714" spans="1:21" x14ac:dyDescent="0.25">
      <c r="A1714" s="102">
        <v>1713</v>
      </c>
      <c r="B1714" t="s">
        <v>634</v>
      </c>
      <c r="C1714" t="s">
        <v>186</v>
      </c>
      <c r="D1714">
        <v>30.21</v>
      </c>
      <c r="E1714">
        <v>23147.02</v>
      </c>
      <c r="F1714">
        <v>2070.34</v>
      </c>
      <c r="G1714">
        <v>138.22</v>
      </c>
      <c r="H1714" s="80">
        <v>23261.21</v>
      </c>
      <c r="I1714" s="80">
        <v>17653.830000000002</v>
      </c>
      <c r="J1714">
        <v>91.12</v>
      </c>
      <c r="K1714" s="80">
        <v>10684.76</v>
      </c>
      <c r="L1714">
        <f t="shared" si="260"/>
        <v>0</v>
      </c>
      <c r="M1714">
        <f t="shared" si="261"/>
        <v>0</v>
      </c>
      <c r="N1714">
        <f t="shared" si="262"/>
        <v>0</v>
      </c>
      <c r="O1714">
        <f t="shared" si="263"/>
        <v>0</v>
      </c>
      <c r="P1714">
        <f t="shared" si="264"/>
        <v>0</v>
      </c>
      <c r="Q1714">
        <f t="shared" si="265"/>
        <v>0</v>
      </c>
      <c r="R1714">
        <f t="shared" si="266"/>
        <v>0</v>
      </c>
      <c r="S1714">
        <f t="shared" si="267"/>
        <v>0</v>
      </c>
      <c r="T1714">
        <f t="shared" si="269"/>
        <v>0</v>
      </c>
      <c r="U1714">
        <f t="shared" si="268"/>
        <v>0</v>
      </c>
    </row>
    <row r="1715" spans="1:21" x14ac:dyDescent="0.25">
      <c r="A1715" s="102">
        <v>1714</v>
      </c>
      <c r="B1715" t="s">
        <v>634</v>
      </c>
      <c r="C1715" t="s">
        <v>188</v>
      </c>
      <c r="D1715">
        <v>30.21</v>
      </c>
      <c r="E1715" s="80">
        <v>46298.58</v>
      </c>
      <c r="F1715">
        <v>681.57</v>
      </c>
      <c r="G1715">
        <v>132.13</v>
      </c>
      <c r="H1715">
        <v>6085.63</v>
      </c>
      <c r="I1715" s="80">
        <v>16131.53</v>
      </c>
      <c r="J1715">
        <v>92.99</v>
      </c>
      <c r="K1715" s="80">
        <v>23017.07</v>
      </c>
      <c r="L1715">
        <f t="shared" si="260"/>
        <v>0</v>
      </c>
      <c r="M1715">
        <f t="shared" si="261"/>
        <v>0</v>
      </c>
      <c r="N1715">
        <f t="shared" si="262"/>
        <v>0</v>
      </c>
      <c r="O1715">
        <f t="shared" si="263"/>
        <v>0</v>
      </c>
      <c r="P1715">
        <f t="shared" si="264"/>
        <v>0</v>
      </c>
      <c r="Q1715">
        <f t="shared" si="265"/>
        <v>0</v>
      </c>
      <c r="R1715">
        <f t="shared" si="266"/>
        <v>0</v>
      </c>
      <c r="S1715">
        <f t="shared" si="267"/>
        <v>0</v>
      </c>
      <c r="T1715">
        <f t="shared" si="269"/>
        <v>0</v>
      </c>
      <c r="U1715">
        <f t="shared" si="268"/>
        <v>0</v>
      </c>
    </row>
    <row r="1716" spans="1:21" x14ac:dyDescent="0.25">
      <c r="A1716" s="102">
        <v>1715</v>
      </c>
      <c r="B1716" t="s">
        <v>634</v>
      </c>
      <c r="C1716" t="s">
        <v>182</v>
      </c>
      <c r="D1716" t="s">
        <v>583</v>
      </c>
      <c r="E1716">
        <v>328.11</v>
      </c>
      <c r="F1716" t="s">
        <v>583</v>
      </c>
      <c r="G1716" t="s">
        <v>583</v>
      </c>
      <c r="H1716" t="s">
        <v>583</v>
      </c>
      <c r="I1716">
        <v>0.16</v>
      </c>
      <c r="J1716" t="s">
        <v>583</v>
      </c>
      <c r="K1716" s="80">
        <v>0.08</v>
      </c>
      <c r="L1716">
        <f t="shared" si="260"/>
        <v>0</v>
      </c>
      <c r="M1716">
        <f t="shared" si="261"/>
        <v>0</v>
      </c>
      <c r="N1716">
        <f t="shared" si="262"/>
        <v>0</v>
      </c>
      <c r="O1716">
        <f t="shared" si="263"/>
        <v>0</v>
      </c>
      <c r="P1716">
        <f t="shared" si="264"/>
        <v>0</v>
      </c>
      <c r="Q1716">
        <f t="shared" si="265"/>
        <v>0</v>
      </c>
      <c r="R1716">
        <f t="shared" si="266"/>
        <v>0</v>
      </c>
      <c r="S1716">
        <f t="shared" si="267"/>
        <v>0</v>
      </c>
      <c r="T1716">
        <f t="shared" si="269"/>
        <v>0</v>
      </c>
      <c r="U1716">
        <f t="shared" si="268"/>
        <v>0</v>
      </c>
    </row>
    <row r="1717" spans="1:21" x14ac:dyDescent="0.25">
      <c r="A1717" s="102">
        <v>1716</v>
      </c>
      <c r="B1717" t="s">
        <v>634</v>
      </c>
      <c r="C1717" t="s">
        <v>184</v>
      </c>
      <c r="D1717">
        <v>425.02</v>
      </c>
      <c r="E1717">
        <v>1709.86</v>
      </c>
      <c r="F1717">
        <v>8.41</v>
      </c>
      <c r="G1717">
        <v>17.05</v>
      </c>
      <c r="H1717">
        <v>4244.24</v>
      </c>
      <c r="I1717" s="80">
        <v>8945.4599999999991</v>
      </c>
      <c r="J1717">
        <v>26.79</v>
      </c>
      <c r="K1717">
        <v>1781.35</v>
      </c>
      <c r="L1717">
        <f t="shared" si="260"/>
        <v>0</v>
      </c>
      <c r="M1717">
        <f t="shared" si="261"/>
        <v>0</v>
      </c>
      <c r="N1717">
        <f t="shared" si="262"/>
        <v>0</v>
      </c>
      <c r="O1717">
        <f t="shared" si="263"/>
        <v>0</v>
      </c>
      <c r="P1717">
        <f t="shared" si="264"/>
        <v>0</v>
      </c>
      <c r="Q1717">
        <f t="shared" si="265"/>
        <v>0</v>
      </c>
      <c r="R1717">
        <f t="shared" si="266"/>
        <v>0</v>
      </c>
      <c r="S1717">
        <f t="shared" si="267"/>
        <v>0</v>
      </c>
      <c r="T1717">
        <f t="shared" si="269"/>
        <v>0</v>
      </c>
      <c r="U1717">
        <f t="shared" si="268"/>
        <v>0</v>
      </c>
    </row>
    <row r="1718" spans="1:21" x14ac:dyDescent="0.25">
      <c r="A1718" s="102">
        <v>1717</v>
      </c>
      <c r="B1718" t="s">
        <v>634</v>
      </c>
      <c r="C1718" t="s">
        <v>187</v>
      </c>
      <c r="D1718">
        <v>711.5</v>
      </c>
      <c r="E1718">
        <v>2397.12</v>
      </c>
      <c r="F1718">
        <v>29.58</v>
      </c>
      <c r="G1718">
        <v>32.65</v>
      </c>
      <c r="H1718">
        <v>7594.08</v>
      </c>
      <c r="I1718" s="80">
        <v>9186.16</v>
      </c>
      <c r="J1718">
        <v>52.02</v>
      </c>
      <c r="K1718">
        <v>3404.01</v>
      </c>
      <c r="L1718">
        <f t="shared" si="260"/>
        <v>0</v>
      </c>
      <c r="M1718">
        <f t="shared" si="261"/>
        <v>0</v>
      </c>
      <c r="N1718">
        <f t="shared" si="262"/>
        <v>0</v>
      </c>
      <c r="O1718">
        <f t="shared" si="263"/>
        <v>0</v>
      </c>
      <c r="P1718">
        <f t="shared" si="264"/>
        <v>0</v>
      </c>
      <c r="Q1718">
        <f t="shared" si="265"/>
        <v>0</v>
      </c>
      <c r="R1718">
        <f t="shared" si="266"/>
        <v>0</v>
      </c>
      <c r="S1718">
        <f t="shared" si="267"/>
        <v>0</v>
      </c>
      <c r="T1718">
        <f t="shared" si="269"/>
        <v>0</v>
      </c>
      <c r="U1718">
        <f t="shared" si="268"/>
        <v>0</v>
      </c>
    </row>
    <row r="1719" spans="1:21" x14ac:dyDescent="0.25">
      <c r="A1719" s="102">
        <v>1718</v>
      </c>
      <c r="B1719" t="s">
        <v>634</v>
      </c>
      <c r="C1719" t="s">
        <v>189</v>
      </c>
      <c r="D1719">
        <v>2137.67</v>
      </c>
      <c r="E1719">
        <v>1936.39</v>
      </c>
      <c r="F1719">
        <v>0.92</v>
      </c>
      <c r="G1719">
        <v>13.6</v>
      </c>
      <c r="H1719">
        <v>4839.32</v>
      </c>
      <c r="I1719">
        <v>2682.34</v>
      </c>
      <c r="J1719">
        <v>32.78</v>
      </c>
      <c r="K1719">
        <v>4642.53</v>
      </c>
      <c r="L1719">
        <f t="shared" si="260"/>
        <v>0</v>
      </c>
      <c r="M1719">
        <f t="shared" si="261"/>
        <v>0</v>
      </c>
      <c r="N1719">
        <f t="shared" si="262"/>
        <v>0</v>
      </c>
      <c r="O1719">
        <f t="shared" si="263"/>
        <v>0</v>
      </c>
      <c r="P1719">
        <f t="shared" si="264"/>
        <v>0</v>
      </c>
      <c r="Q1719">
        <f t="shared" si="265"/>
        <v>0</v>
      </c>
      <c r="R1719">
        <f t="shared" si="266"/>
        <v>0</v>
      </c>
      <c r="S1719">
        <f t="shared" si="267"/>
        <v>0</v>
      </c>
      <c r="T1719">
        <f t="shared" si="269"/>
        <v>0</v>
      </c>
      <c r="U1719">
        <f t="shared" si="268"/>
        <v>0</v>
      </c>
    </row>
    <row r="1720" spans="1:21" x14ac:dyDescent="0.25">
      <c r="A1720" s="102">
        <v>1719</v>
      </c>
      <c r="B1720">
        <v>1070</v>
      </c>
      <c r="C1720" t="s">
        <v>162</v>
      </c>
      <c r="D1720">
        <v>10.17</v>
      </c>
      <c r="E1720" s="80">
        <v>39953.32</v>
      </c>
      <c r="F1720">
        <v>0.5</v>
      </c>
      <c r="G1720">
        <v>65.180000000000007</v>
      </c>
      <c r="H1720">
        <v>2.0499999999999998</v>
      </c>
      <c r="I1720">
        <v>1.38</v>
      </c>
      <c r="J1720">
        <v>21.05</v>
      </c>
      <c r="K1720">
        <v>4.9800000000000004</v>
      </c>
      <c r="L1720">
        <f t="shared" si="260"/>
        <v>0</v>
      </c>
      <c r="M1720">
        <f t="shared" si="261"/>
        <v>0</v>
      </c>
      <c r="N1720">
        <f t="shared" si="262"/>
        <v>0</v>
      </c>
      <c r="O1720">
        <f t="shared" si="263"/>
        <v>0</v>
      </c>
      <c r="P1720">
        <f t="shared" si="264"/>
        <v>0</v>
      </c>
      <c r="Q1720">
        <f t="shared" si="265"/>
        <v>0</v>
      </c>
      <c r="R1720">
        <f t="shared" si="266"/>
        <v>0</v>
      </c>
      <c r="S1720">
        <f t="shared" si="267"/>
        <v>0</v>
      </c>
      <c r="T1720">
        <f t="shared" si="269"/>
        <v>0</v>
      </c>
      <c r="U1720">
        <f t="shared" si="268"/>
        <v>0</v>
      </c>
    </row>
    <row r="1721" spans="1:21" x14ac:dyDescent="0.25">
      <c r="A1721" s="102">
        <v>1720</v>
      </c>
      <c r="B1721">
        <v>1070</v>
      </c>
      <c r="C1721" t="s">
        <v>170</v>
      </c>
      <c r="D1721">
        <v>22.93</v>
      </c>
      <c r="E1721" s="80">
        <v>27521.05</v>
      </c>
      <c r="F1721">
        <v>455.76</v>
      </c>
      <c r="G1721">
        <v>108.48</v>
      </c>
      <c r="H1721">
        <v>3290.22</v>
      </c>
      <c r="I1721" s="80">
        <v>17598.46</v>
      </c>
      <c r="J1721">
        <v>50.35</v>
      </c>
      <c r="K1721">
        <v>2311.3000000000002</v>
      </c>
      <c r="L1721">
        <f t="shared" si="260"/>
        <v>0</v>
      </c>
      <c r="M1721">
        <f t="shared" si="261"/>
        <v>0</v>
      </c>
      <c r="N1721">
        <f t="shared" si="262"/>
        <v>0</v>
      </c>
      <c r="O1721">
        <f t="shared" si="263"/>
        <v>0</v>
      </c>
      <c r="P1721">
        <f t="shared" si="264"/>
        <v>0</v>
      </c>
      <c r="Q1721">
        <f t="shared" si="265"/>
        <v>0</v>
      </c>
      <c r="R1721">
        <f t="shared" si="266"/>
        <v>0</v>
      </c>
      <c r="S1721">
        <f t="shared" si="267"/>
        <v>0</v>
      </c>
      <c r="T1721">
        <f t="shared" si="269"/>
        <v>0</v>
      </c>
      <c r="U1721">
        <f t="shared" si="268"/>
        <v>0</v>
      </c>
    </row>
    <row r="1722" spans="1:21" x14ac:dyDescent="0.25">
      <c r="A1722" s="102">
        <v>1721</v>
      </c>
      <c r="B1722">
        <v>1070</v>
      </c>
      <c r="C1722" t="s">
        <v>178</v>
      </c>
      <c r="D1722">
        <v>46.21</v>
      </c>
      <c r="E1722" s="80">
        <v>28694.44</v>
      </c>
      <c r="F1722">
        <v>1195.95</v>
      </c>
      <c r="G1722">
        <v>144.38999999999999</v>
      </c>
      <c r="H1722" s="80">
        <v>18003.61</v>
      </c>
      <c r="I1722" s="80">
        <v>18245.96</v>
      </c>
      <c r="J1722">
        <v>76.41</v>
      </c>
      <c r="K1722">
        <v>5544.28</v>
      </c>
      <c r="L1722">
        <f t="shared" si="260"/>
        <v>0</v>
      </c>
      <c r="M1722">
        <f t="shared" si="261"/>
        <v>0</v>
      </c>
      <c r="N1722">
        <f t="shared" si="262"/>
        <v>0</v>
      </c>
      <c r="O1722">
        <f t="shared" si="263"/>
        <v>0</v>
      </c>
      <c r="P1722">
        <f t="shared" si="264"/>
        <v>0</v>
      </c>
      <c r="Q1722">
        <f t="shared" si="265"/>
        <v>0</v>
      </c>
      <c r="R1722">
        <f t="shared" si="266"/>
        <v>0</v>
      </c>
      <c r="S1722">
        <f t="shared" si="267"/>
        <v>0</v>
      </c>
      <c r="T1722">
        <f t="shared" si="269"/>
        <v>0</v>
      </c>
      <c r="U1722">
        <f t="shared" si="268"/>
        <v>0</v>
      </c>
    </row>
    <row r="1723" spans="1:21" x14ac:dyDescent="0.25">
      <c r="A1723" s="102">
        <v>1722</v>
      </c>
      <c r="B1723">
        <v>1070</v>
      </c>
      <c r="C1723" t="s">
        <v>163</v>
      </c>
      <c r="D1723">
        <v>49.4</v>
      </c>
      <c r="E1723" s="80">
        <v>34762.26</v>
      </c>
      <c r="F1723">
        <v>1599.49</v>
      </c>
      <c r="G1723">
        <v>156.94</v>
      </c>
      <c r="H1723">
        <v>9439.81</v>
      </c>
      <c r="I1723" s="80">
        <v>16825.45</v>
      </c>
      <c r="J1723">
        <v>106.31</v>
      </c>
      <c r="K1723" s="104" t="s">
        <v>582</v>
      </c>
      <c r="L1723">
        <f t="shared" si="260"/>
        <v>0</v>
      </c>
      <c r="M1723">
        <f t="shared" si="261"/>
        <v>0</v>
      </c>
      <c r="N1723">
        <f t="shared" si="262"/>
        <v>0</v>
      </c>
      <c r="O1723">
        <f t="shared" si="263"/>
        <v>0</v>
      </c>
      <c r="P1723">
        <f t="shared" si="264"/>
        <v>0</v>
      </c>
      <c r="Q1723">
        <f t="shared" si="265"/>
        <v>0</v>
      </c>
      <c r="R1723">
        <f t="shared" si="266"/>
        <v>0</v>
      </c>
      <c r="S1723">
        <f t="shared" si="267"/>
        <v>1</v>
      </c>
      <c r="T1723">
        <f t="shared" si="269"/>
        <v>1</v>
      </c>
      <c r="U1723">
        <f t="shared" si="268"/>
        <v>1</v>
      </c>
    </row>
    <row r="1724" spans="1:21" x14ac:dyDescent="0.25">
      <c r="A1724" s="102">
        <v>1723</v>
      </c>
      <c r="B1724">
        <v>1070</v>
      </c>
      <c r="C1724" t="s">
        <v>181</v>
      </c>
      <c r="D1724">
        <v>21.19</v>
      </c>
      <c r="E1724" s="80">
        <v>68178.11</v>
      </c>
      <c r="F1724">
        <v>0.92</v>
      </c>
      <c r="G1724">
        <v>55.31</v>
      </c>
      <c r="H1724">
        <v>88.97</v>
      </c>
      <c r="I1724">
        <v>285.17</v>
      </c>
      <c r="J1724">
        <v>38.99</v>
      </c>
      <c r="K1724">
        <v>80.7</v>
      </c>
      <c r="L1724">
        <f t="shared" si="260"/>
        <v>0</v>
      </c>
      <c r="M1724">
        <f t="shared" si="261"/>
        <v>0</v>
      </c>
      <c r="N1724">
        <f t="shared" si="262"/>
        <v>0</v>
      </c>
      <c r="O1724">
        <f t="shared" si="263"/>
        <v>0</v>
      </c>
      <c r="P1724">
        <f t="shared" si="264"/>
        <v>0</v>
      </c>
      <c r="Q1724">
        <f t="shared" si="265"/>
        <v>0</v>
      </c>
      <c r="R1724">
        <f t="shared" si="266"/>
        <v>0</v>
      </c>
      <c r="S1724">
        <f t="shared" si="267"/>
        <v>0</v>
      </c>
      <c r="T1724">
        <f t="shared" si="269"/>
        <v>0</v>
      </c>
      <c r="U1724">
        <f t="shared" si="268"/>
        <v>0</v>
      </c>
    </row>
    <row r="1725" spans="1:21" x14ac:dyDescent="0.25">
      <c r="A1725" s="102">
        <v>1724</v>
      </c>
      <c r="B1725">
        <v>1070</v>
      </c>
      <c r="C1725" t="s">
        <v>183</v>
      </c>
      <c r="D1725">
        <v>32.11</v>
      </c>
      <c r="E1725" s="80">
        <v>28784.799999999999</v>
      </c>
      <c r="F1725">
        <v>767.43</v>
      </c>
      <c r="G1725">
        <v>102.76</v>
      </c>
      <c r="H1725">
        <v>4433.18</v>
      </c>
      <c r="I1725" s="80">
        <v>18193.68</v>
      </c>
      <c r="J1725">
        <v>91.12</v>
      </c>
      <c r="K1725" s="80">
        <v>9675.1200000000008</v>
      </c>
      <c r="L1725">
        <f t="shared" si="260"/>
        <v>0</v>
      </c>
      <c r="M1725">
        <f t="shared" si="261"/>
        <v>0</v>
      </c>
      <c r="N1725">
        <f t="shared" si="262"/>
        <v>0</v>
      </c>
      <c r="O1725">
        <f t="shared" si="263"/>
        <v>0</v>
      </c>
      <c r="P1725">
        <f t="shared" si="264"/>
        <v>0</v>
      </c>
      <c r="Q1725">
        <f t="shared" si="265"/>
        <v>0</v>
      </c>
      <c r="R1725">
        <f t="shared" si="266"/>
        <v>0</v>
      </c>
      <c r="S1725">
        <f t="shared" si="267"/>
        <v>0</v>
      </c>
      <c r="T1725">
        <f t="shared" si="269"/>
        <v>0</v>
      </c>
      <c r="U1725">
        <f t="shared" si="268"/>
        <v>0</v>
      </c>
    </row>
    <row r="1726" spans="1:21" x14ac:dyDescent="0.25">
      <c r="A1726" s="102">
        <v>1725</v>
      </c>
      <c r="B1726">
        <v>1070</v>
      </c>
      <c r="C1726" t="s">
        <v>186</v>
      </c>
      <c r="D1726">
        <v>34.04</v>
      </c>
      <c r="E1726" s="80">
        <v>26077.62</v>
      </c>
      <c r="F1726">
        <v>993.51</v>
      </c>
      <c r="G1726">
        <v>156.94</v>
      </c>
      <c r="H1726" s="80">
        <v>18464.29</v>
      </c>
      <c r="I1726" s="80">
        <v>19709.3</v>
      </c>
      <c r="J1726">
        <v>102.47</v>
      </c>
      <c r="K1726" s="80">
        <v>18563.29</v>
      </c>
      <c r="L1726">
        <f t="shared" si="260"/>
        <v>0</v>
      </c>
      <c r="M1726">
        <f t="shared" si="261"/>
        <v>0</v>
      </c>
      <c r="N1726">
        <f t="shared" si="262"/>
        <v>0</v>
      </c>
      <c r="O1726">
        <f t="shared" si="263"/>
        <v>0</v>
      </c>
      <c r="P1726">
        <f t="shared" si="264"/>
        <v>0</v>
      </c>
      <c r="Q1726">
        <f t="shared" si="265"/>
        <v>0</v>
      </c>
      <c r="R1726">
        <f t="shared" si="266"/>
        <v>0</v>
      </c>
      <c r="S1726">
        <f t="shared" si="267"/>
        <v>0</v>
      </c>
      <c r="T1726">
        <f t="shared" si="269"/>
        <v>0</v>
      </c>
      <c r="U1726">
        <f t="shared" si="268"/>
        <v>0</v>
      </c>
    </row>
    <row r="1727" spans="1:21" x14ac:dyDescent="0.25">
      <c r="A1727" s="102">
        <v>1726</v>
      </c>
      <c r="B1727">
        <v>1070</v>
      </c>
      <c r="C1727" t="s">
        <v>188</v>
      </c>
      <c r="D1727">
        <v>36</v>
      </c>
      <c r="E1727" s="80">
        <v>39653.54</v>
      </c>
      <c r="F1727">
        <v>619.33000000000004</v>
      </c>
      <c r="G1727">
        <v>209.72</v>
      </c>
      <c r="H1727">
        <v>11865.42</v>
      </c>
      <c r="I1727" s="80">
        <v>20100.07</v>
      </c>
      <c r="J1727">
        <v>118</v>
      </c>
      <c r="K1727" t="s">
        <v>582</v>
      </c>
      <c r="L1727">
        <f t="shared" si="260"/>
        <v>0</v>
      </c>
      <c r="M1727">
        <f t="shared" si="261"/>
        <v>0</v>
      </c>
      <c r="N1727">
        <f t="shared" si="262"/>
        <v>0</v>
      </c>
      <c r="O1727">
        <f t="shared" si="263"/>
        <v>0</v>
      </c>
      <c r="P1727">
        <f t="shared" si="264"/>
        <v>0</v>
      </c>
      <c r="Q1727">
        <f t="shared" si="265"/>
        <v>0</v>
      </c>
      <c r="R1727">
        <f t="shared" si="266"/>
        <v>0</v>
      </c>
      <c r="S1727">
        <f t="shared" si="267"/>
        <v>1</v>
      </c>
      <c r="T1727">
        <f t="shared" si="269"/>
        <v>1</v>
      </c>
      <c r="U1727">
        <f t="shared" si="268"/>
        <v>1</v>
      </c>
    </row>
    <row r="1728" spans="1:21" x14ac:dyDescent="0.25">
      <c r="A1728" s="102">
        <v>1727</v>
      </c>
      <c r="B1728">
        <v>1070</v>
      </c>
      <c r="C1728" t="s">
        <v>182</v>
      </c>
      <c r="D1728" t="s">
        <v>583</v>
      </c>
      <c r="E1728">
        <v>412.72</v>
      </c>
      <c r="F1728" t="s">
        <v>583</v>
      </c>
      <c r="G1728" t="s">
        <v>583</v>
      </c>
      <c r="H1728" t="s">
        <v>583</v>
      </c>
      <c r="I1728">
        <v>0.39</v>
      </c>
      <c r="J1728" t="s">
        <v>583</v>
      </c>
      <c r="K1728" s="80">
        <v>0.05</v>
      </c>
      <c r="L1728">
        <f t="shared" si="260"/>
        <v>0</v>
      </c>
      <c r="M1728">
        <f t="shared" si="261"/>
        <v>0</v>
      </c>
      <c r="N1728">
        <f t="shared" si="262"/>
        <v>0</v>
      </c>
      <c r="O1728">
        <f t="shared" si="263"/>
        <v>0</v>
      </c>
      <c r="P1728">
        <f t="shared" si="264"/>
        <v>0</v>
      </c>
      <c r="Q1728">
        <f t="shared" si="265"/>
        <v>0</v>
      </c>
      <c r="R1728">
        <f t="shared" si="266"/>
        <v>0</v>
      </c>
      <c r="S1728">
        <f t="shared" si="267"/>
        <v>0</v>
      </c>
      <c r="T1728">
        <f t="shared" si="269"/>
        <v>0</v>
      </c>
      <c r="U1728">
        <f t="shared" si="268"/>
        <v>0</v>
      </c>
    </row>
    <row r="1729" spans="1:21" x14ac:dyDescent="0.25">
      <c r="A1729" s="102">
        <v>1728</v>
      </c>
      <c r="B1729">
        <v>1070</v>
      </c>
      <c r="C1729" t="s">
        <v>184</v>
      </c>
      <c r="D1729" s="104"/>
      <c r="E1729" s="104"/>
      <c r="F1729" s="104">
        <v>173.3</v>
      </c>
      <c r="G1729" s="104"/>
      <c r="H1729" s="104">
        <v>0.99</v>
      </c>
      <c r="I1729" s="104">
        <v>0.39</v>
      </c>
      <c r="J1729" s="104">
        <v>154.43</v>
      </c>
      <c r="K1729" s="104">
        <v>1859.44</v>
      </c>
      <c r="L1729">
        <f t="shared" si="260"/>
        <v>0</v>
      </c>
      <c r="M1729">
        <f t="shared" si="261"/>
        <v>0</v>
      </c>
      <c r="N1729">
        <f t="shared" si="262"/>
        <v>0</v>
      </c>
      <c r="O1729">
        <f t="shared" si="263"/>
        <v>0</v>
      </c>
      <c r="P1729">
        <f t="shared" si="264"/>
        <v>0</v>
      </c>
      <c r="Q1729">
        <f t="shared" si="265"/>
        <v>0</v>
      </c>
      <c r="R1729">
        <f t="shared" si="266"/>
        <v>0</v>
      </c>
      <c r="S1729">
        <f t="shared" si="267"/>
        <v>0</v>
      </c>
      <c r="T1729">
        <f t="shared" si="269"/>
        <v>0</v>
      </c>
      <c r="U1729">
        <f t="shared" si="268"/>
        <v>0</v>
      </c>
    </row>
    <row r="1730" spans="1:21" x14ac:dyDescent="0.25">
      <c r="A1730" s="102">
        <v>1729</v>
      </c>
      <c r="B1730">
        <v>1070</v>
      </c>
      <c r="C1730" t="s">
        <v>187</v>
      </c>
      <c r="D1730">
        <v>46.21</v>
      </c>
      <c r="E1730">
        <v>10962.95</v>
      </c>
      <c r="F1730">
        <v>238.45</v>
      </c>
      <c r="G1730">
        <v>45.88</v>
      </c>
      <c r="H1730">
        <v>10055.209999999999</v>
      </c>
      <c r="I1730" s="80">
        <v>13064.84</v>
      </c>
      <c r="J1730">
        <v>55.39</v>
      </c>
      <c r="K1730">
        <v>4292.1899999999996</v>
      </c>
      <c r="L1730">
        <f t="shared" ref="L1730:L1793" si="270">IF(D1730 = "OOR &gt;", 1,0)</f>
        <v>0</v>
      </c>
      <c r="M1730">
        <f t="shared" ref="M1730:M1793" si="271">IF(E1730 = "OOR &gt;", 1,0)</f>
        <v>0</v>
      </c>
      <c r="N1730">
        <f t="shared" ref="N1730:N1793" si="272">IF(F1730 = "OOR &gt;", 1,0)</f>
        <v>0</v>
      </c>
      <c r="O1730">
        <f t="shared" ref="O1730:O1793" si="273">IF(G1730 = "OOR &gt;", 1,0)</f>
        <v>0</v>
      </c>
      <c r="P1730">
        <f t="shared" ref="P1730:P1793" si="274">IF(H1730 = "OOR &gt;", 1,0)</f>
        <v>0</v>
      </c>
      <c r="Q1730">
        <f t="shared" ref="Q1730:Q1793" si="275">IF(I1730 = "OOR &gt;", 1,0)</f>
        <v>0</v>
      </c>
      <c r="R1730">
        <f t="shared" ref="R1730:R1793" si="276">IF(J1730 = "OOR &gt;", 1,0)</f>
        <v>0</v>
      </c>
      <c r="S1730">
        <f t="shared" ref="S1730:S1793" si="277">IF(K1730 = "OOR &gt;", 1,0)</f>
        <v>0</v>
      </c>
      <c r="T1730">
        <f t="shared" si="269"/>
        <v>0</v>
      </c>
      <c r="U1730">
        <f t="shared" ref="U1730:U1793" si="278">IF(T1730 &gt; 0,1,0)</f>
        <v>0</v>
      </c>
    </row>
    <row r="1731" spans="1:21" x14ac:dyDescent="0.25">
      <c r="A1731" s="102">
        <v>1730</v>
      </c>
      <c r="B1731">
        <v>1070</v>
      </c>
      <c r="C1731" t="s">
        <v>189</v>
      </c>
      <c r="D1731">
        <v>17.84</v>
      </c>
      <c r="E1731">
        <v>11262.58</v>
      </c>
      <c r="F1731">
        <v>90.15</v>
      </c>
      <c r="G1731">
        <v>45.88</v>
      </c>
      <c r="H1731">
        <v>4859.26</v>
      </c>
      <c r="I1731" s="80">
        <v>10634.85</v>
      </c>
      <c r="J1731">
        <v>48.69</v>
      </c>
      <c r="K1731">
        <v>6559.29</v>
      </c>
      <c r="L1731">
        <f t="shared" si="270"/>
        <v>0</v>
      </c>
      <c r="M1731">
        <f t="shared" si="271"/>
        <v>0</v>
      </c>
      <c r="N1731">
        <f t="shared" si="272"/>
        <v>0</v>
      </c>
      <c r="O1731">
        <f t="shared" si="273"/>
        <v>0</v>
      </c>
      <c r="P1731">
        <f t="shared" si="274"/>
        <v>0</v>
      </c>
      <c r="Q1731">
        <f t="shared" si="275"/>
        <v>0</v>
      </c>
      <c r="R1731">
        <f t="shared" si="276"/>
        <v>0</v>
      </c>
      <c r="S1731">
        <f t="shared" si="277"/>
        <v>0</v>
      </c>
      <c r="T1731">
        <f t="shared" ref="T1731:T1794" si="279">SUMIF(L1731:S1731,"&gt;0")</f>
        <v>0</v>
      </c>
      <c r="U1731">
        <f t="shared" si="278"/>
        <v>0</v>
      </c>
    </row>
    <row r="1732" spans="1:21" x14ac:dyDescent="0.25">
      <c r="A1732" s="102">
        <v>1731</v>
      </c>
      <c r="B1732">
        <v>3007</v>
      </c>
      <c r="C1732" t="s">
        <v>162</v>
      </c>
      <c r="D1732">
        <v>21.19</v>
      </c>
      <c r="E1732" s="80">
        <v>155195.87</v>
      </c>
      <c r="F1732">
        <v>1.05</v>
      </c>
      <c r="G1732">
        <v>55.31</v>
      </c>
      <c r="H1732">
        <v>6.4</v>
      </c>
      <c r="I1732">
        <v>100.07</v>
      </c>
      <c r="J1732">
        <v>38.99</v>
      </c>
      <c r="K1732">
        <v>194.7</v>
      </c>
      <c r="L1732">
        <f t="shared" si="270"/>
        <v>0</v>
      </c>
      <c r="M1732">
        <f t="shared" si="271"/>
        <v>0</v>
      </c>
      <c r="N1732">
        <f t="shared" si="272"/>
        <v>0</v>
      </c>
      <c r="O1732">
        <f t="shared" si="273"/>
        <v>0</v>
      </c>
      <c r="P1732">
        <f t="shared" si="274"/>
        <v>0</v>
      </c>
      <c r="Q1732">
        <f t="shared" si="275"/>
        <v>0</v>
      </c>
      <c r="R1732">
        <f t="shared" si="276"/>
        <v>0</v>
      </c>
      <c r="S1732">
        <f t="shared" si="277"/>
        <v>0</v>
      </c>
      <c r="T1732">
        <f t="shared" si="279"/>
        <v>0</v>
      </c>
      <c r="U1732">
        <f t="shared" si="278"/>
        <v>0</v>
      </c>
    </row>
    <row r="1733" spans="1:21" x14ac:dyDescent="0.25">
      <c r="A1733" s="102">
        <v>1732</v>
      </c>
      <c r="B1733">
        <v>3007</v>
      </c>
      <c r="C1733" t="s">
        <v>170</v>
      </c>
      <c r="D1733">
        <v>32.11</v>
      </c>
      <c r="E1733" s="80">
        <v>36458.949999999997</v>
      </c>
      <c r="F1733">
        <v>943.18</v>
      </c>
      <c r="G1733">
        <v>169.76</v>
      </c>
      <c r="H1733">
        <v>6238.81</v>
      </c>
      <c r="I1733" s="80">
        <v>19208.560000000001</v>
      </c>
      <c r="J1733">
        <v>91.12</v>
      </c>
      <c r="K1733" s="80">
        <v>11321.65</v>
      </c>
      <c r="L1733">
        <f t="shared" si="270"/>
        <v>0</v>
      </c>
      <c r="M1733">
        <f t="shared" si="271"/>
        <v>0</v>
      </c>
      <c r="N1733">
        <f t="shared" si="272"/>
        <v>0</v>
      </c>
      <c r="O1733">
        <f t="shared" si="273"/>
        <v>0</v>
      </c>
      <c r="P1733">
        <f t="shared" si="274"/>
        <v>0</v>
      </c>
      <c r="Q1733">
        <f t="shared" si="275"/>
        <v>0</v>
      </c>
      <c r="R1733">
        <f t="shared" si="276"/>
        <v>0</v>
      </c>
      <c r="S1733">
        <f t="shared" si="277"/>
        <v>0</v>
      </c>
      <c r="T1733">
        <f t="shared" si="279"/>
        <v>0</v>
      </c>
      <c r="U1733">
        <f t="shared" si="278"/>
        <v>0</v>
      </c>
    </row>
    <row r="1734" spans="1:21" x14ac:dyDescent="0.25">
      <c r="A1734" s="102">
        <v>1733</v>
      </c>
      <c r="B1734">
        <v>3007</v>
      </c>
      <c r="C1734" t="s">
        <v>178</v>
      </c>
      <c r="D1734">
        <v>46.21</v>
      </c>
      <c r="E1734" s="80">
        <v>37010.01</v>
      </c>
      <c r="F1734">
        <v>3058.48</v>
      </c>
      <c r="G1734">
        <v>182.83</v>
      </c>
      <c r="H1734" s="80">
        <v>26852.94</v>
      </c>
      <c r="I1734" s="80">
        <v>19547.95</v>
      </c>
      <c r="J1734">
        <v>112.13</v>
      </c>
      <c r="K1734" s="89" t="s">
        <v>582</v>
      </c>
      <c r="L1734">
        <f t="shared" si="270"/>
        <v>0</v>
      </c>
      <c r="M1734">
        <f t="shared" si="271"/>
        <v>0</v>
      </c>
      <c r="N1734">
        <f t="shared" si="272"/>
        <v>0</v>
      </c>
      <c r="O1734">
        <f t="shared" si="273"/>
        <v>0</v>
      </c>
      <c r="P1734">
        <f t="shared" si="274"/>
        <v>0</v>
      </c>
      <c r="Q1734">
        <f t="shared" si="275"/>
        <v>0</v>
      </c>
      <c r="R1734">
        <f t="shared" si="276"/>
        <v>0</v>
      </c>
      <c r="S1734">
        <f t="shared" si="277"/>
        <v>1</v>
      </c>
      <c r="T1734">
        <f t="shared" si="279"/>
        <v>1</v>
      </c>
      <c r="U1734">
        <f t="shared" si="278"/>
        <v>1</v>
      </c>
    </row>
    <row r="1735" spans="1:21" x14ac:dyDescent="0.25">
      <c r="A1735" s="102">
        <v>1734</v>
      </c>
      <c r="B1735">
        <v>3007</v>
      </c>
      <c r="C1735" t="s">
        <v>163</v>
      </c>
      <c r="D1735">
        <v>36</v>
      </c>
      <c r="E1735" s="80">
        <v>32461.89</v>
      </c>
      <c r="F1735">
        <v>1664.03</v>
      </c>
      <c r="G1735">
        <v>196.15</v>
      </c>
      <c r="H1735" s="80">
        <v>25644.44</v>
      </c>
      <c r="I1735" s="80">
        <v>19573.560000000001</v>
      </c>
      <c r="J1735">
        <v>133.94999999999999</v>
      </c>
      <c r="K1735" s="89" t="s">
        <v>582</v>
      </c>
      <c r="L1735">
        <f t="shared" si="270"/>
        <v>0</v>
      </c>
      <c r="M1735">
        <f t="shared" si="271"/>
        <v>0</v>
      </c>
      <c r="N1735">
        <f t="shared" si="272"/>
        <v>0</v>
      </c>
      <c r="O1735">
        <f t="shared" si="273"/>
        <v>0</v>
      </c>
      <c r="P1735">
        <f t="shared" si="274"/>
        <v>0</v>
      </c>
      <c r="Q1735">
        <f t="shared" si="275"/>
        <v>0</v>
      </c>
      <c r="R1735">
        <f t="shared" si="276"/>
        <v>0</v>
      </c>
      <c r="S1735">
        <f t="shared" si="277"/>
        <v>1</v>
      </c>
      <c r="T1735">
        <f t="shared" si="279"/>
        <v>1</v>
      </c>
      <c r="U1735">
        <f t="shared" si="278"/>
        <v>1</v>
      </c>
    </row>
    <row r="1736" spans="1:21" x14ac:dyDescent="0.25">
      <c r="A1736" s="102">
        <v>1735</v>
      </c>
      <c r="B1736">
        <v>3007</v>
      </c>
      <c r="C1736" t="s">
        <v>181</v>
      </c>
      <c r="D1736">
        <v>21.19</v>
      </c>
      <c r="E1736" s="84">
        <v>2263900</v>
      </c>
      <c r="F1736">
        <v>1.68</v>
      </c>
      <c r="G1736">
        <v>65.180000000000007</v>
      </c>
      <c r="H1736">
        <v>247.46</v>
      </c>
      <c r="I1736">
        <v>2521.14</v>
      </c>
      <c r="J1736">
        <v>52.02</v>
      </c>
      <c r="K1736">
        <v>1387.98</v>
      </c>
      <c r="L1736">
        <f t="shared" si="270"/>
        <v>0</v>
      </c>
      <c r="M1736">
        <f t="shared" si="271"/>
        <v>0</v>
      </c>
      <c r="N1736">
        <f t="shared" si="272"/>
        <v>0</v>
      </c>
      <c r="O1736">
        <f t="shared" si="273"/>
        <v>0</v>
      </c>
      <c r="P1736">
        <f t="shared" si="274"/>
        <v>0</v>
      </c>
      <c r="Q1736">
        <f t="shared" si="275"/>
        <v>0</v>
      </c>
      <c r="R1736">
        <f t="shared" si="276"/>
        <v>0</v>
      </c>
      <c r="S1736">
        <f t="shared" si="277"/>
        <v>0</v>
      </c>
      <c r="T1736">
        <f t="shared" si="279"/>
        <v>0</v>
      </c>
      <c r="U1736">
        <f t="shared" si="278"/>
        <v>0</v>
      </c>
    </row>
    <row r="1737" spans="1:21" x14ac:dyDescent="0.25">
      <c r="A1737" s="102">
        <v>1736</v>
      </c>
      <c r="B1737">
        <v>3007</v>
      </c>
      <c r="C1737" t="s">
        <v>183</v>
      </c>
      <c r="D1737">
        <v>32.11</v>
      </c>
      <c r="E1737" s="80">
        <v>42531.67</v>
      </c>
      <c r="F1737">
        <v>664.96</v>
      </c>
      <c r="G1737">
        <v>144.38999999999999</v>
      </c>
      <c r="H1737">
        <v>6956.28</v>
      </c>
      <c r="I1737" s="80">
        <v>19922.560000000001</v>
      </c>
      <c r="J1737">
        <v>89.25</v>
      </c>
      <c r="K1737" s="80">
        <v>18310.5</v>
      </c>
      <c r="L1737">
        <f t="shared" si="270"/>
        <v>0</v>
      </c>
      <c r="M1737">
        <f t="shared" si="271"/>
        <v>0</v>
      </c>
      <c r="N1737">
        <f t="shared" si="272"/>
        <v>0</v>
      </c>
      <c r="O1737">
        <f t="shared" si="273"/>
        <v>0</v>
      </c>
      <c r="P1737">
        <f t="shared" si="274"/>
        <v>0</v>
      </c>
      <c r="Q1737">
        <f t="shared" si="275"/>
        <v>0</v>
      </c>
      <c r="R1737">
        <f t="shared" si="276"/>
        <v>0</v>
      </c>
      <c r="S1737">
        <f t="shared" si="277"/>
        <v>0</v>
      </c>
      <c r="T1737">
        <f t="shared" si="279"/>
        <v>0</v>
      </c>
      <c r="U1737">
        <f t="shared" si="278"/>
        <v>0</v>
      </c>
    </row>
    <row r="1738" spans="1:21" x14ac:dyDescent="0.25">
      <c r="A1738" s="102">
        <v>1737</v>
      </c>
      <c r="B1738">
        <v>3007</v>
      </c>
      <c r="C1738" t="s">
        <v>186</v>
      </c>
      <c r="D1738">
        <v>32.11</v>
      </c>
      <c r="E1738" s="80">
        <v>25150.83</v>
      </c>
      <c r="F1738">
        <v>756.97</v>
      </c>
      <c r="G1738">
        <v>163.31</v>
      </c>
      <c r="H1738">
        <v>11812.78</v>
      </c>
      <c r="I1738" s="80">
        <v>20765.95</v>
      </c>
      <c r="J1738">
        <v>94.87</v>
      </c>
      <c r="K1738" s="80">
        <v>20465.419999999998</v>
      </c>
      <c r="L1738">
        <f t="shared" si="270"/>
        <v>0</v>
      </c>
      <c r="M1738">
        <f t="shared" si="271"/>
        <v>0</v>
      </c>
      <c r="N1738">
        <f t="shared" si="272"/>
        <v>0</v>
      </c>
      <c r="O1738">
        <f t="shared" si="273"/>
        <v>0</v>
      </c>
      <c r="P1738">
        <f t="shared" si="274"/>
        <v>0</v>
      </c>
      <c r="Q1738">
        <f t="shared" si="275"/>
        <v>0</v>
      </c>
      <c r="R1738">
        <f t="shared" si="276"/>
        <v>0</v>
      </c>
      <c r="S1738">
        <f t="shared" si="277"/>
        <v>0</v>
      </c>
      <c r="T1738">
        <f t="shared" si="279"/>
        <v>0</v>
      </c>
      <c r="U1738">
        <f t="shared" si="278"/>
        <v>0</v>
      </c>
    </row>
    <row r="1739" spans="1:21" x14ac:dyDescent="0.25">
      <c r="A1739" s="102">
        <v>1738</v>
      </c>
      <c r="B1739">
        <v>3007</v>
      </c>
      <c r="C1739" t="s">
        <v>188</v>
      </c>
      <c r="D1739">
        <v>35.020000000000003</v>
      </c>
      <c r="E1739" s="80">
        <v>52982.49</v>
      </c>
      <c r="F1739">
        <v>252.35</v>
      </c>
      <c r="G1739">
        <v>156.94</v>
      </c>
      <c r="H1739">
        <v>8595.49</v>
      </c>
      <c r="I1739" s="80">
        <v>18095.87</v>
      </c>
      <c r="J1739">
        <v>106.31</v>
      </c>
      <c r="K1739" s="89" t="s">
        <v>582</v>
      </c>
      <c r="L1739">
        <f t="shared" si="270"/>
        <v>0</v>
      </c>
      <c r="M1739">
        <f t="shared" si="271"/>
        <v>0</v>
      </c>
      <c r="N1739">
        <f t="shared" si="272"/>
        <v>0</v>
      </c>
      <c r="O1739">
        <f t="shared" si="273"/>
        <v>0</v>
      </c>
      <c r="P1739">
        <f t="shared" si="274"/>
        <v>0</v>
      </c>
      <c r="Q1739">
        <f t="shared" si="275"/>
        <v>0</v>
      </c>
      <c r="R1739">
        <f t="shared" si="276"/>
        <v>0</v>
      </c>
      <c r="S1739">
        <f t="shared" si="277"/>
        <v>1</v>
      </c>
      <c r="T1739">
        <f t="shared" si="279"/>
        <v>1</v>
      </c>
      <c r="U1739">
        <f t="shared" si="278"/>
        <v>1</v>
      </c>
    </row>
    <row r="1740" spans="1:21" x14ac:dyDescent="0.25">
      <c r="A1740" s="102">
        <v>1739</v>
      </c>
      <c r="B1740">
        <v>3007</v>
      </c>
      <c r="C1740" t="s">
        <v>182</v>
      </c>
      <c r="D1740">
        <v>2.78</v>
      </c>
      <c r="E1740">
        <v>1322.79</v>
      </c>
      <c r="F1740">
        <v>0.2</v>
      </c>
      <c r="G1740" s="80">
        <v>2.3199999999999998</v>
      </c>
      <c r="H1740">
        <v>1.45</v>
      </c>
      <c r="I1740">
        <v>34.57</v>
      </c>
      <c r="J1740">
        <v>3.82</v>
      </c>
      <c r="K1740">
        <v>0.45</v>
      </c>
      <c r="L1740">
        <f t="shared" si="270"/>
        <v>0</v>
      </c>
      <c r="M1740">
        <f t="shared" si="271"/>
        <v>0</v>
      </c>
      <c r="N1740">
        <f t="shared" si="272"/>
        <v>0</v>
      </c>
      <c r="O1740">
        <f t="shared" si="273"/>
        <v>0</v>
      </c>
      <c r="P1740">
        <f t="shared" si="274"/>
        <v>0</v>
      </c>
      <c r="Q1740">
        <f t="shared" si="275"/>
        <v>0</v>
      </c>
      <c r="R1740">
        <f t="shared" si="276"/>
        <v>0</v>
      </c>
      <c r="S1740">
        <f t="shared" si="277"/>
        <v>0</v>
      </c>
      <c r="T1740">
        <f t="shared" si="279"/>
        <v>0</v>
      </c>
      <c r="U1740">
        <f t="shared" si="278"/>
        <v>0</v>
      </c>
    </row>
    <row r="1741" spans="1:21" x14ac:dyDescent="0.25">
      <c r="A1741" s="102">
        <v>1740</v>
      </c>
      <c r="B1741">
        <v>3007</v>
      </c>
      <c r="C1741" t="s">
        <v>184</v>
      </c>
      <c r="D1741">
        <v>24.7</v>
      </c>
      <c r="E1741">
        <v>14566.64</v>
      </c>
      <c r="F1741">
        <v>250.06</v>
      </c>
      <c r="G1741">
        <v>86.11</v>
      </c>
      <c r="H1741">
        <v>5080.6899999999996</v>
      </c>
      <c r="I1741" s="80">
        <v>17057.849999999999</v>
      </c>
      <c r="J1741">
        <v>55.39</v>
      </c>
      <c r="K1741">
        <v>6280.42</v>
      </c>
      <c r="L1741">
        <f t="shared" si="270"/>
        <v>0</v>
      </c>
      <c r="M1741">
        <f t="shared" si="271"/>
        <v>0</v>
      </c>
      <c r="N1741">
        <f t="shared" si="272"/>
        <v>0</v>
      </c>
      <c r="O1741">
        <f t="shared" si="273"/>
        <v>0</v>
      </c>
      <c r="P1741">
        <f t="shared" si="274"/>
        <v>0</v>
      </c>
      <c r="Q1741">
        <f t="shared" si="275"/>
        <v>0</v>
      </c>
      <c r="R1741">
        <f t="shared" si="276"/>
        <v>0</v>
      </c>
      <c r="S1741">
        <f t="shared" si="277"/>
        <v>0</v>
      </c>
      <c r="T1741">
        <f t="shared" si="279"/>
        <v>0</v>
      </c>
      <c r="U1741">
        <f t="shared" si="278"/>
        <v>0</v>
      </c>
    </row>
    <row r="1742" spans="1:21" x14ac:dyDescent="0.25">
      <c r="A1742" s="102">
        <v>1741</v>
      </c>
      <c r="B1742">
        <v>3007</v>
      </c>
      <c r="C1742" t="s">
        <v>187</v>
      </c>
      <c r="D1742">
        <v>42.05</v>
      </c>
      <c r="E1742">
        <v>13311.95</v>
      </c>
      <c r="F1742">
        <v>137.47</v>
      </c>
      <c r="G1742">
        <v>97.13</v>
      </c>
      <c r="H1742">
        <v>14130.26</v>
      </c>
      <c r="I1742" s="80">
        <v>14287.42</v>
      </c>
      <c r="J1742">
        <v>69.25</v>
      </c>
      <c r="K1742">
        <v>7955.45</v>
      </c>
      <c r="L1742">
        <f t="shared" si="270"/>
        <v>0</v>
      </c>
      <c r="M1742">
        <f t="shared" si="271"/>
        <v>0</v>
      </c>
      <c r="N1742">
        <f t="shared" si="272"/>
        <v>0</v>
      </c>
      <c r="O1742">
        <f t="shared" si="273"/>
        <v>0</v>
      </c>
      <c r="P1742">
        <f t="shared" si="274"/>
        <v>0</v>
      </c>
      <c r="Q1742">
        <f t="shared" si="275"/>
        <v>0</v>
      </c>
      <c r="R1742">
        <f t="shared" si="276"/>
        <v>0</v>
      </c>
      <c r="S1742">
        <f t="shared" si="277"/>
        <v>0</v>
      </c>
      <c r="T1742">
        <f t="shared" si="279"/>
        <v>0</v>
      </c>
      <c r="U1742">
        <f t="shared" si="278"/>
        <v>0</v>
      </c>
    </row>
    <row r="1743" spans="1:21" x14ac:dyDescent="0.25">
      <c r="A1743" s="102">
        <v>1742</v>
      </c>
      <c r="B1743">
        <v>3007</v>
      </c>
      <c r="C1743" t="s">
        <v>189</v>
      </c>
      <c r="D1743">
        <v>24.7</v>
      </c>
      <c r="E1743">
        <v>8297.8799999999992</v>
      </c>
      <c r="F1743">
        <v>15.81</v>
      </c>
      <c r="G1743">
        <v>55.31</v>
      </c>
      <c r="H1743">
        <v>10780.29</v>
      </c>
      <c r="I1743" s="80">
        <v>7611.66</v>
      </c>
      <c r="J1743">
        <v>69.25</v>
      </c>
      <c r="K1743" s="80">
        <v>9690.31</v>
      </c>
      <c r="L1743">
        <f t="shared" si="270"/>
        <v>0</v>
      </c>
      <c r="M1743">
        <f t="shared" si="271"/>
        <v>0</v>
      </c>
      <c r="N1743">
        <f t="shared" si="272"/>
        <v>0</v>
      </c>
      <c r="O1743">
        <f t="shared" si="273"/>
        <v>0</v>
      </c>
      <c r="P1743">
        <f t="shared" si="274"/>
        <v>0</v>
      </c>
      <c r="Q1743">
        <f t="shared" si="275"/>
        <v>0</v>
      </c>
      <c r="R1743">
        <f t="shared" si="276"/>
        <v>0</v>
      </c>
      <c r="S1743">
        <f t="shared" si="277"/>
        <v>0</v>
      </c>
      <c r="T1743">
        <f t="shared" si="279"/>
        <v>0</v>
      </c>
      <c r="U1743">
        <f t="shared" si="278"/>
        <v>0</v>
      </c>
    </row>
    <row r="1744" spans="1:21" x14ac:dyDescent="0.25">
      <c r="A1744" s="102">
        <v>1743</v>
      </c>
      <c r="B1744">
        <v>3012</v>
      </c>
      <c r="C1744" t="s">
        <v>162</v>
      </c>
      <c r="D1744">
        <v>17.02</v>
      </c>
      <c r="E1744" s="89" t="s">
        <v>582</v>
      </c>
      <c r="F1744">
        <v>1.22</v>
      </c>
      <c r="G1744">
        <v>65.180000000000007</v>
      </c>
      <c r="H1744">
        <v>2.1800000000000002</v>
      </c>
      <c r="I1744">
        <v>1.24</v>
      </c>
      <c r="J1744">
        <v>38.99</v>
      </c>
      <c r="K1744">
        <v>8.57</v>
      </c>
      <c r="L1744">
        <f t="shared" si="270"/>
        <v>0</v>
      </c>
      <c r="M1744">
        <f t="shared" si="271"/>
        <v>1</v>
      </c>
      <c r="N1744">
        <f t="shared" si="272"/>
        <v>0</v>
      </c>
      <c r="O1744">
        <f t="shared" si="273"/>
        <v>0</v>
      </c>
      <c r="P1744">
        <f t="shared" si="274"/>
        <v>0</v>
      </c>
      <c r="Q1744">
        <f t="shared" si="275"/>
        <v>0</v>
      </c>
      <c r="R1744">
        <f t="shared" si="276"/>
        <v>0</v>
      </c>
      <c r="S1744">
        <f t="shared" si="277"/>
        <v>0</v>
      </c>
      <c r="T1744">
        <f t="shared" si="279"/>
        <v>1</v>
      </c>
      <c r="U1744">
        <f t="shared" si="278"/>
        <v>1</v>
      </c>
    </row>
    <row r="1745" spans="1:21" x14ac:dyDescent="0.25">
      <c r="A1745" s="102">
        <v>1744</v>
      </c>
      <c r="B1745">
        <v>3012</v>
      </c>
      <c r="C1745" t="s">
        <v>170</v>
      </c>
      <c r="D1745">
        <v>19.5</v>
      </c>
      <c r="E1745" s="80">
        <v>39328.15</v>
      </c>
      <c r="F1745">
        <v>229.61</v>
      </c>
      <c r="G1745">
        <v>97.13</v>
      </c>
      <c r="H1745">
        <v>1967.49</v>
      </c>
      <c r="I1745" s="80">
        <v>15939.21</v>
      </c>
      <c r="J1745">
        <v>50.35</v>
      </c>
      <c r="K1745">
        <v>1838.82</v>
      </c>
      <c r="L1745">
        <f t="shared" si="270"/>
        <v>0</v>
      </c>
      <c r="M1745">
        <f t="shared" si="271"/>
        <v>0</v>
      </c>
      <c r="N1745">
        <f t="shared" si="272"/>
        <v>0</v>
      </c>
      <c r="O1745">
        <f t="shared" si="273"/>
        <v>0</v>
      </c>
      <c r="P1745">
        <f t="shared" si="274"/>
        <v>0</v>
      </c>
      <c r="Q1745">
        <f t="shared" si="275"/>
        <v>0</v>
      </c>
      <c r="R1745">
        <f t="shared" si="276"/>
        <v>0</v>
      </c>
      <c r="S1745">
        <f t="shared" si="277"/>
        <v>0</v>
      </c>
      <c r="T1745">
        <f t="shared" si="279"/>
        <v>0</v>
      </c>
      <c r="U1745">
        <f t="shared" si="278"/>
        <v>0</v>
      </c>
    </row>
    <row r="1746" spans="1:21" x14ac:dyDescent="0.25">
      <c r="A1746" s="102">
        <v>1745</v>
      </c>
      <c r="B1746">
        <v>3012</v>
      </c>
      <c r="C1746" t="s">
        <v>178</v>
      </c>
      <c r="D1746">
        <v>37.99</v>
      </c>
      <c r="E1746" s="80">
        <v>54425.81</v>
      </c>
      <c r="F1746">
        <v>1912.15</v>
      </c>
      <c r="G1746">
        <v>150.63</v>
      </c>
      <c r="H1746">
        <v>8351.4699999999993</v>
      </c>
      <c r="I1746" s="80">
        <v>17886.13</v>
      </c>
      <c r="J1746">
        <v>65.73</v>
      </c>
      <c r="K1746">
        <v>4189.95</v>
      </c>
      <c r="L1746">
        <f t="shared" si="270"/>
        <v>0</v>
      </c>
      <c r="M1746">
        <f t="shared" si="271"/>
        <v>0</v>
      </c>
      <c r="N1746">
        <f t="shared" si="272"/>
        <v>0</v>
      </c>
      <c r="O1746">
        <f t="shared" si="273"/>
        <v>0</v>
      </c>
      <c r="P1746">
        <f t="shared" si="274"/>
        <v>0</v>
      </c>
      <c r="Q1746">
        <f t="shared" si="275"/>
        <v>0</v>
      </c>
      <c r="R1746">
        <f t="shared" si="276"/>
        <v>0</v>
      </c>
      <c r="S1746">
        <f t="shared" si="277"/>
        <v>0</v>
      </c>
      <c r="T1746">
        <f t="shared" si="279"/>
        <v>0</v>
      </c>
      <c r="U1746">
        <f t="shared" si="278"/>
        <v>0</v>
      </c>
    </row>
    <row r="1747" spans="1:21" x14ac:dyDescent="0.25">
      <c r="A1747" s="102">
        <v>1746</v>
      </c>
      <c r="B1747">
        <v>3012</v>
      </c>
      <c r="C1747" t="s">
        <v>163</v>
      </c>
      <c r="D1747">
        <v>52.65</v>
      </c>
      <c r="E1747" s="80">
        <v>49058.99</v>
      </c>
      <c r="F1747">
        <v>971.02</v>
      </c>
      <c r="G1747">
        <v>182.83</v>
      </c>
      <c r="H1747" s="80">
        <v>52006.54</v>
      </c>
      <c r="I1747" s="80">
        <v>18925.43</v>
      </c>
      <c r="J1747">
        <v>142.07</v>
      </c>
      <c r="K1747" s="89" t="s">
        <v>582</v>
      </c>
      <c r="L1747">
        <f t="shared" si="270"/>
        <v>0</v>
      </c>
      <c r="M1747">
        <f t="shared" si="271"/>
        <v>0</v>
      </c>
      <c r="N1747">
        <f t="shared" si="272"/>
        <v>0</v>
      </c>
      <c r="O1747">
        <f t="shared" si="273"/>
        <v>0</v>
      </c>
      <c r="P1747">
        <f t="shared" si="274"/>
        <v>0</v>
      </c>
      <c r="Q1747">
        <f t="shared" si="275"/>
        <v>0</v>
      </c>
      <c r="R1747">
        <f t="shared" si="276"/>
        <v>0</v>
      </c>
      <c r="S1747">
        <f t="shared" si="277"/>
        <v>1</v>
      </c>
      <c r="T1747">
        <f t="shared" si="279"/>
        <v>1</v>
      </c>
      <c r="U1747">
        <f t="shared" si="278"/>
        <v>1</v>
      </c>
    </row>
    <row r="1748" spans="1:21" x14ac:dyDescent="0.25">
      <c r="A1748" s="102">
        <v>1747</v>
      </c>
      <c r="B1748">
        <v>3012</v>
      </c>
      <c r="C1748" t="s">
        <v>181</v>
      </c>
      <c r="D1748">
        <v>21.19</v>
      </c>
      <c r="E1748" s="89" t="s">
        <v>582</v>
      </c>
      <c r="F1748">
        <v>1.1399999999999999</v>
      </c>
      <c r="G1748">
        <v>86.11</v>
      </c>
      <c r="H1748">
        <v>4.4800000000000004</v>
      </c>
      <c r="I1748">
        <v>21.5</v>
      </c>
      <c r="J1748">
        <v>52.02</v>
      </c>
      <c r="K1748">
        <v>70.88</v>
      </c>
      <c r="L1748">
        <f t="shared" si="270"/>
        <v>0</v>
      </c>
      <c r="M1748">
        <f t="shared" si="271"/>
        <v>1</v>
      </c>
      <c r="N1748">
        <f t="shared" si="272"/>
        <v>0</v>
      </c>
      <c r="O1748">
        <f t="shared" si="273"/>
        <v>0</v>
      </c>
      <c r="P1748">
        <f t="shared" si="274"/>
        <v>0</v>
      </c>
      <c r="Q1748">
        <f t="shared" si="275"/>
        <v>0</v>
      </c>
      <c r="R1748">
        <f t="shared" si="276"/>
        <v>0</v>
      </c>
      <c r="S1748">
        <f t="shared" si="277"/>
        <v>0</v>
      </c>
      <c r="T1748">
        <f t="shared" si="279"/>
        <v>1</v>
      </c>
      <c r="U1748">
        <f t="shared" si="278"/>
        <v>1</v>
      </c>
    </row>
    <row r="1749" spans="1:21" x14ac:dyDescent="0.25">
      <c r="A1749" s="102">
        <v>1748</v>
      </c>
      <c r="B1749">
        <v>3012</v>
      </c>
      <c r="C1749" t="s">
        <v>183</v>
      </c>
      <c r="D1749">
        <v>22.93</v>
      </c>
      <c r="E1749" s="80">
        <v>92045.19</v>
      </c>
      <c r="F1749">
        <v>373.85</v>
      </c>
      <c r="G1749">
        <v>108.48</v>
      </c>
      <c r="H1749">
        <v>3141.42</v>
      </c>
      <c r="I1749" s="80">
        <v>18802.59</v>
      </c>
      <c r="J1749">
        <v>76.41</v>
      </c>
      <c r="K1749">
        <v>4205.25</v>
      </c>
      <c r="L1749">
        <f t="shared" si="270"/>
        <v>0</v>
      </c>
      <c r="M1749">
        <f t="shared" si="271"/>
        <v>0</v>
      </c>
      <c r="N1749">
        <f t="shared" si="272"/>
        <v>0</v>
      </c>
      <c r="O1749">
        <f t="shared" si="273"/>
        <v>0</v>
      </c>
      <c r="P1749">
        <f t="shared" si="274"/>
        <v>0</v>
      </c>
      <c r="Q1749">
        <f t="shared" si="275"/>
        <v>0</v>
      </c>
      <c r="R1749">
        <f t="shared" si="276"/>
        <v>0</v>
      </c>
      <c r="S1749">
        <f t="shared" si="277"/>
        <v>0</v>
      </c>
      <c r="T1749">
        <f t="shared" si="279"/>
        <v>0</v>
      </c>
      <c r="U1749">
        <f t="shared" si="278"/>
        <v>0</v>
      </c>
    </row>
    <row r="1750" spans="1:21" x14ac:dyDescent="0.25">
      <c r="A1750" s="102">
        <v>1749</v>
      </c>
      <c r="B1750">
        <v>3012</v>
      </c>
      <c r="C1750" t="s">
        <v>186</v>
      </c>
      <c r="D1750">
        <v>34.04</v>
      </c>
      <c r="E1750" s="80">
        <v>121186.69</v>
      </c>
      <c r="F1750">
        <v>2268.0500000000002</v>
      </c>
      <c r="G1750">
        <v>196.15</v>
      </c>
      <c r="H1750">
        <v>9930.94</v>
      </c>
      <c r="I1750" s="80">
        <v>20258.28</v>
      </c>
      <c r="J1750">
        <v>85.54</v>
      </c>
      <c r="K1750" s="80">
        <v>8758.7900000000009</v>
      </c>
      <c r="L1750">
        <f t="shared" si="270"/>
        <v>0</v>
      </c>
      <c r="M1750">
        <f t="shared" si="271"/>
        <v>0</v>
      </c>
      <c r="N1750">
        <f t="shared" si="272"/>
        <v>0</v>
      </c>
      <c r="O1750">
        <f t="shared" si="273"/>
        <v>0</v>
      </c>
      <c r="P1750">
        <f t="shared" si="274"/>
        <v>0</v>
      </c>
      <c r="Q1750">
        <f t="shared" si="275"/>
        <v>0</v>
      </c>
      <c r="R1750">
        <f t="shared" si="276"/>
        <v>0</v>
      </c>
      <c r="S1750">
        <f t="shared" si="277"/>
        <v>0</v>
      </c>
      <c r="T1750">
        <f t="shared" si="279"/>
        <v>0</v>
      </c>
      <c r="U1750">
        <f t="shared" si="278"/>
        <v>0</v>
      </c>
    </row>
    <row r="1751" spans="1:21" x14ac:dyDescent="0.25">
      <c r="A1751" s="102">
        <v>1750</v>
      </c>
      <c r="B1751">
        <v>3012</v>
      </c>
      <c r="C1751" t="s">
        <v>188</v>
      </c>
      <c r="D1751">
        <v>47.27</v>
      </c>
      <c r="E1751" s="89" t="s">
        <v>582</v>
      </c>
      <c r="F1751">
        <v>707.61</v>
      </c>
      <c r="G1751">
        <v>189.46</v>
      </c>
      <c r="H1751" s="80">
        <v>26194.59</v>
      </c>
      <c r="I1751" s="80">
        <v>20291.79</v>
      </c>
      <c r="J1751">
        <v>133.94999999999999</v>
      </c>
      <c r="K1751" s="89" t="s">
        <v>582</v>
      </c>
      <c r="L1751">
        <f t="shared" si="270"/>
        <v>0</v>
      </c>
      <c r="M1751">
        <f t="shared" si="271"/>
        <v>1</v>
      </c>
      <c r="N1751">
        <f t="shared" si="272"/>
        <v>0</v>
      </c>
      <c r="O1751">
        <f t="shared" si="273"/>
        <v>0</v>
      </c>
      <c r="P1751">
        <f t="shared" si="274"/>
        <v>0</v>
      </c>
      <c r="Q1751">
        <f t="shared" si="275"/>
        <v>0</v>
      </c>
      <c r="R1751">
        <f t="shared" si="276"/>
        <v>0</v>
      </c>
      <c r="S1751">
        <f t="shared" si="277"/>
        <v>1</v>
      </c>
      <c r="T1751">
        <f t="shared" si="279"/>
        <v>2</v>
      </c>
      <c r="U1751">
        <f t="shared" si="278"/>
        <v>1</v>
      </c>
    </row>
    <row r="1752" spans="1:21" x14ac:dyDescent="0.25">
      <c r="A1752" s="102">
        <v>1751</v>
      </c>
      <c r="B1752">
        <v>3012</v>
      </c>
      <c r="C1752" t="s">
        <v>182</v>
      </c>
      <c r="D1752" s="80">
        <v>0.31</v>
      </c>
      <c r="E1752">
        <v>1872.62</v>
      </c>
      <c r="F1752">
        <v>0.27</v>
      </c>
      <c r="G1752">
        <v>7.37</v>
      </c>
      <c r="H1752" s="80">
        <v>0.04</v>
      </c>
      <c r="I1752">
        <v>0.9</v>
      </c>
      <c r="J1752" s="80">
        <v>0.39</v>
      </c>
      <c r="K1752">
        <v>0.35</v>
      </c>
      <c r="L1752">
        <f t="shared" si="270"/>
        <v>0</v>
      </c>
      <c r="M1752">
        <f t="shared" si="271"/>
        <v>0</v>
      </c>
      <c r="N1752">
        <f t="shared" si="272"/>
        <v>0</v>
      </c>
      <c r="O1752">
        <f t="shared" si="273"/>
        <v>0</v>
      </c>
      <c r="P1752">
        <f t="shared" si="274"/>
        <v>0</v>
      </c>
      <c r="Q1752">
        <f t="shared" si="275"/>
        <v>0</v>
      </c>
      <c r="R1752">
        <f t="shared" si="276"/>
        <v>0</v>
      </c>
      <c r="S1752">
        <f t="shared" si="277"/>
        <v>0</v>
      </c>
      <c r="T1752">
        <f t="shared" si="279"/>
        <v>0</v>
      </c>
      <c r="U1752">
        <f t="shared" si="278"/>
        <v>0</v>
      </c>
    </row>
    <row r="1753" spans="1:21" x14ac:dyDescent="0.25">
      <c r="A1753" s="102">
        <v>1752</v>
      </c>
      <c r="B1753">
        <v>3012</v>
      </c>
      <c r="C1753" t="s">
        <v>184</v>
      </c>
      <c r="D1753">
        <v>16.22</v>
      </c>
      <c r="E1753">
        <v>17364.03</v>
      </c>
      <c r="F1753">
        <v>104.45</v>
      </c>
      <c r="G1753">
        <v>91.58</v>
      </c>
      <c r="H1753">
        <v>3990.3</v>
      </c>
      <c r="I1753" s="80">
        <v>15026.08</v>
      </c>
      <c r="J1753">
        <v>35.86</v>
      </c>
      <c r="K1753">
        <v>2345.2199999999998</v>
      </c>
      <c r="L1753">
        <f t="shared" si="270"/>
        <v>0</v>
      </c>
      <c r="M1753">
        <f t="shared" si="271"/>
        <v>0</v>
      </c>
      <c r="N1753">
        <f t="shared" si="272"/>
        <v>0</v>
      </c>
      <c r="O1753">
        <f t="shared" si="273"/>
        <v>0</v>
      </c>
      <c r="P1753">
        <f t="shared" si="274"/>
        <v>0</v>
      </c>
      <c r="Q1753">
        <f t="shared" si="275"/>
        <v>0</v>
      </c>
      <c r="R1753">
        <f t="shared" si="276"/>
        <v>0</v>
      </c>
      <c r="S1753">
        <f t="shared" si="277"/>
        <v>0</v>
      </c>
      <c r="T1753">
        <f t="shared" si="279"/>
        <v>0</v>
      </c>
      <c r="U1753">
        <f t="shared" si="278"/>
        <v>0</v>
      </c>
    </row>
    <row r="1754" spans="1:21" x14ac:dyDescent="0.25">
      <c r="A1754" s="102">
        <v>1753</v>
      </c>
      <c r="B1754">
        <v>3012</v>
      </c>
      <c r="C1754" t="s">
        <v>187</v>
      </c>
      <c r="D1754">
        <v>22.06</v>
      </c>
      <c r="E1754">
        <v>18613.810000000001</v>
      </c>
      <c r="F1754">
        <v>274.54000000000002</v>
      </c>
      <c r="G1754">
        <v>97.13</v>
      </c>
      <c r="H1754">
        <v>8954.81</v>
      </c>
      <c r="I1754" s="80">
        <v>14718.19</v>
      </c>
      <c r="J1754">
        <v>55.39</v>
      </c>
      <c r="K1754">
        <v>6875.79</v>
      </c>
      <c r="L1754">
        <f t="shared" si="270"/>
        <v>0</v>
      </c>
      <c r="M1754">
        <f t="shared" si="271"/>
        <v>0</v>
      </c>
      <c r="N1754">
        <f t="shared" si="272"/>
        <v>0</v>
      </c>
      <c r="O1754">
        <f t="shared" si="273"/>
        <v>0</v>
      </c>
      <c r="P1754">
        <f t="shared" si="274"/>
        <v>0</v>
      </c>
      <c r="Q1754">
        <f t="shared" si="275"/>
        <v>0</v>
      </c>
      <c r="R1754">
        <f t="shared" si="276"/>
        <v>0</v>
      </c>
      <c r="S1754">
        <f t="shared" si="277"/>
        <v>0</v>
      </c>
      <c r="T1754">
        <f t="shared" si="279"/>
        <v>0</v>
      </c>
      <c r="U1754">
        <f t="shared" si="278"/>
        <v>0</v>
      </c>
    </row>
    <row r="1755" spans="1:21" x14ac:dyDescent="0.25">
      <c r="A1755" s="102">
        <v>1754</v>
      </c>
      <c r="B1755">
        <v>3012</v>
      </c>
      <c r="C1755" t="s">
        <v>189</v>
      </c>
      <c r="D1755">
        <v>19.5</v>
      </c>
      <c r="E1755">
        <v>15122.01</v>
      </c>
      <c r="F1755">
        <v>65.45</v>
      </c>
      <c r="G1755">
        <v>97.13</v>
      </c>
      <c r="H1755">
        <v>4887.0600000000004</v>
      </c>
      <c r="I1755" s="80">
        <v>11090.33</v>
      </c>
      <c r="J1755">
        <v>62.24</v>
      </c>
      <c r="K1755" s="80">
        <v>10569.57</v>
      </c>
      <c r="L1755">
        <f t="shared" si="270"/>
        <v>0</v>
      </c>
      <c r="M1755">
        <f t="shared" si="271"/>
        <v>0</v>
      </c>
      <c r="N1755">
        <f t="shared" si="272"/>
        <v>0</v>
      </c>
      <c r="O1755">
        <f t="shared" si="273"/>
        <v>0</v>
      </c>
      <c r="P1755">
        <f t="shared" si="274"/>
        <v>0</v>
      </c>
      <c r="Q1755">
        <f t="shared" si="275"/>
        <v>0</v>
      </c>
      <c r="R1755">
        <f t="shared" si="276"/>
        <v>0</v>
      </c>
      <c r="S1755">
        <f t="shared" si="277"/>
        <v>0</v>
      </c>
      <c r="T1755">
        <f t="shared" si="279"/>
        <v>0</v>
      </c>
      <c r="U1755">
        <f t="shared" si="278"/>
        <v>0</v>
      </c>
    </row>
    <row r="1756" spans="1:21" x14ac:dyDescent="0.25">
      <c r="A1756" s="102">
        <v>1755</v>
      </c>
      <c r="B1756">
        <v>1071</v>
      </c>
      <c r="C1756" t="s">
        <v>162</v>
      </c>
      <c r="D1756">
        <v>61.57</v>
      </c>
      <c r="E1756" s="80">
        <v>84674.22</v>
      </c>
      <c r="F1756">
        <v>409.15</v>
      </c>
      <c r="G1756">
        <v>169.76</v>
      </c>
      <c r="H1756" s="80">
        <v>17056.259999999998</v>
      </c>
      <c r="I1756" s="80">
        <v>18513.25</v>
      </c>
      <c r="J1756">
        <v>133.94999999999999</v>
      </c>
      <c r="K1756" s="80">
        <v>9866.0300000000007</v>
      </c>
      <c r="L1756">
        <f t="shared" si="270"/>
        <v>0</v>
      </c>
      <c r="M1756">
        <f t="shared" si="271"/>
        <v>0</v>
      </c>
      <c r="N1756">
        <f t="shared" si="272"/>
        <v>0</v>
      </c>
      <c r="O1756">
        <f t="shared" si="273"/>
        <v>0</v>
      </c>
      <c r="P1756">
        <f t="shared" si="274"/>
        <v>0</v>
      </c>
      <c r="Q1756">
        <f t="shared" si="275"/>
        <v>0</v>
      </c>
      <c r="R1756">
        <f t="shared" si="276"/>
        <v>0</v>
      </c>
      <c r="S1756">
        <f t="shared" si="277"/>
        <v>0</v>
      </c>
      <c r="T1756">
        <f t="shared" si="279"/>
        <v>0</v>
      </c>
      <c r="U1756">
        <f t="shared" si="278"/>
        <v>0</v>
      </c>
    </row>
    <row r="1757" spans="1:21" x14ac:dyDescent="0.25">
      <c r="A1757" s="102">
        <v>1756</v>
      </c>
      <c r="B1757">
        <v>1071</v>
      </c>
      <c r="C1757" t="s">
        <v>170</v>
      </c>
      <c r="D1757">
        <v>38.99</v>
      </c>
      <c r="E1757" s="80">
        <v>182216.02</v>
      </c>
      <c r="F1757">
        <v>299.83</v>
      </c>
      <c r="G1757">
        <v>126.1</v>
      </c>
      <c r="H1757" s="80">
        <v>28007.01</v>
      </c>
      <c r="I1757" s="80">
        <v>19724.400000000001</v>
      </c>
      <c r="J1757">
        <v>76.41</v>
      </c>
      <c r="K1757">
        <v>828.27</v>
      </c>
      <c r="L1757">
        <f t="shared" si="270"/>
        <v>0</v>
      </c>
      <c r="M1757">
        <f t="shared" si="271"/>
        <v>0</v>
      </c>
      <c r="N1757">
        <f t="shared" si="272"/>
        <v>0</v>
      </c>
      <c r="O1757">
        <f t="shared" si="273"/>
        <v>0</v>
      </c>
      <c r="P1757">
        <f t="shared" si="274"/>
        <v>0</v>
      </c>
      <c r="Q1757">
        <f t="shared" si="275"/>
        <v>0</v>
      </c>
      <c r="R1757">
        <f t="shared" si="276"/>
        <v>0</v>
      </c>
      <c r="S1757">
        <f t="shared" si="277"/>
        <v>0</v>
      </c>
      <c r="T1757">
        <f t="shared" si="279"/>
        <v>0</v>
      </c>
      <c r="U1757">
        <f t="shared" si="278"/>
        <v>0</v>
      </c>
    </row>
    <row r="1758" spans="1:21" x14ac:dyDescent="0.25">
      <c r="A1758" s="102">
        <v>1757</v>
      </c>
      <c r="B1758">
        <v>1071</v>
      </c>
      <c r="C1758" t="s">
        <v>178</v>
      </c>
      <c r="D1758">
        <v>21.19</v>
      </c>
      <c r="E1758" s="80">
        <v>67115.399999999994</v>
      </c>
      <c r="F1758">
        <v>52.79</v>
      </c>
      <c r="G1758">
        <v>86.11</v>
      </c>
      <c r="H1758">
        <v>3441.04</v>
      </c>
      <c r="I1758" s="80">
        <v>16362.99</v>
      </c>
      <c r="J1758">
        <v>40.58</v>
      </c>
      <c r="K1758">
        <v>175.75</v>
      </c>
      <c r="L1758">
        <f t="shared" si="270"/>
        <v>0</v>
      </c>
      <c r="M1758">
        <f t="shared" si="271"/>
        <v>0</v>
      </c>
      <c r="N1758">
        <f t="shared" si="272"/>
        <v>0</v>
      </c>
      <c r="O1758">
        <f t="shared" si="273"/>
        <v>0</v>
      </c>
      <c r="P1758">
        <f t="shared" si="274"/>
        <v>0</v>
      </c>
      <c r="Q1758">
        <f t="shared" si="275"/>
        <v>0</v>
      </c>
      <c r="R1758">
        <f t="shared" si="276"/>
        <v>0</v>
      </c>
      <c r="S1758">
        <f t="shared" si="277"/>
        <v>0</v>
      </c>
      <c r="T1758">
        <f t="shared" si="279"/>
        <v>0</v>
      </c>
      <c r="U1758">
        <f t="shared" si="278"/>
        <v>0</v>
      </c>
    </row>
    <row r="1759" spans="1:21" x14ac:dyDescent="0.25">
      <c r="A1759" s="102">
        <v>1758</v>
      </c>
      <c r="B1759">
        <v>1071</v>
      </c>
      <c r="C1759" t="s">
        <v>163</v>
      </c>
      <c r="D1759">
        <v>7.45</v>
      </c>
      <c r="E1759">
        <v>22690.63</v>
      </c>
      <c r="F1759">
        <v>1.91</v>
      </c>
      <c r="G1759">
        <v>20.7</v>
      </c>
      <c r="H1759">
        <v>2.4300000000000002</v>
      </c>
      <c r="I1759">
        <v>229.54</v>
      </c>
      <c r="J1759">
        <v>23.89</v>
      </c>
      <c r="K1759">
        <v>3.21</v>
      </c>
      <c r="L1759">
        <f t="shared" si="270"/>
        <v>0</v>
      </c>
      <c r="M1759">
        <f t="shared" si="271"/>
        <v>0</v>
      </c>
      <c r="N1759">
        <f t="shared" si="272"/>
        <v>0</v>
      </c>
      <c r="O1759">
        <f t="shared" si="273"/>
        <v>0</v>
      </c>
      <c r="P1759">
        <f t="shared" si="274"/>
        <v>0</v>
      </c>
      <c r="Q1759">
        <f t="shared" si="275"/>
        <v>0</v>
      </c>
      <c r="R1759">
        <f t="shared" si="276"/>
        <v>0</v>
      </c>
      <c r="S1759">
        <f t="shared" si="277"/>
        <v>0</v>
      </c>
      <c r="T1759">
        <f t="shared" si="279"/>
        <v>0</v>
      </c>
      <c r="U1759">
        <f t="shared" si="278"/>
        <v>0</v>
      </c>
    </row>
    <row r="1760" spans="1:21" x14ac:dyDescent="0.25">
      <c r="A1760" s="102">
        <v>1759</v>
      </c>
      <c r="B1760">
        <v>1071</v>
      </c>
      <c r="C1760" t="s">
        <v>181</v>
      </c>
      <c r="D1760">
        <v>16.22</v>
      </c>
      <c r="E1760" s="80">
        <v>42364.26</v>
      </c>
      <c r="F1760">
        <v>1.87</v>
      </c>
      <c r="G1760">
        <v>45.88</v>
      </c>
      <c r="H1760">
        <v>23.86</v>
      </c>
      <c r="I1760" s="80">
        <v>6184.59</v>
      </c>
      <c r="J1760">
        <v>38.99</v>
      </c>
      <c r="K1760">
        <v>29.19</v>
      </c>
      <c r="L1760">
        <f t="shared" si="270"/>
        <v>0</v>
      </c>
      <c r="M1760">
        <f t="shared" si="271"/>
        <v>0</v>
      </c>
      <c r="N1760">
        <f t="shared" si="272"/>
        <v>0</v>
      </c>
      <c r="O1760">
        <f t="shared" si="273"/>
        <v>0</v>
      </c>
      <c r="P1760">
        <f t="shared" si="274"/>
        <v>0</v>
      </c>
      <c r="Q1760">
        <f t="shared" si="275"/>
        <v>0</v>
      </c>
      <c r="R1760">
        <f t="shared" si="276"/>
        <v>0</v>
      </c>
      <c r="S1760">
        <f t="shared" si="277"/>
        <v>0</v>
      </c>
      <c r="T1760">
        <f t="shared" si="279"/>
        <v>0</v>
      </c>
      <c r="U1760">
        <f t="shared" si="278"/>
        <v>0</v>
      </c>
    </row>
    <row r="1761" spans="1:21" x14ac:dyDescent="0.25">
      <c r="A1761" s="102">
        <v>1760</v>
      </c>
      <c r="B1761">
        <v>1071</v>
      </c>
      <c r="C1761" t="s">
        <v>183</v>
      </c>
      <c r="D1761">
        <v>24.7</v>
      </c>
      <c r="E1761" s="80">
        <v>53184.160000000003</v>
      </c>
      <c r="F1761">
        <v>152.61000000000001</v>
      </c>
      <c r="G1761">
        <v>97.13</v>
      </c>
      <c r="H1761">
        <v>12016.95</v>
      </c>
      <c r="I1761" s="80">
        <v>19630.080000000002</v>
      </c>
      <c r="J1761">
        <v>65.73</v>
      </c>
      <c r="K1761">
        <v>1630.98</v>
      </c>
      <c r="L1761">
        <f t="shared" si="270"/>
        <v>0</v>
      </c>
      <c r="M1761">
        <f t="shared" si="271"/>
        <v>0</v>
      </c>
      <c r="N1761">
        <f t="shared" si="272"/>
        <v>0</v>
      </c>
      <c r="O1761">
        <f t="shared" si="273"/>
        <v>0</v>
      </c>
      <c r="P1761">
        <f t="shared" si="274"/>
        <v>0</v>
      </c>
      <c r="Q1761">
        <f t="shared" si="275"/>
        <v>0</v>
      </c>
      <c r="R1761">
        <f t="shared" si="276"/>
        <v>0</v>
      </c>
      <c r="S1761">
        <f t="shared" si="277"/>
        <v>0</v>
      </c>
      <c r="T1761">
        <f t="shared" si="279"/>
        <v>0</v>
      </c>
      <c r="U1761">
        <f t="shared" si="278"/>
        <v>0</v>
      </c>
    </row>
    <row r="1762" spans="1:21" x14ac:dyDescent="0.25">
      <c r="A1762" s="97">
        <v>1761</v>
      </c>
      <c r="B1762">
        <v>1071</v>
      </c>
      <c r="C1762" t="s">
        <v>186</v>
      </c>
      <c r="D1762">
        <v>32.590000000000003</v>
      </c>
      <c r="E1762" s="80">
        <v>340930.14</v>
      </c>
      <c r="F1762">
        <v>507.71</v>
      </c>
      <c r="G1762">
        <v>138.22</v>
      </c>
      <c r="H1762" s="80">
        <v>189189.97</v>
      </c>
      <c r="I1762" s="80">
        <v>22716.69</v>
      </c>
      <c r="J1762">
        <v>88.32</v>
      </c>
      <c r="K1762">
        <v>4907.2</v>
      </c>
      <c r="L1762">
        <f t="shared" si="270"/>
        <v>0</v>
      </c>
      <c r="M1762">
        <f t="shared" si="271"/>
        <v>0</v>
      </c>
      <c r="N1762">
        <f t="shared" si="272"/>
        <v>0</v>
      </c>
      <c r="O1762">
        <f t="shared" si="273"/>
        <v>0</v>
      </c>
      <c r="P1762">
        <f t="shared" si="274"/>
        <v>0</v>
      </c>
      <c r="Q1762">
        <f t="shared" si="275"/>
        <v>0</v>
      </c>
      <c r="R1762">
        <f t="shared" si="276"/>
        <v>0</v>
      </c>
      <c r="S1762">
        <f t="shared" si="277"/>
        <v>0</v>
      </c>
      <c r="T1762">
        <f t="shared" si="279"/>
        <v>0</v>
      </c>
      <c r="U1762">
        <f t="shared" si="278"/>
        <v>0</v>
      </c>
    </row>
    <row r="1763" spans="1:21" x14ac:dyDescent="0.25">
      <c r="A1763" s="97">
        <v>1762</v>
      </c>
      <c r="B1763">
        <v>1071</v>
      </c>
      <c r="C1763" t="s">
        <v>188</v>
      </c>
      <c r="D1763">
        <v>40.51</v>
      </c>
      <c r="E1763" s="89" t="s">
        <v>582</v>
      </c>
      <c r="F1763">
        <v>453.98</v>
      </c>
      <c r="G1763">
        <v>176.26</v>
      </c>
      <c r="H1763" s="80">
        <v>44245.19</v>
      </c>
      <c r="I1763" s="80">
        <v>21476.69</v>
      </c>
      <c r="J1763">
        <v>107.28</v>
      </c>
      <c r="K1763" s="80">
        <v>18248.650000000001</v>
      </c>
      <c r="L1763">
        <f t="shared" si="270"/>
        <v>0</v>
      </c>
      <c r="M1763">
        <f t="shared" si="271"/>
        <v>1</v>
      </c>
      <c r="N1763">
        <f t="shared" si="272"/>
        <v>0</v>
      </c>
      <c r="O1763">
        <f t="shared" si="273"/>
        <v>0</v>
      </c>
      <c r="P1763">
        <f t="shared" si="274"/>
        <v>0</v>
      </c>
      <c r="Q1763">
        <f t="shared" si="275"/>
        <v>0</v>
      </c>
      <c r="R1763">
        <f t="shared" si="276"/>
        <v>0</v>
      </c>
      <c r="S1763">
        <f t="shared" si="277"/>
        <v>0</v>
      </c>
      <c r="T1763">
        <f t="shared" si="279"/>
        <v>1</v>
      </c>
      <c r="U1763">
        <f t="shared" si="278"/>
        <v>1</v>
      </c>
    </row>
    <row r="1764" spans="1:21" x14ac:dyDescent="0.25">
      <c r="A1764" s="97">
        <v>1763</v>
      </c>
      <c r="B1764">
        <v>1071</v>
      </c>
      <c r="C1764" t="s">
        <v>182</v>
      </c>
      <c r="D1764">
        <v>64.430000000000007</v>
      </c>
      <c r="E1764" s="80">
        <v>45115.23</v>
      </c>
      <c r="F1764">
        <v>21.95</v>
      </c>
      <c r="G1764">
        <v>114.28</v>
      </c>
      <c r="H1764">
        <v>9712.67</v>
      </c>
      <c r="I1764" s="80">
        <v>10766.06</v>
      </c>
      <c r="J1764">
        <v>59.65</v>
      </c>
      <c r="K1764">
        <v>6064.67</v>
      </c>
      <c r="L1764">
        <f t="shared" si="270"/>
        <v>0</v>
      </c>
      <c r="M1764">
        <f t="shared" si="271"/>
        <v>0</v>
      </c>
      <c r="N1764">
        <f t="shared" si="272"/>
        <v>0</v>
      </c>
      <c r="O1764">
        <f t="shared" si="273"/>
        <v>0</v>
      </c>
      <c r="P1764">
        <f t="shared" si="274"/>
        <v>0</v>
      </c>
      <c r="Q1764">
        <f t="shared" si="275"/>
        <v>0</v>
      </c>
      <c r="R1764">
        <f t="shared" si="276"/>
        <v>0</v>
      </c>
      <c r="S1764">
        <f t="shared" si="277"/>
        <v>0</v>
      </c>
      <c r="T1764">
        <f t="shared" si="279"/>
        <v>0</v>
      </c>
      <c r="U1764">
        <f t="shared" si="278"/>
        <v>0</v>
      </c>
    </row>
    <row r="1765" spans="1:21" x14ac:dyDescent="0.25">
      <c r="A1765" s="97">
        <v>1764</v>
      </c>
      <c r="B1765">
        <v>1071</v>
      </c>
      <c r="C1765" t="s">
        <v>184</v>
      </c>
      <c r="D1765">
        <v>101.25</v>
      </c>
      <c r="E1765" s="80">
        <v>66242.53</v>
      </c>
      <c r="F1765">
        <v>67.89</v>
      </c>
      <c r="G1765">
        <v>114.28</v>
      </c>
      <c r="H1765" s="80">
        <v>26319.95</v>
      </c>
      <c r="I1765" s="80">
        <v>18631.04</v>
      </c>
      <c r="J1765">
        <v>63.11</v>
      </c>
      <c r="K1765">
        <v>4017.71</v>
      </c>
      <c r="L1765">
        <f t="shared" si="270"/>
        <v>0</v>
      </c>
      <c r="M1765">
        <f t="shared" si="271"/>
        <v>0</v>
      </c>
      <c r="N1765">
        <f t="shared" si="272"/>
        <v>0</v>
      </c>
      <c r="O1765">
        <f t="shared" si="273"/>
        <v>0</v>
      </c>
      <c r="P1765">
        <f t="shared" si="274"/>
        <v>0</v>
      </c>
      <c r="Q1765">
        <f t="shared" si="275"/>
        <v>0</v>
      </c>
      <c r="R1765">
        <f t="shared" si="276"/>
        <v>0</v>
      </c>
      <c r="S1765">
        <f t="shared" si="277"/>
        <v>0</v>
      </c>
      <c r="T1765">
        <f t="shared" si="279"/>
        <v>0</v>
      </c>
      <c r="U1765">
        <f t="shared" si="278"/>
        <v>0</v>
      </c>
    </row>
    <row r="1766" spans="1:21" x14ac:dyDescent="0.25">
      <c r="A1766" s="97">
        <v>1765</v>
      </c>
      <c r="B1766">
        <v>1071</v>
      </c>
      <c r="C1766" t="s">
        <v>187</v>
      </c>
      <c r="D1766">
        <v>14.25</v>
      </c>
      <c r="E1766" s="80">
        <v>41576.400000000001</v>
      </c>
      <c r="F1766">
        <v>44.31</v>
      </c>
      <c r="G1766">
        <v>97.13</v>
      </c>
      <c r="H1766">
        <v>4962.21</v>
      </c>
      <c r="I1766" s="80">
        <v>16507.650000000001</v>
      </c>
      <c r="J1766">
        <v>36.64</v>
      </c>
      <c r="K1766">
        <v>626.55999999999995</v>
      </c>
      <c r="L1766">
        <f t="shared" si="270"/>
        <v>0</v>
      </c>
      <c r="M1766">
        <f t="shared" si="271"/>
        <v>0</v>
      </c>
      <c r="N1766">
        <f t="shared" si="272"/>
        <v>0</v>
      </c>
      <c r="O1766">
        <f t="shared" si="273"/>
        <v>0</v>
      </c>
      <c r="P1766">
        <f t="shared" si="274"/>
        <v>0</v>
      </c>
      <c r="Q1766">
        <f t="shared" si="275"/>
        <v>0</v>
      </c>
      <c r="R1766">
        <f t="shared" si="276"/>
        <v>0</v>
      </c>
      <c r="S1766">
        <f t="shared" si="277"/>
        <v>0</v>
      </c>
      <c r="T1766">
        <f t="shared" si="279"/>
        <v>0</v>
      </c>
      <c r="U1766">
        <f t="shared" si="278"/>
        <v>0</v>
      </c>
    </row>
    <row r="1767" spans="1:21" x14ac:dyDescent="0.25">
      <c r="A1767" s="97">
        <v>1766</v>
      </c>
      <c r="B1767">
        <v>1071</v>
      </c>
      <c r="C1767" t="s">
        <v>189</v>
      </c>
      <c r="D1767">
        <v>2.0499999999999998</v>
      </c>
      <c r="E1767">
        <v>7562.52</v>
      </c>
      <c r="F1767">
        <v>0.4</v>
      </c>
      <c r="G1767">
        <v>17.05</v>
      </c>
      <c r="H1767">
        <v>4.34</v>
      </c>
      <c r="I1767">
        <v>129.4</v>
      </c>
      <c r="J1767">
        <v>2.38</v>
      </c>
      <c r="K1767">
        <v>1.26</v>
      </c>
      <c r="L1767">
        <f t="shared" si="270"/>
        <v>0</v>
      </c>
      <c r="M1767">
        <f t="shared" si="271"/>
        <v>0</v>
      </c>
      <c r="N1767">
        <f t="shared" si="272"/>
        <v>0</v>
      </c>
      <c r="O1767">
        <f t="shared" si="273"/>
        <v>0</v>
      </c>
      <c r="P1767">
        <f t="shared" si="274"/>
        <v>0</v>
      </c>
      <c r="Q1767">
        <f t="shared" si="275"/>
        <v>0</v>
      </c>
      <c r="R1767">
        <f t="shared" si="276"/>
        <v>0</v>
      </c>
      <c r="S1767">
        <f t="shared" si="277"/>
        <v>0</v>
      </c>
      <c r="T1767">
        <f t="shared" si="279"/>
        <v>0</v>
      </c>
      <c r="U1767">
        <f t="shared" si="278"/>
        <v>0</v>
      </c>
    </row>
    <row r="1768" spans="1:21" x14ac:dyDescent="0.25">
      <c r="A1768" s="97">
        <v>1767</v>
      </c>
      <c r="B1768" t="s">
        <v>635</v>
      </c>
      <c r="C1768" t="s">
        <v>162</v>
      </c>
      <c r="D1768">
        <v>11.25</v>
      </c>
      <c r="E1768" s="80">
        <v>40938.980000000003</v>
      </c>
      <c r="F1768">
        <v>0.81</v>
      </c>
      <c r="G1768">
        <v>24.53</v>
      </c>
      <c r="H1768">
        <v>1.1000000000000001</v>
      </c>
      <c r="I1768">
        <v>1.57</v>
      </c>
      <c r="J1768">
        <v>24.6</v>
      </c>
      <c r="K1768">
        <v>8.16</v>
      </c>
      <c r="L1768">
        <f t="shared" si="270"/>
        <v>0</v>
      </c>
      <c r="M1768">
        <f t="shared" si="271"/>
        <v>0</v>
      </c>
      <c r="N1768">
        <f t="shared" si="272"/>
        <v>0</v>
      </c>
      <c r="O1768">
        <f t="shared" si="273"/>
        <v>0</v>
      </c>
      <c r="P1768">
        <f t="shared" si="274"/>
        <v>0</v>
      </c>
      <c r="Q1768">
        <f t="shared" si="275"/>
        <v>0</v>
      </c>
      <c r="R1768">
        <f t="shared" si="276"/>
        <v>0</v>
      </c>
      <c r="S1768">
        <f t="shared" si="277"/>
        <v>0</v>
      </c>
      <c r="T1768">
        <f t="shared" si="279"/>
        <v>0</v>
      </c>
      <c r="U1768">
        <f t="shared" si="278"/>
        <v>0</v>
      </c>
    </row>
    <row r="1769" spans="1:21" x14ac:dyDescent="0.25">
      <c r="A1769" s="97">
        <v>1768</v>
      </c>
      <c r="B1769" t="s">
        <v>635</v>
      </c>
      <c r="C1769" t="s">
        <v>170</v>
      </c>
      <c r="D1769">
        <v>9.1199999999999992</v>
      </c>
      <c r="E1769">
        <v>17354.14</v>
      </c>
      <c r="F1769">
        <v>162.88999999999999</v>
      </c>
      <c r="G1769">
        <v>50.53</v>
      </c>
      <c r="H1769">
        <v>211.59</v>
      </c>
      <c r="I1769" s="80">
        <v>9111.02</v>
      </c>
      <c r="J1769">
        <v>24.6</v>
      </c>
      <c r="K1769">
        <v>260.85000000000002</v>
      </c>
      <c r="L1769">
        <f t="shared" si="270"/>
        <v>0</v>
      </c>
      <c r="M1769">
        <f t="shared" si="271"/>
        <v>0</v>
      </c>
      <c r="N1769">
        <f t="shared" si="272"/>
        <v>0</v>
      </c>
      <c r="O1769">
        <f t="shared" si="273"/>
        <v>0</v>
      </c>
      <c r="P1769">
        <f t="shared" si="274"/>
        <v>0</v>
      </c>
      <c r="Q1769">
        <f t="shared" si="275"/>
        <v>0</v>
      </c>
      <c r="R1769">
        <f t="shared" si="276"/>
        <v>0</v>
      </c>
      <c r="S1769">
        <f t="shared" si="277"/>
        <v>0</v>
      </c>
      <c r="T1769">
        <f t="shared" si="279"/>
        <v>0</v>
      </c>
      <c r="U1769">
        <f t="shared" si="278"/>
        <v>0</v>
      </c>
    </row>
    <row r="1770" spans="1:21" x14ac:dyDescent="0.25">
      <c r="A1770" s="97">
        <v>1769</v>
      </c>
      <c r="B1770" t="s">
        <v>635</v>
      </c>
      <c r="C1770" t="s">
        <v>178</v>
      </c>
      <c r="D1770">
        <v>17.43</v>
      </c>
      <c r="E1770" s="80">
        <v>27898.86</v>
      </c>
      <c r="F1770">
        <v>1320.9</v>
      </c>
      <c r="G1770">
        <v>80.739999999999995</v>
      </c>
      <c r="H1770">
        <v>2503.77</v>
      </c>
      <c r="I1770" s="80">
        <v>15984.39</v>
      </c>
      <c r="J1770">
        <v>33.54</v>
      </c>
      <c r="K1770">
        <v>933.39</v>
      </c>
      <c r="L1770">
        <f t="shared" si="270"/>
        <v>0</v>
      </c>
      <c r="M1770">
        <f t="shared" si="271"/>
        <v>0</v>
      </c>
      <c r="N1770">
        <f t="shared" si="272"/>
        <v>0</v>
      </c>
      <c r="O1770">
        <f t="shared" si="273"/>
        <v>0</v>
      </c>
      <c r="P1770">
        <f t="shared" si="274"/>
        <v>0</v>
      </c>
      <c r="Q1770">
        <f t="shared" si="275"/>
        <v>0</v>
      </c>
      <c r="R1770">
        <f t="shared" si="276"/>
        <v>0</v>
      </c>
      <c r="S1770">
        <f t="shared" si="277"/>
        <v>0</v>
      </c>
      <c r="T1770">
        <f t="shared" si="279"/>
        <v>0</v>
      </c>
      <c r="U1770">
        <f t="shared" si="278"/>
        <v>0</v>
      </c>
    </row>
    <row r="1771" spans="1:21" x14ac:dyDescent="0.25">
      <c r="A1771" s="97">
        <v>1770</v>
      </c>
      <c r="B1771" t="s">
        <v>635</v>
      </c>
      <c r="C1771" t="s">
        <v>163</v>
      </c>
      <c r="D1771">
        <v>28.8</v>
      </c>
      <c r="E1771" s="80">
        <v>28178.16</v>
      </c>
      <c r="F1771">
        <v>2493.89</v>
      </c>
      <c r="G1771">
        <v>144.38999999999999</v>
      </c>
      <c r="H1771">
        <v>6693.05</v>
      </c>
      <c r="I1771" s="80">
        <v>19994.57</v>
      </c>
      <c r="J1771">
        <v>77.31</v>
      </c>
      <c r="K1771" s="80">
        <v>14323.17</v>
      </c>
      <c r="L1771">
        <f t="shared" si="270"/>
        <v>0</v>
      </c>
      <c r="M1771">
        <f t="shared" si="271"/>
        <v>0</v>
      </c>
      <c r="N1771">
        <f t="shared" si="272"/>
        <v>0</v>
      </c>
      <c r="O1771">
        <f t="shared" si="273"/>
        <v>0</v>
      </c>
      <c r="P1771">
        <f t="shared" si="274"/>
        <v>0</v>
      </c>
      <c r="Q1771">
        <f t="shared" si="275"/>
        <v>0</v>
      </c>
      <c r="R1771">
        <f t="shared" si="276"/>
        <v>0</v>
      </c>
      <c r="S1771">
        <f t="shared" si="277"/>
        <v>0</v>
      </c>
      <c r="T1771">
        <f t="shared" si="279"/>
        <v>0</v>
      </c>
      <c r="U1771">
        <f t="shared" si="278"/>
        <v>0</v>
      </c>
    </row>
    <row r="1772" spans="1:21" x14ac:dyDescent="0.25">
      <c r="A1772" s="97">
        <v>1771</v>
      </c>
      <c r="B1772" t="s">
        <v>635</v>
      </c>
      <c r="C1772" t="s">
        <v>181</v>
      </c>
      <c r="D1772">
        <v>16.62</v>
      </c>
      <c r="E1772" s="89" t="s">
        <v>582</v>
      </c>
      <c r="F1772">
        <v>0.98</v>
      </c>
      <c r="G1772">
        <v>50.53</v>
      </c>
      <c r="H1772">
        <v>268.05</v>
      </c>
      <c r="I1772">
        <v>209.42</v>
      </c>
      <c r="J1772">
        <v>35.08</v>
      </c>
      <c r="K1772">
        <v>164.76</v>
      </c>
      <c r="L1772">
        <f t="shared" si="270"/>
        <v>0</v>
      </c>
      <c r="M1772">
        <f t="shared" si="271"/>
        <v>1</v>
      </c>
      <c r="N1772">
        <f t="shared" si="272"/>
        <v>0</v>
      </c>
      <c r="O1772">
        <f t="shared" si="273"/>
        <v>0</v>
      </c>
      <c r="P1772">
        <f t="shared" si="274"/>
        <v>0</v>
      </c>
      <c r="Q1772">
        <f t="shared" si="275"/>
        <v>0</v>
      </c>
      <c r="R1772">
        <f t="shared" si="276"/>
        <v>0</v>
      </c>
      <c r="S1772">
        <f t="shared" si="277"/>
        <v>0</v>
      </c>
      <c r="T1772">
        <f t="shared" si="279"/>
        <v>1</v>
      </c>
      <c r="U1772">
        <f t="shared" si="278"/>
        <v>1</v>
      </c>
    </row>
    <row r="1773" spans="1:21" x14ac:dyDescent="0.25">
      <c r="A1773" s="97">
        <v>1772</v>
      </c>
      <c r="B1773" t="s">
        <v>635</v>
      </c>
      <c r="C1773" t="s">
        <v>183</v>
      </c>
      <c r="D1773">
        <v>18.25</v>
      </c>
      <c r="E1773" s="80">
        <v>26688.07</v>
      </c>
      <c r="F1773">
        <v>565.65</v>
      </c>
      <c r="G1773">
        <v>86.11</v>
      </c>
      <c r="H1773">
        <v>6942.67</v>
      </c>
      <c r="I1773" s="80">
        <v>20095.509999999998</v>
      </c>
      <c r="J1773">
        <v>51.18</v>
      </c>
      <c r="K1773">
        <v>6748.94</v>
      </c>
      <c r="L1773">
        <f t="shared" si="270"/>
        <v>0</v>
      </c>
      <c r="M1773">
        <f t="shared" si="271"/>
        <v>0</v>
      </c>
      <c r="N1773">
        <f t="shared" si="272"/>
        <v>0</v>
      </c>
      <c r="O1773">
        <f t="shared" si="273"/>
        <v>0</v>
      </c>
      <c r="P1773">
        <f t="shared" si="274"/>
        <v>0</v>
      </c>
      <c r="Q1773">
        <f t="shared" si="275"/>
        <v>0</v>
      </c>
      <c r="R1773">
        <f t="shared" si="276"/>
        <v>0</v>
      </c>
      <c r="S1773">
        <f t="shared" si="277"/>
        <v>0</v>
      </c>
      <c r="T1773">
        <f t="shared" si="279"/>
        <v>0</v>
      </c>
      <c r="U1773">
        <f t="shared" si="278"/>
        <v>0</v>
      </c>
    </row>
    <row r="1774" spans="1:21" x14ac:dyDescent="0.25">
      <c r="A1774" s="97">
        <v>1773</v>
      </c>
      <c r="B1774" t="s">
        <v>635</v>
      </c>
      <c r="C1774" t="s">
        <v>186</v>
      </c>
      <c r="D1774">
        <v>27.88</v>
      </c>
      <c r="E1774">
        <v>23586.86</v>
      </c>
      <c r="F1774">
        <v>1220.8800000000001</v>
      </c>
      <c r="G1774">
        <v>126.1</v>
      </c>
      <c r="H1774" s="80">
        <v>30034.240000000002</v>
      </c>
      <c r="I1774" s="80">
        <v>20929.650000000001</v>
      </c>
      <c r="J1774">
        <v>93.93</v>
      </c>
      <c r="K1774" s="80">
        <v>14688.13</v>
      </c>
      <c r="L1774">
        <f t="shared" si="270"/>
        <v>0</v>
      </c>
      <c r="M1774">
        <f t="shared" si="271"/>
        <v>0</v>
      </c>
      <c r="N1774">
        <f t="shared" si="272"/>
        <v>0</v>
      </c>
      <c r="O1774">
        <f t="shared" si="273"/>
        <v>0</v>
      </c>
      <c r="P1774">
        <f t="shared" si="274"/>
        <v>0</v>
      </c>
      <c r="Q1774">
        <f t="shared" si="275"/>
        <v>0</v>
      </c>
      <c r="R1774">
        <f t="shared" si="276"/>
        <v>0</v>
      </c>
      <c r="S1774">
        <f t="shared" si="277"/>
        <v>0</v>
      </c>
      <c r="T1774">
        <f t="shared" si="279"/>
        <v>0</v>
      </c>
      <c r="U1774">
        <f t="shared" si="278"/>
        <v>0</v>
      </c>
    </row>
    <row r="1775" spans="1:21" x14ac:dyDescent="0.25">
      <c r="A1775" s="97">
        <v>1774</v>
      </c>
      <c r="B1775" t="s">
        <v>635</v>
      </c>
      <c r="C1775" t="s">
        <v>188</v>
      </c>
      <c r="D1775">
        <v>27.88</v>
      </c>
      <c r="E1775" s="80">
        <v>33254.089999999997</v>
      </c>
      <c r="F1775">
        <v>479.42</v>
      </c>
      <c r="G1775">
        <v>126.1</v>
      </c>
      <c r="H1775">
        <v>9040.66</v>
      </c>
      <c r="I1775" s="80">
        <v>18571.740000000002</v>
      </c>
      <c r="J1775">
        <v>93.93</v>
      </c>
      <c r="K1775" s="89" t="s">
        <v>582</v>
      </c>
      <c r="L1775">
        <f t="shared" si="270"/>
        <v>0</v>
      </c>
      <c r="M1775">
        <f t="shared" si="271"/>
        <v>0</v>
      </c>
      <c r="N1775">
        <f t="shared" si="272"/>
        <v>0</v>
      </c>
      <c r="O1775">
        <f t="shared" si="273"/>
        <v>0</v>
      </c>
      <c r="P1775">
        <f t="shared" si="274"/>
        <v>0</v>
      </c>
      <c r="Q1775">
        <f t="shared" si="275"/>
        <v>0</v>
      </c>
      <c r="R1775">
        <f t="shared" si="276"/>
        <v>0</v>
      </c>
      <c r="S1775">
        <f t="shared" si="277"/>
        <v>1</v>
      </c>
      <c r="T1775">
        <f t="shared" si="279"/>
        <v>1</v>
      </c>
      <c r="U1775">
        <f t="shared" si="278"/>
        <v>1</v>
      </c>
    </row>
    <row r="1776" spans="1:21" x14ac:dyDescent="0.25">
      <c r="A1776" s="97">
        <v>1775</v>
      </c>
      <c r="B1776" t="s">
        <v>635</v>
      </c>
      <c r="C1776" t="s">
        <v>182</v>
      </c>
      <c r="D1776" t="s">
        <v>583</v>
      </c>
      <c r="E1776">
        <v>714.16</v>
      </c>
      <c r="F1776" t="s">
        <v>583</v>
      </c>
      <c r="G1776" t="s">
        <v>583</v>
      </c>
      <c r="H1776" t="s">
        <v>583</v>
      </c>
      <c r="I1776">
        <v>0.06</v>
      </c>
      <c r="J1776" t="s">
        <v>583</v>
      </c>
      <c r="K1776">
        <v>0.18</v>
      </c>
      <c r="L1776">
        <f t="shared" si="270"/>
        <v>0</v>
      </c>
      <c r="M1776">
        <f t="shared" si="271"/>
        <v>0</v>
      </c>
      <c r="N1776">
        <f t="shared" si="272"/>
        <v>0</v>
      </c>
      <c r="O1776">
        <f t="shared" si="273"/>
        <v>0</v>
      </c>
      <c r="P1776">
        <f t="shared" si="274"/>
        <v>0</v>
      </c>
      <c r="Q1776">
        <f t="shared" si="275"/>
        <v>0</v>
      </c>
      <c r="R1776">
        <f t="shared" si="276"/>
        <v>0</v>
      </c>
      <c r="S1776">
        <f t="shared" si="277"/>
        <v>0</v>
      </c>
      <c r="T1776">
        <f t="shared" si="279"/>
        <v>0</v>
      </c>
      <c r="U1776">
        <f t="shared" si="278"/>
        <v>0</v>
      </c>
    </row>
    <row r="1777" spans="1:21" x14ac:dyDescent="0.25">
      <c r="A1777" s="97">
        <v>1776</v>
      </c>
      <c r="B1777" t="s">
        <v>635</v>
      </c>
      <c r="C1777" t="s">
        <v>184</v>
      </c>
      <c r="D1777">
        <v>11.98</v>
      </c>
      <c r="E1777">
        <v>21065.95</v>
      </c>
      <c r="F1777">
        <v>799.02</v>
      </c>
      <c r="G1777">
        <v>91.58</v>
      </c>
      <c r="H1777">
        <v>4981.42</v>
      </c>
      <c r="I1777" s="80">
        <v>17540.95</v>
      </c>
      <c r="J1777">
        <v>35.08</v>
      </c>
      <c r="K1777">
        <v>1760.24</v>
      </c>
      <c r="L1777">
        <f t="shared" si="270"/>
        <v>0</v>
      </c>
      <c r="M1777">
        <f t="shared" si="271"/>
        <v>0</v>
      </c>
      <c r="N1777">
        <f t="shared" si="272"/>
        <v>0</v>
      </c>
      <c r="O1777">
        <f t="shared" si="273"/>
        <v>0</v>
      </c>
      <c r="P1777">
        <f t="shared" si="274"/>
        <v>0</v>
      </c>
      <c r="Q1777">
        <f t="shared" si="275"/>
        <v>0</v>
      </c>
      <c r="R1777">
        <f t="shared" si="276"/>
        <v>0</v>
      </c>
      <c r="S1777">
        <f t="shared" si="277"/>
        <v>0</v>
      </c>
      <c r="T1777">
        <f t="shared" si="279"/>
        <v>0</v>
      </c>
      <c r="U1777">
        <f t="shared" si="278"/>
        <v>0</v>
      </c>
    </row>
    <row r="1778" spans="1:21" x14ac:dyDescent="0.25">
      <c r="A1778" s="97">
        <v>1777</v>
      </c>
      <c r="B1778" t="s">
        <v>635</v>
      </c>
      <c r="C1778" t="s">
        <v>187</v>
      </c>
      <c r="D1778">
        <v>25.15</v>
      </c>
      <c r="E1778" s="80">
        <v>26125.13</v>
      </c>
      <c r="F1778">
        <v>1947.02</v>
      </c>
      <c r="G1778">
        <v>108.48</v>
      </c>
      <c r="H1778">
        <v>16046.09</v>
      </c>
      <c r="I1778" s="80">
        <v>18877.75</v>
      </c>
      <c r="J1778">
        <v>66.61</v>
      </c>
      <c r="K1778" s="80">
        <v>12071.13</v>
      </c>
      <c r="L1778">
        <f t="shared" si="270"/>
        <v>0</v>
      </c>
      <c r="M1778">
        <f t="shared" si="271"/>
        <v>0</v>
      </c>
      <c r="N1778">
        <f t="shared" si="272"/>
        <v>0</v>
      </c>
      <c r="O1778">
        <f t="shared" si="273"/>
        <v>0</v>
      </c>
      <c r="P1778">
        <f t="shared" si="274"/>
        <v>0</v>
      </c>
      <c r="Q1778">
        <f t="shared" si="275"/>
        <v>0</v>
      </c>
      <c r="R1778">
        <f t="shared" si="276"/>
        <v>0</v>
      </c>
      <c r="S1778">
        <f t="shared" si="277"/>
        <v>0</v>
      </c>
      <c r="T1778">
        <f t="shared" si="279"/>
        <v>0</v>
      </c>
      <c r="U1778">
        <f t="shared" si="278"/>
        <v>0</v>
      </c>
    </row>
    <row r="1779" spans="1:21" x14ac:dyDescent="0.25">
      <c r="A1779" s="97">
        <v>1778</v>
      </c>
      <c r="B1779" t="s">
        <v>635</v>
      </c>
      <c r="C1779" t="s">
        <v>189</v>
      </c>
      <c r="D1779">
        <v>16.62</v>
      </c>
      <c r="E1779">
        <v>8156.8</v>
      </c>
      <c r="F1779">
        <v>46.05</v>
      </c>
      <c r="G1779">
        <v>114.28</v>
      </c>
      <c r="H1779">
        <v>11653.85</v>
      </c>
      <c r="I1779" s="80">
        <v>15204.41</v>
      </c>
      <c r="J1779">
        <v>70.14</v>
      </c>
      <c r="K1779" s="80">
        <v>28696.55</v>
      </c>
      <c r="L1779">
        <f t="shared" si="270"/>
        <v>0</v>
      </c>
      <c r="M1779">
        <f t="shared" si="271"/>
        <v>0</v>
      </c>
      <c r="N1779">
        <f t="shared" si="272"/>
        <v>0</v>
      </c>
      <c r="O1779">
        <f t="shared" si="273"/>
        <v>0</v>
      </c>
      <c r="P1779">
        <f t="shared" si="274"/>
        <v>0</v>
      </c>
      <c r="Q1779">
        <f t="shared" si="275"/>
        <v>0</v>
      </c>
      <c r="R1779">
        <f t="shared" si="276"/>
        <v>0</v>
      </c>
      <c r="S1779">
        <f t="shared" si="277"/>
        <v>0</v>
      </c>
      <c r="T1779">
        <f t="shared" si="279"/>
        <v>0</v>
      </c>
      <c r="U1779">
        <f t="shared" si="278"/>
        <v>0</v>
      </c>
    </row>
    <row r="1780" spans="1:21" x14ac:dyDescent="0.25">
      <c r="A1780" s="97">
        <v>1779</v>
      </c>
      <c r="B1780">
        <v>1072</v>
      </c>
      <c r="C1780" t="s">
        <v>162</v>
      </c>
      <c r="D1780">
        <v>11.98</v>
      </c>
      <c r="E1780" s="80">
        <v>70234.77</v>
      </c>
      <c r="F1780">
        <v>0.9</v>
      </c>
      <c r="G1780">
        <v>50.53</v>
      </c>
      <c r="H1780">
        <v>1.81</v>
      </c>
      <c r="I1780">
        <v>1.45</v>
      </c>
      <c r="J1780">
        <v>24.6</v>
      </c>
      <c r="K1780">
        <v>5.03</v>
      </c>
      <c r="L1780">
        <f t="shared" si="270"/>
        <v>0</v>
      </c>
      <c r="M1780">
        <f t="shared" si="271"/>
        <v>0</v>
      </c>
      <c r="N1780">
        <f t="shared" si="272"/>
        <v>0</v>
      </c>
      <c r="O1780">
        <f t="shared" si="273"/>
        <v>0</v>
      </c>
      <c r="P1780">
        <f t="shared" si="274"/>
        <v>0</v>
      </c>
      <c r="Q1780">
        <f t="shared" si="275"/>
        <v>0</v>
      </c>
      <c r="R1780">
        <f t="shared" si="276"/>
        <v>0</v>
      </c>
      <c r="S1780">
        <f t="shared" si="277"/>
        <v>0</v>
      </c>
      <c r="T1780">
        <f t="shared" si="279"/>
        <v>0</v>
      </c>
      <c r="U1780">
        <f t="shared" si="278"/>
        <v>0</v>
      </c>
    </row>
    <row r="1781" spans="1:21" x14ac:dyDescent="0.25">
      <c r="A1781" s="97">
        <v>1780</v>
      </c>
      <c r="B1781">
        <v>1072</v>
      </c>
      <c r="C1781" t="s">
        <v>170</v>
      </c>
      <c r="D1781">
        <v>9.1199999999999992</v>
      </c>
      <c r="E1781">
        <v>20327.560000000001</v>
      </c>
      <c r="F1781">
        <v>64.72</v>
      </c>
      <c r="G1781">
        <v>32.65</v>
      </c>
      <c r="H1781">
        <v>175.34</v>
      </c>
      <c r="I1781" s="80">
        <v>8547.09</v>
      </c>
      <c r="J1781">
        <v>21.75</v>
      </c>
      <c r="K1781">
        <v>330.07</v>
      </c>
      <c r="L1781">
        <f t="shared" si="270"/>
        <v>0</v>
      </c>
      <c r="M1781">
        <f t="shared" si="271"/>
        <v>0</v>
      </c>
      <c r="N1781">
        <f t="shared" si="272"/>
        <v>0</v>
      </c>
      <c r="O1781">
        <f t="shared" si="273"/>
        <v>0</v>
      </c>
      <c r="P1781">
        <f t="shared" si="274"/>
        <v>0</v>
      </c>
      <c r="Q1781">
        <f t="shared" si="275"/>
        <v>0</v>
      </c>
      <c r="R1781">
        <f t="shared" si="276"/>
        <v>0</v>
      </c>
      <c r="S1781">
        <f t="shared" si="277"/>
        <v>0</v>
      </c>
      <c r="T1781">
        <f t="shared" si="279"/>
        <v>0</v>
      </c>
      <c r="U1781">
        <f t="shared" si="278"/>
        <v>0</v>
      </c>
    </row>
    <row r="1782" spans="1:21" x14ac:dyDescent="0.25">
      <c r="A1782" s="97">
        <v>1781</v>
      </c>
      <c r="B1782">
        <v>1072</v>
      </c>
      <c r="C1782" t="s">
        <v>178</v>
      </c>
      <c r="D1782">
        <v>21.62</v>
      </c>
      <c r="E1782" s="80">
        <v>32700.87</v>
      </c>
      <c r="F1782">
        <v>1213.8</v>
      </c>
      <c r="G1782">
        <v>91.58</v>
      </c>
      <c r="H1782">
        <v>4687.5200000000004</v>
      </c>
      <c r="I1782" s="80">
        <v>17158.900000000001</v>
      </c>
      <c r="J1782">
        <v>42.98</v>
      </c>
      <c r="K1782">
        <v>1796.54</v>
      </c>
      <c r="L1782">
        <f t="shared" si="270"/>
        <v>0</v>
      </c>
      <c r="M1782">
        <f t="shared" si="271"/>
        <v>0</v>
      </c>
      <c r="N1782">
        <f t="shared" si="272"/>
        <v>0</v>
      </c>
      <c r="O1782">
        <f t="shared" si="273"/>
        <v>0</v>
      </c>
      <c r="P1782">
        <f t="shared" si="274"/>
        <v>0</v>
      </c>
      <c r="Q1782">
        <f t="shared" si="275"/>
        <v>0</v>
      </c>
      <c r="R1782">
        <f t="shared" si="276"/>
        <v>0</v>
      </c>
      <c r="S1782">
        <f t="shared" si="277"/>
        <v>0</v>
      </c>
      <c r="T1782">
        <f t="shared" si="279"/>
        <v>0</v>
      </c>
      <c r="U1782">
        <f t="shared" si="278"/>
        <v>0</v>
      </c>
    </row>
    <row r="1783" spans="1:21" x14ac:dyDescent="0.25">
      <c r="A1783" s="97">
        <v>1782</v>
      </c>
      <c r="B1783">
        <v>1072</v>
      </c>
      <c r="C1783" t="s">
        <v>163</v>
      </c>
      <c r="D1783">
        <v>354.8</v>
      </c>
      <c r="E1783" s="80">
        <v>63113.3</v>
      </c>
      <c r="F1783">
        <v>1454.31</v>
      </c>
      <c r="G1783">
        <v>138.22</v>
      </c>
      <c r="H1783">
        <v>11338.22</v>
      </c>
      <c r="I1783" s="80">
        <v>17223.23</v>
      </c>
      <c r="J1783">
        <v>86.47</v>
      </c>
      <c r="K1783" s="89" t="s">
        <v>582</v>
      </c>
      <c r="L1783">
        <f t="shared" si="270"/>
        <v>0</v>
      </c>
      <c r="M1783">
        <f t="shared" si="271"/>
        <v>0</v>
      </c>
      <c r="N1783">
        <f t="shared" si="272"/>
        <v>0</v>
      </c>
      <c r="O1783">
        <f t="shared" si="273"/>
        <v>0</v>
      </c>
      <c r="P1783">
        <f t="shared" si="274"/>
        <v>0</v>
      </c>
      <c r="Q1783">
        <f t="shared" si="275"/>
        <v>0</v>
      </c>
      <c r="R1783">
        <f t="shared" si="276"/>
        <v>0</v>
      </c>
      <c r="S1783">
        <f t="shared" si="277"/>
        <v>1</v>
      </c>
      <c r="T1783">
        <f t="shared" si="279"/>
        <v>1</v>
      </c>
      <c r="U1783">
        <f t="shared" si="278"/>
        <v>1</v>
      </c>
    </row>
    <row r="1784" spans="1:21" x14ac:dyDescent="0.25">
      <c r="A1784" s="97">
        <v>1783</v>
      </c>
      <c r="B1784">
        <v>1072</v>
      </c>
      <c r="C1784" t="s">
        <v>181</v>
      </c>
      <c r="D1784">
        <v>16.62</v>
      </c>
      <c r="E1784" s="80" t="s">
        <v>582</v>
      </c>
      <c r="F1784">
        <v>1.07</v>
      </c>
      <c r="G1784">
        <v>60.19</v>
      </c>
      <c r="H1784">
        <v>163.88</v>
      </c>
      <c r="I1784">
        <v>143.44</v>
      </c>
      <c r="J1784">
        <v>36.64</v>
      </c>
      <c r="K1784">
        <v>166.34</v>
      </c>
      <c r="L1784">
        <f t="shared" si="270"/>
        <v>0</v>
      </c>
      <c r="M1784">
        <f t="shared" si="271"/>
        <v>1</v>
      </c>
      <c r="N1784">
        <f t="shared" si="272"/>
        <v>0</v>
      </c>
      <c r="O1784">
        <f t="shared" si="273"/>
        <v>0</v>
      </c>
      <c r="P1784">
        <f t="shared" si="274"/>
        <v>0</v>
      </c>
      <c r="Q1784">
        <f t="shared" si="275"/>
        <v>0</v>
      </c>
      <c r="R1784">
        <f t="shared" si="276"/>
        <v>0</v>
      </c>
      <c r="S1784">
        <f t="shared" si="277"/>
        <v>0</v>
      </c>
      <c r="T1784">
        <f t="shared" si="279"/>
        <v>1</v>
      </c>
      <c r="U1784">
        <f t="shared" si="278"/>
        <v>1</v>
      </c>
    </row>
    <row r="1785" spans="1:21" x14ac:dyDescent="0.25">
      <c r="A1785" s="97">
        <v>1784</v>
      </c>
      <c r="B1785">
        <v>1072</v>
      </c>
      <c r="C1785" t="s">
        <v>183</v>
      </c>
      <c r="D1785">
        <v>25.15</v>
      </c>
      <c r="E1785" s="80">
        <v>137697.51</v>
      </c>
      <c r="F1785">
        <v>1580.97</v>
      </c>
      <c r="G1785">
        <v>126.1</v>
      </c>
      <c r="H1785">
        <v>5245.01</v>
      </c>
      <c r="I1785" s="80">
        <v>19876.37</v>
      </c>
      <c r="J1785">
        <v>64.86</v>
      </c>
      <c r="K1785">
        <v>8061.04</v>
      </c>
      <c r="L1785">
        <f t="shared" si="270"/>
        <v>0</v>
      </c>
      <c r="M1785">
        <f t="shared" si="271"/>
        <v>0</v>
      </c>
      <c r="N1785">
        <f t="shared" si="272"/>
        <v>0</v>
      </c>
      <c r="O1785">
        <f t="shared" si="273"/>
        <v>0</v>
      </c>
      <c r="P1785">
        <f t="shared" si="274"/>
        <v>0</v>
      </c>
      <c r="Q1785">
        <f t="shared" si="275"/>
        <v>0</v>
      </c>
      <c r="R1785">
        <f t="shared" si="276"/>
        <v>0</v>
      </c>
      <c r="S1785">
        <f t="shared" si="277"/>
        <v>0</v>
      </c>
      <c r="T1785">
        <f t="shared" si="279"/>
        <v>0</v>
      </c>
      <c r="U1785">
        <f t="shared" si="278"/>
        <v>0</v>
      </c>
    </row>
    <row r="1786" spans="1:21" x14ac:dyDescent="0.25">
      <c r="A1786" s="97">
        <v>1785</v>
      </c>
      <c r="B1786">
        <v>1072</v>
      </c>
      <c r="C1786" t="s">
        <v>186</v>
      </c>
      <c r="D1786">
        <v>34.53</v>
      </c>
      <c r="E1786" s="80">
        <v>73188.13</v>
      </c>
      <c r="F1786" s="80">
        <v>5157.97</v>
      </c>
      <c r="G1786">
        <v>163.31</v>
      </c>
      <c r="H1786" s="80">
        <v>66016.479999999996</v>
      </c>
      <c r="I1786" s="80">
        <v>21420.080000000002</v>
      </c>
      <c r="J1786">
        <v>101.51</v>
      </c>
      <c r="K1786" s="89" t="s">
        <v>582</v>
      </c>
      <c r="L1786">
        <f t="shared" si="270"/>
        <v>0</v>
      </c>
      <c r="M1786">
        <f t="shared" si="271"/>
        <v>0</v>
      </c>
      <c r="N1786">
        <f t="shared" si="272"/>
        <v>0</v>
      </c>
      <c r="O1786">
        <f t="shared" si="273"/>
        <v>0</v>
      </c>
      <c r="P1786">
        <f t="shared" si="274"/>
        <v>0</v>
      </c>
      <c r="Q1786">
        <f t="shared" si="275"/>
        <v>0</v>
      </c>
      <c r="R1786">
        <f t="shared" si="276"/>
        <v>0</v>
      </c>
      <c r="S1786">
        <f t="shared" si="277"/>
        <v>1</v>
      </c>
      <c r="T1786">
        <f t="shared" si="279"/>
        <v>1</v>
      </c>
      <c r="U1786">
        <f t="shared" si="278"/>
        <v>1</v>
      </c>
    </row>
    <row r="1787" spans="1:21" x14ac:dyDescent="0.25">
      <c r="A1787" s="97">
        <v>1786</v>
      </c>
      <c r="B1787">
        <v>1072</v>
      </c>
      <c r="C1787" t="s">
        <v>188</v>
      </c>
      <c r="D1787">
        <v>36.49</v>
      </c>
      <c r="E1787" s="80">
        <v>280739.56</v>
      </c>
      <c r="F1787">
        <v>1624.39</v>
      </c>
      <c r="G1787">
        <v>216.59</v>
      </c>
      <c r="H1787" s="80">
        <v>29643.61</v>
      </c>
      <c r="I1787" s="80">
        <v>20875.04</v>
      </c>
      <c r="J1787">
        <v>122.94</v>
      </c>
      <c r="K1787" s="89" t="s">
        <v>582</v>
      </c>
      <c r="L1787">
        <f t="shared" si="270"/>
        <v>0</v>
      </c>
      <c r="M1787">
        <f t="shared" si="271"/>
        <v>0</v>
      </c>
      <c r="N1787">
        <f t="shared" si="272"/>
        <v>0</v>
      </c>
      <c r="O1787">
        <f t="shared" si="273"/>
        <v>0</v>
      </c>
      <c r="P1787">
        <f t="shared" si="274"/>
        <v>0</v>
      </c>
      <c r="Q1787">
        <f t="shared" si="275"/>
        <v>0</v>
      </c>
      <c r="R1787">
        <f t="shared" si="276"/>
        <v>0</v>
      </c>
      <c r="S1787">
        <f t="shared" si="277"/>
        <v>1</v>
      </c>
      <c r="T1787">
        <f t="shared" si="279"/>
        <v>1</v>
      </c>
      <c r="U1787">
        <f t="shared" si="278"/>
        <v>1</v>
      </c>
    </row>
    <row r="1788" spans="1:21" x14ac:dyDescent="0.25">
      <c r="A1788" s="97">
        <v>1787</v>
      </c>
      <c r="B1788">
        <v>1072</v>
      </c>
      <c r="C1788" t="s">
        <v>182</v>
      </c>
      <c r="D1788" t="s">
        <v>583</v>
      </c>
      <c r="E1788">
        <v>383.94</v>
      </c>
      <c r="F1788">
        <v>0.33</v>
      </c>
      <c r="G1788" t="s">
        <v>583</v>
      </c>
      <c r="H1788" t="s">
        <v>583</v>
      </c>
      <c r="I1788">
        <v>0.04</v>
      </c>
      <c r="J1788" t="s">
        <v>583</v>
      </c>
      <c r="K1788">
        <v>0.27</v>
      </c>
      <c r="L1788">
        <f t="shared" si="270"/>
        <v>0</v>
      </c>
      <c r="M1788">
        <f t="shared" si="271"/>
        <v>0</v>
      </c>
      <c r="N1788">
        <f t="shared" si="272"/>
        <v>0</v>
      </c>
      <c r="O1788">
        <f t="shared" si="273"/>
        <v>0</v>
      </c>
      <c r="P1788">
        <f t="shared" si="274"/>
        <v>0</v>
      </c>
      <c r="Q1788">
        <f t="shared" si="275"/>
        <v>0</v>
      </c>
      <c r="R1788">
        <f t="shared" si="276"/>
        <v>0</v>
      </c>
      <c r="S1788">
        <f t="shared" si="277"/>
        <v>0</v>
      </c>
      <c r="T1788">
        <f t="shared" si="279"/>
        <v>0</v>
      </c>
      <c r="U1788">
        <f t="shared" si="278"/>
        <v>0</v>
      </c>
    </row>
    <row r="1789" spans="1:21" x14ac:dyDescent="0.25">
      <c r="A1789" s="97">
        <v>1788</v>
      </c>
      <c r="B1789">
        <v>1072</v>
      </c>
      <c r="C1789" t="s">
        <v>184</v>
      </c>
      <c r="D1789">
        <v>9.1199999999999992</v>
      </c>
      <c r="E1789">
        <v>12160.24</v>
      </c>
      <c r="F1789">
        <v>614.16</v>
      </c>
      <c r="G1789">
        <v>41.34</v>
      </c>
      <c r="H1789">
        <v>3076.28</v>
      </c>
      <c r="I1789" s="80">
        <v>16510.5</v>
      </c>
      <c r="J1789">
        <v>27.52</v>
      </c>
      <c r="K1789">
        <v>797.18</v>
      </c>
      <c r="L1789">
        <f t="shared" si="270"/>
        <v>0</v>
      </c>
      <c r="M1789">
        <f t="shared" si="271"/>
        <v>0</v>
      </c>
      <c r="N1789">
        <f t="shared" si="272"/>
        <v>0</v>
      </c>
      <c r="O1789">
        <f t="shared" si="273"/>
        <v>0</v>
      </c>
      <c r="P1789">
        <f t="shared" si="274"/>
        <v>0</v>
      </c>
      <c r="Q1789">
        <f t="shared" si="275"/>
        <v>0</v>
      </c>
      <c r="R1789">
        <f t="shared" si="276"/>
        <v>0</v>
      </c>
      <c r="S1789">
        <f t="shared" si="277"/>
        <v>0</v>
      </c>
      <c r="T1789">
        <f t="shared" si="279"/>
        <v>0</v>
      </c>
      <c r="U1789">
        <f t="shared" si="278"/>
        <v>0</v>
      </c>
    </row>
    <row r="1790" spans="1:21" x14ac:dyDescent="0.25">
      <c r="A1790" s="97">
        <v>1789</v>
      </c>
      <c r="B1790">
        <v>1072</v>
      </c>
      <c r="C1790" t="s">
        <v>187</v>
      </c>
      <c r="D1790">
        <v>55.4</v>
      </c>
      <c r="E1790">
        <v>16355.34</v>
      </c>
      <c r="F1790">
        <v>1388.41</v>
      </c>
      <c r="G1790">
        <v>102.76</v>
      </c>
      <c r="H1790" s="80">
        <v>23536.91</v>
      </c>
      <c r="I1790" s="80">
        <v>17518.41</v>
      </c>
      <c r="J1790">
        <v>70.14</v>
      </c>
      <c r="K1790" s="80">
        <v>14112.11</v>
      </c>
      <c r="L1790">
        <f t="shared" si="270"/>
        <v>0</v>
      </c>
      <c r="M1790">
        <f t="shared" si="271"/>
        <v>0</v>
      </c>
      <c r="N1790">
        <f t="shared" si="272"/>
        <v>0</v>
      </c>
      <c r="O1790">
        <f t="shared" si="273"/>
        <v>0</v>
      </c>
      <c r="P1790">
        <f t="shared" si="274"/>
        <v>0</v>
      </c>
      <c r="Q1790">
        <f t="shared" si="275"/>
        <v>0</v>
      </c>
      <c r="R1790">
        <f t="shared" si="276"/>
        <v>0</v>
      </c>
      <c r="S1790">
        <f t="shared" si="277"/>
        <v>0</v>
      </c>
      <c r="T1790">
        <f t="shared" si="279"/>
        <v>0</v>
      </c>
      <c r="U1790">
        <f t="shared" si="278"/>
        <v>0</v>
      </c>
    </row>
    <row r="1791" spans="1:21" x14ac:dyDescent="0.25">
      <c r="A1791" s="97">
        <v>1790</v>
      </c>
      <c r="B1791">
        <v>1072</v>
      </c>
      <c r="C1791" t="s">
        <v>189</v>
      </c>
      <c r="D1791">
        <v>460.93</v>
      </c>
      <c r="E1791">
        <v>8543.74</v>
      </c>
      <c r="F1791">
        <v>56.04</v>
      </c>
      <c r="G1791">
        <v>70.27</v>
      </c>
      <c r="H1791" s="80">
        <v>25917.43</v>
      </c>
      <c r="I1791" s="80">
        <v>11595.81</v>
      </c>
      <c r="J1791">
        <v>59.65</v>
      </c>
      <c r="K1791" s="80">
        <v>19046.86</v>
      </c>
      <c r="L1791">
        <f t="shared" si="270"/>
        <v>0</v>
      </c>
      <c r="M1791">
        <f t="shared" si="271"/>
        <v>0</v>
      </c>
      <c r="N1791">
        <f t="shared" si="272"/>
        <v>0</v>
      </c>
      <c r="O1791">
        <f t="shared" si="273"/>
        <v>0</v>
      </c>
      <c r="P1791">
        <f t="shared" si="274"/>
        <v>0</v>
      </c>
      <c r="Q1791">
        <f t="shared" si="275"/>
        <v>0</v>
      </c>
      <c r="R1791">
        <f t="shared" si="276"/>
        <v>0</v>
      </c>
      <c r="S1791">
        <f t="shared" si="277"/>
        <v>0</v>
      </c>
      <c r="T1791">
        <f t="shared" si="279"/>
        <v>0</v>
      </c>
      <c r="U1791">
        <f t="shared" si="278"/>
        <v>0</v>
      </c>
    </row>
    <row r="1792" spans="1:21" x14ac:dyDescent="0.25">
      <c r="A1792" s="97">
        <v>1791</v>
      </c>
      <c r="B1792">
        <v>1073</v>
      </c>
      <c r="C1792" t="s">
        <v>162</v>
      </c>
      <c r="D1792">
        <v>9.1199999999999992</v>
      </c>
      <c r="E1792" s="80">
        <v>32055.31</v>
      </c>
      <c r="F1792">
        <v>1.8</v>
      </c>
      <c r="G1792">
        <v>55.31</v>
      </c>
      <c r="H1792">
        <v>3.77</v>
      </c>
      <c r="I1792">
        <v>58.16</v>
      </c>
      <c r="J1792">
        <v>21.75</v>
      </c>
      <c r="K1792">
        <v>8.39</v>
      </c>
      <c r="L1792">
        <f t="shared" si="270"/>
        <v>0</v>
      </c>
      <c r="M1792">
        <f t="shared" si="271"/>
        <v>0</v>
      </c>
      <c r="N1792">
        <f t="shared" si="272"/>
        <v>0</v>
      </c>
      <c r="O1792">
        <f t="shared" si="273"/>
        <v>0</v>
      </c>
      <c r="P1792">
        <f t="shared" si="274"/>
        <v>0</v>
      </c>
      <c r="Q1792">
        <f t="shared" si="275"/>
        <v>0</v>
      </c>
      <c r="R1792">
        <f t="shared" si="276"/>
        <v>0</v>
      </c>
      <c r="S1792">
        <f t="shared" si="277"/>
        <v>0</v>
      </c>
      <c r="T1792">
        <f t="shared" si="279"/>
        <v>0</v>
      </c>
      <c r="U1792">
        <f t="shared" si="278"/>
        <v>0</v>
      </c>
    </row>
    <row r="1793" spans="1:21" x14ac:dyDescent="0.25">
      <c r="A1793" s="97">
        <v>1792</v>
      </c>
      <c r="B1793">
        <v>1073</v>
      </c>
      <c r="C1793" t="s">
        <v>170</v>
      </c>
      <c r="D1793">
        <v>13.48</v>
      </c>
      <c r="E1793" s="80">
        <v>25577.86</v>
      </c>
      <c r="F1793">
        <v>207.3</v>
      </c>
      <c r="G1793">
        <v>75.459999999999994</v>
      </c>
      <c r="H1793">
        <v>2835.7</v>
      </c>
      <c r="I1793" s="80">
        <v>15659.83</v>
      </c>
      <c r="J1793">
        <v>27.52</v>
      </c>
      <c r="K1793">
        <v>972.74</v>
      </c>
      <c r="L1793">
        <f t="shared" si="270"/>
        <v>0</v>
      </c>
      <c r="M1793">
        <f t="shared" si="271"/>
        <v>0</v>
      </c>
      <c r="N1793">
        <f t="shared" si="272"/>
        <v>0</v>
      </c>
      <c r="O1793">
        <f t="shared" si="273"/>
        <v>0</v>
      </c>
      <c r="P1793">
        <f t="shared" si="274"/>
        <v>0</v>
      </c>
      <c r="Q1793">
        <f t="shared" si="275"/>
        <v>0</v>
      </c>
      <c r="R1793">
        <f t="shared" si="276"/>
        <v>0</v>
      </c>
      <c r="S1793">
        <f t="shared" si="277"/>
        <v>0</v>
      </c>
      <c r="T1793">
        <f t="shared" si="279"/>
        <v>0</v>
      </c>
      <c r="U1793">
        <f t="shared" si="278"/>
        <v>0</v>
      </c>
    </row>
    <row r="1794" spans="1:21" x14ac:dyDescent="0.25">
      <c r="A1794" s="97">
        <v>1793</v>
      </c>
      <c r="B1794">
        <v>1073</v>
      </c>
      <c r="C1794" t="s">
        <v>178</v>
      </c>
      <c r="D1794">
        <v>29.74</v>
      </c>
      <c r="E1794" s="80">
        <v>38098.080000000002</v>
      </c>
      <c r="F1794">
        <v>860.99</v>
      </c>
      <c r="G1794">
        <v>126.1</v>
      </c>
      <c r="H1794" s="80">
        <v>18786.22</v>
      </c>
      <c r="I1794" s="80">
        <v>18718.61</v>
      </c>
      <c r="J1794">
        <v>52.86</v>
      </c>
      <c r="K1794">
        <v>3361.62</v>
      </c>
      <c r="L1794">
        <f t="shared" ref="L1794:L1857" si="280">IF(D1794 = "OOR &gt;", 1,0)</f>
        <v>0</v>
      </c>
      <c r="M1794">
        <f t="shared" ref="M1794:M1857" si="281">IF(E1794 = "OOR &gt;", 1,0)</f>
        <v>0</v>
      </c>
      <c r="N1794">
        <f t="shared" ref="N1794:N1857" si="282">IF(F1794 = "OOR &gt;", 1,0)</f>
        <v>0</v>
      </c>
      <c r="O1794">
        <f t="shared" ref="O1794:O1857" si="283">IF(G1794 = "OOR &gt;", 1,0)</f>
        <v>0</v>
      </c>
      <c r="P1794">
        <f t="shared" ref="P1794:P1857" si="284">IF(H1794 = "OOR &gt;", 1,0)</f>
        <v>0</v>
      </c>
      <c r="Q1794">
        <f t="shared" ref="Q1794:Q1857" si="285">IF(I1794 = "OOR &gt;", 1,0)</f>
        <v>0</v>
      </c>
      <c r="R1794">
        <f t="shared" ref="R1794:R1857" si="286">IF(J1794 = "OOR &gt;", 1,0)</f>
        <v>0</v>
      </c>
      <c r="S1794">
        <f t="shared" ref="S1794:S1857" si="287">IF(K1794 = "OOR &gt;", 1,0)</f>
        <v>0</v>
      </c>
      <c r="T1794">
        <f t="shared" si="279"/>
        <v>0</v>
      </c>
      <c r="U1794">
        <f t="shared" ref="U1794:U1857" si="288">IF(T1794 &gt; 0,1,0)</f>
        <v>0</v>
      </c>
    </row>
    <row r="1795" spans="1:21" x14ac:dyDescent="0.25">
      <c r="A1795" s="97">
        <v>1794</v>
      </c>
      <c r="B1795">
        <v>1073</v>
      </c>
      <c r="C1795" t="s">
        <v>163</v>
      </c>
      <c r="D1795">
        <v>19.920000000000002</v>
      </c>
      <c r="E1795" s="80">
        <v>33775.9</v>
      </c>
      <c r="F1795">
        <v>1597.54</v>
      </c>
      <c r="G1795">
        <v>150.63</v>
      </c>
      <c r="H1795">
        <v>7188.46</v>
      </c>
      <c r="I1795" s="80">
        <v>16773.78</v>
      </c>
      <c r="J1795">
        <v>59.65</v>
      </c>
      <c r="K1795" s="80">
        <v>9870.57</v>
      </c>
      <c r="L1795">
        <f t="shared" si="280"/>
        <v>0</v>
      </c>
      <c r="M1795">
        <f t="shared" si="281"/>
        <v>0</v>
      </c>
      <c r="N1795">
        <f t="shared" si="282"/>
        <v>0</v>
      </c>
      <c r="O1795">
        <f t="shared" si="283"/>
        <v>0</v>
      </c>
      <c r="P1795">
        <f t="shared" si="284"/>
        <v>0</v>
      </c>
      <c r="Q1795">
        <f t="shared" si="285"/>
        <v>0</v>
      </c>
      <c r="R1795">
        <f t="shared" si="286"/>
        <v>0</v>
      </c>
      <c r="S1795">
        <f t="shared" si="287"/>
        <v>0</v>
      </c>
      <c r="T1795">
        <f t="shared" ref="T1795:T1858" si="289">SUMIF(L1795:S1795,"&gt;0")</f>
        <v>0</v>
      </c>
      <c r="U1795">
        <f t="shared" si="288"/>
        <v>0</v>
      </c>
    </row>
    <row r="1796" spans="1:21" x14ac:dyDescent="0.25">
      <c r="A1796" s="97">
        <v>1795</v>
      </c>
      <c r="B1796">
        <v>1073</v>
      </c>
      <c r="C1796" t="s">
        <v>181</v>
      </c>
      <c r="D1796">
        <v>7.78</v>
      </c>
      <c r="E1796">
        <v>23420.720000000001</v>
      </c>
      <c r="F1796">
        <v>1.56</v>
      </c>
      <c r="G1796">
        <v>32.65</v>
      </c>
      <c r="H1796">
        <v>53.18</v>
      </c>
      <c r="I1796" s="80">
        <v>3466.82</v>
      </c>
      <c r="J1796">
        <v>23.17</v>
      </c>
      <c r="K1796">
        <v>96.4</v>
      </c>
      <c r="L1796">
        <f t="shared" si="280"/>
        <v>0</v>
      </c>
      <c r="M1796">
        <f t="shared" si="281"/>
        <v>0</v>
      </c>
      <c r="N1796">
        <f t="shared" si="282"/>
        <v>0</v>
      </c>
      <c r="O1796">
        <f t="shared" si="283"/>
        <v>0</v>
      </c>
      <c r="P1796">
        <f t="shared" si="284"/>
        <v>0</v>
      </c>
      <c r="Q1796">
        <f t="shared" si="285"/>
        <v>0</v>
      </c>
      <c r="R1796">
        <f t="shared" si="286"/>
        <v>0</v>
      </c>
      <c r="S1796">
        <f t="shared" si="287"/>
        <v>0</v>
      </c>
      <c r="T1796">
        <f t="shared" si="289"/>
        <v>0</v>
      </c>
      <c r="U1796">
        <f t="shared" si="288"/>
        <v>0</v>
      </c>
    </row>
    <row r="1797" spans="1:21" x14ac:dyDescent="0.25">
      <c r="A1797" s="97">
        <v>1796</v>
      </c>
      <c r="B1797">
        <v>1073</v>
      </c>
      <c r="C1797" t="s">
        <v>183</v>
      </c>
      <c r="D1797">
        <v>19.920000000000002</v>
      </c>
      <c r="E1797" s="80">
        <v>40688.699999999997</v>
      </c>
      <c r="F1797">
        <v>1083.8499999999999</v>
      </c>
      <c r="G1797">
        <v>114.28</v>
      </c>
      <c r="H1797" s="80">
        <v>16784.23</v>
      </c>
      <c r="I1797" s="80">
        <v>20838.91</v>
      </c>
      <c r="J1797">
        <v>56.23</v>
      </c>
      <c r="K1797">
        <v>5762</v>
      </c>
      <c r="L1797">
        <f t="shared" si="280"/>
        <v>0</v>
      </c>
      <c r="M1797">
        <f t="shared" si="281"/>
        <v>0</v>
      </c>
      <c r="N1797">
        <f t="shared" si="282"/>
        <v>0</v>
      </c>
      <c r="O1797">
        <f t="shared" si="283"/>
        <v>0</v>
      </c>
      <c r="P1797">
        <f t="shared" si="284"/>
        <v>0</v>
      </c>
      <c r="Q1797">
        <f t="shared" si="285"/>
        <v>0</v>
      </c>
      <c r="R1797">
        <f t="shared" si="286"/>
        <v>0</v>
      </c>
      <c r="S1797">
        <f t="shared" si="287"/>
        <v>0</v>
      </c>
      <c r="T1797">
        <f t="shared" si="289"/>
        <v>0</v>
      </c>
      <c r="U1797">
        <f t="shared" si="288"/>
        <v>0</v>
      </c>
    </row>
    <row r="1798" spans="1:21" x14ac:dyDescent="0.25">
      <c r="A1798" s="97">
        <v>1797</v>
      </c>
      <c r="B1798">
        <v>1073</v>
      </c>
      <c r="C1798" t="s">
        <v>186</v>
      </c>
      <c r="D1798">
        <v>28.8</v>
      </c>
      <c r="E1798" s="80">
        <v>44163.89</v>
      </c>
      <c r="F1798">
        <v>2304.04</v>
      </c>
      <c r="G1798">
        <v>150.63</v>
      </c>
      <c r="H1798" s="80">
        <v>59133.19</v>
      </c>
      <c r="I1798" s="80">
        <v>21225.79</v>
      </c>
      <c r="J1798">
        <v>93.93</v>
      </c>
      <c r="K1798" s="80">
        <v>15418.06</v>
      </c>
      <c r="L1798">
        <f t="shared" si="280"/>
        <v>0</v>
      </c>
      <c r="M1798">
        <f t="shared" si="281"/>
        <v>0</v>
      </c>
      <c r="N1798">
        <f t="shared" si="282"/>
        <v>0</v>
      </c>
      <c r="O1798">
        <f t="shared" si="283"/>
        <v>0</v>
      </c>
      <c r="P1798">
        <f t="shared" si="284"/>
        <v>0</v>
      </c>
      <c r="Q1798">
        <f t="shared" si="285"/>
        <v>0</v>
      </c>
      <c r="R1798">
        <f t="shared" si="286"/>
        <v>0</v>
      </c>
      <c r="S1798">
        <f t="shared" si="287"/>
        <v>0</v>
      </c>
      <c r="T1798">
        <f t="shared" si="289"/>
        <v>0</v>
      </c>
      <c r="U1798">
        <f t="shared" si="288"/>
        <v>0</v>
      </c>
    </row>
    <row r="1799" spans="1:21" x14ac:dyDescent="0.25">
      <c r="A1799" s="97">
        <v>1798</v>
      </c>
      <c r="B1799">
        <v>1073</v>
      </c>
      <c r="C1799" t="s">
        <v>188</v>
      </c>
      <c r="D1799">
        <v>21.62</v>
      </c>
      <c r="E1799" s="80">
        <v>38378.370000000003</v>
      </c>
      <c r="F1799">
        <v>1615.36</v>
      </c>
      <c r="G1799">
        <v>150.63</v>
      </c>
      <c r="H1799">
        <v>14218.15</v>
      </c>
      <c r="I1799" s="80">
        <v>18946.3</v>
      </c>
      <c r="J1799">
        <v>77.31</v>
      </c>
      <c r="K1799" s="80">
        <v>16534.12</v>
      </c>
      <c r="L1799">
        <f t="shared" si="280"/>
        <v>0</v>
      </c>
      <c r="M1799">
        <f t="shared" si="281"/>
        <v>0</v>
      </c>
      <c r="N1799">
        <f t="shared" si="282"/>
        <v>0</v>
      </c>
      <c r="O1799">
        <f t="shared" si="283"/>
        <v>0</v>
      </c>
      <c r="P1799">
        <f t="shared" si="284"/>
        <v>0</v>
      </c>
      <c r="Q1799">
        <f t="shared" si="285"/>
        <v>0</v>
      </c>
      <c r="R1799">
        <f t="shared" si="286"/>
        <v>0</v>
      </c>
      <c r="S1799">
        <f t="shared" si="287"/>
        <v>0</v>
      </c>
      <c r="T1799">
        <f t="shared" si="289"/>
        <v>0</v>
      </c>
      <c r="U1799">
        <f t="shared" si="288"/>
        <v>0</v>
      </c>
    </row>
    <row r="1800" spans="1:21" x14ac:dyDescent="0.25">
      <c r="A1800" s="97">
        <v>1799</v>
      </c>
      <c r="B1800">
        <v>1073</v>
      </c>
      <c r="C1800" t="s">
        <v>182</v>
      </c>
      <c r="D1800" t="s">
        <v>583</v>
      </c>
      <c r="E1800">
        <v>2118.35</v>
      </c>
      <c r="F1800">
        <v>0.11</v>
      </c>
      <c r="G1800">
        <v>17.05</v>
      </c>
      <c r="H1800" t="s">
        <v>583</v>
      </c>
      <c r="I1800">
        <v>911.29</v>
      </c>
      <c r="J1800">
        <v>0.73</v>
      </c>
      <c r="K1800">
        <v>0.37</v>
      </c>
      <c r="L1800">
        <f t="shared" si="280"/>
        <v>0</v>
      </c>
      <c r="M1800">
        <f t="shared" si="281"/>
        <v>0</v>
      </c>
      <c r="N1800">
        <f t="shared" si="282"/>
        <v>0</v>
      </c>
      <c r="O1800">
        <f t="shared" si="283"/>
        <v>0</v>
      </c>
      <c r="P1800">
        <f t="shared" si="284"/>
        <v>0</v>
      </c>
      <c r="Q1800">
        <f t="shared" si="285"/>
        <v>0</v>
      </c>
      <c r="R1800">
        <f t="shared" si="286"/>
        <v>0</v>
      </c>
      <c r="S1800">
        <f t="shared" si="287"/>
        <v>0</v>
      </c>
      <c r="T1800">
        <f t="shared" si="289"/>
        <v>0</v>
      </c>
      <c r="U1800">
        <f t="shared" si="288"/>
        <v>0</v>
      </c>
    </row>
    <row r="1801" spans="1:21" x14ac:dyDescent="0.25">
      <c r="A1801" s="97">
        <v>1800</v>
      </c>
      <c r="B1801">
        <v>1073</v>
      </c>
      <c r="C1801" t="s">
        <v>184</v>
      </c>
      <c r="D1801">
        <v>9.1199999999999992</v>
      </c>
      <c r="E1801">
        <v>16477.099999999999</v>
      </c>
      <c r="F1801">
        <v>23.65</v>
      </c>
      <c r="G1801">
        <v>32.65</v>
      </c>
      <c r="H1801">
        <v>1006.89</v>
      </c>
      <c r="I1801">
        <v>10088.91</v>
      </c>
      <c r="J1801">
        <v>11.14</v>
      </c>
      <c r="K1801">
        <v>107.03</v>
      </c>
      <c r="L1801">
        <f t="shared" si="280"/>
        <v>0</v>
      </c>
      <c r="M1801">
        <f t="shared" si="281"/>
        <v>0</v>
      </c>
      <c r="N1801">
        <f t="shared" si="282"/>
        <v>0</v>
      </c>
      <c r="O1801">
        <f t="shared" si="283"/>
        <v>0</v>
      </c>
      <c r="P1801">
        <f t="shared" si="284"/>
        <v>0</v>
      </c>
      <c r="Q1801">
        <f t="shared" si="285"/>
        <v>0</v>
      </c>
      <c r="R1801">
        <f t="shared" si="286"/>
        <v>0</v>
      </c>
      <c r="S1801">
        <f t="shared" si="287"/>
        <v>0</v>
      </c>
      <c r="T1801">
        <f t="shared" si="289"/>
        <v>0</v>
      </c>
      <c r="U1801">
        <f t="shared" si="288"/>
        <v>0</v>
      </c>
    </row>
    <row r="1802" spans="1:21" x14ac:dyDescent="0.25">
      <c r="A1802" s="97">
        <v>1801</v>
      </c>
      <c r="B1802">
        <v>1073</v>
      </c>
      <c r="C1802" t="s">
        <v>187</v>
      </c>
      <c r="D1802">
        <v>15.03</v>
      </c>
      <c r="E1802" s="80">
        <v>25810.53</v>
      </c>
      <c r="F1802">
        <v>229.27</v>
      </c>
      <c r="G1802">
        <v>70.27</v>
      </c>
      <c r="H1802">
        <v>5388.29</v>
      </c>
      <c r="I1802">
        <v>14967.24</v>
      </c>
      <c r="J1802">
        <v>32.020000000000003</v>
      </c>
      <c r="K1802">
        <v>3788.13</v>
      </c>
      <c r="L1802">
        <f t="shared" si="280"/>
        <v>0</v>
      </c>
      <c r="M1802">
        <f t="shared" si="281"/>
        <v>0</v>
      </c>
      <c r="N1802">
        <f t="shared" si="282"/>
        <v>0</v>
      </c>
      <c r="O1802">
        <f t="shared" si="283"/>
        <v>0</v>
      </c>
      <c r="P1802">
        <f t="shared" si="284"/>
        <v>0</v>
      </c>
      <c r="Q1802">
        <f t="shared" si="285"/>
        <v>0</v>
      </c>
      <c r="R1802">
        <f t="shared" si="286"/>
        <v>0</v>
      </c>
      <c r="S1802">
        <f t="shared" si="287"/>
        <v>0</v>
      </c>
      <c r="T1802">
        <f t="shared" si="289"/>
        <v>0</v>
      </c>
      <c r="U1802">
        <f t="shared" si="288"/>
        <v>0</v>
      </c>
    </row>
    <row r="1803" spans="1:21" x14ac:dyDescent="0.25">
      <c r="A1803" s="97">
        <v>1802</v>
      </c>
      <c r="B1803">
        <v>1073</v>
      </c>
      <c r="C1803" t="s">
        <v>189</v>
      </c>
      <c r="D1803">
        <v>7.13</v>
      </c>
      <c r="E1803">
        <v>15561.91</v>
      </c>
      <c r="F1803">
        <v>59.75</v>
      </c>
      <c r="G1803">
        <v>50.53</v>
      </c>
      <c r="H1803">
        <v>1816.9</v>
      </c>
      <c r="I1803">
        <v>8978.9599999999991</v>
      </c>
      <c r="J1803">
        <v>20.36</v>
      </c>
      <c r="K1803">
        <v>3247.33</v>
      </c>
      <c r="L1803">
        <f t="shared" si="280"/>
        <v>0</v>
      </c>
      <c r="M1803">
        <f t="shared" si="281"/>
        <v>0</v>
      </c>
      <c r="N1803">
        <f t="shared" si="282"/>
        <v>0</v>
      </c>
      <c r="O1803">
        <f t="shared" si="283"/>
        <v>0</v>
      </c>
      <c r="P1803">
        <f t="shared" si="284"/>
        <v>0</v>
      </c>
      <c r="Q1803">
        <f t="shared" si="285"/>
        <v>0</v>
      </c>
      <c r="R1803">
        <f t="shared" si="286"/>
        <v>0</v>
      </c>
      <c r="S1803">
        <f t="shared" si="287"/>
        <v>0</v>
      </c>
      <c r="T1803">
        <f t="shared" si="289"/>
        <v>0</v>
      </c>
      <c r="U1803">
        <f t="shared" si="288"/>
        <v>0</v>
      </c>
    </row>
    <row r="1804" spans="1:21" x14ac:dyDescent="0.25">
      <c r="A1804" s="97">
        <v>1803</v>
      </c>
      <c r="B1804">
        <v>1074</v>
      </c>
      <c r="C1804" t="s">
        <v>162</v>
      </c>
      <c r="D1804" t="s">
        <v>583</v>
      </c>
      <c r="E1804">
        <v>92.32</v>
      </c>
      <c r="F1804" t="s">
        <v>583</v>
      </c>
      <c r="G1804" t="s">
        <v>583</v>
      </c>
      <c r="H1804">
        <v>0.12</v>
      </c>
      <c r="I1804">
        <v>2.12</v>
      </c>
      <c r="J1804" t="s">
        <v>583</v>
      </c>
      <c r="K1804">
        <v>0.18</v>
      </c>
      <c r="L1804">
        <f t="shared" si="280"/>
        <v>0</v>
      </c>
      <c r="M1804">
        <f t="shared" si="281"/>
        <v>0</v>
      </c>
      <c r="N1804">
        <f t="shared" si="282"/>
        <v>0</v>
      </c>
      <c r="O1804">
        <f t="shared" si="283"/>
        <v>0</v>
      </c>
      <c r="P1804">
        <f t="shared" si="284"/>
        <v>0</v>
      </c>
      <c r="Q1804">
        <f t="shared" si="285"/>
        <v>0</v>
      </c>
      <c r="R1804">
        <f t="shared" si="286"/>
        <v>0</v>
      </c>
      <c r="S1804">
        <f t="shared" si="287"/>
        <v>0</v>
      </c>
      <c r="T1804">
        <f t="shared" si="289"/>
        <v>0</v>
      </c>
      <c r="U1804">
        <f t="shared" si="288"/>
        <v>0</v>
      </c>
    </row>
    <row r="1805" spans="1:21" x14ac:dyDescent="0.25">
      <c r="A1805" s="97">
        <v>1804</v>
      </c>
      <c r="B1805">
        <v>1074</v>
      </c>
      <c r="C1805" t="s">
        <v>170</v>
      </c>
      <c r="D1805">
        <v>40.51</v>
      </c>
      <c r="E1805">
        <v>6513.54</v>
      </c>
      <c r="F1805">
        <v>32.9</v>
      </c>
      <c r="G1805">
        <v>86.11</v>
      </c>
      <c r="H1805" s="80">
        <v>30745.63</v>
      </c>
      <c r="I1805" s="80">
        <v>12865.24</v>
      </c>
      <c r="J1805">
        <v>36.64</v>
      </c>
      <c r="K1805">
        <v>4331.58</v>
      </c>
      <c r="L1805">
        <f t="shared" si="280"/>
        <v>0</v>
      </c>
      <c r="M1805">
        <f t="shared" si="281"/>
        <v>0</v>
      </c>
      <c r="N1805">
        <f t="shared" si="282"/>
        <v>0</v>
      </c>
      <c r="O1805">
        <f t="shared" si="283"/>
        <v>0</v>
      </c>
      <c r="P1805">
        <f t="shared" si="284"/>
        <v>0</v>
      </c>
      <c r="Q1805">
        <f t="shared" si="285"/>
        <v>0</v>
      </c>
      <c r="R1805">
        <f t="shared" si="286"/>
        <v>0</v>
      </c>
      <c r="S1805">
        <f t="shared" si="287"/>
        <v>0</v>
      </c>
      <c r="T1805">
        <f t="shared" si="289"/>
        <v>0</v>
      </c>
      <c r="U1805">
        <f t="shared" si="288"/>
        <v>0</v>
      </c>
    </row>
    <row r="1806" spans="1:21" x14ac:dyDescent="0.25">
      <c r="A1806" s="97">
        <v>1805</v>
      </c>
      <c r="B1806">
        <v>1074</v>
      </c>
      <c r="C1806" t="s">
        <v>178</v>
      </c>
      <c r="D1806">
        <v>73.81</v>
      </c>
      <c r="E1806">
        <v>5511.9</v>
      </c>
      <c r="F1806">
        <v>29.27</v>
      </c>
      <c r="G1806">
        <v>70.27</v>
      </c>
      <c r="H1806" s="80">
        <v>109150.21</v>
      </c>
      <c r="I1806" s="80">
        <v>15407.14</v>
      </c>
      <c r="J1806">
        <v>46.23</v>
      </c>
      <c r="K1806">
        <v>4551.32</v>
      </c>
      <c r="L1806">
        <f t="shared" si="280"/>
        <v>0</v>
      </c>
      <c r="M1806">
        <f t="shared" si="281"/>
        <v>0</v>
      </c>
      <c r="N1806">
        <f t="shared" si="282"/>
        <v>0</v>
      </c>
      <c r="O1806">
        <f t="shared" si="283"/>
        <v>0</v>
      </c>
      <c r="P1806">
        <f t="shared" si="284"/>
        <v>0</v>
      </c>
      <c r="Q1806">
        <f t="shared" si="285"/>
        <v>0</v>
      </c>
      <c r="R1806">
        <f t="shared" si="286"/>
        <v>0</v>
      </c>
      <c r="S1806">
        <f t="shared" si="287"/>
        <v>0</v>
      </c>
      <c r="T1806">
        <f t="shared" si="289"/>
        <v>0</v>
      </c>
      <c r="U1806">
        <f t="shared" si="288"/>
        <v>0</v>
      </c>
    </row>
    <row r="1807" spans="1:21" x14ac:dyDescent="0.25">
      <c r="A1807" s="97">
        <v>1806</v>
      </c>
      <c r="B1807">
        <v>1074</v>
      </c>
      <c r="C1807" t="s">
        <v>163</v>
      </c>
      <c r="D1807">
        <v>133.65</v>
      </c>
      <c r="E1807">
        <v>9931.6299999999992</v>
      </c>
      <c r="F1807">
        <v>164.9</v>
      </c>
      <c r="G1807">
        <v>150.63</v>
      </c>
      <c r="H1807" s="80">
        <v>142554.92000000001</v>
      </c>
      <c r="I1807" s="80">
        <v>17771.32</v>
      </c>
      <c r="J1807">
        <v>88.32</v>
      </c>
      <c r="K1807" s="89" t="s">
        <v>582</v>
      </c>
      <c r="L1807">
        <f t="shared" si="280"/>
        <v>0</v>
      </c>
      <c r="M1807">
        <f t="shared" si="281"/>
        <v>0</v>
      </c>
      <c r="N1807">
        <f t="shared" si="282"/>
        <v>0</v>
      </c>
      <c r="O1807">
        <f t="shared" si="283"/>
        <v>0</v>
      </c>
      <c r="P1807">
        <f t="shared" si="284"/>
        <v>0</v>
      </c>
      <c r="Q1807">
        <f t="shared" si="285"/>
        <v>0</v>
      </c>
      <c r="R1807">
        <f t="shared" si="286"/>
        <v>0</v>
      </c>
      <c r="S1807">
        <f t="shared" si="287"/>
        <v>1</v>
      </c>
      <c r="T1807">
        <f t="shared" si="289"/>
        <v>1</v>
      </c>
      <c r="U1807">
        <f t="shared" si="288"/>
        <v>1</v>
      </c>
    </row>
    <row r="1808" spans="1:21" x14ac:dyDescent="0.25">
      <c r="A1808" s="97">
        <v>1807</v>
      </c>
      <c r="B1808">
        <v>1074</v>
      </c>
      <c r="C1808" t="s">
        <v>181</v>
      </c>
      <c r="D1808">
        <v>4.1100000000000003</v>
      </c>
      <c r="E1808">
        <v>13468.64</v>
      </c>
      <c r="F1808">
        <v>2.56</v>
      </c>
      <c r="G1808">
        <v>20.7</v>
      </c>
      <c r="H1808">
        <v>1465.19</v>
      </c>
      <c r="I1808" s="80">
        <v>3949.6</v>
      </c>
      <c r="J1808">
        <v>16.28</v>
      </c>
      <c r="K1808">
        <v>111.74</v>
      </c>
      <c r="L1808">
        <f t="shared" si="280"/>
        <v>0</v>
      </c>
      <c r="M1808">
        <f t="shared" si="281"/>
        <v>0</v>
      </c>
      <c r="N1808">
        <f t="shared" si="282"/>
        <v>0</v>
      </c>
      <c r="O1808">
        <f t="shared" si="283"/>
        <v>0</v>
      </c>
      <c r="P1808">
        <f t="shared" si="284"/>
        <v>0</v>
      </c>
      <c r="Q1808">
        <f t="shared" si="285"/>
        <v>0</v>
      </c>
      <c r="R1808">
        <f t="shared" si="286"/>
        <v>0</v>
      </c>
      <c r="S1808">
        <f t="shared" si="287"/>
        <v>0</v>
      </c>
      <c r="T1808">
        <f t="shared" si="289"/>
        <v>0</v>
      </c>
      <c r="U1808">
        <f t="shared" si="288"/>
        <v>0</v>
      </c>
    </row>
    <row r="1809" spans="1:21" x14ac:dyDescent="0.25">
      <c r="A1809" s="97">
        <v>1808</v>
      </c>
      <c r="B1809">
        <v>1074</v>
      </c>
      <c r="C1809" t="s">
        <v>183</v>
      </c>
      <c r="D1809">
        <v>28.8</v>
      </c>
      <c r="E1809" s="80">
        <v>31844.41</v>
      </c>
      <c r="F1809">
        <v>152.93</v>
      </c>
      <c r="G1809">
        <v>176.26</v>
      </c>
      <c r="H1809" s="84">
        <v>2584800</v>
      </c>
      <c r="I1809" s="80">
        <v>21012.03</v>
      </c>
      <c r="J1809">
        <v>101.51</v>
      </c>
      <c r="K1809" s="80">
        <v>63307.92</v>
      </c>
      <c r="L1809">
        <f t="shared" si="280"/>
        <v>0</v>
      </c>
      <c r="M1809">
        <f t="shared" si="281"/>
        <v>0</v>
      </c>
      <c r="N1809">
        <f t="shared" si="282"/>
        <v>0</v>
      </c>
      <c r="O1809">
        <f t="shared" si="283"/>
        <v>0</v>
      </c>
      <c r="P1809">
        <f t="shared" si="284"/>
        <v>0</v>
      </c>
      <c r="Q1809">
        <f t="shared" si="285"/>
        <v>0</v>
      </c>
      <c r="R1809">
        <f t="shared" si="286"/>
        <v>0</v>
      </c>
      <c r="S1809">
        <f t="shared" si="287"/>
        <v>0</v>
      </c>
      <c r="T1809">
        <f t="shared" si="289"/>
        <v>0</v>
      </c>
      <c r="U1809">
        <f t="shared" si="288"/>
        <v>0</v>
      </c>
    </row>
    <row r="1810" spans="1:21" x14ac:dyDescent="0.25">
      <c r="A1810" s="97">
        <v>1809</v>
      </c>
      <c r="B1810">
        <v>1074</v>
      </c>
      <c r="C1810" t="s">
        <v>186</v>
      </c>
      <c r="D1810">
        <v>51.02</v>
      </c>
      <c r="E1810" s="80">
        <v>26917.81</v>
      </c>
      <c r="F1810">
        <v>193.13</v>
      </c>
      <c r="G1810">
        <v>176.26</v>
      </c>
      <c r="H1810" s="89" t="s">
        <v>582</v>
      </c>
      <c r="I1810" s="80">
        <v>21915.67</v>
      </c>
      <c r="J1810">
        <v>134.96</v>
      </c>
      <c r="K1810" s="89" t="s">
        <v>582</v>
      </c>
      <c r="L1810">
        <f t="shared" si="280"/>
        <v>0</v>
      </c>
      <c r="M1810">
        <f t="shared" si="281"/>
        <v>0</v>
      </c>
      <c r="N1810">
        <f t="shared" si="282"/>
        <v>0</v>
      </c>
      <c r="O1810">
        <f t="shared" si="283"/>
        <v>0</v>
      </c>
      <c r="P1810">
        <f t="shared" si="284"/>
        <v>1</v>
      </c>
      <c r="Q1810">
        <f t="shared" si="285"/>
        <v>0</v>
      </c>
      <c r="R1810">
        <f t="shared" si="286"/>
        <v>0</v>
      </c>
      <c r="S1810">
        <f t="shared" si="287"/>
        <v>1</v>
      </c>
      <c r="T1810">
        <f t="shared" si="289"/>
        <v>2</v>
      </c>
      <c r="U1810">
        <f t="shared" si="288"/>
        <v>1</v>
      </c>
    </row>
    <row r="1811" spans="1:21" x14ac:dyDescent="0.25">
      <c r="A1811" s="97">
        <v>1810</v>
      </c>
      <c r="B1811">
        <v>1074</v>
      </c>
      <c r="C1811" t="s">
        <v>188</v>
      </c>
      <c r="D1811">
        <v>38.49</v>
      </c>
      <c r="E1811" s="80">
        <v>38949.35</v>
      </c>
      <c r="F1811">
        <v>1043.43</v>
      </c>
      <c r="G1811">
        <v>230.51</v>
      </c>
      <c r="H1811" s="80">
        <v>271398.17</v>
      </c>
      <c r="I1811" s="80">
        <v>20489.45</v>
      </c>
      <c r="J1811">
        <v>130.93</v>
      </c>
      <c r="K1811" s="89" t="s">
        <v>582</v>
      </c>
      <c r="L1811">
        <f t="shared" si="280"/>
        <v>0</v>
      </c>
      <c r="M1811">
        <f t="shared" si="281"/>
        <v>0</v>
      </c>
      <c r="N1811">
        <f t="shared" si="282"/>
        <v>0</v>
      </c>
      <c r="O1811">
        <f t="shared" si="283"/>
        <v>0</v>
      </c>
      <c r="P1811">
        <f t="shared" si="284"/>
        <v>0</v>
      </c>
      <c r="Q1811">
        <f t="shared" si="285"/>
        <v>0</v>
      </c>
      <c r="R1811">
        <f t="shared" si="286"/>
        <v>0</v>
      </c>
      <c r="S1811">
        <f t="shared" si="287"/>
        <v>1</v>
      </c>
      <c r="T1811">
        <f t="shared" si="289"/>
        <v>1</v>
      </c>
      <c r="U1811">
        <f t="shared" si="288"/>
        <v>1</v>
      </c>
    </row>
    <row r="1812" spans="1:21" x14ac:dyDescent="0.25">
      <c r="A1812" s="97">
        <v>1811</v>
      </c>
      <c r="B1812">
        <v>1074</v>
      </c>
      <c r="C1812" t="s">
        <v>182</v>
      </c>
      <c r="D1812" t="s">
        <v>583</v>
      </c>
      <c r="E1812">
        <v>750.57</v>
      </c>
      <c r="F1812">
        <v>0.05</v>
      </c>
      <c r="G1812">
        <v>4.66</v>
      </c>
      <c r="H1812" t="s">
        <v>583</v>
      </c>
      <c r="I1812">
        <v>0.19</v>
      </c>
      <c r="J1812" s="80">
        <v>0.73</v>
      </c>
      <c r="K1812">
        <v>0.18</v>
      </c>
      <c r="L1812">
        <f t="shared" si="280"/>
        <v>0</v>
      </c>
      <c r="M1812">
        <f t="shared" si="281"/>
        <v>0</v>
      </c>
      <c r="N1812">
        <f t="shared" si="282"/>
        <v>0</v>
      </c>
      <c r="O1812">
        <f t="shared" si="283"/>
        <v>0</v>
      </c>
      <c r="P1812">
        <f t="shared" si="284"/>
        <v>0</v>
      </c>
      <c r="Q1812">
        <f t="shared" si="285"/>
        <v>0</v>
      </c>
      <c r="R1812">
        <f t="shared" si="286"/>
        <v>0</v>
      </c>
      <c r="S1812">
        <f t="shared" si="287"/>
        <v>0</v>
      </c>
      <c r="T1812">
        <f t="shared" si="289"/>
        <v>0</v>
      </c>
      <c r="U1812">
        <f t="shared" si="288"/>
        <v>0</v>
      </c>
    </row>
    <row r="1813" spans="1:21" x14ac:dyDescent="0.25">
      <c r="A1813" s="97">
        <v>1812</v>
      </c>
      <c r="B1813">
        <v>1074</v>
      </c>
      <c r="C1813" t="s">
        <v>184</v>
      </c>
      <c r="D1813">
        <v>10.53</v>
      </c>
      <c r="E1813">
        <v>12182.06</v>
      </c>
      <c r="F1813">
        <v>68.36</v>
      </c>
      <c r="G1813">
        <v>45.88</v>
      </c>
      <c r="H1813">
        <v>4106.0600000000004</v>
      </c>
      <c r="I1813" s="80">
        <v>12890.96</v>
      </c>
      <c r="J1813">
        <v>24.6</v>
      </c>
      <c r="K1813">
        <v>1317.29</v>
      </c>
      <c r="L1813">
        <f t="shared" si="280"/>
        <v>0</v>
      </c>
      <c r="M1813">
        <f t="shared" si="281"/>
        <v>0</v>
      </c>
      <c r="N1813">
        <f t="shared" si="282"/>
        <v>0</v>
      </c>
      <c r="O1813">
        <f t="shared" si="283"/>
        <v>0</v>
      </c>
      <c r="P1813">
        <f t="shared" si="284"/>
        <v>0</v>
      </c>
      <c r="Q1813">
        <f t="shared" si="285"/>
        <v>0</v>
      </c>
      <c r="R1813">
        <f t="shared" si="286"/>
        <v>0</v>
      </c>
      <c r="S1813">
        <f t="shared" si="287"/>
        <v>0</v>
      </c>
      <c r="T1813">
        <f t="shared" si="289"/>
        <v>0</v>
      </c>
      <c r="U1813">
        <f t="shared" si="288"/>
        <v>0</v>
      </c>
    </row>
    <row r="1814" spans="1:21" x14ac:dyDescent="0.25">
      <c r="A1814" s="97">
        <v>1813</v>
      </c>
      <c r="B1814">
        <v>1074</v>
      </c>
      <c r="C1814" t="s">
        <v>187</v>
      </c>
      <c r="D1814">
        <v>19.920000000000002</v>
      </c>
      <c r="E1814">
        <v>10406.219999999999</v>
      </c>
      <c r="F1814">
        <v>65.180000000000007</v>
      </c>
      <c r="G1814">
        <v>80.739999999999995</v>
      </c>
      <c r="H1814">
        <v>7086.1</v>
      </c>
      <c r="I1814" s="80">
        <v>11053.87</v>
      </c>
      <c r="J1814">
        <v>36.64</v>
      </c>
      <c r="K1814">
        <v>3572.12</v>
      </c>
      <c r="L1814">
        <f t="shared" si="280"/>
        <v>0</v>
      </c>
      <c r="M1814">
        <f t="shared" si="281"/>
        <v>0</v>
      </c>
      <c r="N1814">
        <f t="shared" si="282"/>
        <v>0</v>
      </c>
      <c r="O1814">
        <f t="shared" si="283"/>
        <v>0</v>
      </c>
      <c r="P1814">
        <f t="shared" si="284"/>
        <v>0</v>
      </c>
      <c r="Q1814">
        <f t="shared" si="285"/>
        <v>0</v>
      </c>
      <c r="R1814">
        <f t="shared" si="286"/>
        <v>0</v>
      </c>
      <c r="S1814">
        <f t="shared" si="287"/>
        <v>0</v>
      </c>
      <c r="T1814">
        <f t="shared" si="289"/>
        <v>0</v>
      </c>
      <c r="U1814">
        <f t="shared" si="288"/>
        <v>0</v>
      </c>
    </row>
    <row r="1815" spans="1:21" x14ac:dyDescent="0.25">
      <c r="A1815" s="97">
        <v>1814</v>
      </c>
      <c r="B1815">
        <v>1074</v>
      </c>
      <c r="C1815" t="s">
        <v>189</v>
      </c>
      <c r="D1815">
        <v>11.98</v>
      </c>
      <c r="E1815">
        <v>10642.42</v>
      </c>
      <c r="F1815">
        <v>57.02</v>
      </c>
      <c r="G1815">
        <v>50.53</v>
      </c>
      <c r="H1815">
        <v>5755.87</v>
      </c>
      <c r="I1815" s="80">
        <v>9631.4699999999993</v>
      </c>
      <c r="J1815">
        <v>46.23</v>
      </c>
      <c r="K1815">
        <v>7222.44</v>
      </c>
      <c r="L1815">
        <f t="shared" si="280"/>
        <v>0</v>
      </c>
      <c r="M1815">
        <f t="shared" si="281"/>
        <v>0</v>
      </c>
      <c r="N1815">
        <f t="shared" si="282"/>
        <v>0</v>
      </c>
      <c r="O1815">
        <f t="shared" si="283"/>
        <v>0</v>
      </c>
      <c r="P1815">
        <f t="shared" si="284"/>
        <v>0</v>
      </c>
      <c r="Q1815">
        <f t="shared" si="285"/>
        <v>0</v>
      </c>
      <c r="R1815">
        <f t="shared" si="286"/>
        <v>0</v>
      </c>
      <c r="S1815">
        <f t="shared" si="287"/>
        <v>0</v>
      </c>
      <c r="T1815">
        <f t="shared" si="289"/>
        <v>0</v>
      </c>
      <c r="U1815">
        <f t="shared" si="288"/>
        <v>0</v>
      </c>
    </row>
    <row r="1816" spans="1:21" x14ac:dyDescent="0.25">
      <c r="A1816" s="97">
        <v>1815</v>
      </c>
      <c r="B1816">
        <v>1075</v>
      </c>
      <c r="C1816" t="s">
        <v>162</v>
      </c>
      <c r="D1816" s="80">
        <v>0.18</v>
      </c>
      <c r="E1816">
        <v>484.89</v>
      </c>
      <c r="F1816">
        <v>0.98</v>
      </c>
      <c r="G1816" t="s">
        <v>583</v>
      </c>
      <c r="H1816" t="s">
        <v>583</v>
      </c>
      <c r="I1816">
        <v>0.04</v>
      </c>
      <c r="J1816">
        <v>24.6</v>
      </c>
      <c r="K1816">
        <v>0.18</v>
      </c>
      <c r="L1816">
        <f t="shared" si="280"/>
        <v>0</v>
      </c>
      <c r="M1816">
        <f t="shared" si="281"/>
        <v>0</v>
      </c>
      <c r="N1816">
        <f t="shared" si="282"/>
        <v>0</v>
      </c>
      <c r="O1816">
        <f t="shared" si="283"/>
        <v>0</v>
      </c>
      <c r="P1816">
        <f t="shared" si="284"/>
        <v>0</v>
      </c>
      <c r="Q1816">
        <f t="shared" si="285"/>
        <v>0</v>
      </c>
      <c r="R1816">
        <f t="shared" si="286"/>
        <v>0</v>
      </c>
      <c r="S1816">
        <f t="shared" si="287"/>
        <v>0</v>
      </c>
      <c r="T1816">
        <f t="shared" si="289"/>
        <v>0</v>
      </c>
      <c r="U1816">
        <f t="shared" si="288"/>
        <v>0</v>
      </c>
    </row>
    <row r="1817" spans="1:21" x14ac:dyDescent="0.25">
      <c r="A1817" s="97">
        <v>1816</v>
      </c>
      <c r="B1817">
        <v>1075</v>
      </c>
      <c r="C1817" t="s">
        <v>170</v>
      </c>
      <c r="D1817">
        <v>1.18</v>
      </c>
      <c r="E1817">
        <v>4622.37</v>
      </c>
      <c r="F1817">
        <v>1.47</v>
      </c>
      <c r="G1817">
        <v>4.66</v>
      </c>
      <c r="H1817">
        <v>12.74</v>
      </c>
      <c r="I1817">
        <v>1323.01</v>
      </c>
      <c r="J1817" s="80">
        <v>0.11</v>
      </c>
      <c r="K1817">
        <v>11.38</v>
      </c>
      <c r="L1817">
        <f t="shared" si="280"/>
        <v>0</v>
      </c>
      <c r="M1817">
        <f t="shared" si="281"/>
        <v>0</v>
      </c>
      <c r="N1817">
        <f t="shared" si="282"/>
        <v>0</v>
      </c>
      <c r="O1817">
        <f t="shared" si="283"/>
        <v>0</v>
      </c>
      <c r="P1817">
        <f t="shared" si="284"/>
        <v>0</v>
      </c>
      <c r="Q1817">
        <f t="shared" si="285"/>
        <v>0</v>
      </c>
      <c r="R1817">
        <f t="shared" si="286"/>
        <v>0</v>
      </c>
      <c r="S1817">
        <f t="shared" si="287"/>
        <v>0</v>
      </c>
      <c r="T1817">
        <f t="shared" si="289"/>
        <v>0</v>
      </c>
      <c r="U1817">
        <f t="shared" si="288"/>
        <v>0</v>
      </c>
    </row>
    <row r="1818" spans="1:21" x14ac:dyDescent="0.25">
      <c r="A1818" s="97">
        <v>1817</v>
      </c>
      <c r="B1818">
        <v>1075</v>
      </c>
      <c r="C1818" t="s">
        <v>178</v>
      </c>
      <c r="D1818">
        <v>5.26</v>
      </c>
      <c r="E1818">
        <v>9780.77</v>
      </c>
      <c r="F1818">
        <v>29.82</v>
      </c>
      <c r="G1818">
        <v>24.53</v>
      </c>
      <c r="H1818">
        <v>115.9</v>
      </c>
      <c r="I1818" s="80">
        <v>6826.45</v>
      </c>
      <c r="J1818">
        <v>12.39</v>
      </c>
      <c r="K1818">
        <v>116.5</v>
      </c>
      <c r="L1818">
        <f t="shared" si="280"/>
        <v>0</v>
      </c>
      <c r="M1818">
        <f t="shared" si="281"/>
        <v>0</v>
      </c>
      <c r="N1818">
        <f t="shared" si="282"/>
        <v>0</v>
      </c>
      <c r="O1818">
        <f t="shared" si="283"/>
        <v>0</v>
      </c>
      <c r="P1818">
        <f t="shared" si="284"/>
        <v>0</v>
      </c>
      <c r="Q1818">
        <f t="shared" si="285"/>
        <v>0</v>
      </c>
      <c r="R1818">
        <f t="shared" si="286"/>
        <v>0</v>
      </c>
      <c r="S1818">
        <f t="shared" si="287"/>
        <v>0</v>
      </c>
      <c r="T1818">
        <f t="shared" si="289"/>
        <v>0</v>
      </c>
      <c r="U1818">
        <f t="shared" si="288"/>
        <v>0</v>
      </c>
    </row>
    <row r="1819" spans="1:21" x14ac:dyDescent="0.25">
      <c r="A1819" s="97">
        <v>1818</v>
      </c>
      <c r="B1819">
        <v>1075</v>
      </c>
      <c r="C1819" t="s">
        <v>163</v>
      </c>
      <c r="D1819">
        <v>4.1100000000000003</v>
      </c>
      <c r="E1819">
        <v>9059.8799999999992</v>
      </c>
      <c r="F1819">
        <v>16.21</v>
      </c>
      <c r="G1819">
        <v>17.05</v>
      </c>
      <c r="H1819">
        <v>73.81</v>
      </c>
      <c r="I1819" s="80">
        <v>7011.64</v>
      </c>
      <c r="J1819">
        <v>11.14</v>
      </c>
      <c r="K1819">
        <v>352.68</v>
      </c>
      <c r="L1819">
        <f t="shared" si="280"/>
        <v>0</v>
      </c>
      <c r="M1819">
        <f t="shared" si="281"/>
        <v>0</v>
      </c>
      <c r="N1819">
        <f t="shared" si="282"/>
        <v>0</v>
      </c>
      <c r="O1819">
        <f t="shared" si="283"/>
        <v>0</v>
      </c>
      <c r="P1819">
        <f t="shared" si="284"/>
        <v>0</v>
      </c>
      <c r="Q1819">
        <f t="shared" si="285"/>
        <v>0</v>
      </c>
      <c r="R1819">
        <f t="shared" si="286"/>
        <v>0</v>
      </c>
      <c r="S1819">
        <f t="shared" si="287"/>
        <v>0</v>
      </c>
      <c r="T1819">
        <f t="shared" si="289"/>
        <v>0</v>
      </c>
      <c r="U1819">
        <f t="shared" si="288"/>
        <v>0</v>
      </c>
    </row>
    <row r="1820" spans="1:21" x14ac:dyDescent="0.25">
      <c r="A1820" s="97">
        <v>1819</v>
      </c>
      <c r="B1820">
        <v>1075</v>
      </c>
      <c r="C1820" t="s">
        <v>182</v>
      </c>
      <c r="D1820">
        <v>0.46</v>
      </c>
      <c r="E1820">
        <v>1825.22</v>
      </c>
      <c r="F1820">
        <v>0.73</v>
      </c>
      <c r="G1820">
        <v>4.66</v>
      </c>
      <c r="H1820" t="s">
        <v>583</v>
      </c>
      <c r="I1820">
        <v>6.76</v>
      </c>
      <c r="J1820" s="80">
        <v>0.73</v>
      </c>
      <c r="K1820">
        <v>0.27</v>
      </c>
      <c r="L1820">
        <f t="shared" si="280"/>
        <v>0</v>
      </c>
      <c r="M1820">
        <f t="shared" si="281"/>
        <v>0</v>
      </c>
      <c r="N1820">
        <f t="shared" si="282"/>
        <v>0</v>
      </c>
      <c r="O1820">
        <f t="shared" si="283"/>
        <v>0</v>
      </c>
      <c r="P1820">
        <f t="shared" si="284"/>
        <v>0</v>
      </c>
      <c r="Q1820">
        <f t="shared" si="285"/>
        <v>0</v>
      </c>
      <c r="R1820">
        <f t="shared" si="286"/>
        <v>0</v>
      </c>
      <c r="S1820">
        <f t="shared" si="287"/>
        <v>0</v>
      </c>
      <c r="T1820">
        <f t="shared" si="289"/>
        <v>0</v>
      </c>
      <c r="U1820">
        <f t="shared" si="288"/>
        <v>0</v>
      </c>
    </row>
    <row r="1821" spans="1:21" x14ac:dyDescent="0.25">
      <c r="A1821" s="97">
        <v>1820</v>
      </c>
      <c r="B1821">
        <v>1075</v>
      </c>
      <c r="C1821" t="s">
        <v>184</v>
      </c>
      <c r="D1821">
        <v>1.18</v>
      </c>
      <c r="E1821">
        <v>10708.66</v>
      </c>
      <c r="F1821">
        <v>1.52</v>
      </c>
      <c r="G1821">
        <v>17.05</v>
      </c>
      <c r="H1821">
        <v>33.15</v>
      </c>
      <c r="I1821">
        <v>1659.52</v>
      </c>
      <c r="J1821">
        <v>8.74</v>
      </c>
      <c r="K1821">
        <v>11.64</v>
      </c>
      <c r="L1821">
        <f t="shared" si="280"/>
        <v>0</v>
      </c>
      <c r="M1821">
        <f t="shared" si="281"/>
        <v>0</v>
      </c>
      <c r="N1821">
        <f t="shared" si="282"/>
        <v>0</v>
      </c>
      <c r="O1821">
        <f t="shared" si="283"/>
        <v>0</v>
      </c>
      <c r="P1821">
        <f t="shared" si="284"/>
        <v>0</v>
      </c>
      <c r="Q1821">
        <f t="shared" si="285"/>
        <v>0</v>
      </c>
      <c r="R1821">
        <f t="shared" si="286"/>
        <v>0</v>
      </c>
      <c r="S1821">
        <f t="shared" si="287"/>
        <v>0</v>
      </c>
      <c r="T1821">
        <f t="shared" si="289"/>
        <v>0</v>
      </c>
      <c r="U1821">
        <f t="shared" si="288"/>
        <v>0</v>
      </c>
    </row>
    <row r="1822" spans="1:21" x14ac:dyDescent="0.25">
      <c r="A1822" s="97">
        <v>1821</v>
      </c>
      <c r="B1822">
        <v>1075</v>
      </c>
      <c r="C1822" t="s">
        <v>187</v>
      </c>
      <c r="D1822">
        <v>4.1100000000000003</v>
      </c>
      <c r="E1822">
        <v>21163.42</v>
      </c>
      <c r="F1822">
        <v>45.54</v>
      </c>
      <c r="G1822">
        <v>50.53</v>
      </c>
      <c r="H1822">
        <v>195.29</v>
      </c>
      <c r="I1822" s="80">
        <v>7983.4</v>
      </c>
      <c r="J1822">
        <v>21.75</v>
      </c>
      <c r="K1822">
        <v>312.20999999999998</v>
      </c>
      <c r="L1822">
        <f t="shared" si="280"/>
        <v>0</v>
      </c>
      <c r="M1822">
        <f t="shared" si="281"/>
        <v>0</v>
      </c>
      <c r="N1822">
        <f t="shared" si="282"/>
        <v>0</v>
      </c>
      <c r="O1822">
        <f t="shared" si="283"/>
        <v>0</v>
      </c>
      <c r="P1822">
        <f t="shared" si="284"/>
        <v>0</v>
      </c>
      <c r="Q1822">
        <f t="shared" si="285"/>
        <v>0</v>
      </c>
      <c r="R1822">
        <f t="shared" si="286"/>
        <v>0</v>
      </c>
      <c r="S1822">
        <f t="shared" si="287"/>
        <v>0</v>
      </c>
      <c r="T1822">
        <f t="shared" si="289"/>
        <v>0</v>
      </c>
      <c r="U1822">
        <f t="shared" si="288"/>
        <v>0</v>
      </c>
    </row>
    <row r="1823" spans="1:21" x14ac:dyDescent="0.25">
      <c r="A1823" s="97">
        <v>1822</v>
      </c>
      <c r="B1823">
        <v>1075</v>
      </c>
      <c r="C1823" t="s">
        <v>189</v>
      </c>
      <c r="D1823">
        <v>1.18</v>
      </c>
      <c r="E1823">
        <v>7535.59</v>
      </c>
      <c r="F1823">
        <v>4.07</v>
      </c>
      <c r="G1823">
        <v>32.65</v>
      </c>
      <c r="H1823">
        <v>59.01</v>
      </c>
      <c r="I1823">
        <v>2323.98</v>
      </c>
      <c r="J1823">
        <v>9.93</v>
      </c>
      <c r="K1823">
        <v>397.73</v>
      </c>
      <c r="L1823">
        <f t="shared" si="280"/>
        <v>0</v>
      </c>
      <c r="M1823">
        <f t="shared" si="281"/>
        <v>0</v>
      </c>
      <c r="N1823">
        <f t="shared" si="282"/>
        <v>0</v>
      </c>
      <c r="O1823">
        <f t="shared" si="283"/>
        <v>0</v>
      </c>
      <c r="P1823">
        <f t="shared" si="284"/>
        <v>0</v>
      </c>
      <c r="Q1823">
        <f t="shared" si="285"/>
        <v>0</v>
      </c>
      <c r="R1823">
        <f t="shared" si="286"/>
        <v>0</v>
      </c>
      <c r="S1823">
        <f t="shared" si="287"/>
        <v>0</v>
      </c>
      <c r="T1823">
        <f t="shared" si="289"/>
        <v>0</v>
      </c>
      <c r="U1823">
        <f t="shared" si="288"/>
        <v>0</v>
      </c>
    </row>
    <row r="1824" spans="1:21" x14ac:dyDescent="0.25">
      <c r="A1824" s="97">
        <v>1823</v>
      </c>
      <c r="B1824" t="s">
        <v>636</v>
      </c>
      <c r="C1824" t="s">
        <v>162</v>
      </c>
      <c r="D1824">
        <v>3.04</v>
      </c>
      <c r="E1824">
        <v>13187.66</v>
      </c>
      <c r="F1824">
        <v>0.69</v>
      </c>
      <c r="G1824">
        <v>10.36</v>
      </c>
      <c r="H1824">
        <v>0.28000000000000003</v>
      </c>
      <c r="I1824">
        <v>0.28000000000000003</v>
      </c>
      <c r="J1824">
        <v>8.74</v>
      </c>
      <c r="K1824">
        <v>1.26</v>
      </c>
      <c r="L1824">
        <f t="shared" si="280"/>
        <v>0</v>
      </c>
      <c r="M1824">
        <f t="shared" si="281"/>
        <v>0</v>
      </c>
      <c r="N1824">
        <f t="shared" si="282"/>
        <v>0</v>
      </c>
      <c r="O1824">
        <f t="shared" si="283"/>
        <v>0</v>
      </c>
      <c r="P1824">
        <f t="shared" si="284"/>
        <v>0</v>
      </c>
      <c r="Q1824">
        <f t="shared" si="285"/>
        <v>0</v>
      </c>
      <c r="R1824">
        <f t="shared" si="286"/>
        <v>0</v>
      </c>
      <c r="S1824">
        <f t="shared" si="287"/>
        <v>0</v>
      </c>
      <c r="T1824">
        <f t="shared" si="289"/>
        <v>0</v>
      </c>
      <c r="U1824">
        <f t="shared" si="288"/>
        <v>0</v>
      </c>
    </row>
    <row r="1825" spans="1:21" x14ac:dyDescent="0.25">
      <c r="A1825" s="97">
        <v>1824</v>
      </c>
      <c r="B1825" t="s">
        <v>636</v>
      </c>
      <c r="C1825" t="s">
        <v>170</v>
      </c>
      <c r="D1825">
        <v>21.62</v>
      </c>
      <c r="E1825" s="80">
        <v>25732.67</v>
      </c>
      <c r="F1825">
        <v>684.84</v>
      </c>
      <c r="G1825">
        <v>41.34</v>
      </c>
      <c r="H1825">
        <v>3251.15</v>
      </c>
      <c r="I1825" s="80">
        <v>11873.7</v>
      </c>
      <c r="J1825">
        <v>33.54</v>
      </c>
      <c r="K1825">
        <v>913.46</v>
      </c>
      <c r="L1825">
        <f t="shared" si="280"/>
        <v>0</v>
      </c>
      <c r="M1825">
        <f t="shared" si="281"/>
        <v>0</v>
      </c>
      <c r="N1825">
        <f t="shared" si="282"/>
        <v>0</v>
      </c>
      <c r="O1825">
        <f t="shared" si="283"/>
        <v>0</v>
      </c>
      <c r="P1825">
        <f t="shared" si="284"/>
        <v>0</v>
      </c>
      <c r="Q1825">
        <f t="shared" si="285"/>
        <v>0</v>
      </c>
      <c r="R1825">
        <f t="shared" si="286"/>
        <v>0</v>
      </c>
      <c r="S1825">
        <f t="shared" si="287"/>
        <v>0</v>
      </c>
      <c r="T1825">
        <f t="shared" si="289"/>
        <v>0</v>
      </c>
      <c r="U1825">
        <f t="shared" si="288"/>
        <v>0</v>
      </c>
    </row>
    <row r="1826" spans="1:21" x14ac:dyDescent="0.25">
      <c r="A1826" s="97">
        <v>1825</v>
      </c>
      <c r="B1826" t="s">
        <v>636</v>
      </c>
      <c r="C1826" t="s">
        <v>178</v>
      </c>
      <c r="D1826">
        <v>186.42</v>
      </c>
      <c r="E1826" s="80">
        <v>25302.26</v>
      </c>
      <c r="F1826">
        <v>2461</v>
      </c>
      <c r="G1826">
        <v>102.76</v>
      </c>
      <c r="H1826" s="80">
        <v>17375.919999999998</v>
      </c>
      <c r="I1826" s="80">
        <v>15086.37</v>
      </c>
      <c r="J1826">
        <v>52.86</v>
      </c>
      <c r="K1826">
        <v>2607.83</v>
      </c>
      <c r="L1826">
        <f t="shared" si="280"/>
        <v>0</v>
      </c>
      <c r="M1826">
        <f t="shared" si="281"/>
        <v>0</v>
      </c>
      <c r="N1826">
        <f t="shared" si="282"/>
        <v>0</v>
      </c>
      <c r="O1826">
        <f t="shared" si="283"/>
        <v>0</v>
      </c>
      <c r="P1826">
        <f t="shared" si="284"/>
        <v>0</v>
      </c>
      <c r="Q1826">
        <f t="shared" si="285"/>
        <v>0</v>
      </c>
      <c r="R1826">
        <f t="shared" si="286"/>
        <v>0</v>
      </c>
      <c r="S1826">
        <f t="shared" si="287"/>
        <v>0</v>
      </c>
      <c r="T1826">
        <f t="shared" si="289"/>
        <v>0</v>
      </c>
      <c r="U1826">
        <f t="shared" si="288"/>
        <v>0</v>
      </c>
    </row>
    <row r="1827" spans="1:21" x14ac:dyDescent="0.25">
      <c r="A1827" s="97">
        <v>1826</v>
      </c>
      <c r="B1827" t="s">
        <v>636</v>
      </c>
      <c r="C1827" t="s">
        <v>163</v>
      </c>
      <c r="D1827">
        <v>118.5</v>
      </c>
      <c r="E1827" s="80">
        <v>29298.33</v>
      </c>
      <c r="F1827">
        <v>497.21</v>
      </c>
      <c r="G1827">
        <v>91.58</v>
      </c>
      <c r="H1827">
        <v>3450.52</v>
      </c>
      <c r="I1827" s="80">
        <v>4678.7299999999996</v>
      </c>
      <c r="J1827">
        <v>46.23</v>
      </c>
      <c r="K1827">
        <v>6255.91</v>
      </c>
      <c r="L1827">
        <f t="shared" si="280"/>
        <v>0</v>
      </c>
      <c r="M1827">
        <f t="shared" si="281"/>
        <v>0</v>
      </c>
      <c r="N1827">
        <f t="shared" si="282"/>
        <v>0</v>
      </c>
      <c r="O1827">
        <f t="shared" si="283"/>
        <v>0</v>
      </c>
      <c r="P1827">
        <f t="shared" si="284"/>
        <v>0</v>
      </c>
      <c r="Q1827">
        <f t="shared" si="285"/>
        <v>0</v>
      </c>
      <c r="R1827">
        <f t="shared" si="286"/>
        <v>0</v>
      </c>
      <c r="S1827">
        <f t="shared" si="287"/>
        <v>0</v>
      </c>
      <c r="T1827">
        <f t="shared" si="289"/>
        <v>0</v>
      </c>
      <c r="U1827">
        <f t="shared" si="288"/>
        <v>0</v>
      </c>
    </row>
    <row r="1828" spans="1:21" x14ac:dyDescent="0.25">
      <c r="A1828" s="97">
        <v>1827</v>
      </c>
      <c r="B1828" t="s">
        <v>636</v>
      </c>
      <c r="C1828" t="s">
        <v>181</v>
      </c>
      <c r="D1828">
        <v>18.25</v>
      </c>
      <c r="E1828" s="89" t="s">
        <v>582</v>
      </c>
      <c r="F1828">
        <v>0.73</v>
      </c>
      <c r="G1828">
        <v>45.88</v>
      </c>
      <c r="H1828">
        <v>3.91</v>
      </c>
      <c r="I1828">
        <v>18.61</v>
      </c>
      <c r="J1828">
        <v>36.64</v>
      </c>
      <c r="K1828">
        <v>59.48</v>
      </c>
      <c r="L1828">
        <f t="shared" si="280"/>
        <v>0</v>
      </c>
      <c r="M1828">
        <f t="shared" si="281"/>
        <v>1</v>
      </c>
      <c r="N1828">
        <f t="shared" si="282"/>
        <v>0</v>
      </c>
      <c r="O1828">
        <f t="shared" si="283"/>
        <v>0</v>
      </c>
      <c r="P1828">
        <f t="shared" si="284"/>
        <v>0</v>
      </c>
      <c r="Q1828">
        <f t="shared" si="285"/>
        <v>0</v>
      </c>
      <c r="R1828">
        <f t="shared" si="286"/>
        <v>0</v>
      </c>
      <c r="S1828">
        <f t="shared" si="287"/>
        <v>0</v>
      </c>
      <c r="T1828">
        <f t="shared" si="289"/>
        <v>1</v>
      </c>
      <c r="U1828">
        <f t="shared" si="288"/>
        <v>1</v>
      </c>
    </row>
    <row r="1829" spans="1:21" x14ac:dyDescent="0.25">
      <c r="A1829" s="97">
        <v>1828</v>
      </c>
      <c r="B1829" t="s">
        <v>636</v>
      </c>
      <c r="C1829" t="s">
        <v>183</v>
      </c>
      <c r="D1829">
        <v>29.74</v>
      </c>
      <c r="E1829" s="80">
        <v>69708.570000000007</v>
      </c>
      <c r="F1829">
        <v>3218.55</v>
      </c>
      <c r="G1829">
        <v>138.22</v>
      </c>
      <c r="H1829">
        <v>9628.4699999999993</v>
      </c>
      <c r="I1829" s="80">
        <v>21123.07</v>
      </c>
      <c r="J1829">
        <v>86.47</v>
      </c>
      <c r="K1829" s="80">
        <v>11086.88</v>
      </c>
      <c r="L1829">
        <f t="shared" si="280"/>
        <v>0</v>
      </c>
      <c r="M1829">
        <f t="shared" si="281"/>
        <v>0</v>
      </c>
      <c r="N1829">
        <f t="shared" si="282"/>
        <v>0</v>
      </c>
      <c r="O1829">
        <f t="shared" si="283"/>
        <v>0</v>
      </c>
      <c r="P1829">
        <f t="shared" si="284"/>
        <v>0</v>
      </c>
      <c r="Q1829">
        <f t="shared" si="285"/>
        <v>0</v>
      </c>
      <c r="R1829">
        <f t="shared" si="286"/>
        <v>0</v>
      </c>
      <c r="S1829">
        <f t="shared" si="287"/>
        <v>0</v>
      </c>
      <c r="T1829">
        <f t="shared" si="289"/>
        <v>0</v>
      </c>
      <c r="U1829">
        <f t="shared" si="288"/>
        <v>0</v>
      </c>
    </row>
    <row r="1830" spans="1:21" x14ac:dyDescent="0.25">
      <c r="A1830" s="97">
        <v>1829</v>
      </c>
      <c r="B1830" t="s">
        <v>636</v>
      </c>
      <c r="C1830" t="s">
        <v>186</v>
      </c>
      <c r="D1830">
        <v>32.590000000000003</v>
      </c>
      <c r="E1830" s="80">
        <v>42565.29</v>
      </c>
      <c r="F1830" s="80">
        <v>5584.81</v>
      </c>
      <c r="G1830">
        <v>138.22</v>
      </c>
      <c r="H1830" s="80">
        <v>55476.55</v>
      </c>
      <c r="I1830" s="80">
        <v>22177.74</v>
      </c>
      <c r="J1830">
        <v>90.18</v>
      </c>
      <c r="K1830" s="80">
        <v>30773.66</v>
      </c>
      <c r="L1830">
        <f t="shared" si="280"/>
        <v>0</v>
      </c>
      <c r="M1830">
        <f t="shared" si="281"/>
        <v>0</v>
      </c>
      <c r="N1830">
        <f t="shared" si="282"/>
        <v>0</v>
      </c>
      <c r="O1830">
        <f t="shared" si="283"/>
        <v>0</v>
      </c>
      <c r="P1830">
        <f t="shared" si="284"/>
        <v>0</v>
      </c>
      <c r="Q1830">
        <f t="shared" si="285"/>
        <v>0</v>
      </c>
      <c r="R1830">
        <f t="shared" si="286"/>
        <v>0</v>
      </c>
      <c r="S1830">
        <f t="shared" si="287"/>
        <v>0</v>
      </c>
      <c r="T1830">
        <f t="shared" si="289"/>
        <v>0</v>
      </c>
      <c r="U1830">
        <f t="shared" si="288"/>
        <v>0</v>
      </c>
    </row>
    <row r="1831" spans="1:21" x14ac:dyDescent="0.25">
      <c r="A1831" s="97">
        <v>1830</v>
      </c>
      <c r="B1831" t="s">
        <v>636</v>
      </c>
      <c r="C1831" t="s">
        <v>188</v>
      </c>
      <c r="D1831">
        <v>28.8</v>
      </c>
      <c r="E1831" s="89" t="s">
        <v>582</v>
      </c>
      <c r="F1831">
        <v>210.08</v>
      </c>
      <c r="G1831">
        <v>150.63</v>
      </c>
      <c r="H1831">
        <v>2238.9899999999998</v>
      </c>
      <c r="I1831" s="80">
        <v>10174.469999999999</v>
      </c>
      <c r="J1831">
        <v>88.32</v>
      </c>
      <c r="K1831" s="80">
        <v>25978</v>
      </c>
      <c r="L1831">
        <f t="shared" si="280"/>
        <v>0</v>
      </c>
      <c r="M1831">
        <f t="shared" si="281"/>
        <v>1</v>
      </c>
      <c r="N1831">
        <f t="shared" si="282"/>
        <v>0</v>
      </c>
      <c r="O1831">
        <f t="shared" si="283"/>
        <v>0</v>
      </c>
      <c r="P1831">
        <f t="shared" si="284"/>
        <v>0</v>
      </c>
      <c r="Q1831">
        <f t="shared" si="285"/>
        <v>0</v>
      </c>
      <c r="R1831">
        <f t="shared" si="286"/>
        <v>0</v>
      </c>
      <c r="S1831">
        <f t="shared" si="287"/>
        <v>0</v>
      </c>
      <c r="T1831">
        <f t="shared" si="289"/>
        <v>1</v>
      </c>
      <c r="U1831">
        <f t="shared" si="288"/>
        <v>1</v>
      </c>
    </row>
    <row r="1832" spans="1:21" x14ac:dyDescent="0.25">
      <c r="A1832" s="97">
        <v>1831</v>
      </c>
      <c r="B1832" t="s">
        <v>636</v>
      </c>
      <c r="C1832" t="s">
        <v>182</v>
      </c>
      <c r="D1832" t="s">
        <v>583</v>
      </c>
      <c r="E1832">
        <v>877.99</v>
      </c>
      <c r="F1832" t="s">
        <v>583</v>
      </c>
      <c r="G1832" t="s">
        <v>583</v>
      </c>
      <c r="H1832">
        <v>0.88</v>
      </c>
      <c r="I1832">
        <v>113.04</v>
      </c>
      <c r="J1832">
        <v>0.11</v>
      </c>
      <c r="K1832">
        <v>0.37</v>
      </c>
      <c r="L1832">
        <f t="shared" si="280"/>
        <v>0</v>
      </c>
      <c r="M1832">
        <f t="shared" si="281"/>
        <v>0</v>
      </c>
      <c r="N1832">
        <f t="shared" si="282"/>
        <v>0</v>
      </c>
      <c r="O1832">
        <f t="shared" si="283"/>
        <v>0</v>
      </c>
      <c r="P1832">
        <f t="shared" si="284"/>
        <v>0</v>
      </c>
      <c r="Q1832">
        <f t="shared" si="285"/>
        <v>0</v>
      </c>
      <c r="R1832">
        <f t="shared" si="286"/>
        <v>0</v>
      </c>
      <c r="S1832">
        <f t="shared" si="287"/>
        <v>0</v>
      </c>
      <c r="T1832">
        <f t="shared" si="289"/>
        <v>0</v>
      </c>
      <c r="U1832">
        <f t="shared" si="288"/>
        <v>0</v>
      </c>
    </row>
    <row r="1833" spans="1:21" x14ac:dyDescent="0.25">
      <c r="A1833" s="97">
        <v>1832</v>
      </c>
      <c r="B1833" t="s">
        <v>636</v>
      </c>
      <c r="C1833" t="s">
        <v>184</v>
      </c>
      <c r="D1833">
        <v>64.430000000000007</v>
      </c>
      <c r="E1833">
        <v>4861.76</v>
      </c>
      <c r="F1833">
        <v>196.54</v>
      </c>
      <c r="G1833">
        <v>32.65</v>
      </c>
      <c r="H1833">
        <v>5442.85</v>
      </c>
      <c r="I1833" s="80">
        <v>14460.88</v>
      </c>
      <c r="J1833">
        <v>21.75</v>
      </c>
      <c r="K1833">
        <v>2045.12</v>
      </c>
      <c r="L1833">
        <f t="shared" si="280"/>
        <v>0</v>
      </c>
      <c r="M1833">
        <f t="shared" si="281"/>
        <v>0</v>
      </c>
      <c r="N1833">
        <f t="shared" si="282"/>
        <v>0</v>
      </c>
      <c r="O1833">
        <f t="shared" si="283"/>
        <v>0</v>
      </c>
      <c r="P1833">
        <f t="shared" si="284"/>
        <v>0</v>
      </c>
      <c r="Q1833">
        <f t="shared" si="285"/>
        <v>0</v>
      </c>
      <c r="R1833">
        <f t="shared" si="286"/>
        <v>0</v>
      </c>
      <c r="S1833">
        <f t="shared" si="287"/>
        <v>0</v>
      </c>
      <c r="T1833">
        <f t="shared" si="289"/>
        <v>0</v>
      </c>
      <c r="U1833">
        <f t="shared" si="288"/>
        <v>0</v>
      </c>
    </row>
    <row r="1834" spans="1:21" x14ac:dyDescent="0.25">
      <c r="A1834" s="97">
        <v>1833</v>
      </c>
      <c r="B1834" t="s">
        <v>636</v>
      </c>
      <c r="C1834" t="s">
        <v>187</v>
      </c>
      <c r="D1834">
        <v>896.93</v>
      </c>
      <c r="E1834">
        <v>5419.54</v>
      </c>
      <c r="F1834">
        <v>172.89</v>
      </c>
      <c r="G1834">
        <v>50.53</v>
      </c>
      <c r="H1834">
        <v>11098.04</v>
      </c>
      <c r="I1834" s="80">
        <v>13058.88</v>
      </c>
      <c r="J1834">
        <v>42.98</v>
      </c>
      <c r="K1834">
        <v>4787.5600000000004</v>
      </c>
      <c r="L1834">
        <f t="shared" si="280"/>
        <v>0</v>
      </c>
      <c r="M1834">
        <f t="shared" si="281"/>
        <v>0</v>
      </c>
      <c r="N1834">
        <f t="shared" si="282"/>
        <v>0</v>
      </c>
      <c r="O1834">
        <f t="shared" si="283"/>
        <v>0</v>
      </c>
      <c r="P1834">
        <f t="shared" si="284"/>
        <v>0</v>
      </c>
      <c r="Q1834">
        <f t="shared" si="285"/>
        <v>0</v>
      </c>
      <c r="R1834">
        <f t="shared" si="286"/>
        <v>0</v>
      </c>
      <c r="S1834">
        <f t="shared" si="287"/>
        <v>0</v>
      </c>
      <c r="T1834">
        <f t="shared" si="289"/>
        <v>0</v>
      </c>
      <c r="U1834">
        <f t="shared" si="288"/>
        <v>0</v>
      </c>
    </row>
    <row r="1835" spans="1:21" x14ac:dyDescent="0.25">
      <c r="A1835" s="97">
        <v>1834</v>
      </c>
      <c r="B1835" t="s">
        <v>636</v>
      </c>
      <c r="C1835" t="s">
        <v>189</v>
      </c>
      <c r="D1835">
        <v>1382.19</v>
      </c>
      <c r="E1835">
        <v>5047.8599999999997</v>
      </c>
      <c r="F1835">
        <v>9.59</v>
      </c>
      <c r="G1835">
        <v>32.65</v>
      </c>
      <c r="H1835">
        <v>6008.3</v>
      </c>
      <c r="I1835" s="80">
        <v>9436.65</v>
      </c>
      <c r="J1835">
        <v>36.64</v>
      </c>
      <c r="K1835">
        <v>6214.53</v>
      </c>
      <c r="L1835">
        <f t="shared" si="280"/>
        <v>0</v>
      </c>
      <c r="M1835">
        <f t="shared" si="281"/>
        <v>0</v>
      </c>
      <c r="N1835">
        <f t="shared" si="282"/>
        <v>0</v>
      </c>
      <c r="O1835">
        <f t="shared" si="283"/>
        <v>0</v>
      </c>
      <c r="P1835">
        <f t="shared" si="284"/>
        <v>0</v>
      </c>
      <c r="Q1835">
        <f t="shared" si="285"/>
        <v>0</v>
      </c>
      <c r="R1835">
        <f t="shared" si="286"/>
        <v>0</v>
      </c>
      <c r="S1835">
        <f t="shared" si="287"/>
        <v>0</v>
      </c>
      <c r="T1835">
        <f t="shared" si="289"/>
        <v>0</v>
      </c>
      <c r="U1835">
        <f t="shared" si="288"/>
        <v>0</v>
      </c>
    </row>
    <row r="1836" spans="1:21" x14ac:dyDescent="0.25">
      <c r="A1836" s="97">
        <v>1835</v>
      </c>
      <c r="B1836" t="s">
        <v>637</v>
      </c>
      <c r="C1836" t="s">
        <v>162</v>
      </c>
      <c r="D1836">
        <v>2.0499999999999998</v>
      </c>
      <c r="E1836">
        <v>11498.03</v>
      </c>
      <c r="F1836">
        <v>0.56000000000000005</v>
      </c>
      <c r="G1836">
        <v>10.36</v>
      </c>
      <c r="H1836">
        <v>0.47</v>
      </c>
      <c r="I1836">
        <v>0.81</v>
      </c>
      <c r="J1836">
        <v>8.74</v>
      </c>
      <c r="K1836">
        <v>0.98</v>
      </c>
      <c r="L1836">
        <f t="shared" si="280"/>
        <v>0</v>
      </c>
      <c r="M1836">
        <f t="shared" si="281"/>
        <v>0</v>
      </c>
      <c r="N1836">
        <f t="shared" si="282"/>
        <v>0</v>
      </c>
      <c r="O1836">
        <f t="shared" si="283"/>
        <v>0</v>
      </c>
      <c r="P1836">
        <f t="shared" si="284"/>
        <v>0</v>
      </c>
      <c r="Q1836">
        <f t="shared" si="285"/>
        <v>0</v>
      </c>
      <c r="R1836">
        <f t="shared" si="286"/>
        <v>0</v>
      </c>
      <c r="S1836">
        <f t="shared" si="287"/>
        <v>0</v>
      </c>
      <c r="T1836">
        <f t="shared" si="289"/>
        <v>0</v>
      </c>
      <c r="U1836">
        <f t="shared" si="288"/>
        <v>0</v>
      </c>
    </row>
    <row r="1837" spans="1:21" x14ac:dyDescent="0.25">
      <c r="A1837" s="97">
        <v>1836</v>
      </c>
      <c r="B1837" t="s">
        <v>637</v>
      </c>
      <c r="C1837" t="s">
        <v>170</v>
      </c>
      <c r="D1837">
        <v>13.48</v>
      </c>
      <c r="E1837" s="80">
        <v>28966.720000000001</v>
      </c>
      <c r="F1837">
        <v>143.80000000000001</v>
      </c>
      <c r="G1837">
        <v>32.65</v>
      </c>
      <c r="H1837">
        <v>557.32000000000005</v>
      </c>
      <c r="I1837" s="80">
        <v>11572.85</v>
      </c>
      <c r="J1837">
        <v>30.5</v>
      </c>
      <c r="K1837">
        <v>687.19</v>
      </c>
      <c r="L1837">
        <f t="shared" si="280"/>
        <v>0</v>
      </c>
      <c r="M1837">
        <f t="shared" si="281"/>
        <v>0</v>
      </c>
      <c r="N1837">
        <f t="shared" si="282"/>
        <v>0</v>
      </c>
      <c r="O1837">
        <f t="shared" si="283"/>
        <v>0</v>
      </c>
      <c r="P1837">
        <f t="shared" si="284"/>
        <v>0</v>
      </c>
      <c r="Q1837">
        <f t="shared" si="285"/>
        <v>0</v>
      </c>
      <c r="R1837">
        <f t="shared" si="286"/>
        <v>0</v>
      </c>
      <c r="S1837">
        <f t="shared" si="287"/>
        <v>0</v>
      </c>
      <c r="T1837">
        <f t="shared" si="289"/>
        <v>0</v>
      </c>
      <c r="U1837">
        <f t="shared" si="288"/>
        <v>0</v>
      </c>
    </row>
    <row r="1838" spans="1:21" x14ac:dyDescent="0.25">
      <c r="A1838" s="97">
        <v>1837</v>
      </c>
      <c r="B1838" t="s">
        <v>637</v>
      </c>
      <c r="C1838" t="s">
        <v>178</v>
      </c>
      <c r="D1838">
        <v>18.25</v>
      </c>
      <c r="E1838" s="80">
        <v>37493.24</v>
      </c>
      <c r="F1838">
        <v>605.71</v>
      </c>
      <c r="G1838">
        <v>41.34</v>
      </c>
      <c r="H1838">
        <v>2607.83</v>
      </c>
      <c r="I1838" s="80">
        <v>14979.7</v>
      </c>
      <c r="J1838">
        <v>36.64</v>
      </c>
      <c r="K1838">
        <v>1469.57</v>
      </c>
      <c r="L1838">
        <f t="shared" si="280"/>
        <v>0</v>
      </c>
      <c r="M1838">
        <f t="shared" si="281"/>
        <v>0</v>
      </c>
      <c r="N1838">
        <f t="shared" si="282"/>
        <v>0</v>
      </c>
      <c r="O1838">
        <f t="shared" si="283"/>
        <v>0</v>
      </c>
      <c r="P1838">
        <f t="shared" si="284"/>
        <v>0</v>
      </c>
      <c r="Q1838">
        <f t="shared" si="285"/>
        <v>0</v>
      </c>
      <c r="R1838">
        <f t="shared" si="286"/>
        <v>0</v>
      </c>
      <c r="S1838">
        <f t="shared" si="287"/>
        <v>0</v>
      </c>
      <c r="T1838">
        <f t="shared" si="289"/>
        <v>0</v>
      </c>
      <c r="U1838">
        <f t="shared" si="288"/>
        <v>0</v>
      </c>
    </row>
    <row r="1839" spans="1:21" x14ac:dyDescent="0.25">
      <c r="A1839" s="97">
        <v>1838</v>
      </c>
      <c r="B1839" t="s">
        <v>637</v>
      </c>
      <c r="C1839" t="s">
        <v>163</v>
      </c>
      <c r="D1839">
        <v>15.03</v>
      </c>
      <c r="E1839" s="80">
        <v>26268.36</v>
      </c>
      <c r="F1839">
        <v>95.11</v>
      </c>
      <c r="G1839">
        <v>50.53</v>
      </c>
      <c r="H1839">
        <v>762.51</v>
      </c>
      <c r="I1839" s="80">
        <v>6240.05</v>
      </c>
      <c r="J1839">
        <v>30.5</v>
      </c>
      <c r="K1839">
        <v>2352.5100000000002</v>
      </c>
      <c r="L1839">
        <f t="shared" si="280"/>
        <v>0</v>
      </c>
      <c r="M1839">
        <f t="shared" si="281"/>
        <v>0</v>
      </c>
      <c r="N1839">
        <f t="shared" si="282"/>
        <v>0</v>
      </c>
      <c r="O1839">
        <f t="shared" si="283"/>
        <v>0</v>
      </c>
      <c r="P1839">
        <f t="shared" si="284"/>
        <v>0</v>
      </c>
      <c r="Q1839">
        <f t="shared" si="285"/>
        <v>0</v>
      </c>
      <c r="R1839">
        <f t="shared" si="286"/>
        <v>0</v>
      </c>
      <c r="S1839">
        <f t="shared" si="287"/>
        <v>0</v>
      </c>
      <c r="T1839">
        <f t="shared" si="289"/>
        <v>0</v>
      </c>
      <c r="U1839">
        <f t="shared" si="288"/>
        <v>0</v>
      </c>
    </row>
    <row r="1840" spans="1:21" x14ac:dyDescent="0.25">
      <c r="A1840" s="97">
        <v>1839</v>
      </c>
      <c r="B1840" t="s">
        <v>637</v>
      </c>
      <c r="C1840" t="s">
        <v>181</v>
      </c>
      <c r="D1840">
        <v>7.78</v>
      </c>
      <c r="E1840" s="80">
        <v>32920.449999999997</v>
      </c>
      <c r="F1840">
        <v>1.1599999999999999</v>
      </c>
      <c r="G1840">
        <v>41.34</v>
      </c>
      <c r="H1840">
        <v>1.33</v>
      </c>
      <c r="I1840">
        <v>6.94</v>
      </c>
      <c r="J1840">
        <v>18.98</v>
      </c>
      <c r="K1840">
        <v>3.82</v>
      </c>
      <c r="L1840">
        <f t="shared" si="280"/>
        <v>0</v>
      </c>
      <c r="M1840">
        <f t="shared" si="281"/>
        <v>0</v>
      </c>
      <c r="N1840">
        <f t="shared" si="282"/>
        <v>0</v>
      </c>
      <c r="O1840">
        <f t="shared" si="283"/>
        <v>0</v>
      </c>
      <c r="P1840">
        <f t="shared" si="284"/>
        <v>0</v>
      </c>
      <c r="Q1840">
        <f t="shared" si="285"/>
        <v>0</v>
      </c>
      <c r="R1840">
        <f t="shared" si="286"/>
        <v>0</v>
      </c>
      <c r="S1840">
        <f t="shared" si="287"/>
        <v>0</v>
      </c>
      <c r="T1840">
        <f t="shared" si="289"/>
        <v>0</v>
      </c>
      <c r="U1840">
        <f t="shared" si="288"/>
        <v>0</v>
      </c>
    </row>
    <row r="1841" spans="1:21" x14ac:dyDescent="0.25">
      <c r="A1841" s="97">
        <v>1840</v>
      </c>
      <c r="B1841" t="s">
        <v>637</v>
      </c>
      <c r="C1841" t="s">
        <v>183</v>
      </c>
      <c r="D1841">
        <v>19.079999999999998</v>
      </c>
      <c r="E1841" s="80">
        <v>227054.58</v>
      </c>
      <c r="F1841">
        <v>730.47</v>
      </c>
      <c r="G1841">
        <v>114.28</v>
      </c>
      <c r="H1841">
        <v>1152.51</v>
      </c>
      <c r="I1841" s="80">
        <v>17901.5</v>
      </c>
      <c r="J1841">
        <v>59.65</v>
      </c>
      <c r="K1841">
        <v>2261.23</v>
      </c>
      <c r="L1841">
        <f t="shared" si="280"/>
        <v>0</v>
      </c>
      <c r="M1841">
        <f t="shared" si="281"/>
        <v>0</v>
      </c>
      <c r="N1841">
        <f t="shared" si="282"/>
        <v>0</v>
      </c>
      <c r="O1841">
        <f t="shared" si="283"/>
        <v>0</v>
      </c>
      <c r="P1841">
        <f t="shared" si="284"/>
        <v>0</v>
      </c>
      <c r="Q1841">
        <f t="shared" si="285"/>
        <v>0</v>
      </c>
      <c r="R1841">
        <f t="shared" si="286"/>
        <v>0</v>
      </c>
      <c r="S1841">
        <f t="shared" si="287"/>
        <v>0</v>
      </c>
      <c r="T1841">
        <f t="shared" si="289"/>
        <v>0</v>
      </c>
      <c r="U1841">
        <f t="shared" si="288"/>
        <v>0</v>
      </c>
    </row>
    <row r="1842" spans="1:21" x14ac:dyDescent="0.25">
      <c r="A1842" s="97">
        <v>1841</v>
      </c>
      <c r="B1842" t="s">
        <v>637</v>
      </c>
      <c r="C1842" t="s">
        <v>186</v>
      </c>
      <c r="D1842">
        <v>32.590000000000003</v>
      </c>
      <c r="E1842" s="89" t="s">
        <v>582</v>
      </c>
      <c r="F1842" s="80">
        <v>4884.28</v>
      </c>
      <c r="G1842">
        <v>138.22</v>
      </c>
      <c r="H1842">
        <v>7526.89</v>
      </c>
      <c r="I1842" s="80">
        <v>20238.48</v>
      </c>
      <c r="J1842">
        <v>80.95</v>
      </c>
      <c r="K1842">
        <v>6779.71</v>
      </c>
      <c r="L1842">
        <f t="shared" si="280"/>
        <v>0</v>
      </c>
      <c r="M1842">
        <f t="shared" si="281"/>
        <v>1</v>
      </c>
      <c r="N1842">
        <f t="shared" si="282"/>
        <v>0</v>
      </c>
      <c r="O1842">
        <f t="shared" si="283"/>
        <v>0</v>
      </c>
      <c r="P1842">
        <f t="shared" si="284"/>
        <v>0</v>
      </c>
      <c r="Q1842">
        <f t="shared" si="285"/>
        <v>0</v>
      </c>
      <c r="R1842">
        <f t="shared" si="286"/>
        <v>0</v>
      </c>
      <c r="S1842">
        <f t="shared" si="287"/>
        <v>0</v>
      </c>
      <c r="T1842">
        <f t="shared" si="289"/>
        <v>1</v>
      </c>
      <c r="U1842">
        <f t="shared" si="288"/>
        <v>1</v>
      </c>
    </row>
    <row r="1843" spans="1:21" x14ac:dyDescent="0.25">
      <c r="A1843" s="97">
        <v>1842</v>
      </c>
      <c r="B1843" t="s">
        <v>637</v>
      </c>
      <c r="C1843" t="s">
        <v>188</v>
      </c>
      <c r="D1843">
        <v>20.77</v>
      </c>
      <c r="E1843" s="89" t="s">
        <v>582</v>
      </c>
      <c r="F1843">
        <v>225.26</v>
      </c>
      <c r="G1843">
        <v>80.739999999999995</v>
      </c>
      <c r="H1843">
        <v>923.34</v>
      </c>
      <c r="I1843" s="80">
        <v>10693.87</v>
      </c>
      <c r="J1843">
        <v>63.11</v>
      </c>
      <c r="K1843">
        <v>3992.28</v>
      </c>
      <c r="L1843">
        <f t="shared" si="280"/>
        <v>0</v>
      </c>
      <c r="M1843">
        <f t="shared" si="281"/>
        <v>1</v>
      </c>
      <c r="N1843">
        <f t="shared" si="282"/>
        <v>0</v>
      </c>
      <c r="O1843">
        <f t="shared" si="283"/>
        <v>0</v>
      </c>
      <c r="P1843">
        <f t="shared" si="284"/>
        <v>0</v>
      </c>
      <c r="Q1843">
        <f t="shared" si="285"/>
        <v>0</v>
      </c>
      <c r="R1843">
        <f t="shared" si="286"/>
        <v>0</v>
      </c>
      <c r="S1843">
        <f t="shared" si="287"/>
        <v>0</v>
      </c>
      <c r="T1843">
        <f t="shared" si="289"/>
        <v>1</v>
      </c>
      <c r="U1843">
        <f t="shared" si="288"/>
        <v>1</v>
      </c>
    </row>
    <row r="1844" spans="1:21" x14ac:dyDescent="0.25">
      <c r="A1844" s="97">
        <v>1843</v>
      </c>
      <c r="B1844" t="s">
        <v>637</v>
      </c>
      <c r="C1844" t="s">
        <v>182</v>
      </c>
      <c r="D1844" t="s">
        <v>583</v>
      </c>
      <c r="E1844">
        <v>2020.25</v>
      </c>
      <c r="F1844">
        <v>2.3199999999999998</v>
      </c>
      <c r="G1844" t="s">
        <v>583</v>
      </c>
      <c r="H1844">
        <v>6.55</v>
      </c>
      <c r="I1844" s="80">
        <v>3175.98</v>
      </c>
      <c r="J1844" s="80">
        <v>0.73</v>
      </c>
      <c r="K1844">
        <v>12.16</v>
      </c>
      <c r="L1844">
        <f t="shared" si="280"/>
        <v>0</v>
      </c>
      <c r="M1844">
        <f t="shared" si="281"/>
        <v>0</v>
      </c>
      <c r="N1844">
        <f t="shared" si="282"/>
        <v>0</v>
      </c>
      <c r="O1844">
        <f t="shared" si="283"/>
        <v>0</v>
      </c>
      <c r="P1844">
        <f t="shared" si="284"/>
        <v>0</v>
      </c>
      <c r="Q1844">
        <f t="shared" si="285"/>
        <v>0</v>
      </c>
      <c r="R1844">
        <f t="shared" si="286"/>
        <v>0</v>
      </c>
      <c r="S1844">
        <f t="shared" si="287"/>
        <v>0</v>
      </c>
      <c r="T1844">
        <f t="shared" si="289"/>
        <v>0</v>
      </c>
      <c r="U1844">
        <f t="shared" si="288"/>
        <v>0</v>
      </c>
    </row>
    <row r="1845" spans="1:21" x14ac:dyDescent="0.25">
      <c r="A1845" s="97">
        <v>1844</v>
      </c>
      <c r="B1845" t="s">
        <v>637</v>
      </c>
      <c r="C1845" t="s">
        <v>184</v>
      </c>
      <c r="D1845">
        <v>10.53</v>
      </c>
      <c r="E1845">
        <v>8817.19</v>
      </c>
      <c r="F1845">
        <v>295.74</v>
      </c>
      <c r="G1845">
        <v>50.53</v>
      </c>
      <c r="H1845">
        <v>10061.790000000001</v>
      </c>
      <c r="I1845" s="80">
        <v>16908.8</v>
      </c>
      <c r="J1845">
        <v>36.64</v>
      </c>
      <c r="K1845">
        <v>3265.98</v>
      </c>
      <c r="L1845">
        <f t="shared" si="280"/>
        <v>0</v>
      </c>
      <c r="M1845">
        <f t="shared" si="281"/>
        <v>0</v>
      </c>
      <c r="N1845">
        <f t="shared" si="282"/>
        <v>0</v>
      </c>
      <c r="O1845">
        <f t="shared" si="283"/>
        <v>0</v>
      </c>
      <c r="P1845">
        <f t="shared" si="284"/>
        <v>0</v>
      </c>
      <c r="Q1845">
        <f t="shared" si="285"/>
        <v>0</v>
      </c>
      <c r="R1845">
        <f t="shared" si="286"/>
        <v>0</v>
      </c>
      <c r="S1845">
        <f t="shared" si="287"/>
        <v>0</v>
      </c>
      <c r="T1845">
        <f t="shared" si="289"/>
        <v>0</v>
      </c>
      <c r="U1845">
        <f t="shared" si="288"/>
        <v>0</v>
      </c>
    </row>
    <row r="1846" spans="1:21" x14ac:dyDescent="0.25">
      <c r="A1846" s="97">
        <v>1845</v>
      </c>
      <c r="B1846" t="s">
        <v>637</v>
      </c>
      <c r="C1846" t="s">
        <v>187</v>
      </c>
      <c r="D1846">
        <v>35.51</v>
      </c>
      <c r="E1846">
        <v>10122.290000000001</v>
      </c>
      <c r="F1846">
        <v>292.22000000000003</v>
      </c>
      <c r="G1846">
        <v>86.11</v>
      </c>
      <c r="H1846" s="80">
        <v>30295.87</v>
      </c>
      <c r="I1846" s="80">
        <v>16811.09</v>
      </c>
      <c r="J1846">
        <v>52.86</v>
      </c>
      <c r="K1846" s="80">
        <v>8789.7000000000007</v>
      </c>
      <c r="L1846">
        <f t="shared" si="280"/>
        <v>0</v>
      </c>
      <c r="M1846">
        <f t="shared" si="281"/>
        <v>0</v>
      </c>
      <c r="N1846">
        <f t="shared" si="282"/>
        <v>0</v>
      </c>
      <c r="O1846">
        <f t="shared" si="283"/>
        <v>0</v>
      </c>
      <c r="P1846">
        <f t="shared" si="284"/>
        <v>0</v>
      </c>
      <c r="Q1846">
        <f t="shared" si="285"/>
        <v>0</v>
      </c>
      <c r="R1846">
        <f t="shared" si="286"/>
        <v>0</v>
      </c>
      <c r="S1846">
        <f t="shared" si="287"/>
        <v>0</v>
      </c>
      <c r="T1846">
        <f t="shared" si="289"/>
        <v>0</v>
      </c>
      <c r="U1846">
        <f t="shared" si="288"/>
        <v>0</v>
      </c>
    </row>
    <row r="1847" spans="1:21" x14ac:dyDescent="0.25">
      <c r="A1847" s="97">
        <v>1846</v>
      </c>
      <c r="B1847" t="s">
        <v>637</v>
      </c>
      <c r="C1847" t="s">
        <v>189</v>
      </c>
      <c r="D1847">
        <v>28.8</v>
      </c>
      <c r="E1847">
        <v>10801.87</v>
      </c>
      <c r="F1847">
        <v>48.32</v>
      </c>
      <c r="G1847">
        <v>50.53</v>
      </c>
      <c r="H1847">
        <v>9503.6299999999992</v>
      </c>
      <c r="I1847" s="80">
        <v>14027.8</v>
      </c>
      <c r="J1847">
        <v>46.23</v>
      </c>
      <c r="K1847">
        <v>7694.63</v>
      </c>
      <c r="L1847">
        <f t="shared" si="280"/>
        <v>0</v>
      </c>
      <c r="M1847">
        <f t="shared" si="281"/>
        <v>0</v>
      </c>
      <c r="N1847">
        <f t="shared" si="282"/>
        <v>0</v>
      </c>
      <c r="O1847">
        <f t="shared" si="283"/>
        <v>0</v>
      </c>
      <c r="P1847">
        <f t="shared" si="284"/>
        <v>0</v>
      </c>
      <c r="Q1847">
        <f t="shared" si="285"/>
        <v>0</v>
      </c>
      <c r="R1847">
        <f t="shared" si="286"/>
        <v>0</v>
      </c>
      <c r="S1847">
        <f t="shared" si="287"/>
        <v>0</v>
      </c>
      <c r="T1847">
        <f t="shared" si="289"/>
        <v>0</v>
      </c>
      <c r="U1847">
        <f t="shared" si="288"/>
        <v>0</v>
      </c>
    </row>
    <row r="1848" spans="1:21" x14ac:dyDescent="0.25">
      <c r="A1848" s="97">
        <v>1847</v>
      </c>
      <c r="B1848">
        <v>1083</v>
      </c>
      <c r="C1848" t="s">
        <v>162</v>
      </c>
      <c r="D1848">
        <v>3.04</v>
      </c>
      <c r="E1848">
        <v>13437.18</v>
      </c>
      <c r="F1848">
        <v>0.85</v>
      </c>
      <c r="G1848">
        <v>17.05</v>
      </c>
      <c r="H1848">
        <v>0.28000000000000003</v>
      </c>
      <c r="I1848">
        <v>128.63999999999999</v>
      </c>
      <c r="J1848">
        <v>11.14</v>
      </c>
      <c r="K1848">
        <v>17.71</v>
      </c>
      <c r="L1848">
        <f t="shared" si="280"/>
        <v>0</v>
      </c>
      <c r="M1848">
        <f t="shared" si="281"/>
        <v>0</v>
      </c>
      <c r="N1848">
        <f t="shared" si="282"/>
        <v>0</v>
      </c>
      <c r="O1848">
        <f t="shared" si="283"/>
        <v>0</v>
      </c>
      <c r="P1848">
        <f t="shared" si="284"/>
        <v>0</v>
      </c>
      <c r="Q1848">
        <f t="shared" si="285"/>
        <v>0</v>
      </c>
      <c r="R1848">
        <f t="shared" si="286"/>
        <v>0</v>
      </c>
      <c r="S1848">
        <f t="shared" si="287"/>
        <v>0</v>
      </c>
      <c r="T1848">
        <f t="shared" si="289"/>
        <v>0</v>
      </c>
      <c r="U1848">
        <f t="shared" si="288"/>
        <v>0</v>
      </c>
    </row>
    <row r="1849" spans="1:21" x14ac:dyDescent="0.25">
      <c r="A1849" s="97">
        <v>1848</v>
      </c>
      <c r="B1849">
        <v>1083</v>
      </c>
      <c r="C1849" t="s">
        <v>170</v>
      </c>
      <c r="D1849">
        <v>15.03</v>
      </c>
      <c r="E1849">
        <v>17896.14</v>
      </c>
      <c r="F1849">
        <v>799.15</v>
      </c>
      <c r="G1849">
        <v>80.739999999999995</v>
      </c>
      <c r="H1849">
        <v>3197.62</v>
      </c>
      <c r="I1849" s="80">
        <v>20393.22</v>
      </c>
      <c r="J1849">
        <v>42.98</v>
      </c>
      <c r="K1849">
        <v>6661.63</v>
      </c>
      <c r="L1849">
        <f t="shared" si="280"/>
        <v>0</v>
      </c>
      <c r="M1849">
        <f t="shared" si="281"/>
        <v>0</v>
      </c>
      <c r="N1849">
        <f t="shared" si="282"/>
        <v>0</v>
      </c>
      <c r="O1849">
        <f t="shared" si="283"/>
        <v>0</v>
      </c>
      <c r="P1849">
        <f t="shared" si="284"/>
        <v>0</v>
      </c>
      <c r="Q1849">
        <f t="shared" si="285"/>
        <v>0</v>
      </c>
      <c r="R1849">
        <f t="shared" si="286"/>
        <v>0</v>
      </c>
      <c r="S1849">
        <f t="shared" si="287"/>
        <v>0</v>
      </c>
      <c r="T1849">
        <f t="shared" si="289"/>
        <v>0</v>
      </c>
      <c r="U1849">
        <f t="shared" si="288"/>
        <v>0</v>
      </c>
    </row>
    <row r="1850" spans="1:21" x14ac:dyDescent="0.25">
      <c r="A1850" s="97">
        <v>1849</v>
      </c>
      <c r="B1850">
        <v>1083</v>
      </c>
      <c r="C1850" t="s">
        <v>178</v>
      </c>
      <c r="D1850">
        <v>18.25</v>
      </c>
      <c r="E1850">
        <v>16160.45</v>
      </c>
      <c r="F1850">
        <v>1913.87</v>
      </c>
      <c r="G1850">
        <v>114.28</v>
      </c>
      <c r="H1850" s="80">
        <v>18921.759999999998</v>
      </c>
      <c r="I1850" s="80">
        <v>21699.72</v>
      </c>
      <c r="J1850">
        <v>66.61</v>
      </c>
      <c r="K1850" s="80">
        <v>12670.75</v>
      </c>
      <c r="L1850">
        <f t="shared" si="280"/>
        <v>0</v>
      </c>
      <c r="M1850">
        <f t="shared" si="281"/>
        <v>0</v>
      </c>
      <c r="N1850">
        <f t="shared" si="282"/>
        <v>0</v>
      </c>
      <c r="O1850">
        <f t="shared" si="283"/>
        <v>0</v>
      </c>
      <c r="P1850">
        <f t="shared" si="284"/>
        <v>0</v>
      </c>
      <c r="Q1850">
        <f t="shared" si="285"/>
        <v>0</v>
      </c>
      <c r="R1850">
        <f t="shared" si="286"/>
        <v>0</v>
      </c>
      <c r="S1850">
        <f t="shared" si="287"/>
        <v>0</v>
      </c>
      <c r="T1850">
        <f t="shared" si="289"/>
        <v>0</v>
      </c>
      <c r="U1850">
        <f t="shared" si="288"/>
        <v>0</v>
      </c>
    </row>
    <row r="1851" spans="1:21" x14ac:dyDescent="0.25">
      <c r="A1851" s="97">
        <v>1850</v>
      </c>
      <c r="B1851">
        <v>1083</v>
      </c>
      <c r="C1851" t="s">
        <v>163</v>
      </c>
      <c r="D1851">
        <v>23.37</v>
      </c>
      <c r="E1851">
        <v>15526.3</v>
      </c>
      <c r="F1851">
        <v>1799.97</v>
      </c>
      <c r="G1851">
        <v>91.58</v>
      </c>
      <c r="H1851">
        <v>14241.05</v>
      </c>
      <c r="I1851" s="80">
        <v>21280.69</v>
      </c>
      <c r="J1851">
        <v>73.709999999999994</v>
      </c>
      <c r="K1851" s="89" t="s">
        <v>582</v>
      </c>
      <c r="L1851">
        <f t="shared" si="280"/>
        <v>0</v>
      </c>
      <c r="M1851">
        <f t="shared" si="281"/>
        <v>0</v>
      </c>
      <c r="N1851">
        <f t="shared" si="282"/>
        <v>0</v>
      </c>
      <c r="O1851">
        <f t="shared" si="283"/>
        <v>0</v>
      </c>
      <c r="P1851">
        <f t="shared" si="284"/>
        <v>0</v>
      </c>
      <c r="Q1851">
        <f t="shared" si="285"/>
        <v>0</v>
      </c>
      <c r="R1851">
        <f t="shared" si="286"/>
        <v>0</v>
      </c>
      <c r="S1851">
        <f t="shared" si="287"/>
        <v>1</v>
      </c>
      <c r="T1851">
        <f t="shared" si="289"/>
        <v>1</v>
      </c>
      <c r="U1851">
        <f t="shared" si="288"/>
        <v>1</v>
      </c>
    </row>
    <row r="1852" spans="1:21" x14ac:dyDescent="0.25">
      <c r="A1852" s="97">
        <v>1851</v>
      </c>
      <c r="B1852">
        <v>1083</v>
      </c>
      <c r="C1852" t="s">
        <v>181</v>
      </c>
      <c r="D1852">
        <v>6.49</v>
      </c>
      <c r="E1852">
        <v>19174.43</v>
      </c>
      <c r="F1852">
        <v>0.9</v>
      </c>
      <c r="G1852">
        <v>13.6</v>
      </c>
      <c r="H1852">
        <v>145.25</v>
      </c>
      <c r="I1852">
        <v>2360.85</v>
      </c>
      <c r="J1852">
        <v>21.75</v>
      </c>
      <c r="K1852">
        <v>681.82</v>
      </c>
      <c r="L1852">
        <f t="shared" si="280"/>
        <v>0</v>
      </c>
      <c r="M1852">
        <f t="shared" si="281"/>
        <v>0</v>
      </c>
      <c r="N1852">
        <f t="shared" si="282"/>
        <v>0</v>
      </c>
      <c r="O1852">
        <f t="shared" si="283"/>
        <v>0</v>
      </c>
      <c r="P1852">
        <f t="shared" si="284"/>
        <v>0</v>
      </c>
      <c r="Q1852">
        <f t="shared" si="285"/>
        <v>0</v>
      </c>
      <c r="R1852">
        <f t="shared" si="286"/>
        <v>0</v>
      </c>
      <c r="S1852">
        <f t="shared" si="287"/>
        <v>0</v>
      </c>
      <c r="T1852">
        <f t="shared" si="289"/>
        <v>0</v>
      </c>
      <c r="U1852">
        <f t="shared" si="288"/>
        <v>0</v>
      </c>
    </row>
    <row r="1853" spans="1:21" x14ac:dyDescent="0.25">
      <c r="A1853" s="97">
        <v>1852</v>
      </c>
      <c r="B1853">
        <v>1083</v>
      </c>
      <c r="C1853" t="s">
        <v>183</v>
      </c>
      <c r="D1853">
        <v>9.1199999999999992</v>
      </c>
      <c r="E1853">
        <v>7002.26</v>
      </c>
      <c r="F1853">
        <v>64.8</v>
      </c>
      <c r="G1853">
        <v>50.53</v>
      </c>
      <c r="H1853">
        <v>2975.91</v>
      </c>
      <c r="I1853" s="80">
        <v>17442.830000000002</v>
      </c>
      <c r="J1853">
        <v>33.54</v>
      </c>
      <c r="K1853">
        <v>6669.45</v>
      </c>
      <c r="L1853">
        <f t="shared" si="280"/>
        <v>0</v>
      </c>
      <c r="M1853">
        <f t="shared" si="281"/>
        <v>0</v>
      </c>
      <c r="N1853">
        <f t="shared" si="282"/>
        <v>0</v>
      </c>
      <c r="O1853">
        <f t="shared" si="283"/>
        <v>0</v>
      </c>
      <c r="P1853">
        <f t="shared" si="284"/>
        <v>0</v>
      </c>
      <c r="Q1853">
        <f t="shared" si="285"/>
        <v>0</v>
      </c>
      <c r="R1853">
        <f t="shared" si="286"/>
        <v>0</v>
      </c>
      <c r="S1853">
        <f t="shared" si="287"/>
        <v>0</v>
      </c>
      <c r="T1853">
        <f t="shared" si="289"/>
        <v>0</v>
      </c>
      <c r="U1853">
        <f t="shared" si="288"/>
        <v>0</v>
      </c>
    </row>
    <row r="1854" spans="1:21" x14ac:dyDescent="0.25">
      <c r="A1854" s="96">
        <v>1853</v>
      </c>
      <c r="B1854">
        <v>1083</v>
      </c>
      <c r="C1854" t="s">
        <v>186</v>
      </c>
      <c r="D1854">
        <v>6.49</v>
      </c>
      <c r="E1854">
        <v>4094.09</v>
      </c>
      <c r="F1854">
        <v>97.92</v>
      </c>
      <c r="G1854">
        <v>30.56</v>
      </c>
      <c r="H1854">
        <v>6107.11</v>
      </c>
      <c r="I1854" s="80">
        <v>15405.75</v>
      </c>
      <c r="J1854">
        <v>39.79</v>
      </c>
      <c r="K1854">
        <v>7604.81</v>
      </c>
      <c r="L1854">
        <f t="shared" si="280"/>
        <v>0</v>
      </c>
      <c r="M1854">
        <f t="shared" si="281"/>
        <v>0</v>
      </c>
      <c r="N1854">
        <f t="shared" si="282"/>
        <v>0</v>
      </c>
      <c r="O1854">
        <f t="shared" si="283"/>
        <v>0</v>
      </c>
      <c r="P1854">
        <f t="shared" si="284"/>
        <v>0</v>
      </c>
      <c r="Q1854">
        <f t="shared" si="285"/>
        <v>0</v>
      </c>
      <c r="R1854">
        <f t="shared" si="286"/>
        <v>0</v>
      </c>
      <c r="S1854">
        <f t="shared" si="287"/>
        <v>0</v>
      </c>
      <c r="T1854">
        <f t="shared" si="289"/>
        <v>0</v>
      </c>
      <c r="U1854">
        <f t="shared" si="288"/>
        <v>0</v>
      </c>
    </row>
    <row r="1855" spans="1:21" x14ac:dyDescent="0.25">
      <c r="A1855" s="96">
        <v>1854</v>
      </c>
      <c r="B1855">
        <v>1083</v>
      </c>
      <c r="C1855" t="s">
        <v>188</v>
      </c>
      <c r="D1855">
        <v>9.1199999999999992</v>
      </c>
      <c r="E1855">
        <v>7271.7</v>
      </c>
      <c r="F1855">
        <v>49.49</v>
      </c>
      <c r="G1855">
        <v>57.73</v>
      </c>
      <c r="H1855">
        <v>3235.44</v>
      </c>
      <c r="I1855">
        <v>15670.35</v>
      </c>
      <c r="J1855">
        <v>36.64</v>
      </c>
      <c r="K1855" s="80">
        <v>8359.2000000000007</v>
      </c>
      <c r="L1855">
        <f t="shared" si="280"/>
        <v>0</v>
      </c>
      <c r="M1855">
        <f t="shared" si="281"/>
        <v>0</v>
      </c>
      <c r="N1855">
        <f t="shared" si="282"/>
        <v>0</v>
      </c>
      <c r="O1855">
        <f t="shared" si="283"/>
        <v>0</v>
      </c>
      <c r="P1855">
        <f t="shared" si="284"/>
        <v>0</v>
      </c>
      <c r="Q1855">
        <f t="shared" si="285"/>
        <v>0</v>
      </c>
      <c r="R1855">
        <f t="shared" si="286"/>
        <v>0</v>
      </c>
      <c r="S1855">
        <f t="shared" si="287"/>
        <v>0</v>
      </c>
      <c r="T1855">
        <f t="shared" si="289"/>
        <v>0</v>
      </c>
      <c r="U1855">
        <f t="shared" si="288"/>
        <v>0</v>
      </c>
    </row>
    <row r="1856" spans="1:21" x14ac:dyDescent="0.25">
      <c r="A1856" s="96">
        <v>1855</v>
      </c>
      <c r="B1856">
        <v>1083</v>
      </c>
      <c r="C1856" t="s">
        <v>182</v>
      </c>
      <c r="D1856" t="s">
        <v>583</v>
      </c>
      <c r="E1856">
        <v>541.03</v>
      </c>
      <c r="F1856">
        <v>0.37</v>
      </c>
      <c r="G1856" t="s">
        <v>583</v>
      </c>
      <c r="H1856">
        <v>0.28000000000000003</v>
      </c>
      <c r="I1856">
        <v>6</v>
      </c>
      <c r="J1856" s="80">
        <v>0.73</v>
      </c>
      <c r="K1856">
        <v>0.1</v>
      </c>
      <c r="L1856">
        <f t="shared" si="280"/>
        <v>0</v>
      </c>
      <c r="M1856">
        <f t="shared" si="281"/>
        <v>0</v>
      </c>
      <c r="N1856">
        <f t="shared" si="282"/>
        <v>0</v>
      </c>
      <c r="O1856">
        <f t="shared" si="283"/>
        <v>0</v>
      </c>
      <c r="P1856">
        <f t="shared" si="284"/>
        <v>0</v>
      </c>
      <c r="Q1856">
        <f t="shared" si="285"/>
        <v>0</v>
      </c>
      <c r="R1856">
        <f t="shared" si="286"/>
        <v>0</v>
      </c>
      <c r="S1856">
        <f t="shared" si="287"/>
        <v>0</v>
      </c>
      <c r="T1856">
        <f t="shared" si="289"/>
        <v>0</v>
      </c>
      <c r="U1856">
        <f t="shared" si="288"/>
        <v>0</v>
      </c>
    </row>
    <row r="1857" spans="1:21" x14ac:dyDescent="0.25">
      <c r="A1857" s="96">
        <v>1856</v>
      </c>
      <c r="B1857">
        <v>1083</v>
      </c>
      <c r="C1857" t="s">
        <v>184</v>
      </c>
      <c r="D1857">
        <v>6.49</v>
      </c>
      <c r="E1857">
        <v>8902.58</v>
      </c>
      <c r="F1857">
        <v>127.88</v>
      </c>
      <c r="G1857">
        <v>39.119999999999997</v>
      </c>
      <c r="H1857">
        <v>10392.620000000001</v>
      </c>
      <c r="I1857" s="80">
        <v>17579.52</v>
      </c>
      <c r="J1857">
        <v>26.06</v>
      </c>
      <c r="K1857">
        <v>3.26</v>
      </c>
      <c r="L1857">
        <f t="shared" si="280"/>
        <v>0</v>
      </c>
      <c r="M1857">
        <f t="shared" si="281"/>
        <v>0</v>
      </c>
      <c r="N1857">
        <f t="shared" si="282"/>
        <v>0</v>
      </c>
      <c r="O1857">
        <f t="shared" si="283"/>
        <v>0</v>
      </c>
      <c r="P1857">
        <f t="shared" si="284"/>
        <v>0</v>
      </c>
      <c r="Q1857">
        <f t="shared" si="285"/>
        <v>0</v>
      </c>
      <c r="R1857">
        <f t="shared" si="286"/>
        <v>0</v>
      </c>
      <c r="S1857">
        <f t="shared" si="287"/>
        <v>0</v>
      </c>
      <c r="T1857">
        <f t="shared" si="289"/>
        <v>0</v>
      </c>
      <c r="U1857">
        <f t="shared" si="288"/>
        <v>0</v>
      </c>
    </row>
    <row r="1858" spans="1:21" x14ac:dyDescent="0.25">
      <c r="A1858" s="96">
        <v>1857</v>
      </c>
      <c r="B1858">
        <v>1083</v>
      </c>
      <c r="C1858" t="s">
        <v>187</v>
      </c>
      <c r="D1858">
        <v>7.78</v>
      </c>
      <c r="E1858">
        <v>7953.23</v>
      </c>
      <c r="F1858">
        <v>313.04000000000002</v>
      </c>
      <c r="G1858">
        <v>39.119999999999997</v>
      </c>
      <c r="H1858" s="80">
        <v>31559.26</v>
      </c>
      <c r="I1858" s="80">
        <v>17361.55</v>
      </c>
      <c r="J1858">
        <v>30.5</v>
      </c>
      <c r="K1858">
        <v>4.42</v>
      </c>
      <c r="L1858">
        <f t="shared" ref="L1858:L1921" si="290">IF(D1858 = "OOR &gt;", 1,0)</f>
        <v>0</v>
      </c>
      <c r="M1858">
        <f t="shared" ref="M1858:M1921" si="291">IF(E1858 = "OOR &gt;", 1,0)</f>
        <v>0</v>
      </c>
      <c r="N1858">
        <f t="shared" ref="N1858:N1921" si="292">IF(F1858 = "OOR &gt;", 1,0)</f>
        <v>0</v>
      </c>
      <c r="O1858">
        <f t="shared" ref="O1858:O1921" si="293">IF(G1858 = "OOR &gt;", 1,0)</f>
        <v>0</v>
      </c>
      <c r="P1858">
        <f t="shared" ref="P1858:P1921" si="294">IF(H1858 = "OOR &gt;", 1,0)</f>
        <v>0</v>
      </c>
      <c r="Q1858">
        <f t="shared" ref="Q1858:Q1921" si="295">IF(I1858 = "OOR &gt;", 1,0)</f>
        <v>0</v>
      </c>
      <c r="R1858">
        <f t="shared" ref="R1858:R1921" si="296">IF(J1858 = "OOR &gt;", 1,0)</f>
        <v>0</v>
      </c>
      <c r="S1858">
        <f t="shared" ref="S1858:S1921" si="297">IF(K1858 = "OOR &gt;", 1,0)</f>
        <v>0</v>
      </c>
      <c r="T1858">
        <f t="shared" si="289"/>
        <v>0</v>
      </c>
      <c r="U1858">
        <f t="shared" ref="U1858:U1921" si="298">IF(T1858 &gt; 0,1,0)</f>
        <v>0</v>
      </c>
    </row>
    <row r="1859" spans="1:21" x14ac:dyDescent="0.25">
      <c r="A1859" s="96">
        <v>1858</v>
      </c>
      <c r="B1859">
        <v>1083</v>
      </c>
      <c r="C1859" t="s">
        <v>189</v>
      </c>
      <c r="D1859">
        <v>5.87</v>
      </c>
      <c r="E1859">
        <v>4419.51</v>
      </c>
      <c r="F1859">
        <v>23.46</v>
      </c>
      <c r="G1859">
        <v>30.56</v>
      </c>
      <c r="H1859" s="80">
        <v>19922.91</v>
      </c>
      <c r="I1859" s="80">
        <v>14685.17</v>
      </c>
      <c r="J1859">
        <v>21.75</v>
      </c>
      <c r="K1859">
        <v>4.22</v>
      </c>
      <c r="L1859">
        <f t="shared" si="290"/>
        <v>0</v>
      </c>
      <c r="M1859">
        <f t="shared" si="291"/>
        <v>0</v>
      </c>
      <c r="N1859">
        <f t="shared" si="292"/>
        <v>0</v>
      </c>
      <c r="O1859">
        <f t="shared" si="293"/>
        <v>0</v>
      </c>
      <c r="P1859">
        <f t="shared" si="294"/>
        <v>0</v>
      </c>
      <c r="Q1859">
        <f t="shared" si="295"/>
        <v>0</v>
      </c>
      <c r="R1859">
        <f t="shared" si="296"/>
        <v>0</v>
      </c>
      <c r="S1859">
        <f t="shared" si="297"/>
        <v>0</v>
      </c>
      <c r="T1859">
        <f t="shared" ref="T1859:T1922" si="299">SUMIF(L1859:S1859,"&gt;0")</f>
        <v>0</v>
      </c>
      <c r="U1859">
        <f t="shared" si="298"/>
        <v>0</v>
      </c>
    </row>
    <row r="1860" spans="1:21" x14ac:dyDescent="0.25">
      <c r="A1860" s="96">
        <v>1859</v>
      </c>
      <c r="B1860">
        <v>1081</v>
      </c>
      <c r="C1860" t="s">
        <v>182</v>
      </c>
      <c r="D1860" t="s">
        <v>583</v>
      </c>
      <c r="E1860">
        <v>346.79</v>
      </c>
      <c r="F1860" t="s">
        <v>583</v>
      </c>
      <c r="G1860">
        <v>8.83</v>
      </c>
      <c r="H1860" t="s">
        <v>583</v>
      </c>
      <c r="I1860">
        <v>0.11</v>
      </c>
      <c r="J1860" t="s">
        <v>583</v>
      </c>
      <c r="K1860">
        <v>0.1</v>
      </c>
      <c r="L1860">
        <f t="shared" si="290"/>
        <v>0</v>
      </c>
      <c r="M1860">
        <f t="shared" si="291"/>
        <v>0</v>
      </c>
      <c r="N1860">
        <f t="shared" si="292"/>
        <v>0</v>
      </c>
      <c r="O1860">
        <f t="shared" si="293"/>
        <v>0</v>
      </c>
      <c r="P1860">
        <f t="shared" si="294"/>
        <v>0</v>
      </c>
      <c r="Q1860">
        <f t="shared" si="295"/>
        <v>0</v>
      </c>
      <c r="R1860">
        <f t="shared" si="296"/>
        <v>0</v>
      </c>
      <c r="S1860">
        <f t="shared" si="297"/>
        <v>0</v>
      </c>
      <c r="T1860">
        <f t="shared" si="299"/>
        <v>0</v>
      </c>
      <c r="U1860">
        <f t="shared" si="298"/>
        <v>0</v>
      </c>
    </row>
    <row r="1861" spans="1:21" x14ac:dyDescent="0.25">
      <c r="A1861" s="96">
        <v>1860</v>
      </c>
      <c r="B1861">
        <v>1081</v>
      </c>
      <c r="C1861" t="s">
        <v>184</v>
      </c>
      <c r="D1861">
        <v>1.18</v>
      </c>
      <c r="E1861">
        <v>3874.34</v>
      </c>
      <c r="F1861">
        <v>0.44</v>
      </c>
      <c r="G1861">
        <v>22.59</v>
      </c>
      <c r="H1861">
        <v>0.88</v>
      </c>
      <c r="I1861">
        <v>134.81</v>
      </c>
      <c r="J1861">
        <v>4.32</v>
      </c>
      <c r="K1861">
        <v>1.71</v>
      </c>
      <c r="L1861">
        <f t="shared" si="290"/>
        <v>0</v>
      </c>
      <c r="M1861">
        <f t="shared" si="291"/>
        <v>0</v>
      </c>
      <c r="N1861">
        <f t="shared" si="292"/>
        <v>0</v>
      </c>
      <c r="O1861">
        <f t="shared" si="293"/>
        <v>0</v>
      </c>
      <c r="P1861">
        <f t="shared" si="294"/>
        <v>0</v>
      </c>
      <c r="Q1861">
        <f t="shared" si="295"/>
        <v>0</v>
      </c>
      <c r="R1861">
        <f t="shared" si="296"/>
        <v>0</v>
      </c>
      <c r="S1861">
        <f t="shared" si="297"/>
        <v>0</v>
      </c>
      <c r="T1861">
        <f t="shared" si="299"/>
        <v>0</v>
      </c>
      <c r="U1861">
        <f t="shared" si="298"/>
        <v>0</v>
      </c>
    </row>
    <row r="1862" spans="1:21" x14ac:dyDescent="0.25">
      <c r="A1862" s="96">
        <v>1861</v>
      </c>
      <c r="B1862">
        <v>1081</v>
      </c>
      <c r="C1862" t="s">
        <v>187</v>
      </c>
      <c r="D1862">
        <v>3.04</v>
      </c>
      <c r="E1862">
        <v>6516.04</v>
      </c>
      <c r="F1862">
        <v>34.57</v>
      </c>
      <c r="G1862">
        <v>30.56</v>
      </c>
      <c r="H1862">
        <v>139.06</v>
      </c>
      <c r="I1862" s="80">
        <v>6451.83</v>
      </c>
      <c r="J1862">
        <v>6.45</v>
      </c>
      <c r="K1862">
        <v>176.68</v>
      </c>
      <c r="L1862">
        <f t="shared" si="290"/>
        <v>0</v>
      </c>
      <c r="M1862">
        <f t="shared" si="291"/>
        <v>0</v>
      </c>
      <c r="N1862">
        <f t="shared" si="292"/>
        <v>0</v>
      </c>
      <c r="O1862">
        <f t="shared" si="293"/>
        <v>0</v>
      </c>
      <c r="P1862">
        <f t="shared" si="294"/>
        <v>0</v>
      </c>
      <c r="Q1862">
        <f t="shared" si="295"/>
        <v>0</v>
      </c>
      <c r="R1862">
        <f t="shared" si="296"/>
        <v>0</v>
      </c>
      <c r="S1862">
        <f t="shared" si="297"/>
        <v>0</v>
      </c>
      <c r="T1862">
        <f t="shared" si="299"/>
        <v>0</v>
      </c>
      <c r="U1862">
        <f t="shared" si="298"/>
        <v>0</v>
      </c>
    </row>
    <row r="1863" spans="1:21" x14ac:dyDescent="0.25">
      <c r="A1863" s="96">
        <v>1862</v>
      </c>
      <c r="B1863">
        <v>1081</v>
      </c>
      <c r="C1863" t="s">
        <v>189</v>
      </c>
      <c r="D1863">
        <v>0.46</v>
      </c>
      <c r="E1863">
        <v>2202.85</v>
      </c>
      <c r="F1863">
        <v>11.7</v>
      </c>
      <c r="G1863">
        <v>26.5</v>
      </c>
      <c r="H1863">
        <v>138.52000000000001</v>
      </c>
      <c r="I1863">
        <v>2681.13</v>
      </c>
      <c r="J1863">
        <v>8.74</v>
      </c>
      <c r="K1863">
        <v>1546.94</v>
      </c>
      <c r="L1863">
        <f t="shared" si="290"/>
        <v>0</v>
      </c>
      <c r="M1863">
        <f t="shared" si="291"/>
        <v>0</v>
      </c>
      <c r="N1863">
        <f t="shared" si="292"/>
        <v>0</v>
      </c>
      <c r="O1863">
        <f t="shared" si="293"/>
        <v>0</v>
      </c>
      <c r="P1863">
        <f t="shared" si="294"/>
        <v>0</v>
      </c>
      <c r="Q1863">
        <f t="shared" si="295"/>
        <v>0</v>
      </c>
      <c r="R1863">
        <f t="shared" si="296"/>
        <v>0</v>
      </c>
      <c r="S1863">
        <f t="shared" si="297"/>
        <v>0</v>
      </c>
      <c r="T1863">
        <f t="shared" si="299"/>
        <v>0</v>
      </c>
      <c r="U1863">
        <f t="shared" si="298"/>
        <v>0</v>
      </c>
    </row>
    <row r="1864" spans="1:21" x14ac:dyDescent="0.25">
      <c r="A1864" s="96">
        <v>1863</v>
      </c>
      <c r="B1864">
        <v>1082</v>
      </c>
      <c r="C1864" t="s">
        <v>162</v>
      </c>
      <c r="D1864">
        <v>13.48</v>
      </c>
      <c r="E1864">
        <v>15935.83</v>
      </c>
      <c r="F1864">
        <v>158.71</v>
      </c>
      <c r="G1864">
        <v>57.73</v>
      </c>
      <c r="H1864">
        <v>2011.56</v>
      </c>
      <c r="I1864" s="80">
        <v>16639.830000000002</v>
      </c>
      <c r="J1864">
        <v>36.64</v>
      </c>
      <c r="K1864">
        <v>4752.24</v>
      </c>
      <c r="L1864">
        <f t="shared" si="290"/>
        <v>0</v>
      </c>
      <c r="M1864">
        <f t="shared" si="291"/>
        <v>0</v>
      </c>
      <c r="N1864">
        <f t="shared" si="292"/>
        <v>0</v>
      </c>
      <c r="O1864">
        <f t="shared" si="293"/>
        <v>0</v>
      </c>
      <c r="P1864">
        <f t="shared" si="294"/>
        <v>0</v>
      </c>
      <c r="Q1864">
        <f t="shared" si="295"/>
        <v>0</v>
      </c>
      <c r="R1864">
        <f t="shared" si="296"/>
        <v>0</v>
      </c>
      <c r="S1864">
        <f t="shared" si="297"/>
        <v>0</v>
      </c>
      <c r="T1864">
        <f t="shared" si="299"/>
        <v>0</v>
      </c>
      <c r="U1864">
        <f t="shared" si="298"/>
        <v>0</v>
      </c>
    </row>
    <row r="1865" spans="1:21" x14ac:dyDescent="0.25">
      <c r="A1865" s="96">
        <v>1864</v>
      </c>
      <c r="B1865">
        <v>1082</v>
      </c>
      <c r="C1865" t="s">
        <v>170</v>
      </c>
      <c r="D1865">
        <v>24.25</v>
      </c>
      <c r="E1865" s="80">
        <v>27821</v>
      </c>
      <c r="F1865">
        <v>1573.04</v>
      </c>
      <c r="G1865">
        <v>111.37</v>
      </c>
      <c r="H1865">
        <v>5745.66</v>
      </c>
      <c r="I1865" s="80">
        <v>19026.13</v>
      </c>
      <c r="J1865">
        <v>49.52</v>
      </c>
      <c r="K1865">
        <v>4232.25</v>
      </c>
      <c r="L1865">
        <f t="shared" si="290"/>
        <v>0</v>
      </c>
      <c r="M1865">
        <f t="shared" si="291"/>
        <v>0</v>
      </c>
      <c r="N1865">
        <f t="shared" si="292"/>
        <v>0</v>
      </c>
      <c r="O1865">
        <f t="shared" si="293"/>
        <v>0</v>
      </c>
      <c r="P1865">
        <f t="shared" si="294"/>
        <v>0</v>
      </c>
      <c r="Q1865">
        <f t="shared" si="295"/>
        <v>0</v>
      </c>
      <c r="R1865">
        <f t="shared" si="296"/>
        <v>0</v>
      </c>
      <c r="S1865">
        <f t="shared" si="297"/>
        <v>0</v>
      </c>
      <c r="T1865">
        <f t="shared" si="299"/>
        <v>0</v>
      </c>
      <c r="U1865">
        <f t="shared" si="298"/>
        <v>0</v>
      </c>
    </row>
    <row r="1866" spans="1:21" x14ac:dyDescent="0.25">
      <c r="A1866" s="96">
        <v>1865</v>
      </c>
      <c r="B1866">
        <v>1082</v>
      </c>
      <c r="C1866" t="s">
        <v>178</v>
      </c>
      <c r="D1866">
        <v>26.96</v>
      </c>
      <c r="E1866" s="80">
        <v>30493.1</v>
      </c>
      <c r="F1866" s="80">
        <v>5051</v>
      </c>
      <c r="G1866">
        <v>123.12</v>
      </c>
      <c r="H1866" s="80">
        <v>24883.72</v>
      </c>
      <c r="I1866" s="80">
        <v>19872.580000000002</v>
      </c>
      <c r="J1866">
        <v>66.61</v>
      </c>
      <c r="K1866">
        <v>8129.1</v>
      </c>
      <c r="L1866">
        <f t="shared" si="290"/>
        <v>0</v>
      </c>
      <c r="M1866">
        <f t="shared" si="291"/>
        <v>0</v>
      </c>
      <c r="N1866">
        <f t="shared" si="292"/>
        <v>0</v>
      </c>
      <c r="O1866">
        <f t="shared" si="293"/>
        <v>0</v>
      </c>
      <c r="P1866">
        <f t="shared" si="294"/>
        <v>0</v>
      </c>
      <c r="Q1866">
        <f t="shared" si="295"/>
        <v>0</v>
      </c>
      <c r="R1866">
        <f t="shared" si="296"/>
        <v>0</v>
      </c>
      <c r="S1866">
        <f t="shared" si="297"/>
        <v>0</v>
      </c>
      <c r="T1866">
        <f t="shared" si="299"/>
        <v>0</v>
      </c>
      <c r="U1866">
        <f t="shared" si="298"/>
        <v>0</v>
      </c>
    </row>
    <row r="1867" spans="1:21" x14ac:dyDescent="0.25">
      <c r="A1867" s="96">
        <v>1866</v>
      </c>
      <c r="B1867">
        <v>1082</v>
      </c>
      <c r="C1867" t="s">
        <v>163</v>
      </c>
      <c r="D1867">
        <v>26.05</v>
      </c>
      <c r="E1867" s="80">
        <v>34275.269999999997</v>
      </c>
      <c r="F1867" s="80">
        <v>4361.91</v>
      </c>
      <c r="G1867">
        <v>141.30000000000001</v>
      </c>
      <c r="H1867">
        <v>10308.82</v>
      </c>
      <c r="I1867" s="80">
        <v>20157.830000000002</v>
      </c>
      <c r="J1867">
        <v>80.95</v>
      </c>
      <c r="K1867" s="80">
        <v>20543.189999999999</v>
      </c>
      <c r="L1867">
        <f t="shared" si="290"/>
        <v>0</v>
      </c>
      <c r="M1867">
        <f t="shared" si="291"/>
        <v>0</v>
      </c>
      <c r="N1867">
        <f t="shared" si="292"/>
        <v>0</v>
      </c>
      <c r="O1867">
        <f t="shared" si="293"/>
        <v>0</v>
      </c>
      <c r="P1867">
        <f t="shared" si="294"/>
        <v>0</v>
      </c>
      <c r="Q1867">
        <f t="shared" si="295"/>
        <v>0</v>
      </c>
      <c r="R1867">
        <f t="shared" si="296"/>
        <v>0</v>
      </c>
      <c r="S1867">
        <f t="shared" si="297"/>
        <v>0</v>
      </c>
      <c r="T1867">
        <f t="shared" si="299"/>
        <v>0</v>
      </c>
      <c r="U1867">
        <f t="shared" si="298"/>
        <v>0</v>
      </c>
    </row>
    <row r="1868" spans="1:21" x14ac:dyDescent="0.25">
      <c r="A1868" s="96">
        <v>1867</v>
      </c>
      <c r="B1868">
        <v>1082</v>
      </c>
      <c r="C1868" t="s">
        <v>181</v>
      </c>
      <c r="D1868">
        <v>10.53</v>
      </c>
      <c r="E1868" s="80">
        <v>52957.39</v>
      </c>
      <c r="F1868">
        <v>2.41</v>
      </c>
      <c r="G1868">
        <v>34.770000000000003</v>
      </c>
      <c r="H1868">
        <v>81.93</v>
      </c>
      <c r="I1868" s="80">
        <v>4539.7299999999996</v>
      </c>
      <c r="J1868">
        <v>24.6</v>
      </c>
      <c r="K1868">
        <v>274.29000000000002</v>
      </c>
      <c r="L1868">
        <f t="shared" si="290"/>
        <v>0</v>
      </c>
      <c r="M1868">
        <f t="shared" si="291"/>
        <v>0</v>
      </c>
      <c r="N1868">
        <f t="shared" si="292"/>
        <v>0</v>
      </c>
      <c r="O1868">
        <f t="shared" si="293"/>
        <v>0</v>
      </c>
      <c r="P1868">
        <f t="shared" si="294"/>
        <v>0</v>
      </c>
      <c r="Q1868">
        <f t="shared" si="295"/>
        <v>0</v>
      </c>
      <c r="R1868">
        <f t="shared" si="296"/>
        <v>0</v>
      </c>
      <c r="S1868">
        <f t="shared" si="297"/>
        <v>0</v>
      </c>
      <c r="T1868">
        <f t="shared" si="299"/>
        <v>0</v>
      </c>
      <c r="U1868">
        <f t="shared" si="298"/>
        <v>0</v>
      </c>
    </row>
    <row r="1869" spans="1:21" x14ac:dyDescent="0.25">
      <c r="A1869" s="96">
        <v>1868</v>
      </c>
      <c r="B1869">
        <v>1082</v>
      </c>
      <c r="C1869" t="s">
        <v>183</v>
      </c>
      <c r="D1869">
        <v>23.37</v>
      </c>
      <c r="E1869" s="80">
        <v>64158.98</v>
      </c>
      <c r="F1869">
        <v>1455.79</v>
      </c>
      <c r="G1869">
        <v>147.5</v>
      </c>
      <c r="H1869">
        <v>6565.62</v>
      </c>
      <c r="I1869" s="80">
        <v>21385.98</v>
      </c>
      <c r="J1869">
        <v>88.32</v>
      </c>
      <c r="K1869" s="80">
        <v>22926.12</v>
      </c>
      <c r="L1869">
        <f t="shared" si="290"/>
        <v>0</v>
      </c>
      <c r="M1869">
        <f t="shared" si="291"/>
        <v>0</v>
      </c>
      <c r="N1869">
        <f t="shared" si="292"/>
        <v>0</v>
      </c>
      <c r="O1869">
        <f t="shared" si="293"/>
        <v>0</v>
      </c>
      <c r="P1869">
        <f t="shared" si="294"/>
        <v>0</v>
      </c>
      <c r="Q1869">
        <f t="shared" si="295"/>
        <v>0</v>
      </c>
      <c r="R1869">
        <f t="shared" si="296"/>
        <v>0</v>
      </c>
      <c r="S1869">
        <f t="shared" si="297"/>
        <v>0</v>
      </c>
      <c r="T1869">
        <f t="shared" si="299"/>
        <v>0</v>
      </c>
      <c r="U1869">
        <f t="shared" si="298"/>
        <v>0</v>
      </c>
    </row>
    <row r="1870" spans="1:21" x14ac:dyDescent="0.25">
      <c r="A1870" s="96">
        <v>1869</v>
      </c>
      <c r="B1870">
        <v>1082</v>
      </c>
      <c r="C1870" t="s">
        <v>186</v>
      </c>
      <c r="D1870">
        <v>30.68</v>
      </c>
      <c r="E1870" s="80">
        <v>68807.240000000005</v>
      </c>
      <c r="F1870">
        <v>3081.66</v>
      </c>
      <c r="G1870">
        <v>173</v>
      </c>
      <c r="H1870" s="80">
        <v>23721.13</v>
      </c>
      <c r="I1870" s="80">
        <v>22415.63</v>
      </c>
      <c r="J1870">
        <v>118.99</v>
      </c>
      <c r="K1870" s="89" t="s">
        <v>582</v>
      </c>
      <c r="L1870">
        <f t="shared" si="290"/>
        <v>0</v>
      </c>
      <c r="M1870">
        <f t="shared" si="291"/>
        <v>0</v>
      </c>
      <c r="N1870">
        <f t="shared" si="292"/>
        <v>0</v>
      </c>
      <c r="O1870">
        <f t="shared" si="293"/>
        <v>0</v>
      </c>
      <c r="P1870">
        <f t="shared" si="294"/>
        <v>0</v>
      </c>
      <c r="Q1870">
        <f t="shared" si="295"/>
        <v>0</v>
      </c>
      <c r="R1870">
        <f t="shared" si="296"/>
        <v>0</v>
      </c>
      <c r="S1870">
        <f t="shared" si="297"/>
        <v>1</v>
      </c>
      <c r="T1870">
        <f t="shared" si="299"/>
        <v>1</v>
      </c>
      <c r="U1870">
        <f t="shared" si="298"/>
        <v>1</v>
      </c>
    </row>
    <row r="1871" spans="1:21" x14ac:dyDescent="0.25">
      <c r="A1871" s="96">
        <v>1870</v>
      </c>
      <c r="B1871">
        <v>1082</v>
      </c>
      <c r="C1871" t="s">
        <v>188</v>
      </c>
      <c r="D1871">
        <v>30.68</v>
      </c>
      <c r="E1871" s="80">
        <v>159306.12</v>
      </c>
      <c r="F1871" s="80">
        <v>3882.96</v>
      </c>
      <c r="G1871">
        <v>186.14</v>
      </c>
      <c r="H1871" s="80">
        <v>30359.52</v>
      </c>
      <c r="I1871" s="80">
        <v>21698.94</v>
      </c>
      <c r="J1871">
        <v>111.15</v>
      </c>
      <c r="K1871" s="89" t="s">
        <v>582</v>
      </c>
      <c r="L1871">
        <f t="shared" si="290"/>
        <v>0</v>
      </c>
      <c r="M1871">
        <f t="shared" si="291"/>
        <v>0</v>
      </c>
      <c r="N1871">
        <f t="shared" si="292"/>
        <v>0</v>
      </c>
      <c r="O1871">
        <f t="shared" si="293"/>
        <v>0</v>
      </c>
      <c r="P1871">
        <f t="shared" si="294"/>
        <v>0</v>
      </c>
      <c r="Q1871">
        <f t="shared" si="295"/>
        <v>0</v>
      </c>
      <c r="R1871">
        <f t="shared" si="296"/>
        <v>0</v>
      </c>
      <c r="S1871">
        <f t="shared" si="297"/>
        <v>1</v>
      </c>
      <c r="T1871">
        <f t="shared" si="299"/>
        <v>1</v>
      </c>
      <c r="U1871">
        <f t="shared" si="298"/>
        <v>1</v>
      </c>
    </row>
    <row r="1872" spans="1:21" x14ac:dyDescent="0.25">
      <c r="A1872" s="96">
        <v>1871</v>
      </c>
      <c r="B1872">
        <v>1082</v>
      </c>
      <c r="C1872" t="s">
        <v>182</v>
      </c>
      <c r="D1872" t="s">
        <v>583</v>
      </c>
      <c r="E1872">
        <v>386.99</v>
      </c>
      <c r="F1872" t="s">
        <v>583</v>
      </c>
      <c r="G1872" t="s">
        <v>583</v>
      </c>
      <c r="H1872" t="s">
        <v>583</v>
      </c>
      <c r="I1872">
        <v>0.9</v>
      </c>
      <c r="J1872" s="80">
        <v>0.73</v>
      </c>
      <c r="K1872" t="s">
        <v>583</v>
      </c>
      <c r="L1872">
        <f t="shared" si="290"/>
        <v>0</v>
      </c>
      <c r="M1872">
        <f t="shared" si="291"/>
        <v>0</v>
      </c>
      <c r="N1872">
        <f t="shared" si="292"/>
        <v>0</v>
      </c>
      <c r="O1872">
        <f t="shared" si="293"/>
        <v>0</v>
      </c>
      <c r="P1872">
        <f t="shared" si="294"/>
        <v>0</v>
      </c>
      <c r="Q1872">
        <f t="shared" si="295"/>
        <v>0</v>
      </c>
      <c r="R1872">
        <f t="shared" si="296"/>
        <v>0</v>
      </c>
      <c r="S1872">
        <f t="shared" si="297"/>
        <v>0</v>
      </c>
      <c r="T1872">
        <f t="shared" si="299"/>
        <v>0</v>
      </c>
      <c r="U1872">
        <f t="shared" si="298"/>
        <v>0</v>
      </c>
    </row>
    <row r="1873" spans="1:21" x14ac:dyDescent="0.25">
      <c r="A1873" s="96">
        <v>1872</v>
      </c>
      <c r="B1873">
        <v>1082</v>
      </c>
      <c r="C1873" t="s">
        <v>184</v>
      </c>
      <c r="D1873">
        <v>4.1100000000000003</v>
      </c>
      <c r="E1873">
        <v>8471.85</v>
      </c>
      <c r="F1873">
        <v>124.24</v>
      </c>
      <c r="G1873">
        <v>22.59</v>
      </c>
      <c r="H1873">
        <v>2687.15</v>
      </c>
      <c r="I1873" s="80">
        <v>10802.84</v>
      </c>
      <c r="J1873">
        <v>16.28</v>
      </c>
      <c r="K1873">
        <v>616.48</v>
      </c>
      <c r="L1873">
        <f t="shared" si="290"/>
        <v>0</v>
      </c>
      <c r="M1873">
        <f t="shared" si="291"/>
        <v>0</v>
      </c>
      <c r="N1873">
        <f t="shared" si="292"/>
        <v>0</v>
      </c>
      <c r="O1873">
        <f t="shared" si="293"/>
        <v>0</v>
      </c>
      <c r="P1873">
        <f t="shared" si="294"/>
        <v>0</v>
      </c>
      <c r="Q1873">
        <f t="shared" si="295"/>
        <v>0</v>
      </c>
      <c r="R1873">
        <f t="shared" si="296"/>
        <v>0</v>
      </c>
      <c r="S1873">
        <f t="shared" si="297"/>
        <v>0</v>
      </c>
      <c r="T1873">
        <f t="shared" si="299"/>
        <v>0</v>
      </c>
      <c r="U1873">
        <f t="shared" si="298"/>
        <v>0</v>
      </c>
    </row>
    <row r="1874" spans="1:21" x14ac:dyDescent="0.25">
      <c r="A1874" s="96">
        <v>1873</v>
      </c>
      <c r="B1874">
        <v>1082</v>
      </c>
      <c r="C1874" t="s">
        <v>187</v>
      </c>
      <c r="D1874">
        <v>13.48</v>
      </c>
      <c r="E1874">
        <v>15031.05</v>
      </c>
      <c r="F1874">
        <v>202.14</v>
      </c>
      <c r="G1874">
        <v>48.19</v>
      </c>
      <c r="H1874">
        <v>7076.86</v>
      </c>
      <c r="I1874" s="80">
        <v>12930.57</v>
      </c>
      <c r="J1874">
        <v>36.64</v>
      </c>
      <c r="K1874">
        <v>4006.62</v>
      </c>
      <c r="L1874">
        <f t="shared" si="290"/>
        <v>0</v>
      </c>
      <c r="M1874">
        <f t="shared" si="291"/>
        <v>0</v>
      </c>
      <c r="N1874">
        <f t="shared" si="292"/>
        <v>0</v>
      </c>
      <c r="O1874">
        <f t="shared" si="293"/>
        <v>0</v>
      </c>
      <c r="P1874">
        <f t="shared" si="294"/>
        <v>0</v>
      </c>
      <c r="Q1874">
        <f t="shared" si="295"/>
        <v>0</v>
      </c>
      <c r="R1874">
        <f t="shared" si="296"/>
        <v>0</v>
      </c>
      <c r="S1874">
        <f t="shared" si="297"/>
        <v>0</v>
      </c>
      <c r="T1874">
        <f t="shared" si="299"/>
        <v>0</v>
      </c>
      <c r="U1874">
        <f t="shared" si="298"/>
        <v>0</v>
      </c>
    </row>
    <row r="1875" spans="1:21" x14ac:dyDescent="0.25">
      <c r="A1875" s="96">
        <v>1874</v>
      </c>
      <c r="B1875">
        <v>1082</v>
      </c>
      <c r="C1875" t="s">
        <v>189</v>
      </c>
      <c r="D1875">
        <v>9.1199999999999992</v>
      </c>
      <c r="E1875">
        <v>12236.73</v>
      </c>
      <c r="F1875">
        <v>120.97</v>
      </c>
      <c r="G1875">
        <v>62.67</v>
      </c>
      <c r="H1875">
        <v>3806.34</v>
      </c>
      <c r="I1875" s="80">
        <v>9701.32</v>
      </c>
      <c r="J1875">
        <v>42.98</v>
      </c>
      <c r="K1875">
        <v>6349.32</v>
      </c>
      <c r="L1875">
        <f t="shared" si="290"/>
        <v>0</v>
      </c>
      <c r="M1875">
        <f t="shared" si="291"/>
        <v>0</v>
      </c>
      <c r="N1875">
        <f t="shared" si="292"/>
        <v>0</v>
      </c>
      <c r="O1875">
        <f t="shared" si="293"/>
        <v>0</v>
      </c>
      <c r="P1875">
        <f t="shared" si="294"/>
        <v>0</v>
      </c>
      <c r="Q1875">
        <f t="shared" si="295"/>
        <v>0</v>
      </c>
      <c r="R1875">
        <f t="shared" si="296"/>
        <v>0</v>
      </c>
      <c r="S1875">
        <f t="shared" si="297"/>
        <v>0</v>
      </c>
      <c r="T1875">
        <f t="shared" si="299"/>
        <v>0</v>
      </c>
      <c r="U1875">
        <f t="shared" si="298"/>
        <v>0</v>
      </c>
    </row>
    <row r="1876" spans="1:21" x14ac:dyDescent="0.25">
      <c r="A1876" s="96">
        <v>1875</v>
      </c>
      <c r="B1876">
        <v>1078</v>
      </c>
      <c r="C1876" t="s">
        <v>182</v>
      </c>
      <c r="D1876" t="s">
        <v>583</v>
      </c>
      <c r="E1876">
        <v>874.16</v>
      </c>
      <c r="F1876" t="s">
        <v>583</v>
      </c>
      <c r="G1876" t="s">
        <v>583</v>
      </c>
      <c r="H1876" t="s">
        <v>583</v>
      </c>
      <c r="I1876">
        <v>6.7</v>
      </c>
      <c r="J1876" t="s">
        <v>583</v>
      </c>
      <c r="K1876">
        <v>0.6</v>
      </c>
      <c r="L1876">
        <f t="shared" si="290"/>
        <v>0</v>
      </c>
      <c r="M1876">
        <f t="shared" si="291"/>
        <v>0</v>
      </c>
      <c r="N1876">
        <f t="shared" si="292"/>
        <v>0</v>
      </c>
      <c r="O1876">
        <f t="shared" si="293"/>
        <v>0</v>
      </c>
      <c r="P1876">
        <f t="shared" si="294"/>
        <v>0</v>
      </c>
      <c r="Q1876">
        <f t="shared" si="295"/>
        <v>0</v>
      </c>
      <c r="R1876">
        <f t="shared" si="296"/>
        <v>0</v>
      </c>
      <c r="S1876">
        <f t="shared" si="297"/>
        <v>0</v>
      </c>
      <c r="T1876">
        <f t="shared" si="299"/>
        <v>0</v>
      </c>
      <c r="U1876">
        <f t="shared" si="298"/>
        <v>0</v>
      </c>
    </row>
    <row r="1877" spans="1:21" x14ac:dyDescent="0.25">
      <c r="A1877" s="96">
        <v>1876</v>
      </c>
      <c r="B1877">
        <v>1078</v>
      </c>
      <c r="C1877" t="s">
        <v>184</v>
      </c>
      <c r="D1877">
        <v>2.5299999999999998</v>
      </c>
      <c r="E1877">
        <v>7282.27</v>
      </c>
      <c r="F1877">
        <v>0.9</v>
      </c>
      <c r="G1877">
        <v>11.95</v>
      </c>
      <c r="H1877">
        <v>35.61</v>
      </c>
      <c r="I1877">
        <v>248.54</v>
      </c>
      <c r="J1877">
        <v>8.74</v>
      </c>
      <c r="K1877">
        <v>15.15</v>
      </c>
      <c r="L1877">
        <f t="shared" si="290"/>
        <v>0</v>
      </c>
      <c r="M1877">
        <f t="shared" si="291"/>
        <v>0</v>
      </c>
      <c r="N1877">
        <f t="shared" si="292"/>
        <v>0</v>
      </c>
      <c r="O1877">
        <f t="shared" si="293"/>
        <v>0</v>
      </c>
      <c r="P1877">
        <f t="shared" si="294"/>
        <v>0</v>
      </c>
      <c r="Q1877">
        <f t="shared" si="295"/>
        <v>0</v>
      </c>
      <c r="R1877">
        <f t="shared" si="296"/>
        <v>0</v>
      </c>
      <c r="S1877">
        <f t="shared" si="297"/>
        <v>0</v>
      </c>
      <c r="T1877">
        <f t="shared" si="299"/>
        <v>0</v>
      </c>
      <c r="U1877">
        <f t="shared" si="298"/>
        <v>0</v>
      </c>
    </row>
    <row r="1878" spans="1:21" x14ac:dyDescent="0.25">
      <c r="A1878" s="96">
        <v>1877</v>
      </c>
      <c r="B1878">
        <v>1078</v>
      </c>
      <c r="C1878" t="s">
        <v>187</v>
      </c>
      <c r="D1878">
        <v>1.18</v>
      </c>
      <c r="E1878">
        <v>5293.65</v>
      </c>
      <c r="F1878">
        <v>1.56</v>
      </c>
      <c r="G1878">
        <v>15.3</v>
      </c>
      <c r="H1878">
        <v>63.11</v>
      </c>
      <c r="I1878">
        <v>399.32</v>
      </c>
      <c r="J1878">
        <v>7.58</v>
      </c>
      <c r="K1878">
        <v>48.17</v>
      </c>
      <c r="L1878">
        <f t="shared" si="290"/>
        <v>0</v>
      </c>
      <c r="M1878">
        <f t="shared" si="291"/>
        <v>0</v>
      </c>
      <c r="N1878">
        <f t="shared" si="292"/>
        <v>0</v>
      </c>
      <c r="O1878">
        <f t="shared" si="293"/>
        <v>0</v>
      </c>
      <c r="P1878">
        <f t="shared" si="294"/>
        <v>0</v>
      </c>
      <c r="Q1878">
        <f t="shared" si="295"/>
        <v>0</v>
      </c>
      <c r="R1878">
        <f t="shared" si="296"/>
        <v>0</v>
      </c>
      <c r="S1878">
        <f t="shared" si="297"/>
        <v>0</v>
      </c>
      <c r="T1878">
        <f t="shared" si="299"/>
        <v>0</v>
      </c>
      <c r="U1878">
        <f t="shared" si="298"/>
        <v>0</v>
      </c>
    </row>
    <row r="1879" spans="1:21" x14ac:dyDescent="0.25">
      <c r="A1879" s="96">
        <v>1878</v>
      </c>
      <c r="B1879">
        <v>1078</v>
      </c>
      <c r="C1879" t="s">
        <v>189</v>
      </c>
      <c r="D1879" t="s">
        <v>583</v>
      </c>
      <c r="E1879">
        <v>2038.13</v>
      </c>
      <c r="F1879">
        <v>0.22</v>
      </c>
      <c r="G1879" s="80">
        <v>3.44</v>
      </c>
      <c r="H1879">
        <v>9.39</v>
      </c>
      <c r="I1879">
        <v>65.19</v>
      </c>
      <c r="J1879">
        <v>2.38</v>
      </c>
      <c r="K1879">
        <v>29.6</v>
      </c>
      <c r="L1879">
        <f t="shared" si="290"/>
        <v>0</v>
      </c>
      <c r="M1879">
        <f t="shared" si="291"/>
        <v>0</v>
      </c>
      <c r="N1879">
        <f t="shared" si="292"/>
        <v>0</v>
      </c>
      <c r="O1879">
        <f t="shared" si="293"/>
        <v>0</v>
      </c>
      <c r="P1879">
        <f t="shared" si="294"/>
        <v>0</v>
      </c>
      <c r="Q1879">
        <f t="shared" si="295"/>
        <v>0</v>
      </c>
      <c r="R1879">
        <f t="shared" si="296"/>
        <v>0</v>
      </c>
      <c r="S1879">
        <f t="shared" si="297"/>
        <v>0</v>
      </c>
      <c r="T1879">
        <f t="shared" si="299"/>
        <v>0</v>
      </c>
      <c r="U1879">
        <f t="shared" si="298"/>
        <v>0</v>
      </c>
    </row>
    <row r="1880" spans="1:21" x14ac:dyDescent="0.25">
      <c r="A1880" s="96">
        <v>1879</v>
      </c>
      <c r="B1880">
        <v>1079</v>
      </c>
      <c r="C1880" t="s">
        <v>162</v>
      </c>
      <c r="D1880">
        <v>2.5299999999999998</v>
      </c>
      <c r="E1880">
        <v>4444.9399999999996</v>
      </c>
      <c r="F1880">
        <v>0.77</v>
      </c>
      <c r="G1880">
        <v>22.59</v>
      </c>
      <c r="H1880" t="s">
        <v>583</v>
      </c>
      <c r="I1880">
        <v>2.25</v>
      </c>
      <c r="J1880">
        <v>4.32</v>
      </c>
      <c r="K1880">
        <v>1.48</v>
      </c>
      <c r="L1880">
        <f t="shared" si="290"/>
        <v>0</v>
      </c>
      <c r="M1880">
        <f t="shared" si="291"/>
        <v>0</v>
      </c>
      <c r="N1880">
        <f t="shared" si="292"/>
        <v>0</v>
      </c>
      <c r="O1880">
        <f t="shared" si="293"/>
        <v>0</v>
      </c>
      <c r="P1880">
        <f t="shared" si="294"/>
        <v>0</v>
      </c>
      <c r="Q1880">
        <f t="shared" si="295"/>
        <v>0</v>
      </c>
      <c r="R1880">
        <f t="shared" si="296"/>
        <v>0</v>
      </c>
      <c r="S1880">
        <f t="shared" si="297"/>
        <v>0</v>
      </c>
      <c r="T1880">
        <f t="shared" si="299"/>
        <v>0</v>
      </c>
      <c r="U1880">
        <f t="shared" si="298"/>
        <v>0</v>
      </c>
    </row>
    <row r="1881" spans="1:21" x14ac:dyDescent="0.25">
      <c r="A1881" s="96">
        <v>1880</v>
      </c>
      <c r="B1881">
        <v>1079</v>
      </c>
      <c r="C1881" t="s">
        <v>170</v>
      </c>
      <c r="D1881">
        <v>8.44</v>
      </c>
      <c r="E1881">
        <v>7543.67</v>
      </c>
      <c r="F1881">
        <v>167.19</v>
      </c>
      <c r="G1881">
        <v>48.19</v>
      </c>
      <c r="H1881">
        <v>1667.14</v>
      </c>
      <c r="I1881" s="80">
        <v>14738.14</v>
      </c>
      <c r="J1881">
        <v>29.01</v>
      </c>
      <c r="K1881">
        <v>3485.37</v>
      </c>
      <c r="L1881">
        <f t="shared" si="290"/>
        <v>0</v>
      </c>
      <c r="M1881">
        <f t="shared" si="291"/>
        <v>0</v>
      </c>
      <c r="N1881">
        <f t="shared" si="292"/>
        <v>0</v>
      </c>
      <c r="O1881">
        <f t="shared" si="293"/>
        <v>0</v>
      </c>
      <c r="P1881">
        <f t="shared" si="294"/>
        <v>0</v>
      </c>
      <c r="Q1881">
        <f t="shared" si="295"/>
        <v>0</v>
      </c>
      <c r="R1881">
        <f t="shared" si="296"/>
        <v>0</v>
      </c>
      <c r="S1881">
        <f t="shared" si="297"/>
        <v>0</v>
      </c>
      <c r="T1881">
        <f t="shared" si="299"/>
        <v>0</v>
      </c>
      <c r="U1881">
        <f t="shared" si="298"/>
        <v>0</v>
      </c>
    </row>
    <row r="1882" spans="1:21" x14ac:dyDescent="0.25">
      <c r="A1882" s="96">
        <v>1881</v>
      </c>
      <c r="B1882">
        <v>1079</v>
      </c>
      <c r="C1882" t="s">
        <v>178</v>
      </c>
      <c r="D1882">
        <v>9.1199999999999992</v>
      </c>
      <c r="E1882">
        <v>6381.65</v>
      </c>
      <c r="F1882">
        <v>271.83999999999997</v>
      </c>
      <c r="G1882">
        <v>48.19</v>
      </c>
      <c r="H1882">
        <v>5552.14</v>
      </c>
      <c r="I1882" s="80">
        <v>15694.93</v>
      </c>
      <c r="J1882">
        <v>30.5</v>
      </c>
      <c r="K1882">
        <v>4705.12</v>
      </c>
      <c r="L1882">
        <f t="shared" si="290"/>
        <v>0</v>
      </c>
      <c r="M1882">
        <f t="shared" si="291"/>
        <v>0</v>
      </c>
      <c r="N1882">
        <f t="shared" si="292"/>
        <v>0</v>
      </c>
      <c r="O1882">
        <f t="shared" si="293"/>
        <v>0</v>
      </c>
      <c r="P1882">
        <f t="shared" si="294"/>
        <v>0</v>
      </c>
      <c r="Q1882">
        <f t="shared" si="295"/>
        <v>0</v>
      </c>
      <c r="R1882">
        <f t="shared" si="296"/>
        <v>0</v>
      </c>
      <c r="S1882">
        <f t="shared" si="297"/>
        <v>0</v>
      </c>
      <c r="T1882">
        <f t="shared" si="299"/>
        <v>0</v>
      </c>
      <c r="U1882">
        <f t="shared" si="298"/>
        <v>0</v>
      </c>
    </row>
    <row r="1883" spans="1:21" x14ac:dyDescent="0.25">
      <c r="A1883" s="96">
        <v>1882</v>
      </c>
      <c r="B1883">
        <v>1079</v>
      </c>
      <c r="C1883" t="s">
        <v>163</v>
      </c>
      <c r="D1883">
        <v>16.62</v>
      </c>
      <c r="E1883">
        <v>11259.14</v>
      </c>
      <c r="F1883">
        <v>223.32</v>
      </c>
      <c r="G1883">
        <v>99.94</v>
      </c>
      <c r="H1883">
        <v>5378.63</v>
      </c>
      <c r="I1883" s="80">
        <v>16663.439999999999</v>
      </c>
      <c r="J1883">
        <v>64.86</v>
      </c>
      <c r="K1883" s="80">
        <v>38722.699999999997</v>
      </c>
      <c r="L1883">
        <f t="shared" si="290"/>
        <v>0</v>
      </c>
      <c r="M1883">
        <f t="shared" si="291"/>
        <v>0</v>
      </c>
      <c r="N1883">
        <f t="shared" si="292"/>
        <v>0</v>
      </c>
      <c r="O1883">
        <f t="shared" si="293"/>
        <v>0</v>
      </c>
      <c r="P1883">
        <f t="shared" si="294"/>
        <v>0</v>
      </c>
      <c r="Q1883">
        <f t="shared" si="295"/>
        <v>0</v>
      </c>
      <c r="R1883">
        <f t="shared" si="296"/>
        <v>0</v>
      </c>
      <c r="S1883">
        <f t="shared" si="297"/>
        <v>0</v>
      </c>
      <c r="T1883">
        <f t="shared" si="299"/>
        <v>0</v>
      </c>
      <c r="U1883">
        <f t="shared" si="298"/>
        <v>0</v>
      </c>
    </row>
    <row r="1884" spans="1:21" x14ac:dyDescent="0.25">
      <c r="A1884" s="96">
        <v>1883</v>
      </c>
      <c r="B1884">
        <v>1079</v>
      </c>
      <c r="C1884" t="s">
        <v>181</v>
      </c>
      <c r="D1884">
        <v>10.53</v>
      </c>
      <c r="E1884" s="80">
        <v>51491.41</v>
      </c>
      <c r="F1884">
        <v>1.38</v>
      </c>
      <c r="G1884">
        <v>39.119999999999997</v>
      </c>
      <c r="H1884">
        <v>29.93</v>
      </c>
      <c r="I1884" s="80">
        <v>3077.08</v>
      </c>
      <c r="J1884">
        <v>30.5</v>
      </c>
      <c r="K1884">
        <v>117.94</v>
      </c>
      <c r="L1884">
        <f t="shared" si="290"/>
        <v>0</v>
      </c>
      <c r="M1884">
        <f t="shared" si="291"/>
        <v>0</v>
      </c>
      <c r="N1884">
        <f t="shared" si="292"/>
        <v>0</v>
      </c>
      <c r="O1884">
        <f t="shared" si="293"/>
        <v>0</v>
      </c>
      <c r="P1884">
        <f t="shared" si="294"/>
        <v>0</v>
      </c>
      <c r="Q1884">
        <f t="shared" si="295"/>
        <v>0</v>
      </c>
      <c r="R1884">
        <f t="shared" si="296"/>
        <v>0</v>
      </c>
      <c r="S1884">
        <f t="shared" si="297"/>
        <v>0</v>
      </c>
      <c r="T1884">
        <f t="shared" si="299"/>
        <v>0</v>
      </c>
      <c r="U1884">
        <f t="shared" si="298"/>
        <v>0</v>
      </c>
    </row>
    <row r="1885" spans="1:21" x14ac:dyDescent="0.25">
      <c r="A1885" s="96">
        <v>1884</v>
      </c>
      <c r="B1885">
        <v>1079</v>
      </c>
      <c r="C1885" t="s">
        <v>183</v>
      </c>
      <c r="D1885">
        <v>23.37</v>
      </c>
      <c r="E1885" s="80">
        <v>36265.370000000003</v>
      </c>
      <c r="F1885">
        <v>649.79999999999995</v>
      </c>
      <c r="G1885">
        <v>135.16999999999999</v>
      </c>
      <c r="H1885">
        <v>13301.51</v>
      </c>
      <c r="I1885" s="80">
        <v>22180.09</v>
      </c>
      <c r="J1885">
        <v>88.32</v>
      </c>
      <c r="K1885" s="80">
        <v>20148.349999999999</v>
      </c>
      <c r="L1885">
        <f t="shared" si="290"/>
        <v>0</v>
      </c>
      <c r="M1885">
        <f t="shared" si="291"/>
        <v>0</v>
      </c>
      <c r="N1885">
        <f t="shared" si="292"/>
        <v>0</v>
      </c>
      <c r="O1885">
        <f t="shared" si="293"/>
        <v>0</v>
      </c>
      <c r="P1885">
        <f t="shared" si="294"/>
        <v>0</v>
      </c>
      <c r="Q1885">
        <f t="shared" si="295"/>
        <v>0</v>
      </c>
      <c r="R1885">
        <f t="shared" si="296"/>
        <v>0</v>
      </c>
      <c r="S1885">
        <f t="shared" si="297"/>
        <v>0</v>
      </c>
      <c r="T1885">
        <f t="shared" si="299"/>
        <v>0</v>
      </c>
      <c r="U1885">
        <f t="shared" si="298"/>
        <v>0</v>
      </c>
    </row>
    <row r="1886" spans="1:21" x14ac:dyDescent="0.25">
      <c r="A1886" s="96">
        <v>1885</v>
      </c>
      <c r="B1886">
        <v>1079</v>
      </c>
      <c r="C1886" t="s">
        <v>186</v>
      </c>
      <c r="D1886">
        <v>26.96</v>
      </c>
      <c r="E1886">
        <v>22763.71</v>
      </c>
      <c r="F1886">
        <v>896.12</v>
      </c>
      <c r="G1886">
        <v>123.12</v>
      </c>
      <c r="H1886" s="80">
        <v>39966.44</v>
      </c>
      <c r="I1886" s="80">
        <v>21184.84</v>
      </c>
      <c r="J1886">
        <v>103.43</v>
      </c>
      <c r="K1886" s="89" t="s">
        <v>582</v>
      </c>
      <c r="L1886">
        <f t="shared" si="290"/>
        <v>0</v>
      </c>
      <c r="M1886">
        <f t="shared" si="291"/>
        <v>0</v>
      </c>
      <c r="N1886">
        <f t="shared" si="292"/>
        <v>0</v>
      </c>
      <c r="O1886">
        <f t="shared" si="293"/>
        <v>0</v>
      </c>
      <c r="P1886">
        <f t="shared" si="294"/>
        <v>0</v>
      </c>
      <c r="Q1886">
        <f t="shared" si="295"/>
        <v>0</v>
      </c>
      <c r="R1886">
        <f t="shared" si="296"/>
        <v>0</v>
      </c>
      <c r="S1886">
        <f t="shared" si="297"/>
        <v>1</v>
      </c>
      <c r="T1886">
        <f t="shared" si="299"/>
        <v>1</v>
      </c>
      <c r="U1886">
        <f t="shared" si="298"/>
        <v>1</v>
      </c>
    </row>
    <row r="1887" spans="1:21" x14ac:dyDescent="0.25">
      <c r="A1887" s="96">
        <v>1886</v>
      </c>
      <c r="B1887">
        <v>1079</v>
      </c>
      <c r="C1887" t="s">
        <v>188</v>
      </c>
      <c r="D1887">
        <v>30.68</v>
      </c>
      <c r="E1887" s="80">
        <v>54558.37</v>
      </c>
      <c r="F1887">
        <v>636.80999999999995</v>
      </c>
      <c r="G1887">
        <v>147.5</v>
      </c>
      <c r="H1887" s="80">
        <v>21066.65</v>
      </c>
      <c r="I1887" s="80">
        <v>21272.959999999999</v>
      </c>
      <c r="J1887">
        <v>103.43</v>
      </c>
      <c r="K1887" s="89" t="s">
        <v>582</v>
      </c>
      <c r="L1887">
        <f t="shared" si="290"/>
        <v>0</v>
      </c>
      <c r="M1887">
        <f t="shared" si="291"/>
        <v>0</v>
      </c>
      <c r="N1887">
        <f t="shared" si="292"/>
        <v>0</v>
      </c>
      <c r="O1887">
        <f t="shared" si="293"/>
        <v>0</v>
      </c>
      <c r="P1887">
        <f t="shared" si="294"/>
        <v>0</v>
      </c>
      <c r="Q1887">
        <f t="shared" si="295"/>
        <v>0</v>
      </c>
      <c r="R1887">
        <f t="shared" si="296"/>
        <v>0</v>
      </c>
      <c r="S1887">
        <f t="shared" si="297"/>
        <v>1</v>
      </c>
      <c r="T1887">
        <f t="shared" si="299"/>
        <v>1</v>
      </c>
      <c r="U1887">
        <f t="shared" si="298"/>
        <v>1</v>
      </c>
    </row>
    <row r="1888" spans="1:21" x14ac:dyDescent="0.25">
      <c r="A1888" s="96">
        <v>1887</v>
      </c>
      <c r="B1888">
        <v>1079</v>
      </c>
      <c r="C1888" t="s">
        <v>182</v>
      </c>
      <c r="D1888" t="s">
        <v>583</v>
      </c>
      <c r="E1888">
        <v>541.03</v>
      </c>
      <c r="F1888">
        <v>0.15</v>
      </c>
      <c r="G1888" t="s">
        <v>583</v>
      </c>
      <c r="H1888" t="s">
        <v>583</v>
      </c>
      <c r="I1888">
        <v>2.5099999999999998</v>
      </c>
      <c r="J1888" t="s">
        <v>583</v>
      </c>
      <c r="K1888" s="80">
        <v>0.03</v>
      </c>
      <c r="L1888">
        <f t="shared" si="290"/>
        <v>0</v>
      </c>
      <c r="M1888">
        <f t="shared" si="291"/>
        <v>0</v>
      </c>
      <c r="N1888">
        <f t="shared" si="292"/>
        <v>0</v>
      </c>
      <c r="O1888">
        <f t="shared" si="293"/>
        <v>0</v>
      </c>
      <c r="P1888">
        <f t="shared" si="294"/>
        <v>0</v>
      </c>
      <c r="Q1888">
        <f t="shared" si="295"/>
        <v>0</v>
      </c>
      <c r="R1888">
        <f t="shared" si="296"/>
        <v>0</v>
      </c>
      <c r="S1888">
        <f t="shared" si="297"/>
        <v>0</v>
      </c>
      <c r="T1888">
        <f t="shared" si="299"/>
        <v>0</v>
      </c>
      <c r="U1888">
        <f t="shared" si="298"/>
        <v>0</v>
      </c>
    </row>
    <row r="1889" spans="1:21" x14ac:dyDescent="0.25">
      <c r="A1889" s="96">
        <v>1888</v>
      </c>
      <c r="B1889">
        <v>1079</v>
      </c>
      <c r="C1889" t="s">
        <v>184</v>
      </c>
      <c r="D1889">
        <v>10.53</v>
      </c>
      <c r="E1889" s="80">
        <v>28116.73</v>
      </c>
      <c r="F1889">
        <v>148.80000000000001</v>
      </c>
      <c r="G1889">
        <v>62.67</v>
      </c>
      <c r="H1889">
        <v>2626.62</v>
      </c>
      <c r="I1889" s="80">
        <v>11062.04</v>
      </c>
      <c r="J1889">
        <v>36.64</v>
      </c>
      <c r="K1889">
        <v>1024.47</v>
      </c>
      <c r="L1889">
        <f t="shared" si="290"/>
        <v>0</v>
      </c>
      <c r="M1889">
        <f t="shared" si="291"/>
        <v>0</v>
      </c>
      <c r="N1889">
        <f t="shared" si="292"/>
        <v>0</v>
      </c>
      <c r="O1889">
        <f t="shared" si="293"/>
        <v>0</v>
      </c>
      <c r="P1889">
        <f t="shared" si="294"/>
        <v>0</v>
      </c>
      <c r="Q1889">
        <f t="shared" si="295"/>
        <v>0</v>
      </c>
      <c r="R1889">
        <f t="shared" si="296"/>
        <v>0</v>
      </c>
      <c r="S1889">
        <f t="shared" si="297"/>
        <v>0</v>
      </c>
      <c r="T1889">
        <f t="shared" si="299"/>
        <v>0</v>
      </c>
      <c r="U1889">
        <f t="shared" si="298"/>
        <v>0</v>
      </c>
    </row>
    <row r="1890" spans="1:21" x14ac:dyDescent="0.25">
      <c r="A1890" s="96">
        <v>1889</v>
      </c>
      <c r="B1890">
        <v>1079</v>
      </c>
      <c r="C1890" t="s">
        <v>187</v>
      </c>
      <c r="D1890">
        <v>15.03</v>
      </c>
      <c r="E1890" s="80">
        <v>36368.410000000003</v>
      </c>
      <c r="F1890">
        <v>85.57</v>
      </c>
      <c r="G1890">
        <v>94.34</v>
      </c>
      <c r="H1890">
        <v>8999.58</v>
      </c>
      <c r="I1890" s="80">
        <v>10829.67</v>
      </c>
      <c r="J1890">
        <v>49.52</v>
      </c>
      <c r="K1890">
        <v>2603.36</v>
      </c>
      <c r="L1890">
        <f t="shared" si="290"/>
        <v>0</v>
      </c>
      <c r="M1890">
        <f t="shared" si="291"/>
        <v>0</v>
      </c>
      <c r="N1890">
        <f t="shared" si="292"/>
        <v>0</v>
      </c>
      <c r="O1890">
        <f t="shared" si="293"/>
        <v>0</v>
      </c>
      <c r="P1890">
        <f t="shared" si="294"/>
        <v>0</v>
      </c>
      <c r="Q1890">
        <f t="shared" si="295"/>
        <v>0</v>
      </c>
      <c r="R1890">
        <f t="shared" si="296"/>
        <v>0</v>
      </c>
      <c r="S1890">
        <f t="shared" si="297"/>
        <v>0</v>
      </c>
      <c r="T1890">
        <f t="shared" si="299"/>
        <v>0</v>
      </c>
      <c r="U1890">
        <f t="shared" si="298"/>
        <v>0</v>
      </c>
    </row>
    <row r="1891" spans="1:21" x14ac:dyDescent="0.25">
      <c r="A1891" s="96">
        <v>1890</v>
      </c>
      <c r="B1891">
        <v>1079</v>
      </c>
      <c r="C1891" t="s">
        <v>189</v>
      </c>
      <c r="D1891">
        <v>6.49</v>
      </c>
      <c r="E1891">
        <v>16416.12</v>
      </c>
      <c r="F1891">
        <v>10.4</v>
      </c>
      <c r="G1891">
        <v>39.119999999999997</v>
      </c>
      <c r="H1891">
        <v>1500.72</v>
      </c>
      <c r="I1891" s="80">
        <v>5274.09</v>
      </c>
      <c r="J1891">
        <v>21.75</v>
      </c>
      <c r="K1891">
        <v>2156.31</v>
      </c>
      <c r="L1891">
        <f t="shared" si="290"/>
        <v>0</v>
      </c>
      <c r="M1891">
        <f t="shared" si="291"/>
        <v>0</v>
      </c>
      <c r="N1891">
        <f t="shared" si="292"/>
        <v>0</v>
      </c>
      <c r="O1891">
        <f t="shared" si="293"/>
        <v>0</v>
      </c>
      <c r="P1891">
        <f t="shared" si="294"/>
        <v>0</v>
      </c>
      <c r="Q1891">
        <f t="shared" si="295"/>
        <v>0</v>
      </c>
      <c r="R1891">
        <f t="shared" si="296"/>
        <v>0</v>
      </c>
      <c r="S1891">
        <f t="shared" si="297"/>
        <v>0</v>
      </c>
      <c r="T1891">
        <f t="shared" si="299"/>
        <v>0</v>
      </c>
      <c r="U1891">
        <f t="shared" si="298"/>
        <v>0</v>
      </c>
    </row>
    <row r="1892" spans="1:21" x14ac:dyDescent="0.25">
      <c r="A1892" s="96">
        <v>1891</v>
      </c>
      <c r="B1892">
        <v>3021</v>
      </c>
      <c r="C1892" t="s">
        <v>162</v>
      </c>
      <c r="D1892">
        <v>13.48</v>
      </c>
      <c r="E1892" s="89" t="s">
        <v>582</v>
      </c>
      <c r="F1892">
        <v>1.03</v>
      </c>
      <c r="G1892">
        <v>67.709999999999994</v>
      </c>
      <c r="H1892">
        <v>2.96</v>
      </c>
      <c r="I1892">
        <v>5.77</v>
      </c>
      <c r="J1892">
        <v>33.54</v>
      </c>
      <c r="K1892">
        <v>10.99</v>
      </c>
      <c r="L1892">
        <f t="shared" si="290"/>
        <v>0</v>
      </c>
      <c r="M1892">
        <f t="shared" si="291"/>
        <v>1</v>
      </c>
      <c r="N1892">
        <f t="shared" si="292"/>
        <v>0</v>
      </c>
      <c r="O1892">
        <f t="shared" si="293"/>
        <v>0</v>
      </c>
      <c r="P1892">
        <f t="shared" si="294"/>
        <v>0</v>
      </c>
      <c r="Q1892">
        <f t="shared" si="295"/>
        <v>0</v>
      </c>
      <c r="R1892">
        <f t="shared" si="296"/>
        <v>0</v>
      </c>
      <c r="S1892">
        <f t="shared" si="297"/>
        <v>0</v>
      </c>
      <c r="T1892">
        <f t="shared" si="299"/>
        <v>1</v>
      </c>
      <c r="U1892">
        <f t="shared" si="298"/>
        <v>1</v>
      </c>
    </row>
    <row r="1893" spans="1:21" x14ac:dyDescent="0.25">
      <c r="A1893" s="96">
        <v>1892</v>
      </c>
      <c r="B1893">
        <v>3021</v>
      </c>
      <c r="C1893" t="s">
        <v>170</v>
      </c>
      <c r="D1893">
        <v>13.48</v>
      </c>
      <c r="E1893" s="80">
        <v>43092.42</v>
      </c>
      <c r="F1893">
        <v>705.48</v>
      </c>
      <c r="G1893">
        <v>88.83</v>
      </c>
      <c r="H1893">
        <v>2138.44</v>
      </c>
      <c r="I1893" s="80">
        <v>19594.66</v>
      </c>
      <c r="J1893">
        <v>42.98</v>
      </c>
      <c r="K1893">
        <v>2597.23</v>
      </c>
      <c r="L1893">
        <f t="shared" si="290"/>
        <v>0</v>
      </c>
      <c r="M1893">
        <f t="shared" si="291"/>
        <v>0</v>
      </c>
      <c r="N1893">
        <f t="shared" si="292"/>
        <v>0</v>
      </c>
      <c r="O1893">
        <f t="shared" si="293"/>
        <v>0</v>
      </c>
      <c r="P1893">
        <f t="shared" si="294"/>
        <v>0</v>
      </c>
      <c r="Q1893">
        <f t="shared" si="295"/>
        <v>0</v>
      </c>
      <c r="R1893">
        <f t="shared" si="296"/>
        <v>0</v>
      </c>
      <c r="S1893">
        <f t="shared" si="297"/>
        <v>0</v>
      </c>
      <c r="T1893">
        <f t="shared" si="299"/>
        <v>0</v>
      </c>
      <c r="U1893">
        <f t="shared" si="298"/>
        <v>0</v>
      </c>
    </row>
    <row r="1894" spans="1:21" x14ac:dyDescent="0.25">
      <c r="A1894" s="96">
        <v>1893</v>
      </c>
      <c r="B1894">
        <v>3021</v>
      </c>
      <c r="C1894" t="s">
        <v>178</v>
      </c>
      <c r="D1894">
        <v>25.15</v>
      </c>
      <c r="E1894" s="80">
        <v>48015.31</v>
      </c>
      <c r="F1894">
        <v>3548.9</v>
      </c>
      <c r="G1894">
        <v>160.12</v>
      </c>
      <c r="H1894" s="80">
        <v>31386.34</v>
      </c>
      <c r="I1894" s="80">
        <v>21459.62</v>
      </c>
      <c r="J1894">
        <v>80.95</v>
      </c>
      <c r="K1894" s="80">
        <v>10073.32</v>
      </c>
      <c r="L1894">
        <f t="shared" si="290"/>
        <v>0</v>
      </c>
      <c r="M1894">
        <f t="shared" si="291"/>
        <v>0</v>
      </c>
      <c r="N1894">
        <f t="shared" si="292"/>
        <v>0</v>
      </c>
      <c r="O1894">
        <f t="shared" si="293"/>
        <v>0</v>
      </c>
      <c r="P1894">
        <f t="shared" si="294"/>
        <v>0</v>
      </c>
      <c r="Q1894">
        <f t="shared" si="295"/>
        <v>0</v>
      </c>
      <c r="R1894">
        <f t="shared" si="296"/>
        <v>0</v>
      </c>
      <c r="S1894">
        <f t="shared" si="297"/>
        <v>0</v>
      </c>
      <c r="T1894">
        <f t="shared" si="299"/>
        <v>0</v>
      </c>
      <c r="U1894">
        <f t="shared" si="298"/>
        <v>0</v>
      </c>
    </row>
    <row r="1895" spans="1:21" x14ac:dyDescent="0.25">
      <c r="A1895" s="96">
        <v>1894</v>
      </c>
      <c r="B1895">
        <v>3021</v>
      </c>
      <c r="C1895" t="s">
        <v>163</v>
      </c>
      <c r="D1895">
        <v>36.49</v>
      </c>
      <c r="E1895" s="80">
        <v>42016.41</v>
      </c>
      <c r="F1895">
        <v>1297.4100000000001</v>
      </c>
      <c r="G1895">
        <v>173</v>
      </c>
      <c r="H1895" s="80">
        <v>43415.29</v>
      </c>
      <c r="I1895" s="80">
        <v>21640.59</v>
      </c>
      <c r="J1895">
        <v>118.99</v>
      </c>
      <c r="K1895" s="89" t="s">
        <v>582</v>
      </c>
      <c r="L1895">
        <f t="shared" si="290"/>
        <v>0</v>
      </c>
      <c r="M1895">
        <f t="shared" si="291"/>
        <v>0</v>
      </c>
      <c r="N1895">
        <f t="shared" si="292"/>
        <v>0</v>
      </c>
      <c r="O1895">
        <f t="shared" si="293"/>
        <v>0</v>
      </c>
      <c r="P1895">
        <f t="shared" si="294"/>
        <v>0</v>
      </c>
      <c r="Q1895">
        <f t="shared" si="295"/>
        <v>0</v>
      </c>
      <c r="R1895">
        <f t="shared" si="296"/>
        <v>0</v>
      </c>
      <c r="S1895">
        <f t="shared" si="297"/>
        <v>1</v>
      </c>
      <c r="T1895">
        <f t="shared" si="299"/>
        <v>1</v>
      </c>
      <c r="U1895">
        <f t="shared" si="298"/>
        <v>1</v>
      </c>
    </row>
    <row r="1896" spans="1:21" x14ac:dyDescent="0.25">
      <c r="A1896" s="96">
        <v>1895</v>
      </c>
      <c r="B1896">
        <v>3021</v>
      </c>
      <c r="C1896" t="s">
        <v>181</v>
      </c>
      <c r="D1896">
        <v>11.98</v>
      </c>
      <c r="E1896" s="89" t="s">
        <v>582</v>
      </c>
      <c r="F1896">
        <v>1.03</v>
      </c>
      <c r="G1896">
        <v>57.73</v>
      </c>
      <c r="H1896">
        <v>283.33999999999997</v>
      </c>
      <c r="I1896">
        <v>432.62</v>
      </c>
      <c r="J1896">
        <v>42.98</v>
      </c>
      <c r="K1896">
        <v>114.35</v>
      </c>
      <c r="L1896">
        <f t="shared" si="290"/>
        <v>0</v>
      </c>
      <c r="M1896">
        <f t="shared" si="291"/>
        <v>1</v>
      </c>
      <c r="N1896">
        <f t="shared" si="292"/>
        <v>0</v>
      </c>
      <c r="O1896">
        <f t="shared" si="293"/>
        <v>0</v>
      </c>
      <c r="P1896">
        <f t="shared" si="294"/>
        <v>0</v>
      </c>
      <c r="Q1896">
        <f t="shared" si="295"/>
        <v>0</v>
      </c>
      <c r="R1896">
        <f t="shared" si="296"/>
        <v>0</v>
      </c>
      <c r="S1896">
        <f t="shared" si="297"/>
        <v>0</v>
      </c>
      <c r="T1896">
        <f t="shared" si="299"/>
        <v>1</v>
      </c>
      <c r="U1896">
        <f t="shared" si="298"/>
        <v>1</v>
      </c>
    </row>
    <row r="1897" spans="1:21" x14ac:dyDescent="0.25">
      <c r="A1897" s="96">
        <v>1896</v>
      </c>
      <c r="B1897">
        <v>3021</v>
      </c>
      <c r="C1897" t="s">
        <v>183</v>
      </c>
      <c r="D1897">
        <v>16.62</v>
      </c>
      <c r="E1897" s="80">
        <v>29758.48</v>
      </c>
      <c r="F1897">
        <v>98.99</v>
      </c>
      <c r="G1897">
        <v>88.83</v>
      </c>
      <c r="H1897">
        <v>3399.07</v>
      </c>
      <c r="I1897" s="80">
        <v>21247.439999999999</v>
      </c>
      <c r="J1897">
        <v>56.23</v>
      </c>
      <c r="K1897" s="80">
        <v>8340.0300000000007</v>
      </c>
      <c r="L1897">
        <f t="shared" si="290"/>
        <v>0</v>
      </c>
      <c r="M1897">
        <f t="shared" si="291"/>
        <v>0</v>
      </c>
      <c r="N1897">
        <f t="shared" si="292"/>
        <v>0</v>
      </c>
      <c r="O1897">
        <f t="shared" si="293"/>
        <v>0</v>
      </c>
      <c r="P1897">
        <f t="shared" si="294"/>
        <v>0</v>
      </c>
      <c r="Q1897">
        <f t="shared" si="295"/>
        <v>0</v>
      </c>
      <c r="R1897">
        <f t="shared" si="296"/>
        <v>0</v>
      </c>
      <c r="S1897">
        <f t="shared" si="297"/>
        <v>0</v>
      </c>
      <c r="T1897">
        <f t="shared" si="299"/>
        <v>0</v>
      </c>
      <c r="U1897">
        <f t="shared" si="298"/>
        <v>0</v>
      </c>
    </row>
    <row r="1898" spans="1:21" x14ac:dyDescent="0.25">
      <c r="A1898" s="96">
        <v>1897</v>
      </c>
      <c r="B1898">
        <v>3021</v>
      </c>
      <c r="C1898" t="s">
        <v>186</v>
      </c>
      <c r="D1898">
        <v>19.079999999999998</v>
      </c>
      <c r="E1898">
        <v>17678.34</v>
      </c>
      <c r="F1898">
        <v>277.24</v>
      </c>
      <c r="G1898">
        <v>78.09</v>
      </c>
      <c r="H1898">
        <v>9135.2999999999993</v>
      </c>
      <c r="I1898" s="80">
        <v>21513.16</v>
      </c>
      <c r="J1898">
        <v>63.11</v>
      </c>
      <c r="K1898" s="80">
        <v>13624.11</v>
      </c>
      <c r="L1898">
        <f t="shared" si="290"/>
        <v>0</v>
      </c>
      <c r="M1898">
        <f t="shared" si="291"/>
        <v>0</v>
      </c>
      <c r="N1898">
        <f t="shared" si="292"/>
        <v>0</v>
      </c>
      <c r="O1898">
        <f t="shared" si="293"/>
        <v>0</v>
      </c>
      <c r="P1898">
        <f t="shared" si="294"/>
        <v>0</v>
      </c>
      <c r="Q1898">
        <f t="shared" si="295"/>
        <v>0</v>
      </c>
      <c r="R1898">
        <f t="shared" si="296"/>
        <v>0</v>
      </c>
      <c r="S1898">
        <f t="shared" si="297"/>
        <v>0</v>
      </c>
      <c r="T1898">
        <f t="shared" si="299"/>
        <v>0</v>
      </c>
      <c r="U1898">
        <f t="shared" si="298"/>
        <v>0</v>
      </c>
    </row>
    <row r="1899" spans="1:21" x14ac:dyDescent="0.25">
      <c r="A1899" s="96">
        <v>1898</v>
      </c>
      <c r="B1899">
        <v>3021</v>
      </c>
      <c r="C1899" t="s">
        <v>188</v>
      </c>
      <c r="D1899">
        <v>19.920000000000002</v>
      </c>
      <c r="E1899" s="80">
        <v>31562.97</v>
      </c>
      <c r="F1899">
        <v>56.8</v>
      </c>
      <c r="G1899">
        <v>111.37</v>
      </c>
      <c r="H1899">
        <v>5604.36</v>
      </c>
      <c r="I1899" s="80">
        <v>20718.38</v>
      </c>
      <c r="J1899">
        <v>80.95</v>
      </c>
      <c r="K1899" s="80">
        <v>19151.849999999999</v>
      </c>
      <c r="L1899">
        <f t="shared" si="290"/>
        <v>0</v>
      </c>
      <c r="M1899">
        <f t="shared" si="291"/>
        <v>0</v>
      </c>
      <c r="N1899">
        <f t="shared" si="292"/>
        <v>0</v>
      </c>
      <c r="O1899">
        <f t="shared" si="293"/>
        <v>0</v>
      </c>
      <c r="P1899">
        <f t="shared" si="294"/>
        <v>0</v>
      </c>
      <c r="Q1899">
        <f t="shared" si="295"/>
        <v>0</v>
      </c>
      <c r="R1899">
        <f t="shared" si="296"/>
        <v>0</v>
      </c>
      <c r="S1899">
        <f t="shared" si="297"/>
        <v>0</v>
      </c>
      <c r="T1899">
        <f t="shared" si="299"/>
        <v>0</v>
      </c>
      <c r="U1899">
        <f t="shared" si="298"/>
        <v>0</v>
      </c>
    </row>
    <row r="1900" spans="1:21" x14ac:dyDescent="0.25">
      <c r="A1900" s="96">
        <v>1899</v>
      </c>
      <c r="B1900">
        <v>3021</v>
      </c>
      <c r="C1900" t="s">
        <v>182</v>
      </c>
      <c r="D1900">
        <v>1.18</v>
      </c>
      <c r="E1900">
        <v>8621.77</v>
      </c>
      <c r="F1900">
        <v>0.05</v>
      </c>
      <c r="G1900">
        <v>39.119999999999997</v>
      </c>
      <c r="H1900">
        <v>0.47</v>
      </c>
      <c r="I1900">
        <v>3.24</v>
      </c>
      <c r="J1900">
        <v>2.38</v>
      </c>
      <c r="K1900">
        <v>0.72</v>
      </c>
      <c r="L1900">
        <f t="shared" si="290"/>
        <v>0</v>
      </c>
      <c r="M1900">
        <f t="shared" si="291"/>
        <v>0</v>
      </c>
      <c r="N1900">
        <f t="shared" si="292"/>
        <v>0</v>
      </c>
      <c r="O1900">
        <f t="shared" si="293"/>
        <v>0</v>
      </c>
      <c r="P1900">
        <f t="shared" si="294"/>
        <v>0</v>
      </c>
      <c r="Q1900">
        <f t="shared" si="295"/>
        <v>0</v>
      </c>
      <c r="R1900">
        <f t="shared" si="296"/>
        <v>0</v>
      </c>
      <c r="S1900">
        <f t="shared" si="297"/>
        <v>0</v>
      </c>
      <c r="T1900">
        <f t="shared" si="299"/>
        <v>0</v>
      </c>
      <c r="U1900">
        <f t="shared" si="298"/>
        <v>0</v>
      </c>
    </row>
    <row r="1901" spans="1:21" x14ac:dyDescent="0.25">
      <c r="A1901" s="96">
        <v>1900</v>
      </c>
      <c r="B1901">
        <v>3021</v>
      </c>
      <c r="C1901" t="s">
        <v>184</v>
      </c>
      <c r="D1901">
        <v>19.079999999999998</v>
      </c>
      <c r="E1901" s="80">
        <v>174433.1</v>
      </c>
      <c r="F1901">
        <v>317.87</v>
      </c>
      <c r="G1901">
        <v>147.5</v>
      </c>
      <c r="H1901">
        <v>14280.4</v>
      </c>
      <c r="I1901" s="80">
        <v>19372.759999999998</v>
      </c>
      <c r="J1901">
        <v>52.86</v>
      </c>
      <c r="K1901">
        <v>3403.09</v>
      </c>
      <c r="L1901">
        <f t="shared" si="290"/>
        <v>0</v>
      </c>
      <c r="M1901">
        <f t="shared" si="291"/>
        <v>0</v>
      </c>
      <c r="N1901">
        <f t="shared" si="292"/>
        <v>0</v>
      </c>
      <c r="O1901">
        <f t="shared" si="293"/>
        <v>0</v>
      </c>
      <c r="P1901">
        <f t="shared" si="294"/>
        <v>0</v>
      </c>
      <c r="Q1901">
        <f t="shared" si="295"/>
        <v>0</v>
      </c>
      <c r="R1901">
        <f t="shared" si="296"/>
        <v>0</v>
      </c>
      <c r="S1901">
        <f t="shared" si="297"/>
        <v>0</v>
      </c>
      <c r="T1901">
        <f t="shared" si="299"/>
        <v>0</v>
      </c>
      <c r="U1901">
        <f t="shared" si="298"/>
        <v>0</v>
      </c>
    </row>
    <row r="1902" spans="1:21" x14ac:dyDescent="0.25">
      <c r="A1902" s="96">
        <v>1901</v>
      </c>
      <c r="B1902">
        <v>3021</v>
      </c>
      <c r="C1902" t="s">
        <v>187</v>
      </c>
      <c r="D1902">
        <v>34.53</v>
      </c>
      <c r="E1902" s="89" t="s">
        <v>582</v>
      </c>
      <c r="F1902">
        <v>946.93</v>
      </c>
      <c r="G1902">
        <v>213.15</v>
      </c>
      <c r="H1902" s="80">
        <v>51158.01</v>
      </c>
      <c r="I1902" s="80">
        <v>20212.599999999999</v>
      </c>
      <c r="J1902">
        <v>99.61</v>
      </c>
      <c r="K1902" s="80">
        <v>8611.57</v>
      </c>
      <c r="L1902">
        <f t="shared" si="290"/>
        <v>0</v>
      </c>
      <c r="M1902">
        <f t="shared" si="291"/>
        <v>1</v>
      </c>
      <c r="N1902">
        <f t="shared" si="292"/>
        <v>0</v>
      </c>
      <c r="O1902">
        <f t="shared" si="293"/>
        <v>0</v>
      </c>
      <c r="P1902">
        <f t="shared" si="294"/>
        <v>0</v>
      </c>
      <c r="Q1902">
        <f t="shared" si="295"/>
        <v>0</v>
      </c>
      <c r="R1902">
        <f t="shared" si="296"/>
        <v>0</v>
      </c>
      <c r="S1902">
        <f t="shared" si="297"/>
        <v>0</v>
      </c>
      <c r="T1902">
        <f t="shared" si="299"/>
        <v>1</v>
      </c>
      <c r="U1902">
        <f t="shared" si="298"/>
        <v>1</v>
      </c>
    </row>
    <row r="1903" spans="1:21" x14ac:dyDescent="0.25">
      <c r="A1903" s="96">
        <v>1902</v>
      </c>
      <c r="B1903">
        <v>3021</v>
      </c>
      <c r="C1903" t="s">
        <v>189</v>
      </c>
      <c r="D1903">
        <v>26.05</v>
      </c>
      <c r="E1903" s="80">
        <v>114915.15</v>
      </c>
      <c r="F1903">
        <v>175.47</v>
      </c>
      <c r="G1903">
        <v>186.14</v>
      </c>
      <c r="H1903">
        <v>13277.41</v>
      </c>
      <c r="I1903" s="80">
        <v>19150.18</v>
      </c>
      <c r="J1903">
        <v>82.78</v>
      </c>
      <c r="K1903" s="80">
        <v>15389.61</v>
      </c>
      <c r="L1903">
        <f t="shared" si="290"/>
        <v>0</v>
      </c>
      <c r="M1903">
        <f t="shared" si="291"/>
        <v>0</v>
      </c>
      <c r="N1903">
        <f t="shared" si="292"/>
        <v>0</v>
      </c>
      <c r="O1903">
        <f t="shared" si="293"/>
        <v>0</v>
      </c>
      <c r="P1903">
        <f t="shared" si="294"/>
        <v>0</v>
      </c>
      <c r="Q1903">
        <f t="shared" si="295"/>
        <v>0</v>
      </c>
      <c r="R1903">
        <f t="shared" si="296"/>
        <v>0</v>
      </c>
      <c r="S1903">
        <f t="shared" si="297"/>
        <v>0</v>
      </c>
      <c r="T1903">
        <f t="shared" si="299"/>
        <v>0</v>
      </c>
      <c r="U1903">
        <f t="shared" si="298"/>
        <v>0</v>
      </c>
    </row>
    <row r="1904" spans="1:21" x14ac:dyDescent="0.25">
      <c r="A1904" s="96">
        <v>1903</v>
      </c>
      <c r="B1904">
        <v>3022</v>
      </c>
      <c r="C1904" t="s">
        <v>162</v>
      </c>
      <c r="D1904">
        <v>2.0499999999999998</v>
      </c>
      <c r="E1904">
        <v>12156.6</v>
      </c>
      <c r="F1904">
        <v>1.03</v>
      </c>
      <c r="G1904">
        <v>15.3</v>
      </c>
      <c r="H1904">
        <v>0.12</v>
      </c>
      <c r="I1904">
        <v>3.73</v>
      </c>
      <c r="J1904">
        <v>8.74</v>
      </c>
      <c r="K1904">
        <v>1.87</v>
      </c>
      <c r="L1904">
        <f t="shared" si="290"/>
        <v>0</v>
      </c>
      <c r="M1904">
        <f t="shared" si="291"/>
        <v>0</v>
      </c>
      <c r="N1904">
        <f t="shared" si="292"/>
        <v>0</v>
      </c>
      <c r="O1904">
        <f t="shared" si="293"/>
        <v>0</v>
      </c>
      <c r="P1904">
        <f t="shared" si="294"/>
        <v>0</v>
      </c>
      <c r="Q1904">
        <f t="shared" si="295"/>
        <v>0</v>
      </c>
      <c r="R1904">
        <f t="shared" si="296"/>
        <v>0</v>
      </c>
      <c r="S1904">
        <f t="shared" si="297"/>
        <v>0</v>
      </c>
      <c r="T1904">
        <f t="shared" si="299"/>
        <v>0</v>
      </c>
      <c r="U1904">
        <f t="shared" si="298"/>
        <v>0</v>
      </c>
    </row>
    <row r="1905" spans="1:21" x14ac:dyDescent="0.25">
      <c r="A1905" s="96">
        <v>1904</v>
      </c>
      <c r="B1905">
        <v>3022</v>
      </c>
      <c r="C1905" t="s">
        <v>170</v>
      </c>
      <c r="D1905">
        <v>15.03</v>
      </c>
      <c r="E1905">
        <v>20890.57</v>
      </c>
      <c r="F1905">
        <v>233.09</v>
      </c>
      <c r="G1905">
        <v>57.73</v>
      </c>
      <c r="H1905">
        <v>4083.68</v>
      </c>
      <c r="I1905" s="80">
        <v>16667.02</v>
      </c>
      <c r="J1905">
        <v>35.08</v>
      </c>
      <c r="K1905">
        <v>1536.91</v>
      </c>
      <c r="L1905">
        <f t="shared" si="290"/>
        <v>0</v>
      </c>
      <c r="M1905">
        <f t="shared" si="291"/>
        <v>0</v>
      </c>
      <c r="N1905">
        <f t="shared" si="292"/>
        <v>0</v>
      </c>
      <c r="O1905">
        <f t="shared" si="293"/>
        <v>0</v>
      </c>
      <c r="P1905">
        <f t="shared" si="294"/>
        <v>0</v>
      </c>
      <c r="Q1905">
        <f t="shared" si="295"/>
        <v>0</v>
      </c>
      <c r="R1905">
        <f t="shared" si="296"/>
        <v>0</v>
      </c>
      <c r="S1905">
        <f t="shared" si="297"/>
        <v>0</v>
      </c>
      <c r="T1905">
        <f t="shared" si="299"/>
        <v>0</v>
      </c>
      <c r="U1905">
        <f t="shared" si="298"/>
        <v>0</v>
      </c>
    </row>
    <row r="1906" spans="1:21" x14ac:dyDescent="0.25">
      <c r="A1906" s="96">
        <v>1905</v>
      </c>
      <c r="B1906">
        <v>3022</v>
      </c>
      <c r="C1906" t="s">
        <v>178</v>
      </c>
      <c r="D1906">
        <v>32.590000000000003</v>
      </c>
      <c r="E1906">
        <v>22857.14</v>
      </c>
      <c r="F1906">
        <v>749.38</v>
      </c>
      <c r="G1906">
        <v>83.42</v>
      </c>
      <c r="H1906" s="80">
        <v>17126.18</v>
      </c>
      <c r="I1906" s="80">
        <v>19293.98</v>
      </c>
      <c r="J1906">
        <v>52.86</v>
      </c>
      <c r="K1906">
        <v>3364.05</v>
      </c>
      <c r="L1906">
        <f t="shared" si="290"/>
        <v>0</v>
      </c>
      <c r="M1906">
        <f t="shared" si="291"/>
        <v>0</v>
      </c>
      <c r="N1906">
        <f t="shared" si="292"/>
        <v>0</v>
      </c>
      <c r="O1906">
        <f t="shared" si="293"/>
        <v>0</v>
      </c>
      <c r="P1906">
        <f t="shared" si="294"/>
        <v>0</v>
      </c>
      <c r="Q1906">
        <f t="shared" si="295"/>
        <v>0</v>
      </c>
      <c r="R1906">
        <f t="shared" si="296"/>
        <v>0</v>
      </c>
      <c r="S1906">
        <f t="shared" si="297"/>
        <v>0</v>
      </c>
      <c r="T1906">
        <f t="shared" si="299"/>
        <v>0</v>
      </c>
      <c r="U1906">
        <f t="shared" si="298"/>
        <v>0</v>
      </c>
    </row>
    <row r="1907" spans="1:21" x14ac:dyDescent="0.25">
      <c r="A1907" s="96">
        <v>1906</v>
      </c>
      <c r="B1907">
        <v>3022</v>
      </c>
      <c r="C1907" t="s">
        <v>163</v>
      </c>
      <c r="D1907">
        <v>23.37</v>
      </c>
      <c r="E1907" s="80">
        <v>26228.47</v>
      </c>
      <c r="F1907">
        <v>1395.82</v>
      </c>
      <c r="G1907">
        <v>111.37</v>
      </c>
      <c r="H1907" s="80">
        <v>24599.11</v>
      </c>
      <c r="I1907" s="80">
        <v>19435.11</v>
      </c>
      <c r="J1907">
        <v>70.14</v>
      </c>
      <c r="K1907" s="80">
        <v>11450.47</v>
      </c>
      <c r="L1907">
        <f t="shared" si="290"/>
        <v>0</v>
      </c>
      <c r="M1907">
        <f t="shared" si="291"/>
        <v>0</v>
      </c>
      <c r="N1907">
        <f t="shared" si="292"/>
        <v>0</v>
      </c>
      <c r="O1907">
        <f t="shared" si="293"/>
        <v>0</v>
      </c>
      <c r="P1907">
        <f t="shared" si="294"/>
        <v>0</v>
      </c>
      <c r="Q1907">
        <f t="shared" si="295"/>
        <v>0</v>
      </c>
      <c r="R1907">
        <f t="shared" si="296"/>
        <v>0</v>
      </c>
      <c r="S1907">
        <f t="shared" si="297"/>
        <v>0</v>
      </c>
      <c r="T1907">
        <f t="shared" si="299"/>
        <v>0</v>
      </c>
      <c r="U1907">
        <f t="shared" si="298"/>
        <v>0</v>
      </c>
    </row>
    <row r="1908" spans="1:21" x14ac:dyDescent="0.25">
      <c r="A1908" s="96">
        <v>1907</v>
      </c>
      <c r="B1908">
        <v>3022</v>
      </c>
      <c r="C1908" t="s">
        <v>181</v>
      </c>
      <c r="D1908">
        <v>7.78</v>
      </c>
      <c r="E1908" s="80">
        <v>94746.38</v>
      </c>
      <c r="F1908">
        <v>1.38</v>
      </c>
      <c r="G1908">
        <v>43.59</v>
      </c>
      <c r="H1908">
        <v>20.27</v>
      </c>
      <c r="I1908">
        <v>360.07</v>
      </c>
      <c r="J1908">
        <v>30.5</v>
      </c>
      <c r="K1908">
        <v>53.94</v>
      </c>
      <c r="L1908">
        <f t="shared" si="290"/>
        <v>0</v>
      </c>
      <c r="M1908">
        <f t="shared" si="291"/>
        <v>0</v>
      </c>
      <c r="N1908">
        <f t="shared" si="292"/>
        <v>0</v>
      </c>
      <c r="O1908">
        <f t="shared" si="293"/>
        <v>0</v>
      </c>
      <c r="P1908">
        <f t="shared" si="294"/>
        <v>0</v>
      </c>
      <c r="Q1908">
        <f t="shared" si="295"/>
        <v>0</v>
      </c>
      <c r="R1908">
        <f t="shared" si="296"/>
        <v>0</v>
      </c>
      <c r="S1908">
        <f t="shared" si="297"/>
        <v>0</v>
      </c>
      <c r="T1908">
        <f t="shared" si="299"/>
        <v>0</v>
      </c>
      <c r="U1908">
        <f t="shared" si="298"/>
        <v>0</v>
      </c>
    </row>
    <row r="1909" spans="1:21" x14ac:dyDescent="0.25">
      <c r="A1909" s="96">
        <v>1908</v>
      </c>
      <c r="B1909">
        <v>3022</v>
      </c>
      <c r="C1909" t="s">
        <v>183</v>
      </c>
      <c r="D1909">
        <v>19.920000000000002</v>
      </c>
      <c r="E1909" s="80">
        <v>53361.84</v>
      </c>
      <c r="F1909">
        <v>705.87</v>
      </c>
      <c r="G1909">
        <v>88.83</v>
      </c>
      <c r="H1909">
        <v>10048.620000000001</v>
      </c>
      <c r="I1909" s="80">
        <v>20850.439999999999</v>
      </c>
      <c r="J1909">
        <v>56.23</v>
      </c>
      <c r="K1909">
        <v>4449.6899999999996</v>
      </c>
      <c r="L1909">
        <f t="shared" si="290"/>
        <v>0</v>
      </c>
      <c r="M1909">
        <f t="shared" si="291"/>
        <v>0</v>
      </c>
      <c r="N1909">
        <f t="shared" si="292"/>
        <v>0</v>
      </c>
      <c r="O1909">
        <f t="shared" si="293"/>
        <v>0</v>
      </c>
      <c r="P1909">
        <f t="shared" si="294"/>
        <v>0</v>
      </c>
      <c r="Q1909">
        <f t="shared" si="295"/>
        <v>0</v>
      </c>
      <c r="R1909">
        <f t="shared" si="296"/>
        <v>0</v>
      </c>
      <c r="S1909">
        <f t="shared" si="297"/>
        <v>0</v>
      </c>
      <c r="T1909">
        <f t="shared" si="299"/>
        <v>0</v>
      </c>
      <c r="U1909">
        <f t="shared" si="298"/>
        <v>0</v>
      </c>
    </row>
    <row r="1910" spans="1:21" x14ac:dyDescent="0.25">
      <c r="A1910" s="96">
        <v>1909</v>
      </c>
      <c r="B1910">
        <v>3022</v>
      </c>
      <c r="C1910" t="s">
        <v>186</v>
      </c>
      <c r="D1910">
        <v>30.68</v>
      </c>
      <c r="E1910" s="80">
        <v>50464.35</v>
      </c>
      <c r="F1910">
        <v>2085.06</v>
      </c>
      <c r="G1910">
        <v>147.5</v>
      </c>
      <c r="H1910" s="80">
        <v>98863.51</v>
      </c>
      <c r="I1910" s="80">
        <v>21744.880000000001</v>
      </c>
      <c r="J1910">
        <v>95.81</v>
      </c>
      <c r="K1910" s="80">
        <v>17046.740000000002</v>
      </c>
      <c r="L1910">
        <f t="shared" si="290"/>
        <v>0</v>
      </c>
      <c r="M1910">
        <f t="shared" si="291"/>
        <v>0</v>
      </c>
      <c r="N1910">
        <f t="shared" si="292"/>
        <v>0</v>
      </c>
      <c r="O1910">
        <f t="shared" si="293"/>
        <v>0</v>
      </c>
      <c r="P1910">
        <f t="shared" si="294"/>
        <v>0</v>
      </c>
      <c r="Q1910">
        <f t="shared" si="295"/>
        <v>0</v>
      </c>
      <c r="R1910">
        <f t="shared" si="296"/>
        <v>0</v>
      </c>
      <c r="S1910">
        <f t="shared" si="297"/>
        <v>0</v>
      </c>
      <c r="T1910">
        <f t="shared" si="299"/>
        <v>0</v>
      </c>
      <c r="U1910">
        <f t="shared" si="298"/>
        <v>0</v>
      </c>
    </row>
    <row r="1911" spans="1:21" x14ac:dyDescent="0.25">
      <c r="A1911" s="96">
        <v>1910</v>
      </c>
      <c r="B1911">
        <v>3022</v>
      </c>
      <c r="C1911" t="s">
        <v>188</v>
      </c>
      <c r="D1911">
        <v>25.15</v>
      </c>
      <c r="E1911" s="80">
        <v>62936.49</v>
      </c>
      <c r="F1911">
        <v>1355.7</v>
      </c>
      <c r="G1911">
        <v>135.16999999999999</v>
      </c>
      <c r="H1911">
        <v>15768.29</v>
      </c>
      <c r="I1911" s="80">
        <v>21279.15</v>
      </c>
      <c r="J1911">
        <v>88.32</v>
      </c>
      <c r="K1911" s="80">
        <v>49575.58</v>
      </c>
      <c r="L1911">
        <f t="shared" si="290"/>
        <v>0</v>
      </c>
      <c r="M1911">
        <f t="shared" si="291"/>
        <v>0</v>
      </c>
      <c r="N1911">
        <f t="shared" si="292"/>
        <v>0</v>
      </c>
      <c r="O1911">
        <f t="shared" si="293"/>
        <v>0</v>
      </c>
      <c r="P1911">
        <f t="shared" si="294"/>
        <v>0</v>
      </c>
      <c r="Q1911">
        <f t="shared" si="295"/>
        <v>0</v>
      </c>
      <c r="R1911">
        <f t="shared" si="296"/>
        <v>0</v>
      </c>
      <c r="S1911">
        <f t="shared" si="297"/>
        <v>0</v>
      </c>
      <c r="T1911">
        <f t="shared" si="299"/>
        <v>0</v>
      </c>
      <c r="U1911">
        <f t="shared" si="298"/>
        <v>0</v>
      </c>
    </row>
    <row r="1912" spans="1:21" x14ac:dyDescent="0.25">
      <c r="A1912" s="96">
        <v>1911</v>
      </c>
      <c r="B1912">
        <v>3022</v>
      </c>
      <c r="C1912" t="s">
        <v>182</v>
      </c>
      <c r="D1912">
        <v>0.46</v>
      </c>
      <c r="E1912">
        <v>6804.18</v>
      </c>
      <c r="F1912">
        <v>0.73</v>
      </c>
      <c r="G1912">
        <v>15.3</v>
      </c>
      <c r="H1912">
        <v>9.23</v>
      </c>
      <c r="I1912">
        <v>63.47</v>
      </c>
      <c r="J1912">
        <v>6.45</v>
      </c>
      <c r="K1912">
        <v>3.07</v>
      </c>
      <c r="L1912">
        <f t="shared" si="290"/>
        <v>0</v>
      </c>
      <c r="M1912">
        <f t="shared" si="291"/>
        <v>0</v>
      </c>
      <c r="N1912">
        <f t="shared" si="292"/>
        <v>0</v>
      </c>
      <c r="O1912">
        <f t="shared" si="293"/>
        <v>0</v>
      </c>
      <c r="P1912">
        <f t="shared" si="294"/>
        <v>0</v>
      </c>
      <c r="Q1912">
        <f t="shared" si="295"/>
        <v>0</v>
      </c>
      <c r="R1912">
        <f t="shared" si="296"/>
        <v>0</v>
      </c>
      <c r="S1912">
        <f t="shared" si="297"/>
        <v>0</v>
      </c>
      <c r="T1912">
        <f t="shared" si="299"/>
        <v>0</v>
      </c>
      <c r="U1912">
        <f t="shared" si="298"/>
        <v>0</v>
      </c>
    </row>
    <row r="1913" spans="1:21" x14ac:dyDescent="0.25">
      <c r="A1913" s="96">
        <v>1912</v>
      </c>
      <c r="B1913">
        <v>3022</v>
      </c>
      <c r="C1913" t="s">
        <v>184</v>
      </c>
      <c r="D1913">
        <v>13.48</v>
      </c>
      <c r="E1913" s="80">
        <v>45700</v>
      </c>
      <c r="F1913">
        <v>196.91</v>
      </c>
      <c r="G1913">
        <v>57.73</v>
      </c>
      <c r="H1913">
        <v>6371.64</v>
      </c>
      <c r="I1913" s="80">
        <v>16496.939999999999</v>
      </c>
      <c r="J1913">
        <v>46.23</v>
      </c>
      <c r="K1913">
        <v>310.95999999999998</v>
      </c>
      <c r="L1913">
        <f t="shared" si="290"/>
        <v>0</v>
      </c>
      <c r="M1913">
        <f t="shared" si="291"/>
        <v>0</v>
      </c>
      <c r="N1913">
        <f t="shared" si="292"/>
        <v>0</v>
      </c>
      <c r="O1913">
        <f t="shared" si="293"/>
        <v>0</v>
      </c>
      <c r="P1913">
        <f t="shared" si="294"/>
        <v>0</v>
      </c>
      <c r="Q1913">
        <f t="shared" si="295"/>
        <v>0</v>
      </c>
      <c r="R1913">
        <f t="shared" si="296"/>
        <v>0</v>
      </c>
      <c r="S1913">
        <f t="shared" si="297"/>
        <v>0</v>
      </c>
      <c r="T1913">
        <f t="shared" si="299"/>
        <v>0</v>
      </c>
      <c r="U1913">
        <f t="shared" si="298"/>
        <v>0</v>
      </c>
    </row>
    <row r="1914" spans="1:21" x14ac:dyDescent="0.25">
      <c r="A1914" s="96">
        <v>1913</v>
      </c>
      <c r="B1914">
        <v>3022</v>
      </c>
      <c r="C1914" t="s">
        <v>187</v>
      </c>
      <c r="D1914">
        <v>26.96</v>
      </c>
      <c r="E1914" s="80">
        <v>91027.45</v>
      </c>
      <c r="F1914">
        <v>444.02</v>
      </c>
      <c r="G1914">
        <v>135.16999999999999</v>
      </c>
      <c r="H1914" s="80">
        <v>45083.71</v>
      </c>
      <c r="I1914" s="80">
        <v>17840.03</v>
      </c>
      <c r="J1914">
        <v>70.14</v>
      </c>
      <c r="K1914">
        <v>3097.76</v>
      </c>
      <c r="L1914">
        <f t="shared" si="290"/>
        <v>0</v>
      </c>
      <c r="M1914">
        <f t="shared" si="291"/>
        <v>0</v>
      </c>
      <c r="N1914">
        <f t="shared" si="292"/>
        <v>0</v>
      </c>
      <c r="O1914">
        <f t="shared" si="293"/>
        <v>0</v>
      </c>
      <c r="P1914">
        <f t="shared" si="294"/>
        <v>0</v>
      </c>
      <c r="Q1914">
        <f t="shared" si="295"/>
        <v>0</v>
      </c>
      <c r="R1914">
        <f t="shared" si="296"/>
        <v>0</v>
      </c>
      <c r="S1914">
        <f t="shared" si="297"/>
        <v>0</v>
      </c>
      <c r="T1914">
        <f t="shared" si="299"/>
        <v>0</v>
      </c>
      <c r="U1914">
        <f t="shared" si="298"/>
        <v>0</v>
      </c>
    </row>
    <row r="1915" spans="1:21" x14ac:dyDescent="0.25">
      <c r="A1915" s="96">
        <v>1914</v>
      </c>
      <c r="B1915">
        <v>3022</v>
      </c>
      <c r="C1915" t="s">
        <v>189</v>
      </c>
      <c r="D1915">
        <v>20.77</v>
      </c>
      <c r="E1915" s="80">
        <v>70545.570000000007</v>
      </c>
      <c r="F1915">
        <v>229.95</v>
      </c>
      <c r="G1915">
        <v>135.16999999999999</v>
      </c>
      <c r="H1915" s="80">
        <v>23192.99</v>
      </c>
      <c r="I1915" s="80">
        <v>16293.3</v>
      </c>
      <c r="J1915">
        <v>68.37</v>
      </c>
      <c r="K1915">
        <v>5817.15</v>
      </c>
      <c r="L1915">
        <f t="shared" si="290"/>
        <v>0</v>
      </c>
      <c r="M1915">
        <f t="shared" si="291"/>
        <v>0</v>
      </c>
      <c r="N1915">
        <f t="shared" si="292"/>
        <v>0</v>
      </c>
      <c r="O1915">
        <f t="shared" si="293"/>
        <v>0</v>
      </c>
      <c r="P1915">
        <f t="shared" si="294"/>
        <v>0</v>
      </c>
      <c r="Q1915">
        <f t="shared" si="295"/>
        <v>0</v>
      </c>
      <c r="R1915">
        <f t="shared" si="296"/>
        <v>0</v>
      </c>
      <c r="S1915">
        <f t="shared" si="297"/>
        <v>0</v>
      </c>
      <c r="T1915">
        <f t="shared" si="299"/>
        <v>0</v>
      </c>
      <c r="U1915">
        <f t="shared" si="298"/>
        <v>0</v>
      </c>
    </row>
    <row r="1916" spans="1:21" x14ac:dyDescent="0.25">
      <c r="A1916" s="96">
        <v>1915</v>
      </c>
      <c r="B1916">
        <v>3024</v>
      </c>
      <c r="C1916" t="s">
        <v>162</v>
      </c>
      <c r="D1916">
        <v>13.48</v>
      </c>
      <c r="E1916" s="89" t="s">
        <v>582</v>
      </c>
      <c r="F1916">
        <v>1.94</v>
      </c>
      <c r="G1916">
        <v>48.19</v>
      </c>
      <c r="H1916">
        <v>2.56</v>
      </c>
      <c r="I1916">
        <v>26.81</v>
      </c>
      <c r="J1916">
        <v>30.5</v>
      </c>
      <c r="K1916">
        <v>2.71</v>
      </c>
      <c r="L1916">
        <f t="shared" si="290"/>
        <v>0</v>
      </c>
      <c r="M1916">
        <f t="shared" si="291"/>
        <v>1</v>
      </c>
      <c r="N1916">
        <f t="shared" si="292"/>
        <v>0</v>
      </c>
      <c r="O1916">
        <f t="shared" si="293"/>
        <v>0</v>
      </c>
      <c r="P1916">
        <f t="shared" si="294"/>
        <v>0</v>
      </c>
      <c r="Q1916">
        <f t="shared" si="295"/>
        <v>0</v>
      </c>
      <c r="R1916">
        <f t="shared" si="296"/>
        <v>0</v>
      </c>
      <c r="S1916">
        <f t="shared" si="297"/>
        <v>0</v>
      </c>
      <c r="T1916">
        <f t="shared" si="299"/>
        <v>1</v>
      </c>
      <c r="U1916">
        <f t="shared" si="298"/>
        <v>1</v>
      </c>
    </row>
    <row r="1917" spans="1:21" x14ac:dyDescent="0.25">
      <c r="A1917" s="96">
        <v>1916</v>
      </c>
      <c r="B1917">
        <v>3024</v>
      </c>
      <c r="C1917" t="s">
        <v>170</v>
      </c>
      <c r="D1917">
        <v>19.920000000000002</v>
      </c>
      <c r="E1917" s="80">
        <v>185001.83</v>
      </c>
      <c r="F1917">
        <v>818.98</v>
      </c>
      <c r="G1917">
        <v>99.94</v>
      </c>
      <c r="H1917">
        <v>10349.5</v>
      </c>
      <c r="I1917" s="80">
        <v>18625.099999999999</v>
      </c>
      <c r="J1917">
        <v>57.94</v>
      </c>
      <c r="K1917">
        <v>217.12</v>
      </c>
      <c r="L1917">
        <f t="shared" si="290"/>
        <v>0</v>
      </c>
      <c r="M1917">
        <f t="shared" si="291"/>
        <v>0</v>
      </c>
      <c r="N1917">
        <f t="shared" si="292"/>
        <v>0</v>
      </c>
      <c r="O1917">
        <f t="shared" si="293"/>
        <v>0</v>
      </c>
      <c r="P1917">
        <f t="shared" si="294"/>
        <v>0</v>
      </c>
      <c r="Q1917">
        <f t="shared" si="295"/>
        <v>0</v>
      </c>
      <c r="R1917">
        <f t="shared" si="296"/>
        <v>0</v>
      </c>
      <c r="S1917">
        <f t="shared" si="297"/>
        <v>0</v>
      </c>
      <c r="T1917">
        <f t="shared" si="299"/>
        <v>0</v>
      </c>
      <c r="U1917">
        <f t="shared" si="298"/>
        <v>0</v>
      </c>
    </row>
    <row r="1918" spans="1:21" x14ac:dyDescent="0.25">
      <c r="A1918" s="96">
        <v>1917</v>
      </c>
      <c r="B1918">
        <v>3024</v>
      </c>
      <c r="C1918" t="s">
        <v>178</v>
      </c>
      <c r="D1918">
        <v>23.37</v>
      </c>
      <c r="E1918" s="80">
        <v>242244.73</v>
      </c>
      <c r="F1918">
        <v>3152.01</v>
      </c>
      <c r="G1918">
        <v>123.12</v>
      </c>
      <c r="H1918" s="80">
        <v>62744.63</v>
      </c>
      <c r="I1918" s="80">
        <v>20728.349999999999</v>
      </c>
      <c r="J1918">
        <v>59.65</v>
      </c>
      <c r="K1918">
        <v>946.74</v>
      </c>
      <c r="L1918">
        <f t="shared" si="290"/>
        <v>0</v>
      </c>
      <c r="M1918">
        <f t="shared" si="291"/>
        <v>0</v>
      </c>
      <c r="N1918">
        <f t="shared" si="292"/>
        <v>0</v>
      </c>
      <c r="O1918">
        <f t="shared" si="293"/>
        <v>0</v>
      </c>
      <c r="P1918">
        <f t="shared" si="294"/>
        <v>0</v>
      </c>
      <c r="Q1918">
        <f t="shared" si="295"/>
        <v>0</v>
      </c>
      <c r="R1918">
        <f t="shared" si="296"/>
        <v>0</v>
      </c>
      <c r="S1918">
        <f t="shared" si="297"/>
        <v>0</v>
      </c>
      <c r="T1918">
        <f t="shared" si="299"/>
        <v>0</v>
      </c>
      <c r="U1918">
        <f t="shared" si="298"/>
        <v>0</v>
      </c>
    </row>
    <row r="1919" spans="1:21" x14ac:dyDescent="0.25">
      <c r="A1919" s="96">
        <v>1918</v>
      </c>
      <c r="B1919">
        <v>3024</v>
      </c>
      <c r="C1919" t="s">
        <v>163</v>
      </c>
      <c r="D1919">
        <v>26.96</v>
      </c>
      <c r="E1919" s="89" t="s">
        <v>582</v>
      </c>
      <c r="F1919">
        <v>2475.91</v>
      </c>
      <c r="G1919">
        <v>160.12</v>
      </c>
      <c r="H1919" s="80">
        <v>70960.33</v>
      </c>
      <c r="I1919" s="80">
        <v>18763.93</v>
      </c>
      <c r="J1919">
        <v>84.62</v>
      </c>
      <c r="K1919" s="80">
        <v>8908.85</v>
      </c>
      <c r="L1919">
        <f t="shared" si="290"/>
        <v>0</v>
      </c>
      <c r="M1919">
        <f t="shared" si="291"/>
        <v>1</v>
      </c>
      <c r="N1919">
        <f t="shared" si="292"/>
        <v>0</v>
      </c>
      <c r="O1919">
        <f t="shared" si="293"/>
        <v>0</v>
      </c>
      <c r="P1919">
        <f t="shared" si="294"/>
        <v>0</v>
      </c>
      <c r="Q1919">
        <f t="shared" si="295"/>
        <v>0</v>
      </c>
      <c r="R1919">
        <f t="shared" si="296"/>
        <v>0</v>
      </c>
      <c r="S1919">
        <f t="shared" si="297"/>
        <v>0</v>
      </c>
      <c r="T1919">
        <f t="shared" si="299"/>
        <v>1</v>
      </c>
      <c r="U1919">
        <f t="shared" si="298"/>
        <v>1</v>
      </c>
    </row>
    <row r="1920" spans="1:21" x14ac:dyDescent="0.25">
      <c r="A1920" s="96">
        <v>1919</v>
      </c>
      <c r="B1920">
        <v>3024</v>
      </c>
      <c r="C1920" t="s">
        <v>181</v>
      </c>
      <c r="D1920">
        <v>15.03</v>
      </c>
      <c r="E1920" s="89" t="s">
        <v>582</v>
      </c>
      <c r="F1920">
        <v>1.2</v>
      </c>
      <c r="G1920">
        <v>67.709999999999994</v>
      </c>
      <c r="H1920">
        <v>15.53</v>
      </c>
      <c r="I1920">
        <v>624.28</v>
      </c>
      <c r="J1920">
        <v>36.64</v>
      </c>
      <c r="K1920">
        <v>9.73</v>
      </c>
      <c r="L1920">
        <f t="shared" si="290"/>
        <v>0</v>
      </c>
      <c r="M1920">
        <f t="shared" si="291"/>
        <v>1</v>
      </c>
      <c r="N1920">
        <f t="shared" si="292"/>
        <v>0</v>
      </c>
      <c r="O1920">
        <f t="shared" si="293"/>
        <v>0</v>
      </c>
      <c r="P1920">
        <f t="shared" si="294"/>
        <v>0</v>
      </c>
      <c r="Q1920">
        <f t="shared" si="295"/>
        <v>0</v>
      </c>
      <c r="R1920">
        <f t="shared" si="296"/>
        <v>0</v>
      </c>
      <c r="S1920">
        <f t="shared" si="297"/>
        <v>0</v>
      </c>
      <c r="T1920">
        <f t="shared" si="299"/>
        <v>1</v>
      </c>
      <c r="U1920">
        <f t="shared" si="298"/>
        <v>1</v>
      </c>
    </row>
    <row r="1921" spans="1:21" x14ac:dyDescent="0.25">
      <c r="A1921" s="96">
        <v>1920</v>
      </c>
      <c r="B1921">
        <v>3024</v>
      </c>
      <c r="C1921" t="s">
        <v>183</v>
      </c>
      <c r="D1921">
        <v>15.03</v>
      </c>
      <c r="E1921" s="80">
        <v>50010.13</v>
      </c>
      <c r="F1921">
        <v>524.33000000000004</v>
      </c>
      <c r="G1921">
        <v>67.709999999999994</v>
      </c>
      <c r="H1921">
        <v>6481.44</v>
      </c>
      <c r="I1921" s="80">
        <v>20868.12</v>
      </c>
      <c r="J1921">
        <v>46.23</v>
      </c>
      <c r="K1921">
        <v>1327.35</v>
      </c>
      <c r="L1921">
        <f t="shared" si="290"/>
        <v>0</v>
      </c>
      <c r="M1921">
        <f t="shared" si="291"/>
        <v>0</v>
      </c>
      <c r="N1921">
        <f t="shared" si="292"/>
        <v>0</v>
      </c>
      <c r="O1921">
        <f t="shared" si="293"/>
        <v>0</v>
      </c>
      <c r="P1921">
        <f t="shared" si="294"/>
        <v>0</v>
      </c>
      <c r="Q1921">
        <f t="shared" si="295"/>
        <v>0</v>
      </c>
      <c r="R1921">
        <f t="shared" si="296"/>
        <v>0</v>
      </c>
      <c r="S1921">
        <f t="shared" si="297"/>
        <v>0</v>
      </c>
      <c r="T1921">
        <f t="shared" si="299"/>
        <v>0</v>
      </c>
      <c r="U1921">
        <f t="shared" si="298"/>
        <v>0</v>
      </c>
    </row>
    <row r="1922" spans="1:21" x14ac:dyDescent="0.25">
      <c r="A1922" s="96">
        <v>1921</v>
      </c>
      <c r="B1922">
        <v>3024</v>
      </c>
      <c r="C1922" t="s">
        <v>186</v>
      </c>
      <c r="D1922">
        <v>23.37</v>
      </c>
      <c r="E1922" s="80">
        <v>50786.93</v>
      </c>
      <c r="F1922">
        <v>1618.76</v>
      </c>
      <c r="G1922">
        <v>141.30000000000001</v>
      </c>
      <c r="H1922" s="80">
        <v>30950.78</v>
      </c>
      <c r="I1922" s="80">
        <v>22104.880000000001</v>
      </c>
      <c r="J1922">
        <v>66.61</v>
      </c>
      <c r="K1922">
        <v>3942.29</v>
      </c>
      <c r="L1922">
        <f t="shared" ref="L1922:L1985" si="300">IF(D1922 = "OOR &gt;", 1,0)</f>
        <v>0</v>
      </c>
      <c r="M1922">
        <f t="shared" ref="M1922:M1985" si="301">IF(E1922 = "OOR &gt;", 1,0)</f>
        <v>0</v>
      </c>
      <c r="N1922">
        <f t="shared" ref="N1922:N1985" si="302">IF(F1922 = "OOR &gt;", 1,0)</f>
        <v>0</v>
      </c>
      <c r="O1922">
        <f t="shared" ref="O1922:O1985" si="303">IF(G1922 = "OOR &gt;", 1,0)</f>
        <v>0</v>
      </c>
      <c r="P1922">
        <f t="shared" ref="P1922:P1985" si="304">IF(H1922 = "OOR &gt;", 1,0)</f>
        <v>0</v>
      </c>
      <c r="Q1922">
        <f t="shared" ref="Q1922:Q1985" si="305">IF(I1922 = "OOR &gt;", 1,0)</f>
        <v>0</v>
      </c>
      <c r="R1922">
        <f t="shared" ref="R1922:R1985" si="306">IF(J1922 = "OOR &gt;", 1,0)</f>
        <v>0</v>
      </c>
      <c r="S1922">
        <f t="shared" ref="S1922:S1985" si="307">IF(K1922 = "OOR &gt;", 1,0)</f>
        <v>0</v>
      </c>
      <c r="T1922">
        <f t="shared" si="299"/>
        <v>0</v>
      </c>
      <c r="U1922">
        <f t="shared" ref="U1922:U1985" si="308">IF(T1922 &gt; 0,1,0)</f>
        <v>0</v>
      </c>
    </row>
    <row r="1923" spans="1:21" x14ac:dyDescent="0.25">
      <c r="A1923" s="96">
        <v>1922</v>
      </c>
      <c r="B1923">
        <v>3024</v>
      </c>
      <c r="C1923" t="s">
        <v>188</v>
      </c>
      <c r="D1923">
        <v>25.15</v>
      </c>
      <c r="E1923" s="80">
        <v>67806.33</v>
      </c>
      <c r="F1923">
        <v>306.24</v>
      </c>
      <c r="G1923">
        <v>123.12</v>
      </c>
      <c r="H1923" s="80">
        <v>25228.639999999999</v>
      </c>
      <c r="I1923" s="80">
        <v>19359.25</v>
      </c>
      <c r="J1923">
        <v>84.62</v>
      </c>
      <c r="K1923">
        <v>6744.55</v>
      </c>
      <c r="L1923">
        <f t="shared" si="300"/>
        <v>0</v>
      </c>
      <c r="M1923">
        <f t="shared" si="301"/>
        <v>0</v>
      </c>
      <c r="N1923">
        <f t="shared" si="302"/>
        <v>0</v>
      </c>
      <c r="O1923">
        <f t="shared" si="303"/>
        <v>0</v>
      </c>
      <c r="P1923">
        <f t="shared" si="304"/>
        <v>0</v>
      </c>
      <c r="Q1923">
        <f t="shared" si="305"/>
        <v>0</v>
      </c>
      <c r="R1923">
        <f t="shared" si="306"/>
        <v>0</v>
      </c>
      <c r="S1923">
        <f t="shared" si="307"/>
        <v>0</v>
      </c>
      <c r="T1923">
        <f t="shared" ref="T1923:T1986" si="309">SUMIF(L1923:S1923,"&gt;0")</f>
        <v>0</v>
      </c>
      <c r="U1923">
        <f t="shared" si="308"/>
        <v>0</v>
      </c>
    </row>
    <row r="1924" spans="1:21" x14ac:dyDescent="0.25">
      <c r="A1924" s="96">
        <v>1923</v>
      </c>
      <c r="B1924">
        <v>3024</v>
      </c>
      <c r="C1924" t="s">
        <v>182</v>
      </c>
      <c r="D1924">
        <v>18.25</v>
      </c>
      <c r="E1924">
        <v>19367.11</v>
      </c>
      <c r="F1924">
        <v>579.57000000000005</v>
      </c>
      <c r="G1924">
        <v>78.09</v>
      </c>
      <c r="H1924" s="80">
        <v>29909.13</v>
      </c>
      <c r="I1924" s="80">
        <v>20276.560000000001</v>
      </c>
      <c r="J1924">
        <v>84.62</v>
      </c>
      <c r="K1924" s="80">
        <v>13884.37</v>
      </c>
      <c r="L1924">
        <f t="shared" si="300"/>
        <v>0</v>
      </c>
      <c r="M1924">
        <f t="shared" si="301"/>
        <v>0</v>
      </c>
      <c r="N1924">
        <f t="shared" si="302"/>
        <v>0</v>
      </c>
      <c r="O1924">
        <f t="shared" si="303"/>
        <v>0</v>
      </c>
      <c r="P1924">
        <f t="shared" si="304"/>
        <v>0</v>
      </c>
      <c r="Q1924">
        <f t="shared" si="305"/>
        <v>0</v>
      </c>
      <c r="R1924">
        <f t="shared" si="306"/>
        <v>0</v>
      </c>
      <c r="S1924">
        <f t="shared" si="307"/>
        <v>0</v>
      </c>
      <c r="T1924">
        <f t="shared" si="309"/>
        <v>0</v>
      </c>
      <c r="U1924">
        <f t="shared" si="308"/>
        <v>0</v>
      </c>
    </row>
    <row r="1925" spans="1:21" x14ac:dyDescent="0.25">
      <c r="A1925" s="96">
        <v>1924</v>
      </c>
      <c r="B1925">
        <v>3024</v>
      </c>
      <c r="C1925" t="s">
        <v>184</v>
      </c>
      <c r="D1925">
        <v>34.53</v>
      </c>
      <c r="E1925" s="80">
        <v>33108.879999999997</v>
      </c>
      <c r="F1925">
        <v>549.65</v>
      </c>
      <c r="G1925">
        <v>78.09</v>
      </c>
      <c r="H1925" s="80">
        <v>304010.49</v>
      </c>
      <c r="I1925" s="80">
        <v>20916.57</v>
      </c>
      <c r="J1925">
        <v>66.61</v>
      </c>
      <c r="K1925">
        <v>344.35</v>
      </c>
      <c r="L1925">
        <f t="shared" si="300"/>
        <v>0</v>
      </c>
      <c r="M1925">
        <f t="shared" si="301"/>
        <v>0</v>
      </c>
      <c r="N1925">
        <f t="shared" si="302"/>
        <v>0</v>
      </c>
      <c r="O1925">
        <f t="shared" si="303"/>
        <v>0</v>
      </c>
      <c r="P1925">
        <f t="shared" si="304"/>
        <v>0</v>
      </c>
      <c r="Q1925">
        <f t="shared" si="305"/>
        <v>0</v>
      </c>
      <c r="R1925">
        <f t="shared" si="306"/>
        <v>0</v>
      </c>
      <c r="S1925">
        <f t="shared" si="307"/>
        <v>0</v>
      </c>
      <c r="T1925">
        <f t="shared" si="309"/>
        <v>0</v>
      </c>
      <c r="U1925">
        <f t="shared" si="308"/>
        <v>0</v>
      </c>
    </row>
    <row r="1926" spans="1:21" x14ac:dyDescent="0.25">
      <c r="A1926" s="96">
        <v>1925</v>
      </c>
      <c r="B1926">
        <v>3024</v>
      </c>
      <c r="C1926" t="s">
        <v>187</v>
      </c>
      <c r="D1926">
        <v>89.75</v>
      </c>
      <c r="E1926" s="80">
        <v>36838</v>
      </c>
      <c r="F1926">
        <v>1021.16</v>
      </c>
      <c r="G1926">
        <v>94.34</v>
      </c>
      <c r="H1926" s="84">
        <v>1073400</v>
      </c>
      <c r="I1926" s="80">
        <v>21331.77</v>
      </c>
      <c r="J1926">
        <v>88.32</v>
      </c>
      <c r="K1926">
        <v>3533.6</v>
      </c>
      <c r="L1926">
        <f t="shared" si="300"/>
        <v>0</v>
      </c>
      <c r="M1926">
        <f t="shared" si="301"/>
        <v>0</v>
      </c>
      <c r="N1926">
        <f t="shared" si="302"/>
        <v>0</v>
      </c>
      <c r="O1926">
        <f t="shared" si="303"/>
        <v>0</v>
      </c>
      <c r="P1926">
        <f t="shared" si="304"/>
        <v>0</v>
      </c>
      <c r="Q1926">
        <f t="shared" si="305"/>
        <v>0</v>
      </c>
      <c r="R1926">
        <f t="shared" si="306"/>
        <v>0</v>
      </c>
      <c r="S1926">
        <f t="shared" si="307"/>
        <v>0</v>
      </c>
      <c r="T1926">
        <f t="shared" si="309"/>
        <v>0</v>
      </c>
      <c r="U1926">
        <f t="shared" si="308"/>
        <v>0</v>
      </c>
    </row>
    <row r="1927" spans="1:21" x14ac:dyDescent="0.25">
      <c r="A1927" s="96">
        <v>1926</v>
      </c>
      <c r="B1927">
        <v>3024</v>
      </c>
      <c r="C1927" t="s">
        <v>189</v>
      </c>
      <c r="D1927">
        <v>42.56</v>
      </c>
      <c r="E1927" s="80">
        <v>39254.82</v>
      </c>
      <c r="F1927">
        <v>186.36</v>
      </c>
      <c r="G1927">
        <v>111.37</v>
      </c>
      <c r="H1927" s="89" t="s">
        <v>582</v>
      </c>
      <c r="I1927" s="80">
        <v>19168.13</v>
      </c>
      <c r="J1927">
        <v>109.21</v>
      </c>
      <c r="K1927" s="80">
        <v>12917.01</v>
      </c>
      <c r="L1927">
        <f t="shared" si="300"/>
        <v>0</v>
      </c>
      <c r="M1927">
        <f t="shared" si="301"/>
        <v>0</v>
      </c>
      <c r="N1927">
        <f t="shared" si="302"/>
        <v>0</v>
      </c>
      <c r="O1927">
        <f t="shared" si="303"/>
        <v>0</v>
      </c>
      <c r="P1927">
        <f t="shared" si="304"/>
        <v>1</v>
      </c>
      <c r="Q1927">
        <f t="shared" si="305"/>
        <v>0</v>
      </c>
      <c r="R1927">
        <f t="shared" si="306"/>
        <v>0</v>
      </c>
      <c r="S1927">
        <f t="shared" si="307"/>
        <v>0</v>
      </c>
      <c r="T1927">
        <f t="shared" si="309"/>
        <v>1</v>
      </c>
      <c r="U1927">
        <f t="shared" si="308"/>
        <v>1</v>
      </c>
    </row>
    <row r="1928" spans="1:21" x14ac:dyDescent="0.25">
      <c r="A1928" s="96">
        <v>1927</v>
      </c>
      <c r="B1928">
        <v>3023</v>
      </c>
      <c r="C1928" t="s">
        <v>162</v>
      </c>
      <c r="D1928">
        <v>2.0499999999999998</v>
      </c>
      <c r="E1928">
        <v>17587.96</v>
      </c>
      <c r="F1928">
        <v>0.81</v>
      </c>
      <c r="G1928">
        <v>22.59</v>
      </c>
      <c r="H1928">
        <v>0.77</v>
      </c>
      <c r="I1928">
        <v>8.51</v>
      </c>
      <c r="J1928">
        <v>13.66</v>
      </c>
      <c r="K1928">
        <v>4.62</v>
      </c>
      <c r="L1928">
        <f t="shared" si="300"/>
        <v>0</v>
      </c>
      <c r="M1928">
        <f t="shared" si="301"/>
        <v>0</v>
      </c>
      <c r="N1928">
        <f t="shared" si="302"/>
        <v>0</v>
      </c>
      <c r="O1928">
        <f t="shared" si="303"/>
        <v>0</v>
      </c>
      <c r="P1928">
        <f t="shared" si="304"/>
        <v>0</v>
      </c>
      <c r="Q1928">
        <f t="shared" si="305"/>
        <v>0</v>
      </c>
      <c r="R1928">
        <f t="shared" si="306"/>
        <v>0</v>
      </c>
      <c r="S1928">
        <f t="shared" si="307"/>
        <v>0</v>
      </c>
      <c r="T1928">
        <f t="shared" si="309"/>
        <v>0</v>
      </c>
      <c r="U1928">
        <f t="shared" si="308"/>
        <v>0</v>
      </c>
    </row>
    <row r="1929" spans="1:21" x14ac:dyDescent="0.25">
      <c r="A1929" s="96">
        <v>1928</v>
      </c>
      <c r="B1929">
        <v>3023</v>
      </c>
      <c r="C1929" t="s">
        <v>170</v>
      </c>
      <c r="D1929">
        <v>10.53</v>
      </c>
      <c r="E1929">
        <v>24607.91</v>
      </c>
      <c r="F1929">
        <v>274.79000000000002</v>
      </c>
      <c r="G1929">
        <v>67.709999999999994</v>
      </c>
      <c r="H1929">
        <v>2177.9699999999998</v>
      </c>
      <c r="I1929" s="80">
        <v>15605.82</v>
      </c>
      <c r="J1929">
        <v>27.52</v>
      </c>
      <c r="K1929">
        <v>834.93</v>
      </c>
      <c r="L1929">
        <f t="shared" si="300"/>
        <v>0</v>
      </c>
      <c r="M1929">
        <f t="shared" si="301"/>
        <v>0</v>
      </c>
      <c r="N1929">
        <f t="shared" si="302"/>
        <v>0</v>
      </c>
      <c r="O1929">
        <f t="shared" si="303"/>
        <v>0</v>
      </c>
      <c r="P1929">
        <f t="shared" si="304"/>
        <v>0</v>
      </c>
      <c r="Q1929">
        <f t="shared" si="305"/>
        <v>0</v>
      </c>
      <c r="R1929">
        <f t="shared" si="306"/>
        <v>0</v>
      </c>
      <c r="S1929">
        <f t="shared" si="307"/>
        <v>0</v>
      </c>
      <c r="T1929">
        <f t="shared" si="309"/>
        <v>0</v>
      </c>
      <c r="U1929">
        <f t="shared" si="308"/>
        <v>0</v>
      </c>
    </row>
    <row r="1930" spans="1:21" x14ac:dyDescent="0.25">
      <c r="A1930" s="96">
        <v>1929</v>
      </c>
      <c r="B1930">
        <v>3023</v>
      </c>
      <c r="C1930" t="s">
        <v>178</v>
      </c>
      <c r="D1930">
        <v>17.43</v>
      </c>
      <c r="E1930">
        <v>22225.65</v>
      </c>
      <c r="F1930">
        <v>808.04</v>
      </c>
      <c r="G1930">
        <v>78.09</v>
      </c>
      <c r="H1930">
        <v>13616.5</v>
      </c>
      <c r="I1930" s="80">
        <v>18062.09</v>
      </c>
      <c r="J1930">
        <v>46.23</v>
      </c>
      <c r="K1930">
        <v>2719.61</v>
      </c>
      <c r="L1930">
        <f t="shared" si="300"/>
        <v>0</v>
      </c>
      <c r="M1930">
        <f t="shared" si="301"/>
        <v>0</v>
      </c>
      <c r="N1930">
        <f t="shared" si="302"/>
        <v>0</v>
      </c>
      <c r="O1930">
        <f t="shared" si="303"/>
        <v>0</v>
      </c>
      <c r="P1930">
        <f t="shared" si="304"/>
        <v>0</v>
      </c>
      <c r="Q1930">
        <f t="shared" si="305"/>
        <v>0</v>
      </c>
      <c r="R1930">
        <f t="shared" si="306"/>
        <v>0</v>
      </c>
      <c r="S1930">
        <f t="shared" si="307"/>
        <v>0</v>
      </c>
      <c r="T1930">
        <f t="shared" si="309"/>
        <v>0</v>
      </c>
      <c r="U1930">
        <f t="shared" si="308"/>
        <v>0</v>
      </c>
    </row>
    <row r="1931" spans="1:21" x14ac:dyDescent="0.25">
      <c r="A1931" s="96">
        <v>1930</v>
      </c>
      <c r="B1931">
        <v>3023</v>
      </c>
      <c r="C1931" t="s">
        <v>163</v>
      </c>
      <c r="D1931">
        <v>16.62</v>
      </c>
      <c r="E1931">
        <v>21316.77</v>
      </c>
      <c r="F1931">
        <v>1625.07</v>
      </c>
      <c r="G1931">
        <v>78.09</v>
      </c>
      <c r="H1931">
        <v>10966.81</v>
      </c>
      <c r="I1931" s="80">
        <v>18353.61</v>
      </c>
      <c r="J1931">
        <v>63.11</v>
      </c>
      <c r="K1931" s="80">
        <v>10510.53</v>
      </c>
      <c r="L1931">
        <f t="shared" si="300"/>
        <v>0</v>
      </c>
      <c r="M1931">
        <f t="shared" si="301"/>
        <v>0</v>
      </c>
      <c r="N1931">
        <f t="shared" si="302"/>
        <v>0</v>
      </c>
      <c r="O1931">
        <f t="shared" si="303"/>
        <v>0</v>
      </c>
      <c r="P1931">
        <f t="shared" si="304"/>
        <v>0</v>
      </c>
      <c r="Q1931">
        <f t="shared" si="305"/>
        <v>0</v>
      </c>
      <c r="R1931">
        <f t="shared" si="306"/>
        <v>0</v>
      </c>
      <c r="S1931">
        <f t="shared" si="307"/>
        <v>0</v>
      </c>
      <c r="T1931">
        <f t="shared" si="309"/>
        <v>0</v>
      </c>
      <c r="U1931">
        <f t="shared" si="308"/>
        <v>0</v>
      </c>
    </row>
    <row r="1932" spans="1:21" x14ac:dyDescent="0.25">
      <c r="A1932" s="96">
        <v>1931</v>
      </c>
      <c r="B1932">
        <v>3023</v>
      </c>
      <c r="C1932" t="s">
        <v>181</v>
      </c>
      <c r="D1932">
        <v>9.1199999999999992</v>
      </c>
      <c r="E1932" s="80">
        <v>76258.720000000001</v>
      </c>
      <c r="F1932">
        <v>0.94</v>
      </c>
      <c r="G1932">
        <v>30.56</v>
      </c>
      <c r="H1932">
        <v>27.55</v>
      </c>
      <c r="I1932">
        <v>170.48</v>
      </c>
      <c r="J1932">
        <v>27.52</v>
      </c>
      <c r="K1932">
        <v>43.68</v>
      </c>
      <c r="L1932">
        <f t="shared" si="300"/>
        <v>0</v>
      </c>
      <c r="M1932">
        <f t="shared" si="301"/>
        <v>0</v>
      </c>
      <c r="N1932">
        <f t="shared" si="302"/>
        <v>0</v>
      </c>
      <c r="O1932">
        <f t="shared" si="303"/>
        <v>0</v>
      </c>
      <c r="P1932">
        <f t="shared" si="304"/>
        <v>0</v>
      </c>
      <c r="Q1932">
        <f t="shared" si="305"/>
        <v>0</v>
      </c>
      <c r="R1932">
        <f t="shared" si="306"/>
        <v>0</v>
      </c>
      <c r="S1932">
        <f t="shared" si="307"/>
        <v>0</v>
      </c>
      <c r="T1932">
        <f t="shared" si="309"/>
        <v>0</v>
      </c>
      <c r="U1932">
        <f t="shared" si="308"/>
        <v>0</v>
      </c>
    </row>
    <row r="1933" spans="1:21" x14ac:dyDescent="0.25">
      <c r="A1933" s="96">
        <v>1932</v>
      </c>
      <c r="B1933">
        <v>3023</v>
      </c>
      <c r="C1933" t="s">
        <v>183</v>
      </c>
      <c r="D1933">
        <v>16.62</v>
      </c>
      <c r="E1933" s="80">
        <v>33695.68</v>
      </c>
      <c r="F1933">
        <v>802.11</v>
      </c>
      <c r="G1933">
        <v>88.83</v>
      </c>
      <c r="H1933">
        <v>9879.11</v>
      </c>
      <c r="I1933" s="80">
        <v>21829.05</v>
      </c>
      <c r="J1933">
        <v>59.65</v>
      </c>
      <c r="K1933">
        <v>5491.12</v>
      </c>
      <c r="L1933">
        <f t="shared" si="300"/>
        <v>0</v>
      </c>
      <c r="M1933">
        <f t="shared" si="301"/>
        <v>0</v>
      </c>
      <c r="N1933">
        <f t="shared" si="302"/>
        <v>0</v>
      </c>
      <c r="O1933">
        <f t="shared" si="303"/>
        <v>0</v>
      </c>
      <c r="P1933">
        <f t="shared" si="304"/>
        <v>0</v>
      </c>
      <c r="Q1933">
        <f t="shared" si="305"/>
        <v>0</v>
      </c>
      <c r="R1933">
        <f t="shared" si="306"/>
        <v>0</v>
      </c>
      <c r="S1933">
        <f t="shared" si="307"/>
        <v>0</v>
      </c>
      <c r="T1933">
        <f t="shared" si="309"/>
        <v>0</v>
      </c>
      <c r="U1933">
        <f t="shared" si="308"/>
        <v>0</v>
      </c>
    </row>
    <row r="1934" spans="1:21" x14ac:dyDescent="0.25">
      <c r="A1934" s="96">
        <v>1933</v>
      </c>
      <c r="B1934">
        <v>3023</v>
      </c>
      <c r="C1934" t="s">
        <v>186</v>
      </c>
      <c r="D1934">
        <v>26.05</v>
      </c>
      <c r="E1934" s="80">
        <v>29930.13</v>
      </c>
      <c r="F1934">
        <v>1303.8599999999999</v>
      </c>
      <c r="G1934">
        <v>111.37</v>
      </c>
      <c r="H1934" s="80">
        <v>46998.22</v>
      </c>
      <c r="I1934" s="80">
        <v>22130.73</v>
      </c>
      <c r="J1934">
        <v>71.92</v>
      </c>
      <c r="K1934" s="80">
        <v>11362.21</v>
      </c>
      <c r="L1934">
        <f t="shared" si="300"/>
        <v>0</v>
      </c>
      <c r="M1934">
        <f t="shared" si="301"/>
        <v>0</v>
      </c>
      <c r="N1934">
        <f t="shared" si="302"/>
        <v>0</v>
      </c>
      <c r="O1934">
        <f t="shared" si="303"/>
        <v>0</v>
      </c>
      <c r="P1934">
        <f t="shared" si="304"/>
        <v>0</v>
      </c>
      <c r="Q1934">
        <f t="shared" si="305"/>
        <v>0</v>
      </c>
      <c r="R1934">
        <f t="shared" si="306"/>
        <v>0</v>
      </c>
      <c r="S1934">
        <f t="shared" si="307"/>
        <v>0</v>
      </c>
      <c r="T1934">
        <f t="shared" si="309"/>
        <v>0</v>
      </c>
      <c r="U1934">
        <f t="shared" si="308"/>
        <v>0</v>
      </c>
    </row>
    <row r="1935" spans="1:21" x14ac:dyDescent="0.25">
      <c r="A1935" s="96">
        <v>1934</v>
      </c>
      <c r="B1935">
        <v>3023</v>
      </c>
      <c r="C1935" t="s">
        <v>188</v>
      </c>
      <c r="D1935">
        <v>25.15</v>
      </c>
      <c r="E1935" s="80">
        <v>26549.87</v>
      </c>
      <c r="F1935">
        <v>630.65</v>
      </c>
      <c r="G1935">
        <v>111.37</v>
      </c>
      <c r="H1935" s="80">
        <v>43859.08</v>
      </c>
      <c r="I1935" s="80">
        <v>22090.01</v>
      </c>
      <c r="J1935">
        <v>86.47</v>
      </c>
      <c r="K1935" s="80">
        <v>22291.47</v>
      </c>
      <c r="L1935">
        <f t="shared" si="300"/>
        <v>0</v>
      </c>
      <c r="M1935">
        <f t="shared" si="301"/>
        <v>0</v>
      </c>
      <c r="N1935">
        <f t="shared" si="302"/>
        <v>0</v>
      </c>
      <c r="O1935">
        <f t="shared" si="303"/>
        <v>0</v>
      </c>
      <c r="P1935">
        <f t="shared" si="304"/>
        <v>0</v>
      </c>
      <c r="Q1935">
        <f t="shared" si="305"/>
        <v>0</v>
      </c>
      <c r="R1935">
        <f t="shared" si="306"/>
        <v>0</v>
      </c>
      <c r="S1935">
        <f t="shared" si="307"/>
        <v>0</v>
      </c>
      <c r="T1935">
        <f t="shared" si="309"/>
        <v>0</v>
      </c>
      <c r="U1935">
        <f t="shared" si="308"/>
        <v>0</v>
      </c>
    </row>
    <row r="1936" spans="1:21" x14ac:dyDescent="0.25">
      <c r="A1936" s="96">
        <v>1935</v>
      </c>
      <c r="B1936">
        <v>3023</v>
      </c>
      <c r="C1936" t="s">
        <v>182</v>
      </c>
      <c r="D1936">
        <v>1.18</v>
      </c>
      <c r="E1936">
        <v>5904.87</v>
      </c>
      <c r="F1936">
        <v>0.52</v>
      </c>
      <c r="G1936" s="80">
        <v>3.44</v>
      </c>
      <c r="H1936">
        <v>13.6</v>
      </c>
      <c r="I1936">
        <v>322.14</v>
      </c>
      <c r="J1936">
        <v>8.74</v>
      </c>
      <c r="K1936">
        <v>4.42</v>
      </c>
      <c r="L1936">
        <f t="shared" si="300"/>
        <v>0</v>
      </c>
      <c r="M1936">
        <f t="shared" si="301"/>
        <v>0</v>
      </c>
      <c r="N1936">
        <f t="shared" si="302"/>
        <v>0</v>
      </c>
      <c r="O1936">
        <f t="shared" si="303"/>
        <v>0</v>
      </c>
      <c r="P1936">
        <f t="shared" si="304"/>
        <v>0</v>
      </c>
      <c r="Q1936">
        <f t="shared" si="305"/>
        <v>0</v>
      </c>
      <c r="R1936">
        <f t="shared" si="306"/>
        <v>0</v>
      </c>
      <c r="S1936">
        <f t="shared" si="307"/>
        <v>0</v>
      </c>
      <c r="T1936">
        <f t="shared" si="309"/>
        <v>0</v>
      </c>
      <c r="U1936">
        <f t="shared" si="308"/>
        <v>0</v>
      </c>
    </row>
    <row r="1937" spans="1:21" x14ac:dyDescent="0.25">
      <c r="A1937" s="96">
        <v>1936</v>
      </c>
      <c r="B1937">
        <v>3023</v>
      </c>
      <c r="C1937" t="s">
        <v>184</v>
      </c>
      <c r="D1937">
        <v>11.98</v>
      </c>
      <c r="E1937" s="80">
        <v>41239.64</v>
      </c>
      <c r="F1937">
        <v>110.72</v>
      </c>
      <c r="G1937">
        <v>48.19</v>
      </c>
      <c r="H1937">
        <v>5818.74</v>
      </c>
      <c r="I1937" s="80">
        <v>15811.64</v>
      </c>
      <c r="J1937">
        <v>39.79</v>
      </c>
      <c r="K1937">
        <v>642.71</v>
      </c>
      <c r="L1937">
        <f t="shared" si="300"/>
        <v>0</v>
      </c>
      <c r="M1937">
        <f t="shared" si="301"/>
        <v>0</v>
      </c>
      <c r="N1937">
        <f t="shared" si="302"/>
        <v>0</v>
      </c>
      <c r="O1937">
        <f t="shared" si="303"/>
        <v>0</v>
      </c>
      <c r="P1937">
        <f t="shared" si="304"/>
        <v>0</v>
      </c>
      <c r="Q1937">
        <f t="shared" si="305"/>
        <v>0</v>
      </c>
      <c r="R1937">
        <f t="shared" si="306"/>
        <v>0</v>
      </c>
      <c r="S1937">
        <f t="shared" si="307"/>
        <v>0</v>
      </c>
      <c r="T1937">
        <f t="shared" si="309"/>
        <v>0</v>
      </c>
      <c r="U1937">
        <f t="shared" si="308"/>
        <v>0</v>
      </c>
    </row>
    <row r="1938" spans="1:21" x14ac:dyDescent="0.25">
      <c r="A1938" s="96">
        <v>1937</v>
      </c>
      <c r="B1938">
        <v>3023</v>
      </c>
      <c r="C1938" t="s">
        <v>187</v>
      </c>
      <c r="D1938">
        <v>32.590000000000003</v>
      </c>
      <c r="E1938" s="80">
        <v>51396.42</v>
      </c>
      <c r="F1938">
        <v>346.69</v>
      </c>
      <c r="G1938">
        <v>99.94</v>
      </c>
      <c r="H1938" s="80">
        <v>21919.119999999999</v>
      </c>
      <c r="I1938" s="80">
        <v>17085.259999999998</v>
      </c>
      <c r="J1938">
        <v>63.11</v>
      </c>
      <c r="K1938">
        <v>3914.48</v>
      </c>
      <c r="L1938">
        <f t="shared" si="300"/>
        <v>0</v>
      </c>
      <c r="M1938">
        <f t="shared" si="301"/>
        <v>0</v>
      </c>
      <c r="N1938">
        <f t="shared" si="302"/>
        <v>0</v>
      </c>
      <c r="O1938">
        <f t="shared" si="303"/>
        <v>0</v>
      </c>
      <c r="P1938">
        <f t="shared" si="304"/>
        <v>0</v>
      </c>
      <c r="Q1938">
        <f t="shared" si="305"/>
        <v>0</v>
      </c>
      <c r="R1938">
        <f t="shared" si="306"/>
        <v>0</v>
      </c>
      <c r="S1938">
        <f t="shared" si="307"/>
        <v>0</v>
      </c>
      <c r="T1938">
        <f t="shared" si="309"/>
        <v>0</v>
      </c>
      <c r="U1938">
        <f t="shared" si="308"/>
        <v>0</v>
      </c>
    </row>
    <row r="1939" spans="1:21" x14ac:dyDescent="0.25">
      <c r="A1939" s="96">
        <v>1938</v>
      </c>
      <c r="B1939">
        <v>3023</v>
      </c>
      <c r="C1939" t="s">
        <v>189</v>
      </c>
      <c r="D1939">
        <v>15.03</v>
      </c>
      <c r="E1939" s="80">
        <v>34018.35</v>
      </c>
      <c r="F1939">
        <v>62.65</v>
      </c>
      <c r="G1939">
        <v>67.709999999999994</v>
      </c>
      <c r="H1939">
        <v>8299.2000000000007</v>
      </c>
      <c r="I1939" s="80">
        <v>14809.79</v>
      </c>
      <c r="J1939">
        <v>52.86</v>
      </c>
      <c r="K1939">
        <v>7498.69</v>
      </c>
      <c r="L1939">
        <f t="shared" si="300"/>
        <v>0</v>
      </c>
      <c r="M1939">
        <f t="shared" si="301"/>
        <v>0</v>
      </c>
      <c r="N1939">
        <f t="shared" si="302"/>
        <v>0</v>
      </c>
      <c r="O1939">
        <f t="shared" si="303"/>
        <v>0</v>
      </c>
      <c r="P1939">
        <f t="shared" si="304"/>
        <v>0</v>
      </c>
      <c r="Q1939">
        <f t="shared" si="305"/>
        <v>0</v>
      </c>
      <c r="R1939">
        <f t="shared" si="306"/>
        <v>0</v>
      </c>
      <c r="S1939">
        <f t="shared" si="307"/>
        <v>0</v>
      </c>
      <c r="T1939">
        <f t="shared" si="309"/>
        <v>0</v>
      </c>
      <c r="U1939">
        <f t="shared" si="308"/>
        <v>0</v>
      </c>
    </row>
    <row r="1940" spans="1:21" x14ac:dyDescent="0.25">
      <c r="A1940" s="96">
        <v>1939</v>
      </c>
      <c r="B1940">
        <v>3019</v>
      </c>
      <c r="C1940" t="s">
        <v>162</v>
      </c>
      <c r="D1940">
        <v>1.18</v>
      </c>
      <c r="E1940">
        <v>4650.41</v>
      </c>
      <c r="F1940">
        <v>0.6</v>
      </c>
      <c r="G1940">
        <v>5.97</v>
      </c>
      <c r="H1940">
        <v>2.0499999999999998</v>
      </c>
      <c r="I1940">
        <v>14.08</v>
      </c>
      <c r="J1940">
        <v>8.74</v>
      </c>
      <c r="K1940">
        <v>2.19</v>
      </c>
      <c r="L1940">
        <f t="shared" si="300"/>
        <v>0</v>
      </c>
      <c r="M1940">
        <f t="shared" si="301"/>
        <v>0</v>
      </c>
      <c r="N1940">
        <f t="shared" si="302"/>
        <v>0</v>
      </c>
      <c r="O1940">
        <f t="shared" si="303"/>
        <v>0</v>
      </c>
      <c r="P1940">
        <f t="shared" si="304"/>
        <v>0</v>
      </c>
      <c r="Q1940">
        <f t="shared" si="305"/>
        <v>0</v>
      </c>
      <c r="R1940">
        <f t="shared" si="306"/>
        <v>0</v>
      </c>
      <c r="S1940">
        <f t="shared" si="307"/>
        <v>0</v>
      </c>
      <c r="T1940">
        <f t="shared" si="309"/>
        <v>0</v>
      </c>
      <c r="U1940">
        <f t="shared" si="308"/>
        <v>0</v>
      </c>
    </row>
    <row r="1941" spans="1:21" x14ac:dyDescent="0.25">
      <c r="A1941" s="96">
        <v>1940</v>
      </c>
      <c r="B1941">
        <v>3019</v>
      </c>
      <c r="C1941" t="s">
        <v>170</v>
      </c>
      <c r="D1941">
        <v>13.48</v>
      </c>
      <c r="E1941">
        <v>22420.720000000001</v>
      </c>
      <c r="F1941">
        <v>165.45</v>
      </c>
      <c r="G1941">
        <v>78.09</v>
      </c>
      <c r="H1941">
        <v>761.68</v>
      </c>
      <c r="I1941" s="80">
        <v>16979.310000000001</v>
      </c>
      <c r="J1941">
        <v>30.5</v>
      </c>
      <c r="K1941">
        <v>545.34</v>
      </c>
      <c r="L1941">
        <f t="shared" si="300"/>
        <v>0</v>
      </c>
      <c r="M1941">
        <f t="shared" si="301"/>
        <v>0</v>
      </c>
      <c r="N1941">
        <f t="shared" si="302"/>
        <v>0</v>
      </c>
      <c r="O1941">
        <f t="shared" si="303"/>
        <v>0</v>
      </c>
      <c r="P1941">
        <f t="shared" si="304"/>
        <v>0</v>
      </c>
      <c r="Q1941">
        <f t="shared" si="305"/>
        <v>0</v>
      </c>
      <c r="R1941">
        <f t="shared" si="306"/>
        <v>0</v>
      </c>
      <c r="S1941">
        <f t="shared" si="307"/>
        <v>0</v>
      </c>
      <c r="T1941">
        <f t="shared" si="309"/>
        <v>0</v>
      </c>
      <c r="U1941">
        <f t="shared" si="308"/>
        <v>0</v>
      </c>
    </row>
    <row r="1942" spans="1:21" x14ac:dyDescent="0.25">
      <c r="A1942" s="96">
        <v>1941</v>
      </c>
      <c r="B1942">
        <v>3019</v>
      </c>
      <c r="C1942" t="s">
        <v>178</v>
      </c>
      <c r="D1942">
        <v>16.62</v>
      </c>
      <c r="E1942">
        <v>24666.67</v>
      </c>
      <c r="F1942">
        <v>1166.5</v>
      </c>
      <c r="G1942">
        <v>111.37</v>
      </c>
      <c r="H1942" s="80">
        <v>16584.830000000002</v>
      </c>
      <c r="I1942" s="80">
        <v>20077.28</v>
      </c>
      <c r="J1942">
        <v>56.23</v>
      </c>
      <c r="K1942">
        <v>3485.98</v>
      </c>
      <c r="L1942">
        <f t="shared" si="300"/>
        <v>0</v>
      </c>
      <c r="M1942">
        <f t="shared" si="301"/>
        <v>0</v>
      </c>
      <c r="N1942">
        <f t="shared" si="302"/>
        <v>0</v>
      </c>
      <c r="O1942">
        <f t="shared" si="303"/>
        <v>0</v>
      </c>
      <c r="P1942">
        <f t="shared" si="304"/>
        <v>0</v>
      </c>
      <c r="Q1942">
        <f t="shared" si="305"/>
        <v>0</v>
      </c>
      <c r="R1942">
        <f t="shared" si="306"/>
        <v>0</v>
      </c>
      <c r="S1942">
        <f t="shared" si="307"/>
        <v>0</v>
      </c>
      <c r="T1942">
        <f t="shared" si="309"/>
        <v>0</v>
      </c>
      <c r="U1942">
        <f t="shared" si="308"/>
        <v>0</v>
      </c>
    </row>
    <row r="1943" spans="1:21" x14ac:dyDescent="0.25">
      <c r="A1943" s="96">
        <v>1942</v>
      </c>
      <c r="B1943">
        <v>3019</v>
      </c>
      <c r="C1943" t="s">
        <v>163</v>
      </c>
      <c r="D1943">
        <v>32.590000000000003</v>
      </c>
      <c r="E1943" s="80">
        <v>51971.42</v>
      </c>
      <c r="F1943">
        <v>963.97</v>
      </c>
      <c r="G1943">
        <v>135.16999999999999</v>
      </c>
      <c r="H1943">
        <v>9242.99</v>
      </c>
      <c r="I1943" s="80">
        <v>20660.11</v>
      </c>
      <c r="J1943">
        <v>77.31</v>
      </c>
      <c r="K1943" s="80">
        <v>19690.060000000001</v>
      </c>
      <c r="L1943">
        <f t="shared" si="300"/>
        <v>0</v>
      </c>
      <c r="M1943">
        <f t="shared" si="301"/>
        <v>0</v>
      </c>
      <c r="N1943">
        <f t="shared" si="302"/>
        <v>0</v>
      </c>
      <c r="O1943">
        <f t="shared" si="303"/>
        <v>0</v>
      </c>
      <c r="P1943">
        <f t="shared" si="304"/>
        <v>0</v>
      </c>
      <c r="Q1943">
        <f t="shared" si="305"/>
        <v>0</v>
      </c>
      <c r="R1943">
        <f t="shared" si="306"/>
        <v>0</v>
      </c>
      <c r="S1943">
        <f t="shared" si="307"/>
        <v>0</v>
      </c>
      <c r="T1943">
        <f t="shared" si="309"/>
        <v>0</v>
      </c>
      <c r="U1943">
        <f t="shared" si="308"/>
        <v>0</v>
      </c>
    </row>
    <row r="1944" spans="1:21" x14ac:dyDescent="0.25">
      <c r="A1944" s="96">
        <v>1943</v>
      </c>
      <c r="B1944">
        <v>3019</v>
      </c>
      <c r="C1944" t="s">
        <v>181</v>
      </c>
      <c r="D1944">
        <v>11.25</v>
      </c>
      <c r="E1944" s="80">
        <v>106729.01</v>
      </c>
      <c r="F1944">
        <v>0.94</v>
      </c>
      <c r="G1944">
        <v>39.119999999999997</v>
      </c>
      <c r="H1944">
        <v>86.53</v>
      </c>
      <c r="I1944">
        <v>252.89</v>
      </c>
      <c r="J1944">
        <v>30.5</v>
      </c>
      <c r="K1944">
        <v>45.72</v>
      </c>
      <c r="L1944">
        <f t="shared" si="300"/>
        <v>0</v>
      </c>
      <c r="M1944">
        <f t="shared" si="301"/>
        <v>0</v>
      </c>
      <c r="N1944">
        <f t="shared" si="302"/>
        <v>0</v>
      </c>
      <c r="O1944">
        <f t="shared" si="303"/>
        <v>0</v>
      </c>
      <c r="P1944">
        <f t="shared" si="304"/>
        <v>0</v>
      </c>
      <c r="Q1944">
        <f t="shared" si="305"/>
        <v>0</v>
      </c>
      <c r="R1944">
        <f t="shared" si="306"/>
        <v>0</v>
      </c>
      <c r="S1944">
        <f t="shared" si="307"/>
        <v>0</v>
      </c>
      <c r="T1944">
        <f t="shared" si="309"/>
        <v>0</v>
      </c>
      <c r="U1944">
        <f t="shared" si="308"/>
        <v>0</v>
      </c>
    </row>
    <row r="1945" spans="1:21" x14ac:dyDescent="0.25">
      <c r="A1945" s="96">
        <v>1944</v>
      </c>
      <c r="B1945">
        <v>3019</v>
      </c>
      <c r="C1945" t="s">
        <v>183</v>
      </c>
      <c r="D1945">
        <v>9.1199999999999992</v>
      </c>
      <c r="E1945">
        <v>24029.99</v>
      </c>
      <c r="F1945">
        <v>320.70999999999998</v>
      </c>
      <c r="G1945">
        <v>52.91</v>
      </c>
      <c r="H1945">
        <v>2342.7600000000002</v>
      </c>
      <c r="I1945" s="80">
        <v>19438.12</v>
      </c>
      <c r="J1945">
        <v>36.64</v>
      </c>
      <c r="K1945">
        <v>2545.02</v>
      </c>
      <c r="L1945">
        <f t="shared" si="300"/>
        <v>0</v>
      </c>
      <c r="M1945">
        <f t="shared" si="301"/>
        <v>0</v>
      </c>
      <c r="N1945">
        <f t="shared" si="302"/>
        <v>0</v>
      </c>
      <c r="O1945">
        <f t="shared" si="303"/>
        <v>0</v>
      </c>
      <c r="P1945">
        <f t="shared" si="304"/>
        <v>0</v>
      </c>
      <c r="Q1945">
        <f t="shared" si="305"/>
        <v>0</v>
      </c>
      <c r="R1945">
        <f t="shared" si="306"/>
        <v>0</v>
      </c>
      <c r="S1945">
        <f t="shared" si="307"/>
        <v>0</v>
      </c>
      <c r="T1945">
        <f t="shared" si="309"/>
        <v>0</v>
      </c>
      <c r="U1945">
        <f t="shared" si="308"/>
        <v>0</v>
      </c>
    </row>
    <row r="1946" spans="1:21" x14ac:dyDescent="0.25">
      <c r="A1946" s="95">
        <v>1945</v>
      </c>
      <c r="B1946">
        <v>3019</v>
      </c>
      <c r="C1946" t="s">
        <v>186</v>
      </c>
      <c r="D1946">
        <v>16.22</v>
      </c>
      <c r="E1946">
        <v>20107.12</v>
      </c>
      <c r="F1946">
        <v>1005.76</v>
      </c>
      <c r="G1946">
        <v>75.459999999999994</v>
      </c>
      <c r="H1946">
        <v>5521.26</v>
      </c>
      <c r="I1946" s="80">
        <v>19348.37</v>
      </c>
      <c r="J1946">
        <v>51.18</v>
      </c>
      <c r="K1946">
        <v>4761.41</v>
      </c>
      <c r="L1946">
        <f t="shared" si="300"/>
        <v>0</v>
      </c>
      <c r="M1946">
        <f t="shared" si="301"/>
        <v>0</v>
      </c>
      <c r="N1946">
        <f t="shared" si="302"/>
        <v>0</v>
      </c>
      <c r="O1946">
        <f t="shared" si="303"/>
        <v>0</v>
      </c>
      <c r="P1946">
        <f t="shared" si="304"/>
        <v>0</v>
      </c>
      <c r="Q1946">
        <f t="shared" si="305"/>
        <v>0</v>
      </c>
      <c r="R1946">
        <f t="shared" si="306"/>
        <v>0</v>
      </c>
      <c r="S1946">
        <f t="shared" si="307"/>
        <v>0</v>
      </c>
      <c r="T1946">
        <f t="shared" si="309"/>
        <v>0</v>
      </c>
      <c r="U1946">
        <f t="shared" si="308"/>
        <v>0</v>
      </c>
    </row>
    <row r="1947" spans="1:21" x14ac:dyDescent="0.25">
      <c r="A1947" s="95">
        <v>1946</v>
      </c>
      <c r="B1947">
        <v>3019</v>
      </c>
      <c r="C1947" t="s">
        <v>188</v>
      </c>
      <c r="D1947">
        <v>30.21</v>
      </c>
      <c r="E1947" s="80">
        <v>90950.19</v>
      </c>
      <c r="F1947">
        <v>832.75</v>
      </c>
      <c r="G1947">
        <v>132.13</v>
      </c>
      <c r="H1947">
        <v>9983.06</v>
      </c>
      <c r="I1947" s="80">
        <v>18837.93</v>
      </c>
      <c r="J1947">
        <v>90.18</v>
      </c>
      <c r="K1947" s="80">
        <v>24444.03</v>
      </c>
      <c r="L1947">
        <f t="shared" si="300"/>
        <v>0</v>
      </c>
      <c r="M1947">
        <f t="shared" si="301"/>
        <v>0</v>
      </c>
      <c r="N1947">
        <f t="shared" si="302"/>
        <v>0</v>
      </c>
      <c r="O1947">
        <f t="shared" si="303"/>
        <v>0</v>
      </c>
      <c r="P1947">
        <f t="shared" si="304"/>
        <v>0</v>
      </c>
      <c r="Q1947">
        <f t="shared" si="305"/>
        <v>0</v>
      </c>
      <c r="R1947">
        <f t="shared" si="306"/>
        <v>0</v>
      </c>
      <c r="S1947">
        <f t="shared" si="307"/>
        <v>0</v>
      </c>
      <c r="T1947">
        <f t="shared" si="309"/>
        <v>0</v>
      </c>
      <c r="U1947">
        <f t="shared" si="308"/>
        <v>0</v>
      </c>
    </row>
    <row r="1948" spans="1:21" x14ac:dyDescent="0.25">
      <c r="A1948" s="95">
        <v>1947</v>
      </c>
      <c r="B1948">
        <v>3019</v>
      </c>
      <c r="C1948" t="s">
        <v>182</v>
      </c>
      <c r="D1948" s="80">
        <v>0.31</v>
      </c>
      <c r="E1948">
        <v>2148.06</v>
      </c>
      <c r="F1948">
        <v>18.829999999999998</v>
      </c>
      <c r="G1948" s="80">
        <v>2.3199999999999998</v>
      </c>
      <c r="H1948">
        <v>5.65</v>
      </c>
      <c r="I1948">
        <v>18.239999999999998</v>
      </c>
      <c r="J1948">
        <v>3.32</v>
      </c>
      <c r="K1948">
        <v>0.27</v>
      </c>
      <c r="L1948">
        <f t="shared" si="300"/>
        <v>0</v>
      </c>
      <c r="M1948">
        <f t="shared" si="301"/>
        <v>0</v>
      </c>
      <c r="N1948">
        <f t="shared" si="302"/>
        <v>0</v>
      </c>
      <c r="O1948">
        <f t="shared" si="303"/>
        <v>0</v>
      </c>
      <c r="P1948">
        <f t="shared" si="304"/>
        <v>0</v>
      </c>
      <c r="Q1948">
        <f t="shared" si="305"/>
        <v>0</v>
      </c>
      <c r="R1948">
        <f t="shared" si="306"/>
        <v>0</v>
      </c>
      <c r="S1948">
        <f t="shared" si="307"/>
        <v>0</v>
      </c>
      <c r="T1948">
        <f t="shared" si="309"/>
        <v>0</v>
      </c>
      <c r="U1948">
        <f t="shared" si="308"/>
        <v>0</v>
      </c>
    </row>
    <row r="1949" spans="1:21" x14ac:dyDescent="0.25">
      <c r="A1949" s="95">
        <v>1948</v>
      </c>
      <c r="B1949">
        <v>3019</v>
      </c>
      <c r="C1949" t="s">
        <v>184</v>
      </c>
      <c r="D1949">
        <v>30.21</v>
      </c>
      <c r="E1949" s="80">
        <v>34099.769999999997</v>
      </c>
      <c r="F1949">
        <v>310.89</v>
      </c>
      <c r="G1949">
        <v>132.13</v>
      </c>
      <c r="H1949" s="80">
        <v>27853.86</v>
      </c>
      <c r="I1949" s="80">
        <v>19288.349999999999</v>
      </c>
      <c r="J1949">
        <v>64.86</v>
      </c>
      <c r="K1949">
        <v>2673.37</v>
      </c>
      <c r="L1949">
        <f t="shared" si="300"/>
        <v>0</v>
      </c>
      <c r="M1949">
        <f t="shared" si="301"/>
        <v>0</v>
      </c>
      <c r="N1949">
        <f t="shared" si="302"/>
        <v>0</v>
      </c>
      <c r="O1949">
        <f t="shared" si="303"/>
        <v>0</v>
      </c>
      <c r="P1949">
        <f t="shared" si="304"/>
        <v>0</v>
      </c>
      <c r="Q1949">
        <f t="shared" si="305"/>
        <v>0</v>
      </c>
      <c r="R1949">
        <f t="shared" si="306"/>
        <v>0</v>
      </c>
      <c r="S1949">
        <f t="shared" si="307"/>
        <v>0</v>
      </c>
      <c r="T1949">
        <f t="shared" si="309"/>
        <v>0</v>
      </c>
      <c r="U1949">
        <f t="shared" si="308"/>
        <v>0</v>
      </c>
    </row>
    <row r="1950" spans="1:21" x14ac:dyDescent="0.25">
      <c r="A1950" s="95">
        <v>1949</v>
      </c>
      <c r="B1950">
        <v>3019</v>
      </c>
      <c r="C1950" t="s">
        <v>187</v>
      </c>
      <c r="D1950">
        <v>61.57</v>
      </c>
      <c r="E1950" s="80">
        <v>34381.25</v>
      </c>
      <c r="F1950">
        <v>455.53</v>
      </c>
      <c r="G1950">
        <v>97.13</v>
      </c>
      <c r="H1950" s="80">
        <v>25131.38</v>
      </c>
      <c r="I1950" s="80">
        <v>17507.14</v>
      </c>
      <c r="J1950">
        <v>71.92</v>
      </c>
      <c r="K1950">
        <v>5199.79</v>
      </c>
      <c r="L1950">
        <f t="shared" si="300"/>
        <v>0</v>
      </c>
      <c r="M1950">
        <f t="shared" si="301"/>
        <v>0</v>
      </c>
      <c r="N1950">
        <f t="shared" si="302"/>
        <v>0</v>
      </c>
      <c r="O1950">
        <f t="shared" si="303"/>
        <v>0</v>
      </c>
      <c r="P1950">
        <f t="shared" si="304"/>
        <v>0</v>
      </c>
      <c r="Q1950">
        <f t="shared" si="305"/>
        <v>0</v>
      </c>
      <c r="R1950">
        <f t="shared" si="306"/>
        <v>0</v>
      </c>
      <c r="S1950">
        <f t="shared" si="307"/>
        <v>0</v>
      </c>
      <c r="T1950">
        <f t="shared" si="309"/>
        <v>0</v>
      </c>
      <c r="U1950">
        <f t="shared" si="308"/>
        <v>0</v>
      </c>
    </row>
    <row r="1951" spans="1:21" x14ac:dyDescent="0.25">
      <c r="A1951" s="95">
        <v>1950</v>
      </c>
      <c r="B1951">
        <v>3019</v>
      </c>
      <c r="C1951" t="s">
        <v>189</v>
      </c>
      <c r="D1951">
        <v>75.61</v>
      </c>
      <c r="E1951">
        <v>23133.43</v>
      </c>
      <c r="F1951">
        <v>182.49</v>
      </c>
      <c r="G1951">
        <v>132.13</v>
      </c>
      <c r="H1951" s="80">
        <v>28153.24</v>
      </c>
      <c r="I1951" s="80">
        <v>17370.62</v>
      </c>
      <c r="J1951">
        <v>90.18</v>
      </c>
      <c r="K1951" s="80">
        <v>14093.23</v>
      </c>
      <c r="L1951">
        <f t="shared" si="300"/>
        <v>0</v>
      </c>
      <c r="M1951">
        <f t="shared" si="301"/>
        <v>0</v>
      </c>
      <c r="N1951">
        <f t="shared" si="302"/>
        <v>0</v>
      </c>
      <c r="O1951">
        <f t="shared" si="303"/>
        <v>0</v>
      </c>
      <c r="P1951">
        <f t="shared" si="304"/>
        <v>0</v>
      </c>
      <c r="Q1951">
        <f t="shared" si="305"/>
        <v>0</v>
      </c>
      <c r="R1951">
        <f t="shared" si="306"/>
        <v>0</v>
      </c>
      <c r="S1951">
        <f t="shared" si="307"/>
        <v>0</v>
      </c>
      <c r="T1951">
        <f t="shared" si="309"/>
        <v>0</v>
      </c>
      <c r="U1951">
        <f t="shared" si="308"/>
        <v>0</v>
      </c>
    </row>
    <row r="1952" spans="1:21" x14ac:dyDescent="0.25">
      <c r="A1952" s="95">
        <v>1951</v>
      </c>
      <c r="B1952">
        <v>3020</v>
      </c>
      <c r="C1952" t="s">
        <v>162</v>
      </c>
      <c r="D1952">
        <v>3.83</v>
      </c>
      <c r="E1952">
        <v>7142.88</v>
      </c>
      <c r="F1952">
        <v>0.54</v>
      </c>
      <c r="G1952">
        <v>28.51</v>
      </c>
      <c r="H1952">
        <v>0.28000000000000003</v>
      </c>
      <c r="I1952">
        <v>3.85</v>
      </c>
      <c r="J1952">
        <v>7.58</v>
      </c>
      <c r="K1952">
        <v>1.1100000000000001</v>
      </c>
      <c r="L1952">
        <f t="shared" si="300"/>
        <v>0</v>
      </c>
      <c r="M1952">
        <f t="shared" si="301"/>
        <v>0</v>
      </c>
      <c r="N1952">
        <f t="shared" si="302"/>
        <v>0</v>
      </c>
      <c r="O1952">
        <f t="shared" si="303"/>
        <v>0</v>
      </c>
      <c r="P1952">
        <f t="shared" si="304"/>
        <v>0</v>
      </c>
      <c r="Q1952">
        <f t="shared" si="305"/>
        <v>0</v>
      </c>
      <c r="R1952">
        <f t="shared" si="306"/>
        <v>0</v>
      </c>
      <c r="S1952">
        <f t="shared" si="307"/>
        <v>0</v>
      </c>
      <c r="T1952">
        <f t="shared" si="309"/>
        <v>0</v>
      </c>
      <c r="U1952">
        <f t="shared" si="308"/>
        <v>0</v>
      </c>
    </row>
    <row r="1953" spans="1:21" x14ac:dyDescent="0.25">
      <c r="A1953" s="95">
        <v>1952</v>
      </c>
      <c r="B1953">
        <v>3020</v>
      </c>
      <c r="C1953" t="s">
        <v>170</v>
      </c>
      <c r="D1953">
        <v>6.8</v>
      </c>
      <c r="E1953">
        <v>9489.5499999999993</v>
      </c>
      <c r="F1953">
        <v>173.86</v>
      </c>
      <c r="G1953">
        <v>20.7</v>
      </c>
      <c r="H1953">
        <v>496.59</v>
      </c>
      <c r="I1953" s="80">
        <v>13124.84</v>
      </c>
      <c r="J1953">
        <v>13.66</v>
      </c>
      <c r="K1953">
        <v>458.93</v>
      </c>
      <c r="L1953">
        <f t="shared" si="300"/>
        <v>0</v>
      </c>
      <c r="M1953">
        <f t="shared" si="301"/>
        <v>0</v>
      </c>
      <c r="N1953">
        <f t="shared" si="302"/>
        <v>0</v>
      </c>
      <c r="O1953">
        <f t="shared" si="303"/>
        <v>0</v>
      </c>
      <c r="P1953">
        <f t="shared" si="304"/>
        <v>0</v>
      </c>
      <c r="Q1953">
        <f t="shared" si="305"/>
        <v>0</v>
      </c>
      <c r="R1953">
        <f t="shared" si="306"/>
        <v>0</v>
      </c>
      <c r="S1953">
        <f t="shared" si="307"/>
        <v>0</v>
      </c>
      <c r="T1953">
        <f t="shared" si="309"/>
        <v>0</v>
      </c>
      <c r="U1953">
        <f t="shared" si="308"/>
        <v>0</v>
      </c>
    </row>
    <row r="1954" spans="1:21" x14ac:dyDescent="0.25">
      <c r="A1954" s="95">
        <v>1953</v>
      </c>
      <c r="B1954">
        <v>3020</v>
      </c>
      <c r="C1954" t="s">
        <v>178</v>
      </c>
      <c r="D1954">
        <v>11.61</v>
      </c>
      <c r="E1954">
        <v>12058.8</v>
      </c>
      <c r="F1954">
        <v>784.88</v>
      </c>
      <c r="G1954">
        <v>55.31</v>
      </c>
      <c r="H1954">
        <v>2257.54</v>
      </c>
      <c r="I1954" s="80">
        <v>15517.92</v>
      </c>
      <c r="J1954">
        <v>29.01</v>
      </c>
      <c r="K1954">
        <v>1174.1300000000001</v>
      </c>
      <c r="L1954">
        <f t="shared" si="300"/>
        <v>0</v>
      </c>
      <c r="M1954">
        <f t="shared" si="301"/>
        <v>0</v>
      </c>
      <c r="N1954">
        <f t="shared" si="302"/>
        <v>0</v>
      </c>
      <c r="O1954">
        <f t="shared" si="303"/>
        <v>0</v>
      </c>
      <c r="P1954">
        <f t="shared" si="304"/>
        <v>0</v>
      </c>
      <c r="Q1954">
        <f t="shared" si="305"/>
        <v>0</v>
      </c>
      <c r="R1954">
        <f t="shared" si="306"/>
        <v>0</v>
      </c>
      <c r="S1954">
        <f t="shared" si="307"/>
        <v>0</v>
      </c>
      <c r="T1954">
        <f t="shared" si="309"/>
        <v>0</v>
      </c>
      <c r="U1954">
        <f t="shared" si="308"/>
        <v>0</v>
      </c>
    </row>
    <row r="1955" spans="1:21" x14ac:dyDescent="0.25">
      <c r="A1955" s="95">
        <v>1954</v>
      </c>
      <c r="B1955">
        <v>3020</v>
      </c>
      <c r="C1955" t="s">
        <v>163</v>
      </c>
      <c r="D1955">
        <v>22.93</v>
      </c>
      <c r="E1955">
        <v>11044.11</v>
      </c>
      <c r="F1955">
        <v>594.02</v>
      </c>
      <c r="G1955">
        <v>65.180000000000007</v>
      </c>
      <c r="H1955">
        <v>6539.83</v>
      </c>
      <c r="I1955" s="80">
        <v>17750.5</v>
      </c>
      <c r="J1955">
        <v>44.6</v>
      </c>
      <c r="K1955">
        <v>7458.52</v>
      </c>
      <c r="L1955">
        <f t="shared" si="300"/>
        <v>0</v>
      </c>
      <c r="M1955">
        <f t="shared" si="301"/>
        <v>0</v>
      </c>
      <c r="N1955">
        <f t="shared" si="302"/>
        <v>0</v>
      </c>
      <c r="O1955">
        <f t="shared" si="303"/>
        <v>0</v>
      </c>
      <c r="P1955">
        <f t="shared" si="304"/>
        <v>0</v>
      </c>
      <c r="Q1955">
        <f t="shared" si="305"/>
        <v>0</v>
      </c>
      <c r="R1955">
        <f t="shared" si="306"/>
        <v>0</v>
      </c>
      <c r="S1955">
        <f t="shared" si="307"/>
        <v>0</v>
      </c>
      <c r="T1955">
        <f t="shared" si="309"/>
        <v>0</v>
      </c>
      <c r="U1955">
        <f t="shared" si="308"/>
        <v>0</v>
      </c>
    </row>
    <row r="1956" spans="1:21" x14ac:dyDescent="0.25">
      <c r="A1956" s="95">
        <v>1955</v>
      </c>
      <c r="B1956">
        <v>3020</v>
      </c>
      <c r="C1956" t="s">
        <v>181</v>
      </c>
      <c r="D1956">
        <v>14.64</v>
      </c>
      <c r="E1956" s="89" t="s">
        <v>582</v>
      </c>
      <c r="F1956">
        <v>1.36</v>
      </c>
      <c r="G1956">
        <v>70.27</v>
      </c>
      <c r="H1956">
        <v>16.97</v>
      </c>
      <c r="I1956">
        <v>2228.65</v>
      </c>
      <c r="J1956">
        <v>38.200000000000003</v>
      </c>
      <c r="K1956">
        <v>107.5</v>
      </c>
      <c r="L1956">
        <f t="shared" si="300"/>
        <v>0</v>
      </c>
      <c r="M1956">
        <f t="shared" si="301"/>
        <v>1</v>
      </c>
      <c r="N1956">
        <f t="shared" si="302"/>
        <v>0</v>
      </c>
      <c r="O1956">
        <f t="shared" si="303"/>
        <v>0</v>
      </c>
      <c r="P1956">
        <f t="shared" si="304"/>
        <v>0</v>
      </c>
      <c r="Q1956">
        <f t="shared" si="305"/>
        <v>0</v>
      </c>
      <c r="R1956">
        <f t="shared" si="306"/>
        <v>0</v>
      </c>
      <c r="S1956">
        <f t="shared" si="307"/>
        <v>0</v>
      </c>
      <c r="T1956">
        <f t="shared" si="309"/>
        <v>1</v>
      </c>
      <c r="U1956">
        <f t="shared" si="308"/>
        <v>1</v>
      </c>
    </row>
    <row r="1957" spans="1:21" x14ac:dyDescent="0.25">
      <c r="A1957" s="95">
        <v>1956</v>
      </c>
      <c r="B1957">
        <v>3020</v>
      </c>
      <c r="C1957" t="s">
        <v>183</v>
      </c>
      <c r="D1957">
        <v>24.7</v>
      </c>
      <c r="E1957" s="80">
        <v>105743.78</v>
      </c>
      <c r="F1957">
        <v>997.25</v>
      </c>
      <c r="G1957">
        <v>108.48</v>
      </c>
      <c r="H1957">
        <v>3307.78</v>
      </c>
      <c r="I1957" s="80">
        <v>21205.31</v>
      </c>
      <c r="J1957">
        <v>61.38</v>
      </c>
      <c r="K1957">
        <v>6336.75</v>
      </c>
      <c r="L1957">
        <f t="shared" si="300"/>
        <v>0</v>
      </c>
      <c r="M1957">
        <f t="shared" si="301"/>
        <v>0</v>
      </c>
      <c r="N1957">
        <f t="shared" si="302"/>
        <v>0</v>
      </c>
      <c r="O1957">
        <f t="shared" si="303"/>
        <v>0</v>
      </c>
      <c r="P1957">
        <f t="shared" si="304"/>
        <v>0</v>
      </c>
      <c r="Q1957">
        <f t="shared" si="305"/>
        <v>0</v>
      </c>
      <c r="R1957">
        <f t="shared" si="306"/>
        <v>0</v>
      </c>
      <c r="S1957">
        <f t="shared" si="307"/>
        <v>0</v>
      </c>
      <c r="T1957">
        <f t="shared" si="309"/>
        <v>0</v>
      </c>
      <c r="U1957">
        <f t="shared" si="308"/>
        <v>0</v>
      </c>
    </row>
    <row r="1958" spans="1:21" x14ac:dyDescent="0.25">
      <c r="A1958" s="95">
        <v>1957</v>
      </c>
      <c r="B1958">
        <v>3020</v>
      </c>
      <c r="C1958" t="s">
        <v>186</v>
      </c>
      <c r="D1958">
        <v>34.04</v>
      </c>
      <c r="E1958" s="80">
        <v>163086.22</v>
      </c>
      <c r="F1958" s="80">
        <v>4255.49</v>
      </c>
      <c r="G1958">
        <v>189.46</v>
      </c>
      <c r="H1958" s="80">
        <v>16368.96</v>
      </c>
      <c r="I1958" s="80">
        <v>20639.04</v>
      </c>
      <c r="J1958">
        <v>105.35</v>
      </c>
      <c r="K1958" s="80">
        <v>17692.98</v>
      </c>
      <c r="L1958">
        <f t="shared" si="300"/>
        <v>0</v>
      </c>
      <c r="M1958">
        <f t="shared" si="301"/>
        <v>0</v>
      </c>
      <c r="N1958">
        <f t="shared" si="302"/>
        <v>0</v>
      </c>
      <c r="O1958">
        <f t="shared" si="303"/>
        <v>0</v>
      </c>
      <c r="P1958">
        <f t="shared" si="304"/>
        <v>0</v>
      </c>
      <c r="Q1958">
        <f t="shared" si="305"/>
        <v>0</v>
      </c>
      <c r="R1958">
        <f t="shared" si="306"/>
        <v>0</v>
      </c>
      <c r="S1958">
        <f t="shared" si="307"/>
        <v>0</v>
      </c>
      <c r="T1958">
        <f t="shared" si="309"/>
        <v>0</v>
      </c>
      <c r="U1958">
        <f t="shared" si="308"/>
        <v>0</v>
      </c>
    </row>
    <row r="1959" spans="1:21" x14ac:dyDescent="0.25">
      <c r="A1959" s="95">
        <v>1958</v>
      </c>
      <c r="B1959">
        <v>3020</v>
      </c>
      <c r="C1959" t="s">
        <v>188</v>
      </c>
      <c r="D1959">
        <v>42.05</v>
      </c>
      <c r="E1959" t="s">
        <v>582</v>
      </c>
      <c r="F1959">
        <v>1980.49</v>
      </c>
      <c r="G1959">
        <v>169.76</v>
      </c>
      <c r="H1959" s="80">
        <v>16752.12</v>
      </c>
      <c r="I1959" s="80">
        <v>19671.189999999999</v>
      </c>
      <c r="J1959">
        <v>117.02</v>
      </c>
      <c r="K1959" s="89" t="s">
        <v>582</v>
      </c>
      <c r="L1959">
        <f t="shared" si="300"/>
        <v>0</v>
      </c>
      <c r="M1959">
        <f t="shared" si="301"/>
        <v>1</v>
      </c>
      <c r="N1959">
        <f t="shared" si="302"/>
        <v>0</v>
      </c>
      <c r="O1959">
        <f t="shared" si="303"/>
        <v>0</v>
      </c>
      <c r="P1959">
        <f t="shared" si="304"/>
        <v>0</v>
      </c>
      <c r="Q1959">
        <f t="shared" si="305"/>
        <v>0</v>
      </c>
      <c r="R1959">
        <f t="shared" si="306"/>
        <v>0</v>
      </c>
      <c r="S1959">
        <f t="shared" si="307"/>
        <v>1</v>
      </c>
      <c r="T1959">
        <f t="shared" si="309"/>
        <v>2</v>
      </c>
      <c r="U1959">
        <f t="shared" si="308"/>
        <v>1</v>
      </c>
    </row>
    <row r="1960" spans="1:21" x14ac:dyDescent="0.25">
      <c r="A1960" s="95">
        <v>1959</v>
      </c>
      <c r="B1960">
        <v>3020</v>
      </c>
      <c r="C1960" t="s">
        <v>182</v>
      </c>
      <c r="D1960" s="80">
        <v>0.31</v>
      </c>
      <c r="E1960">
        <v>1102.1400000000001</v>
      </c>
      <c r="F1960">
        <v>0.03</v>
      </c>
      <c r="G1960">
        <v>13.6</v>
      </c>
      <c r="H1960">
        <v>0.12</v>
      </c>
      <c r="I1960">
        <v>0.36</v>
      </c>
      <c r="J1960">
        <v>1.51</v>
      </c>
      <c r="K1960">
        <v>0.18</v>
      </c>
      <c r="L1960">
        <f t="shared" si="300"/>
        <v>0</v>
      </c>
      <c r="M1960">
        <f t="shared" si="301"/>
        <v>0</v>
      </c>
      <c r="N1960">
        <f t="shared" si="302"/>
        <v>0</v>
      </c>
      <c r="O1960">
        <f t="shared" si="303"/>
        <v>0</v>
      </c>
      <c r="P1960">
        <f t="shared" si="304"/>
        <v>0</v>
      </c>
      <c r="Q1960">
        <f t="shared" si="305"/>
        <v>0</v>
      </c>
      <c r="R1960">
        <f t="shared" si="306"/>
        <v>0</v>
      </c>
      <c r="S1960">
        <f t="shared" si="307"/>
        <v>0</v>
      </c>
      <c r="T1960">
        <f t="shared" si="309"/>
        <v>0</v>
      </c>
      <c r="U1960">
        <f t="shared" si="308"/>
        <v>0</v>
      </c>
    </row>
    <row r="1961" spans="1:21" x14ac:dyDescent="0.25">
      <c r="A1961" s="95">
        <v>1960</v>
      </c>
      <c r="B1961">
        <v>3020</v>
      </c>
      <c r="C1961" t="s">
        <v>184</v>
      </c>
      <c r="D1961">
        <v>8.7799999999999994</v>
      </c>
      <c r="E1961">
        <v>13179.92</v>
      </c>
      <c r="F1961">
        <v>110.43</v>
      </c>
      <c r="G1961">
        <v>65.180000000000007</v>
      </c>
      <c r="H1961">
        <v>1414.71</v>
      </c>
      <c r="I1961" s="80">
        <v>12529.42</v>
      </c>
      <c r="J1961">
        <v>23.17</v>
      </c>
      <c r="K1961">
        <v>832.5</v>
      </c>
      <c r="L1961">
        <f t="shared" si="300"/>
        <v>0</v>
      </c>
      <c r="M1961">
        <f t="shared" si="301"/>
        <v>0</v>
      </c>
      <c r="N1961">
        <f t="shared" si="302"/>
        <v>0</v>
      </c>
      <c r="O1961">
        <f t="shared" si="303"/>
        <v>0</v>
      </c>
      <c r="P1961">
        <f t="shared" si="304"/>
        <v>0</v>
      </c>
      <c r="Q1961">
        <f t="shared" si="305"/>
        <v>0</v>
      </c>
      <c r="R1961">
        <f t="shared" si="306"/>
        <v>0</v>
      </c>
      <c r="S1961">
        <f t="shared" si="307"/>
        <v>0</v>
      </c>
      <c r="T1961">
        <f t="shared" si="309"/>
        <v>0</v>
      </c>
      <c r="U1961">
        <f t="shared" si="308"/>
        <v>0</v>
      </c>
    </row>
    <row r="1962" spans="1:21" x14ac:dyDescent="0.25">
      <c r="A1962" s="95">
        <v>1961</v>
      </c>
      <c r="B1962">
        <v>3020</v>
      </c>
      <c r="C1962" t="s">
        <v>187</v>
      </c>
      <c r="D1962">
        <v>24.7</v>
      </c>
      <c r="E1962">
        <v>20061.05</v>
      </c>
      <c r="F1962">
        <v>300.14</v>
      </c>
      <c r="G1962">
        <v>108.48</v>
      </c>
      <c r="H1962">
        <v>5811.01</v>
      </c>
      <c r="I1962" s="80">
        <v>15037.51</v>
      </c>
      <c r="J1962">
        <v>47.87</v>
      </c>
      <c r="K1962">
        <v>5660.46</v>
      </c>
      <c r="L1962">
        <f t="shared" si="300"/>
        <v>0</v>
      </c>
      <c r="M1962">
        <f t="shared" si="301"/>
        <v>0</v>
      </c>
      <c r="N1962">
        <f t="shared" si="302"/>
        <v>0</v>
      </c>
      <c r="O1962">
        <f t="shared" si="303"/>
        <v>0</v>
      </c>
      <c r="P1962">
        <f t="shared" si="304"/>
        <v>0</v>
      </c>
      <c r="Q1962">
        <f t="shared" si="305"/>
        <v>0</v>
      </c>
      <c r="R1962">
        <f t="shared" si="306"/>
        <v>0</v>
      </c>
      <c r="S1962">
        <f t="shared" si="307"/>
        <v>0</v>
      </c>
      <c r="T1962">
        <f t="shared" si="309"/>
        <v>0</v>
      </c>
      <c r="U1962">
        <f t="shared" si="308"/>
        <v>0</v>
      </c>
    </row>
    <row r="1963" spans="1:21" x14ac:dyDescent="0.25">
      <c r="A1963" s="95">
        <v>1962</v>
      </c>
      <c r="B1963">
        <v>3020</v>
      </c>
      <c r="C1963" t="s">
        <v>189</v>
      </c>
      <c r="D1963">
        <v>14.64</v>
      </c>
      <c r="E1963">
        <v>12306.26</v>
      </c>
      <c r="F1963">
        <v>54.73</v>
      </c>
      <c r="G1963">
        <v>86.11</v>
      </c>
      <c r="H1963">
        <v>7007.94</v>
      </c>
      <c r="I1963" s="80">
        <v>11822.64</v>
      </c>
      <c r="J1963">
        <v>42.98</v>
      </c>
      <c r="K1963">
        <v>6124.15</v>
      </c>
      <c r="L1963">
        <f t="shared" si="300"/>
        <v>0</v>
      </c>
      <c r="M1963">
        <f t="shared" si="301"/>
        <v>0</v>
      </c>
      <c r="N1963">
        <f t="shared" si="302"/>
        <v>0</v>
      </c>
      <c r="O1963">
        <f t="shared" si="303"/>
        <v>0</v>
      </c>
      <c r="P1963">
        <f t="shared" si="304"/>
        <v>0</v>
      </c>
      <c r="Q1963">
        <f t="shared" si="305"/>
        <v>0</v>
      </c>
      <c r="R1963">
        <f t="shared" si="306"/>
        <v>0</v>
      </c>
      <c r="S1963">
        <f t="shared" si="307"/>
        <v>0</v>
      </c>
      <c r="T1963">
        <f t="shared" si="309"/>
        <v>0</v>
      </c>
      <c r="U1963">
        <f t="shared" si="308"/>
        <v>0</v>
      </c>
    </row>
    <row r="1964" spans="1:21" x14ac:dyDescent="0.25">
      <c r="A1964" s="95">
        <v>1963</v>
      </c>
      <c r="B1964">
        <v>3018</v>
      </c>
      <c r="C1964" t="s">
        <v>162</v>
      </c>
      <c r="D1964">
        <v>11.61</v>
      </c>
      <c r="E1964" s="80">
        <v>59441.19</v>
      </c>
      <c r="F1964">
        <v>2.83</v>
      </c>
      <c r="G1964">
        <v>75.459999999999994</v>
      </c>
      <c r="H1964">
        <v>1.56</v>
      </c>
      <c r="I1964">
        <v>2.02</v>
      </c>
      <c r="J1964">
        <v>32.020000000000003</v>
      </c>
      <c r="K1964">
        <v>3.44</v>
      </c>
      <c r="L1964">
        <f t="shared" si="300"/>
        <v>0</v>
      </c>
      <c r="M1964">
        <f t="shared" si="301"/>
        <v>0</v>
      </c>
      <c r="N1964">
        <f t="shared" si="302"/>
        <v>0</v>
      </c>
      <c r="O1964">
        <f t="shared" si="303"/>
        <v>0</v>
      </c>
      <c r="P1964">
        <f t="shared" si="304"/>
        <v>0</v>
      </c>
      <c r="Q1964">
        <f t="shared" si="305"/>
        <v>0</v>
      </c>
      <c r="R1964">
        <f t="shared" si="306"/>
        <v>0</v>
      </c>
      <c r="S1964">
        <f t="shared" si="307"/>
        <v>0</v>
      </c>
      <c r="T1964">
        <f t="shared" si="309"/>
        <v>0</v>
      </c>
      <c r="U1964">
        <f t="shared" si="308"/>
        <v>0</v>
      </c>
    </row>
    <row r="1965" spans="1:21" x14ac:dyDescent="0.25">
      <c r="A1965" s="95">
        <v>1964</v>
      </c>
      <c r="B1965">
        <v>3018</v>
      </c>
      <c r="C1965" t="s">
        <v>170</v>
      </c>
      <c r="D1965">
        <v>10.17</v>
      </c>
      <c r="E1965">
        <v>24338.46</v>
      </c>
      <c r="F1965">
        <v>103.7</v>
      </c>
      <c r="G1965">
        <v>45.88</v>
      </c>
      <c r="H1965">
        <v>18.059999999999999</v>
      </c>
      <c r="I1965" s="80">
        <v>5853.3</v>
      </c>
      <c r="J1965">
        <v>26.06</v>
      </c>
      <c r="K1965">
        <v>79.95</v>
      </c>
      <c r="L1965">
        <f t="shared" si="300"/>
        <v>0</v>
      </c>
      <c r="M1965">
        <f t="shared" si="301"/>
        <v>0</v>
      </c>
      <c r="N1965">
        <f t="shared" si="302"/>
        <v>0</v>
      </c>
      <c r="O1965">
        <f t="shared" si="303"/>
        <v>0</v>
      </c>
      <c r="P1965">
        <f t="shared" si="304"/>
        <v>0</v>
      </c>
      <c r="Q1965">
        <f t="shared" si="305"/>
        <v>0</v>
      </c>
      <c r="R1965">
        <f t="shared" si="306"/>
        <v>0</v>
      </c>
      <c r="S1965">
        <f t="shared" si="307"/>
        <v>0</v>
      </c>
      <c r="T1965">
        <f t="shared" si="309"/>
        <v>0</v>
      </c>
      <c r="U1965">
        <f t="shared" si="308"/>
        <v>0</v>
      </c>
    </row>
    <row r="1966" spans="1:21" x14ac:dyDescent="0.25">
      <c r="A1966" s="95">
        <v>1965</v>
      </c>
      <c r="B1966">
        <v>3018</v>
      </c>
      <c r="C1966" t="s">
        <v>178</v>
      </c>
      <c r="D1966">
        <v>11.61</v>
      </c>
      <c r="E1966" s="80">
        <v>31552.62</v>
      </c>
      <c r="F1966">
        <v>610.61</v>
      </c>
      <c r="G1966">
        <v>55.31</v>
      </c>
      <c r="H1966">
        <v>122.13</v>
      </c>
      <c r="I1966" s="80">
        <v>11092.53</v>
      </c>
      <c r="J1966">
        <v>32.020000000000003</v>
      </c>
      <c r="K1966">
        <v>207.57</v>
      </c>
      <c r="L1966">
        <f t="shared" si="300"/>
        <v>0</v>
      </c>
      <c r="M1966">
        <f t="shared" si="301"/>
        <v>0</v>
      </c>
      <c r="N1966">
        <f t="shared" si="302"/>
        <v>0</v>
      </c>
      <c r="O1966">
        <f t="shared" si="303"/>
        <v>0</v>
      </c>
      <c r="P1966">
        <f t="shared" si="304"/>
        <v>0</v>
      </c>
      <c r="Q1966">
        <f t="shared" si="305"/>
        <v>0</v>
      </c>
      <c r="R1966">
        <f t="shared" si="306"/>
        <v>0</v>
      </c>
      <c r="S1966">
        <f t="shared" si="307"/>
        <v>0</v>
      </c>
      <c r="T1966">
        <f t="shared" si="309"/>
        <v>0</v>
      </c>
      <c r="U1966">
        <f t="shared" si="308"/>
        <v>0</v>
      </c>
    </row>
    <row r="1967" spans="1:21" x14ac:dyDescent="0.25">
      <c r="A1967" s="95">
        <v>1966</v>
      </c>
      <c r="B1967">
        <v>3018</v>
      </c>
      <c r="C1967" t="s">
        <v>163</v>
      </c>
      <c r="D1967">
        <v>32.11</v>
      </c>
      <c r="E1967" s="80">
        <v>608054.64</v>
      </c>
      <c r="F1967" s="80">
        <v>8021.73</v>
      </c>
      <c r="G1967">
        <v>156.94</v>
      </c>
      <c r="H1967">
        <v>6927.57</v>
      </c>
      <c r="I1967" s="80">
        <v>18206.560000000001</v>
      </c>
      <c r="J1967">
        <v>86.47</v>
      </c>
      <c r="K1967" s="80">
        <v>25798.18</v>
      </c>
      <c r="L1967">
        <f t="shared" si="300"/>
        <v>0</v>
      </c>
      <c r="M1967">
        <f t="shared" si="301"/>
        <v>0</v>
      </c>
      <c r="N1967">
        <f t="shared" si="302"/>
        <v>0</v>
      </c>
      <c r="O1967">
        <f t="shared" si="303"/>
        <v>0</v>
      </c>
      <c r="P1967">
        <f t="shared" si="304"/>
        <v>0</v>
      </c>
      <c r="Q1967">
        <f t="shared" si="305"/>
        <v>0</v>
      </c>
      <c r="R1967">
        <f t="shared" si="306"/>
        <v>0</v>
      </c>
      <c r="S1967">
        <f t="shared" si="307"/>
        <v>0</v>
      </c>
      <c r="T1967">
        <f t="shared" si="309"/>
        <v>0</v>
      </c>
      <c r="U1967">
        <f t="shared" si="308"/>
        <v>0</v>
      </c>
    </row>
    <row r="1968" spans="1:21" x14ac:dyDescent="0.25">
      <c r="A1968" s="95">
        <v>1967</v>
      </c>
      <c r="B1968">
        <v>3018</v>
      </c>
      <c r="C1968" t="s">
        <v>181</v>
      </c>
      <c r="D1968" t="s">
        <v>583</v>
      </c>
      <c r="E1968">
        <v>2036.5</v>
      </c>
      <c r="F1968">
        <v>0.79</v>
      </c>
      <c r="G1968" t="s">
        <v>583</v>
      </c>
      <c r="H1968">
        <v>8.11</v>
      </c>
      <c r="I1968">
        <v>16.14</v>
      </c>
      <c r="J1968">
        <v>3.32</v>
      </c>
      <c r="K1968">
        <v>6.1</v>
      </c>
      <c r="L1968">
        <f t="shared" si="300"/>
        <v>0</v>
      </c>
      <c r="M1968">
        <f t="shared" si="301"/>
        <v>0</v>
      </c>
      <c r="N1968">
        <f t="shared" si="302"/>
        <v>0</v>
      </c>
      <c r="O1968">
        <f t="shared" si="303"/>
        <v>0</v>
      </c>
      <c r="P1968">
        <f t="shared" si="304"/>
        <v>0</v>
      </c>
      <c r="Q1968">
        <f t="shared" si="305"/>
        <v>0</v>
      </c>
      <c r="R1968">
        <f t="shared" si="306"/>
        <v>0</v>
      </c>
      <c r="S1968">
        <f t="shared" si="307"/>
        <v>0</v>
      </c>
      <c r="T1968">
        <f t="shared" si="309"/>
        <v>0</v>
      </c>
      <c r="U1968">
        <f t="shared" si="308"/>
        <v>0</v>
      </c>
    </row>
    <row r="1969" spans="1:21" x14ac:dyDescent="0.25">
      <c r="A1969" s="95">
        <v>1968</v>
      </c>
      <c r="B1969">
        <v>3018</v>
      </c>
      <c r="C1969" t="s">
        <v>183</v>
      </c>
      <c r="D1969">
        <v>10.17</v>
      </c>
      <c r="E1969">
        <v>10635.81</v>
      </c>
      <c r="F1969">
        <v>971.17</v>
      </c>
      <c r="G1969">
        <v>45.88</v>
      </c>
      <c r="H1969">
        <v>3348.15</v>
      </c>
      <c r="I1969" s="80">
        <v>17084.900000000001</v>
      </c>
      <c r="J1969">
        <v>29.01</v>
      </c>
      <c r="K1969">
        <v>2562.1999999999998</v>
      </c>
      <c r="L1969">
        <f t="shared" si="300"/>
        <v>0</v>
      </c>
      <c r="M1969">
        <f t="shared" si="301"/>
        <v>0</v>
      </c>
      <c r="N1969">
        <f t="shared" si="302"/>
        <v>0</v>
      </c>
      <c r="O1969">
        <f t="shared" si="303"/>
        <v>0</v>
      </c>
      <c r="P1969">
        <f t="shared" si="304"/>
        <v>0</v>
      </c>
      <c r="Q1969">
        <f t="shared" si="305"/>
        <v>0</v>
      </c>
      <c r="R1969">
        <f t="shared" si="306"/>
        <v>0</v>
      </c>
      <c r="S1969">
        <f t="shared" si="307"/>
        <v>0</v>
      </c>
      <c r="T1969">
        <f t="shared" si="309"/>
        <v>0</v>
      </c>
      <c r="U1969">
        <f t="shared" si="308"/>
        <v>0</v>
      </c>
    </row>
    <row r="1970" spans="1:21" x14ac:dyDescent="0.25">
      <c r="A1970" s="95">
        <v>1969</v>
      </c>
      <c r="B1970">
        <v>3018</v>
      </c>
      <c r="C1970" t="s">
        <v>186</v>
      </c>
      <c r="D1970">
        <v>10.17</v>
      </c>
      <c r="E1970">
        <v>10052.11</v>
      </c>
      <c r="F1970">
        <v>1010.96</v>
      </c>
      <c r="G1970">
        <v>55.31</v>
      </c>
      <c r="H1970">
        <v>5365.38</v>
      </c>
      <c r="I1970" s="80">
        <v>18881.849999999999</v>
      </c>
      <c r="J1970">
        <v>38.200000000000003</v>
      </c>
      <c r="K1970">
        <v>5486.54</v>
      </c>
      <c r="L1970">
        <f t="shared" si="300"/>
        <v>0</v>
      </c>
      <c r="M1970">
        <f t="shared" si="301"/>
        <v>0</v>
      </c>
      <c r="N1970">
        <f t="shared" si="302"/>
        <v>0</v>
      </c>
      <c r="O1970">
        <f t="shared" si="303"/>
        <v>0</v>
      </c>
      <c r="P1970">
        <f t="shared" si="304"/>
        <v>0</v>
      </c>
      <c r="Q1970">
        <f t="shared" si="305"/>
        <v>0</v>
      </c>
      <c r="R1970">
        <f t="shared" si="306"/>
        <v>0</v>
      </c>
      <c r="S1970">
        <f t="shared" si="307"/>
        <v>0</v>
      </c>
      <c r="T1970">
        <f t="shared" si="309"/>
        <v>0</v>
      </c>
      <c r="U1970">
        <f t="shared" si="308"/>
        <v>0</v>
      </c>
    </row>
    <row r="1971" spans="1:21" x14ac:dyDescent="0.25">
      <c r="A1971" s="95">
        <v>1970</v>
      </c>
      <c r="B1971">
        <v>3018</v>
      </c>
      <c r="C1971" t="s">
        <v>188</v>
      </c>
      <c r="D1971">
        <v>19.5</v>
      </c>
      <c r="E1971">
        <v>22427.25</v>
      </c>
      <c r="F1971">
        <v>791.84</v>
      </c>
      <c r="G1971">
        <v>86.11</v>
      </c>
      <c r="H1971">
        <v>4255.24</v>
      </c>
      <c r="I1971" s="80">
        <v>16338.44</v>
      </c>
      <c r="J1971">
        <v>68.37</v>
      </c>
      <c r="K1971" s="80">
        <v>14250.49</v>
      </c>
      <c r="L1971">
        <f t="shared" si="300"/>
        <v>0</v>
      </c>
      <c r="M1971">
        <f t="shared" si="301"/>
        <v>0</v>
      </c>
      <c r="N1971">
        <f t="shared" si="302"/>
        <v>0</v>
      </c>
      <c r="O1971">
        <f t="shared" si="303"/>
        <v>0</v>
      </c>
      <c r="P1971">
        <f t="shared" si="304"/>
        <v>0</v>
      </c>
      <c r="Q1971">
        <f t="shared" si="305"/>
        <v>0</v>
      </c>
      <c r="R1971">
        <f t="shared" si="306"/>
        <v>0</v>
      </c>
      <c r="S1971">
        <f t="shared" si="307"/>
        <v>0</v>
      </c>
      <c r="T1971">
        <f t="shared" si="309"/>
        <v>0</v>
      </c>
      <c r="U1971">
        <f t="shared" si="308"/>
        <v>0</v>
      </c>
    </row>
    <row r="1972" spans="1:21" x14ac:dyDescent="0.25">
      <c r="A1972" s="95">
        <v>1971</v>
      </c>
      <c r="B1972">
        <v>3018</v>
      </c>
      <c r="C1972" t="s">
        <v>182</v>
      </c>
      <c r="D1972">
        <v>1.83</v>
      </c>
      <c r="E1972">
        <v>1952.44</v>
      </c>
      <c r="F1972">
        <v>1.0900000000000001</v>
      </c>
      <c r="G1972">
        <v>7.37</v>
      </c>
      <c r="H1972">
        <v>3.64</v>
      </c>
      <c r="I1972">
        <v>0.59</v>
      </c>
      <c r="J1972">
        <v>3.32</v>
      </c>
      <c r="K1972">
        <v>0.37</v>
      </c>
      <c r="L1972">
        <f t="shared" si="300"/>
        <v>0</v>
      </c>
      <c r="M1972">
        <f t="shared" si="301"/>
        <v>0</v>
      </c>
      <c r="N1972">
        <f t="shared" si="302"/>
        <v>0</v>
      </c>
      <c r="O1972">
        <f t="shared" si="303"/>
        <v>0</v>
      </c>
      <c r="P1972">
        <f t="shared" si="304"/>
        <v>0</v>
      </c>
      <c r="Q1972">
        <f t="shared" si="305"/>
        <v>0</v>
      </c>
      <c r="R1972">
        <f t="shared" si="306"/>
        <v>0</v>
      </c>
      <c r="S1972">
        <f t="shared" si="307"/>
        <v>0</v>
      </c>
      <c r="T1972">
        <f t="shared" si="309"/>
        <v>0</v>
      </c>
      <c r="U1972">
        <f t="shared" si="308"/>
        <v>0</v>
      </c>
    </row>
    <row r="1973" spans="1:21" x14ac:dyDescent="0.25">
      <c r="A1973" s="95">
        <v>1972</v>
      </c>
      <c r="B1973">
        <v>3018</v>
      </c>
      <c r="C1973" t="s">
        <v>184</v>
      </c>
      <c r="D1973">
        <v>10.17</v>
      </c>
      <c r="E1973" s="80">
        <v>30190.3</v>
      </c>
      <c r="F1973">
        <v>151.63</v>
      </c>
      <c r="G1973">
        <v>45.88</v>
      </c>
      <c r="H1973">
        <v>292.49</v>
      </c>
      <c r="I1973" s="80">
        <v>9352.82</v>
      </c>
      <c r="J1973">
        <v>26.06</v>
      </c>
      <c r="K1973">
        <v>37.869999999999997</v>
      </c>
      <c r="L1973">
        <f t="shared" si="300"/>
        <v>0</v>
      </c>
      <c r="M1973">
        <f t="shared" si="301"/>
        <v>0</v>
      </c>
      <c r="N1973">
        <f t="shared" si="302"/>
        <v>0</v>
      </c>
      <c r="O1973">
        <f t="shared" si="303"/>
        <v>0</v>
      </c>
      <c r="P1973">
        <f t="shared" si="304"/>
        <v>0</v>
      </c>
      <c r="Q1973">
        <f t="shared" si="305"/>
        <v>0</v>
      </c>
      <c r="R1973">
        <f t="shared" si="306"/>
        <v>0</v>
      </c>
      <c r="S1973">
        <f t="shared" si="307"/>
        <v>0</v>
      </c>
      <c r="T1973">
        <f t="shared" si="309"/>
        <v>0</v>
      </c>
      <c r="U1973">
        <f t="shared" si="308"/>
        <v>0</v>
      </c>
    </row>
    <row r="1974" spans="1:21" x14ac:dyDescent="0.25">
      <c r="A1974" s="95">
        <v>1973</v>
      </c>
      <c r="B1974">
        <v>3018</v>
      </c>
      <c r="C1974" t="s">
        <v>187</v>
      </c>
      <c r="D1974">
        <v>16.22</v>
      </c>
      <c r="E1974" s="80">
        <v>63184.3</v>
      </c>
      <c r="F1974">
        <v>812.96</v>
      </c>
      <c r="G1974">
        <v>75.459999999999994</v>
      </c>
      <c r="H1974">
        <v>1816.9</v>
      </c>
      <c r="I1974" s="80">
        <v>14064.75</v>
      </c>
      <c r="J1974">
        <v>38.200000000000003</v>
      </c>
      <c r="K1974">
        <v>514.91999999999996</v>
      </c>
      <c r="L1974">
        <f t="shared" si="300"/>
        <v>0</v>
      </c>
      <c r="M1974">
        <f t="shared" si="301"/>
        <v>0</v>
      </c>
      <c r="N1974">
        <f t="shared" si="302"/>
        <v>0</v>
      </c>
      <c r="O1974">
        <f t="shared" si="303"/>
        <v>0</v>
      </c>
      <c r="P1974">
        <f t="shared" si="304"/>
        <v>0</v>
      </c>
      <c r="Q1974">
        <f t="shared" si="305"/>
        <v>0</v>
      </c>
      <c r="R1974">
        <f t="shared" si="306"/>
        <v>0</v>
      </c>
      <c r="S1974">
        <f t="shared" si="307"/>
        <v>0</v>
      </c>
      <c r="T1974">
        <f t="shared" si="309"/>
        <v>0</v>
      </c>
      <c r="U1974">
        <f t="shared" si="308"/>
        <v>0</v>
      </c>
    </row>
    <row r="1975" spans="1:21" x14ac:dyDescent="0.25">
      <c r="A1975" s="95">
        <v>1974</v>
      </c>
      <c r="B1975">
        <v>3018</v>
      </c>
      <c r="C1975" t="s">
        <v>189</v>
      </c>
      <c r="D1975">
        <v>24.7</v>
      </c>
      <c r="E1975" s="80">
        <v>52386.15</v>
      </c>
      <c r="F1975">
        <v>910.13</v>
      </c>
      <c r="G1975">
        <v>108.48</v>
      </c>
      <c r="H1975">
        <v>8130.26</v>
      </c>
      <c r="I1975" s="80">
        <v>11915.83</v>
      </c>
      <c r="J1975">
        <v>64.86</v>
      </c>
      <c r="K1975" s="80">
        <v>9673.2199999999993</v>
      </c>
      <c r="L1975">
        <f t="shared" si="300"/>
        <v>0</v>
      </c>
      <c r="M1975">
        <f t="shared" si="301"/>
        <v>0</v>
      </c>
      <c r="N1975">
        <f t="shared" si="302"/>
        <v>0</v>
      </c>
      <c r="O1975">
        <f t="shared" si="303"/>
        <v>0</v>
      </c>
      <c r="P1975">
        <f t="shared" si="304"/>
        <v>0</v>
      </c>
      <c r="Q1975">
        <f t="shared" si="305"/>
        <v>0</v>
      </c>
      <c r="R1975">
        <f t="shared" si="306"/>
        <v>0</v>
      </c>
      <c r="S1975">
        <f t="shared" si="307"/>
        <v>0</v>
      </c>
      <c r="T1975">
        <f t="shared" si="309"/>
        <v>0</v>
      </c>
      <c r="U1975">
        <f t="shared" si="308"/>
        <v>0</v>
      </c>
    </row>
    <row r="1976" spans="1:21" x14ac:dyDescent="0.25">
      <c r="A1976" s="95">
        <v>1975</v>
      </c>
      <c r="B1976">
        <v>3017</v>
      </c>
      <c r="C1976" t="s">
        <v>162</v>
      </c>
      <c r="D1976">
        <v>10.17</v>
      </c>
      <c r="E1976" s="80">
        <v>25378.43</v>
      </c>
      <c r="F1976">
        <v>1.22</v>
      </c>
      <c r="G1976">
        <v>45.88</v>
      </c>
      <c r="H1976">
        <v>1.33</v>
      </c>
      <c r="I1976">
        <v>10.08</v>
      </c>
      <c r="J1976">
        <v>17.62</v>
      </c>
      <c r="K1976">
        <v>5.03</v>
      </c>
      <c r="L1976">
        <f t="shared" si="300"/>
        <v>0</v>
      </c>
      <c r="M1976">
        <f t="shared" si="301"/>
        <v>0</v>
      </c>
      <c r="N1976">
        <f t="shared" si="302"/>
        <v>0</v>
      </c>
      <c r="O1976">
        <f t="shared" si="303"/>
        <v>0</v>
      </c>
      <c r="P1976">
        <f t="shared" si="304"/>
        <v>0</v>
      </c>
      <c r="Q1976">
        <f t="shared" si="305"/>
        <v>0</v>
      </c>
      <c r="R1976">
        <f t="shared" si="306"/>
        <v>0</v>
      </c>
      <c r="S1976">
        <f t="shared" si="307"/>
        <v>0</v>
      </c>
      <c r="T1976">
        <f t="shared" si="309"/>
        <v>0</v>
      </c>
      <c r="U1976">
        <f t="shared" si="308"/>
        <v>0</v>
      </c>
    </row>
    <row r="1977" spans="1:21" x14ac:dyDescent="0.25">
      <c r="A1977" s="95">
        <v>1976</v>
      </c>
      <c r="B1977">
        <v>3017</v>
      </c>
      <c r="C1977" t="s">
        <v>170</v>
      </c>
      <c r="D1977">
        <v>17.84</v>
      </c>
      <c r="E1977">
        <v>16732.75</v>
      </c>
      <c r="F1977">
        <v>212.82</v>
      </c>
      <c r="G1977">
        <v>55.31</v>
      </c>
      <c r="H1977">
        <v>5947.59</v>
      </c>
      <c r="I1977" s="80">
        <v>17499.87</v>
      </c>
      <c r="J1977">
        <v>35.08</v>
      </c>
      <c r="K1977">
        <v>2488.1999999999998</v>
      </c>
      <c r="L1977">
        <f t="shared" si="300"/>
        <v>0</v>
      </c>
      <c r="M1977">
        <f t="shared" si="301"/>
        <v>0</v>
      </c>
      <c r="N1977">
        <f t="shared" si="302"/>
        <v>0</v>
      </c>
      <c r="O1977">
        <f t="shared" si="303"/>
        <v>0</v>
      </c>
      <c r="P1977">
        <f t="shared" si="304"/>
        <v>0</v>
      </c>
      <c r="Q1977">
        <f t="shared" si="305"/>
        <v>0</v>
      </c>
      <c r="R1977">
        <f t="shared" si="306"/>
        <v>0</v>
      </c>
      <c r="S1977">
        <f t="shared" si="307"/>
        <v>0</v>
      </c>
      <c r="T1977">
        <f t="shared" si="309"/>
        <v>0</v>
      </c>
      <c r="U1977">
        <f t="shared" si="308"/>
        <v>0</v>
      </c>
    </row>
    <row r="1978" spans="1:21" x14ac:dyDescent="0.25">
      <c r="A1978" s="95">
        <v>1977</v>
      </c>
      <c r="B1978">
        <v>3017</v>
      </c>
      <c r="C1978" t="s">
        <v>178</v>
      </c>
      <c r="D1978">
        <v>66.16</v>
      </c>
      <c r="E1978">
        <v>12468.41</v>
      </c>
      <c r="F1978">
        <v>414.86</v>
      </c>
      <c r="G1978">
        <v>75.459999999999994</v>
      </c>
      <c r="H1978">
        <v>14956.29</v>
      </c>
      <c r="I1978" s="80">
        <v>16782.03</v>
      </c>
      <c r="J1978">
        <v>44.6</v>
      </c>
      <c r="K1978">
        <v>2904.88</v>
      </c>
      <c r="L1978">
        <f t="shared" si="300"/>
        <v>0</v>
      </c>
      <c r="M1978">
        <f t="shared" si="301"/>
        <v>0</v>
      </c>
      <c r="N1978">
        <f t="shared" si="302"/>
        <v>0</v>
      </c>
      <c r="O1978">
        <f t="shared" si="303"/>
        <v>0</v>
      </c>
      <c r="P1978">
        <f t="shared" si="304"/>
        <v>0</v>
      </c>
      <c r="Q1978">
        <f t="shared" si="305"/>
        <v>0</v>
      </c>
      <c r="R1978">
        <f t="shared" si="306"/>
        <v>0</v>
      </c>
      <c r="S1978">
        <f t="shared" si="307"/>
        <v>0</v>
      </c>
      <c r="T1978">
        <f t="shared" si="309"/>
        <v>0</v>
      </c>
      <c r="U1978">
        <f t="shared" si="308"/>
        <v>0</v>
      </c>
    </row>
    <row r="1979" spans="1:21" x14ac:dyDescent="0.25">
      <c r="A1979" s="95">
        <v>1978</v>
      </c>
      <c r="B1979">
        <v>3017</v>
      </c>
      <c r="C1979" t="s">
        <v>163</v>
      </c>
      <c r="D1979">
        <v>194.88</v>
      </c>
      <c r="E1979">
        <v>13738.45</v>
      </c>
      <c r="F1979">
        <v>276.27</v>
      </c>
      <c r="G1979">
        <v>108.48</v>
      </c>
      <c r="H1979">
        <v>13969.24</v>
      </c>
      <c r="I1979" s="80">
        <v>16827.25</v>
      </c>
      <c r="J1979">
        <v>59.65</v>
      </c>
      <c r="K1979" s="80">
        <v>15152.42</v>
      </c>
      <c r="L1979">
        <f t="shared" si="300"/>
        <v>0</v>
      </c>
      <c r="M1979">
        <f t="shared" si="301"/>
        <v>0</v>
      </c>
      <c r="N1979">
        <f t="shared" si="302"/>
        <v>0</v>
      </c>
      <c r="O1979">
        <f t="shared" si="303"/>
        <v>0</v>
      </c>
      <c r="P1979">
        <f t="shared" si="304"/>
        <v>0</v>
      </c>
      <c r="Q1979">
        <f t="shared" si="305"/>
        <v>0</v>
      </c>
      <c r="R1979">
        <f t="shared" si="306"/>
        <v>0</v>
      </c>
      <c r="S1979">
        <f t="shared" si="307"/>
        <v>0</v>
      </c>
      <c r="T1979">
        <f t="shared" si="309"/>
        <v>0</v>
      </c>
      <c r="U1979">
        <f t="shared" si="308"/>
        <v>0</v>
      </c>
    </row>
    <row r="1980" spans="1:21" x14ac:dyDescent="0.25">
      <c r="A1980" s="95">
        <v>1979</v>
      </c>
      <c r="B1980">
        <v>3017</v>
      </c>
      <c r="C1980" t="s">
        <v>181</v>
      </c>
      <c r="D1980">
        <v>14.64</v>
      </c>
      <c r="E1980" s="80">
        <v>179907.54</v>
      </c>
      <c r="F1980">
        <v>1.4</v>
      </c>
      <c r="G1980">
        <v>50.53</v>
      </c>
      <c r="H1980">
        <v>75.47</v>
      </c>
      <c r="I1980">
        <v>1994.58</v>
      </c>
      <c r="J1980">
        <v>32.020000000000003</v>
      </c>
      <c r="K1980">
        <v>98</v>
      </c>
      <c r="L1980">
        <f t="shared" si="300"/>
        <v>0</v>
      </c>
      <c r="M1980">
        <f t="shared" si="301"/>
        <v>0</v>
      </c>
      <c r="N1980">
        <f t="shared" si="302"/>
        <v>0</v>
      </c>
      <c r="O1980">
        <f t="shared" si="303"/>
        <v>0</v>
      </c>
      <c r="P1980">
        <f t="shared" si="304"/>
        <v>0</v>
      </c>
      <c r="Q1980">
        <f t="shared" si="305"/>
        <v>0</v>
      </c>
      <c r="R1980">
        <f t="shared" si="306"/>
        <v>0</v>
      </c>
      <c r="S1980">
        <f t="shared" si="307"/>
        <v>0</v>
      </c>
      <c r="T1980">
        <f t="shared" si="309"/>
        <v>0</v>
      </c>
      <c r="U1980">
        <f t="shared" si="308"/>
        <v>0</v>
      </c>
    </row>
    <row r="1981" spans="1:21" x14ac:dyDescent="0.25">
      <c r="A1981" s="95">
        <v>1980</v>
      </c>
      <c r="B1981">
        <v>3017</v>
      </c>
      <c r="C1981" t="s">
        <v>183</v>
      </c>
      <c r="D1981">
        <v>24.7</v>
      </c>
      <c r="E1981">
        <v>23379.41</v>
      </c>
      <c r="F1981">
        <v>864.91</v>
      </c>
      <c r="G1981">
        <v>120.15</v>
      </c>
      <c r="H1981" s="80">
        <v>28382.93</v>
      </c>
      <c r="I1981" s="80">
        <v>20886.189999999999</v>
      </c>
      <c r="J1981">
        <v>75.510000000000005</v>
      </c>
      <c r="K1981" s="80">
        <v>11969.62</v>
      </c>
      <c r="L1981">
        <f t="shared" si="300"/>
        <v>0</v>
      </c>
      <c r="M1981">
        <f t="shared" si="301"/>
        <v>0</v>
      </c>
      <c r="N1981">
        <f t="shared" si="302"/>
        <v>0</v>
      </c>
      <c r="O1981">
        <f t="shared" si="303"/>
        <v>0</v>
      </c>
      <c r="P1981">
        <f t="shared" si="304"/>
        <v>0</v>
      </c>
      <c r="Q1981">
        <f t="shared" si="305"/>
        <v>0</v>
      </c>
      <c r="R1981">
        <f t="shared" si="306"/>
        <v>0</v>
      </c>
      <c r="S1981">
        <f t="shared" si="307"/>
        <v>0</v>
      </c>
      <c r="T1981">
        <f t="shared" si="309"/>
        <v>0</v>
      </c>
      <c r="U1981">
        <f t="shared" si="308"/>
        <v>0</v>
      </c>
    </row>
    <row r="1982" spans="1:21" x14ac:dyDescent="0.25">
      <c r="A1982" s="95">
        <v>1981</v>
      </c>
      <c r="B1982">
        <v>3017</v>
      </c>
      <c r="C1982" t="s">
        <v>186</v>
      </c>
      <c r="D1982">
        <v>26.5</v>
      </c>
      <c r="E1982" s="80">
        <v>28195.75</v>
      </c>
      <c r="F1982">
        <v>914.33</v>
      </c>
      <c r="G1982">
        <v>108.48</v>
      </c>
      <c r="H1982">
        <v>10622.87</v>
      </c>
      <c r="I1982" s="80">
        <v>20686.560000000001</v>
      </c>
      <c r="J1982">
        <v>75.510000000000005</v>
      </c>
      <c r="K1982" s="80">
        <v>9370.7999999999993</v>
      </c>
      <c r="L1982">
        <f t="shared" si="300"/>
        <v>0</v>
      </c>
      <c r="M1982">
        <f t="shared" si="301"/>
        <v>0</v>
      </c>
      <c r="N1982">
        <f t="shared" si="302"/>
        <v>0</v>
      </c>
      <c r="O1982">
        <f t="shared" si="303"/>
        <v>0</v>
      </c>
      <c r="P1982">
        <f t="shared" si="304"/>
        <v>0</v>
      </c>
      <c r="Q1982">
        <f t="shared" si="305"/>
        <v>0</v>
      </c>
      <c r="R1982">
        <f t="shared" si="306"/>
        <v>0</v>
      </c>
      <c r="S1982">
        <f t="shared" si="307"/>
        <v>0</v>
      </c>
      <c r="T1982">
        <f t="shared" si="309"/>
        <v>0</v>
      </c>
      <c r="U1982">
        <f t="shared" si="308"/>
        <v>0</v>
      </c>
    </row>
    <row r="1983" spans="1:21" x14ac:dyDescent="0.25">
      <c r="A1983" s="95">
        <v>1982</v>
      </c>
      <c r="B1983">
        <v>3017</v>
      </c>
      <c r="C1983" t="s">
        <v>188</v>
      </c>
      <c r="D1983">
        <v>27.42</v>
      </c>
      <c r="E1983" s="80">
        <v>30074.26</v>
      </c>
      <c r="F1983">
        <v>245.18</v>
      </c>
      <c r="G1983">
        <v>120.15</v>
      </c>
      <c r="H1983">
        <v>10192.280000000001</v>
      </c>
      <c r="I1983" s="80">
        <v>19339.36</v>
      </c>
      <c r="J1983">
        <v>77.31</v>
      </c>
      <c r="K1983" s="80">
        <v>16645.25</v>
      </c>
      <c r="L1983">
        <f t="shared" si="300"/>
        <v>0</v>
      </c>
      <c r="M1983">
        <f t="shared" si="301"/>
        <v>0</v>
      </c>
      <c r="N1983">
        <f t="shared" si="302"/>
        <v>0</v>
      </c>
      <c r="O1983">
        <f t="shared" si="303"/>
        <v>0</v>
      </c>
      <c r="P1983">
        <f t="shared" si="304"/>
        <v>0</v>
      </c>
      <c r="Q1983">
        <f t="shared" si="305"/>
        <v>0</v>
      </c>
      <c r="R1983">
        <f t="shared" si="306"/>
        <v>0</v>
      </c>
      <c r="S1983">
        <f t="shared" si="307"/>
        <v>0</v>
      </c>
      <c r="T1983">
        <f t="shared" si="309"/>
        <v>0</v>
      </c>
      <c r="U1983">
        <f t="shared" si="308"/>
        <v>0</v>
      </c>
    </row>
    <row r="1984" spans="1:21" x14ac:dyDescent="0.25">
      <c r="A1984" s="95">
        <v>1983</v>
      </c>
      <c r="B1984">
        <v>3017</v>
      </c>
      <c r="C1984" t="s">
        <v>182</v>
      </c>
      <c r="D1984">
        <v>11.61</v>
      </c>
      <c r="E1984">
        <v>18423.78</v>
      </c>
      <c r="F1984">
        <v>154.15</v>
      </c>
      <c r="G1984">
        <v>45.88</v>
      </c>
      <c r="H1984">
        <v>854.08</v>
      </c>
      <c r="I1984" s="80">
        <v>15009.8</v>
      </c>
      <c r="J1984">
        <v>41.38</v>
      </c>
      <c r="K1984">
        <v>2873.72</v>
      </c>
      <c r="L1984">
        <f t="shared" si="300"/>
        <v>0</v>
      </c>
      <c r="M1984">
        <f t="shared" si="301"/>
        <v>0</v>
      </c>
      <c r="N1984">
        <f t="shared" si="302"/>
        <v>0</v>
      </c>
      <c r="O1984">
        <f t="shared" si="303"/>
        <v>0</v>
      </c>
      <c r="P1984">
        <f t="shared" si="304"/>
        <v>0</v>
      </c>
      <c r="Q1984">
        <f t="shared" si="305"/>
        <v>0</v>
      </c>
      <c r="R1984">
        <f t="shared" si="306"/>
        <v>0</v>
      </c>
      <c r="S1984">
        <f t="shared" si="307"/>
        <v>0</v>
      </c>
      <c r="T1984">
        <f t="shared" si="309"/>
        <v>0</v>
      </c>
      <c r="U1984">
        <f t="shared" si="308"/>
        <v>0</v>
      </c>
    </row>
    <row r="1985" spans="1:21" x14ac:dyDescent="0.25">
      <c r="A1985" s="95">
        <v>1984</v>
      </c>
      <c r="B1985">
        <v>3017</v>
      </c>
      <c r="C1985" t="s">
        <v>184</v>
      </c>
      <c r="D1985">
        <v>22.93</v>
      </c>
      <c r="E1985" s="80">
        <v>40782.25</v>
      </c>
      <c r="F1985">
        <v>243.99</v>
      </c>
      <c r="G1985">
        <v>120.15</v>
      </c>
      <c r="H1985" s="80">
        <v>37257.51</v>
      </c>
      <c r="I1985" s="80">
        <v>18012.54</v>
      </c>
      <c r="J1985">
        <v>68.37</v>
      </c>
      <c r="K1985">
        <v>2547.2399999999998</v>
      </c>
      <c r="L1985">
        <f t="shared" si="300"/>
        <v>0</v>
      </c>
      <c r="M1985">
        <f t="shared" si="301"/>
        <v>0</v>
      </c>
      <c r="N1985">
        <f t="shared" si="302"/>
        <v>0</v>
      </c>
      <c r="O1985">
        <f t="shared" si="303"/>
        <v>0</v>
      </c>
      <c r="P1985">
        <f t="shared" si="304"/>
        <v>0</v>
      </c>
      <c r="Q1985">
        <f t="shared" si="305"/>
        <v>0</v>
      </c>
      <c r="R1985">
        <f t="shared" si="306"/>
        <v>0</v>
      </c>
      <c r="S1985">
        <f t="shared" si="307"/>
        <v>0</v>
      </c>
      <c r="T1985">
        <f t="shared" si="309"/>
        <v>0</v>
      </c>
      <c r="U1985">
        <f t="shared" si="308"/>
        <v>0</v>
      </c>
    </row>
    <row r="1986" spans="1:21" x14ac:dyDescent="0.25">
      <c r="A1986" s="95">
        <v>1985</v>
      </c>
      <c r="B1986">
        <v>3017</v>
      </c>
      <c r="C1986" t="s">
        <v>187</v>
      </c>
      <c r="D1986">
        <v>32.11</v>
      </c>
      <c r="E1986" s="80">
        <v>38181.81</v>
      </c>
      <c r="F1986">
        <v>325.83999999999997</v>
      </c>
      <c r="G1986">
        <v>120.15</v>
      </c>
      <c r="H1986" s="80">
        <v>62404</v>
      </c>
      <c r="I1986" s="80">
        <v>18605.46</v>
      </c>
      <c r="J1986">
        <v>68.37</v>
      </c>
      <c r="K1986">
        <v>5674.45</v>
      </c>
      <c r="L1986">
        <f t="shared" ref="L1986:L2049" si="310">IF(D1986 = "OOR &gt;", 1,0)</f>
        <v>0</v>
      </c>
      <c r="M1986">
        <f t="shared" ref="M1986:M2049" si="311">IF(E1986 = "OOR &gt;", 1,0)</f>
        <v>0</v>
      </c>
      <c r="N1986">
        <f t="shared" ref="N1986:N2049" si="312">IF(F1986 = "OOR &gt;", 1,0)</f>
        <v>0</v>
      </c>
      <c r="O1986">
        <f t="shared" ref="O1986:O2049" si="313">IF(G1986 = "OOR &gt;", 1,0)</f>
        <v>0</v>
      </c>
      <c r="P1986">
        <f t="shared" ref="P1986:P2049" si="314">IF(H1986 = "OOR &gt;", 1,0)</f>
        <v>0</v>
      </c>
      <c r="Q1986">
        <f t="shared" ref="Q1986:Q2049" si="315">IF(I1986 = "OOR &gt;", 1,0)</f>
        <v>0</v>
      </c>
      <c r="R1986">
        <f t="shared" ref="R1986:R2049" si="316">IF(J1986 = "OOR &gt;", 1,0)</f>
        <v>0</v>
      </c>
      <c r="S1986">
        <f t="shared" ref="S1986:S2049" si="317">IF(K1986 = "OOR &gt;", 1,0)</f>
        <v>0</v>
      </c>
      <c r="T1986">
        <f t="shared" si="309"/>
        <v>0</v>
      </c>
      <c r="U1986">
        <f t="shared" ref="U1986:U2049" si="318">IF(T1986 &gt; 0,1,0)</f>
        <v>0</v>
      </c>
    </row>
    <row r="1987" spans="1:21" x14ac:dyDescent="0.25">
      <c r="A1987" s="95">
        <v>1986</v>
      </c>
      <c r="B1987">
        <v>3017</v>
      </c>
      <c r="C1987" t="s">
        <v>189</v>
      </c>
      <c r="D1987">
        <v>44.12</v>
      </c>
      <c r="E1987" s="80">
        <v>25196.13</v>
      </c>
      <c r="F1987">
        <v>87.55</v>
      </c>
      <c r="G1987">
        <v>132.13</v>
      </c>
      <c r="H1987" s="80">
        <v>35686.19</v>
      </c>
      <c r="I1987" s="80">
        <v>14618.18</v>
      </c>
      <c r="J1987">
        <v>75.510000000000005</v>
      </c>
      <c r="K1987" s="80">
        <v>12058.8</v>
      </c>
      <c r="L1987">
        <f t="shared" si="310"/>
        <v>0</v>
      </c>
      <c r="M1987">
        <f t="shared" si="311"/>
        <v>0</v>
      </c>
      <c r="N1987">
        <f t="shared" si="312"/>
        <v>0</v>
      </c>
      <c r="O1987">
        <f t="shared" si="313"/>
        <v>0</v>
      </c>
      <c r="P1987">
        <f t="shared" si="314"/>
        <v>0</v>
      </c>
      <c r="Q1987">
        <f t="shared" si="315"/>
        <v>0</v>
      </c>
      <c r="R1987">
        <f t="shared" si="316"/>
        <v>0</v>
      </c>
      <c r="S1987">
        <f t="shared" si="317"/>
        <v>0</v>
      </c>
      <c r="T1987">
        <f t="shared" ref="T1987:T2050" si="319">SUMIF(L1987:S1987,"&gt;0")</f>
        <v>0</v>
      </c>
      <c r="U1987">
        <f t="shared" si="318"/>
        <v>0</v>
      </c>
    </row>
    <row r="1988" spans="1:21" x14ac:dyDescent="0.25">
      <c r="A1988" s="95">
        <v>1987</v>
      </c>
      <c r="B1988">
        <v>3025</v>
      </c>
      <c r="C1988" t="s">
        <v>182</v>
      </c>
      <c r="D1988" t="s">
        <v>583</v>
      </c>
      <c r="E1988">
        <v>444.17</v>
      </c>
      <c r="F1988" t="s">
        <v>583</v>
      </c>
      <c r="G1988" t="s">
        <v>583</v>
      </c>
      <c r="H1988" t="s">
        <v>583</v>
      </c>
      <c r="I1988">
        <v>0.08</v>
      </c>
      <c r="J1988" t="s">
        <v>583</v>
      </c>
      <c r="K1988">
        <v>0.1</v>
      </c>
      <c r="L1988">
        <f t="shared" si="310"/>
        <v>0</v>
      </c>
      <c r="M1988">
        <f t="shared" si="311"/>
        <v>0</v>
      </c>
      <c r="N1988">
        <f t="shared" si="312"/>
        <v>0</v>
      </c>
      <c r="O1988">
        <f t="shared" si="313"/>
        <v>0</v>
      </c>
      <c r="P1988">
        <f t="shared" si="314"/>
        <v>0</v>
      </c>
      <c r="Q1988">
        <f t="shared" si="315"/>
        <v>0</v>
      </c>
      <c r="R1988">
        <f t="shared" si="316"/>
        <v>0</v>
      </c>
      <c r="S1988">
        <f t="shared" si="317"/>
        <v>0</v>
      </c>
      <c r="T1988">
        <f t="shared" si="319"/>
        <v>0</v>
      </c>
      <c r="U1988">
        <f t="shared" si="318"/>
        <v>0</v>
      </c>
    </row>
    <row r="1989" spans="1:21" x14ac:dyDescent="0.25">
      <c r="A1989" s="95">
        <v>1988</v>
      </c>
      <c r="B1989">
        <v>3025</v>
      </c>
      <c r="C1989" t="s">
        <v>184</v>
      </c>
      <c r="D1989">
        <v>0.99</v>
      </c>
      <c r="E1989">
        <v>1608.88</v>
      </c>
      <c r="F1989">
        <v>5.15</v>
      </c>
      <c r="G1989" t="s">
        <v>583</v>
      </c>
      <c r="H1989">
        <v>108.72</v>
      </c>
      <c r="I1989" s="80">
        <v>3310.31</v>
      </c>
      <c r="J1989">
        <v>1.51</v>
      </c>
      <c r="K1989">
        <v>10.87</v>
      </c>
      <c r="L1989">
        <f t="shared" si="310"/>
        <v>0</v>
      </c>
      <c r="M1989">
        <f t="shared" si="311"/>
        <v>0</v>
      </c>
      <c r="N1989">
        <f t="shared" si="312"/>
        <v>0</v>
      </c>
      <c r="O1989">
        <f t="shared" si="313"/>
        <v>0</v>
      </c>
      <c r="P1989">
        <f t="shared" si="314"/>
        <v>0</v>
      </c>
      <c r="Q1989">
        <f t="shared" si="315"/>
        <v>0</v>
      </c>
      <c r="R1989">
        <f t="shared" si="316"/>
        <v>0</v>
      </c>
      <c r="S1989">
        <f t="shared" si="317"/>
        <v>0</v>
      </c>
      <c r="T1989">
        <f t="shared" si="319"/>
        <v>0</v>
      </c>
      <c r="U1989">
        <f t="shared" si="318"/>
        <v>0</v>
      </c>
    </row>
    <row r="1990" spans="1:21" x14ac:dyDescent="0.25">
      <c r="A1990" s="95">
        <v>1989</v>
      </c>
      <c r="B1990">
        <v>3025</v>
      </c>
      <c r="C1990" t="s">
        <v>187</v>
      </c>
      <c r="D1990">
        <v>0.99</v>
      </c>
      <c r="E1990">
        <v>2445.19</v>
      </c>
      <c r="F1990">
        <v>19.98</v>
      </c>
      <c r="G1990">
        <v>7.37</v>
      </c>
      <c r="H1990">
        <v>495.14</v>
      </c>
      <c r="I1990" s="80">
        <v>3848.72</v>
      </c>
      <c r="J1990">
        <v>3.32</v>
      </c>
      <c r="K1990">
        <v>74.36</v>
      </c>
      <c r="L1990">
        <f t="shared" si="310"/>
        <v>0</v>
      </c>
      <c r="M1990">
        <f t="shared" si="311"/>
        <v>0</v>
      </c>
      <c r="N1990">
        <f t="shared" si="312"/>
        <v>0</v>
      </c>
      <c r="O1990">
        <f t="shared" si="313"/>
        <v>0</v>
      </c>
      <c r="P1990">
        <f t="shared" si="314"/>
        <v>0</v>
      </c>
      <c r="Q1990">
        <f t="shared" si="315"/>
        <v>0</v>
      </c>
      <c r="R1990">
        <f t="shared" si="316"/>
        <v>0</v>
      </c>
      <c r="S1990">
        <f t="shared" si="317"/>
        <v>0</v>
      </c>
      <c r="T1990">
        <f t="shared" si="319"/>
        <v>0</v>
      </c>
      <c r="U1990">
        <f t="shared" si="318"/>
        <v>0</v>
      </c>
    </row>
    <row r="1991" spans="1:21" x14ac:dyDescent="0.25">
      <c r="A1991" s="95">
        <v>1990</v>
      </c>
      <c r="B1991">
        <v>3025</v>
      </c>
      <c r="C1991" t="s">
        <v>189</v>
      </c>
      <c r="D1991" t="s">
        <v>583</v>
      </c>
      <c r="E1991">
        <v>750.57</v>
      </c>
      <c r="F1991">
        <v>4.83</v>
      </c>
      <c r="G1991" s="80">
        <v>2.3199999999999998</v>
      </c>
      <c r="H1991">
        <v>161.94</v>
      </c>
      <c r="I1991">
        <v>1371.19</v>
      </c>
      <c r="J1991" s="80">
        <v>0.11</v>
      </c>
      <c r="K1991">
        <v>119.63</v>
      </c>
      <c r="L1991">
        <f t="shared" si="310"/>
        <v>0</v>
      </c>
      <c r="M1991">
        <f t="shared" si="311"/>
        <v>0</v>
      </c>
      <c r="N1991">
        <f t="shared" si="312"/>
        <v>0</v>
      </c>
      <c r="O1991">
        <f t="shared" si="313"/>
        <v>0</v>
      </c>
      <c r="P1991">
        <f t="shared" si="314"/>
        <v>0</v>
      </c>
      <c r="Q1991">
        <f t="shared" si="315"/>
        <v>0</v>
      </c>
      <c r="R1991">
        <f t="shared" si="316"/>
        <v>0</v>
      </c>
      <c r="S1991">
        <f t="shared" si="317"/>
        <v>0</v>
      </c>
      <c r="T1991">
        <f t="shared" si="319"/>
        <v>0</v>
      </c>
      <c r="U1991">
        <f t="shared" si="318"/>
        <v>0</v>
      </c>
    </row>
    <row r="1992" spans="1:21" x14ac:dyDescent="0.25">
      <c r="A1992" s="95">
        <v>1991</v>
      </c>
      <c r="B1992">
        <v>3026</v>
      </c>
      <c r="C1992" t="s">
        <v>182</v>
      </c>
      <c r="D1992">
        <v>7.45</v>
      </c>
      <c r="E1992" s="80">
        <v>38920.46</v>
      </c>
      <c r="F1992">
        <v>0.79</v>
      </c>
      <c r="G1992">
        <v>41.34</v>
      </c>
      <c r="H1992">
        <v>30.33</v>
      </c>
      <c r="I1992">
        <v>312.86</v>
      </c>
      <c r="J1992">
        <v>26.06</v>
      </c>
      <c r="K1992">
        <v>110.32</v>
      </c>
      <c r="L1992">
        <f t="shared" si="310"/>
        <v>0</v>
      </c>
      <c r="M1992">
        <f t="shared" si="311"/>
        <v>0</v>
      </c>
      <c r="N1992">
        <f t="shared" si="312"/>
        <v>0</v>
      </c>
      <c r="O1992">
        <f t="shared" si="313"/>
        <v>0</v>
      </c>
      <c r="P1992">
        <f t="shared" si="314"/>
        <v>0</v>
      </c>
      <c r="Q1992">
        <f t="shared" si="315"/>
        <v>0</v>
      </c>
      <c r="R1992">
        <f t="shared" si="316"/>
        <v>0</v>
      </c>
      <c r="S1992">
        <f t="shared" si="317"/>
        <v>0</v>
      </c>
      <c r="T1992">
        <f t="shared" si="319"/>
        <v>0</v>
      </c>
      <c r="U1992">
        <f t="shared" si="318"/>
        <v>0</v>
      </c>
    </row>
    <row r="1993" spans="1:21" x14ac:dyDescent="0.25">
      <c r="A1993" s="95">
        <v>1992</v>
      </c>
      <c r="B1993">
        <v>3026</v>
      </c>
      <c r="C1993" t="s">
        <v>184</v>
      </c>
      <c r="D1993">
        <v>26.5</v>
      </c>
      <c r="E1993" s="80">
        <v>43985.03</v>
      </c>
      <c r="F1993">
        <v>1945.65</v>
      </c>
      <c r="G1993">
        <v>108.48</v>
      </c>
      <c r="H1993">
        <v>3608.03</v>
      </c>
      <c r="I1993" s="80">
        <v>18949.66</v>
      </c>
      <c r="J1993">
        <v>68.37</v>
      </c>
      <c r="K1993">
        <v>7268.94</v>
      </c>
      <c r="L1993">
        <f t="shared" si="310"/>
        <v>0</v>
      </c>
      <c r="M1993">
        <f t="shared" si="311"/>
        <v>0</v>
      </c>
      <c r="N1993">
        <f t="shared" si="312"/>
        <v>0</v>
      </c>
      <c r="O1993">
        <f t="shared" si="313"/>
        <v>0</v>
      </c>
      <c r="P1993">
        <f t="shared" si="314"/>
        <v>0</v>
      </c>
      <c r="Q1993">
        <f t="shared" si="315"/>
        <v>0</v>
      </c>
      <c r="R1993">
        <f t="shared" si="316"/>
        <v>0</v>
      </c>
      <c r="S1993">
        <f t="shared" si="317"/>
        <v>0</v>
      </c>
      <c r="T1993">
        <f t="shared" si="319"/>
        <v>0</v>
      </c>
      <c r="U1993">
        <f t="shared" si="318"/>
        <v>0</v>
      </c>
    </row>
    <row r="1994" spans="1:21" x14ac:dyDescent="0.25">
      <c r="A1994" s="95">
        <v>1993</v>
      </c>
      <c r="B1994">
        <v>3026</v>
      </c>
      <c r="C1994" t="s">
        <v>187</v>
      </c>
      <c r="D1994">
        <v>28.34</v>
      </c>
      <c r="E1994" s="80">
        <v>46337.68</v>
      </c>
      <c r="F1994" s="80">
        <v>5463.49</v>
      </c>
      <c r="G1994">
        <v>144.38999999999999</v>
      </c>
      <c r="H1994">
        <v>12434.83</v>
      </c>
      <c r="I1994" s="80">
        <v>20229.73</v>
      </c>
      <c r="J1994">
        <v>84.62</v>
      </c>
      <c r="K1994" s="80">
        <v>13029.31</v>
      </c>
      <c r="L1994">
        <f t="shared" si="310"/>
        <v>0</v>
      </c>
      <c r="M1994">
        <f t="shared" si="311"/>
        <v>0</v>
      </c>
      <c r="N1994">
        <f t="shared" si="312"/>
        <v>0</v>
      </c>
      <c r="O1994">
        <f t="shared" si="313"/>
        <v>0</v>
      </c>
      <c r="P1994">
        <f t="shared" si="314"/>
        <v>0</v>
      </c>
      <c r="Q1994">
        <f t="shared" si="315"/>
        <v>0</v>
      </c>
      <c r="R1994">
        <f t="shared" si="316"/>
        <v>0</v>
      </c>
      <c r="S1994">
        <f t="shared" si="317"/>
        <v>0</v>
      </c>
      <c r="T1994">
        <f t="shared" si="319"/>
        <v>0</v>
      </c>
      <c r="U1994">
        <f t="shared" si="318"/>
        <v>0</v>
      </c>
    </row>
    <row r="1995" spans="1:21" x14ac:dyDescent="0.25">
      <c r="A1995" s="95">
        <v>1994</v>
      </c>
      <c r="B1995">
        <v>3026</v>
      </c>
      <c r="C1995" t="s">
        <v>189</v>
      </c>
      <c r="D1995">
        <v>23.81</v>
      </c>
      <c r="E1995" s="80">
        <v>56227.4</v>
      </c>
      <c r="F1995">
        <v>1826.18</v>
      </c>
      <c r="G1995">
        <v>120.15</v>
      </c>
      <c r="H1995">
        <v>5151.25</v>
      </c>
      <c r="I1995" s="80">
        <v>18146.23</v>
      </c>
      <c r="J1995">
        <v>90.18</v>
      </c>
      <c r="K1995" s="80">
        <v>13789.01</v>
      </c>
      <c r="L1995">
        <f t="shared" si="310"/>
        <v>0</v>
      </c>
      <c r="M1995">
        <f t="shared" si="311"/>
        <v>0</v>
      </c>
      <c r="N1995">
        <f t="shared" si="312"/>
        <v>0</v>
      </c>
      <c r="O1995">
        <f t="shared" si="313"/>
        <v>0</v>
      </c>
      <c r="P1995">
        <f t="shared" si="314"/>
        <v>0</v>
      </c>
      <c r="Q1995">
        <f t="shared" si="315"/>
        <v>0</v>
      </c>
      <c r="R1995">
        <f t="shared" si="316"/>
        <v>0</v>
      </c>
      <c r="S1995">
        <f t="shared" si="317"/>
        <v>0</v>
      </c>
      <c r="T1995">
        <f t="shared" si="319"/>
        <v>0</v>
      </c>
      <c r="U1995">
        <f t="shared" si="318"/>
        <v>0</v>
      </c>
    </row>
    <row r="1996" spans="1:21" x14ac:dyDescent="0.25">
      <c r="A1996" s="95">
        <v>1995</v>
      </c>
      <c r="B1996" s="91">
        <v>3026</v>
      </c>
      <c r="C1996" s="2" t="s">
        <v>162</v>
      </c>
      <c r="D1996" s="80">
        <v>0.31</v>
      </c>
      <c r="E1996">
        <v>2204.52</v>
      </c>
      <c r="F1996">
        <v>2.68</v>
      </c>
      <c r="G1996" s="80">
        <v>2.3199999999999998</v>
      </c>
      <c r="H1996">
        <v>70.52</v>
      </c>
      <c r="I1996" s="80">
        <v>4446.01</v>
      </c>
      <c r="J1996">
        <v>1.51</v>
      </c>
      <c r="K1996">
        <v>83.43</v>
      </c>
      <c r="L1996">
        <f t="shared" si="310"/>
        <v>0</v>
      </c>
      <c r="M1996">
        <f t="shared" si="311"/>
        <v>0</v>
      </c>
      <c r="N1996">
        <f t="shared" si="312"/>
        <v>0</v>
      </c>
      <c r="O1996">
        <f t="shared" si="313"/>
        <v>0</v>
      </c>
      <c r="P1996">
        <f t="shared" si="314"/>
        <v>0</v>
      </c>
      <c r="Q1996">
        <f t="shared" si="315"/>
        <v>0</v>
      </c>
      <c r="R1996">
        <f t="shared" si="316"/>
        <v>0</v>
      </c>
      <c r="S1996">
        <f t="shared" si="317"/>
        <v>0</v>
      </c>
      <c r="T1996">
        <f t="shared" si="319"/>
        <v>0</v>
      </c>
      <c r="U1996">
        <f t="shared" si="318"/>
        <v>0</v>
      </c>
    </row>
    <row r="1997" spans="1:21" x14ac:dyDescent="0.25">
      <c r="A1997" s="95">
        <v>1996</v>
      </c>
      <c r="B1997" s="91">
        <v>3026</v>
      </c>
      <c r="C1997" s="2" t="s">
        <v>170</v>
      </c>
      <c r="D1997">
        <v>7.45</v>
      </c>
      <c r="E1997">
        <v>3977.55</v>
      </c>
      <c r="F1997">
        <v>58.04</v>
      </c>
      <c r="G1997">
        <v>20.7</v>
      </c>
      <c r="H1997">
        <v>6508.44</v>
      </c>
      <c r="I1997" s="80">
        <v>9879.35</v>
      </c>
      <c r="J1997">
        <v>12.39</v>
      </c>
      <c r="K1997">
        <v>567.09</v>
      </c>
      <c r="L1997">
        <f t="shared" si="310"/>
        <v>0</v>
      </c>
      <c r="M1997">
        <f t="shared" si="311"/>
        <v>0</v>
      </c>
      <c r="N1997">
        <f t="shared" si="312"/>
        <v>0</v>
      </c>
      <c r="O1997">
        <f t="shared" si="313"/>
        <v>0</v>
      </c>
      <c r="P1997">
        <f t="shared" si="314"/>
        <v>0</v>
      </c>
      <c r="Q1997">
        <f t="shared" si="315"/>
        <v>0</v>
      </c>
      <c r="R1997">
        <f t="shared" si="316"/>
        <v>0</v>
      </c>
      <c r="S1997">
        <f t="shared" si="317"/>
        <v>0</v>
      </c>
      <c r="T1997">
        <f t="shared" si="319"/>
        <v>0</v>
      </c>
      <c r="U1997">
        <f t="shared" si="318"/>
        <v>0</v>
      </c>
    </row>
    <row r="1998" spans="1:21" x14ac:dyDescent="0.25">
      <c r="A1998" s="95">
        <v>1997</v>
      </c>
      <c r="B1998" s="91">
        <v>3026</v>
      </c>
      <c r="C1998" s="2" t="s">
        <v>178</v>
      </c>
      <c r="D1998">
        <v>6.18</v>
      </c>
      <c r="E1998">
        <v>5232.3100000000004</v>
      </c>
      <c r="F1998">
        <v>110.43</v>
      </c>
      <c r="G1998">
        <v>28.51</v>
      </c>
      <c r="H1998">
        <v>10154.5</v>
      </c>
      <c r="I1998" s="80">
        <v>9049.34</v>
      </c>
      <c r="J1998">
        <v>17.62</v>
      </c>
      <c r="K1998">
        <v>1652.13</v>
      </c>
      <c r="L1998">
        <f t="shared" si="310"/>
        <v>0</v>
      </c>
      <c r="M1998">
        <f t="shared" si="311"/>
        <v>0</v>
      </c>
      <c r="N1998">
        <f t="shared" si="312"/>
        <v>0</v>
      </c>
      <c r="O1998">
        <f t="shared" si="313"/>
        <v>0</v>
      </c>
      <c r="P1998">
        <f t="shared" si="314"/>
        <v>0</v>
      </c>
      <c r="Q1998">
        <f t="shared" si="315"/>
        <v>0</v>
      </c>
      <c r="R1998">
        <f t="shared" si="316"/>
        <v>0</v>
      </c>
      <c r="S1998">
        <f t="shared" si="317"/>
        <v>0</v>
      </c>
      <c r="T1998">
        <f t="shared" si="319"/>
        <v>0</v>
      </c>
      <c r="U1998">
        <f t="shared" si="318"/>
        <v>0</v>
      </c>
    </row>
    <row r="1999" spans="1:21" x14ac:dyDescent="0.25">
      <c r="A1999" s="95">
        <v>1998</v>
      </c>
      <c r="B1999" s="91">
        <v>3026</v>
      </c>
      <c r="C1999" s="2" t="s">
        <v>163</v>
      </c>
      <c r="D1999">
        <v>2.78</v>
      </c>
      <c r="E1999">
        <v>2957.11</v>
      </c>
      <c r="F1999">
        <v>8.52</v>
      </c>
      <c r="G1999">
        <v>28.51</v>
      </c>
      <c r="H1999">
        <v>6093.67</v>
      </c>
      <c r="I1999" s="80">
        <v>5571.03</v>
      </c>
      <c r="J1999">
        <v>18.98</v>
      </c>
      <c r="K1999">
        <v>1774.14</v>
      </c>
      <c r="L1999">
        <f t="shared" si="310"/>
        <v>0</v>
      </c>
      <c r="M1999">
        <f t="shared" si="311"/>
        <v>0</v>
      </c>
      <c r="N1999">
        <f t="shared" si="312"/>
        <v>0</v>
      </c>
      <c r="O1999">
        <f t="shared" si="313"/>
        <v>0</v>
      </c>
      <c r="P1999">
        <f t="shared" si="314"/>
        <v>0</v>
      </c>
      <c r="Q1999">
        <f t="shared" si="315"/>
        <v>0</v>
      </c>
      <c r="R1999">
        <f t="shared" si="316"/>
        <v>0</v>
      </c>
      <c r="S1999">
        <f t="shared" si="317"/>
        <v>0</v>
      </c>
      <c r="T1999">
        <f t="shared" si="319"/>
        <v>0</v>
      </c>
      <c r="U1999">
        <f t="shared" si="318"/>
        <v>0</v>
      </c>
    </row>
    <row r="2000" spans="1:21" x14ac:dyDescent="0.25">
      <c r="A2000" s="95">
        <v>1999</v>
      </c>
      <c r="B2000">
        <v>1076</v>
      </c>
      <c r="C2000" t="s">
        <v>162</v>
      </c>
      <c r="D2000">
        <v>0.99</v>
      </c>
      <c r="E2000">
        <v>22.99</v>
      </c>
      <c r="F2000">
        <v>0.03</v>
      </c>
      <c r="G2000">
        <v>7.37</v>
      </c>
      <c r="H2000" t="s">
        <v>583</v>
      </c>
      <c r="I2000" s="80">
        <v>0.02</v>
      </c>
      <c r="J2000" t="s">
        <v>583</v>
      </c>
      <c r="K2000">
        <v>0.1</v>
      </c>
      <c r="L2000">
        <f t="shared" si="310"/>
        <v>0</v>
      </c>
      <c r="M2000">
        <f t="shared" si="311"/>
        <v>0</v>
      </c>
      <c r="N2000">
        <f t="shared" si="312"/>
        <v>0</v>
      </c>
      <c r="O2000">
        <f t="shared" si="313"/>
        <v>0</v>
      </c>
      <c r="P2000">
        <f t="shared" si="314"/>
        <v>0</v>
      </c>
      <c r="Q2000">
        <f t="shared" si="315"/>
        <v>0</v>
      </c>
      <c r="R2000">
        <f t="shared" si="316"/>
        <v>0</v>
      </c>
      <c r="S2000">
        <f t="shared" si="317"/>
        <v>0</v>
      </c>
      <c r="T2000">
        <f t="shared" si="319"/>
        <v>0</v>
      </c>
      <c r="U2000">
        <f t="shared" si="318"/>
        <v>0</v>
      </c>
    </row>
    <row r="2001" spans="1:21" x14ac:dyDescent="0.25">
      <c r="A2001" s="95">
        <v>2000</v>
      </c>
      <c r="B2001">
        <v>1076</v>
      </c>
      <c r="C2001" t="s">
        <v>170</v>
      </c>
      <c r="D2001">
        <v>2.78</v>
      </c>
      <c r="E2001">
        <v>2291.7399999999998</v>
      </c>
      <c r="F2001">
        <v>93.42</v>
      </c>
      <c r="G2001">
        <v>55.31</v>
      </c>
      <c r="H2001">
        <v>2058.0300000000002</v>
      </c>
      <c r="I2001" s="80">
        <v>8208.49</v>
      </c>
      <c r="J2001">
        <v>12.39</v>
      </c>
      <c r="K2001">
        <v>251.11</v>
      </c>
      <c r="L2001">
        <f t="shared" si="310"/>
        <v>0</v>
      </c>
      <c r="M2001">
        <f t="shared" si="311"/>
        <v>0</v>
      </c>
      <c r="N2001">
        <f t="shared" si="312"/>
        <v>0</v>
      </c>
      <c r="O2001">
        <f t="shared" si="313"/>
        <v>0</v>
      </c>
      <c r="P2001">
        <f t="shared" si="314"/>
        <v>0</v>
      </c>
      <c r="Q2001">
        <f t="shared" si="315"/>
        <v>0</v>
      </c>
      <c r="R2001">
        <f t="shared" si="316"/>
        <v>0</v>
      </c>
      <c r="S2001">
        <f t="shared" si="317"/>
        <v>0</v>
      </c>
      <c r="T2001">
        <f t="shared" si="319"/>
        <v>0</v>
      </c>
      <c r="U2001">
        <f t="shared" si="318"/>
        <v>0</v>
      </c>
    </row>
    <row r="2002" spans="1:21" x14ac:dyDescent="0.25">
      <c r="A2002" s="95">
        <v>2001</v>
      </c>
      <c r="B2002">
        <v>1076</v>
      </c>
      <c r="C2002" t="s">
        <v>178</v>
      </c>
      <c r="D2002">
        <v>6.18</v>
      </c>
      <c r="E2002">
        <v>3625.6</v>
      </c>
      <c r="F2002">
        <v>237.96</v>
      </c>
      <c r="G2002">
        <v>91.58</v>
      </c>
      <c r="H2002">
        <v>6034.87</v>
      </c>
      <c r="I2002" s="80">
        <v>12237.62</v>
      </c>
      <c r="J2002">
        <v>12.39</v>
      </c>
      <c r="K2002">
        <v>830.89</v>
      </c>
      <c r="L2002">
        <f t="shared" si="310"/>
        <v>0</v>
      </c>
      <c r="M2002">
        <f t="shared" si="311"/>
        <v>0</v>
      </c>
      <c r="N2002">
        <f t="shared" si="312"/>
        <v>0</v>
      </c>
      <c r="O2002">
        <f t="shared" si="313"/>
        <v>0</v>
      </c>
      <c r="P2002">
        <f t="shared" si="314"/>
        <v>0</v>
      </c>
      <c r="Q2002">
        <f t="shared" si="315"/>
        <v>0</v>
      </c>
      <c r="R2002">
        <f t="shared" si="316"/>
        <v>0</v>
      </c>
      <c r="S2002">
        <f t="shared" si="317"/>
        <v>0</v>
      </c>
      <c r="T2002">
        <f t="shared" si="319"/>
        <v>0</v>
      </c>
      <c r="U2002">
        <f t="shared" si="318"/>
        <v>0</v>
      </c>
    </row>
    <row r="2003" spans="1:21" x14ac:dyDescent="0.25">
      <c r="A2003" s="95">
        <v>2002</v>
      </c>
      <c r="B2003">
        <v>1076</v>
      </c>
      <c r="C2003" t="s">
        <v>163</v>
      </c>
      <c r="D2003">
        <v>12.35</v>
      </c>
      <c r="E2003">
        <v>4124.97</v>
      </c>
      <c r="F2003">
        <v>73.64</v>
      </c>
      <c r="G2003">
        <v>36.93</v>
      </c>
      <c r="H2003">
        <v>2196.9</v>
      </c>
      <c r="I2003" s="80">
        <v>13144.75</v>
      </c>
      <c r="J2003">
        <v>26.06</v>
      </c>
      <c r="K2003">
        <v>2063.27</v>
      </c>
      <c r="L2003">
        <f t="shared" si="310"/>
        <v>0</v>
      </c>
      <c r="M2003">
        <f t="shared" si="311"/>
        <v>0</v>
      </c>
      <c r="N2003">
        <f t="shared" si="312"/>
        <v>0</v>
      </c>
      <c r="O2003">
        <f t="shared" si="313"/>
        <v>0</v>
      </c>
      <c r="P2003">
        <f t="shared" si="314"/>
        <v>0</v>
      </c>
      <c r="Q2003">
        <f t="shared" si="315"/>
        <v>0</v>
      </c>
      <c r="R2003">
        <f t="shared" si="316"/>
        <v>0</v>
      </c>
      <c r="S2003">
        <f t="shared" si="317"/>
        <v>0</v>
      </c>
      <c r="T2003">
        <f t="shared" si="319"/>
        <v>0</v>
      </c>
      <c r="U2003">
        <f t="shared" si="318"/>
        <v>0</v>
      </c>
    </row>
    <row r="2004" spans="1:21" x14ac:dyDescent="0.25">
      <c r="A2004" s="95">
        <v>2003</v>
      </c>
      <c r="B2004">
        <v>1076</v>
      </c>
      <c r="C2004" t="s">
        <v>181</v>
      </c>
      <c r="D2004">
        <v>3.83</v>
      </c>
      <c r="E2004">
        <v>18455.310000000001</v>
      </c>
      <c r="F2004">
        <v>0.54</v>
      </c>
      <c r="G2004">
        <v>28.51</v>
      </c>
      <c r="H2004">
        <v>21.02</v>
      </c>
      <c r="I2004">
        <v>184.81</v>
      </c>
      <c r="J2004">
        <v>18.98</v>
      </c>
      <c r="K2004">
        <v>4.42</v>
      </c>
      <c r="L2004">
        <f t="shared" si="310"/>
        <v>0</v>
      </c>
      <c r="M2004">
        <f t="shared" si="311"/>
        <v>0</v>
      </c>
      <c r="N2004">
        <f t="shared" si="312"/>
        <v>0</v>
      </c>
      <c r="O2004">
        <f t="shared" si="313"/>
        <v>0</v>
      </c>
      <c r="P2004">
        <f t="shared" si="314"/>
        <v>0</v>
      </c>
      <c r="Q2004">
        <f t="shared" si="315"/>
        <v>0</v>
      </c>
      <c r="R2004">
        <f t="shared" si="316"/>
        <v>0</v>
      </c>
      <c r="S2004">
        <f t="shared" si="317"/>
        <v>0</v>
      </c>
      <c r="T2004">
        <f t="shared" si="319"/>
        <v>0</v>
      </c>
      <c r="U2004">
        <f t="shared" si="318"/>
        <v>0</v>
      </c>
    </row>
    <row r="2005" spans="1:21" x14ac:dyDescent="0.25">
      <c r="A2005" s="95">
        <v>2004</v>
      </c>
      <c r="B2005">
        <v>1076</v>
      </c>
      <c r="C2005" t="s">
        <v>183</v>
      </c>
      <c r="D2005">
        <v>14.64</v>
      </c>
      <c r="E2005">
        <v>14752.58</v>
      </c>
      <c r="F2005">
        <v>642.03</v>
      </c>
      <c r="G2005">
        <v>75.459999999999994</v>
      </c>
      <c r="H2005">
        <v>9812.6</v>
      </c>
      <c r="I2005" s="80">
        <v>17838.2</v>
      </c>
      <c r="J2005">
        <v>41.38</v>
      </c>
      <c r="K2005">
        <v>6448.8</v>
      </c>
      <c r="L2005">
        <f t="shared" si="310"/>
        <v>0</v>
      </c>
      <c r="M2005">
        <f t="shared" si="311"/>
        <v>0</v>
      </c>
      <c r="N2005">
        <f t="shared" si="312"/>
        <v>0</v>
      </c>
      <c r="O2005">
        <f t="shared" si="313"/>
        <v>0</v>
      </c>
      <c r="P2005">
        <f t="shared" si="314"/>
        <v>0</v>
      </c>
      <c r="Q2005">
        <f t="shared" si="315"/>
        <v>0</v>
      </c>
      <c r="R2005">
        <f t="shared" si="316"/>
        <v>0</v>
      </c>
      <c r="S2005">
        <f t="shared" si="317"/>
        <v>0</v>
      </c>
      <c r="T2005">
        <f t="shared" si="319"/>
        <v>0</v>
      </c>
      <c r="U2005">
        <f t="shared" si="318"/>
        <v>0</v>
      </c>
    </row>
    <row r="2006" spans="1:21" x14ac:dyDescent="0.25">
      <c r="A2006" s="95">
        <v>2005</v>
      </c>
      <c r="B2006">
        <v>1076</v>
      </c>
      <c r="C2006" t="s">
        <v>186</v>
      </c>
      <c r="D2006">
        <v>16.22</v>
      </c>
      <c r="E2006">
        <v>13642.72</v>
      </c>
      <c r="F2006">
        <v>565.96</v>
      </c>
      <c r="G2006">
        <v>65.180000000000007</v>
      </c>
      <c r="H2006">
        <v>21252.12</v>
      </c>
      <c r="I2006" s="80">
        <v>18785.86</v>
      </c>
      <c r="J2006">
        <v>57.94</v>
      </c>
      <c r="K2006">
        <v>7663.28</v>
      </c>
      <c r="L2006">
        <f t="shared" si="310"/>
        <v>0</v>
      </c>
      <c r="M2006">
        <f t="shared" si="311"/>
        <v>0</v>
      </c>
      <c r="N2006">
        <f t="shared" si="312"/>
        <v>0</v>
      </c>
      <c r="O2006">
        <f t="shared" si="313"/>
        <v>0</v>
      </c>
      <c r="P2006">
        <f t="shared" si="314"/>
        <v>0</v>
      </c>
      <c r="Q2006">
        <f t="shared" si="315"/>
        <v>0</v>
      </c>
      <c r="R2006">
        <f t="shared" si="316"/>
        <v>0</v>
      </c>
      <c r="S2006">
        <f t="shared" si="317"/>
        <v>0</v>
      </c>
      <c r="T2006">
        <f t="shared" si="319"/>
        <v>0</v>
      </c>
      <c r="U2006">
        <f t="shared" si="318"/>
        <v>0</v>
      </c>
    </row>
    <row r="2007" spans="1:21" x14ac:dyDescent="0.25">
      <c r="A2007" s="95">
        <v>2006</v>
      </c>
      <c r="B2007">
        <v>1076</v>
      </c>
      <c r="C2007" t="s">
        <v>188</v>
      </c>
      <c r="D2007">
        <v>13.1</v>
      </c>
      <c r="E2007">
        <v>19021.759999999998</v>
      </c>
      <c r="F2007">
        <v>369.7</v>
      </c>
      <c r="G2007">
        <v>70.27</v>
      </c>
      <c r="H2007">
        <v>8808.5</v>
      </c>
      <c r="I2007" s="80">
        <v>19697.599999999999</v>
      </c>
      <c r="J2007">
        <v>51.18</v>
      </c>
      <c r="K2007">
        <v>6931.62</v>
      </c>
      <c r="L2007">
        <f t="shared" si="310"/>
        <v>0</v>
      </c>
      <c r="M2007">
        <f t="shared" si="311"/>
        <v>0</v>
      </c>
      <c r="N2007">
        <f t="shared" si="312"/>
        <v>0</v>
      </c>
      <c r="O2007">
        <f t="shared" si="313"/>
        <v>0</v>
      </c>
      <c r="P2007">
        <f t="shared" si="314"/>
        <v>0</v>
      </c>
      <c r="Q2007">
        <f t="shared" si="315"/>
        <v>0</v>
      </c>
      <c r="R2007">
        <f t="shared" si="316"/>
        <v>0</v>
      </c>
      <c r="S2007">
        <f t="shared" si="317"/>
        <v>0</v>
      </c>
      <c r="T2007">
        <f t="shared" si="319"/>
        <v>0</v>
      </c>
      <c r="U2007">
        <f t="shared" si="318"/>
        <v>0</v>
      </c>
    </row>
    <row r="2008" spans="1:21" x14ac:dyDescent="0.25">
      <c r="A2008" s="95">
        <v>2007</v>
      </c>
      <c r="B2008">
        <v>1076</v>
      </c>
      <c r="C2008" t="s">
        <v>182</v>
      </c>
      <c r="D2008" t="s">
        <v>583</v>
      </c>
      <c r="E2008">
        <v>225.79</v>
      </c>
      <c r="F2008">
        <v>0.06</v>
      </c>
      <c r="G2008" t="s">
        <v>583</v>
      </c>
      <c r="H2008" t="s">
        <v>583</v>
      </c>
      <c r="I2008">
        <v>0.15</v>
      </c>
      <c r="J2008" t="s">
        <v>583</v>
      </c>
      <c r="K2008" t="s">
        <v>583</v>
      </c>
      <c r="L2008">
        <f t="shared" si="310"/>
        <v>0</v>
      </c>
      <c r="M2008">
        <f t="shared" si="311"/>
        <v>0</v>
      </c>
      <c r="N2008">
        <f t="shared" si="312"/>
        <v>0</v>
      </c>
      <c r="O2008">
        <f t="shared" si="313"/>
        <v>0</v>
      </c>
      <c r="P2008">
        <f t="shared" si="314"/>
        <v>0</v>
      </c>
      <c r="Q2008">
        <f t="shared" si="315"/>
        <v>0</v>
      </c>
      <c r="R2008">
        <f t="shared" si="316"/>
        <v>0</v>
      </c>
      <c r="S2008">
        <f t="shared" si="317"/>
        <v>0</v>
      </c>
      <c r="T2008">
        <f t="shared" si="319"/>
        <v>0</v>
      </c>
      <c r="U2008">
        <f t="shared" si="318"/>
        <v>0</v>
      </c>
    </row>
    <row r="2009" spans="1:21" x14ac:dyDescent="0.25">
      <c r="A2009" s="95">
        <v>2008</v>
      </c>
      <c r="B2009">
        <v>1076</v>
      </c>
      <c r="C2009" t="s">
        <v>184</v>
      </c>
      <c r="D2009">
        <v>12.35</v>
      </c>
      <c r="E2009" s="80">
        <v>28055.49</v>
      </c>
      <c r="F2009">
        <v>42.18</v>
      </c>
      <c r="G2009">
        <v>55.31</v>
      </c>
      <c r="H2009">
        <v>147.69</v>
      </c>
      <c r="I2009" s="80">
        <v>10998.31</v>
      </c>
      <c r="J2009">
        <v>23.17</v>
      </c>
      <c r="K2009">
        <v>136.82</v>
      </c>
      <c r="L2009">
        <f t="shared" si="310"/>
        <v>0</v>
      </c>
      <c r="M2009">
        <f t="shared" si="311"/>
        <v>0</v>
      </c>
      <c r="N2009">
        <f t="shared" si="312"/>
        <v>0</v>
      </c>
      <c r="O2009">
        <f t="shared" si="313"/>
        <v>0</v>
      </c>
      <c r="P2009">
        <f t="shared" si="314"/>
        <v>0</v>
      </c>
      <c r="Q2009">
        <f t="shared" si="315"/>
        <v>0</v>
      </c>
      <c r="R2009">
        <f t="shared" si="316"/>
        <v>0</v>
      </c>
      <c r="S2009">
        <f t="shared" si="317"/>
        <v>0</v>
      </c>
      <c r="T2009">
        <f t="shared" si="319"/>
        <v>0</v>
      </c>
      <c r="U2009">
        <f t="shared" si="318"/>
        <v>0</v>
      </c>
    </row>
    <row r="2010" spans="1:21" x14ac:dyDescent="0.25">
      <c r="A2010" s="95">
        <v>2009</v>
      </c>
      <c r="B2010">
        <v>1076</v>
      </c>
      <c r="C2010" t="s">
        <v>187</v>
      </c>
      <c r="D2010">
        <v>124.64</v>
      </c>
      <c r="E2010" s="80">
        <v>41803.550000000003</v>
      </c>
      <c r="F2010">
        <v>1048.18</v>
      </c>
      <c r="G2010">
        <v>120.15</v>
      </c>
      <c r="H2010" s="80">
        <v>19249.490000000002</v>
      </c>
      <c r="I2010" s="80">
        <v>17749.04</v>
      </c>
      <c r="J2010">
        <v>71.92</v>
      </c>
      <c r="K2010">
        <v>6915.5</v>
      </c>
      <c r="L2010">
        <f t="shared" si="310"/>
        <v>0</v>
      </c>
      <c r="M2010">
        <f t="shared" si="311"/>
        <v>0</v>
      </c>
      <c r="N2010">
        <f t="shared" si="312"/>
        <v>0</v>
      </c>
      <c r="O2010">
        <f t="shared" si="313"/>
        <v>0</v>
      </c>
      <c r="P2010">
        <f t="shared" si="314"/>
        <v>0</v>
      </c>
      <c r="Q2010">
        <f t="shared" si="315"/>
        <v>0</v>
      </c>
      <c r="R2010">
        <f t="shared" si="316"/>
        <v>0</v>
      </c>
      <c r="S2010">
        <f t="shared" si="317"/>
        <v>0</v>
      </c>
      <c r="T2010">
        <f t="shared" si="319"/>
        <v>0</v>
      </c>
      <c r="U2010">
        <f t="shared" si="318"/>
        <v>0</v>
      </c>
    </row>
    <row r="2011" spans="1:21" x14ac:dyDescent="0.25">
      <c r="A2011" s="95">
        <v>2010</v>
      </c>
      <c r="B2011">
        <v>1076</v>
      </c>
      <c r="C2011" t="s">
        <v>189</v>
      </c>
      <c r="D2011">
        <v>33.07</v>
      </c>
      <c r="E2011">
        <v>14854.87</v>
      </c>
      <c r="F2011">
        <v>159.94</v>
      </c>
      <c r="G2011">
        <v>86.11</v>
      </c>
      <c r="H2011" s="80">
        <v>29003.25</v>
      </c>
      <c r="I2011" s="80">
        <v>17012.080000000002</v>
      </c>
      <c r="J2011">
        <v>57.94</v>
      </c>
      <c r="K2011" s="80">
        <v>12246.06</v>
      </c>
      <c r="L2011">
        <f t="shared" si="310"/>
        <v>0</v>
      </c>
      <c r="M2011">
        <f t="shared" si="311"/>
        <v>0</v>
      </c>
      <c r="N2011">
        <f t="shared" si="312"/>
        <v>0</v>
      </c>
      <c r="O2011">
        <f t="shared" si="313"/>
        <v>0</v>
      </c>
      <c r="P2011">
        <f t="shared" si="314"/>
        <v>0</v>
      </c>
      <c r="Q2011">
        <f t="shared" si="315"/>
        <v>0</v>
      </c>
      <c r="R2011">
        <f t="shared" si="316"/>
        <v>0</v>
      </c>
      <c r="S2011">
        <f t="shared" si="317"/>
        <v>0</v>
      </c>
      <c r="T2011">
        <f t="shared" si="319"/>
        <v>0</v>
      </c>
      <c r="U2011">
        <f t="shared" si="318"/>
        <v>0</v>
      </c>
    </row>
    <row r="2012" spans="1:21" x14ac:dyDescent="0.25">
      <c r="A2012" s="95">
        <v>2011</v>
      </c>
      <c r="B2012">
        <v>1077</v>
      </c>
      <c r="C2012" t="s">
        <v>162</v>
      </c>
      <c r="D2012">
        <v>17.84</v>
      </c>
      <c r="E2012" s="80">
        <v>360536.04</v>
      </c>
      <c r="F2012">
        <v>21.66</v>
      </c>
      <c r="G2012">
        <v>126.1</v>
      </c>
      <c r="H2012">
        <v>25.98</v>
      </c>
      <c r="I2012">
        <v>771.59</v>
      </c>
      <c r="J2012">
        <v>44.6</v>
      </c>
      <c r="K2012">
        <v>28.28</v>
      </c>
      <c r="L2012">
        <f t="shared" si="310"/>
        <v>0</v>
      </c>
      <c r="M2012">
        <f t="shared" si="311"/>
        <v>0</v>
      </c>
      <c r="N2012">
        <f t="shared" si="312"/>
        <v>0</v>
      </c>
      <c r="O2012">
        <f t="shared" si="313"/>
        <v>0</v>
      </c>
      <c r="P2012">
        <f t="shared" si="314"/>
        <v>0</v>
      </c>
      <c r="Q2012">
        <f t="shared" si="315"/>
        <v>0</v>
      </c>
      <c r="R2012">
        <f t="shared" si="316"/>
        <v>0</v>
      </c>
      <c r="S2012">
        <f t="shared" si="317"/>
        <v>0</v>
      </c>
      <c r="T2012">
        <f t="shared" si="319"/>
        <v>0</v>
      </c>
      <c r="U2012">
        <f t="shared" si="318"/>
        <v>0</v>
      </c>
    </row>
    <row r="2013" spans="1:21" x14ac:dyDescent="0.25">
      <c r="A2013" s="95">
        <v>2012</v>
      </c>
      <c r="B2013">
        <v>1077</v>
      </c>
      <c r="C2013" t="s">
        <v>170</v>
      </c>
      <c r="D2013">
        <v>24.7</v>
      </c>
      <c r="E2013" s="80">
        <v>82870.880000000005</v>
      </c>
      <c r="F2013">
        <v>494.1</v>
      </c>
      <c r="G2013">
        <v>120.15</v>
      </c>
      <c r="H2013">
        <v>8061.9</v>
      </c>
      <c r="I2013" s="80">
        <v>18818.580000000002</v>
      </c>
      <c r="J2013">
        <v>57.94</v>
      </c>
      <c r="K2013">
        <v>1111.68</v>
      </c>
      <c r="L2013">
        <f t="shared" si="310"/>
        <v>0</v>
      </c>
      <c r="M2013">
        <f t="shared" si="311"/>
        <v>0</v>
      </c>
      <c r="N2013">
        <f t="shared" si="312"/>
        <v>0</v>
      </c>
      <c r="O2013">
        <f t="shared" si="313"/>
        <v>0</v>
      </c>
      <c r="P2013">
        <f t="shared" si="314"/>
        <v>0</v>
      </c>
      <c r="Q2013">
        <f t="shared" si="315"/>
        <v>0</v>
      </c>
      <c r="R2013">
        <f t="shared" si="316"/>
        <v>0</v>
      </c>
      <c r="S2013">
        <f t="shared" si="317"/>
        <v>0</v>
      </c>
      <c r="T2013">
        <f t="shared" si="319"/>
        <v>0</v>
      </c>
      <c r="U2013">
        <f t="shared" si="318"/>
        <v>0</v>
      </c>
    </row>
    <row r="2014" spans="1:21" x14ac:dyDescent="0.25">
      <c r="A2014" s="95">
        <v>2013</v>
      </c>
      <c r="B2014">
        <v>1077</v>
      </c>
      <c r="C2014" t="s">
        <v>178</v>
      </c>
      <c r="D2014">
        <v>34.04</v>
      </c>
      <c r="E2014" s="80">
        <v>135731.92000000001</v>
      </c>
      <c r="F2014">
        <v>1030.24</v>
      </c>
      <c r="G2014">
        <v>144.38999999999999</v>
      </c>
      <c r="H2014">
        <v>9009.35</v>
      </c>
      <c r="I2014" s="80">
        <v>18912.39</v>
      </c>
      <c r="J2014">
        <v>71.92</v>
      </c>
      <c r="K2014">
        <v>2948.92</v>
      </c>
      <c r="L2014">
        <f t="shared" si="310"/>
        <v>0</v>
      </c>
      <c r="M2014">
        <f t="shared" si="311"/>
        <v>0</v>
      </c>
      <c r="N2014">
        <f t="shared" si="312"/>
        <v>0</v>
      </c>
      <c r="O2014">
        <f t="shared" si="313"/>
        <v>0</v>
      </c>
      <c r="P2014">
        <f t="shared" si="314"/>
        <v>0</v>
      </c>
      <c r="Q2014">
        <f t="shared" si="315"/>
        <v>0</v>
      </c>
      <c r="R2014">
        <f t="shared" si="316"/>
        <v>0</v>
      </c>
      <c r="S2014">
        <f t="shared" si="317"/>
        <v>0</v>
      </c>
      <c r="T2014">
        <f t="shared" si="319"/>
        <v>0</v>
      </c>
      <c r="U2014">
        <f t="shared" si="318"/>
        <v>0</v>
      </c>
    </row>
    <row r="2015" spans="1:21" x14ac:dyDescent="0.25">
      <c r="A2015" s="95">
        <v>2014</v>
      </c>
      <c r="B2015">
        <v>1077</v>
      </c>
      <c r="C2015" t="s">
        <v>163</v>
      </c>
      <c r="D2015">
        <v>34.04</v>
      </c>
      <c r="E2015" s="80">
        <v>360536.04</v>
      </c>
      <c r="F2015">
        <v>830.57</v>
      </c>
      <c r="G2015">
        <v>132.13</v>
      </c>
      <c r="H2015">
        <v>7086.1</v>
      </c>
      <c r="I2015" s="80">
        <v>18535.080000000002</v>
      </c>
      <c r="J2015">
        <v>77.31</v>
      </c>
      <c r="K2015" s="80">
        <v>9169.39</v>
      </c>
      <c r="L2015">
        <f t="shared" si="310"/>
        <v>0</v>
      </c>
      <c r="M2015">
        <f t="shared" si="311"/>
        <v>0</v>
      </c>
      <c r="N2015">
        <f t="shared" si="312"/>
        <v>0</v>
      </c>
      <c r="O2015">
        <f t="shared" si="313"/>
        <v>0</v>
      </c>
      <c r="P2015">
        <f t="shared" si="314"/>
        <v>0</v>
      </c>
      <c r="Q2015">
        <f t="shared" si="315"/>
        <v>0</v>
      </c>
      <c r="R2015">
        <f t="shared" si="316"/>
        <v>0</v>
      </c>
      <c r="S2015">
        <f t="shared" si="317"/>
        <v>0</v>
      </c>
      <c r="T2015">
        <f t="shared" si="319"/>
        <v>0</v>
      </c>
      <c r="U2015">
        <f t="shared" si="318"/>
        <v>0</v>
      </c>
    </row>
    <row r="2016" spans="1:21" x14ac:dyDescent="0.25">
      <c r="A2016" s="95">
        <v>2015</v>
      </c>
      <c r="B2016">
        <v>1077</v>
      </c>
      <c r="C2016" t="s">
        <v>181</v>
      </c>
      <c r="D2016">
        <v>10.17</v>
      </c>
      <c r="E2016" s="80">
        <v>57318.39</v>
      </c>
      <c r="F2016">
        <v>0.96</v>
      </c>
      <c r="G2016">
        <v>45.88</v>
      </c>
      <c r="H2016">
        <v>452.04</v>
      </c>
      <c r="I2016" s="80">
        <v>4340.0600000000004</v>
      </c>
      <c r="J2016">
        <v>35.08</v>
      </c>
      <c r="K2016">
        <v>185.84</v>
      </c>
      <c r="L2016">
        <f t="shared" si="310"/>
        <v>0</v>
      </c>
      <c r="M2016">
        <f t="shared" si="311"/>
        <v>0</v>
      </c>
      <c r="N2016">
        <f t="shared" si="312"/>
        <v>0</v>
      </c>
      <c r="O2016">
        <f t="shared" si="313"/>
        <v>0</v>
      </c>
      <c r="P2016">
        <f t="shared" si="314"/>
        <v>0</v>
      </c>
      <c r="Q2016">
        <f t="shared" si="315"/>
        <v>0</v>
      </c>
      <c r="R2016">
        <f t="shared" si="316"/>
        <v>0</v>
      </c>
      <c r="S2016">
        <f t="shared" si="317"/>
        <v>0</v>
      </c>
      <c r="T2016">
        <f t="shared" si="319"/>
        <v>0</v>
      </c>
      <c r="U2016">
        <f t="shared" si="318"/>
        <v>0</v>
      </c>
    </row>
    <row r="2017" spans="1:21" x14ac:dyDescent="0.25">
      <c r="A2017" s="95">
        <v>2016</v>
      </c>
      <c r="B2017">
        <v>1077</v>
      </c>
      <c r="C2017" t="s">
        <v>183</v>
      </c>
      <c r="D2017">
        <v>23.81</v>
      </c>
      <c r="E2017">
        <v>18550.240000000002</v>
      </c>
      <c r="F2017">
        <v>167.05</v>
      </c>
      <c r="G2017">
        <v>108.48</v>
      </c>
      <c r="H2017" s="80">
        <v>18978.23</v>
      </c>
      <c r="I2017" s="80">
        <v>22142.09</v>
      </c>
      <c r="J2017">
        <v>71.92</v>
      </c>
      <c r="K2017" s="80">
        <v>12822.17</v>
      </c>
      <c r="L2017">
        <f t="shared" si="310"/>
        <v>0</v>
      </c>
      <c r="M2017">
        <f t="shared" si="311"/>
        <v>0</v>
      </c>
      <c r="N2017">
        <f t="shared" si="312"/>
        <v>0</v>
      </c>
      <c r="O2017">
        <f t="shared" si="313"/>
        <v>0</v>
      </c>
      <c r="P2017">
        <f t="shared" si="314"/>
        <v>0</v>
      </c>
      <c r="Q2017">
        <f t="shared" si="315"/>
        <v>0</v>
      </c>
      <c r="R2017">
        <f t="shared" si="316"/>
        <v>0</v>
      </c>
      <c r="S2017">
        <f t="shared" si="317"/>
        <v>0</v>
      </c>
      <c r="T2017">
        <f t="shared" si="319"/>
        <v>0</v>
      </c>
      <c r="U2017">
        <f t="shared" si="318"/>
        <v>0</v>
      </c>
    </row>
    <row r="2018" spans="1:21" x14ac:dyDescent="0.25">
      <c r="A2018" s="95">
        <v>2017</v>
      </c>
      <c r="B2018">
        <v>1077</v>
      </c>
      <c r="C2018" t="s">
        <v>186</v>
      </c>
      <c r="D2018">
        <v>22.93</v>
      </c>
      <c r="E2018">
        <v>11659.28</v>
      </c>
      <c r="F2018">
        <v>140.12</v>
      </c>
      <c r="G2018">
        <v>75.459999999999994</v>
      </c>
      <c r="H2018" s="80">
        <v>28532.02</v>
      </c>
      <c r="I2018" s="80">
        <v>20616.060000000001</v>
      </c>
      <c r="J2018">
        <v>68.37</v>
      </c>
      <c r="K2018" s="80">
        <v>10004.24</v>
      </c>
      <c r="L2018">
        <f t="shared" si="310"/>
        <v>0</v>
      </c>
      <c r="M2018">
        <f t="shared" si="311"/>
        <v>0</v>
      </c>
      <c r="N2018">
        <f t="shared" si="312"/>
        <v>0</v>
      </c>
      <c r="O2018">
        <f t="shared" si="313"/>
        <v>0</v>
      </c>
      <c r="P2018">
        <f t="shared" si="314"/>
        <v>0</v>
      </c>
      <c r="Q2018">
        <f t="shared" si="315"/>
        <v>0</v>
      </c>
      <c r="R2018">
        <f t="shared" si="316"/>
        <v>0</v>
      </c>
      <c r="S2018">
        <f t="shared" si="317"/>
        <v>0</v>
      </c>
      <c r="T2018">
        <f t="shared" si="319"/>
        <v>0</v>
      </c>
      <c r="U2018">
        <f t="shared" si="318"/>
        <v>0</v>
      </c>
    </row>
    <row r="2019" spans="1:21" x14ac:dyDescent="0.25">
      <c r="A2019" s="95">
        <v>2018</v>
      </c>
      <c r="B2019">
        <v>1077</v>
      </c>
      <c r="C2019" t="s">
        <v>188</v>
      </c>
      <c r="D2019">
        <v>22.93</v>
      </c>
      <c r="E2019">
        <v>21347.59</v>
      </c>
      <c r="F2019">
        <v>96.39</v>
      </c>
      <c r="G2019">
        <v>108.48</v>
      </c>
      <c r="H2019">
        <v>14502.57</v>
      </c>
      <c r="I2019" s="80">
        <v>19320.599999999999</v>
      </c>
      <c r="J2019">
        <v>68.37</v>
      </c>
      <c r="K2019" s="80">
        <v>15907.92</v>
      </c>
      <c r="L2019">
        <f t="shared" si="310"/>
        <v>0</v>
      </c>
      <c r="M2019">
        <f t="shared" si="311"/>
        <v>0</v>
      </c>
      <c r="N2019">
        <f t="shared" si="312"/>
        <v>0</v>
      </c>
      <c r="O2019">
        <f t="shared" si="313"/>
        <v>0</v>
      </c>
      <c r="P2019">
        <f t="shared" si="314"/>
        <v>0</v>
      </c>
      <c r="Q2019">
        <f t="shared" si="315"/>
        <v>0</v>
      </c>
      <c r="R2019">
        <f t="shared" si="316"/>
        <v>0</v>
      </c>
      <c r="S2019">
        <f t="shared" si="317"/>
        <v>0</v>
      </c>
      <c r="T2019">
        <f t="shared" si="319"/>
        <v>0</v>
      </c>
      <c r="U2019">
        <f t="shared" si="318"/>
        <v>0</v>
      </c>
    </row>
    <row r="2020" spans="1:21" x14ac:dyDescent="0.25">
      <c r="A2020" s="95">
        <v>2019</v>
      </c>
      <c r="B2020">
        <v>1077</v>
      </c>
      <c r="C2020" t="s">
        <v>182</v>
      </c>
      <c r="D2020" t="s">
        <v>583</v>
      </c>
      <c r="E2020">
        <v>1688.29</v>
      </c>
      <c r="F2020" t="s">
        <v>583</v>
      </c>
      <c r="G2020" t="s">
        <v>583</v>
      </c>
      <c r="H2020" t="s">
        <v>583</v>
      </c>
      <c r="I2020">
        <v>11.68</v>
      </c>
      <c r="J2020">
        <v>1.51</v>
      </c>
      <c r="K2020">
        <v>0.48</v>
      </c>
      <c r="L2020">
        <f t="shared" si="310"/>
        <v>0</v>
      </c>
      <c r="M2020">
        <f t="shared" si="311"/>
        <v>0</v>
      </c>
      <c r="N2020">
        <f t="shared" si="312"/>
        <v>0</v>
      </c>
      <c r="O2020">
        <f t="shared" si="313"/>
        <v>0</v>
      </c>
      <c r="P2020">
        <f t="shared" si="314"/>
        <v>0</v>
      </c>
      <c r="Q2020">
        <f t="shared" si="315"/>
        <v>0</v>
      </c>
      <c r="R2020">
        <f t="shared" si="316"/>
        <v>0</v>
      </c>
      <c r="S2020">
        <f t="shared" si="317"/>
        <v>0</v>
      </c>
      <c r="T2020">
        <f t="shared" si="319"/>
        <v>0</v>
      </c>
      <c r="U2020">
        <f t="shared" si="318"/>
        <v>0</v>
      </c>
    </row>
    <row r="2021" spans="1:21" x14ac:dyDescent="0.25">
      <c r="A2021" s="95">
        <v>2020</v>
      </c>
      <c r="B2021">
        <v>1077</v>
      </c>
      <c r="C2021" t="s">
        <v>184</v>
      </c>
      <c r="D2021">
        <v>11.61</v>
      </c>
      <c r="E2021">
        <v>9452.77</v>
      </c>
      <c r="F2021">
        <v>133.08000000000001</v>
      </c>
      <c r="G2021">
        <v>28.51</v>
      </c>
      <c r="H2021">
        <v>13080.55</v>
      </c>
      <c r="I2021" s="80">
        <v>17237.34</v>
      </c>
      <c r="J2021">
        <v>33.54</v>
      </c>
      <c r="K2021">
        <v>2292.25</v>
      </c>
      <c r="L2021">
        <f t="shared" si="310"/>
        <v>0</v>
      </c>
      <c r="M2021">
        <f t="shared" si="311"/>
        <v>0</v>
      </c>
      <c r="N2021">
        <f t="shared" si="312"/>
        <v>0</v>
      </c>
      <c r="O2021">
        <f t="shared" si="313"/>
        <v>0</v>
      </c>
      <c r="P2021">
        <f t="shared" si="314"/>
        <v>0</v>
      </c>
      <c r="Q2021">
        <f t="shared" si="315"/>
        <v>0</v>
      </c>
      <c r="R2021">
        <f t="shared" si="316"/>
        <v>0</v>
      </c>
      <c r="S2021">
        <f t="shared" si="317"/>
        <v>0</v>
      </c>
      <c r="T2021">
        <f t="shared" si="319"/>
        <v>0</v>
      </c>
      <c r="U2021">
        <f t="shared" si="318"/>
        <v>0</v>
      </c>
    </row>
    <row r="2022" spans="1:21" x14ac:dyDescent="0.25">
      <c r="A2022" s="95">
        <v>2021</v>
      </c>
      <c r="B2022">
        <v>1077</v>
      </c>
      <c r="C2022" t="s">
        <v>187</v>
      </c>
      <c r="D2022">
        <v>22.93</v>
      </c>
      <c r="E2022">
        <v>11435.36</v>
      </c>
      <c r="F2022">
        <v>331.78</v>
      </c>
      <c r="G2022">
        <v>41.34</v>
      </c>
      <c r="H2022" s="80">
        <v>16632.41</v>
      </c>
      <c r="I2022" s="80">
        <v>17587.169999999998</v>
      </c>
      <c r="J2022">
        <v>57.94</v>
      </c>
      <c r="K2022">
        <v>7793.39</v>
      </c>
      <c r="L2022">
        <f t="shared" si="310"/>
        <v>0</v>
      </c>
      <c r="M2022">
        <f t="shared" si="311"/>
        <v>0</v>
      </c>
      <c r="N2022">
        <f t="shared" si="312"/>
        <v>0</v>
      </c>
      <c r="O2022">
        <f t="shared" si="313"/>
        <v>0</v>
      </c>
      <c r="P2022">
        <f t="shared" si="314"/>
        <v>0</v>
      </c>
      <c r="Q2022">
        <f t="shared" si="315"/>
        <v>0</v>
      </c>
      <c r="R2022">
        <f t="shared" si="316"/>
        <v>0</v>
      </c>
      <c r="S2022">
        <f t="shared" si="317"/>
        <v>0</v>
      </c>
      <c r="T2022">
        <f t="shared" si="319"/>
        <v>0</v>
      </c>
      <c r="U2022">
        <f t="shared" si="318"/>
        <v>0</v>
      </c>
    </row>
    <row r="2023" spans="1:21" x14ac:dyDescent="0.25">
      <c r="A2023" s="95">
        <v>2022</v>
      </c>
      <c r="B2023">
        <v>1077</v>
      </c>
      <c r="C2023" t="s">
        <v>189</v>
      </c>
      <c r="D2023">
        <v>8.7799999999999994</v>
      </c>
      <c r="E2023">
        <v>5214.1899999999996</v>
      </c>
      <c r="F2023">
        <v>7.84</v>
      </c>
      <c r="G2023">
        <v>28.51</v>
      </c>
      <c r="H2023">
        <v>13244.35</v>
      </c>
      <c r="I2023" s="80">
        <v>12678.77</v>
      </c>
      <c r="J2023">
        <v>47.87</v>
      </c>
      <c r="K2023">
        <v>7941.78</v>
      </c>
      <c r="L2023">
        <f t="shared" si="310"/>
        <v>0</v>
      </c>
      <c r="M2023">
        <f t="shared" si="311"/>
        <v>0</v>
      </c>
      <c r="N2023">
        <f t="shared" si="312"/>
        <v>0</v>
      </c>
      <c r="O2023">
        <f t="shared" si="313"/>
        <v>0</v>
      </c>
      <c r="P2023">
        <f t="shared" si="314"/>
        <v>0</v>
      </c>
      <c r="Q2023">
        <f t="shared" si="315"/>
        <v>0</v>
      </c>
      <c r="R2023">
        <f t="shared" si="316"/>
        <v>0</v>
      </c>
      <c r="S2023">
        <f t="shared" si="317"/>
        <v>0</v>
      </c>
      <c r="T2023">
        <f t="shared" si="319"/>
        <v>0</v>
      </c>
      <c r="U2023">
        <f t="shared" si="318"/>
        <v>0</v>
      </c>
    </row>
    <row r="2024" spans="1:21" x14ac:dyDescent="0.25">
      <c r="A2024" s="95">
        <v>2023</v>
      </c>
      <c r="B2024" t="s">
        <v>638</v>
      </c>
      <c r="C2024" t="s">
        <v>162</v>
      </c>
      <c r="D2024">
        <v>10.17</v>
      </c>
      <c r="E2024" s="80">
        <v>27916.21</v>
      </c>
      <c r="F2024">
        <v>0.27</v>
      </c>
      <c r="G2024">
        <v>80.739999999999995</v>
      </c>
      <c r="H2024">
        <v>2.31</v>
      </c>
      <c r="I2024">
        <v>5.45</v>
      </c>
      <c r="J2024">
        <v>17.62</v>
      </c>
      <c r="K2024">
        <v>10.74</v>
      </c>
      <c r="L2024">
        <f t="shared" si="310"/>
        <v>0</v>
      </c>
      <c r="M2024">
        <f t="shared" si="311"/>
        <v>0</v>
      </c>
      <c r="N2024">
        <f t="shared" si="312"/>
        <v>0</v>
      </c>
      <c r="O2024">
        <f t="shared" si="313"/>
        <v>0</v>
      </c>
      <c r="P2024">
        <f t="shared" si="314"/>
        <v>0</v>
      </c>
      <c r="Q2024">
        <f t="shared" si="315"/>
        <v>0</v>
      </c>
      <c r="R2024">
        <f t="shared" si="316"/>
        <v>0</v>
      </c>
      <c r="S2024">
        <f t="shared" si="317"/>
        <v>0</v>
      </c>
      <c r="T2024">
        <f t="shared" si="319"/>
        <v>0</v>
      </c>
      <c r="U2024">
        <f t="shared" si="318"/>
        <v>0</v>
      </c>
    </row>
    <row r="2025" spans="1:21" x14ac:dyDescent="0.25">
      <c r="A2025" s="95">
        <v>2024</v>
      </c>
      <c r="B2025" t="s">
        <v>638</v>
      </c>
      <c r="C2025" t="s">
        <v>170</v>
      </c>
      <c r="D2025">
        <v>13.1</v>
      </c>
      <c r="E2025">
        <v>18423.78</v>
      </c>
      <c r="F2025">
        <v>132.99</v>
      </c>
      <c r="G2025">
        <v>36.93</v>
      </c>
      <c r="H2025">
        <v>1070.98</v>
      </c>
      <c r="I2025" s="80">
        <v>8406.4699999999993</v>
      </c>
      <c r="J2025">
        <v>21.75</v>
      </c>
      <c r="K2025">
        <v>357.83</v>
      </c>
      <c r="L2025">
        <f t="shared" si="310"/>
        <v>0</v>
      </c>
      <c r="M2025">
        <f t="shared" si="311"/>
        <v>0</v>
      </c>
      <c r="N2025">
        <f t="shared" si="312"/>
        <v>0</v>
      </c>
      <c r="O2025">
        <f t="shared" si="313"/>
        <v>0</v>
      </c>
      <c r="P2025">
        <f t="shared" si="314"/>
        <v>0</v>
      </c>
      <c r="Q2025">
        <f t="shared" si="315"/>
        <v>0</v>
      </c>
      <c r="R2025">
        <f t="shared" si="316"/>
        <v>0</v>
      </c>
      <c r="S2025">
        <f t="shared" si="317"/>
        <v>0</v>
      </c>
      <c r="T2025">
        <f t="shared" si="319"/>
        <v>0</v>
      </c>
      <c r="U2025">
        <f t="shared" si="318"/>
        <v>0</v>
      </c>
    </row>
    <row r="2026" spans="1:21" x14ac:dyDescent="0.25">
      <c r="A2026" s="95">
        <v>2025</v>
      </c>
      <c r="B2026" t="s">
        <v>638</v>
      </c>
      <c r="C2026" t="s">
        <v>178</v>
      </c>
      <c r="D2026">
        <v>45.16</v>
      </c>
      <c r="E2026">
        <v>18339.97</v>
      </c>
      <c r="F2026">
        <v>1211.58</v>
      </c>
      <c r="G2026">
        <v>75.459999999999994</v>
      </c>
      <c r="H2026">
        <v>7073.78</v>
      </c>
      <c r="I2026" s="80">
        <v>11899.74</v>
      </c>
      <c r="J2026">
        <v>35.08</v>
      </c>
      <c r="K2026">
        <v>812.38</v>
      </c>
      <c r="L2026">
        <f t="shared" si="310"/>
        <v>0</v>
      </c>
      <c r="M2026">
        <f t="shared" si="311"/>
        <v>0</v>
      </c>
      <c r="N2026">
        <f t="shared" si="312"/>
        <v>0</v>
      </c>
      <c r="O2026">
        <f t="shared" si="313"/>
        <v>0</v>
      </c>
      <c r="P2026">
        <f t="shared" si="314"/>
        <v>0</v>
      </c>
      <c r="Q2026">
        <f t="shared" si="315"/>
        <v>0</v>
      </c>
      <c r="R2026">
        <f t="shared" si="316"/>
        <v>0</v>
      </c>
      <c r="S2026">
        <f t="shared" si="317"/>
        <v>0</v>
      </c>
      <c r="T2026">
        <f t="shared" si="319"/>
        <v>0</v>
      </c>
      <c r="U2026">
        <f t="shared" si="318"/>
        <v>0</v>
      </c>
    </row>
    <row r="2027" spans="1:21" x14ac:dyDescent="0.25">
      <c r="A2027" s="95">
        <v>2026</v>
      </c>
      <c r="B2027" t="s">
        <v>638</v>
      </c>
      <c r="C2027" t="s">
        <v>163</v>
      </c>
      <c r="D2027">
        <v>375.96</v>
      </c>
      <c r="E2027" s="80">
        <v>29844.12</v>
      </c>
      <c r="F2027">
        <v>130.72</v>
      </c>
      <c r="G2027">
        <v>97.13</v>
      </c>
      <c r="H2027">
        <v>4368.4799999999996</v>
      </c>
      <c r="I2027" s="80">
        <v>10059.94</v>
      </c>
      <c r="J2027">
        <v>51.18</v>
      </c>
      <c r="K2027">
        <v>7191.89</v>
      </c>
      <c r="L2027">
        <f t="shared" si="310"/>
        <v>0</v>
      </c>
      <c r="M2027">
        <f t="shared" si="311"/>
        <v>0</v>
      </c>
      <c r="N2027">
        <f t="shared" si="312"/>
        <v>0</v>
      </c>
      <c r="O2027">
        <f t="shared" si="313"/>
        <v>0</v>
      </c>
      <c r="P2027">
        <f t="shared" si="314"/>
        <v>0</v>
      </c>
      <c r="Q2027">
        <f t="shared" si="315"/>
        <v>0</v>
      </c>
      <c r="R2027">
        <f t="shared" si="316"/>
        <v>0</v>
      </c>
      <c r="S2027">
        <f t="shared" si="317"/>
        <v>0</v>
      </c>
      <c r="T2027">
        <f t="shared" si="319"/>
        <v>0</v>
      </c>
      <c r="U2027">
        <f t="shared" si="318"/>
        <v>0</v>
      </c>
    </row>
    <row r="2028" spans="1:21" x14ac:dyDescent="0.25">
      <c r="A2028" s="95">
        <v>2027</v>
      </c>
      <c r="B2028" t="s">
        <v>638</v>
      </c>
      <c r="C2028" t="s">
        <v>181</v>
      </c>
      <c r="D2028">
        <v>10.17</v>
      </c>
      <c r="E2028" s="89" t="s">
        <v>582</v>
      </c>
      <c r="F2028">
        <v>0.96</v>
      </c>
      <c r="G2028">
        <v>45.88</v>
      </c>
      <c r="H2028">
        <v>9.7200000000000006</v>
      </c>
      <c r="I2028">
        <v>36.659999999999997</v>
      </c>
      <c r="J2028">
        <v>38.200000000000003</v>
      </c>
      <c r="K2028">
        <v>39.299999999999997</v>
      </c>
      <c r="L2028">
        <f t="shared" si="310"/>
        <v>0</v>
      </c>
      <c r="M2028">
        <f t="shared" si="311"/>
        <v>1</v>
      </c>
      <c r="N2028">
        <f t="shared" si="312"/>
        <v>0</v>
      </c>
      <c r="O2028">
        <f t="shared" si="313"/>
        <v>0</v>
      </c>
      <c r="P2028">
        <f t="shared" si="314"/>
        <v>0</v>
      </c>
      <c r="Q2028">
        <f t="shared" si="315"/>
        <v>0</v>
      </c>
      <c r="R2028">
        <f t="shared" si="316"/>
        <v>0</v>
      </c>
      <c r="S2028">
        <f t="shared" si="317"/>
        <v>0</v>
      </c>
      <c r="T2028">
        <f t="shared" si="319"/>
        <v>1</v>
      </c>
      <c r="U2028">
        <f t="shared" si="318"/>
        <v>1</v>
      </c>
    </row>
    <row r="2029" spans="1:21" x14ac:dyDescent="0.25">
      <c r="A2029" s="95">
        <v>2028</v>
      </c>
      <c r="B2029" t="s">
        <v>638</v>
      </c>
      <c r="C2029" t="s">
        <v>183</v>
      </c>
      <c r="D2029">
        <v>18.66</v>
      </c>
      <c r="E2029" s="80">
        <v>29187.200000000001</v>
      </c>
      <c r="F2029">
        <v>989.34</v>
      </c>
      <c r="G2029">
        <v>65.180000000000007</v>
      </c>
      <c r="H2029">
        <v>12105.69</v>
      </c>
      <c r="I2029" s="80">
        <v>18228.650000000001</v>
      </c>
      <c r="J2029">
        <v>68.37</v>
      </c>
      <c r="K2029">
        <v>6135.6</v>
      </c>
      <c r="L2029">
        <f t="shared" si="310"/>
        <v>0</v>
      </c>
      <c r="M2029">
        <f t="shared" si="311"/>
        <v>0</v>
      </c>
      <c r="N2029">
        <f t="shared" si="312"/>
        <v>0</v>
      </c>
      <c r="O2029">
        <f t="shared" si="313"/>
        <v>0</v>
      </c>
      <c r="P2029">
        <f t="shared" si="314"/>
        <v>0</v>
      </c>
      <c r="Q2029">
        <f t="shared" si="315"/>
        <v>0</v>
      </c>
      <c r="R2029">
        <f t="shared" si="316"/>
        <v>0</v>
      </c>
      <c r="S2029">
        <f t="shared" si="317"/>
        <v>0</v>
      </c>
      <c r="T2029">
        <f t="shared" si="319"/>
        <v>0</v>
      </c>
      <c r="U2029">
        <f t="shared" si="318"/>
        <v>0</v>
      </c>
    </row>
    <row r="2030" spans="1:21" x14ac:dyDescent="0.25">
      <c r="A2030" s="95">
        <v>2029</v>
      </c>
      <c r="B2030" t="s">
        <v>638</v>
      </c>
      <c r="C2030" t="s">
        <v>186</v>
      </c>
      <c r="D2030">
        <v>19.5</v>
      </c>
      <c r="E2030">
        <v>18582</v>
      </c>
      <c r="F2030">
        <v>1642.75</v>
      </c>
      <c r="G2030">
        <v>97.13</v>
      </c>
      <c r="H2030" s="80">
        <v>30268.65</v>
      </c>
      <c r="I2030" s="80">
        <v>16222.64</v>
      </c>
      <c r="J2030">
        <v>68.37</v>
      </c>
      <c r="K2030" s="80">
        <v>9077.66</v>
      </c>
      <c r="L2030">
        <f t="shared" si="310"/>
        <v>0</v>
      </c>
      <c r="M2030">
        <f t="shared" si="311"/>
        <v>0</v>
      </c>
      <c r="N2030">
        <f t="shared" si="312"/>
        <v>0</v>
      </c>
      <c r="O2030">
        <f t="shared" si="313"/>
        <v>0</v>
      </c>
      <c r="P2030">
        <f t="shared" si="314"/>
        <v>0</v>
      </c>
      <c r="Q2030">
        <f t="shared" si="315"/>
        <v>0</v>
      </c>
      <c r="R2030">
        <f t="shared" si="316"/>
        <v>0</v>
      </c>
      <c r="S2030">
        <f t="shared" si="317"/>
        <v>0</v>
      </c>
      <c r="T2030">
        <f t="shared" si="319"/>
        <v>0</v>
      </c>
      <c r="U2030">
        <f t="shared" si="318"/>
        <v>0</v>
      </c>
    </row>
    <row r="2031" spans="1:21" x14ac:dyDescent="0.25">
      <c r="A2031" s="95">
        <v>2030</v>
      </c>
      <c r="B2031" t="s">
        <v>638</v>
      </c>
      <c r="C2031" t="s">
        <v>188</v>
      </c>
      <c r="D2031">
        <v>21.19</v>
      </c>
      <c r="E2031" s="80">
        <v>68934.509999999995</v>
      </c>
      <c r="F2031">
        <v>95.23</v>
      </c>
      <c r="G2031">
        <v>86.11</v>
      </c>
      <c r="H2031">
        <v>2808.47</v>
      </c>
      <c r="I2031" s="80">
        <v>11977.65</v>
      </c>
      <c r="J2031">
        <v>52.86</v>
      </c>
      <c r="K2031">
        <v>7309.14</v>
      </c>
      <c r="L2031">
        <f t="shared" si="310"/>
        <v>0</v>
      </c>
      <c r="M2031">
        <f t="shared" si="311"/>
        <v>0</v>
      </c>
      <c r="N2031">
        <f t="shared" si="312"/>
        <v>0</v>
      </c>
      <c r="O2031">
        <f t="shared" si="313"/>
        <v>0</v>
      </c>
      <c r="P2031">
        <f t="shared" si="314"/>
        <v>0</v>
      </c>
      <c r="Q2031">
        <f t="shared" si="315"/>
        <v>0</v>
      </c>
      <c r="R2031">
        <f t="shared" si="316"/>
        <v>0</v>
      </c>
      <c r="S2031">
        <f t="shared" si="317"/>
        <v>0</v>
      </c>
      <c r="T2031">
        <f t="shared" si="319"/>
        <v>0</v>
      </c>
      <c r="U2031">
        <f t="shared" si="318"/>
        <v>0</v>
      </c>
    </row>
    <row r="2032" spans="1:21" x14ac:dyDescent="0.25">
      <c r="A2032" s="95">
        <v>2031</v>
      </c>
      <c r="B2032" t="s">
        <v>638</v>
      </c>
      <c r="C2032" t="s">
        <v>182</v>
      </c>
      <c r="D2032" t="s">
        <v>583</v>
      </c>
      <c r="E2032">
        <v>1212.43</v>
      </c>
      <c r="F2032">
        <v>1.1399999999999999</v>
      </c>
      <c r="G2032" t="s">
        <v>583</v>
      </c>
      <c r="H2032">
        <v>15.18</v>
      </c>
      <c r="I2032">
        <v>2102.04</v>
      </c>
      <c r="J2032">
        <v>3.32</v>
      </c>
      <c r="K2032">
        <v>3.26</v>
      </c>
      <c r="L2032">
        <f t="shared" si="310"/>
        <v>0</v>
      </c>
      <c r="M2032">
        <f t="shared" si="311"/>
        <v>0</v>
      </c>
      <c r="N2032">
        <f t="shared" si="312"/>
        <v>0</v>
      </c>
      <c r="O2032">
        <f t="shared" si="313"/>
        <v>0</v>
      </c>
      <c r="P2032">
        <f t="shared" si="314"/>
        <v>0</v>
      </c>
      <c r="Q2032">
        <f t="shared" si="315"/>
        <v>0</v>
      </c>
      <c r="R2032">
        <f t="shared" si="316"/>
        <v>0</v>
      </c>
      <c r="S2032">
        <f t="shared" si="317"/>
        <v>0</v>
      </c>
      <c r="T2032">
        <f t="shared" si="319"/>
        <v>0</v>
      </c>
      <c r="U2032">
        <f t="shared" si="318"/>
        <v>0</v>
      </c>
    </row>
    <row r="2033" spans="1:21" x14ac:dyDescent="0.25">
      <c r="A2033" s="95">
        <v>2032</v>
      </c>
      <c r="B2033" t="s">
        <v>638</v>
      </c>
      <c r="C2033" t="s">
        <v>184</v>
      </c>
      <c r="D2033">
        <v>10.17</v>
      </c>
      <c r="E2033">
        <v>5474.88</v>
      </c>
      <c r="F2033">
        <v>178.11</v>
      </c>
      <c r="G2033">
        <v>7.37</v>
      </c>
      <c r="H2033">
        <v>4265.26</v>
      </c>
      <c r="I2033" s="80">
        <v>12096.42</v>
      </c>
      <c r="J2033">
        <v>20.36</v>
      </c>
      <c r="K2033">
        <v>1197.23</v>
      </c>
      <c r="L2033">
        <f t="shared" si="310"/>
        <v>0</v>
      </c>
      <c r="M2033">
        <f t="shared" si="311"/>
        <v>0</v>
      </c>
      <c r="N2033">
        <f t="shared" si="312"/>
        <v>0</v>
      </c>
      <c r="O2033">
        <f t="shared" si="313"/>
        <v>0</v>
      </c>
      <c r="P2033">
        <f t="shared" si="314"/>
        <v>0</v>
      </c>
      <c r="Q2033">
        <f t="shared" si="315"/>
        <v>0</v>
      </c>
      <c r="R2033">
        <f t="shared" si="316"/>
        <v>0</v>
      </c>
      <c r="S2033">
        <f t="shared" si="317"/>
        <v>0</v>
      </c>
      <c r="T2033">
        <f t="shared" si="319"/>
        <v>0</v>
      </c>
      <c r="U2033">
        <f t="shared" si="318"/>
        <v>0</v>
      </c>
    </row>
    <row r="2034" spans="1:21" x14ac:dyDescent="0.25">
      <c r="A2034" s="95">
        <v>2033</v>
      </c>
      <c r="B2034" t="s">
        <v>638</v>
      </c>
      <c r="C2034" t="s">
        <v>187</v>
      </c>
      <c r="D2034">
        <v>138.57</v>
      </c>
      <c r="E2034">
        <v>5205.1400000000003</v>
      </c>
      <c r="F2034">
        <v>175.15</v>
      </c>
      <c r="G2034">
        <v>36.93</v>
      </c>
      <c r="H2034">
        <v>11423.79</v>
      </c>
      <c r="I2034" s="80">
        <v>11100.08</v>
      </c>
      <c r="J2034">
        <v>38.200000000000003</v>
      </c>
      <c r="K2034">
        <v>3750.62</v>
      </c>
      <c r="L2034">
        <f t="shared" si="310"/>
        <v>0</v>
      </c>
      <c r="M2034">
        <f t="shared" si="311"/>
        <v>0</v>
      </c>
      <c r="N2034">
        <f t="shared" si="312"/>
        <v>0</v>
      </c>
      <c r="O2034">
        <f t="shared" si="313"/>
        <v>0</v>
      </c>
      <c r="P2034">
        <f t="shared" si="314"/>
        <v>0</v>
      </c>
      <c r="Q2034">
        <f t="shared" si="315"/>
        <v>0</v>
      </c>
      <c r="R2034">
        <f t="shared" si="316"/>
        <v>0</v>
      </c>
      <c r="S2034">
        <f t="shared" si="317"/>
        <v>0</v>
      </c>
      <c r="T2034">
        <f t="shared" si="319"/>
        <v>0</v>
      </c>
      <c r="U2034">
        <f t="shared" si="318"/>
        <v>0</v>
      </c>
    </row>
    <row r="2035" spans="1:21" x14ac:dyDescent="0.25">
      <c r="A2035" s="95">
        <v>2034</v>
      </c>
      <c r="B2035" t="s">
        <v>638</v>
      </c>
      <c r="C2035" t="s">
        <v>189</v>
      </c>
      <c r="D2035">
        <v>35.020000000000003</v>
      </c>
      <c r="E2035">
        <v>4901.3999999999996</v>
      </c>
      <c r="F2035">
        <v>7.9</v>
      </c>
      <c r="G2035">
        <v>28.51</v>
      </c>
      <c r="H2035">
        <v>6725.26</v>
      </c>
      <c r="I2035" s="80">
        <v>8472.7900000000009</v>
      </c>
      <c r="J2035">
        <v>26.06</v>
      </c>
      <c r="K2035">
        <v>4327.53</v>
      </c>
      <c r="L2035">
        <f t="shared" si="310"/>
        <v>0</v>
      </c>
      <c r="M2035">
        <f t="shared" si="311"/>
        <v>0</v>
      </c>
      <c r="N2035">
        <f t="shared" si="312"/>
        <v>0</v>
      </c>
      <c r="O2035">
        <f t="shared" si="313"/>
        <v>0</v>
      </c>
      <c r="P2035">
        <f t="shared" si="314"/>
        <v>0</v>
      </c>
      <c r="Q2035">
        <f t="shared" si="315"/>
        <v>0</v>
      </c>
      <c r="R2035">
        <f t="shared" si="316"/>
        <v>0</v>
      </c>
      <c r="S2035">
        <f t="shared" si="317"/>
        <v>0</v>
      </c>
      <c r="T2035">
        <f t="shared" si="319"/>
        <v>0</v>
      </c>
      <c r="U2035">
        <f t="shared" si="318"/>
        <v>0</v>
      </c>
    </row>
    <row r="2036" spans="1:21" x14ac:dyDescent="0.25">
      <c r="A2036" s="95">
        <v>2035</v>
      </c>
      <c r="B2036" t="s">
        <v>639</v>
      </c>
      <c r="C2036" t="s">
        <v>162</v>
      </c>
      <c r="D2036">
        <v>7.45</v>
      </c>
      <c r="E2036" s="80">
        <v>25593.279999999999</v>
      </c>
      <c r="F2036">
        <v>1.1399999999999999</v>
      </c>
      <c r="G2036">
        <v>45.88</v>
      </c>
      <c r="H2036">
        <v>0.88</v>
      </c>
      <c r="I2036">
        <v>0.98</v>
      </c>
      <c r="J2036">
        <v>23.17</v>
      </c>
      <c r="K2036">
        <v>1.55</v>
      </c>
      <c r="L2036">
        <f t="shared" si="310"/>
        <v>0</v>
      </c>
      <c r="M2036">
        <f t="shared" si="311"/>
        <v>0</v>
      </c>
      <c r="N2036">
        <f t="shared" si="312"/>
        <v>0</v>
      </c>
      <c r="O2036">
        <f t="shared" si="313"/>
        <v>0</v>
      </c>
      <c r="P2036">
        <f t="shared" si="314"/>
        <v>0</v>
      </c>
      <c r="Q2036">
        <f t="shared" si="315"/>
        <v>0</v>
      </c>
      <c r="R2036">
        <f t="shared" si="316"/>
        <v>0</v>
      </c>
      <c r="S2036">
        <f t="shared" si="317"/>
        <v>0</v>
      </c>
      <c r="T2036">
        <f t="shared" si="319"/>
        <v>0</v>
      </c>
      <c r="U2036">
        <f t="shared" si="318"/>
        <v>0</v>
      </c>
    </row>
    <row r="2037" spans="1:21" x14ac:dyDescent="0.25">
      <c r="A2037" s="95">
        <v>2036</v>
      </c>
      <c r="B2037" t="s">
        <v>639</v>
      </c>
      <c r="C2037" t="s">
        <v>170</v>
      </c>
      <c r="D2037">
        <v>16.22</v>
      </c>
      <c r="E2037" s="80">
        <v>99667.41</v>
      </c>
      <c r="F2037">
        <v>220.94</v>
      </c>
      <c r="G2037">
        <v>75.459999999999994</v>
      </c>
      <c r="H2037">
        <v>1261.9000000000001</v>
      </c>
      <c r="I2037" s="80">
        <v>17604.650000000001</v>
      </c>
      <c r="J2037">
        <v>44.6</v>
      </c>
      <c r="K2037">
        <v>801.17</v>
      </c>
      <c r="L2037">
        <f t="shared" si="310"/>
        <v>0</v>
      </c>
      <c r="M2037">
        <f t="shared" si="311"/>
        <v>0</v>
      </c>
      <c r="N2037">
        <f t="shared" si="312"/>
        <v>0</v>
      </c>
      <c r="O2037">
        <f t="shared" si="313"/>
        <v>0</v>
      </c>
      <c r="P2037">
        <f t="shared" si="314"/>
        <v>0</v>
      </c>
      <c r="Q2037">
        <f t="shared" si="315"/>
        <v>0</v>
      </c>
      <c r="R2037">
        <f t="shared" si="316"/>
        <v>0</v>
      </c>
      <c r="S2037">
        <f t="shared" si="317"/>
        <v>0</v>
      </c>
      <c r="T2037">
        <f t="shared" si="319"/>
        <v>0</v>
      </c>
      <c r="U2037">
        <f t="shared" si="318"/>
        <v>0</v>
      </c>
    </row>
    <row r="2038" spans="1:21" x14ac:dyDescent="0.25">
      <c r="A2038" s="94">
        <v>2037</v>
      </c>
      <c r="B2038" t="s">
        <v>639</v>
      </c>
      <c r="C2038" t="s">
        <v>178</v>
      </c>
      <c r="D2038">
        <v>26.96</v>
      </c>
      <c r="E2038" t="s">
        <v>582</v>
      </c>
      <c r="F2038">
        <v>2444.7199999999998</v>
      </c>
      <c r="G2038">
        <v>169.76</v>
      </c>
      <c r="H2038">
        <v>15402.39</v>
      </c>
      <c r="I2038" s="80">
        <v>19967.27</v>
      </c>
      <c r="J2038">
        <v>84.62</v>
      </c>
      <c r="K2038">
        <v>2729.8</v>
      </c>
      <c r="L2038">
        <f t="shared" si="310"/>
        <v>0</v>
      </c>
      <c r="M2038">
        <f t="shared" si="311"/>
        <v>1</v>
      </c>
      <c r="N2038">
        <f t="shared" si="312"/>
        <v>0</v>
      </c>
      <c r="O2038">
        <f t="shared" si="313"/>
        <v>0</v>
      </c>
      <c r="P2038">
        <f t="shared" si="314"/>
        <v>0</v>
      </c>
      <c r="Q2038">
        <f t="shared" si="315"/>
        <v>0</v>
      </c>
      <c r="R2038">
        <f t="shared" si="316"/>
        <v>0</v>
      </c>
      <c r="S2038">
        <f t="shared" si="317"/>
        <v>0</v>
      </c>
      <c r="T2038">
        <f t="shared" si="319"/>
        <v>1</v>
      </c>
      <c r="U2038">
        <f t="shared" si="318"/>
        <v>1</v>
      </c>
    </row>
    <row r="2039" spans="1:21" x14ac:dyDescent="0.25">
      <c r="A2039" s="94">
        <v>2038</v>
      </c>
      <c r="B2039" t="s">
        <v>639</v>
      </c>
      <c r="C2039" t="s">
        <v>163</v>
      </c>
      <c r="D2039">
        <v>44.64</v>
      </c>
      <c r="E2039" t="s">
        <v>582</v>
      </c>
      <c r="F2039">
        <v>2278.46</v>
      </c>
      <c r="G2039">
        <v>202.91</v>
      </c>
      <c r="H2039">
        <v>12927.88</v>
      </c>
      <c r="I2039" s="80">
        <v>19792.400000000001</v>
      </c>
      <c r="J2039">
        <v>93.93</v>
      </c>
      <c r="K2039" s="80">
        <v>15895.71</v>
      </c>
      <c r="L2039">
        <f t="shared" si="310"/>
        <v>0</v>
      </c>
      <c r="M2039">
        <f t="shared" si="311"/>
        <v>1</v>
      </c>
      <c r="N2039">
        <f t="shared" si="312"/>
        <v>0</v>
      </c>
      <c r="O2039">
        <f t="shared" si="313"/>
        <v>0</v>
      </c>
      <c r="P2039">
        <f t="shared" si="314"/>
        <v>0</v>
      </c>
      <c r="Q2039">
        <f t="shared" si="315"/>
        <v>0</v>
      </c>
      <c r="R2039">
        <f t="shared" si="316"/>
        <v>0</v>
      </c>
      <c r="S2039">
        <f t="shared" si="317"/>
        <v>0</v>
      </c>
      <c r="T2039">
        <f t="shared" si="319"/>
        <v>1</v>
      </c>
      <c r="U2039">
        <f t="shared" si="318"/>
        <v>1</v>
      </c>
    </row>
    <row r="2040" spans="1:21" x14ac:dyDescent="0.25">
      <c r="A2040" s="94">
        <v>2039</v>
      </c>
      <c r="B2040" t="s">
        <v>639</v>
      </c>
      <c r="C2040" t="s">
        <v>181</v>
      </c>
      <c r="D2040">
        <v>9.1199999999999992</v>
      </c>
      <c r="E2040" s="80">
        <v>39878.01</v>
      </c>
      <c r="F2040">
        <v>0.6</v>
      </c>
      <c r="G2040">
        <v>41.34</v>
      </c>
      <c r="H2040">
        <v>44.02</v>
      </c>
      <c r="I2040">
        <v>226.79</v>
      </c>
      <c r="J2040">
        <v>24.6</v>
      </c>
      <c r="K2040">
        <v>35.93</v>
      </c>
      <c r="L2040">
        <f t="shared" si="310"/>
        <v>0</v>
      </c>
      <c r="M2040">
        <f t="shared" si="311"/>
        <v>0</v>
      </c>
      <c r="N2040">
        <f t="shared" si="312"/>
        <v>0</v>
      </c>
      <c r="O2040">
        <f t="shared" si="313"/>
        <v>0</v>
      </c>
      <c r="P2040">
        <f t="shared" si="314"/>
        <v>0</v>
      </c>
      <c r="Q2040">
        <f t="shared" si="315"/>
        <v>0</v>
      </c>
      <c r="R2040">
        <f t="shared" si="316"/>
        <v>0</v>
      </c>
      <c r="S2040">
        <f t="shared" si="317"/>
        <v>0</v>
      </c>
      <c r="T2040">
        <f t="shared" si="319"/>
        <v>0</v>
      </c>
      <c r="U2040">
        <f t="shared" si="318"/>
        <v>0</v>
      </c>
    </row>
    <row r="2041" spans="1:21" x14ac:dyDescent="0.25">
      <c r="A2041" s="94">
        <v>2040</v>
      </c>
      <c r="B2041" t="s">
        <v>639</v>
      </c>
      <c r="C2041" t="s">
        <v>183</v>
      </c>
      <c r="D2041">
        <v>23.37</v>
      </c>
      <c r="E2041" s="80">
        <v>36471.919999999998</v>
      </c>
      <c r="F2041">
        <v>1833.94</v>
      </c>
      <c r="G2041">
        <v>156.94</v>
      </c>
      <c r="H2041" s="80">
        <v>21257.61</v>
      </c>
      <c r="I2041" s="80">
        <v>20920.41</v>
      </c>
      <c r="J2041">
        <v>70.14</v>
      </c>
      <c r="K2041" s="80">
        <v>21132.93</v>
      </c>
      <c r="L2041">
        <f t="shared" si="310"/>
        <v>0</v>
      </c>
      <c r="M2041">
        <f t="shared" si="311"/>
        <v>0</v>
      </c>
      <c r="N2041">
        <f t="shared" si="312"/>
        <v>0</v>
      </c>
      <c r="O2041">
        <f t="shared" si="313"/>
        <v>0</v>
      </c>
      <c r="P2041">
        <f t="shared" si="314"/>
        <v>0</v>
      </c>
      <c r="Q2041">
        <f t="shared" si="315"/>
        <v>0</v>
      </c>
      <c r="R2041">
        <f t="shared" si="316"/>
        <v>0</v>
      </c>
      <c r="S2041">
        <f t="shared" si="317"/>
        <v>0</v>
      </c>
      <c r="T2041">
        <f t="shared" si="319"/>
        <v>0</v>
      </c>
      <c r="U2041">
        <f t="shared" si="318"/>
        <v>0</v>
      </c>
    </row>
    <row r="2042" spans="1:21" x14ac:dyDescent="0.25">
      <c r="A2042" s="94">
        <v>2041</v>
      </c>
      <c r="B2042" t="s">
        <v>639</v>
      </c>
      <c r="C2042" t="s">
        <v>186</v>
      </c>
      <c r="D2042">
        <v>20.77</v>
      </c>
      <c r="E2042">
        <v>18972.96</v>
      </c>
      <c r="F2042">
        <v>1111.33</v>
      </c>
      <c r="G2042">
        <v>102.76</v>
      </c>
      <c r="H2042" s="80">
        <v>147641.44</v>
      </c>
      <c r="I2042" s="80">
        <v>21521.7</v>
      </c>
      <c r="J2042">
        <v>80.95</v>
      </c>
      <c r="K2042" s="80">
        <v>45093.41</v>
      </c>
      <c r="L2042">
        <f t="shared" si="310"/>
        <v>0</v>
      </c>
      <c r="M2042">
        <f t="shared" si="311"/>
        <v>0</v>
      </c>
      <c r="N2042">
        <f t="shared" si="312"/>
        <v>0</v>
      </c>
      <c r="O2042">
        <f t="shared" si="313"/>
        <v>0</v>
      </c>
      <c r="P2042">
        <f t="shared" si="314"/>
        <v>0</v>
      </c>
      <c r="Q2042">
        <f t="shared" si="315"/>
        <v>0</v>
      </c>
      <c r="R2042">
        <f t="shared" si="316"/>
        <v>0</v>
      </c>
      <c r="S2042">
        <f t="shared" si="317"/>
        <v>0</v>
      </c>
      <c r="T2042">
        <f t="shared" si="319"/>
        <v>0</v>
      </c>
      <c r="U2042">
        <f t="shared" si="318"/>
        <v>0</v>
      </c>
    </row>
    <row r="2043" spans="1:21" x14ac:dyDescent="0.25">
      <c r="A2043" s="94">
        <v>2042</v>
      </c>
      <c r="B2043" t="s">
        <v>639</v>
      </c>
      <c r="C2043" t="s">
        <v>188</v>
      </c>
      <c r="D2043">
        <v>25.15</v>
      </c>
      <c r="E2043" s="80">
        <v>38505.620000000003</v>
      </c>
      <c r="F2043">
        <v>681.51</v>
      </c>
      <c r="G2043">
        <v>126.1</v>
      </c>
      <c r="H2043" s="80">
        <v>16836.57</v>
      </c>
      <c r="I2043" s="80">
        <v>21212.65</v>
      </c>
      <c r="J2043">
        <v>80.95</v>
      </c>
      <c r="K2043" s="80">
        <v>34575.839999999997</v>
      </c>
      <c r="L2043">
        <f t="shared" si="310"/>
        <v>0</v>
      </c>
      <c r="M2043">
        <f t="shared" si="311"/>
        <v>0</v>
      </c>
      <c r="N2043">
        <f t="shared" si="312"/>
        <v>0</v>
      </c>
      <c r="O2043">
        <f t="shared" si="313"/>
        <v>0</v>
      </c>
      <c r="P2043">
        <f t="shared" si="314"/>
        <v>0</v>
      </c>
      <c r="Q2043">
        <f t="shared" si="315"/>
        <v>0</v>
      </c>
      <c r="R2043">
        <f t="shared" si="316"/>
        <v>0</v>
      </c>
      <c r="S2043">
        <f t="shared" si="317"/>
        <v>0</v>
      </c>
      <c r="T2043">
        <f t="shared" si="319"/>
        <v>0</v>
      </c>
      <c r="U2043">
        <f t="shared" si="318"/>
        <v>0</v>
      </c>
    </row>
    <row r="2044" spans="1:21" x14ac:dyDescent="0.25">
      <c r="A2044" s="94">
        <v>2043</v>
      </c>
      <c r="B2044" t="s">
        <v>639</v>
      </c>
      <c r="C2044" t="s">
        <v>182</v>
      </c>
      <c r="D2044" t="s">
        <v>583</v>
      </c>
      <c r="E2044">
        <v>2146.4</v>
      </c>
      <c r="F2044" t="s">
        <v>583</v>
      </c>
      <c r="G2044">
        <v>4.66</v>
      </c>
      <c r="H2044" t="s">
        <v>583</v>
      </c>
      <c r="I2044">
        <v>0.12</v>
      </c>
      <c r="J2044" t="s">
        <v>583</v>
      </c>
      <c r="K2044">
        <v>0.14000000000000001</v>
      </c>
      <c r="L2044">
        <f t="shared" si="310"/>
        <v>0</v>
      </c>
      <c r="M2044">
        <f t="shared" si="311"/>
        <v>0</v>
      </c>
      <c r="N2044">
        <f t="shared" si="312"/>
        <v>0</v>
      </c>
      <c r="O2044">
        <f t="shared" si="313"/>
        <v>0</v>
      </c>
      <c r="P2044">
        <f t="shared" si="314"/>
        <v>0</v>
      </c>
      <c r="Q2044">
        <f t="shared" si="315"/>
        <v>0</v>
      </c>
      <c r="R2044">
        <f t="shared" si="316"/>
        <v>0</v>
      </c>
      <c r="S2044">
        <f t="shared" si="317"/>
        <v>0</v>
      </c>
      <c r="T2044">
        <f t="shared" si="319"/>
        <v>0</v>
      </c>
      <c r="U2044">
        <f t="shared" si="318"/>
        <v>0</v>
      </c>
    </row>
    <row r="2045" spans="1:21" x14ac:dyDescent="0.25">
      <c r="A2045" s="94">
        <v>2044</v>
      </c>
      <c r="B2045" t="s">
        <v>639</v>
      </c>
      <c r="C2045" t="s">
        <v>184</v>
      </c>
      <c r="D2045">
        <v>13.48</v>
      </c>
      <c r="E2045">
        <v>18994.63</v>
      </c>
      <c r="F2045">
        <v>618.52</v>
      </c>
      <c r="G2045">
        <v>60.19</v>
      </c>
      <c r="H2045" s="80">
        <v>17233.830000000002</v>
      </c>
      <c r="I2045" s="80">
        <v>17073</v>
      </c>
      <c r="J2045">
        <v>42.98</v>
      </c>
      <c r="K2045">
        <v>3007.8</v>
      </c>
      <c r="L2045">
        <f t="shared" si="310"/>
        <v>0</v>
      </c>
      <c r="M2045">
        <f t="shared" si="311"/>
        <v>0</v>
      </c>
      <c r="N2045">
        <f t="shared" si="312"/>
        <v>0</v>
      </c>
      <c r="O2045">
        <f t="shared" si="313"/>
        <v>0</v>
      </c>
      <c r="P2045">
        <f t="shared" si="314"/>
        <v>0</v>
      </c>
      <c r="Q2045">
        <f t="shared" si="315"/>
        <v>0</v>
      </c>
      <c r="R2045">
        <f t="shared" si="316"/>
        <v>0</v>
      </c>
      <c r="S2045">
        <f t="shared" si="317"/>
        <v>0</v>
      </c>
      <c r="T2045">
        <f t="shared" si="319"/>
        <v>0</v>
      </c>
      <c r="U2045">
        <f t="shared" si="318"/>
        <v>0</v>
      </c>
    </row>
    <row r="2046" spans="1:21" x14ac:dyDescent="0.25">
      <c r="A2046" s="94">
        <v>2045</v>
      </c>
      <c r="B2046" t="s">
        <v>639</v>
      </c>
      <c r="C2046" t="s">
        <v>187</v>
      </c>
      <c r="D2046">
        <v>21.62</v>
      </c>
      <c r="E2046">
        <v>12207.55</v>
      </c>
      <c r="F2046">
        <v>278.26</v>
      </c>
      <c r="G2046">
        <v>91.58</v>
      </c>
      <c r="H2046" s="80">
        <v>57565.02</v>
      </c>
      <c r="I2046" s="80">
        <v>17536.59</v>
      </c>
      <c r="J2046">
        <v>66.61</v>
      </c>
      <c r="K2046" s="80">
        <v>8574.23</v>
      </c>
      <c r="L2046">
        <f t="shared" si="310"/>
        <v>0</v>
      </c>
      <c r="M2046">
        <f t="shared" si="311"/>
        <v>0</v>
      </c>
      <c r="N2046">
        <f t="shared" si="312"/>
        <v>0</v>
      </c>
      <c r="O2046">
        <f t="shared" si="313"/>
        <v>0</v>
      </c>
      <c r="P2046">
        <f t="shared" si="314"/>
        <v>0</v>
      </c>
      <c r="Q2046">
        <f t="shared" si="315"/>
        <v>0</v>
      </c>
      <c r="R2046">
        <f t="shared" si="316"/>
        <v>0</v>
      </c>
      <c r="S2046">
        <f t="shared" si="317"/>
        <v>0</v>
      </c>
      <c r="T2046">
        <f t="shared" si="319"/>
        <v>0</v>
      </c>
      <c r="U2046">
        <f t="shared" si="318"/>
        <v>0</v>
      </c>
    </row>
    <row r="2047" spans="1:21" x14ac:dyDescent="0.25">
      <c r="A2047" s="94">
        <v>2046</v>
      </c>
      <c r="B2047" t="s">
        <v>639</v>
      </c>
      <c r="C2047" t="s">
        <v>189</v>
      </c>
      <c r="D2047">
        <v>10.53</v>
      </c>
      <c r="E2047">
        <v>6136.26</v>
      </c>
      <c r="F2047">
        <v>28.12</v>
      </c>
      <c r="G2047">
        <v>60.19</v>
      </c>
      <c r="H2047" s="80">
        <v>42472.58</v>
      </c>
      <c r="I2047" s="80">
        <v>15029.54</v>
      </c>
      <c r="J2047">
        <v>49.52</v>
      </c>
      <c r="K2047" s="80">
        <v>9395.1299999999992</v>
      </c>
      <c r="L2047">
        <f t="shared" si="310"/>
        <v>0</v>
      </c>
      <c r="M2047">
        <f t="shared" si="311"/>
        <v>0</v>
      </c>
      <c r="N2047">
        <f t="shared" si="312"/>
        <v>0</v>
      </c>
      <c r="O2047">
        <f t="shared" si="313"/>
        <v>0</v>
      </c>
      <c r="P2047">
        <f t="shared" si="314"/>
        <v>0</v>
      </c>
      <c r="Q2047">
        <f t="shared" si="315"/>
        <v>0</v>
      </c>
      <c r="R2047">
        <f t="shared" si="316"/>
        <v>0</v>
      </c>
      <c r="S2047">
        <f t="shared" si="317"/>
        <v>0</v>
      </c>
      <c r="T2047">
        <f t="shared" si="319"/>
        <v>0</v>
      </c>
      <c r="U2047">
        <f t="shared" si="318"/>
        <v>0</v>
      </c>
    </row>
    <row r="2048" spans="1:21" x14ac:dyDescent="0.25">
      <c r="A2048" s="94">
        <v>2047</v>
      </c>
      <c r="B2048" t="s">
        <v>640</v>
      </c>
      <c r="C2048" t="s">
        <v>162</v>
      </c>
      <c r="D2048">
        <v>5.26</v>
      </c>
      <c r="E2048">
        <v>20926.72</v>
      </c>
      <c r="F2048">
        <v>0.56000000000000005</v>
      </c>
      <c r="G2048">
        <v>41.34</v>
      </c>
      <c r="H2048">
        <v>1.21</v>
      </c>
      <c r="I2048">
        <v>28.02</v>
      </c>
      <c r="J2048">
        <v>18.98</v>
      </c>
      <c r="K2048">
        <v>4.12</v>
      </c>
      <c r="L2048">
        <f t="shared" si="310"/>
        <v>0</v>
      </c>
      <c r="M2048">
        <f t="shared" si="311"/>
        <v>0</v>
      </c>
      <c r="N2048">
        <f t="shared" si="312"/>
        <v>0</v>
      </c>
      <c r="O2048">
        <f t="shared" si="313"/>
        <v>0</v>
      </c>
      <c r="P2048">
        <f t="shared" si="314"/>
        <v>0</v>
      </c>
      <c r="Q2048">
        <f t="shared" si="315"/>
        <v>0</v>
      </c>
      <c r="R2048">
        <f t="shared" si="316"/>
        <v>0</v>
      </c>
      <c r="S2048">
        <f t="shared" si="317"/>
        <v>0</v>
      </c>
      <c r="T2048">
        <f t="shared" si="319"/>
        <v>0</v>
      </c>
      <c r="U2048">
        <f t="shared" si="318"/>
        <v>0</v>
      </c>
    </row>
    <row r="2049" spans="1:21" x14ac:dyDescent="0.25">
      <c r="A2049" s="94">
        <v>2048</v>
      </c>
      <c r="B2049" t="s">
        <v>640</v>
      </c>
      <c r="C2049" t="s">
        <v>170</v>
      </c>
      <c r="D2049">
        <v>15.82</v>
      </c>
      <c r="E2049">
        <v>24666.67</v>
      </c>
      <c r="F2049">
        <v>360.29</v>
      </c>
      <c r="G2049">
        <v>45.88</v>
      </c>
      <c r="H2049">
        <v>663.73</v>
      </c>
      <c r="I2049" s="80">
        <v>12157.56</v>
      </c>
      <c r="J2049">
        <v>27.52</v>
      </c>
      <c r="K2049">
        <v>807.97</v>
      </c>
      <c r="L2049">
        <f t="shared" si="310"/>
        <v>0</v>
      </c>
      <c r="M2049">
        <f t="shared" si="311"/>
        <v>0</v>
      </c>
      <c r="N2049">
        <f t="shared" si="312"/>
        <v>0</v>
      </c>
      <c r="O2049">
        <f t="shared" si="313"/>
        <v>0</v>
      </c>
      <c r="P2049">
        <f t="shared" si="314"/>
        <v>0</v>
      </c>
      <c r="Q2049">
        <f t="shared" si="315"/>
        <v>0</v>
      </c>
      <c r="R2049">
        <f t="shared" si="316"/>
        <v>0</v>
      </c>
      <c r="S2049">
        <f t="shared" si="317"/>
        <v>0</v>
      </c>
      <c r="T2049">
        <f t="shared" si="319"/>
        <v>0</v>
      </c>
      <c r="U2049">
        <f t="shared" si="318"/>
        <v>0</v>
      </c>
    </row>
    <row r="2050" spans="1:21" x14ac:dyDescent="0.25">
      <c r="A2050" s="94">
        <v>2049</v>
      </c>
      <c r="B2050" t="s">
        <v>640</v>
      </c>
      <c r="C2050" t="s">
        <v>178</v>
      </c>
      <c r="D2050">
        <v>51.02</v>
      </c>
      <c r="E2050" s="80">
        <v>38647.83</v>
      </c>
      <c r="F2050">
        <v>2520.0500000000002</v>
      </c>
      <c r="G2050">
        <v>91.58</v>
      </c>
      <c r="H2050">
        <v>8153.18</v>
      </c>
      <c r="I2050" s="80">
        <v>17705.61</v>
      </c>
      <c r="J2050">
        <v>44.6</v>
      </c>
      <c r="K2050">
        <v>1989.42</v>
      </c>
      <c r="L2050">
        <f t="shared" ref="L2050:L2113" si="320">IF(D2050 = "OOR &gt;", 1,0)</f>
        <v>0</v>
      </c>
      <c r="M2050">
        <f t="shared" ref="M2050:M2113" si="321">IF(E2050 = "OOR &gt;", 1,0)</f>
        <v>0</v>
      </c>
      <c r="N2050">
        <f t="shared" ref="N2050:N2113" si="322">IF(F2050 = "OOR &gt;", 1,0)</f>
        <v>0</v>
      </c>
      <c r="O2050">
        <f t="shared" ref="O2050:O2113" si="323">IF(G2050 = "OOR &gt;", 1,0)</f>
        <v>0</v>
      </c>
      <c r="P2050">
        <f t="shared" ref="P2050:P2113" si="324">IF(H2050 = "OOR &gt;", 1,0)</f>
        <v>0</v>
      </c>
      <c r="Q2050">
        <f t="shared" ref="Q2050:Q2113" si="325">IF(I2050 = "OOR &gt;", 1,0)</f>
        <v>0</v>
      </c>
      <c r="R2050">
        <f t="shared" ref="R2050:R2113" si="326">IF(J2050 = "OOR &gt;", 1,0)</f>
        <v>0</v>
      </c>
      <c r="S2050">
        <f t="shared" ref="S2050:S2113" si="327">IF(K2050 = "OOR &gt;", 1,0)</f>
        <v>0</v>
      </c>
      <c r="T2050">
        <f t="shared" si="319"/>
        <v>0</v>
      </c>
      <c r="U2050">
        <f t="shared" ref="U2050:U2113" si="328">IF(T2050 &gt; 0,1,0)</f>
        <v>0</v>
      </c>
    </row>
    <row r="2051" spans="1:21" x14ac:dyDescent="0.25">
      <c r="A2051" s="94">
        <v>2050</v>
      </c>
      <c r="B2051" t="s">
        <v>640</v>
      </c>
      <c r="C2051" t="s">
        <v>163</v>
      </c>
      <c r="D2051">
        <v>111.78</v>
      </c>
      <c r="E2051" s="80">
        <v>30950.69</v>
      </c>
      <c r="F2051">
        <v>581.41</v>
      </c>
      <c r="G2051">
        <v>80.739999999999995</v>
      </c>
      <c r="H2051">
        <v>4999.5600000000004</v>
      </c>
      <c r="I2051" s="80">
        <v>12357.53</v>
      </c>
      <c r="J2051">
        <v>52.86</v>
      </c>
      <c r="K2051">
        <v>6594.14</v>
      </c>
      <c r="L2051">
        <f t="shared" si="320"/>
        <v>0</v>
      </c>
      <c r="M2051">
        <f t="shared" si="321"/>
        <v>0</v>
      </c>
      <c r="N2051">
        <f t="shared" si="322"/>
        <v>0</v>
      </c>
      <c r="O2051">
        <f t="shared" si="323"/>
        <v>0</v>
      </c>
      <c r="P2051">
        <f t="shared" si="324"/>
        <v>0</v>
      </c>
      <c r="Q2051">
        <f t="shared" si="325"/>
        <v>0</v>
      </c>
      <c r="R2051">
        <f t="shared" si="326"/>
        <v>0</v>
      </c>
      <c r="S2051">
        <f t="shared" si="327"/>
        <v>0</v>
      </c>
      <c r="T2051">
        <f t="shared" ref="T2051:T2114" si="329">SUMIF(L2051:S2051,"&gt;0")</f>
        <v>0</v>
      </c>
      <c r="U2051">
        <f t="shared" si="328"/>
        <v>0</v>
      </c>
    </row>
    <row r="2052" spans="1:21" x14ac:dyDescent="0.25">
      <c r="A2052" s="94">
        <v>2051</v>
      </c>
      <c r="B2052" t="s">
        <v>640</v>
      </c>
      <c r="C2052" t="s">
        <v>181</v>
      </c>
      <c r="D2052">
        <v>7.78</v>
      </c>
      <c r="E2052" s="80">
        <v>56368.63</v>
      </c>
      <c r="F2052">
        <v>0.85</v>
      </c>
      <c r="G2052">
        <v>41.34</v>
      </c>
      <c r="H2052">
        <v>7.01</v>
      </c>
      <c r="I2052">
        <v>113.63</v>
      </c>
      <c r="J2052">
        <v>24.6</v>
      </c>
      <c r="K2052">
        <v>22.68</v>
      </c>
      <c r="L2052">
        <f t="shared" si="320"/>
        <v>0</v>
      </c>
      <c r="M2052">
        <f t="shared" si="321"/>
        <v>0</v>
      </c>
      <c r="N2052">
        <f t="shared" si="322"/>
        <v>0</v>
      </c>
      <c r="O2052">
        <f t="shared" si="323"/>
        <v>0</v>
      </c>
      <c r="P2052">
        <f t="shared" si="324"/>
        <v>0</v>
      </c>
      <c r="Q2052">
        <f t="shared" si="325"/>
        <v>0</v>
      </c>
      <c r="R2052">
        <f t="shared" si="326"/>
        <v>0</v>
      </c>
      <c r="S2052">
        <f t="shared" si="327"/>
        <v>0</v>
      </c>
      <c r="T2052">
        <f t="shared" si="329"/>
        <v>0</v>
      </c>
      <c r="U2052">
        <f t="shared" si="328"/>
        <v>0</v>
      </c>
    </row>
    <row r="2053" spans="1:21" x14ac:dyDescent="0.25">
      <c r="A2053" s="94">
        <v>2052</v>
      </c>
      <c r="B2053" t="s">
        <v>640</v>
      </c>
      <c r="C2053" t="s">
        <v>183</v>
      </c>
      <c r="D2053">
        <v>16.62</v>
      </c>
      <c r="E2053" s="80">
        <v>26164.81</v>
      </c>
      <c r="F2053">
        <v>2120.6799999999998</v>
      </c>
      <c r="G2053">
        <v>80.739999999999995</v>
      </c>
      <c r="H2053">
        <v>8789.43</v>
      </c>
      <c r="I2053" s="80">
        <v>20429.86</v>
      </c>
      <c r="J2053">
        <v>57.94</v>
      </c>
      <c r="K2053" s="80">
        <v>8524</v>
      </c>
      <c r="L2053">
        <f t="shared" si="320"/>
        <v>0</v>
      </c>
      <c r="M2053">
        <f t="shared" si="321"/>
        <v>0</v>
      </c>
      <c r="N2053">
        <f t="shared" si="322"/>
        <v>0</v>
      </c>
      <c r="O2053">
        <f t="shared" si="323"/>
        <v>0</v>
      </c>
      <c r="P2053">
        <f t="shared" si="324"/>
        <v>0</v>
      </c>
      <c r="Q2053">
        <f t="shared" si="325"/>
        <v>0</v>
      </c>
      <c r="R2053">
        <f t="shared" si="326"/>
        <v>0</v>
      </c>
      <c r="S2053">
        <f t="shared" si="327"/>
        <v>0</v>
      </c>
      <c r="T2053">
        <f t="shared" si="329"/>
        <v>0</v>
      </c>
      <c r="U2053">
        <f t="shared" si="328"/>
        <v>0</v>
      </c>
    </row>
    <row r="2054" spans="1:21" x14ac:dyDescent="0.25">
      <c r="A2054" s="94">
        <v>2053</v>
      </c>
      <c r="B2054" t="s">
        <v>640</v>
      </c>
      <c r="C2054" t="s">
        <v>186</v>
      </c>
      <c r="D2054">
        <v>21.62</v>
      </c>
      <c r="E2054">
        <v>19411.439999999999</v>
      </c>
      <c r="F2054">
        <v>2703.94</v>
      </c>
      <c r="G2054">
        <v>114.28</v>
      </c>
      <c r="H2054" s="80">
        <v>44407.65</v>
      </c>
      <c r="I2054" s="80">
        <v>20671.61</v>
      </c>
      <c r="J2054">
        <v>80.95</v>
      </c>
      <c r="K2054" s="80">
        <v>16796.189999999999</v>
      </c>
      <c r="L2054">
        <f t="shared" si="320"/>
        <v>0</v>
      </c>
      <c r="M2054">
        <f t="shared" si="321"/>
        <v>0</v>
      </c>
      <c r="N2054">
        <f t="shared" si="322"/>
        <v>0</v>
      </c>
      <c r="O2054">
        <f t="shared" si="323"/>
        <v>0</v>
      </c>
      <c r="P2054">
        <f t="shared" si="324"/>
        <v>0</v>
      </c>
      <c r="Q2054">
        <f t="shared" si="325"/>
        <v>0</v>
      </c>
      <c r="R2054">
        <f t="shared" si="326"/>
        <v>0</v>
      </c>
      <c r="S2054">
        <f t="shared" si="327"/>
        <v>0</v>
      </c>
      <c r="T2054">
        <f t="shared" si="329"/>
        <v>0</v>
      </c>
      <c r="U2054">
        <f t="shared" si="328"/>
        <v>0</v>
      </c>
    </row>
    <row r="2055" spans="1:21" x14ac:dyDescent="0.25">
      <c r="A2055" s="94">
        <v>2054</v>
      </c>
      <c r="B2055" t="s">
        <v>640</v>
      </c>
      <c r="C2055" t="s">
        <v>188</v>
      </c>
      <c r="D2055">
        <v>19.920000000000002</v>
      </c>
      <c r="E2055" s="80">
        <v>100916.21</v>
      </c>
      <c r="F2055">
        <v>598.65</v>
      </c>
      <c r="G2055">
        <v>102.76</v>
      </c>
      <c r="H2055">
        <v>5164.0600000000004</v>
      </c>
      <c r="I2055" s="80">
        <v>18078.240000000002</v>
      </c>
      <c r="J2055">
        <v>70.14</v>
      </c>
      <c r="K2055" s="80">
        <v>11347.87</v>
      </c>
      <c r="L2055">
        <f t="shared" si="320"/>
        <v>0</v>
      </c>
      <c r="M2055">
        <f t="shared" si="321"/>
        <v>0</v>
      </c>
      <c r="N2055">
        <f t="shared" si="322"/>
        <v>0</v>
      </c>
      <c r="O2055">
        <f t="shared" si="323"/>
        <v>0</v>
      </c>
      <c r="P2055">
        <f t="shared" si="324"/>
        <v>0</v>
      </c>
      <c r="Q2055">
        <f t="shared" si="325"/>
        <v>0</v>
      </c>
      <c r="R2055">
        <f t="shared" si="326"/>
        <v>0</v>
      </c>
      <c r="S2055">
        <f t="shared" si="327"/>
        <v>0</v>
      </c>
      <c r="T2055">
        <f t="shared" si="329"/>
        <v>0</v>
      </c>
      <c r="U2055">
        <f t="shared" si="328"/>
        <v>0</v>
      </c>
    </row>
    <row r="2056" spans="1:21" x14ac:dyDescent="0.25">
      <c r="A2056" s="94">
        <v>2055</v>
      </c>
      <c r="B2056" t="s">
        <v>640</v>
      </c>
      <c r="C2056" t="s">
        <v>182</v>
      </c>
      <c r="D2056">
        <v>1.18</v>
      </c>
      <c r="E2056">
        <v>4314.18</v>
      </c>
      <c r="F2056">
        <v>0.64</v>
      </c>
      <c r="G2056">
        <v>4.66</v>
      </c>
      <c r="H2056">
        <v>13.43</v>
      </c>
      <c r="I2056">
        <v>2775.05</v>
      </c>
      <c r="J2056">
        <v>4.32</v>
      </c>
      <c r="K2056">
        <v>2.11</v>
      </c>
      <c r="L2056">
        <f t="shared" si="320"/>
        <v>0</v>
      </c>
      <c r="M2056">
        <f t="shared" si="321"/>
        <v>0</v>
      </c>
      <c r="N2056">
        <f t="shared" si="322"/>
        <v>0</v>
      </c>
      <c r="O2056">
        <f t="shared" si="323"/>
        <v>0</v>
      </c>
      <c r="P2056">
        <f t="shared" si="324"/>
        <v>0</v>
      </c>
      <c r="Q2056">
        <f t="shared" si="325"/>
        <v>0</v>
      </c>
      <c r="R2056">
        <f t="shared" si="326"/>
        <v>0</v>
      </c>
      <c r="S2056">
        <f t="shared" si="327"/>
        <v>0</v>
      </c>
      <c r="T2056">
        <f t="shared" si="329"/>
        <v>0</v>
      </c>
      <c r="U2056">
        <f t="shared" si="328"/>
        <v>0</v>
      </c>
    </row>
    <row r="2057" spans="1:21" x14ac:dyDescent="0.25">
      <c r="A2057" s="94">
        <v>2056</v>
      </c>
      <c r="B2057" t="s">
        <v>640</v>
      </c>
      <c r="C2057" t="s">
        <v>184</v>
      </c>
      <c r="D2057">
        <v>81.069999999999993</v>
      </c>
      <c r="E2057">
        <v>11259.14</v>
      </c>
      <c r="F2057">
        <v>615.15</v>
      </c>
      <c r="G2057">
        <v>70.27</v>
      </c>
      <c r="H2057">
        <v>7600.67</v>
      </c>
      <c r="I2057" s="80">
        <v>17342.7</v>
      </c>
      <c r="J2057">
        <v>39.79</v>
      </c>
      <c r="K2057">
        <v>3630.2</v>
      </c>
      <c r="L2057">
        <f t="shared" si="320"/>
        <v>0</v>
      </c>
      <c r="M2057">
        <f t="shared" si="321"/>
        <v>0</v>
      </c>
      <c r="N2057">
        <f t="shared" si="322"/>
        <v>0</v>
      </c>
      <c r="O2057">
        <f t="shared" si="323"/>
        <v>0</v>
      </c>
      <c r="P2057">
        <f t="shared" si="324"/>
        <v>0</v>
      </c>
      <c r="Q2057">
        <f t="shared" si="325"/>
        <v>0</v>
      </c>
      <c r="R2057">
        <f t="shared" si="326"/>
        <v>0</v>
      </c>
      <c r="S2057">
        <f t="shared" si="327"/>
        <v>0</v>
      </c>
      <c r="T2057">
        <f t="shared" si="329"/>
        <v>0</v>
      </c>
      <c r="U2057">
        <f t="shared" si="328"/>
        <v>0</v>
      </c>
    </row>
    <row r="2058" spans="1:21" x14ac:dyDescent="0.25">
      <c r="A2058" s="94">
        <v>2057</v>
      </c>
      <c r="B2058" t="s">
        <v>640</v>
      </c>
      <c r="C2058" t="s">
        <v>187</v>
      </c>
      <c r="D2058">
        <v>612.46</v>
      </c>
      <c r="E2058">
        <v>15844.98</v>
      </c>
      <c r="F2058">
        <v>1170.1400000000001</v>
      </c>
      <c r="G2058">
        <v>102.76</v>
      </c>
      <c r="H2058" s="80">
        <v>33026.19</v>
      </c>
      <c r="I2058" s="80">
        <v>17701.23</v>
      </c>
      <c r="J2058">
        <v>73.709999999999994</v>
      </c>
      <c r="K2058" s="80">
        <v>10643.51</v>
      </c>
      <c r="L2058">
        <f t="shared" si="320"/>
        <v>0</v>
      </c>
      <c r="M2058">
        <f t="shared" si="321"/>
        <v>0</v>
      </c>
      <c r="N2058">
        <f t="shared" si="322"/>
        <v>0</v>
      </c>
      <c r="O2058">
        <f t="shared" si="323"/>
        <v>0</v>
      </c>
      <c r="P2058">
        <f t="shared" si="324"/>
        <v>0</v>
      </c>
      <c r="Q2058">
        <f t="shared" si="325"/>
        <v>0</v>
      </c>
      <c r="R2058">
        <f t="shared" si="326"/>
        <v>0</v>
      </c>
      <c r="S2058">
        <f t="shared" si="327"/>
        <v>0</v>
      </c>
      <c r="T2058">
        <f t="shared" si="329"/>
        <v>0</v>
      </c>
      <c r="U2058">
        <f t="shared" si="328"/>
        <v>0</v>
      </c>
    </row>
    <row r="2059" spans="1:21" x14ac:dyDescent="0.25">
      <c r="A2059" s="94">
        <v>2058</v>
      </c>
      <c r="B2059" t="s">
        <v>640</v>
      </c>
      <c r="C2059" t="s">
        <v>189</v>
      </c>
      <c r="D2059">
        <v>388.06</v>
      </c>
      <c r="E2059">
        <v>13075.83</v>
      </c>
      <c r="F2059">
        <v>75.34</v>
      </c>
      <c r="G2059">
        <v>91.58</v>
      </c>
      <c r="H2059">
        <v>10020.16</v>
      </c>
      <c r="I2059" s="80">
        <v>16624.810000000001</v>
      </c>
      <c r="J2059">
        <v>56.23</v>
      </c>
      <c r="K2059" s="80">
        <v>11886.7</v>
      </c>
      <c r="L2059">
        <f t="shared" si="320"/>
        <v>0</v>
      </c>
      <c r="M2059">
        <f t="shared" si="321"/>
        <v>0</v>
      </c>
      <c r="N2059">
        <f t="shared" si="322"/>
        <v>0</v>
      </c>
      <c r="O2059">
        <f t="shared" si="323"/>
        <v>0</v>
      </c>
      <c r="P2059">
        <f t="shared" si="324"/>
        <v>0</v>
      </c>
      <c r="Q2059">
        <f t="shared" si="325"/>
        <v>0</v>
      </c>
      <c r="R2059">
        <f t="shared" si="326"/>
        <v>0</v>
      </c>
      <c r="S2059">
        <f t="shared" si="327"/>
        <v>0</v>
      </c>
      <c r="T2059">
        <f t="shared" si="329"/>
        <v>0</v>
      </c>
      <c r="U2059">
        <f t="shared" si="328"/>
        <v>0</v>
      </c>
    </row>
    <row r="2060" spans="1:21" x14ac:dyDescent="0.25">
      <c r="A2060" s="94">
        <v>2059</v>
      </c>
      <c r="B2060" t="s">
        <v>641</v>
      </c>
      <c r="C2060" t="s">
        <v>162</v>
      </c>
      <c r="D2060">
        <v>4.1100000000000003</v>
      </c>
      <c r="E2060">
        <v>15056.99</v>
      </c>
      <c r="F2060">
        <v>0.56000000000000005</v>
      </c>
      <c r="G2060">
        <v>32.65</v>
      </c>
      <c r="H2060">
        <v>0.56999999999999995</v>
      </c>
      <c r="I2060">
        <v>3.78</v>
      </c>
      <c r="J2060">
        <v>13.66</v>
      </c>
      <c r="K2060">
        <v>4.72</v>
      </c>
      <c r="L2060">
        <f t="shared" si="320"/>
        <v>0</v>
      </c>
      <c r="M2060">
        <f t="shared" si="321"/>
        <v>0</v>
      </c>
      <c r="N2060">
        <f t="shared" si="322"/>
        <v>0</v>
      </c>
      <c r="O2060">
        <f t="shared" si="323"/>
        <v>0</v>
      </c>
      <c r="P2060">
        <f t="shared" si="324"/>
        <v>0</v>
      </c>
      <c r="Q2060">
        <f t="shared" si="325"/>
        <v>0</v>
      </c>
      <c r="R2060">
        <f t="shared" si="326"/>
        <v>0</v>
      </c>
      <c r="S2060">
        <f t="shared" si="327"/>
        <v>0</v>
      </c>
      <c r="T2060">
        <f t="shared" si="329"/>
        <v>0</v>
      </c>
      <c r="U2060">
        <f t="shared" si="328"/>
        <v>0</v>
      </c>
    </row>
    <row r="2061" spans="1:21" x14ac:dyDescent="0.25">
      <c r="A2061" s="94">
        <v>2060</v>
      </c>
      <c r="B2061" t="s">
        <v>641</v>
      </c>
      <c r="C2061" t="s">
        <v>170</v>
      </c>
      <c r="D2061">
        <v>6.49</v>
      </c>
      <c r="E2061">
        <v>11698.09</v>
      </c>
      <c r="F2061">
        <v>126.58</v>
      </c>
      <c r="G2061">
        <v>32.65</v>
      </c>
      <c r="H2061">
        <v>1102.17</v>
      </c>
      <c r="I2061" s="80">
        <v>7187.42</v>
      </c>
      <c r="J2061">
        <v>21.75</v>
      </c>
      <c r="K2061">
        <v>371.11</v>
      </c>
      <c r="L2061">
        <f t="shared" si="320"/>
        <v>0</v>
      </c>
      <c r="M2061">
        <f t="shared" si="321"/>
        <v>0</v>
      </c>
      <c r="N2061">
        <f t="shared" si="322"/>
        <v>0</v>
      </c>
      <c r="O2061">
        <f t="shared" si="323"/>
        <v>0</v>
      </c>
      <c r="P2061">
        <f t="shared" si="324"/>
        <v>0</v>
      </c>
      <c r="Q2061">
        <f t="shared" si="325"/>
        <v>0</v>
      </c>
      <c r="R2061">
        <f t="shared" si="326"/>
        <v>0</v>
      </c>
      <c r="S2061">
        <f t="shared" si="327"/>
        <v>0</v>
      </c>
      <c r="T2061">
        <f t="shared" si="329"/>
        <v>0</v>
      </c>
      <c r="U2061">
        <f t="shared" si="328"/>
        <v>0</v>
      </c>
    </row>
    <row r="2062" spans="1:21" x14ac:dyDescent="0.25">
      <c r="A2062" s="94">
        <v>2061</v>
      </c>
      <c r="B2062" t="s">
        <v>641</v>
      </c>
      <c r="C2062" t="s">
        <v>178</v>
      </c>
      <c r="D2062">
        <v>18.25</v>
      </c>
      <c r="E2062">
        <v>14254.35</v>
      </c>
      <c r="F2062">
        <v>840.18</v>
      </c>
      <c r="G2062">
        <v>50.53</v>
      </c>
      <c r="H2062">
        <v>6042.86</v>
      </c>
      <c r="I2062" s="80">
        <v>11977.32</v>
      </c>
      <c r="J2062">
        <v>33.54</v>
      </c>
      <c r="K2062">
        <v>959.72</v>
      </c>
      <c r="L2062">
        <f t="shared" si="320"/>
        <v>0</v>
      </c>
      <c r="M2062">
        <f t="shared" si="321"/>
        <v>0</v>
      </c>
      <c r="N2062">
        <f t="shared" si="322"/>
        <v>0</v>
      </c>
      <c r="O2062">
        <f t="shared" si="323"/>
        <v>0</v>
      </c>
      <c r="P2062">
        <f t="shared" si="324"/>
        <v>0</v>
      </c>
      <c r="Q2062">
        <f t="shared" si="325"/>
        <v>0</v>
      </c>
      <c r="R2062">
        <f t="shared" si="326"/>
        <v>0</v>
      </c>
      <c r="S2062">
        <f t="shared" si="327"/>
        <v>0</v>
      </c>
      <c r="T2062">
        <f t="shared" si="329"/>
        <v>0</v>
      </c>
      <c r="U2062">
        <f t="shared" si="328"/>
        <v>0</v>
      </c>
    </row>
    <row r="2063" spans="1:21" x14ac:dyDescent="0.25">
      <c r="A2063" s="94">
        <v>2062</v>
      </c>
      <c r="B2063" t="s">
        <v>641</v>
      </c>
      <c r="C2063" t="s">
        <v>163</v>
      </c>
      <c r="D2063">
        <v>21.62</v>
      </c>
      <c r="E2063">
        <v>10247.49</v>
      </c>
      <c r="F2063">
        <v>485.72</v>
      </c>
      <c r="G2063">
        <v>80.739999999999995</v>
      </c>
      <c r="H2063">
        <v>8526.89</v>
      </c>
      <c r="I2063" s="80">
        <v>11722.33</v>
      </c>
      <c r="J2063">
        <v>39.79</v>
      </c>
      <c r="K2063">
        <v>5906.89</v>
      </c>
      <c r="L2063">
        <f t="shared" si="320"/>
        <v>0</v>
      </c>
      <c r="M2063">
        <f t="shared" si="321"/>
        <v>0</v>
      </c>
      <c r="N2063">
        <f t="shared" si="322"/>
        <v>0</v>
      </c>
      <c r="O2063">
        <f t="shared" si="323"/>
        <v>0</v>
      </c>
      <c r="P2063">
        <f t="shared" si="324"/>
        <v>0</v>
      </c>
      <c r="Q2063">
        <f t="shared" si="325"/>
        <v>0</v>
      </c>
      <c r="R2063">
        <f t="shared" si="326"/>
        <v>0</v>
      </c>
      <c r="S2063">
        <f t="shared" si="327"/>
        <v>0</v>
      </c>
      <c r="T2063">
        <f t="shared" si="329"/>
        <v>0</v>
      </c>
      <c r="U2063">
        <f t="shared" si="328"/>
        <v>0</v>
      </c>
    </row>
    <row r="2064" spans="1:21" x14ac:dyDescent="0.25">
      <c r="A2064" s="94">
        <v>2063</v>
      </c>
      <c r="B2064" t="s">
        <v>641</v>
      </c>
      <c r="C2064" t="s">
        <v>181</v>
      </c>
      <c r="D2064">
        <v>9.82</v>
      </c>
      <c r="E2064" s="80">
        <v>77002.63</v>
      </c>
      <c r="F2064">
        <v>1.2</v>
      </c>
      <c r="G2064">
        <v>50.53</v>
      </c>
      <c r="H2064">
        <v>75.95</v>
      </c>
      <c r="I2064">
        <v>501.47</v>
      </c>
      <c r="J2064">
        <v>26.06</v>
      </c>
      <c r="K2064">
        <v>175.62</v>
      </c>
      <c r="L2064">
        <f t="shared" si="320"/>
        <v>0</v>
      </c>
      <c r="M2064">
        <f t="shared" si="321"/>
        <v>0</v>
      </c>
      <c r="N2064">
        <f t="shared" si="322"/>
        <v>0</v>
      </c>
      <c r="O2064">
        <f t="shared" si="323"/>
        <v>0</v>
      </c>
      <c r="P2064">
        <f t="shared" si="324"/>
        <v>0</v>
      </c>
      <c r="Q2064">
        <f t="shared" si="325"/>
        <v>0</v>
      </c>
      <c r="R2064">
        <f t="shared" si="326"/>
        <v>0</v>
      </c>
      <c r="S2064">
        <f t="shared" si="327"/>
        <v>0</v>
      </c>
      <c r="T2064">
        <f t="shared" si="329"/>
        <v>0</v>
      </c>
      <c r="U2064">
        <f t="shared" si="328"/>
        <v>0</v>
      </c>
    </row>
    <row r="2065" spans="1:21" x14ac:dyDescent="0.25">
      <c r="A2065" s="94">
        <v>2064</v>
      </c>
      <c r="B2065" t="s">
        <v>641</v>
      </c>
      <c r="C2065" t="s">
        <v>183</v>
      </c>
      <c r="D2065">
        <v>15.03</v>
      </c>
      <c r="E2065" s="80">
        <v>25113.15</v>
      </c>
      <c r="F2065">
        <v>852.34</v>
      </c>
      <c r="G2065">
        <v>70.27</v>
      </c>
      <c r="H2065">
        <v>11233.52</v>
      </c>
      <c r="I2065" s="80">
        <v>18471.080000000002</v>
      </c>
      <c r="J2065">
        <v>49.52</v>
      </c>
      <c r="K2065">
        <v>5747.88</v>
      </c>
      <c r="L2065">
        <f t="shared" si="320"/>
        <v>0</v>
      </c>
      <c r="M2065">
        <f t="shared" si="321"/>
        <v>0</v>
      </c>
      <c r="N2065">
        <f t="shared" si="322"/>
        <v>0</v>
      </c>
      <c r="O2065">
        <f t="shared" si="323"/>
        <v>0</v>
      </c>
      <c r="P2065">
        <f t="shared" si="324"/>
        <v>0</v>
      </c>
      <c r="Q2065">
        <f t="shared" si="325"/>
        <v>0</v>
      </c>
      <c r="R2065">
        <f t="shared" si="326"/>
        <v>0</v>
      </c>
      <c r="S2065">
        <f t="shared" si="327"/>
        <v>0</v>
      </c>
      <c r="T2065">
        <f t="shared" si="329"/>
        <v>0</v>
      </c>
      <c r="U2065">
        <f t="shared" si="328"/>
        <v>0</v>
      </c>
    </row>
    <row r="2066" spans="1:21" x14ac:dyDescent="0.25">
      <c r="A2066" s="94">
        <v>2065</v>
      </c>
      <c r="B2066" t="s">
        <v>641</v>
      </c>
      <c r="C2066" t="s">
        <v>186</v>
      </c>
      <c r="D2066">
        <v>21.62</v>
      </c>
      <c r="E2066">
        <v>18054.849999999999</v>
      </c>
      <c r="F2066">
        <v>1607.2</v>
      </c>
      <c r="G2066">
        <v>126.1</v>
      </c>
      <c r="H2066" s="80">
        <v>31016.48</v>
      </c>
      <c r="I2066" s="80">
        <v>19660.25</v>
      </c>
      <c r="J2066">
        <v>66.61</v>
      </c>
      <c r="K2066">
        <v>9515.5300000000007</v>
      </c>
      <c r="L2066">
        <f t="shared" si="320"/>
        <v>0</v>
      </c>
      <c r="M2066">
        <f t="shared" si="321"/>
        <v>0</v>
      </c>
      <c r="N2066">
        <f t="shared" si="322"/>
        <v>0</v>
      </c>
      <c r="O2066">
        <f t="shared" si="323"/>
        <v>0</v>
      </c>
      <c r="P2066">
        <f t="shared" si="324"/>
        <v>0</v>
      </c>
      <c r="Q2066">
        <f t="shared" si="325"/>
        <v>0</v>
      </c>
      <c r="R2066">
        <f t="shared" si="326"/>
        <v>0</v>
      </c>
      <c r="S2066">
        <f t="shared" si="327"/>
        <v>0</v>
      </c>
      <c r="T2066">
        <f t="shared" si="329"/>
        <v>0</v>
      </c>
      <c r="U2066">
        <f t="shared" si="328"/>
        <v>0</v>
      </c>
    </row>
    <row r="2067" spans="1:21" x14ac:dyDescent="0.25">
      <c r="A2067" s="94">
        <v>2066</v>
      </c>
      <c r="B2067" t="s">
        <v>641</v>
      </c>
      <c r="C2067" t="s">
        <v>188</v>
      </c>
      <c r="D2067">
        <v>21.62</v>
      </c>
      <c r="E2067" s="80">
        <v>28488.13</v>
      </c>
      <c r="F2067">
        <v>1115.5</v>
      </c>
      <c r="G2067">
        <v>91.58</v>
      </c>
      <c r="H2067">
        <v>8317.19</v>
      </c>
      <c r="I2067" s="80">
        <v>17778.63</v>
      </c>
      <c r="J2067">
        <v>66.61</v>
      </c>
      <c r="K2067">
        <v>15777.7</v>
      </c>
      <c r="L2067">
        <f t="shared" si="320"/>
        <v>0</v>
      </c>
      <c r="M2067">
        <f t="shared" si="321"/>
        <v>0</v>
      </c>
      <c r="N2067">
        <f t="shared" si="322"/>
        <v>0</v>
      </c>
      <c r="O2067">
        <f t="shared" si="323"/>
        <v>0</v>
      </c>
      <c r="P2067">
        <f t="shared" si="324"/>
        <v>0</v>
      </c>
      <c r="Q2067">
        <f t="shared" si="325"/>
        <v>0</v>
      </c>
      <c r="R2067">
        <f t="shared" si="326"/>
        <v>0</v>
      </c>
      <c r="S2067">
        <f t="shared" si="327"/>
        <v>0</v>
      </c>
      <c r="T2067">
        <f t="shared" si="329"/>
        <v>0</v>
      </c>
      <c r="U2067">
        <f t="shared" si="328"/>
        <v>0</v>
      </c>
    </row>
    <row r="2068" spans="1:21" x14ac:dyDescent="0.25">
      <c r="A2068" s="94">
        <v>2067</v>
      </c>
      <c r="B2068" t="s">
        <v>641</v>
      </c>
      <c r="C2068" t="s">
        <v>182</v>
      </c>
      <c r="D2068">
        <v>2.0499999999999998</v>
      </c>
      <c r="E2068">
        <v>7308.72</v>
      </c>
      <c r="F2068">
        <v>1.47</v>
      </c>
      <c r="G2068">
        <v>17.05</v>
      </c>
      <c r="H2068">
        <v>18.97</v>
      </c>
      <c r="I2068">
        <v>2704.82</v>
      </c>
      <c r="J2068">
        <v>11.14</v>
      </c>
      <c r="K2068">
        <v>3.73</v>
      </c>
      <c r="L2068">
        <f t="shared" si="320"/>
        <v>0</v>
      </c>
      <c r="M2068">
        <f t="shared" si="321"/>
        <v>0</v>
      </c>
      <c r="N2068">
        <f t="shared" si="322"/>
        <v>0</v>
      </c>
      <c r="O2068">
        <f t="shared" si="323"/>
        <v>0</v>
      </c>
      <c r="P2068">
        <f t="shared" si="324"/>
        <v>0</v>
      </c>
      <c r="Q2068">
        <f t="shared" si="325"/>
        <v>0</v>
      </c>
      <c r="R2068">
        <f t="shared" si="326"/>
        <v>0</v>
      </c>
      <c r="S2068">
        <f t="shared" si="327"/>
        <v>0</v>
      </c>
      <c r="T2068">
        <f t="shared" si="329"/>
        <v>0</v>
      </c>
      <c r="U2068">
        <f t="shared" si="328"/>
        <v>0</v>
      </c>
    </row>
    <row r="2069" spans="1:21" x14ac:dyDescent="0.25">
      <c r="A2069" s="94">
        <v>2068</v>
      </c>
      <c r="B2069" t="s">
        <v>641</v>
      </c>
      <c r="C2069" t="s">
        <v>184</v>
      </c>
      <c r="D2069">
        <v>414.5</v>
      </c>
      <c r="E2069">
        <v>20556.599999999999</v>
      </c>
      <c r="F2069">
        <v>195.68</v>
      </c>
      <c r="G2069">
        <v>80.739999999999995</v>
      </c>
      <c r="H2069" s="80">
        <v>17815.73</v>
      </c>
      <c r="I2069" s="80">
        <v>16934.689999999999</v>
      </c>
      <c r="J2069">
        <v>46.23</v>
      </c>
      <c r="K2069">
        <v>3201.78</v>
      </c>
      <c r="L2069">
        <f t="shared" si="320"/>
        <v>0</v>
      </c>
      <c r="M2069">
        <f t="shared" si="321"/>
        <v>0</v>
      </c>
      <c r="N2069">
        <f t="shared" si="322"/>
        <v>0</v>
      </c>
      <c r="O2069">
        <f t="shared" si="323"/>
        <v>0</v>
      </c>
      <c r="P2069">
        <f t="shared" si="324"/>
        <v>0</v>
      </c>
      <c r="Q2069">
        <f t="shared" si="325"/>
        <v>0</v>
      </c>
      <c r="R2069">
        <f t="shared" si="326"/>
        <v>0</v>
      </c>
      <c r="S2069">
        <f t="shared" si="327"/>
        <v>0</v>
      </c>
      <c r="T2069">
        <f t="shared" si="329"/>
        <v>0</v>
      </c>
      <c r="U2069">
        <f t="shared" si="328"/>
        <v>0</v>
      </c>
    </row>
    <row r="2070" spans="1:21" x14ac:dyDescent="0.25">
      <c r="A2070" s="94">
        <v>2069</v>
      </c>
      <c r="B2070" t="s">
        <v>641</v>
      </c>
      <c r="C2070" t="s">
        <v>187</v>
      </c>
      <c r="D2070">
        <v>1791.32</v>
      </c>
      <c r="E2070">
        <v>20485.82</v>
      </c>
      <c r="F2070">
        <v>544.1</v>
      </c>
      <c r="G2070">
        <v>114.28</v>
      </c>
      <c r="H2070" s="80">
        <v>56541.03</v>
      </c>
      <c r="I2070" s="80">
        <v>16930.37</v>
      </c>
      <c r="J2070">
        <v>70.14</v>
      </c>
      <c r="K2070">
        <v>8773.9500000000007</v>
      </c>
      <c r="L2070">
        <f t="shared" si="320"/>
        <v>0</v>
      </c>
      <c r="M2070">
        <f t="shared" si="321"/>
        <v>0</v>
      </c>
      <c r="N2070">
        <f t="shared" si="322"/>
        <v>0</v>
      </c>
      <c r="O2070">
        <f t="shared" si="323"/>
        <v>0</v>
      </c>
      <c r="P2070">
        <f t="shared" si="324"/>
        <v>0</v>
      </c>
      <c r="Q2070">
        <f t="shared" si="325"/>
        <v>0</v>
      </c>
      <c r="R2070">
        <f t="shared" si="326"/>
        <v>0</v>
      </c>
      <c r="S2070">
        <f t="shared" si="327"/>
        <v>0</v>
      </c>
      <c r="T2070">
        <f t="shared" si="329"/>
        <v>0</v>
      </c>
      <c r="U2070">
        <f t="shared" si="328"/>
        <v>0</v>
      </c>
    </row>
    <row r="2071" spans="1:21" x14ac:dyDescent="0.25">
      <c r="A2071" s="94">
        <v>2070</v>
      </c>
      <c r="B2071" t="s">
        <v>641</v>
      </c>
      <c r="C2071" t="s">
        <v>189</v>
      </c>
      <c r="D2071">
        <v>1390.36</v>
      </c>
      <c r="E2071">
        <v>9765.14</v>
      </c>
      <c r="F2071">
        <v>13.93</v>
      </c>
      <c r="G2071">
        <v>80.739999999999995</v>
      </c>
      <c r="H2071" s="80">
        <v>31559.26</v>
      </c>
      <c r="I2071" s="80">
        <v>11285.84</v>
      </c>
      <c r="J2071">
        <v>56.23</v>
      </c>
      <c r="K2071">
        <v>11936.68</v>
      </c>
      <c r="L2071">
        <f t="shared" si="320"/>
        <v>0</v>
      </c>
      <c r="M2071">
        <f t="shared" si="321"/>
        <v>0</v>
      </c>
      <c r="N2071">
        <f t="shared" si="322"/>
        <v>0</v>
      </c>
      <c r="O2071">
        <f t="shared" si="323"/>
        <v>0</v>
      </c>
      <c r="P2071">
        <f t="shared" si="324"/>
        <v>0</v>
      </c>
      <c r="Q2071">
        <f t="shared" si="325"/>
        <v>0</v>
      </c>
      <c r="R2071">
        <f t="shared" si="326"/>
        <v>0</v>
      </c>
      <c r="S2071">
        <f t="shared" si="327"/>
        <v>0</v>
      </c>
      <c r="T2071">
        <f t="shared" si="329"/>
        <v>0</v>
      </c>
      <c r="U2071">
        <f t="shared" si="328"/>
        <v>0</v>
      </c>
    </row>
    <row r="2072" spans="1:21" x14ac:dyDescent="0.25">
      <c r="A2072" s="94">
        <v>2071</v>
      </c>
      <c r="B2072" t="s">
        <v>642</v>
      </c>
      <c r="C2072" t="s">
        <v>162</v>
      </c>
      <c r="D2072">
        <v>13.48</v>
      </c>
      <c r="E2072" s="89" t="s">
        <v>582</v>
      </c>
      <c r="F2072">
        <v>1.47</v>
      </c>
      <c r="G2072">
        <v>60.19</v>
      </c>
      <c r="H2072">
        <v>3.36</v>
      </c>
      <c r="I2072">
        <v>59.6</v>
      </c>
      <c r="J2072">
        <v>33.54</v>
      </c>
      <c r="K2072">
        <v>50.27</v>
      </c>
      <c r="L2072">
        <f t="shared" si="320"/>
        <v>0</v>
      </c>
      <c r="M2072">
        <f t="shared" si="321"/>
        <v>1</v>
      </c>
      <c r="N2072">
        <f t="shared" si="322"/>
        <v>0</v>
      </c>
      <c r="O2072">
        <f t="shared" si="323"/>
        <v>0</v>
      </c>
      <c r="P2072">
        <f t="shared" si="324"/>
        <v>0</v>
      </c>
      <c r="Q2072">
        <f t="shared" si="325"/>
        <v>0</v>
      </c>
      <c r="R2072">
        <f t="shared" si="326"/>
        <v>0</v>
      </c>
      <c r="S2072">
        <f t="shared" si="327"/>
        <v>0</v>
      </c>
      <c r="T2072">
        <f t="shared" si="329"/>
        <v>1</v>
      </c>
      <c r="U2072">
        <f t="shared" si="328"/>
        <v>1</v>
      </c>
    </row>
    <row r="2073" spans="1:21" x14ac:dyDescent="0.25">
      <c r="A2073" s="94">
        <v>2072</v>
      </c>
      <c r="B2073" t="s">
        <v>642</v>
      </c>
      <c r="C2073" t="s">
        <v>170</v>
      </c>
      <c r="D2073">
        <v>25.15</v>
      </c>
      <c r="E2073" s="80">
        <v>36342.6</v>
      </c>
      <c r="F2073">
        <v>347.55</v>
      </c>
      <c r="G2073">
        <v>70.27</v>
      </c>
      <c r="H2073">
        <v>4563.72</v>
      </c>
      <c r="I2073" s="80">
        <v>14707.18</v>
      </c>
      <c r="J2073">
        <v>33.54</v>
      </c>
      <c r="K2073">
        <v>591.65</v>
      </c>
      <c r="L2073">
        <f t="shared" si="320"/>
        <v>0</v>
      </c>
      <c r="M2073">
        <f t="shared" si="321"/>
        <v>0</v>
      </c>
      <c r="N2073">
        <f t="shared" si="322"/>
        <v>0</v>
      </c>
      <c r="O2073">
        <f t="shared" si="323"/>
        <v>0</v>
      </c>
      <c r="P2073">
        <f t="shared" si="324"/>
        <v>0</v>
      </c>
      <c r="Q2073">
        <f t="shared" si="325"/>
        <v>0</v>
      </c>
      <c r="R2073">
        <f t="shared" si="326"/>
        <v>0</v>
      </c>
      <c r="S2073">
        <f t="shared" si="327"/>
        <v>0</v>
      </c>
      <c r="T2073">
        <f t="shared" si="329"/>
        <v>0</v>
      </c>
      <c r="U2073">
        <f t="shared" si="328"/>
        <v>0</v>
      </c>
    </row>
    <row r="2074" spans="1:21" x14ac:dyDescent="0.25">
      <c r="A2074" s="94">
        <v>2073</v>
      </c>
      <c r="B2074" t="s">
        <v>642</v>
      </c>
      <c r="C2074" t="s">
        <v>178</v>
      </c>
      <c r="D2074">
        <v>243.61</v>
      </c>
      <c r="E2074" s="80">
        <v>50694.37</v>
      </c>
      <c r="F2074">
        <v>1017.69</v>
      </c>
      <c r="G2074">
        <v>144.38999999999999</v>
      </c>
      <c r="H2074" s="80">
        <v>44636.69</v>
      </c>
      <c r="I2074" s="80">
        <v>18397.91</v>
      </c>
      <c r="J2074">
        <v>59.65</v>
      </c>
      <c r="K2074">
        <v>2105.46</v>
      </c>
      <c r="L2074">
        <f t="shared" si="320"/>
        <v>0</v>
      </c>
      <c r="M2074">
        <f t="shared" si="321"/>
        <v>0</v>
      </c>
      <c r="N2074">
        <f t="shared" si="322"/>
        <v>0</v>
      </c>
      <c r="O2074">
        <f t="shared" si="323"/>
        <v>0</v>
      </c>
      <c r="P2074">
        <f t="shared" si="324"/>
        <v>0</v>
      </c>
      <c r="Q2074">
        <f t="shared" si="325"/>
        <v>0</v>
      </c>
      <c r="R2074">
        <f t="shared" si="326"/>
        <v>0</v>
      </c>
      <c r="S2074">
        <f t="shared" si="327"/>
        <v>0</v>
      </c>
      <c r="T2074">
        <f t="shared" si="329"/>
        <v>0</v>
      </c>
      <c r="U2074">
        <f t="shared" si="328"/>
        <v>0</v>
      </c>
    </row>
    <row r="2075" spans="1:21" x14ac:dyDescent="0.25">
      <c r="A2075" s="94">
        <v>2074</v>
      </c>
      <c r="B2075" t="s">
        <v>642</v>
      </c>
      <c r="C2075" t="s">
        <v>163</v>
      </c>
      <c r="D2075">
        <v>40.51</v>
      </c>
      <c r="E2075" s="80">
        <v>51971.42</v>
      </c>
      <c r="F2075">
        <v>365.07</v>
      </c>
      <c r="G2075">
        <v>102.76</v>
      </c>
      <c r="H2075">
        <v>14904.25</v>
      </c>
      <c r="I2075" s="80">
        <v>15445.56</v>
      </c>
      <c r="J2075">
        <v>56.23</v>
      </c>
      <c r="K2075">
        <v>3074.74</v>
      </c>
      <c r="L2075">
        <f t="shared" si="320"/>
        <v>0</v>
      </c>
      <c r="M2075">
        <f t="shared" si="321"/>
        <v>0</v>
      </c>
      <c r="N2075">
        <f t="shared" si="322"/>
        <v>0</v>
      </c>
      <c r="O2075">
        <f t="shared" si="323"/>
        <v>0</v>
      </c>
      <c r="P2075">
        <f t="shared" si="324"/>
        <v>0</v>
      </c>
      <c r="Q2075">
        <f t="shared" si="325"/>
        <v>0</v>
      </c>
      <c r="R2075">
        <f t="shared" si="326"/>
        <v>0</v>
      </c>
      <c r="S2075">
        <f t="shared" si="327"/>
        <v>0</v>
      </c>
      <c r="T2075">
        <f t="shared" si="329"/>
        <v>0</v>
      </c>
      <c r="U2075">
        <f t="shared" si="328"/>
        <v>0</v>
      </c>
    </row>
    <row r="2076" spans="1:21" x14ac:dyDescent="0.25">
      <c r="A2076" s="94">
        <v>2075</v>
      </c>
      <c r="B2076" t="s">
        <v>642</v>
      </c>
      <c r="C2076" t="s">
        <v>181</v>
      </c>
      <c r="D2076">
        <v>19.920000000000002</v>
      </c>
      <c r="E2076" s="89" t="s">
        <v>582</v>
      </c>
      <c r="F2076">
        <v>1.66</v>
      </c>
      <c r="G2076">
        <v>91.58</v>
      </c>
      <c r="H2076">
        <v>14.83</v>
      </c>
      <c r="I2076">
        <v>1320.45</v>
      </c>
      <c r="J2076">
        <v>49.52</v>
      </c>
      <c r="K2076">
        <v>255.53</v>
      </c>
      <c r="L2076">
        <f t="shared" si="320"/>
        <v>0</v>
      </c>
      <c r="M2076">
        <f t="shared" si="321"/>
        <v>1</v>
      </c>
      <c r="N2076">
        <f t="shared" si="322"/>
        <v>0</v>
      </c>
      <c r="O2076">
        <f t="shared" si="323"/>
        <v>0</v>
      </c>
      <c r="P2076">
        <f t="shared" si="324"/>
        <v>0</v>
      </c>
      <c r="Q2076">
        <f t="shared" si="325"/>
        <v>0</v>
      </c>
      <c r="R2076">
        <f t="shared" si="326"/>
        <v>0</v>
      </c>
      <c r="S2076">
        <f t="shared" si="327"/>
        <v>0</v>
      </c>
      <c r="T2076">
        <f t="shared" si="329"/>
        <v>1</v>
      </c>
      <c r="U2076">
        <f t="shared" si="328"/>
        <v>1</v>
      </c>
    </row>
    <row r="2077" spans="1:21" x14ac:dyDescent="0.25">
      <c r="A2077" s="94">
        <v>2076</v>
      </c>
      <c r="B2077" t="s">
        <v>642</v>
      </c>
      <c r="C2077" t="s">
        <v>183</v>
      </c>
      <c r="D2077">
        <v>16.62</v>
      </c>
      <c r="E2077" s="80">
        <v>64825.95</v>
      </c>
      <c r="F2077">
        <v>184.4</v>
      </c>
      <c r="G2077">
        <v>91.58</v>
      </c>
      <c r="H2077">
        <v>10183.379999999999</v>
      </c>
      <c r="I2077" s="80">
        <v>20585.82</v>
      </c>
      <c r="J2077">
        <v>56.23</v>
      </c>
      <c r="K2077">
        <v>3642.73</v>
      </c>
      <c r="L2077">
        <f t="shared" si="320"/>
        <v>0</v>
      </c>
      <c r="M2077">
        <f t="shared" si="321"/>
        <v>0</v>
      </c>
      <c r="N2077">
        <f t="shared" si="322"/>
        <v>0</v>
      </c>
      <c r="O2077">
        <f t="shared" si="323"/>
        <v>0</v>
      </c>
      <c r="P2077">
        <f t="shared" si="324"/>
        <v>0</v>
      </c>
      <c r="Q2077">
        <f t="shared" si="325"/>
        <v>0</v>
      </c>
      <c r="R2077">
        <f t="shared" si="326"/>
        <v>0</v>
      </c>
      <c r="S2077">
        <f t="shared" si="327"/>
        <v>0</v>
      </c>
      <c r="T2077">
        <f t="shared" si="329"/>
        <v>0</v>
      </c>
      <c r="U2077">
        <f t="shared" si="328"/>
        <v>0</v>
      </c>
    </row>
    <row r="2078" spans="1:21" x14ac:dyDescent="0.25">
      <c r="A2078" s="94">
        <v>2077</v>
      </c>
      <c r="B2078" t="s">
        <v>642</v>
      </c>
      <c r="C2078" t="s">
        <v>186</v>
      </c>
      <c r="D2078">
        <v>23.37</v>
      </c>
      <c r="E2078" s="80">
        <v>53979.74</v>
      </c>
      <c r="F2078">
        <v>872.97</v>
      </c>
      <c r="G2078">
        <v>126.1</v>
      </c>
      <c r="H2078" s="80">
        <v>98987</v>
      </c>
      <c r="I2078" s="80">
        <v>21721.52</v>
      </c>
      <c r="J2078">
        <v>80.95</v>
      </c>
      <c r="K2078">
        <v>8702.35</v>
      </c>
      <c r="L2078">
        <f t="shared" si="320"/>
        <v>0</v>
      </c>
      <c r="M2078">
        <f t="shared" si="321"/>
        <v>0</v>
      </c>
      <c r="N2078">
        <f t="shared" si="322"/>
        <v>0</v>
      </c>
      <c r="O2078">
        <f t="shared" si="323"/>
        <v>0</v>
      </c>
      <c r="P2078">
        <f t="shared" si="324"/>
        <v>0</v>
      </c>
      <c r="Q2078">
        <f t="shared" si="325"/>
        <v>0</v>
      </c>
      <c r="R2078">
        <f t="shared" si="326"/>
        <v>0</v>
      </c>
      <c r="S2078">
        <f t="shared" si="327"/>
        <v>0</v>
      </c>
      <c r="T2078">
        <f t="shared" si="329"/>
        <v>0</v>
      </c>
      <c r="U2078">
        <f t="shared" si="328"/>
        <v>0</v>
      </c>
    </row>
    <row r="2079" spans="1:21" x14ac:dyDescent="0.25">
      <c r="A2079" s="94">
        <v>2078</v>
      </c>
      <c r="B2079" t="s">
        <v>642</v>
      </c>
      <c r="C2079" t="s">
        <v>188</v>
      </c>
      <c r="D2079">
        <v>23.37</v>
      </c>
      <c r="E2079" s="89" t="s">
        <v>582</v>
      </c>
      <c r="F2079">
        <v>209.79</v>
      </c>
      <c r="G2079">
        <v>102.76</v>
      </c>
      <c r="H2079" s="80">
        <v>18926.46</v>
      </c>
      <c r="I2079" s="80">
        <v>19719.87</v>
      </c>
      <c r="J2079">
        <v>92.05</v>
      </c>
      <c r="K2079">
        <v>6795.57</v>
      </c>
      <c r="L2079">
        <f t="shared" si="320"/>
        <v>0</v>
      </c>
      <c r="M2079">
        <f t="shared" si="321"/>
        <v>1</v>
      </c>
      <c r="N2079">
        <f t="shared" si="322"/>
        <v>0</v>
      </c>
      <c r="O2079">
        <f t="shared" si="323"/>
        <v>0</v>
      </c>
      <c r="P2079">
        <f t="shared" si="324"/>
        <v>0</v>
      </c>
      <c r="Q2079">
        <f t="shared" si="325"/>
        <v>0</v>
      </c>
      <c r="R2079">
        <f t="shared" si="326"/>
        <v>0</v>
      </c>
      <c r="S2079">
        <f t="shared" si="327"/>
        <v>0</v>
      </c>
      <c r="T2079">
        <f t="shared" si="329"/>
        <v>1</v>
      </c>
      <c r="U2079">
        <f t="shared" si="328"/>
        <v>1</v>
      </c>
    </row>
    <row r="2080" spans="1:21" x14ac:dyDescent="0.25">
      <c r="A2080" s="94">
        <v>2079</v>
      </c>
      <c r="B2080" t="s">
        <v>642</v>
      </c>
      <c r="C2080" t="s">
        <v>182</v>
      </c>
      <c r="D2080">
        <v>0.46</v>
      </c>
      <c r="E2080">
        <v>2283.31</v>
      </c>
      <c r="F2080">
        <v>0.37</v>
      </c>
      <c r="G2080">
        <v>4.66</v>
      </c>
      <c r="H2080">
        <v>53.85</v>
      </c>
      <c r="I2080">
        <v>1920.39</v>
      </c>
      <c r="J2080">
        <v>3.32</v>
      </c>
      <c r="K2080">
        <v>24.24</v>
      </c>
      <c r="L2080">
        <f t="shared" si="320"/>
        <v>0</v>
      </c>
      <c r="M2080">
        <f t="shared" si="321"/>
        <v>0</v>
      </c>
      <c r="N2080">
        <f t="shared" si="322"/>
        <v>0</v>
      </c>
      <c r="O2080">
        <f t="shared" si="323"/>
        <v>0</v>
      </c>
      <c r="P2080">
        <f t="shared" si="324"/>
        <v>0</v>
      </c>
      <c r="Q2080">
        <f t="shared" si="325"/>
        <v>0</v>
      </c>
      <c r="R2080">
        <f t="shared" si="326"/>
        <v>0</v>
      </c>
      <c r="S2080">
        <f t="shared" si="327"/>
        <v>0</v>
      </c>
      <c r="T2080">
        <f t="shared" si="329"/>
        <v>0</v>
      </c>
      <c r="U2080">
        <f t="shared" si="328"/>
        <v>0</v>
      </c>
    </row>
    <row r="2081" spans="1:21" x14ac:dyDescent="0.25">
      <c r="A2081" s="94">
        <v>2080</v>
      </c>
      <c r="B2081" t="s">
        <v>642</v>
      </c>
      <c r="C2081" t="s">
        <v>184</v>
      </c>
      <c r="D2081">
        <v>243.61</v>
      </c>
      <c r="E2081">
        <v>3036.25</v>
      </c>
      <c r="F2081">
        <v>6.04</v>
      </c>
      <c r="G2081">
        <v>20.7</v>
      </c>
      <c r="H2081">
        <v>4386.8900000000003</v>
      </c>
      <c r="I2081" s="80">
        <v>11276.99</v>
      </c>
      <c r="J2081">
        <v>16.28</v>
      </c>
      <c r="K2081">
        <v>833.31</v>
      </c>
      <c r="L2081">
        <f t="shared" si="320"/>
        <v>0</v>
      </c>
      <c r="M2081">
        <f t="shared" si="321"/>
        <v>0</v>
      </c>
      <c r="N2081">
        <f t="shared" si="322"/>
        <v>0</v>
      </c>
      <c r="O2081">
        <f t="shared" si="323"/>
        <v>0</v>
      </c>
      <c r="P2081">
        <f t="shared" si="324"/>
        <v>0</v>
      </c>
      <c r="Q2081">
        <f t="shared" si="325"/>
        <v>0</v>
      </c>
      <c r="R2081">
        <f t="shared" si="326"/>
        <v>0</v>
      </c>
      <c r="S2081">
        <f t="shared" si="327"/>
        <v>0</v>
      </c>
      <c r="T2081">
        <f t="shared" si="329"/>
        <v>0</v>
      </c>
      <c r="U2081">
        <f t="shared" si="328"/>
        <v>0</v>
      </c>
    </row>
    <row r="2082" spans="1:21" x14ac:dyDescent="0.25">
      <c r="A2082" s="94">
        <v>2081</v>
      </c>
      <c r="B2082" t="s">
        <v>642</v>
      </c>
      <c r="C2082" t="s">
        <v>187</v>
      </c>
      <c r="D2082">
        <v>986.32</v>
      </c>
      <c r="E2082">
        <v>2915.07</v>
      </c>
      <c r="F2082">
        <v>64.41</v>
      </c>
      <c r="G2082">
        <v>41.34</v>
      </c>
      <c r="H2082">
        <v>16126.04</v>
      </c>
      <c r="I2082" s="80">
        <v>11692.9</v>
      </c>
      <c r="J2082">
        <v>30.5</v>
      </c>
      <c r="K2082">
        <v>3309.43</v>
      </c>
      <c r="L2082">
        <f t="shared" si="320"/>
        <v>0</v>
      </c>
      <c r="M2082">
        <f t="shared" si="321"/>
        <v>0</v>
      </c>
      <c r="N2082">
        <f t="shared" si="322"/>
        <v>0</v>
      </c>
      <c r="O2082">
        <f t="shared" si="323"/>
        <v>0</v>
      </c>
      <c r="P2082">
        <f t="shared" si="324"/>
        <v>0</v>
      </c>
      <c r="Q2082">
        <f t="shared" si="325"/>
        <v>0</v>
      </c>
      <c r="R2082">
        <f t="shared" si="326"/>
        <v>0</v>
      </c>
      <c r="S2082">
        <f t="shared" si="327"/>
        <v>0</v>
      </c>
      <c r="T2082">
        <f t="shared" si="329"/>
        <v>0</v>
      </c>
      <c r="U2082">
        <f t="shared" si="328"/>
        <v>0</v>
      </c>
    </row>
    <row r="2083" spans="1:21" x14ac:dyDescent="0.25">
      <c r="A2083" s="94">
        <v>2082</v>
      </c>
      <c r="B2083" t="s">
        <v>642</v>
      </c>
      <c r="C2083" t="s">
        <v>189</v>
      </c>
      <c r="D2083">
        <v>340.29</v>
      </c>
      <c r="E2083">
        <v>2723.9</v>
      </c>
      <c r="F2083">
        <v>2.5099999999999998</v>
      </c>
      <c r="G2083">
        <v>24.53</v>
      </c>
      <c r="H2083">
        <v>8190.33</v>
      </c>
      <c r="I2083" s="80">
        <v>3690.85</v>
      </c>
      <c r="J2083">
        <v>27.52</v>
      </c>
      <c r="K2083">
        <v>3946.82</v>
      </c>
      <c r="L2083">
        <f t="shared" si="320"/>
        <v>0</v>
      </c>
      <c r="M2083">
        <f t="shared" si="321"/>
        <v>0</v>
      </c>
      <c r="N2083">
        <f t="shared" si="322"/>
        <v>0</v>
      </c>
      <c r="O2083">
        <f t="shared" si="323"/>
        <v>0</v>
      </c>
      <c r="P2083">
        <f t="shared" si="324"/>
        <v>0</v>
      </c>
      <c r="Q2083">
        <f t="shared" si="325"/>
        <v>0</v>
      </c>
      <c r="R2083">
        <f t="shared" si="326"/>
        <v>0</v>
      </c>
      <c r="S2083">
        <f t="shared" si="327"/>
        <v>0</v>
      </c>
      <c r="T2083">
        <f t="shared" si="329"/>
        <v>0</v>
      </c>
      <c r="U2083">
        <f t="shared" si="328"/>
        <v>0</v>
      </c>
    </row>
    <row r="2084" spans="1:21" x14ac:dyDescent="0.25">
      <c r="A2084" s="94">
        <v>2083</v>
      </c>
      <c r="B2084" t="s">
        <v>643</v>
      </c>
      <c r="C2084" t="s">
        <v>162</v>
      </c>
      <c r="D2084">
        <v>11.98</v>
      </c>
      <c r="E2084" s="80">
        <v>61828.26</v>
      </c>
      <c r="F2084">
        <v>0.94</v>
      </c>
      <c r="G2084">
        <v>60.19</v>
      </c>
      <c r="H2084">
        <v>1.68</v>
      </c>
      <c r="I2084">
        <v>3.98</v>
      </c>
      <c r="J2084">
        <v>24.6</v>
      </c>
      <c r="K2084">
        <v>8.16</v>
      </c>
      <c r="L2084">
        <f t="shared" si="320"/>
        <v>0</v>
      </c>
      <c r="M2084">
        <f t="shared" si="321"/>
        <v>0</v>
      </c>
      <c r="N2084">
        <f t="shared" si="322"/>
        <v>0</v>
      </c>
      <c r="O2084">
        <f t="shared" si="323"/>
        <v>0</v>
      </c>
      <c r="P2084">
        <f t="shared" si="324"/>
        <v>0</v>
      </c>
      <c r="Q2084">
        <f t="shared" si="325"/>
        <v>0</v>
      </c>
      <c r="R2084">
        <f t="shared" si="326"/>
        <v>0</v>
      </c>
      <c r="S2084">
        <f t="shared" si="327"/>
        <v>0</v>
      </c>
      <c r="T2084">
        <f t="shared" si="329"/>
        <v>0</v>
      </c>
      <c r="U2084">
        <f t="shared" si="328"/>
        <v>0</v>
      </c>
    </row>
    <row r="2085" spans="1:21" x14ac:dyDescent="0.25">
      <c r="A2085" s="94">
        <v>2084</v>
      </c>
      <c r="B2085" t="s">
        <v>643</v>
      </c>
      <c r="C2085" t="s">
        <v>170</v>
      </c>
      <c r="D2085">
        <v>15.03</v>
      </c>
      <c r="E2085" s="80">
        <v>30790.39</v>
      </c>
      <c r="F2085">
        <v>1485.37</v>
      </c>
      <c r="G2085">
        <v>70.27</v>
      </c>
      <c r="H2085">
        <v>4849.28</v>
      </c>
      <c r="I2085" s="80">
        <v>14186.65</v>
      </c>
      <c r="J2085">
        <v>36.64</v>
      </c>
      <c r="K2085">
        <v>652.9</v>
      </c>
      <c r="L2085">
        <f t="shared" si="320"/>
        <v>0</v>
      </c>
      <c r="M2085">
        <f t="shared" si="321"/>
        <v>0</v>
      </c>
      <c r="N2085">
        <f t="shared" si="322"/>
        <v>0</v>
      </c>
      <c r="O2085">
        <f t="shared" si="323"/>
        <v>0</v>
      </c>
      <c r="P2085">
        <f t="shared" si="324"/>
        <v>0</v>
      </c>
      <c r="Q2085">
        <f t="shared" si="325"/>
        <v>0</v>
      </c>
      <c r="R2085">
        <f t="shared" si="326"/>
        <v>0</v>
      </c>
      <c r="S2085">
        <f t="shared" si="327"/>
        <v>0</v>
      </c>
      <c r="T2085">
        <f t="shared" si="329"/>
        <v>0</v>
      </c>
      <c r="U2085">
        <f t="shared" si="328"/>
        <v>0</v>
      </c>
    </row>
    <row r="2086" spans="1:21" x14ac:dyDescent="0.25">
      <c r="A2086" s="94">
        <v>2085</v>
      </c>
      <c r="B2086" t="s">
        <v>643</v>
      </c>
      <c r="C2086" t="s">
        <v>178</v>
      </c>
      <c r="D2086">
        <v>55.4</v>
      </c>
      <c r="E2086" s="80">
        <v>32321.919999999998</v>
      </c>
      <c r="F2086">
        <v>4052.59</v>
      </c>
      <c r="G2086">
        <v>138.22</v>
      </c>
      <c r="H2086" s="80">
        <v>24405.27</v>
      </c>
      <c r="I2086" s="80">
        <v>17676.43</v>
      </c>
      <c r="J2086">
        <v>59.65</v>
      </c>
      <c r="K2086">
        <v>2611.17</v>
      </c>
      <c r="L2086">
        <f t="shared" si="320"/>
        <v>0</v>
      </c>
      <c r="M2086">
        <f t="shared" si="321"/>
        <v>0</v>
      </c>
      <c r="N2086">
        <f t="shared" si="322"/>
        <v>0</v>
      </c>
      <c r="O2086">
        <f t="shared" si="323"/>
        <v>0</v>
      </c>
      <c r="P2086">
        <f t="shared" si="324"/>
        <v>0</v>
      </c>
      <c r="Q2086">
        <f t="shared" si="325"/>
        <v>0</v>
      </c>
      <c r="R2086">
        <f t="shared" si="326"/>
        <v>0</v>
      </c>
      <c r="S2086">
        <f t="shared" si="327"/>
        <v>0</v>
      </c>
      <c r="T2086">
        <f t="shared" si="329"/>
        <v>0</v>
      </c>
      <c r="U2086">
        <f t="shared" si="328"/>
        <v>0</v>
      </c>
    </row>
    <row r="2087" spans="1:21" x14ac:dyDescent="0.25">
      <c r="A2087" s="94">
        <v>2086</v>
      </c>
      <c r="B2087" t="s">
        <v>643</v>
      </c>
      <c r="C2087" t="s">
        <v>163</v>
      </c>
      <c r="D2087">
        <v>62.14</v>
      </c>
      <c r="E2087" s="80">
        <v>26006.560000000001</v>
      </c>
      <c r="F2087">
        <v>1447.61</v>
      </c>
      <c r="G2087">
        <v>138.22</v>
      </c>
      <c r="H2087" s="80">
        <v>26342.16</v>
      </c>
      <c r="I2087" s="80">
        <v>16691.37</v>
      </c>
      <c r="J2087">
        <v>70.14</v>
      </c>
      <c r="K2087" s="80">
        <v>13274.13</v>
      </c>
      <c r="L2087">
        <f t="shared" si="320"/>
        <v>0</v>
      </c>
      <c r="M2087">
        <f t="shared" si="321"/>
        <v>0</v>
      </c>
      <c r="N2087">
        <f t="shared" si="322"/>
        <v>0</v>
      </c>
      <c r="O2087">
        <f t="shared" si="323"/>
        <v>0</v>
      </c>
      <c r="P2087">
        <f t="shared" si="324"/>
        <v>0</v>
      </c>
      <c r="Q2087">
        <f t="shared" si="325"/>
        <v>0</v>
      </c>
      <c r="R2087">
        <f t="shared" si="326"/>
        <v>0</v>
      </c>
      <c r="S2087">
        <f t="shared" si="327"/>
        <v>0</v>
      </c>
      <c r="T2087">
        <f t="shared" si="329"/>
        <v>0</v>
      </c>
      <c r="U2087">
        <f t="shared" si="328"/>
        <v>0</v>
      </c>
    </row>
    <row r="2088" spans="1:21" x14ac:dyDescent="0.25">
      <c r="A2088" s="94">
        <v>2087</v>
      </c>
      <c r="B2088" t="s">
        <v>643</v>
      </c>
      <c r="C2088" t="s">
        <v>181</v>
      </c>
      <c r="D2088">
        <v>26.05</v>
      </c>
      <c r="E2088" s="80">
        <v>72948.009999999995</v>
      </c>
      <c r="F2088">
        <v>1155.76</v>
      </c>
      <c r="G2088">
        <v>150.63</v>
      </c>
      <c r="H2088">
        <v>12846.54</v>
      </c>
      <c r="I2088" s="80">
        <v>19817.349999999999</v>
      </c>
      <c r="J2088">
        <v>84.62</v>
      </c>
      <c r="K2088" s="80">
        <v>31825.16</v>
      </c>
      <c r="L2088">
        <f t="shared" si="320"/>
        <v>0</v>
      </c>
      <c r="M2088">
        <f t="shared" si="321"/>
        <v>0</v>
      </c>
      <c r="N2088">
        <f t="shared" si="322"/>
        <v>0</v>
      </c>
      <c r="O2088">
        <f t="shared" si="323"/>
        <v>0</v>
      </c>
      <c r="P2088">
        <f t="shared" si="324"/>
        <v>0</v>
      </c>
      <c r="Q2088">
        <f t="shared" si="325"/>
        <v>0</v>
      </c>
      <c r="R2088">
        <f t="shared" si="326"/>
        <v>0</v>
      </c>
      <c r="S2088">
        <f t="shared" si="327"/>
        <v>0</v>
      </c>
      <c r="T2088">
        <f t="shared" si="329"/>
        <v>0</v>
      </c>
      <c r="U2088">
        <f t="shared" si="328"/>
        <v>0</v>
      </c>
    </row>
    <row r="2089" spans="1:21" x14ac:dyDescent="0.25">
      <c r="A2089" s="94">
        <v>2088</v>
      </c>
      <c r="B2089" t="s">
        <v>643</v>
      </c>
      <c r="C2089" t="s">
        <v>183</v>
      </c>
      <c r="D2089">
        <v>23.37</v>
      </c>
      <c r="E2089">
        <v>24374.65</v>
      </c>
      <c r="F2089">
        <v>1682.56</v>
      </c>
      <c r="G2089">
        <v>138.22</v>
      </c>
      <c r="H2089" s="80">
        <v>24485.22</v>
      </c>
      <c r="I2089" s="80">
        <v>21058.28</v>
      </c>
      <c r="J2089">
        <v>92.05</v>
      </c>
      <c r="K2089" s="80">
        <v>13571.46</v>
      </c>
      <c r="L2089">
        <f t="shared" si="320"/>
        <v>0</v>
      </c>
      <c r="M2089">
        <f t="shared" si="321"/>
        <v>0</v>
      </c>
      <c r="N2089">
        <f t="shared" si="322"/>
        <v>0</v>
      </c>
      <c r="O2089">
        <f t="shared" si="323"/>
        <v>0</v>
      </c>
      <c r="P2089">
        <f t="shared" si="324"/>
        <v>0</v>
      </c>
      <c r="Q2089">
        <f t="shared" si="325"/>
        <v>0</v>
      </c>
      <c r="R2089">
        <f t="shared" si="326"/>
        <v>0</v>
      </c>
      <c r="S2089">
        <f t="shared" si="327"/>
        <v>0</v>
      </c>
      <c r="T2089">
        <f t="shared" si="329"/>
        <v>0</v>
      </c>
      <c r="U2089">
        <f t="shared" si="328"/>
        <v>0</v>
      </c>
    </row>
    <row r="2090" spans="1:21" x14ac:dyDescent="0.25">
      <c r="A2090" s="94">
        <v>2089</v>
      </c>
      <c r="B2090" t="s">
        <v>643</v>
      </c>
      <c r="C2090" t="s">
        <v>186</v>
      </c>
      <c r="D2090">
        <v>16.62</v>
      </c>
      <c r="E2090" s="80">
        <v>29419.41</v>
      </c>
      <c r="F2090">
        <v>954.02</v>
      </c>
      <c r="G2090">
        <v>86.11</v>
      </c>
      <c r="H2090">
        <v>6084.28</v>
      </c>
      <c r="I2090" s="80">
        <v>20045.400000000001</v>
      </c>
      <c r="J2090">
        <v>51.18</v>
      </c>
      <c r="K2090">
        <v>7516.92</v>
      </c>
      <c r="L2090">
        <f t="shared" si="320"/>
        <v>0</v>
      </c>
      <c r="M2090">
        <f t="shared" si="321"/>
        <v>0</v>
      </c>
      <c r="N2090">
        <f t="shared" si="322"/>
        <v>0</v>
      </c>
      <c r="O2090">
        <f t="shared" si="323"/>
        <v>0</v>
      </c>
      <c r="P2090">
        <f t="shared" si="324"/>
        <v>0</v>
      </c>
      <c r="Q2090">
        <f t="shared" si="325"/>
        <v>0</v>
      </c>
      <c r="R2090">
        <f t="shared" si="326"/>
        <v>0</v>
      </c>
      <c r="S2090">
        <f t="shared" si="327"/>
        <v>0</v>
      </c>
      <c r="T2090">
        <f t="shared" si="329"/>
        <v>0</v>
      </c>
      <c r="U2090">
        <f t="shared" si="328"/>
        <v>0</v>
      </c>
    </row>
    <row r="2091" spans="1:21" x14ac:dyDescent="0.25">
      <c r="A2091" s="94">
        <v>2090</v>
      </c>
      <c r="B2091" t="s">
        <v>643</v>
      </c>
      <c r="C2091" t="s">
        <v>188</v>
      </c>
      <c r="D2091">
        <v>13.48</v>
      </c>
      <c r="E2091" s="89" t="s">
        <v>582</v>
      </c>
      <c r="F2091">
        <v>1.29</v>
      </c>
      <c r="G2091">
        <v>50.53</v>
      </c>
      <c r="H2091">
        <v>97.87</v>
      </c>
      <c r="I2091">
        <v>142.33000000000001</v>
      </c>
      <c r="J2091">
        <v>39.79</v>
      </c>
      <c r="K2091">
        <v>85.85</v>
      </c>
      <c r="L2091">
        <f t="shared" si="320"/>
        <v>0</v>
      </c>
      <c r="M2091">
        <f t="shared" si="321"/>
        <v>1</v>
      </c>
      <c r="N2091">
        <f t="shared" si="322"/>
        <v>0</v>
      </c>
      <c r="O2091">
        <f t="shared" si="323"/>
        <v>0</v>
      </c>
      <c r="P2091">
        <f t="shared" si="324"/>
        <v>0</v>
      </c>
      <c r="Q2091">
        <f t="shared" si="325"/>
        <v>0</v>
      </c>
      <c r="R2091">
        <f t="shared" si="326"/>
        <v>0</v>
      </c>
      <c r="S2091">
        <f t="shared" si="327"/>
        <v>0</v>
      </c>
      <c r="T2091">
        <f t="shared" si="329"/>
        <v>1</v>
      </c>
      <c r="U2091">
        <f t="shared" si="328"/>
        <v>1</v>
      </c>
    </row>
    <row r="2092" spans="1:21" x14ac:dyDescent="0.25">
      <c r="A2092" s="94">
        <v>2091</v>
      </c>
      <c r="B2092" t="s">
        <v>643</v>
      </c>
      <c r="C2092" t="s">
        <v>182</v>
      </c>
      <c r="D2092" t="s">
        <v>583</v>
      </c>
      <c r="E2092">
        <v>1496.36</v>
      </c>
      <c r="F2092" t="s">
        <v>583</v>
      </c>
      <c r="G2092">
        <v>4.66</v>
      </c>
      <c r="H2092">
        <v>1.21</v>
      </c>
      <c r="I2092">
        <v>36.92</v>
      </c>
      <c r="J2092">
        <v>2.38</v>
      </c>
      <c r="K2092">
        <v>0.43</v>
      </c>
      <c r="L2092">
        <f t="shared" si="320"/>
        <v>0</v>
      </c>
      <c r="M2092">
        <f t="shared" si="321"/>
        <v>0</v>
      </c>
      <c r="N2092">
        <f t="shared" si="322"/>
        <v>0</v>
      </c>
      <c r="O2092">
        <f t="shared" si="323"/>
        <v>0</v>
      </c>
      <c r="P2092">
        <f t="shared" si="324"/>
        <v>0</v>
      </c>
      <c r="Q2092">
        <f t="shared" si="325"/>
        <v>0</v>
      </c>
      <c r="R2092">
        <f t="shared" si="326"/>
        <v>0</v>
      </c>
      <c r="S2092">
        <f t="shared" si="327"/>
        <v>0</v>
      </c>
      <c r="T2092">
        <f t="shared" si="329"/>
        <v>0</v>
      </c>
      <c r="U2092">
        <f t="shared" si="328"/>
        <v>0</v>
      </c>
    </row>
    <row r="2093" spans="1:21" x14ac:dyDescent="0.25">
      <c r="A2093" s="94">
        <v>2092</v>
      </c>
      <c r="B2093" t="s">
        <v>643</v>
      </c>
      <c r="C2093" t="s">
        <v>184</v>
      </c>
      <c r="D2093">
        <v>56.51</v>
      </c>
      <c r="E2093">
        <v>7613.83</v>
      </c>
      <c r="F2093">
        <v>53.87</v>
      </c>
      <c r="G2093">
        <v>60.19</v>
      </c>
      <c r="H2093">
        <v>13728.7</v>
      </c>
      <c r="I2093" s="80">
        <v>16187.52</v>
      </c>
      <c r="J2093">
        <v>30.5</v>
      </c>
      <c r="K2093">
        <v>1357.23</v>
      </c>
      <c r="L2093">
        <f t="shared" si="320"/>
        <v>0</v>
      </c>
      <c r="M2093">
        <f t="shared" si="321"/>
        <v>0</v>
      </c>
      <c r="N2093">
        <f t="shared" si="322"/>
        <v>0</v>
      </c>
      <c r="O2093">
        <f t="shared" si="323"/>
        <v>0</v>
      </c>
      <c r="P2093">
        <f t="shared" si="324"/>
        <v>0</v>
      </c>
      <c r="Q2093">
        <f t="shared" si="325"/>
        <v>0</v>
      </c>
      <c r="R2093">
        <f t="shared" si="326"/>
        <v>0</v>
      </c>
      <c r="S2093">
        <f t="shared" si="327"/>
        <v>0</v>
      </c>
      <c r="T2093">
        <f t="shared" si="329"/>
        <v>0</v>
      </c>
      <c r="U2093">
        <f t="shared" si="328"/>
        <v>0</v>
      </c>
    </row>
    <row r="2094" spans="1:21" x14ac:dyDescent="0.25">
      <c r="A2094" s="94">
        <v>2093</v>
      </c>
      <c r="B2094" t="s">
        <v>643</v>
      </c>
      <c r="C2094" t="s">
        <v>187</v>
      </c>
      <c r="D2094">
        <v>192.56</v>
      </c>
      <c r="E2094">
        <v>10279.75</v>
      </c>
      <c r="F2094">
        <v>229.17</v>
      </c>
      <c r="G2094">
        <v>60.19</v>
      </c>
      <c r="H2094" s="80">
        <v>26595.79</v>
      </c>
      <c r="I2094" s="80">
        <v>16113.82</v>
      </c>
      <c r="J2094">
        <v>47.87</v>
      </c>
      <c r="K2094">
        <v>3964.98</v>
      </c>
      <c r="L2094">
        <f t="shared" si="320"/>
        <v>0</v>
      </c>
      <c r="M2094">
        <f t="shared" si="321"/>
        <v>0</v>
      </c>
      <c r="N2094">
        <f t="shared" si="322"/>
        <v>0</v>
      </c>
      <c r="O2094">
        <f t="shared" si="323"/>
        <v>0</v>
      </c>
      <c r="P2094">
        <f t="shared" si="324"/>
        <v>0</v>
      </c>
      <c r="Q2094">
        <f t="shared" si="325"/>
        <v>0</v>
      </c>
      <c r="R2094">
        <f t="shared" si="326"/>
        <v>0</v>
      </c>
      <c r="S2094">
        <f t="shared" si="327"/>
        <v>0</v>
      </c>
      <c r="T2094">
        <f t="shared" si="329"/>
        <v>0</v>
      </c>
      <c r="U2094">
        <f t="shared" si="328"/>
        <v>0</v>
      </c>
    </row>
    <row r="2095" spans="1:21" x14ac:dyDescent="0.25">
      <c r="A2095" s="94">
        <v>2094</v>
      </c>
      <c r="B2095" t="s">
        <v>643</v>
      </c>
      <c r="C2095" t="s">
        <v>189</v>
      </c>
      <c r="D2095">
        <v>53.2</v>
      </c>
      <c r="E2095">
        <v>6049.01</v>
      </c>
      <c r="F2095">
        <v>8.84</v>
      </c>
      <c r="G2095">
        <v>50.53</v>
      </c>
      <c r="H2095">
        <v>10998.24</v>
      </c>
      <c r="I2095" s="80">
        <v>9796.7099999999991</v>
      </c>
      <c r="J2095">
        <v>36.64</v>
      </c>
      <c r="K2095">
        <v>3613.92</v>
      </c>
      <c r="L2095">
        <f t="shared" si="320"/>
        <v>0</v>
      </c>
      <c r="M2095">
        <f t="shared" si="321"/>
        <v>0</v>
      </c>
      <c r="N2095">
        <f t="shared" si="322"/>
        <v>0</v>
      </c>
      <c r="O2095">
        <f t="shared" si="323"/>
        <v>0</v>
      </c>
      <c r="P2095">
        <f t="shared" si="324"/>
        <v>0</v>
      </c>
      <c r="Q2095">
        <f t="shared" si="325"/>
        <v>0</v>
      </c>
      <c r="R2095">
        <f t="shared" si="326"/>
        <v>0</v>
      </c>
      <c r="S2095">
        <f t="shared" si="327"/>
        <v>0</v>
      </c>
      <c r="T2095">
        <f t="shared" si="329"/>
        <v>0</v>
      </c>
      <c r="U2095">
        <f t="shared" si="328"/>
        <v>0</v>
      </c>
    </row>
    <row r="2096" spans="1:21" x14ac:dyDescent="0.25">
      <c r="A2096" s="94">
        <v>2095</v>
      </c>
      <c r="B2096">
        <v>3015</v>
      </c>
      <c r="C2096" t="s">
        <v>162</v>
      </c>
      <c r="D2096">
        <v>6.49</v>
      </c>
      <c r="E2096" s="80">
        <v>24963.18</v>
      </c>
      <c r="F2096">
        <v>0.69</v>
      </c>
      <c r="G2096">
        <v>41.34</v>
      </c>
      <c r="H2096">
        <v>0.99</v>
      </c>
      <c r="I2096">
        <v>3.58</v>
      </c>
      <c r="J2096">
        <v>23.17</v>
      </c>
      <c r="K2096">
        <v>1.95</v>
      </c>
      <c r="L2096">
        <f t="shared" si="320"/>
        <v>0</v>
      </c>
      <c r="M2096">
        <f t="shared" si="321"/>
        <v>0</v>
      </c>
      <c r="N2096">
        <f t="shared" si="322"/>
        <v>0</v>
      </c>
      <c r="O2096">
        <f t="shared" si="323"/>
        <v>0</v>
      </c>
      <c r="P2096">
        <f t="shared" si="324"/>
        <v>0</v>
      </c>
      <c r="Q2096">
        <f t="shared" si="325"/>
        <v>0</v>
      </c>
      <c r="R2096">
        <f t="shared" si="326"/>
        <v>0</v>
      </c>
      <c r="S2096">
        <f t="shared" si="327"/>
        <v>0</v>
      </c>
      <c r="T2096">
        <f t="shared" si="329"/>
        <v>0</v>
      </c>
      <c r="U2096">
        <f t="shared" si="328"/>
        <v>0</v>
      </c>
    </row>
    <row r="2097" spans="1:21" x14ac:dyDescent="0.25">
      <c r="A2097" s="94">
        <v>2096</v>
      </c>
      <c r="B2097">
        <v>3015</v>
      </c>
      <c r="C2097" t="s">
        <v>170</v>
      </c>
      <c r="D2097">
        <v>11.25</v>
      </c>
      <c r="E2097" s="80">
        <v>29720.52</v>
      </c>
      <c r="F2097">
        <v>410.88</v>
      </c>
      <c r="G2097">
        <v>80.739999999999995</v>
      </c>
      <c r="H2097">
        <v>2694.5</v>
      </c>
      <c r="I2097" s="80">
        <v>18177.490000000002</v>
      </c>
      <c r="J2097">
        <v>36.64</v>
      </c>
      <c r="K2097">
        <v>1562.25</v>
      </c>
      <c r="L2097">
        <f t="shared" si="320"/>
        <v>0</v>
      </c>
      <c r="M2097">
        <f t="shared" si="321"/>
        <v>0</v>
      </c>
      <c r="N2097">
        <f t="shared" si="322"/>
        <v>0</v>
      </c>
      <c r="O2097">
        <f t="shared" si="323"/>
        <v>0</v>
      </c>
      <c r="P2097">
        <f t="shared" si="324"/>
        <v>0</v>
      </c>
      <c r="Q2097">
        <f t="shared" si="325"/>
        <v>0</v>
      </c>
      <c r="R2097">
        <f t="shared" si="326"/>
        <v>0</v>
      </c>
      <c r="S2097">
        <f t="shared" si="327"/>
        <v>0</v>
      </c>
      <c r="T2097">
        <f t="shared" si="329"/>
        <v>0</v>
      </c>
      <c r="U2097">
        <f t="shared" si="328"/>
        <v>0</v>
      </c>
    </row>
    <row r="2098" spans="1:21" x14ac:dyDescent="0.25">
      <c r="A2098" s="94">
        <v>2097</v>
      </c>
      <c r="B2098">
        <v>3015</v>
      </c>
      <c r="C2098" t="s">
        <v>178</v>
      </c>
      <c r="D2098">
        <v>15.03</v>
      </c>
      <c r="E2098" s="80">
        <v>31275.02</v>
      </c>
      <c r="F2098">
        <v>1753.76</v>
      </c>
      <c r="G2098">
        <v>126.1</v>
      </c>
      <c r="H2098" s="80">
        <v>22132.35</v>
      </c>
      <c r="I2098" s="80">
        <v>20903.490000000002</v>
      </c>
      <c r="J2098">
        <v>59.65</v>
      </c>
      <c r="K2098">
        <v>2964.62</v>
      </c>
      <c r="L2098">
        <f t="shared" si="320"/>
        <v>0</v>
      </c>
      <c r="M2098">
        <f t="shared" si="321"/>
        <v>0</v>
      </c>
      <c r="N2098">
        <f t="shared" si="322"/>
        <v>0</v>
      </c>
      <c r="O2098">
        <f t="shared" si="323"/>
        <v>0</v>
      </c>
      <c r="P2098">
        <f t="shared" si="324"/>
        <v>0</v>
      </c>
      <c r="Q2098">
        <f t="shared" si="325"/>
        <v>0</v>
      </c>
      <c r="R2098">
        <f t="shared" si="326"/>
        <v>0</v>
      </c>
      <c r="S2098">
        <f t="shared" si="327"/>
        <v>0</v>
      </c>
      <c r="T2098">
        <f t="shared" si="329"/>
        <v>0</v>
      </c>
      <c r="U2098">
        <f t="shared" si="328"/>
        <v>0</v>
      </c>
    </row>
    <row r="2099" spans="1:21" x14ac:dyDescent="0.25">
      <c r="A2099" s="94">
        <v>2098</v>
      </c>
      <c r="B2099">
        <v>3015</v>
      </c>
      <c r="C2099" t="s">
        <v>163</v>
      </c>
      <c r="D2099">
        <v>23.37</v>
      </c>
      <c r="E2099">
        <v>24578.6</v>
      </c>
      <c r="F2099">
        <v>813.43</v>
      </c>
      <c r="G2099">
        <v>144.38999999999999</v>
      </c>
      <c r="H2099" s="80">
        <v>69447.490000000005</v>
      </c>
      <c r="I2099" s="80">
        <v>18906.8</v>
      </c>
      <c r="J2099">
        <v>92.05</v>
      </c>
      <c r="K2099" t="s">
        <v>582</v>
      </c>
      <c r="L2099">
        <f t="shared" si="320"/>
        <v>0</v>
      </c>
      <c r="M2099">
        <f t="shared" si="321"/>
        <v>0</v>
      </c>
      <c r="N2099">
        <f t="shared" si="322"/>
        <v>0</v>
      </c>
      <c r="O2099">
        <f t="shared" si="323"/>
        <v>0</v>
      </c>
      <c r="P2099">
        <f t="shared" si="324"/>
        <v>0</v>
      </c>
      <c r="Q2099">
        <f t="shared" si="325"/>
        <v>0</v>
      </c>
      <c r="R2099">
        <f t="shared" si="326"/>
        <v>0</v>
      </c>
      <c r="S2099">
        <f t="shared" si="327"/>
        <v>1</v>
      </c>
      <c r="T2099">
        <f t="shared" si="329"/>
        <v>1</v>
      </c>
      <c r="U2099">
        <f t="shared" si="328"/>
        <v>1</v>
      </c>
    </row>
    <row r="2100" spans="1:21" x14ac:dyDescent="0.25">
      <c r="A2100" s="94">
        <v>2099</v>
      </c>
      <c r="B2100">
        <v>3015</v>
      </c>
      <c r="C2100" t="s">
        <v>181</v>
      </c>
      <c r="D2100">
        <v>11.98</v>
      </c>
      <c r="E2100" s="80">
        <v>129687.48</v>
      </c>
      <c r="F2100">
        <v>0.64</v>
      </c>
      <c r="G2100">
        <v>50.53</v>
      </c>
      <c r="H2100">
        <v>67.03</v>
      </c>
      <c r="I2100">
        <v>506.19</v>
      </c>
      <c r="J2100">
        <v>27.52</v>
      </c>
      <c r="K2100">
        <v>35.76</v>
      </c>
      <c r="L2100">
        <f t="shared" si="320"/>
        <v>0</v>
      </c>
      <c r="M2100">
        <f t="shared" si="321"/>
        <v>0</v>
      </c>
      <c r="N2100">
        <f t="shared" si="322"/>
        <v>0</v>
      </c>
      <c r="O2100">
        <f t="shared" si="323"/>
        <v>0</v>
      </c>
      <c r="P2100">
        <f t="shared" si="324"/>
        <v>0</v>
      </c>
      <c r="Q2100">
        <f t="shared" si="325"/>
        <v>0</v>
      </c>
      <c r="R2100">
        <f t="shared" si="326"/>
        <v>0</v>
      </c>
      <c r="S2100">
        <f t="shared" si="327"/>
        <v>0</v>
      </c>
      <c r="T2100">
        <f t="shared" si="329"/>
        <v>0</v>
      </c>
      <c r="U2100">
        <f t="shared" si="328"/>
        <v>0</v>
      </c>
    </row>
    <row r="2101" spans="1:21" x14ac:dyDescent="0.25">
      <c r="A2101" s="94">
        <v>2100</v>
      </c>
      <c r="B2101">
        <v>3015</v>
      </c>
      <c r="C2101" t="s">
        <v>183</v>
      </c>
      <c r="D2101">
        <v>32.590000000000003</v>
      </c>
      <c r="E2101" s="80">
        <v>53566.29</v>
      </c>
      <c r="F2101">
        <v>2671.96</v>
      </c>
      <c r="G2101">
        <v>189.46</v>
      </c>
      <c r="H2101" s="80">
        <v>73225.03</v>
      </c>
      <c r="I2101" s="80">
        <v>23309.08</v>
      </c>
      <c r="J2101">
        <v>105.35</v>
      </c>
      <c r="K2101" s="80">
        <v>42374.39</v>
      </c>
      <c r="L2101">
        <f t="shared" si="320"/>
        <v>0</v>
      </c>
      <c r="M2101">
        <f t="shared" si="321"/>
        <v>0</v>
      </c>
      <c r="N2101">
        <f t="shared" si="322"/>
        <v>0</v>
      </c>
      <c r="O2101">
        <f t="shared" si="323"/>
        <v>0</v>
      </c>
      <c r="P2101">
        <f t="shared" si="324"/>
        <v>0</v>
      </c>
      <c r="Q2101">
        <f t="shared" si="325"/>
        <v>0</v>
      </c>
      <c r="R2101">
        <f t="shared" si="326"/>
        <v>0</v>
      </c>
      <c r="S2101">
        <f t="shared" si="327"/>
        <v>0</v>
      </c>
      <c r="T2101">
        <f t="shared" si="329"/>
        <v>0</v>
      </c>
      <c r="U2101">
        <f t="shared" si="328"/>
        <v>0</v>
      </c>
    </row>
    <row r="2102" spans="1:21" x14ac:dyDescent="0.25">
      <c r="A2102" s="94">
        <v>2101</v>
      </c>
      <c r="B2102">
        <v>3015</v>
      </c>
      <c r="C2102" t="s">
        <v>186</v>
      </c>
      <c r="D2102">
        <v>25.15</v>
      </c>
      <c r="E2102" s="80">
        <v>119294.56</v>
      </c>
      <c r="F2102">
        <v>1330.09</v>
      </c>
      <c r="G2102">
        <v>150.63</v>
      </c>
      <c r="H2102">
        <v>9046.5499999999993</v>
      </c>
      <c r="I2102" s="80">
        <v>22576.240000000002</v>
      </c>
      <c r="J2102">
        <v>77.31</v>
      </c>
      <c r="K2102" s="80">
        <v>9355.02</v>
      </c>
      <c r="L2102">
        <f t="shared" si="320"/>
        <v>0</v>
      </c>
      <c r="M2102">
        <f t="shared" si="321"/>
        <v>0</v>
      </c>
      <c r="N2102">
        <f t="shared" si="322"/>
        <v>0</v>
      </c>
      <c r="O2102">
        <f t="shared" si="323"/>
        <v>0</v>
      </c>
      <c r="P2102">
        <f t="shared" si="324"/>
        <v>0</v>
      </c>
      <c r="Q2102">
        <f t="shared" si="325"/>
        <v>0</v>
      </c>
      <c r="R2102">
        <f t="shared" si="326"/>
        <v>0</v>
      </c>
      <c r="S2102">
        <f t="shared" si="327"/>
        <v>0</v>
      </c>
      <c r="T2102">
        <f t="shared" si="329"/>
        <v>0</v>
      </c>
      <c r="U2102">
        <f t="shared" si="328"/>
        <v>0</v>
      </c>
    </row>
    <row r="2103" spans="1:21" x14ac:dyDescent="0.25">
      <c r="A2103" s="94">
        <v>2102</v>
      </c>
      <c r="B2103">
        <v>3015</v>
      </c>
      <c r="C2103" t="s">
        <v>188</v>
      </c>
      <c r="D2103">
        <v>35.51</v>
      </c>
      <c r="E2103" s="80">
        <v>239159.93</v>
      </c>
      <c r="F2103">
        <v>1637.53</v>
      </c>
      <c r="G2103">
        <v>176.26</v>
      </c>
      <c r="H2103" s="80">
        <v>115300.87</v>
      </c>
      <c r="I2103" s="80">
        <v>22324.46</v>
      </c>
      <c r="J2103">
        <v>118.99</v>
      </c>
      <c r="K2103" t="s">
        <v>582</v>
      </c>
      <c r="L2103">
        <f t="shared" si="320"/>
        <v>0</v>
      </c>
      <c r="M2103">
        <f t="shared" si="321"/>
        <v>0</v>
      </c>
      <c r="N2103">
        <f t="shared" si="322"/>
        <v>0</v>
      </c>
      <c r="O2103">
        <f t="shared" si="323"/>
        <v>0</v>
      </c>
      <c r="P2103">
        <f t="shared" si="324"/>
        <v>0</v>
      </c>
      <c r="Q2103">
        <f t="shared" si="325"/>
        <v>0</v>
      </c>
      <c r="R2103">
        <f t="shared" si="326"/>
        <v>0</v>
      </c>
      <c r="S2103">
        <f t="shared" si="327"/>
        <v>1</v>
      </c>
      <c r="T2103">
        <f t="shared" si="329"/>
        <v>1</v>
      </c>
      <c r="U2103">
        <f t="shared" si="328"/>
        <v>1</v>
      </c>
    </row>
    <row r="2104" spans="1:21" x14ac:dyDescent="0.25">
      <c r="A2104" s="94">
        <v>2103</v>
      </c>
      <c r="B2104">
        <v>3015</v>
      </c>
      <c r="C2104" t="s">
        <v>182</v>
      </c>
      <c r="D2104" t="s">
        <v>583</v>
      </c>
      <c r="E2104">
        <v>547.74</v>
      </c>
      <c r="F2104" t="s">
        <v>583</v>
      </c>
      <c r="G2104" t="s">
        <v>583</v>
      </c>
      <c r="H2104" t="s">
        <v>583</v>
      </c>
      <c r="I2104">
        <v>0.14000000000000001</v>
      </c>
      <c r="J2104" s="80">
        <v>0.73</v>
      </c>
      <c r="K2104" s="80">
        <v>7.0000000000000007E-2</v>
      </c>
      <c r="L2104">
        <f t="shared" si="320"/>
        <v>0</v>
      </c>
      <c r="M2104">
        <f t="shared" si="321"/>
        <v>0</v>
      </c>
      <c r="N2104">
        <f t="shared" si="322"/>
        <v>0</v>
      </c>
      <c r="O2104">
        <f t="shared" si="323"/>
        <v>0</v>
      </c>
      <c r="P2104">
        <f t="shared" si="324"/>
        <v>0</v>
      </c>
      <c r="Q2104">
        <f t="shared" si="325"/>
        <v>0</v>
      </c>
      <c r="R2104">
        <f t="shared" si="326"/>
        <v>0</v>
      </c>
      <c r="S2104">
        <f t="shared" si="327"/>
        <v>0</v>
      </c>
      <c r="T2104">
        <f t="shared" si="329"/>
        <v>0</v>
      </c>
      <c r="U2104">
        <f t="shared" si="328"/>
        <v>0</v>
      </c>
    </row>
    <row r="2105" spans="1:21" x14ac:dyDescent="0.25">
      <c r="A2105" s="94">
        <v>2104</v>
      </c>
      <c r="B2105">
        <v>3015</v>
      </c>
      <c r="C2105" t="s">
        <v>184</v>
      </c>
      <c r="D2105">
        <v>9.1199999999999992</v>
      </c>
      <c r="E2105">
        <v>21255.279999999999</v>
      </c>
      <c r="F2105">
        <v>266.07</v>
      </c>
      <c r="G2105">
        <v>70.27</v>
      </c>
      <c r="H2105">
        <v>3798.97</v>
      </c>
      <c r="I2105" s="80">
        <v>14035.93</v>
      </c>
      <c r="J2105">
        <v>29.01</v>
      </c>
      <c r="K2105">
        <v>462.38</v>
      </c>
      <c r="L2105">
        <f t="shared" si="320"/>
        <v>0</v>
      </c>
      <c r="M2105">
        <f t="shared" si="321"/>
        <v>0</v>
      </c>
      <c r="N2105">
        <f t="shared" si="322"/>
        <v>0</v>
      </c>
      <c r="O2105">
        <f t="shared" si="323"/>
        <v>0</v>
      </c>
      <c r="P2105">
        <f t="shared" si="324"/>
        <v>0</v>
      </c>
      <c r="Q2105">
        <f t="shared" si="325"/>
        <v>0</v>
      </c>
      <c r="R2105">
        <f t="shared" si="326"/>
        <v>0</v>
      </c>
      <c r="S2105">
        <f t="shared" si="327"/>
        <v>0</v>
      </c>
      <c r="T2105">
        <f t="shared" si="329"/>
        <v>0</v>
      </c>
      <c r="U2105">
        <f t="shared" si="328"/>
        <v>0</v>
      </c>
    </row>
    <row r="2106" spans="1:21" x14ac:dyDescent="0.25">
      <c r="A2106" s="94">
        <v>2105</v>
      </c>
      <c r="B2106">
        <v>3015</v>
      </c>
      <c r="C2106" t="s">
        <v>187</v>
      </c>
      <c r="D2106">
        <v>15.03</v>
      </c>
      <c r="E2106">
        <v>18555.53</v>
      </c>
      <c r="F2106">
        <v>157.26</v>
      </c>
      <c r="G2106">
        <v>91.58</v>
      </c>
      <c r="H2106" s="80">
        <v>34083.33</v>
      </c>
      <c r="I2106" s="80">
        <v>16203.83</v>
      </c>
      <c r="J2106">
        <v>49.52</v>
      </c>
      <c r="K2106">
        <v>4337.6499999999996</v>
      </c>
      <c r="L2106">
        <f t="shared" si="320"/>
        <v>0</v>
      </c>
      <c r="M2106">
        <f t="shared" si="321"/>
        <v>0</v>
      </c>
      <c r="N2106">
        <f t="shared" si="322"/>
        <v>0</v>
      </c>
      <c r="O2106">
        <f t="shared" si="323"/>
        <v>0</v>
      </c>
      <c r="P2106">
        <f t="shared" si="324"/>
        <v>0</v>
      </c>
      <c r="Q2106">
        <f t="shared" si="325"/>
        <v>0</v>
      </c>
      <c r="R2106">
        <f t="shared" si="326"/>
        <v>0</v>
      </c>
      <c r="S2106">
        <f t="shared" si="327"/>
        <v>0</v>
      </c>
      <c r="T2106">
        <f t="shared" si="329"/>
        <v>0</v>
      </c>
      <c r="U2106">
        <f t="shared" si="328"/>
        <v>0</v>
      </c>
    </row>
    <row r="2107" spans="1:21" x14ac:dyDescent="0.25">
      <c r="A2107" s="94">
        <v>2106</v>
      </c>
      <c r="B2107">
        <v>3015</v>
      </c>
      <c r="C2107" t="s">
        <v>189</v>
      </c>
      <c r="D2107">
        <v>11.98</v>
      </c>
      <c r="E2107">
        <v>11176.88</v>
      </c>
      <c r="F2107">
        <v>60.28</v>
      </c>
      <c r="G2107">
        <v>70.27</v>
      </c>
      <c r="H2107" s="80">
        <v>18364.61</v>
      </c>
      <c r="I2107" s="80">
        <v>14185.29</v>
      </c>
      <c r="J2107">
        <v>46.23</v>
      </c>
      <c r="K2107">
        <v>7288.55</v>
      </c>
      <c r="L2107">
        <f t="shared" si="320"/>
        <v>0</v>
      </c>
      <c r="M2107">
        <f t="shared" si="321"/>
        <v>0</v>
      </c>
      <c r="N2107">
        <f t="shared" si="322"/>
        <v>0</v>
      </c>
      <c r="O2107">
        <f t="shared" si="323"/>
        <v>0</v>
      </c>
      <c r="P2107">
        <f t="shared" si="324"/>
        <v>0</v>
      </c>
      <c r="Q2107">
        <f t="shared" si="325"/>
        <v>0</v>
      </c>
      <c r="R2107">
        <f t="shared" si="326"/>
        <v>0</v>
      </c>
      <c r="S2107">
        <f t="shared" si="327"/>
        <v>0</v>
      </c>
      <c r="T2107">
        <f t="shared" si="329"/>
        <v>0</v>
      </c>
      <c r="U2107">
        <f t="shared" si="328"/>
        <v>0</v>
      </c>
    </row>
    <row r="2108" spans="1:21" x14ac:dyDescent="0.25">
      <c r="A2108" s="94">
        <v>2107</v>
      </c>
      <c r="B2108">
        <v>3016</v>
      </c>
      <c r="C2108" t="s">
        <v>181</v>
      </c>
      <c r="D2108">
        <v>13.48</v>
      </c>
      <c r="E2108" s="89" t="s">
        <v>582</v>
      </c>
      <c r="F2108">
        <v>1.1100000000000001</v>
      </c>
      <c r="G2108">
        <v>70.27</v>
      </c>
      <c r="H2108">
        <v>7.01</v>
      </c>
      <c r="I2108">
        <v>492.54</v>
      </c>
      <c r="J2108">
        <v>30.5</v>
      </c>
      <c r="K2108">
        <v>66.19</v>
      </c>
      <c r="L2108">
        <f t="shared" si="320"/>
        <v>0</v>
      </c>
      <c r="M2108">
        <f t="shared" si="321"/>
        <v>1</v>
      </c>
      <c r="N2108">
        <f t="shared" si="322"/>
        <v>0</v>
      </c>
      <c r="O2108">
        <f t="shared" si="323"/>
        <v>0</v>
      </c>
      <c r="P2108">
        <f t="shared" si="324"/>
        <v>0</v>
      </c>
      <c r="Q2108">
        <f t="shared" si="325"/>
        <v>0</v>
      </c>
      <c r="R2108">
        <f t="shared" si="326"/>
        <v>0</v>
      </c>
      <c r="S2108">
        <f t="shared" si="327"/>
        <v>0</v>
      </c>
      <c r="T2108">
        <f t="shared" si="329"/>
        <v>1</v>
      </c>
      <c r="U2108">
        <f t="shared" si="328"/>
        <v>1</v>
      </c>
    </row>
    <row r="2109" spans="1:21" x14ac:dyDescent="0.25">
      <c r="A2109" s="94">
        <v>2108</v>
      </c>
      <c r="B2109">
        <v>3016</v>
      </c>
      <c r="C2109" t="s">
        <v>183</v>
      </c>
      <c r="D2109">
        <v>21.62</v>
      </c>
      <c r="E2109" s="89" t="s">
        <v>582</v>
      </c>
      <c r="F2109">
        <v>183.19</v>
      </c>
      <c r="G2109">
        <v>132.13</v>
      </c>
      <c r="H2109">
        <v>3081.88</v>
      </c>
      <c r="I2109" s="80">
        <v>20114.509999999998</v>
      </c>
      <c r="J2109">
        <v>59.65</v>
      </c>
      <c r="K2109">
        <v>2664.94</v>
      </c>
      <c r="L2109">
        <f t="shared" si="320"/>
        <v>0</v>
      </c>
      <c r="M2109">
        <f t="shared" si="321"/>
        <v>1</v>
      </c>
      <c r="N2109">
        <f t="shared" si="322"/>
        <v>0</v>
      </c>
      <c r="O2109">
        <f t="shared" si="323"/>
        <v>0</v>
      </c>
      <c r="P2109">
        <f t="shared" si="324"/>
        <v>0</v>
      </c>
      <c r="Q2109">
        <f t="shared" si="325"/>
        <v>0</v>
      </c>
      <c r="R2109">
        <f t="shared" si="326"/>
        <v>0</v>
      </c>
      <c r="S2109">
        <f t="shared" si="327"/>
        <v>0</v>
      </c>
      <c r="T2109">
        <f t="shared" si="329"/>
        <v>1</v>
      </c>
      <c r="U2109">
        <f t="shared" si="328"/>
        <v>1</v>
      </c>
    </row>
    <row r="2110" spans="1:21" x14ac:dyDescent="0.25">
      <c r="A2110" s="94">
        <v>2109</v>
      </c>
      <c r="B2110">
        <v>3016</v>
      </c>
      <c r="C2110" t="s">
        <v>186</v>
      </c>
      <c r="D2110">
        <v>25.15</v>
      </c>
      <c r="E2110" s="89" t="s">
        <v>582</v>
      </c>
      <c r="F2110">
        <v>1842.16</v>
      </c>
      <c r="G2110">
        <v>202.91</v>
      </c>
      <c r="H2110">
        <v>11300.7</v>
      </c>
      <c r="I2110" s="80">
        <v>22015.68</v>
      </c>
      <c r="J2110">
        <v>77.31</v>
      </c>
      <c r="K2110">
        <v>4861.4399999999996</v>
      </c>
      <c r="L2110">
        <f t="shared" si="320"/>
        <v>0</v>
      </c>
      <c r="M2110">
        <f t="shared" si="321"/>
        <v>1</v>
      </c>
      <c r="N2110">
        <f t="shared" si="322"/>
        <v>0</v>
      </c>
      <c r="O2110">
        <f t="shared" si="323"/>
        <v>0</v>
      </c>
      <c r="P2110">
        <f t="shared" si="324"/>
        <v>0</v>
      </c>
      <c r="Q2110">
        <f t="shared" si="325"/>
        <v>0</v>
      </c>
      <c r="R2110">
        <f t="shared" si="326"/>
        <v>0</v>
      </c>
      <c r="S2110">
        <f t="shared" si="327"/>
        <v>0</v>
      </c>
      <c r="T2110">
        <f t="shared" si="329"/>
        <v>1</v>
      </c>
      <c r="U2110">
        <f t="shared" si="328"/>
        <v>1</v>
      </c>
    </row>
    <row r="2111" spans="1:21" x14ac:dyDescent="0.25">
      <c r="A2111" s="94">
        <v>2110</v>
      </c>
      <c r="B2111">
        <v>3016</v>
      </c>
      <c r="C2111" t="s">
        <v>188</v>
      </c>
      <c r="D2111">
        <v>32.590000000000003</v>
      </c>
      <c r="E2111" s="89" t="s">
        <v>582</v>
      </c>
      <c r="F2111">
        <v>699.53</v>
      </c>
      <c r="G2111">
        <v>163.31</v>
      </c>
      <c r="H2111">
        <v>8380.4500000000007</v>
      </c>
      <c r="I2111" s="80">
        <v>19755.37</v>
      </c>
      <c r="J2111">
        <v>88.32</v>
      </c>
      <c r="K2111" s="80">
        <v>11099.17</v>
      </c>
      <c r="L2111">
        <f t="shared" si="320"/>
        <v>0</v>
      </c>
      <c r="M2111">
        <f t="shared" si="321"/>
        <v>1</v>
      </c>
      <c r="N2111">
        <f t="shared" si="322"/>
        <v>0</v>
      </c>
      <c r="O2111">
        <f t="shared" si="323"/>
        <v>0</v>
      </c>
      <c r="P2111">
        <f t="shared" si="324"/>
        <v>0</v>
      </c>
      <c r="Q2111">
        <f t="shared" si="325"/>
        <v>0</v>
      </c>
      <c r="R2111">
        <f t="shared" si="326"/>
        <v>0</v>
      </c>
      <c r="S2111">
        <f t="shared" si="327"/>
        <v>0</v>
      </c>
      <c r="T2111">
        <f t="shared" si="329"/>
        <v>1</v>
      </c>
      <c r="U2111">
        <f t="shared" si="328"/>
        <v>1</v>
      </c>
    </row>
    <row r="2112" spans="1:21" x14ac:dyDescent="0.25">
      <c r="A2112" s="94">
        <v>2111</v>
      </c>
      <c r="B2112">
        <v>3016</v>
      </c>
      <c r="C2112" t="s">
        <v>182</v>
      </c>
      <c r="D2112" t="s">
        <v>583</v>
      </c>
      <c r="E2112">
        <v>2436.58</v>
      </c>
      <c r="F2112" t="s">
        <v>583</v>
      </c>
      <c r="G2112">
        <v>41.34</v>
      </c>
      <c r="H2112" t="s">
        <v>583</v>
      </c>
      <c r="I2112">
        <v>0.84</v>
      </c>
      <c r="J2112" s="80">
        <v>0.73</v>
      </c>
      <c r="K2112">
        <v>0.14000000000000001</v>
      </c>
      <c r="L2112">
        <f t="shared" si="320"/>
        <v>0</v>
      </c>
      <c r="M2112">
        <f t="shared" si="321"/>
        <v>0</v>
      </c>
      <c r="N2112">
        <f t="shared" si="322"/>
        <v>0</v>
      </c>
      <c r="O2112">
        <f t="shared" si="323"/>
        <v>0</v>
      </c>
      <c r="P2112">
        <f t="shared" si="324"/>
        <v>0</v>
      </c>
      <c r="Q2112">
        <f t="shared" si="325"/>
        <v>0</v>
      </c>
      <c r="R2112">
        <f t="shared" si="326"/>
        <v>0</v>
      </c>
      <c r="S2112">
        <f t="shared" si="327"/>
        <v>0</v>
      </c>
      <c r="T2112">
        <f t="shared" si="329"/>
        <v>0</v>
      </c>
      <c r="U2112">
        <f t="shared" si="328"/>
        <v>0</v>
      </c>
    </row>
    <row r="2113" spans="1:21" x14ac:dyDescent="0.25">
      <c r="A2113" s="94">
        <v>2112</v>
      </c>
      <c r="B2113">
        <v>3016</v>
      </c>
      <c r="C2113" t="s">
        <v>184</v>
      </c>
      <c r="D2113">
        <v>3.04</v>
      </c>
      <c r="E2113">
        <v>9291.36</v>
      </c>
      <c r="F2113">
        <v>56.72</v>
      </c>
      <c r="G2113">
        <v>32.65</v>
      </c>
      <c r="H2113">
        <v>250.81</v>
      </c>
      <c r="I2113" s="80">
        <v>5173.55</v>
      </c>
      <c r="J2113">
        <v>8.74</v>
      </c>
      <c r="K2113">
        <v>99.83</v>
      </c>
      <c r="L2113">
        <f t="shared" si="320"/>
        <v>0</v>
      </c>
      <c r="M2113">
        <f t="shared" si="321"/>
        <v>0</v>
      </c>
      <c r="N2113">
        <f t="shared" si="322"/>
        <v>0</v>
      </c>
      <c r="O2113">
        <f t="shared" si="323"/>
        <v>0</v>
      </c>
      <c r="P2113">
        <f t="shared" si="324"/>
        <v>0</v>
      </c>
      <c r="Q2113">
        <f t="shared" si="325"/>
        <v>0</v>
      </c>
      <c r="R2113">
        <f t="shared" si="326"/>
        <v>0</v>
      </c>
      <c r="S2113">
        <f t="shared" si="327"/>
        <v>0</v>
      </c>
      <c r="T2113">
        <f t="shared" si="329"/>
        <v>0</v>
      </c>
      <c r="U2113">
        <f t="shared" si="328"/>
        <v>0</v>
      </c>
    </row>
    <row r="2114" spans="1:21" x14ac:dyDescent="0.25">
      <c r="A2114" s="94">
        <v>2113</v>
      </c>
      <c r="B2114">
        <v>3016</v>
      </c>
      <c r="C2114" t="s">
        <v>187</v>
      </c>
      <c r="D2114">
        <v>6.49</v>
      </c>
      <c r="E2114">
        <v>17240.84</v>
      </c>
      <c r="F2114">
        <v>176.31</v>
      </c>
      <c r="G2114">
        <v>60.19</v>
      </c>
      <c r="H2114">
        <v>990.42</v>
      </c>
      <c r="I2114" s="80">
        <v>9278.1299999999992</v>
      </c>
      <c r="J2114">
        <v>21.75</v>
      </c>
      <c r="K2114">
        <v>560.91</v>
      </c>
      <c r="L2114">
        <f t="shared" ref="L2114:L2177" si="330">IF(D2114 = "OOR &gt;", 1,0)</f>
        <v>0</v>
      </c>
      <c r="M2114">
        <f t="shared" ref="M2114:M2177" si="331">IF(E2114 = "OOR &gt;", 1,0)</f>
        <v>0</v>
      </c>
      <c r="N2114">
        <f t="shared" ref="N2114:N2177" si="332">IF(F2114 = "OOR &gt;", 1,0)</f>
        <v>0</v>
      </c>
      <c r="O2114">
        <f t="shared" ref="O2114:O2177" si="333">IF(G2114 = "OOR &gt;", 1,0)</f>
        <v>0</v>
      </c>
      <c r="P2114">
        <f t="shared" ref="P2114:P2177" si="334">IF(H2114 = "OOR &gt;", 1,0)</f>
        <v>0</v>
      </c>
      <c r="Q2114">
        <f t="shared" ref="Q2114:Q2177" si="335">IF(I2114 = "OOR &gt;", 1,0)</f>
        <v>0</v>
      </c>
      <c r="R2114">
        <f t="shared" ref="R2114:R2177" si="336">IF(J2114 = "OOR &gt;", 1,0)</f>
        <v>0</v>
      </c>
      <c r="S2114">
        <f t="shared" ref="S2114:S2177" si="337">IF(K2114 = "OOR &gt;", 1,0)</f>
        <v>0</v>
      </c>
      <c r="T2114">
        <f t="shared" si="329"/>
        <v>0</v>
      </c>
      <c r="U2114">
        <f t="shared" ref="U2114:U2177" si="338">IF(T2114 &gt; 0,1,0)</f>
        <v>0</v>
      </c>
    </row>
    <row r="2115" spans="1:21" x14ac:dyDescent="0.25">
      <c r="A2115" s="94">
        <v>2114</v>
      </c>
      <c r="B2115">
        <v>3016</v>
      </c>
      <c r="C2115" t="s">
        <v>189</v>
      </c>
      <c r="D2115">
        <v>3.04</v>
      </c>
      <c r="E2115">
        <v>7733.35</v>
      </c>
      <c r="F2115">
        <v>65.8</v>
      </c>
      <c r="G2115">
        <v>32.65</v>
      </c>
      <c r="H2115">
        <v>93.15</v>
      </c>
      <c r="I2115" s="80">
        <v>3108.53</v>
      </c>
      <c r="J2115">
        <v>8.74</v>
      </c>
      <c r="K2115">
        <v>470.69</v>
      </c>
      <c r="L2115">
        <f t="shared" si="330"/>
        <v>0</v>
      </c>
      <c r="M2115">
        <f t="shared" si="331"/>
        <v>0</v>
      </c>
      <c r="N2115">
        <f t="shared" si="332"/>
        <v>0</v>
      </c>
      <c r="O2115">
        <f t="shared" si="333"/>
        <v>0</v>
      </c>
      <c r="P2115">
        <f t="shared" si="334"/>
        <v>0</v>
      </c>
      <c r="Q2115">
        <f t="shared" si="335"/>
        <v>0</v>
      </c>
      <c r="R2115">
        <f t="shared" si="336"/>
        <v>0</v>
      </c>
      <c r="S2115">
        <f t="shared" si="337"/>
        <v>0</v>
      </c>
      <c r="T2115">
        <f t="shared" ref="T2115:T2178" si="339">SUMIF(L2115:S2115,"&gt;0")</f>
        <v>0</v>
      </c>
      <c r="U2115">
        <f t="shared" si="338"/>
        <v>0</v>
      </c>
    </row>
    <row r="2116" spans="1:21" x14ac:dyDescent="0.25">
      <c r="A2116" s="94">
        <v>2115</v>
      </c>
      <c r="B2116">
        <v>1084</v>
      </c>
      <c r="C2116" t="s">
        <v>162</v>
      </c>
      <c r="D2116" t="s">
        <v>583</v>
      </c>
      <c r="E2116">
        <v>1185.97</v>
      </c>
      <c r="F2116" t="s">
        <v>583</v>
      </c>
      <c r="G2116">
        <v>28.51</v>
      </c>
      <c r="H2116" t="s">
        <v>583</v>
      </c>
      <c r="I2116">
        <v>0.19</v>
      </c>
      <c r="J2116">
        <v>1.51</v>
      </c>
      <c r="K2116">
        <v>1.05</v>
      </c>
      <c r="L2116">
        <f t="shared" si="330"/>
        <v>0</v>
      </c>
      <c r="M2116">
        <f t="shared" si="331"/>
        <v>0</v>
      </c>
      <c r="N2116">
        <f t="shared" si="332"/>
        <v>0</v>
      </c>
      <c r="O2116">
        <f t="shared" si="333"/>
        <v>0</v>
      </c>
      <c r="P2116">
        <f t="shared" si="334"/>
        <v>0</v>
      </c>
      <c r="Q2116">
        <f t="shared" si="335"/>
        <v>0</v>
      </c>
      <c r="R2116">
        <f t="shared" si="336"/>
        <v>0</v>
      </c>
      <c r="S2116">
        <f t="shared" si="337"/>
        <v>0</v>
      </c>
      <c r="T2116">
        <f t="shared" si="339"/>
        <v>0</v>
      </c>
      <c r="U2116">
        <f t="shared" si="338"/>
        <v>0</v>
      </c>
    </row>
    <row r="2117" spans="1:21" x14ac:dyDescent="0.25">
      <c r="A2117" s="94">
        <v>2116</v>
      </c>
      <c r="B2117">
        <v>1084</v>
      </c>
      <c r="C2117" t="s">
        <v>170</v>
      </c>
      <c r="D2117">
        <v>0.46</v>
      </c>
      <c r="E2117">
        <v>3352.18</v>
      </c>
      <c r="F2117">
        <v>0.22</v>
      </c>
      <c r="G2117">
        <v>17.05</v>
      </c>
      <c r="H2117">
        <v>86.53</v>
      </c>
      <c r="I2117">
        <v>897.94</v>
      </c>
      <c r="J2117">
        <v>2.38</v>
      </c>
      <c r="K2117">
        <v>108.67</v>
      </c>
      <c r="L2117">
        <f t="shared" si="330"/>
        <v>0</v>
      </c>
      <c r="M2117">
        <f t="shared" si="331"/>
        <v>0</v>
      </c>
      <c r="N2117">
        <f t="shared" si="332"/>
        <v>0</v>
      </c>
      <c r="O2117">
        <f t="shared" si="333"/>
        <v>0</v>
      </c>
      <c r="P2117">
        <f t="shared" si="334"/>
        <v>0</v>
      </c>
      <c r="Q2117">
        <f t="shared" si="335"/>
        <v>0</v>
      </c>
      <c r="R2117">
        <f t="shared" si="336"/>
        <v>0</v>
      </c>
      <c r="S2117">
        <f t="shared" si="337"/>
        <v>0</v>
      </c>
      <c r="T2117">
        <f t="shared" si="339"/>
        <v>0</v>
      </c>
      <c r="U2117">
        <f t="shared" si="338"/>
        <v>0</v>
      </c>
    </row>
    <row r="2118" spans="1:21" x14ac:dyDescent="0.25">
      <c r="A2118" s="94">
        <v>2117</v>
      </c>
      <c r="B2118">
        <v>1084</v>
      </c>
      <c r="C2118" t="s">
        <v>178</v>
      </c>
      <c r="D2118">
        <v>2.0499999999999998</v>
      </c>
      <c r="E2118">
        <v>5009.96</v>
      </c>
      <c r="F2118">
        <v>2.46</v>
      </c>
      <c r="G2118">
        <v>17.05</v>
      </c>
      <c r="H2118">
        <v>604.98</v>
      </c>
      <c r="I2118" s="80">
        <v>5424.8</v>
      </c>
      <c r="J2118">
        <v>13.66</v>
      </c>
      <c r="K2118">
        <v>400.72</v>
      </c>
      <c r="L2118">
        <f t="shared" si="330"/>
        <v>0</v>
      </c>
      <c r="M2118">
        <f t="shared" si="331"/>
        <v>0</v>
      </c>
      <c r="N2118">
        <f t="shared" si="332"/>
        <v>0</v>
      </c>
      <c r="O2118">
        <f t="shared" si="333"/>
        <v>0</v>
      </c>
      <c r="P2118">
        <f t="shared" si="334"/>
        <v>0</v>
      </c>
      <c r="Q2118">
        <f t="shared" si="335"/>
        <v>0</v>
      </c>
      <c r="R2118">
        <f t="shared" si="336"/>
        <v>0</v>
      </c>
      <c r="S2118">
        <f t="shared" si="337"/>
        <v>0</v>
      </c>
      <c r="T2118">
        <f t="shared" si="339"/>
        <v>0</v>
      </c>
      <c r="U2118">
        <f t="shared" si="338"/>
        <v>0</v>
      </c>
    </row>
    <row r="2119" spans="1:21" x14ac:dyDescent="0.25">
      <c r="A2119" s="94">
        <v>2118</v>
      </c>
      <c r="B2119">
        <v>1084</v>
      </c>
      <c r="C2119" t="s">
        <v>163</v>
      </c>
      <c r="D2119">
        <v>4.1100000000000003</v>
      </c>
      <c r="E2119">
        <v>3144.11</v>
      </c>
      <c r="F2119">
        <v>1.1599999999999999</v>
      </c>
      <c r="G2119">
        <v>60.19</v>
      </c>
      <c r="H2119">
        <v>1522.98</v>
      </c>
      <c r="I2119">
        <v>1884.07</v>
      </c>
      <c r="J2119">
        <v>11.14</v>
      </c>
      <c r="K2119">
        <v>2998.45</v>
      </c>
      <c r="L2119">
        <f t="shared" si="330"/>
        <v>0</v>
      </c>
      <c r="M2119">
        <f t="shared" si="331"/>
        <v>0</v>
      </c>
      <c r="N2119">
        <f t="shared" si="332"/>
        <v>0</v>
      </c>
      <c r="O2119">
        <f t="shared" si="333"/>
        <v>0</v>
      </c>
      <c r="P2119">
        <f t="shared" si="334"/>
        <v>0</v>
      </c>
      <c r="Q2119">
        <f t="shared" si="335"/>
        <v>0</v>
      </c>
      <c r="R2119">
        <f t="shared" si="336"/>
        <v>0</v>
      </c>
      <c r="S2119">
        <f t="shared" si="337"/>
        <v>0</v>
      </c>
      <c r="T2119">
        <f t="shared" si="339"/>
        <v>0</v>
      </c>
      <c r="U2119">
        <f t="shared" si="338"/>
        <v>0</v>
      </c>
    </row>
    <row r="2120" spans="1:21" x14ac:dyDescent="0.25">
      <c r="A2120" s="94">
        <v>2119</v>
      </c>
      <c r="B2120">
        <v>1084</v>
      </c>
      <c r="C2120" t="s">
        <v>181</v>
      </c>
      <c r="D2120" t="s">
        <v>583</v>
      </c>
      <c r="E2120">
        <v>1017.42</v>
      </c>
      <c r="F2120">
        <v>0.02</v>
      </c>
      <c r="G2120">
        <v>4.66</v>
      </c>
      <c r="H2120">
        <v>34.17</v>
      </c>
      <c r="I2120">
        <v>0.93</v>
      </c>
      <c r="J2120">
        <v>2.38</v>
      </c>
      <c r="K2120">
        <v>23.46</v>
      </c>
      <c r="L2120">
        <f t="shared" si="330"/>
        <v>0</v>
      </c>
      <c r="M2120">
        <f t="shared" si="331"/>
        <v>0</v>
      </c>
      <c r="N2120">
        <f t="shared" si="332"/>
        <v>0</v>
      </c>
      <c r="O2120">
        <f t="shared" si="333"/>
        <v>0</v>
      </c>
      <c r="P2120">
        <f t="shared" si="334"/>
        <v>0</v>
      </c>
      <c r="Q2120">
        <f t="shared" si="335"/>
        <v>0</v>
      </c>
      <c r="R2120">
        <f t="shared" si="336"/>
        <v>0</v>
      </c>
      <c r="S2120">
        <f t="shared" si="337"/>
        <v>0</v>
      </c>
      <c r="T2120">
        <f t="shared" si="339"/>
        <v>0</v>
      </c>
      <c r="U2120">
        <f t="shared" si="338"/>
        <v>0</v>
      </c>
    </row>
    <row r="2121" spans="1:21" x14ac:dyDescent="0.25">
      <c r="A2121" s="94">
        <v>2120</v>
      </c>
      <c r="B2121">
        <v>1084</v>
      </c>
      <c r="C2121" t="s">
        <v>183</v>
      </c>
      <c r="D2121" t="s">
        <v>583</v>
      </c>
      <c r="E2121">
        <v>1864.7</v>
      </c>
      <c r="F2121" t="s">
        <v>583</v>
      </c>
      <c r="G2121" s="80">
        <v>0.51</v>
      </c>
      <c r="H2121">
        <v>355.48</v>
      </c>
      <c r="I2121">
        <v>55.92</v>
      </c>
      <c r="J2121">
        <v>2.38</v>
      </c>
      <c r="K2121">
        <v>331.01</v>
      </c>
      <c r="L2121">
        <f t="shared" si="330"/>
        <v>0</v>
      </c>
      <c r="M2121">
        <f t="shared" si="331"/>
        <v>0</v>
      </c>
      <c r="N2121">
        <f t="shared" si="332"/>
        <v>0</v>
      </c>
      <c r="O2121">
        <f t="shared" si="333"/>
        <v>0</v>
      </c>
      <c r="P2121">
        <f t="shared" si="334"/>
        <v>0</v>
      </c>
      <c r="Q2121">
        <f t="shared" si="335"/>
        <v>0</v>
      </c>
      <c r="R2121">
        <f t="shared" si="336"/>
        <v>0</v>
      </c>
      <c r="S2121">
        <f t="shared" si="337"/>
        <v>0</v>
      </c>
      <c r="T2121">
        <f t="shared" si="339"/>
        <v>0</v>
      </c>
      <c r="U2121">
        <f t="shared" si="338"/>
        <v>0</v>
      </c>
    </row>
    <row r="2122" spans="1:21" x14ac:dyDescent="0.25">
      <c r="A2122" s="94">
        <v>2121</v>
      </c>
      <c r="B2122">
        <v>1084</v>
      </c>
      <c r="C2122" t="s">
        <v>186</v>
      </c>
      <c r="D2122">
        <v>0.46</v>
      </c>
      <c r="E2122">
        <v>1902.83</v>
      </c>
      <c r="F2122">
        <v>0.02</v>
      </c>
      <c r="G2122" s="80">
        <v>0.51</v>
      </c>
      <c r="H2122">
        <v>412.81</v>
      </c>
      <c r="I2122">
        <v>118.66</v>
      </c>
      <c r="J2122">
        <v>4.32</v>
      </c>
      <c r="K2122">
        <v>408.38</v>
      </c>
      <c r="L2122">
        <f t="shared" si="330"/>
        <v>0</v>
      </c>
      <c r="M2122">
        <f t="shared" si="331"/>
        <v>0</v>
      </c>
      <c r="N2122">
        <f t="shared" si="332"/>
        <v>0</v>
      </c>
      <c r="O2122">
        <f t="shared" si="333"/>
        <v>0</v>
      </c>
      <c r="P2122">
        <f t="shared" si="334"/>
        <v>0</v>
      </c>
      <c r="Q2122">
        <f t="shared" si="335"/>
        <v>0</v>
      </c>
      <c r="R2122">
        <f t="shared" si="336"/>
        <v>0</v>
      </c>
      <c r="S2122">
        <f t="shared" si="337"/>
        <v>0</v>
      </c>
      <c r="T2122">
        <f t="shared" si="339"/>
        <v>0</v>
      </c>
      <c r="U2122">
        <f t="shared" si="338"/>
        <v>0</v>
      </c>
    </row>
    <row r="2123" spans="1:21" x14ac:dyDescent="0.25">
      <c r="A2123" s="94">
        <v>2122</v>
      </c>
      <c r="B2123">
        <v>1084</v>
      </c>
      <c r="C2123" t="s">
        <v>188</v>
      </c>
      <c r="D2123" t="s">
        <v>583</v>
      </c>
      <c r="E2123">
        <v>1230.6300000000001</v>
      </c>
      <c r="F2123">
        <v>0.15</v>
      </c>
      <c r="G2123" s="80">
        <v>0.51</v>
      </c>
      <c r="H2123">
        <v>164.44</v>
      </c>
      <c r="I2123">
        <v>45.33</v>
      </c>
      <c r="J2123">
        <v>2.38</v>
      </c>
      <c r="K2123">
        <v>382.88</v>
      </c>
      <c r="L2123">
        <f t="shared" si="330"/>
        <v>0</v>
      </c>
      <c r="M2123">
        <f t="shared" si="331"/>
        <v>0</v>
      </c>
      <c r="N2123">
        <f t="shared" si="332"/>
        <v>0</v>
      </c>
      <c r="O2123">
        <f t="shared" si="333"/>
        <v>0</v>
      </c>
      <c r="P2123">
        <f t="shared" si="334"/>
        <v>0</v>
      </c>
      <c r="Q2123">
        <f t="shared" si="335"/>
        <v>0</v>
      </c>
      <c r="R2123">
        <f t="shared" si="336"/>
        <v>0</v>
      </c>
      <c r="S2123">
        <f t="shared" si="337"/>
        <v>0</v>
      </c>
      <c r="T2123">
        <f t="shared" si="339"/>
        <v>0</v>
      </c>
      <c r="U2123">
        <f t="shared" si="338"/>
        <v>0</v>
      </c>
    </row>
    <row r="2124" spans="1:21" x14ac:dyDescent="0.25">
      <c r="A2124" s="94">
        <v>2123</v>
      </c>
      <c r="B2124">
        <v>1084</v>
      </c>
      <c r="C2124" t="s">
        <v>182</v>
      </c>
      <c r="D2124" t="s">
        <v>583</v>
      </c>
      <c r="E2124">
        <v>1979.8</v>
      </c>
      <c r="F2124">
        <v>0.02</v>
      </c>
      <c r="G2124">
        <v>4.66</v>
      </c>
      <c r="H2124">
        <v>0.37</v>
      </c>
      <c r="I2124">
        <v>3.01</v>
      </c>
      <c r="J2124" s="80">
        <v>0.73</v>
      </c>
      <c r="K2124">
        <v>0.43</v>
      </c>
      <c r="L2124">
        <f t="shared" si="330"/>
        <v>0</v>
      </c>
      <c r="M2124">
        <f t="shared" si="331"/>
        <v>0</v>
      </c>
      <c r="N2124">
        <f t="shared" si="332"/>
        <v>0</v>
      </c>
      <c r="O2124">
        <f t="shared" si="333"/>
        <v>0</v>
      </c>
      <c r="P2124">
        <f t="shared" si="334"/>
        <v>0</v>
      </c>
      <c r="Q2124">
        <f t="shared" si="335"/>
        <v>0</v>
      </c>
      <c r="R2124">
        <f t="shared" si="336"/>
        <v>0</v>
      </c>
      <c r="S2124">
        <f t="shared" si="337"/>
        <v>0</v>
      </c>
      <c r="T2124">
        <f t="shared" si="339"/>
        <v>0</v>
      </c>
      <c r="U2124">
        <f t="shared" si="338"/>
        <v>0</v>
      </c>
    </row>
    <row r="2125" spans="1:21" x14ac:dyDescent="0.25">
      <c r="A2125" s="94">
        <v>2124</v>
      </c>
      <c r="B2125">
        <v>1084</v>
      </c>
      <c r="C2125" t="s">
        <v>184</v>
      </c>
      <c r="D2125">
        <v>13.48</v>
      </c>
      <c r="E2125" s="80">
        <v>42615.81</v>
      </c>
      <c r="F2125">
        <v>263.04000000000002</v>
      </c>
      <c r="G2125">
        <v>60.19</v>
      </c>
      <c r="H2125">
        <v>4202.42</v>
      </c>
      <c r="I2125" s="80">
        <v>17404.349999999999</v>
      </c>
      <c r="J2125">
        <v>33.54</v>
      </c>
      <c r="K2125">
        <v>777.29</v>
      </c>
      <c r="L2125">
        <f t="shared" si="330"/>
        <v>0</v>
      </c>
      <c r="M2125">
        <f t="shared" si="331"/>
        <v>0</v>
      </c>
      <c r="N2125">
        <f t="shared" si="332"/>
        <v>0</v>
      </c>
      <c r="O2125">
        <f t="shared" si="333"/>
        <v>0</v>
      </c>
      <c r="P2125">
        <f t="shared" si="334"/>
        <v>0</v>
      </c>
      <c r="Q2125">
        <f t="shared" si="335"/>
        <v>0</v>
      </c>
      <c r="R2125">
        <f t="shared" si="336"/>
        <v>0</v>
      </c>
      <c r="S2125">
        <f t="shared" si="337"/>
        <v>0</v>
      </c>
      <c r="T2125">
        <f t="shared" si="339"/>
        <v>0</v>
      </c>
      <c r="U2125">
        <f t="shared" si="338"/>
        <v>0</v>
      </c>
    </row>
    <row r="2126" spans="1:21" x14ac:dyDescent="0.25">
      <c r="A2126" s="94">
        <v>2125</v>
      </c>
      <c r="B2126">
        <v>1084</v>
      </c>
      <c r="C2126" t="s">
        <v>187</v>
      </c>
      <c r="D2126">
        <v>16.62</v>
      </c>
      <c r="E2126" s="80">
        <v>58849.77</v>
      </c>
      <c r="F2126">
        <v>666.68</v>
      </c>
      <c r="G2126">
        <v>126.1</v>
      </c>
      <c r="H2126">
        <v>14811.15</v>
      </c>
      <c r="I2126" s="80">
        <v>18856.91</v>
      </c>
      <c r="J2126">
        <v>54.54</v>
      </c>
      <c r="K2126">
        <v>2863.93</v>
      </c>
      <c r="L2126">
        <f t="shared" si="330"/>
        <v>0</v>
      </c>
      <c r="M2126">
        <f t="shared" si="331"/>
        <v>0</v>
      </c>
      <c r="N2126">
        <f t="shared" si="332"/>
        <v>0</v>
      </c>
      <c r="O2126">
        <f t="shared" si="333"/>
        <v>0</v>
      </c>
      <c r="P2126">
        <f t="shared" si="334"/>
        <v>0</v>
      </c>
      <c r="Q2126">
        <f t="shared" si="335"/>
        <v>0</v>
      </c>
      <c r="R2126">
        <f t="shared" si="336"/>
        <v>0</v>
      </c>
      <c r="S2126">
        <f t="shared" si="337"/>
        <v>0</v>
      </c>
      <c r="T2126">
        <f t="shared" si="339"/>
        <v>0</v>
      </c>
      <c r="U2126">
        <f t="shared" si="338"/>
        <v>0</v>
      </c>
    </row>
    <row r="2127" spans="1:21" x14ac:dyDescent="0.25">
      <c r="A2127" s="94">
        <v>2126</v>
      </c>
      <c r="B2127">
        <v>1084</v>
      </c>
      <c r="C2127" t="s">
        <v>189</v>
      </c>
      <c r="D2127">
        <v>18.25</v>
      </c>
      <c r="E2127" s="80">
        <v>28649.41</v>
      </c>
      <c r="F2127">
        <v>289.13</v>
      </c>
      <c r="G2127">
        <v>126.1</v>
      </c>
      <c r="H2127">
        <v>9121.43</v>
      </c>
      <c r="I2127" s="80">
        <v>16989.39</v>
      </c>
      <c r="J2127">
        <v>59.65</v>
      </c>
      <c r="K2127" s="80">
        <v>11543.12</v>
      </c>
      <c r="L2127">
        <f t="shared" si="330"/>
        <v>0</v>
      </c>
      <c r="M2127">
        <f t="shared" si="331"/>
        <v>0</v>
      </c>
      <c r="N2127">
        <f t="shared" si="332"/>
        <v>0</v>
      </c>
      <c r="O2127">
        <f t="shared" si="333"/>
        <v>0</v>
      </c>
      <c r="P2127">
        <f t="shared" si="334"/>
        <v>0</v>
      </c>
      <c r="Q2127">
        <f t="shared" si="335"/>
        <v>0</v>
      </c>
      <c r="R2127">
        <f t="shared" si="336"/>
        <v>0</v>
      </c>
      <c r="S2127">
        <f t="shared" si="337"/>
        <v>0</v>
      </c>
      <c r="T2127">
        <f t="shared" si="339"/>
        <v>0</v>
      </c>
      <c r="U2127">
        <f t="shared" si="338"/>
        <v>0</v>
      </c>
    </row>
    <row r="2128" spans="1:21" x14ac:dyDescent="0.25">
      <c r="A2128" s="94">
        <v>2127</v>
      </c>
      <c r="B2128">
        <v>1085</v>
      </c>
      <c r="C2128" t="s">
        <v>162</v>
      </c>
      <c r="D2128">
        <v>7.78</v>
      </c>
      <c r="E2128" s="80">
        <v>51682.400000000001</v>
      </c>
      <c r="F2128">
        <v>1.66</v>
      </c>
      <c r="G2128">
        <v>45.88</v>
      </c>
      <c r="H2128">
        <v>1.21</v>
      </c>
      <c r="I2128">
        <v>5.54</v>
      </c>
      <c r="J2128">
        <v>18.98</v>
      </c>
      <c r="K2128">
        <v>4.12</v>
      </c>
      <c r="L2128">
        <f t="shared" si="330"/>
        <v>0</v>
      </c>
      <c r="M2128">
        <f t="shared" si="331"/>
        <v>0</v>
      </c>
      <c r="N2128">
        <f t="shared" si="332"/>
        <v>0</v>
      </c>
      <c r="O2128">
        <f t="shared" si="333"/>
        <v>0</v>
      </c>
      <c r="P2128">
        <f t="shared" si="334"/>
        <v>0</v>
      </c>
      <c r="Q2128">
        <f t="shared" si="335"/>
        <v>0</v>
      </c>
      <c r="R2128">
        <f t="shared" si="336"/>
        <v>0</v>
      </c>
      <c r="S2128">
        <f t="shared" si="337"/>
        <v>0</v>
      </c>
      <c r="T2128">
        <f t="shared" si="339"/>
        <v>0</v>
      </c>
      <c r="U2128">
        <f t="shared" si="338"/>
        <v>0</v>
      </c>
    </row>
    <row r="2129" spans="1:21" x14ac:dyDescent="0.25">
      <c r="A2129" s="94">
        <v>2128</v>
      </c>
      <c r="B2129">
        <v>1085</v>
      </c>
      <c r="C2129" t="s">
        <v>170</v>
      </c>
      <c r="D2129">
        <v>5.26</v>
      </c>
      <c r="E2129">
        <v>11411.06</v>
      </c>
      <c r="F2129">
        <v>53.12</v>
      </c>
      <c r="G2129">
        <v>24.53</v>
      </c>
      <c r="H2129">
        <v>342.9</v>
      </c>
      <c r="I2129" s="80">
        <v>12951.04</v>
      </c>
      <c r="J2129">
        <v>18.98</v>
      </c>
      <c r="K2129">
        <v>245.55</v>
      </c>
      <c r="L2129">
        <f t="shared" si="330"/>
        <v>0</v>
      </c>
      <c r="M2129">
        <f t="shared" si="331"/>
        <v>0</v>
      </c>
      <c r="N2129">
        <f t="shared" si="332"/>
        <v>0</v>
      </c>
      <c r="O2129">
        <f t="shared" si="333"/>
        <v>0</v>
      </c>
      <c r="P2129">
        <f t="shared" si="334"/>
        <v>0</v>
      </c>
      <c r="Q2129">
        <f t="shared" si="335"/>
        <v>0</v>
      </c>
      <c r="R2129">
        <f t="shared" si="336"/>
        <v>0</v>
      </c>
      <c r="S2129">
        <f t="shared" si="337"/>
        <v>0</v>
      </c>
      <c r="T2129">
        <f t="shared" si="339"/>
        <v>0</v>
      </c>
      <c r="U2129">
        <f t="shared" si="338"/>
        <v>0</v>
      </c>
    </row>
    <row r="2130" spans="1:21" x14ac:dyDescent="0.25">
      <c r="A2130">
        <v>2129</v>
      </c>
      <c r="B2130">
        <v>1085</v>
      </c>
      <c r="C2130" t="s">
        <v>178</v>
      </c>
      <c r="D2130">
        <v>18.25</v>
      </c>
      <c r="E2130" s="80">
        <v>36022.53</v>
      </c>
      <c r="F2130">
        <v>239.34</v>
      </c>
      <c r="G2130">
        <v>108.48</v>
      </c>
      <c r="H2130">
        <v>2048.56</v>
      </c>
      <c r="I2130" s="80">
        <v>18973.89</v>
      </c>
      <c r="J2130">
        <v>39.79</v>
      </c>
      <c r="K2130">
        <v>536.34</v>
      </c>
      <c r="L2130">
        <f t="shared" si="330"/>
        <v>0</v>
      </c>
      <c r="M2130">
        <f t="shared" si="331"/>
        <v>0</v>
      </c>
      <c r="N2130">
        <f t="shared" si="332"/>
        <v>0</v>
      </c>
      <c r="O2130">
        <f t="shared" si="333"/>
        <v>0</v>
      </c>
      <c r="P2130">
        <f t="shared" si="334"/>
        <v>0</v>
      </c>
      <c r="Q2130">
        <f t="shared" si="335"/>
        <v>0</v>
      </c>
      <c r="R2130">
        <f t="shared" si="336"/>
        <v>0</v>
      </c>
      <c r="S2130">
        <f t="shared" si="337"/>
        <v>0</v>
      </c>
      <c r="T2130">
        <f t="shared" si="339"/>
        <v>0</v>
      </c>
      <c r="U2130">
        <f t="shared" si="338"/>
        <v>0</v>
      </c>
    </row>
    <row r="2131" spans="1:21" x14ac:dyDescent="0.25">
      <c r="A2131">
        <v>2130</v>
      </c>
      <c r="B2131">
        <v>1085</v>
      </c>
      <c r="C2131" t="s">
        <v>163</v>
      </c>
      <c r="D2131">
        <v>36.49</v>
      </c>
      <c r="E2131" s="89" t="s">
        <v>582</v>
      </c>
      <c r="F2131">
        <v>527.97</v>
      </c>
      <c r="G2131">
        <v>196.15</v>
      </c>
      <c r="H2131">
        <v>7758.75</v>
      </c>
      <c r="I2131" s="80">
        <v>22381.82</v>
      </c>
      <c r="J2131">
        <v>86.47</v>
      </c>
      <c r="K2131" s="80">
        <v>11803.04</v>
      </c>
      <c r="L2131">
        <f t="shared" si="330"/>
        <v>0</v>
      </c>
      <c r="M2131">
        <f t="shared" si="331"/>
        <v>1</v>
      </c>
      <c r="N2131">
        <f t="shared" si="332"/>
        <v>0</v>
      </c>
      <c r="O2131">
        <f t="shared" si="333"/>
        <v>0</v>
      </c>
      <c r="P2131">
        <f t="shared" si="334"/>
        <v>0</v>
      </c>
      <c r="Q2131">
        <f t="shared" si="335"/>
        <v>0</v>
      </c>
      <c r="R2131">
        <f t="shared" si="336"/>
        <v>0</v>
      </c>
      <c r="S2131">
        <f t="shared" si="337"/>
        <v>0</v>
      </c>
      <c r="T2131">
        <f t="shared" si="339"/>
        <v>1</v>
      </c>
      <c r="U2131">
        <f t="shared" si="338"/>
        <v>1</v>
      </c>
    </row>
    <row r="2132" spans="1:21" x14ac:dyDescent="0.25">
      <c r="A2132">
        <v>2131</v>
      </c>
      <c r="B2132">
        <v>1085</v>
      </c>
      <c r="C2132" t="s">
        <v>181</v>
      </c>
      <c r="D2132">
        <v>0.46</v>
      </c>
      <c r="E2132" s="80">
        <v>0.43</v>
      </c>
      <c r="F2132">
        <v>0.13</v>
      </c>
      <c r="G2132">
        <v>17.05</v>
      </c>
      <c r="H2132" t="s">
        <v>583</v>
      </c>
      <c r="I2132">
        <v>0.11</v>
      </c>
      <c r="J2132" s="80">
        <v>0.73</v>
      </c>
      <c r="K2132" s="80">
        <v>0.01</v>
      </c>
      <c r="L2132">
        <f t="shared" si="330"/>
        <v>0</v>
      </c>
      <c r="M2132">
        <f t="shared" si="331"/>
        <v>0</v>
      </c>
      <c r="N2132">
        <f t="shared" si="332"/>
        <v>0</v>
      </c>
      <c r="O2132">
        <f t="shared" si="333"/>
        <v>0</v>
      </c>
      <c r="P2132">
        <f t="shared" si="334"/>
        <v>0</v>
      </c>
      <c r="Q2132">
        <f t="shared" si="335"/>
        <v>0</v>
      </c>
      <c r="R2132">
        <f t="shared" si="336"/>
        <v>0</v>
      </c>
      <c r="S2132">
        <f t="shared" si="337"/>
        <v>0</v>
      </c>
      <c r="T2132">
        <f t="shared" si="339"/>
        <v>0</v>
      </c>
      <c r="U2132">
        <f t="shared" si="338"/>
        <v>0</v>
      </c>
    </row>
    <row r="2133" spans="1:21" x14ac:dyDescent="0.25">
      <c r="A2133">
        <v>2132</v>
      </c>
      <c r="B2133">
        <v>1085</v>
      </c>
      <c r="C2133" t="s">
        <v>183</v>
      </c>
      <c r="D2133" t="s">
        <v>583</v>
      </c>
      <c r="E2133" t="s">
        <v>583</v>
      </c>
      <c r="F2133">
        <v>0.42</v>
      </c>
      <c r="G2133" t="s">
        <v>583</v>
      </c>
      <c r="H2133" t="s">
        <v>583</v>
      </c>
      <c r="I2133" s="80">
        <v>0.01</v>
      </c>
      <c r="J2133" t="s">
        <v>583</v>
      </c>
      <c r="K2133" t="s">
        <v>583</v>
      </c>
      <c r="L2133">
        <f t="shared" si="330"/>
        <v>0</v>
      </c>
      <c r="M2133">
        <f t="shared" si="331"/>
        <v>0</v>
      </c>
      <c r="N2133">
        <f t="shared" si="332"/>
        <v>0</v>
      </c>
      <c r="O2133">
        <f t="shared" si="333"/>
        <v>0</v>
      </c>
      <c r="P2133">
        <f t="shared" si="334"/>
        <v>0</v>
      </c>
      <c r="Q2133">
        <f t="shared" si="335"/>
        <v>0</v>
      </c>
      <c r="R2133">
        <f t="shared" si="336"/>
        <v>0</v>
      </c>
      <c r="S2133">
        <f t="shared" si="337"/>
        <v>0</v>
      </c>
      <c r="T2133">
        <f t="shared" si="339"/>
        <v>0</v>
      </c>
      <c r="U2133">
        <f t="shared" si="338"/>
        <v>0</v>
      </c>
    </row>
    <row r="2134" spans="1:21" x14ac:dyDescent="0.25">
      <c r="A2134">
        <v>2133</v>
      </c>
      <c r="B2134">
        <v>1085</v>
      </c>
      <c r="C2134" t="s">
        <v>186</v>
      </c>
      <c r="D2134" t="s">
        <v>583</v>
      </c>
      <c r="E2134">
        <v>2.15</v>
      </c>
      <c r="F2134">
        <v>0.06</v>
      </c>
      <c r="G2134" s="80">
        <v>0.51</v>
      </c>
      <c r="H2134" t="s">
        <v>583</v>
      </c>
      <c r="I2134" s="80">
        <v>0.01</v>
      </c>
      <c r="J2134" t="s">
        <v>583</v>
      </c>
      <c r="K2134" t="s">
        <v>583</v>
      </c>
      <c r="L2134">
        <f t="shared" si="330"/>
        <v>0</v>
      </c>
      <c r="M2134">
        <f t="shared" si="331"/>
        <v>0</v>
      </c>
      <c r="N2134">
        <f t="shared" si="332"/>
        <v>0</v>
      </c>
      <c r="O2134">
        <f t="shared" si="333"/>
        <v>0</v>
      </c>
      <c r="P2134">
        <f t="shared" si="334"/>
        <v>0</v>
      </c>
      <c r="Q2134">
        <f t="shared" si="335"/>
        <v>0</v>
      </c>
      <c r="R2134">
        <f t="shared" si="336"/>
        <v>0</v>
      </c>
      <c r="S2134">
        <f t="shared" si="337"/>
        <v>0</v>
      </c>
      <c r="T2134">
        <f t="shared" si="339"/>
        <v>0</v>
      </c>
      <c r="U2134">
        <f t="shared" si="338"/>
        <v>0</v>
      </c>
    </row>
    <row r="2135" spans="1:21" x14ac:dyDescent="0.25">
      <c r="A2135">
        <v>2134</v>
      </c>
      <c r="B2135">
        <v>1085</v>
      </c>
      <c r="C2135" t="s">
        <v>188</v>
      </c>
      <c r="D2135" t="s">
        <v>583</v>
      </c>
      <c r="E2135">
        <v>4.41</v>
      </c>
      <c r="F2135">
        <v>0.13</v>
      </c>
      <c r="G2135" t="s">
        <v>583</v>
      </c>
      <c r="H2135" t="s">
        <v>583</v>
      </c>
      <c r="I2135" s="80">
        <v>0.01</v>
      </c>
      <c r="J2135" t="s">
        <v>583</v>
      </c>
      <c r="K2135" t="s">
        <v>583</v>
      </c>
      <c r="L2135">
        <f t="shared" si="330"/>
        <v>0</v>
      </c>
      <c r="M2135">
        <f t="shared" si="331"/>
        <v>0</v>
      </c>
      <c r="N2135">
        <f t="shared" si="332"/>
        <v>0</v>
      </c>
      <c r="O2135">
        <f t="shared" si="333"/>
        <v>0</v>
      </c>
      <c r="P2135">
        <f t="shared" si="334"/>
        <v>0</v>
      </c>
      <c r="Q2135">
        <f t="shared" si="335"/>
        <v>0</v>
      </c>
      <c r="R2135">
        <f t="shared" si="336"/>
        <v>0</v>
      </c>
      <c r="S2135">
        <f t="shared" si="337"/>
        <v>0</v>
      </c>
      <c r="T2135">
        <f t="shared" si="339"/>
        <v>0</v>
      </c>
      <c r="U2135">
        <f t="shared" si="338"/>
        <v>0</v>
      </c>
    </row>
    <row r="2136" spans="1:21" x14ac:dyDescent="0.25">
      <c r="A2136">
        <v>2135</v>
      </c>
      <c r="B2136">
        <v>1085</v>
      </c>
      <c r="C2136" t="s">
        <v>182</v>
      </c>
      <c r="D2136">
        <v>0.46</v>
      </c>
      <c r="E2136">
        <v>1917.19</v>
      </c>
      <c r="F2136">
        <v>0.13</v>
      </c>
      <c r="G2136">
        <v>20.7</v>
      </c>
      <c r="H2136" s="80">
        <v>0.04</v>
      </c>
      <c r="I2136">
        <v>3.53</v>
      </c>
      <c r="J2136" s="80">
        <v>0.73</v>
      </c>
      <c r="K2136">
        <v>0.23</v>
      </c>
      <c r="L2136">
        <f t="shared" si="330"/>
        <v>0</v>
      </c>
      <c r="M2136">
        <f t="shared" si="331"/>
        <v>0</v>
      </c>
      <c r="N2136">
        <f t="shared" si="332"/>
        <v>0</v>
      </c>
      <c r="O2136">
        <f t="shared" si="333"/>
        <v>0</v>
      </c>
      <c r="P2136">
        <f t="shared" si="334"/>
        <v>0</v>
      </c>
      <c r="Q2136">
        <f t="shared" si="335"/>
        <v>0</v>
      </c>
      <c r="R2136">
        <f t="shared" si="336"/>
        <v>0</v>
      </c>
      <c r="S2136">
        <f t="shared" si="337"/>
        <v>0</v>
      </c>
      <c r="T2136">
        <f t="shared" si="339"/>
        <v>0</v>
      </c>
      <c r="U2136">
        <f t="shared" si="338"/>
        <v>0</v>
      </c>
    </row>
    <row r="2137" spans="1:21" x14ac:dyDescent="0.25">
      <c r="A2137">
        <v>2136</v>
      </c>
      <c r="B2137">
        <v>1085</v>
      </c>
      <c r="C2137" t="s">
        <v>184</v>
      </c>
      <c r="D2137">
        <v>11.98</v>
      </c>
      <c r="E2137" s="89" t="s">
        <v>582</v>
      </c>
      <c r="F2137">
        <v>26.01</v>
      </c>
      <c r="G2137">
        <v>120.15</v>
      </c>
      <c r="H2137">
        <v>185.26</v>
      </c>
      <c r="I2137" s="80">
        <v>9524.61</v>
      </c>
      <c r="J2137">
        <v>33.54</v>
      </c>
      <c r="K2137">
        <v>58.88</v>
      </c>
      <c r="L2137">
        <f t="shared" si="330"/>
        <v>0</v>
      </c>
      <c r="M2137">
        <f t="shared" si="331"/>
        <v>1</v>
      </c>
      <c r="N2137">
        <f t="shared" si="332"/>
        <v>0</v>
      </c>
      <c r="O2137">
        <f t="shared" si="333"/>
        <v>0</v>
      </c>
      <c r="P2137">
        <f t="shared" si="334"/>
        <v>0</v>
      </c>
      <c r="Q2137">
        <f t="shared" si="335"/>
        <v>0</v>
      </c>
      <c r="R2137">
        <f t="shared" si="336"/>
        <v>0</v>
      </c>
      <c r="S2137">
        <f t="shared" si="337"/>
        <v>0</v>
      </c>
      <c r="T2137">
        <f t="shared" si="339"/>
        <v>1</v>
      </c>
      <c r="U2137">
        <f t="shared" si="338"/>
        <v>1</v>
      </c>
    </row>
    <row r="2138" spans="1:21" x14ac:dyDescent="0.25">
      <c r="A2138">
        <v>2137</v>
      </c>
      <c r="B2138">
        <v>1085</v>
      </c>
      <c r="C2138" t="s">
        <v>187</v>
      </c>
      <c r="D2138">
        <v>18.25</v>
      </c>
      <c r="E2138" s="89" t="s">
        <v>582</v>
      </c>
      <c r="F2138">
        <v>198.48</v>
      </c>
      <c r="G2138">
        <v>209.72</v>
      </c>
      <c r="H2138">
        <v>4736.24</v>
      </c>
      <c r="I2138" s="80">
        <v>18731.23</v>
      </c>
      <c r="J2138">
        <v>77.31</v>
      </c>
      <c r="K2138">
        <v>677.24</v>
      </c>
      <c r="L2138">
        <f t="shared" si="330"/>
        <v>0</v>
      </c>
      <c r="M2138">
        <f t="shared" si="331"/>
        <v>1</v>
      </c>
      <c r="N2138">
        <f t="shared" si="332"/>
        <v>0</v>
      </c>
      <c r="O2138">
        <f t="shared" si="333"/>
        <v>0</v>
      </c>
      <c r="P2138">
        <f t="shared" si="334"/>
        <v>0</v>
      </c>
      <c r="Q2138">
        <f t="shared" si="335"/>
        <v>0</v>
      </c>
      <c r="R2138">
        <f t="shared" si="336"/>
        <v>0</v>
      </c>
      <c r="S2138">
        <f t="shared" si="337"/>
        <v>0</v>
      </c>
      <c r="T2138">
        <f t="shared" si="339"/>
        <v>1</v>
      </c>
      <c r="U2138">
        <f t="shared" si="338"/>
        <v>1</v>
      </c>
    </row>
    <row r="2139" spans="1:21" x14ac:dyDescent="0.25">
      <c r="A2139">
        <v>2138</v>
      </c>
      <c r="B2139">
        <v>1085</v>
      </c>
      <c r="C2139" t="s">
        <v>189</v>
      </c>
      <c r="D2139">
        <v>34.53</v>
      </c>
      <c r="E2139" s="89" t="s">
        <v>582</v>
      </c>
      <c r="F2139">
        <v>114.5</v>
      </c>
      <c r="G2139">
        <v>156.94</v>
      </c>
      <c r="H2139">
        <v>6328.47</v>
      </c>
      <c r="I2139" s="80">
        <v>17712.18</v>
      </c>
      <c r="J2139">
        <v>77.31</v>
      </c>
      <c r="K2139">
        <v>4584.51</v>
      </c>
      <c r="L2139">
        <f t="shared" si="330"/>
        <v>0</v>
      </c>
      <c r="M2139">
        <f t="shared" si="331"/>
        <v>1</v>
      </c>
      <c r="N2139">
        <f t="shared" si="332"/>
        <v>0</v>
      </c>
      <c r="O2139">
        <f t="shared" si="333"/>
        <v>0</v>
      </c>
      <c r="P2139">
        <f t="shared" si="334"/>
        <v>0</v>
      </c>
      <c r="Q2139">
        <f t="shared" si="335"/>
        <v>0</v>
      </c>
      <c r="R2139">
        <f t="shared" si="336"/>
        <v>0</v>
      </c>
      <c r="S2139">
        <f t="shared" si="337"/>
        <v>0</v>
      </c>
      <c r="T2139">
        <f t="shared" si="339"/>
        <v>1</v>
      </c>
      <c r="U2139">
        <f t="shared" si="338"/>
        <v>1</v>
      </c>
    </row>
    <row r="2140" spans="1:21" x14ac:dyDescent="0.25">
      <c r="A2140">
        <v>2139</v>
      </c>
      <c r="B2140" t="s">
        <v>66</v>
      </c>
      <c r="C2140" t="s">
        <v>162</v>
      </c>
      <c r="D2140" t="s">
        <v>583</v>
      </c>
      <c r="E2140">
        <v>4.41</v>
      </c>
      <c r="F2140" t="s">
        <v>583</v>
      </c>
      <c r="G2140" s="80">
        <v>2.3199999999999998</v>
      </c>
      <c r="H2140" t="s">
        <v>583</v>
      </c>
      <c r="I2140" s="80">
        <v>0.02</v>
      </c>
      <c r="J2140" t="s">
        <v>583</v>
      </c>
      <c r="K2140" t="s">
        <v>583</v>
      </c>
      <c r="L2140">
        <f t="shared" si="330"/>
        <v>0</v>
      </c>
      <c r="M2140">
        <f t="shared" si="331"/>
        <v>0</v>
      </c>
      <c r="N2140">
        <f t="shared" si="332"/>
        <v>0</v>
      </c>
      <c r="O2140">
        <f t="shared" si="333"/>
        <v>0</v>
      </c>
      <c r="P2140">
        <f t="shared" si="334"/>
        <v>0</v>
      </c>
      <c r="Q2140">
        <f t="shared" si="335"/>
        <v>0</v>
      </c>
      <c r="R2140">
        <f t="shared" si="336"/>
        <v>0</v>
      </c>
      <c r="S2140">
        <f t="shared" si="337"/>
        <v>0</v>
      </c>
      <c r="T2140">
        <f t="shared" si="339"/>
        <v>0</v>
      </c>
      <c r="U2140">
        <f t="shared" si="338"/>
        <v>0</v>
      </c>
    </row>
    <row r="2141" spans="1:21" x14ac:dyDescent="0.25">
      <c r="A2141">
        <v>2140</v>
      </c>
      <c r="B2141" t="s">
        <v>66</v>
      </c>
      <c r="C2141" t="s">
        <v>170</v>
      </c>
      <c r="D2141">
        <v>4.1100000000000003</v>
      </c>
      <c r="E2141">
        <v>1102.1400000000001</v>
      </c>
      <c r="F2141">
        <v>34.26</v>
      </c>
      <c r="G2141">
        <v>24.53</v>
      </c>
      <c r="H2141">
        <v>1351.55</v>
      </c>
      <c r="I2141" s="80">
        <v>6221.2</v>
      </c>
      <c r="J2141">
        <v>13.66</v>
      </c>
      <c r="K2141">
        <v>284.55</v>
      </c>
      <c r="L2141">
        <f t="shared" si="330"/>
        <v>0</v>
      </c>
      <c r="M2141">
        <f t="shared" si="331"/>
        <v>0</v>
      </c>
      <c r="N2141">
        <f t="shared" si="332"/>
        <v>0</v>
      </c>
      <c r="O2141">
        <f t="shared" si="333"/>
        <v>0</v>
      </c>
      <c r="P2141">
        <f t="shared" si="334"/>
        <v>0</v>
      </c>
      <c r="Q2141">
        <f t="shared" si="335"/>
        <v>0</v>
      </c>
      <c r="R2141">
        <f t="shared" si="336"/>
        <v>0</v>
      </c>
      <c r="S2141">
        <f t="shared" si="337"/>
        <v>0</v>
      </c>
      <c r="T2141">
        <f t="shared" si="339"/>
        <v>0</v>
      </c>
      <c r="U2141">
        <f t="shared" si="338"/>
        <v>0</v>
      </c>
    </row>
    <row r="2142" spans="1:21" x14ac:dyDescent="0.25">
      <c r="A2142">
        <v>2141</v>
      </c>
      <c r="B2142" t="s">
        <v>66</v>
      </c>
      <c r="C2142" t="s">
        <v>178</v>
      </c>
      <c r="D2142">
        <v>7.78</v>
      </c>
      <c r="E2142">
        <v>1462.33</v>
      </c>
      <c r="F2142">
        <v>89.09</v>
      </c>
      <c r="G2142">
        <v>70.27</v>
      </c>
      <c r="H2142">
        <v>5648.19</v>
      </c>
      <c r="I2142" s="80">
        <v>8714.9500000000007</v>
      </c>
      <c r="J2142">
        <v>16.28</v>
      </c>
      <c r="K2142">
        <v>591.65</v>
      </c>
      <c r="L2142">
        <f t="shared" si="330"/>
        <v>0</v>
      </c>
      <c r="M2142">
        <f t="shared" si="331"/>
        <v>0</v>
      </c>
      <c r="N2142">
        <f t="shared" si="332"/>
        <v>0</v>
      </c>
      <c r="O2142">
        <f t="shared" si="333"/>
        <v>0</v>
      </c>
      <c r="P2142">
        <f t="shared" si="334"/>
        <v>0</v>
      </c>
      <c r="Q2142">
        <f t="shared" si="335"/>
        <v>0</v>
      </c>
      <c r="R2142">
        <f t="shared" si="336"/>
        <v>0</v>
      </c>
      <c r="S2142">
        <f t="shared" si="337"/>
        <v>0</v>
      </c>
      <c r="T2142">
        <f t="shared" si="339"/>
        <v>0</v>
      </c>
      <c r="U2142">
        <f t="shared" si="338"/>
        <v>0</v>
      </c>
    </row>
    <row r="2143" spans="1:21" x14ac:dyDescent="0.25">
      <c r="A2143">
        <v>2142</v>
      </c>
      <c r="B2143" t="s">
        <v>66</v>
      </c>
      <c r="C2143" t="s">
        <v>163</v>
      </c>
      <c r="D2143">
        <v>4.1100000000000003</v>
      </c>
      <c r="E2143">
        <v>1260.2</v>
      </c>
      <c r="F2143">
        <v>15.75</v>
      </c>
      <c r="G2143">
        <v>4.66</v>
      </c>
      <c r="H2143">
        <v>230.26</v>
      </c>
      <c r="I2143" s="80">
        <v>5711.36</v>
      </c>
      <c r="J2143">
        <v>7.58</v>
      </c>
      <c r="K2143">
        <v>452.74</v>
      </c>
      <c r="L2143">
        <f t="shared" si="330"/>
        <v>0</v>
      </c>
      <c r="M2143">
        <f t="shared" si="331"/>
        <v>0</v>
      </c>
      <c r="N2143">
        <f t="shared" si="332"/>
        <v>0</v>
      </c>
      <c r="O2143">
        <f t="shared" si="333"/>
        <v>0</v>
      </c>
      <c r="P2143">
        <f t="shared" si="334"/>
        <v>0</v>
      </c>
      <c r="Q2143">
        <f t="shared" si="335"/>
        <v>0</v>
      </c>
      <c r="R2143">
        <f t="shared" si="336"/>
        <v>0</v>
      </c>
      <c r="S2143">
        <f t="shared" si="337"/>
        <v>0</v>
      </c>
      <c r="T2143">
        <f t="shared" si="339"/>
        <v>0</v>
      </c>
      <c r="U2143">
        <f t="shared" si="338"/>
        <v>0</v>
      </c>
    </row>
    <row r="2144" spans="1:21" x14ac:dyDescent="0.25">
      <c r="A2144">
        <v>2143</v>
      </c>
      <c r="B2144" t="s">
        <v>66</v>
      </c>
      <c r="C2144" t="s">
        <v>181</v>
      </c>
      <c r="D2144">
        <v>2.0499999999999998</v>
      </c>
      <c r="E2144">
        <v>7616.53</v>
      </c>
      <c r="F2144">
        <v>0.96</v>
      </c>
      <c r="G2144">
        <v>4.66</v>
      </c>
      <c r="H2144">
        <v>0.99</v>
      </c>
      <c r="I2144">
        <v>2.5099999999999998</v>
      </c>
      <c r="J2144">
        <v>2.38</v>
      </c>
      <c r="K2144">
        <v>1.19</v>
      </c>
      <c r="L2144">
        <f t="shared" si="330"/>
        <v>0</v>
      </c>
      <c r="M2144">
        <f t="shared" si="331"/>
        <v>0</v>
      </c>
      <c r="N2144">
        <f t="shared" si="332"/>
        <v>0</v>
      </c>
      <c r="O2144">
        <f t="shared" si="333"/>
        <v>0</v>
      </c>
      <c r="P2144">
        <f t="shared" si="334"/>
        <v>0</v>
      </c>
      <c r="Q2144">
        <f t="shared" si="335"/>
        <v>0</v>
      </c>
      <c r="R2144">
        <f t="shared" si="336"/>
        <v>0</v>
      </c>
      <c r="S2144">
        <f t="shared" si="337"/>
        <v>0</v>
      </c>
      <c r="T2144">
        <f t="shared" si="339"/>
        <v>0</v>
      </c>
      <c r="U2144">
        <f t="shared" si="338"/>
        <v>0</v>
      </c>
    </row>
    <row r="2145" spans="1:21" x14ac:dyDescent="0.25">
      <c r="A2145">
        <v>2144</v>
      </c>
      <c r="B2145" t="s">
        <v>66</v>
      </c>
      <c r="C2145" t="s">
        <v>183</v>
      </c>
      <c r="D2145">
        <v>34.53</v>
      </c>
      <c r="E2145" s="80">
        <v>110051.69</v>
      </c>
      <c r="F2145">
        <v>866.56</v>
      </c>
      <c r="G2145">
        <v>169.76</v>
      </c>
      <c r="H2145">
        <v>10747.18</v>
      </c>
      <c r="I2145" s="80">
        <v>23278.83</v>
      </c>
      <c r="J2145">
        <v>82.78</v>
      </c>
      <c r="K2145" s="80">
        <v>14596.35</v>
      </c>
      <c r="L2145">
        <f t="shared" si="330"/>
        <v>0</v>
      </c>
      <c r="M2145">
        <f t="shared" si="331"/>
        <v>0</v>
      </c>
      <c r="N2145">
        <f t="shared" si="332"/>
        <v>0</v>
      </c>
      <c r="O2145">
        <f t="shared" si="333"/>
        <v>0</v>
      </c>
      <c r="P2145">
        <f t="shared" si="334"/>
        <v>0</v>
      </c>
      <c r="Q2145">
        <f t="shared" si="335"/>
        <v>0</v>
      </c>
      <c r="R2145">
        <f t="shared" si="336"/>
        <v>0</v>
      </c>
      <c r="S2145">
        <f t="shared" si="337"/>
        <v>0</v>
      </c>
      <c r="T2145">
        <f t="shared" si="339"/>
        <v>0</v>
      </c>
      <c r="U2145">
        <f t="shared" si="338"/>
        <v>0</v>
      </c>
    </row>
    <row r="2146" spans="1:21" x14ac:dyDescent="0.25">
      <c r="A2146">
        <v>2145</v>
      </c>
      <c r="B2146" t="s">
        <v>66</v>
      </c>
      <c r="C2146" t="s">
        <v>186</v>
      </c>
      <c r="D2146">
        <v>21.62</v>
      </c>
      <c r="E2146" s="80">
        <v>34786.300000000003</v>
      </c>
      <c r="F2146">
        <v>1108.27</v>
      </c>
      <c r="G2146">
        <v>176.26</v>
      </c>
      <c r="H2146" s="80">
        <v>22155.57</v>
      </c>
      <c r="I2146" s="80">
        <v>22427.43</v>
      </c>
      <c r="J2146">
        <v>90.18</v>
      </c>
      <c r="K2146" s="80">
        <v>23420.78</v>
      </c>
      <c r="L2146">
        <f t="shared" si="330"/>
        <v>0</v>
      </c>
      <c r="M2146">
        <f t="shared" si="331"/>
        <v>0</v>
      </c>
      <c r="N2146">
        <f t="shared" si="332"/>
        <v>0</v>
      </c>
      <c r="O2146">
        <f t="shared" si="333"/>
        <v>0</v>
      </c>
      <c r="P2146">
        <f t="shared" si="334"/>
        <v>0</v>
      </c>
      <c r="Q2146">
        <f t="shared" si="335"/>
        <v>0</v>
      </c>
      <c r="R2146">
        <f t="shared" si="336"/>
        <v>0</v>
      </c>
      <c r="S2146">
        <f t="shared" si="337"/>
        <v>0</v>
      </c>
      <c r="T2146">
        <f t="shared" si="339"/>
        <v>0</v>
      </c>
      <c r="U2146">
        <f t="shared" si="338"/>
        <v>0</v>
      </c>
    </row>
    <row r="2147" spans="1:21" x14ac:dyDescent="0.25">
      <c r="A2147">
        <v>2146</v>
      </c>
      <c r="B2147" t="s">
        <v>66</v>
      </c>
      <c r="C2147" t="s">
        <v>188</v>
      </c>
      <c r="D2147">
        <v>16.62</v>
      </c>
      <c r="E2147" s="89" t="s">
        <v>582</v>
      </c>
      <c r="F2147">
        <v>118.17</v>
      </c>
      <c r="G2147">
        <v>120.15</v>
      </c>
      <c r="H2147">
        <v>495.5</v>
      </c>
      <c r="I2147" s="80">
        <v>18373.54</v>
      </c>
      <c r="J2147">
        <v>59.65</v>
      </c>
      <c r="K2147">
        <v>4517.55</v>
      </c>
      <c r="L2147">
        <f t="shared" si="330"/>
        <v>0</v>
      </c>
      <c r="M2147">
        <f t="shared" si="331"/>
        <v>1</v>
      </c>
      <c r="N2147">
        <f t="shared" si="332"/>
        <v>0</v>
      </c>
      <c r="O2147">
        <f t="shared" si="333"/>
        <v>0</v>
      </c>
      <c r="P2147">
        <f t="shared" si="334"/>
        <v>0</v>
      </c>
      <c r="Q2147">
        <f t="shared" si="335"/>
        <v>0</v>
      </c>
      <c r="R2147">
        <f t="shared" si="336"/>
        <v>0</v>
      </c>
      <c r="S2147">
        <f t="shared" si="337"/>
        <v>0</v>
      </c>
      <c r="T2147">
        <f t="shared" si="339"/>
        <v>1</v>
      </c>
      <c r="U2147">
        <f t="shared" si="338"/>
        <v>1</v>
      </c>
    </row>
    <row r="2148" spans="1:21" x14ac:dyDescent="0.25">
      <c r="A2148">
        <v>2147</v>
      </c>
      <c r="B2148" t="s">
        <v>66</v>
      </c>
      <c r="C2148" t="s">
        <v>182</v>
      </c>
      <c r="D2148" t="s">
        <v>583</v>
      </c>
      <c r="E2148">
        <v>107.91</v>
      </c>
      <c r="F2148" t="s">
        <v>583</v>
      </c>
      <c r="G2148" s="80">
        <v>2.3199999999999998</v>
      </c>
      <c r="H2148">
        <v>0.37</v>
      </c>
      <c r="I2148">
        <v>3.15</v>
      </c>
      <c r="J2148" t="s">
        <v>583</v>
      </c>
      <c r="K2148">
        <v>0.14000000000000001</v>
      </c>
      <c r="L2148">
        <f t="shared" si="330"/>
        <v>0</v>
      </c>
      <c r="M2148">
        <f t="shared" si="331"/>
        <v>0</v>
      </c>
      <c r="N2148">
        <f t="shared" si="332"/>
        <v>0</v>
      </c>
      <c r="O2148">
        <f t="shared" si="333"/>
        <v>0</v>
      </c>
      <c r="P2148">
        <f t="shared" si="334"/>
        <v>0</v>
      </c>
      <c r="Q2148">
        <f t="shared" si="335"/>
        <v>0</v>
      </c>
      <c r="R2148">
        <f t="shared" si="336"/>
        <v>0</v>
      </c>
      <c r="S2148">
        <f t="shared" si="337"/>
        <v>0</v>
      </c>
      <c r="T2148">
        <f t="shared" si="339"/>
        <v>0</v>
      </c>
      <c r="U2148">
        <f t="shared" si="338"/>
        <v>0</v>
      </c>
    </row>
    <row r="2149" spans="1:21" x14ac:dyDescent="0.25">
      <c r="A2149">
        <v>2148</v>
      </c>
      <c r="B2149" t="s">
        <v>66</v>
      </c>
      <c r="C2149" t="s">
        <v>184</v>
      </c>
      <c r="D2149">
        <v>1180.3900000000001</v>
      </c>
      <c r="E2149">
        <v>9730.81</v>
      </c>
      <c r="F2149">
        <v>40.53</v>
      </c>
      <c r="G2149">
        <v>91.58</v>
      </c>
      <c r="H2149">
        <v>3984.57</v>
      </c>
      <c r="I2149" s="80">
        <v>18462.939999999999</v>
      </c>
      <c r="J2149">
        <v>73.709999999999994</v>
      </c>
      <c r="K2149">
        <v>5573.09</v>
      </c>
      <c r="L2149">
        <f t="shared" si="330"/>
        <v>0</v>
      </c>
      <c r="M2149">
        <f t="shared" si="331"/>
        <v>0</v>
      </c>
      <c r="N2149">
        <f t="shared" si="332"/>
        <v>0</v>
      </c>
      <c r="O2149">
        <f t="shared" si="333"/>
        <v>0</v>
      </c>
      <c r="P2149">
        <f t="shared" si="334"/>
        <v>0</v>
      </c>
      <c r="Q2149">
        <f t="shared" si="335"/>
        <v>0</v>
      </c>
      <c r="R2149">
        <f t="shared" si="336"/>
        <v>0</v>
      </c>
      <c r="S2149">
        <f t="shared" si="337"/>
        <v>0</v>
      </c>
      <c r="T2149">
        <f t="shared" si="339"/>
        <v>0</v>
      </c>
      <c r="U2149">
        <f t="shared" si="338"/>
        <v>0</v>
      </c>
    </row>
    <row r="2150" spans="1:21" x14ac:dyDescent="0.25">
      <c r="A2150">
        <v>2149</v>
      </c>
      <c r="B2150" t="s">
        <v>66</v>
      </c>
      <c r="C2150" t="s">
        <v>187</v>
      </c>
      <c r="D2150">
        <v>3354.83</v>
      </c>
      <c r="E2150">
        <v>18848.849999999999</v>
      </c>
      <c r="F2150">
        <v>606.02</v>
      </c>
      <c r="G2150">
        <v>169.76</v>
      </c>
      <c r="H2150" s="80">
        <v>29512.14</v>
      </c>
      <c r="I2150" s="80">
        <v>21639.81</v>
      </c>
      <c r="J2150">
        <v>198.09</v>
      </c>
      <c r="K2150" t="s">
        <v>582</v>
      </c>
      <c r="L2150">
        <f t="shared" si="330"/>
        <v>0</v>
      </c>
      <c r="M2150">
        <f t="shared" si="331"/>
        <v>0</v>
      </c>
      <c r="N2150">
        <f t="shared" si="332"/>
        <v>0</v>
      </c>
      <c r="O2150">
        <f t="shared" si="333"/>
        <v>0</v>
      </c>
      <c r="P2150">
        <f t="shared" si="334"/>
        <v>0</v>
      </c>
      <c r="Q2150">
        <f t="shared" si="335"/>
        <v>0</v>
      </c>
      <c r="R2150">
        <f t="shared" si="336"/>
        <v>0</v>
      </c>
      <c r="S2150">
        <f t="shared" si="337"/>
        <v>1</v>
      </c>
      <c r="T2150">
        <f t="shared" si="339"/>
        <v>1</v>
      </c>
      <c r="U2150">
        <f t="shared" si="338"/>
        <v>1</v>
      </c>
    </row>
    <row r="2151" spans="1:21" x14ac:dyDescent="0.25">
      <c r="A2151">
        <v>2150</v>
      </c>
      <c r="B2151" t="s">
        <v>66</v>
      </c>
      <c r="C2151" t="s">
        <v>189</v>
      </c>
      <c r="D2151">
        <v>296.04000000000002</v>
      </c>
      <c r="E2151">
        <v>9705.89</v>
      </c>
      <c r="F2151">
        <v>3.48</v>
      </c>
      <c r="G2151">
        <v>97.13</v>
      </c>
      <c r="H2151">
        <v>10513.97</v>
      </c>
      <c r="I2151" s="80">
        <v>6563.89</v>
      </c>
      <c r="J2151">
        <v>77.31</v>
      </c>
      <c r="K2151" s="80">
        <v>25720.68</v>
      </c>
      <c r="L2151">
        <f t="shared" si="330"/>
        <v>0</v>
      </c>
      <c r="M2151">
        <f t="shared" si="331"/>
        <v>0</v>
      </c>
      <c r="N2151">
        <f t="shared" si="332"/>
        <v>0</v>
      </c>
      <c r="O2151">
        <f t="shared" si="333"/>
        <v>0</v>
      </c>
      <c r="P2151">
        <f t="shared" si="334"/>
        <v>0</v>
      </c>
      <c r="Q2151">
        <f t="shared" si="335"/>
        <v>0</v>
      </c>
      <c r="R2151">
        <f t="shared" si="336"/>
        <v>0</v>
      </c>
      <c r="S2151">
        <f t="shared" si="337"/>
        <v>0</v>
      </c>
      <c r="T2151">
        <f t="shared" si="339"/>
        <v>0</v>
      </c>
      <c r="U2151">
        <f t="shared" si="338"/>
        <v>0</v>
      </c>
    </row>
    <row r="2152" spans="1:21" x14ac:dyDescent="0.25">
      <c r="A2152">
        <v>2151</v>
      </c>
      <c r="B2152" t="s">
        <v>566</v>
      </c>
      <c r="C2152" t="s">
        <v>162</v>
      </c>
      <c r="D2152">
        <v>13.48</v>
      </c>
      <c r="E2152" s="89" t="s">
        <v>582</v>
      </c>
      <c r="F2152">
        <v>1.68</v>
      </c>
      <c r="G2152">
        <v>102.76</v>
      </c>
      <c r="H2152">
        <v>7.32</v>
      </c>
      <c r="I2152">
        <v>274.20999999999998</v>
      </c>
      <c r="J2152">
        <v>46.23</v>
      </c>
      <c r="K2152">
        <v>47.98</v>
      </c>
      <c r="L2152">
        <f t="shared" si="330"/>
        <v>0</v>
      </c>
      <c r="M2152">
        <f t="shared" si="331"/>
        <v>1</v>
      </c>
      <c r="N2152">
        <f t="shared" si="332"/>
        <v>0</v>
      </c>
      <c r="O2152">
        <f t="shared" si="333"/>
        <v>0</v>
      </c>
      <c r="P2152">
        <f t="shared" si="334"/>
        <v>0</v>
      </c>
      <c r="Q2152">
        <f t="shared" si="335"/>
        <v>0</v>
      </c>
      <c r="R2152">
        <f t="shared" si="336"/>
        <v>0</v>
      </c>
      <c r="S2152">
        <f t="shared" si="337"/>
        <v>0</v>
      </c>
      <c r="T2152">
        <f t="shared" si="339"/>
        <v>1</v>
      </c>
      <c r="U2152">
        <f t="shared" si="338"/>
        <v>1</v>
      </c>
    </row>
    <row r="2153" spans="1:21" x14ac:dyDescent="0.25">
      <c r="A2153">
        <v>2152</v>
      </c>
      <c r="B2153" t="s">
        <v>566</v>
      </c>
      <c r="C2153" t="s">
        <v>170</v>
      </c>
      <c r="D2153">
        <v>53.2</v>
      </c>
      <c r="E2153" s="89" t="s">
        <v>582</v>
      </c>
      <c r="F2153">
        <v>142.43</v>
      </c>
      <c r="G2153">
        <v>120.15</v>
      </c>
      <c r="H2153">
        <v>3160.9</v>
      </c>
      <c r="I2153" s="80">
        <v>21073.7</v>
      </c>
      <c r="J2153">
        <v>63.11</v>
      </c>
      <c r="K2153">
        <v>2383.91</v>
      </c>
      <c r="L2153">
        <f t="shared" si="330"/>
        <v>0</v>
      </c>
      <c r="M2153">
        <f t="shared" si="331"/>
        <v>1</v>
      </c>
      <c r="N2153">
        <f t="shared" si="332"/>
        <v>0</v>
      </c>
      <c r="O2153">
        <f t="shared" si="333"/>
        <v>0</v>
      </c>
      <c r="P2153">
        <f t="shared" si="334"/>
        <v>0</v>
      </c>
      <c r="Q2153">
        <f t="shared" si="335"/>
        <v>0</v>
      </c>
      <c r="R2153">
        <f t="shared" si="336"/>
        <v>0</v>
      </c>
      <c r="S2153">
        <f t="shared" si="337"/>
        <v>0</v>
      </c>
      <c r="T2153">
        <f t="shared" si="339"/>
        <v>1</v>
      </c>
      <c r="U2153">
        <f t="shared" si="338"/>
        <v>1</v>
      </c>
    </row>
    <row r="2154" spans="1:21" x14ac:dyDescent="0.25">
      <c r="A2154">
        <v>2153</v>
      </c>
      <c r="B2154" t="s">
        <v>566</v>
      </c>
      <c r="C2154" t="s">
        <v>178</v>
      </c>
      <c r="D2154">
        <v>96.1</v>
      </c>
      <c r="E2154" s="89" t="s">
        <v>582</v>
      </c>
      <c r="F2154">
        <v>789.16</v>
      </c>
      <c r="G2154">
        <v>156.94</v>
      </c>
      <c r="H2154">
        <v>14552.89</v>
      </c>
      <c r="I2154" s="80">
        <v>22907.279999999999</v>
      </c>
      <c r="J2154">
        <v>80.95</v>
      </c>
      <c r="K2154">
        <v>4151.8100000000004</v>
      </c>
      <c r="L2154">
        <f t="shared" si="330"/>
        <v>0</v>
      </c>
      <c r="M2154">
        <f t="shared" si="331"/>
        <v>1</v>
      </c>
      <c r="N2154">
        <f t="shared" si="332"/>
        <v>0</v>
      </c>
      <c r="O2154">
        <f t="shared" si="333"/>
        <v>0</v>
      </c>
      <c r="P2154">
        <f t="shared" si="334"/>
        <v>0</v>
      </c>
      <c r="Q2154">
        <f t="shared" si="335"/>
        <v>0</v>
      </c>
      <c r="R2154">
        <f t="shared" si="336"/>
        <v>0</v>
      </c>
      <c r="S2154">
        <f t="shared" si="337"/>
        <v>0</v>
      </c>
      <c r="T2154">
        <f t="shared" si="339"/>
        <v>1</v>
      </c>
      <c r="U2154">
        <f t="shared" si="338"/>
        <v>1</v>
      </c>
    </row>
    <row r="2155" spans="1:21" x14ac:dyDescent="0.25">
      <c r="A2155">
        <v>2154</v>
      </c>
      <c r="B2155" t="s">
        <v>566</v>
      </c>
      <c r="C2155" t="s">
        <v>163</v>
      </c>
      <c r="D2155">
        <v>186.42</v>
      </c>
      <c r="E2155" s="89" t="s">
        <v>582</v>
      </c>
      <c r="F2155">
        <v>509.54</v>
      </c>
      <c r="G2155">
        <v>189.46</v>
      </c>
      <c r="H2155" s="80">
        <v>81556.05</v>
      </c>
      <c r="I2155" s="80">
        <v>23535.57</v>
      </c>
      <c r="J2155">
        <v>118.99</v>
      </c>
      <c r="K2155" t="s">
        <v>582</v>
      </c>
      <c r="L2155">
        <f t="shared" si="330"/>
        <v>0</v>
      </c>
      <c r="M2155">
        <f t="shared" si="331"/>
        <v>1</v>
      </c>
      <c r="N2155">
        <f t="shared" si="332"/>
        <v>0</v>
      </c>
      <c r="O2155">
        <f t="shared" si="333"/>
        <v>0</v>
      </c>
      <c r="P2155">
        <f t="shared" si="334"/>
        <v>0</v>
      </c>
      <c r="Q2155">
        <f t="shared" si="335"/>
        <v>0</v>
      </c>
      <c r="R2155">
        <f t="shared" si="336"/>
        <v>0</v>
      </c>
      <c r="S2155">
        <f t="shared" si="337"/>
        <v>1</v>
      </c>
      <c r="T2155">
        <f t="shared" si="339"/>
        <v>2</v>
      </c>
      <c r="U2155">
        <f t="shared" si="338"/>
        <v>1</v>
      </c>
    </row>
    <row r="2156" spans="1:21" x14ac:dyDescent="0.25">
      <c r="A2156">
        <v>2155</v>
      </c>
      <c r="B2156" t="s">
        <v>566</v>
      </c>
      <c r="C2156" t="s">
        <v>181</v>
      </c>
      <c r="D2156">
        <v>18.25</v>
      </c>
      <c r="E2156" s="89" t="s">
        <v>582</v>
      </c>
      <c r="F2156">
        <v>1.27</v>
      </c>
      <c r="G2156">
        <v>91.58</v>
      </c>
      <c r="H2156">
        <v>256.32</v>
      </c>
      <c r="I2156">
        <v>1464.36</v>
      </c>
      <c r="J2156">
        <v>39.79</v>
      </c>
      <c r="K2156">
        <v>247.6</v>
      </c>
      <c r="L2156">
        <f t="shared" si="330"/>
        <v>0</v>
      </c>
      <c r="M2156">
        <f t="shared" si="331"/>
        <v>1</v>
      </c>
      <c r="N2156">
        <f t="shared" si="332"/>
        <v>0</v>
      </c>
      <c r="O2156">
        <f t="shared" si="333"/>
        <v>0</v>
      </c>
      <c r="P2156">
        <f t="shared" si="334"/>
        <v>0</v>
      </c>
      <c r="Q2156">
        <f t="shared" si="335"/>
        <v>0</v>
      </c>
      <c r="R2156">
        <f t="shared" si="336"/>
        <v>0</v>
      </c>
      <c r="S2156">
        <f t="shared" si="337"/>
        <v>0</v>
      </c>
      <c r="T2156">
        <f t="shared" si="339"/>
        <v>1</v>
      </c>
      <c r="U2156">
        <f t="shared" si="338"/>
        <v>1</v>
      </c>
    </row>
    <row r="2157" spans="1:21" x14ac:dyDescent="0.25">
      <c r="A2157">
        <v>2156</v>
      </c>
      <c r="B2157" t="s">
        <v>566</v>
      </c>
      <c r="C2157" t="s">
        <v>183</v>
      </c>
      <c r="D2157">
        <v>31.63</v>
      </c>
      <c r="E2157" s="89" t="s">
        <v>582</v>
      </c>
      <c r="F2157">
        <v>382.74</v>
      </c>
      <c r="G2157">
        <v>156.94</v>
      </c>
      <c r="H2157">
        <v>4451.8</v>
      </c>
      <c r="I2157" s="80">
        <v>22173.040000000001</v>
      </c>
      <c r="J2157">
        <v>93.93</v>
      </c>
      <c r="K2157">
        <v>6468.33</v>
      </c>
      <c r="L2157">
        <f t="shared" si="330"/>
        <v>0</v>
      </c>
      <c r="M2157">
        <f t="shared" si="331"/>
        <v>1</v>
      </c>
      <c r="N2157">
        <f t="shared" si="332"/>
        <v>0</v>
      </c>
      <c r="O2157">
        <f t="shared" si="333"/>
        <v>0</v>
      </c>
      <c r="P2157">
        <f t="shared" si="334"/>
        <v>0</v>
      </c>
      <c r="Q2157">
        <f t="shared" si="335"/>
        <v>0</v>
      </c>
      <c r="R2157">
        <f t="shared" si="336"/>
        <v>0</v>
      </c>
      <c r="S2157">
        <f t="shared" si="337"/>
        <v>0</v>
      </c>
      <c r="T2157">
        <f t="shared" si="339"/>
        <v>1</v>
      </c>
      <c r="U2157">
        <f t="shared" si="338"/>
        <v>1</v>
      </c>
    </row>
    <row r="2158" spans="1:21" x14ac:dyDescent="0.25">
      <c r="A2158">
        <v>2157</v>
      </c>
      <c r="B2158" t="s">
        <v>566</v>
      </c>
      <c r="C2158" t="s">
        <v>186</v>
      </c>
      <c r="D2158">
        <v>36.49</v>
      </c>
      <c r="E2158" s="89" t="s">
        <v>582</v>
      </c>
      <c r="F2158">
        <v>1756.31</v>
      </c>
      <c r="G2158">
        <v>176.26</v>
      </c>
      <c r="H2158" s="80">
        <v>24286.04</v>
      </c>
      <c r="I2158" s="80">
        <v>24410.47</v>
      </c>
      <c r="J2158">
        <v>105.35</v>
      </c>
      <c r="K2158" s="80">
        <v>19132.650000000001</v>
      </c>
      <c r="L2158">
        <f t="shared" si="330"/>
        <v>0</v>
      </c>
      <c r="M2158">
        <f t="shared" si="331"/>
        <v>1</v>
      </c>
      <c r="N2158">
        <f t="shared" si="332"/>
        <v>0</v>
      </c>
      <c r="O2158">
        <f t="shared" si="333"/>
        <v>0</v>
      </c>
      <c r="P2158">
        <f t="shared" si="334"/>
        <v>0</v>
      </c>
      <c r="Q2158">
        <f t="shared" si="335"/>
        <v>0</v>
      </c>
      <c r="R2158">
        <f t="shared" si="336"/>
        <v>0</v>
      </c>
      <c r="S2158">
        <f t="shared" si="337"/>
        <v>0</v>
      </c>
      <c r="T2158">
        <f t="shared" si="339"/>
        <v>1</v>
      </c>
      <c r="U2158">
        <f t="shared" si="338"/>
        <v>1</v>
      </c>
    </row>
    <row r="2159" spans="1:21" x14ac:dyDescent="0.25">
      <c r="A2159">
        <v>2158</v>
      </c>
      <c r="B2159" t="s">
        <v>566</v>
      </c>
      <c r="C2159" t="s">
        <v>188</v>
      </c>
      <c r="D2159">
        <v>40.51</v>
      </c>
      <c r="E2159" s="89" t="s">
        <v>582</v>
      </c>
      <c r="F2159">
        <v>499.39</v>
      </c>
      <c r="G2159">
        <v>230.51</v>
      </c>
      <c r="H2159" s="80">
        <v>16921.57</v>
      </c>
      <c r="I2159" s="80">
        <v>23471.7</v>
      </c>
      <c r="J2159">
        <v>149.26</v>
      </c>
      <c r="K2159" t="s">
        <v>582</v>
      </c>
      <c r="L2159">
        <f t="shared" si="330"/>
        <v>0</v>
      </c>
      <c r="M2159">
        <f t="shared" si="331"/>
        <v>1</v>
      </c>
      <c r="N2159">
        <f t="shared" si="332"/>
        <v>0</v>
      </c>
      <c r="O2159">
        <f t="shared" si="333"/>
        <v>0</v>
      </c>
      <c r="P2159">
        <f t="shared" si="334"/>
        <v>0</v>
      </c>
      <c r="Q2159">
        <f t="shared" si="335"/>
        <v>0</v>
      </c>
      <c r="R2159">
        <f t="shared" si="336"/>
        <v>0</v>
      </c>
      <c r="S2159">
        <f t="shared" si="337"/>
        <v>1</v>
      </c>
      <c r="T2159">
        <f t="shared" si="339"/>
        <v>2</v>
      </c>
      <c r="U2159">
        <f t="shared" si="338"/>
        <v>1</v>
      </c>
    </row>
    <row r="2160" spans="1:21" x14ac:dyDescent="0.25">
      <c r="A2160">
        <v>2159</v>
      </c>
      <c r="B2160" t="s">
        <v>566</v>
      </c>
      <c r="C2160" t="s">
        <v>182</v>
      </c>
      <c r="D2160" t="s">
        <v>583</v>
      </c>
      <c r="E2160">
        <v>797.39</v>
      </c>
      <c r="F2160">
        <v>25.07</v>
      </c>
      <c r="G2160">
        <v>13.6</v>
      </c>
      <c r="H2160">
        <v>0.12</v>
      </c>
      <c r="I2160">
        <v>0.21</v>
      </c>
      <c r="J2160" t="s">
        <v>583</v>
      </c>
      <c r="K2160" s="80">
        <v>7.0000000000000007E-2</v>
      </c>
      <c r="L2160">
        <f t="shared" si="330"/>
        <v>0</v>
      </c>
      <c r="M2160">
        <f t="shared" si="331"/>
        <v>0</v>
      </c>
      <c r="N2160">
        <f t="shared" si="332"/>
        <v>0</v>
      </c>
      <c r="O2160">
        <f t="shared" si="333"/>
        <v>0</v>
      </c>
      <c r="P2160">
        <f t="shared" si="334"/>
        <v>0</v>
      </c>
      <c r="Q2160">
        <f t="shared" si="335"/>
        <v>0</v>
      </c>
      <c r="R2160">
        <f t="shared" si="336"/>
        <v>0</v>
      </c>
      <c r="S2160">
        <f t="shared" si="337"/>
        <v>0</v>
      </c>
      <c r="T2160">
        <f t="shared" si="339"/>
        <v>0</v>
      </c>
      <c r="U2160">
        <f t="shared" si="338"/>
        <v>0</v>
      </c>
    </row>
    <row r="2161" spans="1:21" x14ac:dyDescent="0.25">
      <c r="A2161">
        <v>2160</v>
      </c>
      <c r="B2161" t="s">
        <v>566</v>
      </c>
      <c r="C2161" t="s">
        <v>184</v>
      </c>
      <c r="D2161">
        <v>26.96</v>
      </c>
      <c r="E2161">
        <v>19764.419999999998</v>
      </c>
      <c r="F2161">
        <v>124.98</v>
      </c>
      <c r="G2161">
        <v>97.13</v>
      </c>
      <c r="H2161">
        <v>9281.2000000000007</v>
      </c>
      <c r="I2161" s="80">
        <v>21443.34</v>
      </c>
      <c r="J2161">
        <v>49.52</v>
      </c>
      <c r="K2161">
        <v>1139.27</v>
      </c>
      <c r="L2161">
        <f t="shared" si="330"/>
        <v>0</v>
      </c>
      <c r="M2161">
        <f t="shared" si="331"/>
        <v>0</v>
      </c>
      <c r="N2161">
        <f t="shared" si="332"/>
        <v>0</v>
      </c>
      <c r="O2161">
        <f t="shared" si="333"/>
        <v>0</v>
      </c>
      <c r="P2161">
        <f t="shared" si="334"/>
        <v>0</v>
      </c>
      <c r="Q2161">
        <f t="shared" si="335"/>
        <v>0</v>
      </c>
      <c r="R2161">
        <f t="shared" si="336"/>
        <v>0</v>
      </c>
      <c r="S2161">
        <f t="shared" si="337"/>
        <v>0</v>
      </c>
      <c r="T2161">
        <f t="shared" si="339"/>
        <v>0</v>
      </c>
      <c r="U2161">
        <f t="shared" si="338"/>
        <v>0</v>
      </c>
    </row>
    <row r="2162" spans="1:21" x14ac:dyDescent="0.25">
      <c r="A2162">
        <v>2161</v>
      </c>
      <c r="B2162" t="s">
        <v>566</v>
      </c>
      <c r="C2162" t="s">
        <v>187</v>
      </c>
      <c r="D2162">
        <v>209.74</v>
      </c>
      <c r="E2162" s="80">
        <v>28425.759999999998</v>
      </c>
      <c r="F2162">
        <v>170.35</v>
      </c>
      <c r="G2162">
        <v>182.83</v>
      </c>
      <c r="H2162" s="80">
        <v>36549.019999999997</v>
      </c>
      <c r="I2162" s="80">
        <v>21331.77</v>
      </c>
      <c r="J2162">
        <v>88.32</v>
      </c>
      <c r="K2162">
        <v>4603.2299999999996</v>
      </c>
      <c r="L2162">
        <f t="shared" si="330"/>
        <v>0</v>
      </c>
      <c r="M2162">
        <f t="shared" si="331"/>
        <v>0</v>
      </c>
      <c r="N2162">
        <f t="shared" si="332"/>
        <v>0</v>
      </c>
      <c r="O2162">
        <f t="shared" si="333"/>
        <v>0</v>
      </c>
      <c r="P2162">
        <f t="shared" si="334"/>
        <v>0</v>
      </c>
      <c r="Q2162">
        <f t="shared" si="335"/>
        <v>0</v>
      </c>
      <c r="R2162">
        <f t="shared" si="336"/>
        <v>0</v>
      </c>
      <c r="S2162">
        <f t="shared" si="337"/>
        <v>0</v>
      </c>
      <c r="T2162">
        <f t="shared" si="339"/>
        <v>0</v>
      </c>
      <c r="U2162">
        <f t="shared" si="338"/>
        <v>0</v>
      </c>
    </row>
    <row r="2163" spans="1:21" x14ac:dyDescent="0.25">
      <c r="A2163">
        <v>2162</v>
      </c>
      <c r="B2163" t="s">
        <v>566</v>
      </c>
      <c r="C2163" t="s">
        <v>189</v>
      </c>
      <c r="D2163">
        <v>19.920000000000002</v>
      </c>
      <c r="E2163">
        <v>8758.59</v>
      </c>
      <c r="F2163">
        <v>34.119999999999997</v>
      </c>
      <c r="G2163">
        <v>108.48</v>
      </c>
      <c r="H2163" s="80">
        <v>18297.05</v>
      </c>
      <c r="I2163" s="80">
        <v>15932.15</v>
      </c>
      <c r="J2163">
        <v>61.38</v>
      </c>
      <c r="K2163">
        <v>6113.53</v>
      </c>
      <c r="L2163">
        <f t="shared" si="330"/>
        <v>0</v>
      </c>
      <c r="M2163">
        <f t="shared" si="331"/>
        <v>0</v>
      </c>
      <c r="N2163">
        <f t="shared" si="332"/>
        <v>0</v>
      </c>
      <c r="O2163">
        <f t="shared" si="333"/>
        <v>0</v>
      </c>
      <c r="P2163">
        <f t="shared" si="334"/>
        <v>0</v>
      </c>
      <c r="Q2163">
        <f t="shared" si="335"/>
        <v>0</v>
      </c>
      <c r="R2163">
        <f t="shared" si="336"/>
        <v>0</v>
      </c>
      <c r="S2163">
        <f t="shared" si="337"/>
        <v>0</v>
      </c>
      <c r="T2163">
        <f t="shared" si="339"/>
        <v>0</v>
      </c>
      <c r="U2163">
        <f t="shared" si="338"/>
        <v>0</v>
      </c>
    </row>
    <row r="2164" spans="1:21" x14ac:dyDescent="0.25">
      <c r="A2164">
        <v>2163</v>
      </c>
      <c r="B2164">
        <v>1087</v>
      </c>
      <c r="C2164" t="s">
        <v>162</v>
      </c>
      <c r="D2164">
        <v>19.920000000000002</v>
      </c>
      <c r="E2164" s="89" t="s">
        <v>582</v>
      </c>
      <c r="F2164">
        <v>1.73</v>
      </c>
      <c r="G2164">
        <v>97.13</v>
      </c>
      <c r="H2164">
        <v>14.65</v>
      </c>
      <c r="I2164">
        <v>748.07</v>
      </c>
      <c r="J2164">
        <v>57.94</v>
      </c>
      <c r="K2164">
        <v>256.12</v>
      </c>
      <c r="L2164">
        <f t="shared" si="330"/>
        <v>0</v>
      </c>
      <c r="M2164">
        <f t="shared" si="331"/>
        <v>1</v>
      </c>
      <c r="N2164">
        <f t="shared" si="332"/>
        <v>0</v>
      </c>
      <c r="O2164">
        <f t="shared" si="333"/>
        <v>0</v>
      </c>
      <c r="P2164">
        <f t="shared" si="334"/>
        <v>0</v>
      </c>
      <c r="Q2164">
        <f t="shared" si="335"/>
        <v>0</v>
      </c>
      <c r="R2164">
        <f t="shared" si="336"/>
        <v>0</v>
      </c>
      <c r="S2164">
        <f t="shared" si="337"/>
        <v>0</v>
      </c>
      <c r="T2164">
        <f t="shared" si="339"/>
        <v>1</v>
      </c>
      <c r="U2164">
        <f t="shared" si="338"/>
        <v>1</v>
      </c>
    </row>
    <row r="2165" spans="1:21" x14ac:dyDescent="0.25">
      <c r="A2165">
        <v>2164</v>
      </c>
      <c r="B2165">
        <v>1087</v>
      </c>
      <c r="C2165" t="s">
        <v>170</v>
      </c>
      <c r="D2165">
        <v>34.53</v>
      </c>
      <c r="E2165" s="89" t="s">
        <v>582</v>
      </c>
      <c r="F2165">
        <v>563.52</v>
      </c>
      <c r="G2165">
        <v>209.72</v>
      </c>
      <c r="H2165">
        <v>11056.54</v>
      </c>
      <c r="I2165" s="80">
        <v>24356.35</v>
      </c>
      <c r="J2165">
        <v>109.21</v>
      </c>
      <c r="K2165">
        <v>7257.75</v>
      </c>
      <c r="L2165">
        <f t="shared" si="330"/>
        <v>0</v>
      </c>
      <c r="M2165">
        <f t="shared" si="331"/>
        <v>1</v>
      </c>
      <c r="N2165">
        <f t="shared" si="332"/>
        <v>0</v>
      </c>
      <c r="O2165">
        <f t="shared" si="333"/>
        <v>0</v>
      </c>
      <c r="P2165">
        <f t="shared" si="334"/>
        <v>0</v>
      </c>
      <c r="Q2165">
        <f t="shared" si="335"/>
        <v>0</v>
      </c>
      <c r="R2165">
        <f t="shared" si="336"/>
        <v>0</v>
      </c>
      <c r="S2165">
        <f t="shared" si="337"/>
        <v>0</v>
      </c>
      <c r="T2165">
        <f t="shared" si="339"/>
        <v>1</v>
      </c>
      <c r="U2165">
        <f t="shared" si="338"/>
        <v>1</v>
      </c>
    </row>
    <row r="2166" spans="1:21" x14ac:dyDescent="0.25">
      <c r="A2166">
        <v>2165</v>
      </c>
      <c r="B2166">
        <v>1087</v>
      </c>
      <c r="C2166" t="s">
        <v>178</v>
      </c>
      <c r="D2166">
        <v>46.74</v>
      </c>
      <c r="E2166" s="80">
        <v>87831.39</v>
      </c>
      <c r="F2166">
        <v>1473.43</v>
      </c>
      <c r="G2166">
        <v>266.27</v>
      </c>
      <c r="H2166" t="s">
        <v>582</v>
      </c>
      <c r="I2166" s="80">
        <v>24016.35</v>
      </c>
      <c r="J2166">
        <v>111.15</v>
      </c>
      <c r="K2166" s="80">
        <v>22739.56</v>
      </c>
      <c r="L2166">
        <f t="shared" si="330"/>
        <v>0</v>
      </c>
      <c r="M2166">
        <f t="shared" si="331"/>
        <v>0</v>
      </c>
      <c r="N2166">
        <f t="shared" si="332"/>
        <v>0</v>
      </c>
      <c r="O2166">
        <f t="shared" si="333"/>
        <v>0</v>
      </c>
      <c r="P2166">
        <f t="shared" si="334"/>
        <v>1</v>
      </c>
      <c r="Q2166">
        <f t="shared" si="335"/>
        <v>0</v>
      </c>
      <c r="R2166">
        <f t="shared" si="336"/>
        <v>0</v>
      </c>
      <c r="S2166">
        <f t="shared" si="337"/>
        <v>0</v>
      </c>
      <c r="T2166">
        <f t="shared" si="339"/>
        <v>1</v>
      </c>
      <c r="U2166">
        <f t="shared" si="338"/>
        <v>1</v>
      </c>
    </row>
    <row r="2167" spans="1:21" x14ac:dyDescent="0.25">
      <c r="A2167">
        <v>2166</v>
      </c>
      <c r="B2167">
        <v>1087</v>
      </c>
      <c r="C2167" t="s">
        <v>163</v>
      </c>
      <c r="D2167">
        <v>44.64</v>
      </c>
      <c r="E2167" s="80">
        <v>122996.38</v>
      </c>
      <c r="F2167">
        <v>760.67</v>
      </c>
      <c r="G2167">
        <v>209.72</v>
      </c>
      <c r="H2167" s="80">
        <v>96036.5</v>
      </c>
      <c r="I2167" s="80">
        <v>23920.75</v>
      </c>
      <c r="J2167">
        <v>139.02000000000001</v>
      </c>
      <c r="K2167" t="s">
        <v>582</v>
      </c>
      <c r="L2167">
        <f t="shared" si="330"/>
        <v>0</v>
      </c>
      <c r="M2167">
        <f t="shared" si="331"/>
        <v>0</v>
      </c>
      <c r="N2167">
        <f t="shared" si="332"/>
        <v>0</v>
      </c>
      <c r="O2167">
        <f t="shared" si="333"/>
        <v>0</v>
      </c>
      <c r="P2167">
        <f t="shared" si="334"/>
        <v>0</v>
      </c>
      <c r="Q2167">
        <f t="shared" si="335"/>
        <v>0</v>
      </c>
      <c r="R2167">
        <f t="shared" si="336"/>
        <v>0</v>
      </c>
      <c r="S2167">
        <f t="shared" si="337"/>
        <v>1</v>
      </c>
      <c r="T2167">
        <f t="shared" si="339"/>
        <v>1</v>
      </c>
      <c r="U2167">
        <f t="shared" si="338"/>
        <v>1</v>
      </c>
    </row>
    <row r="2168" spans="1:21" x14ac:dyDescent="0.25">
      <c r="A2168">
        <v>2167</v>
      </c>
      <c r="B2168">
        <v>1087</v>
      </c>
      <c r="C2168" t="s">
        <v>181</v>
      </c>
      <c r="D2168">
        <v>26.96</v>
      </c>
      <c r="E2168" s="89" t="s">
        <v>582</v>
      </c>
      <c r="F2168">
        <v>2.34</v>
      </c>
      <c r="G2168">
        <v>144.38999999999999</v>
      </c>
      <c r="H2168">
        <v>479.57</v>
      </c>
      <c r="I2168" s="80">
        <v>5348.28</v>
      </c>
      <c r="J2168">
        <v>66.61</v>
      </c>
      <c r="K2168">
        <v>802.37</v>
      </c>
      <c r="L2168">
        <f t="shared" si="330"/>
        <v>0</v>
      </c>
      <c r="M2168">
        <f t="shared" si="331"/>
        <v>1</v>
      </c>
      <c r="N2168">
        <f t="shared" si="332"/>
        <v>0</v>
      </c>
      <c r="O2168">
        <f t="shared" si="333"/>
        <v>0</v>
      </c>
      <c r="P2168">
        <f t="shared" si="334"/>
        <v>0</v>
      </c>
      <c r="Q2168">
        <f t="shared" si="335"/>
        <v>0</v>
      </c>
      <c r="R2168">
        <f t="shared" si="336"/>
        <v>0</v>
      </c>
      <c r="S2168">
        <f t="shared" si="337"/>
        <v>0</v>
      </c>
      <c r="T2168">
        <f t="shared" si="339"/>
        <v>1</v>
      </c>
      <c r="U2168">
        <f t="shared" si="338"/>
        <v>1</v>
      </c>
    </row>
    <row r="2169" spans="1:21" x14ac:dyDescent="0.25">
      <c r="A2169">
        <v>2168</v>
      </c>
      <c r="B2169">
        <v>1087</v>
      </c>
      <c r="C2169" t="s">
        <v>183</v>
      </c>
      <c r="D2169">
        <v>40.51</v>
      </c>
      <c r="E2169" s="89" t="s">
        <v>582</v>
      </c>
      <c r="F2169">
        <v>265.20999999999998</v>
      </c>
      <c r="G2169">
        <v>196.15</v>
      </c>
      <c r="H2169">
        <v>11729.1</v>
      </c>
      <c r="I2169" s="80">
        <v>24532.58</v>
      </c>
      <c r="J2169">
        <v>126.92</v>
      </c>
      <c r="K2169" s="80">
        <v>18064.150000000001</v>
      </c>
      <c r="L2169">
        <f t="shared" si="330"/>
        <v>0</v>
      </c>
      <c r="M2169">
        <f t="shared" si="331"/>
        <v>1</v>
      </c>
      <c r="N2169">
        <f t="shared" si="332"/>
        <v>0</v>
      </c>
      <c r="O2169">
        <f t="shared" si="333"/>
        <v>0</v>
      </c>
      <c r="P2169">
        <f t="shared" si="334"/>
        <v>0</v>
      </c>
      <c r="Q2169">
        <f t="shared" si="335"/>
        <v>0</v>
      </c>
      <c r="R2169">
        <f t="shared" si="336"/>
        <v>0</v>
      </c>
      <c r="S2169">
        <f t="shared" si="337"/>
        <v>0</v>
      </c>
      <c r="T2169">
        <f t="shared" si="339"/>
        <v>1</v>
      </c>
      <c r="U2169">
        <f t="shared" si="338"/>
        <v>1</v>
      </c>
    </row>
    <row r="2170" spans="1:21" x14ac:dyDescent="0.25">
      <c r="A2170">
        <v>2169</v>
      </c>
      <c r="B2170">
        <v>1087</v>
      </c>
      <c r="C2170" t="s">
        <v>186</v>
      </c>
      <c r="D2170">
        <v>29.74</v>
      </c>
      <c r="E2170" s="89" t="s">
        <v>582</v>
      </c>
      <c r="F2170">
        <v>1159.76</v>
      </c>
      <c r="G2170">
        <v>251.8</v>
      </c>
      <c r="H2170" s="80">
        <v>76440.08</v>
      </c>
      <c r="I2170" s="80">
        <v>25000.16</v>
      </c>
      <c r="J2170">
        <v>134.96</v>
      </c>
      <c r="K2170" t="s">
        <v>582</v>
      </c>
      <c r="L2170">
        <f t="shared" si="330"/>
        <v>0</v>
      </c>
      <c r="M2170">
        <f t="shared" si="331"/>
        <v>1</v>
      </c>
      <c r="N2170">
        <f t="shared" si="332"/>
        <v>0</v>
      </c>
      <c r="O2170">
        <f t="shared" si="333"/>
        <v>0</v>
      </c>
      <c r="P2170">
        <f t="shared" si="334"/>
        <v>0</v>
      </c>
      <c r="Q2170">
        <f t="shared" si="335"/>
        <v>0</v>
      </c>
      <c r="R2170">
        <f t="shared" si="336"/>
        <v>0</v>
      </c>
      <c r="S2170">
        <f t="shared" si="337"/>
        <v>1</v>
      </c>
      <c r="T2170">
        <f t="shared" si="339"/>
        <v>2</v>
      </c>
      <c r="U2170">
        <f t="shared" si="338"/>
        <v>1</v>
      </c>
    </row>
    <row r="2171" spans="1:21" x14ac:dyDescent="0.25">
      <c r="A2171">
        <v>2170</v>
      </c>
      <c r="B2171">
        <v>1087</v>
      </c>
      <c r="C2171" t="s">
        <v>188</v>
      </c>
      <c r="D2171">
        <v>34.53</v>
      </c>
      <c r="E2171" s="89" t="s">
        <v>582</v>
      </c>
      <c r="F2171">
        <v>416.66</v>
      </c>
      <c r="G2171">
        <v>202.91</v>
      </c>
      <c r="H2171" s="80">
        <v>24959.02</v>
      </c>
      <c r="I2171" s="80">
        <v>23164.31</v>
      </c>
      <c r="J2171">
        <v>126.92</v>
      </c>
      <c r="K2171" t="s">
        <v>582</v>
      </c>
      <c r="L2171">
        <f t="shared" si="330"/>
        <v>0</v>
      </c>
      <c r="M2171">
        <f t="shared" si="331"/>
        <v>1</v>
      </c>
      <c r="N2171">
        <f t="shared" si="332"/>
        <v>0</v>
      </c>
      <c r="O2171">
        <f t="shared" si="333"/>
        <v>0</v>
      </c>
      <c r="P2171">
        <f t="shared" si="334"/>
        <v>0</v>
      </c>
      <c r="Q2171">
        <f t="shared" si="335"/>
        <v>0</v>
      </c>
      <c r="R2171">
        <f t="shared" si="336"/>
        <v>0</v>
      </c>
      <c r="S2171">
        <f t="shared" si="337"/>
        <v>1</v>
      </c>
      <c r="T2171">
        <f t="shared" si="339"/>
        <v>2</v>
      </c>
      <c r="U2171">
        <f t="shared" si="338"/>
        <v>1</v>
      </c>
    </row>
    <row r="2172" spans="1:21" x14ac:dyDescent="0.25">
      <c r="A2172">
        <v>2171</v>
      </c>
      <c r="B2172">
        <v>1087</v>
      </c>
      <c r="C2172" t="s">
        <v>182</v>
      </c>
      <c r="D2172">
        <v>1.18</v>
      </c>
      <c r="E2172">
        <v>8636.27</v>
      </c>
      <c r="F2172">
        <v>0.57999999999999996</v>
      </c>
      <c r="G2172">
        <v>28.51</v>
      </c>
      <c r="H2172">
        <v>27.75</v>
      </c>
      <c r="I2172">
        <v>870.02</v>
      </c>
      <c r="J2172">
        <v>4.32</v>
      </c>
      <c r="K2172">
        <v>7.34</v>
      </c>
      <c r="L2172">
        <f t="shared" si="330"/>
        <v>0</v>
      </c>
      <c r="M2172">
        <f t="shared" si="331"/>
        <v>0</v>
      </c>
      <c r="N2172">
        <f t="shared" si="332"/>
        <v>0</v>
      </c>
      <c r="O2172">
        <f t="shared" si="333"/>
        <v>0</v>
      </c>
      <c r="P2172">
        <f t="shared" si="334"/>
        <v>0</v>
      </c>
      <c r="Q2172">
        <f t="shared" si="335"/>
        <v>0</v>
      </c>
      <c r="R2172">
        <f t="shared" si="336"/>
        <v>0</v>
      </c>
      <c r="S2172">
        <f t="shared" si="337"/>
        <v>0</v>
      </c>
      <c r="T2172">
        <f t="shared" si="339"/>
        <v>0</v>
      </c>
      <c r="U2172">
        <f t="shared" si="338"/>
        <v>0</v>
      </c>
    </row>
    <row r="2173" spans="1:21" x14ac:dyDescent="0.25">
      <c r="A2173">
        <v>2172</v>
      </c>
      <c r="B2173">
        <v>1087</v>
      </c>
      <c r="C2173" t="s">
        <v>184</v>
      </c>
      <c r="D2173">
        <v>16.62</v>
      </c>
      <c r="E2173">
        <v>18592.59</v>
      </c>
      <c r="F2173">
        <v>194.5</v>
      </c>
      <c r="G2173">
        <v>120.15</v>
      </c>
      <c r="H2173">
        <v>7743.63</v>
      </c>
      <c r="I2173" s="80">
        <v>20334.48</v>
      </c>
      <c r="J2173">
        <v>46.23</v>
      </c>
      <c r="K2173">
        <v>2237.25</v>
      </c>
      <c r="L2173">
        <f t="shared" si="330"/>
        <v>0</v>
      </c>
      <c r="M2173">
        <f t="shared" si="331"/>
        <v>0</v>
      </c>
      <c r="N2173">
        <f t="shared" si="332"/>
        <v>0</v>
      </c>
      <c r="O2173">
        <f t="shared" si="333"/>
        <v>0</v>
      </c>
      <c r="P2173">
        <f t="shared" si="334"/>
        <v>0</v>
      </c>
      <c r="Q2173">
        <f t="shared" si="335"/>
        <v>0</v>
      </c>
      <c r="R2173">
        <f t="shared" si="336"/>
        <v>0</v>
      </c>
      <c r="S2173">
        <f t="shared" si="337"/>
        <v>0</v>
      </c>
      <c r="T2173">
        <f t="shared" si="339"/>
        <v>0</v>
      </c>
      <c r="U2173">
        <f t="shared" si="338"/>
        <v>0</v>
      </c>
    </row>
    <row r="2174" spans="1:21" x14ac:dyDescent="0.25">
      <c r="A2174">
        <v>2173</v>
      </c>
      <c r="B2174">
        <v>1087</v>
      </c>
      <c r="C2174" t="s">
        <v>187</v>
      </c>
      <c r="D2174">
        <v>43.6</v>
      </c>
      <c r="E2174" s="80">
        <v>59757.23</v>
      </c>
      <c r="F2174">
        <v>1367.61</v>
      </c>
      <c r="G2174">
        <v>209.72</v>
      </c>
      <c r="H2174" s="80">
        <v>46802.78</v>
      </c>
      <c r="I2174" s="80">
        <v>21723.85</v>
      </c>
      <c r="J2174">
        <v>77.31</v>
      </c>
      <c r="K2174" s="80">
        <v>28057.1</v>
      </c>
      <c r="L2174">
        <f t="shared" si="330"/>
        <v>0</v>
      </c>
      <c r="M2174">
        <f t="shared" si="331"/>
        <v>0</v>
      </c>
      <c r="N2174">
        <f t="shared" si="332"/>
        <v>0</v>
      </c>
      <c r="O2174">
        <f t="shared" si="333"/>
        <v>0</v>
      </c>
      <c r="P2174">
        <f t="shared" si="334"/>
        <v>0</v>
      </c>
      <c r="Q2174">
        <f t="shared" si="335"/>
        <v>0</v>
      </c>
      <c r="R2174">
        <f t="shared" si="336"/>
        <v>0</v>
      </c>
      <c r="S2174">
        <f t="shared" si="337"/>
        <v>0</v>
      </c>
      <c r="T2174">
        <f t="shared" si="339"/>
        <v>0</v>
      </c>
      <c r="U2174">
        <f t="shared" si="338"/>
        <v>0</v>
      </c>
    </row>
    <row r="2175" spans="1:21" x14ac:dyDescent="0.25">
      <c r="A2175">
        <v>2174</v>
      </c>
      <c r="B2175">
        <v>1087</v>
      </c>
      <c r="C2175" t="s">
        <v>189</v>
      </c>
      <c r="D2175">
        <v>32.590000000000003</v>
      </c>
      <c r="E2175" s="80">
        <v>29372.75</v>
      </c>
      <c r="F2175">
        <v>61.77</v>
      </c>
      <c r="G2175">
        <v>209.72</v>
      </c>
      <c r="H2175" s="80">
        <v>61098.86</v>
      </c>
      <c r="I2175" s="80">
        <v>19370.509999999998</v>
      </c>
      <c r="J2175">
        <v>107.28</v>
      </c>
      <c r="K2175" t="s">
        <v>582</v>
      </c>
      <c r="L2175">
        <f t="shared" si="330"/>
        <v>0</v>
      </c>
      <c r="M2175">
        <f t="shared" si="331"/>
        <v>0</v>
      </c>
      <c r="N2175">
        <f t="shared" si="332"/>
        <v>0</v>
      </c>
      <c r="O2175">
        <f t="shared" si="333"/>
        <v>0</v>
      </c>
      <c r="P2175">
        <f t="shared" si="334"/>
        <v>0</v>
      </c>
      <c r="Q2175">
        <f t="shared" si="335"/>
        <v>0</v>
      </c>
      <c r="R2175">
        <f t="shared" si="336"/>
        <v>0</v>
      </c>
      <c r="S2175">
        <f t="shared" si="337"/>
        <v>1</v>
      </c>
      <c r="T2175">
        <f t="shared" si="339"/>
        <v>1</v>
      </c>
      <c r="U2175">
        <f t="shared" si="338"/>
        <v>1</v>
      </c>
    </row>
    <row r="2176" spans="1:21" x14ac:dyDescent="0.25">
      <c r="A2176">
        <v>2175</v>
      </c>
      <c r="B2176">
        <v>3027</v>
      </c>
      <c r="C2176" t="s">
        <v>162</v>
      </c>
      <c r="D2176">
        <v>0.8</v>
      </c>
      <c r="E2176">
        <v>7.05</v>
      </c>
      <c r="F2176">
        <v>0.16</v>
      </c>
      <c r="G2176">
        <v>2.3199999999999998</v>
      </c>
      <c r="H2176" t="s">
        <v>583</v>
      </c>
      <c r="I2176">
        <v>0.02</v>
      </c>
      <c r="J2176">
        <v>2.38</v>
      </c>
      <c r="K2176" s="80">
        <v>0.01</v>
      </c>
      <c r="L2176">
        <f t="shared" si="330"/>
        <v>0</v>
      </c>
      <c r="M2176">
        <f t="shared" si="331"/>
        <v>0</v>
      </c>
      <c r="N2176">
        <f t="shared" si="332"/>
        <v>0</v>
      </c>
      <c r="O2176">
        <f t="shared" si="333"/>
        <v>0</v>
      </c>
      <c r="P2176">
        <f t="shared" si="334"/>
        <v>0</v>
      </c>
      <c r="Q2176">
        <f t="shared" si="335"/>
        <v>0</v>
      </c>
      <c r="R2176">
        <f t="shared" si="336"/>
        <v>0</v>
      </c>
      <c r="S2176">
        <f t="shared" si="337"/>
        <v>0</v>
      </c>
      <c r="T2176">
        <f t="shared" si="339"/>
        <v>0</v>
      </c>
      <c r="U2176">
        <f t="shared" si="338"/>
        <v>0</v>
      </c>
    </row>
    <row r="2177" spans="1:21" x14ac:dyDescent="0.25">
      <c r="A2177">
        <v>2176</v>
      </c>
      <c r="B2177">
        <v>3027</v>
      </c>
      <c r="C2177" t="s">
        <v>170</v>
      </c>
      <c r="D2177" t="s">
        <v>583</v>
      </c>
      <c r="E2177">
        <v>54.59</v>
      </c>
      <c r="F2177">
        <v>0.38</v>
      </c>
      <c r="G2177" t="s">
        <v>583</v>
      </c>
      <c r="H2177">
        <v>84.83</v>
      </c>
      <c r="I2177">
        <v>238.79</v>
      </c>
      <c r="J2177">
        <v>0.73</v>
      </c>
      <c r="K2177">
        <v>10.99</v>
      </c>
      <c r="L2177">
        <f t="shared" si="330"/>
        <v>0</v>
      </c>
      <c r="M2177">
        <f t="shared" si="331"/>
        <v>0</v>
      </c>
      <c r="N2177">
        <f t="shared" si="332"/>
        <v>0</v>
      </c>
      <c r="O2177">
        <f t="shared" si="333"/>
        <v>0</v>
      </c>
      <c r="P2177">
        <f t="shared" si="334"/>
        <v>0</v>
      </c>
      <c r="Q2177">
        <f t="shared" si="335"/>
        <v>0</v>
      </c>
      <c r="R2177">
        <f t="shared" si="336"/>
        <v>0</v>
      </c>
      <c r="S2177">
        <f t="shared" si="337"/>
        <v>0</v>
      </c>
      <c r="T2177">
        <f t="shared" si="339"/>
        <v>0</v>
      </c>
      <c r="U2177">
        <f t="shared" si="338"/>
        <v>0</v>
      </c>
    </row>
    <row r="2178" spans="1:21" x14ac:dyDescent="0.25">
      <c r="A2178">
        <v>2177</v>
      </c>
      <c r="B2178">
        <v>3027</v>
      </c>
      <c r="C2178" t="s">
        <v>178</v>
      </c>
      <c r="D2178" t="s">
        <v>583</v>
      </c>
      <c r="E2178">
        <v>52.19</v>
      </c>
      <c r="F2178">
        <v>2.88</v>
      </c>
      <c r="G2178">
        <v>4.66</v>
      </c>
      <c r="H2178">
        <v>152.32</v>
      </c>
      <c r="I2178">
        <v>464.92</v>
      </c>
      <c r="J2178" t="s">
        <v>583</v>
      </c>
      <c r="K2178">
        <v>13.63</v>
      </c>
      <c r="L2178">
        <f t="shared" ref="L2178:L2241" si="340">IF(D2178 = "OOR &gt;", 1,0)</f>
        <v>0</v>
      </c>
      <c r="M2178">
        <f t="shared" ref="M2178:M2241" si="341">IF(E2178 = "OOR &gt;", 1,0)</f>
        <v>0</v>
      </c>
      <c r="N2178">
        <f t="shared" ref="N2178:N2241" si="342">IF(F2178 = "OOR &gt;", 1,0)</f>
        <v>0</v>
      </c>
      <c r="O2178">
        <f t="shared" ref="O2178:O2241" si="343">IF(G2178 = "OOR &gt;", 1,0)</f>
        <v>0</v>
      </c>
      <c r="P2178">
        <f t="shared" ref="P2178:P2241" si="344">IF(H2178 = "OOR &gt;", 1,0)</f>
        <v>0</v>
      </c>
      <c r="Q2178">
        <f t="shared" ref="Q2178:Q2241" si="345">IF(I2178 = "OOR &gt;", 1,0)</f>
        <v>0</v>
      </c>
      <c r="R2178">
        <f t="shared" ref="R2178:R2241" si="346">IF(J2178 = "OOR &gt;", 1,0)</f>
        <v>0</v>
      </c>
      <c r="S2178">
        <f t="shared" ref="S2178:S2241" si="347">IF(K2178 = "OOR &gt;", 1,0)</f>
        <v>0</v>
      </c>
      <c r="T2178">
        <f t="shared" si="339"/>
        <v>0</v>
      </c>
      <c r="U2178">
        <f t="shared" ref="U2178:U2241" si="348">IF(T2178 &gt; 0,1,0)</f>
        <v>0</v>
      </c>
    </row>
    <row r="2179" spans="1:21" x14ac:dyDescent="0.25">
      <c r="A2179">
        <v>2178</v>
      </c>
      <c r="B2179">
        <v>3027</v>
      </c>
      <c r="C2179" t="s">
        <v>163</v>
      </c>
      <c r="D2179" t="s">
        <v>583</v>
      </c>
      <c r="E2179">
        <v>163.16999999999999</v>
      </c>
      <c r="F2179">
        <v>0.13</v>
      </c>
      <c r="G2179">
        <v>2.3199999999999998</v>
      </c>
      <c r="H2179">
        <v>4.1900000000000004</v>
      </c>
      <c r="I2179">
        <v>100.77</v>
      </c>
      <c r="J2179" t="s">
        <v>583</v>
      </c>
      <c r="K2179">
        <v>5.45</v>
      </c>
      <c r="L2179">
        <f t="shared" si="340"/>
        <v>0</v>
      </c>
      <c r="M2179">
        <f t="shared" si="341"/>
        <v>0</v>
      </c>
      <c r="N2179">
        <f t="shared" si="342"/>
        <v>0</v>
      </c>
      <c r="O2179">
        <f t="shared" si="343"/>
        <v>0</v>
      </c>
      <c r="P2179">
        <f t="shared" si="344"/>
        <v>0</v>
      </c>
      <c r="Q2179">
        <f t="shared" si="345"/>
        <v>0</v>
      </c>
      <c r="R2179">
        <f t="shared" si="346"/>
        <v>0</v>
      </c>
      <c r="S2179">
        <f t="shared" si="347"/>
        <v>0</v>
      </c>
      <c r="T2179">
        <f t="shared" ref="T2179:T2242" si="349">SUMIF(L2179:S2179,"&gt;0")</f>
        <v>0</v>
      </c>
      <c r="U2179">
        <f t="shared" si="348"/>
        <v>0</v>
      </c>
    </row>
    <row r="2180" spans="1:21" x14ac:dyDescent="0.25">
      <c r="A2180">
        <v>2179</v>
      </c>
      <c r="B2180">
        <v>3027</v>
      </c>
      <c r="C2180" t="s">
        <v>181</v>
      </c>
      <c r="D2180">
        <v>3.04</v>
      </c>
      <c r="E2180">
        <v>12535.21</v>
      </c>
      <c r="F2180">
        <v>0.92</v>
      </c>
      <c r="G2180">
        <v>13.6</v>
      </c>
      <c r="H2180">
        <v>2.56</v>
      </c>
      <c r="I2180">
        <v>24.78</v>
      </c>
      <c r="J2180">
        <v>8.74</v>
      </c>
      <c r="K2180">
        <v>1.26</v>
      </c>
      <c r="L2180">
        <f t="shared" si="340"/>
        <v>0</v>
      </c>
      <c r="M2180">
        <f t="shared" si="341"/>
        <v>0</v>
      </c>
      <c r="N2180">
        <f t="shared" si="342"/>
        <v>0</v>
      </c>
      <c r="O2180">
        <f t="shared" si="343"/>
        <v>0</v>
      </c>
      <c r="P2180">
        <f t="shared" si="344"/>
        <v>0</v>
      </c>
      <c r="Q2180">
        <f t="shared" si="345"/>
        <v>0</v>
      </c>
      <c r="R2180">
        <f t="shared" si="346"/>
        <v>0</v>
      </c>
      <c r="S2180">
        <f t="shared" si="347"/>
        <v>0</v>
      </c>
      <c r="T2180">
        <f t="shared" si="349"/>
        <v>0</v>
      </c>
      <c r="U2180">
        <f t="shared" si="348"/>
        <v>0</v>
      </c>
    </row>
    <row r="2181" spans="1:21" x14ac:dyDescent="0.25">
      <c r="A2181">
        <v>2180</v>
      </c>
      <c r="B2181">
        <v>3027</v>
      </c>
      <c r="C2181" t="s">
        <v>183</v>
      </c>
      <c r="D2181">
        <v>40.51</v>
      </c>
      <c r="E2181" s="89" t="s">
        <v>582</v>
      </c>
      <c r="F2181">
        <v>1964.69</v>
      </c>
      <c r="G2181">
        <v>223.52</v>
      </c>
      <c r="H2181" s="80">
        <v>112074.94</v>
      </c>
      <c r="I2181" s="80">
        <v>22666.95</v>
      </c>
      <c r="J2181">
        <v>118.99</v>
      </c>
      <c r="K2181">
        <v>7245.66</v>
      </c>
      <c r="L2181">
        <f t="shared" si="340"/>
        <v>0</v>
      </c>
      <c r="M2181">
        <f t="shared" si="341"/>
        <v>1</v>
      </c>
      <c r="N2181">
        <f t="shared" si="342"/>
        <v>0</v>
      </c>
      <c r="O2181">
        <f t="shared" si="343"/>
        <v>0</v>
      </c>
      <c r="P2181">
        <f t="shared" si="344"/>
        <v>0</v>
      </c>
      <c r="Q2181">
        <f t="shared" si="345"/>
        <v>0</v>
      </c>
      <c r="R2181">
        <f t="shared" si="346"/>
        <v>0</v>
      </c>
      <c r="S2181">
        <f t="shared" si="347"/>
        <v>0</v>
      </c>
      <c r="T2181">
        <f t="shared" si="349"/>
        <v>1</v>
      </c>
      <c r="U2181">
        <f t="shared" si="348"/>
        <v>1</v>
      </c>
    </row>
    <row r="2182" spans="1:21" x14ac:dyDescent="0.25">
      <c r="A2182">
        <v>2181</v>
      </c>
      <c r="B2182">
        <v>3027</v>
      </c>
      <c r="C2182" t="s">
        <v>186</v>
      </c>
      <c r="D2182">
        <v>36.49</v>
      </c>
      <c r="E2182" s="89" t="s">
        <v>582</v>
      </c>
      <c r="F2182">
        <v>2705.3</v>
      </c>
      <c r="G2182">
        <v>209.72</v>
      </c>
      <c r="H2182" s="84">
        <v>2937200</v>
      </c>
      <c r="I2182" s="80">
        <v>23143.65</v>
      </c>
      <c r="J2182">
        <v>118.99</v>
      </c>
      <c r="K2182" s="80">
        <v>8948.99</v>
      </c>
      <c r="L2182">
        <f t="shared" si="340"/>
        <v>0</v>
      </c>
      <c r="M2182">
        <f t="shared" si="341"/>
        <v>1</v>
      </c>
      <c r="N2182">
        <f t="shared" si="342"/>
        <v>0</v>
      </c>
      <c r="O2182">
        <f t="shared" si="343"/>
        <v>0</v>
      </c>
      <c r="P2182">
        <f t="shared" si="344"/>
        <v>0</v>
      </c>
      <c r="Q2182">
        <f t="shared" si="345"/>
        <v>0</v>
      </c>
      <c r="R2182">
        <f t="shared" si="346"/>
        <v>0</v>
      </c>
      <c r="S2182">
        <f t="shared" si="347"/>
        <v>0</v>
      </c>
      <c r="T2182">
        <f t="shared" si="349"/>
        <v>1</v>
      </c>
      <c r="U2182">
        <f t="shared" si="348"/>
        <v>1</v>
      </c>
    </row>
    <row r="2183" spans="1:21" x14ac:dyDescent="0.25">
      <c r="A2183">
        <v>2182</v>
      </c>
      <c r="B2183">
        <v>3027</v>
      </c>
      <c r="C2183" t="s">
        <v>188</v>
      </c>
      <c r="D2183">
        <v>23.37</v>
      </c>
      <c r="E2183" s="80">
        <v>154142.1</v>
      </c>
      <c r="F2183">
        <v>200.19</v>
      </c>
      <c r="G2183">
        <v>108.48</v>
      </c>
      <c r="H2183">
        <v>2376.12</v>
      </c>
      <c r="I2183" s="80">
        <v>19329.98</v>
      </c>
      <c r="J2183">
        <v>59.65</v>
      </c>
      <c r="K2183">
        <v>1276.31</v>
      </c>
      <c r="L2183">
        <f t="shared" si="340"/>
        <v>0</v>
      </c>
      <c r="M2183">
        <f t="shared" si="341"/>
        <v>0</v>
      </c>
      <c r="N2183">
        <f t="shared" si="342"/>
        <v>0</v>
      </c>
      <c r="O2183">
        <f t="shared" si="343"/>
        <v>0</v>
      </c>
      <c r="P2183">
        <f t="shared" si="344"/>
        <v>0</v>
      </c>
      <c r="Q2183">
        <f t="shared" si="345"/>
        <v>0</v>
      </c>
      <c r="R2183">
        <f t="shared" si="346"/>
        <v>0</v>
      </c>
      <c r="S2183">
        <f t="shared" si="347"/>
        <v>0</v>
      </c>
      <c r="T2183">
        <f t="shared" si="349"/>
        <v>0</v>
      </c>
      <c r="U2183">
        <f t="shared" si="348"/>
        <v>0</v>
      </c>
    </row>
    <row r="2184" spans="1:21" x14ac:dyDescent="0.25">
      <c r="A2184">
        <v>2183</v>
      </c>
      <c r="B2184">
        <v>3027</v>
      </c>
      <c r="C2184" t="s">
        <v>182</v>
      </c>
      <c r="D2184">
        <v>0.46</v>
      </c>
      <c r="E2184">
        <v>1968.52</v>
      </c>
      <c r="F2184">
        <v>0.31</v>
      </c>
      <c r="G2184">
        <v>7.37</v>
      </c>
      <c r="H2184">
        <v>0.2</v>
      </c>
      <c r="I2184">
        <v>0.19</v>
      </c>
      <c r="J2184">
        <v>0.73</v>
      </c>
      <c r="K2184" s="80">
        <v>7.0000000000000007E-2</v>
      </c>
      <c r="L2184">
        <f t="shared" si="340"/>
        <v>0</v>
      </c>
      <c r="M2184">
        <f t="shared" si="341"/>
        <v>0</v>
      </c>
      <c r="N2184">
        <f t="shared" si="342"/>
        <v>0</v>
      </c>
      <c r="O2184">
        <f t="shared" si="343"/>
        <v>0</v>
      </c>
      <c r="P2184">
        <f t="shared" si="344"/>
        <v>0</v>
      </c>
      <c r="Q2184">
        <f t="shared" si="345"/>
        <v>0</v>
      </c>
      <c r="R2184">
        <f t="shared" si="346"/>
        <v>0</v>
      </c>
      <c r="S2184">
        <f t="shared" si="347"/>
        <v>0</v>
      </c>
      <c r="T2184">
        <f t="shared" si="349"/>
        <v>0</v>
      </c>
      <c r="U2184">
        <f t="shared" si="348"/>
        <v>0</v>
      </c>
    </row>
    <row r="2185" spans="1:21" x14ac:dyDescent="0.25">
      <c r="A2185">
        <v>2184</v>
      </c>
      <c r="B2185">
        <v>3027</v>
      </c>
      <c r="C2185" t="s">
        <v>184</v>
      </c>
      <c r="D2185">
        <v>81.069999999999993</v>
      </c>
      <c r="E2185" s="89" t="s">
        <v>582</v>
      </c>
      <c r="F2185">
        <v>74.11</v>
      </c>
      <c r="G2185">
        <v>163.31</v>
      </c>
      <c r="H2185">
        <v>9169.06</v>
      </c>
      <c r="I2185" s="80">
        <v>20031.740000000002</v>
      </c>
      <c r="J2185">
        <v>66.61</v>
      </c>
      <c r="K2185">
        <v>1888.47</v>
      </c>
      <c r="L2185">
        <f t="shared" si="340"/>
        <v>0</v>
      </c>
      <c r="M2185">
        <f t="shared" si="341"/>
        <v>1</v>
      </c>
      <c r="N2185">
        <f t="shared" si="342"/>
        <v>0</v>
      </c>
      <c r="O2185">
        <f t="shared" si="343"/>
        <v>0</v>
      </c>
      <c r="P2185">
        <f t="shared" si="344"/>
        <v>0</v>
      </c>
      <c r="Q2185">
        <f t="shared" si="345"/>
        <v>0</v>
      </c>
      <c r="R2185">
        <f t="shared" si="346"/>
        <v>0</v>
      </c>
      <c r="S2185">
        <f t="shared" si="347"/>
        <v>0</v>
      </c>
      <c r="T2185">
        <f t="shared" si="349"/>
        <v>1</v>
      </c>
      <c r="U2185">
        <f t="shared" si="348"/>
        <v>1</v>
      </c>
    </row>
    <row r="2186" spans="1:21" x14ac:dyDescent="0.25">
      <c r="A2186">
        <v>2185</v>
      </c>
      <c r="B2186">
        <v>3027</v>
      </c>
      <c r="C2186" t="s">
        <v>187</v>
      </c>
      <c r="D2186">
        <v>529.03</v>
      </c>
      <c r="E2186" s="89" t="s">
        <v>582</v>
      </c>
      <c r="F2186">
        <v>140.47999999999999</v>
      </c>
      <c r="G2186">
        <v>169.76</v>
      </c>
      <c r="H2186" s="80">
        <v>108060.63</v>
      </c>
      <c r="I2186" s="80">
        <v>20383.29</v>
      </c>
      <c r="J2186">
        <v>101.51</v>
      </c>
      <c r="K2186">
        <v>6822.08</v>
      </c>
      <c r="L2186">
        <f t="shared" si="340"/>
        <v>0</v>
      </c>
      <c r="M2186">
        <f t="shared" si="341"/>
        <v>1</v>
      </c>
      <c r="N2186">
        <f t="shared" si="342"/>
        <v>0</v>
      </c>
      <c r="O2186">
        <f t="shared" si="343"/>
        <v>0</v>
      </c>
      <c r="P2186">
        <f t="shared" si="344"/>
        <v>0</v>
      </c>
      <c r="Q2186">
        <f t="shared" si="345"/>
        <v>0</v>
      </c>
      <c r="R2186">
        <f t="shared" si="346"/>
        <v>0</v>
      </c>
      <c r="S2186">
        <f t="shared" si="347"/>
        <v>0</v>
      </c>
      <c r="T2186">
        <f t="shared" si="349"/>
        <v>1</v>
      </c>
      <c r="U2186">
        <f t="shared" si="348"/>
        <v>1</v>
      </c>
    </row>
    <row r="2187" spans="1:21" x14ac:dyDescent="0.25">
      <c r="A2187">
        <v>2186</v>
      </c>
      <c r="B2187">
        <v>3027</v>
      </c>
      <c r="C2187" t="s">
        <v>189</v>
      </c>
      <c r="D2187">
        <v>150.71</v>
      </c>
      <c r="E2187" s="80">
        <v>86565.63</v>
      </c>
      <c r="F2187">
        <v>87.79</v>
      </c>
      <c r="G2187">
        <v>138.22</v>
      </c>
      <c r="H2187">
        <v>12884.23</v>
      </c>
      <c r="I2187" s="80">
        <v>17187.8</v>
      </c>
      <c r="J2187">
        <v>84.62</v>
      </c>
      <c r="K2187" s="80">
        <v>25449.48</v>
      </c>
      <c r="L2187">
        <f t="shared" si="340"/>
        <v>0</v>
      </c>
      <c r="M2187">
        <f t="shared" si="341"/>
        <v>0</v>
      </c>
      <c r="N2187">
        <f t="shared" si="342"/>
        <v>0</v>
      </c>
      <c r="O2187">
        <f t="shared" si="343"/>
        <v>0</v>
      </c>
      <c r="P2187">
        <f t="shared" si="344"/>
        <v>0</v>
      </c>
      <c r="Q2187">
        <f t="shared" si="345"/>
        <v>0</v>
      </c>
      <c r="R2187">
        <f t="shared" si="346"/>
        <v>0</v>
      </c>
      <c r="S2187">
        <f t="shared" si="347"/>
        <v>0</v>
      </c>
      <c r="T2187">
        <f t="shared" si="349"/>
        <v>0</v>
      </c>
      <c r="U2187">
        <f t="shared" si="348"/>
        <v>0</v>
      </c>
    </row>
    <row r="2188" spans="1:21" x14ac:dyDescent="0.25">
      <c r="A2188">
        <v>2187</v>
      </c>
      <c r="B2188" t="s">
        <v>67</v>
      </c>
      <c r="C2188" t="s">
        <v>162</v>
      </c>
      <c r="D2188">
        <v>4.1100000000000003</v>
      </c>
      <c r="E2188" s="80">
        <v>44781.81</v>
      </c>
      <c r="F2188">
        <v>0.75</v>
      </c>
      <c r="G2188">
        <v>80.739999999999995</v>
      </c>
      <c r="H2188">
        <v>1.33</v>
      </c>
      <c r="I2188">
        <v>7.19</v>
      </c>
      <c r="J2188">
        <v>18.98</v>
      </c>
      <c r="K2188">
        <v>1.79</v>
      </c>
      <c r="L2188">
        <f t="shared" si="340"/>
        <v>0</v>
      </c>
      <c r="M2188">
        <f t="shared" si="341"/>
        <v>0</v>
      </c>
      <c r="N2188">
        <f t="shared" si="342"/>
        <v>0</v>
      </c>
      <c r="O2188">
        <f t="shared" si="343"/>
        <v>0</v>
      </c>
      <c r="P2188">
        <f t="shared" si="344"/>
        <v>0</v>
      </c>
      <c r="Q2188">
        <f t="shared" si="345"/>
        <v>0</v>
      </c>
      <c r="R2188">
        <f t="shared" si="346"/>
        <v>0</v>
      </c>
      <c r="S2188">
        <f t="shared" si="347"/>
        <v>0</v>
      </c>
      <c r="T2188">
        <f t="shared" si="349"/>
        <v>0</v>
      </c>
      <c r="U2188">
        <f t="shared" si="348"/>
        <v>0</v>
      </c>
    </row>
    <row r="2189" spans="1:21" x14ac:dyDescent="0.25">
      <c r="A2189">
        <v>2188</v>
      </c>
      <c r="B2189" t="s">
        <v>67</v>
      </c>
      <c r="C2189" t="s">
        <v>170</v>
      </c>
      <c r="D2189">
        <v>16.62</v>
      </c>
      <c r="E2189" s="80">
        <v>48415.09</v>
      </c>
      <c r="F2189">
        <v>573.52</v>
      </c>
      <c r="G2189">
        <v>97.13</v>
      </c>
      <c r="H2189">
        <v>1836.51</v>
      </c>
      <c r="I2189" s="80">
        <v>16408.55</v>
      </c>
      <c r="J2189">
        <v>36.64</v>
      </c>
      <c r="K2189">
        <v>427.87</v>
      </c>
      <c r="L2189">
        <f t="shared" si="340"/>
        <v>0</v>
      </c>
      <c r="M2189">
        <f t="shared" si="341"/>
        <v>0</v>
      </c>
      <c r="N2189">
        <f t="shared" si="342"/>
        <v>0</v>
      </c>
      <c r="O2189">
        <f t="shared" si="343"/>
        <v>0</v>
      </c>
      <c r="P2189">
        <f t="shared" si="344"/>
        <v>0</v>
      </c>
      <c r="Q2189">
        <f t="shared" si="345"/>
        <v>0</v>
      </c>
      <c r="R2189">
        <f t="shared" si="346"/>
        <v>0</v>
      </c>
      <c r="S2189">
        <f t="shared" si="347"/>
        <v>0</v>
      </c>
      <c r="T2189">
        <f t="shared" si="349"/>
        <v>0</v>
      </c>
      <c r="U2189">
        <f t="shared" si="348"/>
        <v>0</v>
      </c>
    </row>
    <row r="2190" spans="1:21" x14ac:dyDescent="0.25">
      <c r="A2190">
        <v>2189</v>
      </c>
      <c r="B2190" t="s">
        <v>67</v>
      </c>
      <c r="C2190" t="s">
        <v>178</v>
      </c>
      <c r="D2190">
        <v>25.15</v>
      </c>
      <c r="E2190" s="80">
        <v>52782.28</v>
      </c>
      <c r="F2190">
        <v>2797.79</v>
      </c>
      <c r="G2190">
        <v>132.13</v>
      </c>
      <c r="H2190">
        <v>15341.25</v>
      </c>
      <c r="I2190" s="80">
        <v>20749.07</v>
      </c>
      <c r="J2190">
        <v>64.86</v>
      </c>
      <c r="K2190">
        <v>2818.03</v>
      </c>
      <c r="L2190">
        <f t="shared" si="340"/>
        <v>0</v>
      </c>
      <c r="M2190">
        <f t="shared" si="341"/>
        <v>0</v>
      </c>
      <c r="N2190">
        <f t="shared" si="342"/>
        <v>0</v>
      </c>
      <c r="O2190">
        <f t="shared" si="343"/>
        <v>0</v>
      </c>
      <c r="P2190">
        <f t="shared" si="344"/>
        <v>0</v>
      </c>
      <c r="Q2190">
        <f t="shared" si="345"/>
        <v>0</v>
      </c>
      <c r="R2190">
        <f t="shared" si="346"/>
        <v>0</v>
      </c>
      <c r="S2190">
        <f t="shared" si="347"/>
        <v>0</v>
      </c>
      <c r="T2190">
        <f t="shared" si="349"/>
        <v>0</v>
      </c>
      <c r="U2190">
        <f t="shared" si="348"/>
        <v>0</v>
      </c>
    </row>
    <row r="2191" spans="1:21" x14ac:dyDescent="0.25">
      <c r="A2191">
        <v>2190</v>
      </c>
      <c r="B2191" t="s">
        <v>67</v>
      </c>
      <c r="C2191" t="s">
        <v>163</v>
      </c>
      <c r="D2191">
        <v>63.28</v>
      </c>
      <c r="E2191" s="80">
        <v>96559.78</v>
      </c>
      <c r="F2191">
        <v>2043.06</v>
      </c>
      <c r="G2191">
        <v>216.59</v>
      </c>
      <c r="H2191" s="80">
        <v>20377.36</v>
      </c>
      <c r="I2191" s="80">
        <v>19778.79</v>
      </c>
      <c r="J2191">
        <v>118.99</v>
      </c>
      <c r="K2191" t="s">
        <v>582</v>
      </c>
      <c r="L2191">
        <f t="shared" si="340"/>
        <v>0</v>
      </c>
      <c r="M2191">
        <f t="shared" si="341"/>
        <v>0</v>
      </c>
      <c r="N2191">
        <f t="shared" si="342"/>
        <v>0</v>
      </c>
      <c r="O2191">
        <f t="shared" si="343"/>
        <v>0</v>
      </c>
      <c r="P2191">
        <f t="shared" si="344"/>
        <v>0</v>
      </c>
      <c r="Q2191">
        <f t="shared" si="345"/>
        <v>0</v>
      </c>
      <c r="R2191">
        <f t="shared" si="346"/>
        <v>0</v>
      </c>
      <c r="S2191">
        <f t="shared" si="347"/>
        <v>1</v>
      </c>
      <c r="T2191">
        <f t="shared" si="349"/>
        <v>1</v>
      </c>
      <c r="U2191">
        <f t="shared" si="348"/>
        <v>1</v>
      </c>
    </row>
    <row r="2192" spans="1:21" x14ac:dyDescent="0.25">
      <c r="A2192">
        <v>2191</v>
      </c>
      <c r="B2192" t="s">
        <v>67</v>
      </c>
      <c r="C2192" t="s">
        <v>181</v>
      </c>
      <c r="D2192">
        <v>15.03</v>
      </c>
      <c r="E2192" s="89" t="s">
        <v>582</v>
      </c>
      <c r="F2192">
        <v>1.0900000000000001</v>
      </c>
      <c r="G2192">
        <v>65.180000000000007</v>
      </c>
      <c r="H2192">
        <v>52.96</v>
      </c>
      <c r="I2192">
        <v>1078.6500000000001</v>
      </c>
      <c r="J2192">
        <v>46.23</v>
      </c>
      <c r="K2192">
        <v>57.89</v>
      </c>
      <c r="L2192">
        <f t="shared" si="340"/>
        <v>0</v>
      </c>
      <c r="M2192">
        <f t="shared" si="341"/>
        <v>1</v>
      </c>
      <c r="N2192">
        <f t="shared" si="342"/>
        <v>0</v>
      </c>
      <c r="O2192">
        <f t="shared" si="343"/>
        <v>0</v>
      </c>
      <c r="P2192">
        <f t="shared" si="344"/>
        <v>0</v>
      </c>
      <c r="Q2192">
        <f t="shared" si="345"/>
        <v>0</v>
      </c>
      <c r="R2192">
        <f t="shared" si="346"/>
        <v>0</v>
      </c>
      <c r="S2192">
        <f t="shared" si="347"/>
        <v>0</v>
      </c>
      <c r="T2192">
        <f t="shared" si="349"/>
        <v>1</v>
      </c>
      <c r="U2192">
        <f t="shared" si="348"/>
        <v>1</v>
      </c>
    </row>
    <row r="2193" spans="1:21" x14ac:dyDescent="0.25">
      <c r="A2193">
        <v>2192</v>
      </c>
      <c r="B2193" t="s">
        <v>67</v>
      </c>
      <c r="C2193" t="s">
        <v>183</v>
      </c>
      <c r="D2193">
        <v>44.64</v>
      </c>
      <c r="E2193" s="89" t="s">
        <v>582</v>
      </c>
      <c r="F2193">
        <v>2131</v>
      </c>
      <c r="G2193">
        <v>230.51</v>
      </c>
      <c r="H2193" s="80">
        <v>19953.12</v>
      </c>
      <c r="I2193" s="80">
        <v>24215.98</v>
      </c>
      <c r="J2193">
        <v>95.81</v>
      </c>
      <c r="K2193" s="80">
        <v>12695.76</v>
      </c>
      <c r="L2193">
        <f t="shared" si="340"/>
        <v>0</v>
      </c>
      <c r="M2193">
        <f t="shared" si="341"/>
        <v>1</v>
      </c>
      <c r="N2193">
        <f t="shared" si="342"/>
        <v>0</v>
      </c>
      <c r="O2193">
        <f t="shared" si="343"/>
        <v>0</v>
      </c>
      <c r="P2193">
        <f t="shared" si="344"/>
        <v>0</v>
      </c>
      <c r="Q2193">
        <f t="shared" si="345"/>
        <v>0</v>
      </c>
      <c r="R2193">
        <f t="shared" si="346"/>
        <v>0</v>
      </c>
      <c r="S2193">
        <f t="shared" si="347"/>
        <v>0</v>
      </c>
      <c r="T2193">
        <f t="shared" si="349"/>
        <v>1</v>
      </c>
      <c r="U2193">
        <f t="shared" si="348"/>
        <v>1</v>
      </c>
    </row>
    <row r="2194" spans="1:21" x14ac:dyDescent="0.25">
      <c r="A2194">
        <v>2193</v>
      </c>
      <c r="B2194" t="s">
        <v>67</v>
      </c>
      <c r="C2194" t="s">
        <v>186</v>
      </c>
      <c r="D2194">
        <v>46.74</v>
      </c>
      <c r="E2194" s="89" t="s">
        <v>582</v>
      </c>
      <c r="F2194" s="80">
        <v>3721.88</v>
      </c>
      <c r="G2194">
        <v>230.51</v>
      </c>
      <c r="H2194" s="80">
        <v>168455.02</v>
      </c>
      <c r="I2194" s="80">
        <v>24418.55</v>
      </c>
      <c r="J2194">
        <v>111.15</v>
      </c>
      <c r="K2194" t="s">
        <v>582</v>
      </c>
      <c r="L2194">
        <f t="shared" si="340"/>
        <v>0</v>
      </c>
      <c r="M2194">
        <f t="shared" si="341"/>
        <v>1</v>
      </c>
      <c r="N2194">
        <f t="shared" si="342"/>
        <v>0</v>
      </c>
      <c r="O2194">
        <f t="shared" si="343"/>
        <v>0</v>
      </c>
      <c r="P2194">
        <f t="shared" si="344"/>
        <v>0</v>
      </c>
      <c r="Q2194">
        <f t="shared" si="345"/>
        <v>0</v>
      </c>
      <c r="R2194">
        <f t="shared" si="346"/>
        <v>0</v>
      </c>
      <c r="S2194">
        <f t="shared" si="347"/>
        <v>1</v>
      </c>
      <c r="T2194">
        <f t="shared" si="349"/>
        <v>2</v>
      </c>
      <c r="U2194">
        <f t="shared" si="348"/>
        <v>1</v>
      </c>
    </row>
    <row r="2195" spans="1:21" x14ac:dyDescent="0.25">
      <c r="A2195">
        <v>2194</v>
      </c>
      <c r="B2195" t="s">
        <v>67</v>
      </c>
      <c r="C2195" t="s">
        <v>188</v>
      </c>
      <c r="D2195">
        <v>35.51</v>
      </c>
      <c r="E2195" s="89" t="s">
        <v>582</v>
      </c>
      <c r="F2195">
        <v>1914.87</v>
      </c>
      <c r="G2195">
        <v>196.15</v>
      </c>
      <c r="H2195">
        <v>9038.7000000000007</v>
      </c>
      <c r="I2195" s="80">
        <v>24090.35</v>
      </c>
      <c r="J2195">
        <v>117.02</v>
      </c>
      <c r="K2195" t="s">
        <v>582</v>
      </c>
      <c r="L2195">
        <f t="shared" si="340"/>
        <v>0</v>
      </c>
      <c r="M2195">
        <f t="shared" si="341"/>
        <v>1</v>
      </c>
      <c r="N2195">
        <f t="shared" si="342"/>
        <v>0</v>
      </c>
      <c r="O2195">
        <f t="shared" si="343"/>
        <v>0</v>
      </c>
      <c r="P2195">
        <f t="shared" si="344"/>
        <v>0</v>
      </c>
      <c r="Q2195">
        <f t="shared" si="345"/>
        <v>0</v>
      </c>
      <c r="R2195">
        <f t="shared" si="346"/>
        <v>0</v>
      </c>
      <c r="S2195">
        <f t="shared" si="347"/>
        <v>1</v>
      </c>
      <c r="T2195">
        <f t="shared" si="349"/>
        <v>2</v>
      </c>
      <c r="U2195">
        <f t="shared" si="348"/>
        <v>1</v>
      </c>
    </row>
    <row r="2196" spans="1:21" x14ac:dyDescent="0.25">
      <c r="A2196">
        <v>2195</v>
      </c>
      <c r="B2196" t="s">
        <v>67</v>
      </c>
      <c r="C2196" t="s">
        <v>182</v>
      </c>
      <c r="D2196">
        <v>1.18</v>
      </c>
      <c r="E2196">
        <v>10445.34</v>
      </c>
      <c r="F2196" t="s">
        <v>583</v>
      </c>
      <c r="G2196">
        <v>32.65</v>
      </c>
      <c r="H2196">
        <v>1.21</v>
      </c>
      <c r="I2196">
        <v>0.44</v>
      </c>
      <c r="J2196">
        <v>3.32</v>
      </c>
      <c r="K2196">
        <v>0.43</v>
      </c>
      <c r="L2196">
        <f t="shared" si="340"/>
        <v>0</v>
      </c>
      <c r="M2196">
        <f t="shared" si="341"/>
        <v>0</v>
      </c>
      <c r="N2196">
        <f t="shared" si="342"/>
        <v>0</v>
      </c>
      <c r="O2196">
        <f t="shared" si="343"/>
        <v>0</v>
      </c>
      <c r="P2196">
        <f t="shared" si="344"/>
        <v>0</v>
      </c>
      <c r="Q2196">
        <f t="shared" si="345"/>
        <v>0</v>
      </c>
      <c r="R2196">
        <f t="shared" si="346"/>
        <v>0</v>
      </c>
      <c r="S2196">
        <f t="shared" si="347"/>
        <v>0</v>
      </c>
      <c r="T2196">
        <f t="shared" si="349"/>
        <v>0</v>
      </c>
      <c r="U2196">
        <f t="shared" si="348"/>
        <v>0</v>
      </c>
    </row>
    <row r="2197" spans="1:21" x14ac:dyDescent="0.25">
      <c r="A2197">
        <v>2196</v>
      </c>
      <c r="B2197" t="s">
        <v>67</v>
      </c>
      <c r="C2197" t="s">
        <v>184</v>
      </c>
      <c r="D2197">
        <v>70.25</v>
      </c>
      <c r="E2197" s="80">
        <v>29597.66</v>
      </c>
      <c r="F2197">
        <v>282.08999999999997</v>
      </c>
      <c r="G2197">
        <v>144.38999999999999</v>
      </c>
      <c r="H2197" s="80">
        <v>48779.59</v>
      </c>
      <c r="I2197" s="80">
        <v>20998.94</v>
      </c>
      <c r="J2197">
        <v>63.11</v>
      </c>
      <c r="K2197">
        <v>2098.15</v>
      </c>
      <c r="L2197">
        <f t="shared" si="340"/>
        <v>0</v>
      </c>
      <c r="M2197">
        <f t="shared" si="341"/>
        <v>0</v>
      </c>
      <c r="N2197">
        <f t="shared" si="342"/>
        <v>0</v>
      </c>
      <c r="O2197">
        <f t="shared" si="343"/>
        <v>0</v>
      </c>
      <c r="P2197">
        <f t="shared" si="344"/>
        <v>0</v>
      </c>
      <c r="Q2197">
        <f t="shared" si="345"/>
        <v>0</v>
      </c>
      <c r="R2197">
        <f t="shared" si="346"/>
        <v>0</v>
      </c>
      <c r="S2197">
        <f t="shared" si="347"/>
        <v>0</v>
      </c>
      <c r="T2197">
        <f t="shared" si="349"/>
        <v>0</v>
      </c>
      <c r="U2197">
        <f t="shared" si="348"/>
        <v>0</v>
      </c>
    </row>
    <row r="2198" spans="1:21" x14ac:dyDescent="0.25">
      <c r="A2198">
        <v>2197</v>
      </c>
      <c r="B2198" t="s">
        <v>67</v>
      </c>
      <c r="C2198" t="s">
        <v>187</v>
      </c>
      <c r="D2198">
        <v>384.33</v>
      </c>
      <c r="E2198" s="80">
        <v>32012.959999999999</v>
      </c>
      <c r="F2198">
        <v>505.64</v>
      </c>
      <c r="G2198">
        <v>156.94</v>
      </c>
      <c r="H2198" s="80">
        <v>280322.01</v>
      </c>
      <c r="I2198" s="80">
        <v>21283.79</v>
      </c>
      <c r="J2198">
        <v>80.95</v>
      </c>
      <c r="K2198" s="80">
        <v>8758.23</v>
      </c>
      <c r="L2198">
        <f t="shared" si="340"/>
        <v>0</v>
      </c>
      <c r="M2198">
        <f t="shared" si="341"/>
        <v>0</v>
      </c>
      <c r="N2198">
        <f t="shared" si="342"/>
        <v>0</v>
      </c>
      <c r="O2198">
        <f t="shared" si="343"/>
        <v>0</v>
      </c>
      <c r="P2198">
        <f t="shared" si="344"/>
        <v>0</v>
      </c>
      <c r="Q2198">
        <f t="shared" si="345"/>
        <v>0</v>
      </c>
      <c r="R2198">
        <f t="shared" si="346"/>
        <v>0</v>
      </c>
      <c r="S2198">
        <f t="shared" si="347"/>
        <v>0</v>
      </c>
      <c r="T2198">
        <f t="shared" si="349"/>
        <v>0</v>
      </c>
      <c r="U2198">
        <f t="shared" si="348"/>
        <v>0</v>
      </c>
    </row>
    <row r="2199" spans="1:21" x14ac:dyDescent="0.25">
      <c r="A2199">
        <v>2198</v>
      </c>
      <c r="B2199" t="s">
        <v>67</v>
      </c>
      <c r="C2199" t="s">
        <v>189</v>
      </c>
      <c r="D2199">
        <v>237.05</v>
      </c>
      <c r="E2199" s="80">
        <v>25516.28</v>
      </c>
      <c r="F2199">
        <v>45.21</v>
      </c>
      <c r="G2199">
        <v>163.31</v>
      </c>
      <c r="H2199" s="80">
        <v>29485.95</v>
      </c>
      <c r="I2199" s="80">
        <v>17284.740000000002</v>
      </c>
      <c r="J2199">
        <v>77.31</v>
      </c>
      <c r="K2199" s="80">
        <v>19695.23</v>
      </c>
      <c r="L2199">
        <f t="shared" si="340"/>
        <v>0</v>
      </c>
      <c r="M2199">
        <f t="shared" si="341"/>
        <v>0</v>
      </c>
      <c r="N2199">
        <f t="shared" si="342"/>
        <v>0</v>
      </c>
      <c r="O2199">
        <f t="shared" si="343"/>
        <v>0</v>
      </c>
      <c r="P2199">
        <f t="shared" si="344"/>
        <v>0</v>
      </c>
      <c r="Q2199">
        <f t="shared" si="345"/>
        <v>0</v>
      </c>
      <c r="R2199">
        <f t="shared" si="346"/>
        <v>0</v>
      </c>
      <c r="S2199">
        <f t="shared" si="347"/>
        <v>0</v>
      </c>
      <c r="T2199">
        <f t="shared" si="349"/>
        <v>0</v>
      </c>
      <c r="U2199">
        <f t="shared" si="348"/>
        <v>0</v>
      </c>
    </row>
    <row r="2200" spans="1:21" x14ac:dyDescent="0.25">
      <c r="A2200">
        <v>2199</v>
      </c>
      <c r="B2200" t="s">
        <v>82</v>
      </c>
      <c r="C2200" t="s">
        <v>162</v>
      </c>
      <c r="D2200">
        <v>4.1100000000000003</v>
      </c>
      <c r="E2200" s="80">
        <v>51420.14</v>
      </c>
      <c r="F2200">
        <v>0.67</v>
      </c>
      <c r="G2200">
        <v>55.31</v>
      </c>
      <c r="H2200">
        <v>0.99</v>
      </c>
      <c r="I2200">
        <v>0.97</v>
      </c>
      <c r="J2200">
        <v>16.28</v>
      </c>
      <c r="K2200">
        <v>2.19</v>
      </c>
      <c r="L2200">
        <f t="shared" si="340"/>
        <v>0</v>
      </c>
      <c r="M2200">
        <f t="shared" si="341"/>
        <v>0</v>
      </c>
      <c r="N2200">
        <f t="shared" si="342"/>
        <v>0</v>
      </c>
      <c r="O2200">
        <f t="shared" si="343"/>
        <v>0</v>
      </c>
      <c r="P2200">
        <f t="shared" si="344"/>
        <v>0</v>
      </c>
      <c r="Q2200">
        <f t="shared" si="345"/>
        <v>0</v>
      </c>
      <c r="R2200">
        <f t="shared" si="346"/>
        <v>0</v>
      </c>
      <c r="S2200">
        <f t="shared" si="347"/>
        <v>0</v>
      </c>
      <c r="T2200">
        <f t="shared" si="349"/>
        <v>0</v>
      </c>
      <c r="U2200">
        <f t="shared" si="348"/>
        <v>0</v>
      </c>
    </row>
    <row r="2201" spans="1:21" x14ac:dyDescent="0.25">
      <c r="A2201">
        <v>2200</v>
      </c>
      <c r="B2201" t="s">
        <v>82</v>
      </c>
      <c r="C2201" t="s">
        <v>170</v>
      </c>
      <c r="D2201">
        <v>12.72</v>
      </c>
      <c r="E2201" s="80">
        <v>31203.65</v>
      </c>
      <c r="F2201">
        <v>36.700000000000003</v>
      </c>
      <c r="G2201">
        <v>70.27</v>
      </c>
      <c r="H2201">
        <v>221.92</v>
      </c>
      <c r="I2201" s="80">
        <v>7392.21</v>
      </c>
      <c r="J2201">
        <v>21.75</v>
      </c>
      <c r="K2201">
        <v>201.18</v>
      </c>
      <c r="L2201">
        <f t="shared" si="340"/>
        <v>0</v>
      </c>
      <c r="M2201">
        <f t="shared" si="341"/>
        <v>0</v>
      </c>
      <c r="N2201">
        <f t="shared" si="342"/>
        <v>0</v>
      </c>
      <c r="O2201">
        <f t="shared" si="343"/>
        <v>0</v>
      </c>
      <c r="P2201">
        <f t="shared" si="344"/>
        <v>0</v>
      </c>
      <c r="Q2201">
        <f t="shared" si="345"/>
        <v>0</v>
      </c>
      <c r="R2201">
        <f t="shared" si="346"/>
        <v>0</v>
      </c>
      <c r="S2201">
        <f t="shared" si="347"/>
        <v>0</v>
      </c>
      <c r="T2201">
        <f t="shared" si="349"/>
        <v>0</v>
      </c>
      <c r="U2201">
        <f t="shared" si="348"/>
        <v>0</v>
      </c>
    </row>
    <row r="2202" spans="1:21" x14ac:dyDescent="0.25">
      <c r="A2202">
        <v>2201</v>
      </c>
      <c r="B2202" t="s">
        <v>82</v>
      </c>
      <c r="C2202" t="s">
        <v>178</v>
      </c>
      <c r="D2202">
        <v>31.78</v>
      </c>
      <c r="E2202" s="80">
        <v>57059.44</v>
      </c>
      <c r="F2202">
        <v>1097.3399999999999</v>
      </c>
      <c r="G2202">
        <v>156.94</v>
      </c>
      <c r="H2202">
        <v>4078.87</v>
      </c>
      <c r="I2202" s="80">
        <v>15227.71</v>
      </c>
      <c r="J2202">
        <v>47.05</v>
      </c>
      <c r="K2202">
        <v>1015.09</v>
      </c>
      <c r="L2202">
        <f t="shared" si="340"/>
        <v>0</v>
      </c>
      <c r="M2202">
        <f t="shared" si="341"/>
        <v>0</v>
      </c>
      <c r="N2202">
        <f t="shared" si="342"/>
        <v>0</v>
      </c>
      <c r="O2202">
        <f t="shared" si="343"/>
        <v>0</v>
      </c>
      <c r="P2202">
        <f t="shared" si="344"/>
        <v>0</v>
      </c>
      <c r="Q2202">
        <f t="shared" si="345"/>
        <v>0</v>
      </c>
      <c r="R2202">
        <f t="shared" si="346"/>
        <v>0</v>
      </c>
      <c r="S2202">
        <f t="shared" si="347"/>
        <v>0</v>
      </c>
      <c r="T2202">
        <f t="shared" si="349"/>
        <v>0</v>
      </c>
      <c r="U2202">
        <f t="shared" si="348"/>
        <v>0</v>
      </c>
    </row>
    <row r="2203" spans="1:21" x14ac:dyDescent="0.25">
      <c r="A2203">
        <v>2202</v>
      </c>
      <c r="B2203" t="s">
        <v>82</v>
      </c>
      <c r="C2203" t="s">
        <v>163</v>
      </c>
      <c r="D2203">
        <v>331</v>
      </c>
      <c r="E2203" s="80">
        <v>100711.94</v>
      </c>
      <c r="F2203">
        <v>813.16</v>
      </c>
      <c r="G2203">
        <v>126.1</v>
      </c>
      <c r="H2203">
        <v>8190.48</v>
      </c>
      <c r="I2203" s="80">
        <v>17483.87</v>
      </c>
      <c r="J2203">
        <v>85.54</v>
      </c>
      <c r="K2203" s="80">
        <v>11354.24</v>
      </c>
      <c r="L2203">
        <f t="shared" si="340"/>
        <v>0</v>
      </c>
      <c r="M2203">
        <f t="shared" si="341"/>
        <v>0</v>
      </c>
      <c r="N2203">
        <f t="shared" si="342"/>
        <v>0</v>
      </c>
      <c r="O2203">
        <f t="shared" si="343"/>
        <v>0</v>
      </c>
      <c r="P2203">
        <f t="shared" si="344"/>
        <v>0</v>
      </c>
      <c r="Q2203">
        <f t="shared" si="345"/>
        <v>0</v>
      </c>
      <c r="R2203">
        <f t="shared" si="346"/>
        <v>0</v>
      </c>
      <c r="S2203">
        <f t="shared" si="347"/>
        <v>0</v>
      </c>
      <c r="T2203">
        <f t="shared" si="349"/>
        <v>0</v>
      </c>
      <c r="U2203">
        <f t="shared" si="348"/>
        <v>0</v>
      </c>
    </row>
    <row r="2204" spans="1:21" x14ac:dyDescent="0.25">
      <c r="A2204">
        <v>2203</v>
      </c>
      <c r="B2204" t="s">
        <v>82</v>
      </c>
      <c r="C2204" t="s">
        <v>181</v>
      </c>
      <c r="D2204">
        <v>7.31</v>
      </c>
      <c r="E2204" s="89" t="s">
        <v>582</v>
      </c>
      <c r="F2204">
        <v>1.03</v>
      </c>
      <c r="G2204">
        <v>32.65</v>
      </c>
      <c r="H2204">
        <v>46.71</v>
      </c>
      <c r="I2204">
        <v>88.9</v>
      </c>
      <c r="J2204">
        <v>31.26</v>
      </c>
      <c r="K2204">
        <v>56.3</v>
      </c>
      <c r="L2204">
        <f t="shared" si="340"/>
        <v>0</v>
      </c>
      <c r="M2204">
        <f t="shared" si="341"/>
        <v>1</v>
      </c>
      <c r="N2204">
        <f t="shared" si="342"/>
        <v>0</v>
      </c>
      <c r="O2204">
        <f t="shared" si="343"/>
        <v>0</v>
      </c>
      <c r="P2204">
        <f t="shared" si="344"/>
        <v>0</v>
      </c>
      <c r="Q2204">
        <f t="shared" si="345"/>
        <v>0</v>
      </c>
      <c r="R2204">
        <f t="shared" si="346"/>
        <v>0</v>
      </c>
      <c r="S2204">
        <f t="shared" si="347"/>
        <v>0</v>
      </c>
      <c r="T2204">
        <f t="shared" si="349"/>
        <v>1</v>
      </c>
      <c r="U2204">
        <f t="shared" si="348"/>
        <v>1</v>
      </c>
    </row>
    <row r="2205" spans="1:21" x14ac:dyDescent="0.25">
      <c r="A2205">
        <v>2204</v>
      </c>
      <c r="B2205" t="s">
        <v>82</v>
      </c>
      <c r="C2205" t="s">
        <v>183</v>
      </c>
      <c r="D2205">
        <v>6.05</v>
      </c>
      <c r="E2205" s="80">
        <v>31815.08</v>
      </c>
      <c r="F2205">
        <v>116.51</v>
      </c>
      <c r="G2205">
        <v>50.53</v>
      </c>
      <c r="H2205">
        <v>3275.22</v>
      </c>
      <c r="I2205" s="80">
        <v>20398.939999999999</v>
      </c>
      <c r="J2205">
        <v>43.79</v>
      </c>
      <c r="K2205">
        <v>4574.82</v>
      </c>
      <c r="L2205">
        <f t="shared" si="340"/>
        <v>0</v>
      </c>
      <c r="M2205">
        <f t="shared" si="341"/>
        <v>0</v>
      </c>
      <c r="N2205">
        <f t="shared" si="342"/>
        <v>0</v>
      </c>
      <c r="O2205">
        <f t="shared" si="343"/>
        <v>0</v>
      </c>
      <c r="P2205">
        <f t="shared" si="344"/>
        <v>0</v>
      </c>
      <c r="Q2205">
        <f t="shared" si="345"/>
        <v>0</v>
      </c>
      <c r="R2205">
        <f t="shared" si="346"/>
        <v>0</v>
      </c>
      <c r="S2205">
        <f t="shared" si="347"/>
        <v>0</v>
      </c>
      <c r="T2205">
        <f t="shared" si="349"/>
        <v>0</v>
      </c>
      <c r="U2205">
        <f t="shared" si="348"/>
        <v>0</v>
      </c>
    </row>
    <row r="2206" spans="1:21" x14ac:dyDescent="0.25">
      <c r="A2206">
        <v>2205</v>
      </c>
      <c r="B2206" t="s">
        <v>82</v>
      </c>
      <c r="C2206" t="s">
        <v>186</v>
      </c>
      <c r="D2206">
        <v>21.79</v>
      </c>
      <c r="E2206" s="80">
        <v>37850.54</v>
      </c>
      <c r="F2206">
        <v>600.75</v>
      </c>
      <c r="G2206">
        <v>138.22</v>
      </c>
      <c r="H2206" s="80">
        <v>24356.67</v>
      </c>
      <c r="I2206" s="80">
        <v>24073.05</v>
      </c>
      <c r="J2206">
        <v>74.61</v>
      </c>
      <c r="K2206" s="80">
        <v>13820.65</v>
      </c>
      <c r="L2206">
        <f t="shared" si="340"/>
        <v>0</v>
      </c>
      <c r="M2206">
        <f t="shared" si="341"/>
        <v>0</v>
      </c>
      <c r="N2206">
        <f t="shared" si="342"/>
        <v>0</v>
      </c>
      <c r="O2206">
        <f t="shared" si="343"/>
        <v>0</v>
      </c>
      <c r="P2206">
        <f t="shared" si="344"/>
        <v>0</v>
      </c>
      <c r="Q2206">
        <f t="shared" si="345"/>
        <v>0</v>
      </c>
      <c r="R2206">
        <f t="shared" si="346"/>
        <v>0</v>
      </c>
      <c r="S2206">
        <f t="shared" si="347"/>
        <v>0</v>
      </c>
      <c r="T2206">
        <f t="shared" si="349"/>
        <v>0</v>
      </c>
      <c r="U2206">
        <f t="shared" si="348"/>
        <v>0</v>
      </c>
    </row>
    <row r="2207" spans="1:21" x14ac:dyDescent="0.25">
      <c r="A2207">
        <v>2206</v>
      </c>
      <c r="B2207" t="s">
        <v>82</v>
      </c>
      <c r="C2207" t="s">
        <v>188</v>
      </c>
      <c r="D2207">
        <v>30.83</v>
      </c>
      <c r="E2207" s="89" t="s">
        <v>582</v>
      </c>
      <c r="F2207">
        <v>206.72</v>
      </c>
      <c r="G2207">
        <v>163.31</v>
      </c>
      <c r="H2207">
        <v>4511.5600000000004</v>
      </c>
      <c r="I2207" s="80">
        <v>21532.18</v>
      </c>
      <c r="J2207">
        <v>89.25</v>
      </c>
      <c r="K2207" s="80">
        <v>16326.7</v>
      </c>
      <c r="L2207">
        <f t="shared" si="340"/>
        <v>0</v>
      </c>
      <c r="M2207">
        <f t="shared" si="341"/>
        <v>1</v>
      </c>
      <c r="N2207">
        <f t="shared" si="342"/>
        <v>0</v>
      </c>
      <c r="O2207">
        <f t="shared" si="343"/>
        <v>0</v>
      </c>
      <c r="P2207">
        <f t="shared" si="344"/>
        <v>0</v>
      </c>
      <c r="Q2207">
        <f t="shared" si="345"/>
        <v>0</v>
      </c>
      <c r="R2207">
        <f t="shared" si="346"/>
        <v>0</v>
      </c>
      <c r="S2207">
        <f t="shared" si="347"/>
        <v>0</v>
      </c>
      <c r="T2207">
        <f t="shared" si="349"/>
        <v>1</v>
      </c>
      <c r="U2207">
        <f t="shared" si="348"/>
        <v>1</v>
      </c>
    </row>
    <row r="2208" spans="1:21" x14ac:dyDescent="0.25">
      <c r="A2208">
        <v>2207</v>
      </c>
      <c r="B2208" t="s">
        <v>82</v>
      </c>
      <c r="C2208" t="s">
        <v>182</v>
      </c>
      <c r="D2208" t="s">
        <v>583</v>
      </c>
      <c r="E2208">
        <v>4605.76</v>
      </c>
      <c r="F2208">
        <v>0.08</v>
      </c>
      <c r="G2208">
        <v>7.37</v>
      </c>
      <c r="H2208" s="80">
        <v>0.04</v>
      </c>
      <c r="I2208">
        <v>0.15</v>
      </c>
      <c r="J2208">
        <v>1.1100000000000001</v>
      </c>
      <c r="K2208">
        <v>0.48</v>
      </c>
      <c r="L2208">
        <f t="shared" si="340"/>
        <v>0</v>
      </c>
      <c r="M2208">
        <f t="shared" si="341"/>
        <v>0</v>
      </c>
      <c r="N2208">
        <f t="shared" si="342"/>
        <v>0</v>
      </c>
      <c r="O2208">
        <f t="shared" si="343"/>
        <v>0</v>
      </c>
      <c r="P2208">
        <f t="shared" si="344"/>
        <v>0</v>
      </c>
      <c r="Q2208">
        <f t="shared" si="345"/>
        <v>0</v>
      </c>
      <c r="R2208">
        <f t="shared" si="346"/>
        <v>0</v>
      </c>
      <c r="S2208">
        <f t="shared" si="347"/>
        <v>0</v>
      </c>
      <c r="T2208">
        <f t="shared" si="349"/>
        <v>0</v>
      </c>
      <c r="U2208">
        <f t="shared" si="348"/>
        <v>0</v>
      </c>
    </row>
    <row r="2209" spans="1:21" x14ac:dyDescent="0.25">
      <c r="A2209">
        <v>2208</v>
      </c>
      <c r="B2209" t="s">
        <v>82</v>
      </c>
      <c r="C2209" t="s">
        <v>184</v>
      </c>
      <c r="D2209">
        <v>181.7</v>
      </c>
      <c r="E2209">
        <v>23381.67</v>
      </c>
      <c r="F2209">
        <v>516.95000000000005</v>
      </c>
      <c r="G2209">
        <v>97.13</v>
      </c>
      <c r="H2209">
        <v>8036.04</v>
      </c>
      <c r="I2209" s="80">
        <v>19720.25</v>
      </c>
      <c r="J2209">
        <v>47.05</v>
      </c>
      <c r="K2209">
        <v>3759.51</v>
      </c>
      <c r="L2209">
        <f t="shared" si="340"/>
        <v>0</v>
      </c>
      <c r="M2209">
        <f t="shared" si="341"/>
        <v>0</v>
      </c>
      <c r="N2209">
        <f t="shared" si="342"/>
        <v>0</v>
      </c>
      <c r="O2209">
        <f t="shared" si="343"/>
        <v>0</v>
      </c>
      <c r="P2209">
        <f t="shared" si="344"/>
        <v>0</v>
      </c>
      <c r="Q2209">
        <f t="shared" si="345"/>
        <v>0</v>
      </c>
      <c r="R2209">
        <f t="shared" si="346"/>
        <v>0</v>
      </c>
      <c r="S2209">
        <f t="shared" si="347"/>
        <v>0</v>
      </c>
      <c r="T2209">
        <f t="shared" si="349"/>
        <v>0</v>
      </c>
      <c r="U2209">
        <f t="shared" si="348"/>
        <v>0</v>
      </c>
    </row>
    <row r="2210" spans="1:21" x14ac:dyDescent="0.25">
      <c r="A2210">
        <v>2209</v>
      </c>
      <c r="B2210" t="s">
        <v>82</v>
      </c>
      <c r="C2210" t="s">
        <v>187</v>
      </c>
      <c r="D2210">
        <v>690.02</v>
      </c>
      <c r="E2210">
        <v>20499.439999999999</v>
      </c>
      <c r="F2210">
        <v>514.92999999999995</v>
      </c>
      <c r="G2210">
        <v>126.1</v>
      </c>
      <c r="H2210" s="80">
        <v>27702.02</v>
      </c>
      <c r="I2210" s="80">
        <v>18521.759999999998</v>
      </c>
      <c r="J2210">
        <v>60.51</v>
      </c>
      <c r="K2210" s="80">
        <v>11503.96</v>
      </c>
      <c r="L2210">
        <f t="shared" si="340"/>
        <v>0</v>
      </c>
      <c r="M2210">
        <f t="shared" si="341"/>
        <v>0</v>
      </c>
      <c r="N2210">
        <f t="shared" si="342"/>
        <v>0</v>
      </c>
      <c r="O2210">
        <f t="shared" si="343"/>
        <v>0</v>
      </c>
      <c r="P2210">
        <f t="shared" si="344"/>
        <v>0</v>
      </c>
      <c r="Q2210">
        <f t="shared" si="345"/>
        <v>0</v>
      </c>
      <c r="R2210">
        <f t="shared" si="346"/>
        <v>0</v>
      </c>
      <c r="S2210">
        <f t="shared" si="347"/>
        <v>0</v>
      </c>
      <c r="T2210">
        <f t="shared" si="349"/>
        <v>0</v>
      </c>
      <c r="U2210">
        <f t="shared" si="348"/>
        <v>0</v>
      </c>
    </row>
    <row r="2211" spans="1:21" x14ac:dyDescent="0.25">
      <c r="A2211">
        <v>2210</v>
      </c>
      <c r="B2211" t="s">
        <v>82</v>
      </c>
      <c r="C2211" t="s">
        <v>189</v>
      </c>
      <c r="D2211">
        <v>2360.09</v>
      </c>
      <c r="E2211">
        <v>19042.439999999999</v>
      </c>
      <c r="F2211">
        <v>4.12</v>
      </c>
      <c r="G2211">
        <v>126.1</v>
      </c>
      <c r="H2211" s="80">
        <v>16335.66</v>
      </c>
      <c r="I2211" s="80">
        <v>12077.03</v>
      </c>
      <c r="J2211">
        <v>96.76</v>
      </c>
      <c r="K2211" t="s">
        <v>582</v>
      </c>
      <c r="L2211">
        <f t="shared" si="340"/>
        <v>0</v>
      </c>
      <c r="M2211">
        <f t="shared" si="341"/>
        <v>0</v>
      </c>
      <c r="N2211">
        <f t="shared" si="342"/>
        <v>0</v>
      </c>
      <c r="O2211">
        <f t="shared" si="343"/>
        <v>0</v>
      </c>
      <c r="P2211">
        <f t="shared" si="344"/>
        <v>0</v>
      </c>
      <c r="Q2211">
        <f t="shared" si="345"/>
        <v>0</v>
      </c>
      <c r="R2211">
        <f t="shared" si="346"/>
        <v>0</v>
      </c>
      <c r="S2211">
        <f t="shared" si="347"/>
        <v>1</v>
      </c>
      <c r="T2211">
        <f t="shared" si="349"/>
        <v>1</v>
      </c>
      <c r="U2211">
        <f t="shared" si="348"/>
        <v>1</v>
      </c>
    </row>
    <row r="2212" spans="1:21" x14ac:dyDescent="0.25">
      <c r="A2212">
        <v>2211</v>
      </c>
      <c r="B2212" t="s">
        <v>68</v>
      </c>
      <c r="C2212" t="s">
        <v>162</v>
      </c>
      <c r="D2212">
        <v>10</v>
      </c>
      <c r="E2212" s="80">
        <v>257255.39</v>
      </c>
      <c r="F2212">
        <v>1.75</v>
      </c>
      <c r="G2212">
        <v>156.94</v>
      </c>
      <c r="H2212">
        <v>1.68</v>
      </c>
      <c r="I2212">
        <v>5.12</v>
      </c>
      <c r="J2212">
        <v>40.58</v>
      </c>
      <c r="K2212">
        <v>3.26</v>
      </c>
      <c r="L2212">
        <f t="shared" si="340"/>
        <v>0</v>
      </c>
      <c r="M2212">
        <f t="shared" si="341"/>
        <v>0</v>
      </c>
      <c r="N2212">
        <f t="shared" si="342"/>
        <v>0</v>
      </c>
      <c r="O2212">
        <f t="shared" si="343"/>
        <v>0</v>
      </c>
      <c r="P2212">
        <f t="shared" si="344"/>
        <v>0</v>
      </c>
      <c r="Q2212">
        <f t="shared" si="345"/>
        <v>0</v>
      </c>
      <c r="R2212">
        <f t="shared" si="346"/>
        <v>0</v>
      </c>
      <c r="S2212">
        <f t="shared" si="347"/>
        <v>0</v>
      </c>
      <c r="T2212">
        <f t="shared" si="349"/>
        <v>0</v>
      </c>
      <c r="U2212">
        <f t="shared" si="348"/>
        <v>0</v>
      </c>
    </row>
    <row r="2213" spans="1:21" x14ac:dyDescent="0.25">
      <c r="A2213">
        <v>2212</v>
      </c>
      <c r="B2213" t="s">
        <v>68</v>
      </c>
      <c r="C2213" t="s">
        <v>170</v>
      </c>
      <c r="D2213">
        <v>6.05</v>
      </c>
      <c r="E2213" s="80">
        <v>47124.26</v>
      </c>
      <c r="F2213">
        <v>332.15</v>
      </c>
      <c r="G2213">
        <v>126.1</v>
      </c>
      <c r="H2213">
        <v>160.47999999999999</v>
      </c>
      <c r="I2213" s="80">
        <v>11945.43</v>
      </c>
      <c r="J2213">
        <v>16.940000000000001</v>
      </c>
      <c r="K2213">
        <v>387.49</v>
      </c>
      <c r="L2213">
        <f t="shared" si="340"/>
        <v>0</v>
      </c>
      <c r="M2213">
        <f t="shared" si="341"/>
        <v>0</v>
      </c>
      <c r="N2213">
        <f t="shared" si="342"/>
        <v>0</v>
      </c>
      <c r="O2213">
        <f t="shared" si="343"/>
        <v>0</v>
      </c>
      <c r="P2213">
        <f t="shared" si="344"/>
        <v>0</v>
      </c>
      <c r="Q2213">
        <f t="shared" si="345"/>
        <v>0</v>
      </c>
      <c r="R2213">
        <f t="shared" si="346"/>
        <v>0</v>
      </c>
      <c r="S2213">
        <f t="shared" si="347"/>
        <v>0</v>
      </c>
      <c r="T2213">
        <f t="shared" si="349"/>
        <v>0</v>
      </c>
      <c r="U2213">
        <f t="shared" si="348"/>
        <v>0</v>
      </c>
    </row>
    <row r="2214" spans="1:21" x14ac:dyDescent="0.25">
      <c r="A2214">
        <v>2213</v>
      </c>
      <c r="B2214" t="s">
        <v>68</v>
      </c>
      <c r="C2214" t="s">
        <v>178</v>
      </c>
      <c r="D2214">
        <v>8.6300000000000008</v>
      </c>
      <c r="E2214" s="80">
        <v>82658.5</v>
      </c>
      <c r="F2214">
        <v>2022.52</v>
      </c>
      <c r="G2214">
        <v>120.15</v>
      </c>
      <c r="H2214">
        <v>1436.34</v>
      </c>
      <c r="I2214" s="80">
        <v>16787.77</v>
      </c>
      <c r="J2214">
        <v>37.42</v>
      </c>
      <c r="K2214">
        <v>775.7</v>
      </c>
      <c r="L2214">
        <f t="shared" si="340"/>
        <v>0</v>
      </c>
      <c r="M2214">
        <f t="shared" si="341"/>
        <v>0</v>
      </c>
      <c r="N2214">
        <f t="shared" si="342"/>
        <v>0</v>
      </c>
      <c r="O2214">
        <f t="shared" si="343"/>
        <v>0</v>
      </c>
      <c r="P2214">
        <f t="shared" si="344"/>
        <v>0</v>
      </c>
      <c r="Q2214">
        <f t="shared" si="345"/>
        <v>0</v>
      </c>
      <c r="R2214">
        <f t="shared" si="346"/>
        <v>0</v>
      </c>
      <c r="S2214">
        <f t="shared" si="347"/>
        <v>0</v>
      </c>
      <c r="T2214">
        <f t="shared" si="349"/>
        <v>0</v>
      </c>
      <c r="U2214">
        <f t="shared" si="348"/>
        <v>0</v>
      </c>
    </row>
    <row r="2215" spans="1:21" x14ac:dyDescent="0.25">
      <c r="A2215">
        <v>2214</v>
      </c>
      <c r="B2215" t="s">
        <v>68</v>
      </c>
      <c r="C2215" t="s">
        <v>163</v>
      </c>
      <c r="D2215">
        <v>63.36</v>
      </c>
      <c r="E2215" s="89" t="s">
        <v>582</v>
      </c>
      <c r="F2215">
        <v>2344.3000000000002</v>
      </c>
      <c r="G2215">
        <v>303.35000000000002</v>
      </c>
      <c r="H2215" s="80">
        <v>20036.759999999998</v>
      </c>
      <c r="I2215" s="80">
        <v>20028.32</v>
      </c>
      <c r="J2215">
        <v>119.97</v>
      </c>
      <c r="K2215" t="s">
        <v>582</v>
      </c>
      <c r="L2215">
        <f t="shared" si="340"/>
        <v>0</v>
      </c>
      <c r="M2215">
        <f t="shared" si="341"/>
        <v>1</v>
      </c>
      <c r="N2215">
        <f t="shared" si="342"/>
        <v>0</v>
      </c>
      <c r="O2215">
        <f t="shared" si="343"/>
        <v>0</v>
      </c>
      <c r="P2215">
        <f t="shared" si="344"/>
        <v>0</v>
      </c>
      <c r="Q2215">
        <f t="shared" si="345"/>
        <v>0</v>
      </c>
      <c r="R2215">
        <f t="shared" si="346"/>
        <v>0</v>
      </c>
      <c r="S2215">
        <f t="shared" si="347"/>
        <v>1</v>
      </c>
      <c r="T2215">
        <f t="shared" si="349"/>
        <v>2</v>
      </c>
      <c r="U2215">
        <f t="shared" si="348"/>
        <v>1</v>
      </c>
    </row>
    <row r="2216" spans="1:21" x14ac:dyDescent="0.25">
      <c r="A2216">
        <v>2215</v>
      </c>
      <c r="B2216" t="s">
        <v>68</v>
      </c>
      <c r="C2216" t="s">
        <v>181</v>
      </c>
      <c r="D2216">
        <v>11.43</v>
      </c>
      <c r="E2216" s="89" t="s">
        <v>582</v>
      </c>
      <c r="F2216">
        <v>1.25</v>
      </c>
      <c r="G2216">
        <v>91.58</v>
      </c>
      <c r="H2216">
        <v>15.7</v>
      </c>
      <c r="I2216">
        <v>303.17</v>
      </c>
      <c r="J2216">
        <v>43.79</v>
      </c>
      <c r="K2216">
        <v>52</v>
      </c>
      <c r="L2216">
        <f t="shared" si="340"/>
        <v>0</v>
      </c>
      <c r="M2216">
        <f t="shared" si="341"/>
        <v>1</v>
      </c>
      <c r="N2216">
        <f t="shared" si="342"/>
        <v>0</v>
      </c>
      <c r="O2216">
        <f t="shared" si="343"/>
        <v>0</v>
      </c>
      <c r="P2216">
        <f t="shared" si="344"/>
        <v>0</v>
      </c>
      <c r="Q2216">
        <f t="shared" si="345"/>
        <v>0</v>
      </c>
      <c r="R2216">
        <f t="shared" si="346"/>
        <v>0</v>
      </c>
      <c r="S2216">
        <f t="shared" si="347"/>
        <v>0</v>
      </c>
      <c r="T2216">
        <f t="shared" si="349"/>
        <v>1</v>
      </c>
      <c r="U2216">
        <f t="shared" si="348"/>
        <v>1</v>
      </c>
    </row>
    <row r="2217" spans="1:21" x14ac:dyDescent="0.25">
      <c r="A2217">
        <v>2216</v>
      </c>
      <c r="B2217" t="s">
        <v>68</v>
      </c>
      <c r="C2217" t="s">
        <v>183</v>
      </c>
      <c r="D2217">
        <v>14.43</v>
      </c>
      <c r="E2217" s="89" t="s">
        <v>582</v>
      </c>
      <c r="F2217">
        <v>1514.5</v>
      </c>
      <c r="G2217">
        <v>108.48</v>
      </c>
      <c r="H2217">
        <v>2436.85</v>
      </c>
      <c r="I2217" s="80">
        <v>22311.5</v>
      </c>
      <c r="J2217">
        <v>60.51</v>
      </c>
      <c r="K2217">
        <v>2889.86</v>
      </c>
      <c r="L2217">
        <f t="shared" si="340"/>
        <v>0</v>
      </c>
      <c r="M2217">
        <f t="shared" si="341"/>
        <v>1</v>
      </c>
      <c r="N2217">
        <f t="shared" si="342"/>
        <v>0</v>
      </c>
      <c r="O2217">
        <f t="shared" si="343"/>
        <v>0</v>
      </c>
      <c r="P2217">
        <f t="shared" si="344"/>
        <v>0</v>
      </c>
      <c r="Q2217">
        <f t="shared" si="345"/>
        <v>0</v>
      </c>
      <c r="R2217">
        <f t="shared" si="346"/>
        <v>0</v>
      </c>
      <c r="S2217">
        <f t="shared" si="347"/>
        <v>0</v>
      </c>
      <c r="T2217">
        <f t="shared" si="349"/>
        <v>1</v>
      </c>
      <c r="U2217">
        <f t="shared" si="348"/>
        <v>1</v>
      </c>
    </row>
    <row r="2218" spans="1:21" x14ac:dyDescent="0.25">
      <c r="A2218">
        <v>2217</v>
      </c>
      <c r="B2218" t="s">
        <v>68</v>
      </c>
      <c r="C2218" t="s">
        <v>186</v>
      </c>
      <c r="D2218">
        <v>22.66</v>
      </c>
      <c r="E2218" s="89" t="s">
        <v>582</v>
      </c>
      <c r="F2218" s="80">
        <v>6085.53</v>
      </c>
      <c r="G2218">
        <v>176.26</v>
      </c>
      <c r="H2218">
        <v>14254.62</v>
      </c>
      <c r="I2218" s="80">
        <v>24236.53</v>
      </c>
      <c r="J2218">
        <v>85.54</v>
      </c>
      <c r="K2218" s="80">
        <v>9456.32</v>
      </c>
      <c r="L2218">
        <f t="shared" si="340"/>
        <v>0</v>
      </c>
      <c r="M2218">
        <f t="shared" si="341"/>
        <v>1</v>
      </c>
      <c r="N2218">
        <f t="shared" si="342"/>
        <v>0</v>
      </c>
      <c r="O2218">
        <f t="shared" si="343"/>
        <v>0</v>
      </c>
      <c r="P2218">
        <f t="shared" si="344"/>
        <v>0</v>
      </c>
      <c r="Q2218">
        <f t="shared" si="345"/>
        <v>0</v>
      </c>
      <c r="R2218">
        <f t="shared" si="346"/>
        <v>0</v>
      </c>
      <c r="S2218">
        <f t="shared" si="347"/>
        <v>0</v>
      </c>
      <c r="T2218">
        <f t="shared" si="349"/>
        <v>1</v>
      </c>
      <c r="U2218">
        <f t="shared" si="348"/>
        <v>1</v>
      </c>
    </row>
    <row r="2219" spans="1:21" x14ac:dyDescent="0.25">
      <c r="A2219">
        <v>2218</v>
      </c>
      <c r="B2219" t="s">
        <v>68</v>
      </c>
      <c r="C2219" t="s">
        <v>188</v>
      </c>
      <c r="D2219">
        <v>35.64</v>
      </c>
      <c r="E2219" s="89" t="s">
        <v>582</v>
      </c>
      <c r="F2219">
        <v>1878.06</v>
      </c>
      <c r="G2219">
        <v>244.65</v>
      </c>
      <c r="H2219">
        <v>8942.27</v>
      </c>
      <c r="I2219" s="80">
        <v>23374.81</v>
      </c>
      <c r="J2219">
        <v>108.24</v>
      </c>
      <c r="K2219" s="80">
        <v>26115.37</v>
      </c>
      <c r="L2219">
        <f t="shared" si="340"/>
        <v>0</v>
      </c>
      <c r="M2219">
        <f t="shared" si="341"/>
        <v>1</v>
      </c>
      <c r="N2219">
        <f t="shared" si="342"/>
        <v>0</v>
      </c>
      <c r="O2219">
        <f t="shared" si="343"/>
        <v>0</v>
      </c>
      <c r="P2219">
        <f t="shared" si="344"/>
        <v>0</v>
      </c>
      <c r="Q2219">
        <f t="shared" si="345"/>
        <v>0</v>
      </c>
      <c r="R2219">
        <f t="shared" si="346"/>
        <v>0</v>
      </c>
      <c r="S2219">
        <f t="shared" si="347"/>
        <v>0</v>
      </c>
      <c r="T2219">
        <f t="shared" si="349"/>
        <v>1</v>
      </c>
      <c r="U2219">
        <f t="shared" si="348"/>
        <v>1</v>
      </c>
    </row>
    <row r="2220" spans="1:21" x14ac:dyDescent="0.25">
      <c r="A2220">
        <v>2219</v>
      </c>
      <c r="B2220" t="s">
        <v>68</v>
      </c>
      <c r="C2220" t="s">
        <v>182</v>
      </c>
      <c r="D2220" t="s">
        <v>583</v>
      </c>
      <c r="E2220">
        <v>1394.43</v>
      </c>
      <c r="F2220">
        <v>0.22</v>
      </c>
      <c r="G2220">
        <v>4.66</v>
      </c>
      <c r="H2220">
        <v>0.56000000000000005</v>
      </c>
      <c r="I2220">
        <v>6.61</v>
      </c>
      <c r="J2220">
        <v>1.1100000000000001</v>
      </c>
      <c r="K2220">
        <v>0.6</v>
      </c>
      <c r="L2220">
        <f t="shared" si="340"/>
        <v>0</v>
      </c>
      <c r="M2220">
        <f t="shared" si="341"/>
        <v>0</v>
      </c>
      <c r="N2220">
        <f t="shared" si="342"/>
        <v>0</v>
      </c>
      <c r="O2220">
        <f t="shared" si="343"/>
        <v>0</v>
      </c>
      <c r="P2220">
        <f t="shared" si="344"/>
        <v>0</v>
      </c>
      <c r="Q2220">
        <f t="shared" si="345"/>
        <v>0</v>
      </c>
      <c r="R2220">
        <f t="shared" si="346"/>
        <v>0</v>
      </c>
      <c r="S2220">
        <f t="shared" si="347"/>
        <v>0</v>
      </c>
      <c r="T2220">
        <f t="shared" si="349"/>
        <v>0</v>
      </c>
      <c r="U2220">
        <f t="shared" si="348"/>
        <v>0</v>
      </c>
    </row>
    <row r="2221" spans="1:21" x14ac:dyDescent="0.25">
      <c r="A2221" s="50">
        <v>2220</v>
      </c>
      <c r="B2221" t="s">
        <v>68</v>
      </c>
      <c r="C2221" t="s">
        <v>184</v>
      </c>
      <c r="D2221">
        <v>5.44</v>
      </c>
      <c r="E2221">
        <v>14366.61</v>
      </c>
      <c r="F2221">
        <v>239.19</v>
      </c>
      <c r="G2221">
        <v>65.180000000000007</v>
      </c>
      <c r="H2221">
        <v>4567.47</v>
      </c>
      <c r="I2221" s="80">
        <v>15840.86</v>
      </c>
      <c r="J2221">
        <v>25.33</v>
      </c>
      <c r="K2221">
        <v>962.23</v>
      </c>
      <c r="L2221">
        <f t="shared" si="340"/>
        <v>0</v>
      </c>
      <c r="M2221">
        <f t="shared" si="341"/>
        <v>0</v>
      </c>
      <c r="N2221">
        <f t="shared" si="342"/>
        <v>0</v>
      </c>
      <c r="O2221">
        <f t="shared" si="343"/>
        <v>0</v>
      </c>
      <c r="P2221">
        <f t="shared" si="344"/>
        <v>0</v>
      </c>
      <c r="Q2221">
        <f t="shared" si="345"/>
        <v>0</v>
      </c>
      <c r="R2221">
        <f t="shared" si="346"/>
        <v>0</v>
      </c>
      <c r="S2221">
        <f t="shared" si="347"/>
        <v>0</v>
      </c>
      <c r="T2221">
        <f t="shared" si="349"/>
        <v>0</v>
      </c>
      <c r="U2221">
        <f t="shared" si="348"/>
        <v>0</v>
      </c>
    </row>
    <row r="2222" spans="1:21" x14ac:dyDescent="0.25">
      <c r="A2222" s="59">
        <v>2221</v>
      </c>
      <c r="B2222" t="s">
        <v>68</v>
      </c>
      <c r="C2222" t="s">
        <v>187</v>
      </c>
      <c r="D2222">
        <v>11.43</v>
      </c>
      <c r="E2222">
        <v>18827.939999999999</v>
      </c>
      <c r="F2222">
        <v>581.41</v>
      </c>
      <c r="G2222">
        <v>80.739999999999995</v>
      </c>
      <c r="H2222">
        <v>10803.85</v>
      </c>
      <c r="I2222" s="80">
        <v>16866.03</v>
      </c>
      <c r="J2222">
        <v>32.78</v>
      </c>
      <c r="K2222">
        <v>2310.4899999999998</v>
      </c>
      <c r="L2222">
        <f t="shared" si="340"/>
        <v>0</v>
      </c>
      <c r="M2222">
        <f t="shared" si="341"/>
        <v>0</v>
      </c>
      <c r="N2222">
        <f t="shared" si="342"/>
        <v>0</v>
      </c>
      <c r="O2222">
        <f t="shared" si="343"/>
        <v>0</v>
      </c>
      <c r="P2222">
        <f t="shared" si="344"/>
        <v>0</v>
      </c>
      <c r="Q2222">
        <f t="shared" si="345"/>
        <v>0</v>
      </c>
      <c r="R2222">
        <f t="shared" si="346"/>
        <v>0</v>
      </c>
      <c r="S2222">
        <f t="shared" si="347"/>
        <v>0</v>
      </c>
      <c r="T2222">
        <f t="shared" si="349"/>
        <v>0</v>
      </c>
      <c r="U2222">
        <f t="shared" si="348"/>
        <v>0</v>
      </c>
    </row>
    <row r="2223" spans="1:21" x14ac:dyDescent="0.25">
      <c r="A2223">
        <v>2222</v>
      </c>
      <c r="B2223" t="s">
        <v>68</v>
      </c>
      <c r="C2223" t="s">
        <v>189</v>
      </c>
      <c r="D2223">
        <v>3.73</v>
      </c>
      <c r="E2223">
        <v>7044.45</v>
      </c>
      <c r="F2223">
        <v>11.11</v>
      </c>
      <c r="G2223">
        <v>70.27</v>
      </c>
      <c r="H2223">
        <v>9468.5</v>
      </c>
      <c r="I2223" s="80">
        <v>7739.53</v>
      </c>
      <c r="J2223">
        <v>23.89</v>
      </c>
      <c r="K2223">
        <v>4881.4399999999996</v>
      </c>
      <c r="L2223">
        <f t="shared" si="340"/>
        <v>0</v>
      </c>
      <c r="M2223">
        <f t="shared" si="341"/>
        <v>0</v>
      </c>
      <c r="N2223">
        <f t="shared" si="342"/>
        <v>0</v>
      </c>
      <c r="O2223">
        <f t="shared" si="343"/>
        <v>0</v>
      </c>
      <c r="P2223">
        <f t="shared" si="344"/>
        <v>0</v>
      </c>
      <c r="Q2223">
        <f t="shared" si="345"/>
        <v>0</v>
      </c>
      <c r="R2223">
        <f t="shared" si="346"/>
        <v>0</v>
      </c>
      <c r="S2223">
        <f t="shared" si="347"/>
        <v>0</v>
      </c>
      <c r="T2223">
        <f t="shared" si="349"/>
        <v>0</v>
      </c>
      <c r="U2223">
        <f t="shared" si="348"/>
        <v>0</v>
      </c>
    </row>
    <row r="2224" spans="1:21" x14ac:dyDescent="0.25">
      <c r="A2224">
        <v>2223</v>
      </c>
      <c r="B2224" t="s">
        <v>83</v>
      </c>
      <c r="C2224" t="s">
        <v>162</v>
      </c>
      <c r="D2224">
        <v>10</v>
      </c>
      <c r="E2224" s="89" t="s">
        <v>582</v>
      </c>
      <c r="F2224">
        <v>0.6</v>
      </c>
      <c r="G2224">
        <v>70.27</v>
      </c>
      <c r="H2224">
        <v>1.93</v>
      </c>
      <c r="I2224">
        <v>8.67</v>
      </c>
      <c r="J2224">
        <v>19.66</v>
      </c>
      <c r="K2224">
        <v>3.63</v>
      </c>
      <c r="L2224">
        <f t="shared" si="340"/>
        <v>0</v>
      </c>
      <c r="M2224">
        <f t="shared" si="341"/>
        <v>1</v>
      </c>
      <c r="N2224">
        <f t="shared" si="342"/>
        <v>0</v>
      </c>
      <c r="O2224">
        <f t="shared" si="343"/>
        <v>0</v>
      </c>
      <c r="P2224">
        <f t="shared" si="344"/>
        <v>0</v>
      </c>
      <c r="Q2224">
        <f t="shared" si="345"/>
        <v>0</v>
      </c>
      <c r="R2224">
        <f t="shared" si="346"/>
        <v>0</v>
      </c>
      <c r="S2224">
        <f t="shared" si="347"/>
        <v>0</v>
      </c>
      <c r="T2224">
        <f t="shared" si="349"/>
        <v>1</v>
      </c>
      <c r="U2224">
        <f t="shared" si="348"/>
        <v>1</v>
      </c>
    </row>
    <row r="2225" spans="1:21" x14ac:dyDescent="0.25">
      <c r="A2225">
        <v>2224</v>
      </c>
      <c r="B2225" t="s">
        <v>83</v>
      </c>
      <c r="C2225" t="s">
        <v>170</v>
      </c>
      <c r="D2225">
        <v>11.43</v>
      </c>
      <c r="E2225" s="80">
        <v>87761.74</v>
      </c>
      <c r="F2225">
        <v>78.75</v>
      </c>
      <c r="G2225">
        <v>102.76</v>
      </c>
      <c r="H2225">
        <v>834.61</v>
      </c>
      <c r="I2225" s="80">
        <v>10410.02</v>
      </c>
      <c r="J2225">
        <v>31.26</v>
      </c>
      <c r="K2225">
        <v>120.35</v>
      </c>
      <c r="L2225">
        <f t="shared" si="340"/>
        <v>0</v>
      </c>
      <c r="M2225">
        <f t="shared" si="341"/>
        <v>0</v>
      </c>
      <c r="N2225">
        <f t="shared" si="342"/>
        <v>0</v>
      </c>
      <c r="O2225">
        <f t="shared" si="343"/>
        <v>0</v>
      </c>
      <c r="P2225">
        <f t="shared" si="344"/>
        <v>0</v>
      </c>
      <c r="Q2225">
        <f t="shared" si="345"/>
        <v>0</v>
      </c>
      <c r="R2225">
        <f t="shared" si="346"/>
        <v>0</v>
      </c>
      <c r="S2225">
        <f t="shared" si="347"/>
        <v>0</v>
      </c>
      <c r="T2225">
        <f t="shared" si="349"/>
        <v>0</v>
      </c>
      <c r="U2225">
        <f t="shared" si="348"/>
        <v>0</v>
      </c>
    </row>
    <row r="2226" spans="1:21" x14ac:dyDescent="0.25">
      <c r="A2226">
        <v>2225</v>
      </c>
      <c r="B2226" t="s">
        <v>83</v>
      </c>
      <c r="C2226" t="s">
        <v>178</v>
      </c>
      <c r="D2226">
        <v>20.93</v>
      </c>
      <c r="E2226" s="80">
        <v>214025.91</v>
      </c>
      <c r="F2226">
        <v>990.85</v>
      </c>
      <c r="G2226">
        <v>169.76</v>
      </c>
      <c r="H2226">
        <v>14352.51</v>
      </c>
      <c r="I2226" s="80">
        <v>18094.77</v>
      </c>
      <c r="J2226">
        <v>53.7</v>
      </c>
      <c r="K2226">
        <v>797.97</v>
      </c>
      <c r="L2226">
        <f t="shared" si="340"/>
        <v>0</v>
      </c>
      <c r="M2226">
        <f t="shared" si="341"/>
        <v>0</v>
      </c>
      <c r="N2226">
        <f t="shared" si="342"/>
        <v>0</v>
      </c>
      <c r="O2226">
        <f t="shared" si="343"/>
        <v>0</v>
      </c>
      <c r="P2226">
        <f t="shared" si="344"/>
        <v>0</v>
      </c>
      <c r="Q2226">
        <f t="shared" si="345"/>
        <v>0</v>
      </c>
      <c r="R2226">
        <f t="shared" si="346"/>
        <v>0</v>
      </c>
      <c r="S2226">
        <f t="shared" si="347"/>
        <v>0</v>
      </c>
      <c r="T2226">
        <f t="shared" si="349"/>
        <v>0</v>
      </c>
      <c r="U2226">
        <f t="shared" si="348"/>
        <v>0</v>
      </c>
    </row>
    <row r="2227" spans="1:21" x14ac:dyDescent="0.25">
      <c r="A2227">
        <v>2226</v>
      </c>
      <c r="B2227" t="s">
        <v>83</v>
      </c>
      <c r="C2227" t="s">
        <v>163</v>
      </c>
      <c r="D2227">
        <v>23.53</v>
      </c>
      <c r="E2227" s="89" t="s">
        <v>582</v>
      </c>
      <c r="F2227">
        <v>821.01</v>
      </c>
      <c r="G2227">
        <v>138.22</v>
      </c>
      <c r="H2227">
        <v>11118.51</v>
      </c>
      <c r="I2227" s="80">
        <v>15387.25</v>
      </c>
      <c r="J2227">
        <v>85.54</v>
      </c>
      <c r="K2227">
        <v>7028.97</v>
      </c>
      <c r="L2227">
        <f t="shared" si="340"/>
        <v>0</v>
      </c>
      <c r="M2227">
        <f t="shared" si="341"/>
        <v>1</v>
      </c>
      <c r="N2227">
        <f t="shared" si="342"/>
        <v>0</v>
      </c>
      <c r="O2227">
        <f t="shared" si="343"/>
        <v>0</v>
      </c>
      <c r="P2227">
        <f t="shared" si="344"/>
        <v>0</v>
      </c>
      <c r="Q2227">
        <f t="shared" si="345"/>
        <v>0</v>
      </c>
      <c r="R2227">
        <f t="shared" si="346"/>
        <v>0</v>
      </c>
      <c r="S2227">
        <f t="shared" si="347"/>
        <v>0</v>
      </c>
      <c r="T2227">
        <f t="shared" si="349"/>
        <v>1</v>
      </c>
      <c r="U2227">
        <f t="shared" si="348"/>
        <v>1</v>
      </c>
    </row>
    <row r="2228" spans="1:21" x14ac:dyDescent="0.25">
      <c r="A2228">
        <v>2227</v>
      </c>
      <c r="B2228" t="s">
        <v>83</v>
      </c>
      <c r="C2228" t="s">
        <v>181</v>
      </c>
      <c r="D2228">
        <v>1.76</v>
      </c>
      <c r="E2228" s="89"/>
      <c r="F2228">
        <v>984.83</v>
      </c>
      <c r="G2228">
        <v>176.26</v>
      </c>
      <c r="H2228">
        <v>10651.35</v>
      </c>
      <c r="I2228">
        <v>15297.31</v>
      </c>
      <c r="J2228">
        <v>19.66</v>
      </c>
      <c r="K2228">
        <v>6078.49</v>
      </c>
      <c r="L2228">
        <f t="shared" si="340"/>
        <v>0</v>
      </c>
      <c r="M2228">
        <f t="shared" si="341"/>
        <v>0</v>
      </c>
      <c r="N2228">
        <f t="shared" si="342"/>
        <v>0</v>
      </c>
      <c r="O2228">
        <f t="shared" si="343"/>
        <v>0</v>
      </c>
      <c r="P2228">
        <f t="shared" si="344"/>
        <v>0</v>
      </c>
      <c r="Q2228">
        <f t="shared" si="345"/>
        <v>0</v>
      </c>
      <c r="R2228">
        <f t="shared" si="346"/>
        <v>0</v>
      </c>
      <c r="S2228">
        <f t="shared" si="347"/>
        <v>0</v>
      </c>
      <c r="T2228">
        <f t="shared" si="349"/>
        <v>0</v>
      </c>
      <c r="U2228">
        <f t="shared" si="348"/>
        <v>0</v>
      </c>
    </row>
    <row r="2229" spans="1:21" x14ac:dyDescent="0.25">
      <c r="A2229">
        <v>2228</v>
      </c>
      <c r="B2229" t="s">
        <v>83</v>
      </c>
      <c r="C2229" t="s">
        <v>183</v>
      </c>
      <c r="D2229" s="89"/>
      <c r="E2229" s="89"/>
      <c r="F2229" s="89"/>
      <c r="G2229" s="89"/>
      <c r="H2229" s="89"/>
      <c r="I2229" s="89"/>
      <c r="J2229" s="89"/>
      <c r="K2229" s="89"/>
      <c r="L2229">
        <f t="shared" si="340"/>
        <v>0</v>
      </c>
      <c r="M2229">
        <f t="shared" si="341"/>
        <v>0</v>
      </c>
      <c r="N2229">
        <f t="shared" si="342"/>
        <v>0</v>
      </c>
      <c r="O2229">
        <f t="shared" si="343"/>
        <v>0</v>
      </c>
      <c r="P2229">
        <f t="shared" si="344"/>
        <v>0</v>
      </c>
      <c r="Q2229">
        <f t="shared" si="345"/>
        <v>0</v>
      </c>
      <c r="R2229">
        <f t="shared" si="346"/>
        <v>0</v>
      </c>
      <c r="S2229">
        <f t="shared" si="347"/>
        <v>0</v>
      </c>
      <c r="T2229">
        <f t="shared" si="349"/>
        <v>0</v>
      </c>
      <c r="U2229">
        <f t="shared" si="348"/>
        <v>0</v>
      </c>
    </row>
    <row r="2230" spans="1:21" x14ac:dyDescent="0.25">
      <c r="A2230">
        <v>2229</v>
      </c>
      <c r="B2230" t="s">
        <v>83</v>
      </c>
      <c r="C2230" t="s">
        <v>186</v>
      </c>
      <c r="D2230">
        <v>45.8</v>
      </c>
      <c r="E2230" s="89" t="s">
        <v>582</v>
      </c>
      <c r="F2230" s="80">
        <v>9706.14</v>
      </c>
      <c r="G2230">
        <v>244.65</v>
      </c>
      <c r="H2230" t="s">
        <v>582</v>
      </c>
      <c r="I2230" s="80">
        <v>24846.02</v>
      </c>
      <c r="J2230">
        <v>150.29</v>
      </c>
      <c r="K2230" s="80">
        <v>13234.46</v>
      </c>
      <c r="L2230">
        <f t="shared" si="340"/>
        <v>0</v>
      </c>
      <c r="M2230">
        <f t="shared" si="341"/>
        <v>1</v>
      </c>
      <c r="N2230">
        <f t="shared" si="342"/>
        <v>0</v>
      </c>
      <c r="O2230">
        <f t="shared" si="343"/>
        <v>0</v>
      </c>
      <c r="P2230">
        <f t="shared" si="344"/>
        <v>1</v>
      </c>
      <c r="Q2230">
        <f t="shared" si="345"/>
        <v>0</v>
      </c>
      <c r="R2230">
        <f t="shared" si="346"/>
        <v>0</v>
      </c>
      <c r="S2230">
        <f t="shared" si="347"/>
        <v>0</v>
      </c>
      <c r="T2230">
        <f t="shared" si="349"/>
        <v>2</v>
      </c>
      <c r="U2230">
        <f t="shared" si="348"/>
        <v>1</v>
      </c>
    </row>
    <row r="2231" spans="1:21" x14ac:dyDescent="0.25">
      <c r="A2231">
        <v>2230</v>
      </c>
      <c r="B2231" t="s">
        <v>83</v>
      </c>
      <c r="C2231" t="s">
        <v>188</v>
      </c>
      <c r="D2231">
        <v>37.619999999999997</v>
      </c>
      <c r="E2231" s="89" t="s">
        <v>582</v>
      </c>
      <c r="F2231">
        <v>565.04999999999995</v>
      </c>
      <c r="G2231">
        <v>169.76</v>
      </c>
      <c r="H2231">
        <v>10482.879999999999</v>
      </c>
      <c r="I2231" s="80">
        <v>20862.349999999999</v>
      </c>
      <c r="J2231">
        <v>53.7</v>
      </c>
      <c r="K2231">
        <v>4357.92</v>
      </c>
      <c r="L2231">
        <f t="shared" si="340"/>
        <v>0</v>
      </c>
      <c r="M2231">
        <f t="shared" si="341"/>
        <v>1</v>
      </c>
      <c r="N2231">
        <f t="shared" si="342"/>
        <v>0</v>
      </c>
      <c r="O2231">
        <f t="shared" si="343"/>
        <v>0</v>
      </c>
      <c r="P2231">
        <f t="shared" si="344"/>
        <v>0</v>
      </c>
      <c r="Q2231">
        <f t="shared" si="345"/>
        <v>0</v>
      </c>
      <c r="R2231">
        <f t="shared" si="346"/>
        <v>0</v>
      </c>
      <c r="S2231">
        <f t="shared" si="347"/>
        <v>0</v>
      </c>
      <c r="T2231">
        <f t="shared" si="349"/>
        <v>1</v>
      </c>
      <c r="U2231">
        <f t="shared" si="348"/>
        <v>1</v>
      </c>
    </row>
    <row r="2232" spans="1:21" x14ac:dyDescent="0.25">
      <c r="A2232">
        <v>2231</v>
      </c>
      <c r="B2232" t="s">
        <v>83</v>
      </c>
      <c r="C2232" t="s">
        <v>182</v>
      </c>
      <c r="D2232">
        <v>8.6300000000000008</v>
      </c>
      <c r="E2232">
        <v>21235.48</v>
      </c>
      <c r="F2232">
        <v>220.21</v>
      </c>
      <c r="G2232">
        <v>60.19</v>
      </c>
      <c r="H2232">
        <v>9745.7199999999993</v>
      </c>
      <c r="I2232" s="80">
        <v>21065.599999999999</v>
      </c>
      <c r="J2232">
        <v>60.51</v>
      </c>
      <c r="K2232">
        <v>6184.85</v>
      </c>
      <c r="L2232">
        <f t="shared" si="340"/>
        <v>0</v>
      </c>
      <c r="M2232">
        <f t="shared" si="341"/>
        <v>0</v>
      </c>
      <c r="N2232">
        <f t="shared" si="342"/>
        <v>0</v>
      </c>
      <c r="O2232">
        <f t="shared" si="343"/>
        <v>0</v>
      </c>
      <c r="P2232">
        <f t="shared" si="344"/>
        <v>0</v>
      </c>
      <c r="Q2232">
        <f t="shared" si="345"/>
        <v>0</v>
      </c>
      <c r="R2232">
        <f t="shared" si="346"/>
        <v>0</v>
      </c>
      <c r="S2232">
        <f t="shared" si="347"/>
        <v>0</v>
      </c>
      <c r="T2232">
        <f t="shared" si="349"/>
        <v>0</v>
      </c>
      <c r="U2232">
        <f t="shared" si="348"/>
        <v>0</v>
      </c>
    </row>
    <row r="2233" spans="1:21" x14ac:dyDescent="0.25">
      <c r="A2233">
        <v>2232</v>
      </c>
      <c r="B2233" t="s">
        <v>83</v>
      </c>
      <c r="C2233" t="s">
        <v>184</v>
      </c>
      <c r="D2233">
        <v>87.27</v>
      </c>
      <c r="E2233" s="80">
        <v>64969.8</v>
      </c>
      <c r="F2233">
        <v>826.16</v>
      </c>
      <c r="G2233">
        <v>114.28</v>
      </c>
      <c r="H2233" s="80">
        <v>140327.57999999999</v>
      </c>
      <c r="I2233" s="80">
        <v>22648.400000000001</v>
      </c>
      <c r="J2233">
        <v>92.99</v>
      </c>
      <c r="K2233">
        <v>872.32</v>
      </c>
      <c r="L2233">
        <f t="shared" si="340"/>
        <v>0</v>
      </c>
      <c r="M2233">
        <f t="shared" si="341"/>
        <v>0</v>
      </c>
      <c r="N2233">
        <f t="shared" si="342"/>
        <v>0</v>
      </c>
      <c r="O2233">
        <f t="shared" si="343"/>
        <v>0</v>
      </c>
      <c r="P2233">
        <f t="shared" si="344"/>
        <v>0</v>
      </c>
      <c r="Q2233">
        <f t="shared" si="345"/>
        <v>0</v>
      </c>
      <c r="R2233">
        <f t="shared" si="346"/>
        <v>0</v>
      </c>
      <c r="S2233">
        <f t="shared" si="347"/>
        <v>0</v>
      </c>
      <c r="T2233">
        <f t="shared" si="349"/>
        <v>0</v>
      </c>
      <c r="U2233">
        <f t="shared" si="348"/>
        <v>0</v>
      </c>
    </row>
    <row r="2234" spans="1:21" x14ac:dyDescent="0.25">
      <c r="A2234">
        <v>2233</v>
      </c>
      <c r="B2234" t="s">
        <v>83</v>
      </c>
      <c r="C2234" t="s">
        <v>187</v>
      </c>
      <c r="D2234">
        <v>3937.18</v>
      </c>
      <c r="E2234" s="80">
        <v>62852.42</v>
      </c>
      <c r="F2234">
        <v>1562.44</v>
      </c>
      <c r="G2234">
        <v>114.28</v>
      </c>
      <c r="H2234" t="s">
        <v>582</v>
      </c>
      <c r="I2234" s="80">
        <v>23448.959999999999</v>
      </c>
      <c r="J2234">
        <v>127.92</v>
      </c>
      <c r="K2234" s="80">
        <v>11237.31</v>
      </c>
      <c r="L2234">
        <f t="shared" si="340"/>
        <v>0</v>
      </c>
      <c r="M2234">
        <f t="shared" si="341"/>
        <v>0</v>
      </c>
      <c r="N2234">
        <f t="shared" si="342"/>
        <v>0</v>
      </c>
      <c r="O2234">
        <f t="shared" si="343"/>
        <v>0</v>
      </c>
      <c r="P2234">
        <f t="shared" si="344"/>
        <v>1</v>
      </c>
      <c r="Q2234">
        <f t="shared" si="345"/>
        <v>0</v>
      </c>
      <c r="R2234">
        <f t="shared" si="346"/>
        <v>0</v>
      </c>
      <c r="S2234">
        <f t="shared" si="347"/>
        <v>0</v>
      </c>
      <c r="T2234">
        <f t="shared" si="349"/>
        <v>1</v>
      </c>
      <c r="U2234">
        <f t="shared" si="348"/>
        <v>1</v>
      </c>
    </row>
    <row r="2235" spans="1:21" x14ac:dyDescent="0.25">
      <c r="A2235">
        <v>2234</v>
      </c>
      <c r="B2235" t="s">
        <v>83</v>
      </c>
      <c r="C2235" t="s">
        <v>189</v>
      </c>
      <c r="D2235">
        <v>763.87</v>
      </c>
      <c r="E2235" s="80">
        <v>39318.68</v>
      </c>
      <c r="F2235">
        <v>60.81</v>
      </c>
      <c r="G2235">
        <v>176.26</v>
      </c>
      <c r="H2235" t="s">
        <v>582</v>
      </c>
      <c r="I2235" s="80">
        <v>18500.3</v>
      </c>
      <c r="J2235">
        <v>131.94</v>
      </c>
      <c r="K2235" t="s">
        <v>582</v>
      </c>
      <c r="L2235">
        <f t="shared" si="340"/>
        <v>0</v>
      </c>
      <c r="M2235">
        <f t="shared" si="341"/>
        <v>0</v>
      </c>
      <c r="N2235">
        <f t="shared" si="342"/>
        <v>0</v>
      </c>
      <c r="O2235">
        <f t="shared" si="343"/>
        <v>0</v>
      </c>
      <c r="P2235">
        <f t="shared" si="344"/>
        <v>1</v>
      </c>
      <c r="Q2235">
        <f t="shared" si="345"/>
        <v>0</v>
      </c>
      <c r="R2235">
        <f t="shared" si="346"/>
        <v>0</v>
      </c>
      <c r="S2235">
        <f t="shared" si="347"/>
        <v>1</v>
      </c>
      <c r="T2235">
        <f t="shared" si="349"/>
        <v>2</v>
      </c>
      <c r="U2235">
        <f t="shared" si="348"/>
        <v>1</v>
      </c>
    </row>
    <row r="2236" spans="1:21" x14ac:dyDescent="0.25">
      <c r="A2236">
        <v>2235</v>
      </c>
      <c r="B2236" t="s">
        <v>69</v>
      </c>
      <c r="C2236" t="s">
        <v>162</v>
      </c>
      <c r="D2236">
        <v>12.91</v>
      </c>
      <c r="E2236" s="89" t="s">
        <v>582</v>
      </c>
      <c r="F2236">
        <v>1.94</v>
      </c>
      <c r="G2236">
        <v>70.27</v>
      </c>
      <c r="H2236">
        <v>1.93</v>
      </c>
      <c r="I2236">
        <v>35.840000000000003</v>
      </c>
      <c r="J2236">
        <v>28.26</v>
      </c>
      <c r="K2236">
        <v>9.49</v>
      </c>
      <c r="L2236">
        <f t="shared" si="340"/>
        <v>0</v>
      </c>
      <c r="M2236">
        <f t="shared" si="341"/>
        <v>1</v>
      </c>
      <c r="N2236">
        <f t="shared" si="342"/>
        <v>0</v>
      </c>
      <c r="O2236">
        <f t="shared" si="343"/>
        <v>0</v>
      </c>
      <c r="P2236">
        <f t="shared" si="344"/>
        <v>0</v>
      </c>
      <c r="Q2236">
        <f t="shared" si="345"/>
        <v>0</v>
      </c>
      <c r="R2236">
        <f t="shared" si="346"/>
        <v>0</v>
      </c>
      <c r="S2236">
        <f t="shared" si="347"/>
        <v>0</v>
      </c>
      <c r="T2236">
        <f t="shared" si="349"/>
        <v>1</v>
      </c>
      <c r="U2236">
        <f t="shared" si="348"/>
        <v>1</v>
      </c>
    </row>
    <row r="2237" spans="1:21" x14ac:dyDescent="0.25">
      <c r="A2237">
        <v>2236</v>
      </c>
      <c r="B2237" t="s">
        <v>69</v>
      </c>
      <c r="C2237" t="s">
        <v>170</v>
      </c>
      <c r="D2237">
        <v>65.650000000000006</v>
      </c>
      <c r="E2237" s="89" t="s">
        <v>582</v>
      </c>
      <c r="F2237">
        <v>400.5</v>
      </c>
      <c r="G2237">
        <v>209.72</v>
      </c>
      <c r="H2237">
        <v>5620.43</v>
      </c>
      <c r="I2237" s="80">
        <v>18834.21</v>
      </c>
      <c r="J2237">
        <v>60.51</v>
      </c>
      <c r="K2237">
        <v>3085.94</v>
      </c>
      <c r="L2237">
        <f t="shared" si="340"/>
        <v>0</v>
      </c>
      <c r="M2237">
        <f t="shared" si="341"/>
        <v>1</v>
      </c>
      <c r="N2237">
        <f t="shared" si="342"/>
        <v>0</v>
      </c>
      <c r="O2237">
        <f t="shared" si="343"/>
        <v>0</v>
      </c>
      <c r="P2237">
        <f t="shared" si="344"/>
        <v>0</v>
      </c>
      <c r="Q2237">
        <f t="shared" si="345"/>
        <v>0</v>
      </c>
      <c r="R2237">
        <f t="shared" si="346"/>
        <v>0</v>
      </c>
      <c r="S2237">
        <f t="shared" si="347"/>
        <v>0</v>
      </c>
      <c r="T2237">
        <f t="shared" si="349"/>
        <v>1</v>
      </c>
      <c r="U2237">
        <f t="shared" si="348"/>
        <v>1</v>
      </c>
    </row>
    <row r="2238" spans="1:21" x14ac:dyDescent="0.25">
      <c r="A2238">
        <v>2237</v>
      </c>
      <c r="B2238" t="s">
        <v>69</v>
      </c>
      <c r="C2238" t="s">
        <v>178</v>
      </c>
      <c r="D2238">
        <v>129.41</v>
      </c>
      <c r="E2238" s="89" t="s">
        <v>582</v>
      </c>
      <c r="F2238">
        <v>2387.23</v>
      </c>
      <c r="G2238">
        <v>202.91</v>
      </c>
      <c r="H2238" s="80">
        <v>35807.910000000003</v>
      </c>
      <c r="I2238" s="80">
        <v>21765.52</v>
      </c>
      <c r="J2238">
        <v>83.7</v>
      </c>
      <c r="K2238">
        <v>5950.09</v>
      </c>
      <c r="L2238">
        <f t="shared" si="340"/>
        <v>0</v>
      </c>
      <c r="M2238">
        <f t="shared" si="341"/>
        <v>1</v>
      </c>
      <c r="N2238">
        <f t="shared" si="342"/>
        <v>0</v>
      </c>
      <c r="O2238">
        <f t="shared" si="343"/>
        <v>0</v>
      </c>
      <c r="P2238">
        <f t="shared" si="344"/>
        <v>0</v>
      </c>
      <c r="Q2238">
        <f t="shared" si="345"/>
        <v>0</v>
      </c>
      <c r="R2238">
        <f t="shared" si="346"/>
        <v>0</v>
      </c>
      <c r="S2238">
        <f t="shared" si="347"/>
        <v>0</v>
      </c>
      <c r="T2238">
        <f t="shared" si="349"/>
        <v>1</v>
      </c>
      <c r="U2238">
        <f t="shared" si="348"/>
        <v>1</v>
      </c>
    </row>
    <row r="2239" spans="1:21" x14ac:dyDescent="0.25">
      <c r="A2239">
        <v>2238</v>
      </c>
      <c r="B2239" t="s">
        <v>69</v>
      </c>
      <c r="C2239" t="s">
        <v>163</v>
      </c>
      <c r="D2239">
        <v>99.96</v>
      </c>
      <c r="E2239" s="89" t="s">
        <v>582</v>
      </c>
      <c r="F2239">
        <v>1147.1600000000001</v>
      </c>
      <c r="G2239">
        <v>182.83</v>
      </c>
      <c r="H2239" s="80">
        <v>25784.080000000002</v>
      </c>
      <c r="I2239" s="80">
        <v>20316.560000000001</v>
      </c>
      <c r="J2239">
        <v>112.13</v>
      </c>
      <c r="K2239" s="80">
        <v>13025.26</v>
      </c>
      <c r="L2239">
        <f t="shared" si="340"/>
        <v>0</v>
      </c>
      <c r="M2239">
        <f t="shared" si="341"/>
        <v>1</v>
      </c>
      <c r="N2239">
        <f t="shared" si="342"/>
        <v>0</v>
      </c>
      <c r="O2239">
        <f t="shared" si="343"/>
        <v>0</v>
      </c>
      <c r="P2239">
        <f t="shared" si="344"/>
        <v>0</v>
      </c>
      <c r="Q2239">
        <f t="shared" si="345"/>
        <v>0</v>
      </c>
      <c r="R2239">
        <f t="shared" si="346"/>
        <v>0</v>
      </c>
      <c r="S2239">
        <f t="shared" si="347"/>
        <v>0</v>
      </c>
      <c r="T2239">
        <f t="shared" si="349"/>
        <v>1</v>
      </c>
      <c r="U2239">
        <f t="shared" si="348"/>
        <v>1</v>
      </c>
    </row>
    <row r="2240" spans="1:21" x14ac:dyDescent="0.25">
      <c r="A2240">
        <v>2239</v>
      </c>
      <c r="B2240" t="s">
        <v>69</v>
      </c>
      <c r="C2240" t="s">
        <v>181</v>
      </c>
      <c r="D2240">
        <v>15.21</v>
      </c>
      <c r="E2240" s="89" t="s">
        <v>582</v>
      </c>
      <c r="F2240">
        <v>1.94</v>
      </c>
      <c r="G2240">
        <v>91.58</v>
      </c>
      <c r="H2240">
        <v>5.5</v>
      </c>
      <c r="I2240">
        <v>345.22</v>
      </c>
      <c r="J2240">
        <v>47.05</v>
      </c>
      <c r="K2240">
        <v>52.77</v>
      </c>
      <c r="L2240">
        <f t="shared" si="340"/>
        <v>0</v>
      </c>
      <c r="M2240">
        <f t="shared" si="341"/>
        <v>1</v>
      </c>
      <c r="N2240">
        <f t="shared" si="342"/>
        <v>0</v>
      </c>
      <c r="O2240">
        <f t="shared" si="343"/>
        <v>0</v>
      </c>
      <c r="P2240">
        <f t="shared" si="344"/>
        <v>0</v>
      </c>
      <c r="Q2240">
        <f t="shared" si="345"/>
        <v>0</v>
      </c>
      <c r="R2240">
        <f t="shared" si="346"/>
        <v>0</v>
      </c>
      <c r="S2240">
        <f t="shared" si="347"/>
        <v>0</v>
      </c>
      <c r="T2240">
        <f t="shared" si="349"/>
        <v>1</v>
      </c>
      <c r="U2240">
        <f t="shared" si="348"/>
        <v>1</v>
      </c>
    </row>
    <row r="2241" spans="1:21" x14ac:dyDescent="0.25">
      <c r="A2241">
        <v>2240</v>
      </c>
      <c r="B2241" t="s">
        <v>69</v>
      </c>
      <c r="C2241" t="s">
        <v>183</v>
      </c>
      <c r="D2241">
        <v>24.41</v>
      </c>
      <c r="E2241" s="89" t="s">
        <v>582</v>
      </c>
      <c r="F2241">
        <v>1531.81</v>
      </c>
      <c r="G2241">
        <v>163.31</v>
      </c>
      <c r="H2241">
        <v>14912.53</v>
      </c>
      <c r="I2241" s="80">
        <v>22963.13</v>
      </c>
      <c r="J2241">
        <v>89.25</v>
      </c>
      <c r="K2241" s="80">
        <v>9855.01</v>
      </c>
      <c r="L2241">
        <f t="shared" si="340"/>
        <v>0</v>
      </c>
      <c r="M2241">
        <f t="shared" si="341"/>
        <v>1</v>
      </c>
      <c r="N2241">
        <f t="shared" si="342"/>
        <v>0</v>
      </c>
      <c r="O2241">
        <f t="shared" si="343"/>
        <v>0</v>
      </c>
      <c r="P2241">
        <f t="shared" si="344"/>
        <v>0</v>
      </c>
      <c r="Q2241">
        <f t="shared" si="345"/>
        <v>0</v>
      </c>
      <c r="R2241">
        <f t="shared" si="346"/>
        <v>0</v>
      </c>
      <c r="S2241">
        <f t="shared" si="347"/>
        <v>0</v>
      </c>
      <c r="T2241">
        <f t="shared" si="349"/>
        <v>1</v>
      </c>
      <c r="U2241">
        <f t="shared" si="348"/>
        <v>1</v>
      </c>
    </row>
    <row r="2242" spans="1:21" x14ac:dyDescent="0.25">
      <c r="A2242">
        <v>2241</v>
      </c>
      <c r="B2242" t="s">
        <v>69</v>
      </c>
      <c r="C2242" t="s">
        <v>186</v>
      </c>
      <c r="D2242">
        <v>41.66</v>
      </c>
      <c r="E2242" s="89" t="s">
        <v>582</v>
      </c>
      <c r="F2242" s="80">
        <v>3698.72</v>
      </c>
      <c r="G2242">
        <v>230.51</v>
      </c>
      <c r="H2242" s="80">
        <v>115868.73</v>
      </c>
      <c r="I2242" s="80">
        <v>23820.86</v>
      </c>
      <c r="J2242">
        <v>123.94</v>
      </c>
      <c r="K2242" t="s">
        <v>582</v>
      </c>
      <c r="L2242">
        <f t="shared" ref="L2242:L2305" si="350">IF(D2242 = "OOR &gt;", 1,0)</f>
        <v>0</v>
      </c>
      <c r="M2242">
        <f t="shared" ref="M2242:M2305" si="351">IF(E2242 = "OOR &gt;", 1,0)</f>
        <v>1</v>
      </c>
      <c r="N2242">
        <f t="shared" ref="N2242:N2305" si="352">IF(F2242 = "OOR &gt;", 1,0)</f>
        <v>0</v>
      </c>
      <c r="O2242">
        <f t="shared" ref="O2242:O2305" si="353">IF(G2242 = "OOR &gt;", 1,0)</f>
        <v>0</v>
      </c>
      <c r="P2242">
        <f t="shared" ref="P2242:P2305" si="354">IF(H2242 = "OOR &gt;", 1,0)</f>
        <v>0</v>
      </c>
      <c r="Q2242">
        <f t="shared" ref="Q2242:Q2305" si="355">IF(I2242 = "OOR &gt;", 1,0)</f>
        <v>0</v>
      </c>
      <c r="R2242">
        <f t="shared" ref="R2242:R2305" si="356">IF(J2242 = "OOR &gt;", 1,0)</f>
        <v>0</v>
      </c>
      <c r="S2242">
        <f t="shared" ref="S2242:S2305" si="357">IF(K2242 = "OOR &gt;", 1,0)</f>
        <v>1</v>
      </c>
      <c r="T2242">
        <f t="shared" si="349"/>
        <v>2</v>
      </c>
      <c r="U2242">
        <f t="shared" ref="U2242:U2305" si="358">IF(T2242 &gt; 0,1,0)</f>
        <v>1</v>
      </c>
    </row>
    <row r="2243" spans="1:21" x14ac:dyDescent="0.25">
      <c r="A2243">
        <v>2242</v>
      </c>
      <c r="B2243" t="s">
        <v>69</v>
      </c>
      <c r="C2243" t="s">
        <v>188</v>
      </c>
      <c r="D2243">
        <v>23.53</v>
      </c>
      <c r="E2243" s="89" t="s">
        <v>582</v>
      </c>
      <c r="F2243">
        <v>502.75</v>
      </c>
      <c r="G2243">
        <v>202.91</v>
      </c>
      <c r="H2243">
        <v>13222.63</v>
      </c>
      <c r="I2243" s="80">
        <v>23167.88</v>
      </c>
      <c r="J2243">
        <v>116.04</v>
      </c>
      <c r="K2243" s="80">
        <v>20886.689999999999</v>
      </c>
      <c r="L2243">
        <f t="shared" si="350"/>
        <v>0</v>
      </c>
      <c r="M2243">
        <f t="shared" si="351"/>
        <v>1</v>
      </c>
      <c r="N2243">
        <f t="shared" si="352"/>
        <v>0</v>
      </c>
      <c r="O2243">
        <f t="shared" si="353"/>
        <v>0</v>
      </c>
      <c r="P2243">
        <f t="shared" si="354"/>
        <v>0</v>
      </c>
      <c r="Q2243">
        <f t="shared" si="355"/>
        <v>0</v>
      </c>
      <c r="R2243">
        <f t="shared" si="356"/>
        <v>0</v>
      </c>
      <c r="S2243">
        <f t="shared" si="357"/>
        <v>0</v>
      </c>
      <c r="T2243">
        <f t="shared" ref="T2243:T2306" si="359">SUMIF(L2243:S2243,"&gt;0")</f>
        <v>1</v>
      </c>
      <c r="U2243">
        <f t="shared" si="358"/>
        <v>1</v>
      </c>
    </row>
    <row r="2244" spans="1:21" x14ac:dyDescent="0.25">
      <c r="A2244">
        <v>2243</v>
      </c>
      <c r="B2244" t="s">
        <v>69</v>
      </c>
      <c r="C2244" t="s">
        <v>182</v>
      </c>
      <c r="D2244" t="s">
        <v>583</v>
      </c>
      <c r="E2244">
        <v>3131.57</v>
      </c>
      <c r="F2244">
        <v>0.15</v>
      </c>
      <c r="G2244">
        <v>24.53</v>
      </c>
      <c r="H2244">
        <v>0.56000000000000005</v>
      </c>
      <c r="I2244">
        <v>0.92</v>
      </c>
      <c r="J2244">
        <v>1.1100000000000001</v>
      </c>
      <c r="K2244">
        <v>0.27</v>
      </c>
      <c r="L2244">
        <f t="shared" si="350"/>
        <v>0</v>
      </c>
      <c r="M2244">
        <f t="shared" si="351"/>
        <v>0</v>
      </c>
      <c r="N2244">
        <f t="shared" si="352"/>
        <v>0</v>
      </c>
      <c r="O2244">
        <f t="shared" si="353"/>
        <v>0</v>
      </c>
      <c r="P2244">
        <f t="shared" si="354"/>
        <v>0</v>
      </c>
      <c r="Q2244">
        <f t="shared" si="355"/>
        <v>0</v>
      </c>
      <c r="R2244">
        <f t="shared" si="356"/>
        <v>0</v>
      </c>
      <c r="S2244">
        <f t="shared" si="357"/>
        <v>0</v>
      </c>
      <c r="T2244">
        <f t="shared" si="359"/>
        <v>0</v>
      </c>
      <c r="U2244">
        <f t="shared" si="358"/>
        <v>0</v>
      </c>
    </row>
    <row r="2245" spans="1:21" x14ac:dyDescent="0.25">
      <c r="A2245">
        <v>2244</v>
      </c>
      <c r="B2245" t="s">
        <v>69</v>
      </c>
      <c r="C2245" t="s">
        <v>184</v>
      </c>
      <c r="D2245">
        <v>15.99</v>
      </c>
      <c r="E2245">
        <v>14770.82</v>
      </c>
      <c r="F2245">
        <v>124.24</v>
      </c>
      <c r="G2245">
        <v>114.28</v>
      </c>
      <c r="H2245">
        <v>15484.96</v>
      </c>
      <c r="I2245" s="80">
        <v>18132.259999999998</v>
      </c>
      <c r="J2245">
        <v>47.05</v>
      </c>
      <c r="K2245">
        <v>4023.58</v>
      </c>
      <c r="L2245">
        <f t="shared" si="350"/>
        <v>0</v>
      </c>
      <c r="M2245">
        <f t="shared" si="351"/>
        <v>0</v>
      </c>
      <c r="N2245">
        <f t="shared" si="352"/>
        <v>0</v>
      </c>
      <c r="O2245">
        <f t="shared" si="353"/>
        <v>0</v>
      </c>
      <c r="P2245">
        <f t="shared" si="354"/>
        <v>0</v>
      </c>
      <c r="Q2245">
        <f t="shared" si="355"/>
        <v>0</v>
      </c>
      <c r="R2245">
        <f t="shared" si="356"/>
        <v>0</v>
      </c>
      <c r="S2245">
        <f t="shared" si="357"/>
        <v>0</v>
      </c>
      <c r="T2245">
        <f t="shared" si="359"/>
        <v>0</v>
      </c>
      <c r="U2245">
        <f t="shared" si="358"/>
        <v>0</v>
      </c>
    </row>
    <row r="2246" spans="1:21" x14ac:dyDescent="0.25">
      <c r="A2246">
        <v>2245</v>
      </c>
      <c r="B2246" t="s">
        <v>69</v>
      </c>
      <c r="C2246" t="s">
        <v>187</v>
      </c>
      <c r="D2246">
        <v>28.96</v>
      </c>
      <c r="E2246">
        <v>14668.89</v>
      </c>
      <c r="F2246">
        <v>288.51</v>
      </c>
      <c r="G2246">
        <v>144.38999999999999</v>
      </c>
      <c r="H2246" s="80">
        <v>39548.21</v>
      </c>
      <c r="I2246" s="80">
        <v>17726.41</v>
      </c>
      <c r="J2246">
        <v>71.03</v>
      </c>
      <c r="K2246" s="80">
        <v>8540.34</v>
      </c>
      <c r="L2246">
        <f t="shared" si="350"/>
        <v>0</v>
      </c>
      <c r="M2246">
        <f t="shared" si="351"/>
        <v>0</v>
      </c>
      <c r="N2246">
        <f t="shared" si="352"/>
        <v>0</v>
      </c>
      <c r="O2246">
        <f t="shared" si="353"/>
        <v>0</v>
      </c>
      <c r="P2246">
        <f t="shared" si="354"/>
        <v>0</v>
      </c>
      <c r="Q2246">
        <f t="shared" si="355"/>
        <v>0</v>
      </c>
      <c r="R2246">
        <f t="shared" si="356"/>
        <v>0</v>
      </c>
      <c r="S2246">
        <f t="shared" si="357"/>
        <v>0</v>
      </c>
      <c r="T2246">
        <f t="shared" si="359"/>
        <v>0</v>
      </c>
      <c r="U2246">
        <f t="shared" si="358"/>
        <v>0</v>
      </c>
    </row>
    <row r="2247" spans="1:21" x14ac:dyDescent="0.25">
      <c r="A2247">
        <v>2246</v>
      </c>
      <c r="B2247" t="s">
        <v>69</v>
      </c>
      <c r="C2247" t="s">
        <v>189</v>
      </c>
      <c r="D2247">
        <v>9.31</v>
      </c>
      <c r="E2247">
        <v>8637.83</v>
      </c>
      <c r="F2247">
        <v>4.8600000000000003</v>
      </c>
      <c r="G2247">
        <v>60.19</v>
      </c>
      <c r="H2247">
        <v>12486.46</v>
      </c>
      <c r="I2247" s="80">
        <v>7260.71</v>
      </c>
      <c r="J2247">
        <v>47.05</v>
      </c>
      <c r="K2247">
        <v>7311.01</v>
      </c>
      <c r="L2247">
        <f t="shared" si="350"/>
        <v>0</v>
      </c>
      <c r="M2247">
        <f t="shared" si="351"/>
        <v>0</v>
      </c>
      <c r="N2247">
        <f t="shared" si="352"/>
        <v>0</v>
      </c>
      <c r="O2247">
        <f t="shared" si="353"/>
        <v>0</v>
      </c>
      <c r="P2247">
        <f t="shared" si="354"/>
        <v>0</v>
      </c>
      <c r="Q2247">
        <f t="shared" si="355"/>
        <v>0</v>
      </c>
      <c r="R2247">
        <f t="shared" si="356"/>
        <v>0</v>
      </c>
      <c r="S2247">
        <f t="shared" si="357"/>
        <v>0</v>
      </c>
      <c r="T2247">
        <f t="shared" si="359"/>
        <v>0</v>
      </c>
      <c r="U2247">
        <f t="shared" si="358"/>
        <v>0</v>
      </c>
    </row>
    <row r="2248" spans="1:21" x14ac:dyDescent="0.25">
      <c r="A2248">
        <v>2247</v>
      </c>
      <c r="B2248">
        <v>1086</v>
      </c>
      <c r="C2248" t="s">
        <v>182</v>
      </c>
      <c r="D2248" t="s">
        <v>583</v>
      </c>
      <c r="E2248">
        <v>2539.06</v>
      </c>
      <c r="F2248">
        <v>0.69</v>
      </c>
      <c r="G2248">
        <v>10.36</v>
      </c>
      <c r="H2248" t="s">
        <v>583</v>
      </c>
      <c r="I2248">
        <v>41.38</v>
      </c>
      <c r="J2248" s="80">
        <v>0.39</v>
      </c>
      <c r="K2248">
        <v>0.18</v>
      </c>
      <c r="L2248">
        <f t="shared" si="350"/>
        <v>0</v>
      </c>
      <c r="M2248">
        <f t="shared" si="351"/>
        <v>0</v>
      </c>
      <c r="N2248">
        <f t="shared" si="352"/>
        <v>0</v>
      </c>
      <c r="O2248">
        <f t="shared" si="353"/>
        <v>0</v>
      </c>
      <c r="P2248">
        <f t="shared" si="354"/>
        <v>0</v>
      </c>
      <c r="Q2248">
        <f t="shared" si="355"/>
        <v>0</v>
      </c>
      <c r="R2248">
        <f t="shared" si="356"/>
        <v>0</v>
      </c>
      <c r="S2248">
        <f t="shared" si="357"/>
        <v>0</v>
      </c>
      <c r="T2248">
        <f t="shared" si="359"/>
        <v>0</v>
      </c>
      <c r="U2248">
        <f t="shared" si="358"/>
        <v>0</v>
      </c>
    </row>
    <row r="2249" spans="1:21" x14ac:dyDescent="0.25">
      <c r="A2249">
        <v>2248</v>
      </c>
      <c r="B2249">
        <v>1086</v>
      </c>
      <c r="C2249" t="s">
        <v>184</v>
      </c>
      <c r="D2249" t="s">
        <v>583</v>
      </c>
      <c r="E2249">
        <v>5401.17</v>
      </c>
      <c r="F2249">
        <v>3.51</v>
      </c>
      <c r="G2249">
        <v>13.6</v>
      </c>
      <c r="H2249">
        <v>11.88</v>
      </c>
      <c r="I2249">
        <v>1145.21</v>
      </c>
      <c r="J2249">
        <v>7.01</v>
      </c>
      <c r="K2249">
        <v>3.44</v>
      </c>
      <c r="L2249">
        <f t="shared" si="350"/>
        <v>0</v>
      </c>
      <c r="M2249">
        <f t="shared" si="351"/>
        <v>0</v>
      </c>
      <c r="N2249">
        <f t="shared" si="352"/>
        <v>0</v>
      </c>
      <c r="O2249">
        <f t="shared" si="353"/>
        <v>0</v>
      </c>
      <c r="P2249">
        <f t="shared" si="354"/>
        <v>0</v>
      </c>
      <c r="Q2249">
        <f t="shared" si="355"/>
        <v>0</v>
      </c>
      <c r="R2249">
        <f t="shared" si="356"/>
        <v>0</v>
      </c>
      <c r="S2249">
        <f t="shared" si="357"/>
        <v>0</v>
      </c>
      <c r="T2249">
        <f t="shared" si="359"/>
        <v>0</v>
      </c>
      <c r="U2249">
        <f t="shared" si="358"/>
        <v>0</v>
      </c>
    </row>
    <row r="2250" spans="1:21" x14ac:dyDescent="0.25">
      <c r="A2250">
        <v>2249</v>
      </c>
      <c r="B2250">
        <v>1086</v>
      </c>
      <c r="C2250" t="s">
        <v>187</v>
      </c>
      <c r="D2250">
        <v>6.05</v>
      </c>
      <c r="E2250">
        <v>19423.810000000001</v>
      </c>
      <c r="F2250">
        <v>107.52</v>
      </c>
      <c r="G2250">
        <v>32.65</v>
      </c>
      <c r="H2250">
        <v>659.77</v>
      </c>
      <c r="I2250" s="80">
        <v>8697.19</v>
      </c>
      <c r="J2250">
        <v>16.940000000000001</v>
      </c>
      <c r="K2250">
        <v>234.82</v>
      </c>
      <c r="L2250">
        <f t="shared" si="350"/>
        <v>0</v>
      </c>
      <c r="M2250">
        <f t="shared" si="351"/>
        <v>0</v>
      </c>
      <c r="N2250">
        <f t="shared" si="352"/>
        <v>0</v>
      </c>
      <c r="O2250">
        <f t="shared" si="353"/>
        <v>0</v>
      </c>
      <c r="P2250">
        <f t="shared" si="354"/>
        <v>0</v>
      </c>
      <c r="Q2250">
        <f t="shared" si="355"/>
        <v>0</v>
      </c>
      <c r="R2250">
        <f t="shared" si="356"/>
        <v>0</v>
      </c>
      <c r="S2250">
        <f t="shared" si="357"/>
        <v>0</v>
      </c>
      <c r="T2250">
        <f t="shared" si="359"/>
        <v>0</v>
      </c>
      <c r="U2250">
        <f t="shared" si="358"/>
        <v>0</v>
      </c>
    </row>
    <row r="2251" spans="1:21" x14ac:dyDescent="0.25">
      <c r="A2251">
        <v>2250</v>
      </c>
      <c r="B2251">
        <v>1086</v>
      </c>
      <c r="C2251" t="s">
        <v>189</v>
      </c>
      <c r="D2251">
        <v>2.21</v>
      </c>
      <c r="E2251">
        <v>10969.37</v>
      </c>
      <c r="F2251">
        <v>19.95</v>
      </c>
      <c r="G2251">
        <v>50.53</v>
      </c>
      <c r="H2251">
        <v>507.4</v>
      </c>
      <c r="I2251" s="80">
        <v>3906.39</v>
      </c>
      <c r="J2251">
        <v>13.02</v>
      </c>
      <c r="K2251">
        <v>1420.78</v>
      </c>
      <c r="L2251">
        <f t="shared" si="350"/>
        <v>0</v>
      </c>
      <c r="M2251">
        <f t="shared" si="351"/>
        <v>0</v>
      </c>
      <c r="N2251">
        <f t="shared" si="352"/>
        <v>0</v>
      </c>
      <c r="O2251">
        <f t="shared" si="353"/>
        <v>0</v>
      </c>
      <c r="P2251">
        <f t="shared" si="354"/>
        <v>0</v>
      </c>
      <c r="Q2251">
        <f t="shared" si="355"/>
        <v>0</v>
      </c>
      <c r="R2251">
        <f t="shared" si="356"/>
        <v>0</v>
      </c>
      <c r="S2251">
        <f t="shared" si="357"/>
        <v>0</v>
      </c>
      <c r="T2251">
        <f t="shared" si="359"/>
        <v>0</v>
      </c>
      <c r="U2251">
        <f t="shared" si="358"/>
        <v>0</v>
      </c>
    </row>
    <row r="2252" spans="1:21" x14ac:dyDescent="0.25">
      <c r="A2252">
        <v>2251</v>
      </c>
      <c r="B2252" t="s">
        <v>92</v>
      </c>
      <c r="C2252" t="s">
        <v>182</v>
      </c>
      <c r="D2252" s="80">
        <v>0.05</v>
      </c>
      <c r="E2252">
        <v>6360.42</v>
      </c>
      <c r="F2252" t="s">
        <v>583</v>
      </c>
      <c r="G2252">
        <v>32.65</v>
      </c>
      <c r="H2252">
        <v>1.44</v>
      </c>
      <c r="I2252">
        <v>7.0000000000000007E-2</v>
      </c>
      <c r="J2252">
        <v>3.82</v>
      </c>
      <c r="K2252">
        <v>0.18</v>
      </c>
      <c r="L2252">
        <f t="shared" si="350"/>
        <v>0</v>
      </c>
      <c r="M2252">
        <f t="shared" si="351"/>
        <v>0</v>
      </c>
      <c r="N2252">
        <f t="shared" si="352"/>
        <v>0</v>
      </c>
      <c r="O2252">
        <f t="shared" si="353"/>
        <v>0</v>
      </c>
      <c r="P2252">
        <f t="shared" si="354"/>
        <v>0</v>
      </c>
      <c r="Q2252">
        <f t="shared" si="355"/>
        <v>0</v>
      </c>
      <c r="R2252">
        <f t="shared" si="356"/>
        <v>0</v>
      </c>
      <c r="S2252">
        <f t="shared" si="357"/>
        <v>0</v>
      </c>
      <c r="T2252">
        <f t="shared" si="359"/>
        <v>0</v>
      </c>
      <c r="U2252">
        <f t="shared" si="358"/>
        <v>0</v>
      </c>
    </row>
    <row r="2253" spans="1:21" x14ac:dyDescent="0.25">
      <c r="A2253">
        <v>2252</v>
      </c>
      <c r="B2253" t="s">
        <v>92</v>
      </c>
      <c r="C2253" t="s">
        <v>184</v>
      </c>
      <c r="D2253">
        <v>3.73</v>
      </c>
      <c r="E2253">
        <v>9004.7199999999993</v>
      </c>
      <c r="F2253">
        <v>34.29</v>
      </c>
      <c r="G2253">
        <v>41.34</v>
      </c>
      <c r="H2253">
        <v>1793.43</v>
      </c>
      <c r="I2253" s="80">
        <v>8876.52</v>
      </c>
      <c r="J2253">
        <v>14.31</v>
      </c>
      <c r="K2253">
        <v>400.39</v>
      </c>
      <c r="L2253">
        <f t="shared" si="350"/>
        <v>0</v>
      </c>
      <c r="M2253">
        <f t="shared" si="351"/>
        <v>0</v>
      </c>
      <c r="N2253">
        <f t="shared" si="352"/>
        <v>0</v>
      </c>
      <c r="O2253">
        <f t="shared" si="353"/>
        <v>0</v>
      </c>
      <c r="P2253">
        <f t="shared" si="354"/>
        <v>0</v>
      </c>
      <c r="Q2253">
        <f t="shared" si="355"/>
        <v>0</v>
      </c>
      <c r="R2253">
        <f t="shared" si="356"/>
        <v>0</v>
      </c>
      <c r="S2253">
        <f t="shared" si="357"/>
        <v>0</v>
      </c>
      <c r="T2253">
        <f t="shared" si="359"/>
        <v>0</v>
      </c>
      <c r="U2253">
        <f t="shared" si="358"/>
        <v>0</v>
      </c>
    </row>
    <row r="2254" spans="1:21" x14ac:dyDescent="0.25">
      <c r="A2254">
        <v>2253</v>
      </c>
      <c r="B2254" t="s">
        <v>92</v>
      </c>
      <c r="C2254" t="s">
        <v>187</v>
      </c>
      <c r="D2254">
        <v>6.05</v>
      </c>
      <c r="E2254">
        <v>14450.05</v>
      </c>
      <c r="F2254">
        <v>69.209999999999994</v>
      </c>
      <c r="G2254">
        <v>75.459999999999994</v>
      </c>
      <c r="H2254">
        <v>6382.57</v>
      </c>
      <c r="I2254" s="80">
        <v>11416.05</v>
      </c>
      <c r="J2254">
        <v>31.26</v>
      </c>
      <c r="K2254">
        <v>1584.83</v>
      </c>
      <c r="L2254">
        <f t="shared" si="350"/>
        <v>0</v>
      </c>
      <c r="M2254">
        <f t="shared" si="351"/>
        <v>0</v>
      </c>
      <c r="N2254">
        <f t="shared" si="352"/>
        <v>0</v>
      </c>
      <c r="O2254">
        <f t="shared" si="353"/>
        <v>0</v>
      </c>
      <c r="P2254">
        <f t="shared" si="354"/>
        <v>0</v>
      </c>
      <c r="Q2254">
        <f t="shared" si="355"/>
        <v>0</v>
      </c>
      <c r="R2254">
        <f t="shared" si="356"/>
        <v>0</v>
      </c>
      <c r="S2254">
        <f t="shared" si="357"/>
        <v>0</v>
      </c>
      <c r="T2254">
        <f t="shared" si="359"/>
        <v>0</v>
      </c>
      <c r="U2254">
        <f t="shared" si="358"/>
        <v>0</v>
      </c>
    </row>
    <row r="2255" spans="1:21" x14ac:dyDescent="0.25">
      <c r="A2255">
        <v>2254</v>
      </c>
      <c r="B2255" t="s">
        <v>92</v>
      </c>
      <c r="C2255" t="s">
        <v>189</v>
      </c>
      <c r="D2255">
        <v>1.33</v>
      </c>
      <c r="E2255">
        <v>3451.26</v>
      </c>
      <c r="F2255">
        <v>1.98</v>
      </c>
      <c r="G2255">
        <v>24.53</v>
      </c>
      <c r="H2255">
        <v>2220.66</v>
      </c>
      <c r="I2255">
        <v>2337.9699999999998</v>
      </c>
      <c r="J2255">
        <v>11.76</v>
      </c>
      <c r="K2255">
        <v>1805.52</v>
      </c>
      <c r="L2255">
        <f t="shared" si="350"/>
        <v>0</v>
      </c>
      <c r="M2255">
        <f t="shared" si="351"/>
        <v>0</v>
      </c>
      <c r="N2255">
        <f t="shared" si="352"/>
        <v>0</v>
      </c>
      <c r="O2255">
        <f t="shared" si="353"/>
        <v>0</v>
      </c>
      <c r="P2255">
        <f t="shared" si="354"/>
        <v>0</v>
      </c>
      <c r="Q2255">
        <f t="shared" si="355"/>
        <v>0</v>
      </c>
      <c r="R2255">
        <f t="shared" si="356"/>
        <v>0</v>
      </c>
      <c r="S2255">
        <f t="shared" si="357"/>
        <v>0</v>
      </c>
      <c r="T2255">
        <f t="shared" si="359"/>
        <v>0</v>
      </c>
      <c r="U2255">
        <f t="shared" si="358"/>
        <v>0</v>
      </c>
    </row>
    <row r="2256" spans="1:21" x14ac:dyDescent="0.25">
      <c r="A2256">
        <v>2255</v>
      </c>
      <c r="B2256">
        <v>3028</v>
      </c>
      <c r="C2256" t="s">
        <v>162</v>
      </c>
      <c r="D2256" t="s">
        <v>583</v>
      </c>
      <c r="E2256">
        <v>204.19</v>
      </c>
      <c r="F2256" t="s">
        <v>583</v>
      </c>
      <c r="G2256" s="80">
        <v>0.51</v>
      </c>
      <c r="H2256" s="80">
        <v>0.04</v>
      </c>
      <c r="I2256">
        <v>0.05</v>
      </c>
      <c r="J2256" t="s">
        <v>583</v>
      </c>
      <c r="K2256">
        <v>0.1</v>
      </c>
      <c r="L2256">
        <f t="shared" si="350"/>
        <v>0</v>
      </c>
      <c r="M2256">
        <f t="shared" si="351"/>
        <v>0</v>
      </c>
      <c r="N2256">
        <f t="shared" si="352"/>
        <v>0</v>
      </c>
      <c r="O2256">
        <f t="shared" si="353"/>
        <v>0</v>
      </c>
      <c r="P2256">
        <f t="shared" si="354"/>
        <v>0</v>
      </c>
      <c r="Q2256">
        <f t="shared" si="355"/>
        <v>0</v>
      </c>
      <c r="R2256">
        <f t="shared" si="356"/>
        <v>0</v>
      </c>
      <c r="S2256">
        <f t="shared" si="357"/>
        <v>0</v>
      </c>
      <c r="T2256">
        <f t="shared" si="359"/>
        <v>0</v>
      </c>
      <c r="U2256">
        <f t="shared" si="358"/>
        <v>0</v>
      </c>
    </row>
    <row r="2257" spans="1:21" x14ac:dyDescent="0.25">
      <c r="A2257">
        <v>2256</v>
      </c>
      <c r="B2257">
        <v>3028</v>
      </c>
      <c r="C2257" t="s">
        <v>170</v>
      </c>
      <c r="D2257" t="s">
        <v>583</v>
      </c>
      <c r="E2257">
        <v>1184.8900000000001</v>
      </c>
      <c r="F2257">
        <v>0.02</v>
      </c>
      <c r="G2257" s="80">
        <v>2.3199999999999998</v>
      </c>
      <c r="H2257">
        <v>19.32</v>
      </c>
      <c r="I2257">
        <v>7.16</v>
      </c>
      <c r="J2257" s="80">
        <v>1.1100000000000001</v>
      </c>
      <c r="K2257">
        <v>5.88</v>
      </c>
      <c r="L2257">
        <f t="shared" si="350"/>
        <v>0</v>
      </c>
      <c r="M2257">
        <f t="shared" si="351"/>
        <v>0</v>
      </c>
      <c r="N2257">
        <f t="shared" si="352"/>
        <v>0</v>
      </c>
      <c r="O2257">
        <f t="shared" si="353"/>
        <v>0</v>
      </c>
      <c r="P2257">
        <f t="shared" si="354"/>
        <v>0</v>
      </c>
      <c r="Q2257">
        <f t="shared" si="355"/>
        <v>0</v>
      </c>
      <c r="R2257">
        <f t="shared" si="356"/>
        <v>0</v>
      </c>
      <c r="S2257">
        <f t="shared" si="357"/>
        <v>0</v>
      </c>
      <c r="T2257">
        <f t="shared" si="359"/>
        <v>0</v>
      </c>
      <c r="U2257">
        <f t="shared" si="358"/>
        <v>0</v>
      </c>
    </row>
    <row r="2258" spans="1:21" x14ac:dyDescent="0.25">
      <c r="A2258">
        <v>2257</v>
      </c>
      <c r="B2258">
        <v>3028</v>
      </c>
      <c r="C2258" t="s">
        <v>178</v>
      </c>
      <c r="D2258" t="s">
        <v>583</v>
      </c>
      <c r="E2258">
        <v>1432.25</v>
      </c>
      <c r="F2258">
        <v>0.15</v>
      </c>
      <c r="G2258">
        <v>4.66</v>
      </c>
      <c r="H2258">
        <v>51.94</v>
      </c>
      <c r="I2258">
        <v>21.45</v>
      </c>
      <c r="J2258">
        <v>4.84</v>
      </c>
      <c r="K2258">
        <v>10.11</v>
      </c>
      <c r="L2258">
        <f t="shared" si="350"/>
        <v>0</v>
      </c>
      <c r="M2258">
        <f t="shared" si="351"/>
        <v>0</v>
      </c>
      <c r="N2258">
        <f t="shared" si="352"/>
        <v>0</v>
      </c>
      <c r="O2258">
        <f t="shared" si="353"/>
        <v>0</v>
      </c>
      <c r="P2258">
        <f t="shared" si="354"/>
        <v>0</v>
      </c>
      <c r="Q2258">
        <f t="shared" si="355"/>
        <v>0</v>
      </c>
      <c r="R2258">
        <f t="shared" si="356"/>
        <v>0</v>
      </c>
      <c r="S2258">
        <f t="shared" si="357"/>
        <v>0</v>
      </c>
      <c r="T2258">
        <f t="shared" si="359"/>
        <v>0</v>
      </c>
      <c r="U2258">
        <f t="shared" si="358"/>
        <v>0</v>
      </c>
    </row>
    <row r="2259" spans="1:21" x14ac:dyDescent="0.25">
      <c r="A2259">
        <v>2258</v>
      </c>
      <c r="B2259">
        <v>3028</v>
      </c>
      <c r="C2259" t="s">
        <v>163</v>
      </c>
      <c r="D2259" t="s">
        <v>583</v>
      </c>
      <c r="E2259">
        <v>669.08</v>
      </c>
      <c r="F2259">
        <v>0.08</v>
      </c>
      <c r="G2259" s="80">
        <v>0.51</v>
      </c>
      <c r="H2259">
        <v>62.25</v>
      </c>
      <c r="I2259">
        <v>4.68</v>
      </c>
      <c r="J2259" t="s">
        <v>583</v>
      </c>
      <c r="K2259">
        <v>10.74</v>
      </c>
      <c r="L2259">
        <f t="shared" si="350"/>
        <v>0</v>
      </c>
      <c r="M2259">
        <f t="shared" si="351"/>
        <v>0</v>
      </c>
      <c r="N2259">
        <f t="shared" si="352"/>
        <v>0</v>
      </c>
      <c r="O2259">
        <f t="shared" si="353"/>
        <v>0</v>
      </c>
      <c r="P2259">
        <f t="shared" si="354"/>
        <v>0</v>
      </c>
      <c r="Q2259">
        <f t="shared" si="355"/>
        <v>0</v>
      </c>
      <c r="R2259">
        <f t="shared" si="356"/>
        <v>0</v>
      </c>
      <c r="S2259">
        <f t="shared" si="357"/>
        <v>0</v>
      </c>
      <c r="T2259">
        <f t="shared" si="359"/>
        <v>0</v>
      </c>
      <c r="U2259">
        <f t="shared" si="358"/>
        <v>0</v>
      </c>
    </row>
    <row r="2260" spans="1:21" x14ac:dyDescent="0.25">
      <c r="A2260">
        <v>2259</v>
      </c>
      <c r="B2260">
        <v>3028</v>
      </c>
      <c r="C2260" t="s">
        <v>181</v>
      </c>
      <c r="D2260" t="s">
        <v>583</v>
      </c>
      <c r="E2260">
        <v>6708.35</v>
      </c>
      <c r="F2260">
        <v>0.37</v>
      </c>
      <c r="G2260">
        <v>10.36</v>
      </c>
      <c r="H2260">
        <v>64.760000000000005</v>
      </c>
      <c r="I2260">
        <v>54.45</v>
      </c>
      <c r="J2260">
        <v>7.01</v>
      </c>
      <c r="K2260">
        <v>301.68</v>
      </c>
      <c r="L2260">
        <f t="shared" si="350"/>
        <v>0</v>
      </c>
      <c r="M2260">
        <f t="shared" si="351"/>
        <v>0</v>
      </c>
      <c r="N2260">
        <f t="shared" si="352"/>
        <v>0</v>
      </c>
      <c r="O2260">
        <f t="shared" si="353"/>
        <v>0</v>
      </c>
      <c r="P2260">
        <f t="shared" si="354"/>
        <v>0</v>
      </c>
      <c r="Q2260">
        <f t="shared" si="355"/>
        <v>0</v>
      </c>
      <c r="R2260">
        <f t="shared" si="356"/>
        <v>0</v>
      </c>
      <c r="S2260">
        <f t="shared" si="357"/>
        <v>0</v>
      </c>
      <c r="T2260">
        <f t="shared" si="359"/>
        <v>0</v>
      </c>
      <c r="U2260">
        <f t="shared" si="358"/>
        <v>0</v>
      </c>
    </row>
    <row r="2261" spans="1:21" x14ac:dyDescent="0.25">
      <c r="A2261">
        <v>2260</v>
      </c>
      <c r="B2261">
        <v>3028</v>
      </c>
      <c r="C2261" t="s">
        <v>183</v>
      </c>
      <c r="D2261">
        <v>1.76</v>
      </c>
      <c r="E2261">
        <v>5667.3</v>
      </c>
      <c r="F2261">
        <v>2.3199999999999998</v>
      </c>
      <c r="G2261">
        <v>4.66</v>
      </c>
      <c r="H2261">
        <v>180.55</v>
      </c>
      <c r="I2261">
        <v>1508.41</v>
      </c>
      <c r="J2261">
        <v>9.33</v>
      </c>
      <c r="K2261">
        <v>1373.39</v>
      </c>
      <c r="L2261">
        <f t="shared" si="350"/>
        <v>0</v>
      </c>
      <c r="M2261">
        <f t="shared" si="351"/>
        <v>0</v>
      </c>
      <c r="N2261">
        <f t="shared" si="352"/>
        <v>0</v>
      </c>
      <c r="O2261">
        <f t="shared" si="353"/>
        <v>0</v>
      </c>
      <c r="P2261">
        <f t="shared" si="354"/>
        <v>0</v>
      </c>
      <c r="Q2261">
        <f t="shared" si="355"/>
        <v>0</v>
      </c>
      <c r="R2261">
        <f t="shared" si="356"/>
        <v>0</v>
      </c>
      <c r="S2261">
        <f t="shared" si="357"/>
        <v>0</v>
      </c>
      <c r="T2261">
        <f t="shared" si="359"/>
        <v>0</v>
      </c>
      <c r="U2261">
        <f t="shared" si="358"/>
        <v>0</v>
      </c>
    </row>
    <row r="2262" spans="1:21" x14ac:dyDescent="0.25">
      <c r="A2262">
        <v>2261</v>
      </c>
      <c r="B2262">
        <v>3028</v>
      </c>
      <c r="C2262" t="s">
        <v>186</v>
      </c>
      <c r="D2262">
        <v>2.21</v>
      </c>
      <c r="E2262">
        <v>5082.01</v>
      </c>
      <c r="F2262">
        <v>2.8</v>
      </c>
      <c r="G2262">
        <v>24.53</v>
      </c>
      <c r="H2262">
        <v>366.66</v>
      </c>
      <c r="I2262" s="80">
        <v>2968.19</v>
      </c>
      <c r="J2262">
        <v>11.76</v>
      </c>
      <c r="K2262">
        <v>2074.6999999999998</v>
      </c>
      <c r="L2262">
        <f t="shared" si="350"/>
        <v>0</v>
      </c>
      <c r="M2262">
        <f t="shared" si="351"/>
        <v>0</v>
      </c>
      <c r="N2262">
        <f t="shared" si="352"/>
        <v>0</v>
      </c>
      <c r="O2262">
        <f t="shared" si="353"/>
        <v>0</v>
      </c>
      <c r="P2262">
        <f t="shared" si="354"/>
        <v>0</v>
      </c>
      <c r="Q2262">
        <f t="shared" si="355"/>
        <v>0</v>
      </c>
      <c r="R2262">
        <f t="shared" si="356"/>
        <v>0</v>
      </c>
      <c r="S2262">
        <f t="shared" si="357"/>
        <v>0</v>
      </c>
      <c r="T2262">
        <f t="shared" si="359"/>
        <v>0</v>
      </c>
      <c r="U2262">
        <f t="shared" si="358"/>
        <v>0</v>
      </c>
    </row>
    <row r="2263" spans="1:21" x14ac:dyDescent="0.25">
      <c r="A2263">
        <v>2262</v>
      </c>
      <c r="B2263">
        <v>3028</v>
      </c>
      <c r="C2263" t="s">
        <v>188</v>
      </c>
      <c r="D2263">
        <v>0.94</v>
      </c>
      <c r="E2263">
        <v>5163.28</v>
      </c>
      <c r="F2263">
        <v>2.41</v>
      </c>
      <c r="G2263">
        <v>10.36</v>
      </c>
      <c r="H2263">
        <v>441.42</v>
      </c>
      <c r="I2263">
        <v>1949.48</v>
      </c>
      <c r="J2263">
        <v>14.31</v>
      </c>
      <c r="K2263">
        <v>2154.1999999999998</v>
      </c>
      <c r="L2263">
        <f t="shared" si="350"/>
        <v>0</v>
      </c>
      <c r="M2263">
        <f t="shared" si="351"/>
        <v>0</v>
      </c>
      <c r="N2263">
        <f t="shared" si="352"/>
        <v>0</v>
      </c>
      <c r="O2263">
        <f t="shared" si="353"/>
        <v>0</v>
      </c>
      <c r="P2263">
        <f t="shared" si="354"/>
        <v>0</v>
      </c>
      <c r="Q2263">
        <f t="shared" si="355"/>
        <v>0</v>
      </c>
      <c r="R2263">
        <f t="shared" si="356"/>
        <v>0</v>
      </c>
      <c r="S2263">
        <f t="shared" si="357"/>
        <v>0</v>
      </c>
      <c r="T2263">
        <f t="shared" si="359"/>
        <v>0</v>
      </c>
      <c r="U2263">
        <f t="shared" si="358"/>
        <v>0</v>
      </c>
    </row>
    <row r="2264" spans="1:21" x14ac:dyDescent="0.25">
      <c r="A2264">
        <v>2263</v>
      </c>
      <c r="B2264">
        <v>3028</v>
      </c>
      <c r="C2264" t="s">
        <v>182</v>
      </c>
      <c r="D2264" t="s">
        <v>583</v>
      </c>
      <c r="E2264">
        <v>2598.5300000000002</v>
      </c>
      <c r="F2264" t="s">
        <v>583</v>
      </c>
      <c r="G2264" s="80">
        <v>0.51</v>
      </c>
      <c r="H2264" t="s">
        <v>583</v>
      </c>
      <c r="I2264">
        <v>0.18</v>
      </c>
      <c r="J2264" t="s">
        <v>583</v>
      </c>
      <c r="K2264">
        <v>0.27</v>
      </c>
      <c r="L2264">
        <f t="shared" si="350"/>
        <v>0</v>
      </c>
      <c r="M2264">
        <f t="shared" si="351"/>
        <v>0</v>
      </c>
      <c r="N2264">
        <f t="shared" si="352"/>
        <v>0</v>
      </c>
      <c r="O2264">
        <f t="shared" si="353"/>
        <v>0</v>
      </c>
      <c r="P2264">
        <f t="shared" si="354"/>
        <v>0</v>
      </c>
      <c r="Q2264">
        <f t="shared" si="355"/>
        <v>0</v>
      </c>
      <c r="R2264">
        <f t="shared" si="356"/>
        <v>0</v>
      </c>
      <c r="S2264">
        <f t="shared" si="357"/>
        <v>0</v>
      </c>
      <c r="T2264">
        <f t="shared" si="359"/>
        <v>0</v>
      </c>
      <c r="U2264">
        <f t="shared" si="358"/>
        <v>0</v>
      </c>
    </row>
    <row r="2265" spans="1:21" x14ac:dyDescent="0.25">
      <c r="A2265">
        <v>2264</v>
      </c>
      <c r="B2265">
        <v>3028</v>
      </c>
      <c r="C2265" t="s">
        <v>184</v>
      </c>
      <c r="D2265">
        <v>10</v>
      </c>
      <c r="E2265" s="80">
        <v>56239.67</v>
      </c>
      <c r="F2265">
        <v>52.68</v>
      </c>
      <c r="G2265">
        <v>80.739999999999995</v>
      </c>
      <c r="H2265">
        <v>7083.36</v>
      </c>
      <c r="I2265" s="80">
        <v>14109.53</v>
      </c>
      <c r="J2265">
        <v>37.42</v>
      </c>
      <c r="K2265">
        <v>620.95000000000005</v>
      </c>
      <c r="L2265">
        <f t="shared" si="350"/>
        <v>0</v>
      </c>
      <c r="M2265">
        <f t="shared" si="351"/>
        <v>0</v>
      </c>
      <c r="N2265">
        <f t="shared" si="352"/>
        <v>0</v>
      </c>
      <c r="O2265">
        <f t="shared" si="353"/>
        <v>0</v>
      </c>
      <c r="P2265">
        <f t="shared" si="354"/>
        <v>0</v>
      </c>
      <c r="Q2265">
        <f t="shared" si="355"/>
        <v>0</v>
      </c>
      <c r="R2265">
        <f t="shared" si="356"/>
        <v>0</v>
      </c>
      <c r="S2265">
        <f t="shared" si="357"/>
        <v>0</v>
      </c>
      <c r="T2265">
        <f t="shared" si="359"/>
        <v>0</v>
      </c>
      <c r="U2265">
        <f t="shared" si="358"/>
        <v>0</v>
      </c>
    </row>
    <row r="2266" spans="1:21" x14ac:dyDescent="0.25">
      <c r="A2266">
        <v>2265</v>
      </c>
      <c r="B2266">
        <v>3028</v>
      </c>
      <c r="C2266" t="s">
        <v>187</v>
      </c>
      <c r="D2266">
        <v>19.25</v>
      </c>
      <c r="E2266" s="80">
        <v>122090.54</v>
      </c>
      <c r="F2266">
        <v>167.92</v>
      </c>
      <c r="G2266">
        <v>114.28</v>
      </c>
      <c r="H2266">
        <v>12587.06</v>
      </c>
      <c r="I2266" s="80">
        <v>15781.73</v>
      </c>
      <c r="J2266">
        <v>53.7</v>
      </c>
      <c r="K2266">
        <v>2606.15</v>
      </c>
      <c r="L2266">
        <f t="shared" si="350"/>
        <v>0</v>
      </c>
      <c r="M2266">
        <f t="shared" si="351"/>
        <v>0</v>
      </c>
      <c r="N2266">
        <f t="shared" si="352"/>
        <v>0</v>
      </c>
      <c r="O2266">
        <f t="shared" si="353"/>
        <v>0</v>
      </c>
      <c r="P2266">
        <f t="shared" si="354"/>
        <v>0</v>
      </c>
      <c r="Q2266">
        <f t="shared" si="355"/>
        <v>0</v>
      </c>
      <c r="R2266">
        <f t="shared" si="356"/>
        <v>0</v>
      </c>
      <c r="S2266">
        <f t="shared" si="357"/>
        <v>0</v>
      </c>
      <c r="T2266">
        <f t="shared" si="359"/>
        <v>0</v>
      </c>
      <c r="U2266">
        <f t="shared" si="358"/>
        <v>0</v>
      </c>
    </row>
    <row r="2267" spans="1:21" x14ac:dyDescent="0.25">
      <c r="A2267">
        <v>2266</v>
      </c>
      <c r="B2267">
        <v>3028</v>
      </c>
      <c r="C2267" t="s">
        <v>189</v>
      </c>
      <c r="D2267">
        <v>12.91</v>
      </c>
      <c r="E2267">
        <v>24720.400000000001</v>
      </c>
      <c r="F2267">
        <v>33.04</v>
      </c>
      <c r="G2267">
        <v>91.58</v>
      </c>
      <c r="H2267">
        <v>7728.97</v>
      </c>
      <c r="I2267" s="80">
        <v>11393.2</v>
      </c>
      <c r="J2267">
        <v>50.35</v>
      </c>
      <c r="K2267">
        <v>4728.3</v>
      </c>
      <c r="L2267">
        <f t="shared" si="350"/>
        <v>0</v>
      </c>
      <c r="M2267">
        <f t="shared" si="351"/>
        <v>0</v>
      </c>
      <c r="N2267">
        <f t="shared" si="352"/>
        <v>0</v>
      </c>
      <c r="O2267">
        <f t="shared" si="353"/>
        <v>0</v>
      </c>
      <c r="P2267">
        <f t="shared" si="354"/>
        <v>0</v>
      </c>
      <c r="Q2267">
        <f t="shared" si="355"/>
        <v>0</v>
      </c>
      <c r="R2267">
        <f t="shared" si="356"/>
        <v>0</v>
      </c>
      <c r="S2267">
        <f t="shared" si="357"/>
        <v>0</v>
      </c>
      <c r="T2267">
        <f t="shared" si="359"/>
        <v>0</v>
      </c>
      <c r="U2267">
        <f t="shared" si="358"/>
        <v>0</v>
      </c>
    </row>
    <row r="2268" spans="1:21" x14ac:dyDescent="0.25">
      <c r="A2268">
        <v>2267</v>
      </c>
      <c r="B2268">
        <v>3029</v>
      </c>
      <c r="C2268" t="s">
        <v>162</v>
      </c>
      <c r="D2268">
        <v>4.29</v>
      </c>
      <c r="E2268" s="80">
        <v>215787.96</v>
      </c>
      <c r="F2268">
        <v>1.2</v>
      </c>
      <c r="G2268">
        <v>50.53</v>
      </c>
      <c r="H2268">
        <v>1.44</v>
      </c>
      <c r="I2268">
        <v>27.23</v>
      </c>
      <c r="J2268">
        <v>26.79</v>
      </c>
      <c r="K2268">
        <v>3.44</v>
      </c>
      <c r="L2268">
        <f t="shared" si="350"/>
        <v>0</v>
      </c>
      <c r="M2268">
        <f t="shared" si="351"/>
        <v>0</v>
      </c>
      <c r="N2268">
        <f t="shared" si="352"/>
        <v>0</v>
      </c>
      <c r="O2268">
        <f t="shared" si="353"/>
        <v>0</v>
      </c>
      <c r="P2268">
        <f t="shared" si="354"/>
        <v>0</v>
      </c>
      <c r="Q2268">
        <f t="shared" si="355"/>
        <v>0</v>
      </c>
      <c r="R2268">
        <f t="shared" si="356"/>
        <v>0</v>
      </c>
      <c r="S2268">
        <f t="shared" si="357"/>
        <v>0</v>
      </c>
      <c r="T2268">
        <f t="shared" si="359"/>
        <v>0</v>
      </c>
      <c r="U2268">
        <f t="shared" si="358"/>
        <v>0</v>
      </c>
    </row>
    <row r="2269" spans="1:21" x14ac:dyDescent="0.25">
      <c r="A2269">
        <v>2268</v>
      </c>
      <c r="B2269">
        <v>3029</v>
      </c>
      <c r="C2269" t="s">
        <v>170</v>
      </c>
      <c r="D2269">
        <v>10</v>
      </c>
      <c r="E2269" s="80">
        <v>48801.9</v>
      </c>
      <c r="F2269">
        <v>601.87</v>
      </c>
      <c r="G2269">
        <v>120.15</v>
      </c>
      <c r="H2269">
        <v>5047.13</v>
      </c>
      <c r="I2269" s="80">
        <v>21140.44</v>
      </c>
      <c r="J2269">
        <v>50.35</v>
      </c>
      <c r="K2269">
        <v>2448.7199999999998</v>
      </c>
      <c r="L2269">
        <f t="shared" si="350"/>
        <v>0</v>
      </c>
      <c r="M2269">
        <f t="shared" si="351"/>
        <v>0</v>
      </c>
      <c r="N2269">
        <f t="shared" si="352"/>
        <v>0</v>
      </c>
      <c r="O2269">
        <f t="shared" si="353"/>
        <v>0</v>
      </c>
      <c r="P2269">
        <f t="shared" si="354"/>
        <v>0</v>
      </c>
      <c r="Q2269">
        <f t="shared" si="355"/>
        <v>0</v>
      </c>
      <c r="R2269">
        <f t="shared" si="356"/>
        <v>0</v>
      </c>
      <c r="S2269">
        <f t="shared" si="357"/>
        <v>0</v>
      </c>
      <c r="T2269">
        <f t="shared" si="359"/>
        <v>0</v>
      </c>
      <c r="U2269">
        <f t="shared" si="358"/>
        <v>0</v>
      </c>
    </row>
    <row r="2270" spans="1:21" x14ac:dyDescent="0.25">
      <c r="A2270">
        <v>2269</v>
      </c>
      <c r="B2270">
        <v>3029</v>
      </c>
      <c r="C2270" t="s">
        <v>178</v>
      </c>
      <c r="D2270">
        <v>37.619999999999997</v>
      </c>
      <c r="E2270" s="80">
        <v>34335.65</v>
      </c>
      <c r="F2270">
        <v>2111.23</v>
      </c>
      <c r="G2270">
        <v>138.22</v>
      </c>
      <c r="H2270" s="80">
        <v>86801.38</v>
      </c>
      <c r="I2270" s="80">
        <v>22676.81</v>
      </c>
      <c r="J2270">
        <v>71.03</v>
      </c>
      <c r="K2270">
        <v>5434.85</v>
      </c>
      <c r="L2270">
        <f t="shared" si="350"/>
        <v>0</v>
      </c>
      <c r="M2270">
        <f t="shared" si="351"/>
        <v>0</v>
      </c>
      <c r="N2270">
        <f t="shared" si="352"/>
        <v>0</v>
      </c>
      <c r="O2270">
        <f t="shared" si="353"/>
        <v>0</v>
      </c>
      <c r="P2270">
        <f t="shared" si="354"/>
        <v>0</v>
      </c>
      <c r="Q2270">
        <f t="shared" si="355"/>
        <v>0</v>
      </c>
      <c r="R2270">
        <f t="shared" si="356"/>
        <v>0</v>
      </c>
      <c r="S2270">
        <f t="shared" si="357"/>
        <v>0</v>
      </c>
      <c r="T2270">
        <f t="shared" si="359"/>
        <v>0</v>
      </c>
      <c r="U2270">
        <f t="shared" si="358"/>
        <v>0</v>
      </c>
    </row>
    <row r="2271" spans="1:21" x14ac:dyDescent="0.25">
      <c r="A2271">
        <v>2270</v>
      </c>
      <c r="B2271">
        <v>3029</v>
      </c>
      <c r="C2271" t="s">
        <v>163</v>
      </c>
      <c r="D2271">
        <v>19.25</v>
      </c>
      <c r="E2271" s="80">
        <v>30585.85</v>
      </c>
      <c r="F2271">
        <v>1941.54</v>
      </c>
      <c r="G2271">
        <v>138.22</v>
      </c>
      <c r="H2271" s="80">
        <v>32504.91</v>
      </c>
      <c r="I2271" s="80">
        <v>22956.79</v>
      </c>
      <c r="J2271">
        <v>63.98</v>
      </c>
      <c r="K2271" s="80">
        <v>31105.21</v>
      </c>
      <c r="L2271">
        <f t="shared" si="350"/>
        <v>0</v>
      </c>
      <c r="M2271">
        <f t="shared" si="351"/>
        <v>0</v>
      </c>
      <c r="N2271">
        <f t="shared" si="352"/>
        <v>0</v>
      </c>
      <c r="O2271">
        <f t="shared" si="353"/>
        <v>0</v>
      </c>
      <c r="P2271">
        <f t="shared" si="354"/>
        <v>0</v>
      </c>
      <c r="Q2271">
        <f t="shared" si="355"/>
        <v>0</v>
      </c>
      <c r="R2271">
        <f t="shared" si="356"/>
        <v>0</v>
      </c>
      <c r="S2271">
        <f t="shared" si="357"/>
        <v>0</v>
      </c>
      <c r="T2271">
        <f t="shared" si="359"/>
        <v>0</v>
      </c>
      <c r="U2271">
        <f t="shared" si="358"/>
        <v>0</v>
      </c>
    </row>
    <row r="2272" spans="1:21" x14ac:dyDescent="0.25">
      <c r="A2272">
        <v>2271</v>
      </c>
      <c r="B2272">
        <v>3029</v>
      </c>
      <c r="C2272" t="s">
        <v>181</v>
      </c>
      <c r="D2272">
        <v>14.43</v>
      </c>
      <c r="E2272" s="89" t="s">
        <v>582</v>
      </c>
      <c r="F2272">
        <v>1.03</v>
      </c>
      <c r="G2272">
        <v>86.11</v>
      </c>
      <c r="H2272">
        <v>78.56</v>
      </c>
      <c r="I2272">
        <v>1048.01</v>
      </c>
      <c r="J2272">
        <v>43.79</v>
      </c>
      <c r="K2272">
        <v>97.77</v>
      </c>
      <c r="L2272">
        <f t="shared" si="350"/>
        <v>0</v>
      </c>
      <c r="M2272">
        <f t="shared" si="351"/>
        <v>1</v>
      </c>
      <c r="N2272">
        <f t="shared" si="352"/>
        <v>0</v>
      </c>
      <c r="O2272">
        <f t="shared" si="353"/>
        <v>0</v>
      </c>
      <c r="P2272">
        <f t="shared" si="354"/>
        <v>0</v>
      </c>
      <c r="Q2272">
        <f t="shared" si="355"/>
        <v>0</v>
      </c>
      <c r="R2272">
        <f t="shared" si="356"/>
        <v>0</v>
      </c>
      <c r="S2272">
        <f t="shared" si="357"/>
        <v>0</v>
      </c>
      <c r="T2272">
        <f t="shared" si="359"/>
        <v>1</v>
      </c>
      <c r="U2272">
        <f t="shared" si="358"/>
        <v>1</v>
      </c>
    </row>
    <row r="2273" spans="1:21" x14ac:dyDescent="0.25">
      <c r="A2273">
        <v>2272</v>
      </c>
      <c r="B2273">
        <v>3029</v>
      </c>
      <c r="C2273" t="s">
        <v>183</v>
      </c>
      <c r="D2273">
        <v>17.600000000000001</v>
      </c>
      <c r="E2273" s="89" t="s">
        <v>582</v>
      </c>
      <c r="F2273">
        <v>1919.87</v>
      </c>
      <c r="G2273">
        <v>150.63</v>
      </c>
      <c r="H2273">
        <v>10212.18</v>
      </c>
      <c r="I2273" s="80">
        <v>24184.95</v>
      </c>
      <c r="J2273">
        <v>60.51</v>
      </c>
      <c r="K2273">
        <v>7517.88</v>
      </c>
      <c r="L2273">
        <f t="shared" si="350"/>
        <v>0</v>
      </c>
      <c r="M2273">
        <f t="shared" si="351"/>
        <v>1</v>
      </c>
      <c r="N2273">
        <f t="shared" si="352"/>
        <v>0</v>
      </c>
      <c r="O2273">
        <f t="shared" si="353"/>
        <v>0</v>
      </c>
      <c r="P2273">
        <f t="shared" si="354"/>
        <v>0</v>
      </c>
      <c r="Q2273">
        <f t="shared" si="355"/>
        <v>0</v>
      </c>
      <c r="R2273">
        <f t="shared" si="356"/>
        <v>0</v>
      </c>
      <c r="S2273">
        <f t="shared" si="357"/>
        <v>0</v>
      </c>
      <c r="T2273">
        <f t="shared" si="359"/>
        <v>1</v>
      </c>
      <c r="U2273">
        <f t="shared" si="358"/>
        <v>1</v>
      </c>
    </row>
    <row r="2274" spans="1:21" x14ac:dyDescent="0.25">
      <c r="A2274">
        <v>2273</v>
      </c>
      <c r="B2274">
        <v>3029</v>
      </c>
      <c r="C2274" t="s">
        <v>186</v>
      </c>
      <c r="D2274">
        <v>39.619999999999997</v>
      </c>
      <c r="E2274" s="89" t="s">
        <v>582</v>
      </c>
      <c r="F2274" s="80">
        <v>7663.88</v>
      </c>
      <c r="G2274">
        <v>273.58</v>
      </c>
      <c r="H2274" s="80">
        <v>800761.06</v>
      </c>
      <c r="I2274" s="80">
        <v>24937.08</v>
      </c>
      <c r="J2274">
        <v>150.29</v>
      </c>
      <c r="K2274" s="89" t="s">
        <v>582</v>
      </c>
      <c r="L2274">
        <f t="shared" si="350"/>
        <v>0</v>
      </c>
      <c r="M2274">
        <f t="shared" si="351"/>
        <v>1</v>
      </c>
      <c r="N2274">
        <f t="shared" si="352"/>
        <v>0</v>
      </c>
      <c r="O2274">
        <f t="shared" si="353"/>
        <v>0</v>
      </c>
      <c r="P2274">
        <f t="shared" si="354"/>
        <v>0</v>
      </c>
      <c r="Q2274">
        <f t="shared" si="355"/>
        <v>0</v>
      </c>
      <c r="R2274">
        <f t="shared" si="356"/>
        <v>0</v>
      </c>
      <c r="S2274">
        <f t="shared" si="357"/>
        <v>1</v>
      </c>
      <c r="T2274">
        <f t="shared" si="359"/>
        <v>2</v>
      </c>
      <c r="U2274">
        <f t="shared" si="358"/>
        <v>1</v>
      </c>
    </row>
    <row r="2275" spans="1:21" x14ac:dyDescent="0.25">
      <c r="A2275">
        <v>2274</v>
      </c>
      <c r="B2275">
        <v>3029</v>
      </c>
      <c r="C2275" t="s">
        <v>188</v>
      </c>
      <c r="D2275">
        <v>33.700000000000003</v>
      </c>
      <c r="E2275" s="89" t="s">
        <v>582</v>
      </c>
      <c r="F2275" s="80">
        <v>4240.84</v>
      </c>
      <c r="G2275">
        <v>216.59</v>
      </c>
      <c r="H2275" s="80">
        <v>47982.62</v>
      </c>
      <c r="I2275" s="80">
        <v>24684.48</v>
      </c>
      <c r="J2275">
        <v>125.93</v>
      </c>
      <c r="K2275" s="89" t="s">
        <v>582</v>
      </c>
      <c r="L2275">
        <f t="shared" si="350"/>
        <v>0</v>
      </c>
      <c r="M2275">
        <f t="shared" si="351"/>
        <v>1</v>
      </c>
      <c r="N2275">
        <f t="shared" si="352"/>
        <v>0</v>
      </c>
      <c r="O2275">
        <f t="shared" si="353"/>
        <v>0</v>
      </c>
      <c r="P2275">
        <f t="shared" si="354"/>
        <v>0</v>
      </c>
      <c r="Q2275">
        <f t="shared" si="355"/>
        <v>0</v>
      </c>
      <c r="R2275">
        <f t="shared" si="356"/>
        <v>0</v>
      </c>
      <c r="S2275">
        <f t="shared" si="357"/>
        <v>1</v>
      </c>
      <c r="T2275">
        <f t="shared" si="359"/>
        <v>2</v>
      </c>
      <c r="U2275">
        <f t="shared" si="358"/>
        <v>1</v>
      </c>
    </row>
    <row r="2276" spans="1:21" x14ac:dyDescent="0.25">
      <c r="A2276">
        <v>2275</v>
      </c>
      <c r="B2276">
        <v>3029</v>
      </c>
      <c r="C2276" t="s">
        <v>182</v>
      </c>
      <c r="D2276" t="s">
        <v>583</v>
      </c>
      <c r="E2276">
        <v>907.73</v>
      </c>
      <c r="F2276">
        <v>0.05</v>
      </c>
      <c r="G2276">
        <v>10.36</v>
      </c>
      <c r="H2276">
        <v>0.37</v>
      </c>
      <c r="I2276">
        <v>193.45</v>
      </c>
      <c r="J2276" t="s">
        <v>583</v>
      </c>
      <c r="K2276">
        <v>0.98</v>
      </c>
      <c r="L2276">
        <f t="shared" si="350"/>
        <v>0</v>
      </c>
      <c r="M2276">
        <f t="shared" si="351"/>
        <v>0</v>
      </c>
      <c r="N2276">
        <f t="shared" si="352"/>
        <v>0</v>
      </c>
      <c r="O2276">
        <f t="shared" si="353"/>
        <v>0</v>
      </c>
      <c r="P2276">
        <f t="shared" si="354"/>
        <v>0</v>
      </c>
      <c r="Q2276">
        <f t="shared" si="355"/>
        <v>0</v>
      </c>
      <c r="R2276">
        <f t="shared" si="356"/>
        <v>0</v>
      </c>
      <c r="S2276">
        <f t="shared" si="357"/>
        <v>0</v>
      </c>
      <c r="T2276">
        <f t="shared" si="359"/>
        <v>0</v>
      </c>
      <c r="U2276">
        <f t="shared" si="358"/>
        <v>0</v>
      </c>
    </row>
    <row r="2277" spans="1:21" x14ac:dyDescent="0.25">
      <c r="A2277">
        <v>2276</v>
      </c>
      <c r="B2277">
        <v>3029</v>
      </c>
      <c r="C2277" t="s">
        <v>184</v>
      </c>
      <c r="D2277">
        <v>7.31</v>
      </c>
      <c r="E2277">
        <v>9905.2800000000007</v>
      </c>
      <c r="F2277">
        <v>153.38</v>
      </c>
      <c r="G2277">
        <v>80.739999999999995</v>
      </c>
      <c r="H2277">
        <v>12447.59</v>
      </c>
      <c r="I2277" s="80">
        <v>17377.87</v>
      </c>
      <c r="J2277">
        <v>22.46</v>
      </c>
      <c r="K2277">
        <v>1397.03</v>
      </c>
      <c r="L2277">
        <f t="shared" si="350"/>
        <v>0</v>
      </c>
      <c r="M2277">
        <f t="shared" si="351"/>
        <v>0</v>
      </c>
      <c r="N2277">
        <f t="shared" si="352"/>
        <v>0</v>
      </c>
      <c r="O2277">
        <f t="shared" si="353"/>
        <v>0</v>
      </c>
      <c r="P2277">
        <f t="shared" si="354"/>
        <v>0</v>
      </c>
      <c r="Q2277">
        <f t="shared" si="355"/>
        <v>0</v>
      </c>
      <c r="R2277">
        <f t="shared" si="356"/>
        <v>0</v>
      </c>
      <c r="S2277">
        <f t="shared" si="357"/>
        <v>0</v>
      </c>
      <c r="T2277">
        <f t="shared" si="359"/>
        <v>0</v>
      </c>
      <c r="U2277">
        <f t="shared" si="358"/>
        <v>0</v>
      </c>
    </row>
    <row r="2278" spans="1:21" x14ac:dyDescent="0.25">
      <c r="A2278">
        <v>2277</v>
      </c>
      <c r="B2278">
        <v>3029</v>
      </c>
      <c r="C2278" t="s">
        <v>187</v>
      </c>
      <c r="D2278">
        <v>10</v>
      </c>
      <c r="E2278">
        <v>11326.52</v>
      </c>
      <c r="F2278">
        <v>160.88999999999999</v>
      </c>
      <c r="G2278">
        <v>70.27</v>
      </c>
      <c r="H2278" s="80">
        <v>20746.900000000001</v>
      </c>
      <c r="I2278" s="80">
        <v>16012.3</v>
      </c>
      <c r="J2278">
        <v>31.26</v>
      </c>
      <c r="K2278">
        <v>2599.46</v>
      </c>
      <c r="L2278">
        <f t="shared" si="350"/>
        <v>0</v>
      </c>
      <c r="M2278">
        <f t="shared" si="351"/>
        <v>0</v>
      </c>
      <c r="N2278">
        <f t="shared" si="352"/>
        <v>0</v>
      </c>
      <c r="O2278">
        <f t="shared" si="353"/>
        <v>0</v>
      </c>
      <c r="P2278">
        <f t="shared" si="354"/>
        <v>0</v>
      </c>
      <c r="Q2278">
        <f t="shared" si="355"/>
        <v>0</v>
      </c>
      <c r="R2278">
        <f t="shared" si="356"/>
        <v>0</v>
      </c>
      <c r="S2278">
        <f t="shared" si="357"/>
        <v>0</v>
      </c>
      <c r="T2278">
        <f t="shared" si="359"/>
        <v>0</v>
      </c>
      <c r="U2278">
        <f t="shared" si="358"/>
        <v>0</v>
      </c>
    </row>
    <row r="2279" spans="1:21" x14ac:dyDescent="0.25">
      <c r="A2279">
        <v>2278</v>
      </c>
      <c r="B2279">
        <v>3029</v>
      </c>
      <c r="C2279" t="s">
        <v>189</v>
      </c>
      <c r="D2279">
        <v>3.73</v>
      </c>
      <c r="E2279">
        <v>4349.47</v>
      </c>
      <c r="F2279">
        <v>22.34</v>
      </c>
      <c r="G2279">
        <v>41.34</v>
      </c>
      <c r="H2279">
        <v>14691.47</v>
      </c>
      <c r="I2279" s="80">
        <v>10684.23</v>
      </c>
      <c r="J2279">
        <v>25.33</v>
      </c>
      <c r="K2279">
        <v>2934.99</v>
      </c>
      <c r="L2279">
        <f t="shared" si="350"/>
        <v>0</v>
      </c>
      <c r="M2279">
        <f t="shared" si="351"/>
        <v>0</v>
      </c>
      <c r="N2279">
        <f t="shared" si="352"/>
        <v>0</v>
      </c>
      <c r="O2279">
        <f t="shared" si="353"/>
        <v>0</v>
      </c>
      <c r="P2279">
        <f t="shared" si="354"/>
        <v>0</v>
      </c>
      <c r="Q2279">
        <f t="shared" si="355"/>
        <v>0</v>
      </c>
      <c r="R2279">
        <f t="shared" si="356"/>
        <v>0</v>
      </c>
      <c r="S2279">
        <f t="shared" si="357"/>
        <v>0</v>
      </c>
      <c r="T2279">
        <f t="shared" si="359"/>
        <v>0</v>
      </c>
      <c r="U2279">
        <f t="shared" si="358"/>
        <v>0</v>
      </c>
    </row>
    <row r="2280" spans="1:21" x14ac:dyDescent="0.25">
      <c r="A2280">
        <v>2279</v>
      </c>
      <c r="B2280">
        <v>3013</v>
      </c>
      <c r="C2280" t="s">
        <v>162</v>
      </c>
      <c r="D2280">
        <v>24.41</v>
      </c>
      <c r="E2280">
        <v>6430.29</v>
      </c>
      <c r="F2280">
        <v>2.9</v>
      </c>
      <c r="G2280">
        <v>156.94</v>
      </c>
      <c r="H2280" s="80">
        <v>268777.48</v>
      </c>
      <c r="I2280" s="80">
        <v>18460.36</v>
      </c>
      <c r="J2280">
        <v>85.54</v>
      </c>
      <c r="K2280" t="s">
        <v>582</v>
      </c>
      <c r="L2280">
        <f t="shared" si="350"/>
        <v>0</v>
      </c>
      <c r="M2280">
        <f t="shared" si="351"/>
        <v>0</v>
      </c>
      <c r="N2280">
        <f t="shared" si="352"/>
        <v>0</v>
      </c>
      <c r="O2280">
        <f t="shared" si="353"/>
        <v>0</v>
      </c>
      <c r="P2280">
        <f t="shared" si="354"/>
        <v>0</v>
      </c>
      <c r="Q2280">
        <f t="shared" si="355"/>
        <v>0</v>
      </c>
      <c r="R2280">
        <f t="shared" si="356"/>
        <v>0</v>
      </c>
      <c r="S2280">
        <f t="shared" si="357"/>
        <v>1</v>
      </c>
      <c r="T2280">
        <f t="shared" si="359"/>
        <v>1</v>
      </c>
      <c r="U2280">
        <f t="shared" si="358"/>
        <v>1</v>
      </c>
    </row>
    <row r="2281" spans="1:21" x14ac:dyDescent="0.25">
      <c r="A2281">
        <v>2280</v>
      </c>
      <c r="B2281">
        <v>3013</v>
      </c>
      <c r="C2281" t="s">
        <v>170</v>
      </c>
      <c r="D2281">
        <v>24.41</v>
      </c>
      <c r="E2281">
        <v>5082.01</v>
      </c>
      <c r="F2281">
        <v>1.75</v>
      </c>
      <c r="G2281">
        <v>150.63</v>
      </c>
      <c r="H2281" s="84">
        <v>1446100</v>
      </c>
      <c r="I2281" s="80">
        <v>14868.77</v>
      </c>
      <c r="J2281">
        <v>67.489999999999995</v>
      </c>
      <c r="K2281" s="80">
        <v>17756.169999999998</v>
      </c>
      <c r="L2281">
        <f t="shared" si="350"/>
        <v>0</v>
      </c>
      <c r="M2281">
        <f t="shared" si="351"/>
        <v>0</v>
      </c>
      <c r="N2281">
        <f t="shared" si="352"/>
        <v>0</v>
      </c>
      <c r="O2281">
        <f t="shared" si="353"/>
        <v>0</v>
      </c>
      <c r="P2281">
        <f t="shared" si="354"/>
        <v>0</v>
      </c>
      <c r="Q2281">
        <f t="shared" si="355"/>
        <v>0</v>
      </c>
      <c r="R2281">
        <f t="shared" si="356"/>
        <v>0</v>
      </c>
      <c r="S2281">
        <f t="shared" si="357"/>
        <v>0</v>
      </c>
      <c r="T2281">
        <f t="shared" si="359"/>
        <v>0</v>
      </c>
      <c r="U2281">
        <f t="shared" si="358"/>
        <v>0</v>
      </c>
    </row>
    <row r="2282" spans="1:21" x14ac:dyDescent="0.25">
      <c r="A2282">
        <v>2281</v>
      </c>
      <c r="B2282">
        <v>3013</v>
      </c>
      <c r="C2282" t="s">
        <v>178</v>
      </c>
      <c r="D2282">
        <v>27.12</v>
      </c>
      <c r="E2282">
        <v>5190.49</v>
      </c>
      <c r="F2282">
        <v>1.38</v>
      </c>
      <c r="G2282">
        <v>102.76</v>
      </c>
      <c r="H2282" s="84">
        <v>7755400</v>
      </c>
      <c r="I2282" s="80">
        <v>14726.79</v>
      </c>
      <c r="J2282">
        <v>63.98</v>
      </c>
      <c r="K2282" s="80">
        <v>15837.97</v>
      </c>
      <c r="L2282">
        <f t="shared" si="350"/>
        <v>0</v>
      </c>
      <c r="M2282">
        <f t="shared" si="351"/>
        <v>0</v>
      </c>
      <c r="N2282">
        <f t="shared" si="352"/>
        <v>0</v>
      </c>
      <c r="O2282">
        <f t="shared" si="353"/>
        <v>0</v>
      </c>
      <c r="P2282">
        <f t="shared" si="354"/>
        <v>0</v>
      </c>
      <c r="Q2282">
        <f t="shared" si="355"/>
        <v>0</v>
      </c>
      <c r="R2282">
        <f t="shared" si="356"/>
        <v>0</v>
      </c>
      <c r="S2282">
        <f t="shared" si="357"/>
        <v>0</v>
      </c>
      <c r="T2282">
        <f t="shared" si="359"/>
        <v>0</v>
      </c>
      <c r="U2282">
        <f t="shared" si="358"/>
        <v>0</v>
      </c>
    </row>
    <row r="2283" spans="1:21" x14ac:dyDescent="0.25">
      <c r="A2283">
        <v>2282</v>
      </c>
      <c r="B2283">
        <v>3013</v>
      </c>
      <c r="C2283" t="s">
        <v>163</v>
      </c>
      <c r="D2283">
        <v>12.91</v>
      </c>
      <c r="E2283">
        <v>6672.64</v>
      </c>
      <c r="F2283">
        <v>3.25</v>
      </c>
      <c r="G2283">
        <v>138.22</v>
      </c>
      <c r="H2283" s="80">
        <v>203850.62</v>
      </c>
      <c r="I2283" s="80">
        <v>17882.099999999999</v>
      </c>
      <c r="J2283">
        <v>67.489999999999995</v>
      </c>
      <c r="K2283" s="80">
        <v>14313.43</v>
      </c>
      <c r="L2283">
        <f t="shared" si="350"/>
        <v>0</v>
      </c>
      <c r="M2283">
        <f t="shared" si="351"/>
        <v>0</v>
      </c>
      <c r="N2283">
        <f t="shared" si="352"/>
        <v>0</v>
      </c>
      <c r="O2283">
        <f t="shared" si="353"/>
        <v>0</v>
      </c>
      <c r="P2283">
        <f t="shared" si="354"/>
        <v>0</v>
      </c>
      <c r="Q2283">
        <f t="shared" si="355"/>
        <v>0</v>
      </c>
      <c r="R2283">
        <f t="shared" si="356"/>
        <v>0</v>
      </c>
      <c r="S2283">
        <f t="shared" si="357"/>
        <v>0</v>
      </c>
      <c r="T2283">
        <f t="shared" si="359"/>
        <v>0</v>
      </c>
      <c r="U2283">
        <f t="shared" si="358"/>
        <v>0</v>
      </c>
    </row>
    <row r="2284" spans="1:21" x14ac:dyDescent="0.25">
      <c r="A2284">
        <v>2283</v>
      </c>
      <c r="B2284">
        <v>3013</v>
      </c>
      <c r="C2284" t="s">
        <v>181</v>
      </c>
      <c r="D2284">
        <v>23.53</v>
      </c>
      <c r="E2284" s="80">
        <v>27198.44</v>
      </c>
      <c r="F2284">
        <v>5.12</v>
      </c>
      <c r="G2284">
        <v>176.26</v>
      </c>
      <c r="H2284" s="80">
        <v>107127.92</v>
      </c>
      <c r="I2284" s="80">
        <v>21396.44</v>
      </c>
      <c r="J2284">
        <v>108.24</v>
      </c>
      <c r="K2284" t="s">
        <v>582</v>
      </c>
      <c r="L2284">
        <f t="shared" si="350"/>
        <v>0</v>
      </c>
      <c r="M2284">
        <f t="shared" si="351"/>
        <v>0</v>
      </c>
      <c r="N2284">
        <f t="shared" si="352"/>
        <v>0</v>
      </c>
      <c r="O2284">
        <f t="shared" si="353"/>
        <v>0</v>
      </c>
      <c r="P2284">
        <f t="shared" si="354"/>
        <v>0</v>
      </c>
      <c r="Q2284">
        <f t="shared" si="355"/>
        <v>0</v>
      </c>
      <c r="R2284">
        <f t="shared" si="356"/>
        <v>0</v>
      </c>
      <c r="S2284">
        <f t="shared" si="357"/>
        <v>1</v>
      </c>
      <c r="T2284">
        <f t="shared" si="359"/>
        <v>1</v>
      </c>
      <c r="U2284">
        <f t="shared" si="358"/>
        <v>1</v>
      </c>
    </row>
    <row r="2285" spans="1:21" x14ac:dyDescent="0.25">
      <c r="A2285">
        <v>2284</v>
      </c>
      <c r="B2285">
        <v>3013</v>
      </c>
      <c r="C2285" t="s">
        <v>183</v>
      </c>
      <c r="D2285">
        <v>19.25</v>
      </c>
      <c r="E2285">
        <v>23845.73</v>
      </c>
      <c r="F2285">
        <v>3.1</v>
      </c>
      <c r="G2285">
        <v>150.63</v>
      </c>
      <c r="H2285" s="80">
        <v>237918.38</v>
      </c>
      <c r="I2285" s="80">
        <v>19562.64</v>
      </c>
      <c r="J2285">
        <v>104.39</v>
      </c>
      <c r="K2285" t="s">
        <v>582</v>
      </c>
      <c r="L2285">
        <f t="shared" si="350"/>
        <v>0</v>
      </c>
      <c r="M2285">
        <f t="shared" si="351"/>
        <v>0</v>
      </c>
      <c r="N2285">
        <f t="shared" si="352"/>
        <v>0</v>
      </c>
      <c r="O2285">
        <f t="shared" si="353"/>
        <v>0</v>
      </c>
      <c r="P2285">
        <f t="shared" si="354"/>
        <v>0</v>
      </c>
      <c r="Q2285">
        <f t="shared" si="355"/>
        <v>0</v>
      </c>
      <c r="R2285">
        <f t="shared" si="356"/>
        <v>0</v>
      </c>
      <c r="S2285">
        <f t="shared" si="357"/>
        <v>1</v>
      </c>
      <c r="T2285">
        <f t="shared" si="359"/>
        <v>1</v>
      </c>
      <c r="U2285">
        <f t="shared" si="358"/>
        <v>1</v>
      </c>
    </row>
    <row r="2286" spans="1:21" x14ac:dyDescent="0.25">
      <c r="A2286">
        <v>2285</v>
      </c>
      <c r="B2286">
        <v>3013</v>
      </c>
      <c r="C2286" t="s">
        <v>186</v>
      </c>
      <c r="D2286">
        <v>24.41</v>
      </c>
      <c r="E2286">
        <v>21700.83</v>
      </c>
      <c r="F2286">
        <v>3.92</v>
      </c>
      <c r="G2286">
        <v>120.15</v>
      </c>
      <c r="H2286" s="80">
        <v>329546.05</v>
      </c>
      <c r="I2286" s="80">
        <v>19736.86</v>
      </c>
      <c r="J2286">
        <v>104.39</v>
      </c>
      <c r="K2286" t="s">
        <v>582</v>
      </c>
      <c r="L2286">
        <f t="shared" si="350"/>
        <v>0</v>
      </c>
      <c r="M2286">
        <f t="shared" si="351"/>
        <v>0</v>
      </c>
      <c r="N2286">
        <f t="shared" si="352"/>
        <v>0</v>
      </c>
      <c r="O2286">
        <f t="shared" si="353"/>
        <v>0</v>
      </c>
      <c r="P2286">
        <f t="shared" si="354"/>
        <v>0</v>
      </c>
      <c r="Q2286">
        <f t="shared" si="355"/>
        <v>0</v>
      </c>
      <c r="R2286">
        <f t="shared" si="356"/>
        <v>0</v>
      </c>
      <c r="S2286">
        <f t="shared" si="357"/>
        <v>1</v>
      </c>
      <c r="T2286">
        <f t="shared" si="359"/>
        <v>1</v>
      </c>
      <c r="U2286">
        <f t="shared" si="358"/>
        <v>1</v>
      </c>
    </row>
    <row r="2287" spans="1:21" x14ac:dyDescent="0.25">
      <c r="A2287">
        <v>2286</v>
      </c>
      <c r="B2287">
        <v>3013</v>
      </c>
      <c r="C2287" t="s">
        <v>188</v>
      </c>
      <c r="D2287">
        <v>22.66</v>
      </c>
      <c r="E2287" s="80">
        <v>29857.57</v>
      </c>
      <c r="F2287">
        <v>5.93</v>
      </c>
      <c r="G2287">
        <v>150.63</v>
      </c>
      <c r="H2287" s="80">
        <v>78778.05</v>
      </c>
      <c r="I2287" s="80">
        <v>21788.9</v>
      </c>
      <c r="J2287">
        <v>104.39</v>
      </c>
      <c r="K2287" t="s">
        <v>582</v>
      </c>
      <c r="L2287">
        <f t="shared" si="350"/>
        <v>0</v>
      </c>
      <c r="M2287">
        <f t="shared" si="351"/>
        <v>0</v>
      </c>
      <c r="N2287">
        <f t="shared" si="352"/>
        <v>0</v>
      </c>
      <c r="O2287">
        <f t="shared" si="353"/>
        <v>0</v>
      </c>
      <c r="P2287">
        <f t="shared" si="354"/>
        <v>0</v>
      </c>
      <c r="Q2287">
        <f t="shared" si="355"/>
        <v>0</v>
      </c>
      <c r="R2287">
        <f t="shared" si="356"/>
        <v>0</v>
      </c>
      <c r="S2287">
        <f t="shared" si="357"/>
        <v>1</v>
      </c>
      <c r="T2287">
        <f t="shared" si="359"/>
        <v>1</v>
      </c>
      <c r="U2287">
        <f t="shared" si="358"/>
        <v>1</v>
      </c>
    </row>
    <row r="2288" spans="1:21" x14ac:dyDescent="0.25">
      <c r="A2288">
        <v>2287</v>
      </c>
      <c r="B2288">
        <v>3013</v>
      </c>
      <c r="C2288" t="s">
        <v>182</v>
      </c>
      <c r="D2288" t="s">
        <v>583</v>
      </c>
      <c r="E2288">
        <v>570.02</v>
      </c>
      <c r="F2288" t="s">
        <v>583</v>
      </c>
      <c r="G2288" t="s">
        <v>583</v>
      </c>
      <c r="H2288" t="s">
        <v>583</v>
      </c>
      <c r="I2288">
        <v>3.22</v>
      </c>
      <c r="J2288" t="s">
        <v>583</v>
      </c>
      <c r="K2288">
        <v>0.03</v>
      </c>
      <c r="L2288">
        <f t="shared" si="350"/>
        <v>0</v>
      </c>
      <c r="M2288">
        <f t="shared" si="351"/>
        <v>0</v>
      </c>
      <c r="N2288">
        <f t="shared" si="352"/>
        <v>0</v>
      </c>
      <c r="O2288">
        <f t="shared" si="353"/>
        <v>0</v>
      </c>
      <c r="P2288">
        <f t="shared" si="354"/>
        <v>0</v>
      </c>
      <c r="Q2288">
        <f t="shared" si="355"/>
        <v>0</v>
      </c>
      <c r="R2288">
        <f t="shared" si="356"/>
        <v>0</v>
      </c>
      <c r="S2288">
        <f t="shared" si="357"/>
        <v>0</v>
      </c>
      <c r="T2288">
        <f t="shared" si="359"/>
        <v>0</v>
      </c>
      <c r="U2288">
        <f t="shared" si="358"/>
        <v>0</v>
      </c>
    </row>
    <row r="2289" spans="1:21" x14ac:dyDescent="0.25">
      <c r="A2289">
        <v>2288</v>
      </c>
      <c r="B2289">
        <v>3013</v>
      </c>
      <c r="C2289" t="s">
        <v>184</v>
      </c>
      <c r="D2289" t="s">
        <v>583</v>
      </c>
      <c r="E2289">
        <v>4947.7700000000004</v>
      </c>
      <c r="F2289">
        <v>18.670000000000002</v>
      </c>
      <c r="G2289">
        <v>17.05</v>
      </c>
      <c r="H2289">
        <v>699.36</v>
      </c>
      <c r="I2289" s="80">
        <v>8410.5</v>
      </c>
      <c r="J2289">
        <v>9.33</v>
      </c>
      <c r="K2289">
        <v>153.83000000000001</v>
      </c>
      <c r="L2289">
        <f t="shared" si="350"/>
        <v>0</v>
      </c>
      <c r="M2289">
        <f t="shared" si="351"/>
        <v>0</v>
      </c>
      <c r="N2289">
        <f t="shared" si="352"/>
        <v>0</v>
      </c>
      <c r="O2289">
        <f t="shared" si="353"/>
        <v>0</v>
      </c>
      <c r="P2289">
        <f t="shared" si="354"/>
        <v>0</v>
      </c>
      <c r="Q2289">
        <f t="shared" si="355"/>
        <v>0</v>
      </c>
      <c r="R2289">
        <f t="shared" si="356"/>
        <v>0</v>
      </c>
      <c r="S2289">
        <f t="shared" si="357"/>
        <v>0</v>
      </c>
      <c r="T2289">
        <f t="shared" si="359"/>
        <v>0</v>
      </c>
      <c r="U2289">
        <f t="shared" si="358"/>
        <v>0</v>
      </c>
    </row>
    <row r="2290" spans="1:21" x14ac:dyDescent="0.25">
      <c r="A2290">
        <v>2289</v>
      </c>
      <c r="B2290">
        <v>3013</v>
      </c>
      <c r="C2290" t="s">
        <v>187</v>
      </c>
      <c r="D2290">
        <v>3.2</v>
      </c>
      <c r="E2290">
        <v>16115.93</v>
      </c>
      <c r="F2290">
        <v>100.16</v>
      </c>
      <c r="G2290">
        <v>60.19</v>
      </c>
      <c r="H2290">
        <v>4826.3100000000004</v>
      </c>
      <c r="I2290" s="80">
        <v>12533.35</v>
      </c>
      <c r="J2290">
        <v>34.31</v>
      </c>
      <c r="K2290">
        <v>2152.1</v>
      </c>
      <c r="L2290">
        <f t="shared" si="350"/>
        <v>0</v>
      </c>
      <c r="M2290">
        <f t="shared" si="351"/>
        <v>0</v>
      </c>
      <c r="N2290">
        <f t="shared" si="352"/>
        <v>0</v>
      </c>
      <c r="O2290">
        <f t="shared" si="353"/>
        <v>0</v>
      </c>
      <c r="P2290">
        <f t="shared" si="354"/>
        <v>0</v>
      </c>
      <c r="Q2290">
        <f t="shared" si="355"/>
        <v>0</v>
      </c>
      <c r="R2290">
        <f t="shared" si="356"/>
        <v>0</v>
      </c>
      <c r="S2290">
        <f t="shared" si="357"/>
        <v>0</v>
      </c>
      <c r="T2290">
        <f t="shared" si="359"/>
        <v>0</v>
      </c>
      <c r="U2290">
        <f t="shared" si="358"/>
        <v>0</v>
      </c>
    </row>
    <row r="2291" spans="1:21" x14ac:dyDescent="0.25">
      <c r="A2291">
        <v>2290</v>
      </c>
      <c r="B2291">
        <v>3013</v>
      </c>
      <c r="C2291" t="s">
        <v>189</v>
      </c>
      <c r="D2291">
        <v>5.44</v>
      </c>
      <c r="E2291">
        <v>9246.24</v>
      </c>
      <c r="F2291">
        <v>26.44</v>
      </c>
      <c r="G2291">
        <v>32.65</v>
      </c>
      <c r="H2291">
        <v>2666.13</v>
      </c>
      <c r="I2291" s="80">
        <v>8649.48</v>
      </c>
      <c r="J2291">
        <v>35.86</v>
      </c>
      <c r="K2291">
        <v>3850.14</v>
      </c>
      <c r="L2291">
        <f t="shared" si="350"/>
        <v>0</v>
      </c>
      <c r="M2291">
        <f t="shared" si="351"/>
        <v>0</v>
      </c>
      <c r="N2291">
        <f t="shared" si="352"/>
        <v>0</v>
      </c>
      <c r="O2291">
        <f t="shared" si="353"/>
        <v>0</v>
      </c>
      <c r="P2291">
        <f t="shared" si="354"/>
        <v>0</v>
      </c>
      <c r="Q2291">
        <f t="shared" si="355"/>
        <v>0</v>
      </c>
      <c r="R2291">
        <f t="shared" si="356"/>
        <v>0</v>
      </c>
      <c r="S2291">
        <f t="shared" si="357"/>
        <v>0</v>
      </c>
      <c r="T2291">
        <f t="shared" si="359"/>
        <v>0</v>
      </c>
      <c r="U2291">
        <f t="shared" si="358"/>
        <v>0</v>
      </c>
    </row>
    <row r="2292" spans="1:21" x14ac:dyDescent="0.25">
      <c r="A2292">
        <v>2291</v>
      </c>
      <c r="B2292">
        <v>3014</v>
      </c>
      <c r="C2292" t="s">
        <v>181</v>
      </c>
      <c r="D2292" t="s">
        <v>583</v>
      </c>
      <c r="E2292">
        <v>7234.18</v>
      </c>
      <c r="F2292">
        <v>0.69</v>
      </c>
      <c r="G2292">
        <v>20.7</v>
      </c>
      <c r="H2292">
        <v>1.21</v>
      </c>
      <c r="I2292">
        <v>108.15</v>
      </c>
      <c r="J2292">
        <v>3.82</v>
      </c>
      <c r="K2292">
        <v>1.87</v>
      </c>
      <c r="L2292">
        <f t="shared" si="350"/>
        <v>0</v>
      </c>
      <c r="M2292">
        <f t="shared" si="351"/>
        <v>0</v>
      </c>
      <c r="N2292">
        <f t="shared" si="352"/>
        <v>0</v>
      </c>
      <c r="O2292">
        <f t="shared" si="353"/>
        <v>0</v>
      </c>
      <c r="P2292">
        <f t="shared" si="354"/>
        <v>0</v>
      </c>
      <c r="Q2292">
        <f t="shared" si="355"/>
        <v>0</v>
      </c>
      <c r="R2292">
        <f t="shared" si="356"/>
        <v>0</v>
      </c>
      <c r="S2292">
        <f t="shared" si="357"/>
        <v>0</v>
      </c>
      <c r="T2292">
        <f t="shared" si="359"/>
        <v>0</v>
      </c>
      <c r="U2292">
        <f t="shared" si="358"/>
        <v>0</v>
      </c>
    </row>
    <row r="2293" spans="1:21" x14ac:dyDescent="0.25">
      <c r="A2293">
        <v>2292</v>
      </c>
      <c r="B2293">
        <v>3014</v>
      </c>
      <c r="C2293" t="s">
        <v>183</v>
      </c>
      <c r="D2293">
        <v>20.09</v>
      </c>
      <c r="E2293" s="89" t="s">
        <v>582</v>
      </c>
      <c r="F2293">
        <v>493.33</v>
      </c>
      <c r="G2293">
        <v>216.59</v>
      </c>
      <c r="H2293">
        <v>2378.8200000000002</v>
      </c>
      <c r="I2293" s="80">
        <v>23245.01</v>
      </c>
      <c r="J2293">
        <v>58.8</v>
      </c>
      <c r="K2293">
        <v>2411.62</v>
      </c>
      <c r="L2293">
        <f t="shared" si="350"/>
        <v>0</v>
      </c>
      <c r="M2293">
        <f t="shared" si="351"/>
        <v>1</v>
      </c>
      <c r="N2293">
        <f t="shared" si="352"/>
        <v>0</v>
      </c>
      <c r="O2293">
        <f t="shared" si="353"/>
        <v>0</v>
      </c>
      <c r="P2293">
        <f t="shared" si="354"/>
        <v>0</v>
      </c>
      <c r="Q2293">
        <f t="shared" si="355"/>
        <v>0</v>
      </c>
      <c r="R2293">
        <f t="shared" si="356"/>
        <v>0</v>
      </c>
      <c r="S2293">
        <f t="shared" si="357"/>
        <v>0</v>
      </c>
      <c r="T2293">
        <f t="shared" si="359"/>
        <v>1</v>
      </c>
      <c r="U2293">
        <f t="shared" si="358"/>
        <v>1</v>
      </c>
    </row>
    <row r="2294" spans="1:21" x14ac:dyDescent="0.25">
      <c r="A2294">
        <v>2293</v>
      </c>
      <c r="B2294">
        <v>3014</v>
      </c>
      <c r="C2294" t="s">
        <v>186</v>
      </c>
      <c r="D2294">
        <v>38.71</v>
      </c>
      <c r="E2294" s="89" t="s">
        <v>582</v>
      </c>
      <c r="F2294" s="80">
        <v>5376.71</v>
      </c>
      <c r="G2294">
        <v>373.16</v>
      </c>
      <c r="H2294" s="89" t="s">
        <v>582</v>
      </c>
      <c r="I2294" s="80">
        <v>23905.5</v>
      </c>
      <c r="J2294">
        <v>122.94</v>
      </c>
      <c r="K2294" t="s">
        <v>582</v>
      </c>
      <c r="L2294">
        <f t="shared" si="350"/>
        <v>0</v>
      </c>
      <c r="M2294">
        <f t="shared" si="351"/>
        <v>1</v>
      </c>
      <c r="N2294">
        <f t="shared" si="352"/>
        <v>0</v>
      </c>
      <c r="O2294">
        <f t="shared" si="353"/>
        <v>0</v>
      </c>
      <c r="P2294">
        <f t="shared" si="354"/>
        <v>1</v>
      </c>
      <c r="Q2294">
        <f t="shared" si="355"/>
        <v>0</v>
      </c>
      <c r="R2294">
        <f t="shared" si="356"/>
        <v>0</v>
      </c>
      <c r="S2294">
        <f t="shared" si="357"/>
        <v>1</v>
      </c>
      <c r="T2294">
        <f t="shared" si="359"/>
        <v>3</v>
      </c>
      <c r="U2294">
        <f t="shared" si="358"/>
        <v>1</v>
      </c>
    </row>
    <row r="2295" spans="1:21" x14ac:dyDescent="0.25">
      <c r="A2295">
        <v>2294</v>
      </c>
      <c r="B2295">
        <v>3014</v>
      </c>
      <c r="C2295" t="s">
        <v>188</v>
      </c>
      <c r="D2295">
        <v>44.97</v>
      </c>
      <c r="E2295" s="89" t="s">
        <v>582</v>
      </c>
      <c r="F2295">
        <v>1658.27</v>
      </c>
      <c r="G2295">
        <v>223.52</v>
      </c>
      <c r="H2295" s="80">
        <v>39137.33</v>
      </c>
      <c r="I2295" s="80">
        <v>24239.35</v>
      </c>
      <c r="J2295">
        <v>149.26</v>
      </c>
      <c r="K2295" t="s">
        <v>582</v>
      </c>
      <c r="L2295">
        <f t="shared" si="350"/>
        <v>0</v>
      </c>
      <c r="M2295">
        <f t="shared" si="351"/>
        <v>1</v>
      </c>
      <c r="N2295">
        <f t="shared" si="352"/>
        <v>0</v>
      </c>
      <c r="O2295">
        <f t="shared" si="353"/>
        <v>0</v>
      </c>
      <c r="P2295">
        <f t="shared" si="354"/>
        <v>0</v>
      </c>
      <c r="Q2295">
        <f t="shared" si="355"/>
        <v>0</v>
      </c>
      <c r="R2295">
        <f t="shared" si="356"/>
        <v>0</v>
      </c>
      <c r="S2295">
        <f t="shared" si="357"/>
        <v>1</v>
      </c>
      <c r="T2295">
        <f t="shared" si="359"/>
        <v>2</v>
      </c>
      <c r="U2295">
        <f t="shared" si="358"/>
        <v>1</v>
      </c>
    </row>
    <row r="2296" spans="1:21" x14ac:dyDescent="0.25">
      <c r="A2296">
        <v>2295</v>
      </c>
      <c r="B2296">
        <v>3014</v>
      </c>
      <c r="C2296" t="s">
        <v>182</v>
      </c>
      <c r="D2296" t="s">
        <v>583</v>
      </c>
      <c r="E2296">
        <v>1972.66</v>
      </c>
      <c r="F2296">
        <v>0.11</v>
      </c>
      <c r="G2296" t="s">
        <v>583</v>
      </c>
      <c r="H2296" s="80">
        <v>0.04</v>
      </c>
      <c r="I2296">
        <v>13.85</v>
      </c>
      <c r="J2296" t="s">
        <v>583</v>
      </c>
      <c r="K2296">
        <v>0.37</v>
      </c>
      <c r="L2296">
        <f t="shared" si="350"/>
        <v>0</v>
      </c>
      <c r="M2296">
        <f t="shared" si="351"/>
        <v>0</v>
      </c>
      <c r="N2296">
        <f t="shared" si="352"/>
        <v>0</v>
      </c>
      <c r="O2296">
        <f t="shared" si="353"/>
        <v>0</v>
      </c>
      <c r="P2296">
        <f t="shared" si="354"/>
        <v>0</v>
      </c>
      <c r="Q2296">
        <f t="shared" si="355"/>
        <v>0</v>
      </c>
      <c r="R2296">
        <f t="shared" si="356"/>
        <v>0</v>
      </c>
      <c r="S2296">
        <f t="shared" si="357"/>
        <v>0</v>
      </c>
      <c r="T2296">
        <f t="shared" si="359"/>
        <v>0</v>
      </c>
      <c r="U2296">
        <f t="shared" si="358"/>
        <v>0</v>
      </c>
    </row>
    <row r="2297" spans="1:21" x14ac:dyDescent="0.25">
      <c r="A2297">
        <v>2296</v>
      </c>
      <c r="B2297">
        <v>3014</v>
      </c>
      <c r="C2297" t="s">
        <v>184</v>
      </c>
      <c r="D2297">
        <v>7.98</v>
      </c>
      <c r="E2297">
        <v>20887.71</v>
      </c>
      <c r="F2297">
        <v>30.36</v>
      </c>
      <c r="G2297">
        <v>50.53</v>
      </c>
      <c r="H2297">
        <v>7819.48</v>
      </c>
      <c r="I2297" s="80">
        <v>17022.53</v>
      </c>
      <c r="J2297">
        <v>24.6</v>
      </c>
      <c r="K2297">
        <v>2033.74</v>
      </c>
      <c r="L2297">
        <f t="shared" si="350"/>
        <v>0</v>
      </c>
      <c r="M2297">
        <f t="shared" si="351"/>
        <v>0</v>
      </c>
      <c r="N2297">
        <f t="shared" si="352"/>
        <v>0</v>
      </c>
      <c r="O2297">
        <f t="shared" si="353"/>
        <v>0</v>
      </c>
      <c r="P2297">
        <f t="shared" si="354"/>
        <v>0</v>
      </c>
      <c r="Q2297">
        <f t="shared" si="355"/>
        <v>0</v>
      </c>
      <c r="R2297">
        <f t="shared" si="356"/>
        <v>0</v>
      </c>
      <c r="S2297">
        <f t="shared" si="357"/>
        <v>0</v>
      </c>
      <c r="T2297">
        <f t="shared" si="359"/>
        <v>0</v>
      </c>
      <c r="U2297">
        <f t="shared" si="358"/>
        <v>0</v>
      </c>
    </row>
    <row r="2298" spans="1:21" x14ac:dyDescent="0.25">
      <c r="A2298">
        <v>2297</v>
      </c>
      <c r="B2298">
        <v>3014</v>
      </c>
      <c r="C2298" t="s">
        <v>187</v>
      </c>
      <c r="D2298">
        <v>14.72</v>
      </c>
      <c r="E2298" s="80">
        <v>28538.87</v>
      </c>
      <c r="F2298">
        <v>110.47</v>
      </c>
      <c r="G2298">
        <v>80.739999999999995</v>
      </c>
      <c r="H2298">
        <v>14362.81</v>
      </c>
      <c r="I2298" s="80">
        <v>16257.07</v>
      </c>
      <c r="J2298">
        <v>36.64</v>
      </c>
      <c r="K2298">
        <v>4548.5600000000004</v>
      </c>
      <c r="L2298">
        <f t="shared" si="350"/>
        <v>0</v>
      </c>
      <c r="M2298">
        <f t="shared" si="351"/>
        <v>0</v>
      </c>
      <c r="N2298">
        <f t="shared" si="352"/>
        <v>0</v>
      </c>
      <c r="O2298">
        <f t="shared" si="353"/>
        <v>0</v>
      </c>
      <c r="P2298">
        <f t="shared" si="354"/>
        <v>0</v>
      </c>
      <c r="Q2298">
        <f t="shared" si="355"/>
        <v>0</v>
      </c>
      <c r="R2298">
        <f t="shared" si="356"/>
        <v>0</v>
      </c>
      <c r="S2298">
        <f t="shared" si="357"/>
        <v>0</v>
      </c>
      <c r="T2298">
        <f t="shared" si="359"/>
        <v>0</v>
      </c>
      <c r="U2298">
        <f t="shared" si="358"/>
        <v>0</v>
      </c>
    </row>
    <row r="2299" spans="1:21" x14ac:dyDescent="0.25">
      <c r="A2299">
        <v>2298</v>
      </c>
      <c r="B2299">
        <v>3014</v>
      </c>
      <c r="C2299" t="s">
        <v>189</v>
      </c>
      <c r="D2299">
        <v>12.37</v>
      </c>
      <c r="E2299">
        <v>21175.07</v>
      </c>
      <c r="F2299">
        <v>55.67</v>
      </c>
      <c r="G2299">
        <v>80.739999999999995</v>
      </c>
      <c r="H2299">
        <v>9844.7199999999993</v>
      </c>
      <c r="I2299" s="80">
        <v>13335.36</v>
      </c>
      <c r="J2299">
        <v>42.98</v>
      </c>
      <c r="K2299" s="80">
        <v>9295.85</v>
      </c>
      <c r="L2299">
        <f t="shared" si="350"/>
        <v>0</v>
      </c>
      <c r="M2299">
        <f t="shared" si="351"/>
        <v>0</v>
      </c>
      <c r="N2299">
        <f t="shared" si="352"/>
        <v>0</v>
      </c>
      <c r="O2299">
        <f t="shared" si="353"/>
        <v>0</v>
      </c>
      <c r="P2299">
        <f t="shared" si="354"/>
        <v>0</v>
      </c>
      <c r="Q2299">
        <f t="shared" si="355"/>
        <v>0</v>
      </c>
      <c r="R2299">
        <f t="shared" si="356"/>
        <v>0</v>
      </c>
      <c r="S2299">
        <f t="shared" si="357"/>
        <v>0</v>
      </c>
      <c r="T2299">
        <f t="shared" si="359"/>
        <v>0</v>
      </c>
      <c r="U2299">
        <f t="shared" si="358"/>
        <v>0</v>
      </c>
    </row>
    <row r="2300" spans="1:21" x14ac:dyDescent="0.25">
      <c r="A2300">
        <v>2299</v>
      </c>
      <c r="B2300">
        <v>1089</v>
      </c>
      <c r="C2300" t="s">
        <v>182</v>
      </c>
      <c r="D2300" s="80">
        <v>7.0000000000000007E-2</v>
      </c>
      <c r="E2300">
        <v>4408.74</v>
      </c>
      <c r="F2300">
        <v>0.4</v>
      </c>
      <c r="G2300">
        <v>36.93</v>
      </c>
      <c r="H2300" s="80">
        <v>0.04</v>
      </c>
      <c r="I2300">
        <v>0.87</v>
      </c>
      <c r="J2300">
        <v>2.38</v>
      </c>
      <c r="K2300">
        <v>0.37</v>
      </c>
      <c r="L2300">
        <f t="shared" si="350"/>
        <v>0</v>
      </c>
      <c r="M2300">
        <f t="shared" si="351"/>
        <v>0</v>
      </c>
      <c r="N2300">
        <f t="shared" si="352"/>
        <v>0</v>
      </c>
      <c r="O2300">
        <f t="shared" si="353"/>
        <v>0</v>
      </c>
      <c r="P2300">
        <f t="shared" si="354"/>
        <v>0</v>
      </c>
      <c r="Q2300">
        <f t="shared" si="355"/>
        <v>0</v>
      </c>
      <c r="R2300">
        <f t="shared" si="356"/>
        <v>0</v>
      </c>
      <c r="S2300">
        <f t="shared" si="357"/>
        <v>0</v>
      </c>
      <c r="T2300">
        <f t="shared" si="359"/>
        <v>0</v>
      </c>
      <c r="U2300">
        <f t="shared" si="358"/>
        <v>0</v>
      </c>
    </row>
    <row r="2301" spans="1:21" x14ac:dyDescent="0.25">
      <c r="A2301">
        <v>2300</v>
      </c>
      <c r="B2301">
        <v>1089</v>
      </c>
      <c r="C2301" t="s">
        <v>184</v>
      </c>
      <c r="D2301">
        <v>2.4900000000000002</v>
      </c>
      <c r="E2301">
        <v>14135.1</v>
      </c>
      <c r="F2301">
        <v>0.64</v>
      </c>
      <c r="G2301">
        <v>70.27</v>
      </c>
      <c r="H2301">
        <v>0.2</v>
      </c>
      <c r="I2301">
        <v>63.23</v>
      </c>
      <c r="J2301">
        <v>6.45</v>
      </c>
      <c r="K2301">
        <v>6.1</v>
      </c>
      <c r="L2301">
        <f t="shared" si="350"/>
        <v>0</v>
      </c>
      <c r="M2301">
        <f t="shared" si="351"/>
        <v>0</v>
      </c>
      <c r="N2301">
        <f t="shared" si="352"/>
        <v>0</v>
      </c>
      <c r="O2301">
        <f t="shared" si="353"/>
        <v>0</v>
      </c>
      <c r="P2301">
        <f t="shared" si="354"/>
        <v>0</v>
      </c>
      <c r="Q2301">
        <f t="shared" si="355"/>
        <v>0</v>
      </c>
      <c r="R2301">
        <f t="shared" si="356"/>
        <v>0</v>
      </c>
      <c r="S2301">
        <f t="shared" si="357"/>
        <v>0</v>
      </c>
      <c r="T2301">
        <f t="shared" si="359"/>
        <v>0</v>
      </c>
      <c r="U2301">
        <f t="shared" si="358"/>
        <v>0</v>
      </c>
    </row>
    <row r="2302" spans="1:21" x14ac:dyDescent="0.25">
      <c r="A2302">
        <v>2301</v>
      </c>
      <c r="B2302">
        <v>1089</v>
      </c>
      <c r="C2302" t="s">
        <v>187</v>
      </c>
      <c r="D2302">
        <v>2.4900000000000002</v>
      </c>
      <c r="E2302">
        <v>17040.29</v>
      </c>
      <c r="F2302">
        <v>19.63</v>
      </c>
      <c r="G2302">
        <v>70.27</v>
      </c>
      <c r="H2302">
        <v>4.34</v>
      </c>
      <c r="I2302">
        <v>2851.16</v>
      </c>
      <c r="J2302">
        <v>11.14</v>
      </c>
      <c r="K2302">
        <v>24.72</v>
      </c>
      <c r="L2302">
        <f t="shared" si="350"/>
        <v>0</v>
      </c>
      <c r="M2302">
        <f t="shared" si="351"/>
        <v>0</v>
      </c>
      <c r="N2302">
        <f t="shared" si="352"/>
        <v>0</v>
      </c>
      <c r="O2302">
        <f t="shared" si="353"/>
        <v>0</v>
      </c>
      <c r="P2302">
        <f t="shared" si="354"/>
        <v>0</v>
      </c>
      <c r="Q2302">
        <f t="shared" si="355"/>
        <v>0</v>
      </c>
      <c r="R2302">
        <f t="shared" si="356"/>
        <v>0</v>
      </c>
      <c r="S2302">
        <f t="shared" si="357"/>
        <v>0</v>
      </c>
      <c r="T2302">
        <f t="shared" si="359"/>
        <v>0</v>
      </c>
      <c r="U2302">
        <f t="shared" si="358"/>
        <v>0</v>
      </c>
    </row>
    <row r="2303" spans="1:21" x14ac:dyDescent="0.25">
      <c r="A2303">
        <v>2302</v>
      </c>
      <c r="B2303">
        <v>1089</v>
      </c>
      <c r="C2303" t="s">
        <v>189</v>
      </c>
      <c r="D2303">
        <v>2.4900000000000002</v>
      </c>
      <c r="E2303">
        <v>6744.15</v>
      </c>
      <c r="F2303">
        <v>1.25</v>
      </c>
      <c r="G2303">
        <v>41.34</v>
      </c>
      <c r="H2303">
        <v>1.45</v>
      </c>
      <c r="I2303">
        <v>27.93</v>
      </c>
      <c r="J2303">
        <v>4.32</v>
      </c>
      <c r="K2303">
        <v>10.11</v>
      </c>
      <c r="L2303">
        <f t="shared" si="350"/>
        <v>0</v>
      </c>
      <c r="M2303">
        <f t="shared" si="351"/>
        <v>0</v>
      </c>
      <c r="N2303">
        <f t="shared" si="352"/>
        <v>0</v>
      </c>
      <c r="O2303">
        <f t="shared" si="353"/>
        <v>0</v>
      </c>
      <c r="P2303">
        <f t="shared" si="354"/>
        <v>0</v>
      </c>
      <c r="Q2303">
        <f t="shared" si="355"/>
        <v>0</v>
      </c>
      <c r="R2303">
        <f t="shared" si="356"/>
        <v>0</v>
      </c>
      <c r="S2303">
        <f t="shared" si="357"/>
        <v>0</v>
      </c>
      <c r="T2303">
        <f t="shared" si="359"/>
        <v>0</v>
      </c>
      <c r="U2303">
        <f t="shared" si="358"/>
        <v>0</v>
      </c>
    </row>
    <row r="2304" spans="1:21" x14ac:dyDescent="0.25">
      <c r="A2304">
        <v>2303</v>
      </c>
      <c r="B2304">
        <v>1088</v>
      </c>
      <c r="C2304" t="s">
        <v>162</v>
      </c>
      <c r="D2304">
        <v>3.57</v>
      </c>
      <c r="E2304" s="80">
        <v>48880.59</v>
      </c>
      <c r="F2304">
        <v>0.9</v>
      </c>
      <c r="G2304">
        <v>24.53</v>
      </c>
      <c r="H2304">
        <v>0.56999999999999995</v>
      </c>
      <c r="I2304">
        <v>2.5499999999999998</v>
      </c>
      <c r="J2304">
        <v>18.98</v>
      </c>
      <c r="K2304">
        <v>5.14</v>
      </c>
      <c r="L2304">
        <f t="shared" si="350"/>
        <v>0</v>
      </c>
      <c r="M2304">
        <f t="shared" si="351"/>
        <v>0</v>
      </c>
      <c r="N2304">
        <f t="shared" si="352"/>
        <v>0</v>
      </c>
      <c r="O2304">
        <f t="shared" si="353"/>
        <v>0</v>
      </c>
      <c r="P2304">
        <f t="shared" si="354"/>
        <v>0</v>
      </c>
      <c r="Q2304">
        <f t="shared" si="355"/>
        <v>0</v>
      </c>
      <c r="R2304">
        <f t="shared" si="356"/>
        <v>0</v>
      </c>
      <c r="S2304">
        <f t="shared" si="357"/>
        <v>0</v>
      </c>
      <c r="T2304">
        <f t="shared" si="359"/>
        <v>0</v>
      </c>
      <c r="U2304">
        <f t="shared" si="358"/>
        <v>0</v>
      </c>
    </row>
    <row r="2305" spans="1:21" x14ac:dyDescent="0.25">
      <c r="A2305">
        <v>2304</v>
      </c>
      <c r="B2305">
        <v>1088</v>
      </c>
      <c r="C2305" t="s">
        <v>170</v>
      </c>
      <c r="D2305">
        <v>21.48</v>
      </c>
      <c r="E2305" s="89" t="s">
        <v>582</v>
      </c>
      <c r="F2305">
        <v>784.01</v>
      </c>
      <c r="G2305">
        <v>102.76</v>
      </c>
      <c r="H2305">
        <v>2598.46</v>
      </c>
      <c r="I2305" s="80">
        <v>21978.16</v>
      </c>
      <c r="J2305">
        <v>47.87</v>
      </c>
      <c r="K2305">
        <v>1733.52</v>
      </c>
      <c r="L2305">
        <f t="shared" si="350"/>
        <v>0</v>
      </c>
      <c r="M2305">
        <f t="shared" si="351"/>
        <v>1</v>
      </c>
      <c r="N2305">
        <f t="shared" si="352"/>
        <v>0</v>
      </c>
      <c r="O2305">
        <f t="shared" si="353"/>
        <v>0</v>
      </c>
      <c r="P2305">
        <f t="shared" si="354"/>
        <v>0</v>
      </c>
      <c r="Q2305">
        <f t="shared" si="355"/>
        <v>0</v>
      </c>
      <c r="R2305">
        <f t="shared" si="356"/>
        <v>0</v>
      </c>
      <c r="S2305">
        <f t="shared" si="357"/>
        <v>0</v>
      </c>
      <c r="T2305">
        <f t="shared" si="359"/>
        <v>1</v>
      </c>
      <c r="U2305">
        <f t="shared" si="358"/>
        <v>1</v>
      </c>
    </row>
    <row r="2306" spans="1:21" x14ac:dyDescent="0.25">
      <c r="A2306">
        <v>2305</v>
      </c>
      <c r="B2306">
        <v>1088</v>
      </c>
      <c r="C2306" t="s">
        <v>178</v>
      </c>
      <c r="D2306">
        <v>19.73</v>
      </c>
      <c r="E2306" s="80">
        <v>111882.99</v>
      </c>
      <c r="F2306">
        <v>35.619999999999997</v>
      </c>
      <c r="G2306">
        <v>50.53</v>
      </c>
      <c r="H2306">
        <v>106.17</v>
      </c>
      <c r="I2306" s="80">
        <v>7972.07</v>
      </c>
      <c r="J2306">
        <v>27.52</v>
      </c>
      <c r="K2306">
        <v>359.76</v>
      </c>
      <c r="L2306">
        <f t="shared" ref="L2306:L2369" si="360">IF(D2306 = "OOR &gt;", 1,0)</f>
        <v>0</v>
      </c>
      <c r="M2306">
        <f t="shared" ref="M2306:M2369" si="361">IF(E2306 = "OOR &gt;", 1,0)</f>
        <v>0</v>
      </c>
      <c r="N2306">
        <f t="shared" ref="N2306:N2369" si="362">IF(F2306 = "OOR &gt;", 1,0)</f>
        <v>0</v>
      </c>
      <c r="O2306">
        <f t="shared" ref="O2306:O2369" si="363">IF(G2306 = "OOR &gt;", 1,0)</f>
        <v>0</v>
      </c>
      <c r="P2306">
        <f t="shared" ref="P2306:P2369" si="364">IF(H2306 = "OOR &gt;", 1,0)</f>
        <v>0</v>
      </c>
      <c r="Q2306">
        <f t="shared" ref="Q2306:Q2369" si="365">IF(I2306 = "OOR &gt;", 1,0)</f>
        <v>0</v>
      </c>
      <c r="R2306">
        <f t="shared" ref="R2306:R2369" si="366">IF(J2306 = "OOR &gt;", 1,0)</f>
        <v>0</v>
      </c>
      <c r="S2306">
        <f t="shared" ref="S2306:S2369" si="367">IF(K2306 = "OOR &gt;", 1,0)</f>
        <v>0</v>
      </c>
      <c r="T2306">
        <f t="shared" si="359"/>
        <v>0</v>
      </c>
      <c r="U2306">
        <f t="shared" ref="U2306:U2369" si="368">IF(T2306 &gt; 0,1,0)</f>
        <v>0</v>
      </c>
    </row>
    <row r="2307" spans="1:21" x14ac:dyDescent="0.25">
      <c r="A2307">
        <v>2306</v>
      </c>
      <c r="B2307">
        <v>1088</v>
      </c>
      <c r="C2307" t="s">
        <v>163</v>
      </c>
      <c r="D2307">
        <v>28.82</v>
      </c>
      <c r="E2307" s="89" t="s">
        <v>582</v>
      </c>
      <c r="F2307">
        <v>1093.33</v>
      </c>
      <c r="G2307">
        <v>156.94</v>
      </c>
      <c r="H2307">
        <v>3919.17</v>
      </c>
      <c r="I2307" s="80">
        <v>19947.560000000001</v>
      </c>
      <c r="J2307">
        <v>88.32</v>
      </c>
      <c r="K2307" s="80">
        <v>8623.68</v>
      </c>
      <c r="L2307">
        <f t="shared" si="360"/>
        <v>0</v>
      </c>
      <c r="M2307">
        <f t="shared" si="361"/>
        <v>1</v>
      </c>
      <c r="N2307">
        <f t="shared" si="362"/>
        <v>0</v>
      </c>
      <c r="O2307">
        <f t="shared" si="363"/>
        <v>0</v>
      </c>
      <c r="P2307">
        <f t="shared" si="364"/>
        <v>0</v>
      </c>
      <c r="Q2307">
        <f t="shared" si="365"/>
        <v>0</v>
      </c>
      <c r="R2307">
        <f t="shared" si="366"/>
        <v>0</v>
      </c>
      <c r="S2307">
        <f t="shared" si="367"/>
        <v>0</v>
      </c>
      <c r="T2307">
        <f t="shared" ref="T2307:T2370" si="369">SUMIF(L2307:S2307,"&gt;0")</f>
        <v>1</v>
      </c>
      <c r="U2307">
        <f t="shared" si="368"/>
        <v>1</v>
      </c>
    </row>
    <row r="2308" spans="1:21" x14ac:dyDescent="0.25">
      <c r="A2308">
        <v>2307</v>
      </c>
      <c r="B2308">
        <v>1088</v>
      </c>
      <c r="C2308" t="s">
        <v>181</v>
      </c>
      <c r="D2308">
        <v>4.1399999999999997</v>
      </c>
      <c r="E2308" s="80">
        <v>28435.37</v>
      </c>
      <c r="F2308">
        <v>1.29</v>
      </c>
      <c r="G2308">
        <v>17.05</v>
      </c>
      <c r="H2308">
        <v>6.4</v>
      </c>
      <c r="I2308">
        <v>15.7</v>
      </c>
      <c r="J2308">
        <v>8.74</v>
      </c>
      <c r="K2308">
        <v>9.61</v>
      </c>
      <c r="L2308">
        <f t="shared" si="360"/>
        <v>0</v>
      </c>
      <c r="M2308">
        <f t="shared" si="361"/>
        <v>0</v>
      </c>
      <c r="N2308">
        <f t="shared" si="362"/>
        <v>0</v>
      </c>
      <c r="O2308">
        <f t="shared" si="363"/>
        <v>0</v>
      </c>
      <c r="P2308">
        <f t="shared" si="364"/>
        <v>0</v>
      </c>
      <c r="Q2308">
        <f t="shared" si="365"/>
        <v>0</v>
      </c>
      <c r="R2308">
        <f t="shared" si="366"/>
        <v>0</v>
      </c>
      <c r="S2308">
        <f t="shared" si="367"/>
        <v>0</v>
      </c>
      <c r="T2308">
        <f t="shared" si="369"/>
        <v>0</v>
      </c>
      <c r="U2308">
        <f t="shared" si="368"/>
        <v>0</v>
      </c>
    </row>
    <row r="2309" spans="1:21" x14ac:dyDescent="0.25">
      <c r="A2309">
        <v>2308</v>
      </c>
      <c r="B2309">
        <v>1088</v>
      </c>
      <c r="C2309" t="s">
        <v>183</v>
      </c>
      <c r="D2309">
        <v>13.14</v>
      </c>
      <c r="E2309" s="89" t="s">
        <v>582</v>
      </c>
      <c r="F2309">
        <v>74.55</v>
      </c>
      <c r="G2309">
        <v>60.19</v>
      </c>
      <c r="H2309">
        <v>277.39</v>
      </c>
      <c r="I2309" s="80">
        <v>11382.74</v>
      </c>
      <c r="J2309">
        <v>38.200000000000003</v>
      </c>
      <c r="K2309">
        <v>551.12</v>
      </c>
      <c r="L2309">
        <f t="shared" si="360"/>
        <v>0</v>
      </c>
      <c r="M2309">
        <f t="shared" si="361"/>
        <v>1</v>
      </c>
      <c r="N2309">
        <f t="shared" si="362"/>
        <v>0</v>
      </c>
      <c r="O2309">
        <f t="shared" si="363"/>
        <v>0</v>
      </c>
      <c r="P2309">
        <f t="shared" si="364"/>
        <v>0</v>
      </c>
      <c r="Q2309">
        <f t="shared" si="365"/>
        <v>0</v>
      </c>
      <c r="R2309">
        <f t="shared" si="366"/>
        <v>0</v>
      </c>
      <c r="S2309">
        <f t="shared" si="367"/>
        <v>0</v>
      </c>
      <c r="T2309">
        <f t="shared" si="369"/>
        <v>1</v>
      </c>
      <c r="U2309">
        <f t="shared" si="368"/>
        <v>1</v>
      </c>
    </row>
    <row r="2310" spans="1:21" x14ac:dyDescent="0.25">
      <c r="A2310">
        <v>2309</v>
      </c>
      <c r="B2310">
        <v>1088</v>
      </c>
      <c r="C2310" t="s">
        <v>186</v>
      </c>
      <c r="D2310">
        <v>14.72</v>
      </c>
      <c r="E2310" s="89" t="s">
        <v>582</v>
      </c>
      <c r="F2310">
        <v>839.77</v>
      </c>
      <c r="G2310">
        <v>114.28</v>
      </c>
      <c r="H2310">
        <v>2078.9299999999998</v>
      </c>
      <c r="I2310" s="80">
        <v>23230.3</v>
      </c>
      <c r="J2310">
        <v>59.65</v>
      </c>
      <c r="K2310">
        <v>2665.5</v>
      </c>
      <c r="L2310">
        <f t="shared" si="360"/>
        <v>0</v>
      </c>
      <c r="M2310">
        <f t="shared" si="361"/>
        <v>1</v>
      </c>
      <c r="N2310">
        <f t="shared" si="362"/>
        <v>0</v>
      </c>
      <c r="O2310">
        <f t="shared" si="363"/>
        <v>0</v>
      </c>
      <c r="P2310">
        <f t="shared" si="364"/>
        <v>0</v>
      </c>
      <c r="Q2310">
        <f t="shared" si="365"/>
        <v>0</v>
      </c>
      <c r="R2310">
        <f t="shared" si="366"/>
        <v>0</v>
      </c>
      <c r="S2310">
        <f t="shared" si="367"/>
        <v>0</v>
      </c>
      <c r="T2310">
        <f t="shared" si="369"/>
        <v>1</v>
      </c>
      <c r="U2310">
        <f t="shared" si="368"/>
        <v>1</v>
      </c>
    </row>
    <row r="2311" spans="1:21" x14ac:dyDescent="0.25">
      <c r="A2311">
        <v>2310</v>
      </c>
      <c r="B2311">
        <v>1088</v>
      </c>
      <c r="C2311" t="s">
        <v>188</v>
      </c>
      <c r="D2311">
        <v>36.67</v>
      </c>
      <c r="E2311" s="89" t="s">
        <v>582</v>
      </c>
      <c r="F2311">
        <v>464.34</v>
      </c>
      <c r="G2311">
        <v>126.1</v>
      </c>
      <c r="H2311">
        <v>2956.4</v>
      </c>
      <c r="I2311" s="80">
        <v>21365.06</v>
      </c>
      <c r="J2311">
        <v>92.05</v>
      </c>
      <c r="K2311">
        <v>4958.22</v>
      </c>
      <c r="L2311">
        <f t="shared" si="360"/>
        <v>0</v>
      </c>
      <c r="M2311">
        <f t="shared" si="361"/>
        <v>1</v>
      </c>
      <c r="N2311">
        <f t="shared" si="362"/>
        <v>0</v>
      </c>
      <c r="O2311">
        <f t="shared" si="363"/>
        <v>0</v>
      </c>
      <c r="P2311">
        <f t="shared" si="364"/>
        <v>0</v>
      </c>
      <c r="Q2311">
        <f t="shared" si="365"/>
        <v>0</v>
      </c>
      <c r="R2311">
        <f t="shared" si="366"/>
        <v>0</v>
      </c>
      <c r="S2311">
        <f t="shared" si="367"/>
        <v>0</v>
      </c>
      <c r="T2311">
        <f t="shared" si="369"/>
        <v>1</v>
      </c>
      <c r="U2311">
        <f t="shared" si="368"/>
        <v>1</v>
      </c>
    </row>
    <row r="2312" spans="1:21" x14ac:dyDescent="0.25">
      <c r="A2312">
        <v>2311</v>
      </c>
      <c r="B2312">
        <v>1088</v>
      </c>
      <c r="C2312" t="s">
        <v>182</v>
      </c>
      <c r="D2312" t="s">
        <v>583</v>
      </c>
      <c r="E2312">
        <v>1950.18</v>
      </c>
      <c r="F2312">
        <v>0.11</v>
      </c>
      <c r="G2312" t="s">
        <v>583</v>
      </c>
      <c r="H2312" t="s">
        <v>583</v>
      </c>
      <c r="I2312">
        <v>1</v>
      </c>
      <c r="J2312" t="s">
        <v>583</v>
      </c>
      <c r="K2312" s="80">
        <v>0.03</v>
      </c>
      <c r="L2312">
        <f t="shared" si="360"/>
        <v>0</v>
      </c>
      <c r="M2312">
        <f t="shared" si="361"/>
        <v>0</v>
      </c>
      <c r="N2312">
        <f t="shared" si="362"/>
        <v>0</v>
      </c>
      <c r="O2312">
        <f t="shared" si="363"/>
        <v>0</v>
      </c>
      <c r="P2312">
        <f t="shared" si="364"/>
        <v>0</v>
      </c>
      <c r="Q2312">
        <f t="shared" si="365"/>
        <v>0</v>
      </c>
      <c r="R2312">
        <f t="shared" si="366"/>
        <v>0</v>
      </c>
      <c r="S2312">
        <f t="shared" si="367"/>
        <v>0</v>
      </c>
      <c r="T2312">
        <f t="shared" si="369"/>
        <v>0</v>
      </c>
      <c r="U2312">
        <f t="shared" si="368"/>
        <v>0</v>
      </c>
    </row>
    <row r="2313" spans="1:21" x14ac:dyDescent="0.25">
      <c r="A2313" s="50">
        <v>2312</v>
      </c>
      <c r="B2313">
        <v>1088</v>
      </c>
      <c r="C2313" t="s">
        <v>184</v>
      </c>
      <c r="D2313">
        <v>2.4900000000000002</v>
      </c>
      <c r="E2313" s="80">
        <v>27658.080000000002</v>
      </c>
      <c r="F2313">
        <v>24.51</v>
      </c>
      <c r="G2313">
        <v>32.65</v>
      </c>
      <c r="H2313">
        <v>19.16</v>
      </c>
      <c r="I2313">
        <v>2544.77</v>
      </c>
      <c r="J2313">
        <v>18.98</v>
      </c>
      <c r="K2313">
        <v>25.36</v>
      </c>
      <c r="L2313">
        <f t="shared" si="360"/>
        <v>0</v>
      </c>
      <c r="M2313">
        <f t="shared" si="361"/>
        <v>0</v>
      </c>
      <c r="N2313">
        <f t="shared" si="362"/>
        <v>0</v>
      </c>
      <c r="O2313">
        <f t="shared" si="363"/>
        <v>0</v>
      </c>
      <c r="P2313">
        <f t="shared" si="364"/>
        <v>0</v>
      </c>
      <c r="Q2313">
        <f t="shared" si="365"/>
        <v>0</v>
      </c>
      <c r="R2313">
        <f t="shared" si="366"/>
        <v>0</v>
      </c>
      <c r="S2313">
        <f t="shared" si="367"/>
        <v>0</v>
      </c>
      <c r="T2313">
        <f t="shared" si="369"/>
        <v>0</v>
      </c>
      <c r="U2313">
        <f t="shared" si="368"/>
        <v>0</v>
      </c>
    </row>
    <row r="2314" spans="1:21" x14ac:dyDescent="0.25">
      <c r="A2314" s="59">
        <v>2313</v>
      </c>
      <c r="B2314">
        <v>1088</v>
      </c>
      <c r="C2314" t="s">
        <v>187</v>
      </c>
      <c r="D2314">
        <v>19.73</v>
      </c>
      <c r="E2314" s="80">
        <v>116083.98</v>
      </c>
      <c r="F2314">
        <v>1379.4</v>
      </c>
      <c r="G2314">
        <v>150.63</v>
      </c>
      <c r="H2314">
        <v>2296.92</v>
      </c>
      <c r="I2314" s="80">
        <v>18442.98</v>
      </c>
      <c r="J2314">
        <v>52.86</v>
      </c>
      <c r="K2314">
        <v>1913.31</v>
      </c>
      <c r="L2314">
        <f t="shared" si="360"/>
        <v>0</v>
      </c>
      <c r="M2314">
        <f t="shared" si="361"/>
        <v>0</v>
      </c>
      <c r="N2314">
        <f t="shared" si="362"/>
        <v>0</v>
      </c>
      <c r="O2314">
        <f t="shared" si="363"/>
        <v>0</v>
      </c>
      <c r="P2314">
        <f t="shared" si="364"/>
        <v>0</v>
      </c>
      <c r="Q2314">
        <f t="shared" si="365"/>
        <v>0</v>
      </c>
      <c r="R2314">
        <f t="shared" si="366"/>
        <v>0</v>
      </c>
      <c r="S2314">
        <f t="shared" si="367"/>
        <v>0</v>
      </c>
      <c r="T2314">
        <f t="shared" si="369"/>
        <v>0</v>
      </c>
      <c r="U2314">
        <f t="shared" si="368"/>
        <v>0</v>
      </c>
    </row>
    <row r="2315" spans="1:21" x14ac:dyDescent="0.25">
      <c r="A2315">
        <v>2314</v>
      </c>
      <c r="B2315">
        <v>1088</v>
      </c>
      <c r="C2315" t="s">
        <v>189</v>
      </c>
      <c r="D2315">
        <v>18.02</v>
      </c>
      <c r="E2315" s="80">
        <v>40271.46</v>
      </c>
      <c r="F2315">
        <v>1061.45</v>
      </c>
      <c r="G2315">
        <v>138.22</v>
      </c>
      <c r="H2315">
        <v>2718.1</v>
      </c>
      <c r="I2315" s="80">
        <v>18859.88</v>
      </c>
      <c r="J2315">
        <v>70.14</v>
      </c>
      <c r="K2315" s="80">
        <v>18878.240000000002</v>
      </c>
      <c r="L2315">
        <f t="shared" si="360"/>
        <v>0</v>
      </c>
      <c r="M2315">
        <f t="shared" si="361"/>
        <v>0</v>
      </c>
      <c r="N2315">
        <f t="shared" si="362"/>
        <v>0</v>
      </c>
      <c r="O2315">
        <f t="shared" si="363"/>
        <v>0</v>
      </c>
      <c r="P2315">
        <f t="shared" si="364"/>
        <v>0</v>
      </c>
      <c r="Q2315">
        <f t="shared" si="365"/>
        <v>0</v>
      </c>
      <c r="R2315">
        <f t="shared" si="366"/>
        <v>0</v>
      </c>
      <c r="S2315">
        <f t="shared" si="367"/>
        <v>0</v>
      </c>
      <c r="T2315">
        <f t="shared" si="369"/>
        <v>0</v>
      </c>
      <c r="U2315">
        <f t="shared" si="368"/>
        <v>0</v>
      </c>
    </row>
    <row r="2316" spans="1:21" x14ac:dyDescent="0.25">
      <c r="A2316">
        <v>2315</v>
      </c>
      <c r="B2316">
        <v>1090</v>
      </c>
      <c r="C2316" t="s">
        <v>162</v>
      </c>
      <c r="D2316">
        <v>3.57</v>
      </c>
      <c r="E2316">
        <v>22614.07</v>
      </c>
      <c r="F2316">
        <v>0.81</v>
      </c>
      <c r="G2316">
        <v>13.6</v>
      </c>
      <c r="H2316">
        <v>0.47</v>
      </c>
      <c r="I2316">
        <v>1.24</v>
      </c>
      <c r="J2316">
        <v>6.45</v>
      </c>
      <c r="K2316">
        <v>1.71</v>
      </c>
      <c r="L2316">
        <f t="shared" si="360"/>
        <v>0</v>
      </c>
      <c r="M2316">
        <f t="shared" si="361"/>
        <v>0</v>
      </c>
      <c r="N2316">
        <f t="shared" si="362"/>
        <v>0</v>
      </c>
      <c r="O2316">
        <f t="shared" si="363"/>
        <v>0</v>
      </c>
      <c r="P2316">
        <f t="shared" si="364"/>
        <v>0</v>
      </c>
      <c r="Q2316">
        <f t="shared" si="365"/>
        <v>0</v>
      </c>
      <c r="R2316">
        <f t="shared" si="366"/>
        <v>0</v>
      </c>
      <c r="S2316">
        <f t="shared" si="367"/>
        <v>0</v>
      </c>
      <c r="T2316">
        <f t="shared" si="369"/>
        <v>0</v>
      </c>
      <c r="U2316">
        <f t="shared" si="368"/>
        <v>0</v>
      </c>
    </row>
    <row r="2317" spans="1:21" x14ac:dyDescent="0.25">
      <c r="A2317">
        <v>2316</v>
      </c>
      <c r="B2317">
        <v>1090</v>
      </c>
      <c r="C2317" t="s">
        <v>170</v>
      </c>
      <c r="D2317">
        <v>14.72</v>
      </c>
      <c r="E2317" s="80">
        <v>28332.38</v>
      </c>
      <c r="F2317">
        <v>295.22000000000003</v>
      </c>
      <c r="G2317">
        <v>70.27</v>
      </c>
      <c r="H2317">
        <v>2209.35</v>
      </c>
      <c r="I2317" s="80">
        <v>17468.25</v>
      </c>
      <c r="J2317">
        <v>42.98</v>
      </c>
      <c r="K2317">
        <v>2355.75</v>
      </c>
      <c r="L2317">
        <f t="shared" si="360"/>
        <v>0</v>
      </c>
      <c r="M2317">
        <f t="shared" si="361"/>
        <v>0</v>
      </c>
      <c r="N2317">
        <f t="shared" si="362"/>
        <v>0</v>
      </c>
      <c r="O2317">
        <f t="shared" si="363"/>
        <v>0</v>
      </c>
      <c r="P2317">
        <f t="shared" si="364"/>
        <v>0</v>
      </c>
      <c r="Q2317">
        <f t="shared" si="365"/>
        <v>0</v>
      </c>
      <c r="R2317">
        <f t="shared" si="366"/>
        <v>0</v>
      </c>
      <c r="S2317">
        <f t="shared" si="367"/>
        <v>0</v>
      </c>
      <c r="T2317">
        <f t="shared" si="369"/>
        <v>0</v>
      </c>
      <c r="U2317">
        <f t="shared" si="368"/>
        <v>0</v>
      </c>
    </row>
    <row r="2318" spans="1:21" x14ac:dyDescent="0.25">
      <c r="A2318">
        <v>2317</v>
      </c>
      <c r="B2318">
        <v>1090</v>
      </c>
      <c r="C2318" t="s">
        <v>178</v>
      </c>
      <c r="D2318">
        <v>11.6</v>
      </c>
      <c r="E2318">
        <v>15680.01</v>
      </c>
      <c r="F2318">
        <v>605.21</v>
      </c>
      <c r="G2318">
        <v>132.13</v>
      </c>
      <c r="H2318" s="80">
        <v>27338.97</v>
      </c>
      <c r="I2318" s="80">
        <v>20500.150000000001</v>
      </c>
      <c r="J2318">
        <v>57.94</v>
      </c>
      <c r="K2318">
        <v>5142.3</v>
      </c>
      <c r="L2318">
        <f t="shared" si="360"/>
        <v>0</v>
      </c>
      <c r="M2318">
        <f t="shared" si="361"/>
        <v>0</v>
      </c>
      <c r="N2318">
        <f t="shared" si="362"/>
        <v>0</v>
      </c>
      <c r="O2318">
        <f t="shared" si="363"/>
        <v>0</v>
      </c>
      <c r="P2318">
        <f t="shared" si="364"/>
        <v>0</v>
      </c>
      <c r="Q2318">
        <f t="shared" si="365"/>
        <v>0</v>
      </c>
      <c r="R2318">
        <f t="shared" si="366"/>
        <v>0</v>
      </c>
      <c r="S2318">
        <f t="shared" si="367"/>
        <v>0</v>
      </c>
      <c r="T2318">
        <f t="shared" si="369"/>
        <v>0</v>
      </c>
      <c r="U2318">
        <f t="shared" si="368"/>
        <v>0</v>
      </c>
    </row>
    <row r="2319" spans="1:21" x14ac:dyDescent="0.25">
      <c r="A2319">
        <v>2318</v>
      </c>
      <c r="B2319">
        <v>1090</v>
      </c>
      <c r="C2319" t="s">
        <v>163</v>
      </c>
      <c r="D2319">
        <v>10.11</v>
      </c>
      <c r="E2319">
        <v>7096.9</v>
      </c>
      <c r="F2319">
        <v>154.91</v>
      </c>
      <c r="G2319">
        <v>55.31</v>
      </c>
      <c r="H2319">
        <v>6907.99</v>
      </c>
      <c r="I2319" s="80">
        <v>18051.07</v>
      </c>
      <c r="J2319">
        <v>41.38</v>
      </c>
      <c r="K2319" s="80">
        <v>8630.2999999999993</v>
      </c>
      <c r="L2319">
        <f t="shared" si="360"/>
        <v>0</v>
      </c>
      <c r="M2319">
        <f t="shared" si="361"/>
        <v>0</v>
      </c>
      <c r="N2319">
        <f t="shared" si="362"/>
        <v>0</v>
      </c>
      <c r="O2319">
        <f t="shared" si="363"/>
        <v>0</v>
      </c>
      <c r="P2319">
        <f t="shared" si="364"/>
        <v>0</v>
      </c>
      <c r="Q2319">
        <f t="shared" si="365"/>
        <v>0</v>
      </c>
      <c r="R2319">
        <f t="shared" si="366"/>
        <v>0</v>
      </c>
      <c r="S2319">
        <f t="shared" si="367"/>
        <v>0</v>
      </c>
      <c r="T2319">
        <f t="shared" si="369"/>
        <v>0</v>
      </c>
      <c r="U2319">
        <f t="shared" si="368"/>
        <v>0</v>
      </c>
    </row>
    <row r="2320" spans="1:21" x14ac:dyDescent="0.25">
      <c r="A2320">
        <v>2319</v>
      </c>
      <c r="B2320">
        <v>1090</v>
      </c>
      <c r="C2320" t="s">
        <v>181</v>
      </c>
      <c r="D2320">
        <v>7.3</v>
      </c>
      <c r="E2320" s="89" t="s">
        <v>582</v>
      </c>
      <c r="F2320">
        <v>1.07</v>
      </c>
      <c r="G2320">
        <v>36.93</v>
      </c>
      <c r="H2320">
        <v>320.68</v>
      </c>
      <c r="I2320">
        <v>47.66</v>
      </c>
      <c r="J2320">
        <v>33.54</v>
      </c>
      <c r="K2320">
        <v>25.68</v>
      </c>
      <c r="L2320">
        <f t="shared" si="360"/>
        <v>0</v>
      </c>
      <c r="M2320">
        <f t="shared" si="361"/>
        <v>1</v>
      </c>
      <c r="N2320">
        <f t="shared" si="362"/>
        <v>0</v>
      </c>
      <c r="O2320">
        <f t="shared" si="363"/>
        <v>0</v>
      </c>
      <c r="P2320">
        <f t="shared" si="364"/>
        <v>0</v>
      </c>
      <c r="Q2320">
        <f t="shared" si="365"/>
        <v>0</v>
      </c>
      <c r="R2320">
        <f t="shared" si="366"/>
        <v>0</v>
      </c>
      <c r="S2320">
        <f t="shared" si="367"/>
        <v>0</v>
      </c>
      <c r="T2320">
        <f t="shared" si="369"/>
        <v>1</v>
      </c>
      <c r="U2320">
        <f t="shared" si="368"/>
        <v>1</v>
      </c>
    </row>
    <row r="2321" spans="1:21" x14ac:dyDescent="0.25">
      <c r="A2321">
        <v>2320</v>
      </c>
      <c r="B2321">
        <v>1090</v>
      </c>
      <c r="C2321" t="s">
        <v>183</v>
      </c>
      <c r="D2321">
        <v>18.87</v>
      </c>
      <c r="E2321" s="80">
        <v>87401.41</v>
      </c>
      <c r="F2321">
        <v>347.44</v>
      </c>
      <c r="G2321">
        <v>91.58</v>
      </c>
      <c r="H2321">
        <v>4075.92</v>
      </c>
      <c r="I2321" s="80">
        <v>22460.47</v>
      </c>
      <c r="J2321">
        <v>56.23</v>
      </c>
      <c r="K2321" s="80">
        <v>8770.58</v>
      </c>
      <c r="L2321">
        <f t="shared" si="360"/>
        <v>0</v>
      </c>
      <c r="M2321">
        <f t="shared" si="361"/>
        <v>0</v>
      </c>
      <c r="N2321">
        <f t="shared" si="362"/>
        <v>0</v>
      </c>
      <c r="O2321">
        <f t="shared" si="363"/>
        <v>0</v>
      </c>
      <c r="P2321">
        <f t="shared" si="364"/>
        <v>0</v>
      </c>
      <c r="Q2321">
        <f t="shared" si="365"/>
        <v>0</v>
      </c>
      <c r="R2321">
        <f t="shared" si="366"/>
        <v>0</v>
      </c>
      <c r="S2321">
        <f t="shared" si="367"/>
        <v>0</v>
      </c>
      <c r="T2321">
        <f t="shared" si="369"/>
        <v>0</v>
      </c>
      <c r="U2321">
        <f t="shared" si="368"/>
        <v>0</v>
      </c>
    </row>
    <row r="2322" spans="1:21" x14ac:dyDescent="0.25">
      <c r="A2322">
        <v>2321</v>
      </c>
      <c r="B2322">
        <v>1090</v>
      </c>
      <c r="C2322" t="s">
        <v>186</v>
      </c>
      <c r="D2322">
        <v>18.02</v>
      </c>
      <c r="E2322" s="80">
        <v>28009.439999999999</v>
      </c>
      <c r="F2322">
        <v>627.14</v>
      </c>
      <c r="G2322">
        <v>126.1</v>
      </c>
      <c r="H2322" s="80">
        <v>17946.54</v>
      </c>
      <c r="I2322" s="80">
        <v>23507.62</v>
      </c>
      <c r="J2322">
        <v>77.31</v>
      </c>
      <c r="K2322" s="80">
        <v>25207.37</v>
      </c>
      <c r="L2322">
        <f t="shared" si="360"/>
        <v>0</v>
      </c>
      <c r="M2322">
        <f t="shared" si="361"/>
        <v>0</v>
      </c>
      <c r="N2322">
        <f t="shared" si="362"/>
        <v>0</v>
      </c>
      <c r="O2322">
        <f t="shared" si="363"/>
        <v>0</v>
      </c>
      <c r="P2322">
        <f t="shared" si="364"/>
        <v>0</v>
      </c>
      <c r="Q2322">
        <f t="shared" si="365"/>
        <v>0</v>
      </c>
      <c r="R2322">
        <f t="shared" si="366"/>
        <v>0</v>
      </c>
      <c r="S2322">
        <f t="shared" si="367"/>
        <v>0</v>
      </c>
      <c r="T2322">
        <f t="shared" si="369"/>
        <v>0</v>
      </c>
      <c r="U2322">
        <f t="shared" si="368"/>
        <v>0</v>
      </c>
    </row>
    <row r="2323" spans="1:21" x14ac:dyDescent="0.25">
      <c r="A2323">
        <v>2322</v>
      </c>
      <c r="B2323">
        <v>1090</v>
      </c>
      <c r="C2323" t="s">
        <v>188</v>
      </c>
      <c r="D2323">
        <v>26.94</v>
      </c>
      <c r="E2323" s="80">
        <v>92608.49</v>
      </c>
      <c r="F2323">
        <v>348.09</v>
      </c>
      <c r="G2323">
        <v>138.22</v>
      </c>
      <c r="H2323">
        <v>12679.97</v>
      </c>
      <c r="I2323" s="80">
        <v>23176.23</v>
      </c>
      <c r="J2323">
        <v>95.81</v>
      </c>
      <c r="K2323" t="s">
        <v>582</v>
      </c>
      <c r="L2323">
        <f t="shared" si="360"/>
        <v>0</v>
      </c>
      <c r="M2323">
        <f t="shared" si="361"/>
        <v>0</v>
      </c>
      <c r="N2323">
        <f t="shared" si="362"/>
        <v>0</v>
      </c>
      <c r="O2323">
        <f t="shared" si="363"/>
        <v>0</v>
      </c>
      <c r="P2323">
        <f t="shared" si="364"/>
        <v>0</v>
      </c>
      <c r="Q2323">
        <f t="shared" si="365"/>
        <v>0</v>
      </c>
      <c r="R2323">
        <f t="shared" si="366"/>
        <v>0</v>
      </c>
      <c r="S2323">
        <f t="shared" si="367"/>
        <v>1</v>
      </c>
      <c r="T2323">
        <f t="shared" si="369"/>
        <v>1</v>
      </c>
      <c r="U2323">
        <f t="shared" si="368"/>
        <v>1</v>
      </c>
    </row>
    <row r="2324" spans="1:21" x14ac:dyDescent="0.25">
      <c r="A2324">
        <v>2323</v>
      </c>
      <c r="B2324">
        <v>1090</v>
      </c>
      <c r="C2324" t="s">
        <v>182</v>
      </c>
      <c r="D2324" t="s">
        <v>583</v>
      </c>
      <c r="E2324">
        <v>2185.13</v>
      </c>
      <c r="F2324">
        <v>0.56000000000000005</v>
      </c>
      <c r="G2324">
        <v>0.51</v>
      </c>
      <c r="H2324">
        <v>0.56999999999999995</v>
      </c>
      <c r="I2324">
        <v>18.940000000000001</v>
      </c>
      <c r="J2324">
        <v>1.51</v>
      </c>
      <c r="K2324">
        <v>0.37</v>
      </c>
      <c r="L2324">
        <f t="shared" si="360"/>
        <v>0</v>
      </c>
      <c r="M2324">
        <f t="shared" si="361"/>
        <v>0</v>
      </c>
      <c r="N2324">
        <f t="shared" si="362"/>
        <v>0</v>
      </c>
      <c r="O2324">
        <f t="shared" si="363"/>
        <v>0</v>
      </c>
      <c r="P2324">
        <f t="shared" si="364"/>
        <v>0</v>
      </c>
      <c r="Q2324">
        <f t="shared" si="365"/>
        <v>0</v>
      </c>
      <c r="R2324">
        <f t="shared" si="366"/>
        <v>0</v>
      </c>
      <c r="S2324">
        <f t="shared" si="367"/>
        <v>0</v>
      </c>
      <c r="T2324">
        <f t="shared" si="369"/>
        <v>0</v>
      </c>
      <c r="U2324">
        <f t="shared" si="368"/>
        <v>0</v>
      </c>
    </row>
    <row r="2325" spans="1:21" x14ac:dyDescent="0.25">
      <c r="A2325">
        <v>2324</v>
      </c>
      <c r="B2325">
        <v>1090</v>
      </c>
      <c r="C2325" t="s">
        <v>184</v>
      </c>
      <c r="D2325">
        <v>10.11</v>
      </c>
      <c r="E2325">
        <v>8968.82</v>
      </c>
      <c r="F2325">
        <v>39.71</v>
      </c>
      <c r="G2325">
        <v>65.180000000000007</v>
      </c>
      <c r="H2325">
        <v>15809.2</v>
      </c>
      <c r="I2325" s="80">
        <v>14493.73</v>
      </c>
      <c r="J2325">
        <v>29.01</v>
      </c>
      <c r="K2325">
        <v>2043.57</v>
      </c>
      <c r="L2325">
        <f t="shared" si="360"/>
        <v>0</v>
      </c>
      <c r="M2325">
        <f t="shared" si="361"/>
        <v>0</v>
      </c>
      <c r="N2325">
        <f t="shared" si="362"/>
        <v>0</v>
      </c>
      <c r="O2325">
        <f t="shared" si="363"/>
        <v>0</v>
      </c>
      <c r="P2325">
        <f t="shared" si="364"/>
        <v>0</v>
      </c>
      <c r="Q2325">
        <f t="shared" si="365"/>
        <v>0</v>
      </c>
      <c r="R2325">
        <f t="shared" si="366"/>
        <v>0</v>
      </c>
      <c r="S2325">
        <f t="shared" si="367"/>
        <v>0</v>
      </c>
      <c r="T2325">
        <f t="shared" si="369"/>
        <v>0</v>
      </c>
      <c r="U2325">
        <f t="shared" si="368"/>
        <v>0</v>
      </c>
    </row>
    <row r="2326" spans="1:21" x14ac:dyDescent="0.25">
      <c r="A2326">
        <v>2325</v>
      </c>
      <c r="B2326">
        <v>1090</v>
      </c>
      <c r="C2326" t="s">
        <v>187</v>
      </c>
      <c r="D2326">
        <v>14.72</v>
      </c>
      <c r="E2326">
        <v>8873.51</v>
      </c>
      <c r="F2326">
        <v>80.34</v>
      </c>
      <c r="G2326">
        <v>65.180000000000007</v>
      </c>
      <c r="H2326">
        <v>21982.22</v>
      </c>
      <c r="I2326" s="80">
        <v>15136.33</v>
      </c>
      <c r="J2326">
        <v>46.23</v>
      </c>
      <c r="K2326">
        <v>4406.08</v>
      </c>
      <c r="L2326">
        <f t="shared" si="360"/>
        <v>0</v>
      </c>
      <c r="M2326">
        <f t="shared" si="361"/>
        <v>0</v>
      </c>
      <c r="N2326">
        <f t="shared" si="362"/>
        <v>0</v>
      </c>
      <c r="O2326">
        <f t="shared" si="363"/>
        <v>0</v>
      </c>
      <c r="P2326">
        <f t="shared" si="364"/>
        <v>0</v>
      </c>
      <c r="Q2326">
        <f t="shared" si="365"/>
        <v>0</v>
      </c>
      <c r="R2326">
        <f t="shared" si="366"/>
        <v>0</v>
      </c>
      <c r="S2326">
        <f t="shared" si="367"/>
        <v>0</v>
      </c>
      <c r="T2326">
        <f t="shared" si="369"/>
        <v>0</v>
      </c>
      <c r="U2326">
        <f t="shared" si="368"/>
        <v>0</v>
      </c>
    </row>
    <row r="2327" spans="1:21" x14ac:dyDescent="0.25">
      <c r="A2327">
        <v>2326</v>
      </c>
      <c r="B2327">
        <v>1090</v>
      </c>
      <c r="C2327" t="s">
        <v>189</v>
      </c>
      <c r="D2327">
        <v>11.6</v>
      </c>
      <c r="E2327">
        <v>8696.41</v>
      </c>
      <c r="F2327">
        <v>11.11</v>
      </c>
      <c r="G2327">
        <v>55.31</v>
      </c>
      <c r="H2327" s="80">
        <v>12170.7</v>
      </c>
      <c r="I2327" s="80">
        <v>11625.8</v>
      </c>
      <c r="J2327">
        <v>46.23</v>
      </c>
      <c r="K2327">
        <v>4327.53</v>
      </c>
      <c r="L2327">
        <f t="shared" si="360"/>
        <v>0</v>
      </c>
      <c r="M2327">
        <f t="shared" si="361"/>
        <v>0</v>
      </c>
      <c r="N2327">
        <f t="shared" si="362"/>
        <v>0</v>
      </c>
      <c r="O2327">
        <f t="shared" si="363"/>
        <v>0</v>
      </c>
      <c r="P2327">
        <f t="shared" si="364"/>
        <v>0</v>
      </c>
      <c r="Q2327">
        <f t="shared" si="365"/>
        <v>0</v>
      </c>
      <c r="R2327">
        <f t="shared" si="366"/>
        <v>0</v>
      </c>
      <c r="S2327">
        <f t="shared" si="367"/>
        <v>0</v>
      </c>
      <c r="T2327">
        <f t="shared" si="369"/>
        <v>0</v>
      </c>
      <c r="U2327">
        <f t="shared" si="368"/>
        <v>0</v>
      </c>
    </row>
    <row r="2328" spans="1:21" x14ac:dyDescent="0.25">
      <c r="A2328">
        <v>2327</v>
      </c>
      <c r="B2328" t="s">
        <v>93</v>
      </c>
      <c r="C2328" t="s">
        <v>162</v>
      </c>
      <c r="D2328">
        <v>2.4900000000000002</v>
      </c>
      <c r="E2328">
        <v>23984.28</v>
      </c>
      <c r="F2328">
        <v>1.34</v>
      </c>
      <c r="G2328">
        <v>20.7</v>
      </c>
      <c r="H2328">
        <v>1.21</v>
      </c>
      <c r="I2328">
        <v>32.97</v>
      </c>
      <c r="J2328">
        <v>16.28</v>
      </c>
      <c r="K2328">
        <v>3.07</v>
      </c>
      <c r="L2328">
        <f t="shared" si="360"/>
        <v>0</v>
      </c>
      <c r="M2328">
        <f t="shared" si="361"/>
        <v>0</v>
      </c>
      <c r="N2328">
        <f t="shared" si="362"/>
        <v>0</v>
      </c>
      <c r="O2328">
        <f t="shared" si="363"/>
        <v>0</v>
      </c>
      <c r="P2328">
        <f t="shared" si="364"/>
        <v>0</v>
      </c>
      <c r="Q2328">
        <f t="shared" si="365"/>
        <v>0</v>
      </c>
      <c r="R2328">
        <f t="shared" si="366"/>
        <v>0</v>
      </c>
      <c r="S2328">
        <f t="shared" si="367"/>
        <v>0</v>
      </c>
      <c r="T2328">
        <f t="shared" si="369"/>
        <v>0</v>
      </c>
      <c r="U2328">
        <f t="shared" si="368"/>
        <v>0</v>
      </c>
    </row>
    <row r="2329" spans="1:21" x14ac:dyDescent="0.25">
      <c r="A2329">
        <v>2328</v>
      </c>
      <c r="B2329" t="s">
        <v>93</v>
      </c>
      <c r="C2329" t="s">
        <v>170</v>
      </c>
      <c r="D2329">
        <v>158.03</v>
      </c>
      <c r="E2329">
        <v>20130.29</v>
      </c>
      <c r="F2329">
        <v>101.49</v>
      </c>
      <c r="G2329">
        <v>50.53</v>
      </c>
      <c r="H2329">
        <v>2198.86</v>
      </c>
      <c r="I2329" s="80">
        <v>12827.68</v>
      </c>
      <c r="J2329">
        <v>30.5</v>
      </c>
      <c r="K2329">
        <v>1652.61</v>
      </c>
      <c r="L2329">
        <f t="shared" si="360"/>
        <v>0</v>
      </c>
      <c r="M2329">
        <f t="shared" si="361"/>
        <v>0</v>
      </c>
      <c r="N2329">
        <f t="shared" si="362"/>
        <v>0</v>
      </c>
      <c r="O2329">
        <f t="shared" si="363"/>
        <v>0</v>
      </c>
      <c r="P2329">
        <f t="shared" si="364"/>
        <v>0</v>
      </c>
      <c r="Q2329">
        <f t="shared" si="365"/>
        <v>0</v>
      </c>
      <c r="R2329">
        <f t="shared" si="366"/>
        <v>0</v>
      </c>
      <c r="S2329">
        <f t="shared" si="367"/>
        <v>0</v>
      </c>
      <c r="T2329">
        <f t="shared" si="369"/>
        <v>0</v>
      </c>
      <c r="U2329">
        <f t="shared" si="368"/>
        <v>0</v>
      </c>
    </row>
    <row r="2330" spans="1:21" x14ac:dyDescent="0.25">
      <c r="A2330">
        <v>2329</v>
      </c>
      <c r="B2330" t="s">
        <v>93</v>
      </c>
      <c r="C2330" t="s">
        <v>178</v>
      </c>
      <c r="D2330">
        <v>594.11</v>
      </c>
      <c r="E2330">
        <v>15806.06</v>
      </c>
      <c r="F2330">
        <v>681.51</v>
      </c>
      <c r="G2330">
        <v>65.180000000000007</v>
      </c>
      <c r="H2330">
        <v>9821.15</v>
      </c>
      <c r="I2330" s="80">
        <v>16928.93</v>
      </c>
      <c r="J2330">
        <v>36.64</v>
      </c>
      <c r="K2330">
        <v>2109.11</v>
      </c>
      <c r="L2330">
        <f t="shared" si="360"/>
        <v>0</v>
      </c>
      <c r="M2330">
        <f t="shared" si="361"/>
        <v>0</v>
      </c>
      <c r="N2330">
        <f t="shared" si="362"/>
        <v>0</v>
      </c>
      <c r="O2330">
        <f t="shared" si="363"/>
        <v>0</v>
      </c>
      <c r="P2330">
        <f t="shared" si="364"/>
        <v>0</v>
      </c>
      <c r="Q2330">
        <f t="shared" si="365"/>
        <v>0</v>
      </c>
      <c r="R2330">
        <f t="shared" si="366"/>
        <v>0</v>
      </c>
      <c r="S2330">
        <f t="shared" si="367"/>
        <v>0</v>
      </c>
      <c r="T2330">
        <f t="shared" si="369"/>
        <v>0</v>
      </c>
      <c r="U2330">
        <f t="shared" si="368"/>
        <v>0</v>
      </c>
    </row>
    <row r="2331" spans="1:21" x14ac:dyDescent="0.25">
      <c r="A2331">
        <v>2330</v>
      </c>
      <c r="B2331" t="s">
        <v>93</v>
      </c>
      <c r="C2331" t="s">
        <v>163</v>
      </c>
      <c r="D2331">
        <v>177.4</v>
      </c>
      <c r="E2331">
        <v>16208.11</v>
      </c>
      <c r="F2331">
        <v>322.08999999999997</v>
      </c>
      <c r="G2331">
        <v>86.11</v>
      </c>
      <c r="H2331">
        <v>12513.11</v>
      </c>
      <c r="I2331" s="80">
        <v>16286.19</v>
      </c>
      <c r="J2331">
        <v>52.86</v>
      </c>
      <c r="K2331">
        <v>7468.07</v>
      </c>
      <c r="L2331">
        <f t="shared" si="360"/>
        <v>0</v>
      </c>
      <c r="M2331">
        <f t="shared" si="361"/>
        <v>0</v>
      </c>
      <c r="N2331">
        <f t="shared" si="362"/>
        <v>0</v>
      </c>
      <c r="O2331">
        <f t="shared" si="363"/>
        <v>0</v>
      </c>
      <c r="P2331">
        <f t="shared" si="364"/>
        <v>0</v>
      </c>
      <c r="Q2331">
        <f t="shared" si="365"/>
        <v>0</v>
      </c>
      <c r="R2331">
        <f t="shared" si="366"/>
        <v>0</v>
      </c>
      <c r="S2331">
        <f t="shared" si="367"/>
        <v>0</v>
      </c>
      <c r="T2331">
        <f t="shared" si="369"/>
        <v>0</v>
      </c>
      <c r="U2331">
        <f t="shared" si="368"/>
        <v>0</v>
      </c>
    </row>
    <row r="2332" spans="1:21" x14ac:dyDescent="0.25">
      <c r="A2332">
        <v>2331</v>
      </c>
      <c r="B2332" t="s">
        <v>93</v>
      </c>
      <c r="C2332" t="s">
        <v>181</v>
      </c>
      <c r="D2332">
        <v>12.37</v>
      </c>
      <c r="E2332" s="89" t="s">
        <v>582</v>
      </c>
      <c r="F2332">
        <v>1.98</v>
      </c>
      <c r="G2332">
        <v>55.31</v>
      </c>
      <c r="H2332">
        <v>20.83</v>
      </c>
      <c r="I2332">
        <v>1043.99</v>
      </c>
      <c r="J2332">
        <v>30.5</v>
      </c>
      <c r="K2332">
        <v>153.32</v>
      </c>
      <c r="L2332">
        <f t="shared" si="360"/>
        <v>0</v>
      </c>
      <c r="M2332">
        <f t="shared" si="361"/>
        <v>1</v>
      </c>
      <c r="N2332">
        <f t="shared" si="362"/>
        <v>0</v>
      </c>
      <c r="O2332">
        <f t="shared" si="363"/>
        <v>0</v>
      </c>
      <c r="P2332">
        <f t="shared" si="364"/>
        <v>0</v>
      </c>
      <c r="Q2332">
        <f t="shared" si="365"/>
        <v>0</v>
      </c>
      <c r="R2332">
        <f t="shared" si="366"/>
        <v>0</v>
      </c>
      <c r="S2332">
        <f t="shared" si="367"/>
        <v>0</v>
      </c>
      <c r="T2332">
        <f t="shared" si="369"/>
        <v>1</v>
      </c>
      <c r="U2332">
        <f t="shared" si="368"/>
        <v>1</v>
      </c>
    </row>
    <row r="2333" spans="1:21" x14ac:dyDescent="0.25">
      <c r="A2333">
        <v>2332</v>
      </c>
      <c r="B2333" t="s">
        <v>93</v>
      </c>
      <c r="C2333" t="s">
        <v>183</v>
      </c>
      <c r="D2333">
        <v>18.02</v>
      </c>
      <c r="E2333" s="80">
        <v>62236.45</v>
      </c>
      <c r="F2333">
        <v>902.52</v>
      </c>
      <c r="G2333">
        <v>102.76</v>
      </c>
      <c r="H2333">
        <v>3511.2</v>
      </c>
      <c r="I2333" s="80">
        <v>20598.07</v>
      </c>
      <c r="J2333">
        <v>66.61</v>
      </c>
      <c r="K2333">
        <v>8038.48</v>
      </c>
      <c r="L2333">
        <f t="shared" si="360"/>
        <v>0</v>
      </c>
      <c r="M2333">
        <f t="shared" si="361"/>
        <v>0</v>
      </c>
      <c r="N2333">
        <f t="shared" si="362"/>
        <v>0</v>
      </c>
      <c r="O2333">
        <f t="shared" si="363"/>
        <v>0</v>
      </c>
      <c r="P2333">
        <f t="shared" si="364"/>
        <v>0</v>
      </c>
      <c r="Q2333">
        <f t="shared" si="365"/>
        <v>0</v>
      </c>
      <c r="R2333">
        <f t="shared" si="366"/>
        <v>0</v>
      </c>
      <c r="S2333">
        <f t="shared" si="367"/>
        <v>0</v>
      </c>
      <c r="T2333">
        <f t="shared" si="369"/>
        <v>0</v>
      </c>
      <c r="U2333">
        <f t="shared" si="368"/>
        <v>0</v>
      </c>
    </row>
    <row r="2334" spans="1:21" x14ac:dyDescent="0.25">
      <c r="A2334">
        <v>2333</v>
      </c>
      <c r="B2334" t="s">
        <v>93</v>
      </c>
      <c r="C2334" t="s">
        <v>186</v>
      </c>
      <c r="D2334">
        <v>25.08</v>
      </c>
      <c r="E2334" s="80">
        <v>59097.18</v>
      </c>
      <c r="F2334">
        <v>2593.88</v>
      </c>
      <c r="G2334">
        <v>163.31</v>
      </c>
      <c r="H2334" s="80">
        <v>22260.48</v>
      </c>
      <c r="I2334" s="80">
        <v>21188.7</v>
      </c>
      <c r="J2334">
        <v>63.11</v>
      </c>
      <c r="K2334" s="80">
        <v>13916.45</v>
      </c>
      <c r="L2334">
        <f t="shared" si="360"/>
        <v>0</v>
      </c>
      <c r="M2334">
        <f t="shared" si="361"/>
        <v>0</v>
      </c>
      <c r="N2334">
        <f t="shared" si="362"/>
        <v>0</v>
      </c>
      <c r="O2334">
        <f t="shared" si="363"/>
        <v>0</v>
      </c>
      <c r="P2334">
        <f t="shared" si="364"/>
        <v>0</v>
      </c>
      <c r="Q2334">
        <f t="shared" si="365"/>
        <v>0</v>
      </c>
      <c r="R2334">
        <f t="shared" si="366"/>
        <v>0</v>
      </c>
      <c r="S2334">
        <f t="shared" si="367"/>
        <v>0</v>
      </c>
      <c r="T2334">
        <f t="shared" si="369"/>
        <v>0</v>
      </c>
      <c r="U2334">
        <f t="shared" si="368"/>
        <v>0</v>
      </c>
    </row>
    <row r="2335" spans="1:21" x14ac:dyDescent="0.25">
      <c r="A2335">
        <v>2334</v>
      </c>
      <c r="B2335" t="s">
        <v>93</v>
      </c>
      <c r="C2335" t="s">
        <v>188</v>
      </c>
      <c r="D2335">
        <v>21.48</v>
      </c>
      <c r="E2335" s="80">
        <v>102350.01</v>
      </c>
      <c r="F2335">
        <v>1010.74</v>
      </c>
      <c r="G2335">
        <v>138.22</v>
      </c>
      <c r="H2335">
        <v>13804.12</v>
      </c>
      <c r="I2335" s="80">
        <v>22135.43</v>
      </c>
      <c r="J2335">
        <v>111.15</v>
      </c>
      <c r="K2335" s="80">
        <v>128013.2</v>
      </c>
      <c r="L2335">
        <f t="shared" si="360"/>
        <v>0</v>
      </c>
      <c r="M2335">
        <f t="shared" si="361"/>
        <v>0</v>
      </c>
      <c r="N2335">
        <f t="shared" si="362"/>
        <v>0</v>
      </c>
      <c r="O2335">
        <f t="shared" si="363"/>
        <v>0</v>
      </c>
      <c r="P2335">
        <f t="shared" si="364"/>
        <v>0</v>
      </c>
      <c r="Q2335">
        <f t="shared" si="365"/>
        <v>0</v>
      </c>
      <c r="R2335">
        <f t="shared" si="366"/>
        <v>0</v>
      </c>
      <c r="S2335">
        <f t="shared" si="367"/>
        <v>0</v>
      </c>
      <c r="T2335">
        <f t="shared" si="369"/>
        <v>0</v>
      </c>
      <c r="U2335">
        <f t="shared" si="368"/>
        <v>0</v>
      </c>
    </row>
    <row r="2336" spans="1:21" x14ac:dyDescent="0.25">
      <c r="A2336">
        <v>2335</v>
      </c>
      <c r="B2336" t="s">
        <v>93</v>
      </c>
      <c r="C2336" t="s">
        <v>182</v>
      </c>
      <c r="D2336" t="s">
        <v>583</v>
      </c>
      <c r="E2336">
        <v>907.73</v>
      </c>
      <c r="F2336">
        <v>0.11</v>
      </c>
      <c r="G2336" t="s">
        <v>583</v>
      </c>
      <c r="H2336">
        <v>0.77</v>
      </c>
      <c r="I2336">
        <v>7.87</v>
      </c>
      <c r="J2336" t="s">
        <v>583</v>
      </c>
      <c r="K2336">
        <v>0.1</v>
      </c>
      <c r="L2336">
        <f t="shared" si="360"/>
        <v>0</v>
      </c>
      <c r="M2336">
        <f t="shared" si="361"/>
        <v>0</v>
      </c>
      <c r="N2336">
        <f t="shared" si="362"/>
        <v>0</v>
      </c>
      <c r="O2336">
        <f t="shared" si="363"/>
        <v>0</v>
      </c>
      <c r="P2336">
        <f t="shared" si="364"/>
        <v>0</v>
      </c>
      <c r="Q2336">
        <f t="shared" si="365"/>
        <v>0</v>
      </c>
      <c r="R2336">
        <f t="shared" si="366"/>
        <v>0</v>
      </c>
      <c r="S2336">
        <f t="shared" si="367"/>
        <v>0</v>
      </c>
      <c r="T2336">
        <f t="shared" si="369"/>
        <v>0</v>
      </c>
      <c r="U2336">
        <f t="shared" si="368"/>
        <v>0</v>
      </c>
    </row>
    <row r="2337" spans="1:21" x14ac:dyDescent="0.25">
      <c r="A2337">
        <v>2336</v>
      </c>
      <c r="B2337" t="s">
        <v>93</v>
      </c>
      <c r="C2337" t="s">
        <v>184</v>
      </c>
      <c r="D2337">
        <v>743.78</v>
      </c>
      <c r="E2337">
        <v>3274.83</v>
      </c>
      <c r="F2337">
        <v>7.25</v>
      </c>
      <c r="G2337">
        <v>41.34</v>
      </c>
      <c r="H2337">
        <v>9056.36</v>
      </c>
      <c r="I2337" s="80">
        <v>12500.34</v>
      </c>
      <c r="J2337">
        <v>36.64</v>
      </c>
      <c r="K2337">
        <v>2150</v>
      </c>
      <c r="L2337">
        <f t="shared" si="360"/>
        <v>0</v>
      </c>
      <c r="M2337">
        <f t="shared" si="361"/>
        <v>0</v>
      </c>
      <c r="N2337">
        <f t="shared" si="362"/>
        <v>0</v>
      </c>
      <c r="O2337">
        <f t="shared" si="363"/>
        <v>0</v>
      </c>
      <c r="P2337">
        <f t="shared" si="364"/>
        <v>0</v>
      </c>
      <c r="Q2337">
        <f t="shared" si="365"/>
        <v>0</v>
      </c>
      <c r="R2337">
        <f t="shared" si="366"/>
        <v>0</v>
      </c>
      <c r="S2337">
        <f t="shared" si="367"/>
        <v>0</v>
      </c>
      <c r="T2337">
        <f t="shared" si="369"/>
        <v>0</v>
      </c>
      <c r="U2337">
        <f t="shared" si="368"/>
        <v>0</v>
      </c>
    </row>
    <row r="2338" spans="1:21" x14ac:dyDescent="0.25">
      <c r="A2338">
        <v>2337</v>
      </c>
      <c r="B2338" t="s">
        <v>93</v>
      </c>
      <c r="C2338" t="s">
        <v>187</v>
      </c>
      <c r="D2338">
        <v>671</v>
      </c>
      <c r="E2338">
        <v>3975.91</v>
      </c>
      <c r="F2338">
        <v>35.76</v>
      </c>
      <c r="G2338">
        <v>41.34</v>
      </c>
      <c r="H2338">
        <v>13672.46</v>
      </c>
      <c r="I2338" s="80">
        <v>11361.82</v>
      </c>
      <c r="J2338">
        <v>46.23</v>
      </c>
      <c r="K2338">
        <v>3682.97</v>
      </c>
      <c r="L2338">
        <f t="shared" si="360"/>
        <v>0</v>
      </c>
      <c r="M2338">
        <f t="shared" si="361"/>
        <v>0</v>
      </c>
      <c r="N2338">
        <f t="shared" si="362"/>
        <v>0</v>
      </c>
      <c r="O2338">
        <f t="shared" si="363"/>
        <v>0</v>
      </c>
      <c r="P2338">
        <f t="shared" si="364"/>
        <v>0</v>
      </c>
      <c r="Q2338">
        <f t="shared" si="365"/>
        <v>0</v>
      </c>
      <c r="R2338">
        <f t="shared" si="366"/>
        <v>0</v>
      </c>
      <c r="S2338">
        <f t="shared" si="367"/>
        <v>0</v>
      </c>
      <c r="T2338">
        <f t="shared" si="369"/>
        <v>0</v>
      </c>
      <c r="U2338">
        <f t="shared" si="368"/>
        <v>0</v>
      </c>
    </row>
    <row r="2339" spans="1:21" x14ac:dyDescent="0.25">
      <c r="A2339">
        <v>2338</v>
      </c>
      <c r="B2339" t="s">
        <v>93</v>
      </c>
      <c r="C2339" t="s">
        <v>189</v>
      </c>
      <c r="D2339">
        <v>382.24</v>
      </c>
      <c r="E2339">
        <v>2669.08</v>
      </c>
      <c r="F2339">
        <v>3.61</v>
      </c>
      <c r="G2339">
        <v>24.53</v>
      </c>
      <c r="H2339">
        <v>6564.19</v>
      </c>
      <c r="I2339" s="80">
        <v>7570.95</v>
      </c>
      <c r="J2339">
        <v>27.52</v>
      </c>
      <c r="K2339">
        <v>5023.3</v>
      </c>
      <c r="L2339">
        <f t="shared" si="360"/>
        <v>0</v>
      </c>
      <c r="M2339">
        <f t="shared" si="361"/>
        <v>0</v>
      </c>
      <c r="N2339">
        <f t="shared" si="362"/>
        <v>0</v>
      </c>
      <c r="O2339">
        <f t="shared" si="363"/>
        <v>0</v>
      </c>
      <c r="P2339">
        <f t="shared" si="364"/>
        <v>0</v>
      </c>
      <c r="Q2339">
        <f t="shared" si="365"/>
        <v>0</v>
      </c>
      <c r="R2339">
        <f t="shared" si="366"/>
        <v>0</v>
      </c>
      <c r="S2339">
        <f t="shared" si="367"/>
        <v>0</v>
      </c>
      <c r="T2339">
        <f t="shared" si="369"/>
        <v>0</v>
      </c>
      <c r="U2339">
        <f t="shared" si="368"/>
        <v>0</v>
      </c>
    </row>
    <row r="2340" spans="1:21" x14ac:dyDescent="0.25">
      <c r="A2340">
        <v>2339</v>
      </c>
      <c r="B2340" t="s">
        <v>87</v>
      </c>
      <c r="C2340" t="s">
        <v>162</v>
      </c>
      <c r="D2340">
        <v>10.11</v>
      </c>
      <c r="E2340" s="80">
        <v>59768.9</v>
      </c>
      <c r="F2340">
        <v>1.89</v>
      </c>
      <c r="G2340">
        <v>32.65</v>
      </c>
      <c r="H2340">
        <v>23.48</v>
      </c>
      <c r="I2340">
        <v>204.44</v>
      </c>
      <c r="J2340">
        <v>18.98</v>
      </c>
      <c r="K2340">
        <v>17.420000000000002</v>
      </c>
      <c r="L2340">
        <f t="shared" si="360"/>
        <v>0</v>
      </c>
      <c r="M2340">
        <f t="shared" si="361"/>
        <v>0</v>
      </c>
      <c r="N2340">
        <f t="shared" si="362"/>
        <v>0</v>
      </c>
      <c r="O2340">
        <f t="shared" si="363"/>
        <v>0</v>
      </c>
      <c r="P2340">
        <f t="shared" si="364"/>
        <v>0</v>
      </c>
      <c r="Q2340">
        <f t="shared" si="365"/>
        <v>0</v>
      </c>
      <c r="R2340">
        <f t="shared" si="366"/>
        <v>0</v>
      </c>
      <c r="S2340">
        <f t="shared" si="367"/>
        <v>0</v>
      </c>
      <c r="T2340">
        <f t="shared" si="369"/>
        <v>0</v>
      </c>
      <c r="U2340">
        <f t="shared" si="368"/>
        <v>0</v>
      </c>
    </row>
    <row r="2341" spans="1:21" x14ac:dyDescent="0.25">
      <c r="A2341">
        <v>2340</v>
      </c>
      <c r="B2341" t="s">
        <v>87</v>
      </c>
      <c r="C2341" t="s">
        <v>170</v>
      </c>
      <c r="D2341">
        <v>9.39</v>
      </c>
      <c r="E2341" s="80">
        <v>28195.81</v>
      </c>
      <c r="F2341">
        <v>225.56</v>
      </c>
      <c r="G2341">
        <v>41.34</v>
      </c>
      <c r="H2341">
        <v>1798.57</v>
      </c>
      <c r="I2341" s="80">
        <v>12105.8</v>
      </c>
      <c r="J2341">
        <v>30.5</v>
      </c>
      <c r="K2341">
        <v>776.5</v>
      </c>
      <c r="L2341">
        <f t="shared" si="360"/>
        <v>0</v>
      </c>
      <c r="M2341">
        <f t="shared" si="361"/>
        <v>0</v>
      </c>
      <c r="N2341">
        <f t="shared" si="362"/>
        <v>0</v>
      </c>
      <c r="O2341">
        <f t="shared" si="363"/>
        <v>0</v>
      </c>
      <c r="P2341">
        <f t="shared" si="364"/>
        <v>0</v>
      </c>
      <c r="Q2341">
        <f t="shared" si="365"/>
        <v>0</v>
      </c>
      <c r="R2341">
        <f t="shared" si="366"/>
        <v>0</v>
      </c>
      <c r="S2341">
        <f t="shared" si="367"/>
        <v>0</v>
      </c>
      <c r="T2341">
        <f t="shared" si="369"/>
        <v>0</v>
      </c>
      <c r="U2341">
        <f t="shared" si="368"/>
        <v>0</v>
      </c>
    </row>
    <row r="2342" spans="1:21" x14ac:dyDescent="0.25">
      <c r="A2342">
        <v>2341</v>
      </c>
      <c r="B2342" t="s">
        <v>87</v>
      </c>
      <c r="C2342" t="s">
        <v>178</v>
      </c>
      <c r="D2342">
        <v>28.82</v>
      </c>
      <c r="E2342" s="80">
        <v>37337.64</v>
      </c>
      <c r="F2342">
        <v>1566.48</v>
      </c>
      <c r="G2342">
        <v>97.13</v>
      </c>
      <c r="H2342">
        <v>14708.54</v>
      </c>
      <c r="I2342" s="80">
        <v>18023.18</v>
      </c>
      <c r="J2342">
        <v>39.79</v>
      </c>
      <c r="K2342">
        <v>2448.7199999999998</v>
      </c>
      <c r="L2342">
        <f t="shared" si="360"/>
        <v>0</v>
      </c>
      <c r="M2342">
        <f t="shared" si="361"/>
        <v>0</v>
      </c>
      <c r="N2342">
        <f t="shared" si="362"/>
        <v>0</v>
      </c>
      <c r="O2342">
        <f t="shared" si="363"/>
        <v>0</v>
      </c>
      <c r="P2342">
        <f t="shared" si="364"/>
        <v>0</v>
      </c>
      <c r="Q2342">
        <f t="shared" si="365"/>
        <v>0</v>
      </c>
      <c r="R2342">
        <f t="shared" si="366"/>
        <v>0</v>
      </c>
      <c r="S2342">
        <f t="shared" si="367"/>
        <v>0</v>
      </c>
      <c r="T2342">
        <f t="shared" si="369"/>
        <v>0</v>
      </c>
      <c r="U2342">
        <f t="shared" si="368"/>
        <v>0</v>
      </c>
    </row>
    <row r="2343" spans="1:21" x14ac:dyDescent="0.25">
      <c r="A2343">
        <v>2342</v>
      </c>
      <c r="B2343" t="s">
        <v>87</v>
      </c>
      <c r="C2343" t="s">
        <v>163</v>
      </c>
      <c r="D2343">
        <v>25.08</v>
      </c>
      <c r="E2343" s="80">
        <v>34719.21</v>
      </c>
      <c r="F2343">
        <v>813.57</v>
      </c>
      <c r="G2343">
        <v>102.76</v>
      </c>
      <c r="H2343">
        <v>8933.48</v>
      </c>
      <c r="I2343" s="80">
        <v>19382.52</v>
      </c>
      <c r="J2343">
        <v>66.61</v>
      </c>
      <c r="K2343" s="80">
        <v>10482.25</v>
      </c>
      <c r="L2343">
        <f t="shared" si="360"/>
        <v>0</v>
      </c>
      <c r="M2343">
        <f t="shared" si="361"/>
        <v>0</v>
      </c>
      <c r="N2343">
        <f t="shared" si="362"/>
        <v>0</v>
      </c>
      <c r="O2343">
        <f t="shared" si="363"/>
        <v>0</v>
      </c>
      <c r="P2343">
        <f t="shared" si="364"/>
        <v>0</v>
      </c>
      <c r="Q2343">
        <f t="shared" si="365"/>
        <v>0</v>
      </c>
      <c r="R2343">
        <f t="shared" si="366"/>
        <v>0</v>
      </c>
      <c r="S2343">
        <f t="shared" si="367"/>
        <v>0</v>
      </c>
      <c r="T2343">
        <f t="shared" si="369"/>
        <v>0</v>
      </c>
      <c r="U2343">
        <f t="shared" si="368"/>
        <v>0</v>
      </c>
    </row>
    <row r="2344" spans="1:21" x14ac:dyDescent="0.25">
      <c r="A2344">
        <v>2343</v>
      </c>
      <c r="B2344" t="s">
        <v>87</v>
      </c>
      <c r="C2344" t="s">
        <v>181</v>
      </c>
      <c r="D2344">
        <v>8.68</v>
      </c>
      <c r="E2344" s="89" t="s">
        <v>582</v>
      </c>
      <c r="F2344">
        <v>1.52</v>
      </c>
      <c r="G2344">
        <v>70.27</v>
      </c>
      <c r="H2344">
        <v>102.89</v>
      </c>
      <c r="I2344">
        <v>682.17</v>
      </c>
      <c r="J2344">
        <v>33.54</v>
      </c>
      <c r="K2344">
        <v>170.3</v>
      </c>
      <c r="L2344">
        <f t="shared" si="360"/>
        <v>0</v>
      </c>
      <c r="M2344">
        <f t="shared" si="361"/>
        <v>1</v>
      </c>
      <c r="N2344">
        <f t="shared" si="362"/>
        <v>0</v>
      </c>
      <c r="O2344">
        <f t="shared" si="363"/>
        <v>0</v>
      </c>
      <c r="P2344">
        <f t="shared" si="364"/>
        <v>0</v>
      </c>
      <c r="Q2344">
        <f t="shared" si="365"/>
        <v>0</v>
      </c>
      <c r="R2344">
        <f t="shared" si="366"/>
        <v>0</v>
      </c>
      <c r="S2344">
        <f t="shared" si="367"/>
        <v>0</v>
      </c>
      <c r="T2344">
        <f t="shared" si="369"/>
        <v>1</v>
      </c>
      <c r="U2344">
        <f t="shared" si="368"/>
        <v>1</v>
      </c>
    </row>
    <row r="2345" spans="1:21" x14ac:dyDescent="0.25">
      <c r="A2345">
        <v>2344</v>
      </c>
      <c r="B2345" t="s">
        <v>87</v>
      </c>
      <c r="C2345" t="s">
        <v>183</v>
      </c>
      <c r="D2345">
        <v>25.08</v>
      </c>
      <c r="E2345" s="80">
        <v>64509.39</v>
      </c>
      <c r="F2345">
        <v>1088.8800000000001</v>
      </c>
      <c r="G2345">
        <v>114.28</v>
      </c>
      <c r="H2345">
        <v>10331.4</v>
      </c>
      <c r="I2345" s="80">
        <v>22288.34</v>
      </c>
      <c r="J2345">
        <v>70.14</v>
      </c>
      <c r="K2345" s="80">
        <v>8401.9500000000007</v>
      </c>
      <c r="L2345">
        <f t="shared" si="360"/>
        <v>0</v>
      </c>
      <c r="M2345">
        <f t="shared" si="361"/>
        <v>0</v>
      </c>
      <c r="N2345">
        <f t="shared" si="362"/>
        <v>0</v>
      </c>
      <c r="O2345">
        <f t="shared" si="363"/>
        <v>0</v>
      </c>
      <c r="P2345">
        <f t="shared" si="364"/>
        <v>0</v>
      </c>
      <c r="Q2345">
        <f t="shared" si="365"/>
        <v>0</v>
      </c>
      <c r="R2345">
        <f t="shared" si="366"/>
        <v>0</v>
      </c>
      <c r="S2345">
        <f t="shared" si="367"/>
        <v>0</v>
      </c>
      <c r="T2345">
        <f t="shared" si="369"/>
        <v>0</v>
      </c>
      <c r="U2345">
        <f t="shared" si="368"/>
        <v>0</v>
      </c>
    </row>
    <row r="2346" spans="1:21" x14ac:dyDescent="0.25">
      <c r="A2346">
        <v>2345</v>
      </c>
      <c r="B2346" t="s">
        <v>87</v>
      </c>
      <c r="C2346" t="s">
        <v>186</v>
      </c>
      <c r="D2346">
        <v>18.02</v>
      </c>
      <c r="E2346" s="80">
        <v>41231.800000000003</v>
      </c>
      <c r="F2346">
        <v>2182.5100000000002</v>
      </c>
      <c r="G2346">
        <v>120.15</v>
      </c>
      <c r="H2346" s="80">
        <v>67373.429999999993</v>
      </c>
      <c r="I2346" s="80">
        <v>22942.13</v>
      </c>
      <c r="J2346">
        <v>84.62</v>
      </c>
      <c r="K2346" s="80">
        <v>19263.23</v>
      </c>
      <c r="L2346">
        <f t="shared" si="360"/>
        <v>0</v>
      </c>
      <c r="M2346">
        <f t="shared" si="361"/>
        <v>0</v>
      </c>
      <c r="N2346">
        <f t="shared" si="362"/>
        <v>0</v>
      </c>
      <c r="O2346">
        <f t="shared" si="363"/>
        <v>0</v>
      </c>
      <c r="P2346">
        <f t="shared" si="364"/>
        <v>0</v>
      </c>
      <c r="Q2346">
        <f t="shared" si="365"/>
        <v>0</v>
      </c>
      <c r="R2346">
        <f t="shared" si="366"/>
        <v>0</v>
      </c>
      <c r="S2346">
        <f t="shared" si="367"/>
        <v>0</v>
      </c>
      <c r="T2346">
        <f t="shared" si="369"/>
        <v>0</v>
      </c>
      <c r="U2346">
        <f t="shared" si="368"/>
        <v>0</v>
      </c>
    </row>
    <row r="2347" spans="1:21" x14ac:dyDescent="0.25">
      <c r="A2347">
        <v>2346</v>
      </c>
      <c r="B2347" t="s">
        <v>87</v>
      </c>
      <c r="C2347" t="s">
        <v>188</v>
      </c>
      <c r="D2347">
        <v>25.08</v>
      </c>
      <c r="E2347" s="89" t="s">
        <v>582</v>
      </c>
      <c r="F2347">
        <v>486.66</v>
      </c>
      <c r="G2347">
        <v>114.28</v>
      </c>
      <c r="H2347">
        <v>7160.41</v>
      </c>
      <c r="I2347" s="80">
        <v>21702.83</v>
      </c>
      <c r="J2347">
        <v>84.62</v>
      </c>
      <c r="K2347" s="80">
        <v>15221.35</v>
      </c>
      <c r="L2347">
        <f t="shared" si="360"/>
        <v>0</v>
      </c>
      <c r="M2347">
        <f t="shared" si="361"/>
        <v>1</v>
      </c>
      <c r="N2347">
        <f t="shared" si="362"/>
        <v>0</v>
      </c>
      <c r="O2347">
        <f t="shared" si="363"/>
        <v>0</v>
      </c>
      <c r="P2347">
        <f t="shared" si="364"/>
        <v>0</v>
      </c>
      <c r="Q2347">
        <f t="shared" si="365"/>
        <v>0</v>
      </c>
      <c r="R2347">
        <f t="shared" si="366"/>
        <v>0</v>
      </c>
      <c r="S2347">
        <f t="shared" si="367"/>
        <v>0</v>
      </c>
      <c r="T2347">
        <f t="shared" si="369"/>
        <v>1</v>
      </c>
      <c r="U2347">
        <f t="shared" si="368"/>
        <v>1</v>
      </c>
    </row>
    <row r="2348" spans="1:21" x14ac:dyDescent="0.25">
      <c r="A2348">
        <v>2347</v>
      </c>
      <c r="B2348" t="s">
        <v>87</v>
      </c>
      <c r="C2348" t="s">
        <v>182</v>
      </c>
      <c r="D2348" t="s">
        <v>583</v>
      </c>
      <c r="E2348">
        <v>1001.29</v>
      </c>
      <c r="F2348" t="s">
        <v>583</v>
      </c>
      <c r="G2348" s="80">
        <v>0.51</v>
      </c>
      <c r="H2348" t="s">
        <v>583</v>
      </c>
      <c r="I2348">
        <v>0.28000000000000003</v>
      </c>
      <c r="J2348" t="s">
        <v>583</v>
      </c>
      <c r="K2348">
        <v>0.18</v>
      </c>
      <c r="L2348">
        <f t="shared" si="360"/>
        <v>0</v>
      </c>
      <c r="M2348">
        <f t="shared" si="361"/>
        <v>0</v>
      </c>
      <c r="N2348">
        <f t="shared" si="362"/>
        <v>0</v>
      </c>
      <c r="O2348">
        <f t="shared" si="363"/>
        <v>0</v>
      </c>
      <c r="P2348">
        <f t="shared" si="364"/>
        <v>0</v>
      </c>
      <c r="Q2348">
        <f t="shared" si="365"/>
        <v>0</v>
      </c>
      <c r="R2348">
        <f t="shared" si="366"/>
        <v>0</v>
      </c>
      <c r="S2348">
        <f t="shared" si="367"/>
        <v>0</v>
      </c>
      <c r="T2348">
        <f t="shared" si="369"/>
        <v>0</v>
      </c>
      <c r="U2348">
        <f t="shared" si="368"/>
        <v>0</v>
      </c>
    </row>
    <row r="2349" spans="1:21" x14ac:dyDescent="0.25">
      <c r="A2349">
        <v>2348</v>
      </c>
      <c r="B2349" t="s">
        <v>87</v>
      </c>
      <c r="C2349" t="s">
        <v>184</v>
      </c>
      <c r="D2349">
        <v>16.350000000000001</v>
      </c>
      <c r="E2349">
        <v>11536.22</v>
      </c>
      <c r="F2349">
        <v>139.55000000000001</v>
      </c>
      <c r="G2349">
        <v>50.53</v>
      </c>
      <c r="H2349">
        <v>7515.48</v>
      </c>
      <c r="I2349" s="80">
        <v>14978.31</v>
      </c>
      <c r="J2349">
        <v>29.01</v>
      </c>
      <c r="K2349">
        <v>1800.53</v>
      </c>
      <c r="L2349">
        <f t="shared" si="360"/>
        <v>0</v>
      </c>
      <c r="M2349">
        <f t="shared" si="361"/>
        <v>0</v>
      </c>
      <c r="N2349">
        <f t="shared" si="362"/>
        <v>0</v>
      </c>
      <c r="O2349">
        <f t="shared" si="363"/>
        <v>0</v>
      </c>
      <c r="P2349">
        <f t="shared" si="364"/>
        <v>0</v>
      </c>
      <c r="Q2349">
        <f t="shared" si="365"/>
        <v>0</v>
      </c>
      <c r="R2349">
        <f t="shared" si="366"/>
        <v>0</v>
      </c>
      <c r="S2349">
        <f t="shared" si="367"/>
        <v>0</v>
      </c>
      <c r="T2349">
        <f t="shared" si="369"/>
        <v>0</v>
      </c>
      <c r="U2349">
        <f t="shared" si="368"/>
        <v>0</v>
      </c>
    </row>
    <row r="2350" spans="1:21" x14ac:dyDescent="0.25">
      <c r="A2350">
        <v>2349</v>
      </c>
      <c r="B2350" t="s">
        <v>87</v>
      </c>
      <c r="C2350" t="s">
        <v>187</v>
      </c>
      <c r="D2350">
        <v>72.19</v>
      </c>
      <c r="E2350">
        <v>16125.13</v>
      </c>
      <c r="F2350">
        <v>198.62</v>
      </c>
      <c r="G2350">
        <v>80.739999999999995</v>
      </c>
      <c r="H2350" s="80">
        <v>20099.990000000002</v>
      </c>
      <c r="I2350" s="80">
        <v>14316.05</v>
      </c>
      <c r="J2350">
        <v>42.98</v>
      </c>
      <c r="K2350">
        <v>4719.8599999999997</v>
      </c>
      <c r="L2350">
        <f t="shared" si="360"/>
        <v>0</v>
      </c>
      <c r="M2350">
        <f t="shared" si="361"/>
        <v>0</v>
      </c>
      <c r="N2350">
        <f t="shared" si="362"/>
        <v>0</v>
      </c>
      <c r="O2350">
        <f t="shared" si="363"/>
        <v>0</v>
      </c>
      <c r="P2350">
        <f t="shared" si="364"/>
        <v>0</v>
      </c>
      <c r="Q2350">
        <f t="shared" si="365"/>
        <v>0</v>
      </c>
      <c r="R2350">
        <f t="shared" si="366"/>
        <v>0</v>
      </c>
      <c r="S2350">
        <f t="shared" si="367"/>
        <v>0</v>
      </c>
      <c r="T2350">
        <f t="shared" si="369"/>
        <v>0</v>
      </c>
      <c r="U2350">
        <f t="shared" si="368"/>
        <v>0</v>
      </c>
    </row>
    <row r="2351" spans="1:21" x14ac:dyDescent="0.25">
      <c r="A2351">
        <v>2350</v>
      </c>
      <c r="B2351" t="s">
        <v>87</v>
      </c>
      <c r="C2351" t="s">
        <v>189</v>
      </c>
      <c r="D2351">
        <v>16.350000000000001</v>
      </c>
      <c r="E2351">
        <v>7502.01</v>
      </c>
      <c r="F2351">
        <v>8.67</v>
      </c>
      <c r="G2351">
        <v>50.53</v>
      </c>
      <c r="H2351">
        <v>6162.47</v>
      </c>
      <c r="I2351" s="80">
        <v>7999.27</v>
      </c>
      <c r="J2351">
        <v>18.98</v>
      </c>
      <c r="K2351">
        <v>5806.89</v>
      </c>
      <c r="L2351">
        <f t="shared" si="360"/>
        <v>0</v>
      </c>
      <c r="M2351">
        <f t="shared" si="361"/>
        <v>0</v>
      </c>
      <c r="N2351">
        <f t="shared" si="362"/>
        <v>0</v>
      </c>
      <c r="O2351">
        <f t="shared" si="363"/>
        <v>0</v>
      </c>
      <c r="P2351">
        <f t="shared" si="364"/>
        <v>0</v>
      </c>
      <c r="Q2351">
        <f t="shared" si="365"/>
        <v>0</v>
      </c>
      <c r="R2351">
        <f t="shared" si="366"/>
        <v>0</v>
      </c>
      <c r="S2351">
        <f t="shared" si="367"/>
        <v>0</v>
      </c>
      <c r="T2351">
        <f t="shared" si="369"/>
        <v>0</v>
      </c>
      <c r="U2351">
        <f t="shared" si="368"/>
        <v>0</v>
      </c>
    </row>
    <row r="2352" spans="1:21" x14ac:dyDescent="0.25">
      <c r="A2352">
        <v>2351</v>
      </c>
      <c r="B2352" t="s">
        <v>94</v>
      </c>
      <c r="C2352" t="s">
        <v>162</v>
      </c>
      <c r="D2352">
        <v>2.4900000000000002</v>
      </c>
      <c r="E2352" s="80">
        <v>51391.45</v>
      </c>
      <c r="F2352">
        <v>1.34</v>
      </c>
      <c r="G2352">
        <v>32.65</v>
      </c>
      <c r="H2352">
        <v>0.37</v>
      </c>
      <c r="I2352">
        <v>11.5</v>
      </c>
      <c r="J2352">
        <v>13.66</v>
      </c>
      <c r="K2352">
        <v>5.45</v>
      </c>
      <c r="L2352">
        <f t="shared" si="360"/>
        <v>0</v>
      </c>
      <c r="M2352">
        <f t="shared" si="361"/>
        <v>0</v>
      </c>
      <c r="N2352">
        <f t="shared" si="362"/>
        <v>0</v>
      </c>
      <c r="O2352">
        <f t="shared" si="363"/>
        <v>0</v>
      </c>
      <c r="P2352">
        <f t="shared" si="364"/>
        <v>0</v>
      </c>
      <c r="Q2352">
        <f t="shared" si="365"/>
        <v>0</v>
      </c>
      <c r="R2352">
        <f t="shared" si="366"/>
        <v>0</v>
      </c>
      <c r="S2352">
        <f t="shared" si="367"/>
        <v>0</v>
      </c>
      <c r="T2352">
        <f t="shared" si="369"/>
        <v>0</v>
      </c>
      <c r="U2352">
        <f t="shared" si="368"/>
        <v>0</v>
      </c>
    </row>
    <row r="2353" spans="1:21" x14ac:dyDescent="0.25">
      <c r="A2353">
        <v>2352</v>
      </c>
      <c r="B2353" t="s">
        <v>94</v>
      </c>
      <c r="C2353" t="s">
        <v>170</v>
      </c>
      <c r="D2353">
        <v>748.26</v>
      </c>
      <c r="E2353" s="89" t="s">
        <v>582</v>
      </c>
      <c r="F2353">
        <v>755.45</v>
      </c>
      <c r="G2353">
        <v>102.76</v>
      </c>
      <c r="H2353">
        <v>6244.29</v>
      </c>
      <c r="I2353" s="80">
        <v>17529.310000000001</v>
      </c>
      <c r="J2353">
        <v>63.11</v>
      </c>
      <c r="K2353">
        <v>3562.78</v>
      </c>
      <c r="L2353">
        <f t="shared" si="360"/>
        <v>0</v>
      </c>
      <c r="M2353">
        <f t="shared" si="361"/>
        <v>1</v>
      </c>
      <c r="N2353">
        <f t="shared" si="362"/>
        <v>0</v>
      </c>
      <c r="O2353">
        <f t="shared" si="363"/>
        <v>0</v>
      </c>
      <c r="P2353">
        <f t="shared" si="364"/>
        <v>0</v>
      </c>
      <c r="Q2353">
        <f t="shared" si="365"/>
        <v>0</v>
      </c>
      <c r="R2353">
        <f t="shared" si="366"/>
        <v>0</v>
      </c>
      <c r="S2353">
        <f t="shared" si="367"/>
        <v>0</v>
      </c>
      <c r="T2353">
        <f t="shared" si="369"/>
        <v>1</v>
      </c>
      <c r="U2353">
        <f t="shared" si="368"/>
        <v>1</v>
      </c>
    </row>
    <row r="2354" spans="1:21" x14ac:dyDescent="0.25">
      <c r="A2354">
        <v>2353</v>
      </c>
      <c r="B2354" t="s">
        <v>94</v>
      </c>
      <c r="C2354" t="s">
        <v>178</v>
      </c>
      <c r="D2354">
        <v>3225.71</v>
      </c>
      <c r="E2354" s="80">
        <v>103190.55</v>
      </c>
      <c r="F2354" s="80">
        <v>3713.51</v>
      </c>
      <c r="G2354">
        <v>138.22</v>
      </c>
      <c r="H2354" s="80">
        <v>266581.77</v>
      </c>
      <c r="I2354" s="80">
        <v>22874.82</v>
      </c>
      <c r="J2354">
        <v>95.81</v>
      </c>
      <c r="K2354" s="80">
        <v>9642.93</v>
      </c>
      <c r="L2354">
        <f t="shared" si="360"/>
        <v>0</v>
      </c>
      <c r="M2354">
        <f t="shared" si="361"/>
        <v>0</v>
      </c>
      <c r="N2354">
        <f t="shared" si="362"/>
        <v>0</v>
      </c>
      <c r="O2354">
        <f t="shared" si="363"/>
        <v>0</v>
      </c>
      <c r="P2354">
        <f t="shared" si="364"/>
        <v>0</v>
      </c>
      <c r="Q2354">
        <f t="shared" si="365"/>
        <v>0</v>
      </c>
      <c r="R2354">
        <f t="shared" si="366"/>
        <v>0</v>
      </c>
      <c r="S2354">
        <f t="shared" si="367"/>
        <v>0</v>
      </c>
      <c r="T2354">
        <f t="shared" si="369"/>
        <v>0</v>
      </c>
      <c r="U2354">
        <f t="shared" si="368"/>
        <v>0</v>
      </c>
    </row>
    <row r="2355" spans="1:21" x14ac:dyDescent="0.25">
      <c r="A2355">
        <v>2354</v>
      </c>
      <c r="B2355" t="s">
        <v>94</v>
      </c>
      <c r="C2355" t="s">
        <v>163</v>
      </c>
      <c r="D2355">
        <v>2697.26</v>
      </c>
      <c r="E2355" s="80">
        <v>68671.759999999995</v>
      </c>
      <c r="F2355">
        <v>1305.1199999999999</v>
      </c>
      <c r="G2355">
        <v>176.26</v>
      </c>
      <c r="H2355" s="80">
        <v>592195.57999999996</v>
      </c>
      <c r="I2355" s="80">
        <v>20888.11</v>
      </c>
      <c r="J2355">
        <v>130.93</v>
      </c>
      <c r="K2355" s="89" t="s">
        <v>582</v>
      </c>
      <c r="L2355">
        <f t="shared" si="360"/>
        <v>0</v>
      </c>
      <c r="M2355">
        <f t="shared" si="361"/>
        <v>0</v>
      </c>
      <c r="N2355">
        <f t="shared" si="362"/>
        <v>0</v>
      </c>
      <c r="O2355">
        <f t="shared" si="363"/>
        <v>0</v>
      </c>
      <c r="P2355">
        <f t="shared" si="364"/>
        <v>0</v>
      </c>
      <c r="Q2355">
        <f t="shared" si="365"/>
        <v>0</v>
      </c>
      <c r="R2355">
        <f t="shared" si="366"/>
        <v>0</v>
      </c>
      <c r="S2355">
        <f t="shared" si="367"/>
        <v>1</v>
      </c>
      <c r="T2355">
        <f t="shared" si="369"/>
        <v>1</v>
      </c>
      <c r="U2355">
        <f t="shared" si="368"/>
        <v>1</v>
      </c>
    </row>
    <row r="2356" spans="1:21" x14ac:dyDescent="0.25">
      <c r="A2356">
        <v>2355</v>
      </c>
      <c r="B2356" t="s">
        <v>94</v>
      </c>
      <c r="C2356" t="s">
        <v>181</v>
      </c>
      <c r="D2356">
        <v>5.35</v>
      </c>
      <c r="E2356" s="80">
        <v>46647.39</v>
      </c>
      <c r="F2356">
        <v>0.98</v>
      </c>
      <c r="G2356">
        <v>13.6</v>
      </c>
      <c r="H2356">
        <v>252.95</v>
      </c>
      <c r="I2356">
        <v>590.99</v>
      </c>
      <c r="J2356">
        <v>27.52</v>
      </c>
      <c r="K2356">
        <v>83.65</v>
      </c>
      <c r="L2356">
        <f t="shared" si="360"/>
        <v>0</v>
      </c>
      <c r="M2356">
        <f t="shared" si="361"/>
        <v>0</v>
      </c>
      <c r="N2356">
        <f t="shared" si="362"/>
        <v>0</v>
      </c>
      <c r="O2356">
        <f t="shared" si="363"/>
        <v>0</v>
      </c>
      <c r="P2356">
        <f t="shared" si="364"/>
        <v>0</v>
      </c>
      <c r="Q2356">
        <f t="shared" si="365"/>
        <v>0</v>
      </c>
      <c r="R2356">
        <f t="shared" si="366"/>
        <v>0</v>
      </c>
      <c r="S2356">
        <f t="shared" si="367"/>
        <v>0</v>
      </c>
      <c r="T2356">
        <f t="shared" si="369"/>
        <v>0</v>
      </c>
      <c r="U2356">
        <f t="shared" si="368"/>
        <v>0</v>
      </c>
    </row>
    <row r="2357" spans="1:21" x14ac:dyDescent="0.25">
      <c r="A2357">
        <v>2356</v>
      </c>
      <c r="B2357" t="s">
        <v>94</v>
      </c>
      <c r="C2357" t="s">
        <v>183</v>
      </c>
      <c r="D2357">
        <v>23.26</v>
      </c>
      <c r="E2357" s="80">
        <v>306783.71999999997</v>
      </c>
      <c r="F2357">
        <v>540.25</v>
      </c>
      <c r="G2357">
        <v>120.15</v>
      </c>
      <c r="H2357">
        <v>11918.34</v>
      </c>
      <c r="I2357" s="80">
        <v>20591.939999999999</v>
      </c>
      <c r="J2357">
        <v>86.47</v>
      </c>
      <c r="K2357" s="89" t="s">
        <v>582</v>
      </c>
      <c r="L2357">
        <f t="shared" si="360"/>
        <v>0</v>
      </c>
      <c r="M2357">
        <f t="shared" si="361"/>
        <v>0</v>
      </c>
      <c r="N2357">
        <f t="shared" si="362"/>
        <v>0</v>
      </c>
      <c r="O2357">
        <f t="shared" si="363"/>
        <v>0</v>
      </c>
      <c r="P2357">
        <f t="shared" si="364"/>
        <v>0</v>
      </c>
      <c r="Q2357">
        <f t="shared" si="365"/>
        <v>0</v>
      </c>
      <c r="R2357">
        <f t="shared" si="366"/>
        <v>0</v>
      </c>
      <c r="S2357">
        <f t="shared" si="367"/>
        <v>1</v>
      </c>
      <c r="T2357">
        <f t="shared" si="369"/>
        <v>1</v>
      </c>
      <c r="U2357">
        <f t="shared" si="368"/>
        <v>1</v>
      </c>
    </row>
    <row r="2358" spans="1:21" x14ac:dyDescent="0.25">
      <c r="A2358">
        <v>2357</v>
      </c>
      <c r="B2358" t="s">
        <v>94</v>
      </c>
      <c r="C2358" t="s">
        <v>186</v>
      </c>
      <c r="D2358">
        <v>24.17</v>
      </c>
      <c r="E2358" s="80">
        <v>53439.64</v>
      </c>
      <c r="F2358">
        <v>1912.78</v>
      </c>
      <c r="G2358">
        <v>126.1</v>
      </c>
      <c r="H2358" s="80">
        <v>80159</v>
      </c>
      <c r="I2358" s="80">
        <v>22403.05</v>
      </c>
      <c r="J2358">
        <v>84.62</v>
      </c>
      <c r="K2358" s="80">
        <v>14698.41</v>
      </c>
      <c r="L2358">
        <f t="shared" si="360"/>
        <v>0</v>
      </c>
      <c r="M2358">
        <f t="shared" si="361"/>
        <v>0</v>
      </c>
      <c r="N2358">
        <f t="shared" si="362"/>
        <v>0</v>
      </c>
      <c r="O2358">
        <f t="shared" si="363"/>
        <v>0</v>
      </c>
      <c r="P2358">
        <f t="shared" si="364"/>
        <v>0</v>
      </c>
      <c r="Q2358">
        <f t="shared" si="365"/>
        <v>0</v>
      </c>
      <c r="R2358">
        <f t="shared" si="366"/>
        <v>0</v>
      </c>
      <c r="S2358">
        <f t="shared" si="367"/>
        <v>0</v>
      </c>
      <c r="T2358">
        <f t="shared" si="369"/>
        <v>0</v>
      </c>
      <c r="U2358">
        <f t="shared" si="368"/>
        <v>0</v>
      </c>
    </row>
    <row r="2359" spans="1:21" x14ac:dyDescent="0.25">
      <c r="A2359">
        <v>2358</v>
      </c>
      <c r="B2359" t="s">
        <v>94</v>
      </c>
      <c r="C2359" t="s">
        <v>188</v>
      </c>
      <c r="D2359">
        <v>20.6</v>
      </c>
      <c r="E2359" s="80">
        <v>66597.279999999999</v>
      </c>
      <c r="F2359">
        <v>731.65</v>
      </c>
      <c r="G2359">
        <v>97.13</v>
      </c>
      <c r="H2359">
        <v>12479.49</v>
      </c>
      <c r="I2359" s="80">
        <v>20779.77</v>
      </c>
      <c r="J2359">
        <v>70.14</v>
      </c>
      <c r="K2359" s="80">
        <v>8349.61</v>
      </c>
      <c r="L2359">
        <f t="shared" si="360"/>
        <v>0</v>
      </c>
      <c r="M2359">
        <f t="shared" si="361"/>
        <v>0</v>
      </c>
      <c r="N2359">
        <f t="shared" si="362"/>
        <v>0</v>
      </c>
      <c r="O2359">
        <f t="shared" si="363"/>
        <v>0</v>
      </c>
      <c r="P2359">
        <f t="shared" si="364"/>
        <v>0</v>
      </c>
      <c r="Q2359">
        <f t="shared" si="365"/>
        <v>0</v>
      </c>
      <c r="R2359">
        <f t="shared" si="366"/>
        <v>0</v>
      </c>
      <c r="S2359">
        <f t="shared" si="367"/>
        <v>0</v>
      </c>
      <c r="T2359">
        <f t="shared" si="369"/>
        <v>0</v>
      </c>
      <c r="U2359">
        <f t="shared" si="368"/>
        <v>0</v>
      </c>
    </row>
    <row r="2360" spans="1:21" x14ac:dyDescent="0.25">
      <c r="A2360">
        <v>2359</v>
      </c>
      <c r="B2360" t="s">
        <v>94</v>
      </c>
      <c r="C2360" t="s">
        <v>182</v>
      </c>
      <c r="D2360" t="s">
        <v>583</v>
      </c>
      <c r="E2360">
        <v>3706.19</v>
      </c>
      <c r="F2360">
        <v>0.4</v>
      </c>
      <c r="G2360" t="s">
        <v>583</v>
      </c>
      <c r="H2360">
        <v>1.93</v>
      </c>
      <c r="I2360">
        <v>5.26</v>
      </c>
      <c r="J2360" t="s">
        <v>583</v>
      </c>
      <c r="K2360">
        <v>0.27</v>
      </c>
      <c r="L2360">
        <f t="shared" si="360"/>
        <v>0</v>
      </c>
      <c r="M2360">
        <f t="shared" si="361"/>
        <v>0</v>
      </c>
      <c r="N2360">
        <f t="shared" si="362"/>
        <v>0</v>
      </c>
      <c r="O2360">
        <f t="shared" si="363"/>
        <v>0</v>
      </c>
      <c r="P2360">
        <f t="shared" si="364"/>
        <v>0</v>
      </c>
      <c r="Q2360">
        <f t="shared" si="365"/>
        <v>0</v>
      </c>
      <c r="R2360">
        <f t="shared" si="366"/>
        <v>0</v>
      </c>
      <c r="S2360">
        <f t="shared" si="367"/>
        <v>0</v>
      </c>
      <c r="T2360">
        <f t="shared" si="369"/>
        <v>0</v>
      </c>
      <c r="U2360">
        <f t="shared" si="368"/>
        <v>0</v>
      </c>
    </row>
    <row r="2361" spans="1:21" x14ac:dyDescent="0.25">
      <c r="A2361">
        <v>2360</v>
      </c>
      <c r="B2361" t="s">
        <v>94</v>
      </c>
      <c r="C2361" t="s">
        <v>184</v>
      </c>
      <c r="D2361">
        <v>222.62</v>
      </c>
      <c r="E2361">
        <v>8486.61</v>
      </c>
      <c r="F2361">
        <v>65.260000000000005</v>
      </c>
      <c r="G2361">
        <v>28.51</v>
      </c>
      <c r="H2361" s="80">
        <v>20268.89</v>
      </c>
      <c r="I2361" s="80">
        <v>14517.71</v>
      </c>
      <c r="J2361">
        <v>27.52</v>
      </c>
      <c r="K2361">
        <v>1399.35</v>
      </c>
      <c r="L2361">
        <f t="shared" si="360"/>
        <v>0</v>
      </c>
      <c r="M2361">
        <f t="shared" si="361"/>
        <v>0</v>
      </c>
      <c r="N2361">
        <f t="shared" si="362"/>
        <v>0</v>
      </c>
      <c r="O2361">
        <f t="shared" si="363"/>
        <v>0</v>
      </c>
      <c r="P2361">
        <f t="shared" si="364"/>
        <v>0</v>
      </c>
      <c r="Q2361">
        <f t="shared" si="365"/>
        <v>0</v>
      </c>
      <c r="R2361">
        <f t="shared" si="366"/>
        <v>0</v>
      </c>
      <c r="S2361">
        <f t="shared" si="367"/>
        <v>0</v>
      </c>
      <c r="T2361">
        <f t="shared" si="369"/>
        <v>0</v>
      </c>
      <c r="U2361">
        <f t="shared" si="368"/>
        <v>0</v>
      </c>
    </row>
    <row r="2362" spans="1:21" x14ac:dyDescent="0.25">
      <c r="A2362">
        <v>2361</v>
      </c>
      <c r="B2362" t="s">
        <v>94</v>
      </c>
      <c r="C2362" t="s">
        <v>187</v>
      </c>
      <c r="D2362">
        <v>554.63</v>
      </c>
      <c r="E2362">
        <v>8222.7900000000009</v>
      </c>
      <c r="F2362">
        <v>255</v>
      </c>
      <c r="G2362">
        <v>70.27</v>
      </c>
      <c r="H2362" s="80">
        <v>50531.16</v>
      </c>
      <c r="I2362" s="80">
        <v>15887.72</v>
      </c>
      <c r="J2362">
        <v>47.87</v>
      </c>
      <c r="K2362">
        <v>4608.09</v>
      </c>
      <c r="L2362">
        <f t="shared" si="360"/>
        <v>0</v>
      </c>
      <c r="M2362">
        <f t="shared" si="361"/>
        <v>0</v>
      </c>
      <c r="N2362">
        <f t="shared" si="362"/>
        <v>0</v>
      </c>
      <c r="O2362">
        <f t="shared" si="363"/>
        <v>0</v>
      </c>
      <c r="P2362">
        <f t="shared" si="364"/>
        <v>0</v>
      </c>
      <c r="Q2362">
        <f t="shared" si="365"/>
        <v>0</v>
      </c>
      <c r="R2362">
        <f t="shared" si="366"/>
        <v>0</v>
      </c>
      <c r="S2362">
        <f t="shared" si="367"/>
        <v>0</v>
      </c>
      <c r="T2362">
        <f t="shared" si="369"/>
        <v>0</v>
      </c>
      <c r="U2362">
        <f t="shared" si="368"/>
        <v>0</v>
      </c>
    </row>
    <row r="2363" spans="1:21" x14ac:dyDescent="0.25">
      <c r="A2363">
        <v>2362</v>
      </c>
      <c r="B2363" t="s">
        <v>94</v>
      </c>
      <c r="C2363" t="s">
        <v>189</v>
      </c>
      <c r="D2363">
        <v>331.26</v>
      </c>
      <c r="E2363">
        <v>3814.03</v>
      </c>
      <c r="F2363">
        <v>5.44</v>
      </c>
      <c r="G2363">
        <v>17.05</v>
      </c>
      <c r="H2363">
        <v>11581.72</v>
      </c>
      <c r="I2363" s="80">
        <v>7576.52</v>
      </c>
      <c r="J2363">
        <v>18.98</v>
      </c>
      <c r="K2363">
        <v>3915.78</v>
      </c>
      <c r="L2363">
        <f t="shared" si="360"/>
        <v>0</v>
      </c>
      <c r="M2363">
        <f t="shared" si="361"/>
        <v>0</v>
      </c>
      <c r="N2363">
        <f t="shared" si="362"/>
        <v>0</v>
      </c>
      <c r="O2363">
        <f t="shared" si="363"/>
        <v>0</v>
      </c>
      <c r="P2363">
        <f t="shared" si="364"/>
        <v>0</v>
      </c>
      <c r="Q2363">
        <f t="shared" si="365"/>
        <v>0</v>
      </c>
      <c r="R2363">
        <f t="shared" si="366"/>
        <v>0</v>
      </c>
      <c r="S2363">
        <f t="shared" si="367"/>
        <v>0</v>
      </c>
      <c r="T2363">
        <f t="shared" si="369"/>
        <v>0</v>
      </c>
      <c r="U2363">
        <f t="shared" si="368"/>
        <v>0</v>
      </c>
    </row>
    <row r="2364" spans="1:21" x14ac:dyDescent="0.25">
      <c r="A2364">
        <v>2363</v>
      </c>
      <c r="B2364" t="s">
        <v>88</v>
      </c>
      <c r="C2364" t="s">
        <v>162</v>
      </c>
      <c r="D2364">
        <v>14.72</v>
      </c>
      <c r="E2364" s="89" t="s">
        <v>582</v>
      </c>
      <c r="F2364">
        <v>1.1599999999999999</v>
      </c>
      <c r="G2364">
        <v>36.93</v>
      </c>
      <c r="H2364">
        <v>1.68</v>
      </c>
      <c r="I2364">
        <v>11.29</v>
      </c>
      <c r="J2364">
        <v>38.200000000000003</v>
      </c>
      <c r="K2364">
        <v>12.69</v>
      </c>
      <c r="L2364">
        <f t="shared" si="360"/>
        <v>0</v>
      </c>
      <c r="M2364">
        <f t="shared" si="361"/>
        <v>1</v>
      </c>
      <c r="N2364">
        <f t="shared" si="362"/>
        <v>0</v>
      </c>
      <c r="O2364">
        <f t="shared" si="363"/>
        <v>0</v>
      </c>
      <c r="P2364">
        <f t="shared" si="364"/>
        <v>0</v>
      </c>
      <c r="Q2364">
        <f t="shared" si="365"/>
        <v>0</v>
      </c>
      <c r="R2364">
        <f t="shared" si="366"/>
        <v>0</v>
      </c>
      <c r="S2364">
        <f t="shared" si="367"/>
        <v>0</v>
      </c>
      <c r="T2364">
        <f t="shared" si="369"/>
        <v>1</v>
      </c>
      <c r="U2364">
        <f t="shared" si="368"/>
        <v>1</v>
      </c>
    </row>
    <row r="2365" spans="1:21" x14ac:dyDescent="0.25">
      <c r="A2365">
        <v>2364</v>
      </c>
      <c r="B2365" t="s">
        <v>88</v>
      </c>
      <c r="C2365" t="s">
        <v>170</v>
      </c>
      <c r="D2365">
        <v>12.37</v>
      </c>
      <c r="E2365" s="80">
        <v>198077.28</v>
      </c>
      <c r="F2365">
        <v>445.62</v>
      </c>
      <c r="G2365">
        <v>70.27</v>
      </c>
      <c r="H2365">
        <v>1929.42</v>
      </c>
      <c r="I2365" s="80">
        <v>20442.84</v>
      </c>
      <c r="J2365">
        <v>39.79</v>
      </c>
      <c r="K2365">
        <v>1005.73</v>
      </c>
      <c r="L2365">
        <f t="shared" si="360"/>
        <v>0</v>
      </c>
      <c r="M2365">
        <f t="shared" si="361"/>
        <v>0</v>
      </c>
      <c r="N2365">
        <f t="shared" si="362"/>
        <v>0</v>
      </c>
      <c r="O2365">
        <f t="shared" si="363"/>
        <v>0</v>
      </c>
      <c r="P2365">
        <f t="shared" si="364"/>
        <v>0</v>
      </c>
      <c r="Q2365">
        <f t="shared" si="365"/>
        <v>0</v>
      </c>
      <c r="R2365">
        <f t="shared" si="366"/>
        <v>0</v>
      </c>
      <c r="S2365">
        <f t="shared" si="367"/>
        <v>0</v>
      </c>
      <c r="T2365">
        <f t="shared" si="369"/>
        <v>0</v>
      </c>
      <c r="U2365">
        <f t="shared" si="368"/>
        <v>0</v>
      </c>
    </row>
    <row r="2366" spans="1:21" x14ac:dyDescent="0.25">
      <c r="A2366">
        <v>2365</v>
      </c>
      <c r="B2366" t="s">
        <v>88</v>
      </c>
      <c r="C2366" t="s">
        <v>178</v>
      </c>
      <c r="D2366">
        <v>19.73</v>
      </c>
      <c r="E2366" s="80">
        <v>394462.74</v>
      </c>
      <c r="F2366">
        <v>3333.74</v>
      </c>
      <c r="G2366">
        <v>138.22</v>
      </c>
      <c r="H2366" s="80">
        <v>37695.279999999999</v>
      </c>
      <c r="I2366" s="80">
        <v>23638.68</v>
      </c>
      <c r="J2366">
        <v>73.709999999999994</v>
      </c>
      <c r="K2366">
        <v>4151.1499999999996</v>
      </c>
      <c r="L2366">
        <f t="shared" si="360"/>
        <v>0</v>
      </c>
      <c r="M2366">
        <f t="shared" si="361"/>
        <v>0</v>
      </c>
      <c r="N2366">
        <f t="shared" si="362"/>
        <v>0</v>
      </c>
      <c r="O2366">
        <f t="shared" si="363"/>
        <v>0</v>
      </c>
      <c r="P2366">
        <f t="shared" si="364"/>
        <v>0</v>
      </c>
      <c r="Q2366">
        <f t="shared" si="365"/>
        <v>0</v>
      </c>
      <c r="R2366">
        <f t="shared" si="366"/>
        <v>0</v>
      </c>
      <c r="S2366">
        <f t="shared" si="367"/>
        <v>0</v>
      </c>
      <c r="T2366">
        <f t="shared" si="369"/>
        <v>0</v>
      </c>
      <c r="U2366">
        <f t="shared" si="368"/>
        <v>0</v>
      </c>
    </row>
    <row r="2367" spans="1:21" x14ac:dyDescent="0.25">
      <c r="A2367">
        <v>2366</v>
      </c>
      <c r="B2367" t="s">
        <v>88</v>
      </c>
      <c r="C2367" t="s">
        <v>163</v>
      </c>
      <c r="D2367">
        <v>38.71</v>
      </c>
      <c r="E2367" s="89" t="s">
        <v>582</v>
      </c>
      <c r="F2367">
        <v>2169.6999999999998</v>
      </c>
      <c r="G2367">
        <v>144.38999999999999</v>
      </c>
      <c r="H2367" s="80">
        <v>102163.57</v>
      </c>
      <c r="I2367" s="80">
        <v>24261.93</v>
      </c>
      <c r="J2367">
        <v>111.15</v>
      </c>
      <c r="K2367" s="89" t="s">
        <v>582</v>
      </c>
      <c r="L2367">
        <f t="shared" si="360"/>
        <v>0</v>
      </c>
      <c r="M2367">
        <f t="shared" si="361"/>
        <v>1</v>
      </c>
      <c r="N2367">
        <f t="shared" si="362"/>
        <v>0</v>
      </c>
      <c r="O2367">
        <f t="shared" si="363"/>
        <v>0</v>
      </c>
      <c r="P2367">
        <f t="shared" si="364"/>
        <v>0</v>
      </c>
      <c r="Q2367">
        <f t="shared" si="365"/>
        <v>0</v>
      </c>
      <c r="R2367">
        <f t="shared" si="366"/>
        <v>0</v>
      </c>
      <c r="S2367">
        <f t="shared" si="367"/>
        <v>1</v>
      </c>
      <c r="T2367">
        <f t="shared" si="369"/>
        <v>2</v>
      </c>
      <c r="U2367">
        <f t="shared" si="368"/>
        <v>1</v>
      </c>
    </row>
    <row r="2368" spans="1:21" x14ac:dyDescent="0.25">
      <c r="A2368">
        <v>2367</v>
      </c>
      <c r="B2368" t="s">
        <v>88</v>
      </c>
      <c r="C2368" t="s">
        <v>181</v>
      </c>
      <c r="D2368">
        <v>9.39</v>
      </c>
      <c r="E2368" s="89" t="s">
        <v>582</v>
      </c>
      <c r="F2368">
        <v>1.43</v>
      </c>
      <c r="G2368">
        <v>50.53</v>
      </c>
      <c r="H2368">
        <v>31.13</v>
      </c>
      <c r="I2368">
        <v>209.06</v>
      </c>
      <c r="J2368">
        <v>42.98</v>
      </c>
      <c r="K2368">
        <v>42.57</v>
      </c>
      <c r="L2368">
        <f t="shared" si="360"/>
        <v>0</v>
      </c>
      <c r="M2368">
        <f t="shared" si="361"/>
        <v>1</v>
      </c>
      <c r="N2368">
        <f t="shared" si="362"/>
        <v>0</v>
      </c>
      <c r="O2368">
        <f t="shared" si="363"/>
        <v>0</v>
      </c>
      <c r="P2368">
        <f t="shared" si="364"/>
        <v>0</v>
      </c>
      <c r="Q2368">
        <f t="shared" si="365"/>
        <v>0</v>
      </c>
      <c r="R2368">
        <f t="shared" si="366"/>
        <v>0</v>
      </c>
      <c r="S2368">
        <f t="shared" si="367"/>
        <v>0</v>
      </c>
      <c r="T2368">
        <f t="shared" si="369"/>
        <v>1</v>
      </c>
      <c r="U2368">
        <f t="shared" si="368"/>
        <v>1</v>
      </c>
    </row>
    <row r="2369" spans="1:21" x14ac:dyDescent="0.25">
      <c r="A2369">
        <v>2368</v>
      </c>
      <c r="B2369" t="s">
        <v>88</v>
      </c>
      <c r="C2369" t="s">
        <v>183</v>
      </c>
      <c r="D2369">
        <v>16.350000000000001</v>
      </c>
      <c r="E2369" s="89" t="s">
        <v>582</v>
      </c>
      <c r="F2369">
        <v>395.5</v>
      </c>
      <c r="G2369">
        <v>138.22</v>
      </c>
      <c r="H2369">
        <v>4600.8</v>
      </c>
      <c r="I2369" s="80">
        <v>24372.5</v>
      </c>
      <c r="J2369">
        <v>66.61</v>
      </c>
      <c r="K2369">
        <v>7149.48</v>
      </c>
      <c r="L2369">
        <f t="shared" si="360"/>
        <v>0</v>
      </c>
      <c r="M2369">
        <f t="shared" si="361"/>
        <v>1</v>
      </c>
      <c r="N2369">
        <f t="shared" si="362"/>
        <v>0</v>
      </c>
      <c r="O2369">
        <f t="shared" si="363"/>
        <v>0</v>
      </c>
      <c r="P2369">
        <f t="shared" si="364"/>
        <v>0</v>
      </c>
      <c r="Q2369">
        <f t="shared" si="365"/>
        <v>0</v>
      </c>
      <c r="R2369">
        <f t="shared" si="366"/>
        <v>0</v>
      </c>
      <c r="S2369">
        <f t="shared" si="367"/>
        <v>0</v>
      </c>
      <c r="T2369">
        <f t="shared" si="369"/>
        <v>1</v>
      </c>
      <c r="U2369">
        <f t="shared" si="368"/>
        <v>1</v>
      </c>
    </row>
    <row r="2370" spans="1:21" x14ac:dyDescent="0.25">
      <c r="A2370">
        <v>2369</v>
      </c>
      <c r="B2370" t="s">
        <v>88</v>
      </c>
      <c r="C2370" t="s">
        <v>186</v>
      </c>
      <c r="D2370">
        <v>25.08</v>
      </c>
      <c r="E2370" s="89" t="s">
        <v>582</v>
      </c>
      <c r="F2370">
        <v>2545.1</v>
      </c>
      <c r="G2370">
        <v>176.26</v>
      </c>
      <c r="H2370" s="80">
        <v>57171.38</v>
      </c>
      <c r="I2370" s="80">
        <v>24415.32</v>
      </c>
      <c r="J2370">
        <v>99.61</v>
      </c>
      <c r="K2370" s="80">
        <v>22647.89</v>
      </c>
      <c r="L2370">
        <f t="shared" ref="L2370:L2433" si="370">IF(D2370 = "OOR &gt;", 1,0)</f>
        <v>0</v>
      </c>
      <c r="M2370">
        <f t="shared" ref="M2370:M2433" si="371">IF(E2370 = "OOR &gt;", 1,0)</f>
        <v>1</v>
      </c>
      <c r="N2370">
        <f t="shared" ref="N2370:N2433" si="372">IF(F2370 = "OOR &gt;", 1,0)</f>
        <v>0</v>
      </c>
      <c r="O2370">
        <f t="shared" ref="O2370:O2433" si="373">IF(G2370 = "OOR &gt;", 1,0)</f>
        <v>0</v>
      </c>
      <c r="P2370">
        <f t="shared" ref="P2370:P2433" si="374">IF(H2370 = "OOR &gt;", 1,0)</f>
        <v>0</v>
      </c>
      <c r="Q2370">
        <f t="shared" ref="Q2370:Q2433" si="375">IF(I2370 = "OOR &gt;", 1,0)</f>
        <v>0</v>
      </c>
      <c r="R2370">
        <f t="shared" ref="R2370:R2433" si="376">IF(J2370 = "OOR &gt;", 1,0)</f>
        <v>0</v>
      </c>
      <c r="S2370">
        <f t="shared" ref="S2370:S2433" si="377">IF(K2370 = "OOR &gt;", 1,0)</f>
        <v>0</v>
      </c>
      <c r="T2370">
        <f t="shared" si="369"/>
        <v>1</v>
      </c>
      <c r="U2370">
        <f t="shared" ref="U2370:U2433" si="378">IF(T2370 &gt; 0,1,0)</f>
        <v>1</v>
      </c>
    </row>
    <row r="2371" spans="1:21" x14ac:dyDescent="0.25">
      <c r="A2371">
        <v>2370</v>
      </c>
      <c r="B2371" t="s">
        <v>88</v>
      </c>
      <c r="C2371" t="s">
        <v>188</v>
      </c>
      <c r="D2371">
        <v>28.82</v>
      </c>
      <c r="E2371" s="89" t="s">
        <v>582</v>
      </c>
      <c r="F2371">
        <v>584.24</v>
      </c>
      <c r="G2371">
        <v>126.1</v>
      </c>
      <c r="H2371">
        <v>9345.93</v>
      </c>
      <c r="I2371" s="80">
        <v>23297.14</v>
      </c>
      <c r="J2371">
        <v>99.61</v>
      </c>
      <c r="K2371" t="s">
        <v>582</v>
      </c>
      <c r="L2371">
        <f t="shared" si="370"/>
        <v>0</v>
      </c>
      <c r="M2371">
        <f t="shared" si="371"/>
        <v>1</v>
      </c>
      <c r="N2371">
        <f t="shared" si="372"/>
        <v>0</v>
      </c>
      <c r="O2371">
        <f t="shared" si="373"/>
        <v>0</v>
      </c>
      <c r="P2371">
        <f t="shared" si="374"/>
        <v>0</v>
      </c>
      <c r="Q2371">
        <f t="shared" si="375"/>
        <v>0</v>
      </c>
      <c r="R2371">
        <f t="shared" si="376"/>
        <v>0</v>
      </c>
      <c r="S2371">
        <f t="shared" si="377"/>
        <v>1</v>
      </c>
      <c r="T2371">
        <f t="shared" ref="T2371:T2434" si="379">SUMIF(L2371:S2371,"&gt;0")</f>
        <v>2</v>
      </c>
      <c r="U2371">
        <f t="shared" si="378"/>
        <v>1</v>
      </c>
    </row>
    <row r="2372" spans="1:21" x14ac:dyDescent="0.25">
      <c r="A2372">
        <v>2371</v>
      </c>
      <c r="B2372" t="s">
        <v>88</v>
      </c>
      <c r="C2372" t="s">
        <v>182</v>
      </c>
      <c r="D2372" t="s">
        <v>583</v>
      </c>
      <c r="E2372">
        <v>349.86</v>
      </c>
      <c r="F2372">
        <v>0.18</v>
      </c>
      <c r="G2372" t="s">
        <v>583</v>
      </c>
      <c r="H2372" t="s">
        <v>583</v>
      </c>
      <c r="I2372">
        <v>0.32</v>
      </c>
      <c r="J2372" t="s">
        <v>583</v>
      </c>
      <c r="K2372" s="80">
        <v>0.03</v>
      </c>
      <c r="L2372">
        <f t="shared" si="370"/>
        <v>0</v>
      </c>
      <c r="M2372">
        <f t="shared" si="371"/>
        <v>0</v>
      </c>
      <c r="N2372">
        <f t="shared" si="372"/>
        <v>0</v>
      </c>
      <c r="O2372">
        <f t="shared" si="373"/>
        <v>0</v>
      </c>
      <c r="P2372">
        <f t="shared" si="374"/>
        <v>0</v>
      </c>
      <c r="Q2372">
        <f t="shared" si="375"/>
        <v>0</v>
      </c>
      <c r="R2372">
        <f t="shared" si="376"/>
        <v>0</v>
      </c>
      <c r="S2372">
        <f t="shared" si="377"/>
        <v>0</v>
      </c>
      <c r="T2372">
        <f t="shared" si="379"/>
        <v>0</v>
      </c>
      <c r="U2372">
        <f t="shared" si="378"/>
        <v>0</v>
      </c>
    </row>
    <row r="2373" spans="1:21" x14ac:dyDescent="0.25">
      <c r="A2373">
        <v>2372</v>
      </c>
      <c r="B2373" t="s">
        <v>88</v>
      </c>
      <c r="C2373" t="s">
        <v>184</v>
      </c>
      <c r="D2373">
        <v>1.98</v>
      </c>
      <c r="E2373">
        <v>3221.79</v>
      </c>
      <c r="F2373">
        <v>129.54</v>
      </c>
      <c r="G2373">
        <v>10.36</v>
      </c>
      <c r="H2373">
        <v>6409.46</v>
      </c>
      <c r="I2373" s="80">
        <v>12418.11</v>
      </c>
      <c r="J2373">
        <v>13.66</v>
      </c>
      <c r="K2373">
        <v>553.29</v>
      </c>
      <c r="L2373">
        <f t="shared" si="370"/>
        <v>0</v>
      </c>
      <c r="M2373">
        <f t="shared" si="371"/>
        <v>0</v>
      </c>
      <c r="N2373">
        <f t="shared" si="372"/>
        <v>0</v>
      </c>
      <c r="O2373">
        <f t="shared" si="373"/>
        <v>0</v>
      </c>
      <c r="P2373">
        <f t="shared" si="374"/>
        <v>0</v>
      </c>
      <c r="Q2373">
        <f t="shared" si="375"/>
        <v>0</v>
      </c>
      <c r="R2373">
        <f t="shared" si="376"/>
        <v>0</v>
      </c>
      <c r="S2373">
        <f t="shared" si="377"/>
        <v>0</v>
      </c>
      <c r="T2373">
        <f t="shared" si="379"/>
        <v>0</v>
      </c>
      <c r="U2373">
        <f t="shared" si="378"/>
        <v>0</v>
      </c>
    </row>
    <row r="2374" spans="1:21" x14ac:dyDescent="0.25">
      <c r="A2374">
        <v>2373</v>
      </c>
      <c r="B2374" t="s">
        <v>88</v>
      </c>
      <c r="C2374" t="s">
        <v>187</v>
      </c>
      <c r="D2374">
        <v>7.3</v>
      </c>
      <c r="E2374">
        <v>8120.83</v>
      </c>
      <c r="F2374">
        <v>705.87</v>
      </c>
      <c r="G2374">
        <v>41.34</v>
      </c>
      <c r="H2374" s="80">
        <v>16229.59</v>
      </c>
      <c r="I2374" s="80">
        <v>17402.18</v>
      </c>
      <c r="J2374">
        <v>36.64</v>
      </c>
      <c r="K2374">
        <v>2332.0100000000002</v>
      </c>
      <c r="L2374">
        <f t="shared" si="370"/>
        <v>0</v>
      </c>
      <c r="M2374">
        <f t="shared" si="371"/>
        <v>0</v>
      </c>
      <c r="N2374">
        <f t="shared" si="372"/>
        <v>0</v>
      </c>
      <c r="O2374">
        <f t="shared" si="373"/>
        <v>0</v>
      </c>
      <c r="P2374">
        <f t="shared" si="374"/>
        <v>0</v>
      </c>
      <c r="Q2374">
        <f t="shared" si="375"/>
        <v>0</v>
      </c>
      <c r="R2374">
        <f t="shared" si="376"/>
        <v>0</v>
      </c>
      <c r="S2374">
        <f t="shared" si="377"/>
        <v>0</v>
      </c>
      <c r="T2374">
        <f t="shared" si="379"/>
        <v>0</v>
      </c>
      <c r="U2374">
        <f t="shared" si="378"/>
        <v>0</v>
      </c>
    </row>
    <row r="2375" spans="1:21" x14ac:dyDescent="0.25">
      <c r="A2375">
        <v>2374</v>
      </c>
      <c r="B2375" t="s">
        <v>88</v>
      </c>
      <c r="C2375" t="s">
        <v>189</v>
      </c>
      <c r="D2375">
        <v>4.74</v>
      </c>
      <c r="E2375">
        <v>4190.16</v>
      </c>
      <c r="F2375">
        <v>56.04</v>
      </c>
      <c r="G2375">
        <v>32.65</v>
      </c>
      <c r="H2375">
        <v>15216.31</v>
      </c>
      <c r="I2375" s="80">
        <v>11246.65</v>
      </c>
      <c r="J2375">
        <v>30.5</v>
      </c>
      <c r="K2375">
        <v>7069.86</v>
      </c>
      <c r="L2375">
        <f t="shared" si="370"/>
        <v>0</v>
      </c>
      <c r="M2375">
        <f t="shared" si="371"/>
        <v>0</v>
      </c>
      <c r="N2375">
        <f t="shared" si="372"/>
        <v>0</v>
      </c>
      <c r="O2375">
        <f t="shared" si="373"/>
        <v>0</v>
      </c>
      <c r="P2375">
        <f t="shared" si="374"/>
        <v>0</v>
      </c>
      <c r="Q2375">
        <f t="shared" si="375"/>
        <v>0</v>
      </c>
      <c r="R2375">
        <f t="shared" si="376"/>
        <v>0</v>
      </c>
      <c r="S2375">
        <f t="shared" si="377"/>
        <v>0</v>
      </c>
      <c r="T2375">
        <f t="shared" si="379"/>
        <v>0</v>
      </c>
      <c r="U2375">
        <f t="shared" si="378"/>
        <v>0</v>
      </c>
    </row>
    <row r="2376" spans="1:21" x14ac:dyDescent="0.25">
      <c r="A2376">
        <v>2375</v>
      </c>
      <c r="B2376" t="s">
        <v>95</v>
      </c>
      <c r="C2376" t="s">
        <v>162</v>
      </c>
      <c r="D2376">
        <v>5.98</v>
      </c>
      <c r="E2376" s="80">
        <v>165021.01</v>
      </c>
      <c r="F2376">
        <v>1.2</v>
      </c>
      <c r="G2376">
        <v>32.65</v>
      </c>
      <c r="H2376">
        <v>1.21</v>
      </c>
      <c r="I2376">
        <v>11.5</v>
      </c>
      <c r="J2376">
        <v>16.28</v>
      </c>
      <c r="K2376">
        <v>7.92</v>
      </c>
      <c r="L2376">
        <f t="shared" si="370"/>
        <v>0</v>
      </c>
      <c r="M2376">
        <f t="shared" si="371"/>
        <v>0</v>
      </c>
      <c r="N2376">
        <f t="shared" si="372"/>
        <v>0</v>
      </c>
      <c r="O2376">
        <f t="shared" si="373"/>
        <v>0</v>
      </c>
      <c r="P2376">
        <f t="shared" si="374"/>
        <v>0</v>
      </c>
      <c r="Q2376">
        <f t="shared" si="375"/>
        <v>0</v>
      </c>
      <c r="R2376">
        <f t="shared" si="376"/>
        <v>0</v>
      </c>
      <c r="S2376">
        <f t="shared" si="377"/>
        <v>0</v>
      </c>
      <c r="T2376">
        <f t="shared" si="379"/>
        <v>0</v>
      </c>
      <c r="U2376">
        <f t="shared" si="378"/>
        <v>0</v>
      </c>
    </row>
    <row r="2377" spans="1:21" x14ac:dyDescent="0.25">
      <c r="A2377">
        <v>2376</v>
      </c>
      <c r="B2377" t="s">
        <v>95</v>
      </c>
      <c r="C2377" t="s">
        <v>170</v>
      </c>
      <c r="D2377">
        <v>7.98</v>
      </c>
      <c r="E2377">
        <v>24349.01</v>
      </c>
      <c r="F2377">
        <v>179.37</v>
      </c>
      <c r="G2377">
        <v>60.19</v>
      </c>
      <c r="H2377">
        <v>1217.56</v>
      </c>
      <c r="I2377" s="80">
        <v>11600.91</v>
      </c>
      <c r="J2377">
        <v>24.6</v>
      </c>
      <c r="K2377">
        <v>408.38</v>
      </c>
      <c r="L2377">
        <f t="shared" si="370"/>
        <v>0</v>
      </c>
      <c r="M2377">
        <f t="shared" si="371"/>
        <v>0</v>
      </c>
      <c r="N2377">
        <f t="shared" si="372"/>
        <v>0</v>
      </c>
      <c r="O2377">
        <f t="shared" si="373"/>
        <v>0</v>
      </c>
      <c r="P2377">
        <f t="shared" si="374"/>
        <v>0</v>
      </c>
      <c r="Q2377">
        <f t="shared" si="375"/>
        <v>0</v>
      </c>
      <c r="R2377">
        <f t="shared" si="376"/>
        <v>0</v>
      </c>
      <c r="S2377">
        <f t="shared" si="377"/>
        <v>0</v>
      </c>
      <c r="T2377">
        <f t="shared" si="379"/>
        <v>0</v>
      </c>
      <c r="U2377">
        <f t="shared" si="378"/>
        <v>0</v>
      </c>
    </row>
    <row r="2378" spans="1:21" x14ac:dyDescent="0.25">
      <c r="A2378">
        <v>2377</v>
      </c>
      <c r="B2378" t="s">
        <v>95</v>
      </c>
      <c r="C2378" t="s">
        <v>178</v>
      </c>
      <c r="D2378">
        <v>21.48</v>
      </c>
      <c r="E2378">
        <v>19835.53</v>
      </c>
      <c r="F2378">
        <v>1153.79</v>
      </c>
      <c r="G2378">
        <v>32.65</v>
      </c>
      <c r="H2378">
        <v>8806.59</v>
      </c>
      <c r="I2378" s="80">
        <v>17039.11</v>
      </c>
      <c r="J2378">
        <v>33.54</v>
      </c>
      <c r="K2378">
        <v>1167.93</v>
      </c>
      <c r="L2378">
        <f t="shared" si="370"/>
        <v>0</v>
      </c>
      <c r="M2378">
        <f t="shared" si="371"/>
        <v>0</v>
      </c>
      <c r="N2378">
        <f t="shared" si="372"/>
        <v>0</v>
      </c>
      <c r="O2378">
        <f t="shared" si="373"/>
        <v>0</v>
      </c>
      <c r="P2378">
        <f t="shared" si="374"/>
        <v>0</v>
      </c>
      <c r="Q2378">
        <f t="shared" si="375"/>
        <v>0</v>
      </c>
      <c r="R2378">
        <f t="shared" si="376"/>
        <v>0</v>
      </c>
      <c r="S2378">
        <f t="shared" si="377"/>
        <v>0</v>
      </c>
      <c r="T2378">
        <f t="shared" si="379"/>
        <v>0</v>
      </c>
      <c r="U2378">
        <f t="shared" si="378"/>
        <v>0</v>
      </c>
    </row>
    <row r="2379" spans="1:21" x14ac:dyDescent="0.25">
      <c r="A2379">
        <v>2378</v>
      </c>
      <c r="B2379" t="s">
        <v>95</v>
      </c>
      <c r="C2379" t="s">
        <v>163</v>
      </c>
      <c r="D2379">
        <v>38.71</v>
      </c>
      <c r="E2379" s="80">
        <v>30302.9</v>
      </c>
      <c r="F2379">
        <v>1512.34</v>
      </c>
      <c r="G2379">
        <v>55.31</v>
      </c>
      <c r="H2379">
        <v>8879.42</v>
      </c>
      <c r="I2379" s="80">
        <v>18090.73</v>
      </c>
      <c r="J2379">
        <v>33.54</v>
      </c>
      <c r="K2379" s="80">
        <v>8490.33</v>
      </c>
      <c r="L2379">
        <f t="shared" si="370"/>
        <v>0</v>
      </c>
      <c r="M2379">
        <f t="shared" si="371"/>
        <v>0</v>
      </c>
      <c r="N2379">
        <f t="shared" si="372"/>
        <v>0</v>
      </c>
      <c r="O2379">
        <f t="shared" si="373"/>
        <v>0</v>
      </c>
      <c r="P2379">
        <f t="shared" si="374"/>
        <v>0</v>
      </c>
      <c r="Q2379">
        <f t="shared" si="375"/>
        <v>0</v>
      </c>
      <c r="R2379">
        <f t="shared" si="376"/>
        <v>0</v>
      </c>
      <c r="S2379">
        <f t="shared" si="377"/>
        <v>0</v>
      </c>
      <c r="T2379">
        <f t="shared" si="379"/>
        <v>0</v>
      </c>
      <c r="U2379">
        <f t="shared" si="378"/>
        <v>0</v>
      </c>
    </row>
    <row r="2380" spans="1:21" x14ac:dyDescent="0.25">
      <c r="A2380">
        <v>2379</v>
      </c>
      <c r="B2380" t="s">
        <v>95</v>
      </c>
      <c r="C2380" t="s">
        <v>181</v>
      </c>
      <c r="D2380">
        <v>14.72</v>
      </c>
      <c r="E2380" s="89" t="s">
        <v>582</v>
      </c>
      <c r="F2380">
        <v>1.75</v>
      </c>
      <c r="G2380">
        <v>60.19</v>
      </c>
      <c r="H2380">
        <v>88.24</v>
      </c>
      <c r="I2380">
        <v>1173.6300000000001</v>
      </c>
      <c r="J2380">
        <v>47.87</v>
      </c>
      <c r="K2380">
        <v>273.08</v>
      </c>
      <c r="L2380">
        <f t="shared" si="370"/>
        <v>0</v>
      </c>
      <c r="M2380">
        <f t="shared" si="371"/>
        <v>1</v>
      </c>
      <c r="N2380">
        <f t="shared" si="372"/>
        <v>0</v>
      </c>
      <c r="O2380">
        <f t="shared" si="373"/>
        <v>0</v>
      </c>
      <c r="P2380">
        <f t="shared" si="374"/>
        <v>0</v>
      </c>
      <c r="Q2380">
        <f t="shared" si="375"/>
        <v>0</v>
      </c>
      <c r="R2380">
        <f t="shared" si="376"/>
        <v>0</v>
      </c>
      <c r="S2380">
        <f t="shared" si="377"/>
        <v>0</v>
      </c>
      <c r="T2380">
        <f t="shared" si="379"/>
        <v>1</v>
      </c>
      <c r="U2380">
        <f t="shared" si="378"/>
        <v>1</v>
      </c>
    </row>
    <row r="2381" spans="1:21" x14ac:dyDescent="0.25">
      <c r="A2381">
        <v>2380</v>
      </c>
      <c r="B2381" t="s">
        <v>95</v>
      </c>
      <c r="C2381" t="s">
        <v>183</v>
      </c>
      <c r="D2381">
        <v>25.08</v>
      </c>
      <c r="E2381" s="89" t="s">
        <v>582</v>
      </c>
      <c r="F2381">
        <v>1331.83</v>
      </c>
      <c r="G2381">
        <v>126.1</v>
      </c>
      <c r="H2381" s="80">
        <v>23888.01</v>
      </c>
      <c r="I2381" s="80">
        <v>24118.51</v>
      </c>
      <c r="J2381">
        <v>86.47</v>
      </c>
      <c r="K2381" s="80">
        <v>8588.48</v>
      </c>
      <c r="L2381">
        <f t="shared" si="370"/>
        <v>0</v>
      </c>
      <c r="M2381">
        <f t="shared" si="371"/>
        <v>1</v>
      </c>
      <c r="N2381">
        <f t="shared" si="372"/>
        <v>0</v>
      </c>
      <c r="O2381">
        <f t="shared" si="373"/>
        <v>0</v>
      </c>
      <c r="P2381">
        <f t="shared" si="374"/>
        <v>0</v>
      </c>
      <c r="Q2381">
        <f t="shared" si="375"/>
        <v>0</v>
      </c>
      <c r="R2381">
        <f t="shared" si="376"/>
        <v>0</v>
      </c>
      <c r="S2381">
        <f t="shared" si="377"/>
        <v>0</v>
      </c>
      <c r="T2381">
        <f t="shared" si="379"/>
        <v>1</v>
      </c>
      <c r="U2381">
        <f t="shared" si="378"/>
        <v>1</v>
      </c>
    </row>
    <row r="2382" spans="1:21" x14ac:dyDescent="0.25">
      <c r="A2382">
        <v>2381</v>
      </c>
      <c r="B2382" t="s">
        <v>95</v>
      </c>
      <c r="C2382" t="s">
        <v>186</v>
      </c>
      <c r="D2382">
        <v>41.81</v>
      </c>
      <c r="E2382" s="89" t="s">
        <v>582</v>
      </c>
      <c r="F2382">
        <v>2841.01</v>
      </c>
      <c r="G2382">
        <v>163.31</v>
      </c>
      <c r="H2382" s="80">
        <v>86445.36</v>
      </c>
      <c r="I2382" s="80">
        <v>23772.37</v>
      </c>
      <c r="J2382">
        <v>111.15</v>
      </c>
      <c r="K2382" s="80">
        <v>40646.910000000003</v>
      </c>
      <c r="L2382">
        <f t="shared" si="370"/>
        <v>0</v>
      </c>
      <c r="M2382">
        <f t="shared" si="371"/>
        <v>1</v>
      </c>
      <c r="N2382">
        <f t="shared" si="372"/>
        <v>0</v>
      </c>
      <c r="O2382">
        <f t="shared" si="373"/>
        <v>0</v>
      </c>
      <c r="P2382">
        <f t="shared" si="374"/>
        <v>0</v>
      </c>
      <c r="Q2382">
        <f t="shared" si="375"/>
        <v>0</v>
      </c>
      <c r="R2382">
        <f t="shared" si="376"/>
        <v>0</v>
      </c>
      <c r="S2382">
        <f t="shared" si="377"/>
        <v>0</v>
      </c>
      <c r="T2382">
        <f t="shared" si="379"/>
        <v>1</v>
      </c>
      <c r="U2382">
        <f t="shared" si="378"/>
        <v>1</v>
      </c>
    </row>
    <row r="2383" spans="1:21" x14ac:dyDescent="0.25">
      <c r="A2383">
        <v>2382</v>
      </c>
      <c r="B2383" t="s">
        <v>95</v>
      </c>
      <c r="C2383" t="s">
        <v>188</v>
      </c>
      <c r="D2383">
        <v>32.69</v>
      </c>
      <c r="E2383" s="89" t="s">
        <v>582</v>
      </c>
      <c r="F2383">
        <v>2863.76</v>
      </c>
      <c r="G2383">
        <v>138.22</v>
      </c>
      <c r="H2383" s="80">
        <v>116769.01</v>
      </c>
      <c r="I2383" s="80">
        <v>23220.75</v>
      </c>
      <c r="J2383">
        <v>101.51</v>
      </c>
      <c r="K2383" s="80">
        <v>33267.58</v>
      </c>
      <c r="L2383">
        <f t="shared" si="370"/>
        <v>0</v>
      </c>
      <c r="M2383">
        <f t="shared" si="371"/>
        <v>1</v>
      </c>
      <c r="N2383">
        <f t="shared" si="372"/>
        <v>0</v>
      </c>
      <c r="O2383">
        <f t="shared" si="373"/>
        <v>0</v>
      </c>
      <c r="P2383">
        <f t="shared" si="374"/>
        <v>0</v>
      </c>
      <c r="Q2383">
        <f t="shared" si="375"/>
        <v>0</v>
      </c>
      <c r="R2383">
        <f t="shared" si="376"/>
        <v>0</v>
      </c>
      <c r="S2383">
        <f t="shared" si="377"/>
        <v>0</v>
      </c>
      <c r="T2383">
        <f t="shared" si="379"/>
        <v>1</v>
      </c>
      <c r="U2383">
        <f t="shared" si="378"/>
        <v>1</v>
      </c>
    </row>
    <row r="2384" spans="1:21" x14ac:dyDescent="0.25">
      <c r="A2384">
        <v>2383</v>
      </c>
      <c r="B2384" t="s">
        <v>95</v>
      </c>
      <c r="C2384" t="s">
        <v>182</v>
      </c>
      <c r="D2384" t="s">
        <v>583</v>
      </c>
      <c r="E2384">
        <v>604.08000000000004</v>
      </c>
      <c r="F2384">
        <v>0.28999999999999998</v>
      </c>
      <c r="G2384" t="s">
        <v>583</v>
      </c>
      <c r="H2384" t="s">
        <v>583</v>
      </c>
      <c r="I2384">
        <v>0.09</v>
      </c>
      <c r="J2384" t="s">
        <v>583</v>
      </c>
      <c r="K2384" s="80">
        <v>0.03</v>
      </c>
      <c r="L2384">
        <f t="shared" si="370"/>
        <v>0</v>
      </c>
      <c r="M2384">
        <f t="shared" si="371"/>
        <v>0</v>
      </c>
      <c r="N2384">
        <f t="shared" si="372"/>
        <v>0</v>
      </c>
      <c r="O2384">
        <f t="shared" si="373"/>
        <v>0</v>
      </c>
      <c r="P2384">
        <f t="shared" si="374"/>
        <v>0</v>
      </c>
      <c r="Q2384">
        <f t="shared" si="375"/>
        <v>0</v>
      </c>
      <c r="R2384">
        <f t="shared" si="376"/>
        <v>0</v>
      </c>
      <c r="S2384">
        <f t="shared" si="377"/>
        <v>0</v>
      </c>
      <c r="T2384">
        <f t="shared" si="379"/>
        <v>0</v>
      </c>
      <c r="U2384">
        <f t="shared" si="378"/>
        <v>0</v>
      </c>
    </row>
    <row r="2385" spans="1:21" x14ac:dyDescent="0.25">
      <c r="A2385">
        <v>2384</v>
      </c>
      <c r="B2385" t="s">
        <v>95</v>
      </c>
      <c r="C2385" t="s">
        <v>184</v>
      </c>
      <c r="D2385">
        <v>3.57</v>
      </c>
      <c r="E2385">
        <v>7621.48</v>
      </c>
      <c r="F2385">
        <v>115.48</v>
      </c>
      <c r="G2385">
        <v>32.65</v>
      </c>
      <c r="H2385" s="80">
        <v>21428.73</v>
      </c>
      <c r="I2385" s="80">
        <v>18453.330000000002</v>
      </c>
      <c r="J2385">
        <v>18.98</v>
      </c>
      <c r="K2385">
        <v>2.11</v>
      </c>
      <c r="L2385">
        <f t="shared" si="370"/>
        <v>0</v>
      </c>
      <c r="M2385">
        <f t="shared" si="371"/>
        <v>0</v>
      </c>
      <c r="N2385">
        <f t="shared" si="372"/>
        <v>0</v>
      </c>
      <c r="O2385">
        <f t="shared" si="373"/>
        <v>0</v>
      </c>
      <c r="P2385">
        <f t="shared" si="374"/>
        <v>0</v>
      </c>
      <c r="Q2385">
        <f t="shared" si="375"/>
        <v>0</v>
      </c>
      <c r="R2385">
        <f t="shared" si="376"/>
        <v>0</v>
      </c>
      <c r="S2385">
        <f t="shared" si="377"/>
        <v>0</v>
      </c>
      <c r="T2385">
        <f t="shared" si="379"/>
        <v>0</v>
      </c>
      <c r="U2385">
        <f t="shared" si="378"/>
        <v>0</v>
      </c>
    </row>
    <row r="2386" spans="1:21" x14ac:dyDescent="0.25">
      <c r="A2386">
        <v>2385</v>
      </c>
      <c r="B2386" t="s">
        <v>95</v>
      </c>
      <c r="C2386" t="s">
        <v>187</v>
      </c>
      <c r="D2386">
        <v>20.09</v>
      </c>
      <c r="E2386">
        <v>8714.02</v>
      </c>
      <c r="F2386">
        <v>372.81</v>
      </c>
      <c r="G2386">
        <v>41.34</v>
      </c>
      <c r="H2386" s="80">
        <v>27748.82</v>
      </c>
      <c r="I2386" s="80">
        <v>16534.41</v>
      </c>
      <c r="J2386">
        <v>26.06</v>
      </c>
      <c r="K2386">
        <v>6.1</v>
      </c>
      <c r="L2386">
        <f t="shared" si="370"/>
        <v>0</v>
      </c>
      <c r="M2386">
        <f t="shared" si="371"/>
        <v>0</v>
      </c>
      <c r="N2386">
        <f t="shared" si="372"/>
        <v>0</v>
      </c>
      <c r="O2386">
        <f t="shared" si="373"/>
        <v>0</v>
      </c>
      <c r="P2386">
        <f t="shared" si="374"/>
        <v>0</v>
      </c>
      <c r="Q2386">
        <f t="shared" si="375"/>
        <v>0</v>
      </c>
      <c r="R2386">
        <f t="shared" si="376"/>
        <v>0</v>
      </c>
      <c r="S2386">
        <f t="shared" si="377"/>
        <v>0</v>
      </c>
      <c r="T2386">
        <f t="shared" si="379"/>
        <v>0</v>
      </c>
      <c r="U2386">
        <f t="shared" si="378"/>
        <v>0</v>
      </c>
    </row>
    <row r="2387" spans="1:21" x14ac:dyDescent="0.25">
      <c r="A2387">
        <v>2386</v>
      </c>
      <c r="B2387" t="s">
        <v>95</v>
      </c>
      <c r="C2387" t="s">
        <v>189</v>
      </c>
      <c r="D2387">
        <v>23.53</v>
      </c>
      <c r="E2387">
        <v>4341.0200000000004</v>
      </c>
      <c r="F2387">
        <v>28.32</v>
      </c>
      <c r="G2387">
        <v>20.7</v>
      </c>
      <c r="H2387" s="80">
        <v>26863.599999999999</v>
      </c>
      <c r="I2387" s="80">
        <v>10084.950000000001</v>
      </c>
      <c r="J2387">
        <v>17.62</v>
      </c>
      <c r="K2387">
        <v>6.1</v>
      </c>
      <c r="L2387">
        <f t="shared" si="370"/>
        <v>0</v>
      </c>
      <c r="M2387">
        <f t="shared" si="371"/>
        <v>0</v>
      </c>
      <c r="N2387">
        <f t="shared" si="372"/>
        <v>0</v>
      </c>
      <c r="O2387">
        <f t="shared" si="373"/>
        <v>0</v>
      </c>
      <c r="P2387">
        <f t="shared" si="374"/>
        <v>0</v>
      </c>
      <c r="Q2387">
        <f t="shared" si="375"/>
        <v>0</v>
      </c>
      <c r="R2387">
        <f t="shared" si="376"/>
        <v>0</v>
      </c>
      <c r="S2387">
        <f t="shared" si="377"/>
        <v>0</v>
      </c>
      <c r="T2387">
        <f t="shared" si="379"/>
        <v>0</v>
      </c>
      <c r="U2387">
        <f t="shared" si="378"/>
        <v>0</v>
      </c>
    </row>
    <row r="2388" spans="1:21" x14ac:dyDescent="0.25">
      <c r="A2388">
        <v>2387</v>
      </c>
      <c r="B2388" t="s">
        <v>89</v>
      </c>
      <c r="C2388" t="s">
        <v>162</v>
      </c>
      <c r="D2388">
        <v>12.16</v>
      </c>
      <c r="E2388" s="89" t="s">
        <v>582</v>
      </c>
      <c r="F2388">
        <v>1.56</v>
      </c>
      <c r="G2388">
        <v>91.58</v>
      </c>
      <c r="H2388">
        <v>2.1800000000000002</v>
      </c>
      <c r="I2388">
        <v>8.61</v>
      </c>
      <c r="J2388">
        <v>27.52</v>
      </c>
      <c r="K2388">
        <v>6.66</v>
      </c>
      <c r="L2388">
        <f t="shared" si="370"/>
        <v>0</v>
      </c>
      <c r="M2388">
        <f t="shared" si="371"/>
        <v>1</v>
      </c>
      <c r="N2388">
        <f t="shared" si="372"/>
        <v>0</v>
      </c>
      <c r="O2388">
        <f t="shared" si="373"/>
        <v>0</v>
      </c>
      <c r="P2388">
        <f t="shared" si="374"/>
        <v>0</v>
      </c>
      <c r="Q2388">
        <f t="shared" si="375"/>
        <v>0</v>
      </c>
      <c r="R2388">
        <f t="shared" si="376"/>
        <v>0</v>
      </c>
      <c r="S2388">
        <f t="shared" si="377"/>
        <v>0</v>
      </c>
      <c r="T2388">
        <f t="shared" si="379"/>
        <v>1</v>
      </c>
      <c r="U2388">
        <f t="shared" si="378"/>
        <v>1</v>
      </c>
    </row>
    <row r="2389" spans="1:21" x14ac:dyDescent="0.25">
      <c r="A2389">
        <v>2388</v>
      </c>
      <c r="B2389" t="s">
        <v>89</v>
      </c>
      <c r="C2389" t="s">
        <v>170</v>
      </c>
      <c r="D2389">
        <v>13.66</v>
      </c>
      <c r="E2389" s="80">
        <v>89359.43</v>
      </c>
      <c r="F2389">
        <v>467.7</v>
      </c>
      <c r="G2389">
        <v>97.13</v>
      </c>
      <c r="H2389">
        <v>999.49</v>
      </c>
      <c r="I2389" s="80">
        <v>13836.1</v>
      </c>
      <c r="J2389">
        <v>41.38</v>
      </c>
      <c r="K2389">
        <v>818.4</v>
      </c>
      <c r="L2389">
        <f t="shared" si="370"/>
        <v>0</v>
      </c>
      <c r="M2389">
        <f t="shared" si="371"/>
        <v>0</v>
      </c>
      <c r="N2389">
        <f t="shared" si="372"/>
        <v>0</v>
      </c>
      <c r="O2389">
        <f t="shared" si="373"/>
        <v>0</v>
      </c>
      <c r="P2389">
        <f t="shared" si="374"/>
        <v>0</v>
      </c>
      <c r="Q2389">
        <f t="shared" si="375"/>
        <v>0</v>
      </c>
      <c r="R2389">
        <f t="shared" si="376"/>
        <v>0</v>
      </c>
      <c r="S2389">
        <f t="shared" si="377"/>
        <v>0</v>
      </c>
      <c r="T2389">
        <f t="shared" si="379"/>
        <v>0</v>
      </c>
      <c r="U2389">
        <f t="shared" si="378"/>
        <v>0</v>
      </c>
    </row>
    <row r="2390" spans="1:21" x14ac:dyDescent="0.25">
      <c r="A2390">
        <v>2389</v>
      </c>
      <c r="B2390" t="s">
        <v>89</v>
      </c>
      <c r="C2390" t="s">
        <v>178</v>
      </c>
      <c r="D2390">
        <v>183.22</v>
      </c>
      <c r="E2390" s="80">
        <v>96850.11</v>
      </c>
      <c r="F2390" s="80">
        <v>5706.54</v>
      </c>
      <c r="G2390">
        <v>150.63</v>
      </c>
      <c r="H2390" s="80">
        <v>23078.61</v>
      </c>
      <c r="I2390" s="80">
        <v>21044.01</v>
      </c>
      <c r="J2390">
        <v>82.78</v>
      </c>
      <c r="K2390">
        <v>5691.58</v>
      </c>
      <c r="L2390">
        <f t="shared" si="370"/>
        <v>0</v>
      </c>
      <c r="M2390">
        <f t="shared" si="371"/>
        <v>0</v>
      </c>
      <c r="N2390">
        <f t="shared" si="372"/>
        <v>0</v>
      </c>
      <c r="O2390">
        <f t="shared" si="373"/>
        <v>0</v>
      </c>
      <c r="P2390">
        <f t="shared" si="374"/>
        <v>0</v>
      </c>
      <c r="Q2390">
        <f t="shared" si="375"/>
        <v>0</v>
      </c>
      <c r="R2390">
        <f t="shared" si="376"/>
        <v>0</v>
      </c>
      <c r="S2390">
        <f t="shared" si="377"/>
        <v>0</v>
      </c>
      <c r="T2390">
        <f t="shared" si="379"/>
        <v>0</v>
      </c>
      <c r="U2390">
        <f t="shared" si="378"/>
        <v>0</v>
      </c>
    </row>
    <row r="2391" spans="1:21" x14ac:dyDescent="0.25">
      <c r="A2391">
        <v>2390</v>
      </c>
      <c r="B2391" t="s">
        <v>89</v>
      </c>
      <c r="C2391" t="s">
        <v>163</v>
      </c>
      <c r="D2391">
        <v>275.16000000000003</v>
      </c>
      <c r="E2391" s="80">
        <v>92879.11</v>
      </c>
      <c r="F2391">
        <v>1485.04</v>
      </c>
      <c r="G2391">
        <v>150.63</v>
      </c>
      <c r="H2391" s="80">
        <v>55550.93</v>
      </c>
      <c r="I2391" s="80">
        <v>20267.8</v>
      </c>
      <c r="J2391">
        <v>93.93</v>
      </c>
      <c r="K2391" t="s">
        <v>582</v>
      </c>
      <c r="L2391">
        <f t="shared" si="370"/>
        <v>0</v>
      </c>
      <c r="M2391">
        <f t="shared" si="371"/>
        <v>0</v>
      </c>
      <c r="N2391">
        <f t="shared" si="372"/>
        <v>0</v>
      </c>
      <c r="O2391">
        <f t="shared" si="373"/>
        <v>0</v>
      </c>
      <c r="P2391">
        <f t="shared" si="374"/>
        <v>0</v>
      </c>
      <c r="Q2391">
        <f t="shared" si="375"/>
        <v>0</v>
      </c>
      <c r="R2391">
        <f t="shared" si="376"/>
        <v>0</v>
      </c>
      <c r="S2391">
        <f t="shared" si="377"/>
        <v>1</v>
      </c>
      <c r="T2391">
        <f t="shared" si="379"/>
        <v>1</v>
      </c>
      <c r="U2391">
        <f t="shared" si="378"/>
        <v>1</v>
      </c>
    </row>
    <row r="2392" spans="1:21" x14ac:dyDescent="0.25">
      <c r="A2392">
        <v>2391</v>
      </c>
      <c r="B2392" t="s">
        <v>89</v>
      </c>
      <c r="C2392" t="s">
        <v>181</v>
      </c>
      <c r="D2392">
        <v>6.67</v>
      </c>
      <c r="E2392" s="80">
        <v>167458.17000000001</v>
      </c>
      <c r="F2392">
        <v>0.33</v>
      </c>
      <c r="G2392">
        <v>36.93</v>
      </c>
      <c r="H2392">
        <v>9.56</v>
      </c>
      <c r="I2392">
        <v>20.76</v>
      </c>
      <c r="J2392">
        <v>35.08</v>
      </c>
      <c r="K2392">
        <v>22.37</v>
      </c>
      <c r="L2392">
        <f t="shared" si="370"/>
        <v>0</v>
      </c>
      <c r="M2392">
        <f t="shared" si="371"/>
        <v>0</v>
      </c>
      <c r="N2392">
        <f t="shared" si="372"/>
        <v>0</v>
      </c>
      <c r="O2392">
        <f t="shared" si="373"/>
        <v>0</v>
      </c>
      <c r="P2392">
        <f t="shared" si="374"/>
        <v>0</v>
      </c>
      <c r="Q2392">
        <f t="shared" si="375"/>
        <v>0</v>
      </c>
      <c r="R2392">
        <f t="shared" si="376"/>
        <v>0</v>
      </c>
      <c r="S2392">
        <f t="shared" si="377"/>
        <v>0</v>
      </c>
      <c r="T2392">
        <f t="shared" si="379"/>
        <v>0</v>
      </c>
      <c r="U2392">
        <f t="shared" si="378"/>
        <v>0</v>
      </c>
    </row>
    <row r="2393" spans="1:21" x14ac:dyDescent="0.25">
      <c r="A2393">
        <v>2392</v>
      </c>
      <c r="B2393" t="s">
        <v>89</v>
      </c>
      <c r="C2393" t="s">
        <v>183</v>
      </c>
      <c r="D2393">
        <v>4.8499999999999996</v>
      </c>
      <c r="E2393">
        <v>12101.62</v>
      </c>
      <c r="F2393">
        <v>70.540000000000006</v>
      </c>
      <c r="G2393">
        <v>36.93</v>
      </c>
      <c r="H2393">
        <v>2636.16</v>
      </c>
      <c r="I2393" s="80">
        <v>16012.3</v>
      </c>
      <c r="J2393">
        <v>32.020000000000003</v>
      </c>
      <c r="K2393">
        <v>4325.51</v>
      </c>
      <c r="L2393">
        <f t="shared" si="370"/>
        <v>0</v>
      </c>
      <c r="M2393">
        <f t="shared" si="371"/>
        <v>0</v>
      </c>
      <c r="N2393">
        <f t="shared" si="372"/>
        <v>0</v>
      </c>
      <c r="O2393">
        <f t="shared" si="373"/>
        <v>0</v>
      </c>
      <c r="P2393">
        <f t="shared" si="374"/>
        <v>0</v>
      </c>
      <c r="Q2393">
        <f t="shared" si="375"/>
        <v>0</v>
      </c>
      <c r="R2393">
        <f t="shared" si="376"/>
        <v>0</v>
      </c>
      <c r="S2393">
        <f t="shared" si="377"/>
        <v>0</v>
      </c>
      <c r="T2393">
        <f t="shared" si="379"/>
        <v>0</v>
      </c>
      <c r="U2393">
        <f t="shared" si="378"/>
        <v>0</v>
      </c>
    </row>
    <row r="2394" spans="1:21" x14ac:dyDescent="0.25">
      <c r="A2394">
        <v>2393</v>
      </c>
      <c r="B2394" t="s">
        <v>89</v>
      </c>
      <c r="C2394" t="s">
        <v>186</v>
      </c>
      <c r="D2394">
        <v>9.31</v>
      </c>
      <c r="E2394">
        <v>8527.18</v>
      </c>
      <c r="F2394">
        <v>167.28</v>
      </c>
      <c r="G2394">
        <v>65.180000000000007</v>
      </c>
      <c r="H2394">
        <v>9010.26</v>
      </c>
      <c r="I2394" s="80">
        <v>17512.22</v>
      </c>
      <c r="J2394">
        <v>44.6</v>
      </c>
      <c r="K2394">
        <v>6602.76</v>
      </c>
      <c r="L2394">
        <f t="shared" si="370"/>
        <v>0</v>
      </c>
      <c r="M2394">
        <f t="shared" si="371"/>
        <v>0</v>
      </c>
      <c r="N2394">
        <f t="shared" si="372"/>
        <v>0</v>
      </c>
      <c r="O2394">
        <f t="shared" si="373"/>
        <v>0</v>
      </c>
      <c r="P2394">
        <f t="shared" si="374"/>
        <v>0</v>
      </c>
      <c r="Q2394">
        <f t="shared" si="375"/>
        <v>0</v>
      </c>
      <c r="R2394">
        <f t="shared" si="376"/>
        <v>0</v>
      </c>
      <c r="S2394">
        <f t="shared" si="377"/>
        <v>0</v>
      </c>
      <c r="T2394">
        <f t="shared" si="379"/>
        <v>0</v>
      </c>
      <c r="U2394">
        <f t="shared" si="378"/>
        <v>0</v>
      </c>
    </row>
    <row r="2395" spans="1:21" x14ac:dyDescent="0.25">
      <c r="A2395">
        <v>2394</v>
      </c>
      <c r="B2395" t="s">
        <v>89</v>
      </c>
      <c r="C2395" t="s">
        <v>188</v>
      </c>
      <c r="D2395">
        <v>18.420000000000002</v>
      </c>
      <c r="E2395" s="80">
        <v>31221.32</v>
      </c>
      <c r="F2395">
        <v>135.49</v>
      </c>
      <c r="G2395">
        <v>91.58</v>
      </c>
      <c r="H2395">
        <v>12200.99</v>
      </c>
      <c r="I2395" s="80">
        <v>22121.72</v>
      </c>
      <c r="J2395">
        <v>82.78</v>
      </c>
      <c r="K2395" s="80">
        <v>17340.060000000001</v>
      </c>
      <c r="L2395">
        <f t="shared" si="370"/>
        <v>0</v>
      </c>
      <c r="M2395">
        <f t="shared" si="371"/>
        <v>0</v>
      </c>
      <c r="N2395">
        <f t="shared" si="372"/>
        <v>0</v>
      </c>
      <c r="O2395">
        <f t="shared" si="373"/>
        <v>0</v>
      </c>
      <c r="P2395">
        <f t="shared" si="374"/>
        <v>0</v>
      </c>
      <c r="Q2395">
        <f t="shared" si="375"/>
        <v>0</v>
      </c>
      <c r="R2395">
        <f t="shared" si="376"/>
        <v>0</v>
      </c>
      <c r="S2395">
        <f t="shared" si="377"/>
        <v>0</v>
      </c>
      <c r="T2395">
        <f t="shared" si="379"/>
        <v>0</v>
      </c>
      <c r="U2395">
        <f t="shared" si="378"/>
        <v>0</v>
      </c>
    </row>
    <row r="2396" spans="1:21" x14ac:dyDescent="0.25">
      <c r="A2396">
        <v>2395</v>
      </c>
      <c r="B2396" t="s">
        <v>89</v>
      </c>
      <c r="C2396" t="s">
        <v>182</v>
      </c>
      <c r="D2396" s="80">
        <v>0.05</v>
      </c>
      <c r="E2396">
        <v>3753.97</v>
      </c>
      <c r="F2396">
        <v>0.25</v>
      </c>
      <c r="G2396">
        <v>13.6</v>
      </c>
      <c r="H2396">
        <v>0.56000000000000005</v>
      </c>
      <c r="I2396">
        <v>0.79</v>
      </c>
      <c r="J2396">
        <v>3.32</v>
      </c>
      <c r="K2396">
        <v>0.18</v>
      </c>
      <c r="L2396">
        <f t="shared" si="370"/>
        <v>0</v>
      </c>
      <c r="M2396">
        <f t="shared" si="371"/>
        <v>0</v>
      </c>
      <c r="N2396">
        <f t="shared" si="372"/>
        <v>0</v>
      </c>
      <c r="O2396">
        <f t="shared" si="373"/>
        <v>0</v>
      </c>
      <c r="P2396">
        <f t="shared" si="374"/>
        <v>0</v>
      </c>
      <c r="Q2396">
        <f t="shared" si="375"/>
        <v>0</v>
      </c>
      <c r="R2396">
        <f t="shared" si="376"/>
        <v>0</v>
      </c>
      <c r="S2396">
        <f t="shared" si="377"/>
        <v>0</v>
      </c>
      <c r="T2396">
        <f t="shared" si="379"/>
        <v>0</v>
      </c>
      <c r="U2396">
        <f t="shared" si="378"/>
        <v>0</v>
      </c>
    </row>
    <row r="2397" spans="1:21" x14ac:dyDescent="0.25">
      <c r="A2397">
        <v>2396</v>
      </c>
      <c r="B2397" t="s">
        <v>89</v>
      </c>
      <c r="C2397" t="s">
        <v>184</v>
      </c>
      <c r="D2397">
        <v>55.49</v>
      </c>
      <c r="E2397">
        <v>10553.65</v>
      </c>
      <c r="F2397">
        <v>153.83000000000001</v>
      </c>
      <c r="G2397">
        <v>60.19</v>
      </c>
      <c r="H2397">
        <v>10547.16</v>
      </c>
      <c r="I2397" s="80">
        <v>18611.39</v>
      </c>
      <c r="J2397">
        <v>38.200000000000003</v>
      </c>
      <c r="K2397">
        <v>3202.97</v>
      </c>
      <c r="L2397">
        <f t="shared" si="370"/>
        <v>0</v>
      </c>
      <c r="M2397">
        <f t="shared" si="371"/>
        <v>0</v>
      </c>
      <c r="N2397">
        <f t="shared" si="372"/>
        <v>0</v>
      </c>
      <c r="O2397">
        <f t="shared" si="373"/>
        <v>0</v>
      </c>
      <c r="P2397">
        <f t="shared" si="374"/>
        <v>0</v>
      </c>
      <c r="Q2397">
        <f t="shared" si="375"/>
        <v>0</v>
      </c>
      <c r="R2397">
        <f t="shared" si="376"/>
        <v>0</v>
      </c>
      <c r="S2397">
        <f t="shared" si="377"/>
        <v>0</v>
      </c>
      <c r="T2397">
        <f t="shared" si="379"/>
        <v>0</v>
      </c>
      <c r="U2397">
        <f t="shared" si="378"/>
        <v>0</v>
      </c>
    </row>
    <row r="2398" spans="1:21" x14ac:dyDescent="0.25">
      <c r="A2398">
        <v>2397</v>
      </c>
      <c r="B2398" t="s">
        <v>89</v>
      </c>
      <c r="C2398" t="s">
        <v>187</v>
      </c>
      <c r="D2398">
        <v>177.17</v>
      </c>
      <c r="E2398">
        <v>14233.94</v>
      </c>
      <c r="F2398">
        <v>398.27</v>
      </c>
      <c r="G2398">
        <v>65.180000000000007</v>
      </c>
      <c r="H2398" s="80">
        <v>26435.94</v>
      </c>
      <c r="I2398" s="80">
        <v>16925.7</v>
      </c>
      <c r="J2398">
        <v>41.38</v>
      </c>
      <c r="K2398">
        <v>7664.25</v>
      </c>
      <c r="L2398">
        <f t="shared" si="370"/>
        <v>0</v>
      </c>
      <c r="M2398">
        <f t="shared" si="371"/>
        <v>0</v>
      </c>
      <c r="N2398">
        <f t="shared" si="372"/>
        <v>0</v>
      </c>
      <c r="O2398">
        <f t="shared" si="373"/>
        <v>0</v>
      </c>
      <c r="P2398">
        <f t="shared" si="374"/>
        <v>0</v>
      </c>
      <c r="Q2398">
        <f t="shared" si="375"/>
        <v>0</v>
      </c>
      <c r="R2398">
        <f t="shared" si="376"/>
        <v>0</v>
      </c>
      <c r="S2398">
        <f t="shared" si="377"/>
        <v>0</v>
      </c>
      <c r="T2398">
        <f t="shared" si="379"/>
        <v>0</v>
      </c>
      <c r="U2398">
        <f t="shared" si="378"/>
        <v>0</v>
      </c>
    </row>
    <row r="2399" spans="1:21" x14ac:dyDescent="0.25">
      <c r="A2399">
        <v>2398</v>
      </c>
      <c r="B2399" t="s">
        <v>89</v>
      </c>
      <c r="C2399" t="s">
        <v>189</v>
      </c>
      <c r="D2399">
        <v>32.729999999999997</v>
      </c>
      <c r="E2399">
        <v>8411.58</v>
      </c>
      <c r="F2399">
        <v>3.92</v>
      </c>
      <c r="G2399">
        <v>45.88</v>
      </c>
      <c r="H2399">
        <v>6988.44</v>
      </c>
      <c r="I2399" s="80">
        <v>10157.040000000001</v>
      </c>
      <c r="J2399">
        <v>32.020000000000003</v>
      </c>
      <c r="K2399">
        <v>8111.52</v>
      </c>
      <c r="L2399">
        <f t="shared" si="370"/>
        <v>0</v>
      </c>
      <c r="M2399">
        <f t="shared" si="371"/>
        <v>0</v>
      </c>
      <c r="N2399">
        <f t="shared" si="372"/>
        <v>0</v>
      </c>
      <c r="O2399">
        <f t="shared" si="373"/>
        <v>0</v>
      </c>
      <c r="P2399">
        <f t="shared" si="374"/>
        <v>0</v>
      </c>
      <c r="Q2399">
        <f t="shared" si="375"/>
        <v>0</v>
      </c>
      <c r="R2399">
        <f t="shared" si="376"/>
        <v>0</v>
      </c>
      <c r="S2399">
        <f t="shared" si="377"/>
        <v>0</v>
      </c>
      <c r="T2399">
        <f t="shared" si="379"/>
        <v>0</v>
      </c>
      <c r="U2399">
        <f t="shared" si="378"/>
        <v>0</v>
      </c>
    </row>
    <row r="2400" spans="1:21" x14ac:dyDescent="0.25">
      <c r="A2400">
        <v>2399</v>
      </c>
      <c r="B2400">
        <v>1091</v>
      </c>
      <c r="C2400" t="s">
        <v>162</v>
      </c>
      <c r="D2400">
        <v>14.43</v>
      </c>
      <c r="E2400" s="89" t="s">
        <v>582</v>
      </c>
      <c r="F2400">
        <v>1.34</v>
      </c>
      <c r="G2400">
        <v>86.11</v>
      </c>
      <c r="H2400">
        <v>8.91</v>
      </c>
      <c r="I2400">
        <v>403.82</v>
      </c>
      <c r="J2400">
        <v>41.38</v>
      </c>
      <c r="K2400">
        <v>70.14</v>
      </c>
      <c r="L2400">
        <f t="shared" si="370"/>
        <v>0</v>
      </c>
      <c r="M2400">
        <f t="shared" si="371"/>
        <v>1</v>
      </c>
      <c r="N2400">
        <f t="shared" si="372"/>
        <v>0</v>
      </c>
      <c r="O2400">
        <f t="shared" si="373"/>
        <v>0</v>
      </c>
      <c r="P2400">
        <f t="shared" si="374"/>
        <v>0</v>
      </c>
      <c r="Q2400">
        <f t="shared" si="375"/>
        <v>0</v>
      </c>
      <c r="R2400">
        <f t="shared" si="376"/>
        <v>0</v>
      </c>
      <c r="S2400">
        <f t="shared" si="377"/>
        <v>0</v>
      </c>
      <c r="T2400">
        <f t="shared" si="379"/>
        <v>1</v>
      </c>
      <c r="U2400">
        <f t="shared" si="378"/>
        <v>1</v>
      </c>
    </row>
    <row r="2401" spans="1:21" x14ac:dyDescent="0.25">
      <c r="A2401">
        <v>2400</v>
      </c>
      <c r="B2401">
        <v>1091</v>
      </c>
      <c r="C2401" t="s">
        <v>170</v>
      </c>
      <c r="D2401">
        <v>16.79</v>
      </c>
      <c r="E2401" s="80">
        <v>92339.51</v>
      </c>
      <c r="F2401">
        <v>191.15</v>
      </c>
      <c r="G2401">
        <v>120.15</v>
      </c>
      <c r="H2401">
        <v>4299.21</v>
      </c>
      <c r="I2401" s="80">
        <v>20838.53</v>
      </c>
      <c r="J2401">
        <v>47.87</v>
      </c>
      <c r="K2401">
        <v>2334.17</v>
      </c>
      <c r="L2401">
        <f t="shared" si="370"/>
        <v>0</v>
      </c>
      <c r="M2401">
        <f t="shared" si="371"/>
        <v>0</v>
      </c>
      <c r="N2401">
        <f t="shared" si="372"/>
        <v>0</v>
      </c>
      <c r="O2401">
        <f t="shared" si="373"/>
        <v>0</v>
      </c>
      <c r="P2401">
        <f t="shared" si="374"/>
        <v>0</v>
      </c>
      <c r="Q2401">
        <f t="shared" si="375"/>
        <v>0</v>
      </c>
      <c r="R2401">
        <f t="shared" si="376"/>
        <v>0</v>
      </c>
      <c r="S2401">
        <f t="shared" si="377"/>
        <v>0</v>
      </c>
      <c r="T2401">
        <f t="shared" si="379"/>
        <v>0</v>
      </c>
      <c r="U2401">
        <f t="shared" si="378"/>
        <v>0</v>
      </c>
    </row>
    <row r="2402" spans="1:21" x14ac:dyDescent="0.25">
      <c r="A2402">
        <v>2401</v>
      </c>
      <c r="B2402">
        <v>1091</v>
      </c>
      <c r="C2402" t="s">
        <v>178</v>
      </c>
      <c r="D2402">
        <v>42.68</v>
      </c>
      <c r="E2402" s="80">
        <v>77372.740000000005</v>
      </c>
      <c r="F2402">
        <v>847.14</v>
      </c>
      <c r="G2402">
        <v>144.38999999999999</v>
      </c>
      <c r="H2402" s="80">
        <v>32642.82</v>
      </c>
      <c r="I2402" s="80">
        <v>22330.35</v>
      </c>
      <c r="J2402">
        <v>75.510000000000005</v>
      </c>
      <c r="K2402">
        <v>5363.86</v>
      </c>
      <c r="L2402">
        <f t="shared" si="370"/>
        <v>0</v>
      </c>
      <c r="M2402">
        <f t="shared" si="371"/>
        <v>0</v>
      </c>
      <c r="N2402">
        <f t="shared" si="372"/>
        <v>0</v>
      </c>
      <c r="O2402">
        <f t="shared" si="373"/>
        <v>0</v>
      </c>
      <c r="P2402">
        <f t="shared" si="374"/>
        <v>0</v>
      </c>
      <c r="Q2402">
        <f t="shared" si="375"/>
        <v>0</v>
      </c>
      <c r="R2402">
        <f t="shared" si="376"/>
        <v>0</v>
      </c>
      <c r="S2402">
        <f t="shared" si="377"/>
        <v>0</v>
      </c>
      <c r="T2402">
        <f t="shared" si="379"/>
        <v>0</v>
      </c>
      <c r="U2402">
        <f t="shared" si="378"/>
        <v>0</v>
      </c>
    </row>
    <row r="2403" spans="1:21" x14ac:dyDescent="0.25">
      <c r="A2403">
        <v>2402</v>
      </c>
      <c r="B2403">
        <v>1091</v>
      </c>
      <c r="C2403" t="s">
        <v>163</v>
      </c>
      <c r="D2403">
        <v>44.75</v>
      </c>
      <c r="E2403" s="80">
        <v>136752.63</v>
      </c>
      <c r="F2403">
        <v>547.6</v>
      </c>
      <c r="G2403">
        <v>138.22</v>
      </c>
      <c r="H2403" s="80">
        <v>32416.71</v>
      </c>
      <c r="I2403" s="80">
        <v>22253.41</v>
      </c>
      <c r="J2403">
        <v>97.71</v>
      </c>
      <c r="K2403" s="80">
        <v>21491.49</v>
      </c>
      <c r="L2403">
        <f t="shared" si="370"/>
        <v>0</v>
      </c>
      <c r="M2403">
        <f t="shared" si="371"/>
        <v>0</v>
      </c>
      <c r="N2403">
        <f t="shared" si="372"/>
        <v>0</v>
      </c>
      <c r="O2403">
        <f t="shared" si="373"/>
        <v>0</v>
      </c>
      <c r="P2403">
        <f t="shared" si="374"/>
        <v>0</v>
      </c>
      <c r="Q2403">
        <f t="shared" si="375"/>
        <v>0</v>
      </c>
      <c r="R2403">
        <f t="shared" si="376"/>
        <v>0</v>
      </c>
      <c r="S2403">
        <f t="shared" si="377"/>
        <v>0</v>
      </c>
      <c r="T2403">
        <f t="shared" si="379"/>
        <v>0</v>
      </c>
      <c r="U2403">
        <f t="shared" si="378"/>
        <v>0</v>
      </c>
    </row>
    <row r="2404" spans="1:21" x14ac:dyDescent="0.25">
      <c r="A2404">
        <v>2403</v>
      </c>
      <c r="B2404">
        <v>1091</v>
      </c>
      <c r="C2404" t="s">
        <v>181</v>
      </c>
      <c r="D2404">
        <v>13.66</v>
      </c>
      <c r="E2404" s="89" t="s">
        <v>582</v>
      </c>
      <c r="F2404">
        <v>0.98</v>
      </c>
      <c r="G2404">
        <v>65.180000000000007</v>
      </c>
      <c r="H2404">
        <v>63.16</v>
      </c>
      <c r="I2404">
        <v>919.7</v>
      </c>
      <c r="J2404">
        <v>46.23</v>
      </c>
      <c r="K2404">
        <v>135.07</v>
      </c>
      <c r="L2404">
        <f t="shared" si="370"/>
        <v>0</v>
      </c>
      <c r="M2404">
        <f t="shared" si="371"/>
        <v>1</v>
      </c>
      <c r="N2404">
        <f t="shared" si="372"/>
        <v>0</v>
      </c>
      <c r="O2404">
        <f t="shared" si="373"/>
        <v>0</v>
      </c>
      <c r="P2404">
        <f t="shared" si="374"/>
        <v>0</v>
      </c>
      <c r="Q2404">
        <f t="shared" si="375"/>
        <v>0</v>
      </c>
      <c r="R2404">
        <f t="shared" si="376"/>
        <v>0</v>
      </c>
      <c r="S2404">
        <f t="shared" si="377"/>
        <v>0</v>
      </c>
      <c r="T2404">
        <f t="shared" si="379"/>
        <v>1</v>
      </c>
      <c r="U2404">
        <f t="shared" si="378"/>
        <v>1</v>
      </c>
    </row>
    <row r="2405" spans="1:21" x14ac:dyDescent="0.25">
      <c r="A2405" s="50">
        <v>2404</v>
      </c>
      <c r="B2405">
        <v>1091</v>
      </c>
      <c r="C2405" t="s">
        <v>183</v>
      </c>
      <c r="D2405">
        <v>19.25</v>
      </c>
      <c r="E2405" s="80">
        <v>90759.29</v>
      </c>
      <c r="F2405">
        <v>133.21</v>
      </c>
      <c r="G2405">
        <v>114.28</v>
      </c>
      <c r="H2405">
        <v>7525.71</v>
      </c>
      <c r="I2405" s="80">
        <v>22952.83</v>
      </c>
      <c r="J2405">
        <v>75.510000000000005</v>
      </c>
      <c r="K2405">
        <v>7833.23</v>
      </c>
      <c r="L2405">
        <f t="shared" si="370"/>
        <v>0</v>
      </c>
      <c r="M2405">
        <f t="shared" si="371"/>
        <v>0</v>
      </c>
      <c r="N2405">
        <f t="shared" si="372"/>
        <v>0</v>
      </c>
      <c r="O2405">
        <f t="shared" si="373"/>
        <v>0</v>
      </c>
      <c r="P2405">
        <f t="shared" si="374"/>
        <v>0</v>
      </c>
      <c r="Q2405">
        <f t="shared" si="375"/>
        <v>0</v>
      </c>
      <c r="R2405">
        <f t="shared" si="376"/>
        <v>0</v>
      </c>
      <c r="S2405">
        <f t="shared" si="377"/>
        <v>0</v>
      </c>
      <c r="T2405">
        <f t="shared" si="379"/>
        <v>0</v>
      </c>
      <c r="U2405">
        <f t="shared" si="378"/>
        <v>0</v>
      </c>
    </row>
    <row r="2406" spans="1:21" x14ac:dyDescent="0.25">
      <c r="A2406" s="59">
        <v>2405</v>
      </c>
      <c r="B2406">
        <v>1091</v>
      </c>
      <c r="C2406" t="s">
        <v>186</v>
      </c>
      <c r="D2406">
        <v>22.66</v>
      </c>
      <c r="E2406" s="80">
        <v>65773.87</v>
      </c>
      <c r="F2406">
        <v>563.71</v>
      </c>
      <c r="G2406">
        <v>108.48</v>
      </c>
      <c r="H2406" s="80">
        <v>37328.71</v>
      </c>
      <c r="I2406" s="80">
        <v>23827.279999999999</v>
      </c>
      <c r="J2406">
        <v>86.47</v>
      </c>
      <c r="K2406" s="80">
        <v>26962.98</v>
      </c>
      <c r="L2406">
        <f t="shared" si="370"/>
        <v>0</v>
      </c>
      <c r="M2406">
        <f t="shared" si="371"/>
        <v>0</v>
      </c>
      <c r="N2406">
        <f t="shared" si="372"/>
        <v>0</v>
      </c>
      <c r="O2406">
        <f t="shared" si="373"/>
        <v>0</v>
      </c>
      <c r="P2406">
        <f t="shared" si="374"/>
        <v>0</v>
      </c>
      <c r="Q2406">
        <f t="shared" si="375"/>
        <v>0</v>
      </c>
      <c r="R2406">
        <f t="shared" si="376"/>
        <v>0</v>
      </c>
      <c r="S2406">
        <f t="shared" si="377"/>
        <v>0</v>
      </c>
      <c r="T2406">
        <f t="shared" si="379"/>
        <v>0</v>
      </c>
      <c r="U2406">
        <f t="shared" si="378"/>
        <v>0</v>
      </c>
    </row>
    <row r="2407" spans="1:21" x14ac:dyDescent="0.25">
      <c r="A2407">
        <v>2406</v>
      </c>
      <c r="B2407">
        <v>1091</v>
      </c>
      <c r="C2407" t="s">
        <v>188</v>
      </c>
      <c r="D2407">
        <v>23.53</v>
      </c>
      <c r="E2407" s="89" t="s">
        <v>582</v>
      </c>
      <c r="F2407">
        <v>188.05</v>
      </c>
      <c r="G2407">
        <v>97.13</v>
      </c>
      <c r="H2407">
        <v>10042.450000000001</v>
      </c>
      <c r="I2407" s="80">
        <v>22665.759999999998</v>
      </c>
      <c r="J2407">
        <v>93.93</v>
      </c>
      <c r="K2407" s="80">
        <v>10784.86</v>
      </c>
      <c r="L2407">
        <f t="shared" si="370"/>
        <v>0</v>
      </c>
      <c r="M2407">
        <f t="shared" si="371"/>
        <v>1</v>
      </c>
      <c r="N2407">
        <f t="shared" si="372"/>
        <v>0</v>
      </c>
      <c r="O2407">
        <f t="shared" si="373"/>
        <v>0</v>
      </c>
      <c r="P2407">
        <f t="shared" si="374"/>
        <v>0</v>
      </c>
      <c r="Q2407">
        <f t="shared" si="375"/>
        <v>0</v>
      </c>
      <c r="R2407">
        <f t="shared" si="376"/>
        <v>0</v>
      </c>
      <c r="S2407">
        <f t="shared" si="377"/>
        <v>0</v>
      </c>
      <c r="T2407">
        <f t="shared" si="379"/>
        <v>1</v>
      </c>
      <c r="U2407">
        <f t="shared" si="378"/>
        <v>1</v>
      </c>
    </row>
    <row r="2408" spans="1:21" x14ac:dyDescent="0.25">
      <c r="A2408">
        <v>2407</v>
      </c>
      <c r="B2408">
        <v>1091</v>
      </c>
      <c r="C2408" t="s">
        <v>182</v>
      </c>
      <c r="D2408" t="s">
        <v>583</v>
      </c>
      <c r="E2408">
        <v>3927.08</v>
      </c>
      <c r="F2408">
        <v>0.37</v>
      </c>
      <c r="G2408">
        <v>7.37</v>
      </c>
      <c r="H2408">
        <v>0.37</v>
      </c>
      <c r="I2408">
        <v>8.74</v>
      </c>
      <c r="J2408">
        <v>1.51</v>
      </c>
      <c r="K2408">
        <v>0.18</v>
      </c>
      <c r="L2408">
        <f t="shared" si="370"/>
        <v>0</v>
      </c>
      <c r="M2408">
        <f t="shared" si="371"/>
        <v>0</v>
      </c>
      <c r="N2408">
        <f t="shared" si="372"/>
        <v>0</v>
      </c>
      <c r="O2408">
        <f t="shared" si="373"/>
        <v>0</v>
      </c>
      <c r="P2408">
        <f t="shared" si="374"/>
        <v>0</v>
      </c>
      <c r="Q2408">
        <f t="shared" si="375"/>
        <v>0</v>
      </c>
      <c r="R2408">
        <f t="shared" si="376"/>
        <v>0</v>
      </c>
      <c r="S2408">
        <f t="shared" si="377"/>
        <v>0</v>
      </c>
      <c r="T2408">
        <f t="shared" si="379"/>
        <v>0</v>
      </c>
      <c r="U2408">
        <f t="shared" si="378"/>
        <v>0</v>
      </c>
    </row>
    <row r="2409" spans="1:21" x14ac:dyDescent="0.25">
      <c r="A2409">
        <v>2408</v>
      </c>
      <c r="B2409">
        <v>1091</v>
      </c>
      <c r="C2409" t="s">
        <v>184</v>
      </c>
      <c r="D2409">
        <v>3.2</v>
      </c>
      <c r="E2409" s="80">
        <v>44180.69</v>
      </c>
      <c r="F2409">
        <v>16.649999999999999</v>
      </c>
      <c r="G2409">
        <v>55.31</v>
      </c>
      <c r="H2409">
        <v>362.98</v>
      </c>
      <c r="I2409" s="80">
        <v>8319.6299999999992</v>
      </c>
      <c r="J2409">
        <v>24.6</v>
      </c>
      <c r="K2409">
        <v>80.38</v>
      </c>
      <c r="L2409">
        <f t="shared" si="370"/>
        <v>0</v>
      </c>
      <c r="M2409">
        <f t="shared" si="371"/>
        <v>0</v>
      </c>
      <c r="N2409">
        <f t="shared" si="372"/>
        <v>0</v>
      </c>
      <c r="O2409">
        <f t="shared" si="373"/>
        <v>0</v>
      </c>
      <c r="P2409">
        <f t="shared" si="374"/>
        <v>0</v>
      </c>
      <c r="Q2409">
        <f t="shared" si="375"/>
        <v>0</v>
      </c>
      <c r="R2409">
        <f t="shared" si="376"/>
        <v>0</v>
      </c>
      <c r="S2409">
        <f t="shared" si="377"/>
        <v>0</v>
      </c>
      <c r="T2409">
        <f t="shared" si="379"/>
        <v>0</v>
      </c>
      <c r="U2409">
        <f t="shared" si="378"/>
        <v>0</v>
      </c>
    </row>
    <row r="2410" spans="1:21" x14ac:dyDescent="0.25">
      <c r="A2410">
        <v>2409</v>
      </c>
      <c r="B2410">
        <v>1091</v>
      </c>
      <c r="C2410" t="s">
        <v>187</v>
      </c>
      <c r="D2410">
        <v>18.420000000000002</v>
      </c>
      <c r="E2410" s="80">
        <v>136752.63</v>
      </c>
      <c r="F2410">
        <v>116.68</v>
      </c>
      <c r="G2410">
        <v>86.11</v>
      </c>
      <c r="H2410">
        <v>8585.8799999999992</v>
      </c>
      <c r="I2410" s="80">
        <v>16924.98</v>
      </c>
      <c r="J2410">
        <v>56.23</v>
      </c>
      <c r="K2410">
        <v>3474.27</v>
      </c>
      <c r="L2410">
        <f t="shared" si="370"/>
        <v>0</v>
      </c>
      <c r="M2410">
        <f t="shared" si="371"/>
        <v>0</v>
      </c>
      <c r="N2410">
        <f t="shared" si="372"/>
        <v>0</v>
      </c>
      <c r="O2410">
        <f t="shared" si="373"/>
        <v>0</v>
      </c>
      <c r="P2410">
        <f t="shared" si="374"/>
        <v>0</v>
      </c>
      <c r="Q2410">
        <f t="shared" si="375"/>
        <v>0</v>
      </c>
      <c r="R2410">
        <f t="shared" si="376"/>
        <v>0</v>
      </c>
      <c r="S2410">
        <f t="shared" si="377"/>
        <v>0</v>
      </c>
      <c r="T2410">
        <f t="shared" si="379"/>
        <v>0</v>
      </c>
      <c r="U2410">
        <f t="shared" si="378"/>
        <v>0</v>
      </c>
    </row>
    <row r="2411" spans="1:21" x14ac:dyDescent="0.25">
      <c r="A2411">
        <v>2410</v>
      </c>
      <c r="B2411">
        <v>1091</v>
      </c>
      <c r="C2411" t="s">
        <v>189</v>
      </c>
      <c r="D2411">
        <v>13.66</v>
      </c>
      <c r="E2411" s="80">
        <v>40015.72</v>
      </c>
      <c r="F2411">
        <v>28.87</v>
      </c>
      <c r="G2411">
        <v>65.180000000000007</v>
      </c>
      <c r="H2411">
        <v>3307.89</v>
      </c>
      <c r="I2411" s="80">
        <v>12143</v>
      </c>
      <c r="J2411">
        <v>51.18</v>
      </c>
      <c r="K2411">
        <v>6189.79</v>
      </c>
      <c r="L2411">
        <f t="shared" si="370"/>
        <v>0</v>
      </c>
      <c r="M2411">
        <f t="shared" si="371"/>
        <v>0</v>
      </c>
      <c r="N2411">
        <f t="shared" si="372"/>
        <v>0</v>
      </c>
      <c r="O2411">
        <f t="shared" si="373"/>
        <v>0</v>
      </c>
      <c r="P2411">
        <f t="shared" si="374"/>
        <v>0</v>
      </c>
      <c r="Q2411">
        <f t="shared" si="375"/>
        <v>0</v>
      </c>
      <c r="R2411">
        <f t="shared" si="376"/>
        <v>0</v>
      </c>
      <c r="S2411">
        <f t="shared" si="377"/>
        <v>0</v>
      </c>
      <c r="T2411">
        <f t="shared" si="379"/>
        <v>0</v>
      </c>
      <c r="U2411">
        <f t="shared" si="378"/>
        <v>0</v>
      </c>
    </row>
    <row r="2412" spans="1:21" x14ac:dyDescent="0.25">
      <c r="A2412">
        <v>2411</v>
      </c>
      <c r="B2412">
        <v>1092</v>
      </c>
      <c r="C2412" t="s">
        <v>162</v>
      </c>
      <c r="D2412">
        <v>9.31</v>
      </c>
      <c r="E2412" s="89" t="s">
        <v>582</v>
      </c>
      <c r="F2412">
        <v>0.9</v>
      </c>
      <c r="G2412">
        <v>80.739999999999995</v>
      </c>
      <c r="H2412">
        <v>3.5</v>
      </c>
      <c r="I2412">
        <v>13.51</v>
      </c>
      <c r="J2412">
        <v>35.08</v>
      </c>
      <c r="K2412">
        <v>7.34</v>
      </c>
      <c r="L2412">
        <f t="shared" si="370"/>
        <v>0</v>
      </c>
      <c r="M2412">
        <f t="shared" si="371"/>
        <v>1</v>
      </c>
      <c r="N2412">
        <f t="shared" si="372"/>
        <v>0</v>
      </c>
      <c r="O2412">
        <f t="shared" si="373"/>
        <v>0</v>
      </c>
      <c r="P2412">
        <f t="shared" si="374"/>
        <v>0</v>
      </c>
      <c r="Q2412">
        <f t="shared" si="375"/>
        <v>0</v>
      </c>
      <c r="R2412">
        <f t="shared" si="376"/>
        <v>0</v>
      </c>
      <c r="S2412">
        <f t="shared" si="377"/>
        <v>0</v>
      </c>
      <c r="T2412">
        <f t="shared" si="379"/>
        <v>1</v>
      </c>
      <c r="U2412">
        <f t="shared" si="378"/>
        <v>1</v>
      </c>
    </row>
    <row r="2413" spans="1:21" x14ac:dyDescent="0.25">
      <c r="A2413">
        <v>2412</v>
      </c>
      <c r="B2413">
        <v>1092</v>
      </c>
      <c r="C2413" t="s">
        <v>170</v>
      </c>
      <c r="D2413">
        <v>53.29</v>
      </c>
      <c r="E2413" s="80">
        <v>135510.07</v>
      </c>
      <c r="F2413">
        <v>782.94</v>
      </c>
      <c r="G2413">
        <v>144.38999999999999</v>
      </c>
      <c r="H2413" s="80">
        <v>29597.26</v>
      </c>
      <c r="I2413" s="80">
        <v>22751.05</v>
      </c>
      <c r="J2413">
        <v>75.510000000000005</v>
      </c>
      <c r="K2413">
        <v>3195.2</v>
      </c>
      <c r="L2413">
        <f t="shared" si="370"/>
        <v>0</v>
      </c>
      <c r="M2413">
        <f t="shared" si="371"/>
        <v>0</v>
      </c>
      <c r="N2413">
        <f t="shared" si="372"/>
        <v>0</v>
      </c>
      <c r="O2413">
        <f t="shared" si="373"/>
        <v>0</v>
      </c>
      <c r="P2413">
        <f t="shared" si="374"/>
        <v>0</v>
      </c>
      <c r="Q2413">
        <f t="shared" si="375"/>
        <v>0</v>
      </c>
      <c r="R2413">
        <f t="shared" si="376"/>
        <v>0</v>
      </c>
      <c r="S2413">
        <f t="shared" si="377"/>
        <v>0</v>
      </c>
      <c r="T2413">
        <f t="shared" si="379"/>
        <v>0</v>
      </c>
      <c r="U2413">
        <f t="shared" si="378"/>
        <v>0</v>
      </c>
    </row>
    <row r="2414" spans="1:21" x14ac:dyDescent="0.25">
      <c r="A2414">
        <v>2413</v>
      </c>
      <c r="B2414">
        <v>1092</v>
      </c>
      <c r="C2414" t="s">
        <v>178</v>
      </c>
      <c r="D2414">
        <v>115.77</v>
      </c>
      <c r="E2414" s="80">
        <v>94397.68</v>
      </c>
      <c r="F2414">
        <v>1871.4</v>
      </c>
      <c r="G2414">
        <v>132.13</v>
      </c>
      <c r="H2414" s="80">
        <v>224417.43</v>
      </c>
      <c r="I2414" s="80">
        <v>21905.91</v>
      </c>
      <c r="J2414">
        <v>71.92</v>
      </c>
      <c r="K2414">
        <v>4644.2700000000004</v>
      </c>
      <c r="L2414">
        <f t="shared" si="370"/>
        <v>0</v>
      </c>
      <c r="M2414">
        <f t="shared" si="371"/>
        <v>0</v>
      </c>
      <c r="N2414">
        <f t="shared" si="372"/>
        <v>0</v>
      </c>
      <c r="O2414">
        <f t="shared" si="373"/>
        <v>0</v>
      </c>
      <c r="P2414">
        <f t="shared" si="374"/>
        <v>0</v>
      </c>
      <c r="Q2414">
        <f t="shared" si="375"/>
        <v>0</v>
      </c>
      <c r="R2414">
        <f t="shared" si="376"/>
        <v>0</v>
      </c>
      <c r="S2414">
        <f t="shared" si="377"/>
        <v>0</v>
      </c>
      <c r="T2414">
        <f t="shared" si="379"/>
        <v>0</v>
      </c>
      <c r="U2414">
        <f t="shared" si="378"/>
        <v>0</v>
      </c>
    </row>
    <row r="2415" spans="1:21" x14ac:dyDescent="0.25">
      <c r="A2415">
        <v>2414</v>
      </c>
      <c r="B2415">
        <v>1092</v>
      </c>
      <c r="C2415" t="s">
        <v>163</v>
      </c>
      <c r="D2415">
        <v>45.8</v>
      </c>
      <c r="E2415" s="80">
        <v>76633.53</v>
      </c>
      <c r="F2415">
        <v>1849.68</v>
      </c>
      <c r="G2415">
        <v>169.76</v>
      </c>
      <c r="H2415" s="80">
        <v>50499.3</v>
      </c>
      <c r="I2415" s="80">
        <v>21470.1</v>
      </c>
      <c r="J2415">
        <v>86.47</v>
      </c>
      <c r="K2415" s="80">
        <v>24019.3</v>
      </c>
      <c r="L2415">
        <f t="shared" si="370"/>
        <v>0</v>
      </c>
      <c r="M2415">
        <f t="shared" si="371"/>
        <v>0</v>
      </c>
      <c r="N2415">
        <f t="shared" si="372"/>
        <v>0</v>
      </c>
      <c r="O2415">
        <f t="shared" si="373"/>
        <v>0</v>
      </c>
      <c r="P2415">
        <f t="shared" si="374"/>
        <v>0</v>
      </c>
      <c r="Q2415">
        <f t="shared" si="375"/>
        <v>0</v>
      </c>
      <c r="R2415">
        <f t="shared" si="376"/>
        <v>0</v>
      </c>
      <c r="S2415">
        <f t="shared" si="377"/>
        <v>0</v>
      </c>
      <c r="T2415">
        <f t="shared" si="379"/>
        <v>0</v>
      </c>
      <c r="U2415">
        <f t="shared" si="378"/>
        <v>0</v>
      </c>
    </row>
    <row r="2416" spans="1:21" x14ac:dyDescent="0.25">
      <c r="A2416">
        <v>2415</v>
      </c>
      <c r="B2416">
        <v>1092</v>
      </c>
      <c r="C2416" t="s">
        <v>181</v>
      </c>
      <c r="D2416">
        <v>10.71</v>
      </c>
      <c r="E2416" s="89" t="s">
        <v>582</v>
      </c>
      <c r="F2416">
        <v>1.56</v>
      </c>
      <c r="G2416">
        <v>55.31</v>
      </c>
      <c r="H2416">
        <v>65.680000000000007</v>
      </c>
      <c r="I2416">
        <v>1032.57</v>
      </c>
      <c r="J2416">
        <v>36.64</v>
      </c>
      <c r="K2416">
        <v>95.94</v>
      </c>
      <c r="L2416">
        <f t="shared" si="370"/>
        <v>0</v>
      </c>
      <c r="M2416">
        <f t="shared" si="371"/>
        <v>1</v>
      </c>
      <c r="N2416">
        <f t="shared" si="372"/>
        <v>0</v>
      </c>
      <c r="O2416">
        <f t="shared" si="373"/>
        <v>0</v>
      </c>
      <c r="P2416">
        <f t="shared" si="374"/>
        <v>0</v>
      </c>
      <c r="Q2416">
        <f t="shared" si="375"/>
        <v>0</v>
      </c>
      <c r="R2416">
        <f t="shared" si="376"/>
        <v>0</v>
      </c>
      <c r="S2416">
        <f t="shared" si="377"/>
        <v>0</v>
      </c>
      <c r="T2416">
        <f t="shared" si="379"/>
        <v>1</v>
      </c>
      <c r="U2416">
        <f t="shared" si="378"/>
        <v>1</v>
      </c>
    </row>
    <row r="2417" spans="1:21" x14ac:dyDescent="0.25">
      <c r="A2417">
        <v>2416</v>
      </c>
      <c r="B2417">
        <v>1092</v>
      </c>
      <c r="C2417" t="s">
        <v>183</v>
      </c>
      <c r="D2417">
        <v>22.66</v>
      </c>
      <c r="E2417" s="80">
        <v>261358.74</v>
      </c>
      <c r="F2417">
        <v>1133.32</v>
      </c>
      <c r="G2417">
        <v>132.13</v>
      </c>
      <c r="H2417" s="80">
        <v>33253.910000000003</v>
      </c>
      <c r="I2417" s="80">
        <v>23468.11</v>
      </c>
      <c r="J2417">
        <v>64.86</v>
      </c>
      <c r="K2417" s="89" t="s">
        <v>582</v>
      </c>
      <c r="L2417">
        <f t="shared" si="370"/>
        <v>0</v>
      </c>
      <c r="M2417">
        <f t="shared" si="371"/>
        <v>0</v>
      </c>
      <c r="N2417">
        <f t="shared" si="372"/>
        <v>0</v>
      </c>
      <c r="O2417">
        <f t="shared" si="373"/>
        <v>0</v>
      </c>
      <c r="P2417">
        <f t="shared" si="374"/>
        <v>0</v>
      </c>
      <c r="Q2417">
        <f t="shared" si="375"/>
        <v>0</v>
      </c>
      <c r="R2417">
        <f t="shared" si="376"/>
        <v>0</v>
      </c>
      <c r="S2417">
        <f t="shared" si="377"/>
        <v>1</v>
      </c>
      <c r="T2417">
        <f t="shared" si="379"/>
        <v>1</v>
      </c>
      <c r="U2417">
        <f t="shared" si="378"/>
        <v>1</v>
      </c>
    </row>
    <row r="2418" spans="1:21" x14ac:dyDescent="0.25">
      <c r="A2418">
        <v>2417</v>
      </c>
      <c r="B2418">
        <v>1092</v>
      </c>
      <c r="C2418" t="s">
        <v>186</v>
      </c>
      <c r="D2418">
        <v>27.12</v>
      </c>
      <c r="E2418" s="80">
        <v>64837.61</v>
      </c>
      <c r="F2418">
        <v>1333.26</v>
      </c>
      <c r="G2418">
        <v>120.15</v>
      </c>
      <c r="H2418" s="80">
        <v>144161.82</v>
      </c>
      <c r="I2418" s="80">
        <v>23608.69</v>
      </c>
      <c r="J2418">
        <v>101.51</v>
      </c>
      <c r="K2418" s="89" t="s">
        <v>582</v>
      </c>
      <c r="L2418">
        <f t="shared" si="370"/>
        <v>0</v>
      </c>
      <c r="M2418">
        <f t="shared" si="371"/>
        <v>0</v>
      </c>
      <c r="N2418">
        <f t="shared" si="372"/>
        <v>0</v>
      </c>
      <c r="O2418">
        <f t="shared" si="373"/>
        <v>0</v>
      </c>
      <c r="P2418">
        <f t="shared" si="374"/>
        <v>0</v>
      </c>
      <c r="Q2418">
        <f t="shared" si="375"/>
        <v>0</v>
      </c>
      <c r="R2418">
        <f t="shared" si="376"/>
        <v>0</v>
      </c>
      <c r="S2418">
        <f t="shared" si="377"/>
        <v>1</v>
      </c>
      <c r="T2418">
        <f t="shared" si="379"/>
        <v>1</v>
      </c>
      <c r="U2418">
        <f t="shared" si="378"/>
        <v>1</v>
      </c>
    </row>
    <row r="2419" spans="1:21" x14ac:dyDescent="0.25">
      <c r="A2419">
        <v>2418</v>
      </c>
      <c r="B2419">
        <v>1092</v>
      </c>
      <c r="C2419" t="s">
        <v>188</v>
      </c>
      <c r="D2419">
        <v>34.67</v>
      </c>
      <c r="E2419" s="89" t="s">
        <v>582</v>
      </c>
      <c r="F2419">
        <v>958.7</v>
      </c>
      <c r="G2419">
        <v>126.1</v>
      </c>
      <c r="H2419" s="80">
        <v>26132.23</v>
      </c>
      <c r="I2419" s="80">
        <v>22955.200000000001</v>
      </c>
      <c r="J2419">
        <v>120.96</v>
      </c>
      <c r="K2419" s="89" t="s">
        <v>582</v>
      </c>
      <c r="L2419">
        <f t="shared" si="370"/>
        <v>0</v>
      </c>
      <c r="M2419">
        <f t="shared" si="371"/>
        <v>1</v>
      </c>
      <c r="N2419">
        <f t="shared" si="372"/>
        <v>0</v>
      </c>
      <c r="O2419">
        <f t="shared" si="373"/>
        <v>0</v>
      </c>
      <c r="P2419">
        <f t="shared" si="374"/>
        <v>0</v>
      </c>
      <c r="Q2419">
        <f t="shared" si="375"/>
        <v>0</v>
      </c>
      <c r="R2419">
        <f t="shared" si="376"/>
        <v>0</v>
      </c>
      <c r="S2419">
        <f t="shared" si="377"/>
        <v>1</v>
      </c>
      <c r="T2419">
        <f t="shared" si="379"/>
        <v>2</v>
      </c>
      <c r="U2419">
        <f t="shared" si="378"/>
        <v>1</v>
      </c>
    </row>
    <row r="2420" spans="1:21" x14ac:dyDescent="0.25">
      <c r="A2420">
        <v>2419</v>
      </c>
      <c r="B2420">
        <v>1092</v>
      </c>
      <c r="C2420" t="s">
        <v>182</v>
      </c>
      <c r="D2420" t="s">
        <v>583</v>
      </c>
      <c r="E2420">
        <v>4956.67</v>
      </c>
      <c r="F2420">
        <v>0.18</v>
      </c>
      <c r="G2420">
        <v>17.05</v>
      </c>
      <c r="H2420">
        <v>0.19</v>
      </c>
      <c r="I2420">
        <v>25.93</v>
      </c>
      <c r="J2420">
        <v>3.32</v>
      </c>
      <c r="K2420">
        <v>0.37</v>
      </c>
      <c r="L2420">
        <f t="shared" si="370"/>
        <v>0</v>
      </c>
      <c r="M2420">
        <f t="shared" si="371"/>
        <v>0</v>
      </c>
      <c r="N2420">
        <f t="shared" si="372"/>
        <v>0</v>
      </c>
      <c r="O2420">
        <f t="shared" si="373"/>
        <v>0</v>
      </c>
      <c r="P2420">
        <f t="shared" si="374"/>
        <v>0</v>
      </c>
      <c r="Q2420">
        <f t="shared" si="375"/>
        <v>0</v>
      </c>
      <c r="R2420">
        <f t="shared" si="376"/>
        <v>0</v>
      </c>
      <c r="S2420">
        <f t="shared" si="377"/>
        <v>0</v>
      </c>
      <c r="T2420">
        <f t="shared" si="379"/>
        <v>0</v>
      </c>
      <c r="U2420">
        <f t="shared" si="378"/>
        <v>0</v>
      </c>
    </row>
    <row r="2421" spans="1:21" x14ac:dyDescent="0.25">
      <c r="A2421">
        <v>2420</v>
      </c>
      <c r="B2421">
        <v>1092</v>
      </c>
      <c r="C2421" t="s">
        <v>184</v>
      </c>
      <c r="D2421">
        <v>18.420000000000002</v>
      </c>
      <c r="E2421" s="89" t="s">
        <v>582</v>
      </c>
      <c r="F2421">
        <v>97.5</v>
      </c>
      <c r="G2421">
        <v>120.15</v>
      </c>
      <c r="H2421">
        <v>4824.1000000000004</v>
      </c>
      <c r="I2421" s="80">
        <v>16986.150000000001</v>
      </c>
      <c r="J2421">
        <v>52.86</v>
      </c>
      <c r="K2421">
        <v>474.51</v>
      </c>
      <c r="L2421">
        <f t="shared" si="370"/>
        <v>0</v>
      </c>
      <c r="M2421">
        <f t="shared" si="371"/>
        <v>1</v>
      </c>
      <c r="N2421">
        <f t="shared" si="372"/>
        <v>0</v>
      </c>
      <c r="O2421">
        <f t="shared" si="373"/>
        <v>0</v>
      </c>
      <c r="P2421">
        <f t="shared" si="374"/>
        <v>0</v>
      </c>
      <c r="Q2421">
        <f t="shared" si="375"/>
        <v>0</v>
      </c>
      <c r="R2421">
        <f t="shared" si="376"/>
        <v>0</v>
      </c>
      <c r="S2421">
        <f t="shared" si="377"/>
        <v>0</v>
      </c>
      <c r="T2421">
        <f t="shared" si="379"/>
        <v>1</v>
      </c>
      <c r="U2421">
        <f t="shared" si="378"/>
        <v>1</v>
      </c>
    </row>
    <row r="2422" spans="1:21" x14ac:dyDescent="0.25">
      <c r="A2422">
        <v>2421</v>
      </c>
      <c r="B2422">
        <v>1092</v>
      </c>
      <c r="C2422" t="s">
        <v>187</v>
      </c>
      <c r="D2422">
        <v>175.66</v>
      </c>
      <c r="E2422" s="89" t="s">
        <v>582</v>
      </c>
      <c r="F2422">
        <v>463.88</v>
      </c>
      <c r="G2422">
        <v>169.76</v>
      </c>
      <c r="H2422" s="80">
        <v>65969.919999999998</v>
      </c>
      <c r="I2422" s="80">
        <v>20048.810000000001</v>
      </c>
      <c r="J2422">
        <v>73.709999999999994</v>
      </c>
      <c r="K2422">
        <v>7384.44</v>
      </c>
      <c r="L2422">
        <f t="shared" si="370"/>
        <v>0</v>
      </c>
      <c r="M2422">
        <f t="shared" si="371"/>
        <v>1</v>
      </c>
      <c r="N2422">
        <f t="shared" si="372"/>
        <v>0</v>
      </c>
      <c r="O2422">
        <f t="shared" si="373"/>
        <v>0</v>
      </c>
      <c r="P2422">
        <f t="shared" si="374"/>
        <v>0</v>
      </c>
      <c r="Q2422">
        <f t="shared" si="375"/>
        <v>0</v>
      </c>
      <c r="R2422">
        <f t="shared" si="376"/>
        <v>0</v>
      </c>
      <c r="S2422">
        <f t="shared" si="377"/>
        <v>0</v>
      </c>
      <c r="T2422">
        <f t="shared" si="379"/>
        <v>1</v>
      </c>
      <c r="U2422">
        <f t="shared" si="378"/>
        <v>1</v>
      </c>
    </row>
    <row r="2423" spans="1:21" x14ac:dyDescent="0.25">
      <c r="A2423">
        <v>2422</v>
      </c>
      <c r="B2423">
        <v>1092</v>
      </c>
      <c r="C2423" t="s">
        <v>189</v>
      </c>
      <c r="D2423">
        <v>27.12</v>
      </c>
      <c r="E2423" s="89" t="s">
        <v>582</v>
      </c>
      <c r="F2423">
        <v>98.25</v>
      </c>
      <c r="G2423">
        <v>132.13</v>
      </c>
      <c r="H2423">
        <v>12271.65</v>
      </c>
      <c r="I2423">
        <v>18929.53</v>
      </c>
      <c r="J2423">
        <v>54.54</v>
      </c>
      <c r="K2423" s="80">
        <v>8242.7999999999993</v>
      </c>
      <c r="L2423">
        <f t="shared" si="370"/>
        <v>0</v>
      </c>
      <c r="M2423">
        <f t="shared" si="371"/>
        <v>1</v>
      </c>
      <c r="N2423">
        <f t="shared" si="372"/>
        <v>0</v>
      </c>
      <c r="O2423">
        <f t="shared" si="373"/>
        <v>0</v>
      </c>
      <c r="P2423">
        <f t="shared" si="374"/>
        <v>0</v>
      </c>
      <c r="Q2423">
        <f t="shared" si="375"/>
        <v>0</v>
      </c>
      <c r="R2423">
        <f t="shared" si="376"/>
        <v>0</v>
      </c>
      <c r="S2423">
        <f t="shared" si="377"/>
        <v>0</v>
      </c>
      <c r="T2423">
        <f t="shared" si="379"/>
        <v>1</v>
      </c>
      <c r="U2423">
        <f t="shared" si="378"/>
        <v>1</v>
      </c>
    </row>
    <row r="2424" spans="1:21" x14ac:dyDescent="0.25">
      <c r="A2424">
        <v>2423</v>
      </c>
      <c r="B2424">
        <v>3031</v>
      </c>
      <c r="C2424" t="s">
        <v>162</v>
      </c>
      <c r="D2424">
        <v>5.44</v>
      </c>
      <c r="E2424" s="80">
        <v>99284.59</v>
      </c>
      <c r="F2424">
        <v>1.1100000000000001</v>
      </c>
      <c r="G2424">
        <v>36.93</v>
      </c>
      <c r="H2424">
        <v>3.91</v>
      </c>
      <c r="I2424">
        <v>293.77999999999997</v>
      </c>
      <c r="J2424">
        <v>26.06</v>
      </c>
      <c r="K2424">
        <v>16.850000000000001</v>
      </c>
      <c r="L2424">
        <f t="shared" si="370"/>
        <v>0</v>
      </c>
      <c r="M2424">
        <f t="shared" si="371"/>
        <v>0</v>
      </c>
      <c r="N2424">
        <f t="shared" si="372"/>
        <v>0</v>
      </c>
      <c r="O2424">
        <f t="shared" si="373"/>
        <v>0</v>
      </c>
      <c r="P2424">
        <f t="shared" si="374"/>
        <v>0</v>
      </c>
      <c r="Q2424">
        <f t="shared" si="375"/>
        <v>0</v>
      </c>
      <c r="R2424">
        <f t="shared" si="376"/>
        <v>0</v>
      </c>
      <c r="S2424">
        <f t="shared" si="377"/>
        <v>0</v>
      </c>
      <c r="T2424">
        <f t="shared" si="379"/>
        <v>0</v>
      </c>
      <c r="U2424">
        <f t="shared" si="378"/>
        <v>0</v>
      </c>
    </row>
    <row r="2425" spans="1:21" x14ac:dyDescent="0.25">
      <c r="A2425">
        <v>2424</v>
      </c>
      <c r="B2425">
        <v>3031</v>
      </c>
      <c r="C2425" t="s">
        <v>170</v>
      </c>
      <c r="D2425">
        <v>10.71</v>
      </c>
      <c r="E2425" s="80">
        <v>50753.39</v>
      </c>
      <c r="F2425">
        <v>665.66</v>
      </c>
      <c r="G2425">
        <v>132.13</v>
      </c>
      <c r="H2425">
        <v>3864.14</v>
      </c>
      <c r="I2425" s="80">
        <v>20460.03</v>
      </c>
      <c r="J2425">
        <v>52.86</v>
      </c>
      <c r="K2425">
        <v>3256.35</v>
      </c>
      <c r="L2425">
        <f t="shared" si="370"/>
        <v>0</v>
      </c>
      <c r="M2425">
        <f t="shared" si="371"/>
        <v>0</v>
      </c>
      <c r="N2425">
        <f t="shared" si="372"/>
        <v>0</v>
      </c>
      <c r="O2425">
        <f t="shared" si="373"/>
        <v>0</v>
      </c>
      <c r="P2425">
        <f t="shared" si="374"/>
        <v>0</v>
      </c>
      <c r="Q2425">
        <f t="shared" si="375"/>
        <v>0</v>
      </c>
      <c r="R2425">
        <f t="shared" si="376"/>
        <v>0</v>
      </c>
      <c r="S2425">
        <f t="shared" si="377"/>
        <v>0</v>
      </c>
      <c r="T2425">
        <f t="shared" si="379"/>
        <v>0</v>
      </c>
      <c r="U2425">
        <f t="shared" si="378"/>
        <v>0</v>
      </c>
    </row>
    <row r="2426" spans="1:21" x14ac:dyDescent="0.25">
      <c r="A2426">
        <v>2425</v>
      </c>
      <c r="B2426">
        <v>3031</v>
      </c>
      <c r="C2426" t="s">
        <v>178</v>
      </c>
      <c r="D2426">
        <v>28.03</v>
      </c>
      <c r="E2426" s="80">
        <v>82765.289999999994</v>
      </c>
      <c r="F2426">
        <v>3002.14</v>
      </c>
      <c r="G2426">
        <v>144.38999999999999</v>
      </c>
      <c r="H2426" s="80">
        <v>26552.95</v>
      </c>
      <c r="I2426" s="80">
        <v>23167.88</v>
      </c>
      <c r="J2426">
        <v>68.37</v>
      </c>
      <c r="K2426">
        <v>6862.88</v>
      </c>
      <c r="L2426">
        <f t="shared" si="370"/>
        <v>0</v>
      </c>
      <c r="M2426">
        <f t="shared" si="371"/>
        <v>0</v>
      </c>
      <c r="N2426">
        <f t="shared" si="372"/>
        <v>0</v>
      </c>
      <c r="O2426">
        <f t="shared" si="373"/>
        <v>0</v>
      </c>
      <c r="P2426">
        <f t="shared" si="374"/>
        <v>0</v>
      </c>
      <c r="Q2426">
        <f t="shared" si="375"/>
        <v>0</v>
      </c>
      <c r="R2426">
        <f t="shared" si="376"/>
        <v>0</v>
      </c>
      <c r="S2426">
        <f t="shared" si="377"/>
        <v>0</v>
      </c>
      <c r="T2426">
        <f t="shared" si="379"/>
        <v>0</v>
      </c>
      <c r="U2426">
        <f t="shared" si="378"/>
        <v>0</v>
      </c>
    </row>
    <row r="2427" spans="1:21" x14ac:dyDescent="0.25">
      <c r="A2427">
        <v>2426</v>
      </c>
      <c r="B2427">
        <v>3031</v>
      </c>
      <c r="C2427" t="s">
        <v>163</v>
      </c>
      <c r="D2427">
        <v>20.09</v>
      </c>
      <c r="E2427" s="80">
        <v>61812.01</v>
      </c>
      <c r="F2427">
        <v>2343.71</v>
      </c>
      <c r="G2427">
        <v>144.38999999999999</v>
      </c>
      <c r="H2427">
        <v>13981.56</v>
      </c>
      <c r="I2427" s="80">
        <v>22467.16</v>
      </c>
      <c r="J2427">
        <v>90.18</v>
      </c>
      <c r="K2427" s="80">
        <v>21544.1</v>
      </c>
      <c r="L2427">
        <f t="shared" si="370"/>
        <v>0</v>
      </c>
      <c r="M2427">
        <f t="shared" si="371"/>
        <v>0</v>
      </c>
      <c r="N2427">
        <f t="shared" si="372"/>
        <v>0</v>
      </c>
      <c r="O2427">
        <f t="shared" si="373"/>
        <v>0</v>
      </c>
      <c r="P2427">
        <f t="shared" si="374"/>
        <v>0</v>
      </c>
      <c r="Q2427">
        <f t="shared" si="375"/>
        <v>0</v>
      </c>
      <c r="R2427">
        <f t="shared" si="376"/>
        <v>0</v>
      </c>
      <c r="S2427">
        <f t="shared" si="377"/>
        <v>0</v>
      </c>
      <c r="T2427">
        <f t="shared" si="379"/>
        <v>0</v>
      </c>
      <c r="U2427">
        <f t="shared" si="378"/>
        <v>0</v>
      </c>
    </row>
    <row r="2428" spans="1:21" x14ac:dyDescent="0.25">
      <c r="A2428">
        <v>2427</v>
      </c>
      <c r="B2428">
        <v>3031</v>
      </c>
      <c r="C2428" t="s">
        <v>181</v>
      </c>
      <c r="D2428">
        <v>13.66</v>
      </c>
      <c r="E2428" s="89" t="s">
        <v>582</v>
      </c>
      <c r="F2428">
        <v>1.29</v>
      </c>
      <c r="G2428">
        <v>45.88</v>
      </c>
      <c r="H2428">
        <v>22.69</v>
      </c>
      <c r="I2428">
        <v>1053.96</v>
      </c>
      <c r="J2428">
        <v>29.01</v>
      </c>
      <c r="K2428">
        <v>197.04</v>
      </c>
      <c r="L2428">
        <f t="shared" si="370"/>
        <v>0</v>
      </c>
      <c r="M2428">
        <f t="shared" si="371"/>
        <v>1</v>
      </c>
      <c r="N2428">
        <f t="shared" si="372"/>
        <v>0</v>
      </c>
      <c r="O2428">
        <f t="shared" si="373"/>
        <v>0</v>
      </c>
      <c r="P2428">
        <f t="shared" si="374"/>
        <v>0</v>
      </c>
      <c r="Q2428">
        <f t="shared" si="375"/>
        <v>0</v>
      </c>
      <c r="R2428">
        <f t="shared" si="376"/>
        <v>0</v>
      </c>
      <c r="S2428">
        <f t="shared" si="377"/>
        <v>0</v>
      </c>
      <c r="T2428">
        <f t="shared" si="379"/>
        <v>1</v>
      </c>
      <c r="U2428">
        <f t="shared" si="378"/>
        <v>1</v>
      </c>
    </row>
    <row r="2429" spans="1:21" x14ac:dyDescent="0.25">
      <c r="A2429">
        <v>2428</v>
      </c>
      <c r="B2429">
        <v>3031</v>
      </c>
      <c r="C2429" t="s">
        <v>183</v>
      </c>
      <c r="D2429">
        <v>20.09</v>
      </c>
      <c r="E2429" s="89" t="s">
        <v>582</v>
      </c>
      <c r="F2429">
        <v>1642.84</v>
      </c>
      <c r="G2429">
        <v>132.13</v>
      </c>
      <c r="H2429">
        <v>2907.12</v>
      </c>
      <c r="I2429" s="80">
        <v>23918.75</v>
      </c>
      <c r="J2429">
        <v>80.95</v>
      </c>
      <c r="K2429" s="80">
        <v>16514.099999999999</v>
      </c>
      <c r="L2429">
        <f t="shared" si="370"/>
        <v>0</v>
      </c>
      <c r="M2429">
        <f t="shared" si="371"/>
        <v>1</v>
      </c>
      <c r="N2429">
        <f t="shared" si="372"/>
        <v>0</v>
      </c>
      <c r="O2429">
        <f t="shared" si="373"/>
        <v>0</v>
      </c>
      <c r="P2429">
        <f t="shared" si="374"/>
        <v>0</v>
      </c>
      <c r="Q2429">
        <f t="shared" si="375"/>
        <v>0</v>
      </c>
      <c r="R2429">
        <f t="shared" si="376"/>
        <v>0</v>
      </c>
      <c r="S2429">
        <f t="shared" si="377"/>
        <v>0</v>
      </c>
      <c r="T2429">
        <f t="shared" si="379"/>
        <v>1</v>
      </c>
      <c r="U2429">
        <f t="shared" si="378"/>
        <v>1</v>
      </c>
    </row>
    <row r="2430" spans="1:21" x14ac:dyDescent="0.25">
      <c r="A2430">
        <v>2429</v>
      </c>
      <c r="B2430">
        <v>3031</v>
      </c>
      <c r="C2430" t="s">
        <v>186</v>
      </c>
      <c r="D2430">
        <v>23.53</v>
      </c>
      <c r="E2430" s="89" t="s">
        <v>582</v>
      </c>
      <c r="F2430">
        <v>3531.36</v>
      </c>
      <c r="G2430">
        <v>126.1</v>
      </c>
      <c r="H2430">
        <v>11732.06</v>
      </c>
      <c r="I2430" s="80">
        <v>24073.05</v>
      </c>
      <c r="J2430">
        <v>77.31</v>
      </c>
      <c r="K2430" t="s">
        <v>582</v>
      </c>
      <c r="L2430">
        <f t="shared" si="370"/>
        <v>0</v>
      </c>
      <c r="M2430">
        <f t="shared" si="371"/>
        <v>1</v>
      </c>
      <c r="N2430">
        <f t="shared" si="372"/>
        <v>0</v>
      </c>
      <c r="O2430">
        <f t="shared" si="373"/>
        <v>0</v>
      </c>
      <c r="P2430">
        <f t="shared" si="374"/>
        <v>0</v>
      </c>
      <c r="Q2430">
        <f t="shared" si="375"/>
        <v>0</v>
      </c>
      <c r="R2430">
        <f t="shared" si="376"/>
        <v>0</v>
      </c>
      <c r="S2430">
        <f t="shared" si="377"/>
        <v>1</v>
      </c>
      <c r="T2430">
        <f t="shared" si="379"/>
        <v>2</v>
      </c>
      <c r="U2430">
        <f t="shared" si="378"/>
        <v>1</v>
      </c>
    </row>
    <row r="2431" spans="1:21" x14ac:dyDescent="0.25">
      <c r="A2431">
        <v>2430</v>
      </c>
      <c r="B2431">
        <v>3031</v>
      </c>
      <c r="C2431" t="s">
        <v>188</v>
      </c>
      <c r="D2431">
        <v>16.79</v>
      </c>
      <c r="E2431" s="80">
        <v>149205.04</v>
      </c>
      <c r="F2431">
        <v>1868.88</v>
      </c>
      <c r="G2431">
        <v>120.15</v>
      </c>
      <c r="H2431">
        <v>10205.51</v>
      </c>
      <c r="I2431" s="80">
        <v>23516.81</v>
      </c>
      <c r="J2431">
        <v>103.43</v>
      </c>
      <c r="K2431" t="s">
        <v>582</v>
      </c>
      <c r="L2431">
        <f t="shared" si="370"/>
        <v>0</v>
      </c>
      <c r="M2431">
        <f t="shared" si="371"/>
        <v>0</v>
      </c>
      <c r="N2431">
        <f t="shared" si="372"/>
        <v>0</v>
      </c>
      <c r="O2431">
        <f t="shared" si="373"/>
        <v>0</v>
      </c>
      <c r="P2431">
        <f t="shared" si="374"/>
        <v>0</v>
      </c>
      <c r="Q2431">
        <f t="shared" si="375"/>
        <v>0</v>
      </c>
      <c r="R2431">
        <f t="shared" si="376"/>
        <v>0</v>
      </c>
      <c r="S2431">
        <f t="shared" si="377"/>
        <v>1</v>
      </c>
      <c r="T2431">
        <f t="shared" si="379"/>
        <v>1</v>
      </c>
      <c r="U2431">
        <f t="shared" si="378"/>
        <v>1</v>
      </c>
    </row>
    <row r="2432" spans="1:21" x14ac:dyDescent="0.25">
      <c r="A2432">
        <v>2431</v>
      </c>
      <c r="B2432">
        <v>3031</v>
      </c>
      <c r="C2432" t="s">
        <v>182</v>
      </c>
      <c r="D2432" t="s">
        <v>583</v>
      </c>
      <c r="E2432">
        <v>1791.98</v>
      </c>
      <c r="F2432" t="s">
        <v>583</v>
      </c>
      <c r="G2432" s="80">
        <v>0.51</v>
      </c>
      <c r="H2432">
        <v>0.98</v>
      </c>
      <c r="I2432">
        <v>122.94</v>
      </c>
      <c r="J2432">
        <v>3.32</v>
      </c>
      <c r="K2432">
        <v>0.72</v>
      </c>
      <c r="L2432">
        <f t="shared" si="370"/>
        <v>0</v>
      </c>
      <c r="M2432">
        <f t="shared" si="371"/>
        <v>0</v>
      </c>
      <c r="N2432">
        <f t="shared" si="372"/>
        <v>0</v>
      </c>
      <c r="O2432">
        <f t="shared" si="373"/>
        <v>0</v>
      </c>
      <c r="P2432">
        <f t="shared" si="374"/>
        <v>0</v>
      </c>
      <c r="Q2432">
        <f t="shared" si="375"/>
        <v>0</v>
      </c>
      <c r="R2432">
        <f t="shared" si="376"/>
        <v>0</v>
      </c>
      <c r="S2432">
        <f t="shared" si="377"/>
        <v>0</v>
      </c>
      <c r="T2432">
        <f t="shared" si="379"/>
        <v>0</v>
      </c>
      <c r="U2432">
        <f t="shared" si="378"/>
        <v>0</v>
      </c>
    </row>
    <row r="2433" spans="1:21" x14ac:dyDescent="0.25">
      <c r="A2433">
        <v>2432</v>
      </c>
      <c r="B2433">
        <v>3031</v>
      </c>
      <c r="C2433" t="s">
        <v>184</v>
      </c>
      <c r="D2433">
        <v>20.09</v>
      </c>
      <c r="E2433">
        <v>23859.54</v>
      </c>
      <c r="F2433">
        <v>146.65</v>
      </c>
      <c r="G2433">
        <v>97.13</v>
      </c>
      <c r="H2433">
        <v>13758.24</v>
      </c>
      <c r="I2433" s="80">
        <v>17149.14</v>
      </c>
      <c r="J2433">
        <v>52.86</v>
      </c>
      <c r="K2433">
        <v>3828.36</v>
      </c>
      <c r="L2433">
        <f t="shared" si="370"/>
        <v>0</v>
      </c>
      <c r="M2433">
        <f t="shared" si="371"/>
        <v>0</v>
      </c>
      <c r="N2433">
        <f t="shared" si="372"/>
        <v>0</v>
      </c>
      <c r="O2433">
        <f t="shared" si="373"/>
        <v>0</v>
      </c>
      <c r="P2433">
        <f t="shared" si="374"/>
        <v>0</v>
      </c>
      <c r="Q2433">
        <f t="shared" si="375"/>
        <v>0</v>
      </c>
      <c r="R2433">
        <f t="shared" si="376"/>
        <v>0</v>
      </c>
      <c r="S2433">
        <f t="shared" si="377"/>
        <v>0</v>
      </c>
      <c r="T2433">
        <f t="shared" si="379"/>
        <v>0</v>
      </c>
      <c r="U2433">
        <f t="shared" si="378"/>
        <v>0</v>
      </c>
    </row>
    <row r="2434" spans="1:21" x14ac:dyDescent="0.25">
      <c r="A2434">
        <v>2433</v>
      </c>
      <c r="B2434">
        <v>3031</v>
      </c>
      <c r="C2434" t="s">
        <v>187</v>
      </c>
      <c r="D2434">
        <v>105.16</v>
      </c>
      <c r="E2434">
        <v>24519.58</v>
      </c>
      <c r="F2434">
        <v>527.07000000000005</v>
      </c>
      <c r="G2434">
        <v>150.63</v>
      </c>
      <c r="H2434" s="80">
        <v>89440.93</v>
      </c>
      <c r="I2434" s="80">
        <v>18359.88</v>
      </c>
      <c r="J2434">
        <v>93.93</v>
      </c>
      <c r="K2434" s="80">
        <v>30640.36</v>
      </c>
      <c r="L2434">
        <f t="shared" ref="L2434:L2497" si="380">IF(D2434 = "OOR &gt;", 1,0)</f>
        <v>0</v>
      </c>
      <c r="M2434">
        <f t="shared" ref="M2434:M2497" si="381">IF(E2434 = "OOR &gt;", 1,0)</f>
        <v>0</v>
      </c>
      <c r="N2434">
        <f t="shared" ref="N2434:N2497" si="382">IF(F2434 = "OOR &gt;", 1,0)</f>
        <v>0</v>
      </c>
      <c r="O2434">
        <f t="shared" ref="O2434:O2497" si="383">IF(G2434 = "OOR &gt;", 1,0)</f>
        <v>0</v>
      </c>
      <c r="P2434">
        <f t="shared" ref="P2434:P2497" si="384">IF(H2434 = "OOR &gt;", 1,0)</f>
        <v>0</v>
      </c>
      <c r="Q2434">
        <f t="shared" ref="Q2434:Q2497" si="385">IF(I2434 = "OOR &gt;", 1,0)</f>
        <v>0</v>
      </c>
      <c r="R2434">
        <f t="shared" ref="R2434:R2497" si="386">IF(J2434 = "OOR &gt;", 1,0)</f>
        <v>0</v>
      </c>
      <c r="S2434">
        <f t="shared" ref="S2434:S2497" si="387">IF(K2434 = "OOR &gt;", 1,0)</f>
        <v>0</v>
      </c>
      <c r="T2434">
        <f t="shared" si="379"/>
        <v>0</v>
      </c>
      <c r="U2434">
        <f t="shared" ref="U2434:U2497" si="388">IF(T2434 &gt; 0,1,0)</f>
        <v>0</v>
      </c>
    </row>
    <row r="2435" spans="1:21" x14ac:dyDescent="0.25">
      <c r="A2435">
        <v>2434</v>
      </c>
      <c r="B2435">
        <v>3031</v>
      </c>
      <c r="C2435" t="s">
        <v>189</v>
      </c>
      <c r="D2435">
        <v>20.09</v>
      </c>
      <c r="E2435">
        <v>13037.64</v>
      </c>
      <c r="F2435">
        <v>62.5</v>
      </c>
      <c r="G2435">
        <v>108.48</v>
      </c>
      <c r="H2435" s="80">
        <v>37791.660000000003</v>
      </c>
      <c r="I2435" s="80">
        <v>17144.810000000001</v>
      </c>
      <c r="J2435">
        <v>79.13</v>
      </c>
      <c r="K2435" s="80">
        <v>17638.14</v>
      </c>
      <c r="L2435">
        <f t="shared" si="380"/>
        <v>0</v>
      </c>
      <c r="M2435">
        <f t="shared" si="381"/>
        <v>0</v>
      </c>
      <c r="N2435">
        <f t="shared" si="382"/>
        <v>0</v>
      </c>
      <c r="O2435">
        <f t="shared" si="383"/>
        <v>0</v>
      </c>
      <c r="P2435">
        <f t="shared" si="384"/>
        <v>0</v>
      </c>
      <c r="Q2435">
        <f t="shared" si="385"/>
        <v>0</v>
      </c>
      <c r="R2435">
        <f t="shared" si="386"/>
        <v>0</v>
      </c>
      <c r="S2435">
        <f t="shared" si="387"/>
        <v>0</v>
      </c>
      <c r="T2435">
        <f t="shared" ref="T2435:T2498" si="389">SUMIF(L2435:S2435,"&gt;0")</f>
        <v>0</v>
      </c>
      <c r="U2435">
        <f t="shared" si="388"/>
        <v>0</v>
      </c>
    </row>
    <row r="2436" spans="1:21" x14ac:dyDescent="0.25">
      <c r="A2436">
        <v>2435</v>
      </c>
      <c r="B2436">
        <v>3030</v>
      </c>
      <c r="C2436" t="s">
        <v>162</v>
      </c>
      <c r="D2436">
        <v>4.29</v>
      </c>
      <c r="E2436" s="80">
        <v>34696.47</v>
      </c>
      <c r="F2436">
        <v>0.81</v>
      </c>
      <c r="G2436">
        <v>36.93</v>
      </c>
      <c r="H2436">
        <v>0.77</v>
      </c>
      <c r="I2436">
        <v>7.4</v>
      </c>
      <c r="J2436">
        <v>16.28</v>
      </c>
      <c r="K2436">
        <v>6.1</v>
      </c>
      <c r="L2436">
        <f t="shared" si="380"/>
        <v>0</v>
      </c>
      <c r="M2436">
        <f t="shared" si="381"/>
        <v>0</v>
      </c>
      <c r="N2436">
        <f t="shared" si="382"/>
        <v>0</v>
      </c>
      <c r="O2436">
        <f t="shared" si="383"/>
        <v>0</v>
      </c>
      <c r="P2436">
        <f t="shared" si="384"/>
        <v>0</v>
      </c>
      <c r="Q2436">
        <f t="shared" si="385"/>
        <v>0</v>
      </c>
      <c r="R2436">
        <f t="shared" si="386"/>
        <v>0</v>
      </c>
      <c r="S2436">
        <f t="shared" si="387"/>
        <v>0</v>
      </c>
      <c r="T2436">
        <f t="shared" si="389"/>
        <v>0</v>
      </c>
      <c r="U2436">
        <f t="shared" si="388"/>
        <v>0</v>
      </c>
    </row>
    <row r="2437" spans="1:21" x14ac:dyDescent="0.25">
      <c r="A2437">
        <v>2436</v>
      </c>
      <c r="B2437">
        <v>3030</v>
      </c>
      <c r="C2437" t="s">
        <v>170</v>
      </c>
      <c r="D2437">
        <v>7.96</v>
      </c>
      <c r="E2437">
        <v>19423.810000000001</v>
      </c>
      <c r="F2437">
        <v>267.27999999999997</v>
      </c>
      <c r="G2437">
        <v>70.27</v>
      </c>
      <c r="H2437">
        <v>1626.22</v>
      </c>
      <c r="I2437" s="80">
        <v>16026.44</v>
      </c>
      <c r="J2437">
        <v>35.08</v>
      </c>
      <c r="K2437">
        <v>2074.6999999999998</v>
      </c>
      <c r="L2437">
        <f t="shared" si="380"/>
        <v>0</v>
      </c>
      <c r="M2437">
        <f t="shared" si="381"/>
        <v>0</v>
      </c>
      <c r="N2437">
        <f t="shared" si="382"/>
        <v>0</v>
      </c>
      <c r="O2437">
        <f t="shared" si="383"/>
        <v>0</v>
      </c>
      <c r="P2437">
        <f t="shared" si="384"/>
        <v>0</v>
      </c>
      <c r="Q2437">
        <f t="shared" si="385"/>
        <v>0</v>
      </c>
      <c r="R2437">
        <f t="shared" si="386"/>
        <v>0</v>
      </c>
      <c r="S2437">
        <f t="shared" si="387"/>
        <v>0</v>
      </c>
      <c r="T2437">
        <f t="shared" si="389"/>
        <v>0</v>
      </c>
      <c r="U2437">
        <f t="shared" si="388"/>
        <v>0</v>
      </c>
    </row>
    <row r="2438" spans="1:21" x14ac:dyDescent="0.25">
      <c r="A2438">
        <v>2437</v>
      </c>
      <c r="B2438">
        <v>3030</v>
      </c>
      <c r="C2438" t="s">
        <v>178</v>
      </c>
      <c r="D2438">
        <v>23.53</v>
      </c>
      <c r="E2438">
        <v>11305.7</v>
      </c>
      <c r="F2438">
        <v>508.06</v>
      </c>
      <c r="G2438">
        <v>75.459999999999994</v>
      </c>
      <c r="H2438">
        <v>12066.4</v>
      </c>
      <c r="I2438" s="80">
        <v>17145.53</v>
      </c>
      <c r="J2438">
        <v>38.200000000000003</v>
      </c>
      <c r="K2438">
        <v>5112.2299999999996</v>
      </c>
      <c r="L2438">
        <f t="shared" si="380"/>
        <v>0</v>
      </c>
      <c r="M2438">
        <f t="shared" si="381"/>
        <v>0</v>
      </c>
      <c r="N2438">
        <f t="shared" si="382"/>
        <v>0</v>
      </c>
      <c r="O2438">
        <f t="shared" si="383"/>
        <v>0</v>
      </c>
      <c r="P2438">
        <f t="shared" si="384"/>
        <v>0</v>
      </c>
      <c r="Q2438">
        <f t="shared" si="385"/>
        <v>0</v>
      </c>
      <c r="R2438">
        <f t="shared" si="386"/>
        <v>0</v>
      </c>
      <c r="S2438">
        <f t="shared" si="387"/>
        <v>0</v>
      </c>
      <c r="T2438">
        <f t="shared" si="389"/>
        <v>0</v>
      </c>
      <c r="U2438">
        <f t="shared" si="388"/>
        <v>0</v>
      </c>
    </row>
    <row r="2439" spans="1:21" x14ac:dyDescent="0.25">
      <c r="A2439">
        <v>2438</v>
      </c>
      <c r="B2439">
        <v>3030</v>
      </c>
      <c r="C2439" t="s">
        <v>163</v>
      </c>
      <c r="D2439">
        <v>12.16</v>
      </c>
      <c r="E2439">
        <v>10103.43</v>
      </c>
      <c r="F2439">
        <v>211.71</v>
      </c>
      <c r="G2439">
        <v>65.180000000000007</v>
      </c>
      <c r="H2439">
        <v>5853.91</v>
      </c>
      <c r="I2439" s="80">
        <v>16550.12</v>
      </c>
      <c r="J2439">
        <v>42.98</v>
      </c>
      <c r="K2439" s="80">
        <v>10170.049999999999</v>
      </c>
      <c r="L2439">
        <f t="shared" si="380"/>
        <v>0</v>
      </c>
      <c r="M2439">
        <f t="shared" si="381"/>
        <v>0</v>
      </c>
      <c r="N2439">
        <f t="shared" si="382"/>
        <v>0</v>
      </c>
      <c r="O2439">
        <f t="shared" si="383"/>
        <v>0</v>
      </c>
      <c r="P2439">
        <f t="shared" si="384"/>
        <v>0</v>
      </c>
      <c r="Q2439">
        <f t="shared" si="385"/>
        <v>0</v>
      </c>
      <c r="R2439">
        <f t="shared" si="386"/>
        <v>0</v>
      </c>
      <c r="S2439">
        <f t="shared" si="387"/>
        <v>0</v>
      </c>
      <c r="T2439">
        <f t="shared" si="389"/>
        <v>0</v>
      </c>
      <c r="U2439">
        <f t="shared" si="388"/>
        <v>0</v>
      </c>
    </row>
    <row r="2440" spans="1:21" x14ac:dyDescent="0.25">
      <c r="A2440">
        <v>2439</v>
      </c>
      <c r="B2440">
        <v>3030</v>
      </c>
      <c r="C2440" t="s">
        <v>181</v>
      </c>
      <c r="D2440">
        <v>3.2</v>
      </c>
      <c r="E2440" s="80">
        <v>42322.15</v>
      </c>
      <c r="F2440">
        <v>0.37</v>
      </c>
      <c r="G2440">
        <v>13.6</v>
      </c>
      <c r="H2440">
        <v>7.02</v>
      </c>
      <c r="I2440">
        <v>25.38</v>
      </c>
      <c r="J2440">
        <v>14.96</v>
      </c>
      <c r="K2440">
        <v>25.84</v>
      </c>
      <c r="L2440">
        <f t="shared" si="380"/>
        <v>0</v>
      </c>
      <c r="M2440">
        <f t="shared" si="381"/>
        <v>0</v>
      </c>
      <c r="N2440">
        <f t="shared" si="382"/>
        <v>0</v>
      </c>
      <c r="O2440">
        <f t="shared" si="383"/>
        <v>0</v>
      </c>
      <c r="P2440">
        <f t="shared" si="384"/>
        <v>0</v>
      </c>
      <c r="Q2440">
        <f t="shared" si="385"/>
        <v>0</v>
      </c>
      <c r="R2440">
        <f t="shared" si="386"/>
        <v>0</v>
      </c>
      <c r="S2440">
        <f t="shared" si="387"/>
        <v>0</v>
      </c>
      <c r="T2440">
        <f t="shared" si="389"/>
        <v>0</v>
      </c>
      <c r="U2440">
        <f t="shared" si="388"/>
        <v>0</v>
      </c>
    </row>
    <row r="2441" spans="1:21" x14ac:dyDescent="0.25">
      <c r="A2441">
        <v>2440</v>
      </c>
      <c r="B2441">
        <v>3030</v>
      </c>
      <c r="C2441" t="s">
        <v>183</v>
      </c>
      <c r="D2441">
        <v>4.29</v>
      </c>
      <c r="E2441">
        <v>11748.64</v>
      </c>
      <c r="F2441">
        <v>79.86</v>
      </c>
      <c r="G2441">
        <v>28.51</v>
      </c>
      <c r="H2441">
        <v>1480.23</v>
      </c>
      <c r="I2441" s="80">
        <v>17560.96</v>
      </c>
      <c r="J2441">
        <v>30.5</v>
      </c>
      <c r="K2441">
        <v>5225.7</v>
      </c>
      <c r="L2441">
        <f t="shared" si="380"/>
        <v>0</v>
      </c>
      <c r="M2441">
        <f t="shared" si="381"/>
        <v>0</v>
      </c>
      <c r="N2441">
        <f t="shared" si="382"/>
        <v>0</v>
      </c>
      <c r="O2441">
        <f t="shared" si="383"/>
        <v>0</v>
      </c>
      <c r="P2441">
        <f t="shared" si="384"/>
        <v>0</v>
      </c>
      <c r="Q2441">
        <f t="shared" si="385"/>
        <v>0</v>
      </c>
      <c r="R2441">
        <f t="shared" si="386"/>
        <v>0</v>
      </c>
      <c r="S2441">
        <f t="shared" si="387"/>
        <v>0</v>
      </c>
      <c r="T2441">
        <f t="shared" si="389"/>
        <v>0</v>
      </c>
      <c r="U2441">
        <f t="shared" si="388"/>
        <v>0</v>
      </c>
    </row>
    <row r="2442" spans="1:21" x14ac:dyDescent="0.25">
      <c r="A2442">
        <v>2441</v>
      </c>
      <c r="B2442">
        <v>3030</v>
      </c>
      <c r="C2442" t="s">
        <v>186</v>
      </c>
      <c r="D2442">
        <v>6.67</v>
      </c>
      <c r="E2442">
        <v>8550.4</v>
      </c>
      <c r="F2442">
        <v>158.16999999999999</v>
      </c>
      <c r="G2442">
        <v>55.31</v>
      </c>
      <c r="H2442">
        <v>5192.17</v>
      </c>
      <c r="I2442" s="80">
        <v>17393.830000000002</v>
      </c>
      <c r="J2442">
        <v>38.200000000000003</v>
      </c>
      <c r="K2442">
        <v>7867.24</v>
      </c>
      <c r="L2442">
        <f t="shared" si="380"/>
        <v>0</v>
      </c>
      <c r="M2442">
        <f t="shared" si="381"/>
        <v>0</v>
      </c>
      <c r="N2442">
        <f t="shared" si="382"/>
        <v>0</v>
      </c>
      <c r="O2442">
        <f t="shared" si="383"/>
        <v>0</v>
      </c>
      <c r="P2442">
        <f t="shared" si="384"/>
        <v>0</v>
      </c>
      <c r="Q2442">
        <f t="shared" si="385"/>
        <v>0</v>
      </c>
      <c r="R2442">
        <f t="shared" si="386"/>
        <v>0</v>
      </c>
      <c r="S2442">
        <f t="shared" si="387"/>
        <v>0</v>
      </c>
      <c r="T2442">
        <f t="shared" si="389"/>
        <v>0</v>
      </c>
      <c r="U2442">
        <f t="shared" si="388"/>
        <v>0</v>
      </c>
    </row>
    <row r="2443" spans="1:21" x14ac:dyDescent="0.25">
      <c r="A2443">
        <v>2442</v>
      </c>
      <c r="B2443">
        <v>3030</v>
      </c>
      <c r="C2443" t="s">
        <v>188</v>
      </c>
      <c r="D2443">
        <v>11.43</v>
      </c>
      <c r="E2443">
        <v>18219.490000000002</v>
      </c>
      <c r="F2443">
        <v>89.38</v>
      </c>
      <c r="G2443">
        <v>65.180000000000007</v>
      </c>
      <c r="H2443">
        <v>2474.5700000000002</v>
      </c>
      <c r="I2443" s="80">
        <v>17823.580000000002</v>
      </c>
      <c r="J2443">
        <v>54.54</v>
      </c>
      <c r="K2443" s="80">
        <v>11910.78</v>
      </c>
      <c r="L2443">
        <f t="shared" si="380"/>
        <v>0</v>
      </c>
      <c r="M2443">
        <f t="shared" si="381"/>
        <v>0</v>
      </c>
      <c r="N2443">
        <f t="shared" si="382"/>
        <v>0</v>
      </c>
      <c r="O2443">
        <f t="shared" si="383"/>
        <v>0</v>
      </c>
      <c r="P2443">
        <f t="shared" si="384"/>
        <v>0</v>
      </c>
      <c r="Q2443">
        <f t="shared" si="385"/>
        <v>0</v>
      </c>
      <c r="R2443">
        <f t="shared" si="386"/>
        <v>0</v>
      </c>
      <c r="S2443">
        <f t="shared" si="387"/>
        <v>0</v>
      </c>
      <c r="T2443">
        <f t="shared" si="389"/>
        <v>0</v>
      </c>
      <c r="U2443">
        <f t="shared" si="388"/>
        <v>0</v>
      </c>
    </row>
    <row r="2444" spans="1:21" x14ac:dyDescent="0.25">
      <c r="A2444">
        <v>2443</v>
      </c>
      <c r="B2444">
        <v>3030</v>
      </c>
      <c r="C2444" t="s">
        <v>182</v>
      </c>
      <c r="D2444">
        <v>0.57999999999999996</v>
      </c>
      <c r="E2444">
        <v>5222.32</v>
      </c>
      <c r="F2444">
        <v>0.28999999999999998</v>
      </c>
      <c r="G2444" s="80">
        <v>2.3199999999999998</v>
      </c>
      <c r="H2444">
        <v>0.87</v>
      </c>
      <c r="I2444">
        <v>7.22</v>
      </c>
      <c r="J2444">
        <v>3.32</v>
      </c>
      <c r="K2444">
        <v>0.48</v>
      </c>
      <c r="L2444">
        <f t="shared" si="380"/>
        <v>0</v>
      </c>
      <c r="M2444">
        <f t="shared" si="381"/>
        <v>0</v>
      </c>
      <c r="N2444">
        <f t="shared" si="382"/>
        <v>0</v>
      </c>
      <c r="O2444">
        <f t="shared" si="383"/>
        <v>0</v>
      </c>
      <c r="P2444">
        <f t="shared" si="384"/>
        <v>0</v>
      </c>
      <c r="Q2444">
        <f t="shared" si="385"/>
        <v>0</v>
      </c>
      <c r="R2444">
        <f t="shared" si="386"/>
        <v>0</v>
      </c>
      <c r="S2444">
        <f t="shared" si="387"/>
        <v>0</v>
      </c>
      <c r="T2444">
        <f t="shared" si="389"/>
        <v>0</v>
      </c>
      <c r="U2444">
        <f t="shared" si="388"/>
        <v>0</v>
      </c>
    </row>
    <row r="2445" spans="1:21" x14ac:dyDescent="0.25">
      <c r="A2445">
        <v>2444</v>
      </c>
      <c r="B2445">
        <v>3030</v>
      </c>
      <c r="C2445" t="s">
        <v>184</v>
      </c>
      <c r="D2445">
        <v>34.67</v>
      </c>
      <c r="E2445" s="80">
        <v>27874.9</v>
      </c>
      <c r="F2445">
        <v>149.52000000000001</v>
      </c>
      <c r="G2445">
        <v>45.88</v>
      </c>
      <c r="H2445" s="80">
        <v>24072.91</v>
      </c>
      <c r="I2445" s="80">
        <v>17433.03</v>
      </c>
      <c r="J2445">
        <v>20.36</v>
      </c>
      <c r="K2445">
        <v>4353.1899999999996</v>
      </c>
      <c r="L2445">
        <f t="shared" si="380"/>
        <v>0</v>
      </c>
      <c r="M2445">
        <f t="shared" si="381"/>
        <v>0</v>
      </c>
      <c r="N2445">
        <f t="shared" si="382"/>
        <v>0</v>
      </c>
      <c r="O2445">
        <f t="shared" si="383"/>
        <v>0</v>
      </c>
      <c r="P2445">
        <f t="shared" si="384"/>
        <v>0</v>
      </c>
      <c r="Q2445">
        <f t="shared" si="385"/>
        <v>0</v>
      </c>
      <c r="R2445">
        <f t="shared" si="386"/>
        <v>0</v>
      </c>
      <c r="S2445">
        <f t="shared" si="387"/>
        <v>0</v>
      </c>
      <c r="T2445">
        <f t="shared" si="389"/>
        <v>0</v>
      </c>
      <c r="U2445">
        <f t="shared" si="388"/>
        <v>0</v>
      </c>
    </row>
    <row r="2446" spans="1:21" x14ac:dyDescent="0.25">
      <c r="A2446">
        <v>2445</v>
      </c>
      <c r="B2446">
        <v>3030</v>
      </c>
      <c r="C2446" t="s">
        <v>187</v>
      </c>
      <c r="D2446">
        <v>149.16999999999999</v>
      </c>
      <c r="E2446">
        <v>23489.9</v>
      </c>
      <c r="F2446">
        <v>108.95</v>
      </c>
      <c r="G2446">
        <v>70.27</v>
      </c>
      <c r="H2446" s="80">
        <v>30552.71</v>
      </c>
      <c r="I2446" s="80">
        <v>16387.54</v>
      </c>
      <c r="J2446">
        <v>59.65</v>
      </c>
      <c r="K2446">
        <v>7058.94</v>
      </c>
      <c r="L2446">
        <f t="shared" si="380"/>
        <v>0</v>
      </c>
      <c r="M2446">
        <f t="shared" si="381"/>
        <v>0</v>
      </c>
      <c r="N2446">
        <f t="shared" si="382"/>
        <v>0</v>
      </c>
      <c r="O2446">
        <f t="shared" si="383"/>
        <v>0</v>
      </c>
      <c r="P2446">
        <f t="shared" si="384"/>
        <v>0</v>
      </c>
      <c r="Q2446">
        <f t="shared" si="385"/>
        <v>0</v>
      </c>
      <c r="R2446">
        <f t="shared" si="386"/>
        <v>0</v>
      </c>
      <c r="S2446">
        <f t="shared" si="387"/>
        <v>0</v>
      </c>
      <c r="T2446">
        <f t="shared" si="389"/>
        <v>0</v>
      </c>
      <c r="U2446">
        <f t="shared" si="388"/>
        <v>0</v>
      </c>
    </row>
    <row r="2447" spans="1:21" x14ac:dyDescent="0.25">
      <c r="A2447">
        <v>2446</v>
      </c>
      <c r="B2447">
        <v>3030</v>
      </c>
      <c r="C2447" t="s">
        <v>189</v>
      </c>
      <c r="D2447">
        <v>22.66</v>
      </c>
      <c r="E2447">
        <v>19779.37</v>
      </c>
      <c r="F2447">
        <v>21.69</v>
      </c>
      <c r="G2447">
        <v>55.31</v>
      </c>
      <c r="H2447">
        <v>6362.98</v>
      </c>
      <c r="I2447" s="80">
        <v>14474.22</v>
      </c>
      <c r="J2447">
        <v>54.54</v>
      </c>
      <c r="K2447" s="80">
        <v>10140.36</v>
      </c>
      <c r="L2447">
        <f t="shared" si="380"/>
        <v>0</v>
      </c>
      <c r="M2447">
        <f t="shared" si="381"/>
        <v>0</v>
      </c>
      <c r="N2447">
        <f t="shared" si="382"/>
        <v>0</v>
      </c>
      <c r="O2447">
        <f t="shared" si="383"/>
        <v>0</v>
      </c>
      <c r="P2447">
        <f t="shared" si="384"/>
        <v>0</v>
      </c>
      <c r="Q2447">
        <f t="shared" si="385"/>
        <v>0</v>
      </c>
      <c r="R2447">
        <f t="shared" si="386"/>
        <v>0</v>
      </c>
      <c r="S2447">
        <f t="shared" si="387"/>
        <v>0</v>
      </c>
      <c r="T2447">
        <f t="shared" si="389"/>
        <v>0</v>
      </c>
      <c r="U2447">
        <f t="shared" si="388"/>
        <v>0</v>
      </c>
    </row>
    <row r="2448" spans="1:21" x14ac:dyDescent="0.25">
      <c r="A2448">
        <v>2447</v>
      </c>
      <c r="B2448" t="s">
        <v>96</v>
      </c>
      <c r="C2448" t="s">
        <v>162</v>
      </c>
      <c r="D2448" t="s">
        <v>583</v>
      </c>
      <c r="E2448">
        <v>6.82</v>
      </c>
      <c r="F2448">
        <v>0.37</v>
      </c>
      <c r="G2448">
        <v>28.51</v>
      </c>
      <c r="H2448" t="s">
        <v>583</v>
      </c>
      <c r="I2448">
        <v>0.05</v>
      </c>
      <c r="J2448" t="s">
        <v>583</v>
      </c>
      <c r="K2448" s="80">
        <v>0.03</v>
      </c>
      <c r="L2448">
        <f t="shared" si="380"/>
        <v>0</v>
      </c>
      <c r="M2448">
        <f t="shared" si="381"/>
        <v>0</v>
      </c>
      <c r="N2448">
        <f t="shared" si="382"/>
        <v>0</v>
      </c>
      <c r="O2448">
        <f t="shared" si="383"/>
        <v>0</v>
      </c>
      <c r="P2448">
        <f t="shared" si="384"/>
        <v>0</v>
      </c>
      <c r="Q2448">
        <f t="shared" si="385"/>
        <v>0</v>
      </c>
      <c r="R2448">
        <f t="shared" si="386"/>
        <v>0</v>
      </c>
      <c r="S2448">
        <f t="shared" si="387"/>
        <v>0</v>
      </c>
      <c r="T2448">
        <f t="shared" si="389"/>
        <v>0</v>
      </c>
      <c r="U2448">
        <f t="shared" si="388"/>
        <v>0</v>
      </c>
    </row>
    <row r="2449" spans="1:21" x14ac:dyDescent="0.25">
      <c r="A2449">
        <v>2448</v>
      </c>
      <c r="B2449" t="s">
        <v>96</v>
      </c>
      <c r="C2449" t="s">
        <v>170</v>
      </c>
      <c r="D2449" t="s">
        <v>583</v>
      </c>
      <c r="E2449">
        <v>1215.4100000000001</v>
      </c>
      <c r="F2449">
        <v>10.050000000000001</v>
      </c>
      <c r="G2449" t="s">
        <v>583</v>
      </c>
      <c r="H2449">
        <v>1019.71</v>
      </c>
      <c r="I2449" s="80">
        <v>4433.3100000000004</v>
      </c>
      <c r="J2449">
        <v>1.51</v>
      </c>
      <c r="K2449">
        <v>48.17</v>
      </c>
      <c r="L2449">
        <f t="shared" si="380"/>
        <v>0</v>
      </c>
      <c r="M2449">
        <f t="shared" si="381"/>
        <v>0</v>
      </c>
      <c r="N2449">
        <f t="shared" si="382"/>
        <v>0</v>
      </c>
      <c r="O2449">
        <f t="shared" si="383"/>
        <v>0</v>
      </c>
      <c r="P2449">
        <f t="shared" si="384"/>
        <v>0</v>
      </c>
      <c r="Q2449">
        <f t="shared" si="385"/>
        <v>0</v>
      </c>
      <c r="R2449">
        <f t="shared" si="386"/>
        <v>0</v>
      </c>
      <c r="S2449">
        <f t="shared" si="387"/>
        <v>0</v>
      </c>
      <c r="T2449">
        <f t="shared" si="389"/>
        <v>0</v>
      </c>
      <c r="U2449">
        <f t="shared" si="388"/>
        <v>0</v>
      </c>
    </row>
    <row r="2450" spans="1:21" x14ac:dyDescent="0.25">
      <c r="A2450">
        <v>2449</v>
      </c>
      <c r="B2450" t="s">
        <v>96</v>
      </c>
      <c r="C2450" t="s">
        <v>178</v>
      </c>
      <c r="D2450" t="s">
        <v>583</v>
      </c>
      <c r="E2450">
        <v>1604.57</v>
      </c>
      <c r="F2450">
        <v>29.54</v>
      </c>
      <c r="G2450" s="80">
        <v>2.3199999999999998</v>
      </c>
      <c r="H2450">
        <v>2011.71</v>
      </c>
      <c r="I2450" s="80">
        <v>6561.49</v>
      </c>
      <c r="J2450">
        <v>1.51</v>
      </c>
      <c r="K2450">
        <v>73.510000000000005</v>
      </c>
      <c r="L2450">
        <f t="shared" si="380"/>
        <v>0</v>
      </c>
      <c r="M2450">
        <f t="shared" si="381"/>
        <v>0</v>
      </c>
      <c r="N2450">
        <f t="shared" si="382"/>
        <v>0</v>
      </c>
      <c r="O2450">
        <f t="shared" si="383"/>
        <v>0</v>
      </c>
      <c r="P2450">
        <f t="shared" si="384"/>
        <v>0</v>
      </c>
      <c r="Q2450">
        <f t="shared" si="385"/>
        <v>0</v>
      </c>
      <c r="R2450">
        <f t="shared" si="386"/>
        <v>0</v>
      </c>
      <c r="S2450">
        <f t="shared" si="387"/>
        <v>0</v>
      </c>
      <c r="T2450">
        <f t="shared" si="389"/>
        <v>0</v>
      </c>
      <c r="U2450">
        <f t="shared" si="388"/>
        <v>0</v>
      </c>
    </row>
    <row r="2451" spans="1:21" x14ac:dyDescent="0.25">
      <c r="A2451">
        <v>2450</v>
      </c>
      <c r="B2451" t="s">
        <v>96</v>
      </c>
      <c r="C2451" t="s">
        <v>163</v>
      </c>
      <c r="D2451" s="80">
        <v>0.05</v>
      </c>
      <c r="E2451">
        <v>1420.58</v>
      </c>
      <c r="F2451">
        <v>15.72</v>
      </c>
      <c r="G2451">
        <v>7.37</v>
      </c>
      <c r="H2451">
        <v>327.44</v>
      </c>
      <c r="I2451" s="80">
        <v>6538.08</v>
      </c>
      <c r="J2451">
        <v>5.37</v>
      </c>
      <c r="K2451">
        <v>332.28</v>
      </c>
      <c r="L2451">
        <f t="shared" si="380"/>
        <v>0</v>
      </c>
      <c r="M2451">
        <f t="shared" si="381"/>
        <v>0</v>
      </c>
      <c r="N2451">
        <f t="shared" si="382"/>
        <v>0</v>
      </c>
      <c r="O2451">
        <f t="shared" si="383"/>
        <v>0</v>
      </c>
      <c r="P2451">
        <f t="shared" si="384"/>
        <v>0</v>
      </c>
      <c r="Q2451">
        <f t="shared" si="385"/>
        <v>0</v>
      </c>
      <c r="R2451">
        <f t="shared" si="386"/>
        <v>0</v>
      </c>
      <c r="S2451">
        <f t="shared" si="387"/>
        <v>0</v>
      </c>
      <c r="T2451">
        <f t="shared" si="389"/>
        <v>0</v>
      </c>
      <c r="U2451">
        <f t="shared" si="388"/>
        <v>0</v>
      </c>
    </row>
    <row r="2452" spans="1:21" x14ac:dyDescent="0.25">
      <c r="A2452">
        <v>2451</v>
      </c>
      <c r="B2452" t="s">
        <v>96</v>
      </c>
      <c r="C2452" t="s">
        <v>181</v>
      </c>
      <c r="D2452" t="s">
        <v>583</v>
      </c>
      <c r="E2452">
        <v>4983.42</v>
      </c>
      <c r="F2452">
        <v>0.81</v>
      </c>
      <c r="G2452" t="s">
        <v>583</v>
      </c>
      <c r="H2452">
        <v>9.8800000000000008</v>
      </c>
      <c r="I2452">
        <v>271.39</v>
      </c>
      <c r="J2452">
        <v>7.58</v>
      </c>
      <c r="K2452">
        <v>3.44</v>
      </c>
      <c r="L2452">
        <f t="shared" si="380"/>
        <v>0</v>
      </c>
      <c r="M2452">
        <f t="shared" si="381"/>
        <v>0</v>
      </c>
      <c r="N2452">
        <f t="shared" si="382"/>
        <v>0</v>
      </c>
      <c r="O2452">
        <f t="shared" si="383"/>
        <v>0</v>
      </c>
      <c r="P2452">
        <f t="shared" si="384"/>
        <v>0</v>
      </c>
      <c r="Q2452">
        <f t="shared" si="385"/>
        <v>0</v>
      </c>
      <c r="R2452">
        <f t="shared" si="386"/>
        <v>0</v>
      </c>
      <c r="S2452">
        <f t="shared" si="387"/>
        <v>0</v>
      </c>
      <c r="T2452">
        <f t="shared" si="389"/>
        <v>0</v>
      </c>
      <c r="U2452">
        <f t="shared" si="388"/>
        <v>0</v>
      </c>
    </row>
    <row r="2453" spans="1:21" x14ac:dyDescent="0.25">
      <c r="A2453">
        <v>2452</v>
      </c>
      <c r="B2453" t="s">
        <v>96</v>
      </c>
      <c r="C2453" t="s">
        <v>183</v>
      </c>
      <c r="D2453">
        <v>6.67</v>
      </c>
      <c r="E2453" s="80">
        <v>33804.639999999999</v>
      </c>
      <c r="F2453">
        <v>766.84</v>
      </c>
      <c r="G2453">
        <v>45.88</v>
      </c>
      <c r="H2453" s="80">
        <v>17456.830000000002</v>
      </c>
      <c r="I2453" s="80">
        <v>17848.439999999999</v>
      </c>
      <c r="J2453">
        <v>49.52</v>
      </c>
      <c r="K2453">
        <v>3751.89</v>
      </c>
      <c r="L2453">
        <f t="shared" si="380"/>
        <v>0</v>
      </c>
      <c r="M2453">
        <f t="shared" si="381"/>
        <v>0</v>
      </c>
      <c r="N2453">
        <f t="shared" si="382"/>
        <v>0</v>
      </c>
      <c r="O2453">
        <f t="shared" si="383"/>
        <v>0</v>
      </c>
      <c r="P2453">
        <f t="shared" si="384"/>
        <v>0</v>
      </c>
      <c r="Q2453">
        <f t="shared" si="385"/>
        <v>0</v>
      </c>
      <c r="R2453">
        <f t="shared" si="386"/>
        <v>0</v>
      </c>
      <c r="S2453">
        <f t="shared" si="387"/>
        <v>0</v>
      </c>
      <c r="T2453">
        <f t="shared" si="389"/>
        <v>0</v>
      </c>
      <c r="U2453">
        <f t="shared" si="388"/>
        <v>0</v>
      </c>
    </row>
    <row r="2454" spans="1:21" x14ac:dyDescent="0.25">
      <c r="A2454">
        <v>2453</v>
      </c>
      <c r="B2454" t="s">
        <v>96</v>
      </c>
      <c r="C2454" t="s">
        <v>186</v>
      </c>
      <c r="D2454">
        <v>16.79</v>
      </c>
      <c r="E2454" s="80">
        <v>38613.800000000003</v>
      </c>
      <c r="F2454">
        <v>1616.72</v>
      </c>
      <c r="G2454">
        <v>97.13</v>
      </c>
      <c r="H2454" s="80">
        <v>47646.79</v>
      </c>
      <c r="I2454" s="80">
        <v>22369.64</v>
      </c>
      <c r="J2454">
        <v>71.92</v>
      </c>
      <c r="K2454">
        <v>5318.83</v>
      </c>
      <c r="L2454">
        <f t="shared" si="380"/>
        <v>0</v>
      </c>
      <c r="M2454">
        <f t="shared" si="381"/>
        <v>0</v>
      </c>
      <c r="N2454">
        <f t="shared" si="382"/>
        <v>0</v>
      </c>
      <c r="O2454">
        <f t="shared" si="383"/>
        <v>0</v>
      </c>
      <c r="P2454">
        <f t="shared" si="384"/>
        <v>0</v>
      </c>
      <c r="Q2454">
        <f t="shared" si="385"/>
        <v>0</v>
      </c>
      <c r="R2454">
        <f t="shared" si="386"/>
        <v>0</v>
      </c>
      <c r="S2454">
        <f t="shared" si="387"/>
        <v>0</v>
      </c>
      <c r="T2454">
        <f t="shared" si="389"/>
        <v>0</v>
      </c>
      <c r="U2454">
        <f t="shared" si="388"/>
        <v>0</v>
      </c>
    </row>
    <row r="2455" spans="1:21" x14ac:dyDescent="0.25">
      <c r="A2455">
        <v>2454</v>
      </c>
      <c r="B2455" t="s">
        <v>96</v>
      </c>
      <c r="C2455" t="s">
        <v>188</v>
      </c>
      <c r="D2455">
        <v>13.66</v>
      </c>
      <c r="E2455" s="80">
        <v>32342.61</v>
      </c>
      <c r="F2455">
        <v>436.61</v>
      </c>
      <c r="G2455">
        <v>75.459999999999994</v>
      </c>
      <c r="H2455">
        <v>4288.09</v>
      </c>
      <c r="I2455" s="80">
        <v>21111.11</v>
      </c>
      <c r="J2455">
        <v>44.6</v>
      </c>
      <c r="K2455">
        <v>2350.89</v>
      </c>
      <c r="L2455">
        <f t="shared" si="380"/>
        <v>0</v>
      </c>
      <c r="M2455">
        <f t="shared" si="381"/>
        <v>0</v>
      </c>
      <c r="N2455">
        <f t="shared" si="382"/>
        <v>0</v>
      </c>
      <c r="O2455">
        <f t="shared" si="383"/>
        <v>0</v>
      </c>
      <c r="P2455">
        <f t="shared" si="384"/>
        <v>0</v>
      </c>
      <c r="Q2455">
        <f t="shared" si="385"/>
        <v>0</v>
      </c>
      <c r="R2455">
        <f t="shared" si="386"/>
        <v>0</v>
      </c>
      <c r="S2455">
        <f t="shared" si="387"/>
        <v>0</v>
      </c>
      <c r="T2455">
        <f t="shared" si="389"/>
        <v>0</v>
      </c>
      <c r="U2455">
        <f t="shared" si="388"/>
        <v>0</v>
      </c>
    </row>
    <row r="2456" spans="1:21" x14ac:dyDescent="0.25">
      <c r="A2456">
        <v>2455</v>
      </c>
      <c r="B2456" t="s">
        <v>96</v>
      </c>
      <c r="C2456" t="s">
        <v>182</v>
      </c>
      <c r="D2456" t="s">
        <v>583</v>
      </c>
      <c r="E2456">
        <v>692.73</v>
      </c>
      <c r="F2456">
        <v>0.33</v>
      </c>
      <c r="G2456" t="s">
        <v>583</v>
      </c>
      <c r="H2456">
        <v>0.19</v>
      </c>
      <c r="I2456">
        <v>0.36</v>
      </c>
      <c r="J2456">
        <v>1.51</v>
      </c>
      <c r="K2456" s="80">
        <v>7.0000000000000007E-2</v>
      </c>
      <c r="L2456">
        <f t="shared" si="380"/>
        <v>0</v>
      </c>
      <c r="M2456">
        <f t="shared" si="381"/>
        <v>0</v>
      </c>
      <c r="N2456">
        <f t="shared" si="382"/>
        <v>0</v>
      </c>
      <c r="O2456">
        <f t="shared" si="383"/>
        <v>0</v>
      </c>
      <c r="P2456">
        <f t="shared" si="384"/>
        <v>0</v>
      </c>
      <c r="Q2456">
        <f t="shared" si="385"/>
        <v>0</v>
      </c>
      <c r="R2456">
        <f t="shared" si="386"/>
        <v>0</v>
      </c>
      <c r="S2456">
        <f t="shared" si="387"/>
        <v>0</v>
      </c>
      <c r="T2456">
        <f t="shared" si="389"/>
        <v>0</v>
      </c>
      <c r="U2456">
        <f t="shared" si="388"/>
        <v>0</v>
      </c>
    </row>
    <row r="2457" spans="1:21" x14ac:dyDescent="0.25">
      <c r="A2457">
        <v>2456</v>
      </c>
      <c r="B2457" t="s">
        <v>96</v>
      </c>
      <c r="C2457" t="s">
        <v>184</v>
      </c>
      <c r="D2457">
        <v>9.31</v>
      </c>
      <c r="E2457" s="80">
        <v>74933.3</v>
      </c>
      <c r="F2457">
        <v>28.87</v>
      </c>
      <c r="G2457">
        <v>70.27</v>
      </c>
      <c r="H2457">
        <v>1368.47</v>
      </c>
      <c r="I2457" s="80">
        <v>12610.58</v>
      </c>
      <c r="J2457">
        <v>35.08</v>
      </c>
      <c r="K2457">
        <v>195.12</v>
      </c>
      <c r="L2457">
        <f t="shared" si="380"/>
        <v>0</v>
      </c>
      <c r="M2457">
        <f t="shared" si="381"/>
        <v>0</v>
      </c>
      <c r="N2457">
        <f t="shared" si="382"/>
        <v>0</v>
      </c>
      <c r="O2457">
        <f t="shared" si="383"/>
        <v>0</v>
      </c>
      <c r="P2457">
        <f t="shared" si="384"/>
        <v>0</v>
      </c>
      <c r="Q2457">
        <f t="shared" si="385"/>
        <v>0</v>
      </c>
      <c r="R2457">
        <f t="shared" si="386"/>
        <v>0</v>
      </c>
      <c r="S2457">
        <f t="shared" si="387"/>
        <v>0</v>
      </c>
      <c r="T2457">
        <f t="shared" si="389"/>
        <v>0</v>
      </c>
      <c r="U2457">
        <f t="shared" si="388"/>
        <v>0</v>
      </c>
    </row>
    <row r="2458" spans="1:21" x14ac:dyDescent="0.25">
      <c r="A2458">
        <v>2457</v>
      </c>
      <c r="B2458" t="s">
        <v>96</v>
      </c>
      <c r="C2458" t="s">
        <v>187</v>
      </c>
      <c r="D2458">
        <v>28.96</v>
      </c>
      <c r="E2458" t="s">
        <v>582</v>
      </c>
      <c r="F2458">
        <v>286.04000000000002</v>
      </c>
      <c r="G2458">
        <v>132.13</v>
      </c>
      <c r="H2458" s="80">
        <v>20503.099999999999</v>
      </c>
      <c r="I2458" s="80">
        <v>19982.05</v>
      </c>
      <c r="J2458">
        <v>75.510000000000005</v>
      </c>
      <c r="K2458">
        <v>1942.83</v>
      </c>
      <c r="L2458">
        <f t="shared" si="380"/>
        <v>0</v>
      </c>
      <c r="M2458">
        <f t="shared" si="381"/>
        <v>1</v>
      </c>
      <c r="N2458">
        <f t="shared" si="382"/>
        <v>0</v>
      </c>
      <c r="O2458">
        <f t="shared" si="383"/>
        <v>0</v>
      </c>
      <c r="P2458">
        <f t="shared" si="384"/>
        <v>0</v>
      </c>
      <c r="Q2458">
        <f t="shared" si="385"/>
        <v>0</v>
      </c>
      <c r="R2458">
        <f t="shared" si="386"/>
        <v>0</v>
      </c>
      <c r="S2458">
        <f t="shared" si="387"/>
        <v>0</v>
      </c>
      <c r="T2458">
        <f t="shared" si="389"/>
        <v>1</v>
      </c>
      <c r="U2458">
        <f t="shared" si="388"/>
        <v>1</v>
      </c>
    </row>
    <row r="2459" spans="1:21" x14ac:dyDescent="0.25">
      <c r="A2459">
        <v>2458</v>
      </c>
      <c r="B2459" t="s">
        <v>96</v>
      </c>
      <c r="C2459" t="s">
        <v>189</v>
      </c>
      <c r="D2459">
        <v>12.16</v>
      </c>
      <c r="E2459" s="80">
        <v>161741.32</v>
      </c>
      <c r="F2459">
        <v>40.57</v>
      </c>
      <c r="G2459">
        <v>75.459999999999994</v>
      </c>
      <c r="H2459">
        <v>1110.74</v>
      </c>
      <c r="I2459" s="80">
        <v>16045.53</v>
      </c>
      <c r="J2459">
        <v>41.38</v>
      </c>
      <c r="K2459">
        <v>2422.5100000000002</v>
      </c>
      <c r="L2459">
        <f t="shared" si="380"/>
        <v>0</v>
      </c>
      <c r="M2459">
        <f t="shared" si="381"/>
        <v>0</v>
      </c>
      <c r="N2459">
        <f t="shared" si="382"/>
        <v>0</v>
      </c>
      <c r="O2459">
        <f t="shared" si="383"/>
        <v>0</v>
      </c>
      <c r="P2459">
        <f t="shared" si="384"/>
        <v>0</v>
      </c>
      <c r="Q2459">
        <f t="shared" si="385"/>
        <v>0</v>
      </c>
      <c r="R2459">
        <f t="shared" si="386"/>
        <v>0</v>
      </c>
      <c r="S2459">
        <f t="shared" si="387"/>
        <v>0</v>
      </c>
      <c r="T2459">
        <f t="shared" si="389"/>
        <v>0</v>
      </c>
      <c r="U2459">
        <f t="shared" si="388"/>
        <v>0</v>
      </c>
    </row>
    <row r="2460" spans="1:21" x14ac:dyDescent="0.25">
      <c r="A2460">
        <v>2459</v>
      </c>
      <c r="B2460">
        <v>2043</v>
      </c>
      <c r="C2460" t="s">
        <v>162</v>
      </c>
      <c r="D2460">
        <v>1.33</v>
      </c>
      <c r="E2460" s="80">
        <v>30472.240000000002</v>
      </c>
      <c r="F2460">
        <v>0.85</v>
      </c>
      <c r="G2460">
        <v>28.51</v>
      </c>
      <c r="H2460">
        <v>2.4300000000000002</v>
      </c>
      <c r="I2460">
        <v>12.33</v>
      </c>
      <c r="J2460">
        <v>14.96</v>
      </c>
      <c r="K2460">
        <v>1.95</v>
      </c>
      <c r="L2460">
        <f t="shared" si="380"/>
        <v>0</v>
      </c>
      <c r="M2460">
        <f t="shared" si="381"/>
        <v>0</v>
      </c>
      <c r="N2460">
        <f t="shared" si="382"/>
        <v>0</v>
      </c>
      <c r="O2460">
        <f t="shared" si="383"/>
        <v>0</v>
      </c>
      <c r="P2460">
        <f t="shared" si="384"/>
        <v>0</v>
      </c>
      <c r="Q2460">
        <f t="shared" si="385"/>
        <v>0</v>
      </c>
      <c r="R2460">
        <f t="shared" si="386"/>
        <v>0</v>
      </c>
      <c r="S2460">
        <f t="shared" si="387"/>
        <v>0</v>
      </c>
      <c r="T2460">
        <f t="shared" si="389"/>
        <v>0</v>
      </c>
      <c r="U2460">
        <f t="shared" si="388"/>
        <v>0</v>
      </c>
    </row>
    <row r="2461" spans="1:21" x14ac:dyDescent="0.25">
      <c r="A2461">
        <v>2460</v>
      </c>
      <c r="B2461">
        <v>2043</v>
      </c>
      <c r="C2461" t="s">
        <v>170</v>
      </c>
      <c r="D2461">
        <v>6.67</v>
      </c>
      <c r="E2461" s="80">
        <v>31875.33</v>
      </c>
      <c r="F2461">
        <v>132.25</v>
      </c>
      <c r="G2461">
        <v>41.34</v>
      </c>
      <c r="H2461">
        <v>444.23</v>
      </c>
      <c r="I2461" s="80">
        <v>7651.04</v>
      </c>
      <c r="J2461">
        <v>26.06</v>
      </c>
      <c r="K2461">
        <v>153.57</v>
      </c>
      <c r="L2461">
        <f t="shared" si="380"/>
        <v>0</v>
      </c>
      <c r="M2461">
        <f t="shared" si="381"/>
        <v>0</v>
      </c>
      <c r="N2461">
        <f t="shared" si="382"/>
        <v>0</v>
      </c>
      <c r="O2461">
        <f t="shared" si="383"/>
        <v>0</v>
      </c>
      <c r="P2461">
        <f t="shared" si="384"/>
        <v>0</v>
      </c>
      <c r="Q2461">
        <f t="shared" si="385"/>
        <v>0</v>
      </c>
      <c r="R2461">
        <f t="shared" si="386"/>
        <v>0</v>
      </c>
      <c r="S2461">
        <f t="shared" si="387"/>
        <v>0</v>
      </c>
      <c r="T2461">
        <f t="shared" si="389"/>
        <v>0</v>
      </c>
      <c r="U2461">
        <f t="shared" si="388"/>
        <v>0</v>
      </c>
    </row>
    <row r="2462" spans="1:21" x14ac:dyDescent="0.25">
      <c r="A2462">
        <v>2461</v>
      </c>
      <c r="B2462">
        <v>2043</v>
      </c>
      <c r="C2462" t="s">
        <v>178</v>
      </c>
      <c r="D2462">
        <v>10.71</v>
      </c>
      <c r="E2462" s="80">
        <v>36052.71</v>
      </c>
      <c r="F2462">
        <v>2257.08</v>
      </c>
      <c r="G2462">
        <v>75.459999999999994</v>
      </c>
      <c r="H2462">
        <v>10409.950000000001</v>
      </c>
      <c r="I2462" s="80">
        <v>15190.16</v>
      </c>
      <c r="J2462">
        <v>44.6</v>
      </c>
      <c r="K2462">
        <v>1422.65</v>
      </c>
      <c r="L2462">
        <f t="shared" si="380"/>
        <v>0</v>
      </c>
      <c r="M2462">
        <f t="shared" si="381"/>
        <v>0</v>
      </c>
      <c r="N2462">
        <f t="shared" si="382"/>
        <v>0</v>
      </c>
      <c r="O2462">
        <f t="shared" si="383"/>
        <v>0</v>
      </c>
      <c r="P2462">
        <f t="shared" si="384"/>
        <v>0</v>
      </c>
      <c r="Q2462">
        <f t="shared" si="385"/>
        <v>0</v>
      </c>
      <c r="R2462">
        <f t="shared" si="386"/>
        <v>0</v>
      </c>
      <c r="S2462">
        <f t="shared" si="387"/>
        <v>0</v>
      </c>
      <c r="T2462">
        <f t="shared" si="389"/>
        <v>0</v>
      </c>
      <c r="U2462">
        <f t="shared" si="388"/>
        <v>0</v>
      </c>
    </row>
    <row r="2463" spans="1:21" x14ac:dyDescent="0.25">
      <c r="A2463">
        <v>2462</v>
      </c>
      <c r="B2463">
        <v>2043</v>
      </c>
      <c r="C2463" t="s">
        <v>163</v>
      </c>
      <c r="D2463">
        <v>81.099999999999994</v>
      </c>
      <c r="E2463" s="80">
        <v>27052.79</v>
      </c>
      <c r="F2463">
        <v>668.08</v>
      </c>
      <c r="G2463">
        <v>65.180000000000007</v>
      </c>
      <c r="H2463" s="80">
        <v>17747.97</v>
      </c>
      <c r="I2463" s="80">
        <v>11343.76</v>
      </c>
      <c r="J2463">
        <v>64.86</v>
      </c>
      <c r="K2463" s="80">
        <v>16378.8</v>
      </c>
      <c r="L2463">
        <f t="shared" si="380"/>
        <v>0</v>
      </c>
      <c r="M2463">
        <f t="shared" si="381"/>
        <v>0</v>
      </c>
      <c r="N2463">
        <f t="shared" si="382"/>
        <v>0</v>
      </c>
      <c r="O2463">
        <f t="shared" si="383"/>
        <v>0</v>
      </c>
      <c r="P2463">
        <f t="shared" si="384"/>
        <v>0</v>
      </c>
      <c r="Q2463">
        <f t="shared" si="385"/>
        <v>0</v>
      </c>
      <c r="R2463">
        <f t="shared" si="386"/>
        <v>0</v>
      </c>
      <c r="S2463">
        <f t="shared" si="387"/>
        <v>0</v>
      </c>
      <c r="T2463">
        <f t="shared" si="389"/>
        <v>0</v>
      </c>
      <c r="U2463">
        <f t="shared" si="388"/>
        <v>0</v>
      </c>
    </row>
    <row r="2464" spans="1:21" x14ac:dyDescent="0.25">
      <c r="A2464">
        <v>2463</v>
      </c>
      <c r="B2464">
        <v>2043</v>
      </c>
      <c r="C2464" t="s">
        <v>181</v>
      </c>
      <c r="D2464">
        <v>10.71</v>
      </c>
      <c r="E2464" t="s">
        <v>582</v>
      </c>
      <c r="F2464">
        <v>0.64</v>
      </c>
      <c r="G2464">
        <v>36.93</v>
      </c>
      <c r="H2464">
        <v>2.56</v>
      </c>
      <c r="I2464">
        <v>8.09</v>
      </c>
      <c r="J2464">
        <v>26.06</v>
      </c>
      <c r="K2464">
        <v>11.51</v>
      </c>
      <c r="L2464">
        <f t="shared" si="380"/>
        <v>0</v>
      </c>
      <c r="M2464">
        <f t="shared" si="381"/>
        <v>1</v>
      </c>
      <c r="N2464">
        <f t="shared" si="382"/>
        <v>0</v>
      </c>
      <c r="O2464">
        <f t="shared" si="383"/>
        <v>0</v>
      </c>
      <c r="P2464">
        <f t="shared" si="384"/>
        <v>0</v>
      </c>
      <c r="Q2464">
        <f t="shared" si="385"/>
        <v>0</v>
      </c>
      <c r="R2464">
        <f t="shared" si="386"/>
        <v>0</v>
      </c>
      <c r="S2464">
        <f t="shared" si="387"/>
        <v>0</v>
      </c>
      <c r="T2464">
        <f t="shared" si="389"/>
        <v>1</v>
      </c>
      <c r="U2464">
        <f t="shared" si="388"/>
        <v>1</v>
      </c>
    </row>
    <row r="2465" spans="1:21" x14ac:dyDescent="0.25">
      <c r="A2465">
        <v>2464</v>
      </c>
      <c r="B2465">
        <v>2043</v>
      </c>
      <c r="C2465" t="s">
        <v>183</v>
      </c>
      <c r="D2465">
        <v>15.21</v>
      </c>
      <c r="E2465" t="s">
        <v>582</v>
      </c>
      <c r="F2465">
        <v>995.16</v>
      </c>
      <c r="G2465">
        <v>102.76</v>
      </c>
      <c r="H2465">
        <v>1954.54</v>
      </c>
      <c r="I2465" s="80">
        <v>19670.43</v>
      </c>
      <c r="J2465">
        <v>54.54</v>
      </c>
      <c r="K2465">
        <v>2817.46</v>
      </c>
      <c r="L2465">
        <f t="shared" si="380"/>
        <v>0</v>
      </c>
      <c r="M2465">
        <f t="shared" si="381"/>
        <v>1</v>
      </c>
      <c r="N2465">
        <f t="shared" si="382"/>
        <v>0</v>
      </c>
      <c r="O2465">
        <f t="shared" si="383"/>
        <v>0</v>
      </c>
      <c r="P2465">
        <f t="shared" si="384"/>
        <v>0</v>
      </c>
      <c r="Q2465">
        <f t="shared" si="385"/>
        <v>0</v>
      </c>
      <c r="R2465">
        <f t="shared" si="386"/>
        <v>0</v>
      </c>
      <c r="S2465">
        <f t="shared" si="387"/>
        <v>0</v>
      </c>
      <c r="T2465">
        <f t="shared" si="389"/>
        <v>1</v>
      </c>
      <c r="U2465">
        <f t="shared" si="388"/>
        <v>1</v>
      </c>
    </row>
    <row r="2466" spans="1:21" x14ac:dyDescent="0.25">
      <c r="A2466">
        <v>2465</v>
      </c>
      <c r="B2466">
        <v>2043</v>
      </c>
      <c r="C2466" t="s">
        <v>186</v>
      </c>
      <c r="D2466">
        <v>21.79</v>
      </c>
      <c r="E2466" t="s">
        <v>582</v>
      </c>
      <c r="F2466" s="80">
        <v>6278.91</v>
      </c>
      <c r="G2466">
        <v>169.76</v>
      </c>
      <c r="H2466" s="80">
        <v>22732.07</v>
      </c>
      <c r="I2466" s="80">
        <v>22997.21</v>
      </c>
      <c r="J2466">
        <v>63.11</v>
      </c>
      <c r="K2466" s="80">
        <v>10009.530000000001</v>
      </c>
      <c r="L2466">
        <f t="shared" si="380"/>
        <v>0</v>
      </c>
      <c r="M2466">
        <f t="shared" si="381"/>
        <v>1</v>
      </c>
      <c r="N2466">
        <f t="shared" si="382"/>
        <v>0</v>
      </c>
      <c r="O2466">
        <f t="shared" si="383"/>
        <v>0</v>
      </c>
      <c r="P2466">
        <f t="shared" si="384"/>
        <v>0</v>
      </c>
      <c r="Q2466">
        <f t="shared" si="385"/>
        <v>0</v>
      </c>
      <c r="R2466">
        <f t="shared" si="386"/>
        <v>0</v>
      </c>
      <c r="S2466">
        <f t="shared" si="387"/>
        <v>0</v>
      </c>
      <c r="T2466">
        <f t="shared" si="389"/>
        <v>1</v>
      </c>
      <c r="U2466">
        <f t="shared" si="388"/>
        <v>1</v>
      </c>
    </row>
    <row r="2467" spans="1:21" x14ac:dyDescent="0.25">
      <c r="A2467">
        <v>2466</v>
      </c>
      <c r="B2467">
        <v>2043</v>
      </c>
      <c r="C2467" t="s">
        <v>188</v>
      </c>
      <c r="D2467">
        <v>36.630000000000003</v>
      </c>
      <c r="E2467" t="s">
        <v>582</v>
      </c>
      <c r="F2467">
        <v>2561.04</v>
      </c>
      <c r="G2467">
        <v>138.22</v>
      </c>
      <c r="H2467">
        <v>9875.7199999999993</v>
      </c>
      <c r="I2467" s="80">
        <v>20496.71</v>
      </c>
      <c r="J2467">
        <v>107.28</v>
      </c>
      <c r="K2467" t="s">
        <v>582</v>
      </c>
      <c r="L2467">
        <f t="shared" si="380"/>
        <v>0</v>
      </c>
      <c r="M2467">
        <f t="shared" si="381"/>
        <v>1</v>
      </c>
      <c r="N2467">
        <f t="shared" si="382"/>
        <v>0</v>
      </c>
      <c r="O2467">
        <f t="shared" si="383"/>
        <v>0</v>
      </c>
      <c r="P2467">
        <f t="shared" si="384"/>
        <v>0</v>
      </c>
      <c r="Q2467">
        <f t="shared" si="385"/>
        <v>0</v>
      </c>
      <c r="R2467">
        <f t="shared" si="386"/>
        <v>0</v>
      </c>
      <c r="S2467">
        <f t="shared" si="387"/>
        <v>1</v>
      </c>
      <c r="T2467">
        <f t="shared" si="389"/>
        <v>2</v>
      </c>
      <c r="U2467">
        <f t="shared" si="388"/>
        <v>1</v>
      </c>
    </row>
    <row r="2468" spans="1:21" x14ac:dyDescent="0.25">
      <c r="A2468">
        <v>2467</v>
      </c>
      <c r="B2468">
        <v>2043</v>
      </c>
      <c r="C2468" t="s">
        <v>182</v>
      </c>
      <c r="D2468">
        <v>1.33</v>
      </c>
      <c r="E2468">
        <v>5790.59</v>
      </c>
      <c r="F2468">
        <v>2.13</v>
      </c>
      <c r="G2468" t="s">
        <v>583</v>
      </c>
      <c r="H2468">
        <v>33.5</v>
      </c>
      <c r="I2468">
        <v>1107.45</v>
      </c>
      <c r="J2468">
        <v>1.51</v>
      </c>
      <c r="K2468">
        <v>16.27</v>
      </c>
      <c r="L2468">
        <f t="shared" si="380"/>
        <v>0</v>
      </c>
      <c r="M2468">
        <f t="shared" si="381"/>
        <v>0</v>
      </c>
      <c r="N2468">
        <f t="shared" si="382"/>
        <v>0</v>
      </c>
      <c r="O2468">
        <f t="shared" si="383"/>
        <v>0</v>
      </c>
      <c r="P2468">
        <f t="shared" si="384"/>
        <v>0</v>
      </c>
      <c r="Q2468">
        <f t="shared" si="385"/>
        <v>0</v>
      </c>
      <c r="R2468">
        <f t="shared" si="386"/>
        <v>0</v>
      </c>
      <c r="S2468">
        <f t="shared" si="387"/>
        <v>0</v>
      </c>
      <c r="T2468">
        <f t="shared" si="389"/>
        <v>0</v>
      </c>
      <c r="U2468">
        <f t="shared" si="388"/>
        <v>0</v>
      </c>
    </row>
    <row r="2469" spans="1:21" x14ac:dyDescent="0.25">
      <c r="A2469">
        <v>2468</v>
      </c>
      <c r="B2469">
        <v>2043</v>
      </c>
      <c r="C2469" t="s">
        <v>184</v>
      </c>
      <c r="D2469">
        <v>18.420000000000002</v>
      </c>
      <c r="E2469">
        <v>16723.7</v>
      </c>
      <c r="F2469">
        <v>234.76</v>
      </c>
      <c r="G2469">
        <v>55.31</v>
      </c>
      <c r="H2469">
        <v>6342.06</v>
      </c>
      <c r="I2469" s="80">
        <v>17549.32</v>
      </c>
      <c r="J2469">
        <v>23.17</v>
      </c>
      <c r="K2469">
        <v>964.33</v>
      </c>
      <c r="L2469">
        <f t="shared" si="380"/>
        <v>0</v>
      </c>
      <c r="M2469">
        <f t="shared" si="381"/>
        <v>0</v>
      </c>
      <c r="N2469">
        <f t="shared" si="382"/>
        <v>0</v>
      </c>
      <c r="O2469">
        <f t="shared" si="383"/>
        <v>0</v>
      </c>
      <c r="P2469">
        <f t="shared" si="384"/>
        <v>0</v>
      </c>
      <c r="Q2469">
        <f t="shared" si="385"/>
        <v>0</v>
      </c>
      <c r="R2469">
        <f t="shared" si="386"/>
        <v>0</v>
      </c>
      <c r="S2469">
        <f t="shared" si="387"/>
        <v>0</v>
      </c>
      <c r="T2469">
        <f t="shared" si="389"/>
        <v>0</v>
      </c>
      <c r="U2469">
        <f t="shared" si="388"/>
        <v>0</v>
      </c>
    </row>
    <row r="2470" spans="1:21" x14ac:dyDescent="0.25">
      <c r="A2470">
        <v>2469</v>
      </c>
      <c r="B2470">
        <v>2043</v>
      </c>
      <c r="C2470" t="s">
        <v>187</v>
      </c>
      <c r="D2470">
        <v>165.22</v>
      </c>
      <c r="E2470">
        <v>20073.25</v>
      </c>
      <c r="F2470">
        <v>991.14</v>
      </c>
      <c r="G2470">
        <v>75.459999999999994</v>
      </c>
      <c r="H2470" s="80">
        <v>19126.400000000001</v>
      </c>
      <c r="I2470" s="80">
        <v>18749.439999999999</v>
      </c>
      <c r="J2470">
        <v>54.54</v>
      </c>
      <c r="K2470">
        <v>6872.67</v>
      </c>
      <c r="L2470">
        <f t="shared" si="380"/>
        <v>0</v>
      </c>
      <c r="M2470">
        <f t="shared" si="381"/>
        <v>0</v>
      </c>
      <c r="N2470">
        <f t="shared" si="382"/>
        <v>0</v>
      </c>
      <c r="O2470">
        <f t="shared" si="383"/>
        <v>0</v>
      </c>
      <c r="P2470">
        <f t="shared" si="384"/>
        <v>0</v>
      </c>
      <c r="Q2470">
        <f t="shared" si="385"/>
        <v>0</v>
      </c>
      <c r="R2470">
        <f t="shared" si="386"/>
        <v>0</v>
      </c>
      <c r="S2470">
        <f t="shared" si="387"/>
        <v>0</v>
      </c>
      <c r="T2470">
        <f t="shared" si="389"/>
        <v>0</v>
      </c>
      <c r="U2470">
        <f t="shared" si="388"/>
        <v>0</v>
      </c>
    </row>
    <row r="2471" spans="1:21" x14ac:dyDescent="0.25">
      <c r="A2471">
        <v>2470</v>
      </c>
      <c r="B2471">
        <v>2043</v>
      </c>
      <c r="C2471" t="s">
        <v>189</v>
      </c>
      <c r="D2471">
        <v>211.14</v>
      </c>
      <c r="E2471">
        <v>15412.89</v>
      </c>
      <c r="F2471">
        <v>11.94</v>
      </c>
      <c r="G2471">
        <v>65.180000000000007</v>
      </c>
      <c r="H2471">
        <v>11994.43</v>
      </c>
      <c r="I2471" s="80">
        <v>12969.88</v>
      </c>
      <c r="J2471">
        <v>61.38</v>
      </c>
      <c r="K2471" s="80">
        <v>11567.7</v>
      </c>
      <c r="L2471">
        <f t="shared" si="380"/>
        <v>0</v>
      </c>
      <c r="M2471">
        <f t="shared" si="381"/>
        <v>0</v>
      </c>
      <c r="N2471">
        <f t="shared" si="382"/>
        <v>0</v>
      </c>
      <c r="O2471">
        <f t="shared" si="383"/>
        <v>0</v>
      </c>
      <c r="P2471">
        <f t="shared" si="384"/>
        <v>0</v>
      </c>
      <c r="Q2471">
        <f t="shared" si="385"/>
        <v>0</v>
      </c>
      <c r="R2471">
        <f t="shared" si="386"/>
        <v>0</v>
      </c>
      <c r="S2471">
        <f t="shared" si="387"/>
        <v>0</v>
      </c>
      <c r="T2471">
        <f t="shared" si="389"/>
        <v>0</v>
      </c>
      <c r="U2471">
        <f t="shared" si="388"/>
        <v>0</v>
      </c>
    </row>
    <row r="2472" spans="1:21" x14ac:dyDescent="0.25">
      <c r="A2472">
        <v>2471</v>
      </c>
      <c r="B2472">
        <v>2042</v>
      </c>
      <c r="C2472" t="s">
        <v>162</v>
      </c>
      <c r="D2472">
        <v>2.21</v>
      </c>
      <c r="E2472">
        <v>14475.16</v>
      </c>
      <c r="F2472">
        <v>0.56000000000000005</v>
      </c>
      <c r="G2472">
        <v>13.6</v>
      </c>
      <c r="H2472">
        <v>0.56000000000000005</v>
      </c>
      <c r="I2472">
        <v>0.22</v>
      </c>
      <c r="J2472">
        <v>9.93</v>
      </c>
      <c r="K2472">
        <v>0.6</v>
      </c>
      <c r="L2472">
        <f t="shared" si="380"/>
        <v>0</v>
      </c>
      <c r="M2472">
        <f t="shared" si="381"/>
        <v>0</v>
      </c>
      <c r="N2472">
        <f t="shared" si="382"/>
        <v>0</v>
      </c>
      <c r="O2472">
        <f t="shared" si="383"/>
        <v>0</v>
      </c>
      <c r="P2472">
        <f t="shared" si="384"/>
        <v>0</v>
      </c>
      <c r="Q2472">
        <f t="shared" si="385"/>
        <v>0</v>
      </c>
      <c r="R2472">
        <f t="shared" si="386"/>
        <v>0</v>
      </c>
      <c r="S2472">
        <f t="shared" si="387"/>
        <v>0</v>
      </c>
      <c r="T2472">
        <f t="shared" si="389"/>
        <v>0</v>
      </c>
      <c r="U2472">
        <f t="shared" si="388"/>
        <v>0</v>
      </c>
    </row>
    <row r="2473" spans="1:21" x14ac:dyDescent="0.25">
      <c r="A2473">
        <v>2472</v>
      </c>
      <c r="B2473">
        <v>2042</v>
      </c>
      <c r="C2473" t="s">
        <v>170</v>
      </c>
      <c r="D2473">
        <v>9.31</v>
      </c>
      <c r="E2473" s="80">
        <v>29475.17</v>
      </c>
      <c r="F2473">
        <v>79.069999999999993</v>
      </c>
      <c r="G2473">
        <v>28.51</v>
      </c>
      <c r="H2473">
        <v>260.16000000000003</v>
      </c>
      <c r="I2473" s="80">
        <v>7001.58</v>
      </c>
      <c r="J2473">
        <v>20.36</v>
      </c>
      <c r="K2473">
        <v>212.33</v>
      </c>
      <c r="L2473">
        <f t="shared" si="380"/>
        <v>0</v>
      </c>
      <c r="M2473">
        <f t="shared" si="381"/>
        <v>0</v>
      </c>
      <c r="N2473">
        <f t="shared" si="382"/>
        <v>0</v>
      </c>
      <c r="O2473">
        <f t="shared" si="383"/>
        <v>0</v>
      </c>
      <c r="P2473">
        <f t="shared" si="384"/>
        <v>0</v>
      </c>
      <c r="Q2473">
        <f t="shared" si="385"/>
        <v>0</v>
      </c>
      <c r="R2473">
        <f t="shared" si="386"/>
        <v>0</v>
      </c>
      <c r="S2473">
        <f t="shared" si="387"/>
        <v>0</v>
      </c>
      <c r="T2473">
        <f t="shared" si="389"/>
        <v>0</v>
      </c>
      <c r="U2473">
        <f t="shared" si="388"/>
        <v>0</v>
      </c>
    </row>
    <row r="2474" spans="1:21" x14ac:dyDescent="0.25">
      <c r="A2474">
        <v>2473</v>
      </c>
      <c r="B2474">
        <v>2042</v>
      </c>
      <c r="C2474" t="s">
        <v>178</v>
      </c>
      <c r="D2474">
        <v>91.03</v>
      </c>
      <c r="E2474" s="80">
        <v>59599.64</v>
      </c>
      <c r="F2474">
        <v>633.91999999999996</v>
      </c>
      <c r="G2474">
        <v>65.180000000000007</v>
      </c>
      <c r="H2474">
        <v>4117.9399999999996</v>
      </c>
      <c r="I2474" s="80">
        <v>11732.25</v>
      </c>
      <c r="J2474">
        <v>38.200000000000003</v>
      </c>
      <c r="K2474">
        <v>584.29</v>
      </c>
      <c r="L2474">
        <f t="shared" si="380"/>
        <v>0</v>
      </c>
      <c r="M2474">
        <f t="shared" si="381"/>
        <v>0</v>
      </c>
      <c r="N2474">
        <f t="shared" si="382"/>
        <v>0</v>
      </c>
      <c r="O2474">
        <f t="shared" si="383"/>
        <v>0</v>
      </c>
      <c r="P2474">
        <f t="shared" si="384"/>
        <v>0</v>
      </c>
      <c r="Q2474">
        <f t="shared" si="385"/>
        <v>0</v>
      </c>
      <c r="R2474">
        <f t="shared" si="386"/>
        <v>0</v>
      </c>
      <c r="S2474">
        <f t="shared" si="387"/>
        <v>0</v>
      </c>
      <c r="T2474">
        <f t="shared" si="389"/>
        <v>0</v>
      </c>
      <c r="U2474">
        <f t="shared" si="388"/>
        <v>0</v>
      </c>
    </row>
    <row r="2475" spans="1:21" x14ac:dyDescent="0.25">
      <c r="A2475">
        <v>2474</v>
      </c>
      <c r="B2475">
        <v>2042</v>
      </c>
      <c r="C2475" t="s">
        <v>163</v>
      </c>
      <c r="D2475">
        <v>578.24</v>
      </c>
      <c r="E2475" s="80">
        <v>55987.89</v>
      </c>
      <c r="F2475">
        <v>134.53</v>
      </c>
      <c r="G2475">
        <v>70.27</v>
      </c>
      <c r="H2475">
        <v>5167.57</v>
      </c>
      <c r="I2475" s="80">
        <v>7845.24</v>
      </c>
      <c r="J2475">
        <v>54.54</v>
      </c>
      <c r="K2475">
        <v>6260.89</v>
      </c>
      <c r="L2475">
        <f t="shared" si="380"/>
        <v>0</v>
      </c>
      <c r="M2475">
        <f t="shared" si="381"/>
        <v>0</v>
      </c>
      <c r="N2475">
        <f t="shared" si="382"/>
        <v>0</v>
      </c>
      <c r="O2475">
        <f t="shared" si="383"/>
        <v>0</v>
      </c>
      <c r="P2475">
        <f t="shared" si="384"/>
        <v>0</v>
      </c>
      <c r="Q2475">
        <f t="shared" si="385"/>
        <v>0</v>
      </c>
      <c r="R2475">
        <f t="shared" si="386"/>
        <v>0</v>
      </c>
      <c r="S2475">
        <f t="shared" si="387"/>
        <v>0</v>
      </c>
      <c r="T2475">
        <f t="shared" si="389"/>
        <v>0</v>
      </c>
      <c r="U2475">
        <f t="shared" si="388"/>
        <v>0</v>
      </c>
    </row>
    <row r="2476" spans="1:21" x14ac:dyDescent="0.25">
      <c r="A2476">
        <v>2475</v>
      </c>
      <c r="B2476">
        <v>2042</v>
      </c>
      <c r="C2476" t="s">
        <v>181</v>
      </c>
      <c r="D2476">
        <v>0.57999999999999996</v>
      </c>
      <c r="E2476">
        <v>15466</v>
      </c>
      <c r="F2476">
        <v>0.25</v>
      </c>
      <c r="G2476">
        <v>13.6</v>
      </c>
      <c r="H2476">
        <v>1.1000000000000001</v>
      </c>
      <c r="I2476">
        <v>2.02</v>
      </c>
      <c r="J2476">
        <v>9.93</v>
      </c>
      <c r="K2476">
        <v>2.54</v>
      </c>
      <c r="L2476">
        <f t="shared" si="380"/>
        <v>0</v>
      </c>
      <c r="M2476">
        <f t="shared" si="381"/>
        <v>0</v>
      </c>
      <c r="N2476">
        <f t="shared" si="382"/>
        <v>0</v>
      </c>
      <c r="O2476">
        <f t="shared" si="383"/>
        <v>0</v>
      </c>
      <c r="P2476">
        <f t="shared" si="384"/>
        <v>0</v>
      </c>
      <c r="Q2476">
        <f t="shared" si="385"/>
        <v>0</v>
      </c>
      <c r="R2476">
        <f t="shared" si="386"/>
        <v>0</v>
      </c>
      <c r="S2476">
        <f t="shared" si="387"/>
        <v>0</v>
      </c>
      <c r="T2476">
        <f t="shared" si="389"/>
        <v>0</v>
      </c>
      <c r="U2476">
        <f t="shared" si="388"/>
        <v>0</v>
      </c>
    </row>
    <row r="2477" spans="1:21" x14ac:dyDescent="0.25">
      <c r="A2477">
        <v>2476</v>
      </c>
      <c r="B2477">
        <v>2042</v>
      </c>
      <c r="C2477" t="s">
        <v>183</v>
      </c>
      <c r="D2477">
        <v>4.29</v>
      </c>
      <c r="E2477">
        <v>17861.759999999998</v>
      </c>
      <c r="F2477">
        <v>362.57</v>
      </c>
      <c r="G2477">
        <v>45.88</v>
      </c>
      <c r="H2477">
        <v>4297.18</v>
      </c>
      <c r="I2477" s="80">
        <v>14483.12</v>
      </c>
      <c r="J2477">
        <v>35.08</v>
      </c>
      <c r="K2477">
        <v>3445.98</v>
      </c>
      <c r="L2477">
        <f t="shared" si="380"/>
        <v>0</v>
      </c>
      <c r="M2477">
        <f t="shared" si="381"/>
        <v>0</v>
      </c>
      <c r="N2477">
        <f t="shared" si="382"/>
        <v>0</v>
      </c>
      <c r="O2477">
        <f t="shared" si="383"/>
        <v>0</v>
      </c>
      <c r="P2477">
        <f t="shared" si="384"/>
        <v>0</v>
      </c>
      <c r="Q2477">
        <f t="shared" si="385"/>
        <v>0</v>
      </c>
      <c r="R2477">
        <f t="shared" si="386"/>
        <v>0</v>
      </c>
      <c r="S2477">
        <f t="shared" si="387"/>
        <v>0</v>
      </c>
      <c r="T2477">
        <f t="shared" si="389"/>
        <v>0</v>
      </c>
      <c r="U2477">
        <f t="shared" si="388"/>
        <v>0</v>
      </c>
    </row>
    <row r="2478" spans="1:21" x14ac:dyDescent="0.25">
      <c r="A2478">
        <v>2477</v>
      </c>
      <c r="B2478">
        <v>2042</v>
      </c>
      <c r="C2478" t="s">
        <v>186</v>
      </c>
      <c r="D2478">
        <v>14.43</v>
      </c>
      <c r="E2478">
        <v>12240.55</v>
      </c>
      <c r="F2478">
        <v>391.46</v>
      </c>
      <c r="G2478">
        <v>91.58</v>
      </c>
      <c r="H2478" s="80">
        <v>18487.79</v>
      </c>
      <c r="I2478" s="80">
        <v>16519.419999999998</v>
      </c>
      <c r="J2478">
        <v>39.79</v>
      </c>
      <c r="K2478">
        <v>6130.69</v>
      </c>
      <c r="L2478">
        <f t="shared" si="380"/>
        <v>0</v>
      </c>
      <c r="M2478">
        <f t="shared" si="381"/>
        <v>0</v>
      </c>
      <c r="N2478">
        <f t="shared" si="382"/>
        <v>0</v>
      </c>
      <c r="O2478">
        <f t="shared" si="383"/>
        <v>0</v>
      </c>
      <c r="P2478">
        <f t="shared" si="384"/>
        <v>0</v>
      </c>
      <c r="Q2478">
        <f t="shared" si="385"/>
        <v>0</v>
      </c>
      <c r="R2478">
        <f t="shared" si="386"/>
        <v>0</v>
      </c>
      <c r="S2478">
        <f t="shared" si="387"/>
        <v>0</v>
      </c>
      <c r="T2478">
        <f t="shared" si="389"/>
        <v>0</v>
      </c>
      <c r="U2478">
        <f t="shared" si="388"/>
        <v>0</v>
      </c>
    </row>
    <row r="2479" spans="1:21" x14ac:dyDescent="0.25">
      <c r="A2479">
        <v>2478</v>
      </c>
      <c r="B2479">
        <v>2042</v>
      </c>
      <c r="C2479" t="s">
        <v>188</v>
      </c>
      <c r="D2479">
        <v>10</v>
      </c>
      <c r="E2479" s="80">
        <v>41261.480000000003</v>
      </c>
      <c r="F2479">
        <v>193.09</v>
      </c>
      <c r="G2479">
        <v>80.739999999999995</v>
      </c>
      <c r="H2479">
        <v>1837.38</v>
      </c>
      <c r="I2479" s="80">
        <v>11117.7</v>
      </c>
      <c r="J2479">
        <v>56.23</v>
      </c>
      <c r="K2479" s="80">
        <v>10993.87</v>
      </c>
      <c r="L2479">
        <f t="shared" si="380"/>
        <v>0</v>
      </c>
      <c r="M2479">
        <f t="shared" si="381"/>
        <v>0</v>
      </c>
      <c r="N2479">
        <f t="shared" si="382"/>
        <v>0</v>
      </c>
      <c r="O2479">
        <f t="shared" si="383"/>
        <v>0</v>
      </c>
      <c r="P2479">
        <f t="shared" si="384"/>
        <v>0</v>
      </c>
      <c r="Q2479">
        <f t="shared" si="385"/>
        <v>0</v>
      </c>
      <c r="R2479">
        <f t="shared" si="386"/>
        <v>0</v>
      </c>
      <c r="S2479">
        <f t="shared" si="387"/>
        <v>0</v>
      </c>
      <c r="T2479">
        <f t="shared" si="389"/>
        <v>0</v>
      </c>
      <c r="U2479">
        <f t="shared" si="388"/>
        <v>0</v>
      </c>
    </row>
    <row r="2480" spans="1:21" x14ac:dyDescent="0.25">
      <c r="A2480">
        <v>2479</v>
      </c>
      <c r="B2480">
        <v>2042</v>
      </c>
      <c r="C2480" t="s">
        <v>182</v>
      </c>
      <c r="D2480" s="80">
        <v>0.28000000000000003</v>
      </c>
      <c r="E2480">
        <v>1435.17</v>
      </c>
      <c r="F2480">
        <v>0.79</v>
      </c>
      <c r="G2480">
        <v>10.36</v>
      </c>
      <c r="H2480">
        <v>12.05</v>
      </c>
      <c r="I2480">
        <v>604.55999999999995</v>
      </c>
      <c r="J2480">
        <v>6.45</v>
      </c>
      <c r="K2480">
        <v>6.43</v>
      </c>
      <c r="L2480">
        <f t="shared" si="380"/>
        <v>0</v>
      </c>
      <c r="M2480">
        <f t="shared" si="381"/>
        <v>0</v>
      </c>
      <c r="N2480">
        <f t="shared" si="382"/>
        <v>0</v>
      </c>
      <c r="O2480">
        <f t="shared" si="383"/>
        <v>0</v>
      </c>
      <c r="P2480">
        <f t="shared" si="384"/>
        <v>0</v>
      </c>
      <c r="Q2480">
        <f t="shared" si="385"/>
        <v>0</v>
      </c>
      <c r="R2480">
        <f t="shared" si="386"/>
        <v>0</v>
      </c>
      <c r="S2480">
        <f t="shared" si="387"/>
        <v>0</v>
      </c>
      <c r="T2480">
        <f t="shared" si="389"/>
        <v>0</v>
      </c>
      <c r="U2480">
        <f t="shared" si="388"/>
        <v>0</v>
      </c>
    </row>
    <row r="2481" spans="1:21" x14ac:dyDescent="0.25">
      <c r="A2481">
        <v>2480</v>
      </c>
      <c r="B2481">
        <v>2042</v>
      </c>
      <c r="C2481" t="s">
        <v>184</v>
      </c>
      <c r="D2481">
        <v>22.66</v>
      </c>
      <c r="E2481">
        <v>14366.61</v>
      </c>
      <c r="F2481">
        <v>322.02999999999997</v>
      </c>
      <c r="G2481">
        <v>70.27</v>
      </c>
      <c r="H2481">
        <v>6094.37</v>
      </c>
      <c r="I2481" s="80">
        <v>16155.26</v>
      </c>
      <c r="J2481">
        <v>42.98</v>
      </c>
      <c r="K2481">
        <v>1826.03</v>
      </c>
      <c r="L2481">
        <f t="shared" si="380"/>
        <v>0</v>
      </c>
      <c r="M2481">
        <f t="shared" si="381"/>
        <v>0</v>
      </c>
      <c r="N2481">
        <f t="shared" si="382"/>
        <v>0</v>
      </c>
      <c r="O2481">
        <f t="shared" si="383"/>
        <v>0</v>
      </c>
      <c r="P2481">
        <f t="shared" si="384"/>
        <v>0</v>
      </c>
      <c r="Q2481">
        <f t="shared" si="385"/>
        <v>0</v>
      </c>
      <c r="R2481">
        <f t="shared" si="386"/>
        <v>0</v>
      </c>
      <c r="S2481">
        <f t="shared" si="387"/>
        <v>0</v>
      </c>
      <c r="T2481">
        <f t="shared" si="389"/>
        <v>0</v>
      </c>
      <c r="U2481">
        <f t="shared" si="388"/>
        <v>0</v>
      </c>
    </row>
    <row r="2482" spans="1:21" x14ac:dyDescent="0.25">
      <c r="A2482">
        <v>2481</v>
      </c>
      <c r="B2482">
        <v>2042</v>
      </c>
      <c r="C2482" t="s">
        <v>187</v>
      </c>
      <c r="D2482">
        <v>92.29</v>
      </c>
      <c r="E2482">
        <v>11677.53</v>
      </c>
      <c r="F2482">
        <v>411.5</v>
      </c>
      <c r="G2482">
        <v>114.28</v>
      </c>
      <c r="H2482" s="80">
        <v>21806.46</v>
      </c>
      <c r="I2482" s="80">
        <v>15011.88</v>
      </c>
      <c r="J2482">
        <v>49.52</v>
      </c>
      <c r="K2482">
        <v>5958.91</v>
      </c>
      <c r="L2482">
        <f t="shared" si="380"/>
        <v>0</v>
      </c>
      <c r="M2482">
        <f t="shared" si="381"/>
        <v>0</v>
      </c>
      <c r="N2482">
        <f t="shared" si="382"/>
        <v>0</v>
      </c>
      <c r="O2482">
        <f t="shared" si="383"/>
        <v>0</v>
      </c>
      <c r="P2482">
        <f t="shared" si="384"/>
        <v>0</v>
      </c>
      <c r="Q2482">
        <f t="shared" si="385"/>
        <v>0</v>
      </c>
      <c r="R2482">
        <f t="shared" si="386"/>
        <v>0</v>
      </c>
      <c r="S2482">
        <f t="shared" si="387"/>
        <v>0</v>
      </c>
      <c r="T2482">
        <f t="shared" si="389"/>
        <v>0</v>
      </c>
      <c r="U2482">
        <f t="shared" si="388"/>
        <v>0</v>
      </c>
    </row>
    <row r="2483" spans="1:21" x14ac:dyDescent="0.25">
      <c r="A2483">
        <v>2482</v>
      </c>
      <c r="B2483">
        <v>2042</v>
      </c>
      <c r="C2483" t="s">
        <v>189</v>
      </c>
      <c r="D2483">
        <v>201.72</v>
      </c>
      <c r="E2483">
        <v>7808.1</v>
      </c>
      <c r="F2483">
        <v>7.73</v>
      </c>
      <c r="G2483">
        <v>80.739999999999995</v>
      </c>
      <c r="H2483" s="80">
        <v>20202.400000000001</v>
      </c>
      <c r="I2483" s="80">
        <v>6808.94</v>
      </c>
      <c r="J2483">
        <v>57.94</v>
      </c>
      <c r="K2483" s="80">
        <v>9962.0400000000009</v>
      </c>
      <c r="L2483">
        <f t="shared" si="380"/>
        <v>0</v>
      </c>
      <c r="M2483">
        <f t="shared" si="381"/>
        <v>0</v>
      </c>
      <c r="N2483">
        <f t="shared" si="382"/>
        <v>0</v>
      </c>
      <c r="O2483">
        <f t="shared" si="383"/>
        <v>0</v>
      </c>
      <c r="P2483">
        <f t="shared" si="384"/>
        <v>0</v>
      </c>
      <c r="Q2483">
        <f t="shared" si="385"/>
        <v>0</v>
      </c>
      <c r="R2483">
        <f t="shared" si="386"/>
        <v>0</v>
      </c>
      <c r="S2483">
        <f t="shared" si="387"/>
        <v>0</v>
      </c>
      <c r="T2483">
        <f t="shared" si="389"/>
        <v>0</v>
      </c>
      <c r="U2483">
        <f t="shared" si="388"/>
        <v>0</v>
      </c>
    </row>
    <row r="2484" spans="1:21" x14ac:dyDescent="0.25">
      <c r="A2484">
        <v>2483</v>
      </c>
      <c r="B2484" t="s">
        <v>90</v>
      </c>
      <c r="C2484" t="s">
        <v>162</v>
      </c>
      <c r="D2484">
        <v>7.96</v>
      </c>
      <c r="E2484" s="80">
        <v>72560.25</v>
      </c>
      <c r="F2484">
        <v>0.96</v>
      </c>
      <c r="G2484">
        <v>60.19</v>
      </c>
      <c r="H2484">
        <v>1.21</v>
      </c>
      <c r="I2484">
        <v>3.46</v>
      </c>
      <c r="J2484">
        <v>24.6</v>
      </c>
      <c r="K2484">
        <v>9.61</v>
      </c>
      <c r="L2484">
        <f t="shared" si="380"/>
        <v>0</v>
      </c>
      <c r="M2484">
        <f t="shared" si="381"/>
        <v>0</v>
      </c>
      <c r="N2484">
        <f t="shared" si="382"/>
        <v>0</v>
      </c>
      <c r="O2484">
        <f t="shared" si="383"/>
        <v>0</v>
      </c>
      <c r="P2484">
        <f t="shared" si="384"/>
        <v>0</v>
      </c>
      <c r="Q2484">
        <f t="shared" si="385"/>
        <v>0</v>
      </c>
      <c r="R2484">
        <f t="shared" si="386"/>
        <v>0</v>
      </c>
      <c r="S2484">
        <f t="shared" si="387"/>
        <v>0</v>
      </c>
      <c r="T2484">
        <f t="shared" si="389"/>
        <v>0</v>
      </c>
      <c r="U2484">
        <f t="shared" si="388"/>
        <v>0</v>
      </c>
    </row>
    <row r="2485" spans="1:21" x14ac:dyDescent="0.25">
      <c r="A2485">
        <v>2484</v>
      </c>
      <c r="B2485" t="s">
        <v>90</v>
      </c>
      <c r="C2485" t="s">
        <v>170</v>
      </c>
      <c r="D2485">
        <v>25.31</v>
      </c>
      <c r="E2485">
        <v>13506.14</v>
      </c>
      <c r="F2485">
        <v>1274.77</v>
      </c>
      <c r="G2485">
        <v>102.76</v>
      </c>
      <c r="H2485" s="80">
        <v>18062.78</v>
      </c>
      <c r="I2485" s="80">
        <v>17542.04</v>
      </c>
      <c r="J2485">
        <v>51.18</v>
      </c>
      <c r="K2485">
        <v>3018.92</v>
      </c>
      <c r="L2485">
        <f t="shared" si="380"/>
        <v>0</v>
      </c>
      <c r="M2485">
        <f t="shared" si="381"/>
        <v>0</v>
      </c>
      <c r="N2485">
        <f t="shared" si="382"/>
        <v>0</v>
      </c>
      <c r="O2485">
        <f t="shared" si="383"/>
        <v>0</v>
      </c>
      <c r="P2485">
        <f t="shared" si="384"/>
        <v>0</v>
      </c>
      <c r="Q2485">
        <f t="shared" si="385"/>
        <v>0</v>
      </c>
      <c r="R2485">
        <f t="shared" si="386"/>
        <v>0</v>
      </c>
      <c r="S2485">
        <f t="shared" si="387"/>
        <v>0</v>
      </c>
      <c r="T2485">
        <f t="shared" si="389"/>
        <v>0</v>
      </c>
      <c r="U2485">
        <f t="shared" si="388"/>
        <v>0</v>
      </c>
    </row>
    <row r="2486" spans="1:21" x14ac:dyDescent="0.25">
      <c r="A2486">
        <v>2485</v>
      </c>
      <c r="B2486" t="s">
        <v>90</v>
      </c>
      <c r="C2486" t="s">
        <v>178</v>
      </c>
      <c r="D2486">
        <v>10</v>
      </c>
      <c r="E2486">
        <v>18198.86</v>
      </c>
      <c r="F2486">
        <v>352.77</v>
      </c>
      <c r="G2486">
        <v>80.739999999999995</v>
      </c>
      <c r="H2486">
        <v>1380.99</v>
      </c>
      <c r="I2486" s="80">
        <v>12414.53</v>
      </c>
      <c r="J2486">
        <v>30.5</v>
      </c>
      <c r="K2486">
        <v>679.91</v>
      </c>
      <c r="L2486">
        <f t="shared" si="380"/>
        <v>0</v>
      </c>
      <c r="M2486">
        <f t="shared" si="381"/>
        <v>0</v>
      </c>
      <c r="N2486">
        <f t="shared" si="382"/>
        <v>0</v>
      </c>
      <c r="O2486">
        <f t="shared" si="383"/>
        <v>0</v>
      </c>
      <c r="P2486">
        <f t="shared" si="384"/>
        <v>0</v>
      </c>
      <c r="Q2486">
        <f t="shared" si="385"/>
        <v>0</v>
      </c>
      <c r="R2486">
        <f t="shared" si="386"/>
        <v>0</v>
      </c>
      <c r="S2486">
        <f t="shared" si="387"/>
        <v>0</v>
      </c>
      <c r="T2486">
        <f t="shared" si="389"/>
        <v>0</v>
      </c>
      <c r="U2486">
        <f t="shared" si="388"/>
        <v>0</v>
      </c>
    </row>
    <row r="2487" spans="1:21" x14ac:dyDescent="0.25">
      <c r="A2487">
        <v>2486</v>
      </c>
      <c r="B2487" t="s">
        <v>90</v>
      </c>
      <c r="C2487" t="s">
        <v>163</v>
      </c>
      <c r="D2487">
        <v>105.16</v>
      </c>
      <c r="E2487">
        <v>14316.74</v>
      </c>
      <c r="F2487">
        <v>333.06</v>
      </c>
      <c r="G2487">
        <v>114.28</v>
      </c>
      <c r="H2487" s="80">
        <v>18185.43</v>
      </c>
      <c r="I2487" s="80">
        <v>14959.29</v>
      </c>
      <c r="J2487">
        <v>56.23</v>
      </c>
      <c r="K2487" s="80">
        <v>16265.33</v>
      </c>
      <c r="L2487">
        <f t="shared" si="380"/>
        <v>0</v>
      </c>
      <c r="M2487">
        <f t="shared" si="381"/>
        <v>0</v>
      </c>
      <c r="N2487">
        <f t="shared" si="382"/>
        <v>0</v>
      </c>
      <c r="O2487">
        <f t="shared" si="383"/>
        <v>0</v>
      </c>
      <c r="P2487">
        <f t="shared" si="384"/>
        <v>0</v>
      </c>
      <c r="Q2487">
        <f t="shared" si="385"/>
        <v>0</v>
      </c>
      <c r="R2487">
        <f t="shared" si="386"/>
        <v>0</v>
      </c>
      <c r="S2487">
        <f t="shared" si="387"/>
        <v>0</v>
      </c>
      <c r="T2487">
        <f t="shared" si="389"/>
        <v>0</v>
      </c>
      <c r="U2487">
        <f t="shared" si="388"/>
        <v>0</v>
      </c>
    </row>
    <row r="2488" spans="1:21" x14ac:dyDescent="0.25">
      <c r="A2488">
        <v>2487</v>
      </c>
      <c r="B2488" t="s">
        <v>90</v>
      </c>
      <c r="C2488" t="s">
        <v>181</v>
      </c>
      <c r="D2488">
        <v>8.6300000000000008</v>
      </c>
      <c r="E2488" t="s">
        <v>582</v>
      </c>
      <c r="F2488">
        <v>1.77</v>
      </c>
      <c r="G2488">
        <v>60.19</v>
      </c>
      <c r="H2488">
        <v>9.7200000000000006</v>
      </c>
      <c r="I2488">
        <v>42.34</v>
      </c>
      <c r="J2488">
        <v>35.08</v>
      </c>
      <c r="K2488">
        <v>96.86</v>
      </c>
      <c r="L2488">
        <f t="shared" si="380"/>
        <v>0</v>
      </c>
      <c r="M2488">
        <f t="shared" si="381"/>
        <v>1</v>
      </c>
      <c r="N2488">
        <f t="shared" si="382"/>
        <v>0</v>
      </c>
      <c r="O2488">
        <f t="shared" si="383"/>
        <v>0</v>
      </c>
      <c r="P2488">
        <f t="shared" si="384"/>
        <v>0</v>
      </c>
      <c r="Q2488">
        <f t="shared" si="385"/>
        <v>0</v>
      </c>
      <c r="R2488">
        <f t="shared" si="386"/>
        <v>0</v>
      </c>
      <c r="S2488">
        <f t="shared" si="387"/>
        <v>0</v>
      </c>
      <c r="T2488">
        <f t="shared" si="389"/>
        <v>1</v>
      </c>
      <c r="U2488">
        <f t="shared" si="388"/>
        <v>1</v>
      </c>
    </row>
    <row r="2489" spans="1:21" x14ac:dyDescent="0.25">
      <c r="A2489">
        <v>2488</v>
      </c>
      <c r="B2489" t="s">
        <v>90</v>
      </c>
      <c r="C2489" t="s">
        <v>183</v>
      </c>
      <c r="D2489">
        <v>13.66</v>
      </c>
      <c r="E2489">
        <v>23408.68</v>
      </c>
      <c r="F2489">
        <v>481.93</v>
      </c>
      <c r="G2489">
        <v>70.27</v>
      </c>
      <c r="H2489">
        <v>3330.64</v>
      </c>
      <c r="I2489" s="80">
        <v>17356.84</v>
      </c>
      <c r="J2489">
        <v>38.200000000000003</v>
      </c>
      <c r="K2489">
        <v>5105.6400000000003</v>
      </c>
      <c r="L2489">
        <f t="shared" si="380"/>
        <v>0</v>
      </c>
      <c r="M2489">
        <f t="shared" si="381"/>
        <v>0</v>
      </c>
      <c r="N2489">
        <f t="shared" si="382"/>
        <v>0</v>
      </c>
      <c r="O2489">
        <f t="shared" si="383"/>
        <v>0</v>
      </c>
      <c r="P2489">
        <f t="shared" si="384"/>
        <v>0</v>
      </c>
      <c r="Q2489">
        <f t="shared" si="385"/>
        <v>0</v>
      </c>
      <c r="R2489">
        <f t="shared" si="386"/>
        <v>0</v>
      </c>
      <c r="S2489">
        <f t="shared" si="387"/>
        <v>0</v>
      </c>
      <c r="T2489">
        <f t="shared" si="389"/>
        <v>0</v>
      </c>
      <c r="U2489">
        <f t="shared" si="388"/>
        <v>0</v>
      </c>
    </row>
    <row r="2490" spans="1:21" x14ac:dyDescent="0.25">
      <c r="A2490">
        <v>2489</v>
      </c>
      <c r="B2490" t="s">
        <v>90</v>
      </c>
      <c r="C2490" t="s">
        <v>186</v>
      </c>
      <c r="D2490">
        <v>15.99</v>
      </c>
      <c r="E2490">
        <v>17650.400000000001</v>
      </c>
      <c r="F2490">
        <v>1051.26</v>
      </c>
      <c r="G2490">
        <v>86.11</v>
      </c>
      <c r="H2490">
        <v>11162.53</v>
      </c>
      <c r="I2490" s="80">
        <v>18135.93</v>
      </c>
      <c r="J2490">
        <v>47.87</v>
      </c>
      <c r="K2490" s="80">
        <v>8581.9</v>
      </c>
      <c r="L2490">
        <f t="shared" si="380"/>
        <v>0</v>
      </c>
      <c r="M2490">
        <f t="shared" si="381"/>
        <v>0</v>
      </c>
      <c r="N2490">
        <f t="shared" si="382"/>
        <v>0</v>
      </c>
      <c r="O2490">
        <f t="shared" si="383"/>
        <v>0</v>
      </c>
      <c r="P2490">
        <f t="shared" si="384"/>
        <v>0</v>
      </c>
      <c r="Q2490">
        <f t="shared" si="385"/>
        <v>0</v>
      </c>
      <c r="R2490">
        <f t="shared" si="386"/>
        <v>0</v>
      </c>
      <c r="S2490">
        <f t="shared" si="387"/>
        <v>0</v>
      </c>
      <c r="T2490">
        <f t="shared" si="389"/>
        <v>0</v>
      </c>
      <c r="U2490">
        <f t="shared" si="388"/>
        <v>0</v>
      </c>
    </row>
    <row r="2491" spans="1:21" x14ac:dyDescent="0.25">
      <c r="A2491">
        <v>2490</v>
      </c>
      <c r="B2491" t="s">
        <v>90</v>
      </c>
      <c r="C2491" t="s">
        <v>188</v>
      </c>
      <c r="D2491">
        <v>24.41</v>
      </c>
      <c r="E2491" s="80">
        <v>47309.89</v>
      </c>
      <c r="F2491">
        <v>627.33000000000004</v>
      </c>
      <c r="G2491">
        <v>176.26</v>
      </c>
      <c r="H2491">
        <v>5604.15</v>
      </c>
      <c r="I2491" s="80">
        <v>17082.73</v>
      </c>
      <c r="J2491">
        <v>107.28</v>
      </c>
      <c r="K2491" t="s">
        <v>582</v>
      </c>
      <c r="L2491">
        <f t="shared" si="380"/>
        <v>0</v>
      </c>
      <c r="M2491">
        <f t="shared" si="381"/>
        <v>0</v>
      </c>
      <c r="N2491">
        <f t="shared" si="382"/>
        <v>0</v>
      </c>
      <c r="O2491">
        <f t="shared" si="383"/>
        <v>0</v>
      </c>
      <c r="P2491">
        <f t="shared" si="384"/>
        <v>0</v>
      </c>
      <c r="Q2491">
        <f t="shared" si="385"/>
        <v>0</v>
      </c>
      <c r="R2491">
        <f t="shared" si="386"/>
        <v>0</v>
      </c>
      <c r="S2491">
        <f t="shared" si="387"/>
        <v>1</v>
      </c>
      <c r="T2491">
        <f t="shared" si="389"/>
        <v>1</v>
      </c>
      <c r="U2491">
        <f t="shared" si="388"/>
        <v>1</v>
      </c>
    </row>
    <row r="2492" spans="1:21" x14ac:dyDescent="0.25">
      <c r="A2492">
        <v>2491</v>
      </c>
      <c r="B2492" t="s">
        <v>90</v>
      </c>
      <c r="C2492" t="s">
        <v>182</v>
      </c>
      <c r="D2492">
        <v>0.57999999999999996</v>
      </c>
      <c r="E2492">
        <v>2539.06</v>
      </c>
      <c r="F2492">
        <v>1.77</v>
      </c>
      <c r="G2492" s="80">
        <v>0.51</v>
      </c>
      <c r="H2492">
        <v>12.05</v>
      </c>
      <c r="I2492">
        <v>2738.85</v>
      </c>
      <c r="J2492">
        <v>2.38</v>
      </c>
      <c r="K2492">
        <v>7.92</v>
      </c>
      <c r="L2492">
        <f t="shared" si="380"/>
        <v>0</v>
      </c>
      <c r="M2492">
        <f t="shared" si="381"/>
        <v>0</v>
      </c>
      <c r="N2492">
        <f t="shared" si="382"/>
        <v>0</v>
      </c>
      <c r="O2492">
        <f t="shared" si="383"/>
        <v>0</v>
      </c>
      <c r="P2492">
        <f t="shared" si="384"/>
        <v>0</v>
      </c>
      <c r="Q2492">
        <f t="shared" si="385"/>
        <v>0</v>
      </c>
      <c r="R2492">
        <f t="shared" si="386"/>
        <v>0</v>
      </c>
      <c r="S2492">
        <f t="shared" si="387"/>
        <v>0</v>
      </c>
      <c r="T2492">
        <f t="shared" si="389"/>
        <v>0</v>
      </c>
      <c r="U2492">
        <f t="shared" si="388"/>
        <v>0</v>
      </c>
    </row>
    <row r="2493" spans="1:21" x14ac:dyDescent="0.25">
      <c r="A2493">
        <v>2492</v>
      </c>
      <c r="B2493" t="s">
        <v>90</v>
      </c>
      <c r="C2493" t="s">
        <v>184</v>
      </c>
      <c r="D2493">
        <v>134.97999999999999</v>
      </c>
      <c r="E2493">
        <v>8087</v>
      </c>
      <c r="F2493">
        <v>217.74</v>
      </c>
      <c r="G2493">
        <v>75.459999999999994</v>
      </c>
      <c r="H2493">
        <v>10448.629999999999</v>
      </c>
      <c r="I2493" s="80">
        <v>16263.1</v>
      </c>
      <c r="J2493">
        <v>36.64</v>
      </c>
      <c r="K2493">
        <v>1380.33</v>
      </c>
      <c r="L2493">
        <f t="shared" si="380"/>
        <v>0</v>
      </c>
      <c r="M2493">
        <f t="shared" si="381"/>
        <v>0</v>
      </c>
      <c r="N2493">
        <f t="shared" si="382"/>
        <v>0</v>
      </c>
      <c r="O2493">
        <f t="shared" si="383"/>
        <v>0</v>
      </c>
      <c r="P2493">
        <f t="shared" si="384"/>
        <v>0</v>
      </c>
      <c r="Q2493">
        <f t="shared" si="385"/>
        <v>0</v>
      </c>
      <c r="R2493">
        <f t="shared" si="386"/>
        <v>0</v>
      </c>
      <c r="S2493">
        <f t="shared" si="387"/>
        <v>0</v>
      </c>
      <c r="T2493">
        <f t="shared" si="389"/>
        <v>0</v>
      </c>
      <c r="U2493">
        <f t="shared" si="388"/>
        <v>0</v>
      </c>
    </row>
    <row r="2494" spans="1:21" x14ac:dyDescent="0.25">
      <c r="A2494">
        <v>2493</v>
      </c>
      <c r="B2494" t="s">
        <v>90</v>
      </c>
      <c r="C2494" t="s">
        <v>187</v>
      </c>
      <c r="D2494">
        <v>860.98</v>
      </c>
      <c r="E2494">
        <v>6143.2</v>
      </c>
      <c r="F2494">
        <v>143.05000000000001</v>
      </c>
      <c r="G2494">
        <v>50.53</v>
      </c>
      <c r="H2494" s="80">
        <v>28865.34</v>
      </c>
      <c r="I2494" s="80">
        <v>14349.83</v>
      </c>
      <c r="J2494">
        <v>56.23</v>
      </c>
      <c r="K2494">
        <v>4511.3599999999997</v>
      </c>
      <c r="L2494">
        <f t="shared" si="380"/>
        <v>0</v>
      </c>
      <c r="M2494">
        <f t="shared" si="381"/>
        <v>0</v>
      </c>
      <c r="N2494">
        <f t="shared" si="382"/>
        <v>0</v>
      </c>
      <c r="O2494">
        <f t="shared" si="383"/>
        <v>0</v>
      </c>
      <c r="P2494">
        <f t="shared" si="384"/>
        <v>0</v>
      </c>
      <c r="Q2494">
        <f t="shared" si="385"/>
        <v>0</v>
      </c>
      <c r="R2494">
        <f t="shared" si="386"/>
        <v>0</v>
      </c>
      <c r="S2494">
        <f t="shared" si="387"/>
        <v>0</v>
      </c>
      <c r="T2494">
        <f t="shared" si="389"/>
        <v>0</v>
      </c>
      <c r="U2494">
        <f t="shared" si="388"/>
        <v>0</v>
      </c>
    </row>
    <row r="2495" spans="1:21" x14ac:dyDescent="0.25">
      <c r="A2495">
        <v>2494</v>
      </c>
      <c r="B2495" t="s">
        <v>90</v>
      </c>
      <c r="C2495" t="s">
        <v>189</v>
      </c>
      <c r="D2495">
        <v>307.97000000000003</v>
      </c>
      <c r="E2495">
        <v>4956.67</v>
      </c>
      <c r="F2495">
        <v>10.26</v>
      </c>
      <c r="G2495">
        <v>70.27</v>
      </c>
      <c r="H2495">
        <v>10581.77</v>
      </c>
      <c r="I2495" s="80">
        <v>11252.02</v>
      </c>
      <c r="J2495">
        <v>47.87</v>
      </c>
      <c r="K2495">
        <v>5085.17</v>
      </c>
      <c r="L2495">
        <f t="shared" si="380"/>
        <v>0</v>
      </c>
      <c r="M2495">
        <f t="shared" si="381"/>
        <v>0</v>
      </c>
      <c r="N2495">
        <f t="shared" si="382"/>
        <v>0</v>
      </c>
      <c r="O2495">
        <f t="shared" si="383"/>
        <v>0</v>
      </c>
      <c r="P2495">
        <f t="shared" si="384"/>
        <v>0</v>
      </c>
      <c r="Q2495">
        <f t="shared" si="385"/>
        <v>0</v>
      </c>
      <c r="R2495">
        <f t="shared" si="386"/>
        <v>0</v>
      </c>
      <c r="S2495">
        <f t="shared" si="387"/>
        <v>0</v>
      </c>
      <c r="T2495">
        <f t="shared" si="389"/>
        <v>0</v>
      </c>
      <c r="U2495">
        <f t="shared" si="388"/>
        <v>0</v>
      </c>
    </row>
    <row r="2496" spans="1:21" x14ac:dyDescent="0.25">
      <c r="A2496">
        <v>2495</v>
      </c>
      <c r="B2496" t="s">
        <v>97</v>
      </c>
      <c r="C2496" t="s">
        <v>162</v>
      </c>
      <c r="D2496">
        <v>13.66</v>
      </c>
      <c r="E2496" t="s">
        <v>582</v>
      </c>
      <c r="F2496">
        <v>1.87</v>
      </c>
      <c r="G2496">
        <v>60.19</v>
      </c>
      <c r="H2496">
        <v>4.7699999999999996</v>
      </c>
      <c r="I2496">
        <v>67.989999999999995</v>
      </c>
      <c r="J2496">
        <v>35.08</v>
      </c>
      <c r="K2496">
        <v>87.4</v>
      </c>
      <c r="L2496">
        <f t="shared" si="380"/>
        <v>0</v>
      </c>
      <c r="M2496">
        <f t="shared" si="381"/>
        <v>1</v>
      </c>
      <c r="N2496">
        <f t="shared" si="382"/>
        <v>0</v>
      </c>
      <c r="O2496">
        <f t="shared" si="383"/>
        <v>0</v>
      </c>
      <c r="P2496">
        <f t="shared" si="384"/>
        <v>0</v>
      </c>
      <c r="Q2496">
        <f t="shared" si="385"/>
        <v>0</v>
      </c>
      <c r="R2496">
        <f t="shared" si="386"/>
        <v>0</v>
      </c>
      <c r="S2496">
        <f t="shared" si="387"/>
        <v>0</v>
      </c>
      <c r="T2496">
        <f t="shared" si="389"/>
        <v>1</v>
      </c>
      <c r="U2496">
        <f t="shared" si="388"/>
        <v>1</v>
      </c>
    </row>
    <row r="2497" spans="1:21" x14ac:dyDescent="0.25">
      <c r="A2497" s="50">
        <v>2496</v>
      </c>
      <c r="B2497" t="s">
        <v>97</v>
      </c>
      <c r="C2497" t="s">
        <v>170</v>
      </c>
      <c r="D2497">
        <v>45.8</v>
      </c>
      <c r="E2497" s="80">
        <v>80987.22</v>
      </c>
      <c r="F2497">
        <v>477.39</v>
      </c>
      <c r="G2497">
        <v>138.22</v>
      </c>
      <c r="H2497">
        <v>6504.05</v>
      </c>
      <c r="I2497" s="80">
        <v>17898.939999999999</v>
      </c>
      <c r="J2497">
        <v>63.11</v>
      </c>
      <c r="K2497">
        <v>1684.84</v>
      </c>
      <c r="L2497">
        <f t="shared" si="380"/>
        <v>0</v>
      </c>
      <c r="M2497">
        <f t="shared" si="381"/>
        <v>0</v>
      </c>
      <c r="N2497">
        <f t="shared" si="382"/>
        <v>0</v>
      </c>
      <c r="O2497">
        <f t="shared" si="383"/>
        <v>0</v>
      </c>
      <c r="P2497">
        <f t="shared" si="384"/>
        <v>0</v>
      </c>
      <c r="Q2497">
        <f t="shared" si="385"/>
        <v>0</v>
      </c>
      <c r="R2497">
        <f t="shared" si="386"/>
        <v>0</v>
      </c>
      <c r="S2497">
        <f t="shared" si="387"/>
        <v>0</v>
      </c>
      <c r="T2497">
        <f t="shared" si="389"/>
        <v>0</v>
      </c>
      <c r="U2497">
        <f t="shared" si="388"/>
        <v>0</v>
      </c>
    </row>
    <row r="2498" spans="1:21" x14ac:dyDescent="0.25">
      <c r="A2498" s="59">
        <v>2497</v>
      </c>
      <c r="B2498" t="s">
        <v>97</v>
      </c>
      <c r="C2498" t="s">
        <v>178</v>
      </c>
      <c r="D2498">
        <v>367.31</v>
      </c>
      <c r="E2498" s="80">
        <v>50046.9</v>
      </c>
      <c r="F2498">
        <v>2207.92</v>
      </c>
      <c r="G2498">
        <v>138.22</v>
      </c>
      <c r="H2498" s="80">
        <v>71479.649999999994</v>
      </c>
      <c r="I2498" s="80">
        <v>20414.21</v>
      </c>
      <c r="J2498">
        <v>46.23</v>
      </c>
      <c r="K2498">
        <v>4152.47</v>
      </c>
      <c r="L2498">
        <f t="shared" ref="L2498:L2561" si="390">IF(D2498 = "OOR &gt;", 1,0)</f>
        <v>0</v>
      </c>
      <c r="M2498">
        <f t="shared" ref="M2498:M2561" si="391">IF(E2498 = "OOR &gt;", 1,0)</f>
        <v>0</v>
      </c>
      <c r="N2498">
        <f t="shared" ref="N2498:N2561" si="392">IF(F2498 = "OOR &gt;", 1,0)</f>
        <v>0</v>
      </c>
      <c r="O2498">
        <f t="shared" ref="O2498:O2561" si="393">IF(G2498 = "OOR &gt;", 1,0)</f>
        <v>0</v>
      </c>
      <c r="P2498">
        <f t="shared" ref="P2498:P2561" si="394">IF(H2498 = "OOR &gt;", 1,0)</f>
        <v>0</v>
      </c>
      <c r="Q2498">
        <f t="shared" ref="Q2498:Q2561" si="395">IF(I2498 = "OOR &gt;", 1,0)</f>
        <v>0</v>
      </c>
      <c r="R2498">
        <f t="shared" ref="R2498:R2561" si="396">IF(J2498 = "OOR &gt;", 1,0)</f>
        <v>0</v>
      </c>
      <c r="S2498">
        <f t="shared" ref="S2498:S2561" si="397">IF(K2498 = "OOR &gt;", 1,0)</f>
        <v>0</v>
      </c>
      <c r="T2498">
        <f t="shared" si="389"/>
        <v>0</v>
      </c>
      <c r="U2498">
        <f t="shared" ref="U2498:U2561" si="398">IF(T2498 &gt; 0,1,0)</f>
        <v>0</v>
      </c>
    </row>
    <row r="2499" spans="1:21" x14ac:dyDescent="0.25">
      <c r="A2499">
        <v>2498</v>
      </c>
      <c r="B2499" t="s">
        <v>97</v>
      </c>
      <c r="C2499" t="s">
        <v>163</v>
      </c>
      <c r="D2499">
        <v>458.59</v>
      </c>
      <c r="E2499" s="80">
        <v>53531.99</v>
      </c>
      <c r="F2499">
        <v>877.74</v>
      </c>
      <c r="G2499">
        <v>138.22</v>
      </c>
      <c r="H2499" s="80">
        <v>19749.939999999999</v>
      </c>
      <c r="I2499" s="80">
        <v>18426.349999999999</v>
      </c>
      <c r="J2499">
        <v>84.62</v>
      </c>
      <c r="K2499" s="80">
        <v>8486</v>
      </c>
      <c r="L2499">
        <f t="shared" si="390"/>
        <v>0</v>
      </c>
      <c r="M2499">
        <f t="shared" si="391"/>
        <v>0</v>
      </c>
      <c r="N2499">
        <f t="shared" si="392"/>
        <v>0</v>
      </c>
      <c r="O2499">
        <f t="shared" si="393"/>
        <v>0</v>
      </c>
      <c r="P2499">
        <f t="shared" si="394"/>
        <v>0</v>
      </c>
      <c r="Q2499">
        <f t="shared" si="395"/>
        <v>0</v>
      </c>
      <c r="R2499">
        <f t="shared" si="396"/>
        <v>0</v>
      </c>
      <c r="S2499">
        <f t="shared" si="397"/>
        <v>0</v>
      </c>
      <c r="T2499">
        <f t="shared" ref="T2499:T2562" si="399">SUMIF(L2499:S2499,"&gt;0")</f>
        <v>0</v>
      </c>
      <c r="U2499">
        <f t="shared" si="398"/>
        <v>0</v>
      </c>
    </row>
    <row r="2500" spans="1:21" x14ac:dyDescent="0.25">
      <c r="A2500">
        <v>2499</v>
      </c>
      <c r="B2500" t="s">
        <v>97</v>
      </c>
      <c r="C2500" t="s">
        <v>181</v>
      </c>
      <c r="D2500">
        <v>17.600000000000001</v>
      </c>
      <c r="E2500" t="s">
        <v>582</v>
      </c>
      <c r="F2500">
        <v>1.49</v>
      </c>
      <c r="G2500">
        <v>102.76</v>
      </c>
      <c r="H2500">
        <v>13.94</v>
      </c>
      <c r="I2500">
        <v>191.71</v>
      </c>
      <c r="J2500">
        <v>47.87</v>
      </c>
      <c r="K2500">
        <v>131.35</v>
      </c>
      <c r="L2500">
        <f t="shared" si="390"/>
        <v>0</v>
      </c>
      <c r="M2500">
        <f t="shared" si="391"/>
        <v>1</v>
      </c>
      <c r="N2500">
        <f t="shared" si="392"/>
        <v>0</v>
      </c>
      <c r="O2500">
        <f t="shared" si="393"/>
        <v>0</v>
      </c>
      <c r="P2500">
        <f t="shared" si="394"/>
        <v>0</v>
      </c>
      <c r="Q2500">
        <f t="shared" si="395"/>
        <v>0</v>
      </c>
      <c r="R2500">
        <f t="shared" si="396"/>
        <v>0</v>
      </c>
      <c r="S2500">
        <f t="shared" si="397"/>
        <v>0</v>
      </c>
      <c r="T2500">
        <f t="shared" si="399"/>
        <v>1</v>
      </c>
      <c r="U2500">
        <f t="shared" si="398"/>
        <v>1</v>
      </c>
    </row>
    <row r="2501" spans="1:21" x14ac:dyDescent="0.25">
      <c r="A2501">
        <v>2500</v>
      </c>
      <c r="B2501" t="s">
        <v>97</v>
      </c>
      <c r="C2501" t="s">
        <v>183</v>
      </c>
      <c r="D2501">
        <v>20.09</v>
      </c>
      <c r="E2501" s="80">
        <v>42790.34</v>
      </c>
      <c r="F2501">
        <v>576.58000000000004</v>
      </c>
      <c r="G2501">
        <v>126.1</v>
      </c>
      <c r="H2501" s="80">
        <v>17419.3</v>
      </c>
      <c r="I2501" s="80">
        <v>21060.2</v>
      </c>
      <c r="J2501">
        <v>84.62</v>
      </c>
      <c r="K2501" s="80">
        <v>12000.97</v>
      </c>
      <c r="L2501">
        <f t="shared" si="390"/>
        <v>0</v>
      </c>
      <c r="M2501">
        <f t="shared" si="391"/>
        <v>0</v>
      </c>
      <c r="N2501">
        <f t="shared" si="392"/>
        <v>0</v>
      </c>
      <c r="O2501">
        <f t="shared" si="393"/>
        <v>0</v>
      </c>
      <c r="P2501">
        <f t="shared" si="394"/>
        <v>0</v>
      </c>
      <c r="Q2501">
        <f t="shared" si="395"/>
        <v>0</v>
      </c>
      <c r="R2501">
        <f t="shared" si="396"/>
        <v>0</v>
      </c>
      <c r="S2501">
        <f t="shared" si="397"/>
        <v>0</v>
      </c>
      <c r="T2501">
        <f t="shared" si="399"/>
        <v>0</v>
      </c>
      <c r="U2501">
        <f t="shared" si="398"/>
        <v>0</v>
      </c>
    </row>
    <row r="2502" spans="1:21" x14ac:dyDescent="0.25">
      <c r="A2502">
        <v>2501</v>
      </c>
      <c r="B2502" t="s">
        <v>97</v>
      </c>
      <c r="C2502" t="s">
        <v>186</v>
      </c>
      <c r="D2502">
        <v>20.09</v>
      </c>
      <c r="E2502">
        <v>23300.880000000001</v>
      </c>
      <c r="F2502">
        <v>875.94</v>
      </c>
      <c r="G2502">
        <v>138.22</v>
      </c>
      <c r="H2502" s="80">
        <v>79137.25</v>
      </c>
      <c r="I2502" s="80">
        <v>22460.86</v>
      </c>
      <c r="J2502">
        <v>99.61</v>
      </c>
      <c r="K2502" s="80">
        <v>16015.73</v>
      </c>
      <c r="L2502">
        <f t="shared" si="390"/>
        <v>0</v>
      </c>
      <c r="M2502">
        <f t="shared" si="391"/>
        <v>0</v>
      </c>
      <c r="N2502">
        <f t="shared" si="392"/>
        <v>0</v>
      </c>
      <c r="O2502">
        <f t="shared" si="393"/>
        <v>0</v>
      </c>
      <c r="P2502">
        <f t="shared" si="394"/>
        <v>0</v>
      </c>
      <c r="Q2502">
        <f t="shared" si="395"/>
        <v>0</v>
      </c>
      <c r="R2502">
        <f t="shared" si="396"/>
        <v>0</v>
      </c>
      <c r="S2502">
        <f t="shared" si="397"/>
        <v>0</v>
      </c>
      <c r="T2502">
        <f t="shared" si="399"/>
        <v>0</v>
      </c>
      <c r="U2502">
        <f t="shared" si="398"/>
        <v>0</v>
      </c>
    </row>
    <row r="2503" spans="1:21" x14ac:dyDescent="0.25">
      <c r="A2503">
        <v>2502</v>
      </c>
      <c r="B2503" t="s">
        <v>97</v>
      </c>
      <c r="C2503" t="s">
        <v>188</v>
      </c>
      <c r="D2503">
        <v>26.21</v>
      </c>
      <c r="E2503" t="s">
        <v>582</v>
      </c>
      <c r="F2503">
        <v>297.55</v>
      </c>
      <c r="G2503">
        <v>150.63</v>
      </c>
      <c r="H2503">
        <v>6731.23</v>
      </c>
      <c r="I2503" s="80">
        <v>20900.03</v>
      </c>
      <c r="J2503">
        <v>109.21</v>
      </c>
      <c r="K2503" s="80">
        <v>13879.8</v>
      </c>
      <c r="L2503">
        <f t="shared" si="390"/>
        <v>0</v>
      </c>
      <c r="M2503">
        <f t="shared" si="391"/>
        <v>1</v>
      </c>
      <c r="N2503">
        <f t="shared" si="392"/>
        <v>0</v>
      </c>
      <c r="O2503">
        <f t="shared" si="393"/>
        <v>0</v>
      </c>
      <c r="P2503">
        <f t="shared" si="394"/>
        <v>0</v>
      </c>
      <c r="Q2503">
        <f t="shared" si="395"/>
        <v>0</v>
      </c>
      <c r="R2503">
        <f t="shared" si="396"/>
        <v>0</v>
      </c>
      <c r="S2503">
        <f t="shared" si="397"/>
        <v>0</v>
      </c>
      <c r="T2503">
        <f t="shared" si="399"/>
        <v>1</v>
      </c>
      <c r="U2503">
        <f t="shared" si="398"/>
        <v>1</v>
      </c>
    </row>
    <row r="2504" spans="1:21" x14ac:dyDescent="0.25">
      <c r="A2504">
        <v>2503</v>
      </c>
      <c r="B2504" t="s">
        <v>97</v>
      </c>
      <c r="C2504" t="s">
        <v>182</v>
      </c>
      <c r="D2504" t="s">
        <v>583</v>
      </c>
      <c r="E2504">
        <v>1886.41</v>
      </c>
      <c r="F2504">
        <v>0.5</v>
      </c>
      <c r="G2504" t="s">
        <v>583</v>
      </c>
      <c r="H2504">
        <v>7.17</v>
      </c>
      <c r="I2504">
        <v>143.66999999999999</v>
      </c>
      <c r="J2504">
        <v>2.38</v>
      </c>
      <c r="K2504">
        <v>3.44</v>
      </c>
      <c r="L2504">
        <f t="shared" si="390"/>
        <v>0</v>
      </c>
      <c r="M2504">
        <f t="shared" si="391"/>
        <v>0</v>
      </c>
      <c r="N2504">
        <f t="shared" si="392"/>
        <v>0</v>
      </c>
      <c r="O2504">
        <f t="shared" si="393"/>
        <v>0</v>
      </c>
      <c r="P2504">
        <f t="shared" si="394"/>
        <v>0</v>
      </c>
      <c r="Q2504">
        <f t="shared" si="395"/>
        <v>0</v>
      </c>
      <c r="R2504">
        <f t="shared" si="396"/>
        <v>0</v>
      </c>
      <c r="S2504">
        <f t="shared" si="397"/>
        <v>0</v>
      </c>
      <c r="T2504">
        <f t="shared" si="399"/>
        <v>0</v>
      </c>
      <c r="U2504">
        <f t="shared" si="398"/>
        <v>0</v>
      </c>
    </row>
    <row r="2505" spans="1:21" x14ac:dyDescent="0.25">
      <c r="A2505">
        <v>2504</v>
      </c>
      <c r="B2505" t="s">
        <v>97</v>
      </c>
      <c r="C2505" t="s">
        <v>184</v>
      </c>
      <c r="D2505">
        <v>251.65</v>
      </c>
      <c r="E2505">
        <v>7415.75</v>
      </c>
      <c r="F2505">
        <v>73.17</v>
      </c>
      <c r="G2505">
        <v>41.34</v>
      </c>
      <c r="H2505" s="80">
        <v>23774.82</v>
      </c>
      <c r="I2505" s="80">
        <v>18165.349999999999</v>
      </c>
      <c r="J2505">
        <v>36.64</v>
      </c>
      <c r="K2505">
        <v>3192.21</v>
      </c>
      <c r="L2505">
        <f t="shared" si="390"/>
        <v>0</v>
      </c>
      <c r="M2505">
        <f t="shared" si="391"/>
        <v>0</v>
      </c>
      <c r="N2505">
        <f t="shared" si="392"/>
        <v>0</v>
      </c>
      <c r="O2505">
        <f t="shared" si="393"/>
        <v>0</v>
      </c>
      <c r="P2505">
        <f t="shared" si="394"/>
        <v>0</v>
      </c>
      <c r="Q2505">
        <f t="shared" si="395"/>
        <v>0</v>
      </c>
      <c r="R2505">
        <f t="shared" si="396"/>
        <v>0</v>
      </c>
      <c r="S2505">
        <f t="shared" si="397"/>
        <v>0</v>
      </c>
      <c r="T2505">
        <f t="shared" si="399"/>
        <v>0</v>
      </c>
      <c r="U2505">
        <f t="shared" si="398"/>
        <v>0</v>
      </c>
    </row>
    <row r="2506" spans="1:21" x14ac:dyDescent="0.25">
      <c r="A2506">
        <v>2505</v>
      </c>
      <c r="B2506" t="s">
        <v>97</v>
      </c>
      <c r="C2506" t="s">
        <v>187</v>
      </c>
      <c r="D2506">
        <v>618.41999999999996</v>
      </c>
      <c r="E2506">
        <v>6271.13</v>
      </c>
      <c r="F2506">
        <v>90.32</v>
      </c>
      <c r="G2506">
        <v>36.93</v>
      </c>
      <c r="H2506" s="80">
        <v>68983.259999999995</v>
      </c>
      <c r="I2506" s="80">
        <v>14270.72</v>
      </c>
      <c r="J2506">
        <v>54.54</v>
      </c>
      <c r="K2506">
        <v>5362.35</v>
      </c>
      <c r="L2506">
        <f t="shared" si="390"/>
        <v>0</v>
      </c>
      <c r="M2506">
        <f t="shared" si="391"/>
        <v>0</v>
      </c>
      <c r="N2506">
        <f t="shared" si="392"/>
        <v>0</v>
      </c>
      <c r="O2506">
        <f t="shared" si="393"/>
        <v>0</v>
      </c>
      <c r="P2506">
        <f t="shared" si="394"/>
        <v>0</v>
      </c>
      <c r="Q2506">
        <f t="shared" si="395"/>
        <v>0</v>
      </c>
      <c r="R2506">
        <f t="shared" si="396"/>
        <v>0</v>
      </c>
      <c r="S2506">
        <f t="shared" si="397"/>
        <v>0</v>
      </c>
      <c r="T2506">
        <f t="shared" si="399"/>
        <v>0</v>
      </c>
      <c r="U2506">
        <f t="shared" si="398"/>
        <v>0</v>
      </c>
    </row>
    <row r="2507" spans="1:21" x14ac:dyDescent="0.25">
      <c r="A2507">
        <v>2506</v>
      </c>
      <c r="B2507" t="s">
        <v>97</v>
      </c>
      <c r="C2507" t="s">
        <v>189</v>
      </c>
      <c r="D2507">
        <v>1835.79</v>
      </c>
      <c r="E2507">
        <v>2155.3000000000002</v>
      </c>
      <c r="F2507">
        <v>4.62</v>
      </c>
      <c r="G2507">
        <v>41.34</v>
      </c>
      <c r="H2507" s="80">
        <v>17196.29</v>
      </c>
      <c r="I2507" s="80">
        <v>3374.79</v>
      </c>
      <c r="J2507">
        <v>46.23</v>
      </c>
      <c r="K2507">
        <v>5895.72</v>
      </c>
      <c r="L2507">
        <f t="shared" si="390"/>
        <v>0</v>
      </c>
      <c r="M2507">
        <f t="shared" si="391"/>
        <v>0</v>
      </c>
      <c r="N2507">
        <f t="shared" si="392"/>
        <v>0</v>
      </c>
      <c r="O2507">
        <f t="shared" si="393"/>
        <v>0</v>
      </c>
      <c r="P2507">
        <f t="shared" si="394"/>
        <v>0</v>
      </c>
      <c r="Q2507">
        <f t="shared" si="395"/>
        <v>0</v>
      </c>
      <c r="R2507">
        <f t="shared" si="396"/>
        <v>0</v>
      </c>
      <c r="S2507">
        <f t="shared" si="397"/>
        <v>0</v>
      </c>
      <c r="T2507">
        <f t="shared" si="399"/>
        <v>0</v>
      </c>
      <c r="U2507">
        <f t="shared" si="398"/>
        <v>0</v>
      </c>
    </row>
    <row r="2508" spans="1:21" x14ac:dyDescent="0.25">
      <c r="A2508">
        <v>2507</v>
      </c>
      <c r="B2508" t="s">
        <v>106</v>
      </c>
      <c r="C2508" t="s">
        <v>162</v>
      </c>
      <c r="D2508">
        <v>2.7</v>
      </c>
      <c r="E2508" s="80">
        <v>50964.52</v>
      </c>
      <c r="F2508">
        <v>0.88</v>
      </c>
      <c r="G2508">
        <v>28.51</v>
      </c>
      <c r="H2508">
        <v>5.35</v>
      </c>
      <c r="I2508">
        <v>50.54</v>
      </c>
      <c r="J2508">
        <v>13.66</v>
      </c>
      <c r="K2508">
        <v>9.49</v>
      </c>
      <c r="L2508">
        <f t="shared" si="390"/>
        <v>0</v>
      </c>
      <c r="M2508">
        <f t="shared" si="391"/>
        <v>0</v>
      </c>
      <c r="N2508">
        <f t="shared" si="392"/>
        <v>0</v>
      </c>
      <c r="O2508">
        <f t="shared" si="393"/>
        <v>0</v>
      </c>
      <c r="P2508">
        <f t="shared" si="394"/>
        <v>0</v>
      </c>
      <c r="Q2508">
        <f t="shared" si="395"/>
        <v>0</v>
      </c>
      <c r="R2508">
        <f t="shared" si="396"/>
        <v>0</v>
      </c>
      <c r="S2508">
        <f t="shared" si="397"/>
        <v>0</v>
      </c>
      <c r="T2508">
        <f t="shared" si="399"/>
        <v>0</v>
      </c>
      <c r="U2508">
        <f t="shared" si="398"/>
        <v>0</v>
      </c>
    </row>
    <row r="2509" spans="1:21" x14ac:dyDescent="0.25">
      <c r="A2509">
        <v>2508</v>
      </c>
      <c r="B2509" t="s">
        <v>106</v>
      </c>
      <c r="C2509" t="s">
        <v>170</v>
      </c>
      <c r="D2509">
        <v>19.25</v>
      </c>
      <c r="E2509">
        <v>21962.84</v>
      </c>
      <c r="F2509">
        <v>405.01</v>
      </c>
      <c r="G2509">
        <v>45.88</v>
      </c>
      <c r="H2509">
        <v>2772.99</v>
      </c>
      <c r="I2509" s="80">
        <v>12746.42</v>
      </c>
      <c r="J2509">
        <v>30.5</v>
      </c>
      <c r="K2509">
        <v>813.18</v>
      </c>
      <c r="L2509">
        <f t="shared" si="390"/>
        <v>0</v>
      </c>
      <c r="M2509">
        <f t="shared" si="391"/>
        <v>0</v>
      </c>
      <c r="N2509">
        <f t="shared" si="392"/>
        <v>0</v>
      </c>
      <c r="O2509">
        <f t="shared" si="393"/>
        <v>0</v>
      </c>
      <c r="P2509">
        <f t="shared" si="394"/>
        <v>0</v>
      </c>
      <c r="Q2509">
        <f t="shared" si="395"/>
        <v>0</v>
      </c>
      <c r="R2509">
        <f t="shared" si="396"/>
        <v>0</v>
      </c>
      <c r="S2509">
        <f t="shared" si="397"/>
        <v>0</v>
      </c>
      <c r="T2509">
        <f t="shared" si="399"/>
        <v>0</v>
      </c>
      <c r="U2509">
        <f t="shared" si="398"/>
        <v>0</v>
      </c>
    </row>
    <row r="2510" spans="1:21" x14ac:dyDescent="0.25">
      <c r="A2510">
        <v>2509</v>
      </c>
      <c r="B2510" t="s">
        <v>106</v>
      </c>
      <c r="C2510" t="s">
        <v>178</v>
      </c>
      <c r="D2510">
        <v>107.78</v>
      </c>
      <c r="E2510">
        <v>23763.06</v>
      </c>
      <c r="F2510">
        <v>1250.17</v>
      </c>
      <c r="G2510">
        <v>80.739999999999995</v>
      </c>
      <c r="H2510">
        <v>13711.61</v>
      </c>
      <c r="I2510" s="80">
        <v>16447.38</v>
      </c>
      <c r="J2510">
        <v>49.52</v>
      </c>
      <c r="K2510">
        <v>1518.33</v>
      </c>
      <c r="L2510">
        <f t="shared" si="390"/>
        <v>0</v>
      </c>
      <c r="M2510">
        <f t="shared" si="391"/>
        <v>0</v>
      </c>
      <c r="N2510">
        <f t="shared" si="392"/>
        <v>0</v>
      </c>
      <c r="O2510">
        <f t="shared" si="393"/>
        <v>0</v>
      </c>
      <c r="P2510">
        <f t="shared" si="394"/>
        <v>0</v>
      </c>
      <c r="Q2510">
        <f t="shared" si="395"/>
        <v>0</v>
      </c>
      <c r="R2510">
        <f t="shared" si="396"/>
        <v>0</v>
      </c>
      <c r="S2510">
        <f t="shared" si="397"/>
        <v>0</v>
      </c>
      <c r="T2510">
        <f t="shared" si="399"/>
        <v>0</v>
      </c>
      <c r="U2510">
        <f t="shared" si="398"/>
        <v>0</v>
      </c>
    </row>
    <row r="2511" spans="1:21" x14ac:dyDescent="0.25">
      <c r="A2511">
        <v>2510</v>
      </c>
      <c r="B2511" t="s">
        <v>106</v>
      </c>
      <c r="C2511" t="s">
        <v>163</v>
      </c>
      <c r="D2511">
        <v>105.16</v>
      </c>
      <c r="E2511" s="80">
        <v>28332.38</v>
      </c>
      <c r="F2511">
        <v>628.71</v>
      </c>
      <c r="G2511">
        <v>91.58</v>
      </c>
      <c r="H2511">
        <v>9392.85</v>
      </c>
      <c r="I2511" s="80">
        <v>14385.34</v>
      </c>
      <c r="J2511">
        <v>68.37</v>
      </c>
      <c r="K2511">
        <v>6604.49</v>
      </c>
      <c r="L2511">
        <f t="shared" si="390"/>
        <v>0</v>
      </c>
      <c r="M2511">
        <f t="shared" si="391"/>
        <v>0</v>
      </c>
      <c r="N2511">
        <f t="shared" si="392"/>
        <v>0</v>
      </c>
      <c r="O2511">
        <f t="shared" si="393"/>
        <v>0</v>
      </c>
      <c r="P2511">
        <f t="shared" si="394"/>
        <v>0</v>
      </c>
      <c r="Q2511">
        <f t="shared" si="395"/>
        <v>0</v>
      </c>
      <c r="R2511">
        <f t="shared" si="396"/>
        <v>0</v>
      </c>
      <c r="S2511">
        <f t="shared" si="397"/>
        <v>0</v>
      </c>
      <c r="T2511">
        <f t="shared" si="399"/>
        <v>0</v>
      </c>
      <c r="U2511">
        <f t="shared" si="398"/>
        <v>0</v>
      </c>
    </row>
    <row r="2512" spans="1:21" x14ac:dyDescent="0.25">
      <c r="A2512">
        <v>2511</v>
      </c>
      <c r="B2512" t="s">
        <v>106</v>
      </c>
      <c r="C2512" t="s">
        <v>181</v>
      </c>
      <c r="D2512">
        <v>4.8499999999999996</v>
      </c>
      <c r="E2512" s="80">
        <v>39706.639999999999</v>
      </c>
      <c r="F2512">
        <v>0.88</v>
      </c>
      <c r="G2512">
        <v>24.53</v>
      </c>
      <c r="H2512">
        <v>5.8</v>
      </c>
      <c r="I2512">
        <v>28.83</v>
      </c>
      <c r="J2512">
        <v>21.75</v>
      </c>
      <c r="K2512">
        <v>11.25</v>
      </c>
      <c r="L2512">
        <f t="shared" si="390"/>
        <v>0</v>
      </c>
      <c r="M2512">
        <f t="shared" si="391"/>
        <v>0</v>
      </c>
      <c r="N2512">
        <f t="shared" si="392"/>
        <v>0</v>
      </c>
      <c r="O2512">
        <f t="shared" si="393"/>
        <v>0</v>
      </c>
      <c r="P2512">
        <f t="shared" si="394"/>
        <v>0</v>
      </c>
      <c r="Q2512">
        <f t="shared" si="395"/>
        <v>0</v>
      </c>
      <c r="R2512">
        <f t="shared" si="396"/>
        <v>0</v>
      </c>
      <c r="S2512">
        <f t="shared" si="397"/>
        <v>0</v>
      </c>
      <c r="T2512">
        <f t="shared" si="399"/>
        <v>0</v>
      </c>
      <c r="U2512">
        <f t="shared" si="398"/>
        <v>0</v>
      </c>
    </row>
    <row r="2513" spans="1:21" x14ac:dyDescent="0.25">
      <c r="A2513">
        <v>2512</v>
      </c>
      <c r="B2513" t="s">
        <v>106</v>
      </c>
      <c r="C2513" t="s">
        <v>183</v>
      </c>
      <c r="D2513">
        <v>11.43</v>
      </c>
      <c r="E2513">
        <v>17137.32</v>
      </c>
      <c r="F2513">
        <v>733.28</v>
      </c>
      <c r="G2513">
        <v>70.27</v>
      </c>
      <c r="H2513">
        <v>5229.84</v>
      </c>
      <c r="I2513" s="80">
        <v>17996.41</v>
      </c>
      <c r="J2513">
        <v>49.52</v>
      </c>
      <c r="K2513">
        <v>4933.76</v>
      </c>
      <c r="L2513">
        <f t="shared" si="390"/>
        <v>0</v>
      </c>
      <c r="M2513">
        <f t="shared" si="391"/>
        <v>0</v>
      </c>
      <c r="N2513">
        <f t="shared" si="392"/>
        <v>0</v>
      </c>
      <c r="O2513">
        <f t="shared" si="393"/>
        <v>0</v>
      </c>
      <c r="P2513">
        <f t="shared" si="394"/>
        <v>0</v>
      </c>
      <c r="Q2513">
        <f t="shared" si="395"/>
        <v>0</v>
      </c>
      <c r="R2513">
        <f t="shared" si="396"/>
        <v>0</v>
      </c>
      <c r="S2513">
        <f t="shared" si="397"/>
        <v>0</v>
      </c>
      <c r="T2513">
        <f t="shared" si="399"/>
        <v>0</v>
      </c>
      <c r="U2513">
        <f t="shared" si="398"/>
        <v>0</v>
      </c>
    </row>
    <row r="2514" spans="1:21" x14ac:dyDescent="0.25">
      <c r="A2514">
        <v>2513</v>
      </c>
      <c r="B2514" t="s">
        <v>106</v>
      </c>
      <c r="C2514" t="s">
        <v>186</v>
      </c>
      <c r="D2514">
        <v>18.420000000000002</v>
      </c>
      <c r="E2514">
        <v>11898.99</v>
      </c>
      <c r="F2514">
        <v>834.66</v>
      </c>
      <c r="G2514">
        <v>75.459999999999994</v>
      </c>
      <c r="H2514" s="80">
        <v>16860.52</v>
      </c>
      <c r="I2514" s="80">
        <v>18365.79</v>
      </c>
      <c r="J2514">
        <v>56.23</v>
      </c>
      <c r="K2514">
        <v>7678.94</v>
      </c>
      <c r="L2514">
        <f t="shared" si="390"/>
        <v>0</v>
      </c>
      <c r="M2514">
        <f t="shared" si="391"/>
        <v>0</v>
      </c>
      <c r="N2514">
        <f t="shared" si="392"/>
        <v>0</v>
      </c>
      <c r="O2514">
        <f t="shared" si="393"/>
        <v>0</v>
      </c>
      <c r="P2514">
        <f t="shared" si="394"/>
        <v>0</v>
      </c>
      <c r="Q2514">
        <f t="shared" si="395"/>
        <v>0</v>
      </c>
      <c r="R2514">
        <f t="shared" si="396"/>
        <v>0</v>
      </c>
      <c r="S2514">
        <f t="shared" si="397"/>
        <v>0</v>
      </c>
      <c r="T2514">
        <f t="shared" si="399"/>
        <v>0</v>
      </c>
      <c r="U2514">
        <f t="shared" si="398"/>
        <v>0</v>
      </c>
    </row>
    <row r="2515" spans="1:21" x14ac:dyDescent="0.25">
      <c r="A2515">
        <v>2514</v>
      </c>
      <c r="B2515" t="s">
        <v>106</v>
      </c>
      <c r="C2515" t="s">
        <v>188</v>
      </c>
      <c r="D2515">
        <v>10</v>
      </c>
      <c r="E2515" s="80">
        <v>25172.23</v>
      </c>
      <c r="F2515">
        <v>104.45</v>
      </c>
      <c r="G2515">
        <v>80.739999999999995</v>
      </c>
      <c r="H2515">
        <v>1571.49</v>
      </c>
      <c r="I2515" s="80">
        <v>11687.46</v>
      </c>
      <c r="J2515">
        <v>52.86</v>
      </c>
      <c r="K2515">
        <v>5469.79</v>
      </c>
      <c r="L2515">
        <f t="shared" si="390"/>
        <v>0</v>
      </c>
      <c r="M2515">
        <f t="shared" si="391"/>
        <v>0</v>
      </c>
      <c r="N2515">
        <f t="shared" si="392"/>
        <v>0</v>
      </c>
      <c r="O2515">
        <f t="shared" si="393"/>
        <v>0</v>
      </c>
      <c r="P2515">
        <f t="shared" si="394"/>
        <v>0</v>
      </c>
      <c r="Q2515">
        <f t="shared" si="395"/>
        <v>0</v>
      </c>
      <c r="R2515">
        <f t="shared" si="396"/>
        <v>0</v>
      </c>
      <c r="S2515">
        <f t="shared" si="397"/>
        <v>0</v>
      </c>
      <c r="T2515">
        <f t="shared" si="399"/>
        <v>0</v>
      </c>
      <c r="U2515">
        <f t="shared" si="398"/>
        <v>0</v>
      </c>
    </row>
    <row r="2516" spans="1:21" x14ac:dyDescent="0.25">
      <c r="A2516">
        <v>2515</v>
      </c>
      <c r="B2516" t="s">
        <v>106</v>
      </c>
      <c r="C2516" t="s">
        <v>182</v>
      </c>
      <c r="D2516" t="s">
        <v>583</v>
      </c>
      <c r="E2516">
        <v>1470.37</v>
      </c>
      <c r="F2516">
        <v>0.5</v>
      </c>
      <c r="G2516" t="s">
        <v>583</v>
      </c>
      <c r="H2516">
        <v>0.87</v>
      </c>
      <c r="I2516">
        <v>4.47</v>
      </c>
      <c r="J2516">
        <v>2.38</v>
      </c>
      <c r="K2516">
        <v>0.18</v>
      </c>
      <c r="L2516">
        <f t="shared" si="390"/>
        <v>0</v>
      </c>
      <c r="M2516">
        <f t="shared" si="391"/>
        <v>0</v>
      </c>
      <c r="N2516">
        <f t="shared" si="392"/>
        <v>0</v>
      </c>
      <c r="O2516">
        <f t="shared" si="393"/>
        <v>0</v>
      </c>
      <c r="P2516">
        <f t="shared" si="394"/>
        <v>0</v>
      </c>
      <c r="Q2516">
        <f t="shared" si="395"/>
        <v>0</v>
      </c>
      <c r="R2516">
        <f t="shared" si="396"/>
        <v>0</v>
      </c>
      <c r="S2516">
        <f t="shared" si="397"/>
        <v>0</v>
      </c>
      <c r="T2516">
        <f t="shared" si="399"/>
        <v>0</v>
      </c>
      <c r="U2516">
        <f t="shared" si="398"/>
        <v>0</v>
      </c>
    </row>
    <row r="2517" spans="1:21" x14ac:dyDescent="0.25">
      <c r="A2517">
        <v>2516</v>
      </c>
      <c r="B2517" t="s">
        <v>106</v>
      </c>
      <c r="C2517" t="s">
        <v>184</v>
      </c>
      <c r="D2517">
        <v>212.73</v>
      </c>
      <c r="E2517">
        <v>14533.89</v>
      </c>
      <c r="F2517">
        <v>646.57000000000005</v>
      </c>
      <c r="G2517">
        <v>55.31</v>
      </c>
      <c r="H2517">
        <v>10754.32</v>
      </c>
      <c r="I2517" s="80">
        <v>17665.86</v>
      </c>
      <c r="J2517">
        <v>42.98</v>
      </c>
      <c r="K2517">
        <v>2305.12</v>
      </c>
      <c r="L2517">
        <f t="shared" si="390"/>
        <v>0</v>
      </c>
      <c r="M2517">
        <f t="shared" si="391"/>
        <v>0</v>
      </c>
      <c r="N2517">
        <f t="shared" si="392"/>
        <v>0</v>
      </c>
      <c r="O2517">
        <f t="shared" si="393"/>
        <v>0</v>
      </c>
      <c r="P2517">
        <f t="shared" si="394"/>
        <v>0</v>
      </c>
      <c r="Q2517">
        <f t="shared" si="395"/>
        <v>0</v>
      </c>
      <c r="R2517">
        <f t="shared" si="396"/>
        <v>0</v>
      </c>
      <c r="S2517">
        <f t="shared" si="397"/>
        <v>0</v>
      </c>
      <c r="T2517">
        <f t="shared" si="399"/>
        <v>0</v>
      </c>
      <c r="U2517">
        <f t="shared" si="398"/>
        <v>0</v>
      </c>
    </row>
    <row r="2518" spans="1:21" x14ac:dyDescent="0.25">
      <c r="A2518">
        <v>2517</v>
      </c>
      <c r="B2518" t="s">
        <v>106</v>
      </c>
      <c r="C2518" t="s">
        <v>187</v>
      </c>
      <c r="D2518">
        <v>1131.1199999999999</v>
      </c>
      <c r="E2518">
        <v>17411.810000000001</v>
      </c>
      <c r="F2518">
        <v>851.32</v>
      </c>
      <c r="G2518">
        <v>80.739999999999995</v>
      </c>
      <c r="H2518" s="80">
        <v>27523.67</v>
      </c>
      <c r="I2518" s="80">
        <v>17830.89</v>
      </c>
      <c r="J2518">
        <v>61.38</v>
      </c>
      <c r="K2518" s="80">
        <v>8306.08</v>
      </c>
      <c r="L2518">
        <f t="shared" si="390"/>
        <v>0</v>
      </c>
      <c r="M2518">
        <f t="shared" si="391"/>
        <v>0</v>
      </c>
      <c r="N2518">
        <f t="shared" si="392"/>
        <v>0</v>
      </c>
      <c r="O2518">
        <f t="shared" si="393"/>
        <v>0</v>
      </c>
      <c r="P2518">
        <f t="shared" si="394"/>
        <v>0</v>
      </c>
      <c r="Q2518">
        <f t="shared" si="395"/>
        <v>0</v>
      </c>
      <c r="R2518">
        <f t="shared" si="396"/>
        <v>0</v>
      </c>
      <c r="S2518">
        <f t="shared" si="397"/>
        <v>0</v>
      </c>
      <c r="T2518">
        <f t="shared" si="399"/>
        <v>0</v>
      </c>
      <c r="U2518">
        <f t="shared" si="398"/>
        <v>0</v>
      </c>
    </row>
    <row r="2519" spans="1:21" x14ac:dyDescent="0.25">
      <c r="A2519">
        <v>2518</v>
      </c>
      <c r="B2519" t="s">
        <v>106</v>
      </c>
      <c r="C2519" t="s">
        <v>189</v>
      </c>
      <c r="D2519">
        <v>93.55</v>
      </c>
      <c r="E2519">
        <v>5145.17</v>
      </c>
      <c r="F2519">
        <v>9.6199999999999992</v>
      </c>
      <c r="G2519">
        <v>32.65</v>
      </c>
      <c r="H2519" s="80">
        <v>16948.71</v>
      </c>
      <c r="I2519" s="80">
        <v>7828.9</v>
      </c>
      <c r="J2519">
        <v>46.23</v>
      </c>
      <c r="K2519">
        <v>6922.66</v>
      </c>
      <c r="L2519">
        <f t="shared" si="390"/>
        <v>0</v>
      </c>
      <c r="M2519">
        <f t="shared" si="391"/>
        <v>0</v>
      </c>
      <c r="N2519">
        <f t="shared" si="392"/>
        <v>0</v>
      </c>
      <c r="O2519">
        <f t="shared" si="393"/>
        <v>0</v>
      </c>
      <c r="P2519">
        <f t="shared" si="394"/>
        <v>0</v>
      </c>
      <c r="Q2519">
        <f t="shared" si="395"/>
        <v>0</v>
      </c>
      <c r="R2519">
        <f t="shared" si="396"/>
        <v>0</v>
      </c>
      <c r="S2519">
        <f t="shared" si="397"/>
        <v>0</v>
      </c>
      <c r="T2519">
        <f t="shared" si="399"/>
        <v>0</v>
      </c>
      <c r="U2519">
        <f t="shared" si="398"/>
        <v>0</v>
      </c>
    </row>
    <row r="2520" spans="1:21" x14ac:dyDescent="0.25">
      <c r="A2520">
        <v>2519</v>
      </c>
      <c r="B2520" t="s">
        <v>100</v>
      </c>
      <c r="C2520" t="s">
        <v>162</v>
      </c>
      <c r="D2520">
        <v>10</v>
      </c>
      <c r="E2520" t="s">
        <v>582</v>
      </c>
      <c r="F2520">
        <v>1.05</v>
      </c>
      <c r="G2520">
        <v>70.27</v>
      </c>
      <c r="H2520">
        <v>3.91</v>
      </c>
      <c r="I2520">
        <v>110.04</v>
      </c>
      <c r="J2520">
        <v>27.52</v>
      </c>
      <c r="K2520">
        <v>27.29</v>
      </c>
      <c r="L2520">
        <f t="shared" si="390"/>
        <v>0</v>
      </c>
      <c r="M2520">
        <f t="shared" si="391"/>
        <v>1</v>
      </c>
      <c r="N2520">
        <f t="shared" si="392"/>
        <v>0</v>
      </c>
      <c r="O2520">
        <f t="shared" si="393"/>
        <v>0</v>
      </c>
      <c r="P2520">
        <f t="shared" si="394"/>
        <v>0</v>
      </c>
      <c r="Q2520">
        <f t="shared" si="395"/>
        <v>0</v>
      </c>
      <c r="R2520">
        <f t="shared" si="396"/>
        <v>0</v>
      </c>
      <c r="S2520">
        <f t="shared" si="397"/>
        <v>0</v>
      </c>
      <c r="T2520">
        <f t="shared" si="399"/>
        <v>1</v>
      </c>
      <c r="U2520">
        <f t="shared" si="398"/>
        <v>1</v>
      </c>
    </row>
    <row r="2521" spans="1:21" x14ac:dyDescent="0.25">
      <c r="A2521">
        <v>2520</v>
      </c>
      <c r="B2521" t="s">
        <v>100</v>
      </c>
      <c r="C2521" t="s">
        <v>170</v>
      </c>
      <c r="D2521">
        <v>45.8</v>
      </c>
      <c r="E2521" s="80">
        <v>80987.22</v>
      </c>
      <c r="F2521">
        <v>562.66999999999996</v>
      </c>
      <c r="G2521">
        <v>80.739999999999995</v>
      </c>
      <c r="H2521">
        <v>5629.21</v>
      </c>
      <c r="I2521" s="80">
        <v>17958.28</v>
      </c>
      <c r="J2521">
        <v>63.11</v>
      </c>
      <c r="K2521">
        <v>3013.07</v>
      </c>
      <c r="L2521">
        <f t="shared" si="390"/>
        <v>0</v>
      </c>
      <c r="M2521">
        <f t="shared" si="391"/>
        <v>0</v>
      </c>
      <c r="N2521">
        <f t="shared" si="392"/>
        <v>0</v>
      </c>
      <c r="O2521">
        <f t="shared" si="393"/>
        <v>0</v>
      </c>
      <c r="P2521">
        <f t="shared" si="394"/>
        <v>0</v>
      </c>
      <c r="Q2521">
        <f t="shared" si="395"/>
        <v>0</v>
      </c>
      <c r="R2521">
        <f t="shared" si="396"/>
        <v>0</v>
      </c>
      <c r="S2521">
        <f t="shared" si="397"/>
        <v>0</v>
      </c>
      <c r="T2521">
        <f t="shared" si="399"/>
        <v>0</v>
      </c>
      <c r="U2521">
        <f t="shared" si="398"/>
        <v>0</v>
      </c>
    </row>
    <row r="2522" spans="1:21" x14ac:dyDescent="0.25">
      <c r="A2522">
        <v>2521</v>
      </c>
      <c r="B2522" t="s">
        <v>100</v>
      </c>
      <c r="C2522" t="s">
        <v>178</v>
      </c>
      <c r="D2522">
        <v>207.99</v>
      </c>
      <c r="E2522" s="80">
        <v>46430.05</v>
      </c>
      <c r="F2522">
        <v>2778.89</v>
      </c>
      <c r="G2522">
        <v>102.76</v>
      </c>
      <c r="H2522" s="80">
        <v>65177.53</v>
      </c>
      <c r="I2522" s="80">
        <v>21883.27</v>
      </c>
      <c r="J2522">
        <v>86.47</v>
      </c>
      <c r="K2522">
        <v>7393.9</v>
      </c>
      <c r="L2522">
        <f t="shared" si="390"/>
        <v>0</v>
      </c>
      <c r="M2522">
        <f t="shared" si="391"/>
        <v>0</v>
      </c>
      <c r="N2522">
        <f t="shared" si="392"/>
        <v>0</v>
      </c>
      <c r="O2522">
        <f t="shared" si="393"/>
        <v>0</v>
      </c>
      <c r="P2522">
        <f t="shared" si="394"/>
        <v>0</v>
      </c>
      <c r="Q2522">
        <f t="shared" si="395"/>
        <v>0</v>
      </c>
      <c r="R2522">
        <f t="shared" si="396"/>
        <v>0</v>
      </c>
      <c r="S2522">
        <f t="shared" si="397"/>
        <v>0</v>
      </c>
      <c r="T2522">
        <f t="shared" si="399"/>
        <v>0</v>
      </c>
      <c r="U2522">
        <f t="shared" si="398"/>
        <v>0</v>
      </c>
    </row>
    <row r="2523" spans="1:21" x14ac:dyDescent="0.25">
      <c r="A2523">
        <v>2522</v>
      </c>
      <c r="B2523" t="s">
        <v>100</v>
      </c>
      <c r="C2523" t="s">
        <v>163</v>
      </c>
      <c r="D2523">
        <v>268.38</v>
      </c>
      <c r="E2523" s="80">
        <v>38747.81</v>
      </c>
      <c r="F2523">
        <v>632.1</v>
      </c>
      <c r="G2523">
        <v>150.63</v>
      </c>
      <c r="H2523" s="80">
        <v>55105.25</v>
      </c>
      <c r="I2523" s="80">
        <v>20418.02</v>
      </c>
      <c r="J2523">
        <v>103.43</v>
      </c>
      <c r="K2523" s="89" t="s">
        <v>582</v>
      </c>
      <c r="L2523">
        <f t="shared" si="390"/>
        <v>0</v>
      </c>
      <c r="M2523">
        <f t="shared" si="391"/>
        <v>0</v>
      </c>
      <c r="N2523">
        <f t="shared" si="392"/>
        <v>0</v>
      </c>
      <c r="O2523">
        <f t="shared" si="393"/>
        <v>0</v>
      </c>
      <c r="P2523">
        <f t="shared" si="394"/>
        <v>0</v>
      </c>
      <c r="Q2523">
        <f t="shared" si="395"/>
        <v>0</v>
      </c>
      <c r="R2523">
        <f t="shared" si="396"/>
        <v>0</v>
      </c>
      <c r="S2523">
        <f t="shared" si="397"/>
        <v>1</v>
      </c>
      <c r="T2523">
        <f t="shared" si="399"/>
        <v>1</v>
      </c>
      <c r="U2523">
        <f t="shared" si="398"/>
        <v>1</v>
      </c>
    </row>
    <row r="2524" spans="1:21" x14ac:dyDescent="0.25">
      <c r="A2524">
        <v>2523</v>
      </c>
      <c r="B2524" t="s">
        <v>100</v>
      </c>
      <c r="C2524" t="s">
        <v>181</v>
      </c>
      <c r="D2524">
        <v>13.66</v>
      </c>
      <c r="E2524" t="s">
        <v>582</v>
      </c>
      <c r="F2524">
        <v>1.49</v>
      </c>
      <c r="G2524">
        <v>75.459999999999994</v>
      </c>
      <c r="H2524">
        <v>21.74</v>
      </c>
      <c r="I2524">
        <v>481.45</v>
      </c>
      <c r="J2524">
        <v>49.52</v>
      </c>
      <c r="K2524">
        <v>137.82</v>
      </c>
      <c r="L2524">
        <f t="shared" si="390"/>
        <v>0</v>
      </c>
      <c r="M2524">
        <f t="shared" si="391"/>
        <v>1</v>
      </c>
      <c r="N2524">
        <f t="shared" si="392"/>
        <v>0</v>
      </c>
      <c r="O2524">
        <f t="shared" si="393"/>
        <v>0</v>
      </c>
      <c r="P2524">
        <f t="shared" si="394"/>
        <v>0</v>
      </c>
      <c r="Q2524">
        <f t="shared" si="395"/>
        <v>0</v>
      </c>
      <c r="R2524">
        <f t="shared" si="396"/>
        <v>0</v>
      </c>
      <c r="S2524">
        <f t="shared" si="397"/>
        <v>0</v>
      </c>
      <c r="T2524">
        <f t="shared" si="399"/>
        <v>1</v>
      </c>
      <c r="U2524">
        <f t="shared" si="398"/>
        <v>1</v>
      </c>
    </row>
    <row r="2525" spans="1:21" x14ac:dyDescent="0.25">
      <c r="A2525">
        <v>2524</v>
      </c>
      <c r="B2525" t="s">
        <v>100</v>
      </c>
      <c r="C2525" t="s">
        <v>183</v>
      </c>
      <c r="D2525">
        <v>26.21</v>
      </c>
      <c r="E2525" s="80">
        <v>92879.11</v>
      </c>
      <c r="F2525">
        <v>1729.87</v>
      </c>
      <c r="G2525">
        <v>138.22</v>
      </c>
      <c r="H2525">
        <v>6350.42</v>
      </c>
      <c r="I2525" s="80">
        <v>22514.400000000001</v>
      </c>
      <c r="J2525">
        <v>92.05</v>
      </c>
      <c r="K2525" s="80">
        <v>11490.96</v>
      </c>
      <c r="L2525">
        <f t="shared" si="390"/>
        <v>0</v>
      </c>
      <c r="M2525">
        <f t="shared" si="391"/>
        <v>0</v>
      </c>
      <c r="N2525">
        <f t="shared" si="392"/>
        <v>0</v>
      </c>
      <c r="O2525">
        <f t="shared" si="393"/>
        <v>0</v>
      </c>
      <c r="P2525">
        <f t="shared" si="394"/>
        <v>0</v>
      </c>
      <c r="Q2525">
        <f t="shared" si="395"/>
        <v>0</v>
      </c>
      <c r="R2525">
        <f t="shared" si="396"/>
        <v>0</v>
      </c>
      <c r="S2525">
        <f t="shared" si="397"/>
        <v>0</v>
      </c>
      <c r="T2525">
        <f t="shared" si="399"/>
        <v>0</v>
      </c>
      <c r="U2525">
        <f t="shared" si="398"/>
        <v>0</v>
      </c>
    </row>
    <row r="2526" spans="1:21" x14ac:dyDescent="0.25">
      <c r="A2526">
        <v>2525</v>
      </c>
      <c r="B2526" t="s">
        <v>100</v>
      </c>
      <c r="C2526" t="s">
        <v>186</v>
      </c>
      <c r="D2526">
        <v>28.03</v>
      </c>
      <c r="E2526" s="80">
        <v>76178.67</v>
      </c>
      <c r="F2526" s="80">
        <v>3724.55</v>
      </c>
      <c r="G2526">
        <v>132.13</v>
      </c>
      <c r="H2526" s="80">
        <v>25243.14</v>
      </c>
      <c r="I2526" s="80">
        <v>23383.57</v>
      </c>
      <c r="J2526">
        <v>92.05</v>
      </c>
      <c r="K2526" s="80">
        <v>22785.79</v>
      </c>
      <c r="L2526">
        <f t="shared" si="390"/>
        <v>0</v>
      </c>
      <c r="M2526">
        <f t="shared" si="391"/>
        <v>0</v>
      </c>
      <c r="N2526">
        <f t="shared" si="392"/>
        <v>0</v>
      </c>
      <c r="O2526">
        <f t="shared" si="393"/>
        <v>0</v>
      </c>
      <c r="P2526">
        <f t="shared" si="394"/>
        <v>0</v>
      </c>
      <c r="Q2526">
        <f t="shared" si="395"/>
        <v>0</v>
      </c>
      <c r="R2526">
        <f t="shared" si="396"/>
        <v>0</v>
      </c>
      <c r="S2526">
        <f t="shared" si="397"/>
        <v>0</v>
      </c>
      <c r="T2526">
        <f t="shared" si="399"/>
        <v>0</v>
      </c>
      <c r="U2526">
        <f t="shared" si="398"/>
        <v>0</v>
      </c>
    </row>
    <row r="2527" spans="1:21" x14ac:dyDescent="0.25">
      <c r="A2527">
        <v>2526</v>
      </c>
      <c r="B2527" t="s">
        <v>100</v>
      </c>
      <c r="C2527" t="s">
        <v>188</v>
      </c>
      <c r="D2527">
        <v>27.12</v>
      </c>
      <c r="E2527" s="80">
        <v>467051.73</v>
      </c>
      <c r="F2527">
        <v>425.78</v>
      </c>
      <c r="G2527">
        <v>132.13</v>
      </c>
      <c r="H2527">
        <v>3850.12</v>
      </c>
      <c r="I2527" s="80">
        <v>20006.32</v>
      </c>
      <c r="J2527">
        <v>107.28</v>
      </c>
      <c r="K2527" s="80">
        <v>65819.429999999993</v>
      </c>
      <c r="L2527">
        <f t="shared" si="390"/>
        <v>0</v>
      </c>
      <c r="M2527">
        <f t="shared" si="391"/>
        <v>0</v>
      </c>
      <c r="N2527">
        <f t="shared" si="392"/>
        <v>0</v>
      </c>
      <c r="O2527">
        <f t="shared" si="393"/>
        <v>0</v>
      </c>
      <c r="P2527">
        <f t="shared" si="394"/>
        <v>0</v>
      </c>
      <c r="Q2527">
        <f t="shared" si="395"/>
        <v>0</v>
      </c>
      <c r="R2527">
        <f t="shared" si="396"/>
        <v>0</v>
      </c>
      <c r="S2527">
        <f t="shared" si="397"/>
        <v>0</v>
      </c>
      <c r="T2527">
        <f t="shared" si="399"/>
        <v>0</v>
      </c>
      <c r="U2527">
        <f t="shared" si="398"/>
        <v>0</v>
      </c>
    </row>
    <row r="2528" spans="1:21" x14ac:dyDescent="0.25">
      <c r="A2528">
        <v>2527</v>
      </c>
      <c r="B2528" t="s">
        <v>100</v>
      </c>
      <c r="C2528" t="s">
        <v>182</v>
      </c>
      <c r="D2528" t="s">
        <v>583</v>
      </c>
      <c r="E2528">
        <v>859.41</v>
      </c>
      <c r="F2528">
        <v>0.23</v>
      </c>
      <c r="G2528" t="s">
        <v>583</v>
      </c>
      <c r="H2528" s="80">
        <v>0.11</v>
      </c>
      <c r="I2528">
        <v>17.420000000000002</v>
      </c>
      <c r="J2528">
        <v>2.38</v>
      </c>
      <c r="K2528">
        <v>0.48</v>
      </c>
      <c r="L2528">
        <f t="shared" si="390"/>
        <v>0</v>
      </c>
      <c r="M2528">
        <f t="shared" si="391"/>
        <v>0</v>
      </c>
      <c r="N2528">
        <f t="shared" si="392"/>
        <v>0</v>
      </c>
      <c r="O2528">
        <f t="shared" si="393"/>
        <v>0</v>
      </c>
      <c r="P2528">
        <f t="shared" si="394"/>
        <v>0</v>
      </c>
      <c r="Q2528">
        <f t="shared" si="395"/>
        <v>0</v>
      </c>
      <c r="R2528">
        <f t="shared" si="396"/>
        <v>0</v>
      </c>
      <c r="S2528">
        <f t="shared" si="397"/>
        <v>0</v>
      </c>
      <c r="T2528">
        <f t="shared" si="399"/>
        <v>0</v>
      </c>
      <c r="U2528">
        <f t="shared" si="398"/>
        <v>0</v>
      </c>
    </row>
    <row r="2529" spans="1:21" x14ac:dyDescent="0.25">
      <c r="A2529">
        <v>2528</v>
      </c>
      <c r="B2529" t="s">
        <v>100</v>
      </c>
      <c r="C2529" t="s">
        <v>184</v>
      </c>
      <c r="D2529">
        <v>34.67</v>
      </c>
      <c r="E2529">
        <v>6425.29</v>
      </c>
      <c r="F2529">
        <v>164.31</v>
      </c>
      <c r="G2529">
        <v>17.05</v>
      </c>
      <c r="H2529">
        <v>2876.29</v>
      </c>
      <c r="I2529" s="80">
        <v>13241.78</v>
      </c>
      <c r="J2529">
        <v>16.28</v>
      </c>
      <c r="K2529">
        <v>2160.52</v>
      </c>
      <c r="L2529">
        <f t="shared" si="390"/>
        <v>0</v>
      </c>
      <c r="M2529">
        <f t="shared" si="391"/>
        <v>0</v>
      </c>
      <c r="N2529">
        <f t="shared" si="392"/>
        <v>0</v>
      </c>
      <c r="O2529">
        <f t="shared" si="393"/>
        <v>0</v>
      </c>
      <c r="P2529">
        <f t="shared" si="394"/>
        <v>0</v>
      </c>
      <c r="Q2529">
        <f t="shared" si="395"/>
        <v>0</v>
      </c>
      <c r="R2529">
        <f t="shared" si="396"/>
        <v>0</v>
      </c>
      <c r="S2529">
        <f t="shared" si="397"/>
        <v>0</v>
      </c>
      <c r="T2529">
        <f t="shared" si="399"/>
        <v>0</v>
      </c>
      <c r="U2529">
        <f t="shared" si="398"/>
        <v>0</v>
      </c>
    </row>
    <row r="2530" spans="1:21" x14ac:dyDescent="0.25">
      <c r="A2530">
        <v>2529</v>
      </c>
      <c r="B2530" t="s">
        <v>100</v>
      </c>
      <c r="C2530" t="s">
        <v>187</v>
      </c>
      <c r="D2530">
        <v>200.16</v>
      </c>
      <c r="E2530">
        <v>7160.09</v>
      </c>
      <c r="F2530">
        <v>467.29</v>
      </c>
      <c r="G2530">
        <v>50.53</v>
      </c>
      <c r="H2530">
        <v>8963.58</v>
      </c>
      <c r="I2530" s="80">
        <v>14879.82</v>
      </c>
      <c r="J2530">
        <v>49.52</v>
      </c>
      <c r="K2530" s="80">
        <v>8384.82</v>
      </c>
      <c r="L2530">
        <f t="shared" si="390"/>
        <v>0</v>
      </c>
      <c r="M2530">
        <f t="shared" si="391"/>
        <v>0</v>
      </c>
      <c r="N2530">
        <f t="shared" si="392"/>
        <v>0</v>
      </c>
      <c r="O2530">
        <f t="shared" si="393"/>
        <v>0</v>
      </c>
      <c r="P2530">
        <f t="shared" si="394"/>
        <v>0</v>
      </c>
      <c r="Q2530">
        <f t="shared" si="395"/>
        <v>0</v>
      </c>
      <c r="R2530">
        <f t="shared" si="396"/>
        <v>0</v>
      </c>
      <c r="S2530">
        <f t="shared" si="397"/>
        <v>0</v>
      </c>
      <c r="T2530">
        <f t="shared" si="399"/>
        <v>0</v>
      </c>
      <c r="U2530">
        <f t="shared" si="398"/>
        <v>0</v>
      </c>
    </row>
    <row r="2531" spans="1:21" x14ac:dyDescent="0.25">
      <c r="A2531">
        <v>2530</v>
      </c>
      <c r="B2531" t="s">
        <v>100</v>
      </c>
      <c r="C2531" t="s">
        <v>189</v>
      </c>
      <c r="D2531">
        <v>7.96</v>
      </c>
      <c r="E2531">
        <v>2060.09</v>
      </c>
      <c r="F2531">
        <v>13.48</v>
      </c>
      <c r="G2531">
        <v>24.53</v>
      </c>
      <c r="H2531">
        <v>4979.83</v>
      </c>
      <c r="I2531" s="80">
        <v>9068.2099999999991</v>
      </c>
      <c r="J2531">
        <v>24.6</v>
      </c>
      <c r="K2531">
        <v>3401.87</v>
      </c>
      <c r="L2531">
        <f t="shared" si="390"/>
        <v>0</v>
      </c>
      <c r="M2531">
        <f t="shared" si="391"/>
        <v>0</v>
      </c>
      <c r="N2531">
        <f t="shared" si="392"/>
        <v>0</v>
      </c>
      <c r="O2531">
        <f t="shared" si="393"/>
        <v>0</v>
      </c>
      <c r="P2531">
        <f t="shared" si="394"/>
        <v>0</v>
      </c>
      <c r="Q2531">
        <f t="shared" si="395"/>
        <v>0</v>
      </c>
      <c r="R2531">
        <f t="shared" si="396"/>
        <v>0</v>
      </c>
      <c r="S2531">
        <f t="shared" si="397"/>
        <v>0</v>
      </c>
      <c r="T2531">
        <f t="shared" si="399"/>
        <v>0</v>
      </c>
      <c r="U2531">
        <f t="shared" si="398"/>
        <v>0</v>
      </c>
    </row>
    <row r="2532" spans="1:21" x14ac:dyDescent="0.25">
      <c r="A2532">
        <v>2531</v>
      </c>
      <c r="B2532">
        <v>1093</v>
      </c>
      <c r="C2532" t="s">
        <v>162</v>
      </c>
      <c r="D2532">
        <v>14.43</v>
      </c>
      <c r="E2532" s="80">
        <v>45507.73</v>
      </c>
      <c r="F2532">
        <v>381.86</v>
      </c>
      <c r="G2532">
        <v>70.27</v>
      </c>
      <c r="H2532">
        <v>4180.03</v>
      </c>
      <c r="I2532" s="80">
        <v>17366.990000000002</v>
      </c>
      <c r="J2532">
        <v>42.98</v>
      </c>
      <c r="K2532">
        <v>1487.5</v>
      </c>
      <c r="L2532">
        <f t="shared" si="390"/>
        <v>0</v>
      </c>
      <c r="M2532">
        <f t="shared" si="391"/>
        <v>0</v>
      </c>
      <c r="N2532">
        <f t="shared" si="392"/>
        <v>0</v>
      </c>
      <c r="O2532">
        <f t="shared" si="393"/>
        <v>0</v>
      </c>
      <c r="P2532">
        <f t="shared" si="394"/>
        <v>0</v>
      </c>
      <c r="Q2532">
        <f t="shared" si="395"/>
        <v>0</v>
      </c>
      <c r="R2532">
        <f t="shared" si="396"/>
        <v>0</v>
      </c>
      <c r="S2532">
        <f t="shared" si="397"/>
        <v>0</v>
      </c>
      <c r="T2532">
        <f t="shared" si="399"/>
        <v>0</v>
      </c>
      <c r="U2532">
        <f t="shared" si="398"/>
        <v>0</v>
      </c>
    </row>
    <row r="2533" spans="1:21" x14ac:dyDescent="0.25">
      <c r="A2533">
        <v>2532</v>
      </c>
      <c r="B2533">
        <v>1093</v>
      </c>
      <c r="C2533" t="s">
        <v>170</v>
      </c>
      <c r="D2533">
        <v>12.16</v>
      </c>
      <c r="E2533" s="80">
        <v>148824.60999999999</v>
      </c>
      <c r="F2533">
        <v>1.91</v>
      </c>
      <c r="G2533">
        <v>50.53</v>
      </c>
      <c r="H2533">
        <v>1.8</v>
      </c>
      <c r="I2533">
        <v>37.799999999999997</v>
      </c>
      <c r="J2533">
        <v>27.52</v>
      </c>
      <c r="K2533">
        <v>7</v>
      </c>
      <c r="L2533">
        <f t="shared" si="390"/>
        <v>0</v>
      </c>
      <c r="M2533">
        <f t="shared" si="391"/>
        <v>0</v>
      </c>
      <c r="N2533">
        <f t="shared" si="392"/>
        <v>0</v>
      </c>
      <c r="O2533">
        <f t="shared" si="393"/>
        <v>0</v>
      </c>
      <c r="P2533">
        <f t="shared" si="394"/>
        <v>0</v>
      </c>
      <c r="Q2533">
        <f t="shared" si="395"/>
        <v>0</v>
      </c>
      <c r="R2533">
        <f t="shared" si="396"/>
        <v>0</v>
      </c>
      <c r="S2533">
        <f t="shared" si="397"/>
        <v>0</v>
      </c>
      <c r="T2533">
        <f t="shared" si="399"/>
        <v>0</v>
      </c>
      <c r="U2533">
        <f t="shared" si="398"/>
        <v>0</v>
      </c>
    </row>
    <row r="2534" spans="1:21" x14ac:dyDescent="0.25">
      <c r="A2534">
        <v>2533</v>
      </c>
      <c r="B2534">
        <v>1093</v>
      </c>
      <c r="C2534" t="s">
        <v>178</v>
      </c>
      <c r="D2534">
        <v>28.03</v>
      </c>
      <c r="E2534" s="80">
        <v>52982.14</v>
      </c>
      <c r="F2534">
        <v>1988.22</v>
      </c>
      <c r="G2534">
        <v>150.63</v>
      </c>
      <c r="H2534" s="80">
        <v>39443.019999999997</v>
      </c>
      <c r="I2534" s="80">
        <v>21253.24</v>
      </c>
      <c r="J2534">
        <v>57.94</v>
      </c>
      <c r="K2534">
        <v>3511.31</v>
      </c>
      <c r="L2534">
        <f t="shared" si="390"/>
        <v>0</v>
      </c>
      <c r="M2534">
        <f t="shared" si="391"/>
        <v>0</v>
      </c>
      <c r="N2534">
        <f t="shared" si="392"/>
        <v>0</v>
      </c>
      <c r="O2534">
        <f t="shared" si="393"/>
        <v>0</v>
      </c>
      <c r="P2534">
        <f t="shared" si="394"/>
        <v>0</v>
      </c>
      <c r="Q2534">
        <f t="shared" si="395"/>
        <v>0</v>
      </c>
      <c r="R2534">
        <f t="shared" si="396"/>
        <v>0</v>
      </c>
      <c r="S2534">
        <f t="shared" si="397"/>
        <v>0</v>
      </c>
      <c r="T2534">
        <f t="shared" si="399"/>
        <v>0</v>
      </c>
      <c r="U2534">
        <f t="shared" si="398"/>
        <v>0</v>
      </c>
    </row>
    <row r="2535" spans="1:21" x14ac:dyDescent="0.25">
      <c r="A2535">
        <v>2534</v>
      </c>
      <c r="B2535">
        <v>1093</v>
      </c>
      <c r="C2535" t="s">
        <v>163</v>
      </c>
      <c r="D2535">
        <v>72.67</v>
      </c>
      <c r="E2535" s="80">
        <v>39456.550000000003</v>
      </c>
      <c r="F2535">
        <v>1021.67</v>
      </c>
      <c r="G2535">
        <v>163.31</v>
      </c>
      <c r="H2535" s="80">
        <v>153152.79999999999</v>
      </c>
      <c r="I2535" s="80">
        <v>21039.39</v>
      </c>
      <c r="J2535">
        <v>115.06</v>
      </c>
      <c r="K2535" t="s">
        <v>582</v>
      </c>
      <c r="L2535">
        <f t="shared" si="390"/>
        <v>0</v>
      </c>
      <c r="M2535">
        <f t="shared" si="391"/>
        <v>0</v>
      </c>
      <c r="N2535">
        <f t="shared" si="392"/>
        <v>0</v>
      </c>
      <c r="O2535">
        <f t="shared" si="393"/>
        <v>0</v>
      </c>
      <c r="P2535">
        <f t="shared" si="394"/>
        <v>0</v>
      </c>
      <c r="Q2535">
        <f t="shared" si="395"/>
        <v>0</v>
      </c>
      <c r="R2535">
        <f t="shared" si="396"/>
        <v>0</v>
      </c>
      <c r="S2535">
        <f t="shared" si="397"/>
        <v>1</v>
      </c>
      <c r="T2535">
        <f t="shared" si="399"/>
        <v>1</v>
      </c>
      <c r="U2535">
        <f t="shared" si="398"/>
        <v>1</v>
      </c>
    </row>
    <row r="2536" spans="1:21" x14ac:dyDescent="0.25">
      <c r="A2536">
        <v>2535</v>
      </c>
      <c r="B2536">
        <v>1093</v>
      </c>
      <c r="C2536" t="s">
        <v>181</v>
      </c>
      <c r="D2536">
        <v>7.96</v>
      </c>
      <c r="E2536" t="s">
        <v>582</v>
      </c>
      <c r="F2536">
        <v>1.4</v>
      </c>
      <c r="G2536">
        <v>41.34</v>
      </c>
      <c r="H2536">
        <v>5.0599999999999996</v>
      </c>
      <c r="I2536">
        <v>97.88</v>
      </c>
      <c r="J2536">
        <v>42.98</v>
      </c>
      <c r="K2536">
        <v>17.13</v>
      </c>
      <c r="L2536">
        <f t="shared" si="390"/>
        <v>0</v>
      </c>
      <c r="M2536">
        <f t="shared" si="391"/>
        <v>1</v>
      </c>
      <c r="N2536">
        <f t="shared" si="392"/>
        <v>0</v>
      </c>
      <c r="O2536">
        <f t="shared" si="393"/>
        <v>0</v>
      </c>
      <c r="P2536">
        <f t="shared" si="394"/>
        <v>0</v>
      </c>
      <c r="Q2536">
        <f t="shared" si="395"/>
        <v>0</v>
      </c>
      <c r="R2536">
        <f t="shared" si="396"/>
        <v>0</v>
      </c>
      <c r="S2536">
        <f t="shared" si="397"/>
        <v>0</v>
      </c>
      <c r="T2536">
        <f t="shared" si="399"/>
        <v>1</v>
      </c>
      <c r="U2536">
        <f t="shared" si="398"/>
        <v>1</v>
      </c>
    </row>
    <row r="2537" spans="1:21" x14ac:dyDescent="0.25">
      <c r="A2537">
        <v>2536</v>
      </c>
      <c r="B2537">
        <v>1093</v>
      </c>
      <c r="C2537" t="s">
        <v>183</v>
      </c>
      <c r="D2537">
        <v>20.93</v>
      </c>
      <c r="E2537" s="80">
        <v>107811.4</v>
      </c>
      <c r="F2537">
        <v>947.71</v>
      </c>
      <c r="G2537">
        <v>102.76</v>
      </c>
      <c r="H2537">
        <v>11784.01</v>
      </c>
      <c r="I2537" s="80">
        <v>23228.31</v>
      </c>
      <c r="J2537">
        <v>64.86</v>
      </c>
      <c r="K2537" s="80">
        <v>8391.24</v>
      </c>
      <c r="L2537">
        <f t="shared" si="390"/>
        <v>0</v>
      </c>
      <c r="M2537">
        <f t="shared" si="391"/>
        <v>0</v>
      </c>
      <c r="N2537">
        <f t="shared" si="392"/>
        <v>0</v>
      </c>
      <c r="O2537">
        <f t="shared" si="393"/>
        <v>0</v>
      </c>
      <c r="P2537">
        <f t="shared" si="394"/>
        <v>0</v>
      </c>
      <c r="Q2537">
        <f t="shared" si="395"/>
        <v>0</v>
      </c>
      <c r="R2537">
        <f t="shared" si="396"/>
        <v>0</v>
      </c>
      <c r="S2537">
        <f t="shared" si="397"/>
        <v>0</v>
      </c>
      <c r="T2537">
        <f t="shared" si="399"/>
        <v>0</v>
      </c>
      <c r="U2537">
        <f t="shared" si="398"/>
        <v>0</v>
      </c>
    </row>
    <row r="2538" spans="1:21" x14ac:dyDescent="0.25">
      <c r="A2538">
        <v>2537</v>
      </c>
      <c r="B2538">
        <v>1093</v>
      </c>
      <c r="C2538" t="s">
        <v>186</v>
      </c>
      <c r="D2538">
        <v>15.99</v>
      </c>
      <c r="E2538" s="80">
        <v>43299.16</v>
      </c>
      <c r="F2538">
        <v>2011.12</v>
      </c>
      <c r="G2538">
        <v>156.94</v>
      </c>
      <c r="H2538" s="80">
        <v>73664.460000000006</v>
      </c>
      <c r="I2538" s="80">
        <v>22607.39</v>
      </c>
      <c r="J2538">
        <v>99.61</v>
      </c>
      <c r="K2538" s="80">
        <v>12399.54</v>
      </c>
      <c r="L2538">
        <f t="shared" si="390"/>
        <v>0</v>
      </c>
      <c r="M2538">
        <f t="shared" si="391"/>
        <v>0</v>
      </c>
      <c r="N2538">
        <f t="shared" si="392"/>
        <v>0</v>
      </c>
      <c r="O2538">
        <f t="shared" si="393"/>
        <v>0</v>
      </c>
      <c r="P2538">
        <f t="shared" si="394"/>
        <v>0</v>
      </c>
      <c r="Q2538">
        <f t="shared" si="395"/>
        <v>0</v>
      </c>
      <c r="R2538">
        <f t="shared" si="396"/>
        <v>0</v>
      </c>
      <c r="S2538">
        <f t="shared" si="397"/>
        <v>0</v>
      </c>
      <c r="T2538">
        <f t="shared" si="399"/>
        <v>0</v>
      </c>
      <c r="U2538">
        <f t="shared" si="398"/>
        <v>0</v>
      </c>
    </row>
    <row r="2539" spans="1:21" x14ac:dyDescent="0.25">
      <c r="A2539">
        <v>2538</v>
      </c>
      <c r="B2539">
        <v>1093</v>
      </c>
      <c r="C2539" t="s">
        <v>188</v>
      </c>
      <c r="D2539">
        <v>24.41</v>
      </c>
      <c r="E2539" s="80">
        <v>89109.72</v>
      </c>
      <c r="F2539">
        <v>498.09</v>
      </c>
      <c r="G2539">
        <v>150.63</v>
      </c>
      <c r="H2539" s="80">
        <v>16630.78</v>
      </c>
      <c r="I2539" s="80">
        <v>22808.76</v>
      </c>
      <c r="J2539">
        <v>126.92</v>
      </c>
      <c r="K2539" t="s">
        <v>582</v>
      </c>
      <c r="L2539">
        <f t="shared" si="390"/>
        <v>0</v>
      </c>
      <c r="M2539">
        <f t="shared" si="391"/>
        <v>0</v>
      </c>
      <c r="N2539">
        <f t="shared" si="392"/>
        <v>0</v>
      </c>
      <c r="O2539">
        <f t="shared" si="393"/>
        <v>0</v>
      </c>
      <c r="P2539">
        <f t="shared" si="394"/>
        <v>0</v>
      </c>
      <c r="Q2539">
        <f t="shared" si="395"/>
        <v>0</v>
      </c>
      <c r="R2539">
        <f t="shared" si="396"/>
        <v>0</v>
      </c>
      <c r="S2539">
        <f t="shared" si="397"/>
        <v>1</v>
      </c>
      <c r="T2539">
        <f t="shared" si="399"/>
        <v>1</v>
      </c>
      <c r="U2539">
        <f t="shared" si="398"/>
        <v>1</v>
      </c>
    </row>
    <row r="2540" spans="1:21" x14ac:dyDescent="0.25">
      <c r="A2540">
        <v>2539</v>
      </c>
      <c r="B2540">
        <v>1093</v>
      </c>
      <c r="C2540" t="s">
        <v>182</v>
      </c>
      <c r="D2540">
        <v>3.73</v>
      </c>
      <c r="E2540">
        <v>7830.22</v>
      </c>
      <c r="F2540">
        <v>16.43</v>
      </c>
      <c r="G2540">
        <v>41.34</v>
      </c>
      <c r="H2540">
        <v>384.83</v>
      </c>
      <c r="I2540" s="80">
        <v>9864.7999999999993</v>
      </c>
      <c r="J2540">
        <v>13.66</v>
      </c>
      <c r="K2540">
        <v>709.53</v>
      </c>
      <c r="L2540">
        <f t="shared" si="390"/>
        <v>0</v>
      </c>
      <c r="M2540">
        <f t="shared" si="391"/>
        <v>0</v>
      </c>
      <c r="N2540">
        <f t="shared" si="392"/>
        <v>0</v>
      </c>
      <c r="O2540">
        <f t="shared" si="393"/>
        <v>0</v>
      </c>
      <c r="P2540">
        <f t="shared" si="394"/>
        <v>0</v>
      </c>
      <c r="Q2540">
        <f t="shared" si="395"/>
        <v>0</v>
      </c>
      <c r="R2540">
        <f t="shared" si="396"/>
        <v>0</v>
      </c>
      <c r="S2540">
        <f t="shared" si="397"/>
        <v>0</v>
      </c>
      <c r="T2540">
        <f t="shared" si="399"/>
        <v>0</v>
      </c>
      <c r="U2540">
        <f t="shared" si="398"/>
        <v>0</v>
      </c>
    </row>
    <row r="2541" spans="1:21" x14ac:dyDescent="0.25">
      <c r="A2541">
        <v>2540</v>
      </c>
      <c r="B2541">
        <v>1093</v>
      </c>
      <c r="C2541" t="s">
        <v>184</v>
      </c>
      <c r="D2541">
        <v>11.43</v>
      </c>
      <c r="E2541">
        <v>8200.07</v>
      </c>
      <c r="F2541">
        <v>58.95</v>
      </c>
      <c r="G2541">
        <v>41.34</v>
      </c>
      <c r="H2541">
        <v>5600.4</v>
      </c>
      <c r="I2541" s="80">
        <v>16258.13</v>
      </c>
      <c r="J2541">
        <v>24.6</v>
      </c>
      <c r="K2541">
        <v>1079.51</v>
      </c>
      <c r="L2541">
        <f t="shared" si="390"/>
        <v>0</v>
      </c>
      <c r="M2541">
        <f t="shared" si="391"/>
        <v>0</v>
      </c>
      <c r="N2541">
        <f t="shared" si="392"/>
        <v>0</v>
      </c>
      <c r="O2541">
        <f t="shared" si="393"/>
        <v>0</v>
      </c>
      <c r="P2541">
        <f t="shared" si="394"/>
        <v>0</v>
      </c>
      <c r="Q2541">
        <f t="shared" si="395"/>
        <v>0</v>
      </c>
      <c r="R2541">
        <f t="shared" si="396"/>
        <v>0</v>
      </c>
      <c r="S2541">
        <f t="shared" si="397"/>
        <v>0</v>
      </c>
      <c r="T2541">
        <f t="shared" si="399"/>
        <v>0</v>
      </c>
      <c r="U2541">
        <f t="shared" si="398"/>
        <v>0</v>
      </c>
    </row>
    <row r="2542" spans="1:21" x14ac:dyDescent="0.25">
      <c r="A2542">
        <v>2541</v>
      </c>
      <c r="B2542">
        <v>1093</v>
      </c>
      <c r="C2542" t="s">
        <v>187</v>
      </c>
      <c r="D2542">
        <v>14.43</v>
      </c>
      <c r="E2542">
        <v>11160.7</v>
      </c>
      <c r="F2542">
        <v>249.86</v>
      </c>
      <c r="G2542">
        <v>75.459999999999994</v>
      </c>
      <c r="H2542" s="80">
        <v>27554.57</v>
      </c>
      <c r="I2542" s="80">
        <v>19594.28</v>
      </c>
      <c r="J2542">
        <v>57.94</v>
      </c>
      <c r="K2542">
        <v>6036.29</v>
      </c>
      <c r="L2542">
        <f t="shared" si="390"/>
        <v>0</v>
      </c>
      <c r="M2542">
        <f t="shared" si="391"/>
        <v>0</v>
      </c>
      <c r="N2542">
        <f t="shared" si="392"/>
        <v>0</v>
      </c>
      <c r="O2542">
        <f t="shared" si="393"/>
        <v>0</v>
      </c>
      <c r="P2542">
        <f t="shared" si="394"/>
        <v>0</v>
      </c>
      <c r="Q2542">
        <f t="shared" si="395"/>
        <v>0</v>
      </c>
      <c r="R2542">
        <f t="shared" si="396"/>
        <v>0</v>
      </c>
      <c r="S2542">
        <f t="shared" si="397"/>
        <v>0</v>
      </c>
      <c r="T2542">
        <f t="shared" si="399"/>
        <v>0</v>
      </c>
      <c r="U2542">
        <f t="shared" si="398"/>
        <v>0</v>
      </c>
    </row>
    <row r="2543" spans="1:21" x14ac:dyDescent="0.25">
      <c r="A2543">
        <v>2542</v>
      </c>
      <c r="B2543">
        <v>1093</v>
      </c>
      <c r="C2543" t="s">
        <v>189</v>
      </c>
      <c r="D2543">
        <v>14.43</v>
      </c>
      <c r="E2543">
        <v>8042.02</v>
      </c>
      <c r="F2543">
        <v>21.79</v>
      </c>
      <c r="G2543">
        <v>91.58</v>
      </c>
      <c r="H2543" s="80">
        <v>20081.75</v>
      </c>
      <c r="I2543" s="80">
        <v>15727.59</v>
      </c>
      <c r="J2543">
        <v>36.64</v>
      </c>
      <c r="K2543">
        <v>5572.32</v>
      </c>
      <c r="L2543">
        <f t="shared" si="390"/>
        <v>0</v>
      </c>
      <c r="M2543">
        <f t="shared" si="391"/>
        <v>0</v>
      </c>
      <c r="N2543">
        <f t="shared" si="392"/>
        <v>0</v>
      </c>
      <c r="O2543">
        <f t="shared" si="393"/>
        <v>0</v>
      </c>
      <c r="P2543">
        <f t="shared" si="394"/>
        <v>0</v>
      </c>
      <c r="Q2543">
        <f t="shared" si="395"/>
        <v>0</v>
      </c>
      <c r="R2543">
        <f t="shared" si="396"/>
        <v>0</v>
      </c>
      <c r="S2543">
        <f t="shared" si="397"/>
        <v>0</v>
      </c>
      <c r="T2543">
        <f t="shared" si="399"/>
        <v>0</v>
      </c>
      <c r="U2543">
        <f t="shared" si="398"/>
        <v>0</v>
      </c>
    </row>
    <row r="2544" spans="1:21" x14ac:dyDescent="0.25">
      <c r="A2544">
        <v>2543</v>
      </c>
      <c r="B2544">
        <v>3032</v>
      </c>
      <c r="C2544" t="s">
        <v>162</v>
      </c>
      <c r="D2544">
        <v>8.6300000000000008</v>
      </c>
      <c r="E2544" s="80">
        <v>86455.28</v>
      </c>
      <c r="F2544">
        <v>1.05</v>
      </c>
      <c r="G2544">
        <v>41.34</v>
      </c>
      <c r="H2544">
        <v>1.32</v>
      </c>
      <c r="I2544">
        <v>18.899999999999999</v>
      </c>
      <c r="J2544">
        <v>18.98</v>
      </c>
      <c r="K2544">
        <v>8.8699999999999992</v>
      </c>
      <c r="L2544">
        <f t="shared" si="390"/>
        <v>0</v>
      </c>
      <c r="M2544">
        <f t="shared" si="391"/>
        <v>0</v>
      </c>
      <c r="N2544">
        <f t="shared" si="392"/>
        <v>0</v>
      </c>
      <c r="O2544">
        <f t="shared" si="393"/>
        <v>0</v>
      </c>
      <c r="P2544">
        <f t="shared" si="394"/>
        <v>0</v>
      </c>
      <c r="Q2544">
        <f t="shared" si="395"/>
        <v>0</v>
      </c>
      <c r="R2544">
        <f t="shared" si="396"/>
        <v>0</v>
      </c>
      <c r="S2544">
        <f t="shared" si="397"/>
        <v>0</v>
      </c>
      <c r="T2544">
        <f t="shared" si="399"/>
        <v>0</v>
      </c>
      <c r="U2544">
        <f t="shared" si="398"/>
        <v>0</v>
      </c>
    </row>
    <row r="2545" spans="1:21" x14ac:dyDescent="0.25">
      <c r="A2545">
        <v>2544</v>
      </c>
      <c r="B2545">
        <v>3032</v>
      </c>
      <c r="C2545" t="s">
        <v>170</v>
      </c>
      <c r="D2545">
        <v>11.43</v>
      </c>
      <c r="E2545">
        <v>22202.95</v>
      </c>
      <c r="F2545">
        <v>150.1</v>
      </c>
      <c r="G2545">
        <v>45.88</v>
      </c>
      <c r="H2545">
        <v>4132.66</v>
      </c>
      <c r="I2545" s="80">
        <v>14912.97</v>
      </c>
      <c r="J2545">
        <v>21.75</v>
      </c>
      <c r="K2545">
        <v>1446.06</v>
      </c>
      <c r="L2545">
        <f t="shared" si="390"/>
        <v>0</v>
      </c>
      <c r="M2545">
        <f t="shared" si="391"/>
        <v>0</v>
      </c>
      <c r="N2545">
        <f t="shared" si="392"/>
        <v>0</v>
      </c>
      <c r="O2545">
        <f t="shared" si="393"/>
        <v>0</v>
      </c>
      <c r="P2545">
        <f t="shared" si="394"/>
        <v>0</v>
      </c>
      <c r="Q2545">
        <f t="shared" si="395"/>
        <v>0</v>
      </c>
      <c r="R2545">
        <f t="shared" si="396"/>
        <v>0</v>
      </c>
      <c r="S2545">
        <f t="shared" si="397"/>
        <v>0</v>
      </c>
      <c r="T2545">
        <f t="shared" si="399"/>
        <v>0</v>
      </c>
      <c r="U2545">
        <f t="shared" si="398"/>
        <v>0</v>
      </c>
    </row>
    <row r="2546" spans="1:21" x14ac:dyDescent="0.25">
      <c r="A2546">
        <v>2545</v>
      </c>
      <c r="B2546">
        <v>3032</v>
      </c>
      <c r="C2546" t="s">
        <v>178</v>
      </c>
      <c r="D2546">
        <v>38.619999999999997</v>
      </c>
      <c r="E2546">
        <v>20244.89</v>
      </c>
      <c r="F2546">
        <v>394.33</v>
      </c>
      <c r="G2546">
        <v>86.11</v>
      </c>
      <c r="H2546" s="80">
        <v>18071.509999999998</v>
      </c>
      <c r="I2546" s="80">
        <v>15880.31</v>
      </c>
      <c r="J2546">
        <v>56.23</v>
      </c>
      <c r="K2546">
        <v>2664.37</v>
      </c>
      <c r="L2546">
        <f t="shared" si="390"/>
        <v>0</v>
      </c>
      <c r="M2546">
        <f t="shared" si="391"/>
        <v>0</v>
      </c>
      <c r="N2546">
        <f t="shared" si="392"/>
        <v>0</v>
      </c>
      <c r="O2546">
        <f t="shared" si="393"/>
        <v>0</v>
      </c>
      <c r="P2546">
        <f t="shared" si="394"/>
        <v>0</v>
      </c>
      <c r="Q2546">
        <f t="shared" si="395"/>
        <v>0</v>
      </c>
      <c r="R2546">
        <f t="shared" si="396"/>
        <v>0</v>
      </c>
      <c r="S2546">
        <f t="shared" si="397"/>
        <v>0</v>
      </c>
      <c r="T2546">
        <f t="shared" si="399"/>
        <v>0</v>
      </c>
      <c r="U2546">
        <f t="shared" si="398"/>
        <v>0</v>
      </c>
    </row>
    <row r="2547" spans="1:21" x14ac:dyDescent="0.25">
      <c r="A2547">
        <v>2546</v>
      </c>
      <c r="B2547">
        <v>3032</v>
      </c>
      <c r="C2547" t="s">
        <v>163</v>
      </c>
      <c r="D2547">
        <v>24.41</v>
      </c>
      <c r="E2547">
        <v>22822.880000000001</v>
      </c>
      <c r="F2547">
        <v>282.91000000000003</v>
      </c>
      <c r="G2547">
        <v>91.58</v>
      </c>
      <c r="H2547">
        <v>10312.799999999999</v>
      </c>
      <c r="I2547" s="80">
        <v>15610.38</v>
      </c>
      <c r="J2547">
        <v>61.38</v>
      </c>
      <c r="K2547">
        <v>6647.74</v>
      </c>
      <c r="L2547">
        <f t="shared" si="390"/>
        <v>0</v>
      </c>
      <c r="M2547">
        <f t="shared" si="391"/>
        <v>0</v>
      </c>
      <c r="N2547">
        <f t="shared" si="392"/>
        <v>0</v>
      </c>
      <c r="O2547">
        <f t="shared" si="393"/>
        <v>0</v>
      </c>
      <c r="P2547">
        <f t="shared" si="394"/>
        <v>0</v>
      </c>
      <c r="Q2547">
        <f t="shared" si="395"/>
        <v>0</v>
      </c>
      <c r="R2547">
        <f t="shared" si="396"/>
        <v>0</v>
      </c>
      <c r="S2547">
        <f t="shared" si="397"/>
        <v>0</v>
      </c>
      <c r="T2547">
        <f t="shared" si="399"/>
        <v>0</v>
      </c>
      <c r="U2547">
        <f t="shared" si="398"/>
        <v>0</v>
      </c>
    </row>
    <row r="2548" spans="1:21" x14ac:dyDescent="0.25">
      <c r="A2548">
        <v>2547</v>
      </c>
      <c r="B2548">
        <v>3032</v>
      </c>
      <c r="C2548" t="s">
        <v>181</v>
      </c>
      <c r="D2548">
        <v>10</v>
      </c>
      <c r="E2548" s="80">
        <v>268552.83</v>
      </c>
      <c r="F2548">
        <v>0.88</v>
      </c>
      <c r="G2548">
        <v>41.34</v>
      </c>
      <c r="H2548">
        <v>56.83</v>
      </c>
      <c r="I2548">
        <v>124.91</v>
      </c>
      <c r="J2548">
        <v>32.020000000000003</v>
      </c>
      <c r="K2548">
        <v>36.81</v>
      </c>
      <c r="L2548">
        <f t="shared" si="390"/>
        <v>0</v>
      </c>
      <c r="M2548">
        <f t="shared" si="391"/>
        <v>0</v>
      </c>
      <c r="N2548">
        <f t="shared" si="392"/>
        <v>0</v>
      </c>
      <c r="O2548">
        <f t="shared" si="393"/>
        <v>0</v>
      </c>
      <c r="P2548">
        <f t="shared" si="394"/>
        <v>0</v>
      </c>
      <c r="Q2548">
        <f t="shared" si="395"/>
        <v>0</v>
      </c>
      <c r="R2548">
        <f t="shared" si="396"/>
        <v>0</v>
      </c>
      <c r="S2548">
        <f t="shared" si="397"/>
        <v>0</v>
      </c>
      <c r="T2548">
        <f t="shared" si="399"/>
        <v>0</v>
      </c>
      <c r="U2548">
        <f t="shared" si="398"/>
        <v>0</v>
      </c>
    </row>
    <row r="2549" spans="1:21" x14ac:dyDescent="0.25">
      <c r="A2549">
        <v>2548</v>
      </c>
      <c r="B2549">
        <v>3032</v>
      </c>
      <c r="C2549" t="s">
        <v>183</v>
      </c>
      <c r="D2549">
        <v>15.21</v>
      </c>
      <c r="E2549">
        <v>23749.31</v>
      </c>
      <c r="F2549">
        <v>382.85</v>
      </c>
      <c r="G2549">
        <v>102.76</v>
      </c>
      <c r="H2549">
        <v>7808.03</v>
      </c>
      <c r="I2549" s="80">
        <v>21047.87</v>
      </c>
      <c r="J2549">
        <v>77.31</v>
      </c>
      <c r="K2549" s="80">
        <v>11907.34</v>
      </c>
      <c r="L2549">
        <f t="shared" si="390"/>
        <v>0</v>
      </c>
      <c r="M2549">
        <f t="shared" si="391"/>
        <v>0</v>
      </c>
      <c r="N2549">
        <f t="shared" si="392"/>
        <v>0</v>
      </c>
      <c r="O2549">
        <f t="shared" si="393"/>
        <v>0</v>
      </c>
      <c r="P2549">
        <f t="shared" si="394"/>
        <v>0</v>
      </c>
      <c r="Q2549">
        <f t="shared" si="395"/>
        <v>0</v>
      </c>
      <c r="R2549">
        <f t="shared" si="396"/>
        <v>0</v>
      </c>
      <c r="S2549">
        <f t="shared" si="397"/>
        <v>0</v>
      </c>
      <c r="T2549">
        <f t="shared" si="399"/>
        <v>0</v>
      </c>
      <c r="U2549">
        <f t="shared" si="398"/>
        <v>0</v>
      </c>
    </row>
    <row r="2550" spans="1:21" x14ac:dyDescent="0.25">
      <c r="A2550">
        <v>2549</v>
      </c>
      <c r="B2550">
        <v>3032</v>
      </c>
      <c r="C2550" t="s">
        <v>186</v>
      </c>
      <c r="D2550">
        <v>19.25</v>
      </c>
      <c r="E2550">
        <v>13657.24</v>
      </c>
      <c r="F2550">
        <v>413.07</v>
      </c>
      <c r="G2550">
        <v>70.27</v>
      </c>
      <c r="H2550" s="80">
        <v>22850.76</v>
      </c>
      <c r="I2550" s="80">
        <v>21479.41</v>
      </c>
      <c r="J2550">
        <v>84.62</v>
      </c>
      <c r="K2550" s="80">
        <v>16500.78</v>
      </c>
      <c r="L2550">
        <f t="shared" si="390"/>
        <v>0</v>
      </c>
      <c r="M2550">
        <f t="shared" si="391"/>
        <v>0</v>
      </c>
      <c r="N2550">
        <f t="shared" si="392"/>
        <v>0</v>
      </c>
      <c r="O2550">
        <f t="shared" si="393"/>
        <v>0</v>
      </c>
      <c r="P2550">
        <f t="shared" si="394"/>
        <v>0</v>
      </c>
      <c r="Q2550">
        <f t="shared" si="395"/>
        <v>0</v>
      </c>
      <c r="R2550">
        <f t="shared" si="396"/>
        <v>0</v>
      </c>
      <c r="S2550">
        <f t="shared" si="397"/>
        <v>0</v>
      </c>
      <c r="T2550">
        <f t="shared" si="399"/>
        <v>0</v>
      </c>
      <c r="U2550">
        <f t="shared" si="398"/>
        <v>0</v>
      </c>
    </row>
    <row r="2551" spans="1:21" x14ac:dyDescent="0.25">
      <c r="A2551">
        <v>2550</v>
      </c>
      <c r="B2551">
        <v>3032</v>
      </c>
      <c r="C2551" t="s">
        <v>188</v>
      </c>
      <c r="D2551">
        <v>15.99</v>
      </c>
      <c r="E2551" s="80">
        <v>28993.14</v>
      </c>
      <c r="F2551">
        <v>199.62</v>
      </c>
      <c r="G2551">
        <v>80.739999999999995</v>
      </c>
      <c r="H2551">
        <v>6351.82</v>
      </c>
      <c r="I2551" s="80">
        <v>21118.83</v>
      </c>
      <c r="J2551">
        <v>84.62</v>
      </c>
      <c r="K2551" s="80">
        <v>20572.2</v>
      </c>
      <c r="L2551">
        <f t="shared" si="390"/>
        <v>0</v>
      </c>
      <c r="M2551">
        <f t="shared" si="391"/>
        <v>0</v>
      </c>
      <c r="N2551">
        <f t="shared" si="392"/>
        <v>0</v>
      </c>
      <c r="O2551">
        <f t="shared" si="393"/>
        <v>0</v>
      </c>
      <c r="P2551">
        <f t="shared" si="394"/>
        <v>0</v>
      </c>
      <c r="Q2551">
        <f t="shared" si="395"/>
        <v>0</v>
      </c>
      <c r="R2551">
        <f t="shared" si="396"/>
        <v>0</v>
      </c>
      <c r="S2551">
        <f t="shared" si="397"/>
        <v>0</v>
      </c>
      <c r="T2551">
        <f t="shared" si="399"/>
        <v>0</v>
      </c>
      <c r="U2551">
        <f t="shared" si="398"/>
        <v>0</v>
      </c>
    </row>
    <row r="2552" spans="1:21" x14ac:dyDescent="0.25">
      <c r="A2552">
        <v>2551</v>
      </c>
      <c r="B2552">
        <v>3032</v>
      </c>
      <c r="C2552" t="s">
        <v>182</v>
      </c>
      <c r="D2552" t="s">
        <v>583</v>
      </c>
      <c r="E2552">
        <v>5213.22</v>
      </c>
      <c r="F2552">
        <v>0.54</v>
      </c>
      <c r="G2552" t="s">
        <v>583</v>
      </c>
      <c r="H2552">
        <v>13.42</v>
      </c>
      <c r="I2552">
        <v>579.97</v>
      </c>
      <c r="J2552">
        <v>6.45</v>
      </c>
      <c r="K2552">
        <v>3.26</v>
      </c>
      <c r="L2552">
        <f t="shared" si="390"/>
        <v>0</v>
      </c>
      <c r="M2552">
        <f t="shared" si="391"/>
        <v>0</v>
      </c>
      <c r="N2552">
        <f t="shared" si="392"/>
        <v>0</v>
      </c>
      <c r="O2552">
        <f t="shared" si="393"/>
        <v>0</v>
      </c>
      <c r="P2552">
        <f t="shared" si="394"/>
        <v>0</v>
      </c>
      <c r="Q2552">
        <f t="shared" si="395"/>
        <v>0</v>
      </c>
      <c r="R2552">
        <f t="shared" si="396"/>
        <v>0</v>
      </c>
      <c r="S2552">
        <f t="shared" si="397"/>
        <v>0</v>
      </c>
      <c r="T2552">
        <f t="shared" si="399"/>
        <v>0</v>
      </c>
      <c r="U2552">
        <f t="shared" si="398"/>
        <v>0</v>
      </c>
    </row>
    <row r="2553" spans="1:21" x14ac:dyDescent="0.25">
      <c r="A2553">
        <v>2552</v>
      </c>
      <c r="B2553">
        <v>3032</v>
      </c>
      <c r="C2553" t="s">
        <v>184</v>
      </c>
      <c r="D2553">
        <v>19.25</v>
      </c>
      <c r="E2553" s="80">
        <v>42229.51</v>
      </c>
      <c r="F2553">
        <v>189.7</v>
      </c>
      <c r="G2553">
        <v>50.53</v>
      </c>
      <c r="H2553">
        <v>15764.74</v>
      </c>
      <c r="I2553" s="80">
        <v>19888.099999999999</v>
      </c>
      <c r="J2553">
        <v>41.38</v>
      </c>
      <c r="K2553">
        <v>2628.5</v>
      </c>
      <c r="L2553">
        <f t="shared" si="390"/>
        <v>0</v>
      </c>
      <c r="M2553">
        <f t="shared" si="391"/>
        <v>0</v>
      </c>
      <c r="N2553">
        <f t="shared" si="392"/>
        <v>0</v>
      </c>
      <c r="O2553">
        <f t="shared" si="393"/>
        <v>0</v>
      </c>
      <c r="P2553">
        <f t="shared" si="394"/>
        <v>0</v>
      </c>
      <c r="Q2553">
        <f t="shared" si="395"/>
        <v>0</v>
      </c>
      <c r="R2553">
        <f t="shared" si="396"/>
        <v>0</v>
      </c>
      <c r="S2553">
        <f t="shared" si="397"/>
        <v>0</v>
      </c>
      <c r="T2553">
        <f t="shared" si="399"/>
        <v>0</v>
      </c>
      <c r="U2553">
        <f t="shared" si="398"/>
        <v>0</v>
      </c>
    </row>
    <row r="2554" spans="1:21" x14ac:dyDescent="0.25">
      <c r="A2554">
        <v>2553</v>
      </c>
      <c r="B2554">
        <v>3032</v>
      </c>
      <c r="C2554" t="s">
        <v>187</v>
      </c>
      <c r="D2554">
        <v>58.83</v>
      </c>
      <c r="E2554" s="80">
        <v>91806.42</v>
      </c>
      <c r="F2554">
        <v>741.02</v>
      </c>
      <c r="G2554">
        <v>126.1</v>
      </c>
      <c r="H2554" s="80">
        <v>86104.26</v>
      </c>
      <c r="I2554" s="80">
        <v>20466.14</v>
      </c>
      <c r="J2554">
        <v>99.61</v>
      </c>
      <c r="K2554" s="80">
        <v>9775.09</v>
      </c>
      <c r="L2554">
        <f t="shared" si="390"/>
        <v>0</v>
      </c>
      <c r="M2554">
        <f t="shared" si="391"/>
        <v>0</v>
      </c>
      <c r="N2554">
        <f t="shared" si="392"/>
        <v>0</v>
      </c>
      <c r="O2554">
        <f t="shared" si="393"/>
        <v>0</v>
      </c>
      <c r="P2554">
        <f t="shared" si="394"/>
        <v>0</v>
      </c>
      <c r="Q2554">
        <f t="shared" si="395"/>
        <v>0</v>
      </c>
      <c r="R2554">
        <f t="shared" si="396"/>
        <v>0</v>
      </c>
      <c r="S2554">
        <f t="shared" si="397"/>
        <v>0</v>
      </c>
      <c r="T2554">
        <f t="shared" si="399"/>
        <v>0</v>
      </c>
      <c r="U2554">
        <f t="shared" si="398"/>
        <v>0</v>
      </c>
    </row>
    <row r="2555" spans="1:21" x14ac:dyDescent="0.25">
      <c r="A2555">
        <v>2554</v>
      </c>
      <c r="B2555">
        <v>3032</v>
      </c>
      <c r="C2555" t="s">
        <v>189</v>
      </c>
      <c r="D2555">
        <v>29.89</v>
      </c>
      <c r="E2555" s="80">
        <v>57320.13</v>
      </c>
      <c r="F2555">
        <v>162.12</v>
      </c>
      <c r="G2555">
        <v>91.58</v>
      </c>
      <c r="H2555" s="80">
        <v>23512.73</v>
      </c>
      <c r="I2555" s="80">
        <v>17337.27</v>
      </c>
      <c r="J2555">
        <v>79.13</v>
      </c>
      <c r="K2555" s="80">
        <v>15981.67</v>
      </c>
      <c r="L2555">
        <f t="shared" si="390"/>
        <v>0</v>
      </c>
      <c r="M2555">
        <f t="shared" si="391"/>
        <v>0</v>
      </c>
      <c r="N2555">
        <f t="shared" si="392"/>
        <v>0</v>
      </c>
      <c r="O2555">
        <f t="shared" si="393"/>
        <v>0</v>
      </c>
      <c r="P2555">
        <f t="shared" si="394"/>
        <v>0</v>
      </c>
      <c r="Q2555">
        <f t="shared" si="395"/>
        <v>0</v>
      </c>
      <c r="R2555">
        <f t="shared" si="396"/>
        <v>0</v>
      </c>
      <c r="S2555">
        <f t="shared" si="397"/>
        <v>0</v>
      </c>
      <c r="T2555">
        <f t="shared" si="399"/>
        <v>0</v>
      </c>
      <c r="U2555">
        <f t="shared" si="398"/>
        <v>0</v>
      </c>
    </row>
    <row r="2556" spans="1:21" x14ac:dyDescent="0.25">
      <c r="A2556">
        <v>2555</v>
      </c>
      <c r="B2556">
        <v>2046</v>
      </c>
      <c r="C2556" t="s">
        <v>162</v>
      </c>
      <c r="D2556">
        <v>2.7</v>
      </c>
      <c r="E2556">
        <v>14341.66</v>
      </c>
      <c r="F2556">
        <v>0.83</v>
      </c>
      <c r="G2556">
        <v>28.51</v>
      </c>
      <c r="H2556">
        <v>0.87</v>
      </c>
      <c r="I2556">
        <v>3.75</v>
      </c>
      <c r="J2556">
        <v>11.14</v>
      </c>
      <c r="K2556">
        <v>2.71</v>
      </c>
      <c r="L2556">
        <f t="shared" si="390"/>
        <v>0</v>
      </c>
      <c r="M2556">
        <f t="shared" si="391"/>
        <v>0</v>
      </c>
      <c r="N2556">
        <f t="shared" si="392"/>
        <v>0</v>
      </c>
      <c r="O2556">
        <f t="shared" si="393"/>
        <v>0</v>
      </c>
      <c r="P2556">
        <f t="shared" si="394"/>
        <v>0</v>
      </c>
      <c r="Q2556">
        <f t="shared" si="395"/>
        <v>0</v>
      </c>
      <c r="R2556">
        <f t="shared" si="396"/>
        <v>0</v>
      </c>
      <c r="S2556">
        <f t="shared" si="397"/>
        <v>0</v>
      </c>
      <c r="T2556">
        <f t="shared" si="399"/>
        <v>0</v>
      </c>
      <c r="U2556">
        <f t="shared" si="398"/>
        <v>0</v>
      </c>
    </row>
    <row r="2557" spans="1:21" x14ac:dyDescent="0.25">
      <c r="A2557">
        <v>2556</v>
      </c>
      <c r="B2557">
        <v>2046</v>
      </c>
      <c r="C2557" t="s">
        <v>170</v>
      </c>
      <c r="D2557">
        <v>7.31</v>
      </c>
      <c r="E2557">
        <v>11208.89</v>
      </c>
      <c r="F2557">
        <v>67.08</v>
      </c>
      <c r="G2557">
        <v>41.34</v>
      </c>
      <c r="H2557">
        <v>567.26</v>
      </c>
      <c r="I2557" s="80">
        <v>9798.82</v>
      </c>
      <c r="J2557">
        <v>18.98</v>
      </c>
      <c r="K2557">
        <v>853.16</v>
      </c>
      <c r="L2557">
        <f t="shared" si="390"/>
        <v>0</v>
      </c>
      <c r="M2557">
        <f t="shared" si="391"/>
        <v>0</v>
      </c>
      <c r="N2557">
        <f t="shared" si="392"/>
        <v>0</v>
      </c>
      <c r="O2557">
        <f t="shared" si="393"/>
        <v>0</v>
      </c>
      <c r="P2557">
        <f t="shared" si="394"/>
        <v>0</v>
      </c>
      <c r="Q2557">
        <f t="shared" si="395"/>
        <v>0</v>
      </c>
      <c r="R2557">
        <f t="shared" si="396"/>
        <v>0</v>
      </c>
      <c r="S2557">
        <f t="shared" si="397"/>
        <v>0</v>
      </c>
      <c r="T2557">
        <f t="shared" si="399"/>
        <v>0</v>
      </c>
      <c r="U2557">
        <f t="shared" si="398"/>
        <v>0</v>
      </c>
    </row>
    <row r="2558" spans="1:21" x14ac:dyDescent="0.25">
      <c r="A2558">
        <v>2557</v>
      </c>
      <c r="B2558">
        <v>2046</v>
      </c>
      <c r="C2558" t="s">
        <v>178</v>
      </c>
      <c r="D2558">
        <v>14.43</v>
      </c>
      <c r="E2558">
        <v>14787.87</v>
      </c>
      <c r="F2558">
        <v>319.5</v>
      </c>
      <c r="G2558">
        <v>45.88</v>
      </c>
      <c r="H2558">
        <v>4975.29</v>
      </c>
      <c r="I2558" s="80">
        <v>12118.41</v>
      </c>
      <c r="J2558">
        <v>39.79</v>
      </c>
      <c r="K2558">
        <v>1323.23</v>
      </c>
      <c r="L2558">
        <f t="shared" si="390"/>
        <v>0</v>
      </c>
      <c r="M2558">
        <f t="shared" si="391"/>
        <v>0</v>
      </c>
      <c r="N2558">
        <f t="shared" si="392"/>
        <v>0</v>
      </c>
      <c r="O2558">
        <f t="shared" si="393"/>
        <v>0</v>
      </c>
      <c r="P2558">
        <f t="shared" si="394"/>
        <v>0</v>
      </c>
      <c r="Q2558">
        <f t="shared" si="395"/>
        <v>0</v>
      </c>
      <c r="R2558">
        <f t="shared" si="396"/>
        <v>0</v>
      </c>
      <c r="S2558">
        <f t="shared" si="397"/>
        <v>0</v>
      </c>
      <c r="T2558">
        <f t="shared" si="399"/>
        <v>0</v>
      </c>
      <c r="U2558">
        <f t="shared" si="398"/>
        <v>0</v>
      </c>
    </row>
    <row r="2559" spans="1:21" x14ac:dyDescent="0.25">
      <c r="A2559">
        <v>2558</v>
      </c>
      <c r="B2559">
        <v>2046</v>
      </c>
      <c r="C2559" t="s">
        <v>163</v>
      </c>
      <c r="D2559">
        <v>19.25</v>
      </c>
      <c r="E2559">
        <v>7830.22</v>
      </c>
      <c r="F2559">
        <v>48.06</v>
      </c>
      <c r="G2559">
        <v>108.48</v>
      </c>
      <c r="H2559">
        <v>8882.48</v>
      </c>
      <c r="I2559" s="80">
        <v>13308.37</v>
      </c>
      <c r="J2559">
        <v>49.52</v>
      </c>
      <c r="K2559" s="80">
        <v>8236.49</v>
      </c>
      <c r="L2559">
        <f t="shared" si="390"/>
        <v>0</v>
      </c>
      <c r="M2559">
        <f t="shared" si="391"/>
        <v>0</v>
      </c>
      <c r="N2559">
        <f t="shared" si="392"/>
        <v>0</v>
      </c>
      <c r="O2559">
        <f t="shared" si="393"/>
        <v>0</v>
      </c>
      <c r="P2559">
        <f t="shared" si="394"/>
        <v>0</v>
      </c>
      <c r="Q2559">
        <f t="shared" si="395"/>
        <v>0</v>
      </c>
      <c r="R2559">
        <f t="shared" si="396"/>
        <v>0</v>
      </c>
      <c r="S2559">
        <f t="shared" si="397"/>
        <v>0</v>
      </c>
      <c r="T2559">
        <f t="shared" si="399"/>
        <v>0</v>
      </c>
      <c r="U2559">
        <f t="shared" si="398"/>
        <v>0</v>
      </c>
    </row>
    <row r="2560" spans="1:21" x14ac:dyDescent="0.25">
      <c r="A2560">
        <v>2559</v>
      </c>
      <c r="B2560">
        <v>2046</v>
      </c>
      <c r="C2560" t="s">
        <v>181</v>
      </c>
      <c r="D2560">
        <v>8.6300000000000008</v>
      </c>
      <c r="E2560" s="80">
        <v>121362.86</v>
      </c>
      <c r="F2560">
        <v>1.05</v>
      </c>
      <c r="G2560">
        <v>50.53</v>
      </c>
      <c r="H2560">
        <v>830.76</v>
      </c>
      <c r="I2560">
        <v>415.31</v>
      </c>
      <c r="J2560">
        <v>33.54</v>
      </c>
      <c r="K2560">
        <v>220.52</v>
      </c>
      <c r="L2560">
        <f t="shared" si="390"/>
        <v>0</v>
      </c>
      <c r="M2560">
        <f t="shared" si="391"/>
        <v>0</v>
      </c>
      <c r="N2560">
        <f t="shared" si="392"/>
        <v>0</v>
      </c>
      <c r="O2560">
        <f t="shared" si="393"/>
        <v>0</v>
      </c>
      <c r="P2560">
        <f t="shared" si="394"/>
        <v>0</v>
      </c>
      <c r="Q2560">
        <f t="shared" si="395"/>
        <v>0</v>
      </c>
      <c r="R2560">
        <f t="shared" si="396"/>
        <v>0</v>
      </c>
      <c r="S2560">
        <f t="shared" si="397"/>
        <v>0</v>
      </c>
      <c r="T2560">
        <f t="shared" si="399"/>
        <v>0</v>
      </c>
      <c r="U2560">
        <f t="shared" si="398"/>
        <v>0</v>
      </c>
    </row>
    <row r="2561" spans="1:21" x14ac:dyDescent="0.25">
      <c r="A2561">
        <v>2560</v>
      </c>
      <c r="B2561">
        <v>2046</v>
      </c>
      <c r="C2561" t="s">
        <v>183</v>
      </c>
      <c r="D2561">
        <v>15.99</v>
      </c>
      <c r="E2561" s="80">
        <v>33739.11</v>
      </c>
      <c r="F2561">
        <v>191.86</v>
      </c>
      <c r="G2561">
        <v>91.58</v>
      </c>
      <c r="H2561">
        <v>8234.89</v>
      </c>
      <c r="I2561" s="80">
        <v>20437.88</v>
      </c>
      <c r="J2561">
        <v>49.52</v>
      </c>
      <c r="K2561" s="80">
        <v>9463.7000000000007</v>
      </c>
      <c r="L2561">
        <f t="shared" si="390"/>
        <v>0</v>
      </c>
      <c r="M2561">
        <f t="shared" si="391"/>
        <v>0</v>
      </c>
      <c r="N2561">
        <f t="shared" si="392"/>
        <v>0</v>
      </c>
      <c r="O2561">
        <f t="shared" si="393"/>
        <v>0</v>
      </c>
      <c r="P2561">
        <f t="shared" si="394"/>
        <v>0</v>
      </c>
      <c r="Q2561">
        <f t="shared" si="395"/>
        <v>0</v>
      </c>
      <c r="R2561">
        <f t="shared" si="396"/>
        <v>0</v>
      </c>
      <c r="S2561">
        <f t="shared" si="397"/>
        <v>0</v>
      </c>
      <c r="T2561">
        <f t="shared" si="399"/>
        <v>0</v>
      </c>
      <c r="U2561">
        <f t="shared" si="398"/>
        <v>0</v>
      </c>
    </row>
    <row r="2562" spans="1:21" x14ac:dyDescent="0.25">
      <c r="A2562">
        <v>2561</v>
      </c>
      <c r="B2562">
        <v>2046</v>
      </c>
      <c r="C2562" t="s">
        <v>186</v>
      </c>
      <c r="D2562">
        <v>19.25</v>
      </c>
      <c r="E2562">
        <v>21850.12</v>
      </c>
      <c r="F2562">
        <v>547.66</v>
      </c>
      <c r="G2562">
        <v>102.76</v>
      </c>
      <c r="H2562" s="80">
        <v>19282.22</v>
      </c>
      <c r="I2562" s="80">
        <v>21634.75</v>
      </c>
      <c r="J2562">
        <v>73.709999999999994</v>
      </c>
      <c r="K2562" s="80">
        <v>14294.01</v>
      </c>
      <c r="L2562">
        <f t="shared" ref="L2562:L2625" si="400">IF(D2562 = "OOR &gt;", 1,0)</f>
        <v>0</v>
      </c>
      <c r="M2562">
        <f t="shared" ref="M2562:M2625" si="401">IF(E2562 = "OOR &gt;", 1,0)</f>
        <v>0</v>
      </c>
      <c r="N2562">
        <f t="shared" ref="N2562:N2625" si="402">IF(F2562 = "OOR &gt;", 1,0)</f>
        <v>0</v>
      </c>
      <c r="O2562">
        <f t="shared" ref="O2562:O2625" si="403">IF(G2562 = "OOR &gt;", 1,0)</f>
        <v>0</v>
      </c>
      <c r="P2562">
        <f t="shared" ref="P2562:P2625" si="404">IF(H2562 = "OOR &gt;", 1,0)</f>
        <v>0</v>
      </c>
      <c r="Q2562">
        <f t="shared" ref="Q2562:Q2625" si="405">IF(I2562 = "OOR &gt;", 1,0)</f>
        <v>0</v>
      </c>
      <c r="R2562">
        <f t="shared" ref="R2562:R2625" si="406">IF(J2562 = "OOR &gt;", 1,0)</f>
        <v>0</v>
      </c>
      <c r="S2562">
        <f t="shared" ref="S2562:S2625" si="407">IF(K2562 = "OOR &gt;", 1,0)</f>
        <v>0</v>
      </c>
      <c r="T2562">
        <f t="shared" si="399"/>
        <v>0</v>
      </c>
      <c r="U2562">
        <f t="shared" ref="U2562:U2625" si="408">IF(T2562 &gt; 0,1,0)</f>
        <v>0</v>
      </c>
    </row>
    <row r="2563" spans="1:21" x14ac:dyDescent="0.25">
      <c r="A2563">
        <v>2562</v>
      </c>
      <c r="B2563">
        <v>2046</v>
      </c>
      <c r="C2563" t="s">
        <v>188</v>
      </c>
      <c r="D2563">
        <v>23.53</v>
      </c>
      <c r="E2563" s="80">
        <v>38882.550000000003</v>
      </c>
      <c r="F2563">
        <v>81.260000000000005</v>
      </c>
      <c r="G2563">
        <v>91.58</v>
      </c>
      <c r="H2563">
        <v>7170.13</v>
      </c>
      <c r="I2563" s="80">
        <v>18936.98</v>
      </c>
      <c r="J2563">
        <v>70.14</v>
      </c>
      <c r="K2563" s="80">
        <v>22467.67</v>
      </c>
      <c r="L2563">
        <f t="shared" si="400"/>
        <v>0</v>
      </c>
      <c r="M2563">
        <f t="shared" si="401"/>
        <v>0</v>
      </c>
      <c r="N2563">
        <f t="shared" si="402"/>
        <v>0</v>
      </c>
      <c r="O2563">
        <f t="shared" si="403"/>
        <v>0</v>
      </c>
      <c r="P2563">
        <f t="shared" si="404"/>
        <v>0</v>
      </c>
      <c r="Q2563">
        <f t="shared" si="405"/>
        <v>0</v>
      </c>
      <c r="R2563">
        <f t="shared" si="406"/>
        <v>0</v>
      </c>
      <c r="S2563">
        <f t="shared" si="407"/>
        <v>0</v>
      </c>
      <c r="T2563">
        <f t="shared" ref="T2563:T2626" si="409">SUMIF(L2563:S2563,"&gt;0")</f>
        <v>0</v>
      </c>
      <c r="U2563">
        <f t="shared" si="408"/>
        <v>0</v>
      </c>
    </row>
    <row r="2564" spans="1:21" x14ac:dyDescent="0.25">
      <c r="A2564">
        <v>2563</v>
      </c>
      <c r="B2564">
        <v>2046</v>
      </c>
      <c r="C2564" t="s">
        <v>182</v>
      </c>
      <c r="D2564">
        <v>3.2</v>
      </c>
      <c r="E2564">
        <v>7763.97</v>
      </c>
      <c r="F2564">
        <v>1.05</v>
      </c>
      <c r="G2564">
        <v>13.6</v>
      </c>
      <c r="H2564">
        <v>454.48</v>
      </c>
      <c r="I2564" s="80">
        <v>4134.29</v>
      </c>
      <c r="J2564">
        <v>13.66</v>
      </c>
      <c r="K2564">
        <v>320.95</v>
      </c>
      <c r="L2564">
        <f t="shared" si="400"/>
        <v>0</v>
      </c>
      <c r="M2564">
        <f t="shared" si="401"/>
        <v>0</v>
      </c>
      <c r="N2564">
        <f t="shared" si="402"/>
        <v>0</v>
      </c>
      <c r="O2564">
        <f t="shared" si="403"/>
        <v>0</v>
      </c>
      <c r="P2564">
        <f t="shared" si="404"/>
        <v>0</v>
      </c>
      <c r="Q2564">
        <f t="shared" si="405"/>
        <v>0</v>
      </c>
      <c r="R2564">
        <f t="shared" si="406"/>
        <v>0</v>
      </c>
      <c r="S2564">
        <f t="shared" si="407"/>
        <v>0</v>
      </c>
      <c r="T2564">
        <f t="shared" si="409"/>
        <v>0</v>
      </c>
      <c r="U2564">
        <f t="shared" si="408"/>
        <v>0</v>
      </c>
    </row>
    <row r="2565" spans="1:21" x14ac:dyDescent="0.25">
      <c r="A2565">
        <v>2564</v>
      </c>
      <c r="B2565">
        <v>2046</v>
      </c>
      <c r="C2565" t="s">
        <v>184</v>
      </c>
      <c r="D2565">
        <v>33.700000000000003</v>
      </c>
      <c r="E2565">
        <v>6877.96</v>
      </c>
      <c r="F2565">
        <v>57.14</v>
      </c>
      <c r="G2565">
        <v>28.51</v>
      </c>
      <c r="H2565">
        <v>14661.18</v>
      </c>
      <c r="I2565" s="80">
        <v>16067.46</v>
      </c>
      <c r="J2565">
        <v>36.64</v>
      </c>
      <c r="K2565">
        <v>1958.15</v>
      </c>
      <c r="L2565">
        <f t="shared" si="400"/>
        <v>0</v>
      </c>
      <c r="M2565">
        <f t="shared" si="401"/>
        <v>0</v>
      </c>
      <c r="N2565">
        <f t="shared" si="402"/>
        <v>0</v>
      </c>
      <c r="O2565">
        <f t="shared" si="403"/>
        <v>0</v>
      </c>
      <c r="P2565">
        <f t="shared" si="404"/>
        <v>0</v>
      </c>
      <c r="Q2565">
        <f t="shared" si="405"/>
        <v>0</v>
      </c>
      <c r="R2565">
        <f t="shared" si="406"/>
        <v>0</v>
      </c>
      <c r="S2565">
        <f t="shared" si="407"/>
        <v>0</v>
      </c>
      <c r="T2565">
        <f t="shared" si="409"/>
        <v>0</v>
      </c>
      <c r="U2565">
        <f t="shared" si="408"/>
        <v>0</v>
      </c>
    </row>
    <row r="2566" spans="1:21" x14ac:dyDescent="0.25">
      <c r="A2566">
        <v>2565</v>
      </c>
      <c r="B2566">
        <v>2046</v>
      </c>
      <c r="C2566" t="s">
        <v>187</v>
      </c>
      <c r="D2566">
        <v>110.43</v>
      </c>
      <c r="E2566">
        <v>3252.06</v>
      </c>
      <c r="F2566">
        <v>53.53</v>
      </c>
      <c r="G2566">
        <v>36.93</v>
      </c>
      <c r="H2566" s="80">
        <v>35796.58</v>
      </c>
      <c r="I2566" s="80">
        <v>12961.94</v>
      </c>
      <c r="J2566">
        <v>38.200000000000003</v>
      </c>
      <c r="K2566">
        <v>6068.73</v>
      </c>
      <c r="L2566">
        <f t="shared" si="400"/>
        <v>0</v>
      </c>
      <c r="M2566">
        <f t="shared" si="401"/>
        <v>0</v>
      </c>
      <c r="N2566">
        <f t="shared" si="402"/>
        <v>0</v>
      </c>
      <c r="O2566">
        <f t="shared" si="403"/>
        <v>0</v>
      </c>
      <c r="P2566">
        <f t="shared" si="404"/>
        <v>0</v>
      </c>
      <c r="Q2566">
        <f t="shared" si="405"/>
        <v>0</v>
      </c>
      <c r="R2566">
        <f t="shared" si="406"/>
        <v>0</v>
      </c>
      <c r="S2566">
        <f t="shared" si="407"/>
        <v>0</v>
      </c>
      <c r="T2566">
        <f t="shared" si="409"/>
        <v>0</v>
      </c>
      <c r="U2566">
        <f t="shared" si="408"/>
        <v>0</v>
      </c>
    </row>
    <row r="2567" spans="1:21" x14ac:dyDescent="0.25">
      <c r="A2567">
        <v>2566</v>
      </c>
      <c r="B2567">
        <v>2046</v>
      </c>
      <c r="C2567" t="s">
        <v>189</v>
      </c>
      <c r="D2567">
        <v>37.619999999999997</v>
      </c>
      <c r="E2567">
        <v>1674.5</v>
      </c>
      <c r="F2567">
        <v>2.29</v>
      </c>
      <c r="G2567">
        <v>17.05</v>
      </c>
      <c r="H2567">
        <v>6075.57</v>
      </c>
      <c r="I2567" s="80">
        <v>5336.06</v>
      </c>
      <c r="J2567">
        <v>16.28</v>
      </c>
      <c r="K2567">
        <v>3765.23</v>
      </c>
      <c r="L2567">
        <f t="shared" si="400"/>
        <v>0</v>
      </c>
      <c r="M2567">
        <f t="shared" si="401"/>
        <v>0</v>
      </c>
      <c r="N2567">
        <f t="shared" si="402"/>
        <v>0</v>
      </c>
      <c r="O2567">
        <f t="shared" si="403"/>
        <v>0</v>
      </c>
      <c r="P2567">
        <f t="shared" si="404"/>
        <v>0</v>
      </c>
      <c r="Q2567">
        <f t="shared" si="405"/>
        <v>0</v>
      </c>
      <c r="R2567">
        <f t="shared" si="406"/>
        <v>0</v>
      </c>
      <c r="S2567">
        <f t="shared" si="407"/>
        <v>0</v>
      </c>
      <c r="T2567">
        <f t="shared" si="409"/>
        <v>0</v>
      </c>
      <c r="U2567">
        <f t="shared" si="408"/>
        <v>0</v>
      </c>
    </row>
    <row r="2568" spans="1:21" x14ac:dyDescent="0.25">
      <c r="A2568">
        <v>2567</v>
      </c>
      <c r="B2568">
        <v>2047</v>
      </c>
      <c r="C2568" t="s">
        <v>162</v>
      </c>
      <c r="D2568">
        <v>7.31</v>
      </c>
      <c r="E2568" s="80">
        <v>402051.41</v>
      </c>
      <c r="F2568">
        <v>1.49</v>
      </c>
      <c r="G2568">
        <v>75.459999999999994</v>
      </c>
      <c r="H2568">
        <v>2.2999999999999998</v>
      </c>
      <c r="I2568">
        <v>9</v>
      </c>
      <c r="J2568">
        <v>30.5</v>
      </c>
      <c r="K2568">
        <v>7.45</v>
      </c>
      <c r="L2568">
        <f t="shared" si="400"/>
        <v>0</v>
      </c>
      <c r="M2568">
        <f t="shared" si="401"/>
        <v>0</v>
      </c>
      <c r="N2568">
        <f t="shared" si="402"/>
        <v>0</v>
      </c>
      <c r="O2568">
        <f t="shared" si="403"/>
        <v>0</v>
      </c>
      <c r="P2568">
        <f t="shared" si="404"/>
        <v>0</v>
      </c>
      <c r="Q2568">
        <f t="shared" si="405"/>
        <v>0</v>
      </c>
      <c r="R2568">
        <f t="shared" si="406"/>
        <v>0</v>
      </c>
      <c r="S2568">
        <f t="shared" si="407"/>
        <v>0</v>
      </c>
      <c r="T2568">
        <f t="shared" si="409"/>
        <v>0</v>
      </c>
      <c r="U2568">
        <f t="shared" si="408"/>
        <v>0</v>
      </c>
    </row>
    <row r="2569" spans="1:21" x14ac:dyDescent="0.25">
      <c r="A2569">
        <v>2568</v>
      </c>
      <c r="B2569">
        <v>2047</v>
      </c>
      <c r="C2569" t="s">
        <v>170</v>
      </c>
      <c r="D2569">
        <v>18.420000000000002</v>
      </c>
      <c r="E2569" s="80">
        <v>38747.81</v>
      </c>
      <c r="F2569">
        <v>288.67</v>
      </c>
      <c r="G2569">
        <v>102.76</v>
      </c>
      <c r="H2569">
        <v>3251.89</v>
      </c>
      <c r="I2569" s="80">
        <v>13018.16</v>
      </c>
      <c r="J2569">
        <v>36.64</v>
      </c>
      <c r="K2569">
        <v>1128.3</v>
      </c>
      <c r="L2569">
        <f t="shared" si="400"/>
        <v>0</v>
      </c>
      <c r="M2569">
        <f t="shared" si="401"/>
        <v>0</v>
      </c>
      <c r="N2569">
        <f t="shared" si="402"/>
        <v>0</v>
      </c>
      <c r="O2569">
        <f t="shared" si="403"/>
        <v>0</v>
      </c>
      <c r="P2569">
        <f t="shared" si="404"/>
        <v>0</v>
      </c>
      <c r="Q2569">
        <f t="shared" si="405"/>
        <v>0</v>
      </c>
      <c r="R2569">
        <f t="shared" si="406"/>
        <v>0</v>
      </c>
      <c r="S2569">
        <f t="shared" si="407"/>
        <v>0</v>
      </c>
      <c r="T2569">
        <f t="shared" si="409"/>
        <v>0</v>
      </c>
      <c r="U2569">
        <f t="shared" si="408"/>
        <v>0</v>
      </c>
    </row>
    <row r="2570" spans="1:21" x14ac:dyDescent="0.25">
      <c r="A2570">
        <v>2569</v>
      </c>
      <c r="B2570">
        <v>2047</v>
      </c>
      <c r="C2570" t="s">
        <v>178</v>
      </c>
      <c r="D2570">
        <v>42.17</v>
      </c>
      <c r="E2570" s="80">
        <v>31397.81</v>
      </c>
      <c r="F2570">
        <v>1386.72</v>
      </c>
      <c r="G2570">
        <v>80.739999999999995</v>
      </c>
      <c r="H2570">
        <v>14029.29</v>
      </c>
      <c r="I2570" s="80">
        <v>16164.48</v>
      </c>
      <c r="J2570">
        <v>29.75</v>
      </c>
      <c r="K2570">
        <v>1501.71</v>
      </c>
      <c r="L2570">
        <f t="shared" si="400"/>
        <v>0</v>
      </c>
      <c r="M2570">
        <f t="shared" si="401"/>
        <v>0</v>
      </c>
      <c r="N2570">
        <f t="shared" si="402"/>
        <v>0</v>
      </c>
      <c r="O2570">
        <f t="shared" si="403"/>
        <v>0</v>
      </c>
      <c r="P2570">
        <f t="shared" si="404"/>
        <v>0</v>
      </c>
      <c r="Q2570">
        <f t="shared" si="405"/>
        <v>0</v>
      </c>
      <c r="R2570">
        <f t="shared" si="406"/>
        <v>0</v>
      </c>
      <c r="S2570">
        <f t="shared" si="407"/>
        <v>0</v>
      </c>
      <c r="T2570">
        <f t="shared" si="409"/>
        <v>0</v>
      </c>
      <c r="U2570">
        <f t="shared" si="408"/>
        <v>0</v>
      </c>
    </row>
    <row r="2571" spans="1:21" x14ac:dyDescent="0.25">
      <c r="A2571">
        <v>2570</v>
      </c>
      <c r="B2571">
        <v>2047</v>
      </c>
      <c r="C2571" t="s">
        <v>163</v>
      </c>
      <c r="D2571">
        <v>46.32</v>
      </c>
      <c r="E2571" s="80">
        <v>35271.57</v>
      </c>
      <c r="F2571">
        <v>611.48</v>
      </c>
      <c r="G2571">
        <v>126.1</v>
      </c>
      <c r="H2571">
        <v>10333.049999999999</v>
      </c>
      <c r="I2571" s="80">
        <v>13573.1</v>
      </c>
      <c r="J2571">
        <v>60.51</v>
      </c>
      <c r="K2571">
        <v>6790.28</v>
      </c>
      <c r="L2571">
        <f t="shared" si="400"/>
        <v>0</v>
      </c>
      <c r="M2571">
        <f t="shared" si="401"/>
        <v>0</v>
      </c>
      <c r="N2571">
        <f t="shared" si="402"/>
        <v>0</v>
      </c>
      <c r="O2571">
        <f t="shared" si="403"/>
        <v>0</v>
      </c>
      <c r="P2571">
        <f t="shared" si="404"/>
        <v>0</v>
      </c>
      <c r="Q2571">
        <f t="shared" si="405"/>
        <v>0</v>
      </c>
      <c r="R2571">
        <f t="shared" si="406"/>
        <v>0</v>
      </c>
      <c r="S2571">
        <f t="shared" si="407"/>
        <v>0</v>
      </c>
      <c r="T2571">
        <f t="shared" si="409"/>
        <v>0</v>
      </c>
      <c r="U2571">
        <f t="shared" si="408"/>
        <v>0</v>
      </c>
    </row>
    <row r="2572" spans="1:21" x14ac:dyDescent="0.25">
      <c r="A2572">
        <v>2571</v>
      </c>
      <c r="B2572">
        <v>2047</v>
      </c>
      <c r="C2572" t="s">
        <v>181</v>
      </c>
      <c r="D2572">
        <v>8.9700000000000006</v>
      </c>
      <c r="E2572" s="80">
        <v>81918.75</v>
      </c>
      <c r="F2572">
        <v>0.57999999999999996</v>
      </c>
      <c r="G2572">
        <v>41.34</v>
      </c>
      <c r="H2572">
        <v>48.88</v>
      </c>
      <c r="I2572">
        <v>188.94</v>
      </c>
      <c r="J2572">
        <v>25.33</v>
      </c>
      <c r="K2572">
        <v>61.5</v>
      </c>
      <c r="L2572">
        <f t="shared" si="400"/>
        <v>0</v>
      </c>
      <c r="M2572">
        <f t="shared" si="401"/>
        <v>0</v>
      </c>
      <c r="N2572">
        <f t="shared" si="402"/>
        <v>0</v>
      </c>
      <c r="O2572">
        <f t="shared" si="403"/>
        <v>0</v>
      </c>
      <c r="P2572">
        <f t="shared" si="404"/>
        <v>0</v>
      </c>
      <c r="Q2572">
        <f t="shared" si="405"/>
        <v>0</v>
      </c>
      <c r="R2572">
        <f t="shared" si="406"/>
        <v>0</v>
      </c>
      <c r="S2572">
        <f t="shared" si="407"/>
        <v>0</v>
      </c>
      <c r="T2572">
        <f t="shared" si="409"/>
        <v>0</v>
      </c>
      <c r="U2572">
        <f t="shared" si="408"/>
        <v>0</v>
      </c>
    </row>
    <row r="2573" spans="1:21" x14ac:dyDescent="0.25">
      <c r="A2573">
        <v>2572</v>
      </c>
      <c r="B2573">
        <v>2047</v>
      </c>
      <c r="C2573" t="s">
        <v>183</v>
      </c>
      <c r="D2573">
        <v>19.670000000000002</v>
      </c>
      <c r="E2573">
        <v>22770.48</v>
      </c>
      <c r="F2573">
        <v>280.35000000000002</v>
      </c>
      <c r="G2573">
        <v>70.27</v>
      </c>
      <c r="H2573">
        <v>2564.64</v>
      </c>
      <c r="I2573" s="80">
        <v>19923.7</v>
      </c>
      <c r="J2573">
        <v>50.35</v>
      </c>
      <c r="K2573">
        <v>6860.22</v>
      </c>
      <c r="L2573">
        <f t="shared" si="400"/>
        <v>0</v>
      </c>
      <c r="M2573">
        <f t="shared" si="401"/>
        <v>0</v>
      </c>
      <c r="N2573">
        <f t="shared" si="402"/>
        <v>0</v>
      </c>
      <c r="O2573">
        <f t="shared" si="403"/>
        <v>0</v>
      </c>
      <c r="P2573">
        <f t="shared" si="404"/>
        <v>0</v>
      </c>
      <c r="Q2573">
        <f t="shared" si="405"/>
        <v>0</v>
      </c>
      <c r="R2573">
        <f t="shared" si="406"/>
        <v>0</v>
      </c>
      <c r="S2573">
        <f t="shared" si="407"/>
        <v>0</v>
      </c>
      <c r="T2573">
        <f t="shared" si="409"/>
        <v>0</v>
      </c>
      <c r="U2573">
        <f t="shared" si="408"/>
        <v>0</v>
      </c>
    </row>
    <row r="2574" spans="1:21" x14ac:dyDescent="0.25">
      <c r="A2574">
        <v>2573</v>
      </c>
      <c r="B2574">
        <v>2047</v>
      </c>
      <c r="C2574" t="s">
        <v>186</v>
      </c>
      <c r="D2574">
        <v>14.82</v>
      </c>
      <c r="E2574">
        <v>14110.48</v>
      </c>
      <c r="F2574">
        <v>685.55</v>
      </c>
      <c r="G2574">
        <v>120.15</v>
      </c>
      <c r="H2574">
        <v>14494.25</v>
      </c>
      <c r="I2574" s="80">
        <v>21000.09</v>
      </c>
      <c r="J2574">
        <v>71.03</v>
      </c>
      <c r="K2574" s="80">
        <v>14543.36</v>
      </c>
      <c r="L2574">
        <f t="shared" si="400"/>
        <v>0</v>
      </c>
      <c r="M2574">
        <f t="shared" si="401"/>
        <v>0</v>
      </c>
      <c r="N2574">
        <f t="shared" si="402"/>
        <v>0</v>
      </c>
      <c r="O2574">
        <f t="shared" si="403"/>
        <v>0</v>
      </c>
      <c r="P2574">
        <f t="shared" si="404"/>
        <v>0</v>
      </c>
      <c r="Q2574">
        <f t="shared" si="405"/>
        <v>0</v>
      </c>
      <c r="R2574">
        <f t="shared" si="406"/>
        <v>0</v>
      </c>
      <c r="S2574">
        <f t="shared" si="407"/>
        <v>0</v>
      </c>
      <c r="T2574">
        <f t="shared" si="409"/>
        <v>0</v>
      </c>
      <c r="U2574">
        <f t="shared" si="408"/>
        <v>0</v>
      </c>
    </row>
    <row r="2575" spans="1:21" x14ac:dyDescent="0.25">
      <c r="A2575">
        <v>2574</v>
      </c>
      <c r="B2575">
        <v>2047</v>
      </c>
      <c r="C2575" t="s">
        <v>188</v>
      </c>
      <c r="D2575">
        <v>24.86</v>
      </c>
      <c r="E2575" s="80">
        <v>38990.870000000003</v>
      </c>
      <c r="F2575">
        <v>141.88999999999999</v>
      </c>
      <c r="G2575">
        <v>138.22</v>
      </c>
      <c r="H2575">
        <v>4775.62</v>
      </c>
      <c r="I2575" s="80">
        <v>18244.849999999999</v>
      </c>
      <c r="J2575">
        <v>83.7</v>
      </c>
      <c r="K2575" s="80">
        <v>22663.1</v>
      </c>
      <c r="L2575">
        <f t="shared" si="400"/>
        <v>0</v>
      </c>
      <c r="M2575">
        <f t="shared" si="401"/>
        <v>0</v>
      </c>
      <c r="N2575">
        <f t="shared" si="402"/>
        <v>0</v>
      </c>
      <c r="O2575">
        <f t="shared" si="403"/>
        <v>0</v>
      </c>
      <c r="P2575">
        <f t="shared" si="404"/>
        <v>0</v>
      </c>
      <c r="Q2575">
        <f t="shared" si="405"/>
        <v>0</v>
      </c>
      <c r="R2575">
        <f t="shared" si="406"/>
        <v>0</v>
      </c>
      <c r="S2575">
        <f t="shared" si="407"/>
        <v>0</v>
      </c>
      <c r="T2575">
        <f t="shared" si="409"/>
        <v>0</v>
      </c>
      <c r="U2575">
        <f t="shared" si="408"/>
        <v>0</v>
      </c>
    </row>
    <row r="2576" spans="1:21" x14ac:dyDescent="0.25">
      <c r="A2576">
        <v>2575</v>
      </c>
      <c r="B2576">
        <v>2047</v>
      </c>
      <c r="C2576" t="s">
        <v>182</v>
      </c>
      <c r="D2576" t="s">
        <v>583</v>
      </c>
      <c r="E2576">
        <v>2935.52</v>
      </c>
      <c r="F2576" t="s">
        <v>583</v>
      </c>
      <c r="G2576">
        <v>4.66</v>
      </c>
      <c r="H2576">
        <v>3.91</v>
      </c>
      <c r="I2576">
        <v>45.72</v>
      </c>
      <c r="J2576" s="80">
        <v>1.1100000000000001</v>
      </c>
      <c r="K2576">
        <v>0.72</v>
      </c>
      <c r="L2576">
        <f t="shared" si="400"/>
        <v>0</v>
      </c>
      <c r="M2576">
        <f t="shared" si="401"/>
        <v>0</v>
      </c>
      <c r="N2576">
        <f t="shared" si="402"/>
        <v>0</v>
      </c>
      <c r="O2576">
        <f t="shared" si="403"/>
        <v>0</v>
      </c>
      <c r="P2576">
        <f t="shared" si="404"/>
        <v>0</v>
      </c>
      <c r="Q2576">
        <f t="shared" si="405"/>
        <v>0</v>
      </c>
      <c r="R2576">
        <f t="shared" si="406"/>
        <v>0</v>
      </c>
      <c r="S2576">
        <f t="shared" si="407"/>
        <v>0</v>
      </c>
      <c r="T2576">
        <f t="shared" si="409"/>
        <v>0</v>
      </c>
      <c r="U2576">
        <f t="shared" si="408"/>
        <v>0</v>
      </c>
    </row>
    <row r="2577" spans="1:21" x14ac:dyDescent="0.25">
      <c r="A2577">
        <v>2576</v>
      </c>
      <c r="B2577">
        <v>2047</v>
      </c>
      <c r="C2577" t="s">
        <v>184</v>
      </c>
      <c r="D2577">
        <v>132.88</v>
      </c>
      <c r="E2577">
        <v>5245.1</v>
      </c>
      <c r="F2577">
        <v>47.91</v>
      </c>
      <c r="G2577">
        <v>86.11</v>
      </c>
      <c r="H2577" s="80">
        <v>19149.900000000001</v>
      </c>
      <c r="I2577" s="80">
        <v>16470.2</v>
      </c>
      <c r="J2577">
        <v>37.42</v>
      </c>
      <c r="K2577">
        <v>3655.29</v>
      </c>
      <c r="L2577">
        <f t="shared" si="400"/>
        <v>0</v>
      </c>
      <c r="M2577">
        <f t="shared" si="401"/>
        <v>0</v>
      </c>
      <c r="N2577">
        <f t="shared" si="402"/>
        <v>0</v>
      </c>
      <c r="O2577">
        <f t="shared" si="403"/>
        <v>0</v>
      </c>
      <c r="P2577">
        <f t="shared" si="404"/>
        <v>0</v>
      </c>
      <c r="Q2577">
        <f t="shared" si="405"/>
        <v>0</v>
      </c>
      <c r="R2577">
        <f t="shared" si="406"/>
        <v>0</v>
      </c>
      <c r="S2577">
        <f t="shared" si="407"/>
        <v>0</v>
      </c>
      <c r="T2577">
        <f t="shared" si="409"/>
        <v>0</v>
      </c>
      <c r="U2577">
        <f t="shared" si="408"/>
        <v>0</v>
      </c>
    </row>
    <row r="2578" spans="1:21" x14ac:dyDescent="0.25">
      <c r="A2578">
        <v>2577</v>
      </c>
      <c r="B2578">
        <v>2047</v>
      </c>
      <c r="C2578" t="s">
        <v>187</v>
      </c>
      <c r="D2578">
        <v>219.89</v>
      </c>
      <c r="E2578">
        <v>4701.2</v>
      </c>
      <c r="F2578">
        <v>69.64</v>
      </c>
      <c r="G2578">
        <v>70.27</v>
      </c>
      <c r="H2578" s="80">
        <v>27929.25</v>
      </c>
      <c r="I2578" s="80">
        <v>13239.78</v>
      </c>
      <c r="J2578">
        <v>55.39</v>
      </c>
      <c r="K2578">
        <v>6029.82</v>
      </c>
      <c r="L2578">
        <f t="shared" si="400"/>
        <v>0</v>
      </c>
      <c r="M2578">
        <f t="shared" si="401"/>
        <v>0</v>
      </c>
      <c r="N2578">
        <f t="shared" si="402"/>
        <v>0</v>
      </c>
      <c r="O2578">
        <f t="shared" si="403"/>
        <v>0</v>
      </c>
      <c r="P2578">
        <f t="shared" si="404"/>
        <v>0</v>
      </c>
      <c r="Q2578">
        <f t="shared" si="405"/>
        <v>0</v>
      </c>
      <c r="R2578">
        <f t="shared" si="406"/>
        <v>0</v>
      </c>
      <c r="S2578">
        <f t="shared" si="407"/>
        <v>0</v>
      </c>
      <c r="T2578">
        <f t="shared" si="409"/>
        <v>0</v>
      </c>
      <c r="U2578">
        <f t="shared" si="408"/>
        <v>0</v>
      </c>
    </row>
    <row r="2579" spans="1:21" x14ac:dyDescent="0.25">
      <c r="A2579">
        <v>2578</v>
      </c>
      <c r="B2579">
        <v>2047</v>
      </c>
      <c r="C2579" t="s">
        <v>189</v>
      </c>
      <c r="D2579">
        <v>52.75</v>
      </c>
      <c r="E2579">
        <v>3094.25</v>
      </c>
      <c r="F2579">
        <v>2.2400000000000002</v>
      </c>
      <c r="G2579">
        <v>60.19</v>
      </c>
      <c r="H2579">
        <v>10934.75</v>
      </c>
      <c r="I2579" s="80">
        <v>6010.58</v>
      </c>
      <c r="J2579">
        <v>32.78</v>
      </c>
      <c r="K2579">
        <v>5475.11</v>
      </c>
      <c r="L2579">
        <f t="shared" si="400"/>
        <v>0</v>
      </c>
      <c r="M2579">
        <f t="shared" si="401"/>
        <v>0</v>
      </c>
      <c r="N2579">
        <f t="shared" si="402"/>
        <v>0</v>
      </c>
      <c r="O2579">
        <f t="shared" si="403"/>
        <v>0</v>
      </c>
      <c r="P2579">
        <f t="shared" si="404"/>
        <v>0</v>
      </c>
      <c r="Q2579">
        <f t="shared" si="405"/>
        <v>0</v>
      </c>
      <c r="R2579">
        <f t="shared" si="406"/>
        <v>0</v>
      </c>
      <c r="S2579">
        <f t="shared" si="407"/>
        <v>0</v>
      </c>
      <c r="T2579">
        <f t="shared" si="409"/>
        <v>0</v>
      </c>
      <c r="U2579">
        <f t="shared" si="408"/>
        <v>0</v>
      </c>
    </row>
    <row r="2580" spans="1:21" x14ac:dyDescent="0.25">
      <c r="A2580">
        <v>2579</v>
      </c>
      <c r="B2580">
        <v>2048</v>
      </c>
      <c r="C2580" t="s">
        <v>162</v>
      </c>
      <c r="D2580">
        <v>4.01</v>
      </c>
      <c r="E2580" s="80">
        <v>28127.85</v>
      </c>
      <c r="F2580">
        <v>0.57999999999999996</v>
      </c>
      <c r="G2580">
        <v>24.53</v>
      </c>
      <c r="H2580">
        <v>1.1000000000000001</v>
      </c>
      <c r="I2580">
        <v>16.22</v>
      </c>
      <c r="J2580">
        <v>11.76</v>
      </c>
      <c r="K2580">
        <v>2.89</v>
      </c>
      <c r="L2580">
        <f t="shared" si="400"/>
        <v>0</v>
      </c>
      <c r="M2580">
        <f t="shared" si="401"/>
        <v>0</v>
      </c>
      <c r="N2580">
        <f t="shared" si="402"/>
        <v>0</v>
      </c>
      <c r="O2580">
        <f t="shared" si="403"/>
        <v>0</v>
      </c>
      <c r="P2580">
        <f t="shared" si="404"/>
        <v>0</v>
      </c>
      <c r="Q2580">
        <f t="shared" si="405"/>
        <v>0</v>
      </c>
      <c r="R2580">
        <f t="shared" si="406"/>
        <v>0</v>
      </c>
      <c r="S2580">
        <f t="shared" si="407"/>
        <v>0</v>
      </c>
      <c r="T2580">
        <f t="shared" si="409"/>
        <v>0</v>
      </c>
      <c r="U2580">
        <f t="shared" si="408"/>
        <v>0</v>
      </c>
    </row>
    <row r="2581" spans="1:21" x14ac:dyDescent="0.25">
      <c r="A2581">
        <v>2580</v>
      </c>
      <c r="B2581">
        <v>2048</v>
      </c>
      <c r="C2581" t="s">
        <v>170</v>
      </c>
      <c r="D2581">
        <v>34.18</v>
      </c>
      <c r="E2581" s="80">
        <v>37772.910000000003</v>
      </c>
      <c r="F2581">
        <v>203.04</v>
      </c>
      <c r="G2581">
        <v>102.76</v>
      </c>
      <c r="H2581">
        <v>2350.1</v>
      </c>
      <c r="I2581" s="80">
        <v>16041.28</v>
      </c>
      <c r="J2581">
        <v>43.79</v>
      </c>
      <c r="K2581">
        <v>1674.08</v>
      </c>
      <c r="L2581">
        <f t="shared" si="400"/>
        <v>0</v>
      </c>
      <c r="M2581">
        <f t="shared" si="401"/>
        <v>0</v>
      </c>
      <c r="N2581">
        <f t="shared" si="402"/>
        <v>0</v>
      </c>
      <c r="O2581">
        <f t="shared" si="403"/>
        <v>0</v>
      </c>
      <c r="P2581">
        <f t="shared" si="404"/>
        <v>0</v>
      </c>
      <c r="Q2581">
        <f t="shared" si="405"/>
        <v>0</v>
      </c>
      <c r="R2581">
        <f t="shared" si="406"/>
        <v>0</v>
      </c>
      <c r="S2581">
        <f t="shared" si="407"/>
        <v>0</v>
      </c>
      <c r="T2581">
        <f t="shared" si="409"/>
        <v>0</v>
      </c>
      <c r="U2581">
        <f t="shared" si="408"/>
        <v>0</v>
      </c>
    </row>
    <row r="2582" spans="1:21" x14ac:dyDescent="0.25">
      <c r="A2582">
        <v>2581</v>
      </c>
      <c r="B2582">
        <v>2048</v>
      </c>
      <c r="C2582" t="s">
        <v>178</v>
      </c>
      <c r="D2582">
        <v>144.16</v>
      </c>
      <c r="E2582" s="80">
        <v>46611.040000000001</v>
      </c>
      <c r="F2582">
        <v>1472.93</v>
      </c>
      <c r="G2582">
        <v>138.22</v>
      </c>
      <c r="H2582" s="80">
        <v>21095.83</v>
      </c>
      <c r="I2582" s="80">
        <v>20473.02</v>
      </c>
      <c r="J2582">
        <v>57.09</v>
      </c>
      <c r="K2582">
        <v>3443.52</v>
      </c>
      <c r="L2582">
        <f t="shared" si="400"/>
        <v>0</v>
      </c>
      <c r="M2582">
        <f t="shared" si="401"/>
        <v>0</v>
      </c>
      <c r="N2582">
        <f t="shared" si="402"/>
        <v>0</v>
      </c>
      <c r="O2582">
        <f t="shared" si="403"/>
        <v>0</v>
      </c>
      <c r="P2582">
        <f t="shared" si="404"/>
        <v>0</v>
      </c>
      <c r="Q2582">
        <f t="shared" si="405"/>
        <v>0</v>
      </c>
      <c r="R2582">
        <f t="shared" si="406"/>
        <v>0</v>
      </c>
      <c r="S2582">
        <f t="shared" si="407"/>
        <v>0</v>
      </c>
      <c r="T2582">
        <f t="shared" si="409"/>
        <v>0</v>
      </c>
      <c r="U2582">
        <f t="shared" si="408"/>
        <v>0</v>
      </c>
    </row>
    <row r="2583" spans="1:21" x14ac:dyDescent="0.25">
      <c r="A2583">
        <v>2582</v>
      </c>
      <c r="B2583">
        <v>2048</v>
      </c>
      <c r="C2583" t="s">
        <v>163</v>
      </c>
      <c r="D2583">
        <v>135.68</v>
      </c>
      <c r="E2583" s="80">
        <v>60570.76</v>
      </c>
      <c r="F2583">
        <v>699.2</v>
      </c>
      <c r="G2583">
        <v>176.26</v>
      </c>
      <c r="H2583">
        <v>9843.58</v>
      </c>
      <c r="I2583" s="80">
        <v>18138.87</v>
      </c>
      <c r="J2583">
        <v>81.86</v>
      </c>
      <c r="K2583" s="80">
        <v>12197.43</v>
      </c>
      <c r="L2583">
        <f t="shared" si="400"/>
        <v>0</v>
      </c>
      <c r="M2583">
        <f t="shared" si="401"/>
        <v>0</v>
      </c>
      <c r="N2583">
        <f t="shared" si="402"/>
        <v>0</v>
      </c>
      <c r="O2583">
        <f t="shared" si="403"/>
        <v>0</v>
      </c>
      <c r="P2583">
        <f t="shared" si="404"/>
        <v>0</v>
      </c>
      <c r="Q2583">
        <f t="shared" si="405"/>
        <v>0</v>
      </c>
      <c r="R2583">
        <f t="shared" si="406"/>
        <v>0</v>
      </c>
      <c r="S2583">
        <f t="shared" si="407"/>
        <v>0</v>
      </c>
      <c r="T2583">
        <f t="shared" si="409"/>
        <v>0</v>
      </c>
      <c r="U2583">
        <f t="shared" si="408"/>
        <v>0</v>
      </c>
    </row>
    <row r="2584" spans="1:21" x14ac:dyDescent="0.25">
      <c r="A2584">
        <v>2583</v>
      </c>
      <c r="B2584">
        <v>2048</v>
      </c>
      <c r="C2584" t="s">
        <v>181</v>
      </c>
      <c r="D2584">
        <v>14.04</v>
      </c>
      <c r="E2584" s="89" t="s">
        <v>582</v>
      </c>
      <c r="F2584">
        <v>0.92</v>
      </c>
      <c r="G2584">
        <v>91.58</v>
      </c>
      <c r="H2584">
        <v>85.03</v>
      </c>
      <c r="I2584">
        <v>234.8</v>
      </c>
      <c r="J2584">
        <v>48.69</v>
      </c>
      <c r="K2584">
        <v>133.33000000000001</v>
      </c>
      <c r="L2584">
        <f t="shared" si="400"/>
        <v>0</v>
      </c>
      <c r="M2584">
        <f t="shared" si="401"/>
        <v>1</v>
      </c>
      <c r="N2584">
        <f t="shared" si="402"/>
        <v>0</v>
      </c>
      <c r="O2584">
        <f t="shared" si="403"/>
        <v>0</v>
      </c>
      <c r="P2584">
        <f t="shared" si="404"/>
        <v>0</v>
      </c>
      <c r="Q2584">
        <f t="shared" si="405"/>
        <v>0</v>
      </c>
      <c r="R2584">
        <f t="shared" si="406"/>
        <v>0</v>
      </c>
      <c r="S2584">
        <f t="shared" si="407"/>
        <v>0</v>
      </c>
      <c r="T2584">
        <f t="shared" si="409"/>
        <v>1</v>
      </c>
      <c r="U2584">
        <f t="shared" si="408"/>
        <v>1</v>
      </c>
    </row>
    <row r="2585" spans="1:21" x14ac:dyDescent="0.25">
      <c r="A2585">
        <v>2584</v>
      </c>
      <c r="B2585">
        <v>2048</v>
      </c>
      <c r="C2585" t="s">
        <v>183</v>
      </c>
      <c r="D2585">
        <v>18.010000000000002</v>
      </c>
      <c r="E2585" s="80">
        <v>75284.960000000006</v>
      </c>
      <c r="F2585">
        <v>1357.06</v>
      </c>
      <c r="G2585">
        <v>126.1</v>
      </c>
      <c r="H2585">
        <v>8628.7000000000007</v>
      </c>
      <c r="I2585" s="80">
        <v>20446.28</v>
      </c>
      <c r="J2585">
        <v>67.489999999999995</v>
      </c>
      <c r="K2585">
        <v>7793.39</v>
      </c>
      <c r="L2585">
        <f t="shared" si="400"/>
        <v>0</v>
      </c>
      <c r="M2585">
        <f t="shared" si="401"/>
        <v>0</v>
      </c>
      <c r="N2585">
        <f t="shared" si="402"/>
        <v>0</v>
      </c>
      <c r="O2585">
        <f t="shared" si="403"/>
        <v>0</v>
      </c>
      <c r="P2585">
        <f t="shared" si="404"/>
        <v>0</v>
      </c>
      <c r="Q2585">
        <f t="shared" si="405"/>
        <v>0</v>
      </c>
      <c r="R2585">
        <f t="shared" si="406"/>
        <v>0</v>
      </c>
      <c r="S2585">
        <f t="shared" si="407"/>
        <v>0</v>
      </c>
      <c r="T2585">
        <f t="shared" si="409"/>
        <v>0</v>
      </c>
      <c r="U2585">
        <f t="shared" si="408"/>
        <v>0</v>
      </c>
    </row>
    <row r="2586" spans="1:21" x14ac:dyDescent="0.25">
      <c r="A2586">
        <v>2585</v>
      </c>
      <c r="B2586">
        <v>2048</v>
      </c>
      <c r="C2586" t="s">
        <v>186</v>
      </c>
      <c r="D2586">
        <v>26.66</v>
      </c>
      <c r="E2586" s="80">
        <v>34719.21</v>
      </c>
      <c r="F2586">
        <v>2143.14</v>
      </c>
      <c r="G2586">
        <v>138.22</v>
      </c>
      <c r="H2586" s="80">
        <v>59964.06</v>
      </c>
      <c r="I2586" s="80">
        <v>22247.14</v>
      </c>
      <c r="J2586">
        <v>92.99</v>
      </c>
      <c r="K2586" s="80">
        <v>21310.13</v>
      </c>
      <c r="L2586">
        <f t="shared" si="400"/>
        <v>0</v>
      </c>
      <c r="M2586">
        <f t="shared" si="401"/>
        <v>0</v>
      </c>
      <c r="N2586">
        <f t="shared" si="402"/>
        <v>0</v>
      </c>
      <c r="O2586">
        <f t="shared" si="403"/>
        <v>0</v>
      </c>
      <c r="P2586">
        <f t="shared" si="404"/>
        <v>0</v>
      </c>
      <c r="Q2586">
        <f t="shared" si="405"/>
        <v>0</v>
      </c>
      <c r="R2586">
        <f t="shared" si="406"/>
        <v>0</v>
      </c>
      <c r="S2586">
        <f t="shared" si="407"/>
        <v>0</v>
      </c>
      <c r="T2586">
        <f t="shared" si="409"/>
        <v>0</v>
      </c>
      <c r="U2586">
        <f t="shared" si="408"/>
        <v>0</v>
      </c>
    </row>
    <row r="2587" spans="1:21" x14ac:dyDescent="0.25">
      <c r="A2587">
        <v>2586</v>
      </c>
      <c r="B2587">
        <v>2048</v>
      </c>
      <c r="C2587" t="s">
        <v>188</v>
      </c>
      <c r="D2587">
        <v>36.14</v>
      </c>
      <c r="E2587" s="89" t="s">
        <v>582</v>
      </c>
      <c r="F2587">
        <v>842.15</v>
      </c>
      <c r="G2587">
        <v>202.91</v>
      </c>
      <c r="H2587">
        <v>11118.51</v>
      </c>
      <c r="I2587" s="80">
        <v>19342.36</v>
      </c>
      <c r="J2587">
        <v>108.24</v>
      </c>
      <c r="K2587" s="80">
        <v>39515.910000000003</v>
      </c>
      <c r="L2587">
        <f t="shared" si="400"/>
        <v>0</v>
      </c>
      <c r="M2587">
        <f t="shared" si="401"/>
        <v>1</v>
      </c>
      <c r="N2587">
        <f t="shared" si="402"/>
        <v>0</v>
      </c>
      <c r="O2587">
        <f t="shared" si="403"/>
        <v>0</v>
      </c>
      <c r="P2587">
        <f t="shared" si="404"/>
        <v>0</v>
      </c>
      <c r="Q2587">
        <f t="shared" si="405"/>
        <v>0</v>
      </c>
      <c r="R2587">
        <f t="shared" si="406"/>
        <v>0</v>
      </c>
      <c r="S2587">
        <f t="shared" si="407"/>
        <v>0</v>
      </c>
      <c r="T2587">
        <f t="shared" si="409"/>
        <v>1</v>
      </c>
      <c r="U2587">
        <f t="shared" si="408"/>
        <v>1</v>
      </c>
    </row>
    <row r="2588" spans="1:21" x14ac:dyDescent="0.25">
      <c r="A2588">
        <v>2587</v>
      </c>
      <c r="B2588">
        <v>2048</v>
      </c>
      <c r="C2588" t="s">
        <v>182</v>
      </c>
      <c r="D2588" t="s">
        <v>583</v>
      </c>
      <c r="E2588">
        <v>1895.93</v>
      </c>
      <c r="F2588" t="s">
        <v>583</v>
      </c>
      <c r="G2588" s="80">
        <v>0.51</v>
      </c>
      <c r="H2588">
        <v>0.87</v>
      </c>
      <c r="I2588">
        <v>0.92</v>
      </c>
      <c r="J2588">
        <v>1.1100000000000001</v>
      </c>
      <c r="K2588">
        <v>0.27</v>
      </c>
      <c r="L2588">
        <f t="shared" si="400"/>
        <v>0</v>
      </c>
      <c r="M2588">
        <f t="shared" si="401"/>
        <v>0</v>
      </c>
      <c r="N2588">
        <f t="shared" si="402"/>
        <v>0</v>
      </c>
      <c r="O2588">
        <f t="shared" si="403"/>
        <v>0</v>
      </c>
      <c r="P2588">
        <f t="shared" si="404"/>
        <v>0</v>
      </c>
      <c r="Q2588">
        <f t="shared" si="405"/>
        <v>0</v>
      </c>
      <c r="R2588">
        <f t="shared" si="406"/>
        <v>0</v>
      </c>
      <c r="S2588">
        <f t="shared" si="407"/>
        <v>0</v>
      </c>
      <c r="T2588">
        <f t="shared" si="409"/>
        <v>0</v>
      </c>
      <c r="U2588">
        <f t="shared" si="408"/>
        <v>0</v>
      </c>
    </row>
    <row r="2589" spans="1:21" x14ac:dyDescent="0.25">
      <c r="A2589" s="50">
        <v>2588</v>
      </c>
      <c r="B2589">
        <v>2048</v>
      </c>
      <c r="C2589" t="s">
        <v>184</v>
      </c>
      <c r="D2589">
        <v>10.35</v>
      </c>
      <c r="E2589">
        <v>2736.68</v>
      </c>
      <c r="F2589">
        <v>89.74</v>
      </c>
      <c r="G2589">
        <v>41.34</v>
      </c>
      <c r="H2589">
        <v>7996.15</v>
      </c>
      <c r="I2589" s="80">
        <v>13952.98</v>
      </c>
      <c r="J2589">
        <v>21.05</v>
      </c>
      <c r="K2589">
        <v>2071.0700000000002</v>
      </c>
      <c r="L2589">
        <f t="shared" si="400"/>
        <v>0</v>
      </c>
      <c r="M2589">
        <f t="shared" si="401"/>
        <v>0</v>
      </c>
      <c r="N2589">
        <f t="shared" si="402"/>
        <v>0</v>
      </c>
      <c r="O2589">
        <f t="shared" si="403"/>
        <v>0</v>
      </c>
      <c r="P2589">
        <f t="shared" si="404"/>
        <v>0</v>
      </c>
      <c r="Q2589">
        <f t="shared" si="405"/>
        <v>0</v>
      </c>
      <c r="R2589">
        <f t="shared" si="406"/>
        <v>0</v>
      </c>
      <c r="S2589">
        <f t="shared" si="407"/>
        <v>0</v>
      </c>
      <c r="T2589">
        <f t="shared" si="409"/>
        <v>0</v>
      </c>
      <c r="U2589">
        <f t="shared" si="408"/>
        <v>0</v>
      </c>
    </row>
    <row r="2590" spans="1:21" x14ac:dyDescent="0.25">
      <c r="A2590">
        <v>2589</v>
      </c>
      <c r="B2590">
        <v>2048</v>
      </c>
      <c r="C2590" t="s">
        <v>187</v>
      </c>
      <c r="D2590">
        <v>43.2</v>
      </c>
      <c r="E2590">
        <v>2837.32</v>
      </c>
      <c r="F2590">
        <v>80.540000000000006</v>
      </c>
      <c r="G2590">
        <v>41.34</v>
      </c>
      <c r="H2590" s="80">
        <v>16529.07</v>
      </c>
      <c r="I2590" s="80">
        <v>9352.82</v>
      </c>
      <c r="J2590">
        <v>25.33</v>
      </c>
      <c r="K2590">
        <v>3698.73</v>
      </c>
      <c r="L2590">
        <f t="shared" si="400"/>
        <v>0</v>
      </c>
      <c r="M2590">
        <f t="shared" si="401"/>
        <v>0</v>
      </c>
      <c r="N2590">
        <f t="shared" si="402"/>
        <v>0</v>
      </c>
      <c r="O2590">
        <f t="shared" si="403"/>
        <v>0</v>
      </c>
      <c r="P2590">
        <f t="shared" si="404"/>
        <v>0</v>
      </c>
      <c r="Q2590">
        <f t="shared" si="405"/>
        <v>0</v>
      </c>
      <c r="R2590">
        <f t="shared" si="406"/>
        <v>0</v>
      </c>
      <c r="S2590">
        <f t="shared" si="407"/>
        <v>0</v>
      </c>
      <c r="T2590">
        <f t="shared" si="409"/>
        <v>0</v>
      </c>
      <c r="U2590">
        <f t="shared" si="408"/>
        <v>0</v>
      </c>
    </row>
    <row r="2591" spans="1:21" x14ac:dyDescent="0.25">
      <c r="A2591">
        <v>2590</v>
      </c>
      <c r="B2591">
        <v>2048</v>
      </c>
      <c r="C2591" t="s">
        <v>189</v>
      </c>
      <c r="D2591">
        <v>6.36</v>
      </c>
      <c r="E2591">
        <v>1972.66</v>
      </c>
      <c r="F2591">
        <v>1.63</v>
      </c>
      <c r="G2591">
        <v>24.53</v>
      </c>
      <c r="H2591">
        <v>7561.69</v>
      </c>
      <c r="I2591" s="80">
        <v>4189.13</v>
      </c>
      <c r="J2591">
        <v>22.46</v>
      </c>
      <c r="K2591">
        <v>3705.67</v>
      </c>
      <c r="L2591">
        <f t="shared" si="400"/>
        <v>0</v>
      </c>
      <c r="M2591">
        <f t="shared" si="401"/>
        <v>0</v>
      </c>
      <c r="N2591">
        <f t="shared" si="402"/>
        <v>0</v>
      </c>
      <c r="O2591">
        <f t="shared" si="403"/>
        <v>0</v>
      </c>
      <c r="P2591">
        <f t="shared" si="404"/>
        <v>0</v>
      </c>
      <c r="Q2591">
        <f t="shared" si="405"/>
        <v>0</v>
      </c>
      <c r="R2591">
        <f t="shared" si="406"/>
        <v>0</v>
      </c>
      <c r="S2591">
        <f t="shared" si="407"/>
        <v>0</v>
      </c>
      <c r="T2591">
        <f t="shared" si="409"/>
        <v>0</v>
      </c>
      <c r="U2591">
        <f t="shared" si="408"/>
        <v>0</v>
      </c>
    </row>
    <row r="2592" spans="1:21" x14ac:dyDescent="0.25">
      <c r="A2592">
        <v>2591</v>
      </c>
      <c r="B2592" t="s">
        <v>101</v>
      </c>
      <c r="C2592" t="s">
        <v>162</v>
      </c>
      <c r="D2592">
        <v>11.79</v>
      </c>
      <c r="E2592" s="89" t="s">
        <v>582</v>
      </c>
      <c r="F2592">
        <v>1.45</v>
      </c>
      <c r="G2592">
        <v>65.180000000000007</v>
      </c>
      <c r="H2592">
        <v>1.56</v>
      </c>
      <c r="I2592">
        <v>7.34</v>
      </c>
      <c r="J2592">
        <v>37.42</v>
      </c>
      <c r="K2592">
        <v>10.99</v>
      </c>
      <c r="L2592">
        <f t="shared" si="400"/>
        <v>0</v>
      </c>
      <c r="M2592">
        <f t="shared" si="401"/>
        <v>1</v>
      </c>
      <c r="N2592">
        <f t="shared" si="402"/>
        <v>0</v>
      </c>
      <c r="O2592">
        <f t="shared" si="403"/>
        <v>0</v>
      </c>
      <c r="P2592">
        <f t="shared" si="404"/>
        <v>0</v>
      </c>
      <c r="Q2592">
        <f t="shared" si="405"/>
        <v>0</v>
      </c>
      <c r="R2592">
        <f t="shared" si="406"/>
        <v>0</v>
      </c>
      <c r="S2592">
        <f t="shared" si="407"/>
        <v>0</v>
      </c>
      <c r="T2592">
        <f t="shared" si="409"/>
        <v>1</v>
      </c>
      <c r="U2592">
        <f t="shared" si="408"/>
        <v>1</v>
      </c>
    </row>
    <row r="2593" spans="1:21" x14ac:dyDescent="0.25">
      <c r="A2593">
        <v>2592</v>
      </c>
      <c r="B2593" t="s">
        <v>101</v>
      </c>
      <c r="C2593" t="s">
        <v>170</v>
      </c>
      <c r="D2593">
        <v>24.86</v>
      </c>
      <c r="E2593" s="80">
        <v>75108.72</v>
      </c>
      <c r="F2593">
        <v>160.38999999999999</v>
      </c>
      <c r="G2593">
        <v>91.58</v>
      </c>
      <c r="H2593">
        <v>1673.84</v>
      </c>
      <c r="I2593" s="80">
        <v>16691.72</v>
      </c>
      <c r="J2593">
        <v>47.05</v>
      </c>
      <c r="K2593">
        <v>3129.72</v>
      </c>
      <c r="L2593">
        <f t="shared" si="400"/>
        <v>0</v>
      </c>
      <c r="M2593">
        <f t="shared" si="401"/>
        <v>0</v>
      </c>
      <c r="N2593">
        <f t="shared" si="402"/>
        <v>0</v>
      </c>
      <c r="O2593">
        <f t="shared" si="403"/>
        <v>0</v>
      </c>
      <c r="P2593">
        <f t="shared" si="404"/>
        <v>0</v>
      </c>
      <c r="Q2593">
        <f t="shared" si="405"/>
        <v>0</v>
      </c>
      <c r="R2593">
        <f t="shared" si="406"/>
        <v>0</v>
      </c>
      <c r="S2593">
        <f t="shared" si="407"/>
        <v>0</v>
      </c>
      <c r="T2593">
        <f t="shared" si="409"/>
        <v>0</v>
      </c>
      <c r="U2593">
        <f t="shared" si="408"/>
        <v>0</v>
      </c>
    </row>
    <row r="2594" spans="1:21" x14ac:dyDescent="0.25">
      <c r="A2594">
        <v>2593</v>
      </c>
      <c r="B2594" t="s">
        <v>101</v>
      </c>
      <c r="C2594" t="s">
        <v>178</v>
      </c>
      <c r="D2594">
        <v>36.14</v>
      </c>
      <c r="E2594" s="80">
        <v>195209.74</v>
      </c>
      <c r="F2594">
        <v>1638.47</v>
      </c>
      <c r="G2594">
        <v>150.63</v>
      </c>
      <c r="H2594">
        <v>12176.64</v>
      </c>
      <c r="I2594" s="80">
        <v>20685.79</v>
      </c>
      <c r="J2594">
        <v>67.489999999999995</v>
      </c>
      <c r="K2594">
        <v>6219.49</v>
      </c>
      <c r="L2594">
        <f t="shared" si="400"/>
        <v>0</v>
      </c>
      <c r="M2594">
        <f t="shared" si="401"/>
        <v>0</v>
      </c>
      <c r="N2594">
        <f t="shared" si="402"/>
        <v>0</v>
      </c>
      <c r="O2594">
        <f t="shared" si="403"/>
        <v>0</v>
      </c>
      <c r="P2594">
        <f t="shared" si="404"/>
        <v>0</v>
      </c>
      <c r="Q2594">
        <f t="shared" si="405"/>
        <v>0</v>
      </c>
      <c r="R2594">
        <f t="shared" si="406"/>
        <v>0</v>
      </c>
      <c r="S2594">
        <f t="shared" si="407"/>
        <v>0</v>
      </c>
      <c r="T2594">
        <f t="shared" si="409"/>
        <v>0</v>
      </c>
      <c r="U2594">
        <f t="shared" si="408"/>
        <v>0</v>
      </c>
    </row>
    <row r="2595" spans="1:21" x14ac:dyDescent="0.25">
      <c r="A2595">
        <v>2594</v>
      </c>
      <c r="B2595" t="s">
        <v>101</v>
      </c>
      <c r="C2595" t="s">
        <v>163</v>
      </c>
      <c r="D2595">
        <v>39.119999999999997</v>
      </c>
      <c r="E2595" s="80">
        <v>157735.48000000001</v>
      </c>
      <c r="F2595">
        <v>739.31</v>
      </c>
      <c r="G2595">
        <v>156.94</v>
      </c>
      <c r="H2595">
        <v>13748.9</v>
      </c>
      <c r="I2595" s="80">
        <v>19872.96</v>
      </c>
      <c r="J2595">
        <v>74.61</v>
      </c>
      <c r="K2595" s="80">
        <v>15920.16</v>
      </c>
      <c r="L2595">
        <f t="shared" si="400"/>
        <v>0</v>
      </c>
      <c r="M2595">
        <f t="shared" si="401"/>
        <v>0</v>
      </c>
      <c r="N2595">
        <f t="shared" si="402"/>
        <v>0</v>
      </c>
      <c r="O2595">
        <f t="shared" si="403"/>
        <v>0</v>
      </c>
      <c r="P2595">
        <f t="shared" si="404"/>
        <v>0</v>
      </c>
      <c r="Q2595">
        <f t="shared" si="405"/>
        <v>0</v>
      </c>
      <c r="R2595">
        <f t="shared" si="406"/>
        <v>0</v>
      </c>
      <c r="S2595">
        <f t="shared" si="407"/>
        <v>0</v>
      </c>
      <c r="T2595">
        <f t="shared" si="409"/>
        <v>0</v>
      </c>
      <c r="U2595">
        <f t="shared" si="408"/>
        <v>0</v>
      </c>
    </row>
    <row r="2596" spans="1:21" x14ac:dyDescent="0.25">
      <c r="A2596">
        <v>2595</v>
      </c>
      <c r="B2596" t="s">
        <v>101</v>
      </c>
      <c r="C2596" t="s">
        <v>181</v>
      </c>
      <c r="D2596">
        <v>14.82</v>
      </c>
      <c r="E2596" s="89" t="s">
        <v>582</v>
      </c>
      <c r="F2596">
        <v>0.42</v>
      </c>
      <c r="G2596">
        <v>65.180000000000007</v>
      </c>
      <c r="H2596">
        <v>2.56</v>
      </c>
      <c r="I2596">
        <v>21.11</v>
      </c>
      <c r="J2596">
        <v>34.31</v>
      </c>
      <c r="K2596">
        <v>41.48</v>
      </c>
      <c r="L2596">
        <f t="shared" si="400"/>
        <v>0</v>
      </c>
      <c r="M2596">
        <f t="shared" si="401"/>
        <v>1</v>
      </c>
      <c r="N2596">
        <f t="shared" si="402"/>
        <v>0</v>
      </c>
      <c r="O2596">
        <f t="shared" si="403"/>
        <v>0</v>
      </c>
      <c r="P2596">
        <f t="shared" si="404"/>
        <v>0</v>
      </c>
      <c r="Q2596">
        <f t="shared" si="405"/>
        <v>0</v>
      </c>
      <c r="R2596">
        <f t="shared" si="406"/>
        <v>0</v>
      </c>
      <c r="S2596">
        <f t="shared" si="407"/>
        <v>0</v>
      </c>
      <c r="T2596">
        <f t="shared" si="409"/>
        <v>1</v>
      </c>
      <c r="U2596">
        <f t="shared" si="408"/>
        <v>1</v>
      </c>
    </row>
    <row r="2597" spans="1:21" x14ac:dyDescent="0.25">
      <c r="A2597">
        <v>2596</v>
      </c>
      <c r="B2597" t="s">
        <v>101</v>
      </c>
      <c r="C2597" t="s">
        <v>183</v>
      </c>
      <c r="D2597">
        <v>21.36</v>
      </c>
      <c r="E2597" s="80">
        <v>107255.63</v>
      </c>
      <c r="F2597">
        <v>305.35000000000002</v>
      </c>
      <c r="G2597">
        <v>144.38999999999999</v>
      </c>
      <c r="H2597">
        <v>5271.3</v>
      </c>
      <c r="I2597" s="80">
        <v>20208.41</v>
      </c>
      <c r="J2597">
        <v>67.489999999999995</v>
      </c>
      <c r="K2597" s="80">
        <v>9239.52</v>
      </c>
      <c r="L2597">
        <f t="shared" si="400"/>
        <v>0</v>
      </c>
      <c r="M2597">
        <f t="shared" si="401"/>
        <v>0</v>
      </c>
      <c r="N2597">
        <f t="shared" si="402"/>
        <v>0</v>
      </c>
      <c r="O2597">
        <f t="shared" si="403"/>
        <v>0</v>
      </c>
      <c r="P2597">
        <f t="shared" si="404"/>
        <v>0</v>
      </c>
      <c r="Q2597">
        <f t="shared" si="405"/>
        <v>0</v>
      </c>
      <c r="R2597">
        <f t="shared" si="406"/>
        <v>0</v>
      </c>
      <c r="S2597">
        <f t="shared" si="407"/>
        <v>0</v>
      </c>
      <c r="T2597">
        <f t="shared" si="409"/>
        <v>0</v>
      </c>
      <c r="U2597">
        <f t="shared" si="408"/>
        <v>0</v>
      </c>
    </row>
    <row r="2598" spans="1:21" x14ac:dyDescent="0.25">
      <c r="A2598">
        <v>2597</v>
      </c>
      <c r="B2598" t="s">
        <v>101</v>
      </c>
      <c r="C2598" t="s">
        <v>186</v>
      </c>
      <c r="D2598">
        <v>31.3</v>
      </c>
      <c r="E2598" s="80">
        <v>41440.239999999998</v>
      </c>
      <c r="F2598">
        <v>1609.84</v>
      </c>
      <c r="G2598">
        <v>163.31</v>
      </c>
      <c r="H2598" s="80">
        <v>24434.86</v>
      </c>
      <c r="I2598" s="80">
        <v>23820.06</v>
      </c>
      <c r="J2598">
        <v>89.25</v>
      </c>
      <c r="K2598" s="89" t="s">
        <v>582</v>
      </c>
      <c r="L2598">
        <f t="shared" si="400"/>
        <v>0</v>
      </c>
      <c r="M2598">
        <f t="shared" si="401"/>
        <v>0</v>
      </c>
      <c r="N2598">
        <f t="shared" si="402"/>
        <v>0</v>
      </c>
      <c r="O2598">
        <f t="shared" si="403"/>
        <v>0</v>
      </c>
      <c r="P2598">
        <f t="shared" si="404"/>
        <v>0</v>
      </c>
      <c r="Q2598">
        <f t="shared" si="405"/>
        <v>0</v>
      </c>
      <c r="R2598">
        <f t="shared" si="406"/>
        <v>0</v>
      </c>
      <c r="S2598">
        <f t="shared" si="407"/>
        <v>1</v>
      </c>
      <c r="T2598">
        <f t="shared" si="409"/>
        <v>1</v>
      </c>
      <c r="U2598">
        <f t="shared" si="408"/>
        <v>1</v>
      </c>
    </row>
    <row r="2599" spans="1:21" x14ac:dyDescent="0.25">
      <c r="A2599">
        <v>2598</v>
      </c>
      <c r="B2599" t="s">
        <v>101</v>
      </c>
      <c r="C2599" t="s">
        <v>188</v>
      </c>
      <c r="D2599">
        <v>28.49</v>
      </c>
      <c r="E2599" s="80">
        <v>160380.57</v>
      </c>
      <c r="F2599">
        <v>73.25</v>
      </c>
      <c r="G2599">
        <v>138.22</v>
      </c>
      <c r="H2599">
        <v>5215.6899999999996</v>
      </c>
      <c r="I2599" s="80">
        <v>19307.849999999999</v>
      </c>
      <c r="J2599">
        <v>100.56</v>
      </c>
      <c r="K2599" s="80">
        <v>22770.35</v>
      </c>
      <c r="L2599">
        <f t="shared" si="400"/>
        <v>0</v>
      </c>
      <c r="M2599">
        <f t="shared" si="401"/>
        <v>0</v>
      </c>
      <c r="N2599">
        <f t="shared" si="402"/>
        <v>0</v>
      </c>
      <c r="O2599">
        <f t="shared" si="403"/>
        <v>0</v>
      </c>
      <c r="P2599">
        <f t="shared" si="404"/>
        <v>0</v>
      </c>
      <c r="Q2599">
        <f t="shared" si="405"/>
        <v>0</v>
      </c>
      <c r="R2599">
        <f t="shared" si="406"/>
        <v>0</v>
      </c>
      <c r="S2599">
        <f t="shared" si="407"/>
        <v>0</v>
      </c>
      <c r="T2599">
        <f t="shared" si="409"/>
        <v>0</v>
      </c>
      <c r="U2599">
        <f t="shared" si="408"/>
        <v>0</v>
      </c>
    </row>
    <row r="2600" spans="1:21" x14ac:dyDescent="0.25">
      <c r="A2600">
        <v>2599</v>
      </c>
      <c r="B2600" t="s">
        <v>101</v>
      </c>
      <c r="C2600" t="s">
        <v>182</v>
      </c>
      <c r="D2600">
        <v>0.75</v>
      </c>
      <c r="E2600">
        <v>2665.54</v>
      </c>
      <c r="F2600">
        <v>0.27</v>
      </c>
      <c r="G2600">
        <v>17.05</v>
      </c>
      <c r="H2600">
        <v>1.32</v>
      </c>
      <c r="I2600">
        <v>47.16</v>
      </c>
      <c r="J2600">
        <v>2.85</v>
      </c>
      <c r="K2600">
        <v>1.26</v>
      </c>
      <c r="L2600">
        <f t="shared" si="400"/>
        <v>0</v>
      </c>
      <c r="M2600">
        <f t="shared" si="401"/>
        <v>0</v>
      </c>
      <c r="N2600">
        <f t="shared" si="402"/>
        <v>0</v>
      </c>
      <c r="O2600">
        <f t="shared" si="403"/>
        <v>0</v>
      </c>
      <c r="P2600">
        <f t="shared" si="404"/>
        <v>0</v>
      </c>
      <c r="Q2600">
        <f t="shared" si="405"/>
        <v>0</v>
      </c>
      <c r="R2600">
        <f t="shared" si="406"/>
        <v>0</v>
      </c>
      <c r="S2600">
        <f t="shared" si="407"/>
        <v>0</v>
      </c>
      <c r="T2600">
        <f t="shared" si="409"/>
        <v>0</v>
      </c>
      <c r="U2600">
        <f t="shared" si="408"/>
        <v>0</v>
      </c>
    </row>
    <row r="2601" spans="1:21" x14ac:dyDescent="0.25">
      <c r="A2601">
        <v>2600</v>
      </c>
      <c r="B2601" t="s">
        <v>101</v>
      </c>
      <c r="C2601" t="s">
        <v>184</v>
      </c>
      <c r="D2601">
        <v>8.9700000000000006</v>
      </c>
      <c r="E2601">
        <v>8743.43</v>
      </c>
      <c r="F2601">
        <v>79.260000000000005</v>
      </c>
      <c r="G2601">
        <v>80.739999999999995</v>
      </c>
      <c r="H2601">
        <v>7341.9</v>
      </c>
      <c r="I2601" s="80">
        <v>16269.5</v>
      </c>
      <c r="J2601">
        <v>28.26</v>
      </c>
      <c r="K2601">
        <v>3004.88</v>
      </c>
      <c r="L2601">
        <f t="shared" si="400"/>
        <v>0</v>
      </c>
      <c r="M2601">
        <f t="shared" si="401"/>
        <v>0</v>
      </c>
      <c r="N2601">
        <f t="shared" si="402"/>
        <v>0</v>
      </c>
      <c r="O2601">
        <f t="shared" si="403"/>
        <v>0</v>
      </c>
      <c r="P2601">
        <f t="shared" si="404"/>
        <v>0</v>
      </c>
      <c r="Q2601">
        <f t="shared" si="405"/>
        <v>0</v>
      </c>
      <c r="R2601">
        <f t="shared" si="406"/>
        <v>0</v>
      </c>
      <c r="S2601">
        <f t="shared" si="407"/>
        <v>0</v>
      </c>
      <c r="T2601">
        <f t="shared" si="409"/>
        <v>0</v>
      </c>
      <c r="U2601">
        <f t="shared" si="408"/>
        <v>0</v>
      </c>
    </row>
    <row r="2602" spans="1:21" x14ac:dyDescent="0.25">
      <c r="A2602">
        <v>2601</v>
      </c>
      <c r="B2602" t="s">
        <v>101</v>
      </c>
      <c r="C2602" t="s">
        <v>187</v>
      </c>
      <c r="D2602">
        <v>17.2</v>
      </c>
      <c r="E2602">
        <v>14300.15</v>
      </c>
      <c r="F2602">
        <v>281.38</v>
      </c>
      <c r="G2602">
        <v>86.11</v>
      </c>
      <c r="H2602" s="80">
        <v>25854.6</v>
      </c>
      <c r="I2602" s="80">
        <v>18887.060000000001</v>
      </c>
      <c r="J2602">
        <v>67.489999999999995</v>
      </c>
      <c r="K2602" s="80">
        <v>9368.3700000000008</v>
      </c>
      <c r="L2602">
        <f t="shared" si="400"/>
        <v>0</v>
      </c>
      <c r="M2602">
        <f t="shared" si="401"/>
        <v>0</v>
      </c>
      <c r="N2602">
        <f t="shared" si="402"/>
        <v>0</v>
      </c>
      <c r="O2602">
        <f t="shared" si="403"/>
        <v>0</v>
      </c>
      <c r="P2602">
        <f t="shared" si="404"/>
        <v>0</v>
      </c>
      <c r="Q2602">
        <f t="shared" si="405"/>
        <v>0</v>
      </c>
      <c r="R2602">
        <f t="shared" si="406"/>
        <v>0</v>
      </c>
      <c r="S2602">
        <f t="shared" si="407"/>
        <v>0</v>
      </c>
      <c r="T2602">
        <f t="shared" si="409"/>
        <v>0</v>
      </c>
      <c r="U2602">
        <f t="shared" si="408"/>
        <v>0</v>
      </c>
    </row>
    <row r="2603" spans="1:21" x14ac:dyDescent="0.25">
      <c r="A2603">
        <v>2602</v>
      </c>
      <c r="B2603" t="s">
        <v>101</v>
      </c>
      <c r="C2603" t="s">
        <v>189</v>
      </c>
      <c r="D2603">
        <v>11.79</v>
      </c>
      <c r="E2603">
        <v>6450.32</v>
      </c>
      <c r="F2603">
        <v>4.1500000000000004</v>
      </c>
      <c r="G2603">
        <v>80.739999999999995</v>
      </c>
      <c r="H2603">
        <v>9267.5</v>
      </c>
      <c r="I2603" s="80">
        <v>7964.99</v>
      </c>
      <c r="J2603">
        <v>47.05</v>
      </c>
      <c r="K2603" s="80">
        <v>9428.11</v>
      </c>
      <c r="L2603">
        <f t="shared" si="400"/>
        <v>0</v>
      </c>
      <c r="M2603">
        <f t="shared" si="401"/>
        <v>0</v>
      </c>
      <c r="N2603">
        <f t="shared" si="402"/>
        <v>0</v>
      </c>
      <c r="O2603">
        <f t="shared" si="403"/>
        <v>0</v>
      </c>
      <c r="P2603">
        <f t="shared" si="404"/>
        <v>0</v>
      </c>
      <c r="Q2603">
        <f t="shared" si="405"/>
        <v>0</v>
      </c>
      <c r="R2603">
        <f t="shared" si="406"/>
        <v>0</v>
      </c>
      <c r="S2603">
        <f t="shared" si="407"/>
        <v>0</v>
      </c>
      <c r="T2603">
        <f t="shared" si="409"/>
        <v>0</v>
      </c>
      <c r="U2603">
        <f t="shared" si="408"/>
        <v>0</v>
      </c>
    </row>
    <row r="2604" spans="1:21" x14ac:dyDescent="0.25">
      <c r="A2604">
        <v>2603</v>
      </c>
      <c r="B2604">
        <v>2049</v>
      </c>
      <c r="C2604" t="s">
        <v>162</v>
      </c>
      <c r="D2604">
        <v>11.79</v>
      </c>
      <c r="E2604" s="89" t="s">
        <v>582</v>
      </c>
      <c r="F2604">
        <v>1.54</v>
      </c>
      <c r="G2604">
        <v>75.459999999999994</v>
      </c>
      <c r="H2604">
        <v>2.56</v>
      </c>
      <c r="I2604">
        <v>50.42</v>
      </c>
      <c r="J2604">
        <v>29.75</v>
      </c>
      <c r="K2604">
        <v>18.3</v>
      </c>
      <c r="L2604">
        <f t="shared" si="400"/>
        <v>0</v>
      </c>
      <c r="M2604">
        <f t="shared" si="401"/>
        <v>1</v>
      </c>
      <c r="N2604">
        <f t="shared" si="402"/>
        <v>0</v>
      </c>
      <c r="O2604">
        <f t="shared" si="403"/>
        <v>0</v>
      </c>
      <c r="P2604">
        <f t="shared" si="404"/>
        <v>0</v>
      </c>
      <c r="Q2604">
        <f t="shared" si="405"/>
        <v>0</v>
      </c>
      <c r="R2604">
        <f t="shared" si="406"/>
        <v>0</v>
      </c>
      <c r="S2604">
        <f t="shared" si="407"/>
        <v>0</v>
      </c>
      <c r="T2604">
        <f t="shared" si="409"/>
        <v>1</v>
      </c>
      <c r="U2604">
        <f t="shared" si="408"/>
        <v>1</v>
      </c>
    </row>
    <row r="2605" spans="1:21" x14ac:dyDescent="0.25">
      <c r="A2605">
        <v>2604</v>
      </c>
      <c r="B2605">
        <v>2049</v>
      </c>
      <c r="C2605" t="s">
        <v>170</v>
      </c>
      <c r="D2605">
        <v>213.52</v>
      </c>
      <c r="E2605" s="80">
        <v>70331.17</v>
      </c>
      <c r="F2605">
        <v>235.4</v>
      </c>
      <c r="G2605">
        <v>114.28</v>
      </c>
      <c r="H2605">
        <v>5458.19</v>
      </c>
      <c r="I2605" s="80">
        <v>18630.669999999998</v>
      </c>
      <c r="J2605">
        <v>60.51</v>
      </c>
      <c r="K2605">
        <v>4275.08</v>
      </c>
      <c r="L2605">
        <f t="shared" si="400"/>
        <v>0</v>
      </c>
      <c r="M2605">
        <f t="shared" si="401"/>
        <v>0</v>
      </c>
      <c r="N2605">
        <f t="shared" si="402"/>
        <v>0</v>
      </c>
      <c r="O2605">
        <f t="shared" si="403"/>
        <v>0</v>
      </c>
      <c r="P2605">
        <f t="shared" si="404"/>
        <v>0</v>
      </c>
      <c r="Q2605">
        <f t="shared" si="405"/>
        <v>0</v>
      </c>
      <c r="R2605">
        <f t="shared" si="406"/>
        <v>0</v>
      </c>
      <c r="S2605">
        <f t="shared" si="407"/>
        <v>0</v>
      </c>
      <c r="T2605">
        <f t="shared" si="409"/>
        <v>0</v>
      </c>
      <c r="U2605">
        <f t="shared" si="408"/>
        <v>0</v>
      </c>
    </row>
    <row r="2606" spans="1:21" x14ac:dyDescent="0.25">
      <c r="A2606">
        <v>2605</v>
      </c>
      <c r="B2606">
        <v>2049</v>
      </c>
      <c r="C2606" t="s">
        <v>178</v>
      </c>
      <c r="D2606">
        <v>440.07</v>
      </c>
      <c r="E2606" s="80">
        <v>56239.67</v>
      </c>
      <c r="F2606">
        <v>1544.09</v>
      </c>
      <c r="G2606">
        <v>156.94</v>
      </c>
      <c r="H2606" s="80">
        <v>34261.040000000001</v>
      </c>
      <c r="I2606" s="80">
        <v>20617.59</v>
      </c>
      <c r="J2606">
        <v>78.22</v>
      </c>
      <c r="K2606">
        <v>6717.41</v>
      </c>
      <c r="L2606">
        <f t="shared" si="400"/>
        <v>0</v>
      </c>
      <c r="M2606">
        <f t="shared" si="401"/>
        <v>0</v>
      </c>
      <c r="N2606">
        <f t="shared" si="402"/>
        <v>0</v>
      </c>
      <c r="O2606">
        <f t="shared" si="403"/>
        <v>0</v>
      </c>
      <c r="P2606">
        <f t="shared" si="404"/>
        <v>0</v>
      </c>
      <c r="Q2606">
        <f t="shared" si="405"/>
        <v>0</v>
      </c>
      <c r="R2606">
        <f t="shared" si="406"/>
        <v>0</v>
      </c>
      <c r="S2606">
        <f t="shared" si="407"/>
        <v>0</v>
      </c>
      <c r="T2606">
        <f t="shared" si="409"/>
        <v>0</v>
      </c>
      <c r="U2606">
        <f t="shared" si="408"/>
        <v>0</v>
      </c>
    </row>
    <row r="2607" spans="1:21" x14ac:dyDescent="0.25">
      <c r="A2607">
        <v>2606</v>
      </c>
      <c r="B2607">
        <v>2049</v>
      </c>
      <c r="C2607" t="s">
        <v>163</v>
      </c>
      <c r="D2607">
        <v>90.4</v>
      </c>
      <c r="E2607" s="80">
        <v>56239.67</v>
      </c>
      <c r="F2607">
        <v>609</v>
      </c>
      <c r="G2607">
        <v>223.52</v>
      </c>
      <c r="H2607" s="80">
        <v>40886.160000000003</v>
      </c>
      <c r="I2607" s="80">
        <v>21280.31</v>
      </c>
      <c r="J2607">
        <v>100.56</v>
      </c>
      <c r="K2607" s="80">
        <v>29686.83</v>
      </c>
      <c r="L2607">
        <f t="shared" si="400"/>
        <v>0</v>
      </c>
      <c r="M2607">
        <f t="shared" si="401"/>
        <v>0</v>
      </c>
      <c r="N2607">
        <f t="shared" si="402"/>
        <v>0</v>
      </c>
      <c r="O2607">
        <f t="shared" si="403"/>
        <v>0</v>
      </c>
      <c r="P2607">
        <f t="shared" si="404"/>
        <v>0</v>
      </c>
      <c r="Q2607">
        <f t="shared" si="405"/>
        <v>0</v>
      </c>
      <c r="R2607">
        <f t="shared" si="406"/>
        <v>0</v>
      </c>
      <c r="S2607">
        <f t="shared" si="407"/>
        <v>0</v>
      </c>
      <c r="T2607">
        <f t="shared" si="409"/>
        <v>0</v>
      </c>
      <c r="U2607">
        <f t="shared" si="408"/>
        <v>0</v>
      </c>
    </row>
    <row r="2608" spans="1:21" x14ac:dyDescent="0.25">
      <c r="A2608">
        <v>2607</v>
      </c>
      <c r="B2608">
        <v>2049</v>
      </c>
      <c r="C2608" t="s">
        <v>181</v>
      </c>
      <c r="D2608">
        <v>14.04</v>
      </c>
      <c r="E2608" s="89" t="s">
        <v>582</v>
      </c>
      <c r="F2608">
        <v>0.67</v>
      </c>
      <c r="G2608">
        <v>60.19</v>
      </c>
      <c r="H2608">
        <v>294.11</v>
      </c>
      <c r="I2608">
        <v>731.68</v>
      </c>
      <c r="J2608">
        <v>40.58</v>
      </c>
      <c r="K2608">
        <v>233.67</v>
      </c>
      <c r="L2608">
        <f t="shared" si="400"/>
        <v>0</v>
      </c>
      <c r="M2608">
        <f t="shared" si="401"/>
        <v>1</v>
      </c>
      <c r="N2608">
        <f t="shared" si="402"/>
        <v>0</v>
      </c>
      <c r="O2608">
        <f t="shared" si="403"/>
        <v>0</v>
      </c>
      <c r="P2608">
        <f t="shared" si="404"/>
        <v>0</v>
      </c>
      <c r="Q2608">
        <f t="shared" si="405"/>
        <v>0</v>
      </c>
      <c r="R2608">
        <f t="shared" si="406"/>
        <v>0</v>
      </c>
      <c r="S2608">
        <f t="shared" si="407"/>
        <v>0</v>
      </c>
      <c r="T2608">
        <f t="shared" si="409"/>
        <v>1</v>
      </c>
      <c r="U2608">
        <f t="shared" si="408"/>
        <v>1</v>
      </c>
    </row>
    <row r="2609" spans="1:21" x14ac:dyDescent="0.25">
      <c r="A2609">
        <v>2608</v>
      </c>
      <c r="B2609">
        <v>2049</v>
      </c>
      <c r="C2609" t="s">
        <v>183</v>
      </c>
      <c r="D2609">
        <v>14.82</v>
      </c>
      <c r="E2609">
        <v>20153.16</v>
      </c>
      <c r="F2609">
        <v>318.76</v>
      </c>
      <c r="G2609">
        <v>108.48</v>
      </c>
      <c r="H2609">
        <v>6424.71</v>
      </c>
      <c r="I2609" s="80">
        <v>18531.38</v>
      </c>
      <c r="J2609">
        <v>55.39</v>
      </c>
      <c r="K2609">
        <v>5813.99</v>
      </c>
      <c r="L2609">
        <f t="shared" si="400"/>
        <v>0</v>
      </c>
      <c r="M2609">
        <f t="shared" si="401"/>
        <v>0</v>
      </c>
      <c r="N2609">
        <f t="shared" si="402"/>
        <v>0</v>
      </c>
      <c r="O2609">
        <f t="shared" si="403"/>
        <v>0</v>
      </c>
      <c r="P2609">
        <f t="shared" si="404"/>
        <v>0</v>
      </c>
      <c r="Q2609">
        <f t="shared" si="405"/>
        <v>0</v>
      </c>
      <c r="R2609">
        <f t="shared" si="406"/>
        <v>0</v>
      </c>
      <c r="S2609">
        <f t="shared" si="407"/>
        <v>0</v>
      </c>
      <c r="T2609">
        <f t="shared" si="409"/>
        <v>0</v>
      </c>
      <c r="U2609">
        <f t="shared" si="408"/>
        <v>0</v>
      </c>
    </row>
    <row r="2610" spans="1:21" x14ac:dyDescent="0.25">
      <c r="A2610">
        <v>2609</v>
      </c>
      <c r="B2610">
        <v>2049</v>
      </c>
      <c r="C2610" t="s">
        <v>186</v>
      </c>
      <c r="D2610">
        <v>14.82</v>
      </c>
      <c r="E2610">
        <v>13442.92</v>
      </c>
      <c r="F2610">
        <v>521.41</v>
      </c>
      <c r="G2610">
        <v>102.76</v>
      </c>
      <c r="H2610" s="80">
        <v>19912.46</v>
      </c>
      <c r="I2610" s="80">
        <v>19912.330000000002</v>
      </c>
      <c r="J2610">
        <v>57.09</v>
      </c>
      <c r="K2610" s="80">
        <v>10948.57</v>
      </c>
      <c r="L2610">
        <f t="shared" si="400"/>
        <v>0</v>
      </c>
      <c r="M2610">
        <f t="shared" si="401"/>
        <v>0</v>
      </c>
      <c r="N2610">
        <f t="shared" si="402"/>
        <v>0</v>
      </c>
      <c r="O2610">
        <f t="shared" si="403"/>
        <v>0</v>
      </c>
      <c r="P2610">
        <f t="shared" si="404"/>
        <v>0</v>
      </c>
      <c r="Q2610">
        <f t="shared" si="405"/>
        <v>0</v>
      </c>
      <c r="R2610">
        <f t="shared" si="406"/>
        <v>0</v>
      </c>
      <c r="S2610">
        <f t="shared" si="407"/>
        <v>0</v>
      </c>
      <c r="T2610">
        <f t="shared" si="409"/>
        <v>0</v>
      </c>
      <c r="U2610">
        <f t="shared" si="408"/>
        <v>0</v>
      </c>
    </row>
    <row r="2611" spans="1:21" x14ac:dyDescent="0.25">
      <c r="A2611">
        <v>2610</v>
      </c>
      <c r="B2611">
        <v>2049</v>
      </c>
      <c r="C2611" t="s">
        <v>188</v>
      </c>
      <c r="D2611">
        <v>19.670000000000002</v>
      </c>
      <c r="E2611" s="80">
        <v>44955.35</v>
      </c>
      <c r="F2611">
        <v>191.11</v>
      </c>
      <c r="G2611">
        <v>102.76</v>
      </c>
      <c r="H2611">
        <v>11857.18</v>
      </c>
      <c r="I2611" s="80">
        <v>19644.79</v>
      </c>
      <c r="J2611">
        <v>89.25</v>
      </c>
      <c r="K2611" s="80">
        <v>16418.13</v>
      </c>
      <c r="L2611">
        <f t="shared" si="400"/>
        <v>0</v>
      </c>
      <c r="M2611">
        <f t="shared" si="401"/>
        <v>0</v>
      </c>
      <c r="N2611">
        <f t="shared" si="402"/>
        <v>0</v>
      </c>
      <c r="O2611">
        <f t="shared" si="403"/>
        <v>0</v>
      </c>
      <c r="P2611">
        <f t="shared" si="404"/>
        <v>0</v>
      </c>
      <c r="Q2611">
        <f t="shared" si="405"/>
        <v>0</v>
      </c>
      <c r="R2611">
        <f t="shared" si="406"/>
        <v>0</v>
      </c>
      <c r="S2611">
        <f t="shared" si="407"/>
        <v>0</v>
      </c>
      <c r="T2611">
        <f t="shared" si="409"/>
        <v>0</v>
      </c>
      <c r="U2611">
        <f t="shared" si="408"/>
        <v>0</v>
      </c>
    </row>
    <row r="2612" spans="1:21" x14ac:dyDescent="0.25">
      <c r="A2612">
        <v>2611</v>
      </c>
      <c r="B2612">
        <v>2049</v>
      </c>
      <c r="C2612" t="s">
        <v>182</v>
      </c>
      <c r="D2612" s="80">
        <v>0.42</v>
      </c>
      <c r="E2612">
        <v>1100.0899999999999</v>
      </c>
      <c r="F2612" t="s">
        <v>583</v>
      </c>
      <c r="G2612">
        <v>4.66</v>
      </c>
      <c r="H2612">
        <v>5.35</v>
      </c>
      <c r="I2612">
        <v>49.18</v>
      </c>
      <c r="J2612">
        <v>1.1100000000000001</v>
      </c>
      <c r="K2612">
        <v>0.48</v>
      </c>
      <c r="L2612">
        <f t="shared" si="400"/>
        <v>0</v>
      </c>
      <c r="M2612">
        <f t="shared" si="401"/>
        <v>0</v>
      </c>
      <c r="N2612">
        <f t="shared" si="402"/>
        <v>0</v>
      </c>
      <c r="O2612">
        <f t="shared" si="403"/>
        <v>0</v>
      </c>
      <c r="P2612">
        <f t="shared" si="404"/>
        <v>0</v>
      </c>
      <c r="Q2612">
        <f t="shared" si="405"/>
        <v>0</v>
      </c>
      <c r="R2612">
        <f t="shared" si="406"/>
        <v>0</v>
      </c>
      <c r="S2612">
        <f t="shared" si="407"/>
        <v>0</v>
      </c>
      <c r="T2612">
        <f t="shared" si="409"/>
        <v>0</v>
      </c>
      <c r="U2612">
        <f t="shared" si="408"/>
        <v>0</v>
      </c>
    </row>
    <row r="2613" spans="1:21" x14ac:dyDescent="0.25">
      <c r="A2613">
        <v>2612</v>
      </c>
      <c r="B2613">
        <v>2049</v>
      </c>
      <c r="C2613" t="s">
        <v>184</v>
      </c>
      <c r="D2613">
        <v>29.42</v>
      </c>
      <c r="E2613">
        <v>8331.19</v>
      </c>
      <c r="F2613">
        <v>95.81</v>
      </c>
      <c r="G2613">
        <v>60.19</v>
      </c>
      <c r="H2613">
        <v>10196.629999999999</v>
      </c>
      <c r="I2613" s="80">
        <v>16177.95</v>
      </c>
      <c r="J2613">
        <v>35.86</v>
      </c>
      <c r="K2613">
        <v>1256.4100000000001</v>
      </c>
      <c r="L2613">
        <f t="shared" si="400"/>
        <v>0</v>
      </c>
      <c r="M2613">
        <f t="shared" si="401"/>
        <v>0</v>
      </c>
      <c r="N2613">
        <f t="shared" si="402"/>
        <v>0</v>
      </c>
      <c r="O2613">
        <f t="shared" si="403"/>
        <v>0</v>
      </c>
      <c r="P2613">
        <f t="shared" si="404"/>
        <v>0</v>
      </c>
      <c r="Q2613">
        <f t="shared" si="405"/>
        <v>0</v>
      </c>
      <c r="R2613">
        <f t="shared" si="406"/>
        <v>0</v>
      </c>
      <c r="S2613">
        <f t="shared" si="407"/>
        <v>0</v>
      </c>
      <c r="T2613">
        <f t="shared" si="409"/>
        <v>0</v>
      </c>
      <c r="U2613">
        <f t="shared" si="408"/>
        <v>0</v>
      </c>
    </row>
    <row r="2614" spans="1:21" x14ac:dyDescent="0.25">
      <c r="A2614">
        <v>2613</v>
      </c>
      <c r="B2614">
        <v>2049</v>
      </c>
      <c r="C2614" t="s">
        <v>187</v>
      </c>
      <c r="D2614">
        <v>279.42</v>
      </c>
      <c r="E2614">
        <v>11613.79</v>
      </c>
      <c r="F2614">
        <v>252.55</v>
      </c>
      <c r="G2614">
        <v>91.58</v>
      </c>
      <c r="H2614" s="80">
        <v>27141.54</v>
      </c>
      <c r="I2614" s="80">
        <v>15401.21</v>
      </c>
      <c r="J2614">
        <v>60.51</v>
      </c>
      <c r="K2614">
        <v>5149.66</v>
      </c>
      <c r="L2614">
        <f t="shared" si="400"/>
        <v>0</v>
      </c>
      <c r="M2614">
        <f t="shared" si="401"/>
        <v>0</v>
      </c>
      <c r="N2614">
        <f t="shared" si="402"/>
        <v>0</v>
      </c>
      <c r="O2614">
        <f t="shared" si="403"/>
        <v>0</v>
      </c>
      <c r="P2614">
        <f t="shared" si="404"/>
        <v>0</v>
      </c>
      <c r="Q2614">
        <f t="shared" si="405"/>
        <v>0</v>
      </c>
      <c r="R2614">
        <f t="shared" si="406"/>
        <v>0</v>
      </c>
      <c r="S2614">
        <f t="shared" si="407"/>
        <v>0</v>
      </c>
      <c r="T2614">
        <f t="shared" si="409"/>
        <v>0</v>
      </c>
      <c r="U2614">
        <f t="shared" si="408"/>
        <v>0</v>
      </c>
    </row>
    <row r="2615" spans="1:21" x14ac:dyDescent="0.25">
      <c r="A2615">
        <v>2614</v>
      </c>
      <c r="B2615">
        <v>2049</v>
      </c>
      <c r="C2615" t="s">
        <v>189</v>
      </c>
      <c r="D2615">
        <v>42.17</v>
      </c>
      <c r="E2615">
        <v>7117.93</v>
      </c>
      <c r="F2615">
        <v>2.58</v>
      </c>
      <c r="G2615">
        <v>75.459999999999994</v>
      </c>
      <c r="H2615">
        <v>16069.6</v>
      </c>
      <c r="I2615" s="80">
        <v>10550.87</v>
      </c>
      <c r="J2615">
        <v>47.05</v>
      </c>
      <c r="K2615">
        <v>6883.36</v>
      </c>
      <c r="L2615">
        <f t="shared" si="400"/>
        <v>0</v>
      </c>
      <c r="M2615">
        <f t="shared" si="401"/>
        <v>0</v>
      </c>
      <c r="N2615">
        <f t="shared" si="402"/>
        <v>0</v>
      </c>
      <c r="O2615">
        <f t="shared" si="403"/>
        <v>0</v>
      </c>
      <c r="P2615">
        <f t="shared" si="404"/>
        <v>0</v>
      </c>
      <c r="Q2615">
        <f t="shared" si="405"/>
        <v>0</v>
      </c>
      <c r="R2615">
        <f t="shared" si="406"/>
        <v>0</v>
      </c>
      <c r="S2615">
        <f t="shared" si="407"/>
        <v>0</v>
      </c>
      <c r="T2615">
        <f t="shared" si="409"/>
        <v>0</v>
      </c>
      <c r="U2615">
        <f t="shared" si="408"/>
        <v>0</v>
      </c>
    </row>
    <row r="2616" spans="1:21" x14ac:dyDescent="0.25">
      <c r="A2616">
        <v>2615</v>
      </c>
      <c r="B2616">
        <v>2050</v>
      </c>
      <c r="C2616" t="s">
        <v>162</v>
      </c>
      <c r="D2616">
        <v>7.63</v>
      </c>
      <c r="E2616" s="80">
        <v>71269.78</v>
      </c>
      <c r="F2616">
        <v>0.75</v>
      </c>
      <c r="G2616">
        <v>50.53</v>
      </c>
      <c r="H2616">
        <v>1.56</v>
      </c>
      <c r="I2616">
        <v>3.75</v>
      </c>
      <c r="J2616">
        <v>19.66</v>
      </c>
      <c r="K2616">
        <v>1.26</v>
      </c>
      <c r="L2616">
        <f t="shared" si="400"/>
        <v>0</v>
      </c>
      <c r="M2616">
        <f t="shared" si="401"/>
        <v>0</v>
      </c>
      <c r="N2616">
        <f t="shared" si="402"/>
        <v>0</v>
      </c>
      <c r="O2616">
        <f t="shared" si="403"/>
        <v>0</v>
      </c>
      <c r="P2616">
        <f t="shared" si="404"/>
        <v>0</v>
      </c>
      <c r="Q2616">
        <f t="shared" si="405"/>
        <v>0</v>
      </c>
      <c r="R2616">
        <f t="shared" si="406"/>
        <v>0</v>
      </c>
      <c r="S2616">
        <f t="shared" si="407"/>
        <v>0</v>
      </c>
      <c r="T2616">
        <f t="shared" si="409"/>
        <v>0</v>
      </c>
      <c r="U2616">
        <f t="shared" si="408"/>
        <v>0</v>
      </c>
    </row>
    <row r="2617" spans="1:21" x14ac:dyDescent="0.25">
      <c r="A2617">
        <v>2616</v>
      </c>
      <c r="B2617">
        <v>2050</v>
      </c>
      <c r="C2617" t="s">
        <v>170</v>
      </c>
      <c r="D2617">
        <v>53.84</v>
      </c>
      <c r="E2617" s="89" t="s">
        <v>582</v>
      </c>
      <c r="F2617">
        <v>23.42</v>
      </c>
      <c r="G2617">
        <v>108.48</v>
      </c>
      <c r="H2617">
        <v>8400.3799999999992</v>
      </c>
      <c r="I2617" s="80">
        <v>14231.22</v>
      </c>
      <c r="J2617">
        <v>53.7</v>
      </c>
      <c r="K2617">
        <v>1113.8699999999999</v>
      </c>
      <c r="L2617">
        <f t="shared" si="400"/>
        <v>0</v>
      </c>
      <c r="M2617">
        <f t="shared" si="401"/>
        <v>1</v>
      </c>
      <c r="N2617">
        <f t="shared" si="402"/>
        <v>0</v>
      </c>
      <c r="O2617">
        <f t="shared" si="403"/>
        <v>0</v>
      </c>
      <c r="P2617">
        <f t="shared" si="404"/>
        <v>0</v>
      </c>
      <c r="Q2617">
        <f t="shared" si="405"/>
        <v>0</v>
      </c>
      <c r="R2617">
        <f t="shared" si="406"/>
        <v>0</v>
      </c>
      <c r="S2617">
        <f t="shared" si="407"/>
        <v>0</v>
      </c>
      <c r="T2617">
        <f t="shared" si="409"/>
        <v>1</v>
      </c>
      <c r="U2617">
        <f t="shared" si="408"/>
        <v>1</v>
      </c>
    </row>
    <row r="2618" spans="1:21" x14ac:dyDescent="0.25">
      <c r="A2618">
        <v>2617</v>
      </c>
      <c r="B2618">
        <v>2050</v>
      </c>
      <c r="C2618" t="s">
        <v>178</v>
      </c>
      <c r="D2618">
        <v>335.48</v>
      </c>
      <c r="E2618" s="89" t="s">
        <v>582</v>
      </c>
      <c r="F2618">
        <v>517.84</v>
      </c>
      <c r="G2618">
        <v>209.72</v>
      </c>
      <c r="H2618" s="89" t="s">
        <v>582</v>
      </c>
      <c r="I2618" s="80">
        <v>20486.77</v>
      </c>
      <c r="J2618">
        <v>92.99</v>
      </c>
      <c r="K2618">
        <v>4928.7299999999996</v>
      </c>
      <c r="L2618">
        <f t="shared" si="400"/>
        <v>0</v>
      </c>
      <c r="M2618">
        <f t="shared" si="401"/>
        <v>1</v>
      </c>
      <c r="N2618">
        <f t="shared" si="402"/>
        <v>0</v>
      </c>
      <c r="O2618">
        <f t="shared" si="403"/>
        <v>0</v>
      </c>
      <c r="P2618">
        <f t="shared" si="404"/>
        <v>1</v>
      </c>
      <c r="Q2618">
        <f t="shared" si="405"/>
        <v>0</v>
      </c>
      <c r="R2618">
        <f t="shared" si="406"/>
        <v>0</v>
      </c>
      <c r="S2618">
        <f t="shared" si="407"/>
        <v>0</v>
      </c>
      <c r="T2618">
        <f t="shared" si="409"/>
        <v>2</v>
      </c>
      <c r="U2618">
        <f t="shared" si="408"/>
        <v>1</v>
      </c>
    </row>
    <row r="2619" spans="1:21" x14ac:dyDescent="0.25">
      <c r="A2619">
        <v>2618</v>
      </c>
      <c r="B2619">
        <v>2050</v>
      </c>
      <c r="C2619" t="s">
        <v>163</v>
      </c>
      <c r="D2619">
        <v>744.64</v>
      </c>
      <c r="E2619" s="89" t="s">
        <v>582</v>
      </c>
      <c r="F2619">
        <v>76.56</v>
      </c>
      <c r="G2619">
        <v>163.31</v>
      </c>
      <c r="H2619" s="80">
        <v>20344.37</v>
      </c>
      <c r="I2619" s="80">
        <v>13327.03</v>
      </c>
      <c r="J2619">
        <v>89.25</v>
      </c>
      <c r="K2619" s="80">
        <v>10105.42</v>
      </c>
      <c r="L2619">
        <f t="shared" si="400"/>
        <v>0</v>
      </c>
      <c r="M2619">
        <f t="shared" si="401"/>
        <v>1</v>
      </c>
      <c r="N2619">
        <f t="shared" si="402"/>
        <v>0</v>
      </c>
      <c r="O2619">
        <f t="shared" si="403"/>
        <v>0</v>
      </c>
      <c r="P2619">
        <f t="shared" si="404"/>
        <v>0</v>
      </c>
      <c r="Q2619">
        <f t="shared" si="405"/>
        <v>0</v>
      </c>
      <c r="R2619">
        <f t="shared" si="406"/>
        <v>0</v>
      </c>
      <c r="S2619">
        <f t="shared" si="407"/>
        <v>0</v>
      </c>
      <c r="T2619">
        <f t="shared" si="409"/>
        <v>1</v>
      </c>
      <c r="U2619">
        <f t="shared" si="408"/>
        <v>1</v>
      </c>
    </row>
    <row r="2620" spans="1:21" x14ac:dyDescent="0.25">
      <c r="A2620">
        <v>2619</v>
      </c>
      <c r="B2620">
        <v>2050</v>
      </c>
      <c r="C2620" t="s">
        <v>181</v>
      </c>
      <c r="D2620">
        <v>10.35</v>
      </c>
      <c r="E2620" s="89" t="s">
        <v>582</v>
      </c>
      <c r="F2620">
        <v>1.54</v>
      </c>
      <c r="G2620">
        <v>60.19</v>
      </c>
      <c r="H2620">
        <v>1.8</v>
      </c>
      <c r="I2620">
        <v>3.36</v>
      </c>
      <c r="J2620">
        <v>28.26</v>
      </c>
      <c r="K2620">
        <v>2.19</v>
      </c>
      <c r="L2620">
        <f t="shared" si="400"/>
        <v>0</v>
      </c>
      <c r="M2620">
        <f t="shared" si="401"/>
        <v>1</v>
      </c>
      <c r="N2620">
        <f t="shared" si="402"/>
        <v>0</v>
      </c>
      <c r="O2620">
        <f t="shared" si="403"/>
        <v>0</v>
      </c>
      <c r="P2620">
        <f t="shared" si="404"/>
        <v>0</v>
      </c>
      <c r="Q2620">
        <f t="shared" si="405"/>
        <v>0</v>
      </c>
      <c r="R2620">
        <f t="shared" si="406"/>
        <v>0</v>
      </c>
      <c r="S2620">
        <f t="shared" si="407"/>
        <v>0</v>
      </c>
      <c r="T2620">
        <f t="shared" si="409"/>
        <v>1</v>
      </c>
      <c r="U2620">
        <f t="shared" si="408"/>
        <v>1</v>
      </c>
    </row>
    <row r="2621" spans="1:21" x14ac:dyDescent="0.25">
      <c r="A2621">
        <v>2620</v>
      </c>
      <c r="B2621">
        <v>2050</v>
      </c>
      <c r="C2621" t="s">
        <v>183</v>
      </c>
      <c r="D2621">
        <v>26.66</v>
      </c>
      <c r="E2621" s="89" t="s">
        <v>582</v>
      </c>
      <c r="F2621">
        <v>121.87</v>
      </c>
      <c r="G2621">
        <v>202.91</v>
      </c>
      <c r="H2621">
        <v>13028.12</v>
      </c>
      <c r="I2621" s="80">
        <v>21233.14</v>
      </c>
      <c r="J2621">
        <v>89.25</v>
      </c>
      <c r="K2621">
        <v>3434.93</v>
      </c>
      <c r="L2621">
        <f t="shared" si="400"/>
        <v>0</v>
      </c>
      <c r="M2621">
        <f t="shared" si="401"/>
        <v>1</v>
      </c>
      <c r="N2621">
        <f t="shared" si="402"/>
        <v>0</v>
      </c>
      <c r="O2621">
        <f t="shared" si="403"/>
        <v>0</v>
      </c>
      <c r="P2621">
        <f t="shared" si="404"/>
        <v>0</v>
      </c>
      <c r="Q2621">
        <f t="shared" si="405"/>
        <v>0</v>
      </c>
      <c r="R2621">
        <f t="shared" si="406"/>
        <v>0</v>
      </c>
      <c r="S2621">
        <f t="shared" si="407"/>
        <v>0</v>
      </c>
      <c r="T2621">
        <f t="shared" si="409"/>
        <v>1</v>
      </c>
      <c r="U2621">
        <f t="shared" si="408"/>
        <v>1</v>
      </c>
    </row>
    <row r="2622" spans="1:21" x14ac:dyDescent="0.25">
      <c r="A2622">
        <v>2621</v>
      </c>
      <c r="B2622">
        <v>2050</v>
      </c>
      <c r="C2622" t="s">
        <v>186</v>
      </c>
      <c r="D2622">
        <v>40.130000000000003</v>
      </c>
      <c r="E2622" s="89" t="s">
        <v>582</v>
      </c>
      <c r="F2622">
        <v>900.92</v>
      </c>
      <c r="G2622">
        <v>230.51</v>
      </c>
      <c r="H2622" s="80">
        <v>489497.83</v>
      </c>
      <c r="I2622" s="80">
        <v>22118.59</v>
      </c>
      <c r="J2622">
        <v>114.08</v>
      </c>
      <c r="K2622">
        <v>7245.66</v>
      </c>
      <c r="L2622">
        <f t="shared" si="400"/>
        <v>0</v>
      </c>
      <c r="M2622">
        <f t="shared" si="401"/>
        <v>1</v>
      </c>
      <c r="N2622">
        <f t="shared" si="402"/>
        <v>0</v>
      </c>
      <c r="O2622">
        <f t="shared" si="403"/>
        <v>0</v>
      </c>
      <c r="P2622">
        <f t="shared" si="404"/>
        <v>0</v>
      </c>
      <c r="Q2622">
        <f t="shared" si="405"/>
        <v>0</v>
      </c>
      <c r="R2622">
        <f t="shared" si="406"/>
        <v>0</v>
      </c>
      <c r="S2622">
        <f t="shared" si="407"/>
        <v>0</v>
      </c>
      <c r="T2622">
        <f t="shared" si="409"/>
        <v>1</v>
      </c>
      <c r="U2622">
        <f t="shared" si="408"/>
        <v>1</v>
      </c>
    </row>
    <row r="2623" spans="1:21" x14ac:dyDescent="0.25">
      <c r="A2623">
        <v>2622</v>
      </c>
      <c r="B2623">
        <v>2050</v>
      </c>
      <c r="C2623" t="s">
        <v>188</v>
      </c>
      <c r="D2623">
        <v>23.97</v>
      </c>
      <c r="E2623" s="89" t="s">
        <v>582</v>
      </c>
      <c r="F2623">
        <v>90.72</v>
      </c>
      <c r="G2623">
        <v>182.83</v>
      </c>
      <c r="H2623">
        <v>9141.91</v>
      </c>
      <c r="I2623" s="80">
        <v>17149.87</v>
      </c>
      <c r="J2623">
        <v>87.39</v>
      </c>
      <c r="K2623" s="80">
        <v>9597.7199999999993</v>
      </c>
      <c r="L2623">
        <f t="shared" si="400"/>
        <v>0</v>
      </c>
      <c r="M2623">
        <f t="shared" si="401"/>
        <v>1</v>
      </c>
      <c r="N2623">
        <f t="shared" si="402"/>
        <v>0</v>
      </c>
      <c r="O2623">
        <f t="shared" si="403"/>
        <v>0</v>
      </c>
      <c r="P2623">
        <f t="shared" si="404"/>
        <v>0</v>
      </c>
      <c r="Q2623">
        <f t="shared" si="405"/>
        <v>0</v>
      </c>
      <c r="R2623">
        <f t="shared" si="406"/>
        <v>0</v>
      </c>
      <c r="S2623">
        <f t="shared" si="407"/>
        <v>0</v>
      </c>
      <c r="T2623">
        <f t="shared" si="409"/>
        <v>1</v>
      </c>
      <c r="U2623">
        <f t="shared" si="408"/>
        <v>1</v>
      </c>
    </row>
    <row r="2624" spans="1:21" x14ac:dyDescent="0.25">
      <c r="A2624">
        <v>2623</v>
      </c>
      <c r="B2624">
        <v>2050</v>
      </c>
      <c r="C2624" t="s">
        <v>182</v>
      </c>
      <c r="D2624">
        <v>6.36</v>
      </c>
      <c r="E2624" s="80">
        <v>25128.07</v>
      </c>
      <c r="F2624">
        <v>9.27</v>
      </c>
      <c r="G2624">
        <v>45.88</v>
      </c>
      <c r="H2624">
        <v>863.51</v>
      </c>
      <c r="I2624">
        <v>1475.13</v>
      </c>
      <c r="J2624">
        <v>18.29</v>
      </c>
      <c r="K2624">
        <v>297.68</v>
      </c>
      <c r="L2624">
        <f t="shared" si="400"/>
        <v>0</v>
      </c>
      <c r="M2624">
        <f t="shared" si="401"/>
        <v>0</v>
      </c>
      <c r="N2624">
        <f t="shared" si="402"/>
        <v>0</v>
      </c>
      <c r="O2624">
        <f t="shared" si="403"/>
        <v>0</v>
      </c>
      <c r="P2624">
        <f t="shared" si="404"/>
        <v>0</v>
      </c>
      <c r="Q2624">
        <f t="shared" si="405"/>
        <v>0</v>
      </c>
      <c r="R2624">
        <f t="shared" si="406"/>
        <v>0</v>
      </c>
      <c r="S2624">
        <f t="shared" si="407"/>
        <v>0</v>
      </c>
      <c r="T2624">
        <f t="shared" si="409"/>
        <v>0</v>
      </c>
      <c r="U2624">
        <f t="shared" si="408"/>
        <v>0</v>
      </c>
    </row>
    <row r="2625" spans="1:21" x14ac:dyDescent="0.25">
      <c r="A2625">
        <v>2624</v>
      </c>
      <c r="B2625">
        <v>2050</v>
      </c>
      <c r="C2625" t="s">
        <v>184</v>
      </c>
      <c r="D2625">
        <v>4946.63</v>
      </c>
      <c r="E2625" s="80">
        <v>51134.54</v>
      </c>
      <c r="F2625">
        <v>4.25</v>
      </c>
      <c r="G2625">
        <v>182.83</v>
      </c>
      <c r="H2625" s="80">
        <v>36393.230000000003</v>
      </c>
      <c r="I2625" s="80">
        <v>15909.93</v>
      </c>
      <c r="J2625">
        <v>118</v>
      </c>
      <c r="K2625" s="80">
        <v>10126.9</v>
      </c>
      <c r="L2625">
        <f t="shared" si="400"/>
        <v>0</v>
      </c>
      <c r="M2625">
        <f t="shared" si="401"/>
        <v>0</v>
      </c>
      <c r="N2625">
        <f t="shared" si="402"/>
        <v>0</v>
      </c>
      <c r="O2625">
        <f t="shared" si="403"/>
        <v>0</v>
      </c>
      <c r="P2625">
        <f t="shared" si="404"/>
        <v>0</v>
      </c>
      <c r="Q2625">
        <f t="shared" si="405"/>
        <v>0</v>
      </c>
      <c r="R2625">
        <f t="shared" si="406"/>
        <v>0</v>
      </c>
      <c r="S2625">
        <f t="shared" si="407"/>
        <v>0</v>
      </c>
      <c r="T2625">
        <f t="shared" si="409"/>
        <v>0</v>
      </c>
      <c r="U2625">
        <f t="shared" si="408"/>
        <v>0</v>
      </c>
    </row>
    <row r="2626" spans="1:21" x14ac:dyDescent="0.25">
      <c r="A2626">
        <v>2625</v>
      </c>
      <c r="B2626">
        <v>2050</v>
      </c>
      <c r="C2626" t="s">
        <v>187</v>
      </c>
      <c r="D2626">
        <v>5466.57</v>
      </c>
      <c r="E2626" s="80">
        <v>65706.14</v>
      </c>
      <c r="F2626">
        <v>188.29</v>
      </c>
      <c r="G2626">
        <v>216.59</v>
      </c>
      <c r="H2626" t="s">
        <v>582</v>
      </c>
      <c r="I2626" s="80">
        <v>20029.84</v>
      </c>
      <c r="J2626">
        <v>250.61</v>
      </c>
      <c r="K2626" s="89" t="s">
        <v>582</v>
      </c>
      <c r="L2626">
        <f t="shared" ref="L2626:L2689" si="410">IF(D2626 = "OOR &gt;", 1,0)</f>
        <v>0</v>
      </c>
      <c r="M2626">
        <f t="shared" ref="M2626:M2689" si="411">IF(E2626 = "OOR &gt;", 1,0)</f>
        <v>0</v>
      </c>
      <c r="N2626">
        <f t="shared" ref="N2626:N2689" si="412">IF(F2626 = "OOR &gt;", 1,0)</f>
        <v>0</v>
      </c>
      <c r="O2626">
        <f t="shared" ref="O2626:O2689" si="413">IF(G2626 = "OOR &gt;", 1,0)</f>
        <v>0</v>
      </c>
      <c r="P2626">
        <f t="shared" ref="P2626:P2689" si="414">IF(H2626 = "OOR &gt;", 1,0)</f>
        <v>1</v>
      </c>
      <c r="Q2626">
        <f t="shared" ref="Q2626:Q2689" si="415">IF(I2626 = "OOR &gt;", 1,0)</f>
        <v>0</v>
      </c>
      <c r="R2626">
        <f t="shared" ref="R2626:R2689" si="416">IF(J2626 = "OOR &gt;", 1,0)</f>
        <v>0</v>
      </c>
      <c r="S2626">
        <f t="shared" ref="S2626:S2689" si="417">IF(K2626 = "OOR &gt;", 1,0)</f>
        <v>1</v>
      </c>
      <c r="T2626">
        <f t="shared" si="409"/>
        <v>2</v>
      </c>
      <c r="U2626">
        <f t="shared" ref="U2626:U2689" si="418">IF(T2626 &gt; 0,1,0)</f>
        <v>1</v>
      </c>
    </row>
    <row r="2627" spans="1:21" x14ac:dyDescent="0.25">
      <c r="A2627">
        <v>2626</v>
      </c>
      <c r="B2627">
        <v>2050</v>
      </c>
      <c r="C2627" t="s">
        <v>189</v>
      </c>
      <c r="D2627">
        <v>7938.56</v>
      </c>
      <c r="E2627" s="80">
        <v>81605.83</v>
      </c>
      <c r="F2627">
        <v>3.08</v>
      </c>
      <c r="G2627">
        <v>189.46</v>
      </c>
      <c r="H2627" s="80">
        <v>69432.22</v>
      </c>
      <c r="I2627" s="80">
        <v>5962.48</v>
      </c>
      <c r="J2627">
        <v>110.18</v>
      </c>
      <c r="K2627" s="89" t="s">
        <v>582</v>
      </c>
      <c r="L2627">
        <f t="shared" si="410"/>
        <v>0</v>
      </c>
      <c r="M2627">
        <f t="shared" si="411"/>
        <v>0</v>
      </c>
      <c r="N2627">
        <f t="shared" si="412"/>
        <v>0</v>
      </c>
      <c r="O2627">
        <f t="shared" si="413"/>
        <v>0</v>
      </c>
      <c r="P2627">
        <f t="shared" si="414"/>
        <v>0</v>
      </c>
      <c r="Q2627">
        <f t="shared" si="415"/>
        <v>0</v>
      </c>
      <c r="R2627">
        <f t="shared" si="416"/>
        <v>0</v>
      </c>
      <c r="S2627">
        <f t="shared" si="417"/>
        <v>1</v>
      </c>
      <c r="T2627">
        <f t="shared" ref="T2627:T2690" si="419">SUMIF(L2627:S2627,"&gt;0")</f>
        <v>1</v>
      </c>
      <c r="U2627">
        <f t="shared" si="418"/>
        <v>1</v>
      </c>
    </row>
    <row r="2628" spans="1:21" x14ac:dyDescent="0.25">
      <c r="A2628">
        <v>2627</v>
      </c>
      <c r="B2628">
        <v>2044</v>
      </c>
      <c r="C2628" t="s">
        <v>162</v>
      </c>
      <c r="D2628">
        <v>70.900000000000006</v>
      </c>
      <c r="E2628" s="80">
        <v>116523.07</v>
      </c>
      <c r="F2628">
        <v>2615.42</v>
      </c>
      <c r="G2628">
        <v>150.63</v>
      </c>
      <c r="H2628">
        <v>8636.17</v>
      </c>
      <c r="I2628" s="80">
        <v>20234.29</v>
      </c>
      <c r="J2628">
        <v>78.22</v>
      </c>
      <c r="K2628" s="80">
        <v>11134.61</v>
      </c>
      <c r="L2628">
        <f t="shared" si="410"/>
        <v>0</v>
      </c>
      <c r="M2628">
        <f t="shared" si="411"/>
        <v>0</v>
      </c>
      <c r="N2628">
        <f t="shared" si="412"/>
        <v>0</v>
      </c>
      <c r="O2628">
        <f t="shared" si="413"/>
        <v>0</v>
      </c>
      <c r="P2628">
        <f t="shared" si="414"/>
        <v>0</v>
      </c>
      <c r="Q2628">
        <f t="shared" si="415"/>
        <v>0</v>
      </c>
      <c r="R2628">
        <f t="shared" si="416"/>
        <v>0</v>
      </c>
      <c r="S2628">
        <f t="shared" si="417"/>
        <v>0</v>
      </c>
      <c r="T2628">
        <f t="shared" si="419"/>
        <v>0</v>
      </c>
      <c r="U2628">
        <f t="shared" si="418"/>
        <v>0</v>
      </c>
    </row>
    <row r="2629" spans="1:21" x14ac:dyDescent="0.25">
      <c r="A2629">
        <v>2628</v>
      </c>
      <c r="B2629">
        <v>2044</v>
      </c>
      <c r="C2629" t="s">
        <v>170</v>
      </c>
      <c r="D2629">
        <v>176.41</v>
      </c>
      <c r="E2629" s="80">
        <v>37236.339999999997</v>
      </c>
      <c r="F2629">
        <v>2834.06</v>
      </c>
      <c r="G2629">
        <v>156.94</v>
      </c>
      <c r="H2629" s="80">
        <v>47840.77</v>
      </c>
      <c r="I2629" s="80">
        <v>21550.04</v>
      </c>
      <c r="J2629">
        <v>57.09</v>
      </c>
      <c r="K2629">
        <v>6390.5</v>
      </c>
      <c r="L2629">
        <f t="shared" si="410"/>
        <v>0</v>
      </c>
      <c r="M2629">
        <f t="shared" si="411"/>
        <v>0</v>
      </c>
      <c r="N2629">
        <f t="shared" si="412"/>
        <v>0</v>
      </c>
      <c r="O2629">
        <f t="shared" si="413"/>
        <v>0</v>
      </c>
      <c r="P2629">
        <f t="shared" si="414"/>
        <v>0</v>
      </c>
      <c r="Q2629">
        <f t="shared" si="415"/>
        <v>0</v>
      </c>
      <c r="R2629">
        <f t="shared" si="416"/>
        <v>0</v>
      </c>
      <c r="S2629">
        <f t="shared" si="417"/>
        <v>0</v>
      </c>
      <c r="T2629">
        <f t="shared" si="419"/>
        <v>0</v>
      </c>
      <c r="U2629">
        <f t="shared" si="418"/>
        <v>0</v>
      </c>
    </row>
    <row r="2630" spans="1:21" x14ac:dyDescent="0.25">
      <c r="A2630">
        <v>2629</v>
      </c>
      <c r="B2630">
        <v>2044</v>
      </c>
      <c r="C2630" t="s">
        <v>178</v>
      </c>
      <c r="D2630">
        <v>259.14</v>
      </c>
      <c r="E2630" s="80">
        <v>28487.06</v>
      </c>
      <c r="F2630">
        <v>3284.72</v>
      </c>
      <c r="G2630">
        <v>176.26</v>
      </c>
      <c r="H2630" s="80">
        <v>53568.45</v>
      </c>
      <c r="I2630" s="80">
        <v>21050.18</v>
      </c>
      <c r="J2630">
        <v>74.61</v>
      </c>
      <c r="K2630">
        <v>7042.58</v>
      </c>
      <c r="L2630">
        <f t="shared" si="410"/>
        <v>0</v>
      </c>
      <c r="M2630">
        <f t="shared" si="411"/>
        <v>0</v>
      </c>
      <c r="N2630">
        <f t="shared" si="412"/>
        <v>0</v>
      </c>
      <c r="O2630">
        <f t="shared" si="413"/>
        <v>0</v>
      </c>
      <c r="P2630">
        <f t="shared" si="414"/>
        <v>0</v>
      </c>
      <c r="Q2630">
        <f t="shared" si="415"/>
        <v>0</v>
      </c>
      <c r="R2630">
        <f t="shared" si="416"/>
        <v>0</v>
      </c>
      <c r="S2630">
        <f t="shared" si="417"/>
        <v>0</v>
      </c>
      <c r="T2630">
        <f t="shared" si="419"/>
        <v>0</v>
      </c>
      <c r="U2630">
        <f t="shared" si="418"/>
        <v>0</v>
      </c>
    </row>
    <row r="2631" spans="1:21" x14ac:dyDescent="0.25">
      <c r="A2631">
        <v>2630</v>
      </c>
      <c r="B2631">
        <v>2044</v>
      </c>
      <c r="C2631" t="s">
        <v>163</v>
      </c>
      <c r="D2631">
        <v>115.1</v>
      </c>
      <c r="E2631" s="80">
        <v>53810.76</v>
      </c>
      <c r="F2631">
        <v>2791.41</v>
      </c>
      <c r="G2631">
        <v>126.1</v>
      </c>
      <c r="H2631" s="80">
        <v>23266.79</v>
      </c>
      <c r="I2631" s="80">
        <v>20263.990000000002</v>
      </c>
      <c r="J2631">
        <v>89.25</v>
      </c>
      <c r="K2631" s="80">
        <v>10656.51</v>
      </c>
      <c r="L2631">
        <f t="shared" si="410"/>
        <v>0</v>
      </c>
      <c r="M2631">
        <f t="shared" si="411"/>
        <v>0</v>
      </c>
      <c r="N2631">
        <f t="shared" si="412"/>
        <v>0</v>
      </c>
      <c r="O2631">
        <f t="shared" si="413"/>
        <v>0</v>
      </c>
      <c r="P2631">
        <f t="shared" si="414"/>
        <v>0</v>
      </c>
      <c r="Q2631">
        <f t="shared" si="415"/>
        <v>0</v>
      </c>
      <c r="R2631">
        <f t="shared" si="416"/>
        <v>0</v>
      </c>
      <c r="S2631">
        <f t="shared" si="417"/>
        <v>0</v>
      </c>
      <c r="T2631">
        <f t="shared" si="419"/>
        <v>0</v>
      </c>
      <c r="U2631">
        <f t="shared" si="418"/>
        <v>0</v>
      </c>
    </row>
    <row r="2632" spans="1:21" x14ac:dyDescent="0.25">
      <c r="A2632">
        <v>2631</v>
      </c>
      <c r="B2632">
        <v>2044</v>
      </c>
      <c r="C2632" t="s">
        <v>182</v>
      </c>
      <c r="D2632" t="s">
        <v>583</v>
      </c>
      <c r="E2632">
        <v>552.08000000000004</v>
      </c>
      <c r="F2632">
        <v>0.06</v>
      </c>
      <c r="G2632" t="s">
        <v>583</v>
      </c>
      <c r="H2632" s="80">
        <v>0.11</v>
      </c>
      <c r="I2632">
        <v>2.4900000000000002</v>
      </c>
      <c r="J2632">
        <v>2.85</v>
      </c>
      <c r="K2632">
        <v>0.1</v>
      </c>
      <c r="L2632">
        <f t="shared" si="410"/>
        <v>0</v>
      </c>
      <c r="M2632">
        <f t="shared" si="411"/>
        <v>0</v>
      </c>
      <c r="N2632">
        <f t="shared" si="412"/>
        <v>0</v>
      </c>
      <c r="O2632">
        <f t="shared" si="413"/>
        <v>0</v>
      </c>
      <c r="P2632">
        <f t="shared" si="414"/>
        <v>0</v>
      </c>
      <c r="Q2632">
        <f t="shared" si="415"/>
        <v>0</v>
      </c>
      <c r="R2632">
        <f t="shared" si="416"/>
        <v>0</v>
      </c>
      <c r="S2632">
        <f t="shared" si="417"/>
        <v>0</v>
      </c>
      <c r="T2632">
        <f t="shared" si="419"/>
        <v>0</v>
      </c>
      <c r="U2632">
        <f t="shared" si="418"/>
        <v>0</v>
      </c>
    </row>
    <row r="2633" spans="1:21" x14ac:dyDescent="0.25">
      <c r="A2633">
        <v>2632</v>
      </c>
      <c r="B2633">
        <v>2044</v>
      </c>
      <c r="C2633" t="s">
        <v>184</v>
      </c>
      <c r="D2633">
        <v>36.14</v>
      </c>
      <c r="E2633">
        <v>5814.43</v>
      </c>
      <c r="F2633">
        <v>51.01</v>
      </c>
      <c r="G2633">
        <v>20.7</v>
      </c>
      <c r="H2633">
        <v>6674.14</v>
      </c>
      <c r="I2633" s="80">
        <v>15037.51</v>
      </c>
      <c r="J2633">
        <v>34.31</v>
      </c>
      <c r="K2633">
        <v>1427.33</v>
      </c>
      <c r="L2633">
        <f t="shared" si="410"/>
        <v>0</v>
      </c>
      <c r="M2633">
        <f t="shared" si="411"/>
        <v>0</v>
      </c>
      <c r="N2633">
        <f t="shared" si="412"/>
        <v>0</v>
      </c>
      <c r="O2633">
        <f t="shared" si="413"/>
        <v>0</v>
      </c>
      <c r="P2633">
        <f t="shared" si="414"/>
        <v>0</v>
      </c>
      <c r="Q2633">
        <f t="shared" si="415"/>
        <v>0</v>
      </c>
      <c r="R2633">
        <f t="shared" si="416"/>
        <v>0</v>
      </c>
      <c r="S2633">
        <f t="shared" si="417"/>
        <v>0</v>
      </c>
      <c r="T2633">
        <f t="shared" si="419"/>
        <v>0</v>
      </c>
      <c r="U2633">
        <f t="shared" si="418"/>
        <v>0</v>
      </c>
    </row>
    <row r="2634" spans="1:21" x14ac:dyDescent="0.25">
      <c r="A2634">
        <v>2633</v>
      </c>
      <c r="B2634">
        <v>2044</v>
      </c>
      <c r="C2634" t="s">
        <v>187</v>
      </c>
      <c r="D2634">
        <v>152.78</v>
      </c>
      <c r="E2634">
        <v>5785.82</v>
      </c>
      <c r="F2634">
        <v>71.75</v>
      </c>
      <c r="G2634">
        <v>17.05</v>
      </c>
      <c r="H2634">
        <v>13511.67</v>
      </c>
      <c r="I2634" s="80">
        <v>13181.27</v>
      </c>
      <c r="J2634">
        <v>43.79</v>
      </c>
      <c r="K2634">
        <v>3461.96</v>
      </c>
      <c r="L2634">
        <f t="shared" si="410"/>
        <v>0</v>
      </c>
      <c r="M2634">
        <f t="shared" si="411"/>
        <v>0</v>
      </c>
      <c r="N2634">
        <f t="shared" si="412"/>
        <v>0</v>
      </c>
      <c r="O2634">
        <f t="shared" si="413"/>
        <v>0</v>
      </c>
      <c r="P2634">
        <f t="shared" si="414"/>
        <v>0</v>
      </c>
      <c r="Q2634">
        <f t="shared" si="415"/>
        <v>0</v>
      </c>
      <c r="R2634">
        <f t="shared" si="416"/>
        <v>0</v>
      </c>
      <c r="S2634">
        <f t="shared" si="417"/>
        <v>0</v>
      </c>
      <c r="T2634">
        <f t="shared" si="419"/>
        <v>0</v>
      </c>
      <c r="U2634">
        <f t="shared" si="418"/>
        <v>0</v>
      </c>
    </row>
    <row r="2635" spans="1:21" x14ac:dyDescent="0.25">
      <c r="A2635">
        <v>2634</v>
      </c>
      <c r="B2635">
        <v>2044</v>
      </c>
      <c r="C2635" t="s">
        <v>189</v>
      </c>
      <c r="D2635">
        <v>269.23</v>
      </c>
      <c r="E2635">
        <v>3381.83</v>
      </c>
      <c r="F2635">
        <v>2.29</v>
      </c>
      <c r="G2635">
        <v>7.37</v>
      </c>
      <c r="H2635">
        <v>6074.23</v>
      </c>
      <c r="I2635" s="80">
        <v>7014.63</v>
      </c>
      <c r="J2635">
        <v>35.86</v>
      </c>
      <c r="K2635">
        <v>3837.32</v>
      </c>
      <c r="L2635">
        <f t="shared" si="410"/>
        <v>0</v>
      </c>
      <c r="M2635">
        <f t="shared" si="411"/>
        <v>0</v>
      </c>
      <c r="N2635">
        <f t="shared" si="412"/>
        <v>0</v>
      </c>
      <c r="O2635">
        <f t="shared" si="413"/>
        <v>0</v>
      </c>
      <c r="P2635">
        <f t="shared" si="414"/>
        <v>0</v>
      </c>
      <c r="Q2635">
        <f t="shared" si="415"/>
        <v>0</v>
      </c>
      <c r="R2635">
        <f t="shared" si="416"/>
        <v>0</v>
      </c>
      <c r="S2635">
        <f t="shared" si="417"/>
        <v>0</v>
      </c>
      <c r="T2635">
        <f t="shared" si="419"/>
        <v>0</v>
      </c>
      <c r="U2635">
        <f t="shared" si="418"/>
        <v>0</v>
      </c>
    </row>
    <row r="2636" spans="1:21" x14ac:dyDescent="0.25">
      <c r="A2636">
        <v>2635</v>
      </c>
      <c r="B2636">
        <v>2045</v>
      </c>
      <c r="C2636" t="s">
        <v>162</v>
      </c>
      <c r="D2636">
        <v>14.82</v>
      </c>
      <c r="E2636" s="89" t="s">
        <v>582</v>
      </c>
      <c r="F2636">
        <v>0.88</v>
      </c>
      <c r="G2636">
        <v>70.27</v>
      </c>
      <c r="H2636">
        <v>1.93</v>
      </c>
      <c r="I2636">
        <v>32.619999999999997</v>
      </c>
      <c r="J2636">
        <v>28.26</v>
      </c>
      <c r="K2636">
        <v>13.23</v>
      </c>
      <c r="L2636">
        <f t="shared" si="410"/>
        <v>0</v>
      </c>
      <c r="M2636">
        <f t="shared" si="411"/>
        <v>1</v>
      </c>
      <c r="N2636">
        <f t="shared" si="412"/>
        <v>0</v>
      </c>
      <c r="O2636">
        <f t="shared" si="413"/>
        <v>0</v>
      </c>
      <c r="P2636">
        <f t="shared" si="414"/>
        <v>0</v>
      </c>
      <c r="Q2636">
        <f t="shared" si="415"/>
        <v>0</v>
      </c>
      <c r="R2636">
        <f t="shared" si="416"/>
        <v>0</v>
      </c>
      <c r="S2636">
        <f t="shared" si="417"/>
        <v>0</v>
      </c>
      <c r="T2636">
        <f t="shared" si="419"/>
        <v>1</v>
      </c>
      <c r="U2636">
        <f t="shared" si="418"/>
        <v>1</v>
      </c>
    </row>
    <row r="2637" spans="1:21" x14ac:dyDescent="0.25">
      <c r="A2637">
        <v>2636</v>
      </c>
      <c r="B2637">
        <v>2045</v>
      </c>
      <c r="C2637" t="s">
        <v>170</v>
      </c>
      <c r="D2637">
        <v>40.130000000000003</v>
      </c>
      <c r="E2637" s="80">
        <v>102017.87</v>
      </c>
      <c r="F2637">
        <v>61.16</v>
      </c>
      <c r="G2637">
        <v>91.58</v>
      </c>
      <c r="H2637">
        <v>809.88</v>
      </c>
      <c r="I2637" s="80">
        <v>16104.97</v>
      </c>
      <c r="J2637">
        <v>42.18</v>
      </c>
      <c r="K2637">
        <v>1637.05</v>
      </c>
      <c r="L2637">
        <f t="shared" si="410"/>
        <v>0</v>
      </c>
      <c r="M2637">
        <f t="shared" si="411"/>
        <v>0</v>
      </c>
      <c r="N2637">
        <f t="shared" si="412"/>
        <v>0</v>
      </c>
      <c r="O2637">
        <f t="shared" si="413"/>
        <v>0</v>
      </c>
      <c r="P2637">
        <f t="shared" si="414"/>
        <v>0</v>
      </c>
      <c r="Q2637">
        <f t="shared" si="415"/>
        <v>0</v>
      </c>
      <c r="R2637">
        <f t="shared" si="416"/>
        <v>0</v>
      </c>
      <c r="S2637">
        <f t="shared" si="417"/>
        <v>0</v>
      </c>
      <c r="T2637">
        <f t="shared" si="419"/>
        <v>0</v>
      </c>
      <c r="U2637">
        <f t="shared" si="418"/>
        <v>0</v>
      </c>
    </row>
    <row r="2638" spans="1:21" x14ac:dyDescent="0.25">
      <c r="A2638">
        <v>2637</v>
      </c>
      <c r="B2638">
        <v>2045</v>
      </c>
      <c r="C2638" t="s">
        <v>178</v>
      </c>
      <c r="D2638">
        <v>67.39</v>
      </c>
      <c r="E2638" s="80">
        <v>101688.01</v>
      </c>
      <c r="F2638">
        <v>463.25</v>
      </c>
      <c r="G2638">
        <v>132.13</v>
      </c>
      <c r="H2638">
        <v>2885.52</v>
      </c>
      <c r="I2638" s="80">
        <v>18375.39</v>
      </c>
      <c r="J2638">
        <v>53.7</v>
      </c>
      <c r="K2638">
        <v>1821.52</v>
      </c>
      <c r="L2638">
        <f t="shared" si="410"/>
        <v>0</v>
      </c>
      <c r="M2638">
        <f t="shared" si="411"/>
        <v>0</v>
      </c>
      <c r="N2638">
        <f t="shared" si="412"/>
        <v>0</v>
      </c>
      <c r="O2638">
        <f t="shared" si="413"/>
        <v>0</v>
      </c>
      <c r="P2638">
        <f t="shared" si="414"/>
        <v>0</v>
      </c>
      <c r="Q2638">
        <f t="shared" si="415"/>
        <v>0</v>
      </c>
      <c r="R2638">
        <f t="shared" si="416"/>
        <v>0</v>
      </c>
      <c r="S2638">
        <f t="shared" si="417"/>
        <v>0</v>
      </c>
      <c r="T2638">
        <f t="shared" si="419"/>
        <v>0</v>
      </c>
      <c r="U2638">
        <f t="shared" si="418"/>
        <v>0</v>
      </c>
    </row>
    <row r="2639" spans="1:21" x14ac:dyDescent="0.25">
      <c r="A2639">
        <v>2638</v>
      </c>
      <c r="B2639">
        <v>2045</v>
      </c>
      <c r="C2639" t="s">
        <v>163</v>
      </c>
      <c r="D2639">
        <v>135.68</v>
      </c>
      <c r="E2639" s="80">
        <v>180999.06</v>
      </c>
      <c r="F2639">
        <v>813.37</v>
      </c>
      <c r="G2639">
        <v>196.15</v>
      </c>
      <c r="H2639">
        <v>6911.25</v>
      </c>
      <c r="I2639" s="80">
        <v>17828.7</v>
      </c>
      <c r="J2639">
        <v>76.41</v>
      </c>
      <c r="K2639" s="80">
        <v>16316.98</v>
      </c>
      <c r="L2639">
        <f t="shared" si="410"/>
        <v>0</v>
      </c>
      <c r="M2639">
        <f t="shared" si="411"/>
        <v>0</v>
      </c>
      <c r="N2639">
        <f t="shared" si="412"/>
        <v>0</v>
      </c>
      <c r="O2639">
        <f t="shared" si="413"/>
        <v>0</v>
      </c>
      <c r="P2639">
        <f t="shared" si="414"/>
        <v>0</v>
      </c>
      <c r="Q2639">
        <f t="shared" si="415"/>
        <v>0</v>
      </c>
      <c r="R2639">
        <f t="shared" si="416"/>
        <v>0</v>
      </c>
      <c r="S2639">
        <f t="shared" si="417"/>
        <v>0</v>
      </c>
      <c r="T2639">
        <f t="shared" si="419"/>
        <v>0</v>
      </c>
      <c r="U2639">
        <f t="shared" si="418"/>
        <v>0</v>
      </c>
    </row>
    <row r="2640" spans="1:21" x14ac:dyDescent="0.25">
      <c r="A2640">
        <v>2639</v>
      </c>
      <c r="B2640">
        <v>2045</v>
      </c>
      <c r="C2640" t="s">
        <v>181</v>
      </c>
      <c r="D2640">
        <v>11.79</v>
      </c>
      <c r="E2640" s="89" t="s">
        <v>582</v>
      </c>
      <c r="F2640">
        <v>0.75</v>
      </c>
      <c r="G2640">
        <v>55.31</v>
      </c>
      <c r="H2640">
        <v>98.28</v>
      </c>
      <c r="I2640">
        <v>518.88</v>
      </c>
      <c r="J2640">
        <v>22.46</v>
      </c>
      <c r="K2640">
        <v>256.12</v>
      </c>
      <c r="L2640">
        <f t="shared" si="410"/>
        <v>0</v>
      </c>
      <c r="M2640">
        <f t="shared" si="411"/>
        <v>1</v>
      </c>
      <c r="N2640">
        <f t="shared" si="412"/>
        <v>0</v>
      </c>
      <c r="O2640">
        <f t="shared" si="413"/>
        <v>0</v>
      </c>
      <c r="P2640">
        <f t="shared" si="414"/>
        <v>0</v>
      </c>
      <c r="Q2640">
        <f t="shared" si="415"/>
        <v>0</v>
      </c>
      <c r="R2640">
        <f t="shared" si="416"/>
        <v>0</v>
      </c>
      <c r="S2640">
        <f t="shared" si="417"/>
        <v>0</v>
      </c>
      <c r="T2640">
        <f t="shared" si="419"/>
        <v>1</v>
      </c>
      <c r="U2640">
        <f t="shared" si="418"/>
        <v>1</v>
      </c>
    </row>
    <row r="2641" spans="1:21" x14ac:dyDescent="0.25">
      <c r="A2641">
        <v>2640</v>
      </c>
      <c r="B2641">
        <v>2045</v>
      </c>
      <c r="C2641" t="s">
        <v>183</v>
      </c>
      <c r="D2641">
        <v>10.35</v>
      </c>
      <c r="E2641" s="80">
        <v>31735</v>
      </c>
      <c r="F2641">
        <v>496.8</v>
      </c>
      <c r="G2641">
        <v>70.27</v>
      </c>
      <c r="H2641">
        <v>1646.55</v>
      </c>
      <c r="I2641" s="80">
        <v>16764.099999999999</v>
      </c>
      <c r="J2641">
        <v>43.79</v>
      </c>
      <c r="K2641">
        <v>4240.2700000000004</v>
      </c>
      <c r="L2641">
        <f t="shared" si="410"/>
        <v>0</v>
      </c>
      <c r="M2641">
        <f t="shared" si="411"/>
        <v>0</v>
      </c>
      <c r="N2641">
        <f t="shared" si="412"/>
        <v>0</v>
      </c>
      <c r="O2641">
        <f t="shared" si="413"/>
        <v>0</v>
      </c>
      <c r="P2641">
        <f t="shared" si="414"/>
        <v>0</v>
      </c>
      <c r="Q2641">
        <f t="shared" si="415"/>
        <v>0</v>
      </c>
      <c r="R2641">
        <f t="shared" si="416"/>
        <v>0</v>
      </c>
      <c r="S2641">
        <f t="shared" si="417"/>
        <v>0</v>
      </c>
      <c r="T2641">
        <f t="shared" si="419"/>
        <v>0</v>
      </c>
      <c r="U2641">
        <f t="shared" si="418"/>
        <v>0</v>
      </c>
    </row>
    <row r="2642" spans="1:21" x14ac:dyDescent="0.25">
      <c r="A2642">
        <v>2641</v>
      </c>
      <c r="B2642">
        <v>2045</v>
      </c>
      <c r="C2642" t="s">
        <v>186</v>
      </c>
      <c r="D2642">
        <v>14.04</v>
      </c>
      <c r="E2642" s="80">
        <v>26796.31</v>
      </c>
      <c r="F2642">
        <v>1331.6</v>
      </c>
      <c r="G2642">
        <v>70.27</v>
      </c>
      <c r="H2642">
        <v>4226.8</v>
      </c>
      <c r="I2642" s="80">
        <v>19793.53</v>
      </c>
      <c r="J2642">
        <v>57.09</v>
      </c>
      <c r="K2642">
        <v>7035.32</v>
      </c>
      <c r="L2642">
        <f t="shared" si="410"/>
        <v>0</v>
      </c>
      <c r="M2642">
        <f t="shared" si="411"/>
        <v>0</v>
      </c>
      <c r="N2642">
        <f t="shared" si="412"/>
        <v>0</v>
      </c>
      <c r="O2642">
        <f t="shared" si="413"/>
        <v>0</v>
      </c>
      <c r="P2642">
        <f t="shared" si="414"/>
        <v>0</v>
      </c>
      <c r="Q2642">
        <f t="shared" si="415"/>
        <v>0</v>
      </c>
      <c r="R2642">
        <f t="shared" si="416"/>
        <v>0</v>
      </c>
      <c r="S2642">
        <f t="shared" si="417"/>
        <v>0</v>
      </c>
      <c r="T2642">
        <f t="shared" si="419"/>
        <v>0</v>
      </c>
      <c r="U2642">
        <f t="shared" si="418"/>
        <v>0</v>
      </c>
    </row>
    <row r="2643" spans="1:21" x14ac:dyDescent="0.25">
      <c r="A2643">
        <v>2642</v>
      </c>
      <c r="B2643">
        <v>2045</v>
      </c>
      <c r="C2643" t="s">
        <v>188</v>
      </c>
      <c r="D2643">
        <v>20.51</v>
      </c>
      <c r="E2643" s="80">
        <v>56088.35</v>
      </c>
      <c r="F2643">
        <v>426.91</v>
      </c>
      <c r="G2643">
        <v>86.11</v>
      </c>
      <c r="H2643">
        <v>2917.96</v>
      </c>
      <c r="I2643" s="80">
        <v>16555.84</v>
      </c>
      <c r="J2643">
        <v>78.22</v>
      </c>
      <c r="K2643" s="80">
        <v>8924.8799999999992</v>
      </c>
      <c r="L2643">
        <f t="shared" si="410"/>
        <v>0</v>
      </c>
      <c r="M2643">
        <f t="shared" si="411"/>
        <v>0</v>
      </c>
      <c r="N2643">
        <f t="shared" si="412"/>
        <v>0</v>
      </c>
      <c r="O2643">
        <f t="shared" si="413"/>
        <v>0</v>
      </c>
      <c r="P2643">
        <f t="shared" si="414"/>
        <v>0</v>
      </c>
      <c r="Q2643">
        <f t="shared" si="415"/>
        <v>0</v>
      </c>
      <c r="R2643">
        <f t="shared" si="416"/>
        <v>0</v>
      </c>
      <c r="S2643">
        <f t="shared" si="417"/>
        <v>0</v>
      </c>
      <c r="T2643">
        <f t="shared" si="419"/>
        <v>0</v>
      </c>
      <c r="U2643">
        <f t="shared" si="418"/>
        <v>0</v>
      </c>
    </row>
    <row r="2644" spans="1:21" x14ac:dyDescent="0.25">
      <c r="A2644">
        <v>2643</v>
      </c>
      <c r="B2644">
        <v>2045</v>
      </c>
      <c r="C2644" t="s">
        <v>182</v>
      </c>
      <c r="D2644" s="80">
        <v>0.42</v>
      </c>
      <c r="E2644">
        <v>2490.42</v>
      </c>
      <c r="F2644">
        <v>0.27</v>
      </c>
      <c r="G2644">
        <v>4.66</v>
      </c>
      <c r="H2644">
        <v>6.55</v>
      </c>
      <c r="I2644">
        <v>2511.52</v>
      </c>
      <c r="J2644">
        <v>4.84</v>
      </c>
      <c r="K2644">
        <v>4.42</v>
      </c>
      <c r="L2644">
        <f t="shared" si="410"/>
        <v>0</v>
      </c>
      <c r="M2644">
        <f t="shared" si="411"/>
        <v>0</v>
      </c>
      <c r="N2644">
        <f t="shared" si="412"/>
        <v>0</v>
      </c>
      <c r="O2644">
        <f t="shared" si="413"/>
        <v>0</v>
      </c>
      <c r="P2644">
        <f t="shared" si="414"/>
        <v>0</v>
      </c>
      <c r="Q2644">
        <f t="shared" si="415"/>
        <v>0</v>
      </c>
      <c r="R2644">
        <f t="shared" si="416"/>
        <v>0</v>
      </c>
      <c r="S2644">
        <f t="shared" si="417"/>
        <v>0</v>
      </c>
      <c r="T2644">
        <f t="shared" si="419"/>
        <v>0</v>
      </c>
      <c r="U2644">
        <f t="shared" si="418"/>
        <v>0</v>
      </c>
    </row>
    <row r="2645" spans="1:21" x14ac:dyDescent="0.25">
      <c r="A2645">
        <v>2644</v>
      </c>
      <c r="B2645">
        <v>2045</v>
      </c>
      <c r="C2645" t="s">
        <v>184</v>
      </c>
      <c r="D2645">
        <v>307.08999999999997</v>
      </c>
      <c r="E2645">
        <v>11777.17</v>
      </c>
      <c r="F2645">
        <v>105.79</v>
      </c>
      <c r="G2645">
        <v>80.739999999999995</v>
      </c>
      <c r="H2645">
        <v>8478.86</v>
      </c>
      <c r="I2645" s="80">
        <v>20645.169999999998</v>
      </c>
      <c r="J2645">
        <v>60.51</v>
      </c>
      <c r="K2645">
        <v>4920.1099999999997</v>
      </c>
      <c r="L2645">
        <f t="shared" si="410"/>
        <v>0</v>
      </c>
      <c r="M2645">
        <f t="shared" si="411"/>
        <v>0</v>
      </c>
      <c r="N2645">
        <f t="shared" si="412"/>
        <v>0</v>
      </c>
      <c r="O2645">
        <f t="shared" si="413"/>
        <v>0</v>
      </c>
      <c r="P2645">
        <f t="shared" si="414"/>
        <v>0</v>
      </c>
      <c r="Q2645">
        <f t="shared" si="415"/>
        <v>0</v>
      </c>
      <c r="R2645">
        <f t="shared" si="416"/>
        <v>0</v>
      </c>
      <c r="S2645">
        <f t="shared" si="417"/>
        <v>0</v>
      </c>
      <c r="T2645">
        <f t="shared" si="419"/>
        <v>0</v>
      </c>
      <c r="U2645">
        <f t="shared" si="418"/>
        <v>0</v>
      </c>
    </row>
    <row r="2646" spans="1:21" x14ac:dyDescent="0.25">
      <c r="A2646">
        <v>2645</v>
      </c>
      <c r="B2646">
        <v>2045</v>
      </c>
      <c r="C2646" t="s">
        <v>187</v>
      </c>
      <c r="D2646">
        <v>948.13</v>
      </c>
      <c r="E2646">
        <v>19064.02</v>
      </c>
      <c r="F2646">
        <v>702.31</v>
      </c>
      <c r="G2646">
        <v>126.1</v>
      </c>
      <c r="H2646" s="80">
        <v>35978.589999999997</v>
      </c>
      <c r="I2646" s="80">
        <v>21031.68</v>
      </c>
      <c r="J2646">
        <v>81.86</v>
      </c>
      <c r="K2646" s="80">
        <v>11379.77</v>
      </c>
      <c r="L2646">
        <f t="shared" si="410"/>
        <v>0</v>
      </c>
      <c r="M2646">
        <f t="shared" si="411"/>
        <v>0</v>
      </c>
      <c r="N2646">
        <f t="shared" si="412"/>
        <v>0</v>
      </c>
      <c r="O2646">
        <f t="shared" si="413"/>
        <v>0</v>
      </c>
      <c r="P2646">
        <f t="shared" si="414"/>
        <v>0</v>
      </c>
      <c r="Q2646">
        <f t="shared" si="415"/>
        <v>0</v>
      </c>
      <c r="R2646">
        <f t="shared" si="416"/>
        <v>0</v>
      </c>
      <c r="S2646">
        <f t="shared" si="417"/>
        <v>0</v>
      </c>
      <c r="T2646">
        <f t="shared" si="419"/>
        <v>0</v>
      </c>
      <c r="U2646">
        <f t="shared" si="418"/>
        <v>0</v>
      </c>
    </row>
    <row r="2647" spans="1:21" x14ac:dyDescent="0.25">
      <c r="A2647">
        <v>2646</v>
      </c>
      <c r="B2647">
        <v>2045</v>
      </c>
      <c r="C2647" t="s">
        <v>189</v>
      </c>
      <c r="D2647">
        <v>100.6</v>
      </c>
      <c r="E2647">
        <v>13387.8</v>
      </c>
      <c r="F2647">
        <v>28.63</v>
      </c>
      <c r="G2647">
        <v>114.28</v>
      </c>
      <c r="H2647" s="80">
        <v>26211.3</v>
      </c>
      <c r="I2647" s="80">
        <v>17149.14</v>
      </c>
      <c r="J2647">
        <v>74.61</v>
      </c>
      <c r="K2647" s="80">
        <v>43453.93</v>
      </c>
      <c r="L2647">
        <f t="shared" si="410"/>
        <v>0</v>
      </c>
      <c r="M2647">
        <f t="shared" si="411"/>
        <v>0</v>
      </c>
      <c r="N2647">
        <f t="shared" si="412"/>
        <v>0</v>
      </c>
      <c r="O2647">
        <f t="shared" si="413"/>
        <v>0</v>
      </c>
      <c r="P2647">
        <f t="shared" si="414"/>
        <v>0</v>
      </c>
      <c r="Q2647">
        <f t="shared" si="415"/>
        <v>0</v>
      </c>
      <c r="R2647">
        <f t="shared" si="416"/>
        <v>0</v>
      </c>
      <c r="S2647">
        <f t="shared" si="417"/>
        <v>0</v>
      </c>
      <c r="T2647">
        <f t="shared" si="419"/>
        <v>0</v>
      </c>
      <c r="U2647">
        <f t="shared" si="418"/>
        <v>0</v>
      </c>
    </row>
    <row r="2648" spans="1:21" x14ac:dyDescent="0.25">
      <c r="A2648">
        <v>2647</v>
      </c>
      <c r="B2648" t="s">
        <v>107</v>
      </c>
      <c r="C2648" t="s">
        <v>162</v>
      </c>
      <c r="D2648">
        <v>8.9700000000000006</v>
      </c>
      <c r="E2648" s="80">
        <v>36416.39</v>
      </c>
      <c r="F2648">
        <v>0.5</v>
      </c>
      <c r="G2648">
        <v>55.31</v>
      </c>
      <c r="H2648">
        <v>1.1000000000000001</v>
      </c>
      <c r="I2648">
        <v>4.26</v>
      </c>
      <c r="J2648">
        <v>18.29</v>
      </c>
      <c r="K2648">
        <v>6.1</v>
      </c>
      <c r="L2648">
        <f t="shared" si="410"/>
        <v>0</v>
      </c>
      <c r="M2648">
        <f t="shared" si="411"/>
        <v>0</v>
      </c>
      <c r="N2648">
        <f t="shared" si="412"/>
        <v>0</v>
      </c>
      <c r="O2648">
        <f t="shared" si="413"/>
        <v>0</v>
      </c>
      <c r="P2648">
        <f t="shared" si="414"/>
        <v>0</v>
      </c>
      <c r="Q2648">
        <f t="shared" si="415"/>
        <v>0</v>
      </c>
      <c r="R2648">
        <f t="shared" si="416"/>
        <v>0</v>
      </c>
      <c r="S2648">
        <f t="shared" si="417"/>
        <v>0</v>
      </c>
      <c r="T2648">
        <f t="shared" si="419"/>
        <v>0</v>
      </c>
      <c r="U2648">
        <f t="shared" si="418"/>
        <v>0</v>
      </c>
    </row>
    <row r="2649" spans="1:21" x14ac:dyDescent="0.25">
      <c r="A2649">
        <v>2648</v>
      </c>
      <c r="B2649" t="s">
        <v>107</v>
      </c>
      <c r="C2649" t="s">
        <v>170</v>
      </c>
      <c r="D2649">
        <v>13.28</v>
      </c>
      <c r="E2649">
        <v>22458.9</v>
      </c>
      <c r="F2649">
        <v>114.33</v>
      </c>
      <c r="G2649">
        <v>102.76</v>
      </c>
      <c r="H2649">
        <v>1649.38</v>
      </c>
      <c r="I2649" s="80">
        <v>7654.39</v>
      </c>
      <c r="J2649">
        <v>25.33</v>
      </c>
      <c r="K2649">
        <v>763.05</v>
      </c>
      <c r="L2649">
        <f t="shared" si="410"/>
        <v>0</v>
      </c>
      <c r="M2649">
        <f t="shared" si="411"/>
        <v>0</v>
      </c>
      <c r="N2649">
        <f t="shared" si="412"/>
        <v>0</v>
      </c>
      <c r="O2649">
        <f t="shared" si="413"/>
        <v>0</v>
      </c>
      <c r="P2649">
        <f t="shared" si="414"/>
        <v>0</v>
      </c>
      <c r="Q2649">
        <f t="shared" si="415"/>
        <v>0</v>
      </c>
      <c r="R2649">
        <f t="shared" si="416"/>
        <v>0</v>
      </c>
      <c r="S2649">
        <f t="shared" si="417"/>
        <v>0</v>
      </c>
      <c r="T2649">
        <f t="shared" si="419"/>
        <v>0</v>
      </c>
      <c r="U2649">
        <f t="shared" si="418"/>
        <v>0</v>
      </c>
    </row>
    <row r="2650" spans="1:21" x14ac:dyDescent="0.25">
      <c r="A2650">
        <v>2649</v>
      </c>
      <c r="B2650" t="s">
        <v>107</v>
      </c>
      <c r="C2650" t="s">
        <v>178</v>
      </c>
      <c r="D2650">
        <v>36.14</v>
      </c>
      <c r="E2650">
        <v>17600.439999999999</v>
      </c>
      <c r="F2650">
        <v>743.12</v>
      </c>
      <c r="G2650">
        <v>102.76</v>
      </c>
      <c r="H2650">
        <v>10319.549999999999</v>
      </c>
      <c r="I2650" s="80">
        <v>11948.01</v>
      </c>
      <c r="J2650">
        <v>38.99</v>
      </c>
      <c r="K2650">
        <v>1686.8</v>
      </c>
      <c r="L2650">
        <f t="shared" si="410"/>
        <v>0</v>
      </c>
      <c r="M2650">
        <f t="shared" si="411"/>
        <v>0</v>
      </c>
      <c r="N2650">
        <f t="shared" si="412"/>
        <v>0</v>
      </c>
      <c r="O2650">
        <f t="shared" si="413"/>
        <v>0</v>
      </c>
      <c r="P2650">
        <f t="shared" si="414"/>
        <v>0</v>
      </c>
      <c r="Q2650">
        <f t="shared" si="415"/>
        <v>0</v>
      </c>
      <c r="R2650">
        <f t="shared" si="416"/>
        <v>0</v>
      </c>
      <c r="S2650">
        <f t="shared" si="417"/>
        <v>0</v>
      </c>
      <c r="T2650">
        <f t="shared" si="419"/>
        <v>0</v>
      </c>
      <c r="U2650">
        <f t="shared" si="418"/>
        <v>0</v>
      </c>
    </row>
    <row r="2651" spans="1:21" x14ac:dyDescent="0.25">
      <c r="A2651">
        <v>2650</v>
      </c>
      <c r="B2651" t="s">
        <v>107</v>
      </c>
      <c r="C2651" t="s">
        <v>163</v>
      </c>
      <c r="D2651">
        <v>30.36</v>
      </c>
      <c r="E2651">
        <v>9064.74</v>
      </c>
      <c r="F2651">
        <v>241.71</v>
      </c>
      <c r="G2651">
        <v>126.1</v>
      </c>
      <c r="H2651">
        <v>13554.44</v>
      </c>
      <c r="I2651" s="80">
        <v>11030.94</v>
      </c>
      <c r="J2651">
        <v>45.41</v>
      </c>
      <c r="K2651">
        <v>6892.27</v>
      </c>
      <c r="L2651">
        <f t="shared" si="410"/>
        <v>0</v>
      </c>
      <c r="M2651">
        <f t="shared" si="411"/>
        <v>0</v>
      </c>
      <c r="N2651">
        <f t="shared" si="412"/>
        <v>0</v>
      </c>
      <c r="O2651">
        <f t="shared" si="413"/>
        <v>0</v>
      </c>
      <c r="P2651">
        <f t="shared" si="414"/>
        <v>0</v>
      </c>
      <c r="Q2651">
        <f t="shared" si="415"/>
        <v>0</v>
      </c>
      <c r="R2651">
        <f t="shared" si="416"/>
        <v>0</v>
      </c>
      <c r="S2651">
        <f t="shared" si="417"/>
        <v>0</v>
      </c>
      <c r="T2651">
        <f t="shared" si="419"/>
        <v>0</v>
      </c>
      <c r="U2651">
        <f t="shared" si="418"/>
        <v>0</v>
      </c>
    </row>
    <row r="2652" spans="1:21" x14ac:dyDescent="0.25">
      <c r="A2652">
        <v>2651</v>
      </c>
      <c r="B2652" t="s">
        <v>107</v>
      </c>
      <c r="C2652" s="89" t="s">
        <v>181</v>
      </c>
      <c r="D2652">
        <v>14.82</v>
      </c>
      <c r="E2652" s="89" t="s">
        <v>582</v>
      </c>
      <c r="F2652">
        <v>0.67</v>
      </c>
      <c r="G2652">
        <v>50.53</v>
      </c>
      <c r="H2652">
        <v>169.61</v>
      </c>
      <c r="I2652">
        <v>39.049999999999997</v>
      </c>
      <c r="J2652">
        <v>28.26</v>
      </c>
      <c r="K2652">
        <v>77.36</v>
      </c>
      <c r="L2652">
        <f t="shared" si="410"/>
        <v>0</v>
      </c>
      <c r="M2652">
        <f t="shared" si="411"/>
        <v>1</v>
      </c>
      <c r="N2652">
        <f t="shared" si="412"/>
        <v>0</v>
      </c>
      <c r="O2652">
        <f t="shared" si="413"/>
        <v>0</v>
      </c>
      <c r="P2652">
        <f t="shared" si="414"/>
        <v>0</v>
      </c>
      <c r="Q2652">
        <f t="shared" si="415"/>
        <v>0</v>
      </c>
      <c r="R2652">
        <f t="shared" si="416"/>
        <v>0</v>
      </c>
      <c r="S2652">
        <f t="shared" si="417"/>
        <v>0</v>
      </c>
      <c r="T2652">
        <f t="shared" si="419"/>
        <v>1</v>
      </c>
      <c r="U2652">
        <f t="shared" si="418"/>
        <v>1</v>
      </c>
    </row>
    <row r="2653" spans="1:21" x14ac:dyDescent="0.25">
      <c r="A2653">
        <v>2652</v>
      </c>
      <c r="B2653" t="s">
        <v>107</v>
      </c>
      <c r="C2653" t="s">
        <v>183</v>
      </c>
      <c r="D2653">
        <v>18.829999999999998</v>
      </c>
      <c r="E2653" s="80">
        <v>29241.75</v>
      </c>
      <c r="F2653">
        <v>167.32</v>
      </c>
      <c r="G2653">
        <v>80.739999999999995</v>
      </c>
      <c r="H2653">
        <v>4165.18</v>
      </c>
      <c r="I2653" s="80">
        <v>16239.67</v>
      </c>
      <c r="J2653">
        <v>40.58</v>
      </c>
      <c r="K2653">
        <v>5157.01</v>
      </c>
      <c r="L2653">
        <f t="shared" si="410"/>
        <v>0</v>
      </c>
      <c r="M2653">
        <f t="shared" si="411"/>
        <v>0</v>
      </c>
      <c r="N2653">
        <f t="shared" si="412"/>
        <v>0</v>
      </c>
      <c r="O2653">
        <f t="shared" si="413"/>
        <v>0</v>
      </c>
      <c r="P2653">
        <f t="shared" si="414"/>
        <v>0</v>
      </c>
      <c r="Q2653">
        <f t="shared" si="415"/>
        <v>0</v>
      </c>
      <c r="R2653">
        <f t="shared" si="416"/>
        <v>0</v>
      </c>
      <c r="S2653">
        <f t="shared" si="417"/>
        <v>0</v>
      </c>
      <c r="T2653">
        <f t="shared" si="419"/>
        <v>0</v>
      </c>
      <c r="U2653">
        <f t="shared" si="418"/>
        <v>0</v>
      </c>
    </row>
    <row r="2654" spans="1:21" x14ac:dyDescent="0.25">
      <c r="A2654">
        <v>2653</v>
      </c>
      <c r="B2654" t="s">
        <v>107</v>
      </c>
      <c r="C2654" t="s">
        <v>186</v>
      </c>
      <c r="D2654">
        <v>16.39</v>
      </c>
      <c r="E2654">
        <v>16924.53</v>
      </c>
      <c r="F2654">
        <v>713.84</v>
      </c>
      <c r="G2654">
        <v>91.58</v>
      </c>
      <c r="H2654">
        <v>14319.79</v>
      </c>
      <c r="I2654" s="80">
        <v>19674.96</v>
      </c>
      <c r="J2654">
        <v>62.24</v>
      </c>
      <c r="K2654" s="80">
        <v>11311.35</v>
      </c>
      <c r="L2654">
        <f t="shared" si="410"/>
        <v>0</v>
      </c>
      <c r="M2654">
        <f t="shared" si="411"/>
        <v>0</v>
      </c>
      <c r="N2654">
        <f t="shared" si="412"/>
        <v>0</v>
      </c>
      <c r="O2654">
        <f t="shared" si="413"/>
        <v>0</v>
      </c>
      <c r="P2654">
        <f t="shared" si="414"/>
        <v>0</v>
      </c>
      <c r="Q2654">
        <f t="shared" si="415"/>
        <v>0</v>
      </c>
      <c r="R2654">
        <f t="shared" si="416"/>
        <v>0</v>
      </c>
      <c r="S2654">
        <f t="shared" si="417"/>
        <v>0</v>
      </c>
      <c r="T2654">
        <f t="shared" si="419"/>
        <v>0</v>
      </c>
      <c r="U2654">
        <f t="shared" si="418"/>
        <v>0</v>
      </c>
    </row>
    <row r="2655" spans="1:21" x14ac:dyDescent="0.25">
      <c r="A2655">
        <v>2654</v>
      </c>
      <c r="B2655" t="s">
        <v>107</v>
      </c>
      <c r="C2655" t="s">
        <v>188</v>
      </c>
      <c r="D2655">
        <v>20.51</v>
      </c>
      <c r="E2655" s="80">
        <v>50460.38</v>
      </c>
      <c r="F2655">
        <v>143.66999999999999</v>
      </c>
      <c r="G2655">
        <v>102.76</v>
      </c>
      <c r="H2655">
        <v>6030.13</v>
      </c>
      <c r="I2655" s="80">
        <v>14382.6</v>
      </c>
      <c r="J2655">
        <v>67.489999999999995</v>
      </c>
      <c r="K2655" s="80">
        <v>11646.94</v>
      </c>
      <c r="L2655">
        <f t="shared" si="410"/>
        <v>0</v>
      </c>
      <c r="M2655">
        <f t="shared" si="411"/>
        <v>0</v>
      </c>
      <c r="N2655">
        <f t="shared" si="412"/>
        <v>0</v>
      </c>
      <c r="O2655">
        <f t="shared" si="413"/>
        <v>0</v>
      </c>
      <c r="P2655">
        <f t="shared" si="414"/>
        <v>0</v>
      </c>
      <c r="Q2655">
        <f t="shared" si="415"/>
        <v>0</v>
      </c>
      <c r="R2655">
        <f t="shared" si="416"/>
        <v>0</v>
      </c>
      <c r="S2655">
        <f t="shared" si="417"/>
        <v>0</v>
      </c>
      <c r="T2655">
        <f t="shared" si="419"/>
        <v>0</v>
      </c>
      <c r="U2655">
        <f t="shared" si="418"/>
        <v>0</v>
      </c>
    </row>
    <row r="2656" spans="1:21" x14ac:dyDescent="0.25">
      <c r="A2656">
        <v>2655</v>
      </c>
      <c r="B2656" t="s">
        <v>107</v>
      </c>
      <c r="C2656" t="s">
        <v>182</v>
      </c>
      <c r="D2656" t="s">
        <v>583</v>
      </c>
      <c r="E2656">
        <v>32.49</v>
      </c>
      <c r="F2656">
        <v>0.01</v>
      </c>
      <c r="G2656">
        <v>4.66</v>
      </c>
      <c r="H2656" t="s">
        <v>583</v>
      </c>
      <c r="I2656">
        <v>0.11</v>
      </c>
      <c r="J2656" s="80">
        <v>1.1100000000000001</v>
      </c>
      <c r="K2656">
        <v>0.18</v>
      </c>
      <c r="L2656">
        <f t="shared" si="410"/>
        <v>0</v>
      </c>
      <c r="M2656">
        <f t="shared" si="411"/>
        <v>0</v>
      </c>
      <c r="N2656">
        <f t="shared" si="412"/>
        <v>0</v>
      </c>
      <c r="O2656">
        <f t="shared" si="413"/>
        <v>0</v>
      </c>
      <c r="P2656">
        <f t="shared" si="414"/>
        <v>0</v>
      </c>
      <c r="Q2656">
        <f t="shared" si="415"/>
        <v>0</v>
      </c>
      <c r="R2656">
        <f t="shared" si="416"/>
        <v>0</v>
      </c>
      <c r="S2656">
        <f t="shared" si="417"/>
        <v>0</v>
      </c>
      <c r="T2656">
        <f t="shared" si="419"/>
        <v>0</v>
      </c>
      <c r="U2656">
        <f t="shared" si="418"/>
        <v>0</v>
      </c>
    </row>
    <row r="2657" spans="1:21" x14ac:dyDescent="0.25">
      <c r="A2657">
        <v>2656</v>
      </c>
      <c r="B2657" t="s">
        <v>107</v>
      </c>
      <c r="C2657" t="s">
        <v>184</v>
      </c>
      <c r="D2657" t="s">
        <v>583</v>
      </c>
      <c r="E2657">
        <v>102.25</v>
      </c>
      <c r="F2657">
        <v>0.2</v>
      </c>
      <c r="G2657" s="80">
        <v>0.51</v>
      </c>
      <c r="H2657">
        <v>191.63</v>
      </c>
      <c r="I2657">
        <v>235.91</v>
      </c>
      <c r="J2657" t="s">
        <v>583</v>
      </c>
      <c r="K2657">
        <v>11.9</v>
      </c>
      <c r="L2657">
        <f t="shared" si="410"/>
        <v>0</v>
      </c>
      <c r="M2657">
        <f t="shared" si="411"/>
        <v>0</v>
      </c>
      <c r="N2657">
        <f t="shared" si="412"/>
        <v>0</v>
      </c>
      <c r="O2657">
        <f t="shared" si="413"/>
        <v>0</v>
      </c>
      <c r="P2657">
        <f t="shared" si="414"/>
        <v>0</v>
      </c>
      <c r="Q2657">
        <f t="shared" si="415"/>
        <v>0</v>
      </c>
      <c r="R2657">
        <f t="shared" si="416"/>
        <v>0</v>
      </c>
      <c r="S2657">
        <f t="shared" si="417"/>
        <v>0</v>
      </c>
      <c r="T2657">
        <f t="shared" si="419"/>
        <v>0</v>
      </c>
      <c r="U2657">
        <f t="shared" si="418"/>
        <v>0</v>
      </c>
    </row>
    <row r="2658" spans="1:21" x14ac:dyDescent="0.25">
      <c r="A2658">
        <v>2657</v>
      </c>
      <c r="B2658" t="s">
        <v>107</v>
      </c>
      <c r="C2658" t="s">
        <v>187</v>
      </c>
      <c r="D2658" t="s">
        <v>583</v>
      </c>
      <c r="E2658">
        <v>75.02</v>
      </c>
      <c r="F2658">
        <v>0.23</v>
      </c>
      <c r="G2658" s="80">
        <v>0.51</v>
      </c>
      <c r="H2658">
        <v>184.23</v>
      </c>
      <c r="I2658">
        <v>111.06</v>
      </c>
      <c r="J2658" t="s">
        <v>583</v>
      </c>
      <c r="K2658">
        <v>18.89</v>
      </c>
      <c r="L2658">
        <f t="shared" si="410"/>
        <v>0</v>
      </c>
      <c r="M2658">
        <f t="shared" si="411"/>
        <v>0</v>
      </c>
      <c r="N2658">
        <f t="shared" si="412"/>
        <v>0</v>
      </c>
      <c r="O2658">
        <f t="shared" si="413"/>
        <v>0</v>
      </c>
      <c r="P2658">
        <f t="shared" si="414"/>
        <v>0</v>
      </c>
      <c r="Q2658">
        <f t="shared" si="415"/>
        <v>0</v>
      </c>
      <c r="R2658">
        <f t="shared" si="416"/>
        <v>0</v>
      </c>
      <c r="S2658">
        <f t="shared" si="417"/>
        <v>0</v>
      </c>
      <c r="T2658">
        <f t="shared" si="419"/>
        <v>0</v>
      </c>
      <c r="U2658">
        <f t="shared" si="418"/>
        <v>0</v>
      </c>
    </row>
    <row r="2659" spans="1:21" x14ac:dyDescent="0.25">
      <c r="A2659">
        <v>2658</v>
      </c>
      <c r="B2659" t="s">
        <v>107</v>
      </c>
      <c r="C2659" t="s">
        <v>189</v>
      </c>
      <c r="D2659" t="s">
        <v>583</v>
      </c>
      <c r="E2659">
        <v>54.98</v>
      </c>
      <c r="F2659" t="s">
        <v>583</v>
      </c>
      <c r="G2659" t="s">
        <v>583</v>
      </c>
      <c r="H2659">
        <v>64.760000000000005</v>
      </c>
      <c r="I2659">
        <v>19.239999999999998</v>
      </c>
      <c r="J2659" s="80">
        <v>1.1100000000000001</v>
      </c>
      <c r="K2659">
        <v>18.89</v>
      </c>
      <c r="L2659">
        <f t="shared" si="410"/>
        <v>0</v>
      </c>
      <c r="M2659">
        <f t="shared" si="411"/>
        <v>0</v>
      </c>
      <c r="N2659">
        <f t="shared" si="412"/>
        <v>0</v>
      </c>
      <c r="O2659">
        <f t="shared" si="413"/>
        <v>0</v>
      </c>
      <c r="P2659">
        <f t="shared" si="414"/>
        <v>0</v>
      </c>
      <c r="Q2659">
        <f t="shared" si="415"/>
        <v>0</v>
      </c>
      <c r="R2659">
        <f t="shared" si="416"/>
        <v>0</v>
      </c>
      <c r="S2659">
        <f t="shared" si="417"/>
        <v>0</v>
      </c>
      <c r="T2659">
        <f t="shared" si="419"/>
        <v>0</v>
      </c>
      <c r="U2659">
        <f t="shared" si="418"/>
        <v>0</v>
      </c>
    </row>
    <row r="2660" spans="1:21" x14ac:dyDescent="0.25">
      <c r="A2660">
        <v>2659</v>
      </c>
      <c r="B2660" t="s">
        <v>102</v>
      </c>
      <c r="C2660" t="s">
        <v>162</v>
      </c>
      <c r="D2660">
        <v>8.2899999999999991</v>
      </c>
      <c r="E2660" s="80">
        <v>114788.05</v>
      </c>
      <c r="F2660">
        <v>0.62</v>
      </c>
      <c r="G2660">
        <v>50.53</v>
      </c>
      <c r="H2660">
        <v>1.1000000000000001</v>
      </c>
      <c r="I2660">
        <v>4.96</v>
      </c>
      <c r="J2660">
        <v>25.33</v>
      </c>
      <c r="K2660">
        <v>3.92</v>
      </c>
      <c r="L2660">
        <f t="shared" si="410"/>
        <v>0</v>
      </c>
      <c r="M2660">
        <f t="shared" si="411"/>
        <v>0</v>
      </c>
      <c r="N2660">
        <f t="shared" si="412"/>
        <v>0</v>
      </c>
      <c r="O2660">
        <f t="shared" si="413"/>
        <v>0</v>
      </c>
      <c r="P2660">
        <f t="shared" si="414"/>
        <v>0</v>
      </c>
      <c r="Q2660">
        <f t="shared" si="415"/>
        <v>0</v>
      </c>
      <c r="R2660">
        <f t="shared" si="416"/>
        <v>0</v>
      </c>
      <c r="S2660">
        <f t="shared" si="417"/>
        <v>0</v>
      </c>
      <c r="T2660">
        <f t="shared" si="419"/>
        <v>0</v>
      </c>
      <c r="U2660">
        <f t="shared" si="418"/>
        <v>0</v>
      </c>
    </row>
    <row r="2661" spans="1:21" x14ac:dyDescent="0.25">
      <c r="A2661">
        <v>2660</v>
      </c>
      <c r="B2661" t="s">
        <v>102</v>
      </c>
      <c r="C2661" t="s">
        <v>170</v>
      </c>
      <c r="D2661">
        <v>108.44</v>
      </c>
      <c r="E2661" s="80">
        <v>34402.879999999997</v>
      </c>
      <c r="F2661">
        <v>86.66</v>
      </c>
      <c r="G2661">
        <v>114.28</v>
      </c>
      <c r="H2661">
        <v>4680.8900000000003</v>
      </c>
      <c r="I2661" s="80">
        <v>18139.61</v>
      </c>
      <c r="J2661">
        <v>53.7</v>
      </c>
      <c r="K2661">
        <v>4159.09</v>
      </c>
      <c r="L2661">
        <f t="shared" si="410"/>
        <v>0</v>
      </c>
      <c r="M2661">
        <f t="shared" si="411"/>
        <v>0</v>
      </c>
      <c r="N2661">
        <f t="shared" si="412"/>
        <v>0</v>
      </c>
      <c r="O2661">
        <f t="shared" si="413"/>
        <v>0</v>
      </c>
      <c r="P2661">
        <f t="shared" si="414"/>
        <v>0</v>
      </c>
      <c r="Q2661">
        <f t="shared" si="415"/>
        <v>0</v>
      </c>
      <c r="R2661">
        <f t="shared" si="416"/>
        <v>0</v>
      </c>
      <c r="S2661">
        <f t="shared" si="417"/>
        <v>0</v>
      </c>
      <c r="T2661">
        <f t="shared" si="419"/>
        <v>0</v>
      </c>
      <c r="U2661">
        <f t="shared" si="418"/>
        <v>0</v>
      </c>
    </row>
    <row r="2662" spans="1:21" x14ac:dyDescent="0.25">
      <c r="A2662" s="2">
        <v>2661</v>
      </c>
      <c r="B2662" s="10" t="s">
        <v>102</v>
      </c>
      <c r="C2662" t="s">
        <v>178</v>
      </c>
      <c r="D2662">
        <v>390.48</v>
      </c>
      <c r="E2662" s="80">
        <v>40874.86</v>
      </c>
      <c r="F2662">
        <v>762.93</v>
      </c>
      <c r="G2662">
        <v>62.78</v>
      </c>
      <c r="H2662" s="80">
        <v>56349.39</v>
      </c>
      <c r="I2662" s="80">
        <v>91297.53</v>
      </c>
      <c r="J2662">
        <v>24.1</v>
      </c>
      <c r="K2662">
        <v>6542.57</v>
      </c>
      <c r="L2662">
        <f t="shared" si="410"/>
        <v>0</v>
      </c>
      <c r="M2662">
        <f t="shared" si="411"/>
        <v>0</v>
      </c>
      <c r="N2662">
        <f t="shared" si="412"/>
        <v>0</v>
      </c>
      <c r="O2662">
        <f t="shared" si="413"/>
        <v>0</v>
      </c>
      <c r="P2662">
        <f t="shared" si="414"/>
        <v>0</v>
      </c>
      <c r="Q2662">
        <f t="shared" si="415"/>
        <v>0</v>
      </c>
      <c r="R2662">
        <f t="shared" si="416"/>
        <v>0</v>
      </c>
      <c r="S2662">
        <f t="shared" si="417"/>
        <v>0</v>
      </c>
      <c r="T2662">
        <f t="shared" si="419"/>
        <v>0</v>
      </c>
      <c r="U2662">
        <f t="shared" si="418"/>
        <v>0</v>
      </c>
    </row>
    <row r="2663" spans="1:21" x14ac:dyDescent="0.25">
      <c r="A2663" s="2">
        <v>2662</v>
      </c>
      <c r="B2663" s="10" t="s">
        <v>102</v>
      </c>
      <c r="C2663" t="s">
        <v>163</v>
      </c>
      <c r="D2663">
        <v>1296.1099999999999</v>
      </c>
      <c r="E2663" s="80">
        <v>40663.5</v>
      </c>
      <c r="F2663">
        <v>213.18</v>
      </c>
      <c r="G2663">
        <v>71.81</v>
      </c>
      <c r="H2663" s="80">
        <v>30882.240000000002</v>
      </c>
      <c r="I2663" s="80">
        <v>74215.77</v>
      </c>
      <c r="J2663">
        <v>38.909999999999997</v>
      </c>
      <c r="K2663" s="89" t="s">
        <v>582</v>
      </c>
      <c r="L2663">
        <f t="shared" si="410"/>
        <v>0</v>
      </c>
      <c r="M2663">
        <f t="shared" si="411"/>
        <v>0</v>
      </c>
      <c r="N2663">
        <f t="shared" si="412"/>
        <v>0</v>
      </c>
      <c r="O2663">
        <f t="shared" si="413"/>
        <v>0</v>
      </c>
      <c r="P2663">
        <f t="shared" si="414"/>
        <v>0</v>
      </c>
      <c r="Q2663">
        <f t="shared" si="415"/>
        <v>0</v>
      </c>
      <c r="R2663">
        <f t="shared" si="416"/>
        <v>0</v>
      </c>
      <c r="S2663">
        <f t="shared" si="417"/>
        <v>1</v>
      </c>
      <c r="T2663">
        <f t="shared" si="419"/>
        <v>1</v>
      </c>
      <c r="U2663">
        <f t="shared" si="418"/>
        <v>1</v>
      </c>
    </row>
    <row r="2664" spans="1:21" x14ac:dyDescent="0.25">
      <c r="A2664" s="2">
        <v>2663</v>
      </c>
      <c r="B2664" s="10" t="s">
        <v>102</v>
      </c>
      <c r="C2664" s="89" t="s">
        <v>181</v>
      </c>
      <c r="D2664" t="s">
        <v>583</v>
      </c>
      <c r="E2664" s="89" t="s">
        <v>582</v>
      </c>
      <c r="F2664">
        <v>0.24</v>
      </c>
      <c r="G2664">
        <v>16.940000000000001</v>
      </c>
      <c r="H2664">
        <v>1.19</v>
      </c>
      <c r="I2664">
        <v>68.81</v>
      </c>
      <c r="J2664">
        <v>0.81</v>
      </c>
      <c r="K2664">
        <v>14.04</v>
      </c>
      <c r="L2664">
        <f t="shared" si="410"/>
        <v>0</v>
      </c>
      <c r="M2664">
        <f t="shared" si="411"/>
        <v>1</v>
      </c>
      <c r="N2664">
        <f t="shared" si="412"/>
        <v>0</v>
      </c>
      <c r="O2664">
        <f t="shared" si="413"/>
        <v>0</v>
      </c>
      <c r="P2664">
        <f t="shared" si="414"/>
        <v>0</v>
      </c>
      <c r="Q2664">
        <f t="shared" si="415"/>
        <v>0</v>
      </c>
      <c r="R2664">
        <f t="shared" si="416"/>
        <v>0</v>
      </c>
      <c r="S2664">
        <f t="shared" si="417"/>
        <v>0</v>
      </c>
      <c r="T2664">
        <f t="shared" si="419"/>
        <v>1</v>
      </c>
      <c r="U2664">
        <f t="shared" si="418"/>
        <v>1</v>
      </c>
    </row>
    <row r="2665" spans="1:21" x14ac:dyDescent="0.25">
      <c r="A2665" s="2">
        <v>2664</v>
      </c>
      <c r="B2665" s="10" t="s">
        <v>102</v>
      </c>
      <c r="C2665" s="89" t="s">
        <v>183</v>
      </c>
      <c r="D2665">
        <v>9.4600000000000009</v>
      </c>
      <c r="E2665" s="89" t="s">
        <v>582</v>
      </c>
      <c r="F2665">
        <v>930.16</v>
      </c>
      <c r="G2665">
        <v>81.16</v>
      </c>
      <c r="H2665">
        <v>11977.98</v>
      </c>
      <c r="I2665" s="80">
        <v>117616.94</v>
      </c>
      <c r="J2665">
        <v>26.46</v>
      </c>
      <c r="K2665" s="80">
        <v>9568.9699999999993</v>
      </c>
      <c r="L2665">
        <f t="shared" si="410"/>
        <v>0</v>
      </c>
      <c r="M2665">
        <f t="shared" si="411"/>
        <v>1</v>
      </c>
      <c r="N2665">
        <f t="shared" si="412"/>
        <v>0</v>
      </c>
      <c r="O2665">
        <f t="shared" si="413"/>
        <v>0</v>
      </c>
      <c r="P2665">
        <f t="shared" si="414"/>
        <v>0</v>
      </c>
      <c r="Q2665">
        <f t="shared" si="415"/>
        <v>0</v>
      </c>
      <c r="R2665">
        <f t="shared" si="416"/>
        <v>0</v>
      </c>
      <c r="S2665">
        <f t="shared" si="417"/>
        <v>0</v>
      </c>
      <c r="T2665">
        <f t="shared" si="419"/>
        <v>1</v>
      </c>
      <c r="U2665">
        <f t="shared" si="418"/>
        <v>1</v>
      </c>
    </row>
    <row r="2666" spans="1:21" x14ac:dyDescent="0.25">
      <c r="A2666" s="2">
        <v>2665</v>
      </c>
      <c r="B2666" s="10" t="s">
        <v>102</v>
      </c>
      <c r="C2666" s="89" t="s">
        <v>186</v>
      </c>
      <c r="D2666">
        <v>12.9</v>
      </c>
      <c r="E2666" s="89" t="s">
        <v>582</v>
      </c>
      <c r="F2666">
        <v>5729.37</v>
      </c>
      <c r="G2666">
        <v>90.82</v>
      </c>
      <c r="H2666" s="89" t="s">
        <v>582</v>
      </c>
      <c r="I2666" s="80">
        <v>133995.43</v>
      </c>
      <c r="J2666">
        <v>44.15</v>
      </c>
      <c r="K2666" s="80">
        <v>50141.25</v>
      </c>
      <c r="L2666">
        <f t="shared" si="410"/>
        <v>0</v>
      </c>
      <c r="M2666">
        <f t="shared" si="411"/>
        <v>1</v>
      </c>
      <c r="N2666">
        <f t="shared" si="412"/>
        <v>0</v>
      </c>
      <c r="O2666">
        <f t="shared" si="413"/>
        <v>0</v>
      </c>
      <c r="P2666">
        <f t="shared" si="414"/>
        <v>1</v>
      </c>
      <c r="Q2666">
        <f t="shared" si="415"/>
        <v>0</v>
      </c>
      <c r="R2666">
        <f t="shared" si="416"/>
        <v>0</v>
      </c>
      <c r="S2666">
        <f t="shared" si="417"/>
        <v>0</v>
      </c>
      <c r="T2666">
        <f t="shared" si="419"/>
        <v>2</v>
      </c>
      <c r="U2666">
        <f t="shared" si="418"/>
        <v>1</v>
      </c>
    </row>
    <row r="2667" spans="1:21" x14ac:dyDescent="0.25">
      <c r="A2667" s="2">
        <v>2666</v>
      </c>
      <c r="B2667" s="10" t="s">
        <v>102</v>
      </c>
      <c r="C2667" s="105" t="s">
        <v>188</v>
      </c>
      <c r="D2667">
        <v>8.16</v>
      </c>
      <c r="E2667" s="89" t="s">
        <v>582</v>
      </c>
      <c r="F2667">
        <v>664.92</v>
      </c>
      <c r="G2667">
        <v>90.82</v>
      </c>
      <c r="H2667">
        <v>14368.73</v>
      </c>
      <c r="I2667" s="80">
        <v>112361.14</v>
      </c>
      <c r="J2667">
        <v>41.51</v>
      </c>
      <c r="K2667" s="89" t="s">
        <v>582</v>
      </c>
      <c r="L2667">
        <f t="shared" si="410"/>
        <v>0</v>
      </c>
      <c r="M2667">
        <f t="shared" si="411"/>
        <v>1</v>
      </c>
      <c r="N2667">
        <f t="shared" si="412"/>
        <v>0</v>
      </c>
      <c r="O2667">
        <f t="shared" si="413"/>
        <v>0</v>
      </c>
      <c r="P2667">
        <f t="shared" si="414"/>
        <v>0</v>
      </c>
      <c r="Q2667">
        <f t="shared" si="415"/>
        <v>0</v>
      </c>
      <c r="R2667">
        <f t="shared" si="416"/>
        <v>0</v>
      </c>
      <c r="S2667">
        <f t="shared" si="417"/>
        <v>1</v>
      </c>
      <c r="T2667">
        <f t="shared" si="419"/>
        <v>2</v>
      </c>
      <c r="U2667">
        <f t="shared" si="418"/>
        <v>1</v>
      </c>
    </row>
    <row r="2668" spans="1:21" x14ac:dyDescent="0.25">
      <c r="A2668" s="2">
        <v>2667</v>
      </c>
      <c r="B2668" s="10" t="s">
        <v>102</v>
      </c>
      <c r="C2668" s="43" t="s">
        <v>182</v>
      </c>
      <c r="D2668" t="s">
        <v>583</v>
      </c>
      <c r="E2668">
        <v>4836.24</v>
      </c>
      <c r="F2668">
        <v>0.08</v>
      </c>
      <c r="G2668" s="80">
        <v>1.96</v>
      </c>
      <c r="H2668">
        <v>1.44</v>
      </c>
      <c r="I2668">
        <v>46.44</v>
      </c>
      <c r="J2668" t="s">
        <v>583</v>
      </c>
      <c r="K2668">
        <v>0.54</v>
      </c>
      <c r="L2668">
        <f t="shared" si="410"/>
        <v>0</v>
      </c>
      <c r="M2668">
        <f t="shared" si="411"/>
        <v>0</v>
      </c>
      <c r="N2668">
        <f t="shared" si="412"/>
        <v>0</v>
      </c>
      <c r="O2668">
        <f t="shared" si="413"/>
        <v>0</v>
      </c>
      <c r="P2668">
        <f t="shared" si="414"/>
        <v>0</v>
      </c>
      <c r="Q2668">
        <f t="shared" si="415"/>
        <v>0</v>
      </c>
      <c r="R2668">
        <f t="shared" si="416"/>
        <v>0</v>
      </c>
      <c r="S2668">
        <f t="shared" si="417"/>
        <v>0</v>
      </c>
      <c r="T2668">
        <f t="shared" si="419"/>
        <v>0</v>
      </c>
      <c r="U2668">
        <f t="shared" si="418"/>
        <v>0</v>
      </c>
    </row>
    <row r="2669" spans="1:21" x14ac:dyDescent="0.25">
      <c r="A2669" s="2">
        <v>2668</v>
      </c>
      <c r="B2669" s="10" t="s">
        <v>102</v>
      </c>
      <c r="C2669" s="43" t="s">
        <v>184</v>
      </c>
      <c r="D2669">
        <v>3.01</v>
      </c>
      <c r="E2669">
        <v>6736.06</v>
      </c>
      <c r="F2669">
        <v>116.92</v>
      </c>
      <c r="G2669">
        <v>30.4</v>
      </c>
      <c r="H2669">
        <v>7857.07</v>
      </c>
      <c r="I2669" s="80">
        <v>54955.03</v>
      </c>
      <c r="J2669">
        <v>10.97</v>
      </c>
      <c r="K2669">
        <v>3832.2</v>
      </c>
      <c r="L2669">
        <f t="shared" si="410"/>
        <v>0</v>
      </c>
      <c r="M2669">
        <f t="shared" si="411"/>
        <v>0</v>
      </c>
      <c r="N2669">
        <f t="shared" si="412"/>
        <v>0</v>
      </c>
      <c r="O2669">
        <f t="shared" si="413"/>
        <v>0</v>
      </c>
      <c r="P2669">
        <f t="shared" si="414"/>
        <v>0</v>
      </c>
      <c r="Q2669">
        <f t="shared" si="415"/>
        <v>0</v>
      </c>
      <c r="R2669">
        <f t="shared" si="416"/>
        <v>0</v>
      </c>
      <c r="S2669">
        <f t="shared" si="417"/>
        <v>0</v>
      </c>
      <c r="T2669">
        <f t="shared" si="419"/>
        <v>0</v>
      </c>
      <c r="U2669">
        <f t="shared" si="418"/>
        <v>0</v>
      </c>
    </row>
    <row r="2670" spans="1:21" x14ac:dyDescent="0.25">
      <c r="A2670" s="2">
        <v>2669</v>
      </c>
      <c r="B2670" s="10" t="s">
        <v>102</v>
      </c>
      <c r="C2670" s="43" t="s">
        <v>187</v>
      </c>
      <c r="D2670">
        <v>12.9</v>
      </c>
      <c r="E2670">
        <v>6874.42</v>
      </c>
      <c r="F2670">
        <v>307.72000000000003</v>
      </c>
      <c r="G2670">
        <v>45.79</v>
      </c>
      <c r="H2670" s="80">
        <v>23297.16</v>
      </c>
      <c r="I2670" s="80">
        <v>63882.8</v>
      </c>
      <c r="J2670">
        <v>15.11</v>
      </c>
      <c r="K2670" s="80">
        <v>9150.48</v>
      </c>
      <c r="L2670">
        <f t="shared" si="410"/>
        <v>0</v>
      </c>
      <c r="M2670">
        <f t="shared" si="411"/>
        <v>0</v>
      </c>
      <c r="N2670">
        <f t="shared" si="412"/>
        <v>0</v>
      </c>
      <c r="O2670">
        <f t="shared" si="413"/>
        <v>0</v>
      </c>
      <c r="P2670">
        <f t="shared" si="414"/>
        <v>0</v>
      </c>
      <c r="Q2670">
        <f t="shared" si="415"/>
        <v>0</v>
      </c>
      <c r="R2670">
        <f t="shared" si="416"/>
        <v>0</v>
      </c>
      <c r="S2670">
        <f t="shared" si="417"/>
        <v>0</v>
      </c>
      <c r="T2670">
        <f t="shared" si="419"/>
        <v>0</v>
      </c>
      <c r="U2670">
        <f t="shared" si="418"/>
        <v>0</v>
      </c>
    </row>
    <row r="2671" spans="1:21" x14ac:dyDescent="0.25">
      <c r="A2671" s="2">
        <v>2670</v>
      </c>
      <c r="B2671" s="10" t="s">
        <v>102</v>
      </c>
      <c r="C2671" s="43" t="s">
        <v>189</v>
      </c>
      <c r="D2671">
        <v>5.15</v>
      </c>
      <c r="E2671">
        <v>4189.53</v>
      </c>
      <c r="F2671">
        <v>11.69</v>
      </c>
      <c r="G2671">
        <v>58.4</v>
      </c>
      <c r="H2671" s="80">
        <v>19158.84</v>
      </c>
      <c r="I2671" s="80">
        <v>28455.78</v>
      </c>
      <c r="J2671">
        <v>13.01</v>
      </c>
      <c r="K2671">
        <v>6844.23</v>
      </c>
      <c r="L2671">
        <f t="shared" si="410"/>
        <v>0</v>
      </c>
      <c r="M2671">
        <f t="shared" si="411"/>
        <v>0</v>
      </c>
      <c r="N2671">
        <f t="shared" si="412"/>
        <v>0</v>
      </c>
      <c r="O2671">
        <f t="shared" si="413"/>
        <v>0</v>
      </c>
      <c r="P2671">
        <f t="shared" si="414"/>
        <v>0</v>
      </c>
      <c r="Q2671">
        <f t="shared" si="415"/>
        <v>0</v>
      </c>
      <c r="R2671">
        <f t="shared" si="416"/>
        <v>0</v>
      </c>
      <c r="S2671">
        <f t="shared" si="417"/>
        <v>0</v>
      </c>
      <c r="T2671">
        <f t="shared" si="419"/>
        <v>0</v>
      </c>
      <c r="U2671">
        <f t="shared" si="418"/>
        <v>0</v>
      </c>
    </row>
    <row r="2672" spans="1:21" x14ac:dyDescent="0.25">
      <c r="A2672" s="2">
        <v>2671</v>
      </c>
      <c r="B2672" s="10" t="s">
        <v>108</v>
      </c>
      <c r="C2672" t="s">
        <v>162</v>
      </c>
      <c r="D2672">
        <v>0.48</v>
      </c>
      <c r="E2672" s="80">
        <v>25653.32</v>
      </c>
      <c r="F2672">
        <v>0.97</v>
      </c>
      <c r="G2672" t="s">
        <v>583</v>
      </c>
      <c r="H2672" t="s">
        <v>583</v>
      </c>
      <c r="I2672">
        <v>23.6</v>
      </c>
      <c r="J2672" t="s">
        <v>583</v>
      </c>
      <c r="K2672">
        <v>3.35</v>
      </c>
      <c r="L2672">
        <f t="shared" si="410"/>
        <v>0</v>
      </c>
      <c r="M2672">
        <f t="shared" si="411"/>
        <v>0</v>
      </c>
      <c r="N2672">
        <f t="shared" si="412"/>
        <v>0</v>
      </c>
      <c r="O2672">
        <f t="shared" si="413"/>
        <v>0</v>
      </c>
      <c r="P2672">
        <f t="shared" si="414"/>
        <v>0</v>
      </c>
      <c r="Q2672">
        <f t="shared" si="415"/>
        <v>0</v>
      </c>
      <c r="R2672">
        <f t="shared" si="416"/>
        <v>0</v>
      </c>
      <c r="S2672">
        <f t="shared" si="417"/>
        <v>0</v>
      </c>
      <c r="T2672">
        <f t="shared" si="419"/>
        <v>0</v>
      </c>
      <c r="U2672">
        <f t="shared" si="418"/>
        <v>0</v>
      </c>
    </row>
    <row r="2673" spans="1:21" x14ac:dyDescent="0.25">
      <c r="A2673" s="2">
        <v>2672</v>
      </c>
      <c r="B2673" s="10" t="s">
        <v>108</v>
      </c>
      <c r="C2673" t="s">
        <v>170</v>
      </c>
      <c r="D2673">
        <v>11.49</v>
      </c>
      <c r="E2673">
        <v>15659.89</v>
      </c>
      <c r="F2673">
        <v>179.13</v>
      </c>
      <c r="G2673">
        <v>30.4</v>
      </c>
      <c r="H2673">
        <v>1889.61</v>
      </c>
      <c r="I2673" s="80">
        <v>29635.75</v>
      </c>
      <c r="J2673">
        <v>10.97</v>
      </c>
      <c r="K2673">
        <v>1110.3699999999999</v>
      </c>
      <c r="L2673">
        <f t="shared" si="410"/>
        <v>0</v>
      </c>
      <c r="M2673">
        <f t="shared" si="411"/>
        <v>0</v>
      </c>
      <c r="N2673">
        <f t="shared" si="412"/>
        <v>0</v>
      </c>
      <c r="O2673">
        <f t="shared" si="413"/>
        <v>0</v>
      </c>
      <c r="P2673">
        <f t="shared" si="414"/>
        <v>0</v>
      </c>
      <c r="Q2673">
        <f t="shared" si="415"/>
        <v>0</v>
      </c>
      <c r="R2673">
        <f t="shared" si="416"/>
        <v>0</v>
      </c>
      <c r="S2673">
        <f t="shared" si="417"/>
        <v>0</v>
      </c>
      <c r="T2673">
        <f t="shared" si="419"/>
        <v>0</v>
      </c>
      <c r="U2673">
        <f t="shared" si="418"/>
        <v>0</v>
      </c>
    </row>
    <row r="2674" spans="1:21" x14ac:dyDescent="0.25">
      <c r="A2674" s="2">
        <v>2673</v>
      </c>
      <c r="B2674" s="10" t="s">
        <v>108</v>
      </c>
      <c r="C2674" t="s">
        <v>178</v>
      </c>
      <c r="D2674">
        <v>102.03</v>
      </c>
      <c r="E2674">
        <v>17434.02</v>
      </c>
      <c r="F2674">
        <v>845.42</v>
      </c>
      <c r="G2674">
        <v>37.880000000000003</v>
      </c>
      <c r="H2674">
        <v>9556.5</v>
      </c>
      <c r="I2674" s="80">
        <v>60734.14</v>
      </c>
      <c r="J2674">
        <v>15.11</v>
      </c>
      <c r="K2674">
        <v>3753.16</v>
      </c>
      <c r="L2674">
        <f t="shared" si="410"/>
        <v>0</v>
      </c>
      <c r="M2674">
        <f t="shared" si="411"/>
        <v>0</v>
      </c>
      <c r="N2674">
        <f t="shared" si="412"/>
        <v>0</v>
      </c>
      <c r="O2674">
        <f t="shared" si="413"/>
        <v>0</v>
      </c>
      <c r="P2674">
        <f t="shared" si="414"/>
        <v>0</v>
      </c>
      <c r="Q2674">
        <f t="shared" si="415"/>
        <v>0</v>
      </c>
      <c r="R2674">
        <f t="shared" si="416"/>
        <v>0</v>
      </c>
      <c r="S2674">
        <f t="shared" si="417"/>
        <v>0</v>
      </c>
      <c r="T2674">
        <f t="shared" si="419"/>
        <v>0</v>
      </c>
      <c r="U2674">
        <f t="shared" si="418"/>
        <v>0</v>
      </c>
    </row>
    <row r="2675" spans="1:21" x14ac:dyDescent="0.25">
      <c r="A2675" s="2">
        <v>2674</v>
      </c>
      <c r="B2675" s="10" t="s">
        <v>108</v>
      </c>
      <c r="C2675" t="s">
        <v>163</v>
      </c>
      <c r="D2675">
        <v>403.95</v>
      </c>
      <c r="E2675">
        <v>18972.55</v>
      </c>
      <c r="F2675">
        <v>211.39</v>
      </c>
      <c r="G2675">
        <v>62.78</v>
      </c>
      <c r="H2675">
        <v>11475.05</v>
      </c>
      <c r="I2675" s="80">
        <v>50957.79</v>
      </c>
      <c r="J2675">
        <v>33.82</v>
      </c>
      <c r="K2675" s="80">
        <v>24501.07</v>
      </c>
      <c r="L2675">
        <f t="shared" si="410"/>
        <v>0</v>
      </c>
      <c r="M2675">
        <f t="shared" si="411"/>
        <v>0</v>
      </c>
      <c r="N2675">
        <f t="shared" si="412"/>
        <v>0</v>
      </c>
      <c r="O2675">
        <f t="shared" si="413"/>
        <v>0</v>
      </c>
      <c r="P2675">
        <f t="shared" si="414"/>
        <v>0</v>
      </c>
      <c r="Q2675">
        <f t="shared" si="415"/>
        <v>0</v>
      </c>
      <c r="R2675">
        <f t="shared" si="416"/>
        <v>0</v>
      </c>
      <c r="S2675">
        <f t="shared" si="417"/>
        <v>0</v>
      </c>
      <c r="T2675">
        <f t="shared" si="419"/>
        <v>0</v>
      </c>
      <c r="U2675">
        <f t="shared" si="418"/>
        <v>0</v>
      </c>
    </row>
    <row r="2676" spans="1:21" x14ac:dyDescent="0.25">
      <c r="A2676" s="2">
        <v>2675</v>
      </c>
      <c r="B2676" s="10" t="s">
        <v>108</v>
      </c>
      <c r="C2676" s="89" t="s">
        <v>181</v>
      </c>
      <c r="D2676">
        <v>1.2</v>
      </c>
      <c r="E2676" s="89" t="s">
        <v>582</v>
      </c>
      <c r="F2676">
        <v>1.44</v>
      </c>
      <c r="G2676">
        <v>11.11</v>
      </c>
      <c r="H2676">
        <v>18.13</v>
      </c>
      <c r="I2676" s="80">
        <v>5052.95</v>
      </c>
      <c r="J2676">
        <v>3.67</v>
      </c>
      <c r="K2676">
        <v>157.97</v>
      </c>
      <c r="L2676">
        <f t="shared" si="410"/>
        <v>0</v>
      </c>
      <c r="M2676">
        <f t="shared" si="411"/>
        <v>1</v>
      </c>
      <c r="N2676">
        <f t="shared" si="412"/>
        <v>0</v>
      </c>
      <c r="O2676">
        <f t="shared" si="413"/>
        <v>0</v>
      </c>
      <c r="P2676">
        <f t="shared" si="414"/>
        <v>0</v>
      </c>
      <c r="Q2676">
        <f t="shared" si="415"/>
        <v>0</v>
      </c>
      <c r="R2676">
        <f t="shared" si="416"/>
        <v>0</v>
      </c>
      <c r="S2676">
        <f t="shared" si="417"/>
        <v>0</v>
      </c>
      <c r="T2676">
        <f t="shared" si="419"/>
        <v>1</v>
      </c>
      <c r="U2676">
        <f t="shared" si="418"/>
        <v>1</v>
      </c>
    </row>
    <row r="2677" spans="1:21" x14ac:dyDescent="0.25">
      <c r="A2677" s="2">
        <v>2676</v>
      </c>
      <c r="B2677" s="10" t="s">
        <v>108</v>
      </c>
      <c r="C2677" s="89" t="s">
        <v>183</v>
      </c>
      <c r="D2677">
        <v>6.31</v>
      </c>
      <c r="E2677" s="89" t="s">
        <v>582</v>
      </c>
      <c r="F2677">
        <v>1818.42</v>
      </c>
      <c r="G2677">
        <v>81.16</v>
      </c>
      <c r="H2677">
        <v>3657.84</v>
      </c>
      <c r="I2677" s="80">
        <v>109271.55</v>
      </c>
      <c r="J2677">
        <v>21.77</v>
      </c>
      <c r="K2677" s="80">
        <v>9303.07</v>
      </c>
      <c r="L2677">
        <f t="shared" si="410"/>
        <v>0</v>
      </c>
      <c r="M2677">
        <f t="shared" si="411"/>
        <v>1</v>
      </c>
      <c r="N2677">
        <f t="shared" si="412"/>
        <v>0</v>
      </c>
      <c r="O2677">
        <f t="shared" si="413"/>
        <v>0</v>
      </c>
      <c r="P2677">
        <f t="shared" si="414"/>
        <v>0</v>
      </c>
      <c r="Q2677">
        <f t="shared" si="415"/>
        <v>0</v>
      </c>
      <c r="R2677">
        <f t="shared" si="416"/>
        <v>0</v>
      </c>
      <c r="S2677">
        <f t="shared" si="417"/>
        <v>0</v>
      </c>
      <c r="T2677">
        <f t="shared" si="419"/>
        <v>1</v>
      </c>
      <c r="U2677">
        <f t="shared" si="418"/>
        <v>1</v>
      </c>
    </row>
    <row r="2678" spans="1:21" x14ac:dyDescent="0.25">
      <c r="A2678" s="2">
        <v>2677</v>
      </c>
      <c r="B2678" s="10" t="s">
        <v>108</v>
      </c>
      <c r="C2678" s="89" t="s">
        <v>186</v>
      </c>
      <c r="D2678">
        <v>8.81</v>
      </c>
      <c r="E2678" s="89" t="s">
        <v>582</v>
      </c>
      <c r="F2678" s="80">
        <v>6109.61</v>
      </c>
      <c r="G2678">
        <v>121.5</v>
      </c>
      <c r="H2678" s="80">
        <v>24153.14</v>
      </c>
      <c r="I2678" s="80">
        <v>134431.13</v>
      </c>
      <c r="J2678">
        <v>38.909999999999997</v>
      </c>
      <c r="K2678" s="89" t="s">
        <v>582</v>
      </c>
      <c r="L2678">
        <f t="shared" si="410"/>
        <v>0</v>
      </c>
      <c r="M2678">
        <f t="shared" si="411"/>
        <v>1</v>
      </c>
      <c r="N2678">
        <f t="shared" si="412"/>
        <v>0</v>
      </c>
      <c r="O2678">
        <f t="shared" si="413"/>
        <v>0</v>
      </c>
      <c r="P2678">
        <f t="shared" si="414"/>
        <v>0</v>
      </c>
      <c r="Q2678">
        <f t="shared" si="415"/>
        <v>0</v>
      </c>
      <c r="R2678">
        <f t="shared" si="416"/>
        <v>0</v>
      </c>
      <c r="S2678">
        <f t="shared" si="417"/>
        <v>1</v>
      </c>
      <c r="T2678">
        <f t="shared" si="419"/>
        <v>2</v>
      </c>
      <c r="U2678">
        <f t="shared" si="418"/>
        <v>1</v>
      </c>
    </row>
    <row r="2679" spans="1:21" x14ac:dyDescent="0.25">
      <c r="A2679" s="2">
        <v>2678</v>
      </c>
      <c r="B2679" s="10" t="s">
        <v>108</v>
      </c>
      <c r="C2679" s="105" t="s">
        <v>188</v>
      </c>
      <c r="D2679">
        <v>8.16</v>
      </c>
      <c r="E2679" s="89" t="s">
        <v>582</v>
      </c>
      <c r="F2679">
        <v>2010.3</v>
      </c>
      <c r="G2679">
        <v>81.16</v>
      </c>
      <c r="H2679">
        <v>6140.62</v>
      </c>
      <c r="I2679" s="80">
        <v>114023.66</v>
      </c>
      <c r="J2679">
        <v>28.88</v>
      </c>
      <c r="K2679" s="80">
        <v>22147.57</v>
      </c>
      <c r="L2679">
        <f t="shared" si="410"/>
        <v>0</v>
      </c>
      <c r="M2679">
        <f t="shared" si="411"/>
        <v>1</v>
      </c>
      <c r="N2679">
        <f t="shared" si="412"/>
        <v>0</v>
      </c>
      <c r="O2679">
        <f t="shared" si="413"/>
        <v>0</v>
      </c>
      <c r="P2679">
        <f t="shared" si="414"/>
        <v>0</v>
      </c>
      <c r="Q2679">
        <f t="shared" si="415"/>
        <v>0</v>
      </c>
      <c r="R2679">
        <f t="shared" si="416"/>
        <v>0</v>
      </c>
      <c r="S2679">
        <f t="shared" si="417"/>
        <v>0</v>
      </c>
      <c r="T2679">
        <f t="shared" si="419"/>
        <v>1</v>
      </c>
      <c r="U2679">
        <f t="shared" si="418"/>
        <v>1</v>
      </c>
    </row>
    <row r="2680" spans="1:21" x14ac:dyDescent="0.25">
      <c r="A2680" s="2">
        <v>2679</v>
      </c>
      <c r="B2680" s="10" t="s">
        <v>108</v>
      </c>
      <c r="C2680" s="43" t="s">
        <v>182</v>
      </c>
      <c r="D2680" t="s">
        <v>583</v>
      </c>
      <c r="E2680">
        <v>592.59</v>
      </c>
      <c r="F2680" t="s">
        <v>583</v>
      </c>
      <c r="G2680" t="s">
        <v>583</v>
      </c>
      <c r="H2680">
        <v>0.27</v>
      </c>
      <c r="I2680">
        <v>0.82</v>
      </c>
      <c r="J2680">
        <v>0.81</v>
      </c>
      <c r="K2680">
        <v>0.03</v>
      </c>
      <c r="L2680">
        <f t="shared" si="410"/>
        <v>0</v>
      </c>
      <c r="M2680">
        <f t="shared" si="411"/>
        <v>0</v>
      </c>
      <c r="N2680">
        <f t="shared" si="412"/>
        <v>0</v>
      </c>
      <c r="O2680">
        <f t="shared" si="413"/>
        <v>0</v>
      </c>
      <c r="P2680">
        <f t="shared" si="414"/>
        <v>0</v>
      </c>
      <c r="Q2680">
        <f t="shared" si="415"/>
        <v>0</v>
      </c>
      <c r="R2680">
        <f t="shared" si="416"/>
        <v>0</v>
      </c>
      <c r="S2680">
        <f t="shared" si="417"/>
        <v>0</v>
      </c>
      <c r="T2680">
        <f t="shared" si="419"/>
        <v>0</v>
      </c>
      <c r="U2680">
        <f t="shared" si="418"/>
        <v>0</v>
      </c>
    </row>
    <row r="2681" spans="1:21" x14ac:dyDescent="0.25">
      <c r="A2681" s="2">
        <v>2680</v>
      </c>
      <c r="B2681" s="10" t="s">
        <v>108</v>
      </c>
      <c r="C2681" s="43" t="s">
        <v>184</v>
      </c>
      <c r="D2681">
        <v>43.49</v>
      </c>
      <c r="E2681">
        <v>1769.52</v>
      </c>
      <c r="F2681">
        <v>17.11</v>
      </c>
      <c r="G2681">
        <v>11.11</v>
      </c>
      <c r="H2681">
        <v>2226.21</v>
      </c>
      <c r="I2681" s="80">
        <v>17445.23</v>
      </c>
      <c r="J2681">
        <v>5.34</v>
      </c>
      <c r="K2681">
        <v>580.99</v>
      </c>
      <c r="L2681">
        <f t="shared" si="410"/>
        <v>0</v>
      </c>
      <c r="M2681">
        <f t="shared" si="411"/>
        <v>0</v>
      </c>
      <c r="N2681">
        <f t="shared" si="412"/>
        <v>0</v>
      </c>
      <c r="O2681">
        <f t="shared" si="413"/>
        <v>0</v>
      </c>
      <c r="P2681">
        <f t="shared" si="414"/>
        <v>0</v>
      </c>
      <c r="Q2681">
        <f t="shared" si="415"/>
        <v>0</v>
      </c>
      <c r="R2681">
        <f t="shared" si="416"/>
        <v>0</v>
      </c>
      <c r="S2681">
        <f t="shared" si="417"/>
        <v>0</v>
      </c>
      <c r="T2681">
        <f t="shared" si="419"/>
        <v>0</v>
      </c>
      <c r="U2681">
        <f t="shared" si="418"/>
        <v>0</v>
      </c>
    </row>
    <row r="2682" spans="1:21" x14ac:dyDescent="0.25">
      <c r="A2682" s="2">
        <v>2681</v>
      </c>
      <c r="B2682" s="10" t="s">
        <v>108</v>
      </c>
      <c r="C2682" s="43" t="s">
        <v>187</v>
      </c>
      <c r="D2682">
        <v>148.28</v>
      </c>
      <c r="E2682">
        <v>2242.85</v>
      </c>
      <c r="F2682">
        <v>84.94</v>
      </c>
      <c r="G2682">
        <v>26.84</v>
      </c>
      <c r="H2682">
        <v>6842.79</v>
      </c>
      <c r="I2682" s="80">
        <v>30299.74</v>
      </c>
      <c r="J2682">
        <v>18.38</v>
      </c>
      <c r="K2682">
        <v>4320.79</v>
      </c>
      <c r="L2682">
        <f t="shared" si="410"/>
        <v>0</v>
      </c>
      <c r="M2682">
        <f t="shared" si="411"/>
        <v>0</v>
      </c>
      <c r="N2682">
        <f t="shared" si="412"/>
        <v>0</v>
      </c>
      <c r="O2682">
        <f t="shared" si="413"/>
        <v>0</v>
      </c>
      <c r="P2682">
        <f t="shared" si="414"/>
        <v>0</v>
      </c>
      <c r="Q2682">
        <f t="shared" si="415"/>
        <v>0</v>
      </c>
      <c r="R2682">
        <f t="shared" si="416"/>
        <v>0</v>
      </c>
      <c r="S2682">
        <f t="shared" si="417"/>
        <v>0</v>
      </c>
      <c r="T2682">
        <f t="shared" si="419"/>
        <v>0</v>
      </c>
      <c r="U2682">
        <f t="shared" si="418"/>
        <v>0</v>
      </c>
    </row>
    <row r="2683" spans="1:21" x14ac:dyDescent="0.25">
      <c r="A2683" s="2">
        <v>2682</v>
      </c>
      <c r="B2683" s="10" t="s">
        <v>108</v>
      </c>
      <c r="C2683" s="43" t="s">
        <v>189</v>
      </c>
      <c r="D2683">
        <v>97.3</v>
      </c>
      <c r="E2683">
        <v>2513.42</v>
      </c>
      <c r="F2683">
        <v>4.34</v>
      </c>
      <c r="G2683">
        <v>23.4</v>
      </c>
      <c r="H2683">
        <v>3535.35</v>
      </c>
      <c r="I2683" s="80">
        <v>4872.01</v>
      </c>
      <c r="J2683">
        <v>5.34</v>
      </c>
      <c r="K2683">
        <v>2602.81</v>
      </c>
      <c r="L2683">
        <f t="shared" si="410"/>
        <v>0</v>
      </c>
      <c r="M2683">
        <f t="shared" si="411"/>
        <v>0</v>
      </c>
      <c r="N2683">
        <f t="shared" si="412"/>
        <v>0</v>
      </c>
      <c r="O2683">
        <f t="shared" si="413"/>
        <v>0</v>
      </c>
      <c r="P2683">
        <f t="shared" si="414"/>
        <v>0</v>
      </c>
      <c r="Q2683">
        <f t="shared" si="415"/>
        <v>0</v>
      </c>
      <c r="R2683">
        <f t="shared" si="416"/>
        <v>0</v>
      </c>
      <c r="S2683">
        <f t="shared" si="417"/>
        <v>0</v>
      </c>
      <c r="T2683">
        <f t="shared" si="419"/>
        <v>0</v>
      </c>
      <c r="U2683">
        <f t="shared" si="418"/>
        <v>0</v>
      </c>
    </row>
    <row r="2684" spans="1:21" x14ac:dyDescent="0.25">
      <c r="A2684" s="2">
        <v>2683</v>
      </c>
      <c r="B2684" s="10" t="s">
        <v>103</v>
      </c>
      <c r="C2684" s="89" t="s">
        <v>162</v>
      </c>
      <c r="D2684">
        <v>30.57</v>
      </c>
      <c r="E2684" s="89" t="s">
        <v>582</v>
      </c>
      <c r="F2684" s="80">
        <v>4009.5</v>
      </c>
      <c r="G2684">
        <v>81.16</v>
      </c>
      <c r="H2684" s="80">
        <v>18229.36</v>
      </c>
      <c r="I2684" s="80">
        <v>101789.26</v>
      </c>
      <c r="J2684">
        <v>28.88</v>
      </c>
      <c r="K2684" s="80">
        <v>15321.82</v>
      </c>
      <c r="L2684">
        <f t="shared" si="410"/>
        <v>0</v>
      </c>
      <c r="M2684">
        <f t="shared" si="411"/>
        <v>1</v>
      </c>
      <c r="N2684">
        <f t="shared" si="412"/>
        <v>0</v>
      </c>
      <c r="O2684">
        <f t="shared" si="413"/>
        <v>0</v>
      </c>
      <c r="P2684">
        <f t="shared" si="414"/>
        <v>0</v>
      </c>
      <c r="Q2684">
        <f t="shared" si="415"/>
        <v>0</v>
      </c>
      <c r="R2684">
        <f t="shared" si="416"/>
        <v>0</v>
      </c>
      <c r="S2684">
        <f t="shared" si="417"/>
        <v>0</v>
      </c>
      <c r="T2684">
        <f t="shared" si="419"/>
        <v>1</v>
      </c>
      <c r="U2684">
        <f t="shared" si="418"/>
        <v>1</v>
      </c>
    </row>
    <row r="2685" spans="1:21" x14ac:dyDescent="0.25">
      <c r="A2685" s="2">
        <v>2684</v>
      </c>
      <c r="B2685" s="10" t="s">
        <v>103</v>
      </c>
      <c r="C2685" s="89" t="s">
        <v>170</v>
      </c>
      <c r="D2685">
        <v>57.46</v>
      </c>
      <c r="E2685" s="89" t="s">
        <v>582</v>
      </c>
      <c r="F2685" s="80">
        <v>6486.59</v>
      </c>
      <c r="G2685">
        <v>81.16</v>
      </c>
      <c r="H2685" s="80">
        <v>278685.82</v>
      </c>
      <c r="I2685" s="80">
        <v>98988.15</v>
      </c>
      <c r="J2685">
        <v>24.1</v>
      </c>
      <c r="K2685" s="80">
        <v>10723.32</v>
      </c>
      <c r="L2685">
        <f t="shared" si="410"/>
        <v>0</v>
      </c>
      <c r="M2685">
        <f t="shared" si="411"/>
        <v>1</v>
      </c>
      <c r="N2685">
        <f t="shared" si="412"/>
        <v>0</v>
      </c>
      <c r="O2685">
        <f t="shared" si="413"/>
        <v>0</v>
      </c>
      <c r="P2685">
        <f t="shared" si="414"/>
        <v>0</v>
      </c>
      <c r="Q2685">
        <f t="shared" si="415"/>
        <v>0</v>
      </c>
      <c r="R2685">
        <f t="shared" si="416"/>
        <v>0</v>
      </c>
      <c r="S2685">
        <f t="shared" si="417"/>
        <v>0</v>
      </c>
      <c r="T2685">
        <f t="shared" si="419"/>
        <v>1</v>
      </c>
      <c r="U2685">
        <f t="shared" si="418"/>
        <v>1</v>
      </c>
    </row>
    <row r="2686" spans="1:21" x14ac:dyDescent="0.25">
      <c r="A2686" s="2">
        <v>2685</v>
      </c>
      <c r="B2686" s="10" t="s">
        <v>103</v>
      </c>
      <c r="C2686" s="89" t="s">
        <v>178</v>
      </c>
      <c r="D2686">
        <v>81.19</v>
      </c>
      <c r="E2686" s="89" t="s">
        <v>582</v>
      </c>
      <c r="F2686" s="80">
        <v>6973.75</v>
      </c>
      <c r="G2686">
        <v>54.1</v>
      </c>
      <c r="H2686" s="89" t="s">
        <v>582</v>
      </c>
      <c r="I2686" s="80">
        <v>117407.14</v>
      </c>
      <c r="J2686">
        <v>31.33</v>
      </c>
      <c r="K2686" s="80">
        <v>13205.37</v>
      </c>
      <c r="L2686">
        <f t="shared" si="410"/>
        <v>0</v>
      </c>
      <c r="M2686">
        <f t="shared" si="411"/>
        <v>1</v>
      </c>
      <c r="N2686">
        <f t="shared" si="412"/>
        <v>0</v>
      </c>
      <c r="O2686">
        <f t="shared" si="413"/>
        <v>0</v>
      </c>
      <c r="P2686">
        <f t="shared" si="414"/>
        <v>1</v>
      </c>
      <c r="Q2686">
        <f t="shared" si="415"/>
        <v>0</v>
      </c>
      <c r="R2686">
        <f t="shared" si="416"/>
        <v>0</v>
      </c>
      <c r="S2686">
        <f t="shared" si="417"/>
        <v>0</v>
      </c>
      <c r="T2686">
        <f t="shared" si="419"/>
        <v>2</v>
      </c>
      <c r="U2686">
        <f t="shared" si="418"/>
        <v>1</v>
      </c>
    </row>
    <row r="2687" spans="1:21" x14ac:dyDescent="0.25">
      <c r="A2687" s="2">
        <v>2686</v>
      </c>
      <c r="B2687" s="10" t="s">
        <v>103</v>
      </c>
      <c r="C2687" s="89" t="s">
        <v>163</v>
      </c>
      <c r="D2687">
        <v>55.41</v>
      </c>
      <c r="E2687" s="89" t="s">
        <v>582</v>
      </c>
      <c r="F2687" s="80">
        <v>5922.54</v>
      </c>
      <c r="G2687">
        <v>90.82</v>
      </c>
      <c r="H2687" s="80">
        <v>118366.3</v>
      </c>
      <c r="I2687" s="80">
        <v>101916.42</v>
      </c>
      <c r="J2687">
        <v>41.51</v>
      </c>
      <c r="K2687" s="89" t="s">
        <v>582</v>
      </c>
      <c r="L2687">
        <f t="shared" si="410"/>
        <v>0</v>
      </c>
      <c r="M2687">
        <f t="shared" si="411"/>
        <v>1</v>
      </c>
      <c r="N2687">
        <f t="shared" si="412"/>
        <v>0</v>
      </c>
      <c r="O2687">
        <f t="shared" si="413"/>
        <v>0</v>
      </c>
      <c r="P2687">
        <f t="shared" si="414"/>
        <v>0</v>
      </c>
      <c r="Q2687">
        <f t="shared" si="415"/>
        <v>0</v>
      </c>
      <c r="R2687">
        <f t="shared" si="416"/>
        <v>0</v>
      </c>
      <c r="S2687">
        <f t="shared" si="417"/>
        <v>1</v>
      </c>
      <c r="T2687">
        <f t="shared" si="419"/>
        <v>2</v>
      </c>
      <c r="U2687">
        <f t="shared" si="418"/>
        <v>1</v>
      </c>
    </row>
    <row r="2688" spans="1:21" x14ac:dyDescent="0.25">
      <c r="A2688" s="2">
        <v>2687</v>
      </c>
      <c r="B2688" s="10" t="s">
        <v>103</v>
      </c>
      <c r="C2688" s="43" t="s">
        <v>182</v>
      </c>
      <c r="D2688" t="s">
        <v>583</v>
      </c>
      <c r="E2688">
        <v>2400.13</v>
      </c>
      <c r="F2688" t="s">
        <v>583</v>
      </c>
      <c r="G2688" t="s">
        <v>583</v>
      </c>
      <c r="H2688">
        <v>0.94</v>
      </c>
      <c r="I2688">
        <v>10.74</v>
      </c>
      <c r="J2688" t="s">
        <v>583</v>
      </c>
      <c r="K2688">
        <v>0.27</v>
      </c>
      <c r="L2688">
        <f t="shared" si="410"/>
        <v>0</v>
      </c>
      <c r="M2688">
        <f t="shared" si="411"/>
        <v>0</v>
      </c>
      <c r="N2688">
        <f t="shared" si="412"/>
        <v>0</v>
      </c>
      <c r="O2688">
        <f t="shared" si="413"/>
        <v>0</v>
      </c>
      <c r="P2688">
        <f t="shared" si="414"/>
        <v>0</v>
      </c>
      <c r="Q2688">
        <f t="shared" si="415"/>
        <v>0</v>
      </c>
      <c r="R2688">
        <f t="shared" si="416"/>
        <v>0</v>
      </c>
      <c r="S2688">
        <f t="shared" si="417"/>
        <v>0</v>
      </c>
      <c r="T2688">
        <f t="shared" si="419"/>
        <v>0</v>
      </c>
      <c r="U2688">
        <f t="shared" si="418"/>
        <v>0</v>
      </c>
    </row>
    <row r="2689" spans="1:21" x14ac:dyDescent="0.25">
      <c r="A2689" s="2">
        <v>2688</v>
      </c>
      <c r="B2689" s="10" t="s">
        <v>103</v>
      </c>
      <c r="C2689" s="43" t="s">
        <v>184</v>
      </c>
      <c r="D2689">
        <v>6.31</v>
      </c>
      <c r="E2689">
        <v>15062.24</v>
      </c>
      <c r="F2689">
        <v>219.6</v>
      </c>
      <c r="G2689">
        <v>11.11</v>
      </c>
      <c r="H2689">
        <v>5280.06</v>
      </c>
      <c r="I2689" s="80">
        <v>53662.879999999997</v>
      </c>
      <c r="J2689">
        <v>8.0500000000000007</v>
      </c>
      <c r="K2689">
        <v>1823.03</v>
      </c>
      <c r="L2689">
        <f t="shared" si="410"/>
        <v>0</v>
      </c>
      <c r="M2689">
        <f t="shared" si="411"/>
        <v>0</v>
      </c>
      <c r="N2689">
        <f t="shared" si="412"/>
        <v>0</v>
      </c>
      <c r="O2689">
        <f t="shared" si="413"/>
        <v>0</v>
      </c>
      <c r="P2689">
        <f t="shared" si="414"/>
        <v>0</v>
      </c>
      <c r="Q2689">
        <f t="shared" si="415"/>
        <v>0</v>
      </c>
      <c r="R2689">
        <f t="shared" si="416"/>
        <v>0</v>
      </c>
      <c r="S2689">
        <f t="shared" si="417"/>
        <v>0</v>
      </c>
      <c r="T2689">
        <f t="shared" si="419"/>
        <v>0</v>
      </c>
      <c r="U2689">
        <f t="shared" si="418"/>
        <v>0</v>
      </c>
    </row>
    <row r="2690" spans="1:21" x14ac:dyDescent="0.25">
      <c r="A2690" s="2">
        <v>2689</v>
      </c>
      <c r="B2690" s="10" t="s">
        <v>103</v>
      </c>
      <c r="C2690" s="43" t="s">
        <v>187</v>
      </c>
      <c r="D2690">
        <v>37.82</v>
      </c>
      <c r="E2690">
        <v>19637.79</v>
      </c>
      <c r="F2690">
        <v>711.52</v>
      </c>
      <c r="G2690">
        <v>37.880000000000003</v>
      </c>
      <c r="H2690">
        <v>13167.87</v>
      </c>
      <c r="I2690" s="80">
        <v>49783.77</v>
      </c>
      <c r="J2690">
        <v>19.5</v>
      </c>
      <c r="K2690">
        <v>6948.67</v>
      </c>
      <c r="L2690">
        <f t="shared" ref="L2690:L2753" si="420">IF(D2690 = "OOR &gt;", 1,0)</f>
        <v>0</v>
      </c>
      <c r="M2690">
        <f t="shared" ref="M2690:M2753" si="421">IF(E2690 = "OOR &gt;", 1,0)</f>
        <v>0</v>
      </c>
      <c r="N2690">
        <f t="shared" ref="N2690:N2753" si="422">IF(F2690 = "OOR &gt;", 1,0)</f>
        <v>0</v>
      </c>
      <c r="O2690">
        <f t="shared" ref="O2690:O2753" si="423">IF(G2690 = "OOR &gt;", 1,0)</f>
        <v>0</v>
      </c>
      <c r="P2690">
        <f t="shared" ref="P2690:P2753" si="424">IF(H2690 = "OOR &gt;", 1,0)</f>
        <v>0</v>
      </c>
      <c r="Q2690">
        <f t="shared" ref="Q2690:Q2753" si="425">IF(I2690 = "OOR &gt;", 1,0)</f>
        <v>0</v>
      </c>
      <c r="R2690">
        <f t="shared" ref="R2690:R2753" si="426">IF(J2690 = "OOR &gt;", 1,0)</f>
        <v>0</v>
      </c>
      <c r="S2690">
        <f t="shared" ref="S2690:S2753" si="427">IF(K2690 = "OOR &gt;", 1,0)</f>
        <v>0</v>
      </c>
      <c r="T2690">
        <f t="shared" si="419"/>
        <v>0</v>
      </c>
      <c r="U2690">
        <f t="shared" ref="U2690:U2753" si="428">IF(T2690 &gt; 0,1,0)</f>
        <v>0</v>
      </c>
    </row>
    <row r="2691" spans="1:21" x14ac:dyDescent="0.25">
      <c r="A2691" s="2">
        <v>2690</v>
      </c>
      <c r="B2691" s="10" t="s">
        <v>103</v>
      </c>
      <c r="C2691" s="43" t="s">
        <v>189</v>
      </c>
      <c r="D2691">
        <v>31.45</v>
      </c>
      <c r="E2691">
        <v>10966.86</v>
      </c>
      <c r="F2691">
        <v>28.66</v>
      </c>
      <c r="G2691">
        <v>11.11</v>
      </c>
      <c r="H2691" s="80">
        <v>17571.580000000002</v>
      </c>
      <c r="I2691" s="80">
        <v>23775.63</v>
      </c>
      <c r="J2691">
        <v>19.5</v>
      </c>
      <c r="K2691" s="80">
        <v>9411</v>
      </c>
      <c r="L2691">
        <f t="shared" si="420"/>
        <v>0</v>
      </c>
      <c r="M2691">
        <f t="shared" si="421"/>
        <v>0</v>
      </c>
      <c r="N2691">
        <f t="shared" si="422"/>
        <v>0</v>
      </c>
      <c r="O2691">
        <f t="shared" si="423"/>
        <v>0</v>
      </c>
      <c r="P2691">
        <f t="shared" si="424"/>
        <v>0</v>
      </c>
      <c r="Q2691">
        <f t="shared" si="425"/>
        <v>0</v>
      </c>
      <c r="R2691">
        <f t="shared" si="426"/>
        <v>0</v>
      </c>
      <c r="S2691">
        <f t="shared" si="427"/>
        <v>0</v>
      </c>
      <c r="T2691">
        <f t="shared" ref="T2691:T2754" si="429">SUMIF(L2691:S2691,"&gt;0")</f>
        <v>0</v>
      </c>
      <c r="U2691">
        <f t="shared" si="428"/>
        <v>0</v>
      </c>
    </row>
    <row r="2692" spans="1:21" x14ac:dyDescent="0.25">
      <c r="A2692" s="2">
        <v>2691</v>
      </c>
      <c r="B2692" s="10" t="s">
        <v>109</v>
      </c>
      <c r="C2692" s="43" t="s">
        <v>182</v>
      </c>
      <c r="D2692" t="s">
        <v>583</v>
      </c>
      <c r="E2692">
        <v>489.14</v>
      </c>
      <c r="F2692" t="s">
        <v>583</v>
      </c>
      <c r="G2692" t="s">
        <v>583</v>
      </c>
      <c r="H2692" t="s">
        <v>583</v>
      </c>
      <c r="I2692">
        <v>1.28</v>
      </c>
      <c r="J2692" t="s">
        <v>583</v>
      </c>
      <c r="K2692" s="80">
        <v>0.03</v>
      </c>
      <c r="L2692">
        <f t="shared" si="420"/>
        <v>0</v>
      </c>
      <c r="M2692">
        <f t="shared" si="421"/>
        <v>0</v>
      </c>
      <c r="N2692">
        <f t="shared" si="422"/>
        <v>0</v>
      </c>
      <c r="O2692">
        <f t="shared" si="423"/>
        <v>0</v>
      </c>
      <c r="P2692">
        <f t="shared" si="424"/>
        <v>0</v>
      </c>
      <c r="Q2692">
        <f t="shared" si="425"/>
        <v>0</v>
      </c>
      <c r="R2692">
        <f t="shared" si="426"/>
        <v>0</v>
      </c>
      <c r="S2692">
        <f t="shared" si="427"/>
        <v>0</v>
      </c>
      <c r="T2692">
        <f t="shared" si="429"/>
        <v>0</v>
      </c>
      <c r="U2692">
        <f t="shared" si="428"/>
        <v>0</v>
      </c>
    </row>
    <row r="2693" spans="1:21" x14ac:dyDescent="0.25">
      <c r="A2693" s="2">
        <v>2692</v>
      </c>
      <c r="B2693" s="10" t="s">
        <v>109</v>
      </c>
      <c r="C2693" s="43" t="s">
        <v>184</v>
      </c>
      <c r="D2693">
        <v>82.32</v>
      </c>
      <c r="E2693">
        <v>2443.4299999999998</v>
      </c>
      <c r="F2693">
        <v>63.63</v>
      </c>
      <c r="G2693">
        <v>67.25</v>
      </c>
      <c r="H2693">
        <v>2577.34</v>
      </c>
      <c r="I2693" s="80">
        <v>16806.68</v>
      </c>
      <c r="J2693">
        <v>28.88</v>
      </c>
      <c r="K2693">
        <v>662.38</v>
      </c>
      <c r="L2693">
        <f t="shared" si="420"/>
        <v>0</v>
      </c>
      <c r="M2693">
        <f t="shared" si="421"/>
        <v>0</v>
      </c>
      <c r="N2693">
        <f t="shared" si="422"/>
        <v>0</v>
      </c>
      <c r="O2693">
        <f t="shared" si="423"/>
        <v>0</v>
      </c>
      <c r="P2693">
        <f t="shared" si="424"/>
        <v>0</v>
      </c>
      <c r="Q2693">
        <f t="shared" si="425"/>
        <v>0</v>
      </c>
      <c r="R2693">
        <f t="shared" si="426"/>
        <v>0</v>
      </c>
      <c r="S2693">
        <f t="shared" si="427"/>
        <v>0</v>
      </c>
      <c r="T2693">
        <f t="shared" si="429"/>
        <v>0</v>
      </c>
      <c r="U2693">
        <f t="shared" si="428"/>
        <v>0</v>
      </c>
    </row>
    <row r="2694" spans="1:21" x14ac:dyDescent="0.25">
      <c r="A2694" s="2">
        <v>2693</v>
      </c>
      <c r="B2694" s="10" t="s">
        <v>109</v>
      </c>
      <c r="C2694" s="43" t="s">
        <v>187</v>
      </c>
      <c r="D2694">
        <v>28.82</v>
      </c>
      <c r="E2694">
        <v>1570.69</v>
      </c>
      <c r="F2694">
        <v>121.9</v>
      </c>
      <c r="G2694" t="s">
        <v>583</v>
      </c>
      <c r="H2694">
        <v>7548.72</v>
      </c>
      <c r="I2694" s="80">
        <v>13926.81</v>
      </c>
      <c r="J2694">
        <v>9.98</v>
      </c>
      <c r="K2694">
        <v>1821.52</v>
      </c>
      <c r="L2694">
        <f t="shared" si="420"/>
        <v>0</v>
      </c>
      <c r="M2694">
        <f t="shared" si="421"/>
        <v>0</v>
      </c>
      <c r="N2694">
        <f t="shared" si="422"/>
        <v>0</v>
      </c>
      <c r="O2694">
        <f t="shared" si="423"/>
        <v>0</v>
      </c>
      <c r="P2694">
        <f t="shared" si="424"/>
        <v>0</v>
      </c>
      <c r="Q2694">
        <f t="shared" si="425"/>
        <v>0</v>
      </c>
      <c r="R2694">
        <f t="shared" si="426"/>
        <v>0</v>
      </c>
      <c r="S2694">
        <f t="shared" si="427"/>
        <v>0</v>
      </c>
      <c r="T2694">
        <f t="shared" si="429"/>
        <v>0</v>
      </c>
      <c r="U2694">
        <f t="shared" si="428"/>
        <v>0</v>
      </c>
    </row>
    <row r="2695" spans="1:21" x14ac:dyDescent="0.25">
      <c r="A2695" s="2">
        <v>2694</v>
      </c>
      <c r="B2695" s="10" t="s">
        <v>109</v>
      </c>
      <c r="C2695" s="43" t="s">
        <v>189</v>
      </c>
      <c r="D2695">
        <v>4.04</v>
      </c>
      <c r="E2695">
        <v>944.58</v>
      </c>
      <c r="F2695">
        <v>0.62</v>
      </c>
      <c r="G2695" t="s">
        <v>583</v>
      </c>
      <c r="H2695">
        <v>4372.1400000000003</v>
      </c>
      <c r="I2695">
        <v>2103.48</v>
      </c>
      <c r="J2695">
        <v>3.67</v>
      </c>
      <c r="K2695">
        <v>1832.55</v>
      </c>
      <c r="L2695">
        <f t="shared" si="420"/>
        <v>0</v>
      </c>
      <c r="M2695">
        <f t="shared" si="421"/>
        <v>0</v>
      </c>
      <c r="N2695">
        <f t="shared" si="422"/>
        <v>0</v>
      </c>
      <c r="O2695">
        <f t="shared" si="423"/>
        <v>0</v>
      </c>
      <c r="P2695">
        <f t="shared" si="424"/>
        <v>0</v>
      </c>
      <c r="Q2695">
        <f t="shared" si="425"/>
        <v>0</v>
      </c>
      <c r="R2695">
        <f t="shared" si="426"/>
        <v>0</v>
      </c>
      <c r="S2695">
        <f t="shared" si="427"/>
        <v>0</v>
      </c>
      <c r="T2695">
        <f t="shared" si="429"/>
        <v>0</v>
      </c>
      <c r="U2695">
        <f t="shared" si="428"/>
        <v>0</v>
      </c>
    </row>
    <row r="2696" spans="1:21" x14ac:dyDescent="0.25">
      <c r="A2696" s="2">
        <v>2695</v>
      </c>
      <c r="B2696" s="2">
        <v>2003</v>
      </c>
      <c r="C2696" t="s">
        <v>162</v>
      </c>
      <c r="D2696" t="s">
        <v>583</v>
      </c>
      <c r="E2696" s="80">
        <v>166542.21</v>
      </c>
      <c r="F2696" s="80">
        <v>0.01</v>
      </c>
      <c r="G2696">
        <v>16.940000000000001</v>
      </c>
      <c r="H2696" t="s">
        <v>583</v>
      </c>
      <c r="I2696">
        <v>1.7</v>
      </c>
      <c r="J2696" t="s">
        <v>583</v>
      </c>
      <c r="K2696">
        <v>3.44</v>
      </c>
      <c r="L2696">
        <f t="shared" si="420"/>
        <v>0</v>
      </c>
      <c r="M2696">
        <f t="shared" si="421"/>
        <v>0</v>
      </c>
      <c r="N2696">
        <f t="shared" si="422"/>
        <v>0</v>
      </c>
      <c r="O2696">
        <f t="shared" si="423"/>
        <v>0</v>
      </c>
      <c r="P2696">
        <f t="shared" si="424"/>
        <v>0</v>
      </c>
      <c r="Q2696">
        <f t="shared" si="425"/>
        <v>0</v>
      </c>
      <c r="R2696">
        <f t="shared" si="426"/>
        <v>0</v>
      </c>
      <c r="S2696">
        <f t="shared" si="427"/>
        <v>0</v>
      </c>
      <c r="T2696">
        <f t="shared" si="429"/>
        <v>0</v>
      </c>
      <c r="U2696">
        <f t="shared" si="428"/>
        <v>0</v>
      </c>
    </row>
    <row r="2697" spans="1:21" x14ac:dyDescent="0.25">
      <c r="A2697" s="2">
        <v>2696</v>
      </c>
      <c r="B2697" s="2">
        <v>2003</v>
      </c>
      <c r="C2697" t="s">
        <v>170</v>
      </c>
      <c r="D2697">
        <v>23.72</v>
      </c>
      <c r="E2697" s="89" t="s">
        <v>582</v>
      </c>
      <c r="F2697">
        <v>623.65</v>
      </c>
      <c r="G2697">
        <v>37.880000000000003</v>
      </c>
      <c r="H2697">
        <v>4274.5200000000004</v>
      </c>
      <c r="I2697" s="80">
        <v>99446.04</v>
      </c>
      <c r="J2697">
        <v>13.01</v>
      </c>
      <c r="K2697">
        <v>1926.02</v>
      </c>
      <c r="L2697">
        <f t="shared" si="420"/>
        <v>0</v>
      </c>
      <c r="M2697">
        <f t="shared" si="421"/>
        <v>1</v>
      </c>
      <c r="N2697">
        <f t="shared" si="422"/>
        <v>0</v>
      </c>
      <c r="O2697">
        <f t="shared" si="423"/>
        <v>0</v>
      </c>
      <c r="P2697">
        <f t="shared" si="424"/>
        <v>0</v>
      </c>
      <c r="Q2697">
        <f t="shared" si="425"/>
        <v>0</v>
      </c>
      <c r="R2697">
        <f t="shared" si="426"/>
        <v>0</v>
      </c>
      <c r="S2697">
        <f t="shared" si="427"/>
        <v>0</v>
      </c>
      <c r="T2697">
        <f t="shared" si="429"/>
        <v>1</v>
      </c>
      <c r="U2697">
        <f t="shared" si="428"/>
        <v>1</v>
      </c>
    </row>
    <row r="2698" spans="1:21" x14ac:dyDescent="0.25">
      <c r="A2698" s="2">
        <v>2697</v>
      </c>
      <c r="B2698" s="2">
        <v>2003</v>
      </c>
      <c r="C2698" t="s">
        <v>178</v>
      </c>
      <c r="D2698">
        <v>393.84</v>
      </c>
      <c r="E2698" s="89" t="s">
        <v>582</v>
      </c>
      <c r="F2698" s="80">
        <v>3994.99</v>
      </c>
      <c r="G2698">
        <v>62.78</v>
      </c>
      <c r="H2698" s="80">
        <v>111099.45</v>
      </c>
      <c r="I2698" s="80">
        <v>116035.01</v>
      </c>
      <c r="J2698">
        <v>21.77</v>
      </c>
      <c r="K2698">
        <v>5096.8599999999997</v>
      </c>
      <c r="L2698">
        <f t="shared" si="420"/>
        <v>0</v>
      </c>
      <c r="M2698">
        <f t="shared" si="421"/>
        <v>1</v>
      </c>
      <c r="N2698">
        <f t="shared" si="422"/>
        <v>0</v>
      </c>
      <c r="O2698">
        <f t="shared" si="423"/>
        <v>0</v>
      </c>
      <c r="P2698">
        <f t="shared" si="424"/>
        <v>0</v>
      </c>
      <c r="Q2698">
        <f t="shared" si="425"/>
        <v>0</v>
      </c>
      <c r="R2698">
        <f t="shared" si="426"/>
        <v>0</v>
      </c>
      <c r="S2698">
        <f t="shared" si="427"/>
        <v>0</v>
      </c>
      <c r="T2698">
        <f t="shared" si="429"/>
        <v>1</v>
      </c>
      <c r="U2698">
        <f t="shared" si="428"/>
        <v>1</v>
      </c>
    </row>
    <row r="2699" spans="1:21" x14ac:dyDescent="0.25">
      <c r="A2699" s="2">
        <v>2698</v>
      </c>
      <c r="B2699" s="2">
        <v>2003</v>
      </c>
      <c r="C2699" s="89" t="s">
        <v>163</v>
      </c>
      <c r="D2699">
        <v>1879.48</v>
      </c>
      <c r="E2699" s="89" t="s">
        <v>582</v>
      </c>
      <c r="F2699">
        <v>229.01</v>
      </c>
      <c r="G2699">
        <v>81.16</v>
      </c>
      <c r="H2699">
        <v>14891.74</v>
      </c>
      <c r="I2699" s="80">
        <v>51405.66</v>
      </c>
      <c r="J2699">
        <v>57.77</v>
      </c>
      <c r="K2699" s="89" t="s">
        <v>582</v>
      </c>
      <c r="L2699">
        <f t="shared" si="420"/>
        <v>0</v>
      </c>
      <c r="M2699">
        <f t="shared" si="421"/>
        <v>1</v>
      </c>
      <c r="N2699">
        <f t="shared" si="422"/>
        <v>0</v>
      </c>
      <c r="O2699">
        <f t="shared" si="423"/>
        <v>0</v>
      </c>
      <c r="P2699">
        <f t="shared" si="424"/>
        <v>0</v>
      </c>
      <c r="Q2699">
        <f t="shared" si="425"/>
        <v>0</v>
      </c>
      <c r="R2699">
        <f t="shared" si="426"/>
        <v>0</v>
      </c>
      <c r="S2699">
        <f t="shared" si="427"/>
        <v>1</v>
      </c>
      <c r="T2699">
        <f t="shared" si="429"/>
        <v>2</v>
      </c>
      <c r="U2699">
        <f t="shared" si="428"/>
        <v>1</v>
      </c>
    </row>
    <row r="2700" spans="1:21" x14ac:dyDescent="0.25">
      <c r="A2700" s="2">
        <v>2699</v>
      </c>
      <c r="B2700" s="2">
        <v>2003</v>
      </c>
      <c r="C2700" t="s">
        <v>181</v>
      </c>
      <c r="D2700">
        <v>0.48</v>
      </c>
      <c r="E2700" s="89" t="s">
        <v>582</v>
      </c>
      <c r="F2700" s="80">
        <v>0.12</v>
      </c>
      <c r="G2700">
        <v>8.4600000000000009</v>
      </c>
      <c r="H2700">
        <v>2.54</v>
      </c>
      <c r="I2700">
        <v>48.1</v>
      </c>
      <c r="J2700">
        <v>0.81</v>
      </c>
      <c r="K2700">
        <v>55.31</v>
      </c>
      <c r="L2700">
        <f t="shared" si="420"/>
        <v>0</v>
      </c>
      <c r="M2700">
        <f t="shared" si="421"/>
        <v>1</v>
      </c>
      <c r="N2700">
        <f t="shared" si="422"/>
        <v>0</v>
      </c>
      <c r="O2700">
        <f t="shared" si="423"/>
        <v>0</v>
      </c>
      <c r="P2700">
        <f t="shared" si="424"/>
        <v>0</v>
      </c>
      <c r="Q2700">
        <f t="shared" si="425"/>
        <v>0</v>
      </c>
      <c r="R2700">
        <f t="shared" si="426"/>
        <v>0</v>
      </c>
      <c r="S2700">
        <f t="shared" si="427"/>
        <v>0</v>
      </c>
      <c r="T2700">
        <f t="shared" si="429"/>
        <v>1</v>
      </c>
      <c r="U2700">
        <f t="shared" si="428"/>
        <v>1</v>
      </c>
    </row>
    <row r="2701" spans="1:21" x14ac:dyDescent="0.25">
      <c r="A2701" s="2">
        <v>2700</v>
      </c>
      <c r="B2701" s="2">
        <v>2003</v>
      </c>
      <c r="C2701" t="s">
        <v>183</v>
      </c>
      <c r="D2701">
        <v>8.81</v>
      </c>
      <c r="E2701" s="89" t="s">
        <v>582</v>
      </c>
      <c r="F2701">
        <v>3247.22</v>
      </c>
      <c r="G2701">
        <v>71.81</v>
      </c>
      <c r="H2701" s="80">
        <v>16917.990000000002</v>
      </c>
      <c r="I2701" s="80">
        <v>129519.29</v>
      </c>
      <c r="J2701">
        <v>24.1</v>
      </c>
      <c r="K2701" s="80">
        <v>13209.52</v>
      </c>
      <c r="L2701">
        <f t="shared" si="420"/>
        <v>0</v>
      </c>
      <c r="M2701">
        <f t="shared" si="421"/>
        <v>1</v>
      </c>
      <c r="N2701">
        <f t="shared" si="422"/>
        <v>0</v>
      </c>
      <c r="O2701">
        <f t="shared" si="423"/>
        <v>0</v>
      </c>
      <c r="P2701">
        <f t="shared" si="424"/>
        <v>0</v>
      </c>
      <c r="Q2701">
        <f t="shared" si="425"/>
        <v>0</v>
      </c>
      <c r="R2701">
        <f t="shared" si="426"/>
        <v>0</v>
      </c>
      <c r="S2701">
        <f t="shared" si="427"/>
        <v>0</v>
      </c>
      <c r="T2701">
        <f t="shared" si="429"/>
        <v>1</v>
      </c>
      <c r="U2701">
        <f t="shared" si="428"/>
        <v>1</v>
      </c>
    </row>
    <row r="2702" spans="1:21" x14ac:dyDescent="0.25">
      <c r="A2702" s="2">
        <v>2701</v>
      </c>
      <c r="B2702" s="2">
        <v>2003</v>
      </c>
      <c r="C2702" s="89" t="s">
        <v>186</v>
      </c>
      <c r="D2702">
        <v>6.31</v>
      </c>
      <c r="E2702" s="89" t="s">
        <v>582</v>
      </c>
      <c r="F2702">
        <v>292.45</v>
      </c>
      <c r="G2702">
        <v>76.44</v>
      </c>
      <c r="H2702">
        <v>4925.82</v>
      </c>
      <c r="I2702" s="80">
        <v>58807.98</v>
      </c>
      <c r="J2702">
        <v>50.86</v>
      </c>
      <c r="K2702" s="89" t="s">
        <v>582</v>
      </c>
      <c r="L2702">
        <f t="shared" si="420"/>
        <v>0</v>
      </c>
      <c r="M2702">
        <f t="shared" si="421"/>
        <v>1</v>
      </c>
      <c r="N2702">
        <f t="shared" si="422"/>
        <v>0</v>
      </c>
      <c r="O2702">
        <f t="shared" si="423"/>
        <v>0</v>
      </c>
      <c r="P2702">
        <f t="shared" si="424"/>
        <v>0</v>
      </c>
      <c r="Q2702">
        <f t="shared" si="425"/>
        <v>0</v>
      </c>
      <c r="R2702">
        <f t="shared" si="426"/>
        <v>0</v>
      </c>
      <c r="S2702">
        <f t="shared" si="427"/>
        <v>1</v>
      </c>
      <c r="T2702">
        <f t="shared" si="429"/>
        <v>2</v>
      </c>
      <c r="U2702">
        <f t="shared" si="428"/>
        <v>1</v>
      </c>
    </row>
    <row r="2703" spans="1:21" x14ac:dyDescent="0.25">
      <c r="A2703" s="2">
        <v>2702</v>
      </c>
      <c r="B2703" s="2">
        <v>2003</v>
      </c>
      <c r="C2703" s="105" t="s">
        <v>188</v>
      </c>
      <c r="D2703">
        <v>11.49</v>
      </c>
      <c r="E2703" s="89" t="s">
        <v>582</v>
      </c>
      <c r="F2703" s="80">
        <v>8547.08</v>
      </c>
      <c r="G2703">
        <v>95.76</v>
      </c>
      <c r="H2703" t="s">
        <v>582</v>
      </c>
      <c r="I2703" s="80">
        <v>128883.02</v>
      </c>
      <c r="J2703">
        <v>46.81</v>
      </c>
      <c r="K2703" s="89" t="s">
        <v>582</v>
      </c>
      <c r="L2703">
        <f t="shared" si="420"/>
        <v>0</v>
      </c>
      <c r="M2703">
        <f t="shared" si="421"/>
        <v>1</v>
      </c>
      <c r="N2703">
        <f t="shared" si="422"/>
        <v>0</v>
      </c>
      <c r="O2703">
        <f t="shared" si="423"/>
        <v>0</v>
      </c>
      <c r="P2703">
        <f t="shared" si="424"/>
        <v>1</v>
      </c>
      <c r="Q2703">
        <f t="shared" si="425"/>
        <v>0</v>
      </c>
      <c r="R2703">
        <f t="shared" si="426"/>
        <v>0</v>
      </c>
      <c r="S2703">
        <f t="shared" si="427"/>
        <v>1</v>
      </c>
      <c r="T2703">
        <f t="shared" si="429"/>
        <v>3</v>
      </c>
      <c r="U2703">
        <f t="shared" si="428"/>
        <v>1</v>
      </c>
    </row>
    <row r="2704" spans="1:21" x14ac:dyDescent="0.25">
      <c r="A2704" s="2">
        <v>2703</v>
      </c>
      <c r="B2704" s="2">
        <v>2003</v>
      </c>
      <c r="C2704" s="43" t="s">
        <v>182</v>
      </c>
      <c r="D2704">
        <v>1.2</v>
      </c>
      <c r="E2704">
        <v>4186.7</v>
      </c>
      <c r="F2704">
        <v>62.2</v>
      </c>
      <c r="G2704">
        <v>23.4</v>
      </c>
      <c r="H2704">
        <v>1215.77</v>
      </c>
      <c r="I2704" s="80">
        <v>35971.300000000003</v>
      </c>
      <c r="J2704">
        <v>5.34</v>
      </c>
      <c r="K2704">
        <v>2016.7</v>
      </c>
      <c r="L2704">
        <f t="shared" si="420"/>
        <v>0</v>
      </c>
      <c r="M2704">
        <f t="shared" si="421"/>
        <v>0</v>
      </c>
      <c r="N2704">
        <f t="shared" si="422"/>
        <v>0</v>
      </c>
      <c r="O2704">
        <f t="shared" si="423"/>
        <v>0</v>
      </c>
      <c r="P2704">
        <f t="shared" si="424"/>
        <v>0</v>
      </c>
      <c r="Q2704">
        <f t="shared" si="425"/>
        <v>0</v>
      </c>
      <c r="R2704">
        <f t="shared" si="426"/>
        <v>0</v>
      </c>
      <c r="S2704">
        <f t="shared" si="427"/>
        <v>0</v>
      </c>
      <c r="T2704">
        <f t="shared" si="429"/>
        <v>0</v>
      </c>
      <c r="U2704">
        <f t="shared" si="428"/>
        <v>0</v>
      </c>
    </row>
    <row r="2705" spans="1:21" x14ac:dyDescent="0.25">
      <c r="A2705" s="2">
        <v>2704</v>
      </c>
      <c r="B2705" s="2">
        <v>2003</v>
      </c>
      <c r="C2705" s="43" t="s">
        <v>184</v>
      </c>
      <c r="D2705">
        <v>1088.19</v>
      </c>
      <c r="E2705">
        <v>16301.02</v>
      </c>
      <c r="F2705">
        <v>94.31</v>
      </c>
      <c r="G2705">
        <v>45.79</v>
      </c>
      <c r="H2705" s="80">
        <v>67110.67</v>
      </c>
      <c r="I2705" s="80">
        <v>87542.63</v>
      </c>
      <c r="J2705">
        <v>24.1</v>
      </c>
      <c r="K2705">
        <v>4957.5</v>
      </c>
      <c r="L2705">
        <f t="shared" si="420"/>
        <v>0</v>
      </c>
      <c r="M2705">
        <f t="shared" si="421"/>
        <v>0</v>
      </c>
      <c r="N2705">
        <f t="shared" si="422"/>
        <v>0</v>
      </c>
      <c r="O2705">
        <f t="shared" si="423"/>
        <v>0</v>
      </c>
      <c r="P2705">
        <f t="shared" si="424"/>
        <v>0</v>
      </c>
      <c r="Q2705">
        <f t="shared" si="425"/>
        <v>0</v>
      </c>
      <c r="R2705">
        <f t="shared" si="426"/>
        <v>0</v>
      </c>
      <c r="S2705">
        <f t="shared" si="427"/>
        <v>0</v>
      </c>
      <c r="T2705">
        <f t="shared" si="429"/>
        <v>0</v>
      </c>
      <c r="U2705">
        <f t="shared" si="428"/>
        <v>0</v>
      </c>
    </row>
    <row r="2706" spans="1:21" x14ac:dyDescent="0.25">
      <c r="A2706" s="2">
        <v>2705</v>
      </c>
      <c r="B2706" s="2">
        <v>2003</v>
      </c>
      <c r="C2706" s="43" t="s">
        <v>187</v>
      </c>
      <c r="D2706">
        <v>3346.98</v>
      </c>
      <c r="E2706">
        <v>18159.73</v>
      </c>
      <c r="F2706">
        <v>312.12</v>
      </c>
      <c r="G2706">
        <v>54.1</v>
      </c>
      <c r="H2706" s="80">
        <v>309763.40000000002</v>
      </c>
      <c r="I2706" s="80">
        <v>80326.490000000005</v>
      </c>
      <c r="J2706">
        <v>36.35</v>
      </c>
      <c r="K2706" s="80">
        <v>10395.27</v>
      </c>
      <c r="L2706">
        <f t="shared" si="420"/>
        <v>0</v>
      </c>
      <c r="M2706">
        <f t="shared" si="421"/>
        <v>0</v>
      </c>
      <c r="N2706">
        <f t="shared" si="422"/>
        <v>0</v>
      </c>
      <c r="O2706">
        <f t="shared" si="423"/>
        <v>0</v>
      </c>
      <c r="P2706">
        <f t="shared" si="424"/>
        <v>0</v>
      </c>
      <c r="Q2706">
        <f t="shared" si="425"/>
        <v>0</v>
      </c>
      <c r="R2706">
        <f t="shared" si="426"/>
        <v>0</v>
      </c>
      <c r="S2706">
        <f t="shared" si="427"/>
        <v>0</v>
      </c>
      <c r="T2706">
        <f t="shared" si="429"/>
        <v>0</v>
      </c>
      <c r="U2706">
        <f t="shared" si="428"/>
        <v>0</v>
      </c>
    </row>
    <row r="2707" spans="1:21" x14ac:dyDescent="0.25">
      <c r="A2707" s="2">
        <v>2706</v>
      </c>
      <c r="B2707" s="2">
        <v>2003</v>
      </c>
      <c r="C2707" s="105" t="s">
        <v>189</v>
      </c>
      <c r="D2707">
        <v>2040.05</v>
      </c>
      <c r="E2707">
        <v>9962.5400000000009</v>
      </c>
      <c r="F2707">
        <v>2.79</v>
      </c>
      <c r="G2707">
        <v>45.79</v>
      </c>
      <c r="H2707" s="80">
        <v>118366.3</v>
      </c>
      <c r="I2707" s="80">
        <v>28284.49</v>
      </c>
      <c r="J2707">
        <v>44.15</v>
      </c>
      <c r="K2707" s="89" t="s">
        <v>582</v>
      </c>
      <c r="L2707">
        <f t="shared" si="420"/>
        <v>0</v>
      </c>
      <c r="M2707">
        <f t="shared" si="421"/>
        <v>0</v>
      </c>
      <c r="N2707">
        <f t="shared" si="422"/>
        <v>0</v>
      </c>
      <c r="O2707">
        <f t="shared" si="423"/>
        <v>0</v>
      </c>
      <c r="P2707">
        <f t="shared" si="424"/>
        <v>0</v>
      </c>
      <c r="Q2707">
        <f t="shared" si="425"/>
        <v>0</v>
      </c>
      <c r="R2707">
        <f t="shared" si="426"/>
        <v>0</v>
      </c>
      <c r="S2707">
        <f t="shared" si="427"/>
        <v>1</v>
      </c>
      <c r="T2707">
        <f t="shared" si="429"/>
        <v>1</v>
      </c>
      <c r="U2707">
        <f t="shared" si="428"/>
        <v>1</v>
      </c>
    </row>
    <row r="2708" spans="1:21" x14ac:dyDescent="0.25">
      <c r="A2708" s="2">
        <v>2707</v>
      </c>
      <c r="B2708" s="2">
        <v>2005</v>
      </c>
      <c r="C2708" t="s">
        <v>162</v>
      </c>
      <c r="D2708">
        <v>0.48</v>
      </c>
      <c r="E2708">
        <v>14822.53</v>
      </c>
      <c r="F2708" s="80">
        <v>0.08</v>
      </c>
      <c r="G2708">
        <v>11.11</v>
      </c>
      <c r="H2708" s="80">
        <v>0.09</v>
      </c>
      <c r="I2708">
        <v>0.11</v>
      </c>
      <c r="J2708" t="s">
        <v>583</v>
      </c>
      <c r="K2708">
        <v>0.23</v>
      </c>
      <c r="L2708">
        <f t="shared" si="420"/>
        <v>0</v>
      </c>
      <c r="M2708">
        <f t="shared" si="421"/>
        <v>0</v>
      </c>
      <c r="N2708">
        <f t="shared" si="422"/>
        <v>0</v>
      </c>
      <c r="O2708">
        <f t="shared" si="423"/>
        <v>0</v>
      </c>
      <c r="P2708">
        <f t="shared" si="424"/>
        <v>0</v>
      </c>
      <c r="Q2708">
        <f t="shared" si="425"/>
        <v>0</v>
      </c>
      <c r="R2708">
        <f t="shared" si="426"/>
        <v>0</v>
      </c>
      <c r="S2708">
        <f t="shared" si="427"/>
        <v>0</v>
      </c>
      <c r="T2708">
        <f t="shared" si="429"/>
        <v>0</v>
      </c>
      <c r="U2708">
        <f t="shared" si="428"/>
        <v>0</v>
      </c>
    </row>
    <row r="2709" spans="1:21" x14ac:dyDescent="0.25">
      <c r="A2709" s="2">
        <v>2708</v>
      </c>
      <c r="B2709" s="2">
        <v>2005</v>
      </c>
      <c r="C2709" t="s">
        <v>170</v>
      </c>
      <c r="D2709">
        <v>7.53</v>
      </c>
      <c r="E2709">
        <v>22750.82</v>
      </c>
      <c r="F2709">
        <v>95.36</v>
      </c>
      <c r="G2709">
        <v>16.940000000000001</v>
      </c>
      <c r="H2709">
        <v>1297.79</v>
      </c>
      <c r="I2709" s="80">
        <v>31714.67</v>
      </c>
      <c r="J2709">
        <v>3.67</v>
      </c>
      <c r="K2709">
        <v>776.89</v>
      </c>
      <c r="L2709">
        <f t="shared" si="420"/>
        <v>0</v>
      </c>
      <c r="M2709">
        <f t="shared" si="421"/>
        <v>0</v>
      </c>
      <c r="N2709">
        <f t="shared" si="422"/>
        <v>0</v>
      </c>
      <c r="O2709">
        <f t="shared" si="423"/>
        <v>0</v>
      </c>
      <c r="P2709">
        <f t="shared" si="424"/>
        <v>0</v>
      </c>
      <c r="Q2709">
        <f t="shared" si="425"/>
        <v>0</v>
      </c>
      <c r="R2709">
        <f t="shared" si="426"/>
        <v>0</v>
      </c>
      <c r="S2709">
        <f t="shared" si="427"/>
        <v>0</v>
      </c>
      <c r="T2709">
        <f t="shared" si="429"/>
        <v>0</v>
      </c>
      <c r="U2709">
        <f t="shared" si="428"/>
        <v>0</v>
      </c>
    </row>
    <row r="2710" spans="1:21" x14ac:dyDescent="0.25">
      <c r="A2710" s="2">
        <v>2709</v>
      </c>
      <c r="B2710" s="2">
        <v>2005</v>
      </c>
      <c r="C2710" t="s">
        <v>178</v>
      </c>
      <c r="D2710">
        <v>51.36</v>
      </c>
      <c r="E2710" s="80">
        <v>29604.05</v>
      </c>
      <c r="F2710">
        <v>658.06</v>
      </c>
      <c r="G2710">
        <v>20.100000000000001</v>
      </c>
      <c r="H2710">
        <v>8019.99</v>
      </c>
      <c r="I2710" s="80">
        <v>49759.94</v>
      </c>
      <c r="J2710">
        <v>9.98</v>
      </c>
      <c r="K2710">
        <v>1955.6</v>
      </c>
      <c r="L2710">
        <f t="shared" si="420"/>
        <v>0</v>
      </c>
      <c r="M2710">
        <f t="shared" si="421"/>
        <v>0</v>
      </c>
      <c r="N2710">
        <f t="shared" si="422"/>
        <v>0</v>
      </c>
      <c r="O2710">
        <f t="shared" si="423"/>
        <v>0</v>
      </c>
      <c r="P2710">
        <f t="shared" si="424"/>
        <v>0</v>
      </c>
      <c r="Q2710">
        <f t="shared" si="425"/>
        <v>0</v>
      </c>
      <c r="R2710">
        <f t="shared" si="426"/>
        <v>0</v>
      </c>
      <c r="S2710">
        <f t="shared" si="427"/>
        <v>0</v>
      </c>
      <c r="T2710">
        <f t="shared" si="429"/>
        <v>0</v>
      </c>
      <c r="U2710">
        <f t="shared" si="428"/>
        <v>0</v>
      </c>
    </row>
    <row r="2711" spans="1:21" x14ac:dyDescent="0.25">
      <c r="A2711" s="2">
        <v>2710</v>
      </c>
      <c r="B2711" s="2">
        <v>2005</v>
      </c>
      <c r="C2711" t="s">
        <v>163</v>
      </c>
      <c r="D2711">
        <v>1298.46</v>
      </c>
      <c r="E2711" s="80">
        <v>48767.46</v>
      </c>
      <c r="F2711">
        <v>137.41</v>
      </c>
      <c r="G2711">
        <v>37.880000000000003</v>
      </c>
      <c r="H2711">
        <v>9397.91</v>
      </c>
      <c r="I2711" s="80">
        <v>47280</v>
      </c>
      <c r="J2711">
        <v>37.630000000000003</v>
      </c>
      <c r="K2711" s="89" t="s">
        <v>582</v>
      </c>
      <c r="L2711">
        <f t="shared" si="420"/>
        <v>0</v>
      </c>
      <c r="M2711">
        <f t="shared" si="421"/>
        <v>0</v>
      </c>
      <c r="N2711">
        <f t="shared" si="422"/>
        <v>0</v>
      </c>
      <c r="O2711">
        <f t="shared" si="423"/>
        <v>0</v>
      </c>
      <c r="P2711">
        <f t="shared" si="424"/>
        <v>0</v>
      </c>
      <c r="Q2711">
        <f t="shared" si="425"/>
        <v>0</v>
      </c>
      <c r="R2711">
        <f t="shared" si="426"/>
        <v>0</v>
      </c>
      <c r="S2711">
        <f t="shared" si="427"/>
        <v>1</v>
      </c>
      <c r="T2711">
        <f t="shared" si="429"/>
        <v>1</v>
      </c>
      <c r="U2711">
        <f t="shared" si="428"/>
        <v>1</v>
      </c>
    </row>
    <row r="2712" spans="1:21" x14ac:dyDescent="0.25">
      <c r="A2712" s="2">
        <v>2711</v>
      </c>
      <c r="B2712" s="2">
        <v>2005</v>
      </c>
      <c r="C2712" s="89" t="s">
        <v>181</v>
      </c>
      <c r="D2712">
        <v>1.2</v>
      </c>
      <c r="E2712" s="89" t="s">
        <v>582</v>
      </c>
      <c r="F2712" s="80">
        <v>0.01</v>
      </c>
      <c r="G2712">
        <v>11.11</v>
      </c>
      <c r="H2712">
        <v>33.15</v>
      </c>
      <c r="I2712">
        <v>111.66</v>
      </c>
      <c r="J2712">
        <v>1.44</v>
      </c>
      <c r="K2712">
        <v>43.49</v>
      </c>
      <c r="L2712">
        <f t="shared" si="420"/>
        <v>0</v>
      </c>
      <c r="M2712">
        <f t="shared" si="421"/>
        <v>1</v>
      </c>
      <c r="N2712">
        <f t="shared" si="422"/>
        <v>0</v>
      </c>
      <c r="O2712">
        <f t="shared" si="423"/>
        <v>0</v>
      </c>
      <c r="P2712">
        <f t="shared" si="424"/>
        <v>0</v>
      </c>
      <c r="Q2712">
        <f t="shared" si="425"/>
        <v>0</v>
      </c>
      <c r="R2712">
        <f t="shared" si="426"/>
        <v>0</v>
      </c>
      <c r="S2712">
        <f t="shared" si="427"/>
        <v>0</v>
      </c>
      <c r="T2712">
        <f t="shared" si="429"/>
        <v>1</v>
      </c>
      <c r="U2712">
        <f t="shared" si="428"/>
        <v>1</v>
      </c>
    </row>
    <row r="2713" spans="1:21" x14ac:dyDescent="0.25">
      <c r="A2713" s="2">
        <v>2712</v>
      </c>
      <c r="B2713" s="2">
        <v>2005</v>
      </c>
      <c r="C2713" t="s">
        <v>183</v>
      </c>
      <c r="D2713">
        <v>8.81</v>
      </c>
      <c r="E2713" s="80">
        <v>68511.89</v>
      </c>
      <c r="F2713">
        <v>1101.8599999999999</v>
      </c>
      <c r="G2713">
        <v>45.79</v>
      </c>
      <c r="H2713">
        <v>15029.68</v>
      </c>
      <c r="I2713" s="80">
        <v>117197.84</v>
      </c>
      <c r="J2713">
        <v>21.77</v>
      </c>
      <c r="K2713" s="80">
        <v>12210</v>
      </c>
      <c r="L2713">
        <f t="shared" si="420"/>
        <v>0</v>
      </c>
      <c r="M2713">
        <f t="shared" si="421"/>
        <v>0</v>
      </c>
      <c r="N2713">
        <f t="shared" si="422"/>
        <v>0</v>
      </c>
      <c r="O2713">
        <f t="shared" si="423"/>
        <v>0</v>
      </c>
      <c r="P2713">
        <f t="shared" si="424"/>
        <v>0</v>
      </c>
      <c r="Q2713">
        <f t="shared" si="425"/>
        <v>0</v>
      </c>
      <c r="R2713">
        <f t="shared" si="426"/>
        <v>0</v>
      </c>
      <c r="S2713">
        <f t="shared" si="427"/>
        <v>0</v>
      </c>
      <c r="T2713">
        <f t="shared" si="429"/>
        <v>0</v>
      </c>
      <c r="U2713">
        <f t="shared" si="428"/>
        <v>0</v>
      </c>
    </row>
    <row r="2714" spans="1:21" x14ac:dyDescent="0.25">
      <c r="A2714" s="2">
        <v>2713</v>
      </c>
      <c r="B2714" s="2">
        <v>2005</v>
      </c>
      <c r="C2714" t="s">
        <v>186</v>
      </c>
      <c r="D2714">
        <v>8.81</v>
      </c>
      <c r="E2714" s="80">
        <v>65805.05</v>
      </c>
      <c r="F2714" s="80">
        <v>3757.32</v>
      </c>
      <c r="G2714">
        <v>54.1</v>
      </c>
      <c r="H2714" s="80">
        <v>227173.92</v>
      </c>
      <c r="I2714" s="80">
        <v>122156.86</v>
      </c>
      <c r="J2714">
        <v>31.33</v>
      </c>
      <c r="K2714" s="89" t="s">
        <v>582</v>
      </c>
      <c r="L2714">
        <f t="shared" si="420"/>
        <v>0</v>
      </c>
      <c r="M2714">
        <f t="shared" si="421"/>
        <v>0</v>
      </c>
      <c r="N2714">
        <f t="shared" si="422"/>
        <v>0</v>
      </c>
      <c r="O2714">
        <f t="shared" si="423"/>
        <v>0</v>
      </c>
      <c r="P2714">
        <f t="shared" si="424"/>
        <v>0</v>
      </c>
      <c r="Q2714">
        <f t="shared" si="425"/>
        <v>0</v>
      </c>
      <c r="R2714">
        <f t="shared" si="426"/>
        <v>0</v>
      </c>
      <c r="S2714">
        <f t="shared" si="427"/>
        <v>1</v>
      </c>
      <c r="T2714">
        <f t="shared" si="429"/>
        <v>1</v>
      </c>
      <c r="U2714">
        <f t="shared" si="428"/>
        <v>1</v>
      </c>
    </row>
    <row r="2715" spans="1:21" x14ac:dyDescent="0.25">
      <c r="A2715" s="2">
        <v>2714</v>
      </c>
      <c r="B2715" s="2">
        <v>2005</v>
      </c>
      <c r="C2715" s="105" t="s">
        <v>188</v>
      </c>
      <c r="D2715">
        <v>8.81</v>
      </c>
      <c r="E2715" s="89" t="s">
        <v>582</v>
      </c>
      <c r="F2715">
        <v>119.61</v>
      </c>
      <c r="G2715">
        <v>62.78</v>
      </c>
      <c r="H2715">
        <v>4118.45</v>
      </c>
      <c r="I2715" s="80">
        <v>47271.01</v>
      </c>
      <c r="J2715">
        <v>41.51</v>
      </c>
      <c r="K2715" s="89" t="s">
        <v>582</v>
      </c>
      <c r="L2715">
        <f t="shared" si="420"/>
        <v>0</v>
      </c>
      <c r="M2715">
        <f t="shared" si="421"/>
        <v>1</v>
      </c>
      <c r="N2715">
        <f t="shared" si="422"/>
        <v>0</v>
      </c>
      <c r="O2715">
        <f t="shared" si="423"/>
        <v>0</v>
      </c>
      <c r="P2715">
        <f t="shared" si="424"/>
        <v>0</v>
      </c>
      <c r="Q2715">
        <f t="shared" si="425"/>
        <v>0</v>
      </c>
      <c r="R2715">
        <f t="shared" si="426"/>
        <v>0</v>
      </c>
      <c r="S2715">
        <f t="shared" si="427"/>
        <v>1</v>
      </c>
      <c r="T2715">
        <f t="shared" si="429"/>
        <v>2</v>
      </c>
      <c r="U2715">
        <f t="shared" si="428"/>
        <v>1</v>
      </c>
    </row>
    <row r="2716" spans="1:21" x14ac:dyDescent="0.25">
      <c r="A2716" s="2">
        <v>2715</v>
      </c>
      <c r="B2716" s="2">
        <v>2005</v>
      </c>
      <c r="C2716" s="43" t="s">
        <v>182</v>
      </c>
      <c r="D2716" t="s">
        <v>583</v>
      </c>
      <c r="E2716">
        <v>1362.02</v>
      </c>
      <c r="F2716" t="s">
        <v>583</v>
      </c>
      <c r="G2716" s="80">
        <v>1.96</v>
      </c>
      <c r="H2716" s="80">
        <v>0.09</v>
      </c>
      <c r="I2716">
        <v>0.13</v>
      </c>
      <c r="J2716" t="s">
        <v>583</v>
      </c>
      <c r="K2716" s="80">
        <v>0.03</v>
      </c>
      <c r="L2716">
        <f t="shared" si="420"/>
        <v>0</v>
      </c>
      <c r="M2716">
        <f t="shared" si="421"/>
        <v>0</v>
      </c>
      <c r="N2716">
        <f t="shared" si="422"/>
        <v>0</v>
      </c>
      <c r="O2716">
        <f t="shared" si="423"/>
        <v>0</v>
      </c>
      <c r="P2716">
        <f t="shared" si="424"/>
        <v>0</v>
      </c>
      <c r="Q2716">
        <f t="shared" si="425"/>
        <v>0</v>
      </c>
      <c r="R2716">
        <f t="shared" si="426"/>
        <v>0</v>
      </c>
      <c r="S2716">
        <f t="shared" si="427"/>
        <v>0</v>
      </c>
      <c r="T2716">
        <f t="shared" si="429"/>
        <v>0</v>
      </c>
      <c r="U2716">
        <f t="shared" si="428"/>
        <v>0</v>
      </c>
    </row>
    <row r="2717" spans="1:21" x14ac:dyDescent="0.25">
      <c r="A2717" s="2">
        <v>2716</v>
      </c>
      <c r="B2717" s="2">
        <v>2005</v>
      </c>
      <c r="C2717" s="43" t="s">
        <v>184</v>
      </c>
      <c r="D2717">
        <v>30.57</v>
      </c>
      <c r="E2717">
        <v>8992.14</v>
      </c>
      <c r="F2717">
        <v>76.95</v>
      </c>
      <c r="G2717">
        <v>23.4</v>
      </c>
      <c r="H2717">
        <v>5821.44</v>
      </c>
      <c r="I2717" s="80">
        <v>45173.919999999998</v>
      </c>
      <c r="J2717">
        <v>4.49</v>
      </c>
      <c r="K2717">
        <v>1551.72</v>
      </c>
      <c r="L2717">
        <f t="shared" si="420"/>
        <v>0</v>
      </c>
      <c r="M2717">
        <f t="shared" si="421"/>
        <v>0</v>
      </c>
      <c r="N2717">
        <f t="shared" si="422"/>
        <v>0</v>
      </c>
      <c r="O2717">
        <f t="shared" si="423"/>
        <v>0</v>
      </c>
      <c r="P2717">
        <f t="shared" si="424"/>
        <v>0</v>
      </c>
      <c r="Q2717">
        <f t="shared" si="425"/>
        <v>0</v>
      </c>
      <c r="R2717">
        <f t="shared" si="426"/>
        <v>0</v>
      </c>
      <c r="S2717">
        <f t="shared" si="427"/>
        <v>0</v>
      </c>
      <c r="T2717">
        <f t="shared" si="429"/>
        <v>0</v>
      </c>
      <c r="U2717">
        <f t="shared" si="428"/>
        <v>0</v>
      </c>
    </row>
    <row r="2718" spans="1:21" x14ac:dyDescent="0.25">
      <c r="A2718" s="2">
        <v>2717</v>
      </c>
      <c r="B2718" s="2">
        <v>2005</v>
      </c>
      <c r="C2718" s="43" t="s">
        <v>187</v>
      </c>
      <c r="D2718">
        <v>398.89</v>
      </c>
      <c r="E2718">
        <v>14723.24</v>
      </c>
      <c r="F2718">
        <v>464.69</v>
      </c>
      <c r="G2718">
        <v>37.880000000000003</v>
      </c>
      <c r="H2718" s="80">
        <v>28995.94</v>
      </c>
      <c r="I2718" s="80">
        <v>65898.95</v>
      </c>
      <c r="J2718">
        <v>24.1</v>
      </c>
      <c r="K2718" s="80">
        <v>9359.8700000000008</v>
      </c>
      <c r="L2718">
        <f t="shared" si="420"/>
        <v>0</v>
      </c>
      <c r="M2718">
        <f t="shared" si="421"/>
        <v>0</v>
      </c>
      <c r="N2718">
        <f t="shared" si="422"/>
        <v>0</v>
      </c>
      <c r="O2718">
        <f t="shared" si="423"/>
        <v>0</v>
      </c>
      <c r="P2718">
        <f t="shared" si="424"/>
        <v>0</v>
      </c>
      <c r="Q2718">
        <f t="shared" si="425"/>
        <v>0</v>
      </c>
      <c r="R2718">
        <f t="shared" si="426"/>
        <v>0</v>
      </c>
      <c r="S2718">
        <f t="shared" si="427"/>
        <v>0</v>
      </c>
      <c r="T2718">
        <f t="shared" si="429"/>
        <v>0</v>
      </c>
      <c r="U2718">
        <f t="shared" si="428"/>
        <v>0</v>
      </c>
    </row>
    <row r="2719" spans="1:21" x14ac:dyDescent="0.25">
      <c r="A2719" s="2">
        <v>2718</v>
      </c>
      <c r="B2719" s="2">
        <v>2005</v>
      </c>
      <c r="C2719" s="43" t="s">
        <v>189</v>
      </c>
      <c r="D2719">
        <v>583.75</v>
      </c>
      <c r="E2719">
        <v>7261.46</v>
      </c>
      <c r="F2719">
        <v>6.92</v>
      </c>
      <c r="G2719">
        <v>37.880000000000003</v>
      </c>
      <c r="H2719" s="80">
        <v>19758.34</v>
      </c>
      <c r="I2719" s="80">
        <v>19714.27</v>
      </c>
      <c r="J2719">
        <v>22.93</v>
      </c>
      <c r="K2719" s="80">
        <v>13699.39</v>
      </c>
      <c r="L2719">
        <f t="shared" si="420"/>
        <v>0</v>
      </c>
      <c r="M2719">
        <f t="shared" si="421"/>
        <v>0</v>
      </c>
      <c r="N2719">
        <f t="shared" si="422"/>
        <v>0</v>
      </c>
      <c r="O2719">
        <f t="shared" si="423"/>
        <v>0</v>
      </c>
      <c r="P2719">
        <f t="shared" si="424"/>
        <v>0</v>
      </c>
      <c r="Q2719">
        <f t="shared" si="425"/>
        <v>0</v>
      </c>
      <c r="R2719">
        <f t="shared" si="426"/>
        <v>0</v>
      </c>
      <c r="S2719">
        <f t="shared" si="427"/>
        <v>0</v>
      </c>
      <c r="T2719">
        <f t="shared" si="429"/>
        <v>0</v>
      </c>
      <c r="U2719">
        <f t="shared" si="428"/>
        <v>0</v>
      </c>
    </row>
    <row r="2720" spans="1:21" x14ac:dyDescent="0.25">
      <c r="A2720" s="2">
        <v>2719</v>
      </c>
      <c r="B2720" s="2">
        <v>2006</v>
      </c>
      <c r="C2720" t="s">
        <v>162</v>
      </c>
      <c r="D2720" t="s">
        <v>583</v>
      </c>
      <c r="E2720" s="80">
        <v>75631.600000000006</v>
      </c>
      <c r="F2720">
        <v>0.43</v>
      </c>
      <c r="G2720" t="s">
        <v>583</v>
      </c>
      <c r="H2720" t="s">
        <v>583</v>
      </c>
      <c r="I2720">
        <v>2.1</v>
      </c>
      <c r="J2720" t="s">
        <v>583</v>
      </c>
      <c r="K2720">
        <v>5.03</v>
      </c>
      <c r="L2720">
        <f t="shared" si="420"/>
        <v>0</v>
      </c>
      <c r="M2720">
        <f t="shared" si="421"/>
        <v>0</v>
      </c>
      <c r="N2720">
        <f t="shared" si="422"/>
        <v>0</v>
      </c>
      <c r="O2720">
        <f t="shared" si="423"/>
        <v>0</v>
      </c>
      <c r="P2720">
        <f t="shared" si="424"/>
        <v>0</v>
      </c>
      <c r="Q2720">
        <f t="shared" si="425"/>
        <v>0</v>
      </c>
      <c r="R2720">
        <f t="shared" si="426"/>
        <v>0</v>
      </c>
      <c r="S2720">
        <f t="shared" si="427"/>
        <v>0</v>
      </c>
      <c r="T2720">
        <f t="shared" si="429"/>
        <v>0</v>
      </c>
      <c r="U2720">
        <f t="shared" si="428"/>
        <v>0</v>
      </c>
    </row>
    <row r="2721" spans="1:21" x14ac:dyDescent="0.25">
      <c r="A2721" s="2">
        <v>2720</v>
      </c>
      <c r="B2721" s="2">
        <v>2006</v>
      </c>
      <c r="C2721" t="s">
        <v>170</v>
      </c>
      <c r="D2721">
        <v>7.53</v>
      </c>
      <c r="E2721" s="80">
        <v>49135.33</v>
      </c>
      <c r="F2721">
        <v>722.82</v>
      </c>
      <c r="G2721">
        <v>26.84</v>
      </c>
      <c r="H2721">
        <v>7174.97</v>
      </c>
      <c r="I2721" s="80">
        <v>68014.05</v>
      </c>
      <c r="J2721">
        <v>9.01</v>
      </c>
      <c r="K2721">
        <v>1823.53</v>
      </c>
      <c r="L2721">
        <f t="shared" si="420"/>
        <v>0</v>
      </c>
      <c r="M2721">
        <f t="shared" si="421"/>
        <v>0</v>
      </c>
      <c r="N2721">
        <f t="shared" si="422"/>
        <v>0</v>
      </c>
      <c r="O2721">
        <f t="shared" si="423"/>
        <v>0</v>
      </c>
      <c r="P2721">
        <f t="shared" si="424"/>
        <v>0</v>
      </c>
      <c r="Q2721">
        <f t="shared" si="425"/>
        <v>0</v>
      </c>
      <c r="R2721">
        <f t="shared" si="426"/>
        <v>0</v>
      </c>
      <c r="S2721">
        <f t="shared" si="427"/>
        <v>0</v>
      </c>
      <c r="T2721">
        <f t="shared" si="429"/>
        <v>0</v>
      </c>
      <c r="U2721">
        <f t="shared" si="428"/>
        <v>0</v>
      </c>
    </row>
    <row r="2722" spans="1:21" x14ac:dyDescent="0.25">
      <c r="A2722" s="2">
        <v>2721</v>
      </c>
      <c r="B2722" s="2">
        <v>2006</v>
      </c>
      <c r="C2722" t="s">
        <v>178</v>
      </c>
      <c r="D2722">
        <v>39.69</v>
      </c>
      <c r="E2722" s="80">
        <v>62714.18</v>
      </c>
      <c r="F2722">
        <v>2958.1</v>
      </c>
      <c r="G2722">
        <v>62.78</v>
      </c>
      <c r="H2722" s="80">
        <v>61649.99</v>
      </c>
      <c r="I2722" s="80">
        <v>95009.88</v>
      </c>
      <c r="J2722">
        <v>21.77</v>
      </c>
      <c r="K2722">
        <v>4885.01</v>
      </c>
      <c r="L2722">
        <f t="shared" si="420"/>
        <v>0</v>
      </c>
      <c r="M2722">
        <f t="shared" si="421"/>
        <v>0</v>
      </c>
      <c r="N2722">
        <f t="shared" si="422"/>
        <v>0</v>
      </c>
      <c r="O2722">
        <f t="shared" si="423"/>
        <v>0</v>
      </c>
      <c r="P2722">
        <f t="shared" si="424"/>
        <v>0</v>
      </c>
      <c r="Q2722">
        <f t="shared" si="425"/>
        <v>0</v>
      </c>
      <c r="R2722">
        <f t="shared" si="426"/>
        <v>0</v>
      </c>
      <c r="S2722">
        <f t="shared" si="427"/>
        <v>0</v>
      </c>
      <c r="T2722">
        <f t="shared" si="429"/>
        <v>0</v>
      </c>
      <c r="U2722">
        <f t="shared" si="428"/>
        <v>0</v>
      </c>
    </row>
    <row r="2723" spans="1:21" x14ac:dyDescent="0.25">
      <c r="A2723" s="2">
        <v>2722</v>
      </c>
      <c r="B2723" s="2">
        <v>2006</v>
      </c>
      <c r="C2723" s="89" t="s">
        <v>163</v>
      </c>
      <c r="D2723">
        <v>665.44</v>
      </c>
      <c r="E2723" s="80">
        <v>77443.27</v>
      </c>
      <c r="F2723">
        <v>214.08</v>
      </c>
      <c r="G2723">
        <v>54.1</v>
      </c>
      <c r="H2723">
        <v>8667.26</v>
      </c>
      <c r="I2723" s="80">
        <v>32151.16</v>
      </c>
      <c r="J2723">
        <v>49.5</v>
      </c>
      <c r="K2723" s="89" t="s">
        <v>582</v>
      </c>
      <c r="L2723">
        <f t="shared" si="420"/>
        <v>0</v>
      </c>
      <c r="M2723">
        <f t="shared" si="421"/>
        <v>0</v>
      </c>
      <c r="N2723">
        <f t="shared" si="422"/>
        <v>0</v>
      </c>
      <c r="O2723">
        <f t="shared" si="423"/>
        <v>0</v>
      </c>
      <c r="P2723">
        <f t="shared" si="424"/>
        <v>0</v>
      </c>
      <c r="Q2723">
        <f t="shared" si="425"/>
        <v>0</v>
      </c>
      <c r="R2723">
        <f t="shared" si="426"/>
        <v>0</v>
      </c>
      <c r="S2723">
        <f t="shared" si="427"/>
        <v>1</v>
      </c>
      <c r="T2723">
        <f t="shared" si="429"/>
        <v>1</v>
      </c>
      <c r="U2723">
        <f t="shared" si="428"/>
        <v>1</v>
      </c>
    </row>
    <row r="2724" spans="1:21" x14ac:dyDescent="0.25">
      <c r="A2724" s="2">
        <v>2723</v>
      </c>
      <c r="B2724" s="2">
        <v>2006</v>
      </c>
      <c r="C2724" s="89" t="s">
        <v>181</v>
      </c>
      <c r="D2724">
        <v>0.48</v>
      </c>
      <c r="E2724" s="89" t="s">
        <v>582</v>
      </c>
      <c r="F2724">
        <v>0.28999999999999998</v>
      </c>
      <c r="G2724">
        <v>8.4600000000000009</v>
      </c>
      <c r="H2724">
        <v>998.59</v>
      </c>
      <c r="I2724">
        <v>1389.25</v>
      </c>
      <c r="J2724">
        <v>0.81</v>
      </c>
      <c r="K2724">
        <v>163.71</v>
      </c>
      <c r="L2724">
        <f t="shared" si="420"/>
        <v>0</v>
      </c>
      <c r="M2724">
        <f t="shared" si="421"/>
        <v>1</v>
      </c>
      <c r="N2724">
        <f t="shared" si="422"/>
        <v>0</v>
      </c>
      <c r="O2724">
        <f t="shared" si="423"/>
        <v>0</v>
      </c>
      <c r="P2724">
        <f t="shared" si="424"/>
        <v>0</v>
      </c>
      <c r="Q2724">
        <f t="shared" si="425"/>
        <v>0</v>
      </c>
      <c r="R2724">
        <f t="shared" si="426"/>
        <v>0</v>
      </c>
      <c r="S2724">
        <f t="shared" si="427"/>
        <v>0</v>
      </c>
      <c r="T2724">
        <f t="shared" si="429"/>
        <v>1</v>
      </c>
      <c r="U2724">
        <f t="shared" si="428"/>
        <v>1</v>
      </c>
    </row>
    <row r="2725" spans="1:21" x14ac:dyDescent="0.25">
      <c r="A2725" s="2">
        <v>2724</v>
      </c>
      <c r="B2725" s="2">
        <v>2006</v>
      </c>
      <c r="C2725" t="s">
        <v>183</v>
      </c>
      <c r="D2725">
        <v>6.92</v>
      </c>
      <c r="E2725" s="80">
        <v>40633.449999999997</v>
      </c>
      <c r="F2725">
        <v>605.54999999999995</v>
      </c>
      <c r="G2725">
        <v>37.880000000000003</v>
      </c>
      <c r="H2725" s="80">
        <v>65916.350000000006</v>
      </c>
      <c r="I2725" s="80">
        <v>103920.37</v>
      </c>
      <c r="J2725">
        <v>26.46</v>
      </c>
      <c r="K2725" s="80">
        <v>13049.55</v>
      </c>
      <c r="L2725">
        <f t="shared" si="420"/>
        <v>0</v>
      </c>
      <c r="M2725">
        <f t="shared" si="421"/>
        <v>0</v>
      </c>
      <c r="N2725">
        <f t="shared" si="422"/>
        <v>0</v>
      </c>
      <c r="O2725">
        <f t="shared" si="423"/>
        <v>0</v>
      </c>
      <c r="P2725">
        <f t="shared" si="424"/>
        <v>0</v>
      </c>
      <c r="Q2725">
        <f t="shared" si="425"/>
        <v>0</v>
      </c>
      <c r="R2725">
        <f t="shared" si="426"/>
        <v>0</v>
      </c>
      <c r="S2725">
        <f t="shared" si="427"/>
        <v>0</v>
      </c>
      <c r="T2725">
        <f t="shared" si="429"/>
        <v>0</v>
      </c>
      <c r="U2725">
        <f t="shared" si="428"/>
        <v>0</v>
      </c>
    </row>
    <row r="2726" spans="1:21" x14ac:dyDescent="0.25">
      <c r="A2726" s="2">
        <v>2725</v>
      </c>
      <c r="B2726" s="2">
        <v>2006</v>
      </c>
      <c r="C2726" t="s">
        <v>186</v>
      </c>
      <c r="D2726">
        <v>12.9</v>
      </c>
      <c r="E2726" s="80">
        <v>42762.07</v>
      </c>
      <c r="F2726">
        <v>1060.8499999999999</v>
      </c>
      <c r="G2726">
        <v>45.79</v>
      </c>
      <c r="H2726" t="s">
        <v>582</v>
      </c>
      <c r="I2726" s="80">
        <v>115514.06</v>
      </c>
      <c r="J2726">
        <v>36.35</v>
      </c>
      <c r="K2726" s="80">
        <v>46732.65</v>
      </c>
      <c r="L2726">
        <f t="shared" si="420"/>
        <v>0</v>
      </c>
      <c r="M2726">
        <f t="shared" si="421"/>
        <v>0</v>
      </c>
      <c r="N2726">
        <f t="shared" si="422"/>
        <v>0</v>
      </c>
      <c r="O2726">
        <f t="shared" si="423"/>
        <v>0</v>
      </c>
      <c r="P2726">
        <f t="shared" si="424"/>
        <v>1</v>
      </c>
      <c r="Q2726">
        <f t="shared" si="425"/>
        <v>0</v>
      </c>
      <c r="R2726">
        <f t="shared" si="426"/>
        <v>0</v>
      </c>
      <c r="S2726">
        <f t="shared" si="427"/>
        <v>0</v>
      </c>
      <c r="T2726">
        <f t="shared" si="429"/>
        <v>1</v>
      </c>
      <c r="U2726">
        <f t="shared" si="428"/>
        <v>1</v>
      </c>
    </row>
    <row r="2727" spans="1:21" x14ac:dyDescent="0.25">
      <c r="A2727" s="2">
        <v>2726</v>
      </c>
      <c r="B2727" s="2">
        <v>2006</v>
      </c>
      <c r="C2727" s="105" t="s">
        <v>188</v>
      </c>
      <c r="D2727">
        <v>10.130000000000001</v>
      </c>
      <c r="E2727" s="89" t="s">
        <v>582</v>
      </c>
      <c r="F2727">
        <v>643.66999999999996</v>
      </c>
      <c r="G2727">
        <v>71.81</v>
      </c>
      <c r="H2727" s="80">
        <v>56297.06</v>
      </c>
      <c r="I2727" s="80">
        <v>95242.41</v>
      </c>
      <c r="J2727">
        <v>63.41</v>
      </c>
      <c r="K2727" s="89" t="s">
        <v>582</v>
      </c>
      <c r="L2727">
        <f t="shared" si="420"/>
        <v>0</v>
      </c>
      <c r="M2727">
        <f t="shared" si="421"/>
        <v>1</v>
      </c>
      <c r="N2727">
        <f t="shared" si="422"/>
        <v>0</v>
      </c>
      <c r="O2727">
        <f t="shared" si="423"/>
        <v>0</v>
      </c>
      <c r="P2727">
        <f t="shared" si="424"/>
        <v>0</v>
      </c>
      <c r="Q2727">
        <f t="shared" si="425"/>
        <v>0</v>
      </c>
      <c r="R2727">
        <f t="shared" si="426"/>
        <v>0</v>
      </c>
      <c r="S2727">
        <f t="shared" si="427"/>
        <v>1</v>
      </c>
      <c r="T2727">
        <f t="shared" si="429"/>
        <v>2</v>
      </c>
      <c r="U2727">
        <f t="shared" si="428"/>
        <v>1</v>
      </c>
    </row>
    <row r="2728" spans="1:21" x14ac:dyDescent="0.25">
      <c r="A2728" s="2">
        <v>2727</v>
      </c>
      <c r="B2728" s="2">
        <v>2006</v>
      </c>
      <c r="C2728" s="43" t="s">
        <v>182</v>
      </c>
      <c r="D2728" t="s">
        <v>583</v>
      </c>
      <c r="E2728">
        <v>5095.67</v>
      </c>
      <c r="F2728" t="s">
        <v>583</v>
      </c>
      <c r="G2728" t="s">
        <v>583</v>
      </c>
      <c r="H2728" s="80">
        <v>0.09</v>
      </c>
      <c r="I2728">
        <v>2.06</v>
      </c>
      <c r="J2728" t="s">
        <v>583</v>
      </c>
      <c r="K2728">
        <v>0.1</v>
      </c>
      <c r="L2728">
        <f t="shared" si="420"/>
        <v>0</v>
      </c>
      <c r="M2728">
        <f t="shared" si="421"/>
        <v>0</v>
      </c>
      <c r="N2728">
        <f t="shared" si="422"/>
        <v>0</v>
      </c>
      <c r="O2728">
        <f t="shared" si="423"/>
        <v>0</v>
      </c>
      <c r="P2728">
        <f t="shared" si="424"/>
        <v>0</v>
      </c>
      <c r="Q2728">
        <f t="shared" si="425"/>
        <v>0</v>
      </c>
      <c r="R2728">
        <f t="shared" si="426"/>
        <v>0</v>
      </c>
      <c r="S2728">
        <f t="shared" si="427"/>
        <v>0</v>
      </c>
      <c r="T2728">
        <f t="shared" si="429"/>
        <v>0</v>
      </c>
      <c r="U2728">
        <f t="shared" si="428"/>
        <v>0</v>
      </c>
    </row>
    <row r="2729" spans="1:21" x14ac:dyDescent="0.25">
      <c r="A2729" s="2">
        <v>2728</v>
      </c>
      <c r="B2729" s="2">
        <v>2006</v>
      </c>
      <c r="C2729" s="43" t="s">
        <v>184</v>
      </c>
      <c r="D2729">
        <v>76.73</v>
      </c>
      <c r="E2729">
        <v>19808.57</v>
      </c>
      <c r="F2729">
        <v>256.02</v>
      </c>
      <c r="G2729">
        <v>30.4</v>
      </c>
      <c r="H2729">
        <v>15726.91</v>
      </c>
      <c r="I2729" s="80">
        <v>51823.14</v>
      </c>
      <c r="J2729">
        <v>9.01</v>
      </c>
      <c r="K2729">
        <v>1815.02</v>
      </c>
      <c r="L2729">
        <f t="shared" si="420"/>
        <v>0</v>
      </c>
      <c r="M2729">
        <f t="shared" si="421"/>
        <v>0</v>
      </c>
      <c r="N2729">
        <f t="shared" si="422"/>
        <v>0</v>
      </c>
      <c r="O2729">
        <f t="shared" si="423"/>
        <v>0</v>
      </c>
      <c r="P2729">
        <f t="shared" si="424"/>
        <v>0</v>
      </c>
      <c r="Q2729">
        <f t="shared" si="425"/>
        <v>0</v>
      </c>
      <c r="R2729">
        <f t="shared" si="426"/>
        <v>0</v>
      </c>
      <c r="S2729">
        <f t="shared" si="427"/>
        <v>0</v>
      </c>
      <c r="T2729">
        <f t="shared" si="429"/>
        <v>0</v>
      </c>
      <c r="U2729">
        <f t="shared" si="428"/>
        <v>0</v>
      </c>
    </row>
    <row r="2730" spans="1:21" x14ac:dyDescent="0.25">
      <c r="A2730" s="2">
        <v>2729</v>
      </c>
      <c r="B2730" s="2">
        <v>2006</v>
      </c>
      <c r="C2730" s="43" t="s">
        <v>187</v>
      </c>
      <c r="D2730">
        <v>341.08</v>
      </c>
      <c r="E2730">
        <v>13536.61</v>
      </c>
      <c r="F2730">
        <v>216.21</v>
      </c>
      <c r="G2730">
        <v>45.79</v>
      </c>
      <c r="H2730" s="80">
        <v>45963.69</v>
      </c>
      <c r="I2730" s="80">
        <v>52715.82</v>
      </c>
      <c r="J2730">
        <v>26.46</v>
      </c>
      <c r="K2730">
        <v>6316.68</v>
      </c>
      <c r="L2730">
        <f t="shared" si="420"/>
        <v>0</v>
      </c>
      <c r="M2730">
        <f t="shared" si="421"/>
        <v>0</v>
      </c>
      <c r="N2730">
        <f t="shared" si="422"/>
        <v>0</v>
      </c>
      <c r="O2730">
        <f t="shared" si="423"/>
        <v>0</v>
      </c>
      <c r="P2730">
        <f t="shared" si="424"/>
        <v>0</v>
      </c>
      <c r="Q2730">
        <f t="shared" si="425"/>
        <v>0</v>
      </c>
      <c r="R2730">
        <f t="shared" si="426"/>
        <v>0</v>
      </c>
      <c r="S2730">
        <f t="shared" si="427"/>
        <v>0</v>
      </c>
      <c r="T2730">
        <f t="shared" si="429"/>
        <v>0</v>
      </c>
      <c r="U2730">
        <f t="shared" si="428"/>
        <v>0</v>
      </c>
    </row>
    <row r="2731" spans="1:21" x14ac:dyDescent="0.25">
      <c r="A2731" s="2">
        <v>2730</v>
      </c>
      <c r="B2731" s="2">
        <v>2006</v>
      </c>
      <c r="C2731" s="43" t="s">
        <v>189</v>
      </c>
      <c r="D2731">
        <v>820.87</v>
      </c>
      <c r="E2731">
        <v>15077.85</v>
      </c>
      <c r="F2731">
        <v>1.39</v>
      </c>
      <c r="G2731">
        <v>34.08</v>
      </c>
      <c r="H2731" s="80">
        <v>21359.4</v>
      </c>
      <c r="I2731" s="80">
        <v>14416.52</v>
      </c>
      <c r="J2731">
        <v>25.27</v>
      </c>
      <c r="K2731">
        <v>7380.66</v>
      </c>
      <c r="L2731">
        <f t="shared" si="420"/>
        <v>0</v>
      </c>
      <c r="M2731">
        <f t="shared" si="421"/>
        <v>0</v>
      </c>
      <c r="N2731">
        <f t="shared" si="422"/>
        <v>0</v>
      </c>
      <c r="O2731">
        <f t="shared" si="423"/>
        <v>0</v>
      </c>
      <c r="P2731">
        <f t="shared" si="424"/>
        <v>0</v>
      </c>
      <c r="Q2731">
        <f t="shared" si="425"/>
        <v>0</v>
      </c>
      <c r="R2731">
        <f t="shared" si="426"/>
        <v>0</v>
      </c>
      <c r="S2731">
        <f t="shared" si="427"/>
        <v>0</v>
      </c>
      <c r="T2731">
        <f t="shared" si="429"/>
        <v>0</v>
      </c>
      <c r="U2731">
        <f t="shared" si="428"/>
        <v>0</v>
      </c>
    </row>
    <row r="2732" spans="1:21" x14ac:dyDescent="0.25">
      <c r="A2732" s="2">
        <v>2731</v>
      </c>
      <c r="B2732" s="2">
        <v>2007</v>
      </c>
      <c r="C2732" t="s">
        <v>162</v>
      </c>
      <c r="D2732" s="80">
        <v>0</v>
      </c>
      <c r="E2732" s="80">
        <v>79144.11</v>
      </c>
      <c r="F2732">
        <v>0.33</v>
      </c>
      <c r="G2732">
        <v>6.03</v>
      </c>
      <c r="H2732" t="s">
        <v>583</v>
      </c>
      <c r="I2732">
        <v>1.88</v>
      </c>
      <c r="J2732" t="s">
        <v>583</v>
      </c>
      <c r="K2732">
        <v>1.26</v>
      </c>
      <c r="L2732">
        <f t="shared" si="420"/>
        <v>0</v>
      </c>
      <c r="M2732">
        <f t="shared" si="421"/>
        <v>0</v>
      </c>
      <c r="N2732">
        <f t="shared" si="422"/>
        <v>0</v>
      </c>
      <c r="O2732">
        <f t="shared" si="423"/>
        <v>0</v>
      </c>
      <c r="P2732">
        <f t="shared" si="424"/>
        <v>0</v>
      </c>
      <c r="Q2732">
        <f t="shared" si="425"/>
        <v>0</v>
      </c>
      <c r="R2732">
        <f t="shared" si="426"/>
        <v>0</v>
      </c>
      <c r="S2732">
        <f t="shared" si="427"/>
        <v>0</v>
      </c>
      <c r="T2732">
        <f t="shared" si="429"/>
        <v>0</v>
      </c>
      <c r="U2732">
        <f t="shared" si="428"/>
        <v>0</v>
      </c>
    </row>
    <row r="2733" spans="1:21" x14ac:dyDescent="0.25">
      <c r="A2733" s="2">
        <v>2732</v>
      </c>
      <c r="B2733" s="2">
        <v>2007</v>
      </c>
      <c r="C2733" s="89" t="s">
        <v>170</v>
      </c>
      <c r="D2733">
        <v>12.19</v>
      </c>
      <c r="E2733" s="89" t="s">
        <v>582</v>
      </c>
      <c r="F2733">
        <v>343.81</v>
      </c>
      <c r="G2733">
        <v>37.880000000000003</v>
      </c>
      <c r="H2733">
        <v>2348.4299999999998</v>
      </c>
      <c r="I2733" s="80">
        <v>53388.06</v>
      </c>
      <c r="J2733">
        <v>10.97</v>
      </c>
      <c r="K2733">
        <v>1235.25</v>
      </c>
      <c r="L2733">
        <f t="shared" si="420"/>
        <v>0</v>
      </c>
      <c r="M2733">
        <f t="shared" si="421"/>
        <v>1</v>
      </c>
      <c r="N2733">
        <f t="shared" si="422"/>
        <v>0</v>
      </c>
      <c r="O2733">
        <f t="shared" si="423"/>
        <v>0</v>
      </c>
      <c r="P2733">
        <f t="shared" si="424"/>
        <v>0</v>
      </c>
      <c r="Q2733">
        <f t="shared" si="425"/>
        <v>0</v>
      </c>
      <c r="R2733">
        <f t="shared" si="426"/>
        <v>0</v>
      </c>
      <c r="S2733">
        <f t="shared" si="427"/>
        <v>0</v>
      </c>
      <c r="T2733">
        <f t="shared" si="429"/>
        <v>1</v>
      </c>
      <c r="U2733">
        <f t="shared" si="428"/>
        <v>1</v>
      </c>
    </row>
    <row r="2734" spans="1:21" x14ac:dyDescent="0.25">
      <c r="A2734" s="2">
        <v>2733</v>
      </c>
      <c r="B2734" s="2">
        <v>2007</v>
      </c>
      <c r="C2734" s="89" t="s">
        <v>178</v>
      </c>
      <c r="D2734">
        <v>72.33</v>
      </c>
      <c r="E2734" s="89" t="s">
        <v>582</v>
      </c>
      <c r="F2734">
        <v>4121.29</v>
      </c>
      <c r="G2734">
        <v>37.880000000000003</v>
      </c>
      <c r="H2734" s="80">
        <v>38272.910000000003</v>
      </c>
      <c r="I2734" s="80">
        <v>74509.09</v>
      </c>
      <c r="J2734">
        <v>13.01</v>
      </c>
      <c r="K2734">
        <v>4171.6899999999996</v>
      </c>
      <c r="L2734">
        <f t="shared" si="420"/>
        <v>0</v>
      </c>
      <c r="M2734">
        <f t="shared" si="421"/>
        <v>1</v>
      </c>
      <c r="N2734">
        <f t="shared" si="422"/>
        <v>0</v>
      </c>
      <c r="O2734">
        <f t="shared" si="423"/>
        <v>0</v>
      </c>
      <c r="P2734">
        <f t="shared" si="424"/>
        <v>0</v>
      </c>
      <c r="Q2734">
        <f t="shared" si="425"/>
        <v>0</v>
      </c>
      <c r="R2734">
        <f t="shared" si="426"/>
        <v>0</v>
      </c>
      <c r="S2734">
        <f t="shared" si="427"/>
        <v>0</v>
      </c>
      <c r="T2734">
        <f t="shared" si="429"/>
        <v>1</v>
      </c>
      <c r="U2734">
        <f t="shared" si="428"/>
        <v>1</v>
      </c>
    </row>
    <row r="2735" spans="1:21" x14ac:dyDescent="0.25">
      <c r="A2735" s="2">
        <v>2734</v>
      </c>
      <c r="B2735" s="2">
        <v>2007</v>
      </c>
      <c r="C2735" s="89" t="s">
        <v>163</v>
      </c>
      <c r="D2735">
        <v>1519.7</v>
      </c>
      <c r="E2735" s="80">
        <v>511407.01</v>
      </c>
      <c r="F2735">
        <v>705.51</v>
      </c>
      <c r="G2735">
        <v>90.82</v>
      </c>
      <c r="H2735" s="80">
        <v>31673.52</v>
      </c>
      <c r="I2735" s="80">
        <v>54164.9</v>
      </c>
      <c r="J2735">
        <v>52.23</v>
      </c>
      <c r="K2735" s="89" t="s">
        <v>582</v>
      </c>
      <c r="L2735">
        <f t="shared" si="420"/>
        <v>0</v>
      </c>
      <c r="M2735">
        <f t="shared" si="421"/>
        <v>0</v>
      </c>
      <c r="N2735">
        <f t="shared" si="422"/>
        <v>0</v>
      </c>
      <c r="O2735">
        <f t="shared" si="423"/>
        <v>0</v>
      </c>
      <c r="P2735">
        <f t="shared" si="424"/>
        <v>0</v>
      </c>
      <c r="Q2735">
        <f t="shared" si="425"/>
        <v>0</v>
      </c>
      <c r="R2735">
        <f t="shared" si="426"/>
        <v>0</v>
      </c>
      <c r="S2735">
        <f t="shared" si="427"/>
        <v>1</v>
      </c>
      <c r="T2735">
        <f t="shared" si="429"/>
        <v>1</v>
      </c>
      <c r="U2735">
        <f t="shared" si="428"/>
        <v>1</v>
      </c>
    </row>
    <row r="2736" spans="1:21" x14ac:dyDescent="0.25">
      <c r="A2736" s="2">
        <v>2735</v>
      </c>
      <c r="B2736" s="2">
        <v>2007</v>
      </c>
      <c r="C2736" t="s">
        <v>181</v>
      </c>
      <c r="D2736" s="80">
        <v>0</v>
      </c>
      <c r="E2736" s="80">
        <v>83238.3</v>
      </c>
      <c r="F2736">
        <v>0.45</v>
      </c>
      <c r="G2736" t="s">
        <v>583</v>
      </c>
      <c r="H2736">
        <v>11.21</v>
      </c>
      <c r="I2736">
        <v>18.41</v>
      </c>
      <c r="J2736" t="s">
        <v>583</v>
      </c>
      <c r="K2736">
        <v>6.21</v>
      </c>
      <c r="L2736">
        <f t="shared" si="420"/>
        <v>0</v>
      </c>
      <c r="M2736">
        <f t="shared" si="421"/>
        <v>0</v>
      </c>
      <c r="N2736">
        <f t="shared" si="422"/>
        <v>0</v>
      </c>
      <c r="O2736">
        <f t="shared" si="423"/>
        <v>0</v>
      </c>
      <c r="P2736">
        <f t="shared" si="424"/>
        <v>0</v>
      </c>
      <c r="Q2736">
        <f t="shared" si="425"/>
        <v>0</v>
      </c>
      <c r="R2736">
        <f t="shared" si="426"/>
        <v>0</v>
      </c>
      <c r="S2736">
        <f t="shared" si="427"/>
        <v>0</v>
      </c>
      <c r="T2736">
        <f t="shared" si="429"/>
        <v>0</v>
      </c>
      <c r="U2736">
        <f t="shared" si="428"/>
        <v>0</v>
      </c>
    </row>
    <row r="2737" spans="1:21" x14ac:dyDescent="0.25">
      <c r="A2737" s="2">
        <v>2736</v>
      </c>
      <c r="B2737" s="2">
        <v>2007</v>
      </c>
      <c r="C2737" s="89" t="s">
        <v>183</v>
      </c>
      <c r="D2737">
        <v>7.53</v>
      </c>
      <c r="E2737" s="89" t="s">
        <v>582</v>
      </c>
      <c r="F2737">
        <v>259.82</v>
      </c>
      <c r="G2737">
        <v>54.1</v>
      </c>
      <c r="H2737">
        <v>10117.049999999999</v>
      </c>
      <c r="I2737" s="80">
        <v>50592.05</v>
      </c>
      <c r="J2737">
        <v>38.909999999999997</v>
      </c>
      <c r="K2737" s="89" t="s">
        <v>582</v>
      </c>
      <c r="L2737">
        <f t="shared" si="420"/>
        <v>0</v>
      </c>
      <c r="M2737">
        <f t="shared" si="421"/>
        <v>1</v>
      </c>
      <c r="N2737">
        <f t="shared" si="422"/>
        <v>0</v>
      </c>
      <c r="O2737">
        <f t="shared" si="423"/>
        <v>0</v>
      </c>
      <c r="P2737">
        <f t="shared" si="424"/>
        <v>0</v>
      </c>
      <c r="Q2737">
        <f t="shared" si="425"/>
        <v>0</v>
      </c>
      <c r="R2737">
        <f t="shared" si="426"/>
        <v>0</v>
      </c>
      <c r="S2737">
        <f t="shared" si="427"/>
        <v>1</v>
      </c>
      <c r="T2737">
        <f t="shared" si="429"/>
        <v>2</v>
      </c>
      <c r="U2737">
        <f t="shared" si="428"/>
        <v>1</v>
      </c>
    </row>
    <row r="2738" spans="1:21" x14ac:dyDescent="0.25">
      <c r="A2738" s="2">
        <v>2737</v>
      </c>
      <c r="B2738" s="2">
        <v>2007</v>
      </c>
      <c r="C2738" t="s">
        <v>186</v>
      </c>
      <c r="D2738">
        <v>5.15</v>
      </c>
      <c r="E2738" s="80">
        <v>29429.45</v>
      </c>
      <c r="F2738">
        <v>1304.97</v>
      </c>
      <c r="G2738">
        <v>37.880000000000003</v>
      </c>
      <c r="H2738" s="80">
        <v>47889.79</v>
      </c>
      <c r="I2738" s="80">
        <v>83446.09</v>
      </c>
      <c r="J2738">
        <v>22.93</v>
      </c>
      <c r="K2738" s="80">
        <v>11837.07</v>
      </c>
      <c r="L2738">
        <f t="shared" si="420"/>
        <v>0</v>
      </c>
      <c r="M2738">
        <f t="shared" si="421"/>
        <v>0</v>
      </c>
      <c r="N2738">
        <f t="shared" si="422"/>
        <v>0</v>
      </c>
      <c r="O2738">
        <f t="shared" si="423"/>
        <v>0</v>
      </c>
      <c r="P2738">
        <f t="shared" si="424"/>
        <v>0</v>
      </c>
      <c r="Q2738">
        <f t="shared" si="425"/>
        <v>0</v>
      </c>
      <c r="R2738">
        <f t="shared" si="426"/>
        <v>0</v>
      </c>
      <c r="S2738">
        <f t="shared" si="427"/>
        <v>0</v>
      </c>
      <c r="T2738">
        <f t="shared" si="429"/>
        <v>0</v>
      </c>
      <c r="U2738">
        <f t="shared" si="428"/>
        <v>0</v>
      </c>
    </row>
    <row r="2739" spans="1:21" x14ac:dyDescent="0.25">
      <c r="A2739" s="2">
        <v>2738</v>
      </c>
      <c r="B2739" s="2">
        <v>2007</v>
      </c>
      <c r="C2739" s="43" t="s">
        <v>188</v>
      </c>
      <c r="D2739">
        <v>5.72</v>
      </c>
      <c r="E2739" s="80">
        <v>43206.33</v>
      </c>
      <c r="F2739">
        <v>320.52999999999997</v>
      </c>
      <c r="G2739">
        <v>26.84</v>
      </c>
      <c r="H2739" s="80">
        <v>16768.53</v>
      </c>
      <c r="I2739" s="80">
        <v>55374.06</v>
      </c>
      <c r="J2739">
        <v>16.190000000000001</v>
      </c>
      <c r="K2739">
        <v>6444.57</v>
      </c>
      <c r="L2739">
        <f t="shared" si="420"/>
        <v>0</v>
      </c>
      <c r="M2739">
        <f t="shared" si="421"/>
        <v>0</v>
      </c>
      <c r="N2739">
        <f t="shared" si="422"/>
        <v>0</v>
      </c>
      <c r="O2739">
        <f t="shared" si="423"/>
        <v>0</v>
      </c>
      <c r="P2739">
        <f t="shared" si="424"/>
        <v>0</v>
      </c>
      <c r="Q2739">
        <f t="shared" si="425"/>
        <v>0</v>
      </c>
      <c r="R2739">
        <f t="shared" si="426"/>
        <v>0</v>
      </c>
      <c r="S2739">
        <f t="shared" si="427"/>
        <v>0</v>
      </c>
      <c r="T2739">
        <f t="shared" si="429"/>
        <v>0</v>
      </c>
      <c r="U2739">
        <f t="shared" si="428"/>
        <v>0</v>
      </c>
    </row>
    <row r="2740" spans="1:21" x14ac:dyDescent="0.25">
      <c r="A2740" s="2">
        <v>2739</v>
      </c>
      <c r="B2740" s="2">
        <v>2007</v>
      </c>
      <c r="C2740" s="43" t="s">
        <v>182</v>
      </c>
      <c r="D2740" t="s">
        <v>583</v>
      </c>
      <c r="E2740">
        <v>1851.04</v>
      </c>
      <c r="F2740">
        <v>0.64</v>
      </c>
      <c r="G2740" t="s">
        <v>583</v>
      </c>
      <c r="H2740" s="80">
        <v>0.09</v>
      </c>
      <c r="I2740">
        <v>0.82</v>
      </c>
      <c r="J2740" t="s">
        <v>583</v>
      </c>
      <c r="K2740" s="80">
        <v>0.01</v>
      </c>
      <c r="L2740">
        <f t="shared" si="420"/>
        <v>0</v>
      </c>
      <c r="M2740">
        <f t="shared" si="421"/>
        <v>0</v>
      </c>
      <c r="N2740">
        <f t="shared" si="422"/>
        <v>0</v>
      </c>
      <c r="O2740">
        <f t="shared" si="423"/>
        <v>0</v>
      </c>
      <c r="P2740">
        <f t="shared" si="424"/>
        <v>0</v>
      </c>
      <c r="Q2740">
        <f t="shared" si="425"/>
        <v>0</v>
      </c>
      <c r="R2740">
        <f t="shared" si="426"/>
        <v>0</v>
      </c>
      <c r="S2740">
        <f t="shared" si="427"/>
        <v>0</v>
      </c>
      <c r="T2740">
        <f t="shared" si="429"/>
        <v>0</v>
      </c>
      <c r="U2740">
        <f t="shared" si="428"/>
        <v>0</v>
      </c>
    </row>
    <row r="2741" spans="1:21" x14ac:dyDescent="0.25">
      <c r="A2741" s="2">
        <v>2740</v>
      </c>
      <c r="B2741" s="2">
        <v>2007</v>
      </c>
      <c r="C2741" s="43" t="s">
        <v>184</v>
      </c>
      <c r="D2741">
        <v>37.82</v>
      </c>
      <c r="E2741">
        <v>19338.080000000002</v>
      </c>
      <c r="F2741">
        <v>165.88</v>
      </c>
      <c r="G2741">
        <v>11.11</v>
      </c>
      <c r="H2741">
        <v>6081.94</v>
      </c>
      <c r="I2741" s="80">
        <v>56042.52</v>
      </c>
      <c r="J2741">
        <v>8.0500000000000007</v>
      </c>
      <c r="K2741">
        <v>1824.03</v>
      </c>
      <c r="L2741">
        <f t="shared" si="420"/>
        <v>0</v>
      </c>
      <c r="M2741">
        <f t="shared" si="421"/>
        <v>0</v>
      </c>
      <c r="N2741">
        <f t="shared" si="422"/>
        <v>0</v>
      </c>
      <c r="O2741">
        <f t="shared" si="423"/>
        <v>0</v>
      </c>
      <c r="P2741">
        <f t="shared" si="424"/>
        <v>0</v>
      </c>
      <c r="Q2741">
        <f t="shared" si="425"/>
        <v>0</v>
      </c>
      <c r="R2741">
        <f t="shared" si="426"/>
        <v>0</v>
      </c>
      <c r="S2741">
        <f t="shared" si="427"/>
        <v>0</v>
      </c>
      <c r="T2741">
        <f t="shared" si="429"/>
        <v>0</v>
      </c>
      <c r="U2741">
        <f t="shared" si="428"/>
        <v>0</v>
      </c>
    </row>
    <row r="2742" spans="1:21" x14ac:dyDescent="0.25">
      <c r="A2742" s="2">
        <v>2741</v>
      </c>
      <c r="B2742" s="2">
        <v>2007</v>
      </c>
      <c r="C2742" s="43" t="s">
        <v>187</v>
      </c>
      <c r="D2742">
        <v>1919.2</v>
      </c>
      <c r="E2742">
        <v>19526.71</v>
      </c>
      <c r="F2742">
        <v>470.99</v>
      </c>
      <c r="G2742">
        <v>41.78</v>
      </c>
      <c r="H2742" s="80">
        <v>56797.65</v>
      </c>
      <c r="I2742" s="80">
        <v>70213.119999999995</v>
      </c>
      <c r="J2742">
        <v>30.1</v>
      </c>
      <c r="K2742" s="80">
        <v>12069.37</v>
      </c>
      <c r="L2742">
        <f t="shared" si="420"/>
        <v>0</v>
      </c>
      <c r="M2742">
        <f t="shared" si="421"/>
        <v>0</v>
      </c>
      <c r="N2742">
        <f t="shared" si="422"/>
        <v>0</v>
      </c>
      <c r="O2742">
        <f t="shared" si="423"/>
        <v>0</v>
      </c>
      <c r="P2742">
        <f t="shared" si="424"/>
        <v>0</v>
      </c>
      <c r="Q2742">
        <f t="shared" si="425"/>
        <v>0</v>
      </c>
      <c r="R2742">
        <f t="shared" si="426"/>
        <v>0</v>
      </c>
      <c r="S2742">
        <f t="shared" si="427"/>
        <v>0</v>
      </c>
      <c r="T2742">
        <f t="shared" si="429"/>
        <v>0</v>
      </c>
      <c r="U2742">
        <f t="shared" si="428"/>
        <v>0</v>
      </c>
    </row>
    <row r="2743" spans="1:21" x14ac:dyDescent="0.25">
      <c r="A2743" s="2">
        <v>2742</v>
      </c>
      <c r="B2743" s="2">
        <v>2007</v>
      </c>
      <c r="C2743" s="43" t="s">
        <v>189</v>
      </c>
      <c r="D2743">
        <v>2094.56</v>
      </c>
      <c r="E2743">
        <v>11610.24</v>
      </c>
      <c r="F2743">
        <v>22.36</v>
      </c>
      <c r="G2743">
        <v>23.4</v>
      </c>
      <c r="H2743" s="80">
        <v>38655.300000000003</v>
      </c>
      <c r="I2743" s="80">
        <v>19439.810000000001</v>
      </c>
      <c r="J2743">
        <v>42.82</v>
      </c>
      <c r="K2743" s="80">
        <v>15871.34</v>
      </c>
      <c r="L2743">
        <f t="shared" si="420"/>
        <v>0</v>
      </c>
      <c r="M2743">
        <f t="shared" si="421"/>
        <v>0</v>
      </c>
      <c r="N2743">
        <f t="shared" si="422"/>
        <v>0</v>
      </c>
      <c r="O2743">
        <f t="shared" si="423"/>
        <v>0</v>
      </c>
      <c r="P2743">
        <f t="shared" si="424"/>
        <v>0</v>
      </c>
      <c r="Q2743">
        <f t="shared" si="425"/>
        <v>0</v>
      </c>
      <c r="R2743">
        <f t="shared" si="426"/>
        <v>0</v>
      </c>
      <c r="S2743">
        <f t="shared" si="427"/>
        <v>0</v>
      </c>
      <c r="T2743">
        <f t="shared" si="429"/>
        <v>0</v>
      </c>
      <c r="U2743">
        <f t="shared" si="428"/>
        <v>0</v>
      </c>
    </row>
    <row r="2744" spans="1:21" x14ac:dyDescent="0.25">
      <c r="A2744" s="2">
        <v>2743</v>
      </c>
      <c r="B2744" s="2">
        <v>2008</v>
      </c>
      <c r="C2744" t="s">
        <v>162</v>
      </c>
      <c r="D2744" t="s">
        <v>583</v>
      </c>
      <c r="E2744">
        <v>13885.95</v>
      </c>
      <c r="F2744">
        <v>1.2</v>
      </c>
      <c r="G2744">
        <v>0.5</v>
      </c>
      <c r="H2744" t="s">
        <v>583</v>
      </c>
      <c r="I2744">
        <v>0.85</v>
      </c>
      <c r="J2744" t="s">
        <v>583</v>
      </c>
      <c r="K2744">
        <v>1.19</v>
      </c>
      <c r="L2744">
        <f t="shared" si="420"/>
        <v>0</v>
      </c>
      <c r="M2744">
        <f t="shared" si="421"/>
        <v>0</v>
      </c>
      <c r="N2744">
        <f t="shared" si="422"/>
        <v>0</v>
      </c>
      <c r="O2744">
        <f t="shared" si="423"/>
        <v>0</v>
      </c>
      <c r="P2744">
        <f t="shared" si="424"/>
        <v>0</v>
      </c>
      <c r="Q2744">
        <f t="shared" si="425"/>
        <v>0</v>
      </c>
      <c r="R2744">
        <f t="shared" si="426"/>
        <v>0</v>
      </c>
      <c r="S2744">
        <f t="shared" si="427"/>
        <v>0</v>
      </c>
      <c r="T2744">
        <f t="shared" si="429"/>
        <v>0</v>
      </c>
      <c r="U2744">
        <f t="shared" si="428"/>
        <v>0</v>
      </c>
    </row>
    <row r="2745" spans="1:21" x14ac:dyDescent="0.25">
      <c r="A2745" s="2">
        <v>2744</v>
      </c>
      <c r="B2745" s="2">
        <v>2008</v>
      </c>
      <c r="C2745" t="s">
        <v>170</v>
      </c>
      <c r="D2745">
        <v>15.82</v>
      </c>
      <c r="E2745" s="80">
        <v>35085.26</v>
      </c>
      <c r="F2745">
        <v>506.05</v>
      </c>
      <c r="G2745">
        <v>62.78</v>
      </c>
      <c r="H2745">
        <v>5695.42</v>
      </c>
      <c r="I2745" s="80">
        <v>47613.81</v>
      </c>
      <c r="J2745">
        <v>6.22</v>
      </c>
      <c r="K2745">
        <v>1424.05</v>
      </c>
      <c r="L2745">
        <f t="shared" si="420"/>
        <v>0</v>
      </c>
      <c r="M2745">
        <f t="shared" si="421"/>
        <v>0</v>
      </c>
      <c r="N2745">
        <f t="shared" si="422"/>
        <v>0</v>
      </c>
      <c r="O2745">
        <f t="shared" si="423"/>
        <v>0</v>
      </c>
      <c r="P2745">
        <f t="shared" si="424"/>
        <v>0</v>
      </c>
      <c r="Q2745">
        <f t="shared" si="425"/>
        <v>0</v>
      </c>
      <c r="R2745">
        <f t="shared" si="426"/>
        <v>0</v>
      </c>
      <c r="S2745">
        <f t="shared" si="427"/>
        <v>0</v>
      </c>
      <c r="T2745">
        <f t="shared" si="429"/>
        <v>0</v>
      </c>
      <c r="U2745">
        <f t="shared" si="428"/>
        <v>0</v>
      </c>
    </row>
    <row r="2746" spans="1:21" x14ac:dyDescent="0.25">
      <c r="A2746" s="2">
        <v>2745</v>
      </c>
      <c r="B2746" s="2">
        <v>2008</v>
      </c>
      <c r="C2746" t="s">
        <v>178</v>
      </c>
      <c r="D2746">
        <v>64.790000000000006</v>
      </c>
      <c r="E2746" s="80">
        <v>38879.71</v>
      </c>
      <c r="F2746">
        <v>2153.11</v>
      </c>
      <c r="G2746">
        <v>100.77</v>
      </c>
      <c r="H2746" s="80">
        <v>24318.01</v>
      </c>
      <c r="I2746" s="80">
        <v>62343.48</v>
      </c>
      <c r="J2746">
        <v>18.38</v>
      </c>
      <c r="K2746">
        <v>3550.35</v>
      </c>
      <c r="L2746">
        <f t="shared" si="420"/>
        <v>0</v>
      </c>
      <c r="M2746">
        <f t="shared" si="421"/>
        <v>0</v>
      </c>
      <c r="N2746">
        <f t="shared" si="422"/>
        <v>0</v>
      </c>
      <c r="O2746">
        <f t="shared" si="423"/>
        <v>0</v>
      </c>
      <c r="P2746">
        <f t="shared" si="424"/>
        <v>0</v>
      </c>
      <c r="Q2746">
        <f t="shared" si="425"/>
        <v>0</v>
      </c>
      <c r="R2746">
        <f t="shared" si="426"/>
        <v>0</v>
      </c>
      <c r="S2746">
        <f t="shared" si="427"/>
        <v>0</v>
      </c>
      <c r="T2746">
        <f t="shared" si="429"/>
        <v>0</v>
      </c>
      <c r="U2746">
        <f t="shared" si="428"/>
        <v>0</v>
      </c>
    </row>
    <row r="2747" spans="1:21" x14ac:dyDescent="0.25">
      <c r="A2747" s="2">
        <v>2746</v>
      </c>
      <c r="B2747" s="2">
        <v>2008</v>
      </c>
      <c r="C2747" s="89" t="s">
        <v>163</v>
      </c>
      <c r="D2747">
        <v>2443.5100000000002</v>
      </c>
      <c r="E2747" s="80">
        <v>54706</v>
      </c>
      <c r="F2747">
        <v>189.08</v>
      </c>
      <c r="G2747">
        <v>189.62</v>
      </c>
      <c r="H2747" s="80">
        <v>33938.239999999998</v>
      </c>
      <c r="I2747" s="80">
        <v>41066.839999999997</v>
      </c>
      <c r="J2747">
        <v>88.49</v>
      </c>
      <c r="K2747" s="89" t="s">
        <v>582</v>
      </c>
      <c r="L2747">
        <f t="shared" si="420"/>
        <v>0</v>
      </c>
      <c r="M2747">
        <f t="shared" si="421"/>
        <v>0</v>
      </c>
      <c r="N2747">
        <f t="shared" si="422"/>
        <v>0</v>
      </c>
      <c r="O2747">
        <f t="shared" si="423"/>
        <v>0</v>
      </c>
      <c r="P2747">
        <f t="shared" si="424"/>
        <v>0</v>
      </c>
      <c r="Q2747">
        <f t="shared" si="425"/>
        <v>0</v>
      </c>
      <c r="R2747">
        <f t="shared" si="426"/>
        <v>0</v>
      </c>
      <c r="S2747">
        <f t="shared" si="427"/>
        <v>1</v>
      </c>
      <c r="T2747">
        <f t="shared" si="429"/>
        <v>1</v>
      </c>
      <c r="U2747">
        <f t="shared" si="428"/>
        <v>1</v>
      </c>
    </row>
    <row r="2748" spans="1:21" x14ac:dyDescent="0.25">
      <c r="A2748" s="2">
        <v>2747</v>
      </c>
      <c r="B2748" s="2">
        <v>2008</v>
      </c>
      <c r="C2748" t="s">
        <v>181</v>
      </c>
      <c r="D2748" t="s">
        <v>583</v>
      </c>
      <c r="E2748">
        <v>17292.09</v>
      </c>
      <c r="F2748">
        <v>0.69</v>
      </c>
      <c r="G2748" t="s">
        <v>583</v>
      </c>
      <c r="H2748">
        <v>4.03</v>
      </c>
      <c r="I2748">
        <v>5.81</v>
      </c>
      <c r="J2748" t="s">
        <v>583</v>
      </c>
      <c r="K2748">
        <v>1.95</v>
      </c>
      <c r="L2748">
        <f t="shared" si="420"/>
        <v>0</v>
      </c>
      <c r="M2748">
        <f t="shared" si="421"/>
        <v>0</v>
      </c>
      <c r="N2748">
        <f t="shared" si="422"/>
        <v>0</v>
      </c>
      <c r="O2748">
        <f t="shared" si="423"/>
        <v>0</v>
      </c>
      <c r="P2748">
        <f t="shared" si="424"/>
        <v>0</v>
      </c>
      <c r="Q2748">
        <f t="shared" si="425"/>
        <v>0</v>
      </c>
      <c r="R2748">
        <f t="shared" si="426"/>
        <v>0</v>
      </c>
      <c r="S2748">
        <f t="shared" si="427"/>
        <v>0</v>
      </c>
      <c r="T2748">
        <f t="shared" si="429"/>
        <v>0</v>
      </c>
      <c r="U2748">
        <f t="shared" si="428"/>
        <v>0</v>
      </c>
    </row>
    <row r="2749" spans="1:21" x14ac:dyDescent="0.25">
      <c r="A2749" s="2">
        <v>2748</v>
      </c>
      <c r="B2749" s="2">
        <v>2008</v>
      </c>
      <c r="C2749" t="s">
        <v>183</v>
      </c>
      <c r="D2749">
        <v>7.53</v>
      </c>
      <c r="E2749" s="80">
        <v>32416.87</v>
      </c>
      <c r="F2749">
        <v>1329.53</v>
      </c>
      <c r="G2749">
        <v>30.4</v>
      </c>
      <c r="H2749" s="80">
        <v>33421.440000000002</v>
      </c>
      <c r="I2749" s="80">
        <v>81148.289999999994</v>
      </c>
      <c r="J2749">
        <v>27.66</v>
      </c>
      <c r="K2749" s="80">
        <v>10727.7</v>
      </c>
      <c r="L2749">
        <f t="shared" si="420"/>
        <v>0</v>
      </c>
      <c r="M2749">
        <f t="shared" si="421"/>
        <v>0</v>
      </c>
      <c r="N2749">
        <f t="shared" si="422"/>
        <v>0</v>
      </c>
      <c r="O2749">
        <f t="shared" si="423"/>
        <v>0</v>
      </c>
      <c r="P2749">
        <f t="shared" si="424"/>
        <v>0</v>
      </c>
      <c r="Q2749">
        <f t="shared" si="425"/>
        <v>0</v>
      </c>
      <c r="R2749">
        <f t="shared" si="426"/>
        <v>0</v>
      </c>
      <c r="S2749">
        <f t="shared" si="427"/>
        <v>0</v>
      </c>
      <c r="T2749">
        <f t="shared" si="429"/>
        <v>0</v>
      </c>
      <c r="U2749">
        <f t="shared" si="428"/>
        <v>0</v>
      </c>
    </row>
    <row r="2750" spans="1:21" x14ac:dyDescent="0.25">
      <c r="A2750" s="2">
        <v>2749</v>
      </c>
      <c r="B2750" s="2">
        <v>2008</v>
      </c>
      <c r="C2750" t="s">
        <v>186</v>
      </c>
      <c r="D2750">
        <v>9.4600000000000009</v>
      </c>
      <c r="E2750">
        <v>19611.27</v>
      </c>
      <c r="F2750">
        <v>1695.62</v>
      </c>
      <c r="G2750">
        <v>45.79</v>
      </c>
      <c r="H2750" s="80">
        <v>45183.35</v>
      </c>
      <c r="I2750" s="80">
        <v>67340.850000000006</v>
      </c>
      <c r="J2750">
        <v>26.46</v>
      </c>
      <c r="K2750" s="80">
        <v>13495.39</v>
      </c>
      <c r="L2750">
        <f t="shared" si="420"/>
        <v>0</v>
      </c>
      <c r="M2750">
        <f t="shared" si="421"/>
        <v>0</v>
      </c>
      <c r="N2750">
        <f t="shared" si="422"/>
        <v>0</v>
      </c>
      <c r="O2750">
        <f t="shared" si="423"/>
        <v>0</v>
      </c>
      <c r="P2750">
        <f t="shared" si="424"/>
        <v>0</v>
      </c>
      <c r="Q2750">
        <f t="shared" si="425"/>
        <v>0</v>
      </c>
      <c r="R2750">
        <f t="shared" si="426"/>
        <v>0</v>
      </c>
      <c r="S2750">
        <f t="shared" si="427"/>
        <v>0</v>
      </c>
      <c r="T2750">
        <f t="shared" si="429"/>
        <v>0</v>
      </c>
      <c r="U2750">
        <f t="shared" si="428"/>
        <v>0</v>
      </c>
    </row>
    <row r="2751" spans="1:21" x14ac:dyDescent="0.25">
      <c r="A2751" s="2">
        <v>2750</v>
      </c>
      <c r="B2751" s="2">
        <v>2008</v>
      </c>
      <c r="C2751" s="105" t="s">
        <v>188</v>
      </c>
      <c r="D2751">
        <v>8.81</v>
      </c>
      <c r="E2751" s="80">
        <v>140261.76000000001</v>
      </c>
      <c r="F2751">
        <v>82.93</v>
      </c>
      <c r="G2751">
        <v>45.79</v>
      </c>
      <c r="H2751">
        <v>9792.75</v>
      </c>
      <c r="I2751" s="80">
        <v>45131.28</v>
      </c>
      <c r="J2751">
        <v>46.81</v>
      </c>
      <c r="K2751" s="89" t="s">
        <v>582</v>
      </c>
      <c r="L2751">
        <f t="shared" si="420"/>
        <v>0</v>
      </c>
      <c r="M2751">
        <f t="shared" si="421"/>
        <v>0</v>
      </c>
      <c r="N2751">
        <f t="shared" si="422"/>
        <v>0</v>
      </c>
      <c r="O2751">
        <f t="shared" si="423"/>
        <v>0</v>
      </c>
      <c r="P2751">
        <f t="shared" si="424"/>
        <v>0</v>
      </c>
      <c r="Q2751">
        <f t="shared" si="425"/>
        <v>0</v>
      </c>
      <c r="R2751">
        <f t="shared" si="426"/>
        <v>0</v>
      </c>
      <c r="S2751">
        <f t="shared" si="427"/>
        <v>1</v>
      </c>
      <c r="T2751">
        <f t="shared" si="429"/>
        <v>1</v>
      </c>
      <c r="U2751">
        <f t="shared" si="428"/>
        <v>1</v>
      </c>
    </row>
    <row r="2752" spans="1:21" x14ac:dyDescent="0.25">
      <c r="A2752" s="2">
        <v>2751</v>
      </c>
      <c r="B2752" s="2">
        <v>2008</v>
      </c>
      <c r="C2752" s="43" t="s">
        <v>182</v>
      </c>
      <c r="D2752" t="s">
        <v>583</v>
      </c>
      <c r="E2752">
        <v>3087.22</v>
      </c>
      <c r="F2752">
        <v>0.84</v>
      </c>
      <c r="G2752" t="s">
        <v>583</v>
      </c>
      <c r="H2752">
        <v>0.27</v>
      </c>
      <c r="I2752">
        <v>0.13</v>
      </c>
      <c r="J2752" t="s">
        <v>583</v>
      </c>
      <c r="K2752" s="80">
        <v>7.0000000000000007E-2</v>
      </c>
      <c r="L2752">
        <f t="shared" si="420"/>
        <v>0</v>
      </c>
      <c r="M2752">
        <f t="shared" si="421"/>
        <v>0</v>
      </c>
      <c r="N2752">
        <f t="shared" si="422"/>
        <v>0</v>
      </c>
      <c r="O2752">
        <f t="shared" si="423"/>
        <v>0</v>
      </c>
      <c r="P2752">
        <f t="shared" si="424"/>
        <v>0</v>
      </c>
      <c r="Q2752">
        <f t="shared" si="425"/>
        <v>0</v>
      </c>
      <c r="R2752">
        <f t="shared" si="426"/>
        <v>0</v>
      </c>
      <c r="S2752">
        <f t="shared" si="427"/>
        <v>0</v>
      </c>
      <c r="T2752">
        <f t="shared" si="429"/>
        <v>0</v>
      </c>
      <c r="U2752">
        <f t="shared" si="428"/>
        <v>0</v>
      </c>
    </row>
    <row r="2753" spans="1:21" x14ac:dyDescent="0.25">
      <c r="A2753" s="2">
        <v>2752</v>
      </c>
      <c r="B2753" s="2">
        <v>2008</v>
      </c>
      <c r="C2753" s="43" t="s">
        <v>184</v>
      </c>
      <c r="D2753">
        <v>116.55</v>
      </c>
      <c r="E2753">
        <v>14545.57</v>
      </c>
      <c r="F2753">
        <v>220.56</v>
      </c>
      <c r="G2753">
        <v>30.4</v>
      </c>
      <c r="H2753">
        <v>14637.05</v>
      </c>
      <c r="I2753" s="80">
        <v>62418.13</v>
      </c>
      <c r="J2753">
        <v>20.63</v>
      </c>
      <c r="K2753">
        <v>5485.02</v>
      </c>
      <c r="L2753">
        <f t="shared" si="420"/>
        <v>0</v>
      </c>
      <c r="M2753">
        <f t="shared" si="421"/>
        <v>0</v>
      </c>
      <c r="N2753">
        <f t="shared" si="422"/>
        <v>0</v>
      </c>
      <c r="O2753">
        <f t="shared" si="423"/>
        <v>0</v>
      </c>
      <c r="P2753">
        <f t="shared" si="424"/>
        <v>0</v>
      </c>
      <c r="Q2753">
        <f t="shared" si="425"/>
        <v>0</v>
      </c>
      <c r="R2753">
        <f t="shared" si="426"/>
        <v>0</v>
      </c>
      <c r="S2753">
        <f t="shared" si="427"/>
        <v>0</v>
      </c>
      <c r="T2753">
        <f t="shared" si="429"/>
        <v>0</v>
      </c>
      <c r="U2753">
        <f t="shared" si="428"/>
        <v>0</v>
      </c>
    </row>
    <row r="2754" spans="1:21" x14ac:dyDescent="0.25">
      <c r="A2754" s="2">
        <v>2753</v>
      </c>
      <c r="B2754" s="2">
        <v>2008</v>
      </c>
      <c r="C2754" s="43" t="s">
        <v>187</v>
      </c>
      <c r="D2754">
        <v>688.76</v>
      </c>
      <c r="E2754">
        <v>16702.54</v>
      </c>
      <c r="F2754">
        <v>336.75</v>
      </c>
      <c r="G2754">
        <v>37.880000000000003</v>
      </c>
      <c r="H2754" s="80">
        <v>61374.93</v>
      </c>
      <c r="I2754" s="80">
        <v>56471.360000000001</v>
      </c>
      <c r="J2754">
        <v>25.27</v>
      </c>
      <c r="K2754" s="80">
        <v>10000.27</v>
      </c>
      <c r="L2754">
        <f t="shared" ref="L2754:L2817" si="430">IF(D2754 = "OOR &gt;", 1,0)</f>
        <v>0</v>
      </c>
      <c r="M2754">
        <f t="shared" ref="M2754:M2817" si="431">IF(E2754 = "OOR &gt;", 1,0)</f>
        <v>0</v>
      </c>
      <c r="N2754">
        <f t="shared" ref="N2754:N2817" si="432">IF(F2754 = "OOR &gt;", 1,0)</f>
        <v>0</v>
      </c>
      <c r="O2754">
        <f t="shared" ref="O2754:O2817" si="433">IF(G2754 = "OOR &gt;", 1,0)</f>
        <v>0</v>
      </c>
      <c r="P2754">
        <f t="shared" ref="P2754:P2817" si="434">IF(H2754 = "OOR &gt;", 1,0)</f>
        <v>0</v>
      </c>
      <c r="Q2754">
        <f t="shared" ref="Q2754:Q2817" si="435">IF(I2754 = "OOR &gt;", 1,0)</f>
        <v>0</v>
      </c>
      <c r="R2754">
        <f t="shared" ref="R2754:R2817" si="436">IF(J2754 = "OOR &gt;", 1,0)</f>
        <v>0</v>
      </c>
      <c r="S2754">
        <f t="shared" ref="S2754:S2817" si="437">IF(K2754 = "OOR &gt;", 1,0)</f>
        <v>0</v>
      </c>
      <c r="T2754">
        <f t="shared" si="429"/>
        <v>0</v>
      </c>
      <c r="U2754">
        <f t="shared" ref="U2754:U2817" si="438">IF(T2754 &gt; 0,1,0)</f>
        <v>0</v>
      </c>
    </row>
    <row r="2755" spans="1:21" x14ac:dyDescent="0.25">
      <c r="A2755" s="2">
        <v>2754</v>
      </c>
      <c r="B2755" s="2">
        <v>2008</v>
      </c>
      <c r="C2755" s="43" t="s">
        <v>189</v>
      </c>
      <c r="D2755">
        <v>515.85</v>
      </c>
      <c r="E2755">
        <v>11279.88</v>
      </c>
      <c r="F2755">
        <v>2.93</v>
      </c>
      <c r="G2755">
        <v>16.940000000000001</v>
      </c>
      <c r="H2755" s="80">
        <v>24232.07</v>
      </c>
      <c r="I2755" s="80">
        <v>10904.41</v>
      </c>
      <c r="J2755">
        <v>20.63</v>
      </c>
      <c r="K2755" s="80">
        <v>11582.49</v>
      </c>
      <c r="L2755">
        <f t="shared" si="430"/>
        <v>0</v>
      </c>
      <c r="M2755">
        <f t="shared" si="431"/>
        <v>0</v>
      </c>
      <c r="N2755">
        <f t="shared" si="432"/>
        <v>0</v>
      </c>
      <c r="O2755">
        <f t="shared" si="433"/>
        <v>0</v>
      </c>
      <c r="P2755">
        <f t="shared" si="434"/>
        <v>0</v>
      </c>
      <c r="Q2755">
        <f t="shared" si="435"/>
        <v>0</v>
      </c>
      <c r="R2755">
        <f t="shared" si="436"/>
        <v>0</v>
      </c>
      <c r="S2755">
        <f t="shared" si="437"/>
        <v>0</v>
      </c>
      <c r="T2755">
        <f t="shared" ref="T2755:T2818" si="439">SUMIF(L2755:S2755,"&gt;0")</f>
        <v>0</v>
      </c>
      <c r="U2755">
        <f t="shared" si="438"/>
        <v>0</v>
      </c>
    </row>
    <row r="2756" spans="1:21" x14ac:dyDescent="0.25">
      <c r="A2756" s="2">
        <v>2755</v>
      </c>
      <c r="B2756" s="2">
        <v>2009</v>
      </c>
      <c r="C2756" t="s">
        <v>162</v>
      </c>
      <c r="D2756" t="s">
        <v>583</v>
      </c>
      <c r="E2756" s="80">
        <v>46673.47</v>
      </c>
      <c r="F2756">
        <v>0.74</v>
      </c>
      <c r="G2756" t="s">
        <v>583</v>
      </c>
      <c r="H2756" t="s">
        <v>583</v>
      </c>
      <c r="I2756">
        <v>1.92</v>
      </c>
      <c r="J2756" t="s">
        <v>583</v>
      </c>
      <c r="K2756">
        <v>0.91</v>
      </c>
      <c r="L2756">
        <f t="shared" si="430"/>
        <v>0</v>
      </c>
      <c r="M2756">
        <f t="shared" si="431"/>
        <v>0</v>
      </c>
      <c r="N2756">
        <f t="shared" si="432"/>
        <v>0</v>
      </c>
      <c r="O2756">
        <f t="shared" si="433"/>
        <v>0</v>
      </c>
      <c r="P2756">
        <f t="shared" si="434"/>
        <v>0</v>
      </c>
      <c r="Q2756">
        <f t="shared" si="435"/>
        <v>0</v>
      </c>
      <c r="R2756">
        <f t="shared" si="436"/>
        <v>0</v>
      </c>
      <c r="S2756">
        <f t="shared" si="437"/>
        <v>0</v>
      </c>
      <c r="T2756">
        <f t="shared" si="439"/>
        <v>0</v>
      </c>
      <c r="U2756">
        <f t="shared" si="438"/>
        <v>0</v>
      </c>
    </row>
    <row r="2757" spans="1:21" x14ac:dyDescent="0.25">
      <c r="A2757" s="2">
        <v>2756</v>
      </c>
      <c r="B2757" s="2">
        <v>2009</v>
      </c>
      <c r="C2757" t="s">
        <v>170</v>
      </c>
      <c r="D2757">
        <v>37.82</v>
      </c>
      <c r="E2757" s="80">
        <v>120611.11</v>
      </c>
      <c r="F2757">
        <v>296.98</v>
      </c>
      <c r="G2757">
        <v>26.84</v>
      </c>
      <c r="H2757">
        <v>7912.09</v>
      </c>
      <c r="I2757" s="80">
        <v>56278.46</v>
      </c>
      <c r="J2757">
        <v>11.98</v>
      </c>
      <c r="K2757">
        <v>2721.31</v>
      </c>
      <c r="L2757">
        <f t="shared" si="430"/>
        <v>0</v>
      </c>
      <c r="M2757">
        <f t="shared" si="431"/>
        <v>0</v>
      </c>
      <c r="N2757">
        <f t="shared" si="432"/>
        <v>0</v>
      </c>
      <c r="O2757">
        <f t="shared" si="433"/>
        <v>0</v>
      </c>
      <c r="P2757">
        <f t="shared" si="434"/>
        <v>0</v>
      </c>
      <c r="Q2757">
        <f t="shared" si="435"/>
        <v>0</v>
      </c>
      <c r="R2757">
        <f t="shared" si="436"/>
        <v>0</v>
      </c>
      <c r="S2757">
        <f t="shared" si="437"/>
        <v>0</v>
      </c>
      <c r="T2757">
        <f t="shared" si="439"/>
        <v>0</v>
      </c>
      <c r="U2757">
        <f t="shared" si="438"/>
        <v>0</v>
      </c>
    </row>
    <row r="2758" spans="1:21" x14ac:dyDescent="0.25">
      <c r="A2758" s="2">
        <v>2757</v>
      </c>
      <c r="B2758" s="2">
        <v>2009</v>
      </c>
      <c r="C2758" s="89" t="s">
        <v>178</v>
      </c>
      <c r="D2758">
        <v>883.03</v>
      </c>
      <c r="E2758" s="80">
        <v>91847.53</v>
      </c>
      <c r="F2758">
        <v>248.28</v>
      </c>
      <c r="G2758">
        <v>71.81</v>
      </c>
      <c r="H2758" s="80">
        <v>24205.72</v>
      </c>
      <c r="I2758" s="80">
        <v>50762.35</v>
      </c>
      <c r="J2758">
        <v>48.15</v>
      </c>
      <c r="K2758" s="89" t="s">
        <v>582</v>
      </c>
      <c r="L2758">
        <f t="shared" si="430"/>
        <v>0</v>
      </c>
      <c r="M2758">
        <f t="shared" si="431"/>
        <v>0</v>
      </c>
      <c r="N2758">
        <f t="shared" si="432"/>
        <v>0</v>
      </c>
      <c r="O2758">
        <f t="shared" si="433"/>
        <v>0</v>
      </c>
      <c r="P2758">
        <f t="shared" si="434"/>
        <v>0</v>
      </c>
      <c r="Q2758">
        <f t="shared" si="435"/>
        <v>0</v>
      </c>
      <c r="R2758">
        <f t="shared" si="436"/>
        <v>0</v>
      </c>
      <c r="S2758">
        <f t="shared" si="437"/>
        <v>1</v>
      </c>
      <c r="T2758">
        <f t="shared" si="439"/>
        <v>1</v>
      </c>
      <c r="U2758">
        <f t="shared" si="438"/>
        <v>1</v>
      </c>
    </row>
    <row r="2759" spans="1:21" x14ac:dyDescent="0.25">
      <c r="A2759" s="2">
        <v>2758</v>
      </c>
      <c r="B2759" s="2">
        <v>2009</v>
      </c>
      <c r="C2759" t="s">
        <v>163</v>
      </c>
      <c r="D2759">
        <v>183.21</v>
      </c>
      <c r="E2759" s="80">
        <v>131477.65</v>
      </c>
      <c r="F2759">
        <v>1432.62</v>
      </c>
      <c r="G2759">
        <v>45.79</v>
      </c>
      <c r="H2759" s="80">
        <v>40059.4</v>
      </c>
      <c r="I2759" s="80">
        <v>72793.119999999995</v>
      </c>
      <c r="J2759">
        <v>20.63</v>
      </c>
      <c r="K2759">
        <v>4330.8999999999996</v>
      </c>
      <c r="L2759">
        <f t="shared" si="430"/>
        <v>0</v>
      </c>
      <c r="M2759">
        <f t="shared" si="431"/>
        <v>0</v>
      </c>
      <c r="N2759">
        <f t="shared" si="432"/>
        <v>0</v>
      </c>
      <c r="O2759">
        <f t="shared" si="433"/>
        <v>0</v>
      </c>
      <c r="P2759">
        <f t="shared" si="434"/>
        <v>0</v>
      </c>
      <c r="Q2759">
        <f t="shared" si="435"/>
        <v>0</v>
      </c>
      <c r="R2759">
        <f t="shared" si="436"/>
        <v>0</v>
      </c>
      <c r="S2759">
        <f t="shared" si="437"/>
        <v>0</v>
      </c>
      <c r="T2759">
        <f t="shared" si="439"/>
        <v>0</v>
      </c>
      <c r="U2759">
        <f t="shared" si="438"/>
        <v>0</v>
      </c>
    </row>
    <row r="2760" spans="1:21" x14ac:dyDescent="0.25">
      <c r="A2760" s="2">
        <v>2759</v>
      </c>
      <c r="B2760" s="2">
        <v>2009</v>
      </c>
      <c r="C2760" s="89" t="s">
        <v>181</v>
      </c>
      <c r="D2760" s="80">
        <v>0</v>
      </c>
      <c r="E2760" s="89" t="s">
        <v>582</v>
      </c>
      <c r="F2760">
        <v>1.05</v>
      </c>
      <c r="G2760">
        <v>11.11</v>
      </c>
      <c r="H2760">
        <v>388.45</v>
      </c>
      <c r="I2760">
        <v>1027.01</v>
      </c>
      <c r="J2760">
        <v>1.44</v>
      </c>
      <c r="K2760">
        <v>233.09</v>
      </c>
      <c r="L2760">
        <f t="shared" si="430"/>
        <v>0</v>
      </c>
      <c r="M2760">
        <f t="shared" si="431"/>
        <v>1</v>
      </c>
      <c r="N2760">
        <f t="shared" si="432"/>
        <v>0</v>
      </c>
      <c r="O2760">
        <f t="shared" si="433"/>
        <v>0</v>
      </c>
      <c r="P2760">
        <f t="shared" si="434"/>
        <v>0</v>
      </c>
      <c r="Q2760">
        <f t="shared" si="435"/>
        <v>0</v>
      </c>
      <c r="R2760">
        <f t="shared" si="436"/>
        <v>0</v>
      </c>
      <c r="S2760">
        <f t="shared" si="437"/>
        <v>0</v>
      </c>
      <c r="T2760">
        <f t="shared" si="439"/>
        <v>1</v>
      </c>
      <c r="U2760">
        <f t="shared" si="438"/>
        <v>1</v>
      </c>
    </row>
    <row r="2761" spans="1:21" x14ac:dyDescent="0.25">
      <c r="A2761" s="2">
        <v>2760</v>
      </c>
      <c r="B2761" s="2">
        <v>2009</v>
      </c>
      <c r="C2761" s="89" t="s">
        <v>183</v>
      </c>
      <c r="D2761">
        <v>10.130000000000001</v>
      </c>
      <c r="E2761" s="80">
        <v>76572.789999999994</v>
      </c>
      <c r="F2761">
        <v>2064.37</v>
      </c>
      <c r="G2761">
        <v>23.4</v>
      </c>
      <c r="H2761" s="80">
        <v>106426.57</v>
      </c>
      <c r="I2761" s="80">
        <v>101604.68</v>
      </c>
      <c r="J2761">
        <v>27.66</v>
      </c>
      <c r="K2761" s="89" t="s">
        <v>582</v>
      </c>
      <c r="L2761">
        <f t="shared" si="430"/>
        <v>0</v>
      </c>
      <c r="M2761">
        <f t="shared" si="431"/>
        <v>0</v>
      </c>
      <c r="N2761">
        <f t="shared" si="432"/>
        <v>0</v>
      </c>
      <c r="O2761">
        <f t="shared" si="433"/>
        <v>0</v>
      </c>
      <c r="P2761">
        <f t="shared" si="434"/>
        <v>0</v>
      </c>
      <c r="Q2761">
        <f t="shared" si="435"/>
        <v>0</v>
      </c>
      <c r="R2761">
        <f t="shared" si="436"/>
        <v>0</v>
      </c>
      <c r="S2761">
        <f t="shared" si="437"/>
        <v>1</v>
      </c>
      <c r="T2761">
        <f t="shared" si="439"/>
        <v>1</v>
      </c>
      <c r="U2761">
        <f t="shared" si="438"/>
        <v>1</v>
      </c>
    </row>
    <row r="2762" spans="1:21" x14ac:dyDescent="0.25">
      <c r="A2762" s="2">
        <v>2761</v>
      </c>
      <c r="B2762" s="2">
        <v>2009</v>
      </c>
      <c r="C2762" s="89" t="s">
        <v>186</v>
      </c>
      <c r="D2762">
        <v>8.81</v>
      </c>
      <c r="E2762" s="80">
        <v>25038.63</v>
      </c>
      <c r="F2762">
        <v>2206.9899999999998</v>
      </c>
      <c r="G2762">
        <v>54.1</v>
      </c>
      <c r="H2762" s="80">
        <v>127511.69</v>
      </c>
      <c r="I2762" s="80">
        <v>86291.8</v>
      </c>
      <c r="J2762">
        <v>30.1</v>
      </c>
      <c r="K2762" s="89" t="s">
        <v>582</v>
      </c>
      <c r="L2762">
        <f t="shared" si="430"/>
        <v>0</v>
      </c>
      <c r="M2762">
        <f t="shared" si="431"/>
        <v>0</v>
      </c>
      <c r="N2762">
        <f t="shared" si="432"/>
        <v>0</v>
      </c>
      <c r="O2762">
        <f t="shared" si="433"/>
        <v>0</v>
      </c>
      <c r="P2762">
        <f t="shared" si="434"/>
        <v>0</v>
      </c>
      <c r="Q2762">
        <f t="shared" si="435"/>
        <v>0</v>
      </c>
      <c r="R2762">
        <f t="shared" si="436"/>
        <v>0</v>
      </c>
      <c r="S2762">
        <f t="shared" si="437"/>
        <v>1</v>
      </c>
      <c r="T2762">
        <f t="shared" si="439"/>
        <v>1</v>
      </c>
      <c r="U2762">
        <f t="shared" si="438"/>
        <v>1</v>
      </c>
    </row>
    <row r="2763" spans="1:21" x14ac:dyDescent="0.25">
      <c r="A2763" s="2">
        <v>2762</v>
      </c>
      <c r="B2763" s="2">
        <v>2009</v>
      </c>
      <c r="C2763" s="105" t="s">
        <v>188</v>
      </c>
      <c r="D2763">
        <v>11.49</v>
      </c>
      <c r="E2763" s="89" t="s">
        <v>582</v>
      </c>
      <c r="F2763">
        <v>722.89</v>
      </c>
      <c r="G2763">
        <v>62.78</v>
      </c>
      <c r="H2763" s="80">
        <v>36727.839999999997</v>
      </c>
      <c r="I2763" s="80">
        <v>95667.1</v>
      </c>
      <c r="J2763">
        <v>45.47</v>
      </c>
      <c r="K2763" s="89" t="s">
        <v>582</v>
      </c>
      <c r="L2763">
        <f t="shared" si="430"/>
        <v>0</v>
      </c>
      <c r="M2763">
        <f t="shared" si="431"/>
        <v>1</v>
      </c>
      <c r="N2763">
        <f t="shared" si="432"/>
        <v>0</v>
      </c>
      <c r="O2763">
        <f t="shared" si="433"/>
        <v>0</v>
      </c>
      <c r="P2763">
        <f t="shared" si="434"/>
        <v>0</v>
      </c>
      <c r="Q2763">
        <f t="shared" si="435"/>
        <v>0</v>
      </c>
      <c r="R2763">
        <f t="shared" si="436"/>
        <v>0</v>
      </c>
      <c r="S2763">
        <f t="shared" si="437"/>
        <v>1</v>
      </c>
      <c r="T2763">
        <f t="shared" si="439"/>
        <v>2</v>
      </c>
      <c r="U2763">
        <f t="shared" si="438"/>
        <v>1</v>
      </c>
    </row>
    <row r="2764" spans="1:21" x14ac:dyDescent="0.25">
      <c r="A2764" s="2">
        <v>2763</v>
      </c>
      <c r="B2764" s="2">
        <v>2009</v>
      </c>
      <c r="C2764" s="43" t="s">
        <v>182</v>
      </c>
      <c r="D2764">
        <v>1.2</v>
      </c>
      <c r="E2764">
        <v>7917.1</v>
      </c>
      <c r="F2764">
        <v>34.36</v>
      </c>
      <c r="G2764" t="s">
        <v>583</v>
      </c>
      <c r="H2764">
        <v>987.47</v>
      </c>
      <c r="I2764" s="80">
        <v>39711.08</v>
      </c>
      <c r="J2764" s="80">
        <v>0.27</v>
      </c>
      <c r="K2764">
        <v>527.03</v>
      </c>
      <c r="L2764">
        <f t="shared" si="430"/>
        <v>0</v>
      </c>
      <c r="M2764">
        <f t="shared" si="431"/>
        <v>0</v>
      </c>
      <c r="N2764">
        <f t="shared" si="432"/>
        <v>0</v>
      </c>
      <c r="O2764">
        <f t="shared" si="433"/>
        <v>0</v>
      </c>
      <c r="P2764">
        <f t="shared" si="434"/>
        <v>0</v>
      </c>
      <c r="Q2764">
        <f t="shared" si="435"/>
        <v>0</v>
      </c>
      <c r="R2764">
        <f t="shared" si="436"/>
        <v>0</v>
      </c>
      <c r="S2764">
        <f t="shared" si="437"/>
        <v>0</v>
      </c>
      <c r="T2764">
        <f t="shared" si="439"/>
        <v>0</v>
      </c>
      <c r="U2764">
        <f t="shared" si="438"/>
        <v>0</v>
      </c>
    </row>
    <row r="2765" spans="1:21" x14ac:dyDescent="0.25">
      <c r="A2765" s="2">
        <v>2764</v>
      </c>
      <c r="B2765" s="2">
        <v>2009</v>
      </c>
      <c r="C2765" s="43" t="s">
        <v>184</v>
      </c>
      <c r="D2765">
        <v>552.27</v>
      </c>
      <c r="E2765">
        <v>21689.26</v>
      </c>
      <c r="F2765">
        <v>271.95999999999998</v>
      </c>
      <c r="G2765">
        <v>30.4</v>
      </c>
      <c r="H2765" s="80">
        <v>33606.89</v>
      </c>
      <c r="I2765" s="80">
        <v>71235.69</v>
      </c>
      <c r="J2765">
        <v>18.38</v>
      </c>
      <c r="K2765">
        <v>6190.61</v>
      </c>
      <c r="L2765">
        <f t="shared" si="430"/>
        <v>0</v>
      </c>
      <c r="M2765">
        <f t="shared" si="431"/>
        <v>0</v>
      </c>
      <c r="N2765">
        <f t="shared" si="432"/>
        <v>0</v>
      </c>
      <c r="O2765">
        <f t="shared" si="433"/>
        <v>0</v>
      </c>
      <c r="P2765">
        <f t="shared" si="434"/>
        <v>0</v>
      </c>
      <c r="Q2765">
        <f t="shared" si="435"/>
        <v>0</v>
      </c>
      <c r="R2765">
        <f t="shared" si="436"/>
        <v>0</v>
      </c>
      <c r="S2765">
        <f t="shared" si="437"/>
        <v>0</v>
      </c>
      <c r="T2765">
        <f t="shared" si="439"/>
        <v>0</v>
      </c>
      <c r="U2765">
        <f t="shared" si="438"/>
        <v>0</v>
      </c>
    </row>
    <row r="2766" spans="1:21" x14ac:dyDescent="0.25">
      <c r="A2766" s="2">
        <v>2765</v>
      </c>
      <c r="B2766" s="2">
        <v>2009</v>
      </c>
      <c r="C2766" s="43" t="s">
        <v>187</v>
      </c>
      <c r="D2766">
        <v>772.08</v>
      </c>
      <c r="E2766">
        <v>16102.28</v>
      </c>
      <c r="F2766">
        <v>479.15</v>
      </c>
      <c r="G2766">
        <v>45.79</v>
      </c>
      <c r="H2766" s="80">
        <v>81594.87</v>
      </c>
      <c r="I2766" s="80">
        <v>65819.22</v>
      </c>
      <c r="J2766">
        <v>32.57</v>
      </c>
      <c r="K2766" s="80">
        <v>15567.85</v>
      </c>
      <c r="L2766">
        <f t="shared" si="430"/>
        <v>0</v>
      </c>
      <c r="M2766">
        <f t="shared" si="431"/>
        <v>0</v>
      </c>
      <c r="N2766">
        <f t="shared" si="432"/>
        <v>0</v>
      </c>
      <c r="O2766">
        <f t="shared" si="433"/>
        <v>0</v>
      </c>
      <c r="P2766">
        <f t="shared" si="434"/>
        <v>0</v>
      </c>
      <c r="Q2766">
        <f t="shared" si="435"/>
        <v>0</v>
      </c>
      <c r="R2766">
        <f t="shared" si="436"/>
        <v>0</v>
      </c>
      <c r="S2766">
        <f t="shared" si="437"/>
        <v>0</v>
      </c>
      <c r="T2766">
        <f t="shared" si="439"/>
        <v>0</v>
      </c>
      <c r="U2766">
        <f t="shared" si="438"/>
        <v>0</v>
      </c>
    </row>
    <row r="2767" spans="1:21" x14ac:dyDescent="0.25">
      <c r="A2767" s="2">
        <v>2766</v>
      </c>
      <c r="B2767" s="92">
        <v>2009</v>
      </c>
      <c r="C2767" s="43" t="s">
        <v>189</v>
      </c>
      <c r="D2767">
        <v>870.5</v>
      </c>
      <c r="E2767">
        <v>10228.15</v>
      </c>
      <c r="F2767">
        <v>6.63</v>
      </c>
      <c r="G2767">
        <v>13.94</v>
      </c>
      <c r="H2767" s="80">
        <v>33055.42</v>
      </c>
      <c r="I2767" s="80">
        <v>19736.240000000002</v>
      </c>
      <c r="J2767">
        <v>26.46</v>
      </c>
      <c r="K2767" s="80">
        <v>11463.4</v>
      </c>
      <c r="L2767">
        <f t="shared" si="430"/>
        <v>0</v>
      </c>
      <c r="M2767">
        <f t="shared" si="431"/>
        <v>0</v>
      </c>
      <c r="N2767">
        <f t="shared" si="432"/>
        <v>0</v>
      </c>
      <c r="O2767">
        <f t="shared" si="433"/>
        <v>0</v>
      </c>
      <c r="P2767">
        <f t="shared" si="434"/>
        <v>0</v>
      </c>
      <c r="Q2767">
        <f t="shared" si="435"/>
        <v>0</v>
      </c>
      <c r="R2767">
        <f t="shared" si="436"/>
        <v>0</v>
      </c>
      <c r="S2767">
        <f t="shared" si="437"/>
        <v>0</v>
      </c>
      <c r="T2767">
        <f t="shared" si="439"/>
        <v>0</v>
      </c>
      <c r="U2767">
        <f t="shared" si="438"/>
        <v>0</v>
      </c>
    </row>
    <row r="2768" spans="1:21" x14ac:dyDescent="0.25">
      <c r="A2768" s="2">
        <v>2767</v>
      </c>
      <c r="B2768" s="2">
        <v>2010</v>
      </c>
      <c r="C2768" t="s">
        <v>162</v>
      </c>
      <c r="D2768" t="s">
        <v>583</v>
      </c>
      <c r="E2768">
        <v>2780.25</v>
      </c>
      <c r="F2768">
        <v>0.94</v>
      </c>
      <c r="G2768" t="s">
        <v>583</v>
      </c>
      <c r="H2768" t="s">
        <v>583</v>
      </c>
      <c r="I2768">
        <v>0.09</v>
      </c>
      <c r="J2768" t="s">
        <v>583</v>
      </c>
      <c r="K2768">
        <v>7.0000000000000007E-2</v>
      </c>
      <c r="L2768">
        <f t="shared" si="430"/>
        <v>0</v>
      </c>
      <c r="M2768">
        <f t="shared" si="431"/>
        <v>0</v>
      </c>
      <c r="N2768">
        <f t="shared" si="432"/>
        <v>0</v>
      </c>
      <c r="O2768">
        <f t="shared" si="433"/>
        <v>0</v>
      </c>
      <c r="P2768">
        <f t="shared" si="434"/>
        <v>0</v>
      </c>
      <c r="Q2768">
        <f t="shared" si="435"/>
        <v>0</v>
      </c>
      <c r="R2768">
        <f t="shared" si="436"/>
        <v>0</v>
      </c>
      <c r="S2768">
        <f t="shared" si="437"/>
        <v>0</v>
      </c>
      <c r="T2768">
        <f t="shared" si="439"/>
        <v>0</v>
      </c>
      <c r="U2768">
        <f t="shared" si="438"/>
        <v>0</v>
      </c>
    </row>
    <row r="2769" spans="1:21" x14ac:dyDescent="0.25">
      <c r="A2769" s="2">
        <v>2768</v>
      </c>
      <c r="B2769" s="2">
        <v>2010</v>
      </c>
      <c r="C2769" t="s">
        <v>170</v>
      </c>
      <c r="D2769">
        <v>35.97</v>
      </c>
      <c r="E2769" s="80">
        <v>52787.29</v>
      </c>
      <c r="F2769">
        <v>64.12</v>
      </c>
      <c r="G2769">
        <v>6.03</v>
      </c>
      <c r="H2769">
        <v>1595.64</v>
      </c>
      <c r="I2769" s="80">
        <v>27358.22</v>
      </c>
      <c r="J2769">
        <v>2.14</v>
      </c>
      <c r="K2769">
        <v>207.3</v>
      </c>
      <c r="L2769">
        <f t="shared" si="430"/>
        <v>0</v>
      </c>
      <c r="M2769">
        <f t="shared" si="431"/>
        <v>0</v>
      </c>
      <c r="N2769">
        <f t="shared" si="432"/>
        <v>0</v>
      </c>
      <c r="O2769">
        <f t="shared" si="433"/>
        <v>0</v>
      </c>
      <c r="P2769">
        <f t="shared" si="434"/>
        <v>0</v>
      </c>
      <c r="Q2769">
        <f t="shared" si="435"/>
        <v>0</v>
      </c>
      <c r="R2769">
        <f t="shared" si="436"/>
        <v>0</v>
      </c>
      <c r="S2769">
        <f t="shared" si="437"/>
        <v>0</v>
      </c>
      <c r="T2769">
        <f t="shared" si="439"/>
        <v>0</v>
      </c>
      <c r="U2769">
        <f t="shared" si="438"/>
        <v>0</v>
      </c>
    </row>
    <row r="2770" spans="1:21" x14ac:dyDescent="0.25">
      <c r="A2770" s="2">
        <v>2769</v>
      </c>
      <c r="B2770" s="2">
        <v>2010</v>
      </c>
      <c r="C2770" t="s">
        <v>178</v>
      </c>
      <c r="D2770">
        <v>187.36</v>
      </c>
      <c r="E2770" s="80">
        <v>65225.95</v>
      </c>
      <c r="F2770">
        <v>684.94</v>
      </c>
      <c r="G2770">
        <v>30.4</v>
      </c>
      <c r="H2770">
        <v>6666.94</v>
      </c>
      <c r="I2770" s="80">
        <v>43112.31</v>
      </c>
      <c r="J2770">
        <v>3.67</v>
      </c>
      <c r="K2770">
        <v>396.74</v>
      </c>
      <c r="L2770">
        <f t="shared" si="430"/>
        <v>0</v>
      </c>
      <c r="M2770">
        <f t="shared" si="431"/>
        <v>0</v>
      </c>
      <c r="N2770">
        <f t="shared" si="432"/>
        <v>0</v>
      </c>
      <c r="O2770">
        <f t="shared" si="433"/>
        <v>0</v>
      </c>
      <c r="P2770">
        <f t="shared" si="434"/>
        <v>0</v>
      </c>
      <c r="Q2770">
        <f t="shared" si="435"/>
        <v>0</v>
      </c>
      <c r="R2770">
        <f t="shared" si="436"/>
        <v>0</v>
      </c>
      <c r="S2770">
        <f t="shared" si="437"/>
        <v>0</v>
      </c>
      <c r="T2770">
        <f t="shared" si="439"/>
        <v>0</v>
      </c>
      <c r="U2770">
        <f t="shared" si="438"/>
        <v>0</v>
      </c>
    </row>
    <row r="2771" spans="1:21" x14ac:dyDescent="0.25">
      <c r="A2771" s="2">
        <v>2770</v>
      </c>
      <c r="B2771" s="2">
        <v>2010</v>
      </c>
      <c r="C2771" t="s">
        <v>163</v>
      </c>
      <c r="D2771">
        <v>1795.65</v>
      </c>
      <c r="E2771" s="80">
        <v>49362.47</v>
      </c>
      <c r="F2771">
        <v>145.5</v>
      </c>
      <c r="G2771">
        <v>30.4</v>
      </c>
      <c r="H2771">
        <v>8964.59</v>
      </c>
      <c r="I2771" s="80">
        <v>21669.78</v>
      </c>
      <c r="J2771">
        <v>16.190000000000001</v>
      </c>
      <c r="K2771">
        <v>7963.05</v>
      </c>
      <c r="L2771">
        <f t="shared" si="430"/>
        <v>0</v>
      </c>
      <c r="M2771">
        <f t="shared" si="431"/>
        <v>0</v>
      </c>
      <c r="N2771">
        <f t="shared" si="432"/>
        <v>0</v>
      </c>
      <c r="O2771">
        <f t="shared" si="433"/>
        <v>0</v>
      </c>
      <c r="P2771">
        <f t="shared" si="434"/>
        <v>0</v>
      </c>
      <c r="Q2771">
        <f t="shared" si="435"/>
        <v>0</v>
      </c>
      <c r="R2771">
        <f t="shared" si="436"/>
        <v>0</v>
      </c>
      <c r="S2771">
        <f t="shared" si="437"/>
        <v>0</v>
      </c>
      <c r="T2771">
        <f t="shared" si="439"/>
        <v>0</v>
      </c>
      <c r="U2771">
        <f t="shared" si="438"/>
        <v>0</v>
      </c>
    </row>
    <row r="2772" spans="1:21" x14ac:dyDescent="0.25">
      <c r="A2772" s="2">
        <v>2771</v>
      </c>
      <c r="B2772" s="2">
        <v>2010</v>
      </c>
      <c r="C2772" t="s">
        <v>181</v>
      </c>
      <c r="D2772" t="s">
        <v>583</v>
      </c>
      <c r="E2772" s="80">
        <v>236906.23999999999</v>
      </c>
      <c r="F2772">
        <v>0.64</v>
      </c>
      <c r="G2772" t="s">
        <v>583</v>
      </c>
      <c r="H2772">
        <v>4.8099999999999996</v>
      </c>
      <c r="I2772">
        <v>7.94</v>
      </c>
      <c r="J2772" t="s">
        <v>583</v>
      </c>
      <c r="K2772">
        <v>6.21</v>
      </c>
      <c r="L2772">
        <f t="shared" si="430"/>
        <v>0</v>
      </c>
      <c r="M2772">
        <f t="shared" si="431"/>
        <v>0</v>
      </c>
      <c r="N2772">
        <f t="shared" si="432"/>
        <v>0</v>
      </c>
      <c r="O2772">
        <f t="shared" si="433"/>
        <v>0</v>
      </c>
      <c r="P2772">
        <f t="shared" si="434"/>
        <v>0</v>
      </c>
      <c r="Q2772">
        <f t="shared" si="435"/>
        <v>0</v>
      </c>
      <c r="R2772">
        <f t="shared" si="436"/>
        <v>0</v>
      </c>
      <c r="S2772">
        <f t="shared" si="437"/>
        <v>0</v>
      </c>
      <c r="T2772">
        <f t="shared" si="439"/>
        <v>0</v>
      </c>
      <c r="U2772">
        <f t="shared" si="438"/>
        <v>0</v>
      </c>
    </row>
    <row r="2773" spans="1:21" x14ac:dyDescent="0.25">
      <c r="A2773" s="2">
        <v>2772</v>
      </c>
      <c r="B2773" s="2">
        <v>2010</v>
      </c>
      <c r="C2773" s="89" t="s">
        <v>183</v>
      </c>
      <c r="D2773">
        <v>7.53</v>
      </c>
      <c r="E2773" s="89" t="s">
        <v>582</v>
      </c>
      <c r="F2773" s="80">
        <v>5105.4399999999996</v>
      </c>
      <c r="G2773">
        <v>49.9</v>
      </c>
      <c r="H2773" s="80">
        <v>20065.54</v>
      </c>
      <c r="I2773" s="80">
        <v>93671.53</v>
      </c>
      <c r="J2773">
        <v>16.190000000000001</v>
      </c>
      <c r="K2773">
        <v>5815.57</v>
      </c>
      <c r="L2773">
        <f t="shared" si="430"/>
        <v>0</v>
      </c>
      <c r="M2773">
        <f t="shared" si="431"/>
        <v>1</v>
      </c>
      <c r="N2773">
        <f t="shared" si="432"/>
        <v>0</v>
      </c>
      <c r="O2773">
        <f t="shared" si="433"/>
        <v>0</v>
      </c>
      <c r="P2773">
        <f t="shared" si="434"/>
        <v>0</v>
      </c>
      <c r="Q2773">
        <f t="shared" si="435"/>
        <v>0</v>
      </c>
      <c r="R2773">
        <f t="shared" si="436"/>
        <v>0</v>
      </c>
      <c r="S2773">
        <f t="shared" si="437"/>
        <v>0</v>
      </c>
      <c r="T2773">
        <f t="shared" si="439"/>
        <v>1</v>
      </c>
      <c r="U2773">
        <f t="shared" si="438"/>
        <v>1</v>
      </c>
    </row>
    <row r="2774" spans="1:21" x14ac:dyDescent="0.25">
      <c r="A2774" s="2">
        <v>2773</v>
      </c>
      <c r="B2774" s="2">
        <v>2010</v>
      </c>
      <c r="C2774" s="89" t="s">
        <v>186</v>
      </c>
      <c r="D2774">
        <v>6.31</v>
      </c>
      <c r="E2774" s="89" t="s">
        <v>582</v>
      </c>
      <c r="F2774" s="80">
        <v>7092.26</v>
      </c>
      <c r="G2774">
        <v>49.9</v>
      </c>
      <c r="H2774" t="s">
        <v>582</v>
      </c>
      <c r="I2774" s="80">
        <v>116905.67</v>
      </c>
      <c r="J2774">
        <v>25.27</v>
      </c>
      <c r="K2774" s="80">
        <v>10391.09</v>
      </c>
      <c r="L2774">
        <f t="shared" si="430"/>
        <v>0</v>
      </c>
      <c r="M2774">
        <f t="shared" si="431"/>
        <v>1</v>
      </c>
      <c r="N2774">
        <f t="shared" si="432"/>
        <v>0</v>
      </c>
      <c r="O2774">
        <f t="shared" si="433"/>
        <v>0</v>
      </c>
      <c r="P2774">
        <f t="shared" si="434"/>
        <v>1</v>
      </c>
      <c r="Q2774">
        <f t="shared" si="435"/>
        <v>0</v>
      </c>
      <c r="R2774">
        <f t="shared" si="436"/>
        <v>0</v>
      </c>
      <c r="S2774">
        <f t="shared" si="437"/>
        <v>0</v>
      </c>
      <c r="T2774">
        <f t="shared" si="439"/>
        <v>2</v>
      </c>
      <c r="U2774">
        <f t="shared" si="438"/>
        <v>1</v>
      </c>
    </row>
    <row r="2775" spans="1:21" x14ac:dyDescent="0.25">
      <c r="A2775" s="2">
        <v>2774</v>
      </c>
      <c r="B2775" s="2">
        <v>2010</v>
      </c>
      <c r="C2775" s="105" t="s">
        <v>188</v>
      </c>
      <c r="D2775">
        <v>8.81</v>
      </c>
      <c r="E2775" s="89" t="s">
        <v>582</v>
      </c>
      <c r="F2775">
        <v>2095.33</v>
      </c>
      <c r="G2775">
        <v>62.78</v>
      </c>
      <c r="H2775" s="80">
        <v>25968.65</v>
      </c>
      <c r="I2775" s="80">
        <v>108828.65</v>
      </c>
      <c r="J2775">
        <v>35.08</v>
      </c>
      <c r="K2775" s="89" t="s">
        <v>582</v>
      </c>
      <c r="L2775">
        <f t="shared" si="430"/>
        <v>0</v>
      </c>
      <c r="M2775">
        <f t="shared" si="431"/>
        <v>1</v>
      </c>
      <c r="N2775">
        <f t="shared" si="432"/>
        <v>0</v>
      </c>
      <c r="O2775">
        <f t="shared" si="433"/>
        <v>0</v>
      </c>
      <c r="P2775">
        <f t="shared" si="434"/>
        <v>0</v>
      </c>
      <c r="Q2775">
        <f t="shared" si="435"/>
        <v>0</v>
      </c>
      <c r="R2775">
        <f t="shared" si="436"/>
        <v>0</v>
      </c>
      <c r="S2775">
        <f t="shared" si="437"/>
        <v>1</v>
      </c>
      <c r="T2775">
        <f t="shared" si="439"/>
        <v>2</v>
      </c>
      <c r="U2775">
        <f t="shared" si="438"/>
        <v>1</v>
      </c>
    </row>
    <row r="2776" spans="1:21" x14ac:dyDescent="0.25">
      <c r="A2776" s="2">
        <v>2775</v>
      </c>
      <c r="B2776" s="2">
        <v>2010</v>
      </c>
      <c r="C2776" s="43" t="s">
        <v>182</v>
      </c>
      <c r="D2776">
        <v>1.2</v>
      </c>
      <c r="E2776">
        <v>5015.09</v>
      </c>
      <c r="F2776">
        <v>75.16</v>
      </c>
      <c r="G2776" t="s">
        <v>583</v>
      </c>
      <c r="H2776">
        <v>1302.3699999999999</v>
      </c>
      <c r="I2776" s="80">
        <v>25213.95</v>
      </c>
      <c r="J2776" s="80">
        <v>0.27</v>
      </c>
      <c r="K2776">
        <v>408.38</v>
      </c>
      <c r="L2776">
        <f t="shared" si="430"/>
        <v>0</v>
      </c>
      <c r="M2776">
        <f t="shared" si="431"/>
        <v>0</v>
      </c>
      <c r="N2776">
        <f t="shared" si="432"/>
        <v>0</v>
      </c>
      <c r="O2776">
        <f t="shared" si="433"/>
        <v>0</v>
      </c>
      <c r="P2776">
        <f t="shared" si="434"/>
        <v>0</v>
      </c>
      <c r="Q2776">
        <f t="shared" si="435"/>
        <v>0</v>
      </c>
      <c r="R2776">
        <f t="shared" si="436"/>
        <v>0</v>
      </c>
      <c r="S2776">
        <f t="shared" si="437"/>
        <v>0</v>
      </c>
      <c r="T2776">
        <f t="shared" si="439"/>
        <v>0</v>
      </c>
      <c r="U2776">
        <f t="shared" si="438"/>
        <v>0</v>
      </c>
    </row>
    <row r="2777" spans="1:21" x14ac:dyDescent="0.25">
      <c r="A2777" s="2">
        <v>2776</v>
      </c>
      <c r="B2777" s="2">
        <v>2010</v>
      </c>
      <c r="C2777" s="43" t="s">
        <v>184</v>
      </c>
      <c r="D2777">
        <v>187.36</v>
      </c>
      <c r="E2777">
        <v>12921.11</v>
      </c>
      <c r="F2777">
        <v>239.61</v>
      </c>
      <c r="G2777">
        <v>20.100000000000001</v>
      </c>
      <c r="H2777">
        <v>11876.36</v>
      </c>
      <c r="I2777" s="80">
        <v>49888.76</v>
      </c>
      <c r="J2777">
        <v>4.49</v>
      </c>
      <c r="K2777">
        <v>1147.6300000000001</v>
      </c>
      <c r="L2777">
        <f t="shared" si="430"/>
        <v>0</v>
      </c>
      <c r="M2777">
        <f t="shared" si="431"/>
        <v>0</v>
      </c>
      <c r="N2777">
        <f t="shared" si="432"/>
        <v>0</v>
      </c>
      <c r="O2777">
        <f t="shared" si="433"/>
        <v>0</v>
      </c>
      <c r="P2777">
        <f t="shared" si="434"/>
        <v>0</v>
      </c>
      <c r="Q2777">
        <f t="shared" si="435"/>
        <v>0</v>
      </c>
      <c r="R2777">
        <f t="shared" si="436"/>
        <v>0</v>
      </c>
      <c r="S2777">
        <f t="shared" si="437"/>
        <v>0</v>
      </c>
      <c r="T2777">
        <f t="shared" si="439"/>
        <v>0</v>
      </c>
      <c r="U2777">
        <f t="shared" si="438"/>
        <v>0</v>
      </c>
    </row>
    <row r="2778" spans="1:21" x14ac:dyDescent="0.25">
      <c r="A2778" s="2">
        <v>2777</v>
      </c>
      <c r="B2778" s="2">
        <v>2010</v>
      </c>
      <c r="C2778" s="43" t="s">
        <v>187</v>
      </c>
      <c r="D2778">
        <v>1291.42</v>
      </c>
      <c r="E2778">
        <v>12762.7</v>
      </c>
      <c r="F2778">
        <v>522.16</v>
      </c>
      <c r="G2778">
        <v>30.4</v>
      </c>
      <c r="H2778" s="80">
        <v>22461.7</v>
      </c>
      <c r="I2778" s="80">
        <v>48864.17</v>
      </c>
      <c r="J2778">
        <v>18.38</v>
      </c>
      <c r="K2778">
        <v>5185.0200000000004</v>
      </c>
      <c r="L2778">
        <f t="shared" si="430"/>
        <v>0</v>
      </c>
      <c r="M2778">
        <f t="shared" si="431"/>
        <v>0</v>
      </c>
      <c r="N2778">
        <f t="shared" si="432"/>
        <v>0</v>
      </c>
      <c r="O2778">
        <f t="shared" si="433"/>
        <v>0</v>
      </c>
      <c r="P2778">
        <f t="shared" si="434"/>
        <v>0</v>
      </c>
      <c r="Q2778">
        <f t="shared" si="435"/>
        <v>0</v>
      </c>
      <c r="R2778">
        <f t="shared" si="436"/>
        <v>0</v>
      </c>
      <c r="S2778">
        <f t="shared" si="437"/>
        <v>0</v>
      </c>
      <c r="T2778">
        <f t="shared" si="439"/>
        <v>0</v>
      </c>
      <c r="U2778">
        <f t="shared" si="438"/>
        <v>0</v>
      </c>
    </row>
    <row r="2779" spans="1:21" x14ac:dyDescent="0.25">
      <c r="A2779" s="2">
        <v>2778</v>
      </c>
      <c r="B2779" s="2">
        <v>2010</v>
      </c>
      <c r="C2779" s="43" t="s">
        <v>189</v>
      </c>
      <c r="D2779">
        <v>623.28</v>
      </c>
      <c r="E2779">
        <v>6830</v>
      </c>
      <c r="F2779">
        <v>8.73</v>
      </c>
      <c r="G2779">
        <v>11.11</v>
      </c>
      <c r="H2779" s="80">
        <v>19262.48</v>
      </c>
      <c r="I2779" s="80">
        <v>14528.21</v>
      </c>
      <c r="J2779">
        <v>18.38</v>
      </c>
      <c r="K2779">
        <v>7491.02</v>
      </c>
      <c r="L2779">
        <f t="shared" si="430"/>
        <v>0</v>
      </c>
      <c r="M2779">
        <f t="shared" si="431"/>
        <v>0</v>
      </c>
      <c r="N2779">
        <f t="shared" si="432"/>
        <v>0</v>
      </c>
      <c r="O2779">
        <f t="shared" si="433"/>
        <v>0</v>
      </c>
      <c r="P2779">
        <f t="shared" si="434"/>
        <v>0</v>
      </c>
      <c r="Q2779">
        <f t="shared" si="435"/>
        <v>0</v>
      </c>
      <c r="R2779">
        <f t="shared" si="436"/>
        <v>0</v>
      </c>
      <c r="S2779">
        <f t="shared" si="437"/>
        <v>0</v>
      </c>
      <c r="T2779">
        <f t="shared" si="439"/>
        <v>0</v>
      </c>
      <c r="U2779">
        <f t="shared" si="438"/>
        <v>0</v>
      </c>
    </row>
    <row r="2780" spans="1:21" x14ac:dyDescent="0.25">
      <c r="A2780" s="2">
        <v>2779</v>
      </c>
      <c r="B2780" s="2">
        <v>2044</v>
      </c>
      <c r="C2780" t="s">
        <v>181</v>
      </c>
      <c r="D2780">
        <v>11.49</v>
      </c>
      <c r="E2780" s="80">
        <v>33632.6</v>
      </c>
      <c r="F2780" s="80">
        <v>4380.0600000000004</v>
      </c>
      <c r="G2780">
        <v>45.79</v>
      </c>
      <c r="H2780" s="80">
        <v>90300.87</v>
      </c>
      <c r="I2780" s="80">
        <v>94557.51</v>
      </c>
      <c r="J2780">
        <v>22.93</v>
      </c>
      <c r="K2780" s="80">
        <v>28589.37</v>
      </c>
      <c r="L2780">
        <f t="shared" si="430"/>
        <v>0</v>
      </c>
      <c r="M2780">
        <f t="shared" si="431"/>
        <v>0</v>
      </c>
      <c r="N2780">
        <f t="shared" si="432"/>
        <v>0</v>
      </c>
      <c r="O2780">
        <f t="shared" si="433"/>
        <v>0</v>
      </c>
      <c r="P2780">
        <f t="shared" si="434"/>
        <v>0</v>
      </c>
      <c r="Q2780">
        <f t="shared" si="435"/>
        <v>0</v>
      </c>
      <c r="R2780">
        <f t="shared" si="436"/>
        <v>0</v>
      </c>
      <c r="S2780">
        <f t="shared" si="437"/>
        <v>0</v>
      </c>
      <c r="T2780">
        <f t="shared" si="439"/>
        <v>0</v>
      </c>
      <c r="U2780">
        <f t="shared" si="438"/>
        <v>0</v>
      </c>
    </row>
    <row r="2781" spans="1:21" x14ac:dyDescent="0.25">
      <c r="A2781" s="2">
        <v>2780</v>
      </c>
      <c r="B2781" s="2">
        <v>2044</v>
      </c>
      <c r="C2781" s="89" t="s">
        <v>183</v>
      </c>
      <c r="D2781">
        <v>10.130000000000001</v>
      </c>
      <c r="E2781" s="80">
        <v>192734.7</v>
      </c>
      <c r="F2781" s="80">
        <v>5378.35</v>
      </c>
      <c r="G2781">
        <v>30.4</v>
      </c>
      <c r="H2781">
        <v>9788.69</v>
      </c>
      <c r="I2781" s="80">
        <v>101443.53</v>
      </c>
      <c r="J2781">
        <v>26.46</v>
      </c>
      <c r="K2781" s="89" t="s">
        <v>582</v>
      </c>
      <c r="L2781">
        <f t="shared" si="430"/>
        <v>0</v>
      </c>
      <c r="M2781">
        <f t="shared" si="431"/>
        <v>0</v>
      </c>
      <c r="N2781">
        <f t="shared" si="432"/>
        <v>0</v>
      </c>
      <c r="O2781">
        <f t="shared" si="433"/>
        <v>0</v>
      </c>
      <c r="P2781">
        <f t="shared" si="434"/>
        <v>0</v>
      </c>
      <c r="Q2781">
        <f t="shared" si="435"/>
        <v>0</v>
      </c>
      <c r="R2781">
        <f t="shared" si="436"/>
        <v>0</v>
      </c>
      <c r="S2781">
        <f t="shared" si="437"/>
        <v>1</v>
      </c>
      <c r="T2781">
        <f t="shared" si="439"/>
        <v>1</v>
      </c>
      <c r="U2781">
        <f t="shared" si="438"/>
        <v>1</v>
      </c>
    </row>
    <row r="2782" spans="1:21" x14ac:dyDescent="0.25">
      <c r="A2782" s="2">
        <v>2781</v>
      </c>
      <c r="B2782" s="2">
        <v>2004</v>
      </c>
      <c r="C2782" t="s">
        <v>162</v>
      </c>
      <c r="D2782" t="s">
        <v>583</v>
      </c>
      <c r="E2782">
        <v>23597.23</v>
      </c>
      <c r="F2782">
        <v>0.74</v>
      </c>
      <c r="G2782" t="s">
        <v>583</v>
      </c>
      <c r="H2782" t="s">
        <v>583</v>
      </c>
      <c r="I2782">
        <v>0.28000000000000003</v>
      </c>
      <c r="J2782" t="s">
        <v>583</v>
      </c>
      <c r="K2782">
        <v>0.66</v>
      </c>
      <c r="L2782">
        <f t="shared" si="430"/>
        <v>0</v>
      </c>
      <c r="M2782">
        <f t="shared" si="431"/>
        <v>0</v>
      </c>
      <c r="N2782">
        <f t="shared" si="432"/>
        <v>0</v>
      </c>
      <c r="O2782">
        <f t="shared" si="433"/>
        <v>0</v>
      </c>
      <c r="P2782">
        <f t="shared" si="434"/>
        <v>0</v>
      </c>
      <c r="Q2782">
        <f t="shared" si="435"/>
        <v>0</v>
      </c>
      <c r="R2782">
        <f t="shared" si="436"/>
        <v>0</v>
      </c>
      <c r="S2782">
        <f t="shared" si="437"/>
        <v>0</v>
      </c>
      <c r="T2782">
        <f t="shared" si="439"/>
        <v>0</v>
      </c>
      <c r="U2782">
        <f t="shared" si="438"/>
        <v>0</v>
      </c>
    </row>
    <row r="2783" spans="1:21" x14ac:dyDescent="0.25">
      <c r="A2783" s="2">
        <v>2782</v>
      </c>
      <c r="B2783" s="2">
        <v>2004</v>
      </c>
      <c r="C2783" t="s">
        <v>170</v>
      </c>
      <c r="D2783">
        <v>10.130000000000001</v>
      </c>
      <c r="E2783" s="80">
        <v>69070.17</v>
      </c>
      <c r="F2783">
        <v>181.79</v>
      </c>
      <c r="G2783">
        <v>13.94</v>
      </c>
      <c r="H2783">
        <v>2778.56</v>
      </c>
      <c r="I2783" s="80">
        <v>44660.959999999999</v>
      </c>
      <c r="J2783">
        <v>4.49</v>
      </c>
      <c r="K2783">
        <v>1182.56</v>
      </c>
      <c r="L2783">
        <f t="shared" si="430"/>
        <v>0</v>
      </c>
      <c r="M2783">
        <f t="shared" si="431"/>
        <v>0</v>
      </c>
      <c r="N2783">
        <f t="shared" si="432"/>
        <v>0</v>
      </c>
      <c r="O2783">
        <f t="shared" si="433"/>
        <v>0</v>
      </c>
      <c r="P2783">
        <f t="shared" si="434"/>
        <v>0</v>
      </c>
      <c r="Q2783">
        <f t="shared" si="435"/>
        <v>0</v>
      </c>
      <c r="R2783">
        <f t="shared" si="436"/>
        <v>0</v>
      </c>
      <c r="S2783">
        <f t="shared" si="437"/>
        <v>0</v>
      </c>
      <c r="T2783">
        <f t="shared" si="439"/>
        <v>0</v>
      </c>
      <c r="U2783">
        <f t="shared" si="438"/>
        <v>0</v>
      </c>
    </row>
    <row r="2784" spans="1:21" x14ac:dyDescent="0.25">
      <c r="A2784" s="2">
        <v>2783</v>
      </c>
      <c r="B2784" s="2">
        <v>2004</v>
      </c>
      <c r="C2784" t="s">
        <v>178</v>
      </c>
      <c r="D2784">
        <v>211.3</v>
      </c>
      <c r="E2784" s="80">
        <v>184209.99</v>
      </c>
      <c r="F2784">
        <v>2382.69</v>
      </c>
      <c r="G2784">
        <v>45.79</v>
      </c>
      <c r="H2784" s="80">
        <v>32948.99</v>
      </c>
      <c r="I2784" s="80">
        <v>83054.47</v>
      </c>
      <c r="J2784">
        <v>16.190000000000001</v>
      </c>
      <c r="K2784">
        <v>2908.92</v>
      </c>
      <c r="L2784">
        <f t="shared" si="430"/>
        <v>0</v>
      </c>
      <c r="M2784">
        <f t="shared" si="431"/>
        <v>0</v>
      </c>
      <c r="N2784">
        <f t="shared" si="432"/>
        <v>0</v>
      </c>
      <c r="O2784">
        <f t="shared" si="433"/>
        <v>0</v>
      </c>
      <c r="P2784">
        <f t="shared" si="434"/>
        <v>0</v>
      </c>
      <c r="Q2784">
        <f t="shared" si="435"/>
        <v>0</v>
      </c>
      <c r="R2784">
        <f t="shared" si="436"/>
        <v>0</v>
      </c>
      <c r="S2784">
        <f t="shared" si="437"/>
        <v>0</v>
      </c>
      <c r="T2784">
        <f t="shared" si="439"/>
        <v>0</v>
      </c>
      <c r="U2784">
        <f t="shared" si="438"/>
        <v>0</v>
      </c>
    </row>
    <row r="2785" spans="1:21" x14ac:dyDescent="0.25">
      <c r="A2785" s="2">
        <v>2784</v>
      </c>
      <c r="B2785" s="2">
        <v>2004</v>
      </c>
      <c r="C2785" s="89" t="s">
        <v>163</v>
      </c>
      <c r="D2785">
        <v>2263.86</v>
      </c>
      <c r="E2785" s="89" t="s">
        <v>582</v>
      </c>
      <c r="F2785">
        <v>102.05</v>
      </c>
      <c r="G2785">
        <v>16.940000000000001</v>
      </c>
      <c r="H2785">
        <v>5166.07</v>
      </c>
      <c r="I2785" s="80">
        <v>28835.8</v>
      </c>
      <c r="J2785">
        <v>35.08</v>
      </c>
      <c r="K2785" s="89" t="s">
        <v>582</v>
      </c>
      <c r="L2785">
        <f t="shared" si="430"/>
        <v>0</v>
      </c>
      <c r="M2785">
        <f t="shared" si="431"/>
        <v>1</v>
      </c>
      <c r="N2785">
        <f t="shared" si="432"/>
        <v>0</v>
      </c>
      <c r="O2785">
        <f t="shared" si="433"/>
        <v>0</v>
      </c>
      <c r="P2785">
        <f t="shared" si="434"/>
        <v>0</v>
      </c>
      <c r="Q2785">
        <f t="shared" si="435"/>
        <v>0</v>
      </c>
      <c r="R2785">
        <f t="shared" si="436"/>
        <v>0</v>
      </c>
      <c r="S2785">
        <f t="shared" si="437"/>
        <v>1</v>
      </c>
      <c r="T2785">
        <f t="shared" si="439"/>
        <v>2</v>
      </c>
      <c r="U2785">
        <f t="shared" si="438"/>
        <v>1</v>
      </c>
    </row>
    <row r="2786" spans="1:21" x14ac:dyDescent="0.25">
      <c r="A2786" s="2">
        <v>2785</v>
      </c>
      <c r="B2786" s="2">
        <v>2004</v>
      </c>
      <c r="C2786" s="89" t="s">
        <v>181</v>
      </c>
      <c r="D2786" t="s">
        <v>583</v>
      </c>
      <c r="E2786" s="89" t="s">
        <v>582</v>
      </c>
      <c r="F2786">
        <v>0.55000000000000004</v>
      </c>
      <c r="G2786" t="s">
        <v>583</v>
      </c>
      <c r="H2786">
        <v>33.369999999999997</v>
      </c>
      <c r="I2786">
        <v>143.43</v>
      </c>
      <c r="J2786" t="s">
        <v>583</v>
      </c>
      <c r="K2786">
        <v>40.21</v>
      </c>
      <c r="L2786">
        <f t="shared" si="430"/>
        <v>0</v>
      </c>
      <c r="M2786">
        <f t="shared" si="431"/>
        <v>1</v>
      </c>
      <c r="N2786">
        <f t="shared" si="432"/>
        <v>0</v>
      </c>
      <c r="O2786">
        <f t="shared" si="433"/>
        <v>0</v>
      </c>
      <c r="P2786">
        <f t="shared" si="434"/>
        <v>0</v>
      </c>
      <c r="Q2786">
        <f t="shared" si="435"/>
        <v>0</v>
      </c>
      <c r="R2786">
        <f t="shared" si="436"/>
        <v>0</v>
      </c>
      <c r="S2786">
        <f t="shared" si="437"/>
        <v>0</v>
      </c>
      <c r="T2786">
        <f t="shared" si="439"/>
        <v>1</v>
      </c>
      <c r="U2786">
        <f t="shared" si="438"/>
        <v>1</v>
      </c>
    </row>
    <row r="2787" spans="1:21" x14ac:dyDescent="0.25">
      <c r="A2787" s="2">
        <v>2786</v>
      </c>
      <c r="B2787" s="2">
        <v>2004</v>
      </c>
      <c r="C2787" s="89" t="s">
        <v>183</v>
      </c>
      <c r="D2787">
        <v>9.4600000000000009</v>
      </c>
      <c r="E2787" s="89" t="s">
        <v>582</v>
      </c>
      <c r="F2787">
        <v>1582.59</v>
      </c>
      <c r="G2787">
        <v>49.9</v>
      </c>
      <c r="H2787" s="80">
        <v>33432.300000000003</v>
      </c>
      <c r="I2787" s="80">
        <v>121437.55</v>
      </c>
      <c r="J2787">
        <v>25.27</v>
      </c>
      <c r="K2787" s="80">
        <v>16012.63</v>
      </c>
      <c r="L2787">
        <f t="shared" si="430"/>
        <v>0</v>
      </c>
      <c r="M2787">
        <f t="shared" si="431"/>
        <v>1</v>
      </c>
      <c r="N2787">
        <f t="shared" si="432"/>
        <v>0</v>
      </c>
      <c r="O2787">
        <f t="shared" si="433"/>
        <v>0</v>
      </c>
      <c r="P2787">
        <f t="shared" si="434"/>
        <v>0</v>
      </c>
      <c r="Q2787">
        <f t="shared" si="435"/>
        <v>0</v>
      </c>
      <c r="R2787">
        <f t="shared" si="436"/>
        <v>0</v>
      </c>
      <c r="S2787">
        <f t="shared" si="437"/>
        <v>0</v>
      </c>
      <c r="T2787">
        <f t="shared" si="439"/>
        <v>1</v>
      </c>
      <c r="U2787">
        <f t="shared" si="438"/>
        <v>1</v>
      </c>
    </row>
    <row r="2788" spans="1:21" x14ac:dyDescent="0.25">
      <c r="A2788" s="2">
        <v>2787</v>
      </c>
      <c r="B2788" s="2">
        <v>2004</v>
      </c>
      <c r="C2788" s="89" t="s">
        <v>186</v>
      </c>
      <c r="D2788">
        <v>10.130000000000001</v>
      </c>
      <c r="E2788" s="89" t="s">
        <v>582</v>
      </c>
      <c r="F2788" s="80">
        <v>5468.33</v>
      </c>
      <c r="G2788">
        <v>76.44</v>
      </c>
      <c r="H2788" t="s">
        <v>582</v>
      </c>
      <c r="I2788" s="80">
        <v>114333.14</v>
      </c>
      <c r="J2788">
        <v>35.08</v>
      </c>
      <c r="K2788" s="89" t="s">
        <v>582</v>
      </c>
      <c r="L2788">
        <f t="shared" si="430"/>
        <v>0</v>
      </c>
      <c r="M2788">
        <f t="shared" si="431"/>
        <v>1</v>
      </c>
      <c r="N2788">
        <f t="shared" si="432"/>
        <v>0</v>
      </c>
      <c r="O2788">
        <f t="shared" si="433"/>
        <v>0</v>
      </c>
      <c r="P2788">
        <f t="shared" si="434"/>
        <v>1</v>
      </c>
      <c r="Q2788">
        <f t="shared" si="435"/>
        <v>0</v>
      </c>
      <c r="R2788">
        <f t="shared" si="436"/>
        <v>0</v>
      </c>
      <c r="S2788">
        <f t="shared" si="437"/>
        <v>1</v>
      </c>
      <c r="T2788">
        <f t="shared" si="439"/>
        <v>3</v>
      </c>
      <c r="U2788">
        <f t="shared" si="438"/>
        <v>1</v>
      </c>
    </row>
    <row r="2789" spans="1:21" x14ac:dyDescent="0.25">
      <c r="A2789" s="2">
        <v>2788</v>
      </c>
      <c r="B2789" s="2">
        <v>2004</v>
      </c>
      <c r="C2789" s="105" t="s">
        <v>188</v>
      </c>
      <c r="D2789">
        <v>7.53</v>
      </c>
      <c r="E2789" s="89" t="s">
        <v>582</v>
      </c>
      <c r="F2789">
        <v>303.77</v>
      </c>
      <c r="G2789">
        <v>45.79</v>
      </c>
      <c r="H2789">
        <v>9927.66</v>
      </c>
      <c r="I2789" s="80">
        <v>50538.67</v>
      </c>
      <c r="J2789">
        <v>50.86</v>
      </c>
      <c r="K2789" s="89" t="s">
        <v>582</v>
      </c>
      <c r="L2789">
        <f t="shared" si="430"/>
        <v>0</v>
      </c>
      <c r="M2789">
        <f t="shared" si="431"/>
        <v>1</v>
      </c>
      <c r="N2789">
        <f t="shared" si="432"/>
        <v>0</v>
      </c>
      <c r="O2789">
        <f t="shared" si="433"/>
        <v>0</v>
      </c>
      <c r="P2789">
        <f t="shared" si="434"/>
        <v>0</v>
      </c>
      <c r="Q2789">
        <f t="shared" si="435"/>
        <v>0</v>
      </c>
      <c r="R2789">
        <f t="shared" si="436"/>
        <v>0</v>
      </c>
      <c r="S2789">
        <f t="shared" si="437"/>
        <v>1</v>
      </c>
      <c r="T2789">
        <f t="shared" si="439"/>
        <v>2</v>
      </c>
      <c r="U2789">
        <f t="shared" si="438"/>
        <v>1</v>
      </c>
    </row>
    <row r="2790" spans="1:21" x14ac:dyDescent="0.25">
      <c r="A2790" s="2">
        <v>2789</v>
      </c>
      <c r="B2790" s="2">
        <v>2004</v>
      </c>
      <c r="C2790" s="43" t="s">
        <v>182</v>
      </c>
      <c r="D2790" t="s">
        <v>583</v>
      </c>
      <c r="E2790">
        <v>2109.48</v>
      </c>
      <c r="F2790">
        <v>0.45</v>
      </c>
      <c r="G2790" t="s">
        <v>583</v>
      </c>
      <c r="H2790">
        <v>0.27</v>
      </c>
      <c r="I2790">
        <v>26.46</v>
      </c>
      <c r="J2790" t="s">
        <v>583</v>
      </c>
      <c r="K2790">
        <v>0.23</v>
      </c>
      <c r="L2790">
        <f t="shared" si="430"/>
        <v>0</v>
      </c>
      <c r="M2790">
        <f t="shared" si="431"/>
        <v>0</v>
      </c>
      <c r="N2790">
        <f t="shared" si="432"/>
        <v>0</v>
      </c>
      <c r="O2790">
        <f t="shared" si="433"/>
        <v>0</v>
      </c>
      <c r="P2790">
        <f t="shared" si="434"/>
        <v>0</v>
      </c>
      <c r="Q2790">
        <f t="shared" si="435"/>
        <v>0</v>
      </c>
      <c r="R2790">
        <f t="shared" si="436"/>
        <v>0</v>
      </c>
      <c r="S2790">
        <f t="shared" si="437"/>
        <v>0</v>
      </c>
      <c r="T2790">
        <f t="shared" si="439"/>
        <v>0</v>
      </c>
      <c r="U2790">
        <f t="shared" si="438"/>
        <v>0</v>
      </c>
    </row>
    <row r="2791" spans="1:21" x14ac:dyDescent="0.25">
      <c r="A2791" s="2">
        <v>2790</v>
      </c>
      <c r="B2791" s="2">
        <v>2004</v>
      </c>
      <c r="C2791" s="43" t="s">
        <v>184</v>
      </c>
      <c r="D2791">
        <v>390.48</v>
      </c>
      <c r="E2791">
        <v>23490</v>
      </c>
      <c r="F2791">
        <v>252.69</v>
      </c>
      <c r="G2791">
        <v>37.880000000000003</v>
      </c>
      <c r="H2791">
        <v>15043.23</v>
      </c>
      <c r="I2791" s="80">
        <v>82418.67</v>
      </c>
      <c r="J2791">
        <v>14.05</v>
      </c>
      <c r="K2791">
        <v>3884.19</v>
      </c>
      <c r="L2791">
        <f t="shared" si="430"/>
        <v>0</v>
      </c>
      <c r="M2791">
        <f t="shared" si="431"/>
        <v>0</v>
      </c>
      <c r="N2791">
        <f t="shared" si="432"/>
        <v>0</v>
      </c>
      <c r="O2791">
        <f t="shared" si="433"/>
        <v>0</v>
      </c>
      <c r="P2791">
        <f t="shared" si="434"/>
        <v>0</v>
      </c>
      <c r="Q2791">
        <f t="shared" si="435"/>
        <v>0</v>
      </c>
      <c r="R2791">
        <f t="shared" si="436"/>
        <v>0</v>
      </c>
      <c r="S2791">
        <f t="shared" si="437"/>
        <v>0</v>
      </c>
      <c r="T2791">
        <f t="shared" si="439"/>
        <v>0</v>
      </c>
      <c r="U2791">
        <f t="shared" si="438"/>
        <v>0</v>
      </c>
    </row>
    <row r="2792" spans="1:21" x14ac:dyDescent="0.25">
      <c r="A2792" s="2">
        <v>2791</v>
      </c>
      <c r="B2792" s="2">
        <v>2004</v>
      </c>
      <c r="C2792" s="43" t="s">
        <v>187</v>
      </c>
      <c r="D2792">
        <v>3905.57</v>
      </c>
      <c r="E2792">
        <v>21785.82</v>
      </c>
      <c r="F2792">
        <v>370.16</v>
      </c>
      <c r="G2792">
        <v>45.79</v>
      </c>
      <c r="H2792" s="80">
        <v>35640.949999999997</v>
      </c>
      <c r="I2792" s="80">
        <v>79464.83</v>
      </c>
      <c r="J2792">
        <v>25.27</v>
      </c>
      <c r="K2792" s="80">
        <v>10948.57</v>
      </c>
      <c r="L2792">
        <f t="shared" si="430"/>
        <v>0</v>
      </c>
      <c r="M2792">
        <f t="shared" si="431"/>
        <v>0</v>
      </c>
      <c r="N2792">
        <f t="shared" si="432"/>
        <v>0</v>
      </c>
      <c r="O2792">
        <f t="shared" si="433"/>
        <v>0</v>
      </c>
      <c r="P2792">
        <f t="shared" si="434"/>
        <v>0</v>
      </c>
      <c r="Q2792">
        <f t="shared" si="435"/>
        <v>0</v>
      </c>
      <c r="R2792">
        <f t="shared" si="436"/>
        <v>0</v>
      </c>
      <c r="S2792">
        <f t="shared" si="437"/>
        <v>0</v>
      </c>
      <c r="T2792">
        <f t="shared" si="439"/>
        <v>0</v>
      </c>
      <c r="U2792">
        <f t="shared" si="438"/>
        <v>0</v>
      </c>
    </row>
    <row r="2793" spans="1:21" x14ac:dyDescent="0.25">
      <c r="A2793" s="2">
        <v>2792</v>
      </c>
      <c r="B2793" s="2">
        <v>2004</v>
      </c>
      <c r="C2793" s="43" t="s">
        <v>189</v>
      </c>
      <c r="D2793">
        <v>4571.12</v>
      </c>
      <c r="E2793">
        <v>10947.04</v>
      </c>
      <c r="F2793">
        <v>7.28</v>
      </c>
      <c r="G2793">
        <v>23.4</v>
      </c>
      <c r="H2793" s="80">
        <v>32895.980000000003</v>
      </c>
      <c r="I2793" s="80">
        <v>32468.47</v>
      </c>
      <c r="J2793">
        <v>36.35</v>
      </c>
      <c r="K2793" s="80">
        <v>11526.78</v>
      </c>
      <c r="L2793">
        <f t="shared" si="430"/>
        <v>0</v>
      </c>
      <c r="M2793">
        <f t="shared" si="431"/>
        <v>0</v>
      </c>
      <c r="N2793">
        <f t="shared" si="432"/>
        <v>0</v>
      </c>
      <c r="O2793">
        <f t="shared" si="433"/>
        <v>0</v>
      </c>
      <c r="P2793">
        <f t="shared" si="434"/>
        <v>0</v>
      </c>
      <c r="Q2793">
        <f t="shared" si="435"/>
        <v>0</v>
      </c>
      <c r="R2793">
        <f t="shared" si="436"/>
        <v>0</v>
      </c>
      <c r="S2793">
        <f t="shared" si="437"/>
        <v>0</v>
      </c>
      <c r="T2793">
        <f t="shared" si="439"/>
        <v>0</v>
      </c>
      <c r="U2793">
        <f t="shared" si="438"/>
        <v>0</v>
      </c>
    </row>
    <row r="2794" spans="1:21" x14ac:dyDescent="0.25">
      <c r="A2794" s="2">
        <v>2793</v>
      </c>
      <c r="B2794" s="2">
        <v>1004</v>
      </c>
      <c r="C2794" t="s">
        <v>162</v>
      </c>
      <c r="D2794" s="80">
        <v>0</v>
      </c>
      <c r="E2794" s="80">
        <v>30327.33</v>
      </c>
      <c r="F2794">
        <v>1.26</v>
      </c>
      <c r="G2794">
        <v>0.5</v>
      </c>
      <c r="H2794">
        <v>0.27</v>
      </c>
      <c r="I2794">
        <v>5.69</v>
      </c>
      <c r="J2794" t="s">
        <v>583</v>
      </c>
      <c r="K2794">
        <v>0.78</v>
      </c>
      <c r="L2794">
        <f t="shared" si="430"/>
        <v>0</v>
      </c>
      <c r="M2794">
        <f t="shared" si="431"/>
        <v>0</v>
      </c>
      <c r="N2794">
        <f t="shared" si="432"/>
        <v>0</v>
      </c>
      <c r="O2794">
        <f t="shared" si="433"/>
        <v>0</v>
      </c>
      <c r="P2794">
        <f t="shared" si="434"/>
        <v>0</v>
      </c>
      <c r="Q2794">
        <f t="shared" si="435"/>
        <v>0</v>
      </c>
      <c r="R2794">
        <f t="shared" si="436"/>
        <v>0</v>
      </c>
      <c r="S2794">
        <f t="shared" si="437"/>
        <v>0</v>
      </c>
      <c r="T2794">
        <f t="shared" si="439"/>
        <v>0</v>
      </c>
      <c r="U2794">
        <f t="shared" si="438"/>
        <v>0</v>
      </c>
    </row>
    <row r="2795" spans="1:21" x14ac:dyDescent="0.25">
      <c r="A2795" s="2">
        <v>2794</v>
      </c>
      <c r="B2795" s="2">
        <v>1004</v>
      </c>
      <c r="C2795" t="s">
        <v>170</v>
      </c>
      <c r="D2795" s="80">
        <v>0.19</v>
      </c>
      <c r="E2795" s="80">
        <v>33677.29</v>
      </c>
      <c r="F2795">
        <v>97.9</v>
      </c>
      <c r="G2795" t="s">
        <v>583</v>
      </c>
      <c r="H2795">
        <v>234</v>
      </c>
      <c r="I2795" s="80">
        <v>29565.3</v>
      </c>
      <c r="J2795" s="80">
        <v>0.27</v>
      </c>
      <c r="K2795">
        <v>148.69999999999999</v>
      </c>
      <c r="L2795">
        <f t="shared" si="430"/>
        <v>0</v>
      </c>
      <c r="M2795">
        <f t="shared" si="431"/>
        <v>0</v>
      </c>
      <c r="N2795">
        <f t="shared" si="432"/>
        <v>0</v>
      </c>
      <c r="O2795">
        <f t="shared" si="433"/>
        <v>0</v>
      </c>
      <c r="P2795">
        <f t="shared" si="434"/>
        <v>0</v>
      </c>
      <c r="Q2795">
        <f t="shared" si="435"/>
        <v>0</v>
      </c>
      <c r="R2795">
        <f t="shared" si="436"/>
        <v>0</v>
      </c>
      <c r="S2795">
        <f t="shared" si="437"/>
        <v>0</v>
      </c>
      <c r="T2795">
        <f t="shared" si="439"/>
        <v>0</v>
      </c>
      <c r="U2795">
        <f t="shared" si="438"/>
        <v>0</v>
      </c>
    </row>
    <row r="2796" spans="1:21" x14ac:dyDescent="0.25">
      <c r="A2796" s="2">
        <v>2795</v>
      </c>
      <c r="B2796" s="2">
        <v>1004</v>
      </c>
      <c r="C2796" t="s">
        <v>178</v>
      </c>
      <c r="D2796">
        <v>5.15</v>
      </c>
      <c r="E2796" s="80">
        <v>326389.77</v>
      </c>
      <c r="F2796">
        <v>1670.59</v>
      </c>
      <c r="G2796">
        <v>23.4</v>
      </c>
      <c r="H2796">
        <v>5078.05</v>
      </c>
      <c r="I2796" s="80">
        <v>93557.66</v>
      </c>
      <c r="J2796">
        <v>6.22</v>
      </c>
      <c r="K2796">
        <v>704.12</v>
      </c>
      <c r="L2796">
        <f t="shared" si="430"/>
        <v>0</v>
      </c>
      <c r="M2796">
        <f t="shared" si="431"/>
        <v>0</v>
      </c>
      <c r="N2796">
        <f t="shared" si="432"/>
        <v>0</v>
      </c>
      <c r="O2796">
        <f t="shared" si="433"/>
        <v>0</v>
      </c>
      <c r="P2796">
        <f t="shared" si="434"/>
        <v>0</v>
      </c>
      <c r="Q2796">
        <f t="shared" si="435"/>
        <v>0</v>
      </c>
      <c r="R2796">
        <f t="shared" si="436"/>
        <v>0</v>
      </c>
      <c r="S2796">
        <f t="shared" si="437"/>
        <v>0</v>
      </c>
      <c r="T2796">
        <f t="shared" si="439"/>
        <v>0</v>
      </c>
      <c r="U2796">
        <f t="shared" si="438"/>
        <v>0</v>
      </c>
    </row>
    <row r="2797" spans="1:21" x14ac:dyDescent="0.25">
      <c r="A2797" s="2">
        <v>2796</v>
      </c>
      <c r="B2797" s="2">
        <v>1004</v>
      </c>
      <c r="C2797" s="89" t="s">
        <v>163</v>
      </c>
      <c r="D2797">
        <v>32.340000000000003</v>
      </c>
      <c r="E2797" s="89" t="s">
        <v>582</v>
      </c>
      <c r="F2797">
        <v>1060.4100000000001</v>
      </c>
      <c r="G2797">
        <v>45.79</v>
      </c>
      <c r="H2797">
        <v>9813.06</v>
      </c>
      <c r="I2797" s="80">
        <v>77142.600000000006</v>
      </c>
      <c r="J2797">
        <v>35.08</v>
      </c>
      <c r="K2797" s="80">
        <v>36557.42</v>
      </c>
      <c r="L2797">
        <f t="shared" si="430"/>
        <v>0</v>
      </c>
      <c r="M2797">
        <f t="shared" si="431"/>
        <v>1</v>
      </c>
      <c r="N2797">
        <f t="shared" si="432"/>
        <v>0</v>
      </c>
      <c r="O2797">
        <f t="shared" si="433"/>
        <v>0</v>
      </c>
      <c r="P2797">
        <f t="shared" si="434"/>
        <v>0</v>
      </c>
      <c r="Q2797">
        <f t="shared" si="435"/>
        <v>0</v>
      </c>
      <c r="R2797">
        <f t="shared" si="436"/>
        <v>0</v>
      </c>
      <c r="S2797">
        <f t="shared" si="437"/>
        <v>0</v>
      </c>
      <c r="T2797">
        <f t="shared" si="439"/>
        <v>1</v>
      </c>
      <c r="U2797">
        <f t="shared" si="438"/>
        <v>1</v>
      </c>
    </row>
    <row r="2798" spans="1:21" x14ac:dyDescent="0.25">
      <c r="A2798" s="2">
        <v>2797</v>
      </c>
      <c r="B2798" s="2">
        <v>1004</v>
      </c>
      <c r="C2798" s="89" t="s">
        <v>181</v>
      </c>
      <c r="D2798" s="80">
        <v>0</v>
      </c>
      <c r="E2798" s="89" t="s">
        <v>582</v>
      </c>
      <c r="F2798">
        <v>1.31</v>
      </c>
      <c r="G2798" t="s">
        <v>583</v>
      </c>
      <c r="H2798">
        <v>605.33000000000004</v>
      </c>
      <c r="I2798">
        <v>1756.87</v>
      </c>
      <c r="J2798" t="s">
        <v>583</v>
      </c>
      <c r="K2798">
        <v>76.930000000000007</v>
      </c>
      <c r="L2798">
        <f t="shared" si="430"/>
        <v>0</v>
      </c>
      <c r="M2798">
        <f t="shared" si="431"/>
        <v>1</v>
      </c>
      <c r="N2798">
        <f t="shared" si="432"/>
        <v>0</v>
      </c>
      <c r="O2798">
        <f t="shared" si="433"/>
        <v>0</v>
      </c>
      <c r="P2798">
        <f t="shared" si="434"/>
        <v>0</v>
      </c>
      <c r="Q2798">
        <f t="shared" si="435"/>
        <v>0</v>
      </c>
      <c r="R2798">
        <f t="shared" si="436"/>
        <v>0</v>
      </c>
      <c r="S2798">
        <f t="shared" si="437"/>
        <v>0</v>
      </c>
      <c r="T2798">
        <f t="shared" si="439"/>
        <v>1</v>
      </c>
      <c r="U2798">
        <f t="shared" si="438"/>
        <v>1</v>
      </c>
    </row>
    <row r="2799" spans="1:21" x14ac:dyDescent="0.25">
      <c r="A2799" s="2">
        <v>2798</v>
      </c>
      <c r="B2799" s="2">
        <v>1004</v>
      </c>
      <c r="C2799" t="s">
        <v>183</v>
      </c>
      <c r="D2799">
        <v>5.15</v>
      </c>
      <c r="E2799" s="80">
        <v>347830.39</v>
      </c>
      <c r="F2799">
        <v>1192.18</v>
      </c>
      <c r="G2799">
        <v>16.940000000000001</v>
      </c>
      <c r="H2799">
        <v>9728.06</v>
      </c>
      <c r="I2799" s="80">
        <v>107762.94</v>
      </c>
      <c r="J2799">
        <v>16.190000000000001</v>
      </c>
      <c r="K2799">
        <v>7491.98</v>
      </c>
      <c r="L2799">
        <f t="shared" si="430"/>
        <v>0</v>
      </c>
      <c r="M2799">
        <f t="shared" si="431"/>
        <v>0</v>
      </c>
      <c r="N2799">
        <f t="shared" si="432"/>
        <v>0</v>
      </c>
      <c r="O2799">
        <f t="shared" si="433"/>
        <v>0</v>
      </c>
      <c r="P2799">
        <f t="shared" si="434"/>
        <v>0</v>
      </c>
      <c r="Q2799">
        <f t="shared" si="435"/>
        <v>0</v>
      </c>
      <c r="R2799">
        <f t="shared" si="436"/>
        <v>0</v>
      </c>
      <c r="S2799">
        <f t="shared" si="437"/>
        <v>0</v>
      </c>
      <c r="T2799">
        <f t="shared" si="439"/>
        <v>0</v>
      </c>
      <c r="U2799">
        <f t="shared" si="438"/>
        <v>0</v>
      </c>
    </row>
    <row r="2800" spans="1:21" x14ac:dyDescent="0.25">
      <c r="A2800" s="2">
        <v>2799</v>
      </c>
      <c r="B2800" s="2">
        <v>1004</v>
      </c>
      <c r="C2800" t="s">
        <v>186</v>
      </c>
      <c r="D2800">
        <v>8.81</v>
      </c>
      <c r="E2800" s="80">
        <v>65908.210000000006</v>
      </c>
      <c r="F2800">
        <v>3092.73</v>
      </c>
      <c r="G2800">
        <v>30.4</v>
      </c>
      <c r="H2800" s="80">
        <v>64095.81</v>
      </c>
      <c r="I2800" s="80">
        <v>121379.08</v>
      </c>
      <c r="J2800">
        <v>28.88</v>
      </c>
      <c r="K2800" s="80">
        <v>15706.06</v>
      </c>
      <c r="L2800">
        <f t="shared" si="430"/>
        <v>0</v>
      </c>
      <c r="M2800">
        <f t="shared" si="431"/>
        <v>0</v>
      </c>
      <c r="N2800">
        <f t="shared" si="432"/>
        <v>0</v>
      </c>
      <c r="O2800">
        <f t="shared" si="433"/>
        <v>0</v>
      </c>
      <c r="P2800">
        <f t="shared" si="434"/>
        <v>0</v>
      </c>
      <c r="Q2800">
        <f t="shared" si="435"/>
        <v>0</v>
      </c>
      <c r="R2800">
        <f t="shared" si="436"/>
        <v>0</v>
      </c>
      <c r="S2800">
        <f t="shared" si="437"/>
        <v>0</v>
      </c>
      <c r="T2800">
        <f t="shared" si="439"/>
        <v>0</v>
      </c>
      <c r="U2800">
        <f t="shared" si="438"/>
        <v>0</v>
      </c>
    </row>
    <row r="2801" spans="1:21" x14ac:dyDescent="0.25">
      <c r="A2801" s="2">
        <v>2800</v>
      </c>
      <c r="B2801" s="2">
        <v>1004</v>
      </c>
      <c r="C2801" s="105" t="s">
        <v>188</v>
      </c>
      <c r="D2801">
        <v>12.19</v>
      </c>
      <c r="E2801" s="89" t="s">
        <v>582</v>
      </c>
      <c r="F2801">
        <v>1481.03</v>
      </c>
      <c r="G2801">
        <v>49.9</v>
      </c>
      <c r="H2801" s="80">
        <v>25329.52</v>
      </c>
      <c r="I2801" s="80">
        <v>115173.05</v>
      </c>
      <c r="J2801">
        <v>40.21</v>
      </c>
      <c r="K2801" s="89" t="s">
        <v>582</v>
      </c>
      <c r="L2801">
        <f t="shared" si="430"/>
        <v>0</v>
      </c>
      <c r="M2801">
        <f t="shared" si="431"/>
        <v>1</v>
      </c>
      <c r="N2801">
        <f t="shared" si="432"/>
        <v>0</v>
      </c>
      <c r="O2801">
        <f t="shared" si="433"/>
        <v>0</v>
      </c>
      <c r="P2801">
        <f t="shared" si="434"/>
        <v>0</v>
      </c>
      <c r="Q2801">
        <f t="shared" si="435"/>
        <v>0</v>
      </c>
      <c r="R2801">
        <f t="shared" si="436"/>
        <v>0</v>
      </c>
      <c r="S2801">
        <f t="shared" si="437"/>
        <v>1</v>
      </c>
      <c r="T2801">
        <f t="shared" si="439"/>
        <v>2</v>
      </c>
      <c r="U2801">
        <f t="shared" si="438"/>
        <v>1</v>
      </c>
    </row>
    <row r="2802" spans="1:21" x14ac:dyDescent="0.25">
      <c r="A2802" s="2">
        <v>2801</v>
      </c>
      <c r="B2802" s="2">
        <v>1004</v>
      </c>
      <c r="C2802" s="43" t="s">
        <v>182</v>
      </c>
      <c r="D2802">
        <v>3.01</v>
      </c>
      <c r="E2802">
        <v>18967.46</v>
      </c>
      <c r="F2802">
        <v>117.26</v>
      </c>
      <c r="G2802" s="80">
        <v>1.96</v>
      </c>
      <c r="H2802">
        <v>561.44000000000005</v>
      </c>
      <c r="I2802" s="80">
        <v>57736.03</v>
      </c>
      <c r="J2802">
        <v>9.98</v>
      </c>
      <c r="K2802">
        <v>5351.08</v>
      </c>
      <c r="L2802">
        <f t="shared" si="430"/>
        <v>0</v>
      </c>
      <c r="M2802">
        <f t="shared" si="431"/>
        <v>0</v>
      </c>
      <c r="N2802">
        <f t="shared" si="432"/>
        <v>0</v>
      </c>
      <c r="O2802">
        <f t="shared" si="433"/>
        <v>0</v>
      </c>
      <c r="P2802">
        <f t="shared" si="434"/>
        <v>0</v>
      </c>
      <c r="Q2802">
        <f t="shared" si="435"/>
        <v>0</v>
      </c>
      <c r="R2802">
        <f t="shared" si="436"/>
        <v>0</v>
      </c>
      <c r="S2802">
        <f t="shared" si="437"/>
        <v>0</v>
      </c>
      <c r="T2802">
        <f t="shared" si="439"/>
        <v>0</v>
      </c>
      <c r="U2802">
        <f t="shared" si="438"/>
        <v>0</v>
      </c>
    </row>
    <row r="2803" spans="1:21" x14ac:dyDescent="0.25">
      <c r="A2803" s="2">
        <v>2802</v>
      </c>
      <c r="B2803" s="2">
        <v>1004</v>
      </c>
      <c r="C2803" s="43" t="s">
        <v>184</v>
      </c>
      <c r="D2803">
        <v>6.31</v>
      </c>
      <c r="E2803" s="80">
        <v>35566.67</v>
      </c>
      <c r="F2803">
        <v>453.98</v>
      </c>
      <c r="G2803">
        <v>23.4</v>
      </c>
      <c r="H2803" s="80">
        <v>33683.74</v>
      </c>
      <c r="I2803" s="80">
        <v>93526.63</v>
      </c>
      <c r="J2803">
        <v>14.05</v>
      </c>
      <c r="K2803">
        <v>3987.73</v>
      </c>
      <c r="L2803">
        <f t="shared" si="430"/>
        <v>0</v>
      </c>
      <c r="M2803">
        <f t="shared" si="431"/>
        <v>0</v>
      </c>
      <c r="N2803">
        <f t="shared" si="432"/>
        <v>0</v>
      </c>
      <c r="O2803">
        <f t="shared" si="433"/>
        <v>0</v>
      </c>
      <c r="P2803">
        <f t="shared" si="434"/>
        <v>0</v>
      </c>
      <c r="Q2803">
        <f t="shared" si="435"/>
        <v>0</v>
      </c>
      <c r="R2803">
        <f t="shared" si="436"/>
        <v>0</v>
      </c>
      <c r="S2803">
        <f t="shared" si="437"/>
        <v>0</v>
      </c>
      <c r="T2803">
        <f t="shared" si="439"/>
        <v>0</v>
      </c>
      <c r="U2803">
        <f t="shared" si="438"/>
        <v>0</v>
      </c>
    </row>
    <row r="2804" spans="1:21" x14ac:dyDescent="0.25">
      <c r="A2804" s="2">
        <v>2803</v>
      </c>
      <c r="B2804" s="2">
        <v>1004</v>
      </c>
      <c r="C2804" s="43" t="s">
        <v>187</v>
      </c>
      <c r="D2804">
        <v>12.9</v>
      </c>
      <c r="E2804" s="80">
        <v>36333.379999999997</v>
      </c>
      <c r="F2804">
        <v>762.7</v>
      </c>
      <c r="G2804">
        <v>45.79</v>
      </c>
      <c r="H2804" s="80">
        <v>207678.02</v>
      </c>
      <c r="I2804" s="80">
        <v>90718.73</v>
      </c>
      <c r="J2804">
        <v>16.190000000000001</v>
      </c>
      <c r="K2804" s="80">
        <v>8245.9500000000007</v>
      </c>
      <c r="L2804">
        <f t="shared" si="430"/>
        <v>0</v>
      </c>
      <c r="M2804">
        <f t="shared" si="431"/>
        <v>0</v>
      </c>
      <c r="N2804">
        <f t="shared" si="432"/>
        <v>0</v>
      </c>
      <c r="O2804">
        <f t="shared" si="433"/>
        <v>0</v>
      </c>
      <c r="P2804">
        <f t="shared" si="434"/>
        <v>0</v>
      </c>
      <c r="Q2804">
        <f t="shared" si="435"/>
        <v>0</v>
      </c>
      <c r="R2804">
        <f t="shared" si="436"/>
        <v>0</v>
      </c>
      <c r="S2804">
        <f t="shared" si="437"/>
        <v>0</v>
      </c>
      <c r="T2804">
        <f t="shared" si="439"/>
        <v>0</v>
      </c>
      <c r="U2804">
        <f t="shared" si="438"/>
        <v>0</v>
      </c>
    </row>
    <row r="2805" spans="1:21" x14ac:dyDescent="0.25">
      <c r="A2805" s="2">
        <v>2804</v>
      </c>
      <c r="B2805" s="2">
        <v>1004</v>
      </c>
      <c r="C2805" s="43" t="s">
        <v>189</v>
      </c>
      <c r="D2805">
        <v>116.55</v>
      </c>
      <c r="E2805">
        <v>23543.53</v>
      </c>
      <c r="F2805">
        <v>265.11</v>
      </c>
      <c r="G2805">
        <v>45.79</v>
      </c>
      <c r="H2805" s="80">
        <v>276067.28999999998</v>
      </c>
      <c r="I2805" s="80">
        <v>67525.5</v>
      </c>
      <c r="J2805">
        <v>37.630000000000003</v>
      </c>
      <c r="K2805" t="s">
        <v>582</v>
      </c>
      <c r="L2805">
        <f t="shared" si="430"/>
        <v>0</v>
      </c>
      <c r="M2805">
        <f t="shared" si="431"/>
        <v>0</v>
      </c>
      <c r="N2805">
        <f t="shared" si="432"/>
        <v>0</v>
      </c>
      <c r="O2805">
        <f t="shared" si="433"/>
        <v>0</v>
      </c>
      <c r="P2805">
        <f t="shared" si="434"/>
        <v>0</v>
      </c>
      <c r="Q2805">
        <f t="shared" si="435"/>
        <v>0</v>
      </c>
      <c r="R2805">
        <f t="shared" si="436"/>
        <v>0</v>
      </c>
      <c r="S2805">
        <f t="shared" si="437"/>
        <v>1</v>
      </c>
      <c r="T2805">
        <f t="shared" si="439"/>
        <v>1</v>
      </c>
      <c r="U2805">
        <f t="shared" si="438"/>
        <v>1</v>
      </c>
    </row>
    <row r="2806" spans="1:21" x14ac:dyDescent="0.25">
      <c r="A2806" s="2">
        <v>2805</v>
      </c>
      <c r="B2806" s="2">
        <v>1005</v>
      </c>
      <c r="C2806" t="s">
        <v>162</v>
      </c>
      <c r="D2806">
        <v>0.48</v>
      </c>
      <c r="E2806" s="80">
        <v>107966.99</v>
      </c>
      <c r="F2806">
        <v>207.64</v>
      </c>
      <c r="G2806">
        <v>11.11</v>
      </c>
      <c r="H2806">
        <v>1056.21</v>
      </c>
      <c r="I2806" s="80">
        <v>31650.74</v>
      </c>
      <c r="J2806">
        <v>8.0500000000000007</v>
      </c>
      <c r="K2806">
        <v>4612.96</v>
      </c>
      <c r="L2806">
        <f t="shared" si="430"/>
        <v>0</v>
      </c>
      <c r="M2806">
        <f t="shared" si="431"/>
        <v>0</v>
      </c>
      <c r="N2806">
        <f t="shared" si="432"/>
        <v>0</v>
      </c>
      <c r="O2806">
        <f t="shared" si="433"/>
        <v>0</v>
      </c>
      <c r="P2806">
        <f t="shared" si="434"/>
        <v>0</v>
      </c>
      <c r="Q2806">
        <f t="shared" si="435"/>
        <v>0</v>
      </c>
      <c r="R2806">
        <f t="shared" si="436"/>
        <v>0</v>
      </c>
      <c r="S2806">
        <f t="shared" si="437"/>
        <v>0</v>
      </c>
      <c r="T2806">
        <f t="shared" si="439"/>
        <v>0</v>
      </c>
      <c r="U2806">
        <f t="shared" si="438"/>
        <v>0</v>
      </c>
    </row>
    <row r="2807" spans="1:21" x14ac:dyDescent="0.25">
      <c r="A2807" s="2">
        <v>2806</v>
      </c>
      <c r="B2807" s="2">
        <v>1005</v>
      </c>
      <c r="C2807" t="s">
        <v>170</v>
      </c>
      <c r="D2807">
        <v>0.48</v>
      </c>
      <c r="E2807" s="80">
        <v>69220.45</v>
      </c>
      <c r="F2807">
        <v>166.31</v>
      </c>
      <c r="G2807" s="80">
        <v>1.96</v>
      </c>
      <c r="H2807">
        <v>2088.5</v>
      </c>
      <c r="I2807" s="80">
        <v>31471.3</v>
      </c>
      <c r="J2807">
        <v>2.14</v>
      </c>
      <c r="K2807">
        <v>995.97</v>
      </c>
      <c r="L2807">
        <f t="shared" si="430"/>
        <v>0</v>
      </c>
      <c r="M2807">
        <f t="shared" si="431"/>
        <v>0</v>
      </c>
      <c r="N2807">
        <f t="shared" si="432"/>
        <v>0</v>
      </c>
      <c r="O2807">
        <f t="shared" si="433"/>
        <v>0</v>
      </c>
      <c r="P2807">
        <f t="shared" si="434"/>
        <v>0</v>
      </c>
      <c r="Q2807">
        <f t="shared" si="435"/>
        <v>0</v>
      </c>
      <c r="R2807">
        <f t="shared" si="436"/>
        <v>0</v>
      </c>
      <c r="S2807">
        <f t="shared" si="437"/>
        <v>0</v>
      </c>
      <c r="T2807">
        <f t="shared" si="439"/>
        <v>0</v>
      </c>
      <c r="U2807">
        <f t="shared" si="438"/>
        <v>0</v>
      </c>
    </row>
    <row r="2808" spans="1:21" x14ac:dyDescent="0.25">
      <c r="A2808" s="2">
        <v>2807</v>
      </c>
      <c r="B2808" s="2">
        <v>1005</v>
      </c>
      <c r="C2808" t="s">
        <v>178</v>
      </c>
      <c r="D2808">
        <v>6.92</v>
      </c>
      <c r="E2808" s="80">
        <v>170139.64</v>
      </c>
      <c r="F2808">
        <v>3102.97</v>
      </c>
      <c r="G2808">
        <v>37.880000000000003</v>
      </c>
      <c r="H2808" s="80">
        <v>32404.3</v>
      </c>
      <c r="I2808" s="80">
        <v>88546.64</v>
      </c>
      <c r="J2808">
        <v>11.98</v>
      </c>
      <c r="K2808">
        <v>4810.2299999999996</v>
      </c>
      <c r="L2808">
        <f t="shared" si="430"/>
        <v>0</v>
      </c>
      <c r="M2808">
        <f t="shared" si="431"/>
        <v>0</v>
      </c>
      <c r="N2808">
        <f t="shared" si="432"/>
        <v>0</v>
      </c>
      <c r="O2808">
        <f t="shared" si="433"/>
        <v>0</v>
      </c>
      <c r="P2808">
        <f t="shared" si="434"/>
        <v>0</v>
      </c>
      <c r="Q2808">
        <f t="shared" si="435"/>
        <v>0</v>
      </c>
      <c r="R2808">
        <f t="shared" si="436"/>
        <v>0</v>
      </c>
      <c r="S2808">
        <f t="shared" si="437"/>
        <v>0</v>
      </c>
      <c r="T2808">
        <f t="shared" si="439"/>
        <v>0</v>
      </c>
      <c r="U2808">
        <f t="shared" si="438"/>
        <v>0</v>
      </c>
    </row>
    <row r="2809" spans="1:21" x14ac:dyDescent="0.25">
      <c r="A2809" s="2">
        <v>2808</v>
      </c>
      <c r="B2809" s="2">
        <v>1005</v>
      </c>
      <c r="C2809" s="89" t="s">
        <v>163</v>
      </c>
      <c r="D2809">
        <v>7.53</v>
      </c>
      <c r="E2809" s="89" t="s">
        <v>582</v>
      </c>
      <c r="F2809">
        <v>1682.38</v>
      </c>
      <c r="G2809">
        <v>37.880000000000003</v>
      </c>
      <c r="H2809">
        <v>14848.34</v>
      </c>
      <c r="I2809" s="80">
        <v>53881.84</v>
      </c>
      <c r="J2809">
        <v>30.1</v>
      </c>
      <c r="K2809" s="89" t="s">
        <v>582</v>
      </c>
      <c r="L2809">
        <f t="shared" si="430"/>
        <v>0</v>
      </c>
      <c r="M2809">
        <f t="shared" si="431"/>
        <v>1</v>
      </c>
      <c r="N2809">
        <f t="shared" si="432"/>
        <v>0</v>
      </c>
      <c r="O2809">
        <f t="shared" si="433"/>
        <v>0</v>
      </c>
      <c r="P2809">
        <f t="shared" si="434"/>
        <v>0</v>
      </c>
      <c r="Q2809">
        <f t="shared" si="435"/>
        <v>0</v>
      </c>
      <c r="R2809">
        <f t="shared" si="436"/>
        <v>0</v>
      </c>
      <c r="S2809">
        <f t="shared" si="437"/>
        <v>1</v>
      </c>
      <c r="T2809">
        <f t="shared" si="439"/>
        <v>2</v>
      </c>
      <c r="U2809">
        <f t="shared" si="438"/>
        <v>1</v>
      </c>
    </row>
    <row r="2810" spans="1:21" x14ac:dyDescent="0.25">
      <c r="A2810" s="2">
        <v>2809</v>
      </c>
      <c r="B2810" s="2">
        <v>1005</v>
      </c>
      <c r="C2810" s="89" t="s">
        <v>181</v>
      </c>
      <c r="D2810" s="80">
        <v>0</v>
      </c>
      <c r="E2810" s="89" t="s">
        <v>582</v>
      </c>
      <c r="F2810">
        <v>0.55000000000000004</v>
      </c>
      <c r="G2810" t="s">
        <v>583</v>
      </c>
      <c r="H2810">
        <v>127.99</v>
      </c>
      <c r="I2810">
        <v>220.62</v>
      </c>
      <c r="J2810">
        <v>0.27</v>
      </c>
      <c r="K2810">
        <v>77.569999999999993</v>
      </c>
      <c r="L2810">
        <f t="shared" si="430"/>
        <v>0</v>
      </c>
      <c r="M2810">
        <f t="shared" si="431"/>
        <v>1</v>
      </c>
      <c r="N2810">
        <f t="shared" si="432"/>
        <v>0</v>
      </c>
      <c r="O2810">
        <f t="shared" si="433"/>
        <v>0</v>
      </c>
      <c r="P2810">
        <f t="shared" si="434"/>
        <v>0</v>
      </c>
      <c r="Q2810">
        <f t="shared" si="435"/>
        <v>0</v>
      </c>
      <c r="R2810">
        <f t="shared" si="436"/>
        <v>0</v>
      </c>
      <c r="S2810">
        <f t="shared" si="437"/>
        <v>0</v>
      </c>
      <c r="T2810">
        <f t="shared" si="439"/>
        <v>1</v>
      </c>
      <c r="U2810">
        <f t="shared" si="438"/>
        <v>1</v>
      </c>
    </row>
    <row r="2811" spans="1:21" x14ac:dyDescent="0.25">
      <c r="A2811" s="2">
        <v>2810</v>
      </c>
      <c r="B2811" s="2">
        <v>1005</v>
      </c>
      <c r="C2811" t="s">
        <v>183</v>
      </c>
      <c r="D2811">
        <v>4.59</v>
      </c>
      <c r="E2811" s="80">
        <v>328069.75</v>
      </c>
      <c r="F2811">
        <v>932.56</v>
      </c>
      <c r="G2811">
        <v>13.94</v>
      </c>
      <c r="H2811">
        <v>5069.32</v>
      </c>
      <c r="I2811" s="80">
        <v>99255.85</v>
      </c>
      <c r="J2811">
        <v>11.98</v>
      </c>
      <c r="K2811">
        <v>4610.18</v>
      </c>
      <c r="L2811">
        <f t="shared" si="430"/>
        <v>0</v>
      </c>
      <c r="M2811">
        <f t="shared" si="431"/>
        <v>0</v>
      </c>
      <c r="N2811">
        <f t="shared" si="432"/>
        <v>0</v>
      </c>
      <c r="O2811">
        <f t="shared" si="433"/>
        <v>0</v>
      </c>
      <c r="P2811">
        <f t="shared" si="434"/>
        <v>0</v>
      </c>
      <c r="Q2811">
        <f t="shared" si="435"/>
        <v>0</v>
      </c>
      <c r="R2811">
        <f t="shared" si="436"/>
        <v>0</v>
      </c>
      <c r="S2811">
        <f t="shared" si="437"/>
        <v>0</v>
      </c>
      <c r="T2811">
        <f t="shared" si="439"/>
        <v>0</v>
      </c>
      <c r="U2811">
        <f t="shared" si="438"/>
        <v>0</v>
      </c>
    </row>
    <row r="2812" spans="1:21" x14ac:dyDescent="0.25">
      <c r="A2812" s="2">
        <v>2811</v>
      </c>
      <c r="B2812" s="2">
        <v>1005</v>
      </c>
      <c r="C2812" t="s">
        <v>186</v>
      </c>
      <c r="D2812">
        <v>12.9</v>
      </c>
      <c r="E2812" s="80">
        <v>351696.78</v>
      </c>
      <c r="F2812">
        <v>3230.21</v>
      </c>
      <c r="G2812">
        <v>37.880000000000003</v>
      </c>
      <c r="H2812" s="80">
        <v>29363.79</v>
      </c>
      <c r="I2812" s="80">
        <v>119699.99</v>
      </c>
      <c r="J2812">
        <v>22.93</v>
      </c>
      <c r="K2812" s="80">
        <v>13937.15</v>
      </c>
      <c r="L2812">
        <f t="shared" si="430"/>
        <v>0</v>
      </c>
      <c r="M2812">
        <f t="shared" si="431"/>
        <v>0</v>
      </c>
      <c r="N2812">
        <f t="shared" si="432"/>
        <v>0</v>
      </c>
      <c r="O2812">
        <f t="shared" si="433"/>
        <v>0</v>
      </c>
      <c r="P2812">
        <f t="shared" si="434"/>
        <v>0</v>
      </c>
      <c r="Q2812">
        <f t="shared" si="435"/>
        <v>0</v>
      </c>
      <c r="R2812">
        <f t="shared" si="436"/>
        <v>0</v>
      </c>
      <c r="S2812">
        <f t="shared" si="437"/>
        <v>0</v>
      </c>
      <c r="T2812">
        <f t="shared" si="439"/>
        <v>0</v>
      </c>
      <c r="U2812">
        <f t="shared" si="438"/>
        <v>0</v>
      </c>
    </row>
    <row r="2813" spans="1:21" x14ac:dyDescent="0.25">
      <c r="A2813" s="2">
        <v>2812</v>
      </c>
      <c r="B2813" s="2">
        <v>1005</v>
      </c>
      <c r="C2813" s="105" t="s">
        <v>188</v>
      </c>
      <c r="D2813">
        <v>8.81</v>
      </c>
      <c r="E2813" s="89" t="s">
        <v>582</v>
      </c>
      <c r="F2813">
        <v>697.02</v>
      </c>
      <c r="G2813">
        <v>37.880000000000003</v>
      </c>
      <c r="H2813">
        <v>13558.64</v>
      </c>
      <c r="I2813" s="80">
        <v>76868.41</v>
      </c>
      <c r="J2813">
        <v>35.08</v>
      </c>
      <c r="K2813" t="s">
        <v>582</v>
      </c>
      <c r="L2813">
        <f t="shared" si="430"/>
        <v>0</v>
      </c>
      <c r="M2813">
        <f t="shared" si="431"/>
        <v>1</v>
      </c>
      <c r="N2813">
        <f t="shared" si="432"/>
        <v>0</v>
      </c>
      <c r="O2813">
        <f t="shared" si="433"/>
        <v>0</v>
      </c>
      <c r="P2813">
        <f t="shared" si="434"/>
        <v>0</v>
      </c>
      <c r="Q2813">
        <f t="shared" si="435"/>
        <v>0</v>
      </c>
      <c r="R2813">
        <f t="shared" si="436"/>
        <v>0</v>
      </c>
      <c r="S2813">
        <f t="shared" si="437"/>
        <v>1</v>
      </c>
      <c r="T2813">
        <f t="shared" si="439"/>
        <v>2</v>
      </c>
      <c r="U2813">
        <f t="shared" si="438"/>
        <v>1</v>
      </c>
    </row>
    <row r="2814" spans="1:21" x14ac:dyDescent="0.25">
      <c r="A2814" s="2">
        <v>2813</v>
      </c>
      <c r="B2814" s="2">
        <v>1005</v>
      </c>
      <c r="C2814" s="43" t="s">
        <v>182</v>
      </c>
      <c r="D2814" t="s">
        <v>583</v>
      </c>
      <c r="E2814">
        <v>2218.8200000000002</v>
      </c>
      <c r="F2814" t="s">
        <v>583</v>
      </c>
      <c r="G2814" t="s">
        <v>583</v>
      </c>
      <c r="H2814" t="s">
        <v>583</v>
      </c>
      <c r="I2814">
        <v>0.09</v>
      </c>
      <c r="J2814" t="s">
        <v>583</v>
      </c>
      <c r="K2814" s="80">
        <v>0.01</v>
      </c>
      <c r="L2814">
        <f t="shared" si="430"/>
        <v>0</v>
      </c>
      <c r="M2814">
        <f t="shared" si="431"/>
        <v>0</v>
      </c>
      <c r="N2814">
        <f t="shared" si="432"/>
        <v>0</v>
      </c>
      <c r="O2814">
        <f t="shared" si="433"/>
        <v>0</v>
      </c>
      <c r="P2814">
        <f t="shared" si="434"/>
        <v>0</v>
      </c>
      <c r="Q2814">
        <f t="shared" si="435"/>
        <v>0</v>
      </c>
      <c r="R2814">
        <f t="shared" si="436"/>
        <v>0</v>
      </c>
      <c r="S2814">
        <f t="shared" si="437"/>
        <v>0</v>
      </c>
      <c r="T2814">
        <f t="shared" si="439"/>
        <v>0</v>
      </c>
      <c r="U2814">
        <f t="shared" si="438"/>
        <v>0</v>
      </c>
    </row>
    <row r="2815" spans="1:21" x14ac:dyDescent="0.25">
      <c r="A2815" s="2">
        <v>2814</v>
      </c>
      <c r="B2815" s="2">
        <v>1005</v>
      </c>
      <c r="C2815" s="43" t="s">
        <v>184</v>
      </c>
      <c r="D2815">
        <v>0.48</v>
      </c>
      <c r="E2815" s="80">
        <v>44428.86</v>
      </c>
      <c r="F2815">
        <v>85.18</v>
      </c>
      <c r="G2815">
        <v>6.03</v>
      </c>
      <c r="H2815">
        <v>1981.17</v>
      </c>
      <c r="I2815" s="80">
        <v>15530.95</v>
      </c>
      <c r="J2815">
        <v>1.44</v>
      </c>
      <c r="K2815">
        <v>204.51</v>
      </c>
      <c r="L2815">
        <f t="shared" si="430"/>
        <v>0</v>
      </c>
      <c r="M2815">
        <f t="shared" si="431"/>
        <v>0</v>
      </c>
      <c r="N2815">
        <f t="shared" si="432"/>
        <v>0</v>
      </c>
      <c r="O2815">
        <f t="shared" si="433"/>
        <v>0</v>
      </c>
      <c r="P2815">
        <f t="shared" si="434"/>
        <v>0</v>
      </c>
      <c r="Q2815">
        <f t="shared" si="435"/>
        <v>0</v>
      </c>
      <c r="R2815">
        <f t="shared" si="436"/>
        <v>0</v>
      </c>
      <c r="S2815">
        <f t="shared" si="437"/>
        <v>0</v>
      </c>
      <c r="T2815">
        <f t="shared" si="439"/>
        <v>0</v>
      </c>
      <c r="U2815">
        <f t="shared" si="438"/>
        <v>0</v>
      </c>
    </row>
    <row r="2816" spans="1:21" x14ac:dyDescent="0.25">
      <c r="A2816" s="2">
        <v>2815</v>
      </c>
      <c r="B2816" s="2">
        <v>1005</v>
      </c>
      <c r="C2816" s="43" t="s">
        <v>187</v>
      </c>
      <c r="D2816">
        <v>5.15</v>
      </c>
      <c r="E2816" s="80">
        <v>77212.42</v>
      </c>
      <c r="F2816">
        <v>309.98</v>
      </c>
      <c r="G2816">
        <v>16.940000000000001</v>
      </c>
      <c r="H2816">
        <v>15429.04</v>
      </c>
      <c r="I2816" s="80">
        <v>32121.67</v>
      </c>
      <c r="J2816">
        <v>11.98</v>
      </c>
      <c r="K2816">
        <v>4312.03</v>
      </c>
      <c r="L2816">
        <f t="shared" si="430"/>
        <v>0</v>
      </c>
      <c r="M2816">
        <f t="shared" si="431"/>
        <v>0</v>
      </c>
      <c r="N2816">
        <f t="shared" si="432"/>
        <v>0</v>
      </c>
      <c r="O2816">
        <f t="shared" si="433"/>
        <v>0</v>
      </c>
      <c r="P2816">
        <f t="shared" si="434"/>
        <v>0</v>
      </c>
      <c r="Q2816">
        <f t="shared" si="435"/>
        <v>0</v>
      </c>
      <c r="R2816">
        <f t="shared" si="436"/>
        <v>0</v>
      </c>
      <c r="S2816">
        <f t="shared" si="437"/>
        <v>0</v>
      </c>
      <c r="T2816">
        <f t="shared" si="439"/>
        <v>0</v>
      </c>
      <c r="U2816">
        <f t="shared" si="438"/>
        <v>0</v>
      </c>
    </row>
    <row r="2817" spans="1:21" x14ac:dyDescent="0.25">
      <c r="A2817" s="2">
        <v>2816</v>
      </c>
      <c r="B2817" s="2">
        <v>1005</v>
      </c>
      <c r="C2817" s="43" t="s">
        <v>189</v>
      </c>
      <c r="D2817">
        <v>6.31</v>
      </c>
      <c r="E2817" s="80">
        <v>48706.6</v>
      </c>
      <c r="F2817">
        <v>158.57</v>
      </c>
      <c r="G2817">
        <v>16.940000000000001</v>
      </c>
      <c r="H2817" s="80">
        <v>18016.46</v>
      </c>
      <c r="I2817" s="80">
        <v>9913.4699999999993</v>
      </c>
      <c r="J2817">
        <v>14.05</v>
      </c>
      <c r="K2817" s="80">
        <v>10456.89</v>
      </c>
      <c r="L2817">
        <f t="shared" si="430"/>
        <v>0</v>
      </c>
      <c r="M2817">
        <f t="shared" si="431"/>
        <v>0</v>
      </c>
      <c r="N2817">
        <f t="shared" si="432"/>
        <v>0</v>
      </c>
      <c r="O2817">
        <f t="shared" si="433"/>
        <v>0</v>
      </c>
      <c r="P2817">
        <f t="shared" si="434"/>
        <v>0</v>
      </c>
      <c r="Q2817">
        <f t="shared" si="435"/>
        <v>0</v>
      </c>
      <c r="R2817">
        <f t="shared" si="436"/>
        <v>0</v>
      </c>
      <c r="S2817">
        <f t="shared" si="437"/>
        <v>0</v>
      </c>
      <c r="T2817">
        <f t="shared" si="439"/>
        <v>0</v>
      </c>
      <c r="U2817">
        <f t="shared" si="438"/>
        <v>0</v>
      </c>
    </row>
    <row r="2818" spans="1:21" x14ac:dyDescent="0.25">
      <c r="A2818" s="2">
        <v>2817</v>
      </c>
      <c r="B2818" s="2">
        <v>1006</v>
      </c>
      <c r="C2818" s="89" t="s">
        <v>181</v>
      </c>
      <c r="D2818" t="s">
        <v>583</v>
      </c>
      <c r="E2818" s="89" t="s">
        <v>582</v>
      </c>
      <c r="F2818">
        <v>1.36</v>
      </c>
      <c r="G2818" t="s">
        <v>583</v>
      </c>
      <c r="H2818">
        <v>113.16</v>
      </c>
      <c r="I2818">
        <v>861.59</v>
      </c>
      <c r="J2818">
        <v>0.27</v>
      </c>
      <c r="K2818">
        <v>68.260000000000005</v>
      </c>
      <c r="L2818">
        <f t="shared" ref="L2818:L2881" si="440">IF(D2818 = "OOR &gt;", 1,0)</f>
        <v>0</v>
      </c>
      <c r="M2818">
        <f t="shared" ref="M2818:M2881" si="441">IF(E2818 = "OOR &gt;", 1,0)</f>
        <v>1</v>
      </c>
      <c r="N2818">
        <f t="shared" ref="N2818:N2881" si="442">IF(F2818 = "OOR &gt;", 1,0)</f>
        <v>0</v>
      </c>
      <c r="O2818">
        <f t="shared" ref="O2818:O2881" si="443">IF(G2818 = "OOR &gt;", 1,0)</f>
        <v>0</v>
      </c>
      <c r="P2818">
        <f t="shared" ref="P2818:P2881" si="444">IF(H2818 = "OOR &gt;", 1,0)</f>
        <v>0</v>
      </c>
      <c r="Q2818">
        <f t="shared" ref="Q2818:Q2881" si="445">IF(I2818 = "OOR &gt;", 1,0)</f>
        <v>0</v>
      </c>
      <c r="R2818">
        <f t="shared" ref="R2818:R2881" si="446">IF(J2818 = "OOR &gt;", 1,0)</f>
        <v>0</v>
      </c>
      <c r="S2818">
        <f t="shared" ref="S2818:S2881" si="447">IF(K2818 = "OOR &gt;", 1,0)</f>
        <v>0</v>
      </c>
      <c r="T2818">
        <f t="shared" si="439"/>
        <v>1</v>
      </c>
      <c r="U2818">
        <f t="shared" ref="U2818:U2881" si="448">IF(T2818 &gt; 0,1,0)</f>
        <v>1</v>
      </c>
    </row>
    <row r="2819" spans="1:21" x14ac:dyDescent="0.25">
      <c r="A2819" s="2">
        <v>2818</v>
      </c>
      <c r="B2819" s="2">
        <v>1006</v>
      </c>
      <c r="C2819" s="89" t="s">
        <v>183</v>
      </c>
      <c r="D2819">
        <v>8.16</v>
      </c>
      <c r="E2819" s="89" t="s">
        <v>582</v>
      </c>
      <c r="F2819">
        <v>2247.71</v>
      </c>
      <c r="G2819">
        <v>54.1</v>
      </c>
      <c r="H2819" s="80">
        <v>33378.04</v>
      </c>
      <c r="I2819" s="80">
        <v>112902.85</v>
      </c>
      <c r="J2819">
        <v>27.66</v>
      </c>
      <c r="K2819" s="89" t="s">
        <v>582</v>
      </c>
      <c r="L2819">
        <f t="shared" si="440"/>
        <v>0</v>
      </c>
      <c r="M2819">
        <f t="shared" si="441"/>
        <v>1</v>
      </c>
      <c r="N2819">
        <f t="shared" si="442"/>
        <v>0</v>
      </c>
      <c r="O2819">
        <f t="shared" si="443"/>
        <v>0</v>
      </c>
      <c r="P2819">
        <f t="shared" si="444"/>
        <v>0</v>
      </c>
      <c r="Q2819">
        <f t="shared" si="445"/>
        <v>0</v>
      </c>
      <c r="R2819">
        <f t="shared" si="446"/>
        <v>0</v>
      </c>
      <c r="S2819">
        <f t="shared" si="447"/>
        <v>1</v>
      </c>
      <c r="T2819">
        <f t="shared" ref="T2819:T2882" si="449">SUMIF(L2819:S2819,"&gt;0")</f>
        <v>2</v>
      </c>
      <c r="U2819">
        <f t="shared" si="448"/>
        <v>1</v>
      </c>
    </row>
    <row r="2820" spans="1:21" x14ac:dyDescent="0.25">
      <c r="A2820" s="2">
        <v>2819</v>
      </c>
      <c r="B2820" s="2">
        <v>1006</v>
      </c>
      <c r="C2820" s="89" t="s">
        <v>186</v>
      </c>
      <c r="D2820">
        <v>12.9</v>
      </c>
      <c r="E2820" s="80">
        <v>151322.51999999999</v>
      </c>
      <c r="F2820" s="80">
        <v>3695.94</v>
      </c>
      <c r="G2820">
        <v>71.81</v>
      </c>
      <c r="H2820" s="80">
        <v>86644.92</v>
      </c>
      <c r="I2820" s="80">
        <v>110640.55</v>
      </c>
      <c r="J2820">
        <v>48.15</v>
      </c>
      <c r="K2820" s="89" t="s">
        <v>582</v>
      </c>
      <c r="L2820">
        <f t="shared" si="440"/>
        <v>0</v>
      </c>
      <c r="M2820">
        <f t="shared" si="441"/>
        <v>0</v>
      </c>
      <c r="N2820">
        <f t="shared" si="442"/>
        <v>0</v>
      </c>
      <c r="O2820">
        <f t="shared" si="443"/>
        <v>0</v>
      </c>
      <c r="P2820">
        <f t="shared" si="444"/>
        <v>0</v>
      </c>
      <c r="Q2820">
        <f t="shared" si="445"/>
        <v>0</v>
      </c>
      <c r="R2820">
        <f t="shared" si="446"/>
        <v>0</v>
      </c>
      <c r="S2820">
        <f t="shared" si="447"/>
        <v>1</v>
      </c>
      <c r="T2820">
        <f t="shared" si="449"/>
        <v>1</v>
      </c>
      <c r="U2820">
        <f t="shared" si="448"/>
        <v>1</v>
      </c>
    </row>
    <row r="2821" spans="1:21" x14ac:dyDescent="0.25">
      <c r="A2821" s="2">
        <v>2820</v>
      </c>
      <c r="B2821" s="2">
        <v>1006</v>
      </c>
      <c r="C2821" s="105" t="s">
        <v>188</v>
      </c>
      <c r="D2821">
        <v>7.53</v>
      </c>
      <c r="E2821" s="89" t="s">
        <v>582</v>
      </c>
      <c r="F2821">
        <v>181.14</v>
      </c>
      <c r="G2821">
        <v>30.4</v>
      </c>
      <c r="H2821">
        <v>11626.72</v>
      </c>
      <c r="I2821" s="80">
        <v>84799</v>
      </c>
      <c r="J2821">
        <v>33.82</v>
      </c>
      <c r="K2821" s="89" t="s">
        <v>582</v>
      </c>
      <c r="L2821">
        <f t="shared" si="440"/>
        <v>0</v>
      </c>
      <c r="M2821">
        <f t="shared" si="441"/>
        <v>1</v>
      </c>
      <c r="N2821">
        <f t="shared" si="442"/>
        <v>0</v>
      </c>
      <c r="O2821">
        <f t="shared" si="443"/>
        <v>0</v>
      </c>
      <c r="P2821">
        <f t="shared" si="444"/>
        <v>0</v>
      </c>
      <c r="Q2821">
        <f t="shared" si="445"/>
        <v>0</v>
      </c>
      <c r="R2821">
        <f t="shared" si="446"/>
        <v>0</v>
      </c>
      <c r="S2821">
        <f t="shared" si="447"/>
        <v>1</v>
      </c>
      <c r="T2821">
        <f t="shared" si="449"/>
        <v>2</v>
      </c>
      <c r="U2821">
        <f t="shared" si="448"/>
        <v>1</v>
      </c>
    </row>
    <row r="2822" spans="1:21" x14ac:dyDescent="0.25">
      <c r="A2822" s="2">
        <v>2821</v>
      </c>
      <c r="B2822" s="2">
        <v>1006</v>
      </c>
      <c r="C2822" s="43" t="s">
        <v>182</v>
      </c>
      <c r="D2822" s="80">
        <v>0</v>
      </c>
      <c r="E2822">
        <v>3995.16</v>
      </c>
      <c r="F2822">
        <v>0.36</v>
      </c>
      <c r="G2822" t="s">
        <v>583</v>
      </c>
      <c r="H2822">
        <v>25.55</v>
      </c>
      <c r="I2822">
        <v>171.79</v>
      </c>
      <c r="J2822" t="s">
        <v>583</v>
      </c>
      <c r="K2822">
        <v>2.4500000000000002</v>
      </c>
      <c r="L2822">
        <f t="shared" si="440"/>
        <v>0</v>
      </c>
      <c r="M2822">
        <f t="shared" si="441"/>
        <v>0</v>
      </c>
      <c r="N2822">
        <f t="shared" si="442"/>
        <v>0</v>
      </c>
      <c r="O2822">
        <f t="shared" si="443"/>
        <v>0</v>
      </c>
      <c r="P2822">
        <f t="shared" si="444"/>
        <v>0</v>
      </c>
      <c r="Q2822">
        <f t="shared" si="445"/>
        <v>0</v>
      </c>
      <c r="R2822">
        <f t="shared" si="446"/>
        <v>0</v>
      </c>
      <c r="S2822">
        <f t="shared" si="447"/>
        <v>0</v>
      </c>
      <c r="T2822">
        <f t="shared" si="449"/>
        <v>0</v>
      </c>
      <c r="U2822">
        <f t="shared" si="448"/>
        <v>0</v>
      </c>
    </row>
    <row r="2823" spans="1:21" x14ac:dyDescent="0.25">
      <c r="A2823" s="2">
        <v>2822</v>
      </c>
      <c r="B2823" s="2">
        <v>1006</v>
      </c>
      <c r="C2823" s="43" t="s">
        <v>184</v>
      </c>
      <c r="D2823">
        <v>8.16</v>
      </c>
      <c r="E2823" s="80">
        <v>46298.8</v>
      </c>
      <c r="F2823">
        <v>131.44</v>
      </c>
      <c r="G2823">
        <v>30.4</v>
      </c>
      <c r="H2823" s="80">
        <v>44934.13</v>
      </c>
      <c r="I2823" s="80">
        <v>63793.24</v>
      </c>
      <c r="J2823">
        <v>14.05</v>
      </c>
      <c r="K2823">
        <v>3357.36</v>
      </c>
      <c r="L2823">
        <f t="shared" si="440"/>
        <v>0</v>
      </c>
      <c r="M2823">
        <f t="shared" si="441"/>
        <v>0</v>
      </c>
      <c r="N2823">
        <f t="shared" si="442"/>
        <v>0</v>
      </c>
      <c r="O2823">
        <f t="shared" si="443"/>
        <v>0</v>
      </c>
      <c r="P2823">
        <f t="shared" si="444"/>
        <v>0</v>
      </c>
      <c r="Q2823">
        <f t="shared" si="445"/>
        <v>0</v>
      </c>
      <c r="R2823">
        <f t="shared" si="446"/>
        <v>0</v>
      </c>
      <c r="S2823">
        <f t="shared" si="447"/>
        <v>0</v>
      </c>
      <c r="T2823">
        <f t="shared" si="449"/>
        <v>0</v>
      </c>
      <c r="U2823">
        <f t="shared" si="448"/>
        <v>0</v>
      </c>
    </row>
    <row r="2824" spans="1:21" x14ac:dyDescent="0.25">
      <c r="A2824" s="2">
        <v>2823</v>
      </c>
      <c r="B2824" s="2">
        <v>1006</v>
      </c>
      <c r="C2824" s="43" t="s">
        <v>187</v>
      </c>
      <c r="D2824">
        <v>14.34</v>
      </c>
      <c r="E2824" s="80">
        <v>32607.74</v>
      </c>
      <c r="F2824">
        <v>335.63</v>
      </c>
      <c r="G2824">
        <v>37.880000000000003</v>
      </c>
      <c r="H2824" s="80">
        <v>23899.25</v>
      </c>
      <c r="I2824" s="80">
        <v>69293.42</v>
      </c>
      <c r="J2824">
        <v>17.28</v>
      </c>
      <c r="K2824" s="80">
        <v>9929.25</v>
      </c>
      <c r="L2824">
        <f t="shared" si="440"/>
        <v>0</v>
      </c>
      <c r="M2824">
        <f t="shared" si="441"/>
        <v>0</v>
      </c>
      <c r="N2824">
        <f t="shared" si="442"/>
        <v>0</v>
      </c>
      <c r="O2824">
        <f t="shared" si="443"/>
        <v>0</v>
      </c>
      <c r="P2824">
        <f t="shared" si="444"/>
        <v>0</v>
      </c>
      <c r="Q2824">
        <f t="shared" si="445"/>
        <v>0</v>
      </c>
      <c r="R2824">
        <f t="shared" si="446"/>
        <v>0</v>
      </c>
      <c r="S2824">
        <f t="shared" si="447"/>
        <v>0</v>
      </c>
      <c r="T2824">
        <f t="shared" si="449"/>
        <v>0</v>
      </c>
      <c r="U2824">
        <f t="shared" si="448"/>
        <v>0</v>
      </c>
    </row>
    <row r="2825" spans="1:21" x14ac:dyDescent="0.25">
      <c r="A2825" s="2">
        <v>2824</v>
      </c>
      <c r="B2825" s="2">
        <v>1006</v>
      </c>
      <c r="C2825" s="43" t="s">
        <v>189</v>
      </c>
      <c r="D2825">
        <v>5.15</v>
      </c>
      <c r="E2825" s="80">
        <v>40920.379999999997</v>
      </c>
      <c r="F2825">
        <v>13.2</v>
      </c>
      <c r="G2825">
        <v>23.4</v>
      </c>
      <c r="H2825" s="80">
        <v>18321.66</v>
      </c>
      <c r="I2825" s="80">
        <v>46753.2</v>
      </c>
      <c r="J2825">
        <v>17.28</v>
      </c>
      <c r="K2825" s="80">
        <v>12592.45</v>
      </c>
      <c r="L2825">
        <f t="shared" si="440"/>
        <v>0</v>
      </c>
      <c r="M2825">
        <f t="shared" si="441"/>
        <v>0</v>
      </c>
      <c r="N2825">
        <f t="shared" si="442"/>
        <v>0</v>
      </c>
      <c r="O2825">
        <f t="shared" si="443"/>
        <v>0</v>
      </c>
      <c r="P2825">
        <f t="shared" si="444"/>
        <v>0</v>
      </c>
      <c r="Q2825">
        <f t="shared" si="445"/>
        <v>0</v>
      </c>
      <c r="R2825">
        <f t="shared" si="446"/>
        <v>0</v>
      </c>
      <c r="S2825">
        <f t="shared" si="447"/>
        <v>0</v>
      </c>
      <c r="T2825">
        <f t="shared" si="449"/>
        <v>0</v>
      </c>
      <c r="U2825">
        <f t="shared" si="448"/>
        <v>0</v>
      </c>
    </row>
    <row r="2826" spans="1:21" x14ac:dyDescent="0.25">
      <c r="A2826" s="2">
        <v>2825</v>
      </c>
      <c r="B2826" s="2">
        <v>1007</v>
      </c>
      <c r="C2826" t="s">
        <v>162</v>
      </c>
      <c r="D2826" t="s">
        <v>583</v>
      </c>
      <c r="E2826">
        <v>5991.93</v>
      </c>
      <c r="F2826">
        <v>0.43</v>
      </c>
      <c r="G2826" t="s">
        <v>583</v>
      </c>
      <c r="H2826" s="80">
        <v>0.05</v>
      </c>
      <c r="I2826">
        <v>0.48</v>
      </c>
      <c r="J2826" t="s">
        <v>583</v>
      </c>
      <c r="K2826">
        <v>0.54</v>
      </c>
      <c r="L2826">
        <f t="shared" si="440"/>
        <v>0</v>
      </c>
      <c r="M2826">
        <f t="shared" si="441"/>
        <v>0</v>
      </c>
      <c r="N2826">
        <f t="shared" si="442"/>
        <v>0</v>
      </c>
      <c r="O2826">
        <f t="shared" si="443"/>
        <v>0</v>
      </c>
      <c r="P2826">
        <f t="shared" si="444"/>
        <v>0</v>
      </c>
      <c r="Q2826">
        <f t="shared" si="445"/>
        <v>0</v>
      </c>
      <c r="R2826">
        <f t="shared" si="446"/>
        <v>0</v>
      </c>
      <c r="S2826">
        <f t="shared" si="447"/>
        <v>0</v>
      </c>
      <c r="T2826">
        <f t="shared" si="449"/>
        <v>0</v>
      </c>
      <c r="U2826">
        <f t="shared" si="448"/>
        <v>0</v>
      </c>
    </row>
    <row r="2827" spans="1:21" x14ac:dyDescent="0.25">
      <c r="A2827" s="2">
        <v>2826</v>
      </c>
      <c r="B2827" s="2">
        <v>1007</v>
      </c>
      <c r="C2827" t="s">
        <v>170</v>
      </c>
      <c r="D2827">
        <v>35.049999999999997</v>
      </c>
      <c r="E2827">
        <v>22648.65</v>
      </c>
      <c r="F2827">
        <v>649.29999999999995</v>
      </c>
      <c r="G2827">
        <v>23.4</v>
      </c>
      <c r="H2827">
        <v>4389.22</v>
      </c>
      <c r="I2827" s="80">
        <v>39833.29</v>
      </c>
      <c r="J2827">
        <v>6.22</v>
      </c>
      <c r="K2827">
        <v>1298.1199999999999</v>
      </c>
      <c r="L2827">
        <f t="shared" si="440"/>
        <v>0</v>
      </c>
      <c r="M2827">
        <f t="shared" si="441"/>
        <v>0</v>
      </c>
      <c r="N2827">
        <f t="shared" si="442"/>
        <v>0</v>
      </c>
      <c r="O2827">
        <f t="shared" si="443"/>
        <v>0</v>
      </c>
      <c r="P2827">
        <f t="shared" si="444"/>
        <v>0</v>
      </c>
      <c r="Q2827">
        <f t="shared" si="445"/>
        <v>0</v>
      </c>
      <c r="R2827">
        <f t="shared" si="446"/>
        <v>0</v>
      </c>
      <c r="S2827">
        <f t="shared" si="447"/>
        <v>0</v>
      </c>
      <c r="T2827">
        <f t="shared" si="449"/>
        <v>0</v>
      </c>
      <c r="U2827">
        <f t="shared" si="448"/>
        <v>0</v>
      </c>
    </row>
    <row r="2828" spans="1:21" x14ac:dyDescent="0.25">
      <c r="A2828" s="2">
        <v>2827</v>
      </c>
      <c r="B2828" s="2">
        <v>1007</v>
      </c>
      <c r="C2828" t="s">
        <v>178</v>
      </c>
      <c r="D2828">
        <v>125.24</v>
      </c>
      <c r="E2828">
        <v>17378.919999999998</v>
      </c>
      <c r="F2828">
        <v>1476.08</v>
      </c>
      <c r="G2828">
        <v>26.84</v>
      </c>
      <c r="H2828">
        <v>14900.1</v>
      </c>
      <c r="I2828" s="80">
        <v>50548.37</v>
      </c>
      <c r="J2828">
        <v>11.98</v>
      </c>
      <c r="K2828">
        <v>2648.1</v>
      </c>
      <c r="L2828">
        <f t="shared" si="440"/>
        <v>0</v>
      </c>
      <c r="M2828">
        <f t="shared" si="441"/>
        <v>0</v>
      </c>
      <c r="N2828">
        <f t="shared" si="442"/>
        <v>0</v>
      </c>
      <c r="O2828">
        <f t="shared" si="443"/>
        <v>0</v>
      </c>
      <c r="P2828">
        <f t="shared" si="444"/>
        <v>0</v>
      </c>
      <c r="Q2828">
        <f t="shared" si="445"/>
        <v>0</v>
      </c>
      <c r="R2828">
        <f t="shared" si="446"/>
        <v>0</v>
      </c>
      <c r="S2828">
        <f t="shared" si="447"/>
        <v>0</v>
      </c>
      <c r="T2828">
        <f t="shared" si="449"/>
        <v>0</v>
      </c>
      <c r="U2828">
        <f t="shared" si="448"/>
        <v>0</v>
      </c>
    </row>
    <row r="2829" spans="1:21" x14ac:dyDescent="0.25">
      <c r="A2829" s="2">
        <v>2828</v>
      </c>
      <c r="B2829" s="2">
        <v>1007</v>
      </c>
      <c r="C2829" t="s">
        <v>163</v>
      </c>
      <c r="D2829">
        <v>1390.92</v>
      </c>
      <c r="E2829">
        <v>19500.37</v>
      </c>
      <c r="F2829">
        <v>383.93</v>
      </c>
      <c r="G2829">
        <v>67.25</v>
      </c>
      <c r="H2829">
        <v>6473.06</v>
      </c>
      <c r="I2829" s="80">
        <v>32405.94</v>
      </c>
      <c r="J2829">
        <v>25.27</v>
      </c>
      <c r="K2829" s="80">
        <v>12399.54</v>
      </c>
      <c r="L2829">
        <f t="shared" si="440"/>
        <v>0</v>
      </c>
      <c r="M2829">
        <f t="shared" si="441"/>
        <v>0</v>
      </c>
      <c r="N2829">
        <f t="shared" si="442"/>
        <v>0</v>
      </c>
      <c r="O2829">
        <f t="shared" si="443"/>
        <v>0</v>
      </c>
      <c r="P2829">
        <f t="shared" si="444"/>
        <v>0</v>
      </c>
      <c r="Q2829">
        <f t="shared" si="445"/>
        <v>0</v>
      </c>
      <c r="R2829">
        <f t="shared" si="446"/>
        <v>0</v>
      </c>
      <c r="S2829">
        <f t="shared" si="447"/>
        <v>0</v>
      </c>
      <c r="T2829">
        <f t="shared" si="449"/>
        <v>0</v>
      </c>
      <c r="U2829">
        <f t="shared" si="448"/>
        <v>0</v>
      </c>
    </row>
    <row r="2830" spans="1:21" x14ac:dyDescent="0.25">
      <c r="A2830" s="2">
        <v>2829</v>
      </c>
      <c r="B2830" s="2">
        <v>1007</v>
      </c>
      <c r="C2830" s="89" t="s">
        <v>181</v>
      </c>
      <c r="D2830">
        <v>0.82</v>
      </c>
      <c r="E2830" s="89" t="s">
        <v>582</v>
      </c>
      <c r="F2830">
        <v>2.5499999999999998</v>
      </c>
      <c r="G2830">
        <v>11.11</v>
      </c>
      <c r="H2830">
        <v>10.39</v>
      </c>
      <c r="I2830">
        <v>254.33</v>
      </c>
      <c r="J2830" t="s">
        <v>583</v>
      </c>
      <c r="K2830">
        <v>16.559999999999999</v>
      </c>
      <c r="L2830">
        <f t="shared" si="440"/>
        <v>0</v>
      </c>
      <c r="M2830">
        <f t="shared" si="441"/>
        <v>1</v>
      </c>
      <c r="N2830">
        <f t="shared" si="442"/>
        <v>0</v>
      </c>
      <c r="O2830">
        <f t="shared" si="443"/>
        <v>0</v>
      </c>
      <c r="P2830">
        <f t="shared" si="444"/>
        <v>0</v>
      </c>
      <c r="Q2830">
        <f t="shared" si="445"/>
        <v>0</v>
      </c>
      <c r="R2830">
        <f t="shared" si="446"/>
        <v>0</v>
      </c>
      <c r="S2830">
        <f t="shared" si="447"/>
        <v>0</v>
      </c>
      <c r="T2830">
        <f t="shared" si="449"/>
        <v>1</v>
      </c>
      <c r="U2830">
        <f t="shared" si="448"/>
        <v>1</v>
      </c>
    </row>
    <row r="2831" spans="1:21" x14ac:dyDescent="0.25">
      <c r="A2831" s="2">
        <v>2830</v>
      </c>
      <c r="B2831" s="2">
        <v>1007</v>
      </c>
      <c r="C2831" s="89" t="s">
        <v>183</v>
      </c>
      <c r="D2831">
        <v>8.16</v>
      </c>
      <c r="E2831" s="89" t="s">
        <v>582</v>
      </c>
      <c r="F2831" s="80">
        <v>10871.56</v>
      </c>
      <c r="G2831">
        <v>81.16</v>
      </c>
      <c r="H2831" s="80">
        <v>20671.86</v>
      </c>
      <c r="I2831" s="80">
        <v>91187.4</v>
      </c>
      <c r="J2831">
        <v>26.46</v>
      </c>
      <c r="K2831">
        <v>6646.01</v>
      </c>
      <c r="L2831">
        <f t="shared" si="440"/>
        <v>0</v>
      </c>
      <c r="M2831">
        <f t="shared" si="441"/>
        <v>1</v>
      </c>
      <c r="N2831">
        <f t="shared" si="442"/>
        <v>0</v>
      </c>
      <c r="O2831">
        <f t="shared" si="443"/>
        <v>0</v>
      </c>
      <c r="P2831">
        <f t="shared" si="444"/>
        <v>0</v>
      </c>
      <c r="Q2831">
        <f t="shared" si="445"/>
        <v>0</v>
      </c>
      <c r="R2831">
        <f t="shared" si="446"/>
        <v>0</v>
      </c>
      <c r="S2831">
        <f t="shared" si="447"/>
        <v>0</v>
      </c>
      <c r="T2831">
        <f t="shared" si="449"/>
        <v>1</v>
      </c>
      <c r="U2831">
        <f t="shared" si="448"/>
        <v>1</v>
      </c>
    </row>
    <row r="2832" spans="1:21" x14ac:dyDescent="0.25">
      <c r="A2832" s="2">
        <v>2831</v>
      </c>
      <c r="B2832" s="2">
        <v>1007</v>
      </c>
      <c r="C2832" t="s">
        <v>186</v>
      </c>
      <c r="D2832">
        <v>6.92</v>
      </c>
      <c r="E2832" s="80">
        <v>161718.71</v>
      </c>
      <c r="F2832" s="80">
        <v>15988.64</v>
      </c>
      <c r="G2832">
        <v>95.76</v>
      </c>
      <c r="H2832" s="80">
        <v>29861.19</v>
      </c>
      <c r="I2832" s="80">
        <v>94149.65</v>
      </c>
      <c r="J2832">
        <v>22.93</v>
      </c>
      <c r="K2832">
        <v>7702.49</v>
      </c>
      <c r="L2832">
        <f t="shared" si="440"/>
        <v>0</v>
      </c>
      <c r="M2832">
        <f t="shared" si="441"/>
        <v>0</v>
      </c>
      <c r="N2832">
        <f t="shared" si="442"/>
        <v>0</v>
      </c>
      <c r="O2832">
        <f t="shared" si="443"/>
        <v>0</v>
      </c>
      <c r="P2832">
        <f t="shared" si="444"/>
        <v>0</v>
      </c>
      <c r="Q2832">
        <f t="shared" si="445"/>
        <v>0</v>
      </c>
      <c r="R2832">
        <f t="shared" si="446"/>
        <v>0</v>
      </c>
      <c r="S2832">
        <f t="shared" si="447"/>
        <v>0</v>
      </c>
      <c r="T2832">
        <f t="shared" si="449"/>
        <v>0</v>
      </c>
      <c r="U2832">
        <f t="shared" si="448"/>
        <v>0</v>
      </c>
    </row>
    <row r="2833" spans="1:21" x14ac:dyDescent="0.25">
      <c r="A2833" s="2">
        <v>2832</v>
      </c>
      <c r="B2833" s="2">
        <v>1007</v>
      </c>
      <c r="C2833" s="105" t="s">
        <v>188</v>
      </c>
      <c r="D2833">
        <v>6.92</v>
      </c>
      <c r="E2833" s="89" t="s">
        <v>582</v>
      </c>
      <c r="F2833">
        <v>2377.89</v>
      </c>
      <c r="G2833">
        <v>54.1</v>
      </c>
      <c r="H2833">
        <v>6531.02</v>
      </c>
      <c r="I2833" s="80">
        <v>85191.99</v>
      </c>
      <c r="J2833">
        <v>35.08</v>
      </c>
      <c r="K2833" s="80">
        <v>60358.31</v>
      </c>
      <c r="L2833">
        <f t="shared" si="440"/>
        <v>0</v>
      </c>
      <c r="M2833">
        <f t="shared" si="441"/>
        <v>1</v>
      </c>
      <c r="N2833">
        <f t="shared" si="442"/>
        <v>0</v>
      </c>
      <c r="O2833">
        <f t="shared" si="443"/>
        <v>0</v>
      </c>
      <c r="P2833">
        <f t="shared" si="444"/>
        <v>0</v>
      </c>
      <c r="Q2833">
        <f t="shared" si="445"/>
        <v>0</v>
      </c>
      <c r="R2833">
        <f t="shared" si="446"/>
        <v>0</v>
      </c>
      <c r="S2833">
        <f t="shared" si="447"/>
        <v>0</v>
      </c>
      <c r="T2833">
        <f t="shared" si="449"/>
        <v>1</v>
      </c>
      <c r="U2833">
        <f t="shared" si="448"/>
        <v>1</v>
      </c>
    </row>
    <row r="2834" spans="1:21" x14ac:dyDescent="0.25">
      <c r="A2834" s="2">
        <v>2833</v>
      </c>
      <c r="B2834" s="2">
        <v>1007</v>
      </c>
      <c r="C2834" s="43" t="s">
        <v>182</v>
      </c>
      <c r="D2834" t="s">
        <v>583</v>
      </c>
      <c r="E2834">
        <v>468.48</v>
      </c>
      <c r="F2834">
        <v>0.72</v>
      </c>
      <c r="G2834" t="s">
        <v>583</v>
      </c>
      <c r="H2834" s="80">
        <v>0.05</v>
      </c>
      <c r="I2834">
        <v>23.78</v>
      </c>
      <c r="J2834" t="s">
        <v>583</v>
      </c>
      <c r="K2834">
        <v>0.1</v>
      </c>
      <c r="L2834">
        <f t="shared" si="440"/>
        <v>0</v>
      </c>
      <c r="M2834">
        <f t="shared" si="441"/>
        <v>0</v>
      </c>
      <c r="N2834">
        <f t="shared" si="442"/>
        <v>0</v>
      </c>
      <c r="O2834">
        <f t="shared" si="443"/>
        <v>0</v>
      </c>
      <c r="P2834">
        <f t="shared" si="444"/>
        <v>0</v>
      </c>
      <c r="Q2834">
        <f t="shared" si="445"/>
        <v>0</v>
      </c>
      <c r="R2834">
        <f t="shared" si="446"/>
        <v>0</v>
      </c>
      <c r="S2834">
        <f t="shared" si="447"/>
        <v>0</v>
      </c>
      <c r="T2834">
        <f t="shared" si="449"/>
        <v>0</v>
      </c>
      <c r="U2834">
        <f t="shared" si="448"/>
        <v>0</v>
      </c>
    </row>
    <row r="2835" spans="1:21" x14ac:dyDescent="0.25">
      <c r="A2835" s="2">
        <v>2834</v>
      </c>
      <c r="B2835" s="2">
        <v>1007</v>
      </c>
      <c r="C2835" s="43" t="s">
        <v>184</v>
      </c>
      <c r="D2835">
        <v>82.32</v>
      </c>
      <c r="E2835">
        <v>2011.45</v>
      </c>
      <c r="F2835">
        <v>61.23</v>
      </c>
      <c r="G2835">
        <v>11.11</v>
      </c>
      <c r="H2835">
        <v>4121.72</v>
      </c>
      <c r="I2835" s="80">
        <v>19099.39</v>
      </c>
      <c r="J2835">
        <v>8.0500000000000007</v>
      </c>
      <c r="K2835">
        <v>1278.1300000000001</v>
      </c>
      <c r="L2835">
        <f t="shared" si="440"/>
        <v>0</v>
      </c>
      <c r="M2835">
        <f t="shared" si="441"/>
        <v>0</v>
      </c>
      <c r="N2835">
        <f t="shared" si="442"/>
        <v>0</v>
      </c>
      <c r="O2835">
        <f t="shared" si="443"/>
        <v>0</v>
      </c>
      <c r="P2835">
        <f t="shared" si="444"/>
        <v>0</v>
      </c>
      <c r="Q2835">
        <f t="shared" si="445"/>
        <v>0</v>
      </c>
      <c r="R2835">
        <f t="shared" si="446"/>
        <v>0</v>
      </c>
      <c r="S2835">
        <f t="shared" si="447"/>
        <v>0</v>
      </c>
      <c r="T2835">
        <f t="shared" si="449"/>
        <v>0</v>
      </c>
      <c r="U2835">
        <f t="shared" si="448"/>
        <v>0</v>
      </c>
    </row>
    <row r="2836" spans="1:21" x14ac:dyDescent="0.25">
      <c r="A2836" s="2">
        <v>2835</v>
      </c>
      <c r="B2836" s="2">
        <v>1007</v>
      </c>
      <c r="C2836" s="43" t="s">
        <v>187</v>
      </c>
      <c r="D2836">
        <v>255.27</v>
      </c>
      <c r="E2836">
        <v>3083.59</v>
      </c>
      <c r="F2836">
        <v>224.58</v>
      </c>
      <c r="G2836" s="80">
        <v>1.96</v>
      </c>
      <c r="H2836">
        <v>6508.05</v>
      </c>
      <c r="I2836" s="80">
        <v>20016.38</v>
      </c>
      <c r="J2836">
        <v>20.63</v>
      </c>
      <c r="K2836">
        <v>4448.32</v>
      </c>
      <c r="L2836">
        <f t="shared" si="440"/>
        <v>0</v>
      </c>
      <c r="M2836">
        <f t="shared" si="441"/>
        <v>0</v>
      </c>
      <c r="N2836">
        <f t="shared" si="442"/>
        <v>0</v>
      </c>
      <c r="O2836">
        <f t="shared" si="443"/>
        <v>0</v>
      </c>
      <c r="P2836">
        <f t="shared" si="444"/>
        <v>0</v>
      </c>
      <c r="Q2836">
        <f t="shared" si="445"/>
        <v>0</v>
      </c>
      <c r="R2836">
        <f t="shared" si="446"/>
        <v>0</v>
      </c>
      <c r="S2836">
        <f t="shared" si="447"/>
        <v>0</v>
      </c>
      <c r="T2836">
        <f t="shared" si="449"/>
        <v>0</v>
      </c>
      <c r="U2836">
        <f t="shared" si="448"/>
        <v>0</v>
      </c>
    </row>
    <row r="2837" spans="1:21" x14ac:dyDescent="0.25">
      <c r="A2837" s="2">
        <v>2836</v>
      </c>
      <c r="B2837" s="2">
        <v>1007</v>
      </c>
      <c r="C2837" s="43" t="s">
        <v>189</v>
      </c>
      <c r="D2837">
        <v>6.92</v>
      </c>
      <c r="E2837">
        <v>2449.96</v>
      </c>
      <c r="F2837">
        <v>4.7699999999999996</v>
      </c>
      <c r="G2837">
        <v>6.03</v>
      </c>
      <c r="H2837">
        <v>4551.68</v>
      </c>
      <c r="I2837" s="80">
        <v>4037.09</v>
      </c>
      <c r="J2837">
        <v>4.49</v>
      </c>
      <c r="K2837">
        <v>2608.38</v>
      </c>
      <c r="L2837">
        <f t="shared" si="440"/>
        <v>0</v>
      </c>
      <c r="M2837">
        <f t="shared" si="441"/>
        <v>0</v>
      </c>
      <c r="N2837">
        <f t="shared" si="442"/>
        <v>0</v>
      </c>
      <c r="O2837">
        <f t="shared" si="443"/>
        <v>0</v>
      </c>
      <c r="P2837">
        <f t="shared" si="444"/>
        <v>0</v>
      </c>
      <c r="Q2837">
        <f t="shared" si="445"/>
        <v>0</v>
      </c>
      <c r="R2837">
        <f t="shared" si="446"/>
        <v>0</v>
      </c>
      <c r="S2837">
        <f t="shared" si="447"/>
        <v>0</v>
      </c>
      <c r="T2837">
        <f t="shared" si="449"/>
        <v>0</v>
      </c>
      <c r="U2837">
        <f t="shared" si="448"/>
        <v>0</v>
      </c>
    </row>
    <row r="2838" spans="1:21" x14ac:dyDescent="0.25">
      <c r="A2838" s="2">
        <v>2837</v>
      </c>
      <c r="B2838" s="2">
        <v>1009</v>
      </c>
      <c r="C2838" s="43" t="s">
        <v>182</v>
      </c>
      <c r="D2838" s="80">
        <v>0.19</v>
      </c>
      <c r="E2838">
        <v>10167.120000000001</v>
      </c>
      <c r="F2838">
        <v>3.43</v>
      </c>
      <c r="G2838">
        <v>6.03</v>
      </c>
      <c r="H2838">
        <v>1321.55</v>
      </c>
      <c r="I2838" s="80">
        <v>5276.31</v>
      </c>
      <c r="J2838">
        <v>2.14</v>
      </c>
      <c r="K2838">
        <v>432.95</v>
      </c>
      <c r="L2838">
        <f t="shared" si="440"/>
        <v>0</v>
      </c>
      <c r="M2838">
        <f t="shared" si="441"/>
        <v>0</v>
      </c>
      <c r="N2838">
        <f t="shared" si="442"/>
        <v>0</v>
      </c>
      <c r="O2838">
        <f t="shared" si="443"/>
        <v>0</v>
      </c>
      <c r="P2838">
        <f t="shared" si="444"/>
        <v>0</v>
      </c>
      <c r="Q2838">
        <f t="shared" si="445"/>
        <v>0</v>
      </c>
      <c r="R2838">
        <f t="shared" si="446"/>
        <v>0</v>
      </c>
      <c r="S2838">
        <f t="shared" si="447"/>
        <v>0</v>
      </c>
      <c r="T2838">
        <f t="shared" si="449"/>
        <v>0</v>
      </c>
      <c r="U2838">
        <f t="shared" si="448"/>
        <v>0</v>
      </c>
    </row>
    <row r="2839" spans="1:21" x14ac:dyDescent="0.25">
      <c r="A2839" s="2">
        <v>2838</v>
      </c>
      <c r="B2839" s="2">
        <v>1009</v>
      </c>
      <c r="C2839" s="43" t="s">
        <v>184</v>
      </c>
      <c r="D2839">
        <v>1.62</v>
      </c>
      <c r="E2839" s="80">
        <v>24843.02</v>
      </c>
      <c r="F2839">
        <v>4.6399999999999997</v>
      </c>
      <c r="G2839">
        <v>11.11</v>
      </c>
      <c r="H2839">
        <v>6390.3</v>
      </c>
      <c r="I2839" s="80">
        <v>11862.33</v>
      </c>
      <c r="J2839">
        <v>6.22</v>
      </c>
      <c r="K2839">
        <v>1988.39</v>
      </c>
      <c r="L2839">
        <f t="shared" si="440"/>
        <v>0</v>
      </c>
      <c r="M2839">
        <f t="shared" si="441"/>
        <v>0</v>
      </c>
      <c r="N2839">
        <f t="shared" si="442"/>
        <v>0</v>
      </c>
      <c r="O2839">
        <f t="shared" si="443"/>
        <v>0</v>
      </c>
      <c r="P2839">
        <f t="shared" si="444"/>
        <v>0</v>
      </c>
      <c r="Q2839">
        <f t="shared" si="445"/>
        <v>0</v>
      </c>
      <c r="R2839">
        <f t="shared" si="446"/>
        <v>0</v>
      </c>
      <c r="S2839">
        <f t="shared" si="447"/>
        <v>0</v>
      </c>
      <c r="T2839">
        <f t="shared" si="449"/>
        <v>0</v>
      </c>
      <c r="U2839">
        <f t="shared" si="448"/>
        <v>0</v>
      </c>
    </row>
    <row r="2840" spans="1:21" x14ac:dyDescent="0.25">
      <c r="A2840" s="2">
        <v>2839</v>
      </c>
      <c r="B2840" s="2">
        <v>1009</v>
      </c>
      <c r="C2840" s="43" t="s">
        <v>187</v>
      </c>
      <c r="D2840">
        <v>4.59</v>
      </c>
      <c r="E2840">
        <v>16945.32</v>
      </c>
      <c r="F2840">
        <v>5.01</v>
      </c>
      <c r="G2840">
        <v>23.4</v>
      </c>
      <c r="H2840">
        <v>6282.31</v>
      </c>
      <c r="I2840" s="80">
        <v>18376.23</v>
      </c>
      <c r="J2840">
        <v>14.05</v>
      </c>
      <c r="K2840">
        <v>5069.1099999999997</v>
      </c>
      <c r="L2840">
        <f t="shared" si="440"/>
        <v>0</v>
      </c>
      <c r="M2840">
        <f t="shared" si="441"/>
        <v>0</v>
      </c>
      <c r="N2840">
        <f t="shared" si="442"/>
        <v>0</v>
      </c>
      <c r="O2840">
        <f t="shared" si="443"/>
        <v>0</v>
      </c>
      <c r="P2840">
        <f t="shared" si="444"/>
        <v>0</v>
      </c>
      <c r="Q2840">
        <f t="shared" si="445"/>
        <v>0</v>
      </c>
      <c r="R2840">
        <f t="shared" si="446"/>
        <v>0</v>
      </c>
      <c r="S2840">
        <f t="shared" si="447"/>
        <v>0</v>
      </c>
      <c r="T2840">
        <f t="shared" si="449"/>
        <v>0</v>
      </c>
      <c r="U2840">
        <f t="shared" si="448"/>
        <v>0</v>
      </c>
    </row>
    <row r="2841" spans="1:21" x14ac:dyDescent="0.25">
      <c r="A2841" s="2">
        <v>2840</v>
      </c>
      <c r="B2841" s="2">
        <v>1009</v>
      </c>
      <c r="C2841" s="43" t="s">
        <v>189</v>
      </c>
      <c r="D2841">
        <v>3.52</v>
      </c>
      <c r="E2841">
        <v>22572.42</v>
      </c>
      <c r="F2841">
        <v>7.25</v>
      </c>
      <c r="G2841">
        <v>16.940000000000001</v>
      </c>
      <c r="H2841">
        <v>7158</v>
      </c>
      <c r="I2841" s="80">
        <v>11865.89</v>
      </c>
      <c r="J2841">
        <v>9.98</v>
      </c>
      <c r="K2841">
        <v>5082.25</v>
      </c>
      <c r="L2841">
        <f t="shared" si="440"/>
        <v>0</v>
      </c>
      <c r="M2841">
        <f t="shared" si="441"/>
        <v>0</v>
      </c>
      <c r="N2841">
        <f t="shared" si="442"/>
        <v>0</v>
      </c>
      <c r="O2841">
        <f t="shared" si="443"/>
        <v>0</v>
      </c>
      <c r="P2841">
        <f t="shared" si="444"/>
        <v>0</v>
      </c>
      <c r="Q2841">
        <f t="shared" si="445"/>
        <v>0</v>
      </c>
      <c r="R2841">
        <f t="shared" si="446"/>
        <v>0</v>
      </c>
      <c r="S2841">
        <f t="shared" si="447"/>
        <v>0</v>
      </c>
      <c r="T2841">
        <f t="shared" si="449"/>
        <v>0</v>
      </c>
      <c r="U2841">
        <f t="shared" si="448"/>
        <v>0</v>
      </c>
    </row>
    <row r="2842" spans="1:21" x14ac:dyDescent="0.25">
      <c r="A2842" s="2">
        <v>2841</v>
      </c>
      <c r="B2842" s="2">
        <v>1010</v>
      </c>
      <c r="C2842" t="s">
        <v>181</v>
      </c>
      <c r="D2842" s="80">
        <v>0.19</v>
      </c>
      <c r="E2842" s="80">
        <v>72973.94</v>
      </c>
      <c r="F2842">
        <v>11</v>
      </c>
      <c r="G2842">
        <v>11.11</v>
      </c>
      <c r="H2842">
        <v>43.73</v>
      </c>
      <c r="I2842">
        <v>1142.8699999999999</v>
      </c>
      <c r="J2842" t="s">
        <v>583</v>
      </c>
      <c r="K2842">
        <v>156.93</v>
      </c>
      <c r="L2842">
        <f t="shared" si="440"/>
        <v>0</v>
      </c>
      <c r="M2842">
        <f t="shared" si="441"/>
        <v>0</v>
      </c>
      <c r="N2842">
        <f t="shared" si="442"/>
        <v>0</v>
      </c>
      <c r="O2842">
        <f t="shared" si="443"/>
        <v>0</v>
      </c>
      <c r="P2842">
        <f t="shared" si="444"/>
        <v>0</v>
      </c>
      <c r="Q2842">
        <f t="shared" si="445"/>
        <v>0</v>
      </c>
      <c r="R2842">
        <f t="shared" si="446"/>
        <v>0</v>
      </c>
      <c r="S2842">
        <f t="shared" si="447"/>
        <v>0</v>
      </c>
      <c r="T2842">
        <f t="shared" si="449"/>
        <v>0</v>
      </c>
      <c r="U2842">
        <f t="shared" si="448"/>
        <v>0</v>
      </c>
    </row>
    <row r="2843" spans="1:21" x14ac:dyDescent="0.25">
      <c r="A2843" s="2">
        <v>2842</v>
      </c>
      <c r="B2843" s="2">
        <v>1010</v>
      </c>
      <c r="C2843" s="89" t="s">
        <v>183</v>
      </c>
      <c r="D2843">
        <v>6.92</v>
      </c>
      <c r="E2843" s="89" t="s">
        <v>582</v>
      </c>
      <c r="F2843">
        <v>1250.78</v>
      </c>
      <c r="G2843">
        <v>85.95</v>
      </c>
      <c r="H2843">
        <v>7068.66</v>
      </c>
      <c r="I2843" s="80">
        <v>98654.86</v>
      </c>
      <c r="J2843">
        <v>27.66</v>
      </c>
      <c r="K2843" s="80">
        <v>10004.24</v>
      </c>
      <c r="L2843">
        <f t="shared" si="440"/>
        <v>0</v>
      </c>
      <c r="M2843">
        <f t="shared" si="441"/>
        <v>1</v>
      </c>
      <c r="N2843">
        <f t="shared" si="442"/>
        <v>0</v>
      </c>
      <c r="O2843">
        <f t="shared" si="443"/>
        <v>0</v>
      </c>
      <c r="P2843">
        <f t="shared" si="444"/>
        <v>0</v>
      </c>
      <c r="Q2843">
        <f t="shared" si="445"/>
        <v>0</v>
      </c>
      <c r="R2843">
        <f t="shared" si="446"/>
        <v>0</v>
      </c>
      <c r="S2843">
        <f t="shared" si="447"/>
        <v>0</v>
      </c>
      <c r="T2843">
        <f t="shared" si="449"/>
        <v>1</v>
      </c>
      <c r="U2843">
        <f t="shared" si="448"/>
        <v>1</v>
      </c>
    </row>
    <row r="2844" spans="1:21" x14ac:dyDescent="0.25">
      <c r="A2844" s="2">
        <v>2843</v>
      </c>
      <c r="B2844" s="2">
        <v>1010</v>
      </c>
      <c r="C2844" s="89" t="s">
        <v>186</v>
      </c>
      <c r="D2844">
        <v>7.53</v>
      </c>
      <c r="E2844" s="89" t="s">
        <v>582</v>
      </c>
      <c r="F2844" s="80">
        <v>5348.59</v>
      </c>
      <c r="G2844">
        <v>126.85</v>
      </c>
      <c r="H2844" s="80">
        <v>59121.88</v>
      </c>
      <c r="I2844" s="80">
        <v>114454.55</v>
      </c>
      <c r="J2844">
        <v>48.15</v>
      </c>
      <c r="K2844" s="89" t="s">
        <v>582</v>
      </c>
      <c r="L2844">
        <f t="shared" si="440"/>
        <v>0</v>
      </c>
      <c r="M2844">
        <f t="shared" si="441"/>
        <v>1</v>
      </c>
      <c r="N2844">
        <f t="shared" si="442"/>
        <v>0</v>
      </c>
      <c r="O2844">
        <f t="shared" si="443"/>
        <v>0</v>
      </c>
      <c r="P2844">
        <f t="shared" si="444"/>
        <v>0</v>
      </c>
      <c r="Q2844">
        <f t="shared" si="445"/>
        <v>0</v>
      </c>
      <c r="R2844">
        <f t="shared" si="446"/>
        <v>0</v>
      </c>
      <c r="S2844">
        <f t="shared" si="447"/>
        <v>1</v>
      </c>
      <c r="T2844">
        <f t="shared" si="449"/>
        <v>2</v>
      </c>
      <c r="U2844">
        <f t="shared" si="448"/>
        <v>1</v>
      </c>
    </row>
    <row r="2845" spans="1:21" x14ac:dyDescent="0.25">
      <c r="A2845" s="2">
        <v>2844</v>
      </c>
      <c r="B2845" s="2">
        <v>1010</v>
      </c>
      <c r="C2845" s="105" t="s">
        <v>188</v>
      </c>
      <c r="D2845">
        <v>10.8</v>
      </c>
      <c r="E2845" s="89" t="s">
        <v>582</v>
      </c>
      <c r="F2845">
        <v>1158.8399999999999</v>
      </c>
      <c r="G2845">
        <v>100.77</v>
      </c>
      <c r="H2845" s="80">
        <v>19687.46</v>
      </c>
      <c r="I2845" s="80">
        <v>88498.49</v>
      </c>
      <c r="J2845">
        <v>45.47</v>
      </c>
      <c r="K2845" s="89" t="s">
        <v>582</v>
      </c>
      <c r="L2845">
        <f t="shared" si="440"/>
        <v>0</v>
      </c>
      <c r="M2845">
        <f t="shared" si="441"/>
        <v>1</v>
      </c>
      <c r="N2845">
        <f t="shared" si="442"/>
        <v>0</v>
      </c>
      <c r="O2845">
        <f t="shared" si="443"/>
        <v>0</v>
      </c>
      <c r="P2845">
        <f t="shared" si="444"/>
        <v>0</v>
      </c>
      <c r="Q2845">
        <f t="shared" si="445"/>
        <v>0</v>
      </c>
      <c r="R2845">
        <f t="shared" si="446"/>
        <v>0</v>
      </c>
      <c r="S2845">
        <f t="shared" si="447"/>
        <v>1</v>
      </c>
      <c r="T2845">
        <f t="shared" si="449"/>
        <v>2</v>
      </c>
      <c r="U2845">
        <f t="shared" si="448"/>
        <v>1</v>
      </c>
    </row>
    <row r="2846" spans="1:21" x14ac:dyDescent="0.25">
      <c r="A2846" s="2">
        <v>2845</v>
      </c>
      <c r="B2846" s="2">
        <v>1010</v>
      </c>
      <c r="C2846" s="43" t="s">
        <v>182</v>
      </c>
      <c r="D2846" t="s">
        <v>583</v>
      </c>
      <c r="E2846">
        <v>346.12</v>
      </c>
      <c r="F2846">
        <v>0.77</v>
      </c>
      <c r="G2846" t="s">
        <v>583</v>
      </c>
      <c r="H2846">
        <v>10.02</v>
      </c>
      <c r="I2846">
        <v>795.43</v>
      </c>
      <c r="J2846" s="80">
        <v>0.27</v>
      </c>
      <c r="K2846">
        <v>2.54</v>
      </c>
      <c r="L2846">
        <f t="shared" si="440"/>
        <v>0</v>
      </c>
      <c r="M2846">
        <f t="shared" si="441"/>
        <v>0</v>
      </c>
      <c r="N2846">
        <f t="shared" si="442"/>
        <v>0</v>
      </c>
      <c r="O2846">
        <f t="shared" si="443"/>
        <v>0</v>
      </c>
      <c r="P2846">
        <f t="shared" si="444"/>
        <v>0</v>
      </c>
      <c r="Q2846">
        <f t="shared" si="445"/>
        <v>0</v>
      </c>
      <c r="R2846">
        <f t="shared" si="446"/>
        <v>0</v>
      </c>
      <c r="S2846">
        <f t="shared" si="447"/>
        <v>0</v>
      </c>
      <c r="T2846">
        <f t="shared" si="449"/>
        <v>0</v>
      </c>
      <c r="U2846">
        <f t="shared" si="448"/>
        <v>0</v>
      </c>
    </row>
    <row r="2847" spans="1:21" x14ac:dyDescent="0.25">
      <c r="A2847" s="2">
        <v>2846</v>
      </c>
      <c r="B2847" s="2">
        <v>1010</v>
      </c>
      <c r="C2847" s="43" t="s">
        <v>184</v>
      </c>
      <c r="D2847">
        <v>2.52</v>
      </c>
      <c r="E2847">
        <v>3030.6</v>
      </c>
      <c r="F2847">
        <v>34.56</v>
      </c>
      <c r="G2847">
        <v>6.03</v>
      </c>
      <c r="H2847">
        <v>3566.98</v>
      </c>
      <c r="I2847" s="80">
        <v>19492.25</v>
      </c>
      <c r="J2847">
        <v>6.22</v>
      </c>
      <c r="K2847">
        <v>664.66</v>
      </c>
      <c r="L2847">
        <f t="shared" si="440"/>
        <v>0</v>
      </c>
      <c r="M2847">
        <f t="shared" si="441"/>
        <v>0</v>
      </c>
      <c r="N2847">
        <f t="shared" si="442"/>
        <v>0</v>
      </c>
      <c r="O2847">
        <f t="shared" si="443"/>
        <v>0</v>
      </c>
      <c r="P2847">
        <f t="shared" si="444"/>
        <v>0</v>
      </c>
      <c r="Q2847">
        <f t="shared" si="445"/>
        <v>0</v>
      </c>
      <c r="R2847">
        <f t="shared" si="446"/>
        <v>0</v>
      </c>
      <c r="S2847">
        <f t="shared" si="447"/>
        <v>0</v>
      </c>
      <c r="T2847">
        <f t="shared" si="449"/>
        <v>0</v>
      </c>
      <c r="U2847">
        <f t="shared" si="448"/>
        <v>0</v>
      </c>
    </row>
    <row r="2848" spans="1:21" x14ac:dyDescent="0.25">
      <c r="A2848" s="2">
        <v>2847</v>
      </c>
      <c r="B2848" s="2">
        <v>1010</v>
      </c>
      <c r="C2848" s="43" t="s">
        <v>187</v>
      </c>
      <c r="D2848">
        <v>27.95</v>
      </c>
      <c r="E2848">
        <v>2344.35</v>
      </c>
      <c r="F2848">
        <v>63.89</v>
      </c>
      <c r="G2848">
        <v>23.4</v>
      </c>
      <c r="H2848">
        <v>11684.83</v>
      </c>
      <c r="I2848" s="80">
        <v>24291.23</v>
      </c>
      <c r="J2848">
        <v>18.38</v>
      </c>
      <c r="K2848">
        <v>3519.97</v>
      </c>
      <c r="L2848">
        <f t="shared" si="440"/>
        <v>0</v>
      </c>
      <c r="M2848">
        <f t="shared" si="441"/>
        <v>0</v>
      </c>
      <c r="N2848">
        <f t="shared" si="442"/>
        <v>0</v>
      </c>
      <c r="O2848">
        <f t="shared" si="443"/>
        <v>0</v>
      </c>
      <c r="P2848">
        <f t="shared" si="444"/>
        <v>0</v>
      </c>
      <c r="Q2848">
        <f t="shared" si="445"/>
        <v>0</v>
      </c>
      <c r="R2848">
        <f t="shared" si="446"/>
        <v>0</v>
      </c>
      <c r="S2848">
        <f t="shared" si="447"/>
        <v>0</v>
      </c>
      <c r="T2848">
        <f t="shared" si="449"/>
        <v>0</v>
      </c>
      <c r="U2848">
        <f t="shared" si="448"/>
        <v>0</v>
      </c>
    </row>
    <row r="2849" spans="1:21" x14ac:dyDescent="0.25">
      <c r="A2849" s="2">
        <v>2848</v>
      </c>
      <c r="B2849" s="2">
        <v>1010</v>
      </c>
      <c r="C2849" s="43" t="s">
        <v>189</v>
      </c>
      <c r="D2849">
        <v>1.62</v>
      </c>
      <c r="E2849">
        <v>1231.83</v>
      </c>
      <c r="F2849">
        <v>4.95</v>
      </c>
      <c r="G2849">
        <v>6.03</v>
      </c>
      <c r="H2849">
        <v>4534.63</v>
      </c>
      <c r="I2849" s="80">
        <v>3923.76</v>
      </c>
      <c r="J2849">
        <v>6.22</v>
      </c>
      <c r="K2849">
        <v>1135.32</v>
      </c>
      <c r="L2849">
        <f t="shared" si="440"/>
        <v>0</v>
      </c>
      <c r="M2849">
        <f t="shared" si="441"/>
        <v>0</v>
      </c>
      <c r="N2849">
        <f t="shared" si="442"/>
        <v>0</v>
      </c>
      <c r="O2849">
        <f t="shared" si="443"/>
        <v>0</v>
      </c>
      <c r="P2849">
        <f t="shared" si="444"/>
        <v>0</v>
      </c>
      <c r="Q2849">
        <f t="shared" si="445"/>
        <v>0</v>
      </c>
      <c r="R2849">
        <f t="shared" si="446"/>
        <v>0</v>
      </c>
      <c r="S2849">
        <f t="shared" si="447"/>
        <v>0</v>
      </c>
      <c r="T2849">
        <f t="shared" si="449"/>
        <v>0</v>
      </c>
      <c r="U2849">
        <f t="shared" si="448"/>
        <v>0</v>
      </c>
    </row>
    <row r="2850" spans="1:21" x14ac:dyDescent="0.25">
      <c r="A2850" s="2">
        <v>2849</v>
      </c>
      <c r="B2850" s="2">
        <v>1011</v>
      </c>
      <c r="C2850" t="s">
        <v>181</v>
      </c>
      <c r="D2850">
        <v>2.52</v>
      </c>
      <c r="E2850" s="80">
        <v>52578.720000000001</v>
      </c>
      <c r="F2850">
        <v>53.26</v>
      </c>
      <c r="G2850">
        <v>6.03</v>
      </c>
      <c r="H2850">
        <v>2412.16</v>
      </c>
      <c r="I2850" s="80">
        <v>14399.83</v>
      </c>
      <c r="J2850">
        <v>4.49</v>
      </c>
      <c r="K2850">
        <v>848.69</v>
      </c>
      <c r="L2850">
        <f t="shared" si="440"/>
        <v>0</v>
      </c>
      <c r="M2850">
        <f t="shared" si="441"/>
        <v>0</v>
      </c>
      <c r="N2850">
        <f t="shared" si="442"/>
        <v>0</v>
      </c>
      <c r="O2850">
        <f t="shared" si="443"/>
        <v>0</v>
      </c>
      <c r="P2850">
        <f t="shared" si="444"/>
        <v>0</v>
      </c>
      <c r="Q2850">
        <f t="shared" si="445"/>
        <v>0</v>
      </c>
      <c r="R2850">
        <f t="shared" si="446"/>
        <v>0</v>
      </c>
      <c r="S2850">
        <f t="shared" si="447"/>
        <v>0</v>
      </c>
      <c r="T2850">
        <f t="shared" si="449"/>
        <v>0</v>
      </c>
      <c r="U2850">
        <f t="shared" si="448"/>
        <v>0</v>
      </c>
    </row>
    <row r="2851" spans="1:21" x14ac:dyDescent="0.25">
      <c r="A2851" s="2">
        <v>2850</v>
      </c>
      <c r="B2851" s="2">
        <v>1011</v>
      </c>
      <c r="C2851" t="s">
        <v>183</v>
      </c>
      <c r="D2851">
        <v>5.72</v>
      </c>
      <c r="E2851" s="80">
        <v>54386.05</v>
      </c>
      <c r="F2851">
        <v>584.44000000000005</v>
      </c>
      <c r="G2851">
        <v>37.880000000000003</v>
      </c>
      <c r="H2851">
        <v>6106.76</v>
      </c>
      <c r="I2851" s="80">
        <v>80233</v>
      </c>
      <c r="J2851">
        <v>16.190000000000001</v>
      </c>
      <c r="K2851">
        <v>5732.2</v>
      </c>
      <c r="L2851">
        <f t="shared" si="440"/>
        <v>0</v>
      </c>
      <c r="M2851">
        <f t="shared" si="441"/>
        <v>0</v>
      </c>
      <c r="N2851">
        <f t="shared" si="442"/>
        <v>0</v>
      </c>
      <c r="O2851">
        <f t="shared" si="443"/>
        <v>0</v>
      </c>
      <c r="P2851">
        <f t="shared" si="444"/>
        <v>0</v>
      </c>
      <c r="Q2851">
        <f t="shared" si="445"/>
        <v>0</v>
      </c>
      <c r="R2851">
        <f t="shared" si="446"/>
        <v>0</v>
      </c>
      <c r="S2851">
        <f t="shared" si="447"/>
        <v>0</v>
      </c>
      <c r="T2851">
        <f t="shared" si="449"/>
        <v>0</v>
      </c>
      <c r="U2851">
        <f t="shared" si="448"/>
        <v>0</v>
      </c>
    </row>
    <row r="2852" spans="1:21" x14ac:dyDescent="0.25">
      <c r="A2852" s="2">
        <v>2851</v>
      </c>
      <c r="B2852" s="2">
        <v>1011</v>
      </c>
      <c r="C2852" t="s">
        <v>186</v>
      </c>
      <c r="D2852">
        <v>5.72</v>
      </c>
      <c r="E2852" s="80">
        <v>38149.300000000003</v>
      </c>
      <c r="F2852">
        <v>959.59</v>
      </c>
      <c r="G2852">
        <v>26.84</v>
      </c>
      <c r="H2852">
        <v>10807.88</v>
      </c>
      <c r="I2852" s="80">
        <v>89195.04</v>
      </c>
      <c r="J2852">
        <v>22.93</v>
      </c>
      <c r="K2852" s="80">
        <v>10708.74</v>
      </c>
      <c r="L2852">
        <f t="shared" si="440"/>
        <v>0</v>
      </c>
      <c r="M2852">
        <f t="shared" si="441"/>
        <v>0</v>
      </c>
      <c r="N2852">
        <f t="shared" si="442"/>
        <v>0</v>
      </c>
      <c r="O2852">
        <f t="shared" si="443"/>
        <v>0</v>
      </c>
      <c r="P2852">
        <f t="shared" si="444"/>
        <v>0</v>
      </c>
      <c r="Q2852">
        <f t="shared" si="445"/>
        <v>0</v>
      </c>
      <c r="R2852">
        <f t="shared" si="446"/>
        <v>0</v>
      </c>
      <c r="S2852">
        <f t="shared" si="447"/>
        <v>0</v>
      </c>
      <c r="T2852">
        <f t="shared" si="449"/>
        <v>0</v>
      </c>
      <c r="U2852">
        <f t="shared" si="448"/>
        <v>0</v>
      </c>
    </row>
    <row r="2853" spans="1:21" x14ac:dyDescent="0.25">
      <c r="A2853" s="2">
        <v>2852</v>
      </c>
      <c r="B2853" s="2">
        <v>1011</v>
      </c>
      <c r="C2853" s="43" t="s">
        <v>188</v>
      </c>
      <c r="D2853">
        <v>5.72</v>
      </c>
      <c r="E2853" s="80">
        <v>32322.07</v>
      </c>
      <c r="F2853">
        <v>249.15</v>
      </c>
      <c r="G2853">
        <v>26.84</v>
      </c>
      <c r="H2853">
        <v>4700.07</v>
      </c>
      <c r="I2853" s="80">
        <v>39332.28</v>
      </c>
      <c r="J2853">
        <v>9.98</v>
      </c>
      <c r="K2853">
        <v>5334.56</v>
      </c>
      <c r="L2853">
        <f t="shared" si="440"/>
        <v>0</v>
      </c>
      <c r="M2853">
        <f t="shared" si="441"/>
        <v>0</v>
      </c>
      <c r="N2853">
        <f t="shared" si="442"/>
        <v>0</v>
      </c>
      <c r="O2853">
        <f t="shared" si="443"/>
        <v>0</v>
      </c>
      <c r="P2853">
        <f t="shared" si="444"/>
        <v>0</v>
      </c>
      <c r="Q2853">
        <f t="shared" si="445"/>
        <v>0</v>
      </c>
      <c r="R2853">
        <f t="shared" si="446"/>
        <v>0</v>
      </c>
      <c r="S2853">
        <f t="shared" si="447"/>
        <v>0</v>
      </c>
      <c r="T2853">
        <f t="shared" si="449"/>
        <v>0</v>
      </c>
      <c r="U2853">
        <f t="shared" si="448"/>
        <v>0</v>
      </c>
    </row>
    <row r="2854" spans="1:21" x14ac:dyDescent="0.25">
      <c r="A2854" s="2">
        <v>2853</v>
      </c>
      <c r="B2854" s="2">
        <v>1011</v>
      </c>
      <c r="C2854" s="43" t="s">
        <v>182</v>
      </c>
      <c r="D2854" s="80">
        <v>0.19</v>
      </c>
      <c r="E2854">
        <v>7854.93</v>
      </c>
      <c r="F2854">
        <v>75.02</v>
      </c>
      <c r="G2854">
        <v>11.11</v>
      </c>
      <c r="H2854">
        <v>669.52</v>
      </c>
      <c r="I2854" s="80">
        <v>19149.21</v>
      </c>
      <c r="J2854" s="80">
        <v>0.81</v>
      </c>
      <c r="K2854">
        <v>95.26</v>
      </c>
      <c r="L2854">
        <f t="shared" si="440"/>
        <v>0</v>
      </c>
      <c r="M2854">
        <f t="shared" si="441"/>
        <v>0</v>
      </c>
      <c r="N2854">
        <f t="shared" si="442"/>
        <v>0</v>
      </c>
      <c r="O2854">
        <f t="shared" si="443"/>
        <v>0</v>
      </c>
      <c r="P2854">
        <f t="shared" si="444"/>
        <v>0</v>
      </c>
      <c r="Q2854">
        <f t="shared" si="445"/>
        <v>0</v>
      </c>
      <c r="R2854">
        <f t="shared" si="446"/>
        <v>0</v>
      </c>
      <c r="S2854">
        <f t="shared" si="447"/>
        <v>0</v>
      </c>
      <c r="T2854">
        <f t="shared" si="449"/>
        <v>0</v>
      </c>
      <c r="U2854">
        <f t="shared" si="448"/>
        <v>0</v>
      </c>
    </row>
    <row r="2855" spans="1:21" x14ac:dyDescent="0.25">
      <c r="A2855" s="2">
        <v>2854</v>
      </c>
      <c r="B2855" s="2">
        <v>1011</v>
      </c>
      <c r="C2855" s="43" t="s">
        <v>184</v>
      </c>
      <c r="D2855">
        <v>2.52</v>
      </c>
      <c r="E2855">
        <v>14753.72</v>
      </c>
      <c r="F2855">
        <v>134.44</v>
      </c>
      <c r="G2855">
        <v>23.4</v>
      </c>
      <c r="H2855">
        <v>2467.59</v>
      </c>
      <c r="I2855" s="80">
        <v>35002.32</v>
      </c>
      <c r="J2855">
        <v>4.49</v>
      </c>
      <c r="K2855">
        <v>609.78</v>
      </c>
      <c r="L2855">
        <f t="shared" si="440"/>
        <v>0</v>
      </c>
      <c r="M2855">
        <f t="shared" si="441"/>
        <v>0</v>
      </c>
      <c r="N2855">
        <f t="shared" si="442"/>
        <v>0</v>
      </c>
      <c r="O2855">
        <f t="shared" si="443"/>
        <v>0</v>
      </c>
      <c r="P2855">
        <f t="shared" si="444"/>
        <v>0</v>
      </c>
      <c r="Q2855">
        <f t="shared" si="445"/>
        <v>0</v>
      </c>
      <c r="R2855">
        <f t="shared" si="446"/>
        <v>0</v>
      </c>
      <c r="S2855">
        <f t="shared" si="447"/>
        <v>0</v>
      </c>
      <c r="T2855">
        <f t="shared" si="449"/>
        <v>0</v>
      </c>
      <c r="U2855">
        <f t="shared" si="448"/>
        <v>0</v>
      </c>
    </row>
    <row r="2856" spans="1:21" x14ac:dyDescent="0.25">
      <c r="A2856" s="2">
        <v>2855</v>
      </c>
      <c r="B2856" s="2">
        <v>1011</v>
      </c>
      <c r="C2856" s="43" t="s">
        <v>187</v>
      </c>
      <c r="D2856">
        <v>15.08</v>
      </c>
      <c r="E2856">
        <v>23139.4</v>
      </c>
      <c r="F2856">
        <v>186.3</v>
      </c>
      <c r="G2856">
        <v>62.78</v>
      </c>
      <c r="H2856" s="80">
        <v>38869.71</v>
      </c>
      <c r="I2856" s="80">
        <v>41783.339999999997</v>
      </c>
      <c r="J2856">
        <v>18.38</v>
      </c>
      <c r="K2856">
        <v>7401.48</v>
      </c>
      <c r="L2856">
        <f t="shared" si="440"/>
        <v>0</v>
      </c>
      <c r="M2856">
        <f t="shared" si="441"/>
        <v>0</v>
      </c>
      <c r="N2856">
        <f t="shared" si="442"/>
        <v>0</v>
      </c>
      <c r="O2856">
        <f t="shared" si="443"/>
        <v>0</v>
      </c>
      <c r="P2856">
        <f t="shared" si="444"/>
        <v>0</v>
      </c>
      <c r="Q2856">
        <f t="shared" si="445"/>
        <v>0</v>
      </c>
      <c r="R2856">
        <f t="shared" si="446"/>
        <v>0</v>
      </c>
      <c r="S2856">
        <f t="shared" si="447"/>
        <v>0</v>
      </c>
      <c r="T2856">
        <f t="shared" si="449"/>
        <v>0</v>
      </c>
      <c r="U2856">
        <f t="shared" si="448"/>
        <v>0</v>
      </c>
    </row>
    <row r="2857" spans="1:21" x14ac:dyDescent="0.25">
      <c r="A2857" s="2">
        <v>2856</v>
      </c>
      <c r="B2857" s="2">
        <v>1011</v>
      </c>
      <c r="C2857" s="43" t="s">
        <v>189</v>
      </c>
      <c r="D2857">
        <v>2.52</v>
      </c>
      <c r="E2857">
        <v>11057.91</v>
      </c>
      <c r="F2857">
        <v>33.270000000000003</v>
      </c>
      <c r="G2857">
        <v>23.4</v>
      </c>
      <c r="H2857">
        <v>8346.65</v>
      </c>
      <c r="I2857" s="80">
        <v>9307.4599999999991</v>
      </c>
      <c r="J2857">
        <v>10.97</v>
      </c>
      <c r="K2857">
        <v>3496.47</v>
      </c>
      <c r="L2857">
        <f t="shared" si="440"/>
        <v>0</v>
      </c>
      <c r="M2857">
        <f t="shared" si="441"/>
        <v>0</v>
      </c>
      <c r="N2857">
        <f t="shared" si="442"/>
        <v>0</v>
      </c>
      <c r="O2857">
        <f t="shared" si="443"/>
        <v>0</v>
      </c>
      <c r="P2857">
        <f t="shared" si="444"/>
        <v>0</v>
      </c>
      <c r="Q2857">
        <f t="shared" si="445"/>
        <v>0</v>
      </c>
      <c r="R2857">
        <f t="shared" si="446"/>
        <v>0</v>
      </c>
      <c r="S2857">
        <f t="shared" si="447"/>
        <v>0</v>
      </c>
      <c r="T2857">
        <f t="shared" si="449"/>
        <v>0</v>
      </c>
      <c r="U2857">
        <f t="shared" si="448"/>
        <v>0</v>
      </c>
    </row>
    <row r="2858" spans="1:21" x14ac:dyDescent="0.25">
      <c r="A2858" s="2">
        <v>2857</v>
      </c>
      <c r="B2858" s="2" t="s">
        <v>644</v>
      </c>
      <c r="C2858" t="s">
        <v>162</v>
      </c>
      <c r="D2858" t="s">
        <v>583</v>
      </c>
      <c r="E2858">
        <v>12308.47</v>
      </c>
      <c r="F2858">
        <v>0.67</v>
      </c>
      <c r="G2858" t="s">
        <v>583</v>
      </c>
      <c r="H2858">
        <v>0.22</v>
      </c>
      <c r="I2858">
        <v>1.2</v>
      </c>
      <c r="J2858" t="s">
        <v>583</v>
      </c>
      <c r="K2858">
        <v>0.37</v>
      </c>
      <c r="L2858">
        <f t="shared" si="440"/>
        <v>0</v>
      </c>
      <c r="M2858">
        <f t="shared" si="441"/>
        <v>0</v>
      </c>
      <c r="N2858">
        <f t="shared" si="442"/>
        <v>0</v>
      </c>
      <c r="O2858">
        <f t="shared" si="443"/>
        <v>0</v>
      </c>
      <c r="P2858">
        <f t="shared" si="444"/>
        <v>0</v>
      </c>
      <c r="Q2858">
        <f t="shared" si="445"/>
        <v>0</v>
      </c>
      <c r="R2858">
        <f t="shared" si="446"/>
        <v>0</v>
      </c>
      <c r="S2858">
        <f t="shared" si="447"/>
        <v>0</v>
      </c>
      <c r="T2858">
        <f t="shared" si="449"/>
        <v>0</v>
      </c>
      <c r="U2858">
        <f t="shared" si="448"/>
        <v>0</v>
      </c>
    </row>
    <row r="2859" spans="1:21" x14ac:dyDescent="0.25">
      <c r="A2859" s="2">
        <v>2858</v>
      </c>
      <c r="B2859" s="2" t="s">
        <v>644</v>
      </c>
      <c r="C2859" t="s">
        <v>170</v>
      </c>
      <c r="D2859">
        <v>53.37</v>
      </c>
      <c r="E2859" s="80">
        <v>34347.160000000003</v>
      </c>
      <c r="F2859">
        <v>285.95999999999998</v>
      </c>
      <c r="G2859">
        <v>16.940000000000001</v>
      </c>
      <c r="H2859">
        <v>6707.74</v>
      </c>
      <c r="I2859" s="80">
        <v>47636.47</v>
      </c>
      <c r="J2859">
        <v>11.98</v>
      </c>
      <c r="K2859">
        <v>731.67</v>
      </c>
      <c r="L2859">
        <f t="shared" si="440"/>
        <v>0</v>
      </c>
      <c r="M2859">
        <f t="shared" si="441"/>
        <v>0</v>
      </c>
      <c r="N2859">
        <f t="shared" si="442"/>
        <v>0</v>
      </c>
      <c r="O2859">
        <f t="shared" si="443"/>
        <v>0</v>
      </c>
      <c r="P2859">
        <f t="shared" si="444"/>
        <v>0</v>
      </c>
      <c r="Q2859">
        <f t="shared" si="445"/>
        <v>0</v>
      </c>
      <c r="R2859">
        <f t="shared" si="446"/>
        <v>0</v>
      </c>
      <c r="S2859">
        <f t="shared" si="447"/>
        <v>0</v>
      </c>
      <c r="T2859">
        <f t="shared" si="449"/>
        <v>0</v>
      </c>
      <c r="U2859">
        <f t="shared" si="448"/>
        <v>0</v>
      </c>
    </row>
    <row r="2860" spans="1:21" x14ac:dyDescent="0.25">
      <c r="A2860" s="2">
        <v>2859</v>
      </c>
      <c r="B2860" s="2" t="s">
        <v>644</v>
      </c>
      <c r="C2860" t="s">
        <v>178</v>
      </c>
      <c r="D2860">
        <v>528.52</v>
      </c>
      <c r="E2860" s="80">
        <v>34095.019999999997</v>
      </c>
      <c r="F2860">
        <v>1636.32</v>
      </c>
      <c r="G2860">
        <v>45.79</v>
      </c>
      <c r="H2860" s="80">
        <v>57131.26</v>
      </c>
      <c r="I2860" s="80">
        <v>76315.740000000005</v>
      </c>
      <c r="J2860">
        <v>15.11</v>
      </c>
      <c r="K2860">
        <v>2843.82</v>
      </c>
      <c r="L2860">
        <f t="shared" si="440"/>
        <v>0</v>
      </c>
      <c r="M2860">
        <f t="shared" si="441"/>
        <v>0</v>
      </c>
      <c r="N2860">
        <f t="shared" si="442"/>
        <v>0</v>
      </c>
      <c r="O2860">
        <f t="shared" si="443"/>
        <v>0</v>
      </c>
      <c r="P2860">
        <f t="shared" si="444"/>
        <v>0</v>
      </c>
      <c r="Q2860">
        <f t="shared" si="445"/>
        <v>0</v>
      </c>
      <c r="R2860">
        <f t="shared" si="446"/>
        <v>0</v>
      </c>
      <c r="S2860">
        <f t="shared" si="447"/>
        <v>0</v>
      </c>
      <c r="T2860">
        <f t="shared" si="449"/>
        <v>0</v>
      </c>
      <c r="U2860">
        <f t="shared" si="448"/>
        <v>0</v>
      </c>
    </row>
    <row r="2861" spans="1:21" x14ac:dyDescent="0.25">
      <c r="A2861" s="2">
        <v>2860</v>
      </c>
      <c r="B2861" s="2" t="s">
        <v>644</v>
      </c>
      <c r="C2861" t="s">
        <v>163</v>
      </c>
      <c r="D2861">
        <v>488.97</v>
      </c>
      <c r="E2861" s="80">
        <v>30625.86</v>
      </c>
      <c r="F2861">
        <v>202.36</v>
      </c>
      <c r="G2861">
        <v>45.79</v>
      </c>
      <c r="H2861">
        <v>7983.04</v>
      </c>
      <c r="I2861" s="80">
        <v>31927.75</v>
      </c>
      <c r="J2861">
        <v>30.1</v>
      </c>
      <c r="K2861" s="80">
        <v>10808.44</v>
      </c>
      <c r="L2861">
        <f t="shared" si="440"/>
        <v>0</v>
      </c>
      <c r="M2861">
        <f t="shared" si="441"/>
        <v>0</v>
      </c>
      <c r="N2861">
        <f t="shared" si="442"/>
        <v>0</v>
      </c>
      <c r="O2861">
        <f t="shared" si="443"/>
        <v>0</v>
      </c>
      <c r="P2861">
        <f t="shared" si="444"/>
        <v>0</v>
      </c>
      <c r="Q2861">
        <f t="shared" si="445"/>
        <v>0</v>
      </c>
      <c r="R2861">
        <f t="shared" si="446"/>
        <v>0</v>
      </c>
      <c r="S2861">
        <f t="shared" si="447"/>
        <v>0</v>
      </c>
      <c r="T2861">
        <f t="shared" si="449"/>
        <v>0</v>
      </c>
      <c r="U2861">
        <f t="shared" si="448"/>
        <v>0</v>
      </c>
    </row>
    <row r="2862" spans="1:21" x14ac:dyDescent="0.25">
      <c r="A2862" s="2">
        <v>2861</v>
      </c>
      <c r="B2862" s="2" t="s">
        <v>644</v>
      </c>
      <c r="C2862" t="s">
        <v>181</v>
      </c>
      <c r="D2862" s="80">
        <v>0.19</v>
      </c>
      <c r="E2862" s="80">
        <v>241705.8</v>
      </c>
      <c r="F2862">
        <v>0.82</v>
      </c>
      <c r="G2862" t="s">
        <v>583</v>
      </c>
      <c r="H2862">
        <v>12.98</v>
      </c>
      <c r="I2862">
        <v>36.619999999999997</v>
      </c>
      <c r="J2862" t="s">
        <v>583</v>
      </c>
      <c r="K2862">
        <v>6.88</v>
      </c>
      <c r="L2862">
        <f t="shared" si="440"/>
        <v>0</v>
      </c>
      <c r="M2862">
        <f t="shared" si="441"/>
        <v>0</v>
      </c>
      <c r="N2862">
        <f t="shared" si="442"/>
        <v>0</v>
      </c>
      <c r="O2862">
        <f t="shared" si="443"/>
        <v>0</v>
      </c>
      <c r="P2862">
        <f t="shared" si="444"/>
        <v>0</v>
      </c>
      <c r="Q2862">
        <f t="shared" si="445"/>
        <v>0</v>
      </c>
      <c r="R2862">
        <f t="shared" si="446"/>
        <v>0</v>
      </c>
      <c r="S2862">
        <f t="shared" si="447"/>
        <v>0</v>
      </c>
      <c r="T2862">
        <f t="shared" si="449"/>
        <v>0</v>
      </c>
      <c r="U2862">
        <f t="shared" si="448"/>
        <v>0</v>
      </c>
    </row>
    <row r="2863" spans="1:21" x14ac:dyDescent="0.25">
      <c r="A2863" s="2">
        <v>2862</v>
      </c>
      <c r="B2863" s="2" t="s">
        <v>644</v>
      </c>
      <c r="C2863" t="s">
        <v>183</v>
      </c>
      <c r="D2863">
        <v>8.16</v>
      </c>
      <c r="E2863" s="80">
        <v>46168.85</v>
      </c>
      <c r="F2863">
        <v>1582.69</v>
      </c>
      <c r="G2863">
        <v>30.4</v>
      </c>
      <c r="H2863" s="80">
        <v>23999.68</v>
      </c>
      <c r="I2863" s="80">
        <v>89663.34</v>
      </c>
      <c r="J2863">
        <v>20.63</v>
      </c>
      <c r="K2863" s="80">
        <v>8457.8799999999992</v>
      </c>
      <c r="L2863">
        <f t="shared" si="440"/>
        <v>0</v>
      </c>
      <c r="M2863">
        <f t="shared" si="441"/>
        <v>0</v>
      </c>
      <c r="N2863">
        <f t="shared" si="442"/>
        <v>0</v>
      </c>
      <c r="O2863">
        <f t="shared" si="443"/>
        <v>0</v>
      </c>
      <c r="P2863">
        <f t="shared" si="444"/>
        <v>0</v>
      </c>
      <c r="Q2863">
        <f t="shared" si="445"/>
        <v>0</v>
      </c>
      <c r="R2863">
        <f t="shared" si="446"/>
        <v>0</v>
      </c>
      <c r="S2863">
        <f t="shared" si="447"/>
        <v>0</v>
      </c>
      <c r="T2863">
        <f t="shared" si="449"/>
        <v>0</v>
      </c>
      <c r="U2863">
        <f t="shared" si="448"/>
        <v>0</v>
      </c>
    </row>
    <row r="2864" spans="1:21" x14ac:dyDescent="0.25">
      <c r="A2864" s="2">
        <v>2863</v>
      </c>
      <c r="B2864" s="2" t="s">
        <v>644</v>
      </c>
      <c r="C2864" t="s">
        <v>186</v>
      </c>
      <c r="D2864">
        <v>8.16</v>
      </c>
      <c r="E2864" s="80">
        <v>35872.769999999997</v>
      </c>
      <c r="F2864">
        <v>2554.98</v>
      </c>
      <c r="G2864">
        <v>67.25</v>
      </c>
      <c r="H2864" s="80">
        <v>247401.77</v>
      </c>
      <c r="I2864" s="80">
        <v>102602.03</v>
      </c>
      <c r="J2864">
        <v>32.57</v>
      </c>
      <c r="K2864" s="80">
        <v>16323.46</v>
      </c>
      <c r="L2864">
        <f t="shared" si="440"/>
        <v>0</v>
      </c>
      <c r="M2864">
        <f t="shared" si="441"/>
        <v>0</v>
      </c>
      <c r="N2864">
        <f t="shared" si="442"/>
        <v>0</v>
      </c>
      <c r="O2864">
        <f t="shared" si="443"/>
        <v>0</v>
      </c>
      <c r="P2864">
        <f t="shared" si="444"/>
        <v>0</v>
      </c>
      <c r="Q2864">
        <f t="shared" si="445"/>
        <v>0</v>
      </c>
      <c r="R2864">
        <f t="shared" si="446"/>
        <v>0</v>
      </c>
      <c r="S2864">
        <f t="shared" si="447"/>
        <v>0</v>
      </c>
      <c r="T2864">
        <f t="shared" si="449"/>
        <v>0</v>
      </c>
      <c r="U2864">
        <f t="shared" si="448"/>
        <v>0</v>
      </c>
    </row>
    <row r="2865" spans="1:21" x14ac:dyDescent="0.25">
      <c r="A2865" s="2">
        <v>2864</v>
      </c>
      <c r="B2865" s="2" t="s">
        <v>644</v>
      </c>
      <c r="C2865" s="43" t="s">
        <v>188</v>
      </c>
      <c r="D2865">
        <v>8.16</v>
      </c>
      <c r="E2865" s="80">
        <v>410400.17</v>
      </c>
      <c r="F2865">
        <v>180.76</v>
      </c>
      <c r="G2865">
        <v>30.4</v>
      </c>
      <c r="H2865">
        <v>2842.51</v>
      </c>
      <c r="I2865" s="80">
        <v>30772.47</v>
      </c>
      <c r="J2865">
        <v>26.46</v>
      </c>
      <c r="K2865" s="80">
        <v>15469.54</v>
      </c>
      <c r="L2865">
        <f t="shared" si="440"/>
        <v>0</v>
      </c>
      <c r="M2865">
        <f t="shared" si="441"/>
        <v>0</v>
      </c>
      <c r="N2865">
        <f t="shared" si="442"/>
        <v>0</v>
      </c>
      <c r="O2865">
        <f t="shared" si="443"/>
        <v>0</v>
      </c>
      <c r="P2865">
        <f t="shared" si="444"/>
        <v>0</v>
      </c>
      <c r="Q2865">
        <f t="shared" si="445"/>
        <v>0</v>
      </c>
      <c r="R2865">
        <f t="shared" si="446"/>
        <v>0</v>
      </c>
      <c r="S2865">
        <f t="shared" si="447"/>
        <v>0</v>
      </c>
      <c r="T2865">
        <f t="shared" si="449"/>
        <v>0</v>
      </c>
      <c r="U2865">
        <f t="shared" si="448"/>
        <v>0</v>
      </c>
    </row>
    <row r="2866" spans="1:21" x14ac:dyDescent="0.25">
      <c r="A2866" s="2">
        <v>2865</v>
      </c>
      <c r="B2866" s="2" t="s">
        <v>644</v>
      </c>
      <c r="C2866" s="43" t="s">
        <v>182</v>
      </c>
      <c r="D2866" s="80" t="s">
        <v>583</v>
      </c>
      <c r="E2866">
        <v>3176.16</v>
      </c>
      <c r="F2866">
        <v>0.67</v>
      </c>
      <c r="G2866" t="s">
        <v>583</v>
      </c>
      <c r="H2866">
        <v>11.12</v>
      </c>
      <c r="I2866">
        <v>278.64999999999998</v>
      </c>
      <c r="J2866" t="s">
        <v>583</v>
      </c>
      <c r="K2866">
        <v>4.0199999999999996</v>
      </c>
      <c r="L2866">
        <f t="shared" si="440"/>
        <v>0</v>
      </c>
      <c r="M2866">
        <f t="shared" si="441"/>
        <v>0</v>
      </c>
      <c r="N2866">
        <f t="shared" si="442"/>
        <v>0</v>
      </c>
      <c r="O2866">
        <f t="shared" si="443"/>
        <v>0</v>
      </c>
      <c r="P2866">
        <f t="shared" si="444"/>
        <v>0</v>
      </c>
      <c r="Q2866">
        <f t="shared" si="445"/>
        <v>0</v>
      </c>
      <c r="R2866">
        <f t="shared" si="446"/>
        <v>0</v>
      </c>
      <c r="S2866">
        <f t="shared" si="447"/>
        <v>0</v>
      </c>
      <c r="T2866">
        <f t="shared" si="449"/>
        <v>0</v>
      </c>
      <c r="U2866">
        <f t="shared" si="448"/>
        <v>0</v>
      </c>
    </row>
    <row r="2867" spans="1:21" x14ac:dyDescent="0.25">
      <c r="A2867" s="2">
        <v>2866</v>
      </c>
      <c r="B2867" s="2" t="s">
        <v>644</v>
      </c>
      <c r="C2867" s="43" t="s">
        <v>184</v>
      </c>
      <c r="D2867">
        <v>1123.95</v>
      </c>
      <c r="E2867">
        <v>10204.23</v>
      </c>
      <c r="F2867">
        <v>42.54</v>
      </c>
      <c r="G2867">
        <v>16.940000000000001</v>
      </c>
      <c r="H2867" s="80">
        <v>24301.45</v>
      </c>
      <c r="I2867" s="80">
        <v>58461.48</v>
      </c>
      <c r="J2867">
        <v>18.38</v>
      </c>
      <c r="K2867">
        <v>3297.34</v>
      </c>
      <c r="L2867">
        <f t="shared" si="440"/>
        <v>0</v>
      </c>
      <c r="M2867">
        <f t="shared" si="441"/>
        <v>0</v>
      </c>
      <c r="N2867">
        <f t="shared" si="442"/>
        <v>0</v>
      </c>
      <c r="O2867">
        <f t="shared" si="443"/>
        <v>0</v>
      </c>
      <c r="P2867">
        <f t="shared" si="444"/>
        <v>0</v>
      </c>
      <c r="Q2867">
        <f t="shared" si="445"/>
        <v>0</v>
      </c>
      <c r="R2867">
        <f t="shared" si="446"/>
        <v>0</v>
      </c>
      <c r="S2867">
        <f t="shared" si="447"/>
        <v>0</v>
      </c>
      <c r="T2867">
        <f t="shared" si="449"/>
        <v>0</v>
      </c>
      <c r="U2867">
        <f t="shared" si="448"/>
        <v>0</v>
      </c>
    </row>
    <row r="2868" spans="1:21" x14ac:dyDescent="0.25">
      <c r="A2868" s="2">
        <v>2867</v>
      </c>
      <c r="B2868" s="2" t="s">
        <v>644</v>
      </c>
      <c r="C2868" s="43" t="s">
        <v>187</v>
      </c>
      <c r="D2868">
        <v>326.61</v>
      </c>
      <c r="E2868">
        <v>18015.599999999999</v>
      </c>
      <c r="F2868">
        <v>934.47</v>
      </c>
      <c r="G2868">
        <v>30.4</v>
      </c>
      <c r="H2868" s="80">
        <v>28394.42</v>
      </c>
      <c r="I2868" s="80">
        <v>54075.6</v>
      </c>
      <c r="J2868">
        <v>9.98</v>
      </c>
      <c r="K2868">
        <v>1644.83</v>
      </c>
      <c r="L2868">
        <f t="shared" si="440"/>
        <v>0</v>
      </c>
      <c r="M2868">
        <f t="shared" si="441"/>
        <v>0</v>
      </c>
      <c r="N2868">
        <f t="shared" si="442"/>
        <v>0</v>
      </c>
      <c r="O2868">
        <f t="shared" si="443"/>
        <v>0</v>
      </c>
      <c r="P2868">
        <f t="shared" si="444"/>
        <v>0</v>
      </c>
      <c r="Q2868">
        <f t="shared" si="445"/>
        <v>0</v>
      </c>
      <c r="R2868">
        <f t="shared" si="446"/>
        <v>0</v>
      </c>
      <c r="S2868">
        <f t="shared" si="447"/>
        <v>0</v>
      </c>
      <c r="T2868">
        <f t="shared" si="449"/>
        <v>0</v>
      </c>
      <c r="U2868">
        <f t="shared" si="448"/>
        <v>0</v>
      </c>
    </row>
    <row r="2869" spans="1:21" x14ac:dyDescent="0.25">
      <c r="A2869" s="2">
        <v>2868</v>
      </c>
      <c r="B2869" s="2" t="s">
        <v>644</v>
      </c>
      <c r="C2869" s="43" t="s">
        <v>189</v>
      </c>
      <c r="D2869">
        <v>1850.52</v>
      </c>
      <c r="E2869">
        <v>10040.790000000001</v>
      </c>
      <c r="F2869">
        <v>8.0299999999999994</v>
      </c>
      <c r="G2869">
        <v>41.78</v>
      </c>
      <c r="H2869" s="80">
        <v>21599.62</v>
      </c>
      <c r="I2869" s="80">
        <v>16991.580000000002</v>
      </c>
      <c r="J2869">
        <v>22.93</v>
      </c>
      <c r="K2869">
        <v>7318.51</v>
      </c>
      <c r="L2869">
        <f t="shared" si="440"/>
        <v>0</v>
      </c>
      <c r="M2869">
        <f t="shared" si="441"/>
        <v>0</v>
      </c>
      <c r="N2869">
        <f t="shared" si="442"/>
        <v>0</v>
      </c>
      <c r="O2869">
        <f t="shared" si="443"/>
        <v>0</v>
      </c>
      <c r="P2869">
        <f t="shared" si="444"/>
        <v>0</v>
      </c>
      <c r="Q2869">
        <f t="shared" si="445"/>
        <v>0</v>
      </c>
      <c r="R2869">
        <f t="shared" si="446"/>
        <v>0</v>
      </c>
      <c r="S2869">
        <f t="shared" si="447"/>
        <v>0</v>
      </c>
      <c r="T2869">
        <f t="shared" si="449"/>
        <v>0</v>
      </c>
      <c r="U2869">
        <f t="shared" si="448"/>
        <v>0</v>
      </c>
    </row>
    <row r="2870" spans="1:21" x14ac:dyDescent="0.25">
      <c r="A2870" s="2">
        <v>2869</v>
      </c>
      <c r="B2870" s="2" t="s">
        <v>645</v>
      </c>
      <c r="C2870" t="s">
        <v>162</v>
      </c>
      <c r="D2870" s="80">
        <v>0</v>
      </c>
      <c r="E2870">
        <v>23403.35</v>
      </c>
      <c r="F2870">
        <v>0.38</v>
      </c>
      <c r="G2870" s="80">
        <v>1.96</v>
      </c>
      <c r="H2870" t="s">
        <v>583</v>
      </c>
      <c r="I2870">
        <v>1.28</v>
      </c>
      <c r="J2870" t="s">
        <v>583</v>
      </c>
      <c r="K2870">
        <v>0.72</v>
      </c>
      <c r="L2870">
        <f t="shared" si="440"/>
        <v>0</v>
      </c>
      <c r="M2870">
        <f t="shared" si="441"/>
        <v>0</v>
      </c>
      <c r="N2870">
        <f t="shared" si="442"/>
        <v>0</v>
      </c>
      <c r="O2870">
        <f t="shared" si="443"/>
        <v>0</v>
      </c>
      <c r="P2870">
        <f t="shared" si="444"/>
        <v>0</v>
      </c>
      <c r="Q2870">
        <f t="shared" si="445"/>
        <v>0</v>
      </c>
      <c r="R2870">
        <f t="shared" si="446"/>
        <v>0</v>
      </c>
      <c r="S2870">
        <f t="shared" si="447"/>
        <v>0</v>
      </c>
      <c r="T2870">
        <f t="shared" si="449"/>
        <v>0</v>
      </c>
      <c r="U2870">
        <f t="shared" si="448"/>
        <v>0</v>
      </c>
    </row>
    <row r="2871" spans="1:21" x14ac:dyDescent="0.25">
      <c r="A2871" s="2">
        <v>2870</v>
      </c>
      <c r="B2871" s="2" t="s">
        <v>645</v>
      </c>
      <c r="C2871" t="s">
        <v>170</v>
      </c>
      <c r="D2871">
        <v>4.59</v>
      </c>
      <c r="E2871" s="80">
        <v>44655.69</v>
      </c>
      <c r="F2871">
        <v>1000.64</v>
      </c>
      <c r="G2871">
        <v>23.4</v>
      </c>
      <c r="H2871">
        <v>5808.61</v>
      </c>
      <c r="I2871" s="80">
        <v>50465.98</v>
      </c>
      <c r="J2871">
        <v>4.49</v>
      </c>
      <c r="K2871">
        <v>579.89</v>
      </c>
      <c r="L2871">
        <f t="shared" si="440"/>
        <v>0</v>
      </c>
      <c r="M2871">
        <f t="shared" si="441"/>
        <v>0</v>
      </c>
      <c r="N2871">
        <f t="shared" si="442"/>
        <v>0</v>
      </c>
      <c r="O2871">
        <f t="shared" si="443"/>
        <v>0</v>
      </c>
      <c r="P2871">
        <f t="shared" si="444"/>
        <v>0</v>
      </c>
      <c r="Q2871">
        <f t="shared" si="445"/>
        <v>0</v>
      </c>
      <c r="R2871">
        <f t="shared" si="446"/>
        <v>0</v>
      </c>
      <c r="S2871">
        <f t="shared" si="447"/>
        <v>0</v>
      </c>
      <c r="T2871">
        <f t="shared" si="449"/>
        <v>0</v>
      </c>
      <c r="U2871">
        <f t="shared" si="448"/>
        <v>0</v>
      </c>
    </row>
    <row r="2872" spans="1:21" x14ac:dyDescent="0.25">
      <c r="A2872" s="2">
        <v>2871</v>
      </c>
      <c r="B2872" s="2" t="s">
        <v>645</v>
      </c>
      <c r="C2872" t="s">
        <v>178</v>
      </c>
      <c r="D2872">
        <v>26.24</v>
      </c>
      <c r="E2872" s="80">
        <v>54582.559999999998</v>
      </c>
      <c r="F2872">
        <v>3967.8</v>
      </c>
      <c r="G2872">
        <v>37.880000000000003</v>
      </c>
      <c r="H2872" s="80">
        <v>76489.399999999994</v>
      </c>
      <c r="I2872" s="80">
        <v>91167.39</v>
      </c>
      <c r="J2872">
        <v>16.190000000000001</v>
      </c>
      <c r="K2872">
        <v>2187.94</v>
      </c>
      <c r="L2872">
        <f t="shared" si="440"/>
        <v>0</v>
      </c>
      <c r="M2872">
        <f t="shared" si="441"/>
        <v>0</v>
      </c>
      <c r="N2872">
        <f t="shared" si="442"/>
        <v>0</v>
      </c>
      <c r="O2872">
        <f t="shared" si="443"/>
        <v>0</v>
      </c>
      <c r="P2872">
        <f t="shared" si="444"/>
        <v>0</v>
      </c>
      <c r="Q2872">
        <f t="shared" si="445"/>
        <v>0</v>
      </c>
      <c r="R2872">
        <f t="shared" si="446"/>
        <v>0</v>
      </c>
      <c r="S2872">
        <f t="shared" si="447"/>
        <v>0</v>
      </c>
      <c r="T2872">
        <f t="shared" si="449"/>
        <v>0</v>
      </c>
      <c r="U2872">
        <f t="shared" si="448"/>
        <v>0</v>
      </c>
    </row>
    <row r="2873" spans="1:21" x14ac:dyDescent="0.25">
      <c r="A2873" s="2">
        <v>2872</v>
      </c>
      <c r="B2873" s="2" t="s">
        <v>645</v>
      </c>
      <c r="C2873" t="s">
        <v>163</v>
      </c>
      <c r="D2873">
        <v>742.02</v>
      </c>
      <c r="E2873" s="80">
        <v>134236.32</v>
      </c>
      <c r="F2873">
        <v>947.08</v>
      </c>
      <c r="G2873">
        <v>54.1</v>
      </c>
      <c r="H2873" s="80">
        <v>20048.02</v>
      </c>
      <c r="I2873" s="80">
        <v>63430.18</v>
      </c>
      <c r="J2873">
        <v>37.630000000000003</v>
      </c>
      <c r="K2873" s="89" t="s">
        <v>582</v>
      </c>
      <c r="L2873">
        <f t="shared" si="440"/>
        <v>0</v>
      </c>
      <c r="M2873">
        <f t="shared" si="441"/>
        <v>0</v>
      </c>
      <c r="N2873">
        <f t="shared" si="442"/>
        <v>0</v>
      </c>
      <c r="O2873">
        <f t="shared" si="443"/>
        <v>0</v>
      </c>
      <c r="P2873">
        <f t="shared" si="444"/>
        <v>0</v>
      </c>
      <c r="Q2873">
        <f t="shared" si="445"/>
        <v>0</v>
      </c>
      <c r="R2873">
        <f t="shared" si="446"/>
        <v>0</v>
      </c>
      <c r="S2873">
        <f t="shared" si="447"/>
        <v>1</v>
      </c>
      <c r="T2873">
        <f t="shared" si="449"/>
        <v>1</v>
      </c>
      <c r="U2873">
        <f t="shared" si="448"/>
        <v>1</v>
      </c>
    </row>
    <row r="2874" spans="1:21" x14ac:dyDescent="0.25">
      <c r="A2874" s="2">
        <v>2873</v>
      </c>
      <c r="B2874" s="2" t="s">
        <v>645</v>
      </c>
      <c r="C2874" s="89" t="s">
        <v>181</v>
      </c>
      <c r="D2874" s="80">
        <v>0.19</v>
      </c>
      <c r="E2874" s="89" t="s">
        <v>582</v>
      </c>
      <c r="F2874">
        <v>0.97</v>
      </c>
      <c r="G2874" t="s">
        <v>583</v>
      </c>
      <c r="H2874">
        <v>477.66</v>
      </c>
      <c r="I2874">
        <v>676.64</v>
      </c>
      <c r="J2874">
        <v>2.88</v>
      </c>
      <c r="K2874">
        <v>130.61000000000001</v>
      </c>
      <c r="L2874">
        <f t="shared" si="440"/>
        <v>0</v>
      </c>
      <c r="M2874">
        <f t="shared" si="441"/>
        <v>1</v>
      </c>
      <c r="N2874">
        <f t="shared" si="442"/>
        <v>0</v>
      </c>
      <c r="O2874">
        <f t="shared" si="443"/>
        <v>0</v>
      </c>
      <c r="P2874">
        <f t="shared" si="444"/>
        <v>0</v>
      </c>
      <c r="Q2874">
        <f t="shared" si="445"/>
        <v>0</v>
      </c>
      <c r="R2874">
        <f t="shared" si="446"/>
        <v>0</v>
      </c>
      <c r="S2874">
        <f t="shared" si="447"/>
        <v>0</v>
      </c>
      <c r="T2874">
        <f t="shared" si="449"/>
        <v>1</v>
      </c>
      <c r="U2874">
        <f t="shared" si="448"/>
        <v>1</v>
      </c>
    </row>
    <row r="2875" spans="1:21" x14ac:dyDescent="0.25">
      <c r="A2875" s="2">
        <v>2874</v>
      </c>
      <c r="B2875" s="2" t="s">
        <v>645</v>
      </c>
      <c r="C2875" t="s">
        <v>183</v>
      </c>
      <c r="D2875">
        <v>9.4600000000000009</v>
      </c>
      <c r="E2875" s="80">
        <v>344988.93</v>
      </c>
      <c r="F2875">
        <v>3977.25</v>
      </c>
      <c r="G2875">
        <v>62.78</v>
      </c>
      <c r="H2875" s="80">
        <v>34819.07</v>
      </c>
      <c r="I2875" s="80">
        <v>114373.59</v>
      </c>
      <c r="J2875">
        <v>30.1</v>
      </c>
      <c r="K2875" s="80">
        <v>10936.54</v>
      </c>
      <c r="L2875">
        <f t="shared" si="440"/>
        <v>0</v>
      </c>
      <c r="M2875">
        <f t="shared" si="441"/>
        <v>0</v>
      </c>
      <c r="N2875">
        <f t="shared" si="442"/>
        <v>0</v>
      </c>
      <c r="O2875">
        <f t="shared" si="443"/>
        <v>0</v>
      </c>
      <c r="P2875">
        <f t="shared" si="444"/>
        <v>0</v>
      </c>
      <c r="Q2875">
        <f t="shared" si="445"/>
        <v>0</v>
      </c>
      <c r="R2875">
        <f t="shared" si="446"/>
        <v>0</v>
      </c>
      <c r="S2875">
        <f t="shared" si="447"/>
        <v>0</v>
      </c>
      <c r="T2875">
        <f t="shared" si="449"/>
        <v>0</v>
      </c>
      <c r="U2875">
        <f t="shared" si="448"/>
        <v>0</v>
      </c>
    </row>
    <row r="2876" spans="1:21" x14ac:dyDescent="0.25">
      <c r="A2876" s="2">
        <v>2875</v>
      </c>
      <c r="B2876" s="2" t="s">
        <v>645</v>
      </c>
      <c r="C2876" s="89" t="s">
        <v>186</v>
      </c>
      <c r="D2876">
        <v>10.8</v>
      </c>
      <c r="E2876" s="80">
        <v>142191.44</v>
      </c>
      <c r="F2876">
        <v>5988.43</v>
      </c>
      <c r="G2876">
        <v>71.81</v>
      </c>
      <c r="H2876" s="89" t="s">
        <v>582</v>
      </c>
      <c r="I2876" s="80">
        <v>108287.78</v>
      </c>
      <c r="J2876">
        <v>40.21</v>
      </c>
      <c r="K2876" s="89" t="s">
        <v>582</v>
      </c>
      <c r="L2876">
        <f t="shared" si="440"/>
        <v>0</v>
      </c>
      <c r="M2876">
        <f t="shared" si="441"/>
        <v>0</v>
      </c>
      <c r="N2876">
        <f t="shared" si="442"/>
        <v>0</v>
      </c>
      <c r="O2876">
        <f t="shared" si="443"/>
        <v>0</v>
      </c>
      <c r="P2876">
        <f t="shared" si="444"/>
        <v>1</v>
      </c>
      <c r="Q2876">
        <f t="shared" si="445"/>
        <v>0</v>
      </c>
      <c r="R2876">
        <f t="shared" si="446"/>
        <v>0</v>
      </c>
      <c r="S2876">
        <f t="shared" si="447"/>
        <v>1</v>
      </c>
      <c r="T2876">
        <f t="shared" si="449"/>
        <v>2</v>
      </c>
      <c r="U2876">
        <f t="shared" si="448"/>
        <v>1</v>
      </c>
    </row>
    <row r="2877" spans="1:21" x14ac:dyDescent="0.25">
      <c r="A2877" s="2">
        <v>2876</v>
      </c>
      <c r="B2877" s="2" t="s">
        <v>645</v>
      </c>
      <c r="C2877" s="105" t="s">
        <v>188</v>
      </c>
      <c r="D2877">
        <v>13.61</v>
      </c>
      <c r="E2877" s="89" t="s">
        <v>582</v>
      </c>
      <c r="F2877">
        <v>2658.29</v>
      </c>
      <c r="G2877">
        <v>62.78</v>
      </c>
      <c r="H2877" s="80">
        <v>44538.46</v>
      </c>
      <c r="I2877" s="80">
        <v>98212.76</v>
      </c>
      <c r="J2877">
        <v>54.98</v>
      </c>
      <c r="K2877" s="89" t="s">
        <v>582</v>
      </c>
      <c r="L2877">
        <f t="shared" si="440"/>
        <v>0</v>
      </c>
      <c r="M2877">
        <f t="shared" si="441"/>
        <v>1</v>
      </c>
      <c r="N2877">
        <f t="shared" si="442"/>
        <v>0</v>
      </c>
      <c r="O2877">
        <f t="shared" si="443"/>
        <v>0</v>
      </c>
      <c r="P2877">
        <f t="shared" si="444"/>
        <v>0</v>
      </c>
      <c r="Q2877">
        <f t="shared" si="445"/>
        <v>0</v>
      </c>
      <c r="R2877">
        <f t="shared" si="446"/>
        <v>0</v>
      </c>
      <c r="S2877">
        <f t="shared" si="447"/>
        <v>1</v>
      </c>
      <c r="T2877">
        <f t="shared" si="449"/>
        <v>2</v>
      </c>
      <c r="U2877">
        <f t="shared" si="448"/>
        <v>1</v>
      </c>
    </row>
    <row r="2878" spans="1:21" x14ac:dyDescent="0.25">
      <c r="A2878" s="2">
        <v>2877</v>
      </c>
      <c r="B2878" s="2" t="s">
        <v>645</v>
      </c>
      <c r="C2878" s="43" t="s">
        <v>182</v>
      </c>
      <c r="D2878" t="s">
        <v>583</v>
      </c>
      <c r="E2878">
        <v>2337.9499999999998</v>
      </c>
      <c r="F2878">
        <v>8.9</v>
      </c>
      <c r="G2878" t="s">
        <v>583</v>
      </c>
      <c r="H2878">
        <v>18.84</v>
      </c>
      <c r="I2878" s="80">
        <v>7686.53</v>
      </c>
      <c r="J2878" t="s">
        <v>583</v>
      </c>
      <c r="K2878">
        <v>37.520000000000003</v>
      </c>
      <c r="L2878">
        <f t="shared" si="440"/>
        <v>0</v>
      </c>
      <c r="M2878">
        <f t="shared" si="441"/>
        <v>0</v>
      </c>
      <c r="N2878">
        <f t="shared" si="442"/>
        <v>0</v>
      </c>
      <c r="O2878">
        <f t="shared" si="443"/>
        <v>0</v>
      </c>
      <c r="P2878">
        <f t="shared" si="444"/>
        <v>0</v>
      </c>
      <c r="Q2878">
        <f t="shared" si="445"/>
        <v>0</v>
      </c>
      <c r="R2878">
        <f t="shared" si="446"/>
        <v>0</v>
      </c>
      <c r="S2878">
        <f t="shared" si="447"/>
        <v>0</v>
      </c>
      <c r="T2878">
        <f t="shared" si="449"/>
        <v>0</v>
      </c>
      <c r="U2878">
        <f t="shared" si="448"/>
        <v>0</v>
      </c>
    </row>
    <row r="2879" spans="1:21" x14ac:dyDescent="0.25">
      <c r="A2879" s="2">
        <v>2878</v>
      </c>
      <c r="B2879" s="2" t="s">
        <v>645</v>
      </c>
      <c r="C2879" s="43" t="s">
        <v>184</v>
      </c>
      <c r="D2879">
        <v>68</v>
      </c>
      <c r="E2879">
        <v>14481.87</v>
      </c>
      <c r="F2879">
        <v>926.36</v>
      </c>
      <c r="G2879">
        <v>23.4</v>
      </c>
      <c r="H2879">
        <v>6132.3</v>
      </c>
      <c r="I2879" s="80">
        <v>64956.43</v>
      </c>
      <c r="J2879">
        <v>8.0500000000000007</v>
      </c>
      <c r="K2879">
        <v>2441.0700000000002</v>
      </c>
      <c r="L2879">
        <f t="shared" si="440"/>
        <v>0</v>
      </c>
      <c r="M2879">
        <f t="shared" si="441"/>
        <v>0</v>
      </c>
      <c r="N2879">
        <f t="shared" si="442"/>
        <v>0</v>
      </c>
      <c r="O2879">
        <f t="shared" si="443"/>
        <v>0</v>
      </c>
      <c r="P2879">
        <f t="shared" si="444"/>
        <v>0</v>
      </c>
      <c r="Q2879">
        <f t="shared" si="445"/>
        <v>0</v>
      </c>
      <c r="R2879">
        <f t="shared" si="446"/>
        <v>0</v>
      </c>
      <c r="S2879">
        <f t="shared" si="447"/>
        <v>0</v>
      </c>
      <c r="T2879">
        <f t="shared" si="449"/>
        <v>0</v>
      </c>
      <c r="U2879">
        <f t="shared" si="448"/>
        <v>0</v>
      </c>
    </row>
    <row r="2880" spans="1:21" x14ac:dyDescent="0.25">
      <c r="A2880" s="2">
        <v>2879</v>
      </c>
      <c r="B2880" s="2" t="s">
        <v>645</v>
      </c>
      <c r="C2880" s="43" t="s">
        <v>187</v>
      </c>
      <c r="D2880">
        <v>644.27</v>
      </c>
      <c r="E2880">
        <v>19905.439999999999</v>
      </c>
      <c r="F2880">
        <v>1574.74</v>
      </c>
      <c r="G2880">
        <v>45.79</v>
      </c>
      <c r="H2880" s="80">
        <v>49317.79</v>
      </c>
      <c r="I2880" s="80">
        <v>77727.289999999994</v>
      </c>
      <c r="J2880">
        <v>35.08</v>
      </c>
      <c r="K2880" s="80">
        <v>10349.39</v>
      </c>
      <c r="L2880">
        <f t="shared" si="440"/>
        <v>0</v>
      </c>
      <c r="M2880">
        <f t="shared" si="441"/>
        <v>0</v>
      </c>
      <c r="N2880">
        <f t="shared" si="442"/>
        <v>0</v>
      </c>
      <c r="O2880">
        <f t="shared" si="443"/>
        <v>0</v>
      </c>
      <c r="P2880">
        <f t="shared" si="444"/>
        <v>0</v>
      </c>
      <c r="Q2880">
        <f t="shared" si="445"/>
        <v>0</v>
      </c>
      <c r="R2880">
        <f t="shared" si="446"/>
        <v>0</v>
      </c>
      <c r="S2880">
        <f t="shared" si="447"/>
        <v>0</v>
      </c>
      <c r="T2880">
        <f t="shared" si="449"/>
        <v>0</v>
      </c>
      <c r="U2880">
        <f t="shared" si="448"/>
        <v>0</v>
      </c>
    </row>
    <row r="2881" spans="1:21" x14ac:dyDescent="0.25">
      <c r="A2881" s="2">
        <v>2880</v>
      </c>
      <c r="B2881" s="2" t="s">
        <v>645</v>
      </c>
      <c r="C2881" s="43" t="s">
        <v>189</v>
      </c>
      <c r="D2881">
        <v>970.05</v>
      </c>
      <c r="E2881">
        <v>8654.5300000000007</v>
      </c>
      <c r="F2881">
        <v>9.23</v>
      </c>
      <c r="G2881">
        <v>20.100000000000001</v>
      </c>
      <c r="H2881" s="80">
        <v>37625.15</v>
      </c>
      <c r="I2881" s="80">
        <v>19827.990000000002</v>
      </c>
      <c r="J2881">
        <v>22.93</v>
      </c>
      <c r="K2881" s="80">
        <v>10377.16</v>
      </c>
      <c r="L2881">
        <f t="shared" si="440"/>
        <v>0</v>
      </c>
      <c r="M2881">
        <f t="shared" si="441"/>
        <v>0</v>
      </c>
      <c r="N2881">
        <f t="shared" si="442"/>
        <v>0</v>
      </c>
      <c r="O2881">
        <f t="shared" si="443"/>
        <v>0</v>
      </c>
      <c r="P2881">
        <f t="shared" si="444"/>
        <v>0</v>
      </c>
      <c r="Q2881">
        <f t="shared" si="445"/>
        <v>0</v>
      </c>
      <c r="R2881">
        <f t="shared" si="446"/>
        <v>0</v>
      </c>
      <c r="S2881">
        <f t="shared" si="447"/>
        <v>0</v>
      </c>
      <c r="T2881">
        <f t="shared" si="449"/>
        <v>0</v>
      </c>
      <c r="U2881">
        <f t="shared" si="448"/>
        <v>0</v>
      </c>
    </row>
    <row r="2882" spans="1:21" x14ac:dyDescent="0.25">
      <c r="A2882" s="2">
        <v>2881</v>
      </c>
      <c r="B2882" s="2" t="s">
        <v>646</v>
      </c>
      <c r="C2882" t="s">
        <v>162</v>
      </c>
      <c r="D2882" t="s">
        <v>583</v>
      </c>
      <c r="E2882" s="80">
        <v>30241.46</v>
      </c>
      <c r="F2882">
        <v>0.43</v>
      </c>
      <c r="G2882" s="80">
        <v>1.96</v>
      </c>
      <c r="H2882" t="s">
        <v>583</v>
      </c>
      <c r="I2882">
        <v>0.31</v>
      </c>
      <c r="J2882" t="s">
        <v>583</v>
      </c>
      <c r="K2882">
        <v>0.6</v>
      </c>
      <c r="L2882">
        <f t="shared" ref="L2882:L2945" si="450">IF(D2882 = "OOR &gt;", 1,0)</f>
        <v>0</v>
      </c>
      <c r="M2882">
        <f t="shared" ref="M2882:M2945" si="451">IF(E2882 = "OOR &gt;", 1,0)</f>
        <v>0</v>
      </c>
      <c r="N2882">
        <f t="shared" ref="N2882:N2945" si="452">IF(F2882 = "OOR &gt;", 1,0)</f>
        <v>0</v>
      </c>
      <c r="O2882">
        <f t="shared" ref="O2882:O2945" si="453">IF(G2882 = "OOR &gt;", 1,0)</f>
        <v>0</v>
      </c>
      <c r="P2882">
        <f t="shared" ref="P2882:P2945" si="454">IF(H2882 = "OOR &gt;", 1,0)</f>
        <v>0</v>
      </c>
      <c r="Q2882">
        <f t="shared" ref="Q2882:Q2945" si="455">IF(I2882 = "OOR &gt;", 1,0)</f>
        <v>0</v>
      </c>
      <c r="R2882">
        <f t="shared" ref="R2882:R2945" si="456">IF(J2882 = "OOR &gt;", 1,0)</f>
        <v>0</v>
      </c>
      <c r="S2882">
        <f t="shared" ref="S2882:S2945" si="457">IF(K2882 = "OOR &gt;", 1,0)</f>
        <v>0</v>
      </c>
      <c r="T2882">
        <f t="shared" si="449"/>
        <v>0</v>
      </c>
      <c r="U2882">
        <f t="shared" ref="U2882:U2945" si="458">IF(T2882 &gt; 0,1,0)</f>
        <v>0</v>
      </c>
    </row>
    <row r="2883" spans="1:21" x14ac:dyDescent="0.25">
      <c r="A2883" s="2">
        <v>2882</v>
      </c>
      <c r="B2883" s="2" t="s">
        <v>646</v>
      </c>
      <c r="C2883" t="s">
        <v>170</v>
      </c>
      <c r="D2883">
        <v>21.27</v>
      </c>
      <c r="E2883" s="80">
        <v>43256.15</v>
      </c>
      <c r="F2883">
        <v>1042.94</v>
      </c>
      <c r="G2883">
        <v>16.940000000000001</v>
      </c>
      <c r="H2883">
        <v>6976.05</v>
      </c>
      <c r="I2883" s="80">
        <v>41491.21</v>
      </c>
      <c r="J2883">
        <v>9.98</v>
      </c>
      <c r="K2883">
        <v>1537.86</v>
      </c>
      <c r="L2883">
        <f t="shared" si="450"/>
        <v>0</v>
      </c>
      <c r="M2883">
        <f t="shared" si="451"/>
        <v>0</v>
      </c>
      <c r="N2883">
        <f t="shared" si="452"/>
        <v>0</v>
      </c>
      <c r="O2883">
        <f t="shared" si="453"/>
        <v>0</v>
      </c>
      <c r="P2883">
        <f t="shared" si="454"/>
        <v>0</v>
      </c>
      <c r="Q2883">
        <f t="shared" si="455"/>
        <v>0</v>
      </c>
      <c r="R2883">
        <f t="shared" si="456"/>
        <v>0</v>
      </c>
      <c r="S2883">
        <f t="shared" si="457"/>
        <v>0</v>
      </c>
      <c r="T2883">
        <f t="shared" ref="T2883:T2946" si="459">SUMIF(L2883:S2883,"&gt;0")</f>
        <v>0</v>
      </c>
      <c r="U2883">
        <f t="shared" si="458"/>
        <v>0</v>
      </c>
    </row>
    <row r="2884" spans="1:21" x14ac:dyDescent="0.25">
      <c r="A2884" s="2">
        <v>2883</v>
      </c>
      <c r="B2884" s="2" t="s">
        <v>646</v>
      </c>
      <c r="C2884" t="s">
        <v>178</v>
      </c>
      <c r="D2884">
        <v>115.32</v>
      </c>
      <c r="E2884" s="80">
        <v>36170.5</v>
      </c>
      <c r="F2884">
        <v>2982.31</v>
      </c>
      <c r="G2884">
        <v>34.08</v>
      </c>
      <c r="H2884" s="80">
        <v>37664.699999999997</v>
      </c>
      <c r="I2884" s="80">
        <v>65100.36</v>
      </c>
      <c r="J2884">
        <v>20.63</v>
      </c>
      <c r="K2884">
        <v>4226.91</v>
      </c>
      <c r="L2884">
        <f t="shared" si="450"/>
        <v>0</v>
      </c>
      <c r="M2884">
        <f t="shared" si="451"/>
        <v>0</v>
      </c>
      <c r="N2884">
        <f t="shared" si="452"/>
        <v>0</v>
      </c>
      <c r="O2884">
        <f t="shared" si="453"/>
        <v>0</v>
      </c>
      <c r="P2884">
        <f t="shared" si="454"/>
        <v>0</v>
      </c>
      <c r="Q2884">
        <f t="shared" si="455"/>
        <v>0</v>
      </c>
      <c r="R2884">
        <f t="shared" si="456"/>
        <v>0</v>
      </c>
      <c r="S2884">
        <f t="shared" si="457"/>
        <v>0</v>
      </c>
      <c r="T2884">
        <f t="shared" si="459"/>
        <v>0</v>
      </c>
      <c r="U2884">
        <f t="shared" si="458"/>
        <v>0</v>
      </c>
    </row>
    <row r="2885" spans="1:21" x14ac:dyDescent="0.25">
      <c r="A2885" s="2">
        <v>2884</v>
      </c>
      <c r="B2885" s="2" t="s">
        <v>646</v>
      </c>
      <c r="C2885" t="s">
        <v>163</v>
      </c>
      <c r="D2885">
        <v>1030.81</v>
      </c>
      <c r="E2885" s="80">
        <v>26818.38</v>
      </c>
      <c r="F2885">
        <v>244.97</v>
      </c>
      <c r="G2885">
        <v>23.4</v>
      </c>
      <c r="H2885" s="80">
        <v>22265.52</v>
      </c>
      <c r="I2885" s="80">
        <v>23198.04</v>
      </c>
      <c r="J2885">
        <v>40.21</v>
      </c>
      <c r="K2885" s="80">
        <v>24881.66</v>
      </c>
      <c r="L2885">
        <f t="shared" si="450"/>
        <v>0</v>
      </c>
      <c r="M2885">
        <f t="shared" si="451"/>
        <v>0</v>
      </c>
      <c r="N2885">
        <f t="shared" si="452"/>
        <v>0</v>
      </c>
      <c r="O2885">
        <f t="shared" si="453"/>
        <v>0</v>
      </c>
      <c r="P2885">
        <f t="shared" si="454"/>
        <v>0</v>
      </c>
      <c r="Q2885">
        <f t="shared" si="455"/>
        <v>0</v>
      </c>
      <c r="R2885">
        <f t="shared" si="456"/>
        <v>0</v>
      </c>
      <c r="S2885">
        <f t="shared" si="457"/>
        <v>0</v>
      </c>
      <c r="T2885">
        <f t="shared" si="459"/>
        <v>0</v>
      </c>
      <c r="U2885">
        <f t="shared" si="458"/>
        <v>0</v>
      </c>
    </row>
    <row r="2886" spans="1:21" x14ac:dyDescent="0.25">
      <c r="A2886" s="2">
        <v>2885</v>
      </c>
      <c r="B2886" s="2" t="s">
        <v>646</v>
      </c>
      <c r="C2886" s="89" t="s">
        <v>181</v>
      </c>
      <c r="D2886" s="80">
        <v>0.19</v>
      </c>
      <c r="E2886" s="89" t="s">
        <v>582</v>
      </c>
      <c r="F2886">
        <v>0.77</v>
      </c>
      <c r="G2886" t="s">
        <v>583</v>
      </c>
      <c r="H2886">
        <v>120.53</v>
      </c>
      <c r="I2886">
        <v>126.5</v>
      </c>
      <c r="J2886">
        <v>1.44</v>
      </c>
      <c r="K2886">
        <v>31.45</v>
      </c>
      <c r="L2886">
        <f t="shared" si="450"/>
        <v>0</v>
      </c>
      <c r="M2886">
        <f t="shared" si="451"/>
        <v>1</v>
      </c>
      <c r="N2886">
        <f t="shared" si="452"/>
        <v>0</v>
      </c>
      <c r="O2886">
        <f t="shared" si="453"/>
        <v>0</v>
      </c>
      <c r="P2886">
        <f t="shared" si="454"/>
        <v>0</v>
      </c>
      <c r="Q2886">
        <f t="shared" si="455"/>
        <v>0</v>
      </c>
      <c r="R2886">
        <f t="shared" si="456"/>
        <v>0</v>
      </c>
      <c r="S2886">
        <f t="shared" si="457"/>
        <v>0</v>
      </c>
      <c r="T2886">
        <f t="shared" si="459"/>
        <v>1</v>
      </c>
      <c r="U2886">
        <f t="shared" si="458"/>
        <v>1</v>
      </c>
    </row>
    <row r="2887" spans="1:21" x14ac:dyDescent="0.25">
      <c r="A2887" s="2">
        <v>2886</v>
      </c>
      <c r="B2887" s="2" t="s">
        <v>646</v>
      </c>
      <c r="C2887" t="s">
        <v>183</v>
      </c>
      <c r="D2887">
        <v>8.16</v>
      </c>
      <c r="E2887" s="80">
        <v>216298.37</v>
      </c>
      <c r="F2887">
        <v>2432.15</v>
      </c>
      <c r="G2887">
        <v>54.1</v>
      </c>
      <c r="H2887" s="80">
        <v>31608.84</v>
      </c>
      <c r="I2887" s="80">
        <v>113088.62</v>
      </c>
      <c r="J2887">
        <v>30.1</v>
      </c>
      <c r="K2887" s="80">
        <v>10414.82</v>
      </c>
      <c r="L2887">
        <f t="shared" si="450"/>
        <v>0</v>
      </c>
      <c r="M2887">
        <f t="shared" si="451"/>
        <v>0</v>
      </c>
      <c r="N2887">
        <f t="shared" si="452"/>
        <v>0</v>
      </c>
      <c r="O2887">
        <f t="shared" si="453"/>
        <v>0</v>
      </c>
      <c r="P2887">
        <f t="shared" si="454"/>
        <v>0</v>
      </c>
      <c r="Q2887">
        <f t="shared" si="455"/>
        <v>0</v>
      </c>
      <c r="R2887">
        <f t="shared" si="456"/>
        <v>0</v>
      </c>
      <c r="S2887">
        <f t="shared" si="457"/>
        <v>0</v>
      </c>
      <c r="T2887">
        <f t="shared" si="459"/>
        <v>0</v>
      </c>
      <c r="U2887">
        <f t="shared" si="458"/>
        <v>0</v>
      </c>
    </row>
    <row r="2888" spans="1:21" x14ac:dyDescent="0.25">
      <c r="A2888" s="2">
        <v>2887</v>
      </c>
      <c r="B2888" s="2" t="s">
        <v>646</v>
      </c>
      <c r="C2888" s="89" t="s">
        <v>186</v>
      </c>
      <c r="D2888">
        <v>9.4600000000000009</v>
      </c>
      <c r="E2888" s="80">
        <v>61843.44</v>
      </c>
      <c r="F2888">
        <v>3044.51</v>
      </c>
      <c r="G2888">
        <v>58.4</v>
      </c>
      <c r="H2888" s="89" t="s">
        <v>582</v>
      </c>
      <c r="I2888" s="80">
        <v>107229.1</v>
      </c>
      <c r="J2888">
        <v>45.47</v>
      </c>
      <c r="K2888" s="80">
        <v>23606.880000000001</v>
      </c>
      <c r="L2888">
        <f t="shared" si="450"/>
        <v>0</v>
      </c>
      <c r="M2888">
        <f t="shared" si="451"/>
        <v>0</v>
      </c>
      <c r="N2888">
        <f t="shared" si="452"/>
        <v>0</v>
      </c>
      <c r="O2888">
        <f t="shared" si="453"/>
        <v>0</v>
      </c>
      <c r="P2888">
        <f t="shared" si="454"/>
        <v>1</v>
      </c>
      <c r="Q2888">
        <f t="shared" si="455"/>
        <v>0</v>
      </c>
      <c r="R2888">
        <f t="shared" si="456"/>
        <v>0</v>
      </c>
      <c r="S2888">
        <f t="shared" si="457"/>
        <v>0</v>
      </c>
      <c r="T2888">
        <f t="shared" si="459"/>
        <v>1</v>
      </c>
      <c r="U2888">
        <f t="shared" si="458"/>
        <v>1</v>
      </c>
    </row>
    <row r="2889" spans="1:21" x14ac:dyDescent="0.25">
      <c r="A2889" s="2">
        <v>2888</v>
      </c>
      <c r="B2889" s="2" t="s">
        <v>646</v>
      </c>
      <c r="C2889" s="105" t="s">
        <v>188</v>
      </c>
      <c r="D2889">
        <v>9.4600000000000009</v>
      </c>
      <c r="E2889" s="89" t="s">
        <v>582</v>
      </c>
      <c r="F2889">
        <v>1106.5899999999999</v>
      </c>
      <c r="G2889">
        <v>62.78</v>
      </c>
      <c r="H2889" s="80">
        <v>56651.94</v>
      </c>
      <c r="I2889" s="80">
        <v>72031.429999999993</v>
      </c>
      <c r="J2889">
        <v>63.41</v>
      </c>
      <c r="K2889" s="89" t="s">
        <v>582</v>
      </c>
      <c r="L2889">
        <f t="shared" si="450"/>
        <v>0</v>
      </c>
      <c r="M2889">
        <f t="shared" si="451"/>
        <v>1</v>
      </c>
      <c r="N2889">
        <f t="shared" si="452"/>
        <v>0</v>
      </c>
      <c r="O2889">
        <f t="shared" si="453"/>
        <v>0</v>
      </c>
      <c r="P2889">
        <f t="shared" si="454"/>
        <v>0</v>
      </c>
      <c r="Q2889">
        <f t="shared" si="455"/>
        <v>0</v>
      </c>
      <c r="R2889">
        <f t="shared" si="456"/>
        <v>0</v>
      </c>
      <c r="S2889">
        <f t="shared" si="457"/>
        <v>1</v>
      </c>
      <c r="T2889">
        <f t="shared" si="459"/>
        <v>2</v>
      </c>
      <c r="U2889">
        <f t="shared" si="458"/>
        <v>1</v>
      </c>
    </row>
    <row r="2890" spans="1:21" x14ac:dyDescent="0.25">
      <c r="A2890" s="2">
        <v>2889</v>
      </c>
      <c r="B2890" s="2" t="s">
        <v>646</v>
      </c>
      <c r="C2890" s="43" t="s">
        <v>182</v>
      </c>
      <c r="D2890" t="s">
        <v>583</v>
      </c>
      <c r="E2890">
        <v>1642.1</v>
      </c>
      <c r="F2890">
        <v>0.52</v>
      </c>
      <c r="G2890" t="s">
        <v>583</v>
      </c>
      <c r="H2890">
        <v>0.22</v>
      </c>
      <c r="I2890">
        <v>7.14</v>
      </c>
      <c r="J2890" t="s">
        <v>583</v>
      </c>
      <c r="K2890">
        <v>0.18</v>
      </c>
      <c r="L2890">
        <f t="shared" si="450"/>
        <v>0</v>
      </c>
      <c r="M2890">
        <f t="shared" si="451"/>
        <v>0</v>
      </c>
      <c r="N2890">
        <f t="shared" si="452"/>
        <v>0</v>
      </c>
      <c r="O2890">
        <f t="shared" si="453"/>
        <v>0</v>
      </c>
      <c r="P2890">
        <f t="shared" si="454"/>
        <v>0</v>
      </c>
      <c r="Q2890">
        <f t="shared" si="455"/>
        <v>0</v>
      </c>
      <c r="R2890">
        <f t="shared" si="456"/>
        <v>0</v>
      </c>
      <c r="S2890">
        <f t="shared" si="457"/>
        <v>0</v>
      </c>
      <c r="T2890">
        <f t="shared" si="459"/>
        <v>0</v>
      </c>
      <c r="U2890">
        <f t="shared" si="458"/>
        <v>0</v>
      </c>
    </row>
    <row r="2891" spans="1:21" x14ac:dyDescent="0.25">
      <c r="A2891" s="2">
        <v>2890</v>
      </c>
      <c r="B2891" s="2" t="s">
        <v>646</v>
      </c>
      <c r="C2891" s="43" t="s">
        <v>184</v>
      </c>
      <c r="D2891">
        <v>31.45</v>
      </c>
      <c r="E2891">
        <v>6678.99</v>
      </c>
      <c r="F2891">
        <v>202.36</v>
      </c>
      <c r="G2891" t="s">
        <v>583</v>
      </c>
      <c r="H2891">
        <v>7682.43</v>
      </c>
      <c r="I2891" s="80">
        <v>36635.46</v>
      </c>
      <c r="J2891">
        <v>6.22</v>
      </c>
      <c r="K2891">
        <v>1365.99</v>
      </c>
      <c r="L2891">
        <f t="shared" si="450"/>
        <v>0</v>
      </c>
      <c r="M2891">
        <f t="shared" si="451"/>
        <v>0</v>
      </c>
      <c r="N2891">
        <f t="shared" si="452"/>
        <v>0</v>
      </c>
      <c r="O2891">
        <f t="shared" si="453"/>
        <v>0</v>
      </c>
      <c r="P2891">
        <f t="shared" si="454"/>
        <v>0</v>
      </c>
      <c r="Q2891">
        <f t="shared" si="455"/>
        <v>0</v>
      </c>
      <c r="R2891">
        <f t="shared" si="456"/>
        <v>0</v>
      </c>
      <c r="S2891">
        <f t="shared" si="457"/>
        <v>0</v>
      </c>
      <c r="T2891">
        <f t="shared" si="459"/>
        <v>0</v>
      </c>
      <c r="U2891">
        <f t="shared" si="458"/>
        <v>0</v>
      </c>
    </row>
    <row r="2892" spans="1:21" x14ac:dyDescent="0.25">
      <c r="A2892" s="2">
        <v>2891</v>
      </c>
      <c r="B2892" s="2" t="s">
        <v>646</v>
      </c>
      <c r="C2892" s="43" t="s">
        <v>187</v>
      </c>
      <c r="D2892">
        <v>169.56</v>
      </c>
      <c r="E2892">
        <v>6948.26</v>
      </c>
      <c r="F2892">
        <v>329.36</v>
      </c>
      <c r="G2892">
        <v>16.940000000000001</v>
      </c>
      <c r="H2892">
        <v>14655.05</v>
      </c>
      <c r="I2892" s="80">
        <v>29266.46</v>
      </c>
      <c r="J2892">
        <v>22.93</v>
      </c>
      <c r="K2892">
        <v>4224.24</v>
      </c>
      <c r="L2892">
        <f t="shared" si="450"/>
        <v>0</v>
      </c>
      <c r="M2892">
        <f t="shared" si="451"/>
        <v>0</v>
      </c>
      <c r="N2892">
        <f t="shared" si="452"/>
        <v>0</v>
      </c>
      <c r="O2892">
        <f t="shared" si="453"/>
        <v>0</v>
      </c>
      <c r="P2892">
        <f t="shared" si="454"/>
        <v>0</v>
      </c>
      <c r="Q2892">
        <f t="shared" si="455"/>
        <v>0</v>
      </c>
      <c r="R2892">
        <f t="shared" si="456"/>
        <v>0</v>
      </c>
      <c r="S2892">
        <f t="shared" si="457"/>
        <v>0</v>
      </c>
      <c r="T2892">
        <f t="shared" si="459"/>
        <v>0</v>
      </c>
      <c r="U2892">
        <f t="shared" si="458"/>
        <v>0</v>
      </c>
    </row>
    <row r="2893" spans="1:21" x14ac:dyDescent="0.25">
      <c r="A2893" s="2">
        <v>2892</v>
      </c>
      <c r="B2893" s="2" t="s">
        <v>646</v>
      </c>
      <c r="C2893" s="43" t="s">
        <v>189</v>
      </c>
      <c r="D2893">
        <v>56.43</v>
      </c>
      <c r="E2893">
        <v>5035.5600000000004</v>
      </c>
      <c r="F2893">
        <v>5.77</v>
      </c>
      <c r="G2893" s="80">
        <v>1.96</v>
      </c>
      <c r="H2893">
        <v>7183.09</v>
      </c>
      <c r="I2893" s="80">
        <v>6423.14</v>
      </c>
      <c r="J2893">
        <v>11.98</v>
      </c>
      <c r="K2893">
        <v>4306.6499999999996</v>
      </c>
      <c r="L2893">
        <f t="shared" si="450"/>
        <v>0</v>
      </c>
      <c r="M2893">
        <f t="shared" si="451"/>
        <v>0</v>
      </c>
      <c r="N2893">
        <f t="shared" si="452"/>
        <v>0</v>
      </c>
      <c r="O2893">
        <f t="shared" si="453"/>
        <v>0</v>
      </c>
      <c r="P2893">
        <f t="shared" si="454"/>
        <v>0</v>
      </c>
      <c r="Q2893">
        <f t="shared" si="455"/>
        <v>0</v>
      </c>
      <c r="R2893">
        <f t="shared" si="456"/>
        <v>0</v>
      </c>
      <c r="S2893">
        <f t="shared" si="457"/>
        <v>0</v>
      </c>
      <c r="T2893">
        <f t="shared" si="459"/>
        <v>0</v>
      </c>
      <c r="U2893">
        <f t="shared" si="458"/>
        <v>0</v>
      </c>
    </row>
    <row r="2894" spans="1:21" x14ac:dyDescent="0.25">
      <c r="A2894" s="2">
        <v>2893</v>
      </c>
      <c r="B2894" s="2" t="s">
        <v>647</v>
      </c>
      <c r="C2894" s="89" t="s">
        <v>181</v>
      </c>
      <c r="D2894">
        <v>5.15</v>
      </c>
      <c r="E2894" s="89" t="s">
        <v>582</v>
      </c>
      <c r="F2894">
        <v>326.14</v>
      </c>
      <c r="G2894">
        <v>16.940000000000001</v>
      </c>
      <c r="H2894">
        <v>4015.31</v>
      </c>
      <c r="I2894" s="80">
        <v>45092.94</v>
      </c>
      <c r="J2894">
        <v>9.98</v>
      </c>
      <c r="K2894">
        <v>2656.51</v>
      </c>
      <c r="L2894">
        <f t="shared" si="450"/>
        <v>0</v>
      </c>
      <c r="M2894">
        <f t="shared" si="451"/>
        <v>1</v>
      </c>
      <c r="N2894">
        <f t="shared" si="452"/>
        <v>0</v>
      </c>
      <c r="O2894">
        <f t="shared" si="453"/>
        <v>0</v>
      </c>
      <c r="P2894">
        <f t="shared" si="454"/>
        <v>0</v>
      </c>
      <c r="Q2894">
        <f t="shared" si="455"/>
        <v>0</v>
      </c>
      <c r="R2894">
        <f t="shared" si="456"/>
        <v>0</v>
      </c>
      <c r="S2894">
        <f t="shared" si="457"/>
        <v>0</v>
      </c>
      <c r="T2894">
        <f t="shared" si="459"/>
        <v>1</v>
      </c>
      <c r="U2894">
        <f t="shared" si="458"/>
        <v>1</v>
      </c>
    </row>
    <row r="2895" spans="1:21" x14ac:dyDescent="0.25">
      <c r="A2895" s="2">
        <v>2894</v>
      </c>
      <c r="B2895" s="2" t="s">
        <v>647</v>
      </c>
      <c r="C2895" s="89" t="s">
        <v>183</v>
      </c>
      <c r="D2895">
        <v>8.16</v>
      </c>
      <c r="E2895" s="80">
        <v>904143.56</v>
      </c>
      <c r="F2895" s="80">
        <v>5523.58</v>
      </c>
      <c r="G2895">
        <v>81.16</v>
      </c>
      <c r="H2895" s="80">
        <v>22005.919999999998</v>
      </c>
      <c r="I2895" s="80">
        <v>119728.68</v>
      </c>
      <c r="J2895">
        <v>31.33</v>
      </c>
      <c r="K2895" s="89" t="s">
        <v>582</v>
      </c>
      <c r="L2895">
        <f t="shared" si="450"/>
        <v>0</v>
      </c>
      <c r="M2895">
        <f t="shared" si="451"/>
        <v>0</v>
      </c>
      <c r="N2895">
        <f t="shared" si="452"/>
        <v>0</v>
      </c>
      <c r="O2895">
        <f t="shared" si="453"/>
        <v>0</v>
      </c>
      <c r="P2895">
        <f t="shared" si="454"/>
        <v>0</v>
      </c>
      <c r="Q2895">
        <f t="shared" si="455"/>
        <v>0</v>
      </c>
      <c r="R2895">
        <f t="shared" si="456"/>
        <v>0</v>
      </c>
      <c r="S2895">
        <f t="shared" si="457"/>
        <v>1</v>
      </c>
      <c r="T2895">
        <f t="shared" si="459"/>
        <v>1</v>
      </c>
      <c r="U2895">
        <f t="shared" si="458"/>
        <v>1</v>
      </c>
    </row>
    <row r="2896" spans="1:21" x14ac:dyDescent="0.25">
      <c r="A2896" s="2">
        <v>2895</v>
      </c>
      <c r="B2896" s="2" t="s">
        <v>647</v>
      </c>
      <c r="C2896" s="105" t="s">
        <v>188</v>
      </c>
      <c r="D2896">
        <v>6.92</v>
      </c>
      <c r="E2896" s="89" t="s">
        <v>582</v>
      </c>
      <c r="F2896">
        <v>1054.6400000000001</v>
      </c>
      <c r="G2896">
        <v>58.4</v>
      </c>
      <c r="H2896" s="80">
        <v>20750.46</v>
      </c>
      <c r="I2896" s="80">
        <v>102322.41</v>
      </c>
      <c r="J2896">
        <v>42.82</v>
      </c>
      <c r="K2896" s="89" t="s">
        <v>582</v>
      </c>
      <c r="L2896">
        <f t="shared" si="450"/>
        <v>0</v>
      </c>
      <c r="M2896">
        <f t="shared" si="451"/>
        <v>1</v>
      </c>
      <c r="N2896">
        <f t="shared" si="452"/>
        <v>0</v>
      </c>
      <c r="O2896">
        <f t="shared" si="453"/>
        <v>0</v>
      </c>
      <c r="P2896">
        <f t="shared" si="454"/>
        <v>0</v>
      </c>
      <c r="Q2896">
        <f t="shared" si="455"/>
        <v>0</v>
      </c>
      <c r="R2896">
        <f t="shared" si="456"/>
        <v>0</v>
      </c>
      <c r="S2896">
        <f t="shared" si="457"/>
        <v>1</v>
      </c>
      <c r="T2896">
        <f t="shared" si="459"/>
        <v>2</v>
      </c>
      <c r="U2896">
        <f t="shared" si="458"/>
        <v>1</v>
      </c>
    </row>
    <row r="2897" spans="1:21" x14ac:dyDescent="0.25">
      <c r="A2897" s="2">
        <v>2896</v>
      </c>
      <c r="B2897" s="2" t="s">
        <v>647</v>
      </c>
      <c r="C2897" s="43" t="s">
        <v>182</v>
      </c>
      <c r="D2897" s="80">
        <v>0</v>
      </c>
      <c r="E2897">
        <v>2767.59</v>
      </c>
      <c r="F2897">
        <v>9.5</v>
      </c>
      <c r="G2897" t="s">
        <v>583</v>
      </c>
      <c r="H2897">
        <v>93.98</v>
      </c>
      <c r="I2897" s="80">
        <v>4100.8500000000004</v>
      </c>
      <c r="J2897" t="s">
        <v>583</v>
      </c>
      <c r="K2897">
        <v>55.51</v>
      </c>
      <c r="L2897">
        <f t="shared" si="450"/>
        <v>0</v>
      </c>
      <c r="M2897">
        <f t="shared" si="451"/>
        <v>0</v>
      </c>
      <c r="N2897">
        <f t="shared" si="452"/>
        <v>0</v>
      </c>
      <c r="O2897">
        <f t="shared" si="453"/>
        <v>0</v>
      </c>
      <c r="P2897">
        <f t="shared" si="454"/>
        <v>0</v>
      </c>
      <c r="Q2897">
        <f t="shared" si="455"/>
        <v>0</v>
      </c>
      <c r="R2897">
        <f t="shared" si="456"/>
        <v>0</v>
      </c>
      <c r="S2897">
        <f t="shared" si="457"/>
        <v>0</v>
      </c>
      <c r="T2897">
        <f t="shared" si="459"/>
        <v>0</v>
      </c>
      <c r="U2897">
        <f t="shared" si="458"/>
        <v>0</v>
      </c>
    </row>
    <row r="2898" spans="1:21" x14ac:dyDescent="0.25">
      <c r="A2898" s="2">
        <v>2897</v>
      </c>
      <c r="B2898" s="2" t="s">
        <v>647</v>
      </c>
      <c r="C2898" s="43" t="s">
        <v>184</v>
      </c>
      <c r="D2898">
        <v>6.92</v>
      </c>
      <c r="E2898">
        <v>6091.06</v>
      </c>
      <c r="F2898">
        <v>98.72</v>
      </c>
      <c r="G2898">
        <v>8.4600000000000009</v>
      </c>
      <c r="H2898">
        <v>3893.76</v>
      </c>
      <c r="I2898" s="80">
        <v>30075.82</v>
      </c>
      <c r="J2898">
        <v>4.49</v>
      </c>
      <c r="K2898">
        <v>2560.54</v>
      </c>
      <c r="L2898">
        <f t="shared" si="450"/>
        <v>0</v>
      </c>
      <c r="M2898">
        <f t="shared" si="451"/>
        <v>0</v>
      </c>
      <c r="N2898">
        <f t="shared" si="452"/>
        <v>0</v>
      </c>
      <c r="O2898">
        <f t="shared" si="453"/>
        <v>0</v>
      </c>
      <c r="P2898">
        <f t="shared" si="454"/>
        <v>0</v>
      </c>
      <c r="Q2898">
        <f t="shared" si="455"/>
        <v>0</v>
      </c>
      <c r="R2898">
        <f t="shared" si="456"/>
        <v>0</v>
      </c>
      <c r="S2898">
        <f t="shared" si="457"/>
        <v>0</v>
      </c>
      <c r="T2898">
        <f t="shared" si="459"/>
        <v>0</v>
      </c>
      <c r="U2898">
        <f t="shared" si="458"/>
        <v>0</v>
      </c>
    </row>
    <row r="2899" spans="1:21" x14ac:dyDescent="0.25">
      <c r="A2899" s="2">
        <v>2898</v>
      </c>
      <c r="B2899" s="2" t="s">
        <v>647</v>
      </c>
      <c r="C2899" s="43" t="s">
        <v>187</v>
      </c>
      <c r="D2899">
        <v>89.15</v>
      </c>
      <c r="E2899">
        <v>6402.43</v>
      </c>
      <c r="F2899">
        <v>105.5</v>
      </c>
      <c r="G2899">
        <v>37.880000000000003</v>
      </c>
      <c r="H2899" s="80">
        <v>16004.78</v>
      </c>
      <c r="I2899" s="80">
        <v>30671.14</v>
      </c>
      <c r="J2899">
        <v>16.190000000000001</v>
      </c>
      <c r="K2899">
        <v>7052.57</v>
      </c>
      <c r="L2899">
        <f t="shared" si="450"/>
        <v>0</v>
      </c>
      <c r="M2899">
        <f t="shared" si="451"/>
        <v>0</v>
      </c>
      <c r="N2899">
        <f t="shared" si="452"/>
        <v>0</v>
      </c>
      <c r="O2899">
        <f t="shared" si="453"/>
        <v>0</v>
      </c>
      <c r="P2899">
        <f t="shared" si="454"/>
        <v>0</v>
      </c>
      <c r="Q2899">
        <f t="shared" si="455"/>
        <v>0</v>
      </c>
      <c r="R2899">
        <f t="shared" si="456"/>
        <v>0</v>
      </c>
      <c r="S2899">
        <f t="shared" si="457"/>
        <v>0</v>
      </c>
      <c r="T2899">
        <f t="shared" si="459"/>
        <v>0</v>
      </c>
      <c r="U2899">
        <f t="shared" si="458"/>
        <v>0</v>
      </c>
    </row>
    <row r="2900" spans="1:21" x14ac:dyDescent="0.25">
      <c r="A2900" s="2">
        <v>2899</v>
      </c>
      <c r="B2900" s="2" t="s">
        <v>647</v>
      </c>
      <c r="C2900" s="43" t="s">
        <v>189</v>
      </c>
      <c r="D2900">
        <v>15.08</v>
      </c>
      <c r="E2900">
        <v>2683.15</v>
      </c>
      <c r="F2900">
        <v>3.14</v>
      </c>
      <c r="G2900">
        <v>11.11</v>
      </c>
      <c r="H2900">
        <v>6637.36</v>
      </c>
      <c r="I2900" s="80">
        <v>3276.85</v>
      </c>
      <c r="J2900">
        <v>6.22</v>
      </c>
      <c r="K2900">
        <v>3088.31</v>
      </c>
      <c r="L2900">
        <f t="shared" si="450"/>
        <v>0</v>
      </c>
      <c r="M2900">
        <f t="shared" si="451"/>
        <v>0</v>
      </c>
      <c r="N2900">
        <f t="shared" si="452"/>
        <v>0</v>
      </c>
      <c r="O2900">
        <f t="shared" si="453"/>
        <v>0</v>
      </c>
      <c r="P2900">
        <f t="shared" si="454"/>
        <v>0</v>
      </c>
      <c r="Q2900">
        <f t="shared" si="455"/>
        <v>0</v>
      </c>
      <c r="R2900">
        <f t="shared" si="456"/>
        <v>0</v>
      </c>
      <c r="S2900">
        <f t="shared" si="457"/>
        <v>0</v>
      </c>
      <c r="T2900">
        <f t="shared" si="459"/>
        <v>0</v>
      </c>
      <c r="U2900">
        <f t="shared" si="458"/>
        <v>0</v>
      </c>
    </row>
    <row r="2901" spans="1:21" x14ac:dyDescent="0.25">
      <c r="A2901" s="2">
        <v>2900</v>
      </c>
      <c r="B2901" s="2" t="s">
        <v>648</v>
      </c>
      <c r="C2901" t="s">
        <v>162</v>
      </c>
      <c r="D2901" s="80">
        <v>0.19</v>
      </c>
      <c r="E2901" s="80">
        <v>43929.68</v>
      </c>
      <c r="F2901">
        <v>0.47</v>
      </c>
      <c r="G2901">
        <v>6.03</v>
      </c>
      <c r="H2901" t="s">
        <v>583</v>
      </c>
      <c r="I2901">
        <v>1.28</v>
      </c>
      <c r="J2901" t="s">
        <v>583</v>
      </c>
      <c r="K2901">
        <v>0.48</v>
      </c>
      <c r="L2901">
        <f t="shared" si="450"/>
        <v>0</v>
      </c>
      <c r="M2901">
        <f t="shared" si="451"/>
        <v>0</v>
      </c>
      <c r="N2901">
        <f t="shared" si="452"/>
        <v>0</v>
      </c>
      <c r="O2901">
        <f t="shared" si="453"/>
        <v>0</v>
      </c>
      <c r="P2901">
        <f t="shared" si="454"/>
        <v>0</v>
      </c>
      <c r="Q2901">
        <f t="shared" si="455"/>
        <v>0</v>
      </c>
      <c r="R2901">
        <f t="shared" si="456"/>
        <v>0</v>
      </c>
      <c r="S2901">
        <f t="shared" si="457"/>
        <v>0</v>
      </c>
      <c r="T2901">
        <f t="shared" si="459"/>
        <v>0</v>
      </c>
      <c r="U2901">
        <f t="shared" si="458"/>
        <v>0</v>
      </c>
    </row>
    <row r="2902" spans="1:21" x14ac:dyDescent="0.25">
      <c r="A2902" s="2">
        <v>2901</v>
      </c>
      <c r="B2902" s="2" t="s">
        <v>648</v>
      </c>
      <c r="C2902" t="s">
        <v>181</v>
      </c>
      <c r="D2902" s="80">
        <v>0.19</v>
      </c>
      <c r="E2902" s="80">
        <v>55736.91</v>
      </c>
      <c r="F2902">
        <v>0.92</v>
      </c>
      <c r="G2902" t="s">
        <v>583</v>
      </c>
      <c r="H2902">
        <v>3.19</v>
      </c>
      <c r="I2902">
        <v>15.59</v>
      </c>
      <c r="J2902" t="s">
        <v>583</v>
      </c>
      <c r="K2902">
        <v>6.32</v>
      </c>
      <c r="L2902">
        <f t="shared" si="450"/>
        <v>0</v>
      </c>
      <c r="M2902">
        <f t="shared" si="451"/>
        <v>0</v>
      </c>
      <c r="N2902">
        <f t="shared" si="452"/>
        <v>0</v>
      </c>
      <c r="O2902">
        <f t="shared" si="453"/>
        <v>0</v>
      </c>
      <c r="P2902">
        <f t="shared" si="454"/>
        <v>0</v>
      </c>
      <c r="Q2902">
        <f t="shared" si="455"/>
        <v>0</v>
      </c>
      <c r="R2902">
        <f t="shared" si="456"/>
        <v>0</v>
      </c>
      <c r="S2902">
        <f t="shared" si="457"/>
        <v>0</v>
      </c>
      <c r="T2902">
        <f t="shared" si="459"/>
        <v>0</v>
      </c>
      <c r="U2902">
        <f t="shared" si="458"/>
        <v>0</v>
      </c>
    </row>
    <row r="2903" spans="1:21" x14ac:dyDescent="0.25">
      <c r="A2903" s="2">
        <v>2902</v>
      </c>
      <c r="B2903" s="2" t="s">
        <v>648</v>
      </c>
      <c r="C2903" s="89" t="s">
        <v>183</v>
      </c>
      <c r="D2903">
        <v>8.16</v>
      </c>
      <c r="E2903" s="80">
        <v>175727.07</v>
      </c>
      <c r="F2903">
        <v>1479.57</v>
      </c>
      <c r="G2903">
        <v>54.1</v>
      </c>
      <c r="H2903">
        <v>15253.51</v>
      </c>
      <c r="I2903" s="80">
        <v>113688.53</v>
      </c>
      <c r="J2903">
        <v>32.57</v>
      </c>
      <c r="K2903" s="89" t="s">
        <v>582</v>
      </c>
      <c r="L2903">
        <f t="shared" si="450"/>
        <v>0</v>
      </c>
      <c r="M2903">
        <f t="shared" si="451"/>
        <v>0</v>
      </c>
      <c r="N2903">
        <f t="shared" si="452"/>
        <v>0</v>
      </c>
      <c r="O2903">
        <f t="shared" si="453"/>
        <v>0</v>
      </c>
      <c r="P2903">
        <f t="shared" si="454"/>
        <v>0</v>
      </c>
      <c r="Q2903">
        <f t="shared" si="455"/>
        <v>0</v>
      </c>
      <c r="R2903">
        <f t="shared" si="456"/>
        <v>0</v>
      </c>
      <c r="S2903">
        <f t="shared" si="457"/>
        <v>1</v>
      </c>
      <c r="T2903">
        <f t="shared" si="459"/>
        <v>1</v>
      </c>
      <c r="U2903">
        <f t="shared" si="458"/>
        <v>1</v>
      </c>
    </row>
    <row r="2904" spans="1:21" x14ac:dyDescent="0.25">
      <c r="A2904" s="2">
        <v>2903</v>
      </c>
      <c r="B2904" s="2" t="s">
        <v>648</v>
      </c>
      <c r="C2904" s="89" t="s">
        <v>186</v>
      </c>
      <c r="D2904">
        <v>21.27</v>
      </c>
      <c r="E2904" s="80">
        <v>77908.850000000006</v>
      </c>
      <c r="F2904">
        <v>1267.6199999999999</v>
      </c>
      <c r="G2904">
        <v>54.1</v>
      </c>
      <c r="H2904">
        <v>10889.78</v>
      </c>
      <c r="I2904" s="80">
        <v>55720.7</v>
      </c>
      <c r="J2904">
        <v>27.66</v>
      </c>
      <c r="K2904" s="89" t="s">
        <v>582</v>
      </c>
      <c r="L2904">
        <f t="shared" si="450"/>
        <v>0</v>
      </c>
      <c r="M2904">
        <f t="shared" si="451"/>
        <v>0</v>
      </c>
      <c r="N2904">
        <f t="shared" si="452"/>
        <v>0</v>
      </c>
      <c r="O2904">
        <f t="shared" si="453"/>
        <v>0</v>
      </c>
      <c r="P2904">
        <f t="shared" si="454"/>
        <v>0</v>
      </c>
      <c r="Q2904">
        <f t="shared" si="455"/>
        <v>0</v>
      </c>
      <c r="R2904">
        <f t="shared" si="456"/>
        <v>0</v>
      </c>
      <c r="S2904">
        <f t="shared" si="457"/>
        <v>1</v>
      </c>
      <c r="T2904">
        <f t="shared" si="459"/>
        <v>1</v>
      </c>
      <c r="U2904">
        <f t="shared" si="458"/>
        <v>1</v>
      </c>
    </row>
    <row r="2905" spans="1:21" x14ac:dyDescent="0.25">
      <c r="A2905" s="2">
        <v>2904</v>
      </c>
      <c r="B2905" s="2" t="s">
        <v>648</v>
      </c>
      <c r="C2905" s="105" t="s">
        <v>188</v>
      </c>
      <c r="D2905">
        <v>9.4600000000000009</v>
      </c>
      <c r="E2905" s="89" t="s">
        <v>582</v>
      </c>
      <c r="F2905">
        <v>187.61</v>
      </c>
      <c r="G2905">
        <v>62.78</v>
      </c>
      <c r="H2905">
        <v>3594.13</v>
      </c>
      <c r="I2905" s="80">
        <v>69442.12</v>
      </c>
      <c r="J2905">
        <v>56.37</v>
      </c>
      <c r="K2905" s="89" t="s">
        <v>582</v>
      </c>
      <c r="L2905">
        <f t="shared" si="450"/>
        <v>0</v>
      </c>
      <c r="M2905">
        <f t="shared" si="451"/>
        <v>1</v>
      </c>
      <c r="N2905">
        <f t="shared" si="452"/>
        <v>0</v>
      </c>
      <c r="O2905">
        <f t="shared" si="453"/>
        <v>0</v>
      </c>
      <c r="P2905">
        <f t="shared" si="454"/>
        <v>0</v>
      </c>
      <c r="Q2905">
        <f t="shared" si="455"/>
        <v>0</v>
      </c>
      <c r="R2905">
        <f t="shared" si="456"/>
        <v>0</v>
      </c>
      <c r="S2905">
        <f t="shared" si="457"/>
        <v>1</v>
      </c>
      <c r="T2905">
        <f t="shared" si="459"/>
        <v>2</v>
      </c>
      <c r="U2905">
        <f t="shared" si="458"/>
        <v>1</v>
      </c>
    </row>
    <row r="2906" spans="1:21" x14ac:dyDescent="0.25">
      <c r="A2906" s="2">
        <v>2905</v>
      </c>
      <c r="B2906" s="2" t="s">
        <v>648</v>
      </c>
      <c r="C2906" s="43" t="s">
        <v>182</v>
      </c>
      <c r="D2906" t="s">
        <v>583</v>
      </c>
      <c r="E2906">
        <v>1007.32</v>
      </c>
      <c r="F2906">
        <v>0.72</v>
      </c>
      <c r="G2906" t="s">
        <v>583</v>
      </c>
      <c r="H2906" t="s">
        <v>583</v>
      </c>
      <c r="I2906">
        <v>0.42</v>
      </c>
      <c r="J2906" t="s">
        <v>583</v>
      </c>
      <c r="K2906">
        <v>0.03</v>
      </c>
      <c r="L2906">
        <f t="shared" si="450"/>
        <v>0</v>
      </c>
      <c r="M2906">
        <f t="shared" si="451"/>
        <v>0</v>
      </c>
      <c r="N2906">
        <f t="shared" si="452"/>
        <v>0</v>
      </c>
      <c r="O2906">
        <f t="shared" si="453"/>
        <v>0</v>
      </c>
      <c r="P2906">
        <f t="shared" si="454"/>
        <v>0</v>
      </c>
      <c r="Q2906">
        <f t="shared" si="455"/>
        <v>0</v>
      </c>
      <c r="R2906">
        <f t="shared" si="456"/>
        <v>0</v>
      </c>
      <c r="S2906">
        <f t="shared" si="457"/>
        <v>0</v>
      </c>
      <c r="T2906">
        <f t="shared" si="459"/>
        <v>0</v>
      </c>
      <c r="U2906">
        <f t="shared" si="458"/>
        <v>0</v>
      </c>
    </row>
    <row r="2907" spans="1:21" x14ac:dyDescent="0.25">
      <c r="A2907" s="2">
        <v>2906</v>
      </c>
      <c r="B2907" s="2" t="s">
        <v>648</v>
      </c>
      <c r="C2907" s="43" t="s">
        <v>184</v>
      </c>
      <c r="D2907">
        <v>10.8</v>
      </c>
      <c r="E2907">
        <v>3830.03</v>
      </c>
      <c r="F2907">
        <v>72.19</v>
      </c>
      <c r="G2907">
        <v>23.4</v>
      </c>
      <c r="H2907">
        <v>4387.2700000000004</v>
      </c>
      <c r="I2907" s="80">
        <v>31358.97</v>
      </c>
      <c r="J2907">
        <v>8.0500000000000007</v>
      </c>
      <c r="K2907">
        <v>2763.85</v>
      </c>
      <c r="L2907">
        <f t="shared" si="450"/>
        <v>0</v>
      </c>
      <c r="M2907">
        <f t="shared" si="451"/>
        <v>0</v>
      </c>
      <c r="N2907">
        <f t="shared" si="452"/>
        <v>0</v>
      </c>
      <c r="O2907">
        <f t="shared" si="453"/>
        <v>0</v>
      </c>
      <c r="P2907">
        <f t="shared" si="454"/>
        <v>0</v>
      </c>
      <c r="Q2907">
        <f t="shared" si="455"/>
        <v>0</v>
      </c>
      <c r="R2907">
        <f t="shared" si="456"/>
        <v>0</v>
      </c>
      <c r="S2907">
        <f t="shared" si="457"/>
        <v>0</v>
      </c>
      <c r="T2907">
        <f t="shared" si="459"/>
        <v>0</v>
      </c>
      <c r="U2907">
        <f t="shared" si="458"/>
        <v>0</v>
      </c>
    </row>
    <row r="2908" spans="1:21" x14ac:dyDescent="0.25">
      <c r="A2908" s="2">
        <v>2907</v>
      </c>
      <c r="B2908" s="2" t="s">
        <v>648</v>
      </c>
      <c r="C2908" s="43" t="s">
        <v>187</v>
      </c>
      <c r="D2908">
        <v>15.82</v>
      </c>
      <c r="E2908">
        <v>5512.19</v>
      </c>
      <c r="F2908">
        <v>150.22999999999999</v>
      </c>
      <c r="G2908">
        <v>45.79</v>
      </c>
      <c r="H2908">
        <v>11466.56</v>
      </c>
      <c r="I2908" s="80">
        <v>35489.83</v>
      </c>
      <c r="J2908">
        <v>22.93</v>
      </c>
      <c r="K2908">
        <v>7178.04</v>
      </c>
      <c r="L2908">
        <f t="shared" si="450"/>
        <v>0</v>
      </c>
      <c r="M2908">
        <f t="shared" si="451"/>
        <v>0</v>
      </c>
      <c r="N2908">
        <f t="shared" si="452"/>
        <v>0</v>
      </c>
      <c r="O2908">
        <f t="shared" si="453"/>
        <v>0</v>
      </c>
      <c r="P2908">
        <f t="shared" si="454"/>
        <v>0</v>
      </c>
      <c r="Q2908">
        <f t="shared" si="455"/>
        <v>0</v>
      </c>
      <c r="R2908">
        <f t="shared" si="456"/>
        <v>0</v>
      </c>
      <c r="S2908">
        <f t="shared" si="457"/>
        <v>0</v>
      </c>
      <c r="T2908">
        <f t="shared" si="459"/>
        <v>0</v>
      </c>
      <c r="U2908">
        <f t="shared" si="458"/>
        <v>0</v>
      </c>
    </row>
    <row r="2909" spans="1:21" x14ac:dyDescent="0.25">
      <c r="A2909" s="2">
        <v>2908</v>
      </c>
      <c r="B2909" s="2" t="s">
        <v>648</v>
      </c>
      <c r="C2909" s="43" t="s">
        <v>189</v>
      </c>
      <c r="D2909">
        <v>3.52</v>
      </c>
      <c r="E2909">
        <v>6751.33</v>
      </c>
      <c r="F2909">
        <v>6.92</v>
      </c>
      <c r="G2909">
        <v>23.4</v>
      </c>
      <c r="H2909">
        <v>6638.73</v>
      </c>
      <c r="I2909" s="80">
        <v>11031.84</v>
      </c>
      <c r="J2909">
        <v>8.0500000000000007</v>
      </c>
      <c r="K2909">
        <v>7241.94</v>
      </c>
      <c r="L2909">
        <f t="shared" si="450"/>
        <v>0</v>
      </c>
      <c r="M2909">
        <f t="shared" si="451"/>
        <v>0</v>
      </c>
      <c r="N2909">
        <f t="shared" si="452"/>
        <v>0</v>
      </c>
      <c r="O2909">
        <f t="shared" si="453"/>
        <v>0</v>
      </c>
      <c r="P2909">
        <f t="shared" si="454"/>
        <v>0</v>
      </c>
      <c r="Q2909">
        <f t="shared" si="455"/>
        <v>0</v>
      </c>
      <c r="R2909">
        <f t="shared" si="456"/>
        <v>0</v>
      </c>
      <c r="S2909">
        <f t="shared" si="457"/>
        <v>0</v>
      </c>
      <c r="T2909">
        <f t="shared" si="459"/>
        <v>0</v>
      </c>
      <c r="U2909">
        <f t="shared" si="458"/>
        <v>0</v>
      </c>
    </row>
    <row r="2910" spans="1:21" x14ac:dyDescent="0.25">
      <c r="A2910" s="2">
        <v>2909</v>
      </c>
      <c r="B2910" s="2" t="s">
        <v>649</v>
      </c>
      <c r="C2910" s="89" t="s">
        <v>181</v>
      </c>
      <c r="D2910">
        <v>8.81</v>
      </c>
      <c r="E2910" s="80">
        <v>76891.37</v>
      </c>
      <c r="F2910">
        <v>1569.79</v>
      </c>
      <c r="G2910">
        <v>37.880000000000003</v>
      </c>
      <c r="H2910">
        <v>15399.31</v>
      </c>
      <c r="I2910" s="80">
        <v>99133.03</v>
      </c>
      <c r="J2910">
        <v>32.57</v>
      </c>
      <c r="K2910" s="89" t="s">
        <v>582</v>
      </c>
      <c r="L2910">
        <f t="shared" si="450"/>
        <v>0</v>
      </c>
      <c r="M2910">
        <f t="shared" si="451"/>
        <v>0</v>
      </c>
      <c r="N2910">
        <f t="shared" si="452"/>
        <v>0</v>
      </c>
      <c r="O2910">
        <f t="shared" si="453"/>
        <v>0</v>
      </c>
      <c r="P2910">
        <f t="shared" si="454"/>
        <v>0</v>
      </c>
      <c r="Q2910">
        <f t="shared" si="455"/>
        <v>0</v>
      </c>
      <c r="R2910">
        <f t="shared" si="456"/>
        <v>0</v>
      </c>
      <c r="S2910">
        <f t="shared" si="457"/>
        <v>1</v>
      </c>
      <c r="T2910">
        <f t="shared" si="459"/>
        <v>1</v>
      </c>
      <c r="U2910">
        <f t="shared" si="458"/>
        <v>1</v>
      </c>
    </row>
    <row r="2911" spans="1:21" x14ac:dyDescent="0.25">
      <c r="A2911" s="2">
        <v>2910</v>
      </c>
      <c r="B2911" s="2" t="s">
        <v>649</v>
      </c>
      <c r="C2911" t="s">
        <v>183</v>
      </c>
      <c r="D2911">
        <v>8.16</v>
      </c>
      <c r="E2911">
        <v>24571.24</v>
      </c>
      <c r="F2911">
        <v>2472.65</v>
      </c>
      <c r="G2911">
        <v>34.08</v>
      </c>
      <c r="H2911" s="80">
        <v>48884.85</v>
      </c>
      <c r="I2911" s="80">
        <v>79970.259999999995</v>
      </c>
      <c r="J2911">
        <v>27.66</v>
      </c>
      <c r="K2911" s="80">
        <v>20554.78</v>
      </c>
      <c r="L2911">
        <f t="shared" si="450"/>
        <v>0</v>
      </c>
      <c r="M2911">
        <f t="shared" si="451"/>
        <v>0</v>
      </c>
      <c r="N2911">
        <f t="shared" si="452"/>
        <v>0</v>
      </c>
      <c r="O2911">
        <f t="shared" si="453"/>
        <v>0</v>
      </c>
      <c r="P2911">
        <f t="shared" si="454"/>
        <v>0</v>
      </c>
      <c r="Q2911">
        <f t="shared" si="455"/>
        <v>0</v>
      </c>
      <c r="R2911">
        <f t="shared" si="456"/>
        <v>0</v>
      </c>
      <c r="S2911">
        <f t="shared" si="457"/>
        <v>0</v>
      </c>
      <c r="T2911">
        <f t="shared" si="459"/>
        <v>0</v>
      </c>
      <c r="U2911">
        <f t="shared" si="458"/>
        <v>0</v>
      </c>
    </row>
    <row r="2912" spans="1:21" x14ac:dyDescent="0.25">
      <c r="A2912" s="2">
        <v>2911</v>
      </c>
      <c r="B2912" s="2" t="s">
        <v>649</v>
      </c>
      <c r="C2912" t="s">
        <v>186</v>
      </c>
      <c r="D2912">
        <v>9.4600000000000009</v>
      </c>
      <c r="E2912">
        <v>19054.18</v>
      </c>
      <c r="F2912">
        <v>1619.44</v>
      </c>
      <c r="G2912">
        <v>45.79</v>
      </c>
      <c r="H2912" s="80">
        <v>50700.59</v>
      </c>
      <c r="I2912" s="80">
        <v>79860.41</v>
      </c>
      <c r="J2912">
        <v>35.08</v>
      </c>
      <c r="K2912" s="80">
        <v>27500.11</v>
      </c>
      <c r="L2912">
        <f t="shared" si="450"/>
        <v>0</v>
      </c>
      <c r="M2912">
        <f t="shared" si="451"/>
        <v>0</v>
      </c>
      <c r="N2912">
        <f t="shared" si="452"/>
        <v>0</v>
      </c>
      <c r="O2912">
        <f t="shared" si="453"/>
        <v>0</v>
      </c>
      <c r="P2912">
        <f t="shared" si="454"/>
        <v>0</v>
      </c>
      <c r="Q2912">
        <f t="shared" si="455"/>
        <v>0</v>
      </c>
      <c r="R2912">
        <f t="shared" si="456"/>
        <v>0</v>
      </c>
      <c r="S2912">
        <f t="shared" si="457"/>
        <v>0</v>
      </c>
      <c r="T2912">
        <f t="shared" si="459"/>
        <v>0</v>
      </c>
      <c r="U2912">
        <f t="shared" si="458"/>
        <v>0</v>
      </c>
    </row>
    <row r="2913" spans="1:21" x14ac:dyDescent="0.25">
      <c r="A2913" s="2">
        <v>2912</v>
      </c>
      <c r="B2913" s="2" t="s">
        <v>649</v>
      </c>
      <c r="C2913" s="105" t="s">
        <v>188</v>
      </c>
      <c r="D2913">
        <v>9.4600000000000009</v>
      </c>
      <c r="E2913" s="80">
        <v>70874.48</v>
      </c>
      <c r="F2913">
        <v>2419.1799999999998</v>
      </c>
      <c r="G2913">
        <v>54.1</v>
      </c>
      <c r="H2913" s="80">
        <v>36345.07</v>
      </c>
      <c r="I2913" s="80">
        <v>110769.66</v>
      </c>
      <c r="J2913">
        <v>35.08</v>
      </c>
      <c r="K2913" s="89" t="s">
        <v>582</v>
      </c>
      <c r="L2913">
        <f t="shared" si="450"/>
        <v>0</v>
      </c>
      <c r="M2913">
        <f t="shared" si="451"/>
        <v>0</v>
      </c>
      <c r="N2913">
        <f t="shared" si="452"/>
        <v>0</v>
      </c>
      <c r="O2913">
        <f t="shared" si="453"/>
        <v>0</v>
      </c>
      <c r="P2913">
        <f t="shared" si="454"/>
        <v>0</v>
      </c>
      <c r="Q2913">
        <f t="shared" si="455"/>
        <v>0</v>
      </c>
      <c r="R2913">
        <f t="shared" si="456"/>
        <v>0</v>
      </c>
      <c r="S2913">
        <f t="shared" si="457"/>
        <v>1</v>
      </c>
      <c r="T2913">
        <f t="shared" si="459"/>
        <v>1</v>
      </c>
      <c r="U2913">
        <f t="shared" si="458"/>
        <v>1</v>
      </c>
    </row>
    <row r="2914" spans="1:21" x14ac:dyDescent="0.25">
      <c r="A2914" s="2">
        <v>2913</v>
      </c>
      <c r="B2914" s="2">
        <v>1008</v>
      </c>
      <c r="C2914" s="89" t="s">
        <v>181</v>
      </c>
      <c r="D2914">
        <v>0.82</v>
      </c>
      <c r="E2914" s="89" t="s">
        <v>582</v>
      </c>
      <c r="F2914">
        <v>0.82</v>
      </c>
      <c r="G2914" t="s">
        <v>583</v>
      </c>
      <c r="H2914">
        <v>38.43</v>
      </c>
      <c r="I2914">
        <v>108.67</v>
      </c>
      <c r="J2914">
        <v>1.44</v>
      </c>
      <c r="K2914">
        <v>50.46</v>
      </c>
      <c r="L2914">
        <f t="shared" si="450"/>
        <v>0</v>
      </c>
      <c r="M2914">
        <f t="shared" si="451"/>
        <v>1</v>
      </c>
      <c r="N2914">
        <f t="shared" si="452"/>
        <v>0</v>
      </c>
      <c r="O2914">
        <f t="shared" si="453"/>
        <v>0</v>
      </c>
      <c r="P2914">
        <f t="shared" si="454"/>
        <v>0</v>
      </c>
      <c r="Q2914">
        <f t="shared" si="455"/>
        <v>0</v>
      </c>
      <c r="R2914">
        <f t="shared" si="456"/>
        <v>0</v>
      </c>
      <c r="S2914">
        <f t="shared" si="457"/>
        <v>0</v>
      </c>
      <c r="T2914">
        <f t="shared" si="459"/>
        <v>1</v>
      </c>
      <c r="U2914">
        <f t="shared" si="458"/>
        <v>1</v>
      </c>
    </row>
    <row r="2915" spans="1:21" x14ac:dyDescent="0.25">
      <c r="A2915" s="2">
        <v>2914</v>
      </c>
      <c r="B2915" s="2">
        <v>1008</v>
      </c>
      <c r="C2915" t="s">
        <v>183</v>
      </c>
      <c r="D2915">
        <v>3.52</v>
      </c>
      <c r="E2915" s="80">
        <v>223624.11</v>
      </c>
      <c r="F2915">
        <v>1237.83</v>
      </c>
      <c r="G2915">
        <v>16.940000000000001</v>
      </c>
      <c r="H2915">
        <v>2976.72</v>
      </c>
      <c r="I2915" s="80">
        <v>91067.44</v>
      </c>
      <c r="J2915">
        <v>11.98</v>
      </c>
      <c r="K2915">
        <v>2742.27</v>
      </c>
      <c r="L2915">
        <f t="shared" si="450"/>
        <v>0</v>
      </c>
      <c r="M2915">
        <f t="shared" si="451"/>
        <v>0</v>
      </c>
      <c r="N2915">
        <f t="shared" si="452"/>
        <v>0</v>
      </c>
      <c r="O2915">
        <f t="shared" si="453"/>
        <v>0</v>
      </c>
      <c r="P2915">
        <f t="shared" si="454"/>
        <v>0</v>
      </c>
      <c r="Q2915">
        <f t="shared" si="455"/>
        <v>0</v>
      </c>
      <c r="R2915">
        <f t="shared" si="456"/>
        <v>0</v>
      </c>
      <c r="S2915">
        <f t="shared" si="457"/>
        <v>0</v>
      </c>
      <c r="T2915">
        <f t="shared" si="459"/>
        <v>0</v>
      </c>
      <c r="U2915">
        <f t="shared" si="458"/>
        <v>0</v>
      </c>
    </row>
    <row r="2916" spans="1:21" x14ac:dyDescent="0.25">
      <c r="A2916" s="2">
        <v>2915</v>
      </c>
      <c r="B2916" s="2">
        <v>1008</v>
      </c>
      <c r="C2916" s="105" t="s">
        <v>188</v>
      </c>
      <c r="D2916">
        <v>9.4600000000000009</v>
      </c>
      <c r="E2916" s="89" t="s">
        <v>582</v>
      </c>
      <c r="F2916">
        <v>278.67</v>
      </c>
      <c r="G2916">
        <v>45.79</v>
      </c>
      <c r="H2916">
        <v>5063.32</v>
      </c>
      <c r="I2916" s="80">
        <v>65633.64</v>
      </c>
      <c r="J2916">
        <v>32.57</v>
      </c>
      <c r="K2916" s="89" t="s">
        <v>582</v>
      </c>
      <c r="L2916">
        <f t="shared" si="450"/>
        <v>0</v>
      </c>
      <c r="M2916">
        <f t="shared" si="451"/>
        <v>1</v>
      </c>
      <c r="N2916">
        <f t="shared" si="452"/>
        <v>0</v>
      </c>
      <c r="O2916">
        <f t="shared" si="453"/>
        <v>0</v>
      </c>
      <c r="P2916">
        <f t="shared" si="454"/>
        <v>0</v>
      </c>
      <c r="Q2916">
        <f t="shared" si="455"/>
        <v>0</v>
      </c>
      <c r="R2916">
        <f t="shared" si="456"/>
        <v>0</v>
      </c>
      <c r="S2916">
        <f t="shared" si="457"/>
        <v>1</v>
      </c>
      <c r="T2916">
        <f t="shared" si="459"/>
        <v>2</v>
      </c>
      <c r="U2916">
        <f t="shared" si="458"/>
        <v>1</v>
      </c>
    </row>
    <row r="2917" spans="1:21" x14ac:dyDescent="0.25">
      <c r="A2917" s="2">
        <v>2916</v>
      </c>
      <c r="B2917" s="2">
        <v>1008</v>
      </c>
      <c r="C2917" s="43" t="s">
        <v>182</v>
      </c>
      <c r="D2917" t="s">
        <v>583</v>
      </c>
      <c r="E2917">
        <v>483.04</v>
      </c>
      <c r="F2917">
        <v>0.28999999999999998</v>
      </c>
      <c r="G2917" t="s">
        <v>583</v>
      </c>
      <c r="H2917">
        <v>0.43</v>
      </c>
      <c r="I2917">
        <v>0.48</v>
      </c>
      <c r="J2917" t="s">
        <v>583</v>
      </c>
      <c r="K2917" s="80">
        <v>0.03</v>
      </c>
      <c r="L2917">
        <f t="shared" si="450"/>
        <v>0</v>
      </c>
      <c r="M2917">
        <f t="shared" si="451"/>
        <v>0</v>
      </c>
      <c r="N2917">
        <f t="shared" si="452"/>
        <v>0</v>
      </c>
      <c r="O2917">
        <f t="shared" si="453"/>
        <v>0</v>
      </c>
      <c r="P2917">
        <f t="shared" si="454"/>
        <v>0</v>
      </c>
      <c r="Q2917">
        <f t="shared" si="455"/>
        <v>0</v>
      </c>
      <c r="R2917">
        <f t="shared" si="456"/>
        <v>0</v>
      </c>
      <c r="S2917">
        <f t="shared" si="457"/>
        <v>0</v>
      </c>
      <c r="T2917">
        <f t="shared" si="459"/>
        <v>0</v>
      </c>
      <c r="U2917">
        <f t="shared" si="458"/>
        <v>0</v>
      </c>
    </row>
    <row r="2918" spans="1:21" x14ac:dyDescent="0.25">
      <c r="A2918" s="2">
        <v>2917</v>
      </c>
      <c r="B2918" s="2">
        <v>1008</v>
      </c>
      <c r="C2918" s="43" t="s">
        <v>184</v>
      </c>
      <c r="D2918" t="s">
        <v>583</v>
      </c>
      <c r="E2918">
        <v>2595.4299999999998</v>
      </c>
      <c r="F2918">
        <v>22.1</v>
      </c>
      <c r="G2918">
        <v>16.940000000000001</v>
      </c>
      <c r="H2918">
        <v>1454.55</v>
      </c>
      <c r="I2918" s="80">
        <v>11161.54</v>
      </c>
      <c r="J2918">
        <v>0.27</v>
      </c>
      <c r="K2918">
        <v>575.12</v>
      </c>
      <c r="L2918">
        <f t="shared" si="450"/>
        <v>0</v>
      </c>
      <c r="M2918">
        <f t="shared" si="451"/>
        <v>0</v>
      </c>
      <c r="N2918">
        <f t="shared" si="452"/>
        <v>0</v>
      </c>
      <c r="O2918">
        <f t="shared" si="453"/>
        <v>0</v>
      </c>
      <c r="P2918">
        <f t="shared" si="454"/>
        <v>0</v>
      </c>
      <c r="Q2918">
        <f t="shared" si="455"/>
        <v>0</v>
      </c>
      <c r="R2918">
        <f t="shared" si="456"/>
        <v>0</v>
      </c>
      <c r="S2918">
        <f t="shared" si="457"/>
        <v>0</v>
      </c>
      <c r="T2918">
        <f t="shared" si="459"/>
        <v>0</v>
      </c>
      <c r="U2918">
        <f t="shared" si="458"/>
        <v>0</v>
      </c>
    </row>
    <row r="2919" spans="1:21" x14ac:dyDescent="0.25">
      <c r="A2919" s="2">
        <v>2918</v>
      </c>
      <c r="B2919" s="2">
        <v>1008</v>
      </c>
      <c r="C2919" s="43" t="s">
        <v>187</v>
      </c>
      <c r="D2919" t="s">
        <v>583</v>
      </c>
      <c r="E2919">
        <v>1093.6400000000001</v>
      </c>
      <c r="F2919">
        <v>1.39</v>
      </c>
      <c r="G2919" s="80">
        <v>1.96</v>
      </c>
      <c r="H2919">
        <v>2942.45</v>
      </c>
      <c r="I2919">
        <v>2120.41</v>
      </c>
      <c r="J2919" t="s">
        <v>583</v>
      </c>
      <c r="K2919">
        <v>1503.13</v>
      </c>
      <c r="L2919">
        <f t="shared" si="450"/>
        <v>0</v>
      </c>
      <c r="M2919">
        <f t="shared" si="451"/>
        <v>0</v>
      </c>
      <c r="N2919">
        <f t="shared" si="452"/>
        <v>0</v>
      </c>
      <c r="O2919">
        <f t="shared" si="453"/>
        <v>0</v>
      </c>
      <c r="P2919">
        <f t="shared" si="454"/>
        <v>0</v>
      </c>
      <c r="Q2919">
        <f t="shared" si="455"/>
        <v>0</v>
      </c>
      <c r="R2919">
        <f t="shared" si="456"/>
        <v>0</v>
      </c>
      <c r="S2919">
        <f t="shared" si="457"/>
        <v>0</v>
      </c>
      <c r="T2919">
        <f t="shared" si="459"/>
        <v>0</v>
      </c>
      <c r="U2919">
        <f t="shared" si="458"/>
        <v>0</v>
      </c>
    </row>
    <row r="2920" spans="1:21" x14ac:dyDescent="0.25">
      <c r="A2920" s="2">
        <v>2919</v>
      </c>
      <c r="B2920" s="2">
        <v>1008</v>
      </c>
      <c r="C2920" s="43" t="s">
        <v>189</v>
      </c>
      <c r="D2920" s="80">
        <v>0.19</v>
      </c>
      <c r="E2920">
        <v>3497.89</v>
      </c>
      <c r="F2920">
        <v>81.77</v>
      </c>
      <c r="G2920">
        <v>23.4</v>
      </c>
      <c r="H2920">
        <v>3507.66</v>
      </c>
      <c r="I2920" s="80">
        <v>18012.14</v>
      </c>
      <c r="J2920">
        <v>6.22</v>
      </c>
      <c r="K2920">
        <v>2922.82</v>
      </c>
      <c r="L2920">
        <f t="shared" si="450"/>
        <v>0</v>
      </c>
      <c r="M2920">
        <f t="shared" si="451"/>
        <v>0</v>
      </c>
      <c r="N2920">
        <f t="shared" si="452"/>
        <v>0</v>
      </c>
      <c r="O2920">
        <f t="shared" si="453"/>
        <v>0</v>
      </c>
      <c r="P2920">
        <f t="shared" si="454"/>
        <v>0</v>
      </c>
      <c r="Q2920">
        <f t="shared" si="455"/>
        <v>0</v>
      </c>
      <c r="R2920">
        <f t="shared" si="456"/>
        <v>0</v>
      </c>
      <c r="S2920">
        <f t="shared" si="457"/>
        <v>0</v>
      </c>
      <c r="T2920">
        <f t="shared" si="459"/>
        <v>0</v>
      </c>
      <c r="U2920">
        <f t="shared" si="458"/>
        <v>0</v>
      </c>
    </row>
    <row r="2921" spans="1:21" x14ac:dyDescent="0.25">
      <c r="A2921" s="2">
        <v>2920</v>
      </c>
      <c r="B2921" s="2">
        <v>2001</v>
      </c>
      <c r="C2921" t="s">
        <v>162</v>
      </c>
      <c r="D2921" t="s">
        <v>583</v>
      </c>
      <c r="E2921">
        <v>4349.87</v>
      </c>
      <c r="F2921" t="s">
        <v>583</v>
      </c>
      <c r="G2921" t="s">
        <v>583</v>
      </c>
      <c r="H2921" t="s">
        <v>583</v>
      </c>
      <c r="I2921">
        <v>0.28000000000000003</v>
      </c>
      <c r="J2921" t="s">
        <v>583</v>
      </c>
      <c r="K2921">
        <v>0.14000000000000001</v>
      </c>
      <c r="L2921">
        <f t="shared" si="450"/>
        <v>0</v>
      </c>
      <c r="M2921">
        <f t="shared" si="451"/>
        <v>0</v>
      </c>
      <c r="N2921">
        <f t="shared" si="452"/>
        <v>0</v>
      </c>
      <c r="O2921">
        <f t="shared" si="453"/>
        <v>0</v>
      </c>
      <c r="P2921">
        <f t="shared" si="454"/>
        <v>0</v>
      </c>
      <c r="Q2921">
        <f t="shared" si="455"/>
        <v>0</v>
      </c>
      <c r="R2921">
        <f t="shared" si="456"/>
        <v>0</v>
      </c>
      <c r="S2921">
        <f t="shared" si="457"/>
        <v>0</v>
      </c>
      <c r="T2921">
        <f t="shared" si="459"/>
        <v>0</v>
      </c>
      <c r="U2921">
        <f t="shared" si="458"/>
        <v>0</v>
      </c>
    </row>
    <row r="2922" spans="1:21" x14ac:dyDescent="0.25">
      <c r="A2922" s="2">
        <v>2921</v>
      </c>
      <c r="B2922" s="2">
        <v>2001</v>
      </c>
      <c r="C2922" t="s">
        <v>170</v>
      </c>
      <c r="D2922" s="80">
        <v>0.19</v>
      </c>
      <c r="E2922">
        <v>16856.57</v>
      </c>
      <c r="F2922">
        <v>147.63</v>
      </c>
      <c r="G2922" s="80">
        <v>3.84</v>
      </c>
      <c r="H2922">
        <v>2268.3200000000002</v>
      </c>
      <c r="I2922" s="80">
        <v>19014.25</v>
      </c>
      <c r="J2922" s="80">
        <v>0.27</v>
      </c>
      <c r="K2922">
        <v>364.61</v>
      </c>
      <c r="L2922">
        <f t="shared" si="450"/>
        <v>0</v>
      </c>
      <c r="M2922">
        <f t="shared" si="451"/>
        <v>0</v>
      </c>
      <c r="N2922">
        <f t="shared" si="452"/>
        <v>0</v>
      </c>
      <c r="O2922">
        <f t="shared" si="453"/>
        <v>0</v>
      </c>
      <c r="P2922">
        <f t="shared" si="454"/>
        <v>0</v>
      </c>
      <c r="Q2922">
        <f t="shared" si="455"/>
        <v>0</v>
      </c>
      <c r="R2922">
        <f t="shared" si="456"/>
        <v>0</v>
      </c>
      <c r="S2922">
        <f t="shared" si="457"/>
        <v>0</v>
      </c>
      <c r="T2922">
        <f t="shared" si="459"/>
        <v>0</v>
      </c>
      <c r="U2922">
        <f t="shared" si="458"/>
        <v>0</v>
      </c>
    </row>
    <row r="2923" spans="1:21" x14ac:dyDescent="0.25">
      <c r="A2923" s="2">
        <v>2922</v>
      </c>
      <c r="B2923" s="2">
        <v>2001</v>
      </c>
      <c r="C2923" t="s">
        <v>178</v>
      </c>
      <c r="D2923">
        <v>24.56</v>
      </c>
      <c r="E2923" s="80">
        <v>35676.400000000001</v>
      </c>
      <c r="F2923">
        <v>1291.19</v>
      </c>
      <c r="G2923">
        <v>45.79</v>
      </c>
      <c r="H2923" s="80">
        <v>19597.54</v>
      </c>
      <c r="I2923" s="80">
        <v>59244.56</v>
      </c>
      <c r="J2923">
        <v>6.22</v>
      </c>
      <c r="K2923">
        <v>2010</v>
      </c>
      <c r="L2923">
        <f t="shared" si="450"/>
        <v>0</v>
      </c>
      <c r="M2923">
        <f t="shared" si="451"/>
        <v>0</v>
      </c>
      <c r="N2923">
        <f t="shared" si="452"/>
        <v>0</v>
      </c>
      <c r="O2923">
        <f t="shared" si="453"/>
        <v>0</v>
      </c>
      <c r="P2923">
        <f t="shared" si="454"/>
        <v>0</v>
      </c>
      <c r="Q2923">
        <f t="shared" si="455"/>
        <v>0</v>
      </c>
      <c r="R2923">
        <f t="shared" si="456"/>
        <v>0</v>
      </c>
      <c r="S2923">
        <f t="shared" si="457"/>
        <v>0</v>
      </c>
      <c r="T2923">
        <f t="shared" si="459"/>
        <v>0</v>
      </c>
      <c r="U2923">
        <f t="shared" si="458"/>
        <v>0</v>
      </c>
    </row>
    <row r="2924" spans="1:21" x14ac:dyDescent="0.25">
      <c r="A2924" s="2">
        <v>2923</v>
      </c>
      <c r="B2924" s="2">
        <v>2001</v>
      </c>
      <c r="C2924" t="s">
        <v>163</v>
      </c>
      <c r="D2924">
        <v>2105.52</v>
      </c>
      <c r="E2924">
        <v>20100.95</v>
      </c>
      <c r="F2924">
        <v>137.41</v>
      </c>
      <c r="G2924">
        <v>34.08</v>
      </c>
      <c r="H2924">
        <v>11378.42</v>
      </c>
      <c r="I2924" s="80">
        <v>26656.639999999999</v>
      </c>
      <c r="J2924">
        <v>22.93</v>
      </c>
      <c r="K2924" s="80">
        <v>12199.22</v>
      </c>
      <c r="L2924">
        <f t="shared" si="450"/>
        <v>0</v>
      </c>
      <c r="M2924">
        <f t="shared" si="451"/>
        <v>0</v>
      </c>
      <c r="N2924">
        <f t="shared" si="452"/>
        <v>0</v>
      </c>
      <c r="O2924">
        <f t="shared" si="453"/>
        <v>0</v>
      </c>
      <c r="P2924">
        <f t="shared" si="454"/>
        <v>0</v>
      </c>
      <c r="Q2924">
        <f t="shared" si="455"/>
        <v>0</v>
      </c>
      <c r="R2924">
        <f t="shared" si="456"/>
        <v>0</v>
      </c>
      <c r="S2924">
        <f t="shared" si="457"/>
        <v>0</v>
      </c>
      <c r="T2924">
        <f t="shared" si="459"/>
        <v>0</v>
      </c>
      <c r="U2924">
        <f t="shared" si="458"/>
        <v>0</v>
      </c>
    </row>
    <row r="2925" spans="1:21" x14ac:dyDescent="0.25">
      <c r="A2925" s="2">
        <v>2924</v>
      </c>
      <c r="B2925" s="2">
        <v>2001</v>
      </c>
      <c r="C2925" t="s">
        <v>181</v>
      </c>
      <c r="D2925" s="80">
        <v>0.19</v>
      </c>
      <c r="E2925" s="80">
        <v>231482.96</v>
      </c>
      <c r="F2925">
        <v>1.5</v>
      </c>
      <c r="G2925" s="80">
        <v>1.96</v>
      </c>
      <c r="H2925">
        <v>329.56</v>
      </c>
      <c r="I2925">
        <v>2772.54</v>
      </c>
      <c r="J2925">
        <v>1.44</v>
      </c>
      <c r="K2925">
        <v>341.16</v>
      </c>
      <c r="L2925">
        <f t="shared" si="450"/>
        <v>0</v>
      </c>
      <c r="M2925">
        <f t="shared" si="451"/>
        <v>0</v>
      </c>
      <c r="N2925">
        <f t="shared" si="452"/>
        <v>0</v>
      </c>
      <c r="O2925">
        <f t="shared" si="453"/>
        <v>0</v>
      </c>
      <c r="P2925">
        <f t="shared" si="454"/>
        <v>0</v>
      </c>
      <c r="Q2925">
        <f t="shared" si="455"/>
        <v>0</v>
      </c>
      <c r="R2925">
        <f t="shared" si="456"/>
        <v>0</v>
      </c>
      <c r="S2925">
        <f t="shared" si="457"/>
        <v>0</v>
      </c>
      <c r="T2925">
        <f t="shared" si="459"/>
        <v>0</v>
      </c>
      <c r="U2925">
        <f t="shared" si="458"/>
        <v>0</v>
      </c>
    </row>
    <row r="2926" spans="1:21" x14ac:dyDescent="0.25">
      <c r="A2926" s="2">
        <v>2925</v>
      </c>
      <c r="B2926" s="2">
        <v>2001</v>
      </c>
      <c r="C2926" t="s">
        <v>183</v>
      </c>
      <c r="D2926">
        <v>3.52</v>
      </c>
      <c r="E2926" s="80">
        <v>51623.91</v>
      </c>
      <c r="F2926">
        <v>432.55</v>
      </c>
      <c r="G2926">
        <v>30.4</v>
      </c>
      <c r="H2926">
        <v>7089.8</v>
      </c>
      <c r="I2926" s="80">
        <v>54049.37</v>
      </c>
      <c r="J2926">
        <v>18.38</v>
      </c>
      <c r="K2926" s="80">
        <v>12588.66</v>
      </c>
      <c r="L2926">
        <f t="shared" si="450"/>
        <v>0</v>
      </c>
      <c r="M2926">
        <f t="shared" si="451"/>
        <v>0</v>
      </c>
      <c r="N2926">
        <f t="shared" si="452"/>
        <v>0</v>
      </c>
      <c r="O2926">
        <f t="shared" si="453"/>
        <v>0</v>
      </c>
      <c r="P2926">
        <f t="shared" si="454"/>
        <v>0</v>
      </c>
      <c r="Q2926">
        <f t="shared" si="455"/>
        <v>0</v>
      </c>
      <c r="R2926">
        <f t="shared" si="456"/>
        <v>0</v>
      </c>
      <c r="S2926">
        <f t="shared" si="457"/>
        <v>0</v>
      </c>
      <c r="T2926">
        <f t="shared" si="459"/>
        <v>0</v>
      </c>
      <c r="U2926">
        <f t="shared" si="458"/>
        <v>0</v>
      </c>
    </row>
    <row r="2927" spans="1:21" x14ac:dyDescent="0.25">
      <c r="A2927" s="2">
        <v>2927</v>
      </c>
      <c r="B2927" s="2">
        <v>2001</v>
      </c>
      <c r="C2927" s="43" t="s">
        <v>188</v>
      </c>
      <c r="D2927">
        <v>4.59</v>
      </c>
      <c r="E2927">
        <v>23590.51</v>
      </c>
      <c r="F2927">
        <v>739.55</v>
      </c>
      <c r="G2927">
        <v>23.4</v>
      </c>
      <c r="H2927" s="80">
        <v>21463.85</v>
      </c>
      <c r="I2927" s="80">
        <v>87324.67</v>
      </c>
      <c r="J2927">
        <v>18.38</v>
      </c>
      <c r="K2927" s="80">
        <v>9754.6</v>
      </c>
      <c r="L2927">
        <f t="shared" si="450"/>
        <v>0</v>
      </c>
      <c r="M2927">
        <f t="shared" si="451"/>
        <v>0</v>
      </c>
      <c r="N2927">
        <f t="shared" si="452"/>
        <v>0</v>
      </c>
      <c r="O2927">
        <f t="shared" si="453"/>
        <v>0</v>
      </c>
      <c r="P2927">
        <f t="shared" si="454"/>
        <v>0</v>
      </c>
      <c r="Q2927">
        <f t="shared" si="455"/>
        <v>0</v>
      </c>
      <c r="R2927">
        <f t="shared" si="456"/>
        <v>0</v>
      </c>
      <c r="S2927">
        <f t="shared" si="457"/>
        <v>0</v>
      </c>
      <c r="T2927">
        <f t="shared" si="459"/>
        <v>0</v>
      </c>
      <c r="U2927">
        <f t="shared" si="458"/>
        <v>0</v>
      </c>
    </row>
    <row r="2928" spans="1:21" x14ac:dyDescent="0.25">
      <c r="A2928" s="2">
        <v>2928</v>
      </c>
      <c r="B2928" s="2">
        <v>2001</v>
      </c>
      <c r="C2928" s="43" t="s">
        <v>182</v>
      </c>
      <c r="D2928" t="s">
        <v>583</v>
      </c>
      <c r="E2928">
        <v>402.43</v>
      </c>
      <c r="F2928" t="s">
        <v>583</v>
      </c>
      <c r="G2928" t="s">
        <v>583</v>
      </c>
      <c r="H2928">
        <v>0.48</v>
      </c>
      <c r="I2928">
        <v>18.41</v>
      </c>
      <c r="J2928" t="s">
        <v>583</v>
      </c>
      <c r="K2928">
        <v>0.23</v>
      </c>
      <c r="L2928">
        <f t="shared" si="450"/>
        <v>0</v>
      </c>
      <c r="M2928">
        <f t="shared" si="451"/>
        <v>0</v>
      </c>
      <c r="N2928">
        <f t="shared" si="452"/>
        <v>0</v>
      </c>
      <c r="O2928">
        <f t="shared" si="453"/>
        <v>0</v>
      </c>
      <c r="P2928">
        <f t="shared" si="454"/>
        <v>0</v>
      </c>
      <c r="Q2928">
        <f t="shared" si="455"/>
        <v>0</v>
      </c>
      <c r="R2928">
        <f t="shared" si="456"/>
        <v>0</v>
      </c>
      <c r="S2928">
        <f t="shared" si="457"/>
        <v>0</v>
      </c>
      <c r="T2928">
        <f t="shared" si="459"/>
        <v>0</v>
      </c>
      <c r="U2928">
        <f t="shared" si="458"/>
        <v>0</v>
      </c>
    </row>
    <row r="2929" spans="1:21" x14ac:dyDescent="0.25">
      <c r="A2929" s="2">
        <v>2929</v>
      </c>
      <c r="B2929" s="2">
        <v>2001</v>
      </c>
      <c r="C2929" s="43" t="s">
        <v>184</v>
      </c>
      <c r="D2929">
        <v>18.89</v>
      </c>
      <c r="E2929">
        <v>4932.18</v>
      </c>
      <c r="F2929">
        <v>49.47</v>
      </c>
      <c r="G2929">
        <v>20.100000000000001</v>
      </c>
      <c r="H2929">
        <v>5886.57</v>
      </c>
      <c r="I2929" s="80">
        <v>29755.360000000001</v>
      </c>
      <c r="J2929">
        <v>1.44</v>
      </c>
      <c r="K2929">
        <v>1216.42</v>
      </c>
      <c r="L2929">
        <f t="shared" si="450"/>
        <v>0</v>
      </c>
      <c r="M2929">
        <f t="shared" si="451"/>
        <v>0</v>
      </c>
      <c r="N2929">
        <f t="shared" si="452"/>
        <v>0</v>
      </c>
      <c r="O2929">
        <f t="shared" si="453"/>
        <v>0</v>
      </c>
      <c r="P2929">
        <f t="shared" si="454"/>
        <v>0</v>
      </c>
      <c r="Q2929">
        <f t="shared" si="455"/>
        <v>0</v>
      </c>
      <c r="R2929">
        <f t="shared" si="456"/>
        <v>0</v>
      </c>
      <c r="S2929">
        <f t="shared" si="457"/>
        <v>0</v>
      </c>
      <c r="T2929">
        <f t="shared" si="459"/>
        <v>0</v>
      </c>
      <c r="U2929">
        <f t="shared" si="458"/>
        <v>0</v>
      </c>
    </row>
    <row r="2930" spans="1:21" x14ac:dyDescent="0.25">
      <c r="A2930" s="2">
        <v>2930</v>
      </c>
      <c r="B2930" s="2">
        <v>2001</v>
      </c>
      <c r="C2930" s="43" t="s">
        <v>187</v>
      </c>
      <c r="D2930">
        <v>75.62</v>
      </c>
      <c r="E2930">
        <v>3325.05</v>
      </c>
      <c r="F2930">
        <v>72.19</v>
      </c>
      <c r="G2930" s="80">
        <v>1.96</v>
      </c>
      <c r="H2930" s="80">
        <v>17177.84</v>
      </c>
      <c r="I2930" s="80">
        <v>23482.98</v>
      </c>
      <c r="J2930">
        <v>6.22</v>
      </c>
      <c r="K2930">
        <v>3679.19</v>
      </c>
      <c r="L2930">
        <f t="shared" si="450"/>
        <v>0</v>
      </c>
      <c r="M2930">
        <f t="shared" si="451"/>
        <v>0</v>
      </c>
      <c r="N2930">
        <f t="shared" si="452"/>
        <v>0</v>
      </c>
      <c r="O2930">
        <f t="shared" si="453"/>
        <v>0</v>
      </c>
      <c r="P2930">
        <f t="shared" si="454"/>
        <v>0</v>
      </c>
      <c r="Q2930">
        <f t="shared" si="455"/>
        <v>0</v>
      </c>
      <c r="R2930">
        <f t="shared" si="456"/>
        <v>0</v>
      </c>
      <c r="S2930">
        <f t="shared" si="457"/>
        <v>0</v>
      </c>
      <c r="T2930">
        <f t="shared" si="459"/>
        <v>0</v>
      </c>
      <c r="U2930">
        <f t="shared" si="458"/>
        <v>0</v>
      </c>
    </row>
    <row r="2931" spans="1:21" x14ac:dyDescent="0.25">
      <c r="A2931" s="2">
        <v>2931</v>
      </c>
      <c r="B2931" s="2">
        <v>2001</v>
      </c>
      <c r="C2931" s="43" t="s">
        <v>189</v>
      </c>
      <c r="D2931">
        <v>1254.1199999999999</v>
      </c>
      <c r="E2931">
        <v>3275.05</v>
      </c>
      <c r="F2931">
        <v>1.07</v>
      </c>
      <c r="G2931">
        <v>11.11</v>
      </c>
      <c r="H2931">
        <v>7662.73</v>
      </c>
      <c r="I2931" s="80">
        <v>7472.89</v>
      </c>
      <c r="J2931">
        <v>5.34</v>
      </c>
      <c r="K2931">
        <v>4060.23</v>
      </c>
      <c r="L2931">
        <f t="shared" si="450"/>
        <v>0</v>
      </c>
      <c r="M2931">
        <f t="shared" si="451"/>
        <v>0</v>
      </c>
      <c r="N2931">
        <f t="shared" si="452"/>
        <v>0</v>
      </c>
      <c r="O2931">
        <f t="shared" si="453"/>
        <v>0</v>
      </c>
      <c r="P2931">
        <f t="shared" si="454"/>
        <v>0</v>
      </c>
      <c r="Q2931">
        <f t="shared" si="455"/>
        <v>0</v>
      </c>
      <c r="R2931">
        <f t="shared" si="456"/>
        <v>0</v>
      </c>
      <c r="S2931">
        <f t="shared" si="457"/>
        <v>0</v>
      </c>
      <c r="T2931">
        <f t="shared" si="459"/>
        <v>0</v>
      </c>
      <c r="U2931">
        <f t="shared" si="458"/>
        <v>0</v>
      </c>
    </row>
    <row r="2932" spans="1:21" x14ac:dyDescent="0.25">
      <c r="A2932" s="2">
        <v>2932</v>
      </c>
      <c r="B2932" s="2">
        <v>2002</v>
      </c>
      <c r="C2932" t="s">
        <v>162</v>
      </c>
      <c r="D2932" t="s">
        <v>583</v>
      </c>
      <c r="E2932" s="80">
        <v>30723.08</v>
      </c>
      <c r="F2932" t="s">
        <v>583</v>
      </c>
      <c r="G2932" t="s">
        <v>583</v>
      </c>
      <c r="H2932">
        <v>0.02</v>
      </c>
      <c r="I2932">
        <v>0.39</v>
      </c>
      <c r="J2932" t="s">
        <v>583</v>
      </c>
      <c r="K2932">
        <v>0.66</v>
      </c>
      <c r="L2932">
        <f t="shared" si="450"/>
        <v>0</v>
      </c>
      <c r="M2932">
        <f t="shared" si="451"/>
        <v>0</v>
      </c>
      <c r="N2932">
        <f t="shared" si="452"/>
        <v>0</v>
      </c>
      <c r="O2932">
        <f t="shared" si="453"/>
        <v>0</v>
      </c>
      <c r="P2932">
        <f t="shared" si="454"/>
        <v>0</v>
      </c>
      <c r="Q2932">
        <f t="shared" si="455"/>
        <v>0</v>
      </c>
      <c r="R2932">
        <f t="shared" si="456"/>
        <v>0</v>
      </c>
      <c r="S2932">
        <f t="shared" si="457"/>
        <v>0</v>
      </c>
      <c r="T2932">
        <f t="shared" si="459"/>
        <v>0</v>
      </c>
      <c r="U2932">
        <f t="shared" si="458"/>
        <v>0</v>
      </c>
    </row>
    <row r="2933" spans="1:21" x14ac:dyDescent="0.25">
      <c r="A2933" s="2">
        <v>2933</v>
      </c>
      <c r="B2933" s="2">
        <v>2002</v>
      </c>
      <c r="C2933" t="s">
        <v>170</v>
      </c>
      <c r="D2933" s="80">
        <v>0</v>
      </c>
      <c r="E2933" s="80">
        <v>32427.43</v>
      </c>
      <c r="F2933">
        <v>204.36</v>
      </c>
      <c r="G2933">
        <v>11.11</v>
      </c>
      <c r="H2933">
        <v>619.35</v>
      </c>
      <c r="I2933" s="80">
        <v>39948.47</v>
      </c>
      <c r="J2933">
        <v>2.88</v>
      </c>
      <c r="K2933">
        <v>387.49</v>
      </c>
      <c r="L2933">
        <f t="shared" si="450"/>
        <v>0</v>
      </c>
      <c r="M2933">
        <f t="shared" si="451"/>
        <v>0</v>
      </c>
      <c r="N2933">
        <f t="shared" si="452"/>
        <v>0</v>
      </c>
      <c r="O2933">
        <f t="shared" si="453"/>
        <v>0</v>
      </c>
      <c r="P2933">
        <f t="shared" si="454"/>
        <v>0</v>
      </c>
      <c r="Q2933">
        <f t="shared" si="455"/>
        <v>0</v>
      </c>
      <c r="R2933">
        <f t="shared" si="456"/>
        <v>0</v>
      </c>
      <c r="S2933">
        <f t="shared" si="457"/>
        <v>0</v>
      </c>
      <c r="T2933">
        <f t="shared" si="459"/>
        <v>0</v>
      </c>
      <c r="U2933">
        <f t="shared" si="458"/>
        <v>0</v>
      </c>
    </row>
    <row r="2934" spans="1:21" x14ac:dyDescent="0.25">
      <c r="A2934" s="2">
        <v>2934</v>
      </c>
      <c r="B2934" s="2">
        <v>2002</v>
      </c>
      <c r="C2934" t="s">
        <v>178</v>
      </c>
      <c r="D2934">
        <v>9.4600000000000009</v>
      </c>
      <c r="E2934" s="80">
        <v>33621.440000000002</v>
      </c>
      <c r="F2934">
        <v>2871.28</v>
      </c>
      <c r="G2934">
        <v>34.08</v>
      </c>
      <c r="H2934" s="80">
        <v>32137.34</v>
      </c>
      <c r="I2934" s="80">
        <v>113008.95</v>
      </c>
      <c r="J2934">
        <v>9.98</v>
      </c>
      <c r="K2934">
        <v>6169.23</v>
      </c>
      <c r="L2934">
        <f t="shared" si="450"/>
        <v>0</v>
      </c>
      <c r="M2934">
        <f t="shared" si="451"/>
        <v>0</v>
      </c>
      <c r="N2934">
        <f t="shared" si="452"/>
        <v>0</v>
      </c>
      <c r="O2934">
        <f t="shared" si="453"/>
        <v>0</v>
      </c>
      <c r="P2934">
        <f t="shared" si="454"/>
        <v>0</v>
      </c>
      <c r="Q2934">
        <f t="shared" si="455"/>
        <v>0</v>
      </c>
      <c r="R2934">
        <f t="shared" si="456"/>
        <v>0</v>
      </c>
      <c r="S2934">
        <f t="shared" si="457"/>
        <v>0</v>
      </c>
      <c r="T2934">
        <f t="shared" si="459"/>
        <v>0</v>
      </c>
      <c r="U2934">
        <f t="shared" si="458"/>
        <v>0</v>
      </c>
    </row>
    <row r="2935" spans="1:21" x14ac:dyDescent="0.25">
      <c r="A2935" s="2">
        <v>2935</v>
      </c>
      <c r="B2935" s="2">
        <v>2002</v>
      </c>
      <c r="C2935" s="89" t="s">
        <v>163</v>
      </c>
      <c r="D2935">
        <v>98.47</v>
      </c>
      <c r="E2935" s="80">
        <v>213505.05</v>
      </c>
      <c r="F2935">
        <v>1696.54</v>
      </c>
      <c r="G2935">
        <v>62.78</v>
      </c>
      <c r="H2935" s="80">
        <v>17517.55</v>
      </c>
      <c r="I2935" s="80">
        <v>98433.49</v>
      </c>
      <c r="J2935">
        <v>45.47</v>
      </c>
      <c r="K2935" s="89" t="s">
        <v>582</v>
      </c>
      <c r="L2935">
        <f t="shared" si="450"/>
        <v>0</v>
      </c>
      <c r="M2935">
        <f t="shared" si="451"/>
        <v>0</v>
      </c>
      <c r="N2935">
        <f t="shared" si="452"/>
        <v>0</v>
      </c>
      <c r="O2935">
        <f t="shared" si="453"/>
        <v>0</v>
      </c>
      <c r="P2935">
        <f t="shared" si="454"/>
        <v>0</v>
      </c>
      <c r="Q2935">
        <f t="shared" si="455"/>
        <v>0</v>
      </c>
      <c r="R2935">
        <f t="shared" si="456"/>
        <v>0</v>
      </c>
      <c r="S2935">
        <f t="shared" si="457"/>
        <v>1</v>
      </c>
      <c r="T2935">
        <f t="shared" si="459"/>
        <v>1</v>
      </c>
      <c r="U2935">
        <f t="shared" si="458"/>
        <v>1</v>
      </c>
    </row>
    <row r="2936" spans="1:21" x14ac:dyDescent="0.25">
      <c r="A2936" s="2">
        <v>2936</v>
      </c>
      <c r="B2936" s="2">
        <v>2002</v>
      </c>
      <c r="C2936" t="s">
        <v>181</v>
      </c>
      <c r="D2936" t="s">
        <v>583</v>
      </c>
      <c r="E2936">
        <v>18363.84</v>
      </c>
      <c r="F2936" t="s">
        <v>583</v>
      </c>
      <c r="G2936" t="s">
        <v>583</v>
      </c>
      <c r="H2936">
        <v>9.75</v>
      </c>
      <c r="I2936">
        <v>45.78</v>
      </c>
      <c r="J2936" t="s">
        <v>583</v>
      </c>
      <c r="K2936">
        <v>4.72</v>
      </c>
      <c r="L2936">
        <f t="shared" si="450"/>
        <v>0</v>
      </c>
      <c r="M2936">
        <f t="shared" si="451"/>
        <v>0</v>
      </c>
      <c r="N2936">
        <f t="shared" si="452"/>
        <v>0</v>
      </c>
      <c r="O2936">
        <f t="shared" si="453"/>
        <v>0</v>
      </c>
      <c r="P2936">
        <f t="shared" si="454"/>
        <v>0</v>
      </c>
      <c r="Q2936">
        <f t="shared" si="455"/>
        <v>0</v>
      </c>
      <c r="R2936">
        <f t="shared" si="456"/>
        <v>0</v>
      </c>
      <c r="S2936">
        <f t="shared" si="457"/>
        <v>0</v>
      </c>
      <c r="T2936">
        <f t="shared" si="459"/>
        <v>0</v>
      </c>
      <c r="U2936">
        <f t="shared" si="458"/>
        <v>0</v>
      </c>
    </row>
    <row r="2937" spans="1:21" x14ac:dyDescent="0.25">
      <c r="A2937" s="2">
        <v>2937</v>
      </c>
      <c r="B2937" s="2">
        <v>2002</v>
      </c>
      <c r="C2937" t="s">
        <v>183</v>
      </c>
      <c r="D2937">
        <v>2.52</v>
      </c>
      <c r="E2937">
        <v>17882.3</v>
      </c>
      <c r="F2937">
        <v>249.61</v>
      </c>
      <c r="G2937">
        <v>11.11</v>
      </c>
      <c r="H2937">
        <v>1406.94</v>
      </c>
      <c r="I2937" s="80">
        <v>71440.94</v>
      </c>
      <c r="J2937">
        <v>14.05</v>
      </c>
      <c r="K2937">
        <v>4893.59</v>
      </c>
      <c r="L2937">
        <f t="shared" si="450"/>
        <v>0</v>
      </c>
      <c r="M2937">
        <f t="shared" si="451"/>
        <v>0</v>
      </c>
      <c r="N2937">
        <f t="shared" si="452"/>
        <v>0</v>
      </c>
      <c r="O2937">
        <f t="shared" si="453"/>
        <v>0</v>
      </c>
      <c r="P2937">
        <f t="shared" si="454"/>
        <v>0</v>
      </c>
      <c r="Q2937">
        <f t="shared" si="455"/>
        <v>0</v>
      </c>
      <c r="R2937">
        <f t="shared" si="456"/>
        <v>0</v>
      </c>
      <c r="S2937">
        <f t="shared" si="457"/>
        <v>0</v>
      </c>
      <c r="T2937">
        <f t="shared" si="459"/>
        <v>0</v>
      </c>
      <c r="U2937">
        <f t="shared" si="458"/>
        <v>0</v>
      </c>
    </row>
    <row r="2938" spans="1:21" x14ac:dyDescent="0.25">
      <c r="A2938" s="2">
        <v>2938</v>
      </c>
      <c r="B2938" s="2">
        <v>2002</v>
      </c>
      <c r="C2938" t="s">
        <v>186</v>
      </c>
      <c r="D2938">
        <v>3.52</v>
      </c>
      <c r="E2938">
        <v>13925.34</v>
      </c>
      <c r="F2938">
        <v>723.12</v>
      </c>
      <c r="G2938">
        <v>16.940000000000001</v>
      </c>
      <c r="H2938">
        <v>5013.91</v>
      </c>
      <c r="I2938" s="80">
        <v>86590.64</v>
      </c>
      <c r="J2938">
        <v>14.05</v>
      </c>
      <c r="K2938" s="80">
        <v>9322.36</v>
      </c>
      <c r="L2938">
        <f t="shared" si="450"/>
        <v>0</v>
      </c>
      <c r="M2938">
        <f t="shared" si="451"/>
        <v>0</v>
      </c>
      <c r="N2938">
        <f t="shared" si="452"/>
        <v>0</v>
      </c>
      <c r="O2938">
        <f t="shared" si="453"/>
        <v>0</v>
      </c>
      <c r="P2938">
        <f t="shared" si="454"/>
        <v>0</v>
      </c>
      <c r="Q2938">
        <f t="shared" si="455"/>
        <v>0</v>
      </c>
      <c r="R2938">
        <f t="shared" si="456"/>
        <v>0</v>
      </c>
      <c r="S2938">
        <f t="shared" si="457"/>
        <v>0</v>
      </c>
      <c r="T2938">
        <f t="shared" si="459"/>
        <v>0</v>
      </c>
      <c r="U2938">
        <f t="shared" si="458"/>
        <v>0</v>
      </c>
    </row>
    <row r="2939" spans="1:21" x14ac:dyDescent="0.25">
      <c r="A2939" s="2">
        <v>2939</v>
      </c>
      <c r="B2939" s="2">
        <v>2002</v>
      </c>
      <c r="C2939" s="43" t="s">
        <v>188</v>
      </c>
      <c r="D2939">
        <v>1.62</v>
      </c>
      <c r="E2939" s="80">
        <v>62213.95</v>
      </c>
      <c r="F2939">
        <v>44.47</v>
      </c>
      <c r="G2939">
        <v>11.11</v>
      </c>
      <c r="H2939">
        <v>525.36</v>
      </c>
      <c r="I2939" s="80">
        <v>11440.64</v>
      </c>
      <c r="J2939">
        <v>11.98</v>
      </c>
      <c r="K2939">
        <v>5628.66</v>
      </c>
      <c r="L2939">
        <f t="shared" si="450"/>
        <v>0</v>
      </c>
      <c r="M2939">
        <f t="shared" si="451"/>
        <v>0</v>
      </c>
      <c r="N2939">
        <f t="shared" si="452"/>
        <v>0</v>
      </c>
      <c r="O2939">
        <f t="shared" si="453"/>
        <v>0</v>
      </c>
      <c r="P2939">
        <f t="shared" si="454"/>
        <v>0</v>
      </c>
      <c r="Q2939">
        <f t="shared" si="455"/>
        <v>0</v>
      </c>
      <c r="R2939">
        <f t="shared" si="456"/>
        <v>0</v>
      </c>
      <c r="S2939">
        <f t="shared" si="457"/>
        <v>0</v>
      </c>
      <c r="T2939">
        <f t="shared" si="459"/>
        <v>0</v>
      </c>
      <c r="U2939">
        <f t="shared" si="458"/>
        <v>0</v>
      </c>
    </row>
    <row r="2940" spans="1:21" x14ac:dyDescent="0.25">
      <c r="A2940" s="2">
        <v>2940</v>
      </c>
      <c r="B2940" s="2">
        <v>2002</v>
      </c>
      <c r="C2940" s="43" t="s">
        <v>182</v>
      </c>
      <c r="D2940" t="s">
        <v>583</v>
      </c>
      <c r="E2940">
        <v>2426.0700000000002</v>
      </c>
      <c r="F2940" t="s">
        <v>583</v>
      </c>
      <c r="G2940" s="80">
        <v>1.96</v>
      </c>
      <c r="H2940">
        <v>7.3</v>
      </c>
      <c r="I2940">
        <v>651.30999999999995</v>
      </c>
      <c r="J2940" t="s">
        <v>583</v>
      </c>
      <c r="K2940">
        <v>2.11</v>
      </c>
      <c r="L2940">
        <f t="shared" si="450"/>
        <v>0</v>
      </c>
      <c r="M2940">
        <f t="shared" si="451"/>
        <v>0</v>
      </c>
      <c r="N2940">
        <f t="shared" si="452"/>
        <v>0</v>
      </c>
      <c r="O2940">
        <f t="shared" si="453"/>
        <v>0</v>
      </c>
      <c r="P2940">
        <f t="shared" si="454"/>
        <v>0</v>
      </c>
      <c r="Q2940">
        <f t="shared" si="455"/>
        <v>0</v>
      </c>
      <c r="R2940">
        <f t="shared" si="456"/>
        <v>0</v>
      </c>
      <c r="S2940">
        <f t="shared" si="457"/>
        <v>0</v>
      </c>
      <c r="T2940">
        <f t="shared" si="459"/>
        <v>0</v>
      </c>
      <c r="U2940">
        <f t="shared" si="458"/>
        <v>0</v>
      </c>
    </row>
    <row r="2941" spans="1:21" x14ac:dyDescent="0.25">
      <c r="A2941" s="2">
        <v>2941</v>
      </c>
      <c r="B2941" s="2">
        <v>2002</v>
      </c>
      <c r="C2941" s="43" t="s">
        <v>184</v>
      </c>
      <c r="D2941">
        <v>8.16</v>
      </c>
      <c r="E2941">
        <v>8158.62</v>
      </c>
      <c r="F2941">
        <v>107.65</v>
      </c>
      <c r="G2941">
        <v>37.880000000000003</v>
      </c>
      <c r="H2941">
        <v>11029.03</v>
      </c>
      <c r="I2941" s="80">
        <v>65047.98</v>
      </c>
      <c r="J2941">
        <v>9.98</v>
      </c>
      <c r="K2941">
        <v>2074.1799999999998</v>
      </c>
      <c r="L2941">
        <f t="shared" si="450"/>
        <v>0</v>
      </c>
      <c r="M2941">
        <f t="shared" si="451"/>
        <v>0</v>
      </c>
      <c r="N2941">
        <f t="shared" si="452"/>
        <v>0</v>
      </c>
      <c r="O2941">
        <f t="shared" si="453"/>
        <v>0</v>
      </c>
      <c r="P2941">
        <f t="shared" si="454"/>
        <v>0</v>
      </c>
      <c r="Q2941">
        <f t="shared" si="455"/>
        <v>0</v>
      </c>
      <c r="R2941">
        <f t="shared" si="456"/>
        <v>0</v>
      </c>
      <c r="S2941">
        <f t="shared" si="457"/>
        <v>0</v>
      </c>
      <c r="T2941">
        <f t="shared" si="459"/>
        <v>0</v>
      </c>
      <c r="U2941">
        <f t="shared" si="458"/>
        <v>0</v>
      </c>
    </row>
    <row r="2942" spans="1:21" x14ac:dyDescent="0.25">
      <c r="A2942" s="2">
        <v>2942</v>
      </c>
      <c r="B2942" s="2">
        <v>2002</v>
      </c>
      <c r="C2942" s="43" t="s">
        <v>187</v>
      </c>
      <c r="D2942">
        <v>197.13</v>
      </c>
      <c r="E2942">
        <v>11715.35</v>
      </c>
      <c r="F2942">
        <v>411.59</v>
      </c>
      <c r="G2942">
        <v>37.880000000000003</v>
      </c>
      <c r="H2942">
        <v>85523.14</v>
      </c>
      <c r="I2942" s="80">
        <v>74400.850000000006</v>
      </c>
      <c r="J2942">
        <v>21.77</v>
      </c>
      <c r="K2942" s="80">
        <v>12550.8</v>
      </c>
      <c r="L2942">
        <f t="shared" si="450"/>
        <v>0</v>
      </c>
      <c r="M2942">
        <f t="shared" si="451"/>
        <v>0</v>
      </c>
      <c r="N2942">
        <f t="shared" si="452"/>
        <v>0</v>
      </c>
      <c r="O2942">
        <f t="shared" si="453"/>
        <v>0</v>
      </c>
      <c r="P2942">
        <f t="shared" si="454"/>
        <v>0</v>
      </c>
      <c r="Q2942">
        <f t="shared" si="455"/>
        <v>0</v>
      </c>
      <c r="R2942">
        <f t="shared" si="456"/>
        <v>0</v>
      </c>
      <c r="S2942">
        <f t="shared" si="457"/>
        <v>0</v>
      </c>
      <c r="T2942">
        <f t="shared" si="459"/>
        <v>0</v>
      </c>
      <c r="U2942">
        <f t="shared" si="458"/>
        <v>0</v>
      </c>
    </row>
    <row r="2943" spans="1:21" x14ac:dyDescent="0.25">
      <c r="A2943" s="2">
        <v>2943</v>
      </c>
      <c r="B2943" s="2">
        <v>2002</v>
      </c>
      <c r="C2943" s="43" t="s">
        <v>189</v>
      </c>
      <c r="D2943">
        <v>170.91</v>
      </c>
      <c r="E2943">
        <v>8132.24</v>
      </c>
      <c r="F2943">
        <v>5.2</v>
      </c>
      <c r="G2943">
        <v>11.11</v>
      </c>
      <c r="H2943">
        <v>19985.62</v>
      </c>
      <c r="I2943" s="80">
        <v>22727.69</v>
      </c>
      <c r="J2943">
        <v>9.98</v>
      </c>
      <c r="K2943" s="80">
        <v>12498.14</v>
      </c>
      <c r="L2943">
        <f t="shared" si="450"/>
        <v>0</v>
      </c>
      <c r="M2943">
        <f t="shared" si="451"/>
        <v>0</v>
      </c>
      <c r="N2943">
        <f t="shared" si="452"/>
        <v>0</v>
      </c>
      <c r="O2943">
        <f t="shared" si="453"/>
        <v>0</v>
      </c>
      <c r="P2943">
        <f t="shared" si="454"/>
        <v>0</v>
      </c>
      <c r="Q2943">
        <f t="shared" si="455"/>
        <v>0</v>
      </c>
      <c r="R2943">
        <f t="shared" si="456"/>
        <v>0</v>
      </c>
      <c r="S2943">
        <f t="shared" si="457"/>
        <v>0</v>
      </c>
      <c r="T2943">
        <f t="shared" si="459"/>
        <v>0</v>
      </c>
      <c r="U2943">
        <f t="shared" si="458"/>
        <v>0</v>
      </c>
    </row>
    <row r="2944" spans="1:21" x14ac:dyDescent="0.25">
      <c r="A2944" s="2">
        <v>2944</v>
      </c>
      <c r="B2944" s="2">
        <v>1003</v>
      </c>
      <c r="C2944" t="s">
        <v>162</v>
      </c>
      <c r="D2944" t="s">
        <v>583</v>
      </c>
      <c r="E2944" s="80">
        <v>41149.230000000003</v>
      </c>
      <c r="F2944" t="s">
        <v>583</v>
      </c>
      <c r="G2944" t="s">
        <v>583</v>
      </c>
      <c r="H2944">
        <v>0.7</v>
      </c>
      <c r="I2944">
        <v>5.57</v>
      </c>
      <c r="J2944" t="s">
        <v>583</v>
      </c>
      <c r="K2944">
        <v>1.19</v>
      </c>
      <c r="L2944">
        <f t="shared" si="450"/>
        <v>0</v>
      </c>
      <c r="M2944">
        <f t="shared" si="451"/>
        <v>0</v>
      </c>
      <c r="N2944">
        <f t="shared" si="452"/>
        <v>0</v>
      </c>
      <c r="O2944">
        <f t="shared" si="453"/>
        <v>0</v>
      </c>
      <c r="P2944">
        <f t="shared" si="454"/>
        <v>0</v>
      </c>
      <c r="Q2944">
        <f t="shared" si="455"/>
        <v>0</v>
      </c>
      <c r="R2944">
        <f t="shared" si="456"/>
        <v>0</v>
      </c>
      <c r="S2944">
        <f t="shared" si="457"/>
        <v>0</v>
      </c>
      <c r="T2944">
        <f t="shared" si="459"/>
        <v>0</v>
      </c>
      <c r="U2944">
        <f t="shared" si="458"/>
        <v>0</v>
      </c>
    </row>
    <row r="2945" spans="1:21" x14ac:dyDescent="0.25">
      <c r="A2945" s="2">
        <v>2945</v>
      </c>
      <c r="B2945" s="2">
        <v>1003</v>
      </c>
      <c r="C2945" s="89" t="s">
        <v>170</v>
      </c>
      <c r="D2945">
        <v>1983.35</v>
      </c>
      <c r="E2945" s="89" t="s">
        <v>582</v>
      </c>
      <c r="F2945">
        <v>49.04</v>
      </c>
      <c r="G2945">
        <v>45.79</v>
      </c>
      <c r="H2945">
        <v>10518.99</v>
      </c>
      <c r="I2945" s="80">
        <v>72024.009999999995</v>
      </c>
      <c r="J2945">
        <v>24.1</v>
      </c>
      <c r="K2945">
        <v>5813.2</v>
      </c>
      <c r="L2945">
        <f t="shared" si="450"/>
        <v>0</v>
      </c>
      <c r="M2945">
        <f t="shared" si="451"/>
        <v>1</v>
      </c>
      <c r="N2945">
        <f t="shared" si="452"/>
        <v>0</v>
      </c>
      <c r="O2945">
        <f t="shared" si="453"/>
        <v>0</v>
      </c>
      <c r="P2945">
        <f t="shared" si="454"/>
        <v>0</v>
      </c>
      <c r="Q2945">
        <f t="shared" si="455"/>
        <v>0</v>
      </c>
      <c r="R2945">
        <f t="shared" si="456"/>
        <v>0</v>
      </c>
      <c r="S2945">
        <f t="shared" si="457"/>
        <v>0</v>
      </c>
      <c r="T2945">
        <f t="shared" si="459"/>
        <v>1</v>
      </c>
      <c r="U2945">
        <f t="shared" si="458"/>
        <v>1</v>
      </c>
    </row>
    <row r="2946" spans="1:21" x14ac:dyDescent="0.25">
      <c r="A2946" s="2">
        <v>2946</v>
      </c>
      <c r="B2946" s="2">
        <v>1003</v>
      </c>
      <c r="C2946" s="89" t="s">
        <v>178</v>
      </c>
      <c r="D2946">
        <v>2343.1</v>
      </c>
      <c r="E2946" s="80">
        <v>82659.17</v>
      </c>
      <c r="F2946">
        <v>1083.3699999999999</v>
      </c>
      <c r="G2946">
        <v>62.78</v>
      </c>
      <c r="H2946" s="89" t="s">
        <v>582</v>
      </c>
      <c r="I2946" s="80">
        <v>101974.29</v>
      </c>
      <c r="J2946">
        <v>30.1</v>
      </c>
      <c r="K2946" s="80">
        <v>11747.26</v>
      </c>
      <c r="L2946">
        <f t="shared" ref="L2946:L2966" si="460">IF(D2946 = "OOR &gt;", 1,0)</f>
        <v>0</v>
      </c>
      <c r="M2946">
        <f t="shared" ref="M2946:M2966" si="461">IF(E2946 = "OOR &gt;", 1,0)</f>
        <v>0</v>
      </c>
      <c r="N2946">
        <f t="shared" ref="N2946:N2966" si="462">IF(F2946 = "OOR &gt;", 1,0)</f>
        <v>0</v>
      </c>
      <c r="O2946">
        <f t="shared" ref="O2946:O2966" si="463">IF(G2946 = "OOR &gt;", 1,0)</f>
        <v>0</v>
      </c>
      <c r="P2946">
        <f t="shared" ref="P2946:P2966" si="464">IF(H2946 = "OOR &gt;", 1,0)</f>
        <v>1</v>
      </c>
      <c r="Q2946">
        <f t="shared" ref="Q2946:Q2966" si="465">IF(I2946 = "OOR &gt;", 1,0)</f>
        <v>0</v>
      </c>
      <c r="R2946">
        <f t="shared" ref="R2946:R2966" si="466">IF(J2946 = "OOR &gt;", 1,0)</f>
        <v>0</v>
      </c>
      <c r="S2946">
        <f t="shared" ref="S2946:S2966" si="467">IF(K2946 = "OOR &gt;", 1,0)</f>
        <v>0</v>
      </c>
      <c r="T2946">
        <f t="shared" si="459"/>
        <v>1</v>
      </c>
      <c r="U2946">
        <f t="shared" ref="U2946:U2966" si="468">IF(T2946 &gt; 0,1,0)</f>
        <v>1</v>
      </c>
    </row>
    <row r="2947" spans="1:21" x14ac:dyDescent="0.25">
      <c r="A2947" s="2">
        <v>2947</v>
      </c>
      <c r="B2947" s="2">
        <v>1003</v>
      </c>
      <c r="C2947" s="89" t="s">
        <v>163</v>
      </c>
      <c r="D2947">
        <v>632.79999999999995</v>
      </c>
      <c r="E2947" s="80">
        <v>135865.16</v>
      </c>
      <c r="F2947">
        <v>148.04</v>
      </c>
      <c r="G2947">
        <v>62.78</v>
      </c>
      <c r="H2947" s="80">
        <v>30978.22</v>
      </c>
      <c r="I2947" s="80">
        <v>58640.2</v>
      </c>
      <c r="J2947">
        <v>36.35</v>
      </c>
      <c r="K2947" s="89" t="s">
        <v>582</v>
      </c>
      <c r="L2947">
        <f t="shared" si="460"/>
        <v>0</v>
      </c>
      <c r="M2947">
        <f t="shared" si="461"/>
        <v>0</v>
      </c>
      <c r="N2947">
        <f t="shared" si="462"/>
        <v>0</v>
      </c>
      <c r="O2947">
        <f t="shared" si="463"/>
        <v>0</v>
      </c>
      <c r="P2947">
        <f t="shared" si="464"/>
        <v>0</v>
      </c>
      <c r="Q2947">
        <f t="shared" si="465"/>
        <v>0</v>
      </c>
      <c r="R2947">
        <f t="shared" si="466"/>
        <v>0</v>
      </c>
      <c r="S2947">
        <f t="shared" si="467"/>
        <v>1</v>
      </c>
      <c r="T2947">
        <f t="shared" ref="T2947:T2966" si="469">SUMIF(L2947:S2947,"&gt;0")</f>
        <v>1</v>
      </c>
      <c r="U2947">
        <f t="shared" si="468"/>
        <v>1</v>
      </c>
    </row>
    <row r="2948" spans="1:21" x14ac:dyDescent="0.25">
      <c r="A2948" s="2">
        <v>2948</v>
      </c>
      <c r="B2948" s="2">
        <v>1003</v>
      </c>
      <c r="C2948" t="s">
        <v>181</v>
      </c>
      <c r="D2948" t="s">
        <v>583</v>
      </c>
      <c r="E2948" s="80">
        <v>54780.31</v>
      </c>
      <c r="F2948" t="s">
        <v>583</v>
      </c>
      <c r="G2948" t="s">
        <v>583</v>
      </c>
      <c r="H2948">
        <v>20.56</v>
      </c>
      <c r="I2948">
        <v>165.64</v>
      </c>
      <c r="J2948" t="s">
        <v>583</v>
      </c>
      <c r="K2948">
        <v>115.07</v>
      </c>
      <c r="L2948">
        <f t="shared" si="460"/>
        <v>0</v>
      </c>
      <c r="M2948">
        <f t="shared" si="461"/>
        <v>0</v>
      </c>
      <c r="N2948">
        <f t="shared" si="462"/>
        <v>0</v>
      </c>
      <c r="O2948">
        <f t="shared" si="463"/>
        <v>0</v>
      </c>
      <c r="P2948">
        <f t="shared" si="464"/>
        <v>0</v>
      </c>
      <c r="Q2948">
        <f t="shared" si="465"/>
        <v>0</v>
      </c>
      <c r="R2948">
        <f t="shared" si="466"/>
        <v>0</v>
      </c>
      <c r="S2948">
        <f t="shared" si="467"/>
        <v>0</v>
      </c>
      <c r="T2948">
        <f t="shared" si="469"/>
        <v>0</v>
      </c>
      <c r="U2948">
        <f t="shared" si="468"/>
        <v>0</v>
      </c>
    </row>
    <row r="2949" spans="1:21" x14ac:dyDescent="0.25">
      <c r="A2949" s="2">
        <v>2949</v>
      </c>
      <c r="B2949" s="2">
        <v>1003</v>
      </c>
      <c r="C2949" t="s">
        <v>183</v>
      </c>
      <c r="D2949">
        <v>3.52</v>
      </c>
      <c r="E2949" s="80">
        <v>27503.43</v>
      </c>
      <c r="F2949">
        <v>148.66999999999999</v>
      </c>
      <c r="G2949">
        <v>23.4</v>
      </c>
      <c r="H2949">
        <v>5194.9399999999996</v>
      </c>
      <c r="I2949" s="80">
        <v>59649.65</v>
      </c>
      <c r="J2949">
        <v>40.21</v>
      </c>
      <c r="K2949" s="80">
        <v>17618.650000000001</v>
      </c>
      <c r="L2949">
        <f t="shared" si="460"/>
        <v>0</v>
      </c>
      <c r="M2949">
        <f t="shared" si="461"/>
        <v>0</v>
      </c>
      <c r="N2949">
        <f t="shared" si="462"/>
        <v>0</v>
      </c>
      <c r="O2949">
        <f t="shared" si="463"/>
        <v>0</v>
      </c>
      <c r="P2949">
        <f t="shared" si="464"/>
        <v>0</v>
      </c>
      <c r="Q2949">
        <f t="shared" si="465"/>
        <v>0</v>
      </c>
      <c r="R2949">
        <f t="shared" si="466"/>
        <v>0</v>
      </c>
      <c r="S2949">
        <f t="shared" si="467"/>
        <v>0</v>
      </c>
      <c r="T2949">
        <f t="shared" si="469"/>
        <v>0</v>
      </c>
      <c r="U2949">
        <f t="shared" si="468"/>
        <v>0</v>
      </c>
    </row>
    <row r="2950" spans="1:21" x14ac:dyDescent="0.25">
      <c r="A2950" s="2">
        <v>2950</v>
      </c>
      <c r="B2950" s="2">
        <v>1003</v>
      </c>
      <c r="C2950" t="s">
        <v>186</v>
      </c>
      <c r="D2950">
        <v>6.92</v>
      </c>
      <c r="E2950">
        <v>19883.86</v>
      </c>
      <c r="F2950">
        <v>291.85000000000002</v>
      </c>
      <c r="G2950">
        <v>37.880000000000003</v>
      </c>
      <c r="H2950">
        <v>9534.7900000000009</v>
      </c>
      <c r="I2950" s="80">
        <v>65231.54</v>
      </c>
      <c r="J2950">
        <v>27.66</v>
      </c>
      <c r="K2950" s="80">
        <v>21002.67</v>
      </c>
      <c r="L2950">
        <f t="shared" si="460"/>
        <v>0</v>
      </c>
      <c r="M2950">
        <f t="shared" si="461"/>
        <v>0</v>
      </c>
      <c r="N2950">
        <f t="shared" si="462"/>
        <v>0</v>
      </c>
      <c r="O2950">
        <f t="shared" si="463"/>
        <v>0</v>
      </c>
      <c r="P2950">
        <f t="shared" si="464"/>
        <v>0</v>
      </c>
      <c r="Q2950">
        <f t="shared" si="465"/>
        <v>0</v>
      </c>
      <c r="R2950">
        <f t="shared" si="466"/>
        <v>0</v>
      </c>
      <c r="S2950">
        <f t="shared" si="467"/>
        <v>0</v>
      </c>
      <c r="T2950">
        <f t="shared" si="469"/>
        <v>0</v>
      </c>
      <c r="U2950">
        <f t="shared" si="468"/>
        <v>0</v>
      </c>
    </row>
    <row r="2951" spans="1:21" x14ac:dyDescent="0.25">
      <c r="A2951" s="2">
        <v>2951</v>
      </c>
      <c r="B2951" s="2">
        <v>1003</v>
      </c>
      <c r="C2951" s="43" t="s">
        <v>188</v>
      </c>
      <c r="D2951" t="s">
        <v>583</v>
      </c>
      <c r="E2951">
        <v>20343.18</v>
      </c>
      <c r="F2951">
        <v>315.18</v>
      </c>
      <c r="G2951" t="s">
        <v>583</v>
      </c>
      <c r="H2951">
        <v>7336.15</v>
      </c>
      <c r="I2951" s="80">
        <v>51808.17</v>
      </c>
      <c r="J2951">
        <v>22.93</v>
      </c>
      <c r="K2951" s="89" t="s">
        <v>582</v>
      </c>
      <c r="L2951">
        <f t="shared" si="460"/>
        <v>0</v>
      </c>
      <c r="M2951">
        <f t="shared" si="461"/>
        <v>0</v>
      </c>
      <c r="N2951">
        <f t="shared" si="462"/>
        <v>0</v>
      </c>
      <c r="O2951">
        <f t="shared" si="463"/>
        <v>0</v>
      </c>
      <c r="P2951">
        <f t="shared" si="464"/>
        <v>0</v>
      </c>
      <c r="Q2951">
        <f t="shared" si="465"/>
        <v>0</v>
      </c>
      <c r="R2951">
        <f t="shared" si="466"/>
        <v>0</v>
      </c>
      <c r="S2951">
        <f t="shared" si="467"/>
        <v>1</v>
      </c>
      <c r="T2951">
        <f t="shared" si="469"/>
        <v>1</v>
      </c>
      <c r="U2951">
        <f t="shared" si="468"/>
        <v>1</v>
      </c>
    </row>
    <row r="2952" spans="1:21" x14ac:dyDescent="0.25">
      <c r="A2952" s="2">
        <v>2952</v>
      </c>
      <c r="B2952" s="2">
        <v>1003</v>
      </c>
      <c r="C2952" s="43" t="s">
        <v>182</v>
      </c>
      <c r="D2952" t="s">
        <v>583</v>
      </c>
      <c r="E2952">
        <v>2005.45</v>
      </c>
      <c r="F2952" t="s">
        <v>583</v>
      </c>
      <c r="G2952" s="80">
        <v>1.96</v>
      </c>
      <c r="H2952">
        <v>1.44</v>
      </c>
      <c r="I2952">
        <v>4.62</v>
      </c>
      <c r="J2952" t="s">
        <v>583</v>
      </c>
      <c r="K2952">
        <v>0.14000000000000001</v>
      </c>
      <c r="L2952">
        <f t="shared" si="460"/>
        <v>0</v>
      </c>
      <c r="M2952">
        <f t="shared" si="461"/>
        <v>0</v>
      </c>
      <c r="N2952">
        <f t="shared" si="462"/>
        <v>0</v>
      </c>
      <c r="O2952">
        <f t="shared" si="463"/>
        <v>0</v>
      </c>
      <c r="P2952">
        <f t="shared" si="464"/>
        <v>0</v>
      </c>
      <c r="Q2952">
        <f t="shared" si="465"/>
        <v>0</v>
      </c>
      <c r="R2952">
        <f t="shared" si="466"/>
        <v>0</v>
      </c>
      <c r="S2952">
        <f t="shared" si="467"/>
        <v>0</v>
      </c>
      <c r="T2952">
        <f t="shared" si="469"/>
        <v>0</v>
      </c>
      <c r="U2952">
        <f t="shared" si="468"/>
        <v>0</v>
      </c>
    </row>
    <row r="2953" spans="1:21" x14ac:dyDescent="0.25">
      <c r="A2953" s="2">
        <v>2953</v>
      </c>
      <c r="B2953" s="2">
        <v>1003</v>
      </c>
      <c r="C2953" s="43" t="s">
        <v>184</v>
      </c>
      <c r="D2953">
        <v>0.82</v>
      </c>
      <c r="E2953">
        <v>23008.91</v>
      </c>
      <c r="F2953">
        <v>45.31</v>
      </c>
      <c r="G2953">
        <v>6.03</v>
      </c>
      <c r="H2953">
        <v>3699.29</v>
      </c>
      <c r="I2953" s="80">
        <v>25911.18</v>
      </c>
      <c r="J2953">
        <v>2.88</v>
      </c>
      <c r="K2953">
        <v>462.38</v>
      </c>
      <c r="L2953">
        <f t="shared" si="460"/>
        <v>0</v>
      </c>
      <c r="M2953">
        <f t="shared" si="461"/>
        <v>0</v>
      </c>
      <c r="N2953">
        <f t="shared" si="462"/>
        <v>0</v>
      </c>
      <c r="O2953">
        <f t="shared" si="463"/>
        <v>0</v>
      </c>
      <c r="P2953">
        <f t="shared" si="464"/>
        <v>0</v>
      </c>
      <c r="Q2953">
        <f t="shared" si="465"/>
        <v>0</v>
      </c>
      <c r="R2953">
        <f t="shared" si="466"/>
        <v>0</v>
      </c>
      <c r="S2953">
        <f t="shared" si="467"/>
        <v>0</v>
      </c>
      <c r="T2953">
        <f t="shared" si="469"/>
        <v>0</v>
      </c>
      <c r="U2953">
        <f t="shared" si="468"/>
        <v>0</v>
      </c>
    </row>
    <row r="2954" spans="1:21" x14ac:dyDescent="0.25">
      <c r="A2954" s="2">
        <v>2954</v>
      </c>
      <c r="B2954" s="2">
        <v>1003</v>
      </c>
      <c r="C2954" s="43" t="s">
        <v>187</v>
      </c>
      <c r="D2954">
        <v>24.56</v>
      </c>
      <c r="E2954" s="80">
        <v>31864.54</v>
      </c>
      <c r="F2954">
        <v>88.23</v>
      </c>
      <c r="G2954">
        <v>30.4</v>
      </c>
      <c r="H2954" s="80">
        <v>23860.55</v>
      </c>
      <c r="I2954" s="80">
        <v>31001.72</v>
      </c>
      <c r="J2954">
        <v>14.05</v>
      </c>
      <c r="K2954">
        <v>4786.8500000000004</v>
      </c>
      <c r="L2954">
        <f t="shared" si="460"/>
        <v>0</v>
      </c>
      <c r="M2954">
        <f t="shared" si="461"/>
        <v>0</v>
      </c>
      <c r="N2954">
        <f t="shared" si="462"/>
        <v>0</v>
      </c>
      <c r="O2954">
        <f t="shared" si="463"/>
        <v>0</v>
      </c>
      <c r="P2954">
        <f t="shared" si="464"/>
        <v>0</v>
      </c>
      <c r="Q2954">
        <f t="shared" si="465"/>
        <v>0</v>
      </c>
      <c r="R2954">
        <f t="shared" si="466"/>
        <v>0</v>
      </c>
      <c r="S2954">
        <f t="shared" si="467"/>
        <v>0</v>
      </c>
      <c r="T2954">
        <f t="shared" si="469"/>
        <v>0</v>
      </c>
      <c r="U2954">
        <f t="shared" si="468"/>
        <v>0</v>
      </c>
    </row>
    <row r="2955" spans="1:21" x14ac:dyDescent="0.25">
      <c r="A2955" s="2">
        <v>2955</v>
      </c>
      <c r="B2955" s="2">
        <v>1003</v>
      </c>
      <c r="C2955" s="43" t="s">
        <v>189</v>
      </c>
      <c r="D2955">
        <v>1.2</v>
      </c>
      <c r="E2955">
        <v>11946.74</v>
      </c>
      <c r="F2955">
        <v>9.7100000000000009</v>
      </c>
      <c r="G2955">
        <v>23.4</v>
      </c>
      <c r="H2955">
        <v>7342.18</v>
      </c>
      <c r="I2955" s="80">
        <v>12457.11</v>
      </c>
      <c r="J2955">
        <v>8.0500000000000007</v>
      </c>
      <c r="K2955">
        <v>2659.88</v>
      </c>
      <c r="L2955">
        <f t="shared" si="460"/>
        <v>0</v>
      </c>
      <c r="M2955">
        <f t="shared" si="461"/>
        <v>0</v>
      </c>
      <c r="N2955">
        <f t="shared" si="462"/>
        <v>0</v>
      </c>
      <c r="O2955">
        <f t="shared" si="463"/>
        <v>0</v>
      </c>
      <c r="P2955">
        <f t="shared" si="464"/>
        <v>0</v>
      </c>
      <c r="Q2955">
        <f t="shared" si="465"/>
        <v>0</v>
      </c>
      <c r="R2955">
        <f t="shared" si="466"/>
        <v>0</v>
      </c>
      <c r="S2955">
        <f t="shared" si="467"/>
        <v>0</v>
      </c>
      <c r="T2955">
        <f t="shared" si="469"/>
        <v>0</v>
      </c>
      <c r="U2955">
        <f t="shared" si="468"/>
        <v>0</v>
      </c>
    </row>
    <row r="2956" spans="1:21" x14ac:dyDescent="0.25">
      <c r="A2956" s="2">
        <v>2956</v>
      </c>
      <c r="B2956" s="2">
        <v>1001</v>
      </c>
      <c r="C2956" t="s">
        <v>162</v>
      </c>
      <c r="D2956" t="s">
        <v>583</v>
      </c>
      <c r="E2956">
        <v>11464.6</v>
      </c>
      <c r="F2956" t="s">
        <v>583</v>
      </c>
      <c r="G2956" t="s">
        <v>583</v>
      </c>
      <c r="H2956">
        <v>0.94</v>
      </c>
      <c r="I2956">
        <v>8.89</v>
      </c>
      <c r="J2956" t="s">
        <v>583</v>
      </c>
      <c r="K2956">
        <v>2.11</v>
      </c>
      <c r="L2956">
        <f t="shared" si="460"/>
        <v>0</v>
      </c>
      <c r="M2956">
        <f t="shared" si="461"/>
        <v>0</v>
      </c>
      <c r="N2956">
        <f t="shared" si="462"/>
        <v>0</v>
      </c>
      <c r="O2956">
        <f t="shared" si="463"/>
        <v>0</v>
      </c>
      <c r="P2956">
        <f t="shared" si="464"/>
        <v>0</v>
      </c>
      <c r="Q2956">
        <f t="shared" si="465"/>
        <v>0</v>
      </c>
      <c r="R2956">
        <f t="shared" si="466"/>
        <v>0</v>
      </c>
      <c r="S2956">
        <f t="shared" si="467"/>
        <v>0</v>
      </c>
      <c r="T2956">
        <f t="shared" si="469"/>
        <v>0</v>
      </c>
      <c r="U2956">
        <f t="shared" si="468"/>
        <v>0</v>
      </c>
    </row>
    <row r="2957" spans="1:21" x14ac:dyDescent="0.25">
      <c r="A2957" s="2">
        <v>2957</v>
      </c>
      <c r="B2957" s="2">
        <v>1001</v>
      </c>
      <c r="C2957" t="s">
        <v>170</v>
      </c>
      <c r="D2957" s="80">
        <v>0.19</v>
      </c>
      <c r="E2957">
        <v>14011.69</v>
      </c>
      <c r="F2957">
        <v>116.42</v>
      </c>
      <c r="G2957">
        <v>16.940000000000001</v>
      </c>
      <c r="H2957">
        <v>4193.6000000000004</v>
      </c>
      <c r="I2957" s="80">
        <v>65865.72</v>
      </c>
      <c r="J2957">
        <v>9.98</v>
      </c>
      <c r="K2957">
        <v>3655.29</v>
      </c>
      <c r="L2957">
        <f t="shared" si="460"/>
        <v>0</v>
      </c>
      <c r="M2957">
        <f t="shared" si="461"/>
        <v>0</v>
      </c>
      <c r="N2957">
        <f t="shared" si="462"/>
        <v>0</v>
      </c>
      <c r="O2957">
        <f t="shared" si="463"/>
        <v>0</v>
      </c>
      <c r="P2957">
        <f t="shared" si="464"/>
        <v>0</v>
      </c>
      <c r="Q2957">
        <f t="shared" si="465"/>
        <v>0</v>
      </c>
      <c r="R2957">
        <f t="shared" si="466"/>
        <v>0</v>
      </c>
      <c r="S2957">
        <f t="shared" si="467"/>
        <v>0</v>
      </c>
      <c r="T2957">
        <f t="shared" si="469"/>
        <v>0</v>
      </c>
      <c r="U2957">
        <f t="shared" si="468"/>
        <v>0</v>
      </c>
    </row>
    <row r="2958" spans="1:21" x14ac:dyDescent="0.25">
      <c r="A2958" s="2">
        <v>2958</v>
      </c>
      <c r="B2958" s="2">
        <v>1001</v>
      </c>
      <c r="C2958" t="s">
        <v>178</v>
      </c>
      <c r="D2958">
        <v>11.49</v>
      </c>
      <c r="E2958">
        <v>13911</v>
      </c>
      <c r="F2958">
        <v>502.39</v>
      </c>
      <c r="G2958">
        <v>49.9</v>
      </c>
      <c r="H2958" s="80">
        <v>55420.34</v>
      </c>
      <c r="I2958" s="80">
        <v>89243.68</v>
      </c>
      <c r="J2958">
        <v>20.63</v>
      </c>
      <c r="K2958" s="80">
        <v>9072.99</v>
      </c>
      <c r="L2958">
        <f t="shared" si="460"/>
        <v>0</v>
      </c>
      <c r="M2958">
        <f t="shared" si="461"/>
        <v>0</v>
      </c>
      <c r="N2958">
        <f t="shared" si="462"/>
        <v>0</v>
      </c>
      <c r="O2958">
        <f t="shared" si="463"/>
        <v>0</v>
      </c>
      <c r="P2958">
        <f t="shared" si="464"/>
        <v>0</v>
      </c>
      <c r="Q2958">
        <f t="shared" si="465"/>
        <v>0</v>
      </c>
      <c r="R2958">
        <f t="shared" si="466"/>
        <v>0</v>
      </c>
      <c r="S2958">
        <f t="shared" si="467"/>
        <v>0</v>
      </c>
      <c r="T2958">
        <f t="shared" si="469"/>
        <v>0</v>
      </c>
      <c r="U2958">
        <f t="shared" si="468"/>
        <v>0</v>
      </c>
    </row>
    <row r="2959" spans="1:21" x14ac:dyDescent="0.25">
      <c r="A2959" s="2">
        <v>2959</v>
      </c>
      <c r="B2959" s="2">
        <v>1001</v>
      </c>
      <c r="C2959" s="89" t="s">
        <v>163</v>
      </c>
      <c r="D2959">
        <v>5.72</v>
      </c>
      <c r="E2959" s="80">
        <v>25075.08</v>
      </c>
      <c r="F2959">
        <v>99.87</v>
      </c>
      <c r="G2959">
        <v>37.880000000000003</v>
      </c>
      <c r="H2959">
        <v>13835.32</v>
      </c>
      <c r="I2959" s="80">
        <v>74300.53</v>
      </c>
      <c r="J2959">
        <v>30.1</v>
      </c>
      <c r="K2959" s="89" t="s">
        <v>582</v>
      </c>
      <c r="L2959">
        <f t="shared" si="460"/>
        <v>0</v>
      </c>
      <c r="M2959">
        <f t="shared" si="461"/>
        <v>0</v>
      </c>
      <c r="N2959">
        <f t="shared" si="462"/>
        <v>0</v>
      </c>
      <c r="O2959">
        <f t="shared" si="463"/>
        <v>0</v>
      </c>
      <c r="P2959">
        <f t="shared" si="464"/>
        <v>0</v>
      </c>
      <c r="Q2959">
        <f t="shared" si="465"/>
        <v>0</v>
      </c>
      <c r="R2959">
        <f t="shared" si="466"/>
        <v>0</v>
      </c>
      <c r="S2959">
        <f t="shared" si="467"/>
        <v>1</v>
      </c>
      <c r="T2959">
        <f t="shared" si="469"/>
        <v>1</v>
      </c>
      <c r="U2959">
        <f t="shared" si="468"/>
        <v>1</v>
      </c>
    </row>
    <row r="2960" spans="1:21" x14ac:dyDescent="0.25">
      <c r="A2960" s="2">
        <v>2960</v>
      </c>
      <c r="B2960" s="2">
        <v>1001</v>
      </c>
      <c r="C2960" t="s">
        <v>181</v>
      </c>
      <c r="D2960">
        <v>0.82</v>
      </c>
      <c r="E2960" s="80">
        <v>36777.64</v>
      </c>
      <c r="F2960" t="s">
        <v>583</v>
      </c>
      <c r="G2960" t="s">
        <v>583</v>
      </c>
      <c r="H2960">
        <v>27.26</v>
      </c>
      <c r="I2960">
        <v>189.66</v>
      </c>
      <c r="J2960" t="s">
        <v>583</v>
      </c>
      <c r="K2960">
        <v>25.84</v>
      </c>
      <c r="L2960">
        <f t="shared" si="460"/>
        <v>0</v>
      </c>
      <c r="M2960">
        <f t="shared" si="461"/>
        <v>0</v>
      </c>
      <c r="N2960">
        <f t="shared" si="462"/>
        <v>0</v>
      </c>
      <c r="O2960">
        <f t="shared" si="463"/>
        <v>0</v>
      </c>
      <c r="P2960">
        <f t="shared" si="464"/>
        <v>0</v>
      </c>
      <c r="Q2960">
        <f t="shared" si="465"/>
        <v>0</v>
      </c>
      <c r="R2960">
        <f t="shared" si="466"/>
        <v>0</v>
      </c>
      <c r="S2960">
        <f t="shared" si="467"/>
        <v>0</v>
      </c>
      <c r="T2960">
        <f t="shared" si="469"/>
        <v>0</v>
      </c>
      <c r="U2960">
        <f t="shared" si="468"/>
        <v>0</v>
      </c>
    </row>
    <row r="2961" spans="1:21" x14ac:dyDescent="0.25">
      <c r="A2961" s="2">
        <v>2961</v>
      </c>
      <c r="B2961" s="2">
        <v>1001</v>
      </c>
      <c r="C2961" t="s">
        <v>183</v>
      </c>
      <c r="D2961">
        <v>3.52</v>
      </c>
      <c r="E2961" s="80">
        <v>47341.49</v>
      </c>
      <c r="F2961">
        <v>138.13</v>
      </c>
      <c r="G2961">
        <v>30.4</v>
      </c>
      <c r="H2961">
        <v>2167.29</v>
      </c>
      <c r="I2961" s="80">
        <v>114792.71</v>
      </c>
      <c r="J2961">
        <v>17.28</v>
      </c>
      <c r="K2961">
        <v>6622.63</v>
      </c>
      <c r="L2961">
        <f t="shared" si="460"/>
        <v>0</v>
      </c>
      <c r="M2961">
        <f t="shared" si="461"/>
        <v>0</v>
      </c>
      <c r="N2961">
        <f t="shared" si="462"/>
        <v>0</v>
      </c>
      <c r="O2961">
        <f t="shared" si="463"/>
        <v>0</v>
      </c>
      <c r="P2961">
        <f t="shared" si="464"/>
        <v>0</v>
      </c>
      <c r="Q2961">
        <f t="shared" si="465"/>
        <v>0</v>
      </c>
      <c r="R2961">
        <f t="shared" si="466"/>
        <v>0</v>
      </c>
      <c r="S2961">
        <f t="shared" si="467"/>
        <v>0</v>
      </c>
      <c r="T2961">
        <f t="shared" si="469"/>
        <v>0</v>
      </c>
      <c r="U2961">
        <f t="shared" si="468"/>
        <v>0</v>
      </c>
    </row>
    <row r="2962" spans="1:21" x14ac:dyDescent="0.25">
      <c r="A2962" s="2">
        <v>2963</v>
      </c>
      <c r="B2962" s="2">
        <v>1001</v>
      </c>
      <c r="C2962" s="43" t="s">
        <v>188</v>
      </c>
      <c r="D2962">
        <v>1.62</v>
      </c>
      <c r="E2962" s="80">
        <v>111292.86</v>
      </c>
      <c r="F2962">
        <v>19.47</v>
      </c>
      <c r="G2962">
        <v>11.11</v>
      </c>
      <c r="H2962">
        <v>1739.89</v>
      </c>
      <c r="I2962" s="80">
        <v>42970.86</v>
      </c>
      <c r="J2962">
        <v>19.5</v>
      </c>
      <c r="K2962" s="80">
        <v>8373.07</v>
      </c>
      <c r="L2962">
        <f t="shared" si="460"/>
        <v>0</v>
      </c>
      <c r="M2962">
        <f t="shared" si="461"/>
        <v>0</v>
      </c>
      <c r="N2962">
        <f t="shared" si="462"/>
        <v>0</v>
      </c>
      <c r="O2962">
        <f t="shared" si="463"/>
        <v>0</v>
      </c>
      <c r="P2962">
        <f t="shared" si="464"/>
        <v>0</v>
      </c>
      <c r="Q2962">
        <f t="shared" si="465"/>
        <v>0</v>
      </c>
      <c r="R2962">
        <f t="shared" si="466"/>
        <v>0</v>
      </c>
      <c r="S2962">
        <f t="shared" si="467"/>
        <v>0</v>
      </c>
      <c r="T2962">
        <f t="shared" si="469"/>
        <v>0</v>
      </c>
      <c r="U2962">
        <f t="shared" si="468"/>
        <v>0</v>
      </c>
    </row>
    <row r="2963" spans="1:21" x14ac:dyDescent="0.25">
      <c r="A2963" s="2">
        <v>2964</v>
      </c>
      <c r="B2963" s="2">
        <v>1001</v>
      </c>
      <c r="C2963" s="43" t="s">
        <v>182</v>
      </c>
      <c r="D2963" s="80">
        <v>0.19</v>
      </c>
      <c r="E2963">
        <v>979.61</v>
      </c>
      <c r="F2963" t="s">
        <v>583</v>
      </c>
      <c r="G2963" t="s">
        <v>583</v>
      </c>
      <c r="H2963" t="s">
        <v>583</v>
      </c>
      <c r="I2963">
        <v>0.85</v>
      </c>
      <c r="J2963" t="s">
        <v>583</v>
      </c>
      <c r="K2963" t="s">
        <v>583</v>
      </c>
      <c r="L2963">
        <f t="shared" si="460"/>
        <v>0</v>
      </c>
      <c r="M2963">
        <f t="shared" si="461"/>
        <v>0</v>
      </c>
      <c r="N2963">
        <f t="shared" si="462"/>
        <v>0</v>
      </c>
      <c r="O2963">
        <f t="shared" si="463"/>
        <v>0</v>
      </c>
      <c r="P2963">
        <f t="shared" si="464"/>
        <v>0</v>
      </c>
      <c r="Q2963">
        <f t="shared" si="465"/>
        <v>0</v>
      </c>
      <c r="R2963">
        <f t="shared" si="466"/>
        <v>0</v>
      </c>
      <c r="S2963">
        <f t="shared" si="467"/>
        <v>0</v>
      </c>
      <c r="T2963">
        <f t="shared" si="469"/>
        <v>0</v>
      </c>
      <c r="U2963">
        <f t="shared" si="468"/>
        <v>0</v>
      </c>
    </row>
    <row r="2964" spans="1:21" x14ac:dyDescent="0.25">
      <c r="A2964" s="2">
        <v>2965</v>
      </c>
      <c r="B2964" s="2">
        <v>1001</v>
      </c>
      <c r="C2964" s="43" t="s">
        <v>184</v>
      </c>
      <c r="D2964">
        <v>2.52</v>
      </c>
      <c r="E2964">
        <v>11860.98</v>
      </c>
      <c r="F2964">
        <v>0.72</v>
      </c>
      <c r="G2964" t="s">
        <v>583</v>
      </c>
      <c r="H2964">
        <v>921.63</v>
      </c>
      <c r="I2964" s="80">
        <v>9687.61</v>
      </c>
      <c r="J2964">
        <v>0.27</v>
      </c>
      <c r="K2964">
        <v>402.05</v>
      </c>
      <c r="L2964">
        <f t="shared" si="460"/>
        <v>0</v>
      </c>
      <c r="M2964">
        <f t="shared" si="461"/>
        <v>0</v>
      </c>
      <c r="N2964">
        <f t="shared" si="462"/>
        <v>0</v>
      </c>
      <c r="O2964">
        <f t="shared" si="463"/>
        <v>0</v>
      </c>
      <c r="P2964">
        <f t="shared" si="464"/>
        <v>0</v>
      </c>
      <c r="Q2964">
        <f t="shared" si="465"/>
        <v>0</v>
      </c>
      <c r="R2964">
        <f t="shared" si="466"/>
        <v>0</v>
      </c>
      <c r="S2964">
        <f t="shared" si="467"/>
        <v>0</v>
      </c>
      <c r="T2964">
        <f t="shared" si="469"/>
        <v>0</v>
      </c>
      <c r="U2964">
        <f t="shared" si="468"/>
        <v>0</v>
      </c>
    </row>
    <row r="2965" spans="1:21" x14ac:dyDescent="0.25">
      <c r="A2965" s="2">
        <v>2966</v>
      </c>
      <c r="B2965" s="2">
        <v>1001</v>
      </c>
      <c r="C2965" s="43" t="s">
        <v>187</v>
      </c>
      <c r="D2965">
        <v>54.39</v>
      </c>
      <c r="E2965">
        <v>15282.38</v>
      </c>
      <c r="F2965">
        <v>18.36</v>
      </c>
      <c r="G2965" s="80">
        <v>1.96</v>
      </c>
      <c r="H2965">
        <v>6565.61</v>
      </c>
      <c r="I2965" s="80">
        <v>19407.32</v>
      </c>
      <c r="J2965">
        <v>10.97</v>
      </c>
      <c r="K2965">
        <v>4344.3999999999996</v>
      </c>
      <c r="L2965">
        <f t="shared" si="460"/>
        <v>0</v>
      </c>
      <c r="M2965">
        <f t="shared" si="461"/>
        <v>0</v>
      </c>
      <c r="N2965">
        <f t="shared" si="462"/>
        <v>0</v>
      </c>
      <c r="O2965">
        <f t="shared" si="463"/>
        <v>0</v>
      </c>
      <c r="P2965">
        <f t="shared" si="464"/>
        <v>0</v>
      </c>
      <c r="Q2965">
        <f t="shared" si="465"/>
        <v>0</v>
      </c>
      <c r="R2965">
        <f t="shared" si="466"/>
        <v>0</v>
      </c>
      <c r="S2965">
        <f t="shared" si="467"/>
        <v>0</v>
      </c>
      <c r="T2965">
        <f t="shared" si="469"/>
        <v>0</v>
      </c>
      <c r="U2965">
        <f t="shared" si="468"/>
        <v>0</v>
      </c>
    </row>
    <row r="2966" spans="1:21" x14ac:dyDescent="0.25">
      <c r="A2966" s="2">
        <v>2967</v>
      </c>
      <c r="B2966" s="2">
        <v>1001</v>
      </c>
      <c r="C2966" s="43" t="s">
        <v>189</v>
      </c>
      <c r="D2966">
        <v>0.82</v>
      </c>
      <c r="E2966">
        <v>4303.71</v>
      </c>
      <c r="F2966" t="s">
        <v>583</v>
      </c>
      <c r="G2966" s="80">
        <v>1.96</v>
      </c>
      <c r="H2966">
        <v>2039.43</v>
      </c>
      <c r="I2966">
        <v>2640.19</v>
      </c>
      <c r="J2966">
        <v>1.44</v>
      </c>
      <c r="K2966">
        <v>1929.07</v>
      </c>
      <c r="L2966">
        <f t="shared" si="460"/>
        <v>0</v>
      </c>
      <c r="M2966">
        <f t="shared" si="461"/>
        <v>0</v>
      </c>
      <c r="N2966">
        <f t="shared" si="462"/>
        <v>0</v>
      </c>
      <c r="O2966">
        <f t="shared" si="463"/>
        <v>0</v>
      </c>
      <c r="P2966">
        <f t="shared" si="464"/>
        <v>0</v>
      </c>
      <c r="Q2966">
        <f t="shared" si="465"/>
        <v>0</v>
      </c>
      <c r="R2966">
        <f t="shared" si="466"/>
        <v>0</v>
      </c>
      <c r="S2966">
        <f t="shared" si="467"/>
        <v>0</v>
      </c>
      <c r="T2966">
        <f t="shared" si="469"/>
        <v>0</v>
      </c>
      <c r="U2966">
        <f t="shared" si="468"/>
        <v>0</v>
      </c>
    </row>
    <row r="2967" spans="1:21" x14ac:dyDescent="0.25">
      <c r="L2967">
        <f>SUM(L2:L2966)</f>
        <v>0</v>
      </c>
      <c r="M2967">
        <f t="shared" ref="M2967:U2967" si="470">SUM(M2:M2966)</f>
        <v>278</v>
      </c>
      <c r="N2967">
        <f t="shared" si="470"/>
        <v>21</v>
      </c>
      <c r="O2967">
        <f t="shared" si="470"/>
        <v>0</v>
      </c>
      <c r="P2967">
        <f t="shared" si="470"/>
        <v>21</v>
      </c>
      <c r="Q2967">
        <f t="shared" si="470"/>
        <v>0</v>
      </c>
      <c r="R2967">
        <f t="shared" si="470"/>
        <v>0</v>
      </c>
      <c r="S2967">
        <f t="shared" si="470"/>
        <v>158</v>
      </c>
      <c r="T2967">
        <f t="shared" si="470"/>
        <v>478</v>
      </c>
      <c r="U2967">
        <f t="shared" si="470"/>
        <v>398</v>
      </c>
    </row>
  </sheetData>
  <sortState ref="A2:U2966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selection activeCell="G5" sqref="G5"/>
    </sheetView>
  </sheetViews>
  <sheetFormatPr defaultRowHeight="15" x14ac:dyDescent="0.25"/>
  <cols>
    <col min="3" max="3" width="23" customWidth="1"/>
    <col min="4" max="4" width="12.140625" customWidth="1"/>
    <col min="5" max="5" width="10.7109375" bestFit="1" customWidth="1"/>
  </cols>
  <sheetData>
    <row r="1" spans="1:5" x14ac:dyDescent="0.25">
      <c r="A1" s="123" t="s">
        <v>579</v>
      </c>
      <c r="B1" s="2" t="s">
        <v>581</v>
      </c>
      <c r="C1" s="123" t="s">
        <v>580</v>
      </c>
      <c r="D1" s="79" t="s">
        <v>585</v>
      </c>
      <c r="E1" s="79" t="s">
        <v>591</v>
      </c>
    </row>
    <row r="2" spans="1:5" x14ac:dyDescent="0.25">
      <c r="A2" s="123">
        <v>1231</v>
      </c>
      <c r="B2" s="10">
        <v>1018</v>
      </c>
      <c r="C2" s="133" t="s">
        <v>181</v>
      </c>
      <c r="D2" s="89" t="s">
        <v>582</v>
      </c>
      <c r="E2" s="89" t="s">
        <v>582</v>
      </c>
    </row>
    <row r="3" spans="1:5" x14ac:dyDescent="0.25">
      <c r="A3" s="123">
        <v>1263</v>
      </c>
      <c r="B3" s="10">
        <v>1063</v>
      </c>
      <c r="C3" s="122" t="s">
        <v>181</v>
      </c>
      <c r="D3" s="89" t="s">
        <v>582</v>
      </c>
      <c r="E3">
        <v>45.35</v>
      </c>
    </row>
    <row r="4" spans="1:5" x14ac:dyDescent="0.25">
      <c r="A4" s="123">
        <v>1264</v>
      </c>
      <c r="B4" s="10">
        <v>1063</v>
      </c>
      <c r="C4" s="122" t="s">
        <v>183</v>
      </c>
      <c r="D4" s="89" t="s">
        <v>582</v>
      </c>
      <c r="E4">
        <v>6711.29</v>
      </c>
    </row>
    <row r="5" spans="1:5" x14ac:dyDescent="0.25">
      <c r="A5" s="123">
        <v>1266</v>
      </c>
      <c r="B5" s="10">
        <v>1063</v>
      </c>
      <c r="C5" s="122" t="s">
        <v>188</v>
      </c>
      <c r="D5" s="89" t="s">
        <v>582</v>
      </c>
      <c r="E5" s="89" t="s">
        <v>582</v>
      </c>
    </row>
    <row r="6" spans="1:5" x14ac:dyDescent="0.25">
      <c r="A6" s="123">
        <v>1287</v>
      </c>
      <c r="B6" s="10">
        <v>3003</v>
      </c>
      <c r="C6" s="133" t="s">
        <v>181</v>
      </c>
      <c r="D6" s="89" t="s">
        <v>582</v>
      </c>
      <c r="E6">
        <v>156.93</v>
      </c>
    </row>
    <row r="7" spans="1:5" x14ac:dyDescent="0.25">
      <c r="A7" s="122">
        <v>1783</v>
      </c>
      <c r="B7">
        <v>1072</v>
      </c>
      <c r="C7" s="122" t="s">
        <v>181</v>
      </c>
      <c r="D7" s="89" t="s">
        <v>582</v>
      </c>
      <c r="E7">
        <v>166.34</v>
      </c>
    </row>
    <row r="8" spans="1:5" x14ac:dyDescent="0.25">
      <c r="A8" s="122">
        <v>2037</v>
      </c>
      <c r="B8" t="s">
        <v>639</v>
      </c>
      <c r="C8" s="122" t="s">
        <v>178</v>
      </c>
      <c r="D8" s="89" t="s">
        <v>582</v>
      </c>
      <c r="E8">
        <v>2729.8</v>
      </c>
    </row>
    <row r="9" spans="1:5" x14ac:dyDescent="0.25">
      <c r="A9" s="122">
        <v>2038</v>
      </c>
      <c r="B9" t="s">
        <v>639</v>
      </c>
      <c r="C9" s="122" t="s">
        <v>163</v>
      </c>
      <c r="D9" s="89" t="s">
        <v>582</v>
      </c>
      <c r="E9" s="80">
        <v>15895.71</v>
      </c>
    </row>
    <row r="10" spans="1:5" x14ac:dyDescent="0.25">
      <c r="A10" s="122">
        <v>2229</v>
      </c>
      <c r="B10" t="s">
        <v>665</v>
      </c>
      <c r="C10" s="133" t="s">
        <v>186</v>
      </c>
      <c r="D10" s="89" t="s">
        <v>582</v>
      </c>
      <c r="E10" s="80">
        <v>13234.46</v>
      </c>
    </row>
    <row r="11" spans="1:5" x14ac:dyDescent="0.25">
      <c r="A11" s="122">
        <v>2457</v>
      </c>
      <c r="B11" t="s">
        <v>674</v>
      </c>
      <c r="C11" s="133" t="s">
        <v>187</v>
      </c>
      <c r="D11" s="89" t="s">
        <v>582</v>
      </c>
      <c r="E11">
        <v>1942.83</v>
      </c>
    </row>
    <row r="12" spans="1:5" x14ac:dyDescent="0.25">
      <c r="A12" s="122">
        <v>2463</v>
      </c>
      <c r="B12">
        <v>2043</v>
      </c>
      <c r="C12" s="133" t="s">
        <v>181</v>
      </c>
      <c r="D12" s="89" t="s">
        <v>582</v>
      </c>
      <c r="E12">
        <v>11.51</v>
      </c>
    </row>
    <row r="13" spans="1:5" x14ac:dyDescent="0.25">
      <c r="A13" s="122">
        <v>2464</v>
      </c>
      <c r="B13">
        <v>2043</v>
      </c>
      <c r="C13" s="133" t="s">
        <v>183</v>
      </c>
      <c r="D13" s="89" t="s">
        <v>582</v>
      </c>
      <c r="E13">
        <v>2817.46</v>
      </c>
    </row>
    <row r="14" spans="1:5" x14ac:dyDescent="0.25">
      <c r="A14" s="122">
        <v>2465</v>
      </c>
      <c r="B14">
        <v>2043</v>
      </c>
      <c r="C14" s="133" t="s">
        <v>186</v>
      </c>
      <c r="D14" s="89" t="s">
        <v>582</v>
      </c>
      <c r="E14" s="80">
        <v>10009.530000000001</v>
      </c>
    </row>
    <row r="15" spans="1:5" x14ac:dyDescent="0.25">
      <c r="A15" s="122">
        <v>2466</v>
      </c>
      <c r="B15">
        <v>2043</v>
      </c>
      <c r="C15" s="122" t="s">
        <v>188</v>
      </c>
      <c r="D15" s="89" t="s">
        <v>582</v>
      </c>
      <c r="E15" s="89" t="s">
        <v>582</v>
      </c>
    </row>
    <row r="16" spans="1:5" x14ac:dyDescent="0.25">
      <c r="A16" s="122">
        <v>2487</v>
      </c>
      <c r="B16" t="s">
        <v>675</v>
      </c>
      <c r="C16" s="122" t="s">
        <v>181</v>
      </c>
      <c r="D16" s="89" t="s">
        <v>582</v>
      </c>
      <c r="E16">
        <v>96.86</v>
      </c>
    </row>
    <row r="17" spans="1:5" x14ac:dyDescent="0.25">
      <c r="A17" s="122">
        <v>2495</v>
      </c>
      <c r="B17" t="s">
        <v>676</v>
      </c>
      <c r="C17" s="122" t="s">
        <v>162</v>
      </c>
      <c r="D17" s="89" t="s">
        <v>582</v>
      </c>
      <c r="E17">
        <v>87.4</v>
      </c>
    </row>
    <row r="18" spans="1:5" x14ac:dyDescent="0.25">
      <c r="A18" s="122">
        <v>2499</v>
      </c>
      <c r="B18" t="s">
        <v>676</v>
      </c>
      <c r="C18" s="122" t="s">
        <v>181</v>
      </c>
      <c r="D18" s="89" t="s">
        <v>582</v>
      </c>
      <c r="E18">
        <v>131.35</v>
      </c>
    </row>
    <row r="19" spans="1:5" x14ac:dyDescent="0.25">
      <c r="A19" s="122">
        <v>2502</v>
      </c>
      <c r="B19" t="s">
        <v>676</v>
      </c>
      <c r="C19" s="122" t="s">
        <v>188</v>
      </c>
      <c r="D19" s="89" t="s">
        <v>582</v>
      </c>
      <c r="E19" s="80">
        <v>13879.8</v>
      </c>
    </row>
    <row r="20" spans="1:5" x14ac:dyDescent="0.25">
      <c r="A20" s="122">
        <v>2519</v>
      </c>
      <c r="B20" t="s">
        <v>678</v>
      </c>
      <c r="C20" s="122" t="s">
        <v>162</v>
      </c>
      <c r="D20" s="89" t="s">
        <v>582</v>
      </c>
      <c r="E20">
        <v>27.29</v>
      </c>
    </row>
    <row r="21" spans="1:5" x14ac:dyDescent="0.25">
      <c r="A21" s="122">
        <v>2523</v>
      </c>
      <c r="B21" t="s">
        <v>678</v>
      </c>
      <c r="C21" s="133" t="s">
        <v>181</v>
      </c>
      <c r="D21" s="89" t="s">
        <v>582</v>
      </c>
      <c r="E21">
        <v>137.82</v>
      </c>
    </row>
    <row r="22" spans="1:5" x14ac:dyDescent="0.25">
      <c r="A22" s="122">
        <v>2535</v>
      </c>
      <c r="B22">
        <v>1093</v>
      </c>
      <c r="C22" s="133" t="s">
        <v>181</v>
      </c>
      <c r="D22" s="89" t="s">
        <v>582</v>
      </c>
      <c r="E22">
        <v>17.13</v>
      </c>
    </row>
    <row r="23" spans="1:5" x14ac:dyDescent="0.25">
      <c r="A23" s="123">
        <v>65</v>
      </c>
      <c r="B23" t="s">
        <v>675</v>
      </c>
      <c r="C23" s="133" t="s">
        <v>188</v>
      </c>
      <c r="D23" s="80">
        <v>47309.89</v>
      </c>
      <c r="E23" s="89" t="s">
        <v>582</v>
      </c>
    </row>
    <row r="24" spans="1:5" x14ac:dyDescent="0.25">
      <c r="A24" s="122">
        <v>2591</v>
      </c>
      <c r="B24" t="s">
        <v>673</v>
      </c>
      <c r="C24" s="122" t="s">
        <v>163</v>
      </c>
      <c r="D24" s="80">
        <v>92879.11</v>
      </c>
      <c r="E24" s="89" t="s">
        <v>582</v>
      </c>
    </row>
    <row r="25" spans="1:5" x14ac:dyDescent="0.25">
      <c r="A25" s="122">
        <v>2110</v>
      </c>
      <c r="B25" s="2" t="s">
        <v>683</v>
      </c>
      <c r="C25" s="122" t="s">
        <v>181</v>
      </c>
      <c r="D25" s="80">
        <v>76891.37</v>
      </c>
      <c r="E25" s="89" t="s">
        <v>582</v>
      </c>
    </row>
    <row r="26" spans="1:5" x14ac:dyDescent="0.25">
      <c r="A26" s="123">
        <v>132</v>
      </c>
      <c r="B26" s="2" t="s">
        <v>683</v>
      </c>
      <c r="C26" s="133" t="s">
        <v>188</v>
      </c>
      <c r="D26" s="80">
        <v>70874.48</v>
      </c>
      <c r="E26" s="89" t="s">
        <v>582</v>
      </c>
    </row>
    <row r="27" spans="1:5" x14ac:dyDescent="0.25">
      <c r="A27" s="123">
        <v>930</v>
      </c>
      <c r="B27" t="s">
        <v>663</v>
      </c>
      <c r="C27" s="133" t="s">
        <v>189</v>
      </c>
      <c r="D27">
        <v>19042.439999999999</v>
      </c>
      <c r="E27" s="89" t="s">
        <v>582</v>
      </c>
    </row>
    <row r="28" spans="1:5" x14ac:dyDescent="0.25">
      <c r="A28" s="123">
        <v>1453</v>
      </c>
      <c r="B28" t="s">
        <v>660</v>
      </c>
      <c r="C28" s="122" t="s">
        <v>187</v>
      </c>
      <c r="D28">
        <v>18848.849999999999</v>
      </c>
      <c r="E28" s="89" t="s">
        <v>582</v>
      </c>
    </row>
    <row r="29" spans="1:5" x14ac:dyDescent="0.25">
      <c r="A29" s="122">
        <v>1894</v>
      </c>
      <c r="B29" s="2" t="s">
        <v>690</v>
      </c>
      <c r="C29" s="133" t="s">
        <v>186</v>
      </c>
      <c r="D29" s="80">
        <v>77908.850000000006</v>
      </c>
      <c r="E29" s="89" t="s">
        <v>582</v>
      </c>
    </row>
    <row r="30" spans="1:5" x14ac:dyDescent="0.25">
      <c r="A30" s="122">
        <v>2145</v>
      </c>
      <c r="B30">
        <v>3015</v>
      </c>
      <c r="C30" s="133" t="s">
        <v>188</v>
      </c>
      <c r="D30" s="80">
        <v>239159.93</v>
      </c>
      <c r="E30" s="89" t="s">
        <v>582</v>
      </c>
    </row>
    <row r="31" spans="1:5" x14ac:dyDescent="0.25">
      <c r="A31" s="123">
        <v>505</v>
      </c>
      <c r="B31">
        <v>3015</v>
      </c>
      <c r="C31" s="133" t="s">
        <v>163</v>
      </c>
      <c r="D31">
        <v>24578.6</v>
      </c>
      <c r="E31" s="89" t="s">
        <v>582</v>
      </c>
    </row>
    <row r="32" spans="1:5" x14ac:dyDescent="0.25">
      <c r="A32" s="122">
        <v>1949</v>
      </c>
      <c r="B32">
        <v>3013</v>
      </c>
      <c r="C32" s="133" t="s">
        <v>188</v>
      </c>
      <c r="D32" s="80">
        <v>29857.57</v>
      </c>
      <c r="E32" s="89" t="s">
        <v>582</v>
      </c>
    </row>
    <row r="33" spans="1:5" x14ac:dyDescent="0.25">
      <c r="A33" s="123">
        <v>2858</v>
      </c>
      <c r="B33">
        <v>3013</v>
      </c>
      <c r="C33" s="133" t="s">
        <v>181</v>
      </c>
      <c r="D33" s="80">
        <v>27198.44</v>
      </c>
      <c r="E33" s="89" t="s">
        <v>582</v>
      </c>
    </row>
    <row r="34" spans="1:5" x14ac:dyDescent="0.25">
      <c r="A34" s="122">
        <v>2269</v>
      </c>
      <c r="B34">
        <v>3013</v>
      </c>
      <c r="C34" s="133" t="s">
        <v>183</v>
      </c>
      <c r="D34">
        <v>23845.73</v>
      </c>
      <c r="E34" s="89" t="s">
        <v>582</v>
      </c>
    </row>
    <row r="35" spans="1:5" x14ac:dyDescent="0.25">
      <c r="A35" s="122">
        <v>1866</v>
      </c>
      <c r="B35">
        <v>3013</v>
      </c>
      <c r="C35" s="133" t="s">
        <v>186</v>
      </c>
      <c r="D35">
        <v>21700.83</v>
      </c>
      <c r="E35" s="89" t="s">
        <v>582</v>
      </c>
    </row>
    <row r="36" spans="1:5" x14ac:dyDescent="0.25">
      <c r="A36" s="123">
        <v>2859</v>
      </c>
      <c r="B36">
        <v>3013</v>
      </c>
      <c r="C36" s="133" t="s">
        <v>162</v>
      </c>
      <c r="D36">
        <v>6430.29</v>
      </c>
      <c r="E36" s="89" t="s">
        <v>582</v>
      </c>
    </row>
    <row r="37" spans="1:5" x14ac:dyDescent="0.25">
      <c r="A37" s="123">
        <v>1164</v>
      </c>
      <c r="B37" s="10">
        <v>3001</v>
      </c>
      <c r="C37" s="133" t="s">
        <v>186</v>
      </c>
      <c r="D37" s="80">
        <v>127809.8</v>
      </c>
      <c r="E37" s="89" t="s">
        <v>582</v>
      </c>
    </row>
    <row r="38" spans="1:5" x14ac:dyDescent="0.25">
      <c r="A38" s="123">
        <v>565</v>
      </c>
      <c r="B38" s="10">
        <v>3001</v>
      </c>
      <c r="C38" s="133" t="s">
        <v>183</v>
      </c>
      <c r="D38" s="80">
        <v>79273.61</v>
      </c>
      <c r="E38" s="89" t="s">
        <v>582</v>
      </c>
    </row>
    <row r="39" spans="1:5" x14ac:dyDescent="0.25">
      <c r="A39" s="132">
        <v>1300</v>
      </c>
      <c r="B39" s="2">
        <v>2044</v>
      </c>
      <c r="C39" s="133" t="s">
        <v>183</v>
      </c>
      <c r="D39" s="80">
        <v>192734.7</v>
      </c>
      <c r="E39" s="89" t="s">
        <v>582</v>
      </c>
    </row>
    <row r="40" spans="1:5" x14ac:dyDescent="0.25">
      <c r="A40" s="123">
        <v>1185</v>
      </c>
      <c r="B40">
        <v>1093</v>
      </c>
      <c r="C40" s="122" t="s">
        <v>188</v>
      </c>
      <c r="D40" s="80">
        <v>89109.72</v>
      </c>
      <c r="E40" s="89" t="s">
        <v>582</v>
      </c>
    </row>
    <row r="41" spans="1:5" x14ac:dyDescent="0.25">
      <c r="A41" s="123">
        <v>81</v>
      </c>
      <c r="B41">
        <v>1093</v>
      </c>
      <c r="C41" s="133" t="s">
        <v>163</v>
      </c>
      <c r="D41" s="80">
        <v>39456.550000000003</v>
      </c>
      <c r="E41" s="89" t="s">
        <v>582</v>
      </c>
    </row>
    <row r="42" spans="1:5" x14ac:dyDescent="0.25">
      <c r="A42" s="123">
        <v>2730</v>
      </c>
      <c r="B42">
        <v>1090</v>
      </c>
      <c r="C42" s="122" t="s">
        <v>188</v>
      </c>
      <c r="D42" s="80">
        <v>92608.49</v>
      </c>
      <c r="E42" s="89" t="s">
        <v>582</v>
      </c>
    </row>
    <row r="43" spans="1:5" x14ac:dyDescent="0.25">
      <c r="A43" s="122">
        <v>2253</v>
      </c>
      <c r="B43">
        <v>1087</v>
      </c>
      <c r="C43" s="122" t="s">
        <v>163</v>
      </c>
      <c r="D43" s="80">
        <v>122996.38</v>
      </c>
      <c r="E43" s="89" t="s">
        <v>582</v>
      </c>
    </row>
    <row r="44" spans="1:5" x14ac:dyDescent="0.25">
      <c r="A44" s="123">
        <v>627</v>
      </c>
      <c r="B44">
        <v>1087</v>
      </c>
      <c r="C44" s="133" t="s">
        <v>189</v>
      </c>
      <c r="D44" s="80">
        <v>29372.75</v>
      </c>
      <c r="E44" s="89" t="s">
        <v>582</v>
      </c>
    </row>
    <row r="45" spans="1:5" x14ac:dyDescent="0.25">
      <c r="A45" s="123">
        <v>742</v>
      </c>
      <c r="B45">
        <v>1070</v>
      </c>
      <c r="C45" s="133" t="s">
        <v>188</v>
      </c>
      <c r="D45" s="80">
        <v>39653.54</v>
      </c>
      <c r="E45" s="89" t="s">
        <v>582</v>
      </c>
    </row>
    <row r="46" spans="1:5" x14ac:dyDescent="0.25">
      <c r="A46" s="122">
        <v>2257</v>
      </c>
      <c r="B46" s="10">
        <v>1018</v>
      </c>
      <c r="C46" s="133" t="s">
        <v>188</v>
      </c>
      <c r="D46" s="80">
        <v>59253.15</v>
      </c>
      <c r="E46" s="89" t="s">
        <v>582</v>
      </c>
    </row>
    <row r="47" spans="1:5" x14ac:dyDescent="0.25">
      <c r="A47" s="123">
        <v>32</v>
      </c>
      <c r="B47" s="10">
        <v>1018</v>
      </c>
      <c r="C47" s="133" t="s">
        <v>183</v>
      </c>
      <c r="D47" s="80">
        <v>56911.66</v>
      </c>
      <c r="E47" s="89" t="s">
        <v>582</v>
      </c>
    </row>
    <row r="48" spans="1:5" x14ac:dyDescent="0.25">
      <c r="A48" s="123">
        <v>1601</v>
      </c>
      <c r="B48" s="2">
        <v>1004</v>
      </c>
      <c r="C48" s="133" t="s">
        <v>189</v>
      </c>
      <c r="D48">
        <v>23543.53</v>
      </c>
      <c r="E48" s="89" t="s">
        <v>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9"/>
  <sheetViews>
    <sheetView topLeftCell="A238" workbookViewId="0">
      <selection activeCell="F240" sqref="F240"/>
    </sheetView>
  </sheetViews>
  <sheetFormatPr defaultRowHeight="15" x14ac:dyDescent="0.25"/>
  <cols>
    <col min="1" max="1" width="9.140625" style="2"/>
    <col min="3" max="3" width="15.140625" style="108" customWidth="1"/>
    <col min="4" max="4" width="25.28515625" customWidth="1"/>
    <col min="5" max="5" width="11.28515625" customWidth="1"/>
    <col min="6" max="6" width="13.85546875" customWidth="1"/>
    <col min="7" max="7" width="13.42578125" customWidth="1"/>
    <col min="8" max="8" width="14.28515625" customWidth="1"/>
    <col min="9" max="9" width="15.7109375" customWidth="1"/>
  </cols>
  <sheetData>
    <row r="1" spans="1:9" x14ac:dyDescent="0.25">
      <c r="A1" s="1" t="s">
        <v>691</v>
      </c>
      <c r="B1" s="1" t="s">
        <v>579</v>
      </c>
      <c r="C1" s="107" t="s">
        <v>581</v>
      </c>
      <c r="D1" s="1" t="s">
        <v>580</v>
      </c>
      <c r="E1" s="79" t="s">
        <v>585</v>
      </c>
      <c r="F1" s="79" t="s">
        <v>591</v>
      </c>
      <c r="G1" s="79" t="s">
        <v>586</v>
      </c>
      <c r="H1" s="79" t="s">
        <v>588</v>
      </c>
      <c r="I1" s="79" t="s">
        <v>589</v>
      </c>
    </row>
    <row r="2" spans="1:9" x14ac:dyDescent="0.25">
      <c r="A2" s="2">
        <v>1</v>
      </c>
      <c r="B2" s="106">
        <v>5</v>
      </c>
      <c r="C2" s="108" t="s">
        <v>1</v>
      </c>
      <c r="D2" s="2" t="s">
        <v>181</v>
      </c>
      <c r="E2" s="111" t="s">
        <v>692</v>
      </c>
      <c r="F2">
        <v>195.34</v>
      </c>
      <c r="G2">
        <v>9.6300000000000008</v>
      </c>
      <c r="H2">
        <v>141.63999999999999</v>
      </c>
      <c r="I2" s="82">
        <v>575.01</v>
      </c>
    </row>
    <row r="3" spans="1:9" x14ac:dyDescent="0.25">
      <c r="A3" s="2">
        <v>1</v>
      </c>
      <c r="B3" s="106">
        <v>6</v>
      </c>
      <c r="C3" s="108" t="s">
        <v>1</v>
      </c>
      <c r="D3" s="2" t="s">
        <v>183</v>
      </c>
      <c r="E3" s="111" t="s">
        <v>693</v>
      </c>
      <c r="F3">
        <v>5330.46</v>
      </c>
      <c r="G3">
        <v>981.75</v>
      </c>
      <c r="H3">
        <v>2610.63</v>
      </c>
      <c r="I3" s="80">
        <v>37877.07</v>
      </c>
    </row>
    <row r="4" spans="1:9" x14ac:dyDescent="0.25">
      <c r="A4" s="2">
        <v>1</v>
      </c>
      <c r="B4" s="106">
        <v>7</v>
      </c>
      <c r="C4" s="108" t="s">
        <v>1</v>
      </c>
      <c r="D4" s="2" t="s">
        <v>186</v>
      </c>
      <c r="E4" s="111" t="s">
        <v>694</v>
      </c>
      <c r="F4" s="80">
        <v>22806.07</v>
      </c>
      <c r="G4" s="80">
        <v>4443.51</v>
      </c>
      <c r="H4">
        <v>11432.19</v>
      </c>
      <c r="I4" s="80">
        <v>43905.23</v>
      </c>
    </row>
    <row r="5" spans="1:9" x14ac:dyDescent="0.25">
      <c r="A5" s="2">
        <v>1</v>
      </c>
      <c r="B5" s="106">
        <v>8</v>
      </c>
      <c r="C5" s="108" t="s">
        <v>1</v>
      </c>
      <c r="D5" s="2" t="s">
        <v>188</v>
      </c>
      <c r="E5" s="111" t="s">
        <v>695</v>
      </c>
      <c r="F5" s="111" t="s">
        <v>696</v>
      </c>
      <c r="G5">
        <v>1113.06</v>
      </c>
      <c r="H5">
        <v>10888.97</v>
      </c>
      <c r="I5" s="80">
        <v>35745.46</v>
      </c>
    </row>
    <row r="6" spans="1:9" x14ac:dyDescent="0.25">
      <c r="A6" s="2">
        <v>1</v>
      </c>
      <c r="B6" s="106">
        <v>13</v>
      </c>
      <c r="C6" s="108" t="s">
        <v>50</v>
      </c>
      <c r="D6" s="2" t="s">
        <v>162</v>
      </c>
      <c r="E6" s="111" t="s">
        <v>697</v>
      </c>
      <c r="F6">
        <v>26.23</v>
      </c>
      <c r="G6">
        <v>7</v>
      </c>
      <c r="H6">
        <v>17.46</v>
      </c>
      <c r="I6">
        <v>25.14</v>
      </c>
    </row>
    <row r="7" spans="1:9" x14ac:dyDescent="0.25">
      <c r="A7" s="2">
        <v>1</v>
      </c>
      <c r="B7" s="106">
        <v>17</v>
      </c>
      <c r="C7" s="108" t="s">
        <v>50</v>
      </c>
      <c r="D7" s="2" t="s">
        <v>181</v>
      </c>
      <c r="E7" s="111" t="s">
        <v>698</v>
      </c>
      <c r="F7">
        <v>445.13</v>
      </c>
      <c r="G7">
        <v>10.49</v>
      </c>
      <c r="H7">
        <v>1114.78</v>
      </c>
      <c r="I7">
        <v>1813.49</v>
      </c>
    </row>
    <row r="8" spans="1:9" x14ac:dyDescent="0.25">
      <c r="A8" s="2">
        <v>1</v>
      </c>
      <c r="B8" s="106">
        <v>18</v>
      </c>
      <c r="C8" s="108" t="s">
        <v>50</v>
      </c>
      <c r="D8" s="2" t="s">
        <v>183</v>
      </c>
      <c r="E8" s="111" t="s">
        <v>699</v>
      </c>
      <c r="F8" s="80">
        <v>13138.43</v>
      </c>
      <c r="G8">
        <v>2724.05</v>
      </c>
      <c r="H8" s="80">
        <v>28773.23</v>
      </c>
      <c r="I8" s="80">
        <v>43368.28</v>
      </c>
    </row>
    <row r="9" spans="1:9" x14ac:dyDescent="0.25">
      <c r="A9" s="2">
        <v>1</v>
      </c>
      <c r="B9" s="106">
        <v>19</v>
      </c>
      <c r="C9" s="108" t="s">
        <v>50</v>
      </c>
      <c r="D9" s="2" t="s">
        <v>186</v>
      </c>
      <c r="E9" s="80">
        <v>58043.02</v>
      </c>
      <c r="F9" s="111" t="s">
        <v>701</v>
      </c>
      <c r="G9">
        <v>2299.58</v>
      </c>
      <c r="H9" s="111" t="s">
        <v>700</v>
      </c>
      <c r="I9" s="80">
        <v>41751.980000000003</v>
      </c>
    </row>
    <row r="10" spans="1:9" x14ac:dyDescent="0.25">
      <c r="A10" s="2">
        <v>1</v>
      </c>
      <c r="B10" s="106">
        <v>20</v>
      </c>
      <c r="C10" s="108" t="s">
        <v>50</v>
      </c>
      <c r="D10" s="2" t="s">
        <v>188</v>
      </c>
      <c r="E10" s="111" t="s">
        <v>702</v>
      </c>
      <c r="F10" s="111" t="s">
        <v>703</v>
      </c>
      <c r="G10">
        <v>3087.02</v>
      </c>
      <c r="H10" s="80">
        <v>47755.24</v>
      </c>
      <c r="I10" s="80">
        <v>38724.730000000003</v>
      </c>
    </row>
    <row r="11" spans="1:9" x14ac:dyDescent="0.25">
      <c r="A11" s="2">
        <v>1</v>
      </c>
      <c r="B11" s="106">
        <v>29</v>
      </c>
      <c r="C11" s="108">
        <v>2016</v>
      </c>
      <c r="D11" s="2" t="s">
        <v>181</v>
      </c>
      <c r="E11" s="111" t="s">
        <v>704</v>
      </c>
      <c r="F11">
        <v>162.87</v>
      </c>
      <c r="G11">
        <v>9.6300000000000008</v>
      </c>
      <c r="H11">
        <v>114.33</v>
      </c>
      <c r="I11">
        <v>367.24</v>
      </c>
    </row>
    <row r="12" spans="1:9" x14ac:dyDescent="0.25">
      <c r="A12" s="2">
        <v>1</v>
      </c>
      <c r="B12" s="106">
        <v>30</v>
      </c>
      <c r="C12" s="108">
        <v>2016</v>
      </c>
      <c r="D12" s="2" t="s">
        <v>183</v>
      </c>
      <c r="E12" s="111" t="s">
        <v>705</v>
      </c>
      <c r="F12" s="80">
        <v>8520.3799999999992</v>
      </c>
      <c r="G12" s="80">
        <v>8729.7999999999993</v>
      </c>
      <c r="H12" s="80">
        <v>42525.71</v>
      </c>
      <c r="I12" s="80">
        <v>38415.82</v>
      </c>
    </row>
    <row r="13" spans="1:9" x14ac:dyDescent="0.25">
      <c r="A13" s="2">
        <v>1</v>
      </c>
      <c r="B13" s="106">
        <v>31</v>
      </c>
      <c r="C13" s="108">
        <v>2016</v>
      </c>
      <c r="D13" s="2" t="s">
        <v>188</v>
      </c>
      <c r="E13" s="111" t="s">
        <v>706</v>
      </c>
      <c r="F13" s="80">
        <v>33969.72</v>
      </c>
      <c r="G13">
        <v>984.79</v>
      </c>
      <c r="H13">
        <v>9562.85</v>
      </c>
      <c r="I13" s="80">
        <v>20414.91</v>
      </c>
    </row>
    <row r="14" spans="1:9" x14ac:dyDescent="0.25">
      <c r="A14" s="2">
        <v>1</v>
      </c>
      <c r="B14" s="106">
        <v>38</v>
      </c>
      <c r="C14" s="108" t="s">
        <v>20</v>
      </c>
      <c r="D14" s="2" t="s">
        <v>178</v>
      </c>
      <c r="E14" s="111" t="s">
        <v>707</v>
      </c>
      <c r="F14" s="111" t="s">
        <v>708</v>
      </c>
      <c r="G14">
        <v>2944.52</v>
      </c>
      <c r="H14" s="80">
        <v>21465.84</v>
      </c>
      <c r="I14" s="80">
        <v>36484.019999999997</v>
      </c>
    </row>
    <row r="15" spans="1:9" x14ac:dyDescent="0.25">
      <c r="A15" s="2">
        <v>1</v>
      </c>
      <c r="B15" s="106">
        <v>42</v>
      </c>
      <c r="C15" s="108" t="s">
        <v>20</v>
      </c>
      <c r="D15" s="2" t="s">
        <v>186</v>
      </c>
      <c r="E15" s="80">
        <v>29047.95</v>
      </c>
      <c r="F15" s="111" t="s">
        <v>709</v>
      </c>
      <c r="G15">
        <v>1074.05</v>
      </c>
      <c r="H15" s="80">
        <v>20929.2</v>
      </c>
      <c r="I15" s="80">
        <v>42975.39</v>
      </c>
    </row>
    <row r="16" spans="1:9" x14ac:dyDescent="0.25">
      <c r="A16" s="2">
        <v>1</v>
      </c>
      <c r="B16" s="106">
        <v>46</v>
      </c>
      <c r="C16" s="108" t="s">
        <v>20</v>
      </c>
      <c r="D16" s="2" t="s">
        <v>187</v>
      </c>
      <c r="E16" s="80">
        <v>33647.47</v>
      </c>
      <c r="F16" s="111" t="s">
        <v>710</v>
      </c>
      <c r="G16">
        <v>517.55999999999995</v>
      </c>
      <c r="H16" s="80">
        <v>487597.08</v>
      </c>
      <c r="I16" s="80">
        <v>32343.3</v>
      </c>
    </row>
    <row r="17" spans="1:9" x14ac:dyDescent="0.25">
      <c r="A17" s="2">
        <v>1</v>
      </c>
      <c r="B17" s="106">
        <v>52</v>
      </c>
      <c r="C17" s="108" t="s">
        <v>2</v>
      </c>
      <c r="D17" s="2" t="s">
        <v>181</v>
      </c>
      <c r="E17" s="111" t="s">
        <v>711</v>
      </c>
      <c r="F17" s="80">
        <v>19652.12</v>
      </c>
      <c r="G17">
        <v>920.96</v>
      </c>
      <c r="H17">
        <v>7666.32</v>
      </c>
      <c r="I17" s="80">
        <v>32291.48</v>
      </c>
    </row>
    <row r="18" spans="1:9" x14ac:dyDescent="0.25">
      <c r="A18" s="2">
        <v>1</v>
      </c>
      <c r="B18" s="106">
        <v>53</v>
      </c>
      <c r="C18" s="108" t="s">
        <v>2</v>
      </c>
      <c r="D18" s="2" t="s">
        <v>183</v>
      </c>
      <c r="E18" s="111" t="s">
        <v>712</v>
      </c>
      <c r="F18" s="111" t="s">
        <v>714</v>
      </c>
      <c r="G18" s="80">
        <v>10907.91</v>
      </c>
      <c r="H18" s="111" t="s">
        <v>713</v>
      </c>
      <c r="I18" s="80">
        <v>42367.49</v>
      </c>
    </row>
    <row r="19" spans="1:9" x14ac:dyDescent="0.25">
      <c r="A19" s="2">
        <v>1</v>
      </c>
      <c r="B19" s="106">
        <v>54</v>
      </c>
      <c r="C19" s="108" t="s">
        <v>2</v>
      </c>
      <c r="D19" s="2" t="s">
        <v>186</v>
      </c>
      <c r="E19" s="111" t="s">
        <v>715</v>
      </c>
      <c r="F19" s="80">
        <v>12761.04</v>
      </c>
      <c r="G19">
        <v>2025.62</v>
      </c>
      <c r="H19" s="80">
        <v>20282.189999999999</v>
      </c>
      <c r="I19" s="80">
        <v>39753.17</v>
      </c>
    </row>
    <row r="20" spans="1:9" x14ac:dyDescent="0.25">
      <c r="A20" s="2">
        <v>1</v>
      </c>
      <c r="B20" s="106">
        <v>55</v>
      </c>
      <c r="C20" s="108" t="s">
        <v>2</v>
      </c>
      <c r="D20" s="2" t="s">
        <v>188</v>
      </c>
      <c r="E20" s="111" t="s">
        <v>716</v>
      </c>
      <c r="F20">
        <v>150.30000000000001</v>
      </c>
      <c r="G20">
        <v>7</v>
      </c>
      <c r="H20">
        <v>101.93</v>
      </c>
      <c r="I20">
        <v>258.56</v>
      </c>
    </row>
    <row r="21" spans="1:9" x14ac:dyDescent="0.25">
      <c r="A21" s="2">
        <v>1</v>
      </c>
      <c r="B21" s="106">
        <v>63</v>
      </c>
      <c r="C21" s="108" t="s">
        <v>21</v>
      </c>
      <c r="D21" s="2" t="s">
        <v>163</v>
      </c>
      <c r="E21" s="111" t="s">
        <v>717</v>
      </c>
      <c r="F21" s="111" t="s">
        <v>789</v>
      </c>
      <c r="G21">
        <v>830.15</v>
      </c>
      <c r="H21">
        <v>10895.09</v>
      </c>
      <c r="I21" s="80">
        <v>21344.560000000001</v>
      </c>
    </row>
    <row r="22" spans="1:9" x14ac:dyDescent="0.25">
      <c r="A22" s="2">
        <v>1</v>
      </c>
      <c r="B22" s="106">
        <v>65</v>
      </c>
      <c r="C22" s="108" t="s">
        <v>21</v>
      </c>
      <c r="D22" s="2" t="s">
        <v>183</v>
      </c>
      <c r="E22" s="111" t="s">
        <v>718</v>
      </c>
      <c r="F22">
        <v>1309.4000000000001</v>
      </c>
      <c r="G22">
        <v>263.33</v>
      </c>
      <c r="H22">
        <v>979.95</v>
      </c>
      <c r="I22" s="80">
        <v>27321.48</v>
      </c>
    </row>
    <row r="23" spans="1:9" x14ac:dyDescent="0.25">
      <c r="A23" s="2">
        <v>1</v>
      </c>
      <c r="B23" s="106">
        <v>66</v>
      </c>
      <c r="C23" s="108" t="s">
        <v>21</v>
      </c>
      <c r="D23" s="2" t="s">
        <v>186</v>
      </c>
      <c r="E23" s="111" t="s">
        <v>719</v>
      </c>
      <c r="F23">
        <v>2149.71</v>
      </c>
      <c r="G23">
        <v>917.11</v>
      </c>
      <c r="H23">
        <v>3823.43</v>
      </c>
      <c r="I23" s="80">
        <v>34022.14</v>
      </c>
    </row>
    <row r="24" spans="1:9" x14ac:dyDescent="0.25">
      <c r="A24" s="2">
        <v>1</v>
      </c>
      <c r="B24" s="106">
        <v>67</v>
      </c>
      <c r="C24" s="108" t="s">
        <v>21</v>
      </c>
      <c r="D24" s="2" t="s">
        <v>188</v>
      </c>
      <c r="E24" s="111" t="s">
        <v>720</v>
      </c>
      <c r="F24" s="111" t="s">
        <v>721</v>
      </c>
      <c r="G24">
        <v>713.37</v>
      </c>
      <c r="H24">
        <v>8391.31</v>
      </c>
      <c r="I24" s="80">
        <v>28182.19</v>
      </c>
    </row>
    <row r="25" spans="1:9" x14ac:dyDescent="0.25">
      <c r="A25" s="2">
        <v>1</v>
      </c>
      <c r="B25" s="106">
        <v>70</v>
      </c>
      <c r="C25" s="108" t="s">
        <v>21</v>
      </c>
      <c r="D25" s="2" t="s">
        <v>187</v>
      </c>
      <c r="E25" s="111" t="s">
        <v>722</v>
      </c>
      <c r="F25">
        <v>2657.98</v>
      </c>
      <c r="G25">
        <v>197.5</v>
      </c>
      <c r="H25">
        <v>6495.8</v>
      </c>
      <c r="I25" s="80">
        <v>22976.240000000002</v>
      </c>
    </row>
    <row r="26" spans="1:9" x14ac:dyDescent="0.25">
      <c r="A26" s="2">
        <v>1</v>
      </c>
      <c r="B26" s="106">
        <v>71</v>
      </c>
      <c r="C26" s="108" t="s">
        <v>21</v>
      </c>
      <c r="D26" s="2" t="s">
        <v>189</v>
      </c>
      <c r="E26" s="111" t="s">
        <v>723</v>
      </c>
      <c r="F26">
        <v>3240.76</v>
      </c>
      <c r="G26">
        <v>82.43</v>
      </c>
      <c r="H26">
        <v>3551.78</v>
      </c>
      <c r="I26" s="80">
        <v>11374.39</v>
      </c>
    </row>
    <row r="27" spans="1:9" x14ac:dyDescent="0.25">
      <c r="A27" s="2">
        <v>1</v>
      </c>
      <c r="B27" s="106">
        <v>72</v>
      </c>
      <c r="C27" s="108" t="s">
        <v>3</v>
      </c>
      <c r="D27" s="2" t="s">
        <v>162</v>
      </c>
      <c r="E27" s="111" t="s">
        <v>724</v>
      </c>
      <c r="F27">
        <v>22</v>
      </c>
      <c r="G27">
        <v>7.89</v>
      </c>
      <c r="H27">
        <v>17.46</v>
      </c>
      <c r="I27">
        <v>19.809999999999999</v>
      </c>
    </row>
    <row r="28" spans="1:9" x14ac:dyDescent="0.25">
      <c r="A28" s="2">
        <v>1</v>
      </c>
      <c r="B28" s="106">
        <v>74</v>
      </c>
      <c r="C28" s="108" t="s">
        <v>3</v>
      </c>
      <c r="D28" s="2" t="s">
        <v>178</v>
      </c>
      <c r="E28" s="111" t="s">
        <v>725</v>
      </c>
      <c r="F28">
        <v>2018.69</v>
      </c>
      <c r="G28">
        <v>1095.1400000000001</v>
      </c>
      <c r="H28">
        <v>6654.69</v>
      </c>
      <c r="I28" s="80">
        <v>28796.959999999999</v>
      </c>
    </row>
    <row r="29" spans="1:9" x14ac:dyDescent="0.25">
      <c r="A29" s="2">
        <v>1</v>
      </c>
      <c r="B29" s="106">
        <v>75</v>
      </c>
      <c r="C29" s="108" t="s">
        <v>3</v>
      </c>
      <c r="D29" s="2" t="s">
        <v>163</v>
      </c>
      <c r="E29" s="111" t="s">
        <v>726</v>
      </c>
      <c r="F29" s="111" t="s">
        <v>727</v>
      </c>
      <c r="G29">
        <v>575.51</v>
      </c>
      <c r="H29" s="80">
        <v>19171.32</v>
      </c>
      <c r="I29" s="80">
        <v>22152.7</v>
      </c>
    </row>
    <row r="30" spans="1:9" x14ac:dyDescent="0.25">
      <c r="A30" s="2">
        <v>1</v>
      </c>
      <c r="B30" s="106">
        <v>76</v>
      </c>
      <c r="C30" s="108" t="s">
        <v>3</v>
      </c>
      <c r="D30" s="2" t="s">
        <v>181</v>
      </c>
      <c r="E30" s="111" t="s">
        <v>728</v>
      </c>
      <c r="F30">
        <v>126.19</v>
      </c>
      <c r="G30">
        <v>6.33</v>
      </c>
      <c r="H30">
        <v>222.58</v>
      </c>
      <c r="I30">
        <v>118.98</v>
      </c>
    </row>
    <row r="31" spans="1:9" x14ac:dyDescent="0.25">
      <c r="A31" s="2">
        <v>1</v>
      </c>
      <c r="B31" s="106">
        <v>77</v>
      </c>
      <c r="C31" s="108" t="s">
        <v>3</v>
      </c>
      <c r="D31" s="2" t="s">
        <v>183</v>
      </c>
      <c r="E31" s="111" t="s">
        <v>729</v>
      </c>
      <c r="F31">
        <v>5855.5</v>
      </c>
      <c r="G31">
        <v>2180.71</v>
      </c>
      <c r="H31">
        <v>4739.5</v>
      </c>
      <c r="I31" s="80">
        <v>32730.28</v>
      </c>
    </row>
    <row r="32" spans="1:9" x14ac:dyDescent="0.25">
      <c r="A32" s="2">
        <v>1</v>
      </c>
      <c r="B32" s="106">
        <v>78</v>
      </c>
      <c r="C32" s="108" t="s">
        <v>3</v>
      </c>
      <c r="D32" s="2" t="s">
        <v>186</v>
      </c>
      <c r="E32" s="111" t="s">
        <v>730</v>
      </c>
      <c r="F32" s="80">
        <v>12191.79</v>
      </c>
      <c r="G32" s="111" t="s">
        <v>731</v>
      </c>
      <c r="H32">
        <v>13860.68</v>
      </c>
      <c r="I32" s="80">
        <v>39451.440000000002</v>
      </c>
    </row>
    <row r="33" spans="1:9" x14ac:dyDescent="0.25">
      <c r="A33" s="2">
        <v>1</v>
      </c>
      <c r="B33" s="106">
        <v>79</v>
      </c>
      <c r="C33" s="108" t="s">
        <v>3</v>
      </c>
      <c r="D33" s="2" t="s">
        <v>188</v>
      </c>
      <c r="E33" s="111" t="s">
        <v>732</v>
      </c>
      <c r="F33" s="111" t="s">
        <v>733</v>
      </c>
      <c r="G33">
        <v>856.72</v>
      </c>
      <c r="H33">
        <v>15496.64</v>
      </c>
      <c r="I33" s="80">
        <v>28929.99</v>
      </c>
    </row>
    <row r="34" spans="1:9" x14ac:dyDescent="0.25">
      <c r="A34" s="2">
        <v>1</v>
      </c>
      <c r="B34" s="106">
        <v>134</v>
      </c>
      <c r="C34" s="108" t="s">
        <v>23</v>
      </c>
      <c r="D34" s="2" t="s">
        <v>186</v>
      </c>
      <c r="E34" s="80">
        <v>95098.38</v>
      </c>
      <c r="F34" s="111" t="s">
        <v>735</v>
      </c>
      <c r="G34" s="111" t="s">
        <v>734</v>
      </c>
      <c r="H34" s="80">
        <v>134764.70000000001</v>
      </c>
      <c r="I34" s="80">
        <v>37537.49</v>
      </c>
    </row>
    <row r="35" spans="1:9" x14ac:dyDescent="0.25">
      <c r="A35" s="2">
        <v>1</v>
      </c>
      <c r="B35" s="106">
        <v>190</v>
      </c>
      <c r="C35" s="108" t="s">
        <v>5</v>
      </c>
      <c r="D35" s="2" t="s">
        <v>186</v>
      </c>
      <c r="E35" s="80">
        <v>59733.25</v>
      </c>
      <c r="F35" s="80">
        <v>16274.26</v>
      </c>
      <c r="G35" s="80">
        <v>13008.31</v>
      </c>
      <c r="H35" s="111" t="s">
        <v>736</v>
      </c>
      <c r="I35" s="80">
        <v>19401.53</v>
      </c>
    </row>
    <row r="36" spans="1:9" x14ac:dyDescent="0.25">
      <c r="A36" s="2">
        <v>1</v>
      </c>
      <c r="B36" s="106">
        <v>771</v>
      </c>
      <c r="C36" s="108">
        <v>2028</v>
      </c>
      <c r="D36" s="2" t="s">
        <v>178</v>
      </c>
      <c r="E36" s="80">
        <v>79006.55</v>
      </c>
      <c r="F36">
        <v>4063.81</v>
      </c>
      <c r="G36" s="111" t="s">
        <v>737</v>
      </c>
      <c r="H36">
        <v>13871.8</v>
      </c>
      <c r="I36" s="80">
        <v>29710.44</v>
      </c>
    </row>
    <row r="37" spans="1:9" x14ac:dyDescent="0.25">
      <c r="A37" s="2">
        <v>1</v>
      </c>
      <c r="B37" s="106">
        <v>799</v>
      </c>
      <c r="C37" s="112">
        <v>1020</v>
      </c>
      <c r="D37" t="s">
        <v>186</v>
      </c>
      <c r="E37" s="80">
        <v>207653.06</v>
      </c>
      <c r="F37" s="80">
        <v>8237.2099999999991</v>
      </c>
      <c r="G37" s="111" t="s">
        <v>583</v>
      </c>
      <c r="H37" s="80">
        <v>36394.410000000003</v>
      </c>
      <c r="I37" s="80">
        <v>37771.75</v>
      </c>
    </row>
    <row r="38" spans="1:9" x14ac:dyDescent="0.25">
      <c r="A38" s="2">
        <v>1</v>
      </c>
      <c r="B38" s="106">
        <v>811</v>
      </c>
      <c r="C38" s="112">
        <v>2013</v>
      </c>
      <c r="D38" t="s">
        <v>186</v>
      </c>
      <c r="E38" s="80">
        <v>82067.42</v>
      </c>
      <c r="F38" s="80">
        <v>9332.43</v>
      </c>
      <c r="G38" s="111" t="s">
        <v>738</v>
      </c>
      <c r="H38" s="80">
        <v>50674.28</v>
      </c>
      <c r="I38" s="80">
        <v>34297.879999999997</v>
      </c>
    </row>
    <row r="39" spans="1:9" x14ac:dyDescent="0.25">
      <c r="A39" s="2">
        <v>1</v>
      </c>
      <c r="B39" s="106">
        <v>847</v>
      </c>
      <c r="C39" s="112" t="s">
        <v>612</v>
      </c>
      <c r="D39" t="s">
        <v>186</v>
      </c>
      <c r="E39" s="80">
        <v>193466.77</v>
      </c>
      <c r="F39" s="80">
        <v>24297.919999999998</v>
      </c>
      <c r="G39" s="111" t="s">
        <v>739</v>
      </c>
      <c r="H39" s="80">
        <v>89404.47</v>
      </c>
      <c r="I39" s="80">
        <v>40083.93</v>
      </c>
    </row>
    <row r="40" spans="1:9" x14ac:dyDescent="0.25">
      <c r="A40" s="2">
        <v>1</v>
      </c>
      <c r="B40" s="106">
        <v>859</v>
      </c>
      <c r="C40" s="112">
        <v>2015</v>
      </c>
      <c r="D40" t="s">
        <v>186</v>
      </c>
      <c r="E40" s="80">
        <v>38382.07</v>
      </c>
      <c r="F40" s="80">
        <v>12334.05</v>
      </c>
      <c r="G40" s="111" t="s">
        <v>740</v>
      </c>
      <c r="H40" s="80">
        <v>78979.98</v>
      </c>
      <c r="I40" s="80">
        <v>33986.949999999997</v>
      </c>
    </row>
    <row r="41" spans="1:9" x14ac:dyDescent="0.25">
      <c r="A41" s="2">
        <v>1</v>
      </c>
      <c r="B41" s="106">
        <v>931</v>
      </c>
      <c r="C41" s="112">
        <v>1053</v>
      </c>
      <c r="D41" t="s">
        <v>186</v>
      </c>
      <c r="E41" s="80">
        <v>187435.57</v>
      </c>
      <c r="F41" s="80">
        <v>11874.37</v>
      </c>
      <c r="G41" s="111" t="s">
        <v>741</v>
      </c>
      <c r="H41" s="80">
        <v>92726.73</v>
      </c>
      <c r="I41" s="80">
        <v>40943.78</v>
      </c>
    </row>
    <row r="42" spans="1:9" x14ac:dyDescent="0.25">
      <c r="A42" s="2">
        <v>1</v>
      </c>
      <c r="B42" s="106">
        <v>1019</v>
      </c>
      <c r="C42" s="112">
        <v>2032</v>
      </c>
      <c r="D42" t="s">
        <v>186</v>
      </c>
      <c r="E42" s="80">
        <v>73721.460000000006</v>
      </c>
      <c r="F42" s="80">
        <v>16571.5</v>
      </c>
      <c r="G42" s="111" t="s">
        <v>742</v>
      </c>
      <c r="H42" s="80">
        <v>62202.33</v>
      </c>
      <c r="I42" s="80">
        <v>36352.480000000003</v>
      </c>
    </row>
    <row r="43" spans="1:9" x14ac:dyDescent="0.25">
      <c r="A43" s="2">
        <v>1</v>
      </c>
      <c r="B43" s="106">
        <v>1043</v>
      </c>
      <c r="C43" s="112">
        <v>2035</v>
      </c>
      <c r="D43" t="s">
        <v>186</v>
      </c>
      <c r="E43" s="80">
        <v>91901.28</v>
      </c>
      <c r="F43" s="80">
        <v>17028.48</v>
      </c>
      <c r="G43" s="111" t="s">
        <v>743</v>
      </c>
      <c r="H43" s="80">
        <v>55062.87</v>
      </c>
      <c r="I43" s="80">
        <v>36719.85</v>
      </c>
    </row>
    <row r="44" spans="1:9" x14ac:dyDescent="0.25">
      <c r="A44" s="2">
        <v>1</v>
      </c>
      <c r="B44" s="106">
        <v>1055</v>
      </c>
      <c r="C44" s="112">
        <v>2036</v>
      </c>
      <c r="D44" t="s">
        <v>186</v>
      </c>
      <c r="E44" s="80">
        <v>79971.399999999994</v>
      </c>
      <c r="F44" s="80">
        <v>19063.22</v>
      </c>
      <c r="G44" s="111" t="s">
        <v>744</v>
      </c>
      <c r="H44" s="80">
        <v>37629.279999999999</v>
      </c>
      <c r="I44" s="80">
        <v>35844.6</v>
      </c>
    </row>
    <row r="45" spans="1:9" x14ac:dyDescent="0.25">
      <c r="A45" s="2">
        <v>1</v>
      </c>
      <c r="B45" s="106">
        <v>1103</v>
      </c>
      <c r="C45" s="112" t="s">
        <v>593</v>
      </c>
      <c r="D45" t="s">
        <v>186</v>
      </c>
      <c r="E45" s="80">
        <v>115805.06</v>
      </c>
      <c r="F45" s="80">
        <v>16964.32</v>
      </c>
      <c r="G45" s="111" t="s">
        <v>745</v>
      </c>
      <c r="H45" s="80">
        <v>49920.46</v>
      </c>
      <c r="I45" s="80">
        <v>38138.32</v>
      </c>
    </row>
    <row r="46" spans="1:9" x14ac:dyDescent="0.25">
      <c r="A46" s="2">
        <v>1</v>
      </c>
      <c r="B46" s="106">
        <v>1137</v>
      </c>
      <c r="C46" s="112" t="s">
        <v>615</v>
      </c>
      <c r="D46" t="s">
        <v>186</v>
      </c>
      <c r="E46" s="80">
        <v>74869.97</v>
      </c>
      <c r="F46" s="80">
        <v>13659.89</v>
      </c>
      <c r="G46" s="111" t="s">
        <v>746</v>
      </c>
      <c r="H46" s="80">
        <v>38226.629999999997</v>
      </c>
      <c r="I46" s="80">
        <v>34987.769999999997</v>
      </c>
    </row>
    <row r="47" spans="1:9" x14ac:dyDescent="0.25">
      <c r="A47" s="2">
        <v>1</v>
      </c>
      <c r="B47" s="106">
        <v>1173</v>
      </c>
      <c r="C47" s="112">
        <v>1015</v>
      </c>
      <c r="D47" t="s">
        <v>186</v>
      </c>
      <c r="E47" s="80">
        <v>117348.5</v>
      </c>
      <c r="F47" s="80">
        <v>23043.93</v>
      </c>
      <c r="G47" s="111" t="s">
        <v>747</v>
      </c>
      <c r="H47" s="80">
        <v>18641.12</v>
      </c>
      <c r="I47" s="80">
        <v>39779.17</v>
      </c>
    </row>
    <row r="48" spans="1:9" x14ac:dyDescent="0.25">
      <c r="A48" s="2">
        <v>1</v>
      </c>
      <c r="B48" s="106">
        <v>1197</v>
      </c>
      <c r="C48" s="112">
        <v>2012</v>
      </c>
      <c r="D48" t="s">
        <v>186</v>
      </c>
      <c r="E48" s="80">
        <v>91310.85</v>
      </c>
      <c r="F48" s="80">
        <v>18633.310000000001</v>
      </c>
      <c r="G48" s="111" t="s">
        <v>748</v>
      </c>
      <c r="H48">
        <v>74723.149999999994</v>
      </c>
      <c r="I48" s="80">
        <v>36452.769999999997</v>
      </c>
    </row>
    <row r="49" spans="1:9" x14ac:dyDescent="0.25">
      <c r="A49" s="2">
        <v>1</v>
      </c>
      <c r="B49" s="106">
        <v>1209</v>
      </c>
      <c r="C49" s="112">
        <v>1017</v>
      </c>
      <c r="D49" t="s">
        <v>186</v>
      </c>
      <c r="E49" s="80">
        <v>75176.960000000006</v>
      </c>
      <c r="F49" s="80">
        <v>12922.74</v>
      </c>
      <c r="G49" s="111" t="s">
        <v>749</v>
      </c>
      <c r="H49" s="80">
        <v>19737.099999999999</v>
      </c>
      <c r="I49" s="80">
        <v>35809.629999999997</v>
      </c>
    </row>
    <row r="50" spans="1:9" x14ac:dyDescent="0.25">
      <c r="A50" s="2">
        <v>1</v>
      </c>
      <c r="B50" s="106">
        <v>1210</v>
      </c>
      <c r="C50" s="112">
        <v>1017</v>
      </c>
      <c r="D50" t="s">
        <v>188</v>
      </c>
      <c r="E50" s="80">
        <v>173785.98</v>
      </c>
      <c r="F50" s="80">
        <v>24527.09</v>
      </c>
      <c r="G50" s="111" t="s">
        <v>750</v>
      </c>
      <c r="H50">
        <v>12845.41</v>
      </c>
      <c r="I50" s="80">
        <v>36836.42</v>
      </c>
    </row>
    <row r="51" spans="1:9" x14ac:dyDescent="0.25">
      <c r="A51" s="2">
        <v>1</v>
      </c>
      <c r="B51" s="106">
        <v>1365</v>
      </c>
      <c r="C51" s="113" t="s">
        <v>685</v>
      </c>
      <c r="D51" t="s">
        <v>186</v>
      </c>
      <c r="E51" s="80">
        <v>137495.98000000001</v>
      </c>
      <c r="F51" s="80">
        <v>33175.86</v>
      </c>
      <c r="G51" s="111" t="s">
        <v>751</v>
      </c>
      <c r="H51" s="80">
        <v>95164.77</v>
      </c>
      <c r="I51" s="80">
        <v>37675.199999999997</v>
      </c>
    </row>
    <row r="52" spans="1:9" x14ac:dyDescent="0.25">
      <c r="A52" s="2">
        <v>1</v>
      </c>
      <c r="B52" s="106">
        <v>1376</v>
      </c>
      <c r="C52" s="112" t="s">
        <v>616</v>
      </c>
      <c r="D52" t="s">
        <v>183</v>
      </c>
      <c r="E52" s="80">
        <v>129866.64</v>
      </c>
      <c r="F52" s="80">
        <v>16295.44</v>
      </c>
      <c r="G52" s="111" t="s">
        <v>752</v>
      </c>
      <c r="H52">
        <v>13907.89</v>
      </c>
      <c r="I52" s="80">
        <v>37974.019999999997</v>
      </c>
    </row>
    <row r="53" spans="1:9" x14ac:dyDescent="0.25">
      <c r="A53" s="2">
        <v>1</v>
      </c>
      <c r="B53" s="106">
        <v>1377</v>
      </c>
      <c r="C53" s="112" t="s">
        <v>616</v>
      </c>
      <c r="D53" t="s">
        <v>186</v>
      </c>
      <c r="E53" s="80">
        <v>92269.24</v>
      </c>
      <c r="F53" s="80">
        <v>24939.53</v>
      </c>
      <c r="G53" s="111" t="s">
        <v>753</v>
      </c>
      <c r="H53" s="80">
        <v>50506.91</v>
      </c>
      <c r="I53" s="80">
        <v>36249.21</v>
      </c>
    </row>
    <row r="54" spans="1:9" x14ac:dyDescent="0.25">
      <c r="A54" s="2">
        <v>1</v>
      </c>
      <c r="B54" s="106">
        <v>1417</v>
      </c>
      <c r="C54" s="112" t="s">
        <v>618</v>
      </c>
      <c r="D54" t="s">
        <v>186</v>
      </c>
      <c r="E54" s="80">
        <v>96624.7</v>
      </c>
      <c r="F54" s="80">
        <v>20220.36</v>
      </c>
      <c r="G54" s="111" t="s">
        <v>754</v>
      </c>
      <c r="H54" s="80">
        <v>103814.27</v>
      </c>
      <c r="I54" s="80">
        <v>35888.15</v>
      </c>
    </row>
    <row r="55" spans="1:9" x14ac:dyDescent="0.25">
      <c r="A55" s="2">
        <v>1</v>
      </c>
      <c r="B55" s="106">
        <v>1809</v>
      </c>
      <c r="C55" s="108">
        <v>1074</v>
      </c>
      <c r="D55" t="s">
        <v>186</v>
      </c>
      <c r="E55" s="80">
        <v>26917.81</v>
      </c>
      <c r="F55" s="111" t="s">
        <v>756</v>
      </c>
      <c r="G55">
        <v>193.13</v>
      </c>
      <c r="H55" s="111" t="s">
        <v>755</v>
      </c>
      <c r="I55" s="80">
        <v>21915.67</v>
      </c>
    </row>
    <row r="56" spans="1:9" x14ac:dyDescent="0.25">
      <c r="A56" s="2">
        <v>1</v>
      </c>
      <c r="B56" s="106">
        <v>1926</v>
      </c>
      <c r="C56" s="108">
        <v>3024</v>
      </c>
      <c r="D56" t="s">
        <v>189</v>
      </c>
      <c r="E56" s="80">
        <v>39254.82</v>
      </c>
      <c r="F56" s="80">
        <v>12917.01</v>
      </c>
      <c r="G56">
        <v>186.36</v>
      </c>
      <c r="H56" s="111" t="s">
        <v>757</v>
      </c>
      <c r="I56" s="80">
        <v>19168.13</v>
      </c>
    </row>
    <row r="57" spans="1:9" x14ac:dyDescent="0.25">
      <c r="A57" s="2">
        <v>1</v>
      </c>
      <c r="B57" s="106">
        <v>2165</v>
      </c>
      <c r="C57" s="108">
        <v>1087</v>
      </c>
      <c r="D57" t="s">
        <v>178</v>
      </c>
      <c r="E57" s="80">
        <v>87831.39</v>
      </c>
      <c r="F57" s="80">
        <v>22739.56</v>
      </c>
      <c r="G57">
        <v>1473.43</v>
      </c>
      <c r="H57" s="111" t="s">
        <v>758</v>
      </c>
      <c r="I57" s="80">
        <v>24016.35</v>
      </c>
    </row>
    <row r="58" spans="1:9" x14ac:dyDescent="0.25">
      <c r="A58" s="2">
        <v>1</v>
      </c>
      <c r="B58" s="106">
        <v>2229</v>
      </c>
      <c r="C58" s="108" t="s">
        <v>665</v>
      </c>
      <c r="D58" t="s">
        <v>186</v>
      </c>
      <c r="E58" s="111" t="s">
        <v>759</v>
      </c>
      <c r="F58" s="80">
        <v>13234.46</v>
      </c>
      <c r="G58" s="80">
        <v>9706.14</v>
      </c>
      <c r="H58" s="111" t="s">
        <v>760</v>
      </c>
      <c r="I58" s="80">
        <v>24846.02</v>
      </c>
    </row>
    <row r="59" spans="1:9" x14ac:dyDescent="0.25">
      <c r="A59" s="2">
        <v>1</v>
      </c>
      <c r="B59" s="106">
        <v>2233</v>
      </c>
      <c r="C59" s="108" t="s">
        <v>665</v>
      </c>
      <c r="D59" t="s">
        <v>187</v>
      </c>
      <c r="E59" s="80">
        <v>62852.42</v>
      </c>
      <c r="F59" s="80">
        <v>11237.31</v>
      </c>
      <c r="G59">
        <v>1562.44</v>
      </c>
      <c r="H59" s="111" t="s">
        <v>761</v>
      </c>
      <c r="I59" s="80">
        <v>23448.959999999999</v>
      </c>
    </row>
    <row r="60" spans="1:9" x14ac:dyDescent="0.25">
      <c r="A60" s="2">
        <v>1</v>
      </c>
      <c r="B60" s="106">
        <v>2234</v>
      </c>
      <c r="C60" s="108" t="s">
        <v>665</v>
      </c>
      <c r="D60" t="s">
        <v>189</v>
      </c>
      <c r="E60" s="80">
        <v>39318.68</v>
      </c>
      <c r="F60" s="111" t="s">
        <v>763</v>
      </c>
      <c r="G60">
        <v>60.81</v>
      </c>
      <c r="H60" s="111" t="s">
        <v>762</v>
      </c>
      <c r="I60" s="80">
        <v>18500.3</v>
      </c>
    </row>
    <row r="61" spans="1:9" x14ac:dyDescent="0.25">
      <c r="A61" s="2">
        <v>1</v>
      </c>
      <c r="B61" s="106">
        <v>2293</v>
      </c>
      <c r="C61" s="108">
        <v>3014</v>
      </c>
      <c r="D61" t="s">
        <v>186</v>
      </c>
      <c r="E61" s="111" t="s">
        <v>764</v>
      </c>
      <c r="F61" s="111" t="s">
        <v>766</v>
      </c>
      <c r="G61" s="80">
        <v>5376.71</v>
      </c>
      <c r="H61" s="111" t="s">
        <v>765</v>
      </c>
      <c r="I61" s="80">
        <v>23905.5</v>
      </c>
    </row>
    <row r="62" spans="1:9" x14ac:dyDescent="0.25">
      <c r="A62" s="2">
        <v>1</v>
      </c>
      <c r="B62" s="106">
        <v>2617</v>
      </c>
      <c r="C62" s="108">
        <v>2050</v>
      </c>
      <c r="D62" t="s">
        <v>178</v>
      </c>
      <c r="E62" s="111" t="s">
        <v>767</v>
      </c>
      <c r="F62">
        <v>4928.7299999999996</v>
      </c>
      <c r="G62">
        <v>517.84</v>
      </c>
      <c r="H62" s="111" t="s">
        <v>768</v>
      </c>
      <c r="I62" s="80">
        <v>20486.77</v>
      </c>
    </row>
    <row r="63" spans="1:9" x14ac:dyDescent="0.25">
      <c r="A63" s="2">
        <v>1</v>
      </c>
      <c r="B63" s="106">
        <v>2625</v>
      </c>
      <c r="C63" s="108">
        <v>2050</v>
      </c>
      <c r="D63" t="s">
        <v>187</v>
      </c>
      <c r="E63" s="80">
        <v>65706.14</v>
      </c>
      <c r="F63" s="111" t="s">
        <v>770</v>
      </c>
      <c r="G63">
        <v>188.29</v>
      </c>
      <c r="H63" s="111" t="s">
        <v>769</v>
      </c>
      <c r="I63" s="80">
        <v>20029.84</v>
      </c>
    </row>
    <row r="64" spans="1:9" x14ac:dyDescent="0.25">
      <c r="A64" s="2">
        <v>1</v>
      </c>
      <c r="B64" s="106">
        <v>2665</v>
      </c>
      <c r="C64" s="113" t="s">
        <v>681</v>
      </c>
      <c r="D64" t="s">
        <v>186</v>
      </c>
      <c r="E64" s="111" t="s">
        <v>771</v>
      </c>
      <c r="F64" s="80">
        <v>50141.25</v>
      </c>
      <c r="G64">
        <v>5729.37</v>
      </c>
      <c r="H64" s="111" t="s">
        <v>772</v>
      </c>
      <c r="I64" s="80">
        <v>133995.43</v>
      </c>
    </row>
    <row r="65" spans="1:9" x14ac:dyDescent="0.25">
      <c r="A65" s="2">
        <v>1</v>
      </c>
      <c r="B65" s="106">
        <v>2685</v>
      </c>
      <c r="C65" s="112" t="s">
        <v>683</v>
      </c>
      <c r="D65" t="s">
        <v>178</v>
      </c>
      <c r="E65" s="111" t="s">
        <v>773</v>
      </c>
      <c r="F65" s="80">
        <v>13205.37</v>
      </c>
      <c r="G65" s="80">
        <v>6973.75</v>
      </c>
      <c r="H65" s="111" t="s">
        <v>774</v>
      </c>
      <c r="I65" s="80">
        <v>117407.14</v>
      </c>
    </row>
    <row r="66" spans="1:9" x14ac:dyDescent="0.25">
      <c r="A66" s="2">
        <v>1</v>
      </c>
      <c r="B66" s="106">
        <v>2702</v>
      </c>
      <c r="C66" s="108">
        <v>2003</v>
      </c>
      <c r="D66" t="s">
        <v>188</v>
      </c>
      <c r="E66" s="111" t="s">
        <v>775</v>
      </c>
      <c r="F66" s="111" t="s">
        <v>777</v>
      </c>
      <c r="G66" s="80">
        <v>8547.08</v>
      </c>
      <c r="H66" s="111" t="s">
        <v>776</v>
      </c>
      <c r="I66" s="80">
        <v>128883.02</v>
      </c>
    </row>
    <row r="67" spans="1:9" x14ac:dyDescent="0.25">
      <c r="A67" s="2">
        <v>1</v>
      </c>
      <c r="B67" s="106">
        <v>2725</v>
      </c>
      <c r="C67" s="108">
        <v>2006</v>
      </c>
      <c r="D67" t="s">
        <v>186</v>
      </c>
      <c r="E67" s="80">
        <v>42762.07</v>
      </c>
      <c r="F67" s="80">
        <v>46732.65</v>
      </c>
      <c r="G67">
        <v>1060.8499999999999</v>
      </c>
      <c r="H67" s="111" t="s">
        <v>778</v>
      </c>
      <c r="I67" s="80">
        <v>115514.06</v>
      </c>
    </row>
    <row r="68" spans="1:9" x14ac:dyDescent="0.25">
      <c r="A68" s="2">
        <v>1</v>
      </c>
      <c r="B68" s="106">
        <v>2773</v>
      </c>
      <c r="C68" s="108">
        <v>2010</v>
      </c>
      <c r="D68" t="s">
        <v>186</v>
      </c>
      <c r="E68" s="111" t="s">
        <v>779</v>
      </c>
      <c r="F68" s="80">
        <v>10391.09</v>
      </c>
      <c r="G68" s="80">
        <v>7092.26</v>
      </c>
      <c r="H68" s="111" t="s">
        <v>780</v>
      </c>
      <c r="I68" s="80">
        <v>116905.67</v>
      </c>
    </row>
    <row r="69" spans="1:9" x14ac:dyDescent="0.25">
      <c r="A69" s="2">
        <v>1</v>
      </c>
      <c r="B69" s="106">
        <v>2787</v>
      </c>
      <c r="C69" s="108">
        <v>2004</v>
      </c>
      <c r="D69" t="s">
        <v>186</v>
      </c>
      <c r="E69" s="111" t="s">
        <v>781</v>
      </c>
      <c r="F69" s="111" t="s">
        <v>783</v>
      </c>
      <c r="G69" s="80">
        <v>5468.33</v>
      </c>
      <c r="H69" s="111" t="s">
        <v>782</v>
      </c>
      <c r="I69" s="80">
        <v>114333.14</v>
      </c>
    </row>
    <row r="70" spans="1:9" x14ac:dyDescent="0.25">
      <c r="A70" s="2">
        <v>1</v>
      </c>
      <c r="B70" s="106">
        <v>2830</v>
      </c>
      <c r="C70" s="108">
        <v>1007</v>
      </c>
      <c r="D70" t="s">
        <v>183</v>
      </c>
      <c r="E70" s="111" t="s">
        <v>784</v>
      </c>
      <c r="F70">
        <v>6646.01</v>
      </c>
      <c r="G70" s="80">
        <v>10871.56</v>
      </c>
      <c r="H70" s="80">
        <v>20671.86</v>
      </c>
      <c r="I70" s="80">
        <v>91187.4</v>
      </c>
    </row>
    <row r="71" spans="1:9" x14ac:dyDescent="0.25">
      <c r="A71" s="2">
        <v>1</v>
      </c>
      <c r="B71" s="106">
        <v>2875</v>
      </c>
      <c r="C71" s="108" t="s">
        <v>687</v>
      </c>
      <c r="D71" t="s">
        <v>186</v>
      </c>
      <c r="E71" s="80">
        <v>142191.44</v>
      </c>
      <c r="F71" s="111" t="s">
        <v>786</v>
      </c>
      <c r="G71">
        <v>5988.43</v>
      </c>
      <c r="H71" s="111" t="s">
        <v>785</v>
      </c>
      <c r="I71" s="80">
        <v>108287.78</v>
      </c>
    </row>
    <row r="72" spans="1:9" x14ac:dyDescent="0.25">
      <c r="A72" s="2">
        <v>1</v>
      </c>
      <c r="B72" s="106">
        <v>2887</v>
      </c>
      <c r="C72" s="108" t="s">
        <v>688</v>
      </c>
      <c r="D72" t="s">
        <v>186</v>
      </c>
      <c r="E72" s="80">
        <v>61843.44</v>
      </c>
      <c r="F72" s="80">
        <v>23606.880000000001</v>
      </c>
      <c r="G72">
        <v>3044.51</v>
      </c>
      <c r="H72" s="111" t="s">
        <v>787</v>
      </c>
      <c r="I72" s="80">
        <v>107229.1</v>
      </c>
    </row>
    <row r="73" spans="1:9" ht="15.75" thickBot="1" x14ac:dyDescent="0.3">
      <c r="A73" s="2">
        <v>1</v>
      </c>
      <c r="B73" s="106">
        <v>2946</v>
      </c>
      <c r="C73" s="108">
        <v>1003</v>
      </c>
      <c r="D73" t="s">
        <v>178</v>
      </c>
      <c r="E73" s="80">
        <v>82659.17</v>
      </c>
      <c r="F73" s="80">
        <v>11747.26</v>
      </c>
      <c r="G73">
        <v>1083.3699999999999</v>
      </c>
      <c r="H73" s="111" t="s">
        <v>788</v>
      </c>
      <c r="I73" s="80">
        <v>101974.29</v>
      </c>
    </row>
    <row r="74" spans="1:9" x14ac:dyDescent="0.25">
      <c r="B74" s="2">
        <v>88</v>
      </c>
      <c r="C74" s="3">
        <v>2019</v>
      </c>
      <c r="D74" s="115" t="s">
        <v>181</v>
      </c>
      <c r="E74" s="116" t="s">
        <v>791</v>
      </c>
      <c r="F74" s="109" t="s">
        <v>792</v>
      </c>
    </row>
    <row r="75" spans="1:9" x14ac:dyDescent="0.25">
      <c r="B75" s="2">
        <v>103</v>
      </c>
      <c r="C75" s="8" t="s">
        <v>4</v>
      </c>
      <c r="D75" s="117" t="s">
        <v>188</v>
      </c>
      <c r="E75" s="109" t="s">
        <v>793</v>
      </c>
      <c r="F75" s="109" t="s">
        <v>794</v>
      </c>
    </row>
    <row r="76" spans="1:9" x14ac:dyDescent="0.25">
      <c r="B76" s="2">
        <v>118</v>
      </c>
      <c r="C76" s="8">
        <v>2018</v>
      </c>
      <c r="D76" s="117" t="s">
        <v>178</v>
      </c>
      <c r="E76" s="109" t="s">
        <v>795</v>
      </c>
      <c r="F76" s="109" t="s">
        <v>796</v>
      </c>
    </row>
    <row r="77" spans="1:9" x14ac:dyDescent="0.25">
      <c r="B77" s="2">
        <v>119</v>
      </c>
      <c r="C77" s="8">
        <v>2018</v>
      </c>
      <c r="D77" s="117" t="s">
        <v>163</v>
      </c>
      <c r="E77" s="109" t="s">
        <v>797</v>
      </c>
      <c r="F77" s="109" t="s">
        <v>798</v>
      </c>
    </row>
    <row r="78" spans="1:9" x14ac:dyDescent="0.25">
      <c r="B78" s="2">
        <v>121</v>
      </c>
      <c r="C78" s="8">
        <v>2018</v>
      </c>
      <c r="D78" s="117" t="s">
        <v>183</v>
      </c>
      <c r="E78" s="109" t="s">
        <v>799</v>
      </c>
      <c r="F78" s="109" t="s">
        <v>800</v>
      </c>
    </row>
    <row r="79" spans="1:9" x14ac:dyDescent="0.25">
      <c r="B79" s="2">
        <v>122</v>
      </c>
      <c r="C79" s="8">
        <v>2018</v>
      </c>
      <c r="D79" s="117" t="s">
        <v>186</v>
      </c>
      <c r="E79" s="109" t="s">
        <v>801</v>
      </c>
      <c r="F79" s="109" t="s">
        <v>802</v>
      </c>
    </row>
    <row r="80" spans="1:9" x14ac:dyDescent="0.25">
      <c r="B80" s="2">
        <v>123</v>
      </c>
      <c r="C80" s="8">
        <v>2018</v>
      </c>
      <c r="D80" s="117" t="s">
        <v>188</v>
      </c>
      <c r="E80" s="109" t="s">
        <v>803</v>
      </c>
      <c r="F80" s="109" t="s">
        <v>804</v>
      </c>
    </row>
    <row r="81" spans="2:6" x14ac:dyDescent="0.25">
      <c r="B81" s="2">
        <v>131</v>
      </c>
      <c r="C81" s="8" t="s">
        <v>23</v>
      </c>
      <c r="D81" s="117" t="s">
        <v>163</v>
      </c>
      <c r="E81" s="109" t="s">
        <v>805</v>
      </c>
      <c r="F81" s="109" t="s">
        <v>806</v>
      </c>
    </row>
    <row r="82" spans="2:6" x14ac:dyDescent="0.25">
      <c r="B82" s="2">
        <v>132</v>
      </c>
      <c r="C82" s="8" t="s">
        <v>23</v>
      </c>
      <c r="D82" s="117" t="s">
        <v>181</v>
      </c>
      <c r="E82" s="116" t="s">
        <v>807</v>
      </c>
      <c r="F82" s="109" t="s">
        <v>808</v>
      </c>
    </row>
    <row r="83" spans="2:6" x14ac:dyDescent="0.25">
      <c r="B83" s="2">
        <v>133</v>
      </c>
      <c r="C83" s="8" t="s">
        <v>23</v>
      </c>
      <c r="D83" s="117" t="s">
        <v>183</v>
      </c>
      <c r="E83" s="109" t="s">
        <v>809</v>
      </c>
      <c r="F83" s="109" t="s">
        <v>810</v>
      </c>
    </row>
    <row r="84" spans="2:6" x14ac:dyDescent="0.25">
      <c r="B84" s="2">
        <v>135</v>
      </c>
      <c r="C84" s="8" t="s">
        <v>23</v>
      </c>
      <c r="D84" s="117" t="s">
        <v>188</v>
      </c>
      <c r="E84" s="109" t="s">
        <v>811</v>
      </c>
      <c r="F84" s="109" t="s">
        <v>812</v>
      </c>
    </row>
    <row r="85" spans="2:6" x14ac:dyDescent="0.25">
      <c r="B85" s="2">
        <v>140</v>
      </c>
      <c r="C85" s="8">
        <v>1030</v>
      </c>
      <c r="D85" s="117" t="s">
        <v>162</v>
      </c>
      <c r="E85" s="109" t="s">
        <v>813</v>
      </c>
      <c r="F85" s="109" t="s">
        <v>814</v>
      </c>
    </row>
    <row r="86" spans="2:6" x14ac:dyDescent="0.25">
      <c r="B86" s="2">
        <v>142</v>
      </c>
      <c r="C86" s="8">
        <v>1030</v>
      </c>
      <c r="D86" s="117" t="s">
        <v>178</v>
      </c>
      <c r="E86" s="109" t="s">
        <v>815</v>
      </c>
      <c r="F86" s="109" t="s">
        <v>816</v>
      </c>
    </row>
    <row r="87" spans="2:6" x14ac:dyDescent="0.25">
      <c r="B87" s="2">
        <v>143</v>
      </c>
      <c r="C87" s="8">
        <v>1030</v>
      </c>
      <c r="D87" s="117" t="s">
        <v>163</v>
      </c>
      <c r="E87" s="109" t="s">
        <v>817</v>
      </c>
      <c r="F87" s="109" t="s">
        <v>818</v>
      </c>
    </row>
    <row r="88" spans="2:6" x14ac:dyDescent="0.25">
      <c r="B88" s="2">
        <v>144</v>
      </c>
      <c r="C88" s="8">
        <v>1030</v>
      </c>
      <c r="D88" s="117" t="s">
        <v>181</v>
      </c>
      <c r="E88" s="116" t="s">
        <v>819</v>
      </c>
      <c r="F88" s="109" t="s">
        <v>820</v>
      </c>
    </row>
    <row r="89" spans="2:6" x14ac:dyDescent="0.25">
      <c r="B89" s="2">
        <v>145</v>
      </c>
      <c r="C89" s="8">
        <v>1030</v>
      </c>
      <c r="D89" s="117" t="s">
        <v>183</v>
      </c>
      <c r="E89" s="109" t="s">
        <v>821</v>
      </c>
      <c r="F89" s="109" t="s">
        <v>822</v>
      </c>
    </row>
    <row r="90" spans="2:6" x14ac:dyDescent="0.25">
      <c r="B90" s="2">
        <v>146</v>
      </c>
      <c r="C90" s="8">
        <v>1030</v>
      </c>
      <c r="D90" s="117" t="s">
        <v>186</v>
      </c>
      <c r="E90" s="109" t="s">
        <v>823</v>
      </c>
      <c r="F90" s="109" t="s">
        <v>824</v>
      </c>
    </row>
    <row r="91" spans="2:6" x14ac:dyDescent="0.25">
      <c r="B91" s="2">
        <v>147</v>
      </c>
      <c r="C91" s="8">
        <v>1030</v>
      </c>
      <c r="D91" s="117" t="s">
        <v>188</v>
      </c>
      <c r="E91" s="109" t="s">
        <v>825</v>
      </c>
      <c r="F91" s="109" t="s">
        <v>826</v>
      </c>
    </row>
    <row r="92" spans="2:6" x14ac:dyDescent="0.25">
      <c r="B92" s="2">
        <v>150</v>
      </c>
      <c r="C92" s="8">
        <v>1030</v>
      </c>
      <c r="D92" s="117" t="s">
        <v>187</v>
      </c>
      <c r="E92" s="109" t="s">
        <v>827</v>
      </c>
      <c r="F92" s="109" t="s">
        <v>828</v>
      </c>
    </row>
    <row r="93" spans="2:6" x14ac:dyDescent="0.25">
      <c r="B93" s="2">
        <v>152</v>
      </c>
      <c r="C93" s="8" t="s">
        <v>594</v>
      </c>
      <c r="D93" s="117" t="s">
        <v>162</v>
      </c>
      <c r="E93" s="109" t="s">
        <v>829</v>
      </c>
      <c r="F93" s="109" t="s">
        <v>830</v>
      </c>
    </row>
    <row r="94" spans="2:6" x14ac:dyDescent="0.25">
      <c r="B94" s="2">
        <v>153</v>
      </c>
      <c r="C94" s="8" t="s">
        <v>594</v>
      </c>
      <c r="D94" s="117" t="s">
        <v>170</v>
      </c>
      <c r="E94" s="109" t="s">
        <v>831</v>
      </c>
      <c r="F94" s="109" t="s">
        <v>832</v>
      </c>
    </row>
    <row r="95" spans="2:6" x14ac:dyDescent="0.25">
      <c r="B95" s="2">
        <v>154</v>
      </c>
      <c r="C95" s="8" t="s">
        <v>594</v>
      </c>
      <c r="D95" s="117" t="s">
        <v>178</v>
      </c>
      <c r="E95" s="109" t="s">
        <v>833</v>
      </c>
      <c r="F95" s="109" t="s">
        <v>834</v>
      </c>
    </row>
    <row r="96" spans="2:6" x14ac:dyDescent="0.25">
      <c r="B96" s="2">
        <v>155</v>
      </c>
      <c r="C96" s="8" t="s">
        <v>594</v>
      </c>
      <c r="D96" s="117" t="s">
        <v>163</v>
      </c>
      <c r="E96" s="109" t="s">
        <v>835</v>
      </c>
      <c r="F96" s="109" t="s">
        <v>836</v>
      </c>
    </row>
    <row r="97" spans="2:6" x14ac:dyDescent="0.25">
      <c r="B97" s="2">
        <v>156</v>
      </c>
      <c r="C97" s="8" t="s">
        <v>594</v>
      </c>
      <c r="D97" s="117" t="s">
        <v>181</v>
      </c>
      <c r="E97" s="116" t="s">
        <v>837</v>
      </c>
      <c r="F97" s="109" t="s">
        <v>838</v>
      </c>
    </row>
    <row r="98" spans="2:6" x14ac:dyDescent="0.25">
      <c r="B98" s="2">
        <v>159</v>
      </c>
      <c r="C98" s="8" t="s">
        <v>594</v>
      </c>
      <c r="D98" s="117" t="s">
        <v>188</v>
      </c>
      <c r="E98" s="109" t="s">
        <v>839</v>
      </c>
      <c r="F98" s="109" t="s">
        <v>840</v>
      </c>
    </row>
    <row r="99" spans="2:6" x14ac:dyDescent="0.25">
      <c r="B99" s="2">
        <v>164</v>
      </c>
      <c r="C99" s="8">
        <v>1036</v>
      </c>
      <c r="D99" s="117" t="s">
        <v>162</v>
      </c>
      <c r="E99" s="116" t="s">
        <v>841</v>
      </c>
      <c r="F99" s="109" t="s">
        <v>842</v>
      </c>
    </row>
    <row r="100" spans="2:6" x14ac:dyDescent="0.25">
      <c r="B100" s="2">
        <v>1486</v>
      </c>
      <c r="C100" s="118" t="s">
        <v>624</v>
      </c>
      <c r="D100" s="43" t="s">
        <v>163</v>
      </c>
      <c r="E100" s="109" t="s">
        <v>843</v>
      </c>
      <c r="F100" s="109" t="s">
        <v>844</v>
      </c>
    </row>
    <row r="101" spans="2:6" x14ac:dyDescent="0.25">
      <c r="B101" s="2">
        <v>1487</v>
      </c>
      <c r="C101" s="118" t="s">
        <v>624</v>
      </c>
      <c r="D101" s="43" t="s">
        <v>181</v>
      </c>
      <c r="E101" s="116" t="s">
        <v>845</v>
      </c>
      <c r="F101" s="109" t="s">
        <v>846</v>
      </c>
    </row>
    <row r="102" spans="2:6" x14ac:dyDescent="0.25">
      <c r="B102" s="2">
        <v>1490</v>
      </c>
      <c r="C102" s="118" t="s">
        <v>624</v>
      </c>
      <c r="D102" s="43" t="s">
        <v>188</v>
      </c>
      <c r="E102" s="109" t="s">
        <v>847</v>
      </c>
      <c r="F102" s="116" t="s">
        <v>848</v>
      </c>
    </row>
    <row r="103" spans="2:6" x14ac:dyDescent="0.25">
      <c r="B103" s="2">
        <v>1502</v>
      </c>
      <c r="C103" s="118" t="s">
        <v>625</v>
      </c>
      <c r="D103" s="43" t="s">
        <v>188</v>
      </c>
      <c r="E103" s="109" t="s">
        <v>849</v>
      </c>
      <c r="F103" s="109" t="s">
        <v>850</v>
      </c>
    </row>
    <row r="104" spans="2:6" x14ac:dyDescent="0.25">
      <c r="B104" s="2">
        <v>1534</v>
      </c>
      <c r="C104" s="9">
        <v>1068</v>
      </c>
      <c r="D104" s="43" t="s">
        <v>163</v>
      </c>
      <c r="E104" s="109" t="s">
        <v>851</v>
      </c>
      <c r="F104" s="109" t="s">
        <v>852</v>
      </c>
    </row>
    <row r="105" spans="2:6" x14ac:dyDescent="0.25">
      <c r="B105" s="2">
        <v>1538</v>
      </c>
      <c r="C105" s="9">
        <v>1068</v>
      </c>
      <c r="D105" s="43" t="s">
        <v>188</v>
      </c>
      <c r="E105" s="109" t="s">
        <v>853</v>
      </c>
      <c r="F105" s="116" t="s">
        <v>854</v>
      </c>
    </row>
    <row r="106" spans="2:6" x14ac:dyDescent="0.25">
      <c r="B106" s="2">
        <v>1543</v>
      </c>
      <c r="C106" s="9">
        <v>1069</v>
      </c>
      <c r="D106" s="43" t="s">
        <v>162</v>
      </c>
      <c r="E106" s="116" t="s">
        <v>855</v>
      </c>
      <c r="F106" s="109" t="s">
        <v>856</v>
      </c>
    </row>
    <row r="107" spans="2:6" x14ac:dyDescent="0.25">
      <c r="B107" s="2">
        <v>1546</v>
      </c>
      <c r="C107" s="9">
        <v>1069</v>
      </c>
      <c r="D107" s="43" t="s">
        <v>163</v>
      </c>
      <c r="E107" s="116" t="s">
        <v>857</v>
      </c>
      <c r="F107" s="109" t="s">
        <v>858</v>
      </c>
    </row>
    <row r="108" spans="2:6" x14ac:dyDescent="0.25">
      <c r="B108" s="2">
        <v>1547</v>
      </c>
      <c r="C108" s="9">
        <v>1069</v>
      </c>
      <c r="D108" s="43" t="s">
        <v>181</v>
      </c>
      <c r="E108" s="109" t="s">
        <v>859</v>
      </c>
      <c r="F108" s="109" t="s">
        <v>846</v>
      </c>
    </row>
    <row r="109" spans="2:6" x14ac:dyDescent="0.25">
      <c r="B109" s="2">
        <v>1553</v>
      </c>
      <c r="C109" s="9">
        <v>1069</v>
      </c>
      <c r="D109" s="43" t="s">
        <v>187</v>
      </c>
      <c r="E109" s="109" t="s">
        <v>860</v>
      </c>
      <c r="F109" s="109" t="s">
        <v>861</v>
      </c>
    </row>
    <row r="110" spans="2:6" x14ac:dyDescent="0.25">
      <c r="B110" s="2">
        <v>1554</v>
      </c>
      <c r="C110" s="9">
        <v>1069</v>
      </c>
      <c r="D110" s="43" t="s">
        <v>189</v>
      </c>
      <c r="E110" s="109" t="s">
        <v>862</v>
      </c>
      <c r="F110" s="116" t="s">
        <v>863</v>
      </c>
    </row>
    <row r="111" spans="2:6" x14ac:dyDescent="0.25">
      <c r="B111" s="2">
        <v>1558</v>
      </c>
      <c r="C111" s="9">
        <v>3009</v>
      </c>
      <c r="D111" s="43" t="s">
        <v>163</v>
      </c>
      <c r="E111" s="109" t="s">
        <v>864</v>
      </c>
      <c r="F111" s="109" t="s">
        <v>865</v>
      </c>
    </row>
    <row r="112" spans="2:6" x14ac:dyDescent="0.25">
      <c r="B112" s="2">
        <v>1562</v>
      </c>
      <c r="C112" s="9">
        <v>3009</v>
      </c>
      <c r="D112" s="43" t="s">
        <v>188</v>
      </c>
      <c r="E112" s="109" t="s">
        <v>866</v>
      </c>
      <c r="F112" s="116" t="s">
        <v>867</v>
      </c>
    </row>
    <row r="113" spans="2:6" x14ac:dyDescent="0.25">
      <c r="B113" s="2">
        <v>1590</v>
      </c>
      <c r="C113" s="9">
        <v>2041</v>
      </c>
      <c r="D113" s="43" t="s">
        <v>163</v>
      </c>
      <c r="E113" s="109" t="s">
        <v>868</v>
      </c>
      <c r="F113" s="109" t="s">
        <v>869</v>
      </c>
    </row>
    <row r="114" spans="2:6" x14ac:dyDescent="0.25">
      <c r="B114" s="2">
        <v>1591</v>
      </c>
      <c r="C114" s="9">
        <v>2041</v>
      </c>
      <c r="D114" s="43" t="s">
        <v>181</v>
      </c>
      <c r="E114" s="116" t="s">
        <v>870</v>
      </c>
      <c r="F114" s="109" t="s">
        <v>871</v>
      </c>
    </row>
    <row r="115" spans="2:6" x14ac:dyDescent="0.25">
      <c r="B115" s="2">
        <v>1594</v>
      </c>
      <c r="C115" s="9">
        <v>2041</v>
      </c>
      <c r="D115" s="43" t="s">
        <v>188</v>
      </c>
      <c r="E115" s="116" t="s">
        <v>872</v>
      </c>
      <c r="F115" s="109" t="s">
        <v>873</v>
      </c>
    </row>
    <row r="116" spans="2:6" x14ac:dyDescent="0.25">
      <c r="B116" s="2">
        <v>1614</v>
      </c>
      <c r="C116" s="118" t="s">
        <v>629</v>
      </c>
      <c r="D116" s="43" t="s">
        <v>163</v>
      </c>
      <c r="E116" s="109" t="s">
        <v>874</v>
      </c>
      <c r="F116" s="109" t="s">
        <v>875</v>
      </c>
    </row>
    <row r="117" spans="2:6" x14ac:dyDescent="0.25">
      <c r="B117" s="2">
        <v>1615</v>
      </c>
      <c r="C117" s="118" t="s">
        <v>629</v>
      </c>
      <c r="D117" s="43" t="s">
        <v>181</v>
      </c>
      <c r="E117" s="84">
        <v>10036000000</v>
      </c>
      <c r="F117" s="109" t="s">
        <v>876</v>
      </c>
    </row>
    <row r="118" spans="2:6" x14ac:dyDescent="0.25">
      <c r="B118" s="2">
        <v>1618</v>
      </c>
      <c r="C118" s="118" t="s">
        <v>629</v>
      </c>
      <c r="D118" s="43" t="s">
        <v>188</v>
      </c>
      <c r="E118" s="84">
        <v>11251000000</v>
      </c>
      <c r="F118" s="116" t="s">
        <v>877</v>
      </c>
    </row>
    <row r="119" spans="2:6" x14ac:dyDescent="0.25">
      <c r="B119" s="2">
        <v>1625</v>
      </c>
      <c r="C119" s="9">
        <v>1012</v>
      </c>
      <c r="D119" s="43" t="s">
        <v>186</v>
      </c>
      <c r="E119" s="109" t="s">
        <v>878</v>
      </c>
      <c r="F119" s="109" t="s">
        <v>879</v>
      </c>
    </row>
    <row r="120" spans="2:6" x14ac:dyDescent="0.25">
      <c r="B120" s="2">
        <v>1626</v>
      </c>
      <c r="C120" s="9">
        <v>1012</v>
      </c>
      <c r="D120" s="43" t="s">
        <v>188</v>
      </c>
      <c r="E120" s="116" t="s">
        <v>880</v>
      </c>
      <c r="F120" s="116" t="s">
        <v>881</v>
      </c>
    </row>
    <row r="121" spans="2:6" x14ac:dyDescent="0.25">
      <c r="B121" s="2">
        <v>1650</v>
      </c>
      <c r="C121" s="9">
        <v>1014</v>
      </c>
      <c r="D121" s="43" t="s">
        <v>188</v>
      </c>
      <c r="E121" s="109" t="s">
        <v>882</v>
      </c>
      <c r="F121" s="116" t="s">
        <v>883</v>
      </c>
    </row>
    <row r="122" spans="2:6" x14ac:dyDescent="0.25">
      <c r="B122" s="2">
        <v>1667</v>
      </c>
      <c r="C122" s="118" t="s">
        <v>627</v>
      </c>
      <c r="D122" s="43" t="s">
        <v>181</v>
      </c>
      <c r="E122" s="109" t="s">
        <v>884</v>
      </c>
      <c r="F122" s="109" t="s">
        <v>885</v>
      </c>
    </row>
    <row r="123" spans="2:6" x14ac:dyDescent="0.25">
      <c r="B123" s="2">
        <v>1670</v>
      </c>
      <c r="C123" s="118" t="s">
        <v>627</v>
      </c>
      <c r="D123" s="43" t="s">
        <v>188</v>
      </c>
      <c r="E123" s="109" t="s">
        <v>886</v>
      </c>
      <c r="F123" s="109" t="s">
        <v>887</v>
      </c>
    </row>
    <row r="124" spans="2:6" x14ac:dyDescent="0.25">
      <c r="B124" s="2">
        <v>1690</v>
      </c>
      <c r="C124" s="9">
        <v>3011</v>
      </c>
      <c r="D124" s="43" t="s">
        <v>188</v>
      </c>
      <c r="E124" s="109" t="s">
        <v>888</v>
      </c>
      <c r="F124" s="109" t="s">
        <v>889</v>
      </c>
    </row>
    <row r="125" spans="2:6" x14ac:dyDescent="0.25">
      <c r="B125" s="2">
        <v>1699</v>
      </c>
      <c r="C125" s="110" t="s">
        <v>373</v>
      </c>
      <c r="D125" s="43" t="s">
        <v>181</v>
      </c>
      <c r="E125" s="109" t="s">
        <v>890</v>
      </c>
      <c r="F125" s="109" t="s">
        <v>891</v>
      </c>
    </row>
    <row r="126" spans="2:6" x14ac:dyDescent="0.25">
      <c r="B126" s="2">
        <v>1700</v>
      </c>
      <c r="C126" s="110" t="s">
        <v>374</v>
      </c>
      <c r="D126" s="43" t="s">
        <v>183</v>
      </c>
      <c r="E126" s="109" t="s">
        <v>892</v>
      </c>
      <c r="F126" s="109" t="s">
        <v>893</v>
      </c>
    </row>
    <row r="127" spans="2:6" x14ac:dyDescent="0.25">
      <c r="B127" s="2">
        <v>1701</v>
      </c>
      <c r="C127" s="110" t="s">
        <v>376</v>
      </c>
      <c r="D127" s="43" t="s">
        <v>186</v>
      </c>
      <c r="E127" s="109" t="s">
        <v>894</v>
      </c>
      <c r="F127" s="109" t="s">
        <v>895</v>
      </c>
    </row>
    <row r="128" spans="2:6" x14ac:dyDescent="0.25">
      <c r="B128" s="2">
        <v>1702</v>
      </c>
      <c r="C128" s="110" t="s">
        <v>378</v>
      </c>
      <c r="D128" s="43" t="s">
        <v>188</v>
      </c>
      <c r="E128" s="109" t="s">
        <v>896</v>
      </c>
      <c r="F128" s="109" t="s">
        <v>897</v>
      </c>
    </row>
    <row r="129" spans="2:6" x14ac:dyDescent="0.25">
      <c r="B129" s="2">
        <v>1722</v>
      </c>
      <c r="C129" s="110">
        <v>1070</v>
      </c>
      <c r="D129" s="43" t="s">
        <v>163</v>
      </c>
      <c r="E129" s="109" t="s">
        <v>898</v>
      </c>
      <c r="F129" s="109" t="s">
        <v>899</v>
      </c>
    </row>
    <row r="130" spans="2:6" x14ac:dyDescent="0.25">
      <c r="B130" s="2">
        <v>1733</v>
      </c>
      <c r="C130" s="110">
        <v>3007</v>
      </c>
      <c r="D130" s="43" t="s">
        <v>178</v>
      </c>
      <c r="E130" s="109" t="s">
        <v>900</v>
      </c>
      <c r="F130" s="109" t="s">
        <v>901</v>
      </c>
    </row>
    <row r="131" spans="2:6" x14ac:dyDescent="0.25">
      <c r="B131" s="2">
        <v>1734</v>
      </c>
      <c r="C131" s="110">
        <v>3007</v>
      </c>
      <c r="D131" s="43" t="s">
        <v>163</v>
      </c>
      <c r="E131" s="109" t="s">
        <v>902</v>
      </c>
      <c r="F131" s="116" t="s">
        <v>903</v>
      </c>
    </row>
    <row r="132" spans="2:6" x14ac:dyDescent="0.25">
      <c r="B132" s="2">
        <v>1738</v>
      </c>
      <c r="C132" s="110">
        <v>3007</v>
      </c>
      <c r="D132" s="43" t="s">
        <v>188</v>
      </c>
      <c r="E132" s="109" t="s">
        <v>904</v>
      </c>
      <c r="F132" s="109" t="s">
        <v>905</v>
      </c>
    </row>
    <row r="133" spans="2:6" x14ac:dyDescent="0.25">
      <c r="B133" s="2">
        <v>1743</v>
      </c>
      <c r="C133" s="110">
        <v>3012</v>
      </c>
      <c r="D133" s="43" t="s">
        <v>162</v>
      </c>
      <c r="E133" s="116" t="s">
        <v>906</v>
      </c>
      <c r="F133" s="109" t="s">
        <v>907</v>
      </c>
    </row>
    <row r="134" spans="2:6" x14ac:dyDescent="0.25">
      <c r="B134" s="2">
        <v>1746</v>
      </c>
      <c r="C134" s="110">
        <v>3012</v>
      </c>
      <c r="D134" s="43" t="s">
        <v>163</v>
      </c>
      <c r="E134" s="109" t="s">
        <v>908</v>
      </c>
      <c r="F134" s="116" t="s">
        <v>909</v>
      </c>
    </row>
    <row r="135" spans="2:6" x14ac:dyDescent="0.25">
      <c r="B135" s="2">
        <v>1747</v>
      </c>
      <c r="C135" s="110">
        <v>3012</v>
      </c>
      <c r="D135" s="43" t="s">
        <v>181</v>
      </c>
      <c r="E135" s="116" t="s">
        <v>910</v>
      </c>
      <c r="F135" s="109" t="s">
        <v>911</v>
      </c>
    </row>
    <row r="136" spans="2:6" x14ac:dyDescent="0.25">
      <c r="B136" s="2">
        <v>1750</v>
      </c>
      <c r="C136" s="110">
        <v>3012</v>
      </c>
      <c r="D136" s="43" t="s">
        <v>188</v>
      </c>
      <c r="E136" s="116" t="s">
        <v>912</v>
      </c>
      <c r="F136" s="116" t="s">
        <v>913</v>
      </c>
    </row>
    <row r="137" spans="2:6" x14ac:dyDescent="0.25">
      <c r="B137" s="2">
        <v>1762</v>
      </c>
      <c r="C137" s="110">
        <v>1071</v>
      </c>
      <c r="D137" s="43" t="s">
        <v>188</v>
      </c>
      <c r="E137" s="109" t="s">
        <v>914</v>
      </c>
      <c r="F137" s="109" t="s">
        <v>915</v>
      </c>
    </row>
    <row r="138" spans="2:6" x14ac:dyDescent="0.25">
      <c r="B138" s="2">
        <v>1771</v>
      </c>
      <c r="C138" s="110" t="s">
        <v>635</v>
      </c>
      <c r="D138" s="43" t="s">
        <v>181</v>
      </c>
      <c r="E138" s="109" t="s">
        <v>916</v>
      </c>
      <c r="F138" s="109" t="s">
        <v>917</v>
      </c>
    </row>
    <row r="139" spans="2:6" x14ac:dyDescent="0.25">
      <c r="B139" s="2">
        <v>1774</v>
      </c>
      <c r="C139" s="110" t="s">
        <v>635</v>
      </c>
      <c r="D139" s="43" t="s">
        <v>188</v>
      </c>
      <c r="E139" s="109" t="s">
        <v>918</v>
      </c>
      <c r="F139" s="109" t="s">
        <v>919</v>
      </c>
    </row>
    <row r="140" spans="2:6" x14ac:dyDescent="0.25">
      <c r="B140" s="2">
        <v>1782</v>
      </c>
      <c r="C140" s="110">
        <v>1072</v>
      </c>
      <c r="D140" s="43" t="s">
        <v>163</v>
      </c>
      <c r="E140" s="109" t="s">
        <v>920</v>
      </c>
      <c r="F140" s="109" t="s">
        <v>921</v>
      </c>
    </row>
    <row r="141" spans="2:6" x14ac:dyDescent="0.25">
      <c r="B141" s="2">
        <v>1785</v>
      </c>
      <c r="C141" s="110">
        <v>1072</v>
      </c>
      <c r="D141" s="43" t="s">
        <v>186</v>
      </c>
      <c r="E141" s="109" t="s">
        <v>922</v>
      </c>
      <c r="F141" s="109" t="s">
        <v>923</v>
      </c>
    </row>
    <row r="142" spans="2:6" x14ac:dyDescent="0.25">
      <c r="B142" s="2">
        <v>1786</v>
      </c>
      <c r="C142" s="110">
        <v>1072</v>
      </c>
      <c r="D142" s="43" t="s">
        <v>188</v>
      </c>
      <c r="E142" s="109" t="s">
        <v>924</v>
      </c>
      <c r="F142" s="109" t="s">
        <v>925</v>
      </c>
    </row>
    <row r="143" spans="2:6" x14ac:dyDescent="0.25">
      <c r="B143" s="2">
        <v>1806</v>
      </c>
      <c r="C143" s="110">
        <v>1074</v>
      </c>
      <c r="D143" s="43" t="s">
        <v>163</v>
      </c>
      <c r="E143" s="109" t="s">
        <v>926</v>
      </c>
      <c r="F143" s="109" t="s">
        <v>927</v>
      </c>
    </row>
    <row r="144" spans="2:6" x14ac:dyDescent="0.25">
      <c r="B144" s="2">
        <v>1810</v>
      </c>
      <c r="C144" s="110">
        <v>1074</v>
      </c>
      <c r="D144" s="43" t="s">
        <v>188</v>
      </c>
      <c r="E144" s="109" t="s">
        <v>928</v>
      </c>
      <c r="F144" s="109" t="s">
        <v>929</v>
      </c>
    </row>
    <row r="145" spans="2:6" ht="15.75" thickBot="1" x14ac:dyDescent="0.3">
      <c r="B145" s="2">
        <v>1827</v>
      </c>
      <c r="C145" s="119" t="s">
        <v>636</v>
      </c>
      <c r="D145" s="68" t="s">
        <v>181</v>
      </c>
      <c r="E145" s="109" t="s">
        <v>930</v>
      </c>
      <c r="F145" s="109" t="s">
        <v>931</v>
      </c>
    </row>
    <row r="146" spans="2:6" x14ac:dyDescent="0.25">
      <c r="B146" s="2">
        <v>1830</v>
      </c>
      <c r="C146" s="120" t="s">
        <v>636</v>
      </c>
      <c r="D146" s="33" t="s">
        <v>188</v>
      </c>
      <c r="E146" s="116" t="s">
        <v>932</v>
      </c>
      <c r="F146" s="109" t="s">
        <v>933</v>
      </c>
    </row>
    <row r="147" spans="2:6" x14ac:dyDescent="0.25">
      <c r="B147" s="2">
        <v>1841</v>
      </c>
      <c r="C147" s="110" t="s">
        <v>637</v>
      </c>
      <c r="D147" s="43" t="s">
        <v>186</v>
      </c>
      <c r="E147" s="109" t="s">
        <v>934</v>
      </c>
      <c r="F147" s="109" t="s">
        <v>935</v>
      </c>
    </row>
    <row r="148" spans="2:6" x14ac:dyDescent="0.25">
      <c r="B148" s="2">
        <v>1842</v>
      </c>
      <c r="C148" s="110" t="s">
        <v>637</v>
      </c>
      <c r="D148" s="43" t="s">
        <v>188</v>
      </c>
      <c r="E148" s="116" t="s">
        <v>936</v>
      </c>
      <c r="F148" s="109" t="s">
        <v>937</v>
      </c>
    </row>
    <row r="149" spans="2:6" x14ac:dyDescent="0.25">
      <c r="B149" s="2">
        <v>1850</v>
      </c>
      <c r="C149" s="110">
        <v>1083</v>
      </c>
      <c r="D149" s="43" t="s">
        <v>163</v>
      </c>
      <c r="E149" s="109" t="s">
        <v>938</v>
      </c>
      <c r="F149" s="109" t="s">
        <v>939</v>
      </c>
    </row>
    <row r="150" spans="2:6" x14ac:dyDescent="0.25">
      <c r="B150" s="2">
        <v>1869</v>
      </c>
      <c r="C150" s="110">
        <v>1082</v>
      </c>
      <c r="D150" s="43" t="s">
        <v>186</v>
      </c>
      <c r="E150" s="109" t="s">
        <v>940</v>
      </c>
      <c r="F150" s="109" t="s">
        <v>941</v>
      </c>
    </row>
    <row r="151" spans="2:6" x14ac:dyDescent="0.25">
      <c r="B151" s="2">
        <v>1870</v>
      </c>
      <c r="C151" s="110">
        <v>1082</v>
      </c>
      <c r="D151" s="43" t="s">
        <v>188</v>
      </c>
      <c r="E151" s="109" t="s">
        <v>942</v>
      </c>
      <c r="F151" s="116" t="s">
        <v>943</v>
      </c>
    </row>
    <row r="152" spans="2:6" x14ac:dyDescent="0.25">
      <c r="B152" s="2">
        <v>1885</v>
      </c>
      <c r="C152" s="110">
        <v>1079</v>
      </c>
      <c r="D152" s="43" t="s">
        <v>186</v>
      </c>
      <c r="E152" s="109" t="s">
        <v>944</v>
      </c>
      <c r="F152" s="116" t="s">
        <v>945</v>
      </c>
    </row>
    <row r="153" spans="2:6" x14ac:dyDescent="0.25">
      <c r="B153" s="2">
        <v>1886</v>
      </c>
      <c r="C153" s="110">
        <v>1079</v>
      </c>
      <c r="D153" s="43" t="s">
        <v>188</v>
      </c>
      <c r="E153" s="109" t="s">
        <v>946</v>
      </c>
      <c r="F153" s="109" t="s">
        <v>947</v>
      </c>
    </row>
    <row r="154" spans="2:6" x14ac:dyDescent="0.25">
      <c r="B154" s="2">
        <v>1891</v>
      </c>
      <c r="C154" s="110">
        <v>3021</v>
      </c>
      <c r="D154" s="43" t="s">
        <v>162</v>
      </c>
      <c r="E154" s="109" t="s">
        <v>948</v>
      </c>
      <c r="F154" s="109" t="s">
        <v>949</v>
      </c>
    </row>
    <row r="155" spans="2:6" x14ac:dyDescent="0.25">
      <c r="B155" s="2">
        <v>1894</v>
      </c>
      <c r="C155" s="110">
        <v>3021</v>
      </c>
      <c r="D155" s="43" t="s">
        <v>163</v>
      </c>
      <c r="E155" s="109" t="s">
        <v>950</v>
      </c>
      <c r="F155" s="109" t="s">
        <v>951</v>
      </c>
    </row>
    <row r="156" spans="2:6" x14ac:dyDescent="0.25">
      <c r="B156" s="2">
        <v>1895</v>
      </c>
      <c r="C156" s="110">
        <v>3021</v>
      </c>
      <c r="D156" s="43" t="s">
        <v>181</v>
      </c>
      <c r="E156" s="109" t="s">
        <v>952</v>
      </c>
      <c r="F156" s="109" t="s">
        <v>953</v>
      </c>
    </row>
    <row r="157" spans="2:6" x14ac:dyDescent="0.25">
      <c r="B157" s="2">
        <v>1901</v>
      </c>
      <c r="C157" s="110">
        <v>3021</v>
      </c>
      <c r="D157" s="43" t="s">
        <v>187</v>
      </c>
      <c r="E157" s="109" t="s">
        <v>954</v>
      </c>
      <c r="F157" s="109" t="s">
        <v>955</v>
      </c>
    </row>
    <row r="158" spans="2:6" x14ac:dyDescent="0.25">
      <c r="B158" s="2">
        <v>1915</v>
      </c>
      <c r="C158" s="110">
        <v>3024</v>
      </c>
      <c r="D158" s="43" t="s">
        <v>162</v>
      </c>
      <c r="E158" s="116" t="s">
        <v>956</v>
      </c>
      <c r="F158" s="109" t="s">
        <v>957</v>
      </c>
    </row>
    <row r="159" spans="2:6" x14ac:dyDescent="0.25">
      <c r="B159" s="2">
        <v>1918</v>
      </c>
      <c r="C159" s="110">
        <v>3024</v>
      </c>
      <c r="D159" s="43" t="s">
        <v>163</v>
      </c>
      <c r="E159" s="116" t="s">
        <v>958</v>
      </c>
      <c r="F159" s="109" t="s">
        <v>959</v>
      </c>
    </row>
    <row r="160" spans="2:6" x14ac:dyDescent="0.25">
      <c r="B160" s="2">
        <v>1919</v>
      </c>
      <c r="C160" s="110">
        <v>3024</v>
      </c>
      <c r="D160" s="43" t="s">
        <v>181</v>
      </c>
      <c r="E160" s="116" t="s">
        <v>960</v>
      </c>
      <c r="F160" s="109" t="s">
        <v>961</v>
      </c>
    </row>
    <row r="161" spans="2:6" x14ac:dyDescent="0.25">
      <c r="B161" s="2">
        <v>1955</v>
      </c>
      <c r="C161" s="110">
        <v>3020</v>
      </c>
      <c r="D161" s="43" t="s">
        <v>181</v>
      </c>
      <c r="E161" s="116" t="s">
        <v>962</v>
      </c>
      <c r="F161" s="109" t="s">
        <v>963</v>
      </c>
    </row>
    <row r="162" spans="2:6" x14ac:dyDescent="0.25">
      <c r="B162" s="2">
        <v>1958</v>
      </c>
      <c r="C162" s="110">
        <v>3020</v>
      </c>
      <c r="D162" s="43" t="s">
        <v>188</v>
      </c>
      <c r="E162" s="116" t="s">
        <v>964</v>
      </c>
      <c r="F162" s="116" t="s">
        <v>965</v>
      </c>
    </row>
    <row r="163" spans="2:6" x14ac:dyDescent="0.25">
      <c r="B163" s="2">
        <v>2027</v>
      </c>
      <c r="C163" s="110" t="s">
        <v>638</v>
      </c>
      <c r="D163" s="43" t="s">
        <v>181</v>
      </c>
      <c r="E163" s="116" t="s">
        <v>966</v>
      </c>
      <c r="F163" s="109" t="s">
        <v>876</v>
      </c>
    </row>
    <row r="164" spans="2:6" x14ac:dyDescent="0.25">
      <c r="B164" s="2">
        <v>2071</v>
      </c>
      <c r="C164" s="110" t="s">
        <v>642</v>
      </c>
      <c r="D164" s="43" t="s">
        <v>162</v>
      </c>
      <c r="E164" s="116" t="s">
        <v>967</v>
      </c>
      <c r="F164" s="109" t="s">
        <v>968</v>
      </c>
    </row>
    <row r="165" spans="2:6" x14ac:dyDescent="0.25">
      <c r="B165" s="2">
        <v>2075</v>
      </c>
      <c r="C165" s="110" t="s">
        <v>642</v>
      </c>
      <c r="D165" s="43" t="s">
        <v>181</v>
      </c>
      <c r="E165" s="116" t="s">
        <v>969</v>
      </c>
      <c r="F165" s="109" t="s">
        <v>970</v>
      </c>
    </row>
    <row r="166" spans="2:6" x14ac:dyDescent="0.25">
      <c r="B166" s="2">
        <v>2078</v>
      </c>
      <c r="C166" s="110" t="s">
        <v>642</v>
      </c>
      <c r="D166" s="43" t="s">
        <v>188</v>
      </c>
      <c r="E166" s="109" t="s">
        <v>971</v>
      </c>
      <c r="F166" s="109" t="s">
        <v>972</v>
      </c>
    </row>
    <row r="167" spans="2:6" x14ac:dyDescent="0.25">
      <c r="B167" s="2">
        <v>2090</v>
      </c>
      <c r="C167" s="110" t="s">
        <v>643</v>
      </c>
      <c r="D167" s="43" t="s">
        <v>188</v>
      </c>
      <c r="E167" s="109" t="s">
        <v>973</v>
      </c>
      <c r="F167" s="109" t="s">
        <v>974</v>
      </c>
    </row>
    <row r="168" spans="2:6" x14ac:dyDescent="0.25">
      <c r="B168" s="2">
        <v>2107</v>
      </c>
      <c r="C168" s="110">
        <v>3016</v>
      </c>
      <c r="D168" s="43" t="s">
        <v>181</v>
      </c>
      <c r="E168" s="109" t="s">
        <v>975</v>
      </c>
      <c r="F168" s="109" t="s">
        <v>976</v>
      </c>
    </row>
    <row r="169" spans="2:6" x14ac:dyDescent="0.25">
      <c r="B169" s="2">
        <v>2108</v>
      </c>
      <c r="C169" s="110">
        <v>3016</v>
      </c>
      <c r="D169" s="43" t="s">
        <v>183</v>
      </c>
      <c r="E169" s="109" t="s">
        <v>977</v>
      </c>
      <c r="F169" s="109" t="s">
        <v>978</v>
      </c>
    </row>
    <row r="170" spans="2:6" x14ac:dyDescent="0.25">
      <c r="B170" s="2">
        <v>2109</v>
      </c>
      <c r="C170" s="110">
        <v>3016</v>
      </c>
      <c r="D170" s="43" t="s">
        <v>186</v>
      </c>
      <c r="E170" s="116" t="s">
        <v>979</v>
      </c>
      <c r="F170" s="109" t="s">
        <v>980</v>
      </c>
    </row>
    <row r="171" spans="2:6" x14ac:dyDescent="0.25">
      <c r="B171" s="2">
        <v>2110</v>
      </c>
      <c r="C171" s="110">
        <v>3016</v>
      </c>
      <c r="D171" s="43" t="s">
        <v>188</v>
      </c>
      <c r="E171" s="116" t="s">
        <v>981</v>
      </c>
      <c r="F171" s="109" t="s">
        <v>901</v>
      </c>
    </row>
    <row r="172" spans="2:6" x14ac:dyDescent="0.25">
      <c r="B172" s="2">
        <v>2130</v>
      </c>
      <c r="C172" s="110">
        <v>1085</v>
      </c>
      <c r="D172" s="43" t="s">
        <v>163</v>
      </c>
      <c r="E172" s="109" t="s">
        <v>982</v>
      </c>
      <c r="F172" s="109" t="s">
        <v>983</v>
      </c>
    </row>
    <row r="173" spans="2:6" x14ac:dyDescent="0.25">
      <c r="B173" s="2">
        <v>2136</v>
      </c>
      <c r="C173" s="110">
        <v>1085</v>
      </c>
      <c r="D173" s="43" t="s">
        <v>184</v>
      </c>
      <c r="E173" s="109" t="s">
        <v>984</v>
      </c>
      <c r="F173" s="109" t="s">
        <v>985</v>
      </c>
    </row>
    <row r="174" spans="2:6" x14ac:dyDescent="0.25">
      <c r="B174" s="2">
        <v>2137</v>
      </c>
      <c r="C174" s="110">
        <v>1085</v>
      </c>
      <c r="D174" s="43" t="s">
        <v>187</v>
      </c>
      <c r="E174" s="109" t="s">
        <v>986</v>
      </c>
      <c r="F174" s="109" t="s">
        <v>987</v>
      </c>
    </row>
    <row r="175" spans="2:6" x14ac:dyDescent="0.25">
      <c r="B175" s="2">
        <v>2138</v>
      </c>
      <c r="C175" s="110">
        <v>1085</v>
      </c>
      <c r="D175" s="43" t="s">
        <v>189</v>
      </c>
      <c r="E175" s="109" t="s">
        <v>988</v>
      </c>
      <c r="F175" s="109" t="s">
        <v>989</v>
      </c>
    </row>
    <row r="176" spans="2:6" x14ac:dyDescent="0.25">
      <c r="B176" s="2">
        <v>2146</v>
      </c>
      <c r="C176" s="110" t="s">
        <v>66</v>
      </c>
      <c r="D176" s="43" t="s">
        <v>188</v>
      </c>
      <c r="E176" s="109" t="s">
        <v>990</v>
      </c>
      <c r="F176" s="109" t="s">
        <v>991</v>
      </c>
    </row>
    <row r="177" spans="2:6" x14ac:dyDescent="0.25">
      <c r="B177" s="2">
        <v>2151</v>
      </c>
      <c r="C177" s="110" t="s">
        <v>566</v>
      </c>
      <c r="D177" s="43" t="s">
        <v>162</v>
      </c>
      <c r="E177" s="109" t="s">
        <v>992</v>
      </c>
      <c r="F177" s="109" t="s">
        <v>974</v>
      </c>
    </row>
    <row r="178" spans="2:6" x14ac:dyDescent="0.25">
      <c r="B178" s="2">
        <v>2152</v>
      </c>
      <c r="C178" s="110" t="s">
        <v>566</v>
      </c>
      <c r="D178" s="43" t="s">
        <v>170</v>
      </c>
      <c r="E178" s="109" t="s">
        <v>993</v>
      </c>
      <c r="F178" s="109" t="s">
        <v>994</v>
      </c>
    </row>
    <row r="179" spans="2:6" x14ac:dyDescent="0.25">
      <c r="B179" s="2">
        <v>2153</v>
      </c>
      <c r="C179" s="110" t="s">
        <v>566</v>
      </c>
      <c r="D179" s="43" t="s">
        <v>178</v>
      </c>
      <c r="E179" s="109" t="s">
        <v>995</v>
      </c>
      <c r="F179" s="109" t="s">
        <v>996</v>
      </c>
    </row>
    <row r="180" spans="2:6" x14ac:dyDescent="0.25">
      <c r="B180" s="2">
        <v>2154</v>
      </c>
      <c r="C180" s="110" t="s">
        <v>566</v>
      </c>
      <c r="D180" s="43" t="s">
        <v>163</v>
      </c>
      <c r="E180" s="109" t="s">
        <v>997</v>
      </c>
      <c r="F180" s="109" t="s">
        <v>998</v>
      </c>
    </row>
    <row r="181" spans="2:6" x14ac:dyDescent="0.25">
      <c r="B181" s="2">
        <v>2155</v>
      </c>
      <c r="C181" s="110" t="s">
        <v>566</v>
      </c>
      <c r="D181" s="43" t="s">
        <v>181</v>
      </c>
      <c r="E181" s="109" t="s">
        <v>999</v>
      </c>
      <c r="F181" s="109" t="s">
        <v>1000</v>
      </c>
    </row>
    <row r="182" spans="2:6" x14ac:dyDescent="0.25">
      <c r="B182" s="2">
        <v>2156</v>
      </c>
      <c r="C182" s="110" t="s">
        <v>566</v>
      </c>
      <c r="D182" s="43" t="s">
        <v>183</v>
      </c>
      <c r="E182" s="109" t="s">
        <v>1001</v>
      </c>
      <c r="F182" s="109" t="s">
        <v>1002</v>
      </c>
    </row>
    <row r="183" spans="2:6" x14ac:dyDescent="0.25">
      <c r="B183" s="2">
        <v>2157</v>
      </c>
      <c r="C183" s="110" t="s">
        <v>566</v>
      </c>
      <c r="D183" s="43" t="s">
        <v>186</v>
      </c>
      <c r="E183" s="109" t="s">
        <v>1003</v>
      </c>
      <c r="F183" s="109" t="s">
        <v>1004</v>
      </c>
    </row>
    <row r="184" spans="2:6" x14ac:dyDescent="0.25">
      <c r="B184" s="2">
        <v>2158</v>
      </c>
      <c r="C184" s="110" t="s">
        <v>566</v>
      </c>
      <c r="D184" s="43" t="s">
        <v>188</v>
      </c>
      <c r="E184" s="109" t="s">
        <v>1005</v>
      </c>
      <c r="F184" s="116" t="s">
        <v>1006</v>
      </c>
    </row>
    <row r="185" spans="2:6" x14ac:dyDescent="0.25">
      <c r="B185" s="2">
        <v>2163</v>
      </c>
      <c r="C185" s="110">
        <v>1087</v>
      </c>
      <c r="D185" s="43" t="s">
        <v>162</v>
      </c>
      <c r="E185" s="116" t="s">
        <v>1007</v>
      </c>
      <c r="F185" s="109" t="s">
        <v>1008</v>
      </c>
    </row>
    <row r="186" spans="2:6" x14ac:dyDescent="0.25">
      <c r="B186" s="2">
        <v>2164</v>
      </c>
      <c r="C186" s="110">
        <v>1087</v>
      </c>
      <c r="D186" s="43" t="s">
        <v>170</v>
      </c>
      <c r="E186" s="109" t="s">
        <v>1009</v>
      </c>
      <c r="F186" s="109" t="s">
        <v>1010</v>
      </c>
    </row>
    <row r="187" spans="2:6" x14ac:dyDescent="0.25">
      <c r="B187" s="2">
        <v>2167</v>
      </c>
      <c r="C187" s="110">
        <v>1087</v>
      </c>
      <c r="D187" s="43" t="s">
        <v>181</v>
      </c>
      <c r="E187" s="116" t="s">
        <v>1011</v>
      </c>
      <c r="F187" s="109" t="s">
        <v>1012</v>
      </c>
    </row>
    <row r="188" spans="2:6" x14ac:dyDescent="0.25">
      <c r="B188" s="2">
        <v>2168</v>
      </c>
      <c r="C188" s="110">
        <v>1087</v>
      </c>
      <c r="D188" s="43" t="s">
        <v>183</v>
      </c>
      <c r="E188" s="116" t="s">
        <v>1013</v>
      </c>
      <c r="F188" s="116" t="s">
        <v>1014</v>
      </c>
    </row>
    <row r="189" spans="2:6" x14ac:dyDescent="0.25">
      <c r="B189" s="2">
        <v>2169</v>
      </c>
      <c r="C189" s="110">
        <v>1087</v>
      </c>
      <c r="D189" s="43" t="s">
        <v>186</v>
      </c>
      <c r="E189" s="109" t="s">
        <v>1015</v>
      </c>
      <c r="F189" s="109" t="s">
        <v>1016</v>
      </c>
    </row>
    <row r="190" spans="2:6" x14ac:dyDescent="0.25">
      <c r="B190" s="2">
        <v>2170</v>
      </c>
      <c r="C190" s="110">
        <v>1087</v>
      </c>
      <c r="D190" s="43" t="s">
        <v>188</v>
      </c>
      <c r="E190" s="109" t="s">
        <v>1017</v>
      </c>
      <c r="F190" s="116" t="s">
        <v>1018</v>
      </c>
    </row>
    <row r="191" spans="2:6" x14ac:dyDescent="0.25">
      <c r="B191" s="2">
        <v>2180</v>
      </c>
      <c r="C191" s="110">
        <v>3027</v>
      </c>
      <c r="D191" s="43" t="s">
        <v>183</v>
      </c>
      <c r="E191" s="109" t="s">
        <v>1019</v>
      </c>
      <c r="F191" s="109" t="s">
        <v>1020</v>
      </c>
    </row>
    <row r="192" spans="2:6" x14ac:dyDescent="0.25">
      <c r="B192" s="2">
        <v>2181</v>
      </c>
      <c r="C192" s="110">
        <v>3027</v>
      </c>
      <c r="D192" s="43" t="s">
        <v>186</v>
      </c>
      <c r="E192" s="109" t="s">
        <v>1021</v>
      </c>
      <c r="F192" s="109" t="s">
        <v>1022</v>
      </c>
    </row>
    <row r="193" spans="2:6" x14ac:dyDescent="0.25">
      <c r="B193" s="2">
        <v>2184</v>
      </c>
      <c r="C193" s="110">
        <v>3027</v>
      </c>
      <c r="D193" s="43" t="s">
        <v>184</v>
      </c>
      <c r="E193" s="109" t="s">
        <v>1023</v>
      </c>
      <c r="F193" s="109" t="s">
        <v>1024</v>
      </c>
    </row>
    <row r="194" spans="2:6" x14ac:dyDescent="0.25">
      <c r="B194" s="2">
        <v>2185</v>
      </c>
      <c r="C194" s="110">
        <v>3027</v>
      </c>
      <c r="D194" s="43" t="s">
        <v>187</v>
      </c>
      <c r="E194" s="109" t="s">
        <v>1025</v>
      </c>
      <c r="F194" s="109" t="s">
        <v>1026</v>
      </c>
    </row>
    <row r="195" spans="2:6" x14ac:dyDescent="0.25">
      <c r="B195" s="2">
        <v>2191</v>
      </c>
      <c r="C195" s="110" t="s">
        <v>67</v>
      </c>
      <c r="D195" s="43" t="s">
        <v>181</v>
      </c>
      <c r="E195" s="116" t="s">
        <v>1027</v>
      </c>
      <c r="F195" s="109" t="s">
        <v>1028</v>
      </c>
    </row>
    <row r="196" spans="2:6" x14ac:dyDescent="0.25">
      <c r="B196" s="2">
        <v>2192</v>
      </c>
      <c r="C196" s="110" t="s">
        <v>67</v>
      </c>
      <c r="D196" s="43" t="s">
        <v>183</v>
      </c>
      <c r="E196" s="109" t="s">
        <v>1029</v>
      </c>
      <c r="F196" s="109" t="s">
        <v>1030</v>
      </c>
    </row>
    <row r="197" spans="2:6" x14ac:dyDescent="0.25">
      <c r="B197" s="2">
        <v>2193</v>
      </c>
      <c r="C197" s="110" t="s">
        <v>67</v>
      </c>
      <c r="D197" s="43" t="s">
        <v>186</v>
      </c>
      <c r="E197" s="109" t="s">
        <v>1031</v>
      </c>
      <c r="F197" s="109" t="s">
        <v>1032</v>
      </c>
    </row>
    <row r="198" spans="2:6" x14ac:dyDescent="0.25">
      <c r="B198" s="2">
        <v>2194</v>
      </c>
      <c r="C198" s="110" t="s">
        <v>67</v>
      </c>
      <c r="D198" s="43" t="s">
        <v>188</v>
      </c>
      <c r="E198" s="109" t="s">
        <v>1033</v>
      </c>
      <c r="F198" s="109" t="s">
        <v>1034</v>
      </c>
    </row>
    <row r="199" spans="2:6" x14ac:dyDescent="0.25">
      <c r="B199" s="2">
        <v>2203</v>
      </c>
      <c r="C199" s="110" t="s">
        <v>82</v>
      </c>
      <c r="D199" s="43" t="s">
        <v>181</v>
      </c>
      <c r="E199" s="116" t="s">
        <v>1035</v>
      </c>
      <c r="F199" s="109" t="s">
        <v>1036</v>
      </c>
    </row>
    <row r="200" spans="2:6" x14ac:dyDescent="0.25">
      <c r="B200" s="2">
        <v>2206</v>
      </c>
      <c r="C200" s="110" t="s">
        <v>82</v>
      </c>
      <c r="D200" s="43" t="s">
        <v>188</v>
      </c>
      <c r="E200" s="109" t="s">
        <v>1037</v>
      </c>
      <c r="F200" s="109" t="s">
        <v>885</v>
      </c>
    </row>
    <row r="201" spans="2:6" x14ac:dyDescent="0.25">
      <c r="B201" s="2">
        <v>2214</v>
      </c>
      <c r="C201" s="110" t="s">
        <v>68</v>
      </c>
      <c r="D201" s="43" t="s">
        <v>163</v>
      </c>
      <c r="E201" s="109" t="s">
        <v>1038</v>
      </c>
      <c r="F201" s="109" t="s">
        <v>1039</v>
      </c>
    </row>
    <row r="202" spans="2:6" x14ac:dyDescent="0.25">
      <c r="B202" s="2">
        <v>2215</v>
      </c>
      <c r="C202" s="110" t="s">
        <v>68</v>
      </c>
      <c r="D202" s="43" t="s">
        <v>181</v>
      </c>
      <c r="E202" s="116" t="s">
        <v>1040</v>
      </c>
      <c r="F202" s="109" t="s">
        <v>1041</v>
      </c>
    </row>
    <row r="203" spans="2:6" x14ac:dyDescent="0.25">
      <c r="B203" s="2">
        <v>2216</v>
      </c>
      <c r="C203" s="110" t="s">
        <v>68</v>
      </c>
      <c r="D203" s="43" t="s">
        <v>183</v>
      </c>
      <c r="E203" s="109" t="s">
        <v>1042</v>
      </c>
      <c r="F203" s="109" t="s">
        <v>1043</v>
      </c>
    </row>
    <row r="204" spans="2:6" x14ac:dyDescent="0.25">
      <c r="B204" s="2">
        <v>2217</v>
      </c>
      <c r="C204" s="110" t="s">
        <v>68</v>
      </c>
      <c r="D204" s="43" t="s">
        <v>186</v>
      </c>
      <c r="E204" s="109" t="s">
        <v>1044</v>
      </c>
      <c r="F204" s="109" t="s">
        <v>1045</v>
      </c>
    </row>
    <row r="205" spans="2:6" x14ac:dyDescent="0.25">
      <c r="B205" s="2">
        <v>2218</v>
      </c>
      <c r="C205" s="110" t="s">
        <v>68</v>
      </c>
      <c r="D205" s="43" t="s">
        <v>188</v>
      </c>
      <c r="E205" s="109" t="s">
        <v>1046</v>
      </c>
      <c r="F205" s="109" t="s">
        <v>1047</v>
      </c>
    </row>
    <row r="206" spans="2:6" x14ac:dyDescent="0.25">
      <c r="B206" s="2">
        <v>2223</v>
      </c>
      <c r="C206" s="110" t="s">
        <v>83</v>
      </c>
      <c r="D206" s="43" t="s">
        <v>162</v>
      </c>
      <c r="E206" s="109" t="s">
        <v>1048</v>
      </c>
      <c r="F206" s="109" t="s">
        <v>1049</v>
      </c>
    </row>
    <row r="207" spans="2:6" x14ac:dyDescent="0.25">
      <c r="B207" s="2">
        <v>2226</v>
      </c>
      <c r="C207" s="110" t="s">
        <v>83</v>
      </c>
      <c r="D207" s="43" t="s">
        <v>163</v>
      </c>
      <c r="E207" s="109" t="s">
        <v>1050</v>
      </c>
      <c r="F207" s="109" t="s">
        <v>1051</v>
      </c>
    </row>
    <row r="208" spans="2:6" x14ac:dyDescent="0.25">
      <c r="B208" s="2">
        <v>2230</v>
      </c>
      <c r="C208" s="110" t="s">
        <v>83</v>
      </c>
      <c r="D208" s="43" t="s">
        <v>188</v>
      </c>
      <c r="E208" s="84">
        <v>10577000000</v>
      </c>
      <c r="F208" s="109" t="s">
        <v>1052</v>
      </c>
    </row>
    <row r="209" spans="2:6" x14ac:dyDescent="0.25">
      <c r="B209" s="2">
        <v>2235</v>
      </c>
      <c r="C209" s="110" t="s">
        <v>69</v>
      </c>
      <c r="D209" s="43" t="s">
        <v>162</v>
      </c>
      <c r="E209" s="109" t="s">
        <v>1053</v>
      </c>
      <c r="F209" s="109" t="s">
        <v>830</v>
      </c>
    </row>
    <row r="210" spans="2:6" x14ac:dyDescent="0.25">
      <c r="B210" s="2">
        <v>2236</v>
      </c>
      <c r="C210" s="110" t="s">
        <v>69</v>
      </c>
      <c r="D210" s="43" t="s">
        <v>170</v>
      </c>
      <c r="E210" s="109" t="s">
        <v>1054</v>
      </c>
      <c r="F210" s="109" t="s">
        <v>1055</v>
      </c>
    </row>
    <row r="211" spans="2:6" x14ac:dyDescent="0.25">
      <c r="B211" s="2">
        <v>2237</v>
      </c>
      <c r="C211" s="110" t="s">
        <v>69</v>
      </c>
      <c r="D211" s="43" t="s">
        <v>178</v>
      </c>
      <c r="E211" s="109" t="s">
        <v>1056</v>
      </c>
      <c r="F211" s="109" t="s">
        <v>1057</v>
      </c>
    </row>
    <row r="212" spans="2:6" x14ac:dyDescent="0.25">
      <c r="B212" s="2">
        <v>2238</v>
      </c>
      <c r="C212" s="110" t="s">
        <v>69</v>
      </c>
      <c r="D212" s="43" t="s">
        <v>163</v>
      </c>
      <c r="E212" s="109" t="s">
        <v>1058</v>
      </c>
      <c r="F212" s="109" t="s">
        <v>1059</v>
      </c>
    </row>
    <row r="213" spans="2:6" x14ac:dyDescent="0.25">
      <c r="B213" s="2">
        <v>2239</v>
      </c>
      <c r="C213" s="110" t="s">
        <v>69</v>
      </c>
      <c r="D213" s="43" t="s">
        <v>181</v>
      </c>
      <c r="E213" s="116" t="s">
        <v>1060</v>
      </c>
      <c r="F213" s="109" t="s">
        <v>1061</v>
      </c>
    </row>
    <row r="214" spans="2:6" x14ac:dyDescent="0.25">
      <c r="B214" s="2">
        <v>2240</v>
      </c>
      <c r="C214" s="110" t="s">
        <v>69</v>
      </c>
      <c r="D214" s="43" t="s">
        <v>183</v>
      </c>
      <c r="E214" s="109" t="s">
        <v>1062</v>
      </c>
      <c r="F214" s="109" t="s">
        <v>1063</v>
      </c>
    </row>
    <row r="215" spans="2:6" x14ac:dyDescent="0.25">
      <c r="B215" s="2">
        <v>2241</v>
      </c>
      <c r="C215" s="110" t="s">
        <v>69</v>
      </c>
      <c r="D215" s="43" t="s">
        <v>186</v>
      </c>
      <c r="E215" s="109" t="s">
        <v>1064</v>
      </c>
      <c r="F215" s="109" t="s">
        <v>1065</v>
      </c>
    </row>
    <row r="216" spans="2:6" x14ac:dyDescent="0.25">
      <c r="B216" s="2">
        <v>2242</v>
      </c>
      <c r="C216" s="110" t="s">
        <v>69</v>
      </c>
      <c r="D216" s="43" t="s">
        <v>188</v>
      </c>
      <c r="E216" s="109" t="s">
        <v>1066</v>
      </c>
      <c r="F216" s="109" t="s">
        <v>1067</v>
      </c>
    </row>
    <row r="217" spans="2:6" x14ac:dyDescent="0.25">
      <c r="B217" s="2">
        <v>2271</v>
      </c>
      <c r="C217" s="110">
        <v>3029</v>
      </c>
      <c r="D217" s="43" t="s">
        <v>181</v>
      </c>
      <c r="E217" s="116" t="s">
        <v>1068</v>
      </c>
      <c r="F217" s="109" t="s">
        <v>1069</v>
      </c>
    </row>
    <row r="218" spans="2:6" x14ac:dyDescent="0.25">
      <c r="B218" s="2">
        <v>2272</v>
      </c>
      <c r="C218" s="110">
        <v>3029</v>
      </c>
      <c r="D218" s="43" t="s">
        <v>183</v>
      </c>
      <c r="E218" s="109" t="s">
        <v>1070</v>
      </c>
      <c r="F218" s="109" t="s">
        <v>1071</v>
      </c>
    </row>
    <row r="219" spans="2:6" x14ac:dyDescent="0.25">
      <c r="B219" s="2">
        <v>2273</v>
      </c>
      <c r="C219" s="110">
        <v>3029</v>
      </c>
      <c r="D219" s="43" t="s">
        <v>186</v>
      </c>
      <c r="E219" s="109" t="s">
        <v>1072</v>
      </c>
      <c r="F219" s="109" t="s">
        <v>1073</v>
      </c>
    </row>
    <row r="220" spans="2:6" x14ac:dyDescent="0.25">
      <c r="B220" s="2">
        <v>2274</v>
      </c>
      <c r="C220" s="110">
        <v>3029</v>
      </c>
      <c r="D220" s="43" t="s">
        <v>188</v>
      </c>
      <c r="E220" s="109" t="s">
        <v>1074</v>
      </c>
      <c r="F220" s="116" t="s">
        <v>1075</v>
      </c>
    </row>
    <row r="221" spans="2:6" x14ac:dyDescent="0.25">
      <c r="B221" s="2">
        <v>2292</v>
      </c>
      <c r="C221" s="110">
        <v>3014</v>
      </c>
      <c r="D221" s="43" t="s">
        <v>183</v>
      </c>
      <c r="E221" s="109" t="s">
        <v>1076</v>
      </c>
      <c r="F221" s="109" t="s">
        <v>1077</v>
      </c>
    </row>
    <row r="222" spans="2:6" x14ac:dyDescent="0.25">
      <c r="B222" s="2">
        <v>2294</v>
      </c>
      <c r="C222" s="110">
        <v>3014</v>
      </c>
      <c r="D222" s="43" t="s">
        <v>188</v>
      </c>
      <c r="E222" s="109" t="s">
        <v>1078</v>
      </c>
      <c r="F222" s="116" t="s">
        <v>1079</v>
      </c>
    </row>
    <row r="223" spans="2:6" x14ac:dyDescent="0.25">
      <c r="B223" s="2">
        <v>2304</v>
      </c>
      <c r="C223" s="110">
        <v>1088</v>
      </c>
      <c r="D223" s="43" t="s">
        <v>170</v>
      </c>
      <c r="E223" s="109" t="s">
        <v>1080</v>
      </c>
      <c r="F223" s="109" t="s">
        <v>1081</v>
      </c>
    </row>
    <row r="224" spans="2:6" x14ac:dyDescent="0.25">
      <c r="B224" s="2">
        <v>2306</v>
      </c>
      <c r="C224" s="110">
        <v>1088</v>
      </c>
      <c r="D224" s="43" t="s">
        <v>163</v>
      </c>
      <c r="E224" s="116" t="s">
        <v>1082</v>
      </c>
      <c r="F224" s="109" t="s">
        <v>1083</v>
      </c>
    </row>
    <row r="225" spans="2:6" x14ac:dyDescent="0.25">
      <c r="B225" s="2">
        <v>2308</v>
      </c>
      <c r="C225" s="110">
        <v>1088</v>
      </c>
      <c r="D225" s="43" t="s">
        <v>183</v>
      </c>
      <c r="E225" s="109" t="s">
        <v>1084</v>
      </c>
      <c r="F225" s="109" t="s">
        <v>1085</v>
      </c>
    </row>
    <row r="226" spans="2:6" x14ac:dyDescent="0.25">
      <c r="B226" s="2">
        <v>2309</v>
      </c>
      <c r="C226" s="110">
        <v>1088</v>
      </c>
      <c r="D226" s="43" t="s">
        <v>186</v>
      </c>
      <c r="E226" s="109" t="s">
        <v>1086</v>
      </c>
      <c r="F226" s="109" t="s">
        <v>1087</v>
      </c>
    </row>
    <row r="227" spans="2:6" x14ac:dyDescent="0.25">
      <c r="B227" s="2">
        <v>2310</v>
      </c>
      <c r="C227" s="110">
        <v>1088</v>
      </c>
      <c r="D227" s="43" t="s">
        <v>188</v>
      </c>
      <c r="E227" s="116" t="s">
        <v>1088</v>
      </c>
      <c r="F227" s="109" t="s">
        <v>1089</v>
      </c>
    </row>
    <row r="228" spans="2:6" x14ac:dyDescent="0.25">
      <c r="B228" s="2">
        <v>2319</v>
      </c>
      <c r="C228" s="110">
        <v>1090</v>
      </c>
      <c r="D228" s="43" t="s">
        <v>181</v>
      </c>
      <c r="E228" s="109" t="s">
        <v>1090</v>
      </c>
      <c r="F228" s="109" t="s">
        <v>1091</v>
      </c>
    </row>
    <row r="229" spans="2:6" x14ac:dyDescent="0.25">
      <c r="B229" s="2">
        <v>2331</v>
      </c>
      <c r="C229" s="110" t="s">
        <v>93</v>
      </c>
      <c r="D229" s="43" t="s">
        <v>181</v>
      </c>
      <c r="E229" s="109" t="s">
        <v>1092</v>
      </c>
      <c r="F229" s="109" t="s">
        <v>1093</v>
      </c>
    </row>
    <row r="230" spans="2:6" x14ac:dyDescent="0.25">
      <c r="B230" s="2">
        <v>2343</v>
      </c>
      <c r="C230" s="110" t="s">
        <v>87</v>
      </c>
      <c r="D230" s="43" t="s">
        <v>181</v>
      </c>
      <c r="E230" s="116" t="s">
        <v>1094</v>
      </c>
      <c r="F230" s="109" t="s">
        <v>1095</v>
      </c>
    </row>
    <row r="231" spans="2:6" x14ac:dyDescent="0.25">
      <c r="B231" s="2">
        <v>2346</v>
      </c>
      <c r="C231" s="110" t="s">
        <v>87</v>
      </c>
      <c r="D231" s="43" t="s">
        <v>188</v>
      </c>
      <c r="E231" s="109" t="s">
        <v>1096</v>
      </c>
      <c r="F231" s="109" t="s">
        <v>1097</v>
      </c>
    </row>
    <row r="232" spans="2:6" x14ac:dyDescent="0.25">
      <c r="B232" s="2">
        <v>2352</v>
      </c>
      <c r="C232" s="110" t="s">
        <v>94</v>
      </c>
      <c r="D232" s="43" t="s">
        <v>170</v>
      </c>
      <c r="E232" s="109" t="s">
        <v>1098</v>
      </c>
      <c r="F232" s="109" t="s">
        <v>1099</v>
      </c>
    </row>
    <row r="233" spans="2:6" x14ac:dyDescent="0.25">
      <c r="B233" s="2">
        <v>2354</v>
      </c>
      <c r="C233" s="110" t="s">
        <v>94</v>
      </c>
      <c r="D233" s="43" t="s">
        <v>163</v>
      </c>
      <c r="E233" s="109" t="s">
        <v>1100</v>
      </c>
      <c r="F233" s="109" t="s">
        <v>1101</v>
      </c>
    </row>
    <row r="234" spans="2:6" x14ac:dyDescent="0.25">
      <c r="B234" s="2">
        <v>2356</v>
      </c>
      <c r="C234" s="110" t="s">
        <v>94</v>
      </c>
      <c r="D234" s="43" t="s">
        <v>183</v>
      </c>
      <c r="E234" s="109" t="s">
        <v>1102</v>
      </c>
      <c r="F234" s="109" t="s">
        <v>1103</v>
      </c>
    </row>
    <row r="235" spans="2:6" x14ac:dyDescent="0.25">
      <c r="B235" s="2">
        <v>2363</v>
      </c>
      <c r="C235" s="110" t="s">
        <v>88</v>
      </c>
      <c r="D235" s="43" t="s">
        <v>162</v>
      </c>
      <c r="E235" s="109" t="s">
        <v>1104</v>
      </c>
      <c r="F235" s="109" t="s">
        <v>1105</v>
      </c>
    </row>
    <row r="236" spans="2:6" x14ac:dyDescent="0.25">
      <c r="B236" s="2">
        <v>2366</v>
      </c>
      <c r="C236" s="110" t="s">
        <v>88</v>
      </c>
      <c r="D236" s="43" t="s">
        <v>163</v>
      </c>
      <c r="E236" s="109" t="s">
        <v>1106</v>
      </c>
      <c r="F236" s="116" t="s">
        <v>1107</v>
      </c>
    </row>
    <row r="237" spans="2:6" ht="15.75" thickBot="1" x14ac:dyDescent="0.3">
      <c r="B237" s="2">
        <v>2367</v>
      </c>
      <c r="C237" s="119" t="s">
        <v>88</v>
      </c>
      <c r="D237" s="68" t="s">
        <v>181</v>
      </c>
      <c r="E237" s="109" t="s">
        <v>1108</v>
      </c>
      <c r="F237" s="109" t="s">
        <v>1091</v>
      </c>
    </row>
    <row r="238" spans="2:6" x14ac:dyDescent="0.25">
      <c r="B238" s="2">
        <v>2368</v>
      </c>
      <c r="C238" s="120" t="s">
        <v>88</v>
      </c>
      <c r="D238" s="33" t="s">
        <v>183</v>
      </c>
      <c r="E238" s="109" t="s">
        <v>1109</v>
      </c>
      <c r="F238" s="109" t="s">
        <v>1110</v>
      </c>
    </row>
    <row r="239" spans="2:6" x14ac:dyDescent="0.25">
      <c r="B239" s="2">
        <v>2369</v>
      </c>
      <c r="C239" s="110" t="s">
        <v>88</v>
      </c>
      <c r="D239" s="43" t="s">
        <v>186</v>
      </c>
      <c r="E239" s="109" t="s">
        <v>1111</v>
      </c>
      <c r="F239" s="109" t="s">
        <v>1112</v>
      </c>
    </row>
    <row r="240" spans="2:6" x14ac:dyDescent="0.25">
      <c r="B240" s="2">
        <v>2370</v>
      </c>
      <c r="C240" s="110" t="s">
        <v>88</v>
      </c>
      <c r="D240" s="43" t="s">
        <v>188</v>
      </c>
      <c r="E240" s="109" t="s">
        <v>1113</v>
      </c>
      <c r="F240" s="109" t="s">
        <v>1114</v>
      </c>
    </row>
    <row r="241" spans="2:6" x14ac:dyDescent="0.25">
      <c r="B241" s="2">
        <v>2379</v>
      </c>
      <c r="C241" s="110" t="s">
        <v>95</v>
      </c>
      <c r="D241" s="43" t="s">
        <v>181</v>
      </c>
      <c r="E241" s="109">
        <v>358444.93</v>
      </c>
      <c r="F241" s="109" t="s">
        <v>1115</v>
      </c>
    </row>
    <row r="242" spans="2:6" x14ac:dyDescent="0.25">
      <c r="B242" s="2">
        <v>2380</v>
      </c>
      <c r="C242" s="110" t="s">
        <v>95</v>
      </c>
      <c r="D242" s="43" t="s">
        <v>183</v>
      </c>
      <c r="E242" s="109" t="s">
        <v>1116</v>
      </c>
      <c r="F242" s="109" t="s">
        <v>1117</v>
      </c>
    </row>
    <row r="243" spans="2:6" x14ac:dyDescent="0.25">
      <c r="B243" s="2">
        <v>2381</v>
      </c>
      <c r="C243" s="110" t="s">
        <v>95</v>
      </c>
      <c r="D243" s="43" t="s">
        <v>186</v>
      </c>
      <c r="E243" s="109" t="s">
        <v>1118</v>
      </c>
      <c r="F243" s="109" t="s">
        <v>1119</v>
      </c>
    </row>
    <row r="244" spans="2:6" x14ac:dyDescent="0.25">
      <c r="B244" s="2">
        <v>2382</v>
      </c>
      <c r="C244" s="110" t="s">
        <v>95</v>
      </c>
      <c r="D244" s="43" t="s">
        <v>188</v>
      </c>
      <c r="E244" s="109" t="s">
        <v>1120</v>
      </c>
      <c r="F244" s="109" t="s">
        <v>1121</v>
      </c>
    </row>
    <row r="245" spans="2:6" x14ac:dyDescent="0.25">
      <c r="B245" s="2">
        <v>2387</v>
      </c>
      <c r="C245" s="110" t="s">
        <v>89</v>
      </c>
      <c r="D245" s="43" t="s">
        <v>162</v>
      </c>
      <c r="E245" s="109" t="s">
        <v>1122</v>
      </c>
      <c r="F245" s="109" t="s">
        <v>1123</v>
      </c>
    </row>
    <row r="246" spans="2:6" x14ac:dyDescent="0.25">
      <c r="B246" s="2">
        <v>2399</v>
      </c>
      <c r="C246" s="110">
        <v>1091</v>
      </c>
      <c r="D246" s="43" t="s">
        <v>162</v>
      </c>
      <c r="E246" s="109">
        <v>354591.33</v>
      </c>
      <c r="F246" s="109" t="s">
        <v>1124</v>
      </c>
    </row>
    <row r="247" spans="2:6" x14ac:dyDescent="0.25">
      <c r="B247" s="2">
        <v>2403</v>
      </c>
      <c r="C247" s="110">
        <v>1091</v>
      </c>
      <c r="D247" s="43" t="s">
        <v>181</v>
      </c>
      <c r="E247" s="109">
        <v>470277.42</v>
      </c>
      <c r="F247" s="109" t="s">
        <v>1125</v>
      </c>
    </row>
    <row r="248" spans="2:6" x14ac:dyDescent="0.25">
      <c r="B248" s="2">
        <v>2406</v>
      </c>
      <c r="C248" s="110">
        <v>1091</v>
      </c>
      <c r="D248" s="43" t="s">
        <v>188</v>
      </c>
      <c r="E248" s="109" t="s">
        <v>1126</v>
      </c>
      <c r="F248" s="109" t="s">
        <v>1127</v>
      </c>
    </row>
    <row r="249" spans="2:6" x14ac:dyDescent="0.25">
      <c r="B249" s="2">
        <v>2411</v>
      </c>
      <c r="C249" s="110">
        <v>1092</v>
      </c>
      <c r="D249" s="43" t="s">
        <v>162</v>
      </c>
      <c r="E249" s="109" t="s">
        <v>1128</v>
      </c>
      <c r="F249" s="109" t="s">
        <v>1129</v>
      </c>
    </row>
    <row r="250" spans="2:6" x14ac:dyDescent="0.25">
      <c r="B250" s="2">
        <v>2415</v>
      </c>
      <c r="C250" s="110">
        <v>1092</v>
      </c>
      <c r="D250" s="43" t="s">
        <v>181</v>
      </c>
      <c r="E250" s="109" t="s">
        <v>1130</v>
      </c>
      <c r="F250" s="109" t="s">
        <v>1131</v>
      </c>
    </row>
    <row r="251" spans="2:6" x14ac:dyDescent="0.25">
      <c r="B251" s="2">
        <v>2416</v>
      </c>
      <c r="C251" s="110">
        <v>1092</v>
      </c>
      <c r="D251" s="43" t="s">
        <v>183</v>
      </c>
      <c r="E251" s="109" t="s">
        <v>1132</v>
      </c>
      <c r="F251" s="109" t="s">
        <v>1133</v>
      </c>
    </row>
    <row r="252" spans="2:6" x14ac:dyDescent="0.25">
      <c r="B252" s="2">
        <v>2417</v>
      </c>
      <c r="C252" s="110">
        <v>1092</v>
      </c>
      <c r="D252" s="43" t="s">
        <v>186</v>
      </c>
      <c r="E252" s="109" t="s">
        <v>1134</v>
      </c>
      <c r="F252" s="109" t="s">
        <v>1135</v>
      </c>
    </row>
    <row r="253" spans="2:6" x14ac:dyDescent="0.25">
      <c r="B253" s="2">
        <v>2418</v>
      </c>
      <c r="C253" s="110">
        <v>1092</v>
      </c>
      <c r="D253" s="43" t="s">
        <v>188</v>
      </c>
      <c r="E253" s="109" t="s">
        <v>1136</v>
      </c>
      <c r="F253" s="109" t="s">
        <v>1137</v>
      </c>
    </row>
    <row r="254" spans="2:6" x14ac:dyDescent="0.25">
      <c r="B254" s="2">
        <v>2420</v>
      </c>
      <c r="C254" s="110">
        <v>1092</v>
      </c>
      <c r="D254" s="43" t="s">
        <v>184</v>
      </c>
      <c r="E254" s="109" t="s">
        <v>1138</v>
      </c>
      <c r="F254" s="109" t="s">
        <v>1139</v>
      </c>
    </row>
    <row r="255" spans="2:6" x14ac:dyDescent="0.25">
      <c r="B255" s="2">
        <v>2421</v>
      </c>
      <c r="C255" s="110">
        <v>1092</v>
      </c>
      <c r="D255" s="43" t="s">
        <v>187</v>
      </c>
      <c r="E255" s="109" t="s">
        <v>1140</v>
      </c>
      <c r="F255" s="109" t="s">
        <v>1141</v>
      </c>
    </row>
    <row r="256" spans="2:6" x14ac:dyDescent="0.25">
      <c r="B256" s="2">
        <v>2422</v>
      </c>
      <c r="C256" s="110">
        <v>1092</v>
      </c>
      <c r="D256" s="43" t="s">
        <v>189</v>
      </c>
      <c r="E256" s="109" t="s">
        <v>1142</v>
      </c>
      <c r="F256" s="109" t="s">
        <v>1143</v>
      </c>
    </row>
    <row r="257" spans="2:6" x14ac:dyDescent="0.25">
      <c r="B257" s="2">
        <v>2427</v>
      </c>
      <c r="C257" s="110">
        <v>3031</v>
      </c>
      <c r="D257" s="43" t="s">
        <v>181</v>
      </c>
      <c r="E257" s="109" t="s">
        <v>1144</v>
      </c>
      <c r="F257" s="109" t="s">
        <v>1145</v>
      </c>
    </row>
    <row r="258" spans="2:6" x14ac:dyDescent="0.25">
      <c r="B258" s="2">
        <v>2428</v>
      </c>
      <c r="C258" s="110">
        <v>3031</v>
      </c>
      <c r="D258" s="43" t="s">
        <v>183</v>
      </c>
      <c r="E258" s="109" t="s">
        <v>1146</v>
      </c>
      <c r="F258" s="109" t="s">
        <v>1147</v>
      </c>
    </row>
    <row r="259" spans="2:6" x14ac:dyDescent="0.25">
      <c r="B259" s="2">
        <v>2429</v>
      </c>
      <c r="C259" s="110">
        <v>3031</v>
      </c>
      <c r="D259" s="43" t="s">
        <v>186</v>
      </c>
      <c r="E259" s="109" t="s">
        <v>1148</v>
      </c>
      <c r="F259" s="109" t="s">
        <v>1149</v>
      </c>
    </row>
    <row r="260" spans="2:6" x14ac:dyDescent="0.25">
      <c r="B260" s="2">
        <v>2522</v>
      </c>
      <c r="C260" s="110" t="s">
        <v>100</v>
      </c>
      <c r="D260" s="43" t="s">
        <v>163</v>
      </c>
      <c r="E260" s="109" t="s">
        <v>1150</v>
      </c>
      <c r="F260" s="109" t="s">
        <v>1151</v>
      </c>
    </row>
    <row r="261" spans="2:6" x14ac:dyDescent="0.25">
      <c r="B261" s="2">
        <v>2583</v>
      </c>
      <c r="C261" s="110">
        <v>2048</v>
      </c>
      <c r="D261" s="43" t="s">
        <v>181</v>
      </c>
      <c r="E261" s="109" t="s">
        <v>1152</v>
      </c>
      <c r="F261" s="109" t="s">
        <v>1153</v>
      </c>
    </row>
    <row r="262" spans="2:6" x14ac:dyDescent="0.25">
      <c r="B262" s="2">
        <v>2586</v>
      </c>
      <c r="C262" s="110">
        <v>2048</v>
      </c>
      <c r="D262" s="43" t="s">
        <v>188</v>
      </c>
      <c r="E262" s="109" t="s">
        <v>1154</v>
      </c>
      <c r="F262" s="109" t="s">
        <v>1155</v>
      </c>
    </row>
    <row r="263" spans="2:6" x14ac:dyDescent="0.25">
      <c r="B263" s="2">
        <v>2591</v>
      </c>
      <c r="C263" s="110" t="s">
        <v>101</v>
      </c>
      <c r="D263" s="43" t="s">
        <v>162</v>
      </c>
      <c r="E263" s="109" t="s">
        <v>1156</v>
      </c>
      <c r="F263" s="109" t="s">
        <v>1157</v>
      </c>
    </row>
    <row r="264" spans="2:6" x14ac:dyDescent="0.25">
      <c r="B264" s="2">
        <v>2595</v>
      </c>
      <c r="C264" s="110" t="s">
        <v>101</v>
      </c>
      <c r="D264" s="43" t="s">
        <v>181</v>
      </c>
      <c r="E264" s="109" t="s">
        <v>1158</v>
      </c>
      <c r="F264" s="109" t="s">
        <v>1159</v>
      </c>
    </row>
    <row r="265" spans="2:6" x14ac:dyDescent="0.25">
      <c r="B265" s="2">
        <v>2597</v>
      </c>
      <c r="C265" s="110" t="s">
        <v>101</v>
      </c>
      <c r="D265" s="43" t="s">
        <v>186</v>
      </c>
      <c r="E265" s="109" t="s">
        <v>1160</v>
      </c>
      <c r="F265" s="109" t="s">
        <v>1161</v>
      </c>
    </row>
    <row r="266" spans="2:6" x14ac:dyDescent="0.25">
      <c r="B266" s="2">
        <v>2603</v>
      </c>
      <c r="C266" s="110">
        <v>2049</v>
      </c>
      <c r="D266" s="43" t="s">
        <v>162</v>
      </c>
      <c r="E266" s="109" t="s">
        <v>1162</v>
      </c>
      <c r="F266" s="109" t="s">
        <v>1163</v>
      </c>
    </row>
    <row r="267" spans="2:6" x14ac:dyDescent="0.25">
      <c r="B267" s="2">
        <v>2607</v>
      </c>
      <c r="C267" s="110">
        <v>2049</v>
      </c>
      <c r="D267" s="43" t="s">
        <v>181</v>
      </c>
      <c r="E267" s="109" t="s">
        <v>1164</v>
      </c>
      <c r="F267" s="109" t="s">
        <v>1165</v>
      </c>
    </row>
    <row r="268" spans="2:6" x14ac:dyDescent="0.25">
      <c r="B268" s="2">
        <v>2616</v>
      </c>
      <c r="C268" s="110">
        <v>2050</v>
      </c>
      <c r="D268" s="43" t="s">
        <v>170</v>
      </c>
      <c r="E268" s="109" t="s">
        <v>1166</v>
      </c>
      <c r="F268" s="109" t="s">
        <v>1167</v>
      </c>
    </row>
    <row r="269" spans="2:6" x14ac:dyDescent="0.25">
      <c r="B269" s="2">
        <v>2618</v>
      </c>
      <c r="C269" s="110">
        <v>2050</v>
      </c>
      <c r="D269" s="43" t="s">
        <v>163</v>
      </c>
      <c r="E269" s="109">
        <v>364861.44</v>
      </c>
      <c r="F269" s="109" t="s">
        <v>1168</v>
      </c>
    </row>
    <row r="270" spans="2:6" x14ac:dyDescent="0.25">
      <c r="B270" s="2">
        <v>2619</v>
      </c>
      <c r="C270" s="110">
        <v>2050</v>
      </c>
      <c r="D270" s="43" t="s">
        <v>181</v>
      </c>
      <c r="E270" s="109" t="s">
        <v>1169</v>
      </c>
      <c r="F270" s="109" t="s">
        <v>583</v>
      </c>
    </row>
    <row r="271" spans="2:6" x14ac:dyDescent="0.25">
      <c r="B271" s="2">
        <v>2620</v>
      </c>
      <c r="C271" s="110">
        <v>2050</v>
      </c>
      <c r="D271" s="43" t="s">
        <v>183</v>
      </c>
      <c r="E271" s="109" t="s">
        <v>1170</v>
      </c>
      <c r="F271" s="109" t="s">
        <v>1171</v>
      </c>
    </row>
    <row r="272" spans="2:6" x14ac:dyDescent="0.25">
      <c r="B272" s="2">
        <v>2621</v>
      </c>
      <c r="C272" s="110">
        <v>2050</v>
      </c>
      <c r="D272" s="43" t="s">
        <v>186</v>
      </c>
      <c r="E272" s="109" t="s">
        <v>1172</v>
      </c>
      <c r="F272" s="109" t="s">
        <v>1173</v>
      </c>
    </row>
    <row r="273" spans="2:6" x14ac:dyDescent="0.25">
      <c r="B273" s="2">
        <v>2622</v>
      </c>
      <c r="C273" s="110">
        <v>2050</v>
      </c>
      <c r="D273" s="43" t="s">
        <v>188</v>
      </c>
      <c r="E273" s="109">
        <v>346416.04</v>
      </c>
      <c r="F273" s="109" t="s">
        <v>1174</v>
      </c>
    </row>
    <row r="274" spans="2:6" x14ac:dyDescent="0.25">
      <c r="B274" s="2">
        <v>2626</v>
      </c>
      <c r="C274" s="110">
        <v>2050</v>
      </c>
      <c r="D274" s="43" t="s">
        <v>189</v>
      </c>
      <c r="E274" s="109" t="s">
        <v>1175</v>
      </c>
      <c r="F274" s="109" t="s">
        <v>1176</v>
      </c>
    </row>
    <row r="275" spans="2:6" x14ac:dyDescent="0.25">
      <c r="B275" s="2">
        <v>2635</v>
      </c>
      <c r="C275" s="110">
        <v>2045</v>
      </c>
      <c r="D275" s="43" t="s">
        <v>162</v>
      </c>
      <c r="E275" s="109" t="s">
        <v>1177</v>
      </c>
      <c r="F275" s="109" t="s">
        <v>1178</v>
      </c>
    </row>
    <row r="276" spans="2:6" x14ac:dyDescent="0.25">
      <c r="B276" s="2">
        <v>2639</v>
      </c>
      <c r="C276" s="110">
        <v>2045</v>
      </c>
      <c r="D276" s="43" t="s">
        <v>181</v>
      </c>
      <c r="E276" s="109" t="s">
        <v>1179</v>
      </c>
      <c r="F276" s="109" t="s">
        <v>1180</v>
      </c>
    </row>
    <row r="277" spans="2:6" x14ac:dyDescent="0.25">
      <c r="B277" s="2">
        <v>2651</v>
      </c>
      <c r="C277" s="110" t="s">
        <v>107</v>
      </c>
      <c r="D277" s="43" t="s">
        <v>181</v>
      </c>
      <c r="E277" s="109" t="s">
        <v>1181</v>
      </c>
      <c r="F277" s="109" t="s">
        <v>1182</v>
      </c>
    </row>
    <row r="278" spans="2:6" x14ac:dyDescent="0.25">
      <c r="B278" s="2">
        <v>2662</v>
      </c>
      <c r="C278" s="9" t="s">
        <v>102</v>
      </c>
      <c r="D278" s="43" t="s">
        <v>163</v>
      </c>
      <c r="E278" s="109" t="s">
        <v>1183</v>
      </c>
      <c r="F278" s="109" t="s">
        <v>1184</v>
      </c>
    </row>
    <row r="279" spans="2:6" x14ac:dyDescent="0.25">
      <c r="B279" s="2">
        <v>2663</v>
      </c>
      <c r="C279" s="9" t="s">
        <v>102</v>
      </c>
      <c r="D279" s="43" t="s">
        <v>181</v>
      </c>
      <c r="E279" s="109">
        <v>497556.36</v>
      </c>
      <c r="F279" s="109" t="s">
        <v>1185</v>
      </c>
    </row>
    <row r="280" spans="2:6" x14ac:dyDescent="0.25">
      <c r="B280" s="2">
        <v>2664</v>
      </c>
      <c r="C280" s="9" t="s">
        <v>102</v>
      </c>
      <c r="D280" s="43" t="s">
        <v>183</v>
      </c>
      <c r="E280" s="109" t="s">
        <v>1186</v>
      </c>
      <c r="F280" s="109" t="s">
        <v>1187</v>
      </c>
    </row>
    <row r="281" spans="2:6" x14ac:dyDescent="0.25">
      <c r="B281" s="2">
        <v>2666</v>
      </c>
      <c r="C281" s="9" t="s">
        <v>102</v>
      </c>
      <c r="D281" s="43" t="s">
        <v>188</v>
      </c>
      <c r="E281" s="109" t="s">
        <v>1188</v>
      </c>
      <c r="F281" s="109" t="s">
        <v>1189</v>
      </c>
    </row>
    <row r="282" spans="2:6" x14ac:dyDescent="0.25">
      <c r="B282" s="2">
        <v>2675</v>
      </c>
      <c r="C282" s="9" t="s">
        <v>108</v>
      </c>
      <c r="D282" s="43" t="s">
        <v>181</v>
      </c>
      <c r="E282" s="109" t="s">
        <v>1190</v>
      </c>
      <c r="F282" s="109" t="s">
        <v>1191</v>
      </c>
    </row>
    <row r="283" spans="2:6" x14ac:dyDescent="0.25">
      <c r="B283" s="2">
        <v>2676</v>
      </c>
      <c r="C283" s="9" t="s">
        <v>108</v>
      </c>
      <c r="D283" s="43" t="s">
        <v>183</v>
      </c>
      <c r="E283" s="109" t="s">
        <v>1192</v>
      </c>
      <c r="F283" s="109" t="s">
        <v>1193</v>
      </c>
    </row>
    <row r="284" spans="2:6" x14ac:dyDescent="0.25">
      <c r="B284" s="2">
        <v>2677</v>
      </c>
      <c r="C284" s="9" t="s">
        <v>108</v>
      </c>
      <c r="D284" s="43" t="s">
        <v>186</v>
      </c>
      <c r="E284" s="109" t="s">
        <v>1194</v>
      </c>
      <c r="F284" s="109" t="s">
        <v>1195</v>
      </c>
    </row>
    <row r="285" spans="2:6" x14ac:dyDescent="0.25">
      <c r="B285" s="2">
        <v>2678</v>
      </c>
      <c r="C285" s="9" t="s">
        <v>108</v>
      </c>
      <c r="D285" s="43" t="s">
        <v>188</v>
      </c>
      <c r="E285" s="109" t="s">
        <v>1196</v>
      </c>
      <c r="F285" s="109" t="s">
        <v>1197</v>
      </c>
    </row>
    <row r="286" spans="2:6" x14ac:dyDescent="0.25">
      <c r="B286" s="2">
        <v>2683</v>
      </c>
      <c r="C286" s="9" t="s">
        <v>103</v>
      </c>
      <c r="D286" s="43" t="s">
        <v>162</v>
      </c>
      <c r="E286" s="109" t="s">
        <v>1198</v>
      </c>
      <c r="F286" s="109" t="s">
        <v>1199</v>
      </c>
    </row>
    <row r="287" spans="2:6" x14ac:dyDescent="0.25">
      <c r="B287" s="2">
        <v>2684</v>
      </c>
      <c r="C287" s="9" t="s">
        <v>103</v>
      </c>
      <c r="D287" s="43" t="s">
        <v>170</v>
      </c>
      <c r="E287" s="109" t="s">
        <v>1200</v>
      </c>
      <c r="F287" s="109" t="s">
        <v>1201</v>
      </c>
    </row>
    <row r="288" spans="2:6" x14ac:dyDescent="0.25">
      <c r="B288" s="2">
        <v>2686</v>
      </c>
      <c r="C288" s="9" t="s">
        <v>103</v>
      </c>
      <c r="D288" s="43" t="s">
        <v>163</v>
      </c>
      <c r="E288" s="109" t="s">
        <v>1202</v>
      </c>
      <c r="F288" s="109" t="s">
        <v>1203</v>
      </c>
    </row>
    <row r="289" spans="2:6" x14ac:dyDescent="0.25">
      <c r="B289" s="2">
        <v>2696</v>
      </c>
      <c r="C289" s="8">
        <v>2003</v>
      </c>
      <c r="D289" s="43" t="s">
        <v>170</v>
      </c>
      <c r="E289" s="109" t="s">
        <v>1204</v>
      </c>
      <c r="F289" s="109" t="s">
        <v>1205</v>
      </c>
    </row>
    <row r="290" spans="2:6" x14ac:dyDescent="0.25">
      <c r="B290" s="2">
        <v>2697</v>
      </c>
      <c r="C290" s="8">
        <v>2003</v>
      </c>
      <c r="D290" s="43" t="s">
        <v>178</v>
      </c>
      <c r="E290" s="109" t="s">
        <v>1206</v>
      </c>
      <c r="F290" s="109" t="s">
        <v>1207</v>
      </c>
    </row>
    <row r="291" spans="2:6" x14ac:dyDescent="0.25">
      <c r="B291" s="2">
        <v>2698</v>
      </c>
      <c r="C291" s="8">
        <v>2003</v>
      </c>
      <c r="D291" s="43" t="s">
        <v>163</v>
      </c>
      <c r="E291" s="109" t="s">
        <v>1208</v>
      </c>
      <c r="F291" s="109" t="s">
        <v>1209</v>
      </c>
    </row>
    <row r="292" spans="2:6" x14ac:dyDescent="0.25">
      <c r="B292" s="2">
        <v>2699</v>
      </c>
      <c r="C292" s="8">
        <v>2003</v>
      </c>
      <c r="D292" s="43" t="s">
        <v>181</v>
      </c>
      <c r="E292" s="109" t="s">
        <v>1210</v>
      </c>
      <c r="F292" s="109" t="s">
        <v>1123</v>
      </c>
    </row>
    <row r="293" spans="2:6" x14ac:dyDescent="0.25">
      <c r="B293" s="2">
        <v>2700</v>
      </c>
      <c r="C293" s="8">
        <v>2003</v>
      </c>
      <c r="D293" s="43" t="s">
        <v>183</v>
      </c>
      <c r="E293" s="109" t="s">
        <v>1211</v>
      </c>
      <c r="F293" s="109" t="s">
        <v>1212</v>
      </c>
    </row>
    <row r="294" spans="2:6" x14ac:dyDescent="0.25">
      <c r="B294" s="2">
        <v>2701</v>
      </c>
      <c r="C294" s="8">
        <v>2003</v>
      </c>
      <c r="D294" s="43" t="s">
        <v>186</v>
      </c>
      <c r="E294" s="109">
        <v>475760.92</v>
      </c>
      <c r="F294" s="109">
        <v>157778.29999999999</v>
      </c>
    </row>
    <row r="295" spans="2:6" x14ac:dyDescent="0.25">
      <c r="B295" s="2">
        <v>2706</v>
      </c>
      <c r="C295" s="8">
        <v>2003</v>
      </c>
      <c r="D295" s="43" t="s">
        <v>189</v>
      </c>
      <c r="E295" s="109" t="s">
        <v>1213</v>
      </c>
      <c r="F295" s="109" t="s">
        <v>1214</v>
      </c>
    </row>
    <row r="296" spans="2:6" x14ac:dyDescent="0.25">
      <c r="B296" s="2">
        <v>2710</v>
      </c>
      <c r="C296" s="8">
        <v>2005</v>
      </c>
      <c r="D296" s="43" t="s">
        <v>163</v>
      </c>
      <c r="E296" s="109" t="s">
        <v>1215</v>
      </c>
      <c r="F296" s="109" t="s">
        <v>1216</v>
      </c>
    </row>
    <row r="297" spans="2:6" x14ac:dyDescent="0.25">
      <c r="B297" s="2">
        <v>2711</v>
      </c>
      <c r="C297" s="8">
        <v>2005</v>
      </c>
      <c r="D297" s="43" t="s">
        <v>181</v>
      </c>
      <c r="E297" s="109" t="s">
        <v>1217</v>
      </c>
      <c r="F297" s="109" t="s">
        <v>1185</v>
      </c>
    </row>
    <row r="298" spans="2:6" x14ac:dyDescent="0.25">
      <c r="B298" s="2">
        <v>2713</v>
      </c>
      <c r="C298" s="8">
        <v>2005</v>
      </c>
      <c r="D298" s="43" t="s">
        <v>186</v>
      </c>
      <c r="E298" s="109" t="s">
        <v>1218</v>
      </c>
      <c r="F298" s="109" t="s">
        <v>1219</v>
      </c>
    </row>
    <row r="299" spans="2:6" x14ac:dyDescent="0.25">
      <c r="B299" s="2">
        <v>2714</v>
      </c>
      <c r="C299" s="8">
        <v>2005</v>
      </c>
      <c r="D299" s="43" t="s">
        <v>188</v>
      </c>
      <c r="E299" s="109">
        <v>350933.06</v>
      </c>
      <c r="F299" s="109">
        <v>182834.62</v>
      </c>
    </row>
    <row r="300" spans="2:6" x14ac:dyDescent="0.25">
      <c r="B300" s="2">
        <v>2722</v>
      </c>
      <c r="C300" s="8">
        <v>2006</v>
      </c>
      <c r="D300" s="43" t="s">
        <v>163</v>
      </c>
      <c r="E300" s="109" t="s">
        <v>1220</v>
      </c>
      <c r="F300" s="109" t="s">
        <v>1221</v>
      </c>
    </row>
    <row r="301" spans="2:6" x14ac:dyDescent="0.25">
      <c r="B301" s="2">
        <v>2723</v>
      </c>
      <c r="C301" s="8">
        <v>2006</v>
      </c>
      <c r="D301" s="43" t="s">
        <v>181</v>
      </c>
      <c r="E301" s="109" t="s">
        <v>1118</v>
      </c>
      <c r="F301" s="109" t="s">
        <v>1222</v>
      </c>
    </row>
    <row r="302" spans="2:6" x14ac:dyDescent="0.25">
      <c r="B302" s="2">
        <v>2726</v>
      </c>
      <c r="C302" s="8">
        <v>2006</v>
      </c>
      <c r="D302" s="43" t="s">
        <v>188</v>
      </c>
      <c r="E302" s="109" t="s">
        <v>1223</v>
      </c>
      <c r="F302" s="109" t="s">
        <v>1224</v>
      </c>
    </row>
    <row r="303" spans="2:6" x14ac:dyDescent="0.25">
      <c r="B303" s="2">
        <v>2732</v>
      </c>
      <c r="C303" s="8">
        <v>2007</v>
      </c>
      <c r="D303" s="43" t="s">
        <v>170</v>
      </c>
      <c r="E303" s="109" t="s">
        <v>1225</v>
      </c>
      <c r="F303" s="109" t="s">
        <v>1226</v>
      </c>
    </row>
    <row r="304" spans="2:6" x14ac:dyDescent="0.25">
      <c r="B304" s="2">
        <v>2733</v>
      </c>
      <c r="C304" s="8">
        <v>2007</v>
      </c>
      <c r="D304" s="43" t="s">
        <v>178</v>
      </c>
      <c r="E304" s="109" t="s">
        <v>1227</v>
      </c>
      <c r="F304" s="109" t="s">
        <v>1228</v>
      </c>
    </row>
    <row r="305" spans="2:6" x14ac:dyDescent="0.25">
      <c r="B305" s="2">
        <v>2734</v>
      </c>
      <c r="C305" s="8">
        <v>2007</v>
      </c>
      <c r="D305" s="43" t="s">
        <v>163</v>
      </c>
      <c r="E305" s="109" t="s">
        <v>1229</v>
      </c>
      <c r="F305" s="109" t="s">
        <v>1230</v>
      </c>
    </row>
    <row r="306" spans="2:6" x14ac:dyDescent="0.25">
      <c r="B306" s="2">
        <v>2736</v>
      </c>
      <c r="C306" s="8">
        <v>2007</v>
      </c>
      <c r="D306" s="43" t="s">
        <v>183</v>
      </c>
      <c r="E306" s="109" t="s">
        <v>1231</v>
      </c>
      <c r="F306" s="109" t="s">
        <v>1232</v>
      </c>
    </row>
    <row r="307" spans="2:6" x14ac:dyDescent="0.25">
      <c r="B307" s="2">
        <v>2746</v>
      </c>
      <c r="C307" s="8">
        <v>2008</v>
      </c>
      <c r="D307" s="43" t="s">
        <v>163</v>
      </c>
      <c r="E307" s="109" t="s">
        <v>1233</v>
      </c>
      <c r="F307" s="109" t="s">
        <v>1234</v>
      </c>
    </row>
    <row r="308" spans="2:6" x14ac:dyDescent="0.25">
      <c r="B308" s="2">
        <v>2750</v>
      </c>
      <c r="C308" s="8">
        <v>2008</v>
      </c>
      <c r="D308" s="43" t="s">
        <v>188</v>
      </c>
      <c r="E308" s="109" t="s">
        <v>1235</v>
      </c>
      <c r="F308" s="109" t="s">
        <v>1236</v>
      </c>
    </row>
    <row r="309" spans="2:6" x14ac:dyDescent="0.25">
      <c r="B309" s="2">
        <v>2757</v>
      </c>
      <c r="C309" s="8">
        <v>2009</v>
      </c>
      <c r="D309" s="43" t="s">
        <v>178</v>
      </c>
      <c r="E309" s="109" t="s">
        <v>1237</v>
      </c>
      <c r="F309" s="109" t="s">
        <v>1238</v>
      </c>
    </row>
    <row r="310" spans="2:6" x14ac:dyDescent="0.25">
      <c r="B310" s="2">
        <v>2759</v>
      </c>
      <c r="C310" s="8">
        <v>2009</v>
      </c>
      <c r="D310" s="43" t="s">
        <v>181</v>
      </c>
      <c r="E310" s="109" t="s">
        <v>1239</v>
      </c>
      <c r="F310" s="109" t="s">
        <v>1240</v>
      </c>
    </row>
    <row r="311" spans="2:6" x14ac:dyDescent="0.25">
      <c r="B311" s="2">
        <v>2760</v>
      </c>
      <c r="C311" s="8">
        <v>2009</v>
      </c>
      <c r="D311" s="43" t="s">
        <v>183</v>
      </c>
      <c r="E311" s="109" t="s">
        <v>1241</v>
      </c>
      <c r="F311" s="109" t="s">
        <v>1242</v>
      </c>
    </row>
    <row r="312" spans="2:6" x14ac:dyDescent="0.25">
      <c r="B312" s="2">
        <v>2761</v>
      </c>
      <c r="C312" s="8">
        <v>2009</v>
      </c>
      <c r="D312" s="43" t="s">
        <v>186</v>
      </c>
      <c r="E312" s="109" t="s">
        <v>1243</v>
      </c>
      <c r="F312" s="109" t="s">
        <v>1244</v>
      </c>
    </row>
    <row r="313" spans="2:6" x14ac:dyDescent="0.25">
      <c r="B313" s="2">
        <v>2762</v>
      </c>
      <c r="C313" s="8">
        <v>2009</v>
      </c>
      <c r="D313" s="43" t="s">
        <v>188</v>
      </c>
      <c r="E313" s="109" t="s">
        <v>1245</v>
      </c>
      <c r="F313" s="109" t="s">
        <v>1246</v>
      </c>
    </row>
    <row r="314" spans="2:6" x14ac:dyDescent="0.25">
      <c r="B314" s="2">
        <v>2772</v>
      </c>
      <c r="C314" s="8">
        <v>2010</v>
      </c>
      <c r="D314" s="43" t="s">
        <v>183</v>
      </c>
      <c r="E314" s="109" t="s">
        <v>1247</v>
      </c>
      <c r="F314" s="109" t="s">
        <v>1248</v>
      </c>
    </row>
    <row r="315" spans="2:6" x14ac:dyDescent="0.25">
      <c r="B315" s="2">
        <v>2774</v>
      </c>
      <c r="C315" s="8">
        <v>2010</v>
      </c>
      <c r="D315" s="43" t="s">
        <v>188</v>
      </c>
      <c r="E315" s="109" t="s">
        <v>1249</v>
      </c>
      <c r="F315" s="109" t="s">
        <v>1250</v>
      </c>
    </row>
    <row r="316" spans="2:6" x14ac:dyDescent="0.25">
      <c r="B316" s="92">
        <v>2780</v>
      </c>
      <c r="C316" s="124">
        <v>2044</v>
      </c>
      <c r="D316" s="105" t="s">
        <v>183</v>
      </c>
      <c r="E316" s="89"/>
      <c r="F316" s="89"/>
    </row>
    <row r="317" spans="2:6" x14ac:dyDescent="0.25">
      <c r="B317" s="2">
        <v>2784</v>
      </c>
      <c r="C317" s="8">
        <v>2004</v>
      </c>
      <c r="D317" s="43" t="s">
        <v>163</v>
      </c>
      <c r="E317" s="109" t="s">
        <v>1251</v>
      </c>
      <c r="F317" s="109" t="s">
        <v>1252</v>
      </c>
    </row>
    <row r="318" spans="2:6" x14ac:dyDescent="0.25">
      <c r="B318" s="2">
        <v>2785</v>
      </c>
      <c r="C318" s="8">
        <v>2004</v>
      </c>
      <c r="D318" s="43" t="s">
        <v>181</v>
      </c>
      <c r="E318" s="109" t="s">
        <v>1253</v>
      </c>
      <c r="F318" s="109" t="s">
        <v>1254</v>
      </c>
    </row>
    <row r="319" spans="2:6" x14ac:dyDescent="0.25">
      <c r="B319" s="2">
        <v>2786</v>
      </c>
      <c r="C319" s="8">
        <v>2004</v>
      </c>
      <c r="D319" s="43" t="s">
        <v>183</v>
      </c>
      <c r="E319" s="109" t="s">
        <v>1255</v>
      </c>
      <c r="F319" s="109" t="s">
        <v>1256</v>
      </c>
    </row>
    <row r="320" spans="2:6" x14ac:dyDescent="0.25">
      <c r="B320" s="2">
        <v>2788</v>
      </c>
      <c r="C320" s="8">
        <v>2004</v>
      </c>
      <c r="D320" s="43" t="s">
        <v>188</v>
      </c>
      <c r="E320" s="109" t="s">
        <v>1257</v>
      </c>
      <c r="F320" s="109" t="s">
        <v>1258</v>
      </c>
    </row>
    <row r="321" spans="2:6" x14ac:dyDescent="0.25">
      <c r="B321" s="2">
        <v>2796</v>
      </c>
      <c r="C321" s="8">
        <v>1004</v>
      </c>
      <c r="D321" s="43" t="s">
        <v>163</v>
      </c>
      <c r="E321" s="109" t="s">
        <v>1259</v>
      </c>
      <c r="F321" s="109" t="s">
        <v>1260</v>
      </c>
    </row>
    <row r="322" spans="2:6" x14ac:dyDescent="0.25">
      <c r="B322" s="2">
        <v>2797</v>
      </c>
      <c r="C322" s="8">
        <v>1004</v>
      </c>
      <c r="D322" s="43" t="s">
        <v>181</v>
      </c>
      <c r="E322" s="109" t="s">
        <v>1261</v>
      </c>
      <c r="F322" s="109" t="s">
        <v>1262</v>
      </c>
    </row>
    <row r="323" spans="2:6" x14ac:dyDescent="0.25">
      <c r="B323" s="2">
        <v>2800</v>
      </c>
      <c r="C323" s="8">
        <v>1004</v>
      </c>
      <c r="D323" s="43" t="s">
        <v>188</v>
      </c>
      <c r="E323" s="109" t="s">
        <v>1263</v>
      </c>
      <c r="F323" s="109">
        <v>94471.09</v>
      </c>
    </row>
    <row r="324" spans="2:6" x14ac:dyDescent="0.25">
      <c r="B324" s="2">
        <v>2808</v>
      </c>
      <c r="C324" s="8">
        <v>1005</v>
      </c>
      <c r="D324" s="43" t="s">
        <v>163</v>
      </c>
      <c r="E324" s="109" t="s">
        <v>1264</v>
      </c>
      <c r="F324" s="109" t="s">
        <v>1265</v>
      </c>
    </row>
    <row r="325" spans="2:6" x14ac:dyDescent="0.25">
      <c r="B325" s="2">
        <v>2809</v>
      </c>
      <c r="C325" s="8">
        <v>1005</v>
      </c>
      <c r="D325" s="43" t="s">
        <v>181</v>
      </c>
      <c r="E325" s="109" t="s">
        <v>1266</v>
      </c>
      <c r="F325" s="109" t="s">
        <v>1267</v>
      </c>
    </row>
    <row r="326" spans="2:6" x14ac:dyDescent="0.25">
      <c r="B326" s="2">
        <v>2812</v>
      </c>
      <c r="C326" s="8">
        <v>1005</v>
      </c>
      <c r="D326" s="43" t="s">
        <v>188</v>
      </c>
      <c r="E326" s="109" t="s">
        <v>1268</v>
      </c>
      <c r="F326" s="109" t="s">
        <v>1269</v>
      </c>
    </row>
    <row r="327" spans="2:6" x14ac:dyDescent="0.25">
      <c r="B327" s="2">
        <v>2817</v>
      </c>
      <c r="C327" s="8">
        <v>1006</v>
      </c>
      <c r="D327" s="43" t="s">
        <v>181</v>
      </c>
      <c r="E327" s="109" t="s">
        <v>1270</v>
      </c>
      <c r="F327" s="109" t="s">
        <v>1271</v>
      </c>
    </row>
    <row r="328" spans="2:6" x14ac:dyDescent="0.25">
      <c r="B328" s="2">
        <v>2818</v>
      </c>
      <c r="C328" s="8">
        <v>1006</v>
      </c>
      <c r="D328" s="43" t="s">
        <v>183</v>
      </c>
      <c r="E328" s="109" t="s">
        <v>1272</v>
      </c>
      <c r="F328" s="109" t="s">
        <v>1273</v>
      </c>
    </row>
    <row r="329" spans="2:6" ht="15.75" thickBot="1" x14ac:dyDescent="0.3">
      <c r="B329" s="2">
        <v>2819</v>
      </c>
      <c r="C329" s="14">
        <v>1006</v>
      </c>
      <c r="D329" s="68" t="s">
        <v>186</v>
      </c>
      <c r="E329" s="109" t="s">
        <v>1274</v>
      </c>
      <c r="F329" s="109" t="s">
        <v>1275</v>
      </c>
    </row>
    <row r="330" spans="2:6" x14ac:dyDescent="0.25">
      <c r="B330" s="2">
        <v>2820</v>
      </c>
      <c r="C330" s="3">
        <v>1006</v>
      </c>
      <c r="D330" s="33" t="s">
        <v>188</v>
      </c>
      <c r="E330" s="109" t="s">
        <v>1276</v>
      </c>
      <c r="F330" s="109" t="s">
        <v>1277</v>
      </c>
    </row>
    <row r="331" spans="2:6" x14ac:dyDescent="0.25">
      <c r="B331" s="2">
        <v>2829</v>
      </c>
      <c r="C331" s="8">
        <v>1007</v>
      </c>
      <c r="D331" s="43" t="s">
        <v>181</v>
      </c>
      <c r="E331" s="109" t="s">
        <v>1278</v>
      </c>
      <c r="F331" s="109" t="s">
        <v>1279</v>
      </c>
    </row>
    <row r="332" spans="2:6" x14ac:dyDescent="0.25">
      <c r="B332" s="2">
        <v>2832</v>
      </c>
      <c r="C332" s="8">
        <v>1007</v>
      </c>
      <c r="D332" s="43" t="s">
        <v>188</v>
      </c>
      <c r="E332" s="109" t="s">
        <v>1280</v>
      </c>
      <c r="F332" s="109" t="s">
        <v>1281</v>
      </c>
    </row>
    <row r="333" spans="2:6" x14ac:dyDescent="0.25">
      <c r="B333" s="2">
        <v>2842</v>
      </c>
      <c r="C333" s="8">
        <v>1010</v>
      </c>
      <c r="D333" s="43" t="s">
        <v>183</v>
      </c>
      <c r="E333" s="109" t="s">
        <v>1282</v>
      </c>
      <c r="F333" s="109" t="s">
        <v>1283</v>
      </c>
    </row>
    <row r="334" spans="2:6" x14ac:dyDescent="0.25">
      <c r="B334" s="2">
        <v>2843</v>
      </c>
      <c r="C334" s="8">
        <v>1010</v>
      </c>
      <c r="D334" s="43" t="s">
        <v>186</v>
      </c>
      <c r="E334" s="109" t="s">
        <v>1284</v>
      </c>
      <c r="F334" s="109" t="s">
        <v>1285</v>
      </c>
    </row>
    <row r="335" spans="2:6" x14ac:dyDescent="0.25">
      <c r="B335" s="2">
        <v>2844</v>
      </c>
      <c r="C335" s="8">
        <v>1010</v>
      </c>
      <c r="D335" s="43" t="s">
        <v>188</v>
      </c>
      <c r="E335" s="109" t="s">
        <v>1286</v>
      </c>
      <c r="F335" s="109" t="s">
        <v>1287</v>
      </c>
    </row>
    <row r="336" spans="2:6" x14ac:dyDescent="0.25">
      <c r="B336" s="2">
        <v>2872</v>
      </c>
      <c r="C336" s="8" t="s">
        <v>645</v>
      </c>
      <c r="D336" s="43" t="s">
        <v>163</v>
      </c>
      <c r="E336" s="109" t="s">
        <v>1288</v>
      </c>
      <c r="F336" s="109" t="s">
        <v>1289</v>
      </c>
    </row>
    <row r="337" spans="2:6" x14ac:dyDescent="0.25">
      <c r="B337" s="2">
        <v>2873</v>
      </c>
      <c r="C337" s="8" t="s">
        <v>645</v>
      </c>
      <c r="D337" s="43" t="s">
        <v>181</v>
      </c>
      <c r="E337" s="109" t="s">
        <v>1290</v>
      </c>
      <c r="F337" s="109" t="s">
        <v>1291</v>
      </c>
    </row>
    <row r="338" spans="2:6" x14ac:dyDescent="0.25">
      <c r="B338" s="2">
        <v>2876</v>
      </c>
      <c r="C338" s="8" t="s">
        <v>645</v>
      </c>
      <c r="D338" s="43" t="s">
        <v>188</v>
      </c>
      <c r="E338" s="109" t="s">
        <v>1292</v>
      </c>
      <c r="F338" s="109" t="s">
        <v>1293</v>
      </c>
    </row>
    <row r="339" spans="2:6" x14ac:dyDescent="0.25">
      <c r="B339" s="2">
        <v>2885</v>
      </c>
      <c r="C339" s="8" t="s">
        <v>646</v>
      </c>
      <c r="D339" s="43" t="s">
        <v>181</v>
      </c>
      <c r="E339" s="109" t="s">
        <v>1294</v>
      </c>
      <c r="F339" s="109" t="s">
        <v>1295</v>
      </c>
    </row>
    <row r="340" spans="2:6" x14ac:dyDescent="0.25">
      <c r="B340" s="2">
        <v>2888</v>
      </c>
      <c r="C340" s="8" t="s">
        <v>646</v>
      </c>
      <c r="D340" s="43" t="s">
        <v>188</v>
      </c>
      <c r="E340" s="109" t="s">
        <v>1296</v>
      </c>
      <c r="F340" s="109" t="s">
        <v>1297</v>
      </c>
    </row>
    <row r="341" spans="2:6" x14ac:dyDescent="0.25">
      <c r="B341" s="2">
        <v>2893</v>
      </c>
      <c r="C341" s="8" t="s">
        <v>647</v>
      </c>
      <c r="D341" s="43" t="s">
        <v>181</v>
      </c>
      <c r="E341" s="109" t="s">
        <v>1298</v>
      </c>
      <c r="F341" s="109" t="s">
        <v>1299</v>
      </c>
    </row>
    <row r="342" spans="2:6" x14ac:dyDescent="0.25">
      <c r="B342" s="2">
        <v>2894</v>
      </c>
      <c r="C342" s="8" t="s">
        <v>647</v>
      </c>
      <c r="D342" s="43" t="s">
        <v>183</v>
      </c>
      <c r="E342" s="109" t="s">
        <v>1300</v>
      </c>
      <c r="F342" s="109" t="s">
        <v>1301</v>
      </c>
    </row>
    <row r="343" spans="2:6" x14ac:dyDescent="0.25">
      <c r="B343" s="2">
        <v>2895</v>
      </c>
      <c r="C343" s="8" t="s">
        <v>647</v>
      </c>
      <c r="D343" s="43" t="s">
        <v>188</v>
      </c>
      <c r="E343" s="109" t="s">
        <v>1302</v>
      </c>
      <c r="F343" s="109" t="s">
        <v>1303</v>
      </c>
    </row>
    <row r="344" spans="2:6" x14ac:dyDescent="0.25">
      <c r="B344" s="2">
        <v>2902</v>
      </c>
      <c r="C344" s="8" t="s">
        <v>648</v>
      </c>
      <c r="D344" s="43" t="s">
        <v>183</v>
      </c>
      <c r="E344" s="109" t="s">
        <v>1304</v>
      </c>
      <c r="F344" s="109" t="s">
        <v>1305</v>
      </c>
    </row>
    <row r="345" spans="2:6" x14ac:dyDescent="0.25">
      <c r="B345" s="92">
        <v>2903</v>
      </c>
      <c r="C345" s="124" t="s">
        <v>648</v>
      </c>
      <c r="D345" s="105" t="s">
        <v>186</v>
      </c>
      <c r="E345" s="89"/>
      <c r="F345" s="89"/>
    </row>
    <row r="346" spans="2:6" x14ac:dyDescent="0.25">
      <c r="B346" s="2">
        <v>2904</v>
      </c>
      <c r="C346" s="8" t="s">
        <v>648</v>
      </c>
      <c r="D346" s="43" t="s">
        <v>188</v>
      </c>
      <c r="E346" s="109" t="s">
        <v>1306</v>
      </c>
      <c r="F346" s="109" t="s">
        <v>1307</v>
      </c>
    </row>
    <row r="347" spans="2:6" x14ac:dyDescent="0.25">
      <c r="B347" s="92">
        <v>2909</v>
      </c>
      <c r="C347" s="124" t="s">
        <v>649</v>
      </c>
      <c r="D347" s="105" t="s">
        <v>181</v>
      </c>
      <c r="E347" s="89"/>
      <c r="F347" s="89"/>
    </row>
    <row r="348" spans="2:6" x14ac:dyDescent="0.25">
      <c r="B348" s="92">
        <v>2912</v>
      </c>
      <c r="C348" s="124" t="s">
        <v>649</v>
      </c>
      <c r="D348" s="105" t="s">
        <v>188</v>
      </c>
      <c r="E348" s="89"/>
      <c r="F348" s="89"/>
    </row>
    <row r="349" spans="2:6" x14ac:dyDescent="0.25">
      <c r="B349" s="2">
        <v>2913</v>
      </c>
      <c r="C349" s="8">
        <v>1008</v>
      </c>
      <c r="D349" s="43" t="s">
        <v>181</v>
      </c>
      <c r="E349" s="109" t="s">
        <v>1308</v>
      </c>
      <c r="F349" s="109" t="s">
        <v>1309</v>
      </c>
    </row>
    <row r="350" spans="2:6" x14ac:dyDescent="0.25">
      <c r="B350" s="2">
        <v>2915</v>
      </c>
      <c r="C350" s="8">
        <v>1008</v>
      </c>
      <c r="D350" s="43" t="s">
        <v>188</v>
      </c>
      <c r="E350" s="109" t="s">
        <v>1310</v>
      </c>
      <c r="F350" s="109" t="s">
        <v>1311</v>
      </c>
    </row>
    <row r="351" spans="2:6" x14ac:dyDescent="0.25">
      <c r="B351" s="2">
        <v>2935</v>
      </c>
      <c r="C351" s="8">
        <v>2002</v>
      </c>
      <c r="D351" s="43" t="s">
        <v>163</v>
      </c>
      <c r="E351" s="109" t="s">
        <v>1312</v>
      </c>
      <c r="F351" s="109" t="s">
        <v>1313</v>
      </c>
    </row>
    <row r="352" spans="2:6" x14ac:dyDescent="0.25">
      <c r="B352" s="2">
        <v>2945</v>
      </c>
      <c r="C352" s="8">
        <v>1003</v>
      </c>
      <c r="D352" s="43" t="s">
        <v>170</v>
      </c>
      <c r="E352" s="109" t="s">
        <v>1314</v>
      </c>
      <c r="F352" s="109" t="s">
        <v>1315</v>
      </c>
    </row>
    <row r="353" spans="2:6" x14ac:dyDescent="0.25">
      <c r="B353" s="2">
        <v>2947</v>
      </c>
      <c r="C353" s="8">
        <v>1003</v>
      </c>
      <c r="D353" s="43" t="s">
        <v>163</v>
      </c>
      <c r="E353" s="109" t="s">
        <v>1316</v>
      </c>
      <c r="F353" s="109" t="s">
        <v>1317</v>
      </c>
    </row>
    <row r="354" spans="2:6" x14ac:dyDescent="0.25">
      <c r="B354" s="2">
        <v>2951</v>
      </c>
      <c r="C354" s="8">
        <v>1003</v>
      </c>
      <c r="D354" s="43" t="s">
        <v>188</v>
      </c>
      <c r="E354" s="109" t="s">
        <v>1318</v>
      </c>
      <c r="F354" s="109" t="s">
        <v>1319</v>
      </c>
    </row>
    <row r="355" spans="2:6" ht="15.75" thickBot="1" x14ac:dyDescent="0.3">
      <c r="B355" s="2">
        <v>2959</v>
      </c>
      <c r="C355" s="14">
        <v>1001</v>
      </c>
      <c r="D355" s="68" t="s">
        <v>163</v>
      </c>
      <c r="E355" s="109" t="s">
        <v>1320</v>
      </c>
      <c r="F355" s="109" t="s">
        <v>1321</v>
      </c>
    </row>
    <row r="356" spans="2:6" x14ac:dyDescent="0.25">
      <c r="C356"/>
    </row>
    <row r="357" spans="2:6" x14ac:dyDescent="0.25">
      <c r="C357"/>
    </row>
    <row r="358" spans="2:6" x14ac:dyDescent="0.25">
      <c r="C358"/>
    </row>
    <row r="359" spans="2:6" x14ac:dyDescent="0.25">
      <c r="C359"/>
    </row>
    <row r="360" spans="2:6" x14ac:dyDescent="0.25">
      <c r="C360"/>
    </row>
    <row r="361" spans="2:6" x14ac:dyDescent="0.25">
      <c r="C361"/>
    </row>
    <row r="362" spans="2:6" x14ac:dyDescent="0.25">
      <c r="C362"/>
    </row>
    <row r="363" spans="2:6" x14ac:dyDescent="0.25">
      <c r="C363"/>
    </row>
    <row r="364" spans="2:6" x14ac:dyDescent="0.25">
      <c r="C364"/>
    </row>
    <row r="365" spans="2:6" x14ac:dyDescent="0.25">
      <c r="C365"/>
    </row>
    <row r="366" spans="2:6" x14ac:dyDescent="0.25">
      <c r="C366"/>
    </row>
    <row r="367" spans="2:6" x14ac:dyDescent="0.25">
      <c r="C367"/>
    </row>
    <row r="368" spans="2:6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BS65"/>
  <sheetViews>
    <sheetView topLeftCell="AR1" zoomScale="70" zoomScaleNormal="70" workbookViewId="0">
      <selection activeCell="BC33" sqref="BC33"/>
    </sheetView>
  </sheetViews>
  <sheetFormatPr defaultRowHeight="15" x14ac:dyDescent="0.25"/>
  <cols>
    <col min="5" max="5" width="19" bestFit="1" customWidth="1"/>
    <col min="7" max="7" width="19" bestFit="1" customWidth="1"/>
    <col min="9" max="9" width="19" bestFit="1" customWidth="1"/>
    <col min="11" max="11" width="19" bestFit="1" customWidth="1"/>
    <col min="13" max="13" width="19" bestFit="1" customWidth="1"/>
    <col min="15" max="15" width="19" bestFit="1" customWidth="1"/>
    <col min="17" max="17" width="19" bestFit="1" customWidth="1"/>
    <col min="19" max="19" width="19" bestFit="1" customWidth="1"/>
    <col min="21" max="21" width="19" bestFit="1" customWidth="1"/>
    <col min="23" max="23" width="19" bestFit="1" customWidth="1"/>
    <col min="25" max="25" width="19" bestFit="1" customWidth="1"/>
    <col min="27" max="27" width="19" bestFit="1" customWidth="1"/>
    <col min="33" max="33" width="19" bestFit="1" customWidth="1"/>
    <col min="35" max="35" width="19" bestFit="1" customWidth="1"/>
    <col min="37" max="37" width="19" bestFit="1" customWidth="1"/>
    <col min="39" max="39" width="19" bestFit="1" customWidth="1"/>
    <col min="41" max="41" width="19" bestFit="1" customWidth="1"/>
    <col min="43" max="43" width="19" bestFit="1" customWidth="1"/>
    <col min="45" max="45" width="19" bestFit="1" customWidth="1"/>
    <col min="47" max="47" width="19" bestFit="1" customWidth="1"/>
    <col min="49" max="49" width="19" bestFit="1" customWidth="1"/>
    <col min="51" max="51" width="19" bestFit="1" customWidth="1"/>
    <col min="53" max="53" width="19" bestFit="1" customWidth="1"/>
    <col min="55" max="55" width="19" bestFit="1" customWidth="1"/>
  </cols>
  <sheetData>
    <row r="2" spans="2:71" ht="15.75" thickBot="1" x14ac:dyDescent="0.3">
      <c r="C2" s="1" t="s">
        <v>577</v>
      </c>
      <c r="D2" s="2">
        <v>1</v>
      </c>
      <c r="E2" s="2"/>
      <c r="F2" s="2">
        <v>2</v>
      </c>
      <c r="G2" s="2"/>
      <c r="H2" s="2">
        <v>3</v>
      </c>
      <c r="I2" s="2"/>
      <c r="J2" s="2">
        <v>4</v>
      </c>
      <c r="K2" s="2"/>
      <c r="L2" s="2">
        <v>5</v>
      </c>
      <c r="M2" s="2"/>
      <c r="N2" s="2">
        <v>6</v>
      </c>
      <c r="O2" s="2"/>
      <c r="P2" s="2">
        <v>7</v>
      </c>
      <c r="Q2" s="2"/>
      <c r="R2" s="2">
        <v>8</v>
      </c>
      <c r="S2" s="2"/>
      <c r="T2" s="2">
        <v>9</v>
      </c>
      <c r="U2" s="2"/>
      <c r="V2" s="2">
        <v>10</v>
      </c>
      <c r="W2" s="2"/>
      <c r="X2" s="2">
        <v>11</v>
      </c>
      <c r="Y2" s="2"/>
      <c r="Z2" s="2">
        <v>12</v>
      </c>
      <c r="AA2" s="2"/>
      <c r="AE2" s="1">
        <v>1</v>
      </c>
      <c r="AF2" s="2">
        <v>1</v>
      </c>
      <c r="AG2" s="2"/>
      <c r="AH2" s="2">
        <v>2</v>
      </c>
      <c r="AI2" s="2"/>
      <c r="AJ2" s="2">
        <v>3</v>
      </c>
      <c r="AK2" s="2"/>
      <c r="AL2" s="2">
        <v>4</v>
      </c>
      <c r="AM2" s="2"/>
      <c r="AN2" s="2">
        <v>5</v>
      </c>
      <c r="AO2" s="2"/>
      <c r="AP2" s="2">
        <v>6</v>
      </c>
      <c r="AQ2" s="2"/>
      <c r="AR2" s="2">
        <v>7</v>
      </c>
      <c r="AS2" s="2"/>
      <c r="AT2" s="2">
        <v>8</v>
      </c>
      <c r="AU2" s="2"/>
      <c r="AV2" s="2">
        <v>9</v>
      </c>
      <c r="AW2" s="2"/>
      <c r="AX2" s="2">
        <v>10</v>
      </c>
      <c r="AY2" s="2"/>
      <c r="AZ2" s="2">
        <v>11</v>
      </c>
      <c r="BA2" s="2"/>
      <c r="BB2" s="2">
        <v>12</v>
      </c>
      <c r="BC2" s="2"/>
      <c r="BG2" s="1">
        <v>7</v>
      </c>
      <c r="BH2" s="2">
        <v>1</v>
      </c>
      <c r="BI2" s="2">
        <v>2</v>
      </c>
      <c r="BJ2" s="2">
        <v>3</v>
      </c>
      <c r="BK2" s="2">
        <v>4</v>
      </c>
      <c r="BL2" s="2">
        <v>5</v>
      </c>
      <c r="BM2" s="2">
        <v>6</v>
      </c>
      <c r="BN2" s="2">
        <v>7</v>
      </c>
      <c r="BO2" s="2">
        <v>8</v>
      </c>
      <c r="BP2" s="2">
        <v>9</v>
      </c>
      <c r="BQ2" s="2">
        <v>10</v>
      </c>
      <c r="BR2" s="2">
        <v>11</v>
      </c>
      <c r="BS2" s="2">
        <v>12</v>
      </c>
    </row>
    <row r="3" spans="2:71" x14ac:dyDescent="0.25">
      <c r="B3">
        <v>1015545</v>
      </c>
      <c r="C3" s="2" t="s">
        <v>0</v>
      </c>
      <c r="D3" s="3"/>
      <c r="E3" s="4"/>
      <c r="F3" s="4"/>
      <c r="G3" s="4"/>
      <c r="H3" s="4"/>
      <c r="I3" s="4"/>
      <c r="J3" s="39" t="s">
        <v>1</v>
      </c>
      <c r="K3" s="41" t="s">
        <v>162</v>
      </c>
      <c r="L3" s="39" t="s">
        <v>1</v>
      </c>
      <c r="M3" s="41" t="s">
        <v>182</v>
      </c>
      <c r="N3" s="10" t="s">
        <v>50</v>
      </c>
      <c r="O3" s="78" t="s">
        <v>181</v>
      </c>
      <c r="P3" s="39">
        <v>2016</v>
      </c>
      <c r="Q3" s="41" t="s">
        <v>162</v>
      </c>
      <c r="R3" s="39">
        <v>2016</v>
      </c>
      <c r="S3" s="41" t="s">
        <v>184</v>
      </c>
      <c r="T3" s="10" t="s">
        <v>20</v>
      </c>
      <c r="U3" s="43" t="s">
        <v>183</v>
      </c>
      <c r="V3" s="39" t="s">
        <v>2</v>
      </c>
      <c r="W3" s="41" t="s">
        <v>170</v>
      </c>
      <c r="X3" s="39" t="s">
        <v>2</v>
      </c>
      <c r="Y3" s="41" t="s">
        <v>184</v>
      </c>
      <c r="Z3" s="10" t="s">
        <v>21</v>
      </c>
      <c r="AA3" s="43" t="s">
        <v>183</v>
      </c>
      <c r="AE3" s="2" t="s">
        <v>0</v>
      </c>
      <c r="AF3" s="3"/>
      <c r="AG3" s="4"/>
      <c r="AH3" s="4"/>
      <c r="AI3" s="4"/>
      <c r="AJ3" s="4"/>
      <c r="AK3" s="2"/>
      <c r="AL3" s="75" t="s">
        <v>19</v>
      </c>
      <c r="AM3" s="76" t="s">
        <v>170</v>
      </c>
      <c r="AN3" s="75" t="s">
        <v>19</v>
      </c>
      <c r="AO3" s="76" t="s">
        <v>184</v>
      </c>
      <c r="AP3" s="10" t="s">
        <v>22</v>
      </c>
      <c r="AQ3" s="43" t="s">
        <v>184</v>
      </c>
      <c r="AR3" s="39" t="s">
        <v>5</v>
      </c>
      <c r="AS3" s="41" t="s">
        <v>183</v>
      </c>
      <c r="AT3" s="10">
        <v>1031</v>
      </c>
      <c r="AU3" s="43" t="s">
        <v>170</v>
      </c>
      <c r="AV3" s="10">
        <v>1031</v>
      </c>
      <c r="AW3" s="43" t="s">
        <v>184</v>
      </c>
      <c r="AX3" s="39">
        <v>1029</v>
      </c>
      <c r="AY3" s="41" t="s">
        <v>183</v>
      </c>
      <c r="AZ3" s="10" t="s">
        <v>192</v>
      </c>
      <c r="BA3" s="43" t="s">
        <v>183</v>
      </c>
      <c r="BB3" s="75" t="s">
        <v>6</v>
      </c>
      <c r="BC3" s="76" t="s">
        <v>170</v>
      </c>
      <c r="BG3" s="2" t="s">
        <v>0</v>
      </c>
      <c r="BH3" s="3"/>
      <c r="BI3" s="4"/>
      <c r="BJ3" s="4"/>
      <c r="BK3" s="5"/>
      <c r="BL3" s="6"/>
      <c r="BM3" s="6"/>
      <c r="BN3" s="6"/>
      <c r="BO3" s="6"/>
      <c r="BP3" s="6"/>
      <c r="BQ3" s="6"/>
      <c r="BR3" s="6"/>
      <c r="BS3" s="7"/>
    </row>
    <row r="4" spans="2:71" x14ac:dyDescent="0.25">
      <c r="B4">
        <v>1015550</v>
      </c>
      <c r="C4" s="2" t="s">
        <v>9</v>
      </c>
      <c r="D4" s="8"/>
      <c r="E4" s="2"/>
      <c r="F4" s="2"/>
      <c r="G4" s="2"/>
      <c r="H4" s="2"/>
      <c r="I4" s="2"/>
      <c r="J4" s="39" t="s">
        <v>1</v>
      </c>
      <c r="K4" s="41" t="s">
        <v>170</v>
      </c>
      <c r="L4" s="39" t="s">
        <v>1</v>
      </c>
      <c r="M4" s="41" t="s">
        <v>184</v>
      </c>
      <c r="N4" s="10" t="s">
        <v>50</v>
      </c>
      <c r="O4" s="78" t="s">
        <v>183</v>
      </c>
      <c r="P4" s="64">
        <v>2016</v>
      </c>
      <c r="Q4" s="41" t="s">
        <v>170</v>
      </c>
      <c r="R4" s="64">
        <v>2016</v>
      </c>
      <c r="S4" s="41" t="s">
        <v>187</v>
      </c>
      <c r="T4" s="10" t="s">
        <v>20</v>
      </c>
      <c r="U4" s="43" t="s">
        <v>186</v>
      </c>
      <c r="V4" s="39" t="s">
        <v>2</v>
      </c>
      <c r="W4" s="41" t="s">
        <v>178</v>
      </c>
      <c r="X4" s="39" t="s">
        <v>2</v>
      </c>
      <c r="Y4" s="41" t="s">
        <v>187</v>
      </c>
      <c r="Z4" s="10" t="s">
        <v>21</v>
      </c>
      <c r="AA4" s="43" t="s">
        <v>186</v>
      </c>
      <c r="AE4" s="2" t="s">
        <v>9</v>
      </c>
      <c r="AF4" s="8"/>
      <c r="AG4" s="2"/>
      <c r="AH4" s="2"/>
      <c r="AI4" s="2"/>
      <c r="AJ4" s="2"/>
      <c r="AK4" s="2"/>
      <c r="AL4" s="75" t="s">
        <v>19</v>
      </c>
      <c r="AM4" s="76" t="s">
        <v>178</v>
      </c>
      <c r="AN4" s="75" t="s">
        <v>19</v>
      </c>
      <c r="AO4" s="76" t="s">
        <v>187</v>
      </c>
      <c r="AP4" s="10" t="s">
        <v>22</v>
      </c>
      <c r="AQ4" s="43" t="s">
        <v>187</v>
      </c>
      <c r="AR4" s="39" t="s">
        <v>5</v>
      </c>
      <c r="AS4" s="41" t="s">
        <v>186</v>
      </c>
      <c r="AT4" s="10">
        <v>1031</v>
      </c>
      <c r="AU4" s="43" t="s">
        <v>178</v>
      </c>
      <c r="AV4" s="10">
        <v>1031</v>
      </c>
      <c r="AW4" s="43" t="s">
        <v>187</v>
      </c>
      <c r="AX4" s="39">
        <v>1029</v>
      </c>
      <c r="AY4" s="41" t="s">
        <v>186</v>
      </c>
      <c r="AZ4" s="10" t="s">
        <v>192</v>
      </c>
      <c r="BA4" s="43" t="s">
        <v>186</v>
      </c>
      <c r="BB4" s="75" t="s">
        <v>6</v>
      </c>
      <c r="BC4" s="76" t="s">
        <v>178</v>
      </c>
      <c r="BG4" s="2" t="s">
        <v>9</v>
      </c>
      <c r="BH4" s="8"/>
      <c r="BI4" s="2"/>
      <c r="BJ4" s="2"/>
      <c r="BK4" s="9"/>
      <c r="BL4" s="10"/>
      <c r="BM4" s="10"/>
      <c r="BN4" s="10"/>
      <c r="BO4" s="10"/>
      <c r="BP4" s="10"/>
      <c r="BQ4" s="10"/>
      <c r="BR4" s="10"/>
      <c r="BS4" s="11"/>
    </row>
    <row r="5" spans="2:71" x14ac:dyDescent="0.25">
      <c r="B5">
        <v>1015557</v>
      </c>
      <c r="C5" s="2" t="s">
        <v>12</v>
      </c>
      <c r="D5" s="8"/>
      <c r="E5" s="2"/>
      <c r="F5" s="2"/>
      <c r="G5" s="2"/>
      <c r="H5" s="2"/>
      <c r="I5" s="2"/>
      <c r="J5" s="39" t="s">
        <v>1</v>
      </c>
      <c r="K5" s="41" t="s">
        <v>178</v>
      </c>
      <c r="L5" s="39" t="s">
        <v>1</v>
      </c>
      <c r="M5" s="41" t="s">
        <v>187</v>
      </c>
      <c r="N5" s="10" t="s">
        <v>50</v>
      </c>
      <c r="O5" s="78" t="s">
        <v>186</v>
      </c>
      <c r="P5" s="39">
        <v>2016</v>
      </c>
      <c r="Q5" s="41" t="s">
        <v>178</v>
      </c>
      <c r="R5" s="39">
        <v>2016</v>
      </c>
      <c r="S5" s="41" t="s">
        <v>189</v>
      </c>
      <c r="T5" s="10" t="s">
        <v>20</v>
      </c>
      <c r="U5" s="43" t="s">
        <v>188</v>
      </c>
      <c r="V5" s="39" t="s">
        <v>2</v>
      </c>
      <c r="W5" s="41" t="s">
        <v>163</v>
      </c>
      <c r="X5" s="39" t="s">
        <v>2</v>
      </c>
      <c r="Y5" s="41" t="s">
        <v>189</v>
      </c>
      <c r="Z5" s="10" t="s">
        <v>21</v>
      </c>
      <c r="AA5" s="43" t="s">
        <v>188</v>
      </c>
      <c r="AE5" s="2" t="s">
        <v>12</v>
      </c>
      <c r="AF5" s="8"/>
      <c r="AG5" s="2"/>
      <c r="AH5" s="2"/>
      <c r="AI5" s="2"/>
      <c r="AJ5" s="2"/>
      <c r="AK5" s="2"/>
      <c r="AL5" s="75" t="s">
        <v>19</v>
      </c>
      <c r="AM5" s="76" t="s">
        <v>163</v>
      </c>
      <c r="AN5" s="75" t="s">
        <v>19</v>
      </c>
      <c r="AO5" s="76" t="s">
        <v>189</v>
      </c>
      <c r="AP5" s="10" t="s">
        <v>22</v>
      </c>
      <c r="AQ5" s="43" t="s">
        <v>189</v>
      </c>
      <c r="AR5" s="39" t="s">
        <v>5</v>
      </c>
      <c r="AS5" s="41" t="s">
        <v>188</v>
      </c>
      <c r="AT5" s="10">
        <v>1031</v>
      </c>
      <c r="AU5" s="43" t="s">
        <v>163</v>
      </c>
      <c r="AV5" s="10">
        <v>1031</v>
      </c>
      <c r="AW5" s="43" t="s">
        <v>189</v>
      </c>
      <c r="AX5" s="39">
        <v>1029</v>
      </c>
      <c r="AY5" s="41" t="s">
        <v>188</v>
      </c>
      <c r="AZ5" s="10" t="s">
        <v>192</v>
      </c>
      <c r="BA5" s="43" t="s">
        <v>188</v>
      </c>
      <c r="BB5" s="75" t="s">
        <v>6</v>
      </c>
      <c r="BC5" s="76" t="s">
        <v>163</v>
      </c>
      <c r="BG5" s="2" t="s">
        <v>12</v>
      </c>
      <c r="BH5" s="8"/>
      <c r="BI5" s="2"/>
      <c r="BJ5" s="2"/>
      <c r="BK5" s="9"/>
      <c r="BL5" s="10"/>
      <c r="BM5" s="10"/>
      <c r="BN5" s="10"/>
      <c r="BO5" s="10"/>
      <c r="BP5" s="10"/>
      <c r="BQ5" s="10"/>
      <c r="BR5" s="10"/>
      <c r="BS5" s="11"/>
    </row>
    <row r="6" spans="2:71" ht="15.75" thickBot="1" x14ac:dyDescent="0.3">
      <c r="B6">
        <v>1015716</v>
      </c>
      <c r="C6" s="2" t="s">
        <v>15</v>
      </c>
      <c r="D6" s="8"/>
      <c r="E6" s="2"/>
      <c r="F6" s="2"/>
      <c r="G6" s="2"/>
      <c r="H6" s="2"/>
      <c r="I6" s="2"/>
      <c r="J6" s="39" t="s">
        <v>1</v>
      </c>
      <c r="K6" s="41" t="s">
        <v>163</v>
      </c>
      <c r="L6" s="39" t="s">
        <v>1</v>
      </c>
      <c r="M6" s="41" t="s">
        <v>189</v>
      </c>
      <c r="N6" s="10" t="s">
        <v>50</v>
      </c>
      <c r="O6" s="78" t="s">
        <v>188</v>
      </c>
      <c r="P6" s="64">
        <v>2016</v>
      </c>
      <c r="Q6" s="41" t="s">
        <v>163</v>
      </c>
      <c r="R6" s="10" t="s">
        <v>20</v>
      </c>
      <c r="S6" s="43" t="s">
        <v>162</v>
      </c>
      <c r="T6" s="10" t="s">
        <v>20</v>
      </c>
      <c r="U6" s="43" t="s">
        <v>182</v>
      </c>
      <c r="V6" s="39" t="s">
        <v>2</v>
      </c>
      <c r="W6" s="41" t="s">
        <v>181</v>
      </c>
      <c r="X6" s="10" t="s">
        <v>21</v>
      </c>
      <c r="Y6" s="43" t="s">
        <v>162</v>
      </c>
      <c r="Z6" s="10" t="s">
        <v>21</v>
      </c>
      <c r="AA6" s="43" t="s">
        <v>182</v>
      </c>
      <c r="AE6" s="2" t="s">
        <v>15</v>
      </c>
      <c r="AF6" s="8"/>
      <c r="AG6" s="2"/>
      <c r="AH6" s="2"/>
      <c r="AI6" s="2"/>
      <c r="AJ6" s="2"/>
      <c r="AK6" s="2"/>
      <c r="AL6" s="75" t="s">
        <v>19</v>
      </c>
      <c r="AM6" s="76" t="s">
        <v>181</v>
      </c>
      <c r="AN6" s="10" t="s">
        <v>22</v>
      </c>
      <c r="AO6" s="43" t="s">
        <v>181</v>
      </c>
      <c r="AP6" s="39" t="s">
        <v>5</v>
      </c>
      <c r="AQ6" s="41" t="s">
        <v>162</v>
      </c>
      <c r="AR6" s="39" t="s">
        <v>5</v>
      </c>
      <c r="AS6" s="41" t="s">
        <v>182</v>
      </c>
      <c r="AT6" s="10">
        <v>1031</v>
      </c>
      <c r="AU6" s="43" t="s">
        <v>181</v>
      </c>
      <c r="AV6" s="39">
        <v>1029</v>
      </c>
      <c r="AW6" s="41" t="s">
        <v>162</v>
      </c>
      <c r="AX6" s="39">
        <v>1029</v>
      </c>
      <c r="AY6" s="41" t="s">
        <v>182</v>
      </c>
      <c r="AZ6" s="10" t="s">
        <v>192</v>
      </c>
      <c r="BA6" s="43" t="s">
        <v>182</v>
      </c>
      <c r="BB6" s="75" t="s">
        <v>6</v>
      </c>
      <c r="BC6" s="76" t="s">
        <v>181</v>
      </c>
      <c r="BG6" s="2" t="s">
        <v>15</v>
      </c>
      <c r="BH6" s="8"/>
      <c r="BI6" s="2"/>
      <c r="BJ6" s="2"/>
      <c r="BK6" s="9"/>
      <c r="BL6" s="10"/>
      <c r="BM6" s="10"/>
      <c r="BN6" s="10"/>
      <c r="BO6" s="10"/>
      <c r="BP6" s="10"/>
      <c r="BQ6" s="10"/>
      <c r="BR6" s="10"/>
      <c r="BS6" s="11"/>
    </row>
    <row r="7" spans="2:71" x14ac:dyDescent="0.25">
      <c r="C7" s="2" t="s">
        <v>18</v>
      </c>
      <c r="D7" s="8"/>
      <c r="E7" s="2"/>
      <c r="F7" s="2"/>
      <c r="G7" s="2"/>
      <c r="H7" s="2"/>
      <c r="I7" s="2"/>
      <c r="J7" s="39" t="s">
        <v>1</v>
      </c>
      <c r="K7" s="41" t="s">
        <v>181</v>
      </c>
      <c r="L7" s="10" t="s">
        <v>50</v>
      </c>
      <c r="M7" s="78" t="s">
        <v>162</v>
      </c>
      <c r="N7" s="10" t="s">
        <v>50</v>
      </c>
      <c r="O7" s="78" t="s">
        <v>182</v>
      </c>
      <c r="P7" s="39">
        <v>2016</v>
      </c>
      <c r="Q7" s="41" t="s">
        <v>181</v>
      </c>
      <c r="R7" s="10" t="s">
        <v>20</v>
      </c>
      <c r="S7" s="43" t="s">
        <v>170</v>
      </c>
      <c r="T7" s="10" t="s">
        <v>20</v>
      </c>
      <c r="U7" s="43" t="s">
        <v>184</v>
      </c>
      <c r="V7" s="39" t="s">
        <v>2</v>
      </c>
      <c r="W7" s="41" t="s">
        <v>183</v>
      </c>
      <c r="X7" s="10" t="s">
        <v>21</v>
      </c>
      <c r="Y7" s="43" t="s">
        <v>170</v>
      </c>
      <c r="Z7" s="10" t="s">
        <v>21</v>
      </c>
      <c r="AA7" s="43" t="s">
        <v>184</v>
      </c>
      <c r="AE7" s="2" t="s">
        <v>18</v>
      </c>
      <c r="AF7" s="8"/>
      <c r="AG7" s="2"/>
      <c r="AH7" s="2"/>
      <c r="AI7" s="2"/>
      <c r="AJ7" s="2"/>
      <c r="AK7" s="2"/>
      <c r="AL7" s="75" t="s">
        <v>19</v>
      </c>
      <c r="AM7" s="76" t="s">
        <v>183</v>
      </c>
      <c r="AN7" s="10" t="s">
        <v>22</v>
      </c>
      <c r="AO7" s="43" t="s">
        <v>183</v>
      </c>
      <c r="AP7" s="39" t="s">
        <v>5</v>
      </c>
      <c r="AQ7" s="41" t="s">
        <v>170</v>
      </c>
      <c r="AR7" s="39" t="s">
        <v>5</v>
      </c>
      <c r="AS7" s="41" t="s">
        <v>184</v>
      </c>
      <c r="AT7" s="10">
        <v>1031</v>
      </c>
      <c r="AU7" s="43" t="s">
        <v>183</v>
      </c>
      <c r="AV7" s="39">
        <v>1029</v>
      </c>
      <c r="AW7" s="41" t="s">
        <v>170</v>
      </c>
      <c r="AX7" s="39">
        <v>1029</v>
      </c>
      <c r="AY7" s="41" t="s">
        <v>184</v>
      </c>
      <c r="AZ7" s="10" t="s">
        <v>192</v>
      </c>
      <c r="BA7" s="43" t="s">
        <v>184</v>
      </c>
      <c r="BB7" s="75" t="s">
        <v>6</v>
      </c>
      <c r="BC7" s="76" t="s">
        <v>183</v>
      </c>
      <c r="BG7" s="2" t="s">
        <v>18</v>
      </c>
      <c r="BH7" s="8"/>
      <c r="BI7" s="2"/>
      <c r="BJ7" s="2"/>
      <c r="BK7" s="5"/>
      <c r="BL7" s="6"/>
      <c r="BM7" s="4"/>
      <c r="BN7" s="6"/>
      <c r="BO7" s="6"/>
      <c r="BP7" s="6"/>
      <c r="BQ7" s="6"/>
      <c r="BR7" s="6"/>
      <c r="BS7" s="7"/>
    </row>
    <row r="8" spans="2:71" x14ac:dyDescent="0.25">
      <c r="C8" s="2" t="s">
        <v>29</v>
      </c>
      <c r="D8" s="8"/>
      <c r="E8" s="2"/>
      <c r="F8" s="2"/>
      <c r="G8" s="2"/>
      <c r="H8" s="2"/>
      <c r="I8" s="2"/>
      <c r="J8" s="39" t="s">
        <v>1</v>
      </c>
      <c r="K8" s="41" t="s">
        <v>183</v>
      </c>
      <c r="L8" s="10" t="s">
        <v>50</v>
      </c>
      <c r="M8" s="78" t="s">
        <v>170</v>
      </c>
      <c r="N8" s="10" t="s">
        <v>50</v>
      </c>
      <c r="O8" s="78" t="s">
        <v>184</v>
      </c>
      <c r="P8" s="64">
        <v>2016</v>
      </c>
      <c r="Q8" s="41" t="s">
        <v>183</v>
      </c>
      <c r="R8" s="10" t="s">
        <v>20</v>
      </c>
      <c r="S8" s="43" t="s">
        <v>178</v>
      </c>
      <c r="T8" s="10" t="s">
        <v>20</v>
      </c>
      <c r="U8" s="43" t="s">
        <v>187</v>
      </c>
      <c r="V8" s="39" t="s">
        <v>2</v>
      </c>
      <c r="W8" s="41" t="s">
        <v>186</v>
      </c>
      <c r="X8" s="10" t="s">
        <v>21</v>
      </c>
      <c r="Y8" s="43" t="s">
        <v>178</v>
      </c>
      <c r="Z8" s="10" t="s">
        <v>21</v>
      </c>
      <c r="AA8" s="43" t="s">
        <v>187</v>
      </c>
      <c r="AE8" s="2" t="s">
        <v>29</v>
      </c>
      <c r="AF8" s="8"/>
      <c r="AG8" s="2"/>
      <c r="AH8" s="2"/>
      <c r="AI8" s="2"/>
      <c r="AJ8" s="2"/>
      <c r="AK8" s="2"/>
      <c r="AL8" s="75" t="s">
        <v>19</v>
      </c>
      <c r="AM8" s="76" t="s">
        <v>186</v>
      </c>
      <c r="AN8" s="10" t="s">
        <v>22</v>
      </c>
      <c r="AO8" s="43" t="s">
        <v>186</v>
      </c>
      <c r="AP8" s="39" t="s">
        <v>5</v>
      </c>
      <c r="AQ8" s="41" t="s">
        <v>178</v>
      </c>
      <c r="AR8" s="39" t="s">
        <v>5</v>
      </c>
      <c r="AS8" s="41" t="s">
        <v>187</v>
      </c>
      <c r="AT8" s="10">
        <v>1031</v>
      </c>
      <c r="AU8" s="43" t="s">
        <v>186</v>
      </c>
      <c r="AV8" s="39">
        <v>1029</v>
      </c>
      <c r="AW8" s="41" t="s">
        <v>178</v>
      </c>
      <c r="AX8" s="39">
        <v>1029</v>
      </c>
      <c r="AY8" s="41" t="s">
        <v>187</v>
      </c>
      <c r="AZ8" s="10" t="s">
        <v>192</v>
      </c>
      <c r="BA8" s="43" t="s">
        <v>187</v>
      </c>
      <c r="BB8" s="75" t="s">
        <v>6</v>
      </c>
      <c r="BC8" s="76" t="s">
        <v>186</v>
      </c>
      <c r="BG8" s="2" t="s">
        <v>29</v>
      </c>
      <c r="BH8" s="8"/>
      <c r="BI8" s="2"/>
      <c r="BJ8" s="2"/>
      <c r="BK8" s="9"/>
      <c r="BL8" s="10"/>
      <c r="BM8" s="2"/>
      <c r="BN8" s="10"/>
      <c r="BO8" s="10"/>
      <c r="BP8" s="10"/>
      <c r="BQ8" s="10"/>
      <c r="BR8" s="10"/>
      <c r="BS8" s="11"/>
    </row>
    <row r="9" spans="2:71" x14ac:dyDescent="0.25">
      <c r="C9" s="2" t="s">
        <v>34</v>
      </c>
      <c r="D9" s="8"/>
      <c r="E9" s="2"/>
      <c r="F9" s="2"/>
      <c r="G9" s="2"/>
      <c r="H9" s="2"/>
      <c r="I9" s="2"/>
      <c r="J9" s="39" t="s">
        <v>1</v>
      </c>
      <c r="K9" s="41" t="s">
        <v>186</v>
      </c>
      <c r="L9" s="10" t="s">
        <v>50</v>
      </c>
      <c r="M9" s="78" t="s">
        <v>178</v>
      </c>
      <c r="N9" s="10" t="s">
        <v>50</v>
      </c>
      <c r="O9" s="78" t="s">
        <v>187</v>
      </c>
      <c r="P9" s="39">
        <v>2016</v>
      </c>
      <c r="Q9" s="41" t="s">
        <v>188</v>
      </c>
      <c r="R9" s="10" t="s">
        <v>20</v>
      </c>
      <c r="S9" s="43" t="s">
        <v>163</v>
      </c>
      <c r="T9" s="10" t="s">
        <v>20</v>
      </c>
      <c r="U9" s="43" t="s">
        <v>189</v>
      </c>
      <c r="V9" s="39" t="s">
        <v>2</v>
      </c>
      <c r="W9" s="41" t="s">
        <v>188</v>
      </c>
      <c r="X9" s="10" t="s">
        <v>21</v>
      </c>
      <c r="Y9" s="43" t="s">
        <v>163</v>
      </c>
      <c r="Z9" s="10" t="s">
        <v>21</v>
      </c>
      <c r="AA9" s="43" t="s">
        <v>189</v>
      </c>
      <c r="AE9" s="2" t="s">
        <v>34</v>
      </c>
      <c r="AF9" s="8"/>
      <c r="AG9" s="2"/>
      <c r="AH9" s="2"/>
      <c r="AI9" s="2"/>
      <c r="AJ9" s="2"/>
      <c r="AK9" s="2"/>
      <c r="AL9" s="75" t="s">
        <v>19</v>
      </c>
      <c r="AM9" s="76" t="s">
        <v>188</v>
      </c>
      <c r="AN9" s="10" t="s">
        <v>22</v>
      </c>
      <c r="AO9" s="43" t="s">
        <v>188</v>
      </c>
      <c r="AP9" s="39" t="s">
        <v>5</v>
      </c>
      <c r="AQ9" s="41" t="s">
        <v>163</v>
      </c>
      <c r="AR9" s="39" t="s">
        <v>5</v>
      </c>
      <c r="AS9" s="41" t="s">
        <v>189</v>
      </c>
      <c r="AT9" s="10">
        <v>1031</v>
      </c>
      <c r="AU9" s="43" t="s">
        <v>188</v>
      </c>
      <c r="AV9" s="39">
        <v>1029</v>
      </c>
      <c r="AW9" s="41" t="s">
        <v>163</v>
      </c>
      <c r="AX9" s="39">
        <v>1029</v>
      </c>
      <c r="AY9" s="41" t="s">
        <v>189</v>
      </c>
      <c r="AZ9" s="10" t="s">
        <v>192</v>
      </c>
      <c r="BA9" s="43" t="s">
        <v>189</v>
      </c>
      <c r="BB9" s="75" t="s">
        <v>6</v>
      </c>
      <c r="BC9" s="76" t="s">
        <v>188</v>
      </c>
      <c r="BG9" s="2" t="s">
        <v>34</v>
      </c>
      <c r="BH9" s="8"/>
      <c r="BI9" s="2"/>
      <c r="BJ9" s="2"/>
      <c r="BK9" s="9"/>
      <c r="BL9" s="10"/>
      <c r="BM9" s="2"/>
      <c r="BN9" s="10"/>
      <c r="BO9" s="10"/>
      <c r="BP9" s="10"/>
      <c r="BQ9" s="10"/>
      <c r="BR9" s="10"/>
      <c r="BS9" s="11"/>
    </row>
    <row r="10" spans="2:71" ht="15.75" thickBot="1" x14ac:dyDescent="0.3">
      <c r="C10" s="2" t="s">
        <v>39</v>
      </c>
      <c r="D10" s="14"/>
      <c r="E10" s="15"/>
      <c r="F10" s="15"/>
      <c r="G10" s="15"/>
      <c r="H10" s="15"/>
      <c r="I10" s="15"/>
      <c r="J10" s="39" t="s">
        <v>1</v>
      </c>
      <c r="K10" s="41" t="s">
        <v>188</v>
      </c>
      <c r="L10" s="10" t="s">
        <v>50</v>
      </c>
      <c r="M10" s="78" t="s">
        <v>163</v>
      </c>
      <c r="N10" s="10" t="s">
        <v>50</v>
      </c>
      <c r="O10" s="78" t="s">
        <v>189</v>
      </c>
      <c r="P10" s="64">
        <v>2016</v>
      </c>
      <c r="Q10" s="41" t="s">
        <v>182</v>
      </c>
      <c r="R10" s="10" t="s">
        <v>20</v>
      </c>
      <c r="S10" s="43" t="s">
        <v>181</v>
      </c>
      <c r="T10" s="39" t="s">
        <v>2</v>
      </c>
      <c r="U10" s="41" t="s">
        <v>162</v>
      </c>
      <c r="V10" s="39" t="s">
        <v>2</v>
      </c>
      <c r="W10" s="41" t="s">
        <v>182</v>
      </c>
      <c r="X10" s="10" t="s">
        <v>21</v>
      </c>
      <c r="Y10" s="43" t="s">
        <v>181</v>
      </c>
      <c r="Z10" s="39" t="s">
        <v>3</v>
      </c>
      <c r="AA10" s="41" t="s">
        <v>162</v>
      </c>
      <c r="AE10" s="2" t="s">
        <v>39</v>
      </c>
      <c r="AF10" s="14"/>
      <c r="AG10" s="15"/>
      <c r="AH10" s="15"/>
      <c r="AI10" s="15"/>
      <c r="AJ10" s="15"/>
      <c r="AK10" s="2"/>
      <c r="AL10" s="75" t="s">
        <v>19</v>
      </c>
      <c r="AM10" s="76" t="s">
        <v>182</v>
      </c>
      <c r="AN10" s="10" t="s">
        <v>22</v>
      </c>
      <c r="AO10" s="43" t="s">
        <v>182</v>
      </c>
      <c r="AP10" s="39" t="s">
        <v>5</v>
      </c>
      <c r="AQ10" s="41" t="s">
        <v>181</v>
      </c>
      <c r="AR10" s="10">
        <v>1031</v>
      </c>
      <c r="AS10" s="43" t="s">
        <v>162</v>
      </c>
      <c r="AT10" s="10">
        <v>1031</v>
      </c>
      <c r="AU10" s="43" t="s">
        <v>182</v>
      </c>
      <c r="AV10" s="39">
        <v>1029</v>
      </c>
      <c r="AW10" s="41" t="s">
        <v>181</v>
      </c>
      <c r="AX10" s="10" t="s">
        <v>192</v>
      </c>
      <c r="AY10" s="43" t="s">
        <v>181</v>
      </c>
      <c r="AZ10" s="75" t="s">
        <v>6</v>
      </c>
      <c r="BA10" s="76" t="s">
        <v>162</v>
      </c>
      <c r="BB10" s="75" t="s">
        <v>6</v>
      </c>
      <c r="BC10" s="76" t="s">
        <v>182</v>
      </c>
      <c r="BG10" s="2" t="s">
        <v>39</v>
      </c>
      <c r="BH10" s="14"/>
      <c r="BI10" s="15"/>
      <c r="BJ10" s="15"/>
      <c r="BK10" s="16"/>
      <c r="BL10" s="17"/>
      <c r="BM10" s="15"/>
      <c r="BN10" s="17"/>
      <c r="BO10" s="17"/>
      <c r="BP10" s="17"/>
      <c r="BQ10" s="17"/>
      <c r="BR10" s="17"/>
      <c r="BS10" s="18"/>
    </row>
    <row r="13" spans="2:71" ht="15.75" thickBot="1" x14ac:dyDescent="0.3">
      <c r="C13" s="1" t="s">
        <v>578</v>
      </c>
      <c r="D13" s="2">
        <v>1</v>
      </c>
      <c r="E13" s="2"/>
      <c r="F13" s="2">
        <v>2</v>
      </c>
      <c r="G13" s="2"/>
      <c r="H13" s="2">
        <v>3</v>
      </c>
      <c r="I13" s="2"/>
      <c r="J13" s="2">
        <v>4</v>
      </c>
      <c r="K13" s="2"/>
      <c r="L13" s="2">
        <v>5</v>
      </c>
      <c r="M13" s="2"/>
      <c r="N13" s="2">
        <v>6</v>
      </c>
      <c r="O13" s="2"/>
      <c r="P13" s="2">
        <v>7</v>
      </c>
      <c r="Q13" s="2"/>
      <c r="R13" s="2">
        <v>8</v>
      </c>
      <c r="S13" s="2"/>
      <c r="T13" s="2">
        <v>9</v>
      </c>
      <c r="U13" s="2"/>
      <c r="V13" s="2">
        <v>10</v>
      </c>
      <c r="W13" s="2"/>
      <c r="X13" s="2">
        <v>11</v>
      </c>
      <c r="Y13" s="2"/>
      <c r="Z13" s="2">
        <v>12</v>
      </c>
      <c r="AA13" s="2"/>
      <c r="AE13" s="1">
        <v>2</v>
      </c>
      <c r="AF13" s="2">
        <v>1</v>
      </c>
      <c r="AG13" s="2"/>
      <c r="AH13" s="2">
        <v>2</v>
      </c>
      <c r="AI13" s="2"/>
      <c r="AJ13" s="2">
        <v>3</v>
      </c>
      <c r="AK13" s="2"/>
      <c r="AL13" s="2">
        <v>4</v>
      </c>
      <c r="AM13" s="2"/>
      <c r="AN13" s="2">
        <v>5</v>
      </c>
      <c r="AO13" s="2"/>
      <c r="AP13" s="2">
        <v>6</v>
      </c>
      <c r="AQ13" s="2"/>
      <c r="AR13" s="2">
        <v>7</v>
      </c>
      <c r="AS13" s="2"/>
      <c r="AT13" s="2">
        <v>8</v>
      </c>
      <c r="AU13" s="2"/>
      <c r="AV13" s="2">
        <v>9</v>
      </c>
      <c r="AW13" s="2"/>
      <c r="AX13" s="2">
        <v>10</v>
      </c>
      <c r="AY13" s="2"/>
      <c r="AZ13" s="2">
        <v>11</v>
      </c>
      <c r="BA13" s="2"/>
      <c r="BB13" s="2">
        <v>12</v>
      </c>
      <c r="BC13" s="2"/>
      <c r="BG13" s="1">
        <v>8</v>
      </c>
      <c r="BH13" s="2">
        <v>1</v>
      </c>
      <c r="BI13" s="2">
        <v>2</v>
      </c>
      <c r="BJ13" s="2">
        <v>3</v>
      </c>
      <c r="BK13" s="2">
        <v>4</v>
      </c>
      <c r="BL13" s="2">
        <v>5</v>
      </c>
      <c r="BM13" s="2">
        <v>6</v>
      </c>
      <c r="BN13" s="2">
        <v>7</v>
      </c>
      <c r="BO13" s="2">
        <v>8</v>
      </c>
      <c r="BP13" s="2">
        <v>9</v>
      </c>
      <c r="BQ13" s="2">
        <v>10</v>
      </c>
      <c r="BR13" s="2">
        <v>11</v>
      </c>
      <c r="BS13" s="2">
        <v>12</v>
      </c>
    </row>
    <row r="14" spans="2:71" x14ac:dyDescent="0.25">
      <c r="C14" s="2" t="s">
        <v>0</v>
      </c>
      <c r="D14" s="19"/>
      <c r="E14" s="4"/>
      <c r="F14" s="39" t="s">
        <v>3</v>
      </c>
      <c r="G14" s="41" t="s">
        <v>183</v>
      </c>
      <c r="H14" s="10">
        <v>2019</v>
      </c>
      <c r="I14" s="43" t="s">
        <v>170</v>
      </c>
      <c r="J14" s="10">
        <v>2019</v>
      </c>
      <c r="K14" s="43" t="s">
        <v>184</v>
      </c>
      <c r="L14" s="39" t="s">
        <v>4</v>
      </c>
      <c r="M14" s="41" t="s">
        <v>183</v>
      </c>
      <c r="N14" s="10">
        <v>2017</v>
      </c>
      <c r="O14" s="43" t="s">
        <v>170</v>
      </c>
      <c r="P14" s="39">
        <v>2018</v>
      </c>
      <c r="Q14" s="41" t="s">
        <v>170</v>
      </c>
      <c r="R14" s="39">
        <v>2018</v>
      </c>
      <c r="S14" s="41" t="s">
        <v>184</v>
      </c>
      <c r="T14" s="10" t="s">
        <v>23</v>
      </c>
      <c r="U14" s="43" t="s">
        <v>183</v>
      </c>
      <c r="V14" s="64">
        <v>1030</v>
      </c>
      <c r="W14" s="41" t="s">
        <v>170</v>
      </c>
      <c r="X14" s="64">
        <v>1030</v>
      </c>
      <c r="Y14" s="41" t="s">
        <v>184</v>
      </c>
      <c r="Z14" s="10" t="s">
        <v>51</v>
      </c>
      <c r="AA14" s="43" t="s">
        <v>183</v>
      </c>
      <c r="AE14" s="2" t="s">
        <v>0</v>
      </c>
      <c r="AF14" s="19"/>
      <c r="AG14" s="4"/>
      <c r="AH14" s="10" t="s">
        <v>44</v>
      </c>
      <c r="AI14" s="43" t="s">
        <v>170</v>
      </c>
      <c r="AJ14" s="10" t="s">
        <v>44</v>
      </c>
      <c r="AK14" s="43" t="s">
        <v>184</v>
      </c>
      <c r="AL14" s="75" t="s">
        <v>24</v>
      </c>
      <c r="AM14" s="76" t="s">
        <v>183</v>
      </c>
      <c r="AN14" s="10">
        <v>1038</v>
      </c>
      <c r="AO14" s="43" t="s">
        <v>170</v>
      </c>
      <c r="AP14" s="10">
        <v>1038</v>
      </c>
      <c r="AQ14" s="43" t="s">
        <v>184</v>
      </c>
      <c r="AR14" s="39" t="s">
        <v>52</v>
      </c>
      <c r="AS14" s="41" t="s">
        <v>183</v>
      </c>
      <c r="AT14" s="2">
        <v>1024</v>
      </c>
      <c r="AU14" s="43" t="s">
        <v>170</v>
      </c>
      <c r="AV14" s="2">
        <v>1024</v>
      </c>
      <c r="AW14" s="43" t="s">
        <v>184</v>
      </c>
      <c r="AX14" s="39" t="s">
        <v>53</v>
      </c>
      <c r="AY14" s="41" t="s">
        <v>183</v>
      </c>
      <c r="AZ14" s="10" t="s">
        <v>45</v>
      </c>
      <c r="BA14" s="43" t="s">
        <v>170</v>
      </c>
      <c r="BB14" s="10" t="s">
        <v>45</v>
      </c>
      <c r="BC14" s="43" t="s">
        <v>184</v>
      </c>
      <c r="BG14" s="2" t="s">
        <v>0</v>
      </c>
      <c r="BH14" s="19"/>
      <c r="BI14" s="6"/>
      <c r="BJ14" s="6"/>
      <c r="BK14" s="6"/>
      <c r="BL14" s="6"/>
      <c r="BM14" s="6"/>
      <c r="BN14" s="6"/>
      <c r="BO14" s="6"/>
      <c r="BP14" s="6"/>
      <c r="BQ14" s="6"/>
      <c r="BR14" s="4"/>
      <c r="BS14" s="7"/>
    </row>
    <row r="15" spans="2:71" x14ac:dyDescent="0.25">
      <c r="C15" s="2" t="s">
        <v>9</v>
      </c>
      <c r="D15" s="20"/>
      <c r="E15" s="2"/>
      <c r="F15" s="39" t="s">
        <v>3</v>
      </c>
      <c r="G15" s="41" t="s">
        <v>186</v>
      </c>
      <c r="H15" s="10">
        <v>2019</v>
      </c>
      <c r="I15" s="43" t="s">
        <v>178</v>
      </c>
      <c r="J15" s="10">
        <v>2019</v>
      </c>
      <c r="K15" s="43" t="s">
        <v>187</v>
      </c>
      <c r="L15" s="39" t="s">
        <v>4</v>
      </c>
      <c r="M15" s="41" t="s">
        <v>186</v>
      </c>
      <c r="N15" s="10">
        <v>2017</v>
      </c>
      <c r="O15" s="43" t="s">
        <v>178</v>
      </c>
      <c r="P15" s="39">
        <v>2018</v>
      </c>
      <c r="Q15" s="41" t="s">
        <v>178</v>
      </c>
      <c r="R15" s="39">
        <v>2018</v>
      </c>
      <c r="S15" s="41" t="s">
        <v>187</v>
      </c>
      <c r="T15" s="10" t="s">
        <v>23</v>
      </c>
      <c r="U15" s="43" t="s">
        <v>186</v>
      </c>
      <c r="V15" s="64">
        <v>1030</v>
      </c>
      <c r="W15" s="41" t="s">
        <v>178</v>
      </c>
      <c r="X15" s="64">
        <v>1030</v>
      </c>
      <c r="Y15" s="41" t="s">
        <v>187</v>
      </c>
      <c r="Z15" s="10" t="s">
        <v>51</v>
      </c>
      <c r="AA15" s="43" t="s">
        <v>186</v>
      </c>
      <c r="AE15" s="2" t="s">
        <v>9</v>
      </c>
      <c r="AF15" s="20"/>
      <c r="AG15" s="2"/>
      <c r="AH15" s="10" t="s">
        <v>44</v>
      </c>
      <c r="AI15" s="43" t="s">
        <v>178</v>
      </c>
      <c r="AJ15" s="10" t="s">
        <v>44</v>
      </c>
      <c r="AK15" s="43" t="s">
        <v>187</v>
      </c>
      <c r="AL15" s="75" t="s">
        <v>24</v>
      </c>
      <c r="AM15" s="76" t="s">
        <v>186</v>
      </c>
      <c r="AN15" s="10">
        <v>1038</v>
      </c>
      <c r="AO15" s="43" t="s">
        <v>178</v>
      </c>
      <c r="AP15" s="10">
        <v>1038</v>
      </c>
      <c r="AQ15" s="43" t="s">
        <v>187</v>
      </c>
      <c r="AR15" s="39" t="s">
        <v>52</v>
      </c>
      <c r="AS15" s="41" t="s">
        <v>186</v>
      </c>
      <c r="AT15" s="2">
        <v>1024</v>
      </c>
      <c r="AU15" s="43" t="s">
        <v>178</v>
      </c>
      <c r="AV15" s="2">
        <v>1024</v>
      </c>
      <c r="AW15" s="43" t="s">
        <v>187</v>
      </c>
      <c r="AX15" s="39" t="s">
        <v>53</v>
      </c>
      <c r="AY15" s="41" t="s">
        <v>186</v>
      </c>
      <c r="AZ15" s="10" t="s">
        <v>45</v>
      </c>
      <c r="BA15" s="43" t="s">
        <v>178</v>
      </c>
      <c r="BB15" s="10" t="s">
        <v>45</v>
      </c>
      <c r="BC15" s="43" t="s">
        <v>187</v>
      </c>
      <c r="BG15" s="2" t="s">
        <v>9</v>
      </c>
      <c r="BH15" s="20"/>
      <c r="BI15" s="10"/>
      <c r="BJ15" s="10"/>
      <c r="BK15" s="10"/>
      <c r="BL15" s="10"/>
      <c r="BM15" s="10"/>
      <c r="BN15" s="10"/>
      <c r="BO15" s="10"/>
      <c r="BP15" s="10"/>
      <c r="BQ15" s="10"/>
      <c r="BR15" s="2"/>
      <c r="BS15" s="11"/>
    </row>
    <row r="16" spans="2:71" x14ac:dyDescent="0.25">
      <c r="C16" s="2" t="s">
        <v>12</v>
      </c>
      <c r="D16" s="20"/>
      <c r="E16" s="2"/>
      <c r="F16" s="39" t="s">
        <v>3</v>
      </c>
      <c r="G16" s="41" t="s">
        <v>188</v>
      </c>
      <c r="H16" s="10">
        <v>2019</v>
      </c>
      <c r="I16" s="43" t="s">
        <v>163</v>
      </c>
      <c r="J16" s="10">
        <v>2019</v>
      </c>
      <c r="K16" s="43" t="s">
        <v>189</v>
      </c>
      <c r="L16" s="39" t="s">
        <v>4</v>
      </c>
      <c r="M16" s="41" t="s">
        <v>188</v>
      </c>
      <c r="N16" s="10">
        <v>2017</v>
      </c>
      <c r="O16" s="43" t="s">
        <v>163</v>
      </c>
      <c r="P16" s="39">
        <v>2018</v>
      </c>
      <c r="Q16" s="41" t="s">
        <v>163</v>
      </c>
      <c r="R16" s="39">
        <v>2018</v>
      </c>
      <c r="S16" s="41" t="s">
        <v>189</v>
      </c>
      <c r="T16" s="10" t="s">
        <v>23</v>
      </c>
      <c r="U16" s="43" t="s">
        <v>188</v>
      </c>
      <c r="V16" s="64">
        <v>1030</v>
      </c>
      <c r="W16" s="41" t="s">
        <v>163</v>
      </c>
      <c r="X16" s="64">
        <v>1030</v>
      </c>
      <c r="Y16" s="41" t="s">
        <v>189</v>
      </c>
      <c r="Z16" s="10" t="s">
        <v>51</v>
      </c>
      <c r="AA16" s="43" t="s">
        <v>188</v>
      </c>
      <c r="AE16" s="2" t="s">
        <v>12</v>
      </c>
      <c r="AF16" s="20"/>
      <c r="AG16" s="2"/>
      <c r="AH16" s="10" t="s">
        <v>44</v>
      </c>
      <c r="AI16" s="43" t="s">
        <v>163</v>
      </c>
      <c r="AJ16" s="10" t="s">
        <v>44</v>
      </c>
      <c r="AK16" s="43" t="s">
        <v>189</v>
      </c>
      <c r="AL16" s="75" t="s">
        <v>24</v>
      </c>
      <c r="AM16" s="76" t="s">
        <v>188</v>
      </c>
      <c r="AN16" s="10">
        <v>1038</v>
      </c>
      <c r="AO16" s="43" t="s">
        <v>163</v>
      </c>
      <c r="AP16" s="10">
        <v>1038</v>
      </c>
      <c r="AQ16" s="43" t="s">
        <v>189</v>
      </c>
      <c r="AR16" s="39" t="s">
        <v>52</v>
      </c>
      <c r="AS16" s="41" t="s">
        <v>188</v>
      </c>
      <c r="AT16" s="2">
        <v>1024</v>
      </c>
      <c r="AU16" s="43" t="s">
        <v>163</v>
      </c>
      <c r="AV16" s="2">
        <v>1024</v>
      </c>
      <c r="AW16" s="43" t="s">
        <v>189</v>
      </c>
      <c r="AX16" s="39" t="s">
        <v>53</v>
      </c>
      <c r="AY16" s="41" t="s">
        <v>188</v>
      </c>
      <c r="AZ16" s="10" t="s">
        <v>45</v>
      </c>
      <c r="BA16" s="43" t="s">
        <v>163</v>
      </c>
      <c r="BB16" s="10" t="s">
        <v>45</v>
      </c>
      <c r="BC16" s="43" t="s">
        <v>189</v>
      </c>
      <c r="BG16" s="2" t="s">
        <v>12</v>
      </c>
      <c r="BH16" s="20"/>
      <c r="BI16" s="10"/>
      <c r="BJ16" s="10"/>
      <c r="BK16" s="10"/>
      <c r="BL16" s="10"/>
      <c r="BM16" s="10"/>
      <c r="BN16" s="10"/>
      <c r="BO16" s="10"/>
      <c r="BP16" s="10"/>
      <c r="BQ16" s="10"/>
      <c r="BR16" s="2"/>
      <c r="BS16" s="11"/>
    </row>
    <row r="17" spans="3:71" ht="15.75" thickBot="1" x14ac:dyDescent="0.3">
      <c r="C17" s="2" t="s">
        <v>15</v>
      </c>
      <c r="D17" s="20"/>
      <c r="E17" s="2"/>
      <c r="F17" s="39" t="s">
        <v>3</v>
      </c>
      <c r="G17" s="41" t="s">
        <v>182</v>
      </c>
      <c r="H17" s="10">
        <v>2019</v>
      </c>
      <c r="I17" s="43" t="s">
        <v>181</v>
      </c>
      <c r="J17" s="39" t="s">
        <v>4</v>
      </c>
      <c r="K17" s="41" t="s">
        <v>162</v>
      </c>
      <c r="L17" s="39" t="s">
        <v>4</v>
      </c>
      <c r="M17" s="41" t="s">
        <v>182</v>
      </c>
      <c r="N17" s="10">
        <v>2017</v>
      </c>
      <c r="O17" s="43" t="s">
        <v>182</v>
      </c>
      <c r="P17" s="39">
        <v>2018</v>
      </c>
      <c r="Q17" s="41" t="s">
        <v>181</v>
      </c>
      <c r="R17" s="10" t="s">
        <v>23</v>
      </c>
      <c r="S17" s="43" t="s">
        <v>162</v>
      </c>
      <c r="T17" s="10" t="s">
        <v>23</v>
      </c>
      <c r="U17" s="43" t="s">
        <v>182</v>
      </c>
      <c r="V17" s="64">
        <v>1030</v>
      </c>
      <c r="W17" s="41" t="s">
        <v>181</v>
      </c>
      <c r="X17" s="10" t="s">
        <v>51</v>
      </c>
      <c r="Y17" s="43" t="s">
        <v>162</v>
      </c>
      <c r="Z17" s="10" t="s">
        <v>51</v>
      </c>
      <c r="AA17" s="43" t="s">
        <v>182</v>
      </c>
      <c r="AE17" s="2" t="s">
        <v>15</v>
      </c>
      <c r="AF17" s="20"/>
      <c r="AG17" s="2"/>
      <c r="AH17" s="10" t="s">
        <v>44</v>
      </c>
      <c r="AI17" s="43" t="s">
        <v>181</v>
      </c>
      <c r="AJ17" s="75" t="s">
        <v>24</v>
      </c>
      <c r="AK17" s="76" t="s">
        <v>162</v>
      </c>
      <c r="AL17" s="75" t="s">
        <v>24</v>
      </c>
      <c r="AM17" s="76" t="s">
        <v>182</v>
      </c>
      <c r="AN17" s="10">
        <v>1038</v>
      </c>
      <c r="AO17" s="43" t="s">
        <v>181</v>
      </c>
      <c r="AP17" s="39" t="s">
        <v>52</v>
      </c>
      <c r="AQ17" s="41" t="s">
        <v>162</v>
      </c>
      <c r="AR17" s="39" t="s">
        <v>52</v>
      </c>
      <c r="AS17" s="41" t="s">
        <v>182</v>
      </c>
      <c r="AT17" s="2">
        <v>1024</v>
      </c>
      <c r="AU17" s="43" t="s">
        <v>181</v>
      </c>
      <c r="AV17" s="39" t="s">
        <v>53</v>
      </c>
      <c r="AW17" s="41" t="s">
        <v>162</v>
      </c>
      <c r="AX17" s="39" t="s">
        <v>53</v>
      </c>
      <c r="AY17" s="41" t="s">
        <v>182</v>
      </c>
      <c r="AZ17" s="10" t="s">
        <v>45</v>
      </c>
      <c r="BA17" s="43" t="s">
        <v>181</v>
      </c>
      <c r="BB17" s="39">
        <v>1022</v>
      </c>
      <c r="BC17" s="41" t="s">
        <v>162</v>
      </c>
      <c r="BG17" s="2" t="s">
        <v>15</v>
      </c>
      <c r="BH17" s="20"/>
      <c r="BI17" s="10"/>
      <c r="BJ17" s="10"/>
      <c r="BK17" s="10"/>
      <c r="BL17" s="10"/>
      <c r="BM17" s="10"/>
      <c r="BN17" s="10"/>
      <c r="BO17" s="10"/>
      <c r="BP17" s="10"/>
      <c r="BQ17" s="10"/>
      <c r="BR17" s="2"/>
      <c r="BS17" s="11"/>
    </row>
    <row r="18" spans="3:71" x14ac:dyDescent="0.25">
      <c r="C18" s="2" t="s">
        <v>18</v>
      </c>
      <c r="D18" s="39" t="s">
        <v>3</v>
      </c>
      <c r="E18" s="41" t="s">
        <v>170</v>
      </c>
      <c r="F18" s="39" t="s">
        <v>3</v>
      </c>
      <c r="G18" s="41" t="s">
        <v>184</v>
      </c>
      <c r="H18" s="10">
        <v>2019</v>
      </c>
      <c r="I18" s="43" t="s">
        <v>183</v>
      </c>
      <c r="J18" s="39" t="s">
        <v>4</v>
      </c>
      <c r="K18" s="41" t="s">
        <v>170</v>
      </c>
      <c r="L18" s="39" t="s">
        <v>4</v>
      </c>
      <c r="M18" s="41" t="s">
        <v>184</v>
      </c>
      <c r="N18" s="10">
        <v>2017</v>
      </c>
      <c r="O18" s="43" t="s">
        <v>184</v>
      </c>
      <c r="P18" s="39">
        <v>2018</v>
      </c>
      <c r="Q18" s="41" t="s">
        <v>183</v>
      </c>
      <c r="R18" s="10" t="s">
        <v>23</v>
      </c>
      <c r="S18" s="43" t="s">
        <v>170</v>
      </c>
      <c r="T18" s="10" t="s">
        <v>23</v>
      </c>
      <c r="U18" s="43" t="s">
        <v>184</v>
      </c>
      <c r="V18" s="64">
        <v>1030</v>
      </c>
      <c r="W18" s="41" t="s">
        <v>183</v>
      </c>
      <c r="X18" s="10" t="s">
        <v>51</v>
      </c>
      <c r="Y18" s="43" t="s">
        <v>170</v>
      </c>
      <c r="Z18" s="10" t="s">
        <v>51</v>
      </c>
      <c r="AA18" s="43" t="s">
        <v>184</v>
      </c>
      <c r="AE18" s="2" t="s">
        <v>18</v>
      </c>
      <c r="AF18" s="75" t="s">
        <v>6</v>
      </c>
      <c r="AG18" s="76" t="s">
        <v>184</v>
      </c>
      <c r="AH18" s="10" t="s">
        <v>44</v>
      </c>
      <c r="AI18" s="43" t="s">
        <v>183</v>
      </c>
      <c r="AJ18" s="75" t="s">
        <v>24</v>
      </c>
      <c r="AK18" s="76" t="s">
        <v>170</v>
      </c>
      <c r="AL18" s="75" t="s">
        <v>24</v>
      </c>
      <c r="AM18" s="76" t="s">
        <v>184</v>
      </c>
      <c r="AN18" s="10">
        <v>1038</v>
      </c>
      <c r="AO18" s="43" t="s">
        <v>183</v>
      </c>
      <c r="AP18" s="39" t="s">
        <v>52</v>
      </c>
      <c r="AQ18" s="41" t="s">
        <v>170</v>
      </c>
      <c r="AR18" s="39" t="s">
        <v>52</v>
      </c>
      <c r="AS18" s="41" t="s">
        <v>184</v>
      </c>
      <c r="AT18" s="2">
        <v>1024</v>
      </c>
      <c r="AU18" s="43" t="s">
        <v>183</v>
      </c>
      <c r="AV18" s="39" t="s">
        <v>53</v>
      </c>
      <c r="AW18" s="41" t="s">
        <v>170</v>
      </c>
      <c r="AX18" s="39" t="s">
        <v>53</v>
      </c>
      <c r="AY18" s="41" t="s">
        <v>184</v>
      </c>
      <c r="AZ18" s="10" t="s">
        <v>45</v>
      </c>
      <c r="BA18" s="43" t="s">
        <v>183</v>
      </c>
      <c r="BB18" s="39">
        <v>1022</v>
      </c>
      <c r="BC18" s="41" t="s">
        <v>170</v>
      </c>
      <c r="BG18" s="2" t="s">
        <v>18</v>
      </c>
      <c r="BH18" s="5"/>
      <c r="BI18" s="6"/>
      <c r="BJ18" s="6"/>
      <c r="BK18" s="6"/>
      <c r="BL18" s="4"/>
      <c r="BM18" s="6"/>
      <c r="BN18" s="6"/>
      <c r="BO18" s="6"/>
      <c r="BP18" s="6"/>
      <c r="BQ18" s="6"/>
      <c r="BR18" s="4"/>
      <c r="BS18" s="7"/>
    </row>
    <row r="19" spans="3:71" x14ac:dyDescent="0.25">
      <c r="C19" s="2" t="s">
        <v>29</v>
      </c>
      <c r="D19" s="39" t="s">
        <v>3</v>
      </c>
      <c r="E19" s="41" t="s">
        <v>178</v>
      </c>
      <c r="F19" s="39" t="s">
        <v>3</v>
      </c>
      <c r="G19" s="41" t="s">
        <v>187</v>
      </c>
      <c r="H19" s="10">
        <v>2019</v>
      </c>
      <c r="I19" s="43" t="s">
        <v>186</v>
      </c>
      <c r="J19" s="39" t="s">
        <v>4</v>
      </c>
      <c r="K19" s="41" t="s">
        <v>178</v>
      </c>
      <c r="L19" s="39" t="s">
        <v>4</v>
      </c>
      <c r="M19" s="41" t="s">
        <v>187</v>
      </c>
      <c r="N19" s="10">
        <v>2017</v>
      </c>
      <c r="O19" s="43" t="s">
        <v>187</v>
      </c>
      <c r="P19" s="39">
        <v>2018</v>
      </c>
      <c r="Q19" s="41" t="s">
        <v>186</v>
      </c>
      <c r="R19" s="10" t="s">
        <v>23</v>
      </c>
      <c r="S19" s="43" t="s">
        <v>178</v>
      </c>
      <c r="T19" s="10" t="s">
        <v>23</v>
      </c>
      <c r="U19" s="43" t="s">
        <v>187</v>
      </c>
      <c r="V19" s="64">
        <v>1030</v>
      </c>
      <c r="W19" s="41" t="s">
        <v>186</v>
      </c>
      <c r="X19" s="10" t="s">
        <v>51</v>
      </c>
      <c r="Y19" s="43" t="s">
        <v>178</v>
      </c>
      <c r="Z19" s="10" t="s">
        <v>51</v>
      </c>
      <c r="AA19" s="43" t="s">
        <v>187</v>
      </c>
      <c r="AE19" s="2" t="s">
        <v>29</v>
      </c>
      <c r="AF19" s="75" t="s">
        <v>6</v>
      </c>
      <c r="AG19" s="76" t="s">
        <v>187</v>
      </c>
      <c r="AH19" s="10" t="s">
        <v>44</v>
      </c>
      <c r="AI19" s="43" t="s">
        <v>186</v>
      </c>
      <c r="AJ19" s="75" t="s">
        <v>24</v>
      </c>
      <c r="AK19" s="76" t="s">
        <v>178</v>
      </c>
      <c r="AL19" s="75" t="s">
        <v>24</v>
      </c>
      <c r="AM19" s="76" t="s">
        <v>187</v>
      </c>
      <c r="AN19" s="10">
        <v>1038</v>
      </c>
      <c r="AO19" s="43" t="s">
        <v>186</v>
      </c>
      <c r="AP19" s="39" t="s">
        <v>52</v>
      </c>
      <c r="AQ19" s="41" t="s">
        <v>178</v>
      </c>
      <c r="AR19" s="39" t="s">
        <v>52</v>
      </c>
      <c r="AS19" s="41" t="s">
        <v>187</v>
      </c>
      <c r="AT19" s="2">
        <v>1024</v>
      </c>
      <c r="AU19" s="43" t="s">
        <v>186</v>
      </c>
      <c r="AV19" s="39" t="s">
        <v>53</v>
      </c>
      <c r="AW19" s="41" t="s">
        <v>178</v>
      </c>
      <c r="AX19" s="39" t="s">
        <v>53</v>
      </c>
      <c r="AY19" s="41" t="s">
        <v>187</v>
      </c>
      <c r="AZ19" s="10" t="s">
        <v>45</v>
      </c>
      <c r="BA19" s="43" t="s">
        <v>186</v>
      </c>
      <c r="BB19" s="39">
        <v>1022</v>
      </c>
      <c r="BC19" s="41" t="s">
        <v>178</v>
      </c>
      <c r="BG19" s="2" t="s">
        <v>29</v>
      </c>
      <c r="BH19" s="9"/>
      <c r="BI19" s="10"/>
      <c r="BJ19" s="10"/>
      <c r="BK19" s="10"/>
      <c r="BL19" s="2"/>
      <c r="BM19" s="10"/>
      <c r="BN19" s="10"/>
      <c r="BO19" s="10"/>
      <c r="BP19" s="10"/>
      <c r="BQ19" s="10"/>
      <c r="BR19" s="2"/>
      <c r="BS19" s="11"/>
    </row>
    <row r="20" spans="3:71" x14ac:dyDescent="0.25">
      <c r="C20" s="2" t="s">
        <v>34</v>
      </c>
      <c r="D20" s="39" t="s">
        <v>3</v>
      </c>
      <c r="E20" s="41" t="s">
        <v>163</v>
      </c>
      <c r="F20" s="39" t="s">
        <v>3</v>
      </c>
      <c r="G20" s="41" t="s">
        <v>189</v>
      </c>
      <c r="H20" s="10">
        <v>2019</v>
      </c>
      <c r="I20" s="43" t="s">
        <v>188</v>
      </c>
      <c r="J20" s="39" t="s">
        <v>4</v>
      </c>
      <c r="K20" s="41" t="s">
        <v>163</v>
      </c>
      <c r="L20" s="39" t="s">
        <v>4</v>
      </c>
      <c r="M20" s="41" t="s">
        <v>189</v>
      </c>
      <c r="N20" s="10">
        <v>2017</v>
      </c>
      <c r="O20" s="43" t="s">
        <v>189</v>
      </c>
      <c r="P20" s="39">
        <v>2018</v>
      </c>
      <c r="Q20" s="41" t="s">
        <v>188</v>
      </c>
      <c r="R20" s="10" t="s">
        <v>23</v>
      </c>
      <c r="S20" s="43" t="s">
        <v>163</v>
      </c>
      <c r="T20" s="10" t="s">
        <v>23</v>
      </c>
      <c r="U20" s="43" t="s">
        <v>189</v>
      </c>
      <c r="V20" s="64">
        <v>1030</v>
      </c>
      <c r="W20" s="41" t="s">
        <v>188</v>
      </c>
      <c r="X20" s="10" t="s">
        <v>51</v>
      </c>
      <c r="Y20" s="43" t="s">
        <v>163</v>
      </c>
      <c r="Z20" s="10" t="s">
        <v>51</v>
      </c>
      <c r="AA20" s="43" t="s">
        <v>189</v>
      </c>
      <c r="AE20" s="2" t="s">
        <v>34</v>
      </c>
      <c r="AF20" s="75" t="s">
        <v>6</v>
      </c>
      <c r="AG20" s="76" t="s">
        <v>189</v>
      </c>
      <c r="AH20" s="10" t="s">
        <v>44</v>
      </c>
      <c r="AI20" s="43" t="s">
        <v>188</v>
      </c>
      <c r="AJ20" s="75" t="s">
        <v>24</v>
      </c>
      <c r="AK20" s="76" t="s">
        <v>163</v>
      </c>
      <c r="AL20" s="75" t="s">
        <v>24</v>
      </c>
      <c r="AM20" s="76" t="s">
        <v>189</v>
      </c>
      <c r="AN20" s="10">
        <v>1038</v>
      </c>
      <c r="AO20" s="43" t="s">
        <v>188</v>
      </c>
      <c r="AP20" s="39" t="s">
        <v>52</v>
      </c>
      <c r="AQ20" s="41" t="s">
        <v>163</v>
      </c>
      <c r="AR20" s="39" t="s">
        <v>52</v>
      </c>
      <c r="AS20" s="41" t="s">
        <v>189</v>
      </c>
      <c r="AT20" s="2">
        <v>1024</v>
      </c>
      <c r="AU20" s="43" t="s">
        <v>188</v>
      </c>
      <c r="AV20" s="39" t="s">
        <v>53</v>
      </c>
      <c r="AW20" s="41" t="s">
        <v>163</v>
      </c>
      <c r="AX20" s="39" t="s">
        <v>53</v>
      </c>
      <c r="AY20" s="41" t="s">
        <v>189</v>
      </c>
      <c r="AZ20" s="10" t="s">
        <v>45</v>
      </c>
      <c r="BA20" s="43" t="s">
        <v>188</v>
      </c>
      <c r="BB20" s="39">
        <v>1022</v>
      </c>
      <c r="BC20" s="41" t="s">
        <v>163</v>
      </c>
      <c r="BG20" s="2" t="s">
        <v>34</v>
      </c>
      <c r="BH20" s="9"/>
      <c r="BI20" s="10"/>
      <c r="BJ20" s="10"/>
      <c r="BK20" s="10"/>
      <c r="BL20" s="2"/>
      <c r="BM20" s="10"/>
      <c r="BN20" s="10"/>
      <c r="BO20" s="10"/>
      <c r="BP20" s="10"/>
      <c r="BQ20" s="10"/>
      <c r="BR20" s="2"/>
      <c r="BS20" s="11"/>
    </row>
    <row r="21" spans="3:71" ht="15.75" thickBot="1" x14ac:dyDescent="0.3">
      <c r="C21" s="2" t="s">
        <v>39</v>
      </c>
      <c r="D21" s="39" t="s">
        <v>3</v>
      </c>
      <c r="E21" s="41" t="s">
        <v>181</v>
      </c>
      <c r="F21" s="10">
        <v>2019</v>
      </c>
      <c r="G21" s="43" t="s">
        <v>162</v>
      </c>
      <c r="H21" s="10">
        <v>2019</v>
      </c>
      <c r="I21" s="43" t="s">
        <v>182</v>
      </c>
      <c r="J21" s="39" t="s">
        <v>4</v>
      </c>
      <c r="K21" s="41" t="s">
        <v>181</v>
      </c>
      <c r="L21" s="10">
        <v>2017</v>
      </c>
      <c r="M21" s="43" t="s">
        <v>162</v>
      </c>
      <c r="N21" s="39">
        <v>2018</v>
      </c>
      <c r="O21" s="41" t="s">
        <v>162</v>
      </c>
      <c r="P21" s="39">
        <v>2018</v>
      </c>
      <c r="Q21" s="41" t="s">
        <v>182</v>
      </c>
      <c r="R21" s="10" t="s">
        <v>23</v>
      </c>
      <c r="S21" s="43" t="s">
        <v>181</v>
      </c>
      <c r="T21" s="64">
        <v>1030</v>
      </c>
      <c r="U21" s="41" t="s">
        <v>162</v>
      </c>
      <c r="V21" s="64">
        <v>1030</v>
      </c>
      <c r="W21" s="41" t="s">
        <v>182</v>
      </c>
      <c r="X21" s="10" t="s">
        <v>51</v>
      </c>
      <c r="Y21" s="43" t="s">
        <v>181</v>
      </c>
      <c r="Z21" s="75" t="s">
        <v>19</v>
      </c>
      <c r="AA21" s="76" t="s">
        <v>162</v>
      </c>
      <c r="AE21" s="2" t="s">
        <v>39</v>
      </c>
      <c r="AF21" s="10" t="s">
        <v>44</v>
      </c>
      <c r="AG21" s="43" t="s">
        <v>162</v>
      </c>
      <c r="AH21" s="10" t="s">
        <v>44</v>
      </c>
      <c r="AI21" s="43" t="s">
        <v>182</v>
      </c>
      <c r="AJ21" s="75" t="s">
        <v>24</v>
      </c>
      <c r="AK21" s="76" t="s">
        <v>181</v>
      </c>
      <c r="AL21" s="10">
        <v>1038</v>
      </c>
      <c r="AM21" s="43" t="s">
        <v>162</v>
      </c>
      <c r="AN21" s="10">
        <v>1038</v>
      </c>
      <c r="AO21" s="43" t="s">
        <v>182</v>
      </c>
      <c r="AP21" s="39" t="s">
        <v>52</v>
      </c>
      <c r="AQ21" s="41" t="s">
        <v>181</v>
      </c>
      <c r="AR21" s="2">
        <v>1024</v>
      </c>
      <c r="AS21" s="43" t="s">
        <v>162</v>
      </c>
      <c r="AT21" s="2">
        <v>1024</v>
      </c>
      <c r="AU21" s="43" t="s">
        <v>182</v>
      </c>
      <c r="AV21" s="39" t="s">
        <v>53</v>
      </c>
      <c r="AW21" s="41" t="s">
        <v>181</v>
      </c>
      <c r="AX21" s="10" t="s">
        <v>45</v>
      </c>
      <c r="AY21" s="43" t="s">
        <v>162</v>
      </c>
      <c r="AZ21" s="10" t="s">
        <v>45</v>
      </c>
      <c r="BA21" s="43" t="s">
        <v>182</v>
      </c>
      <c r="BB21" s="39">
        <v>1022</v>
      </c>
      <c r="BC21" s="41" t="s">
        <v>181</v>
      </c>
      <c r="BG21" s="2" t="s">
        <v>39</v>
      </c>
      <c r="BH21" s="16"/>
      <c r="BI21" s="17"/>
      <c r="BJ21" s="17"/>
      <c r="BK21" s="17"/>
      <c r="BL21" s="15"/>
      <c r="BM21" s="17"/>
      <c r="BN21" s="17"/>
      <c r="BO21" s="17"/>
      <c r="BP21" s="17"/>
      <c r="BQ21" s="17"/>
      <c r="BR21" s="15"/>
      <c r="BS21" s="18"/>
    </row>
    <row r="24" spans="3:71" ht="15.75" thickBot="1" x14ac:dyDescent="0.3">
      <c r="E24" s="27"/>
      <c r="AE24" s="1">
        <v>3</v>
      </c>
      <c r="AF24" s="2">
        <v>1</v>
      </c>
      <c r="AG24" s="2"/>
      <c r="AH24" s="2">
        <v>2</v>
      </c>
      <c r="AI24" s="2"/>
      <c r="AJ24" s="2">
        <v>3</v>
      </c>
      <c r="AK24" s="2"/>
      <c r="AL24" s="2">
        <v>4</v>
      </c>
      <c r="AM24" s="2"/>
      <c r="AN24" s="2">
        <v>5</v>
      </c>
      <c r="AO24" s="2"/>
      <c r="AP24" s="2">
        <v>6</v>
      </c>
      <c r="AQ24" s="2"/>
      <c r="AR24" s="2">
        <v>7</v>
      </c>
      <c r="AS24" s="2"/>
      <c r="AT24" s="2">
        <v>8</v>
      </c>
      <c r="AU24" s="2"/>
      <c r="AV24" s="2">
        <v>9</v>
      </c>
      <c r="AW24" s="2"/>
      <c r="AX24" s="2">
        <v>10</v>
      </c>
      <c r="AY24" s="2"/>
      <c r="AZ24" s="2">
        <v>11</v>
      </c>
      <c r="BA24" s="2"/>
      <c r="BB24" s="2">
        <v>12</v>
      </c>
      <c r="BC24" s="2"/>
      <c r="BG24" s="1">
        <v>9</v>
      </c>
      <c r="BH24" s="2">
        <v>1</v>
      </c>
      <c r="BI24" s="2">
        <v>2</v>
      </c>
      <c r="BJ24" s="2">
        <v>3</v>
      </c>
      <c r="BK24" s="2">
        <v>4</v>
      </c>
      <c r="BL24" s="2">
        <v>5</v>
      </c>
      <c r="BM24" s="2">
        <v>6</v>
      </c>
      <c r="BN24" s="2">
        <v>7</v>
      </c>
      <c r="BO24" s="2">
        <v>8</v>
      </c>
      <c r="BP24" s="2">
        <v>9</v>
      </c>
      <c r="BQ24" s="2">
        <v>10</v>
      </c>
      <c r="BR24" s="2">
        <v>11</v>
      </c>
      <c r="BS24" s="2">
        <v>12</v>
      </c>
    </row>
    <row r="25" spans="3:71" x14ac:dyDescent="0.25">
      <c r="AE25" s="2" t="s">
        <v>0</v>
      </c>
      <c r="AF25" s="19"/>
      <c r="AG25" s="4"/>
      <c r="AH25" s="39">
        <v>1022</v>
      </c>
      <c r="AI25" s="41" t="s">
        <v>184</v>
      </c>
      <c r="AJ25" s="10">
        <v>1023</v>
      </c>
      <c r="AK25" s="43" t="s">
        <v>183</v>
      </c>
      <c r="AL25" s="39" t="s">
        <v>54</v>
      </c>
      <c r="AM25" s="41" t="s">
        <v>170</v>
      </c>
      <c r="AN25" s="39" t="s">
        <v>54</v>
      </c>
      <c r="AO25" s="41" t="s">
        <v>184</v>
      </c>
      <c r="AP25" s="10" t="s">
        <v>46</v>
      </c>
      <c r="AQ25" s="43" t="s">
        <v>183</v>
      </c>
      <c r="AR25" s="39" t="s">
        <v>55</v>
      </c>
      <c r="AS25" s="41" t="s">
        <v>170</v>
      </c>
      <c r="AT25" s="39" t="s">
        <v>55</v>
      </c>
      <c r="AU25" s="41" t="s">
        <v>184</v>
      </c>
      <c r="AV25" s="10">
        <v>1040</v>
      </c>
      <c r="AW25" s="43" t="s">
        <v>183</v>
      </c>
      <c r="AX25" s="39" t="s">
        <v>56</v>
      </c>
      <c r="AY25" s="41" t="s">
        <v>170</v>
      </c>
      <c r="AZ25" s="39" t="s">
        <v>56</v>
      </c>
      <c r="BA25" s="41" t="s">
        <v>184</v>
      </c>
      <c r="BB25" s="10" t="s">
        <v>47</v>
      </c>
      <c r="BC25" s="43" t="s">
        <v>183</v>
      </c>
      <c r="BG25" s="2" t="s">
        <v>0</v>
      </c>
      <c r="BH25" s="19"/>
      <c r="BI25" s="6"/>
      <c r="BJ25" s="21"/>
      <c r="BK25" s="21"/>
      <c r="BL25" s="4"/>
      <c r="BM25" s="6"/>
      <c r="BN25" s="6"/>
      <c r="BO25" s="6"/>
      <c r="BP25" s="6"/>
      <c r="BQ25" s="4"/>
      <c r="BR25" s="6"/>
      <c r="BS25" s="7"/>
    </row>
    <row r="26" spans="3:71" x14ac:dyDescent="0.25">
      <c r="AE26" s="2" t="s">
        <v>9</v>
      </c>
      <c r="AF26" s="20"/>
      <c r="AG26" s="2"/>
      <c r="AH26" s="39">
        <v>1022</v>
      </c>
      <c r="AI26" s="41" t="s">
        <v>187</v>
      </c>
      <c r="AJ26" s="10">
        <v>1023</v>
      </c>
      <c r="AK26" s="43" t="s">
        <v>186</v>
      </c>
      <c r="AL26" s="39" t="s">
        <v>54</v>
      </c>
      <c r="AM26" s="41" t="s">
        <v>178</v>
      </c>
      <c r="AN26" s="39" t="s">
        <v>54</v>
      </c>
      <c r="AO26" s="41" t="s">
        <v>187</v>
      </c>
      <c r="AP26" s="10" t="s">
        <v>46</v>
      </c>
      <c r="AQ26" s="43" t="s">
        <v>186</v>
      </c>
      <c r="AR26" s="39" t="s">
        <v>55</v>
      </c>
      <c r="AS26" s="41" t="s">
        <v>178</v>
      </c>
      <c r="AT26" s="39" t="s">
        <v>55</v>
      </c>
      <c r="AU26" s="41" t="s">
        <v>187</v>
      </c>
      <c r="AV26" s="10">
        <v>1040</v>
      </c>
      <c r="AW26" s="43" t="s">
        <v>186</v>
      </c>
      <c r="AX26" s="39" t="s">
        <v>56</v>
      </c>
      <c r="AY26" s="41" t="s">
        <v>178</v>
      </c>
      <c r="AZ26" s="39" t="s">
        <v>56</v>
      </c>
      <c r="BA26" s="41" t="s">
        <v>187</v>
      </c>
      <c r="BB26" s="10" t="s">
        <v>47</v>
      </c>
      <c r="BC26" s="43" t="s">
        <v>188</v>
      </c>
      <c r="BG26" s="2" t="s">
        <v>9</v>
      </c>
      <c r="BH26" s="20"/>
      <c r="BI26" s="10"/>
      <c r="BJ26" s="12"/>
      <c r="BK26" s="12"/>
      <c r="BL26" s="2"/>
      <c r="BM26" s="10"/>
      <c r="BN26" s="10"/>
      <c r="BO26" s="10"/>
      <c r="BP26" s="10"/>
      <c r="BQ26" s="2"/>
      <c r="BR26" s="10"/>
      <c r="BS26" s="11"/>
    </row>
    <row r="27" spans="3:71" x14ac:dyDescent="0.25">
      <c r="AE27" s="2" t="s">
        <v>12</v>
      </c>
      <c r="AF27" s="20"/>
      <c r="AG27" s="2"/>
      <c r="AH27" s="39">
        <v>1022</v>
      </c>
      <c r="AI27" s="41" t="s">
        <v>189</v>
      </c>
      <c r="AJ27" s="10">
        <v>1023</v>
      </c>
      <c r="AK27" s="43" t="s">
        <v>188</v>
      </c>
      <c r="AL27" s="39" t="s">
        <v>54</v>
      </c>
      <c r="AM27" s="41" t="s">
        <v>163</v>
      </c>
      <c r="AN27" s="39" t="s">
        <v>54</v>
      </c>
      <c r="AO27" s="41" t="s">
        <v>189</v>
      </c>
      <c r="AP27" s="10" t="s">
        <v>46</v>
      </c>
      <c r="AQ27" s="43" t="s">
        <v>188</v>
      </c>
      <c r="AR27" s="39" t="s">
        <v>55</v>
      </c>
      <c r="AS27" s="41" t="s">
        <v>163</v>
      </c>
      <c r="AT27" s="39" t="s">
        <v>55</v>
      </c>
      <c r="AU27" s="41" t="s">
        <v>189</v>
      </c>
      <c r="AV27" s="10">
        <v>1040</v>
      </c>
      <c r="AW27" s="43" t="s">
        <v>188</v>
      </c>
      <c r="AX27" s="39" t="s">
        <v>56</v>
      </c>
      <c r="AY27" s="41" t="s">
        <v>163</v>
      </c>
      <c r="AZ27" s="39" t="s">
        <v>56</v>
      </c>
      <c r="BA27" s="41" t="s">
        <v>189</v>
      </c>
      <c r="BB27" s="10" t="s">
        <v>47</v>
      </c>
      <c r="BC27" s="43" t="s">
        <v>182</v>
      </c>
      <c r="BG27" s="2" t="s">
        <v>12</v>
      </c>
      <c r="BH27" s="20"/>
      <c r="BI27" s="10"/>
      <c r="BJ27" s="12"/>
      <c r="BK27" s="12"/>
      <c r="BL27" s="2"/>
      <c r="BM27" s="10"/>
      <c r="BN27" s="10"/>
      <c r="BO27" s="10"/>
      <c r="BP27" s="10"/>
      <c r="BQ27" s="2"/>
      <c r="BR27" s="10"/>
      <c r="BS27" s="11"/>
    </row>
    <row r="28" spans="3:71" ht="15.75" thickBot="1" x14ac:dyDescent="0.3">
      <c r="AE28" s="2" t="s">
        <v>15</v>
      </c>
      <c r="AF28" s="20"/>
      <c r="AG28" s="2"/>
      <c r="AH28" s="10">
        <v>1023</v>
      </c>
      <c r="AI28" s="43" t="s">
        <v>162</v>
      </c>
      <c r="AJ28" s="10">
        <v>1023</v>
      </c>
      <c r="AK28" s="43" t="s">
        <v>182</v>
      </c>
      <c r="AL28" s="39" t="s">
        <v>54</v>
      </c>
      <c r="AM28" s="41" t="s">
        <v>181</v>
      </c>
      <c r="AN28" s="10" t="s">
        <v>46</v>
      </c>
      <c r="AO28" s="43" t="s">
        <v>162</v>
      </c>
      <c r="AP28" s="10" t="s">
        <v>46</v>
      </c>
      <c r="AQ28" s="43" t="s">
        <v>182</v>
      </c>
      <c r="AR28" s="39" t="s">
        <v>55</v>
      </c>
      <c r="AS28" s="41" t="s">
        <v>181</v>
      </c>
      <c r="AT28" s="10">
        <v>1040</v>
      </c>
      <c r="AU28" s="43" t="s">
        <v>162</v>
      </c>
      <c r="AV28" s="10">
        <v>1040</v>
      </c>
      <c r="AW28" s="43" t="s">
        <v>182</v>
      </c>
      <c r="AX28" s="39" t="s">
        <v>56</v>
      </c>
      <c r="AY28" s="41" t="s">
        <v>181</v>
      </c>
      <c r="AZ28" s="10" t="s">
        <v>47</v>
      </c>
      <c r="BA28" s="43" t="s">
        <v>162</v>
      </c>
      <c r="BB28" s="10" t="s">
        <v>47</v>
      </c>
      <c r="BC28" s="43" t="s">
        <v>184</v>
      </c>
      <c r="BG28" s="2" t="s">
        <v>15</v>
      </c>
      <c r="BH28" s="20"/>
      <c r="BI28" s="10"/>
      <c r="BJ28" s="12"/>
      <c r="BK28" s="12"/>
      <c r="BL28" s="2"/>
      <c r="BM28" s="10"/>
      <c r="BN28" s="10"/>
      <c r="BO28" s="10"/>
      <c r="BP28" s="10"/>
      <c r="BQ28" s="2"/>
      <c r="BR28" s="10"/>
      <c r="BS28" s="11"/>
    </row>
    <row r="29" spans="3:71" x14ac:dyDescent="0.25">
      <c r="AE29" s="2" t="s">
        <v>18</v>
      </c>
      <c r="AF29" s="39">
        <v>1022</v>
      </c>
      <c r="AG29" s="41" t="s">
        <v>183</v>
      </c>
      <c r="AH29" s="10">
        <v>1023</v>
      </c>
      <c r="AI29" s="43" t="s">
        <v>170</v>
      </c>
      <c r="AJ29" s="10">
        <v>1023</v>
      </c>
      <c r="AK29" s="43" t="s">
        <v>184</v>
      </c>
      <c r="AL29" s="39" t="s">
        <v>54</v>
      </c>
      <c r="AM29" s="41" t="s">
        <v>183</v>
      </c>
      <c r="AN29" s="10" t="s">
        <v>46</v>
      </c>
      <c r="AO29" s="43" t="s">
        <v>170</v>
      </c>
      <c r="AP29" s="10" t="s">
        <v>46</v>
      </c>
      <c r="AQ29" s="43" t="s">
        <v>184</v>
      </c>
      <c r="AR29" s="39" t="s">
        <v>55</v>
      </c>
      <c r="AS29" s="41" t="s">
        <v>183</v>
      </c>
      <c r="AT29" s="10">
        <v>1040</v>
      </c>
      <c r="AU29" s="43" t="s">
        <v>170</v>
      </c>
      <c r="AV29" s="10">
        <v>1040</v>
      </c>
      <c r="AW29" s="43" t="s">
        <v>184</v>
      </c>
      <c r="AX29" s="39" t="s">
        <v>56</v>
      </c>
      <c r="AY29" s="41" t="s">
        <v>183</v>
      </c>
      <c r="AZ29" s="10" t="s">
        <v>47</v>
      </c>
      <c r="BA29" s="43" t="s">
        <v>170</v>
      </c>
      <c r="BB29" s="10" t="s">
        <v>47</v>
      </c>
      <c r="BC29" s="43" t="s">
        <v>187</v>
      </c>
      <c r="BG29" s="2" t="s">
        <v>18</v>
      </c>
      <c r="BH29" s="5"/>
      <c r="BI29" s="6"/>
      <c r="BJ29" s="21"/>
      <c r="BK29" s="6"/>
      <c r="BL29" s="6"/>
      <c r="BM29" s="6"/>
      <c r="BN29" s="6"/>
      <c r="BO29" s="6"/>
      <c r="BP29" s="6"/>
      <c r="BQ29" s="6"/>
      <c r="BR29" s="6"/>
      <c r="BS29" s="7"/>
    </row>
    <row r="30" spans="3:71" x14ac:dyDescent="0.25">
      <c r="AE30" s="2" t="s">
        <v>29</v>
      </c>
      <c r="AF30" s="39">
        <v>1022</v>
      </c>
      <c r="AG30" s="41" t="s">
        <v>186</v>
      </c>
      <c r="AH30" s="10">
        <v>1023</v>
      </c>
      <c r="AI30" s="43" t="s">
        <v>178</v>
      </c>
      <c r="AJ30" s="10">
        <v>1023</v>
      </c>
      <c r="AK30" s="43" t="s">
        <v>187</v>
      </c>
      <c r="AL30" s="39" t="s">
        <v>54</v>
      </c>
      <c r="AM30" s="41" t="s">
        <v>186</v>
      </c>
      <c r="AN30" s="10" t="s">
        <v>46</v>
      </c>
      <c r="AO30" s="43" t="s">
        <v>178</v>
      </c>
      <c r="AP30" s="10" t="s">
        <v>46</v>
      </c>
      <c r="AQ30" s="43" t="s">
        <v>187</v>
      </c>
      <c r="AR30" s="39" t="s">
        <v>55</v>
      </c>
      <c r="AS30" s="41" t="s">
        <v>186</v>
      </c>
      <c r="AT30" s="10">
        <v>1040</v>
      </c>
      <c r="AU30" s="43" t="s">
        <v>178</v>
      </c>
      <c r="AV30" s="10">
        <v>1040</v>
      </c>
      <c r="AW30" s="43" t="s">
        <v>187</v>
      </c>
      <c r="AX30" s="39" t="s">
        <v>56</v>
      </c>
      <c r="AY30" s="41" t="s">
        <v>186</v>
      </c>
      <c r="AZ30" s="10" t="s">
        <v>47</v>
      </c>
      <c r="BA30" s="43" t="s">
        <v>178</v>
      </c>
      <c r="BB30" s="10" t="s">
        <v>47</v>
      </c>
      <c r="BC30" s="43" t="s">
        <v>189</v>
      </c>
      <c r="BG30" s="2" t="s">
        <v>29</v>
      </c>
      <c r="BH30" s="9"/>
      <c r="BI30" s="10"/>
      <c r="BJ30" s="12"/>
      <c r="BK30" s="10"/>
      <c r="BL30" s="10"/>
      <c r="BM30" s="10"/>
      <c r="BN30" s="10"/>
      <c r="BO30" s="10"/>
      <c r="BP30" s="10"/>
      <c r="BQ30" s="10"/>
      <c r="BR30" s="10"/>
      <c r="BS30" s="11"/>
    </row>
    <row r="31" spans="3:71" x14ac:dyDescent="0.25">
      <c r="AE31" s="2" t="s">
        <v>34</v>
      </c>
      <c r="AF31" s="39">
        <v>1022</v>
      </c>
      <c r="AG31" s="41" t="s">
        <v>188</v>
      </c>
      <c r="AH31" s="10">
        <v>1023</v>
      </c>
      <c r="AI31" s="43" t="s">
        <v>163</v>
      </c>
      <c r="AJ31" s="10">
        <v>1023</v>
      </c>
      <c r="AK31" s="43" t="s">
        <v>189</v>
      </c>
      <c r="AL31" s="39" t="s">
        <v>54</v>
      </c>
      <c r="AM31" s="41" t="s">
        <v>188</v>
      </c>
      <c r="AN31" s="10" t="s">
        <v>46</v>
      </c>
      <c r="AO31" s="43" t="s">
        <v>163</v>
      </c>
      <c r="AP31" s="10" t="s">
        <v>46</v>
      </c>
      <c r="AQ31" s="43" t="s">
        <v>189</v>
      </c>
      <c r="AR31" s="39" t="s">
        <v>55</v>
      </c>
      <c r="AS31" s="41" t="s">
        <v>188</v>
      </c>
      <c r="AT31" s="10">
        <v>1040</v>
      </c>
      <c r="AU31" s="43" t="s">
        <v>163</v>
      </c>
      <c r="AV31" s="10">
        <v>1040</v>
      </c>
      <c r="AW31" s="43" t="s">
        <v>189</v>
      </c>
      <c r="AX31" s="39" t="s">
        <v>56</v>
      </c>
      <c r="AY31" s="41" t="s">
        <v>188</v>
      </c>
      <c r="AZ31" s="10" t="s">
        <v>47</v>
      </c>
      <c r="BA31" s="43" t="s">
        <v>163</v>
      </c>
      <c r="BB31" s="39">
        <v>1041</v>
      </c>
      <c r="BC31" s="41" t="s">
        <v>162</v>
      </c>
      <c r="BG31" s="2" t="s">
        <v>34</v>
      </c>
      <c r="BH31" s="9"/>
      <c r="BI31" s="10"/>
      <c r="BJ31" s="12"/>
      <c r="BK31" s="10"/>
      <c r="BL31" s="10"/>
      <c r="BM31" s="10"/>
      <c r="BN31" s="10"/>
      <c r="BO31" s="10"/>
      <c r="BP31" s="10"/>
      <c r="BQ31" s="10"/>
      <c r="BR31" s="10"/>
      <c r="BS31" s="11"/>
    </row>
    <row r="32" spans="3:71" ht="15.75" thickBot="1" x14ac:dyDescent="0.3">
      <c r="AE32" s="2" t="s">
        <v>39</v>
      </c>
      <c r="AF32" s="39">
        <v>1022</v>
      </c>
      <c r="AG32" s="41" t="s">
        <v>182</v>
      </c>
      <c r="AH32" s="10">
        <v>1023</v>
      </c>
      <c r="AI32" s="43" t="s">
        <v>181</v>
      </c>
      <c r="AJ32" s="39" t="s">
        <v>54</v>
      </c>
      <c r="AK32" s="41" t="s">
        <v>162</v>
      </c>
      <c r="AL32" s="39" t="s">
        <v>54</v>
      </c>
      <c r="AM32" s="41" t="s">
        <v>182</v>
      </c>
      <c r="AN32" s="10" t="s">
        <v>46</v>
      </c>
      <c r="AO32" s="43" t="s">
        <v>181</v>
      </c>
      <c r="AP32" s="39" t="s">
        <v>55</v>
      </c>
      <c r="AQ32" s="41" t="s">
        <v>162</v>
      </c>
      <c r="AR32" s="39" t="s">
        <v>55</v>
      </c>
      <c r="AS32" s="41" t="s">
        <v>182</v>
      </c>
      <c r="AT32" s="10">
        <v>1040</v>
      </c>
      <c r="AU32" s="43" t="s">
        <v>181</v>
      </c>
      <c r="AV32" s="39" t="s">
        <v>56</v>
      </c>
      <c r="AW32" s="41" t="s">
        <v>162</v>
      </c>
      <c r="AX32" s="39" t="s">
        <v>56</v>
      </c>
      <c r="AY32" s="41" t="s">
        <v>182</v>
      </c>
      <c r="AZ32" s="10" t="s">
        <v>47</v>
      </c>
      <c r="BA32" s="43" t="s">
        <v>181</v>
      </c>
      <c r="BB32" s="39">
        <v>1041</v>
      </c>
      <c r="BC32" s="41" t="s">
        <v>170</v>
      </c>
      <c r="BG32" s="2" t="s">
        <v>39</v>
      </c>
      <c r="BH32" s="16"/>
      <c r="BI32" s="17"/>
      <c r="BJ32" s="22"/>
      <c r="BK32" s="17"/>
      <c r="BL32" s="17"/>
      <c r="BM32" s="17"/>
      <c r="BN32" s="17"/>
      <c r="BO32" s="17"/>
      <c r="BP32" s="17"/>
      <c r="BQ32" s="17"/>
      <c r="BR32" s="17"/>
      <c r="BS32" s="18"/>
    </row>
    <row r="35" spans="31:71" ht="15.75" thickBot="1" x14ac:dyDescent="0.3">
      <c r="AE35" s="1">
        <v>4</v>
      </c>
      <c r="AF35" s="2">
        <v>1</v>
      </c>
      <c r="AG35" s="2"/>
      <c r="AH35" s="2">
        <v>2</v>
      </c>
      <c r="AI35" s="2"/>
      <c r="AJ35" s="2">
        <v>3</v>
      </c>
      <c r="AK35" s="2"/>
      <c r="AL35" s="2">
        <v>4</v>
      </c>
      <c r="AM35" s="2"/>
      <c r="AN35" s="2">
        <v>5</v>
      </c>
      <c r="AO35" s="2"/>
      <c r="AP35" s="2">
        <v>6</v>
      </c>
      <c r="AQ35" s="2"/>
      <c r="AR35" s="2">
        <v>7</v>
      </c>
      <c r="AS35" s="2"/>
      <c r="AT35" s="2">
        <v>8</v>
      </c>
      <c r="AU35" s="2"/>
      <c r="AV35" s="2">
        <v>9</v>
      </c>
      <c r="AW35" s="2"/>
      <c r="AX35" s="2">
        <v>10</v>
      </c>
      <c r="AY35" s="2"/>
      <c r="AZ35" s="2">
        <v>11</v>
      </c>
      <c r="BA35" s="2"/>
      <c r="BB35" s="2">
        <v>12</v>
      </c>
      <c r="BC35" s="2"/>
      <c r="BG35" s="1">
        <v>10</v>
      </c>
      <c r="BH35" s="2">
        <v>1</v>
      </c>
      <c r="BI35" s="2">
        <v>2</v>
      </c>
      <c r="BJ35" s="2">
        <v>3</v>
      </c>
      <c r="BK35" s="2">
        <v>4</v>
      </c>
      <c r="BL35" s="2">
        <v>5</v>
      </c>
      <c r="BM35" s="2">
        <v>6</v>
      </c>
      <c r="BN35" s="2">
        <v>7</v>
      </c>
      <c r="BO35" s="2">
        <v>8</v>
      </c>
      <c r="BP35" s="2">
        <v>9</v>
      </c>
      <c r="BQ35" s="2">
        <v>10</v>
      </c>
      <c r="BR35" s="2">
        <v>11</v>
      </c>
      <c r="BS35" s="2">
        <v>12</v>
      </c>
    </row>
    <row r="36" spans="31:71" x14ac:dyDescent="0.25">
      <c r="AE36" s="2" t="s">
        <v>0</v>
      </c>
      <c r="AF36" s="19"/>
      <c r="AG36" s="4"/>
      <c r="AH36" s="39">
        <v>1041</v>
      </c>
      <c r="AI36" s="41" t="s">
        <v>186</v>
      </c>
      <c r="AJ36" s="10" t="s">
        <v>48</v>
      </c>
      <c r="AK36" s="43" t="s">
        <v>178</v>
      </c>
      <c r="AL36" s="10" t="s">
        <v>48</v>
      </c>
      <c r="AM36" s="43" t="s">
        <v>187</v>
      </c>
      <c r="AN36" s="39" t="s">
        <v>270</v>
      </c>
      <c r="AO36" s="41" t="s">
        <v>186</v>
      </c>
      <c r="AP36" s="10">
        <v>1021</v>
      </c>
      <c r="AQ36" s="43" t="s">
        <v>178</v>
      </c>
      <c r="AR36" s="10">
        <v>1021</v>
      </c>
      <c r="AS36" s="43" t="s">
        <v>187</v>
      </c>
      <c r="AT36" s="39" t="s">
        <v>57</v>
      </c>
      <c r="AU36" s="41" t="s">
        <v>186</v>
      </c>
      <c r="AV36" s="10">
        <v>2014</v>
      </c>
      <c r="AW36" s="43" t="s">
        <v>178</v>
      </c>
      <c r="AX36" s="10">
        <v>2014</v>
      </c>
      <c r="AY36" s="43" t="s">
        <v>187</v>
      </c>
      <c r="AZ36" s="39">
        <v>2020</v>
      </c>
      <c r="BA36" s="41" t="s">
        <v>186</v>
      </c>
      <c r="BB36" s="10" t="s">
        <v>76</v>
      </c>
      <c r="BC36" s="43" t="s">
        <v>186</v>
      </c>
      <c r="BG36" s="2" t="s">
        <v>0</v>
      </c>
      <c r="BH36" s="19"/>
      <c r="BI36" s="6"/>
      <c r="BJ36" s="6"/>
      <c r="BK36" s="4"/>
      <c r="BL36" s="6"/>
      <c r="BM36" s="6"/>
      <c r="BN36" s="6"/>
      <c r="BO36" s="6"/>
      <c r="BP36" s="6"/>
      <c r="BQ36" s="6"/>
      <c r="BR36" s="6"/>
      <c r="BS36" s="7"/>
    </row>
    <row r="37" spans="31:71" x14ac:dyDescent="0.25">
      <c r="AE37" s="2" t="s">
        <v>9</v>
      </c>
      <c r="AF37" s="20"/>
      <c r="AG37" s="2"/>
      <c r="AH37" s="39">
        <v>1041</v>
      </c>
      <c r="AI37" s="41" t="s">
        <v>188</v>
      </c>
      <c r="AJ37" s="10" t="s">
        <v>48</v>
      </c>
      <c r="AK37" s="43" t="s">
        <v>163</v>
      </c>
      <c r="AL37" s="10" t="s">
        <v>48</v>
      </c>
      <c r="AM37" s="43" t="s">
        <v>189</v>
      </c>
      <c r="AN37" s="39" t="s">
        <v>270</v>
      </c>
      <c r="AO37" s="41" t="s">
        <v>188</v>
      </c>
      <c r="AP37" s="10">
        <v>1021</v>
      </c>
      <c r="AQ37" s="43" t="s">
        <v>163</v>
      </c>
      <c r="AR37" s="10">
        <v>1021</v>
      </c>
      <c r="AS37" s="43" t="s">
        <v>189</v>
      </c>
      <c r="AT37" s="39" t="s">
        <v>57</v>
      </c>
      <c r="AU37" s="41" t="s">
        <v>188</v>
      </c>
      <c r="AV37" s="10">
        <v>2014</v>
      </c>
      <c r="AW37" s="43" t="s">
        <v>163</v>
      </c>
      <c r="AX37" s="10">
        <v>2014</v>
      </c>
      <c r="AY37" s="43" t="s">
        <v>189</v>
      </c>
      <c r="AZ37" s="39">
        <v>2020</v>
      </c>
      <c r="BA37" s="41" t="s">
        <v>188</v>
      </c>
      <c r="BB37" s="10" t="s">
        <v>76</v>
      </c>
      <c r="BC37" s="43" t="s">
        <v>188</v>
      </c>
      <c r="BG37" s="2" t="s">
        <v>9</v>
      </c>
      <c r="BH37" s="20"/>
      <c r="BI37" s="10"/>
      <c r="BJ37" s="10"/>
      <c r="BK37" s="2"/>
      <c r="BL37" s="10"/>
      <c r="BM37" s="10"/>
      <c r="BN37" s="10"/>
      <c r="BO37" s="10"/>
      <c r="BP37" s="10"/>
      <c r="BQ37" s="10"/>
      <c r="BR37" s="10"/>
      <c r="BS37" s="11"/>
    </row>
    <row r="38" spans="31:71" x14ac:dyDescent="0.25">
      <c r="AE38" s="2" t="s">
        <v>12</v>
      </c>
      <c r="AF38" s="20"/>
      <c r="AG38" s="2"/>
      <c r="AH38" s="39">
        <v>1041</v>
      </c>
      <c r="AI38" s="41" t="s">
        <v>182</v>
      </c>
      <c r="AJ38" s="10" t="s">
        <v>48</v>
      </c>
      <c r="AK38" s="43" t="s">
        <v>181</v>
      </c>
      <c r="AL38" s="39" t="s">
        <v>270</v>
      </c>
      <c r="AM38" s="41" t="s">
        <v>162</v>
      </c>
      <c r="AN38" s="39" t="s">
        <v>270</v>
      </c>
      <c r="AO38" s="41" t="s">
        <v>182</v>
      </c>
      <c r="AP38" s="10">
        <v>1021</v>
      </c>
      <c r="AQ38" s="43" t="s">
        <v>181</v>
      </c>
      <c r="AR38" s="39" t="s">
        <v>57</v>
      </c>
      <c r="AS38" s="41" t="s">
        <v>162</v>
      </c>
      <c r="AT38" s="39" t="s">
        <v>57</v>
      </c>
      <c r="AU38" s="41" t="s">
        <v>182</v>
      </c>
      <c r="AV38" s="10">
        <v>2014</v>
      </c>
      <c r="AW38" s="43" t="s">
        <v>181</v>
      </c>
      <c r="AX38" s="39">
        <v>2020</v>
      </c>
      <c r="AY38" s="41" t="s">
        <v>162</v>
      </c>
      <c r="AZ38" s="39">
        <v>2020</v>
      </c>
      <c r="BA38" s="41" t="s">
        <v>182</v>
      </c>
      <c r="BB38" s="10" t="s">
        <v>76</v>
      </c>
      <c r="BC38" s="43" t="s">
        <v>182</v>
      </c>
      <c r="BG38" s="2" t="s">
        <v>12</v>
      </c>
      <c r="BH38" s="20"/>
      <c r="BI38" s="10"/>
      <c r="BJ38" s="10"/>
      <c r="BK38" s="2"/>
      <c r="BL38" s="10"/>
      <c r="BM38" s="10"/>
      <c r="BN38" s="10"/>
      <c r="BO38" s="10"/>
      <c r="BP38" s="10"/>
      <c r="BQ38" s="10"/>
      <c r="BR38" s="10"/>
      <c r="BS38" s="11"/>
    </row>
    <row r="39" spans="31:71" ht="15.75" thickBot="1" x14ac:dyDescent="0.3">
      <c r="AE39" s="2" t="s">
        <v>15</v>
      </c>
      <c r="AF39" s="20"/>
      <c r="AG39" s="2"/>
      <c r="AH39" s="39">
        <v>1041</v>
      </c>
      <c r="AI39" s="41" t="s">
        <v>184</v>
      </c>
      <c r="AJ39" s="10" t="s">
        <v>48</v>
      </c>
      <c r="AK39" s="43" t="s">
        <v>183</v>
      </c>
      <c r="AL39" s="39" t="s">
        <v>270</v>
      </c>
      <c r="AM39" s="41" t="s">
        <v>170</v>
      </c>
      <c r="AN39" s="39" t="s">
        <v>270</v>
      </c>
      <c r="AO39" s="41" t="s">
        <v>184</v>
      </c>
      <c r="AP39" s="10">
        <v>1021</v>
      </c>
      <c r="AQ39" s="43" t="s">
        <v>183</v>
      </c>
      <c r="AR39" s="39" t="s">
        <v>57</v>
      </c>
      <c r="AS39" s="41" t="s">
        <v>170</v>
      </c>
      <c r="AT39" s="39" t="s">
        <v>57</v>
      </c>
      <c r="AU39" s="41" t="s">
        <v>184</v>
      </c>
      <c r="AV39" s="10">
        <v>2014</v>
      </c>
      <c r="AW39" s="43" t="s">
        <v>183</v>
      </c>
      <c r="AX39" s="39">
        <v>2020</v>
      </c>
      <c r="AY39" s="41" t="s">
        <v>170</v>
      </c>
      <c r="AZ39" s="39">
        <v>2020</v>
      </c>
      <c r="BA39" s="41" t="s">
        <v>184</v>
      </c>
      <c r="BB39" s="10" t="s">
        <v>76</v>
      </c>
      <c r="BC39" s="43" t="s">
        <v>184</v>
      </c>
      <c r="BG39" s="2" t="s">
        <v>15</v>
      </c>
      <c r="BH39" s="20"/>
      <c r="BI39" s="10"/>
      <c r="BJ39" s="10"/>
      <c r="BK39" s="2"/>
      <c r="BL39" s="10"/>
      <c r="BM39" s="10"/>
      <c r="BN39" s="10"/>
      <c r="BO39" s="10"/>
      <c r="BP39" s="10"/>
      <c r="BQ39" s="10"/>
      <c r="BR39" s="10"/>
      <c r="BS39" s="11"/>
    </row>
    <row r="40" spans="31:71" x14ac:dyDescent="0.25">
      <c r="AE40" s="2" t="s">
        <v>18</v>
      </c>
      <c r="AF40" s="39">
        <v>1041</v>
      </c>
      <c r="AG40" s="41" t="s">
        <v>178</v>
      </c>
      <c r="AH40" s="39">
        <v>1041</v>
      </c>
      <c r="AI40" s="41" t="s">
        <v>187</v>
      </c>
      <c r="AJ40" s="10" t="s">
        <v>48</v>
      </c>
      <c r="AK40" s="43" t="s">
        <v>186</v>
      </c>
      <c r="AL40" s="39" t="s">
        <v>270</v>
      </c>
      <c r="AM40" s="41" t="s">
        <v>178</v>
      </c>
      <c r="AN40" s="39" t="s">
        <v>270</v>
      </c>
      <c r="AO40" s="41" t="s">
        <v>187</v>
      </c>
      <c r="AP40" s="10">
        <v>1021</v>
      </c>
      <c r="AQ40" s="43" t="s">
        <v>186</v>
      </c>
      <c r="AR40" s="39" t="s">
        <v>57</v>
      </c>
      <c r="AS40" s="41" t="s">
        <v>178</v>
      </c>
      <c r="AT40" s="39" t="s">
        <v>57</v>
      </c>
      <c r="AU40" s="41" t="s">
        <v>187</v>
      </c>
      <c r="AV40" s="10">
        <v>2014</v>
      </c>
      <c r="AW40" s="43" t="s">
        <v>186</v>
      </c>
      <c r="AX40" s="39">
        <v>2020</v>
      </c>
      <c r="AY40" s="41" t="s">
        <v>178</v>
      </c>
      <c r="AZ40" s="39">
        <v>2020</v>
      </c>
      <c r="BA40" s="41" t="s">
        <v>187</v>
      </c>
      <c r="BB40" s="10" t="s">
        <v>76</v>
      </c>
      <c r="BC40" s="43" t="s">
        <v>187</v>
      </c>
      <c r="BG40" s="2" t="s">
        <v>18</v>
      </c>
      <c r="BH40" s="5"/>
      <c r="BI40" s="6"/>
      <c r="BJ40" s="6"/>
      <c r="BK40" s="6"/>
      <c r="BL40" s="6"/>
      <c r="BM40" s="6"/>
      <c r="BN40" s="6"/>
      <c r="BO40" s="6"/>
      <c r="BP40" s="4"/>
      <c r="BQ40" s="6"/>
      <c r="BR40" s="6"/>
      <c r="BS40" s="7"/>
    </row>
    <row r="41" spans="31:71" x14ac:dyDescent="0.25">
      <c r="AE41" s="2" t="s">
        <v>29</v>
      </c>
      <c r="AF41" s="39">
        <v>1041</v>
      </c>
      <c r="AG41" s="41" t="s">
        <v>163</v>
      </c>
      <c r="AH41" s="39">
        <v>1041</v>
      </c>
      <c r="AI41" s="41" t="s">
        <v>189</v>
      </c>
      <c r="AJ41" s="10" t="s">
        <v>48</v>
      </c>
      <c r="AK41" s="43" t="s">
        <v>188</v>
      </c>
      <c r="AL41" s="39" t="s">
        <v>270</v>
      </c>
      <c r="AM41" s="41" t="s">
        <v>163</v>
      </c>
      <c r="AN41" s="39" t="s">
        <v>270</v>
      </c>
      <c r="AO41" s="41" t="s">
        <v>189</v>
      </c>
      <c r="AP41" s="10">
        <v>1021</v>
      </c>
      <c r="AQ41" s="43" t="s">
        <v>188</v>
      </c>
      <c r="AR41" s="39" t="s">
        <v>57</v>
      </c>
      <c r="AS41" s="41" t="s">
        <v>163</v>
      </c>
      <c r="AT41" s="39" t="s">
        <v>57</v>
      </c>
      <c r="AU41" s="41" t="s">
        <v>189</v>
      </c>
      <c r="AV41" s="10">
        <v>2014</v>
      </c>
      <c r="AW41" s="43" t="s">
        <v>188</v>
      </c>
      <c r="AX41" s="39">
        <v>2020</v>
      </c>
      <c r="AY41" s="41" t="s">
        <v>163</v>
      </c>
      <c r="AZ41" s="39">
        <v>2020</v>
      </c>
      <c r="BA41" s="41" t="s">
        <v>189</v>
      </c>
      <c r="BB41" s="10" t="s">
        <v>76</v>
      </c>
      <c r="BC41" s="43" t="s">
        <v>189</v>
      </c>
      <c r="BG41" s="2" t="s">
        <v>29</v>
      </c>
      <c r="BH41" s="9"/>
      <c r="BI41" s="10"/>
      <c r="BJ41" s="10"/>
      <c r="BK41" s="10"/>
      <c r="BL41" s="10"/>
      <c r="BM41" s="10"/>
      <c r="BN41" s="10"/>
      <c r="BO41" s="10"/>
      <c r="BP41" s="2"/>
      <c r="BQ41" s="10"/>
      <c r="BR41" s="10"/>
      <c r="BS41" s="11"/>
    </row>
    <row r="42" spans="31:71" x14ac:dyDescent="0.25">
      <c r="AE42" s="2" t="s">
        <v>34</v>
      </c>
      <c r="AF42" s="39">
        <v>1041</v>
      </c>
      <c r="AG42" s="41" t="s">
        <v>181</v>
      </c>
      <c r="AH42" s="10" t="s">
        <v>48</v>
      </c>
      <c r="AI42" s="43" t="s">
        <v>162</v>
      </c>
      <c r="AJ42" s="10" t="s">
        <v>48</v>
      </c>
      <c r="AK42" s="43" t="s">
        <v>182</v>
      </c>
      <c r="AL42" s="39" t="s">
        <v>270</v>
      </c>
      <c r="AM42" s="41" t="s">
        <v>181</v>
      </c>
      <c r="AN42" s="10">
        <v>1021</v>
      </c>
      <c r="AO42" s="43" t="s">
        <v>162</v>
      </c>
      <c r="AP42" s="10">
        <v>1021</v>
      </c>
      <c r="AQ42" s="43" t="s">
        <v>182</v>
      </c>
      <c r="AR42" s="39" t="s">
        <v>57</v>
      </c>
      <c r="AS42" s="41" t="s">
        <v>181</v>
      </c>
      <c r="AT42" s="10">
        <v>2014</v>
      </c>
      <c r="AU42" s="43" t="s">
        <v>162</v>
      </c>
      <c r="AV42" s="10">
        <v>2014</v>
      </c>
      <c r="AW42" s="43" t="s">
        <v>182</v>
      </c>
      <c r="AX42" s="39">
        <v>2020</v>
      </c>
      <c r="AY42" s="41" t="s">
        <v>181</v>
      </c>
      <c r="AZ42" s="10" t="s">
        <v>76</v>
      </c>
      <c r="BA42" s="43" t="s">
        <v>181</v>
      </c>
      <c r="BB42" s="39">
        <v>1039</v>
      </c>
      <c r="BC42" s="41" t="s">
        <v>162</v>
      </c>
      <c r="BG42" s="2" t="s">
        <v>34</v>
      </c>
      <c r="BH42" s="9"/>
      <c r="BI42" s="10"/>
      <c r="BJ42" s="10"/>
      <c r="BK42" s="10"/>
      <c r="BL42" s="10"/>
      <c r="BM42" s="10"/>
      <c r="BN42" s="10"/>
      <c r="BO42" s="10"/>
      <c r="BP42" s="2"/>
      <c r="BQ42" s="10"/>
      <c r="BR42" s="10"/>
      <c r="BS42" s="11"/>
    </row>
    <row r="43" spans="31:71" ht="15.75" thickBot="1" x14ac:dyDescent="0.3">
      <c r="AE43" s="2" t="s">
        <v>39</v>
      </c>
      <c r="AF43" s="39">
        <v>1041</v>
      </c>
      <c r="AG43" s="41" t="s">
        <v>183</v>
      </c>
      <c r="AH43" s="10" t="s">
        <v>48</v>
      </c>
      <c r="AI43" s="43" t="s">
        <v>170</v>
      </c>
      <c r="AJ43" s="10" t="s">
        <v>48</v>
      </c>
      <c r="AK43" s="43" t="s">
        <v>184</v>
      </c>
      <c r="AL43" s="39" t="s">
        <v>270</v>
      </c>
      <c r="AM43" s="41" t="s">
        <v>183</v>
      </c>
      <c r="AN43" s="10">
        <v>1021</v>
      </c>
      <c r="AO43" s="43" t="s">
        <v>170</v>
      </c>
      <c r="AP43" s="10">
        <v>1021</v>
      </c>
      <c r="AQ43" s="43" t="s">
        <v>184</v>
      </c>
      <c r="AR43" s="39" t="s">
        <v>57</v>
      </c>
      <c r="AS43" s="41" t="s">
        <v>183</v>
      </c>
      <c r="AT43" s="10">
        <v>2014</v>
      </c>
      <c r="AU43" s="43" t="s">
        <v>170</v>
      </c>
      <c r="AV43" s="10">
        <v>2014</v>
      </c>
      <c r="AW43" s="43" t="s">
        <v>184</v>
      </c>
      <c r="AX43" s="39">
        <v>2020</v>
      </c>
      <c r="AY43" s="41" t="s">
        <v>183</v>
      </c>
      <c r="AZ43" s="10" t="s">
        <v>76</v>
      </c>
      <c r="BA43" s="43" t="s">
        <v>183</v>
      </c>
      <c r="BB43" s="39">
        <v>1039</v>
      </c>
      <c r="BC43" s="41" t="s">
        <v>170</v>
      </c>
      <c r="BG43" s="2" t="s">
        <v>39</v>
      </c>
      <c r="BH43" s="16"/>
      <c r="BI43" s="17"/>
      <c r="BJ43" s="17"/>
      <c r="BK43" s="17"/>
      <c r="BL43" s="17"/>
      <c r="BM43" s="17"/>
      <c r="BN43" s="17"/>
      <c r="BO43" s="17"/>
      <c r="BP43" s="15"/>
      <c r="BQ43" s="17"/>
      <c r="BR43" s="17"/>
      <c r="BS43" s="18"/>
    </row>
    <row r="46" spans="31:71" ht="15.75" thickBot="1" x14ac:dyDescent="0.3">
      <c r="AE46" s="1">
        <v>5</v>
      </c>
      <c r="AF46" s="2">
        <v>1</v>
      </c>
      <c r="AG46" s="2"/>
      <c r="AH46" s="2">
        <v>2</v>
      </c>
      <c r="AI46" s="2"/>
      <c r="AJ46" s="2">
        <v>3</v>
      </c>
      <c r="AK46" s="2"/>
      <c r="AL46" s="2">
        <v>4</v>
      </c>
      <c r="AM46" s="2"/>
      <c r="AN46" s="2">
        <v>5</v>
      </c>
      <c r="AO46" s="2"/>
      <c r="AP46" s="2">
        <v>6</v>
      </c>
      <c r="AQ46" s="2"/>
      <c r="AR46" s="2">
        <v>7</v>
      </c>
      <c r="AS46" s="2"/>
      <c r="AT46" s="2">
        <v>8</v>
      </c>
      <c r="AU46" s="2"/>
      <c r="AV46" s="2">
        <v>9</v>
      </c>
      <c r="AW46" s="2"/>
      <c r="AX46" s="2">
        <v>10</v>
      </c>
      <c r="AY46" s="2"/>
      <c r="AZ46" s="2">
        <v>11</v>
      </c>
      <c r="BA46" s="2"/>
      <c r="BB46" s="2">
        <v>12</v>
      </c>
      <c r="BG46" s="1">
        <v>11</v>
      </c>
      <c r="BH46" s="2">
        <v>1</v>
      </c>
      <c r="BI46" s="2">
        <v>2</v>
      </c>
      <c r="BJ46" s="2">
        <v>3</v>
      </c>
      <c r="BK46" s="2">
        <v>4</v>
      </c>
      <c r="BL46" s="2">
        <v>5</v>
      </c>
      <c r="BM46" s="2">
        <v>6</v>
      </c>
      <c r="BN46" s="2">
        <v>7</v>
      </c>
      <c r="BO46" s="2">
        <v>8</v>
      </c>
      <c r="BP46" s="2">
        <v>9</v>
      </c>
      <c r="BQ46" s="2">
        <v>10</v>
      </c>
      <c r="BR46" s="2">
        <v>11</v>
      </c>
      <c r="BS46" s="2">
        <v>12</v>
      </c>
    </row>
    <row r="47" spans="31:71" x14ac:dyDescent="0.25">
      <c r="AE47" s="2" t="s">
        <v>0</v>
      </c>
      <c r="AF47" s="19"/>
      <c r="AG47" s="4"/>
      <c r="AH47" s="39">
        <v>1039</v>
      </c>
      <c r="AI47" s="41" t="s">
        <v>186</v>
      </c>
      <c r="AJ47" s="10">
        <v>1034</v>
      </c>
      <c r="AK47" s="43" t="s">
        <v>178</v>
      </c>
      <c r="AL47" s="10">
        <v>1034</v>
      </c>
      <c r="AM47" s="43" t="s">
        <v>187</v>
      </c>
      <c r="AN47" s="39" t="s">
        <v>59</v>
      </c>
      <c r="AO47" s="41" t="s">
        <v>186</v>
      </c>
      <c r="AP47" s="10" t="s">
        <v>77</v>
      </c>
      <c r="AQ47" s="43" t="s">
        <v>178</v>
      </c>
      <c r="AR47" s="10" t="s">
        <v>77</v>
      </c>
      <c r="AS47" s="43" t="s">
        <v>187</v>
      </c>
      <c r="AT47" s="39" t="s">
        <v>60</v>
      </c>
      <c r="AU47" s="41" t="s">
        <v>186</v>
      </c>
      <c r="AV47" s="2">
        <v>1043</v>
      </c>
      <c r="AW47" s="43" t="s">
        <v>178</v>
      </c>
      <c r="AX47" s="10">
        <v>1043</v>
      </c>
      <c r="AY47" s="43" t="s">
        <v>187</v>
      </c>
      <c r="AZ47" s="39" t="s">
        <v>243</v>
      </c>
      <c r="BA47" s="41" t="s">
        <v>186</v>
      </c>
      <c r="BB47" s="10" t="s">
        <v>262</v>
      </c>
      <c r="BC47" s="43" t="s">
        <v>178</v>
      </c>
      <c r="BG47" s="2" t="s">
        <v>0</v>
      </c>
      <c r="BH47" s="19"/>
      <c r="BI47" s="6"/>
      <c r="BJ47" s="4"/>
      <c r="BK47" s="6"/>
      <c r="BL47" s="6"/>
      <c r="BM47" s="6"/>
      <c r="BN47" s="6"/>
      <c r="BO47" s="6"/>
      <c r="BP47" s="6"/>
      <c r="BQ47" s="6"/>
      <c r="BR47" s="4"/>
      <c r="BS47" s="7"/>
    </row>
    <row r="48" spans="31:71" x14ac:dyDescent="0.25">
      <c r="AE48" s="2" t="s">
        <v>9</v>
      </c>
      <c r="AF48" s="20"/>
      <c r="AG48" s="2"/>
      <c r="AH48" s="39">
        <v>1039</v>
      </c>
      <c r="AI48" s="41" t="s">
        <v>188</v>
      </c>
      <c r="AJ48" s="10">
        <v>1034</v>
      </c>
      <c r="AK48" s="43" t="s">
        <v>163</v>
      </c>
      <c r="AL48" s="10">
        <v>1034</v>
      </c>
      <c r="AM48" s="43" t="s">
        <v>189</v>
      </c>
      <c r="AN48" s="39" t="s">
        <v>59</v>
      </c>
      <c r="AO48" s="41" t="s">
        <v>188</v>
      </c>
      <c r="AP48" s="10" t="s">
        <v>77</v>
      </c>
      <c r="AQ48" s="43" t="s">
        <v>163</v>
      </c>
      <c r="AR48" s="10" t="s">
        <v>77</v>
      </c>
      <c r="AS48" s="43" t="s">
        <v>189</v>
      </c>
      <c r="AT48" s="39" t="s">
        <v>60</v>
      </c>
      <c r="AU48" s="41" t="s">
        <v>188</v>
      </c>
      <c r="AV48" s="2">
        <v>1043</v>
      </c>
      <c r="AW48" s="43" t="s">
        <v>163</v>
      </c>
      <c r="AX48" s="10">
        <v>1043</v>
      </c>
      <c r="AY48" s="43" t="s">
        <v>189</v>
      </c>
      <c r="AZ48" s="39" t="s">
        <v>244</v>
      </c>
      <c r="BA48" s="41" t="s">
        <v>188</v>
      </c>
      <c r="BB48" s="10" t="s">
        <v>264</v>
      </c>
      <c r="BC48" s="43" t="s">
        <v>163</v>
      </c>
      <c r="BG48" s="2" t="s">
        <v>9</v>
      </c>
      <c r="BH48" s="20"/>
      <c r="BI48" s="10"/>
      <c r="BJ48" s="2"/>
      <c r="BK48" s="10"/>
      <c r="BL48" s="10"/>
      <c r="BM48" s="10"/>
      <c r="BN48" s="10"/>
      <c r="BO48" s="10"/>
      <c r="BP48" s="10"/>
      <c r="BQ48" s="10"/>
      <c r="BR48" s="2"/>
      <c r="BS48" s="11"/>
    </row>
    <row r="49" spans="28:71" x14ac:dyDescent="0.25">
      <c r="AE49" s="2" t="s">
        <v>12</v>
      </c>
      <c r="AF49" s="20"/>
      <c r="AG49" s="2"/>
      <c r="AH49" s="39">
        <v>1039</v>
      </c>
      <c r="AI49" s="41" t="s">
        <v>182</v>
      </c>
      <c r="AJ49" s="10">
        <v>1034</v>
      </c>
      <c r="AK49" s="43" t="s">
        <v>181</v>
      </c>
      <c r="AL49" s="39" t="s">
        <v>59</v>
      </c>
      <c r="AM49" s="41" t="s">
        <v>162</v>
      </c>
      <c r="AN49" s="39" t="s">
        <v>59</v>
      </c>
      <c r="AO49" s="41" t="s">
        <v>182</v>
      </c>
      <c r="AP49" s="10" t="s">
        <v>77</v>
      </c>
      <c r="AQ49" s="43" t="s">
        <v>181</v>
      </c>
      <c r="AR49" s="39" t="s">
        <v>60</v>
      </c>
      <c r="AS49" s="41" t="s">
        <v>162</v>
      </c>
      <c r="AT49" s="39" t="s">
        <v>60</v>
      </c>
      <c r="AU49" s="41" t="s">
        <v>182</v>
      </c>
      <c r="AV49" s="2">
        <v>1043</v>
      </c>
      <c r="AW49" s="43" t="s">
        <v>181</v>
      </c>
      <c r="AX49" s="39" t="s">
        <v>229</v>
      </c>
      <c r="AY49" s="41" t="s">
        <v>162</v>
      </c>
      <c r="AZ49" s="39" t="s">
        <v>245</v>
      </c>
      <c r="BA49" s="41" t="s">
        <v>182</v>
      </c>
      <c r="BB49" s="10" t="s">
        <v>277</v>
      </c>
      <c r="BC49" s="43" t="s">
        <v>181</v>
      </c>
      <c r="BG49" s="2" t="s">
        <v>12</v>
      </c>
      <c r="BH49" s="20"/>
      <c r="BI49" s="10"/>
      <c r="BJ49" s="2"/>
      <c r="BK49" s="10"/>
      <c r="BL49" s="10"/>
      <c r="BM49" s="10"/>
      <c r="BN49" s="10"/>
      <c r="BO49" s="10"/>
      <c r="BP49" s="10"/>
      <c r="BQ49" s="10"/>
      <c r="BR49" s="2"/>
      <c r="BS49" s="11"/>
    </row>
    <row r="50" spans="28:71" ht="15.75" thickBot="1" x14ac:dyDescent="0.3">
      <c r="AE50" s="2" t="s">
        <v>15</v>
      </c>
      <c r="AF50" s="20"/>
      <c r="AG50" s="2"/>
      <c r="AH50" s="39">
        <v>1039</v>
      </c>
      <c r="AI50" s="41" t="s">
        <v>184</v>
      </c>
      <c r="AJ50" s="10">
        <v>1034</v>
      </c>
      <c r="AK50" s="43" t="s">
        <v>183</v>
      </c>
      <c r="AL50" s="39" t="s">
        <v>59</v>
      </c>
      <c r="AM50" s="41" t="s">
        <v>170</v>
      </c>
      <c r="AN50" s="39" t="s">
        <v>59</v>
      </c>
      <c r="AO50" s="41" t="s">
        <v>184</v>
      </c>
      <c r="AP50" s="10" t="s">
        <v>77</v>
      </c>
      <c r="AQ50" s="43" t="s">
        <v>183</v>
      </c>
      <c r="AR50" s="39" t="s">
        <v>60</v>
      </c>
      <c r="AS50" s="41" t="s">
        <v>170</v>
      </c>
      <c r="AT50" s="39" t="s">
        <v>60</v>
      </c>
      <c r="AU50" s="41" t="s">
        <v>184</v>
      </c>
      <c r="AV50" s="2">
        <v>1043</v>
      </c>
      <c r="AW50" s="43" t="s">
        <v>183</v>
      </c>
      <c r="AX50" s="39" t="s">
        <v>230</v>
      </c>
      <c r="AY50" s="41" t="s">
        <v>170</v>
      </c>
      <c r="AZ50" s="39" t="s">
        <v>246</v>
      </c>
      <c r="BA50" s="41" t="s">
        <v>184</v>
      </c>
      <c r="BB50" s="10" t="s">
        <v>279</v>
      </c>
      <c r="BC50" s="43" t="s">
        <v>183</v>
      </c>
      <c r="BG50" s="2" t="s">
        <v>15</v>
      </c>
      <c r="BH50" s="20"/>
      <c r="BI50" s="10"/>
      <c r="BJ50" s="2"/>
      <c r="BK50" s="10"/>
      <c r="BL50" s="10"/>
      <c r="BM50" s="10"/>
      <c r="BN50" s="10"/>
      <c r="BO50" s="10"/>
      <c r="BP50" s="10"/>
      <c r="BQ50" s="10"/>
      <c r="BR50" s="2"/>
      <c r="BS50" s="11"/>
    </row>
    <row r="51" spans="28:71" x14ac:dyDescent="0.25">
      <c r="AE51" s="2" t="s">
        <v>18</v>
      </c>
      <c r="AF51" s="39">
        <v>1039</v>
      </c>
      <c r="AG51" s="41" t="s">
        <v>178</v>
      </c>
      <c r="AH51" s="39">
        <v>1039</v>
      </c>
      <c r="AI51" s="41" t="s">
        <v>187</v>
      </c>
      <c r="AJ51" s="10">
        <v>1034</v>
      </c>
      <c r="AK51" s="43" t="s">
        <v>186</v>
      </c>
      <c r="AL51" s="39" t="s">
        <v>59</v>
      </c>
      <c r="AM51" s="41" t="s">
        <v>178</v>
      </c>
      <c r="AN51" s="39" t="s">
        <v>59</v>
      </c>
      <c r="AO51" s="41" t="s">
        <v>187</v>
      </c>
      <c r="AP51" s="10" t="s">
        <v>77</v>
      </c>
      <c r="AQ51" s="43" t="s">
        <v>186</v>
      </c>
      <c r="AR51" s="39" t="s">
        <v>60</v>
      </c>
      <c r="AS51" s="41" t="s">
        <v>178</v>
      </c>
      <c r="AT51" s="39" t="s">
        <v>60</v>
      </c>
      <c r="AU51" s="41" t="s">
        <v>187</v>
      </c>
      <c r="AV51" s="2">
        <v>1043</v>
      </c>
      <c r="AW51" s="43" t="s">
        <v>186</v>
      </c>
      <c r="AX51" s="39" t="s">
        <v>231</v>
      </c>
      <c r="AY51" s="41" t="s">
        <v>178</v>
      </c>
      <c r="AZ51" s="39" t="s">
        <v>248</v>
      </c>
      <c r="BA51" s="41" t="s">
        <v>187</v>
      </c>
      <c r="BB51" s="10" t="s">
        <v>280</v>
      </c>
      <c r="BC51" s="43" t="s">
        <v>186</v>
      </c>
      <c r="BG51" s="2" t="s">
        <v>18</v>
      </c>
      <c r="BH51" s="5"/>
      <c r="BI51" s="6"/>
      <c r="BJ51" s="6"/>
      <c r="BK51" s="6"/>
      <c r="BL51" s="6"/>
      <c r="BM51" s="6"/>
      <c r="BN51" s="6"/>
      <c r="BO51" s="4"/>
      <c r="BP51" s="6"/>
      <c r="BQ51" s="6"/>
      <c r="BR51" s="6"/>
      <c r="BS51" s="7"/>
    </row>
    <row r="52" spans="28:71" x14ac:dyDescent="0.25">
      <c r="AE52" s="2" t="s">
        <v>29</v>
      </c>
      <c r="AF52" s="39">
        <v>1039</v>
      </c>
      <c r="AG52" s="41" t="s">
        <v>163</v>
      </c>
      <c r="AH52" s="39">
        <v>1039</v>
      </c>
      <c r="AI52" s="41" t="s">
        <v>189</v>
      </c>
      <c r="AJ52" s="10">
        <v>1034</v>
      </c>
      <c r="AK52" s="43" t="s">
        <v>188</v>
      </c>
      <c r="AL52" s="39" t="s">
        <v>59</v>
      </c>
      <c r="AM52" s="41" t="s">
        <v>163</v>
      </c>
      <c r="AN52" s="39" t="s">
        <v>59</v>
      </c>
      <c r="AO52" s="41" t="s">
        <v>189</v>
      </c>
      <c r="AP52" s="10" t="s">
        <v>77</v>
      </c>
      <c r="AQ52" s="43" t="s">
        <v>188</v>
      </c>
      <c r="AR52" s="39" t="s">
        <v>60</v>
      </c>
      <c r="AS52" s="41" t="s">
        <v>163</v>
      </c>
      <c r="AT52" s="39" t="s">
        <v>60</v>
      </c>
      <c r="AU52" s="41" t="s">
        <v>189</v>
      </c>
      <c r="AV52" s="2">
        <v>1043</v>
      </c>
      <c r="AW52" s="43" t="s">
        <v>188</v>
      </c>
      <c r="AX52" s="39" t="s">
        <v>232</v>
      </c>
      <c r="AY52" s="41" t="s">
        <v>163</v>
      </c>
      <c r="AZ52" s="39" t="s">
        <v>250</v>
      </c>
      <c r="BA52" s="41" t="s">
        <v>189</v>
      </c>
      <c r="BB52" s="10" t="s">
        <v>281</v>
      </c>
      <c r="BC52" s="43" t="s">
        <v>188</v>
      </c>
      <c r="BG52" s="2" t="s">
        <v>29</v>
      </c>
      <c r="BH52" s="9"/>
      <c r="BI52" s="10"/>
      <c r="BJ52" s="10"/>
      <c r="BK52" s="10"/>
      <c r="BL52" s="10"/>
      <c r="BM52" s="10"/>
      <c r="BN52" s="10"/>
      <c r="BO52" s="2"/>
      <c r="BP52" s="10"/>
      <c r="BQ52" s="10"/>
      <c r="BR52" s="10"/>
      <c r="BS52" s="11"/>
    </row>
    <row r="53" spans="28:71" x14ac:dyDescent="0.25">
      <c r="AE53" s="2" t="s">
        <v>34</v>
      </c>
      <c r="AF53" s="39">
        <v>1039</v>
      </c>
      <c r="AG53" s="41" t="s">
        <v>181</v>
      </c>
      <c r="AH53" s="10">
        <v>1034</v>
      </c>
      <c r="AI53" s="43" t="s">
        <v>162</v>
      </c>
      <c r="AJ53" s="10">
        <v>1034</v>
      </c>
      <c r="AK53" s="43" t="s">
        <v>182</v>
      </c>
      <c r="AL53" s="39" t="s">
        <v>59</v>
      </c>
      <c r="AM53" s="41" t="s">
        <v>181</v>
      </c>
      <c r="AN53" s="10" t="s">
        <v>77</v>
      </c>
      <c r="AO53" s="43" t="s">
        <v>162</v>
      </c>
      <c r="AP53" s="10" t="s">
        <v>77</v>
      </c>
      <c r="AQ53" s="43" t="s">
        <v>182</v>
      </c>
      <c r="AR53" s="39" t="s">
        <v>60</v>
      </c>
      <c r="AS53" s="41" t="s">
        <v>181</v>
      </c>
      <c r="AT53" s="2">
        <v>1043</v>
      </c>
      <c r="AU53" s="43" t="s">
        <v>162</v>
      </c>
      <c r="AV53" s="10">
        <v>1043</v>
      </c>
      <c r="AW53" s="43" t="s">
        <v>182</v>
      </c>
      <c r="AX53" s="39" t="s">
        <v>239</v>
      </c>
      <c r="AY53" s="41" t="s">
        <v>181</v>
      </c>
      <c r="AZ53" s="10" t="s">
        <v>258</v>
      </c>
      <c r="BA53" s="43" t="s">
        <v>162</v>
      </c>
      <c r="BB53" s="10" t="s">
        <v>282</v>
      </c>
      <c r="BC53" s="43" t="s">
        <v>182</v>
      </c>
      <c r="BG53" s="2" t="s">
        <v>34</v>
      </c>
      <c r="BH53" s="9"/>
      <c r="BI53" s="10"/>
      <c r="BJ53" s="10"/>
      <c r="BK53" s="10"/>
      <c r="BL53" s="10"/>
      <c r="BM53" s="10"/>
      <c r="BN53" s="10"/>
      <c r="BO53" s="2"/>
      <c r="BP53" s="10"/>
      <c r="BQ53" s="10"/>
      <c r="BR53" s="10"/>
      <c r="BS53" s="11"/>
    </row>
    <row r="54" spans="28:71" ht="15.75" thickBot="1" x14ac:dyDescent="0.3">
      <c r="AE54" s="2" t="s">
        <v>39</v>
      </c>
      <c r="AF54" s="39">
        <v>1039</v>
      </c>
      <c r="AG54" s="41" t="s">
        <v>183</v>
      </c>
      <c r="AH54" s="10">
        <v>1034</v>
      </c>
      <c r="AI54" s="43" t="s">
        <v>170</v>
      </c>
      <c r="AJ54" s="10">
        <v>1034</v>
      </c>
      <c r="AK54" s="43" t="s">
        <v>184</v>
      </c>
      <c r="AL54" s="39" t="s">
        <v>59</v>
      </c>
      <c r="AM54" s="41" t="s">
        <v>183</v>
      </c>
      <c r="AN54" s="10" t="s">
        <v>77</v>
      </c>
      <c r="AO54" s="43" t="s">
        <v>170</v>
      </c>
      <c r="AP54" s="10" t="s">
        <v>77</v>
      </c>
      <c r="AQ54" s="43" t="s">
        <v>184</v>
      </c>
      <c r="AR54" s="39" t="s">
        <v>60</v>
      </c>
      <c r="AS54" s="41" t="s">
        <v>183</v>
      </c>
      <c r="AT54" s="2">
        <v>1043</v>
      </c>
      <c r="AU54" s="43" t="s">
        <v>170</v>
      </c>
      <c r="AV54" s="10">
        <v>1043</v>
      </c>
      <c r="AW54" s="43" t="s">
        <v>184</v>
      </c>
      <c r="AX54" s="39" t="s">
        <v>241</v>
      </c>
      <c r="AY54" s="41" t="s">
        <v>183</v>
      </c>
      <c r="AZ54" s="10" t="s">
        <v>260</v>
      </c>
      <c r="BA54" s="43" t="s">
        <v>170</v>
      </c>
      <c r="BB54" s="10" t="s">
        <v>283</v>
      </c>
      <c r="BC54" s="43" t="s">
        <v>184</v>
      </c>
      <c r="BG54" s="2" t="s">
        <v>39</v>
      </c>
      <c r="BH54" s="16"/>
      <c r="BI54" s="17"/>
      <c r="BJ54" s="17"/>
      <c r="BK54" s="17"/>
      <c r="BL54" s="17"/>
      <c r="BM54" s="17"/>
      <c r="BN54" s="17"/>
      <c r="BO54" s="15"/>
      <c r="BP54" s="17"/>
      <c r="BQ54" s="17"/>
      <c r="BR54" s="17"/>
      <c r="BS54" s="18"/>
    </row>
    <row r="56" spans="28:71" x14ac:dyDescent="0.25">
      <c r="AB56">
        <v>5</v>
      </c>
    </row>
    <row r="57" spans="28:71" ht="15.75" thickBot="1" x14ac:dyDescent="0.3">
      <c r="AB57">
        <v>18</v>
      </c>
      <c r="AE57" s="1">
        <v>6</v>
      </c>
      <c r="AF57" s="2">
        <v>1</v>
      </c>
      <c r="AG57" s="2"/>
      <c r="AH57" s="2">
        <v>2</v>
      </c>
      <c r="AI57" s="2"/>
      <c r="AJ57" s="2">
        <v>3</v>
      </c>
      <c r="AK57" s="2"/>
      <c r="AL57" s="2">
        <v>4</v>
      </c>
      <c r="AM57" s="2"/>
      <c r="AN57" s="2">
        <v>5</v>
      </c>
      <c r="AO57" s="2"/>
      <c r="AP57" s="2">
        <v>6</v>
      </c>
      <c r="AQ57" s="2"/>
      <c r="AR57" s="2">
        <v>7</v>
      </c>
      <c r="AS57" s="2"/>
      <c r="AT57" s="2">
        <v>8</v>
      </c>
      <c r="AU57" s="2"/>
      <c r="AV57" s="2">
        <v>9</v>
      </c>
      <c r="AW57" s="2"/>
      <c r="AX57" s="2">
        <v>10</v>
      </c>
      <c r="AY57" s="2"/>
      <c r="AZ57" s="2">
        <v>11</v>
      </c>
      <c r="BA57" s="2"/>
      <c r="BB57" s="2">
        <v>12</v>
      </c>
      <c r="BG57" s="1">
        <v>12</v>
      </c>
      <c r="BH57" s="2">
        <v>1</v>
      </c>
      <c r="BI57" s="2">
        <v>2</v>
      </c>
      <c r="BJ57" s="2">
        <v>3</v>
      </c>
      <c r="BK57" s="2">
        <v>4</v>
      </c>
      <c r="BL57" s="2">
        <v>5</v>
      </c>
      <c r="BM57" s="2">
        <v>6</v>
      </c>
      <c r="BN57" s="2">
        <v>7</v>
      </c>
      <c r="BO57" s="2">
        <v>8</v>
      </c>
      <c r="BP57" s="2">
        <v>9</v>
      </c>
      <c r="BQ57" s="2">
        <v>10</v>
      </c>
      <c r="BR57" s="2">
        <v>11</v>
      </c>
      <c r="BS57" s="2">
        <v>12</v>
      </c>
    </row>
    <row r="58" spans="28:71" x14ac:dyDescent="0.25">
      <c r="AE58" s="2" t="s">
        <v>0</v>
      </c>
      <c r="AF58" s="19"/>
      <c r="AG58" s="4"/>
      <c r="AH58" s="39">
        <v>1044</v>
      </c>
      <c r="AI58" s="41" t="s">
        <v>178</v>
      </c>
      <c r="AJ58" s="39">
        <v>1044</v>
      </c>
      <c r="AK58" s="41" t="s">
        <v>187</v>
      </c>
      <c r="AL58" s="10">
        <v>1048</v>
      </c>
      <c r="AM58" s="43" t="s">
        <v>186</v>
      </c>
      <c r="AN58" s="39" t="s">
        <v>7</v>
      </c>
      <c r="AO58" s="41" t="s">
        <v>178</v>
      </c>
      <c r="AP58" s="39" t="s">
        <v>7</v>
      </c>
      <c r="AQ58" s="41" t="s">
        <v>187</v>
      </c>
      <c r="AR58" s="10">
        <v>1045</v>
      </c>
      <c r="AS58" s="43" t="s">
        <v>186</v>
      </c>
      <c r="AT58" s="39">
        <v>1046</v>
      </c>
      <c r="AU58" s="41" t="s">
        <v>178</v>
      </c>
      <c r="AV58" s="39">
        <v>1046</v>
      </c>
      <c r="AW58" s="41" t="s">
        <v>187</v>
      </c>
      <c r="AX58" s="10">
        <v>1047</v>
      </c>
      <c r="AY58" s="43" t="s">
        <v>186</v>
      </c>
      <c r="AZ58" s="39">
        <v>2021</v>
      </c>
      <c r="BA58" s="41" t="s">
        <v>178</v>
      </c>
      <c r="BB58" s="39">
        <v>2021</v>
      </c>
      <c r="BC58" s="41" t="s">
        <v>187</v>
      </c>
      <c r="BG58" s="2" t="s">
        <v>0</v>
      </c>
      <c r="BH58" s="19"/>
      <c r="BI58" s="6"/>
      <c r="BJ58" s="6"/>
      <c r="BK58" s="21"/>
      <c r="BL58" s="21"/>
      <c r="BM58" s="21"/>
      <c r="BN58" s="21"/>
      <c r="BO58" s="21"/>
      <c r="BP58" s="23"/>
      <c r="BQ58" s="23"/>
      <c r="BR58" s="21"/>
      <c r="BS58" s="7"/>
    </row>
    <row r="59" spans="28:71" x14ac:dyDescent="0.25">
      <c r="AE59" s="2" t="s">
        <v>9</v>
      </c>
      <c r="AF59" s="20"/>
      <c r="AG59" s="2"/>
      <c r="AH59" s="39">
        <v>1044</v>
      </c>
      <c r="AI59" s="41" t="s">
        <v>163</v>
      </c>
      <c r="AJ59" s="39">
        <v>1044</v>
      </c>
      <c r="AK59" s="41" t="s">
        <v>189</v>
      </c>
      <c r="AL59" s="10">
        <v>1048</v>
      </c>
      <c r="AM59" s="43" t="s">
        <v>188</v>
      </c>
      <c r="AN59" s="39" t="s">
        <v>7</v>
      </c>
      <c r="AO59" s="41" t="s">
        <v>163</v>
      </c>
      <c r="AP59" s="39" t="s">
        <v>7</v>
      </c>
      <c r="AQ59" s="41" t="s">
        <v>189</v>
      </c>
      <c r="AR59" s="10">
        <v>1045</v>
      </c>
      <c r="AS59" s="43" t="s">
        <v>188</v>
      </c>
      <c r="AT59" s="39">
        <v>1046</v>
      </c>
      <c r="AU59" s="41" t="s">
        <v>163</v>
      </c>
      <c r="AV59" s="39">
        <v>1046</v>
      </c>
      <c r="AW59" s="41" t="s">
        <v>189</v>
      </c>
      <c r="AX59" s="10">
        <v>1047</v>
      </c>
      <c r="AY59" s="43" t="s">
        <v>188</v>
      </c>
      <c r="AZ59" s="39">
        <v>2021</v>
      </c>
      <c r="BA59" s="41" t="s">
        <v>163</v>
      </c>
      <c r="BB59" s="39">
        <v>2021</v>
      </c>
      <c r="BC59" s="41" t="s">
        <v>189</v>
      </c>
      <c r="BG59" s="2" t="s">
        <v>9</v>
      </c>
      <c r="BH59" s="20"/>
      <c r="BI59" s="10"/>
      <c r="BJ59" s="10"/>
      <c r="BK59" s="12"/>
      <c r="BL59" s="12"/>
      <c r="BM59" s="12"/>
      <c r="BN59" s="12"/>
      <c r="BO59" s="12"/>
      <c r="BP59" s="24"/>
      <c r="BQ59" s="24"/>
      <c r="BR59" s="12"/>
      <c r="BS59" s="11"/>
    </row>
    <row r="60" spans="28:71" x14ac:dyDescent="0.25">
      <c r="AE60" s="2" t="s">
        <v>12</v>
      </c>
      <c r="AF60" s="20"/>
      <c r="AG60" s="2"/>
      <c r="AH60" s="39">
        <v>1044</v>
      </c>
      <c r="AI60" s="41" t="s">
        <v>181</v>
      </c>
      <c r="AJ60" s="10">
        <v>1048</v>
      </c>
      <c r="AK60" s="43" t="s">
        <v>162</v>
      </c>
      <c r="AL60" s="10">
        <v>1048</v>
      </c>
      <c r="AM60" s="43" t="s">
        <v>182</v>
      </c>
      <c r="AN60" s="39" t="s">
        <v>7</v>
      </c>
      <c r="AO60" s="41" t="s">
        <v>181</v>
      </c>
      <c r="AP60" s="10">
        <v>1045</v>
      </c>
      <c r="AQ60" s="43" t="s">
        <v>162</v>
      </c>
      <c r="AR60" s="10">
        <v>1045</v>
      </c>
      <c r="AS60" s="43" t="s">
        <v>182</v>
      </c>
      <c r="AT60" s="39">
        <v>1046</v>
      </c>
      <c r="AU60" s="41" t="s">
        <v>181</v>
      </c>
      <c r="AV60" s="10">
        <v>1047</v>
      </c>
      <c r="AW60" s="43" t="s">
        <v>162</v>
      </c>
      <c r="AX60" s="10">
        <v>1047</v>
      </c>
      <c r="AY60" s="43" t="s">
        <v>182</v>
      </c>
      <c r="AZ60" s="39">
        <v>2021</v>
      </c>
      <c r="BA60" s="41" t="s">
        <v>181</v>
      </c>
      <c r="BB60" s="10">
        <v>1033</v>
      </c>
      <c r="BC60" s="43" t="s">
        <v>181</v>
      </c>
      <c r="BG60" s="2" t="s">
        <v>12</v>
      </c>
      <c r="BH60" s="20"/>
      <c r="BI60" s="10"/>
      <c r="BJ60" s="10"/>
      <c r="BK60" s="12"/>
      <c r="BL60" s="12"/>
      <c r="BM60" s="12"/>
      <c r="BN60" s="12"/>
      <c r="BO60" s="12"/>
      <c r="BP60" s="24"/>
      <c r="BQ60" s="24"/>
      <c r="BR60" s="12"/>
      <c r="BS60" s="11"/>
    </row>
    <row r="61" spans="28:71" ht="15.75" thickBot="1" x14ac:dyDescent="0.3">
      <c r="AE61" s="2" t="s">
        <v>15</v>
      </c>
      <c r="AF61" s="20"/>
      <c r="AG61" s="2"/>
      <c r="AH61" s="39">
        <v>1044</v>
      </c>
      <c r="AI61" s="41" t="s">
        <v>183</v>
      </c>
      <c r="AJ61" s="10">
        <v>1048</v>
      </c>
      <c r="AK61" s="43" t="s">
        <v>170</v>
      </c>
      <c r="AL61" s="10">
        <v>1048</v>
      </c>
      <c r="AM61" s="43" t="s">
        <v>184</v>
      </c>
      <c r="AN61" s="39" t="s">
        <v>7</v>
      </c>
      <c r="AO61" s="41" t="s">
        <v>183</v>
      </c>
      <c r="AP61" s="10">
        <v>1045</v>
      </c>
      <c r="AQ61" s="43" t="s">
        <v>170</v>
      </c>
      <c r="AR61" s="10">
        <v>1045</v>
      </c>
      <c r="AS61" s="43" t="s">
        <v>184</v>
      </c>
      <c r="AT61" s="39">
        <v>1046</v>
      </c>
      <c r="AU61" s="41" t="s">
        <v>183</v>
      </c>
      <c r="AV61" s="10">
        <v>1047</v>
      </c>
      <c r="AW61" s="43" t="s">
        <v>170</v>
      </c>
      <c r="AX61" s="10">
        <v>1047</v>
      </c>
      <c r="AY61" s="43" t="s">
        <v>184</v>
      </c>
      <c r="AZ61" s="39">
        <v>2021</v>
      </c>
      <c r="BA61" s="41" t="s">
        <v>183</v>
      </c>
      <c r="BB61" s="10">
        <v>1033</v>
      </c>
      <c r="BC61" s="43" t="s">
        <v>183</v>
      </c>
      <c r="BG61" s="2" t="s">
        <v>15</v>
      </c>
      <c r="BH61" s="20"/>
      <c r="BI61" s="10"/>
      <c r="BJ61" s="10"/>
      <c r="BK61" s="12"/>
      <c r="BL61" s="12"/>
      <c r="BM61" s="12"/>
      <c r="BN61" s="12"/>
      <c r="BO61" s="12"/>
      <c r="BP61" s="24"/>
      <c r="BQ61" s="24"/>
      <c r="BR61" s="12"/>
      <c r="BS61" s="11"/>
    </row>
    <row r="62" spans="28:71" x14ac:dyDescent="0.25">
      <c r="AE62" s="2" t="s">
        <v>18</v>
      </c>
      <c r="AF62" s="10" t="s">
        <v>284</v>
      </c>
      <c r="AG62" s="43" t="s">
        <v>187</v>
      </c>
      <c r="AH62" s="39">
        <v>1044</v>
      </c>
      <c r="AI62" s="41" t="s">
        <v>186</v>
      </c>
      <c r="AJ62" s="10">
        <v>1048</v>
      </c>
      <c r="AK62" s="43" t="s">
        <v>178</v>
      </c>
      <c r="AL62" s="10">
        <v>1048</v>
      </c>
      <c r="AM62" s="43" t="s">
        <v>187</v>
      </c>
      <c r="AN62" s="39" t="s">
        <v>7</v>
      </c>
      <c r="AO62" s="41" t="s">
        <v>186</v>
      </c>
      <c r="AP62" s="10">
        <v>1045</v>
      </c>
      <c r="AQ62" s="43" t="s">
        <v>178</v>
      </c>
      <c r="AR62" s="10">
        <v>1045</v>
      </c>
      <c r="AS62" s="43" t="s">
        <v>187</v>
      </c>
      <c r="AT62" s="39">
        <v>1046</v>
      </c>
      <c r="AU62" s="41" t="s">
        <v>186</v>
      </c>
      <c r="AV62" s="10">
        <v>1047</v>
      </c>
      <c r="AW62" s="43" t="s">
        <v>178</v>
      </c>
      <c r="AX62" s="10">
        <v>1047</v>
      </c>
      <c r="AY62" s="43" t="s">
        <v>187</v>
      </c>
      <c r="AZ62" s="39">
        <v>2021</v>
      </c>
      <c r="BA62" s="41" t="s">
        <v>186</v>
      </c>
      <c r="BB62" s="10">
        <v>1033</v>
      </c>
      <c r="BC62" s="43" t="s">
        <v>182</v>
      </c>
      <c r="BG62" s="2" t="s">
        <v>18</v>
      </c>
      <c r="BH62" s="5"/>
      <c r="BI62" s="6"/>
      <c r="BJ62" s="6"/>
      <c r="BK62" s="23"/>
      <c r="BL62" s="21"/>
      <c r="BM62" s="21"/>
      <c r="BN62" s="21"/>
      <c r="BO62" s="21"/>
      <c r="BP62" s="21"/>
      <c r="BQ62" s="21"/>
      <c r="BR62" s="6"/>
      <c r="BS62" s="7"/>
    </row>
    <row r="63" spans="28:71" x14ac:dyDescent="0.25">
      <c r="AE63" s="2" t="s">
        <v>29</v>
      </c>
      <c r="AF63" s="10" t="s">
        <v>285</v>
      </c>
      <c r="AG63" s="43" t="s">
        <v>189</v>
      </c>
      <c r="AH63" s="39">
        <v>1044</v>
      </c>
      <c r="AI63" s="41" t="s">
        <v>188</v>
      </c>
      <c r="AJ63" s="10">
        <v>1048</v>
      </c>
      <c r="AK63" s="43" t="s">
        <v>163</v>
      </c>
      <c r="AL63" s="10">
        <v>1048</v>
      </c>
      <c r="AM63" s="43" t="s">
        <v>189</v>
      </c>
      <c r="AN63" s="39" t="s">
        <v>7</v>
      </c>
      <c r="AO63" s="41" t="s">
        <v>188</v>
      </c>
      <c r="AP63" s="10">
        <v>1045</v>
      </c>
      <c r="AQ63" s="43" t="s">
        <v>163</v>
      </c>
      <c r="AR63" s="10">
        <v>1045</v>
      </c>
      <c r="AS63" s="43" t="s">
        <v>189</v>
      </c>
      <c r="AT63" s="39">
        <v>1046</v>
      </c>
      <c r="AU63" s="41" t="s">
        <v>188</v>
      </c>
      <c r="AV63" s="10">
        <v>1047</v>
      </c>
      <c r="AW63" s="43" t="s">
        <v>163</v>
      </c>
      <c r="AX63" s="10">
        <v>1047</v>
      </c>
      <c r="AY63" s="43" t="s">
        <v>189</v>
      </c>
      <c r="AZ63" s="39">
        <v>2021</v>
      </c>
      <c r="BA63" s="41" t="s">
        <v>188</v>
      </c>
      <c r="BB63" s="10">
        <v>1033</v>
      </c>
      <c r="BC63" s="43" t="s">
        <v>184</v>
      </c>
      <c r="BG63" s="2" t="s">
        <v>29</v>
      </c>
      <c r="BH63" s="9"/>
      <c r="BI63" s="10"/>
      <c r="BJ63" s="10"/>
      <c r="BK63" s="24"/>
      <c r="BL63" s="12"/>
      <c r="BM63" s="12"/>
      <c r="BN63" s="12"/>
      <c r="BO63" s="12"/>
      <c r="BP63" s="12"/>
      <c r="BQ63" s="12"/>
      <c r="BR63" s="10"/>
      <c r="BS63" s="11"/>
    </row>
    <row r="64" spans="28:71" x14ac:dyDescent="0.25">
      <c r="AE64" s="2" t="s">
        <v>34</v>
      </c>
      <c r="AF64" s="39">
        <v>1044</v>
      </c>
      <c r="AG64" s="41" t="s">
        <v>162</v>
      </c>
      <c r="AH64" s="39">
        <v>1044</v>
      </c>
      <c r="AI64" s="41" t="s">
        <v>182</v>
      </c>
      <c r="AJ64" s="10">
        <v>1048</v>
      </c>
      <c r="AK64" s="43" t="s">
        <v>181</v>
      </c>
      <c r="AL64" s="39" t="s">
        <v>7</v>
      </c>
      <c r="AM64" s="41" t="s">
        <v>162</v>
      </c>
      <c r="AN64" s="39" t="s">
        <v>7</v>
      </c>
      <c r="AO64" s="41" t="s">
        <v>182</v>
      </c>
      <c r="AP64" s="10">
        <v>1045</v>
      </c>
      <c r="AQ64" s="43" t="s">
        <v>181</v>
      </c>
      <c r="AR64" s="39">
        <v>1046</v>
      </c>
      <c r="AS64" s="41" t="s">
        <v>162</v>
      </c>
      <c r="AT64" s="39">
        <v>1046</v>
      </c>
      <c r="AU64" s="41" t="s">
        <v>182</v>
      </c>
      <c r="AV64" s="10">
        <v>1047</v>
      </c>
      <c r="AW64" s="43" t="s">
        <v>181</v>
      </c>
      <c r="AX64" s="39">
        <v>2021</v>
      </c>
      <c r="AY64" s="41" t="s">
        <v>162</v>
      </c>
      <c r="AZ64" s="39">
        <v>2021</v>
      </c>
      <c r="BA64" s="41" t="s">
        <v>182</v>
      </c>
      <c r="BB64" s="10">
        <v>1033</v>
      </c>
      <c r="BC64" s="43" t="s">
        <v>187</v>
      </c>
      <c r="BG64" s="2" t="s">
        <v>34</v>
      </c>
      <c r="BH64" s="9"/>
      <c r="BI64" s="10"/>
      <c r="BJ64" s="10"/>
      <c r="BK64" s="24"/>
      <c r="BL64" s="12"/>
      <c r="BM64" s="12"/>
      <c r="BN64" s="12"/>
      <c r="BO64" s="12"/>
      <c r="BP64" s="12"/>
      <c r="BQ64" s="12"/>
      <c r="BR64" s="10"/>
      <c r="BS64" s="11"/>
    </row>
    <row r="65" spans="31:71" ht="15.75" thickBot="1" x14ac:dyDescent="0.3">
      <c r="AE65" s="2" t="s">
        <v>39</v>
      </c>
      <c r="AF65" s="39">
        <v>1044</v>
      </c>
      <c r="AG65" s="41" t="s">
        <v>170</v>
      </c>
      <c r="AH65" s="39">
        <v>1044</v>
      </c>
      <c r="AI65" s="41" t="s">
        <v>184</v>
      </c>
      <c r="AJ65" s="10">
        <v>1048</v>
      </c>
      <c r="AK65" s="43" t="s">
        <v>183</v>
      </c>
      <c r="AL65" s="39" t="s">
        <v>7</v>
      </c>
      <c r="AM65" s="41" t="s">
        <v>170</v>
      </c>
      <c r="AN65" s="39" t="s">
        <v>7</v>
      </c>
      <c r="AO65" s="41" t="s">
        <v>184</v>
      </c>
      <c r="AP65" s="10">
        <v>1045</v>
      </c>
      <c r="AQ65" s="43" t="s">
        <v>183</v>
      </c>
      <c r="AR65" s="39">
        <v>1046</v>
      </c>
      <c r="AS65" s="41" t="s">
        <v>170</v>
      </c>
      <c r="AT65" s="39">
        <v>1046</v>
      </c>
      <c r="AU65" s="41" t="s">
        <v>184</v>
      </c>
      <c r="AV65" s="10">
        <v>1047</v>
      </c>
      <c r="AW65" s="43" t="s">
        <v>183</v>
      </c>
      <c r="AX65" s="39">
        <v>2021</v>
      </c>
      <c r="AY65" s="41" t="s">
        <v>170</v>
      </c>
      <c r="AZ65" s="39">
        <v>2021</v>
      </c>
      <c r="BA65" s="41" t="s">
        <v>184</v>
      </c>
      <c r="BB65" s="10">
        <v>1033</v>
      </c>
      <c r="BC65" s="43" t="s">
        <v>189</v>
      </c>
      <c r="BG65" s="2" t="s">
        <v>39</v>
      </c>
      <c r="BH65" s="16"/>
      <c r="BI65" s="17"/>
      <c r="BJ65" s="17"/>
      <c r="BK65" s="25"/>
      <c r="BL65" s="22"/>
      <c r="BM65" s="22"/>
      <c r="BN65" s="22"/>
      <c r="BO65" s="22"/>
      <c r="BP65" s="22"/>
      <c r="BQ65" s="22"/>
      <c r="BR65" s="17"/>
      <c r="BS65" s="18"/>
    </row>
  </sheetData>
  <pageMargins left="0.7" right="0.7" top="0.75" bottom="0.75" header="0.3" footer="0.3"/>
  <pageSetup paperSize="9" scale="1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599"/>
  <sheetViews>
    <sheetView topLeftCell="A534" zoomScaleNormal="100" workbookViewId="0">
      <selection activeCell="BR129" sqref="A1:XFD1048576"/>
    </sheetView>
  </sheetViews>
  <sheetFormatPr defaultRowHeight="15" x14ac:dyDescent="0.25"/>
  <cols>
    <col min="5" max="5" width="12.7109375" bestFit="1" customWidth="1"/>
    <col min="8" max="8" width="17.85546875" customWidth="1"/>
    <col min="12" max="12" width="7" customWidth="1"/>
    <col min="13" max="13" width="9.5703125" customWidth="1"/>
    <col min="14" max="15" width="0.140625" customWidth="1"/>
    <col min="17" max="17" width="19.5703125" customWidth="1"/>
    <col min="22" max="22" width="8" customWidth="1"/>
    <col min="23" max="24" width="9.140625" hidden="1" customWidth="1"/>
    <col min="26" max="26" width="17.42578125" customWidth="1"/>
    <col min="35" max="35" width="19" bestFit="1" customWidth="1"/>
    <col min="44" max="44" width="19" bestFit="1" customWidth="1"/>
    <col min="53" max="53" width="19" bestFit="1" customWidth="1"/>
    <col min="55" max="55" width="6.140625" bestFit="1" customWidth="1"/>
    <col min="56" max="56" width="11.5703125" bestFit="1" customWidth="1"/>
    <col min="57" max="57" width="4.85546875" bestFit="1" customWidth="1"/>
    <col min="58" max="58" width="7.85546875" bestFit="1" customWidth="1"/>
    <col min="59" max="59" width="12.85546875" hidden="1" customWidth="1"/>
    <col min="60" max="60" width="8" bestFit="1" customWidth="1"/>
    <col min="61" max="61" width="9.28515625" bestFit="1" customWidth="1"/>
    <col min="62" max="62" width="19" bestFit="1" customWidth="1"/>
    <col min="64" max="64" width="6.140625" bestFit="1" customWidth="1"/>
    <col min="65" max="65" width="11.5703125" bestFit="1" customWidth="1"/>
    <col min="66" max="66" width="4.85546875" bestFit="1" customWidth="1"/>
    <col min="67" max="67" width="7.85546875" bestFit="1" customWidth="1"/>
    <col min="68" max="68" width="12.85546875" hidden="1" customWidth="1"/>
    <col min="69" max="69" width="8" bestFit="1" customWidth="1"/>
    <col min="70" max="70" width="9.28515625" bestFit="1" customWidth="1"/>
    <col min="71" max="71" width="19" bestFit="1" customWidth="1"/>
    <col min="73" max="73" width="6.140625" bestFit="1" customWidth="1"/>
    <col min="74" max="74" width="11.5703125" bestFit="1" customWidth="1"/>
    <col min="75" max="75" width="4.85546875" bestFit="1" customWidth="1"/>
    <col min="76" max="76" width="7.85546875" customWidth="1"/>
    <col min="77" max="77" width="12.85546875" hidden="1" customWidth="1"/>
    <col min="78" max="78" width="8" bestFit="1" customWidth="1"/>
    <col min="79" max="79" width="9.28515625" bestFit="1" customWidth="1"/>
    <col min="80" max="80" width="19" bestFit="1" customWidth="1"/>
    <col min="89" max="89" width="19" bestFit="1" customWidth="1"/>
    <col min="261" max="261" width="12.7109375" bestFit="1" customWidth="1"/>
    <col min="264" max="264" width="17.85546875" customWidth="1"/>
    <col min="268" max="268" width="7" customWidth="1"/>
    <col min="269" max="269" width="9.5703125" customWidth="1"/>
    <col min="270" max="271" width="0.140625" customWidth="1"/>
    <col min="273" max="273" width="19.5703125" customWidth="1"/>
    <col min="278" max="278" width="8" customWidth="1"/>
    <col min="279" max="280" width="0" hidden="1" customWidth="1"/>
    <col min="282" max="282" width="17.42578125" customWidth="1"/>
    <col min="291" max="291" width="19" bestFit="1" customWidth="1"/>
    <col min="300" max="300" width="19" bestFit="1" customWidth="1"/>
    <col min="309" max="309" width="19" bestFit="1" customWidth="1"/>
    <col min="311" max="311" width="6.140625" bestFit="1" customWidth="1"/>
    <col min="312" max="312" width="11.5703125" bestFit="1" customWidth="1"/>
    <col min="313" max="313" width="4.85546875" bestFit="1" customWidth="1"/>
    <col min="314" max="314" width="7.85546875" bestFit="1" customWidth="1"/>
    <col min="315" max="315" width="0" hidden="1" customWidth="1"/>
    <col min="316" max="316" width="8" bestFit="1" customWidth="1"/>
    <col min="317" max="317" width="9.28515625" bestFit="1" customWidth="1"/>
    <col min="318" max="318" width="19" bestFit="1" customWidth="1"/>
    <col min="320" max="320" width="6.140625" bestFit="1" customWidth="1"/>
    <col min="321" max="321" width="11.5703125" bestFit="1" customWidth="1"/>
    <col min="322" max="322" width="4.85546875" bestFit="1" customWidth="1"/>
    <col min="323" max="323" width="7.85546875" bestFit="1" customWidth="1"/>
    <col min="324" max="324" width="0" hidden="1" customWidth="1"/>
    <col min="325" max="325" width="8" bestFit="1" customWidth="1"/>
    <col min="326" max="326" width="9.28515625" bestFit="1" customWidth="1"/>
    <col min="327" max="327" width="19" bestFit="1" customWidth="1"/>
    <col min="329" max="329" width="6.140625" bestFit="1" customWidth="1"/>
    <col min="330" max="330" width="11.5703125" bestFit="1" customWidth="1"/>
    <col min="331" max="331" width="4.85546875" bestFit="1" customWidth="1"/>
    <col min="332" max="332" width="7.85546875" customWidth="1"/>
    <col min="333" max="333" width="0" hidden="1" customWidth="1"/>
    <col min="334" max="334" width="8" bestFit="1" customWidth="1"/>
    <col min="335" max="335" width="9.28515625" bestFit="1" customWidth="1"/>
    <col min="336" max="336" width="19" bestFit="1" customWidth="1"/>
    <col min="345" max="345" width="19" bestFit="1" customWidth="1"/>
    <col min="517" max="517" width="12.7109375" bestFit="1" customWidth="1"/>
    <col min="520" max="520" width="17.85546875" customWidth="1"/>
    <col min="524" max="524" width="7" customWidth="1"/>
    <col min="525" max="525" width="9.5703125" customWidth="1"/>
    <col min="526" max="527" width="0.140625" customWidth="1"/>
    <col min="529" max="529" width="19.5703125" customWidth="1"/>
    <col min="534" max="534" width="8" customWidth="1"/>
    <col min="535" max="536" width="0" hidden="1" customWidth="1"/>
    <col min="538" max="538" width="17.42578125" customWidth="1"/>
    <col min="547" max="547" width="19" bestFit="1" customWidth="1"/>
    <col min="556" max="556" width="19" bestFit="1" customWidth="1"/>
    <col min="565" max="565" width="19" bestFit="1" customWidth="1"/>
    <col min="567" max="567" width="6.140625" bestFit="1" customWidth="1"/>
    <col min="568" max="568" width="11.5703125" bestFit="1" customWidth="1"/>
    <col min="569" max="569" width="4.85546875" bestFit="1" customWidth="1"/>
    <col min="570" max="570" width="7.85546875" bestFit="1" customWidth="1"/>
    <col min="571" max="571" width="0" hidden="1" customWidth="1"/>
    <col min="572" max="572" width="8" bestFit="1" customWidth="1"/>
    <col min="573" max="573" width="9.28515625" bestFit="1" customWidth="1"/>
    <col min="574" max="574" width="19" bestFit="1" customWidth="1"/>
    <col min="576" max="576" width="6.140625" bestFit="1" customWidth="1"/>
    <col min="577" max="577" width="11.5703125" bestFit="1" customWidth="1"/>
    <col min="578" max="578" width="4.85546875" bestFit="1" customWidth="1"/>
    <col min="579" max="579" width="7.85546875" bestFit="1" customWidth="1"/>
    <col min="580" max="580" width="0" hidden="1" customWidth="1"/>
    <col min="581" max="581" width="8" bestFit="1" customWidth="1"/>
    <col min="582" max="582" width="9.28515625" bestFit="1" customWidth="1"/>
    <col min="583" max="583" width="19" bestFit="1" customWidth="1"/>
    <col min="585" max="585" width="6.140625" bestFit="1" customWidth="1"/>
    <col min="586" max="586" width="11.5703125" bestFit="1" customWidth="1"/>
    <col min="587" max="587" width="4.85546875" bestFit="1" customWidth="1"/>
    <col min="588" max="588" width="7.85546875" customWidth="1"/>
    <col min="589" max="589" width="0" hidden="1" customWidth="1"/>
    <col min="590" max="590" width="8" bestFit="1" customWidth="1"/>
    <col min="591" max="591" width="9.28515625" bestFit="1" customWidth="1"/>
    <col min="592" max="592" width="19" bestFit="1" customWidth="1"/>
    <col min="601" max="601" width="19" bestFit="1" customWidth="1"/>
    <col min="773" max="773" width="12.7109375" bestFit="1" customWidth="1"/>
    <col min="776" max="776" width="17.85546875" customWidth="1"/>
    <col min="780" max="780" width="7" customWidth="1"/>
    <col min="781" max="781" width="9.5703125" customWidth="1"/>
    <col min="782" max="783" width="0.140625" customWidth="1"/>
    <col min="785" max="785" width="19.5703125" customWidth="1"/>
    <col min="790" max="790" width="8" customWidth="1"/>
    <col min="791" max="792" width="0" hidden="1" customWidth="1"/>
    <col min="794" max="794" width="17.42578125" customWidth="1"/>
    <col min="803" max="803" width="19" bestFit="1" customWidth="1"/>
    <col min="812" max="812" width="19" bestFit="1" customWidth="1"/>
    <col min="821" max="821" width="19" bestFit="1" customWidth="1"/>
    <col min="823" max="823" width="6.140625" bestFit="1" customWidth="1"/>
    <col min="824" max="824" width="11.5703125" bestFit="1" customWidth="1"/>
    <col min="825" max="825" width="4.85546875" bestFit="1" customWidth="1"/>
    <col min="826" max="826" width="7.85546875" bestFit="1" customWidth="1"/>
    <col min="827" max="827" width="0" hidden="1" customWidth="1"/>
    <col min="828" max="828" width="8" bestFit="1" customWidth="1"/>
    <col min="829" max="829" width="9.28515625" bestFit="1" customWidth="1"/>
    <col min="830" max="830" width="19" bestFit="1" customWidth="1"/>
    <col min="832" max="832" width="6.140625" bestFit="1" customWidth="1"/>
    <col min="833" max="833" width="11.5703125" bestFit="1" customWidth="1"/>
    <col min="834" max="834" width="4.85546875" bestFit="1" customWidth="1"/>
    <col min="835" max="835" width="7.85546875" bestFit="1" customWidth="1"/>
    <col min="836" max="836" width="0" hidden="1" customWidth="1"/>
    <col min="837" max="837" width="8" bestFit="1" customWidth="1"/>
    <col min="838" max="838" width="9.28515625" bestFit="1" customWidth="1"/>
    <col min="839" max="839" width="19" bestFit="1" customWidth="1"/>
    <col min="841" max="841" width="6.140625" bestFit="1" customWidth="1"/>
    <col min="842" max="842" width="11.5703125" bestFit="1" customWidth="1"/>
    <col min="843" max="843" width="4.85546875" bestFit="1" customWidth="1"/>
    <col min="844" max="844" width="7.85546875" customWidth="1"/>
    <col min="845" max="845" width="0" hidden="1" customWidth="1"/>
    <col min="846" max="846" width="8" bestFit="1" customWidth="1"/>
    <col min="847" max="847" width="9.28515625" bestFit="1" customWidth="1"/>
    <col min="848" max="848" width="19" bestFit="1" customWidth="1"/>
    <col min="857" max="857" width="19" bestFit="1" customWidth="1"/>
    <col min="1029" max="1029" width="12.7109375" bestFit="1" customWidth="1"/>
    <col min="1032" max="1032" width="17.85546875" customWidth="1"/>
    <col min="1036" max="1036" width="7" customWidth="1"/>
    <col min="1037" max="1037" width="9.5703125" customWidth="1"/>
    <col min="1038" max="1039" width="0.140625" customWidth="1"/>
    <col min="1041" max="1041" width="19.5703125" customWidth="1"/>
    <col min="1046" max="1046" width="8" customWidth="1"/>
    <col min="1047" max="1048" width="0" hidden="1" customWidth="1"/>
    <col min="1050" max="1050" width="17.42578125" customWidth="1"/>
    <col min="1059" max="1059" width="19" bestFit="1" customWidth="1"/>
    <col min="1068" max="1068" width="19" bestFit="1" customWidth="1"/>
    <col min="1077" max="1077" width="19" bestFit="1" customWidth="1"/>
    <col min="1079" max="1079" width="6.140625" bestFit="1" customWidth="1"/>
    <col min="1080" max="1080" width="11.5703125" bestFit="1" customWidth="1"/>
    <col min="1081" max="1081" width="4.85546875" bestFit="1" customWidth="1"/>
    <col min="1082" max="1082" width="7.85546875" bestFit="1" customWidth="1"/>
    <col min="1083" max="1083" width="0" hidden="1" customWidth="1"/>
    <col min="1084" max="1084" width="8" bestFit="1" customWidth="1"/>
    <col min="1085" max="1085" width="9.28515625" bestFit="1" customWidth="1"/>
    <col min="1086" max="1086" width="19" bestFit="1" customWidth="1"/>
    <col min="1088" max="1088" width="6.140625" bestFit="1" customWidth="1"/>
    <col min="1089" max="1089" width="11.5703125" bestFit="1" customWidth="1"/>
    <col min="1090" max="1090" width="4.85546875" bestFit="1" customWidth="1"/>
    <col min="1091" max="1091" width="7.85546875" bestFit="1" customWidth="1"/>
    <col min="1092" max="1092" width="0" hidden="1" customWidth="1"/>
    <col min="1093" max="1093" width="8" bestFit="1" customWidth="1"/>
    <col min="1094" max="1094" width="9.28515625" bestFit="1" customWidth="1"/>
    <col min="1095" max="1095" width="19" bestFit="1" customWidth="1"/>
    <col min="1097" max="1097" width="6.140625" bestFit="1" customWidth="1"/>
    <col min="1098" max="1098" width="11.5703125" bestFit="1" customWidth="1"/>
    <col min="1099" max="1099" width="4.85546875" bestFit="1" customWidth="1"/>
    <col min="1100" max="1100" width="7.85546875" customWidth="1"/>
    <col min="1101" max="1101" width="0" hidden="1" customWidth="1"/>
    <col min="1102" max="1102" width="8" bestFit="1" customWidth="1"/>
    <col min="1103" max="1103" width="9.28515625" bestFit="1" customWidth="1"/>
    <col min="1104" max="1104" width="19" bestFit="1" customWidth="1"/>
    <col min="1113" max="1113" width="19" bestFit="1" customWidth="1"/>
    <col min="1285" max="1285" width="12.7109375" bestFit="1" customWidth="1"/>
    <col min="1288" max="1288" width="17.85546875" customWidth="1"/>
    <col min="1292" max="1292" width="7" customWidth="1"/>
    <col min="1293" max="1293" width="9.5703125" customWidth="1"/>
    <col min="1294" max="1295" width="0.140625" customWidth="1"/>
    <col min="1297" max="1297" width="19.5703125" customWidth="1"/>
    <col min="1302" max="1302" width="8" customWidth="1"/>
    <col min="1303" max="1304" width="0" hidden="1" customWidth="1"/>
    <col min="1306" max="1306" width="17.42578125" customWidth="1"/>
    <col min="1315" max="1315" width="19" bestFit="1" customWidth="1"/>
    <col min="1324" max="1324" width="19" bestFit="1" customWidth="1"/>
    <col min="1333" max="1333" width="19" bestFit="1" customWidth="1"/>
    <col min="1335" max="1335" width="6.140625" bestFit="1" customWidth="1"/>
    <col min="1336" max="1336" width="11.5703125" bestFit="1" customWidth="1"/>
    <col min="1337" max="1337" width="4.85546875" bestFit="1" customWidth="1"/>
    <col min="1338" max="1338" width="7.85546875" bestFit="1" customWidth="1"/>
    <col min="1339" max="1339" width="0" hidden="1" customWidth="1"/>
    <col min="1340" max="1340" width="8" bestFit="1" customWidth="1"/>
    <col min="1341" max="1341" width="9.28515625" bestFit="1" customWidth="1"/>
    <col min="1342" max="1342" width="19" bestFit="1" customWidth="1"/>
    <col min="1344" max="1344" width="6.140625" bestFit="1" customWidth="1"/>
    <col min="1345" max="1345" width="11.5703125" bestFit="1" customWidth="1"/>
    <col min="1346" max="1346" width="4.85546875" bestFit="1" customWidth="1"/>
    <col min="1347" max="1347" width="7.85546875" bestFit="1" customWidth="1"/>
    <col min="1348" max="1348" width="0" hidden="1" customWidth="1"/>
    <col min="1349" max="1349" width="8" bestFit="1" customWidth="1"/>
    <col min="1350" max="1350" width="9.28515625" bestFit="1" customWidth="1"/>
    <col min="1351" max="1351" width="19" bestFit="1" customWidth="1"/>
    <col min="1353" max="1353" width="6.140625" bestFit="1" customWidth="1"/>
    <col min="1354" max="1354" width="11.5703125" bestFit="1" customWidth="1"/>
    <col min="1355" max="1355" width="4.85546875" bestFit="1" customWidth="1"/>
    <col min="1356" max="1356" width="7.85546875" customWidth="1"/>
    <col min="1357" max="1357" width="0" hidden="1" customWidth="1"/>
    <col min="1358" max="1358" width="8" bestFit="1" customWidth="1"/>
    <col min="1359" max="1359" width="9.28515625" bestFit="1" customWidth="1"/>
    <col min="1360" max="1360" width="19" bestFit="1" customWidth="1"/>
    <col min="1369" max="1369" width="19" bestFit="1" customWidth="1"/>
    <col min="1541" max="1541" width="12.7109375" bestFit="1" customWidth="1"/>
    <col min="1544" max="1544" width="17.85546875" customWidth="1"/>
    <col min="1548" max="1548" width="7" customWidth="1"/>
    <col min="1549" max="1549" width="9.5703125" customWidth="1"/>
    <col min="1550" max="1551" width="0.140625" customWidth="1"/>
    <col min="1553" max="1553" width="19.5703125" customWidth="1"/>
    <col min="1558" max="1558" width="8" customWidth="1"/>
    <col min="1559" max="1560" width="0" hidden="1" customWidth="1"/>
    <col min="1562" max="1562" width="17.42578125" customWidth="1"/>
    <col min="1571" max="1571" width="19" bestFit="1" customWidth="1"/>
    <col min="1580" max="1580" width="19" bestFit="1" customWidth="1"/>
    <col min="1589" max="1589" width="19" bestFit="1" customWidth="1"/>
    <col min="1591" max="1591" width="6.140625" bestFit="1" customWidth="1"/>
    <col min="1592" max="1592" width="11.5703125" bestFit="1" customWidth="1"/>
    <col min="1593" max="1593" width="4.85546875" bestFit="1" customWidth="1"/>
    <col min="1594" max="1594" width="7.85546875" bestFit="1" customWidth="1"/>
    <col min="1595" max="1595" width="0" hidden="1" customWidth="1"/>
    <col min="1596" max="1596" width="8" bestFit="1" customWidth="1"/>
    <col min="1597" max="1597" width="9.28515625" bestFit="1" customWidth="1"/>
    <col min="1598" max="1598" width="19" bestFit="1" customWidth="1"/>
    <col min="1600" max="1600" width="6.140625" bestFit="1" customWidth="1"/>
    <col min="1601" max="1601" width="11.5703125" bestFit="1" customWidth="1"/>
    <col min="1602" max="1602" width="4.85546875" bestFit="1" customWidth="1"/>
    <col min="1603" max="1603" width="7.85546875" bestFit="1" customWidth="1"/>
    <col min="1604" max="1604" width="0" hidden="1" customWidth="1"/>
    <col min="1605" max="1605" width="8" bestFit="1" customWidth="1"/>
    <col min="1606" max="1606" width="9.28515625" bestFit="1" customWidth="1"/>
    <col min="1607" max="1607" width="19" bestFit="1" customWidth="1"/>
    <col min="1609" max="1609" width="6.140625" bestFit="1" customWidth="1"/>
    <col min="1610" max="1610" width="11.5703125" bestFit="1" customWidth="1"/>
    <col min="1611" max="1611" width="4.85546875" bestFit="1" customWidth="1"/>
    <col min="1612" max="1612" width="7.85546875" customWidth="1"/>
    <col min="1613" max="1613" width="0" hidden="1" customWidth="1"/>
    <col min="1614" max="1614" width="8" bestFit="1" customWidth="1"/>
    <col min="1615" max="1615" width="9.28515625" bestFit="1" customWidth="1"/>
    <col min="1616" max="1616" width="19" bestFit="1" customWidth="1"/>
    <col min="1625" max="1625" width="19" bestFit="1" customWidth="1"/>
    <col min="1797" max="1797" width="12.7109375" bestFit="1" customWidth="1"/>
    <col min="1800" max="1800" width="17.85546875" customWidth="1"/>
    <col min="1804" max="1804" width="7" customWidth="1"/>
    <col min="1805" max="1805" width="9.5703125" customWidth="1"/>
    <col min="1806" max="1807" width="0.140625" customWidth="1"/>
    <col min="1809" max="1809" width="19.5703125" customWidth="1"/>
    <col min="1814" max="1814" width="8" customWidth="1"/>
    <col min="1815" max="1816" width="0" hidden="1" customWidth="1"/>
    <col min="1818" max="1818" width="17.42578125" customWidth="1"/>
    <col min="1827" max="1827" width="19" bestFit="1" customWidth="1"/>
    <col min="1836" max="1836" width="19" bestFit="1" customWidth="1"/>
    <col min="1845" max="1845" width="19" bestFit="1" customWidth="1"/>
    <col min="1847" max="1847" width="6.140625" bestFit="1" customWidth="1"/>
    <col min="1848" max="1848" width="11.5703125" bestFit="1" customWidth="1"/>
    <col min="1849" max="1849" width="4.85546875" bestFit="1" customWidth="1"/>
    <col min="1850" max="1850" width="7.85546875" bestFit="1" customWidth="1"/>
    <col min="1851" max="1851" width="0" hidden="1" customWidth="1"/>
    <col min="1852" max="1852" width="8" bestFit="1" customWidth="1"/>
    <col min="1853" max="1853" width="9.28515625" bestFit="1" customWidth="1"/>
    <col min="1854" max="1854" width="19" bestFit="1" customWidth="1"/>
    <col min="1856" max="1856" width="6.140625" bestFit="1" customWidth="1"/>
    <col min="1857" max="1857" width="11.5703125" bestFit="1" customWidth="1"/>
    <col min="1858" max="1858" width="4.85546875" bestFit="1" customWidth="1"/>
    <col min="1859" max="1859" width="7.85546875" bestFit="1" customWidth="1"/>
    <col min="1860" max="1860" width="0" hidden="1" customWidth="1"/>
    <col min="1861" max="1861" width="8" bestFit="1" customWidth="1"/>
    <col min="1862" max="1862" width="9.28515625" bestFit="1" customWidth="1"/>
    <col min="1863" max="1863" width="19" bestFit="1" customWidth="1"/>
    <col min="1865" max="1865" width="6.140625" bestFit="1" customWidth="1"/>
    <col min="1866" max="1866" width="11.5703125" bestFit="1" customWidth="1"/>
    <col min="1867" max="1867" width="4.85546875" bestFit="1" customWidth="1"/>
    <col min="1868" max="1868" width="7.85546875" customWidth="1"/>
    <col min="1869" max="1869" width="0" hidden="1" customWidth="1"/>
    <col min="1870" max="1870" width="8" bestFit="1" customWidth="1"/>
    <col min="1871" max="1871" width="9.28515625" bestFit="1" customWidth="1"/>
    <col min="1872" max="1872" width="19" bestFit="1" customWidth="1"/>
    <col min="1881" max="1881" width="19" bestFit="1" customWidth="1"/>
    <col min="2053" max="2053" width="12.7109375" bestFit="1" customWidth="1"/>
    <col min="2056" max="2056" width="17.85546875" customWidth="1"/>
    <col min="2060" max="2060" width="7" customWidth="1"/>
    <col min="2061" max="2061" width="9.5703125" customWidth="1"/>
    <col min="2062" max="2063" width="0.140625" customWidth="1"/>
    <col min="2065" max="2065" width="19.5703125" customWidth="1"/>
    <col min="2070" max="2070" width="8" customWidth="1"/>
    <col min="2071" max="2072" width="0" hidden="1" customWidth="1"/>
    <col min="2074" max="2074" width="17.42578125" customWidth="1"/>
    <col min="2083" max="2083" width="19" bestFit="1" customWidth="1"/>
    <col min="2092" max="2092" width="19" bestFit="1" customWidth="1"/>
    <col min="2101" max="2101" width="19" bestFit="1" customWidth="1"/>
    <col min="2103" max="2103" width="6.140625" bestFit="1" customWidth="1"/>
    <col min="2104" max="2104" width="11.5703125" bestFit="1" customWidth="1"/>
    <col min="2105" max="2105" width="4.85546875" bestFit="1" customWidth="1"/>
    <col min="2106" max="2106" width="7.85546875" bestFit="1" customWidth="1"/>
    <col min="2107" max="2107" width="0" hidden="1" customWidth="1"/>
    <col min="2108" max="2108" width="8" bestFit="1" customWidth="1"/>
    <col min="2109" max="2109" width="9.28515625" bestFit="1" customWidth="1"/>
    <col min="2110" max="2110" width="19" bestFit="1" customWidth="1"/>
    <col min="2112" max="2112" width="6.140625" bestFit="1" customWidth="1"/>
    <col min="2113" max="2113" width="11.5703125" bestFit="1" customWidth="1"/>
    <col min="2114" max="2114" width="4.85546875" bestFit="1" customWidth="1"/>
    <col min="2115" max="2115" width="7.85546875" bestFit="1" customWidth="1"/>
    <col min="2116" max="2116" width="0" hidden="1" customWidth="1"/>
    <col min="2117" max="2117" width="8" bestFit="1" customWidth="1"/>
    <col min="2118" max="2118" width="9.28515625" bestFit="1" customWidth="1"/>
    <col min="2119" max="2119" width="19" bestFit="1" customWidth="1"/>
    <col min="2121" max="2121" width="6.140625" bestFit="1" customWidth="1"/>
    <col min="2122" max="2122" width="11.5703125" bestFit="1" customWidth="1"/>
    <col min="2123" max="2123" width="4.85546875" bestFit="1" customWidth="1"/>
    <col min="2124" max="2124" width="7.85546875" customWidth="1"/>
    <col min="2125" max="2125" width="0" hidden="1" customWidth="1"/>
    <col min="2126" max="2126" width="8" bestFit="1" customWidth="1"/>
    <col min="2127" max="2127" width="9.28515625" bestFit="1" customWidth="1"/>
    <col min="2128" max="2128" width="19" bestFit="1" customWidth="1"/>
    <col min="2137" max="2137" width="19" bestFit="1" customWidth="1"/>
    <col min="2309" max="2309" width="12.7109375" bestFit="1" customWidth="1"/>
    <col min="2312" max="2312" width="17.85546875" customWidth="1"/>
    <col min="2316" max="2316" width="7" customWidth="1"/>
    <col min="2317" max="2317" width="9.5703125" customWidth="1"/>
    <col min="2318" max="2319" width="0.140625" customWidth="1"/>
    <col min="2321" max="2321" width="19.5703125" customWidth="1"/>
    <col min="2326" max="2326" width="8" customWidth="1"/>
    <col min="2327" max="2328" width="0" hidden="1" customWidth="1"/>
    <col min="2330" max="2330" width="17.42578125" customWidth="1"/>
    <col min="2339" max="2339" width="19" bestFit="1" customWidth="1"/>
    <col min="2348" max="2348" width="19" bestFit="1" customWidth="1"/>
    <col min="2357" max="2357" width="19" bestFit="1" customWidth="1"/>
    <col min="2359" max="2359" width="6.140625" bestFit="1" customWidth="1"/>
    <col min="2360" max="2360" width="11.5703125" bestFit="1" customWidth="1"/>
    <col min="2361" max="2361" width="4.85546875" bestFit="1" customWidth="1"/>
    <col min="2362" max="2362" width="7.85546875" bestFit="1" customWidth="1"/>
    <col min="2363" max="2363" width="0" hidden="1" customWidth="1"/>
    <col min="2364" max="2364" width="8" bestFit="1" customWidth="1"/>
    <col min="2365" max="2365" width="9.28515625" bestFit="1" customWidth="1"/>
    <col min="2366" max="2366" width="19" bestFit="1" customWidth="1"/>
    <col min="2368" max="2368" width="6.140625" bestFit="1" customWidth="1"/>
    <col min="2369" max="2369" width="11.5703125" bestFit="1" customWidth="1"/>
    <col min="2370" max="2370" width="4.85546875" bestFit="1" customWidth="1"/>
    <col min="2371" max="2371" width="7.85546875" bestFit="1" customWidth="1"/>
    <col min="2372" max="2372" width="0" hidden="1" customWidth="1"/>
    <col min="2373" max="2373" width="8" bestFit="1" customWidth="1"/>
    <col min="2374" max="2374" width="9.28515625" bestFit="1" customWidth="1"/>
    <col min="2375" max="2375" width="19" bestFit="1" customWidth="1"/>
    <col min="2377" max="2377" width="6.140625" bestFit="1" customWidth="1"/>
    <col min="2378" max="2378" width="11.5703125" bestFit="1" customWidth="1"/>
    <col min="2379" max="2379" width="4.85546875" bestFit="1" customWidth="1"/>
    <col min="2380" max="2380" width="7.85546875" customWidth="1"/>
    <col min="2381" max="2381" width="0" hidden="1" customWidth="1"/>
    <col min="2382" max="2382" width="8" bestFit="1" customWidth="1"/>
    <col min="2383" max="2383" width="9.28515625" bestFit="1" customWidth="1"/>
    <col min="2384" max="2384" width="19" bestFit="1" customWidth="1"/>
    <col min="2393" max="2393" width="19" bestFit="1" customWidth="1"/>
    <col min="2565" max="2565" width="12.7109375" bestFit="1" customWidth="1"/>
    <col min="2568" max="2568" width="17.85546875" customWidth="1"/>
    <col min="2572" max="2572" width="7" customWidth="1"/>
    <col min="2573" max="2573" width="9.5703125" customWidth="1"/>
    <col min="2574" max="2575" width="0.140625" customWidth="1"/>
    <col min="2577" max="2577" width="19.5703125" customWidth="1"/>
    <col min="2582" max="2582" width="8" customWidth="1"/>
    <col min="2583" max="2584" width="0" hidden="1" customWidth="1"/>
    <col min="2586" max="2586" width="17.42578125" customWidth="1"/>
    <col min="2595" max="2595" width="19" bestFit="1" customWidth="1"/>
    <col min="2604" max="2604" width="19" bestFit="1" customWidth="1"/>
    <col min="2613" max="2613" width="19" bestFit="1" customWidth="1"/>
    <col min="2615" max="2615" width="6.140625" bestFit="1" customWidth="1"/>
    <col min="2616" max="2616" width="11.5703125" bestFit="1" customWidth="1"/>
    <col min="2617" max="2617" width="4.85546875" bestFit="1" customWidth="1"/>
    <col min="2618" max="2618" width="7.85546875" bestFit="1" customWidth="1"/>
    <col min="2619" max="2619" width="0" hidden="1" customWidth="1"/>
    <col min="2620" max="2620" width="8" bestFit="1" customWidth="1"/>
    <col min="2621" max="2621" width="9.28515625" bestFit="1" customWidth="1"/>
    <col min="2622" max="2622" width="19" bestFit="1" customWidth="1"/>
    <col min="2624" max="2624" width="6.140625" bestFit="1" customWidth="1"/>
    <col min="2625" max="2625" width="11.5703125" bestFit="1" customWidth="1"/>
    <col min="2626" max="2626" width="4.85546875" bestFit="1" customWidth="1"/>
    <col min="2627" max="2627" width="7.85546875" bestFit="1" customWidth="1"/>
    <col min="2628" max="2628" width="0" hidden="1" customWidth="1"/>
    <col min="2629" max="2629" width="8" bestFit="1" customWidth="1"/>
    <col min="2630" max="2630" width="9.28515625" bestFit="1" customWidth="1"/>
    <col min="2631" max="2631" width="19" bestFit="1" customWidth="1"/>
    <col min="2633" max="2633" width="6.140625" bestFit="1" customWidth="1"/>
    <col min="2634" max="2634" width="11.5703125" bestFit="1" customWidth="1"/>
    <col min="2635" max="2635" width="4.85546875" bestFit="1" customWidth="1"/>
    <col min="2636" max="2636" width="7.85546875" customWidth="1"/>
    <col min="2637" max="2637" width="0" hidden="1" customWidth="1"/>
    <col min="2638" max="2638" width="8" bestFit="1" customWidth="1"/>
    <col min="2639" max="2639" width="9.28515625" bestFit="1" customWidth="1"/>
    <col min="2640" max="2640" width="19" bestFit="1" customWidth="1"/>
    <col min="2649" max="2649" width="19" bestFit="1" customWidth="1"/>
    <col min="2821" max="2821" width="12.7109375" bestFit="1" customWidth="1"/>
    <col min="2824" max="2824" width="17.85546875" customWidth="1"/>
    <col min="2828" max="2828" width="7" customWidth="1"/>
    <col min="2829" max="2829" width="9.5703125" customWidth="1"/>
    <col min="2830" max="2831" width="0.140625" customWidth="1"/>
    <col min="2833" max="2833" width="19.5703125" customWidth="1"/>
    <col min="2838" max="2838" width="8" customWidth="1"/>
    <col min="2839" max="2840" width="0" hidden="1" customWidth="1"/>
    <col min="2842" max="2842" width="17.42578125" customWidth="1"/>
    <col min="2851" max="2851" width="19" bestFit="1" customWidth="1"/>
    <col min="2860" max="2860" width="19" bestFit="1" customWidth="1"/>
    <col min="2869" max="2869" width="19" bestFit="1" customWidth="1"/>
    <col min="2871" max="2871" width="6.140625" bestFit="1" customWidth="1"/>
    <col min="2872" max="2872" width="11.5703125" bestFit="1" customWidth="1"/>
    <col min="2873" max="2873" width="4.85546875" bestFit="1" customWidth="1"/>
    <col min="2874" max="2874" width="7.85546875" bestFit="1" customWidth="1"/>
    <col min="2875" max="2875" width="0" hidden="1" customWidth="1"/>
    <col min="2876" max="2876" width="8" bestFit="1" customWidth="1"/>
    <col min="2877" max="2877" width="9.28515625" bestFit="1" customWidth="1"/>
    <col min="2878" max="2878" width="19" bestFit="1" customWidth="1"/>
    <col min="2880" max="2880" width="6.140625" bestFit="1" customWidth="1"/>
    <col min="2881" max="2881" width="11.5703125" bestFit="1" customWidth="1"/>
    <col min="2882" max="2882" width="4.85546875" bestFit="1" customWidth="1"/>
    <col min="2883" max="2883" width="7.85546875" bestFit="1" customWidth="1"/>
    <col min="2884" max="2884" width="0" hidden="1" customWidth="1"/>
    <col min="2885" max="2885" width="8" bestFit="1" customWidth="1"/>
    <col min="2886" max="2886" width="9.28515625" bestFit="1" customWidth="1"/>
    <col min="2887" max="2887" width="19" bestFit="1" customWidth="1"/>
    <col min="2889" max="2889" width="6.140625" bestFit="1" customWidth="1"/>
    <col min="2890" max="2890" width="11.5703125" bestFit="1" customWidth="1"/>
    <col min="2891" max="2891" width="4.85546875" bestFit="1" customWidth="1"/>
    <col min="2892" max="2892" width="7.85546875" customWidth="1"/>
    <col min="2893" max="2893" width="0" hidden="1" customWidth="1"/>
    <col min="2894" max="2894" width="8" bestFit="1" customWidth="1"/>
    <col min="2895" max="2895" width="9.28515625" bestFit="1" customWidth="1"/>
    <col min="2896" max="2896" width="19" bestFit="1" customWidth="1"/>
    <col min="2905" max="2905" width="19" bestFit="1" customWidth="1"/>
    <col min="3077" max="3077" width="12.7109375" bestFit="1" customWidth="1"/>
    <col min="3080" max="3080" width="17.85546875" customWidth="1"/>
    <col min="3084" max="3084" width="7" customWidth="1"/>
    <col min="3085" max="3085" width="9.5703125" customWidth="1"/>
    <col min="3086" max="3087" width="0.140625" customWidth="1"/>
    <col min="3089" max="3089" width="19.5703125" customWidth="1"/>
    <col min="3094" max="3094" width="8" customWidth="1"/>
    <col min="3095" max="3096" width="0" hidden="1" customWidth="1"/>
    <col min="3098" max="3098" width="17.42578125" customWidth="1"/>
    <col min="3107" max="3107" width="19" bestFit="1" customWidth="1"/>
    <col min="3116" max="3116" width="19" bestFit="1" customWidth="1"/>
    <col min="3125" max="3125" width="19" bestFit="1" customWidth="1"/>
    <col min="3127" max="3127" width="6.140625" bestFit="1" customWidth="1"/>
    <col min="3128" max="3128" width="11.5703125" bestFit="1" customWidth="1"/>
    <col min="3129" max="3129" width="4.85546875" bestFit="1" customWidth="1"/>
    <col min="3130" max="3130" width="7.85546875" bestFit="1" customWidth="1"/>
    <col min="3131" max="3131" width="0" hidden="1" customWidth="1"/>
    <col min="3132" max="3132" width="8" bestFit="1" customWidth="1"/>
    <col min="3133" max="3133" width="9.28515625" bestFit="1" customWidth="1"/>
    <col min="3134" max="3134" width="19" bestFit="1" customWidth="1"/>
    <col min="3136" max="3136" width="6.140625" bestFit="1" customWidth="1"/>
    <col min="3137" max="3137" width="11.5703125" bestFit="1" customWidth="1"/>
    <col min="3138" max="3138" width="4.85546875" bestFit="1" customWidth="1"/>
    <col min="3139" max="3139" width="7.85546875" bestFit="1" customWidth="1"/>
    <col min="3140" max="3140" width="0" hidden="1" customWidth="1"/>
    <col min="3141" max="3141" width="8" bestFit="1" customWidth="1"/>
    <col min="3142" max="3142" width="9.28515625" bestFit="1" customWidth="1"/>
    <col min="3143" max="3143" width="19" bestFit="1" customWidth="1"/>
    <col min="3145" max="3145" width="6.140625" bestFit="1" customWidth="1"/>
    <col min="3146" max="3146" width="11.5703125" bestFit="1" customWidth="1"/>
    <col min="3147" max="3147" width="4.85546875" bestFit="1" customWidth="1"/>
    <col min="3148" max="3148" width="7.85546875" customWidth="1"/>
    <col min="3149" max="3149" width="0" hidden="1" customWidth="1"/>
    <col min="3150" max="3150" width="8" bestFit="1" customWidth="1"/>
    <col min="3151" max="3151" width="9.28515625" bestFit="1" customWidth="1"/>
    <col min="3152" max="3152" width="19" bestFit="1" customWidth="1"/>
    <col min="3161" max="3161" width="19" bestFit="1" customWidth="1"/>
    <col min="3333" max="3333" width="12.7109375" bestFit="1" customWidth="1"/>
    <col min="3336" max="3336" width="17.85546875" customWidth="1"/>
    <col min="3340" max="3340" width="7" customWidth="1"/>
    <col min="3341" max="3341" width="9.5703125" customWidth="1"/>
    <col min="3342" max="3343" width="0.140625" customWidth="1"/>
    <col min="3345" max="3345" width="19.5703125" customWidth="1"/>
    <col min="3350" max="3350" width="8" customWidth="1"/>
    <col min="3351" max="3352" width="0" hidden="1" customWidth="1"/>
    <col min="3354" max="3354" width="17.42578125" customWidth="1"/>
    <col min="3363" max="3363" width="19" bestFit="1" customWidth="1"/>
    <col min="3372" max="3372" width="19" bestFit="1" customWidth="1"/>
    <col min="3381" max="3381" width="19" bestFit="1" customWidth="1"/>
    <col min="3383" max="3383" width="6.140625" bestFit="1" customWidth="1"/>
    <col min="3384" max="3384" width="11.5703125" bestFit="1" customWidth="1"/>
    <col min="3385" max="3385" width="4.85546875" bestFit="1" customWidth="1"/>
    <col min="3386" max="3386" width="7.85546875" bestFit="1" customWidth="1"/>
    <col min="3387" max="3387" width="0" hidden="1" customWidth="1"/>
    <col min="3388" max="3388" width="8" bestFit="1" customWidth="1"/>
    <col min="3389" max="3389" width="9.28515625" bestFit="1" customWidth="1"/>
    <col min="3390" max="3390" width="19" bestFit="1" customWidth="1"/>
    <col min="3392" max="3392" width="6.140625" bestFit="1" customWidth="1"/>
    <col min="3393" max="3393" width="11.5703125" bestFit="1" customWidth="1"/>
    <col min="3394" max="3394" width="4.85546875" bestFit="1" customWidth="1"/>
    <col min="3395" max="3395" width="7.85546875" bestFit="1" customWidth="1"/>
    <col min="3396" max="3396" width="0" hidden="1" customWidth="1"/>
    <col min="3397" max="3397" width="8" bestFit="1" customWidth="1"/>
    <col min="3398" max="3398" width="9.28515625" bestFit="1" customWidth="1"/>
    <col min="3399" max="3399" width="19" bestFit="1" customWidth="1"/>
    <col min="3401" max="3401" width="6.140625" bestFit="1" customWidth="1"/>
    <col min="3402" max="3402" width="11.5703125" bestFit="1" customWidth="1"/>
    <col min="3403" max="3403" width="4.85546875" bestFit="1" customWidth="1"/>
    <col min="3404" max="3404" width="7.85546875" customWidth="1"/>
    <col min="3405" max="3405" width="0" hidden="1" customWidth="1"/>
    <col min="3406" max="3406" width="8" bestFit="1" customWidth="1"/>
    <col min="3407" max="3407" width="9.28515625" bestFit="1" customWidth="1"/>
    <col min="3408" max="3408" width="19" bestFit="1" customWidth="1"/>
    <col min="3417" max="3417" width="19" bestFit="1" customWidth="1"/>
    <col min="3589" max="3589" width="12.7109375" bestFit="1" customWidth="1"/>
    <col min="3592" max="3592" width="17.85546875" customWidth="1"/>
    <col min="3596" max="3596" width="7" customWidth="1"/>
    <col min="3597" max="3597" width="9.5703125" customWidth="1"/>
    <col min="3598" max="3599" width="0.140625" customWidth="1"/>
    <col min="3601" max="3601" width="19.5703125" customWidth="1"/>
    <col min="3606" max="3606" width="8" customWidth="1"/>
    <col min="3607" max="3608" width="0" hidden="1" customWidth="1"/>
    <col min="3610" max="3610" width="17.42578125" customWidth="1"/>
    <col min="3619" max="3619" width="19" bestFit="1" customWidth="1"/>
    <col min="3628" max="3628" width="19" bestFit="1" customWidth="1"/>
    <col min="3637" max="3637" width="19" bestFit="1" customWidth="1"/>
    <col min="3639" max="3639" width="6.140625" bestFit="1" customWidth="1"/>
    <col min="3640" max="3640" width="11.5703125" bestFit="1" customWidth="1"/>
    <col min="3641" max="3641" width="4.85546875" bestFit="1" customWidth="1"/>
    <col min="3642" max="3642" width="7.85546875" bestFit="1" customWidth="1"/>
    <col min="3643" max="3643" width="0" hidden="1" customWidth="1"/>
    <col min="3644" max="3644" width="8" bestFit="1" customWidth="1"/>
    <col min="3645" max="3645" width="9.28515625" bestFit="1" customWidth="1"/>
    <col min="3646" max="3646" width="19" bestFit="1" customWidth="1"/>
    <col min="3648" max="3648" width="6.140625" bestFit="1" customWidth="1"/>
    <col min="3649" max="3649" width="11.5703125" bestFit="1" customWidth="1"/>
    <col min="3650" max="3650" width="4.85546875" bestFit="1" customWidth="1"/>
    <col min="3651" max="3651" width="7.85546875" bestFit="1" customWidth="1"/>
    <col min="3652" max="3652" width="0" hidden="1" customWidth="1"/>
    <col min="3653" max="3653" width="8" bestFit="1" customWidth="1"/>
    <col min="3654" max="3654" width="9.28515625" bestFit="1" customWidth="1"/>
    <col min="3655" max="3655" width="19" bestFit="1" customWidth="1"/>
    <col min="3657" max="3657" width="6.140625" bestFit="1" customWidth="1"/>
    <col min="3658" max="3658" width="11.5703125" bestFit="1" customWidth="1"/>
    <col min="3659" max="3659" width="4.85546875" bestFit="1" customWidth="1"/>
    <col min="3660" max="3660" width="7.85546875" customWidth="1"/>
    <col min="3661" max="3661" width="0" hidden="1" customWidth="1"/>
    <col min="3662" max="3662" width="8" bestFit="1" customWidth="1"/>
    <col min="3663" max="3663" width="9.28515625" bestFit="1" customWidth="1"/>
    <col min="3664" max="3664" width="19" bestFit="1" customWidth="1"/>
    <col min="3673" max="3673" width="19" bestFit="1" customWidth="1"/>
    <col min="3845" max="3845" width="12.7109375" bestFit="1" customWidth="1"/>
    <col min="3848" max="3848" width="17.85546875" customWidth="1"/>
    <col min="3852" max="3852" width="7" customWidth="1"/>
    <col min="3853" max="3853" width="9.5703125" customWidth="1"/>
    <col min="3854" max="3855" width="0.140625" customWidth="1"/>
    <col min="3857" max="3857" width="19.5703125" customWidth="1"/>
    <col min="3862" max="3862" width="8" customWidth="1"/>
    <col min="3863" max="3864" width="0" hidden="1" customWidth="1"/>
    <col min="3866" max="3866" width="17.42578125" customWidth="1"/>
    <col min="3875" max="3875" width="19" bestFit="1" customWidth="1"/>
    <col min="3884" max="3884" width="19" bestFit="1" customWidth="1"/>
    <col min="3893" max="3893" width="19" bestFit="1" customWidth="1"/>
    <col min="3895" max="3895" width="6.140625" bestFit="1" customWidth="1"/>
    <col min="3896" max="3896" width="11.5703125" bestFit="1" customWidth="1"/>
    <col min="3897" max="3897" width="4.85546875" bestFit="1" customWidth="1"/>
    <col min="3898" max="3898" width="7.85546875" bestFit="1" customWidth="1"/>
    <col min="3899" max="3899" width="0" hidden="1" customWidth="1"/>
    <col min="3900" max="3900" width="8" bestFit="1" customWidth="1"/>
    <col min="3901" max="3901" width="9.28515625" bestFit="1" customWidth="1"/>
    <col min="3902" max="3902" width="19" bestFit="1" customWidth="1"/>
    <col min="3904" max="3904" width="6.140625" bestFit="1" customWidth="1"/>
    <col min="3905" max="3905" width="11.5703125" bestFit="1" customWidth="1"/>
    <col min="3906" max="3906" width="4.85546875" bestFit="1" customWidth="1"/>
    <col min="3907" max="3907" width="7.85546875" bestFit="1" customWidth="1"/>
    <col min="3908" max="3908" width="0" hidden="1" customWidth="1"/>
    <col min="3909" max="3909" width="8" bestFit="1" customWidth="1"/>
    <col min="3910" max="3910" width="9.28515625" bestFit="1" customWidth="1"/>
    <col min="3911" max="3911" width="19" bestFit="1" customWidth="1"/>
    <col min="3913" max="3913" width="6.140625" bestFit="1" customWidth="1"/>
    <col min="3914" max="3914" width="11.5703125" bestFit="1" customWidth="1"/>
    <col min="3915" max="3915" width="4.85546875" bestFit="1" customWidth="1"/>
    <col min="3916" max="3916" width="7.85546875" customWidth="1"/>
    <col min="3917" max="3917" width="0" hidden="1" customWidth="1"/>
    <col min="3918" max="3918" width="8" bestFit="1" customWidth="1"/>
    <col min="3919" max="3919" width="9.28515625" bestFit="1" customWidth="1"/>
    <col min="3920" max="3920" width="19" bestFit="1" customWidth="1"/>
    <col min="3929" max="3929" width="19" bestFit="1" customWidth="1"/>
    <col min="4101" max="4101" width="12.7109375" bestFit="1" customWidth="1"/>
    <col min="4104" max="4104" width="17.85546875" customWidth="1"/>
    <col min="4108" max="4108" width="7" customWidth="1"/>
    <col min="4109" max="4109" width="9.5703125" customWidth="1"/>
    <col min="4110" max="4111" width="0.140625" customWidth="1"/>
    <col min="4113" max="4113" width="19.5703125" customWidth="1"/>
    <col min="4118" max="4118" width="8" customWidth="1"/>
    <col min="4119" max="4120" width="0" hidden="1" customWidth="1"/>
    <col min="4122" max="4122" width="17.42578125" customWidth="1"/>
    <col min="4131" max="4131" width="19" bestFit="1" customWidth="1"/>
    <col min="4140" max="4140" width="19" bestFit="1" customWidth="1"/>
    <col min="4149" max="4149" width="19" bestFit="1" customWidth="1"/>
    <col min="4151" max="4151" width="6.140625" bestFit="1" customWidth="1"/>
    <col min="4152" max="4152" width="11.5703125" bestFit="1" customWidth="1"/>
    <col min="4153" max="4153" width="4.85546875" bestFit="1" customWidth="1"/>
    <col min="4154" max="4154" width="7.85546875" bestFit="1" customWidth="1"/>
    <col min="4155" max="4155" width="0" hidden="1" customWidth="1"/>
    <col min="4156" max="4156" width="8" bestFit="1" customWidth="1"/>
    <col min="4157" max="4157" width="9.28515625" bestFit="1" customWidth="1"/>
    <col min="4158" max="4158" width="19" bestFit="1" customWidth="1"/>
    <col min="4160" max="4160" width="6.140625" bestFit="1" customWidth="1"/>
    <col min="4161" max="4161" width="11.5703125" bestFit="1" customWidth="1"/>
    <col min="4162" max="4162" width="4.85546875" bestFit="1" customWidth="1"/>
    <col min="4163" max="4163" width="7.85546875" bestFit="1" customWidth="1"/>
    <col min="4164" max="4164" width="0" hidden="1" customWidth="1"/>
    <col min="4165" max="4165" width="8" bestFit="1" customWidth="1"/>
    <col min="4166" max="4166" width="9.28515625" bestFit="1" customWidth="1"/>
    <col min="4167" max="4167" width="19" bestFit="1" customWidth="1"/>
    <col min="4169" max="4169" width="6.140625" bestFit="1" customWidth="1"/>
    <col min="4170" max="4170" width="11.5703125" bestFit="1" customWidth="1"/>
    <col min="4171" max="4171" width="4.85546875" bestFit="1" customWidth="1"/>
    <col min="4172" max="4172" width="7.85546875" customWidth="1"/>
    <col min="4173" max="4173" width="0" hidden="1" customWidth="1"/>
    <col min="4174" max="4174" width="8" bestFit="1" customWidth="1"/>
    <col min="4175" max="4175" width="9.28515625" bestFit="1" customWidth="1"/>
    <col min="4176" max="4176" width="19" bestFit="1" customWidth="1"/>
    <col min="4185" max="4185" width="19" bestFit="1" customWidth="1"/>
    <col min="4357" max="4357" width="12.7109375" bestFit="1" customWidth="1"/>
    <col min="4360" max="4360" width="17.85546875" customWidth="1"/>
    <col min="4364" max="4364" width="7" customWidth="1"/>
    <col min="4365" max="4365" width="9.5703125" customWidth="1"/>
    <col min="4366" max="4367" width="0.140625" customWidth="1"/>
    <col min="4369" max="4369" width="19.5703125" customWidth="1"/>
    <col min="4374" max="4374" width="8" customWidth="1"/>
    <col min="4375" max="4376" width="0" hidden="1" customWidth="1"/>
    <col min="4378" max="4378" width="17.42578125" customWidth="1"/>
    <col min="4387" max="4387" width="19" bestFit="1" customWidth="1"/>
    <col min="4396" max="4396" width="19" bestFit="1" customWidth="1"/>
    <col min="4405" max="4405" width="19" bestFit="1" customWidth="1"/>
    <col min="4407" max="4407" width="6.140625" bestFit="1" customWidth="1"/>
    <col min="4408" max="4408" width="11.5703125" bestFit="1" customWidth="1"/>
    <col min="4409" max="4409" width="4.85546875" bestFit="1" customWidth="1"/>
    <col min="4410" max="4410" width="7.85546875" bestFit="1" customWidth="1"/>
    <col min="4411" max="4411" width="0" hidden="1" customWidth="1"/>
    <col min="4412" max="4412" width="8" bestFit="1" customWidth="1"/>
    <col min="4413" max="4413" width="9.28515625" bestFit="1" customWidth="1"/>
    <col min="4414" max="4414" width="19" bestFit="1" customWidth="1"/>
    <col min="4416" max="4416" width="6.140625" bestFit="1" customWidth="1"/>
    <col min="4417" max="4417" width="11.5703125" bestFit="1" customWidth="1"/>
    <col min="4418" max="4418" width="4.85546875" bestFit="1" customWidth="1"/>
    <col min="4419" max="4419" width="7.85546875" bestFit="1" customWidth="1"/>
    <col min="4420" max="4420" width="0" hidden="1" customWidth="1"/>
    <col min="4421" max="4421" width="8" bestFit="1" customWidth="1"/>
    <col min="4422" max="4422" width="9.28515625" bestFit="1" customWidth="1"/>
    <col min="4423" max="4423" width="19" bestFit="1" customWidth="1"/>
    <col min="4425" max="4425" width="6.140625" bestFit="1" customWidth="1"/>
    <col min="4426" max="4426" width="11.5703125" bestFit="1" customWidth="1"/>
    <col min="4427" max="4427" width="4.85546875" bestFit="1" customWidth="1"/>
    <col min="4428" max="4428" width="7.85546875" customWidth="1"/>
    <col min="4429" max="4429" width="0" hidden="1" customWidth="1"/>
    <col min="4430" max="4430" width="8" bestFit="1" customWidth="1"/>
    <col min="4431" max="4431" width="9.28515625" bestFit="1" customWidth="1"/>
    <col min="4432" max="4432" width="19" bestFit="1" customWidth="1"/>
    <col min="4441" max="4441" width="19" bestFit="1" customWidth="1"/>
    <col min="4613" max="4613" width="12.7109375" bestFit="1" customWidth="1"/>
    <col min="4616" max="4616" width="17.85546875" customWidth="1"/>
    <col min="4620" max="4620" width="7" customWidth="1"/>
    <col min="4621" max="4621" width="9.5703125" customWidth="1"/>
    <col min="4622" max="4623" width="0.140625" customWidth="1"/>
    <col min="4625" max="4625" width="19.5703125" customWidth="1"/>
    <col min="4630" max="4630" width="8" customWidth="1"/>
    <col min="4631" max="4632" width="0" hidden="1" customWidth="1"/>
    <col min="4634" max="4634" width="17.42578125" customWidth="1"/>
    <col min="4643" max="4643" width="19" bestFit="1" customWidth="1"/>
    <col min="4652" max="4652" width="19" bestFit="1" customWidth="1"/>
    <col min="4661" max="4661" width="19" bestFit="1" customWidth="1"/>
    <col min="4663" max="4663" width="6.140625" bestFit="1" customWidth="1"/>
    <col min="4664" max="4664" width="11.5703125" bestFit="1" customWidth="1"/>
    <col min="4665" max="4665" width="4.85546875" bestFit="1" customWidth="1"/>
    <col min="4666" max="4666" width="7.85546875" bestFit="1" customWidth="1"/>
    <col min="4667" max="4667" width="0" hidden="1" customWidth="1"/>
    <col min="4668" max="4668" width="8" bestFit="1" customWidth="1"/>
    <col min="4669" max="4669" width="9.28515625" bestFit="1" customWidth="1"/>
    <col min="4670" max="4670" width="19" bestFit="1" customWidth="1"/>
    <col min="4672" max="4672" width="6.140625" bestFit="1" customWidth="1"/>
    <col min="4673" max="4673" width="11.5703125" bestFit="1" customWidth="1"/>
    <col min="4674" max="4674" width="4.85546875" bestFit="1" customWidth="1"/>
    <col min="4675" max="4675" width="7.85546875" bestFit="1" customWidth="1"/>
    <col min="4676" max="4676" width="0" hidden="1" customWidth="1"/>
    <col min="4677" max="4677" width="8" bestFit="1" customWidth="1"/>
    <col min="4678" max="4678" width="9.28515625" bestFit="1" customWidth="1"/>
    <col min="4679" max="4679" width="19" bestFit="1" customWidth="1"/>
    <col min="4681" max="4681" width="6.140625" bestFit="1" customWidth="1"/>
    <col min="4682" max="4682" width="11.5703125" bestFit="1" customWidth="1"/>
    <col min="4683" max="4683" width="4.85546875" bestFit="1" customWidth="1"/>
    <col min="4684" max="4684" width="7.85546875" customWidth="1"/>
    <col min="4685" max="4685" width="0" hidden="1" customWidth="1"/>
    <col min="4686" max="4686" width="8" bestFit="1" customWidth="1"/>
    <col min="4687" max="4687" width="9.28515625" bestFit="1" customWidth="1"/>
    <col min="4688" max="4688" width="19" bestFit="1" customWidth="1"/>
    <col min="4697" max="4697" width="19" bestFit="1" customWidth="1"/>
    <col min="4869" max="4869" width="12.7109375" bestFit="1" customWidth="1"/>
    <col min="4872" max="4872" width="17.85546875" customWidth="1"/>
    <col min="4876" max="4876" width="7" customWidth="1"/>
    <col min="4877" max="4877" width="9.5703125" customWidth="1"/>
    <col min="4878" max="4879" width="0.140625" customWidth="1"/>
    <col min="4881" max="4881" width="19.5703125" customWidth="1"/>
    <col min="4886" max="4886" width="8" customWidth="1"/>
    <col min="4887" max="4888" width="0" hidden="1" customWidth="1"/>
    <col min="4890" max="4890" width="17.42578125" customWidth="1"/>
    <col min="4899" max="4899" width="19" bestFit="1" customWidth="1"/>
    <col min="4908" max="4908" width="19" bestFit="1" customWidth="1"/>
    <col min="4917" max="4917" width="19" bestFit="1" customWidth="1"/>
    <col min="4919" max="4919" width="6.140625" bestFit="1" customWidth="1"/>
    <col min="4920" max="4920" width="11.5703125" bestFit="1" customWidth="1"/>
    <col min="4921" max="4921" width="4.85546875" bestFit="1" customWidth="1"/>
    <col min="4922" max="4922" width="7.85546875" bestFit="1" customWidth="1"/>
    <col min="4923" max="4923" width="0" hidden="1" customWidth="1"/>
    <col min="4924" max="4924" width="8" bestFit="1" customWidth="1"/>
    <col min="4925" max="4925" width="9.28515625" bestFit="1" customWidth="1"/>
    <col min="4926" max="4926" width="19" bestFit="1" customWidth="1"/>
    <col min="4928" max="4928" width="6.140625" bestFit="1" customWidth="1"/>
    <col min="4929" max="4929" width="11.5703125" bestFit="1" customWidth="1"/>
    <col min="4930" max="4930" width="4.85546875" bestFit="1" customWidth="1"/>
    <col min="4931" max="4931" width="7.85546875" bestFit="1" customWidth="1"/>
    <col min="4932" max="4932" width="0" hidden="1" customWidth="1"/>
    <col min="4933" max="4933" width="8" bestFit="1" customWidth="1"/>
    <col min="4934" max="4934" width="9.28515625" bestFit="1" customWidth="1"/>
    <col min="4935" max="4935" width="19" bestFit="1" customWidth="1"/>
    <col min="4937" max="4937" width="6.140625" bestFit="1" customWidth="1"/>
    <col min="4938" max="4938" width="11.5703125" bestFit="1" customWidth="1"/>
    <col min="4939" max="4939" width="4.85546875" bestFit="1" customWidth="1"/>
    <col min="4940" max="4940" width="7.85546875" customWidth="1"/>
    <col min="4941" max="4941" width="0" hidden="1" customWidth="1"/>
    <col min="4942" max="4942" width="8" bestFit="1" customWidth="1"/>
    <col min="4943" max="4943" width="9.28515625" bestFit="1" customWidth="1"/>
    <col min="4944" max="4944" width="19" bestFit="1" customWidth="1"/>
    <col min="4953" max="4953" width="19" bestFit="1" customWidth="1"/>
    <col min="5125" max="5125" width="12.7109375" bestFit="1" customWidth="1"/>
    <col min="5128" max="5128" width="17.85546875" customWidth="1"/>
    <col min="5132" max="5132" width="7" customWidth="1"/>
    <col min="5133" max="5133" width="9.5703125" customWidth="1"/>
    <col min="5134" max="5135" width="0.140625" customWidth="1"/>
    <col min="5137" max="5137" width="19.5703125" customWidth="1"/>
    <col min="5142" max="5142" width="8" customWidth="1"/>
    <col min="5143" max="5144" width="0" hidden="1" customWidth="1"/>
    <col min="5146" max="5146" width="17.42578125" customWidth="1"/>
    <col min="5155" max="5155" width="19" bestFit="1" customWidth="1"/>
    <col min="5164" max="5164" width="19" bestFit="1" customWidth="1"/>
    <col min="5173" max="5173" width="19" bestFit="1" customWidth="1"/>
    <col min="5175" max="5175" width="6.140625" bestFit="1" customWidth="1"/>
    <col min="5176" max="5176" width="11.5703125" bestFit="1" customWidth="1"/>
    <col min="5177" max="5177" width="4.85546875" bestFit="1" customWidth="1"/>
    <col min="5178" max="5178" width="7.85546875" bestFit="1" customWidth="1"/>
    <col min="5179" max="5179" width="0" hidden="1" customWidth="1"/>
    <col min="5180" max="5180" width="8" bestFit="1" customWidth="1"/>
    <col min="5181" max="5181" width="9.28515625" bestFit="1" customWidth="1"/>
    <col min="5182" max="5182" width="19" bestFit="1" customWidth="1"/>
    <col min="5184" max="5184" width="6.140625" bestFit="1" customWidth="1"/>
    <col min="5185" max="5185" width="11.5703125" bestFit="1" customWidth="1"/>
    <col min="5186" max="5186" width="4.85546875" bestFit="1" customWidth="1"/>
    <col min="5187" max="5187" width="7.85546875" bestFit="1" customWidth="1"/>
    <col min="5188" max="5188" width="0" hidden="1" customWidth="1"/>
    <col min="5189" max="5189" width="8" bestFit="1" customWidth="1"/>
    <col min="5190" max="5190" width="9.28515625" bestFit="1" customWidth="1"/>
    <col min="5191" max="5191" width="19" bestFit="1" customWidth="1"/>
    <col min="5193" max="5193" width="6.140625" bestFit="1" customWidth="1"/>
    <col min="5194" max="5194" width="11.5703125" bestFit="1" customWidth="1"/>
    <col min="5195" max="5195" width="4.85546875" bestFit="1" customWidth="1"/>
    <col min="5196" max="5196" width="7.85546875" customWidth="1"/>
    <col min="5197" max="5197" width="0" hidden="1" customWidth="1"/>
    <col min="5198" max="5198" width="8" bestFit="1" customWidth="1"/>
    <col min="5199" max="5199" width="9.28515625" bestFit="1" customWidth="1"/>
    <col min="5200" max="5200" width="19" bestFit="1" customWidth="1"/>
    <col min="5209" max="5209" width="19" bestFit="1" customWidth="1"/>
    <col min="5381" max="5381" width="12.7109375" bestFit="1" customWidth="1"/>
    <col min="5384" max="5384" width="17.85546875" customWidth="1"/>
    <col min="5388" max="5388" width="7" customWidth="1"/>
    <col min="5389" max="5389" width="9.5703125" customWidth="1"/>
    <col min="5390" max="5391" width="0.140625" customWidth="1"/>
    <col min="5393" max="5393" width="19.5703125" customWidth="1"/>
    <col min="5398" max="5398" width="8" customWidth="1"/>
    <col min="5399" max="5400" width="0" hidden="1" customWidth="1"/>
    <col min="5402" max="5402" width="17.42578125" customWidth="1"/>
    <col min="5411" max="5411" width="19" bestFit="1" customWidth="1"/>
    <col min="5420" max="5420" width="19" bestFit="1" customWidth="1"/>
    <col min="5429" max="5429" width="19" bestFit="1" customWidth="1"/>
    <col min="5431" max="5431" width="6.140625" bestFit="1" customWidth="1"/>
    <col min="5432" max="5432" width="11.5703125" bestFit="1" customWidth="1"/>
    <col min="5433" max="5433" width="4.85546875" bestFit="1" customWidth="1"/>
    <col min="5434" max="5434" width="7.85546875" bestFit="1" customWidth="1"/>
    <col min="5435" max="5435" width="0" hidden="1" customWidth="1"/>
    <col min="5436" max="5436" width="8" bestFit="1" customWidth="1"/>
    <col min="5437" max="5437" width="9.28515625" bestFit="1" customWidth="1"/>
    <col min="5438" max="5438" width="19" bestFit="1" customWidth="1"/>
    <col min="5440" max="5440" width="6.140625" bestFit="1" customWidth="1"/>
    <col min="5441" max="5441" width="11.5703125" bestFit="1" customWidth="1"/>
    <col min="5442" max="5442" width="4.85546875" bestFit="1" customWidth="1"/>
    <col min="5443" max="5443" width="7.85546875" bestFit="1" customWidth="1"/>
    <col min="5444" max="5444" width="0" hidden="1" customWidth="1"/>
    <col min="5445" max="5445" width="8" bestFit="1" customWidth="1"/>
    <col min="5446" max="5446" width="9.28515625" bestFit="1" customWidth="1"/>
    <col min="5447" max="5447" width="19" bestFit="1" customWidth="1"/>
    <col min="5449" max="5449" width="6.140625" bestFit="1" customWidth="1"/>
    <col min="5450" max="5450" width="11.5703125" bestFit="1" customWidth="1"/>
    <col min="5451" max="5451" width="4.85546875" bestFit="1" customWidth="1"/>
    <col min="5452" max="5452" width="7.85546875" customWidth="1"/>
    <col min="5453" max="5453" width="0" hidden="1" customWidth="1"/>
    <col min="5454" max="5454" width="8" bestFit="1" customWidth="1"/>
    <col min="5455" max="5455" width="9.28515625" bestFit="1" customWidth="1"/>
    <col min="5456" max="5456" width="19" bestFit="1" customWidth="1"/>
    <col min="5465" max="5465" width="19" bestFit="1" customWidth="1"/>
    <col min="5637" max="5637" width="12.7109375" bestFit="1" customWidth="1"/>
    <col min="5640" max="5640" width="17.85546875" customWidth="1"/>
    <col min="5644" max="5644" width="7" customWidth="1"/>
    <col min="5645" max="5645" width="9.5703125" customWidth="1"/>
    <col min="5646" max="5647" width="0.140625" customWidth="1"/>
    <col min="5649" max="5649" width="19.5703125" customWidth="1"/>
    <col min="5654" max="5654" width="8" customWidth="1"/>
    <col min="5655" max="5656" width="0" hidden="1" customWidth="1"/>
    <col min="5658" max="5658" width="17.42578125" customWidth="1"/>
    <col min="5667" max="5667" width="19" bestFit="1" customWidth="1"/>
    <col min="5676" max="5676" width="19" bestFit="1" customWidth="1"/>
    <col min="5685" max="5685" width="19" bestFit="1" customWidth="1"/>
    <col min="5687" max="5687" width="6.140625" bestFit="1" customWidth="1"/>
    <col min="5688" max="5688" width="11.5703125" bestFit="1" customWidth="1"/>
    <col min="5689" max="5689" width="4.85546875" bestFit="1" customWidth="1"/>
    <col min="5690" max="5690" width="7.85546875" bestFit="1" customWidth="1"/>
    <col min="5691" max="5691" width="0" hidden="1" customWidth="1"/>
    <col min="5692" max="5692" width="8" bestFit="1" customWidth="1"/>
    <col min="5693" max="5693" width="9.28515625" bestFit="1" customWidth="1"/>
    <col min="5694" max="5694" width="19" bestFit="1" customWidth="1"/>
    <col min="5696" max="5696" width="6.140625" bestFit="1" customWidth="1"/>
    <col min="5697" max="5697" width="11.5703125" bestFit="1" customWidth="1"/>
    <col min="5698" max="5698" width="4.85546875" bestFit="1" customWidth="1"/>
    <col min="5699" max="5699" width="7.85546875" bestFit="1" customWidth="1"/>
    <col min="5700" max="5700" width="0" hidden="1" customWidth="1"/>
    <col min="5701" max="5701" width="8" bestFit="1" customWidth="1"/>
    <col min="5702" max="5702" width="9.28515625" bestFit="1" customWidth="1"/>
    <col min="5703" max="5703" width="19" bestFit="1" customWidth="1"/>
    <col min="5705" max="5705" width="6.140625" bestFit="1" customWidth="1"/>
    <col min="5706" max="5706" width="11.5703125" bestFit="1" customWidth="1"/>
    <col min="5707" max="5707" width="4.85546875" bestFit="1" customWidth="1"/>
    <col min="5708" max="5708" width="7.85546875" customWidth="1"/>
    <col min="5709" max="5709" width="0" hidden="1" customWidth="1"/>
    <col min="5710" max="5710" width="8" bestFit="1" customWidth="1"/>
    <col min="5711" max="5711" width="9.28515625" bestFit="1" customWidth="1"/>
    <col min="5712" max="5712" width="19" bestFit="1" customWidth="1"/>
    <col min="5721" max="5721" width="19" bestFit="1" customWidth="1"/>
    <col min="5893" max="5893" width="12.7109375" bestFit="1" customWidth="1"/>
    <col min="5896" max="5896" width="17.85546875" customWidth="1"/>
    <col min="5900" max="5900" width="7" customWidth="1"/>
    <col min="5901" max="5901" width="9.5703125" customWidth="1"/>
    <col min="5902" max="5903" width="0.140625" customWidth="1"/>
    <col min="5905" max="5905" width="19.5703125" customWidth="1"/>
    <col min="5910" max="5910" width="8" customWidth="1"/>
    <col min="5911" max="5912" width="0" hidden="1" customWidth="1"/>
    <col min="5914" max="5914" width="17.42578125" customWidth="1"/>
    <col min="5923" max="5923" width="19" bestFit="1" customWidth="1"/>
    <col min="5932" max="5932" width="19" bestFit="1" customWidth="1"/>
    <col min="5941" max="5941" width="19" bestFit="1" customWidth="1"/>
    <col min="5943" max="5943" width="6.140625" bestFit="1" customWidth="1"/>
    <col min="5944" max="5944" width="11.5703125" bestFit="1" customWidth="1"/>
    <col min="5945" max="5945" width="4.85546875" bestFit="1" customWidth="1"/>
    <col min="5946" max="5946" width="7.85546875" bestFit="1" customWidth="1"/>
    <col min="5947" max="5947" width="0" hidden="1" customWidth="1"/>
    <col min="5948" max="5948" width="8" bestFit="1" customWidth="1"/>
    <col min="5949" max="5949" width="9.28515625" bestFit="1" customWidth="1"/>
    <col min="5950" max="5950" width="19" bestFit="1" customWidth="1"/>
    <col min="5952" max="5952" width="6.140625" bestFit="1" customWidth="1"/>
    <col min="5953" max="5953" width="11.5703125" bestFit="1" customWidth="1"/>
    <col min="5954" max="5954" width="4.85546875" bestFit="1" customWidth="1"/>
    <col min="5955" max="5955" width="7.85546875" bestFit="1" customWidth="1"/>
    <col min="5956" max="5956" width="0" hidden="1" customWidth="1"/>
    <col min="5957" max="5957" width="8" bestFit="1" customWidth="1"/>
    <col min="5958" max="5958" width="9.28515625" bestFit="1" customWidth="1"/>
    <col min="5959" max="5959" width="19" bestFit="1" customWidth="1"/>
    <col min="5961" max="5961" width="6.140625" bestFit="1" customWidth="1"/>
    <col min="5962" max="5962" width="11.5703125" bestFit="1" customWidth="1"/>
    <col min="5963" max="5963" width="4.85546875" bestFit="1" customWidth="1"/>
    <col min="5964" max="5964" width="7.85546875" customWidth="1"/>
    <col min="5965" max="5965" width="0" hidden="1" customWidth="1"/>
    <col min="5966" max="5966" width="8" bestFit="1" customWidth="1"/>
    <col min="5967" max="5967" width="9.28515625" bestFit="1" customWidth="1"/>
    <col min="5968" max="5968" width="19" bestFit="1" customWidth="1"/>
    <col min="5977" max="5977" width="19" bestFit="1" customWidth="1"/>
    <col min="6149" max="6149" width="12.7109375" bestFit="1" customWidth="1"/>
    <col min="6152" max="6152" width="17.85546875" customWidth="1"/>
    <col min="6156" max="6156" width="7" customWidth="1"/>
    <col min="6157" max="6157" width="9.5703125" customWidth="1"/>
    <col min="6158" max="6159" width="0.140625" customWidth="1"/>
    <col min="6161" max="6161" width="19.5703125" customWidth="1"/>
    <col min="6166" max="6166" width="8" customWidth="1"/>
    <col min="6167" max="6168" width="0" hidden="1" customWidth="1"/>
    <col min="6170" max="6170" width="17.42578125" customWidth="1"/>
    <col min="6179" max="6179" width="19" bestFit="1" customWidth="1"/>
    <col min="6188" max="6188" width="19" bestFit="1" customWidth="1"/>
    <col min="6197" max="6197" width="19" bestFit="1" customWidth="1"/>
    <col min="6199" max="6199" width="6.140625" bestFit="1" customWidth="1"/>
    <col min="6200" max="6200" width="11.5703125" bestFit="1" customWidth="1"/>
    <col min="6201" max="6201" width="4.85546875" bestFit="1" customWidth="1"/>
    <col min="6202" max="6202" width="7.85546875" bestFit="1" customWidth="1"/>
    <col min="6203" max="6203" width="0" hidden="1" customWidth="1"/>
    <col min="6204" max="6204" width="8" bestFit="1" customWidth="1"/>
    <col min="6205" max="6205" width="9.28515625" bestFit="1" customWidth="1"/>
    <col min="6206" max="6206" width="19" bestFit="1" customWidth="1"/>
    <col min="6208" max="6208" width="6.140625" bestFit="1" customWidth="1"/>
    <col min="6209" max="6209" width="11.5703125" bestFit="1" customWidth="1"/>
    <col min="6210" max="6210" width="4.85546875" bestFit="1" customWidth="1"/>
    <col min="6211" max="6211" width="7.85546875" bestFit="1" customWidth="1"/>
    <col min="6212" max="6212" width="0" hidden="1" customWidth="1"/>
    <col min="6213" max="6213" width="8" bestFit="1" customWidth="1"/>
    <col min="6214" max="6214" width="9.28515625" bestFit="1" customWidth="1"/>
    <col min="6215" max="6215" width="19" bestFit="1" customWidth="1"/>
    <col min="6217" max="6217" width="6.140625" bestFit="1" customWidth="1"/>
    <col min="6218" max="6218" width="11.5703125" bestFit="1" customWidth="1"/>
    <col min="6219" max="6219" width="4.85546875" bestFit="1" customWidth="1"/>
    <col min="6220" max="6220" width="7.85546875" customWidth="1"/>
    <col min="6221" max="6221" width="0" hidden="1" customWidth="1"/>
    <col min="6222" max="6222" width="8" bestFit="1" customWidth="1"/>
    <col min="6223" max="6223" width="9.28515625" bestFit="1" customWidth="1"/>
    <col min="6224" max="6224" width="19" bestFit="1" customWidth="1"/>
    <col min="6233" max="6233" width="19" bestFit="1" customWidth="1"/>
    <col min="6405" max="6405" width="12.7109375" bestFit="1" customWidth="1"/>
    <col min="6408" max="6408" width="17.85546875" customWidth="1"/>
    <col min="6412" max="6412" width="7" customWidth="1"/>
    <col min="6413" max="6413" width="9.5703125" customWidth="1"/>
    <col min="6414" max="6415" width="0.140625" customWidth="1"/>
    <col min="6417" max="6417" width="19.5703125" customWidth="1"/>
    <col min="6422" max="6422" width="8" customWidth="1"/>
    <col min="6423" max="6424" width="0" hidden="1" customWidth="1"/>
    <col min="6426" max="6426" width="17.42578125" customWidth="1"/>
    <col min="6435" max="6435" width="19" bestFit="1" customWidth="1"/>
    <col min="6444" max="6444" width="19" bestFit="1" customWidth="1"/>
    <col min="6453" max="6453" width="19" bestFit="1" customWidth="1"/>
    <col min="6455" max="6455" width="6.140625" bestFit="1" customWidth="1"/>
    <col min="6456" max="6456" width="11.5703125" bestFit="1" customWidth="1"/>
    <col min="6457" max="6457" width="4.85546875" bestFit="1" customWidth="1"/>
    <col min="6458" max="6458" width="7.85546875" bestFit="1" customWidth="1"/>
    <col min="6459" max="6459" width="0" hidden="1" customWidth="1"/>
    <col min="6460" max="6460" width="8" bestFit="1" customWidth="1"/>
    <col min="6461" max="6461" width="9.28515625" bestFit="1" customWidth="1"/>
    <col min="6462" max="6462" width="19" bestFit="1" customWidth="1"/>
    <col min="6464" max="6464" width="6.140625" bestFit="1" customWidth="1"/>
    <col min="6465" max="6465" width="11.5703125" bestFit="1" customWidth="1"/>
    <col min="6466" max="6466" width="4.85546875" bestFit="1" customWidth="1"/>
    <col min="6467" max="6467" width="7.85546875" bestFit="1" customWidth="1"/>
    <col min="6468" max="6468" width="0" hidden="1" customWidth="1"/>
    <col min="6469" max="6469" width="8" bestFit="1" customWidth="1"/>
    <col min="6470" max="6470" width="9.28515625" bestFit="1" customWidth="1"/>
    <col min="6471" max="6471" width="19" bestFit="1" customWidth="1"/>
    <col min="6473" max="6473" width="6.140625" bestFit="1" customWidth="1"/>
    <col min="6474" max="6474" width="11.5703125" bestFit="1" customWidth="1"/>
    <col min="6475" max="6475" width="4.85546875" bestFit="1" customWidth="1"/>
    <col min="6476" max="6476" width="7.85546875" customWidth="1"/>
    <col min="6477" max="6477" width="0" hidden="1" customWidth="1"/>
    <col min="6478" max="6478" width="8" bestFit="1" customWidth="1"/>
    <col min="6479" max="6479" width="9.28515625" bestFit="1" customWidth="1"/>
    <col min="6480" max="6480" width="19" bestFit="1" customWidth="1"/>
    <col min="6489" max="6489" width="19" bestFit="1" customWidth="1"/>
    <col min="6661" max="6661" width="12.7109375" bestFit="1" customWidth="1"/>
    <col min="6664" max="6664" width="17.85546875" customWidth="1"/>
    <col min="6668" max="6668" width="7" customWidth="1"/>
    <col min="6669" max="6669" width="9.5703125" customWidth="1"/>
    <col min="6670" max="6671" width="0.140625" customWidth="1"/>
    <col min="6673" max="6673" width="19.5703125" customWidth="1"/>
    <col min="6678" max="6678" width="8" customWidth="1"/>
    <col min="6679" max="6680" width="0" hidden="1" customWidth="1"/>
    <col min="6682" max="6682" width="17.42578125" customWidth="1"/>
    <col min="6691" max="6691" width="19" bestFit="1" customWidth="1"/>
    <col min="6700" max="6700" width="19" bestFit="1" customWidth="1"/>
    <col min="6709" max="6709" width="19" bestFit="1" customWidth="1"/>
    <col min="6711" max="6711" width="6.140625" bestFit="1" customWidth="1"/>
    <col min="6712" max="6712" width="11.5703125" bestFit="1" customWidth="1"/>
    <col min="6713" max="6713" width="4.85546875" bestFit="1" customWidth="1"/>
    <col min="6714" max="6714" width="7.85546875" bestFit="1" customWidth="1"/>
    <col min="6715" max="6715" width="0" hidden="1" customWidth="1"/>
    <col min="6716" max="6716" width="8" bestFit="1" customWidth="1"/>
    <col min="6717" max="6717" width="9.28515625" bestFit="1" customWidth="1"/>
    <col min="6718" max="6718" width="19" bestFit="1" customWidth="1"/>
    <col min="6720" max="6720" width="6.140625" bestFit="1" customWidth="1"/>
    <col min="6721" max="6721" width="11.5703125" bestFit="1" customWidth="1"/>
    <col min="6722" max="6722" width="4.85546875" bestFit="1" customWidth="1"/>
    <col min="6723" max="6723" width="7.85546875" bestFit="1" customWidth="1"/>
    <col min="6724" max="6724" width="0" hidden="1" customWidth="1"/>
    <col min="6725" max="6725" width="8" bestFit="1" customWidth="1"/>
    <col min="6726" max="6726" width="9.28515625" bestFit="1" customWidth="1"/>
    <col min="6727" max="6727" width="19" bestFit="1" customWidth="1"/>
    <col min="6729" max="6729" width="6.140625" bestFit="1" customWidth="1"/>
    <col min="6730" max="6730" width="11.5703125" bestFit="1" customWidth="1"/>
    <col min="6731" max="6731" width="4.85546875" bestFit="1" customWidth="1"/>
    <col min="6732" max="6732" width="7.85546875" customWidth="1"/>
    <col min="6733" max="6733" width="0" hidden="1" customWidth="1"/>
    <col min="6734" max="6734" width="8" bestFit="1" customWidth="1"/>
    <col min="6735" max="6735" width="9.28515625" bestFit="1" customWidth="1"/>
    <col min="6736" max="6736" width="19" bestFit="1" customWidth="1"/>
    <col min="6745" max="6745" width="19" bestFit="1" customWidth="1"/>
    <col min="6917" max="6917" width="12.7109375" bestFit="1" customWidth="1"/>
    <col min="6920" max="6920" width="17.85546875" customWidth="1"/>
    <col min="6924" max="6924" width="7" customWidth="1"/>
    <col min="6925" max="6925" width="9.5703125" customWidth="1"/>
    <col min="6926" max="6927" width="0.140625" customWidth="1"/>
    <col min="6929" max="6929" width="19.5703125" customWidth="1"/>
    <col min="6934" max="6934" width="8" customWidth="1"/>
    <col min="6935" max="6936" width="0" hidden="1" customWidth="1"/>
    <col min="6938" max="6938" width="17.42578125" customWidth="1"/>
    <col min="6947" max="6947" width="19" bestFit="1" customWidth="1"/>
    <col min="6956" max="6956" width="19" bestFit="1" customWidth="1"/>
    <col min="6965" max="6965" width="19" bestFit="1" customWidth="1"/>
    <col min="6967" max="6967" width="6.140625" bestFit="1" customWidth="1"/>
    <col min="6968" max="6968" width="11.5703125" bestFit="1" customWidth="1"/>
    <col min="6969" max="6969" width="4.85546875" bestFit="1" customWidth="1"/>
    <col min="6970" max="6970" width="7.85546875" bestFit="1" customWidth="1"/>
    <col min="6971" max="6971" width="0" hidden="1" customWidth="1"/>
    <col min="6972" max="6972" width="8" bestFit="1" customWidth="1"/>
    <col min="6973" max="6973" width="9.28515625" bestFit="1" customWidth="1"/>
    <col min="6974" max="6974" width="19" bestFit="1" customWidth="1"/>
    <col min="6976" max="6976" width="6.140625" bestFit="1" customWidth="1"/>
    <col min="6977" max="6977" width="11.5703125" bestFit="1" customWidth="1"/>
    <col min="6978" max="6978" width="4.85546875" bestFit="1" customWidth="1"/>
    <col min="6979" max="6979" width="7.85546875" bestFit="1" customWidth="1"/>
    <col min="6980" max="6980" width="0" hidden="1" customWidth="1"/>
    <col min="6981" max="6981" width="8" bestFit="1" customWidth="1"/>
    <col min="6982" max="6982" width="9.28515625" bestFit="1" customWidth="1"/>
    <col min="6983" max="6983" width="19" bestFit="1" customWidth="1"/>
    <col min="6985" max="6985" width="6.140625" bestFit="1" customWidth="1"/>
    <col min="6986" max="6986" width="11.5703125" bestFit="1" customWidth="1"/>
    <col min="6987" max="6987" width="4.85546875" bestFit="1" customWidth="1"/>
    <col min="6988" max="6988" width="7.85546875" customWidth="1"/>
    <col min="6989" max="6989" width="0" hidden="1" customWidth="1"/>
    <col min="6990" max="6990" width="8" bestFit="1" customWidth="1"/>
    <col min="6991" max="6991" width="9.28515625" bestFit="1" customWidth="1"/>
    <col min="6992" max="6992" width="19" bestFit="1" customWidth="1"/>
    <col min="7001" max="7001" width="19" bestFit="1" customWidth="1"/>
    <col min="7173" max="7173" width="12.7109375" bestFit="1" customWidth="1"/>
    <col min="7176" max="7176" width="17.85546875" customWidth="1"/>
    <col min="7180" max="7180" width="7" customWidth="1"/>
    <col min="7181" max="7181" width="9.5703125" customWidth="1"/>
    <col min="7182" max="7183" width="0.140625" customWidth="1"/>
    <col min="7185" max="7185" width="19.5703125" customWidth="1"/>
    <col min="7190" max="7190" width="8" customWidth="1"/>
    <col min="7191" max="7192" width="0" hidden="1" customWidth="1"/>
    <col min="7194" max="7194" width="17.42578125" customWidth="1"/>
    <col min="7203" max="7203" width="19" bestFit="1" customWidth="1"/>
    <col min="7212" max="7212" width="19" bestFit="1" customWidth="1"/>
    <col min="7221" max="7221" width="19" bestFit="1" customWidth="1"/>
    <col min="7223" max="7223" width="6.140625" bestFit="1" customWidth="1"/>
    <col min="7224" max="7224" width="11.5703125" bestFit="1" customWidth="1"/>
    <col min="7225" max="7225" width="4.85546875" bestFit="1" customWidth="1"/>
    <col min="7226" max="7226" width="7.85546875" bestFit="1" customWidth="1"/>
    <col min="7227" max="7227" width="0" hidden="1" customWidth="1"/>
    <col min="7228" max="7228" width="8" bestFit="1" customWidth="1"/>
    <col min="7229" max="7229" width="9.28515625" bestFit="1" customWidth="1"/>
    <col min="7230" max="7230" width="19" bestFit="1" customWidth="1"/>
    <col min="7232" max="7232" width="6.140625" bestFit="1" customWidth="1"/>
    <col min="7233" max="7233" width="11.5703125" bestFit="1" customWidth="1"/>
    <col min="7234" max="7234" width="4.85546875" bestFit="1" customWidth="1"/>
    <col min="7235" max="7235" width="7.85546875" bestFit="1" customWidth="1"/>
    <col min="7236" max="7236" width="0" hidden="1" customWidth="1"/>
    <col min="7237" max="7237" width="8" bestFit="1" customWidth="1"/>
    <col min="7238" max="7238" width="9.28515625" bestFit="1" customWidth="1"/>
    <col min="7239" max="7239" width="19" bestFit="1" customWidth="1"/>
    <col min="7241" max="7241" width="6.140625" bestFit="1" customWidth="1"/>
    <col min="7242" max="7242" width="11.5703125" bestFit="1" customWidth="1"/>
    <col min="7243" max="7243" width="4.85546875" bestFit="1" customWidth="1"/>
    <col min="7244" max="7244" width="7.85546875" customWidth="1"/>
    <col min="7245" max="7245" width="0" hidden="1" customWidth="1"/>
    <col min="7246" max="7246" width="8" bestFit="1" customWidth="1"/>
    <col min="7247" max="7247" width="9.28515625" bestFit="1" customWidth="1"/>
    <col min="7248" max="7248" width="19" bestFit="1" customWidth="1"/>
    <col min="7257" max="7257" width="19" bestFit="1" customWidth="1"/>
    <col min="7429" max="7429" width="12.7109375" bestFit="1" customWidth="1"/>
    <col min="7432" max="7432" width="17.85546875" customWidth="1"/>
    <col min="7436" max="7436" width="7" customWidth="1"/>
    <col min="7437" max="7437" width="9.5703125" customWidth="1"/>
    <col min="7438" max="7439" width="0.140625" customWidth="1"/>
    <col min="7441" max="7441" width="19.5703125" customWidth="1"/>
    <col min="7446" max="7446" width="8" customWidth="1"/>
    <col min="7447" max="7448" width="0" hidden="1" customWidth="1"/>
    <col min="7450" max="7450" width="17.42578125" customWidth="1"/>
    <col min="7459" max="7459" width="19" bestFit="1" customWidth="1"/>
    <col min="7468" max="7468" width="19" bestFit="1" customWidth="1"/>
    <col min="7477" max="7477" width="19" bestFit="1" customWidth="1"/>
    <col min="7479" max="7479" width="6.140625" bestFit="1" customWidth="1"/>
    <col min="7480" max="7480" width="11.5703125" bestFit="1" customWidth="1"/>
    <col min="7481" max="7481" width="4.85546875" bestFit="1" customWidth="1"/>
    <col min="7482" max="7482" width="7.85546875" bestFit="1" customWidth="1"/>
    <col min="7483" max="7483" width="0" hidden="1" customWidth="1"/>
    <col min="7484" max="7484" width="8" bestFit="1" customWidth="1"/>
    <col min="7485" max="7485" width="9.28515625" bestFit="1" customWidth="1"/>
    <col min="7486" max="7486" width="19" bestFit="1" customWidth="1"/>
    <col min="7488" max="7488" width="6.140625" bestFit="1" customWidth="1"/>
    <col min="7489" max="7489" width="11.5703125" bestFit="1" customWidth="1"/>
    <col min="7490" max="7490" width="4.85546875" bestFit="1" customWidth="1"/>
    <col min="7491" max="7491" width="7.85546875" bestFit="1" customWidth="1"/>
    <col min="7492" max="7492" width="0" hidden="1" customWidth="1"/>
    <col min="7493" max="7493" width="8" bestFit="1" customWidth="1"/>
    <col min="7494" max="7494" width="9.28515625" bestFit="1" customWidth="1"/>
    <col min="7495" max="7495" width="19" bestFit="1" customWidth="1"/>
    <col min="7497" max="7497" width="6.140625" bestFit="1" customWidth="1"/>
    <col min="7498" max="7498" width="11.5703125" bestFit="1" customWidth="1"/>
    <col min="7499" max="7499" width="4.85546875" bestFit="1" customWidth="1"/>
    <col min="7500" max="7500" width="7.85546875" customWidth="1"/>
    <col min="7501" max="7501" width="0" hidden="1" customWidth="1"/>
    <col min="7502" max="7502" width="8" bestFit="1" customWidth="1"/>
    <col min="7503" max="7503" width="9.28515625" bestFit="1" customWidth="1"/>
    <col min="7504" max="7504" width="19" bestFit="1" customWidth="1"/>
    <col min="7513" max="7513" width="19" bestFit="1" customWidth="1"/>
    <col min="7685" max="7685" width="12.7109375" bestFit="1" customWidth="1"/>
    <col min="7688" max="7688" width="17.85546875" customWidth="1"/>
    <col min="7692" max="7692" width="7" customWidth="1"/>
    <col min="7693" max="7693" width="9.5703125" customWidth="1"/>
    <col min="7694" max="7695" width="0.140625" customWidth="1"/>
    <col min="7697" max="7697" width="19.5703125" customWidth="1"/>
    <col min="7702" max="7702" width="8" customWidth="1"/>
    <col min="7703" max="7704" width="0" hidden="1" customWidth="1"/>
    <col min="7706" max="7706" width="17.42578125" customWidth="1"/>
    <col min="7715" max="7715" width="19" bestFit="1" customWidth="1"/>
    <col min="7724" max="7724" width="19" bestFit="1" customWidth="1"/>
    <col min="7733" max="7733" width="19" bestFit="1" customWidth="1"/>
    <col min="7735" max="7735" width="6.140625" bestFit="1" customWidth="1"/>
    <col min="7736" max="7736" width="11.5703125" bestFit="1" customWidth="1"/>
    <col min="7737" max="7737" width="4.85546875" bestFit="1" customWidth="1"/>
    <col min="7738" max="7738" width="7.85546875" bestFit="1" customWidth="1"/>
    <col min="7739" max="7739" width="0" hidden="1" customWidth="1"/>
    <col min="7740" max="7740" width="8" bestFit="1" customWidth="1"/>
    <col min="7741" max="7741" width="9.28515625" bestFit="1" customWidth="1"/>
    <col min="7742" max="7742" width="19" bestFit="1" customWidth="1"/>
    <col min="7744" max="7744" width="6.140625" bestFit="1" customWidth="1"/>
    <col min="7745" max="7745" width="11.5703125" bestFit="1" customWidth="1"/>
    <col min="7746" max="7746" width="4.85546875" bestFit="1" customWidth="1"/>
    <col min="7747" max="7747" width="7.85546875" bestFit="1" customWidth="1"/>
    <col min="7748" max="7748" width="0" hidden="1" customWidth="1"/>
    <col min="7749" max="7749" width="8" bestFit="1" customWidth="1"/>
    <col min="7750" max="7750" width="9.28515625" bestFit="1" customWidth="1"/>
    <col min="7751" max="7751" width="19" bestFit="1" customWidth="1"/>
    <col min="7753" max="7753" width="6.140625" bestFit="1" customWidth="1"/>
    <col min="7754" max="7754" width="11.5703125" bestFit="1" customWidth="1"/>
    <col min="7755" max="7755" width="4.85546875" bestFit="1" customWidth="1"/>
    <col min="7756" max="7756" width="7.85546875" customWidth="1"/>
    <col min="7757" max="7757" width="0" hidden="1" customWidth="1"/>
    <col min="7758" max="7758" width="8" bestFit="1" customWidth="1"/>
    <col min="7759" max="7759" width="9.28515625" bestFit="1" customWidth="1"/>
    <col min="7760" max="7760" width="19" bestFit="1" customWidth="1"/>
    <col min="7769" max="7769" width="19" bestFit="1" customWidth="1"/>
    <col min="7941" max="7941" width="12.7109375" bestFit="1" customWidth="1"/>
    <col min="7944" max="7944" width="17.85546875" customWidth="1"/>
    <col min="7948" max="7948" width="7" customWidth="1"/>
    <col min="7949" max="7949" width="9.5703125" customWidth="1"/>
    <col min="7950" max="7951" width="0.140625" customWidth="1"/>
    <col min="7953" max="7953" width="19.5703125" customWidth="1"/>
    <col min="7958" max="7958" width="8" customWidth="1"/>
    <col min="7959" max="7960" width="0" hidden="1" customWidth="1"/>
    <col min="7962" max="7962" width="17.42578125" customWidth="1"/>
    <col min="7971" max="7971" width="19" bestFit="1" customWidth="1"/>
    <col min="7980" max="7980" width="19" bestFit="1" customWidth="1"/>
    <col min="7989" max="7989" width="19" bestFit="1" customWidth="1"/>
    <col min="7991" max="7991" width="6.140625" bestFit="1" customWidth="1"/>
    <col min="7992" max="7992" width="11.5703125" bestFit="1" customWidth="1"/>
    <col min="7993" max="7993" width="4.85546875" bestFit="1" customWidth="1"/>
    <col min="7994" max="7994" width="7.85546875" bestFit="1" customWidth="1"/>
    <col min="7995" max="7995" width="0" hidden="1" customWidth="1"/>
    <col min="7996" max="7996" width="8" bestFit="1" customWidth="1"/>
    <col min="7997" max="7997" width="9.28515625" bestFit="1" customWidth="1"/>
    <col min="7998" max="7998" width="19" bestFit="1" customWidth="1"/>
    <col min="8000" max="8000" width="6.140625" bestFit="1" customWidth="1"/>
    <col min="8001" max="8001" width="11.5703125" bestFit="1" customWidth="1"/>
    <col min="8002" max="8002" width="4.85546875" bestFit="1" customWidth="1"/>
    <col min="8003" max="8003" width="7.85546875" bestFit="1" customWidth="1"/>
    <col min="8004" max="8004" width="0" hidden="1" customWidth="1"/>
    <col min="8005" max="8005" width="8" bestFit="1" customWidth="1"/>
    <col min="8006" max="8006" width="9.28515625" bestFit="1" customWidth="1"/>
    <col min="8007" max="8007" width="19" bestFit="1" customWidth="1"/>
    <col min="8009" max="8009" width="6.140625" bestFit="1" customWidth="1"/>
    <col min="8010" max="8010" width="11.5703125" bestFit="1" customWidth="1"/>
    <col min="8011" max="8011" width="4.85546875" bestFit="1" customWidth="1"/>
    <col min="8012" max="8012" width="7.85546875" customWidth="1"/>
    <col min="8013" max="8013" width="0" hidden="1" customWidth="1"/>
    <col min="8014" max="8014" width="8" bestFit="1" customWidth="1"/>
    <col min="8015" max="8015" width="9.28515625" bestFit="1" customWidth="1"/>
    <col min="8016" max="8016" width="19" bestFit="1" customWidth="1"/>
    <col min="8025" max="8025" width="19" bestFit="1" customWidth="1"/>
    <col min="8197" max="8197" width="12.7109375" bestFit="1" customWidth="1"/>
    <col min="8200" max="8200" width="17.85546875" customWidth="1"/>
    <col min="8204" max="8204" width="7" customWidth="1"/>
    <col min="8205" max="8205" width="9.5703125" customWidth="1"/>
    <col min="8206" max="8207" width="0.140625" customWidth="1"/>
    <col min="8209" max="8209" width="19.5703125" customWidth="1"/>
    <col min="8214" max="8214" width="8" customWidth="1"/>
    <col min="8215" max="8216" width="0" hidden="1" customWidth="1"/>
    <col min="8218" max="8218" width="17.42578125" customWidth="1"/>
    <col min="8227" max="8227" width="19" bestFit="1" customWidth="1"/>
    <col min="8236" max="8236" width="19" bestFit="1" customWidth="1"/>
    <col min="8245" max="8245" width="19" bestFit="1" customWidth="1"/>
    <col min="8247" max="8247" width="6.140625" bestFit="1" customWidth="1"/>
    <col min="8248" max="8248" width="11.5703125" bestFit="1" customWidth="1"/>
    <col min="8249" max="8249" width="4.85546875" bestFit="1" customWidth="1"/>
    <col min="8250" max="8250" width="7.85546875" bestFit="1" customWidth="1"/>
    <col min="8251" max="8251" width="0" hidden="1" customWidth="1"/>
    <col min="8252" max="8252" width="8" bestFit="1" customWidth="1"/>
    <col min="8253" max="8253" width="9.28515625" bestFit="1" customWidth="1"/>
    <col min="8254" max="8254" width="19" bestFit="1" customWidth="1"/>
    <col min="8256" max="8256" width="6.140625" bestFit="1" customWidth="1"/>
    <col min="8257" max="8257" width="11.5703125" bestFit="1" customWidth="1"/>
    <col min="8258" max="8258" width="4.85546875" bestFit="1" customWidth="1"/>
    <col min="8259" max="8259" width="7.85546875" bestFit="1" customWidth="1"/>
    <col min="8260" max="8260" width="0" hidden="1" customWidth="1"/>
    <col min="8261" max="8261" width="8" bestFit="1" customWidth="1"/>
    <col min="8262" max="8262" width="9.28515625" bestFit="1" customWidth="1"/>
    <col min="8263" max="8263" width="19" bestFit="1" customWidth="1"/>
    <col min="8265" max="8265" width="6.140625" bestFit="1" customWidth="1"/>
    <col min="8266" max="8266" width="11.5703125" bestFit="1" customWidth="1"/>
    <col min="8267" max="8267" width="4.85546875" bestFit="1" customWidth="1"/>
    <col min="8268" max="8268" width="7.85546875" customWidth="1"/>
    <col min="8269" max="8269" width="0" hidden="1" customWidth="1"/>
    <col min="8270" max="8270" width="8" bestFit="1" customWidth="1"/>
    <col min="8271" max="8271" width="9.28515625" bestFit="1" customWidth="1"/>
    <col min="8272" max="8272" width="19" bestFit="1" customWidth="1"/>
    <col min="8281" max="8281" width="19" bestFit="1" customWidth="1"/>
    <col min="8453" max="8453" width="12.7109375" bestFit="1" customWidth="1"/>
    <col min="8456" max="8456" width="17.85546875" customWidth="1"/>
    <col min="8460" max="8460" width="7" customWidth="1"/>
    <col min="8461" max="8461" width="9.5703125" customWidth="1"/>
    <col min="8462" max="8463" width="0.140625" customWidth="1"/>
    <col min="8465" max="8465" width="19.5703125" customWidth="1"/>
    <col min="8470" max="8470" width="8" customWidth="1"/>
    <col min="8471" max="8472" width="0" hidden="1" customWidth="1"/>
    <col min="8474" max="8474" width="17.42578125" customWidth="1"/>
    <col min="8483" max="8483" width="19" bestFit="1" customWidth="1"/>
    <col min="8492" max="8492" width="19" bestFit="1" customWidth="1"/>
    <col min="8501" max="8501" width="19" bestFit="1" customWidth="1"/>
    <col min="8503" max="8503" width="6.140625" bestFit="1" customWidth="1"/>
    <col min="8504" max="8504" width="11.5703125" bestFit="1" customWidth="1"/>
    <col min="8505" max="8505" width="4.85546875" bestFit="1" customWidth="1"/>
    <col min="8506" max="8506" width="7.85546875" bestFit="1" customWidth="1"/>
    <col min="8507" max="8507" width="0" hidden="1" customWidth="1"/>
    <col min="8508" max="8508" width="8" bestFit="1" customWidth="1"/>
    <col min="8509" max="8509" width="9.28515625" bestFit="1" customWidth="1"/>
    <col min="8510" max="8510" width="19" bestFit="1" customWidth="1"/>
    <col min="8512" max="8512" width="6.140625" bestFit="1" customWidth="1"/>
    <col min="8513" max="8513" width="11.5703125" bestFit="1" customWidth="1"/>
    <col min="8514" max="8514" width="4.85546875" bestFit="1" customWidth="1"/>
    <col min="8515" max="8515" width="7.85546875" bestFit="1" customWidth="1"/>
    <col min="8516" max="8516" width="0" hidden="1" customWidth="1"/>
    <col min="8517" max="8517" width="8" bestFit="1" customWidth="1"/>
    <col min="8518" max="8518" width="9.28515625" bestFit="1" customWidth="1"/>
    <col min="8519" max="8519" width="19" bestFit="1" customWidth="1"/>
    <col min="8521" max="8521" width="6.140625" bestFit="1" customWidth="1"/>
    <col min="8522" max="8522" width="11.5703125" bestFit="1" customWidth="1"/>
    <col min="8523" max="8523" width="4.85546875" bestFit="1" customWidth="1"/>
    <col min="8524" max="8524" width="7.85546875" customWidth="1"/>
    <col min="8525" max="8525" width="0" hidden="1" customWidth="1"/>
    <col min="8526" max="8526" width="8" bestFit="1" customWidth="1"/>
    <col min="8527" max="8527" width="9.28515625" bestFit="1" customWidth="1"/>
    <col min="8528" max="8528" width="19" bestFit="1" customWidth="1"/>
    <col min="8537" max="8537" width="19" bestFit="1" customWidth="1"/>
    <col min="8709" max="8709" width="12.7109375" bestFit="1" customWidth="1"/>
    <col min="8712" max="8712" width="17.85546875" customWidth="1"/>
    <col min="8716" max="8716" width="7" customWidth="1"/>
    <col min="8717" max="8717" width="9.5703125" customWidth="1"/>
    <col min="8718" max="8719" width="0.140625" customWidth="1"/>
    <col min="8721" max="8721" width="19.5703125" customWidth="1"/>
    <col min="8726" max="8726" width="8" customWidth="1"/>
    <col min="8727" max="8728" width="0" hidden="1" customWidth="1"/>
    <col min="8730" max="8730" width="17.42578125" customWidth="1"/>
    <col min="8739" max="8739" width="19" bestFit="1" customWidth="1"/>
    <col min="8748" max="8748" width="19" bestFit="1" customWidth="1"/>
    <col min="8757" max="8757" width="19" bestFit="1" customWidth="1"/>
    <col min="8759" max="8759" width="6.140625" bestFit="1" customWidth="1"/>
    <col min="8760" max="8760" width="11.5703125" bestFit="1" customWidth="1"/>
    <col min="8761" max="8761" width="4.85546875" bestFit="1" customWidth="1"/>
    <col min="8762" max="8762" width="7.85546875" bestFit="1" customWidth="1"/>
    <col min="8763" max="8763" width="0" hidden="1" customWidth="1"/>
    <col min="8764" max="8764" width="8" bestFit="1" customWidth="1"/>
    <col min="8765" max="8765" width="9.28515625" bestFit="1" customWidth="1"/>
    <col min="8766" max="8766" width="19" bestFit="1" customWidth="1"/>
    <col min="8768" max="8768" width="6.140625" bestFit="1" customWidth="1"/>
    <col min="8769" max="8769" width="11.5703125" bestFit="1" customWidth="1"/>
    <col min="8770" max="8770" width="4.85546875" bestFit="1" customWidth="1"/>
    <col min="8771" max="8771" width="7.85546875" bestFit="1" customWidth="1"/>
    <col min="8772" max="8772" width="0" hidden="1" customWidth="1"/>
    <col min="8773" max="8773" width="8" bestFit="1" customWidth="1"/>
    <col min="8774" max="8774" width="9.28515625" bestFit="1" customWidth="1"/>
    <col min="8775" max="8775" width="19" bestFit="1" customWidth="1"/>
    <col min="8777" max="8777" width="6.140625" bestFit="1" customWidth="1"/>
    <col min="8778" max="8778" width="11.5703125" bestFit="1" customWidth="1"/>
    <col min="8779" max="8779" width="4.85546875" bestFit="1" customWidth="1"/>
    <col min="8780" max="8780" width="7.85546875" customWidth="1"/>
    <col min="8781" max="8781" width="0" hidden="1" customWidth="1"/>
    <col min="8782" max="8782" width="8" bestFit="1" customWidth="1"/>
    <col min="8783" max="8783" width="9.28515625" bestFit="1" customWidth="1"/>
    <col min="8784" max="8784" width="19" bestFit="1" customWidth="1"/>
    <col min="8793" max="8793" width="19" bestFit="1" customWidth="1"/>
    <col min="8965" max="8965" width="12.7109375" bestFit="1" customWidth="1"/>
    <col min="8968" max="8968" width="17.85546875" customWidth="1"/>
    <col min="8972" max="8972" width="7" customWidth="1"/>
    <col min="8973" max="8973" width="9.5703125" customWidth="1"/>
    <col min="8974" max="8975" width="0.140625" customWidth="1"/>
    <col min="8977" max="8977" width="19.5703125" customWidth="1"/>
    <col min="8982" max="8982" width="8" customWidth="1"/>
    <col min="8983" max="8984" width="0" hidden="1" customWidth="1"/>
    <col min="8986" max="8986" width="17.42578125" customWidth="1"/>
    <col min="8995" max="8995" width="19" bestFit="1" customWidth="1"/>
    <col min="9004" max="9004" width="19" bestFit="1" customWidth="1"/>
    <col min="9013" max="9013" width="19" bestFit="1" customWidth="1"/>
    <col min="9015" max="9015" width="6.140625" bestFit="1" customWidth="1"/>
    <col min="9016" max="9016" width="11.5703125" bestFit="1" customWidth="1"/>
    <col min="9017" max="9017" width="4.85546875" bestFit="1" customWidth="1"/>
    <col min="9018" max="9018" width="7.85546875" bestFit="1" customWidth="1"/>
    <col min="9019" max="9019" width="0" hidden="1" customWidth="1"/>
    <col min="9020" max="9020" width="8" bestFit="1" customWidth="1"/>
    <col min="9021" max="9021" width="9.28515625" bestFit="1" customWidth="1"/>
    <col min="9022" max="9022" width="19" bestFit="1" customWidth="1"/>
    <col min="9024" max="9024" width="6.140625" bestFit="1" customWidth="1"/>
    <col min="9025" max="9025" width="11.5703125" bestFit="1" customWidth="1"/>
    <col min="9026" max="9026" width="4.85546875" bestFit="1" customWidth="1"/>
    <col min="9027" max="9027" width="7.85546875" bestFit="1" customWidth="1"/>
    <col min="9028" max="9028" width="0" hidden="1" customWidth="1"/>
    <col min="9029" max="9029" width="8" bestFit="1" customWidth="1"/>
    <col min="9030" max="9030" width="9.28515625" bestFit="1" customWidth="1"/>
    <col min="9031" max="9031" width="19" bestFit="1" customWidth="1"/>
    <col min="9033" max="9033" width="6.140625" bestFit="1" customWidth="1"/>
    <col min="9034" max="9034" width="11.5703125" bestFit="1" customWidth="1"/>
    <col min="9035" max="9035" width="4.85546875" bestFit="1" customWidth="1"/>
    <col min="9036" max="9036" width="7.85546875" customWidth="1"/>
    <col min="9037" max="9037" width="0" hidden="1" customWidth="1"/>
    <col min="9038" max="9038" width="8" bestFit="1" customWidth="1"/>
    <col min="9039" max="9039" width="9.28515625" bestFit="1" customWidth="1"/>
    <col min="9040" max="9040" width="19" bestFit="1" customWidth="1"/>
    <col min="9049" max="9049" width="19" bestFit="1" customWidth="1"/>
    <col min="9221" max="9221" width="12.7109375" bestFit="1" customWidth="1"/>
    <col min="9224" max="9224" width="17.85546875" customWidth="1"/>
    <col min="9228" max="9228" width="7" customWidth="1"/>
    <col min="9229" max="9229" width="9.5703125" customWidth="1"/>
    <col min="9230" max="9231" width="0.140625" customWidth="1"/>
    <col min="9233" max="9233" width="19.5703125" customWidth="1"/>
    <col min="9238" max="9238" width="8" customWidth="1"/>
    <col min="9239" max="9240" width="0" hidden="1" customWidth="1"/>
    <col min="9242" max="9242" width="17.42578125" customWidth="1"/>
    <col min="9251" max="9251" width="19" bestFit="1" customWidth="1"/>
    <col min="9260" max="9260" width="19" bestFit="1" customWidth="1"/>
    <col min="9269" max="9269" width="19" bestFit="1" customWidth="1"/>
    <col min="9271" max="9271" width="6.140625" bestFit="1" customWidth="1"/>
    <col min="9272" max="9272" width="11.5703125" bestFit="1" customWidth="1"/>
    <col min="9273" max="9273" width="4.85546875" bestFit="1" customWidth="1"/>
    <col min="9274" max="9274" width="7.85546875" bestFit="1" customWidth="1"/>
    <col min="9275" max="9275" width="0" hidden="1" customWidth="1"/>
    <col min="9276" max="9276" width="8" bestFit="1" customWidth="1"/>
    <col min="9277" max="9277" width="9.28515625" bestFit="1" customWidth="1"/>
    <col min="9278" max="9278" width="19" bestFit="1" customWidth="1"/>
    <col min="9280" max="9280" width="6.140625" bestFit="1" customWidth="1"/>
    <col min="9281" max="9281" width="11.5703125" bestFit="1" customWidth="1"/>
    <col min="9282" max="9282" width="4.85546875" bestFit="1" customWidth="1"/>
    <col min="9283" max="9283" width="7.85546875" bestFit="1" customWidth="1"/>
    <col min="9284" max="9284" width="0" hidden="1" customWidth="1"/>
    <col min="9285" max="9285" width="8" bestFit="1" customWidth="1"/>
    <col min="9286" max="9286" width="9.28515625" bestFit="1" customWidth="1"/>
    <col min="9287" max="9287" width="19" bestFit="1" customWidth="1"/>
    <col min="9289" max="9289" width="6.140625" bestFit="1" customWidth="1"/>
    <col min="9290" max="9290" width="11.5703125" bestFit="1" customWidth="1"/>
    <col min="9291" max="9291" width="4.85546875" bestFit="1" customWidth="1"/>
    <col min="9292" max="9292" width="7.85546875" customWidth="1"/>
    <col min="9293" max="9293" width="0" hidden="1" customWidth="1"/>
    <col min="9294" max="9294" width="8" bestFit="1" customWidth="1"/>
    <col min="9295" max="9295" width="9.28515625" bestFit="1" customWidth="1"/>
    <col min="9296" max="9296" width="19" bestFit="1" customWidth="1"/>
    <col min="9305" max="9305" width="19" bestFit="1" customWidth="1"/>
    <col min="9477" max="9477" width="12.7109375" bestFit="1" customWidth="1"/>
    <col min="9480" max="9480" width="17.85546875" customWidth="1"/>
    <col min="9484" max="9484" width="7" customWidth="1"/>
    <col min="9485" max="9485" width="9.5703125" customWidth="1"/>
    <col min="9486" max="9487" width="0.140625" customWidth="1"/>
    <col min="9489" max="9489" width="19.5703125" customWidth="1"/>
    <col min="9494" max="9494" width="8" customWidth="1"/>
    <col min="9495" max="9496" width="0" hidden="1" customWidth="1"/>
    <col min="9498" max="9498" width="17.42578125" customWidth="1"/>
    <col min="9507" max="9507" width="19" bestFit="1" customWidth="1"/>
    <col min="9516" max="9516" width="19" bestFit="1" customWidth="1"/>
    <col min="9525" max="9525" width="19" bestFit="1" customWidth="1"/>
    <col min="9527" max="9527" width="6.140625" bestFit="1" customWidth="1"/>
    <col min="9528" max="9528" width="11.5703125" bestFit="1" customWidth="1"/>
    <col min="9529" max="9529" width="4.85546875" bestFit="1" customWidth="1"/>
    <col min="9530" max="9530" width="7.85546875" bestFit="1" customWidth="1"/>
    <col min="9531" max="9531" width="0" hidden="1" customWidth="1"/>
    <col min="9532" max="9532" width="8" bestFit="1" customWidth="1"/>
    <col min="9533" max="9533" width="9.28515625" bestFit="1" customWidth="1"/>
    <col min="9534" max="9534" width="19" bestFit="1" customWidth="1"/>
    <col min="9536" max="9536" width="6.140625" bestFit="1" customWidth="1"/>
    <col min="9537" max="9537" width="11.5703125" bestFit="1" customWidth="1"/>
    <col min="9538" max="9538" width="4.85546875" bestFit="1" customWidth="1"/>
    <col min="9539" max="9539" width="7.85546875" bestFit="1" customWidth="1"/>
    <col min="9540" max="9540" width="0" hidden="1" customWidth="1"/>
    <col min="9541" max="9541" width="8" bestFit="1" customWidth="1"/>
    <col min="9542" max="9542" width="9.28515625" bestFit="1" customWidth="1"/>
    <col min="9543" max="9543" width="19" bestFit="1" customWidth="1"/>
    <col min="9545" max="9545" width="6.140625" bestFit="1" customWidth="1"/>
    <col min="9546" max="9546" width="11.5703125" bestFit="1" customWidth="1"/>
    <col min="9547" max="9547" width="4.85546875" bestFit="1" customWidth="1"/>
    <col min="9548" max="9548" width="7.85546875" customWidth="1"/>
    <col min="9549" max="9549" width="0" hidden="1" customWidth="1"/>
    <col min="9550" max="9550" width="8" bestFit="1" customWidth="1"/>
    <col min="9551" max="9551" width="9.28515625" bestFit="1" customWidth="1"/>
    <col min="9552" max="9552" width="19" bestFit="1" customWidth="1"/>
    <col min="9561" max="9561" width="19" bestFit="1" customWidth="1"/>
    <col min="9733" max="9733" width="12.7109375" bestFit="1" customWidth="1"/>
    <col min="9736" max="9736" width="17.85546875" customWidth="1"/>
    <col min="9740" max="9740" width="7" customWidth="1"/>
    <col min="9741" max="9741" width="9.5703125" customWidth="1"/>
    <col min="9742" max="9743" width="0.140625" customWidth="1"/>
    <col min="9745" max="9745" width="19.5703125" customWidth="1"/>
    <col min="9750" max="9750" width="8" customWidth="1"/>
    <col min="9751" max="9752" width="0" hidden="1" customWidth="1"/>
    <col min="9754" max="9754" width="17.42578125" customWidth="1"/>
    <col min="9763" max="9763" width="19" bestFit="1" customWidth="1"/>
    <col min="9772" max="9772" width="19" bestFit="1" customWidth="1"/>
    <col min="9781" max="9781" width="19" bestFit="1" customWidth="1"/>
    <col min="9783" max="9783" width="6.140625" bestFit="1" customWidth="1"/>
    <col min="9784" max="9784" width="11.5703125" bestFit="1" customWidth="1"/>
    <col min="9785" max="9785" width="4.85546875" bestFit="1" customWidth="1"/>
    <col min="9786" max="9786" width="7.85546875" bestFit="1" customWidth="1"/>
    <col min="9787" max="9787" width="0" hidden="1" customWidth="1"/>
    <col min="9788" max="9788" width="8" bestFit="1" customWidth="1"/>
    <col min="9789" max="9789" width="9.28515625" bestFit="1" customWidth="1"/>
    <col min="9790" max="9790" width="19" bestFit="1" customWidth="1"/>
    <col min="9792" max="9792" width="6.140625" bestFit="1" customWidth="1"/>
    <col min="9793" max="9793" width="11.5703125" bestFit="1" customWidth="1"/>
    <col min="9794" max="9794" width="4.85546875" bestFit="1" customWidth="1"/>
    <col min="9795" max="9795" width="7.85546875" bestFit="1" customWidth="1"/>
    <col min="9796" max="9796" width="0" hidden="1" customWidth="1"/>
    <col min="9797" max="9797" width="8" bestFit="1" customWidth="1"/>
    <col min="9798" max="9798" width="9.28515625" bestFit="1" customWidth="1"/>
    <col min="9799" max="9799" width="19" bestFit="1" customWidth="1"/>
    <col min="9801" max="9801" width="6.140625" bestFit="1" customWidth="1"/>
    <col min="9802" max="9802" width="11.5703125" bestFit="1" customWidth="1"/>
    <col min="9803" max="9803" width="4.85546875" bestFit="1" customWidth="1"/>
    <col min="9804" max="9804" width="7.85546875" customWidth="1"/>
    <col min="9805" max="9805" width="0" hidden="1" customWidth="1"/>
    <col min="9806" max="9806" width="8" bestFit="1" customWidth="1"/>
    <col min="9807" max="9807" width="9.28515625" bestFit="1" customWidth="1"/>
    <col min="9808" max="9808" width="19" bestFit="1" customWidth="1"/>
    <col min="9817" max="9817" width="19" bestFit="1" customWidth="1"/>
    <col min="9989" max="9989" width="12.7109375" bestFit="1" customWidth="1"/>
    <col min="9992" max="9992" width="17.85546875" customWidth="1"/>
    <col min="9996" max="9996" width="7" customWidth="1"/>
    <col min="9997" max="9997" width="9.5703125" customWidth="1"/>
    <col min="9998" max="9999" width="0.140625" customWidth="1"/>
    <col min="10001" max="10001" width="19.5703125" customWidth="1"/>
    <col min="10006" max="10006" width="8" customWidth="1"/>
    <col min="10007" max="10008" width="0" hidden="1" customWidth="1"/>
    <col min="10010" max="10010" width="17.42578125" customWidth="1"/>
    <col min="10019" max="10019" width="19" bestFit="1" customWidth="1"/>
    <col min="10028" max="10028" width="19" bestFit="1" customWidth="1"/>
    <col min="10037" max="10037" width="19" bestFit="1" customWidth="1"/>
    <col min="10039" max="10039" width="6.140625" bestFit="1" customWidth="1"/>
    <col min="10040" max="10040" width="11.5703125" bestFit="1" customWidth="1"/>
    <col min="10041" max="10041" width="4.85546875" bestFit="1" customWidth="1"/>
    <col min="10042" max="10042" width="7.85546875" bestFit="1" customWidth="1"/>
    <col min="10043" max="10043" width="0" hidden="1" customWidth="1"/>
    <col min="10044" max="10044" width="8" bestFit="1" customWidth="1"/>
    <col min="10045" max="10045" width="9.28515625" bestFit="1" customWidth="1"/>
    <col min="10046" max="10046" width="19" bestFit="1" customWidth="1"/>
    <col min="10048" max="10048" width="6.140625" bestFit="1" customWidth="1"/>
    <col min="10049" max="10049" width="11.5703125" bestFit="1" customWidth="1"/>
    <col min="10050" max="10050" width="4.85546875" bestFit="1" customWidth="1"/>
    <col min="10051" max="10051" width="7.85546875" bestFit="1" customWidth="1"/>
    <col min="10052" max="10052" width="0" hidden="1" customWidth="1"/>
    <col min="10053" max="10053" width="8" bestFit="1" customWidth="1"/>
    <col min="10054" max="10054" width="9.28515625" bestFit="1" customWidth="1"/>
    <col min="10055" max="10055" width="19" bestFit="1" customWidth="1"/>
    <col min="10057" max="10057" width="6.140625" bestFit="1" customWidth="1"/>
    <col min="10058" max="10058" width="11.5703125" bestFit="1" customWidth="1"/>
    <col min="10059" max="10059" width="4.85546875" bestFit="1" customWidth="1"/>
    <col min="10060" max="10060" width="7.85546875" customWidth="1"/>
    <col min="10061" max="10061" width="0" hidden="1" customWidth="1"/>
    <col min="10062" max="10062" width="8" bestFit="1" customWidth="1"/>
    <col min="10063" max="10063" width="9.28515625" bestFit="1" customWidth="1"/>
    <col min="10064" max="10064" width="19" bestFit="1" customWidth="1"/>
    <col min="10073" max="10073" width="19" bestFit="1" customWidth="1"/>
    <col min="10245" max="10245" width="12.7109375" bestFit="1" customWidth="1"/>
    <col min="10248" max="10248" width="17.85546875" customWidth="1"/>
    <col min="10252" max="10252" width="7" customWidth="1"/>
    <col min="10253" max="10253" width="9.5703125" customWidth="1"/>
    <col min="10254" max="10255" width="0.140625" customWidth="1"/>
    <col min="10257" max="10257" width="19.5703125" customWidth="1"/>
    <col min="10262" max="10262" width="8" customWidth="1"/>
    <col min="10263" max="10264" width="0" hidden="1" customWidth="1"/>
    <col min="10266" max="10266" width="17.42578125" customWidth="1"/>
    <col min="10275" max="10275" width="19" bestFit="1" customWidth="1"/>
    <col min="10284" max="10284" width="19" bestFit="1" customWidth="1"/>
    <col min="10293" max="10293" width="19" bestFit="1" customWidth="1"/>
    <col min="10295" max="10295" width="6.140625" bestFit="1" customWidth="1"/>
    <col min="10296" max="10296" width="11.5703125" bestFit="1" customWidth="1"/>
    <col min="10297" max="10297" width="4.85546875" bestFit="1" customWidth="1"/>
    <col min="10298" max="10298" width="7.85546875" bestFit="1" customWidth="1"/>
    <col min="10299" max="10299" width="0" hidden="1" customWidth="1"/>
    <col min="10300" max="10300" width="8" bestFit="1" customWidth="1"/>
    <col min="10301" max="10301" width="9.28515625" bestFit="1" customWidth="1"/>
    <col min="10302" max="10302" width="19" bestFit="1" customWidth="1"/>
    <col min="10304" max="10304" width="6.140625" bestFit="1" customWidth="1"/>
    <col min="10305" max="10305" width="11.5703125" bestFit="1" customWidth="1"/>
    <col min="10306" max="10306" width="4.85546875" bestFit="1" customWidth="1"/>
    <col min="10307" max="10307" width="7.85546875" bestFit="1" customWidth="1"/>
    <col min="10308" max="10308" width="0" hidden="1" customWidth="1"/>
    <col min="10309" max="10309" width="8" bestFit="1" customWidth="1"/>
    <col min="10310" max="10310" width="9.28515625" bestFit="1" customWidth="1"/>
    <col min="10311" max="10311" width="19" bestFit="1" customWidth="1"/>
    <col min="10313" max="10313" width="6.140625" bestFit="1" customWidth="1"/>
    <col min="10314" max="10314" width="11.5703125" bestFit="1" customWidth="1"/>
    <col min="10315" max="10315" width="4.85546875" bestFit="1" customWidth="1"/>
    <col min="10316" max="10316" width="7.85546875" customWidth="1"/>
    <col min="10317" max="10317" width="0" hidden="1" customWidth="1"/>
    <col min="10318" max="10318" width="8" bestFit="1" customWidth="1"/>
    <col min="10319" max="10319" width="9.28515625" bestFit="1" customWidth="1"/>
    <col min="10320" max="10320" width="19" bestFit="1" customWidth="1"/>
    <col min="10329" max="10329" width="19" bestFit="1" customWidth="1"/>
    <col min="10501" max="10501" width="12.7109375" bestFit="1" customWidth="1"/>
    <col min="10504" max="10504" width="17.85546875" customWidth="1"/>
    <col min="10508" max="10508" width="7" customWidth="1"/>
    <col min="10509" max="10509" width="9.5703125" customWidth="1"/>
    <col min="10510" max="10511" width="0.140625" customWidth="1"/>
    <col min="10513" max="10513" width="19.5703125" customWidth="1"/>
    <col min="10518" max="10518" width="8" customWidth="1"/>
    <col min="10519" max="10520" width="0" hidden="1" customWidth="1"/>
    <col min="10522" max="10522" width="17.42578125" customWidth="1"/>
    <col min="10531" max="10531" width="19" bestFit="1" customWidth="1"/>
    <col min="10540" max="10540" width="19" bestFit="1" customWidth="1"/>
    <col min="10549" max="10549" width="19" bestFit="1" customWidth="1"/>
    <col min="10551" max="10551" width="6.140625" bestFit="1" customWidth="1"/>
    <col min="10552" max="10552" width="11.5703125" bestFit="1" customWidth="1"/>
    <col min="10553" max="10553" width="4.85546875" bestFit="1" customWidth="1"/>
    <col min="10554" max="10554" width="7.85546875" bestFit="1" customWidth="1"/>
    <col min="10555" max="10555" width="0" hidden="1" customWidth="1"/>
    <col min="10556" max="10556" width="8" bestFit="1" customWidth="1"/>
    <col min="10557" max="10557" width="9.28515625" bestFit="1" customWidth="1"/>
    <col min="10558" max="10558" width="19" bestFit="1" customWidth="1"/>
    <col min="10560" max="10560" width="6.140625" bestFit="1" customWidth="1"/>
    <col min="10561" max="10561" width="11.5703125" bestFit="1" customWidth="1"/>
    <col min="10562" max="10562" width="4.85546875" bestFit="1" customWidth="1"/>
    <col min="10563" max="10563" width="7.85546875" bestFit="1" customWidth="1"/>
    <col min="10564" max="10564" width="0" hidden="1" customWidth="1"/>
    <col min="10565" max="10565" width="8" bestFit="1" customWidth="1"/>
    <col min="10566" max="10566" width="9.28515625" bestFit="1" customWidth="1"/>
    <col min="10567" max="10567" width="19" bestFit="1" customWidth="1"/>
    <col min="10569" max="10569" width="6.140625" bestFit="1" customWidth="1"/>
    <col min="10570" max="10570" width="11.5703125" bestFit="1" customWidth="1"/>
    <col min="10571" max="10571" width="4.85546875" bestFit="1" customWidth="1"/>
    <col min="10572" max="10572" width="7.85546875" customWidth="1"/>
    <col min="10573" max="10573" width="0" hidden="1" customWidth="1"/>
    <col min="10574" max="10574" width="8" bestFit="1" customWidth="1"/>
    <col min="10575" max="10575" width="9.28515625" bestFit="1" customWidth="1"/>
    <col min="10576" max="10576" width="19" bestFit="1" customWidth="1"/>
    <col min="10585" max="10585" width="19" bestFit="1" customWidth="1"/>
    <col min="10757" max="10757" width="12.7109375" bestFit="1" customWidth="1"/>
    <col min="10760" max="10760" width="17.85546875" customWidth="1"/>
    <col min="10764" max="10764" width="7" customWidth="1"/>
    <col min="10765" max="10765" width="9.5703125" customWidth="1"/>
    <col min="10766" max="10767" width="0.140625" customWidth="1"/>
    <col min="10769" max="10769" width="19.5703125" customWidth="1"/>
    <col min="10774" max="10774" width="8" customWidth="1"/>
    <col min="10775" max="10776" width="0" hidden="1" customWidth="1"/>
    <col min="10778" max="10778" width="17.42578125" customWidth="1"/>
    <col min="10787" max="10787" width="19" bestFit="1" customWidth="1"/>
    <col min="10796" max="10796" width="19" bestFit="1" customWidth="1"/>
    <col min="10805" max="10805" width="19" bestFit="1" customWidth="1"/>
    <col min="10807" max="10807" width="6.140625" bestFit="1" customWidth="1"/>
    <col min="10808" max="10808" width="11.5703125" bestFit="1" customWidth="1"/>
    <col min="10809" max="10809" width="4.85546875" bestFit="1" customWidth="1"/>
    <col min="10810" max="10810" width="7.85546875" bestFit="1" customWidth="1"/>
    <col min="10811" max="10811" width="0" hidden="1" customWidth="1"/>
    <col min="10812" max="10812" width="8" bestFit="1" customWidth="1"/>
    <col min="10813" max="10813" width="9.28515625" bestFit="1" customWidth="1"/>
    <col min="10814" max="10814" width="19" bestFit="1" customWidth="1"/>
    <col min="10816" max="10816" width="6.140625" bestFit="1" customWidth="1"/>
    <col min="10817" max="10817" width="11.5703125" bestFit="1" customWidth="1"/>
    <col min="10818" max="10818" width="4.85546875" bestFit="1" customWidth="1"/>
    <col min="10819" max="10819" width="7.85546875" bestFit="1" customWidth="1"/>
    <col min="10820" max="10820" width="0" hidden="1" customWidth="1"/>
    <col min="10821" max="10821" width="8" bestFit="1" customWidth="1"/>
    <col min="10822" max="10822" width="9.28515625" bestFit="1" customWidth="1"/>
    <col min="10823" max="10823" width="19" bestFit="1" customWidth="1"/>
    <col min="10825" max="10825" width="6.140625" bestFit="1" customWidth="1"/>
    <col min="10826" max="10826" width="11.5703125" bestFit="1" customWidth="1"/>
    <col min="10827" max="10827" width="4.85546875" bestFit="1" customWidth="1"/>
    <col min="10828" max="10828" width="7.85546875" customWidth="1"/>
    <col min="10829" max="10829" width="0" hidden="1" customWidth="1"/>
    <col min="10830" max="10830" width="8" bestFit="1" customWidth="1"/>
    <col min="10831" max="10831" width="9.28515625" bestFit="1" customWidth="1"/>
    <col min="10832" max="10832" width="19" bestFit="1" customWidth="1"/>
    <col min="10841" max="10841" width="19" bestFit="1" customWidth="1"/>
    <col min="11013" max="11013" width="12.7109375" bestFit="1" customWidth="1"/>
    <col min="11016" max="11016" width="17.85546875" customWidth="1"/>
    <col min="11020" max="11020" width="7" customWidth="1"/>
    <col min="11021" max="11021" width="9.5703125" customWidth="1"/>
    <col min="11022" max="11023" width="0.140625" customWidth="1"/>
    <col min="11025" max="11025" width="19.5703125" customWidth="1"/>
    <col min="11030" max="11030" width="8" customWidth="1"/>
    <col min="11031" max="11032" width="0" hidden="1" customWidth="1"/>
    <col min="11034" max="11034" width="17.42578125" customWidth="1"/>
    <col min="11043" max="11043" width="19" bestFit="1" customWidth="1"/>
    <col min="11052" max="11052" width="19" bestFit="1" customWidth="1"/>
    <col min="11061" max="11061" width="19" bestFit="1" customWidth="1"/>
    <col min="11063" max="11063" width="6.140625" bestFit="1" customWidth="1"/>
    <col min="11064" max="11064" width="11.5703125" bestFit="1" customWidth="1"/>
    <col min="11065" max="11065" width="4.85546875" bestFit="1" customWidth="1"/>
    <col min="11066" max="11066" width="7.85546875" bestFit="1" customWidth="1"/>
    <col min="11067" max="11067" width="0" hidden="1" customWidth="1"/>
    <col min="11068" max="11068" width="8" bestFit="1" customWidth="1"/>
    <col min="11069" max="11069" width="9.28515625" bestFit="1" customWidth="1"/>
    <col min="11070" max="11070" width="19" bestFit="1" customWidth="1"/>
    <col min="11072" max="11072" width="6.140625" bestFit="1" customWidth="1"/>
    <col min="11073" max="11073" width="11.5703125" bestFit="1" customWidth="1"/>
    <col min="11074" max="11074" width="4.85546875" bestFit="1" customWidth="1"/>
    <col min="11075" max="11075" width="7.85546875" bestFit="1" customWidth="1"/>
    <col min="11076" max="11076" width="0" hidden="1" customWidth="1"/>
    <col min="11077" max="11077" width="8" bestFit="1" customWidth="1"/>
    <col min="11078" max="11078" width="9.28515625" bestFit="1" customWidth="1"/>
    <col min="11079" max="11079" width="19" bestFit="1" customWidth="1"/>
    <col min="11081" max="11081" width="6.140625" bestFit="1" customWidth="1"/>
    <col min="11082" max="11082" width="11.5703125" bestFit="1" customWidth="1"/>
    <col min="11083" max="11083" width="4.85546875" bestFit="1" customWidth="1"/>
    <col min="11084" max="11084" width="7.85546875" customWidth="1"/>
    <col min="11085" max="11085" width="0" hidden="1" customWidth="1"/>
    <col min="11086" max="11086" width="8" bestFit="1" customWidth="1"/>
    <col min="11087" max="11087" width="9.28515625" bestFit="1" customWidth="1"/>
    <col min="11088" max="11088" width="19" bestFit="1" customWidth="1"/>
    <col min="11097" max="11097" width="19" bestFit="1" customWidth="1"/>
    <col min="11269" max="11269" width="12.7109375" bestFit="1" customWidth="1"/>
    <col min="11272" max="11272" width="17.85546875" customWidth="1"/>
    <col min="11276" max="11276" width="7" customWidth="1"/>
    <col min="11277" max="11277" width="9.5703125" customWidth="1"/>
    <col min="11278" max="11279" width="0.140625" customWidth="1"/>
    <col min="11281" max="11281" width="19.5703125" customWidth="1"/>
    <col min="11286" max="11286" width="8" customWidth="1"/>
    <col min="11287" max="11288" width="0" hidden="1" customWidth="1"/>
    <col min="11290" max="11290" width="17.42578125" customWidth="1"/>
    <col min="11299" max="11299" width="19" bestFit="1" customWidth="1"/>
    <col min="11308" max="11308" width="19" bestFit="1" customWidth="1"/>
    <col min="11317" max="11317" width="19" bestFit="1" customWidth="1"/>
    <col min="11319" max="11319" width="6.140625" bestFit="1" customWidth="1"/>
    <col min="11320" max="11320" width="11.5703125" bestFit="1" customWidth="1"/>
    <col min="11321" max="11321" width="4.85546875" bestFit="1" customWidth="1"/>
    <col min="11322" max="11322" width="7.85546875" bestFit="1" customWidth="1"/>
    <col min="11323" max="11323" width="0" hidden="1" customWidth="1"/>
    <col min="11324" max="11324" width="8" bestFit="1" customWidth="1"/>
    <col min="11325" max="11325" width="9.28515625" bestFit="1" customWidth="1"/>
    <col min="11326" max="11326" width="19" bestFit="1" customWidth="1"/>
    <col min="11328" max="11328" width="6.140625" bestFit="1" customWidth="1"/>
    <col min="11329" max="11329" width="11.5703125" bestFit="1" customWidth="1"/>
    <col min="11330" max="11330" width="4.85546875" bestFit="1" customWidth="1"/>
    <col min="11331" max="11331" width="7.85546875" bestFit="1" customWidth="1"/>
    <col min="11332" max="11332" width="0" hidden="1" customWidth="1"/>
    <col min="11333" max="11333" width="8" bestFit="1" customWidth="1"/>
    <col min="11334" max="11334" width="9.28515625" bestFit="1" customWidth="1"/>
    <col min="11335" max="11335" width="19" bestFit="1" customWidth="1"/>
    <col min="11337" max="11337" width="6.140625" bestFit="1" customWidth="1"/>
    <col min="11338" max="11338" width="11.5703125" bestFit="1" customWidth="1"/>
    <col min="11339" max="11339" width="4.85546875" bestFit="1" customWidth="1"/>
    <col min="11340" max="11340" width="7.85546875" customWidth="1"/>
    <col min="11341" max="11341" width="0" hidden="1" customWidth="1"/>
    <col min="11342" max="11342" width="8" bestFit="1" customWidth="1"/>
    <col min="11343" max="11343" width="9.28515625" bestFit="1" customWidth="1"/>
    <col min="11344" max="11344" width="19" bestFit="1" customWidth="1"/>
    <col min="11353" max="11353" width="19" bestFit="1" customWidth="1"/>
    <col min="11525" max="11525" width="12.7109375" bestFit="1" customWidth="1"/>
    <col min="11528" max="11528" width="17.85546875" customWidth="1"/>
    <col min="11532" max="11532" width="7" customWidth="1"/>
    <col min="11533" max="11533" width="9.5703125" customWidth="1"/>
    <col min="11534" max="11535" width="0.140625" customWidth="1"/>
    <col min="11537" max="11537" width="19.5703125" customWidth="1"/>
    <col min="11542" max="11542" width="8" customWidth="1"/>
    <col min="11543" max="11544" width="0" hidden="1" customWidth="1"/>
    <col min="11546" max="11546" width="17.42578125" customWidth="1"/>
    <col min="11555" max="11555" width="19" bestFit="1" customWidth="1"/>
    <col min="11564" max="11564" width="19" bestFit="1" customWidth="1"/>
    <col min="11573" max="11573" width="19" bestFit="1" customWidth="1"/>
    <col min="11575" max="11575" width="6.140625" bestFit="1" customWidth="1"/>
    <col min="11576" max="11576" width="11.5703125" bestFit="1" customWidth="1"/>
    <col min="11577" max="11577" width="4.85546875" bestFit="1" customWidth="1"/>
    <col min="11578" max="11578" width="7.85546875" bestFit="1" customWidth="1"/>
    <col min="11579" max="11579" width="0" hidden="1" customWidth="1"/>
    <col min="11580" max="11580" width="8" bestFit="1" customWidth="1"/>
    <col min="11581" max="11581" width="9.28515625" bestFit="1" customWidth="1"/>
    <col min="11582" max="11582" width="19" bestFit="1" customWidth="1"/>
    <col min="11584" max="11584" width="6.140625" bestFit="1" customWidth="1"/>
    <col min="11585" max="11585" width="11.5703125" bestFit="1" customWidth="1"/>
    <col min="11586" max="11586" width="4.85546875" bestFit="1" customWidth="1"/>
    <col min="11587" max="11587" width="7.85546875" bestFit="1" customWidth="1"/>
    <col min="11588" max="11588" width="0" hidden="1" customWidth="1"/>
    <col min="11589" max="11589" width="8" bestFit="1" customWidth="1"/>
    <col min="11590" max="11590" width="9.28515625" bestFit="1" customWidth="1"/>
    <col min="11591" max="11591" width="19" bestFit="1" customWidth="1"/>
    <col min="11593" max="11593" width="6.140625" bestFit="1" customWidth="1"/>
    <col min="11594" max="11594" width="11.5703125" bestFit="1" customWidth="1"/>
    <col min="11595" max="11595" width="4.85546875" bestFit="1" customWidth="1"/>
    <col min="11596" max="11596" width="7.85546875" customWidth="1"/>
    <col min="11597" max="11597" width="0" hidden="1" customWidth="1"/>
    <col min="11598" max="11598" width="8" bestFit="1" customWidth="1"/>
    <col min="11599" max="11599" width="9.28515625" bestFit="1" customWidth="1"/>
    <col min="11600" max="11600" width="19" bestFit="1" customWidth="1"/>
    <col min="11609" max="11609" width="19" bestFit="1" customWidth="1"/>
    <col min="11781" max="11781" width="12.7109375" bestFit="1" customWidth="1"/>
    <col min="11784" max="11784" width="17.85546875" customWidth="1"/>
    <col min="11788" max="11788" width="7" customWidth="1"/>
    <col min="11789" max="11789" width="9.5703125" customWidth="1"/>
    <col min="11790" max="11791" width="0.140625" customWidth="1"/>
    <col min="11793" max="11793" width="19.5703125" customWidth="1"/>
    <col min="11798" max="11798" width="8" customWidth="1"/>
    <col min="11799" max="11800" width="0" hidden="1" customWidth="1"/>
    <col min="11802" max="11802" width="17.42578125" customWidth="1"/>
    <col min="11811" max="11811" width="19" bestFit="1" customWidth="1"/>
    <col min="11820" max="11820" width="19" bestFit="1" customWidth="1"/>
    <col min="11829" max="11829" width="19" bestFit="1" customWidth="1"/>
    <col min="11831" max="11831" width="6.140625" bestFit="1" customWidth="1"/>
    <col min="11832" max="11832" width="11.5703125" bestFit="1" customWidth="1"/>
    <col min="11833" max="11833" width="4.85546875" bestFit="1" customWidth="1"/>
    <col min="11834" max="11834" width="7.85546875" bestFit="1" customWidth="1"/>
    <col min="11835" max="11835" width="0" hidden="1" customWidth="1"/>
    <col min="11836" max="11836" width="8" bestFit="1" customWidth="1"/>
    <col min="11837" max="11837" width="9.28515625" bestFit="1" customWidth="1"/>
    <col min="11838" max="11838" width="19" bestFit="1" customWidth="1"/>
    <col min="11840" max="11840" width="6.140625" bestFit="1" customWidth="1"/>
    <col min="11841" max="11841" width="11.5703125" bestFit="1" customWidth="1"/>
    <col min="11842" max="11842" width="4.85546875" bestFit="1" customWidth="1"/>
    <col min="11843" max="11843" width="7.85546875" bestFit="1" customWidth="1"/>
    <col min="11844" max="11844" width="0" hidden="1" customWidth="1"/>
    <col min="11845" max="11845" width="8" bestFit="1" customWidth="1"/>
    <col min="11846" max="11846" width="9.28515625" bestFit="1" customWidth="1"/>
    <col min="11847" max="11847" width="19" bestFit="1" customWidth="1"/>
    <col min="11849" max="11849" width="6.140625" bestFit="1" customWidth="1"/>
    <col min="11850" max="11850" width="11.5703125" bestFit="1" customWidth="1"/>
    <col min="11851" max="11851" width="4.85546875" bestFit="1" customWidth="1"/>
    <col min="11852" max="11852" width="7.85546875" customWidth="1"/>
    <col min="11853" max="11853" width="0" hidden="1" customWidth="1"/>
    <col min="11854" max="11854" width="8" bestFit="1" customWidth="1"/>
    <col min="11855" max="11855" width="9.28515625" bestFit="1" customWidth="1"/>
    <col min="11856" max="11856" width="19" bestFit="1" customWidth="1"/>
    <col min="11865" max="11865" width="19" bestFit="1" customWidth="1"/>
    <col min="12037" max="12037" width="12.7109375" bestFit="1" customWidth="1"/>
    <col min="12040" max="12040" width="17.85546875" customWidth="1"/>
    <col min="12044" max="12044" width="7" customWidth="1"/>
    <col min="12045" max="12045" width="9.5703125" customWidth="1"/>
    <col min="12046" max="12047" width="0.140625" customWidth="1"/>
    <col min="12049" max="12049" width="19.5703125" customWidth="1"/>
    <col min="12054" max="12054" width="8" customWidth="1"/>
    <col min="12055" max="12056" width="0" hidden="1" customWidth="1"/>
    <col min="12058" max="12058" width="17.42578125" customWidth="1"/>
    <col min="12067" max="12067" width="19" bestFit="1" customWidth="1"/>
    <col min="12076" max="12076" width="19" bestFit="1" customWidth="1"/>
    <col min="12085" max="12085" width="19" bestFit="1" customWidth="1"/>
    <col min="12087" max="12087" width="6.140625" bestFit="1" customWidth="1"/>
    <col min="12088" max="12088" width="11.5703125" bestFit="1" customWidth="1"/>
    <col min="12089" max="12089" width="4.85546875" bestFit="1" customWidth="1"/>
    <col min="12090" max="12090" width="7.85546875" bestFit="1" customWidth="1"/>
    <col min="12091" max="12091" width="0" hidden="1" customWidth="1"/>
    <col min="12092" max="12092" width="8" bestFit="1" customWidth="1"/>
    <col min="12093" max="12093" width="9.28515625" bestFit="1" customWidth="1"/>
    <col min="12094" max="12094" width="19" bestFit="1" customWidth="1"/>
    <col min="12096" max="12096" width="6.140625" bestFit="1" customWidth="1"/>
    <col min="12097" max="12097" width="11.5703125" bestFit="1" customWidth="1"/>
    <col min="12098" max="12098" width="4.85546875" bestFit="1" customWidth="1"/>
    <col min="12099" max="12099" width="7.85546875" bestFit="1" customWidth="1"/>
    <col min="12100" max="12100" width="0" hidden="1" customWidth="1"/>
    <col min="12101" max="12101" width="8" bestFit="1" customWidth="1"/>
    <col min="12102" max="12102" width="9.28515625" bestFit="1" customWidth="1"/>
    <col min="12103" max="12103" width="19" bestFit="1" customWidth="1"/>
    <col min="12105" max="12105" width="6.140625" bestFit="1" customWidth="1"/>
    <col min="12106" max="12106" width="11.5703125" bestFit="1" customWidth="1"/>
    <col min="12107" max="12107" width="4.85546875" bestFit="1" customWidth="1"/>
    <col min="12108" max="12108" width="7.85546875" customWidth="1"/>
    <col min="12109" max="12109" width="0" hidden="1" customWidth="1"/>
    <col min="12110" max="12110" width="8" bestFit="1" customWidth="1"/>
    <col min="12111" max="12111" width="9.28515625" bestFit="1" customWidth="1"/>
    <col min="12112" max="12112" width="19" bestFit="1" customWidth="1"/>
    <col min="12121" max="12121" width="19" bestFit="1" customWidth="1"/>
    <col min="12293" max="12293" width="12.7109375" bestFit="1" customWidth="1"/>
    <col min="12296" max="12296" width="17.85546875" customWidth="1"/>
    <col min="12300" max="12300" width="7" customWidth="1"/>
    <col min="12301" max="12301" width="9.5703125" customWidth="1"/>
    <col min="12302" max="12303" width="0.140625" customWidth="1"/>
    <col min="12305" max="12305" width="19.5703125" customWidth="1"/>
    <col min="12310" max="12310" width="8" customWidth="1"/>
    <col min="12311" max="12312" width="0" hidden="1" customWidth="1"/>
    <col min="12314" max="12314" width="17.42578125" customWidth="1"/>
    <col min="12323" max="12323" width="19" bestFit="1" customWidth="1"/>
    <col min="12332" max="12332" width="19" bestFit="1" customWidth="1"/>
    <col min="12341" max="12341" width="19" bestFit="1" customWidth="1"/>
    <col min="12343" max="12343" width="6.140625" bestFit="1" customWidth="1"/>
    <col min="12344" max="12344" width="11.5703125" bestFit="1" customWidth="1"/>
    <col min="12345" max="12345" width="4.85546875" bestFit="1" customWidth="1"/>
    <col min="12346" max="12346" width="7.85546875" bestFit="1" customWidth="1"/>
    <col min="12347" max="12347" width="0" hidden="1" customWidth="1"/>
    <col min="12348" max="12348" width="8" bestFit="1" customWidth="1"/>
    <col min="12349" max="12349" width="9.28515625" bestFit="1" customWidth="1"/>
    <col min="12350" max="12350" width="19" bestFit="1" customWidth="1"/>
    <col min="12352" max="12352" width="6.140625" bestFit="1" customWidth="1"/>
    <col min="12353" max="12353" width="11.5703125" bestFit="1" customWidth="1"/>
    <col min="12354" max="12354" width="4.85546875" bestFit="1" customWidth="1"/>
    <col min="12355" max="12355" width="7.85546875" bestFit="1" customWidth="1"/>
    <col min="12356" max="12356" width="0" hidden="1" customWidth="1"/>
    <col min="12357" max="12357" width="8" bestFit="1" customWidth="1"/>
    <col min="12358" max="12358" width="9.28515625" bestFit="1" customWidth="1"/>
    <col min="12359" max="12359" width="19" bestFit="1" customWidth="1"/>
    <col min="12361" max="12361" width="6.140625" bestFit="1" customWidth="1"/>
    <col min="12362" max="12362" width="11.5703125" bestFit="1" customWidth="1"/>
    <col min="12363" max="12363" width="4.85546875" bestFit="1" customWidth="1"/>
    <col min="12364" max="12364" width="7.85546875" customWidth="1"/>
    <col min="12365" max="12365" width="0" hidden="1" customWidth="1"/>
    <col min="12366" max="12366" width="8" bestFit="1" customWidth="1"/>
    <col min="12367" max="12367" width="9.28515625" bestFit="1" customWidth="1"/>
    <col min="12368" max="12368" width="19" bestFit="1" customWidth="1"/>
    <col min="12377" max="12377" width="19" bestFit="1" customWidth="1"/>
    <col min="12549" max="12549" width="12.7109375" bestFit="1" customWidth="1"/>
    <col min="12552" max="12552" width="17.85546875" customWidth="1"/>
    <col min="12556" max="12556" width="7" customWidth="1"/>
    <col min="12557" max="12557" width="9.5703125" customWidth="1"/>
    <col min="12558" max="12559" width="0.140625" customWidth="1"/>
    <col min="12561" max="12561" width="19.5703125" customWidth="1"/>
    <col min="12566" max="12566" width="8" customWidth="1"/>
    <col min="12567" max="12568" width="0" hidden="1" customWidth="1"/>
    <col min="12570" max="12570" width="17.42578125" customWidth="1"/>
    <col min="12579" max="12579" width="19" bestFit="1" customWidth="1"/>
    <col min="12588" max="12588" width="19" bestFit="1" customWidth="1"/>
    <col min="12597" max="12597" width="19" bestFit="1" customWidth="1"/>
    <col min="12599" max="12599" width="6.140625" bestFit="1" customWidth="1"/>
    <col min="12600" max="12600" width="11.5703125" bestFit="1" customWidth="1"/>
    <col min="12601" max="12601" width="4.85546875" bestFit="1" customWidth="1"/>
    <col min="12602" max="12602" width="7.85546875" bestFit="1" customWidth="1"/>
    <col min="12603" max="12603" width="0" hidden="1" customWidth="1"/>
    <col min="12604" max="12604" width="8" bestFit="1" customWidth="1"/>
    <col min="12605" max="12605" width="9.28515625" bestFit="1" customWidth="1"/>
    <col min="12606" max="12606" width="19" bestFit="1" customWidth="1"/>
    <col min="12608" max="12608" width="6.140625" bestFit="1" customWidth="1"/>
    <col min="12609" max="12609" width="11.5703125" bestFit="1" customWidth="1"/>
    <col min="12610" max="12610" width="4.85546875" bestFit="1" customWidth="1"/>
    <col min="12611" max="12611" width="7.85546875" bestFit="1" customWidth="1"/>
    <col min="12612" max="12612" width="0" hidden="1" customWidth="1"/>
    <col min="12613" max="12613" width="8" bestFit="1" customWidth="1"/>
    <col min="12614" max="12614" width="9.28515625" bestFit="1" customWidth="1"/>
    <col min="12615" max="12615" width="19" bestFit="1" customWidth="1"/>
    <col min="12617" max="12617" width="6.140625" bestFit="1" customWidth="1"/>
    <col min="12618" max="12618" width="11.5703125" bestFit="1" customWidth="1"/>
    <col min="12619" max="12619" width="4.85546875" bestFit="1" customWidth="1"/>
    <col min="12620" max="12620" width="7.85546875" customWidth="1"/>
    <col min="12621" max="12621" width="0" hidden="1" customWidth="1"/>
    <col min="12622" max="12622" width="8" bestFit="1" customWidth="1"/>
    <col min="12623" max="12623" width="9.28515625" bestFit="1" customWidth="1"/>
    <col min="12624" max="12624" width="19" bestFit="1" customWidth="1"/>
    <col min="12633" max="12633" width="19" bestFit="1" customWidth="1"/>
    <col min="12805" max="12805" width="12.7109375" bestFit="1" customWidth="1"/>
    <col min="12808" max="12808" width="17.85546875" customWidth="1"/>
    <col min="12812" max="12812" width="7" customWidth="1"/>
    <col min="12813" max="12813" width="9.5703125" customWidth="1"/>
    <col min="12814" max="12815" width="0.140625" customWidth="1"/>
    <col min="12817" max="12817" width="19.5703125" customWidth="1"/>
    <col min="12822" max="12822" width="8" customWidth="1"/>
    <col min="12823" max="12824" width="0" hidden="1" customWidth="1"/>
    <col min="12826" max="12826" width="17.42578125" customWidth="1"/>
    <col min="12835" max="12835" width="19" bestFit="1" customWidth="1"/>
    <col min="12844" max="12844" width="19" bestFit="1" customWidth="1"/>
    <col min="12853" max="12853" width="19" bestFit="1" customWidth="1"/>
    <col min="12855" max="12855" width="6.140625" bestFit="1" customWidth="1"/>
    <col min="12856" max="12856" width="11.5703125" bestFit="1" customWidth="1"/>
    <col min="12857" max="12857" width="4.85546875" bestFit="1" customWidth="1"/>
    <col min="12858" max="12858" width="7.85546875" bestFit="1" customWidth="1"/>
    <col min="12859" max="12859" width="0" hidden="1" customWidth="1"/>
    <col min="12860" max="12860" width="8" bestFit="1" customWidth="1"/>
    <col min="12861" max="12861" width="9.28515625" bestFit="1" customWidth="1"/>
    <col min="12862" max="12862" width="19" bestFit="1" customWidth="1"/>
    <col min="12864" max="12864" width="6.140625" bestFit="1" customWidth="1"/>
    <col min="12865" max="12865" width="11.5703125" bestFit="1" customWidth="1"/>
    <col min="12866" max="12866" width="4.85546875" bestFit="1" customWidth="1"/>
    <col min="12867" max="12867" width="7.85546875" bestFit="1" customWidth="1"/>
    <col min="12868" max="12868" width="0" hidden="1" customWidth="1"/>
    <col min="12869" max="12869" width="8" bestFit="1" customWidth="1"/>
    <col min="12870" max="12870" width="9.28515625" bestFit="1" customWidth="1"/>
    <col min="12871" max="12871" width="19" bestFit="1" customWidth="1"/>
    <col min="12873" max="12873" width="6.140625" bestFit="1" customWidth="1"/>
    <col min="12874" max="12874" width="11.5703125" bestFit="1" customWidth="1"/>
    <col min="12875" max="12875" width="4.85546875" bestFit="1" customWidth="1"/>
    <col min="12876" max="12876" width="7.85546875" customWidth="1"/>
    <col min="12877" max="12877" width="0" hidden="1" customWidth="1"/>
    <col min="12878" max="12878" width="8" bestFit="1" customWidth="1"/>
    <col min="12879" max="12879" width="9.28515625" bestFit="1" customWidth="1"/>
    <col min="12880" max="12880" width="19" bestFit="1" customWidth="1"/>
    <col min="12889" max="12889" width="19" bestFit="1" customWidth="1"/>
    <col min="13061" max="13061" width="12.7109375" bestFit="1" customWidth="1"/>
    <col min="13064" max="13064" width="17.85546875" customWidth="1"/>
    <col min="13068" max="13068" width="7" customWidth="1"/>
    <col min="13069" max="13069" width="9.5703125" customWidth="1"/>
    <col min="13070" max="13071" width="0.140625" customWidth="1"/>
    <col min="13073" max="13073" width="19.5703125" customWidth="1"/>
    <col min="13078" max="13078" width="8" customWidth="1"/>
    <col min="13079" max="13080" width="0" hidden="1" customWidth="1"/>
    <col min="13082" max="13082" width="17.42578125" customWidth="1"/>
    <col min="13091" max="13091" width="19" bestFit="1" customWidth="1"/>
    <col min="13100" max="13100" width="19" bestFit="1" customWidth="1"/>
    <col min="13109" max="13109" width="19" bestFit="1" customWidth="1"/>
    <col min="13111" max="13111" width="6.140625" bestFit="1" customWidth="1"/>
    <col min="13112" max="13112" width="11.5703125" bestFit="1" customWidth="1"/>
    <col min="13113" max="13113" width="4.85546875" bestFit="1" customWidth="1"/>
    <col min="13114" max="13114" width="7.85546875" bestFit="1" customWidth="1"/>
    <col min="13115" max="13115" width="0" hidden="1" customWidth="1"/>
    <col min="13116" max="13116" width="8" bestFit="1" customWidth="1"/>
    <col min="13117" max="13117" width="9.28515625" bestFit="1" customWidth="1"/>
    <col min="13118" max="13118" width="19" bestFit="1" customWidth="1"/>
    <col min="13120" max="13120" width="6.140625" bestFit="1" customWidth="1"/>
    <col min="13121" max="13121" width="11.5703125" bestFit="1" customWidth="1"/>
    <col min="13122" max="13122" width="4.85546875" bestFit="1" customWidth="1"/>
    <col min="13123" max="13123" width="7.85546875" bestFit="1" customWidth="1"/>
    <col min="13124" max="13124" width="0" hidden="1" customWidth="1"/>
    <col min="13125" max="13125" width="8" bestFit="1" customWidth="1"/>
    <col min="13126" max="13126" width="9.28515625" bestFit="1" customWidth="1"/>
    <col min="13127" max="13127" width="19" bestFit="1" customWidth="1"/>
    <col min="13129" max="13129" width="6.140625" bestFit="1" customWidth="1"/>
    <col min="13130" max="13130" width="11.5703125" bestFit="1" customWidth="1"/>
    <col min="13131" max="13131" width="4.85546875" bestFit="1" customWidth="1"/>
    <col min="13132" max="13132" width="7.85546875" customWidth="1"/>
    <col min="13133" max="13133" width="0" hidden="1" customWidth="1"/>
    <col min="13134" max="13134" width="8" bestFit="1" customWidth="1"/>
    <col min="13135" max="13135" width="9.28515625" bestFit="1" customWidth="1"/>
    <col min="13136" max="13136" width="19" bestFit="1" customWidth="1"/>
    <col min="13145" max="13145" width="19" bestFit="1" customWidth="1"/>
    <col min="13317" max="13317" width="12.7109375" bestFit="1" customWidth="1"/>
    <col min="13320" max="13320" width="17.85546875" customWidth="1"/>
    <col min="13324" max="13324" width="7" customWidth="1"/>
    <col min="13325" max="13325" width="9.5703125" customWidth="1"/>
    <col min="13326" max="13327" width="0.140625" customWidth="1"/>
    <col min="13329" max="13329" width="19.5703125" customWidth="1"/>
    <col min="13334" max="13334" width="8" customWidth="1"/>
    <col min="13335" max="13336" width="0" hidden="1" customWidth="1"/>
    <col min="13338" max="13338" width="17.42578125" customWidth="1"/>
    <col min="13347" max="13347" width="19" bestFit="1" customWidth="1"/>
    <col min="13356" max="13356" width="19" bestFit="1" customWidth="1"/>
    <col min="13365" max="13365" width="19" bestFit="1" customWidth="1"/>
    <col min="13367" max="13367" width="6.140625" bestFit="1" customWidth="1"/>
    <col min="13368" max="13368" width="11.5703125" bestFit="1" customWidth="1"/>
    <col min="13369" max="13369" width="4.85546875" bestFit="1" customWidth="1"/>
    <col min="13370" max="13370" width="7.85546875" bestFit="1" customWidth="1"/>
    <col min="13371" max="13371" width="0" hidden="1" customWidth="1"/>
    <col min="13372" max="13372" width="8" bestFit="1" customWidth="1"/>
    <col min="13373" max="13373" width="9.28515625" bestFit="1" customWidth="1"/>
    <col min="13374" max="13374" width="19" bestFit="1" customWidth="1"/>
    <col min="13376" max="13376" width="6.140625" bestFit="1" customWidth="1"/>
    <col min="13377" max="13377" width="11.5703125" bestFit="1" customWidth="1"/>
    <col min="13378" max="13378" width="4.85546875" bestFit="1" customWidth="1"/>
    <col min="13379" max="13379" width="7.85546875" bestFit="1" customWidth="1"/>
    <col min="13380" max="13380" width="0" hidden="1" customWidth="1"/>
    <col min="13381" max="13381" width="8" bestFit="1" customWidth="1"/>
    <col min="13382" max="13382" width="9.28515625" bestFit="1" customWidth="1"/>
    <col min="13383" max="13383" width="19" bestFit="1" customWidth="1"/>
    <col min="13385" max="13385" width="6.140625" bestFit="1" customWidth="1"/>
    <col min="13386" max="13386" width="11.5703125" bestFit="1" customWidth="1"/>
    <col min="13387" max="13387" width="4.85546875" bestFit="1" customWidth="1"/>
    <col min="13388" max="13388" width="7.85546875" customWidth="1"/>
    <col min="13389" max="13389" width="0" hidden="1" customWidth="1"/>
    <col min="13390" max="13390" width="8" bestFit="1" customWidth="1"/>
    <col min="13391" max="13391" width="9.28515625" bestFit="1" customWidth="1"/>
    <col min="13392" max="13392" width="19" bestFit="1" customWidth="1"/>
    <col min="13401" max="13401" width="19" bestFit="1" customWidth="1"/>
    <col min="13573" max="13573" width="12.7109375" bestFit="1" customWidth="1"/>
    <col min="13576" max="13576" width="17.85546875" customWidth="1"/>
    <col min="13580" max="13580" width="7" customWidth="1"/>
    <col min="13581" max="13581" width="9.5703125" customWidth="1"/>
    <col min="13582" max="13583" width="0.140625" customWidth="1"/>
    <col min="13585" max="13585" width="19.5703125" customWidth="1"/>
    <col min="13590" max="13590" width="8" customWidth="1"/>
    <col min="13591" max="13592" width="0" hidden="1" customWidth="1"/>
    <col min="13594" max="13594" width="17.42578125" customWidth="1"/>
    <col min="13603" max="13603" width="19" bestFit="1" customWidth="1"/>
    <col min="13612" max="13612" width="19" bestFit="1" customWidth="1"/>
    <col min="13621" max="13621" width="19" bestFit="1" customWidth="1"/>
    <col min="13623" max="13623" width="6.140625" bestFit="1" customWidth="1"/>
    <col min="13624" max="13624" width="11.5703125" bestFit="1" customWidth="1"/>
    <col min="13625" max="13625" width="4.85546875" bestFit="1" customWidth="1"/>
    <col min="13626" max="13626" width="7.85546875" bestFit="1" customWidth="1"/>
    <col min="13627" max="13627" width="0" hidden="1" customWidth="1"/>
    <col min="13628" max="13628" width="8" bestFit="1" customWidth="1"/>
    <col min="13629" max="13629" width="9.28515625" bestFit="1" customWidth="1"/>
    <col min="13630" max="13630" width="19" bestFit="1" customWidth="1"/>
    <col min="13632" max="13632" width="6.140625" bestFit="1" customWidth="1"/>
    <col min="13633" max="13633" width="11.5703125" bestFit="1" customWidth="1"/>
    <col min="13634" max="13634" width="4.85546875" bestFit="1" customWidth="1"/>
    <col min="13635" max="13635" width="7.85546875" bestFit="1" customWidth="1"/>
    <col min="13636" max="13636" width="0" hidden="1" customWidth="1"/>
    <col min="13637" max="13637" width="8" bestFit="1" customWidth="1"/>
    <col min="13638" max="13638" width="9.28515625" bestFit="1" customWidth="1"/>
    <col min="13639" max="13639" width="19" bestFit="1" customWidth="1"/>
    <col min="13641" max="13641" width="6.140625" bestFit="1" customWidth="1"/>
    <col min="13642" max="13642" width="11.5703125" bestFit="1" customWidth="1"/>
    <col min="13643" max="13643" width="4.85546875" bestFit="1" customWidth="1"/>
    <col min="13644" max="13644" width="7.85546875" customWidth="1"/>
    <col min="13645" max="13645" width="0" hidden="1" customWidth="1"/>
    <col min="13646" max="13646" width="8" bestFit="1" customWidth="1"/>
    <col min="13647" max="13647" width="9.28515625" bestFit="1" customWidth="1"/>
    <col min="13648" max="13648" width="19" bestFit="1" customWidth="1"/>
    <col min="13657" max="13657" width="19" bestFit="1" customWidth="1"/>
    <col min="13829" max="13829" width="12.7109375" bestFit="1" customWidth="1"/>
    <col min="13832" max="13832" width="17.85546875" customWidth="1"/>
    <col min="13836" max="13836" width="7" customWidth="1"/>
    <col min="13837" max="13837" width="9.5703125" customWidth="1"/>
    <col min="13838" max="13839" width="0.140625" customWidth="1"/>
    <col min="13841" max="13841" width="19.5703125" customWidth="1"/>
    <col min="13846" max="13846" width="8" customWidth="1"/>
    <col min="13847" max="13848" width="0" hidden="1" customWidth="1"/>
    <col min="13850" max="13850" width="17.42578125" customWidth="1"/>
    <col min="13859" max="13859" width="19" bestFit="1" customWidth="1"/>
    <col min="13868" max="13868" width="19" bestFit="1" customWidth="1"/>
    <col min="13877" max="13877" width="19" bestFit="1" customWidth="1"/>
    <col min="13879" max="13879" width="6.140625" bestFit="1" customWidth="1"/>
    <col min="13880" max="13880" width="11.5703125" bestFit="1" customWidth="1"/>
    <col min="13881" max="13881" width="4.85546875" bestFit="1" customWidth="1"/>
    <col min="13882" max="13882" width="7.85546875" bestFit="1" customWidth="1"/>
    <col min="13883" max="13883" width="0" hidden="1" customWidth="1"/>
    <col min="13884" max="13884" width="8" bestFit="1" customWidth="1"/>
    <col min="13885" max="13885" width="9.28515625" bestFit="1" customWidth="1"/>
    <col min="13886" max="13886" width="19" bestFit="1" customWidth="1"/>
    <col min="13888" max="13888" width="6.140625" bestFit="1" customWidth="1"/>
    <col min="13889" max="13889" width="11.5703125" bestFit="1" customWidth="1"/>
    <col min="13890" max="13890" width="4.85546875" bestFit="1" customWidth="1"/>
    <col min="13891" max="13891" width="7.85546875" bestFit="1" customWidth="1"/>
    <col min="13892" max="13892" width="0" hidden="1" customWidth="1"/>
    <col min="13893" max="13893" width="8" bestFit="1" customWidth="1"/>
    <col min="13894" max="13894" width="9.28515625" bestFit="1" customWidth="1"/>
    <col min="13895" max="13895" width="19" bestFit="1" customWidth="1"/>
    <col min="13897" max="13897" width="6.140625" bestFit="1" customWidth="1"/>
    <col min="13898" max="13898" width="11.5703125" bestFit="1" customWidth="1"/>
    <col min="13899" max="13899" width="4.85546875" bestFit="1" customWidth="1"/>
    <col min="13900" max="13900" width="7.85546875" customWidth="1"/>
    <col min="13901" max="13901" width="0" hidden="1" customWidth="1"/>
    <col min="13902" max="13902" width="8" bestFit="1" customWidth="1"/>
    <col min="13903" max="13903" width="9.28515625" bestFit="1" customWidth="1"/>
    <col min="13904" max="13904" width="19" bestFit="1" customWidth="1"/>
    <col min="13913" max="13913" width="19" bestFit="1" customWidth="1"/>
    <col min="14085" max="14085" width="12.7109375" bestFit="1" customWidth="1"/>
    <col min="14088" max="14088" width="17.85546875" customWidth="1"/>
    <col min="14092" max="14092" width="7" customWidth="1"/>
    <col min="14093" max="14093" width="9.5703125" customWidth="1"/>
    <col min="14094" max="14095" width="0.140625" customWidth="1"/>
    <col min="14097" max="14097" width="19.5703125" customWidth="1"/>
    <col min="14102" max="14102" width="8" customWidth="1"/>
    <col min="14103" max="14104" width="0" hidden="1" customWidth="1"/>
    <col min="14106" max="14106" width="17.42578125" customWidth="1"/>
    <col min="14115" max="14115" width="19" bestFit="1" customWidth="1"/>
    <col min="14124" max="14124" width="19" bestFit="1" customWidth="1"/>
    <col min="14133" max="14133" width="19" bestFit="1" customWidth="1"/>
    <col min="14135" max="14135" width="6.140625" bestFit="1" customWidth="1"/>
    <col min="14136" max="14136" width="11.5703125" bestFit="1" customWidth="1"/>
    <col min="14137" max="14137" width="4.85546875" bestFit="1" customWidth="1"/>
    <col min="14138" max="14138" width="7.85546875" bestFit="1" customWidth="1"/>
    <col min="14139" max="14139" width="0" hidden="1" customWidth="1"/>
    <col min="14140" max="14140" width="8" bestFit="1" customWidth="1"/>
    <col min="14141" max="14141" width="9.28515625" bestFit="1" customWidth="1"/>
    <col min="14142" max="14142" width="19" bestFit="1" customWidth="1"/>
    <col min="14144" max="14144" width="6.140625" bestFit="1" customWidth="1"/>
    <col min="14145" max="14145" width="11.5703125" bestFit="1" customWidth="1"/>
    <col min="14146" max="14146" width="4.85546875" bestFit="1" customWidth="1"/>
    <col min="14147" max="14147" width="7.85546875" bestFit="1" customWidth="1"/>
    <col min="14148" max="14148" width="0" hidden="1" customWidth="1"/>
    <col min="14149" max="14149" width="8" bestFit="1" customWidth="1"/>
    <col min="14150" max="14150" width="9.28515625" bestFit="1" customWidth="1"/>
    <col min="14151" max="14151" width="19" bestFit="1" customWidth="1"/>
    <col min="14153" max="14153" width="6.140625" bestFit="1" customWidth="1"/>
    <col min="14154" max="14154" width="11.5703125" bestFit="1" customWidth="1"/>
    <col min="14155" max="14155" width="4.85546875" bestFit="1" customWidth="1"/>
    <col min="14156" max="14156" width="7.85546875" customWidth="1"/>
    <col min="14157" max="14157" width="0" hidden="1" customWidth="1"/>
    <col min="14158" max="14158" width="8" bestFit="1" customWidth="1"/>
    <col min="14159" max="14159" width="9.28515625" bestFit="1" customWidth="1"/>
    <col min="14160" max="14160" width="19" bestFit="1" customWidth="1"/>
    <col min="14169" max="14169" width="19" bestFit="1" customWidth="1"/>
    <col min="14341" max="14341" width="12.7109375" bestFit="1" customWidth="1"/>
    <col min="14344" max="14344" width="17.85546875" customWidth="1"/>
    <col min="14348" max="14348" width="7" customWidth="1"/>
    <col min="14349" max="14349" width="9.5703125" customWidth="1"/>
    <col min="14350" max="14351" width="0.140625" customWidth="1"/>
    <col min="14353" max="14353" width="19.5703125" customWidth="1"/>
    <col min="14358" max="14358" width="8" customWidth="1"/>
    <col min="14359" max="14360" width="0" hidden="1" customWidth="1"/>
    <col min="14362" max="14362" width="17.42578125" customWidth="1"/>
    <col min="14371" max="14371" width="19" bestFit="1" customWidth="1"/>
    <col min="14380" max="14380" width="19" bestFit="1" customWidth="1"/>
    <col min="14389" max="14389" width="19" bestFit="1" customWidth="1"/>
    <col min="14391" max="14391" width="6.140625" bestFit="1" customWidth="1"/>
    <col min="14392" max="14392" width="11.5703125" bestFit="1" customWidth="1"/>
    <col min="14393" max="14393" width="4.85546875" bestFit="1" customWidth="1"/>
    <col min="14394" max="14394" width="7.85546875" bestFit="1" customWidth="1"/>
    <col min="14395" max="14395" width="0" hidden="1" customWidth="1"/>
    <col min="14396" max="14396" width="8" bestFit="1" customWidth="1"/>
    <col min="14397" max="14397" width="9.28515625" bestFit="1" customWidth="1"/>
    <col min="14398" max="14398" width="19" bestFit="1" customWidth="1"/>
    <col min="14400" max="14400" width="6.140625" bestFit="1" customWidth="1"/>
    <col min="14401" max="14401" width="11.5703125" bestFit="1" customWidth="1"/>
    <col min="14402" max="14402" width="4.85546875" bestFit="1" customWidth="1"/>
    <col min="14403" max="14403" width="7.85546875" bestFit="1" customWidth="1"/>
    <col min="14404" max="14404" width="0" hidden="1" customWidth="1"/>
    <col min="14405" max="14405" width="8" bestFit="1" customWidth="1"/>
    <col min="14406" max="14406" width="9.28515625" bestFit="1" customWidth="1"/>
    <col min="14407" max="14407" width="19" bestFit="1" customWidth="1"/>
    <col min="14409" max="14409" width="6.140625" bestFit="1" customWidth="1"/>
    <col min="14410" max="14410" width="11.5703125" bestFit="1" customWidth="1"/>
    <col min="14411" max="14411" width="4.85546875" bestFit="1" customWidth="1"/>
    <col min="14412" max="14412" width="7.85546875" customWidth="1"/>
    <col min="14413" max="14413" width="0" hidden="1" customWidth="1"/>
    <col min="14414" max="14414" width="8" bestFit="1" customWidth="1"/>
    <col min="14415" max="14415" width="9.28515625" bestFit="1" customWidth="1"/>
    <col min="14416" max="14416" width="19" bestFit="1" customWidth="1"/>
    <col min="14425" max="14425" width="19" bestFit="1" customWidth="1"/>
    <col min="14597" max="14597" width="12.7109375" bestFit="1" customWidth="1"/>
    <col min="14600" max="14600" width="17.85546875" customWidth="1"/>
    <col min="14604" max="14604" width="7" customWidth="1"/>
    <col min="14605" max="14605" width="9.5703125" customWidth="1"/>
    <col min="14606" max="14607" width="0.140625" customWidth="1"/>
    <col min="14609" max="14609" width="19.5703125" customWidth="1"/>
    <col min="14614" max="14614" width="8" customWidth="1"/>
    <col min="14615" max="14616" width="0" hidden="1" customWidth="1"/>
    <col min="14618" max="14618" width="17.42578125" customWidth="1"/>
    <col min="14627" max="14627" width="19" bestFit="1" customWidth="1"/>
    <col min="14636" max="14636" width="19" bestFit="1" customWidth="1"/>
    <col min="14645" max="14645" width="19" bestFit="1" customWidth="1"/>
    <col min="14647" max="14647" width="6.140625" bestFit="1" customWidth="1"/>
    <col min="14648" max="14648" width="11.5703125" bestFit="1" customWidth="1"/>
    <col min="14649" max="14649" width="4.85546875" bestFit="1" customWidth="1"/>
    <col min="14650" max="14650" width="7.85546875" bestFit="1" customWidth="1"/>
    <col min="14651" max="14651" width="0" hidden="1" customWidth="1"/>
    <col min="14652" max="14652" width="8" bestFit="1" customWidth="1"/>
    <col min="14653" max="14653" width="9.28515625" bestFit="1" customWidth="1"/>
    <col min="14654" max="14654" width="19" bestFit="1" customWidth="1"/>
    <col min="14656" max="14656" width="6.140625" bestFit="1" customWidth="1"/>
    <col min="14657" max="14657" width="11.5703125" bestFit="1" customWidth="1"/>
    <col min="14658" max="14658" width="4.85546875" bestFit="1" customWidth="1"/>
    <col min="14659" max="14659" width="7.85546875" bestFit="1" customWidth="1"/>
    <col min="14660" max="14660" width="0" hidden="1" customWidth="1"/>
    <col min="14661" max="14661" width="8" bestFit="1" customWidth="1"/>
    <col min="14662" max="14662" width="9.28515625" bestFit="1" customWidth="1"/>
    <col min="14663" max="14663" width="19" bestFit="1" customWidth="1"/>
    <col min="14665" max="14665" width="6.140625" bestFit="1" customWidth="1"/>
    <col min="14666" max="14666" width="11.5703125" bestFit="1" customWidth="1"/>
    <col min="14667" max="14667" width="4.85546875" bestFit="1" customWidth="1"/>
    <col min="14668" max="14668" width="7.85546875" customWidth="1"/>
    <col min="14669" max="14669" width="0" hidden="1" customWidth="1"/>
    <col min="14670" max="14670" width="8" bestFit="1" customWidth="1"/>
    <col min="14671" max="14671" width="9.28515625" bestFit="1" customWidth="1"/>
    <col min="14672" max="14672" width="19" bestFit="1" customWidth="1"/>
    <col min="14681" max="14681" width="19" bestFit="1" customWidth="1"/>
    <col min="14853" max="14853" width="12.7109375" bestFit="1" customWidth="1"/>
    <col min="14856" max="14856" width="17.85546875" customWidth="1"/>
    <col min="14860" max="14860" width="7" customWidth="1"/>
    <col min="14861" max="14861" width="9.5703125" customWidth="1"/>
    <col min="14862" max="14863" width="0.140625" customWidth="1"/>
    <col min="14865" max="14865" width="19.5703125" customWidth="1"/>
    <col min="14870" max="14870" width="8" customWidth="1"/>
    <col min="14871" max="14872" width="0" hidden="1" customWidth="1"/>
    <col min="14874" max="14874" width="17.42578125" customWidth="1"/>
    <col min="14883" max="14883" width="19" bestFit="1" customWidth="1"/>
    <col min="14892" max="14892" width="19" bestFit="1" customWidth="1"/>
    <col min="14901" max="14901" width="19" bestFit="1" customWidth="1"/>
    <col min="14903" max="14903" width="6.140625" bestFit="1" customWidth="1"/>
    <col min="14904" max="14904" width="11.5703125" bestFit="1" customWidth="1"/>
    <col min="14905" max="14905" width="4.85546875" bestFit="1" customWidth="1"/>
    <col min="14906" max="14906" width="7.85546875" bestFit="1" customWidth="1"/>
    <col min="14907" max="14907" width="0" hidden="1" customWidth="1"/>
    <col min="14908" max="14908" width="8" bestFit="1" customWidth="1"/>
    <col min="14909" max="14909" width="9.28515625" bestFit="1" customWidth="1"/>
    <col min="14910" max="14910" width="19" bestFit="1" customWidth="1"/>
    <col min="14912" max="14912" width="6.140625" bestFit="1" customWidth="1"/>
    <col min="14913" max="14913" width="11.5703125" bestFit="1" customWidth="1"/>
    <col min="14914" max="14914" width="4.85546875" bestFit="1" customWidth="1"/>
    <col min="14915" max="14915" width="7.85546875" bestFit="1" customWidth="1"/>
    <col min="14916" max="14916" width="0" hidden="1" customWidth="1"/>
    <col min="14917" max="14917" width="8" bestFit="1" customWidth="1"/>
    <col min="14918" max="14918" width="9.28515625" bestFit="1" customWidth="1"/>
    <col min="14919" max="14919" width="19" bestFit="1" customWidth="1"/>
    <col min="14921" max="14921" width="6.140625" bestFit="1" customWidth="1"/>
    <col min="14922" max="14922" width="11.5703125" bestFit="1" customWidth="1"/>
    <col min="14923" max="14923" width="4.85546875" bestFit="1" customWidth="1"/>
    <col min="14924" max="14924" width="7.85546875" customWidth="1"/>
    <col min="14925" max="14925" width="0" hidden="1" customWidth="1"/>
    <col min="14926" max="14926" width="8" bestFit="1" customWidth="1"/>
    <col min="14927" max="14927" width="9.28515625" bestFit="1" customWidth="1"/>
    <col min="14928" max="14928" width="19" bestFit="1" customWidth="1"/>
    <col min="14937" max="14937" width="19" bestFit="1" customWidth="1"/>
    <col min="15109" max="15109" width="12.7109375" bestFit="1" customWidth="1"/>
    <col min="15112" max="15112" width="17.85546875" customWidth="1"/>
    <col min="15116" max="15116" width="7" customWidth="1"/>
    <col min="15117" max="15117" width="9.5703125" customWidth="1"/>
    <col min="15118" max="15119" width="0.140625" customWidth="1"/>
    <col min="15121" max="15121" width="19.5703125" customWidth="1"/>
    <col min="15126" max="15126" width="8" customWidth="1"/>
    <col min="15127" max="15128" width="0" hidden="1" customWidth="1"/>
    <col min="15130" max="15130" width="17.42578125" customWidth="1"/>
    <col min="15139" max="15139" width="19" bestFit="1" customWidth="1"/>
    <col min="15148" max="15148" width="19" bestFit="1" customWidth="1"/>
    <col min="15157" max="15157" width="19" bestFit="1" customWidth="1"/>
    <col min="15159" max="15159" width="6.140625" bestFit="1" customWidth="1"/>
    <col min="15160" max="15160" width="11.5703125" bestFit="1" customWidth="1"/>
    <col min="15161" max="15161" width="4.85546875" bestFit="1" customWidth="1"/>
    <col min="15162" max="15162" width="7.85546875" bestFit="1" customWidth="1"/>
    <col min="15163" max="15163" width="0" hidden="1" customWidth="1"/>
    <col min="15164" max="15164" width="8" bestFit="1" customWidth="1"/>
    <col min="15165" max="15165" width="9.28515625" bestFit="1" customWidth="1"/>
    <col min="15166" max="15166" width="19" bestFit="1" customWidth="1"/>
    <col min="15168" max="15168" width="6.140625" bestFit="1" customWidth="1"/>
    <col min="15169" max="15169" width="11.5703125" bestFit="1" customWidth="1"/>
    <col min="15170" max="15170" width="4.85546875" bestFit="1" customWidth="1"/>
    <col min="15171" max="15171" width="7.85546875" bestFit="1" customWidth="1"/>
    <col min="15172" max="15172" width="0" hidden="1" customWidth="1"/>
    <col min="15173" max="15173" width="8" bestFit="1" customWidth="1"/>
    <col min="15174" max="15174" width="9.28515625" bestFit="1" customWidth="1"/>
    <col min="15175" max="15175" width="19" bestFit="1" customWidth="1"/>
    <col min="15177" max="15177" width="6.140625" bestFit="1" customWidth="1"/>
    <col min="15178" max="15178" width="11.5703125" bestFit="1" customWidth="1"/>
    <col min="15179" max="15179" width="4.85546875" bestFit="1" customWidth="1"/>
    <col min="15180" max="15180" width="7.85546875" customWidth="1"/>
    <col min="15181" max="15181" width="0" hidden="1" customWidth="1"/>
    <col min="15182" max="15182" width="8" bestFit="1" customWidth="1"/>
    <col min="15183" max="15183" width="9.28515625" bestFit="1" customWidth="1"/>
    <col min="15184" max="15184" width="19" bestFit="1" customWidth="1"/>
    <col min="15193" max="15193" width="19" bestFit="1" customWidth="1"/>
    <col min="15365" max="15365" width="12.7109375" bestFit="1" customWidth="1"/>
    <col min="15368" max="15368" width="17.85546875" customWidth="1"/>
    <col min="15372" max="15372" width="7" customWidth="1"/>
    <col min="15373" max="15373" width="9.5703125" customWidth="1"/>
    <col min="15374" max="15375" width="0.140625" customWidth="1"/>
    <col min="15377" max="15377" width="19.5703125" customWidth="1"/>
    <col min="15382" max="15382" width="8" customWidth="1"/>
    <col min="15383" max="15384" width="0" hidden="1" customWidth="1"/>
    <col min="15386" max="15386" width="17.42578125" customWidth="1"/>
    <col min="15395" max="15395" width="19" bestFit="1" customWidth="1"/>
    <col min="15404" max="15404" width="19" bestFit="1" customWidth="1"/>
    <col min="15413" max="15413" width="19" bestFit="1" customWidth="1"/>
    <col min="15415" max="15415" width="6.140625" bestFit="1" customWidth="1"/>
    <col min="15416" max="15416" width="11.5703125" bestFit="1" customWidth="1"/>
    <col min="15417" max="15417" width="4.85546875" bestFit="1" customWidth="1"/>
    <col min="15418" max="15418" width="7.85546875" bestFit="1" customWidth="1"/>
    <col min="15419" max="15419" width="0" hidden="1" customWidth="1"/>
    <col min="15420" max="15420" width="8" bestFit="1" customWidth="1"/>
    <col min="15421" max="15421" width="9.28515625" bestFit="1" customWidth="1"/>
    <col min="15422" max="15422" width="19" bestFit="1" customWidth="1"/>
    <col min="15424" max="15424" width="6.140625" bestFit="1" customWidth="1"/>
    <col min="15425" max="15425" width="11.5703125" bestFit="1" customWidth="1"/>
    <col min="15426" max="15426" width="4.85546875" bestFit="1" customWidth="1"/>
    <col min="15427" max="15427" width="7.85546875" bestFit="1" customWidth="1"/>
    <col min="15428" max="15428" width="0" hidden="1" customWidth="1"/>
    <col min="15429" max="15429" width="8" bestFit="1" customWidth="1"/>
    <col min="15430" max="15430" width="9.28515625" bestFit="1" customWidth="1"/>
    <col min="15431" max="15431" width="19" bestFit="1" customWidth="1"/>
    <col min="15433" max="15433" width="6.140625" bestFit="1" customWidth="1"/>
    <col min="15434" max="15434" width="11.5703125" bestFit="1" customWidth="1"/>
    <col min="15435" max="15435" width="4.85546875" bestFit="1" customWidth="1"/>
    <col min="15436" max="15436" width="7.85546875" customWidth="1"/>
    <col min="15437" max="15437" width="0" hidden="1" customWidth="1"/>
    <col min="15438" max="15438" width="8" bestFit="1" customWidth="1"/>
    <col min="15439" max="15439" width="9.28515625" bestFit="1" customWidth="1"/>
    <col min="15440" max="15440" width="19" bestFit="1" customWidth="1"/>
    <col min="15449" max="15449" width="19" bestFit="1" customWidth="1"/>
    <col min="15621" max="15621" width="12.7109375" bestFit="1" customWidth="1"/>
    <col min="15624" max="15624" width="17.85546875" customWidth="1"/>
    <col min="15628" max="15628" width="7" customWidth="1"/>
    <col min="15629" max="15629" width="9.5703125" customWidth="1"/>
    <col min="15630" max="15631" width="0.140625" customWidth="1"/>
    <col min="15633" max="15633" width="19.5703125" customWidth="1"/>
    <col min="15638" max="15638" width="8" customWidth="1"/>
    <col min="15639" max="15640" width="0" hidden="1" customWidth="1"/>
    <col min="15642" max="15642" width="17.42578125" customWidth="1"/>
    <col min="15651" max="15651" width="19" bestFit="1" customWidth="1"/>
    <col min="15660" max="15660" width="19" bestFit="1" customWidth="1"/>
    <col min="15669" max="15669" width="19" bestFit="1" customWidth="1"/>
    <col min="15671" max="15671" width="6.140625" bestFit="1" customWidth="1"/>
    <col min="15672" max="15672" width="11.5703125" bestFit="1" customWidth="1"/>
    <col min="15673" max="15673" width="4.85546875" bestFit="1" customWidth="1"/>
    <col min="15674" max="15674" width="7.85546875" bestFit="1" customWidth="1"/>
    <col min="15675" max="15675" width="0" hidden="1" customWidth="1"/>
    <col min="15676" max="15676" width="8" bestFit="1" customWidth="1"/>
    <col min="15677" max="15677" width="9.28515625" bestFit="1" customWidth="1"/>
    <col min="15678" max="15678" width="19" bestFit="1" customWidth="1"/>
    <col min="15680" max="15680" width="6.140625" bestFit="1" customWidth="1"/>
    <col min="15681" max="15681" width="11.5703125" bestFit="1" customWidth="1"/>
    <col min="15682" max="15682" width="4.85546875" bestFit="1" customWidth="1"/>
    <col min="15683" max="15683" width="7.85546875" bestFit="1" customWidth="1"/>
    <col min="15684" max="15684" width="0" hidden="1" customWidth="1"/>
    <col min="15685" max="15685" width="8" bestFit="1" customWidth="1"/>
    <col min="15686" max="15686" width="9.28515625" bestFit="1" customWidth="1"/>
    <col min="15687" max="15687" width="19" bestFit="1" customWidth="1"/>
    <col min="15689" max="15689" width="6.140625" bestFit="1" customWidth="1"/>
    <col min="15690" max="15690" width="11.5703125" bestFit="1" customWidth="1"/>
    <col min="15691" max="15691" width="4.85546875" bestFit="1" customWidth="1"/>
    <col min="15692" max="15692" width="7.85546875" customWidth="1"/>
    <col min="15693" max="15693" width="0" hidden="1" customWidth="1"/>
    <col min="15694" max="15694" width="8" bestFit="1" customWidth="1"/>
    <col min="15695" max="15695" width="9.28515625" bestFit="1" customWidth="1"/>
    <col min="15696" max="15696" width="19" bestFit="1" customWidth="1"/>
    <col min="15705" max="15705" width="19" bestFit="1" customWidth="1"/>
    <col min="15877" max="15877" width="12.7109375" bestFit="1" customWidth="1"/>
    <col min="15880" max="15880" width="17.85546875" customWidth="1"/>
    <col min="15884" max="15884" width="7" customWidth="1"/>
    <col min="15885" max="15885" width="9.5703125" customWidth="1"/>
    <col min="15886" max="15887" width="0.140625" customWidth="1"/>
    <col min="15889" max="15889" width="19.5703125" customWidth="1"/>
    <col min="15894" max="15894" width="8" customWidth="1"/>
    <col min="15895" max="15896" width="0" hidden="1" customWidth="1"/>
    <col min="15898" max="15898" width="17.42578125" customWidth="1"/>
    <col min="15907" max="15907" width="19" bestFit="1" customWidth="1"/>
    <col min="15916" max="15916" width="19" bestFit="1" customWidth="1"/>
    <col min="15925" max="15925" width="19" bestFit="1" customWidth="1"/>
    <col min="15927" max="15927" width="6.140625" bestFit="1" customWidth="1"/>
    <col min="15928" max="15928" width="11.5703125" bestFit="1" customWidth="1"/>
    <col min="15929" max="15929" width="4.85546875" bestFit="1" customWidth="1"/>
    <col min="15930" max="15930" width="7.85546875" bestFit="1" customWidth="1"/>
    <col min="15931" max="15931" width="0" hidden="1" customWidth="1"/>
    <col min="15932" max="15932" width="8" bestFit="1" customWidth="1"/>
    <col min="15933" max="15933" width="9.28515625" bestFit="1" customWidth="1"/>
    <col min="15934" max="15934" width="19" bestFit="1" customWidth="1"/>
    <col min="15936" max="15936" width="6.140625" bestFit="1" customWidth="1"/>
    <col min="15937" max="15937" width="11.5703125" bestFit="1" customWidth="1"/>
    <col min="15938" max="15938" width="4.85546875" bestFit="1" customWidth="1"/>
    <col min="15939" max="15939" width="7.85546875" bestFit="1" customWidth="1"/>
    <col min="15940" max="15940" width="0" hidden="1" customWidth="1"/>
    <col min="15941" max="15941" width="8" bestFit="1" customWidth="1"/>
    <col min="15942" max="15942" width="9.28515625" bestFit="1" customWidth="1"/>
    <col min="15943" max="15943" width="19" bestFit="1" customWidth="1"/>
    <col min="15945" max="15945" width="6.140625" bestFit="1" customWidth="1"/>
    <col min="15946" max="15946" width="11.5703125" bestFit="1" customWidth="1"/>
    <col min="15947" max="15947" width="4.85546875" bestFit="1" customWidth="1"/>
    <col min="15948" max="15948" width="7.85546875" customWidth="1"/>
    <col min="15949" max="15949" width="0" hidden="1" customWidth="1"/>
    <col min="15950" max="15950" width="8" bestFit="1" customWidth="1"/>
    <col min="15951" max="15951" width="9.28515625" bestFit="1" customWidth="1"/>
    <col min="15952" max="15952" width="19" bestFit="1" customWidth="1"/>
    <col min="15961" max="15961" width="19" bestFit="1" customWidth="1"/>
    <col min="16133" max="16133" width="12.7109375" bestFit="1" customWidth="1"/>
    <col min="16136" max="16136" width="17.85546875" customWidth="1"/>
    <col min="16140" max="16140" width="7" customWidth="1"/>
    <col min="16141" max="16141" width="9.5703125" customWidth="1"/>
    <col min="16142" max="16143" width="0.140625" customWidth="1"/>
    <col min="16145" max="16145" width="19.5703125" customWidth="1"/>
    <col min="16150" max="16150" width="8" customWidth="1"/>
    <col min="16151" max="16152" width="0" hidden="1" customWidth="1"/>
    <col min="16154" max="16154" width="17.42578125" customWidth="1"/>
    <col min="16163" max="16163" width="19" bestFit="1" customWidth="1"/>
    <col min="16172" max="16172" width="19" bestFit="1" customWidth="1"/>
    <col min="16181" max="16181" width="19" bestFit="1" customWidth="1"/>
    <col min="16183" max="16183" width="6.140625" bestFit="1" customWidth="1"/>
    <col min="16184" max="16184" width="11.5703125" bestFit="1" customWidth="1"/>
    <col min="16185" max="16185" width="4.85546875" bestFit="1" customWidth="1"/>
    <col min="16186" max="16186" width="7.85546875" bestFit="1" customWidth="1"/>
    <col min="16187" max="16187" width="0" hidden="1" customWidth="1"/>
    <col min="16188" max="16188" width="8" bestFit="1" customWidth="1"/>
    <col min="16189" max="16189" width="9.28515625" bestFit="1" customWidth="1"/>
    <col min="16190" max="16190" width="19" bestFit="1" customWidth="1"/>
    <col min="16192" max="16192" width="6.140625" bestFit="1" customWidth="1"/>
    <col min="16193" max="16193" width="11.5703125" bestFit="1" customWidth="1"/>
    <col min="16194" max="16194" width="4.85546875" bestFit="1" customWidth="1"/>
    <col min="16195" max="16195" width="7.85546875" bestFit="1" customWidth="1"/>
    <col min="16196" max="16196" width="0" hidden="1" customWidth="1"/>
    <col min="16197" max="16197" width="8" bestFit="1" customWidth="1"/>
    <col min="16198" max="16198" width="9.28515625" bestFit="1" customWidth="1"/>
    <col min="16199" max="16199" width="19" bestFit="1" customWidth="1"/>
    <col min="16201" max="16201" width="6.140625" bestFit="1" customWidth="1"/>
    <col min="16202" max="16202" width="11.5703125" bestFit="1" customWidth="1"/>
    <col min="16203" max="16203" width="4.85546875" bestFit="1" customWidth="1"/>
    <col min="16204" max="16204" width="7.85546875" customWidth="1"/>
    <col min="16205" max="16205" width="0" hidden="1" customWidth="1"/>
    <col min="16206" max="16206" width="8" bestFit="1" customWidth="1"/>
    <col min="16207" max="16207" width="9.28515625" bestFit="1" customWidth="1"/>
    <col min="16208" max="16208" width="19" bestFit="1" customWidth="1"/>
    <col min="16217" max="16217" width="19" bestFit="1" customWidth="1"/>
  </cols>
  <sheetData>
    <row r="1" spans="1:89" x14ac:dyDescent="0.25">
      <c r="A1" s="26"/>
      <c r="B1" s="26"/>
      <c r="C1" s="26"/>
      <c r="D1" s="26"/>
      <c r="E1" s="26"/>
      <c r="F1" s="26"/>
      <c r="G1" s="26"/>
      <c r="H1" s="26"/>
      <c r="I1" s="26"/>
      <c r="AT1" s="27"/>
      <c r="AV1" s="27"/>
      <c r="AW1" s="27"/>
      <c r="AX1" s="27"/>
      <c r="AY1" s="27"/>
      <c r="AZ1" s="27"/>
      <c r="BA1" s="27"/>
      <c r="BB1" s="27"/>
      <c r="BC1" s="27"/>
      <c r="BE1" s="27"/>
      <c r="BF1" s="27"/>
      <c r="BG1" s="27"/>
      <c r="BH1" s="27"/>
      <c r="BI1" s="27"/>
      <c r="BJ1" s="27"/>
      <c r="BK1" s="27"/>
      <c r="BN1" s="27"/>
      <c r="BO1" s="27"/>
      <c r="BP1" s="27"/>
      <c r="BQ1" s="27"/>
      <c r="BR1" s="27"/>
      <c r="BS1" s="27"/>
      <c r="BT1" s="27"/>
      <c r="BU1" s="27"/>
      <c r="BW1" s="27"/>
      <c r="BX1" s="27"/>
      <c r="BY1" s="27"/>
      <c r="BZ1" s="27"/>
      <c r="CA1" s="27"/>
      <c r="CB1" s="27"/>
      <c r="CC1" s="27"/>
      <c r="CD1" s="27"/>
    </row>
    <row r="2" spans="1:89" x14ac:dyDescent="0.25">
      <c r="A2" t="s">
        <v>132</v>
      </c>
      <c r="J2" t="s">
        <v>133</v>
      </c>
      <c r="S2" t="s">
        <v>134</v>
      </c>
      <c r="AB2" t="s">
        <v>135</v>
      </c>
      <c r="AK2" s="27" t="s">
        <v>136</v>
      </c>
      <c r="AL2" s="27">
        <v>1015543</v>
      </c>
      <c r="AM2" s="27"/>
      <c r="AN2" s="27">
        <v>1015545</v>
      </c>
      <c r="AO2" s="27" t="s">
        <v>137</v>
      </c>
      <c r="AP2" s="27"/>
      <c r="AQ2" s="27"/>
      <c r="AR2" s="27"/>
      <c r="AS2" s="27"/>
      <c r="AT2" s="27" t="s">
        <v>138</v>
      </c>
      <c r="AU2" s="27">
        <v>1015631</v>
      </c>
      <c r="AV2" s="27"/>
      <c r="AW2" s="27">
        <v>1015550</v>
      </c>
      <c r="AX2" s="27" t="s">
        <v>137</v>
      </c>
      <c r="AY2" s="27"/>
      <c r="AZ2" s="27"/>
      <c r="BA2" s="27"/>
      <c r="BB2" s="27"/>
      <c r="BC2" s="27" t="s">
        <v>139</v>
      </c>
      <c r="BD2" s="27">
        <v>1015548</v>
      </c>
      <c r="BE2" s="27"/>
      <c r="BF2" s="27">
        <v>1015557</v>
      </c>
      <c r="BG2" s="27"/>
      <c r="BH2" s="27" t="s">
        <v>137</v>
      </c>
      <c r="BI2" s="27"/>
      <c r="BJ2" s="27"/>
      <c r="BK2" s="27"/>
      <c r="BL2" s="27" t="s">
        <v>140</v>
      </c>
      <c r="BM2" s="27">
        <v>1015559</v>
      </c>
      <c r="BN2" s="27"/>
      <c r="BO2" s="27">
        <v>1015716</v>
      </c>
      <c r="BP2" s="27"/>
      <c r="BQ2" s="27" t="s">
        <v>137</v>
      </c>
      <c r="BR2" s="27"/>
      <c r="BS2" s="27"/>
      <c r="BT2" s="27"/>
      <c r="BU2" s="27" t="s">
        <v>141</v>
      </c>
      <c r="BV2" s="27">
        <v>1015547</v>
      </c>
      <c r="BW2" s="27"/>
      <c r="BX2" s="27">
        <v>1015560</v>
      </c>
      <c r="BY2" s="27"/>
      <c r="BZ2" s="27" t="s">
        <v>137</v>
      </c>
      <c r="CA2" s="27"/>
      <c r="CB2" s="27"/>
      <c r="CC2" s="27"/>
      <c r="CD2" s="27" t="s">
        <v>142</v>
      </c>
      <c r="CE2" s="27">
        <v>1015632</v>
      </c>
      <c r="CF2" s="27"/>
      <c r="CG2" s="27">
        <v>1015546</v>
      </c>
      <c r="CH2" s="27" t="s">
        <v>137</v>
      </c>
      <c r="CI2" s="27"/>
      <c r="CJ2" s="27"/>
      <c r="CK2" s="27"/>
    </row>
    <row r="3" spans="1:89" ht="15.75" thickBot="1" x14ac:dyDescent="0.3">
      <c r="A3" s="28" t="s">
        <v>143</v>
      </c>
      <c r="B3" s="28" t="s">
        <v>144</v>
      </c>
      <c r="C3" s="28" t="s">
        <v>145</v>
      </c>
      <c r="D3" s="28" t="s">
        <v>146</v>
      </c>
      <c r="E3" s="28" t="s">
        <v>147</v>
      </c>
      <c r="F3" s="28" t="s">
        <v>148</v>
      </c>
      <c r="G3" s="28" t="s">
        <v>149</v>
      </c>
      <c r="H3" s="28" t="s">
        <v>150</v>
      </c>
      <c r="J3" s="28" t="s">
        <v>143</v>
      </c>
      <c r="K3" s="28" t="s">
        <v>144</v>
      </c>
      <c r="L3" s="28" t="s">
        <v>145</v>
      </c>
      <c r="M3" s="28" t="s">
        <v>146</v>
      </c>
      <c r="N3" s="28" t="s">
        <v>147</v>
      </c>
      <c r="O3" s="28" t="s">
        <v>148</v>
      </c>
      <c r="P3" s="28" t="s">
        <v>149</v>
      </c>
      <c r="Q3" s="28" t="s">
        <v>150</v>
      </c>
      <c r="S3" s="28" t="s">
        <v>143</v>
      </c>
      <c r="T3" s="28" t="s">
        <v>144</v>
      </c>
      <c r="U3" s="28" t="s">
        <v>145</v>
      </c>
      <c r="V3" s="28" t="s">
        <v>146</v>
      </c>
      <c r="W3" s="28" t="s">
        <v>147</v>
      </c>
      <c r="X3" s="28" t="s">
        <v>148</v>
      </c>
      <c r="Y3" s="28" t="s">
        <v>149</v>
      </c>
      <c r="Z3" s="28" t="s">
        <v>150</v>
      </c>
      <c r="AB3" s="28" t="s">
        <v>143</v>
      </c>
      <c r="AC3" s="28" t="s">
        <v>144</v>
      </c>
      <c r="AD3" s="28" t="s">
        <v>145</v>
      </c>
      <c r="AE3" s="28" t="s">
        <v>146</v>
      </c>
      <c r="AF3" s="28" t="s">
        <v>147</v>
      </c>
      <c r="AG3" s="28" t="s">
        <v>148</v>
      </c>
      <c r="AH3" s="28" t="s">
        <v>149</v>
      </c>
      <c r="AI3" s="28" t="s">
        <v>150</v>
      </c>
      <c r="AK3" s="29" t="s">
        <v>143</v>
      </c>
      <c r="AL3" s="29" t="s">
        <v>144</v>
      </c>
      <c r="AM3" s="29" t="s">
        <v>145</v>
      </c>
      <c r="AN3" s="29" t="s">
        <v>146</v>
      </c>
      <c r="AO3" s="29" t="s">
        <v>147</v>
      </c>
      <c r="AP3" s="29" t="s">
        <v>148</v>
      </c>
      <c r="AQ3" s="29" t="s">
        <v>149</v>
      </c>
      <c r="AR3" s="29" t="s">
        <v>150</v>
      </c>
      <c r="AS3" s="27"/>
      <c r="AT3" s="29" t="s">
        <v>143</v>
      </c>
      <c r="AU3" s="29" t="s">
        <v>144</v>
      </c>
      <c r="AV3" s="29" t="s">
        <v>145</v>
      </c>
      <c r="AW3" s="29" t="s">
        <v>146</v>
      </c>
      <c r="AX3" s="29" t="s">
        <v>147</v>
      </c>
      <c r="AY3" s="29" t="s">
        <v>148</v>
      </c>
      <c r="AZ3" s="29" t="s">
        <v>149</v>
      </c>
      <c r="BA3" s="29" t="s">
        <v>150</v>
      </c>
      <c r="BB3" s="27"/>
      <c r="BC3" s="29" t="s">
        <v>143</v>
      </c>
      <c r="BD3" s="29" t="s">
        <v>144</v>
      </c>
      <c r="BE3" s="29" t="s">
        <v>145</v>
      </c>
      <c r="BF3" s="29" t="s">
        <v>146</v>
      </c>
      <c r="BG3" s="29" t="s">
        <v>147</v>
      </c>
      <c r="BH3" s="29" t="s">
        <v>148</v>
      </c>
      <c r="BI3" s="29" t="s">
        <v>149</v>
      </c>
      <c r="BJ3" s="29" t="s">
        <v>150</v>
      </c>
      <c r="BK3" s="27"/>
      <c r="BL3" s="29" t="s">
        <v>143</v>
      </c>
      <c r="BM3" s="29" t="s">
        <v>144</v>
      </c>
      <c r="BN3" s="29" t="s">
        <v>145</v>
      </c>
      <c r="BO3" s="29" t="s">
        <v>146</v>
      </c>
      <c r="BP3" s="29" t="s">
        <v>147</v>
      </c>
      <c r="BQ3" s="29" t="s">
        <v>148</v>
      </c>
      <c r="BR3" s="29" t="s">
        <v>149</v>
      </c>
      <c r="BS3" s="29" t="s">
        <v>150</v>
      </c>
      <c r="BT3" s="27"/>
      <c r="BU3" s="29" t="s">
        <v>143</v>
      </c>
      <c r="BV3" s="29" t="s">
        <v>144</v>
      </c>
      <c r="BW3" s="29" t="s">
        <v>145</v>
      </c>
      <c r="BX3" s="29" t="s">
        <v>146</v>
      </c>
      <c r="BY3" s="29" t="s">
        <v>147</v>
      </c>
      <c r="BZ3" s="29" t="s">
        <v>148</v>
      </c>
      <c r="CA3" s="29" t="s">
        <v>149</v>
      </c>
      <c r="CB3" s="29" t="s">
        <v>150</v>
      </c>
      <c r="CC3" s="27"/>
      <c r="CD3" s="29" t="s">
        <v>143</v>
      </c>
      <c r="CE3" s="29" t="s">
        <v>144</v>
      </c>
      <c r="CF3" s="29" t="s">
        <v>145</v>
      </c>
      <c r="CG3" s="29" t="s">
        <v>146</v>
      </c>
      <c r="CH3" s="29" t="s">
        <v>147</v>
      </c>
      <c r="CI3" s="29" t="s">
        <v>148</v>
      </c>
      <c r="CJ3" s="29" t="s">
        <v>149</v>
      </c>
      <c r="CK3" s="29" t="s">
        <v>150</v>
      </c>
    </row>
    <row r="4" spans="1:89" x14ac:dyDescent="0.25">
      <c r="A4" s="30"/>
      <c r="B4" s="31" t="s">
        <v>151</v>
      </c>
      <c r="C4" s="6" t="s">
        <v>0</v>
      </c>
      <c r="D4" s="6">
        <v>1</v>
      </c>
      <c r="E4" s="6" t="s">
        <v>152</v>
      </c>
      <c r="F4" s="32">
        <v>1</v>
      </c>
      <c r="G4" s="6" t="s">
        <v>153</v>
      </c>
      <c r="H4" s="33" t="s">
        <v>154</v>
      </c>
      <c r="J4" s="30"/>
      <c r="K4" s="31" t="s">
        <v>155</v>
      </c>
      <c r="L4" s="6" t="s">
        <v>0</v>
      </c>
      <c r="M4" s="6">
        <v>1</v>
      </c>
      <c r="N4" s="6" t="s">
        <v>152</v>
      </c>
      <c r="O4" s="32">
        <v>1</v>
      </c>
      <c r="P4" s="6" t="s">
        <v>156</v>
      </c>
      <c r="Q4" s="33" t="s">
        <v>157</v>
      </c>
      <c r="R4" s="34"/>
      <c r="S4" s="30"/>
      <c r="T4" s="31" t="s">
        <v>155</v>
      </c>
      <c r="U4" s="6" t="s">
        <v>0</v>
      </c>
      <c r="V4" s="6">
        <v>1</v>
      </c>
      <c r="W4" s="6" t="s">
        <v>152</v>
      </c>
      <c r="X4" s="32">
        <v>1</v>
      </c>
      <c r="Y4" s="6" t="s">
        <v>158</v>
      </c>
      <c r="Z4" s="33" t="s">
        <v>159</v>
      </c>
      <c r="AB4" s="30"/>
      <c r="AC4" s="31" t="s">
        <v>155</v>
      </c>
      <c r="AD4" s="6" t="s">
        <v>0</v>
      </c>
      <c r="AE4" s="6">
        <v>1</v>
      </c>
      <c r="AF4" s="6" t="s">
        <v>152</v>
      </c>
      <c r="AG4" s="32">
        <v>1</v>
      </c>
      <c r="AH4" s="6"/>
      <c r="AI4" s="33"/>
      <c r="AK4" s="35"/>
      <c r="AL4" s="36" t="s">
        <v>155</v>
      </c>
      <c r="AM4" s="37" t="s">
        <v>0</v>
      </c>
      <c r="AN4" s="37">
        <v>1</v>
      </c>
      <c r="AO4" s="37" t="s">
        <v>152</v>
      </c>
      <c r="AP4" s="38">
        <v>1</v>
      </c>
      <c r="AQ4" s="39" t="s">
        <v>1</v>
      </c>
      <c r="AR4" s="40" t="s">
        <v>160</v>
      </c>
      <c r="AS4" s="27"/>
      <c r="AT4" s="35"/>
      <c r="AU4" s="36" t="s">
        <v>155</v>
      </c>
      <c r="AV4" s="37" t="s">
        <v>0</v>
      </c>
      <c r="AW4" s="37">
        <v>1</v>
      </c>
      <c r="AX4" s="37" t="s">
        <v>152</v>
      </c>
      <c r="AY4" s="38">
        <v>1</v>
      </c>
      <c r="AZ4" s="39" t="s">
        <v>2</v>
      </c>
      <c r="BA4" s="41" t="s">
        <v>161</v>
      </c>
      <c r="BB4" s="27"/>
      <c r="BC4" s="35"/>
      <c r="BD4" s="36" t="s">
        <v>155</v>
      </c>
      <c r="BE4" s="37" t="s">
        <v>0</v>
      </c>
      <c r="BF4" s="37">
        <v>1</v>
      </c>
      <c r="BG4" s="37" t="s">
        <v>152</v>
      </c>
      <c r="BH4" s="38">
        <v>1</v>
      </c>
      <c r="BI4" s="39">
        <v>2017</v>
      </c>
      <c r="BJ4" s="41" t="s">
        <v>162</v>
      </c>
      <c r="BK4" s="27"/>
      <c r="BL4" s="35"/>
      <c r="BM4" s="36" t="s">
        <v>155</v>
      </c>
      <c r="BN4" s="37" t="s">
        <v>0</v>
      </c>
      <c r="BO4" s="37">
        <v>1</v>
      </c>
      <c r="BP4" s="37" t="s">
        <v>152</v>
      </c>
      <c r="BQ4" s="38">
        <v>1</v>
      </c>
      <c r="BR4" s="39" t="s">
        <v>5</v>
      </c>
      <c r="BS4" s="40" t="s">
        <v>160</v>
      </c>
      <c r="BT4" s="27">
        <v>1</v>
      </c>
      <c r="BU4" s="35"/>
      <c r="BV4" s="36" t="s">
        <v>155</v>
      </c>
      <c r="BW4" s="37" t="s">
        <v>0</v>
      </c>
      <c r="BX4" s="37">
        <v>1</v>
      </c>
      <c r="BY4" s="37" t="s">
        <v>152</v>
      </c>
      <c r="BZ4" s="38">
        <v>1</v>
      </c>
      <c r="CA4" s="39">
        <v>1029</v>
      </c>
      <c r="CB4" s="41" t="s">
        <v>163</v>
      </c>
      <c r="CC4" s="27"/>
      <c r="CD4" s="35"/>
      <c r="CE4" s="36" t="s">
        <v>155</v>
      </c>
      <c r="CF4" s="37" t="s">
        <v>0</v>
      </c>
      <c r="CG4" s="37">
        <v>1</v>
      </c>
      <c r="CH4" s="37" t="s">
        <v>152</v>
      </c>
      <c r="CI4" s="38">
        <v>1</v>
      </c>
      <c r="CJ4" s="39">
        <v>1038</v>
      </c>
      <c r="CK4" s="41" t="s">
        <v>164</v>
      </c>
    </row>
    <row r="5" spans="1:89" x14ac:dyDescent="0.25">
      <c r="A5" s="42"/>
      <c r="B5" s="34" t="s">
        <v>151</v>
      </c>
      <c r="C5" s="10" t="s">
        <v>0</v>
      </c>
      <c r="D5" s="10">
        <v>2</v>
      </c>
      <c r="E5" s="10" t="s">
        <v>152</v>
      </c>
      <c r="F5">
        <v>2</v>
      </c>
      <c r="G5" s="10" t="s">
        <v>153</v>
      </c>
      <c r="H5" s="43" t="s">
        <v>165</v>
      </c>
      <c r="J5" s="42"/>
      <c r="K5" s="34" t="s">
        <v>155</v>
      </c>
      <c r="L5" s="10" t="s">
        <v>0</v>
      </c>
      <c r="M5" s="10">
        <v>2</v>
      </c>
      <c r="N5" s="10" t="s">
        <v>152</v>
      </c>
      <c r="O5">
        <v>2</v>
      </c>
      <c r="P5" s="10" t="s">
        <v>156</v>
      </c>
      <c r="Q5" s="43" t="s">
        <v>166</v>
      </c>
      <c r="S5" s="42"/>
      <c r="T5" s="34" t="s">
        <v>155</v>
      </c>
      <c r="U5" s="10" t="s">
        <v>0</v>
      </c>
      <c r="V5" s="10">
        <v>2</v>
      </c>
      <c r="W5" s="10" t="s">
        <v>152</v>
      </c>
      <c r="X5">
        <v>2</v>
      </c>
      <c r="Y5" s="10" t="s">
        <v>158</v>
      </c>
      <c r="Z5" s="43" t="s">
        <v>167</v>
      </c>
      <c r="AB5" s="42"/>
      <c r="AC5" s="34" t="s">
        <v>155</v>
      </c>
      <c r="AD5" s="10" t="s">
        <v>0</v>
      </c>
      <c r="AE5" s="10">
        <v>2</v>
      </c>
      <c r="AF5" s="10" t="s">
        <v>152</v>
      </c>
      <c r="AG5">
        <v>2</v>
      </c>
      <c r="AH5" s="10"/>
      <c r="AI5" s="43"/>
      <c r="AK5" s="44"/>
      <c r="AL5" s="45" t="s">
        <v>155</v>
      </c>
      <c r="AM5" s="39" t="s">
        <v>0</v>
      </c>
      <c r="AN5" s="39">
        <v>2</v>
      </c>
      <c r="AO5" s="39" t="s">
        <v>152</v>
      </c>
      <c r="AP5" s="27">
        <v>2</v>
      </c>
      <c r="AQ5" s="39" t="s">
        <v>1</v>
      </c>
      <c r="AR5" s="41" t="s">
        <v>168</v>
      </c>
      <c r="AS5" s="27"/>
      <c r="AT5" s="44"/>
      <c r="AU5" s="45" t="s">
        <v>155</v>
      </c>
      <c r="AV5" s="39" t="s">
        <v>0</v>
      </c>
      <c r="AW5" s="39">
        <v>2</v>
      </c>
      <c r="AX5" s="39" t="s">
        <v>152</v>
      </c>
      <c r="AY5" s="27">
        <v>2</v>
      </c>
      <c r="AZ5" s="39" t="s">
        <v>2</v>
      </c>
      <c r="BA5" s="46" t="s">
        <v>169</v>
      </c>
      <c r="BB5" s="27"/>
      <c r="BC5" s="44"/>
      <c r="BD5" s="45" t="s">
        <v>155</v>
      </c>
      <c r="BE5" s="39" t="s">
        <v>0</v>
      </c>
      <c r="BF5" s="39">
        <v>2</v>
      </c>
      <c r="BG5" s="39" t="s">
        <v>152</v>
      </c>
      <c r="BH5" s="27">
        <v>2</v>
      </c>
      <c r="BI5" s="39">
        <v>2017</v>
      </c>
      <c r="BJ5" s="41" t="s">
        <v>170</v>
      </c>
      <c r="BK5" s="27"/>
      <c r="BL5" s="44"/>
      <c r="BM5" s="45" t="s">
        <v>155</v>
      </c>
      <c r="BN5" s="39" t="s">
        <v>0</v>
      </c>
      <c r="BO5" s="39">
        <v>2</v>
      </c>
      <c r="BP5" s="39" t="s">
        <v>152</v>
      </c>
      <c r="BQ5" s="27">
        <v>2</v>
      </c>
      <c r="BR5" s="39" t="s">
        <v>5</v>
      </c>
      <c r="BS5" s="41" t="s">
        <v>168</v>
      </c>
      <c r="BT5" s="27">
        <v>2</v>
      </c>
      <c r="BU5" s="44"/>
      <c r="BV5" s="45" t="s">
        <v>155</v>
      </c>
      <c r="BW5" s="39" t="s">
        <v>0</v>
      </c>
      <c r="BX5" s="39">
        <v>2</v>
      </c>
      <c r="BY5" s="39" t="s">
        <v>152</v>
      </c>
      <c r="BZ5" s="27">
        <v>2</v>
      </c>
      <c r="CA5" s="39">
        <v>1029</v>
      </c>
      <c r="CB5" s="41" t="s">
        <v>171</v>
      </c>
      <c r="CC5" s="27"/>
      <c r="CD5" s="44"/>
      <c r="CE5" s="45" t="s">
        <v>155</v>
      </c>
      <c r="CF5" s="39" t="s">
        <v>0</v>
      </c>
      <c r="CG5" s="39">
        <v>2</v>
      </c>
      <c r="CH5" s="39" t="s">
        <v>152</v>
      </c>
      <c r="CI5" s="27">
        <v>2</v>
      </c>
      <c r="CJ5" s="39">
        <v>1038</v>
      </c>
      <c r="CK5" s="41" t="s">
        <v>172</v>
      </c>
    </row>
    <row r="6" spans="1:89" x14ac:dyDescent="0.25">
      <c r="A6" s="42"/>
      <c r="B6" s="34" t="s">
        <v>151</v>
      </c>
      <c r="C6" s="10" t="s">
        <v>0</v>
      </c>
      <c r="D6" s="10">
        <v>3</v>
      </c>
      <c r="E6" s="10" t="s">
        <v>152</v>
      </c>
      <c r="F6">
        <v>3</v>
      </c>
      <c r="G6" s="10" t="s">
        <v>153</v>
      </c>
      <c r="H6" s="43" t="s">
        <v>173</v>
      </c>
      <c r="J6" s="42"/>
      <c r="K6" s="34" t="s">
        <v>155</v>
      </c>
      <c r="L6" s="10" t="s">
        <v>0</v>
      </c>
      <c r="M6" s="10">
        <v>3</v>
      </c>
      <c r="N6" s="10" t="s">
        <v>152</v>
      </c>
      <c r="O6">
        <v>3</v>
      </c>
      <c r="P6" s="10" t="s">
        <v>156</v>
      </c>
      <c r="Q6" s="43" t="s">
        <v>174</v>
      </c>
      <c r="S6" s="42"/>
      <c r="T6" s="34" t="s">
        <v>155</v>
      </c>
      <c r="U6" s="10" t="s">
        <v>0</v>
      </c>
      <c r="V6" s="10">
        <v>3</v>
      </c>
      <c r="W6" s="10" t="s">
        <v>152</v>
      </c>
      <c r="X6">
        <v>3</v>
      </c>
      <c r="Y6" s="10" t="s">
        <v>158</v>
      </c>
      <c r="Z6" s="43" t="s">
        <v>175</v>
      </c>
      <c r="AB6" s="42"/>
      <c r="AC6" s="34" t="s">
        <v>155</v>
      </c>
      <c r="AD6" s="10" t="s">
        <v>0</v>
      </c>
      <c r="AE6" s="10">
        <v>3</v>
      </c>
      <c r="AF6" s="10" t="s">
        <v>152</v>
      </c>
      <c r="AG6">
        <v>3</v>
      </c>
      <c r="AH6" s="10"/>
      <c r="AI6" s="43"/>
      <c r="AK6" s="44"/>
      <c r="AL6" s="45" t="s">
        <v>155</v>
      </c>
      <c r="AM6" s="39" t="s">
        <v>0</v>
      </c>
      <c r="AN6" s="39">
        <v>3</v>
      </c>
      <c r="AO6" s="39" t="s">
        <v>152</v>
      </c>
      <c r="AP6" s="27">
        <v>3</v>
      </c>
      <c r="AQ6" s="39" t="s">
        <v>1</v>
      </c>
      <c r="AR6" s="41" t="s">
        <v>176</v>
      </c>
      <c r="AS6" s="27"/>
      <c r="AT6" s="44"/>
      <c r="AU6" s="45" t="s">
        <v>155</v>
      </c>
      <c r="AV6" s="39" t="s">
        <v>0</v>
      </c>
      <c r="AW6" s="39">
        <v>3</v>
      </c>
      <c r="AX6" s="39" t="s">
        <v>152</v>
      </c>
      <c r="AY6" s="27">
        <v>3</v>
      </c>
      <c r="AZ6" s="39" t="s">
        <v>2</v>
      </c>
      <c r="BA6" s="41" t="s">
        <v>177</v>
      </c>
      <c r="BB6" s="27"/>
      <c r="BC6" s="44"/>
      <c r="BD6" s="45" t="s">
        <v>155</v>
      </c>
      <c r="BE6" s="39" t="s">
        <v>0</v>
      </c>
      <c r="BF6" s="39">
        <v>3</v>
      </c>
      <c r="BG6" s="39" t="s">
        <v>152</v>
      </c>
      <c r="BH6" s="27">
        <v>3</v>
      </c>
      <c r="BI6" s="39">
        <v>2017</v>
      </c>
      <c r="BJ6" s="41" t="s">
        <v>178</v>
      </c>
      <c r="BK6" s="27"/>
      <c r="BL6" s="44"/>
      <c r="BM6" s="45" t="s">
        <v>155</v>
      </c>
      <c r="BN6" s="39" t="s">
        <v>0</v>
      </c>
      <c r="BO6" s="39">
        <v>3</v>
      </c>
      <c r="BP6" s="39" t="s">
        <v>152</v>
      </c>
      <c r="BQ6" s="27">
        <v>3</v>
      </c>
      <c r="BR6" s="39" t="s">
        <v>5</v>
      </c>
      <c r="BS6" s="41" t="s">
        <v>176</v>
      </c>
      <c r="BT6" s="27">
        <v>3</v>
      </c>
      <c r="BU6" s="44"/>
      <c r="BV6" s="45" t="s">
        <v>155</v>
      </c>
      <c r="BW6" s="39" t="s">
        <v>0</v>
      </c>
      <c r="BX6" s="39">
        <v>3</v>
      </c>
      <c r="BY6" s="39" t="s">
        <v>152</v>
      </c>
      <c r="BZ6" s="27">
        <v>3</v>
      </c>
      <c r="CA6" s="39">
        <v>1029</v>
      </c>
      <c r="CB6" s="41" t="s">
        <v>161</v>
      </c>
      <c r="CC6" s="27"/>
      <c r="CD6" s="44"/>
      <c r="CE6" s="45" t="s">
        <v>155</v>
      </c>
      <c r="CF6" s="39" t="s">
        <v>0</v>
      </c>
      <c r="CG6" s="39">
        <v>3</v>
      </c>
      <c r="CH6" s="39" t="s">
        <v>152</v>
      </c>
      <c r="CI6" s="27">
        <v>3</v>
      </c>
      <c r="CJ6" s="39">
        <v>1038</v>
      </c>
      <c r="CK6" s="41" t="s">
        <v>162</v>
      </c>
    </row>
    <row r="7" spans="1:89" x14ac:dyDescent="0.25">
      <c r="A7" s="42"/>
      <c r="B7" s="34" t="s">
        <v>151</v>
      </c>
      <c r="C7" s="10" t="s">
        <v>0</v>
      </c>
      <c r="D7" s="10">
        <v>4</v>
      </c>
      <c r="E7" s="10" t="s">
        <v>152</v>
      </c>
      <c r="F7">
        <v>4</v>
      </c>
      <c r="G7" s="10" t="s">
        <v>153</v>
      </c>
      <c r="H7" s="43" t="s">
        <v>159</v>
      </c>
      <c r="J7" s="42"/>
      <c r="K7" s="34" t="s">
        <v>155</v>
      </c>
      <c r="L7" s="10" t="s">
        <v>0</v>
      </c>
      <c r="M7" s="10">
        <v>4</v>
      </c>
      <c r="N7" s="10" t="s">
        <v>152</v>
      </c>
      <c r="O7">
        <v>4</v>
      </c>
      <c r="P7" s="10" t="s">
        <v>179</v>
      </c>
      <c r="Q7" s="43" t="s">
        <v>154</v>
      </c>
      <c r="S7" s="42"/>
      <c r="T7" s="34" t="s">
        <v>155</v>
      </c>
      <c r="U7" s="10" t="s">
        <v>0</v>
      </c>
      <c r="V7" s="10">
        <v>4</v>
      </c>
      <c r="W7" s="10" t="s">
        <v>152</v>
      </c>
      <c r="X7">
        <v>4</v>
      </c>
      <c r="Y7" s="10" t="s">
        <v>158</v>
      </c>
      <c r="Z7" s="43" t="s">
        <v>157</v>
      </c>
      <c r="AB7" s="42"/>
      <c r="AC7" s="34" t="s">
        <v>155</v>
      </c>
      <c r="AD7" s="10" t="s">
        <v>0</v>
      </c>
      <c r="AE7" s="10">
        <v>4</v>
      </c>
      <c r="AF7" s="10" t="s">
        <v>152</v>
      </c>
      <c r="AG7">
        <v>4</v>
      </c>
      <c r="AH7" s="10"/>
      <c r="AI7" s="43"/>
      <c r="AK7" s="44"/>
      <c r="AL7" s="45" t="s">
        <v>155</v>
      </c>
      <c r="AM7" s="39" t="s">
        <v>0</v>
      </c>
      <c r="AN7" s="39">
        <v>4</v>
      </c>
      <c r="AO7" s="39" t="s">
        <v>152</v>
      </c>
      <c r="AP7" s="27">
        <v>4</v>
      </c>
      <c r="AQ7" s="39" t="s">
        <v>1</v>
      </c>
      <c r="AR7" s="41" t="s">
        <v>164</v>
      </c>
      <c r="AS7" s="27"/>
      <c r="AT7" s="44"/>
      <c r="AU7" s="45" t="s">
        <v>155</v>
      </c>
      <c r="AV7" s="39" t="s">
        <v>0</v>
      </c>
      <c r="AW7" s="39">
        <v>4</v>
      </c>
      <c r="AX7" s="39" t="s">
        <v>152</v>
      </c>
      <c r="AY7" s="27">
        <v>4</v>
      </c>
      <c r="AZ7" s="39" t="s">
        <v>2</v>
      </c>
      <c r="BA7" s="41" t="s">
        <v>180</v>
      </c>
      <c r="BB7" s="27"/>
      <c r="BC7" s="44"/>
      <c r="BD7" s="45" t="s">
        <v>155</v>
      </c>
      <c r="BE7" s="39" t="s">
        <v>0</v>
      </c>
      <c r="BF7" s="39">
        <v>4</v>
      </c>
      <c r="BG7" s="39" t="s">
        <v>152</v>
      </c>
      <c r="BH7" s="27">
        <v>4</v>
      </c>
      <c r="BI7" s="39">
        <v>2017</v>
      </c>
      <c r="BJ7" s="41" t="s">
        <v>163</v>
      </c>
      <c r="BK7" s="27"/>
      <c r="BL7" s="44"/>
      <c r="BM7" s="45" t="s">
        <v>155</v>
      </c>
      <c r="BN7" s="39" t="s">
        <v>0</v>
      </c>
      <c r="BO7" s="39">
        <v>4</v>
      </c>
      <c r="BP7" s="39" t="s">
        <v>152</v>
      </c>
      <c r="BQ7" s="27">
        <v>4</v>
      </c>
      <c r="BR7" s="39" t="s">
        <v>5</v>
      </c>
      <c r="BS7" s="41" t="s">
        <v>164</v>
      </c>
      <c r="BT7" s="27">
        <v>4</v>
      </c>
      <c r="BU7" s="44"/>
      <c r="BV7" s="45" t="s">
        <v>155</v>
      </c>
      <c r="BW7" s="39" t="s">
        <v>0</v>
      </c>
      <c r="BX7" s="39">
        <v>4</v>
      </c>
      <c r="BY7" s="39" t="s">
        <v>152</v>
      </c>
      <c r="BZ7" s="27">
        <v>4</v>
      </c>
      <c r="CA7" s="39">
        <v>1029</v>
      </c>
      <c r="CB7" s="46" t="s">
        <v>169</v>
      </c>
      <c r="CC7" s="27"/>
      <c r="CD7" s="44"/>
      <c r="CE7" s="45" t="s">
        <v>155</v>
      </c>
      <c r="CF7" s="39" t="s">
        <v>0</v>
      </c>
      <c r="CG7" s="39">
        <v>4</v>
      </c>
      <c r="CH7" s="39" t="s">
        <v>152</v>
      </c>
      <c r="CI7" s="27">
        <v>4</v>
      </c>
      <c r="CJ7" s="39">
        <v>1038</v>
      </c>
      <c r="CK7" s="41" t="s">
        <v>170</v>
      </c>
    </row>
    <row r="8" spans="1:89" x14ac:dyDescent="0.25">
      <c r="A8" s="42"/>
      <c r="B8" s="34" t="s">
        <v>151</v>
      </c>
      <c r="C8" s="10" t="s">
        <v>0</v>
      </c>
      <c r="D8" s="10">
        <v>5</v>
      </c>
      <c r="E8" s="10" t="s">
        <v>152</v>
      </c>
      <c r="F8">
        <v>5</v>
      </c>
      <c r="G8" s="10" t="s">
        <v>153</v>
      </c>
      <c r="H8" s="43" t="s">
        <v>167</v>
      </c>
      <c r="J8" s="42"/>
      <c r="K8" s="34" t="s">
        <v>155</v>
      </c>
      <c r="L8" s="10" t="s">
        <v>0</v>
      </c>
      <c r="M8" s="10">
        <v>5</v>
      </c>
      <c r="N8" s="10" t="s">
        <v>152</v>
      </c>
      <c r="O8">
        <v>5</v>
      </c>
      <c r="P8" s="10" t="s">
        <v>179</v>
      </c>
      <c r="Q8" s="43" t="s">
        <v>165</v>
      </c>
      <c r="S8" s="42"/>
      <c r="T8" s="34" t="s">
        <v>155</v>
      </c>
      <c r="U8" s="10" t="s">
        <v>0</v>
      </c>
      <c r="V8" s="10">
        <v>5</v>
      </c>
      <c r="W8" s="10" t="s">
        <v>152</v>
      </c>
      <c r="X8">
        <v>5</v>
      </c>
      <c r="Y8" s="10" t="s">
        <v>158</v>
      </c>
      <c r="Z8" s="43" t="s">
        <v>166</v>
      </c>
      <c r="AB8" s="42"/>
      <c r="AC8" s="34" t="s">
        <v>155</v>
      </c>
      <c r="AD8" s="10" t="s">
        <v>0</v>
      </c>
      <c r="AE8" s="10">
        <v>5</v>
      </c>
      <c r="AF8" s="10" t="s">
        <v>152</v>
      </c>
      <c r="AG8">
        <v>5</v>
      </c>
      <c r="AH8" s="10"/>
      <c r="AI8" s="43"/>
      <c r="AK8" s="44"/>
      <c r="AL8" s="45" t="s">
        <v>155</v>
      </c>
      <c r="AM8" s="39" t="s">
        <v>0</v>
      </c>
      <c r="AN8" s="39">
        <v>5</v>
      </c>
      <c r="AO8" s="39" t="s">
        <v>152</v>
      </c>
      <c r="AP8" s="27">
        <v>5</v>
      </c>
      <c r="AQ8" s="39" t="s">
        <v>1</v>
      </c>
      <c r="AR8" s="41" t="s">
        <v>172</v>
      </c>
      <c r="AS8" s="27"/>
      <c r="AT8" s="44"/>
      <c r="AU8" s="45" t="s">
        <v>155</v>
      </c>
      <c r="AV8" s="39" t="s">
        <v>0</v>
      </c>
      <c r="AW8" s="39">
        <v>5</v>
      </c>
      <c r="AX8" s="39" t="s">
        <v>152</v>
      </c>
      <c r="AY8" s="27">
        <v>5</v>
      </c>
      <c r="AZ8" s="39" t="s">
        <v>2</v>
      </c>
      <c r="BA8" s="41" t="s">
        <v>181</v>
      </c>
      <c r="BB8" s="27"/>
      <c r="BC8" s="44"/>
      <c r="BD8" s="45" t="s">
        <v>155</v>
      </c>
      <c r="BE8" s="39" t="s">
        <v>0</v>
      </c>
      <c r="BF8" s="39">
        <v>5</v>
      </c>
      <c r="BG8" s="39" t="s">
        <v>152</v>
      </c>
      <c r="BH8" s="27">
        <v>5</v>
      </c>
      <c r="BI8" s="39">
        <v>2017</v>
      </c>
      <c r="BJ8" s="41" t="s">
        <v>182</v>
      </c>
      <c r="BK8" s="27"/>
      <c r="BL8" s="44"/>
      <c r="BM8" s="45" t="s">
        <v>155</v>
      </c>
      <c r="BN8" s="39" t="s">
        <v>0</v>
      </c>
      <c r="BO8" s="39">
        <v>5</v>
      </c>
      <c r="BP8" s="39" t="s">
        <v>152</v>
      </c>
      <c r="BQ8" s="27">
        <v>5</v>
      </c>
      <c r="BR8" s="39" t="s">
        <v>5</v>
      </c>
      <c r="BS8" s="41" t="s">
        <v>172</v>
      </c>
      <c r="BT8" s="27">
        <v>5</v>
      </c>
      <c r="BU8" s="44"/>
      <c r="BV8" s="45" t="s">
        <v>155</v>
      </c>
      <c r="BW8" s="39" t="s">
        <v>0</v>
      </c>
      <c r="BX8" s="39">
        <v>5</v>
      </c>
      <c r="BY8" s="39" t="s">
        <v>152</v>
      </c>
      <c r="BZ8" s="27">
        <v>5</v>
      </c>
      <c r="CA8" s="39">
        <v>1029</v>
      </c>
      <c r="CB8" s="41" t="s">
        <v>177</v>
      </c>
      <c r="CC8" s="27"/>
      <c r="CD8" s="44"/>
      <c r="CE8" s="45" t="s">
        <v>155</v>
      </c>
      <c r="CF8" s="39" t="s">
        <v>0</v>
      </c>
      <c r="CG8" s="39">
        <v>5</v>
      </c>
      <c r="CH8" s="39" t="s">
        <v>152</v>
      </c>
      <c r="CI8" s="27">
        <v>5</v>
      </c>
      <c r="CJ8" s="39">
        <v>1038</v>
      </c>
      <c r="CK8" s="41" t="s">
        <v>178</v>
      </c>
    </row>
    <row r="9" spans="1:89" x14ac:dyDescent="0.25">
      <c r="A9" s="42"/>
      <c r="B9" s="34" t="s">
        <v>151</v>
      </c>
      <c r="C9" s="10" t="s">
        <v>0</v>
      </c>
      <c r="D9" s="10">
        <v>6</v>
      </c>
      <c r="E9" s="10" t="s">
        <v>152</v>
      </c>
      <c r="F9">
        <v>6</v>
      </c>
      <c r="G9" s="10" t="s">
        <v>153</v>
      </c>
      <c r="H9" s="43" t="s">
        <v>175</v>
      </c>
      <c r="J9" s="42"/>
      <c r="K9" s="34" t="s">
        <v>155</v>
      </c>
      <c r="L9" s="10" t="s">
        <v>0</v>
      </c>
      <c r="M9" s="10">
        <v>6</v>
      </c>
      <c r="N9" s="10" t="s">
        <v>152</v>
      </c>
      <c r="O9">
        <v>6</v>
      </c>
      <c r="P9" s="10" t="s">
        <v>179</v>
      </c>
      <c r="Q9" s="43" t="s">
        <v>173</v>
      </c>
      <c r="S9" s="42"/>
      <c r="T9" s="34" t="s">
        <v>155</v>
      </c>
      <c r="U9" s="10" t="s">
        <v>0</v>
      </c>
      <c r="V9" s="10">
        <v>6</v>
      </c>
      <c r="W9" s="10" t="s">
        <v>152</v>
      </c>
      <c r="X9">
        <v>6</v>
      </c>
      <c r="Y9" s="10" t="s">
        <v>158</v>
      </c>
      <c r="Z9" s="43" t="s">
        <v>174</v>
      </c>
      <c r="AB9" s="42"/>
      <c r="AC9" s="34" t="s">
        <v>155</v>
      </c>
      <c r="AD9" s="10" t="s">
        <v>0</v>
      </c>
      <c r="AE9" s="10">
        <v>6</v>
      </c>
      <c r="AF9" s="10" t="s">
        <v>152</v>
      </c>
      <c r="AG9">
        <v>6</v>
      </c>
      <c r="AH9" s="10"/>
      <c r="AI9" s="43"/>
      <c r="AK9" s="44"/>
      <c r="AL9" s="45" t="s">
        <v>155</v>
      </c>
      <c r="AM9" s="39" t="s">
        <v>0</v>
      </c>
      <c r="AN9" s="39">
        <v>6</v>
      </c>
      <c r="AO9" s="39" t="s">
        <v>152</v>
      </c>
      <c r="AP9" s="27">
        <v>6</v>
      </c>
      <c r="AQ9" s="39" t="s">
        <v>1</v>
      </c>
      <c r="AR9" s="41" t="s">
        <v>162</v>
      </c>
      <c r="AS9" s="27"/>
      <c r="AT9" s="44"/>
      <c r="AU9" s="45" t="s">
        <v>155</v>
      </c>
      <c r="AV9" s="39" t="s">
        <v>0</v>
      </c>
      <c r="AW9" s="39">
        <v>6</v>
      </c>
      <c r="AX9" s="39" t="s">
        <v>152</v>
      </c>
      <c r="AY9" s="27">
        <v>6</v>
      </c>
      <c r="AZ9" s="39" t="s">
        <v>2</v>
      </c>
      <c r="BA9" s="41" t="s">
        <v>183</v>
      </c>
      <c r="BB9" s="27"/>
      <c r="BC9" s="44"/>
      <c r="BD9" s="45" t="s">
        <v>155</v>
      </c>
      <c r="BE9" s="39" t="s">
        <v>0</v>
      </c>
      <c r="BF9" s="39">
        <v>6</v>
      </c>
      <c r="BG9" s="39" t="s">
        <v>152</v>
      </c>
      <c r="BH9" s="27">
        <v>6</v>
      </c>
      <c r="BI9" s="39">
        <v>2017</v>
      </c>
      <c r="BJ9" s="41" t="s">
        <v>184</v>
      </c>
      <c r="BK9" s="27"/>
      <c r="BL9" s="44"/>
      <c r="BM9" s="45" t="s">
        <v>155</v>
      </c>
      <c r="BN9" s="39" t="s">
        <v>0</v>
      </c>
      <c r="BO9" s="39">
        <v>6</v>
      </c>
      <c r="BP9" s="39" t="s">
        <v>152</v>
      </c>
      <c r="BQ9" s="27">
        <v>6</v>
      </c>
      <c r="BR9" s="10" t="s">
        <v>5</v>
      </c>
      <c r="BS9" s="43" t="s">
        <v>162</v>
      </c>
      <c r="BT9" s="27"/>
      <c r="BU9" s="44"/>
      <c r="BV9" s="45" t="s">
        <v>155</v>
      </c>
      <c r="BW9" s="39" t="s">
        <v>0</v>
      </c>
      <c r="BX9" s="39">
        <v>6</v>
      </c>
      <c r="BY9" s="39" t="s">
        <v>152</v>
      </c>
      <c r="BZ9" s="27">
        <v>6</v>
      </c>
      <c r="CA9" s="39">
        <v>1029</v>
      </c>
      <c r="CB9" s="41" t="s">
        <v>180</v>
      </c>
      <c r="CC9" s="27"/>
      <c r="CD9" s="44"/>
      <c r="CE9" s="45" t="s">
        <v>155</v>
      </c>
      <c r="CF9" s="39" t="s">
        <v>0</v>
      </c>
      <c r="CG9" s="39">
        <v>6</v>
      </c>
      <c r="CH9" s="39" t="s">
        <v>152</v>
      </c>
      <c r="CI9" s="27">
        <v>6</v>
      </c>
      <c r="CJ9" s="39">
        <v>1038</v>
      </c>
      <c r="CK9" s="41" t="s">
        <v>163</v>
      </c>
    </row>
    <row r="10" spans="1:89" x14ac:dyDescent="0.25">
      <c r="A10" s="42"/>
      <c r="B10" s="34" t="s">
        <v>151</v>
      </c>
      <c r="C10" s="10" t="s">
        <v>0</v>
      </c>
      <c r="D10" s="10">
        <v>7</v>
      </c>
      <c r="E10" s="10" t="s">
        <v>152</v>
      </c>
      <c r="F10">
        <v>7</v>
      </c>
      <c r="G10" s="10" t="s">
        <v>153</v>
      </c>
      <c r="H10" s="43" t="s">
        <v>157</v>
      </c>
      <c r="J10" s="42"/>
      <c r="K10" s="34" t="s">
        <v>155</v>
      </c>
      <c r="L10" s="10" t="s">
        <v>0</v>
      </c>
      <c r="M10" s="10">
        <v>7</v>
      </c>
      <c r="N10" s="10" t="s">
        <v>152</v>
      </c>
      <c r="O10">
        <v>7</v>
      </c>
      <c r="P10" s="10" t="s">
        <v>179</v>
      </c>
      <c r="Q10" s="43" t="s">
        <v>159</v>
      </c>
      <c r="S10" s="42"/>
      <c r="T10" s="34" t="s">
        <v>155</v>
      </c>
      <c r="U10" s="10" t="s">
        <v>0</v>
      </c>
      <c r="V10" s="10">
        <v>7</v>
      </c>
      <c r="W10" s="10" t="s">
        <v>152</v>
      </c>
      <c r="X10">
        <v>7</v>
      </c>
      <c r="Y10" s="10" t="s">
        <v>185</v>
      </c>
      <c r="Z10" s="43" t="s">
        <v>154</v>
      </c>
      <c r="AB10" s="42"/>
      <c r="AC10" s="34" t="s">
        <v>155</v>
      </c>
      <c r="AD10" s="10" t="s">
        <v>0</v>
      </c>
      <c r="AE10" s="10">
        <v>7</v>
      </c>
      <c r="AF10" s="10" t="s">
        <v>152</v>
      </c>
      <c r="AG10">
        <v>7</v>
      </c>
      <c r="AH10" s="10"/>
      <c r="AI10" s="43"/>
      <c r="AK10" s="44"/>
      <c r="AL10" s="45" t="s">
        <v>155</v>
      </c>
      <c r="AM10" s="39" t="s">
        <v>0</v>
      </c>
      <c r="AN10" s="39">
        <v>7</v>
      </c>
      <c r="AO10" s="39" t="s">
        <v>152</v>
      </c>
      <c r="AP10" s="27">
        <v>7</v>
      </c>
      <c r="AQ10" s="39" t="s">
        <v>1</v>
      </c>
      <c r="AR10" s="41" t="s">
        <v>170</v>
      </c>
      <c r="AS10" s="27"/>
      <c r="AT10" s="44"/>
      <c r="AU10" s="45" t="s">
        <v>155</v>
      </c>
      <c r="AV10" s="39" t="s">
        <v>0</v>
      </c>
      <c r="AW10" s="39">
        <v>7</v>
      </c>
      <c r="AX10" s="39" t="s">
        <v>152</v>
      </c>
      <c r="AY10" s="27">
        <v>7</v>
      </c>
      <c r="AZ10" s="39" t="s">
        <v>2</v>
      </c>
      <c r="BA10" s="41" t="s">
        <v>186</v>
      </c>
      <c r="BB10" s="27"/>
      <c r="BC10" s="44"/>
      <c r="BD10" s="45" t="s">
        <v>155</v>
      </c>
      <c r="BE10" s="39" t="s">
        <v>0</v>
      </c>
      <c r="BF10" s="39">
        <v>7</v>
      </c>
      <c r="BG10" s="39" t="s">
        <v>152</v>
      </c>
      <c r="BH10" s="27">
        <v>7</v>
      </c>
      <c r="BI10" s="39">
        <v>2017</v>
      </c>
      <c r="BJ10" s="41" t="s">
        <v>187</v>
      </c>
      <c r="BK10" s="27"/>
      <c r="BL10" s="44"/>
      <c r="BM10" s="45" t="s">
        <v>155</v>
      </c>
      <c r="BN10" s="39" t="s">
        <v>0</v>
      </c>
      <c r="BO10" s="39">
        <v>7</v>
      </c>
      <c r="BP10" s="39" t="s">
        <v>152</v>
      </c>
      <c r="BQ10" s="27">
        <v>7</v>
      </c>
      <c r="BR10" s="10" t="s">
        <v>5</v>
      </c>
      <c r="BS10" s="43" t="s">
        <v>170</v>
      </c>
      <c r="BT10" s="27"/>
      <c r="BU10" s="44"/>
      <c r="BV10" s="45" t="s">
        <v>155</v>
      </c>
      <c r="BW10" s="39" t="s">
        <v>0</v>
      </c>
      <c r="BX10" s="39">
        <v>7</v>
      </c>
      <c r="BY10" s="39" t="s">
        <v>152</v>
      </c>
      <c r="BZ10" s="27">
        <v>7</v>
      </c>
      <c r="CA10" s="39">
        <v>1029</v>
      </c>
      <c r="CB10" s="41" t="s">
        <v>181</v>
      </c>
      <c r="CC10" s="27"/>
      <c r="CD10" s="44"/>
      <c r="CE10" s="45" t="s">
        <v>155</v>
      </c>
      <c r="CF10" s="39" t="s">
        <v>0</v>
      </c>
      <c r="CG10" s="39">
        <v>7</v>
      </c>
      <c r="CH10" s="39" t="s">
        <v>152</v>
      </c>
      <c r="CI10" s="27">
        <v>7</v>
      </c>
      <c r="CJ10" s="39">
        <v>1038</v>
      </c>
      <c r="CK10" s="41" t="s">
        <v>171</v>
      </c>
    </row>
    <row r="11" spans="1:89" ht="15.75" thickBot="1" x14ac:dyDescent="0.3">
      <c r="A11" s="42"/>
      <c r="B11" s="34" t="s">
        <v>151</v>
      </c>
      <c r="C11" s="10" t="s">
        <v>0</v>
      </c>
      <c r="D11" s="10">
        <v>8</v>
      </c>
      <c r="E11" s="10" t="s">
        <v>152</v>
      </c>
      <c r="F11">
        <v>8</v>
      </c>
      <c r="G11" s="10" t="s">
        <v>153</v>
      </c>
      <c r="H11" s="43" t="s">
        <v>166</v>
      </c>
      <c r="J11" s="42"/>
      <c r="K11" s="34" t="s">
        <v>155</v>
      </c>
      <c r="L11" s="10" t="s">
        <v>0</v>
      </c>
      <c r="M11" s="10">
        <v>8</v>
      </c>
      <c r="N11" s="10" t="s">
        <v>152</v>
      </c>
      <c r="O11">
        <v>8</v>
      </c>
      <c r="P11" s="10" t="s">
        <v>179</v>
      </c>
      <c r="Q11" s="43" t="s">
        <v>167</v>
      </c>
      <c r="S11" s="42"/>
      <c r="T11" s="34" t="s">
        <v>155</v>
      </c>
      <c r="U11" s="10" t="s">
        <v>0</v>
      </c>
      <c r="V11" s="10">
        <v>8</v>
      </c>
      <c r="W11" s="10" t="s">
        <v>152</v>
      </c>
      <c r="X11">
        <v>8</v>
      </c>
      <c r="Y11" s="10" t="s">
        <v>185</v>
      </c>
      <c r="Z11" s="43" t="s">
        <v>165</v>
      </c>
      <c r="AB11" s="42"/>
      <c r="AC11" s="34" t="s">
        <v>155</v>
      </c>
      <c r="AD11" s="10" t="s">
        <v>0</v>
      </c>
      <c r="AE11" s="10">
        <v>8</v>
      </c>
      <c r="AF11" s="10" t="s">
        <v>152</v>
      </c>
      <c r="AG11">
        <v>8</v>
      </c>
      <c r="AH11" s="10"/>
      <c r="AI11" s="43"/>
      <c r="AK11" s="44"/>
      <c r="AL11" s="45" t="s">
        <v>155</v>
      </c>
      <c r="AM11" s="39" t="s">
        <v>0</v>
      </c>
      <c r="AN11" s="39">
        <v>8</v>
      </c>
      <c r="AO11" s="39" t="s">
        <v>152</v>
      </c>
      <c r="AP11" s="27">
        <v>8</v>
      </c>
      <c r="AQ11" s="39" t="s">
        <v>1</v>
      </c>
      <c r="AR11" s="41" t="s">
        <v>178</v>
      </c>
      <c r="AS11" s="27"/>
      <c r="AT11" s="44"/>
      <c r="AU11" s="45" t="s">
        <v>155</v>
      </c>
      <c r="AV11" s="39" t="s">
        <v>0</v>
      </c>
      <c r="AW11" s="39">
        <v>8</v>
      </c>
      <c r="AX11" s="39" t="s">
        <v>152</v>
      </c>
      <c r="AY11" s="27">
        <v>8</v>
      </c>
      <c r="AZ11" s="39" t="s">
        <v>2</v>
      </c>
      <c r="BA11" s="41" t="s">
        <v>188</v>
      </c>
      <c r="BB11" s="27"/>
      <c r="BC11" s="44"/>
      <c r="BD11" s="45" t="s">
        <v>155</v>
      </c>
      <c r="BE11" s="39" t="s">
        <v>0</v>
      </c>
      <c r="BF11" s="39">
        <v>8</v>
      </c>
      <c r="BG11" s="39" t="s">
        <v>152</v>
      </c>
      <c r="BH11" s="27">
        <v>8</v>
      </c>
      <c r="BI11" s="39">
        <v>2017</v>
      </c>
      <c r="BJ11" s="41" t="s">
        <v>189</v>
      </c>
      <c r="BK11" s="27"/>
      <c r="BL11" s="44"/>
      <c r="BM11" s="45" t="s">
        <v>155</v>
      </c>
      <c r="BN11" s="39" t="s">
        <v>0</v>
      </c>
      <c r="BO11" s="39">
        <v>8</v>
      </c>
      <c r="BP11" s="39" t="s">
        <v>152</v>
      </c>
      <c r="BQ11" s="27">
        <v>8</v>
      </c>
      <c r="BR11" s="10" t="s">
        <v>5</v>
      </c>
      <c r="BS11" s="43" t="s">
        <v>178</v>
      </c>
      <c r="BT11" s="27"/>
      <c r="BU11" s="44"/>
      <c r="BV11" s="45" t="s">
        <v>155</v>
      </c>
      <c r="BW11" s="39" t="s">
        <v>0</v>
      </c>
      <c r="BX11" s="39">
        <v>8</v>
      </c>
      <c r="BY11" s="39" t="s">
        <v>152</v>
      </c>
      <c r="BZ11" s="27">
        <v>8</v>
      </c>
      <c r="CA11" s="39">
        <v>1029</v>
      </c>
      <c r="CB11" s="41" t="s">
        <v>183</v>
      </c>
      <c r="CC11" s="27"/>
      <c r="CD11" s="44"/>
      <c r="CE11" s="45" t="s">
        <v>155</v>
      </c>
      <c r="CF11" s="39" t="s">
        <v>0</v>
      </c>
      <c r="CG11" s="39">
        <v>8</v>
      </c>
      <c r="CH11" s="39" t="s">
        <v>152</v>
      </c>
      <c r="CI11" s="27">
        <v>8</v>
      </c>
      <c r="CJ11" s="39">
        <v>1038</v>
      </c>
      <c r="CK11" s="41" t="s">
        <v>161</v>
      </c>
    </row>
    <row r="12" spans="1:89" x14ac:dyDescent="0.25">
      <c r="A12" s="42"/>
      <c r="B12" s="34" t="s">
        <v>151</v>
      </c>
      <c r="C12" s="10" t="s">
        <v>0</v>
      </c>
      <c r="D12" s="10">
        <v>9</v>
      </c>
      <c r="E12" s="10" t="s">
        <v>152</v>
      </c>
      <c r="F12">
        <v>9</v>
      </c>
      <c r="G12" s="10" t="s">
        <v>153</v>
      </c>
      <c r="H12" s="43" t="s">
        <v>174</v>
      </c>
      <c r="J12" s="42"/>
      <c r="K12" s="34" t="s">
        <v>155</v>
      </c>
      <c r="L12" s="10" t="s">
        <v>0</v>
      </c>
      <c r="M12" s="10">
        <v>9</v>
      </c>
      <c r="N12" s="10" t="s">
        <v>152</v>
      </c>
      <c r="O12">
        <v>9</v>
      </c>
      <c r="P12" s="10" t="s">
        <v>179</v>
      </c>
      <c r="Q12" s="43" t="s">
        <v>175</v>
      </c>
      <c r="S12" s="42"/>
      <c r="T12" s="34" t="s">
        <v>155</v>
      </c>
      <c r="U12" s="10" t="s">
        <v>0</v>
      </c>
      <c r="V12" s="10">
        <v>9</v>
      </c>
      <c r="W12" s="10" t="s">
        <v>152</v>
      </c>
      <c r="X12">
        <v>9</v>
      </c>
      <c r="Y12" s="10" t="s">
        <v>185</v>
      </c>
      <c r="Z12" s="43" t="s">
        <v>173</v>
      </c>
      <c r="AB12" s="42"/>
      <c r="AC12" s="34" t="s">
        <v>155</v>
      </c>
      <c r="AD12" s="10" t="s">
        <v>0</v>
      </c>
      <c r="AE12" s="10">
        <v>9</v>
      </c>
      <c r="AF12" s="10" t="s">
        <v>152</v>
      </c>
      <c r="AG12">
        <v>9</v>
      </c>
      <c r="AH12" s="10"/>
      <c r="AI12" s="43"/>
      <c r="AK12" s="44"/>
      <c r="AL12" s="45" t="s">
        <v>155</v>
      </c>
      <c r="AM12" s="39" t="s">
        <v>0</v>
      </c>
      <c r="AN12" s="39">
        <v>9</v>
      </c>
      <c r="AO12" s="39" t="s">
        <v>152</v>
      </c>
      <c r="AP12" s="27">
        <v>9</v>
      </c>
      <c r="AQ12" s="39" t="s">
        <v>1</v>
      </c>
      <c r="AR12" s="41" t="s">
        <v>163</v>
      </c>
      <c r="AS12" s="27"/>
      <c r="AT12" s="44"/>
      <c r="AU12" s="45" t="s">
        <v>155</v>
      </c>
      <c r="AV12" s="39" t="s">
        <v>0</v>
      </c>
      <c r="AW12" s="39">
        <v>9</v>
      </c>
      <c r="AX12" s="39" t="s">
        <v>152</v>
      </c>
      <c r="AY12" s="27">
        <v>9</v>
      </c>
      <c r="AZ12" s="39" t="s">
        <v>2</v>
      </c>
      <c r="BA12" s="41" t="s">
        <v>182</v>
      </c>
      <c r="BB12" s="27"/>
      <c r="BC12" s="44"/>
      <c r="BD12" s="45" t="s">
        <v>155</v>
      </c>
      <c r="BE12" s="39" t="s">
        <v>0</v>
      </c>
      <c r="BF12" s="39">
        <v>9</v>
      </c>
      <c r="BG12" s="39" t="s">
        <v>152</v>
      </c>
      <c r="BH12" s="27">
        <v>9</v>
      </c>
      <c r="BI12" s="39">
        <v>2018</v>
      </c>
      <c r="BJ12" s="40" t="s">
        <v>160</v>
      </c>
      <c r="BK12" s="27"/>
      <c r="BL12" s="44"/>
      <c r="BM12" s="45" t="s">
        <v>155</v>
      </c>
      <c r="BN12" s="39" t="s">
        <v>0</v>
      </c>
      <c r="BO12" s="39">
        <v>9</v>
      </c>
      <c r="BP12" s="39" t="s">
        <v>152</v>
      </c>
      <c r="BQ12" s="27">
        <v>9</v>
      </c>
      <c r="BR12" s="10" t="s">
        <v>5</v>
      </c>
      <c r="BS12" s="43" t="s">
        <v>163</v>
      </c>
      <c r="BT12" s="27"/>
      <c r="BU12" s="44"/>
      <c r="BV12" s="45" t="s">
        <v>155</v>
      </c>
      <c r="BW12" s="39" t="s">
        <v>0</v>
      </c>
      <c r="BX12" s="39">
        <v>9</v>
      </c>
      <c r="BY12" s="39" t="s">
        <v>152</v>
      </c>
      <c r="BZ12" s="27">
        <v>9</v>
      </c>
      <c r="CA12" s="39">
        <v>1029</v>
      </c>
      <c r="CB12" s="41" t="s">
        <v>186</v>
      </c>
      <c r="CC12" s="27"/>
      <c r="CD12" s="44"/>
      <c r="CE12" s="45" t="s">
        <v>155</v>
      </c>
      <c r="CF12" s="39" t="s">
        <v>0</v>
      </c>
      <c r="CG12" s="39">
        <v>9</v>
      </c>
      <c r="CH12" s="39" t="s">
        <v>152</v>
      </c>
      <c r="CI12" s="27">
        <v>9</v>
      </c>
      <c r="CJ12" s="39">
        <v>1038</v>
      </c>
      <c r="CK12" s="46" t="s">
        <v>169</v>
      </c>
    </row>
    <row r="13" spans="1:89" x14ac:dyDescent="0.25">
      <c r="A13" s="42"/>
      <c r="B13" s="34" t="s">
        <v>151</v>
      </c>
      <c r="C13" s="10" t="s">
        <v>0</v>
      </c>
      <c r="D13" s="10">
        <v>10</v>
      </c>
      <c r="E13" s="10" t="s">
        <v>152</v>
      </c>
      <c r="F13">
        <v>10</v>
      </c>
      <c r="G13" s="10" t="s">
        <v>190</v>
      </c>
      <c r="H13" s="43" t="s">
        <v>154</v>
      </c>
      <c r="J13" s="42"/>
      <c r="K13" s="34" t="s">
        <v>155</v>
      </c>
      <c r="L13" s="10" t="s">
        <v>0</v>
      </c>
      <c r="M13" s="10">
        <v>10</v>
      </c>
      <c r="N13" s="10" t="s">
        <v>152</v>
      </c>
      <c r="O13">
        <v>10</v>
      </c>
      <c r="P13" s="10" t="s">
        <v>179</v>
      </c>
      <c r="Q13" s="43" t="s">
        <v>157</v>
      </c>
      <c r="S13" s="42"/>
      <c r="T13" s="34" t="s">
        <v>155</v>
      </c>
      <c r="U13" s="10" t="s">
        <v>0</v>
      </c>
      <c r="V13" s="10">
        <v>10</v>
      </c>
      <c r="W13" s="10" t="s">
        <v>152</v>
      </c>
      <c r="X13">
        <v>10</v>
      </c>
      <c r="Y13" s="10" t="s">
        <v>185</v>
      </c>
      <c r="Z13" s="43" t="s">
        <v>159</v>
      </c>
      <c r="AB13" s="42"/>
      <c r="AC13" s="34" t="s">
        <v>155</v>
      </c>
      <c r="AD13" s="10" t="s">
        <v>0</v>
      </c>
      <c r="AE13" s="10">
        <v>10</v>
      </c>
      <c r="AF13" s="10" t="s">
        <v>152</v>
      </c>
      <c r="AG13">
        <v>10</v>
      </c>
      <c r="AH13" s="10"/>
      <c r="AI13" s="43"/>
      <c r="AK13" s="44"/>
      <c r="AL13" s="45" t="s">
        <v>155</v>
      </c>
      <c r="AM13" s="39" t="s">
        <v>0</v>
      </c>
      <c r="AN13" s="39">
        <v>10</v>
      </c>
      <c r="AO13" s="39" t="s">
        <v>152</v>
      </c>
      <c r="AP13" s="27">
        <v>10</v>
      </c>
      <c r="AQ13" s="39" t="s">
        <v>1</v>
      </c>
      <c r="AR13" s="41" t="s">
        <v>171</v>
      </c>
      <c r="AS13" s="27"/>
      <c r="AT13" s="44"/>
      <c r="AU13" s="45" t="s">
        <v>155</v>
      </c>
      <c r="AV13" s="39" t="s">
        <v>0</v>
      </c>
      <c r="AW13" s="39">
        <v>10</v>
      </c>
      <c r="AX13" s="39" t="s">
        <v>152</v>
      </c>
      <c r="AY13" s="27">
        <v>10</v>
      </c>
      <c r="AZ13" s="39" t="s">
        <v>2</v>
      </c>
      <c r="BA13" s="41" t="s">
        <v>184</v>
      </c>
      <c r="BB13" s="27"/>
      <c r="BC13" s="44"/>
      <c r="BD13" s="45" t="s">
        <v>155</v>
      </c>
      <c r="BE13" s="39" t="s">
        <v>0</v>
      </c>
      <c r="BF13" s="39">
        <v>10</v>
      </c>
      <c r="BG13" s="39" t="s">
        <v>152</v>
      </c>
      <c r="BH13" s="27">
        <v>10</v>
      </c>
      <c r="BI13" s="39">
        <v>2018</v>
      </c>
      <c r="BJ13" s="41" t="s">
        <v>168</v>
      </c>
      <c r="BK13" s="27"/>
      <c r="BL13" s="44"/>
      <c r="BM13" s="45" t="s">
        <v>155</v>
      </c>
      <c r="BN13" s="39" t="s">
        <v>0</v>
      </c>
      <c r="BO13" s="39">
        <v>10</v>
      </c>
      <c r="BP13" s="39" t="s">
        <v>152</v>
      </c>
      <c r="BQ13" s="27">
        <v>10</v>
      </c>
      <c r="BR13" s="39" t="s">
        <v>5</v>
      </c>
      <c r="BS13" s="41" t="s">
        <v>171</v>
      </c>
      <c r="BT13" s="27">
        <v>6</v>
      </c>
      <c r="BU13" s="44"/>
      <c r="BV13" s="45" t="s">
        <v>155</v>
      </c>
      <c r="BW13" s="39" t="s">
        <v>0</v>
      </c>
      <c r="BX13" s="39">
        <v>10</v>
      </c>
      <c r="BY13" s="39" t="s">
        <v>152</v>
      </c>
      <c r="BZ13" s="27">
        <v>10</v>
      </c>
      <c r="CA13" s="39">
        <v>1029</v>
      </c>
      <c r="CB13" s="41" t="s">
        <v>188</v>
      </c>
      <c r="CC13" s="27"/>
      <c r="CD13" s="44"/>
      <c r="CE13" s="45" t="s">
        <v>155</v>
      </c>
      <c r="CF13" s="39" t="s">
        <v>0</v>
      </c>
      <c r="CG13" s="39">
        <v>10</v>
      </c>
      <c r="CH13" s="39" t="s">
        <v>152</v>
      </c>
      <c r="CI13" s="27">
        <v>10</v>
      </c>
      <c r="CJ13" s="39">
        <v>1038</v>
      </c>
      <c r="CK13" s="41" t="s">
        <v>177</v>
      </c>
    </row>
    <row r="14" spans="1:89" x14ac:dyDescent="0.25">
      <c r="A14" s="42"/>
      <c r="B14" s="34" t="s">
        <v>151</v>
      </c>
      <c r="C14" s="10" t="s">
        <v>0</v>
      </c>
      <c r="D14" s="10">
        <v>11</v>
      </c>
      <c r="E14" s="10" t="s">
        <v>152</v>
      </c>
      <c r="F14">
        <v>11</v>
      </c>
      <c r="G14" s="10" t="s">
        <v>190</v>
      </c>
      <c r="H14" s="43" t="s">
        <v>165</v>
      </c>
      <c r="J14" s="42"/>
      <c r="K14" s="34" t="s">
        <v>155</v>
      </c>
      <c r="L14" s="10" t="s">
        <v>0</v>
      </c>
      <c r="M14" s="10">
        <v>11</v>
      </c>
      <c r="N14" s="10" t="s">
        <v>152</v>
      </c>
      <c r="O14">
        <v>11</v>
      </c>
      <c r="P14" s="10" t="s">
        <v>179</v>
      </c>
      <c r="Q14" s="43" t="s">
        <v>166</v>
      </c>
      <c r="S14" s="42"/>
      <c r="T14" s="34" t="s">
        <v>155</v>
      </c>
      <c r="U14" s="10" t="s">
        <v>0</v>
      </c>
      <c r="V14" s="10">
        <v>11</v>
      </c>
      <c r="W14" s="10" t="s">
        <v>152</v>
      </c>
      <c r="X14">
        <v>11</v>
      </c>
      <c r="Y14" s="10" t="s">
        <v>185</v>
      </c>
      <c r="Z14" s="43" t="s">
        <v>167</v>
      </c>
      <c r="AB14" s="42"/>
      <c r="AC14" s="34" t="s">
        <v>155</v>
      </c>
      <c r="AD14" s="10" t="s">
        <v>0</v>
      </c>
      <c r="AE14" s="10">
        <v>11</v>
      </c>
      <c r="AF14" s="10" t="s">
        <v>152</v>
      </c>
      <c r="AG14">
        <v>11</v>
      </c>
      <c r="AH14" s="10"/>
      <c r="AI14" s="43"/>
      <c r="AK14" s="44"/>
      <c r="AL14" s="45" t="s">
        <v>155</v>
      </c>
      <c r="AM14" s="39" t="s">
        <v>0</v>
      </c>
      <c r="AN14" s="39">
        <v>11</v>
      </c>
      <c r="AO14" s="39" t="s">
        <v>152</v>
      </c>
      <c r="AP14" s="27">
        <v>11</v>
      </c>
      <c r="AQ14" s="39" t="s">
        <v>1</v>
      </c>
      <c r="AR14" s="41" t="s">
        <v>161</v>
      </c>
      <c r="AS14" s="27"/>
      <c r="AT14" s="44"/>
      <c r="AU14" s="45" t="s">
        <v>155</v>
      </c>
      <c r="AV14" s="39" t="s">
        <v>0</v>
      </c>
      <c r="AW14" s="39">
        <v>11</v>
      </c>
      <c r="AX14" s="39" t="s">
        <v>152</v>
      </c>
      <c r="AY14" s="27">
        <v>11</v>
      </c>
      <c r="AZ14" s="39" t="s">
        <v>2</v>
      </c>
      <c r="BA14" s="41" t="s">
        <v>187</v>
      </c>
      <c r="BB14" s="27"/>
      <c r="BC14" s="44"/>
      <c r="BD14" s="45" t="s">
        <v>155</v>
      </c>
      <c r="BE14" s="39" t="s">
        <v>0</v>
      </c>
      <c r="BF14" s="39">
        <v>11</v>
      </c>
      <c r="BG14" s="39" t="s">
        <v>152</v>
      </c>
      <c r="BH14" s="27">
        <v>11</v>
      </c>
      <c r="BI14" s="39">
        <v>2018</v>
      </c>
      <c r="BJ14" s="41" t="s">
        <v>176</v>
      </c>
      <c r="BK14" s="27"/>
      <c r="BL14" s="44"/>
      <c r="BM14" s="45" t="s">
        <v>155</v>
      </c>
      <c r="BN14" s="39" t="s">
        <v>0</v>
      </c>
      <c r="BO14" s="39">
        <v>11</v>
      </c>
      <c r="BP14" s="39" t="s">
        <v>152</v>
      </c>
      <c r="BQ14" s="27">
        <v>11</v>
      </c>
      <c r="BR14" s="39" t="s">
        <v>5</v>
      </c>
      <c r="BS14" s="41" t="s">
        <v>161</v>
      </c>
      <c r="BT14" s="27">
        <v>7</v>
      </c>
      <c r="BU14" s="44"/>
      <c r="BV14" s="45" t="s">
        <v>155</v>
      </c>
      <c r="BW14" s="39" t="s">
        <v>0</v>
      </c>
      <c r="BX14" s="39">
        <v>11</v>
      </c>
      <c r="BY14" s="39" t="s">
        <v>152</v>
      </c>
      <c r="BZ14" s="27">
        <v>11</v>
      </c>
      <c r="CA14" s="39">
        <v>1029</v>
      </c>
      <c r="CB14" s="41" t="s">
        <v>182</v>
      </c>
      <c r="CC14" s="27"/>
      <c r="CD14" s="44"/>
      <c r="CE14" s="45" t="s">
        <v>155</v>
      </c>
      <c r="CF14" s="39" t="s">
        <v>0</v>
      </c>
      <c r="CG14" s="39">
        <v>11</v>
      </c>
      <c r="CH14" s="39" t="s">
        <v>152</v>
      </c>
      <c r="CI14" s="27">
        <v>11</v>
      </c>
      <c r="CJ14" s="39">
        <v>1038</v>
      </c>
      <c r="CK14" s="41" t="s">
        <v>180</v>
      </c>
    </row>
    <row r="15" spans="1:89" ht="15.75" thickBot="1" x14ac:dyDescent="0.3">
      <c r="A15" s="47"/>
      <c r="B15" s="48" t="s">
        <v>151</v>
      </c>
      <c r="C15" s="49" t="s">
        <v>0</v>
      </c>
      <c r="D15" s="49">
        <v>12</v>
      </c>
      <c r="E15" s="49" t="s">
        <v>152</v>
      </c>
      <c r="F15" s="50">
        <v>12</v>
      </c>
      <c r="G15" s="49" t="s">
        <v>190</v>
      </c>
      <c r="H15" s="51" t="s">
        <v>173</v>
      </c>
      <c r="J15" s="47"/>
      <c r="K15" s="48" t="s">
        <v>155</v>
      </c>
      <c r="L15" s="49" t="s">
        <v>0</v>
      </c>
      <c r="M15" s="49">
        <v>12</v>
      </c>
      <c r="N15" s="49" t="s">
        <v>152</v>
      </c>
      <c r="O15" s="50">
        <v>12</v>
      </c>
      <c r="P15" s="49" t="s">
        <v>179</v>
      </c>
      <c r="Q15" s="51" t="s">
        <v>174</v>
      </c>
      <c r="S15" s="47"/>
      <c r="T15" s="48" t="s">
        <v>155</v>
      </c>
      <c r="U15" s="49" t="s">
        <v>0</v>
      </c>
      <c r="V15" s="49">
        <v>12</v>
      </c>
      <c r="W15" s="49" t="s">
        <v>152</v>
      </c>
      <c r="X15" s="50">
        <v>12</v>
      </c>
      <c r="Y15" s="49" t="s">
        <v>185</v>
      </c>
      <c r="Z15" s="51" t="s">
        <v>175</v>
      </c>
      <c r="AB15" s="47"/>
      <c r="AC15" s="48" t="s">
        <v>155</v>
      </c>
      <c r="AD15" s="49" t="s">
        <v>0</v>
      </c>
      <c r="AE15" s="49">
        <v>12</v>
      </c>
      <c r="AF15" s="49" t="s">
        <v>152</v>
      </c>
      <c r="AG15" s="50">
        <v>12</v>
      </c>
      <c r="AH15" s="49"/>
      <c r="AI15" s="51"/>
      <c r="AK15" s="52"/>
      <c r="AL15" s="53" t="s">
        <v>155</v>
      </c>
      <c r="AM15" s="54" t="s">
        <v>0</v>
      </c>
      <c r="AN15" s="54">
        <v>12</v>
      </c>
      <c r="AO15" s="54" t="s">
        <v>152</v>
      </c>
      <c r="AP15" s="55">
        <v>12</v>
      </c>
      <c r="AQ15" s="39" t="s">
        <v>1</v>
      </c>
      <c r="AR15" s="46" t="s">
        <v>169</v>
      </c>
      <c r="AS15" s="27"/>
      <c r="AT15" s="52"/>
      <c r="AU15" s="53" t="s">
        <v>155</v>
      </c>
      <c r="AV15" s="54" t="s">
        <v>0</v>
      </c>
      <c r="AW15" s="54">
        <v>12</v>
      </c>
      <c r="AX15" s="54" t="s">
        <v>152</v>
      </c>
      <c r="AY15" s="55">
        <v>12</v>
      </c>
      <c r="AZ15" s="39" t="s">
        <v>2</v>
      </c>
      <c r="BA15" s="41" t="s">
        <v>189</v>
      </c>
      <c r="BB15" s="27"/>
      <c r="BC15" s="52"/>
      <c r="BD15" s="53" t="s">
        <v>155</v>
      </c>
      <c r="BE15" s="54" t="s">
        <v>0</v>
      </c>
      <c r="BF15" s="54">
        <v>12</v>
      </c>
      <c r="BG15" s="54" t="s">
        <v>152</v>
      </c>
      <c r="BH15" s="55">
        <v>12</v>
      </c>
      <c r="BI15" s="39">
        <v>2018</v>
      </c>
      <c r="BJ15" s="41" t="s">
        <v>164</v>
      </c>
      <c r="BK15" s="27"/>
      <c r="BL15" s="52"/>
      <c r="BM15" s="53" t="s">
        <v>155</v>
      </c>
      <c r="BN15" s="54" t="s">
        <v>0</v>
      </c>
      <c r="BO15" s="54">
        <v>12</v>
      </c>
      <c r="BP15" s="54" t="s">
        <v>152</v>
      </c>
      <c r="BQ15" s="55">
        <v>12</v>
      </c>
      <c r="BR15" s="39" t="s">
        <v>5</v>
      </c>
      <c r="BS15" s="46" t="s">
        <v>169</v>
      </c>
      <c r="BT15" s="27">
        <v>8</v>
      </c>
      <c r="BU15" s="52"/>
      <c r="BV15" s="53" t="s">
        <v>155</v>
      </c>
      <c r="BW15" s="54" t="s">
        <v>0</v>
      </c>
      <c r="BX15" s="54">
        <v>12</v>
      </c>
      <c r="BY15" s="54" t="s">
        <v>152</v>
      </c>
      <c r="BZ15" s="55">
        <v>12</v>
      </c>
      <c r="CA15" s="39">
        <v>1029</v>
      </c>
      <c r="CB15" s="41" t="s">
        <v>184</v>
      </c>
      <c r="CC15" s="27"/>
      <c r="CD15" s="52"/>
      <c r="CE15" s="53" t="s">
        <v>155</v>
      </c>
      <c r="CF15" s="54" t="s">
        <v>0</v>
      </c>
      <c r="CG15" s="54">
        <v>12</v>
      </c>
      <c r="CH15" s="54" t="s">
        <v>152</v>
      </c>
      <c r="CI15" s="55">
        <v>12</v>
      </c>
      <c r="CJ15" s="39">
        <v>1038</v>
      </c>
      <c r="CK15" s="41" t="s">
        <v>181</v>
      </c>
    </row>
    <row r="16" spans="1:89" x14ac:dyDescent="0.25">
      <c r="A16" s="56"/>
      <c r="B16" s="57" t="s">
        <v>151</v>
      </c>
      <c r="C16" s="58" t="s">
        <v>9</v>
      </c>
      <c r="D16" s="58">
        <v>1</v>
      </c>
      <c r="E16" s="58" t="s">
        <v>152</v>
      </c>
      <c r="F16" s="59">
        <v>13</v>
      </c>
      <c r="G16" s="10" t="s">
        <v>190</v>
      </c>
      <c r="H16" s="43" t="s">
        <v>159</v>
      </c>
      <c r="J16" s="56"/>
      <c r="K16" s="31" t="s">
        <v>155</v>
      </c>
      <c r="L16" s="58" t="s">
        <v>9</v>
      </c>
      <c r="M16" s="58">
        <v>1</v>
      </c>
      <c r="N16" s="58" t="s">
        <v>152</v>
      </c>
      <c r="O16" s="59">
        <v>13</v>
      </c>
      <c r="P16" s="10" t="s">
        <v>191</v>
      </c>
      <c r="Q16" s="43" t="s">
        <v>154</v>
      </c>
      <c r="S16" s="56"/>
      <c r="T16" s="31" t="s">
        <v>155</v>
      </c>
      <c r="U16" s="58" t="s">
        <v>9</v>
      </c>
      <c r="V16" s="58">
        <v>1</v>
      </c>
      <c r="W16" s="58" t="s">
        <v>152</v>
      </c>
      <c r="X16" s="59">
        <v>13</v>
      </c>
      <c r="Y16" s="10" t="s">
        <v>185</v>
      </c>
      <c r="Z16" s="43" t="s">
        <v>157</v>
      </c>
      <c r="AB16" s="56"/>
      <c r="AC16" s="31" t="s">
        <v>155</v>
      </c>
      <c r="AD16" s="58" t="s">
        <v>9</v>
      </c>
      <c r="AE16" s="58">
        <v>1</v>
      </c>
      <c r="AF16" s="58" t="s">
        <v>152</v>
      </c>
      <c r="AG16" s="59">
        <v>13</v>
      </c>
      <c r="AH16" s="10"/>
      <c r="AI16" s="43"/>
      <c r="AK16" s="60"/>
      <c r="AL16" s="36" t="s">
        <v>155</v>
      </c>
      <c r="AM16" s="61" t="s">
        <v>9</v>
      </c>
      <c r="AN16" s="61">
        <v>1</v>
      </c>
      <c r="AO16" s="61" t="s">
        <v>152</v>
      </c>
      <c r="AP16" s="62">
        <v>13</v>
      </c>
      <c r="AQ16" s="39" t="s">
        <v>1</v>
      </c>
      <c r="AR16" s="41" t="s">
        <v>177</v>
      </c>
      <c r="AS16" s="27"/>
      <c r="AT16" s="60"/>
      <c r="AU16" s="36" t="s">
        <v>155</v>
      </c>
      <c r="AV16" s="61" t="s">
        <v>9</v>
      </c>
      <c r="AW16" s="61">
        <v>1</v>
      </c>
      <c r="AX16" s="61" t="s">
        <v>152</v>
      </c>
      <c r="AY16" s="62">
        <v>13</v>
      </c>
      <c r="AZ16" s="39" t="s">
        <v>21</v>
      </c>
      <c r="BA16" s="40" t="s">
        <v>160</v>
      </c>
      <c r="BB16" s="27"/>
      <c r="BC16" s="60"/>
      <c r="BD16" s="36" t="s">
        <v>155</v>
      </c>
      <c r="BE16" s="61" t="s">
        <v>9</v>
      </c>
      <c r="BF16" s="61">
        <v>1</v>
      </c>
      <c r="BG16" s="61" t="s">
        <v>152</v>
      </c>
      <c r="BH16" s="62">
        <v>13</v>
      </c>
      <c r="BI16" s="39">
        <v>2018</v>
      </c>
      <c r="BJ16" s="41" t="s">
        <v>172</v>
      </c>
      <c r="BK16" s="27"/>
      <c r="BL16" s="60"/>
      <c r="BM16" s="36" t="s">
        <v>155</v>
      </c>
      <c r="BN16" s="61" t="s">
        <v>9</v>
      </c>
      <c r="BO16" s="61">
        <v>1</v>
      </c>
      <c r="BP16" s="61" t="s">
        <v>152</v>
      </c>
      <c r="BQ16" s="62">
        <v>13</v>
      </c>
      <c r="BR16" s="39" t="s">
        <v>5</v>
      </c>
      <c r="BS16" s="41" t="s">
        <v>177</v>
      </c>
      <c r="BT16" s="27">
        <v>9</v>
      </c>
      <c r="BU16" s="60"/>
      <c r="BV16" s="36" t="s">
        <v>155</v>
      </c>
      <c r="BW16" s="61" t="s">
        <v>9</v>
      </c>
      <c r="BX16" s="61">
        <v>1</v>
      </c>
      <c r="BY16" s="61" t="s">
        <v>152</v>
      </c>
      <c r="BZ16" s="62">
        <v>13</v>
      </c>
      <c r="CA16" s="39">
        <v>1029</v>
      </c>
      <c r="CB16" s="41" t="s">
        <v>187</v>
      </c>
      <c r="CC16" s="27"/>
      <c r="CD16" s="60"/>
      <c r="CE16" s="36" t="s">
        <v>155</v>
      </c>
      <c r="CF16" s="61" t="s">
        <v>9</v>
      </c>
      <c r="CG16" s="61">
        <v>1</v>
      </c>
      <c r="CH16" s="61" t="s">
        <v>152</v>
      </c>
      <c r="CI16" s="62">
        <v>13</v>
      </c>
      <c r="CJ16" s="39">
        <v>1038</v>
      </c>
      <c r="CK16" s="41" t="s">
        <v>183</v>
      </c>
    </row>
    <row r="17" spans="1:89" x14ac:dyDescent="0.25">
      <c r="A17" s="42"/>
      <c r="B17" s="34" t="s">
        <v>151</v>
      </c>
      <c r="C17" s="10" t="s">
        <v>9</v>
      </c>
      <c r="D17" s="10">
        <v>2</v>
      </c>
      <c r="E17" s="10" t="s">
        <v>152</v>
      </c>
      <c r="F17">
        <v>14</v>
      </c>
      <c r="G17" s="10" t="s">
        <v>190</v>
      </c>
      <c r="H17" s="43" t="s">
        <v>167</v>
      </c>
      <c r="J17" s="42"/>
      <c r="K17" s="34" t="s">
        <v>155</v>
      </c>
      <c r="L17" s="10" t="s">
        <v>9</v>
      </c>
      <c r="M17" s="10">
        <v>2</v>
      </c>
      <c r="N17" s="10" t="s">
        <v>152</v>
      </c>
      <c r="O17">
        <v>14</v>
      </c>
      <c r="P17" s="10" t="s">
        <v>191</v>
      </c>
      <c r="Q17" s="43" t="s">
        <v>165</v>
      </c>
      <c r="S17" s="42"/>
      <c r="T17" s="34" t="s">
        <v>155</v>
      </c>
      <c r="U17" s="10" t="s">
        <v>9</v>
      </c>
      <c r="V17" s="10">
        <v>2</v>
      </c>
      <c r="W17" s="10" t="s">
        <v>152</v>
      </c>
      <c r="X17">
        <v>14</v>
      </c>
      <c r="Y17" s="10" t="s">
        <v>185</v>
      </c>
      <c r="Z17" s="43" t="s">
        <v>166</v>
      </c>
      <c r="AB17" s="42"/>
      <c r="AC17" s="34" t="s">
        <v>155</v>
      </c>
      <c r="AD17" s="10" t="s">
        <v>9</v>
      </c>
      <c r="AE17" s="10">
        <v>2</v>
      </c>
      <c r="AF17" s="10" t="s">
        <v>152</v>
      </c>
      <c r="AG17">
        <v>14</v>
      </c>
      <c r="AH17" s="10"/>
      <c r="AI17" s="43"/>
      <c r="AK17" s="44"/>
      <c r="AL17" s="45" t="s">
        <v>155</v>
      </c>
      <c r="AM17" s="39" t="s">
        <v>9</v>
      </c>
      <c r="AN17" s="39">
        <v>2</v>
      </c>
      <c r="AO17" s="39" t="s">
        <v>152</v>
      </c>
      <c r="AP17" s="27">
        <v>14</v>
      </c>
      <c r="AQ17" s="39" t="s">
        <v>1</v>
      </c>
      <c r="AR17" s="41" t="s">
        <v>180</v>
      </c>
      <c r="AS17" s="27"/>
      <c r="AT17" s="44"/>
      <c r="AU17" s="45" t="s">
        <v>155</v>
      </c>
      <c r="AV17" s="39" t="s">
        <v>9</v>
      </c>
      <c r="AW17" s="39">
        <v>2</v>
      </c>
      <c r="AX17" s="39" t="s">
        <v>152</v>
      </c>
      <c r="AY17" s="27">
        <v>14</v>
      </c>
      <c r="AZ17" s="39" t="s">
        <v>21</v>
      </c>
      <c r="BA17" s="41" t="s">
        <v>168</v>
      </c>
      <c r="BB17" s="27"/>
      <c r="BC17" s="44"/>
      <c r="BD17" s="45" t="s">
        <v>155</v>
      </c>
      <c r="BE17" s="39" t="s">
        <v>9</v>
      </c>
      <c r="BF17" s="39">
        <v>2</v>
      </c>
      <c r="BG17" s="39" t="s">
        <v>152</v>
      </c>
      <c r="BH17" s="27">
        <v>14</v>
      </c>
      <c r="BI17" s="39">
        <v>2018</v>
      </c>
      <c r="BJ17" s="41" t="s">
        <v>162</v>
      </c>
      <c r="BK17" s="27"/>
      <c r="BL17" s="44"/>
      <c r="BM17" s="45" t="s">
        <v>155</v>
      </c>
      <c r="BN17" s="39" t="s">
        <v>9</v>
      </c>
      <c r="BO17" s="39">
        <v>2</v>
      </c>
      <c r="BP17" s="39" t="s">
        <v>152</v>
      </c>
      <c r="BQ17" s="27">
        <v>14</v>
      </c>
      <c r="BR17" s="39" t="s">
        <v>5</v>
      </c>
      <c r="BS17" s="41" t="s">
        <v>180</v>
      </c>
      <c r="BT17" s="27">
        <v>10</v>
      </c>
      <c r="BU17" s="44"/>
      <c r="BV17" s="45" t="s">
        <v>155</v>
      </c>
      <c r="BW17" s="39" t="s">
        <v>9</v>
      </c>
      <c r="BX17" s="39">
        <v>2</v>
      </c>
      <c r="BY17" s="39" t="s">
        <v>152</v>
      </c>
      <c r="BZ17" s="27">
        <v>14</v>
      </c>
      <c r="CA17" s="39">
        <v>1029</v>
      </c>
      <c r="CB17" s="41" t="s">
        <v>189</v>
      </c>
      <c r="CC17" s="27"/>
      <c r="CD17" s="44"/>
      <c r="CE17" s="45" t="s">
        <v>155</v>
      </c>
      <c r="CF17" s="39" t="s">
        <v>9</v>
      </c>
      <c r="CG17" s="39">
        <v>2</v>
      </c>
      <c r="CH17" s="39" t="s">
        <v>152</v>
      </c>
      <c r="CI17" s="27">
        <v>14</v>
      </c>
      <c r="CJ17" s="39">
        <v>1038</v>
      </c>
      <c r="CK17" s="41" t="s">
        <v>186</v>
      </c>
    </row>
    <row r="18" spans="1:89" x14ac:dyDescent="0.25">
      <c r="A18" s="42"/>
      <c r="B18" s="34" t="s">
        <v>151</v>
      </c>
      <c r="C18" s="10" t="s">
        <v>9</v>
      </c>
      <c r="D18" s="10">
        <v>3</v>
      </c>
      <c r="E18" s="10" t="s">
        <v>152</v>
      </c>
      <c r="F18">
        <v>15</v>
      </c>
      <c r="G18" s="10" t="s">
        <v>190</v>
      </c>
      <c r="H18" s="43" t="s">
        <v>175</v>
      </c>
      <c r="J18" s="42"/>
      <c r="K18" s="34" t="s">
        <v>155</v>
      </c>
      <c r="L18" s="10" t="s">
        <v>9</v>
      </c>
      <c r="M18" s="10">
        <v>3</v>
      </c>
      <c r="N18" s="10" t="s">
        <v>152</v>
      </c>
      <c r="O18">
        <v>15</v>
      </c>
      <c r="P18" s="10" t="s">
        <v>191</v>
      </c>
      <c r="Q18" s="43" t="s">
        <v>173</v>
      </c>
      <c r="S18" s="42"/>
      <c r="T18" s="34" t="s">
        <v>155</v>
      </c>
      <c r="U18" s="10" t="s">
        <v>9</v>
      </c>
      <c r="V18" s="10">
        <v>3</v>
      </c>
      <c r="W18" s="10" t="s">
        <v>152</v>
      </c>
      <c r="X18">
        <v>15</v>
      </c>
      <c r="Y18" s="10" t="s">
        <v>185</v>
      </c>
      <c r="Z18" s="43" t="s">
        <v>174</v>
      </c>
      <c r="AB18" s="42"/>
      <c r="AC18" s="34" t="s">
        <v>155</v>
      </c>
      <c r="AD18" s="10" t="s">
        <v>9</v>
      </c>
      <c r="AE18" s="10">
        <v>3</v>
      </c>
      <c r="AF18" s="10" t="s">
        <v>152</v>
      </c>
      <c r="AG18">
        <v>15</v>
      </c>
      <c r="AH18" s="10"/>
      <c r="AI18" s="43"/>
      <c r="AK18" s="44"/>
      <c r="AL18" s="45" t="s">
        <v>155</v>
      </c>
      <c r="AM18" s="39" t="s">
        <v>9</v>
      </c>
      <c r="AN18" s="39">
        <v>3</v>
      </c>
      <c r="AO18" s="39" t="s">
        <v>152</v>
      </c>
      <c r="AP18" s="27">
        <v>15</v>
      </c>
      <c r="AQ18" s="39" t="s">
        <v>1</v>
      </c>
      <c r="AR18" s="41" t="s">
        <v>181</v>
      </c>
      <c r="AS18" s="27"/>
      <c r="AT18" s="44"/>
      <c r="AU18" s="45" t="s">
        <v>155</v>
      </c>
      <c r="AV18" s="39" t="s">
        <v>9</v>
      </c>
      <c r="AW18" s="39">
        <v>3</v>
      </c>
      <c r="AX18" s="39" t="s">
        <v>152</v>
      </c>
      <c r="AY18" s="27">
        <v>15</v>
      </c>
      <c r="AZ18" s="39" t="s">
        <v>21</v>
      </c>
      <c r="BA18" s="41" t="s">
        <v>176</v>
      </c>
      <c r="BB18" s="27"/>
      <c r="BC18" s="44"/>
      <c r="BD18" s="45" t="s">
        <v>155</v>
      </c>
      <c r="BE18" s="39" t="s">
        <v>9</v>
      </c>
      <c r="BF18" s="39">
        <v>3</v>
      </c>
      <c r="BG18" s="39" t="s">
        <v>152</v>
      </c>
      <c r="BH18" s="27">
        <v>15</v>
      </c>
      <c r="BI18" s="39">
        <v>2018</v>
      </c>
      <c r="BJ18" s="41" t="s">
        <v>170</v>
      </c>
      <c r="BK18" s="27"/>
      <c r="BL18" s="44"/>
      <c r="BM18" s="45" t="s">
        <v>155</v>
      </c>
      <c r="BN18" s="39" t="s">
        <v>9</v>
      </c>
      <c r="BO18" s="39">
        <v>3</v>
      </c>
      <c r="BP18" s="39" t="s">
        <v>152</v>
      </c>
      <c r="BQ18" s="27">
        <v>15</v>
      </c>
      <c r="BR18" s="10" t="s">
        <v>5</v>
      </c>
      <c r="BS18" s="43" t="s">
        <v>181</v>
      </c>
      <c r="BT18" s="27"/>
      <c r="BU18" s="44"/>
      <c r="BV18" s="45" t="s">
        <v>155</v>
      </c>
      <c r="BW18" s="39" t="s">
        <v>9</v>
      </c>
      <c r="BX18" s="39">
        <v>3</v>
      </c>
      <c r="BY18" s="39" t="s">
        <v>152</v>
      </c>
      <c r="BZ18" s="27">
        <v>15</v>
      </c>
      <c r="CA18" s="39" t="s">
        <v>192</v>
      </c>
      <c r="CB18" s="41" t="s">
        <v>171</v>
      </c>
      <c r="CC18" s="27"/>
      <c r="CD18" s="44"/>
      <c r="CE18" s="45" t="s">
        <v>155</v>
      </c>
      <c r="CF18" s="39" t="s">
        <v>9</v>
      </c>
      <c r="CG18" s="39">
        <v>3</v>
      </c>
      <c r="CH18" s="39" t="s">
        <v>152</v>
      </c>
      <c r="CI18" s="27">
        <v>15</v>
      </c>
      <c r="CJ18" s="39">
        <v>1038</v>
      </c>
      <c r="CK18" s="41" t="s">
        <v>188</v>
      </c>
    </row>
    <row r="19" spans="1:89" x14ac:dyDescent="0.25">
      <c r="A19" s="42"/>
      <c r="B19" s="34" t="s">
        <v>151</v>
      </c>
      <c r="C19" s="10" t="s">
        <v>9</v>
      </c>
      <c r="D19" s="10">
        <v>4</v>
      </c>
      <c r="E19" s="10" t="s">
        <v>152</v>
      </c>
      <c r="F19">
        <v>16</v>
      </c>
      <c r="G19" s="10" t="s">
        <v>190</v>
      </c>
      <c r="H19" s="43" t="s">
        <v>157</v>
      </c>
      <c r="J19" s="42"/>
      <c r="K19" s="34" t="s">
        <v>155</v>
      </c>
      <c r="L19" s="10" t="s">
        <v>9</v>
      </c>
      <c r="M19" s="10">
        <v>4</v>
      </c>
      <c r="N19" s="10" t="s">
        <v>152</v>
      </c>
      <c r="O19">
        <v>16</v>
      </c>
      <c r="P19" s="10" t="s">
        <v>191</v>
      </c>
      <c r="Q19" s="43" t="s">
        <v>159</v>
      </c>
      <c r="S19" s="42"/>
      <c r="T19" s="34" t="s">
        <v>155</v>
      </c>
      <c r="U19" s="10" t="s">
        <v>9</v>
      </c>
      <c r="V19" s="10">
        <v>4</v>
      </c>
      <c r="W19" s="10" t="s">
        <v>152</v>
      </c>
      <c r="X19">
        <v>16</v>
      </c>
      <c r="Y19" s="10" t="s">
        <v>193</v>
      </c>
      <c r="Z19" s="43" t="s">
        <v>154</v>
      </c>
      <c r="AB19" s="42"/>
      <c r="AC19" s="34" t="s">
        <v>155</v>
      </c>
      <c r="AD19" s="10" t="s">
        <v>9</v>
      </c>
      <c r="AE19" s="10">
        <v>4</v>
      </c>
      <c r="AF19" s="10" t="s">
        <v>152</v>
      </c>
      <c r="AG19">
        <v>16</v>
      </c>
      <c r="AH19" s="10"/>
      <c r="AI19" s="43"/>
      <c r="AK19" s="44"/>
      <c r="AL19" s="45" t="s">
        <v>155</v>
      </c>
      <c r="AM19" s="39" t="s">
        <v>9</v>
      </c>
      <c r="AN19" s="39">
        <v>4</v>
      </c>
      <c r="AO19" s="39" t="s">
        <v>152</v>
      </c>
      <c r="AP19" s="27">
        <v>16</v>
      </c>
      <c r="AQ19" s="39" t="s">
        <v>1</v>
      </c>
      <c r="AR19" s="41" t="s">
        <v>183</v>
      </c>
      <c r="AS19" s="27"/>
      <c r="AT19" s="44"/>
      <c r="AU19" s="45" t="s">
        <v>155</v>
      </c>
      <c r="AV19" s="39" t="s">
        <v>9</v>
      </c>
      <c r="AW19" s="39">
        <v>4</v>
      </c>
      <c r="AX19" s="39" t="s">
        <v>152</v>
      </c>
      <c r="AY19" s="27">
        <v>16</v>
      </c>
      <c r="AZ19" s="39" t="s">
        <v>21</v>
      </c>
      <c r="BA19" s="41" t="s">
        <v>164</v>
      </c>
      <c r="BB19" s="27"/>
      <c r="BC19" s="44"/>
      <c r="BD19" s="45" t="s">
        <v>155</v>
      </c>
      <c r="BE19" s="39" t="s">
        <v>9</v>
      </c>
      <c r="BF19" s="39">
        <v>4</v>
      </c>
      <c r="BG19" s="39" t="s">
        <v>152</v>
      </c>
      <c r="BH19" s="27">
        <v>16</v>
      </c>
      <c r="BI19" s="39">
        <v>2018</v>
      </c>
      <c r="BJ19" s="41" t="s">
        <v>178</v>
      </c>
      <c r="BK19" s="27"/>
      <c r="BL19" s="44"/>
      <c r="BM19" s="45" t="s">
        <v>155</v>
      </c>
      <c r="BN19" s="39" t="s">
        <v>9</v>
      </c>
      <c r="BO19" s="39">
        <v>4</v>
      </c>
      <c r="BP19" s="39" t="s">
        <v>152</v>
      </c>
      <c r="BQ19" s="27">
        <v>16</v>
      </c>
      <c r="BR19" s="10" t="s">
        <v>5</v>
      </c>
      <c r="BS19" s="43" t="s">
        <v>183</v>
      </c>
      <c r="BT19" s="27"/>
      <c r="BU19" s="44"/>
      <c r="BV19" s="45" t="s">
        <v>155</v>
      </c>
      <c r="BW19" s="39" t="s">
        <v>9</v>
      </c>
      <c r="BX19" s="39">
        <v>4</v>
      </c>
      <c r="BY19" s="39" t="s">
        <v>152</v>
      </c>
      <c r="BZ19" s="27">
        <v>16</v>
      </c>
      <c r="CA19" s="39" t="s">
        <v>192</v>
      </c>
      <c r="CB19" s="41" t="s">
        <v>161</v>
      </c>
      <c r="CC19" s="27"/>
      <c r="CD19" s="44"/>
      <c r="CE19" s="45" t="s">
        <v>155</v>
      </c>
      <c r="CF19" s="39" t="s">
        <v>9</v>
      </c>
      <c r="CG19" s="39">
        <v>4</v>
      </c>
      <c r="CH19" s="39" t="s">
        <v>152</v>
      </c>
      <c r="CI19" s="27">
        <v>16</v>
      </c>
      <c r="CJ19" s="39">
        <v>1038</v>
      </c>
      <c r="CK19" s="41" t="s">
        <v>182</v>
      </c>
    </row>
    <row r="20" spans="1:89" x14ac:dyDescent="0.25">
      <c r="A20" s="42"/>
      <c r="B20" s="34" t="s">
        <v>151</v>
      </c>
      <c r="C20" s="10" t="s">
        <v>9</v>
      </c>
      <c r="D20" s="10">
        <v>5</v>
      </c>
      <c r="E20" s="10" t="s">
        <v>152</v>
      </c>
      <c r="F20">
        <v>17</v>
      </c>
      <c r="G20" s="10" t="s">
        <v>190</v>
      </c>
      <c r="H20" s="43" t="s">
        <v>166</v>
      </c>
      <c r="J20" s="42"/>
      <c r="K20" s="34" t="s">
        <v>155</v>
      </c>
      <c r="L20" s="10" t="s">
        <v>9</v>
      </c>
      <c r="M20" s="10">
        <v>5</v>
      </c>
      <c r="N20" s="10" t="s">
        <v>152</v>
      </c>
      <c r="O20">
        <v>17</v>
      </c>
      <c r="P20" s="10" t="s">
        <v>191</v>
      </c>
      <c r="Q20" s="43" t="s">
        <v>167</v>
      </c>
      <c r="S20" s="42"/>
      <c r="T20" s="34" t="s">
        <v>155</v>
      </c>
      <c r="U20" s="10" t="s">
        <v>9</v>
      </c>
      <c r="V20" s="10">
        <v>5</v>
      </c>
      <c r="W20" s="10" t="s">
        <v>152</v>
      </c>
      <c r="X20">
        <v>17</v>
      </c>
      <c r="Y20" s="10" t="s">
        <v>193</v>
      </c>
      <c r="Z20" s="43" t="s">
        <v>165</v>
      </c>
      <c r="AB20" s="42"/>
      <c r="AC20" s="34" t="s">
        <v>155</v>
      </c>
      <c r="AD20" s="10" t="s">
        <v>9</v>
      </c>
      <c r="AE20" s="10">
        <v>5</v>
      </c>
      <c r="AF20" s="10" t="s">
        <v>152</v>
      </c>
      <c r="AG20">
        <v>17</v>
      </c>
      <c r="AH20" s="10"/>
      <c r="AI20" s="43"/>
      <c r="AK20" s="44"/>
      <c r="AL20" s="45" t="s">
        <v>155</v>
      </c>
      <c r="AM20" s="39" t="s">
        <v>9</v>
      </c>
      <c r="AN20" s="39">
        <v>5</v>
      </c>
      <c r="AO20" s="39" t="s">
        <v>152</v>
      </c>
      <c r="AP20" s="27">
        <v>17</v>
      </c>
      <c r="AQ20" s="39" t="s">
        <v>1</v>
      </c>
      <c r="AR20" s="41" t="s">
        <v>186</v>
      </c>
      <c r="AS20" s="27"/>
      <c r="AT20" s="44"/>
      <c r="AU20" s="45" t="s">
        <v>155</v>
      </c>
      <c r="AV20" s="39" t="s">
        <v>9</v>
      </c>
      <c r="AW20" s="39">
        <v>5</v>
      </c>
      <c r="AX20" s="39" t="s">
        <v>152</v>
      </c>
      <c r="AY20" s="27">
        <v>17</v>
      </c>
      <c r="AZ20" s="39" t="s">
        <v>21</v>
      </c>
      <c r="BA20" s="41" t="s">
        <v>172</v>
      </c>
      <c r="BB20" s="27"/>
      <c r="BC20" s="44"/>
      <c r="BD20" s="45" t="s">
        <v>155</v>
      </c>
      <c r="BE20" s="39" t="s">
        <v>9</v>
      </c>
      <c r="BF20" s="39">
        <v>5</v>
      </c>
      <c r="BG20" s="39" t="s">
        <v>152</v>
      </c>
      <c r="BH20" s="27">
        <v>17</v>
      </c>
      <c r="BI20" s="39">
        <v>2018</v>
      </c>
      <c r="BJ20" s="41" t="s">
        <v>163</v>
      </c>
      <c r="BK20" s="27"/>
      <c r="BL20" s="44"/>
      <c r="BM20" s="45" t="s">
        <v>155</v>
      </c>
      <c r="BN20" s="39" t="s">
        <v>9</v>
      </c>
      <c r="BO20" s="39">
        <v>5</v>
      </c>
      <c r="BP20" s="39" t="s">
        <v>152</v>
      </c>
      <c r="BQ20" s="27">
        <v>17</v>
      </c>
      <c r="BR20" s="10" t="s">
        <v>5</v>
      </c>
      <c r="BS20" s="43" t="s">
        <v>186</v>
      </c>
      <c r="BT20" s="27"/>
      <c r="BU20" s="44"/>
      <c r="BV20" s="45" t="s">
        <v>155</v>
      </c>
      <c r="BW20" s="39" t="s">
        <v>9</v>
      </c>
      <c r="BX20" s="39">
        <v>5</v>
      </c>
      <c r="BY20" s="39" t="s">
        <v>152</v>
      </c>
      <c r="BZ20" s="27">
        <v>17</v>
      </c>
      <c r="CA20" s="39" t="s">
        <v>192</v>
      </c>
      <c r="CB20" s="46" t="s">
        <v>169</v>
      </c>
      <c r="CC20" s="27"/>
      <c r="CD20" s="44"/>
      <c r="CE20" s="45" t="s">
        <v>155</v>
      </c>
      <c r="CF20" s="39" t="s">
        <v>9</v>
      </c>
      <c r="CG20" s="39">
        <v>5</v>
      </c>
      <c r="CH20" s="39" t="s">
        <v>152</v>
      </c>
      <c r="CI20" s="27">
        <v>17</v>
      </c>
      <c r="CJ20" s="39">
        <v>1038</v>
      </c>
      <c r="CK20" s="41" t="s">
        <v>184</v>
      </c>
    </row>
    <row r="21" spans="1:89" x14ac:dyDescent="0.25">
      <c r="A21" s="42"/>
      <c r="B21" s="34" t="s">
        <v>151</v>
      </c>
      <c r="C21" s="10" t="s">
        <v>9</v>
      </c>
      <c r="D21" s="10">
        <v>6</v>
      </c>
      <c r="E21" s="10" t="s">
        <v>152</v>
      </c>
      <c r="F21">
        <v>18</v>
      </c>
      <c r="G21" s="10" t="s">
        <v>190</v>
      </c>
      <c r="H21" s="43" t="s">
        <v>174</v>
      </c>
      <c r="J21" s="42"/>
      <c r="K21" s="34" t="s">
        <v>155</v>
      </c>
      <c r="L21" s="10" t="s">
        <v>9</v>
      </c>
      <c r="M21" s="10">
        <v>6</v>
      </c>
      <c r="N21" s="10" t="s">
        <v>152</v>
      </c>
      <c r="O21">
        <v>18</v>
      </c>
      <c r="P21" s="10" t="s">
        <v>191</v>
      </c>
      <c r="Q21" s="43" t="s">
        <v>175</v>
      </c>
      <c r="S21" s="42"/>
      <c r="T21" s="34" t="s">
        <v>155</v>
      </c>
      <c r="U21" s="10" t="s">
        <v>9</v>
      </c>
      <c r="V21" s="10">
        <v>6</v>
      </c>
      <c r="W21" s="10" t="s">
        <v>152</v>
      </c>
      <c r="X21">
        <v>18</v>
      </c>
      <c r="Y21" s="10" t="s">
        <v>193</v>
      </c>
      <c r="Z21" s="43" t="s">
        <v>173</v>
      </c>
      <c r="AB21" s="42"/>
      <c r="AC21" s="34" t="s">
        <v>155</v>
      </c>
      <c r="AD21" s="10" t="s">
        <v>9</v>
      </c>
      <c r="AE21" s="10">
        <v>6</v>
      </c>
      <c r="AF21" s="10" t="s">
        <v>152</v>
      </c>
      <c r="AG21">
        <v>18</v>
      </c>
      <c r="AH21" s="10"/>
      <c r="AI21" s="43"/>
      <c r="AK21" s="44"/>
      <c r="AL21" s="45" t="s">
        <v>155</v>
      </c>
      <c r="AM21" s="39" t="s">
        <v>9</v>
      </c>
      <c r="AN21" s="39">
        <v>6</v>
      </c>
      <c r="AO21" s="39" t="s">
        <v>152</v>
      </c>
      <c r="AP21" s="27">
        <v>18</v>
      </c>
      <c r="AQ21" s="39" t="s">
        <v>1</v>
      </c>
      <c r="AR21" s="41" t="s">
        <v>188</v>
      </c>
      <c r="AS21" s="27"/>
      <c r="AT21" s="44"/>
      <c r="AU21" s="45" t="s">
        <v>155</v>
      </c>
      <c r="AV21" s="39" t="s">
        <v>9</v>
      </c>
      <c r="AW21" s="39">
        <v>6</v>
      </c>
      <c r="AX21" s="39" t="s">
        <v>152</v>
      </c>
      <c r="AY21" s="27">
        <v>18</v>
      </c>
      <c r="AZ21" s="39" t="s">
        <v>21</v>
      </c>
      <c r="BA21" s="41" t="s">
        <v>162</v>
      </c>
      <c r="BB21" s="27"/>
      <c r="BC21" s="44"/>
      <c r="BD21" s="45" t="s">
        <v>155</v>
      </c>
      <c r="BE21" s="39" t="s">
        <v>9</v>
      </c>
      <c r="BF21" s="39">
        <v>6</v>
      </c>
      <c r="BG21" s="39" t="s">
        <v>152</v>
      </c>
      <c r="BH21" s="27">
        <v>18</v>
      </c>
      <c r="BI21" s="39">
        <v>2018</v>
      </c>
      <c r="BJ21" s="41" t="s">
        <v>171</v>
      </c>
      <c r="BK21" s="27"/>
      <c r="BL21" s="44"/>
      <c r="BM21" s="45" t="s">
        <v>155</v>
      </c>
      <c r="BN21" s="39" t="s">
        <v>9</v>
      </c>
      <c r="BO21" s="39">
        <v>6</v>
      </c>
      <c r="BP21" s="39" t="s">
        <v>152</v>
      </c>
      <c r="BQ21" s="27">
        <v>18</v>
      </c>
      <c r="BR21" s="10" t="s">
        <v>5</v>
      </c>
      <c r="BS21" s="43" t="s">
        <v>188</v>
      </c>
      <c r="BT21" s="27"/>
      <c r="BU21" s="44"/>
      <c r="BV21" s="45" t="s">
        <v>155</v>
      </c>
      <c r="BW21" s="39" t="s">
        <v>9</v>
      </c>
      <c r="BX21" s="39">
        <v>6</v>
      </c>
      <c r="BY21" s="39" t="s">
        <v>152</v>
      </c>
      <c r="BZ21" s="27">
        <v>18</v>
      </c>
      <c r="CA21" s="39" t="s">
        <v>192</v>
      </c>
      <c r="CB21" s="41" t="s">
        <v>177</v>
      </c>
      <c r="CC21" s="27"/>
      <c r="CD21" s="44"/>
      <c r="CE21" s="45" t="s">
        <v>155</v>
      </c>
      <c r="CF21" s="39" t="s">
        <v>9</v>
      </c>
      <c r="CG21" s="39">
        <v>6</v>
      </c>
      <c r="CH21" s="39" t="s">
        <v>152</v>
      </c>
      <c r="CI21" s="27">
        <v>18</v>
      </c>
      <c r="CJ21" s="39">
        <v>1038</v>
      </c>
      <c r="CK21" s="41" t="s">
        <v>187</v>
      </c>
    </row>
    <row r="22" spans="1:89" ht="15.75" thickBot="1" x14ac:dyDescent="0.3">
      <c r="A22" s="42"/>
      <c r="B22" s="34" t="s">
        <v>151</v>
      </c>
      <c r="C22" s="10" t="s">
        <v>9</v>
      </c>
      <c r="D22" s="10">
        <v>7</v>
      </c>
      <c r="E22" s="10" t="s">
        <v>152</v>
      </c>
      <c r="F22">
        <v>19</v>
      </c>
      <c r="G22" s="10" t="s">
        <v>194</v>
      </c>
      <c r="H22" s="43" t="s">
        <v>154</v>
      </c>
      <c r="J22" s="42"/>
      <c r="K22" s="34" t="s">
        <v>155</v>
      </c>
      <c r="L22" s="10" t="s">
        <v>9</v>
      </c>
      <c r="M22" s="10">
        <v>7</v>
      </c>
      <c r="N22" s="10" t="s">
        <v>152</v>
      </c>
      <c r="O22">
        <v>19</v>
      </c>
      <c r="P22" s="10" t="s">
        <v>191</v>
      </c>
      <c r="Q22" s="43" t="s">
        <v>157</v>
      </c>
      <c r="S22" s="42"/>
      <c r="T22" s="34" t="s">
        <v>155</v>
      </c>
      <c r="U22" s="10" t="s">
        <v>9</v>
      </c>
      <c r="V22" s="10">
        <v>7</v>
      </c>
      <c r="W22" s="10" t="s">
        <v>152</v>
      </c>
      <c r="X22">
        <v>19</v>
      </c>
      <c r="Y22" s="10" t="s">
        <v>193</v>
      </c>
      <c r="Z22" s="43" t="s">
        <v>159</v>
      </c>
      <c r="AB22" s="42"/>
      <c r="AC22" s="34" t="s">
        <v>155</v>
      </c>
      <c r="AD22" s="10" t="s">
        <v>9</v>
      </c>
      <c r="AE22" s="10">
        <v>7</v>
      </c>
      <c r="AF22" s="10" t="s">
        <v>152</v>
      </c>
      <c r="AG22">
        <v>19</v>
      </c>
      <c r="AH22" s="10"/>
      <c r="AI22" s="43"/>
      <c r="AK22" s="44"/>
      <c r="AL22" s="45" t="s">
        <v>155</v>
      </c>
      <c r="AM22" s="39" t="s">
        <v>9</v>
      </c>
      <c r="AN22" s="39">
        <v>7</v>
      </c>
      <c r="AO22" s="39" t="s">
        <v>152</v>
      </c>
      <c r="AP22" s="27">
        <v>19</v>
      </c>
      <c r="AQ22" s="39" t="s">
        <v>1</v>
      </c>
      <c r="AR22" s="41" t="s">
        <v>182</v>
      </c>
      <c r="AS22" s="27"/>
      <c r="AT22" s="44"/>
      <c r="AU22" s="45" t="s">
        <v>155</v>
      </c>
      <c r="AV22" s="39" t="s">
        <v>9</v>
      </c>
      <c r="AW22" s="39">
        <v>7</v>
      </c>
      <c r="AX22" s="39" t="s">
        <v>152</v>
      </c>
      <c r="AY22" s="27">
        <v>19</v>
      </c>
      <c r="AZ22" s="39" t="s">
        <v>21</v>
      </c>
      <c r="BA22" s="41" t="s">
        <v>170</v>
      </c>
      <c r="BB22" s="27"/>
      <c r="BC22" s="44"/>
      <c r="BD22" s="45" t="s">
        <v>155</v>
      </c>
      <c r="BE22" s="39" t="s">
        <v>9</v>
      </c>
      <c r="BF22" s="39">
        <v>7</v>
      </c>
      <c r="BG22" s="39" t="s">
        <v>152</v>
      </c>
      <c r="BH22" s="27">
        <v>19</v>
      </c>
      <c r="BI22" s="39">
        <v>2018</v>
      </c>
      <c r="BJ22" s="41" t="s">
        <v>161</v>
      </c>
      <c r="BK22" s="27"/>
      <c r="BL22" s="44"/>
      <c r="BM22" s="45" t="s">
        <v>155</v>
      </c>
      <c r="BN22" s="39" t="s">
        <v>9</v>
      </c>
      <c r="BO22" s="39">
        <v>7</v>
      </c>
      <c r="BP22" s="39" t="s">
        <v>152</v>
      </c>
      <c r="BQ22" s="27">
        <v>19</v>
      </c>
      <c r="BR22" s="10" t="s">
        <v>5</v>
      </c>
      <c r="BS22" s="43" t="s">
        <v>182</v>
      </c>
      <c r="BT22" s="27"/>
      <c r="BU22" s="44"/>
      <c r="BV22" s="45" t="s">
        <v>155</v>
      </c>
      <c r="BW22" s="39" t="s">
        <v>9</v>
      </c>
      <c r="BX22" s="39">
        <v>7</v>
      </c>
      <c r="BY22" s="39" t="s">
        <v>152</v>
      </c>
      <c r="BZ22" s="27">
        <v>19</v>
      </c>
      <c r="CA22" s="39" t="s">
        <v>192</v>
      </c>
      <c r="CB22" s="41" t="s">
        <v>180</v>
      </c>
      <c r="CC22" s="27"/>
      <c r="CD22" s="44"/>
      <c r="CE22" s="45" t="s">
        <v>155</v>
      </c>
      <c r="CF22" s="39" t="s">
        <v>9</v>
      </c>
      <c r="CG22" s="39">
        <v>7</v>
      </c>
      <c r="CH22" s="39" t="s">
        <v>152</v>
      </c>
      <c r="CI22" s="27">
        <v>19</v>
      </c>
      <c r="CJ22" s="39">
        <v>1038</v>
      </c>
      <c r="CK22" s="41" t="s">
        <v>189</v>
      </c>
    </row>
    <row r="23" spans="1:89" x14ac:dyDescent="0.25">
      <c r="A23" s="42"/>
      <c r="B23" s="34" t="s">
        <v>151</v>
      </c>
      <c r="C23" s="10" t="s">
        <v>9</v>
      </c>
      <c r="D23" s="10">
        <v>8</v>
      </c>
      <c r="E23" s="10" t="s">
        <v>152</v>
      </c>
      <c r="F23">
        <v>20</v>
      </c>
      <c r="G23" s="10" t="s">
        <v>194</v>
      </c>
      <c r="H23" s="43" t="s">
        <v>165</v>
      </c>
      <c r="J23" s="42"/>
      <c r="K23" s="34" t="s">
        <v>155</v>
      </c>
      <c r="L23" s="10" t="s">
        <v>9</v>
      </c>
      <c r="M23" s="10">
        <v>8</v>
      </c>
      <c r="N23" s="10" t="s">
        <v>152</v>
      </c>
      <c r="O23">
        <v>20</v>
      </c>
      <c r="P23" s="10" t="s">
        <v>191</v>
      </c>
      <c r="Q23" s="43" t="s">
        <v>166</v>
      </c>
      <c r="S23" s="42"/>
      <c r="T23" s="34" t="s">
        <v>155</v>
      </c>
      <c r="U23" s="10" t="s">
        <v>9</v>
      </c>
      <c r="V23" s="10">
        <v>8</v>
      </c>
      <c r="W23" s="10" t="s">
        <v>152</v>
      </c>
      <c r="X23">
        <v>20</v>
      </c>
      <c r="Y23" s="10" t="s">
        <v>193</v>
      </c>
      <c r="Z23" s="43" t="s">
        <v>167</v>
      </c>
      <c r="AB23" s="42"/>
      <c r="AC23" s="34" t="s">
        <v>155</v>
      </c>
      <c r="AD23" s="10" t="s">
        <v>9</v>
      </c>
      <c r="AE23" s="10">
        <v>8</v>
      </c>
      <c r="AF23" s="10" t="s">
        <v>152</v>
      </c>
      <c r="AG23">
        <v>20</v>
      </c>
      <c r="AH23" s="10"/>
      <c r="AI23" s="43"/>
      <c r="AK23" s="44"/>
      <c r="AL23" s="45" t="s">
        <v>155</v>
      </c>
      <c r="AM23" s="39" t="s">
        <v>9</v>
      </c>
      <c r="AN23" s="39">
        <v>8</v>
      </c>
      <c r="AO23" s="39" t="s">
        <v>152</v>
      </c>
      <c r="AP23" s="27">
        <v>20</v>
      </c>
      <c r="AQ23" s="39" t="s">
        <v>1</v>
      </c>
      <c r="AR23" s="41" t="s">
        <v>184</v>
      </c>
      <c r="AS23" s="27"/>
      <c r="AT23" s="44"/>
      <c r="AU23" s="45" t="s">
        <v>155</v>
      </c>
      <c r="AV23" s="39" t="s">
        <v>9</v>
      </c>
      <c r="AW23" s="39">
        <v>8</v>
      </c>
      <c r="AX23" s="39" t="s">
        <v>152</v>
      </c>
      <c r="AY23" s="27">
        <v>20</v>
      </c>
      <c r="AZ23" s="39" t="s">
        <v>21</v>
      </c>
      <c r="BA23" s="41" t="s">
        <v>178</v>
      </c>
      <c r="BB23" s="27"/>
      <c r="BC23" s="44"/>
      <c r="BD23" s="45" t="s">
        <v>155</v>
      </c>
      <c r="BE23" s="39" t="s">
        <v>9</v>
      </c>
      <c r="BF23" s="39">
        <v>8</v>
      </c>
      <c r="BG23" s="39" t="s">
        <v>152</v>
      </c>
      <c r="BH23" s="27">
        <v>20</v>
      </c>
      <c r="BI23" s="39">
        <v>2018</v>
      </c>
      <c r="BJ23" s="46" t="s">
        <v>169</v>
      </c>
      <c r="BK23" s="27"/>
      <c r="BL23" s="44"/>
      <c r="BM23" s="45" t="s">
        <v>155</v>
      </c>
      <c r="BN23" s="39" t="s">
        <v>9</v>
      </c>
      <c r="BO23" s="39">
        <v>8</v>
      </c>
      <c r="BP23" s="39" t="s">
        <v>152</v>
      </c>
      <c r="BQ23" s="27">
        <v>20</v>
      </c>
      <c r="BR23" s="10" t="s">
        <v>5</v>
      </c>
      <c r="BS23" s="43" t="s">
        <v>184</v>
      </c>
      <c r="BT23" s="27"/>
      <c r="BU23" s="44"/>
      <c r="BV23" s="45" t="s">
        <v>155</v>
      </c>
      <c r="BW23" s="39" t="s">
        <v>9</v>
      </c>
      <c r="BX23" s="39">
        <v>8</v>
      </c>
      <c r="BY23" s="39" t="s">
        <v>152</v>
      </c>
      <c r="BZ23" s="27">
        <v>20</v>
      </c>
      <c r="CA23" s="39" t="s">
        <v>192</v>
      </c>
      <c r="CB23" s="41" t="s">
        <v>181</v>
      </c>
      <c r="CC23" s="27"/>
      <c r="CD23" s="44"/>
      <c r="CE23" s="45" t="s">
        <v>155</v>
      </c>
      <c r="CF23" s="39" t="s">
        <v>9</v>
      </c>
      <c r="CG23" s="39">
        <v>8</v>
      </c>
      <c r="CH23" s="39" t="s">
        <v>152</v>
      </c>
      <c r="CI23" s="27">
        <v>20</v>
      </c>
      <c r="CJ23" s="39" t="s">
        <v>52</v>
      </c>
      <c r="CK23" s="40" t="s">
        <v>160</v>
      </c>
    </row>
    <row r="24" spans="1:89" x14ac:dyDescent="0.25">
      <c r="A24" s="42"/>
      <c r="B24" s="34" t="s">
        <v>151</v>
      </c>
      <c r="C24" s="10" t="s">
        <v>9</v>
      </c>
      <c r="D24" s="10">
        <v>9</v>
      </c>
      <c r="E24" s="10" t="s">
        <v>152</v>
      </c>
      <c r="F24">
        <v>21</v>
      </c>
      <c r="G24" s="10" t="s">
        <v>194</v>
      </c>
      <c r="H24" s="43" t="s">
        <v>173</v>
      </c>
      <c r="J24" s="42"/>
      <c r="K24" s="34" t="s">
        <v>155</v>
      </c>
      <c r="L24" s="10" t="s">
        <v>9</v>
      </c>
      <c r="M24" s="10">
        <v>9</v>
      </c>
      <c r="N24" s="10" t="s">
        <v>152</v>
      </c>
      <c r="O24">
        <v>21</v>
      </c>
      <c r="P24" s="10" t="s">
        <v>191</v>
      </c>
      <c r="Q24" s="43" t="s">
        <v>174</v>
      </c>
      <c r="S24" s="42"/>
      <c r="T24" s="34" t="s">
        <v>155</v>
      </c>
      <c r="U24" s="10" t="s">
        <v>9</v>
      </c>
      <c r="V24" s="10">
        <v>9</v>
      </c>
      <c r="W24" s="10" t="s">
        <v>152</v>
      </c>
      <c r="X24">
        <v>21</v>
      </c>
      <c r="Y24" s="10" t="s">
        <v>193</v>
      </c>
      <c r="Z24" s="43" t="s">
        <v>175</v>
      </c>
      <c r="AB24" s="42"/>
      <c r="AC24" s="34" t="s">
        <v>155</v>
      </c>
      <c r="AD24" s="10" t="s">
        <v>9</v>
      </c>
      <c r="AE24" s="10">
        <v>9</v>
      </c>
      <c r="AF24" s="10" t="s">
        <v>152</v>
      </c>
      <c r="AG24">
        <v>21</v>
      </c>
      <c r="AH24" s="10"/>
      <c r="AI24" s="43"/>
      <c r="AK24" s="44"/>
      <c r="AL24" s="45" t="s">
        <v>155</v>
      </c>
      <c r="AM24" s="39" t="s">
        <v>9</v>
      </c>
      <c r="AN24" s="39">
        <v>9</v>
      </c>
      <c r="AO24" s="39" t="s">
        <v>152</v>
      </c>
      <c r="AP24" s="27">
        <v>21</v>
      </c>
      <c r="AQ24" s="39" t="s">
        <v>1</v>
      </c>
      <c r="AR24" s="41" t="s">
        <v>187</v>
      </c>
      <c r="AS24" s="27"/>
      <c r="AT24" s="44"/>
      <c r="AU24" s="45" t="s">
        <v>155</v>
      </c>
      <c r="AV24" s="39" t="s">
        <v>9</v>
      </c>
      <c r="AW24" s="39">
        <v>9</v>
      </c>
      <c r="AX24" s="39" t="s">
        <v>152</v>
      </c>
      <c r="AY24" s="27">
        <v>21</v>
      </c>
      <c r="AZ24" s="39" t="s">
        <v>21</v>
      </c>
      <c r="BA24" s="41" t="s">
        <v>163</v>
      </c>
      <c r="BB24" s="27"/>
      <c r="BC24" s="44"/>
      <c r="BD24" s="45" t="s">
        <v>155</v>
      </c>
      <c r="BE24" s="39" t="s">
        <v>9</v>
      </c>
      <c r="BF24" s="39">
        <v>9</v>
      </c>
      <c r="BG24" s="39" t="s">
        <v>152</v>
      </c>
      <c r="BH24" s="27">
        <v>21</v>
      </c>
      <c r="BI24" s="39">
        <v>2018</v>
      </c>
      <c r="BJ24" s="41" t="s">
        <v>177</v>
      </c>
      <c r="BK24" s="27"/>
      <c r="BL24" s="44"/>
      <c r="BM24" s="45" t="s">
        <v>155</v>
      </c>
      <c r="BN24" s="39" t="s">
        <v>9</v>
      </c>
      <c r="BO24" s="39">
        <v>9</v>
      </c>
      <c r="BP24" s="39" t="s">
        <v>152</v>
      </c>
      <c r="BQ24" s="27">
        <v>21</v>
      </c>
      <c r="BR24" s="10" t="s">
        <v>5</v>
      </c>
      <c r="BS24" s="43" t="s">
        <v>187</v>
      </c>
      <c r="BT24" s="27"/>
      <c r="BU24" s="44"/>
      <c r="BV24" s="45" t="s">
        <v>155</v>
      </c>
      <c r="BW24" s="39" t="s">
        <v>9</v>
      </c>
      <c r="BX24" s="39">
        <v>9</v>
      </c>
      <c r="BY24" s="39" t="s">
        <v>152</v>
      </c>
      <c r="BZ24" s="27">
        <v>21</v>
      </c>
      <c r="CA24" s="39" t="s">
        <v>192</v>
      </c>
      <c r="CB24" s="41" t="s">
        <v>183</v>
      </c>
      <c r="CC24" s="27"/>
      <c r="CD24" s="44"/>
      <c r="CE24" s="45" t="s">
        <v>155</v>
      </c>
      <c r="CF24" s="39" t="s">
        <v>9</v>
      </c>
      <c r="CG24" s="39">
        <v>9</v>
      </c>
      <c r="CH24" s="39" t="s">
        <v>152</v>
      </c>
      <c r="CI24" s="27">
        <v>21</v>
      </c>
      <c r="CJ24" s="39" t="s">
        <v>52</v>
      </c>
      <c r="CK24" s="41" t="s">
        <v>168</v>
      </c>
    </row>
    <row r="25" spans="1:89" ht="15.75" thickBot="1" x14ac:dyDescent="0.3">
      <c r="A25" s="42"/>
      <c r="B25" s="34" t="s">
        <v>151</v>
      </c>
      <c r="C25" s="10" t="s">
        <v>9</v>
      </c>
      <c r="D25" s="10">
        <v>10</v>
      </c>
      <c r="E25" s="10" t="s">
        <v>152</v>
      </c>
      <c r="F25">
        <v>22</v>
      </c>
      <c r="G25" s="10" t="s">
        <v>194</v>
      </c>
      <c r="H25" s="43" t="s">
        <v>159</v>
      </c>
      <c r="J25" s="42"/>
      <c r="K25" s="34" t="s">
        <v>155</v>
      </c>
      <c r="L25" s="10" t="s">
        <v>9</v>
      </c>
      <c r="M25" s="10">
        <v>10</v>
      </c>
      <c r="N25" s="10" t="s">
        <v>152</v>
      </c>
      <c r="O25">
        <v>22</v>
      </c>
      <c r="P25" s="10" t="s">
        <v>195</v>
      </c>
      <c r="Q25" s="43" t="s">
        <v>154</v>
      </c>
      <c r="S25" s="42"/>
      <c r="T25" s="34" t="s">
        <v>155</v>
      </c>
      <c r="U25" s="10" t="s">
        <v>9</v>
      </c>
      <c r="V25" s="10">
        <v>10</v>
      </c>
      <c r="W25" s="10" t="s">
        <v>152</v>
      </c>
      <c r="X25">
        <v>22</v>
      </c>
      <c r="Y25" s="10" t="s">
        <v>193</v>
      </c>
      <c r="Z25" s="43" t="s">
        <v>157</v>
      </c>
      <c r="AB25" s="42"/>
      <c r="AC25" s="34" t="s">
        <v>155</v>
      </c>
      <c r="AD25" s="10" t="s">
        <v>9</v>
      </c>
      <c r="AE25" s="10">
        <v>10</v>
      </c>
      <c r="AF25" s="10" t="s">
        <v>152</v>
      </c>
      <c r="AG25">
        <v>22</v>
      </c>
      <c r="AH25" s="10"/>
      <c r="AI25" s="43"/>
      <c r="AK25" s="44"/>
      <c r="AL25" s="45" t="s">
        <v>155</v>
      </c>
      <c r="AM25" s="39" t="s">
        <v>9</v>
      </c>
      <c r="AN25" s="39">
        <v>10</v>
      </c>
      <c r="AO25" s="39" t="s">
        <v>152</v>
      </c>
      <c r="AP25" s="27">
        <v>22</v>
      </c>
      <c r="AQ25" s="39" t="s">
        <v>1</v>
      </c>
      <c r="AR25" s="41" t="s">
        <v>189</v>
      </c>
      <c r="AS25" s="27"/>
      <c r="AT25" s="44"/>
      <c r="AU25" s="45" t="s">
        <v>155</v>
      </c>
      <c r="AV25" s="39" t="s">
        <v>9</v>
      </c>
      <c r="AW25" s="39">
        <v>10</v>
      </c>
      <c r="AX25" s="39" t="s">
        <v>152</v>
      </c>
      <c r="AY25" s="27">
        <v>22</v>
      </c>
      <c r="AZ25" s="39" t="s">
        <v>21</v>
      </c>
      <c r="BA25" s="41" t="s">
        <v>171</v>
      </c>
      <c r="BB25" s="27"/>
      <c r="BC25" s="44"/>
      <c r="BD25" s="45" t="s">
        <v>155</v>
      </c>
      <c r="BE25" s="39" t="s">
        <v>9</v>
      </c>
      <c r="BF25" s="39">
        <v>10</v>
      </c>
      <c r="BG25" s="39" t="s">
        <v>152</v>
      </c>
      <c r="BH25" s="27">
        <v>22</v>
      </c>
      <c r="BI25" s="39">
        <v>2018</v>
      </c>
      <c r="BJ25" s="41" t="s">
        <v>180</v>
      </c>
      <c r="BK25" s="27"/>
      <c r="BL25" s="44"/>
      <c r="BM25" s="45" t="s">
        <v>155</v>
      </c>
      <c r="BN25" s="39" t="s">
        <v>9</v>
      </c>
      <c r="BO25" s="39">
        <v>10</v>
      </c>
      <c r="BP25" s="39" t="s">
        <v>152</v>
      </c>
      <c r="BQ25" s="27">
        <v>22</v>
      </c>
      <c r="BR25" s="10" t="s">
        <v>5</v>
      </c>
      <c r="BS25" s="43" t="s">
        <v>189</v>
      </c>
      <c r="BT25" s="27"/>
      <c r="BU25" s="44"/>
      <c r="BV25" s="45" t="s">
        <v>155</v>
      </c>
      <c r="BW25" s="39" t="s">
        <v>9</v>
      </c>
      <c r="BX25" s="39">
        <v>10</v>
      </c>
      <c r="BY25" s="39" t="s">
        <v>152</v>
      </c>
      <c r="BZ25" s="27">
        <v>22</v>
      </c>
      <c r="CA25" s="39" t="s">
        <v>192</v>
      </c>
      <c r="CB25" s="41" t="s">
        <v>186</v>
      </c>
      <c r="CC25" s="27"/>
      <c r="CD25" s="44"/>
      <c r="CE25" s="45" t="s">
        <v>155</v>
      </c>
      <c r="CF25" s="39" t="s">
        <v>9</v>
      </c>
      <c r="CG25" s="39">
        <v>10</v>
      </c>
      <c r="CH25" s="39" t="s">
        <v>152</v>
      </c>
      <c r="CI25" s="27">
        <v>22</v>
      </c>
      <c r="CJ25" s="39" t="s">
        <v>52</v>
      </c>
      <c r="CK25" s="41" t="s">
        <v>176</v>
      </c>
    </row>
    <row r="26" spans="1:89" x14ac:dyDescent="0.25">
      <c r="A26" s="42"/>
      <c r="B26" s="34" t="s">
        <v>151</v>
      </c>
      <c r="C26" s="10" t="s">
        <v>9</v>
      </c>
      <c r="D26" s="10">
        <v>11</v>
      </c>
      <c r="E26" s="10" t="s">
        <v>152</v>
      </c>
      <c r="F26">
        <v>23</v>
      </c>
      <c r="G26" s="10" t="s">
        <v>194</v>
      </c>
      <c r="H26" s="43" t="s">
        <v>167</v>
      </c>
      <c r="J26" s="42"/>
      <c r="K26" s="34" t="s">
        <v>155</v>
      </c>
      <c r="L26" s="10" t="s">
        <v>9</v>
      </c>
      <c r="M26" s="10">
        <v>11</v>
      </c>
      <c r="N26" s="10" t="s">
        <v>152</v>
      </c>
      <c r="O26">
        <v>23</v>
      </c>
      <c r="P26" s="10" t="s">
        <v>195</v>
      </c>
      <c r="Q26" s="43" t="s">
        <v>165</v>
      </c>
      <c r="S26" s="42"/>
      <c r="T26" s="34" t="s">
        <v>155</v>
      </c>
      <c r="U26" s="10" t="s">
        <v>9</v>
      </c>
      <c r="V26" s="10">
        <v>11</v>
      </c>
      <c r="W26" s="10" t="s">
        <v>152</v>
      </c>
      <c r="X26">
        <v>23</v>
      </c>
      <c r="Y26" s="10" t="s">
        <v>193</v>
      </c>
      <c r="Z26" s="43" t="s">
        <v>166</v>
      </c>
      <c r="AB26" s="42"/>
      <c r="AC26" s="34" t="s">
        <v>155</v>
      </c>
      <c r="AD26" s="10" t="s">
        <v>9</v>
      </c>
      <c r="AE26" s="10">
        <v>11</v>
      </c>
      <c r="AF26" s="10" t="s">
        <v>152</v>
      </c>
      <c r="AG26">
        <v>23</v>
      </c>
      <c r="AH26" s="10"/>
      <c r="AI26" s="43"/>
      <c r="AK26" s="44"/>
      <c r="AL26" s="45" t="s">
        <v>155</v>
      </c>
      <c r="AM26" s="39" t="s">
        <v>9</v>
      </c>
      <c r="AN26" s="39">
        <v>11</v>
      </c>
      <c r="AO26" s="39" t="s">
        <v>152</v>
      </c>
      <c r="AP26" s="27">
        <v>23</v>
      </c>
      <c r="AQ26" s="39" t="s">
        <v>19</v>
      </c>
      <c r="AR26" s="40" t="s">
        <v>160</v>
      </c>
      <c r="AS26" s="27"/>
      <c r="AT26" s="44"/>
      <c r="AU26" s="45" t="s">
        <v>155</v>
      </c>
      <c r="AV26" s="39" t="s">
        <v>9</v>
      </c>
      <c r="AW26" s="39">
        <v>11</v>
      </c>
      <c r="AX26" s="39" t="s">
        <v>152</v>
      </c>
      <c r="AY26" s="27">
        <v>23</v>
      </c>
      <c r="AZ26" s="39" t="s">
        <v>21</v>
      </c>
      <c r="BA26" s="41" t="s">
        <v>161</v>
      </c>
      <c r="BB26" s="27"/>
      <c r="BC26" s="44"/>
      <c r="BD26" s="45" t="s">
        <v>155</v>
      </c>
      <c r="BE26" s="39" t="s">
        <v>9</v>
      </c>
      <c r="BF26" s="39">
        <v>11</v>
      </c>
      <c r="BG26" s="39" t="s">
        <v>152</v>
      </c>
      <c r="BH26" s="27">
        <v>23</v>
      </c>
      <c r="BI26" s="39">
        <v>2018</v>
      </c>
      <c r="BJ26" s="41" t="s">
        <v>181</v>
      </c>
      <c r="BK26" s="27"/>
      <c r="BL26" s="44"/>
      <c r="BM26" s="45" t="s">
        <v>155</v>
      </c>
      <c r="BN26" s="39" t="s">
        <v>9</v>
      </c>
      <c r="BO26" s="39">
        <v>11</v>
      </c>
      <c r="BP26" s="39" t="s">
        <v>152</v>
      </c>
      <c r="BQ26" s="27">
        <v>23</v>
      </c>
      <c r="BR26" s="39">
        <v>2014</v>
      </c>
      <c r="BS26" s="40" t="s">
        <v>160</v>
      </c>
      <c r="BT26" s="27">
        <v>11</v>
      </c>
      <c r="BU26" s="44"/>
      <c r="BV26" s="45" t="s">
        <v>155</v>
      </c>
      <c r="BW26" s="39" t="s">
        <v>9</v>
      </c>
      <c r="BX26" s="39">
        <v>11</v>
      </c>
      <c r="BY26" s="39" t="s">
        <v>152</v>
      </c>
      <c r="BZ26" s="27">
        <v>23</v>
      </c>
      <c r="CA26" s="39" t="s">
        <v>192</v>
      </c>
      <c r="CB26" s="41" t="s">
        <v>188</v>
      </c>
      <c r="CC26" s="27"/>
      <c r="CD26" s="44"/>
      <c r="CE26" s="45" t="s">
        <v>155</v>
      </c>
      <c r="CF26" s="39" t="s">
        <v>9</v>
      </c>
      <c r="CG26" s="39">
        <v>11</v>
      </c>
      <c r="CH26" s="39" t="s">
        <v>152</v>
      </c>
      <c r="CI26" s="27">
        <v>23</v>
      </c>
      <c r="CJ26" s="39" t="s">
        <v>52</v>
      </c>
      <c r="CK26" s="41" t="s">
        <v>164</v>
      </c>
    </row>
    <row r="27" spans="1:89" ht="15.75" thickBot="1" x14ac:dyDescent="0.3">
      <c r="A27" s="47"/>
      <c r="B27" s="48" t="s">
        <v>151</v>
      </c>
      <c r="C27" s="49" t="s">
        <v>9</v>
      </c>
      <c r="D27" s="49">
        <v>12</v>
      </c>
      <c r="E27" s="49" t="s">
        <v>152</v>
      </c>
      <c r="F27" s="50">
        <v>24</v>
      </c>
      <c r="G27" s="49" t="s">
        <v>194</v>
      </c>
      <c r="H27" s="51" t="s">
        <v>175</v>
      </c>
      <c r="J27" s="47"/>
      <c r="K27" s="48" t="s">
        <v>155</v>
      </c>
      <c r="L27" s="49" t="s">
        <v>9</v>
      </c>
      <c r="M27" s="49">
        <v>12</v>
      </c>
      <c r="N27" s="49" t="s">
        <v>152</v>
      </c>
      <c r="O27" s="50">
        <v>24</v>
      </c>
      <c r="P27" s="49" t="s">
        <v>195</v>
      </c>
      <c r="Q27" s="51" t="s">
        <v>173</v>
      </c>
      <c r="S27" s="47"/>
      <c r="T27" s="48" t="s">
        <v>155</v>
      </c>
      <c r="U27" s="49" t="s">
        <v>9</v>
      </c>
      <c r="V27" s="49">
        <v>12</v>
      </c>
      <c r="W27" s="49" t="s">
        <v>152</v>
      </c>
      <c r="X27" s="50">
        <v>24</v>
      </c>
      <c r="Y27" s="49" t="s">
        <v>193</v>
      </c>
      <c r="Z27" s="51" t="s">
        <v>174</v>
      </c>
      <c r="AB27" s="47"/>
      <c r="AC27" s="48" t="s">
        <v>155</v>
      </c>
      <c r="AD27" s="49" t="s">
        <v>9</v>
      </c>
      <c r="AE27" s="49">
        <v>12</v>
      </c>
      <c r="AF27" s="49" t="s">
        <v>152</v>
      </c>
      <c r="AG27" s="50">
        <v>24</v>
      </c>
      <c r="AH27" s="49"/>
      <c r="AI27" s="51"/>
      <c r="AK27" s="52"/>
      <c r="AL27" s="53" t="s">
        <v>155</v>
      </c>
      <c r="AM27" s="54" t="s">
        <v>9</v>
      </c>
      <c r="AN27" s="54">
        <v>12</v>
      </c>
      <c r="AO27" s="54" t="s">
        <v>152</v>
      </c>
      <c r="AP27" s="55">
        <v>24</v>
      </c>
      <c r="AQ27" s="39" t="s">
        <v>19</v>
      </c>
      <c r="AR27" s="41" t="s">
        <v>168</v>
      </c>
      <c r="AS27" s="27"/>
      <c r="AT27" s="52"/>
      <c r="AU27" s="53" t="s">
        <v>155</v>
      </c>
      <c r="AV27" s="54" t="s">
        <v>9</v>
      </c>
      <c r="AW27" s="54">
        <v>12</v>
      </c>
      <c r="AX27" s="54" t="s">
        <v>152</v>
      </c>
      <c r="AY27" s="55">
        <v>24</v>
      </c>
      <c r="AZ27" s="39" t="s">
        <v>21</v>
      </c>
      <c r="BA27" s="46" t="s">
        <v>169</v>
      </c>
      <c r="BB27" s="27"/>
      <c r="BC27" s="52"/>
      <c r="BD27" s="53" t="s">
        <v>155</v>
      </c>
      <c r="BE27" s="54" t="s">
        <v>9</v>
      </c>
      <c r="BF27" s="54">
        <v>12</v>
      </c>
      <c r="BG27" s="54" t="s">
        <v>152</v>
      </c>
      <c r="BH27" s="55">
        <v>24</v>
      </c>
      <c r="BI27" s="39">
        <v>2018</v>
      </c>
      <c r="BJ27" s="41" t="s">
        <v>183</v>
      </c>
      <c r="BK27" s="27"/>
      <c r="BL27" s="52"/>
      <c r="BM27" s="53" t="s">
        <v>155</v>
      </c>
      <c r="BN27" s="54" t="s">
        <v>9</v>
      </c>
      <c r="BO27" s="54">
        <v>12</v>
      </c>
      <c r="BP27" s="54" t="s">
        <v>152</v>
      </c>
      <c r="BQ27" s="55">
        <v>24</v>
      </c>
      <c r="BR27" s="39">
        <v>2014</v>
      </c>
      <c r="BS27" s="41" t="s">
        <v>168</v>
      </c>
      <c r="BT27" s="27">
        <v>12</v>
      </c>
      <c r="BU27" s="52"/>
      <c r="BV27" s="53" t="s">
        <v>155</v>
      </c>
      <c r="BW27" s="54" t="s">
        <v>9</v>
      </c>
      <c r="BX27" s="54">
        <v>12</v>
      </c>
      <c r="BY27" s="54" t="s">
        <v>152</v>
      </c>
      <c r="BZ27" s="55">
        <v>24</v>
      </c>
      <c r="CA27" s="39" t="s">
        <v>192</v>
      </c>
      <c r="CB27" s="41" t="s">
        <v>182</v>
      </c>
      <c r="CC27" s="27"/>
      <c r="CD27" s="52"/>
      <c r="CE27" s="53" t="s">
        <v>155</v>
      </c>
      <c r="CF27" s="54" t="s">
        <v>9</v>
      </c>
      <c r="CG27" s="54">
        <v>12</v>
      </c>
      <c r="CH27" s="54" t="s">
        <v>152</v>
      </c>
      <c r="CI27" s="55">
        <v>24</v>
      </c>
      <c r="CJ27" s="39" t="s">
        <v>52</v>
      </c>
      <c r="CK27" s="41" t="s">
        <v>172</v>
      </c>
    </row>
    <row r="28" spans="1:89" x14ac:dyDescent="0.25">
      <c r="A28" s="56"/>
      <c r="B28" s="57" t="s">
        <v>151</v>
      </c>
      <c r="C28" s="58" t="s">
        <v>12</v>
      </c>
      <c r="D28" s="58">
        <v>1</v>
      </c>
      <c r="E28" s="58" t="s">
        <v>152</v>
      </c>
      <c r="F28" s="59">
        <v>25</v>
      </c>
      <c r="G28" s="10" t="s">
        <v>194</v>
      </c>
      <c r="H28" s="43" t="s">
        <v>157</v>
      </c>
      <c r="J28" s="56"/>
      <c r="K28" s="31" t="s">
        <v>155</v>
      </c>
      <c r="L28" s="58" t="s">
        <v>12</v>
      </c>
      <c r="M28" s="58">
        <v>1</v>
      </c>
      <c r="N28" s="58" t="s">
        <v>152</v>
      </c>
      <c r="O28" s="59">
        <v>25</v>
      </c>
      <c r="P28" s="10" t="s">
        <v>195</v>
      </c>
      <c r="Q28" s="43" t="s">
        <v>159</v>
      </c>
      <c r="S28" s="56"/>
      <c r="T28" s="31" t="s">
        <v>155</v>
      </c>
      <c r="U28" s="58" t="s">
        <v>12</v>
      </c>
      <c r="V28" s="58">
        <v>1</v>
      </c>
      <c r="W28" s="58" t="s">
        <v>152</v>
      </c>
      <c r="X28" s="59">
        <v>25</v>
      </c>
      <c r="Y28" s="10" t="s">
        <v>196</v>
      </c>
      <c r="Z28" s="43" t="s">
        <v>154</v>
      </c>
      <c r="AB28" s="56"/>
      <c r="AC28" s="31" t="s">
        <v>155</v>
      </c>
      <c r="AD28" s="58" t="s">
        <v>12</v>
      </c>
      <c r="AE28" s="58">
        <v>1</v>
      </c>
      <c r="AF28" s="58" t="s">
        <v>152</v>
      </c>
      <c r="AG28" s="59">
        <v>25</v>
      </c>
      <c r="AH28" s="10"/>
      <c r="AI28" s="43"/>
      <c r="AK28" s="60"/>
      <c r="AL28" s="36" t="s">
        <v>155</v>
      </c>
      <c r="AM28" s="61" t="s">
        <v>12</v>
      </c>
      <c r="AN28" s="61">
        <v>1</v>
      </c>
      <c r="AO28" s="61" t="s">
        <v>152</v>
      </c>
      <c r="AP28" s="62">
        <v>25</v>
      </c>
      <c r="AQ28" s="39" t="s">
        <v>19</v>
      </c>
      <c r="AR28" s="41" t="s">
        <v>176</v>
      </c>
      <c r="AS28" s="27"/>
      <c r="AT28" s="60"/>
      <c r="AU28" s="36" t="s">
        <v>155</v>
      </c>
      <c r="AV28" s="61" t="s">
        <v>12</v>
      </c>
      <c r="AW28" s="61">
        <v>1</v>
      </c>
      <c r="AX28" s="61" t="s">
        <v>152</v>
      </c>
      <c r="AY28" s="62">
        <v>25</v>
      </c>
      <c r="AZ28" s="39" t="s">
        <v>21</v>
      </c>
      <c r="BA28" s="41" t="s">
        <v>177</v>
      </c>
      <c r="BB28" s="27"/>
      <c r="BC28" s="60"/>
      <c r="BD28" s="36" t="s">
        <v>155</v>
      </c>
      <c r="BE28" s="61" t="s">
        <v>12</v>
      </c>
      <c r="BF28" s="61">
        <v>1</v>
      </c>
      <c r="BG28" s="61" t="s">
        <v>152</v>
      </c>
      <c r="BH28" s="62">
        <v>25</v>
      </c>
      <c r="BI28" s="39">
        <v>2018</v>
      </c>
      <c r="BJ28" s="41" t="s">
        <v>186</v>
      </c>
      <c r="BK28" s="27"/>
      <c r="BL28" s="60"/>
      <c r="BM28" s="36" t="s">
        <v>155</v>
      </c>
      <c r="BN28" s="61" t="s">
        <v>12</v>
      </c>
      <c r="BO28" s="61">
        <v>1</v>
      </c>
      <c r="BP28" s="61" t="s">
        <v>152</v>
      </c>
      <c r="BQ28" s="62">
        <v>25</v>
      </c>
      <c r="BR28" s="39">
        <v>2014</v>
      </c>
      <c r="BS28" s="41" t="s">
        <v>176</v>
      </c>
      <c r="BT28" s="27">
        <v>13</v>
      </c>
      <c r="BU28" s="60"/>
      <c r="BV28" s="36" t="s">
        <v>155</v>
      </c>
      <c r="BW28" s="61" t="s">
        <v>12</v>
      </c>
      <c r="BX28" s="61">
        <v>1</v>
      </c>
      <c r="BY28" s="61" t="s">
        <v>152</v>
      </c>
      <c r="BZ28" s="62">
        <v>25</v>
      </c>
      <c r="CA28" s="39" t="s">
        <v>192</v>
      </c>
      <c r="CB28" s="41" t="s">
        <v>184</v>
      </c>
      <c r="CC28" s="27"/>
      <c r="CD28" s="60"/>
      <c r="CE28" s="36" t="s">
        <v>155</v>
      </c>
      <c r="CF28" s="61" t="s">
        <v>12</v>
      </c>
      <c r="CG28" s="61">
        <v>1</v>
      </c>
      <c r="CH28" s="61" t="s">
        <v>152</v>
      </c>
      <c r="CI28" s="62">
        <v>25</v>
      </c>
      <c r="CJ28" s="39" t="s">
        <v>52</v>
      </c>
      <c r="CK28" s="41" t="s">
        <v>162</v>
      </c>
    </row>
    <row r="29" spans="1:89" x14ac:dyDescent="0.25">
      <c r="A29" s="42"/>
      <c r="B29" s="34" t="s">
        <v>151</v>
      </c>
      <c r="C29" s="10" t="s">
        <v>12</v>
      </c>
      <c r="D29" s="10">
        <v>2</v>
      </c>
      <c r="E29" s="10" t="s">
        <v>152</v>
      </c>
      <c r="F29">
        <v>26</v>
      </c>
      <c r="G29" s="10" t="s">
        <v>194</v>
      </c>
      <c r="H29" s="43" t="s">
        <v>166</v>
      </c>
      <c r="J29" s="42"/>
      <c r="K29" s="34" t="s">
        <v>155</v>
      </c>
      <c r="L29" s="10" t="s">
        <v>12</v>
      </c>
      <c r="M29" s="10">
        <v>2</v>
      </c>
      <c r="N29" s="10" t="s">
        <v>152</v>
      </c>
      <c r="O29">
        <v>26</v>
      </c>
      <c r="P29" s="10" t="s">
        <v>195</v>
      </c>
      <c r="Q29" s="43" t="s">
        <v>167</v>
      </c>
      <c r="S29" s="42"/>
      <c r="T29" s="34" t="s">
        <v>155</v>
      </c>
      <c r="U29" s="10" t="s">
        <v>12</v>
      </c>
      <c r="V29" s="10">
        <v>2</v>
      </c>
      <c r="W29" s="10" t="s">
        <v>152</v>
      </c>
      <c r="X29">
        <v>26</v>
      </c>
      <c r="Y29" s="10" t="s">
        <v>196</v>
      </c>
      <c r="Z29" s="43" t="s">
        <v>165</v>
      </c>
      <c r="AB29" s="42"/>
      <c r="AC29" s="34" t="s">
        <v>155</v>
      </c>
      <c r="AD29" s="10" t="s">
        <v>12</v>
      </c>
      <c r="AE29" s="10">
        <v>2</v>
      </c>
      <c r="AF29" s="10" t="s">
        <v>152</v>
      </c>
      <c r="AG29">
        <v>26</v>
      </c>
      <c r="AH29" s="10"/>
      <c r="AI29" s="43"/>
      <c r="AK29" s="44"/>
      <c r="AL29" s="45" t="s">
        <v>155</v>
      </c>
      <c r="AM29" s="39" t="s">
        <v>12</v>
      </c>
      <c r="AN29" s="39">
        <v>2</v>
      </c>
      <c r="AO29" s="39" t="s">
        <v>152</v>
      </c>
      <c r="AP29" s="27">
        <v>26</v>
      </c>
      <c r="AQ29" s="39" t="s">
        <v>19</v>
      </c>
      <c r="AR29" s="41" t="s">
        <v>164</v>
      </c>
      <c r="AS29" s="27"/>
      <c r="AT29" s="44"/>
      <c r="AU29" s="45" t="s">
        <v>155</v>
      </c>
      <c r="AV29" s="39" t="s">
        <v>12</v>
      </c>
      <c r="AW29" s="39">
        <v>2</v>
      </c>
      <c r="AX29" s="39" t="s">
        <v>152</v>
      </c>
      <c r="AY29" s="27">
        <v>26</v>
      </c>
      <c r="AZ29" s="39" t="s">
        <v>21</v>
      </c>
      <c r="BA29" s="41" t="s">
        <v>180</v>
      </c>
      <c r="BB29" s="27"/>
      <c r="BC29" s="44"/>
      <c r="BD29" s="45" t="s">
        <v>155</v>
      </c>
      <c r="BE29" s="39" t="s">
        <v>12</v>
      </c>
      <c r="BF29" s="39">
        <v>2</v>
      </c>
      <c r="BG29" s="39" t="s">
        <v>152</v>
      </c>
      <c r="BH29" s="27">
        <v>26</v>
      </c>
      <c r="BI29" s="39">
        <v>2018</v>
      </c>
      <c r="BJ29" s="41" t="s">
        <v>188</v>
      </c>
      <c r="BK29" s="27"/>
      <c r="BL29" s="44"/>
      <c r="BM29" s="45" t="s">
        <v>155</v>
      </c>
      <c r="BN29" s="39" t="s">
        <v>12</v>
      </c>
      <c r="BO29" s="39">
        <v>2</v>
      </c>
      <c r="BP29" s="39" t="s">
        <v>152</v>
      </c>
      <c r="BQ29" s="27">
        <v>26</v>
      </c>
      <c r="BR29" s="39">
        <v>2014</v>
      </c>
      <c r="BS29" s="41" t="s">
        <v>164</v>
      </c>
      <c r="BT29" s="27">
        <v>14</v>
      </c>
      <c r="BU29" s="44"/>
      <c r="BV29" s="45" t="s">
        <v>155</v>
      </c>
      <c r="BW29" s="39" t="s">
        <v>12</v>
      </c>
      <c r="BX29" s="39">
        <v>2</v>
      </c>
      <c r="BY29" s="39" t="s">
        <v>152</v>
      </c>
      <c r="BZ29" s="27">
        <v>26</v>
      </c>
      <c r="CA29" s="39" t="s">
        <v>192</v>
      </c>
      <c r="CB29" s="41" t="s">
        <v>187</v>
      </c>
      <c r="CC29" s="27"/>
      <c r="CD29" s="44"/>
      <c r="CE29" s="45" t="s">
        <v>155</v>
      </c>
      <c r="CF29" s="39" t="s">
        <v>12</v>
      </c>
      <c r="CG29" s="39">
        <v>2</v>
      </c>
      <c r="CH29" s="39" t="s">
        <v>152</v>
      </c>
      <c r="CI29" s="27">
        <v>26</v>
      </c>
      <c r="CJ29" s="39" t="s">
        <v>52</v>
      </c>
      <c r="CK29" s="41" t="s">
        <v>170</v>
      </c>
    </row>
    <row r="30" spans="1:89" ht="15.75" thickBot="1" x14ac:dyDescent="0.3">
      <c r="A30" s="42"/>
      <c r="B30" s="34" t="s">
        <v>151</v>
      </c>
      <c r="C30" s="10" t="s">
        <v>12</v>
      </c>
      <c r="D30" s="10">
        <v>3</v>
      </c>
      <c r="E30" s="10" t="s">
        <v>152</v>
      </c>
      <c r="F30">
        <v>27</v>
      </c>
      <c r="G30" s="10" t="s">
        <v>194</v>
      </c>
      <c r="H30" s="43" t="s">
        <v>174</v>
      </c>
      <c r="J30" s="42"/>
      <c r="K30" s="34" t="s">
        <v>155</v>
      </c>
      <c r="L30" s="10" t="s">
        <v>12</v>
      </c>
      <c r="M30" s="10">
        <v>3</v>
      </c>
      <c r="N30" s="10" t="s">
        <v>152</v>
      </c>
      <c r="O30">
        <v>27</v>
      </c>
      <c r="P30" s="10" t="s">
        <v>195</v>
      </c>
      <c r="Q30" s="43" t="s">
        <v>175</v>
      </c>
      <c r="S30" s="42"/>
      <c r="T30" s="34" t="s">
        <v>155</v>
      </c>
      <c r="U30" s="10" t="s">
        <v>12</v>
      </c>
      <c r="V30" s="10">
        <v>3</v>
      </c>
      <c r="W30" s="10" t="s">
        <v>152</v>
      </c>
      <c r="X30">
        <v>27</v>
      </c>
      <c r="Y30" s="10" t="s">
        <v>196</v>
      </c>
      <c r="Z30" s="43" t="s">
        <v>173</v>
      </c>
      <c r="AB30" s="42"/>
      <c r="AC30" s="34" t="s">
        <v>155</v>
      </c>
      <c r="AD30" s="10" t="s">
        <v>12</v>
      </c>
      <c r="AE30" s="10">
        <v>3</v>
      </c>
      <c r="AF30" s="10" t="s">
        <v>152</v>
      </c>
      <c r="AG30">
        <v>27</v>
      </c>
      <c r="AH30" s="10"/>
      <c r="AI30" s="43"/>
      <c r="AK30" s="44"/>
      <c r="AL30" s="45" t="s">
        <v>155</v>
      </c>
      <c r="AM30" s="39" t="s">
        <v>12</v>
      </c>
      <c r="AN30" s="39">
        <v>3</v>
      </c>
      <c r="AO30" s="39" t="s">
        <v>152</v>
      </c>
      <c r="AP30" s="27">
        <v>27</v>
      </c>
      <c r="AQ30" s="39" t="s">
        <v>19</v>
      </c>
      <c r="AR30" s="41" t="s">
        <v>172</v>
      </c>
      <c r="AS30" s="27"/>
      <c r="AT30" s="44"/>
      <c r="AU30" s="45" t="s">
        <v>155</v>
      </c>
      <c r="AV30" s="39" t="s">
        <v>12</v>
      </c>
      <c r="AW30" s="39">
        <v>3</v>
      </c>
      <c r="AX30" s="39" t="s">
        <v>152</v>
      </c>
      <c r="AY30" s="27">
        <v>27</v>
      </c>
      <c r="AZ30" s="39" t="s">
        <v>21</v>
      </c>
      <c r="BA30" s="41" t="s">
        <v>181</v>
      </c>
      <c r="BB30" s="27"/>
      <c r="BC30" s="44"/>
      <c r="BD30" s="45" t="s">
        <v>155</v>
      </c>
      <c r="BE30" s="39" t="s">
        <v>12</v>
      </c>
      <c r="BF30" s="39">
        <v>3</v>
      </c>
      <c r="BG30" s="39" t="s">
        <v>152</v>
      </c>
      <c r="BH30" s="27">
        <v>27</v>
      </c>
      <c r="BI30" s="39">
        <v>2018</v>
      </c>
      <c r="BJ30" s="41" t="s">
        <v>182</v>
      </c>
      <c r="BK30" s="27"/>
      <c r="BL30" s="44"/>
      <c r="BM30" s="45" t="s">
        <v>155</v>
      </c>
      <c r="BN30" s="39" t="s">
        <v>12</v>
      </c>
      <c r="BO30" s="39">
        <v>3</v>
      </c>
      <c r="BP30" s="39" t="s">
        <v>152</v>
      </c>
      <c r="BQ30" s="27">
        <v>27</v>
      </c>
      <c r="BR30" s="39">
        <v>2014</v>
      </c>
      <c r="BS30" s="41" t="s">
        <v>172</v>
      </c>
      <c r="BT30" s="27">
        <v>15</v>
      </c>
      <c r="BU30" s="44"/>
      <c r="BV30" s="45" t="s">
        <v>155</v>
      </c>
      <c r="BW30" s="39" t="s">
        <v>12</v>
      </c>
      <c r="BX30" s="39">
        <v>3</v>
      </c>
      <c r="BY30" s="39" t="s">
        <v>152</v>
      </c>
      <c r="BZ30" s="27">
        <v>27</v>
      </c>
      <c r="CA30" s="39" t="s">
        <v>192</v>
      </c>
      <c r="CB30" s="41" t="s">
        <v>189</v>
      </c>
      <c r="CC30" s="27"/>
      <c r="CD30" s="44"/>
      <c r="CE30" s="45" t="s">
        <v>155</v>
      </c>
      <c r="CF30" s="39" t="s">
        <v>12</v>
      </c>
      <c r="CG30" s="39">
        <v>3</v>
      </c>
      <c r="CH30" s="39" t="s">
        <v>152</v>
      </c>
      <c r="CI30" s="27">
        <v>27</v>
      </c>
      <c r="CJ30" s="39" t="s">
        <v>52</v>
      </c>
      <c r="CK30" s="41" t="s">
        <v>178</v>
      </c>
    </row>
    <row r="31" spans="1:89" x14ac:dyDescent="0.25">
      <c r="A31" s="42"/>
      <c r="B31" s="34" t="s">
        <v>151</v>
      </c>
      <c r="C31" s="10" t="s">
        <v>12</v>
      </c>
      <c r="D31" s="10">
        <v>4</v>
      </c>
      <c r="E31" s="10" t="s">
        <v>152</v>
      </c>
      <c r="F31">
        <v>28</v>
      </c>
      <c r="G31" s="10" t="s">
        <v>197</v>
      </c>
      <c r="H31" s="43" t="s">
        <v>154</v>
      </c>
      <c r="J31" s="42"/>
      <c r="K31" s="34" t="s">
        <v>155</v>
      </c>
      <c r="L31" s="10" t="s">
        <v>12</v>
      </c>
      <c r="M31" s="10">
        <v>4</v>
      </c>
      <c r="N31" s="10" t="s">
        <v>152</v>
      </c>
      <c r="O31">
        <v>28</v>
      </c>
      <c r="P31" s="10" t="s">
        <v>195</v>
      </c>
      <c r="Q31" s="43" t="s">
        <v>157</v>
      </c>
      <c r="S31" s="42"/>
      <c r="T31" s="34" t="s">
        <v>155</v>
      </c>
      <c r="U31" s="10" t="s">
        <v>12</v>
      </c>
      <c r="V31" s="10">
        <v>4</v>
      </c>
      <c r="W31" s="10" t="s">
        <v>152</v>
      </c>
      <c r="X31">
        <v>28</v>
      </c>
      <c r="Y31" s="10" t="s">
        <v>196</v>
      </c>
      <c r="Z31" s="43" t="s">
        <v>159</v>
      </c>
      <c r="AB31" s="42"/>
      <c r="AC31" s="34" t="s">
        <v>155</v>
      </c>
      <c r="AD31" s="10" t="s">
        <v>12</v>
      </c>
      <c r="AE31" s="10">
        <v>4</v>
      </c>
      <c r="AF31" s="10" t="s">
        <v>152</v>
      </c>
      <c r="AG31">
        <v>28</v>
      </c>
      <c r="AH31" s="10"/>
      <c r="AI31" s="43"/>
      <c r="AK31" s="44"/>
      <c r="AL31" s="45" t="s">
        <v>155</v>
      </c>
      <c r="AM31" s="39" t="s">
        <v>12</v>
      </c>
      <c r="AN31" s="39">
        <v>4</v>
      </c>
      <c r="AO31" s="39" t="s">
        <v>152</v>
      </c>
      <c r="AP31" s="27">
        <v>28</v>
      </c>
      <c r="AQ31" s="39" t="s">
        <v>19</v>
      </c>
      <c r="AR31" s="41" t="s">
        <v>162</v>
      </c>
      <c r="AS31" s="27"/>
      <c r="AT31" s="44"/>
      <c r="AU31" s="45" t="s">
        <v>155</v>
      </c>
      <c r="AV31" s="39" t="s">
        <v>12</v>
      </c>
      <c r="AW31" s="39">
        <v>4</v>
      </c>
      <c r="AX31" s="39" t="s">
        <v>152</v>
      </c>
      <c r="AY31" s="27">
        <v>28</v>
      </c>
      <c r="AZ31" s="39" t="s">
        <v>21</v>
      </c>
      <c r="BA31" s="41" t="s">
        <v>183</v>
      </c>
      <c r="BB31" s="27"/>
      <c r="BC31" s="44"/>
      <c r="BD31" s="45" t="s">
        <v>155</v>
      </c>
      <c r="BE31" s="39" t="s">
        <v>12</v>
      </c>
      <c r="BF31" s="39">
        <v>4</v>
      </c>
      <c r="BG31" s="39" t="s">
        <v>152</v>
      </c>
      <c r="BH31" s="27">
        <v>28</v>
      </c>
      <c r="BI31" s="39">
        <v>2018</v>
      </c>
      <c r="BJ31" s="41" t="s">
        <v>184</v>
      </c>
      <c r="BK31" s="27"/>
      <c r="BL31" s="44"/>
      <c r="BM31" s="45" t="s">
        <v>155</v>
      </c>
      <c r="BN31" s="39" t="s">
        <v>12</v>
      </c>
      <c r="BO31" s="39">
        <v>4</v>
      </c>
      <c r="BP31" s="39" t="s">
        <v>152</v>
      </c>
      <c r="BQ31" s="27">
        <v>28</v>
      </c>
      <c r="BR31" s="39">
        <v>2014</v>
      </c>
      <c r="BS31" s="41" t="s">
        <v>162</v>
      </c>
      <c r="BT31" s="27"/>
      <c r="BU31" s="44"/>
      <c r="BV31" s="45" t="s">
        <v>155</v>
      </c>
      <c r="BW31" s="39" t="s">
        <v>12</v>
      </c>
      <c r="BX31" s="39">
        <v>4</v>
      </c>
      <c r="BY31" s="39" t="s">
        <v>152</v>
      </c>
      <c r="BZ31" s="27">
        <v>28</v>
      </c>
      <c r="CA31" s="39" t="s">
        <v>50</v>
      </c>
      <c r="CB31" s="40" t="s">
        <v>160</v>
      </c>
      <c r="CC31" s="27"/>
      <c r="CD31" s="44"/>
      <c r="CE31" s="45" t="s">
        <v>155</v>
      </c>
      <c r="CF31" s="39" t="s">
        <v>12</v>
      </c>
      <c r="CG31" s="39">
        <v>4</v>
      </c>
      <c r="CH31" s="39" t="s">
        <v>152</v>
      </c>
      <c r="CI31" s="27">
        <v>28</v>
      </c>
      <c r="CJ31" s="39" t="s">
        <v>52</v>
      </c>
      <c r="CK31" s="41" t="s">
        <v>163</v>
      </c>
    </row>
    <row r="32" spans="1:89" x14ac:dyDescent="0.25">
      <c r="A32" s="42"/>
      <c r="B32" s="34" t="s">
        <v>151</v>
      </c>
      <c r="C32" s="10" t="s">
        <v>12</v>
      </c>
      <c r="D32" s="10">
        <v>5</v>
      </c>
      <c r="E32" s="10" t="s">
        <v>152</v>
      </c>
      <c r="F32">
        <v>29</v>
      </c>
      <c r="G32" s="10" t="s">
        <v>197</v>
      </c>
      <c r="H32" s="43" t="s">
        <v>165</v>
      </c>
      <c r="J32" s="42"/>
      <c r="K32" s="34" t="s">
        <v>155</v>
      </c>
      <c r="L32" s="10" t="s">
        <v>12</v>
      </c>
      <c r="M32" s="10">
        <v>5</v>
      </c>
      <c r="N32" s="10" t="s">
        <v>152</v>
      </c>
      <c r="O32">
        <v>29</v>
      </c>
      <c r="P32" s="10" t="s">
        <v>195</v>
      </c>
      <c r="Q32" s="43" t="s">
        <v>166</v>
      </c>
      <c r="S32" s="42"/>
      <c r="T32" s="34" t="s">
        <v>155</v>
      </c>
      <c r="U32" s="10" t="s">
        <v>12</v>
      </c>
      <c r="V32" s="10">
        <v>5</v>
      </c>
      <c r="W32" s="10" t="s">
        <v>152</v>
      </c>
      <c r="X32">
        <v>29</v>
      </c>
      <c r="Y32" s="10" t="s">
        <v>196</v>
      </c>
      <c r="Z32" s="43" t="s">
        <v>167</v>
      </c>
      <c r="AB32" s="42"/>
      <c r="AC32" s="34" t="s">
        <v>155</v>
      </c>
      <c r="AD32" s="10" t="s">
        <v>12</v>
      </c>
      <c r="AE32" s="10">
        <v>5</v>
      </c>
      <c r="AF32" s="10" t="s">
        <v>152</v>
      </c>
      <c r="AG32">
        <v>29</v>
      </c>
      <c r="AH32" s="10"/>
      <c r="AI32" s="43"/>
      <c r="AK32" s="44"/>
      <c r="AL32" s="45" t="s">
        <v>155</v>
      </c>
      <c r="AM32" s="39" t="s">
        <v>12</v>
      </c>
      <c r="AN32" s="39">
        <v>5</v>
      </c>
      <c r="AO32" s="39" t="s">
        <v>152</v>
      </c>
      <c r="AP32" s="27">
        <v>29</v>
      </c>
      <c r="AQ32" s="39" t="s">
        <v>19</v>
      </c>
      <c r="AR32" s="41" t="s">
        <v>170</v>
      </c>
      <c r="AS32" s="27"/>
      <c r="AT32" s="44"/>
      <c r="AU32" s="45" t="s">
        <v>155</v>
      </c>
      <c r="AV32" s="39" t="s">
        <v>12</v>
      </c>
      <c r="AW32" s="39">
        <v>5</v>
      </c>
      <c r="AX32" s="39" t="s">
        <v>152</v>
      </c>
      <c r="AY32" s="27">
        <v>29</v>
      </c>
      <c r="AZ32" s="39" t="s">
        <v>21</v>
      </c>
      <c r="BA32" s="41" t="s">
        <v>186</v>
      </c>
      <c r="BB32" s="27"/>
      <c r="BC32" s="44"/>
      <c r="BD32" s="45" t="s">
        <v>155</v>
      </c>
      <c r="BE32" s="39" t="s">
        <v>12</v>
      </c>
      <c r="BF32" s="39">
        <v>5</v>
      </c>
      <c r="BG32" s="39" t="s">
        <v>152</v>
      </c>
      <c r="BH32" s="27">
        <v>29</v>
      </c>
      <c r="BI32" s="39">
        <v>2018</v>
      </c>
      <c r="BJ32" s="41" t="s">
        <v>187</v>
      </c>
      <c r="BK32" s="27"/>
      <c r="BL32" s="44"/>
      <c r="BM32" s="45" t="s">
        <v>155</v>
      </c>
      <c r="BN32" s="39" t="s">
        <v>12</v>
      </c>
      <c r="BO32" s="39">
        <v>5</v>
      </c>
      <c r="BP32" s="39" t="s">
        <v>152</v>
      </c>
      <c r="BQ32" s="27">
        <v>29</v>
      </c>
      <c r="BR32" s="39">
        <v>2014</v>
      </c>
      <c r="BS32" s="41" t="s">
        <v>170</v>
      </c>
      <c r="BT32" s="27"/>
      <c r="BU32" s="44"/>
      <c r="BV32" s="45" t="s">
        <v>155</v>
      </c>
      <c r="BW32" s="39" t="s">
        <v>12</v>
      </c>
      <c r="BX32" s="39">
        <v>5</v>
      </c>
      <c r="BY32" s="39" t="s">
        <v>152</v>
      </c>
      <c r="BZ32" s="27">
        <v>29</v>
      </c>
      <c r="CA32" s="39" t="s">
        <v>50</v>
      </c>
      <c r="CB32" s="41" t="s">
        <v>168</v>
      </c>
      <c r="CC32" s="27"/>
      <c r="CD32" s="44"/>
      <c r="CE32" s="45" t="s">
        <v>155</v>
      </c>
      <c r="CF32" s="39" t="s">
        <v>12</v>
      </c>
      <c r="CG32" s="39">
        <v>5</v>
      </c>
      <c r="CH32" s="39" t="s">
        <v>152</v>
      </c>
      <c r="CI32" s="27">
        <v>29</v>
      </c>
      <c r="CJ32" s="39" t="s">
        <v>52</v>
      </c>
      <c r="CK32" s="41" t="s">
        <v>171</v>
      </c>
    </row>
    <row r="33" spans="1:89" ht="15.75" thickBot="1" x14ac:dyDescent="0.3">
      <c r="A33" s="42"/>
      <c r="B33" s="34" t="s">
        <v>151</v>
      </c>
      <c r="C33" s="10" t="s">
        <v>12</v>
      </c>
      <c r="D33" s="10">
        <v>6</v>
      </c>
      <c r="E33" s="10" t="s">
        <v>152</v>
      </c>
      <c r="F33">
        <v>30</v>
      </c>
      <c r="G33" s="10" t="s">
        <v>197</v>
      </c>
      <c r="H33" s="43" t="s">
        <v>173</v>
      </c>
      <c r="J33" s="42"/>
      <c r="K33" s="34" t="s">
        <v>155</v>
      </c>
      <c r="L33" s="10" t="s">
        <v>12</v>
      </c>
      <c r="M33" s="10">
        <v>6</v>
      </c>
      <c r="N33" s="10" t="s">
        <v>152</v>
      </c>
      <c r="O33">
        <v>30</v>
      </c>
      <c r="P33" s="10" t="s">
        <v>195</v>
      </c>
      <c r="Q33" s="43" t="s">
        <v>174</v>
      </c>
      <c r="S33" s="42"/>
      <c r="T33" s="34" t="s">
        <v>155</v>
      </c>
      <c r="U33" s="10" t="s">
        <v>12</v>
      </c>
      <c r="V33" s="10">
        <v>6</v>
      </c>
      <c r="W33" s="10" t="s">
        <v>152</v>
      </c>
      <c r="X33">
        <v>30</v>
      </c>
      <c r="Y33" s="10" t="s">
        <v>196</v>
      </c>
      <c r="Z33" s="43" t="s">
        <v>175</v>
      </c>
      <c r="AB33" s="42"/>
      <c r="AC33" s="34" t="s">
        <v>155</v>
      </c>
      <c r="AD33" s="10" t="s">
        <v>12</v>
      </c>
      <c r="AE33" s="10">
        <v>6</v>
      </c>
      <c r="AF33" s="10" t="s">
        <v>152</v>
      </c>
      <c r="AG33">
        <v>30</v>
      </c>
      <c r="AH33" s="10"/>
      <c r="AI33" s="43"/>
      <c r="AK33" s="44"/>
      <c r="AL33" s="45" t="s">
        <v>155</v>
      </c>
      <c r="AM33" s="39" t="s">
        <v>12</v>
      </c>
      <c r="AN33" s="39">
        <v>6</v>
      </c>
      <c r="AO33" s="39" t="s">
        <v>152</v>
      </c>
      <c r="AP33" s="27">
        <v>30</v>
      </c>
      <c r="AQ33" s="39" t="s">
        <v>19</v>
      </c>
      <c r="AR33" s="41" t="s">
        <v>178</v>
      </c>
      <c r="AS33" s="27"/>
      <c r="AT33" s="44"/>
      <c r="AU33" s="45" t="s">
        <v>155</v>
      </c>
      <c r="AV33" s="39" t="s">
        <v>12</v>
      </c>
      <c r="AW33" s="39">
        <v>6</v>
      </c>
      <c r="AX33" s="39" t="s">
        <v>152</v>
      </c>
      <c r="AY33" s="27">
        <v>30</v>
      </c>
      <c r="AZ33" s="39" t="s">
        <v>21</v>
      </c>
      <c r="BA33" s="41" t="s">
        <v>188</v>
      </c>
      <c r="BB33" s="27"/>
      <c r="BC33" s="44"/>
      <c r="BD33" s="45" t="s">
        <v>155</v>
      </c>
      <c r="BE33" s="39" t="s">
        <v>12</v>
      </c>
      <c r="BF33" s="39">
        <v>6</v>
      </c>
      <c r="BG33" s="39" t="s">
        <v>152</v>
      </c>
      <c r="BH33" s="27">
        <v>30</v>
      </c>
      <c r="BI33" s="39">
        <v>2018</v>
      </c>
      <c r="BJ33" s="41" t="s">
        <v>189</v>
      </c>
      <c r="BK33" s="27"/>
      <c r="BL33" s="44"/>
      <c r="BM33" s="45" t="s">
        <v>155</v>
      </c>
      <c r="BN33" s="39" t="s">
        <v>12</v>
      </c>
      <c r="BO33" s="39">
        <v>6</v>
      </c>
      <c r="BP33" s="39" t="s">
        <v>152</v>
      </c>
      <c r="BQ33" s="27">
        <v>30</v>
      </c>
      <c r="BR33" s="39">
        <v>2014</v>
      </c>
      <c r="BS33" s="41" t="s">
        <v>178</v>
      </c>
      <c r="BT33" s="27"/>
      <c r="BU33" s="44"/>
      <c r="BV33" s="45" t="s">
        <v>155</v>
      </c>
      <c r="BW33" s="39" t="s">
        <v>12</v>
      </c>
      <c r="BX33" s="39">
        <v>6</v>
      </c>
      <c r="BY33" s="39" t="s">
        <v>152</v>
      </c>
      <c r="BZ33" s="27">
        <v>30</v>
      </c>
      <c r="CA33" s="39" t="s">
        <v>50</v>
      </c>
      <c r="CB33" s="41" t="s">
        <v>176</v>
      </c>
      <c r="CC33" s="27"/>
      <c r="CD33" s="44"/>
      <c r="CE33" s="45" t="s">
        <v>155</v>
      </c>
      <c r="CF33" s="39" t="s">
        <v>12</v>
      </c>
      <c r="CG33" s="39">
        <v>6</v>
      </c>
      <c r="CH33" s="39" t="s">
        <v>152</v>
      </c>
      <c r="CI33" s="27">
        <v>30</v>
      </c>
      <c r="CJ33" s="39" t="s">
        <v>52</v>
      </c>
      <c r="CK33" s="41" t="s">
        <v>161</v>
      </c>
    </row>
    <row r="34" spans="1:89" x14ac:dyDescent="0.25">
      <c r="A34" s="42"/>
      <c r="B34" s="34" t="s">
        <v>151</v>
      </c>
      <c r="C34" s="10" t="s">
        <v>12</v>
      </c>
      <c r="D34" s="10">
        <v>7</v>
      </c>
      <c r="E34" s="10" t="s">
        <v>152</v>
      </c>
      <c r="F34">
        <v>31</v>
      </c>
      <c r="G34" s="10" t="s">
        <v>197</v>
      </c>
      <c r="H34" s="43" t="s">
        <v>159</v>
      </c>
      <c r="J34" s="42"/>
      <c r="K34" s="34" t="s">
        <v>155</v>
      </c>
      <c r="L34" s="10" t="s">
        <v>12</v>
      </c>
      <c r="M34" s="10">
        <v>7</v>
      </c>
      <c r="N34" s="10" t="s">
        <v>152</v>
      </c>
      <c r="O34">
        <v>31</v>
      </c>
      <c r="P34" s="10" t="s">
        <v>198</v>
      </c>
      <c r="Q34" s="43" t="s">
        <v>154</v>
      </c>
      <c r="S34" s="42"/>
      <c r="T34" s="34" t="s">
        <v>155</v>
      </c>
      <c r="U34" s="10" t="s">
        <v>12</v>
      </c>
      <c r="V34" s="10">
        <v>7</v>
      </c>
      <c r="W34" s="10" t="s">
        <v>152</v>
      </c>
      <c r="X34">
        <v>31</v>
      </c>
      <c r="Y34" s="10" t="s">
        <v>196</v>
      </c>
      <c r="Z34" s="43" t="s">
        <v>157</v>
      </c>
      <c r="AB34" s="42"/>
      <c r="AC34" s="34" t="s">
        <v>155</v>
      </c>
      <c r="AD34" s="10" t="s">
        <v>12</v>
      </c>
      <c r="AE34" s="10">
        <v>7</v>
      </c>
      <c r="AF34" s="10" t="s">
        <v>152</v>
      </c>
      <c r="AG34">
        <v>31</v>
      </c>
      <c r="AH34" s="10"/>
      <c r="AI34" s="43"/>
      <c r="AK34" s="44"/>
      <c r="AL34" s="45" t="s">
        <v>155</v>
      </c>
      <c r="AM34" s="39" t="s">
        <v>12</v>
      </c>
      <c r="AN34" s="39">
        <v>7</v>
      </c>
      <c r="AO34" s="39" t="s">
        <v>152</v>
      </c>
      <c r="AP34" s="27">
        <v>31</v>
      </c>
      <c r="AQ34" s="39" t="s">
        <v>19</v>
      </c>
      <c r="AR34" s="41" t="s">
        <v>163</v>
      </c>
      <c r="AS34" s="27"/>
      <c r="AT34" s="44"/>
      <c r="AU34" s="45" t="s">
        <v>155</v>
      </c>
      <c r="AV34" s="39" t="s">
        <v>12</v>
      </c>
      <c r="AW34" s="39">
        <v>7</v>
      </c>
      <c r="AX34" s="39" t="s">
        <v>152</v>
      </c>
      <c r="AY34" s="27">
        <v>31</v>
      </c>
      <c r="AZ34" s="39" t="s">
        <v>21</v>
      </c>
      <c r="BA34" s="41" t="s">
        <v>182</v>
      </c>
      <c r="BB34" s="27"/>
      <c r="BC34" s="44"/>
      <c r="BD34" s="45" t="s">
        <v>155</v>
      </c>
      <c r="BE34" s="39" t="s">
        <v>12</v>
      </c>
      <c r="BF34" s="39">
        <v>7</v>
      </c>
      <c r="BG34" s="39" t="s">
        <v>152</v>
      </c>
      <c r="BH34" s="27">
        <v>31</v>
      </c>
      <c r="BI34" s="39" t="s">
        <v>23</v>
      </c>
      <c r="BJ34" s="40" t="s">
        <v>160</v>
      </c>
      <c r="BK34" s="27"/>
      <c r="BL34" s="44"/>
      <c r="BM34" s="45" t="s">
        <v>155</v>
      </c>
      <c r="BN34" s="39" t="s">
        <v>12</v>
      </c>
      <c r="BO34" s="39">
        <v>7</v>
      </c>
      <c r="BP34" s="39" t="s">
        <v>152</v>
      </c>
      <c r="BQ34" s="27">
        <v>31</v>
      </c>
      <c r="BR34" s="39">
        <v>2014</v>
      </c>
      <c r="BS34" s="41" t="s">
        <v>163</v>
      </c>
      <c r="BT34" s="27"/>
      <c r="BU34" s="44"/>
      <c r="BV34" s="45" t="s">
        <v>155</v>
      </c>
      <c r="BW34" s="39" t="s">
        <v>12</v>
      </c>
      <c r="BX34" s="39">
        <v>7</v>
      </c>
      <c r="BY34" s="39" t="s">
        <v>152</v>
      </c>
      <c r="BZ34" s="27">
        <v>31</v>
      </c>
      <c r="CA34" s="39" t="s">
        <v>50</v>
      </c>
      <c r="CB34" s="41" t="s">
        <v>164</v>
      </c>
      <c r="CC34" s="27"/>
      <c r="CD34" s="44"/>
      <c r="CE34" s="45" t="s">
        <v>155</v>
      </c>
      <c r="CF34" s="39" t="s">
        <v>12</v>
      </c>
      <c r="CG34" s="39">
        <v>7</v>
      </c>
      <c r="CH34" s="39" t="s">
        <v>152</v>
      </c>
      <c r="CI34" s="27">
        <v>31</v>
      </c>
      <c r="CJ34" s="39" t="s">
        <v>52</v>
      </c>
      <c r="CK34" s="46" t="s">
        <v>169</v>
      </c>
    </row>
    <row r="35" spans="1:89" x14ac:dyDescent="0.25">
      <c r="A35" s="42"/>
      <c r="B35" s="34" t="s">
        <v>151</v>
      </c>
      <c r="C35" s="10" t="s">
        <v>12</v>
      </c>
      <c r="D35" s="10">
        <v>8</v>
      </c>
      <c r="E35" s="10" t="s">
        <v>152</v>
      </c>
      <c r="F35">
        <v>32</v>
      </c>
      <c r="G35" s="10" t="s">
        <v>197</v>
      </c>
      <c r="H35" s="43" t="s">
        <v>167</v>
      </c>
      <c r="J35" s="42"/>
      <c r="K35" s="34" t="s">
        <v>155</v>
      </c>
      <c r="L35" s="10" t="s">
        <v>12</v>
      </c>
      <c r="M35" s="10">
        <v>8</v>
      </c>
      <c r="N35" s="10" t="s">
        <v>152</v>
      </c>
      <c r="O35">
        <v>32</v>
      </c>
      <c r="P35" s="10" t="s">
        <v>198</v>
      </c>
      <c r="Q35" s="43" t="s">
        <v>165</v>
      </c>
      <c r="S35" s="42"/>
      <c r="T35" s="34" t="s">
        <v>155</v>
      </c>
      <c r="U35" s="10" t="s">
        <v>12</v>
      </c>
      <c r="V35" s="10">
        <v>8</v>
      </c>
      <c r="W35" s="10" t="s">
        <v>152</v>
      </c>
      <c r="X35">
        <v>32</v>
      </c>
      <c r="Y35" s="10" t="s">
        <v>196</v>
      </c>
      <c r="Z35" s="43" t="s">
        <v>166</v>
      </c>
      <c r="AB35" s="42"/>
      <c r="AC35" s="34" t="s">
        <v>155</v>
      </c>
      <c r="AD35" s="10" t="s">
        <v>12</v>
      </c>
      <c r="AE35" s="10">
        <v>8</v>
      </c>
      <c r="AF35" s="10" t="s">
        <v>152</v>
      </c>
      <c r="AG35">
        <v>32</v>
      </c>
      <c r="AH35" s="10"/>
      <c r="AI35" s="43"/>
      <c r="AK35" s="44"/>
      <c r="AL35" s="45" t="s">
        <v>155</v>
      </c>
      <c r="AM35" s="39" t="s">
        <v>12</v>
      </c>
      <c r="AN35" s="39">
        <v>8</v>
      </c>
      <c r="AO35" s="39" t="s">
        <v>152</v>
      </c>
      <c r="AP35" s="27">
        <v>32</v>
      </c>
      <c r="AQ35" s="39" t="s">
        <v>19</v>
      </c>
      <c r="AR35" s="41" t="s">
        <v>171</v>
      </c>
      <c r="AS35" s="27"/>
      <c r="AT35" s="44"/>
      <c r="AU35" s="45" t="s">
        <v>155</v>
      </c>
      <c r="AV35" s="39" t="s">
        <v>12</v>
      </c>
      <c r="AW35" s="39">
        <v>8</v>
      </c>
      <c r="AX35" s="39" t="s">
        <v>152</v>
      </c>
      <c r="AY35" s="27">
        <v>32</v>
      </c>
      <c r="AZ35" s="39" t="s">
        <v>21</v>
      </c>
      <c r="BA35" s="41" t="s">
        <v>184</v>
      </c>
      <c r="BB35" s="27"/>
      <c r="BC35" s="44"/>
      <c r="BD35" s="45" t="s">
        <v>155</v>
      </c>
      <c r="BE35" s="39" t="s">
        <v>12</v>
      </c>
      <c r="BF35" s="39">
        <v>8</v>
      </c>
      <c r="BG35" s="39" t="s">
        <v>152</v>
      </c>
      <c r="BH35" s="27">
        <v>32</v>
      </c>
      <c r="BI35" s="39" t="s">
        <v>23</v>
      </c>
      <c r="BJ35" s="41" t="s">
        <v>168</v>
      </c>
      <c r="BK35" s="27"/>
      <c r="BL35" s="44"/>
      <c r="BM35" s="45" t="s">
        <v>155</v>
      </c>
      <c r="BN35" s="39" t="s">
        <v>12</v>
      </c>
      <c r="BO35" s="39">
        <v>8</v>
      </c>
      <c r="BP35" s="39" t="s">
        <v>152</v>
      </c>
      <c r="BQ35" s="27">
        <v>32</v>
      </c>
      <c r="BR35" s="39">
        <v>2014</v>
      </c>
      <c r="BS35" s="41" t="s">
        <v>171</v>
      </c>
      <c r="BT35" s="27">
        <v>16</v>
      </c>
      <c r="BU35" s="44"/>
      <c r="BV35" s="45" t="s">
        <v>155</v>
      </c>
      <c r="BW35" s="39" t="s">
        <v>12</v>
      </c>
      <c r="BX35" s="39">
        <v>8</v>
      </c>
      <c r="BY35" s="39" t="s">
        <v>152</v>
      </c>
      <c r="BZ35" s="27">
        <v>32</v>
      </c>
      <c r="CA35" s="39" t="s">
        <v>50</v>
      </c>
      <c r="CB35" s="41" t="s">
        <v>172</v>
      </c>
      <c r="CC35" s="27"/>
      <c r="CD35" s="44"/>
      <c r="CE35" s="45" t="s">
        <v>155</v>
      </c>
      <c r="CF35" s="39" t="s">
        <v>12</v>
      </c>
      <c r="CG35" s="39">
        <v>8</v>
      </c>
      <c r="CH35" s="39" t="s">
        <v>152</v>
      </c>
      <c r="CI35" s="27">
        <v>32</v>
      </c>
      <c r="CJ35" s="39" t="s">
        <v>52</v>
      </c>
      <c r="CK35" s="41" t="s">
        <v>177</v>
      </c>
    </row>
    <row r="36" spans="1:89" x14ac:dyDescent="0.25">
      <c r="A36" s="42"/>
      <c r="B36" s="34" t="s">
        <v>151</v>
      </c>
      <c r="C36" s="10" t="s">
        <v>12</v>
      </c>
      <c r="D36" s="10">
        <v>9</v>
      </c>
      <c r="E36" s="10" t="s">
        <v>152</v>
      </c>
      <c r="F36">
        <v>33</v>
      </c>
      <c r="G36" s="10" t="s">
        <v>197</v>
      </c>
      <c r="H36" s="43" t="s">
        <v>175</v>
      </c>
      <c r="J36" s="42"/>
      <c r="K36" s="34" t="s">
        <v>155</v>
      </c>
      <c r="L36" s="10" t="s">
        <v>12</v>
      </c>
      <c r="M36" s="10">
        <v>9</v>
      </c>
      <c r="N36" s="10" t="s">
        <v>152</v>
      </c>
      <c r="O36">
        <v>33</v>
      </c>
      <c r="P36" s="10" t="s">
        <v>198</v>
      </c>
      <c r="Q36" s="43" t="s">
        <v>173</v>
      </c>
      <c r="S36" s="42"/>
      <c r="T36" s="34" t="s">
        <v>155</v>
      </c>
      <c r="U36" s="10" t="s">
        <v>12</v>
      </c>
      <c r="V36" s="10">
        <v>9</v>
      </c>
      <c r="W36" s="10" t="s">
        <v>152</v>
      </c>
      <c r="X36">
        <v>33</v>
      </c>
      <c r="Y36" s="10" t="s">
        <v>196</v>
      </c>
      <c r="Z36" s="43" t="s">
        <v>174</v>
      </c>
      <c r="AB36" s="42"/>
      <c r="AC36" s="34" t="s">
        <v>155</v>
      </c>
      <c r="AD36" s="10" t="s">
        <v>12</v>
      </c>
      <c r="AE36" s="10">
        <v>9</v>
      </c>
      <c r="AF36" s="10" t="s">
        <v>152</v>
      </c>
      <c r="AG36">
        <v>33</v>
      </c>
      <c r="AH36" s="10"/>
      <c r="AI36" s="43"/>
      <c r="AK36" s="44"/>
      <c r="AL36" s="45" t="s">
        <v>155</v>
      </c>
      <c r="AM36" s="39" t="s">
        <v>12</v>
      </c>
      <c r="AN36" s="39">
        <v>9</v>
      </c>
      <c r="AO36" s="39" t="s">
        <v>152</v>
      </c>
      <c r="AP36" s="27">
        <v>33</v>
      </c>
      <c r="AQ36" s="39" t="s">
        <v>19</v>
      </c>
      <c r="AR36" s="41" t="s">
        <v>161</v>
      </c>
      <c r="AS36" s="27"/>
      <c r="AT36" s="44"/>
      <c r="AU36" s="45" t="s">
        <v>155</v>
      </c>
      <c r="AV36" s="39" t="s">
        <v>12</v>
      </c>
      <c r="AW36" s="39">
        <v>9</v>
      </c>
      <c r="AX36" s="39" t="s">
        <v>152</v>
      </c>
      <c r="AY36" s="27">
        <v>33</v>
      </c>
      <c r="AZ36" s="39" t="s">
        <v>21</v>
      </c>
      <c r="BA36" s="41" t="s">
        <v>187</v>
      </c>
      <c r="BB36" s="27"/>
      <c r="BC36" s="44"/>
      <c r="BD36" s="45" t="s">
        <v>155</v>
      </c>
      <c r="BE36" s="39" t="s">
        <v>12</v>
      </c>
      <c r="BF36" s="39">
        <v>9</v>
      </c>
      <c r="BG36" s="39" t="s">
        <v>152</v>
      </c>
      <c r="BH36" s="27">
        <v>33</v>
      </c>
      <c r="BI36" s="39" t="s">
        <v>23</v>
      </c>
      <c r="BJ36" s="41" t="s">
        <v>176</v>
      </c>
      <c r="BK36" s="27"/>
      <c r="BL36" s="44"/>
      <c r="BM36" s="45" t="s">
        <v>155</v>
      </c>
      <c r="BN36" s="39" t="s">
        <v>12</v>
      </c>
      <c r="BO36" s="39">
        <v>9</v>
      </c>
      <c r="BP36" s="39" t="s">
        <v>152</v>
      </c>
      <c r="BQ36" s="27">
        <v>33</v>
      </c>
      <c r="BR36" s="39">
        <v>2014</v>
      </c>
      <c r="BS36" s="41" t="s">
        <v>161</v>
      </c>
      <c r="BT36" s="27">
        <v>17</v>
      </c>
      <c r="BU36" s="44"/>
      <c r="BV36" s="45" t="s">
        <v>155</v>
      </c>
      <c r="BW36" s="39" t="s">
        <v>12</v>
      </c>
      <c r="BX36" s="39">
        <v>9</v>
      </c>
      <c r="BY36" s="39" t="s">
        <v>152</v>
      </c>
      <c r="BZ36" s="27">
        <v>33</v>
      </c>
      <c r="CA36" s="39" t="s">
        <v>50</v>
      </c>
      <c r="CB36" s="41" t="s">
        <v>162</v>
      </c>
      <c r="CC36" s="27"/>
      <c r="CD36" s="44"/>
      <c r="CE36" s="45" t="s">
        <v>155</v>
      </c>
      <c r="CF36" s="39" t="s">
        <v>12</v>
      </c>
      <c r="CG36" s="39">
        <v>9</v>
      </c>
      <c r="CH36" s="39" t="s">
        <v>152</v>
      </c>
      <c r="CI36" s="27">
        <v>33</v>
      </c>
      <c r="CJ36" s="39" t="s">
        <v>52</v>
      </c>
      <c r="CK36" s="41" t="s">
        <v>180</v>
      </c>
    </row>
    <row r="37" spans="1:89" ht="15.75" thickBot="1" x14ac:dyDescent="0.3">
      <c r="A37" s="42"/>
      <c r="B37" s="34" t="s">
        <v>151</v>
      </c>
      <c r="C37" s="10" t="s">
        <v>12</v>
      </c>
      <c r="D37" s="10">
        <v>10</v>
      </c>
      <c r="E37" s="10" t="s">
        <v>152</v>
      </c>
      <c r="F37">
        <v>34</v>
      </c>
      <c r="G37" s="10" t="s">
        <v>197</v>
      </c>
      <c r="H37" s="43" t="s">
        <v>157</v>
      </c>
      <c r="J37" s="42"/>
      <c r="K37" s="34" t="s">
        <v>155</v>
      </c>
      <c r="L37" s="10" t="s">
        <v>12</v>
      </c>
      <c r="M37" s="10">
        <v>10</v>
      </c>
      <c r="N37" s="10" t="s">
        <v>152</v>
      </c>
      <c r="O37">
        <v>34</v>
      </c>
      <c r="P37" s="10" t="s">
        <v>198</v>
      </c>
      <c r="Q37" s="43" t="s">
        <v>159</v>
      </c>
      <c r="S37" s="42"/>
      <c r="T37" s="34" t="s">
        <v>155</v>
      </c>
      <c r="U37" s="10" t="s">
        <v>12</v>
      </c>
      <c r="V37" s="10">
        <v>10</v>
      </c>
      <c r="W37" s="10" t="s">
        <v>152</v>
      </c>
      <c r="X37">
        <v>34</v>
      </c>
      <c r="Y37" s="10" t="s">
        <v>199</v>
      </c>
      <c r="Z37" s="43" t="s">
        <v>154</v>
      </c>
      <c r="AB37" s="42"/>
      <c r="AC37" s="34" t="s">
        <v>155</v>
      </c>
      <c r="AD37" s="10" t="s">
        <v>12</v>
      </c>
      <c r="AE37" s="10">
        <v>10</v>
      </c>
      <c r="AF37" s="10" t="s">
        <v>152</v>
      </c>
      <c r="AG37">
        <v>34</v>
      </c>
      <c r="AH37" s="10"/>
      <c r="AI37" s="43"/>
      <c r="AK37" s="44"/>
      <c r="AL37" s="45" t="s">
        <v>155</v>
      </c>
      <c r="AM37" s="39" t="s">
        <v>12</v>
      </c>
      <c r="AN37" s="39">
        <v>10</v>
      </c>
      <c r="AO37" s="39" t="s">
        <v>152</v>
      </c>
      <c r="AP37" s="27">
        <v>34</v>
      </c>
      <c r="AQ37" s="39" t="s">
        <v>19</v>
      </c>
      <c r="AR37" s="46" t="s">
        <v>169</v>
      </c>
      <c r="AS37" s="27"/>
      <c r="AT37" s="44"/>
      <c r="AU37" s="45" t="s">
        <v>155</v>
      </c>
      <c r="AV37" s="39" t="s">
        <v>12</v>
      </c>
      <c r="AW37" s="39">
        <v>10</v>
      </c>
      <c r="AX37" s="39" t="s">
        <v>152</v>
      </c>
      <c r="AY37" s="27">
        <v>34</v>
      </c>
      <c r="AZ37" s="39" t="s">
        <v>21</v>
      </c>
      <c r="BA37" s="41" t="s">
        <v>189</v>
      </c>
      <c r="BB37" s="27"/>
      <c r="BC37" s="44"/>
      <c r="BD37" s="45" t="s">
        <v>155</v>
      </c>
      <c r="BE37" s="39" t="s">
        <v>12</v>
      </c>
      <c r="BF37" s="39">
        <v>10</v>
      </c>
      <c r="BG37" s="39" t="s">
        <v>152</v>
      </c>
      <c r="BH37" s="27">
        <v>34</v>
      </c>
      <c r="BI37" s="39" t="s">
        <v>23</v>
      </c>
      <c r="BJ37" s="41" t="s">
        <v>164</v>
      </c>
      <c r="BK37" s="27"/>
      <c r="BL37" s="44"/>
      <c r="BM37" s="45" t="s">
        <v>155</v>
      </c>
      <c r="BN37" s="39" t="s">
        <v>12</v>
      </c>
      <c r="BO37" s="39">
        <v>10</v>
      </c>
      <c r="BP37" s="39" t="s">
        <v>152</v>
      </c>
      <c r="BQ37" s="27">
        <v>34</v>
      </c>
      <c r="BR37" s="39">
        <v>2014</v>
      </c>
      <c r="BS37" s="46" t="s">
        <v>169</v>
      </c>
      <c r="BT37" s="27">
        <v>18</v>
      </c>
      <c r="BU37" s="44"/>
      <c r="BV37" s="45" t="s">
        <v>155</v>
      </c>
      <c r="BW37" s="39" t="s">
        <v>12</v>
      </c>
      <c r="BX37" s="39">
        <v>10</v>
      </c>
      <c r="BY37" s="39" t="s">
        <v>152</v>
      </c>
      <c r="BZ37" s="27">
        <v>34</v>
      </c>
      <c r="CA37" s="39" t="s">
        <v>50</v>
      </c>
      <c r="CB37" s="41" t="s">
        <v>170</v>
      </c>
      <c r="CC37" s="27"/>
      <c r="CD37" s="44"/>
      <c r="CE37" s="45" t="s">
        <v>155</v>
      </c>
      <c r="CF37" s="39" t="s">
        <v>12</v>
      </c>
      <c r="CG37" s="39">
        <v>10</v>
      </c>
      <c r="CH37" s="39" t="s">
        <v>152</v>
      </c>
      <c r="CI37" s="27">
        <v>34</v>
      </c>
      <c r="CJ37" s="39" t="s">
        <v>52</v>
      </c>
      <c r="CK37" s="41" t="s">
        <v>181</v>
      </c>
    </row>
    <row r="38" spans="1:89" x14ac:dyDescent="0.25">
      <c r="A38" s="42"/>
      <c r="B38" s="34" t="s">
        <v>151</v>
      </c>
      <c r="C38" s="10" t="s">
        <v>12</v>
      </c>
      <c r="D38" s="10">
        <v>11</v>
      </c>
      <c r="E38" s="10" t="s">
        <v>152</v>
      </c>
      <c r="F38">
        <v>35</v>
      </c>
      <c r="G38" s="10" t="s">
        <v>197</v>
      </c>
      <c r="H38" s="43" t="s">
        <v>166</v>
      </c>
      <c r="J38" s="42"/>
      <c r="K38" s="34" t="s">
        <v>155</v>
      </c>
      <c r="L38" s="10" t="s">
        <v>12</v>
      </c>
      <c r="M38" s="10">
        <v>11</v>
      </c>
      <c r="N38" s="10" t="s">
        <v>152</v>
      </c>
      <c r="O38">
        <v>35</v>
      </c>
      <c r="P38" s="10" t="s">
        <v>198</v>
      </c>
      <c r="Q38" s="43" t="s">
        <v>167</v>
      </c>
      <c r="S38" s="42"/>
      <c r="T38" s="34" t="s">
        <v>155</v>
      </c>
      <c r="U38" s="10" t="s">
        <v>12</v>
      </c>
      <c r="V38" s="10">
        <v>11</v>
      </c>
      <c r="W38" s="10" t="s">
        <v>152</v>
      </c>
      <c r="X38">
        <v>35</v>
      </c>
      <c r="Y38" s="10" t="s">
        <v>199</v>
      </c>
      <c r="Z38" s="43" t="s">
        <v>165</v>
      </c>
      <c r="AB38" s="42"/>
      <c r="AC38" s="34" t="s">
        <v>155</v>
      </c>
      <c r="AD38" s="10" t="s">
        <v>12</v>
      </c>
      <c r="AE38" s="10">
        <v>11</v>
      </c>
      <c r="AF38" s="10" t="s">
        <v>152</v>
      </c>
      <c r="AG38">
        <v>35</v>
      </c>
      <c r="AH38" s="10"/>
      <c r="AI38" s="43"/>
      <c r="AK38" s="44"/>
      <c r="AL38" s="45" t="s">
        <v>155</v>
      </c>
      <c r="AM38" s="39" t="s">
        <v>12</v>
      </c>
      <c r="AN38" s="39">
        <v>11</v>
      </c>
      <c r="AO38" s="39" t="s">
        <v>152</v>
      </c>
      <c r="AP38" s="27">
        <v>35</v>
      </c>
      <c r="AQ38" s="39" t="s">
        <v>19</v>
      </c>
      <c r="AR38" s="41" t="s">
        <v>177</v>
      </c>
      <c r="AS38" s="27"/>
      <c r="AT38" s="44"/>
      <c r="AU38" s="45" t="s">
        <v>155</v>
      </c>
      <c r="AV38" s="39" t="s">
        <v>12</v>
      </c>
      <c r="AW38" s="39">
        <v>11</v>
      </c>
      <c r="AX38" s="39" t="s">
        <v>152</v>
      </c>
      <c r="AY38" s="27">
        <v>35</v>
      </c>
      <c r="AZ38" s="39" t="s">
        <v>3</v>
      </c>
      <c r="BA38" s="40" t="s">
        <v>160</v>
      </c>
      <c r="BB38" s="27"/>
      <c r="BC38" s="44"/>
      <c r="BD38" s="45" t="s">
        <v>155</v>
      </c>
      <c r="BE38" s="39" t="s">
        <v>12</v>
      </c>
      <c r="BF38" s="39">
        <v>11</v>
      </c>
      <c r="BG38" s="39" t="s">
        <v>152</v>
      </c>
      <c r="BH38" s="27">
        <v>35</v>
      </c>
      <c r="BI38" s="39" t="s">
        <v>23</v>
      </c>
      <c r="BJ38" s="41" t="s">
        <v>172</v>
      </c>
      <c r="BK38" s="27"/>
      <c r="BL38" s="44"/>
      <c r="BM38" s="45" t="s">
        <v>155</v>
      </c>
      <c r="BN38" s="39" t="s">
        <v>12</v>
      </c>
      <c r="BO38" s="39">
        <v>11</v>
      </c>
      <c r="BP38" s="39" t="s">
        <v>152</v>
      </c>
      <c r="BQ38" s="27">
        <v>35</v>
      </c>
      <c r="BR38" s="39">
        <v>2014</v>
      </c>
      <c r="BS38" s="41" t="s">
        <v>177</v>
      </c>
      <c r="BT38" s="27">
        <v>19</v>
      </c>
      <c r="BU38" s="44"/>
      <c r="BV38" s="45" t="s">
        <v>155</v>
      </c>
      <c r="BW38" s="39" t="s">
        <v>12</v>
      </c>
      <c r="BX38" s="39">
        <v>11</v>
      </c>
      <c r="BY38" s="39" t="s">
        <v>152</v>
      </c>
      <c r="BZ38" s="27">
        <v>35</v>
      </c>
      <c r="CA38" s="39" t="s">
        <v>50</v>
      </c>
      <c r="CB38" s="41" t="s">
        <v>178</v>
      </c>
      <c r="CC38" s="27"/>
      <c r="CD38" s="44"/>
      <c r="CE38" s="45" t="s">
        <v>155</v>
      </c>
      <c r="CF38" s="39" t="s">
        <v>12</v>
      </c>
      <c r="CG38" s="39">
        <v>11</v>
      </c>
      <c r="CH38" s="39" t="s">
        <v>152</v>
      </c>
      <c r="CI38" s="27">
        <v>35</v>
      </c>
      <c r="CJ38" s="39" t="s">
        <v>52</v>
      </c>
      <c r="CK38" s="41" t="s">
        <v>183</v>
      </c>
    </row>
    <row r="39" spans="1:89" ht="15.75" thickBot="1" x14ac:dyDescent="0.3">
      <c r="A39" s="47"/>
      <c r="B39" s="48" t="s">
        <v>151</v>
      </c>
      <c r="C39" s="49" t="s">
        <v>12</v>
      </c>
      <c r="D39" s="49">
        <v>12</v>
      </c>
      <c r="E39" s="49" t="s">
        <v>152</v>
      </c>
      <c r="F39" s="50">
        <v>36</v>
      </c>
      <c r="G39" s="10" t="s">
        <v>197</v>
      </c>
      <c r="H39" s="43" t="s">
        <v>174</v>
      </c>
      <c r="J39" s="47"/>
      <c r="K39" s="48" t="s">
        <v>155</v>
      </c>
      <c r="L39" s="49" t="s">
        <v>12</v>
      </c>
      <c r="M39" s="49">
        <v>12</v>
      </c>
      <c r="N39" s="49" t="s">
        <v>152</v>
      </c>
      <c r="O39" s="50">
        <v>36</v>
      </c>
      <c r="P39" s="10" t="s">
        <v>198</v>
      </c>
      <c r="Q39" s="51" t="s">
        <v>175</v>
      </c>
      <c r="S39" s="47"/>
      <c r="T39" s="48" t="s">
        <v>155</v>
      </c>
      <c r="U39" s="49" t="s">
        <v>12</v>
      </c>
      <c r="V39" s="49">
        <v>12</v>
      </c>
      <c r="W39" s="49" t="s">
        <v>152</v>
      </c>
      <c r="X39" s="50">
        <v>36</v>
      </c>
      <c r="Y39" s="10" t="s">
        <v>199</v>
      </c>
      <c r="Z39" s="51" t="s">
        <v>173</v>
      </c>
      <c r="AB39" s="47"/>
      <c r="AC39" s="48" t="s">
        <v>155</v>
      </c>
      <c r="AD39" s="49" t="s">
        <v>12</v>
      </c>
      <c r="AE39" s="49">
        <v>12</v>
      </c>
      <c r="AF39" s="49" t="s">
        <v>152</v>
      </c>
      <c r="AG39" s="50">
        <v>36</v>
      </c>
      <c r="AH39" s="10"/>
      <c r="AI39" s="51"/>
      <c r="AK39" s="52"/>
      <c r="AL39" s="53" t="s">
        <v>155</v>
      </c>
      <c r="AM39" s="54" t="s">
        <v>12</v>
      </c>
      <c r="AN39" s="54">
        <v>12</v>
      </c>
      <c r="AO39" s="54" t="s">
        <v>152</v>
      </c>
      <c r="AP39" s="55">
        <v>36</v>
      </c>
      <c r="AQ39" s="39" t="s">
        <v>19</v>
      </c>
      <c r="AR39" s="41" t="s">
        <v>180</v>
      </c>
      <c r="AS39" s="27"/>
      <c r="AT39" s="52"/>
      <c r="AU39" s="53" t="s">
        <v>155</v>
      </c>
      <c r="AV39" s="54" t="s">
        <v>12</v>
      </c>
      <c r="AW39" s="54">
        <v>12</v>
      </c>
      <c r="AX39" s="54" t="s">
        <v>152</v>
      </c>
      <c r="AY39" s="55">
        <v>36</v>
      </c>
      <c r="AZ39" s="39" t="s">
        <v>3</v>
      </c>
      <c r="BA39" s="41" t="s">
        <v>168</v>
      </c>
      <c r="BB39" s="27"/>
      <c r="BC39" s="52"/>
      <c r="BD39" s="53" t="s">
        <v>155</v>
      </c>
      <c r="BE39" s="54" t="s">
        <v>12</v>
      </c>
      <c r="BF39" s="54">
        <v>12</v>
      </c>
      <c r="BG39" s="54" t="s">
        <v>152</v>
      </c>
      <c r="BH39" s="55">
        <v>36</v>
      </c>
      <c r="BI39" s="39" t="s">
        <v>23</v>
      </c>
      <c r="BJ39" s="41" t="s">
        <v>162</v>
      </c>
      <c r="BK39" s="27"/>
      <c r="BL39" s="52"/>
      <c r="BM39" s="53" t="s">
        <v>155</v>
      </c>
      <c r="BN39" s="54" t="s">
        <v>12</v>
      </c>
      <c r="BO39" s="54">
        <v>12</v>
      </c>
      <c r="BP39" s="54" t="s">
        <v>152</v>
      </c>
      <c r="BQ39" s="55">
        <v>36</v>
      </c>
      <c r="BR39" s="39">
        <v>2014</v>
      </c>
      <c r="BS39" s="41" t="s">
        <v>180</v>
      </c>
      <c r="BT39" s="27">
        <v>20</v>
      </c>
      <c r="BU39" s="52"/>
      <c r="BV39" s="53" t="s">
        <v>155</v>
      </c>
      <c r="BW39" s="54" t="s">
        <v>12</v>
      </c>
      <c r="BX39" s="54">
        <v>12</v>
      </c>
      <c r="BY39" s="54" t="s">
        <v>152</v>
      </c>
      <c r="BZ39" s="55">
        <v>36</v>
      </c>
      <c r="CA39" s="39" t="s">
        <v>50</v>
      </c>
      <c r="CB39" s="41" t="s">
        <v>163</v>
      </c>
      <c r="CC39" s="27"/>
      <c r="CD39" s="52"/>
      <c r="CE39" s="53" t="s">
        <v>155</v>
      </c>
      <c r="CF39" s="54" t="s">
        <v>12</v>
      </c>
      <c r="CG39" s="54">
        <v>12</v>
      </c>
      <c r="CH39" s="54" t="s">
        <v>152</v>
      </c>
      <c r="CI39" s="55">
        <v>36</v>
      </c>
      <c r="CJ39" s="39" t="s">
        <v>52</v>
      </c>
      <c r="CK39" s="41" t="s">
        <v>186</v>
      </c>
    </row>
    <row r="40" spans="1:89" x14ac:dyDescent="0.25">
      <c r="A40" s="56"/>
      <c r="B40" s="57" t="s">
        <v>151</v>
      </c>
      <c r="C40" s="58" t="s">
        <v>15</v>
      </c>
      <c r="D40" s="58">
        <v>1</v>
      </c>
      <c r="E40" s="58" t="s">
        <v>152</v>
      </c>
      <c r="F40" s="59">
        <v>37</v>
      </c>
      <c r="G40" s="13" t="s">
        <v>200</v>
      </c>
      <c r="H40" s="63" t="s">
        <v>154</v>
      </c>
      <c r="J40" s="56"/>
      <c r="K40" s="31" t="s">
        <v>155</v>
      </c>
      <c r="L40" s="58" t="s">
        <v>15</v>
      </c>
      <c r="M40" s="58">
        <v>1</v>
      </c>
      <c r="N40" s="58" t="s">
        <v>152</v>
      </c>
      <c r="O40" s="59">
        <v>37</v>
      </c>
      <c r="P40" s="13" t="s">
        <v>198</v>
      </c>
      <c r="Q40" s="43" t="s">
        <v>157</v>
      </c>
      <c r="S40" s="56"/>
      <c r="T40" s="31" t="s">
        <v>155</v>
      </c>
      <c r="U40" s="58" t="s">
        <v>15</v>
      </c>
      <c r="V40" s="58">
        <v>1</v>
      </c>
      <c r="W40" s="58" t="s">
        <v>152</v>
      </c>
      <c r="X40" s="59">
        <v>37</v>
      </c>
      <c r="Y40" s="13" t="s">
        <v>199</v>
      </c>
      <c r="Z40" s="43" t="s">
        <v>159</v>
      </c>
      <c r="AB40" s="56"/>
      <c r="AC40" s="31" t="s">
        <v>155</v>
      </c>
      <c r="AD40" s="58" t="s">
        <v>15</v>
      </c>
      <c r="AE40" s="58">
        <v>1</v>
      </c>
      <c r="AF40" s="58" t="s">
        <v>152</v>
      </c>
      <c r="AG40" s="59">
        <v>37</v>
      </c>
      <c r="AH40" s="13"/>
      <c r="AI40" s="43"/>
      <c r="AK40" s="60"/>
      <c r="AL40" s="36" t="s">
        <v>155</v>
      </c>
      <c r="AM40" s="61" t="s">
        <v>15</v>
      </c>
      <c r="AN40" s="61">
        <v>1</v>
      </c>
      <c r="AO40" s="61" t="s">
        <v>152</v>
      </c>
      <c r="AP40" s="62">
        <v>37</v>
      </c>
      <c r="AQ40" s="39" t="s">
        <v>19</v>
      </c>
      <c r="AR40" s="41" t="s">
        <v>181</v>
      </c>
      <c r="AS40" s="27"/>
      <c r="AT40" s="60"/>
      <c r="AU40" s="36" t="s">
        <v>155</v>
      </c>
      <c r="AV40" s="61" t="s">
        <v>15</v>
      </c>
      <c r="AW40" s="61">
        <v>1</v>
      </c>
      <c r="AX40" s="61" t="s">
        <v>152</v>
      </c>
      <c r="AY40" s="62">
        <v>37</v>
      </c>
      <c r="AZ40" s="39" t="s">
        <v>3</v>
      </c>
      <c r="BA40" s="41" t="s">
        <v>176</v>
      </c>
      <c r="BB40" s="27"/>
      <c r="BC40" s="60"/>
      <c r="BD40" s="36" t="s">
        <v>155</v>
      </c>
      <c r="BE40" s="61" t="s">
        <v>15</v>
      </c>
      <c r="BF40" s="61">
        <v>1</v>
      </c>
      <c r="BG40" s="61" t="s">
        <v>152</v>
      </c>
      <c r="BH40" s="62">
        <v>37</v>
      </c>
      <c r="BI40" s="39" t="s">
        <v>23</v>
      </c>
      <c r="BJ40" s="41" t="s">
        <v>170</v>
      </c>
      <c r="BK40" s="27"/>
      <c r="BL40" s="60"/>
      <c r="BM40" s="36" t="s">
        <v>155</v>
      </c>
      <c r="BN40" s="61" t="s">
        <v>15</v>
      </c>
      <c r="BO40" s="61">
        <v>1</v>
      </c>
      <c r="BP40" s="61" t="s">
        <v>152</v>
      </c>
      <c r="BQ40" s="62">
        <v>37</v>
      </c>
      <c r="BR40" s="39">
        <v>2014</v>
      </c>
      <c r="BS40" s="41" t="s">
        <v>181</v>
      </c>
      <c r="BT40" s="27"/>
      <c r="BU40" s="60"/>
      <c r="BV40" s="36" t="s">
        <v>155</v>
      </c>
      <c r="BW40" s="61" t="s">
        <v>15</v>
      </c>
      <c r="BX40" s="61">
        <v>1</v>
      </c>
      <c r="BY40" s="61" t="s">
        <v>152</v>
      </c>
      <c r="BZ40" s="62">
        <v>37</v>
      </c>
      <c r="CA40" s="39" t="s">
        <v>50</v>
      </c>
      <c r="CB40" s="41" t="s">
        <v>171</v>
      </c>
      <c r="CC40" s="27"/>
      <c r="CD40" s="60"/>
      <c r="CE40" s="36" t="s">
        <v>155</v>
      </c>
      <c r="CF40" s="61" t="s">
        <v>15</v>
      </c>
      <c r="CG40" s="61">
        <v>1</v>
      </c>
      <c r="CH40" s="61" t="s">
        <v>152</v>
      </c>
      <c r="CI40" s="62">
        <v>37</v>
      </c>
      <c r="CJ40" s="39" t="s">
        <v>52</v>
      </c>
      <c r="CK40" s="41" t="s">
        <v>188</v>
      </c>
    </row>
    <row r="41" spans="1:89" x14ac:dyDescent="0.25">
      <c r="A41" s="42"/>
      <c r="B41" s="34" t="s">
        <v>151</v>
      </c>
      <c r="C41" s="10" t="s">
        <v>15</v>
      </c>
      <c r="D41" s="10">
        <v>2</v>
      </c>
      <c r="E41" s="10" t="s">
        <v>152</v>
      </c>
      <c r="F41">
        <v>38</v>
      </c>
      <c r="G41" s="2" t="s">
        <v>200</v>
      </c>
      <c r="H41" s="43" t="s">
        <v>165</v>
      </c>
      <c r="J41" s="42"/>
      <c r="K41" s="34" t="s">
        <v>155</v>
      </c>
      <c r="L41" s="10" t="s">
        <v>15</v>
      </c>
      <c r="M41" s="10">
        <v>2</v>
      </c>
      <c r="N41" s="10" t="s">
        <v>152</v>
      </c>
      <c r="O41">
        <v>38</v>
      </c>
      <c r="P41" s="2" t="s">
        <v>198</v>
      </c>
      <c r="Q41" s="43" t="s">
        <v>166</v>
      </c>
      <c r="S41" s="42"/>
      <c r="T41" s="34" t="s">
        <v>155</v>
      </c>
      <c r="U41" s="10" t="s">
        <v>15</v>
      </c>
      <c r="V41" s="10">
        <v>2</v>
      </c>
      <c r="W41" s="10" t="s">
        <v>152</v>
      </c>
      <c r="X41">
        <v>38</v>
      </c>
      <c r="Y41" s="2" t="s">
        <v>199</v>
      </c>
      <c r="Z41" s="43" t="s">
        <v>167</v>
      </c>
      <c r="AB41" s="42"/>
      <c r="AC41" s="34" t="s">
        <v>155</v>
      </c>
      <c r="AD41" s="10" t="s">
        <v>15</v>
      </c>
      <c r="AE41" s="10">
        <v>2</v>
      </c>
      <c r="AF41" s="10" t="s">
        <v>152</v>
      </c>
      <c r="AG41">
        <v>38</v>
      </c>
      <c r="AH41" s="2"/>
      <c r="AI41" s="43"/>
      <c r="AK41" s="44"/>
      <c r="AL41" s="45" t="s">
        <v>155</v>
      </c>
      <c r="AM41" s="39" t="s">
        <v>15</v>
      </c>
      <c r="AN41" s="39">
        <v>2</v>
      </c>
      <c r="AO41" s="39" t="s">
        <v>152</v>
      </c>
      <c r="AP41" s="27">
        <v>38</v>
      </c>
      <c r="AQ41" s="39" t="s">
        <v>19</v>
      </c>
      <c r="AR41" s="41" t="s">
        <v>183</v>
      </c>
      <c r="AS41" s="27"/>
      <c r="AT41" s="44"/>
      <c r="AU41" s="45" t="s">
        <v>155</v>
      </c>
      <c r="AV41" s="39" t="s">
        <v>15</v>
      </c>
      <c r="AW41" s="39">
        <v>2</v>
      </c>
      <c r="AX41" s="39" t="s">
        <v>152</v>
      </c>
      <c r="AY41" s="27">
        <v>38</v>
      </c>
      <c r="AZ41" s="39" t="s">
        <v>3</v>
      </c>
      <c r="BA41" s="41" t="s">
        <v>164</v>
      </c>
      <c r="BB41" s="27"/>
      <c r="BC41" s="44"/>
      <c r="BD41" s="45" t="s">
        <v>155</v>
      </c>
      <c r="BE41" s="39" t="s">
        <v>15</v>
      </c>
      <c r="BF41" s="39">
        <v>2</v>
      </c>
      <c r="BG41" s="39" t="s">
        <v>152</v>
      </c>
      <c r="BH41" s="27">
        <v>38</v>
      </c>
      <c r="BI41" s="39" t="s">
        <v>23</v>
      </c>
      <c r="BJ41" s="41" t="s">
        <v>178</v>
      </c>
      <c r="BK41" s="27"/>
      <c r="BL41" s="44"/>
      <c r="BM41" s="45" t="s">
        <v>155</v>
      </c>
      <c r="BN41" s="39" t="s">
        <v>15</v>
      </c>
      <c r="BO41" s="39">
        <v>2</v>
      </c>
      <c r="BP41" s="39" t="s">
        <v>152</v>
      </c>
      <c r="BQ41" s="27">
        <v>38</v>
      </c>
      <c r="BR41" s="39">
        <v>2014</v>
      </c>
      <c r="BS41" s="41" t="s">
        <v>183</v>
      </c>
      <c r="BT41" s="27"/>
      <c r="BU41" s="44"/>
      <c r="BV41" s="45" t="s">
        <v>155</v>
      </c>
      <c r="BW41" s="39" t="s">
        <v>15</v>
      </c>
      <c r="BX41" s="39">
        <v>2</v>
      </c>
      <c r="BY41" s="39" t="s">
        <v>152</v>
      </c>
      <c r="BZ41" s="27">
        <v>38</v>
      </c>
      <c r="CA41" s="39" t="s">
        <v>50</v>
      </c>
      <c r="CB41" s="41" t="s">
        <v>161</v>
      </c>
      <c r="CC41" s="27"/>
      <c r="CD41" s="44"/>
      <c r="CE41" s="45" t="s">
        <v>155</v>
      </c>
      <c r="CF41" s="39" t="s">
        <v>15</v>
      </c>
      <c r="CG41" s="39">
        <v>2</v>
      </c>
      <c r="CH41" s="39" t="s">
        <v>152</v>
      </c>
      <c r="CI41" s="27">
        <v>38</v>
      </c>
      <c r="CJ41" s="39" t="s">
        <v>52</v>
      </c>
      <c r="CK41" s="41" t="s">
        <v>182</v>
      </c>
    </row>
    <row r="42" spans="1:89" x14ac:dyDescent="0.25">
      <c r="A42" s="42"/>
      <c r="B42" s="34" t="s">
        <v>151</v>
      </c>
      <c r="C42" s="10" t="s">
        <v>15</v>
      </c>
      <c r="D42" s="10">
        <v>3</v>
      </c>
      <c r="E42" s="10" t="s">
        <v>152</v>
      </c>
      <c r="F42">
        <v>39</v>
      </c>
      <c r="G42" s="2" t="s">
        <v>200</v>
      </c>
      <c r="H42" s="43" t="s">
        <v>173</v>
      </c>
      <c r="J42" s="42"/>
      <c r="K42" s="34" t="s">
        <v>155</v>
      </c>
      <c r="L42" s="10" t="s">
        <v>15</v>
      </c>
      <c r="M42" s="10">
        <v>3</v>
      </c>
      <c r="N42" s="10" t="s">
        <v>152</v>
      </c>
      <c r="O42">
        <v>39</v>
      </c>
      <c r="P42" s="2" t="s">
        <v>198</v>
      </c>
      <c r="Q42" s="43" t="s">
        <v>174</v>
      </c>
      <c r="S42" s="42"/>
      <c r="T42" s="34" t="s">
        <v>155</v>
      </c>
      <c r="U42" s="10" t="s">
        <v>15</v>
      </c>
      <c r="V42" s="10">
        <v>3</v>
      </c>
      <c r="W42" s="10" t="s">
        <v>152</v>
      </c>
      <c r="X42">
        <v>39</v>
      </c>
      <c r="Y42" s="2" t="s">
        <v>199</v>
      </c>
      <c r="Z42" s="43" t="s">
        <v>175</v>
      </c>
      <c r="AB42" s="42"/>
      <c r="AC42" s="34" t="s">
        <v>155</v>
      </c>
      <c r="AD42" s="10" t="s">
        <v>15</v>
      </c>
      <c r="AE42" s="10">
        <v>3</v>
      </c>
      <c r="AF42" s="10" t="s">
        <v>152</v>
      </c>
      <c r="AG42">
        <v>39</v>
      </c>
      <c r="AH42" s="2"/>
      <c r="AI42" s="43"/>
      <c r="AK42" s="44"/>
      <c r="AL42" s="45" t="s">
        <v>155</v>
      </c>
      <c r="AM42" s="39" t="s">
        <v>15</v>
      </c>
      <c r="AN42" s="39">
        <v>3</v>
      </c>
      <c r="AO42" s="39" t="s">
        <v>152</v>
      </c>
      <c r="AP42" s="27">
        <v>39</v>
      </c>
      <c r="AQ42" s="39" t="s">
        <v>19</v>
      </c>
      <c r="AR42" s="41" t="s">
        <v>186</v>
      </c>
      <c r="AS42" s="27"/>
      <c r="AT42" s="44"/>
      <c r="AU42" s="45" t="s">
        <v>155</v>
      </c>
      <c r="AV42" s="39" t="s">
        <v>15</v>
      </c>
      <c r="AW42" s="39">
        <v>3</v>
      </c>
      <c r="AX42" s="39" t="s">
        <v>152</v>
      </c>
      <c r="AY42" s="27">
        <v>39</v>
      </c>
      <c r="AZ42" s="39" t="s">
        <v>3</v>
      </c>
      <c r="BA42" s="41" t="s">
        <v>172</v>
      </c>
      <c r="BB42" s="27"/>
      <c r="BC42" s="44"/>
      <c r="BD42" s="45" t="s">
        <v>155</v>
      </c>
      <c r="BE42" s="39" t="s">
        <v>15</v>
      </c>
      <c r="BF42" s="39">
        <v>3</v>
      </c>
      <c r="BG42" s="39" t="s">
        <v>152</v>
      </c>
      <c r="BH42" s="27">
        <v>39</v>
      </c>
      <c r="BI42" s="39" t="s">
        <v>23</v>
      </c>
      <c r="BJ42" s="41" t="s">
        <v>163</v>
      </c>
      <c r="BK42" s="27"/>
      <c r="BL42" s="44"/>
      <c r="BM42" s="45" t="s">
        <v>155</v>
      </c>
      <c r="BN42" s="39" t="s">
        <v>15</v>
      </c>
      <c r="BO42" s="39">
        <v>3</v>
      </c>
      <c r="BP42" s="39" t="s">
        <v>152</v>
      </c>
      <c r="BQ42" s="27">
        <v>39</v>
      </c>
      <c r="BR42" s="39">
        <v>2014</v>
      </c>
      <c r="BS42" s="41" t="s">
        <v>186</v>
      </c>
      <c r="BT42" s="27"/>
      <c r="BU42" s="44"/>
      <c r="BV42" s="45" t="s">
        <v>155</v>
      </c>
      <c r="BW42" s="39" t="s">
        <v>15</v>
      </c>
      <c r="BX42" s="39">
        <v>3</v>
      </c>
      <c r="BY42" s="39" t="s">
        <v>152</v>
      </c>
      <c r="BZ42" s="27">
        <v>39</v>
      </c>
      <c r="CA42" s="39" t="s">
        <v>50</v>
      </c>
      <c r="CB42" s="46" t="s">
        <v>169</v>
      </c>
      <c r="CC42" s="27"/>
      <c r="CD42" s="44"/>
      <c r="CE42" s="45" t="s">
        <v>155</v>
      </c>
      <c r="CF42" s="39" t="s">
        <v>15</v>
      </c>
      <c r="CG42" s="39">
        <v>3</v>
      </c>
      <c r="CH42" s="39" t="s">
        <v>152</v>
      </c>
      <c r="CI42" s="27">
        <v>39</v>
      </c>
      <c r="CJ42" s="39" t="s">
        <v>52</v>
      </c>
      <c r="CK42" s="41" t="s">
        <v>184</v>
      </c>
    </row>
    <row r="43" spans="1:89" x14ac:dyDescent="0.25">
      <c r="A43" s="42"/>
      <c r="B43" s="34" t="s">
        <v>151</v>
      </c>
      <c r="C43" s="10" t="s">
        <v>15</v>
      </c>
      <c r="D43" s="10">
        <v>4</v>
      </c>
      <c r="E43" s="10" t="s">
        <v>152</v>
      </c>
      <c r="F43">
        <v>40</v>
      </c>
      <c r="G43" s="2" t="s">
        <v>200</v>
      </c>
      <c r="H43" s="43" t="s">
        <v>159</v>
      </c>
      <c r="J43" s="42"/>
      <c r="K43" s="34" t="s">
        <v>155</v>
      </c>
      <c r="L43" s="10" t="s">
        <v>15</v>
      </c>
      <c r="M43" s="10">
        <v>4</v>
      </c>
      <c r="N43" s="10" t="s">
        <v>152</v>
      </c>
      <c r="O43">
        <v>40</v>
      </c>
      <c r="P43" s="2" t="s">
        <v>201</v>
      </c>
      <c r="Q43" s="43" t="s">
        <v>154</v>
      </c>
      <c r="S43" s="42"/>
      <c r="T43" s="34" t="s">
        <v>155</v>
      </c>
      <c r="U43" s="10" t="s">
        <v>15</v>
      </c>
      <c r="V43" s="10">
        <v>4</v>
      </c>
      <c r="W43" s="10" t="s">
        <v>152</v>
      </c>
      <c r="X43">
        <v>40</v>
      </c>
      <c r="Y43" s="2" t="s">
        <v>199</v>
      </c>
      <c r="Z43" s="43" t="s">
        <v>157</v>
      </c>
      <c r="AB43" s="42"/>
      <c r="AC43" s="34" t="s">
        <v>155</v>
      </c>
      <c r="AD43" s="10" t="s">
        <v>15</v>
      </c>
      <c r="AE43" s="10">
        <v>4</v>
      </c>
      <c r="AF43" s="10" t="s">
        <v>152</v>
      </c>
      <c r="AG43">
        <v>40</v>
      </c>
      <c r="AH43" s="2"/>
      <c r="AI43" s="43"/>
      <c r="AK43" s="44"/>
      <c r="AL43" s="45" t="s">
        <v>155</v>
      </c>
      <c r="AM43" s="39" t="s">
        <v>15</v>
      </c>
      <c r="AN43" s="39">
        <v>4</v>
      </c>
      <c r="AO43" s="39" t="s">
        <v>152</v>
      </c>
      <c r="AP43" s="27">
        <v>40</v>
      </c>
      <c r="AQ43" s="39" t="s">
        <v>19</v>
      </c>
      <c r="AR43" s="41" t="s">
        <v>188</v>
      </c>
      <c r="AS43" s="27"/>
      <c r="AT43" s="44"/>
      <c r="AU43" s="45" t="s">
        <v>155</v>
      </c>
      <c r="AV43" s="39" t="s">
        <v>15</v>
      </c>
      <c r="AW43" s="39">
        <v>4</v>
      </c>
      <c r="AX43" s="39" t="s">
        <v>152</v>
      </c>
      <c r="AY43" s="27">
        <v>40</v>
      </c>
      <c r="AZ43" s="39" t="s">
        <v>3</v>
      </c>
      <c r="BA43" s="41" t="s">
        <v>162</v>
      </c>
      <c r="BB43" s="27"/>
      <c r="BC43" s="44"/>
      <c r="BD43" s="45" t="s">
        <v>155</v>
      </c>
      <c r="BE43" s="39" t="s">
        <v>15</v>
      </c>
      <c r="BF43" s="39">
        <v>4</v>
      </c>
      <c r="BG43" s="39" t="s">
        <v>152</v>
      </c>
      <c r="BH43" s="27">
        <v>40</v>
      </c>
      <c r="BI43" s="39" t="s">
        <v>23</v>
      </c>
      <c r="BJ43" s="41" t="s">
        <v>171</v>
      </c>
      <c r="BK43" s="27"/>
      <c r="BL43" s="44"/>
      <c r="BM43" s="45" t="s">
        <v>155</v>
      </c>
      <c r="BN43" s="39" t="s">
        <v>15</v>
      </c>
      <c r="BO43" s="39">
        <v>4</v>
      </c>
      <c r="BP43" s="39" t="s">
        <v>152</v>
      </c>
      <c r="BQ43" s="27">
        <v>40</v>
      </c>
      <c r="BR43" s="39">
        <v>2014</v>
      </c>
      <c r="BS43" s="41" t="s">
        <v>188</v>
      </c>
      <c r="BT43" s="27"/>
      <c r="BU43" s="44"/>
      <c r="BV43" s="45" t="s">
        <v>155</v>
      </c>
      <c r="BW43" s="39" t="s">
        <v>15</v>
      </c>
      <c r="BX43" s="39">
        <v>4</v>
      </c>
      <c r="BY43" s="39" t="s">
        <v>152</v>
      </c>
      <c r="BZ43" s="27">
        <v>40</v>
      </c>
      <c r="CA43" s="39" t="s">
        <v>50</v>
      </c>
      <c r="CB43" s="41" t="s">
        <v>177</v>
      </c>
      <c r="CC43" s="27"/>
      <c r="CD43" s="44"/>
      <c r="CE43" s="45" t="s">
        <v>155</v>
      </c>
      <c r="CF43" s="39" t="s">
        <v>15</v>
      </c>
      <c r="CG43" s="39">
        <v>4</v>
      </c>
      <c r="CH43" s="39" t="s">
        <v>152</v>
      </c>
      <c r="CI43" s="27">
        <v>40</v>
      </c>
      <c r="CJ43" s="39" t="s">
        <v>52</v>
      </c>
      <c r="CK43" s="41" t="s">
        <v>187</v>
      </c>
    </row>
    <row r="44" spans="1:89" ht="15.75" thickBot="1" x14ac:dyDescent="0.3">
      <c r="A44" s="42"/>
      <c r="B44" s="34" t="s">
        <v>151</v>
      </c>
      <c r="C44" s="10" t="s">
        <v>15</v>
      </c>
      <c r="D44" s="10">
        <v>5</v>
      </c>
      <c r="E44" s="10" t="s">
        <v>152</v>
      </c>
      <c r="F44">
        <v>41</v>
      </c>
      <c r="G44" s="2" t="s">
        <v>200</v>
      </c>
      <c r="H44" s="43" t="s">
        <v>167</v>
      </c>
      <c r="J44" s="42"/>
      <c r="K44" s="34" t="s">
        <v>155</v>
      </c>
      <c r="L44" s="10" t="s">
        <v>15</v>
      </c>
      <c r="M44" s="10">
        <v>5</v>
      </c>
      <c r="N44" s="10" t="s">
        <v>152</v>
      </c>
      <c r="O44">
        <v>41</v>
      </c>
      <c r="P44" s="2" t="s">
        <v>201</v>
      </c>
      <c r="Q44" s="43" t="s">
        <v>165</v>
      </c>
      <c r="S44" s="42"/>
      <c r="T44" s="34" t="s">
        <v>155</v>
      </c>
      <c r="U44" s="10" t="s">
        <v>15</v>
      </c>
      <c r="V44" s="10">
        <v>5</v>
      </c>
      <c r="W44" s="10" t="s">
        <v>152</v>
      </c>
      <c r="X44">
        <v>41</v>
      </c>
      <c r="Y44" s="2" t="s">
        <v>199</v>
      </c>
      <c r="Z44" s="43" t="s">
        <v>166</v>
      </c>
      <c r="AB44" s="42"/>
      <c r="AC44" s="34" t="s">
        <v>155</v>
      </c>
      <c r="AD44" s="10" t="s">
        <v>15</v>
      </c>
      <c r="AE44" s="10">
        <v>5</v>
      </c>
      <c r="AF44" s="10" t="s">
        <v>152</v>
      </c>
      <c r="AG44">
        <v>41</v>
      </c>
      <c r="AH44" s="2"/>
      <c r="AI44" s="43"/>
      <c r="AK44" s="44"/>
      <c r="AL44" s="45" t="s">
        <v>155</v>
      </c>
      <c r="AM44" s="39" t="s">
        <v>15</v>
      </c>
      <c r="AN44" s="39">
        <v>5</v>
      </c>
      <c r="AO44" s="39" t="s">
        <v>152</v>
      </c>
      <c r="AP44" s="27">
        <v>41</v>
      </c>
      <c r="AQ44" s="39" t="s">
        <v>19</v>
      </c>
      <c r="AR44" s="41" t="s">
        <v>182</v>
      </c>
      <c r="AS44" s="27"/>
      <c r="AT44" s="44"/>
      <c r="AU44" s="45" t="s">
        <v>155</v>
      </c>
      <c r="AV44" s="39" t="s">
        <v>15</v>
      </c>
      <c r="AW44" s="39">
        <v>5</v>
      </c>
      <c r="AX44" s="39" t="s">
        <v>152</v>
      </c>
      <c r="AY44" s="27">
        <v>41</v>
      </c>
      <c r="AZ44" s="39" t="s">
        <v>3</v>
      </c>
      <c r="BA44" s="41" t="s">
        <v>170</v>
      </c>
      <c r="BB44" s="27"/>
      <c r="BC44" s="44"/>
      <c r="BD44" s="45" t="s">
        <v>155</v>
      </c>
      <c r="BE44" s="39" t="s">
        <v>15</v>
      </c>
      <c r="BF44" s="39">
        <v>5</v>
      </c>
      <c r="BG44" s="39" t="s">
        <v>152</v>
      </c>
      <c r="BH44" s="27">
        <v>41</v>
      </c>
      <c r="BI44" s="39" t="s">
        <v>23</v>
      </c>
      <c r="BJ44" s="41" t="s">
        <v>161</v>
      </c>
      <c r="BK44" s="27"/>
      <c r="BL44" s="44"/>
      <c r="BM44" s="45" t="s">
        <v>155</v>
      </c>
      <c r="BN44" s="39" t="s">
        <v>15</v>
      </c>
      <c r="BO44" s="39">
        <v>5</v>
      </c>
      <c r="BP44" s="39" t="s">
        <v>152</v>
      </c>
      <c r="BQ44" s="27">
        <v>41</v>
      </c>
      <c r="BR44" s="39">
        <v>2014</v>
      </c>
      <c r="BS44" s="41" t="s">
        <v>182</v>
      </c>
      <c r="BT44" s="27"/>
      <c r="BU44" s="44"/>
      <c r="BV44" s="45" t="s">
        <v>155</v>
      </c>
      <c r="BW44" s="39" t="s">
        <v>15</v>
      </c>
      <c r="BX44" s="39">
        <v>5</v>
      </c>
      <c r="BY44" s="39" t="s">
        <v>152</v>
      </c>
      <c r="BZ44" s="27">
        <v>41</v>
      </c>
      <c r="CA44" s="39" t="s">
        <v>50</v>
      </c>
      <c r="CB44" s="41" t="s">
        <v>180</v>
      </c>
      <c r="CC44" s="27"/>
      <c r="CD44" s="44"/>
      <c r="CE44" s="45" t="s">
        <v>155</v>
      </c>
      <c r="CF44" s="39" t="s">
        <v>15</v>
      </c>
      <c r="CG44" s="39">
        <v>5</v>
      </c>
      <c r="CH44" s="39" t="s">
        <v>152</v>
      </c>
      <c r="CI44" s="27">
        <v>41</v>
      </c>
      <c r="CJ44" s="39" t="s">
        <v>52</v>
      </c>
      <c r="CK44" s="41" t="s">
        <v>189</v>
      </c>
    </row>
    <row r="45" spans="1:89" x14ac:dyDescent="0.25">
      <c r="A45" s="42"/>
      <c r="B45" s="34" t="s">
        <v>151</v>
      </c>
      <c r="C45" s="10" t="s">
        <v>15</v>
      </c>
      <c r="D45" s="10">
        <v>6</v>
      </c>
      <c r="E45" s="10" t="s">
        <v>152</v>
      </c>
      <c r="F45">
        <v>42</v>
      </c>
      <c r="G45" s="2" t="s">
        <v>200</v>
      </c>
      <c r="H45" s="43" t="s">
        <v>175</v>
      </c>
      <c r="J45" s="42"/>
      <c r="K45" s="34" t="s">
        <v>155</v>
      </c>
      <c r="L45" s="10" t="s">
        <v>15</v>
      </c>
      <c r="M45" s="10">
        <v>6</v>
      </c>
      <c r="N45" s="10" t="s">
        <v>152</v>
      </c>
      <c r="O45">
        <v>42</v>
      </c>
      <c r="P45" s="2" t="s">
        <v>201</v>
      </c>
      <c r="Q45" s="43" t="s">
        <v>173</v>
      </c>
      <c r="S45" s="42"/>
      <c r="T45" s="34" t="s">
        <v>155</v>
      </c>
      <c r="U45" s="10" t="s">
        <v>15</v>
      </c>
      <c r="V45" s="10">
        <v>6</v>
      </c>
      <c r="W45" s="10" t="s">
        <v>152</v>
      </c>
      <c r="X45">
        <v>42</v>
      </c>
      <c r="Y45" s="2" t="s">
        <v>199</v>
      </c>
      <c r="Z45" s="43" t="s">
        <v>174</v>
      </c>
      <c r="AB45" s="42"/>
      <c r="AC45" s="34" t="s">
        <v>155</v>
      </c>
      <c r="AD45" s="10" t="s">
        <v>15</v>
      </c>
      <c r="AE45" s="10">
        <v>6</v>
      </c>
      <c r="AF45" s="10" t="s">
        <v>152</v>
      </c>
      <c r="AG45">
        <v>42</v>
      </c>
      <c r="AH45" s="2"/>
      <c r="AI45" s="43"/>
      <c r="AK45" s="44"/>
      <c r="AL45" s="45" t="s">
        <v>155</v>
      </c>
      <c r="AM45" s="39" t="s">
        <v>15</v>
      </c>
      <c r="AN45" s="39">
        <v>6</v>
      </c>
      <c r="AO45" s="39" t="s">
        <v>152</v>
      </c>
      <c r="AP45" s="27">
        <v>42</v>
      </c>
      <c r="AQ45" s="39" t="s">
        <v>19</v>
      </c>
      <c r="AR45" s="41" t="s">
        <v>184</v>
      </c>
      <c r="AS45" s="27"/>
      <c r="AT45" s="44"/>
      <c r="AU45" s="45" t="s">
        <v>155</v>
      </c>
      <c r="AV45" s="39" t="s">
        <v>15</v>
      </c>
      <c r="AW45" s="39">
        <v>6</v>
      </c>
      <c r="AX45" s="39" t="s">
        <v>152</v>
      </c>
      <c r="AY45" s="27">
        <v>42</v>
      </c>
      <c r="AZ45" s="39" t="s">
        <v>3</v>
      </c>
      <c r="BA45" s="41" t="s">
        <v>178</v>
      </c>
      <c r="BB45" s="27"/>
      <c r="BC45" s="44"/>
      <c r="BD45" s="45" t="s">
        <v>155</v>
      </c>
      <c r="BE45" s="39" t="s">
        <v>15</v>
      </c>
      <c r="BF45" s="39">
        <v>6</v>
      </c>
      <c r="BG45" s="39" t="s">
        <v>152</v>
      </c>
      <c r="BH45" s="27">
        <v>42</v>
      </c>
      <c r="BI45" s="39" t="s">
        <v>23</v>
      </c>
      <c r="BJ45" s="46" t="s">
        <v>169</v>
      </c>
      <c r="BK45" s="27"/>
      <c r="BL45" s="44"/>
      <c r="BM45" s="45" t="s">
        <v>155</v>
      </c>
      <c r="BN45" s="39" t="s">
        <v>15</v>
      </c>
      <c r="BO45" s="39">
        <v>6</v>
      </c>
      <c r="BP45" s="39" t="s">
        <v>152</v>
      </c>
      <c r="BQ45" s="27">
        <v>42</v>
      </c>
      <c r="BR45" s="39">
        <v>2014</v>
      </c>
      <c r="BS45" s="41" t="s">
        <v>184</v>
      </c>
      <c r="BT45" s="27"/>
      <c r="BU45" s="44"/>
      <c r="BV45" s="45" t="s">
        <v>155</v>
      </c>
      <c r="BW45" s="39" t="s">
        <v>15</v>
      </c>
      <c r="BX45" s="39">
        <v>6</v>
      </c>
      <c r="BY45" s="39" t="s">
        <v>152</v>
      </c>
      <c r="BZ45" s="27">
        <v>42</v>
      </c>
      <c r="CA45" s="39" t="s">
        <v>50</v>
      </c>
      <c r="CB45" s="41" t="s">
        <v>181</v>
      </c>
      <c r="CC45" s="27"/>
      <c r="CD45" s="44"/>
      <c r="CE45" s="45" t="s">
        <v>155</v>
      </c>
      <c r="CF45" s="39" t="s">
        <v>15</v>
      </c>
      <c r="CG45" s="39">
        <v>6</v>
      </c>
      <c r="CH45" s="39" t="s">
        <v>152</v>
      </c>
      <c r="CI45" s="27">
        <v>42</v>
      </c>
      <c r="CJ45" s="64">
        <v>1024</v>
      </c>
      <c r="CK45" s="40" t="s">
        <v>160</v>
      </c>
    </row>
    <row r="46" spans="1:89" x14ac:dyDescent="0.25">
      <c r="A46" s="42"/>
      <c r="B46" s="34" t="s">
        <v>151</v>
      </c>
      <c r="C46" s="10" t="s">
        <v>15</v>
      </c>
      <c r="D46" s="10">
        <v>7</v>
      </c>
      <c r="E46" s="10" t="s">
        <v>152</v>
      </c>
      <c r="F46">
        <v>43</v>
      </c>
      <c r="G46" s="2" t="s">
        <v>200</v>
      </c>
      <c r="H46" s="43" t="s">
        <v>157</v>
      </c>
      <c r="J46" s="42"/>
      <c r="K46" s="34" t="s">
        <v>155</v>
      </c>
      <c r="L46" s="10" t="s">
        <v>15</v>
      </c>
      <c r="M46" s="10">
        <v>7</v>
      </c>
      <c r="N46" s="10" t="s">
        <v>152</v>
      </c>
      <c r="O46">
        <v>43</v>
      </c>
      <c r="P46" s="2" t="s">
        <v>201</v>
      </c>
      <c r="Q46" s="43" t="s">
        <v>159</v>
      </c>
      <c r="S46" s="42"/>
      <c r="T46" s="34" t="s">
        <v>155</v>
      </c>
      <c r="U46" s="10" t="s">
        <v>15</v>
      </c>
      <c r="V46" s="10">
        <v>7</v>
      </c>
      <c r="W46" s="10" t="s">
        <v>152</v>
      </c>
      <c r="X46">
        <v>43</v>
      </c>
      <c r="Y46" s="2" t="s">
        <v>202</v>
      </c>
      <c r="Z46" s="43" t="s">
        <v>154</v>
      </c>
      <c r="AB46" s="42"/>
      <c r="AC46" s="34" t="s">
        <v>155</v>
      </c>
      <c r="AD46" s="10" t="s">
        <v>15</v>
      </c>
      <c r="AE46" s="10">
        <v>7</v>
      </c>
      <c r="AF46" s="10" t="s">
        <v>152</v>
      </c>
      <c r="AG46">
        <v>43</v>
      </c>
      <c r="AH46" s="2"/>
      <c r="AI46" s="43"/>
      <c r="AK46" s="44"/>
      <c r="AL46" s="45" t="s">
        <v>155</v>
      </c>
      <c r="AM46" s="39" t="s">
        <v>15</v>
      </c>
      <c r="AN46" s="39">
        <v>7</v>
      </c>
      <c r="AO46" s="39" t="s">
        <v>152</v>
      </c>
      <c r="AP46" s="27">
        <v>43</v>
      </c>
      <c r="AQ46" s="39" t="s">
        <v>19</v>
      </c>
      <c r="AR46" s="41" t="s">
        <v>187</v>
      </c>
      <c r="AS46" s="27"/>
      <c r="AT46" s="44"/>
      <c r="AU46" s="45" t="s">
        <v>155</v>
      </c>
      <c r="AV46" s="39" t="s">
        <v>15</v>
      </c>
      <c r="AW46" s="39">
        <v>7</v>
      </c>
      <c r="AX46" s="39" t="s">
        <v>152</v>
      </c>
      <c r="AY46" s="27">
        <v>43</v>
      </c>
      <c r="AZ46" s="39" t="s">
        <v>3</v>
      </c>
      <c r="BA46" s="41" t="s">
        <v>163</v>
      </c>
      <c r="BB46" s="27"/>
      <c r="BC46" s="44"/>
      <c r="BD46" s="45" t="s">
        <v>155</v>
      </c>
      <c r="BE46" s="39" t="s">
        <v>15</v>
      </c>
      <c r="BF46" s="39">
        <v>7</v>
      </c>
      <c r="BG46" s="39" t="s">
        <v>152</v>
      </c>
      <c r="BH46" s="27">
        <v>43</v>
      </c>
      <c r="BI46" s="39" t="s">
        <v>23</v>
      </c>
      <c r="BJ46" s="41" t="s">
        <v>177</v>
      </c>
      <c r="BK46" s="27"/>
      <c r="BL46" s="44"/>
      <c r="BM46" s="45" t="s">
        <v>155</v>
      </c>
      <c r="BN46" s="39" t="s">
        <v>15</v>
      </c>
      <c r="BO46" s="39">
        <v>7</v>
      </c>
      <c r="BP46" s="39" t="s">
        <v>152</v>
      </c>
      <c r="BQ46" s="27">
        <v>43</v>
      </c>
      <c r="BR46" s="39">
        <v>2014</v>
      </c>
      <c r="BS46" s="41" t="s">
        <v>187</v>
      </c>
      <c r="BT46" s="27"/>
      <c r="BU46" s="44"/>
      <c r="BV46" s="45" t="s">
        <v>155</v>
      </c>
      <c r="BW46" s="39" t="s">
        <v>15</v>
      </c>
      <c r="BX46" s="39">
        <v>7</v>
      </c>
      <c r="BY46" s="39" t="s">
        <v>152</v>
      </c>
      <c r="BZ46" s="27">
        <v>43</v>
      </c>
      <c r="CA46" s="39" t="s">
        <v>50</v>
      </c>
      <c r="CB46" s="41" t="s">
        <v>183</v>
      </c>
      <c r="CC46" s="27"/>
      <c r="CD46" s="44"/>
      <c r="CE46" s="45" t="s">
        <v>155</v>
      </c>
      <c r="CF46" s="39" t="s">
        <v>15</v>
      </c>
      <c r="CG46" s="39">
        <v>7</v>
      </c>
      <c r="CH46" s="39" t="s">
        <v>152</v>
      </c>
      <c r="CI46" s="27">
        <v>43</v>
      </c>
      <c r="CJ46" s="64">
        <v>1024</v>
      </c>
      <c r="CK46" s="41" t="s">
        <v>168</v>
      </c>
    </row>
    <row r="47" spans="1:89" ht="15.75" thickBot="1" x14ac:dyDescent="0.3">
      <c r="A47" s="42"/>
      <c r="B47" s="34" t="s">
        <v>151</v>
      </c>
      <c r="C47" s="10" t="s">
        <v>15</v>
      </c>
      <c r="D47" s="10">
        <v>8</v>
      </c>
      <c r="E47" s="10" t="s">
        <v>152</v>
      </c>
      <c r="F47">
        <v>44</v>
      </c>
      <c r="G47" s="2" t="s">
        <v>200</v>
      </c>
      <c r="H47" s="43" t="s">
        <v>166</v>
      </c>
      <c r="J47" s="42"/>
      <c r="K47" s="34" t="s">
        <v>155</v>
      </c>
      <c r="L47" s="10" t="s">
        <v>15</v>
      </c>
      <c r="M47" s="10">
        <v>8</v>
      </c>
      <c r="N47" s="10" t="s">
        <v>152</v>
      </c>
      <c r="O47">
        <v>44</v>
      </c>
      <c r="P47" s="2" t="s">
        <v>201</v>
      </c>
      <c r="Q47" s="43" t="s">
        <v>167</v>
      </c>
      <c r="S47" s="42"/>
      <c r="T47" s="34" t="s">
        <v>155</v>
      </c>
      <c r="U47" s="10" t="s">
        <v>15</v>
      </c>
      <c r="V47" s="10">
        <v>8</v>
      </c>
      <c r="W47" s="10" t="s">
        <v>152</v>
      </c>
      <c r="X47">
        <v>44</v>
      </c>
      <c r="Y47" s="2" t="s">
        <v>202</v>
      </c>
      <c r="Z47" s="43" t="s">
        <v>165</v>
      </c>
      <c r="AB47" s="42"/>
      <c r="AC47" s="34" t="s">
        <v>155</v>
      </c>
      <c r="AD47" s="10" t="s">
        <v>15</v>
      </c>
      <c r="AE47" s="10">
        <v>8</v>
      </c>
      <c r="AF47" s="10" t="s">
        <v>152</v>
      </c>
      <c r="AG47">
        <v>44</v>
      </c>
      <c r="AH47" s="2"/>
      <c r="AI47" s="43"/>
      <c r="AK47" s="44"/>
      <c r="AL47" s="45" t="s">
        <v>155</v>
      </c>
      <c r="AM47" s="39" t="s">
        <v>15</v>
      </c>
      <c r="AN47" s="39">
        <v>8</v>
      </c>
      <c r="AO47" s="39" t="s">
        <v>152</v>
      </c>
      <c r="AP47" s="27">
        <v>44</v>
      </c>
      <c r="AQ47" s="39" t="s">
        <v>19</v>
      </c>
      <c r="AR47" s="41" t="s">
        <v>189</v>
      </c>
      <c r="AS47" s="27"/>
      <c r="AT47" s="44"/>
      <c r="AU47" s="45" t="s">
        <v>155</v>
      </c>
      <c r="AV47" s="39" t="s">
        <v>15</v>
      </c>
      <c r="AW47" s="39">
        <v>8</v>
      </c>
      <c r="AX47" s="39" t="s">
        <v>152</v>
      </c>
      <c r="AY47" s="27">
        <v>44</v>
      </c>
      <c r="AZ47" s="39" t="s">
        <v>3</v>
      </c>
      <c r="BA47" s="41" t="s">
        <v>171</v>
      </c>
      <c r="BB47" s="27"/>
      <c r="BC47" s="44"/>
      <c r="BD47" s="45" t="s">
        <v>155</v>
      </c>
      <c r="BE47" s="39" t="s">
        <v>15</v>
      </c>
      <c r="BF47" s="39">
        <v>8</v>
      </c>
      <c r="BG47" s="39" t="s">
        <v>152</v>
      </c>
      <c r="BH47" s="27">
        <v>44</v>
      </c>
      <c r="BI47" s="39" t="s">
        <v>23</v>
      </c>
      <c r="BJ47" s="41" t="s">
        <v>180</v>
      </c>
      <c r="BK47" s="27"/>
      <c r="BL47" s="44"/>
      <c r="BM47" s="45" t="s">
        <v>155</v>
      </c>
      <c r="BN47" s="39" t="s">
        <v>15</v>
      </c>
      <c r="BO47" s="39">
        <v>8</v>
      </c>
      <c r="BP47" s="39" t="s">
        <v>152</v>
      </c>
      <c r="BQ47" s="27">
        <v>44</v>
      </c>
      <c r="BR47" s="39">
        <v>2014</v>
      </c>
      <c r="BS47" s="41" t="s">
        <v>189</v>
      </c>
      <c r="BT47" s="27"/>
      <c r="BU47" s="44"/>
      <c r="BV47" s="45" t="s">
        <v>155</v>
      </c>
      <c r="BW47" s="39" t="s">
        <v>15</v>
      </c>
      <c r="BX47" s="39">
        <v>8</v>
      </c>
      <c r="BY47" s="39" t="s">
        <v>152</v>
      </c>
      <c r="BZ47" s="27">
        <v>44</v>
      </c>
      <c r="CA47" s="39" t="s">
        <v>50</v>
      </c>
      <c r="CB47" s="41" t="s">
        <v>186</v>
      </c>
      <c r="CC47" s="27"/>
      <c r="CD47" s="44"/>
      <c r="CE47" s="45" t="s">
        <v>155</v>
      </c>
      <c r="CF47" s="39" t="s">
        <v>15</v>
      </c>
      <c r="CG47" s="39">
        <v>8</v>
      </c>
      <c r="CH47" s="39" t="s">
        <v>152</v>
      </c>
      <c r="CI47" s="27">
        <v>44</v>
      </c>
      <c r="CJ47" s="64">
        <v>1024</v>
      </c>
      <c r="CK47" s="41" t="s">
        <v>176</v>
      </c>
    </row>
    <row r="48" spans="1:89" x14ac:dyDescent="0.25">
      <c r="A48" s="42"/>
      <c r="B48" s="34" t="s">
        <v>151</v>
      </c>
      <c r="C48" s="10" t="s">
        <v>15</v>
      </c>
      <c r="D48" s="10">
        <v>9</v>
      </c>
      <c r="E48" s="10" t="s">
        <v>152</v>
      </c>
      <c r="F48">
        <v>45</v>
      </c>
      <c r="G48" s="2" t="s">
        <v>200</v>
      </c>
      <c r="H48" s="43" t="s">
        <v>174</v>
      </c>
      <c r="J48" s="42"/>
      <c r="K48" s="34" t="s">
        <v>155</v>
      </c>
      <c r="L48" s="10" t="s">
        <v>15</v>
      </c>
      <c r="M48" s="10">
        <v>9</v>
      </c>
      <c r="N48" s="10" t="s">
        <v>152</v>
      </c>
      <c r="O48">
        <v>45</v>
      </c>
      <c r="P48" s="2" t="s">
        <v>201</v>
      </c>
      <c r="Q48" s="43" t="s">
        <v>175</v>
      </c>
      <c r="S48" s="42"/>
      <c r="T48" s="34" t="s">
        <v>155</v>
      </c>
      <c r="U48" s="10" t="s">
        <v>15</v>
      </c>
      <c r="V48" s="10">
        <v>9</v>
      </c>
      <c r="W48" s="10" t="s">
        <v>152</v>
      </c>
      <c r="X48">
        <v>45</v>
      </c>
      <c r="Y48" s="2" t="s">
        <v>202</v>
      </c>
      <c r="Z48" s="43" t="s">
        <v>173</v>
      </c>
      <c r="AB48" s="42"/>
      <c r="AC48" s="34" t="s">
        <v>155</v>
      </c>
      <c r="AD48" s="10" t="s">
        <v>15</v>
      </c>
      <c r="AE48" s="10">
        <v>9</v>
      </c>
      <c r="AF48" s="10" t="s">
        <v>152</v>
      </c>
      <c r="AG48">
        <v>45</v>
      </c>
      <c r="AH48" s="2"/>
      <c r="AI48" s="43"/>
      <c r="AK48" s="44"/>
      <c r="AL48" s="45" t="s">
        <v>155</v>
      </c>
      <c r="AM48" s="39" t="s">
        <v>15</v>
      </c>
      <c r="AN48" s="39">
        <v>9</v>
      </c>
      <c r="AO48" s="39" t="s">
        <v>152</v>
      </c>
      <c r="AP48" s="27">
        <v>45</v>
      </c>
      <c r="AQ48" s="64">
        <v>2016</v>
      </c>
      <c r="AR48" s="40" t="s">
        <v>160</v>
      </c>
      <c r="AS48" s="27"/>
      <c r="AT48" s="44"/>
      <c r="AU48" s="45" t="s">
        <v>155</v>
      </c>
      <c r="AV48" s="39" t="s">
        <v>15</v>
      </c>
      <c r="AW48" s="39">
        <v>9</v>
      </c>
      <c r="AX48" s="39" t="s">
        <v>152</v>
      </c>
      <c r="AY48" s="27">
        <v>45</v>
      </c>
      <c r="AZ48" s="39" t="s">
        <v>3</v>
      </c>
      <c r="BA48" s="41" t="s">
        <v>161</v>
      </c>
      <c r="BB48" s="27"/>
      <c r="BC48" s="44"/>
      <c r="BD48" s="45" t="s">
        <v>155</v>
      </c>
      <c r="BE48" s="39" t="s">
        <v>15</v>
      </c>
      <c r="BF48" s="39">
        <v>9</v>
      </c>
      <c r="BG48" s="39" t="s">
        <v>152</v>
      </c>
      <c r="BH48" s="27">
        <v>45</v>
      </c>
      <c r="BI48" s="39" t="s">
        <v>23</v>
      </c>
      <c r="BJ48" s="41" t="s">
        <v>181</v>
      </c>
      <c r="BK48" s="27"/>
      <c r="BL48" s="44"/>
      <c r="BM48" s="45" t="s">
        <v>155</v>
      </c>
      <c r="BN48" s="39" t="s">
        <v>15</v>
      </c>
      <c r="BO48" s="39">
        <v>9</v>
      </c>
      <c r="BP48" s="39" t="s">
        <v>152</v>
      </c>
      <c r="BQ48" s="27">
        <v>45</v>
      </c>
      <c r="BR48" s="39" t="s">
        <v>6</v>
      </c>
      <c r="BS48" s="40" t="s">
        <v>160</v>
      </c>
      <c r="BT48" s="27">
        <v>21</v>
      </c>
      <c r="BU48" s="44"/>
      <c r="BV48" s="45" t="s">
        <v>155</v>
      </c>
      <c r="BW48" s="39" t="s">
        <v>15</v>
      </c>
      <c r="BX48" s="39">
        <v>9</v>
      </c>
      <c r="BY48" s="39" t="s">
        <v>152</v>
      </c>
      <c r="BZ48" s="27">
        <v>45</v>
      </c>
      <c r="CA48" s="39" t="s">
        <v>50</v>
      </c>
      <c r="CB48" s="41" t="s">
        <v>188</v>
      </c>
      <c r="CC48" s="27"/>
      <c r="CD48" s="44"/>
      <c r="CE48" s="45" t="s">
        <v>155</v>
      </c>
      <c r="CF48" s="39" t="s">
        <v>15</v>
      </c>
      <c r="CG48" s="39">
        <v>9</v>
      </c>
      <c r="CH48" s="39" t="s">
        <v>152</v>
      </c>
      <c r="CI48" s="27">
        <v>45</v>
      </c>
      <c r="CJ48" s="64">
        <v>1024</v>
      </c>
      <c r="CK48" s="41" t="s">
        <v>164</v>
      </c>
    </row>
    <row r="49" spans="1:89" x14ac:dyDescent="0.25">
      <c r="A49" s="42"/>
      <c r="B49" s="34" t="s">
        <v>151</v>
      </c>
      <c r="C49" s="10" t="s">
        <v>15</v>
      </c>
      <c r="D49" s="10">
        <v>10</v>
      </c>
      <c r="E49" s="10" t="s">
        <v>152</v>
      </c>
      <c r="F49">
        <v>46</v>
      </c>
      <c r="G49" s="10" t="s">
        <v>203</v>
      </c>
      <c r="H49" s="43" t="s">
        <v>154</v>
      </c>
      <c r="J49" s="42"/>
      <c r="K49" s="34" t="s">
        <v>155</v>
      </c>
      <c r="L49" s="10" t="s">
        <v>15</v>
      </c>
      <c r="M49" s="10">
        <v>10</v>
      </c>
      <c r="N49" s="10" t="s">
        <v>152</v>
      </c>
      <c r="O49">
        <v>46</v>
      </c>
      <c r="P49" s="10" t="s">
        <v>201</v>
      </c>
      <c r="Q49" s="43" t="s">
        <v>157</v>
      </c>
      <c r="S49" s="42"/>
      <c r="T49" s="34" t="s">
        <v>155</v>
      </c>
      <c r="U49" s="10" t="s">
        <v>15</v>
      </c>
      <c r="V49" s="10">
        <v>10</v>
      </c>
      <c r="W49" s="10" t="s">
        <v>152</v>
      </c>
      <c r="X49">
        <v>46</v>
      </c>
      <c r="Y49" s="10" t="s">
        <v>202</v>
      </c>
      <c r="Z49" s="43" t="s">
        <v>159</v>
      </c>
      <c r="AB49" s="42"/>
      <c r="AC49" s="34" t="s">
        <v>155</v>
      </c>
      <c r="AD49" s="10" t="s">
        <v>15</v>
      </c>
      <c r="AE49" s="10">
        <v>10</v>
      </c>
      <c r="AF49" s="10" t="s">
        <v>152</v>
      </c>
      <c r="AG49">
        <v>46</v>
      </c>
      <c r="AH49" s="10"/>
      <c r="AI49" s="43"/>
      <c r="AK49" s="44"/>
      <c r="AL49" s="45" t="s">
        <v>155</v>
      </c>
      <c r="AM49" s="39" t="s">
        <v>15</v>
      </c>
      <c r="AN49" s="39">
        <v>10</v>
      </c>
      <c r="AO49" s="39" t="s">
        <v>152</v>
      </c>
      <c r="AP49" s="27">
        <v>46</v>
      </c>
      <c r="AQ49" s="39">
        <v>2016</v>
      </c>
      <c r="AR49" s="41" t="s">
        <v>168</v>
      </c>
      <c r="AS49" s="27"/>
      <c r="AT49" s="44"/>
      <c r="AU49" s="45" t="s">
        <v>155</v>
      </c>
      <c r="AV49" s="39" t="s">
        <v>15</v>
      </c>
      <c r="AW49" s="39">
        <v>10</v>
      </c>
      <c r="AX49" s="39" t="s">
        <v>152</v>
      </c>
      <c r="AY49" s="27">
        <v>46</v>
      </c>
      <c r="AZ49" s="39" t="s">
        <v>3</v>
      </c>
      <c r="BA49" s="46" t="s">
        <v>169</v>
      </c>
      <c r="BB49" s="27"/>
      <c r="BC49" s="44"/>
      <c r="BD49" s="45" t="s">
        <v>155</v>
      </c>
      <c r="BE49" s="39" t="s">
        <v>15</v>
      </c>
      <c r="BF49" s="39">
        <v>10</v>
      </c>
      <c r="BG49" s="39" t="s">
        <v>152</v>
      </c>
      <c r="BH49" s="27">
        <v>46</v>
      </c>
      <c r="BI49" s="39" t="s">
        <v>23</v>
      </c>
      <c r="BJ49" s="41" t="s">
        <v>183</v>
      </c>
      <c r="BK49" s="27"/>
      <c r="BL49" s="44"/>
      <c r="BM49" s="45" t="s">
        <v>155</v>
      </c>
      <c r="BN49" s="39" t="s">
        <v>15</v>
      </c>
      <c r="BO49" s="39">
        <v>10</v>
      </c>
      <c r="BP49" s="39" t="s">
        <v>152</v>
      </c>
      <c r="BQ49" s="27">
        <v>46</v>
      </c>
      <c r="BR49" s="39" t="s">
        <v>6</v>
      </c>
      <c r="BS49" s="41" t="s">
        <v>168</v>
      </c>
      <c r="BT49" s="27">
        <v>22</v>
      </c>
      <c r="BU49" s="44"/>
      <c r="BV49" s="45" t="s">
        <v>155</v>
      </c>
      <c r="BW49" s="39" t="s">
        <v>15</v>
      </c>
      <c r="BX49" s="39">
        <v>10</v>
      </c>
      <c r="BY49" s="39" t="s">
        <v>152</v>
      </c>
      <c r="BZ49" s="27">
        <v>46</v>
      </c>
      <c r="CA49" s="39" t="s">
        <v>50</v>
      </c>
      <c r="CB49" s="41" t="s">
        <v>182</v>
      </c>
      <c r="CC49" s="27"/>
      <c r="CD49" s="44"/>
      <c r="CE49" s="45" t="s">
        <v>155</v>
      </c>
      <c r="CF49" s="39" t="s">
        <v>15</v>
      </c>
      <c r="CG49" s="39">
        <v>10</v>
      </c>
      <c r="CH49" s="39" t="s">
        <v>152</v>
      </c>
      <c r="CI49" s="27">
        <v>46</v>
      </c>
      <c r="CJ49" s="64">
        <v>1024</v>
      </c>
      <c r="CK49" s="41" t="s">
        <v>172</v>
      </c>
    </row>
    <row r="50" spans="1:89" x14ac:dyDescent="0.25">
      <c r="A50" s="42"/>
      <c r="B50" s="34" t="s">
        <v>151</v>
      </c>
      <c r="C50" s="10" t="s">
        <v>15</v>
      </c>
      <c r="D50" s="10">
        <v>11</v>
      </c>
      <c r="E50" s="10" t="s">
        <v>152</v>
      </c>
      <c r="F50">
        <v>47</v>
      </c>
      <c r="G50" s="10" t="s">
        <v>203</v>
      </c>
      <c r="H50" s="43" t="s">
        <v>165</v>
      </c>
      <c r="J50" s="42"/>
      <c r="K50" s="34" t="s">
        <v>155</v>
      </c>
      <c r="L50" s="10" t="s">
        <v>15</v>
      </c>
      <c r="M50" s="10">
        <v>11</v>
      </c>
      <c r="N50" s="10" t="s">
        <v>152</v>
      </c>
      <c r="O50">
        <v>47</v>
      </c>
      <c r="P50" s="10" t="s">
        <v>201</v>
      </c>
      <c r="Q50" s="43" t="s">
        <v>166</v>
      </c>
      <c r="S50" s="42"/>
      <c r="T50" s="34" t="s">
        <v>155</v>
      </c>
      <c r="U50" s="10" t="s">
        <v>15</v>
      </c>
      <c r="V50" s="10">
        <v>11</v>
      </c>
      <c r="W50" s="10" t="s">
        <v>152</v>
      </c>
      <c r="X50">
        <v>47</v>
      </c>
      <c r="Y50" s="10" t="s">
        <v>202</v>
      </c>
      <c r="Z50" s="43" t="s">
        <v>167</v>
      </c>
      <c r="AB50" s="42"/>
      <c r="AC50" s="34" t="s">
        <v>155</v>
      </c>
      <c r="AD50" s="10" t="s">
        <v>15</v>
      </c>
      <c r="AE50" s="10">
        <v>11</v>
      </c>
      <c r="AF50" s="10" t="s">
        <v>152</v>
      </c>
      <c r="AG50">
        <v>47</v>
      </c>
      <c r="AH50" s="10"/>
      <c r="AI50" s="43"/>
      <c r="AK50" s="44"/>
      <c r="AL50" s="45" t="s">
        <v>155</v>
      </c>
      <c r="AM50" s="39" t="s">
        <v>15</v>
      </c>
      <c r="AN50" s="39">
        <v>11</v>
      </c>
      <c r="AO50" s="39" t="s">
        <v>152</v>
      </c>
      <c r="AP50" s="27">
        <v>47</v>
      </c>
      <c r="AQ50" s="64">
        <v>2016</v>
      </c>
      <c r="AR50" s="41" t="s">
        <v>176</v>
      </c>
      <c r="AS50" s="27"/>
      <c r="AT50" s="44"/>
      <c r="AU50" s="45" t="s">
        <v>155</v>
      </c>
      <c r="AV50" s="39" t="s">
        <v>15</v>
      </c>
      <c r="AW50" s="39">
        <v>11</v>
      </c>
      <c r="AX50" s="39" t="s">
        <v>152</v>
      </c>
      <c r="AY50" s="27">
        <v>47</v>
      </c>
      <c r="AZ50" s="39" t="s">
        <v>3</v>
      </c>
      <c r="BA50" s="41" t="s">
        <v>177</v>
      </c>
      <c r="BB50" s="27"/>
      <c r="BC50" s="44"/>
      <c r="BD50" s="45" t="s">
        <v>155</v>
      </c>
      <c r="BE50" s="39" t="s">
        <v>15</v>
      </c>
      <c r="BF50" s="39">
        <v>11</v>
      </c>
      <c r="BG50" s="39" t="s">
        <v>152</v>
      </c>
      <c r="BH50" s="27">
        <v>47</v>
      </c>
      <c r="BI50" s="39" t="s">
        <v>23</v>
      </c>
      <c r="BJ50" s="41" t="s">
        <v>186</v>
      </c>
      <c r="BK50" s="27"/>
      <c r="BL50" s="44"/>
      <c r="BM50" s="45" t="s">
        <v>155</v>
      </c>
      <c r="BN50" s="39" t="s">
        <v>15</v>
      </c>
      <c r="BO50" s="39">
        <v>11</v>
      </c>
      <c r="BP50" s="39" t="s">
        <v>152</v>
      </c>
      <c r="BQ50" s="27">
        <v>47</v>
      </c>
      <c r="BR50" s="39" t="s">
        <v>6</v>
      </c>
      <c r="BS50" s="41" t="s">
        <v>176</v>
      </c>
      <c r="BT50" s="27">
        <v>23</v>
      </c>
      <c r="BU50" s="44"/>
      <c r="BV50" s="45" t="s">
        <v>155</v>
      </c>
      <c r="BW50" s="39" t="s">
        <v>15</v>
      </c>
      <c r="BX50" s="39">
        <v>11</v>
      </c>
      <c r="BY50" s="39" t="s">
        <v>152</v>
      </c>
      <c r="BZ50" s="27">
        <v>47</v>
      </c>
      <c r="CA50" s="39" t="s">
        <v>50</v>
      </c>
      <c r="CB50" s="41" t="s">
        <v>184</v>
      </c>
      <c r="CC50" s="27"/>
      <c r="CD50" s="44"/>
      <c r="CE50" s="45" t="s">
        <v>155</v>
      </c>
      <c r="CF50" s="39" t="s">
        <v>15</v>
      </c>
      <c r="CG50" s="39">
        <v>11</v>
      </c>
      <c r="CH50" s="39" t="s">
        <v>152</v>
      </c>
      <c r="CI50" s="27">
        <v>47</v>
      </c>
      <c r="CJ50" s="64">
        <v>1024</v>
      </c>
      <c r="CK50" s="41" t="s">
        <v>162</v>
      </c>
    </row>
    <row r="51" spans="1:89" ht="15.75" thickBot="1" x14ac:dyDescent="0.3">
      <c r="A51" s="47"/>
      <c r="B51" s="48" t="s">
        <v>151</v>
      </c>
      <c r="C51" s="49" t="s">
        <v>15</v>
      </c>
      <c r="D51" s="49">
        <v>12</v>
      </c>
      <c r="E51" s="49" t="s">
        <v>152</v>
      </c>
      <c r="F51" s="50">
        <v>48</v>
      </c>
      <c r="G51" s="49" t="s">
        <v>203</v>
      </c>
      <c r="H51" s="51" t="s">
        <v>173</v>
      </c>
      <c r="J51" s="47"/>
      <c r="K51" s="48" t="s">
        <v>155</v>
      </c>
      <c r="L51" s="49" t="s">
        <v>15</v>
      </c>
      <c r="M51" s="49">
        <v>12</v>
      </c>
      <c r="N51" s="49" t="s">
        <v>152</v>
      </c>
      <c r="O51" s="50">
        <v>48</v>
      </c>
      <c r="P51" s="49" t="s">
        <v>201</v>
      </c>
      <c r="Q51" s="51" t="s">
        <v>174</v>
      </c>
      <c r="S51" s="47"/>
      <c r="T51" s="48" t="s">
        <v>155</v>
      </c>
      <c r="U51" s="49" t="s">
        <v>15</v>
      </c>
      <c r="V51" s="49">
        <v>12</v>
      </c>
      <c r="W51" s="49" t="s">
        <v>152</v>
      </c>
      <c r="X51" s="50">
        <v>48</v>
      </c>
      <c r="Y51" s="49" t="s">
        <v>202</v>
      </c>
      <c r="Z51" s="51" t="s">
        <v>175</v>
      </c>
      <c r="AB51" s="47"/>
      <c r="AC51" s="48" t="s">
        <v>155</v>
      </c>
      <c r="AD51" s="49" t="s">
        <v>15</v>
      </c>
      <c r="AE51" s="49">
        <v>12</v>
      </c>
      <c r="AF51" s="49" t="s">
        <v>152</v>
      </c>
      <c r="AG51" s="50">
        <v>48</v>
      </c>
      <c r="AH51" s="49"/>
      <c r="AI51" s="51"/>
      <c r="AK51" s="52"/>
      <c r="AL51" s="53" t="s">
        <v>155</v>
      </c>
      <c r="AM51" s="54" t="s">
        <v>15</v>
      </c>
      <c r="AN51" s="54">
        <v>12</v>
      </c>
      <c r="AO51" s="54" t="s">
        <v>152</v>
      </c>
      <c r="AP51" s="55">
        <v>48</v>
      </c>
      <c r="AQ51" s="39">
        <v>2016</v>
      </c>
      <c r="AR51" s="41" t="s">
        <v>164</v>
      </c>
      <c r="AS51" s="27"/>
      <c r="AT51" s="52"/>
      <c r="AU51" s="53" t="s">
        <v>155</v>
      </c>
      <c r="AV51" s="54" t="s">
        <v>15</v>
      </c>
      <c r="AW51" s="54">
        <v>12</v>
      </c>
      <c r="AX51" s="54" t="s">
        <v>152</v>
      </c>
      <c r="AY51" s="55">
        <v>48</v>
      </c>
      <c r="AZ51" s="39" t="s">
        <v>3</v>
      </c>
      <c r="BA51" s="41" t="s">
        <v>180</v>
      </c>
      <c r="BB51" s="27"/>
      <c r="BC51" s="52"/>
      <c r="BD51" s="53" t="s">
        <v>155</v>
      </c>
      <c r="BE51" s="54" t="s">
        <v>15</v>
      </c>
      <c r="BF51" s="54">
        <v>12</v>
      </c>
      <c r="BG51" s="54" t="s">
        <v>152</v>
      </c>
      <c r="BH51" s="55">
        <v>48</v>
      </c>
      <c r="BI51" s="39" t="s">
        <v>23</v>
      </c>
      <c r="BJ51" s="41" t="s">
        <v>188</v>
      </c>
      <c r="BK51" s="27"/>
      <c r="BL51" s="52"/>
      <c r="BM51" s="53" t="s">
        <v>155</v>
      </c>
      <c r="BN51" s="54" t="s">
        <v>15</v>
      </c>
      <c r="BO51" s="54">
        <v>12</v>
      </c>
      <c r="BP51" s="54" t="s">
        <v>152</v>
      </c>
      <c r="BQ51" s="55">
        <v>48</v>
      </c>
      <c r="BR51" s="39" t="s">
        <v>6</v>
      </c>
      <c r="BS51" s="41" t="s">
        <v>164</v>
      </c>
      <c r="BT51" s="27">
        <v>24</v>
      </c>
      <c r="BU51" s="52"/>
      <c r="BV51" s="53" t="s">
        <v>155</v>
      </c>
      <c r="BW51" s="54" t="s">
        <v>15</v>
      </c>
      <c r="BX51" s="54">
        <v>12</v>
      </c>
      <c r="BY51" s="54" t="s">
        <v>152</v>
      </c>
      <c r="BZ51" s="55">
        <v>48</v>
      </c>
      <c r="CA51" s="39" t="s">
        <v>50</v>
      </c>
      <c r="CB51" s="41" t="s">
        <v>187</v>
      </c>
      <c r="CC51" s="27"/>
      <c r="CD51" s="52"/>
      <c r="CE51" s="53" t="s">
        <v>155</v>
      </c>
      <c r="CF51" s="54" t="s">
        <v>15</v>
      </c>
      <c r="CG51" s="54">
        <v>12</v>
      </c>
      <c r="CH51" s="54" t="s">
        <v>152</v>
      </c>
      <c r="CI51" s="55">
        <v>48</v>
      </c>
      <c r="CJ51" s="64">
        <v>1024</v>
      </c>
      <c r="CK51" s="41" t="s">
        <v>170</v>
      </c>
    </row>
    <row r="52" spans="1:89" ht="15.75" thickBot="1" x14ac:dyDescent="0.3">
      <c r="A52" s="56"/>
      <c r="B52" s="57" t="s">
        <v>151</v>
      </c>
      <c r="C52" s="58" t="s">
        <v>18</v>
      </c>
      <c r="D52" s="58">
        <v>1</v>
      </c>
      <c r="E52" s="58" t="s">
        <v>152</v>
      </c>
      <c r="F52" s="59">
        <v>49</v>
      </c>
      <c r="G52" s="10" t="s">
        <v>203</v>
      </c>
      <c r="H52" s="43" t="s">
        <v>159</v>
      </c>
      <c r="J52" s="56"/>
      <c r="K52" s="31" t="s">
        <v>155</v>
      </c>
      <c r="L52" s="58" t="s">
        <v>18</v>
      </c>
      <c r="M52" s="58">
        <v>1</v>
      </c>
      <c r="N52" s="58" t="s">
        <v>152</v>
      </c>
      <c r="O52" s="59">
        <v>49</v>
      </c>
      <c r="P52" s="10" t="s">
        <v>204</v>
      </c>
      <c r="Q52" s="43" t="s">
        <v>154</v>
      </c>
      <c r="S52" s="56"/>
      <c r="T52" s="31" t="s">
        <v>155</v>
      </c>
      <c r="U52" s="58" t="s">
        <v>18</v>
      </c>
      <c r="V52" s="58">
        <v>1</v>
      </c>
      <c r="W52" s="58" t="s">
        <v>152</v>
      </c>
      <c r="X52" s="59">
        <v>49</v>
      </c>
      <c r="Y52" s="10" t="s">
        <v>202</v>
      </c>
      <c r="Z52" s="43" t="s">
        <v>157</v>
      </c>
      <c r="AB52" s="56"/>
      <c r="AC52" s="31" t="s">
        <v>155</v>
      </c>
      <c r="AD52" s="58" t="s">
        <v>18</v>
      </c>
      <c r="AE52" s="58">
        <v>1</v>
      </c>
      <c r="AF52" s="58" t="s">
        <v>152</v>
      </c>
      <c r="AG52" s="59">
        <v>49</v>
      </c>
      <c r="AH52" s="10"/>
      <c r="AI52" s="43"/>
      <c r="AK52" s="60"/>
      <c r="AL52" s="36" t="s">
        <v>155</v>
      </c>
      <c r="AM52" s="61" t="s">
        <v>18</v>
      </c>
      <c r="AN52" s="61">
        <v>1</v>
      </c>
      <c r="AO52" s="61" t="s">
        <v>152</v>
      </c>
      <c r="AP52" s="62">
        <v>49</v>
      </c>
      <c r="AQ52" s="64">
        <v>2016</v>
      </c>
      <c r="AR52" s="41" t="s">
        <v>172</v>
      </c>
      <c r="AS52" s="27"/>
      <c r="AT52" s="60"/>
      <c r="AU52" s="36" t="s">
        <v>155</v>
      </c>
      <c r="AV52" s="61" t="s">
        <v>18</v>
      </c>
      <c r="AW52" s="61">
        <v>1</v>
      </c>
      <c r="AX52" s="61" t="s">
        <v>152</v>
      </c>
      <c r="AY52" s="62">
        <v>49</v>
      </c>
      <c r="AZ52" s="39" t="s">
        <v>3</v>
      </c>
      <c r="BA52" s="41" t="s">
        <v>181</v>
      </c>
      <c r="BB52" s="27"/>
      <c r="BC52" s="60"/>
      <c r="BD52" s="36" t="s">
        <v>155</v>
      </c>
      <c r="BE52" s="61" t="s">
        <v>18</v>
      </c>
      <c r="BF52" s="61">
        <v>1</v>
      </c>
      <c r="BG52" s="61" t="s">
        <v>152</v>
      </c>
      <c r="BH52" s="62">
        <v>49</v>
      </c>
      <c r="BI52" s="39" t="s">
        <v>23</v>
      </c>
      <c r="BJ52" s="41" t="s">
        <v>182</v>
      </c>
      <c r="BK52" s="27"/>
      <c r="BL52" s="60"/>
      <c r="BM52" s="36" t="s">
        <v>155</v>
      </c>
      <c r="BN52" s="61" t="s">
        <v>18</v>
      </c>
      <c r="BO52" s="61">
        <v>1</v>
      </c>
      <c r="BP52" s="61" t="s">
        <v>152</v>
      </c>
      <c r="BQ52" s="62">
        <v>49</v>
      </c>
      <c r="BR52" s="39" t="s">
        <v>6</v>
      </c>
      <c r="BS52" s="41" t="s">
        <v>172</v>
      </c>
      <c r="BT52" s="27">
        <v>25</v>
      </c>
      <c r="BU52" s="60"/>
      <c r="BV52" s="36" t="s">
        <v>155</v>
      </c>
      <c r="BW52" s="61" t="s">
        <v>18</v>
      </c>
      <c r="BX52" s="61">
        <v>1</v>
      </c>
      <c r="BY52" s="61" t="s">
        <v>152</v>
      </c>
      <c r="BZ52" s="62">
        <v>49</v>
      </c>
      <c r="CA52" s="39" t="s">
        <v>50</v>
      </c>
      <c r="CB52" s="41" t="s">
        <v>189</v>
      </c>
      <c r="CC52" s="27"/>
      <c r="CD52" s="60"/>
      <c r="CE52" s="36" t="s">
        <v>155</v>
      </c>
      <c r="CF52" s="61" t="s">
        <v>18</v>
      </c>
      <c r="CG52" s="61">
        <v>1</v>
      </c>
      <c r="CH52" s="61" t="s">
        <v>152</v>
      </c>
      <c r="CI52" s="62">
        <v>49</v>
      </c>
      <c r="CJ52" s="64">
        <v>1024</v>
      </c>
      <c r="CK52" s="41" t="s">
        <v>178</v>
      </c>
    </row>
    <row r="53" spans="1:89" x14ac:dyDescent="0.25">
      <c r="A53" s="42"/>
      <c r="B53" s="34" t="s">
        <v>151</v>
      </c>
      <c r="C53" s="10" t="s">
        <v>18</v>
      </c>
      <c r="D53" s="10">
        <v>2</v>
      </c>
      <c r="E53" s="10" t="s">
        <v>152</v>
      </c>
      <c r="F53">
        <v>50</v>
      </c>
      <c r="G53" s="10" t="s">
        <v>203</v>
      </c>
      <c r="H53" s="43" t="s">
        <v>167</v>
      </c>
      <c r="J53" s="42"/>
      <c r="K53" s="34" t="s">
        <v>155</v>
      </c>
      <c r="L53" s="10" t="s">
        <v>18</v>
      </c>
      <c r="M53" s="10">
        <v>2</v>
      </c>
      <c r="N53" s="10" t="s">
        <v>152</v>
      </c>
      <c r="O53">
        <v>50</v>
      </c>
      <c r="P53" s="10" t="s">
        <v>204</v>
      </c>
      <c r="Q53" s="43" t="s">
        <v>165</v>
      </c>
      <c r="S53" s="42"/>
      <c r="T53" s="34" t="s">
        <v>155</v>
      </c>
      <c r="U53" s="10" t="s">
        <v>18</v>
      </c>
      <c r="V53" s="10">
        <v>2</v>
      </c>
      <c r="W53" s="10" t="s">
        <v>152</v>
      </c>
      <c r="X53">
        <v>50</v>
      </c>
      <c r="Y53" s="10" t="s">
        <v>202</v>
      </c>
      <c r="Z53" s="43" t="s">
        <v>166</v>
      </c>
      <c r="AB53" s="42"/>
      <c r="AC53" s="34" t="s">
        <v>155</v>
      </c>
      <c r="AD53" s="10" t="s">
        <v>18</v>
      </c>
      <c r="AE53" s="10">
        <v>2</v>
      </c>
      <c r="AF53" s="10" t="s">
        <v>152</v>
      </c>
      <c r="AG53">
        <v>50</v>
      </c>
      <c r="AH53" s="10"/>
      <c r="AI53" s="43"/>
      <c r="AK53" s="44"/>
      <c r="AL53" s="45" t="s">
        <v>155</v>
      </c>
      <c r="AM53" s="39" t="s">
        <v>18</v>
      </c>
      <c r="AN53" s="39">
        <v>2</v>
      </c>
      <c r="AO53" s="39" t="s">
        <v>152</v>
      </c>
      <c r="AP53" s="27">
        <v>50</v>
      </c>
      <c r="AQ53" s="39">
        <v>2016</v>
      </c>
      <c r="AR53" s="41" t="s">
        <v>162</v>
      </c>
      <c r="AS53" s="27"/>
      <c r="AT53" s="44"/>
      <c r="AU53" s="45" t="s">
        <v>155</v>
      </c>
      <c r="AV53" s="39" t="s">
        <v>18</v>
      </c>
      <c r="AW53" s="39">
        <v>2</v>
      </c>
      <c r="AX53" s="39" t="s">
        <v>152</v>
      </c>
      <c r="AY53" s="27">
        <v>50</v>
      </c>
      <c r="AZ53" s="39" t="s">
        <v>3</v>
      </c>
      <c r="BA53" s="41" t="s">
        <v>183</v>
      </c>
      <c r="BB53" s="27"/>
      <c r="BC53" s="44"/>
      <c r="BD53" s="45" t="s">
        <v>155</v>
      </c>
      <c r="BE53" s="39" t="s">
        <v>18</v>
      </c>
      <c r="BF53" s="39">
        <v>2</v>
      </c>
      <c r="BG53" s="39" t="s">
        <v>152</v>
      </c>
      <c r="BH53" s="27">
        <v>50</v>
      </c>
      <c r="BI53" s="39" t="s">
        <v>23</v>
      </c>
      <c r="BJ53" s="41" t="s">
        <v>184</v>
      </c>
      <c r="BK53" s="27"/>
      <c r="BL53" s="44"/>
      <c r="BM53" s="45" t="s">
        <v>155</v>
      </c>
      <c r="BN53" s="39" t="s">
        <v>18</v>
      </c>
      <c r="BO53" s="39">
        <v>2</v>
      </c>
      <c r="BP53" s="39" t="s">
        <v>152</v>
      </c>
      <c r="BQ53" s="27">
        <v>50</v>
      </c>
      <c r="BR53" s="39" t="s">
        <v>6</v>
      </c>
      <c r="BS53" s="41" t="s">
        <v>162</v>
      </c>
      <c r="BT53" s="27"/>
      <c r="BU53" s="44"/>
      <c r="BV53" s="45" t="s">
        <v>155</v>
      </c>
      <c r="BW53" s="39" t="s">
        <v>18</v>
      </c>
      <c r="BX53" s="39">
        <v>2</v>
      </c>
      <c r="BY53" s="39" t="s">
        <v>152</v>
      </c>
      <c r="BZ53" s="27">
        <v>50</v>
      </c>
      <c r="CA53" s="39" t="s">
        <v>44</v>
      </c>
      <c r="CB53" s="40" t="s">
        <v>160</v>
      </c>
      <c r="CC53" s="27"/>
      <c r="CD53" s="44"/>
      <c r="CE53" s="45" t="s">
        <v>155</v>
      </c>
      <c r="CF53" s="39" t="s">
        <v>18</v>
      </c>
      <c r="CG53" s="39">
        <v>2</v>
      </c>
      <c r="CH53" s="39" t="s">
        <v>152</v>
      </c>
      <c r="CI53" s="27">
        <v>50</v>
      </c>
      <c r="CJ53" s="64">
        <v>1024</v>
      </c>
      <c r="CK53" s="41" t="s">
        <v>163</v>
      </c>
    </row>
    <row r="54" spans="1:89" x14ac:dyDescent="0.25">
      <c r="A54" s="42"/>
      <c r="B54" s="34" t="s">
        <v>151</v>
      </c>
      <c r="C54" s="10" t="s">
        <v>18</v>
      </c>
      <c r="D54" s="10">
        <v>3</v>
      </c>
      <c r="E54" s="10" t="s">
        <v>152</v>
      </c>
      <c r="F54">
        <v>51</v>
      </c>
      <c r="G54" s="10" t="s">
        <v>203</v>
      </c>
      <c r="H54" s="43" t="s">
        <v>175</v>
      </c>
      <c r="J54" s="42"/>
      <c r="K54" s="34" t="s">
        <v>155</v>
      </c>
      <c r="L54" s="10" t="s">
        <v>18</v>
      </c>
      <c r="M54" s="10">
        <v>3</v>
      </c>
      <c r="N54" s="10" t="s">
        <v>152</v>
      </c>
      <c r="O54">
        <v>51</v>
      </c>
      <c r="P54" s="10" t="s">
        <v>204</v>
      </c>
      <c r="Q54" s="43" t="s">
        <v>173</v>
      </c>
      <c r="S54" s="42"/>
      <c r="T54" s="34" t="s">
        <v>155</v>
      </c>
      <c r="U54" s="10" t="s">
        <v>18</v>
      </c>
      <c r="V54" s="10">
        <v>3</v>
      </c>
      <c r="W54" s="10" t="s">
        <v>152</v>
      </c>
      <c r="X54">
        <v>51</v>
      </c>
      <c r="Y54" s="10" t="s">
        <v>202</v>
      </c>
      <c r="Z54" s="43" t="s">
        <v>174</v>
      </c>
      <c r="AB54" s="42"/>
      <c r="AC54" s="34" t="s">
        <v>155</v>
      </c>
      <c r="AD54" s="10" t="s">
        <v>18</v>
      </c>
      <c r="AE54" s="10">
        <v>3</v>
      </c>
      <c r="AF54" s="10" t="s">
        <v>152</v>
      </c>
      <c r="AG54">
        <v>51</v>
      </c>
      <c r="AH54" s="10"/>
      <c r="AI54" s="43"/>
      <c r="AK54" s="44"/>
      <c r="AL54" s="45" t="s">
        <v>155</v>
      </c>
      <c r="AM54" s="39" t="s">
        <v>18</v>
      </c>
      <c r="AN54" s="39">
        <v>3</v>
      </c>
      <c r="AO54" s="39" t="s">
        <v>152</v>
      </c>
      <c r="AP54" s="27">
        <v>51</v>
      </c>
      <c r="AQ54" s="64">
        <v>2016</v>
      </c>
      <c r="AR54" s="41" t="s">
        <v>170</v>
      </c>
      <c r="AS54" s="27"/>
      <c r="AT54" s="44"/>
      <c r="AU54" s="45" t="s">
        <v>155</v>
      </c>
      <c r="AV54" s="39" t="s">
        <v>18</v>
      </c>
      <c r="AW54" s="39">
        <v>3</v>
      </c>
      <c r="AX54" s="39" t="s">
        <v>152</v>
      </c>
      <c r="AY54" s="27">
        <v>51</v>
      </c>
      <c r="AZ54" s="39" t="s">
        <v>3</v>
      </c>
      <c r="BA54" s="41" t="s">
        <v>186</v>
      </c>
      <c r="BB54" s="27"/>
      <c r="BC54" s="44"/>
      <c r="BD54" s="45" t="s">
        <v>155</v>
      </c>
      <c r="BE54" s="39" t="s">
        <v>18</v>
      </c>
      <c r="BF54" s="39">
        <v>3</v>
      </c>
      <c r="BG54" s="39" t="s">
        <v>152</v>
      </c>
      <c r="BH54" s="27">
        <v>51</v>
      </c>
      <c r="BI54" s="39" t="s">
        <v>23</v>
      </c>
      <c r="BJ54" s="41" t="s">
        <v>187</v>
      </c>
      <c r="BK54" s="27"/>
      <c r="BL54" s="44"/>
      <c r="BM54" s="45" t="s">
        <v>155</v>
      </c>
      <c r="BN54" s="39" t="s">
        <v>18</v>
      </c>
      <c r="BO54" s="39">
        <v>3</v>
      </c>
      <c r="BP54" s="39" t="s">
        <v>152</v>
      </c>
      <c r="BQ54" s="27">
        <v>51</v>
      </c>
      <c r="BR54" s="39" t="s">
        <v>6</v>
      </c>
      <c r="BS54" s="41" t="s">
        <v>170</v>
      </c>
      <c r="BT54" s="27"/>
      <c r="BU54" s="44"/>
      <c r="BV54" s="45" t="s">
        <v>155</v>
      </c>
      <c r="BW54" s="39" t="s">
        <v>18</v>
      </c>
      <c r="BX54" s="39">
        <v>3</v>
      </c>
      <c r="BY54" s="39" t="s">
        <v>152</v>
      </c>
      <c r="BZ54" s="27">
        <v>51</v>
      </c>
      <c r="CA54" s="39" t="s">
        <v>44</v>
      </c>
      <c r="CB54" s="41" t="s">
        <v>168</v>
      </c>
      <c r="CC54" s="27"/>
      <c r="CD54" s="44"/>
      <c r="CE54" s="45" t="s">
        <v>155</v>
      </c>
      <c r="CF54" s="39" t="s">
        <v>18</v>
      </c>
      <c r="CG54" s="39">
        <v>3</v>
      </c>
      <c r="CH54" s="39" t="s">
        <v>152</v>
      </c>
      <c r="CI54" s="27">
        <v>51</v>
      </c>
      <c r="CJ54" s="64">
        <v>1024</v>
      </c>
      <c r="CK54" s="41" t="s">
        <v>171</v>
      </c>
    </row>
    <row r="55" spans="1:89" ht="15.75" thickBot="1" x14ac:dyDescent="0.3">
      <c r="A55" s="42"/>
      <c r="B55" s="34" t="s">
        <v>151</v>
      </c>
      <c r="C55" s="10" t="s">
        <v>18</v>
      </c>
      <c r="D55" s="10">
        <v>4</v>
      </c>
      <c r="E55" s="10" t="s">
        <v>152</v>
      </c>
      <c r="F55">
        <v>52</v>
      </c>
      <c r="G55" s="10" t="s">
        <v>203</v>
      </c>
      <c r="H55" s="43" t="s">
        <v>157</v>
      </c>
      <c r="J55" s="42"/>
      <c r="K55" s="34" t="s">
        <v>155</v>
      </c>
      <c r="L55" s="10" t="s">
        <v>18</v>
      </c>
      <c r="M55" s="10">
        <v>4</v>
      </c>
      <c r="N55" s="10" t="s">
        <v>152</v>
      </c>
      <c r="O55">
        <v>52</v>
      </c>
      <c r="P55" s="10" t="s">
        <v>204</v>
      </c>
      <c r="Q55" s="43" t="s">
        <v>159</v>
      </c>
      <c r="S55" s="42"/>
      <c r="T55" s="34" t="s">
        <v>155</v>
      </c>
      <c r="U55" s="10" t="s">
        <v>18</v>
      </c>
      <c r="V55" s="10">
        <v>4</v>
      </c>
      <c r="W55" s="10" t="s">
        <v>152</v>
      </c>
      <c r="X55">
        <v>52</v>
      </c>
      <c r="Y55" s="10" t="s">
        <v>205</v>
      </c>
      <c r="Z55" s="43" t="s">
        <v>154</v>
      </c>
      <c r="AB55" s="42"/>
      <c r="AC55" s="34" t="s">
        <v>155</v>
      </c>
      <c r="AD55" s="10" t="s">
        <v>18</v>
      </c>
      <c r="AE55" s="10">
        <v>4</v>
      </c>
      <c r="AF55" s="10" t="s">
        <v>152</v>
      </c>
      <c r="AG55">
        <v>52</v>
      </c>
      <c r="AH55" s="10"/>
      <c r="AI55" s="43"/>
      <c r="AK55" s="44"/>
      <c r="AL55" s="45" t="s">
        <v>155</v>
      </c>
      <c r="AM55" s="39" t="s">
        <v>18</v>
      </c>
      <c r="AN55" s="39">
        <v>4</v>
      </c>
      <c r="AO55" s="39" t="s">
        <v>152</v>
      </c>
      <c r="AP55" s="27">
        <v>52</v>
      </c>
      <c r="AQ55" s="39">
        <v>2016</v>
      </c>
      <c r="AR55" s="41" t="s">
        <v>178</v>
      </c>
      <c r="AS55" s="27"/>
      <c r="AT55" s="44"/>
      <c r="AU55" s="45" t="s">
        <v>155</v>
      </c>
      <c r="AV55" s="39" t="s">
        <v>18</v>
      </c>
      <c r="AW55" s="39">
        <v>4</v>
      </c>
      <c r="AX55" s="39" t="s">
        <v>152</v>
      </c>
      <c r="AY55" s="27">
        <v>52</v>
      </c>
      <c r="AZ55" s="39" t="s">
        <v>3</v>
      </c>
      <c r="BA55" s="41" t="s">
        <v>188</v>
      </c>
      <c r="BB55" s="27"/>
      <c r="BC55" s="44"/>
      <c r="BD55" s="45" t="s">
        <v>155</v>
      </c>
      <c r="BE55" s="39" t="s">
        <v>18</v>
      </c>
      <c r="BF55" s="39">
        <v>4</v>
      </c>
      <c r="BG55" s="39" t="s">
        <v>152</v>
      </c>
      <c r="BH55" s="27">
        <v>52</v>
      </c>
      <c r="BI55" s="39" t="s">
        <v>23</v>
      </c>
      <c r="BJ55" s="41" t="s">
        <v>189</v>
      </c>
      <c r="BK55" s="27"/>
      <c r="BL55" s="44"/>
      <c r="BM55" s="45" t="s">
        <v>155</v>
      </c>
      <c r="BN55" s="39" t="s">
        <v>18</v>
      </c>
      <c r="BO55" s="39">
        <v>4</v>
      </c>
      <c r="BP55" s="39" t="s">
        <v>152</v>
      </c>
      <c r="BQ55" s="27">
        <v>52</v>
      </c>
      <c r="BR55" s="39" t="s">
        <v>6</v>
      </c>
      <c r="BS55" s="41" t="s">
        <v>178</v>
      </c>
      <c r="BT55" s="27"/>
      <c r="BU55" s="44"/>
      <c r="BV55" s="45" t="s">
        <v>155</v>
      </c>
      <c r="BW55" s="39" t="s">
        <v>18</v>
      </c>
      <c r="BX55" s="39">
        <v>4</v>
      </c>
      <c r="BY55" s="39" t="s">
        <v>152</v>
      </c>
      <c r="BZ55" s="27">
        <v>52</v>
      </c>
      <c r="CA55" s="39" t="s">
        <v>44</v>
      </c>
      <c r="CB55" s="41" t="s">
        <v>176</v>
      </c>
      <c r="CC55" s="27"/>
      <c r="CD55" s="44"/>
      <c r="CE55" s="45" t="s">
        <v>155</v>
      </c>
      <c r="CF55" s="39" t="s">
        <v>18</v>
      </c>
      <c r="CG55" s="39">
        <v>4</v>
      </c>
      <c r="CH55" s="39" t="s">
        <v>152</v>
      </c>
      <c r="CI55" s="27">
        <v>52</v>
      </c>
      <c r="CJ55" s="64">
        <v>1024</v>
      </c>
      <c r="CK55" s="41" t="s">
        <v>161</v>
      </c>
    </row>
    <row r="56" spans="1:89" x14ac:dyDescent="0.25">
      <c r="A56" s="42"/>
      <c r="B56" s="34" t="s">
        <v>151</v>
      </c>
      <c r="C56" s="10" t="s">
        <v>18</v>
      </c>
      <c r="D56" s="10">
        <v>5</v>
      </c>
      <c r="E56" s="10" t="s">
        <v>152</v>
      </c>
      <c r="F56">
        <v>53</v>
      </c>
      <c r="G56" s="10" t="s">
        <v>203</v>
      </c>
      <c r="H56" s="43" t="s">
        <v>166</v>
      </c>
      <c r="J56" s="42"/>
      <c r="K56" s="34" t="s">
        <v>155</v>
      </c>
      <c r="L56" s="10" t="s">
        <v>18</v>
      </c>
      <c r="M56" s="10">
        <v>5</v>
      </c>
      <c r="N56" s="10" t="s">
        <v>152</v>
      </c>
      <c r="O56">
        <v>53</v>
      </c>
      <c r="P56" s="10" t="s">
        <v>204</v>
      </c>
      <c r="Q56" s="43" t="s">
        <v>167</v>
      </c>
      <c r="S56" s="42"/>
      <c r="T56" s="34" t="s">
        <v>155</v>
      </c>
      <c r="U56" s="10" t="s">
        <v>18</v>
      </c>
      <c r="V56" s="10">
        <v>5</v>
      </c>
      <c r="W56" s="10" t="s">
        <v>152</v>
      </c>
      <c r="X56">
        <v>53</v>
      </c>
      <c r="Y56" s="10" t="s">
        <v>205</v>
      </c>
      <c r="Z56" s="43" t="s">
        <v>165</v>
      </c>
      <c r="AB56" s="42"/>
      <c r="AC56" s="34" t="s">
        <v>155</v>
      </c>
      <c r="AD56" s="10" t="s">
        <v>18</v>
      </c>
      <c r="AE56" s="10">
        <v>5</v>
      </c>
      <c r="AF56" s="10" t="s">
        <v>152</v>
      </c>
      <c r="AG56">
        <v>53</v>
      </c>
      <c r="AH56" s="10"/>
      <c r="AI56" s="43"/>
      <c r="AK56" s="44"/>
      <c r="AL56" s="45" t="s">
        <v>155</v>
      </c>
      <c r="AM56" s="39" t="s">
        <v>18</v>
      </c>
      <c r="AN56" s="39">
        <v>5</v>
      </c>
      <c r="AO56" s="39" t="s">
        <v>152</v>
      </c>
      <c r="AP56" s="27">
        <v>53</v>
      </c>
      <c r="AQ56" s="64">
        <v>2016</v>
      </c>
      <c r="AR56" s="41" t="s">
        <v>163</v>
      </c>
      <c r="AS56" s="27"/>
      <c r="AT56" s="44"/>
      <c r="AU56" s="45" t="s">
        <v>155</v>
      </c>
      <c r="AV56" s="39" t="s">
        <v>18</v>
      </c>
      <c r="AW56" s="39">
        <v>5</v>
      </c>
      <c r="AX56" s="39" t="s">
        <v>152</v>
      </c>
      <c r="AY56" s="27">
        <v>53</v>
      </c>
      <c r="AZ56" s="39" t="s">
        <v>3</v>
      </c>
      <c r="BA56" s="41" t="s">
        <v>182</v>
      </c>
      <c r="BB56" s="27"/>
      <c r="BC56" s="44"/>
      <c r="BD56" s="45" t="s">
        <v>155</v>
      </c>
      <c r="BE56" s="39" t="s">
        <v>18</v>
      </c>
      <c r="BF56" s="39">
        <v>5</v>
      </c>
      <c r="BG56" s="39" t="s">
        <v>152</v>
      </c>
      <c r="BH56" s="27">
        <v>53</v>
      </c>
      <c r="BI56" s="64">
        <v>1030</v>
      </c>
      <c r="BJ56" s="40" t="s">
        <v>160</v>
      </c>
      <c r="BK56" s="27"/>
      <c r="BL56" s="44"/>
      <c r="BM56" s="45" t="s">
        <v>155</v>
      </c>
      <c r="BN56" s="39" t="s">
        <v>18</v>
      </c>
      <c r="BO56" s="39">
        <v>5</v>
      </c>
      <c r="BP56" s="39" t="s">
        <v>152</v>
      </c>
      <c r="BQ56" s="27">
        <v>53</v>
      </c>
      <c r="BR56" s="39" t="s">
        <v>6</v>
      </c>
      <c r="BS56" s="41" t="s">
        <v>163</v>
      </c>
      <c r="BT56" s="27"/>
      <c r="BU56" s="44"/>
      <c r="BV56" s="45" t="s">
        <v>155</v>
      </c>
      <c r="BW56" s="39" t="s">
        <v>18</v>
      </c>
      <c r="BX56" s="39">
        <v>5</v>
      </c>
      <c r="BY56" s="39" t="s">
        <v>152</v>
      </c>
      <c r="BZ56" s="27">
        <v>53</v>
      </c>
      <c r="CA56" s="39" t="s">
        <v>44</v>
      </c>
      <c r="CB56" s="41" t="s">
        <v>164</v>
      </c>
      <c r="CC56" s="27"/>
      <c r="CD56" s="44"/>
      <c r="CE56" s="45" t="s">
        <v>155</v>
      </c>
      <c r="CF56" s="39" t="s">
        <v>18</v>
      </c>
      <c r="CG56" s="39">
        <v>5</v>
      </c>
      <c r="CH56" s="39" t="s">
        <v>152</v>
      </c>
      <c r="CI56" s="27">
        <v>53</v>
      </c>
      <c r="CJ56" s="64">
        <v>1024</v>
      </c>
      <c r="CK56" s="46" t="s">
        <v>169</v>
      </c>
    </row>
    <row r="57" spans="1:89" x14ac:dyDescent="0.25">
      <c r="A57" s="42"/>
      <c r="B57" s="34" t="s">
        <v>151</v>
      </c>
      <c r="C57" s="10" t="s">
        <v>18</v>
      </c>
      <c r="D57" s="10">
        <v>6</v>
      </c>
      <c r="E57" s="10" t="s">
        <v>152</v>
      </c>
      <c r="F57">
        <v>54</v>
      </c>
      <c r="G57" s="10" t="s">
        <v>203</v>
      </c>
      <c r="H57" s="43" t="s">
        <v>174</v>
      </c>
      <c r="J57" s="42"/>
      <c r="K57" s="34" t="s">
        <v>155</v>
      </c>
      <c r="L57" s="10" t="s">
        <v>18</v>
      </c>
      <c r="M57" s="10">
        <v>6</v>
      </c>
      <c r="N57" s="10" t="s">
        <v>152</v>
      </c>
      <c r="O57">
        <v>54</v>
      </c>
      <c r="P57" s="10" t="s">
        <v>204</v>
      </c>
      <c r="Q57" s="43" t="s">
        <v>175</v>
      </c>
      <c r="S57" s="42"/>
      <c r="T57" s="34" t="s">
        <v>155</v>
      </c>
      <c r="U57" s="10" t="s">
        <v>18</v>
      </c>
      <c r="V57" s="10">
        <v>6</v>
      </c>
      <c r="W57" s="10" t="s">
        <v>152</v>
      </c>
      <c r="X57">
        <v>54</v>
      </c>
      <c r="Y57" s="10" t="s">
        <v>205</v>
      </c>
      <c r="Z57" s="43" t="s">
        <v>173</v>
      </c>
      <c r="AB57" s="42"/>
      <c r="AC57" s="34" t="s">
        <v>155</v>
      </c>
      <c r="AD57" s="10" t="s">
        <v>18</v>
      </c>
      <c r="AE57" s="10">
        <v>6</v>
      </c>
      <c r="AF57" s="10" t="s">
        <v>152</v>
      </c>
      <c r="AG57">
        <v>54</v>
      </c>
      <c r="AH57" s="10"/>
      <c r="AI57" s="43"/>
      <c r="AK57" s="44"/>
      <c r="AL57" s="45" t="s">
        <v>155</v>
      </c>
      <c r="AM57" s="39" t="s">
        <v>18</v>
      </c>
      <c r="AN57" s="39">
        <v>6</v>
      </c>
      <c r="AO57" s="39" t="s">
        <v>152</v>
      </c>
      <c r="AP57" s="27">
        <v>54</v>
      </c>
      <c r="AQ57" s="39">
        <v>2016</v>
      </c>
      <c r="AR57" s="41" t="s">
        <v>171</v>
      </c>
      <c r="AS57" s="27"/>
      <c r="AT57" s="44"/>
      <c r="AU57" s="45" t="s">
        <v>155</v>
      </c>
      <c r="AV57" s="39" t="s">
        <v>18</v>
      </c>
      <c r="AW57" s="39">
        <v>6</v>
      </c>
      <c r="AX57" s="39" t="s">
        <v>152</v>
      </c>
      <c r="AY57" s="27">
        <v>54</v>
      </c>
      <c r="AZ57" s="39" t="s">
        <v>3</v>
      </c>
      <c r="BA57" s="41" t="s">
        <v>184</v>
      </c>
      <c r="BB57" s="27"/>
      <c r="BC57" s="44"/>
      <c r="BD57" s="45" t="s">
        <v>155</v>
      </c>
      <c r="BE57" s="39" t="s">
        <v>18</v>
      </c>
      <c r="BF57" s="39">
        <v>6</v>
      </c>
      <c r="BG57" s="39" t="s">
        <v>152</v>
      </c>
      <c r="BH57" s="27">
        <v>54</v>
      </c>
      <c r="BI57" s="64">
        <v>1030</v>
      </c>
      <c r="BJ57" s="41" t="s">
        <v>168</v>
      </c>
      <c r="BK57" s="27"/>
      <c r="BL57" s="44"/>
      <c r="BM57" s="45" t="s">
        <v>155</v>
      </c>
      <c r="BN57" s="39" t="s">
        <v>18</v>
      </c>
      <c r="BO57" s="39">
        <v>6</v>
      </c>
      <c r="BP57" s="39" t="s">
        <v>152</v>
      </c>
      <c r="BQ57" s="27">
        <v>54</v>
      </c>
      <c r="BR57" s="39" t="s">
        <v>6</v>
      </c>
      <c r="BS57" s="41" t="s">
        <v>171</v>
      </c>
      <c r="BT57" s="27">
        <v>30</v>
      </c>
      <c r="BU57" s="44"/>
      <c r="BV57" s="45" t="s">
        <v>155</v>
      </c>
      <c r="BW57" s="39" t="s">
        <v>18</v>
      </c>
      <c r="BX57" s="39">
        <v>6</v>
      </c>
      <c r="BY57" s="39" t="s">
        <v>152</v>
      </c>
      <c r="BZ57" s="27">
        <v>54</v>
      </c>
      <c r="CA57" s="39" t="s">
        <v>44</v>
      </c>
      <c r="CB57" s="41" t="s">
        <v>172</v>
      </c>
      <c r="CC57" s="27"/>
      <c r="CD57" s="44"/>
      <c r="CE57" s="45" t="s">
        <v>155</v>
      </c>
      <c r="CF57" s="39" t="s">
        <v>18</v>
      </c>
      <c r="CG57" s="39">
        <v>6</v>
      </c>
      <c r="CH57" s="39" t="s">
        <v>152</v>
      </c>
      <c r="CI57" s="27">
        <v>54</v>
      </c>
      <c r="CJ57" s="64">
        <v>1024</v>
      </c>
      <c r="CK57" s="41" t="s">
        <v>177</v>
      </c>
    </row>
    <row r="58" spans="1:89" x14ac:dyDescent="0.25">
      <c r="A58" s="42"/>
      <c r="B58" s="34" t="s">
        <v>151</v>
      </c>
      <c r="C58" s="10" t="s">
        <v>18</v>
      </c>
      <c r="D58" s="10">
        <v>7</v>
      </c>
      <c r="E58" s="10" t="s">
        <v>152</v>
      </c>
      <c r="F58">
        <v>55</v>
      </c>
      <c r="G58" s="10" t="s">
        <v>206</v>
      </c>
      <c r="H58" s="43" t="s">
        <v>154</v>
      </c>
      <c r="J58" s="42"/>
      <c r="K58" s="34" t="s">
        <v>155</v>
      </c>
      <c r="L58" s="10" t="s">
        <v>18</v>
      </c>
      <c r="M58" s="10">
        <v>7</v>
      </c>
      <c r="N58" s="10" t="s">
        <v>152</v>
      </c>
      <c r="O58">
        <v>55</v>
      </c>
      <c r="P58" s="10" t="s">
        <v>204</v>
      </c>
      <c r="Q58" s="43" t="s">
        <v>157</v>
      </c>
      <c r="S58" s="42"/>
      <c r="T58" s="34" t="s">
        <v>155</v>
      </c>
      <c r="U58" s="10" t="s">
        <v>18</v>
      </c>
      <c r="V58" s="10">
        <v>7</v>
      </c>
      <c r="W58" s="10" t="s">
        <v>152</v>
      </c>
      <c r="X58">
        <v>55</v>
      </c>
      <c r="Y58" s="10" t="s">
        <v>205</v>
      </c>
      <c r="Z58" s="43" t="s">
        <v>159</v>
      </c>
      <c r="AB58" s="42"/>
      <c r="AC58" s="34" t="s">
        <v>155</v>
      </c>
      <c r="AD58" s="10" t="s">
        <v>18</v>
      </c>
      <c r="AE58" s="10">
        <v>7</v>
      </c>
      <c r="AF58" s="10" t="s">
        <v>152</v>
      </c>
      <c r="AG58">
        <v>55</v>
      </c>
      <c r="AH58" s="10"/>
      <c r="AI58" s="43"/>
      <c r="AK58" s="44"/>
      <c r="AL58" s="45" t="s">
        <v>155</v>
      </c>
      <c r="AM58" s="39" t="s">
        <v>18</v>
      </c>
      <c r="AN58" s="39">
        <v>7</v>
      </c>
      <c r="AO58" s="39" t="s">
        <v>152</v>
      </c>
      <c r="AP58" s="27">
        <v>55</v>
      </c>
      <c r="AQ58" s="64">
        <v>2016</v>
      </c>
      <c r="AR58" s="41" t="s">
        <v>161</v>
      </c>
      <c r="AS58" s="27"/>
      <c r="AT58" s="44"/>
      <c r="AU58" s="45" t="s">
        <v>155</v>
      </c>
      <c r="AV58" s="39" t="s">
        <v>18</v>
      </c>
      <c r="AW58" s="39">
        <v>7</v>
      </c>
      <c r="AX58" s="39" t="s">
        <v>152</v>
      </c>
      <c r="AY58" s="27">
        <v>55</v>
      </c>
      <c r="AZ58" s="39" t="s">
        <v>3</v>
      </c>
      <c r="BA58" s="41" t="s">
        <v>187</v>
      </c>
      <c r="BB58" s="27"/>
      <c r="BC58" s="44"/>
      <c r="BD58" s="45" t="s">
        <v>155</v>
      </c>
      <c r="BE58" s="39" t="s">
        <v>18</v>
      </c>
      <c r="BF58" s="39">
        <v>7</v>
      </c>
      <c r="BG58" s="39" t="s">
        <v>152</v>
      </c>
      <c r="BH58" s="27">
        <v>55</v>
      </c>
      <c r="BI58" s="64">
        <v>1030</v>
      </c>
      <c r="BJ58" s="41" t="s">
        <v>176</v>
      </c>
      <c r="BK58" s="27"/>
      <c r="BL58" s="44"/>
      <c r="BM58" s="45" t="s">
        <v>155</v>
      </c>
      <c r="BN58" s="39" t="s">
        <v>18</v>
      </c>
      <c r="BO58" s="39">
        <v>7</v>
      </c>
      <c r="BP58" s="39" t="s">
        <v>152</v>
      </c>
      <c r="BQ58" s="27">
        <v>55</v>
      </c>
      <c r="BR58" s="39" t="s">
        <v>6</v>
      </c>
      <c r="BS58" s="41" t="s">
        <v>161</v>
      </c>
      <c r="BT58" s="27">
        <v>26</v>
      </c>
      <c r="BU58" s="44"/>
      <c r="BV58" s="45" t="s">
        <v>155</v>
      </c>
      <c r="BW58" s="39" t="s">
        <v>18</v>
      </c>
      <c r="BX58" s="39">
        <v>7</v>
      </c>
      <c r="BY58" s="39" t="s">
        <v>152</v>
      </c>
      <c r="BZ58" s="27">
        <v>55</v>
      </c>
      <c r="CA58" s="39" t="s">
        <v>44</v>
      </c>
      <c r="CB58" s="41" t="s">
        <v>162</v>
      </c>
      <c r="CC58" s="27"/>
      <c r="CD58" s="44"/>
      <c r="CE58" s="45" t="s">
        <v>155</v>
      </c>
      <c r="CF58" s="39" t="s">
        <v>18</v>
      </c>
      <c r="CG58" s="39">
        <v>7</v>
      </c>
      <c r="CH58" s="39" t="s">
        <v>152</v>
      </c>
      <c r="CI58" s="27">
        <v>55</v>
      </c>
      <c r="CJ58" s="64">
        <v>1024</v>
      </c>
      <c r="CK58" s="41" t="s">
        <v>180</v>
      </c>
    </row>
    <row r="59" spans="1:89" x14ac:dyDescent="0.25">
      <c r="A59" s="42"/>
      <c r="B59" s="34" t="s">
        <v>151</v>
      </c>
      <c r="C59" s="10" t="s">
        <v>18</v>
      </c>
      <c r="D59" s="10">
        <v>8</v>
      </c>
      <c r="E59" s="10" t="s">
        <v>152</v>
      </c>
      <c r="F59">
        <v>56</v>
      </c>
      <c r="G59" s="10" t="s">
        <v>206</v>
      </c>
      <c r="H59" s="43" t="s">
        <v>165</v>
      </c>
      <c r="J59" s="42"/>
      <c r="K59" s="34" t="s">
        <v>155</v>
      </c>
      <c r="L59" s="10" t="s">
        <v>18</v>
      </c>
      <c r="M59" s="10">
        <v>8</v>
      </c>
      <c r="N59" s="10" t="s">
        <v>152</v>
      </c>
      <c r="O59">
        <v>56</v>
      </c>
      <c r="P59" s="10" t="s">
        <v>204</v>
      </c>
      <c r="Q59" s="43" t="s">
        <v>166</v>
      </c>
      <c r="S59" s="42"/>
      <c r="T59" s="34" t="s">
        <v>155</v>
      </c>
      <c r="U59" s="10" t="s">
        <v>18</v>
      </c>
      <c r="V59" s="10">
        <v>8</v>
      </c>
      <c r="W59" s="10" t="s">
        <v>152</v>
      </c>
      <c r="X59">
        <v>56</v>
      </c>
      <c r="Y59" s="10" t="s">
        <v>205</v>
      </c>
      <c r="Z59" s="43" t="s">
        <v>167</v>
      </c>
      <c r="AB59" s="42"/>
      <c r="AC59" s="34" t="s">
        <v>155</v>
      </c>
      <c r="AD59" s="10" t="s">
        <v>18</v>
      </c>
      <c r="AE59" s="10">
        <v>8</v>
      </c>
      <c r="AF59" s="10" t="s">
        <v>152</v>
      </c>
      <c r="AG59">
        <v>56</v>
      </c>
      <c r="AH59" s="10"/>
      <c r="AI59" s="43"/>
      <c r="AK59" s="44"/>
      <c r="AL59" s="45" t="s">
        <v>155</v>
      </c>
      <c r="AM59" s="39" t="s">
        <v>18</v>
      </c>
      <c r="AN59" s="39">
        <v>8</v>
      </c>
      <c r="AO59" s="39" t="s">
        <v>152</v>
      </c>
      <c r="AP59" s="27">
        <v>56</v>
      </c>
      <c r="AQ59" s="39">
        <v>2016</v>
      </c>
      <c r="AR59" s="46" t="s">
        <v>169</v>
      </c>
      <c r="AS59" s="27"/>
      <c r="AT59" s="44"/>
      <c r="AU59" s="45" t="s">
        <v>155</v>
      </c>
      <c r="AV59" s="39" t="s">
        <v>18</v>
      </c>
      <c r="AW59" s="39">
        <v>8</v>
      </c>
      <c r="AX59" s="39" t="s">
        <v>152</v>
      </c>
      <c r="AY59" s="27">
        <v>56</v>
      </c>
      <c r="AZ59" s="39" t="s">
        <v>3</v>
      </c>
      <c r="BA59" s="41" t="s">
        <v>189</v>
      </c>
      <c r="BB59" s="27"/>
      <c r="BC59" s="44"/>
      <c r="BD59" s="45" t="s">
        <v>155</v>
      </c>
      <c r="BE59" s="39" t="s">
        <v>18</v>
      </c>
      <c r="BF59" s="39">
        <v>8</v>
      </c>
      <c r="BG59" s="39" t="s">
        <v>152</v>
      </c>
      <c r="BH59" s="27">
        <v>56</v>
      </c>
      <c r="BI59" s="64">
        <v>1030</v>
      </c>
      <c r="BJ59" s="41" t="s">
        <v>164</v>
      </c>
      <c r="BK59" s="27"/>
      <c r="BL59" s="44"/>
      <c r="BM59" s="45" t="s">
        <v>155</v>
      </c>
      <c r="BN59" s="39" t="s">
        <v>18</v>
      </c>
      <c r="BO59" s="39">
        <v>8</v>
      </c>
      <c r="BP59" s="39" t="s">
        <v>152</v>
      </c>
      <c r="BQ59" s="27">
        <v>56</v>
      </c>
      <c r="BR59" s="39" t="s">
        <v>6</v>
      </c>
      <c r="BS59" s="46" t="s">
        <v>169</v>
      </c>
      <c r="BT59" s="27">
        <v>27</v>
      </c>
      <c r="BU59" s="44"/>
      <c r="BV59" s="45" t="s">
        <v>155</v>
      </c>
      <c r="BW59" s="39" t="s">
        <v>18</v>
      </c>
      <c r="BX59" s="39">
        <v>8</v>
      </c>
      <c r="BY59" s="39" t="s">
        <v>152</v>
      </c>
      <c r="BZ59" s="27">
        <v>56</v>
      </c>
      <c r="CA59" s="39" t="s">
        <v>44</v>
      </c>
      <c r="CB59" s="41" t="s">
        <v>170</v>
      </c>
      <c r="CC59" s="27"/>
      <c r="CD59" s="44"/>
      <c r="CE59" s="45" t="s">
        <v>155</v>
      </c>
      <c r="CF59" s="39" t="s">
        <v>18</v>
      </c>
      <c r="CG59" s="39">
        <v>8</v>
      </c>
      <c r="CH59" s="39" t="s">
        <v>152</v>
      </c>
      <c r="CI59" s="27">
        <v>56</v>
      </c>
      <c r="CJ59" s="64">
        <v>1024</v>
      </c>
      <c r="CK59" s="41" t="s">
        <v>181</v>
      </c>
    </row>
    <row r="60" spans="1:89" x14ac:dyDescent="0.25">
      <c r="A60" s="42"/>
      <c r="B60" s="34" t="s">
        <v>151</v>
      </c>
      <c r="C60" s="10" t="s">
        <v>18</v>
      </c>
      <c r="D60" s="10">
        <v>9</v>
      </c>
      <c r="E60" s="10" t="s">
        <v>152</v>
      </c>
      <c r="F60">
        <v>57</v>
      </c>
      <c r="G60" s="10" t="s">
        <v>206</v>
      </c>
      <c r="H60" s="43" t="s">
        <v>173</v>
      </c>
      <c r="J60" s="42"/>
      <c r="K60" s="34" t="s">
        <v>155</v>
      </c>
      <c r="L60" s="10" t="s">
        <v>18</v>
      </c>
      <c r="M60" s="10">
        <v>9</v>
      </c>
      <c r="N60" s="10" t="s">
        <v>152</v>
      </c>
      <c r="O60">
        <v>57</v>
      </c>
      <c r="P60" s="10" t="s">
        <v>204</v>
      </c>
      <c r="Q60" s="43" t="s">
        <v>174</v>
      </c>
      <c r="S60" s="42"/>
      <c r="T60" s="34" t="s">
        <v>155</v>
      </c>
      <c r="U60" s="10" t="s">
        <v>18</v>
      </c>
      <c r="V60" s="10">
        <v>9</v>
      </c>
      <c r="W60" s="10" t="s">
        <v>152</v>
      </c>
      <c r="X60">
        <v>57</v>
      </c>
      <c r="Y60" s="10" t="s">
        <v>205</v>
      </c>
      <c r="Z60" s="43" t="s">
        <v>175</v>
      </c>
      <c r="AB60" s="42"/>
      <c r="AC60" s="34" t="s">
        <v>155</v>
      </c>
      <c r="AD60" s="10" t="s">
        <v>18</v>
      </c>
      <c r="AE60" s="10">
        <v>9</v>
      </c>
      <c r="AF60" s="10" t="s">
        <v>152</v>
      </c>
      <c r="AG60">
        <v>57</v>
      </c>
      <c r="AH60" s="10"/>
      <c r="AI60" s="43"/>
      <c r="AK60" s="44"/>
      <c r="AL60" s="45" t="s">
        <v>155</v>
      </c>
      <c r="AM60" s="39" t="s">
        <v>18</v>
      </c>
      <c r="AN60" s="39">
        <v>9</v>
      </c>
      <c r="AO60" s="39" t="s">
        <v>152</v>
      </c>
      <c r="AP60" s="27">
        <v>57</v>
      </c>
      <c r="AQ60" s="64">
        <v>2016</v>
      </c>
      <c r="AR60" s="41" t="s">
        <v>180</v>
      </c>
      <c r="AS60" s="27"/>
      <c r="AT60" s="44"/>
      <c r="AU60" s="45" t="s">
        <v>155</v>
      </c>
      <c r="AV60" s="39" t="s">
        <v>18</v>
      </c>
      <c r="AW60" s="39">
        <v>9</v>
      </c>
      <c r="AX60" s="39" t="s">
        <v>152</v>
      </c>
      <c r="AY60" s="27">
        <v>57</v>
      </c>
      <c r="AZ60" s="39" t="s">
        <v>22</v>
      </c>
      <c r="BA60" s="41" t="s">
        <v>171</v>
      </c>
      <c r="BB60" s="27"/>
      <c r="BC60" s="44"/>
      <c r="BD60" s="45" t="s">
        <v>155</v>
      </c>
      <c r="BE60" s="39" t="s">
        <v>18</v>
      </c>
      <c r="BF60" s="39">
        <v>9</v>
      </c>
      <c r="BG60" s="39" t="s">
        <v>152</v>
      </c>
      <c r="BH60" s="27">
        <v>57</v>
      </c>
      <c r="BI60" s="64">
        <v>1030</v>
      </c>
      <c r="BJ60" s="41" t="s">
        <v>172</v>
      </c>
      <c r="BK60" s="27"/>
      <c r="BL60" s="44"/>
      <c r="BM60" s="45" t="s">
        <v>155</v>
      </c>
      <c r="BN60" s="39" t="s">
        <v>18</v>
      </c>
      <c r="BO60" s="39">
        <v>9</v>
      </c>
      <c r="BP60" s="39" t="s">
        <v>152</v>
      </c>
      <c r="BQ60" s="27">
        <v>57</v>
      </c>
      <c r="BR60" s="39" t="s">
        <v>6</v>
      </c>
      <c r="BS60" s="41" t="s">
        <v>177</v>
      </c>
      <c r="BT60" s="27">
        <v>28</v>
      </c>
      <c r="BU60" s="44"/>
      <c r="BV60" s="45" t="s">
        <v>155</v>
      </c>
      <c r="BW60" s="39" t="s">
        <v>18</v>
      </c>
      <c r="BX60" s="39">
        <v>9</v>
      </c>
      <c r="BY60" s="39" t="s">
        <v>152</v>
      </c>
      <c r="BZ60" s="27">
        <v>57</v>
      </c>
      <c r="CA60" s="39" t="s">
        <v>44</v>
      </c>
      <c r="CB60" s="41" t="s">
        <v>178</v>
      </c>
      <c r="CC60" s="27"/>
      <c r="CD60" s="44"/>
      <c r="CE60" s="45" t="s">
        <v>155</v>
      </c>
      <c r="CF60" s="39" t="s">
        <v>18</v>
      </c>
      <c r="CG60" s="39">
        <v>9</v>
      </c>
      <c r="CH60" s="39" t="s">
        <v>152</v>
      </c>
      <c r="CI60" s="27">
        <v>57</v>
      </c>
      <c r="CJ60" s="64">
        <v>1024</v>
      </c>
      <c r="CK60" s="41" t="s">
        <v>183</v>
      </c>
    </row>
    <row r="61" spans="1:89" x14ac:dyDescent="0.25">
      <c r="A61" s="42"/>
      <c r="B61" s="34" t="s">
        <v>151</v>
      </c>
      <c r="C61" s="10" t="s">
        <v>18</v>
      </c>
      <c r="D61" s="10">
        <v>10</v>
      </c>
      <c r="E61" s="10" t="s">
        <v>152</v>
      </c>
      <c r="F61">
        <v>58</v>
      </c>
      <c r="G61" s="10" t="s">
        <v>206</v>
      </c>
      <c r="H61" s="43" t="s">
        <v>159</v>
      </c>
      <c r="J61" s="42"/>
      <c r="K61" s="34" t="s">
        <v>155</v>
      </c>
      <c r="L61" s="10" t="s">
        <v>18</v>
      </c>
      <c r="M61" s="10">
        <v>10</v>
      </c>
      <c r="N61" s="10" t="s">
        <v>152</v>
      </c>
      <c r="O61">
        <v>58</v>
      </c>
      <c r="P61" s="10" t="s">
        <v>207</v>
      </c>
      <c r="Q61" s="43" t="s">
        <v>154</v>
      </c>
      <c r="S61" s="42"/>
      <c r="T61" s="34" t="s">
        <v>155</v>
      </c>
      <c r="U61" s="10" t="s">
        <v>18</v>
      </c>
      <c r="V61" s="10">
        <v>10</v>
      </c>
      <c r="W61" s="10" t="s">
        <v>152</v>
      </c>
      <c r="X61">
        <v>58</v>
      </c>
      <c r="Y61" s="10" t="s">
        <v>205</v>
      </c>
      <c r="Z61" s="43" t="s">
        <v>157</v>
      </c>
      <c r="AB61" s="42"/>
      <c r="AC61" s="34" t="s">
        <v>155</v>
      </c>
      <c r="AD61" s="10" t="s">
        <v>18</v>
      </c>
      <c r="AE61" s="10">
        <v>10</v>
      </c>
      <c r="AF61" s="10" t="s">
        <v>152</v>
      </c>
      <c r="AG61">
        <v>58</v>
      </c>
      <c r="AH61" s="10"/>
      <c r="AI61" s="43"/>
      <c r="AK61" s="44"/>
      <c r="AL61" s="45" t="s">
        <v>155</v>
      </c>
      <c r="AM61" s="39" t="s">
        <v>18</v>
      </c>
      <c r="AN61" s="39">
        <v>10</v>
      </c>
      <c r="AO61" s="39" t="s">
        <v>152</v>
      </c>
      <c r="AP61" s="27">
        <v>58</v>
      </c>
      <c r="AQ61" s="39">
        <v>2016</v>
      </c>
      <c r="AR61" s="41" t="s">
        <v>181</v>
      </c>
      <c r="AS61" s="27"/>
      <c r="AT61" s="44"/>
      <c r="AU61" s="45" t="s">
        <v>155</v>
      </c>
      <c r="AV61" s="39" t="s">
        <v>18</v>
      </c>
      <c r="AW61" s="39">
        <v>10</v>
      </c>
      <c r="AX61" s="39" t="s">
        <v>152</v>
      </c>
      <c r="AY61" s="27">
        <v>58</v>
      </c>
      <c r="AZ61" s="39" t="s">
        <v>22</v>
      </c>
      <c r="BA61" s="41" t="s">
        <v>161</v>
      </c>
      <c r="BB61" s="27"/>
      <c r="BC61" s="44"/>
      <c r="BD61" s="45" t="s">
        <v>155</v>
      </c>
      <c r="BE61" s="39" t="s">
        <v>18</v>
      </c>
      <c r="BF61" s="39">
        <v>10</v>
      </c>
      <c r="BG61" s="39" t="s">
        <v>152</v>
      </c>
      <c r="BH61" s="27">
        <v>58</v>
      </c>
      <c r="BI61" s="64">
        <v>1030</v>
      </c>
      <c r="BJ61" s="41" t="s">
        <v>162</v>
      </c>
      <c r="BK61" s="27"/>
      <c r="BL61" s="44"/>
      <c r="BM61" s="45" t="s">
        <v>155</v>
      </c>
      <c r="BN61" s="39" t="s">
        <v>18</v>
      </c>
      <c r="BO61" s="39">
        <v>10</v>
      </c>
      <c r="BP61" s="39" t="s">
        <v>152</v>
      </c>
      <c r="BQ61" s="27">
        <v>58</v>
      </c>
      <c r="BR61" s="39" t="s">
        <v>6</v>
      </c>
      <c r="BS61" s="41" t="s">
        <v>180</v>
      </c>
      <c r="BT61" s="27">
        <v>29</v>
      </c>
      <c r="BU61" s="44"/>
      <c r="BV61" s="45" t="s">
        <v>155</v>
      </c>
      <c r="BW61" s="39" t="s">
        <v>18</v>
      </c>
      <c r="BX61" s="39">
        <v>10</v>
      </c>
      <c r="BY61" s="39" t="s">
        <v>152</v>
      </c>
      <c r="BZ61" s="27">
        <v>58</v>
      </c>
      <c r="CA61" s="39" t="s">
        <v>44</v>
      </c>
      <c r="CB61" s="41" t="s">
        <v>163</v>
      </c>
      <c r="CC61" s="27"/>
      <c r="CD61" s="44"/>
      <c r="CE61" s="45" t="s">
        <v>155</v>
      </c>
      <c r="CF61" s="39" t="s">
        <v>18</v>
      </c>
      <c r="CG61" s="39">
        <v>10</v>
      </c>
      <c r="CH61" s="39" t="s">
        <v>152</v>
      </c>
      <c r="CI61" s="27">
        <v>58</v>
      </c>
      <c r="CJ61" s="64">
        <v>1024</v>
      </c>
      <c r="CK61" s="41" t="s">
        <v>186</v>
      </c>
    </row>
    <row r="62" spans="1:89" x14ac:dyDescent="0.25">
      <c r="A62" s="42"/>
      <c r="B62" s="34" t="s">
        <v>151</v>
      </c>
      <c r="C62" s="10" t="s">
        <v>18</v>
      </c>
      <c r="D62" s="10">
        <v>11</v>
      </c>
      <c r="E62" s="10" t="s">
        <v>152</v>
      </c>
      <c r="F62">
        <v>59</v>
      </c>
      <c r="G62" s="10" t="s">
        <v>206</v>
      </c>
      <c r="H62" s="43" t="s">
        <v>167</v>
      </c>
      <c r="J62" s="42"/>
      <c r="K62" s="34" t="s">
        <v>155</v>
      </c>
      <c r="L62" s="10" t="s">
        <v>18</v>
      </c>
      <c r="M62" s="10">
        <v>11</v>
      </c>
      <c r="N62" s="10" t="s">
        <v>152</v>
      </c>
      <c r="O62">
        <v>59</v>
      </c>
      <c r="P62" s="10" t="s">
        <v>207</v>
      </c>
      <c r="Q62" s="43" t="s">
        <v>165</v>
      </c>
      <c r="S62" s="42"/>
      <c r="T62" s="34" t="s">
        <v>155</v>
      </c>
      <c r="U62" s="10" t="s">
        <v>18</v>
      </c>
      <c r="V62" s="10">
        <v>11</v>
      </c>
      <c r="W62" s="10" t="s">
        <v>152</v>
      </c>
      <c r="X62">
        <v>59</v>
      </c>
      <c r="Y62" s="10" t="s">
        <v>205</v>
      </c>
      <c r="Z62" s="43" t="s">
        <v>166</v>
      </c>
      <c r="AB62" s="42"/>
      <c r="AC62" s="34" t="s">
        <v>155</v>
      </c>
      <c r="AD62" s="10" t="s">
        <v>18</v>
      </c>
      <c r="AE62" s="10">
        <v>11</v>
      </c>
      <c r="AF62" s="10" t="s">
        <v>152</v>
      </c>
      <c r="AG62">
        <v>59</v>
      </c>
      <c r="AH62" s="10"/>
      <c r="AI62" s="43"/>
      <c r="AK62" s="44"/>
      <c r="AL62" s="45" t="s">
        <v>155</v>
      </c>
      <c r="AM62" s="39" t="s">
        <v>18</v>
      </c>
      <c r="AN62" s="39">
        <v>11</v>
      </c>
      <c r="AO62" s="39" t="s">
        <v>152</v>
      </c>
      <c r="AP62" s="27">
        <v>59</v>
      </c>
      <c r="AQ62" s="64">
        <v>2016</v>
      </c>
      <c r="AR62" s="41" t="s">
        <v>183</v>
      </c>
      <c r="AS62" s="27"/>
      <c r="AT62" s="44"/>
      <c r="AU62" s="45" t="s">
        <v>155</v>
      </c>
      <c r="AV62" s="39" t="s">
        <v>18</v>
      </c>
      <c r="AW62" s="39">
        <v>11</v>
      </c>
      <c r="AX62" s="39" t="s">
        <v>152</v>
      </c>
      <c r="AY62" s="27">
        <v>59</v>
      </c>
      <c r="AZ62" s="39" t="s">
        <v>22</v>
      </c>
      <c r="BA62" s="46" t="s">
        <v>169</v>
      </c>
      <c r="BB62" s="27"/>
      <c r="BC62" s="44"/>
      <c r="BD62" s="45" t="s">
        <v>155</v>
      </c>
      <c r="BE62" s="39" t="s">
        <v>18</v>
      </c>
      <c r="BF62" s="39">
        <v>11</v>
      </c>
      <c r="BG62" s="39" t="s">
        <v>152</v>
      </c>
      <c r="BH62" s="27">
        <v>59</v>
      </c>
      <c r="BI62" s="64">
        <v>1030</v>
      </c>
      <c r="BJ62" s="41" t="s">
        <v>170</v>
      </c>
      <c r="BK62" s="27"/>
      <c r="BL62" s="44"/>
      <c r="BM62" s="45" t="s">
        <v>155</v>
      </c>
      <c r="BN62" s="39" t="s">
        <v>18</v>
      </c>
      <c r="BO62" s="39">
        <v>11</v>
      </c>
      <c r="BP62" s="39" t="s">
        <v>152</v>
      </c>
      <c r="BQ62" s="27">
        <v>59</v>
      </c>
      <c r="BR62" s="39" t="s">
        <v>6</v>
      </c>
      <c r="BS62" s="41" t="s">
        <v>181</v>
      </c>
      <c r="BT62" s="27"/>
      <c r="BU62" s="44"/>
      <c r="BV62" s="45" t="s">
        <v>155</v>
      </c>
      <c r="BW62" s="39" t="s">
        <v>18</v>
      </c>
      <c r="BX62" s="39">
        <v>11</v>
      </c>
      <c r="BY62" s="39" t="s">
        <v>152</v>
      </c>
      <c r="BZ62" s="27">
        <v>59</v>
      </c>
      <c r="CA62" s="39" t="s">
        <v>44</v>
      </c>
      <c r="CB62" s="41" t="s">
        <v>171</v>
      </c>
      <c r="CC62" s="27"/>
      <c r="CD62" s="44"/>
      <c r="CE62" s="45" t="s">
        <v>155</v>
      </c>
      <c r="CF62" s="39" t="s">
        <v>18</v>
      </c>
      <c r="CG62" s="39">
        <v>11</v>
      </c>
      <c r="CH62" s="39" t="s">
        <v>152</v>
      </c>
      <c r="CI62" s="27">
        <v>59</v>
      </c>
      <c r="CJ62" s="64">
        <v>1024</v>
      </c>
      <c r="CK62" s="41" t="s">
        <v>188</v>
      </c>
    </row>
    <row r="63" spans="1:89" ht="15.75" thickBot="1" x14ac:dyDescent="0.3">
      <c r="A63" s="47"/>
      <c r="B63" s="48" t="s">
        <v>151</v>
      </c>
      <c r="C63" s="49" t="s">
        <v>18</v>
      </c>
      <c r="D63" s="49">
        <v>12</v>
      </c>
      <c r="E63" s="49" t="s">
        <v>152</v>
      </c>
      <c r="F63" s="50">
        <v>60</v>
      </c>
      <c r="G63" s="49" t="s">
        <v>206</v>
      </c>
      <c r="H63" s="51" t="s">
        <v>175</v>
      </c>
      <c r="J63" s="47"/>
      <c r="K63" s="48" t="s">
        <v>155</v>
      </c>
      <c r="L63" s="49" t="s">
        <v>18</v>
      </c>
      <c r="M63" s="49">
        <v>12</v>
      </c>
      <c r="N63" s="49" t="s">
        <v>152</v>
      </c>
      <c r="O63" s="50">
        <v>60</v>
      </c>
      <c r="P63" s="49" t="s">
        <v>207</v>
      </c>
      <c r="Q63" s="51" t="s">
        <v>173</v>
      </c>
      <c r="S63" s="47"/>
      <c r="T63" s="48" t="s">
        <v>155</v>
      </c>
      <c r="U63" s="49" t="s">
        <v>18</v>
      </c>
      <c r="V63" s="49">
        <v>12</v>
      </c>
      <c r="W63" s="49" t="s">
        <v>152</v>
      </c>
      <c r="X63" s="50">
        <v>60</v>
      </c>
      <c r="Y63" s="49" t="s">
        <v>205</v>
      </c>
      <c r="Z63" s="51" t="s">
        <v>174</v>
      </c>
      <c r="AB63" s="47"/>
      <c r="AC63" s="48" t="s">
        <v>155</v>
      </c>
      <c r="AD63" s="49" t="s">
        <v>18</v>
      </c>
      <c r="AE63" s="49">
        <v>12</v>
      </c>
      <c r="AF63" s="49" t="s">
        <v>152</v>
      </c>
      <c r="AG63" s="50">
        <v>60</v>
      </c>
      <c r="AH63" s="49"/>
      <c r="AI63" s="51"/>
      <c r="AK63" s="52"/>
      <c r="AL63" s="53" t="s">
        <v>155</v>
      </c>
      <c r="AM63" s="54" t="s">
        <v>18</v>
      </c>
      <c r="AN63" s="54">
        <v>12</v>
      </c>
      <c r="AO63" s="54" t="s">
        <v>152</v>
      </c>
      <c r="AP63" s="55">
        <v>60</v>
      </c>
      <c r="AQ63" s="39">
        <v>2016</v>
      </c>
      <c r="AR63" s="41" t="s">
        <v>188</v>
      </c>
      <c r="AS63" s="27"/>
      <c r="AT63" s="52"/>
      <c r="AU63" s="53" t="s">
        <v>155</v>
      </c>
      <c r="AV63" s="54" t="s">
        <v>18</v>
      </c>
      <c r="AW63" s="54">
        <v>12</v>
      </c>
      <c r="AX63" s="54" t="s">
        <v>152</v>
      </c>
      <c r="AY63" s="55">
        <v>60</v>
      </c>
      <c r="AZ63" s="39" t="s">
        <v>22</v>
      </c>
      <c r="BA63" s="41" t="s">
        <v>177</v>
      </c>
      <c r="BB63" s="27"/>
      <c r="BC63" s="52"/>
      <c r="BD63" s="53" t="s">
        <v>155</v>
      </c>
      <c r="BE63" s="54" t="s">
        <v>18</v>
      </c>
      <c r="BF63" s="54">
        <v>12</v>
      </c>
      <c r="BG63" s="54" t="s">
        <v>152</v>
      </c>
      <c r="BH63" s="55">
        <v>60</v>
      </c>
      <c r="BI63" s="64">
        <v>1030</v>
      </c>
      <c r="BJ63" s="41" t="s">
        <v>178</v>
      </c>
      <c r="BK63" s="27"/>
      <c r="BL63" s="52"/>
      <c r="BM63" s="53" t="s">
        <v>155</v>
      </c>
      <c r="BN63" s="54" t="s">
        <v>18</v>
      </c>
      <c r="BO63" s="54">
        <v>12</v>
      </c>
      <c r="BP63" s="54" t="s">
        <v>152</v>
      </c>
      <c r="BQ63" s="55">
        <v>60</v>
      </c>
      <c r="BR63" s="39" t="s">
        <v>6</v>
      </c>
      <c r="BS63" s="41" t="s">
        <v>183</v>
      </c>
      <c r="BT63" s="27"/>
      <c r="BU63" s="52"/>
      <c r="BV63" s="53" t="s">
        <v>155</v>
      </c>
      <c r="BW63" s="54" t="s">
        <v>18</v>
      </c>
      <c r="BX63" s="54">
        <v>12</v>
      </c>
      <c r="BY63" s="54" t="s">
        <v>152</v>
      </c>
      <c r="BZ63" s="55">
        <v>60</v>
      </c>
      <c r="CA63" s="39" t="s">
        <v>44</v>
      </c>
      <c r="CB63" s="41" t="s">
        <v>161</v>
      </c>
      <c r="CC63" s="27"/>
      <c r="CD63" s="52"/>
      <c r="CE63" s="53" t="s">
        <v>155</v>
      </c>
      <c r="CF63" s="54" t="s">
        <v>18</v>
      </c>
      <c r="CG63" s="54">
        <v>12</v>
      </c>
      <c r="CH63" s="54" t="s">
        <v>152</v>
      </c>
      <c r="CI63" s="55">
        <v>60</v>
      </c>
      <c r="CJ63" s="64">
        <v>1024</v>
      </c>
      <c r="CK63" s="41" t="s">
        <v>182</v>
      </c>
    </row>
    <row r="64" spans="1:89" x14ac:dyDescent="0.25">
      <c r="A64" s="56"/>
      <c r="B64" s="57" t="s">
        <v>151</v>
      </c>
      <c r="C64" s="58" t="s">
        <v>29</v>
      </c>
      <c r="D64" s="58">
        <v>1</v>
      </c>
      <c r="E64" s="58" t="s">
        <v>152</v>
      </c>
      <c r="F64" s="59">
        <v>61</v>
      </c>
      <c r="G64" s="10" t="s">
        <v>206</v>
      </c>
      <c r="H64" s="43" t="s">
        <v>157</v>
      </c>
      <c r="J64" s="56"/>
      <c r="K64" s="31" t="s">
        <v>155</v>
      </c>
      <c r="L64" s="58" t="s">
        <v>29</v>
      </c>
      <c r="M64" s="58">
        <v>1</v>
      </c>
      <c r="N64" s="58" t="s">
        <v>152</v>
      </c>
      <c r="O64" s="59">
        <v>61</v>
      </c>
      <c r="P64" s="10" t="s">
        <v>207</v>
      </c>
      <c r="Q64" s="43" t="s">
        <v>159</v>
      </c>
      <c r="S64" s="56"/>
      <c r="T64" s="31" t="s">
        <v>155</v>
      </c>
      <c r="U64" s="58" t="s">
        <v>29</v>
      </c>
      <c r="V64" s="58">
        <v>1</v>
      </c>
      <c r="W64" s="58" t="s">
        <v>152</v>
      </c>
      <c r="X64" s="59">
        <v>61</v>
      </c>
      <c r="Y64" s="10" t="s">
        <v>208</v>
      </c>
      <c r="Z64" s="43" t="s">
        <v>154</v>
      </c>
      <c r="AB64" s="56"/>
      <c r="AC64" s="31" t="s">
        <v>155</v>
      </c>
      <c r="AD64" s="58" t="s">
        <v>29</v>
      </c>
      <c r="AE64" s="58">
        <v>1</v>
      </c>
      <c r="AF64" s="58" t="s">
        <v>152</v>
      </c>
      <c r="AG64" s="59">
        <v>61</v>
      </c>
      <c r="AH64" s="10"/>
      <c r="AI64" s="43"/>
      <c r="AK64" s="60"/>
      <c r="AL64" s="36" t="s">
        <v>155</v>
      </c>
      <c r="AM64" s="61" t="s">
        <v>29</v>
      </c>
      <c r="AN64" s="61">
        <v>1</v>
      </c>
      <c r="AO64" s="61" t="s">
        <v>152</v>
      </c>
      <c r="AP64" s="62">
        <v>61</v>
      </c>
      <c r="AQ64" s="64">
        <v>2016</v>
      </c>
      <c r="AR64" s="41" t="s">
        <v>182</v>
      </c>
      <c r="AS64" s="27"/>
      <c r="AT64" s="60"/>
      <c r="AU64" s="36" t="s">
        <v>155</v>
      </c>
      <c r="AV64" s="61" t="s">
        <v>29</v>
      </c>
      <c r="AW64" s="61">
        <v>1</v>
      </c>
      <c r="AX64" s="61" t="s">
        <v>152</v>
      </c>
      <c r="AY64" s="62">
        <v>61</v>
      </c>
      <c r="AZ64" s="39" t="s">
        <v>22</v>
      </c>
      <c r="BA64" s="41" t="s">
        <v>180</v>
      </c>
      <c r="BB64" s="27"/>
      <c r="BC64" s="60"/>
      <c r="BD64" s="36" t="s">
        <v>155</v>
      </c>
      <c r="BE64" s="61" t="s">
        <v>29</v>
      </c>
      <c r="BF64" s="61">
        <v>1</v>
      </c>
      <c r="BG64" s="61" t="s">
        <v>152</v>
      </c>
      <c r="BH64" s="62">
        <v>61</v>
      </c>
      <c r="BI64" s="64">
        <v>1030</v>
      </c>
      <c r="BJ64" s="41" t="s">
        <v>163</v>
      </c>
      <c r="BK64" s="27"/>
      <c r="BL64" s="60"/>
      <c r="BM64" s="36" t="s">
        <v>155</v>
      </c>
      <c r="BN64" s="61" t="s">
        <v>29</v>
      </c>
      <c r="BO64" s="61">
        <v>1</v>
      </c>
      <c r="BP64" s="61" t="s">
        <v>152</v>
      </c>
      <c r="BQ64" s="62">
        <v>61</v>
      </c>
      <c r="BR64" s="39" t="s">
        <v>6</v>
      </c>
      <c r="BS64" s="41" t="s">
        <v>186</v>
      </c>
      <c r="BT64" s="27"/>
      <c r="BU64" s="60"/>
      <c r="BV64" s="36" t="s">
        <v>155</v>
      </c>
      <c r="BW64" s="61" t="s">
        <v>29</v>
      </c>
      <c r="BX64" s="61">
        <v>1</v>
      </c>
      <c r="BY64" s="61" t="s">
        <v>152</v>
      </c>
      <c r="BZ64" s="62">
        <v>61</v>
      </c>
      <c r="CA64" s="39" t="s">
        <v>44</v>
      </c>
      <c r="CB64" s="46" t="s">
        <v>169</v>
      </c>
      <c r="CC64" s="27"/>
      <c r="CD64" s="60"/>
      <c r="CE64" s="36" t="s">
        <v>155</v>
      </c>
      <c r="CF64" s="61" t="s">
        <v>29</v>
      </c>
      <c r="CG64" s="61">
        <v>1</v>
      </c>
      <c r="CH64" s="61" t="s">
        <v>152</v>
      </c>
      <c r="CI64" s="62">
        <v>61</v>
      </c>
      <c r="CJ64" s="64">
        <v>1024</v>
      </c>
      <c r="CK64" s="41" t="s">
        <v>184</v>
      </c>
    </row>
    <row r="65" spans="1:89" x14ac:dyDescent="0.25">
      <c r="A65" s="42"/>
      <c r="B65" s="34" t="s">
        <v>151</v>
      </c>
      <c r="C65" s="10" t="s">
        <v>29</v>
      </c>
      <c r="D65" s="10">
        <v>2</v>
      </c>
      <c r="E65" s="10" t="s">
        <v>152</v>
      </c>
      <c r="F65">
        <v>62</v>
      </c>
      <c r="G65" s="10" t="s">
        <v>206</v>
      </c>
      <c r="H65" s="43" t="s">
        <v>166</v>
      </c>
      <c r="J65" s="42"/>
      <c r="K65" s="34" t="s">
        <v>155</v>
      </c>
      <c r="L65" s="10" t="s">
        <v>29</v>
      </c>
      <c r="M65" s="10">
        <v>2</v>
      </c>
      <c r="N65" s="10" t="s">
        <v>152</v>
      </c>
      <c r="O65">
        <v>62</v>
      </c>
      <c r="P65" s="10" t="s">
        <v>207</v>
      </c>
      <c r="Q65" s="43" t="s">
        <v>167</v>
      </c>
      <c r="S65" s="42"/>
      <c r="T65" s="34" t="s">
        <v>155</v>
      </c>
      <c r="U65" s="10" t="s">
        <v>29</v>
      </c>
      <c r="V65" s="10">
        <v>2</v>
      </c>
      <c r="W65" s="10" t="s">
        <v>152</v>
      </c>
      <c r="X65">
        <v>62</v>
      </c>
      <c r="Y65" s="10" t="s">
        <v>208</v>
      </c>
      <c r="Z65" s="43" t="s">
        <v>165</v>
      </c>
      <c r="AB65" s="42"/>
      <c r="AC65" s="34" t="s">
        <v>155</v>
      </c>
      <c r="AD65" s="10" t="s">
        <v>29</v>
      </c>
      <c r="AE65" s="10">
        <v>2</v>
      </c>
      <c r="AF65" s="10" t="s">
        <v>152</v>
      </c>
      <c r="AG65">
        <v>62</v>
      </c>
      <c r="AH65" s="10"/>
      <c r="AI65" s="43"/>
      <c r="AK65" s="44"/>
      <c r="AL65" s="45" t="s">
        <v>155</v>
      </c>
      <c r="AM65" s="39" t="s">
        <v>29</v>
      </c>
      <c r="AN65" s="39">
        <v>2</v>
      </c>
      <c r="AO65" s="39" t="s">
        <v>152</v>
      </c>
      <c r="AP65" s="27">
        <v>62</v>
      </c>
      <c r="AQ65" s="39">
        <v>2016</v>
      </c>
      <c r="AR65" s="41" t="s">
        <v>184</v>
      </c>
      <c r="AS65" s="27"/>
      <c r="AT65" s="44"/>
      <c r="AU65" s="45" t="s">
        <v>155</v>
      </c>
      <c r="AV65" s="39" t="s">
        <v>29</v>
      </c>
      <c r="AW65" s="39">
        <v>2</v>
      </c>
      <c r="AX65" s="39" t="s">
        <v>152</v>
      </c>
      <c r="AY65" s="27">
        <v>62</v>
      </c>
      <c r="AZ65" s="39" t="s">
        <v>22</v>
      </c>
      <c r="BA65" s="41" t="s">
        <v>181</v>
      </c>
      <c r="BB65" s="27"/>
      <c r="BC65" s="44"/>
      <c r="BD65" s="45" t="s">
        <v>155</v>
      </c>
      <c r="BE65" s="39" t="s">
        <v>29</v>
      </c>
      <c r="BF65" s="39">
        <v>2</v>
      </c>
      <c r="BG65" s="39" t="s">
        <v>152</v>
      </c>
      <c r="BH65" s="27">
        <v>62</v>
      </c>
      <c r="BI65" s="64">
        <v>1030</v>
      </c>
      <c r="BJ65" s="41" t="s">
        <v>171</v>
      </c>
      <c r="BK65" s="27"/>
      <c r="BL65" s="44"/>
      <c r="BM65" s="45" t="s">
        <v>155</v>
      </c>
      <c r="BN65" s="39" t="s">
        <v>29</v>
      </c>
      <c r="BO65" s="39">
        <v>2</v>
      </c>
      <c r="BP65" s="39" t="s">
        <v>152</v>
      </c>
      <c r="BQ65" s="27">
        <v>62</v>
      </c>
      <c r="BR65" s="39" t="s">
        <v>6</v>
      </c>
      <c r="BS65" s="41" t="s">
        <v>188</v>
      </c>
      <c r="BT65" s="27"/>
      <c r="BU65" s="44"/>
      <c r="BV65" s="45" t="s">
        <v>155</v>
      </c>
      <c r="BW65" s="39" t="s">
        <v>29</v>
      </c>
      <c r="BX65" s="39">
        <v>2</v>
      </c>
      <c r="BY65" s="39" t="s">
        <v>152</v>
      </c>
      <c r="BZ65" s="27">
        <v>62</v>
      </c>
      <c r="CA65" s="39" t="s">
        <v>44</v>
      </c>
      <c r="CB65" s="41" t="s">
        <v>177</v>
      </c>
      <c r="CC65" s="27"/>
      <c r="CD65" s="44"/>
      <c r="CE65" s="45" t="s">
        <v>155</v>
      </c>
      <c r="CF65" s="39" t="s">
        <v>29</v>
      </c>
      <c r="CG65" s="39">
        <v>2</v>
      </c>
      <c r="CH65" s="39" t="s">
        <v>152</v>
      </c>
      <c r="CI65" s="27">
        <v>62</v>
      </c>
      <c r="CJ65" s="64">
        <v>1024</v>
      </c>
      <c r="CK65" s="41" t="s">
        <v>187</v>
      </c>
    </row>
    <row r="66" spans="1:89" ht="15.75" thickBot="1" x14ac:dyDescent="0.3">
      <c r="A66" s="42"/>
      <c r="B66" s="34" t="s">
        <v>151</v>
      </c>
      <c r="C66" s="10" t="s">
        <v>29</v>
      </c>
      <c r="D66" s="10">
        <v>3</v>
      </c>
      <c r="E66" s="10" t="s">
        <v>152</v>
      </c>
      <c r="F66">
        <v>63</v>
      </c>
      <c r="G66" s="10" t="s">
        <v>206</v>
      </c>
      <c r="H66" s="43" t="s">
        <v>174</v>
      </c>
      <c r="J66" s="42"/>
      <c r="K66" s="34" t="s">
        <v>155</v>
      </c>
      <c r="L66" s="10" t="s">
        <v>29</v>
      </c>
      <c r="M66" s="10">
        <v>3</v>
      </c>
      <c r="N66" s="10" t="s">
        <v>152</v>
      </c>
      <c r="O66">
        <v>63</v>
      </c>
      <c r="P66" s="10" t="s">
        <v>207</v>
      </c>
      <c r="Q66" s="43" t="s">
        <v>175</v>
      </c>
      <c r="S66" s="42"/>
      <c r="T66" s="34" t="s">
        <v>155</v>
      </c>
      <c r="U66" s="10" t="s">
        <v>29</v>
      </c>
      <c r="V66" s="10">
        <v>3</v>
      </c>
      <c r="W66" s="10" t="s">
        <v>152</v>
      </c>
      <c r="X66">
        <v>63</v>
      </c>
      <c r="Y66" s="10" t="s">
        <v>208</v>
      </c>
      <c r="Z66" s="43" t="s">
        <v>173</v>
      </c>
      <c r="AB66" s="42"/>
      <c r="AC66" s="34" t="s">
        <v>155</v>
      </c>
      <c r="AD66" s="10" t="s">
        <v>29</v>
      </c>
      <c r="AE66" s="10">
        <v>3</v>
      </c>
      <c r="AF66" s="10" t="s">
        <v>152</v>
      </c>
      <c r="AG66">
        <v>63</v>
      </c>
      <c r="AH66" s="10"/>
      <c r="AI66" s="43"/>
      <c r="AK66" s="44"/>
      <c r="AL66" s="45" t="s">
        <v>155</v>
      </c>
      <c r="AM66" s="39" t="s">
        <v>29</v>
      </c>
      <c r="AN66" s="39">
        <v>3</v>
      </c>
      <c r="AO66" s="39" t="s">
        <v>152</v>
      </c>
      <c r="AP66" s="27">
        <v>63</v>
      </c>
      <c r="AQ66" s="64">
        <v>2016</v>
      </c>
      <c r="AR66" s="41" t="s">
        <v>187</v>
      </c>
      <c r="AS66" s="27"/>
      <c r="AT66" s="44"/>
      <c r="AU66" s="45" t="s">
        <v>155</v>
      </c>
      <c r="AV66" s="39" t="s">
        <v>29</v>
      </c>
      <c r="AW66" s="39">
        <v>3</v>
      </c>
      <c r="AX66" s="39" t="s">
        <v>152</v>
      </c>
      <c r="AY66" s="27">
        <v>63</v>
      </c>
      <c r="AZ66" s="39" t="s">
        <v>22</v>
      </c>
      <c r="BA66" s="41" t="s">
        <v>183</v>
      </c>
      <c r="BB66" s="27"/>
      <c r="BC66" s="44"/>
      <c r="BD66" s="45" t="s">
        <v>155</v>
      </c>
      <c r="BE66" s="39" t="s">
        <v>29</v>
      </c>
      <c r="BF66" s="39">
        <v>3</v>
      </c>
      <c r="BG66" s="39" t="s">
        <v>152</v>
      </c>
      <c r="BH66" s="27">
        <v>63</v>
      </c>
      <c r="BI66" s="64">
        <v>1030</v>
      </c>
      <c r="BJ66" s="41" t="s">
        <v>161</v>
      </c>
      <c r="BK66" s="27"/>
      <c r="BL66" s="44"/>
      <c r="BM66" s="45" t="s">
        <v>155</v>
      </c>
      <c r="BN66" s="39" t="s">
        <v>29</v>
      </c>
      <c r="BO66" s="39">
        <v>3</v>
      </c>
      <c r="BP66" s="39" t="s">
        <v>152</v>
      </c>
      <c r="BQ66" s="27">
        <v>63</v>
      </c>
      <c r="BR66" s="39" t="s">
        <v>6</v>
      </c>
      <c r="BS66" s="41" t="s">
        <v>182</v>
      </c>
      <c r="BT66" s="27"/>
      <c r="BU66" s="44"/>
      <c r="BV66" s="45" t="s">
        <v>155</v>
      </c>
      <c r="BW66" s="39" t="s">
        <v>29</v>
      </c>
      <c r="BX66" s="39">
        <v>3</v>
      </c>
      <c r="BY66" s="39" t="s">
        <v>152</v>
      </c>
      <c r="BZ66" s="27">
        <v>63</v>
      </c>
      <c r="CA66" s="39" t="s">
        <v>44</v>
      </c>
      <c r="CB66" s="41" t="s">
        <v>180</v>
      </c>
      <c r="CC66" s="27"/>
      <c r="CD66" s="44"/>
      <c r="CE66" s="45" t="s">
        <v>155</v>
      </c>
      <c r="CF66" s="39" t="s">
        <v>29</v>
      </c>
      <c r="CG66" s="39">
        <v>3</v>
      </c>
      <c r="CH66" s="39" t="s">
        <v>152</v>
      </c>
      <c r="CI66" s="27">
        <v>63</v>
      </c>
      <c r="CJ66" s="64">
        <v>1024</v>
      </c>
      <c r="CK66" s="41" t="s">
        <v>189</v>
      </c>
    </row>
    <row r="67" spans="1:89" ht="15.75" thickBot="1" x14ac:dyDescent="0.3">
      <c r="A67" s="42"/>
      <c r="B67" s="34" t="s">
        <v>151</v>
      </c>
      <c r="C67" s="10" t="s">
        <v>29</v>
      </c>
      <c r="D67" s="10">
        <v>4</v>
      </c>
      <c r="E67" s="10" t="s">
        <v>152</v>
      </c>
      <c r="F67">
        <v>64</v>
      </c>
      <c r="G67" s="10" t="s">
        <v>209</v>
      </c>
      <c r="H67" s="43" t="s">
        <v>154</v>
      </c>
      <c r="J67" s="42"/>
      <c r="K67" s="34" t="s">
        <v>155</v>
      </c>
      <c r="L67" s="10" t="s">
        <v>29</v>
      </c>
      <c r="M67" s="10">
        <v>4</v>
      </c>
      <c r="N67" s="10" t="s">
        <v>152</v>
      </c>
      <c r="O67">
        <v>64</v>
      </c>
      <c r="P67" s="10" t="s">
        <v>207</v>
      </c>
      <c r="Q67" s="43" t="s">
        <v>157</v>
      </c>
      <c r="S67" s="42"/>
      <c r="T67" s="34" t="s">
        <v>155</v>
      </c>
      <c r="U67" s="10" t="s">
        <v>29</v>
      </c>
      <c r="V67" s="10">
        <v>4</v>
      </c>
      <c r="W67" s="10" t="s">
        <v>152</v>
      </c>
      <c r="X67">
        <v>64</v>
      </c>
      <c r="Y67" s="10" t="s">
        <v>208</v>
      </c>
      <c r="Z67" s="43" t="s">
        <v>159</v>
      </c>
      <c r="AB67" s="42"/>
      <c r="AC67" s="34" t="s">
        <v>155</v>
      </c>
      <c r="AD67" s="10" t="s">
        <v>29</v>
      </c>
      <c r="AE67" s="10">
        <v>4</v>
      </c>
      <c r="AF67" s="10" t="s">
        <v>152</v>
      </c>
      <c r="AG67">
        <v>64</v>
      </c>
      <c r="AH67" s="10"/>
      <c r="AI67" s="43"/>
      <c r="AK67" s="44"/>
      <c r="AL67" s="45" t="s">
        <v>155</v>
      </c>
      <c r="AM67" s="39" t="s">
        <v>29</v>
      </c>
      <c r="AN67" s="39">
        <v>4</v>
      </c>
      <c r="AO67" s="39" t="s">
        <v>152</v>
      </c>
      <c r="AP67" s="27">
        <v>64</v>
      </c>
      <c r="AQ67" s="39">
        <v>2016</v>
      </c>
      <c r="AR67" s="41" t="s">
        <v>189</v>
      </c>
      <c r="AS67" s="27"/>
      <c r="AT67" s="44"/>
      <c r="AU67" s="45" t="s">
        <v>155</v>
      </c>
      <c r="AV67" s="39" t="s">
        <v>29</v>
      </c>
      <c r="AW67" s="39">
        <v>4</v>
      </c>
      <c r="AX67" s="39" t="s">
        <v>152</v>
      </c>
      <c r="AY67" s="27">
        <v>64</v>
      </c>
      <c r="AZ67" s="39" t="s">
        <v>22</v>
      </c>
      <c r="BA67" s="41" t="s">
        <v>186</v>
      </c>
      <c r="BB67" s="27"/>
      <c r="BC67" s="44"/>
      <c r="BD67" s="45" t="s">
        <v>155</v>
      </c>
      <c r="BE67" s="39" t="s">
        <v>29</v>
      </c>
      <c r="BF67" s="39">
        <v>4</v>
      </c>
      <c r="BG67" s="39" t="s">
        <v>152</v>
      </c>
      <c r="BH67" s="27">
        <v>64</v>
      </c>
      <c r="BI67" s="64">
        <v>1030</v>
      </c>
      <c r="BJ67" s="46" t="s">
        <v>169</v>
      </c>
      <c r="BK67" s="27"/>
      <c r="BL67" s="44"/>
      <c r="BM67" s="45" t="s">
        <v>155</v>
      </c>
      <c r="BN67" s="39" t="s">
        <v>29</v>
      </c>
      <c r="BO67" s="39">
        <v>4</v>
      </c>
      <c r="BP67" s="39" t="s">
        <v>152</v>
      </c>
      <c r="BQ67" s="27">
        <v>64</v>
      </c>
      <c r="BR67" s="39" t="s">
        <v>6</v>
      </c>
      <c r="BS67" s="41" t="s">
        <v>184</v>
      </c>
      <c r="BT67" s="27"/>
      <c r="BU67" s="44"/>
      <c r="BV67" s="45" t="s">
        <v>155</v>
      </c>
      <c r="BW67" s="39" t="s">
        <v>29</v>
      </c>
      <c r="BX67" s="39">
        <v>4</v>
      </c>
      <c r="BY67" s="39" t="s">
        <v>152</v>
      </c>
      <c r="BZ67" s="27">
        <v>64</v>
      </c>
      <c r="CA67" s="39" t="s">
        <v>44</v>
      </c>
      <c r="CB67" s="41" t="s">
        <v>181</v>
      </c>
      <c r="CC67" s="27"/>
      <c r="CD67" s="44"/>
      <c r="CE67" s="45" t="s">
        <v>155</v>
      </c>
      <c r="CF67" s="39" t="s">
        <v>29</v>
      </c>
      <c r="CG67" s="39">
        <v>4</v>
      </c>
      <c r="CH67" s="39" t="s">
        <v>152</v>
      </c>
      <c r="CI67" s="27">
        <v>64</v>
      </c>
      <c r="CJ67" s="39" t="s">
        <v>53</v>
      </c>
      <c r="CK67" s="40" t="s">
        <v>160</v>
      </c>
    </row>
    <row r="68" spans="1:89" x14ac:dyDescent="0.25">
      <c r="A68" s="42"/>
      <c r="B68" s="34" t="s">
        <v>151</v>
      </c>
      <c r="C68" s="10" t="s">
        <v>29</v>
      </c>
      <c r="D68" s="10">
        <v>5</v>
      </c>
      <c r="E68" s="10" t="s">
        <v>152</v>
      </c>
      <c r="F68">
        <v>65</v>
      </c>
      <c r="G68" s="10" t="s">
        <v>209</v>
      </c>
      <c r="H68" s="43" t="s">
        <v>165</v>
      </c>
      <c r="J68" s="42"/>
      <c r="K68" s="34" t="s">
        <v>155</v>
      </c>
      <c r="L68" s="10" t="s">
        <v>29</v>
      </c>
      <c r="M68" s="10">
        <v>5</v>
      </c>
      <c r="N68" s="10" t="s">
        <v>152</v>
      </c>
      <c r="O68">
        <v>65</v>
      </c>
      <c r="P68" s="10" t="s">
        <v>207</v>
      </c>
      <c r="Q68" s="43" t="s">
        <v>166</v>
      </c>
      <c r="S68" s="42"/>
      <c r="T68" s="34" t="s">
        <v>155</v>
      </c>
      <c r="U68" s="10" t="s">
        <v>29</v>
      </c>
      <c r="V68" s="10">
        <v>5</v>
      </c>
      <c r="W68" s="10" t="s">
        <v>152</v>
      </c>
      <c r="X68">
        <v>65</v>
      </c>
      <c r="Y68" s="10" t="s">
        <v>208</v>
      </c>
      <c r="Z68" s="43" t="s">
        <v>167</v>
      </c>
      <c r="AB68" s="42"/>
      <c r="AC68" s="34" t="s">
        <v>155</v>
      </c>
      <c r="AD68" s="10" t="s">
        <v>29</v>
      </c>
      <c r="AE68" s="10">
        <v>5</v>
      </c>
      <c r="AF68" s="10" t="s">
        <v>152</v>
      </c>
      <c r="AG68">
        <v>65</v>
      </c>
      <c r="AH68" s="10"/>
      <c r="AI68" s="43"/>
      <c r="AK68" s="44"/>
      <c r="AL68" s="45" t="s">
        <v>155</v>
      </c>
      <c r="AM68" s="39" t="s">
        <v>29</v>
      </c>
      <c r="AN68" s="39">
        <v>5</v>
      </c>
      <c r="AO68" s="39" t="s">
        <v>152</v>
      </c>
      <c r="AP68" s="27">
        <v>65</v>
      </c>
      <c r="AQ68" s="39" t="s">
        <v>20</v>
      </c>
      <c r="AR68" s="40" t="s">
        <v>160</v>
      </c>
      <c r="AS68" s="27"/>
      <c r="AT68" s="44"/>
      <c r="AU68" s="45" t="s">
        <v>155</v>
      </c>
      <c r="AV68" s="39" t="s">
        <v>29</v>
      </c>
      <c r="AW68" s="39">
        <v>5</v>
      </c>
      <c r="AX68" s="39" t="s">
        <v>152</v>
      </c>
      <c r="AY68" s="27">
        <v>65</v>
      </c>
      <c r="AZ68" s="39" t="s">
        <v>22</v>
      </c>
      <c r="BA68" s="41" t="s">
        <v>188</v>
      </c>
      <c r="BB68" s="27"/>
      <c r="BC68" s="44"/>
      <c r="BD68" s="45" t="s">
        <v>155</v>
      </c>
      <c r="BE68" s="39" t="s">
        <v>29</v>
      </c>
      <c r="BF68" s="39">
        <v>5</v>
      </c>
      <c r="BG68" s="39" t="s">
        <v>152</v>
      </c>
      <c r="BH68" s="27">
        <v>65</v>
      </c>
      <c r="BI68" s="64">
        <v>1030</v>
      </c>
      <c r="BJ68" s="41" t="s">
        <v>177</v>
      </c>
      <c r="BK68" s="27"/>
      <c r="BL68" s="44"/>
      <c r="BM68" s="45" t="s">
        <v>155</v>
      </c>
      <c r="BN68" s="39" t="s">
        <v>29</v>
      </c>
      <c r="BO68" s="39">
        <v>5</v>
      </c>
      <c r="BP68" s="39" t="s">
        <v>152</v>
      </c>
      <c r="BQ68" s="27">
        <v>65</v>
      </c>
      <c r="BR68" s="39" t="s">
        <v>6</v>
      </c>
      <c r="BS68" s="41" t="s">
        <v>187</v>
      </c>
      <c r="BT68" s="27"/>
      <c r="BU68" s="44"/>
      <c r="BV68" s="45" t="s">
        <v>155</v>
      </c>
      <c r="BW68" s="39" t="s">
        <v>29</v>
      </c>
      <c r="BX68" s="39">
        <v>5</v>
      </c>
      <c r="BY68" s="39" t="s">
        <v>152</v>
      </c>
      <c r="BZ68" s="27">
        <v>65</v>
      </c>
      <c r="CA68" s="39" t="s">
        <v>44</v>
      </c>
      <c r="CB68" s="41" t="s">
        <v>183</v>
      </c>
      <c r="CC68" s="27"/>
      <c r="CD68" s="44"/>
      <c r="CE68" s="45" t="s">
        <v>155</v>
      </c>
      <c r="CF68" s="39" t="s">
        <v>29</v>
      </c>
      <c r="CG68" s="39">
        <v>5</v>
      </c>
      <c r="CH68" s="39" t="s">
        <v>152</v>
      </c>
      <c r="CI68" s="27">
        <v>65</v>
      </c>
      <c r="CJ68" s="39" t="s">
        <v>53</v>
      </c>
      <c r="CK68" s="41" t="s">
        <v>168</v>
      </c>
    </row>
    <row r="69" spans="1:89" ht="15.75" thickBot="1" x14ac:dyDescent="0.3">
      <c r="A69" s="42"/>
      <c r="B69" s="34" t="s">
        <v>151</v>
      </c>
      <c r="C69" s="10" t="s">
        <v>29</v>
      </c>
      <c r="D69" s="10">
        <v>6</v>
      </c>
      <c r="E69" s="10" t="s">
        <v>152</v>
      </c>
      <c r="F69">
        <v>66</v>
      </c>
      <c r="G69" s="10" t="s">
        <v>209</v>
      </c>
      <c r="H69" s="43" t="s">
        <v>173</v>
      </c>
      <c r="J69" s="42"/>
      <c r="K69" s="34" t="s">
        <v>155</v>
      </c>
      <c r="L69" s="10" t="s">
        <v>29</v>
      </c>
      <c r="M69" s="10">
        <v>6</v>
      </c>
      <c r="N69" s="10" t="s">
        <v>152</v>
      </c>
      <c r="O69">
        <v>66</v>
      </c>
      <c r="P69" s="10" t="s">
        <v>207</v>
      </c>
      <c r="Q69" s="43" t="s">
        <v>174</v>
      </c>
      <c r="S69" s="42"/>
      <c r="T69" s="34" t="s">
        <v>155</v>
      </c>
      <c r="U69" s="10" t="s">
        <v>29</v>
      </c>
      <c r="V69" s="10">
        <v>6</v>
      </c>
      <c r="W69" s="10" t="s">
        <v>152</v>
      </c>
      <c r="X69">
        <v>66</v>
      </c>
      <c r="Y69" s="10" t="s">
        <v>208</v>
      </c>
      <c r="Z69" s="43" t="s">
        <v>175</v>
      </c>
      <c r="AB69" s="42"/>
      <c r="AC69" s="34" t="s">
        <v>155</v>
      </c>
      <c r="AD69" s="10" t="s">
        <v>29</v>
      </c>
      <c r="AE69" s="10">
        <v>6</v>
      </c>
      <c r="AF69" s="10" t="s">
        <v>152</v>
      </c>
      <c r="AG69">
        <v>66</v>
      </c>
      <c r="AH69" s="10"/>
      <c r="AI69" s="43"/>
      <c r="AK69" s="44"/>
      <c r="AL69" s="45" t="s">
        <v>155</v>
      </c>
      <c r="AM69" s="39" t="s">
        <v>29</v>
      </c>
      <c r="AN69" s="39">
        <v>6</v>
      </c>
      <c r="AO69" s="39" t="s">
        <v>152</v>
      </c>
      <c r="AP69" s="27">
        <v>66</v>
      </c>
      <c r="AQ69" s="39" t="s">
        <v>20</v>
      </c>
      <c r="AR69" s="41" t="s">
        <v>168</v>
      </c>
      <c r="AS69" s="27"/>
      <c r="AT69" s="44"/>
      <c r="AU69" s="45" t="s">
        <v>155</v>
      </c>
      <c r="AV69" s="39" t="s">
        <v>29</v>
      </c>
      <c r="AW69" s="39">
        <v>6</v>
      </c>
      <c r="AX69" s="39" t="s">
        <v>152</v>
      </c>
      <c r="AY69" s="27">
        <v>66</v>
      </c>
      <c r="AZ69" s="39" t="s">
        <v>22</v>
      </c>
      <c r="BA69" s="41" t="s">
        <v>182</v>
      </c>
      <c r="BB69" s="27"/>
      <c r="BC69" s="44"/>
      <c r="BD69" s="45" t="s">
        <v>155</v>
      </c>
      <c r="BE69" s="39" t="s">
        <v>29</v>
      </c>
      <c r="BF69" s="39">
        <v>6</v>
      </c>
      <c r="BG69" s="39" t="s">
        <v>152</v>
      </c>
      <c r="BH69" s="27">
        <v>66</v>
      </c>
      <c r="BI69" s="64">
        <v>1030</v>
      </c>
      <c r="BJ69" s="41" t="s">
        <v>180</v>
      </c>
      <c r="BK69" s="27"/>
      <c r="BL69" s="44"/>
      <c r="BM69" s="45" t="s">
        <v>155</v>
      </c>
      <c r="BN69" s="39" t="s">
        <v>29</v>
      </c>
      <c r="BO69" s="39">
        <v>6</v>
      </c>
      <c r="BP69" s="39" t="s">
        <v>152</v>
      </c>
      <c r="BQ69" s="27">
        <v>66</v>
      </c>
      <c r="BR69" s="39" t="s">
        <v>6</v>
      </c>
      <c r="BS69" s="41" t="s">
        <v>189</v>
      </c>
      <c r="BT69" s="27"/>
      <c r="BU69" s="44"/>
      <c r="BV69" s="45" t="s">
        <v>155</v>
      </c>
      <c r="BW69" s="39" t="s">
        <v>29</v>
      </c>
      <c r="BX69" s="39">
        <v>6</v>
      </c>
      <c r="BY69" s="39" t="s">
        <v>152</v>
      </c>
      <c r="BZ69" s="27">
        <v>66</v>
      </c>
      <c r="CA69" s="39" t="s">
        <v>44</v>
      </c>
      <c r="CB69" s="41" t="s">
        <v>186</v>
      </c>
      <c r="CC69" s="27"/>
      <c r="CD69" s="44"/>
      <c r="CE69" s="45" t="s">
        <v>155</v>
      </c>
      <c r="CF69" s="39" t="s">
        <v>29</v>
      </c>
      <c r="CG69" s="39">
        <v>6</v>
      </c>
      <c r="CH69" s="39" t="s">
        <v>152</v>
      </c>
      <c r="CI69" s="27">
        <v>66</v>
      </c>
      <c r="CJ69" s="39" t="s">
        <v>53</v>
      </c>
      <c r="CK69" s="41" t="s">
        <v>176</v>
      </c>
    </row>
    <row r="70" spans="1:89" x14ac:dyDescent="0.25">
      <c r="A70" s="42"/>
      <c r="B70" s="34" t="s">
        <v>151</v>
      </c>
      <c r="C70" s="10" t="s">
        <v>29</v>
      </c>
      <c r="D70" s="10">
        <v>7</v>
      </c>
      <c r="E70" s="10" t="s">
        <v>152</v>
      </c>
      <c r="F70">
        <v>67</v>
      </c>
      <c r="G70" s="10" t="s">
        <v>209</v>
      </c>
      <c r="H70" s="43" t="s">
        <v>159</v>
      </c>
      <c r="J70" s="42"/>
      <c r="K70" s="34" t="s">
        <v>155</v>
      </c>
      <c r="L70" s="10" t="s">
        <v>29</v>
      </c>
      <c r="M70" s="10">
        <v>7</v>
      </c>
      <c r="N70" s="10" t="s">
        <v>152</v>
      </c>
      <c r="O70">
        <v>67</v>
      </c>
      <c r="P70" s="10" t="s">
        <v>210</v>
      </c>
      <c r="Q70" s="43" t="s">
        <v>154</v>
      </c>
      <c r="S70" s="42"/>
      <c r="T70" s="34" t="s">
        <v>155</v>
      </c>
      <c r="U70" s="10" t="s">
        <v>29</v>
      </c>
      <c r="V70" s="10">
        <v>7</v>
      </c>
      <c r="W70" s="10" t="s">
        <v>152</v>
      </c>
      <c r="X70">
        <v>67</v>
      </c>
      <c r="Y70" s="10" t="s">
        <v>208</v>
      </c>
      <c r="Z70" s="43" t="s">
        <v>157</v>
      </c>
      <c r="AB70" s="42"/>
      <c r="AC70" s="34" t="s">
        <v>155</v>
      </c>
      <c r="AD70" s="10" t="s">
        <v>29</v>
      </c>
      <c r="AE70" s="10">
        <v>7</v>
      </c>
      <c r="AF70" s="10" t="s">
        <v>152</v>
      </c>
      <c r="AG70">
        <v>67</v>
      </c>
      <c r="AH70" s="10"/>
      <c r="AI70" s="43"/>
      <c r="AK70" s="44"/>
      <c r="AL70" s="45" t="s">
        <v>155</v>
      </c>
      <c r="AM70" s="39" t="s">
        <v>29</v>
      </c>
      <c r="AN70" s="39">
        <v>7</v>
      </c>
      <c r="AO70" s="39" t="s">
        <v>152</v>
      </c>
      <c r="AP70" s="27">
        <v>67</v>
      </c>
      <c r="AQ70" s="39" t="s">
        <v>20</v>
      </c>
      <c r="AR70" s="41" t="s">
        <v>176</v>
      </c>
      <c r="AS70" s="27"/>
      <c r="AT70" s="44"/>
      <c r="AU70" s="45" t="s">
        <v>155</v>
      </c>
      <c r="AV70" s="39" t="s">
        <v>29</v>
      </c>
      <c r="AW70" s="39">
        <v>7</v>
      </c>
      <c r="AX70" s="39" t="s">
        <v>152</v>
      </c>
      <c r="AY70" s="27">
        <v>67</v>
      </c>
      <c r="AZ70" s="39" t="s">
        <v>22</v>
      </c>
      <c r="BA70" s="41" t="s">
        <v>184</v>
      </c>
      <c r="BB70" s="27"/>
      <c r="BC70" s="44"/>
      <c r="BD70" s="45" t="s">
        <v>155</v>
      </c>
      <c r="BE70" s="39" t="s">
        <v>29</v>
      </c>
      <c r="BF70" s="39">
        <v>7</v>
      </c>
      <c r="BG70" s="39" t="s">
        <v>152</v>
      </c>
      <c r="BH70" s="27">
        <v>67</v>
      </c>
      <c r="BI70" s="64">
        <v>1030</v>
      </c>
      <c r="BJ70" s="41" t="s">
        <v>181</v>
      </c>
      <c r="BK70" s="27"/>
      <c r="BL70" s="44"/>
      <c r="BM70" s="45" t="s">
        <v>155</v>
      </c>
      <c r="BN70" s="39" t="s">
        <v>29</v>
      </c>
      <c r="BO70" s="39">
        <v>7</v>
      </c>
      <c r="BP70" s="39" t="s">
        <v>152</v>
      </c>
      <c r="BQ70" s="27">
        <v>67</v>
      </c>
      <c r="BR70" s="39" t="s">
        <v>24</v>
      </c>
      <c r="BS70" s="40" t="s">
        <v>160</v>
      </c>
      <c r="BT70" s="27">
        <v>31</v>
      </c>
      <c r="BU70" s="44"/>
      <c r="BV70" s="45" t="s">
        <v>155</v>
      </c>
      <c r="BW70" s="39" t="s">
        <v>29</v>
      </c>
      <c r="BX70" s="39">
        <v>7</v>
      </c>
      <c r="BY70" s="39" t="s">
        <v>152</v>
      </c>
      <c r="BZ70" s="27">
        <v>67</v>
      </c>
      <c r="CA70" s="39" t="s">
        <v>44</v>
      </c>
      <c r="CB70" s="41" t="s">
        <v>188</v>
      </c>
      <c r="CC70" s="27"/>
      <c r="CD70" s="44"/>
      <c r="CE70" s="45" t="s">
        <v>155</v>
      </c>
      <c r="CF70" s="39" t="s">
        <v>29</v>
      </c>
      <c r="CG70" s="39">
        <v>7</v>
      </c>
      <c r="CH70" s="39" t="s">
        <v>152</v>
      </c>
      <c r="CI70" s="27">
        <v>67</v>
      </c>
      <c r="CJ70" s="39" t="s">
        <v>53</v>
      </c>
      <c r="CK70" s="41" t="s">
        <v>164</v>
      </c>
    </row>
    <row r="71" spans="1:89" x14ac:dyDescent="0.25">
      <c r="A71" s="42"/>
      <c r="B71" s="34" t="s">
        <v>151</v>
      </c>
      <c r="C71" s="10" t="s">
        <v>29</v>
      </c>
      <c r="D71" s="10">
        <v>8</v>
      </c>
      <c r="E71" s="10" t="s">
        <v>152</v>
      </c>
      <c r="F71">
        <v>68</v>
      </c>
      <c r="G71" s="10" t="s">
        <v>209</v>
      </c>
      <c r="H71" s="43" t="s">
        <v>167</v>
      </c>
      <c r="J71" s="42"/>
      <c r="K71" s="34" t="s">
        <v>155</v>
      </c>
      <c r="L71" s="10" t="s">
        <v>29</v>
      </c>
      <c r="M71" s="10">
        <v>8</v>
      </c>
      <c r="N71" s="10" t="s">
        <v>152</v>
      </c>
      <c r="O71">
        <v>68</v>
      </c>
      <c r="P71" s="10" t="s">
        <v>210</v>
      </c>
      <c r="Q71" s="43" t="s">
        <v>165</v>
      </c>
      <c r="S71" s="42"/>
      <c r="T71" s="34" t="s">
        <v>155</v>
      </c>
      <c r="U71" s="10" t="s">
        <v>29</v>
      </c>
      <c r="V71" s="10">
        <v>8</v>
      </c>
      <c r="W71" s="10" t="s">
        <v>152</v>
      </c>
      <c r="X71">
        <v>68</v>
      </c>
      <c r="Y71" s="10" t="s">
        <v>208</v>
      </c>
      <c r="Z71" s="43" t="s">
        <v>166</v>
      </c>
      <c r="AB71" s="42"/>
      <c r="AC71" s="34" t="s">
        <v>155</v>
      </c>
      <c r="AD71" s="10" t="s">
        <v>29</v>
      </c>
      <c r="AE71" s="10">
        <v>8</v>
      </c>
      <c r="AF71" s="10" t="s">
        <v>152</v>
      </c>
      <c r="AG71">
        <v>68</v>
      </c>
      <c r="AH71" s="10"/>
      <c r="AI71" s="43"/>
      <c r="AK71" s="44"/>
      <c r="AL71" s="45" t="s">
        <v>155</v>
      </c>
      <c r="AM71" s="39" t="s">
        <v>29</v>
      </c>
      <c r="AN71" s="39">
        <v>8</v>
      </c>
      <c r="AO71" s="39" t="s">
        <v>152</v>
      </c>
      <c r="AP71" s="27">
        <v>68</v>
      </c>
      <c r="AQ71" s="39" t="s">
        <v>20</v>
      </c>
      <c r="AR71" s="41" t="s">
        <v>164</v>
      </c>
      <c r="AS71" s="27"/>
      <c r="AT71" s="44"/>
      <c r="AU71" s="45" t="s">
        <v>155</v>
      </c>
      <c r="AV71" s="39" t="s">
        <v>29</v>
      </c>
      <c r="AW71" s="39">
        <v>8</v>
      </c>
      <c r="AX71" s="39" t="s">
        <v>152</v>
      </c>
      <c r="AY71" s="27">
        <v>68</v>
      </c>
      <c r="AZ71" s="39" t="s">
        <v>22</v>
      </c>
      <c r="BA71" s="41" t="s">
        <v>187</v>
      </c>
      <c r="BB71" s="27"/>
      <c r="BC71" s="44"/>
      <c r="BD71" s="45" t="s">
        <v>155</v>
      </c>
      <c r="BE71" s="39" t="s">
        <v>29</v>
      </c>
      <c r="BF71" s="39">
        <v>8</v>
      </c>
      <c r="BG71" s="39" t="s">
        <v>152</v>
      </c>
      <c r="BH71" s="27">
        <v>68</v>
      </c>
      <c r="BI71" s="64">
        <v>1030</v>
      </c>
      <c r="BJ71" s="41" t="s">
        <v>183</v>
      </c>
      <c r="BK71" s="27"/>
      <c r="BL71" s="44"/>
      <c r="BM71" s="45" t="s">
        <v>155</v>
      </c>
      <c r="BN71" s="39" t="s">
        <v>29</v>
      </c>
      <c r="BO71" s="39">
        <v>8</v>
      </c>
      <c r="BP71" s="39" t="s">
        <v>152</v>
      </c>
      <c r="BQ71" s="27">
        <v>68</v>
      </c>
      <c r="BR71" s="39" t="s">
        <v>24</v>
      </c>
      <c r="BS71" s="41" t="s">
        <v>168</v>
      </c>
      <c r="BT71" s="27">
        <v>32</v>
      </c>
      <c r="BU71" s="44"/>
      <c r="BV71" s="45" t="s">
        <v>155</v>
      </c>
      <c r="BW71" s="39" t="s">
        <v>29</v>
      </c>
      <c r="BX71" s="39">
        <v>8</v>
      </c>
      <c r="BY71" s="39" t="s">
        <v>152</v>
      </c>
      <c r="BZ71" s="27">
        <v>68</v>
      </c>
      <c r="CA71" s="39" t="s">
        <v>44</v>
      </c>
      <c r="CB71" s="41" t="s">
        <v>182</v>
      </c>
      <c r="CC71" s="27"/>
      <c r="CD71" s="44"/>
      <c r="CE71" s="45" t="s">
        <v>155</v>
      </c>
      <c r="CF71" s="39" t="s">
        <v>29</v>
      </c>
      <c r="CG71" s="39">
        <v>8</v>
      </c>
      <c r="CH71" s="39" t="s">
        <v>152</v>
      </c>
      <c r="CI71" s="27">
        <v>68</v>
      </c>
      <c r="CJ71" s="39" t="s">
        <v>53</v>
      </c>
      <c r="CK71" s="41" t="s">
        <v>172</v>
      </c>
    </row>
    <row r="72" spans="1:89" ht="15.75" thickBot="1" x14ac:dyDescent="0.3">
      <c r="A72" s="42"/>
      <c r="B72" s="34" t="s">
        <v>151</v>
      </c>
      <c r="C72" s="10" t="s">
        <v>29</v>
      </c>
      <c r="D72" s="10">
        <v>9</v>
      </c>
      <c r="E72" s="10" t="s">
        <v>152</v>
      </c>
      <c r="F72">
        <v>69</v>
      </c>
      <c r="G72" s="10" t="s">
        <v>209</v>
      </c>
      <c r="H72" s="43" t="s">
        <v>175</v>
      </c>
      <c r="J72" s="42"/>
      <c r="K72" s="34" t="s">
        <v>155</v>
      </c>
      <c r="L72" s="10" t="s">
        <v>29</v>
      </c>
      <c r="M72" s="10">
        <v>9</v>
      </c>
      <c r="N72" s="10" t="s">
        <v>152</v>
      </c>
      <c r="O72">
        <v>69</v>
      </c>
      <c r="P72" s="10" t="s">
        <v>210</v>
      </c>
      <c r="Q72" s="43" t="s">
        <v>173</v>
      </c>
      <c r="S72" s="42"/>
      <c r="T72" s="34" t="s">
        <v>155</v>
      </c>
      <c r="U72" s="10" t="s">
        <v>29</v>
      </c>
      <c r="V72" s="10">
        <v>9</v>
      </c>
      <c r="W72" s="10" t="s">
        <v>152</v>
      </c>
      <c r="X72">
        <v>69</v>
      </c>
      <c r="Y72" s="10" t="s">
        <v>208</v>
      </c>
      <c r="Z72" s="43" t="s">
        <v>174</v>
      </c>
      <c r="AB72" s="42"/>
      <c r="AC72" s="34" t="s">
        <v>155</v>
      </c>
      <c r="AD72" s="10" t="s">
        <v>29</v>
      </c>
      <c r="AE72" s="10">
        <v>9</v>
      </c>
      <c r="AF72" s="10" t="s">
        <v>152</v>
      </c>
      <c r="AG72">
        <v>69</v>
      </c>
      <c r="AH72" s="10"/>
      <c r="AI72" s="43"/>
      <c r="AK72" s="44"/>
      <c r="AL72" s="45" t="s">
        <v>155</v>
      </c>
      <c r="AM72" s="39" t="s">
        <v>29</v>
      </c>
      <c r="AN72" s="39">
        <v>9</v>
      </c>
      <c r="AO72" s="39" t="s">
        <v>152</v>
      </c>
      <c r="AP72" s="27">
        <v>69</v>
      </c>
      <c r="AQ72" s="39" t="s">
        <v>20</v>
      </c>
      <c r="AR72" s="41" t="s">
        <v>172</v>
      </c>
      <c r="AS72" s="27"/>
      <c r="AT72" s="44"/>
      <c r="AU72" s="45" t="s">
        <v>155</v>
      </c>
      <c r="AV72" s="39" t="s">
        <v>29</v>
      </c>
      <c r="AW72" s="39">
        <v>9</v>
      </c>
      <c r="AX72" s="39" t="s">
        <v>152</v>
      </c>
      <c r="AY72" s="27">
        <v>69</v>
      </c>
      <c r="AZ72" s="39" t="s">
        <v>22</v>
      </c>
      <c r="BA72" s="41" t="s">
        <v>189</v>
      </c>
      <c r="BB72" s="27"/>
      <c r="BC72" s="44"/>
      <c r="BD72" s="45" t="s">
        <v>155</v>
      </c>
      <c r="BE72" s="39" t="s">
        <v>29</v>
      </c>
      <c r="BF72" s="39">
        <v>9</v>
      </c>
      <c r="BG72" s="39" t="s">
        <v>152</v>
      </c>
      <c r="BH72" s="27">
        <v>69</v>
      </c>
      <c r="BI72" s="64">
        <v>1030</v>
      </c>
      <c r="BJ72" s="41" t="s">
        <v>186</v>
      </c>
      <c r="BK72" s="27"/>
      <c r="BL72" s="44"/>
      <c r="BM72" s="45" t="s">
        <v>155</v>
      </c>
      <c r="BN72" s="39" t="s">
        <v>29</v>
      </c>
      <c r="BO72" s="39">
        <v>9</v>
      </c>
      <c r="BP72" s="39" t="s">
        <v>152</v>
      </c>
      <c r="BQ72" s="27">
        <v>69</v>
      </c>
      <c r="BR72" s="39" t="s">
        <v>24</v>
      </c>
      <c r="BS72" s="41" t="s">
        <v>176</v>
      </c>
      <c r="BT72" s="27">
        <v>33</v>
      </c>
      <c r="BU72" s="44"/>
      <c r="BV72" s="45" t="s">
        <v>155</v>
      </c>
      <c r="BW72" s="39" t="s">
        <v>29</v>
      </c>
      <c r="BX72" s="39">
        <v>9</v>
      </c>
      <c r="BY72" s="39" t="s">
        <v>152</v>
      </c>
      <c r="BZ72" s="27">
        <v>69</v>
      </c>
      <c r="CA72" s="39" t="s">
        <v>44</v>
      </c>
      <c r="CB72" s="41" t="s">
        <v>184</v>
      </c>
      <c r="CC72" s="27"/>
      <c r="CD72" s="44"/>
      <c r="CE72" s="45" t="s">
        <v>155</v>
      </c>
      <c r="CF72" s="39" t="s">
        <v>29</v>
      </c>
      <c r="CG72" s="39">
        <v>9</v>
      </c>
      <c r="CH72" s="39" t="s">
        <v>152</v>
      </c>
      <c r="CI72" s="27">
        <v>69</v>
      </c>
      <c r="CJ72" s="39" t="s">
        <v>53</v>
      </c>
      <c r="CK72" s="41" t="s">
        <v>162</v>
      </c>
    </row>
    <row r="73" spans="1:89" x14ac:dyDescent="0.25">
      <c r="A73" s="42"/>
      <c r="B73" s="34" t="s">
        <v>151</v>
      </c>
      <c r="C73" s="10" t="s">
        <v>29</v>
      </c>
      <c r="D73" s="10">
        <v>10</v>
      </c>
      <c r="E73" s="10" t="s">
        <v>152</v>
      </c>
      <c r="F73">
        <v>70</v>
      </c>
      <c r="G73" s="10" t="s">
        <v>209</v>
      </c>
      <c r="H73" s="43" t="s">
        <v>157</v>
      </c>
      <c r="J73" s="42"/>
      <c r="K73" s="34" t="s">
        <v>155</v>
      </c>
      <c r="L73" s="10" t="s">
        <v>29</v>
      </c>
      <c r="M73" s="10">
        <v>10</v>
      </c>
      <c r="N73" s="10" t="s">
        <v>152</v>
      </c>
      <c r="O73">
        <v>70</v>
      </c>
      <c r="P73" s="10" t="s">
        <v>210</v>
      </c>
      <c r="Q73" s="43" t="s">
        <v>159</v>
      </c>
      <c r="S73" s="42"/>
      <c r="T73" s="34" t="s">
        <v>155</v>
      </c>
      <c r="U73" s="10" t="s">
        <v>29</v>
      </c>
      <c r="V73" s="10">
        <v>10</v>
      </c>
      <c r="W73" s="10" t="s">
        <v>152</v>
      </c>
      <c r="X73">
        <v>70</v>
      </c>
      <c r="Y73" s="10" t="s">
        <v>208</v>
      </c>
      <c r="Z73" s="43" t="s">
        <v>154</v>
      </c>
      <c r="AB73" s="42"/>
      <c r="AC73" s="34" t="s">
        <v>155</v>
      </c>
      <c r="AD73" s="10" t="s">
        <v>29</v>
      </c>
      <c r="AE73" s="10">
        <v>10</v>
      </c>
      <c r="AF73" s="10" t="s">
        <v>152</v>
      </c>
      <c r="AG73">
        <v>70</v>
      </c>
      <c r="AH73" s="10"/>
      <c r="AI73" s="43"/>
      <c r="AK73" s="44"/>
      <c r="AL73" s="45" t="s">
        <v>155</v>
      </c>
      <c r="AM73" s="39" t="s">
        <v>29</v>
      </c>
      <c r="AN73" s="39">
        <v>10</v>
      </c>
      <c r="AO73" s="39" t="s">
        <v>152</v>
      </c>
      <c r="AP73" s="27">
        <v>70</v>
      </c>
      <c r="AQ73" s="39" t="s">
        <v>20</v>
      </c>
      <c r="AR73" s="41" t="s">
        <v>162</v>
      </c>
      <c r="AS73" s="27"/>
      <c r="AT73" s="44"/>
      <c r="AU73" s="45" t="s">
        <v>155</v>
      </c>
      <c r="AV73" s="39" t="s">
        <v>29</v>
      </c>
      <c r="AW73" s="39">
        <v>10</v>
      </c>
      <c r="AX73" s="39" t="s">
        <v>152</v>
      </c>
      <c r="AY73" s="27">
        <v>70</v>
      </c>
      <c r="AZ73" s="39" t="s">
        <v>4</v>
      </c>
      <c r="BA73" s="40" t="s">
        <v>160</v>
      </c>
      <c r="BB73" s="27"/>
      <c r="BC73" s="44"/>
      <c r="BD73" s="45" t="s">
        <v>155</v>
      </c>
      <c r="BE73" s="39" t="s">
        <v>29</v>
      </c>
      <c r="BF73" s="39">
        <v>10</v>
      </c>
      <c r="BG73" s="39" t="s">
        <v>152</v>
      </c>
      <c r="BH73" s="27">
        <v>70</v>
      </c>
      <c r="BI73" s="64">
        <v>1030</v>
      </c>
      <c r="BJ73" s="41" t="s">
        <v>188</v>
      </c>
      <c r="BK73" s="27"/>
      <c r="BL73" s="44"/>
      <c r="BM73" s="45" t="s">
        <v>155</v>
      </c>
      <c r="BN73" s="39" t="s">
        <v>29</v>
      </c>
      <c r="BO73" s="39">
        <v>10</v>
      </c>
      <c r="BP73" s="39" t="s">
        <v>152</v>
      </c>
      <c r="BQ73" s="27">
        <v>70</v>
      </c>
      <c r="BR73" s="39" t="s">
        <v>24</v>
      </c>
      <c r="BS73" s="41" t="s">
        <v>164</v>
      </c>
      <c r="BT73" s="27">
        <v>34</v>
      </c>
      <c r="BU73" s="44"/>
      <c r="BV73" s="45" t="s">
        <v>155</v>
      </c>
      <c r="BW73" s="39" t="s">
        <v>29</v>
      </c>
      <c r="BX73" s="39">
        <v>10</v>
      </c>
      <c r="BY73" s="39" t="s">
        <v>152</v>
      </c>
      <c r="BZ73" s="27">
        <v>70</v>
      </c>
      <c r="CA73" s="39" t="s">
        <v>44</v>
      </c>
      <c r="CB73" s="41" t="s">
        <v>187</v>
      </c>
      <c r="CC73" s="27"/>
      <c r="CD73" s="44"/>
      <c r="CE73" s="45" t="s">
        <v>155</v>
      </c>
      <c r="CF73" s="39" t="s">
        <v>29</v>
      </c>
      <c r="CG73" s="39">
        <v>10</v>
      </c>
      <c r="CH73" s="39" t="s">
        <v>152</v>
      </c>
      <c r="CI73" s="27">
        <v>70</v>
      </c>
      <c r="CJ73" s="39" t="s">
        <v>53</v>
      </c>
      <c r="CK73" s="41" t="s">
        <v>170</v>
      </c>
    </row>
    <row r="74" spans="1:89" ht="15.75" thickBot="1" x14ac:dyDescent="0.3">
      <c r="A74" s="42"/>
      <c r="B74" s="34" t="s">
        <v>151</v>
      </c>
      <c r="C74" s="10" t="s">
        <v>29</v>
      </c>
      <c r="D74" s="10">
        <v>11</v>
      </c>
      <c r="E74" s="10" t="s">
        <v>152</v>
      </c>
      <c r="F74">
        <v>71</v>
      </c>
      <c r="G74" s="10" t="s">
        <v>209</v>
      </c>
      <c r="H74" s="43" t="s">
        <v>166</v>
      </c>
      <c r="J74" s="42"/>
      <c r="K74" s="34" t="s">
        <v>155</v>
      </c>
      <c r="L74" s="10" t="s">
        <v>29</v>
      </c>
      <c r="M74" s="10">
        <v>11</v>
      </c>
      <c r="N74" s="10" t="s">
        <v>152</v>
      </c>
      <c r="O74">
        <v>71</v>
      </c>
      <c r="P74" s="10" t="s">
        <v>210</v>
      </c>
      <c r="Q74" s="43" t="s">
        <v>167</v>
      </c>
      <c r="S74" s="42"/>
      <c r="T74" s="34" t="s">
        <v>155</v>
      </c>
      <c r="U74" s="10" t="s">
        <v>29</v>
      </c>
      <c r="V74" s="10">
        <v>11</v>
      </c>
      <c r="W74" s="10" t="s">
        <v>152</v>
      </c>
      <c r="X74">
        <v>71</v>
      </c>
      <c r="Y74" s="10" t="s">
        <v>208</v>
      </c>
      <c r="Z74" s="43" t="s">
        <v>165</v>
      </c>
      <c r="AB74" s="42"/>
      <c r="AC74" s="34" t="s">
        <v>155</v>
      </c>
      <c r="AD74" s="10" t="s">
        <v>29</v>
      </c>
      <c r="AE74" s="10">
        <v>11</v>
      </c>
      <c r="AF74" s="10" t="s">
        <v>152</v>
      </c>
      <c r="AG74">
        <v>71</v>
      </c>
      <c r="AH74" s="10"/>
      <c r="AI74" s="43"/>
      <c r="AK74" s="44"/>
      <c r="AL74" s="45" t="s">
        <v>155</v>
      </c>
      <c r="AM74" s="39" t="s">
        <v>29</v>
      </c>
      <c r="AN74" s="39">
        <v>11</v>
      </c>
      <c r="AO74" s="39" t="s">
        <v>152</v>
      </c>
      <c r="AP74" s="27">
        <v>71</v>
      </c>
      <c r="AQ74" s="39" t="s">
        <v>20</v>
      </c>
      <c r="AR74" s="41" t="s">
        <v>170</v>
      </c>
      <c r="AS74" s="27"/>
      <c r="AT74" s="44"/>
      <c r="AU74" s="45" t="s">
        <v>155</v>
      </c>
      <c r="AV74" s="39" t="s">
        <v>29</v>
      </c>
      <c r="AW74" s="39">
        <v>11</v>
      </c>
      <c r="AX74" s="39" t="s">
        <v>152</v>
      </c>
      <c r="AY74" s="27">
        <v>71</v>
      </c>
      <c r="AZ74" s="39" t="s">
        <v>4</v>
      </c>
      <c r="BA74" s="41" t="s">
        <v>168</v>
      </c>
      <c r="BB74" s="27"/>
      <c r="BC74" s="44"/>
      <c r="BD74" s="45" t="s">
        <v>155</v>
      </c>
      <c r="BE74" s="39" t="s">
        <v>29</v>
      </c>
      <c r="BF74" s="39">
        <v>11</v>
      </c>
      <c r="BG74" s="39" t="s">
        <v>152</v>
      </c>
      <c r="BH74" s="27">
        <v>71</v>
      </c>
      <c r="BI74" s="64">
        <v>1030</v>
      </c>
      <c r="BJ74" s="41" t="s">
        <v>182</v>
      </c>
      <c r="BK74" s="27"/>
      <c r="BL74" s="44"/>
      <c r="BM74" s="45" t="s">
        <v>155</v>
      </c>
      <c r="BN74" s="39" t="s">
        <v>29</v>
      </c>
      <c r="BO74" s="39">
        <v>11</v>
      </c>
      <c r="BP74" s="39" t="s">
        <v>152</v>
      </c>
      <c r="BQ74" s="27">
        <v>71</v>
      </c>
      <c r="BR74" s="39" t="s">
        <v>24</v>
      </c>
      <c r="BS74" s="41" t="s">
        <v>172</v>
      </c>
      <c r="BT74" s="27">
        <v>35</v>
      </c>
      <c r="BU74" s="44"/>
      <c r="BV74" s="45" t="s">
        <v>155</v>
      </c>
      <c r="BW74" s="39" t="s">
        <v>29</v>
      </c>
      <c r="BX74" s="39">
        <v>11</v>
      </c>
      <c r="BY74" s="39" t="s">
        <v>152</v>
      </c>
      <c r="BZ74" s="27">
        <v>71</v>
      </c>
      <c r="CA74" s="39" t="s">
        <v>44</v>
      </c>
      <c r="CB74" s="41" t="s">
        <v>189</v>
      </c>
      <c r="CC74" s="27"/>
      <c r="CD74" s="44"/>
      <c r="CE74" s="45" t="s">
        <v>155</v>
      </c>
      <c r="CF74" s="39" t="s">
        <v>29</v>
      </c>
      <c r="CG74" s="39">
        <v>11</v>
      </c>
      <c r="CH74" s="39" t="s">
        <v>152</v>
      </c>
      <c r="CI74" s="27">
        <v>71</v>
      </c>
      <c r="CJ74" s="39" t="s">
        <v>53</v>
      </c>
      <c r="CK74" s="41" t="s">
        <v>178</v>
      </c>
    </row>
    <row r="75" spans="1:89" x14ac:dyDescent="0.25">
      <c r="A75" s="47"/>
      <c r="B75" s="48" t="s">
        <v>151</v>
      </c>
      <c r="C75" s="49" t="s">
        <v>29</v>
      </c>
      <c r="D75" s="49">
        <v>12</v>
      </c>
      <c r="E75" s="49" t="s">
        <v>152</v>
      </c>
      <c r="F75" s="50">
        <v>72</v>
      </c>
      <c r="G75" s="49" t="s">
        <v>209</v>
      </c>
      <c r="H75" s="51" t="s">
        <v>174</v>
      </c>
      <c r="J75" s="47"/>
      <c r="K75" s="48" t="s">
        <v>155</v>
      </c>
      <c r="L75" s="49" t="s">
        <v>29</v>
      </c>
      <c r="M75" s="49">
        <v>12</v>
      </c>
      <c r="N75" s="49" t="s">
        <v>152</v>
      </c>
      <c r="O75" s="50">
        <v>72</v>
      </c>
      <c r="P75" s="49" t="s">
        <v>210</v>
      </c>
      <c r="Q75" s="51" t="s">
        <v>175</v>
      </c>
      <c r="S75" s="47"/>
      <c r="T75" s="48" t="s">
        <v>155</v>
      </c>
      <c r="U75" s="49" t="s">
        <v>29</v>
      </c>
      <c r="V75" s="49">
        <v>12</v>
      </c>
      <c r="W75" s="49" t="s">
        <v>152</v>
      </c>
      <c r="X75" s="50">
        <v>72</v>
      </c>
      <c r="Y75" s="49" t="s">
        <v>208</v>
      </c>
      <c r="Z75" s="51" t="s">
        <v>173</v>
      </c>
      <c r="AB75" s="47"/>
      <c r="AC75" s="48" t="s">
        <v>155</v>
      </c>
      <c r="AD75" s="49" t="s">
        <v>29</v>
      </c>
      <c r="AE75" s="49">
        <v>12</v>
      </c>
      <c r="AF75" s="49" t="s">
        <v>152</v>
      </c>
      <c r="AG75" s="50">
        <v>72</v>
      </c>
      <c r="AH75" s="49"/>
      <c r="AI75" s="51"/>
      <c r="AK75" s="52"/>
      <c r="AL75" s="53" t="s">
        <v>155</v>
      </c>
      <c r="AM75" s="54" t="s">
        <v>29</v>
      </c>
      <c r="AN75" s="54">
        <v>12</v>
      </c>
      <c r="AO75" s="54" t="s">
        <v>152</v>
      </c>
      <c r="AP75" s="55">
        <v>72</v>
      </c>
      <c r="AQ75" s="39" t="s">
        <v>20</v>
      </c>
      <c r="AR75" s="41" t="s">
        <v>178</v>
      </c>
      <c r="AS75" s="27"/>
      <c r="AT75" s="52"/>
      <c r="AU75" s="53" t="s">
        <v>155</v>
      </c>
      <c r="AV75" s="54" t="s">
        <v>29</v>
      </c>
      <c r="AW75" s="54">
        <v>12</v>
      </c>
      <c r="AX75" s="54" t="s">
        <v>152</v>
      </c>
      <c r="AY75" s="55">
        <v>72</v>
      </c>
      <c r="AZ75" s="39" t="s">
        <v>4</v>
      </c>
      <c r="BA75" s="41" t="s">
        <v>176</v>
      </c>
      <c r="BB75" s="27"/>
      <c r="BC75" s="52"/>
      <c r="BD75" s="53" t="s">
        <v>155</v>
      </c>
      <c r="BE75" s="54" t="s">
        <v>29</v>
      </c>
      <c r="BF75" s="54">
        <v>12</v>
      </c>
      <c r="BG75" s="54" t="s">
        <v>152</v>
      </c>
      <c r="BH75" s="55">
        <v>72</v>
      </c>
      <c r="BI75" s="64">
        <v>1030</v>
      </c>
      <c r="BJ75" s="41" t="s">
        <v>184</v>
      </c>
      <c r="BK75" s="27"/>
      <c r="BL75" s="52"/>
      <c r="BM75" s="53" t="s">
        <v>155</v>
      </c>
      <c r="BN75" s="54" t="s">
        <v>29</v>
      </c>
      <c r="BO75" s="54">
        <v>12</v>
      </c>
      <c r="BP75" s="54" t="s">
        <v>152</v>
      </c>
      <c r="BQ75" s="55">
        <v>72</v>
      </c>
      <c r="BR75" s="39" t="s">
        <v>24</v>
      </c>
      <c r="BS75" s="41" t="s">
        <v>162</v>
      </c>
      <c r="BT75" s="27">
        <v>36</v>
      </c>
      <c r="BU75" s="52"/>
      <c r="BV75" s="53" t="s">
        <v>155</v>
      </c>
      <c r="BW75" s="54" t="s">
        <v>29</v>
      </c>
      <c r="BX75" s="54">
        <v>12</v>
      </c>
      <c r="BY75" s="54" t="s">
        <v>152</v>
      </c>
      <c r="BZ75" s="55">
        <v>72</v>
      </c>
      <c r="CA75" s="39" t="s">
        <v>51</v>
      </c>
      <c r="CB75" s="40" t="s">
        <v>160</v>
      </c>
      <c r="CC75" s="27"/>
      <c r="CD75" s="52"/>
      <c r="CE75" s="53" t="s">
        <v>155</v>
      </c>
      <c r="CF75" s="54" t="s">
        <v>29</v>
      </c>
      <c r="CG75" s="54">
        <v>12</v>
      </c>
      <c r="CH75" s="54" t="s">
        <v>152</v>
      </c>
      <c r="CI75" s="55">
        <v>72</v>
      </c>
      <c r="CJ75" s="39" t="s">
        <v>53</v>
      </c>
      <c r="CK75" s="41" t="s">
        <v>163</v>
      </c>
    </row>
    <row r="76" spans="1:89" x14ac:dyDescent="0.25">
      <c r="A76" s="56"/>
      <c r="B76" s="57" t="s">
        <v>151</v>
      </c>
      <c r="C76" s="58" t="s">
        <v>34</v>
      </c>
      <c r="D76" s="58">
        <v>1</v>
      </c>
      <c r="E76" s="58" t="s">
        <v>152</v>
      </c>
      <c r="F76" s="59">
        <v>73</v>
      </c>
      <c r="G76" s="2" t="s">
        <v>211</v>
      </c>
      <c r="H76" s="43" t="s">
        <v>154</v>
      </c>
      <c r="J76" s="56"/>
      <c r="K76" s="34" t="s">
        <v>155</v>
      </c>
      <c r="L76" s="58" t="s">
        <v>34</v>
      </c>
      <c r="M76" s="58">
        <v>1</v>
      </c>
      <c r="N76" s="58" t="s">
        <v>152</v>
      </c>
      <c r="O76" s="59">
        <v>73</v>
      </c>
      <c r="P76" s="2" t="s">
        <v>210</v>
      </c>
      <c r="Q76" s="43" t="s">
        <v>157</v>
      </c>
      <c r="S76" s="56"/>
      <c r="T76" s="34" t="s">
        <v>155</v>
      </c>
      <c r="U76" s="58" t="s">
        <v>34</v>
      </c>
      <c r="V76" s="58">
        <v>1</v>
      </c>
      <c r="W76" s="58" t="s">
        <v>152</v>
      </c>
      <c r="X76" s="59">
        <v>73</v>
      </c>
      <c r="Y76" s="2" t="s">
        <v>208</v>
      </c>
      <c r="Z76" s="43" t="s">
        <v>159</v>
      </c>
      <c r="AB76" s="56"/>
      <c r="AC76" s="34" t="s">
        <v>155</v>
      </c>
      <c r="AD76" s="58" t="s">
        <v>34</v>
      </c>
      <c r="AE76" s="58">
        <v>1</v>
      </c>
      <c r="AF76" s="58" t="s">
        <v>152</v>
      </c>
      <c r="AG76" s="59">
        <v>73</v>
      </c>
      <c r="AH76" s="2"/>
      <c r="AI76" s="43"/>
      <c r="AK76" s="60"/>
      <c r="AL76" s="45" t="s">
        <v>155</v>
      </c>
      <c r="AM76" s="61" t="s">
        <v>34</v>
      </c>
      <c r="AN76" s="61">
        <v>1</v>
      </c>
      <c r="AO76" s="61" t="s">
        <v>152</v>
      </c>
      <c r="AP76" s="62">
        <v>73</v>
      </c>
      <c r="AQ76" s="39" t="s">
        <v>20</v>
      </c>
      <c r="AR76" s="41" t="s">
        <v>163</v>
      </c>
      <c r="AS76" s="27"/>
      <c r="AT76" s="60"/>
      <c r="AU76" s="45" t="s">
        <v>155</v>
      </c>
      <c r="AV76" s="61" t="s">
        <v>34</v>
      </c>
      <c r="AW76" s="61">
        <v>1</v>
      </c>
      <c r="AX76" s="61" t="s">
        <v>152</v>
      </c>
      <c r="AY76" s="62">
        <v>73</v>
      </c>
      <c r="AZ76" s="39" t="s">
        <v>4</v>
      </c>
      <c r="BA76" s="41" t="s">
        <v>164</v>
      </c>
      <c r="BB76" s="27"/>
      <c r="BC76" s="60"/>
      <c r="BD76" s="45" t="s">
        <v>155</v>
      </c>
      <c r="BE76" s="61" t="s">
        <v>34</v>
      </c>
      <c r="BF76" s="61">
        <v>1</v>
      </c>
      <c r="BG76" s="61" t="s">
        <v>152</v>
      </c>
      <c r="BH76" s="62">
        <v>73</v>
      </c>
      <c r="BI76" s="64">
        <v>1030</v>
      </c>
      <c r="BJ76" s="41" t="s">
        <v>187</v>
      </c>
      <c r="BK76" s="27"/>
      <c r="BL76" s="60"/>
      <c r="BM76" s="45" t="s">
        <v>155</v>
      </c>
      <c r="BN76" s="61" t="s">
        <v>34</v>
      </c>
      <c r="BO76" s="61">
        <v>1</v>
      </c>
      <c r="BP76" s="61" t="s">
        <v>152</v>
      </c>
      <c r="BQ76" s="62">
        <v>73</v>
      </c>
      <c r="BR76" s="39" t="s">
        <v>24</v>
      </c>
      <c r="BS76" s="41" t="s">
        <v>170</v>
      </c>
      <c r="BT76" s="27"/>
      <c r="BU76" s="60"/>
      <c r="BV76" s="45" t="s">
        <v>155</v>
      </c>
      <c r="BW76" s="61" t="s">
        <v>34</v>
      </c>
      <c r="BX76" s="61">
        <v>1</v>
      </c>
      <c r="BY76" s="61" t="s">
        <v>152</v>
      </c>
      <c r="BZ76" s="62">
        <v>73</v>
      </c>
      <c r="CA76" s="39" t="s">
        <v>51</v>
      </c>
      <c r="CB76" s="41" t="s">
        <v>168</v>
      </c>
      <c r="CC76" s="27"/>
      <c r="CD76" s="60"/>
      <c r="CE76" s="45" t="s">
        <v>155</v>
      </c>
      <c r="CF76" s="61" t="s">
        <v>34</v>
      </c>
      <c r="CG76" s="61">
        <v>1</v>
      </c>
      <c r="CH76" s="61" t="s">
        <v>152</v>
      </c>
      <c r="CI76" s="62">
        <v>73</v>
      </c>
      <c r="CJ76" s="39" t="s">
        <v>53</v>
      </c>
      <c r="CK76" s="41" t="s">
        <v>171</v>
      </c>
    </row>
    <row r="77" spans="1:89" ht="15.75" thickBot="1" x14ac:dyDescent="0.3">
      <c r="A77" s="42"/>
      <c r="B77" s="34" t="s">
        <v>151</v>
      </c>
      <c r="C77" s="10" t="s">
        <v>34</v>
      </c>
      <c r="D77" s="10">
        <v>2</v>
      </c>
      <c r="E77" s="10" t="s">
        <v>152</v>
      </c>
      <c r="F77">
        <v>74</v>
      </c>
      <c r="G77" s="2" t="s">
        <v>211</v>
      </c>
      <c r="H77" s="43" t="s">
        <v>165</v>
      </c>
      <c r="J77" s="42"/>
      <c r="K77" s="34" t="s">
        <v>155</v>
      </c>
      <c r="L77" s="10" t="s">
        <v>34</v>
      </c>
      <c r="M77" s="10">
        <v>2</v>
      </c>
      <c r="N77" s="10" t="s">
        <v>152</v>
      </c>
      <c r="O77">
        <v>74</v>
      </c>
      <c r="P77" s="2" t="s">
        <v>210</v>
      </c>
      <c r="Q77" s="43" t="s">
        <v>166</v>
      </c>
      <c r="S77" s="42"/>
      <c r="T77" s="34" t="s">
        <v>155</v>
      </c>
      <c r="U77" s="10" t="s">
        <v>34</v>
      </c>
      <c r="V77" s="10">
        <v>2</v>
      </c>
      <c r="W77" s="10" t="s">
        <v>152</v>
      </c>
      <c r="X77">
        <v>74</v>
      </c>
      <c r="Y77" s="2" t="s">
        <v>208</v>
      </c>
      <c r="Z77" s="43" t="s">
        <v>167</v>
      </c>
      <c r="AB77" s="42"/>
      <c r="AC77" s="34" t="s">
        <v>155</v>
      </c>
      <c r="AD77" s="10" t="s">
        <v>34</v>
      </c>
      <c r="AE77" s="10">
        <v>2</v>
      </c>
      <c r="AF77" s="10" t="s">
        <v>152</v>
      </c>
      <c r="AG77">
        <v>74</v>
      </c>
      <c r="AH77" s="2"/>
      <c r="AI77" s="43"/>
      <c r="AK77" s="44"/>
      <c r="AL77" s="45" t="s">
        <v>155</v>
      </c>
      <c r="AM77" s="39" t="s">
        <v>34</v>
      </c>
      <c r="AN77" s="39">
        <v>2</v>
      </c>
      <c r="AO77" s="39" t="s">
        <v>152</v>
      </c>
      <c r="AP77" s="27">
        <v>74</v>
      </c>
      <c r="AQ77" s="39" t="s">
        <v>20</v>
      </c>
      <c r="AR77" s="41" t="s">
        <v>171</v>
      </c>
      <c r="AS77" s="27"/>
      <c r="AT77" s="44"/>
      <c r="AU77" s="45" t="s">
        <v>155</v>
      </c>
      <c r="AV77" s="39" t="s">
        <v>34</v>
      </c>
      <c r="AW77" s="39">
        <v>2</v>
      </c>
      <c r="AX77" s="39" t="s">
        <v>152</v>
      </c>
      <c r="AY77" s="27">
        <v>74</v>
      </c>
      <c r="AZ77" s="39" t="s">
        <v>4</v>
      </c>
      <c r="BA77" s="41" t="s">
        <v>172</v>
      </c>
      <c r="BB77" s="27"/>
      <c r="BC77" s="44"/>
      <c r="BD77" s="45" t="s">
        <v>155</v>
      </c>
      <c r="BE77" s="39" t="s">
        <v>34</v>
      </c>
      <c r="BF77" s="39">
        <v>2</v>
      </c>
      <c r="BG77" s="39" t="s">
        <v>152</v>
      </c>
      <c r="BH77" s="27">
        <v>74</v>
      </c>
      <c r="BI77" s="64">
        <v>1030</v>
      </c>
      <c r="BJ77" s="41" t="s">
        <v>189</v>
      </c>
      <c r="BK77" s="27"/>
      <c r="BL77" s="44"/>
      <c r="BM77" s="45" t="s">
        <v>155</v>
      </c>
      <c r="BN77" s="39" t="s">
        <v>34</v>
      </c>
      <c r="BO77" s="39">
        <v>2</v>
      </c>
      <c r="BP77" s="39" t="s">
        <v>152</v>
      </c>
      <c r="BQ77" s="27">
        <v>74</v>
      </c>
      <c r="BR77" s="39" t="s">
        <v>24</v>
      </c>
      <c r="BS77" s="41" t="s">
        <v>178</v>
      </c>
      <c r="BT77" s="27"/>
      <c r="BU77" s="44"/>
      <c r="BV77" s="45" t="s">
        <v>155</v>
      </c>
      <c r="BW77" s="39" t="s">
        <v>34</v>
      </c>
      <c r="BX77" s="39">
        <v>2</v>
      </c>
      <c r="BY77" s="39" t="s">
        <v>152</v>
      </c>
      <c r="BZ77" s="27">
        <v>74</v>
      </c>
      <c r="CA77" s="39" t="s">
        <v>51</v>
      </c>
      <c r="CB77" s="41" t="s">
        <v>176</v>
      </c>
      <c r="CC77" s="27"/>
      <c r="CD77" s="44"/>
      <c r="CE77" s="45" t="s">
        <v>155</v>
      </c>
      <c r="CF77" s="39" t="s">
        <v>34</v>
      </c>
      <c r="CG77" s="39">
        <v>2</v>
      </c>
      <c r="CH77" s="39" t="s">
        <v>152</v>
      </c>
      <c r="CI77" s="27">
        <v>74</v>
      </c>
      <c r="CJ77" s="39" t="s">
        <v>53</v>
      </c>
      <c r="CK77" s="41" t="s">
        <v>161</v>
      </c>
    </row>
    <row r="78" spans="1:89" x14ac:dyDescent="0.25">
      <c r="A78" s="42"/>
      <c r="B78" s="34" t="s">
        <v>151</v>
      </c>
      <c r="C78" s="10" t="s">
        <v>34</v>
      </c>
      <c r="D78" s="10">
        <v>3</v>
      </c>
      <c r="E78" s="10" t="s">
        <v>152</v>
      </c>
      <c r="F78">
        <v>75</v>
      </c>
      <c r="G78" s="2" t="s">
        <v>211</v>
      </c>
      <c r="H78" s="43" t="s">
        <v>173</v>
      </c>
      <c r="J78" s="42"/>
      <c r="K78" s="34" t="s">
        <v>155</v>
      </c>
      <c r="L78" s="10" t="s">
        <v>34</v>
      </c>
      <c r="M78" s="10">
        <v>3</v>
      </c>
      <c r="N78" s="10" t="s">
        <v>152</v>
      </c>
      <c r="O78">
        <v>75</v>
      </c>
      <c r="P78" s="2" t="s">
        <v>210</v>
      </c>
      <c r="Q78" s="43" t="s">
        <v>174</v>
      </c>
      <c r="S78" s="42"/>
      <c r="T78" s="34" t="s">
        <v>155</v>
      </c>
      <c r="U78" s="10" t="s">
        <v>34</v>
      </c>
      <c r="V78" s="10">
        <v>3</v>
      </c>
      <c r="W78" s="10" t="s">
        <v>152</v>
      </c>
      <c r="X78">
        <v>75</v>
      </c>
      <c r="Y78" s="2" t="s">
        <v>208</v>
      </c>
      <c r="Z78" s="43" t="s">
        <v>175</v>
      </c>
      <c r="AB78" s="42"/>
      <c r="AC78" s="34" t="s">
        <v>155</v>
      </c>
      <c r="AD78" s="10" t="s">
        <v>34</v>
      </c>
      <c r="AE78" s="10">
        <v>3</v>
      </c>
      <c r="AF78" s="10" t="s">
        <v>152</v>
      </c>
      <c r="AG78">
        <v>75</v>
      </c>
      <c r="AH78" s="2"/>
      <c r="AI78" s="43"/>
      <c r="AK78" s="44"/>
      <c r="AL78" s="45" t="s">
        <v>155</v>
      </c>
      <c r="AM78" s="39" t="s">
        <v>34</v>
      </c>
      <c r="AN78" s="39">
        <v>3</v>
      </c>
      <c r="AO78" s="39" t="s">
        <v>152</v>
      </c>
      <c r="AP78" s="27">
        <v>75</v>
      </c>
      <c r="AQ78" s="39" t="s">
        <v>20</v>
      </c>
      <c r="AR78" s="41" t="s">
        <v>161</v>
      </c>
      <c r="AS78" s="27"/>
      <c r="AT78" s="44"/>
      <c r="AU78" s="45" t="s">
        <v>155</v>
      </c>
      <c r="AV78" s="39" t="s">
        <v>34</v>
      </c>
      <c r="AW78" s="39">
        <v>3</v>
      </c>
      <c r="AX78" s="39" t="s">
        <v>152</v>
      </c>
      <c r="AY78" s="27">
        <v>75</v>
      </c>
      <c r="AZ78" s="39" t="s">
        <v>4</v>
      </c>
      <c r="BA78" s="41" t="s">
        <v>162</v>
      </c>
      <c r="BB78" s="27"/>
      <c r="BC78" s="44"/>
      <c r="BD78" s="45" t="s">
        <v>155</v>
      </c>
      <c r="BE78" s="39" t="s">
        <v>34</v>
      </c>
      <c r="BF78" s="39">
        <v>3</v>
      </c>
      <c r="BG78" s="39" t="s">
        <v>152</v>
      </c>
      <c r="BH78" s="27">
        <v>75</v>
      </c>
      <c r="BI78" s="39">
        <v>1031</v>
      </c>
      <c r="BJ78" s="40" t="s">
        <v>160</v>
      </c>
      <c r="BK78" s="27"/>
      <c r="BL78" s="44"/>
      <c r="BM78" s="45" t="s">
        <v>155</v>
      </c>
      <c r="BN78" s="39" t="s">
        <v>34</v>
      </c>
      <c r="BO78" s="39">
        <v>3</v>
      </c>
      <c r="BP78" s="39" t="s">
        <v>152</v>
      </c>
      <c r="BQ78" s="27">
        <v>75</v>
      </c>
      <c r="BR78" s="39" t="s">
        <v>24</v>
      </c>
      <c r="BS78" s="41" t="s">
        <v>163</v>
      </c>
      <c r="BT78" s="27"/>
      <c r="BU78" s="44"/>
      <c r="BV78" s="45" t="s">
        <v>155</v>
      </c>
      <c r="BW78" s="39" t="s">
        <v>34</v>
      </c>
      <c r="BX78" s="39">
        <v>3</v>
      </c>
      <c r="BY78" s="39" t="s">
        <v>152</v>
      </c>
      <c r="BZ78" s="27">
        <v>75</v>
      </c>
      <c r="CA78" s="39" t="s">
        <v>51</v>
      </c>
      <c r="CB78" s="41" t="s">
        <v>164</v>
      </c>
      <c r="CC78" s="27"/>
      <c r="CD78" s="44"/>
      <c r="CE78" s="45" t="s">
        <v>155</v>
      </c>
      <c r="CF78" s="39" t="s">
        <v>34</v>
      </c>
      <c r="CG78" s="39">
        <v>3</v>
      </c>
      <c r="CH78" s="39" t="s">
        <v>152</v>
      </c>
      <c r="CI78" s="27">
        <v>75</v>
      </c>
      <c r="CJ78" s="39" t="s">
        <v>53</v>
      </c>
      <c r="CK78" s="46" t="s">
        <v>169</v>
      </c>
    </row>
    <row r="79" spans="1:89" x14ac:dyDescent="0.25">
      <c r="A79" s="42"/>
      <c r="B79" s="34" t="s">
        <v>151</v>
      </c>
      <c r="C79" s="10" t="s">
        <v>34</v>
      </c>
      <c r="D79" s="10">
        <v>4</v>
      </c>
      <c r="E79" s="10" t="s">
        <v>152</v>
      </c>
      <c r="F79">
        <v>76</v>
      </c>
      <c r="G79" s="2" t="s">
        <v>211</v>
      </c>
      <c r="H79" s="43" t="s">
        <v>159</v>
      </c>
      <c r="J79" s="42"/>
      <c r="K79" s="34" t="s">
        <v>155</v>
      </c>
      <c r="L79" s="10" t="s">
        <v>34</v>
      </c>
      <c r="M79" s="10">
        <v>4</v>
      </c>
      <c r="N79" s="10" t="s">
        <v>152</v>
      </c>
      <c r="O79">
        <v>76</v>
      </c>
      <c r="P79" s="2" t="s">
        <v>212</v>
      </c>
      <c r="Q79" s="43" t="s">
        <v>154</v>
      </c>
      <c r="S79" s="42"/>
      <c r="T79" s="34" t="s">
        <v>155</v>
      </c>
      <c r="U79" s="10" t="s">
        <v>34</v>
      </c>
      <c r="V79" s="10">
        <v>4</v>
      </c>
      <c r="W79" s="10" t="s">
        <v>152</v>
      </c>
      <c r="X79">
        <v>76</v>
      </c>
      <c r="Y79" s="2" t="s">
        <v>208</v>
      </c>
      <c r="Z79" s="43" t="s">
        <v>157</v>
      </c>
      <c r="AB79" s="42"/>
      <c r="AC79" s="34" t="s">
        <v>155</v>
      </c>
      <c r="AD79" s="10" t="s">
        <v>34</v>
      </c>
      <c r="AE79" s="10">
        <v>4</v>
      </c>
      <c r="AF79" s="10" t="s">
        <v>152</v>
      </c>
      <c r="AG79">
        <v>76</v>
      </c>
      <c r="AH79" s="2"/>
      <c r="AI79" s="43"/>
      <c r="AK79" s="44"/>
      <c r="AL79" s="45" t="s">
        <v>155</v>
      </c>
      <c r="AM79" s="39" t="s">
        <v>34</v>
      </c>
      <c r="AN79" s="39">
        <v>4</v>
      </c>
      <c r="AO79" s="39" t="s">
        <v>152</v>
      </c>
      <c r="AP79" s="27">
        <v>76</v>
      </c>
      <c r="AQ79" s="39" t="s">
        <v>20</v>
      </c>
      <c r="AR79" s="46" t="s">
        <v>169</v>
      </c>
      <c r="AS79" s="27"/>
      <c r="AT79" s="44"/>
      <c r="AU79" s="45" t="s">
        <v>155</v>
      </c>
      <c r="AV79" s="39" t="s">
        <v>34</v>
      </c>
      <c r="AW79" s="39">
        <v>4</v>
      </c>
      <c r="AX79" s="39" t="s">
        <v>152</v>
      </c>
      <c r="AY79" s="27">
        <v>76</v>
      </c>
      <c r="AZ79" s="39" t="s">
        <v>4</v>
      </c>
      <c r="BA79" s="41" t="s">
        <v>170</v>
      </c>
      <c r="BB79" s="27"/>
      <c r="BC79" s="44"/>
      <c r="BD79" s="45" t="s">
        <v>155</v>
      </c>
      <c r="BE79" s="39" t="s">
        <v>34</v>
      </c>
      <c r="BF79" s="39">
        <v>4</v>
      </c>
      <c r="BG79" s="39" t="s">
        <v>152</v>
      </c>
      <c r="BH79" s="27">
        <v>76</v>
      </c>
      <c r="BI79" s="39">
        <v>1031</v>
      </c>
      <c r="BJ79" s="41" t="s">
        <v>168</v>
      </c>
      <c r="BK79" s="27"/>
      <c r="BL79" s="44"/>
      <c r="BM79" s="45" t="s">
        <v>155</v>
      </c>
      <c r="BN79" s="39" t="s">
        <v>34</v>
      </c>
      <c r="BO79" s="39">
        <v>4</v>
      </c>
      <c r="BP79" s="39" t="s">
        <v>152</v>
      </c>
      <c r="BQ79" s="27">
        <v>76</v>
      </c>
      <c r="BR79" s="39" t="s">
        <v>24</v>
      </c>
      <c r="BS79" s="41" t="s">
        <v>171</v>
      </c>
      <c r="BT79" s="27">
        <v>36</v>
      </c>
      <c r="BU79" s="44"/>
      <c r="BV79" s="45" t="s">
        <v>155</v>
      </c>
      <c r="BW79" s="39" t="s">
        <v>34</v>
      </c>
      <c r="BX79" s="39">
        <v>4</v>
      </c>
      <c r="BY79" s="39" t="s">
        <v>152</v>
      </c>
      <c r="BZ79" s="27">
        <v>76</v>
      </c>
      <c r="CA79" s="39" t="s">
        <v>51</v>
      </c>
      <c r="CB79" s="41" t="s">
        <v>172</v>
      </c>
      <c r="CC79" s="27"/>
      <c r="CD79" s="44"/>
      <c r="CE79" s="45" t="s">
        <v>155</v>
      </c>
      <c r="CF79" s="39" t="s">
        <v>34</v>
      </c>
      <c r="CG79" s="39">
        <v>4</v>
      </c>
      <c r="CH79" s="39" t="s">
        <v>152</v>
      </c>
      <c r="CI79" s="27">
        <v>76</v>
      </c>
      <c r="CJ79" s="39" t="s">
        <v>53</v>
      </c>
      <c r="CK79" s="41" t="s">
        <v>177</v>
      </c>
    </row>
    <row r="80" spans="1:89" x14ac:dyDescent="0.25">
      <c r="A80" s="42"/>
      <c r="B80" s="34" t="s">
        <v>151</v>
      </c>
      <c r="C80" s="10" t="s">
        <v>34</v>
      </c>
      <c r="D80" s="10">
        <v>5</v>
      </c>
      <c r="E80" s="10" t="s">
        <v>152</v>
      </c>
      <c r="F80">
        <v>77</v>
      </c>
      <c r="G80" s="2" t="s">
        <v>211</v>
      </c>
      <c r="H80" s="43" t="s">
        <v>167</v>
      </c>
      <c r="J80" s="42"/>
      <c r="K80" s="34" t="s">
        <v>155</v>
      </c>
      <c r="L80" s="10" t="s">
        <v>34</v>
      </c>
      <c r="M80" s="10">
        <v>5</v>
      </c>
      <c r="N80" s="10" t="s">
        <v>152</v>
      </c>
      <c r="O80">
        <v>77</v>
      </c>
      <c r="P80" s="2" t="s">
        <v>212</v>
      </c>
      <c r="Q80" s="43" t="s">
        <v>165</v>
      </c>
      <c r="S80" s="42"/>
      <c r="T80" s="34" t="s">
        <v>155</v>
      </c>
      <c r="U80" s="10" t="s">
        <v>34</v>
      </c>
      <c r="V80" s="10">
        <v>5</v>
      </c>
      <c r="W80" s="10" t="s">
        <v>152</v>
      </c>
      <c r="X80">
        <v>77</v>
      </c>
      <c r="Y80" s="2" t="s">
        <v>208</v>
      </c>
      <c r="Z80" s="43" t="s">
        <v>166</v>
      </c>
      <c r="AB80" s="42"/>
      <c r="AC80" s="34" t="s">
        <v>155</v>
      </c>
      <c r="AD80" s="10" t="s">
        <v>34</v>
      </c>
      <c r="AE80" s="10">
        <v>5</v>
      </c>
      <c r="AF80" s="10" t="s">
        <v>152</v>
      </c>
      <c r="AG80">
        <v>77</v>
      </c>
      <c r="AH80" s="2"/>
      <c r="AI80" s="43"/>
      <c r="AK80" s="44"/>
      <c r="AL80" s="45" t="s">
        <v>155</v>
      </c>
      <c r="AM80" s="39" t="s">
        <v>34</v>
      </c>
      <c r="AN80" s="39">
        <v>5</v>
      </c>
      <c r="AO80" s="39" t="s">
        <v>152</v>
      </c>
      <c r="AP80" s="27">
        <v>77</v>
      </c>
      <c r="AQ80" s="39" t="s">
        <v>20</v>
      </c>
      <c r="AR80" s="41" t="s">
        <v>177</v>
      </c>
      <c r="AS80" s="27"/>
      <c r="AT80" s="44"/>
      <c r="AU80" s="45" t="s">
        <v>155</v>
      </c>
      <c r="AV80" s="39" t="s">
        <v>34</v>
      </c>
      <c r="AW80" s="39">
        <v>5</v>
      </c>
      <c r="AX80" s="39" t="s">
        <v>152</v>
      </c>
      <c r="AY80" s="27">
        <v>77</v>
      </c>
      <c r="AZ80" s="39" t="s">
        <v>4</v>
      </c>
      <c r="BA80" s="41" t="s">
        <v>178</v>
      </c>
      <c r="BB80" s="27"/>
      <c r="BC80" s="44"/>
      <c r="BD80" s="45" t="s">
        <v>155</v>
      </c>
      <c r="BE80" s="39" t="s">
        <v>34</v>
      </c>
      <c r="BF80" s="39">
        <v>5</v>
      </c>
      <c r="BG80" s="39" t="s">
        <v>152</v>
      </c>
      <c r="BH80" s="27">
        <v>77</v>
      </c>
      <c r="BI80" s="39">
        <v>1031</v>
      </c>
      <c r="BJ80" s="41" t="s">
        <v>176</v>
      </c>
      <c r="BK80" s="27"/>
      <c r="BL80" s="44"/>
      <c r="BM80" s="45" t="s">
        <v>155</v>
      </c>
      <c r="BN80" s="39" t="s">
        <v>34</v>
      </c>
      <c r="BO80" s="39">
        <v>5</v>
      </c>
      <c r="BP80" s="39" t="s">
        <v>152</v>
      </c>
      <c r="BQ80" s="27">
        <v>77</v>
      </c>
      <c r="BR80" s="39" t="s">
        <v>24</v>
      </c>
      <c r="BS80" s="41" t="s">
        <v>161</v>
      </c>
      <c r="BT80" s="27">
        <v>37</v>
      </c>
      <c r="BU80" s="44"/>
      <c r="BV80" s="45" t="s">
        <v>155</v>
      </c>
      <c r="BW80" s="39" t="s">
        <v>34</v>
      </c>
      <c r="BX80" s="39">
        <v>5</v>
      </c>
      <c r="BY80" s="39" t="s">
        <v>152</v>
      </c>
      <c r="BZ80" s="27">
        <v>77</v>
      </c>
      <c r="CA80" s="39" t="s">
        <v>51</v>
      </c>
      <c r="CB80" s="41" t="s">
        <v>162</v>
      </c>
      <c r="CC80" s="27"/>
      <c r="CD80" s="44"/>
      <c r="CE80" s="45" t="s">
        <v>155</v>
      </c>
      <c r="CF80" s="39" t="s">
        <v>34</v>
      </c>
      <c r="CG80" s="39">
        <v>5</v>
      </c>
      <c r="CH80" s="39" t="s">
        <v>152</v>
      </c>
      <c r="CI80" s="27">
        <v>77</v>
      </c>
      <c r="CJ80" s="39" t="s">
        <v>53</v>
      </c>
      <c r="CK80" s="41" t="s">
        <v>180</v>
      </c>
    </row>
    <row r="81" spans="1:89" x14ac:dyDescent="0.25">
      <c r="A81" s="42"/>
      <c r="B81" s="34" t="s">
        <v>151</v>
      </c>
      <c r="C81" s="10" t="s">
        <v>34</v>
      </c>
      <c r="D81" s="10">
        <v>6</v>
      </c>
      <c r="E81" s="10" t="s">
        <v>152</v>
      </c>
      <c r="F81">
        <v>78</v>
      </c>
      <c r="G81" s="2" t="s">
        <v>211</v>
      </c>
      <c r="H81" s="43" t="s">
        <v>175</v>
      </c>
      <c r="J81" s="42"/>
      <c r="K81" s="34" t="s">
        <v>155</v>
      </c>
      <c r="L81" s="10" t="s">
        <v>34</v>
      </c>
      <c r="M81" s="10">
        <v>6</v>
      </c>
      <c r="N81" s="10" t="s">
        <v>152</v>
      </c>
      <c r="O81">
        <v>78</v>
      </c>
      <c r="P81" s="2" t="s">
        <v>212</v>
      </c>
      <c r="Q81" s="43" t="s">
        <v>173</v>
      </c>
      <c r="S81" s="42"/>
      <c r="T81" s="34" t="s">
        <v>155</v>
      </c>
      <c r="U81" s="10" t="s">
        <v>34</v>
      </c>
      <c r="V81" s="10">
        <v>6</v>
      </c>
      <c r="W81" s="10" t="s">
        <v>152</v>
      </c>
      <c r="X81">
        <v>78</v>
      </c>
      <c r="Y81" s="2" t="s">
        <v>208</v>
      </c>
      <c r="Z81" s="43" t="s">
        <v>174</v>
      </c>
      <c r="AB81" s="42"/>
      <c r="AC81" s="34" t="s">
        <v>155</v>
      </c>
      <c r="AD81" s="10" t="s">
        <v>34</v>
      </c>
      <c r="AE81" s="10">
        <v>6</v>
      </c>
      <c r="AF81" s="10" t="s">
        <v>152</v>
      </c>
      <c r="AG81">
        <v>78</v>
      </c>
      <c r="AH81" s="2"/>
      <c r="AI81" s="43"/>
      <c r="AK81" s="44"/>
      <c r="AL81" s="45" t="s">
        <v>155</v>
      </c>
      <c r="AM81" s="39" t="s">
        <v>34</v>
      </c>
      <c r="AN81" s="39">
        <v>6</v>
      </c>
      <c r="AO81" s="39" t="s">
        <v>152</v>
      </c>
      <c r="AP81" s="27">
        <v>78</v>
      </c>
      <c r="AQ81" s="39" t="s">
        <v>20</v>
      </c>
      <c r="AR81" s="41" t="s">
        <v>180</v>
      </c>
      <c r="AS81" s="27"/>
      <c r="AT81" s="44"/>
      <c r="AU81" s="45" t="s">
        <v>155</v>
      </c>
      <c r="AV81" s="39" t="s">
        <v>34</v>
      </c>
      <c r="AW81" s="39">
        <v>6</v>
      </c>
      <c r="AX81" s="39" t="s">
        <v>152</v>
      </c>
      <c r="AY81" s="27">
        <v>78</v>
      </c>
      <c r="AZ81" s="39" t="s">
        <v>4</v>
      </c>
      <c r="BA81" s="41" t="s">
        <v>163</v>
      </c>
      <c r="BB81" s="27"/>
      <c r="BC81" s="44"/>
      <c r="BD81" s="45" t="s">
        <v>155</v>
      </c>
      <c r="BE81" s="39" t="s">
        <v>34</v>
      </c>
      <c r="BF81" s="39">
        <v>6</v>
      </c>
      <c r="BG81" s="39" t="s">
        <v>152</v>
      </c>
      <c r="BH81" s="27">
        <v>78</v>
      </c>
      <c r="BI81" s="39">
        <v>1031</v>
      </c>
      <c r="BJ81" s="41" t="s">
        <v>164</v>
      </c>
      <c r="BK81" s="27"/>
      <c r="BL81" s="44"/>
      <c r="BM81" s="45" t="s">
        <v>155</v>
      </c>
      <c r="BN81" s="39" t="s">
        <v>34</v>
      </c>
      <c r="BO81" s="39">
        <v>6</v>
      </c>
      <c r="BP81" s="39" t="s">
        <v>152</v>
      </c>
      <c r="BQ81" s="27">
        <v>78</v>
      </c>
      <c r="BR81" s="39" t="s">
        <v>24</v>
      </c>
      <c r="BS81" s="46" t="s">
        <v>169</v>
      </c>
      <c r="BT81" s="77">
        <v>43680</v>
      </c>
      <c r="BU81" s="44"/>
      <c r="BV81" s="45" t="s">
        <v>155</v>
      </c>
      <c r="BW81" s="39" t="s">
        <v>34</v>
      </c>
      <c r="BX81" s="39">
        <v>6</v>
      </c>
      <c r="BY81" s="39" t="s">
        <v>152</v>
      </c>
      <c r="BZ81" s="27">
        <v>78</v>
      </c>
      <c r="CA81" s="39" t="s">
        <v>51</v>
      </c>
      <c r="CB81" s="41" t="s">
        <v>170</v>
      </c>
      <c r="CC81" s="27"/>
      <c r="CD81" s="44"/>
      <c r="CE81" s="45" t="s">
        <v>155</v>
      </c>
      <c r="CF81" s="39" t="s">
        <v>34</v>
      </c>
      <c r="CG81" s="39">
        <v>6</v>
      </c>
      <c r="CH81" s="39" t="s">
        <v>152</v>
      </c>
      <c r="CI81" s="27">
        <v>78</v>
      </c>
      <c r="CJ81" s="39" t="s">
        <v>53</v>
      </c>
      <c r="CK81" s="41" t="s">
        <v>181</v>
      </c>
    </row>
    <row r="82" spans="1:89" x14ac:dyDescent="0.25">
      <c r="A82" s="42"/>
      <c r="B82" s="34" t="s">
        <v>151</v>
      </c>
      <c r="C82" s="10" t="s">
        <v>34</v>
      </c>
      <c r="D82" s="10">
        <v>7</v>
      </c>
      <c r="E82" s="10" t="s">
        <v>152</v>
      </c>
      <c r="F82">
        <v>79</v>
      </c>
      <c r="G82" s="2" t="s">
        <v>211</v>
      </c>
      <c r="H82" s="43" t="s">
        <v>157</v>
      </c>
      <c r="J82" s="42"/>
      <c r="K82" s="34" t="s">
        <v>155</v>
      </c>
      <c r="L82" s="10" t="s">
        <v>34</v>
      </c>
      <c r="M82" s="10">
        <v>7</v>
      </c>
      <c r="N82" s="10" t="s">
        <v>152</v>
      </c>
      <c r="O82">
        <v>79</v>
      </c>
      <c r="P82" s="2" t="s">
        <v>212</v>
      </c>
      <c r="Q82" s="43" t="s">
        <v>159</v>
      </c>
      <c r="S82" s="42"/>
      <c r="T82" s="34" t="s">
        <v>155</v>
      </c>
      <c r="U82" s="10" t="s">
        <v>34</v>
      </c>
      <c r="V82" s="10">
        <v>7</v>
      </c>
      <c r="W82" s="10" t="s">
        <v>152</v>
      </c>
      <c r="X82">
        <v>79</v>
      </c>
      <c r="Y82" s="2"/>
      <c r="Z82" s="43"/>
      <c r="AB82" s="42"/>
      <c r="AC82" s="34" t="s">
        <v>155</v>
      </c>
      <c r="AD82" s="10" t="s">
        <v>34</v>
      </c>
      <c r="AE82" s="10">
        <v>7</v>
      </c>
      <c r="AF82" s="10" t="s">
        <v>152</v>
      </c>
      <c r="AG82">
        <v>79</v>
      </c>
      <c r="AH82" s="2"/>
      <c r="AI82" s="43"/>
      <c r="AK82" s="44"/>
      <c r="AL82" s="45" t="s">
        <v>155</v>
      </c>
      <c r="AM82" s="39" t="s">
        <v>34</v>
      </c>
      <c r="AN82" s="39">
        <v>7</v>
      </c>
      <c r="AO82" s="39" t="s">
        <v>152</v>
      </c>
      <c r="AP82" s="27">
        <v>79</v>
      </c>
      <c r="AQ82" s="39" t="s">
        <v>20</v>
      </c>
      <c r="AR82" s="41" t="s">
        <v>181</v>
      </c>
      <c r="AS82" s="27"/>
      <c r="AT82" s="44"/>
      <c r="AU82" s="45" t="s">
        <v>155</v>
      </c>
      <c r="AV82" s="39" t="s">
        <v>34</v>
      </c>
      <c r="AW82" s="39">
        <v>7</v>
      </c>
      <c r="AX82" s="39" t="s">
        <v>152</v>
      </c>
      <c r="AY82" s="27">
        <v>79</v>
      </c>
      <c r="AZ82" s="39" t="s">
        <v>4</v>
      </c>
      <c r="BA82" s="41" t="s">
        <v>171</v>
      </c>
      <c r="BB82" s="27"/>
      <c r="BC82" s="44"/>
      <c r="BD82" s="45" t="s">
        <v>155</v>
      </c>
      <c r="BE82" s="39" t="s">
        <v>34</v>
      </c>
      <c r="BF82" s="39">
        <v>7</v>
      </c>
      <c r="BG82" s="39" t="s">
        <v>152</v>
      </c>
      <c r="BH82" s="27">
        <v>79</v>
      </c>
      <c r="BI82" s="39">
        <v>1031</v>
      </c>
      <c r="BJ82" s="41" t="s">
        <v>172</v>
      </c>
      <c r="BK82" s="27"/>
      <c r="BL82" s="44"/>
      <c r="BM82" s="45" t="s">
        <v>155</v>
      </c>
      <c r="BN82" s="39" t="s">
        <v>34</v>
      </c>
      <c r="BO82" s="39">
        <v>7</v>
      </c>
      <c r="BP82" s="39" t="s">
        <v>152</v>
      </c>
      <c r="BQ82" s="27">
        <v>79</v>
      </c>
      <c r="BR82" s="39" t="s">
        <v>24</v>
      </c>
      <c r="BS82" s="41" t="s">
        <v>177</v>
      </c>
      <c r="BT82" s="27">
        <v>39</v>
      </c>
      <c r="BU82" s="44"/>
      <c r="BV82" s="45" t="s">
        <v>155</v>
      </c>
      <c r="BW82" s="39" t="s">
        <v>34</v>
      </c>
      <c r="BX82" s="39">
        <v>7</v>
      </c>
      <c r="BY82" s="39" t="s">
        <v>152</v>
      </c>
      <c r="BZ82" s="27">
        <v>79</v>
      </c>
      <c r="CA82" s="39" t="s">
        <v>51</v>
      </c>
      <c r="CB82" s="41" t="s">
        <v>178</v>
      </c>
      <c r="CC82" s="27"/>
      <c r="CD82" s="44"/>
      <c r="CE82" s="45" t="s">
        <v>155</v>
      </c>
      <c r="CF82" s="39" t="s">
        <v>34</v>
      </c>
      <c r="CG82" s="39">
        <v>7</v>
      </c>
      <c r="CH82" s="39" t="s">
        <v>152</v>
      </c>
      <c r="CI82" s="27">
        <v>79</v>
      </c>
      <c r="CJ82" s="39" t="s">
        <v>53</v>
      </c>
      <c r="CK82" s="41" t="s">
        <v>183</v>
      </c>
    </row>
    <row r="83" spans="1:89" x14ac:dyDescent="0.25">
      <c r="A83" s="42"/>
      <c r="B83" s="34" t="s">
        <v>151</v>
      </c>
      <c r="C83" s="10" t="s">
        <v>34</v>
      </c>
      <c r="D83" s="10">
        <v>8</v>
      </c>
      <c r="E83" s="10" t="s">
        <v>152</v>
      </c>
      <c r="F83">
        <v>80</v>
      </c>
      <c r="G83" s="2" t="s">
        <v>211</v>
      </c>
      <c r="H83" s="43" t="s">
        <v>166</v>
      </c>
      <c r="J83" s="42"/>
      <c r="K83" s="34" t="s">
        <v>155</v>
      </c>
      <c r="L83" s="10" t="s">
        <v>34</v>
      </c>
      <c r="M83" s="10">
        <v>8</v>
      </c>
      <c r="N83" s="10" t="s">
        <v>152</v>
      </c>
      <c r="O83">
        <v>80</v>
      </c>
      <c r="P83" s="2" t="s">
        <v>212</v>
      </c>
      <c r="Q83" s="43" t="s">
        <v>167</v>
      </c>
      <c r="S83" s="42"/>
      <c r="T83" s="34" t="s">
        <v>155</v>
      </c>
      <c r="U83" s="10" t="s">
        <v>34</v>
      </c>
      <c r="V83" s="10">
        <v>8</v>
      </c>
      <c r="W83" s="10" t="s">
        <v>152</v>
      </c>
      <c r="X83">
        <v>80</v>
      </c>
      <c r="Y83" s="2"/>
      <c r="Z83" s="43"/>
      <c r="AB83" s="42"/>
      <c r="AC83" s="34" t="s">
        <v>155</v>
      </c>
      <c r="AD83" s="10" t="s">
        <v>34</v>
      </c>
      <c r="AE83" s="10">
        <v>8</v>
      </c>
      <c r="AF83" s="10" t="s">
        <v>152</v>
      </c>
      <c r="AG83">
        <v>80</v>
      </c>
      <c r="AH83" s="2"/>
      <c r="AI83" s="43"/>
      <c r="AK83" s="44"/>
      <c r="AL83" s="45" t="s">
        <v>155</v>
      </c>
      <c r="AM83" s="39" t="s">
        <v>34</v>
      </c>
      <c r="AN83" s="39">
        <v>8</v>
      </c>
      <c r="AO83" s="39" t="s">
        <v>152</v>
      </c>
      <c r="AP83" s="27">
        <v>80</v>
      </c>
      <c r="AQ83" s="39" t="s">
        <v>20</v>
      </c>
      <c r="AR83" s="41" t="s">
        <v>183</v>
      </c>
      <c r="AS83" s="27"/>
      <c r="AT83" s="44"/>
      <c r="AU83" s="45" t="s">
        <v>155</v>
      </c>
      <c r="AV83" s="39" t="s">
        <v>34</v>
      </c>
      <c r="AW83" s="39">
        <v>8</v>
      </c>
      <c r="AX83" s="39" t="s">
        <v>152</v>
      </c>
      <c r="AY83" s="27">
        <v>80</v>
      </c>
      <c r="AZ83" s="39" t="s">
        <v>4</v>
      </c>
      <c r="BA83" s="41" t="s">
        <v>161</v>
      </c>
      <c r="BB83" s="27"/>
      <c r="BC83" s="44"/>
      <c r="BD83" s="45" t="s">
        <v>155</v>
      </c>
      <c r="BE83" s="39" t="s">
        <v>34</v>
      </c>
      <c r="BF83" s="39">
        <v>8</v>
      </c>
      <c r="BG83" s="39" t="s">
        <v>152</v>
      </c>
      <c r="BH83" s="27">
        <v>80</v>
      </c>
      <c r="BI83" s="39">
        <v>1031</v>
      </c>
      <c r="BJ83" s="41" t="s">
        <v>162</v>
      </c>
      <c r="BK83" s="27"/>
      <c r="BL83" s="44"/>
      <c r="BM83" s="45" t="s">
        <v>155</v>
      </c>
      <c r="BN83" s="39" t="s">
        <v>34</v>
      </c>
      <c r="BO83" s="39">
        <v>8</v>
      </c>
      <c r="BP83" s="39" t="s">
        <v>152</v>
      </c>
      <c r="BQ83" s="27">
        <v>80</v>
      </c>
      <c r="BR83" s="39" t="s">
        <v>24</v>
      </c>
      <c r="BS83" s="41" t="s">
        <v>180</v>
      </c>
      <c r="BT83" s="27">
        <v>40</v>
      </c>
      <c r="BU83" s="44"/>
      <c r="BV83" s="45" t="s">
        <v>155</v>
      </c>
      <c r="BW83" s="39" t="s">
        <v>34</v>
      </c>
      <c r="BX83" s="39">
        <v>8</v>
      </c>
      <c r="BY83" s="39" t="s">
        <v>152</v>
      </c>
      <c r="BZ83" s="27">
        <v>80</v>
      </c>
      <c r="CA83" s="39" t="s">
        <v>51</v>
      </c>
      <c r="CB83" s="41" t="s">
        <v>163</v>
      </c>
      <c r="CC83" s="27"/>
      <c r="CD83" s="44"/>
      <c r="CE83" s="45" t="s">
        <v>155</v>
      </c>
      <c r="CF83" s="39" t="s">
        <v>34</v>
      </c>
      <c r="CG83" s="39">
        <v>8</v>
      </c>
      <c r="CH83" s="39" t="s">
        <v>152</v>
      </c>
      <c r="CI83" s="27">
        <v>80</v>
      </c>
      <c r="CJ83" s="39" t="s">
        <v>53</v>
      </c>
      <c r="CK83" s="41" t="s">
        <v>186</v>
      </c>
    </row>
    <row r="84" spans="1:89" x14ac:dyDescent="0.25">
      <c r="A84" s="42"/>
      <c r="B84" s="34" t="s">
        <v>151</v>
      </c>
      <c r="C84" s="10" t="s">
        <v>34</v>
      </c>
      <c r="D84" s="10">
        <v>9</v>
      </c>
      <c r="E84" s="10" t="s">
        <v>152</v>
      </c>
      <c r="F84">
        <v>81</v>
      </c>
      <c r="G84" s="2" t="s">
        <v>211</v>
      </c>
      <c r="H84" s="43" t="s">
        <v>174</v>
      </c>
      <c r="J84" s="42"/>
      <c r="K84" s="34" t="s">
        <v>155</v>
      </c>
      <c r="L84" s="10" t="s">
        <v>34</v>
      </c>
      <c r="M84" s="10">
        <v>9</v>
      </c>
      <c r="N84" s="10" t="s">
        <v>152</v>
      </c>
      <c r="O84">
        <v>81</v>
      </c>
      <c r="P84" s="2" t="s">
        <v>212</v>
      </c>
      <c r="Q84" s="43" t="s">
        <v>175</v>
      </c>
      <c r="S84" s="42"/>
      <c r="T84" s="34" t="s">
        <v>155</v>
      </c>
      <c r="U84" s="10" t="s">
        <v>34</v>
      </c>
      <c r="V84" s="10">
        <v>9</v>
      </c>
      <c r="W84" s="10" t="s">
        <v>152</v>
      </c>
      <c r="X84">
        <v>81</v>
      </c>
      <c r="Y84" s="2"/>
      <c r="Z84" s="43"/>
      <c r="AB84" s="42"/>
      <c r="AC84" s="34" t="s">
        <v>155</v>
      </c>
      <c r="AD84" s="10" t="s">
        <v>34</v>
      </c>
      <c r="AE84" s="10">
        <v>9</v>
      </c>
      <c r="AF84" s="10" t="s">
        <v>152</v>
      </c>
      <c r="AG84">
        <v>81</v>
      </c>
      <c r="AH84" s="2"/>
      <c r="AI84" s="43"/>
      <c r="AK84" s="44"/>
      <c r="AL84" s="45" t="s">
        <v>155</v>
      </c>
      <c r="AM84" s="39" t="s">
        <v>34</v>
      </c>
      <c r="AN84" s="39">
        <v>9</v>
      </c>
      <c r="AO84" s="39" t="s">
        <v>152</v>
      </c>
      <c r="AP84" s="27">
        <v>81</v>
      </c>
      <c r="AQ84" s="39" t="s">
        <v>20</v>
      </c>
      <c r="AR84" s="41" t="s">
        <v>186</v>
      </c>
      <c r="AS84" s="27"/>
      <c r="AT84" s="44"/>
      <c r="AU84" s="45" t="s">
        <v>155</v>
      </c>
      <c r="AV84" s="39" t="s">
        <v>34</v>
      </c>
      <c r="AW84" s="39">
        <v>9</v>
      </c>
      <c r="AX84" s="39" t="s">
        <v>152</v>
      </c>
      <c r="AY84" s="27">
        <v>81</v>
      </c>
      <c r="AZ84" s="39" t="s">
        <v>4</v>
      </c>
      <c r="BA84" s="46" t="s">
        <v>169</v>
      </c>
      <c r="BB84" s="27"/>
      <c r="BC84" s="44"/>
      <c r="BD84" s="45" t="s">
        <v>155</v>
      </c>
      <c r="BE84" s="39" t="s">
        <v>34</v>
      </c>
      <c r="BF84" s="39">
        <v>9</v>
      </c>
      <c r="BG84" s="39" t="s">
        <v>152</v>
      </c>
      <c r="BH84" s="27">
        <v>81</v>
      </c>
      <c r="BI84" s="39">
        <v>1031</v>
      </c>
      <c r="BJ84" s="41" t="s">
        <v>170</v>
      </c>
      <c r="BK84" s="27"/>
      <c r="BL84" s="44"/>
      <c r="BM84" s="45" t="s">
        <v>155</v>
      </c>
      <c r="BN84" s="39" t="s">
        <v>34</v>
      </c>
      <c r="BO84" s="39">
        <v>9</v>
      </c>
      <c r="BP84" s="39" t="s">
        <v>152</v>
      </c>
      <c r="BQ84" s="27">
        <v>81</v>
      </c>
      <c r="BR84" s="39" t="s">
        <v>24</v>
      </c>
      <c r="BS84" s="41" t="s">
        <v>181</v>
      </c>
      <c r="BT84" s="27"/>
      <c r="BU84" s="44"/>
      <c r="BV84" s="45" t="s">
        <v>155</v>
      </c>
      <c r="BW84" s="39" t="s">
        <v>34</v>
      </c>
      <c r="BX84" s="39">
        <v>9</v>
      </c>
      <c r="BY84" s="39" t="s">
        <v>152</v>
      </c>
      <c r="BZ84" s="27">
        <v>81</v>
      </c>
      <c r="CA84" s="39" t="s">
        <v>51</v>
      </c>
      <c r="CB84" s="41" t="s">
        <v>171</v>
      </c>
      <c r="CC84" s="27"/>
      <c r="CD84" s="44"/>
      <c r="CE84" s="45" t="s">
        <v>155</v>
      </c>
      <c r="CF84" s="39" t="s">
        <v>34</v>
      </c>
      <c r="CG84" s="39">
        <v>9</v>
      </c>
      <c r="CH84" s="39" t="s">
        <v>152</v>
      </c>
      <c r="CI84" s="27">
        <v>81</v>
      </c>
      <c r="CJ84" s="39" t="s">
        <v>53</v>
      </c>
      <c r="CK84" s="41" t="s">
        <v>188</v>
      </c>
    </row>
    <row r="85" spans="1:89" x14ac:dyDescent="0.25">
      <c r="A85" s="42"/>
      <c r="B85" s="34" t="s">
        <v>151</v>
      </c>
      <c r="C85" s="10" t="s">
        <v>34</v>
      </c>
      <c r="D85" s="10">
        <v>10</v>
      </c>
      <c r="E85" s="10" t="s">
        <v>152</v>
      </c>
      <c r="F85">
        <v>82</v>
      </c>
      <c r="G85" s="10" t="s">
        <v>213</v>
      </c>
      <c r="H85" s="43" t="s">
        <v>154</v>
      </c>
      <c r="J85" s="42"/>
      <c r="K85" s="34" t="s">
        <v>155</v>
      </c>
      <c r="L85" s="10" t="s">
        <v>34</v>
      </c>
      <c r="M85" s="10">
        <v>10</v>
      </c>
      <c r="N85" s="10" t="s">
        <v>152</v>
      </c>
      <c r="O85">
        <v>82</v>
      </c>
      <c r="P85" s="10" t="s">
        <v>212</v>
      </c>
      <c r="Q85" s="43" t="s">
        <v>157</v>
      </c>
      <c r="S85" s="42"/>
      <c r="T85" s="34" t="s">
        <v>155</v>
      </c>
      <c r="U85" s="10" t="s">
        <v>34</v>
      </c>
      <c r="V85" s="10">
        <v>10</v>
      </c>
      <c r="W85" s="10" t="s">
        <v>152</v>
      </c>
      <c r="X85">
        <v>82</v>
      </c>
      <c r="Y85" s="10"/>
      <c r="Z85" s="43"/>
      <c r="AB85" s="42"/>
      <c r="AC85" s="34" t="s">
        <v>155</v>
      </c>
      <c r="AD85" s="10" t="s">
        <v>34</v>
      </c>
      <c r="AE85" s="10">
        <v>10</v>
      </c>
      <c r="AF85" s="10" t="s">
        <v>152</v>
      </c>
      <c r="AG85">
        <v>82</v>
      </c>
      <c r="AH85" s="10"/>
      <c r="AI85" s="43"/>
      <c r="AK85" s="44"/>
      <c r="AL85" s="45" t="s">
        <v>155</v>
      </c>
      <c r="AM85" s="39" t="s">
        <v>34</v>
      </c>
      <c r="AN85" s="39">
        <v>10</v>
      </c>
      <c r="AO85" s="39" t="s">
        <v>152</v>
      </c>
      <c r="AP85" s="27">
        <v>82</v>
      </c>
      <c r="AQ85" s="39" t="s">
        <v>20</v>
      </c>
      <c r="AR85" s="41" t="s">
        <v>188</v>
      </c>
      <c r="AS85" s="27"/>
      <c r="AT85" s="44"/>
      <c r="AU85" s="45" t="s">
        <v>155</v>
      </c>
      <c r="AV85" s="39" t="s">
        <v>34</v>
      </c>
      <c r="AW85" s="39">
        <v>10</v>
      </c>
      <c r="AX85" s="39" t="s">
        <v>152</v>
      </c>
      <c r="AY85" s="27">
        <v>82</v>
      </c>
      <c r="AZ85" s="39" t="s">
        <v>4</v>
      </c>
      <c r="BA85" s="41" t="s">
        <v>177</v>
      </c>
      <c r="BB85" s="27"/>
      <c r="BC85" s="44"/>
      <c r="BD85" s="45" t="s">
        <v>155</v>
      </c>
      <c r="BE85" s="39" t="s">
        <v>34</v>
      </c>
      <c r="BF85" s="39">
        <v>10</v>
      </c>
      <c r="BG85" s="39" t="s">
        <v>152</v>
      </c>
      <c r="BH85" s="27">
        <v>82</v>
      </c>
      <c r="BI85" s="39">
        <v>1031</v>
      </c>
      <c r="BJ85" s="41" t="s">
        <v>178</v>
      </c>
      <c r="BK85" s="27"/>
      <c r="BL85" s="44"/>
      <c r="BM85" s="45" t="s">
        <v>155</v>
      </c>
      <c r="BN85" s="39" t="s">
        <v>34</v>
      </c>
      <c r="BO85" s="39">
        <v>10</v>
      </c>
      <c r="BP85" s="39" t="s">
        <v>152</v>
      </c>
      <c r="BQ85" s="27">
        <v>82</v>
      </c>
      <c r="BR85" s="39" t="s">
        <v>24</v>
      </c>
      <c r="BS85" s="41" t="s">
        <v>183</v>
      </c>
      <c r="BT85" s="27"/>
      <c r="BU85" s="44"/>
      <c r="BV85" s="45" t="s">
        <v>155</v>
      </c>
      <c r="BW85" s="39" t="s">
        <v>34</v>
      </c>
      <c r="BX85" s="39">
        <v>10</v>
      </c>
      <c r="BY85" s="39" t="s">
        <v>152</v>
      </c>
      <c r="BZ85" s="27">
        <v>82</v>
      </c>
      <c r="CA85" s="39" t="s">
        <v>51</v>
      </c>
      <c r="CB85" s="41" t="s">
        <v>161</v>
      </c>
      <c r="CC85" s="27"/>
      <c r="CD85" s="44"/>
      <c r="CE85" s="45" t="s">
        <v>155</v>
      </c>
      <c r="CF85" s="39" t="s">
        <v>34</v>
      </c>
      <c r="CG85" s="39">
        <v>10</v>
      </c>
      <c r="CH85" s="39" t="s">
        <v>152</v>
      </c>
      <c r="CI85" s="27">
        <v>82</v>
      </c>
      <c r="CJ85" s="39" t="s">
        <v>53</v>
      </c>
      <c r="CK85" s="41" t="s">
        <v>182</v>
      </c>
    </row>
    <row r="86" spans="1:89" x14ac:dyDescent="0.25">
      <c r="A86" s="42"/>
      <c r="B86" s="34" t="s">
        <v>151</v>
      </c>
      <c r="C86" s="10" t="s">
        <v>34</v>
      </c>
      <c r="D86" s="10">
        <v>11</v>
      </c>
      <c r="E86" s="10" t="s">
        <v>152</v>
      </c>
      <c r="F86">
        <v>83</v>
      </c>
      <c r="G86" s="10" t="s">
        <v>213</v>
      </c>
      <c r="H86" s="43" t="s">
        <v>165</v>
      </c>
      <c r="J86" s="42"/>
      <c r="K86" s="34" t="s">
        <v>155</v>
      </c>
      <c r="L86" s="10" t="s">
        <v>34</v>
      </c>
      <c r="M86" s="10">
        <v>11</v>
      </c>
      <c r="N86" s="10" t="s">
        <v>152</v>
      </c>
      <c r="O86">
        <v>83</v>
      </c>
      <c r="P86" s="10" t="s">
        <v>212</v>
      </c>
      <c r="Q86" s="43" t="s">
        <v>166</v>
      </c>
      <c r="S86" s="42"/>
      <c r="T86" s="34" t="s">
        <v>155</v>
      </c>
      <c r="U86" s="10" t="s">
        <v>34</v>
      </c>
      <c r="V86" s="10">
        <v>11</v>
      </c>
      <c r="W86" s="10" t="s">
        <v>152</v>
      </c>
      <c r="X86">
        <v>83</v>
      </c>
      <c r="Y86" s="10"/>
      <c r="Z86" s="43"/>
      <c r="AB86" s="42"/>
      <c r="AC86" s="34" t="s">
        <v>155</v>
      </c>
      <c r="AD86" s="10" t="s">
        <v>34</v>
      </c>
      <c r="AE86" s="10">
        <v>11</v>
      </c>
      <c r="AF86" s="10" t="s">
        <v>152</v>
      </c>
      <c r="AG86">
        <v>83</v>
      </c>
      <c r="AH86" s="10"/>
      <c r="AI86" s="43"/>
      <c r="AK86" s="44"/>
      <c r="AL86" s="45" t="s">
        <v>155</v>
      </c>
      <c r="AM86" s="39" t="s">
        <v>34</v>
      </c>
      <c r="AN86" s="39">
        <v>11</v>
      </c>
      <c r="AO86" s="39" t="s">
        <v>152</v>
      </c>
      <c r="AP86" s="27">
        <v>83</v>
      </c>
      <c r="AQ86" s="39" t="s">
        <v>20</v>
      </c>
      <c r="AR86" s="41" t="s">
        <v>182</v>
      </c>
      <c r="AS86" s="27"/>
      <c r="AT86" s="44"/>
      <c r="AU86" s="45" t="s">
        <v>155</v>
      </c>
      <c r="AV86" s="39" t="s">
        <v>34</v>
      </c>
      <c r="AW86" s="39">
        <v>11</v>
      </c>
      <c r="AX86" s="39" t="s">
        <v>152</v>
      </c>
      <c r="AY86" s="27">
        <v>83</v>
      </c>
      <c r="AZ86" s="39" t="s">
        <v>4</v>
      </c>
      <c r="BA86" s="41" t="s">
        <v>180</v>
      </c>
      <c r="BB86" s="27"/>
      <c r="BC86" s="44"/>
      <c r="BD86" s="45" t="s">
        <v>155</v>
      </c>
      <c r="BE86" s="39" t="s">
        <v>34</v>
      </c>
      <c r="BF86" s="39">
        <v>11</v>
      </c>
      <c r="BG86" s="39" t="s">
        <v>152</v>
      </c>
      <c r="BH86" s="27">
        <v>83</v>
      </c>
      <c r="BI86" s="39">
        <v>1031</v>
      </c>
      <c r="BJ86" s="41" t="s">
        <v>163</v>
      </c>
      <c r="BK86" s="27"/>
      <c r="BL86" s="44"/>
      <c r="BM86" s="45" t="s">
        <v>155</v>
      </c>
      <c r="BN86" s="39" t="s">
        <v>34</v>
      </c>
      <c r="BO86" s="39">
        <v>11</v>
      </c>
      <c r="BP86" s="39" t="s">
        <v>152</v>
      </c>
      <c r="BQ86" s="27">
        <v>83</v>
      </c>
      <c r="BR86" s="39" t="s">
        <v>24</v>
      </c>
      <c r="BS86" s="41" t="s">
        <v>186</v>
      </c>
      <c r="BT86" s="27"/>
      <c r="BU86" s="44"/>
      <c r="BV86" s="45" t="s">
        <v>155</v>
      </c>
      <c r="BW86" s="39" t="s">
        <v>34</v>
      </c>
      <c r="BX86" s="39">
        <v>11</v>
      </c>
      <c r="BY86" s="39" t="s">
        <v>152</v>
      </c>
      <c r="BZ86" s="27">
        <v>83</v>
      </c>
      <c r="CA86" s="39" t="s">
        <v>51</v>
      </c>
      <c r="CB86" s="46" t="s">
        <v>169</v>
      </c>
      <c r="CC86" s="27"/>
      <c r="CD86" s="44"/>
      <c r="CE86" s="45" t="s">
        <v>155</v>
      </c>
      <c r="CF86" s="39" t="s">
        <v>34</v>
      </c>
      <c r="CG86" s="39">
        <v>11</v>
      </c>
      <c r="CH86" s="39" t="s">
        <v>152</v>
      </c>
      <c r="CI86" s="27">
        <v>83</v>
      </c>
      <c r="CJ86" s="39" t="s">
        <v>53</v>
      </c>
      <c r="CK86" s="41" t="s">
        <v>184</v>
      </c>
    </row>
    <row r="87" spans="1:89" x14ac:dyDescent="0.25">
      <c r="A87" s="47"/>
      <c r="B87" s="48" t="s">
        <v>151</v>
      </c>
      <c r="C87" s="49" t="s">
        <v>34</v>
      </c>
      <c r="D87" s="49">
        <v>12</v>
      </c>
      <c r="E87" s="49" t="s">
        <v>152</v>
      </c>
      <c r="F87" s="50">
        <v>84</v>
      </c>
      <c r="G87" s="49" t="s">
        <v>213</v>
      </c>
      <c r="H87" s="51" t="s">
        <v>173</v>
      </c>
      <c r="J87" s="47"/>
      <c r="K87" s="48" t="s">
        <v>155</v>
      </c>
      <c r="L87" s="49" t="s">
        <v>34</v>
      </c>
      <c r="M87" s="49">
        <v>12</v>
      </c>
      <c r="N87" s="49" t="s">
        <v>152</v>
      </c>
      <c r="O87" s="50">
        <v>84</v>
      </c>
      <c r="P87" s="49" t="s">
        <v>212</v>
      </c>
      <c r="Q87" s="51" t="s">
        <v>174</v>
      </c>
      <c r="S87" s="47"/>
      <c r="T87" s="48" t="s">
        <v>155</v>
      </c>
      <c r="U87" s="49" t="s">
        <v>34</v>
      </c>
      <c r="V87" s="49">
        <v>12</v>
      </c>
      <c r="W87" s="49" t="s">
        <v>152</v>
      </c>
      <c r="X87" s="50">
        <v>84</v>
      </c>
      <c r="Y87" s="49"/>
      <c r="Z87" s="51"/>
      <c r="AB87" s="47"/>
      <c r="AC87" s="48" t="s">
        <v>155</v>
      </c>
      <c r="AD87" s="49" t="s">
        <v>34</v>
      </c>
      <c r="AE87" s="49">
        <v>12</v>
      </c>
      <c r="AF87" s="49" t="s">
        <v>152</v>
      </c>
      <c r="AG87" s="50">
        <v>84</v>
      </c>
      <c r="AH87" s="49"/>
      <c r="AI87" s="51"/>
      <c r="AK87" s="52"/>
      <c r="AL87" s="53" t="s">
        <v>155</v>
      </c>
      <c r="AM87" s="54" t="s">
        <v>34</v>
      </c>
      <c r="AN87" s="54">
        <v>12</v>
      </c>
      <c r="AO87" s="54" t="s">
        <v>152</v>
      </c>
      <c r="AP87" s="55">
        <v>84</v>
      </c>
      <c r="AQ87" s="39" t="s">
        <v>20</v>
      </c>
      <c r="AR87" s="41" t="s">
        <v>184</v>
      </c>
      <c r="AS87" s="27"/>
      <c r="AT87" s="52"/>
      <c r="AU87" s="53" t="s">
        <v>155</v>
      </c>
      <c r="AV87" s="54" t="s">
        <v>34</v>
      </c>
      <c r="AW87" s="54">
        <v>12</v>
      </c>
      <c r="AX87" s="54" t="s">
        <v>152</v>
      </c>
      <c r="AY87" s="55">
        <v>84</v>
      </c>
      <c r="AZ87" s="39" t="s">
        <v>4</v>
      </c>
      <c r="BA87" s="41" t="s">
        <v>181</v>
      </c>
      <c r="BB87" s="27"/>
      <c r="BC87" s="52"/>
      <c r="BD87" s="53" t="s">
        <v>155</v>
      </c>
      <c r="BE87" s="54" t="s">
        <v>34</v>
      </c>
      <c r="BF87" s="54">
        <v>12</v>
      </c>
      <c r="BG87" s="54" t="s">
        <v>152</v>
      </c>
      <c r="BH87" s="55">
        <v>84</v>
      </c>
      <c r="BI87" s="39">
        <v>1031</v>
      </c>
      <c r="BJ87" s="41" t="s">
        <v>171</v>
      </c>
      <c r="BK87" s="27"/>
      <c r="BL87" s="52"/>
      <c r="BM87" s="53" t="s">
        <v>155</v>
      </c>
      <c r="BN87" s="54" t="s">
        <v>34</v>
      </c>
      <c r="BO87" s="54">
        <v>12</v>
      </c>
      <c r="BP87" s="54" t="s">
        <v>152</v>
      </c>
      <c r="BQ87" s="55">
        <v>84</v>
      </c>
      <c r="BR87" s="39" t="s">
        <v>24</v>
      </c>
      <c r="BS87" s="41" t="s">
        <v>188</v>
      </c>
      <c r="BT87" s="27"/>
      <c r="BU87" s="52"/>
      <c r="BV87" s="53" t="s">
        <v>155</v>
      </c>
      <c r="BW87" s="54" t="s">
        <v>34</v>
      </c>
      <c r="BX87" s="54">
        <v>12</v>
      </c>
      <c r="BY87" s="54" t="s">
        <v>152</v>
      </c>
      <c r="BZ87" s="55">
        <v>84</v>
      </c>
      <c r="CA87" s="39" t="s">
        <v>51</v>
      </c>
      <c r="CB87" s="41" t="s">
        <v>177</v>
      </c>
      <c r="CC87" s="27"/>
      <c r="CD87" s="52"/>
      <c r="CE87" s="53" t="s">
        <v>155</v>
      </c>
      <c r="CF87" s="54" t="s">
        <v>34</v>
      </c>
      <c r="CG87" s="54">
        <v>12</v>
      </c>
      <c r="CH87" s="54" t="s">
        <v>152</v>
      </c>
      <c r="CI87" s="55">
        <v>84</v>
      </c>
      <c r="CJ87" s="39" t="s">
        <v>53</v>
      </c>
      <c r="CK87" s="41" t="s">
        <v>187</v>
      </c>
    </row>
    <row r="88" spans="1:89" ht="15.75" thickBot="1" x14ac:dyDescent="0.3">
      <c r="A88" s="56"/>
      <c r="B88" s="57" t="s">
        <v>151</v>
      </c>
      <c r="C88" s="58" t="s">
        <v>39</v>
      </c>
      <c r="D88" s="58">
        <v>1</v>
      </c>
      <c r="E88" s="58" t="s">
        <v>152</v>
      </c>
      <c r="F88" s="59">
        <v>85</v>
      </c>
      <c r="G88" s="10" t="s">
        <v>213</v>
      </c>
      <c r="H88" s="43" t="s">
        <v>159</v>
      </c>
      <c r="J88" s="56"/>
      <c r="K88" s="34" t="s">
        <v>155</v>
      </c>
      <c r="L88" s="58" t="s">
        <v>39</v>
      </c>
      <c r="M88" s="58">
        <v>1</v>
      </c>
      <c r="N88" s="58" t="s">
        <v>152</v>
      </c>
      <c r="O88" s="59">
        <v>85</v>
      </c>
      <c r="P88" s="10" t="s">
        <v>214</v>
      </c>
      <c r="Q88" s="43" t="s">
        <v>154</v>
      </c>
      <c r="S88" s="56"/>
      <c r="T88" s="34" t="s">
        <v>155</v>
      </c>
      <c r="U88" s="58" t="s">
        <v>39</v>
      </c>
      <c r="V88" s="58">
        <v>1</v>
      </c>
      <c r="W88" s="58" t="s">
        <v>152</v>
      </c>
      <c r="X88" s="59">
        <v>85</v>
      </c>
      <c r="Y88" s="10"/>
      <c r="Z88" s="43"/>
      <c r="AB88" s="56"/>
      <c r="AC88" s="34" t="s">
        <v>155</v>
      </c>
      <c r="AD88" s="58" t="s">
        <v>39</v>
      </c>
      <c r="AE88" s="58">
        <v>1</v>
      </c>
      <c r="AF88" s="58" t="s">
        <v>152</v>
      </c>
      <c r="AG88" s="59">
        <v>85</v>
      </c>
      <c r="AH88" s="10"/>
      <c r="AI88" s="43"/>
      <c r="AK88" s="60"/>
      <c r="AL88" s="45" t="s">
        <v>155</v>
      </c>
      <c r="AM88" s="61" t="s">
        <v>39</v>
      </c>
      <c r="AN88" s="61">
        <v>1</v>
      </c>
      <c r="AO88" s="61" t="s">
        <v>152</v>
      </c>
      <c r="AP88" s="62">
        <v>85</v>
      </c>
      <c r="AQ88" s="39" t="s">
        <v>20</v>
      </c>
      <c r="AR88" s="41" t="s">
        <v>187</v>
      </c>
      <c r="AS88" s="27"/>
      <c r="AT88" s="60"/>
      <c r="AU88" s="45" t="s">
        <v>155</v>
      </c>
      <c r="AV88" s="61" t="s">
        <v>39</v>
      </c>
      <c r="AW88" s="61">
        <v>1</v>
      </c>
      <c r="AX88" s="61" t="s">
        <v>152</v>
      </c>
      <c r="AY88" s="62">
        <v>85</v>
      </c>
      <c r="AZ88" s="39" t="s">
        <v>4</v>
      </c>
      <c r="BA88" s="41" t="s">
        <v>183</v>
      </c>
      <c r="BB88" s="27"/>
      <c r="BC88" s="60"/>
      <c r="BD88" s="45" t="s">
        <v>155</v>
      </c>
      <c r="BE88" s="61" t="s">
        <v>39</v>
      </c>
      <c r="BF88" s="61">
        <v>1</v>
      </c>
      <c r="BG88" s="61" t="s">
        <v>152</v>
      </c>
      <c r="BH88" s="62">
        <v>85</v>
      </c>
      <c r="BI88" s="39">
        <v>1031</v>
      </c>
      <c r="BJ88" s="41" t="s">
        <v>161</v>
      </c>
      <c r="BK88" s="27"/>
      <c r="BL88" s="60"/>
      <c r="BM88" s="45" t="s">
        <v>155</v>
      </c>
      <c r="BN88" s="61" t="s">
        <v>39</v>
      </c>
      <c r="BO88" s="61">
        <v>1</v>
      </c>
      <c r="BP88" s="61" t="s">
        <v>152</v>
      </c>
      <c r="BQ88" s="62">
        <v>85</v>
      </c>
      <c r="BR88" s="39" t="s">
        <v>24</v>
      </c>
      <c r="BS88" s="41" t="s">
        <v>182</v>
      </c>
      <c r="BT88" s="27"/>
      <c r="BU88" s="60"/>
      <c r="BV88" s="45" t="s">
        <v>155</v>
      </c>
      <c r="BW88" s="61" t="s">
        <v>39</v>
      </c>
      <c r="BX88" s="61">
        <v>1</v>
      </c>
      <c r="BY88" s="61" t="s">
        <v>152</v>
      </c>
      <c r="BZ88" s="62">
        <v>85</v>
      </c>
      <c r="CA88" s="39" t="s">
        <v>51</v>
      </c>
      <c r="CB88" s="41" t="s">
        <v>180</v>
      </c>
      <c r="CC88" s="27"/>
      <c r="CD88" s="60"/>
      <c r="CE88" s="45" t="s">
        <v>155</v>
      </c>
      <c r="CF88" s="61" t="s">
        <v>39</v>
      </c>
      <c r="CG88" s="61">
        <v>1</v>
      </c>
      <c r="CH88" s="61" t="s">
        <v>152</v>
      </c>
      <c r="CI88" s="62">
        <v>85</v>
      </c>
      <c r="CJ88" s="39" t="s">
        <v>53</v>
      </c>
      <c r="CK88" s="41" t="s">
        <v>189</v>
      </c>
    </row>
    <row r="89" spans="1:89" ht="15.75" thickBot="1" x14ac:dyDescent="0.3">
      <c r="A89" s="42"/>
      <c r="B89" s="34" t="s">
        <v>151</v>
      </c>
      <c r="C89" s="10" t="s">
        <v>39</v>
      </c>
      <c r="D89" s="10">
        <v>2</v>
      </c>
      <c r="E89" s="10" t="s">
        <v>152</v>
      </c>
      <c r="F89">
        <v>86</v>
      </c>
      <c r="G89" s="10" t="s">
        <v>213</v>
      </c>
      <c r="H89" s="43" t="s">
        <v>167</v>
      </c>
      <c r="J89" s="42"/>
      <c r="K89" s="34" t="s">
        <v>155</v>
      </c>
      <c r="L89" s="10" t="s">
        <v>39</v>
      </c>
      <c r="M89" s="10">
        <v>2</v>
      </c>
      <c r="N89" s="10" t="s">
        <v>152</v>
      </c>
      <c r="O89">
        <v>86</v>
      </c>
      <c r="P89" s="10" t="s">
        <v>214</v>
      </c>
      <c r="Q89" s="43" t="s">
        <v>165</v>
      </c>
      <c r="S89" s="42"/>
      <c r="T89" s="34" t="s">
        <v>155</v>
      </c>
      <c r="U89" s="10" t="s">
        <v>39</v>
      </c>
      <c r="V89" s="10">
        <v>2</v>
      </c>
      <c r="W89" s="10" t="s">
        <v>152</v>
      </c>
      <c r="X89">
        <v>86</v>
      </c>
      <c r="Y89" s="10"/>
      <c r="Z89" s="43"/>
      <c r="AB89" s="42"/>
      <c r="AC89" s="34" t="s">
        <v>155</v>
      </c>
      <c r="AD89" s="10" t="s">
        <v>39</v>
      </c>
      <c r="AE89" s="10">
        <v>2</v>
      </c>
      <c r="AF89" s="10" t="s">
        <v>152</v>
      </c>
      <c r="AG89">
        <v>86</v>
      </c>
      <c r="AH89" s="10"/>
      <c r="AI89" s="43"/>
      <c r="AK89" s="44"/>
      <c r="AL89" s="45" t="s">
        <v>155</v>
      </c>
      <c r="AM89" s="39" t="s">
        <v>39</v>
      </c>
      <c r="AN89" s="39">
        <v>2</v>
      </c>
      <c r="AO89" s="39" t="s">
        <v>152</v>
      </c>
      <c r="AP89" s="27">
        <v>86</v>
      </c>
      <c r="AQ89" s="39" t="s">
        <v>20</v>
      </c>
      <c r="AR89" s="41" t="s">
        <v>189</v>
      </c>
      <c r="AS89" s="27"/>
      <c r="AT89" s="44"/>
      <c r="AU89" s="45" t="s">
        <v>155</v>
      </c>
      <c r="AV89" s="39" t="s">
        <v>39</v>
      </c>
      <c r="AW89" s="39">
        <v>2</v>
      </c>
      <c r="AX89" s="39" t="s">
        <v>152</v>
      </c>
      <c r="AY89" s="27">
        <v>86</v>
      </c>
      <c r="AZ89" s="39" t="s">
        <v>4</v>
      </c>
      <c r="BA89" s="41" t="s">
        <v>186</v>
      </c>
      <c r="BB89" s="27"/>
      <c r="BC89" s="44"/>
      <c r="BD89" s="45" t="s">
        <v>155</v>
      </c>
      <c r="BE89" s="39" t="s">
        <v>39</v>
      </c>
      <c r="BF89" s="39">
        <v>2</v>
      </c>
      <c r="BG89" s="39" t="s">
        <v>152</v>
      </c>
      <c r="BH89" s="27">
        <v>86</v>
      </c>
      <c r="BI89" s="39">
        <v>1031</v>
      </c>
      <c r="BJ89" s="46" t="s">
        <v>169</v>
      </c>
      <c r="BK89" s="27"/>
      <c r="BL89" s="44"/>
      <c r="BM89" s="45" t="s">
        <v>155</v>
      </c>
      <c r="BN89" s="39" t="s">
        <v>39</v>
      </c>
      <c r="BO89" s="39">
        <v>2</v>
      </c>
      <c r="BP89" s="39" t="s">
        <v>152</v>
      </c>
      <c r="BQ89" s="27">
        <v>86</v>
      </c>
      <c r="BR89" s="39" t="s">
        <v>24</v>
      </c>
      <c r="BS89" s="41" t="s">
        <v>184</v>
      </c>
      <c r="BT89" s="27"/>
      <c r="BU89" s="44"/>
      <c r="BV89" s="45" t="s">
        <v>155</v>
      </c>
      <c r="BW89" s="39" t="s">
        <v>39</v>
      </c>
      <c r="BX89" s="39">
        <v>2</v>
      </c>
      <c r="BY89" s="39" t="s">
        <v>152</v>
      </c>
      <c r="BZ89" s="27">
        <v>86</v>
      </c>
      <c r="CA89" s="39" t="s">
        <v>51</v>
      </c>
      <c r="CB89" s="41" t="s">
        <v>181</v>
      </c>
      <c r="CC89" s="27"/>
      <c r="CD89" s="44"/>
      <c r="CE89" s="45" t="s">
        <v>155</v>
      </c>
      <c r="CF89" s="39" t="s">
        <v>39</v>
      </c>
      <c r="CG89" s="39">
        <v>2</v>
      </c>
      <c r="CH89" s="39" t="s">
        <v>152</v>
      </c>
      <c r="CI89" s="27">
        <v>86</v>
      </c>
      <c r="CJ89" s="39" t="s">
        <v>45</v>
      </c>
      <c r="CK89" s="40" t="s">
        <v>160</v>
      </c>
    </row>
    <row r="90" spans="1:89" x14ac:dyDescent="0.25">
      <c r="A90" s="42"/>
      <c r="B90" s="34" t="s">
        <v>151</v>
      </c>
      <c r="C90" s="10" t="s">
        <v>39</v>
      </c>
      <c r="D90" s="10">
        <v>3</v>
      </c>
      <c r="E90" s="10" t="s">
        <v>152</v>
      </c>
      <c r="F90">
        <v>87</v>
      </c>
      <c r="G90" s="10" t="s">
        <v>213</v>
      </c>
      <c r="H90" s="43" t="s">
        <v>175</v>
      </c>
      <c r="J90" s="42"/>
      <c r="K90" s="34" t="s">
        <v>155</v>
      </c>
      <c r="L90" s="10" t="s">
        <v>39</v>
      </c>
      <c r="M90" s="10">
        <v>3</v>
      </c>
      <c r="N90" s="10" t="s">
        <v>152</v>
      </c>
      <c r="O90">
        <v>87</v>
      </c>
      <c r="P90" s="10" t="s">
        <v>214</v>
      </c>
      <c r="Q90" s="43" t="s">
        <v>173</v>
      </c>
      <c r="S90" s="42"/>
      <c r="T90" s="34" t="s">
        <v>155</v>
      </c>
      <c r="U90" s="10" t="s">
        <v>39</v>
      </c>
      <c r="V90" s="10">
        <v>3</v>
      </c>
      <c r="W90" s="10" t="s">
        <v>152</v>
      </c>
      <c r="X90">
        <v>87</v>
      </c>
      <c r="Y90" s="10"/>
      <c r="Z90" s="43"/>
      <c r="AB90" s="42"/>
      <c r="AC90" s="34" t="s">
        <v>155</v>
      </c>
      <c r="AD90" s="10" t="s">
        <v>39</v>
      </c>
      <c r="AE90" s="10">
        <v>3</v>
      </c>
      <c r="AF90" s="10" t="s">
        <v>152</v>
      </c>
      <c r="AG90">
        <v>87</v>
      </c>
      <c r="AH90" s="10"/>
      <c r="AI90" s="43"/>
      <c r="AK90" s="44"/>
      <c r="AL90" s="45" t="s">
        <v>155</v>
      </c>
      <c r="AM90" s="39" t="s">
        <v>39</v>
      </c>
      <c r="AN90" s="39">
        <v>3</v>
      </c>
      <c r="AO90" s="39" t="s">
        <v>152</v>
      </c>
      <c r="AP90" s="27">
        <v>87</v>
      </c>
      <c r="AQ90" s="39" t="s">
        <v>2</v>
      </c>
      <c r="AR90" s="40" t="s">
        <v>160</v>
      </c>
      <c r="AS90" s="27"/>
      <c r="AT90" s="44"/>
      <c r="AU90" s="45" t="s">
        <v>155</v>
      </c>
      <c r="AV90" s="39" t="s">
        <v>39</v>
      </c>
      <c r="AW90" s="39">
        <v>3</v>
      </c>
      <c r="AX90" s="39" t="s">
        <v>152</v>
      </c>
      <c r="AY90" s="27">
        <v>87</v>
      </c>
      <c r="AZ90" s="39" t="s">
        <v>4</v>
      </c>
      <c r="BA90" s="41" t="s">
        <v>188</v>
      </c>
      <c r="BB90" s="27"/>
      <c r="BC90" s="44"/>
      <c r="BD90" s="45" t="s">
        <v>155</v>
      </c>
      <c r="BE90" s="39" t="s">
        <v>39</v>
      </c>
      <c r="BF90" s="39">
        <v>3</v>
      </c>
      <c r="BG90" s="39" t="s">
        <v>152</v>
      </c>
      <c r="BH90" s="27">
        <v>87</v>
      </c>
      <c r="BI90" s="39">
        <v>1031</v>
      </c>
      <c r="BJ90" s="41" t="s">
        <v>177</v>
      </c>
      <c r="BK90" s="27"/>
      <c r="BL90" s="44"/>
      <c r="BM90" s="45" t="s">
        <v>155</v>
      </c>
      <c r="BN90" s="39" t="s">
        <v>39</v>
      </c>
      <c r="BO90" s="39">
        <v>3</v>
      </c>
      <c r="BP90" s="39" t="s">
        <v>152</v>
      </c>
      <c r="BQ90" s="27">
        <v>87</v>
      </c>
      <c r="BR90" s="39" t="s">
        <v>24</v>
      </c>
      <c r="BS90" s="41" t="s">
        <v>187</v>
      </c>
      <c r="BT90" s="27"/>
      <c r="BU90" s="44"/>
      <c r="BV90" s="45" t="s">
        <v>155</v>
      </c>
      <c r="BW90" s="39" t="s">
        <v>39</v>
      </c>
      <c r="BX90" s="39">
        <v>3</v>
      </c>
      <c r="BY90" s="39" t="s">
        <v>152</v>
      </c>
      <c r="BZ90" s="27">
        <v>87</v>
      </c>
      <c r="CA90" s="39" t="s">
        <v>51</v>
      </c>
      <c r="CB90" s="41" t="s">
        <v>183</v>
      </c>
      <c r="CC90" s="27"/>
      <c r="CD90" s="44"/>
      <c r="CE90" s="45" t="s">
        <v>155</v>
      </c>
      <c r="CF90" s="39" t="s">
        <v>39</v>
      </c>
      <c r="CG90" s="39">
        <v>3</v>
      </c>
      <c r="CH90" s="39" t="s">
        <v>152</v>
      </c>
      <c r="CI90" s="27">
        <v>87</v>
      </c>
      <c r="CJ90" s="39" t="s">
        <v>45</v>
      </c>
      <c r="CK90" s="41" t="s">
        <v>168</v>
      </c>
    </row>
    <row r="91" spans="1:89" ht="15.75" thickBot="1" x14ac:dyDescent="0.3">
      <c r="A91" s="42"/>
      <c r="B91" s="34" t="s">
        <v>151</v>
      </c>
      <c r="C91" s="10" t="s">
        <v>39</v>
      </c>
      <c r="D91" s="10">
        <v>4</v>
      </c>
      <c r="E91" s="10" t="s">
        <v>152</v>
      </c>
      <c r="F91">
        <v>88</v>
      </c>
      <c r="G91" s="10" t="s">
        <v>213</v>
      </c>
      <c r="H91" s="43" t="s">
        <v>157</v>
      </c>
      <c r="J91" s="42"/>
      <c r="K91" s="34" t="s">
        <v>155</v>
      </c>
      <c r="L91" s="10" t="s">
        <v>39</v>
      </c>
      <c r="M91" s="10">
        <v>4</v>
      </c>
      <c r="N91" s="10" t="s">
        <v>152</v>
      </c>
      <c r="O91">
        <v>88</v>
      </c>
      <c r="P91" s="10" t="s">
        <v>214</v>
      </c>
      <c r="Q91" s="43" t="s">
        <v>159</v>
      </c>
      <c r="S91" s="42"/>
      <c r="T91" s="34" t="s">
        <v>155</v>
      </c>
      <c r="U91" s="10" t="s">
        <v>39</v>
      </c>
      <c r="V91" s="10">
        <v>4</v>
      </c>
      <c r="W91" s="10" t="s">
        <v>152</v>
      </c>
      <c r="X91">
        <v>88</v>
      </c>
      <c r="Y91" s="10"/>
      <c r="Z91" s="43"/>
      <c r="AB91" s="42"/>
      <c r="AC91" s="34" t="s">
        <v>155</v>
      </c>
      <c r="AD91" s="10" t="s">
        <v>39</v>
      </c>
      <c r="AE91" s="10">
        <v>4</v>
      </c>
      <c r="AF91" s="10" t="s">
        <v>152</v>
      </c>
      <c r="AG91">
        <v>88</v>
      </c>
      <c r="AH91" s="10"/>
      <c r="AI91" s="43"/>
      <c r="AK91" s="44"/>
      <c r="AL91" s="45" t="s">
        <v>155</v>
      </c>
      <c r="AM91" s="39" t="s">
        <v>39</v>
      </c>
      <c r="AN91" s="39">
        <v>4</v>
      </c>
      <c r="AO91" s="39" t="s">
        <v>152</v>
      </c>
      <c r="AP91" s="27">
        <v>88</v>
      </c>
      <c r="AQ91" s="39" t="s">
        <v>2</v>
      </c>
      <c r="AR91" s="41" t="s">
        <v>168</v>
      </c>
      <c r="AS91" s="27"/>
      <c r="AT91" s="44"/>
      <c r="AU91" s="45" t="s">
        <v>155</v>
      </c>
      <c r="AV91" s="39" t="s">
        <v>39</v>
      </c>
      <c r="AW91" s="39">
        <v>4</v>
      </c>
      <c r="AX91" s="39" t="s">
        <v>152</v>
      </c>
      <c r="AY91" s="27">
        <v>88</v>
      </c>
      <c r="AZ91" s="39" t="s">
        <v>4</v>
      </c>
      <c r="BA91" s="41" t="s">
        <v>182</v>
      </c>
      <c r="BB91" s="27"/>
      <c r="BC91" s="44"/>
      <c r="BD91" s="45" t="s">
        <v>155</v>
      </c>
      <c r="BE91" s="39" t="s">
        <v>39</v>
      </c>
      <c r="BF91" s="39">
        <v>4</v>
      </c>
      <c r="BG91" s="39" t="s">
        <v>152</v>
      </c>
      <c r="BH91" s="27">
        <v>88</v>
      </c>
      <c r="BI91" s="39">
        <v>1031</v>
      </c>
      <c r="BJ91" s="41" t="s">
        <v>180</v>
      </c>
      <c r="BK91" s="27"/>
      <c r="BL91" s="44"/>
      <c r="BM91" s="45" t="s">
        <v>155</v>
      </c>
      <c r="BN91" s="39" t="s">
        <v>39</v>
      </c>
      <c r="BO91" s="39">
        <v>4</v>
      </c>
      <c r="BP91" s="39" t="s">
        <v>152</v>
      </c>
      <c r="BQ91" s="27">
        <v>88</v>
      </c>
      <c r="BR91" s="39" t="s">
        <v>24</v>
      </c>
      <c r="BS91" s="41" t="s">
        <v>189</v>
      </c>
      <c r="BT91" s="27"/>
      <c r="BU91" s="44"/>
      <c r="BV91" s="45" t="s">
        <v>155</v>
      </c>
      <c r="BW91" s="39" t="s">
        <v>39</v>
      </c>
      <c r="BX91" s="39">
        <v>4</v>
      </c>
      <c r="BY91" s="39" t="s">
        <v>152</v>
      </c>
      <c r="BZ91" s="27">
        <v>88</v>
      </c>
      <c r="CA91" s="39" t="s">
        <v>51</v>
      </c>
      <c r="CB91" s="41" t="s">
        <v>186</v>
      </c>
      <c r="CC91" s="27"/>
      <c r="CD91" s="44"/>
      <c r="CE91" s="45" t="s">
        <v>155</v>
      </c>
      <c r="CF91" s="39" t="s">
        <v>39</v>
      </c>
      <c r="CG91" s="39">
        <v>4</v>
      </c>
      <c r="CH91" s="39" t="s">
        <v>152</v>
      </c>
      <c r="CI91" s="27">
        <v>88</v>
      </c>
      <c r="CJ91" s="39" t="s">
        <v>45</v>
      </c>
      <c r="CK91" s="41" t="s">
        <v>176</v>
      </c>
    </row>
    <row r="92" spans="1:89" x14ac:dyDescent="0.25">
      <c r="A92" s="42"/>
      <c r="B92" s="34" t="s">
        <v>151</v>
      </c>
      <c r="C92" s="10" t="s">
        <v>39</v>
      </c>
      <c r="D92" s="10">
        <v>5</v>
      </c>
      <c r="E92" s="10" t="s">
        <v>152</v>
      </c>
      <c r="F92">
        <v>89</v>
      </c>
      <c r="G92" s="10" t="s">
        <v>213</v>
      </c>
      <c r="H92" s="43" t="s">
        <v>166</v>
      </c>
      <c r="J92" s="42"/>
      <c r="K92" s="34" t="s">
        <v>155</v>
      </c>
      <c r="L92" s="10" t="s">
        <v>39</v>
      </c>
      <c r="M92" s="10">
        <v>5</v>
      </c>
      <c r="N92" s="10" t="s">
        <v>152</v>
      </c>
      <c r="O92">
        <v>89</v>
      </c>
      <c r="P92" s="10" t="s">
        <v>214</v>
      </c>
      <c r="Q92" s="43" t="s">
        <v>167</v>
      </c>
      <c r="S92" s="42"/>
      <c r="T92" s="34" t="s">
        <v>155</v>
      </c>
      <c r="U92" s="10" t="s">
        <v>39</v>
      </c>
      <c r="V92" s="10">
        <v>5</v>
      </c>
      <c r="W92" s="10" t="s">
        <v>152</v>
      </c>
      <c r="X92">
        <v>89</v>
      </c>
      <c r="Y92" s="10"/>
      <c r="Z92" s="43"/>
      <c r="AB92" s="42"/>
      <c r="AC92" s="34" t="s">
        <v>155</v>
      </c>
      <c r="AD92" s="10" t="s">
        <v>39</v>
      </c>
      <c r="AE92" s="10">
        <v>5</v>
      </c>
      <c r="AF92" s="10" t="s">
        <v>152</v>
      </c>
      <c r="AG92">
        <v>89</v>
      </c>
      <c r="AH92" s="10"/>
      <c r="AI92" s="43"/>
      <c r="AK92" s="44"/>
      <c r="AL92" s="45" t="s">
        <v>155</v>
      </c>
      <c r="AM92" s="39" t="s">
        <v>39</v>
      </c>
      <c r="AN92" s="39">
        <v>5</v>
      </c>
      <c r="AO92" s="39" t="s">
        <v>152</v>
      </c>
      <c r="AP92" s="27">
        <v>89</v>
      </c>
      <c r="AQ92" s="39" t="s">
        <v>2</v>
      </c>
      <c r="AR92" s="41" t="s">
        <v>176</v>
      </c>
      <c r="AS92" s="27"/>
      <c r="AT92" s="44"/>
      <c r="AU92" s="45" t="s">
        <v>155</v>
      </c>
      <c r="AV92" s="39" t="s">
        <v>39</v>
      </c>
      <c r="AW92" s="39">
        <v>5</v>
      </c>
      <c r="AX92" s="39" t="s">
        <v>152</v>
      </c>
      <c r="AY92" s="27">
        <v>89</v>
      </c>
      <c r="AZ92" s="39" t="s">
        <v>4</v>
      </c>
      <c r="BA92" s="41" t="s">
        <v>184</v>
      </c>
      <c r="BB92" s="27"/>
      <c r="BC92" s="44"/>
      <c r="BD92" s="45" t="s">
        <v>155</v>
      </c>
      <c r="BE92" s="39" t="s">
        <v>39</v>
      </c>
      <c r="BF92" s="39">
        <v>5</v>
      </c>
      <c r="BG92" s="39" t="s">
        <v>152</v>
      </c>
      <c r="BH92" s="27">
        <v>89</v>
      </c>
      <c r="BI92" s="39">
        <v>1031</v>
      </c>
      <c r="BJ92" s="41" t="s">
        <v>181</v>
      </c>
      <c r="BK92" s="27"/>
      <c r="BL92" s="44"/>
      <c r="BM92" s="45" t="s">
        <v>155</v>
      </c>
      <c r="BN92" s="39" t="s">
        <v>39</v>
      </c>
      <c r="BO92" s="39">
        <v>5</v>
      </c>
      <c r="BP92" s="39" t="s">
        <v>152</v>
      </c>
      <c r="BQ92" s="27">
        <v>89</v>
      </c>
      <c r="BR92" s="39">
        <v>1029</v>
      </c>
      <c r="BS92" s="40" t="s">
        <v>160</v>
      </c>
      <c r="BT92" s="27">
        <v>41</v>
      </c>
      <c r="BU92" s="44"/>
      <c r="BV92" s="45" t="s">
        <v>155</v>
      </c>
      <c r="BW92" s="39" t="s">
        <v>39</v>
      </c>
      <c r="BX92" s="39">
        <v>5</v>
      </c>
      <c r="BY92" s="39" t="s">
        <v>152</v>
      </c>
      <c r="BZ92" s="27">
        <v>89</v>
      </c>
      <c r="CA92" s="39" t="s">
        <v>51</v>
      </c>
      <c r="CB92" s="41" t="s">
        <v>188</v>
      </c>
      <c r="CC92" s="27"/>
      <c r="CD92" s="44"/>
      <c r="CE92" s="45" t="s">
        <v>155</v>
      </c>
      <c r="CF92" s="39" t="s">
        <v>39</v>
      </c>
      <c r="CG92" s="39">
        <v>5</v>
      </c>
      <c r="CH92" s="39" t="s">
        <v>152</v>
      </c>
      <c r="CI92" s="27">
        <v>89</v>
      </c>
      <c r="CJ92" s="39" t="s">
        <v>45</v>
      </c>
      <c r="CK92" s="41" t="s">
        <v>164</v>
      </c>
    </row>
    <row r="93" spans="1:89" x14ac:dyDescent="0.25">
      <c r="A93" s="42"/>
      <c r="B93" s="34" t="s">
        <v>151</v>
      </c>
      <c r="C93" s="10" t="s">
        <v>39</v>
      </c>
      <c r="D93" s="10">
        <v>6</v>
      </c>
      <c r="E93" s="10" t="s">
        <v>152</v>
      </c>
      <c r="F93">
        <v>90</v>
      </c>
      <c r="G93" s="10" t="s">
        <v>213</v>
      </c>
      <c r="H93" s="43" t="s">
        <v>174</v>
      </c>
      <c r="J93" s="42"/>
      <c r="K93" s="34" t="s">
        <v>155</v>
      </c>
      <c r="L93" s="10" t="s">
        <v>39</v>
      </c>
      <c r="M93" s="10">
        <v>6</v>
      </c>
      <c r="N93" s="10" t="s">
        <v>152</v>
      </c>
      <c r="O93">
        <v>90</v>
      </c>
      <c r="P93" s="10" t="s">
        <v>214</v>
      </c>
      <c r="Q93" s="43" t="s">
        <v>175</v>
      </c>
      <c r="S93" s="42"/>
      <c r="T93" s="34" t="s">
        <v>155</v>
      </c>
      <c r="U93" s="10" t="s">
        <v>39</v>
      </c>
      <c r="V93" s="10">
        <v>6</v>
      </c>
      <c r="W93" s="10" t="s">
        <v>152</v>
      </c>
      <c r="X93">
        <v>90</v>
      </c>
      <c r="Y93" s="10"/>
      <c r="Z93" s="43"/>
      <c r="AB93" s="42"/>
      <c r="AC93" s="34" t="s">
        <v>155</v>
      </c>
      <c r="AD93" s="10" t="s">
        <v>39</v>
      </c>
      <c r="AE93" s="10">
        <v>6</v>
      </c>
      <c r="AF93" s="10" t="s">
        <v>152</v>
      </c>
      <c r="AG93">
        <v>90</v>
      </c>
      <c r="AH93" s="10"/>
      <c r="AI93" s="43"/>
      <c r="AK93" s="44"/>
      <c r="AL93" s="45" t="s">
        <v>155</v>
      </c>
      <c r="AM93" s="39" t="s">
        <v>39</v>
      </c>
      <c r="AN93" s="39">
        <v>6</v>
      </c>
      <c r="AO93" s="39" t="s">
        <v>152</v>
      </c>
      <c r="AP93" s="27">
        <v>90</v>
      </c>
      <c r="AQ93" s="39" t="s">
        <v>2</v>
      </c>
      <c r="AR93" s="41" t="s">
        <v>164</v>
      </c>
      <c r="AS93" s="27"/>
      <c r="AT93" s="44"/>
      <c r="AU93" s="45" t="s">
        <v>155</v>
      </c>
      <c r="AV93" s="39" t="s">
        <v>39</v>
      </c>
      <c r="AW93" s="39">
        <v>6</v>
      </c>
      <c r="AX93" s="39" t="s">
        <v>152</v>
      </c>
      <c r="AY93" s="27">
        <v>90</v>
      </c>
      <c r="AZ93" s="39" t="s">
        <v>4</v>
      </c>
      <c r="BA93" s="41" t="s">
        <v>187</v>
      </c>
      <c r="BB93" s="27"/>
      <c r="BC93" s="44"/>
      <c r="BD93" s="45" t="s">
        <v>155</v>
      </c>
      <c r="BE93" s="39" t="s">
        <v>39</v>
      </c>
      <c r="BF93" s="39">
        <v>6</v>
      </c>
      <c r="BG93" s="39" t="s">
        <v>152</v>
      </c>
      <c r="BH93" s="27">
        <v>90</v>
      </c>
      <c r="BI93" s="39">
        <v>1031</v>
      </c>
      <c r="BJ93" s="41" t="s">
        <v>183</v>
      </c>
      <c r="BK93" s="27"/>
      <c r="BL93" s="44"/>
      <c r="BM93" s="45" t="s">
        <v>155</v>
      </c>
      <c r="BN93" s="39" t="s">
        <v>39</v>
      </c>
      <c r="BO93" s="39">
        <v>6</v>
      </c>
      <c r="BP93" s="39" t="s">
        <v>152</v>
      </c>
      <c r="BQ93" s="27">
        <v>90</v>
      </c>
      <c r="BR93" s="39">
        <v>1029</v>
      </c>
      <c r="BS93" s="41" t="s">
        <v>168</v>
      </c>
      <c r="BT93" s="27">
        <v>42</v>
      </c>
      <c r="BU93" s="44"/>
      <c r="BV93" s="45" t="s">
        <v>155</v>
      </c>
      <c r="BW93" s="39" t="s">
        <v>39</v>
      </c>
      <c r="BX93" s="39">
        <v>6</v>
      </c>
      <c r="BY93" s="39" t="s">
        <v>152</v>
      </c>
      <c r="BZ93" s="27">
        <v>90</v>
      </c>
      <c r="CA93" s="39" t="s">
        <v>51</v>
      </c>
      <c r="CB93" s="41" t="s">
        <v>182</v>
      </c>
      <c r="CC93" s="27"/>
      <c r="CD93" s="44"/>
      <c r="CE93" s="45" t="s">
        <v>155</v>
      </c>
      <c r="CF93" s="39" t="s">
        <v>39</v>
      </c>
      <c r="CG93" s="39">
        <v>6</v>
      </c>
      <c r="CH93" s="39" t="s">
        <v>152</v>
      </c>
      <c r="CI93" s="27">
        <v>90</v>
      </c>
      <c r="CJ93" s="39" t="s">
        <v>45</v>
      </c>
      <c r="CK93" s="41" t="s">
        <v>172</v>
      </c>
    </row>
    <row r="94" spans="1:89" ht="15.75" thickBot="1" x14ac:dyDescent="0.3">
      <c r="A94" s="42"/>
      <c r="B94" s="34" t="s">
        <v>151</v>
      </c>
      <c r="C94" s="10" t="s">
        <v>39</v>
      </c>
      <c r="D94" s="10">
        <v>7</v>
      </c>
      <c r="E94" s="10" t="s">
        <v>152</v>
      </c>
      <c r="F94">
        <v>91</v>
      </c>
      <c r="G94" s="10" t="s">
        <v>156</v>
      </c>
      <c r="H94" s="43" t="s">
        <v>154</v>
      </c>
      <c r="J94" s="42"/>
      <c r="K94" s="34" t="s">
        <v>155</v>
      </c>
      <c r="L94" s="10" t="s">
        <v>39</v>
      </c>
      <c r="M94" s="10">
        <v>7</v>
      </c>
      <c r="N94" s="10" t="s">
        <v>152</v>
      </c>
      <c r="O94">
        <v>91</v>
      </c>
      <c r="P94" s="10" t="s">
        <v>214</v>
      </c>
      <c r="Q94" s="43" t="s">
        <v>157</v>
      </c>
      <c r="S94" s="42"/>
      <c r="T94" s="34" t="s">
        <v>155</v>
      </c>
      <c r="U94" s="10" t="s">
        <v>39</v>
      </c>
      <c r="V94" s="10">
        <v>7</v>
      </c>
      <c r="W94" s="10" t="s">
        <v>152</v>
      </c>
      <c r="X94">
        <v>91</v>
      </c>
      <c r="Y94" s="10"/>
      <c r="Z94" s="43"/>
      <c r="AB94" s="42"/>
      <c r="AC94" s="34" t="s">
        <v>155</v>
      </c>
      <c r="AD94" s="10" t="s">
        <v>39</v>
      </c>
      <c r="AE94" s="10">
        <v>7</v>
      </c>
      <c r="AF94" s="10" t="s">
        <v>152</v>
      </c>
      <c r="AG94">
        <v>91</v>
      </c>
      <c r="AH94" s="10"/>
      <c r="AI94" s="43"/>
      <c r="AK94" s="44"/>
      <c r="AL94" s="45" t="s">
        <v>155</v>
      </c>
      <c r="AM94" s="39" t="s">
        <v>39</v>
      </c>
      <c r="AN94" s="39">
        <v>7</v>
      </c>
      <c r="AO94" s="39" t="s">
        <v>152</v>
      </c>
      <c r="AP94" s="27">
        <v>91</v>
      </c>
      <c r="AQ94" s="39" t="s">
        <v>2</v>
      </c>
      <c r="AR94" s="41" t="s">
        <v>172</v>
      </c>
      <c r="AS94" s="27"/>
      <c r="AT94" s="44"/>
      <c r="AU94" s="45" t="s">
        <v>155</v>
      </c>
      <c r="AV94" s="39" t="s">
        <v>39</v>
      </c>
      <c r="AW94" s="39">
        <v>7</v>
      </c>
      <c r="AX94" s="39" t="s">
        <v>152</v>
      </c>
      <c r="AY94" s="27">
        <v>91</v>
      </c>
      <c r="AZ94" s="39" t="s">
        <v>4</v>
      </c>
      <c r="BA94" s="41" t="s">
        <v>189</v>
      </c>
      <c r="BB94" s="27"/>
      <c r="BC94" s="44"/>
      <c r="BD94" s="45" t="s">
        <v>155</v>
      </c>
      <c r="BE94" s="39" t="s">
        <v>39</v>
      </c>
      <c r="BF94" s="39">
        <v>7</v>
      </c>
      <c r="BG94" s="39" t="s">
        <v>152</v>
      </c>
      <c r="BH94" s="27">
        <v>91</v>
      </c>
      <c r="BI94" s="39">
        <v>1031</v>
      </c>
      <c r="BJ94" s="41" t="s">
        <v>186</v>
      </c>
      <c r="BK94" s="27"/>
      <c r="BL94" s="44"/>
      <c r="BM94" s="45" t="s">
        <v>155</v>
      </c>
      <c r="BN94" s="39" t="s">
        <v>39</v>
      </c>
      <c r="BO94" s="39">
        <v>7</v>
      </c>
      <c r="BP94" s="39" t="s">
        <v>152</v>
      </c>
      <c r="BQ94" s="27">
        <v>91</v>
      </c>
      <c r="BR94" s="39">
        <v>1029</v>
      </c>
      <c r="BS94" s="41" t="s">
        <v>176</v>
      </c>
      <c r="BT94" s="27">
        <v>43</v>
      </c>
      <c r="BU94" s="44"/>
      <c r="BV94" s="45" t="s">
        <v>155</v>
      </c>
      <c r="BW94" s="39" t="s">
        <v>39</v>
      </c>
      <c r="BX94" s="39">
        <v>7</v>
      </c>
      <c r="BY94" s="39" t="s">
        <v>152</v>
      </c>
      <c r="BZ94" s="27">
        <v>91</v>
      </c>
      <c r="CA94" s="39" t="s">
        <v>51</v>
      </c>
      <c r="CB94" s="41" t="s">
        <v>184</v>
      </c>
      <c r="CC94" s="27"/>
      <c r="CD94" s="44"/>
      <c r="CE94" s="45" t="s">
        <v>155</v>
      </c>
      <c r="CF94" s="39" t="s">
        <v>39</v>
      </c>
      <c r="CG94" s="39">
        <v>7</v>
      </c>
      <c r="CH94" s="39" t="s">
        <v>152</v>
      </c>
      <c r="CI94" s="27">
        <v>91</v>
      </c>
      <c r="CJ94" s="39" t="s">
        <v>45</v>
      </c>
      <c r="CK94" s="41" t="s">
        <v>162</v>
      </c>
    </row>
    <row r="95" spans="1:89" x14ac:dyDescent="0.25">
      <c r="A95" s="42"/>
      <c r="B95" s="34" t="s">
        <v>151</v>
      </c>
      <c r="C95" s="10" t="s">
        <v>39</v>
      </c>
      <c r="D95" s="10">
        <v>8</v>
      </c>
      <c r="E95" s="10" t="s">
        <v>152</v>
      </c>
      <c r="F95">
        <v>92</v>
      </c>
      <c r="G95" s="10" t="s">
        <v>156</v>
      </c>
      <c r="H95" s="43" t="s">
        <v>165</v>
      </c>
      <c r="J95" s="42"/>
      <c r="K95" s="34" t="s">
        <v>155</v>
      </c>
      <c r="L95" s="10" t="s">
        <v>39</v>
      </c>
      <c r="M95" s="10">
        <v>8</v>
      </c>
      <c r="N95" s="10" t="s">
        <v>152</v>
      </c>
      <c r="O95">
        <v>92</v>
      </c>
      <c r="P95" s="10" t="s">
        <v>214</v>
      </c>
      <c r="Q95" s="43" t="s">
        <v>166</v>
      </c>
      <c r="S95" s="42"/>
      <c r="T95" s="34" t="s">
        <v>155</v>
      </c>
      <c r="U95" s="10" t="s">
        <v>39</v>
      </c>
      <c r="V95" s="10">
        <v>8</v>
      </c>
      <c r="W95" s="10" t="s">
        <v>152</v>
      </c>
      <c r="X95">
        <v>92</v>
      </c>
      <c r="Y95" s="10"/>
      <c r="Z95" s="43"/>
      <c r="AB95" s="42"/>
      <c r="AC95" s="34" t="s">
        <v>155</v>
      </c>
      <c r="AD95" s="10" t="s">
        <v>39</v>
      </c>
      <c r="AE95" s="10">
        <v>8</v>
      </c>
      <c r="AF95" s="10" t="s">
        <v>152</v>
      </c>
      <c r="AG95">
        <v>92</v>
      </c>
      <c r="AH95" s="10"/>
      <c r="AI95" s="43"/>
      <c r="AK95" s="44"/>
      <c r="AL95" s="45" t="s">
        <v>155</v>
      </c>
      <c r="AM95" s="39" t="s">
        <v>39</v>
      </c>
      <c r="AN95" s="39">
        <v>8</v>
      </c>
      <c r="AO95" s="39" t="s">
        <v>152</v>
      </c>
      <c r="AP95" s="27">
        <v>92</v>
      </c>
      <c r="AQ95" s="39" t="s">
        <v>2</v>
      </c>
      <c r="AR95" s="41" t="s">
        <v>162</v>
      </c>
      <c r="AS95" s="27"/>
      <c r="AT95" s="44"/>
      <c r="AU95" s="45" t="s">
        <v>155</v>
      </c>
      <c r="AV95" s="39" t="s">
        <v>39</v>
      </c>
      <c r="AW95" s="39">
        <v>8</v>
      </c>
      <c r="AX95" s="39" t="s">
        <v>152</v>
      </c>
      <c r="AY95" s="27">
        <v>92</v>
      </c>
      <c r="AZ95" s="39">
        <v>2017</v>
      </c>
      <c r="BA95" s="40" t="s">
        <v>160</v>
      </c>
      <c r="BB95" s="27"/>
      <c r="BC95" s="44"/>
      <c r="BD95" s="45" t="s">
        <v>155</v>
      </c>
      <c r="BE95" s="39" t="s">
        <v>39</v>
      </c>
      <c r="BF95" s="39">
        <v>8</v>
      </c>
      <c r="BG95" s="39" t="s">
        <v>152</v>
      </c>
      <c r="BH95" s="27">
        <v>92</v>
      </c>
      <c r="BI95" s="39">
        <v>1031</v>
      </c>
      <c r="BJ95" s="41" t="s">
        <v>188</v>
      </c>
      <c r="BK95" s="27"/>
      <c r="BL95" s="44"/>
      <c r="BM95" s="45" t="s">
        <v>155</v>
      </c>
      <c r="BN95" s="39" t="s">
        <v>39</v>
      </c>
      <c r="BO95" s="39">
        <v>8</v>
      </c>
      <c r="BP95" s="39" t="s">
        <v>152</v>
      </c>
      <c r="BQ95" s="27">
        <v>92</v>
      </c>
      <c r="BR95" s="39">
        <v>1029</v>
      </c>
      <c r="BS95" s="41" t="s">
        <v>164</v>
      </c>
      <c r="BT95" s="27">
        <v>44</v>
      </c>
      <c r="BU95" s="44"/>
      <c r="BV95" s="45" t="s">
        <v>155</v>
      </c>
      <c r="BW95" s="39" t="s">
        <v>39</v>
      </c>
      <c r="BX95" s="39">
        <v>8</v>
      </c>
      <c r="BY95" s="39" t="s">
        <v>152</v>
      </c>
      <c r="BZ95" s="27">
        <v>92</v>
      </c>
      <c r="CA95" s="39" t="s">
        <v>51</v>
      </c>
      <c r="CB95" s="41" t="s">
        <v>187</v>
      </c>
      <c r="CC95" s="27"/>
      <c r="CD95" s="44"/>
      <c r="CE95" s="45" t="s">
        <v>155</v>
      </c>
      <c r="CF95" s="39" t="s">
        <v>39</v>
      </c>
      <c r="CG95" s="39">
        <v>8</v>
      </c>
      <c r="CH95" s="39" t="s">
        <v>152</v>
      </c>
      <c r="CI95" s="27">
        <v>92</v>
      </c>
      <c r="CJ95" s="39" t="s">
        <v>45</v>
      </c>
      <c r="CK95" s="41" t="s">
        <v>170</v>
      </c>
    </row>
    <row r="96" spans="1:89" ht="15.75" thickBot="1" x14ac:dyDescent="0.3">
      <c r="A96" s="42"/>
      <c r="B96" s="34" t="s">
        <v>151</v>
      </c>
      <c r="C96" s="10" t="s">
        <v>39</v>
      </c>
      <c r="D96" s="10">
        <v>9</v>
      </c>
      <c r="E96" s="10" t="s">
        <v>152</v>
      </c>
      <c r="F96">
        <v>93</v>
      </c>
      <c r="G96" s="10" t="s">
        <v>156</v>
      </c>
      <c r="H96" s="43" t="s">
        <v>173</v>
      </c>
      <c r="J96" s="42"/>
      <c r="K96" s="34" t="s">
        <v>155</v>
      </c>
      <c r="L96" s="10" t="s">
        <v>39</v>
      </c>
      <c r="M96" s="10">
        <v>9</v>
      </c>
      <c r="N96" s="10" t="s">
        <v>152</v>
      </c>
      <c r="O96">
        <v>93</v>
      </c>
      <c r="P96" s="10" t="s">
        <v>214</v>
      </c>
      <c r="Q96" s="43" t="s">
        <v>174</v>
      </c>
      <c r="S96" s="42"/>
      <c r="T96" s="34" t="s">
        <v>155</v>
      </c>
      <c r="U96" s="10" t="s">
        <v>39</v>
      </c>
      <c r="V96" s="10">
        <v>9</v>
      </c>
      <c r="W96" s="10" t="s">
        <v>152</v>
      </c>
      <c r="X96">
        <v>93</v>
      </c>
      <c r="Y96" s="10"/>
      <c r="Z96" s="43"/>
      <c r="AB96" s="42"/>
      <c r="AC96" s="34" t="s">
        <v>155</v>
      </c>
      <c r="AD96" s="10" t="s">
        <v>39</v>
      </c>
      <c r="AE96" s="10">
        <v>9</v>
      </c>
      <c r="AF96" s="10" t="s">
        <v>152</v>
      </c>
      <c r="AG96">
        <v>93</v>
      </c>
      <c r="AH96" s="10"/>
      <c r="AI96" s="43"/>
      <c r="AK96" s="44"/>
      <c r="AL96" s="45" t="s">
        <v>155</v>
      </c>
      <c r="AM96" s="39" t="s">
        <v>39</v>
      </c>
      <c r="AN96" s="39">
        <v>9</v>
      </c>
      <c r="AO96" s="39" t="s">
        <v>152</v>
      </c>
      <c r="AP96" s="27">
        <v>93</v>
      </c>
      <c r="AQ96" s="39" t="s">
        <v>2</v>
      </c>
      <c r="AR96" s="41" t="s">
        <v>170</v>
      </c>
      <c r="AS96" s="27"/>
      <c r="AT96" s="44"/>
      <c r="AU96" s="45" t="s">
        <v>155</v>
      </c>
      <c r="AV96" s="39" t="s">
        <v>39</v>
      </c>
      <c r="AW96" s="39">
        <v>9</v>
      </c>
      <c r="AX96" s="39" t="s">
        <v>152</v>
      </c>
      <c r="AY96" s="27">
        <v>93</v>
      </c>
      <c r="AZ96" s="39">
        <v>2017</v>
      </c>
      <c r="BA96" s="41" t="s">
        <v>168</v>
      </c>
      <c r="BB96" s="27"/>
      <c r="BC96" s="44"/>
      <c r="BD96" s="45" t="s">
        <v>155</v>
      </c>
      <c r="BE96" s="39" t="s">
        <v>39</v>
      </c>
      <c r="BF96" s="39">
        <v>9</v>
      </c>
      <c r="BG96" s="39" t="s">
        <v>152</v>
      </c>
      <c r="BH96" s="27">
        <v>93</v>
      </c>
      <c r="BI96" s="39">
        <v>1031</v>
      </c>
      <c r="BJ96" s="41" t="s">
        <v>182</v>
      </c>
      <c r="BK96" s="27"/>
      <c r="BL96" s="44"/>
      <c r="BM96" s="45" t="s">
        <v>155</v>
      </c>
      <c r="BN96" s="39" t="s">
        <v>39</v>
      </c>
      <c r="BO96" s="39">
        <v>9</v>
      </c>
      <c r="BP96" s="39" t="s">
        <v>152</v>
      </c>
      <c r="BQ96" s="27">
        <v>93</v>
      </c>
      <c r="BR96" s="39">
        <v>1029</v>
      </c>
      <c r="BS96" s="41" t="s">
        <v>172</v>
      </c>
      <c r="BT96" s="27">
        <v>45</v>
      </c>
      <c r="BU96" s="44"/>
      <c r="BV96" s="45" t="s">
        <v>155</v>
      </c>
      <c r="BW96" s="39" t="s">
        <v>39</v>
      </c>
      <c r="BX96" s="39">
        <v>9</v>
      </c>
      <c r="BY96" s="39" t="s">
        <v>152</v>
      </c>
      <c r="BZ96" s="27">
        <v>93</v>
      </c>
      <c r="CA96" s="39" t="s">
        <v>51</v>
      </c>
      <c r="CB96" s="41" t="s">
        <v>189</v>
      </c>
      <c r="CC96" s="27"/>
      <c r="CD96" s="44"/>
      <c r="CE96" s="45" t="s">
        <v>155</v>
      </c>
      <c r="CF96" s="39" t="s">
        <v>39</v>
      </c>
      <c r="CG96" s="39">
        <v>9</v>
      </c>
      <c r="CH96" s="39" t="s">
        <v>152</v>
      </c>
      <c r="CI96" s="27">
        <v>93</v>
      </c>
      <c r="CJ96" s="39" t="s">
        <v>45</v>
      </c>
      <c r="CK96" s="41" t="s">
        <v>178</v>
      </c>
    </row>
    <row r="97" spans="1:98" x14ac:dyDescent="0.25">
      <c r="A97" s="42"/>
      <c r="B97" s="34" t="s">
        <v>151</v>
      </c>
      <c r="C97" s="10" t="s">
        <v>39</v>
      </c>
      <c r="D97" s="10">
        <v>10</v>
      </c>
      <c r="E97" s="10" t="s">
        <v>152</v>
      </c>
      <c r="F97">
        <v>94</v>
      </c>
      <c r="G97" s="10" t="s">
        <v>156</v>
      </c>
      <c r="H97" s="43" t="s">
        <v>159</v>
      </c>
      <c r="J97" s="42"/>
      <c r="K97" s="34" t="s">
        <v>155</v>
      </c>
      <c r="L97" s="10" t="s">
        <v>39</v>
      </c>
      <c r="M97" s="10">
        <v>10</v>
      </c>
      <c r="N97" s="10" t="s">
        <v>152</v>
      </c>
      <c r="O97">
        <v>94</v>
      </c>
      <c r="P97" s="10" t="s">
        <v>158</v>
      </c>
      <c r="Q97" s="43" t="s">
        <v>154</v>
      </c>
      <c r="S97" s="42"/>
      <c r="T97" s="34" t="s">
        <v>155</v>
      </c>
      <c r="U97" s="10" t="s">
        <v>39</v>
      </c>
      <c r="V97" s="10">
        <v>10</v>
      </c>
      <c r="W97" s="10" t="s">
        <v>152</v>
      </c>
      <c r="X97">
        <v>94</v>
      </c>
      <c r="Y97" s="10"/>
      <c r="Z97" s="43"/>
      <c r="AB97" s="42"/>
      <c r="AC97" s="34" t="s">
        <v>155</v>
      </c>
      <c r="AD97" s="10" t="s">
        <v>39</v>
      </c>
      <c r="AE97" s="10">
        <v>10</v>
      </c>
      <c r="AF97" s="10" t="s">
        <v>152</v>
      </c>
      <c r="AG97">
        <v>94</v>
      </c>
      <c r="AH97" s="10"/>
      <c r="AI97" s="43"/>
      <c r="AK97" s="44"/>
      <c r="AL97" s="45" t="s">
        <v>155</v>
      </c>
      <c r="AM97" s="39" t="s">
        <v>39</v>
      </c>
      <c r="AN97" s="39">
        <v>10</v>
      </c>
      <c r="AO97" s="39" t="s">
        <v>152</v>
      </c>
      <c r="AP97" s="27">
        <v>94</v>
      </c>
      <c r="AQ97" s="39" t="s">
        <v>2</v>
      </c>
      <c r="AR97" s="41" t="s">
        <v>178</v>
      </c>
      <c r="AS97" s="27"/>
      <c r="AT97" s="44"/>
      <c r="AU97" s="45" t="s">
        <v>155</v>
      </c>
      <c r="AV97" s="39" t="s">
        <v>39</v>
      </c>
      <c r="AW97" s="39">
        <v>10</v>
      </c>
      <c r="AX97" s="39" t="s">
        <v>152</v>
      </c>
      <c r="AY97" s="27">
        <v>94</v>
      </c>
      <c r="AZ97" s="39">
        <v>2017</v>
      </c>
      <c r="BA97" s="41" t="s">
        <v>176</v>
      </c>
      <c r="BB97" s="27"/>
      <c r="BC97" s="44"/>
      <c r="BD97" s="45" t="s">
        <v>155</v>
      </c>
      <c r="BE97" s="39" t="s">
        <v>39</v>
      </c>
      <c r="BF97" s="39">
        <v>10</v>
      </c>
      <c r="BG97" s="39" t="s">
        <v>152</v>
      </c>
      <c r="BH97" s="27">
        <v>94</v>
      </c>
      <c r="BI97" s="39">
        <v>1031</v>
      </c>
      <c r="BJ97" s="41" t="s">
        <v>184</v>
      </c>
      <c r="BK97" s="27"/>
      <c r="BL97" s="44"/>
      <c r="BM97" s="45" t="s">
        <v>155</v>
      </c>
      <c r="BN97" s="39" t="s">
        <v>39</v>
      </c>
      <c r="BO97" s="39">
        <v>10</v>
      </c>
      <c r="BP97" s="39" t="s">
        <v>152</v>
      </c>
      <c r="BQ97" s="27">
        <v>94</v>
      </c>
      <c r="BR97" s="39">
        <v>1029</v>
      </c>
      <c r="BS97" s="41" t="s">
        <v>162</v>
      </c>
      <c r="BT97" s="27"/>
      <c r="BU97" s="44"/>
      <c r="BV97" s="45" t="s">
        <v>155</v>
      </c>
      <c r="BW97" s="39" t="s">
        <v>39</v>
      </c>
      <c r="BX97" s="39">
        <v>10</v>
      </c>
      <c r="BY97" s="39" t="s">
        <v>152</v>
      </c>
      <c r="BZ97" s="27">
        <v>94</v>
      </c>
      <c r="CA97" s="39">
        <v>1038</v>
      </c>
      <c r="CB97" s="40" t="s">
        <v>160</v>
      </c>
      <c r="CC97" s="27"/>
      <c r="CD97" s="44"/>
      <c r="CE97" s="45" t="s">
        <v>155</v>
      </c>
      <c r="CF97" s="39" t="s">
        <v>39</v>
      </c>
      <c r="CG97" s="39">
        <v>10</v>
      </c>
      <c r="CH97" s="39" t="s">
        <v>152</v>
      </c>
      <c r="CI97" s="27">
        <v>94</v>
      </c>
      <c r="CJ97" s="39" t="s">
        <v>45</v>
      </c>
      <c r="CK97" s="41" t="s">
        <v>163</v>
      </c>
    </row>
    <row r="98" spans="1:98" x14ac:dyDescent="0.25">
      <c r="A98" s="42"/>
      <c r="B98" s="34" t="s">
        <v>151</v>
      </c>
      <c r="C98" s="10" t="s">
        <v>39</v>
      </c>
      <c r="D98" s="10">
        <v>11</v>
      </c>
      <c r="E98" s="10" t="s">
        <v>152</v>
      </c>
      <c r="F98">
        <v>95</v>
      </c>
      <c r="G98" s="10" t="s">
        <v>156</v>
      </c>
      <c r="H98" s="43" t="s">
        <v>167</v>
      </c>
      <c r="J98" s="42"/>
      <c r="K98" s="34" t="s">
        <v>155</v>
      </c>
      <c r="L98" s="10" t="s">
        <v>39</v>
      </c>
      <c r="M98" s="10">
        <v>11</v>
      </c>
      <c r="N98" s="10" t="s">
        <v>152</v>
      </c>
      <c r="O98">
        <v>95</v>
      </c>
      <c r="P98" s="10" t="s">
        <v>158</v>
      </c>
      <c r="Q98" s="43" t="s">
        <v>165</v>
      </c>
      <c r="S98" s="42"/>
      <c r="T98" s="34" t="s">
        <v>155</v>
      </c>
      <c r="U98" s="10" t="s">
        <v>39</v>
      </c>
      <c r="V98" s="10">
        <v>11</v>
      </c>
      <c r="W98" s="10" t="s">
        <v>152</v>
      </c>
      <c r="X98">
        <v>95</v>
      </c>
      <c r="Y98" s="10"/>
      <c r="Z98" s="43"/>
      <c r="AB98" s="42"/>
      <c r="AC98" s="34" t="s">
        <v>155</v>
      </c>
      <c r="AD98" s="10" t="s">
        <v>39</v>
      </c>
      <c r="AE98" s="10">
        <v>11</v>
      </c>
      <c r="AF98" s="10" t="s">
        <v>152</v>
      </c>
      <c r="AG98">
        <v>95</v>
      </c>
      <c r="AH98" s="10"/>
      <c r="AI98" s="43"/>
      <c r="AK98" s="44"/>
      <c r="AL98" s="45" t="s">
        <v>155</v>
      </c>
      <c r="AM98" s="39" t="s">
        <v>39</v>
      </c>
      <c r="AN98" s="39">
        <v>11</v>
      </c>
      <c r="AO98" s="39" t="s">
        <v>152</v>
      </c>
      <c r="AP98" s="27">
        <v>95</v>
      </c>
      <c r="AQ98" s="39" t="s">
        <v>2</v>
      </c>
      <c r="AR98" s="41" t="s">
        <v>163</v>
      </c>
      <c r="AS98" s="27"/>
      <c r="AT98" s="44"/>
      <c r="AU98" s="45" t="s">
        <v>155</v>
      </c>
      <c r="AV98" s="39" t="s">
        <v>39</v>
      </c>
      <c r="AW98" s="39">
        <v>11</v>
      </c>
      <c r="AX98" s="39" t="s">
        <v>152</v>
      </c>
      <c r="AY98" s="27">
        <v>95</v>
      </c>
      <c r="AZ98" s="39">
        <v>2017</v>
      </c>
      <c r="BA98" s="41" t="s">
        <v>164</v>
      </c>
      <c r="BB98" s="27"/>
      <c r="BC98" s="44"/>
      <c r="BD98" s="45" t="s">
        <v>155</v>
      </c>
      <c r="BE98" s="39" t="s">
        <v>39</v>
      </c>
      <c r="BF98" s="39">
        <v>11</v>
      </c>
      <c r="BG98" s="39" t="s">
        <v>152</v>
      </c>
      <c r="BH98" s="27">
        <v>95</v>
      </c>
      <c r="BI98" s="39">
        <v>1031</v>
      </c>
      <c r="BJ98" s="41" t="s">
        <v>187</v>
      </c>
      <c r="BK98" s="27"/>
      <c r="BL98" s="44"/>
      <c r="BM98" s="45" t="s">
        <v>155</v>
      </c>
      <c r="BN98" s="39" t="s">
        <v>39</v>
      </c>
      <c r="BO98" s="39">
        <v>11</v>
      </c>
      <c r="BP98" s="39" t="s">
        <v>152</v>
      </c>
      <c r="BQ98" s="27">
        <v>95</v>
      </c>
      <c r="BR98" s="39">
        <v>1029</v>
      </c>
      <c r="BS98" s="41" t="s">
        <v>170</v>
      </c>
      <c r="BT98" s="27"/>
      <c r="BU98" s="44"/>
      <c r="BV98" s="45" t="s">
        <v>155</v>
      </c>
      <c r="BW98" s="39" t="s">
        <v>39</v>
      </c>
      <c r="BX98" s="39">
        <v>11</v>
      </c>
      <c r="BY98" s="39" t="s">
        <v>152</v>
      </c>
      <c r="BZ98" s="27">
        <v>95</v>
      </c>
      <c r="CA98" s="39">
        <v>1038</v>
      </c>
      <c r="CB98" s="41" t="s">
        <v>168</v>
      </c>
      <c r="CC98" s="27"/>
      <c r="CD98" s="44"/>
      <c r="CE98" s="45" t="s">
        <v>155</v>
      </c>
      <c r="CF98" s="39" t="s">
        <v>39</v>
      </c>
      <c r="CG98" s="39">
        <v>11</v>
      </c>
      <c r="CH98" s="39" t="s">
        <v>152</v>
      </c>
      <c r="CI98" s="27">
        <v>95</v>
      </c>
      <c r="CJ98" s="39" t="s">
        <v>45</v>
      </c>
      <c r="CK98" s="41" t="s">
        <v>171</v>
      </c>
    </row>
    <row r="99" spans="1:98" ht="15.75" thickBot="1" x14ac:dyDescent="0.3">
      <c r="A99" s="65"/>
      <c r="B99" s="66" t="s">
        <v>151</v>
      </c>
      <c r="C99" s="17" t="s">
        <v>39</v>
      </c>
      <c r="D99" s="17">
        <v>12</v>
      </c>
      <c r="E99" s="17" t="s">
        <v>152</v>
      </c>
      <c r="F99" s="67">
        <v>96</v>
      </c>
      <c r="G99" s="17" t="s">
        <v>156</v>
      </c>
      <c r="H99" s="68" t="s">
        <v>175</v>
      </c>
      <c r="J99" s="65"/>
      <c r="K99" s="66" t="s">
        <v>155</v>
      </c>
      <c r="L99" s="17" t="s">
        <v>39</v>
      </c>
      <c r="M99" s="17">
        <v>12</v>
      </c>
      <c r="N99" s="17" t="s">
        <v>152</v>
      </c>
      <c r="O99" s="67">
        <v>96</v>
      </c>
      <c r="P99" s="17" t="s">
        <v>158</v>
      </c>
      <c r="Q99" s="68" t="s">
        <v>173</v>
      </c>
      <c r="S99" s="65"/>
      <c r="T99" s="66" t="s">
        <v>155</v>
      </c>
      <c r="U99" s="17" t="s">
        <v>39</v>
      </c>
      <c r="V99" s="17">
        <v>12</v>
      </c>
      <c r="W99" s="17" t="s">
        <v>152</v>
      </c>
      <c r="X99" s="67">
        <v>96</v>
      </c>
      <c r="Y99" s="17"/>
      <c r="Z99" s="68"/>
      <c r="AB99" s="65"/>
      <c r="AC99" s="66" t="s">
        <v>155</v>
      </c>
      <c r="AD99" s="17" t="s">
        <v>39</v>
      </c>
      <c r="AE99" s="17">
        <v>12</v>
      </c>
      <c r="AF99" s="17" t="s">
        <v>152</v>
      </c>
      <c r="AG99" s="67">
        <v>96</v>
      </c>
      <c r="AH99" s="17"/>
      <c r="AI99" s="68"/>
      <c r="AK99" s="69"/>
      <c r="AL99" s="70" t="s">
        <v>155</v>
      </c>
      <c r="AM99" s="71" t="s">
        <v>39</v>
      </c>
      <c r="AN99" s="71">
        <v>12</v>
      </c>
      <c r="AO99" s="71" t="s">
        <v>152</v>
      </c>
      <c r="AP99" s="72">
        <v>96</v>
      </c>
      <c r="AQ99" s="39" t="s">
        <v>2</v>
      </c>
      <c r="AR99" s="41" t="s">
        <v>171</v>
      </c>
      <c r="AS99" s="27"/>
      <c r="AT99" s="69"/>
      <c r="AU99" s="70" t="s">
        <v>155</v>
      </c>
      <c r="AV99" s="71" t="s">
        <v>39</v>
      </c>
      <c r="AW99" s="71">
        <v>12</v>
      </c>
      <c r="AX99" s="71" t="s">
        <v>152</v>
      </c>
      <c r="AY99" s="72">
        <v>96</v>
      </c>
      <c r="AZ99" s="71">
        <v>2017</v>
      </c>
      <c r="BA99" s="41" t="s">
        <v>172</v>
      </c>
      <c r="BB99" s="27"/>
      <c r="BC99" s="69"/>
      <c r="BD99" s="70" t="s">
        <v>155</v>
      </c>
      <c r="BE99" s="71" t="s">
        <v>39</v>
      </c>
      <c r="BF99" s="71">
        <v>12</v>
      </c>
      <c r="BG99" s="71" t="s">
        <v>152</v>
      </c>
      <c r="BH99" s="72">
        <v>96</v>
      </c>
      <c r="BI99" s="39">
        <v>1031</v>
      </c>
      <c r="BJ99" s="41" t="s">
        <v>189</v>
      </c>
      <c r="BK99" s="27"/>
      <c r="BL99" s="69"/>
      <c r="BM99" s="70" t="s">
        <v>155</v>
      </c>
      <c r="BN99" s="71" t="s">
        <v>39</v>
      </c>
      <c r="BO99" s="71">
        <v>12</v>
      </c>
      <c r="BP99" s="71" t="s">
        <v>152</v>
      </c>
      <c r="BQ99" s="72">
        <v>96</v>
      </c>
      <c r="BR99" s="39">
        <v>1029</v>
      </c>
      <c r="BS99" s="41" t="s">
        <v>178</v>
      </c>
      <c r="BT99" s="27"/>
      <c r="BU99" s="69"/>
      <c r="BV99" s="70" t="s">
        <v>155</v>
      </c>
      <c r="BW99" s="71" t="s">
        <v>39</v>
      </c>
      <c r="BX99" s="71">
        <v>12</v>
      </c>
      <c r="BY99" s="71" t="s">
        <v>152</v>
      </c>
      <c r="BZ99" s="72">
        <v>96</v>
      </c>
      <c r="CA99" s="71">
        <v>1038</v>
      </c>
      <c r="CB99" s="41" t="s">
        <v>176</v>
      </c>
      <c r="CC99" s="27"/>
      <c r="CD99" s="69"/>
      <c r="CE99" s="70" t="s">
        <v>155</v>
      </c>
      <c r="CF99" s="71" t="s">
        <v>39</v>
      </c>
      <c r="CG99" s="71">
        <v>12</v>
      </c>
      <c r="CH99" s="71" t="s">
        <v>152</v>
      </c>
      <c r="CI99" s="72">
        <v>96</v>
      </c>
      <c r="CJ99" s="39" t="s">
        <v>45</v>
      </c>
      <c r="CK99" s="41" t="s">
        <v>161</v>
      </c>
    </row>
    <row r="100" spans="1:98" x14ac:dyDescent="0.25">
      <c r="AR100" s="43"/>
      <c r="BA100" s="43"/>
    </row>
    <row r="101" spans="1:98" x14ac:dyDescent="0.25">
      <c r="A101" s="73" t="s">
        <v>215</v>
      </c>
      <c r="C101" s="74"/>
      <c r="D101" s="10"/>
      <c r="E101" s="10"/>
      <c r="F101" s="34"/>
      <c r="J101" t="s">
        <v>216</v>
      </c>
      <c r="S101" t="s">
        <v>217</v>
      </c>
      <c r="AB101" t="s">
        <v>218</v>
      </c>
      <c r="AK101" t="s">
        <v>219</v>
      </c>
      <c r="AR101" s="51"/>
      <c r="AT101" t="s">
        <v>220</v>
      </c>
      <c r="BA101" s="43"/>
      <c r="BC101" s="34" t="s">
        <v>221</v>
      </c>
      <c r="BE101" s="10"/>
      <c r="BF101" s="10"/>
      <c r="BG101" s="10"/>
      <c r="BH101" s="34"/>
      <c r="BL101" t="s">
        <v>222</v>
      </c>
      <c r="BU101" t="s">
        <v>223</v>
      </c>
      <c r="CD101" t="s">
        <v>224</v>
      </c>
    </row>
    <row r="102" spans="1:98" x14ac:dyDescent="0.25">
      <c r="A102" s="27" t="s">
        <v>215</v>
      </c>
      <c r="B102" s="27">
        <v>1015541</v>
      </c>
      <c r="C102" s="27"/>
      <c r="D102" s="73">
        <v>1015552</v>
      </c>
      <c r="E102" s="27" t="s">
        <v>137</v>
      </c>
      <c r="F102" s="27"/>
      <c r="G102" s="27"/>
      <c r="H102" s="27"/>
      <c r="I102" s="27"/>
      <c r="J102" s="27" t="s">
        <v>216</v>
      </c>
      <c r="K102" s="27">
        <v>1015634</v>
      </c>
      <c r="L102" s="27"/>
      <c r="M102">
        <v>1015639</v>
      </c>
      <c r="N102" s="27"/>
      <c r="O102" s="27"/>
      <c r="P102" s="27" t="s">
        <v>137</v>
      </c>
      <c r="Q102" s="27"/>
      <c r="R102" s="27"/>
      <c r="S102" s="27" t="s">
        <v>217</v>
      </c>
      <c r="T102" s="27">
        <v>1015633</v>
      </c>
      <c r="U102" s="27"/>
      <c r="V102">
        <v>1015554</v>
      </c>
      <c r="W102" s="27"/>
      <c r="X102" s="27"/>
      <c r="Y102" s="27" t="s">
        <v>137</v>
      </c>
      <c r="Z102" s="27"/>
      <c r="AA102" s="27"/>
      <c r="AB102" s="27" t="s">
        <v>218</v>
      </c>
      <c r="AC102" s="27">
        <v>1015660</v>
      </c>
      <c r="AD102" s="27"/>
      <c r="AE102">
        <v>1015558</v>
      </c>
      <c r="AF102" s="27" t="s">
        <v>137</v>
      </c>
      <c r="AG102" s="27"/>
      <c r="AH102" s="27"/>
      <c r="AI102" s="27"/>
      <c r="AJ102" s="27"/>
      <c r="AK102" s="27" t="s">
        <v>219</v>
      </c>
      <c r="AL102" s="27">
        <v>1015637</v>
      </c>
      <c r="AM102" s="27"/>
      <c r="AN102">
        <v>1015655</v>
      </c>
      <c r="AO102" s="27" t="s">
        <v>137</v>
      </c>
      <c r="AP102" s="27"/>
      <c r="AQ102" s="27"/>
      <c r="AR102" s="27"/>
      <c r="AS102" s="27"/>
      <c r="AT102" s="27" t="s">
        <v>220</v>
      </c>
      <c r="AU102" s="27">
        <v>1015951</v>
      </c>
      <c r="AV102" s="27"/>
      <c r="AW102">
        <v>1015957</v>
      </c>
      <c r="AX102" s="27" t="s">
        <v>137</v>
      </c>
      <c r="AY102" s="27"/>
      <c r="AZ102" s="27"/>
      <c r="BA102" s="41"/>
      <c r="BB102" s="27"/>
      <c r="BC102" s="27" t="s">
        <v>221</v>
      </c>
      <c r="BD102" s="27">
        <v>1015952</v>
      </c>
      <c r="BE102" s="27"/>
      <c r="BF102" s="34">
        <v>1015656</v>
      </c>
      <c r="BG102" s="27"/>
      <c r="BH102" s="27" t="s">
        <v>137</v>
      </c>
      <c r="BI102" s="27"/>
      <c r="BJ102" s="27"/>
      <c r="BK102" s="27"/>
      <c r="BL102" s="27" t="s">
        <v>222</v>
      </c>
      <c r="BM102" s="27">
        <v>1015960</v>
      </c>
      <c r="BN102" s="27"/>
      <c r="BO102">
        <v>1015626</v>
      </c>
      <c r="BP102" s="27"/>
      <c r="BQ102" s="27" t="s">
        <v>137</v>
      </c>
      <c r="BR102" s="27"/>
      <c r="BS102" s="27"/>
      <c r="BT102" s="27"/>
      <c r="BU102" s="27" t="s">
        <v>223</v>
      </c>
      <c r="BV102" s="27">
        <v>1015959</v>
      </c>
      <c r="BW102" s="27"/>
      <c r="BX102">
        <v>1015622</v>
      </c>
      <c r="BY102" s="27"/>
      <c r="BZ102" s="27" t="s">
        <v>137</v>
      </c>
      <c r="CA102" s="27"/>
      <c r="CB102" s="27"/>
      <c r="CD102" s="27" t="s">
        <v>224</v>
      </c>
      <c r="CE102" s="27">
        <v>1015955</v>
      </c>
      <c r="CF102" s="27"/>
      <c r="CG102">
        <v>1015628</v>
      </c>
      <c r="CH102" s="27" t="s">
        <v>137</v>
      </c>
      <c r="CI102" s="27"/>
      <c r="CJ102" s="27"/>
      <c r="CK102" s="27"/>
    </row>
    <row r="103" spans="1:98" ht="15.75" thickBot="1" x14ac:dyDescent="0.3">
      <c r="A103" s="29" t="s">
        <v>143</v>
      </c>
      <c r="B103" s="29" t="s">
        <v>144</v>
      </c>
      <c r="C103" s="29" t="s">
        <v>145</v>
      </c>
      <c r="D103" s="29" t="s">
        <v>146</v>
      </c>
      <c r="E103" s="29" t="s">
        <v>147</v>
      </c>
      <c r="F103" s="29" t="s">
        <v>148</v>
      </c>
      <c r="G103" s="29" t="s">
        <v>149</v>
      </c>
      <c r="H103" s="29" t="s">
        <v>150</v>
      </c>
      <c r="I103" s="27"/>
      <c r="J103" s="29" t="s">
        <v>143</v>
      </c>
      <c r="K103" s="29" t="s">
        <v>144</v>
      </c>
      <c r="L103" s="29" t="s">
        <v>145</v>
      </c>
      <c r="M103" s="29" t="s">
        <v>146</v>
      </c>
      <c r="N103" s="29" t="s">
        <v>147</v>
      </c>
      <c r="O103" s="29" t="s">
        <v>148</v>
      </c>
      <c r="P103" s="29" t="s">
        <v>149</v>
      </c>
      <c r="Q103" s="29" t="s">
        <v>150</v>
      </c>
      <c r="R103" s="27"/>
      <c r="S103" s="29" t="s">
        <v>143</v>
      </c>
      <c r="T103" s="29" t="s">
        <v>144</v>
      </c>
      <c r="U103" s="29" t="s">
        <v>145</v>
      </c>
      <c r="V103" s="29" t="s">
        <v>146</v>
      </c>
      <c r="W103" s="29" t="s">
        <v>147</v>
      </c>
      <c r="X103" s="29" t="s">
        <v>148</v>
      </c>
      <c r="Y103" s="29" t="s">
        <v>149</v>
      </c>
      <c r="Z103" s="29" t="s">
        <v>150</v>
      </c>
      <c r="AA103" s="27"/>
      <c r="AB103" s="29" t="s">
        <v>143</v>
      </c>
      <c r="AC103" s="29" t="s">
        <v>144</v>
      </c>
      <c r="AD103" s="29" t="s">
        <v>145</v>
      </c>
      <c r="AE103" s="29" t="s">
        <v>146</v>
      </c>
      <c r="AF103" s="29" t="s">
        <v>147</v>
      </c>
      <c r="AG103" s="29" t="s">
        <v>148</v>
      </c>
      <c r="AH103" s="29" t="s">
        <v>149</v>
      </c>
      <c r="AI103" s="29" t="s">
        <v>150</v>
      </c>
      <c r="AJ103" s="27"/>
      <c r="AK103" s="29" t="s">
        <v>143</v>
      </c>
      <c r="AL103" s="29" t="s">
        <v>144</v>
      </c>
      <c r="AM103" s="29" t="s">
        <v>145</v>
      </c>
      <c r="AN103" s="29" t="s">
        <v>146</v>
      </c>
      <c r="AO103" s="29" t="s">
        <v>147</v>
      </c>
      <c r="AP103" s="29" t="s">
        <v>148</v>
      </c>
      <c r="AQ103" s="29" t="s">
        <v>149</v>
      </c>
      <c r="AR103" s="29" t="s">
        <v>150</v>
      </c>
      <c r="AS103" s="27"/>
      <c r="AT103" s="29" t="s">
        <v>143</v>
      </c>
      <c r="AU103" s="29" t="s">
        <v>144</v>
      </c>
      <c r="AV103" s="29" t="s">
        <v>145</v>
      </c>
      <c r="AW103" s="29" t="s">
        <v>146</v>
      </c>
      <c r="AX103" s="29" t="s">
        <v>147</v>
      </c>
      <c r="AY103" s="29" t="s">
        <v>148</v>
      </c>
      <c r="AZ103" s="29" t="s">
        <v>149</v>
      </c>
      <c r="BA103" s="29" t="s">
        <v>150</v>
      </c>
      <c r="BB103" s="27"/>
      <c r="BC103" s="29" t="s">
        <v>143</v>
      </c>
      <c r="BD103" s="29" t="s">
        <v>144</v>
      </c>
      <c r="BE103" s="29" t="s">
        <v>145</v>
      </c>
      <c r="BF103" s="29" t="s">
        <v>146</v>
      </c>
      <c r="BG103" s="29" t="s">
        <v>147</v>
      </c>
      <c r="BH103" s="29" t="s">
        <v>148</v>
      </c>
      <c r="BI103" s="29" t="s">
        <v>149</v>
      </c>
      <c r="BJ103" s="29" t="s">
        <v>150</v>
      </c>
      <c r="BK103" s="27"/>
      <c r="BL103" s="29" t="s">
        <v>143</v>
      </c>
      <c r="BM103" s="29" t="s">
        <v>144</v>
      </c>
      <c r="BN103" s="29" t="s">
        <v>145</v>
      </c>
      <c r="BO103" s="29" t="s">
        <v>146</v>
      </c>
      <c r="BP103" s="29" t="s">
        <v>147</v>
      </c>
      <c r="BQ103" s="29" t="s">
        <v>148</v>
      </c>
      <c r="BR103" s="29" t="s">
        <v>149</v>
      </c>
      <c r="BS103" s="29" t="s">
        <v>150</v>
      </c>
      <c r="BT103" s="27"/>
      <c r="BU103" s="29" t="s">
        <v>143</v>
      </c>
      <c r="BV103" s="29" t="s">
        <v>144</v>
      </c>
      <c r="BW103" s="29" t="s">
        <v>145</v>
      </c>
      <c r="BX103" s="29" t="s">
        <v>146</v>
      </c>
      <c r="BY103" s="29" t="s">
        <v>147</v>
      </c>
      <c r="BZ103" s="29" t="s">
        <v>148</v>
      </c>
      <c r="CA103" s="29" t="s">
        <v>149</v>
      </c>
      <c r="CB103" s="29" t="s">
        <v>150</v>
      </c>
      <c r="CD103" s="29" t="s">
        <v>143</v>
      </c>
      <c r="CE103" s="29" t="s">
        <v>144</v>
      </c>
      <c r="CF103" s="29" t="s">
        <v>145</v>
      </c>
      <c r="CG103" s="29" t="s">
        <v>146</v>
      </c>
      <c r="CH103" s="29" t="s">
        <v>147</v>
      </c>
      <c r="CI103" s="29" t="s">
        <v>148</v>
      </c>
      <c r="CJ103" s="29" t="s">
        <v>149</v>
      </c>
      <c r="CK103" s="29" t="s">
        <v>150</v>
      </c>
      <c r="CM103" s="28"/>
      <c r="CN103" s="28"/>
      <c r="CO103" s="28"/>
      <c r="CP103" s="28"/>
      <c r="CQ103" s="28"/>
      <c r="CR103" s="28"/>
      <c r="CS103" s="28"/>
      <c r="CT103" s="28"/>
    </row>
    <row r="104" spans="1:98" x14ac:dyDescent="0.25">
      <c r="A104" s="35"/>
      <c r="B104" s="36" t="s">
        <v>155</v>
      </c>
      <c r="C104" s="37" t="s">
        <v>0</v>
      </c>
      <c r="D104" s="37">
        <v>1</v>
      </c>
      <c r="E104" s="37" t="s">
        <v>152</v>
      </c>
      <c r="F104" s="38">
        <v>1</v>
      </c>
      <c r="G104" s="39" t="s">
        <v>45</v>
      </c>
      <c r="H104" s="46" t="s">
        <v>169</v>
      </c>
      <c r="I104" s="27"/>
      <c r="J104" s="35"/>
      <c r="K104" s="36" t="s">
        <v>155</v>
      </c>
      <c r="L104" s="37" t="s">
        <v>0</v>
      </c>
      <c r="M104" s="37">
        <v>1</v>
      </c>
      <c r="N104" s="37" t="s">
        <v>152</v>
      </c>
      <c r="O104" s="38">
        <v>1</v>
      </c>
      <c r="P104" s="39" t="s">
        <v>46</v>
      </c>
      <c r="Q104" s="41" t="s">
        <v>184</v>
      </c>
      <c r="R104" s="27"/>
      <c r="S104" s="35"/>
      <c r="T104" s="36" t="s">
        <v>155</v>
      </c>
      <c r="U104" s="37" t="s">
        <v>0</v>
      </c>
      <c r="V104" s="37">
        <v>1</v>
      </c>
      <c r="W104" s="37" t="s">
        <v>152</v>
      </c>
      <c r="X104" s="38">
        <v>1</v>
      </c>
      <c r="Y104" s="39">
        <v>1041</v>
      </c>
      <c r="Z104" s="41" t="s">
        <v>178</v>
      </c>
      <c r="AA104" s="27"/>
      <c r="AB104" s="35"/>
      <c r="AC104" s="36" t="s">
        <v>155</v>
      </c>
      <c r="AD104" s="37" t="s">
        <v>0</v>
      </c>
      <c r="AE104" s="37">
        <v>1</v>
      </c>
      <c r="AF104" s="37" t="s">
        <v>152</v>
      </c>
      <c r="AG104" s="38">
        <v>1</v>
      </c>
      <c r="AH104" s="39" t="s">
        <v>57</v>
      </c>
      <c r="AI104" s="41" t="s">
        <v>183</v>
      </c>
      <c r="AJ104" s="27"/>
      <c r="AK104" s="35"/>
      <c r="AL104" s="36" t="s">
        <v>155</v>
      </c>
      <c r="AM104" s="37" t="s">
        <v>0</v>
      </c>
      <c r="AN104" s="37">
        <v>1</v>
      </c>
      <c r="AO104" s="37" t="s">
        <v>152</v>
      </c>
      <c r="AP104" s="38">
        <v>1</v>
      </c>
      <c r="AQ104" s="39">
        <v>1034</v>
      </c>
      <c r="AR104" s="41" t="s">
        <v>161</v>
      </c>
      <c r="AS104" s="27"/>
      <c r="AT104" s="35"/>
      <c r="AU104" s="36" t="s">
        <v>155</v>
      </c>
      <c r="AV104" s="37" t="s">
        <v>0</v>
      </c>
      <c r="AW104" s="37">
        <v>1</v>
      </c>
      <c r="AX104" s="37" t="s">
        <v>152</v>
      </c>
      <c r="AY104" s="38">
        <v>1</v>
      </c>
      <c r="AZ104" s="39">
        <v>1043</v>
      </c>
      <c r="BA104" s="41" t="s">
        <v>182</v>
      </c>
      <c r="BB104" s="27"/>
      <c r="BC104" s="35"/>
      <c r="BD104" s="36" t="s">
        <v>155</v>
      </c>
      <c r="BE104" s="37" t="s">
        <v>0</v>
      </c>
      <c r="BF104" s="37">
        <v>1</v>
      </c>
      <c r="BG104" s="37" t="s">
        <v>152</v>
      </c>
      <c r="BH104" s="38">
        <v>1</v>
      </c>
      <c r="BI104" s="39" t="s">
        <v>7</v>
      </c>
      <c r="BJ104" s="41" t="s">
        <v>172</v>
      </c>
      <c r="BK104" s="27"/>
      <c r="BL104" s="35"/>
      <c r="BM104" s="36" t="s">
        <v>155</v>
      </c>
      <c r="BN104" s="37" t="s">
        <v>0</v>
      </c>
      <c r="BO104" s="37">
        <v>1</v>
      </c>
      <c r="BP104" s="37" t="s">
        <v>152</v>
      </c>
      <c r="BQ104" s="38">
        <v>1</v>
      </c>
      <c r="BR104" s="39">
        <v>2021</v>
      </c>
      <c r="BS104" s="41" t="s">
        <v>177</v>
      </c>
      <c r="BT104" s="27"/>
      <c r="BU104" s="35"/>
      <c r="BV104" s="36" t="s">
        <v>155</v>
      </c>
      <c r="BW104" s="37" t="s">
        <v>0</v>
      </c>
      <c r="BX104" s="37">
        <v>1</v>
      </c>
      <c r="BY104" s="37" t="s">
        <v>152</v>
      </c>
      <c r="BZ104" s="38">
        <v>1</v>
      </c>
      <c r="CA104" s="39">
        <v>2025</v>
      </c>
      <c r="CB104" s="46" t="s">
        <v>169</v>
      </c>
      <c r="CD104" s="35"/>
      <c r="CE104" s="36" t="s">
        <v>155</v>
      </c>
      <c r="CF104" s="37" t="s">
        <v>0</v>
      </c>
      <c r="CG104" s="37">
        <v>1</v>
      </c>
      <c r="CH104" s="37" t="s">
        <v>152</v>
      </c>
      <c r="CI104" s="38">
        <v>1</v>
      </c>
      <c r="CJ104" s="39" t="s">
        <v>225</v>
      </c>
      <c r="CK104" s="41" t="s">
        <v>184</v>
      </c>
      <c r="CM104" s="30"/>
      <c r="CN104" s="31"/>
      <c r="CO104" s="6"/>
      <c r="CP104" s="6"/>
      <c r="CQ104" s="6"/>
      <c r="CR104" s="32"/>
      <c r="CS104" s="10"/>
      <c r="CT104" s="51"/>
    </row>
    <row r="105" spans="1:98" x14ac:dyDescent="0.25">
      <c r="A105" s="44"/>
      <c r="B105" s="45" t="s">
        <v>155</v>
      </c>
      <c r="C105" s="39" t="s">
        <v>0</v>
      </c>
      <c r="D105" s="39">
        <v>2</v>
      </c>
      <c r="E105" s="39" t="s">
        <v>152</v>
      </c>
      <c r="F105" s="27">
        <v>2</v>
      </c>
      <c r="G105" s="39" t="s">
        <v>45</v>
      </c>
      <c r="H105" s="41" t="s">
        <v>177</v>
      </c>
      <c r="I105" s="27"/>
      <c r="J105" s="44"/>
      <c r="K105" s="45" t="s">
        <v>155</v>
      </c>
      <c r="L105" s="39" t="s">
        <v>0</v>
      </c>
      <c r="M105" s="39">
        <v>2</v>
      </c>
      <c r="N105" s="39" t="s">
        <v>152</v>
      </c>
      <c r="O105" s="27">
        <v>2</v>
      </c>
      <c r="P105" s="39" t="s">
        <v>46</v>
      </c>
      <c r="Q105" s="41" t="s">
        <v>187</v>
      </c>
      <c r="R105" s="27"/>
      <c r="S105" s="44"/>
      <c r="T105" s="45" t="s">
        <v>155</v>
      </c>
      <c r="U105" s="39" t="s">
        <v>0</v>
      </c>
      <c r="V105" s="39">
        <v>2</v>
      </c>
      <c r="W105" s="39" t="s">
        <v>152</v>
      </c>
      <c r="X105" s="27">
        <v>2</v>
      </c>
      <c r="Y105" s="39">
        <v>1041</v>
      </c>
      <c r="Z105" s="41" t="s">
        <v>163</v>
      </c>
      <c r="AA105" s="27"/>
      <c r="AB105" s="44"/>
      <c r="AC105" s="45" t="s">
        <v>155</v>
      </c>
      <c r="AD105" s="39" t="s">
        <v>0</v>
      </c>
      <c r="AE105" s="39">
        <v>2</v>
      </c>
      <c r="AF105" s="39" t="s">
        <v>152</v>
      </c>
      <c r="AG105" s="27">
        <v>2</v>
      </c>
      <c r="AH105" s="39" t="s">
        <v>57</v>
      </c>
      <c r="AI105" s="41" t="s">
        <v>186</v>
      </c>
      <c r="AJ105" s="27"/>
      <c r="AK105" s="44"/>
      <c r="AL105" s="45" t="s">
        <v>155</v>
      </c>
      <c r="AM105" s="39" t="s">
        <v>0</v>
      </c>
      <c r="AN105" s="39">
        <v>2</v>
      </c>
      <c r="AO105" s="39" t="s">
        <v>152</v>
      </c>
      <c r="AP105" s="27">
        <v>2</v>
      </c>
      <c r="AQ105" s="39">
        <v>1034</v>
      </c>
      <c r="AR105" s="46" t="s">
        <v>169</v>
      </c>
      <c r="AS105" s="27"/>
      <c r="AT105" s="44"/>
      <c r="AU105" s="45" t="s">
        <v>155</v>
      </c>
      <c r="AV105" s="39" t="s">
        <v>0</v>
      </c>
      <c r="AW105" s="39">
        <v>2</v>
      </c>
      <c r="AX105" s="39" t="s">
        <v>152</v>
      </c>
      <c r="AY105" s="27">
        <v>2</v>
      </c>
      <c r="AZ105" s="39">
        <v>1043</v>
      </c>
      <c r="BA105" s="41" t="s">
        <v>184</v>
      </c>
      <c r="BB105" s="27"/>
      <c r="BC105" s="44"/>
      <c r="BD105" s="45" t="s">
        <v>155</v>
      </c>
      <c r="BE105" s="39" t="s">
        <v>0</v>
      </c>
      <c r="BF105" s="39">
        <v>2</v>
      </c>
      <c r="BG105" s="39" t="s">
        <v>152</v>
      </c>
      <c r="BH105" s="27">
        <v>2</v>
      </c>
      <c r="BI105" s="39" t="s">
        <v>7</v>
      </c>
      <c r="BJ105" s="41" t="s">
        <v>162</v>
      </c>
      <c r="BK105" s="27"/>
      <c r="BL105" s="44"/>
      <c r="BM105" s="45" t="s">
        <v>155</v>
      </c>
      <c r="BN105" s="39" t="s">
        <v>0</v>
      </c>
      <c r="BO105" s="39">
        <v>2</v>
      </c>
      <c r="BP105" s="39" t="s">
        <v>152</v>
      </c>
      <c r="BQ105" s="27">
        <v>2</v>
      </c>
      <c r="BR105" s="39">
        <v>2021</v>
      </c>
      <c r="BS105" s="41" t="s">
        <v>180</v>
      </c>
      <c r="BT105" s="27"/>
      <c r="BU105" s="44"/>
      <c r="BV105" s="45" t="s">
        <v>155</v>
      </c>
      <c r="BW105" s="39" t="s">
        <v>0</v>
      </c>
      <c r="BX105" s="39">
        <v>2</v>
      </c>
      <c r="BY105" s="39" t="s">
        <v>152</v>
      </c>
      <c r="BZ105" s="27">
        <v>2</v>
      </c>
      <c r="CA105" s="39">
        <v>2025</v>
      </c>
      <c r="CB105" s="41" t="s">
        <v>177</v>
      </c>
      <c r="CD105" s="44"/>
      <c r="CE105" s="45" t="s">
        <v>155</v>
      </c>
      <c r="CF105" s="39" t="s">
        <v>0</v>
      </c>
      <c r="CG105" s="39">
        <v>2</v>
      </c>
      <c r="CH105" s="39" t="s">
        <v>152</v>
      </c>
      <c r="CI105" s="27">
        <v>2</v>
      </c>
      <c r="CJ105" s="39" t="s">
        <v>226</v>
      </c>
      <c r="CK105" s="41" t="s">
        <v>187</v>
      </c>
      <c r="CM105" s="42"/>
      <c r="CN105" s="34"/>
      <c r="CO105" s="10"/>
      <c r="CP105" s="10"/>
      <c r="CQ105" s="10"/>
      <c r="CS105" s="10"/>
      <c r="CT105" s="43"/>
    </row>
    <row r="106" spans="1:98" ht="15.75" thickBot="1" x14ac:dyDescent="0.3">
      <c r="A106" s="44"/>
      <c r="B106" s="45" t="s">
        <v>155</v>
      </c>
      <c r="C106" s="39" t="s">
        <v>0</v>
      </c>
      <c r="D106" s="39">
        <v>3</v>
      </c>
      <c r="E106" s="39" t="s">
        <v>152</v>
      </c>
      <c r="F106" s="27">
        <v>3</v>
      </c>
      <c r="G106" s="39" t="s">
        <v>45</v>
      </c>
      <c r="H106" s="41" t="s">
        <v>180</v>
      </c>
      <c r="I106" s="27"/>
      <c r="J106" s="44"/>
      <c r="K106" s="45" t="s">
        <v>155</v>
      </c>
      <c r="L106" s="39" t="s">
        <v>0</v>
      </c>
      <c r="M106" s="39">
        <v>3</v>
      </c>
      <c r="N106" s="39" t="s">
        <v>152</v>
      </c>
      <c r="O106" s="27">
        <v>3</v>
      </c>
      <c r="P106" s="39" t="s">
        <v>46</v>
      </c>
      <c r="Q106" s="41" t="s">
        <v>189</v>
      </c>
      <c r="R106" s="27"/>
      <c r="S106" s="44"/>
      <c r="T106" s="45" t="s">
        <v>155</v>
      </c>
      <c r="U106" s="39" t="s">
        <v>0</v>
      </c>
      <c r="V106" s="39">
        <v>3</v>
      </c>
      <c r="W106" s="39" t="s">
        <v>152</v>
      </c>
      <c r="X106" s="27">
        <v>3</v>
      </c>
      <c r="Y106" s="39">
        <v>1041</v>
      </c>
      <c r="Z106" s="41" t="s">
        <v>171</v>
      </c>
      <c r="AA106" s="27"/>
      <c r="AB106" s="44"/>
      <c r="AC106" s="45" t="s">
        <v>155</v>
      </c>
      <c r="AD106" s="39" t="s">
        <v>0</v>
      </c>
      <c r="AE106" s="39">
        <v>3</v>
      </c>
      <c r="AF106" s="39" t="s">
        <v>152</v>
      </c>
      <c r="AG106" s="27">
        <v>3</v>
      </c>
      <c r="AH106" s="39" t="s">
        <v>57</v>
      </c>
      <c r="AI106" s="41" t="s">
        <v>188</v>
      </c>
      <c r="AJ106" s="27"/>
      <c r="AK106" s="44"/>
      <c r="AL106" s="45" t="s">
        <v>155</v>
      </c>
      <c r="AM106" s="39" t="s">
        <v>0</v>
      </c>
      <c r="AN106" s="39">
        <v>3</v>
      </c>
      <c r="AO106" s="39" t="s">
        <v>152</v>
      </c>
      <c r="AP106" s="27">
        <v>3</v>
      </c>
      <c r="AQ106" s="39">
        <v>1034</v>
      </c>
      <c r="AR106" s="41" t="s">
        <v>177</v>
      </c>
      <c r="AS106" s="27"/>
      <c r="AT106" s="44"/>
      <c r="AU106" s="45" t="s">
        <v>155</v>
      </c>
      <c r="AV106" s="39" t="s">
        <v>0</v>
      </c>
      <c r="AW106" s="39">
        <v>3</v>
      </c>
      <c r="AX106" s="39" t="s">
        <v>152</v>
      </c>
      <c r="AY106" s="27">
        <v>3</v>
      </c>
      <c r="AZ106" s="39">
        <v>1043</v>
      </c>
      <c r="BA106" s="41" t="s">
        <v>187</v>
      </c>
      <c r="BB106" s="27"/>
      <c r="BC106" s="44"/>
      <c r="BD106" s="45" t="s">
        <v>155</v>
      </c>
      <c r="BE106" s="39" t="s">
        <v>0</v>
      </c>
      <c r="BF106" s="39">
        <v>3</v>
      </c>
      <c r="BG106" s="39" t="s">
        <v>152</v>
      </c>
      <c r="BH106" s="27">
        <v>3</v>
      </c>
      <c r="BI106" s="39" t="s">
        <v>7</v>
      </c>
      <c r="BJ106" s="41" t="s">
        <v>170</v>
      </c>
      <c r="BK106" s="27"/>
      <c r="BL106" s="44"/>
      <c r="BM106" s="45" t="s">
        <v>155</v>
      </c>
      <c r="BN106" s="39" t="s">
        <v>0</v>
      </c>
      <c r="BO106" s="39">
        <v>3</v>
      </c>
      <c r="BP106" s="39" t="s">
        <v>152</v>
      </c>
      <c r="BQ106" s="27">
        <v>3</v>
      </c>
      <c r="BR106" s="39">
        <v>2021</v>
      </c>
      <c r="BS106" s="41" t="s">
        <v>181</v>
      </c>
      <c r="BT106" s="27"/>
      <c r="BU106" s="44"/>
      <c r="BV106" s="45" t="s">
        <v>155</v>
      </c>
      <c r="BW106" s="39" t="s">
        <v>0</v>
      </c>
      <c r="BX106" s="39">
        <v>3</v>
      </c>
      <c r="BY106" s="39" t="s">
        <v>152</v>
      </c>
      <c r="BZ106" s="27">
        <v>3</v>
      </c>
      <c r="CA106" s="39">
        <v>2025</v>
      </c>
      <c r="CB106" s="41" t="s">
        <v>180</v>
      </c>
      <c r="CD106" s="44"/>
      <c r="CE106" s="45" t="s">
        <v>155</v>
      </c>
      <c r="CF106" s="39" t="s">
        <v>0</v>
      </c>
      <c r="CG106" s="39">
        <v>3</v>
      </c>
      <c r="CH106" s="39" t="s">
        <v>152</v>
      </c>
      <c r="CI106" s="27">
        <v>3</v>
      </c>
      <c r="CJ106" s="39" t="s">
        <v>227</v>
      </c>
      <c r="CK106" s="41" t="s">
        <v>189</v>
      </c>
      <c r="CM106" s="42"/>
      <c r="CN106" s="34"/>
      <c r="CO106" s="10"/>
      <c r="CP106" s="10"/>
      <c r="CQ106" s="10"/>
      <c r="CS106" s="10"/>
      <c r="CT106" s="43"/>
    </row>
    <row r="107" spans="1:98" ht="15.75" thickBot="1" x14ac:dyDescent="0.3">
      <c r="A107" s="44"/>
      <c r="B107" s="45" t="s">
        <v>155</v>
      </c>
      <c r="C107" s="39" t="s">
        <v>0</v>
      </c>
      <c r="D107" s="39">
        <v>4</v>
      </c>
      <c r="E107" s="39" t="s">
        <v>152</v>
      </c>
      <c r="F107" s="27">
        <v>4</v>
      </c>
      <c r="G107" s="39" t="s">
        <v>45</v>
      </c>
      <c r="H107" s="41" t="s">
        <v>181</v>
      </c>
      <c r="I107" s="27"/>
      <c r="J107" s="44"/>
      <c r="K107" s="45" t="s">
        <v>155</v>
      </c>
      <c r="L107" s="39" t="s">
        <v>0</v>
      </c>
      <c r="M107" s="39">
        <v>4</v>
      </c>
      <c r="N107" s="39" t="s">
        <v>152</v>
      </c>
      <c r="O107" s="27">
        <v>4</v>
      </c>
      <c r="P107" s="39" t="s">
        <v>55</v>
      </c>
      <c r="Q107" s="40" t="s">
        <v>160</v>
      </c>
      <c r="R107" s="27"/>
      <c r="S107" s="44"/>
      <c r="T107" s="45" t="s">
        <v>155</v>
      </c>
      <c r="U107" s="39" t="s">
        <v>0</v>
      </c>
      <c r="V107" s="39">
        <v>4</v>
      </c>
      <c r="W107" s="39" t="s">
        <v>152</v>
      </c>
      <c r="X107" s="27">
        <v>4</v>
      </c>
      <c r="Y107" s="39">
        <v>1041</v>
      </c>
      <c r="Z107" s="41" t="s">
        <v>161</v>
      </c>
      <c r="AA107" s="27"/>
      <c r="AB107" s="44"/>
      <c r="AC107" s="45" t="s">
        <v>155</v>
      </c>
      <c r="AD107" s="39" t="s">
        <v>0</v>
      </c>
      <c r="AE107" s="39">
        <v>4</v>
      </c>
      <c r="AF107" s="39" t="s">
        <v>152</v>
      </c>
      <c r="AG107" s="27">
        <v>4</v>
      </c>
      <c r="AH107" s="39" t="s">
        <v>57</v>
      </c>
      <c r="AI107" s="41" t="s">
        <v>182</v>
      </c>
      <c r="AJ107" s="27"/>
      <c r="AK107" s="44"/>
      <c r="AL107" s="45" t="s">
        <v>155</v>
      </c>
      <c r="AM107" s="39" t="s">
        <v>0</v>
      </c>
      <c r="AN107" s="39">
        <v>4</v>
      </c>
      <c r="AO107" s="39" t="s">
        <v>152</v>
      </c>
      <c r="AP107" s="27">
        <v>4</v>
      </c>
      <c r="AQ107" s="39">
        <v>1034</v>
      </c>
      <c r="AR107" s="41" t="s">
        <v>180</v>
      </c>
      <c r="AS107" s="27"/>
      <c r="AT107" s="44"/>
      <c r="AU107" s="45" t="s">
        <v>155</v>
      </c>
      <c r="AV107" s="39" t="s">
        <v>0</v>
      </c>
      <c r="AW107" s="39">
        <v>4</v>
      </c>
      <c r="AX107" s="39" t="s">
        <v>152</v>
      </c>
      <c r="AY107" s="27">
        <v>4</v>
      </c>
      <c r="AZ107" s="39">
        <v>1043</v>
      </c>
      <c r="BA107" s="41" t="s">
        <v>189</v>
      </c>
      <c r="BB107" s="27"/>
      <c r="BC107" s="44"/>
      <c r="BD107" s="45" t="s">
        <v>155</v>
      </c>
      <c r="BE107" s="39" t="s">
        <v>0</v>
      </c>
      <c r="BF107" s="39">
        <v>4</v>
      </c>
      <c r="BG107" s="39" t="s">
        <v>152</v>
      </c>
      <c r="BH107" s="27">
        <v>4</v>
      </c>
      <c r="BI107" s="39" t="s">
        <v>7</v>
      </c>
      <c r="BJ107" s="41" t="s">
        <v>178</v>
      </c>
      <c r="BK107" s="27"/>
      <c r="BL107" s="44"/>
      <c r="BM107" s="45" t="s">
        <v>155</v>
      </c>
      <c r="BN107" s="39" t="s">
        <v>0</v>
      </c>
      <c r="BO107" s="39">
        <v>4</v>
      </c>
      <c r="BP107" s="39" t="s">
        <v>152</v>
      </c>
      <c r="BQ107" s="27">
        <v>4</v>
      </c>
      <c r="BR107" s="39">
        <v>2021</v>
      </c>
      <c r="BS107" s="41" t="s">
        <v>183</v>
      </c>
      <c r="BT107" s="27"/>
      <c r="BU107" s="44"/>
      <c r="BV107" s="45" t="s">
        <v>155</v>
      </c>
      <c r="BW107" s="39" t="s">
        <v>0</v>
      </c>
      <c r="BX107" s="39">
        <v>4</v>
      </c>
      <c r="BY107" s="39" t="s">
        <v>152</v>
      </c>
      <c r="BZ107" s="27">
        <v>4</v>
      </c>
      <c r="CA107" s="39">
        <v>2025</v>
      </c>
      <c r="CB107" s="41" t="s">
        <v>181</v>
      </c>
      <c r="CD107" s="44"/>
      <c r="CE107" s="45" t="s">
        <v>155</v>
      </c>
      <c r="CF107" s="39" t="s">
        <v>0</v>
      </c>
      <c r="CG107" s="39">
        <v>4</v>
      </c>
      <c r="CH107" s="39" t="s">
        <v>152</v>
      </c>
      <c r="CI107" s="27">
        <v>4</v>
      </c>
      <c r="CJ107" s="39">
        <v>1020</v>
      </c>
      <c r="CK107" s="40" t="s">
        <v>160</v>
      </c>
      <c r="CM107" s="42"/>
      <c r="CN107" s="34"/>
      <c r="CO107" s="10"/>
      <c r="CP107" s="10"/>
      <c r="CQ107" s="10"/>
      <c r="CS107" s="10"/>
      <c r="CT107" s="43"/>
    </row>
    <row r="108" spans="1:98" x14ac:dyDescent="0.25">
      <c r="A108" s="44"/>
      <c r="B108" s="45" t="s">
        <v>155</v>
      </c>
      <c r="C108" s="39" t="s">
        <v>0</v>
      </c>
      <c r="D108" s="39">
        <v>5</v>
      </c>
      <c r="E108" s="39" t="s">
        <v>152</v>
      </c>
      <c r="F108" s="27">
        <v>5</v>
      </c>
      <c r="G108" s="39" t="s">
        <v>45</v>
      </c>
      <c r="H108" s="41" t="s">
        <v>183</v>
      </c>
      <c r="I108" s="27"/>
      <c r="J108" s="44"/>
      <c r="K108" s="45" t="s">
        <v>155</v>
      </c>
      <c r="L108" s="39" t="s">
        <v>0</v>
      </c>
      <c r="M108" s="39">
        <v>5</v>
      </c>
      <c r="N108" s="39" t="s">
        <v>152</v>
      </c>
      <c r="O108" s="27">
        <v>5</v>
      </c>
      <c r="P108" s="39" t="s">
        <v>55</v>
      </c>
      <c r="Q108" s="41" t="s">
        <v>168</v>
      </c>
      <c r="R108" s="27"/>
      <c r="S108" s="44"/>
      <c r="T108" s="45" t="s">
        <v>155</v>
      </c>
      <c r="U108" s="39" t="s">
        <v>0</v>
      </c>
      <c r="V108" s="39">
        <v>5</v>
      </c>
      <c r="W108" s="39" t="s">
        <v>152</v>
      </c>
      <c r="X108" s="27">
        <v>5</v>
      </c>
      <c r="Y108" s="39">
        <v>1041</v>
      </c>
      <c r="Z108" s="46" t="s">
        <v>169</v>
      </c>
      <c r="AA108" s="27"/>
      <c r="AB108" s="44"/>
      <c r="AC108" s="45" t="s">
        <v>155</v>
      </c>
      <c r="AD108" s="39" t="s">
        <v>0</v>
      </c>
      <c r="AE108" s="39">
        <v>5</v>
      </c>
      <c r="AF108" s="39" t="s">
        <v>152</v>
      </c>
      <c r="AG108" s="27">
        <v>5</v>
      </c>
      <c r="AH108" s="39" t="s">
        <v>57</v>
      </c>
      <c r="AI108" s="41" t="s">
        <v>184</v>
      </c>
      <c r="AJ108" s="27"/>
      <c r="AK108" s="44"/>
      <c r="AL108" s="45" t="s">
        <v>155</v>
      </c>
      <c r="AM108" s="39" t="s">
        <v>0</v>
      </c>
      <c r="AN108" s="39">
        <v>5</v>
      </c>
      <c r="AO108" s="39" t="s">
        <v>152</v>
      </c>
      <c r="AP108" s="27">
        <v>5</v>
      </c>
      <c r="AQ108" s="39">
        <v>1034</v>
      </c>
      <c r="AR108" s="41" t="s">
        <v>181</v>
      </c>
      <c r="AS108" s="27"/>
      <c r="AT108" s="44"/>
      <c r="AU108" s="45" t="s">
        <v>155</v>
      </c>
      <c r="AV108" s="39" t="s">
        <v>0</v>
      </c>
      <c r="AW108" s="39">
        <v>5</v>
      </c>
      <c r="AX108" s="39" t="s">
        <v>152</v>
      </c>
      <c r="AY108" s="27">
        <v>5</v>
      </c>
      <c r="AZ108" s="39" t="s">
        <v>61</v>
      </c>
      <c r="BA108" s="40" t="s">
        <v>160</v>
      </c>
      <c r="BB108" s="27"/>
      <c r="BC108" s="44"/>
      <c r="BD108" s="45" t="s">
        <v>155</v>
      </c>
      <c r="BE108" s="39" t="s">
        <v>0</v>
      </c>
      <c r="BF108" s="39">
        <v>5</v>
      </c>
      <c r="BG108" s="39" t="s">
        <v>152</v>
      </c>
      <c r="BH108" s="27">
        <v>5</v>
      </c>
      <c r="BI108" s="39" t="s">
        <v>7</v>
      </c>
      <c r="BJ108" s="41" t="s">
        <v>163</v>
      </c>
      <c r="BK108" s="27"/>
      <c r="BL108" s="44"/>
      <c r="BM108" s="45" t="s">
        <v>155</v>
      </c>
      <c r="BN108" s="39" t="s">
        <v>0</v>
      </c>
      <c r="BO108" s="39">
        <v>5</v>
      </c>
      <c r="BP108" s="39" t="s">
        <v>152</v>
      </c>
      <c r="BQ108" s="27">
        <v>5</v>
      </c>
      <c r="BR108" s="39">
        <v>2021</v>
      </c>
      <c r="BS108" s="41" t="s">
        <v>186</v>
      </c>
      <c r="BT108" s="27"/>
      <c r="BU108" s="44"/>
      <c r="BV108" s="45" t="s">
        <v>155</v>
      </c>
      <c r="BW108" s="39" t="s">
        <v>0</v>
      </c>
      <c r="BX108" s="39">
        <v>5</v>
      </c>
      <c r="BY108" s="39" t="s">
        <v>152</v>
      </c>
      <c r="BZ108" s="27">
        <v>5</v>
      </c>
      <c r="CA108" s="39">
        <v>2025</v>
      </c>
      <c r="CB108" s="41" t="s">
        <v>183</v>
      </c>
      <c r="CD108" s="44"/>
      <c r="CE108" s="45" t="s">
        <v>155</v>
      </c>
      <c r="CF108" s="39" t="s">
        <v>0</v>
      </c>
      <c r="CG108" s="39">
        <v>5</v>
      </c>
      <c r="CH108" s="39" t="s">
        <v>152</v>
      </c>
      <c r="CI108" s="27">
        <v>5</v>
      </c>
      <c r="CJ108" s="39">
        <v>1020</v>
      </c>
      <c r="CK108" s="41" t="s">
        <v>168</v>
      </c>
      <c r="CM108" s="42"/>
      <c r="CN108" s="34"/>
      <c r="CO108" s="10"/>
      <c r="CP108" s="10"/>
      <c r="CQ108" s="10"/>
      <c r="CS108" s="10"/>
      <c r="CT108" s="43"/>
    </row>
    <row r="109" spans="1:98" x14ac:dyDescent="0.25">
      <c r="A109" s="44"/>
      <c r="B109" s="45" t="s">
        <v>155</v>
      </c>
      <c r="C109" s="39" t="s">
        <v>0</v>
      </c>
      <c r="D109" s="39">
        <v>6</v>
      </c>
      <c r="E109" s="39" t="s">
        <v>152</v>
      </c>
      <c r="F109" s="27">
        <v>6</v>
      </c>
      <c r="G109" s="39" t="s">
        <v>45</v>
      </c>
      <c r="H109" s="41" t="s">
        <v>186</v>
      </c>
      <c r="I109" s="27"/>
      <c r="J109" s="44"/>
      <c r="K109" s="45" t="s">
        <v>155</v>
      </c>
      <c r="L109" s="39" t="s">
        <v>0</v>
      </c>
      <c r="M109" s="39">
        <v>6</v>
      </c>
      <c r="N109" s="39" t="s">
        <v>152</v>
      </c>
      <c r="O109" s="27">
        <v>6</v>
      </c>
      <c r="P109" s="39" t="s">
        <v>55</v>
      </c>
      <c r="Q109" s="41" t="s">
        <v>176</v>
      </c>
      <c r="R109" s="27"/>
      <c r="S109" s="44"/>
      <c r="T109" s="45" t="s">
        <v>155</v>
      </c>
      <c r="U109" s="39" t="s">
        <v>0</v>
      </c>
      <c r="V109" s="39">
        <v>6</v>
      </c>
      <c r="W109" s="39" t="s">
        <v>152</v>
      </c>
      <c r="X109" s="27">
        <v>6</v>
      </c>
      <c r="Y109" s="39">
        <v>1041</v>
      </c>
      <c r="Z109" s="41" t="s">
        <v>177</v>
      </c>
      <c r="AA109" s="27"/>
      <c r="AB109" s="44"/>
      <c r="AC109" s="45" t="s">
        <v>155</v>
      </c>
      <c r="AD109" s="39" t="s">
        <v>0</v>
      </c>
      <c r="AE109" s="39">
        <v>6</v>
      </c>
      <c r="AF109" s="39" t="s">
        <v>152</v>
      </c>
      <c r="AG109" s="27">
        <v>6</v>
      </c>
      <c r="AH109" s="39" t="s">
        <v>57</v>
      </c>
      <c r="AI109" s="41" t="s">
        <v>187</v>
      </c>
      <c r="AJ109" s="27"/>
      <c r="AK109" s="44"/>
      <c r="AL109" s="45" t="s">
        <v>155</v>
      </c>
      <c r="AM109" s="39" t="s">
        <v>0</v>
      </c>
      <c r="AN109" s="39">
        <v>6</v>
      </c>
      <c r="AO109" s="39" t="s">
        <v>152</v>
      </c>
      <c r="AP109" s="27">
        <v>6</v>
      </c>
      <c r="AQ109" s="39">
        <v>1034</v>
      </c>
      <c r="AR109" s="41" t="s">
        <v>183</v>
      </c>
      <c r="AS109" s="27"/>
      <c r="AT109" s="44"/>
      <c r="AU109" s="45" t="s">
        <v>155</v>
      </c>
      <c r="AV109" s="39" t="s">
        <v>0</v>
      </c>
      <c r="AW109" s="39">
        <v>6</v>
      </c>
      <c r="AX109" s="39" t="s">
        <v>152</v>
      </c>
      <c r="AY109" s="27">
        <v>6</v>
      </c>
      <c r="AZ109" s="39" t="s">
        <v>70</v>
      </c>
      <c r="BA109" s="41" t="s">
        <v>168</v>
      </c>
      <c r="BB109" s="27"/>
      <c r="BC109" s="44"/>
      <c r="BD109" s="45" t="s">
        <v>155</v>
      </c>
      <c r="BE109" s="39" t="s">
        <v>0</v>
      </c>
      <c r="BF109" s="39">
        <v>6</v>
      </c>
      <c r="BG109" s="39" t="s">
        <v>152</v>
      </c>
      <c r="BH109" s="27">
        <v>6</v>
      </c>
      <c r="BI109" s="39" t="s">
        <v>7</v>
      </c>
      <c r="BJ109" s="41" t="s">
        <v>171</v>
      </c>
      <c r="BK109" s="27"/>
      <c r="BL109" s="44"/>
      <c r="BM109" s="45" t="s">
        <v>155</v>
      </c>
      <c r="BN109" s="39" t="s">
        <v>0</v>
      </c>
      <c r="BO109" s="39">
        <v>6</v>
      </c>
      <c r="BP109" s="39" t="s">
        <v>152</v>
      </c>
      <c r="BQ109" s="27">
        <v>6</v>
      </c>
      <c r="BR109" s="39">
        <v>2021</v>
      </c>
      <c r="BS109" s="41" t="s">
        <v>188</v>
      </c>
      <c r="BT109" s="27"/>
      <c r="BU109" s="44"/>
      <c r="BV109" s="45" t="s">
        <v>155</v>
      </c>
      <c r="BW109" s="39" t="s">
        <v>0</v>
      </c>
      <c r="BX109" s="39">
        <v>6</v>
      </c>
      <c r="BY109" s="39" t="s">
        <v>152</v>
      </c>
      <c r="BZ109" s="27">
        <v>6</v>
      </c>
      <c r="CA109" s="39">
        <v>2025</v>
      </c>
      <c r="CB109" s="41" t="s">
        <v>186</v>
      </c>
      <c r="CD109" s="44"/>
      <c r="CE109" s="45" t="s">
        <v>155</v>
      </c>
      <c r="CF109" s="39" t="s">
        <v>0</v>
      </c>
      <c r="CG109" s="39">
        <v>6</v>
      </c>
      <c r="CH109" s="39" t="s">
        <v>152</v>
      </c>
      <c r="CI109" s="27">
        <v>6</v>
      </c>
      <c r="CJ109" s="39">
        <v>1020</v>
      </c>
      <c r="CK109" s="41" t="s">
        <v>176</v>
      </c>
      <c r="CM109" s="42"/>
      <c r="CN109" s="34"/>
      <c r="CO109" s="10"/>
      <c r="CP109" s="10"/>
      <c r="CQ109" s="10"/>
      <c r="CS109" s="10"/>
      <c r="CT109" s="43"/>
    </row>
    <row r="110" spans="1:98" ht="15.75" thickBot="1" x14ac:dyDescent="0.3">
      <c r="A110" s="44"/>
      <c r="B110" s="45" t="s">
        <v>155</v>
      </c>
      <c r="C110" s="39" t="s">
        <v>0</v>
      </c>
      <c r="D110" s="39">
        <v>7</v>
      </c>
      <c r="E110" s="39" t="s">
        <v>152</v>
      </c>
      <c r="F110" s="27">
        <v>7</v>
      </c>
      <c r="G110" s="39" t="s">
        <v>45</v>
      </c>
      <c r="H110" s="41" t="s">
        <v>188</v>
      </c>
      <c r="I110" s="27"/>
      <c r="J110" s="44"/>
      <c r="K110" s="45" t="s">
        <v>155</v>
      </c>
      <c r="L110" s="39" t="s">
        <v>0</v>
      </c>
      <c r="M110" s="39">
        <v>7</v>
      </c>
      <c r="N110" s="39" t="s">
        <v>152</v>
      </c>
      <c r="O110" s="27">
        <v>7</v>
      </c>
      <c r="P110" s="39" t="s">
        <v>55</v>
      </c>
      <c r="Q110" s="41" t="s">
        <v>164</v>
      </c>
      <c r="R110" s="27"/>
      <c r="S110" s="44"/>
      <c r="T110" s="45" t="s">
        <v>155</v>
      </c>
      <c r="U110" s="39" t="s">
        <v>0</v>
      </c>
      <c r="V110" s="39">
        <v>7</v>
      </c>
      <c r="W110" s="39" t="s">
        <v>152</v>
      </c>
      <c r="X110" s="27">
        <v>7</v>
      </c>
      <c r="Y110" s="39">
        <v>1041</v>
      </c>
      <c r="Z110" s="41" t="s">
        <v>180</v>
      </c>
      <c r="AA110" s="27"/>
      <c r="AB110" s="44"/>
      <c r="AC110" s="45" t="s">
        <v>155</v>
      </c>
      <c r="AD110" s="39" t="s">
        <v>0</v>
      </c>
      <c r="AE110" s="39">
        <v>7</v>
      </c>
      <c r="AF110" s="39" t="s">
        <v>152</v>
      </c>
      <c r="AG110" s="27">
        <v>7</v>
      </c>
      <c r="AH110" s="39" t="s">
        <v>57</v>
      </c>
      <c r="AI110" s="41" t="s">
        <v>189</v>
      </c>
      <c r="AJ110" s="27"/>
      <c r="AK110" s="44"/>
      <c r="AL110" s="45" t="s">
        <v>155</v>
      </c>
      <c r="AM110" s="39" t="s">
        <v>0</v>
      </c>
      <c r="AN110" s="39">
        <v>7</v>
      </c>
      <c r="AO110" s="39" t="s">
        <v>152</v>
      </c>
      <c r="AP110" s="27">
        <v>7</v>
      </c>
      <c r="AQ110" s="39">
        <v>1034</v>
      </c>
      <c r="AR110" s="41" t="s">
        <v>186</v>
      </c>
      <c r="AS110" s="27"/>
      <c r="AT110" s="44"/>
      <c r="AU110" s="45" t="s">
        <v>155</v>
      </c>
      <c r="AV110" s="39" t="s">
        <v>0</v>
      </c>
      <c r="AW110" s="39">
        <v>7</v>
      </c>
      <c r="AX110" s="39" t="s">
        <v>152</v>
      </c>
      <c r="AY110" s="27">
        <v>7</v>
      </c>
      <c r="AZ110" s="39" t="s">
        <v>72</v>
      </c>
      <c r="BA110" s="41" t="s">
        <v>176</v>
      </c>
      <c r="BB110" s="27"/>
      <c r="BC110" s="44"/>
      <c r="BD110" s="45" t="s">
        <v>155</v>
      </c>
      <c r="BE110" s="39" t="s">
        <v>0</v>
      </c>
      <c r="BF110" s="39">
        <v>7</v>
      </c>
      <c r="BG110" s="39" t="s">
        <v>152</v>
      </c>
      <c r="BH110" s="27">
        <v>7</v>
      </c>
      <c r="BI110" s="39" t="s">
        <v>7</v>
      </c>
      <c r="BJ110" s="41" t="s">
        <v>161</v>
      </c>
      <c r="BK110" s="27"/>
      <c r="BL110" s="44"/>
      <c r="BM110" s="45" t="s">
        <v>155</v>
      </c>
      <c r="BN110" s="39" t="s">
        <v>0</v>
      </c>
      <c r="BO110" s="39">
        <v>7</v>
      </c>
      <c r="BP110" s="39" t="s">
        <v>152</v>
      </c>
      <c r="BQ110" s="27">
        <v>7</v>
      </c>
      <c r="BR110" s="39">
        <v>2021</v>
      </c>
      <c r="BS110" s="41" t="s">
        <v>182</v>
      </c>
      <c r="BT110" s="27"/>
      <c r="BU110" s="44"/>
      <c r="BV110" s="45" t="s">
        <v>155</v>
      </c>
      <c r="BW110" s="39" t="s">
        <v>0</v>
      </c>
      <c r="BX110" s="39">
        <v>7</v>
      </c>
      <c r="BY110" s="39" t="s">
        <v>152</v>
      </c>
      <c r="BZ110" s="27">
        <v>7</v>
      </c>
      <c r="CA110" s="39">
        <v>2025</v>
      </c>
      <c r="CB110" s="41" t="s">
        <v>188</v>
      </c>
      <c r="CD110" s="44"/>
      <c r="CE110" s="45" t="s">
        <v>155</v>
      </c>
      <c r="CF110" s="39" t="s">
        <v>0</v>
      </c>
      <c r="CG110" s="39">
        <v>7</v>
      </c>
      <c r="CH110" s="39" t="s">
        <v>152</v>
      </c>
      <c r="CI110" s="27">
        <v>7</v>
      </c>
      <c r="CJ110" s="39">
        <v>1020</v>
      </c>
      <c r="CK110" s="41" t="s">
        <v>164</v>
      </c>
      <c r="CM110" s="42"/>
      <c r="CN110" s="34"/>
      <c r="CO110" s="10"/>
      <c r="CP110" s="10"/>
      <c r="CQ110" s="10"/>
      <c r="CS110" s="10"/>
      <c r="CT110" s="43"/>
    </row>
    <row r="111" spans="1:98" x14ac:dyDescent="0.25">
      <c r="A111" s="44"/>
      <c r="B111" s="45" t="s">
        <v>155</v>
      </c>
      <c r="C111" s="39" t="s">
        <v>0</v>
      </c>
      <c r="D111" s="39">
        <v>8</v>
      </c>
      <c r="E111" s="39" t="s">
        <v>152</v>
      </c>
      <c r="F111" s="27">
        <v>8</v>
      </c>
      <c r="G111" s="39" t="s">
        <v>45</v>
      </c>
      <c r="H111" s="41" t="s">
        <v>182</v>
      </c>
      <c r="I111" s="27"/>
      <c r="J111" s="44"/>
      <c r="K111" s="45" t="s">
        <v>155</v>
      </c>
      <c r="L111" s="39" t="s">
        <v>0</v>
      </c>
      <c r="M111" s="39">
        <v>8</v>
      </c>
      <c r="N111" s="39" t="s">
        <v>152</v>
      </c>
      <c r="O111" s="27">
        <v>8</v>
      </c>
      <c r="P111" s="39" t="s">
        <v>55</v>
      </c>
      <c r="Q111" s="41" t="s">
        <v>172</v>
      </c>
      <c r="R111" s="27"/>
      <c r="S111" s="44"/>
      <c r="T111" s="45" t="s">
        <v>155</v>
      </c>
      <c r="U111" s="39" t="s">
        <v>0</v>
      </c>
      <c r="V111" s="39">
        <v>8</v>
      </c>
      <c r="W111" s="39" t="s">
        <v>152</v>
      </c>
      <c r="X111" s="27">
        <v>8</v>
      </c>
      <c r="Y111" s="39">
        <v>1041</v>
      </c>
      <c r="Z111" s="41" t="s">
        <v>181</v>
      </c>
      <c r="AA111" s="27"/>
      <c r="AB111" s="44"/>
      <c r="AC111" s="45" t="s">
        <v>155</v>
      </c>
      <c r="AD111" s="39" t="s">
        <v>0</v>
      </c>
      <c r="AE111" s="39">
        <v>8</v>
      </c>
      <c r="AF111" s="39" t="s">
        <v>152</v>
      </c>
      <c r="AG111" s="27">
        <v>8</v>
      </c>
      <c r="AH111" s="39">
        <v>2019</v>
      </c>
      <c r="AI111" s="40" t="s">
        <v>160</v>
      </c>
      <c r="AJ111" s="27"/>
      <c r="AK111" s="44"/>
      <c r="AL111" s="45" t="s">
        <v>155</v>
      </c>
      <c r="AM111" s="39" t="s">
        <v>0</v>
      </c>
      <c r="AN111" s="39">
        <v>8</v>
      </c>
      <c r="AO111" s="39" t="s">
        <v>152</v>
      </c>
      <c r="AP111" s="27">
        <v>8</v>
      </c>
      <c r="AQ111" s="39">
        <v>1034</v>
      </c>
      <c r="AR111" s="41" t="s">
        <v>188</v>
      </c>
      <c r="AS111" s="27"/>
      <c r="AT111" s="44"/>
      <c r="AU111" s="45" t="s">
        <v>155</v>
      </c>
      <c r="AV111" s="39" t="s">
        <v>0</v>
      </c>
      <c r="AW111" s="39">
        <v>8</v>
      </c>
      <c r="AX111" s="39" t="s">
        <v>152</v>
      </c>
      <c r="AY111" s="27">
        <v>8</v>
      </c>
      <c r="AZ111" s="39" t="s">
        <v>74</v>
      </c>
      <c r="BA111" s="41" t="s">
        <v>164</v>
      </c>
      <c r="BB111" s="27"/>
      <c r="BC111" s="44"/>
      <c r="BD111" s="45" t="s">
        <v>155</v>
      </c>
      <c r="BE111" s="39" t="s">
        <v>0</v>
      </c>
      <c r="BF111" s="39">
        <v>8</v>
      </c>
      <c r="BG111" s="39" t="s">
        <v>152</v>
      </c>
      <c r="BH111" s="27">
        <v>8</v>
      </c>
      <c r="BI111" s="39" t="s">
        <v>7</v>
      </c>
      <c r="BJ111" s="46" t="s">
        <v>169</v>
      </c>
      <c r="BK111" s="27"/>
      <c r="BL111" s="44"/>
      <c r="BM111" s="45" t="s">
        <v>155</v>
      </c>
      <c r="BN111" s="39" t="s">
        <v>0</v>
      </c>
      <c r="BO111" s="39">
        <v>8</v>
      </c>
      <c r="BP111" s="39" t="s">
        <v>152</v>
      </c>
      <c r="BQ111" s="27">
        <v>8</v>
      </c>
      <c r="BR111" s="39">
        <v>2021</v>
      </c>
      <c r="BS111" s="41" t="s">
        <v>184</v>
      </c>
      <c r="BT111" s="27"/>
      <c r="BU111" s="44"/>
      <c r="BV111" s="45" t="s">
        <v>155</v>
      </c>
      <c r="BW111" s="39" t="s">
        <v>0</v>
      </c>
      <c r="BX111" s="39">
        <v>8</v>
      </c>
      <c r="BY111" s="39" t="s">
        <v>152</v>
      </c>
      <c r="BZ111" s="27">
        <v>8</v>
      </c>
      <c r="CA111" s="39">
        <v>2025</v>
      </c>
      <c r="CB111" s="41" t="s">
        <v>182</v>
      </c>
      <c r="CD111" s="44"/>
      <c r="CE111" s="45" t="s">
        <v>155</v>
      </c>
      <c r="CF111" s="39" t="s">
        <v>0</v>
      </c>
      <c r="CG111" s="39">
        <v>8</v>
      </c>
      <c r="CH111" s="39" t="s">
        <v>152</v>
      </c>
      <c r="CI111" s="27">
        <v>8</v>
      </c>
      <c r="CJ111" s="39">
        <v>1020</v>
      </c>
      <c r="CK111" s="41" t="s">
        <v>172</v>
      </c>
      <c r="CM111" s="42"/>
      <c r="CN111" s="34"/>
      <c r="CO111" s="10"/>
      <c r="CP111" s="10"/>
      <c r="CQ111" s="10"/>
      <c r="CS111" s="10"/>
      <c r="CT111" s="43"/>
    </row>
    <row r="112" spans="1:98" x14ac:dyDescent="0.25">
      <c r="A112" s="44"/>
      <c r="B112" s="45" t="s">
        <v>155</v>
      </c>
      <c r="C112" s="39" t="s">
        <v>0</v>
      </c>
      <c r="D112" s="39">
        <v>9</v>
      </c>
      <c r="E112" s="39" t="s">
        <v>152</v>
      </c>
      <c r="F112" s="27">
        <v>9</v>
      </c>
      <c r="G112" s="39" t="s">
        <v>45</v>
      </c>
      <c r="H112" s="41" t="s">
        <v>184</v>
      </c>
      <c r="I112" s="27"/>
      <c r="J112" s="44"/>
      <c r="K112" s="45" t="s">
        <v>155</v>
      </c>
      <c r="L112" s="39" t="s">
        <v>0</v>
      </c>
      <c r="M112" s="39">
        <v>9</v>
      </c>
      <c r="N112" s="39" t="s">
        <v>152</v>
      </c>
      <c r="O112" s="27">
        <v>9</v>
      </c>
      <c r="P112" s="39" t="s">
        <v>55</v>
      </c>
      <c r="Q112" s="41" t="s">
        <v>162</v>
      </c>
      <c r="R112" s="27"/>
      <c r="S112" s="44"/>
      <c r="T112" s="45" t="s">
        <v>155</v>
      </c>
      <c r="U112" s="39" t="s">
        <v>0</v>
      </c>
      <c r="V112" s="39">
        <v>9</v>
      </c>
      <c r="W112" s="39" t="s">
        <v>152</v>
      </c>
      <c r="X112" s="27">
        <v>9</v>
      </c>
      <c r="Y112" s="39">
        <v>1041</v>
      </c>
      <c r="Z112" s="41" t="s">
        <v>183</v>
      </c>
      <c r="AA112" s="27"/>
      <c r="AB112" s="44"/>
      <c r="AC112" s="45" t="s">
        <v>155</v>
      </c>
      <c r="AD112" s="39" t="s">
        <v>0</v>
      </c>
      <c r="AE112" s="39">
        <v>9</v>
      </c>
      <c r="AF112" s="39" t="s">
        <v>152</v>
      </c>
      <c r="AG112" s="27">
        <v>9</v>
      </c>
      <c r="AH112" s="39">
        <v>2019</v>
      </c>
      <c r="AI112" s="41" t="s">
        <v>168</v>
      </c>
      <c r="AJ112" s="27"/>
      <c r="AK112" s="44"/>
      <c r="AL112" s="45" t="s">
        <v>155</v>
      </c>
      <c r="AM112" s="39" t="s">
        <v>0</v>
      </c>
      <c r="AN112" s="39">
        <v>9</v>
      </c>
      <c r="AO112" s="39" t="s">
        <v>152</v>
      </c>
      <c r="AP112" s="27">
        <v>9</v>
      </c>
      <c r="AQ112" s="39">
        <v>1034</v>
      </c>
      <c r="AR112" s="41" t="s">
        <v>182</v>
      </c>
      <c r="AS112" s="27"/>
      <c r="AT112" s="44"/>
      <c r="AU112" s="45" t="s">
        <v>155</v>
      </c>
      <c r="AV112" s="39" t="s">
        <v>0</v>
      </c>
      <c r="AW112" s="39">
        <v>9</v>
      </c>
      <c r="AX112" s="39" t="s">
        <v>152</v>
      </c>
      <c r="AY112" s="27">
        <v>9</v>
      </c>
      <c r="AZ112" s="39" t="s">
        <v>228</v>
      </c>
      <c r="BA112" s="41" t="s">
        <v>172</v>
      </c>
      <c r="BB112" s="27"/>
      <c r="BC112" s="44"/>
      <c r="BD112" s="45" t="s">
        <v>155</v>
      </c>
      <c r="BE112" s="39" t="s">
        <v>0</v>
      </c>
      <c r="BF112" s="39">
        <v>9</v>
      </c>
      <c r="BG112" s="39" t="s">
        <v>152</v>
      </c>
      <c r="BH112" s="27">
        <v>9</v>
      </c>
      <c r="BI112" s="39" t="s">
        <v>7</v>
      </c>
      <c r="BJ112" s="41" t="s">
        <v>177</v>
      </c>
      <c r="BK112" s="27"/>
      <c r="BL112" s="44"/>
      <c r="BM112" s="45" t="s">
        <v>155</v>
      </c>
      <c r="BN112" s="39" t="s">
        <v>0</v>
      </c>
      <c r="BO112" s="39">
        <v>9</v>
      </c>
      <c r="BP112" s="39" t="s">
        <v>152</v>
      </c>
      <c r="BQ112" s="27">
        <v>9</v>
      </c>
      <c r="BR112" s="39">
        <v>2021</v>
      </c>
      <c r="BS112" s="41" t="s">
        <v>187</v>
      </c>
      <c r="BT112" s="27"/>
      <c r="BU112" s="44"/>
      <c r="BV112" s="45" t="s">
        <v>155</v>
      </c>
      <c r="BW112" s="39" t="s">
        <v>0</v>
      </c>
      <c r="BX112" s="39">
        <v>9</v>
      </c>
      <c r="BY112" s="39" t="s">
        <v>152</v>
      </c>
      <c r="BZ112" s="27">
        <v>9</v>
      </c>
      <c r="CA112" s="39">
        <v>2025</v>
      </c>
      <c r="CB112" s="41" t="s">
        <v>184</v>
      </c>
      <c r="CD112" s="44"/>
      <c r="CE112" s="45" t="s">
        <v>155</v>
      </c>
      <c r="CF112" s="39" t="s">
        <v>0</v>
      </c>
      <c r="CG112" s="39">
        <v>9</v>
      </c>
      <c r="CH112" s="39" t="s">
        <v>152</v>
      </c>
      <c r="CI112" s="27">
        <v>9</v>
      </c>
      <c r="CJ112" s="39">
        <v>1020</v>
      </c>
      <c r="CK112" s="41" t="s">
        <v>162</v>
      </c>
      <c r="CM112" s="42"/>
      <c r="CN112" s="34"/>
      <c r="CO112" s="10"/>
      <c r="CP112" s="10"/>
      <c r="CQ112" s="10"/>
      <c r="CS112" s="10"/>
      <c r="CT112" s="43"/>
    </row>
    <row r="113" spans="1:98" x14ac:dyDescent="0.25">
      <c r="A113" s="44"/>
      <c r="B113" s="45" t="s">
        <v>155</v>
      </c>
      <c r="C113" s="39" t="s">
        <v>0</v>
      </c>
      <c r="D113" s="39">
        <v>10</v>
      </c>
      <c r="E113" s="39" t="s">
        <v>152</v>
      </c>
      <c r="F113" s="27">
        <v>10</v>
      </c>
      <c r="G113" s="39" t="s">
        <v>45</v>
      </c>
      <c r="H113" s="41" t="s">
        <v>187</v>
      </c>
      <c r="I113" s="27"/>
      <c r="J113" s="44"/>
      <c r="K113" s="45" t="s">
        <v>155</v>
      </c>
      <c r="L113" s="39" t="s">
        <v>0</v>
      </c>
      <c r="M113" s="39">
        <v>10</v>
      </c>
      <c r="N113" s="39" t="s">
        <v>152</v>
      </c>
      <c r="O113" s="27">
        <v>10</v>
      </c>
      <c r="P113" s="39" t="s">
        <v>55</v>
      </c>
      <c r="Q113" s="41" t="s">
        <v>170</v>
      </c>
      <c r="R113" s="27"/>
      <c r="S113" s="44"/>
      <c r="T113" s="45" t="s">
        <v>155</v>
      </c>
      <c r="U113" s="39" t="s">
        <v>0</v>
      </c>
      <c r="V113" s="39">
        <v>10</v>
      </c>
      <c r="W113" s="39" t="s">
        <v>152</v>
      </c>
      <c r="X113" s="27">
        <v>10</v>
      </c>
      <c r="Y113" s="39">
        <v>1041</v>
      </c>
      <c r="Z113" s="41" t="s">
        <v>186</v>
      </c>
      <c r="AA113" s="27"/>
      <c r="AB113" s="44"/>
      <c r="AC113" s="45" t="s">
        <v>155</v>
      </c>
      <c r="AD113" s="39" t="s">
        <v>0</v>
      </c>
      <c r="AE113" s="39">
        <v>10</v>
      </c>
      <c r="AF113" s="39" t="s">
        <v>152</v>
      </c>
      <c r="AG113" s="27">
        <v>10</v>
      </c>
      <c r="AH113" s="39">
        <v>2019</v>
      </c>
      <c r="AI113" s="41" t="s">
        <v>176</v>
      </c>
      <c r="AJ113" s="27"/>
      <c r="AK113" s="44"/>
      <c r="AL113" s="45" t="s">
        <v>155</v>
      </c>
      <c r="AM113" s="39" t="s">
        <v>0</v>
      </c>
      <c r="AN113" s="39">
        <v>10</v>
      </c>
      <c r="AO113" s="39" t="s">
        <v>152</v>
      </c>
      <c r="AP113" s="27">
        <v>10</v>
      </c>
      <c r="AQ113" s="39">
        <v>1034</v>
      </c>
      <c r="AR113" s="41" t="s">
        <v>184</v>
      </c>
      <c r="AS113" s="27"/>
      <c r="AT113" s="44"/>
      <c r="AU113" s="45" t="s">
        <v>155</v>
      </c>
      <c r="AV113" s="39" t="s">
        <v>0</v>
      </c>
      <c r="AW113" s="39">
        <v>10</v>
      </c>
      <c r="AX113" s="39" t="s">
        <v>152</v>
      </c>
      <c r="AY113" s="27">
        <v>10</v>
      </c>
      <c r="AZ113" s="39" t="s">
        <v>229</v>
      </c>
      <c r="BA113" s="41" t="s">
        <v>162</v>
      </c>
      <c r="BB113" s="27"/>
      <c r="BC113" s="44"/>
      <c r="BD113" s="45" t="s">
        <v>155</v>
      </c>
      <c r="BE113" s="39" t="s">
        <v>0</v>
      </c>
      <c r="BF113" s="39">
        <v>10</v>
      </c>
      <c r="BG113" s="39" t="s">
        <v>152</v>
      </c>
      <c r="BH113" s="27">
        <v>10</v>
      </c>
      <c r="BI113" s="39" t="s">
        <v>7</v>
      </c>
      <c r="BJ113" s="41" t="s">
        <v>180</v>
      </c>
      <c r="BK113" s="27"/>
      <c r="BL113" s="44"/>
      <c r="BM113" s="45" t="s">
        <v>155</v>
      </c>
      <c r="BN113" s="39" t="s">
        <v>0</v>
      </c>
      <c r="BO113" s="39">
        <v>10</v>
      </c>
      <c r="BP113" s="39" t="s">
        <v>152</v>
      </c>
      <c r="BQ113" s="27">
        <v>10</v>
      </c>
      <c r="BR113" s="39">
        <v>2021</v>
      </c>
      <c r="BS113" s="41" t="s">
        <v>189</v>
      </c>
      <c r="BT113" s="27"/>
      <c r="BU113" s="44"/>
      <c r="BV113" s="45" t="s">
        <v>155</v>
      </c>
      <c r="BW113" s="39" t="s">
        <v>0</v>
      </c>
      <c r="BX113" s="39">
        <v>10</v>
      </c>
      <c r="BY113" s="39" t="s">
        <v>152</v>
      </c>
      <c r="BZ113" s="27">
        <v>10</v>
      </c>
      <c r="CA113" s="39">
        <v>2025</v>
      </c>
      <c r="CB113" s="41" t="s">
        <v>187</v>
      </c>
      <c r="CD113" s="44"/>
      <c r="CE113" s="45" t="s">
        <v>155</v>
      </c>
      <c r="CF113" s="39" t="s">
        <v>0</v>
      </c>
      <c r="CG113" s="39">
        <v>10</v>
      </c>
      <c r="CH113" s="39" t="s">
        <v>152</v>
      </c>
      <c r="CI113" s="27">
        <v>10</v>
      </c>
      <c r="CJ113" s="39">
        <v>1020</v>
      </c>
      <c r="CK113" s="41" t="s">
        <v>170</v>
      </c>
      <c r="CM113" s="42"/>
      <c r="CN113" s="34"/>
      <c r="CO113" s="10"/>
      <c r="CP113" s="10"/>
      <c r="CQ113" s="10"/>
      <c r="CS113" s="10"/>
      <c r="CT113" s="43"/>
    </row>
    <row r="114" spans="1:98" ht="15.75" thickBot="1" x14ac:dyDescent="0.3">
      <c r="A114" s="44"/>
      <c r="B114" s="45" t="s">
        <v>155</v>
      </c>
      <c r="C114" s="39" t="s">
        <v>0</v>
      </c>
      <c r="D114" s="39">
        <v>11</v>
      </c>
      <c r="E114" s="39" t="s">
        <v>152</v>
      </c>
      <c r="F114" s="27">
        <v>11</v>
      </c>
      <c r="G114" s="39" t="s">
        <v>45</v>
      </c>
      <c r="H114" s="41" t="s">
        <v>189</v>
      </c>
      <c r="I114" s="27"/>
      <c r="J114" s="44"/>
      <c r="K114" s="45" t="s">
        <v>155</v>
      </c>
      <c r="L114" s="39" t="s">
        <v>0</v>
      </c>
      <c r="M114" s="39">
        <v>11</v>
      </c>
      <c r="N114" s="39" t="s">
        <v>152</v>
      </c>
      <c r="O114" s="27">
        <v>11</v>
      </c>
      <c r="P114" s="39" t="s">
        <v>55</v>
      </c>
      <c r="Q114" s="41" t="s">
        <v>178</v>
      </c>
      <c r="R114" s="27"/>
      <c r="S114" s="44"/>
      <c r="T114" s="45" t="s">
        <v>155</v>
      </c>
      <c r="U114" s="39" t="s">
        <v>0</v>
      </c>
      <c r="V114" s="39">
        <v>11</v>
      </c>
      <c r="W114" s="39" t="s">
        <v>152</v>
      </c>
      <c r="X114" s="27">
        <v>11</v>
      </c>
      <c r="Y114" s="39">
        <v>1041</v>
      </c>
      <c r="Z114" s="41" t="s">
        <v>188</v>
      </c>
      <c r="AA114" s="27"/>
      <c r="AB114" s="44"/>
      <c r="AC114" s="45" t="s">
        <v>155</v>
      </c>
      <c r="AD114" s="39" t="s">
        <v>0</v>
      </c>
      <c r="AE114" s="39">
        <v>11</v>
      </c>
      <c r="AF114" s="39" t="s">
        <v>152</v>
      </c>
      <c r="AG114" s="27">
        <v>11</v>
      </c>
      <c r="AH114" s="39">
        <v>2019</v>
      </c>
      <c r="AI114" s="41" t="s">
        <v>164</v>
      </c>
      <c r="AJ114" s="27"/>
      <c r="AK114" s="44"/>
      <c r="AL114" s="45" t="s">
        <v>155</v>
      </c>
      <c r="AM114" s="39" t="s">
        <v>0</v>
      </c>
      <c r="AN114" s="39">
        <v>11</v>
      </c>
      <c r="AO114" s="39" t="s">
        <v>152</v>
      </c>
      <c r="AP114" s="27">
        <v>11</v>
      </c>
      <c r="AQ114" s="39">
        <v>1034</v>
      </c>
      <c r="AR114" s="41" t="s">
        <v>187</v>
      </c>
      <c r="AS114" s="27"/>
      <c r="AT114" s="44"/>
      <c r="AU114" s="45" t="s">
        <v>155</v>
      </c>
      <c r="AV114" s="39" t="s">
        <v>0</v>
      </c>
      <c r="AW114" s="39">
        <v>11</v>
      </c>
      <c r="AX114" s="39" t="s">
        <v>152</v>
      </c>
      <c r="AY114" s="27">
        <v>11</v>
      </c>
      <c r="AZ114" s="39" t="s">
        <v>230</v>
      </c>
      <c r="BA114" s="41" t="s">
        <v>170</v>
      </c>
      <c r="BB114" s="27"/>
      <c r="BC114" s="44"/>
      <c r="BD114" s="45" t="s">
        <v>155</v>
      </c>
      <c r="BE114" s="39" t="s">
        <v>0</v>
      </c>
      <c r="BF114" s="39">
        <v>11</v>
      </c>
      <c r="BG114" s="39" t="s">
        <v>152</v>
      </c>
      <c r="BH114" s="27">
        <v>11</v>
      </c>
      <c r="BI114" s="39" t="s">
        <v>7</v>
      </c>
      <c r="BJ114" s="41" t="s">
        <v>181</v>
      </c>
      <c r="BK114" s="27"/>
      <c r="BL114" s="44"/>
      <c r="BM114" s="45" t="s">
        <v>155</v>
      </c>
      <c r="BN114" s="39" t="s">
        <v>0</v>
      </c>
      <c r="BO114" s="39">
        <v>11</v>
      </c>
      <c r="BP114" s="39" t="s">
        <v>152</v>
      </c>
      <c r="BQ114" s="27">
        <v>11</v>
      </c>
      <c r="BR114" s="39">
        <v>1033</v>
      </c>
      <c r="BS114" s="41" t="s">
        <v>171</v>
      </c>
      <c r="BT114" s="27"/>
      <c r="BU114" s="44"/>
      <c r="BV114" s="45" t="s">
        <v>155</v>
      </c>
      <c r="BW114" s="39" t="s">
        <v>0</v>
      </c>
      <c r="BX114" s="39">
        <v>11</v>
      </c>
      <c r="BY114" s="39" t="s">
        <v>152</v>
      </c>
      <c r="BZ114" s="27">
        <v>11</v>
      </c>
      <c r="CA114" s="39">
        <v>2025</v>
      </c>
      <c r="CB114" s="41" t="s">
        <v>189</v>
      </c>
      <c r="CD114" s="44"/>
      <c r="CE114" s="45" t="s">
        <v>155</v>
      </c>
      <c r="CF114" s="39" t="s">
        <v>0</v>
      </c>
      <c r="CG114" s="39">
        <v>11</v>
      </c>
      <c r="CH114" s="39" t="s">
        <v>152</v>
      </c>
      <c r="CI114" s="27">
        <v>11</v>
      </c>
      <c r="CJ114" s="39">
        <v>1020</v>
      </c>
      <c r="CK114" s="41" t="s">
        <v>178</v>
      </c>
      <c r="CM114" s="42"/>
      <c r="CN114" s="34"/>
      <c r="CO114" s="10"/>
      <c r="CP114" s="10"/>
      <c r="CQ114" s="10"/>
      <c r="CS114" s="10"/>
      <c r="CT114" s="43"/>
    </row>
    <row r="115" spans="1:98" ht="15.75" thickBot="1" x14ac:dyDescent="0.3">
      <c r="A115" s="52"/>
      <c r="B115" s="53" t="s">
        <v>155</v>
      </c>
      <c r="C115" s="54" t="s">
        <v>0</v>
      </c>
      <c r="D115" s="54">
        <v>12</v>
      </c>
      <c r="E115" s="54" t="s">
        <v>152</v>
      </c>
      <c r="F115" s="55">
        <v>12</v>
      </c>
      <c r="G115" s="39">
        <v>1022</v>
      </c>
      <c r="H115" s="40" t="s">
        <v>160</v>
      </c>
      <c r="I115" s="27"/>
      <c r="J115" s="52"/>
      <c r="K115" s="53" t="s">
        <v>155</v>
      </c>
      <c r="L115" s="54" t="s">
        <v>0</v>
      </c>
      <c r="M115" s="54">
        <v>12</v>
      </c>
      <c r="N115" s="54" t="s">
        <v>152</v>
      </c>
      <c r="O115" s="55">
        <v>12</v>
      </c>
      <c r="P115" s="39" t="s">
        <v>55</v>
      </c>
      <c r="Q115" s="41" t="s">
        <v>163</v>
      </c>
      <c r="R115" s="27"/>
      <c r="S115" s="52"/>
      <c r="T115" s="53" t="s">
        <v>155</v>
      </c>
      <c r="U115" s="54" t="s">
        <v>0</v>
      </c>
      <c r="V115" s="54">
        <v>12</v>
      </c>
      <c r="W115" s="54" t="s">
        <v>152</v>
      </c>
      <c r="X115" s="55">
        <v>12</v>
      </c>
      <c r="Y115" s="39">
        <v>1041</v>
      </c>
      <c r="Z115" s="41" t="s">
        <v>182</v>
      </c>
      <c r="AA115" s="27"/>
      <c r="AB115" s="52"/>
      <c r="AC115" s="53" t="s">
        <v>155</v>
      </c>
      <c r="AD115" s="54" t="s">
        <v>0</v>
      </c>
      <c r="AE115" s="54">
        <v>12</v>
      </c>
      <c r="AF115" s="54" t="s">
        <v>152</v>
      </c>
      <c r="AG115" s="55">
        <v>12</v>
      </c>
      <c r="AH115" s="39">
        <v>2019</v>
      </c>
      <c r="AI115" s="41" t="s">
        <v>172</v>
      </c>
      <c r="AJ115" s="27"/>
      <c r="AK115" s="52"/>
      <c r="AL115" s="53" t="s">
        <v>155</v>
      </c>
      <c r="AM115" s="54" t="s">
        <v>0</v>
      </c>
      <c r="AN115" s="54">
        <v>12</v>
      </c>
      <c r="AO115" s="54" t="s">
        <v>152</v>
      </c>
      <c r="AP115" s="55">
        <v>12</v>
      </c>
      <c r="AQ115" s="39">
        <v>1034</v>
      </c>
      <c r="AR115" s="41" t="s">
        <v>189</v>
      </c>
      <c r="AS115" s="27"/>
      <c r="AT115" s="52"/>
      <c r="AU115" s="53" t="s">
        <v>155</v>
      </c>
      <c r="AV115" s="54" t="s">
        <v>0</v>
      </c>
      <c r="AW115" s="54">
        <v>12</v>
      </c>
      <c r="AX115" s="54" t="s">
        <v>152</v>
      </c>
      <c r="AY115" s="55">
        <v>12</v>
      </c>
      <c r="AZ115" s="39" t="s">
        <v>231</v>
      </c>
      <c r="BA115" s="41" t="s">
        <v>178</v>
      </c>
      <c r="BB115" s="27"/>
      <c r="BC115" s="52"/>
      <c r="BD115" s="53" t="s">
        <v>155</v>
      </c>
      <c r="BE115" s="54" t="s">
        <v>0</v>
      </c>
      <c r="BF115" s="54">
        <v>12</v>
      </c>
      <c r="BG115" s="54" t="s">
        <v>152</v>
      </c>
      <c r="BH115" s="55">
        <v>12</v>
      </c>
      <c r="BI115" s="39" t="s">
        <v>7</v>
      </c>
      <c r="BJ115" s="41" t="s">
        <v>183</v>
      </c>
      <c r="BK115" s="27"/>
      <c r="BL115" s="52"/>
      <c r="BM115" s="53" t="s">
        <v>155</v>
      </c>
      <c r="BN115" s="54" t="s">
        <v>0</v>
      </c>
      <c r="BO115" s="54">
        <v>12</v>
      </c>
      <c r="BP115" s="54" t="s">
        <v>152</v>
      </c>
      <c r="BQ115" s="55">
        <v>12</v>
      </c>
      <c r="BR115" s="39">
        <v>1033</v>
      </c>
      <c r="BS115" s="41" t="s">
        <v>161</v>
      </c>
      <c r="BT115" s="27"/>
      <c r="BU115" s="52"/>
      <c r="BV115" s="53" t="s">
        <v>155</v>
      </c>
      <c r="BW115" s="54" t="s">
        <v>0</v>
      </c>
      <c r="BX115" s="54">
        <v>12</v>
      </c>
      <c r="BY115" s="54" t="s">
        <v>152</v>
      </c>
      <c r="BZ115" s="55">
        <v>12</v>
      </c>
      <c r="CA115" s="39">
        <v>2025</v>
      </c>
      <c r="CB115" s="40" t="s">
        <v>160</v>
      </c>
      <c r="CD115" s="52"/>
      <c r="CE115" s="53" t="s">
        <v>155</v>
      </c>
      <c r="CF115" s="54" t="s">
        <v>0</v>
      </c>
      <c r="CG115" s="54">
        <v>12</v>
      </c>
      <c r="CH115" s="54" t="s">
        <v>152</v>
      </c>
      <c r="CI115" s="55">
        <v>12</v>
      </c>
      <c r="CJ115" s="39">
        <v>1020</v>
      </c>
      <c r="CK115" s="41" t="s">
        <v>163</v>
      </c>
      <c r="CM115" s="47"/>
      <c r="CN115" s="48"/>
      <c r="CO115" s="49"/>
      <c r="CP115" s="49"/>
      <c r="CQ115" s="49"/>
      <c r="CR115" s="50"/>
      <c r="CS115" s="10"/>
      <c r="CT115" s="33"/>
    </row>
    <row r="116" spans="1:98" x14ac:dyDescent="0.25">
      <c r="A116" s="60"/>
      <c r="B116" s="36" t="s">
        <v>155</v>
      </c>
      <c r="C116" s="61" t="s">
        <v>9</v>
      </c>
      <c r="D116" s="61">
        <v>1</v>
      </c>
      <c r="E116" s="61" t="s">
        <v>152</v>
      </c>
      <c r="F116" s="62">
        <v>13</v>
      </c>
      <c r="G116" s="39">
        <v>1022</v>
      </c>
      <c r="H116" s="41" t="s">
        <v>168</v>
      </c>
      <c r="I116" s="27"/>
      <c r="J116" s="60"/>
      <c r="K116" s="36" t="s">
        <v>155</v>
      </c>
      <c r="L116" s="61" t="s">
        <v>9</v>
      </c>
      <c r="M116" s="61">
        <v>1</v>
      </c>
      <c r="N116" s="61" t="s">
        <v>152</v>
      </c>
      <c r="O116" s="62">
        <v>13</v>
      </c>
      <c r="P116" s="39" t="s">
        <v>55</v>
      </c>
      <c r="Q116" s="41" t="s">
        <v>171</v>
      </c>
      <c r="R116" s="27"/>
      <c r="S116" s="60"/>
      <c r="T116" s="36" t="s">
        <v>155</v>
      </c>
      <c r="U116" s="61" t="s">
        <v>9</v>
      </c>
      <c r="V116" s="61">
        <v>1</v>
      </c>
      <c r="W116" s="61" t="s">
        <v>152</v>
      </c>
      <c r="X116" s="62">
        <v>13</v>
      </c>
      <c r="Y116" s="39">
        <v>1041</v>
      </c>
      <c r="Z116" s="41" t="s">
        <v>184</v>
      </c>
      <c r="AA116" s="27"/>
      <c r="AB116" s="60"/>
      <c r="AC116" s="36" t="s">
        <v>155</v>
      </c>
      <c r="AD116" s="61" t="s">
        <v>9</v>
      </c>
      <c r="AE116" s="61">
        <v>1</v>
      </c>
      <c r="AF116" s="61" t="s">
        <v>152</v>
      </c>
      <c r="AG116" s="62">
        <v>13</v>
      </c>
      <c r="AH116" s="39">
        <v>2019</v>
      </c>
      <c r="AI116" s="41" t="s">
        <v>162</v>
      </c>
      <c r="AJ116" s="27"/>
      <c r="AK116" s="60"/>
      <c r="AL116" s="36" t="s">
        <v>155</v>
      </c>
      <c r="AM116" s="61" t="s">
        <v>9</v>
      </c>
      <c r="AN116" s="61">
        <v>1</v>
      </c>
      <c r="AO116" s="61" t="s">
        <v>152</v>
      </c>
      <c r="AP116" s="62">
        <v>13</v>
      </c>
      <c r="AQ116" s="39" t="s">
        <v>59</v>
      </c>
      <c r="AR116" s="40" t="s">
        <v>160</v>
      </c>
      <c r="AS116" s="27"/>
      <c r="AT116" s="60"/>
      <c r="AU116" s="36" t="s">
        <v>155</v>
      </c>
      <c r="AV116" s="61" t="s">
        <v>9</v>
      </c>
      <c r="AW116" s="61">
        <v>1</v>
      </c>
      <c r="AX116" s="61" t="s">
        <v>152</v>
      </c>
      <c r="AY116" s="62">
        <v>13</v>
      </c>
      <c r="AZ116" s="39" t="s">
        <v>232</v>
      </c>
      <c r="BA116" s="41" t="s">
        <v>163</v>
      </c>
      <c r="BB116" s="27"/>
      <c r="BC116" s="60"/>
      <c r="BD116" s="36" t="s">
        <v>155</v>
      </c>
      <c r="BE116" s="61" t="s">
        <v>9</v>
      </c>
      <c r="BF116" s="61">
        <v>1</v>
      </c>
      <c r="BG116" s="61" t="s">
        <v>152</v>
      </c>
      <c r="BH116" s="62">
        <v>13</v>
      </c>
      <c r="BI116" s="39" t="s">
        <v>7</v>
      </c>
      <c r="BJ116" s="41" t="s">
        <v>186</v>
      </c>
      <c r="BK116" s="27"/>
      <c r="BL116" s="60"/>
      <c r="BM116" s="36" t="s">
        <v>155</v>
      </c>
      <c r="BN116" s="61" t="s">
        <v>9</v>
      </c>
      <c r="BO116" s="61">
        <v>1</v>
      </c>
      <c r="BP116" s="61" t="s">
        <v>152</v>
      </c>
      <c r="BQ116" s="62">
        <v>13</v>
      </c>
      <c r="BR116" s="39">
        <v>1033</v>
      </c>
      <c r="BS116" s="46" t="s">
        <v>169</v>
      </c>
      <c r="BT116" s="27"/>
      <c r="BU116" s="60"/>
      <c r="BV116" s="36" t="s">
        <v>155</v>
      </c>
      <c r="BW116" s="61" t="s">
        <v>9</v>
      </c>
      <c r="BX116" s="61">
        <v>1</v>
      </c>
      <c r="BY116" s="61" t="s">
        <v>152</v>
      </c>
      <c r="BZ116" s="62">
        <v>13</v>
      </c>
      <c r="CA116" s="39">
        <v>2026</v>
      </c>
      <c r="CB116" s="41" t="s">
        <v>168</v>
      </c>
      <c r="CD116" s="60"/>
      <c r="CE116" s="36" t="s">
        <v>155</v>
      </c>
      <c r="CF116" s="61" t="s">
        <v>9</v>
      </c>
      <c r="CG116" s="61">
        <v>1</v>
      </c>
      <c r="CH116" s="61" t="s">
        <v>152</v>
      </c>
      <c r="CI116" s="62">
        <v>13</v>
      </c>
      <c r="CJ116" s="39">
        <v>1020</v>
      </c>
      <c r="CK116" s="41" t="s">
        <v>171</v>
      </c>
      <c r="CM116" s="56"/>
      <c r="CN116" s="31"/>
      <c r="CO116" s="58"/>
      <c r="CP116" s="58"/>
      <c r="CQ116" s="58"/>
      <c r="CR116" s="59"/>
      <c r="CS116" s="10"/>
      <c r="CT116" s="43"/>
    </row>
    <row r="117" spans="1:98" x14ac:dyDescent="0.25">
      <c r="A117" s="44"/>
      <c r="B117" s="45" t="s">
        <v>155</v>
      </c>
      <c r="C117" s="39" t="s">
        <v>9</v>
      </c>
      <c r="D117" s="39">
        <v>2</v>
      </c>
      <c r="E117" s="39" t="s">
        <v>152</v>
      </c>
      <c r="F117" s="27">
        <v>14</v>
      </c>
      <c r="G117" s="39">
        <v>1022</v>
      </c>
      <c r="H117" s="41" t="s">
        <v>176</v>
      </c>
      <c r="I117" s="27"/>
      <c r="J117" s="44"/>
      <c r="K117" s="45" t="s">
        <v>155</v>
      </c>
      <c r="L117" s="39" t="s">
        <v>9</v>
      </c>
      <c r="M117" s="39">
        <v>2</v>
      </c>
      <c r="N117" s="39" t="s">
        <v>152</v>
      </c>
      <c r="O117" s="27">
        <v>14</v>
      </c>
      <c r="P117" s="39" t="s">
        <v>55</v>
      </c>
      <c r="Q117" s="41" t="s">
        <v>161</v>
      </c>
      <c r="R117" s="27"/>
      <c r="S117" s="44"/>
      <c r="T117" s="45" t="s">
        <v>155</v>
      </c>
      <c r="U117" s="39" t="s">
        <v>9</v>
      </c>
      <c r="V117" s="39">
        <v>2</v>
      </c>
      <c r="W117" s="39" t="s">
        <v>152</v>
      </c>
      <c r="X117" s="27">
        <v>14</v>
      </c>
      <c r="Y117" s="39">
        <v>1041</v>
      </c>
      <c r="Z117" s="41" t="s">
        <v>187</v>
      </c>
      <c r="AA117" s="27"/>
      <c r="AB117" s="44"/>
      <c r="AC117" s="45" t="s">
        <v>155</v>
      </c>
      <c r="AD117" s="39" t="s">
        <v>9</v>
      </c>
      <c r="AE117" s="39">
        <v>2</v>
      </c>
      <c r="AF117" s="39" t="s">
        <v>152</v>
      </c>
      <c r="AG117" s="27">
        <v>14</v>
      </c>
      <c r="AH117" s="39">
        <v>2019</v>
      </c>
      <c r="AI117" s="41" t="s">
        <v>170</v>
      </c>
      <c r="AJ117" s="27"/>
      <c r="AK117" s="44"/>
      <c r="AL117" s="45" t="s">
        <v>155</v>
      </c>
      <c r="AM117" s="39" t="s">
        <v>9</v>
      </c>
      <c r="AN117" s="39">
        <v>2</v>
      </c>
      <c r="AO117" s="39" t="s">
        <v>152</v>
      </c>
      <c r="AP117" s="27">
        <v>14</v>
      </c>
      <c r="AQ117" s="39" t="s">
        <v>59</v>
      </c>
      <c r="AR117" s="41" t="s">
        <v>168</v>
      </c>
      <c r="AS117" s="27"/>
      <c r="AT117" s="44"/>
      <c r="AU117" s="45" t="s">
        <v>155</v>
      </c>
      <c r="AV117" s="39" t="s">
        <v>9</v>
      </c>
      <c r="AW117" s="39">
        <v>2</v>
      </c>
      <c r="AX117" s="39" t="s">
        <v>152</v>
      </c>
      <c r="AY117" s="27">
        <v>14</v>
      </c>
      <c r="AZ117" s="39" t="s">
        <v>233</v>
      </c>
      <c r="BA117" s="41" t="s">
        <v>171</v>
      </c>
      <c r="BB117" s="27"/>
      <c r="BC117" s="44"/>
      <c r="BD117" s="45" t="s">
        <v>155</v>
      </c>
      <c r="BE117" s="39" t="s">
        <v>9</v>
      </c>
      <c r="BF117" s="39">
        <v>2</v>
      </c>
      <c r="BG117" s="39" t="s">
        <v>152</v>
      </c>
      <c r="BH117" s="27">
        <v>14</v>
      </c>
      <c r="BI117" s="39" t="s">
        <v>7</v>
      </c>
      <c r="BJ117" s="41" t="s">
        <v>188</v>
      </c>
      <c r="BK117" s="27"/>
      <c r="BL117" s="44"/>
      <c r="BM117" s="45" t="s">
        <v>155</v>
      </c>
      <c r="BN117" s="39" t="s">
        <v>9</v>
      </c>
      <c r="BO117" s="39">
        <v>2</v>
      </c>
      <c r="BP117" s="39" t="s">
        <v>152</v>
      </c>
      <c r="BQ117" s="27">
        <v>14</v>
      </c>
      <c r="BR117" s="39">
        <v>1033</v>
      </c>
      <c r="BS117" s="41" t="s">
        <v>181</v>
      </c>
      <c r="BT117" s="27"/>
      <c r="BU117" s="44"/>
      <c r="BV117" s="45" t="s">
        <v>155</v>
      </c>
      <c r="BW117" s="39" t="s">
        <v>9</v>
      </c>
      <c r="BX117" s="39">
        <v>2</v>
      </c>
      <c r="BY117" s="39" t="s">
        <v>152</v>
      </c>
      <c r="BZ117" s="27">
        <v>14</v>
      </c>
      <c r="CA117" s="39">
        <v>2026</v>
      </c>
      <c r="CB117" s="41" t="s">
        <v>176</v>
      </c>
      <c r="CD117" s="44"/>
      <c r="CE117" s="45" t="s">
        <v>155</v>
      </c>
      <c r="CF117" s="39" t="s">
        <v>9</v>
      </c>
      <c r="CG117" s="39">
        <v>2</v>
      </c>
      <c r="CH117" s="39" t="s">
        <v>152</v>
      </c>
      <c r="CI117" s="27">
        <v>14</v>
      </c>
      <c r="CJ117" s="39">
        <v>1020</v>
      </c>
      <c r="CK117" s="41" t="s">
        <v>161</v>
      </c>
      <c r="CM117" s="42"/>
      <c r="CN117" s="34"/>
      <c r="CO117" s="10"/>
      <c r="CP117" s="10"/>
      <c r="CQ117" s="10"/>
      <c r="CS117" s="10"/>
      <c r="CT117" s="43"/>
    </row>
    <row r="118" spans="1:98" ht="15.75" thickBot="1" x14ac:dyDescent="0.3">
      <c r="A118" s="44"/>
      <c r="B118" s="45" t="s">
        <v>155</v>
      </c>
      <c r="C118" s="39" t="s">
        <v>9</v>
      </c>
      <c r="D118" s="39">
        <v>3</v>
      </c>
      <c r="E118" s="39" t="s">
        <v>152</v>
      </c>
      <c r="F118" s="27">
        <v>15</v>
      </c>
      <c r="G118" s="39">
        <v>1022</v>
      </c>
      <c r="H118" s="41" t="s">
        <v>164</v>
      </c>
      <c r="I118" s="27"/>
      <c r="J118" s="44"/>
      <c r="K118" s="45" t="s">
        <v>155</v>
      </c>
      <c r="L118" s="39" t="s">
        <v>9</v>
      </c>
      <c r="M118" s="39">
        <v>3</v>
      </c>
      <c r="N118" s="39" t="s">
        <v>152</v>
      </c>
      <c r="O118" s="27">
        <v>15</v>
      </c>
      <c r="P118" s="39" t="s">
        <v>55</v>
      </c>
      <c r="Q118" s="46" t="s">
        <v>169</v>
      </c>
      <c r="R118" s="27"/>
      <c r="S118" s="44"/>
      <c r="T118" s="45" t="s">
        <v>155</v>
      </c>
      <c r="U118" s="39" t="s">
        <v>9</v>
      </c>
      <c r="V118" s="39">
        <v>3</v>
      </c>
      <c r="W118" s="39" t="s">
        <v>152</v>
      </c>
      <c r="X118" s="27">
        <v>15</v>
      </c>
      <c r="Y118" s="39">
        <v>1041</v>
      </c>
      <c r="Z118" s="41" t="s">
        <v>189</v>
      </c>
      <c r="AA118" s="27"/>
      <c r="AB118" s="44"/>
      <c r="AC118" s="45" t="s">
        <v>155</v>
      </c>
      <c r="AD118" s="39" t="s">
        <v>9</v>
      </c>
      <c r="AE118" s="39">
        <v>3</v>
      </c>
      <c r="AF118" s="39" t="s">
        <v>152</v>
      </c>
      <c r="AG118" s="27">
        <v>15</v>
      </c>
      <c r="AH118" s="39">
        <v>2019</v>
      </c>
      <c r="AI118" s="41" t="s">
        <v>178</v>
      </c>
      <c r="AJ118" s="27"/>
      <c r="AK118" s="44"/>
      <c r="AL118" s="45" t="s">
        <v>155</v>
      </c>
      <c r="AM118" s="39" t="s">
        <v>9</v>
      </c>
      <c r="AN118" s="39">
        <v>3</v>
      </c>
      <c r="AO118" s="39" t="s">
        <v>152</v>
      </c>
      <c r="AP118" s="27">
        <v>15</v>
      </c>
      <c r="AQ118" s="39" t="s">
        <v>59</v>
      </c>
      <c r="AR118" s="41" t="s">
        <v>176</v>
      </c>
      <c r="AS118" s="27"/>
      <c r="AT118" s="44"/>
      <c r="AU118" s="45" t="s">
        <v>155</v>
      </c>
      <c r="AV118" s="39" t="s">
        <v>9</v>
      </c>
      <c r="AW118" s="39">
        <v>3</v>
      </c>
      <c r="AX118" s="39" t="s">
        <v>152</v>
      </c>
      <c r="AY118" s="27">
        <v>15</v>
      </c>
      <c r="AZ118" s="39" t="s">
        <v>234</v>
      </c>
      <c r="BA118" s="41" t="s">
        <v>161</v>
      </c>
      <c r="BB118" s="27"/>
      <c r="BC118" s="44"/>
      <c r="BD118" s="45" t="s">
        <v>155</v>
      </c>
      <c r="BE118" s="39" t="s">
        <v>9</v>
      </c>
      <c r="BF118" s="39">
        <v>3</v>
      </c>
      <c r="BG118" s="39" t="s">
        <v>152</v>
      </c>
      <c r="BH118" s="27">
        <v>15</v>
      </c>
      <c r="BI118" s="39" t="s">
        <v>7</v>
      </c>
      <c r="BJ118" s="41" t="s">
        <v>182</v>
      </c>
      <c r="BK118" s="27"/>
      <c r="BL118" s="44"/>
      <c r="BM118" s="45" t="s">
        <v>155</v>
      </c>
      <c r="BN118" s="39" t="s">
        <v>9</v>
      </c>
      <c r="BO118" s="39">
        <v>3</v>
      </c>
      <c r="BP118" s="39" t="s">
        <v>152</v>
      </c>
      <c r="BQ118" s="27">
        <v>15</v>
      </c>
      <c r="BR118" s="39">
        <v>1033</v>
      </c>
      <c r="BS118" s="41" t="s">
        <v>183</v>
      </c>
      <c r="BT118" s="27"/>
      <c r="BU118" s="44"/>
      <c r="BV118" s="45" t="s">
        <v>155</v>
      </c>
      <c r="BW118" s="39" t="s">
        <v>9</v>
      </c>
      <c r="BX118" s="39">
        <v>3</v>
      </c>
      <c r="BY118" s="39" t="s">
        <v>152</v>
      </c>
      <c r="BZ118" s="27">
        <v>15</v>
      </c>
      <c r="CA118" s="39">
        <v>2026</v>
      </c>
      <c r="CB118" s="41" t="s">
        <v>164</v>
      </c>
      <c r="CD118" s="44"/>
      <c r="CE118" s="45" t="s">
        <v>155</v>
      </c>
      <c r="CF118" s="39" t="s">
        <v>9</v>
      </c>
      <c r="CG118" s="39">
        <v>3</v>
      </c>
      <c r="CH118" s="39" t="s">
        <v>152</v>
      </c>
      <c r="CI118" s="27">
        <v>15</v>
      </c>
      <c r="CJ118" s="39">
        <v>1020</v>
      </c>
      <c r="CK118" s="46" t="s">
        <v>169</v>
      </c>
      <c r="CM118" s="42"/>
      <c r="CN118" s="34"/>
      <c r="CO118" s="10"/>
      <c r="CP118" s="10"/>
      <c r="CQ118" s="10"/>
      <c r="CS118" s="10"/>
      <c r="CT118" s="43"/>
    </row>
    <row r="119" spans="1:98" x14ac:dyDescent="0.25">
      <c r="A119" s="44"/>
      <c r="B119" s="45" t="s">
        <v>155</v>
      </c>
      <c r="C119" s="39" t="s">
        <v>9</v>
      </c>
      <c r="D119" s="39">
        <v>4</v>
      </c>
      <c r="E119" s="39" t="s">
        <v>152</v>
      </c>
      <c r="F119" s="27">
        <v>16</v>
      </c>
      <c r="G119" s="39">
        <v>1022</v>
      </c>
      <c r="H119" s="41" t="s">
        <v>172</v>
      </c>
      <c r="I119" s="27"/>
      <c r="J119" s="44"/>
      <c r="K119" s="45" t="s">
        <v>155</v>
      </c>
      <c r="L119" s="39" t="s">
        <v>9</v>
      </c>
      <c r="M119" s="39">
        <v>4</v>
      </c>
      <c r="N119" s="39" t="s">
        <v>152</v>
      </c>
      <c r="O119" s="27">
        <v>16</v>
      </c>
      <c r="P119" s="39" t="s">
        <v>55</v>
      </c>
      <c r="Q119" s="41" t="s">
        <v>177</v>
      </c>
      <c r="R119" s="27"/>
      <c r="S119" s="44"/>
      <c r="T119" s="45" t="s">
        <v>155</v>
      </c>
      <c r="U119" s="39" t="s">
        <v>9</v>
      </c>
      <c r="V119" s="39">
        <v>4</v>
      </c>
      <c r="W119" s="39" t="s">
        <v>152</v>
      </c>
      <c r="X119" s="27">
        <v>16</v>
      </c>
      <c r="Y119" s="39" t="s">
        <v>48</v>
      </c>
      <c r="Z119" s="40" t="s">
        <v>160</v>
      </c>
      <c r="AA119" s="27"/>
      <c r="AB119" s="44"/>
      <c r="AC119" s="45" t="s">
        <v>155</v>
      </c>
      <c r="AD119" s="39" t="s">
        <v>9</v>
      </c>
      <c r="AE119" s="39">
        <v>4</v>
      </c>
      <c r="AF119" s="39" t="s">
        <v>152</v>
      </c>
      <c r="AG119" s="27">
        <v>16</v>
      </c>
      <c r="AH119" s="39">
        <v>2019</v>
      </c>
      <c r="AI119" s="41" t="s">
        <v>163</v>
      </c>
      <c r="AJ119" s="27"/>
      <c r="AK119" s="44"/>
      <c r="AL119" s="45" t="s">
        <v>155</v>
      </c>
      <c r="AM119" s="39" t="s">
        <v>9</v>
      </c>
      <c r="AN119" s="39">
        <v>4</v>
      </c>
      <c r="AO119" s="39" t="s">
        <v>152</v>
      </c>
      <c r="AP119" s="27">
        <v>16</v>
      </c>
      <c r="AQ119" s="39" t="s">
        <v>59</v>
      </c>
      <c r="AR119" s="41" t="s">
        <v>164</v>
      </c>
      <c r="AS119" s="27"/>
      <c r="AT119" s="44"/>
      <c r="AU119" s="45" t="s">
        <v>155</v>
      </c>
      <c r="AV119" s="39" t="s">
        <v>9</v>
      </c>
      <c r="AW119" s="39">
        <v>4</v>
      </c>
      <c r="AX119" s="39" t="s">
        <v>152</v>
      </c>
      <c r="AY119" s="27">
        <v>16</v>
      </c>
      <c r="AZ119" s="39" t="s">
        <v>235</v>
      </c>
      <c r="BA119" s="46" t="s">
        <v>169</v>
      </c>
      <c r="BB119" s="27"/>
      <c r="BC119" s="44"/>
      <c r="BD119" s="45" t="s">
        <v>155</v>
      </c>
      <c r="BE119" s="39" t="s">
        <v>9</v>
      </c>
      <c r="BF119" s="39">
        <v>4</v>
      </c>
      <c r="BG119" s="39" t="s">
        <v>152</v>
      </c>
      <c r="BH119" s="27">
        <v>16</v>
      </c>
      <c r="BI119" s="39" t="s">
        <v>7</v>
      </c>
      <c r="BJ119" s="41" t="s">
        <v>184</v>
      </c>
      <c r="BK119" s="27"/>
      <c r="BL119" s="44"/>
      <c r="BM119" s="45" t="s">
        <v>155</v>
      </c>
      <c r="BN119" s="39" t="s">
        <v>9</v>
      </c>
      <c r="BO119" s="39">
        <v>4</v>
      </c>
      <c r="BP119" s="39" t="s">
        <v>152</v>
      </c>
      <c r="BQ119" s="27">
        <v>16</v>
      </c>
      <c r="BR119" s="39">
        <v>1033</v>
      </c>
      <c r="BS119" s="41" t="s">
        <v>182</v>
      </c>
      <c r="BT119" s="27"/>
      <c r="BU119" s="44"/>
      <c r="BV119" s="45" t="s">
        <v>155</v>
      </c>
      <c r="BW119" s="39" t="s">
        <v>9</v>
      </c>
      <c r="BX119" s="39">
        <v>4</v>
      </c>
      <c r="BY119" s="39" t="s">
        <v>152</v>
      </c>
      <c r="BZ119" s="27">
        <v>16</v>
      </c>
      <c r="CA119" s="39">
        <v>2026</v>
      </c>
      <c r="CB119" s="41" t="s">
        <v>172</v>
      </c>
      <c r="CD119" s="44"/>
      <c r="CE119" s="45" t="s">
        <v>155</v>
      </c>
      <c r="CF119" s="39" t="s">
        <v>9</v>
      </c>
      <c r="CG119" s="39">
        <v>4</v>
      </c>
      <c r="CH119" s="39" t="s">
        <v>152</v>
      </c>
      <c r="CI119" s="27">
        <v>16</v>
      </c>
      <c r="CJ119" s="39">
        <v>1020</v>
      </c>
      <c r="CK119" s="41" t="s">
        <v>177</v>
      </c>
      <c r="CM119" s="42"/>
      <c r="CN119" s="34"/>
      <c r="CO119" s="10"/>
      <c r="CP119" s="10"/>
      <c r="CQ119" s="10"/>
      <c r="CS119" s="10"/>
      <c r="CT119" s="43"/>
    </row>
    <row r="120" spans="1:98" x14ac:dyDescent="0.25">
      <c r="A120" s="44"/>
      <c r="B120" s="45" t="s">
        <v>155</v>
      </c>
      <c r="C120" s="39" t="s">
        <v>9</v>
      </c>
      <c r="D120" s="39">
        <v>5</v>
      </c>
      <c r="E120" s="39" t="s">
        <v>152</v>
      </c>
      <c r="F120" s="27">
        <v>17</v>
      </c>
      <c r="G120" s="39">
        <v>1022</v>
      </c>
      <c r="H120" s="41" t="s">
        <v>162</v>
      </c>
      <c r="I120" s="27"/>
      <c r="J120" s="44"/>
      <c r="K120" s="45" t="s">
        <v>155</v>
      </c>
      <c r="L120" s="39" t="s">
        <v>9</v>
      </c>
      <c r="M120" s="39">
        <v>5</v>
      </c>
      <c r="N120" s="39" t="s">
        <v>152</v>
      </c>
      <c r="O120" s="27">
        <v>17</v>
      </c>
      <c r="P120" s="39" t="s">
        <v>55</v>
      </c>
      <c r="Q120" s="41" t="s">
        <v>180</v>
      </c>
      <c r="R120" s="27"/>
      <c r="S120" s="44"/>
      <c r="T120" s="45" t="s">
        <v>155</v>
      </c>
      <c r="U120" s="39" t="s">
        <v>9</v>
      </c>
      <c r="V120" s="39">
        <v>5</v>
      </c>
      <c r="W120" s="39" t="s">
        <v>152</v>
      </c>
      <c r="X120" s="27">
        <v>17</v>
      </c>
      <c r="Y120" s="39" t="s">
        <v>48</v>
      </c>
      <c r="Z120" s="41" t="s">
        <v>168</v>
      </c>
      <c r="AA120" s="27"/>
      <c r="AB120" s="44"/>
      <c r="AC120" s="45" t="s">
        <v>155</v>
      </c>
      <c r="AD120" s="39" t="s">
        <v>9</v>
      </c>
      <c r="AE120" s="39">
        <v>5</v>
      </c>
      <c r="AF120" s="39" t="s">
        <v>152</v>
      </c>
      <c r="AG120" s="27">
        <v>17</v>
      </c>
      <c r="AH120" s="39">
        <v>2019</v>
      </c>
      <c r="AI120" s="41" t="s">
        <v>171</v>
      </c>
      <c r="AJ120" s="27"/>
      <c r="AK120" s="44"/>
      <c r="AL120" s="45" t="s">
        <v>155</v>
      </c>
      <c r="AM120" s="39" t="s">
        <v>9</v>
      </c>
      <c r="AN120" s="39">
        <v>5</v>
      </c>
      <c r="AO120" s="39" t="s">
        <v>152</v>
      </c>
      <c r="AP120" s="27">
        <v>17</v>
      </c>
      <c r="AQ120" s="39" t="s">
        <v>59</v>
      </c>
      <c r="AR120" s="41" t="s">
        <v>172</v>
      </c>
      <c r="AS120" s="27"/>
      <c r="AT120" s="44"/>
      <c r="AU120" s="45" t="s">
        <v>155</v>
      </c>
      <c r="AV120" s="39" t="s">
        <v>9</v>
      </c>
      <c r="AW120" s="39">
        <v>5</v>
      </c>
      <c r="AX120" s="39" t="s">
        <v>152</v>
      </c>
      <c r="AY120" s="27">
        <v>17</v>
      </c>
      <c r="AZ120" s="39" t="s">
        <v>236</v>
      </c>
      <c r="BA120" s="41" t="s">
        <v>177</v>
      </c>
      <c r="BB120" s="27"/>
      <c r="BC120" s="44"/>
      <c r="BD120" s="45" t="s">
        <v>155</v>
      </c>
      <c r="BE120" s="39" t="s">
        <v>9</v>
      </c>
      <c r="BF120" s="39">
        <v>5</v>
      </c>
      <c r="BG120" s="39" t="s">
        <v>152</v>
      </c>
      <c r="BH120" s="27">
        <v>17</v>
      </c>
      <c r="BI120" s="39" t="s">
        <v>7</v>
      </c>
      <c r="BJ120" s="41" t="s">
        <v>187</v>
      </c>
      <c r="BK120" s="27"/>
      <c r="BL120" s="44"/>
      <c r="BM120" s="45" t="s">
        <v>155</v>
      </c>
      <c r="BN120" s="39" t="s">
        <v>9</v>
      </c>
      <c r="BO120" s="39">
        <v>5</v>
      </c>
      <c r="BP120" s="39" t="s">
        <v>152</v>
      </c>
      <c r="BQ120" s="27">
        <v>17</v>
      </c>
      <c r="BR120" s="39">
        <v>1033</v>
      </c>
      <c r="BS120" s="41" t="s">
        <v>184</v>
      </c>
      <c r="BT120" s="27"/>
      <c r="BU120" s="44"/>
      <c r="BV120" s="45" t="s">
        <v>155</v>
      </c>
      <c r="BW120" s="39" t="s">
        <v>9</v>
      </c>
      <c r="BX120" s="39">
        <v>5</v>
      </c>
      <c r="BY120" s="39" t="s">
        <v>152</v>
      </c>
      <c r="BZ120" s="27">
        <v>17</v>
      </c>
      <c r="CA120" s="39">
        <v>2026</v>
      </c>
      <c r="CB120" s="41" t="s">
        <v>162</v>
      </c>
      <c r="CD120" s="44"/>
      <c r="CE120" s="45" t="s">
        <v>155</v>
      </c>
      <c r="CF120" s="39" t="s">
        <v>9</v>
      </c>
      <c r="CG120" s="39">
        <v>5</v>
      </c>
      <c r="CH120" s="39" t="s">
        <v>152</v>
      </c>
      <c r="CI120" s="27">
        <v>17</v>
      </c>
      <c r="CJ120" s="39">
        <v>1020</v>
      </c>
      <c r="CK120" s="41" t="s">
        <v>180</v>
      </c>
      <c r="CM120" s="42"/>
      <c r="CN120" s="34"/>
      <c r="CO120" s="10"/>
      <c r="CP120" s="10"/>
      <c r="CQ120" s="10"/>
      <c r="CS120" s="10"/>
      <c r="CT120" s="43"/>
    </row>
    <row r="121" spans="1:98" ht="15.75" thickBot="1" x14ac:dyDescent="0.3">
      <c r="A121" s="44"/>
      <c r="B121" s="45" t="s">
        <v>155</v>
      </c>
      <c r="C121" s="39" t="s">
        <v>9</v>
      </c>
      <c r="D121" s="39">
        <v>6</v>
      </c>
      <c r="E121" s="39" t="s">
        <v>152</v>
      </c>
      <c r="F121" s="27">
        <v>18</v>
      </c>
      <c r="G121" s="39">
        <v>1022</v>
      </c>
      <c r="H121" s="41" t="s">
        <v>170</v>
      </c>
      <c r="I121" s="27"/>
      <c r="J121" s="44"/>
      <c r="K121" s="45" t="s">
        <v>155</v>
      </c>
      <c r="L121" s="39" t="s">
        <v>9</v>
      </c>
      <c r="M121" s="39">
        <v>6</v>
      </c>
      <c r="N121" s="39" t="s">
        <v>152</v>
      </c>
      <c r="O121" s="27">
        <v>18</v>
      </c>
      <c r="P121" s="39" t="s">
        <v>55</v>
      </c>
      <c r="Q121" s="41" t="s">
        <v>181</v>
      </c>
      <c r="R121" s="27"/>
      <c r="S121" s="44"/>
      <c r="T121" s="45" t="s">
        <v>155</v>
      </c>
      <c r="U121" s="39" t="s">
        <v>9</v>
      </c>
      <c r="V121" s="39">
        <v>6</v>
      </c>
      <c r="W121" s="39" t="s">
        <v>152</v>
      </c>
      <c r="X121" s="27">
        <v>18</v>
      </c>
      <c r="Y121" s="39" t="s">
        <v>48</v>
      </c>
      <c r="Z121" s="41" t="s">
        <v>176</v>
      </c>
      <c r="AA121" s="27"/>
      <c r="AB121" s="44"/>
      <c r="AC121" s="45" t="s">
        <v>155</v>
      </c>
      <c r="AD121" s="39" t="s">
        <v>9</v>
      </c>
      <c r="AE121" s="39">
        <v>6</v>
      </c>
      <c r="AF121" s="39" t="s">
        <v>152</v>
      </c>
      <c r="AG121" s="27">
        <v>18</v>
      </c>
      <c r="AH121" s="39">
        <v>2019</v>
      </c>
      <c r="AI121" s="41" t="s">
        <v>161</v>
      </c>
      <c r="AJ121" s="27"/>
      <c r="AK121" s="44"/>
      <c r="AL121" s="45" t="s">
        <v>155</v>
      </c>
      <c r="AM121" s="39" t="s">
        <v>9</v>
      </c>
      <c r="AN121" s="39">
        <v>6</v>
      </c>
      <c r="AO121" s="39" t="s">
        <v>152</v>
      </c>
      <c r="AP121" s="27">
        <v>18</v>
      </c>
      <c r="AQ121" s="39" t="s">
        <v>59</v>
      </c>
      <c r="AR121" s="41" t="s">
        <v>162</v>
      </c>
      <c r="AS121" s="27"/>
      <c r="AT121" s="44"/>
      <c r="AU121" s="45" t="s">
        <v>155</v>
      </c>
      <c r="AV121" s="39" t="s">
        <v>9</v>
      </c>
      <c r="AW121" s="39">
        <v>6</v>
      </c>
      <c r="AX121" s="39" t="s">
        <v>152</v>
      </c>
      <c r="AY121" s="27">
        <v>18</v>
      </c>
      <c r="AZ121" s="39" t="s">
        <v>237</v>
      </c>
      <c r="BA121" s="41" t="s">
        <v>180</v>
      </c>
      <c r="BB121" s="27"/>
      <c r="BC121" s="44"/>
      <c r="BD121" s="45" t="s">
        <v>155</v>
      </c>
      <c r="BE121" s="39" t="s">
        <v>9</v>
      </c>
      <c r="BF121" s="39">
        <v>6</v>
      </c>
      <c r="BG121" s="39" t="s">
        <v>152</v>
      </c>
      <c r="BH121" s="27">
        <v>18</v>
      </c>
      <c r="BI121" s="39" t="s">
        <v>7</v>
      </c>
      <c r="BJ121" s="41" t="s">
        <v>189</v>
      </c>
      <c r="BK121" s="27"/>
      <c r="BL121" s="44"/>
      <c r="BM121" s="45" t="s">
        <v>155</v>
      </c>
      <c r="BN121" s="39" t="s">
        <v>9</v>
      </c>
      <c r="BO121" s="39">
        <v>6</v>
      </c>
      <c r="BP121" s="39" t="s">
        <v>152</v>
      </c>
      <c r="BQ121" s="27">
        <v>18</v>
      </c>
      <c r="BR121" s="39">
        <v>1033</v>
      </c>
      <c r="BS121" s="41" t="s">
        <v>187</v>
      </c>
      <c r="BT121" s="27"/>
      <c r="BU121" s="44"/>
      <c r="BV121" s="45" t="s">
        <v>155</v>
      </c>
      <c r="BW121" s="39" t="s">
        <v>9</v>
      </c>
      <c r="BX121" s="39">
        <v>6</v>
      </c>
      <c r="BY121" s="39" t="s">
        <v>152</v>
      </c>
      <c r="BZ121" s="27">
        <v>18</v>
      </c>
      <c r="CA121" s="39">
        <v>2026</v>
      </c>
      <c r="CB121" s="41" t="s">
        <v>170</v>
      </c>
      <c r="CD121" s="44"/>
      <c r="CE121" s="45" t="s">
        <v>155</v>
      </c>
      <c r="CF121" s="39" t="s">
        <v>9</v>
      </c>
      <c r="CG121" s="39">
        <v>6</v>
      </c>
      <c r="CH121" s="39" t="s">
        <v>152</v>
      </c>
      <c r="CI121" s="27">
        <v>18</v>
      </c>
      <c r="CJ121" s="39">
        <v>1020</v>
      </c>
      <c r="CK121" s="41" t="s">
        <v>181</v>
      </c>
      <c r="CL121" t="s">
        <v>238</v>
      </c>
      <c r="CM121" s="42"/>
      <c r="CN121" s="34"/>
      <c r="CO121" s="10"/>
      <c r="CP121" s="10"/>
      <c r="CQ121" s="10"/>
      <c r="CS121" s="10"/>
      <c r="CT121" s="43"/>
    </row>
    <row r="122" spans="1:98" ht="15.75" thickBot="1" x14ac:dyDescent="0.3">
      <c r="A122" s="44"/>
      <c r="B122" s="45" t="s">
        <v>155</v>
      </c>
      <c r="C122" s="39" t="s">
        <v>9</v>
      </c>
      <c r="D122" s="39">
        <v>7</v>
      </c>
      <c r="E122" s="39" t="s">
        <v>152</v>
      </c>
      <c r="F122" s="27">
        <v>19</v>
      </c>
      <c r="G122" s="39">
        <v>1022</v>
      </c>
      <c r="H122" s="41" t="s">
        <v>178</v>
      </c>
      <c r="I122" s="27"/>
      <c r="J122" s="44"/>
      <c r="K122" s="45" t="s">
        <v>155</v>
      </c>
      <c r="L122" s="39" t="s">
        <v>9</v>
      </c>
      <c r="M122" s="39">
        <v>7</v>
      </c>
      <c r="N122" s="39" t="s">
        <v>152</v>
      </c>
      <c r="O122" s="27">
        <v>19</v>
      </c>
      <c r="P122" s="39" t="s">
        <v>55</v>
      </c>
      <c r="Q122" s="41" t="s">
        <v>183</v>
      </c>
      <c r="R122" s="27"/>
      <c r="S122" s="44"/>
      <c r="T122" s="45" t="s">
        <v>155</v>
      </c>
      <c r="U122" s="39" t="s">
        <v>9</v>
      </c>
      <c r="V122" s="39">
        <v>7</v>
      </c>
      <c r="W122" s="39" t="s">
        <v>152</v>
      </c>
      <c r="X122" s="27">
        <v>19</v>
      </c>
      <c r="Y122" s="39" t="s">
        <v>48</v>
      </c>
      <c r="Z122" s="41" t="s">
        <v>164</v>
      </c>
      <c r="AA122" s="27"/>
      <c r="AB122" s="44"/>
      <c r="AC122" s="45" t="s">
        <v>155</v>
      </c>
      <c r="AD122" s="39" t="s">
        <v>9</v>
      </c>
      <c r="AE122" s="39">
        <v>7</v>
      </c>
      <c r="AF122" s="39" t="s">
        <v>152</v>
      </c>
      <c r="AG122" s="27">
        <v>19</v>
      </c>
      <c r="AH122" s="39">
        <v>2019</v>
      </c>
      <c r="AI122" s="46" t="s">
        <v>169</v>
      </c>
      <c r="AJ122" s="27"/>
      <c r="AK122" s="44"/>
      <c r="AL122" s="45" t="s">
        <v>155</v>
      </c>
      <c r="AM122" s="39" t="s">
        <v>9</v>
      </c>
      <c r="AN122" s="39">
        <v>7</v>
      </c>
      <c r="AO122" s="39" t="s">
        <v>152</v>
      </c>
      <c r="AP122" s="27">
        <v>19</v>
      </c>
      <c r="AQ122" s="39" t="s">
        <v>59</v>
      </c>
      <c r="AR122" s="41" t="s">
        <v>170</v>
      </c>
      <c r="AS122" s="27"/>
      <c r="AT122" s="44"/>
      <c r="AU122" s="45" t="s">
        <v>155</v>
      </c>
      <c r="AV122" s="39" t="s">
        <v>9</v>
      </c>
      <c r="AW122" s="39">
        <v>7</v>
      </c>
      <c r="AX122" s="39" t="s">
        <v>152</v>
      </c>
      <c r="AY122" s="27">
        <v>19</v>
      </c>
      <c r="AZ122" s="39" t="s">
        <v>239</v>
      </c>
      <c r="BA122" s="41" t="s">
        <v>181</v>
      </c>
      <c r="BB122" s="27"/>
      <c r="BC122" s="44"/>
      <c r="BD122" s="45" t="s">
        <v>155</v>
      </c>
      <c r="BE122" s="39" t="s">
        <v>9</v>
      </c>
      <c r="BF122" s="39">
        <v>7</v>
      </c>
      <c r="BG122" s="39" t="s">
        <v>152</v>
      </c>
      <c r="BH122" s="27">
        <v>19</v>
      </c>
      <c r="BI122" s="39">
        <v>1045</v>
      </c>
      <c r="BJ122" s="40" t="s">
        <v>160</v>
      </c>
      <c r="BK122" s="27"/>
      <c r="BL122" s="44"/>
      <c r="BM122" s="45" t="s">
        <v>155</v>
      </c>
      <c r="BN122" s="39" t="s">
        <v>9</v>
      </c>
      <c r="BO122" s="39">
        <v>7</v>
      </c>
      <c r="BP122" s="39" t="s">
        <v>152</v>
      </c>
      <c r="BQ122" s="27">
        <v>19</v>
      </c>
      <c r="BR122" s="39">
        <v>1033</v>
      </c>
      <c r="BS122" s="41" t="s">
        <v>189</v>
      </c>
      <c r="BT122" s="27"/>
      <c r="BU122" s="44"/>
      <c r="BV122" s="45" t="s">
        <v>155</v>
      </c>
      <c r="BW122" s="39" t="s">
        <v>9</v>
      </c>
      <c r="BX122" s="39">
        <v>7</v>
      </c>
      <c r="BY122" s="39" t="s">
        <v>152</v>
      </c>
      <c r="BZ122" s="27">
        <v>19</v>
      </c>
      <c r="CA122" s="39">
        <v>2026</v>
      </c>
      <c r="CB122" s="41" t="s">
        <v>178</v>
      </c>
      <c r="CD122" s="44"/>
      <c r="CE122" s="45" t="s">
        <v>155</v>
      </c>
      <c r="CF122" s="39" t="s">
        <v>9</v>
      </c>
      <c r="CG122" s="39">
        <v>7</v>
      </c>
      <c r="CH122" s="39" t="s">
        <v>152</v>
      </c>
      <c r="CI122" s="27">
        <v>19</v>
      </c>
      <c r="CJ122" s="39">
        <v>1020</v>
      </c>
      <c r="CK122" s="41" t="s">
        <v>183</v>
      </c>
      <c r="CL122" t="s">
        <v>240</v>
      </c>
      <c r="CM122" s="42"/>
      <c r="CN122" s="34"/>
      <c r="CO122" s="10"/>
      <c r="CP122" s="10"/>
      <c r="CQ122" s="10"/>
      <c r="CS122" s="10"/>
      <c r="CT122" s="43"/>
    </row>
    <row r="123" spans="1:98" x14ac:dyDescent="0.25">
      <c r="A123" s="44"/>
      <c r="B123" s="45" t="s">
        <v>155</v>
      </c>
      <c r="C123" s="39" t="s">
        <v>9</v>
      </c>
      <c r="D123" s="39">
        <v>8</v>
      </c>
      <c r="E123" s="39" t="s">
        <v>152</v>
      </c>
      <c r="F123" s="27">
        <v>20</v>
      </c>
      <c r="G123" s="39">
        <v>1022</v>
      </c>
      <c r="H123" s="41" t="s">
        <v>163</v>
      </c>
      <c r="I123" s="27"/>
      <c r="J123" s="44"/>
      <c r="K123" s="45" t="s">
        <v>155</v>
      </c>
      <c r="L123" s="39" t="s">
        <v>9</v>
      </c>
      <c r="M123" s="39">
        <v>8</v>
      </c>
      <c r="N123" s="39" t="s">
        <v>152</v>
      </c>
      <c r="O123" s="27">
        <v>20</v>
      </c>
      <c r="P123" s="39" t="s">
        <v>55</v>
      </c>
      <c r="Q123" s="41" t="s">
        <v>186</v>
      </c>
      <c r="R123" s="27"/>
      <c r="S123" s="44"/>
      <c r="T123" s="45" t="s">
        <v>155</v>
      </c>
      <c r="U123" s="39" t="s">
        <v>9</v>
      </c>
      <c r="V123" s="39">
        <v>8</v>
      </c>
      <c r="W123" s="39" t="s">
        <v>152</v>
      </c>
      <c r="X123" s="27">
        <v>20</v>
      </c>
      <c r="Y123" s="39" t="s">
        <v>48</v>
      </c>
      <c r="Z123" s="41" t="s">
        <v>172</v>
      </c>
      <c r="AA123" s="27"/>
      <c r="AB123" s="44"/>
      <c r="AC123" s="45" t="s">
        <v>155</v>
      </c>
      <c r="AD123" s="39" t="s">
        <v>9</v>
      </c>
      <c r="AE123" s="39">
        <v>8</v>
      </c>
      <c r="AF123" s="39" t="s">
        <v>152</v>
      </c>
      <c r="AG123" s="27">
        <v>20</v>
      </c>
      <c r="AH123" s="39">
        <v>2019</v>
      </c>
      <c r="AI123" s="41" t="s">
        <v>177</v>
      </c>
      <c r="AJ123" s="27"/>
      <c r="AK123" s="44"/>
      <c r="AL123" s="45" t="s">
        <v>155</v>
      </c>
      <c r="AM123" s="39" t="s">
        <v>9</v>
      </c>
      <c r="AN123" s="39">
        <v>8</v>
      </c>
      <c r="AO123" s="39" t="s">
        <v>152</v>
      </c>
      <c r="AP123" s="27">
        <v>20</v>
      </c>
      <c r="AQ123" s="39" t="s">
        <v>59</v>
      </c>
      <c r="AR123" s="41" t="s">
        <v>178</v>
      </c>
      <c r="AS123" s="27"/>
      <c r="AT123" s="44"/>
      <c r="AU123" s="45" t="s">
        <v>155</v>
      </c>
      <c r="AV123" s="39" t="s">
        <v>9</v>
      </c>
      <c r="AW123" s="39">
        <v>8</v>
      </c>
      <c r="AX123" s="39" t="s">
        <v>152</v>
      </c>
      <c r="AY123" s="27">
        <v>20</v>
      </c>
      <c r="AZ123" s="39" t="s">
        <v>241</v>
      </c>
      <c r="BA123" s="41" t="s">
        <v>183</v>
      </c>
      <c r="BB123" s="27"/>
      <c r="BC123" s="44"/>
      <c r="BD123" s="45" t="s">
        <v>155</v>
      </c>
      <c r="BE123" s="39" t="s">
        <v>9</v>
      </c>
      <c r="BF123" s="39">
        <v>8</v>
      </c>
      <c r="BG123" s="39" t="s">
        <v>152</v>
      </c>
      <c r="BH123" s="27">
        <v>20</v>
      </c>
      <c r="BI123" s="39">
        <v>1045</v>
      </c>
      <c r="BJ123" s="41" t="s">
        <v>168</v>
      </c>
      <c r="BK123" s="27"/>
      <c r="BL123" s="44"/>
      <c r="BM123" s="45" t="s">
        <v>155</v>
      </c>
      <c r="BN123" s="39" t="s">
        <v>9</v>
      </c>
      <c r="BO123" s="39">
        <v>8</v>
      </c>
      <c r="BP123" s="39" t="s">
        <v>152</v>
      </c>
      <c r="BQ123" s="27">
        <v>20</v>
      </c>
      <c r="BR123" s="39" t="s">
        <v>62</v>
      </c>
      <c r="BS123" s="40" t="s">
        <v>160</v>
      </c>
      <c r="BT123" s="39" t="s">
        <v>242</v>
      </c>
      <c r="BU123" s="44"/>
      <c r="BV123" s="45" t="s">
        <v>155</v>
      </c>
      <c r="BW123" s="39" t="s">
        <v>9</v>
      </c>
      <c r="BX123" s="39">
        <v>8</v>
      </c>
      <c r="BY123" s="39" t="s">
        <v>152</v>
      </c>
      <c r="BZ123" s="27">
        <v>20</v>
      </c>
      <c r="CA123" s="39">
        <v>2026</v>
      </c>
      <c r="CB123" s="41" t="s">
        <v>163</v>
      </c>
      <c r="CD123" s="44"/>
      <c r="CE123" s="45" t="s">
        <v>155</v>
      </c>
      <c r="CF123" s="39" t="s">
        <v>9</v>
      </c>
      <c r="CG123" s="39">
        <v>8</v>
      </c>
      <c r="CH123" s="39" t="s">
        <v>152</v>
      </c>
      <c r="CI123" s="27">
        <v>20</v>
      </c>
      <c r="CJ123" s="39">
        <v>1020</v>
      </c>
      <c r="CK123" s="41" t="s">
        <v>186</v>
      </c>
      <c r="CM123" s="42"/>
      <c r="CN123" s="34"/>
      <c r="CO123" s="10"/>
      <c r="CP123" s="10"/>
      <c r="CQ123" s="10"/>
      <c r="CS123" s="10"/>
      <c r="CT123" s="43"/>
    </row>
    <row r="124" spans="1:98" x14ac:dyDescent="0.25">
      <c r="A124" s="44"/>
      <c r="B124" s="45" t="s">
        <v>155</v>
      </c>
      <c r="C124" s="39" t="s">
        <v>9</v>
      </c>
      <c r="D124" s="39">
        <v>9</v>
      </c>
      <c r="E124" s="39" t="s">
        <v>152</v>
      </c>
      <c r="F124" s="27">
        <v>21</v>
      </c>
      <c r="G124" s="39">
        <v>1022</v>
      </c>
      <c r="H124" s="41" t="s">
        <v>171</v>
      </c>
      <c r="I124" s="27"/>
      <c r="J124" s="44"/>
      <c r="K124" s="45" t="s">
        <v>155</v>
      </c>
      <c r="L124" s="39" t="s">
        <v>9</v>
      </c>
      <c r="M124" s="39">
        <v>9</v>
      </c>
      <c r="N124" s="39" t="s">
        <v>152</v>
      </c>
      <c r="O124" s="27">
        <v>21</v>
      </c>
      <c r="P124" s="39" t="s">
        <v>55</v>
      </c>
      <c r="Q124" s="41" t="s">
        <v>188</v>
      </c>
      <c r="R124" s="27"/>
      <c r="S124" s="44"/>
      <c r="T124" s="45" t="s">
        <v>155</v>
      </c>
      <c r="U124" s="39" t="s">
        <v>9</v>
      </c>
      <c r="V124" s="39">
        <v>9</v>
      </c>
      <c r="W124" s="39" t="s">
        <v>152</v>
      </c>
      <c r="X124" s="27">
        <v>21</v>
      </c>
      <c r="Y124" s="39" t="s">
        <v>48</v>
      </c>
      <c r="Z124" s="41" t="s">
        <v>162</v>
      </c>
      <c r="AA124" s="27"/>
      <c r="AB124" s="44"/>
      <c r="AC124" s="45" t="s">
        <v>155</v>
      </c>
      <c r="AD124" s="39" t="s">
        <v>9</v>
      </c>
      <c r="AE124" s="39">
        <v>9</v>
      </c>
      <c r="AF124" s="39" t="s">
        <v>152</v>
      </c>
      <c r="AG124" s="27">
        <v>21</v>
      </c>
      <c r="AH124" s="39">
        <v>2019</v>
      </c>
      <c r="AI124" s="41" t="s">
        <v>180</v>
      </c>
      <c r="AJ124" s="27"/>
      <c r="AK124" s="44"/>
      <c r="AL124" s="45" t="s">
        <v>155</v>
      </c>
      <c r="AM124" s="39" t="s">
        <v>9</v>
      </c>
      <c r="AN124" s="39">
        <v>9</v>
      </c>
      <c r="AO124" s="39" t="s">
        <v>152</v>
      </c>
      <c r="AP124" s="27">
        <v>21</v>
      </c>
      <c r="AQ124" s="39" t="s">
        <v>59</v>
      </c>
      <c r="AR124" s="41" t="s">
        <v>163</v>
      </c>
      <c r="AS124" s="27"/>
      <c r="AT124" s="44"/>
      <c r="AU124" s="45" t="s">
        <v>155</v>
      </c>
      <c r="AV124" s="39" t="s">
        <v>9</v>
      </c>
      <c r="AW124" s="39">
        <v>9</v>
      </c>
      <c r="AX124" s="39" t="s">
        <v>152</v>
      </c>
      <c r="AY124" s="27">
        <v>21</v>
      </c>
      <c r="AZ124" s="39" t="s">
        <v>243</v>
      </c>
      <c r="BA124" s="41" t="s">
        <v>186</v>
      </c>
      <c r="BB124" s="27"/>
      <c r="BC124" s="44"/>
      <c r="BD124" s="45" t="s">
        <v>155</v>
      </c>
      <c r="BE124" s="39" t="s">
        <v>9</v>
      </c>
      <c r="BF124" s="39">
        <v>9</v>
      </c>
      <c r="BG124" s="39" t="s">
        <v>152</v>
      </c>
      <c r="BH124" s="27">
        <v>21</v>
      </c>
      <c r="BI124" s="39">
        <v>1045</v>
      </c>
      <c r="BJ124" s="41" t="s">
        <v>176</v>
      </c>
      <c r="BK124" s="27"/>
      <c r="BL124" s="44"/>
      <c r="BM124" s="45" t="s">
        <v>155</v>
      </c>
      <c r="BN124" s="39" t="s">
        <v>9</v>
      </c>
      <c r="BO124" s="39">
        <v>9</v>
      </c>
      <c r="BP124" s="39" t="s">
        <v>152</v>
      </c>
      <c r="BQ124" s="27">
        <v>21</v>
      </c>
      <c r="BR124" s="39" t="s">
        <v>71</v>
      </c>
      <c r="BS124" s="41" t="s">
        <v>168</v>
      </c>
      <c r="BT124" s="27"/>
      <c r="BU124" s="44"/>
      <c r="BV124" s="45" t="s">
        <v>155</v>
      </c>
      <c r="BW124" s="39" t="s">
        <v>9</v>
      </c>
      <c r="BX124" s="39">
        <v>9</v>
      </c>
      <c r="BY124" s="39" t="s">
        <v>152</v>
      </c>
      <c r="BZ124" s="27">
        <v>21</v>
      </c>
      <c r="CA124" s="39">
        <v>2026</v>
      </c>
      <c r="CB124" s="41" t="s">
        <v>171</v>
      </c>
      <c r="CD124" s="44"/>
      <c r="CE124" s="45" t="s">
        <v>155</v>
      </c>
      <c r="CF124" s="39" t="s">
        <v>9</v>
      </c>
      <c r="CG124" s="39">
        <v>9</v>
      </c>
      <c r="CH124" s="39" t="s">
        <v>152</v>
      </c>
      <c r="CI124" s="27">
        <v>21</v>
      </c>
      <c r="CJ124" s="39">
        <v>1020</v>
      </c>
      <c r="CK124" s="41" t="s">
        <v>188</v>
      </c>
      <c r="CM124" s="42"/>
      <c r="CN124" s="34"/>
      <c r="CO124" s="10"/>
      <c r="CP124" s="10"/>
      <c r="CQ124" s="10"/>
      <c r="CS124" s="10"/>
      <c r="CT124" s="43"/>
    </row>
    <row r="125" spans="1:98" x14ac:dyDescent="0.25">
      <c r="A125" s="44"/>
      <c r="B125" s="45" t="s">
        <v>155</v>
      </c>
      <c r="C125" s="39" t="s">
        <v>9</v>
      </c>
      <c r="D125" s="39">
        <v>10</v>
      </c>
      <c r="E125" s="39" t="s">
        <v>152</v>
      </c>
      <c r="F125" s="27">
        <v>22</v>
      </c>
      <c r="G125" s="39">
        <v>1022</v>
      </c>
      <c r="H125" s="41" t="s">
        <v>161</v>
      </c>
      <c r="I125" s="27"/>
      <c r="J125" s="44"/>
      <c r="K125" s="45" t="s">
        <v>155</v>
      </c>
      <c r="L125" s="39" t="s">
        <v>9</v>
      </c>
      <c r="M125" s="39">
        <v>10</v>
      </c>
      <c r="N125" s="39" t="s">
        <v>152</v>
      </c>
      <c r="O125" s="27">
        <v>22</v>
      </c>
      <c r="P125" s="39" t="s">
        <v>55</v>
      </c>
      <c r="Q125" s="41" t="s">
        <v>182</v>
      </c>
      <c r="R125" s="27"/>
      <c r="S125" s="44"/>
      <c r="T125" s="45" t="s">
        <v>155</v>
      </c>
      <c r="U125" s="39" t="s">
        <v>9</v>
      </c>
      <c r="V125" s="39">
        <v>10</v>
      </c>
      <c r="W125" s="39" t="s">
        <v>152</v>
      </c>
      <c r="X125" s="27">
        <v>22</v>
      </c>
      <c r="Y125" s="39" t="s">
        <v>48</v>
      </c>
      <c r="Z125" s="41" t="s">
        <v>170</v>
      </c>
      <c r="AA125" s="27"/>
      <c r="AB125" s="44"/>
      <c r="AC125" s="45" t="s">
        <v>155</v>
      </c>
      <c r="AD125" s="39" t="s">
        <v>9</v>
      </c>
      <c r="AE125" s="39">
        <v>10</v>
      </c>
      <c r="AF125" s="39" t="s">
        <v>152</v>
      </c>
      <c r="AG125" s="27">
        <v>22</v>
      </c>
      <c r="AH125" s="39">
        <v>2019</v>
      </c>
      <c r="AI125" s="41" t="s">
        <v>181</v>
      </c>
      <c r="AJ125" s="27"/>
      <c r="AK125" s="44"/>
      <c r="AL125" s="45" t="s">
        <v>155</v>
      </c>
      <c r="AM125" s="39" t="s">
        <v>9</v>
      </c>
      <c r="AN125" s="39">
        <v>10</v>
      </c>
      <c r="AO125" s="39" t="s">
        <v>152</v>
      </c>
      <c r="AP125" s="27">
        <v>22</v>
      </c>
      <c r="AQ125" s="39" t="s">
        <v>59</v>
      </c>
      <c r="AR125" s="41" t="s">
        <v>171</v>
      </c>
      <c r="AS125" s="27"/>
      <c r="AT125" s="44"/>
      <c r="AU125" s="45" t="s">
        <v>155</v>
      </c>
      <c r="AV125" s="39" t="s">
        <v>9</v>
      </c>
      <c r="AW125" s="39">
        <v>10</v>
      </c>
      <c r="AX125" s="39" t="s">
        <v>152</v>
      </c>
      <c r="AY125" s="27">
        <v>22</v>
      </c>
      <c r="AZ125" s="39" t="s">
        <v>244</v>
      </c>
      <c r="BA125" s="41" t="s">
        <v>188</v>
      </c>
      <c r="BB125" s="27"/>
      <c r="BC125" s="44"/>
      <c r="BD125" s="45" t="s">
        <v>155</v>
      </c>
      <c r="BE125" s="39" t="s">
        <v>9</v>
      </c>
      <c r="BF125" s="39">
        <v>10</v>
      </c>
      <c r="BG125" s="39" t="s">
        <v>152</v>
      </c>
      <c r="BH125" s="27">
        <v>22</v>
      </c>
      <c r="BI125" s="39">
        <v>1045</v>
      </c>
      <c r="BJ125" s="41" t="s">
        <v>164</v>
      </c>
      <c r="BK125" s="27"/>
      <c r="BL125" s="44"/>
      <c r="BM125" s="45" t="s">
        <v>155</v>
      </c>
      <c r="BN125" s="39" t="s">
        <v>9</v>
      </c>
      <c r="BO125" s="39">
        <v>10</v>
      </c>
      <c r="BP125" s="39" t="s">
        <v>152</v>
      </c>
      <c r="BQ125" s="27">
        <v>22</v>
      </c>
      <c r="BR125" s="39" t="s">
        <v>73</v>
      </c>
      <c r="BS125" s="41" t="s">
        <v>176</v>
      </c>
      <c r="BT125" s="27"/>
      <c r="BU125" s="44"/>
      <c r="BV125" s="45" t="s">
        <v>155</v>
      </c>
      <c r="BW125" s="39" t="s">
        <v>9</v>
      </c>
      <c r="BX125" s="39">
        <v>10</v>
      </c>
      <c r="BY125" s="39" t="s">
        <v>152</v>
      </c>
      <c r="BZ125" s="27">
        <v>22</v>
      </c>
      <c r="CA125" s="39">
        <v>2026</v>
      </c>
      <c r="CB125" s="41" t="s">
        <v>161</v>
      </c>
      <c r="CD125" s="44"/>
      <c r="CE125" s="45" t="s">
        <v>155</v>
      </c>
      <c r="CF125" s="39" t="s">
        <v>9</v>
      </c>
      <c r="CG125" s="39">
        <v>10</v>
      </c>
      <c r="CH125" s="39" t="s">
        <v>152</v>
      </c>
      <c r="CI125" s="27">
        <v>22</v>
      </c>
      <c r="CJ125" s="39">
        <v>1020</v>
      </c>
      <c r="CK125" s="41" t="s">
        <v>182</v>
      </c>
      <c r="CM125" s="42"/>
      <c r="CN125" s="34"/>
      <c r="CO125" s="10"/>
      <c r="CP125" s="10"/>
      <c r="CQ125" s="10"/>
      <c r="CS125" s="10"/>
      <c r="CT125" s="43"/>
    </row>
    <row r="126" spans="1:98" x14ac:dyDescent="0.25">
      <c r="A126" s="44"/>
      <c r="B126" s="45" t="s">
        <v>155</v>
      </c>
      <c r="C126" s="39" t="s">
        <v>9</v>
      </c>
      <c r="D126" s="39">
        <v>11</v>
      </c>
      <c r="E126" s="39" t="s">
        <v>152</v>
      </c>
      <c r="F126" s="27">
        <v>23</v>
      </c>
      <c r="G126" s="39">
        <v>1022</v>
      </c>
      <c r="H126" s="46" t="s">
        <v>169</v>
      </c>
      <c r="I126" s="27"/>
      <c r="J126" s="44"/>
      <c r="K126" s="45" t="s">
        <v>155</v>
      </c>
      <c r="L126" s="39" t="s">
        <v>9</v>
      </c>
      <c r="M126" s="39">
        <v>11</v>
      </c>
      <c r="N126" s="39" t="s">
        <v>152</v>
      </c>
      <c r="O126" s="27">
        <v>23</v>
      </c>
      <c r="P126" s="39" t="s">
        <v>55</v>
      </c>
      <c r="Q126" s="41" t="s">
        <v>184</v>
      </c>
      <c r="R126" s="27"/>
      <c r="S126" s="44"/>
      <c r="T126" s="45" t="s">
        <v>155</v>
      </c>
      <c r="U126" s="39" t="s">
        <v>9</v>
      </c>
      <c r="V126" s="39">
        <v>11</v>
      </c>
      <c r="W126" s="39" t="s">
        <v>152</v>
      </c>
      <c r="X126" s="27">
        <v>23</v>
      </c>
      <c r="Y126" s="39" t="s">
        <v>48</v>
      </c>
      <c r="Z126" s="41" t="s">
        <v>178</v>
      </c>
      <c r="AA126" s="27"/>
      <c r="AB126" s="44"/>
      <c r="AC126" s="45" t="s">
        <v>155</v>
      </c>
      <c r="AD126" s="39" t="s">
        <v>9</v>
      </c>
      <c r="AE126" s="39">
        <v>11</v>
      </c>
      <c r="AF126" s="39" t="s">
        <v>152</v>
      </c>
      <c r="AG126" s="27">
        <v>23</v>
      </c>
      <c r="AH126" s="39">
        <v>2019</v>
      </c>
      <c r="AI126" s="41" t="s">
        <v>183</v>
      </c>
      <c r="AJ126" s="27"/>
      <c r="AK126" s="44"/>
      <c r="AL126" s="45" t="s">
        <v>155</v>
      </c>
      <c r="AM126" s="39" t="s">
        <v>9</v>
      </c>
      <c r="AN126" s="39">
        <v>11</v>
      </c>
      <c r="AO126" s="39" t="s">
        <v>152</v>
      </c>
      <c r="AP126" s="27">
        <v>23</v>
      </c>
      <c r="AQ126" s="39" t="s">
        <v>59</v>
      </c>
      <c r="AR126" s="41" t="s">
        <v>161</v>
      </c>
      <c r="AS126" s="27"/>
      <c r="AT126" s="44"/>
      <c r="AU126" s="45" t="s">
        <v>155</v>
      </c>
      <c r="AV126" s="39" t="s">
        <v>9</v>
      </c>
      <c r="AW126" s="39">
        <v>11</v>
      </c>
      <c r="AX126" s="39" t="s">
        <v>152</v>
      </c>
      <c r="AY126" s="27">
        <v>23</v>
      </c>
      <c r="AZ126" s="39" t="s">
        <v>245</v>
      </c>
      <c r="BA126" s="41" t="s">
        <v>182</v>
      </c>
      <c r="BB126" s="27"/>
      <c r="BC126" s="44"/>
      <c r="BD126" s="45" t="s">
        <v>155</v>
      </c>
      <c r="BE126" s="39" t="s">
        <v>9</v>
      </c>
      <c r="BF126" s="39">
        <v>11</v>
      </c>
      <c r="BG126" s="39" t="s">
        <v>152</v>
      </c>
      <c r="BH126" s="27">
        <v>23</v>
      </c>
      <c r="BI126" s="39">
        <v>1045</v>
      </c>
      <c r="BJ126" s="41" t="s">
        <v>172</v>
      </c>
      <c r="BK126" s="27"/>
      <c r="BL126" s="44"/>
      <c r="BM126" s="45" t="s">
        <v>155</v>
      </c>
      <c r="BN126" s="39" t="s">
        <v>9</v>
      </c>
      <c r="BO126" s="39">
        <v>11</v>
      </c>
      <c r="BP126" s="39" t="s">
        <v>152</v>
      </c>
      <c r="BQ126" s="27">
        <v>23</v>
      </c>
      <c r="BR126" s="39" t="s">
        <v>75</v>
      </c>
      <c r="BS126" s="41" t="s">
        <v>164</v>
      </c>
      <c r="BT126" s="27"/>
      <c r="BU126" s="44"/>
      <c r="BV126" s="45" t="s">
        <v>155</v>
      </c>
      <c r="BW126" s="39" t="s">
        <v>9</v>
      </c>
      <c r="BX126" s="39">
        <v>11</v>
      </c>
      <c r="BY126" s="39" t="s">
        <v>152</v>
      </c>
      <c r="BZ126" s="27">
        <v>23</v>
      </c>
      <c r="CA126" s="39">
        <v>2026</v>
      </c>
      <c r="CB126" s="46" t="s">
        <v>169</v>
      </c>
      <c r="CD126" s="44"/>
      <c r="CE126" s="45" t="s">
        <v>155</v>
      </c>
      <c r="CF126" s="39" t="s">
        <v>9</v>
      </c>
      <c r="CG126" s="39">
        <v>11</v>
      </c>
      <c r="CH126" s="39" t="s">
        <v>152</v>
      </c>
      <c r="CI126" s="27">
        <v>23</v>
      </c>
      <c r="CJ126" s="39">
        <v>1020</v>
      </c>
      <c r="CK126" s="41" t="s">
        <v>184</v>
      </c>
      <c r="CM126" s="42"/>
      <c r="CN126" s="34"/>
      <c r="CO126" s="10"/>
      <c r="CP126" s="10"/>
      <c r="CQ126" s="10"/>
      <c r="CS126" s="10"/>
      <c r="CT126" s="51"/>
    </row>
    <row r="127" spans="1:98" ht="15.75" thickBot="1" x14ac:dyDescent="0.3">
      <c r="A127" s="52"/>
      <c r="B127" s="53" t="s">
        <v>155</v>
      </c>
      <c r="C127" s="54" t="s">
        <v>9</v>
      </c>
      <c r="D127" s="54">
        <v>12</v>
      </c>
      <c r="E127" s="54" t="s">
        <v>152</v>
      </c>
      <c r="F127" s="55">
        <v>24</v>
      </c>
      <c r="G127" s="39">
        <v>1022</v>
      </c>
      <c r="H127" s="41" t="s">
        <v>177</v>
      </c>
      <c r="I127" s="27"/>
      <c r="J127" s="52"/>
      <c r="K127" s="53" t="s">
        <v>155</v>
      </c>
      <c r="L127" s="54" t="s">
        <v>9</v>
      </c>
      <c r="M127" s="54">
        <v>12</v>
      </c>
      <c r="N127" s="54" t="s">
        <v>152</v>
      </c>
      <c r="O127" s="55">
        <v>24</v>
      </c>
      <c r="P127" s="39" t="s">
        <v>55</v>
      </c>
      <c r="Q127" s="41" t="s">
        <v>187</v>
      </c>
      <c r="R127" s="27"/>
      <c r="S127" s="52"/>
      <c r="T127" s="53" t="s">
        <v>155</v>
      </c>
      <c r="U127" s="54" t="s">
        <v>9</v>
      </c>
      <c r="V127" s="54">
        <v>12</v>
      </c>
      <c r="W127" s="54" t="s">
        <v>152</v>
      </c>
      <c r="X127" s="55">
        <v>24</v>
      </c>
      <c r="Y127" s="39" t="s">
        <v>48</v>
      </c>
      <c r="Z127" s="41" t="s">
        <v>163</v>
      </c>
      <c r="AA127" s="27"/>
      <c r="AB127" s="52"/>
      <c r="AC127" s="53" t="s">
        <v>155</v>
      </c>
      <c r="AD127" s="54" t="s">
        <v>9</v>
      </c>
      <c r="AE127" s="54">
        <v>12</v>
      </c>
      <c r="AF127" s="54" t="s">
        <v>152</v>
      </c>
      <c r="AG127" s="55">
        <v>24</v>
      </c>
      <c r="AH127" s="39">
        <v>2019</v>
      </c>
      <c r="AI127" s="41" t="s">
        <v>186</v>
      </c>
      <c r="AJ127" s="27"/>
      <c r="AK127" s="52"/>
      <c r="AL127" s="53" t="s">
        <v>155</v>
      </c>
      <c r="AM127" s="54" t="s">
        <v>9</v>
      </c>
      <c r="AN127" s="54">
        <v>12</v>
      </c>
      <c r="AO127" s="54" t="s">
        <v>152</v>
      </c>
      <c r="AP127" s="55">
        <v>24</v>
      </c>
      <c r="AQ127" s="39" t="s">
        <v>59</v>
      </c>
      <c r="AR127" s="46" t="s">
        <v>169</v>
      </c>
      <c r="AS127" s="27"/>
      <c r="AT127" s="52"/>
      <c r="AU127" s="53" t="s">
        <v>155</v>
      </c>
      <c r="AV127" s="54" t="s">
        <v>9</v>
      </c>
      <c r="AW127" s="54">
        <v>12</v>
      </c>
      <c r="AX127" s="54" t="s">
        <v>152</v>
      </c>
      <c r="AY127" s="55">
        <v>24</v>
      </c>
      <c r="AZ127" s="39" t="s">
        <v>246</v>
      </c>
      <c r="BA127" s="41" t="s">
        <v>184</v>
      </c>
      <c r="BB127" s="27"/>
      <c r="BC127" s="52"/>
      <c r="BD127" s="53" t="s">
        <v>155</v>
      </c>
      <c r="BE127" s="54" t="s">
        <v>9</v>
      </c>
      <c r="BF127" s="54">
        <v>12</v>
      </c>
      <c r="BG127" s="54" t="s">
        <v>152</v>
      </c>
      <c r="BH127" s="55">
        <v>24</v>
      </c>
      <c r="BI127" s="39">
        <v>1045</v>
      </c>
      <c r="BJ127" s="41" t="s">
        <v>162</v>
      </c>
      <c r="BK127" s="27"/>
      <c r="BL127" s="52"/>
      <c r="BM127" s="53" t="s">
        <v>155</v>
      </c>
      <c r="BN127" s="54" t="s">
        <v>9</v>
      </c>
      <c r="BO127" s="54">
        <v>12</v>
      </c>
      <c r="BP127" s="54" t="s">
        <v>152</v>
      </c>
      <c r="BQ127" s="55">
        <v>24</v>
      </c>
      <c r="BR127" s="39" t="s">
        <v>247</v>
      </c>
      <c r="BS127" s="41" t="s">
        <v>172</v>
      </c>
      <c r="BT127" s="27"/>
      <c r="BU127" s="52"/>
      <c r="BV127" s="53" t="s">
        <v>155</v>
      </c>
      <c r="BW127" s="54" t="s">
        <v>9</v>
      </c>
      <c r="BX127" s="54">
        <v>12</v>
      </c>
      <c r="BY127" s="54" t="s">
        <v>152</v>
      </c>
      <c r="BZ127" s="55">
        <v>24</v>
      </c>
      <c r="CA127" s="39">
        <v>2026</v>
      </c>
      <c r="CB127" s="41" t="s">
        <v>177</v>
      </c>
      <c r="CD127" s="52"/>
      <c r="CE127" s="53" t="s">
        <v>155</v>
      </c>
      <c r="CF127" s="54" t="s">
        <v>9</v>
      </c>
      <c r="CG127" s="54">
        <v>12</v>
      </c>
      <c r="CH127" s="54" t="s">
        <v>152</v>
      </c>
      <c r="CI127" s="55">
        <v>24</v>
      </c>
      <c r="CJ127" s="39">
        <v>1020</v>
      </c>
      <c r="CK127" s="41" t="s">
        <v>187</v>
      </c>
      <c r="CM127" s="47"/>
      <c r="CN127" s="48"/>
      <c r="CO127" s="49"/>
      <c r="CP127" s="49"/>
      <c r="CQ127" s="49"/>
      <c r="CR127" s="50"/>
      <c r="CS127" s="10"/>
      <c r="CT127" s="43"/>
    </row>
    <row r="128" spans="1:98" ht="15.75" thickBot="1" x14ac:dyDescent="0.3">
      <c r="A128" s="60"/>
      <c r="B128" s="36" t="s">
        <v>155</v>
      </c>
      <c r="C128" s="61" t="s">
        <v>12</v>
      </c>
      <c r="D128" s="61">
        <v>1</v>
      </c>
      <c r="E128" s="61" t="s">
        <v>152</v>
      </c>
      <c r="F128" s="62">
        <v>25</v>
      </c>
      <c r="G128" s="39">
        <v>1022</v>
      </c>
      <c r="H128" s="41" t="s">
        <v>180</v>
      </c>
      <c r="I128" s="27"/>
      <c r="J128" s="60"/>
      <c r="K128" s="36" t="s">
        <v>155</v>
      </c>
      <c r="L128" s="61" t="s">
        <v>12</v>
      </c>
      <c r="M128" s="61">
        <v>1</v>
      </c>
      <c r="N128" s="61" t="s">
        <v>152</v>
      </c>
      <c r="O128" s="62">
        <v>25</v>
      </c>
      <c r="P128" s="39" t="s">
        <v>55</v>
      </c>
      <c r="Q128" s="41" t="s">
        <v>189</v>
      </c>
      <c r="R128" s="27"/>
      <c r="S128" s="60"/>
      <c r="T128" s="36" t="s">
        <v>155</v>
      </c>
      <c r="U128" s="61" t="s">
        <v>12</v>
      </c>
      <c r="V128" s="61">
        <v>1</v>
      </c>
      <c r="W128" s="61" t="s">
        <v>152</v>
      </c>
      <c r="X128" s="62">
        <v>25</v>
      </c>
      <c r="Y128" s="39" t="s">
        <v>48</v>
      </c>
      <c r="Z128" s="41" t="s">
        <v>171</v>
      </c>
      <c r="AA128" s="27"/>
      <c r="AB128" s="60"/>
      <c r="AC128" s="36" t="s">
        <v>155</v>
      </c>
      <c r="AD128" s="61" t="s">
        <v>12</v>
      </c>
      <c r="AE128" s="61">
        <v>1</v>
      </c>
      <c r="AF128" s="61" t="s">
        <v>152</v>
      </c>
      <c r="AG128" s="62">
        <v>25</v>
      </c>
      <c r="AH128" s="39">
        <v>2019</v>
      </c>
      <c r="AI128" s="41" t="s">
        <v>188</v>
      </c>
      <c r="AJ128" s="27"/>
      <c r="AK128" s="60"/>
      <c r="AL128" s="36" t="s">
        <v>155</v>
      </c>
      <c r="AM128" s="61" t="s">
        <v>12</v>
      </c>
      <c r="AN128" s="61">
        <v>1</v>
      </c>
      <c r="AO128" s="61" t="s">
        <v>152</v>
      </c>
      <c r="AP128" s="62">
        <v>25</v>
      </c>
      <c r="AQ128" s="39" t="s">
        <v>59</v>
      </c>
      <c r="AR128" s="41" t="s">
        <v>177</v>
      </c>
      <c r="AS128" s="27"/>
      <c r="AT128" s="60"/>
      <c r="AU128" s="36" t="s">
        <v>155</v>
      </c>
      <c r="AV128" s="61" t="s">
        <v>12</v>
      </c>
      <c r="AW128" s="61">
        <v>1</v>
      </c>
      <c r="AX128" s="61" t="s">
        <v>152</v>
      </c>
      <c r="AY128" s="62">
        <v>25</v>
      </c>
      <c r="AZ128" s="39" t="s">
        <v>248</v>
      </c>
      <c r="BA128" s="41" t="s">
        <v>187</v>
      </c>
      <c r="BB128" s="27"/>
      <c r="BC128" s="60"/>
      <c r="BD128" s="36" t="s">
        <v>155</v>
      </c>
      <c r="BE128" s="61" t="s">
        <v>12</v>
      </c>
      <c r="BF128" s="61">
        <v>1</v>
      </c>
      <c r="BG128" s="61" t="s">
        <v>152</v>
      </c>
      <c r="BH128" s="62">
        <v>25</v>
      </c>
      <c r="BI128" s="39">
        <v>1045</v>
      </c>
      <c r="BJ128" s="41" t="s">
        <v>170</v>
      </c>
      <c r="BK128" s="27"/>
      <c r="BL128" s="60"/>
      <c r="BM128" s="36" t="s">
        <v>155</v>
      </c>
      <c r="BN128" s="61" t="s">
        <v>12</v>
      </c>
      <c r="BO128" s="61">
        <v>1</v>
      </c>
      <c r="BP128" s="61" t="s">
        <v>152</v>
      </c>
      <c r="BQ128" s="62">
        <v>25</v>
      </c>
      <c r="BR128" s="39" t="s">
        <v>249</v>
      </c>
      <c r="BS128" s="41" t="s">
        <v>162</v>
      </c>
      <c r="BT128" s="27"/>
      <c r="BU128" s="60"/>
      <c r="BV128" s="36" t="s">
        <v>155</v>
      </c>
      <c r="BW128" s="61" t="s">
        <v>12</v>
      </c>
      <c r="BX128" s="61">
        <v>1</v>
      </c>
      <c r="BY128" s="61" t="s">
        <v>152</v>
      </c>
      <c r="BZ128" s="62">
        <v>25</v>
      </c>
      <c r="CA128" s="39">
        <v>2026</v>
      </c>
      <c r="CB128" s="41" t="s">
        <v>180</v>
      </c>
      <c r="CD128" s="60"/>
      <c r="CE128" s="36" t="s">
        <v>155</v>
      </c>
      <c r="CF128" s="61" t="s">
        <v>12</v>
      </c>
      <c r="CG128" s="61">
        <v>1</v>
      </c>
      <c r="CH128" s="61" t="s">
        <v>152</v>
      </c>
      <c r="CI128" s="62">
        <v>25</v>
      </c>
      <c r="CJ128" s="39">
        <v>1020</v>
      </c>
      <c r="CK128" s="41" t="s">
        <v>189</v>
      </c>
      <c r="CM128" s="56"/>
      <c r="CN128" s="31"/>
      <c r="CO128" s="58"/>
      <c r="CP128" s="58"/>
      <c r="CQ128" s="58"/>
      <c r="CR128" s="59"/>
      <c r="CS128" s="10"/>
      <c r="CT128" s="43"/>
    </row>
    <row r="129" spans="1:98" ht="15.75" thickBot="1" x14ac:dyDescent="0.3">
      <c r="A129" s="44"/>
      <c r="B129" s="45" t="s">
        <v>155</v>
      </c>
      <c r="C129" s="39" t="s">
        <v>12</v>
      </c>
      <c r="D129" s="39">
        <v>2</v>
      </c>
      <c r="E129" s="39" t="s">
        <v>152</v>
      </c>
      <c r="F129" s="27">
        <v>26</v>
      </c>
      <c r="G129" s="39">
        <v>1022</v>
      </c>
      <c r="H129" s="41" t="s">
        <v>181</v>
      </c>
      <c r="I129" s="27"/>
      <c r="J129" s="44"/>
      <c r="K129" s="45" t="s">
        <v>155</v>
      </c>
      <c r="L129" s="39" t="s">
        <v>12</v>
      </c>
      <c r="M129" s="39">
        <v>2</v>
      </c>
      <c r="N129" s="39" t="s">
        <v>152</v>
      </c>
      <c r="O129" s="27">
        <v>26</v>
      </c>
      <c r="P129" s="39">
        <v>1040</v>
      </c>
      <c r="Q129" s="40" t="s">
        <v>160</v>
      </c>
      <c r="R129" s="27"/>
      <c r="S129" s="44"/>
      <c r="T129" s="45" t="s">
        <v>155</v>
      </c>
      <c r="U129" s="39" t="s">
        <v>12</v>
      </c>
      <c r="V129" s="39">
        <v>2</v>
      </c>
      <c r="W129" s="39" t="s">
        <v>152</v>
      </c>
      <c r="X129" s="27">
        <v>26</v>
      </c>
      <c r="Y129" s="39" t="s">
        <v>48</v>
      </c>
      <c r="Z129" s="41" t="s">
        <v>161</v>
      </c>
      <c r="AA129" s="27"/>
      <c r="AB129" s="44"/>
      <c r="AC129" s="45" t="s">
        <v>155</v>
      </c>
      <c r="AD129" s="39" t="s">
        <v>12</v>
      </c>
      <c r="AE129" s="39">
        <v>2</v>
      </c>
      <c r="AF129" s="39" t="s">
        <v>152</v>
      </c>
      <c r="AG129" s="27">
        <v>26</v>
      </c>
      <c r="AH129" s="39">
        <v>2019</v>
      </c>
      <c r="AI129" s="41" t="s">
        <v>182</v>
      </c>
      <c r="AJ129" s="27"/>
      <c r="AK129" s="44"/>
      <c r="AL129" s="45" t="s">
        <v>155</v>
      </c>
      <c r="AM129" s="39" t="s">
        <v>12</v>
      </c>
      <c r="AN129" s="39">
        <v>2</v>
      </c>
      <c r="AO129" s="39" t="s">
        <v>152</v>
      </c>
      <c r="AP129" s="27">
        <v>26</v>
      </c>
      <c r="AQ129" s="39" t="s">
        <v>59</v>
      </c>
      <c r="AR129" s="41" t="s">
        <v>180</v>
      </c>
      <c r="AS129" s="27"/>
      <c r="AT129" s="44"/>
      <c r="AU129" s="45" t="s">
        <v>155</v>
      </c>
      <c r="AV129" s="39" t="s">
        <v>12</v>
      </c>
      <c r="AW129" s="39">
        <v>2</v>
      </c>
      <c r="AX129" s="39" t="s">
        <v>152</v>
      </c>
      <c r="AY129" s="27">
        <v>26</v>
      </c>
      <c r="AZ129" s="39" t="s">
        <v>250</v>
      </c>
      <c r="BA129" s="41" t="s">
        <v>189</v>
      </c>
      <c r="BB129" s="27"/>
      <c r="BC129" s="44"/>
      <c r="BD129" s="45" t="s">
        <v>155</v>
      </c>
      <c r="BE129" s="39" t="s">
        <v>12</v>
      </c>
      <c r="BF129" s="39">
        <v>2</v>
      </c>
      <c r="BG129" s="39" t="s">
        <v>152</v>
      </c>
      <c r="BH129" s="27">
        <v>26</v>
      </c>
      <c r="BI129" s="39">
        <v>1045</v>
      </c>
      <c r="BJ129" s="41" t="s">
        <v>178</v>
      </c>
      <c r="BK129" s="27"/>
      <c r="BL129" s="44"/>
      <c r="BM129" s="45" t="s">
        <v>155</v>
      </c>
      <c r="BN129" s="39" t="s">
        <v>12</v>
      </c>
      <c r="BO129" s="39">
        <v>2</v>
      </c>
      <c r="BP129" s="39" t="s">
        <v>152</v>
      </c>
      <c r="BQ129" s="27">
        <v>26</v>
      </c>
      <c r="BR129" s="39" t="s">
        <v>251</v>
      </c>
      <c r="BS129" s="41" t="s">
        <v>170</v>
      </c>
      <c r="BT129" s="27"/>
      <c r="BU129" s="44"/>
      <c r="BV129" s="45" t="s">
        <v>155</v>
      </c>
      <c r="BW129" s="39" t="s">
        <v>12</v>
      </c>
      <c r="BX129" s="39">
        <v>2</v>
      </c>
      <c r="BY129" s="39" t="s">
        <v>152</v>
      </c>
      <c r="BZ129" s="27">
        <v>26</v>
      </c>
      <c r="CA129" s="39">
        <v>2026</v>
      </c>
      <c r="CB129" s="41" t="s">
        <v>181</v>
      </c>
      <c r="CD129" s="44"/>
      <c r="CE129" s="45" t="s">
        <v>155</v>
      </c>
      <c r="CF129" s="39" t="s">
        <v>12</v>
      </c>
      <c r="CG129" s="39">
        <v>2</v>
      </c>
      <c r="CH129" s="39" t="s">
        <v>152</v>
      </c>
      <c r="CI129" s="27">
        <v>26</v>
      </c>
      <c r="CJ129" s="39">
        <v>2013</v>
      </c>
      <c r="CK129" s="40" t="s">
        <v>160</v>
      </c>
      <c r="CM129" s="42"/>
      <c r="CN129" s="34"/>
      <c r="CO129" s="10"/>
      <c r="CP129" s="10"/>
      <c r="CQ129" s="10"/>
      <c r="CS129" s="10"/>
      <c r="CT129" s="43"/>
    </row>
    <row r="130" spans="1:98" x14ac:dyDescent="0.25">
      <c r="A130" s="44"/>
      <c r="B130" s="45" t="s">
        <v>155</v>
      </c>
      <c r="C130" s="39" t="s">
        <v>12</v>
      </c>
      <c r="D130" s="39">
        <v>3</v>
      </c>
      <c r="E130" s="39" t="s">
        <v>152</v>
      </c>
      <c r="F130" s="27">
        <v>27</v>
      </c>
      <c r="G130" s="39">
        <v>1022</v>
      </c>
      <c r="H130" s="41" t="s">
        <v>183</v>
      </c>
      <c r="I130" s="27"/>
      <c r="J130" s="44"/>
      <c r="K130" s="45" t="s">
        <v>155</v>
      </c>
      <c r="L130" s="39" t="s">
        <v>12</v>
      </c>
      <c r="M130" s="39">
        <v>3</v>
      </c>
      <c r="N130" s="39" t="s">
        <v>152</v>
      </c>
      <c r="O130" s="27">
        <v>27</v>
      </c>
      <c r="P130" s="39">
        <v>1040</v>
      </c>
      <c r="Q130" s="41" t="s">
        <v>168</v>
      </c>
      <c r="R130" s="27"/>
      <c r="S130" s="44"/>
      <c r="T130" s="45" t="s">
        <v>155</v>
      </c>
      <c r="U130" s="39" t="s">
        <v>12</v>
      </c>
      <c r="V130" s="39">
        <v>3</v>
      </c>
      <c r="W130" s="39" t="s">
        <v>152</v>
      </c>
      <c r="X130" s="27">
        <v>27</v>
      </c>
      <c r="Y130" s="39" t="s">
        <v>48</v>
      </c>
      <c r="Z130" s="46" t="s">
        <v>169</v>
      </c>
      <c r="AA130" s="27"/>
      <c r="AB130" s="44"/>
      <c r="AC130" s="45" t="s">
        <v>155</v>
      </c>
      <c r="AD130" s="39" t="s">
        <v>12</v>
      </c>
      <c r="AE130" s="39">
        <v>3</v>
      </c>
      <c r="AF130" s="39" t="s">
        <v>152</v>
      </c>
      <c r="AG130" s="27">
        <v>27</v>
      </c>
      <c r="AH130" s="39">
        <v>2019</v>
      </c>
      <c r="AI130" s="41" t="s">
        <v>184</v>
      </c>
      <c r="AJ130" s="27"/>
      <c r="AK130" s="44"/>
      <c r="AL130" s="45" t="s">
        <v>155</v>
      </c>
      <c r="AM130" s="39" t="s">
        <v>12</v>
      </c>
      <c r="AN130" s="39">
        <v>3</v>
      </c>
      <c r="AO130" s="39" t="s">
        <v>152</v>
      </c>
      <c r="AP130" s="27">
        <v>27</v>
      </c>
      <c r="AQ130" s="39" t="s">
        <v>59</v>
      </c>
      <c r="AR130" s="41" t="s">
        <v>181</v>
      </c>
      <c r="AS130" s="27"/>
      <c r="AT130" s="44"/>
      <c r="AU130" s="45" t="s">
        <v>155</v>
      </c>
      <c r="AV130" s="39" t="s">
        <v>12</v>
      </c>
      <c r="AW130" s="39">
        <v>3</v>
      </c>
      <c r="AX130" s="39" t="s">
        <v>152</v>
      </c>
      <c r="AY130" s="27">
        <v>27</v>
      </c>
      <c r="AZ130" s="39" t="s">
        <v>78</v>
      </c>
      <c r="BA130" s="40" t="s">
        <v>160</v>
      </c>
      <c r="BB130" s="27"/>
      <c r="BC130" s="44"/>
      <c r="BD130" s="45" t="s">
        <v>155</v>
      </c>
      <c r="BE130" s="39" t="s">
        <v>12</v>
      </c>
      <c r="BF130" s="39">
        <v>3</v>
      </c>
      <c r="BG130" s="39" t="s">
        <v>152</v>
      </c>
      <c r="BH130" s="27">
        <v>27</v>
      </c>
      <c r="BI130" s="39">
        <v>1045</v>
      </c>
      <c r="BJ130" s="41" t="s">
        <v>163</v>
      </c>
      <c r="BK130" s="27"/>
      <c r="BL130" s="44"/>
      <c r="BM130" s="45" t="s">
        <v>155</v>
      </c>
      <c r="BN130" s="39" t="s">
        <v>12</v>
      </c>
      <c r="BO130" s="39">
        <v>3</v>
      </c>
      <c r="BP130" s="39" t="s">
        <v>152</v>
      </c>
      <c r="BQ130" s="27">
        <v>27</v>
      </c>
      <c r="BR130" s="39" t="s">
        <v>252</v>
      </c>
      <c r="BS130" s="41" t="s">
        <v>178</v>
      </c>
      <c r="BT130" s="27"/>
      <c r="BU130" s="44"/>
      <c r="BV130" s="45" t="s">
        <v>155</v>
      </c>
      <c r="BW130" s="39" t="s">
        <v>12</v>
      </c>
      <c r="BX130" s="39">
        <v>3</v>
      </c>
      <c r="BY130" s="39" t="s">
        <v>152</v>
      </c>
      <c r="BZ130" s="27">
        <v>27</v>
      </c>
      <c r="CA130" s="39">
        <v>2026</v>
      </c>
      <c r="CB130" s="41" t="s">
        <v>183</v>
      </c>
      <c r="CD130" s="44"/>
      <c r="CE130" s="45" t="s">
        <v>155</v>
      </c>
      <c r="CF130" s="39" t="s">
        <v>12</v>
      </c>
      <c r="CG130" s="39">
        <v>3</v>
      </c>
      <c r="CH130" s="39" t="s">
        <v>152</v>
      </c>
      <c r="CI130" s="27">
        <v>27</v>
      </c>
      <c r="CJ130" s="39">
        <v>2013</v>
      </c>
      <c r="CK130" s="41" t="s">
        <v>168</v>
      </c>
      <c r="CM130" s="42"/>
      <c r="CN130" s="34"/>
      <c r="CO130" s="10"/>
      <c r="CP130" s="10"/>
      <c r="CQ130" s="10"/>
      <c r="CS130" s="10"/>
      <c r="CT130" s="43"/>
    </row>
    <row r="131" spans="1:98" x14ac:dyDescent="0.25">
      <c r="A131" s="44"/>
      <c r="B131" s="45" t="s">
        <v>155</v>
      </c>
      <c r="C131" s="39" t="s">
        <v>12</v>
      </c>
      <c r="D131" s="39">
        <v>4</v>
      </c>
      <c r="E131" s="39" t="s">
        <v>152</v>
      </c>
      <c r="F131" s="27">
        <v>28</v>
      </c>
      <c r="G131" s="39">
        <v>1022</v>
      </c>
      <c r="H131" s="41" t="s">
        <v>186</v>
      </c>
      <c r="I131" s="27"/>
      <c r="J131" s="44"/>
      <c r="K131" s="45" t="s">
        <v>155</v>
      </c>
      <c r="L131" s="39" t="s">
        <v>12</v>
      </c>
      <c r="M131" s="39">
        <v>4</v>
      </c>
      <c r="N131" s="39" t="s">
        <v>152</v>
      </c>
      <c r="O131" s="27">
        <v>28</v>
      </c>
      <c r="P131" s="39">
        <v>1040</v>
      </c>
      <c r="Q131" s="41" t="s">
        <v>176</v>
      </c>
      <c r="R131" s="27"/>
      <c r="S131" s="44"/>
      <c r="T131" s="45" t="s">
        <v>155</v>
      </c>
      <c r="U131" s="39" t="s">
        <v>12</v>
      </c>
      <c r="V131" s="39">
        <v>4</v>
      </c>
      <c r="W131" s="39" t="s">
        <v>152</v>
      </c>
      <c r="X131" s="27">
        <v>28</v>
      </c>
      <c r="Y131" s="39" t="s">
        <v>48</v>
      </c>
      <c r="Z131" s="41" t="s">
        <v>177</v>
      </c>
      <c r="AA131" s="27"/>
      <c r="AB131" s="44"/>
      <c r="AC131" s="45" t="s">
        <v>155</v>
      </c>
      <c r="AD131" s="39" t="s">
        <v>12</v>
      </c>
      <c r="AE131" s="39">
        <v>4</v>
      </c>
      <c r="AF131" s="39" t="s">
        <v>152</v>
      </c>
      <c r="AG131" s="27">
        <v>28</v>
      </c>
      <c r="AH131" s="39">
        <v>2019</v>
      </c>
      <c r="AI131" s="41" t="s">
        <v>187</v>
      </c>
      <c r="AJ131" s="27"/>
      <c r="AK131" s="44"/>
      <c r="AL131" s="45" t="s">
        <v>155</v>
      </c>
      <c r="AM131" s="39" t="s">
        <v>12</v>
      </c>
      <c r="AN131" s="39">
        <v>4</v>
      </c>
      <c r="AO131" s="39" t="s">
        <v>152</v>
      </c>
      <c r="AP131" s="27">
        <v>28</v>
      </c>
      <c r="AQ131" s="39" t="s">
        <v>59</v>
      </c>
      <c r="AR131" s="41" t="s">
        <v>183</v>
      </c>
      <c r="AS131" s="27"/>
      <c r="AT131" s="44"/>
      <c r="AU131" s="45" t="s">
        <v>155</v>
      </c>
      <c r="AV131" s="39" t="s">
        <v>12</v>
      </c>
      <c r="AW131" s="39">
        <v>4</v>
      </c>
      <c r="AX131" s="39" t="s">
        <v>152</v>
      </c>
      <c r="AY131" s="27">
        <v>28</v>
      </c>
      <c r="AZ131" s="39" t="s">
        <v>84</v>
      </c>
      <c r="BA131" s="41" t="s">
        <v>168</v>
      </c>
      <c r="BB131" s="27"/>
      <c r="BC131" s="44"/>
      <c r="BD131" s="45" t="s">
        <v>155</v>
      </c>
      <c r="BE131" s="39" t="s">
        <v>12</v>
      </c>
      <c r="BF131" s="39">
        <v>4</v>
      </c>
      <c r="BG131" s="39" t="s">
        <v>152</v>
      </c>
      <c r="BH131" s="27">
        <v>28</v>
      </c>
      <c r="BI131" s="39">
        <v>1045</v>
      </c>
      <c r="BJ131" s="41" t="s">
        <v>171</v>
      </c>
      <c r="BK131" s="27"/>
      <c r="BL131" s="44"/>
      <c r="BM131" s="45" t="s">
        <v>155</v>
      </c>
      <c r="BN131" s="39" t="s">
        <v>12</v>
      </c>
      <c r="BO131" s="39">
        <v>4</v>
      </c>
      <c r="BP131" s="39" t="s">
        <v>152</v>
      </c>
      <c r="BQ131" s="27">
        <v>28</v>
      </c>
      <c r="BR131" s="39" t="s">
        <v>253</v>
      </c>
      <c r="BS131" s="41" t="s">
        <v>163</v>
      </c>
      <c r="BT131" s="27"/>
      <c r="BU131" s="44"/>
      <c r="BV131" s="45" t="s">
        <v>155</v>
      </c>
      <c r="BW131" s="39" t="s">
        <v>12</v>
      </c>
      <c r="BX131" s="39">
        <v>4</v>
      </c>
      <c r="BY131" s="39" t="s">
        <v>152</v>
      </c>
      <c r="BZ131" s="27">
        <v>28</v>
      </c>
      <c r="CA131" s="39">
        <v>2026</v>
      </c>
      <c r="CB131" s="41" t="s">
        <v>186</v>
      </c>
      <c r="CD131" s="44"/>
      <c r="CE131" s="45" t="s">
        <v>155</v>
      </c>
      <c r="CF131" s="39" t="s">
        <v>12</v>
      </c>
      <c r="CG131" s="39">
        <v>4</v>
      </c>
      <c r="CH131" s="39" t="s">
        <v>152</v>
      </c>
      <c r="CI131" s="27">
        <v>28</v>
      </c>
      <c r="CJ131" s="39">
        <v>2013</v>
      </c>
      <c r="CK131" s="41" t="s">
        <v>176</v>
      </c>
      <c r="CM131" s="42"/>
      <c r="CN131" s="34"/>
      <c r="CO131" s="10"/>
      <c r="CP131" s="10"/>
      <c r="CQ131" s="10"/>
      <c r="CS131" s="10"/>
      <c r="CT131" s="43"/>
    </row>
    <row r="132" spans="1:98" ht="15.75" thickBot="1" x14ac:dyDescent="0.3">
      <c r="A132" s="44"/>
      <c r="B132" s="45" t="s">
        <v>155</v>
      </c>
      <c r="C132" s="39" t="s">
        <v>12</v>
      </c>
      <c r="D132" s="39">
        <v>5</v>
      </c>
      <c r="E132" s="39" t="s">
        <v>152</v>
      </c>
      <c r="F132" s="27">
        <v>29</v>
      </c>
      <c r="G132" s="39">
        <v>1022</v>
      </c>
      <c r="H132" s="41" t="s">
        <v>188</v>
      </c>
      <c r="I132" s="27"/>
      <c r="J132" s="44"/>
      <c r="K132" s="45" t="s">
        <v>155</v>
      </c>
      <c r="L132" s="39" t="s">
        <v>12</v>
      </c>
      <c r="M132" s="39">
        <v>5</v>
      </c>
      <c r="N132" s="39" t="s">
        <v>152</v>
      </c>
      <c r="O132" s="27">
        <v>29</v>
      </c>
      <c r="P132" s="39">
        <v>1040</v>
      </c>
      <c r="Q132" s="41" t="s">
        <v>164</v>
      </c>
      <c r="R132" s="27"/>
      <c r="S132" s="44"/>
      <c r="T132" s="45" t="s">
        <v>155</v>
      </c>
      <c r="U132" s="39" t="s">
        <v>12</v>
      </c>
      <c r="V132" s="39">
        <v>5</v>
      </c>
      <c r="W132" s="39" t="s">
        <v>152</v>
      </c>
      <c r="X132" s="27">
        <v>29</v>
      </c>
      <c r="Y132" s="39" t="s">
        <v>48</v>
      </c>
      <c r="Z132" s="41" t="s">
        <v>180</v>
      </c>
      <c r="AA132" s="27"/>
      <c r="AB132" s="44"/>
      <c r="AC132" s="45" t="s">
        <v>155</v>
      </c>
      <c r="AD132" s="39" t="s">
        <v>12</v>
      </c>
      <c r="AE132" s="39">
        <v>5</v>
      </c>
      <c r="AF132" s="39" t="s">
        <v>152</v>
      </c>
      <c r="AG132" s="27">
        <v>29</v>
      </c>
      <c r="AH132" s="39">
        <v>2019</v>
      </c>
      <c r="AI132" s="41" t="s">
        <v>189</v>
      </c>
      <c r="AJ132" s="27"/>
      <c r="AK132" s="44"/>
      <c r="AL132" s="45" t="s">
        <v>155</v>
      </c>
      <c r="AM132" s="39" t="s">
        <v>12</v>
      </c>
      <c r="AN132" s="39">
        <v>5</v>
      </c>
      <c r="AO132" s="39" t="s">
        <v>152</v>
      </c>
      <c r="AP132" s="27">
        <v>29</v>
      </c>
      <c r="AQ132" s="39" t="s">
        <v>59</v>
      </c>
      <c r="AR132" s="41" t="s">
        <v>186</v>
      </c>
      <c r="AS132" s="27"/>
      <c r="AT132" s="44"/>
      <c r="AU132" s="45" t="s">
        <v>155</v>
      </c>
      <c r="AV132" s="39" t="s">
        <v>12</v>
      </c>
      <c r="AW132" s="39">
        <v>5</v>
      </c>
      <c r="AX132" s="39" t="s">
        <v>152</v>
      </c>
      <c r="AY132" s="27">
        <v>29</v>
      </c>
      <c r="AZ132" s="39" t="s">
        <v>85</v>
      </c>
      <c r="BA132" s="41" t="s">
        <v>176</v>
      </c>
      <c r="BB132" s="27"/>
      <c r="BC132" s="44"/>
      <c r="BD132" s="45" t="s">
        <v>155</v>
      </c>
      <c r="BE132" s="39" t="s">
        <v>12</v>
      </c>
      <c r="BF132" s="39">
        <v>5</v>
      </c>
      <c r="BG132" s="39" t="s">
        <v>152</v>
      </c>
      <c r="BH132" s="27">
        <v>29</v>
      </c>
      <c r="BI132" s="39">
        <v>1045</v>
      </c>
      <c r="BJ132" s="41" t="s">
        <v>161</v>
      </c>
      <c r="BK132" s="27"/>
      <c r="BL132" s="44"/>
      <c r="BM132" s="45" t="s">
        <v>155</v>
      </c>
      <c r="BN132" s="39" t="s">
        <v>12</v>
      </c>
      <c r="BO132" s="39">
        <v>5</v>
      </c>
      <c r="BP132" s="39" t="s">
        <v>152</v>
      </c>
      <c r="BQ132" s="27">
        <v>29</v>
      </c>
      <c r="BR132" s="39" t="s">
        <v>254</v>
      </c>
      <c r="BS132" s="41" t="s">
        <v>171</v>
      </c>
      <c r="BT132" s="27"/>
      <c r="BU132" s="44"/>
      <c r="BV132" s="45" t="s">
        <v>155</v>
      </c>
      <c r="BW132" s="39" t="s">
        <v>12</v>
      </c>
      <c r="BX132" s="39">
        <v>5</v>
      </c>
      <c r="BY132" s="39" t="s">
        <v>152</v>
      </c>
      <c r="BZ132" s="27">
        <v>29</v>
      </c>
      <c r="CA132" s="39">
        <v>2026</v>
      </c>
      <c r="CB132" s="41" t="s">
        <v>188</v>
      </c>
      <c r="CD132" s="44"/>
      <c r="CE132" s="45" t="s">
        <v>155</v>
      </c>
      <c r="CF132" s="39" t="s">
        <v>12</v>
      </c>
      <c r="CG132" s="39">
        <v>5</v>
      </c>
      <c r="CH132" s="39" t="s">
        <v>152</v>
      </c>
      <c r="CI132" s="27">
        <v>29</v>
      </c>
      <c r="CJ132" s="39">
        <v>2013</v>
      </c>
      <c r="CK132" s="41" t="s">
        <v>164</v>
      </c>
      <c r="CM132" s="42"/>
      <c r="CN132" s="34"/>
      <c r="CO132" s="10"/>
      <c r="CP132" s="10"/>
      <c r="CQ132" s="10"/>
      <c r="CS132" s="10"/>
      <c r="CT132" s="43"/>
    </row>
    <row r="133" spans="1:98" x14ac:dyDescent="0.25">
      <c r="A133" s="44"/>
      <c r="B133" s="45" t="s">
        <v>155</v>
      </c>
      <c r="C133" s="39" t="s">
        <v>12</v>
      </c>
      <c r="D133" s="39">
        <v>6</v>
      </c>
      <c r="E133" s="39" t="s">
        <v>152</v>
      </c>
      <c r="F133" s="27">
        <v>30</v>
      </c>
      <c r="G133" s="39">
        <v>1022</v>
      </c>
      <c r="H133" s="41" t="s">
        <v>182</v>
      </c>
      <c r="I133" s="27"/>
      <c r="J133" s="44"/>
      <c r="K133" s="45" t="s">
        <v>155</v>
      </c>
      <c r="L133" s="39" t="s">
        <v>12</v>
      </c>
      <c r="M133" s="39">
        <v>6</v>
      </c>
      <c r="N133" s="39" t="s">
        <v>152</v>
      </c>
      <c r="O133" s="27">
        <v>30</v>
      </c>
      <c r="P133" s="39">
        <v>1040</v>
      </c>
      <c r="Q133" s="41" t="s">
        <v>172</v>
      </c>
      <c r="R133" s="27"/>
      <c r="S133" s="44"/>
      <c r="T133" s="45" t="s">
        <v>155</v>
      </c>
      <c r="U133" s="39" t="s">
        <v>12</v>
      </c>
      <c r="V133" s="39">
        <v>6</v>
      </c>
      <c r="W133" s="39" t="s">
        <v>152</v>
      </c>
      <c r="X133" s="27">
        <v>30</v>
      </c>
      <c r="Y133" s="39" t="s">
        <v>48</v>
      </c>
      <c r="Z133" s="41" t="s">
        <v>181</v>
      </c>
      <c r="AA133" s="27"/>
      <c r="AB133" s="44"/>
      <c r="AC133" s="45" t="s">
        <v>155</v>
      </c>
      <c r="AD133" s="39" t="s">
        <v>12</v>
      </c>
      <c r="AE133" s="39">
        <v>6</v>
      </c>
      <c r="AF133" s="39" t="s">
        <v>152</v>
      </c>
      <c r="AG133" s="27">
        <v>30</v>
      </c>
      <c r="AH133" s="39">
        <v>2020</v>
      </c>
      <c r="AI133" s="40" t="s">
        <v>160</v>
      </c>
      <c r="AJ133" s="27"/>
      <c r="AK133" s="44"/>
      <c r="AL133" s="45" t="s">
        <v>155</v>
      </c>
      <c r="AM133" s="39" t="s">
        <v>12</v>
      </c>
      <c r="AN133" s="39">
        <v>6</v>
      </c>
      <c r="AO133" s="39" t="s">
        <v>152</v>
      </c>
      <c r="AP133" s="27">
        <v>30</v>
      </c>
      <c r="AQ133" s="39" t="s">
        <v>59</v>
      </c>
      <c r="AR133" s="41" t="s">
        <v>188</v>
      </c>
      <c r="AS133" s="27"/>
      <c r="AT133" s="44"/>
      <c r="AU133" s="45" t="s">
        <v>155</v>
      </c>
      <c r="AV133" s="39" t="s">
        <v>12</v>
      </c>
      <c r="AW133" s="39">
        <v>6</v>
      </c>
      <c r="AX133" s="39" t="s">
        <v>152</v>
      </c>
      <c r="AY133" s="27">
        <v>30</v>
      </c>
      <c r="AZ133" s="39" t="s">
        <v>86</v>
      </c>
      <c r="BA133" s="41" t="s">
        <v>164</v>
      </c>
      <c r="BB133" s="27"/>
      <c r="BC133" s="44"/>
      <c r="BD133" s="45" t="s">
        <v>155</v>
      </c>
      <c r="BE133" s="39" t="s">
        <v>12</v>
      </c>
      <c r="BF133" s="39">
        <v>6</v>
      </c>
      <c r="BG133" s="39" t="s">
        <v>152</v>
      </c>
      <c r="BH133" s="27">
        <v>30</v>
      </c>
      <c r="BI133" s="39">
        <v>1045</v>
      </c>
      <c r="BJ133" s="46" t="s">
        <v>169</v>
      </c>
      <c r="BK133" s="27"/>
      <c r="BL133" s="44"/>
      <c r="BM133" s="45" t="s">
        <v>155</v>
      </c>
      <c r="BN133" s="39" t="s">
        <v>12</v>
      </c>
      <c r="BO133" s="39">
        <v>6</v>
      </c>
      <c r="BP133" s="39" t="s">
        <v>152</v>
      </c>
      <c r="BQ133" s="27">
        <v>30</v>
      </c>
      <c r="BR133" s="39" t="s">
        <v>255</v>
      </c>
      <c r="BS133" s="41" t="s">
        <v>161</v>
      </c>
      <c r="BT133" s="27"/>
      <c r="BU133" s="44"/>
      <c r="BV133" s="45" t="s">
        <v>155</v>
      </c>
      <c r="BW133" s="39" t="s">
        <v>12</v>
      </c>
      <c r="BX133" s="39">
        <v>6</v>
      </c>
      <c r="BY133" s="39" t="s">
        <v>152</v>
      </c>
      <c r="BZ133" s="27">
        <v>30</v>
      </c>
      <c r="CA133" s="39">
        <v>2026</v>
      </c>
      <c r="CB133" s="41" t="s">
        <v>182</v>
      </c>
      <c r="CD133" s="44"/>
      <c r="CE133" s="45" t="s">
        <v>155</v>
      </c>
      <c r="CF133" s="39" t="s">
        <v>12</v>
      </c>
      <c r="CG133" s="39">
        <v>6</v>
      </c>
      <c r="CH133" s="39" t="s">
        <v>152</v>
      </c>
      <c r="CI133" s="27">
        <v>30</v>
      </c>
      <c r="CJ133" s="39">
        <v>2013</v>
      </c>
      <c r="CK133" s="41" t="s">
        <v>172</v>
      </c>
      <c r="CM133" s="42"/>
      <c r="CN133" s="34"/>
      <c r="CO133" s="10"/>
      <c r="CP133" s="10"/>
      <c r="CQ133" s="10"/>
      <c r="CS133" s="10"/>
      <c r="CT133" s="43"/>
    </row>
    <row r="134" spans="1:98" x14ac:dyDescent="0.25">
      <c r="A134" s="44"/>
      <c r="B134" s="45" t="s">
        <v>155</v>
      </c>
      <c r="C134" s="39" t="s">
        <v>12</v>
      </c>
      <c r="D134" s="39">
        <v>7</v>
      </c>
      <c r="E134" s="39" t="s">
        <v>152</v>
      </c>
      <c r="F134" s="27">
        <v>31</v>
      </c>
      <c r="G134" s="39">
        <v>1022</v>
      </c>
      <c r="H134" s="41" t="s">
        <v>184</v>
      </c>
      <c r="I134" s="27"/>
      <c r="J134" s="44"/>
      <c r="K134" s="45" t="s">
        <v>155</v>
      </c>
      <c r="L134" s="39" t="s">
        <v>12</v>
      </c>
      <c r="M134" s="39">
        <v>7</v>
      </c>
      <c r="N134" s="39" t="s">
        <v>152</v>
      </c>
      <c r="O134" s="27">
        <v>31</v>
      </c>
      <c r="P134" s="39">
        <v>1040</v>
      </c>
      <c r="Q134" s="41" t="s">
        <v>162</v>
      </c>
      <c r="R134" s="27"/>
      <c r="S134" s="44"/>
      <c r="T134" s="45" t="s">
        <v>155</v>
      </c>
      <c r="U134" s="39" t="s">
        <v>12</v>
      </c>
      <c r="V134" s="39">
        <v>7</v>
      </c>
      <c r="W134" s="39" t="s">
        <v>152</v>
      </c>
      <c r="X134" s="27">
        <v>31</v>
      </c>
      <c r="Y134" s="39" t="s">
        <v>48</v>
      </c>
      <c r="Z134" s="41" t="s">
        <v>183</v>
      </c>
      <c r="AA134" s="27"/>
      <c r="AB134" s="44"/>
      <c r="AC134" s="45" t="s">
        <v>155</v>
      </c>
      <c r="AD134" s="39" t="s">
        <v>12</v>
      </c>
      <c r="AE134" s="39">
        <v>7</v>
      </c>
      <c r="AF134" s="39" t="s">
        <v>152</v>
      </c>
      <c r="AG134" s="27">
        <v>31</v>
      </c>
      <c r="AH134" s="39">
        <v>2020</v>
      </c>
      <c r="AI134" s="41" t="s">
        <v>168</v>
      </c>
      <c r="AJ134" s="27"/>
      <c r="AK134" s="44"/>
      <c r="AL134" s="45" t="s">
        <v>155</v>
      </c>
      <c r="AM134" s="39" t="s">
        <v>12</v>
      </c>
      <c r="AN134" s="39">
        <v>7</v>
      </c>
      <c r="AO134" s="39" t="s">
        <v>152</v>
      </c>
      <c r="AP134" s="27">
        <v>31</v>
      </c>
      <c r="AQ134" s="39" t="s">
        <v>59</v>
      </c>
      <c r="AR134" s="41" t="s">
        <v>182</v>
      </c>
      <c r="AS134" s="27"/>
      <c r="AT134" s="44"/>
      <c r="AU134" s="45" t="s">
        <v>155</v>
      </c>
      <c r="AV134" s="39" t="s">
        <v>12</v>
      </c>
      <c r="AW134" s="39">
        <v>7</v>
      </c>
      <c r="AX134" s="39" t="s">
        <v>152</v>
      </c>
      <c r="AY134" s="27">
        <v>31</v>
      </c>
      <c r="AZ134" s="39" t="s">
        <v>256</v>
      </c>
      <c r="BA134" s="41" t="s">
        <v>172</v>
      </c>
      <c r="BB134" s="27"/>
      <c r="BC134" s="44"/>
      <c r="BD134" s="45" t="s">
        <v>155</v>
      </c>
      <c r="BE134" s="39" t="s">
        <v>12</v>
      </c>
      <c r="BF134" s="39">
        <v>7</v>
      </c>
      <c r="BG134" s="39" t="s">
        <v>152</v>
      </c>
      <c r="BH134" s="27">
        <v>31</v>
      </c>
      <c r="BI134" s="39">
        <v>1045</v>
      </c>
      <c r="BJ134" s="41" t="s">
        <v>177</v>
      </c>
      <c r="BK134" s="27"/>
      <c r="BL134" s="44"/>
      <c r="BM134" s="45" t="s">
        <v>155</v>
      </c>
      <c r="BN134" s="39" t="s">
        <v>12</v>
      </c>
      <c r="BO134" s="39">
        <v>7</v>
      </c>
      <c r="BP134" s="39" t="s">
        <v>152</v>
      </c>
      <c r="BQ134" s="27">
        <v>31</v>
      </c>
      <c r="BR134" s="39" t="s">
        <v>257</v>
      </c>
      <c r="BS134" s="46" t="s">
        <v>169</v>
      </c>
      <c r="BT134" s="27"/>
      <c r="BU134" s="44"/>
      <c r="BV134" s="45" t="s">
        <v>155</v>
      </c>
      <c r="BW134" s="39" t="s">
        <v>12</v>
      </c>
      <c r="BX134" s="39">
        <v>7</v>
      </c>
      <c r="BY134" s="39" t="s">
        <v>152</v>
      </c>
      <c r="BZ134" s="27">
        <v>31</v>
      </c>
      <c r="CA134" s="39">
        <v>2026</v>
      </c>
      <c r="CB134" s="41" t="s">
        <v>184</v>
      </c>
      <c r="CD134" s="44"/>
      <c r="CE134" s="45" t="s">
        <v>155</v>
      </c>
      <c r="CF134" s="39" t="s">
        <v>12</v>
      </c>
      <c r="CG134" s="39">
        <v>7</v>
      </c>
      <c r="CH134" s="39" t="s">
        <v>152</v>
      </c>
      <c r="CI134" s="27">
        <v>31</v>
      </c>
      <c r="CJ134" s="39">
        <v>2013</v>
      </c>
      <c r="CK134" s="41" t="s">
        <v>162</v>
      </c>
      <c r="CM134" s="42"/>
      <c r="CN134" s="34"/>
      <c r="CO134" s="10"/>
      <c r="CP134" s="10"/>
      <c r="CQ134" s="10"/>
      <c r="CS134" s="10"/>
      <c r="CT134" s="43"/>
    </row>
    <row r="135" spans="1:98" x14ac:dyDescent="0.25">
      <c r="A135" s="44"/>
      <c r="B135" s="45" t="s">
        <v>155</v>
      </c>
      <c r="C135" s="39" t="s">
        <v>12</v>
      </c>
      <c r="D135" s="39">
        <v>8</v>
      </c>
      <c r="E135" s="39" t="s">
        <v>152</v>
      </c>
      <c r="F135" s="27">
        <v>32</v>
      </c>
      <c r="G135" s="39">
        <v>1022</v>
      </c>
      <c r="H135" s="41" t="s">
        <v>187</v>
      </c>
      <c r="I135" s="27"/>
      <c r="J135" s="44"/>
      <c r="K135" s="45" t="s">
        <v>155</v>
      </c>
      <c r="L135" s="39" t="s">
        <v>12</v>
      </c>
      <c r="M135" s="39">
        <v>8</v>
      </c>
      <c r="N135" s="39" t="s">
        <v>152</v>
      </c>
      <c r="O135" s="27">
        <v>32</v>
      </c>
      <c r="P135" s="39">
        <v>1040</v>
      </c>
      <c r="Q135" s="41" t="s">
        <v>170</v>
      </c>
      <c r="R135" s="27"/>
      <c r="S135" s="44"/>
      <c r="T135" s="45" t="s">
        <v>155</v>
      </c>
      <c r="U135" s="39" t="s">
        <v>12</v>
      </c>
      <c r="V135" s="39">
        <v>8</v>
      </c>
      <c r="W135" s="39" t="s">
        <v>152</v>
      </c>
      <c r="X135" s="27">
        <v>32</v>
      </c>
      <c r="Y135" s="39" t="s">
        <v>48</v>
      </c>
      <c r="Z135" s="41" t="s">
        <v>186</v>
      </c>
      <c r="AA135" s="27"/>
      <c r="AB135" s="44"/>
      <c r="AC135" s="45" t="s">
        <v>155</v>
      </c>
      <c r="AD135" s="39" t="s">
        <v>12</v>
      </c>
      <c r="AE135" s="39">
        <v>8</v>
      </c>
      <c r="AF135" s="39" t="s">
        <v>152</v>
      </c>
      <c r="AG135" s="27">
        <v>32</v>
      </c>
      <c r="AH135" s="39">
        <v>2020</v>
      </c>
      <c r="AI135" s="41" t="s">
        <v>176</v>
      </c>
      <c r="AJ135" s="27"/>
      <c r="AK135" s="44"/>
      <c r="AL135" s="45" t="s">
        <v>155</v>
      </c>
      <c r="AM135" s="39" t="s">
        <v>12</v>
      </c>
      <c r="AN135" s="39">
        <v>8</v>
      </c>
      <c r="AO135" s="39" t="s">
        <v>152</v>
      </c>
      <c r="AP135" s="27">
        <v>32</v>
      </c>
      <c r="AQ135" s="39" t="s">
        <v>59</v>
      </c>
      <c r="AR135" s="41" t="s">
        <v>184</v>
      </c>
      <c r="AS135" s="27"/>
      <c r="AT135" s="44"/>
      <c r="AU135" s="45" t="s">
        <v>155</v>
      </c>
      <c r="AV135" s="39" t="s">
        <v>12</v>
      </c>
      <c r="AW135" s="39">
        <v>8</v>
      </c>
      <c r="AX135" s="39" t="s">
        <v>152</v>
      </c>
      <c r="AY135" s="27">
        <v>32</v>
      </c>
      <c r="AZ135" s="39" t="s">
        <v>258</v>
      </c>
      <c r="BA135" s="41" t="s">
        <v>162</v>
      </c>
      <c r="BB135" s="27"/>
      <c r="BC135" s="44"/>
      <c r="BD135" s="45" t="s">
        <v>155</v>
      </c>
      <c r="BE135" s="39" t="s">
        <v>12</v>
      </c>
      <c r="BF135" s="39">
        <v>8</v>
      </c>
      <c r="BG135" s="39" t="s">
        <v>152</v>
      </c>
      <c r="BH135" s="27">
        <v>32</v>
      </c>
      <c r="BI135" s="39">
        <v>1045</v>
      </c>
      <c r="BJ135" s="41" t="s">
        <v>180</v>
      </c>
      <c r="BK135" s="27"/>
      <c r="BL135" s="44"/>
      <c r="BM135" s="45" t="s">
        <v>155</v>
      </c>
      <c r="BN135" s="39" t="s">
        <v>12</v>
      </c>
      <c r="BO135" s="39">
        <v>8</v>
      </c>
      <c r="BP135" s="39" t="s">
        <v>152</v>
      </c>
      <c r="BQ135" s="27">
        <v>32</v>
      </c>
      <c r="BR135" s="39" t="s">
        <v>259</v>
      </c>
      <c r="BS135" s="41" t="s">
        <v>177</v>
      </c>
      <c r="BT135" s="27"/>
      <c r="BU135" s="44"/>
      <c r="BV135" s="45" t="s">
        <v>155</v>
      </c>
      <c r="BW135" s="39" t="s">
        <v>12</v>
      </c>
      <c r="BX135" s="39">
        <v>8</v>
      </c>
      <c r="BY135" s="39" t="s">
        <v>152</v>
      </c>
      <c r="BZ135" s="27">
        <v>32</v>
      </c>
      <c r="CA135" s="39">
        <v>2026</v>
      </c>
      <c r="CB135" s="41" t="s">
        <v>187</v>
      </c>
      <c r="CD135" s="44"/>
      <c r="CE135" s="45" t="s">
        <v>155</v>
      </c>
      <c r="CF135" s="39" t="s">
        <v>12</v>
      </c>
      <c r="CG135" s="39">
        <v>8</v>
      </c>
      <c r="CH135" s="39" t="s">
        <v>152</v>
      </c>
      <c r="CI135" s="27">
        <v>32</v>
      </c>
      <c r="CJ135" s="39">
        <v>2013</v>
      </c>
      <c r="CK135" s="41" t="s">
        <v>170</v>
      </c>
      <c r="CM135" s="42"/>
      <c r="CN135" s="34"/>
      <c r="CO135" s="10"/>
      <c r="CP135" s="10"/>
      <c r="CQ135" s="10"/>
      <c r="CS135" s="10"/>
      <c r="CT135" s="43"/>
    </row>
    <row r="136" spans="1:98" ht="15.75" thickBot="1" x14ac:dyDescent="0.3">
      <c r="A136" s="44"/>
      <c r="B136" s="45" t="s">
        <v>155</v>
      </c>
      <c r="C136" s="39" t="s">
        <v>12</v>
      </c>
      <c r="D136" s="39">
        <v>9</v>
      </c>
      <c r="E136" s="39" t="s">
        <v>152</v>
      </c>
      <c r="F136" s="27">
        <v>33</v>
      </c>
      <c r="G136" s="39">
        <v>1022</v>
      </c>
      <c r="H136" s="41" t="s">
        <v>189</v>
      </c>
      <c r="I136" s="27"/>
      <c r="J136" s="44"/>
      <c r="K136" s="45" t="s">
        <v>155</v>
      </c>
      <c r="L136" s="39" t="s">
        <v>12</v>
      </c>
      <c r="M136" s="39">
        <v>9</v>
      </c>
      <c r="N136" s="39" t="s">
        <v>152</v>
      </c>
      <c r="O136" s="27">
        <v>33</v>
      </c>
      <c r="P136" s="39">
        <v>1040</v>
      </c>
      <c r="Q136" s="41" t="s">
        <v>178</v>
      </c>
      <c r="R136" s="27"/>
      <c r="S136" s="44"/>
      <c r="T136" s="45" t="s">
        <v>155</v>
      </c>
      <c r="U136" s="39" t="s">
        <v>12</v>
      </c>
      <c r="V136" s="39">
        <v>9</v>
      </c>
      <c r="W136" s="39" t="s">
        <v>152</v>
      </c>
      <c r="X136" s="27">
        <v>33</v>
      </c>
      <c r="Y136" s="39" t="s">
        <v>48</v>
      </c>
      <c r="Z136" s="41" t="s">
        <v>188</v>
      </c>
      <c r="AA136" s="27"/>
      <c r="AB136" s="44"/>
      <c r="AC136" s="45" t="s">
        <v>155</v>
      </c>
      <c r="AD136" s="39" t="s">
        <v>12</v>
      </c>
      <c r="AE136" s="39">
        <v>9</v>
      </c>
      <c r="AF136" s="39" t="s">
        <v>152</v>
      </c>
      <c r="AG136" s="27">
        <v>33</v>
      </c>
      <c r="AH136" s="39">
        <v>2020</v>
      </c>
      <c r="AI136" s="41" t="s">
        <v>164</v>
      </c>
      <c r="AJ136" s="27"/>
      <c r="AK136" s="44"/>
      <c r="AL136" s="45" t="s">
        <v>155</v>
      </c>
      <c r="AM136" s="39" t="s">
        <v>12</v>
      </c>
      <c r="AN136" s="39">
        <v>9</v>
      </c>
      <c r="AO136" s="39" t="s">
        <v>152</v>
      </c>
      <c r="AP136" s="27">
        <v>33</v>
      </c>
      <c r="AQ136" s="39" t="s">
        <v>59</v>
      </c>
      <c r="AR136" s="41" t="s">
        <v>187</v>
      </c>
      <c r="AS136" s="27"/>
      <c r="AT136" s="44"/>
      <c r="AU136" s="45" t="s">
        <v>155</v>
      </c>
      <c r="AV136" s="39" t="s">
        <v>12</v>
      </c>
      <c r="AW136" s="39">
        <v>9</v>
      </c>
      <c r="AX136" s="39" t="s">
        <v>152</v>
      </c>
      <c r="AY136" s="27">
        <v>33</v>
      </c>
      <c r="AZ136" s="39" t="s">
        <v>260</v>
      </c>
      <c r="BA136" s="41" t="s">
        <v>170</v>
      </c>
      <c r="BB136" s="27"/>
      <c r="BC136" s="44"/>
      <c r="BD136" s="45" t="s">
        <v>155</v>
      </c>
      <c r="BE136" s="39" t="s">
        <v>12</v>
      </c>
      <c r="BF136" s="39">
        <v>9</v>
      </c>
      <c r="BG136" s="39" t="s">
        <v>152</v>
      </c>
      <c r="BH136" s="27">
        <v>33</v>
      </c>
      <c r="BI136" s="39">
        <v>1045</v>
      </c>
      <c r="BJ136" s="41" t="s">
        <v>181</v>
      </c>
      <c r="BK136" s="27"/>
      <c r="BL136" s="44"/>
      <c r="BM136" s="45" t="s">
        <v>155</v>
      </c>
      <c r="BN136" s="39" t="s">
        <v>12</v>
      </c>
      <c r="BO136" s="39">
        <v>9</v>
      </c>
      <c r="BP136" s="39" t="s">
        <v>152</v>
      </c>
      <c r="BQ136" s="27">
        <v>33</v>
      </c>
      <c r="BR136" s="39" t="s">
        <v>261</v>
      </c>
      <c r="BS136" s="41" t="s">
        <v>180</v>
      </c>
      <c r="BT136" s="27"/>
      <c r="BU136" s="44"/>
      <c r="BV136" s="45" t="s">
        <v>155</v>
      </c>
      <c r="BW136" s="39" t="s">
        <v>12</v>
      </c>
      <c r="BX136" s="39">
        <v>9</v>
      </c>
      <c r="BY136" s="39" t="s">
        <v>152</v>
      </c>
      <c r="BZ136" s="27">
        <v>33</v>
      </c>
      <c r="CA136" s="39">
        <v>2026</v>
      </c>
      <c r="CB136" s="41" t="s">
        <v>189</v>
      </c>
      <c r="CD136" s="44"/>
      <c r="CE136" s="45" t="s">
        <v>155</v>
      </c>
      <c r="CF136" s="39" t="s">
        <v>12</v>
      </c>
      <c r="CG136" s="39">
        <v>9</v>
      </c>
      <c r="CH136" s="39" t="s">
        <v>152</v>
      </c>
      <c r="CI136" s="27">
        <v>33</v>
      </c>
      <c r="CJ136" s="39">
        <v>2013</v>
      </c>
      <c r="CK136" s="41" t="s">
        <v>178</v>
      </c>
      <c r="CM136" s="42"/>
      <c r="CN136" s="34"/>
      <c r="CO136" s="10"/>
      <c r="CP136" s="10"/>
      <c r="CQ136" s="10"/>
      <c r="CS136" s="10"/>
      <c r="CT136" s="43"/>
    </row>
    <row r="137" spans="1:98" ht="15.75" thickBot="1" x14ac:dyDescent="0.3">
      <c r="A137" s="44"/>
      <c r="B137" s="45" t="s">
        <v>155</v>
      </c>
      <c r="C137" s="39" t="s">
        <v>12</v>
      </c>
      <c r="D137" s="39">
        <v>10</v>
      </c>
      <c r="E137" s="39" t="s">
        <v>152</v>
      </c>
      <c r="F137" s="27">
        <v>34</v>
      </c>
      <c r="G137" s="39">
        <v>1023</v>
      </c>
      <c r="H137" s="40" t="s">
        <v>160</v>
      </c>
      <c r="I137" s="27"/>
      <c r="J137" s="44"/>
      <c r="K137" s="45" t="s">
        <v>155</v>
      </c>
      <c r="L137" s="39" t="s">
        <v>12</v>
      </c>
      <c r="M137" s="39">
        <v>10</v>
      </c>
      <c r="N137" s="39" t="s">
        <v>152</v>
      </c>
      <c r="O137" s="27">
        <v>34</v>
      </c>
      <c r="P137" s="39">
        <v>1040</v>
      </c>
      <c r="Q137" s="41" t="s">
        <v>163</v>
      </c>
      <c r="R137" s="27"/>
      <c r="S137" s="44"/>
      <c r="T137" s="45" t="s">
        <v>155</v>
      </c>
      <c r="U137" s="39" t="s">
        <v>12</v>
      </c>
      <c r="V137" s="39">
        <v>10</v>
      </c>
      <c r="W137" s="39" t="s">
        <v>152</v>
      </c>
      <c r="X137" s="27">
        <v>34</v>
      </c>
      <c r="Y137" s="39" t="s">
        <v>48</v>
      </c>
      <c r="Z137" s="41" t="s">
        <v>182</v>
      </c>
      <c r="AA137" s="27"/>
      <c r="AB137" s="44"/>
      <c r="AC137" s="45" t="s">
        <v>155</v>
      </c>
      <c r="AD137" s="39" t="s">
        <v>12</v>
      </c>
      <c r="AE137" s="39">
        <v>10</v>
      </c>
      <c r="AF137" s="39" t="s">
        <v>152</v>
      </c>
      <c r="AG137" s="27">
        <v>34</v>
      </c>
      <c r="AH137" s="39">
        <v>2020</v>
      </c>
      <c r="AI137" s="41" t="s">
        <v>172</v>
      </c>
      <c r="AJ137" s="27"/>
      <c r="AK137" s="44"/>
      <c r="AL137" s="45" t="s">
        <v>155</v>
      </c>
      <c r="AM137" s="39" t="s">
        <v>12</v>
      </c>
      <c r="AN137" s="39">
        <v>10</v>
      </c>
      <c r="AO137" s="39" t="s">
        <v>152</v>
      </c>
      <c r="AP137" s="27">
        <v>34</v>
      </c>
      <c r="AQ137" s="39" t="s">
        <v>59</v>
      </c>
      <c r="AR137" s="41" t="s">
        <v>189</v>
      </c>
      <c r="AS137" s="27"/>
      <c r="AT137" s="44"/>
      <c r="AU137" s="45" t="s">
        <v>155</v>
      </c>
      <c r="AV137" s="39" t="s">
        <v>12</v>
      </c>
      <c r="AW137" s="39">
        <v>10</v>
      </c>
      <c r="AX137" s="39" t="s">
        <v>152</v>
      </c>
      <c r="AY137" s="27">
        <v>34</v>
      </c>
      <c r="AZ137" s="39" t="s">
        <v>262</v>
      </c>
      <c r="BA137" s="41" t="s">
        <v>178</v>
      </c>
      <c r="BB137" s="27"/>
      <c r="BC137" s="44"/>
      <c r="BD137" s="45" t="s">
        <v>155</v>
      </c>
      <c r="BE137" s="39" t="s">
        <v>12</v>
      </c>
      <c r="BF137" s="39">
        <v>10</v>
      </c>
      <c r="BG137" s="39" t="s">
        <v>152</v>
      </c>
      <c r="BH137" s="27">
        <v>34</v>
      </c>
      <c r="BI137" s="39">
        <v>1045</v>
      </c>
      <c r="BJ137" s="41" t="s">
        <v>183</v>
      </c>
      <c r="BK137" s="27"/>
      <c r="BL137" s="44"/>
      <c r="BM137" s="45" t="s">
        <v>155</v>
      </c>
      <c r="BN137" s="39" t="s">
        <v>12</v>
      </c>
      <c r="BO137" s="39">
        <v>10</v>
      </c>
      <c r="BP137" s="39" t="s">
        <v>152</v>
      </c>
      <c r="BQ137" s="27">
        <v>34</v>
      </c>
      <c r="BR137" s="39" t="s">
        <v>263</v>
      </c>
      <c r="BS137" s="41" t="s">
        <v>181</v>
      </c>
      <c r="BT137" s="27"/>
      <c r="BU137" s="44"/>
      <c r="BV137" s="45" t="s">
        <v>155</v>
      </c>
      <c r="BW137" s="39" t="s">
        <v>12</v>
      </c>
      <c r="BX137" s="39">
        <v>10</v>
      </c>
      <c r="BY137" s="39" t="s">
        <v>152</v>
      </c>
      <c r="BZ137" s="27">
        <v>34</v>
      </c>
      <c r="CA137" s="39">
        <v>2027</v>
      </c>
      <c r="CB137" s="40" t="s">
        <v>160</v>
      </c>
      <c r="CD137" s="44"/>
      <c r="CE137" s="45" t="s">
        <v>155</v>
      </c>
      <c r="CF137" s="39" t="s">
        <v>12</v>
      </c>
      <c r="CG137" s="39">
        <v>10</v>
      </c>
      <c r="CH137" s="39" t="s">
        <v>152</v>
      </c>
      <c r="CI137" s="27">
        <v>34</v>
      </c>
      <c r="CJ137" s="39">
        <v>2013</v>
      </c>
      <c r="CK137" s="41" t="s">
        <v>163</v>
      </c>
      <c r="CM137" s="42"/>
      <c r="CN137" s="34"/>
      <c r="CO137" s="10"/>
      <c r="CP137" s="10"/>
      <c r="CQ137" s="10"/>
      <c r="CS137" s="10"/>
      <c r="CT137" s="33"/>
    </row>
    <row r="138" spans="1:98" x14ac:dyDescent="0.25">
      <c r="A138" s="44"/>
      <c r="B138" s="45" t="s">
        <v>155</v>
      </c>
      <c r="C138" s="39" t="s">
        <v>12</v>
      </c>
      <c r="D138" s="39">
        <v>11</v>
      </c>
      <c r="E138" s="39" t="s">
        <v>152</v>
      </c>
      <c r="F138" s="27">
        <v>35</v>
      </c>
      <c r="G138" s="39">
        <v>1023</v>
      </c>
      <c r="H138" s="41" t="s">
        <v>168</v>
      </c>
      <c r="I138" s="27"/>
      <c r="J138" s="44"/>
      <c r="K138" s="45" t="s">
        <v>155</v>
      </c>
      <c r="L138" s="39" t="s">
        <v>12</v>
      </c>
      <c r="M138" s="39">
        <v>11</v>
      </c>
      <c r="N138" s="39" t="s">
        <v>152</v>
      </c>
      <c r="O138" s="27">
        <v>35</v>
      </c>
      <c r="P138" s="39">
        <v>1040</v>
      </c>
      <c r="Q138" s="41" t="s">
        <v>171</v>
      </c>
      <c r="R138" s="27"/>
      <c r="S138" s="44"/>
      <c r="T138" s="45" t="s">
        <v>155</v>
      </c>
      <c r="U138" s="39" t="s">
        <v>12</v>
      </c>
      <c r="V138" s="39">
        <v>11</v>
      </c>
      <c r="W138" s="39" t="s">
        <v>152</v>
      </c>
      <c r="X138" s="27">
        <v>35</v>
      </c>
      <c r="Y138" s="39" t="s">
        <v>48</v>
      </c>
      <c r="Z138" s="41" t="s">
        <v>184</v>
      </c>
      <c r="AA138" s="27"/>
      <c r="AB138" s="44"/>
      <c r="AC138" s="45" t="s">
        <v>155</v>
      </c>
      <c r="AD138" s="39" t="s">
        <v>12</v>
      </c>
      <c r="AE138" s="39">
        <v>11</v>
      </c>
      <c r="AF138" s="39" t="s">
        <v>152</v>
      </c>
      <c r="AG138" s="27">
        <v>35</v>
      </c>
      <c r="AH138" s="39">
        <v>2020</v>
      </c>
      <c r="AI138" s="41" t="s">
        <v>162</v>
      </c>
      <c r="AJ138" s="27"/>
      <c r="AK138" s="44"/>
      <c r="AL138" s="45" t="s">
        <v>155</v>
      </c>
      <c r="AM138" s="39" t="s">
        <v>12</v>
      </c>
      <c r="AN138" s="39">
        <v>11</v>
      </c>
      <c r="AO138" s="39" t="s">
        <v>152</v>
      </c>
      <c r="AP138" s="27">
        <v>35</v>
      </c>
      <c r="AQ138" s="39" t="s">
        <v>77</v>
      </c>
      <c r="AR138" s="40" t="s">
        <v>160</v>
      </c>
      <c r="AS138" s="27"/>
      <c r="AT138" s="44"/>
      <c r="AU138" s="45" t="s">
        <v>155</v>
      </c>
      <c r="AV138" s="39" t="s">
        <v>12</v>
      </c>
      <c r="AW138" s="39">
        <v>11</v>
      </c>
      <c r="AX138" s="39" t="s">
        <v>152</v>
      </c>
      <c r="AY138" s="27">
        <v>35</v>
      </c>
      <c r="AZ138" s="39" t="s">
        <v>264</v>
      </c>
      <c r="BA138" s="41" t="s">
        <v>163</v>
      </c>
      <c r="BB138" s="27"/>
      <c r="BC138" s="44"/>
      <c r="BD138" s="45" t="s">
        <v>155</v>
      </c>
      <c r="BE138" s="39" t="s">
        <v>12</v>
      </c>
      <c r="BF138" s="39">
        <v>11</v>
      </c>
      <c r="BG138" s="39" t="s">
        <v>152</v>
      </c>
      <c r="BH138" s="27">
        <v>35</v>
      </c>
      <c r="BI138" s="39">
        <v>1045</v>
      </c>
      <c r="BJ138" s="41" t="s">
        <v>186</v>
      </c>
      <c r="BK138" s="27"/>
      <c r="BL138" s="44"/>
      <c r="BM138" s="45" t="s">
        <v>155</v>
      </c>
      <c r="BN138" s="39" t="s">
        <v>12</v>
      </c>
      <c r="BO138" s="39">
        <v>11</v>
      </c>
      <c r="BP138" s="39" t="s">
        <v>152</v>
      </c>
      <c r="BQ138" s="27">
        <v>35</v>
      </c>
      <c r="BR138" s="39" t="s">
        <v>265</v>
      </c>
      <c r="BS138" s="41" t="s">
        <v>183</v>
      </c>
      <c r="BT138" s="27"/>
      <c r="BU138" s="44"/>
      <c r="BV138" s="45" t="s">
        <v>155</v>
      </c>
      <c r="BW138" s="39" t="s">
        <v>12</v>
      </c>
      <c r="BX138" s="39">
        <v>11</v>
      </c>
      <c r="BY138" s="39" t="s">
        <v>152</v>
      </c>
      <c r="BZ138" s="27">
        <v>35</v>
      </c>
      <c r="CA138" s="39">
        <v>2027</v>
      </c>
      <c r="CB138" s="41" t="s">
        <v>168</v>
      </c>
      <c r="CD138" s="44"/>
      <c r="CE138" s="45" t="s">
        <v>155</v>
      </c>
      <c r="CF138" s="39" t="s">
        <v>12</v>
      </c>
      <c r="CG138" s="39">
        <v>11</v>
      </c>
      <c r="CH138" s="39" t="s">
        <v>152</v>
      </c>
      <c r="CI138" s="27">
        <v>35</v>
      </c>
      <c r="CJ138" s="39">
        <v>2013</v>
      </c>
      <c r="CK138" s="41" t="s">
        <v>171</v>
      </c>
      <c r="CM138" s="42"/>
      <c r="CN138" s="34"/>
      <c r="CO138" s="10"/>
      <c r="CP138" s="10"/>
      <c r="CQ138" s="10"/>
      <c r="CS138" s="10"/>
      <c r="CT138" s="43"/>
    </row>
    <row r="139" spans="1:98" ht="15.75" thickBot="1" x14ac:dyDescent="0.3">
      <c r="A139" s="52"/>
      <c r="B139" s="53" t="s">
        <v>155</v>
      </c>
      <c r="C139" s="54" t="s">
        <v>12</v>
      </c>
      <c r="D139" s="54">
        <v>12</v>
      </c>
      <c r="E139" s="54" t="s">
        <v>152</v>
      </c>
      <c r="F139" s="55">
        <v>36</v>
      </c>
      <c r="G139" s="39">
        <v>1023</v>
      </c>
      <c r="H139" s="41" t="s">
        <v>176</v>
      </c>
      <c r="I139" s="27"/>
      <c r="J139" s="52"/>
      <c r="K139" s="53" t="s">
        <v>155</v>
      </c>
      <c r="L139" s="54" t="s">
        <v>12</v>
      </c>
      <c r="M139" s="54">
        <v>12</v>
      </c>
      <c r="N139" s="54" t="s">
        <v>152</v>
      </c>
      <c r="O139" s="55">
        <v>36</v>
      </c>
      <c r="P139" s="39">
        <v>1040</v>
      </c>
      <c r="Q139" s="41" t="s">
        <v>161</v>
      </c>
      <c r="R139" s="27"/>
      <c r="S139" s="52"/>
      <c r="T139" s="53" t="s">
        <v>155</v>
      </c>
      <c r="U139" s="54" t="s">
        <v>12</v>
      </c>
      <c r="V139" s="54">
        <v>12</v>
      </c>
      <c r="W139" s="54" t="s">
        <v>152</v>
      </c>
      <c r="X139" s="55">
        <v>36</v>
      </c>
      <c r="Y139" s="39" t="s">
        <v>48</v>
      </c>
      <c r="Z139" s="41" t="s">
        <v>187</v>
      </c>
      <c r="AA139" s="27"/>
      <c r="AB139" s="52"/>
      <c r="AC139" s="53" t="s">
        <v>155</v>
      </c>
      <c r="AD139" s="54" t="s">
        <v>12</v>
      </c>
      <c r="AE139" s="54">
        <v>12</v>
      </c>
      <c r="AF139" s="54" t="s">
        <v>152</v>
      </c>
      <c r="AG139" s="55">
        <v>36</v>
      </c>
      <c r="AH139" s="39">
        <v>2020</v>
      </c>
      <c r="AI139" s="41" t="s">
        <v>170</v>
      </c>
      <c r="AJ139" s="27"/>
      <c r="AK139" s="52"/>
      <c r="AL139" s="53" t="s">
        <v>155</v>
      </c>
      <c r="AM139" s="54" t="s">
        <v>12</v>
      </c>
      <c r="AN139" s="54">
        <v>12</v>
      </c>
      <c r="AO139" s="54" t="s">
        <v>152</v>
      </c>
      <c r="AP139" s="55">
        <v>36</v>
      </c>
      <c r="AQ139" s="39" t="s">
        <v>77</v>
      </c>
      <c r="AR139" s="41" t="s">
        <v>168</v>
      </c>
      <c r="AS139" s="27"/>
      <c r="AT139" s="52"/>
      <c r="AU139" s="53" t="s">
        <v>155</v>
      </c>
      <c r="AV139" s="54" t="s">
        <v>12</v>
      </c>
      <c r="AW139" s="54">
        <v>12</v>
      </c>
      <c r="AX139" s="54" t="s">
        <v>152</v>
      </c>
      <c r="AY139" s="55">
        <v>36</v>
      </c>
      <c r="AZ139" s="39" t="s">
        <v>266</v>
      </c>
      <c r="BA139" s="41" t="s">
        <v>171</v>
      </c>
      <c r="BB139" s="27"/>
      <c r="BC139" s="52"/>
      <c r="BD139" s="53" t="s">
        <v>155</v>
      </c>
      <c r="BE139" s="54" t="s">
        <v>12</v>
      </c>
      <c r="BF139" s="54">
        <v>12</v>
      </c>
      <c r="BG139" s="54" t="s">
        <v>152</v>
      </c>
      <c r="BH139" s="55">
        <v>36</v>
      </c>
      <c r="BI139" s="39">
        <v>1045</v>
      </c>
      <c r="BJ139" s="41" t="s">
        <v>188</v>
      </c>
      <c r="BK139" s="27"/>
      <c r="BL139" s="52"/>
      <c r="BM139" s="53" t="s">
        <v>155</v>
      </c>
      <c r="BN139" s="54" t="s">
        <v>12</v>
      </c>
      <c r="BO139" s="54">
        <v>12</v>
      </c>
      <c r="BP139" s="54" t="s">
        <v>152</v>
      </c>
      <c r="BQ139" s="55">
        <v>36</v>
      </c>
      <c r="BR139" s="39" t="s">
        <v>267</v>
      </c>
      <c r="BS139" s="41" t="s">
        <v>186</v>
      </c>
      <c r="BT139" s="27"/>
      <c r="BU139" s="52"/>
      <c r="BV139" s="53" t="s">
        <v>155</v>
      </c>
      <c r="BW139" s="54" t="s">
        <v>12</v>
      </c>
      <c r="BX139" s="54">
        <v>12</v>
      </c>
      <c r="BY139" s="54" t="s">
        <v>152</v>
      </c>
      <c r="BZ139" s="55">
        <v>36</v>
      </c>
      <c r="CA139" s="39">
        <v>2027</v>
      </c>
      <c r="CB139" s="41" t="s">
        <v>176</v>
      </c>
      <c r="CD139" s="52"/>
      <c r="CE139" s="53" t="s">
        <v>155</v>
      </c>
      <c r="CF139" s="54" t="s">
        <v>12</v>
      </c>
      <c r="CG139" s="54">
        <v>12</v>
      </c>
      <c r="CH139" s="54" t="s">
        <v>152</v>
      </c>
      <c r="CI139" s="55">
        <v>36</v>
      </c>
      <c r="CJ139" s="39">
        <v>2013</v>
      </c>
      <c r="CK139" s="41" t="s">
        <v>161</v>
      </c>
      <c r="CM139" s="47"/>
      <c r="CN139" s="48"/>
      <c r="CO139" s="49"/>
      <c r="CP139" s="49"/>
      <c r="CQ139" s="49"/>
      <c r="CR139" s="50"/>
      <c r="CS139" s="10"/>
      <c r="CT139" s="43"/>
    </row>
    <row r="140" spans="1:98" ht="15.75" thickBot="1" x14ac:dyDescent="0.3">
      <c r="A140" s="60"/>
      <c r="B140" s="36" t="s">
        <v>155</v>
      </c>
      <c r="C140" s="61" t="s">
        <v>15</v>
      </c>
      <c r="D140" s="61">
        <v>1</v>
      </c>
      <c r="E140" s="61" t="s">
        <v>152</v>
      </c>
      <c r="F140" s="62">
        <v>37</v>
      </c>
      <c r="G140" s="39">
        <v>1023</v>
      </c>
      <c r="H140" s="41" t="s">
        <v>164</v>
      </c>
      <c r="I140" s="27"/>
      <c r="J140" s="60"/>
      <c r="K140" s="36" t="s">
        <v>155</v>
      </c>
      <c r="L140" s="61" t="s">
        <v>15</v>
      </c>
      <c r="M140" s="61">
        <v>1</v>
      </c>
      <c r="N140" s="61" t="s">
        <v>152</v>
      </c>
      <c r="O140" s="62">
        <v>37</v>
      </c>
      <c r="P140" s="39">
        <v>1040</v>
      </c>
      <c r="Q140" s="46" t="s">
        <v>169</v>
      </c>
      <c r="R140" s="27"/>
      <c r="S140" s="60"/>
      <c r="T140" s="36" t="s">
        <v>155</v>
      </c>
      <c r="U140" s="61" t="s">
        <v>15</v>
      </c>
      <c r="V140" s="61">
        <v>1</v>
      </c>
      <c r="W140" s="61" t="s">
        <v>152</v>
      </c>
      <c r="X140" s="62">
        <v>37</v>
      </c>
      <c r="Y140" s="39" t="s">
        <v>48</v>
      </c>
      <c r="Z140" s="41" t="s">
        <v>189</v>
      </c>
      <c r="AA140" s="27"/>
      <c r="AB140" s="60"/>
      <c r="AC140" s="36" t="s">
        <v>155</v>
      </c>
      <c r="AD140" s="61" t="s">
        <v>15</v>
      </c>
      <c r="AE140" s="61">
        <v>1</v>
      </c>
      <c r="AF140" s="61" t="s">
        <v>152</v>
      </c>
      <c r="AG140" s="62">
        <v>37</v>
      </c>
      <c r="AH140" s="39">
        <v>2020</v>
      </c>
      <c r="AI140" s="41" t="s">
        <v>178</v>
      </c>
      <c r="AJ140" s="27"/>
      <c r="AK140" s="60"/>
      <c r="AL140" s="36" t="s">
        <v>155</v>
      </c>
      <c r="AM140" s="61" t="s">
        <v>15</v>
      </c>
      <c r="AN140" s="61">
        <v>1</v>
      </c>
      <c r="AO140" s="61" t="s">
        <v>152</v>
      </c>
      <c r="AP140" s="62">
        <v>37</v>
      </c>
      <c r="AQ140" s="39" t="s">
        <v>77</v>
      </c>
      <c r="AR140" s="41" t="s">
        <v>176</v>
      </c>
      <c r="AS140" s="27"/>
      <c r="AT140" s="60"/>
      <c r="AU140" s="36" t="s">
        <v>155</v>
      </c>
      <c r="AV140" s="61" t="s">
        <v>15</v>
      </c>
      <c r="AW140" s="61">
        <v>1</v>
      </c>
      <c r="AX140" s="61" t="s">
        <v>152</v>
      </c>
      <c r="AY140" s="62">
        <v>37</v>
      </c>
      <c r="AZ140" s="39" t="s">
        <v>268</v>
      </c>
      <c r="BA140" s="41" t="s">
        <v>161</v>
      </c>
      <c r="BB140" s="27"/>
      <c r="BC140" s="60"/>
      <c r="BD140" s="36" t="s">
        <v>155</v>
      </c>
      <c r="BE140" s="61" t="s">
        <v>15</v>
      </c>
      <c r="BF140" s="61">
        <v>1</v>
      </c>
      <c r="BG140" s="61" t="s">
        <v>152</v>
      </c>
      <c r="BH140" s="62">
        <v>37</v>
      </c>
      <c r="BI140" s="39">
        <v>1045</v>
      </c>
      <c r="BJ140" s="41" t="s">
        <v>182</v>
      </c>
      <c r="BK140" s="27"/>
      <c r="BL140" s="60"/>
      <c r="BM140" s="36" t="s">
        <v>155</v>
      </c>
      <c r="BN140" s="61" t="s">
        <v>15</v>
      </c>
      <c r="BO140" s="61">
        <v>1</v>
      </c>
      <c r="BP140" s="61" t="s">
        <v>152</v>
      </c>
      <c r="BQ140" s="62">
        <v>37</v>
      </c>
      <c r="BR140" s="39" t="s">
        <v>269</v>
      </c>
      <c r="BS140" s="41" t="s">
        <v>188</v>
      </c>
      <c r="BT140" s="27"/>
      <c r="BU140" s="60"/>
      <c r="BV140" s="36" t="s">
        <v>155</v>
      </c>
      <c r="BW140" s="61" t="s">
        <v>15</v>
      </c>
      <c r="BX140" s="61">
        <v>1</v>
      </c>
      <c r="BY140" s="61" t="s">
        <v>152</v>
      </c>
      <c r="BZ140" s="62">
        <v>37</v>
      </c>
      <c r="CA140" s="39">
        <v>2027</v>
      </c>
      <c r="CB140" s="41" t="s">
        <v>164</v>
      </c>
      <c r="CD140" s="60"/>
      <c r="CE140" s="36" t="s">
        <v>155</v>
      </c>
      <c r="CF140" s="61" t="s">
        <v>15</v>
      </c>
      <c r="CG140" s="61">
        <v>1</v>
      </c>
      <c r="CH140" s="61" t="s">
        <v>152</v>
      </c>
      <c r="CI140" s="62">
        <v>37</v>
      </c>
      <c r="CJ140" s="39">
        <v>2013</v>
      </c>
      <c r="CK140" s="46" t="s">
        <v>169</v>
      </c>
      <c r="CM140" s="56"/>
      <c r="CN140" s="31"/>
      <c r="CO140" s="58"/>
      <c r="CP140" s="58"/>
      <c r="CQ140" s="58"/>
      <c r="CR140" s="59"/>
      <c r="CS140" s="10"/>
      <c r="CT140" s="43"/>
    </row>
    <row r="141" spans="1:98" x14ac:dyDescent="0.25">
      <c r="A141" s="44"/>
      <c r="B141" s="45" t="s">
        <v>155</v>
      </c>
      <c r="C141" s="39" t="s">
        <v>15</v>
      </c>
      <c r="D141" s="39">
        <v>2</v>
      </c>
      <c r="E141" s="39" t="s">
        <v>152</v>
      </c>
      <c r="F141" s="27">
        <v>38</v>
      </c>
      <c r="G141" s="39">
        <v>1023</v>
      </c>
      <c r="H141" s="41" t="s">
        <v>172</v>
      </c>
      <c r="I141" s="27"/>
      <c r="J141" s="44"/>
      <c r="K141" s="45" t="s">
        <v>155</v>
      </c>
      <c r="L141" s="39" t="s">
        <v>15</v>
      </c>
      <c r="M141" s="39">
        <v>2</v>
      </c>
      <c r="N141" s="39" t="s">
        <v>152</v>
      </c>
      <c r="O141" s="27">
        <v>38</v>
      </c>
      <c r="P141" s="39">
        <v>1040</v>
      </c>
      <c r="Q141" s="41" t="s">
        <v>177</v>
      </c>
      <c r="R141" s="27"/>
      <c r="S141" s="44"/>
      <c r="T141" s="45" t="s">
        <v>155</v>
      </c>
      <c r="U141" s="39" t="s">
        <v>15</v>
      </c>
      <c r="V141" s="39">
        <v>2</v>
      </c>
      <c r="W141" s="39" t="s">
        <v>152</v>
      </c>
      <c r="X141" s="27">
        <v>38</v>
      </c>
      <c r="Y141" s="39" t="s">
        <v>270</v>
      </c>
      <c r="Z141" s="40" t="s">
        <v>160</v>
      </c>
      <c r="AA141" s="27"/>
      <c r="AB141" s="44"/>
      <c r="AC141" s="45" t="s">
        <v>155</v>
      </c>
      <c r="AD141" s="39" t="s">
        <v>15</v>
      </c>
      <c r="AE141" s="39">
        <v>2</v>
      </c>
      <c r="AF141" s="39" t="s">
        <v>152</v>
      </c>
      <c r="AG141" s="27">
        <v>38</v>
      </c>
      <c r="AH141" s="39">
        <v>2020</v>
      </c>
      <c r="AI141" s="41" t="s">
        <v>163</v>
      </c>
      <c r="AJ141" s="27"/>
      <c r="AK141" s="44"/>
      <c r="AL141" s="45" t="s">
        <v>155</v>
      </c>
      <c r="AM141" s="39" t="s">
        <v>15</v>
      </c>
      <c r="AN141" s="39">
        <v>2</v>
      </c>
      <c r="AO141" s="39" t="s">
        <v>152</v>
      </c>
      <c r="AP141" s="27">
        <v>38</v>
      </c>
      <c r="AQ141" s="39" t="s">
        <v>77</v>
      </c>
      <c r="AR141" s="41" t="s">
        <v>164</v>
      </c>
      <c r="AS141" s="27"/>
      <c r="AT141" s="44"/>
      <c r="AU141" s="45" t="s">
        <v>155</v>
      </c>
      <c r="AV141" s="39" t="s">
        <v>15</v>
      </c>
      <c r="AW141" s="39">
        <v>2</v>
      </c>
      <c r="AX141" s="39" t="s">
        <v>152</v>
      </c>
      <c r="AY141" s="27">
        <v>38</v>
      </c>
      <c r="AZ141" s="39" t="s">
        <v>271</v>
      </c>
      <c r="BA141" s="46" t="s">
        <v>169</v>
      </c>
      <c r="BB141" s="27"/>
      <c r="BC141" s="44"/>
      <c r="BD141" s="45" t="s">
        <v>155</v>
      </c>
      <c r="BE141" s="39" t="s">
        <v>15</v>
      </c>
      <c r="BF141" s="39">
        <v>2</v>
      </c>
      <c r="BG141" s="39" t="s">
        <v>152</v>
      </c>
      <c r="BH141" s="27">
        <v>38</v>
      </c>
      <c r="BI141" s="39">
        <v>1045</v>
      </c>
      <c r="BJ141" s="41" t="s">
        <v>184</v>
      </c>
      <c r="BK141" s="27"/>
      <c r="BL141" s="44"/>
      <c r="BM141" s="45" t="s">
        <v>155</v>
      </c>
      <c r="BN141" s="39" t="s">
        <v>15</v>
      </c>
      <c r="BO141" s="39">
        <v>2</v>
      </c>
      <c r="BP141" s="39" t="s">
        <v>152</v>
      </c>
      <c r="BQ141" s="27">
        <v>38</v>
      </c>
      <c r="BR141" s="39" t="s">
        <v>272</v>
      </c>
      <c r="BS141" s="41" t="s">
        <v>182</v>
      </c>
      <c r="BT141" s="27"/>
      <c r="BU141" s="44"/>
      <c r="BV141" s="45" t="s">
        <v>155</v>
      </c>
      <c r="BW141" s="39" t="s">
        <v>15</v>
      </c>
      <c r="BX141" s="39">
        <v>2</v>
      </c>
      <c r="BY141" s="39" t="s">
        <v>152</v>
      </c>
      <c r="BZ141" s="27">
        <v>38</v>
      </c>
      <c r="CA141" s="39">
        <v>2027</v>
      </c>
      <c r="CB141" s="41" t="s">
        <v>172</v>
      </c>
      <c r="CD141" s="44"/>
      <c r="CE141" s="45" t="s">
        <v>155</v>
      </c>
      <c r="CF141" s="39" t="s">
        <v>15</v>
      </c>
      <c r="CG141" s="39">
        <v>2</v>
      </c>
      <c r="CH141" s="39" t="s">
        <v>152</v>
      </c>
      <c r="CI141" s="27">
        <v>38</v>
      </c>
      <c r="CJ141" s="39">
        <v>2013</v>
      </c>
      <c r="CK141" s="41" t="s">
        <v>177</v>
      </c>
      <c r="CM141" s="42"/>
      <c r="CN141" s="34"/>
      <c r="CO141" s="10"/>
      <c r="CP141" s="10"/>
      <c r="CQ141" s="10"/>
      <c r="CS141" s="10"/>
      <c r="CT141" s="43"/>
    </row>
    <row r="142" spans="1:98" x14ac:dyDescent="0.25">
      <c r="A142" s="44"/>
      <c r="B142" s="45" t="s">
        <v>155</v>
      </c>
      <c r="C142" s="39" t="s">
        <v>15</v>
      </c>
      <c r="D142" s="39">
        <v>3</v>
      </c>
      <c r="E142" s="39" t="s">
        <v>152</v>
      </c>
      <c r="F142" s="27">
        <v>39</v>
      </c>
      <c r="G142" s="39">
        <v>1023</v>
      </c>
      <c r="H142" s="41" t="s">
        <v>162</v>
      </c>
      <c r="I142" s="27"/>
      <c r="J142" s="44"/>
      <c r="K142" s="45" t="s">
        <v>155</v>
      </c>
      <c r="L142" s="39" t="s">
        <v>15</v>
      </c>
      <c r="M142" s="39">
        <v>3</v>
      </c>
      <c r="N142" s="39" t="s">
        <v>152</v>
      </c>
      <c r="O142" s="27">
        <v>39</v>
      </c>
      <c r="P142" s="39">
        <v>1040</v>
      </c>
      <c r="Q142" s="41" t="s">
        <v>180</v>
      </c>
      <c r="R142" s="27"/>
      <c r="S142" s="44"/>
      <c r="T142" s="45" t="s">
        <v>155</v>
      </c>
      <c r="U142" s="39" t="s">
        <v>15</v>
      </c>
      <c r="V142" s="39">
        <v>3</v>
      </c>
      <c r="W142" s="39" t="s">
        <v>152</v>
      </c>
      <c r="X142" s="27">
        <v>39</v>
      </c>
      <c r="Y142" s="39" t="s">
        <v>270</v>
      </c>
      <c r="Z142" s="41" t="s">
        <v>168</v>
      </c>
      <c r="AA142" s="27"/>
      <c r="AB142" s="44"/>
      <c r="AC142" s="45" t="s">
        <v>155</v>
      </c>
      <c r="AD142" s="39" t="s">
        <v>15</v>
      </c>
      <c r="AE142" s="39">
        <v>3</v>
      </c>
      <c r="AF142" s="39" t="s">
        <v>152</v>
      </c>
      <c r="AG142" s="27">
        <v>39</v>
      </c>
      <c r="AH142" s="39">
        <v>2020</v>
      </c>
      <c r="AI142" s="41" t="s">
        <v>171</v>
      </c>
      <c r="AJ142" s="27"/>
      <c r="AK142" s="44"/>
      <c r="AL142" s="45" t="s">
        <v>155</v>
      </c>
      <c r="AM142" s="39" t="s">
        <v>15</v>
      </c>
      <c r="AN142" s="39">
        <v>3</v>
      </c>
      <c r="AO142" s="39" t="s">
        <v>152</v>
      </c>
      <c r="AP142" s="27">
        <v>39</v>
      </c>
      <c r="AQ142" s="39" t="s">
        <v>77</v>
      </c>
      <c r="AR142" s="41" t="s">
        <v>172</v>
      </c>
      <c r="AS142" s="27"/>
      <c r="AT142" s="44"/>
      <c r="AU142" s="45" t="s">
        <v>155</v>
      </c>
      <c r="AV142" s="39" t="s">
        <v>15</v>
      </c>
      <c r="AW142" s="39">
        <v>3</v>
      </c>
      <c r="AX142" s="39" t="s">
        <v>152</v>
      </c>
      <c r="AY142" s="27">
        <v>39</v>
      </c>
      <c r="AZ142" s="39" t="s">
        <v>273</v>
      </c>
      <c r="BA142" s="41" t="s">
        <v>177</v>
      </c>
      <c r="BB142" s="27"/>
      <c r="BC142" s="44"/>
      <c r="BD142" s="45" t="s">
        <v>155</v>
      </c>
      <c r="BE142" s="39" t="s">
        <v>15</v>
      </c>
      <c r="BF142" s="39">
        <v>3</v>
      </c>
      <c r="BG142" s="39" t="s">
        <v>152</v>
      </c>
      <c r="BH142" s="27">
        <v>39</v>
      </c>
      <c r="BI142" s="39">
        <v>1045</v>
      </c>
      <c r="BJ142" s="41" t="s">
        <v>187</v>
      </c>
      <c r="BK142" s="27"/>
      <c r="BL142" s="44"/>
      <c r="BM142" s="45" t="s">
        <v>155</v>
      </c>
      <c r="BN142" s="39" t="s">
        <v>15</v>
      </c>
      <c r="BO142" s="39">
        <v>3</v>
      </c>
      <c r="BP142" s="39" t="s">
        <v>152</v>
      </c>
      <c r="BQ142" s="27">
        <v>39</v>
      </c>
      <c r="BR142" s="39" t="s">
        <v>274</v>
      </c>
      <c r="BS142" s="41" t="s">
        <v>184</v>
      </c>
      <c r="BT142" s="27"/>
      <c r="BU142" s="44"/>
      <c r="BV142" s="45" t="s">
        <v>155</v>
      </c>
      <c r="BW142" s="39" t="s">
        <v>15</v>
      </c>
      <c r="BX142" s="39">
        <v>3</v>
      </c>
      <c r="BY142" s="39" t="s">
        <v>152</v>
      </c>
      <c r="BZ142" s="27">
        <v>39</v>
      </c>
      <c r="CA142" s="39">
        <v>2027</v>
      </c>
      <c r="CB142" s="41" t="s">
        <v>162</v>
      </c>
      <c r="CD142" s="44"/>
      <c r="CE142" s="45" t="s">
        <v>155</v>
      </c>
      <c r="CF142" s="39" t="s">
        <v>15</v>
      </c>
      <c r="CG142" s="39">
        <v>3</v>
      </c>
      <c r="CH142" s="39" t="s">
        <v>152</v>
      </c>
      <c r="CI142" s="27">
        <v>39</v>
      </c>
      <c r="CJ142" s="39">
        <v>2013</v>
      </c>
      <c r="CK142" s="41" t="s">
        <v>180</v>
      </c>
      <c r="CM142" s="42"/>
      <c r="CN142" s="34"/>
      <c r="CO142" s="10"/>
      <c r="CP142" s="10"/>
      <c r="CQ142" s="10"/>
      <c r="CS142" s="10"/>
      <c r="CT142" s="43"/>
    </row>
    <row r="143" spans="1:98" ht="15.75" thickBot="1" x14ac:dyDescent="0.3">
      <c r="A143" s="44"/>
      <c r="B143" s="45" t="s">
        <v>155</v>
      </c>
      <c r="C143" s="39" t="s">
        <v>15</v>
      </c>
      <c r="D143" s="39">
        <v>4</v>
      </c>
      <c r="E143" s="39" t="s">
        <v>152</v>
      </c>
      <c r="F143" s="27">
        <v>40</v>
      </c>
      <c r="G143" s="39">
        <v>1023</v>
      </c>
      <c r="H143" s="41" t="s">
        <v>170</v>
      </c>
      <c r="I143" s="27"/>
      <c r="J143" s="44"/>
      <c r="K143" s="45" t="s">
        <v>155</v>
      </c>
      <c r="L143" s="39" t="s">
        <v>15</v>
      </c>
      <c r="M143" s="39">
        <v>4</v>
      </c>
      <c r="N143" s="39" t="s">
        <v>152</v>
      </c>
      <c r="O143" s="27">
        <v>40</v>
      </c>
      <c r="P143" s="39">
        <v>1040</v>
      </c>
      <c r="Q143" s="41" t="s">
        <v>181</v>
      </c>
      <c r="R143" s="27"/>
      <c r="S143" s="44"/>
      <c r="T143" s="45" t="s">
        <v>155</v>
      </c>
      <c r="U143" s="39" t="s">
        <v>15</v>
      </c>
      <c r="V143" s="39">
        <v>4</v>
      </c>
      <c r="W143" s="39" t="s">
        <v>152</v>
      </c>
      <c r="X143" s="27">
        <v>40</v>
      </c>
      <c r="Y143" s="39" t="s">
        <v>270</v>
      </c>
      <c r="Z143" s="41" t="s">
        <v>176</v>
      </c>
      <c r="AA143" s="27"/>
      <c r="AB143" s="44"/>
      <c r="AC143" s="45" t="s">
        <v>155</v>
      </c>
      <c r="AD143" s="39" t="s">
        <v>15</v>
      </c>
      <c r="AE143" s="39">
        <v>4</v>
      </c>
      <c r="AF143" s="39" t="s">
        <v>152</v>
      </c>
      <c r="AG143" s="27">
        <v>40</v>
      </c>
      <c r="AH143" s="39">
        <v>2020</v>
      </c>
      <c r="AI143" s="41" t="s">
        <v>161</v>
      </c>
      <c r="AJ143" s="27"/>
      <c r="AK143" s="44"/>
      <c r="AL143" s="45" t="s">
        <v>155</v>
      </c>
      <c r="AM143" s="39" t="s">
        <v>15</v>
      </c>
      <c r="AN143" s="39">
        <v>4</v>
      </c>
      <c r="AO143" s="39" t="s">
        <v>152</v>
      </c>
      <c r="AP143" s="27">
        <v>40</v>
      </c>
      <c r="AQ143" s="39" t="s">
        <v>77</v>
      </c>
      <c r="AR143" s="41" t="s">
        <v>162</v>
      </c>
      <c r="AS143" s="27"/>
      <c r="AT143" s="44"/>
      <c r="AU143" s="45" t="s">
        <v>155</v>
      </c>
      <c r="AV143" s="39" t="s">
        <v>15</v>
      </c>
      <c r="AW143" s="39">
        <v>4</v>
      </c>
      <c r="AX143" s="39" t="s">
        <v>152</v>
      </c>
      <c r="AY143" s="27">
        <v>40</v>
      </c>
      <c r="AZ143" s="39" t="s">
        <v>275</v>
      </c>
      <c r="BA143" s="41" t="s">
        <v>180</v>
      </c>
      <c r="BB143" s="27"/>
      <c r="BC143" s="44"/>
      <c r="BD143" s="45" t="s">
        <v>155</v>
      </c>
      <c r="BE143" s="39" t="s">
        <v>15</v>
      </c>
      <c r="BF143" s="39">
        <v>4</v>
      </c>
      <c r="BG143" s="39" t="s">
        <v>152</v>
      </c>
      <c r="BH143" s="27">
        <v>40</v>
      </c>
      <c r="BI143" s="39">
        <v>1045</v>
      </c>
      <c r="BJ143" s="41" t="s">
        <v>189</v>
      </c>
      <c r="BK143" s="27"/>
      <c r="BL143" s="44"/>
      <c r="BM143" s="45" t="s">
        <v>155</v>
      </c>
      <c r="BN143" s="39" t="s">
        <v>15</v>
      </c>
      <c r="BO143" s="39">
        <v>4</v>
      </c>
      <c r="BP143" s="39" t="s">
        <v>152</v>
      </c>
      <c r="BQ143" s="27">
        <v>40</v>
      </c>
      <c r="BR143" s="39" t="s">
        <v>276</v>
      </c>
      <c r="BS143" s="41" t="s">
        <v>187</v>
      </c>
      <c r="BT143" s="27"/>
      <c r="BU143" s="44"/>
      <c r="BV143" s="45" t="s">
        <v>155</v>
      </c>
      <c r="BW143" s="39" t="s">
        <v>15</v>
      </c>
      <c r="BX143" s="39">
        <v>4</v>
      </c>
      <c r="BY143" s="39" t="s">
        <v>152</v>
      </c>
      <c r="BZ143" s="27">
        <v>40</v>
      </c>
      <c r="CA143" s="39">
        <v>2027</v>
      </c>
      <c r="CB143" s="41" t="s">
        <v>170</v>
      </c>
      <c r="CD143" s="44"/>
      <c r="CE143" s="45" t="s">
        <v>155</v>
      </c>
      <c r="CF143" s="39" t="s">
        <v>15</v>
      </c>
      <c r="CG143" s="39">
        <v>4</v>
      </c>
      <c r="CH143" s="39" t="s">
        <v>152</v>
      </c>
      <c r="CI143" s="27">
        <v>40</v>
      </c>
      <c r="CJ143" s="39">
        <v>2013</v>
      </c>
      <c r="CK143" s="41" t="s">
        <v>181</v>
      </c>
      <c r="CM143" s="42"/>
      <c r="CN143" s="34"/>
      <c r="CO143" s="10"/>
      <c r="CP143" s="10"/>
      <c r="CQ143" s="10"/>
      <c r="CS143" s="10"/>
      <c r="CT143" s="43"/>
    </row>
    <row r="144" spans="1:98" ht="15.75" thickBot="1" x14ac:dyDescent="0.3">
      <c r="A144" s="44"/>
      <c r="B144" s="45" t="s">
        <v>155</v>
      </c>
      <c r="C144" s="39" t="s">
        <v>15</v>
      </c>
      <c r="D144" s="39">
        <v>5</v>
      </c>
      <c r="E144" s="39" t="s">
        <v>152</v>
      </c>
      <c r="F144" s="27">
        <v>41</v>
      </c>
      <c r="G144" s="39">
        <v>1023</v>
      </c>
      <c r="H144" s="41" t="s">
        <v>178</v>
      </c>
      <c r="I144" s="27"/>
      <c r="J144" s="44"/>
      <c r="K144" s="45" t="s">
        <v>155</v>
      </c>
      <c r="L144" s="39" t="s">
        <v>15</v>
      </c>
      <c r="M144" s="39">
        <v>5</v>
      </c>
      <c r="N144" s="39" t="s">
        <v>152</v>
      </c>
      <c r="O144" s="27">
        <v>41</v>
      </c>
      <c r="P144" s="39">
        <v>1040</v>
      </c>
      <c r="Q144" s="41" t="s">
        <v>183</v>
      </c>
      <c r="R144" s="27"/>
      <c r="S144" s="44"/>
      <c r="T144" s="45" t="s">
        <v>155</v>
      </c>
      <c r="U144" s="39" t="s">
        <v>15</v>
      </c>
      <c r="V144" s="39">
        <v>5</v>
      </c>
      <c r="W144" s="39" t="s">
        <v>152</v>
      </c>
      <c r="X144" s="27">
        <v>41</v>
      </c>
      <c r="Y144" s="39" t="s">
        <v>270</v>
      </c>
      <c r="Z144" s="41" t="s">
        <v>164</v>
      </c>
      <c r="AA144" s="27"/>
      <c r="AB144" s="44"/>
      <c r="AC144" s="45" t="s">
        <v>155</v>
      </c>
      <c r="AD144" s="39" t="s">
        <v>15</v>
      </c>
      <c r="AE144" s="39">
        <v>5</v>
      </c>
      <c r="AF144" s="39" t="s">
        <v>152</v>
      </c>
      <c r="AG144" s="27">
        <v>41</v>
      </c>
      <c r="AH144" s="39">
        <v>2020</v>
      </c>
      <c r="AI144" s="46" t="s">
        <v>169</v>
      </c>
      <c r="AJ144" s="27"/>
      <c r="AK144" s="44"/>
      <c r="AL144" s="45" t="s">
        <v>155</v>
      </c>
      <c r="AM144" s="39" t="s">
        <v>15</v>
      </c>
      <c r="AN144" s="39">
        <v>5</v>
      </c>
      <c r="AO144" s="39" t="s">
        <v>152</v>
      </c>
      <c r="AP144" s="27">
        <v>41</v>
      </c>
      <c r="AQ144" s="39" t="s">
        <v>77</v>
      </c>
      <c r="AR144" s="41" t="s">
        <v>170</v>
      </c>
      <c r="AS144" s="27"/>
      <c r="AT144" s="44"/>
      <c r="AU144" s="45" t="s">
        <v>155</v>
      </c>
      <c r="AV144" s="39" t="s">
        <v>15</v>
      </c>
      <c r="AW144" s="39">
        <v>5</v>
      </c>
      <c r="AX144" s="39" t="s">
        <v>152</v>
      </c>
      <c r="AY144" s="27">
        <v>41</v>
      </c>
      <c r="AZ144" s="39" t="s">
        <v>277</v>
      </c>
      <c r="BA144" s="41" t="s">
        <v>181</v>
      </c>
      <c r="BB144" s="27"/>
      <c r="BC144" s="44"/>
      <c r="BD144" s="45" t="s">
        <v>155</v>
      </c>
      <c r="BE144" s="39" t="s">
        <v>15</v>
      </c>
      <c r="BF144" s="39">
        <v>5</v>
      </c>
      <c r="BG144" s="39" t="s">
        <v>152</v>
      </c>
      <c r="BH144" s="27">
        <v>41</v>
      </c>
      <c r="BI144" s="39">
        <v>1046</v>
      </c>
      <c r="BJ144" s="40" t="s">
        <v>160</v>
      </c>
      <c r="BK144" s="27"/>
      <c r="BL144" s="44"/>
      <c r="BM144" s="45" t="s">
        <v>155</v>
      </c>
      <c r="BN144" s="39" t="s">
        <v>15</v>
      </c>
      <c r="BO144" s="39">
        <v>5</v>
      </c>
      <c r="BP144" s="39" t="s">
        <v>152</v>
      </c>
      <c r="BQ144" s="27">
        <v>41</v>
      </c>
      <c r="BR144" s="39" t="s">
        <v>278</v>
      </c>
      <c r="BS144" s="41" t="s">
        <v>189</v>
      </c>
      <c r="BT144" s="27"/>
      <c r="BU144" s="44"/>
      <c r="BV144" s="45" t="s">
        <v>155</v>
      </c>
      <c r="BW144" s="39" t="s">
        <v>15</v>
      </c>
      <c r="BX144" s="39">
        <v>5</v>
      </c>
      <c r="BY144" s="39" t="s">
        <v>152</v>
      </c>
      <c r="BZ144" s="27">
        <v>41</v>
      </c>
      <c r="CA144" s="39">
        <v>2027</v>
      </c>
      <c r="CB144" s="41" t="s">
        <v>178</v>
      </c>
      <c r="CD144" s="44"/>
      <c r="CE144" s="45" t="s">
        <v>155</v>
      </c>
      <c r="CF144" s="39" t="s">
        <v>15</v>
      </c>
      <c r="CG144" s="39">
        <v>5</v>
      </c>
      <c r="CH144" s="39" t="s">
        <v>152</v>
      </c>
      <c r="CI144" s="27">
        <v>41</v>
      </c>
      <c r="CJ144" s="39">
        <v>2013</v>
      </c>
      <c r="CK144" s="41" t="s">
        <v>183</v>
      </c>
      <c r="CM144" s="42"/>
      <c r="CN144" s="34"/>
      <c r="CO144" s="10"/>
      <c r="CP144" s="10"/>
      <c r="CQ144" s="10"/>
      <c r="CS144" s="10"/>
      <c r="CT144" s="43"/>
    </row>
    <row r="145" spans="1:98" x14ac:dyDescent="0.25">
      <c r="A145" s="44"/>
      <c r="B145" s="45" t="s">
        <v>155</v>
      </c>
      <c r="C145" s="39" t="s">
        <v>15</v>
      </c>
      <c r="D145" s="39">
        <v>6</v>
      </c>
      <c r="E145" s="39" t="s">
        <v>152</v>
      </c>
      <c r="F145" s="27">
        <v>42</v>
      </c>
      <c r="G145" s="39">
        <v>1023</v>
      </c>
      <c r="H145" s="41" t="s">
        <v>163</v>
      </c>
      <c r="I145" s="27"/>
      <c r="J145" s="44"/>
      <c r="K145" s="45" t="s">
        <v>155</v>
      </c>
      <c r="L145" s="39" t="s">
        <v>15</v>
      </c>
      <c r="M145" s="39">
        <v>6</v>
      </c>
      <c r="N145" s="39" t="s">
        <v>152</v>
      </c>
      <c r="O145" s="27">
        <v>42</v>
      </c>
      <c r="P145" s="39">
        <v>1040</v>
      </c>
      <c r="Q145" s="41" t="s">
        <v>186</v>
      </c>
      <c r="R145" s="27"/>
      <c r="S145" s="44"/>
      <c r="T145" s="45" t="s">
        <v>155</v>
      </c>
      <c r="U145" s="39" t="s">
        <v>15</v>
      </c>
      <c r="V145" s="39">
        <v>6</v>
      </c>
      <c r="W145" s="39" t="s">
        <v>152</v>
      </c>
      <c r="X145" s="27">
        <v>42</v>
      </c>
      <c r="Y145" s="39" t="s">
        <v>270</v>
      </c>
      <c r="Z145" s="41" t="s">
        <v>172</v>
      </c>
      <c r="AA145" s="27"/>
      <c r="AB145" s="44"/>
      <c r="AC145" s="45" t="s">
        <v>155</v>
      </c>
      <c r="AD145" s="39" t="s">
        <v>15</v>
      </c>
      <c r="AE145" s="39">
        <v>6</v>
      </c>
      <c r="AF145" s="39" t="s">
        <v>152</v>
      </c>
      <c r="AG145" s="27">
        <v>42</v>
      </c>
      <c r="AH145" s="39">
        <v>2020</v>
      </c>
      <c r="AI145" s="41" t="s">
        <v>177</v>
      </c>
      <c r="AJ145" s="27"/>
      <c r="AK145" s="44"/>
      <c r="AL145" s="45" t="s">
        <v>155</v>
      </c>
      <c r="AM145" s="39" t="s">
        <v>15</v>
      </c>
      <c r="AN145" s="39">
        <v>6</v>
      </c>
      <c r="AO145" s="39" t="s">
        <v>152</v>
      </c>
      <c r="AP145" s="27">
        <v>42</v>
      </c>
      <c r="AQ145" s="39" t="s">
        <v>77</v>
      </c>
      <c r="AR145" s="41" t="s">
        <v>178</v>
      </c>
      <c r="AS145" s="27"/>
      <c r="AT145" s="44"/>
      <c r="AU145" s="45" t="s">
        <v>155</v>
      </c>
      <c r="AV145" s="39" t="s">
        <v>15</v>
      </c>
      <c r="AW145" s="39">
        <v>6</v>
      </c>
      <c r="AX145" s="39" t="s">
        <v>152</v>
      </c>
      <c r="AY145" s="27">
        <v>42</v>
      </c>
      <c r="AZ145" s="39" t="s">
        <v>279</v>
      </c>
      <c r="BA145" s="41" t="s">
        <v>183</v>
      </c>
      <c r="BB145" s="27"/>
      <c r="BC145" s="44"/>
      <c r="BD145" s="45" t="s">
        <v>155</v>
      </c>
      <c r="BE145" s="39" t="s">
        <v>15</v>
      </c>
      <c r="BF145" s="39">
        <v>6</v>
      </c>
      <c r="BG145" s="39" t="s">
        <v>152</v>
      </c>
      <c r="BH145" s="27">
        <v>42</v>
      </c>
      <c r="BI145" s="39">
        <v>1046</v>
      </c>
      <c r="BJ145" s="41" t="s">
        <v>168</v>
      </c>
      <c r="BK145" s="27"/>
      <c r="BL145" s="44"/>
      <c r="BM145" s="45" t="s">
        <v>155</v>
      </c>
      <c r="BN145" s="39" t="s">
        <v>15</v>
      </c>
      <c r="BO145" s="39">
        <v>6</v>
      </c>
      <c r="BP145" s="39" t="s">
        <v>152</v>
      </c>
      <c r="BQ145" s="27">
        <v>42</v>
      </c>
      <c r="BR145" s="39">
        <v>1023</v>
      </c>
      <c r="BS145" s="40" t="s">
        <v>160</v>
      </c>
      <c r="BT145" s="27"/>
      <c r="BU145" s="44"/>
      <c r="BV145" s="45" t="s">
        <v>155</v>
      </c>
      <c r="BW145" s="39" t="s">
        <v>15</v>
      </c>
      <c r="BX145" s="39">
        <v>6</v>
      </c>
      <c r="BY145" s="39" t="s">
        <v>152</v>
      </c>
      <c r="BZ145" s="27">
        <v>42</v>
      </c>
      <c r="CA145" s="39">
        <v>2027</v>
      </c>
      <c r="CB145" s="41" t="s">
        <v>163</v>
      </c>
      <c r="CD145" s="44"/>
      <c r="CE145" s="45" t="s">
        <v>155</v>
      </c>
      <c r="CF145" s="39" t="s">
        <v>15</v>
      </c>
      <c r="CG145" s="39">
        <v>6</v>
      </c>
      <c r="CH145" s="39" t="s">
        <v>152</v>
      </c>
      <c r="CI145" s="27">
        <v>42</v>
      </c>
      <c r="CJ145" s="39">
        <v>2013</v>
      </c>
      <c r="CK145" s="41" t="s">
        <v>186</v>
      </c>
      <c r="CM145" s="42"/>
      <c r="CN145" s="34"/>
      <c r="CO145" s="10"/>
      <c r="CP145" s="10"/>
      <c r="CQ145" s="10"/>
      <c r="CS145" s="10"/>
      <c r="CT145" s="43"/>
    </row>
    <row r="146" spans="1:98" x14ac:dyDescent="0.25">
      <c r="A146" s="44"/>
      <c r="B146" s="45" t="s">
        <v>155</v>
      </c>
      <c r="C146" s="39" t="s">
        <v>15</v>
      </c>
      <c r="D146" s="39">
        <v>7</v>
      </c>
      <c r="E146" s="39" t="s">
        <v>152</v>
      </c>
      <c r="F146" s="27">
        <v>43</v>
      </c>
      <c r="G146" s="39">
        <v>1023</v>
      </c>
      <c r="H146" s="41" t="s">
        <v>171</v>
      </c>
      <c r="I146" s="27"/>
      <c r="J146" s="44"/>
      <c r="K146" s="45" t="s">
        <v>155</v>
      </c>
      <c r="L146" s="39" t="s">
        <v>15</v>
      </c>
      <c r="M146" s="39">
        <v>7</v>
      </c>
      <c r="N146" s="39" t="s">
        <v>152</v>
      </c>
      <c r="O146" s="27">
        <v>43</v>
      </c>
      <c r="P146" s="39">
        <v>1040</v>
      </c>
      <c r="Q146" s="41" t="s">
        <v>188</v>
      </c>
      <c r="R146" s="27"/>
      <c r="S146" s="44"/>
      <c r="T146" s="45" t="s">
        <v>155</v>
      </c>
      <c r="U146" s="39" t="s">
        <v>15</v>
      </c>
      <c r="V146" s="39">
        <v>7</v>
      </c>
      <c r="W146" s="39" t="s">
        <v>152</v>
      </c>
      <c r="X146" s="27">
        <v>43</v>
      </c>
      <c r="Y146" s="39" t="s">
        <v>270</v>
      </c>
      <c r="Z146" s="41" t="s">
        <v>162</v>
      </c>
      <c r="AA146" s="27"/>
      <c r="AB146" s="44"/>
      <c r="AC146" s="45" t="s">
        <v>155</v>
      </c>
      <c r="AD146" s="39" t="s">
        <v>15</v>
      </c>
      <c r="AE146" s="39">
        <v>7</v>
      </c>
      <c r="AF146" s="39" t="s">
        <v>152</v>
      </c>
      <c r="AG146" s="27">
        <v>43</v>
      </c>
      <c r="AH146" s="39">
        <v>2020</v>
      </c>
      <c r="AI146" s="41" t="s">
        <v>180</v>
      </c>
      <c r="AJ146" s="27"/>
      <c r="AK146" s="44"/>
      <c r="AL146" s="45" t="s">
        <v>155</v>
      </c>
      <c r="AM146" s="39" t="s">
        <v>15</v>
      </c>
      <c r="AN146" s="39">
        <v>7</v>
      </c>
      <c r="AO146" s="39" t="s">
        <v>152</v>
      </c>
      <c r="AP146" s="27">
        <v>43</v>
      </c>
      <c r="AQ146" s="39" t="s">
        <v>77</v>
      </c>
      <c r="AR146" s="41" t="s">
        <v>163</v>
      </c>
      <c r="AS146" s="27"/>
      <c r="AT146" s="44"/>
      <c r="AU146" s="45" t="s">
        <v>155</v>
      </c>
      <c r="AV146" s="39" t="s">
        <v>15</v>
      </c>
      <c r="AW146" s="39">
        <v>7</v>
      </c>
      <c r="AX146" s="39" t="s">
        <v>152</v>
      </c>
      <c r="AY146" s="27">
        <v>43</v>
      </c>
      <c r="AZ146" s="39" t="s">
        <v>280</v>
      </c>
      <c r="BA146" s="41" t="s">
        <v>186</v>
      </c>
      <c r="BB146" s="27"/>
      <c r="BC146" s="44"/>
      <c r="BD146" s="45" t="s">
        <v>155</v>
      </c>
      <c r="BE146" s="39" t="s">
        <v>15</v>
      </c>
      <c r="BF146" s="39">
        <v>7</v>
      </c>
      <c r="BG146" s="39" t="s">
        <v>152</v>
      </c>
      <c r="BH146" s="27">
        <v>43</v>
      </c>
      <c r="BI146" s="39">
        <v>1046</v>
      </c>
      <c r="BJ146" s="41" t="s">
        <v>176</v>
      </c>
      <c r="BK146" s="27"/>
      <c r="BL146" s="44"/>
      <c r="BM146" s="45" t="s">
        <v>155</v>
      </c>
      <c r="BN146" s="39" t="s">
        <v>15</v>
      </c>
      <c r="BO146" s="39">
        <v>7</v>
      </c>
      <c r="BP146" s="39" t="s">
        <v>152</v>
      </c>
      <c r="BQ146" s="27">
        <v>43</v>
      </c>
      <c r="BR146" s="39">
        <v>1023</v>
      </c>
      <c r="BS146" s="41" t="s">
        <v>168</v>
      </c>
      <c r="BT146" s="27"/>
      <c r="BU146" s="44"/>
      <c r="BV146" s="45" t="s">
        <v>155</v>
      </c>
      <c r="BW146" s="39" t="s">
        <v>15</v>
      </c>
      <c r="BX146" s="39">
        <v>7</v>
      </c>
      <c r="BY146" s="39" t="s">
        <v>152</v>
      </c>
      <c r="BZ146" s="27">
        <v>43</v>
      </c>
      <c r="CA146" s="39">
        <v>2027</v>
      </c>
      <c r="CB146" s="41" t="s">
        <v>171</v>
      </c>
      <c r="CD146" s="44"/>
      <c r="CE146" s="45" t="s">
        <v>155</v>
      </c>
      <c r="CF146" s="39" t="s">
        <v>15</v>
      </c>
      <c r="CG146" s="39">
        <v>7</v>
      </c>
      <c r="CH146" s="39" t="s">
        <v>152</v>
      </c>
      <c r="CI146" s="27">
        <v>43</v>
      </c>
      <c r="CJ146" s="39">
        <v>2013</v>
      </c>
      <c r="CK146" s="41" t="s">
        <v>188</v>
      </c>
      <c r="CM146" s="42"/>
      <c r="CN146" s="34"/>
      <c r="CO146" s="10"/>
      <c r="CP146" s="10"/>
      <c r="CQ146" s="10"/>
      <c r="CS146" s="10"/>
      <c r="CT146" s="43"/>
    </row>
    <row r="147" spans="1:98" x14ac:dyDescent="0.25">
      <c r="A147" s="44"/>
      <c r="B147" s="45" t="s">
        <v>155</v>
      </c>
      <c r="C147" s="39" t="s">
        <v>15</v>
      </c>
      <c r="D147" s="39">
        <v>8</v>
      </c>
      <c r="E147" s="39" t="s">
        <v>152</v>
      </c>
      <c r="F147" s="27">
        <v>44</v>
      </c>
      <c r="G147" s="39">
        <v>1023</v>
      </c>
      <c r="H147" s="41" t="s">
        <v>161</v>
      </c>
      <c r="I147" s="27"/>
      <c r="J147" s="44"/>
      <c r="K147" s="45" t="s">
        <v>155</v>
      </c>
      <c r="L147" s="39" t="s">
        <v>15</v>
      </c>
      <c r="M147" s="39">
        <v>8</v>
      </c>
      <c r="N147" s="39" t="s">
        <v>152</v>
      </c>
      <c r="O147" s="27">
        <v>44</v>
      </c>
      <c r="P147" s="39">
        <v>1040</v>
      </c>
      <c r="Q147" s="41" t="s">
        <v>182</v>
      </c>
      <c r="R147" s="27"/>
      <c r="S147" s="44"/>
      <c r="T147" s="45" t="s">
        <v>155</v>
      </c>
      <c r="U147" s="39" t="s">
        <v>15</v>
      </c>
      <c r="V147" s="39">
        <v>8</v>
      </c>
      <c r="W147" s="39" t="s">
        <v>152</v>
      </c>
      <c r="X147" s="27">
        <v>44</v>
      </c>
      <c r="Y147" s="39" t="s">
        <v>270</v>
      </c>
      <c r="Z147" s="41" t="s">
        <v>170</v>
      </c>
      <c r="AA147" s="27"/>
      <c r="AB147" s="44"/>
      <c r="AC147" s="45" t="s">
        <v>155</v>
      </c>
      <c r="AD147" s="39" t="s">
        <v>15</v>
      </c>
      <c r="AE147" s="39">
        <v>8</v>
      </c>
      <c r="AF147" s="39" t="s">
        <v>152</v>
      </c>
      <c r="AG147" s="27">
        <v>44</v>
      </c>
      <c r="AH147" s="39">
        <v>2020</v>
      </c>
      <c r="AI147" s="41" t="s">
        <v>181</v>
      </c>
      <c r="AJ147" s="27"/>
      <c r="AK147" s="44"/>
      <c r="AL147" s="45" t="s">
        <v>155</v>
      </c>
      <c r="AM147" s="39" t="s">
        <v>15</v>
      </c>
      <c r="AN147" s="39">
        <v>8</v>
      </c>
      <c r="AO147" s="39" t="s">
        <v>152</v>
      </c>
      <c r="AP147" s="27">
        <v>44</v>
      </c>
      <c r="AQ147" s="39" t="s">
        <v>77</v>
      </c>
      <c r="AR147" s="41" t="s">
        <v>171</v>
      </c>
      <c r="AS147" s="27"/>
      <c r="AT147" s="44"/>
      <c r="AU147" s="45" t="s">
        <v>155</v>
      </c>
      <c r="AV147" s="39" t="s">
        <v>15</v>
      </c>
      <c r="AW147" s="39">
        <v>8</v>
      </c>
      <c r="AX147" s="39" t="s">
        <v>152</v>
      </c>
      <c r="AY147" s="27">
        <v>44</v>
      </c>
      <c r="AZ147" s="39" t="s">
        <v>281</v>
      </c>
      <c r="BA147" s="41" t="s">
        <v>188</v>
      </c>
      <c r="BB147" s="27"/>
      <c r="BC147" s="44"/>
      <c r="BD147" s="45" t="s">
        <v>155</v>
      </c>
      <c r="BE147" s="39" t="s">
        <v>15</v>
      </c>
      <c r="BF147" s="39">
        <v>8</v>
      </c>
      <c r="BG147" s="39" t="s">
        <v>152</v>
      </c>
      <c r="BH147" s="27">
        <v>44</v>
      </c>
      <c r="BI147" s="39">
        <v>1046</v>
      </c>
      <c r="BJ147" s="41" t="s">
        <v>164</v>
      </c>
      <c r="BK147" s="27"/>
      <c r="BL147" s="44"/>
      <c r="BM147" s="45" t="s">
        <v>155</v>
      </c>
      <c r="BN147" s="39" t="s">
        <v>15</v>
      </c>
      <c r="BO147" s="39">
        <v>8</v>
      </c>
      <c r="BP147" s="39" t="s">
        <v>152</v>
      </c>
      <c r="BQ147" s="27">
        <v>44</v>
      </c>
      <c r="BR147" s="39">
        <v>1023</v>
      </c>
      <c r="BS147" s="41" t="s">
        <v>176</v>
      </c>
      <c r="BT147" s="27"/>
      <c r="BU147" s="44"/>
      <c r="BV147" s="45" t="s">
        <v>155</v>
      </c>
      <c r="BW147" s="39" t="s">
        <v>15</v>
      </c>
      <c r="BX147" s="39">
        <v>8</v>
      </c>
      <c r="BY147" s="39" t="s">
        <v>152</v>
      </c>
      <c r="BZ147" s="27">
        <v>44</v>
      </c>
      <c r="CA147" s="39">
        <v>2027</v>
      </c>
      <c r="CB147" s="41" t="s">
        <v>161</v>
      </c>
      <c r="CD147" s="44"/>
      <c r="CE147" s="45" t="s">
        <v>155</v>
      </c>
      <c r="CF147" s="39" t="s">
        <v>15</v>
      </c>
      <c r="CG147" s="39">
        <v>8</v>
      </c>
      <c r="CH147" s="39" t="s">
        <v>152</v>
      </c>
      <c r="CI147" s="27">
        <v>44</v>
      </c>
      <c r="CJ147" s="39">
        <v>2013</v>
      </c>
      <c r="CK147" s="41" t="s">
        <v>182</v>
      </c>
      <c r="CM147" s="42"/>
      <c r="CN147" s="34"/>
      <c r="CO147" s="10"/>
      <c r="CP147" s="10"/>
      <c r="CQ147" s="10"/>
      <c r="CS147" s="10"/>
      <c r="CT147" s="43"/>
    </row>
    <row r="148" spans="1:98" x14ac:dyDescent="0.25">
      <c r="A148" s="44"/>
      <c r="B148" s="45" t="s">
        <v>155</v>
      </c>
      <c r="C148" s="39" t="s">
        <v>15</v>
      </c>
      <c r="D148" s="39">
        <v>9</v>
      </c>
      <c r="E148" s="39" t="s">
        <v>152</v>
      </c>
      <c r="F148" s="27">
        <v>45</v>
      </c>
      <c r="G148" s="39">
        <v>1023</v>
      </c>
      <c r="H148" s="46" t="s">
        <v>169</v>
      </c>
      <c r="I148" s="27"/>
      <c r="J148" s="44"/>
      <c r="K148" s="45" t="s">
        <v>155</v>
      </c>
      <c r="L148" s="39" t="s">
        <v>15</v>
      </c>
      <c r="M148" s="39">
        <v>9</v>
      </c>
      <c r="N148" s="39" t="s">
        <v>152</v>
      </c>
      <c r="O148" s="27">
        <v>45</v>
      </c>
      <c r="P148" s="39">
        <v>1040</v>
      </c>
      <c r="Q148" s="41" t="s">
        <v>184</v>
      </c>
      <c r="R148" s="27"/>
      <c r="S148" s="44"/>
      <c r="T148" s="45" t="s">
        <v>155</v>
      </c>
      <c r="U148" s="39" t="s">
        <v>15</v>
      </c>
      <c r="V148" s="39">
        <v>9</v>
      </c>
      <c r="W148" s="39" t="s">
        <v>152</v>
      </c>
      <c r="X148" s="27">
        <v>45</v>
      </c>
      <c r="Y148" s="39" t="s">
        <v>270</v>
      </c>
      <c r="Z148" s="41" t="s">
        <v>178</v>
      </c>
      <c r="AA148" s="27"/>
      <c r="AB148" s="44"/>
      <c r="AC148" s="45" t="s">
        <v>155</v>
      </c>
      <c r="AD148" s="39" t="s">
        <v>15</v>
      </c>
      <c r="AE148" s="39">
        <v>9</v>
      </c>
      <c r="AF148" s="39" t="s">
        <v>152</v>
      </c>
      <c r="AG148" s="27">
        <v>45</v>
      </c>
      <c r="AH148" s="39">
        <v>2020</v>
      </c>
      <c r="AI148" s="41" t="s">
        <v>183</v>
      </c>
      <c r="AJ148" s="27"/>
      <c r="AK148" s="44"/>
      <c r="AL148" s="45" t="s">
        <v>155</v>
      </c>
      <c r="AM148" s="39" t="s">
        <v>15</v>
      </c>
      <c r="AN148" s="39">
        <v>9</v>
      </c>
      <c r="AO148" s="39" t="s">
        <v>152</v>
      </c>
      <c r="AP148" s="27">
        <v>45</v>
      </c>
      <c r="AQ148" s="39" t="s">
        <v>77</v>
      </c>
      <c r="AR148" s="41" t="s">
        <v>161</v>
      </c>
      <c r="AS148" s="27"/>
      <c r="AT148" s="44"/>
      <c r="AU148" s="45" t="s">
        <v>155</v>
      </c>
      <c r="AV148" s="39" t="s">
        <v>15</v>
      </c>
      <c r="AW148" s="39">
        <v>9</v>
      </c>
      <c r="AX148" s="39" t="s">
        <v>152</v>
      </c>
      <c r="AY148" s="27">
        <v>45</v>
      </c>
      <c r="AZ148" s="39" t="s">
        <v>282</v>
      </c>
      <c r="BA148" s="41" t="s">
        <v>182</v>
      </c>
      <c r="BB148" s="27"/>
      <c r="BC148" s="44"/>
      <c r="BD148" s="45" t="s">
        <v>155</v>
      </c>
      <c r="BE148" s="39" t="s">
        <v>15</v>
      </c>
      <c r="BF148" s="39">
        <v>9</v>
      </c>
      <c r="BG148" s="39" t="s">
        <v>152</v>
      </c>
      <c r="BH148" s="27">
        <v>45</v>
      </c>
      <c r="BI148" s="39">
        <v>1046</v>
      </c>
      <c r="BJ148" s="41" t="s">
        <v>172</v>
      </c>
      <c r="BK148" s="27"/>
      <c r="BL148" s="44"/>
      <c r="BM148" s="45" t="s">
        <v>155</v>
      </c>
      <c r="BN148" s="39" t="s">
        <v>15</v>
      </c>
      <c r="BO148" s="39">
        <v>9</v>
      </c>
      <c r="BP148" s="39" t="s">
        <v>152</v>
      </c>
      <c r="BQ148" s="27">
        <v>45</v>
      </c>
      <c r="BR148" s="39">
        <v>1023</v>
      </c>
      <c r="BS148" s="41" t="s">
        <v>164</v>
      </c>
      <c r="BT148" s="27"/>
      <c r="BU148" s="44"/>
      <c r="BV148" s="45" t="s">
        <v>155</v>
      </c>
      <c r="BW148" s="39" t="s">
        <v>15</v>
      </c>
      <c r="BX148" s="39">
        <v>9</v>
      </c>
      <c r="BY148" s="39" t="s">
        <v>152</v>
      </c>
      <c r="BZ148" s="27">
        <v>45</v>
      </c>
      <c r="CA148" s="39">
        <v>2027</v>
      </c>
      <c r="CB148" s="46" t="s">
        <v>169</v>
      </c>
      <c r="CD148" s="44"/>
      <c r="CE148" s="45" t="s">
        <v>155</v>
      </c>
      <c r="CF148" s="39" t="s">
        <v>15</v>
      </c>
      <c r="CG148" s="39">
        <v>9</v>
      </c>
      <c r="CH148" s="39" t="s">
        <v>152</v>
      </c>
      <c r="CI148" s="27">
        <v>45</v>
      </c>
      <c r="CJ148" s="39">
        <v>2013</v>
      </c>
      <c r="CK148" s="41" t="s">
        <v>184</v>
      </c>
      <c r="CM148" s="42"/>
      <c r="CN148" s="34"/>
      <c r="CO148" s="10"/>
      <c r="CP148" s="10"/>
      <c r="CQ148" s="10"/>
      <c r="CS148" s="10"/>
      <c r="CT148" s="51"/>
    </row>
    <row r="149" spans="1:98" x14ac:dyDescent="0.25">
      <c r="A149" s="44"/>
      <c r="B149" s="45" t="s">
        <v>155</v>
      </c>
      <c r="C149" s="39" t="s">
        <v>15</v>
      </c>
      <c r="D149" s="39">
        <v>10</v>
      </c>
      <c r="E149" s="39" t="s">
        <v>152</v>
      </c>
      <c r="F149" s="27">
        <v>46</v>
      </c>
      <c r="G149" s="39">
        <v>1023</v>
      </c>
      <c r="H149" s="41" t="s">
        <v>177</v>
      </c>
      <c r="I149" s="27"/>
      <c r="J149" s="44"/>
      <c r="K149" s="45" t="s">
        <v>155</v>
      </c>
      <c r="L149" s="39" t="s">
        <v>15</v>
      </c>
      <c r="M149" s="39">
        <v>10</v>
      </c>
      <c r="N149" s="39" t="s">
        <v>152</v>
      </c>
      <c r="O149" s="27">
        <v>46</v>
      </c>
      <c r="P149" s="39">
        <v>1040</v>
      </c>
      <c r="Q149" s="41" t="s">
        <v>187</v>
      </c>
      <c r="R149" s="27"/>
      <c r="S149" s="44"/>
      <c r="T149" s="45" t="s">
        <v>155</v>
      </c>
      <c r="U149" s="39" t="s">
        <v>15</v>
      </c>
      <c r="V149" s="39">
        <v>10</v>
      </c>
      <c r="W149" s="39" t="s">
        <v>152</v>
      </c>
      <c r="X149" s="27">
        <v>46</v>
      </c>
      <c r="Y149" s="39" t="s">
        <v>270</v>
      </c>
      <c r="Z149" s="41" t="s">
        <v>163</v>
      </c>
      <c r="AA149" s="27"/>
      <c r="AB149" s="44"/>
      <c r="AC149" s="45" t="s">
        <v>155</v>
      </c>
      <c r="AD149" s="39" t="s">
        <v>15</v>
      </c>
      <c r="AE149" s="39">
        <v>10</v>
      </c>
      <c r="AF149" s="39" t="s">
        <v>152</v>
      </c>
      <c r="AG149" s="27">
        <v>46</v>
      </c>
      <c r="AH149" s="39">
        <v>2020</v>
      </c>
      <c r="AI149" s="41" t="s">
        <v>186</v>
      </c>
      <c r="AJ149" s="27"/>
      <c r="AK149" s="44"/>
      <c r="AL149" s="45" t="s">
        <v>155</v>
      </c>
      <c r="AM149" s="39" t="s">
        <v>15</v>
      </c>
      <c r="AN149" s="39">
        <v>10</v>
      </c>
      <c r="AO149" s="39" t="s">
        <v>152</v>
      </c>
      <c r="AP149" s="27">
        <v>46</v>
      </c>
      <c r="AQ149" s="39" t="s">
        <v>77</v>
      </c>
      <c r="AR149" s="46" t="s">
        <v>169</v>
      </c>
      <c r="AS149" s="27"/>
      <c r="AT149" s="44"/>
      <c r="AU149" s="45" t="s">
        <v>155</v>
      </c>
      <c r="AV149" s="39" t="s">
        <v>15</v>
      </c>
      <c r="AW149" s="39">
        <v>10</v>
      </c>
      <c r="AX149" s="39" t="s">
        <v>152</v>
      </c>
      <c r="AY149" s="27">
        <v>46</v>
      </c>
      <c r="AZ149" s="39" t="s">
        <v>283</v>
      </c>
      <c r="BA149" s="41" t="s">
        <v>184</v>
      </c>
      <c r="BB149" s="27"/>
      <c r="BC149" s="44"/>
      <c r="BD149" s="45" t="s">
        <v>155</v>
      </c>
      <c r="BE149" s="39" t="s">
        <v>15</v>
      </c>
      <c r="BF149" s="39">
        <v>10</v>
      </c>
      <c r="BG149" s="39" t="s">
        <v>152</v>
      </c>
      <c r="BH149" s="27">
        <v>46</v>
      </c>
      <c r="BI149" s="39">
        <v>1046</v>
      </c>
      <c r="BJ149" s="41" t="s">
        <v>162</v>
      </c>
      <c r="BK149" s="27"/>
      <c r="BL149" s="44"/>
      <c r="BM149" s="45" t="s">
        <v>155</v>
      </c>
      <c r="BN149" s="39" t="s">
        <v>15</v>
      </c>
      <c r="BO149" s="39">
        <v>10</v>
      </c>
      <c r="BP149" s="39" t="s">
        <v>152</v>
      </c>
      <c r="BQ149" s="27">
        <v>46</v>
      </c>
      <c r="BR149" s="39">
        <v>1023</v>
      </c>
      <c r="BS149" s="41" t="s">
        <v>172</v>
      </c>
      <c r="BT149" s="27"/>
      <c r="BU149" s="44"/>
      <c r="BV149" s="45" t="s">
        <v>155</v>
      </c>
      <c r="BW149" s="39" t="s">
        <v>15</v>
      </c>
      <c r="BX149" s="39">
        <v>10</v>
      </c>
      <c r="BY149" s="39" t="s">
        <v>152</v>
      </c>
      <c r="BZ149" s="27">
        <v>46</v>
      </c>
      <c r="CA149" s="39">
        <v>2027</v>
      </c>
      <c r="CB149" s="41" t="s">
        <v>177</v>
      </c>
      <c r="CD149" s="44"/>
      <c r="CE149" s="45" t="s">
        <v>155</v>
      </c>
      <c r="CF149" s="39" t="s">
        <v>15</v>
      </c>
      <c r="CG149" s="39">
        <v>10</v>
      </c>
      <c r="CH149" s="39" t="s">
        <v>152</v>
      </c>
      <c r="CI149" s="27">
        <v>46</v>
      </c>
      <c r="CJ149" s="39">
        <v>2013</v>
      </c>
      <c r="CK149" s="41" t="s">
        <v>187</v>
      </c>
      <c r="CM149" s="42"/>
      <c r="CN149" s="34"/>
      <c r="CO149" s="10"/>
      <c r="CP149" s="10"/>
      <c r="CQ149" s="10"/>
      <c r="CS149" s="10"/>
      <c r="CT149" s="43"/>
    </row>
    <row r="150" spans="1:98" ht="15.75" thickBot="1" x14ac:dyDescent="0.3">
      <c r="A150" s="44"/>
      <c r="B150" s="45" t="s">
        <v>155</v>
      </c>
      <c r="C150" s="39" t="s">
        <v>15</v>
      </c>
      <c r="D150" s="39">
        <v>11</v>
      </c>
      <c r="E150" s="39" t="s">
        <v>152</v>
      </c>
      <c r="F150" s="27">
        <v>47</v>
      </c>
      <c r="G150" s="39">
        <v>1023</v>
      </c>
      <c r="H150" s="41" t="s">
        <v>180</v>
      </c>
      <c r="I150" s="27"/>
      <c r="J150" s="44"/>
      <c r="K150" s="45" t="s">
        <v>155</v>
      </c>
      <c r="L150" s="39" t="s">
        <v>15</v>
      </c>
      <c r="M150" s="39">
        <v>11</v>
      </c>
      <c r="N150" s="39" t="s">
        <v>152</v>
      </c>
      <c r="O150" s="27">
        <v>47</v>
      </c>
      <c r="P150" s="39">
        <v>1040</v>
      </c>
      <c r="Q150" s="41" t="s">
        <v>189</v>
      </c>
      <c r="R150" s="27"/>
      <c r="S150" s="44"/>
      <c r="T150" s="45" t="s">
        <v>155</v>
      </c>
      <c r="U150" s="39" t="s">
        <v>15</v>
      </c>
      <c r="V150" s="39">
        <v>11</v>
      </c>
      <c r="W150" s="39" t="s">
        <v>152</v>
      </c>
      <c r="X150" s="27">
        <v>47</v>
      </c>
      <c r="Y150" s="39" t="s">
        <v>270</v>
      </c>
      <c r="Z150" s="41" t="s">
        <v>171</v>
      </c>
      <c r="AA150" s="27"/>
      <c r="AB150" s="44"/>
      <c r="AC150" s="45" t="s">
        <v>155</v>
      </c>
      <c r="AD150" s="39" t="s">
        <v>15</v>
      </c>
      <c r="AE150" s="39">
        <v>11</v>
      </c>
      <c r="AF150" s="39" t="s">
        <v>152</v>
      </c>
      <c r="AG150" s="27">
        <v>47</v>
      </c>
      <c r="AH150" s="39">
        <v>2020</v>
      </c>
      <c r="AI150" s="41" t="s">
        <v>188</v>
      </c>
      <c r="AJ150" s="27"/>
      <c r="AK150" s="44"/>
      <c r="AL150" s="45" t="s">
        <v>155</v>
      </c>
      <c r="AM150" s="39" t="s">
        <v>15</v>
      </c>
      <c r="AN150" s="39">
        <v>11</v>
      </c>
      <c r="AO150" s="39" t="s">
        <v>152</v>
      </c>
      <c r="AP150" s="27">
        <v>47</v>
      </c>
      <c r="AQ150" s="39" t="s">
        <v>77</v>
      </c>
      <c r="AR150" s="41" t="s">
        <v>177</v>
      </c>
      <c r="AS150" s="27"/>
      <c r="AT150" s="44"/>
      <c r="AU150" s="45" t="s">
        <v>155</v>
      </c>
      <c r="AV150" s="39" t="s">
        <v>15</v>
      </c>
      <c r="AW150" s="39">
        <v>11</v>
      </c>
      <c r="AX150" s="39" t="s">
        <v>152</v>
      </c>
      <c r="AY150" s="27">
        <v>47</v>
      </c>
      <c r="AZ150" s="39" t="s">
        <v>284</v>
      </c>
      <c r="BA150" s="41" t="s">
        <v>187</v>
      </c>
      <c r="BB150" s="27"/>
      <c r="BC150" s="44"/>
      <c r="BD150" s="45" t="s">
        <v>155</v>
      </c>
      <c r="BE150" s="39" t="s">
        <v>15</v>
      </c>
      <c r="BF150" s="39">
        <v>11</v>
      </c>
      <c r="BG150" s="39" t="s">
        <v>152</v>
      </c>
      <c r="BH150" s="27">
        <v>47</v>
      </c>
      <c r="BI150" s="39">
        <v>1046</v>
      </c>
      <c r="BJ150" s="41" t="s">
        <v>170</v>
      </c>
      <c r="BK150" s="27"/>
      <c r="BL150" s="44"/>
      <c r="BM150" s="45" t="s">
        <v>155</v>
      </c>
      <c r="BN150" s="39" t="s">
        <v>15</v>
      </c>
      <c r="BO150" s="39">
        <v>11</v>
      </c>
      <c r="BP150" s="39" t="s">
        <v>152</v>
      </c>
      <c r="BQ150" s="27">
        <v>47</v>
      </c>
      <c r="BR150" s="39">
        <v>1023</v>
      </c>
      <c r="BS150" s="41" t="s">
        <v>162</v>
      </c>
      <c r="BT150" s="27"/>
      <c r="BU150" s="44"/>
      <c r="BV150" s="45" t="s">
        <v>155</v>
      </c>
      <c r="BW150" s="39" t="s">
        <v>15</v>
      </c>
      <c r="BX150" s="39">
        <v>11</v>
      </c>
      <c r="BY150" s="39" t="s">
        <v>152</v>
      </c>
      <c r="BZ150" s="27">
        <v>47</v>
      </c>
      <c r="CA150" s="39">
        <v>2027</v>
      </c>
      <c r="CB150" s="41" t="s">
        <v>180</v>
      </c>
      <c r="CD150" s="44"/>
      <c r="CE150" s="45" t="s">
        <v>155</v>
      </c>
      <c r="CF150" s="39" t="s">
        <v>15</v>
      </c>
      <c r="CG150" s="39">
        <v>11</v>
      </c>
      <c r="CH150" s="39" t="s">
        <v>152</v>
      </c>
      <c r="CI150" s="27">
        <v>47</v>
      </c>
      <c r="CJ150" s="39">
        <v>2013</v>
      </c>
      <c r="CK150" s="41" t="s">
        <v>189</v>
      </c>
      <c r="CM150" s="42"/>
      <c r="CN150" s="34"/>
      <c r="CO150" s="10"/>
      <c r="CP150" s="10"/>
      <c r="CQ150" s="10"/>
      <c r="CS150" s="10"/>
      <c r="CT150" s="43"/>
    </row>
    <row r="151" spans="1:98" ht="15.75" thickBot="1" x14ac:dyDescent="0.3">
      <c r="A151" s="52"/>
      <c r="B151" s="53" t="s">
        <v>155</v>
      </c>
      <c r="C151" s="54" t="s">
        <v>15</v>
      </c>
      <c r="D151" s="54">
        <v>12</v>
      </c>
      <c r="E151" s="54" t="s">
        <v>152</v>
      </c>
      <c r="F151" s="55">
        <v>48</v>
      </c>
      <c r="G151" s="39">
        <v>1023</v>
      </c>
      <c r="H151" s="41" t="s">
        <v>181</v>
      </c>
      <c r="I151" s="27"/>
      <c r="J151" s="52"/>
      <c r="K151" s="53" t="s">
        <v>155</v>
      </c>
      <c r="L151" s="54" t="s">
        <v>15</v>
      </c>
      <c r="M151" s="54">
        <v>12</v>
      </c>
      <c r="N151" s="54" t="s">
        <v>152</v>
      </c>
      <c r="O151" s="55">
        <v>48</v>
      </c>
      <c r="P151" s="39" t="s">
        <v>56</v>
      </c>
      <c r="Q151" s="40" t="s">
        <v>160</v>
      </c>
      <c r="R151" s="27"/>
      <c r="S151" s="52"/>
      <c r="T151" s="53" t="s">
        <v>155</v>
      </c>
      <c r="U151" s="54" t="s">
        <v>15</v>
      </c>
      <c r="V151" s="54">
        <v>12</v>
      </c>
      <c r="W151" s="54" t="s">
        <v>152</v>
      </c>
      <c r="X151" s="55">
        <v>48</v>
      </c>
      <c r="Y151" s="39" t="s">
        <v>270</v>
      </c>
      <c r="Z151" s="41" t="s">
        <v>161</v>
      </c>
      <c r="AA151" s="27"/>
      <c r="AB151" s="52"/>
      <c r="AC151" s="53" t="s">
        <v>155</v>
      </c>
      <c r="AD151" s="54" t="s">
        <v>15</v>
      </c>
      <c r="AE151" s="54">
        <v>12</v>
      </c>
      <c r="AF151" s="54" t="s">
        <v>152</v>
      </c>
      <c r="AG151" s="55">
        <v>48</v>
      </c>
      <c r="AH151" s="39">
        <v>2020</v>
      </c>
      <c r="AI151" s="41" t="s">
        <v>182</v>
      </c>
      <c r="AJ151" s="27"/>
      <c r="AK151" s="52"/>
      <c r="AL151" s="53" t="s">
        <v>155</v>
      </c>
      <c r="AM151" s="54" t="s">
        <v>15</v>
      </c>
      <c r="AN151" s="54">
        <v>12</v>
      </c>
      <c r="AO151" s="54" t="s">
        <v>152</v>
      </c>
      <c r="AP151" s="55">
        <v>48</v>
      </c>
      <c r="AQ151" s="39" t="s">
        <v>77</v>
      </c>
      <c r="AR151" s="41" t="s">
        <v>180</v>
      </c>
      <c r="AS151" s="27"/>
      <c r="AT151" s="52"/>
      <c r="AU151" s="53" t="s">
        <v>155</v>
      </c>
      <c r="AV151" s="54" t="s">
        <v>15</v>
      </c>
      <c r="AW151" s="54">
        <v>12</v>
      </c>
      <c r="AX151" s="54" t="s">
        <v>152</v>
      </c>
      <c r="AY151" s="55">
        <v>48</v>
      </c>
      <c r="AZ151" s="39" t="s">
        <v>285</v>
      </c>
      <c r="BA151" s="41" t="s">
        <v>189</v>
      </c>
      <c r="BB151" s="27"/>
      <c r="BC151" s="52"/>
      <c r="BD151" s="53" t="s">
        <v>155</v>
      </c>
      <c r="BE151" s="54" t="s">
        <v>15</v>
      </c>
      <c r="BF151" s="54">
        <v>12</v>
      </c>
      <c r="BG151" s="54" t="s">
        <v>152</v>
      </c>
      <c r="BH151" s="55">
        <v>48</v>
      </c>
      <c r="BI151" s="39">
        <v>1046</v>
      </c>
      <c r="BJ151" s="41" t="s">
        <v>178</v>
      </c>
      <c r="BK151" s="27"/>
      <c r="BL151" s="52"/>
      <c r="BM151" s="53" t="s">
        <v>155</v>
      </c>
      <c r="BN151" s="54" t="s">
        <v>15</v>
      </c>
      <c r="BO151" s="54">
        <v>12</v>
      </c>
      <c r="BP151" s="54" t="s">
        <v>152</v>
      </c>
      <c r="BQ151" s="55">
        <v>48</v>
      </c>
      <c r="BR151" s="39">
        <v>1023</v>
      </c>
      <c r="BS151" s="41" t="s">
        <v>170</v>
      </c>
      <c r="BT151" s="27"/>
      <c r="BU151" s="52"/>
      <c r="BV151" s="53" t="s">
        <v>155</v>
      </c>
      <c r="BW151" s="54" t="s">
        <v>15</v>
      </c>
      <c r="BX151" s="54">
        <v>12</v>
      </c>
      <c r="BY151" s="54" t="s">
        <v>152</v>
      </c>
      <c r="BZ151" s="55">
        <v>48</v>
      </c>
      <c r="CA151" s="39">
        <v>2027</v>
      </c>
      <c r="CB151" s="41" t="s">
        <v>181</v>
      </c>
      <c r="CD151" s="52"/>
      <c r="CE151" s="53" t="s">
        <v>155</v>
      </c>
      <c r="CF151" s="54" t="s">
        <v>15</v>
      </c>
      <c r="CG151" s="54">
        <v>12</v>
      </c>
      <c r="CH151" s="54" t="s">
        <v>152</v>
      </c>
      <c r="CI151" s="55">
        <v>48</v>
      </c>
      <c r="CJ151" s="39">
        <v>2022</v>
      </c>
      <c r="CK151" s="41" t="s">
        <v>160</v>
      </c>
      <c r="CM151" s="47"/>
      <c r="CN151" s="48"/>
      <c r="CO151" s="49"/>
      <c r="CP151" s="49"/>
      <c r="CQ151" s="49"/>
      <c r="CR151" s="50"/>
      <c r="CS151" s="10"/>
      <c r="CT151" s="43"/>
    </row>
    <row r="152" spans="1:98" x14ac:dyDescent="0.25">
      <c r="A152" s="60"/>
      <c r="B152" s="36" t="s">
        <v>155</v>
      </c>
      <c r="C152" s="61" t="s">
        <v>18</v>
      </c>
      <c r="D152" s="61">
        <v>1</v>
      </c>
      <c r="E152" s="61" t="s">
        <v>152</v>
      </c>
      <c r="F152" s="62">
        <v>49</v>
      </c>
      <c r="G152" s="39">
        <v>1023</v>
      </c>
      <c r="H152" s="41" t="s">
        <v>183</v>
      </c>
      <c r="I152" s="27"/>
      <c r="J152" s="60"/>
      <c r="K152" s="36" t="s">
        <v>155</v>
      </c>
      <c r="L152" s="61" t="s">
        <v>18</v>
      </c>
      <c r="M152" s="61">
        <v>1</v>
      </c>
      <c r="N152" s="61" t="s">
        <v>152</v>
      </c>
      <c r="O152" s="62">
        <v>49</v>
      </c>
      <c r="P152" s="39" t="s">
        <v>56</v>
      </c>
      <c r="Q152" s="41" t="s">
        <v>168</v>
      </c>
      <c r="R152" s="27"/>
      <c r="S152" s="60"/>
      <c r="T152" s="36" t="s">
        <v>155</v>
      </c>
      <c r="U152" s="61" t="s">
        <v>18</v>
      </c>
      <c r="V152" s="61">
        <v>1</v>
      </c>
      <c r="W152" s="61" t="s">
        <v>152</v>
      </c>
      <c r="X152" s="62">
        <v>49</v>
      </c>
      <c r="Y152" s="39" t="s">
        <v>270</v>
      </c>
      <c r="Z152" s="46" t="s">
        <v>169</v>
      </c>
      <c r="AA152" s="27"/>
      <c r="AB152" s="60"/>
      <c r="AC152" s="36" t="s">
        <v>155</v>
      </c>
      <c r="AD152" s="61" t="s">
        <v>18</v>
      </c>
      <c r="AE152" s="61">
        <v>1</v>
      </c>
      <c r="AF152" s="61" t="s">
        <v>152</v>
      </c>
      <c r="AG152" s="62">
        <v>49</v>
      </c>
      <c r="AH152" s="39">
        <v>2020</v>
      </c>
      <c r="AI152" s="41" t="s">
        <v>184</v>
      </c>
      <c r="AJ152" s="27"/>
      <c r="AK152" s="60"/>
      <c r="AL152" s="36" t="s">
        <v>155</v>
      </c>
      <c r="AM152" s="61" t="s">
        <v>18</v>
      </c>
      <c r="AN152" s="61">
        <v>1</v>
      </c>
      <c r="AO152" s="61" t="s">
        <v>152</v>
      </c>
      <c r="AP152" s="62">
        <v>49</v>
      </c>
      <c r="AQ152" s="39" t="s">
        <v>77</v>
      </c>
      <c r="AR152" s="41" t="s">
        <v>181</v>
      </c>
      <c r="AS152" s="27"/>
      <c r="AT152" s="60"/>
      <c r="AU152" s="36" t="s">
        <v>155</v>
      </c>
      <c r="AV152" s="61" t="s">
        <v>18</v>
      </c>
      <c r="AW152" s="61">
        <v>1</v>
      </c>
      <c r="AX152" s="61" t="s">
        <v>152</v>
      </c>
      <c r="AY152" s="62">
        <v>49</v>
      </c>
      <c r="AZ152" s="39">
        <v>1044</v>
      </c>
      <c r="BA152" s="40" t="s">
        <v>160</v>
      </c>
      <c r="BB152" s="27"/>
      <c r="BC152" s="60"/>
      <c r="BD152" s="36" t="s">
        <v>155</v>
      </c>
      <c r="BE152" s="61" t="s">
        <v>18</v>
      </c>
      <c r="BF152" s="61">
        <v>1</v>
      </c>
      <c r="BG152" s="61" t="s">
        <v>152</v>
      </c>
      <c r="BH152" s="62">
        <v>49</v>
      </c>
      <c r="BI152" s="39">
        <v>1046</v>
      </c>
      <c r="BJ152" s="41" t="s">
        <v>163</v>
      </c>
      <c r="BK152" s="27"/>
      <c r="BL152" s="60"/>
      <c r="BM152" s="36" t="s">
        <v>155</v>
      </c>
      <c r="BN152" s="61" t="s">
        <v>18</v>
      </c>
      <c r="BO152" s="61">
        <v>1</v>
      </c>
      <c r="BP152" s="61" t="s">
        <v>152</v>
      </c>
      <c r="BQ152" s="62">
        <v>49</v>
      </c>
      <c r="BR152" s="39">
        <v>1023</v>
      </c>
      <c r="BS152" s="41" t="s">
        <v>178</v>
      </c>
      <c r="BT152" s="27"/>
      <c r="BU152" s="60"/>
      <c r="BV152" s="36" t="s">
        <v>155</v>
      </c>
      <c r="BW152" s="61" t="s">
        <v>18</v>
      </c>
      <c r="BX152" s="61">
        <v>1</v>
      </c>
      <c r="BY152" s="61" t="s">
        <v>152</v>
      </c>
      <c r="BZ152" s="62">
        <v>49</v>
      </c>
      <c r="CA152" s="39">
        <v>2027</v>
      </c>
      <c r="CB152" s="41" t="s">
        <v>183</v>
      </c>
      <c r="CD152" s="60"/>
      <c r="CE152" s="36" t="s">
        <v>155</v>
      </c>
      <c r="CF152" s="61" t="s">
        <v>18</v>
      </c>
      <c r="CG152" s="61">
        <v>1</v>
      </c>
      <c r="CH152" s="61" t="s">
        <v>152</v>
      </c>
      <c r="CI152" s="62">
        <v>49</v>
      </c>
      <c r="CJ152" s="39">
        <v>2022</v>
      </c>
      <c r="CK152" s="41" t="s">
        <v>168</v>
      </c>
      <c r="CM152" s="56"/>
      <c r="CN152" s="31"/>
      <c r="CO152" s="58"/>
      <c r="CP152" s="58"/>
      <c r="CQ152" s="58"/>
      <c r="CR152" s="59"/>
      <c r="CS152" s="10"/>
      <c r="CT152" s="43"/>
    </row>
    <row r="153" spans="1:98" x14ac:dyDescent="0.25">
      <c r="A153" s="44"/>
      <c r="B153" s="45" t="s">
        <v>155</v>
      </c>
      <c r="C153" s="39" t="s">
        <v>18</v>
      </c>
      <c r="D153" s="39">
        <v>2</v>
      </c>
      <c r="E153" s="39" t="s">
        <v>152</v>
      </c>
      <c r="F153" s="27">
        <v>50</v>
      </c>
      <c r="G153" s="39">
        <v>1023</v>
      </c>
      <c r="H153" s="41" t="s">
        <v>186</v>
      </c>
      <c r="I153" s="27"/>
      <c r="J153" s="44"/>
      <c r="K153" s="45" t="s">
        <v>155</v>
      </c>
      <c r="L153" s="39" t="s">
        <v>18</v>
      </c>
      <c r="M153" s="39">
        <v>2</v>
      </c>
      <c r="N153" s="39" t="s">
        <v>152</v>
      </c>
      <c r="O153" s="27">
        <v>50</v>
      </c>
      <c r="P153" s="39" t="s">
        <v>56</v>
      </c>
      <c r="Q153" s="41" t="s">
        <v>176</v>
      </c>
      <c r="R153" s="27"/>
      <c r="S153" s="44"/>
      <c r="T153" s="45" t="s">
        <v>155</v>
      </c>
      <c r="U153" s="39" t="s">
        <v>18</v>
      </c>
      <c r="V153" s="39">
        <v>2</v>
      </c>
      <c r="W153" s="39" t="s">
        <v>152</v>
      </c>
      <c r="X153" s="27">
        <v>50</v>
      </c>
      <c r="Y153" s="39" t="s">
        <v>270</v>
      </c>
      <c r="Z153" s="41" t="s">
        <v>177</v>
      </c>
      <c r="AA153" s="27"/>
      <c r="AB153" s="44"/>
      <c r="AC153" s="45" t="s">
        <v>155</v>
      </c>
      <c r="AD153" s="39" t="s">
        <v>18</v>
      </c>
      <c r="AE153" s="39">
        <v>2</v>
      </c>
      <c r="AF153" s="39" t="s">
        <v>152</v>
      </c>
      <c r="AG153" s="27">
        <v>50</v>
      </c>
      <c r="AH153" s="39">
        <v>2020</v>
      </c>
      <c r="AI153" s="41" t="s">
        <v>187</v>
      </c>
      <c r="AJ153" s="27"/>
      <c r="AK153" s="44"/>
      <c r="AL153" s="45" t="s">
        <v>155</v>
      </c>
      <c r="AM153" s="39" t="s">
        <v>18</v>
      </c>
      <c r="AN153" s="39">
        <v>2</v>
      </c>
      <c r="AO153" s="39" t="s">
        <v>152</v>
      </c>
      <c r="AP153" s="27">
        <v>50</v>
      </c>
      <c r="AQ153" s="39" t="s">
        <v>77</v>
      </c>
      <c r="AR153" s="41" t="s">
        <v>183</v>
      </c>
      <c r="AS153" s="27"/>
      <c r="AT153" s="44"/>
      <c r="AU153" s="45" t="s">
        <v>155</v>
      </c>
      <c r="AV153" s="39" t="s">
        <v>18</v>
      </c>
      <c r="AW153" s="39">
        <v>2</v>
      </c>
      <c r="AX153" s="39" t="s">
        <v>152</v>
      </c>
      <c r="AY153" s="27">
        <v>50</v>
      </c>
      <c r="AZ153" s="39">
        <v>1044</v>
      </c>
      <c r="BA153" s="41" t="s">
        <v>168</v>
      </c>
      <c r="BB153" s="27"/>
      <c r="BC153" s="44"/>
      <c r="BD153" s="45" t="s">
        <v>155</v>
      </c>
      <c r="BE153" s="39" t="s">
        <v>18</v>
      </c>
      <c r="BF153" s="39">
        <v>2</v>
      </c>
      <c r="BG153" s="39" t="s">
        <v>152</v>
      </c>
      <c r="BH153" s="27">
        <v>50</v>
      </c>
      <c r="BI153" s="39">
        <v>1046</v>
      </c>
      <c r="BJ153" s="41" t="s">
        <v>171</v>
      </c>
      <c r="BK153" s="27"/>
      <c r="BL153" s="44"/>
      <c r="BM153" s="45" t="s">
        <v>155</v>
      </c>
      <c r="BN153" s="39" t="s">
        <v>18</v>
      </c>
      <c r="BO153" s="39">
        <v>2</v>
      </c>
      <c r="BP153" s="39" t="s">
        <v>152</v>
      </c>
      <c r="BQ153" s="27">
        <v>50</v>
      </c>
      <c r="BR153" s="39">
        <v>1023</v>
      </c>
      <c r="BS153" s="41" t="s">
        <v>163</v>
      </c>
      <c r="BT153" s="27"/>
      <c r="BU153" s="44"/>
      <c r="BV153" s="45" t="s">
        <v>155</v>
      </c>
      <c r="BW153" s="39" t="s">
        <v>18</v>
      </c>
      <c r="BX153" s="39">
        <v>2</v>
      </c>
      <c r="BY153" s="39" t="s">
        <v>152</v>
      </c>
      <c r="BZ153" s="27">
        <v>50</v>
      </c>
      <c r="CA153" s="39">
        <v>2027</v>
      </c>
      <c r="CB153" s="41" t="s">
        <v>186</v>
      </c>
      <c r="CD153" s="44"/>
      <c r="CE153" s="45" t="s">
        <v>155</v>
      </c>
      <c r="CF153" s="39" t="s">
        <v>18</v>
      </c>
      <c r="CG153" s="39">
        <v>2</v>
      </c>
      <c r="CH153" s="39" t="s">
        <v>152</v>
      </c>
      <c r="CI153" s="27">
        <v>50</v>
      </c>
      <c r="CJ153" s="39">
        <v>2022</v>
      </c>
      <c r="CK153" s="41" t="s">
        <v>176</v>
      </c>
      <c r="CM153" s="42"/>
      <c r="CN153" s="34"/>
      <c r="CO153" s="10"/>
      <c r="CP153" s="10"/>
      <c r="CQ153" s="10"/>
      <c r="CS153" s="10"/>
      <c r="CT153" s="43"/>
    </row>
    <row r="154" spans="1:98" x14ac:dyDescent="0.25">
      <c r="A154" s="44"/>
      <c r="B154" s="45" t="s">
        <v>155</v>
      </c>
      <c r="C154" s="39" t="s">
        <v>18</v>
      </c>
      <c r="D154" s="39">
        <v>3</v>
      </c>
      <c r="E154" s="39" t="s">
        <v>152</v>
      </c>
      <c r="F154" s="27">
        <v>51</v>
      </c>
      <c r="G154" s="39">
        <v>1023</v>
      </c>
      <c r="H154" s="41" t="s">
        <v>188</v>
      </c>
      <c r="I154" s="27"/>
      <c r="J154" s="44"/>
      <c r="K154" s="45" t="s">
        <v>155</v>
      </c>
      <c r="L154" s="39" t="s">
        <v>18</v>
      </c>
      <c r="M154" s="39">
        <v>3</v>
      </c>
      <c r="N154" s="39" t="s">
        <v>152</v>
      </c>
      <c r="O154" s="27">
        <v>51</v>
      </c>
      <c r="P154" s="39" t="s">
        <v>56</v>
      </c>
      <c r="Q154" s="41" t="s">
        <v>164</v>
      </c>
      <c r="R154" s="27"/>
      <c r="S154" s="44"/>
      <c r="T154" s="45" t="s">
        <v>155</v>
      </c>
      <c r="U154" s="39" t="s">
        <v>18</v>
      </c>
      <c r="V154" s="39">
        <v>3</v>
      </c>
      <c r="W154" s="39" t="s">
        <v>152</v>
      </c>
      <c r="X154" s="27">
        <v>51</v>
      </c>
      <c r="Y154" s="39" t="s">
        <v>270</v>
      </c>
      <c r="Z154" s="41" t="s">
        <v>180</v>
      </c>
      <c r="AA154" s="27"/>
      <c r="AB154" s="44"/>
      <c r="AC154" s="45" t="s">
        <v>155</v>
      </c>
      <c r="AD154" s="39" t="s">
        <v>18</v>
      </c>
      <c r="AE154" s="39">
        <v>3</v>
      </c>
      <c r="AF154" s="39" t="s">
        <v>152</v>
      </c>
      <c r="AG154" s="27">
        <v>51</v>
      </c>
      <c r="AH154" s="39">
        <v>2020</v>
      </c>
      <c r="AI154" s="41" t="s">
        <v>189</v>
      </c>
      <c r="AJ154" s="27"/>
      <c r="AK154" s="44"/>
      <c r="AL154" s="45" t="s">
        <v>155</v>
      </c>
      <c r="AM154" s="39" t="s">
        <v>18</v>
      </c>
      <c r="AN154" s="39">
        <v>3</v>
      </c>
      <c r="AO154" s="39" t="s">
        <v>152</v>
      </c>
      <c r="AP154" s="27">
        <v>51</v>
      </c>
      <c r="AQ154" s="39" t="s">
        <v>77</v>
      </c>
      <c r="AR154" s="41" t="s">
        <v>186</v>
      </c>
      <c r="AS154" s="27"/>
      <c r="AT154" s="44"/>
      <c r="AU154" s="45" t="s">
        <v>155</v>
      </c>
      <c r="AV154" s="39" t="s">
        <v>18</v>
      </c>
      <c r="AW154" s="39">
        <v>3</v>
      </c>
      <c r="AX154" s="39" t="s">
        <v>152</v>
      </c>
      <c r="AY154" s="27">
        <v>51</v>
      </c>
      <c r="AZ154" s="39">
        <v>1044</v>
      </c>
      <c r="BA154" s="41" t="s">
        <v>176</v>
      </c>
      <c r="BB154" s="27"/>
      <c r="BC154" s="44"/>
      <c r="BD154" s="45" t="s">
        <v>155</v>
      </c>
      <c r="BE154" s="39" t="s">
        <v>18</v>
      </c>
      <c r="BF154" s="39">
        <v>3</v>
      </c>
      <c r="BG154" s="39" t="s">
        <v>152</v>
      </c>
      <c r="BH154" s="27">
        <v>51</v>
      </c>
      <c r="BI154" s="39">
        <v>1046</v>
      </c>
      <c r="BJ154" s="41" t="s">
        <v>161</v>
      </c>
      <c r="BK154" s="27"/>
      <c r="BL154" s="44"/>
      <c r="BM154" s="45" t="s">
        <v>155</v>
      </c>
      <c r="BN154" s="39" t="s">
        <v>18</v>
      </c>
      <c r="BO154" s="39">
        <v>3</v>
      </c>
      <c r="BP154" s="39" t="s">
        <v>152</v>
      </c>
      <c r="BQ154" s="27">
        <v>51</v>
      </c>
      <c r="BR154" s="39">
        <v>1023</v>
      </c>
      <c r="BS154" s="41" t="s">
        <v>171</v>
      </c>
      <c r="BT154" s="27"/>
      <c r="BU154" s="44"/>
      <c r="BV154" s="45" t="s">
        <v>155</v>
      </c>
      <c r="BW154" s="39" t="s">
        <v>18</v>
      </c>
      <c r="BX154" s="39">
        <v>3</v>
      </c>
      <c r="BY154" s="39" t="s">
        <v>152</v>
      </c>
      <c r="BZ154" s="27">
        <v>51</v>
      </c>
      <c r="CA154" s="39">
        <v>2027</v>
      </c>
      <c r="CB154" s="41" t="s">
        <v>188</v>
      </c>
      <c r="CD154" s="44"/>
      <c r="CE154" s="45" t="s">
        <v>155</v>
      </c>
      <c r="CF154" s="39" t="s">
        <v>18</v>
      </c>
      <c r="CG154" s="39">
        <v>3</v>
      </c>
      <c r="CH154" s="39" t="s">
        <v>152</v>
      </c>
      <c r="CI154" s="27">
        <v>51</v>
      </c>
      <c r="CJ154" s="39">
        <v>2022</v>
      </c>
      <c r="CK154" s="41" t="s">
        <v>164</v>
      </c>
      <c r="CM154" s="42"/>
      <c r="CN154" s="34"/>
      <c r="CO154" s="10"/>
      <c r="CP154" s="10"/>
      <c r="CQ154" s="10"/>
      <c r="CS154" s="10"/>
      <c r="CT154" s="43"/>
    </row>
    <row r="155" spans="1:98" x14ac:dyDescent="0.25">
      <c r="A155" s="44"/>
      <c r="B155" s="45" t="s">
        <v>155</v>
      </c>
      <c r="C155" s="39" t="s">
        <v>18</v>
      </c>
      <c r="D155" s="39">
        <v>4</v>
      </c>
      <c r="E155" s="39" t="s">
        <v>152</v>
      </c>
      <c r="F155" s="27">
        <v>52</v>
      </c>
      <c r="G155" s="39">
        <v>1023</v>
      </c>
      <c r="H155" s="41" t="s">
        <v>182</v>
      </c>
      <c r="I155" s="27"/>
      <c r="J155" s="44"/>
      <c r="K155" s="45" t="s">
        <v>155</v>
      </c>
      <c r="L155" s="39" t="s">
        <v>18</v>
      </c>
      <c r="M155" s="39">
        <v>4</v>
      </c>
      <c r="N155" s="39" t="s">
        <v>152</v>
      </c>
      <c r="O155" s="27">
        <v>52</v>
      </c>
      <c r="P155" s="39" t="s">
        <v>56</v>
      </c>
      <c r="Q155" s="41" t="s">
        <v>172</v>
      </c>
      <c r="R155" s="27"/>
      <c r="S155" s="44"/>
      <c r="T155" s="45" t="s">
        <v>155</v>
      </c>
      <c r="U155" s="39" t="s">
        <v>18</v>
      </c>
      <c r="V155" s="39">
        <v>4</v>
      </c>
      <c r="W155" s="39" t="s">
        <v>152</v>
      </c>
      <c r="X155" s="27">
        <v>52</v>
      </c>
      <c r="Y155" s="39" t="s">
        <v>270</v>
      </c>
      <c r="Z155" s="41" t="s">
        <v>181</v>
      </c>
      <c r="AA155" s="27"/>
      <c r="AB155" s="44"/>
      <c r="AC155" s="45" t="s">
        <v>155</v>
      </c>
      <c r="AD155" s="39" t="s">
        <v>18</v>
      </c>
      <c r="AE155" s="39">
        <v>4</v>
      </c>
      <c r="AF155" s="39" t="s">
        <v>152</v>
      </c>
      <c r="AG155" s="27">
        <v>52</v>
      </c>
      <c r="AH155" s="39" t="s">
        <v>76</v>
      </c>
      <c r="AI155" s="41" t="s">
        <v>171</v>
      </c>
      <c r="AJ155" s="27"/>
      <c r="AK155" s="44"/>
      <c r="AL155" s="45" t="s">
        <v>155</v>
      </c>
      <c r="AM155" s="39" t="s">
        <v>18</v>
      </c>
      <c r="AN155" s="39">
        <v>4</v>
      </c>
      <c r="AO155" s="39" t="s">
        <v>152</v>
      </c>
      <c r="AP155" s="27">
        <v>52</v>
      </c>
      <c r="AQ155" s="39" t="s">
        <v>77</v>
      </c>
      <c r="AR155" s="41" t="s">
        <v>188</v>
      </c>
      <c r="AS155" s="27"/>
      <c r="AT155" s="44"/>
      <c r="AU155" s="45" t="s">
        <v>155</v>
      </c>
      <c r="AV155" s="39" t="s">
        <v>18</v>
      </c>
      <c r="AW155" s="39">
        <v>4</v>
      </c>
      <c r="AX155" s="39" t="s">
        <v>152</v>
      </c>
      <c r="AY155" s="27">
        <v>52</v>
      </c>
      <c r="AZ155" s="39">
        <v>1044</v>
      </c>
      <c r="BA155" s="41" t="s">
        <v>164</v>
      </c>
      <c r="BB155" s="27"/>
      <c r="BC155" s="44"/>
      <c r="BD155" s="45" t="s">
        <v>155</v>
      </c>
      <c r="BE155" s="39" t="s">
        <v>18</v>
      </c>
      <c r="BF155" s="39">
        <v>4</v>
      </c>
      <c r="BG155" s="39" t="s">
        <v>152</v>
      </c>
      <c r="BH155" s="27">
        <v>52</v>
      </c>
      <c r="BI155" s="39">
        <v>1046</v>
      </c>
      <c r="BJ155" s="46" t="s">
        <v>169</v>
      </c>
      <c r="BK155" s="27"/>
      <c r="BL155" s="44"/>
      <c r="BM155" s="45" t="s">
        <v>155</v>
      </c>
      <c r="BN155" s="39" t="s">
        <v>18</v>
      </c>
      <c r="BO155" s="39">
        <v>4</v>
      </c>
      <c r="BP155" s="39" t="s">
        <v>152</v>
      </c>
      <c r="BQ155" s="27">
        <v>52</v>
      </c>
      <c r="BR155" s="39">
        <v>1023</v>
      </c>
      <c r="BS155" s="41" t="s">
        <v>161</v>
      </c>
      <c r="BT155" s="27"/>
      <c r="BU155" s="44"/>
      <c r="BV155" s="45" t="s">
        <v>155</v>
      </c>
      <c r="BW155" s="39" t="s">
        <v>18</v>
      </c>
      <c r="BX155" s="39">
        <v>4</v>
      </c>
      <c r="BY155" s="39" t="s">
        <v>152</v>
      </c>
      <c r="BZ155" s="27">
        <v>52</v>
      </c>
      <c r="CA155" s="39">
        <v>2027</v>
      </c>
      <c r="CB155" s="41" t="s">
        <v>182</v>
      </c>
      <c r="CD155" s="44"/>
      <c r="CE155" s="45" t="s">
        <v>155</v>
      </c>
      <c r="CF155" s="39" t="s">
        <v>18</v>
      </c>
      <c r="CG155" s="39">
        <v>4</v>
      </c>
      <c r="CH155" s="39" t="s">
        <v>152</v>
      </c>
      <c r="CI155" s="27">
        <v>52</v>
      </c>
      <c r="CJ155" s="39">
        <v>2022</v>
      </c>
      <c r="CK155" s="46" t="s">
        <v>172</v>
      </c>
      <c r="CM155" s="42"/>
      <c r="CN155" s="34"/>
      <c r="CO155" s="10"/>
      <c r="CP155" s="10"/>
      <c r="CQ155" s="10"/>
      <c r="CS155" s="10"/>
      <c r="CT155" s="43"/>
    </row>
    <row r="156" spans="1:98" x14ac:dyDescent="0.25">
      <c r="A156" s="44"/>
      <c r="B156" s="45" t="s">
        <v>155</v>
      </c>
      <c r="C156" s="39" t="s">
        <v>18</v>
      </c>
      <c r="D156" s="39">
        <v>5</v>
      </c>
      <c r="E156" s="39" t="s">
        <v>152</v>
      </c>
      <c r="F156" s="27">
        <v>53</v>
      </c>
      <c r="G156" s="39">
        <v>1023</v>
      </c>
      <c r="H156" s="41" t="s">
        <v>184</v>
      </c>
      <c r="I156" s="27"/>
      <c r="J156" s="44"/>
      <c r="K156" s="45" t="s">
        <v>155</v>
      </c>
      <c r="L156" s="39" t="s">
        <v>18</v>
      </c>
      <c r="M156" s="39">
        <v>5</v>
      </c>
      <c r="N156" s="39" t="s">
        <v>152</v>
      </c>
      <c r="O156" s="27">
        <v>53</v>
      </c>
      <c r="P156" s="39" t="s">
        <v>56</v>
      </c>
      <c r="Q156" s="41" t="s">
        <v>162</v>
      </c>
      <c r="R156" s="27"/>
      <c r="S156" s="44"/>
      <c r="T156" s="45" t="s">
        <v>155</v>
      </c>
      <c r="U156" s="39" t="s">
        <v>18</v>
      </c>
      <c r="V156" s="39">
        <v>5</v>
      </c>
      <c r="W156" s="39" t="s">
        <v>152</v>
      </c>
      <c r="X156" s="27">
        <v>53</v>
      </c>
      <c r="Y156" s="39" t="s">
        <v>270</v>
      </c>
      <c r="Z156" s="41" t="s">
        <v>183</v>
      </c>
      <c r="AA156" s="27"/>
      <c r="AB156" s="44"/>
      <c r="AC156" s="45" t="s">
        <v>155</v>
      </c>
      <c r="AD156" s="39" t="s">
        <v>18</v>
      </c>
      <c r="AE156" s="39">
        <v>5</v>
      </c>
      <c r="AF156" s="39" t="s">
        <v>152</v>
      </c>
      <c r="AG156" s="27">
        <v>53</v>
      </c>
      <c r="AH156" s="39" t="s">
        <v>76</v>
      </c>
      <c r="AI156" s="41" t="s">
        <v>161</v>
      </c>
      <c r="AJ156" s="27"/>
      <c r="AK156" s="44"/>
      <c r="AL156" s="45" t="s">
        <v>155</v>
      </c>
      <c r="AM156" s="39" t="s">
        <v>18</v>
      </c>
      <c r="AN156" s="39">
        <v>5</v>
      </c>
      <c r="AO156" s="39" t="s">
        <v>152</v>
      </c>
      <c r="AP156" s="27">
        <v>53</v>
      </c>
      <c r="AQ156" s="39" t="s">
        <v>77</v>
      </c>
      <c r="AR156" s="41" t="s">
        <v>182</v>
      </c>
      <c r="AS156" s="27"/>
      <c r="AT156" s="44"/>
      <c r="AU156" s="45" t="s">
        <v>155</v>
      </c>
      <c r="AV156" s="39" t="s">
        <v>18</v>
      </c>
      <c r="AW156" s="39">
        <v>5</v>
      </c>
      <c r="AX156" s="39" t="s">
        <v>152</v>
      </c>
      <c r="AY156" s="27">
        <v>53</v>
      </c>
      <c r="AZ156" s="39">
        <v>1044</v>
      </c>
      <c r="BA156" s="41" t="s">
        <v>172</v>
      </c>
      <c r="BB156" s="27"/>
      <c r="BC156" s="44"/>
      <c r="BD156" s="45" t="s">
        <v>155</v>
      </c>
      <c r="BE156" s="39" t="s">
        <v>18</v>
      </c>
      <c r="BF156" s="39">
        <v>5</v>
      </c>
      <c r="BG156" s="39" t="s">
        <v>152</v>
      </c>
      <c r="BH156" s="27">
        <v>53</v>
      </c>
      <c r="BI156" s="39">
        <v>1046</v>
      </c>
      <c r="BJ156" s="41" t="s">
        <v>177</v>
      </c>
      <c r="BK156" s="27"/>
      <c r="BL156" s="44"/>
      <c r="BM156" s="45" t="s">
        <v>155</v>
      </c>
      <c r="BN156" s="39" t="s">
        <v>18</v>
      </c>
      <c r="BO156" s="39">
        <v>5</v>
      </c>
      <c r="BP156" s="39" t="s">
        <v>152</v>
      </c>
      <c r="BQ156" s="27">
        <v>53</v>
      </c>
      <c r="BR156" s="39">
        <v>1023</v>
      </c>
      <c r="BS156" s="46" t="s">
        <v>169</v>
      </c>
      <c r="BT156" s="27"/>
      <c r="BU156" s="44"/>
      <c r="BV156" s="45" t="s">
        <v>155</v>
      </c>
      <c r="BW156" s="39" t="s">
        <v>18</v>
      </c>
      <c r="BX156" s="39">
        <v>5</v>
      </c>
      <c r="BY156" s="39" t="s">
        <v>152</v>
      </c>
      <c r="BZ156" s="27">
        <v>53</v>
      </c>
      <c r="CA156" s="39">
        <v>2027</v>
      </c>
      <c r="CB156" s="41" t="s">
        <v>184</v>
      </c>
      <c r="CD156" s="44"/>
      <c r="CE156" s="45" t="s">
        <v>155</v>
      </c>
      <c r="CF156" s="39" t="s">
        <v>18</v>
      </c>
      <c r="CG156" s="39">
        <v>5</v>
      </c>
      <c r="CH156" s="39" t="s">
        <v>152</v>
      </c>
      <c r="CI156" s="27">
        <v>53</v>
      </c>
      <c r="CJ156" s="39">
        <v>2022</v>
      </c>
      <c r="CK156" s="41" t="s">
        <v>162</v>
      </c>
      <c r="CM156" s="42"/>
      <c r="CN156" s="34"/>
      <c r="CO156" s="10"/>
      <c r="CP156" s="10"/>
      <c r="CQ156" s="10"/>
      <c r="CS156" s="10"/>
      <c r="CT156" s="43"/>
    </row>
    <row r="157" spans="1:98" x14ac:dyDescent="0.25">
      <c r="A157" s="44"/>
      <c r="B157" s="45" t="s">
        <v>155</v>
      </c>
      <c r="C157" s="39" t="s">
        <v>18</v>
      </c>
      <c r="D157" s="39">
        <v>6</v>
      </c>
      <c r="E157" s="39" t="s">
        <v>152</v>
      </c>
      <c r="F157" s="27">
        <v>54</v>
      </c>
      <c r="G157" s="39">
        <v>1023</v>
      </c>
      <c r="H157" s="41" t="s">
        <v>187</v>
      </c>
      <c r="I157" s="27"/>
      <c r="J157" s="44"/>
      <c r="K157" s="45" t="s">
        <v>155</v>
      </c>
      <c r="L157" s="39" t="s">
        <v>18</v>
      </c>
      <c r="M157" s="39">
        <v>6</v>
      </c>
      <c r="N157" s="39" t="s">
        <v>152</v>
      </c>
      <c r="O157" s="27">
        <v>54</v>
      </c>
      <c r="P157" s="39" t="s">
        <v>56</v>
      </c>
      <c r="Q157" s="41" t="s">
        <v>170</v>
      </c>
      <c r="R157" s="27"/>
      <c r="S157" s="44"/>
      <c r="T157" s="45" t="s">
        <v>155</v>
      </c>
      <c r="U157" s="39" t="s">
        <v>18</v>
      </c>
      <c r="V157" s="39">
        <v>6</v>
      </c>
      <c r="W157" s="39" t="s">
        <v>152</v>
      </c>
      <c r="X157" s="27">
        <v>54</v>
      </c>
      <c r="Y157" s="39" t="s">
        <v>270</v>
      </c>
      <c r="Z157" s="41" t="s">
        <v>186</v>
      </c>
      <c r="AA157" s="27"/>
      <c r="AB157" s="44"/>
      <c r="AC157" s="45" t="s">
        <v>155</v>
      </c>
      <c r="AD157" s="39" t="s">
        <v>18</v>
      </c>
      <c r="AE157" s="39">
        <v>6</v>
      </c>
      <c r="AF157" s="39" t="s">
        <v>152</v>
      </c>
      <c r="AG157" s="27">
        <v>54</v>
      </c>
      <c r="AH157" s="39" t="s">
        <v>76</v>
      </c>
      <c r="AI157" s="46" t="s">
        <v>169</v>
      </c>
      <c r="AJ157" s="27"/>
      <c r="AK157" s="44"/>
      <c r="AL157" s="45" t="s">
        <v>155</v>
      </c>
      <c r="AM157" s="39" t="s">
        <v>18</v>
      </c>
      <c r="AN157" s="39">
        <v>6</v>
      </c>
      <c r="AO157" s="39" t="s">
        <v>152</v>
      </c>
      <c r="AP157" s="27">
        <v>54</v>
      </c>
      <c r="AQ157" s="39" t="s">
        <v>77</v>
      </c>
      <c r="AR157" s="41" t="s">
        <v>184</v>
      </c>
      <c r="AS157" s="27"/>
      <c r="AT157" s="44"/>
      <c r="AU157" s="45" t="s">
        <v>155</v>
      </c>
      <c r="AV157" s="39" t="s">
        <v>18</v>
      </c>
      <c r="AW157" s="39">
        <v>6</v>
      </c>
      <c r="AX157" s="39" t="s">
        <v>152</v>
      </c>
      <c r="AY157" s="27">
        <v>54</v>
      </c>
      <c r="AZ157" s="39">
        <v>1044</v>
      </c>
      <c r="BA157" s="41" t="s">
        <v>162</v>
      </c>
      <c r="BB157" s="27"/>
      <c r="BC157" s="44"/>
      <c r="BD157" s="45" t="s">
        <v>155</v>
      </c>
      <c r="BE157" s="39" t="s">
        <v>18</v>
      </c>
      <c r="BF157" s="39">
        <v>6</v>
      </c>
      <c r="BG157" s="39" t="s">
        <v>152</v>
      </c>
      <c r="BH157" s="27">
        <v>54</v>
      </c>
      <c r="BI157" s="39">
        <v>1046</v>
      </c>
      <c r="BJ157" s="41" t="s">
        <v>180</v>
      </c>
      <c r="BK157" s="27"/>
      <c r="BL157" s="44"/>
      <c r="BM157" s="45" t="s">
        <v>155</v>
      </c>
      <c r="BN157" s="39" t="s">
        <v>18</v>
      </c>
      <c r="BO157" s="39">
        <v>6</v>
      </c>
      <c r="BP157" s="39" t="s">
        <v>152</v>
      </c>
      <c r="BQ157" s="27">
        <v>54</v>
      </c>
      <c r="BR157" s="39">
        <v>1023</v>
      </c>
      <c r="BS157" s="41" t="s">
        <v>177</v>
      </c>
      <c r="BT157" s="27"/>
      <c r="BU157" s="44"/>
      <c r="BV157" s="45" t="s">
        <v>155</v>
      </c>
      <c r="BW157" s="39" t="s">
        <v>18</v>
      </c>
      <c r="BX157" s="39">
        <v>6</v>
      </c>
      <c r="BY157" s="39" t="s">
        <v>152</v>
      </c>
      <c r="BZ157" s="27">
        <v>54</v>
      </c>
      <c r="CA157" s="39">
        <v>2027</v>
      </c>
      <c r="CB157" s="41" t="s">
        <v>187</v>
      </c>
      <c r="CD157" s="44"/>
      <c r="CE157" s="45" t="s">
        <v>155</v>
      </c>
      <c r="CF157" s="39" t="s">
        <v>18</v>
      </c>
      <c r="CG157" s="39">
        <v>6</v>
      </c>
      <c r="CH157" s="39" t="s">
        <v>152</v>
      </c>
      <c r="CI157" s="27">
        <v>54</v>
      </c>
      <c r="CJ157" s="39">
        <v>2022</v>
      </c>
      <c r="CK157" s="41" t="s">
        <v>170</v>
      </c>
      <c r="CM157" s="42"/>
      <c r="CN157" s="34"/>
      <c r="CO157" s="10"/>
      <c r="CP157" s="10"/>
      <c r="CQ157" s="10"/>
      <c r="CS157" s="10"/>
      <c r="CT157" s="43"/>
    </row>
    <row r="158" spans="1:98" ht="15.75" thickBot="1" x14ac:dyDescent="0.3">
      <c r="A158" s="44"/>
      <c r="B158" s="45" t="s">
        <v>155</v>
      </c>
      <c r="C158" s="39" t="s">
        <v>18</v>
      </c>
      <c r="D158" s="39">
        <v>7</v>
      </c>
      <c r="E158" s="39" t="s">
        <v>152</v>
      </c>
      <c r="F158" s="27">
        <v>55</v>
      </c>
      <c r="G158" s="39">
        <v>1023</v>
      </c>
      <c r="H158" s="41" t="s">
        <v>189</v>
      </c>
      <c r="I158" s="27"/>
      <c r="J158" s="44"/>
      <c r="K158" s="45" t="s">
        <v>155</v>
      </c>
      <c r="L158" s="39" t="s">
        <v>18</v>
      </c>
      <c r="M158" s="39">
        <v>7</v>
      </c>
      <c r="N158" s="39" t="s">
        <v>152</v>
      </c>
      <c r="O158" s="27">
        <v>55</v>
      </c>
      <c r="P158" s="39" t="s">
        <v>56</v>
      </c>
      <c r="Q158" s="41" t="s">
        <v>178</v>
      </c>
      <c r="R158" s="27"/>
      <c r="S158" s="44"/>
      <c r="T158" s="45" t="s">
        <v>155</v>
      </c>
      <c r="U158" s="39" t="s">
        <v>18</v>
      </c>
      <c r="V158" s="39">
        <v>7</v>
      </c>
      <c r="W158" s="39" t="s">
        <v>152</v>
      </c>
      <c r="X158" s="27">
        <v>55</v>
      </c>
      <c r="Y158" s="39" t="s">
        <v>270</v>
      </c>
      <c r="Z158" s="41" t="s">
        <v>188</v>
      </c>
      <c r="AA158" s="27"/>
      <c r="AB158" s="44"/>
      <c r="AC158" s="45" t="s">
        <v>155</v>
      </c>
      <c r="AD158" s="39" t="s">
        <v>18</v>
      </c>
      <c r="AE158" s="39">
        <v>7</v>
      </c>
      <c r="AF158" s="39" t="s">
        <v>152</v>
      </c>
      <c r="AG158" s="27">
        <v>55</v>
      </c>
      <c r="AH158" s="39" t="s">
        <v>76</v>
      </c>
      <c r="AI158" s="41" t="s">
        <v>177</v>
      </c>
      <c r="AJ158" s="27"/>
      <c r="AK158" s="44"/>
      <c r="AL158" s="45" t="s">
        <v>155</v>
      </c>
      <c r="AM158" s="39" t="s">
        <v>18</v>
      </c>
      <c r="AN158" s="39">
        <v>7</v>
      </c>
      <c r="AO158" s="39" t="s">
        <v>152</v>
      </c>
      <c r="AP158" s="27">
        <v>55</v>
      </c>
      <c r="AQ158" s="39" t="s">
        <v>77</v>
      </c>
      <c r="AR158" s="41" t="s">
        <v>187</v>
      </c>
      <c r="AS158" s="27"/>
      <c r="AT158" s="44"/>
      <c r="AU158" s="45" t="s">
        <v>155</v>
      </c>
      <c r="AV158" s="39" t="s">
        <v>18</v>
      </c>
      <c r="AW158" s="39">
        <v>7</v>
      </c>
      <c r="AX158" s="39" t="s">
        <v>152</v>
      </c>
      <c r="AY158" s="27">
        <v>55</v>
      </c>
      <c r="AZ158" s="39">
        <v>1044</v>
      </c>
      <c r="BA158" s="41" t="s">
        <v>170</v>
      </c>
      <c r="BB158" s="27"/>
      <c r="BC158" s="44"/>
      <c r="BD158" s="45" t="s">
        <v>155</v>
      </c>
      <c r="BE158" s="39" t="s">
        <v>18</v>
      </c>
      <c r="BF158" s="39">
        <v>7</v>
      </c>
      <c r="BG158" s="39" t="s">
        <v>152</v>
      </c>
      <c r="BH158" s="27">
        <v>55</v>
      </c>
      <c r="BI158" s="39">
        <v>1046</v>
      </c>
      <c r="BJ158" s="41" t="s">
        <v>181</v>
      </c>
      <c r="BK158" s="27"/>
      <c r="BL158" s="44"/>
      <c r="BM158" s="45" t="s">
        <v>155</v>
      </c>
      <c r="BN158" s="39" t="s">
        <v>18</v>
      </c>
      <c r="BO158" s="39">
        <v>7</v>
      </c>
      <c r="BP158" s="39" t="s">
        <v>152</v>
      </c>
      <c r="BQ158" s="27">
        <v>55</v>
      </c>
      <c r="BR158" s="39">
        <v>1023</v>
      </c>
      <c r="BS158" s="41" t="s">
        <v>180</v>
      </c>
      <c r="BT158" s="27"/>
      <c r="BU158" s="44"/>
      <c r="BV158" s="45" t="s">
        <v>155</v>
      </c>
      <c r="BW158" s="39" t="s">
        <v>18</v>
      </c>
      <c r="BX158" s="39">
        <v>7</v>
      </c>
      <c r="BY158" s="39" t="s">
        <v>152</v>
      </c>
      <c r="BZ158" s="27">
        <v>55</v>
      </c>
      <c r="CA158" s="39">
        <v>2027</v>
      </c>
      <c r="CB158" s="41" t="s">
        <v>189</v>
      </c>
      <c r="CD158" s="44"/>
      <c r="CE158" s="45" t="s">
        <v>155</v>
      </c>
      <c r="CF158" s="39" t="s">
        <v>18</v>
      </c>
      <c r="CG158" s="39">
        <v>7</v>
      </c>
      <c r="CH158" s="39" t="s">
        <v>152</v>
      </c>
      <c r="CI158" s="27">
        <v>55</v>
      </c>
      <c r="CJ158" s="39">
        <v>2022</v>
      </c>
      <c r="CK158" s="41" t="s">
        <v>178</v>
      </c>
      <c r="CM158" s="42"/>
      <c r="CN158" s="34"/>
      <c r="CO158" s="10"/>
      <c r="CP158" s="10"/>
      <c r="CQ158" s="10"/>
      <c r="CS158" s="10"/>
      <c r="CT158" s="43"/>
    </row>
    <row r="159" spans="1:98" ht="15.75" thickBot="1" x14ac:dyDescent="0.3">
      <c r="A159" s="44"/>
      <c r="B159" s="45" t="s">
        <v>155</v>
      </c>
      <c r="C159" s="39" t="s">
        <v>18</v>
      </c>
      <c r="D159" s="39">
        <v>8</v>
      </c>
      <c r="E159" s="39" t="s">
        <v>152</v>
      </c>
      <c r="F159" s="27">
        <v>56</v>
      </c>
      <c r="G159" s="39" t="s">
        <v>54</v>
      </c>
      <c r="H159" s="40" t="s">
        <v>160</v>
      </c>
      <c r="I159" s="27"/>
      <c r="J159" s="44"/>
      <c r="K159" s="45" t="s">
        <v>155</v>
      </c>
      <c r="L159" s="39" t="s">
        <v>18</v>
      </c>
      <c r="M159" s="39">
        <v>8</v>
      </c>
      <c r="N159" s="39" t="s">
        <v>152</v>
      </c>
      <c r="O159" s="27">
        <v>56</v>
      </c>
      <c r="P159" s="39" t="s">
        <v>56</v>
      </c>
      <c r="Q159" s="41" t="s">
        <v>163</v>
      </c>
      <c r="R159" s="27"/>
      <c r="S159" s="44"/>
      <c r="T159" s="45" t="s">
        <v>155</v>
      </c>
      <c r="U159" s="39" t="s">
        <v>18</v>
      </c>
      <c r="V159" s="39">
        <v>8</v>
      </c>
      <c r="W159" s="39" t="s">
        <v>152</v>
      </c>
      <c r="X159" s="27">
        <v>56</v>
      </c>
      <c r="Y159" s="39" t="s">
        <v>270</v>
      </c>
      <c r="Z159" s="41" t="s">
        <v>182</v>
      </c>
      <c r="AA159" s="27"/>
      <c r="AB159" s="44"/>
      <c r="AC159" s="45" t="s">
        <v>155</v>
      </c>
      <c r="AD159" s="39" t="s">
        <v>18</v>
      </c>
      <c r="AE159" s="39">
        <v>8</v>
      </c>
      <c r="AF159" s="39" t="s">
        <v>152</v>
      </c>
      <c r="AG159" s="27">
        <v>56</v>
      </c>
      <c r="AH159" s="39" t="s">
        <v>76</v>
      </c>
      <c r="AI159" s="41" t="s">
        <v>180</v>
      </c>
      <c r="AJ159" s="27"/>
      <c r="AK159" s="44"/>
      <c r="AL159" s="45" t="s">
        <v>155</v>
      </c>
      <c r="AM159" s="39" t="s">
        <v>18</v>
      </c>
      <c r="AN159" s="39">
        <v>8</v>
      </c>
      <c r="AO159" s="39" t="s">
        <v>152</v>
      </c>
      <c r="AP159" s="27">
        <v>56</v>
      </c>
      <c r="AQ159" s="39" t="s">
        <v>77</v>
      </c>
      <c r="AR159" s="41" t="s">
        <v>189</v>
      </c>
      <c r="AS159" s="27"/>
      <c r="AT159" s="44"/>
      <c r="AU159" s="45" t="s">
        <v>155</v>
      </c>
      <c r="AV159" s="39" t="s">
        <v>18</v>
      </c>
      <c r="AW159" s="39">
        <v>8</v>
      </c>
      <c r="AX159" s="39" t="s">
        <v>152</v>
      </c>
      <c r="AY159" s="27">
        <v>56</v>
      </c>
      <c r="AZ159" s="39">
        <v>1044</v>
      </c>
      <c r="BA159" s="41" t="s">
        <v>178</v>
      </c>
      <c r="BB159" s="27"/>
      <c r="BC159" s="44"/>
      <c r="BD159" s="45" t="s">
        <v>155</v>
      </c>
      <c r="BE159" s="39" t="s">
        <v>18</v>
      </c>
      <c r="BF159" s="39">
        <v>8</v>
      </c>
      <c r="BG159" s="39" t="s">
        <v>152</v>
      </c>
      <c r="BH159" s="27">
        <v>56</v>
      </c>
      <c r="BI159" s="39">
        <v>1046</v>
      </c>
      <c r="BJ159" s="41" t="s">
        <v>183</v>
      </c>
      <c r="BK159" s="27"/>
      <c r="BL159" s="44"/>
      <c r="BM159" s="45" t="s">
        <v>155</v>
      </c>
      <c r="BN159" s="39" t="s">
        <v>18</v>
      </c>
      <c r="BO159" s="39">
        <v>8</v>
      </c>
      <c r="BP159" s="39" t="s">
        <v>152</v>
      </c>
      <c r="BQ159" s="27">
        <v>56</v>
      </c>
      <c r="BR159" s="39">
        <v>1023</v>
      </c>
      <c r="BS159" s="41" t="s">
        <v>181</v>
      </c>
      <c r="BT159" s="27"/>
      <c r="BU159" s="44"/>
      <c r="BV159" s="45" t="s">
        <v>155</v>
      </c>
      <c r="BW159" s="39" t="s">
        <v>18</v>
      </c>
      <c r="BX159" s="39">
        <v>8</v>
      </c>
      <c r="BY159" s="39" t="s">
        <v>152</v>
      </c>
      <c r="BZ159" s="27">
        <v>56</v>
      </c>
      <c r="CA159" s="39">
        <v>2028</v>
      </c>
      <c r="CB159" s="40" t="s">
        <v>160</v>
      </c>
      <c r="CD159" s="44"/>
      <c r="CE159" s="45" t="s">
        <v>155</v>
      </c>
      <c r="CF159" s="39" t="s">
        <v>18</v>
      </c>
      <c r="CG159" s="39">
        <v>8</v>
      </c>
      <c r="CH159" s="39" t="s">
        <v>152</v>
      </c>
      <c r="CI159" s="27">
        <v>56</v>
      </c>
      <c r="CJ159" s="39">
        <v>2022</v>
      </c>
      <c r="CK159" s="41" t="s">
        <v>163</v>
      </c>
      <c r="CM159" s="42"/>
      <c r="CN159" s="34"/>
      <c r="CO159" s="10"/>
      <c r="CP159" s="10"/>
      <c r="CQ159" s="10"/>
      <c r="CS159" s="10"/>
      <c r="CT159" s="33"/>
    </row>
    <row r="160" spans="1:98" x14ac:dyDescent="0.25">
      <c r="A160" s="44"/>
      <c r="B160" s="45" t="s">
        <v>155</v>
      </c>
      <c r="C160" s="39" t="s">
        <v>18</v>
      </c>
      <c r="D160" s="39">
        <v>9</v>
      </c>
      <c r="E160" s="39" t="s">
        <v>152</v>
      </c>
      <c r="F160" s="27">
        <v>57</v>
      </c>
      <c r="G160" s="39" t="s">
        <v>54</v>
      </c>
      <c r="H160" s="41" t="s">
        <v>168</v>
      </c>
      <c r="I160" s="27"/>
      <c r="J160" s="44"/>
      <c r="K160" s="45" t="s">
        <v>155</v>
      </c>
      <c r="L160" s="39" t="s">
        <v>18</v>
      </c>
      <c r="M160" s="39">
        <v>9</v>
      </c>
      <c r="N160" s="39" t="s">
        <v>152</v>
      </c>
      <c r="O160" s="27">
        <v>57</v>
      </c>
      <c r="P160" s="39" t="s">
        <v>56</v>
      </c>
      <c r="Q160" s="41" t="s">
        <v>171</v>
      </c>
      <c r="R160" s="27"/>
      <c r="S160" s="44"/>
      <c r="T160" s="45" t="s">
        <v>155</v>
      </c>
      <c r="U160" s="39" t="s">
        <v>18</v>
      </c>
      <c r="V160" s="39">
        <v>9</v>
      </c>
      <c r="W160" s="39" t="s">
        <v>152</v>
      </c>
      <c r="X160" s="27">
        <v>57</v>
      </c>
      <c r="Y160" s="39" t="s">
        <v>270</v>
      </c>
      <c r="Z160" s="41" t="s">
        <v>184</v>
      </c>
      <c r="AA160" s="27"/>
      <c r="AB160" s="44"/>
      <c r="AC160" s="45" t="s">
        <v>155</v>
      </c>
      <c r="AD160" s="39" t="s">
        <v>18</v>
      </c>
      <c r="AE160" s="39">
        <v>9</v>
      </c>
      <c r="AF160" s="39" t="s">
        <v>152</v>
      </c>
      <c r="AG160" s="27">
        <v>57</v>
      </c>
      <c r="AH160" s="39" t="s">
        <v>76</v>
      </c>
      <c r="AI160" s="41" t="s">
        <v>181</v>
      </c>
      <c r="AJ160" s="27"/>
      <c r="AK160" s="44"/>
      <c r="AL160" s="45" t="s">
        <v>155</v>
      </c>
      <c r="AM160" s="39" t="s">
        <v>18</v>
      </c>
      <c r="AN160" s="39">
        <v>9</v>
      </c>
      <c r="AO160" s="39" t="s">
        <v>152</v>
      </c>
      <c r="AP160" s="27">
        <v>57</v>
      </c>
      <c r="AQ160" s="39" t="s">
        <v>60</v>
      </c>
      <c r="AR160" s="40" t="s">
        <v>160</v>
      </c>
      <c r="AS160" s="27"/>
      <c r="AT160" s="44"/>
      <c r="AU160" s="45" t="s">
        <v>155</v>
      </c>
      <c r="AV160" s="39" t="s">
        <v>18</v>
      </c>
      <c r="AW160" s="39">
        <v>9</v>
      </c>
      <c r="AX160" s="39" t="s">
        <v>152</v>
      </c>
      <c r="AY160" s="27">
        <v>57</v>
      </c>
      <c r="AZ160" s="39">
        <v>1044</v>
      </c>
      <c r="BA160" s="41" t="s">
        <v>163</v>
      </c>
      <c r="BB160" s="27"/>
      <c r="BC160" s="44"/>
      <c r="BD160" s="45" t="s">
        <v>155</v>
      </c>
      <c r="BE160" s="39" t="s">
        <v>18</v>
      </c>
      <c r="BF160" s="39">
        <v>9</v>
      </c>
      <c r="BG160" s="39" t="s">
        <v>152</v>
      </c>
      <c r="BH160" s="27">
        <v>57</v>
      </c>
      <c r="BI160" s="39">
        <v>1046</v>
      </c>
      <c r="BJ160" s="41" t="s">
        <v>186</v>
      </c>
      <c r="BK160" s="27"/>
      <c r="BL160" s="44"/>
      <c r="BM160" s="45" t="s">
        <v>155</v>
      </c>
      <c r="BN160" s="39" t="s">
        <v>18</v>
      </c>
      <c r="BO160" s="39">
        <v>9</v>
      </c>
      <c r="BP160" s="39" t="s">
        <v>152</v>
      </c>
      <c r="BQ160" s="27">
        <v>57</v>
      </c>
      <c r="BR160" s="39">
        <v>1023</v>
      </c>
      <c r="BS160" s="41" t="s">
        <v>183</v>
      </c>
      <c r="BT160" s="27"/>
      <c r="BU160" s="44"/>
      <c r="BV160" s="45" t="s">
        <v>155</v>
      </c>
      <c r="BW160" s="39" t="s">
        <v>18</v>
      </c>
      <c r="BX160" s="39">
        <v>9</v>
      </c>
      <c r="BY160" s="39" t="s">
        <v>152</v>
      </c>
      <c r="BZ160" s="27">
        <v>57</v>
      </c>
      <c r="CA160" s="39">
        <v>2028</v>
      </c>
      <c r="CB160" s="41" t="s">
        <v>168</v>
      </c>
      <c r="CD160" s="44"/>
      <c r="CE160" s="45" t="s">
        <v>155</v>
      </c>
      <c r="CF160" s="39" t="s">
        <v>18</v>
      </c>
      <c r="CG160" s="39">
        <v>9</v>
      </c>
      <c r="CH160" s="39" t="s">
        <v>152</v>
      </c>
      <c r="CI160" s="27">
        <v>57</v>
      </c>
      <c r="CJ160" s="39">
        <v>2022</v>
      </c>
      <c r="CK160" s="41" t="s">
        <v>171</v>
      </c>
      <c r="CM160" s="42"/>
      <c r="CN160" s="34"/>
      <c r="CO160" s="10"/>
      <c r="CP160" s="10"/>
      <c r="CQ160" s="10"/>
      <c r="CS160" s="10"/>
      <c r="CT160" s="43"/>
    </row>
    <row r="161" spans="1:98" x14ac:dyDescent="0.25">
      <c r="A161" s="44"/>
      <c r="B161" s="45" t="s">
        <v>155</v>
      </c>
      <c r="C161" s="39" t="s">
        <v>18</v>
      </c>
      <c r="D161" s="39">
        <v>10</v>
      </c>
      <c r="E161" s="39" t="s">
        <v>152</v>
      </c>
      <c r="F161" s="27">
        <v>58</v>
      </c>
      <c r="G161" s="39" t="s">
        <v>54</v>
      </c>
      <c r="H161" s="41" t="s">
        <v>176</v>
      </c>
      <c r="I161" s="27"/>
      <c r="J161" s="44"/>
      <c r="K161" s="45" t="s">
        <v>155</v>
      </c>
      <c r="L161" s="39" t="s">
        <v>18</v>
      </c>
      <c r="M161" s="39">
        <v>10</v>
      </c>
      <c r="N161" s="39" t="s">
        <v>152</v>
      </c>
      <c r="O161" s="27">
        <v>58</v>
      </c>
      <c r="P161" s="39" t="s">
        <v>56</v>
      </c>
      <c r="Q161" s="41" t="s">
        <v>161</v>
      </c>
      <c r="R161" s="27"/>
      <c r="S161" s="44"/>
      <c r="T161" s="45" t="s">
        <v>155</v>
      </c>
      <c r="U161" s="39" t="s">
        <v>18</v>
      </c>
      <c r="V161" s="39">
        <v>10</v>
      </c>
      <c r="W161" s="39" t="s">
        <v>152</v>
      </c>
      <c r="X161" s="27">
        <v>58</v>
      </c>
      <c r="Y161" s="39" t="s">
        <v>270</v>
      </c>
      <c r="Z161" s="41" t="s">
        <v>187</v>
      </c>
      <c r="AA161" s="27"/>
      <c r="AB161" s="44"/>
      <c r="AC161" s="45" t="s">
        <v>155</v>
      </c>
      <c r="AD161" s="39" t="s">
        <v>18</v>
      </c>
      <c r="AE161" s="39">
        <v>10</v>
      </c>
      <c r="AF161" s="39" t="s">
        <v>152</v>
      </c>
      <c r="AG161" s="27">
        <v>58</v>
      </c>
      <c r="AH161" s="39" t="s">
        <v>76</v>
      </c>
      <c r="AI161" s="41" t="s">
        <v>183</v>
      </c>
      <c r="AJ161" s="27"/>
      <c r="AK161" s="44"/>
      <c r="AL161" s="45" t="s">
        <v>155</v>
      </c>
      <c r="AM161" s="39" t="s">
        <v>18</v>
      </c>
      <c r="AN161" s="39">
        <v>10</v>
      </c>
      <c r="AO161" s="39" t="s">
        <v>152</v>
      </c>
      <c r="AP161" s="27">
        <v>58</v>
      </c>
      <c r="AQ161" s="39" t="s">
        <v>60</v>
      </c>
      <c r="AR161" s="41" t="s">
        <v>168</v>
      </c>
      <c r="AS161" s="27"/>
      <c r="AT161" s="44"/>
      <c r="AU161" s="45" t="s">
        <v>155</v>
      </c>
      <c r="AV161" s="39" t="s">
        <v>18</v>
      </c>
      <c r="AW161" s="39">
        <v>10</v>
      </c>
      <c r="AX161" s="39" t="s">
        <v>152</v>
      </c>
      <c r="AY161" s="27">
        <v>58</v>
      </c>
      <c r="AZ161" s="39">
        <v>1044</v>
      </c>
      <c r="BA161" s="41" t="s">
        <v>171</v>
      </c>
      <c r="BB161" s="27"/>
      <c r="BC161" s="44"/>
      <c r="BD161" s="45" t="s">
        <v>155</v>
      </c>
      <c r="BE161" s="39" t="s">
        <v>18</v>
      </c>
      <c r="BF161" s="39">
        <v>10</v>
      </c>
      <c r="BG161" s="39" t="s">
        <v>152</v>
      </c>
      <c r="BH161" s="27">
        <v>58</v>
      </c>
      <c r="BI161" s="39">
        <v>1046</v>
      </c>
      <c r="BJ161" s="41" t="s">
        <v>188</v>
      </c>
      <c r="BK161" s="27"/>
      <c r="BL161" s="44"/>
      <c r="BM161" s="45" t="s">
        <v>155</v>
      </c>
      <c r="BN161" s="39" t="s">
        <v>18</v>
      </c>
      <c r="BO161" s="39">
        <v>10</v>
      </c>
      <c r="BP161" s="39" t="s">
        <v>152</v>
      </c>
      <c r="BQ161" s="27">
        <v>58</v>
      </c>
      <c r="BR161" s="39">
        <v>1023</v>
      </c>
      <c r="BS161" s="41" t="s">
        <v>186</v>
      </c>
      <c r="BT161" s="27"/>
      <c r="BU161" s="44"/>
      <c r="BV161" s="45" t="s">
        <v>155</v>
      </c>
      <c r="BW161" s="39" t="s">
        <v>18</v>
      </c>
      <c r="BX161" s="39">
        <v>10</v>
      </c>
      <c r="BY161" s="39" t="s">
        <v>152</v>
      </c>
      <c r="BZ161" s="27">
        <v>58</v>
      </c>
      <c r="CA161" s="39">
        <v>2028</v>
      </c>
      <c r="CB161" s="41" t="s">
        <v>176</v>
      </c>
      <c r="CD161" s="44"/>
      <c r="CE161" s="45" t="s">
        <v>155</v>
      </c>
      <c r="CF161" s="39" t="s">
        <v>18</v>
      </c>
      <c r="CG161" s="39">
        <v>10</v>
      </c>
      <c r="CH161" s="39" t="s">
        <v>152</v>
      </c>
      <c r="CI161" s="27">
        <v>58</v>
      </c>
      <c r="CJ161" s="39">
        <v>2022</v>
      </c>
      <c r="CK161" s="41" t="s">
        <v>161</v>
      </c>
      <c r="CM161" s="42"/>
      <c r="CN161" s="34"/>
      <c r="CO161" s="10"/>
      <c r="CP161" s="10"/>
      <c r="CQ161" s="10"/>
      <c r="CS161" s="10"/>
      <c r="CT161" s="43"/>
    </row>
    <row r="162" spans="1:98" ht="15.75" thickBot="1" x14ac:dyDescent="0.3">
      <c r="A162" s="44"/>
      <c r="B162" s="45" t="s">
        <v>155</v>
      </c>
      <c r="C162" s="39" t="s">
        <v>18</v>
      </c>
      <c r="D162" s="39">
        <v>11</v>
      </c>
      <c r="E162" s="39" t="s">
        <v>152</v>
      </c>
      <c r="F162" s="27">
        <v>59</v>
      </c>
      <c r="G162" s="39" t="s">
        <v>54</v>
      </c>
      <c r="H162" s="41" t="s">
        <v>164</v>
      </c>
      <c r="I162" s="27"/>
      <c r="J162" s="44"/>
      <c r="K162" s="45" t="s">
        <v>155</v>
      </c>
      <c r="L162" s="39" t="s">
        <v>18</v>
      </c>
      <c r="M162" s="39">
        <v>11</v>
      </c>
      <c r="N162" s="39" t="s">
        <v>152</v>
      </c>
      <c r="O162" s="27">
        <v>59</v>
      </c>
      <c r="P162" s="39" t="s">
        <v>56</v>
      </c>
      <c r="Q162" s="46" t="s">
        <v>169</v>
      </c>
      <c r="R162" s="27"/>
      <c r="S162" s="44"/>
      <c r="T162" s="45" t="s">
        <v>155</v>
      </c>
      <c r="U162" s="39" t="s">
        <v>18</v>
      </c>
      <c r="V162" s="39">
        <v>11</v>
      </c>
      <c r="W162" s="39" t="s">
        <v>152</v>
      </c>
      <c r="X162" s="27">
        <v>59</v>
      </c>
      <c r="Y162" s="39" t="s">
        <v>270</v>
      </c>
      <c r="Z162" s="41" t="s">
        <v>189</v>
      </c>
      <c r="AA162" s="27"/>
      <c r="AB162" s="44"/>
      <c r="AC162" s="45" t="s">
        <v>155</v>
      </c>
      <c r="AD162" s="39" t="s">
        <v>18</v>
      </c>
      <c r="AE162" s="39">
        <v>11</v>
      </c>
      <c r="AF162" s="39" t="s">
        <v>152</v>
      </c>
      <c r="AG162" s="27">
        <v>59</v>
      </c>
      <c r="AH162" s="39" t="s">
        <v>76</v>
      </c>
      <c r="AI162" s="41" t="s">
        <v>186</v>
      </c>
      <c r="AJ162" s="27"/>
      <c r="AK162" s="44"/>
      <c r="AL162" s="45" t="s">
        <v>155</v>
      </c>
      <c r="AM162" s="39" t="s">
        <v>18</v>
      </c>
      <c r="AN162" s="39">
        <v>11</v>
      </c>
      <c r="AO162" s="39" t="s">
        <v>152</v>
      </c>
      <c r="AP162" s="27">
        <v>59</v>
      </c>
      <c r="AQ162" s="39" t="s">
        <v>60</v>
      </c>
      <c r="AR162" s="41" t="s">
        <v>176</v>
      </c>
      <c r="AS162" s="27"/>
      <c r="AT162" s="44"/>
      <c r="AU162" s="45" t="s">
        <v>155</v>
      </c>
      <c r="AV162" s="39" t="s">
        <v>18</v>
      </c>
      <c r="AW162" s="39">
        <v>11</v>
      </c>
      <c r="AX162" s="39" t="s">
        <v>152</v>
      </c>
      <c r="AY162" s="27">
        <v>59</v>
      </c>
      <c r="AZ162" s="39">
        <v>1044</v>
      </c>
      <c r="BA162" s="41" t="s">
        <v>161</v>
      </c>
      <c r="BB162" s="27"/>
      <c r="BC162" s="44"/>
      <c r="BD162" s="45" t="s">
        <v>155</v>
      </c>
      <c r="BE162" s="39" t="s">
        <v>18</v>
      </c>
      <c r="BF162" s="39">
        <v>11</v>
      </c>
      <c r="BG162" s="39" t="s">
        <v>152</v>
      </c>
      <c r="BH162" s="27">
        <v>59</v>
      </c>
      <c r="BI162" s="39">
        <v>1046</v>
      </c>
      <c r="BJ162" s="41" t="s">
        <v>182</v>
      </c>
      <c r="BK162" s="27"/>
      <c r="BL162" s="44"/>
      <c r="BM162" s="45" t="s">
        <v>155</v>
      </c>
      <c r="BN162" s="39" t="s">
        <v>18</v>
      </c>
      <c r="BO162" s="39">
        <v>11</v>
      </c>
      <c r="BP162" s="39" t="s">
        <v>152</v>
      </c>
      <c r="BQ162" s="27">
        <v>59</v>
      </c>
      <c r="BR162" s="39">
        <v>1023</v>
      </c>
      <c r="BS162" s="41" t="s">
        <v>188</v>
      </c>
      <c r="BT162" s="27"/>
      <c r="BU162" s="44"/>
      <c r="BV162" s="45" t="s">
        <v>155</v>
      </c>
      <c r="BW162" s="39" t="s">
        <v>18</v>
      </c>
      <c r="BX162" s="39">
        <v>11</v>
      </c>
      <c r="BY162" s="39" t="s">
        <v>152</v>
      </c>
      <c r="BZ162" s="27">
        <v>59</v>
      </c>
      <c r="CA162" s="39">
        <v>2028</v>
      </c>
      <c r="CB162" s="41" t="s">
        <v>164</v>
      </c>
      <c r="CD162" s="44"/>
      <c r="CE162" s="45" t="s">
        <v>155</v>
      </c>
      <c r="CF162" s="39" t="s">
        <v>18</v>
      </c>
      <c r="CG162" s="39">
        <v>11</v>
      </c>
      <c r="CH162" s="39" t="s">
        <v>152</v>
      </c>
      <c r="CI162" s="27">
        <v>59</v>
      </c>
      <c r="CJ162" s="39">
        <v>2022</v>
      </c>
      <c r="CK162" s="41" t="s">
        <v>169</v>
      </c>
      <c r="CM162" s="42"/>
      <c r="CN162" s="34"/>
      <c r="CO162" s="10"/>
      <c r="CP162" s="10"/>
      <c r="CQ162" s="10"/>
      <c r="CS162" s="10"/>
      <c r="CT162" s="43"/>
    </row>
    <row r="163" spans="1:98" ht="15.75" thickBot="1" x14ac:dyDescent="0.3">
      <c r="A163" s="52"/>
      <c r="B163" s="53" t="s">
        <v>155</v>
      </c>
      <c r="C163" s="54" t="s">
        <v>18</v>
      </c>
      <c r="D163" s="54">
        <v>12</v>
      </c>
      <c r="E163" s="54" t="s">
        <v>152</v>
      </c>
      <c r="F163" s="55">
        <v>60</v>
      </c>
      <c r="G163" s="39" t="s">
        <v>54</v>
      </c>
      <c r="H163" s="41" t="s">
        <v>172</v>
      </c>
      <c r="I163" s="27"/>
      <c r="J163" s="52"/>
      <c r="K163" s="53" t="s">
        <v>155</v>
      </c>
      <c r="L163" s="54" t="s">
        <v>18</v>
      </c>
      <c r="M163" s="54">
        <v>12</v>
      </c>
      <c r="N163" s="54" t="s">
        <v>152</v>
      </c>
      <c r="O163" s="55">
        <v>60</v>
      </c>
      <c r="P163" s="39" t="s">
        <v>56</v>
      </c>
      <c r="Q163" s="41" t="s">
        <v>177</v>
      </c>
      <c r="R163" s="27"/>
      <c r="S163" s="52"/>
      <c r="T163" s="53" t="s">
        <v>155</v>
      </c>
      <c r="U163" s="54" t="s">
        <v>18</v>
      </c>
      <c r="V163" s="54">
        <v>12</v>
      </c>
      <c r="W163" s="54" t="s">
        <v>152</v>
      </c>
      <c r="X163" s="55">
        <v>60</v>
      </c>
      <c r="Y163" s="39">
        <v>1021</v>
      </c>
      <c r="Z163" s="40" t="s">
        <v>160</v>
      </c>
      <c r="AA163" s="27"/>
      <c r="AB163" s="52"/>
      <c r="AC163" s="53" t="s">
        <v>155</v>
      </c>
      <c r="AD163" s="54" t="s">
        <v>18</v>
      </c>
      <c r="AE163" s="54">
        <v>12</v>
      </c>
      <c r="AF163" s="54" t="s">
        <v>152</v>
      </c>
      <c r="AG163" s="55">
        <v>60</v>
      </c>
      <c r="AH163" s="39" t="s">
        <v>76</v>
      </c>
      <c r="AI163" s="41" t="s">
        <v>188</v>
      </c>
      <c r="AJ163" s="27"/>
      <c r="AK163" s="52"/>
      <c r="AL163" s="53" t="s">
        <v>155</v>
      </c>
      <c r="AM163" s="54" t="s">
        <v>18</v>
      </c>
      <c r="AN163" s="54">
        <v>12</v>
      </c>
      <c r="AO163" s="54" t="s">
        <v>152</v>
      </c>
      <c r="AP163" s="55">
        <v>60</v>
      </c>
      <c r="AQ163" s="39" t="s">
        <v>60</v>
      </c>
      <c r="AR163" s="41" t="s">
        <v>164</v>
      </c>
      <c r="AS163" s="27"/>
      <c r="AT163" s="52"/>
      <c r="AU163" s="53" t="s">
        <v>155</v>
      </c>
      <c r="AV163" s="54" t="s">
        <v>18</v>
      </c>
      <c r="AW163" s="54">
        <v>12</v>
      </c>
      <c r="AX163" s="54" t="s">
        <v>152</v>
      </c>
      <c r="AY163" s="55">
        <v>60</v>
      </c>
      <c r="AZ163" s="39">
        <v>1044</v>
      </c>
      <c r="BA163" s="46" t="s">
        <v>169</v>
      </c>
      <c r="BB163" s="27"/>
      <c r="BC163" s="52"/>
      <c r="BD163" s="53" t="s">
        <v>155</v>
      </c>
      <c r="BE163" s="54" t="s">
        <v>18</v>
      </c>
      <c r="BF163" s="54">
        <v>12</v>
      </c>
      <c r="BG163" s="54" t="s">
        <v>152</v>
      </c>
      <c r="BH163" s="55">
        <v>60</v>
      </c>
      <c r="BI163" s="39">
        <v>1046</v>
      </c>
      <c r="BJ163" s="41" t="s">
        <v>184</v>
      </c>
      <c r="BK163" s="27"/>
      <c r="BL163" s="52"/>
      <c r="BM163" s="53" t="s">
        <v>155</v>
      </c>
      <c r="BN163" s="54" t="s">
        <v>18</v>
      </c>
      <c r="BO163" s="54">
        <v>12</v>
      </c>
      <c r="BP163" s="54" t="s">
        <v>152</v>
      </c>
      <c r="BQ163" s="55">
        <v>60</v>
      </c>
      <c r="BR163" s="39">
        <v>1023</v>
      </c>
      <c r="BS163" s="41" t="s">
        <v>182</v>
      </c>
      <c r="BT163" s="27"/>
      <c r="BU163" s="52"/>
      <c r="BV163" s="53" t="s">
        <v>155</v>
      </c>
      <c r="BW163" s="54" t="s">
        <v>18</v>
      </c>
      <c r="BX163" s="54">
        <v>12</v>
      </c>
      <c r="BY163" s="54" t="s">
        <v>152</v>
      </c>
      <c r="BZ163" s="55">
        <v>60</v>
      </c>
      <c r="CA163" s="39">
        <v>2028</v>
      </c>
      <c r="CB163" s="41" t="s">
        <v>172</v>
      </c>
      <c r="CD163" s="52"/>
      <c r="CE163" s="53" t="s">
        <v>155</v>
      </c>
      <c r="CF163" s="54" t="s">
        <v>18</v>
      </c>
      <c r="CG163" s="54">
        <v>12</v>
      </c>
      <c r="CH163" s="54" t="s">
        <v>152</v>
      </c>
      <c r="CI163" s="55">
        <v>60</v>
      </c>
      <c r="CJ163" s="39">
        <v>2022</v>
      </c>
      <c r="CK163" s="41" t="s">
        <v>177</v>
      </c>
      <c r="CM163" s="47"/>
      <c r="CN163" s="48"/>
      <c r="CO163" s="49"/>
      <c r="CP163" s="49"/>
      <c r="CQ163" s="49"/>
      <c r="CR163" s="50"/>
      <c r="CS163" s="10"/>
      <c r="CT163" s="43"/>
    </row>
    <row r="164" spans="1:98" x14ac:dyDescent="0.25">
      <c r="A164" s="60"/>
      <c r="B164" s="36" t="s">
        <v>155</v>
      </c>
      <c r="C164" s="61" t="s">
        <v>29</v>
      </c>
      <c r="D164" s="61">
        <v>1</v>
      </c>
      <c r="E164" s="61" t="s">
        <v>152</v>
      </c>
      <c r="F164" s="62">
        <v>61</v>
      </c>
      <c r="G164" s="39" t="s">
        <v>54</v>
      </c>
      <c r="H164" s="41" t="s">
        <v>162</v>
      </c>
      <c r="I164" s="27"/>
      <c r="J164" s="60"/>
      <c r="K164" s="36" t="s">
        <v>155</v>
      </c>
      <c r="L164" s="61" t="s">
        <v>29</v>
      </c>
      <c r="M164" s="61">
        <v>1</v>
      </c>
      <c r="N164" s="61" t="s">
        <v>152</v>
      </c>
      <c r="O164" s="62">
        <v>61</v>
      </c>
      <c r="P164" s="39" t="s">
        <v>56</v>
      </c>
      <c r="Q164" s="41" t="s">
        <v>180</v>
      </c>
      <c r="R164" s="27"/>
      <c r="S164" s="60"/>
      <c r="T164" s="36" t="s">
        <v>155</v>
      </c>
      <c r="U164" s="61" t="s">
        <v>29</v>
      </c>
      <c r="V164" s="61">
        <v>1</v>
      </c>
      <c r="W164" s="61" t="s">
        <v>152</v>
      </c>
      <c r="X164" s="62">
        <v>61</v>
      </c>
      <c r="Y164" s="39">
        <v>1021</v>
      </c>
      <c r="Z164" s="41" t="s">
        <v>168</v>
      </c>
      <c r="AA164" s="27"/>
      <c r="AB164" s="60"/>
      <c r="AC164" s="36" t="s">
        <v>155</v>
      </c>
      <c r="AD164" s="61" t="s">
        <v>29</v>
      </c>
      <c r="AE164" s="61">
        <v>1</v>
      </c>
      <c r="AF164" s="61" t="s">
        <v>152</v>
      </c>
      <c r="AG164" s="62">
        <v>61</v>
      </c>
      <c r="AH164" s="39" t="s">
        <v>76</v>
      </c>
      <c r="AI164" s="41" t="s">
        <v>182</v>
      </c>
      <c r="AJ164" s="27"/>
      <c r="AK164" s="60"/>
      <c r="AL164" s="36" t="s">
        <v>155</v>
      </c>
      <c r="AM164" s="61" t="s">
        <v>29</v>
      </c>
      <c r="AN164" s="61">
        <v>1</v>
      </c>
      <c r="AO164" s="61" t="s">
        <v>152</v>
      </c>
      <c r="AP164" s="62">
        <v>61</v>
      </c>
      <c r="AQ164" s="39" t="s">
        <v>60</v>
      </c>
      <c r="AR164" s="41" t="s">
        <v>172</v>
      </c>
      <c r="AS164" s="27"/>
      <c r="AT164" s="60"/>
      <c r="AU164" s="36" t="s">
        <v>155</v>
      </c>
      <c r="AV164" s="61" t="s">
        <v>29</v>
      </c>
      <c r="AW164" s="61">
        <v>1</v>
      </c>
      <c r="AX164" s="61" t="s">
        <v>152</v>
      </c>
      <c r="AY164" s="62">
        <v>61</v>
      </c>
      <c r="AZ164" s="39">
        <v>1044</v>
      </c>
      <c r="BA164" s="41" t="s">
        <v>177</v>
      </c>
      <c r="BB164" s="27"/>
      <c r="BC164" s="60"/>
      <c r="BD164" s="36" t="s">
        <v>155</v>
      </c>
      <c r="BE164" s="61" t="s">
        <v>29</v>
      </c>
      <c r="BF164" s="61">
        <v>1</v>
      </c>
      <c r="BG164" s="61" t="s">
        <v>152</v>
      </c>
      <c r="BH164" s="62">
        <v>61</v>
      </c>
      <c r="BI164" s="39">
        <v>1046</v>
      </c>
      <c r="BJ164" s="41" t="s">
        <v>187</v>
      </c>
      <c r="BK164" s="27"/>
      <c r="BL164" s="60"/>
      <c r="BM164" s="36" t="s">
        <v>155</v>
      </c>
      <c r="BN164" s="61" t="s">
        <v>29</v>
      </c>
      <c r="BO164" s="61">
        <v>1</v>
      </c>
      <c r="BP164" s="61" t="s">
        <v>152</v>
      </c>
      <c r="BQ164" s="62">
        <v>61</v>
      </c>
      <c r="BR164" s="39">
        <v>1023</v>
      </c>
      <c r="BS164" s="41" t="s">
        <v>184</v>
      </c>
      <c r="BT164" s="27"/>
      <c r="BU164" s="60"/>
      <c r="BV164" s="36" t="s">
        <v>155</v>
      </c>
      <c r="BW164" s="61" t="s">
        <v>29</v>
      </c>
      <c r="BX164" s="61">
        <v>1</v>
      </c>
      <c r="BY164" s="61" t="s">
        <v>152</v>
      </c>
      <c r="BZ164" s="62">
        <v>61</v>
      </c>
      <c r="CA164" s="39">
        <v>2028</v>
      </c>
      <c r="CB164" s="41" t="s">
        <v>162</v>
      </c>
      <c r="CD164" s="60"/>
      <c r="CE164" s="36" t="s">
        <v>155</v>
      </c>
      <c r="CF164" s="61" t="s">
        <v>29</v>
      </c>
      <c r="CG164" s="61">
        <v>1</v>
      </c>
      <c r="CH164" s="61" t="s">
        <v>152</v>
      </c>
      <c r="CI164" s="62">
        <v>61</v>
      </c>
      <c r="CJ164" s="39">
        <v>2022</v>
      </c>
      <c r="CK164" s="41" t="s">
        <v>180</v>
      </c>
      <c r="CM164" s="56"/>
      <c r="CN164" s="31"/>
      <c r="CO164" s="58"/>
      <c r="CP164" s="58"/>
      <c r="CQ164" s="58"/>
      <c r="CR164" s="59"/>
      <c r="CS164" s="10"/>
      <c r="CT164" s="43"/>
    </row>
    <row r="165" spans="1:98" ht="15.75" thickBot="1" x14ac:dyDescent="0.3">
      <c r="A165" s="44"/>
      <c r="B165" s="45" t="s">
        <v>155</v>
      </c>
      <c r="C165" s="39" t="s">
        <v>29</v>
      </c>
      <c r="D165" s="39">
        <v>2</v>
      </c>
      <c r="E165" s="39" t="s">
        <v>152</v>
      </c>
      <c r="F165" s="27">
        <v>62</v>
      </c>
      <c r="G165" s="39" t="s">
        <v>54</v>
      </c>
      <c r="H165" s="41" t="s">
        <v>170</v>
      </c>
      <c r="I165" s="27"/>
      <c r="J165" s="44"/>
      <c r="K165" s="45" t="s">
        <v>155</v>
      </c>
      <c r="L165" s="39" t="s">
        <v>29</v>
      </c>
      <c r="M165" s="39">
        <v>2</v>
      </c>
      <c r="N165" s="39" t="s">
        <v>152</v>
      </c>
      <c r="O165" s="27">
        <v>62</v>
      </c>
      <c r="P165" s="39" t="s">
        <v>56</v>
      </c>
      <c r="Q165" s="41" t="s">
        <v>181</v>
      </c>
      <c r="R165" s="27"/>
      <c r="S165" s="44"/>
      <c r="T165" s="45" t="s">
        <v>155</v>
      </c>
      <c r="U165" s="39" t="s">
        <v>29</v>
      </c>
      <c r="V165" s="39">
        <v>2</v>
      </c>
      <c r="W165" s="39" t="s">
        <v>152</v>
      </c>
      <c r="X165" s="27">
        <v>62</v>
      </c>
      <c r="Y165" s="39">
        <v>1021</v>
      </c>
      <c r="Z165" s="41" t="s">
        <v>176</v>
      </c>
      <c r="AA165" s="27"/>
      <c r="AB165" s="44"/>
      <c r="AC165" s="45" t="s">
        <v>155</v>
      </c>
      <c r="AD165" s="39" t="s">
        <v>29</v>
      </c>
      <c r="AE165" s="39">
        <v>2</v>
      </c>
      <c r="AF165" s="39" t="s">
        <v>152</v>
      </c>
      <c r="AG165" s="27">
        <v>62</v>
      </c>
      <c r="AH165" s="39" t="s">
        <v>76</v>
      </c>
      <c r="AI165" s="41" t="s">
        <v>184</v>
      </c>
      <c r="AJ165" s="27"/>
      <c r="AK165" s="44"/>
      <c r="AL165" s="45" t="s">
        <v>155</v>
      </c>
      <c r="AM165" s="39" t="s">
        <v>29</v>
      </c>
      <c r="AN165" s="39">
        <v>2</v>
      </c>
      <c r="AO165" s="39" t="s">
        <v>152</v>
      </c>
      <c r="AP165" s="27">
        <v>62</v>
      </c>
      <c r="AQ165" s="39" t="s">
        <v>60</v>
      </c>
      <c r="AR165" s="41" t="s">
        <v>162</v>
      </c>
      <c r="AS165" s="27"/>
      <c r="AT165" s="44"/>
      <c r="AU165" s="45" t="s">
        <v>155</v>
      </c>
      <c r="AV165" s="39" t="s">
        <v>29</v>
      </c>
      <c r="AW165" s="39">
        <v>2</v>
      </c>
      <c r="AX165" s="39" t="s">
        <v>152</v>
      </c>
      <c r="AY165" s="27">
        <v>62</v>
      </c>
      <c r="AZ165" s="39">
        <v>1044</v>
      </c>
      <c r="BA165" s="41" t="s">
        <v>180</v>
      </c>
      <c r="BB165" s="27"/>
      <c r="BC165" s="44"/>
      <c r="BD165" s="45" t="s">
        <v>155</v>
      </c>
      <c r="BE165" s="39" t="s">
        <v>29</v>
      </c>
      <c r="BF165" s="39">
        <v>2</v>
      </c>
      <c r="BG165" s="39" t="s">
        <v>152</v>
      </c>
      <c r="BH165" s="27">
        <v>62</v>
      </c>
      <c r="BI165" s="39">
        <v>1046</v>
      </c>
      <c r="BJ165" s="41" t="s">
        <v>189</v>
      </c>
      <c r="BK165" s="27"/>
      <c r="BL165" s="44"/>
      <c r="BM165" s="45" t="s">
        <v>155</v>
      </c>
      <c r="BN165" s="39" t="s">
        <v>29</v>
      </c>
      <c r="BO165" s="39">
        <v>2</v>
      </c>
      <c r="BP165" s="39" t="s">
        <v>152</v>
      </c>
      <c r="BQ165" s="27">
        <v>62</v>
      </c>
      <c r="BR165" s="39">
        <v>1023</v>
      </c>
      <c r="BS165" s="41" t="s">
        <v>187</v>
      </c>
      <c r="BT165" s="27"/>
      <c r="BU165" s="44"/>
      <c r="BV165" s="45" t="s">
        <v>155</v>
      </c>
      <c r="BW165" s="39" t="s">
        <v>29</v>
      </c>
      <c r="BX165" s="39">
        <v>2</v>
      </c>
      <c r="BY165" s="39" t="s">
        <v>152</v>
      </c>
      <c r="BZ165" s="27">
        <v>62</v>
      </c>
      <c r="CA165" s="39">
        <v>2028</v>
      </c>
      <c r="CB165" s="41" t="s">
        <v>170</v>
      </c>
      <c r="CD165" s="44"/>
      <c r="CE165" s="45" t="s">
        <v>155</v>
      </c>
      <c r="CF165" s="39" t="s">
        <v>29</v>
      </c>
      <c r="CG165" s="39">
        <v>2</v>
      </c>
      <c r="CH165" s="39" t="s">
        <v>152</v>
      </c>
      <c r="CI165" s="27">
        <v>62</v>
      </c>
      <c r="CJ165" s="39">
        <v>2022</v>
      </c>
      <c r="CK165" s="41" t="s">
        <v>181</v>
      </c>
      <c r="CM165" s="42"/>
      <c r="CN165" s="34"/>
      <c r="CO165" s="10"/>
      <c r="CP165" s="10"/>
      <c r="CQ165" s="10"/>
      <c r="CS165" s="10"/>
      <c r="CT165" s="43"/>
    </row>
    <row r="166" spans="1:98" ht="15.75" thickBot="1" x14ac:dyDescent="0.3">
      <c r="A166" s="44"/>
      <c r="B166" s="45" t="s">
        <v>155</v>
      </c>
      <c r="C166" s="39" t="s">
        <v>29</v>
      </c>
      <c r="D166" s="39">
        <v>3</v>
      </c>
      <c r="E166" s="39" t="s">
        <v>152</v>
      </c>
      <c r="F166" s="27">
        <v>63</v>
      </c>
      <c r="G166" s="39" t="s">
        <v>54</v>
      </c>
      <c r="H166" s="41" t="s">
        <v>178</v>
      </c>
      <c r="I166" s="27"/>
      <c r="J166" s="44"/>
      <c r="K166" s="45" t="s">
        <v>155</v>
      </c>
      <c r="L166" s="39" t="s">
        <v>29</v>
      </c>
      <c r="M166" s="39">
        <v>3</v>
      </c>
      <c r="N166" s="39" t="s">
        <v>152</v>
      </c>
      <c r="O166" s="27">
        <v>63</v>
      </c>
      <c r="P166" s="39" t="s">
        <v>56</v>
      </c>
      <c r="Q166" s="41" t="s">
        <v>183</v>
      </c>
      <c r="R166" s="27"/>
      <c r="S166" s="44"/>
      <c r="T166" s="45" t="s">
        <v>155</v>
      </c>
      <c r="U166" s="39" t="s">
        <v>29</v>
      </c>
      <c r="V166" s="39">
        <v>3</v>
      </c>
      <c r="W166" s="39" t="s">
        <v>152</v>
      </c>
      <c r="X166" s="27">
        <v>63</v>
      </c>
      <c r="Y166" s="39">
        <v>1021</v>
      </c>
      <c r="Z166" s="41" t="s">
        <v>164</v>
      </c>
      <c r="AA166" s="27"/>
      <c r="AB166" s="44"/>
      <c r="AC166" s="45" t="s">
        <v>155</v>
      </c>
      <c r="AD166" s="39" t="s">
        <v>29</v>
      </c>
      <c r="AE166" s="39">
        <v>3</v>
      </c>
      <c r="AF166" s="39" t="s">
        <v>152</v>
      </c>
      <c r="AG166" s="27">
        <v>63</v>
      </c>
      <c r="AH166" s="39" t="s">
        <v>76</v>
      </c>
      <c r="AI166" s="41" t="s">
        <v>187</v>
      </c>
      <c r="AJ166" s="27"/>
      <c r="AK166" s="44"/>
      <c r="AL166" s="45" t="s">
        <v>155</v>
      </c>
      <c r="AM166" s="39" t="s">
        <v>29</v>
      </c>
      <c r="AN166" s="39">
        <v>3</v>
      </c>
      <c r="AO166" s="39" t="s">
        <v>152</v>
      </c>
      <c r="AP166" s="27">
        <v>63</v>
      </c>
      <c r="AQ166" s="39" t="s">
        <v>60</v>
      </c>
      <c r="AR166" s="41" t="s">
        <v>170</v>
      </c>
      <c r="AS166" s="27"/>
      <c r="AT166" s="44"/>
      <c r="AU166" s="45" t="s">
        <v>155</v>
      </c>
      <c r="AV166" s="39" t="s">
        <v>29</v>
      </c>
      <c r="AW166" s="39">
        <v>3</v>
      </c>
      <c r="AX166" s="39" t="s">
        <v>152</v>
      </c>
      <c r="AY166" s="27">
        <v>63</v>
      </c>
      <c r="AZ166" s="39">
        <v>1044</v>
      </c>
      <c r="BA166" s="41" t="s">
        <v>181</v>
      </c>
      <c r="BB166" s="27"/>
      <c r="BC166" s="44"/>
      <c r="BD166" s="45" t="s">
        <v>155</v>
      </c>
      <c r="BE166" s="39" t="s">
        <v>29</v>
      </c>
      <c r="BF166" s="39">
        <v>3</v>
      </c>
      <c r="BG166" s="39" t="s">
        <v>152</v>
      </c>
      <c r="BH166" s="27">
        <v>63</v>
      </c>
      <c r="BI166" s="39">
        <v>1047</v>
      </c>
      <c r="BJ166" s="40" t="s">
        <v>160</v>
      </c>
      <c r="BK166" s="27"/>
      <c r="BL166" s="44"/>
      <c r="BM166" s="45" t="s">
        <v>155</v>
      </c>
      <c r="BN166" s="39" t="s">
        <v>29</v>
      </c>
      <c r="BO166" s="39">
        <v>3</v>
      </c>
      <c r="BP166" s="39" t="s">
        <v>152</v>
      </c>
      <c r="BQ166" s="27">
        <v>63</v>
      </c>
      <c r="BR166" s="39">
        <v>1023</v>
      </c>
      <c r="BS166" s="41" t="s">
        <v>189</v>
      </c>
      <c r="BT166" s="27"/>
      <c r="BU166" s="44"/>
      <c r="BV166" s="45" t="s">
        <v>155</v>
      </c>
      <c r="BW166" s="39" t="s">
        <v>29</v>
      </c>
      <c r="BX166" s="39">
        <v>3</v>
      </c>
      <c r="BY166" s="39" t="s">
        <v>152</v>
      </c>
      <c r="BZ166" s="27">
        <v>63</v>
      </c>
      <c r="CA166" s="39">
        <v>2028</v>
      </c>
      <c r="CB166" s="41" t="s">
        <v>178</v>
      </c>
      <c r="CD166" s="44"/>
      <c r="CE166" s="45" t="s">
        <v>155</v>
      </c>
      <c r="CF166" s="39" t="s">
        <v>29</v>
      </c>
      <c r="CG166" s="39">
        <v>3</v>
      </c>
      <c r="CH166" s="39" t="s">
        <v>152</v>
      </c>
      <c r="CI166" s="27">
        <v>63</v>
      </c>
      <c r="CJ166" s="39">
        <v>2022</v>
      </c>
      <c r="CK166" s="40" t="s">
        <v>183</v>
      </c>
      <c r="CM166" s="42"/>
      <c r="CN166" s="34"/>
      <c r="CO166" s="10"/>
      <c r="CP166" s="10"/>
      <c r="CQ166" s="10"/>
      <c r="CS166" s="10"/>
      <c r="CT166" s="43"/>
    </row>
    <row r="167" spans="1:98" ht="15.75" thickBot="1" x14ac:dyDescent="0.3">
      <c r="A167" s="44"/>
      <c r="B167" s="45" t="s">
        <v>155</v>
      </c>
      <c r="C167" s="39" t="s">
        <v>29</v>
      </c>
      <c r="D167" s="39">
        <v>4</v>
      </c>
      <c r="E167" s="39" t="s">
        <v>152</v>
      </c>
      <c r="F167" s="27">
        <v>64</v>
      </c>
      <c r="G167" s="39" t="s">
        <v>54</v>
      </c>
      <c r="H167" s="41" t="s">
        <v>163</v>
      </c>
      <c r="I167" s="27"/>
      <c r="J167" s="44"/>
      <c r="K167" s="45" t="s">
        <v>155</v>
      </c>
      <c r="L167" s="39" t="s">
        <v>29</v>
      </c>
      <c r="M167" s="39">
        <v>4</v>
      </c>
      <c r="N167" s="39" t="s">
        <v>152</v>
      </c>
      <c r="O167" s="27">
        <v>64</v>
      </c>
      <c r="P167" s="39" t="s">
        <v>56</v>
      </c>
      <c r="Q167" s="41" t="s">
        <v>186</v>
      </c>
      <c r="R167" s="27"/>
      <c r="S167" s="44"/>
      <c r="T167" s="45" t="s">
        <v>155</v>
      </c>
      <c r="U167" s="39" t="s">
        <v>29</v>
      </c>
      <c r="V167" s="39">
        <v>4</v>
      </c>
      <c r="W167" s="39" t="s">
        <v>152</v>
      </c>
      <c r="X167" s="27">
        <v>64</v>
      </c>
      <c r="Y167" s="39">
        <v>1021</v>
      </c>
      <c r="Z167" s="41" t="s">
        <v>172</v>
      </c>
      <c r="AA167" s="27"/>
      <c r="AB167" s="44"/>
      <c r="AC167" s="45" t="s">
        <v>155</v>
      </c>
      <c r="AD167" s="39" t="s">
        <v>29</v>
      </c>
      <c r="AE167" s="39">
        <v>4</v>
      </c>
      <c r="AF167" s="39" t="s">
        <v>152</v>
      </c>
      <c r="AG167" s="27">
        <v>64</v>
      </c>
      <c r="AH167" s="39" t="s">
        <v>76</v>
      </c>
      <c r="AI167" s="41" t="s">
        <v>189</v>
      </c>
      <c r="AJ167" s="27"/>
      <c r="AK167" s="44"/>
      <c r="AL167" s="45" t="s">
        <v>155</v>
      </c>
      <c r="AM167" s="39" t="s">
        <v>29</v>
      </c>
      <c r="AN167" s="39">
        <v>4</v>
      </c>
      <c r="AO167" s="39" t="s">
        <v>152</v>
      </c>
      <c r="AP167" s="27">
        <v>64</v>
      </c>
      <c r="AQ167" s="39" t="s">
        <v>60</v>
      </c>
      <c r="AR167" s="41" t="s">
        <v>178</v>
      </c>
      <c r="AS167" s="27"/>
      <c r="AT167" s="44"/>
      <c r="AU167" s="45" t="s">
        <v>155</v>
      </c>
      <c r="AV167" s="39" t="s">
        <v>29</v>
      </c>
      <c r="AW167" s="39">
        <v>4</v>
      </c>
      <c r="AX167" s="39" t="s">
        <v>152</v>
      </c>
      <c r="AY167" s="27">
        <v>64</v>
      </c>
      <c r="AZ167" s="39">
        <v>1044</v>
      </c>
      <c r="BA167" s="41" t="s">
        <v>183</v>
      </c>
      <c r="BB167" s="27"/>
      <c r="BC167" s="44"/>
      <c r="BD167" s="45" t="s">
        <v>155</v>
      </c>
      <c r="BE167" s="39" t="s">
        <v>29</v>
      </c>
      <c r="BF167" s="39">
        <v>4</v>
      </c>
      <c r="BG167" s="39" t="s">
        <v>152</v>
      </c>
      <c r="BH167" s="27">
        <v>64</v>
      </c>
      <c r="BI167" s="39">
        <v>1047</v>
      </c>
      <c r="BJ167" s="41" t="s">
        <v>168</v>
      </c>
      <c r="BK167" s="27"/>
      <c r="BL167" s="44"/>
      <c r="BM167" s="45" t="s">
        <v>155</v>
      </c>
      <c r="BN167" s="39" t="s">
        <v>29</v>
      </c>
      <c r="BO167" s="39">
        <v>4</v>
      </c>
      <c r="BP167" s="39" t="s">
        <v>152</v>
      </c>
      <c r="BQ167" s="27">
        <v>64</v>
      </c>
      <c r="BR167" s="39">
        <v>1024</v>
      </c>
      <c r="BS167" s="40" t="s">
        <v>160</v>
      </c>
      <c r="BT167" s="27"/>
      <c r="BU167" s="44"/>
      <c r="BV167" s="45" t="s">
        <v>155</v>
      </c>
      <c r="BW167" s="39" t="s">
        <v>29</v>
      </c>
      <c r="BX167" s="39">
        <v>4</v>
      </c>
      <c r="BY167" s="39" t="s">
        <v>152</v>
      </c>
      <c r="BZ167" s="27">
        <v>64</v>
      </c>
      <c r="CA167" s="39">
        <v>2028</v>
      </c>
      <c r="CB167" s="41" t="s">
        <v>163</v>
      </c>
      <c r="CD167" s="44"/>
      <c r="CE167" s="45" t="s">
        <v>155</v>
      </c>
      <c r="CF167" s="39" t="s">
        <v>29</v>
      </c>
      <c r="CG167" s="39">
        <v>4</v>
      </c>
      <c r="CH167" s="39" t="s">
        <v>152</v>
      </c>
      <c r="CI167" s="27">
        <v>64</v>
      </c>
      <c r="CJ167" s="39">
        <v>2022</v>
      </c>
      <c r="CK167" s="41" t="s">
        <v>186</v>
      </c>
      <c r="CM167" s="42"/>
      <c r="CN167" s="34"/>
      <c r="CO167" s="10"/>
      <c r="CP167" s="10"/>
      <c r="CQ167" s="10"/>
      <c r="CS167" s="10"/>
      <c r="CT167" s="43"/>
    </row>
    <row r="168" spans="1:98" x14ac:dyDescent="0.25">
      <c r="A168" s="44"/>
      <c r="B168" s="45" t="s">
        <v>155</v>
      </c>
      <c r="C168" s="39" t="s">
        <v>29</v>
      </c>
      <c r="D168" s="39">
        <v>5</v>
      </c>
      <c r="E168" s="39" t="s">
        <v>152</v>
      </c>
      <c r="F168" s="27">
        <v>65</v>
      </c>
      <c r="G168" s="39" t="s">
        <v>54</v>
      </c>
      <c r="H168" s="41" t="s">
        <v>171</v>
      </c>
      <c r="I168" s="27"/>
      <c r="J168" s="44"/>
      <c r="K168" s="45" t="s">
        <v>155</v>
      </c>
      <c r="L168" s="39" t="s">
        <v>29</v>
      </c>
      <c r="M168" s="39">
        <v>5</v>
      </c>
      <c r="N168" s="39" t="s">
        <v>152</v>
      </c>
      <c r="O168" s="27">
        <v>65</v>
      </c>
      <c r="P168" s="39" t="s">
        <v>56</v>
      </c>
      <c r="Q168" s="41" t="s">
        <v>188</v>
      </c>
      <c r="R168" s="27"/>
      <c r="S168" s="44"/>
      <c r="T168" s="45" t="s">
        <v>155</v>
      </c>
      <c r="U168" s="39" t="s">
        <v>29</v>
      </c>
      <c r="V168" s="39">
        <v>5</v>
      </c>
      <c r="W168" s="39" t="s">
        <v>152</v>
      </c>
      <c r="X168" s="27">
        <v>65</v>
      </c>
      <c r="Y168" s="39">
        <v>1021</v>
      </c>
      <c r="Z168" s="41" t="s">
        <v>162</v>
      </c>
      <c r="AA168" s="27"/>
      <c r="AB168" s="44"/>
      <c r="AC168" s="45" t="s">
        <v>155</v>
      </c>
      <c r="AD168" s="39" t="s">
        <v>29</v>
      </c>
      <c r="AE168" s="39">
        <v>5</v>
      </c>
      <c r="AF168" s="39" t="s">
        <v>152</v>
      </c>
      <c r="AG168" s="27">
        <v>65</v>
      </c>
      <c r="AH168" s="39">
        <v>1039</v>
      </c>
      <c r="AI168" s="40" t="s">
        <v>160</v>
      </c>
      <c r="AJ168" s="27"/>
      <c r="AK168" s="44"/>
      <c r="AL168" s="45" t="s">
        <v>155</v>
      </c>
      <c r="AM168" s="39" t="s">
        <v>29</v>
      </c>
      <c r="AN168" s="39">
        <v>5</v>
      </c>
      <c r="AO168" s="39" t="s">
        <v>152</v>
      </c>
      <c r="AP168" s="27">
        <v>65</v>
      </c>
      <c r="AQ168" s="39" t="s">
        <v>60</v>
      </c>
      <c r="AR168" s="41" t="s">
        <v>163</v>
      </c>
      <c r="AS168" s="27"/>
      <c r="AT168" s="44"/>
      <c r="AU168" s="45" t="s">
        <v>155</v>
      </c>
      <c r="AV168" s="39" t="s">
        <v>29</v>
      </c>
      <c r="AW168" s="39">
        <v>5</v>
      </c>
      <c r="AX168" s="39" t="s">
        <v>152</v>
      </c>
      <c r="AY168" s="27">
        <v>65</v>
      </c>
      <c r="AZ168" s="39">
        <v>1044</v>
      </c>
      <c r="BA168" s="41" t="s">
        <v>186</v>
      </c>
      <c r="BB168" s="27"/>
      <c r="BC168" s="44"/>
      <c r="BD168" s="45" t="s">
        <v>155</v>
      </c>
      <c r="BE168" s="39" t="s">
        <v>29</v>
      </c>
      <c r="BF168" s="39">
        <v>5</v>
      </c>
      <c r="BG168" s="39" t="s">
        <v>152</v>
      </c>
      <c r="BH168" s="27">
        <v>65</v>
      </c>
      <c r="BI168" s="39">
        <v>1047</v>
      </c>
      <c r="BJ168" s="41" t="s">
        <v>176</v>
      </c>
      <c r="BK168" s="27"/>
      <c r="BL168" s="44"/>
      <c r="BM168" s="45" t="s">
        <v>155</v>
      </c>
      <c r="BN168" s="39" t="s">
        <v>29</v>
      </c>
      <c r="BO168" s="39">
        <v>5</v>
      </c>
      <c r="BP168" s="39" t="s">
        <v>152</v>
      </c>
      <c r="BQ168" s="27">
        <v>65</v>
      </c>
      <c r="BR168" s="39">
        <v>1024</v>
      </c>
      <c r="BS168" s="41" t="s">
        <v>168</v>
      </c>
      <c r="BT168" s="27"/>
      <c r="BU168" s="44"/>
      <c r="BV168" s="45" t="s">
        <v>155</v>
      </c>
      <c r="BW168" s="39" t="s">
        <v>29</v>
      </c>
      <c r="BX168" s="39">
        <v>5</v>
      </c>
      <c r="BY168" s="39" t="s">
        <v>152</v>
      </c>
      <c r="BZ168" s="27">
        <v>65</v>
      </c>
      <c r="CA168" s="39">
        <v>2028</v>
      </c>
      <c r="CB168" s="41" t="s">
        <v>171</v>
      </c>
      <c r="CD168" s="44"/>
      <c r="CE168" s="45" t="s">
        <v>155</v>
      </c>
      <c r="CF168" s="39" t="s">
        <v>29</v>
      </c>
      <c r="CG168" s="39">
        <v>5</v>
      </c>
      <c r="CH168" s="39" t="s">
        <v>152</v>
      </c>
      <c r="CI168" s="27">
        <v>65</v>
      </c>
      <c r="CJ168" s="39">
        <v>2022</v>
      </c>
      <c r="CK168" s="41" t="s">
        <v>188</v>
      </c>
      <c r="CM168" s="42"/>
      <c r="CN168" s="34"/>
      <c r="CO168" s="10"/>
      <c r="CP168" s="10"/>
      <c r="CQ168" s="10"/>
      <c r="CS168" s="10"/>
      <c r="CT168" s="43"/>
    </row>
    <row r="169" spans="1:98" x14ac:dyDescent="0.25">
      <c r="A169" s="44"/>
      <c r="B169" s="45" t="s">
        <v>155</v>
      </c>
      <c r="C169" s="39" t="s">
        <v>29</v>
      </c>
      <c r="D169" s="39">
        <v>6</v>
      </c>
      <c r="E169" s="39" t="s">
        <v>152</v>
      </c>
      <c r="F169" s="27">
        <v>66</v>
      </c>
      <c r="G169" s="39" t="s">
        <v>54</v>
      </c>
      <c r="H169" s="41" t="s">
        <v>161</v>
      </c>
      <c r="I169" s="27"/>
      <c r="J169" s="44"/>
      <c r="K169" s="45" t="s">
        <v>155</v>
      </c>
      <c r="L169" s="39" t="s">
        <v>29</v>
      </c>
      <c r="M169" s="39">
        <v>6</v>
      </c>
      <c r="N169" s="39" t="s">
        <v>152</v>
      </c>
      <c r="O169" s="27">
        <v>66</v>
      </c>
      <c r="P169" s="39" t="s">
        <v>56</v>
      </c>
      <c r="Q169" s="41" t="s">
        <v>182</v>
      </c>
      <c r="R169" s="27"/>
      <c r="S169" s="44"/>
      <c r="T169" s="45" t="s">
        <v>155</v>
      </c>
      <c r="U169" s="39" t="s">
        <v>29</v>
      </c>
      <c r="V169" s="39">
        <v>6</v>
      </c>
      <c r="W169" s="39" t="s">
        <v>152</v>
      </c>
      <c r="X169" s="27">
        <v>66</v>
      </c>
      <c r="Y169" s="39">
        <v>1021</v>
      </c>
      <c r="Z169" s="41" t="s">
        <v>170</v>
      </c>
      <c r="AA169" s="27"/>
      <c r="AB169" s="44"/>
      <c r="AC169" s="45" t="s">
        <v>155</v>
      </c>
      <c r="AD169" s="39" t="s">
        <v>29</v>
      </c>
      <c r="AE169" s="39">
        <v>6</v>
      </c>
      <c r="AF169" s="39" t="s">
        <v>152</v>
      </c>
      <c r="AG169" s="27">
        <v>66</v>
      </c>
      <c r="AH169" s="39">
        <v>1039</v>
      </c>
      <c r="AI169" s="41" t="s">
        <v>168</v>
      </c>
      <c r="AJ169" s="27"/>
      <c r="AK169" s="44"/>
      <c r="AL169" s="45" t="s">
        <v>155</v>
      </c>
      <c r="AM169" s="39" t="s">
        <v>29</v>
      </c>
      <c r="AN169" s="39">
        <v>6</v>
      </c>
      <c r="AO169" s="39" t="s">
        <v>152</v>
      </c>
      <c r="AP169" s="27">
        <v>66</v>
      </c>
      <c r="AQ169" s="39" t="s">
        <v>60</v>
      </c>
      <c r="AR169" s="41" t="s">
        <v>171</v>
      </c>
      <c r="AS169" s="27"/>
      <c r="AT169" s="44"/>
      <c r="AU169" s="45" t="s">
        <v>155</v>
      </c>
      <c r="AV169" s="39" t="s">
        <v>29</v>
      </c>
      <c r="AW169" s="39">
        <v>6</v>
      </c>
      <c r="AX169" s="39" t="s">
        <v>152</v>
      </c>
      <c r="AY169" s="27">
        <v>66</v>
      </c>
      <c r="AZ169" s="39">
        <v>1044</v>
      </c>
      <c r="BA169" s="41" t="s">
        <v>188</v>
      </c>
      <c r="BB169" s="27"/>
      <c r="BC169" s="44"/>
      <c r="BD169" s="45" t="s">
        <v>155</v>
      </c>
      <c r="BE169" s="39" t="s">
        <v>29</v>
      </c>
      <c r="BF169" s="39">
        <v>6</v>
      </c>
      <c r="BG169" s="39" t="s">
        <v>152</v>
      </c>
      <c r="BH169" s="27">
        <v>66</v>
      </c>
      <c r="BI169" s="39">
        <v>1047</v>
      </c>
      <c r="BJ169" s="41" t="s">
        <v>164</v>
      </c>
      <c r="BK169" s="27"/>
      <c r="BL169" s="44"/>
      <c r="BM169" s="45" t="s">
        <v>155</v>
      </c>
      <c r="BN169" s="39" t="s">
        <v>29</v>
      </c>
      <c r="BO169" s="39">
        <v>6</v>
      </c>
      <c r="BP169" s="39" t="s">
        <v>152</v>
      </c>
      <c r="BQ169" s="27">
        <v>66</v>
      </c>
      <c r="BR169" s="39">
        <v>1024</v>
      </c>
      <c r="BS169" s="41" t="s">
        <v>176</v>
      </c>
      <c r="BT169" s="27"/>
      <c r="BU169" s="44"/>
      <c r="BV169" s="45" t="s">
        <v>155</v>
      </c>
      <c r="BW169" s="39" t="s">
        <v>29</v>
      </c>
      <c r="BX169" s="39">
        <v>6</v>
      </c>
      <c r="BY169" s="39" t="s">
        <v>152</v>
      </c>
      <c r="BZ169" s="27">
        <v>66</v>
      </c>
      <c r="CA169" s="39">
        <v>2028</v>
      </c>
      <c r="CB169" s="41" t="s">
        <v>161</v>
      </c>
      <c r="CD169" s="44"/>
      <c r="CE169" s="45" t="s">
        <v>155</v>
      </c>
      <c r="CF169" s="39" t="s">
        <v>29</v>
      </c>
      <c r="CG169" s="39">
        <v>6</v>
      </c>
      <c r="CH169" s="39" t="s">
        <v>152</v>
      </c>
      <c r="CI169" s="27">
        <v>66</v>
      </c>
      <c r="CJ169" s="39">
        <v>2022</v>
      </c>
      <c r="CK169" s="41" t="s">
        <v>182</v>
      </c>
      <c r="CM169" s="42"/>
      <c r="CN169" s="34"/>
      <c r="CO169" s="10"/>
      <c r="CP169" s="10"/>
      <c r="CQ169" s="10"/>
      <c r="CS169" s="10"/>
      <c r="CT169" s="43"/>
    </row>
    <row r="170" spans="1:98" x14ac:dyDescent="0.25">
      <c r="A170" s="44"/>
      <c r="B170" s="45" t="s">
        <v>155</v>
      </c>
      <c r="C170" s="39" t="s">
        <v>29</v>
      </c>
      <c r="D170" s="39">
        <v>7</v>
      </c>
      <c r="E170" s="39" t="s">
        <v>152</v>
      </c>
      <c r="F170" s="27">
        <v>67</v>
      </c>
      <c r="G170" s="39" t="s">
        <v>54</v>
      </c>
      <c r="H170" s="46" t="s">
        <v>169</v>
      </c>
      <c r="I170" s="27"/>
      <c r="J170" s="44"/>
      <c r="K170" s="45" t="s">
        <v>155</v>
      </c>
      <c r="L170" s="39" t="s">
        <v>29</v>
      </c>
      <c r="M170" s="39">
        <v>7</v>
      </c>
      <c r="N170" s="39" t="s">
        <v>152</v>
      </c>
      <c r="O170" s="27">
        <v>67</v>
      </c>
      <c r="P170" s="39" t="s">
        <v>56</v>
      </c>
      <c r="Q170" s="41" t="s">
        <v>184</v>
      </c>
      <c r="R170" s="27"/>
      <c r="S170" s="44"/>
      <c r="T170" s="45" t="s">
        <v>155</v>
      </c>
      <c r="U170" s="39" t="s">
        <v>29</v>
      </c>
      <c r="V170" s="39">
        <v>7</v>
      </c>
      <c r="W170" s="39" t="s">
        <v>152</v>
      </c>
      <c r="X170" s="27">
        <v>67</v>
      </c>
      <c r="Y170" s="39">
        <v>1021</v>
      </c>
      <c r="Z170" s="41" t="s">
        <v>178</v>
      </c>
      <c r="AA170" s="27"/>
      <c r="AB170" s="44"/>
      <c r="AC170" s="45" t="s">
        <v>155</v>
      </c>
      <c r="AD170" s="39" t="s">
        <v>29</v>
      </c>
      <c r="AE170" s="39">
        <v>7</v>
      </c>
      <c r="AF170" s="39" t="s">
        <v>152</v>
      </c>
      <c r="AG170" s="27">
        <v>67</v>
      </c>
      <c r="AH170" s="39">
        <v>1039</v>
      </c>
      <c r="AI170" s="41" t="s">
        <v>176</v>
      </c>
      <c r="AJ170" s="27"/>
      <c r="AK170" s="44"/>
      <c r="AL170" s="45" t="s">
        <v>155</v>
      </c>
      <c r="AM170" s="39" t="s">
        <v>29</v>
      </c>
      <c r="AN170" s="39">
        <v>7</v>
      </c>
      <c r="AO170" s="39" t="s">
        <v>152</v>
      </c>
      <c r="AP170" s="27">
        <v>67</v>
      </c>
      <c r="AQ170" s="39" t="s">
        <v>60</v>
      </c>
      <c r="AR170" s="41" t="s">
        <v>161</v>
      </c>
      <c r="AS170" s="27"/>
      <c r="AT170" s="44"/>
      <c r="AU170" s="45" t="s">
        <v>155</v>
      </c>
      <c r="AV170" s="39" t="s">
        <v>29</v>
      </c>
      <c r="AW170" s="39">
        <v>7</v>
      </c>
      <c r="AX170" s="39" t="s">
        <v>152</v>
      </c>
      <c r="AY170" s="27">
        <v>67</v>
      </c>
      <c r="AZ170" s="39">
        <v>1044</v>
      </c>
      <c r="BA170" s="41" t="s">
        <v>182</v>
      </c>
      <c r="BB170" s="27"/>
      <c r="BC170" s="44"/>
      <c r="BD170" s="45" t="s">
        <v>155</v>
      </c>
      <c r="BE170" s="39" t="s">
        <v>29</v>
      </c>
      <c r="BF170" s="39">
        <v>7</v>
      </c>
      <c r="BG170" s="39" t="s">
        <v>152</v>
      </c>
      <c r="BH170" s="27">
        <v>67</v>
      </c>
      <c r="BI170" s="39">
        <v>1047</v>
      </c>
      <c r="BJ170" s="41" t="s">
        <v>172</v>
      </c>
      <c r="BK170" s="27"/>
      <c r="BL170" s="44"/>
      <c r="BM170" s="45" t="s">
        <v>155</v>
      </c>
      <c r="BN170" s="39" t="s">
        <v>29</v>
      </c>
      <c r="BO170" s="39">
        <v>7</v>
      </c>
      <c r="BP170" s="39" t="s">
        <v>152</v>
      </c>
      <c r="BQ170" s="27">
        <v>67</v>
      </c>
      <c r="BR170" s="39">
        <v>1024</v>
      </c>
      <c r="BS170" s="41" t="s">
        <v>164</v>
      </c>
      <c r="BT170" s="27"/>
      <c r="BU170" s="44"/>
      <c r="BV170" s="45" t="s">
        <v>155</v>
      </c>
      <c r="BW170" s="39" t="s">
        <v>29</v>
      </c>
      <c r="BX170" s="39">
        <v>7</v>
      </c>
      <c r="BY170" s="39" t="s">
        <v>152</v>
      </c>
      <c r="BZ170" s="27">
        <v>67</v>
      </c>
      <c r="CA170" s="39">
        <v>2028</v>
      </c>
      <c r="CB170" s="46" t="s">
        <v>169</v>
      </c>
      <c r="CD170" s="44"/>
      <c r="CE170" s="45" t="s">
        <v>155</v>
      </c>
      <c r="CF170" s="39" t="s">
        <v>29</v>
      </c>
      <c r="CG170" s="39">
        <v>7</v>
      </c>
      <c r="CH170" s="39" t="s">
        <v>152</v>
      </c>
      <c r="CI170" s="27">
        <v>67</v>
      </c>
      <c r="CJ170" s="39">
        <v>2022</v>
      </c>
      <c r="CK170" s="41" t="s">
        <v>184</v>
      </c>
      <c r="CM170" s="42"/>
      <c r="CN170" s="34"/>
      <c r="CO170" s="10"/>
      <c r="CP170" s="10"/>
      <c r="CQ170" s="10"/>
      <c r="CS170" s="10"/>
      <c r="CT170" s="51"/>
    </row>
    <row r="171" spans="1:98" x14ac:dyDescent="0.25">
      <c r="A171" s="44"/>
      <c r="B171" s="45" t="s">
        <v>155</v>
      </c>
      <c r="C171" s="39" t="s">
        <v>29</v>
      </c>
      <c r="D171" s="39">
        <v>8</v>
      </c>
      <c r="E171" s="39" t="s">
        <v>152</v>
      </c>
      <c r="F171" s="27">
        <v>68</v>
      </c>
      <c r="G171" s="39" t="s">
        <v>54</v>
      </c>
      <c r="H171" s="41" t="s">
        <v>177</v>
      </c>
      <c r="I171" s="27"/>
      <c r="J171" s="44"/>
      <c r="K171" s="45" t="s">
        <v>155</v>
      </c>
      <c r="L171" s="39" t="s">
        <v>29</v>
      </c>
      <c r="M171" s="39">
        <v>8</v>
      </c>
      <c r="N171" s="39" t="s">
        <v>152</v>
      </c>
      <c r="O171" s="27">
        <v>68</v>
      </c>
      <c r="P171" s="39" t="s">
        <v>56</v>
      </c>
      <c r="Q171" s="41" t="s">
        <v>187</v>
      </c>
      <c r="R171" s="27"/>
      <c r="S171" s="44"/>
      <c r="T171" s="45" t="s">
        <v>155</v>
      </c>
      <c r="U171" s="39" t="s">
        <v>29</v>
      </c>
      <c r="V171" s="39">
        <v>8</v>
      </c>
      <c r="W171" s="39" t="s">
        <v>152</v>
      </c>
      <c r="X171" s="27">
        <v>68</v>
      </c>
      <c r="Y171" s="39">
        <v>1021</v>
      </c>
      <c r="Z171" s="41" t="s">
        <v>163</v>
      </c>
      <c r="AA171" s="27"/>
      <c r="AB171" s="44"/>
      <c r="AC171" s="45" t="s">
        <v>155</v>
      </c>
      <c r="AD171" s="39" t="s">
        <v>29</v>
      </c>
      <c r="AE171" s="39">
        <v>8</v>
      </c>
      <c r="AF171" s="39" t="s">
        <v>152</v>
      </c>
      <c r="AG171" s="27">
        <v>68</v>
      </c>
      <c r="AH171" s="39">
        <v>1039</v>
      </c>
      <c r="AI171" s="41" t="s">
        <v>164</v>
      </c>
      <c r="AJ171" s="27"/>
      <c r="AK171" s="44"/>
      <c r="AL171" s="45" t="s">
        <v>155</v>
      </c>
      <c r="AM171" s="39" t="s">
        <v>29</v>
      </c>
      <c r="AN171" s="39">
        <v>8</v>
      </c>
      <c r="AO171" s="39" t="s">
        <v>152</v>
      </c>
      <c r="AP171" s="27">
        <v>68</v>
      </c>
      <c r="AQ171" s="39" t="s">
        <v>60</v>
      </c>
      <c r="AR171" s="46" t="s">
        <v>169</v>
      </c>
      <c r="AS171" s="27"/>
      <c r="AT171" s="44"/>
      <c r="AU171" s="45" t="s">
        <v>155</v>
      </c>
      <c r="AV171" s="39" t="s">
        <v>29</v>
      </c>
      <c r="AW171" s="39">
        <v>8</v>
      </c>
      <c r="AX171" s="39" t="s">
        <v>152</v>
      </c>
      <c r="AY171" s="27">
        <v>68</v>
      </c>
      <c r="AZ171" s="39">
        <v>1044</v>
      </c>
      <c r="BA171" s="41" t="s">
        <v>184</v>
      </c>
      <c r="BB171" s="27"/>
      <c r="BC171" s="44"/>
      <c r="BD171" s="45" t="s">
        <v>155</v>
      </c>
      <c r="BE171" s="39" t="s">
        <v>29</v>
      </c>
      <c r="BF171" s="39">
        <v>8</v>
      </c>
      <c r="BG171" s="39" t="s">
        <v>152</v>
      </c>
      <c r="BH171" s="27">
        <v>68</v>
      </c>
      <c r="BI171" s="39">
        <v>1047</v>
      </c>
      <c r="BJ171" s="41" t="s">
        <v>162</v>
      </c>
      <c r="BK171" s="27"/>
      <c r="BL171" s="44"/>
      <c r="BM171" s="45" t="s">
        <v>155</v>
      </c>
      <c r="BN171" s="39" t="s">
        <v>29</v>
      </c>
      <c r="BO171" s="39">
        <v>8</v>
      </c>
      <c r="BP171" s="39" t="s">
        <v>152</v>
      </c>
      <c r="BQ171" s="27">
        <v>68</v>
      </c>
      <c r="BR171" s="39">
        <v>1024</v>
      </c>
      <c r="BS171" s="41" t="s">
        <v>172</v>
      </c>
      <c r="BT171" s="27"/>
      <c r="BU171" s="44"/>
      <c r="BV171" s="45" t="s">
        <v>155</v>
      </c>
      <c r="BW171" s="39" t="s">
        <v>29</v>
      </c>
      <c r="BX171" s="39">
        <v>8</v>
      </c>
      <c r="BY171" s="39" t="s">
        <v>152</v>
      </c>
      <c r="BZ171" s="27">
        <v>68</v>
      </c>
      <c r="CA171" s="39">
        <v>2028</v>
      </c>
      <c r="CB171" s="41" t="s">
        <v>177</v>
      </c>
      <c r="CD171" s="44"/>
      <c r="CE171" s="45" t="s">
        <v>155</v>
      </c>
      <c r="CF171" s="39" t="s">
        <v>29</v>
      </c>
      <c r="CG171" s="39">
        <v>8</v>
      </c>
      <c r="CH171" s="39" t="s">
        <v>152</v>
      </c>
      <c r="CI171" s="27">
        <v>68</v>
      </c>
      <c r="CJ171" s="39">
        <v>2022</v>
      </c>
      <c r="CK171" s="41" t="s">
        <v>187</v>
      </c>
      <c r="CM171" s="42"/>
      <c r="CN171" s="34"/>
      <c r="CO171" s="10"/>
      <c r="CP171" s="10"/>
      <c r="CQ171" s="10"/>
      <c r="CS171" s="10"/>
      <c r="CT171" s="43"/>
    </row>
    <row r="172" spans="1:98" ht="15.75" thickBot="1" x14ac:dyDescent="0.3">
      <c r="A172" s="44"/>
      <c r="B172" s="45" t="s">
        <v>155</v>
      </c>
      <c r="C172" s="39" t="s">
        <v>29</v>
      </c>
      <c r="D172" s="39">
        <v>9</v>
      </c>
      <c r="E172" s="39" t="s">
        <v>152</v>
      </c>
      <c r="F172" s="27">
        <v>69</v>
      </c>
      <c r="G172" s="39" t="s">
        <v>54</v>
      </c>
      <c r="H172" s="41" t="s">
        <v>180</v>
      </c>
      <c r="I172" s="27"/>
      <c r="J172" s="44"/>
      <c r="K172" s="45" t="s">
        <v>155</v>
      </c>
      <c r="L172" s="39" t="s">
        <v>29</v>
      </c>
      <c r="M172" s="39">
        <v>9</v>
      </c>
      <c r="N172" s="39" t="s">
        <v>152</v>
      </c>
      <c r="O172" s="27">
        <v>69</v>
      </c>
      <c r="P172" s="39" t="s">
        <v>56</v>
      </c>
      <c r="Q172" s="41" t="s">
        <v>189</v>
      </c>
      <c r="R172" s="27"/>
      <c r="S172" s="44"/>
      <c r="T172" s="45" t="s">
        <v>155</v>
      </c>
      <c r="U172" s="39" t="s">
        <v>29</v>
      </c>
      <c r="V172" s="39">
        <v>9</v>
      </c>
      <c r="W172" s="39" t="s">
        <v>152</v>
      </c>
      <c r="X172" s="27">
        <v>69</v>
      </c>
      <c r="Y172" s="39">
        <v>1021</v>
      </c>
      <c r="Z172" s="41" t="s">
        <v>171</v>
      </c>
      <c r="AA172" s="27"/>
      <c r="AB172" s="44"/>
      <c r="AC172" s="45" t="s">
        <v>155</v>
      </c>
      <c r="AD172" s="39" t="s">
        <v>29</v>
      </c>
      <c r="AE172" s="39">
        <v>9</v>
      </c>
      <c r="AF172" s="39" t="s">
        <v>152</v>
      </c>
      <c r="AG172" s="27">
        <v>69</v>
      </c>
      <c r="AH172" s="39">
        <v>1039</v>
      </c>
      <c r="AI172" s="41" t="s">
        <v>172</v>
      </c>
      <c r="AJ172" s="27"/>
      <c r="AK172" s="44"/>
      <c r="AL172" s="45" t="s">
        <v>155</v>
      </c>
      <c r="AM172" s="39" t="s">
        <v>29</v>
      </c>
      <c r="AN172" s="39">
        <v>9</v>
      </c>
      <c r="AO172" s="39" t="s">
        <v>152</v>
      </c>
      <c r="AP172" s="27">
        <v>69</v>
      </c>
      <c r="AQ172" s="39" t="s">
        <v>60</v>
      </c>
      <c r="AR172" s="41" t="s">
        <v>177</v>
      </c>
      <c r="AS172" s="27"/>
      <c r="AT172" s="44"/>
      <c r="AU172" s="45" t="s">
        <v>155</v>
      </c>
      <c r="AV172" s="39" t="s">
        <v>29</v>
      </c>
      <c r="AW172" s="39">
        <v>9</v>
      </c>
      <c r="AX172" s="39" t="s">
        <v>152</v>
      </c>
      <c r="AY172" s="27">
        <v>69</v>
      </c>
      <c r="AZ172" s="39">
        <v>1044</v>
      </c>
      <c r="BA172" s="41" t="s">
        <v>187</v>
      </c>
      <c r="BB172" s="27"/>
      <c r="BC172" s="44"/>
      <c r="BD172" s="45" t="s">
        <v>155</v>
      </c>
      <c r="BE172" s="39" t="s">
        <v>29</v>
      </c>
      <c r="BF172" s="39">
        <v>9</v>
      </c>
      <c r="BG172" s="39" t="s">
        <v>152</v>
      </c>
      <c r="BH172" s="27">
        <v>69</v>
      </c>
      <c r="BI172" s="39">
        <v>1047</v>
      </c>
      <c r="BJ172" s="41" t="s">
        <v>170</v>
      </c>
      <c r="BK172" s="27"/>
      <c r="BL172" s="44"/>
      <c r="BM172" s="45" t="s">
        <v>155</v>
      </c>
      <c r="BN172" s="39" t="s">
        <v>29</v>
      </c>
      <c r="BO172" s="39">
        <v>9</v>
      </c>
      <c r="BP172" s="39" t="s">
        <v>152</v>
      </c>
      <c r="BQ172" s="27">
        <v>69</v>
      </c>
      <c r="BR172" s="39">
        <v>1024</v>
      </c>
      <c r="BS172" s="41" t="s">
        <v>162</v>
      </c>
      <c r="BT172" s="27"/>
      <c r="BU172" s="44"/>
      <c r="BV172" s="45" t="s">
        <v>155</v>
      </c>
      <c r="BW172" s="39" t="s">
        <v>29</v>
      </c>
      <c r="BX172" s="39">
        <v>9</v>
      </c>
      <c r="BY172" s="39" t="s">
        <v>152</v>
      </c>
      <c r="BZ172" s="27">
        <v>69</v>
      </c>
      <c r="CA172" s="39">
        <v>2028</v>
      </c>
      <c r="CB172" s="41" t="s">
        <v>180</v>
      </c>
      <c r="CD172" s="44"/>
      <c r="CE172" s="45" t="s">
        <v>155</v>
      </c>
      <c r="CF172" s="39" t="s">
        <v>29</v>
      </c>
      <c r="CG172" s="39">
        <v>9</v>
      </c>
      <c r="CH172" s="39" t="s">
        <v>152</v>
      </c>
      <c r="CI172" s="27">
        <v>69</v>
      </c>
      <c r="CJ172" s="39">
        <v>2022</v>
      </c>
      <c r="CK172" s="41" t="s">
        <v>189</v>
      </c>
      <c r="CM172" s="42"/>
      <c r="CN172" s="34"/>
      <c r="CO172" s="10"/>
      <c r="CP172" s="10"/>
      <c r="CQ172" s="10"/>
      <c r="CS172" s="10"/>
      <c r="CT172" s="43"/>
    </row>
    <row r="173" spans="1:98" ht="15.75" thickBot="1" x14ac:dyDescent="0.3">
      <c r="A173" s="44"/>
      <c r="B173" s="45" t="s">
        <v>155</v>
      </c>
      <c r="C173" s="39" t="s">
        <v>29</v>
      </c>
      <c r="D173" s="39">
        <v>10</v>
      </c>
      <c r="E173" s="39" t="s">
        <v>152</v>
      </c>
      <c r="F173" s="27">
        <v>70</v>
      </c>
      <c r="G173" s="39" t="s">
        <v>54</v>
      </c>
      <c r="H173" s="41" t="s">
        <v>181</v>
      </c>
      <c r="I173" s="27"/>
      <c r="J173" s="44"/>
      <c r="K173" s="45" t="s">
        <v>155</v>
      </c>
      <c r="L173" s="39" t="s">
        <v>29</v>
      </c>
      <c r="M173" s="39">
        <v>10</v>
      </c>
      <c r="N173" s="39" t="s">
        <v>152</v>
      </c>
      <c r="O173" s="27">
        <v>70</v>
      </c>
      <c r="P173" s="39" t="s">
        <v>47</v>
      </c>
      <c r="Q173" s="40" t="s">
        <v>160</v>
      </c>
      <c r="R173" s="27"/>
      <c r="S173" s="44"/>
      <c r="T173" s="45" t="s">
        <v>155</v>
      </c>
      <c r="U173" s="39" t="s">
        <v>29</v>
      </c>
      <c r="V173" s="39">
        <v>10</v>
      </c>
      <c r="W173" s="39" t="s">
        <v>152</v>
      </c>
      <c r="X173" s="27">
        <v>70</v>
      </c>
      <c r="Y173" s="39">
        <v>1021</v>
      </c>
      <c r="Z173" s="41" t="s">
        <v>161</v>
      </c>
      <c r="AA173" s="27"/>
      <c r="AB173" s="44"/>
      <c r="AC173" s="45" t="s">
        <v>155</v>
      </c>
      <c r="AD173" s="39" t="s">
        <v>29</v>
      </c>
      <c r="AE173" s="39">
        <v>10</v>
      </c>
      <c r="AF173" s="39" t="s">
        <v>152</v>
      </c>
      <c r="AG173" s="27">
        <v>70</v>
      </c>
      <c r="AH173" s="39">
        <v>1039</v>
      </c>
      <c r="AI173" s="41" t="s">
        <v>162</v>
      </c>
      <c r="AJ173" s="27"/>
      <c r="AK173" s="44"/>
      <c r="AL173" s="45" t="s">
        <v>155</v>
      </c>
      <c r="AM173" s="39" t="s">
        <v>29</v>
      </c>
      <c r="AN173" s="39">
        <v>10</v>
      </c>
      <c r="AO173" s="39" t="s">
        <v>152</v>
      </c>
      <c r="AP173" s="27">
        <v>70</v>
      </c>
      <c r="AQ173" s="39" t="s">
        <v>60</v>
      </c>
      <c r="AR173" s="41" t="s">
        <v>180</v>
      </c>
      <c r="AS173" s="27"/>
      <c r="AT173" s="44"/>
      <c r="AU173" s="45" t="s">
        <v>155</v>
      </c>
      <c r="AV173" s="39" t="s">
        <v>29</v>
      </c>
      <c r="AW173" s="39">
        <v>10</v>
      </c>
      <c r="AX173" s="39" t="s">
        <v>152</v>
      </c>
      <c r="AY173" s="27">
        <v>70</v>
      </c>
      <c r="AZ173" s="39">
        <v>1044</v>
      </c>
      <c r="BA173" s="41" t="s">
        <v>189</v>
      </c>
      <c r="BB173" s="27"/>
      <c r="BC173" s="44"/>
      <c r="BD173" s="45" t="s">
        <v>155</v>
      </c>
      <c r="BE173" s="39" t="s">
        <v>29</v>
      </c>
      <c r="BF173" s="39">
        <v>10</v>
      </c>
      <c r="BG173" s="39" t="s">
        <v>152</v>
      </c>
      <c r="BH173" s="27">
        <v>70</v>
      </c>
      <c r="BI173" s="39">
        <v>1047</v>
      </c>
      <c r="BJ173" s="41" t="s">
        <v>178</v>
      </c>
      <c r="BK173" s="27"/>
      <c r="BL173" s="44"/>
      <c r="BM173" s="45" t="s">
        <v>155</v>
      </c>
      <c r="BN173" s="39" t="s">
        <v>29</v>
      </c>
      <c r="BO173" s="39">
        <v>10</v>
      </c>
      <c r="BP173" s="39" t="s">
        <v>152</v>
      </c>
      <c r="BQ173" s="27">
        <v>70</v>
      </c>
      <c r="BR173" s="39">
        <v>1024</v>
      </c>
      <c r="BS173" s="41" t="s">
        <v>170</v>
      </c>
      <c r="BT173" s="27"/>
      <c r="BU173" s="44"/>
      <c r="BV173" s="45" t="s">
        <v>155</v>
      </c>
      <c r="BW173" s="39" t="s">
        <v>29</v>
      </c>
      <c r="BX173" s="39">
        <v>10</v>
      </c>
      <c r="BY173" s="39" t="s">
        <v>152</v>
      </c>
      <c r="BZ173" s="27">
        <v>70</v>
      </c>
      <c r="CA173" s="39">
        <v>2028</v>
      </c>
      <c r="CB173" s="41" t="s">
        <v>181</v>
      </c>
      <c r="CD173" s="44"/>
      <c r="CE173" s="45" t="s">
        <v>155</v>
      </c>
      <c r="CF173" s="39" t="s">
        <v>29</v>
      </c>
      <c r="CG173" s="39">
        <v>10</v>
      </c>
      <c r="CH173" s="39" t="s">
        <v>152</v>
      </c>
      <c r="CI173" s="27">
        <v>70</v>
      </c>
      <c r="CJ173" s="39" t="s">
        <v>286</v>
      </c>
      <c r="CK173" s="41" t="s">
        <v>160</v>
      </c>
      <c r="CM173" s="42"/>
      <c r="CN173" s="34"/>
      <c r="CO173" s="10"/>
      <c r="CP173" s="10"/>
      <c r="CQ173" s="10"/>
      <c r="CS173" s="10"/>
      <c r="CT173" s="43"/>
    </row>
    <row r="174" spans="1:98" x14ac:dyDescent="0.25">
      <c r="A174" s="44"/>
      <c r="B174" s="45" t="s">
        <v>155</v>
      </c>
      <c r="C174" s="39" t="s">
        <v>29</v>
      </c>
      <c r="D174" s="39">
        <v>11</v>
      </c>
      <c r="E174" s="39" t="s">
        <v>152</v>
      </c>
      <c r="F174" s="27">
        <v>71</v>
      </c>
      <c r="G174" s="39" t="s">
        <v>54</v>
      </c>
      <c r="H174" s="41" t="s">
        <v>183</v>
      </c>
      <c r="I174" s="27"/>
      <c r="J174" s="44"/>
      <c r="K174" s="45" t="s">
        <v>155</v>
      </c>
      <c r="L174" s="39" t="s">
        <v>29</v>
      </c>
      <c r="M174" s="39">
        <v>11</v>
      </c>
      <c r="N174" s="39" t="s">
        <v>152</v>
      </c>
      <c r="O174" s="27">
        <v>71</v>
      </c>
      <c r="P174" s="39" t="s">
        <v>47</v>
      </c>
      <c r="Q174" s="41" t="s">
        <v>168</v>
      </c>
      <c r="R174" s="27"/>
      <c r="S174" s="44"/>
      <c r="T174" s="45" t="s">
        <v>155</v>
      </c>
      <c r="U174" s="39" t="s">
        <v>29</v>
      </c>
      <c r="V174" s="39">
        <v>11</v>
      </c>
      <c r="W174" s="39" t="s">
        <v>152</v>
      </c>
      <c r="X174" s="27">
        <v>71</v>
      </c>
      <c r="Y174" s="39">
        <v>1021</v>
      </c>
      <c r="Z174" s="46" t="s">
        <v>169</v>
      </c>
      <c r="AA174" s="27"/>
      <c r="AB174" s="44"/>
      <c r="AC174" s="45" t="s">
        <v>155</v>
      </c>
      <c r="AD174" s="39" t="s">
        <v>29</v>
      </c>
      <c r="AE174" s="39">
        <v>11</v>
      </c>
      <c r="AF174" s="39" t="s">
        <v>152</v>
      </c>
      <c r="AG174" s="27">
        <v>71</v>
      </c>
      <c r="AH174" s="39">
        <v>1039</v>
      </c>
      <c r="AI174" s="41" t="s">
        <v>170</v>
      </c>
      <c r="AJ174" s="27"/>
      <c r="AK174" s="44"/>
      <c r="AL174" s="45" t="s">
        <v>155</v>
      </c>
      <c r="AM174" s="39" t="s">
        <v>29</v>
      </c>
      <c r="AN174" s="39">
        <v>11</v>
      </c>
      <c r="AO174" s="39" t="s">
        <v>152</v>
      </c>
      <c r="AP174" s="27">
        <v>71</v>
      </c>
      <c r="AQ174" s="39" t="s">
        <v>60</v>
      </c>
      <c r="AR174" s="41" t="s">
        <v>181</v>
      </c>
      <c r="AS174" s="27"/>
      <c r="AT174" s="44"/>
      <c r="AU174" s="45" t="s">
        <v>155</v>
      </c>
      <c r="AV174" s="39" t="s">
        <v>29</v>
      </c>
      <c r="AW174" s="39">
        <v>11</v>
      </c>
      <c r="AX174" s="39" t="s">
        <v>152</v>
      </c>
      <c r="AY174" s="27">
        <v>71</v>
      </c>
      <c r="AZ174" s="39">
        <v>1048</v>
      </c>
      <c r="BA174" s="40" t="s">
        <v>160</v>
      </c>
      <c r="BB174" s="27"/>
      <c r="BC174" s="44"/>
      <c r="BD174" s="45" t="s">
        <v>155</v>
      </c>
      <c r="BE174" s="39" t="s">
        <v>29</v>
      </c>
      <c r="BF174" s="39">
        <v>11</v>
      </c>
      <c r="BG174" s="39" t="s">
        <v>152</v>
      </c>
      <c r="BH174" s="27">
        <v>71</v>
      </c>
      <c r="BI174" s="39">
        <v>1047</v>
      </c>
      <c r="BJ174" s="41" t="s">
        <v>163</v>
      </c>
      <c r="BK174" s="27"/>
      <c r="BL174" s="44"/>
      <c r="BM174" s="45" t="s">
        <v>155</v>
      </c>
      <c r="BN174" s="39" t="s">
        <v>29</v>
      </c>
      <c r="BO174" s="39">
        <v>11</v>
      </c>
      <c r="BP174" s="39" t="s">
        <v>152</v>
      </c>
      <c r="BQ174" s="27">
        <v>71</v>
      </c>
      <c r="BR174" s="39">
        <v>1024</v>
      </c>
      <c r="BS174" s="41" t="s">
        <v>178</v>
      </c>
      <c r="BT174" s="27"/>
      <c r="BU174" s="44"/>
      <c r="BV174" s="45" t="s">
        <v>155</v>
      </c>
      <c r="BW174" s="39" t="s">
        <v>29</v>
      </c>
      <c r="BX174" s="39">
        <v>11</v>
      </c>
      <c r="BY174" s="39" t="s">
        <v>152</v>
      </c>
      <c r="BZ174" s="27">
        <v>71</v>
      </c>
      <c r="CA174" s="39">
        <v>2028</v>
      </c>
      <c r="CB174" s="41" t="s">
        <v>183</v>
      </c>
      <c r="CD174" s="44"/>
      <c r="CE174" s="45" t="s">
        <v>155</v>
      </c>
      <c r="CF174" s="39" t="s">
        <v>29</v>
      </c>
      <c r="CG174" s="39">
        <v>11</v>
      </c>
      <c r="CH174" s="39" t="s">
        <v>152</v>
      </c>
      <c r="CI174" s="27">
        <v>71</v>
      </c>
      <c r="CJ174" s="39" t="s">
        <v>287</v>
      </c>
      <c r="CK174" s="41" t="s">
        <v>168</v>
      </c>
      <c r="CM174" s="42"/>
      <c r="CN174" s="34"/>
      <c r="CO174" s="10"/>
      <c r="CP174" s="10"/>
      <c r="CQ174" s="10"/>
      <c r="CS174" s="10"/>
      <c r="CT174" s="43"/>
    </row>
    <row r="175" spans="1:98" x14ac:dyDescent="0.25">
      <c r="A175" s="52"/>
      <c r="B175" s="53" t="s">
        <v>155</v>
      </c>
      <c r="C175" s="54" t="s">
        <v>29</v>
      </c>
      <c r="D175" s="54">
        <v>12</v>
      </c>
      <c r="E175" s="54" t="s">
        <v>152</v>
      </c>
      <c r="F175" s="55">
        <v>72</v>
      </c>
      <c r="G175" s="39" t="s">
        <v>54</v>
      </c>
      <c r="H175" s="41" t="s">
        <v>186</v>
      </c>
      <c r="I175" s="27"/>
      <c r="J175" s="52"/>
      <c r="K175" s="53" t="s">
        <v>155</v>
      </c>
      <c r="L175" s="54" t="s">
        <v>29</v>
      </c>
      <c r="M175" s="54">
        <v>12</v>
      </c>
      <c r="N175" s="54" t="s">
        <v>152</v>
      </c>
      <c r="O175" s="55">
        <v>72</v>
      </c>
      <c r="P175" s="39" t="s">
        <v>47</v>
      </c>
      <c r="Q175" s="41" t="s">
        <v>176</v>
      </c>
      <c r="R175" s="27"/>
      <c r="S175" s="52"/>
      <c r="T175" s="53" t="s">
        <v>155</v>
      </c>
      <c r="U175" s="54" t="s">
        <v>29</v>
      </c>
      <c r="V175" s="54">
        <v>12</v>
      </c>
      <c r="W175" s="54" t="s">
        <v>152</v>
      </c>
      <c r="X175" s="55">
        <v>72</v>
      </c>
      <c r="Y175" s="39">
        <v>1021</v>
      </c>
      <c r="Z175" s="41" t="s">
        <v>177</v>
      </c>
      <c r="AA175" s="27"/>
      <c r="AB175" s="52"/>
      <c r="AC175" s="53" t="s">
        <v>155</v>
      </c>
      <c r="AD175" s="54" t="s">
        <v>29</v>
      </c>
      <c r="AE175" s="54">
        <v>12</v>
      </c>
      <c r="AF175" s="54" t="s">
        <v>152</v>
      </c>
      <c r="AG175" s="55">
        <v>72</v>
      </c>
      <c r="AH175" s="39">
        <v>1039</v>
      </c>
      <c r="AI175" s="41" t="s">
        <v>178</v>
      </c>
      <c r="AJ175" s="27"/>
      <c r="AK175" s="52"/>
      <c r="AL175" s="53" t="s">
        <v>155</v>
      </c>
      <c r="AM175" s="54" t="s">
        <v>29</v>
      </c>
      <c r="AN175" s="54">
        <v>12</v>
      </c>
      <c r="AO175" s="54" t="s">
        <v>152</v>
      </c>
      <c r="AP175" s="55">
        <v>72</v>
      </c>
      <c r="AQ175" s="39" t="s">
        <v>60</v>
      </c>
      <c r="AR175" s="41" t="s">
        <v>183</v>
      </c>
      <c r="AS175" s="27"/>
      <c r="AT175" s="52"/>
      <c r="AU175" s="53" t="s">
        <v>155</v>
      </c>
      <c r="AV175" s="54" t="s">
        <v>29</v>
      </c>
      <c r="AW175" s="54">
        <v>12</v>
      </c>
      <c r="AX175" s="54" t="s">
        <v>152</v>
      </c>
      <c r="AY175" s="55">
        <v>72</v>
      </c>
      <c r="AZ175" s="39">
        <v>1048</v>
      </c>
      <c r="BA175" s="41" t="s">
        <v>168</v>
      </c>
      <c r="BB175" s="27"/>
      <c r="BC175" s="52"/>
      <c r="BD175" s="53" t="s">
        <v>155</v>
      </c>
      <c r="BE175" s="54" t="s">
        <v>29</v>
      </c>
      <c r="BF175" s="54">
        <v>12</v>
      </c>
      <c r="BG175" s="54" t="s">
        <v>152</v>
      </c>
      <c r="BH175" s="55">
        <v>72</v>
      </c>
      <c r="BI175" s="39">
        <v>1047</v>
      </c>
      <c r="BJ175" s="41" t="s">
        <v>171</v>
      </c>
      <c r="BK175" s="27"/>
      <c r="BL175" s="52"/>
      <c r="BM175" s="53" t="s">
        <v>155</v>
      </c>
      <c r="BN175" s="54" t="s">
        <v>29</v>
      </c>
      <c r="BO175" s="54">
        <v>12</v>
      </c>
      <c r="BP175" s="54" t="s">
        <v>152</v>
      </c>
      <c r="BQ175" s="55">
        <v>72</v>
      </c>
      <c r="BR175" s="39">
        <v>1024</v>
      </c>
      <c r="BS175" s="41" t="s">
        <v>163</v>
      </c>
      <c r="BT175" s="27"/>
      <c r="BU175" s="52"/>
      <c r="BV175" s="53" t="s">
        <v>155</v>
      </c>
      <c r="BW175" s="54" t="s">
        <v>29</v>
      </c>
      <c r="BX175" s="54">
        <v>12</v>
      </c>
      <c r="BY175" s="54" t="s">
        <v>152</v>
      </c>
      <c r="BZ175" s="55">
        <v>72</v>
      </c>
      <c r="CA175" s="39">
        <v>2028</v>
      </c>
      <c r="CB175" s="41" t="s">
        <v>186</v>
      </c>
      <c r="CD175" s="52"/>
      <c r="CE175" s="53" t="s">
        <v>155</v>
      </c>
      <c r="CF175" s="54" t="s">
        <v>29</v>
      </c>
      <c r="CG175" s="54">
        <v>12</v>
      </c>
      <c r="CH175" s="54" t="s">
        <v>152</v>
      </c>
      <c r="CI175" s="55">
        <v>72</v>
      </c>
      <c r="CJ175" s="39" t="s">
        <v>288</v>
      </c>
      <c r="CK175" s="41" t="s">
        <v>176</v>
      </c>
      <c r="CM175" s="47"/>
      <c r="CN175" s="48"/>
      <c r="CO175" s="49"/>
      <c r="CP175" s="49"/>
      <c r="CQ175" s="49"/>
      <c r="CR175" s="50"/>
      <c r="CS175" s="10"/>
      <c r="CT175" s="43"/>
    </row>
    <row r="176" spans="1:98" x14ac:dyDescent="0.25">
      <c r="A176" s="60"/>
      <c r="B176" s="45" t="s">
        <v>155</v>
      </c>
      <c r="C176" s="61" t="s">
        <v>34</v>
      </c>
      <c r="D176" s="61">
        <v>1</v>
      </c>
      <c r="E176" s="61" t="s">
        <v>152</v>
      </c>
      <c r="F176" s="62">
        <v>73</v>
      </c>
      <c r="G176" s="39" t="s">
        <v>54</v>
      </c>
      <c r="H176" s="41" t="s">
        <v>188</v>
      </c>
      <c r="I176" s="27"/>
      <c r="J176" s="60"/>
      <c r="K176" s="45" t="s">
        <v>155</v>
      </c>
      <c r="L176" s="61" t="s">
        <v>34</v>
      </c>
      <c r="M176" s="61">
        <v>1</v>
      </c>
      <c r="N176" s="61" t="s">
        <v>152</v>
      </c>
      <c r="O176" s="62">
        <v>73</v>
      </c>
      <c r="P176" s="39" t="s">
        <v>47</v>
      </c>
      <c r="Q176" s="41" t="s">
        <v>164</v>
      </c>
      <c r="R176" s="27"/>
      <c r="S176" s="60"/>
      <c r="T176" s="45" t="s">
        <v>155</v>
      </c>
      <c r="U176" s="61" t="s">
        <v>34</v>
      </c>
      <c r="V176" s="61">
        <v>1</v>
      </c>
      <c r="W176" s="61" t="s">
        <v>152</v>
      </c>
      <c r="X176" s="62">
        <v>73</v>
      </c>
      <c r="Y176" s="39">
        <v>1021</v>
      </c>
      <c r="Z176" s="41" t="s">
        <v>180</v>
      </c>
      <c r="AA176" s="27"/>
      <c r="AB176" s="60"/>
      <c r="AC176" s="45" t="s">
        <v>155</v>
      </c>
      <c r="AD176" s="61" t="s">
        <v>34</v>
      </c>
      <c r="AE176" s="61">
        <v>1</v>
      </c>
      <c r="AF176" s="61" t="s">
        <v>152</v>
      </c>
      <c r="AG176" s="62">
        <v>73</v>
      </c>
      <c r="AH176" s="39">
        <v>1039</v>
      </c>
      <c r="AI176" s="41" t="s">
        <v>163</v>
      </c>
      <c r="AJ176" s="27"/>
      <c r="AK176" s="60"/>
      <c r="AL176" s="45" t="s">
        <v>155</v>
      </c>
      <c r="AM176" s="61" t="s">
        <v>34</v>
      </c>
      <c r="AN176" s="61">
        <v>1</v>
      </c>
      <c r="AO176" s="61" t="s">
        <v>152</v>
      </c>
      <c r="AP176" s="62">
        <v>73</v>
      </c>
      <c r="AQ176" s="39" t="s">
        <v>60</v>
      </c>
      <c r="AR176" s="41" t="s">
        <v>186</v>
      </c>
      <c r="AS176" s="27"/>
      <c r="AT176" s="60"/>
      <c r="AU176" s="45" t="s">
        <v>155</v>
      </c>
      <c r="AV176" s="61" t="s">
        <v>34</v>
      </c>
      <c r="AW176" s="61">
        <v>1</v>
      </c>
      <c r="AX176" s="61" t="s">
        <v>152</v>
      </c>
      <c r="AY176" s="62">
        <v>73</v>
      </c>
      <c r="AZ176" s="39">
        <v>1048</v>
      </c>
      <c r="BA176" s="41" t="s">
        <v>176</v>
      </c>
      <c r="BB176" s="27"/>
      <c r="BC176" s="60"/>
      <c r="BD176" s="45" t="s">
        <v>155</v>
      </c>
      <c r="BE176" s="61" t="s">
        <v>34</v>
      </c>
      <c r="BF176" s="61">
        <v>1</v>
      </c>
      <c r="BG176" s="61" t="s">
        <v>152</v>
      </c>
      <c r="BH176" s="62">
        <v>73</v>
      </c>
      <c r="BI176" s="39">
        <v>1047</v>
      </c>
      <c r="BJ176" s="41" t="s">
        <v>161</v>
      </c>
      <c r="BK176" s="27"/>
      <c r="BL176" s="60"/>
      <c r="BM176" s="45" t="s">
        <v>155</v>
      </c>
      <c r="BN176" s="61" t="s">
        <v>34</v>
      </c>
      <c r="BO176" s="61">
        <v>1</v>
      </c>
      <c r="BP176" s="61" t="s">
        <v>152</v>
      </c>
      <c r="BQ176" s="62">
        <v>73</v>
      </c>
      <c r="BR176" s="39">
        <v>1024</v>
      </c>
      <c r="BS176" s="41" t="s">
        <v>171</v>
      </c>
      <c r="BT176" s="27"/>
      <c r="BU176" s="60"/>
      <c r="BV176" s="45" t="s">
        <v>155</v>
      </c>
      <c r="BW176" s="61" t="s">
        <v>34</v>
      </c>
      <c r="BX176" s="61">
        <v>1</v>
      </c>
      <c r="BY176" s="61" t="s">
        <v>152</v>
      </c>
      <c r="BZ176" s="62">
        <v>73</v>
      </c>
      <c r="CA176" s="39">
        <v>2028</v>
      </c>
      <c r="CB176" s="41" t="s">
        <v>188</v>
      </c>
      <c r="CD176" s="60"/>
      <c r="CE176" s="45" t="s">
        <v>155</v>
      </c>
      <c r="CF176" s="61" t="s">
        <v>34</v>
      </c>
      <c r="CG176" s="61">
        <v>1</v>
      </c>
      <c r="CH176" s="61" t="s">
        <v>152</v>
      </c>
      <c r="CI176" s="62">
        <v>73</v>
      </c>
      <c r="CJ176" s="39" t="s">
        <v>289</v>
      </c>
      <c r="CK176" s="41" t="s">
        <v>164</v>
      </c>
      <c r="CM176" s="56"/>
      <c r="CN176" s="34"/>
      <c r="CO176" s="58"/>
      <c r="CP176" s="58"/>
      <c r="CQ176" s="58"/>
      <c r="CR176" s="59"/>
      <c r="CS176" s="10"/>
      <c r="CT176" s="43"/>
    </row>
    <row r="177" spans="1:98" x14ac:dyDescent="0.25">
      <c r="A177" s="44"/>
      <c r="B177" s="45" t="s">
        <v>155</v>
      </c>
      <c r="C177" s="39" t="s">
        <v>34</v>
      </c>
      <c r="D177" s="39">
        <v>2</v>
      </c>
      <c r="E177" s="39" t="s">
        <v>152</v>
      </c>
      <c r="F177" s="27">
        <v>74</v>
      </c>
      <c r="G177" s="39" t="s">
        <v>54</v>
      </c>
      <c r="H177" s="41" t="s">
        <v>182</v>
      </c>
      <c r="I177" s="27"/>
      <c r="J177" s="44"/>
      <c r="K177" s="45" t="s">
        <v>155</v>
      </c>
      <c r="L177" s="39" t="s">
        <v>34</v>
      </c>
      <c r="M177" s="39">
        <v>2</v>
      </c>
      <c r="N177" s="39" t="s">
        <v>152</v>
      </c>
      <c r="O177" s="27">
        <v>74</v>
      </c>
      <c r="P177" s="39" t="s">
        <v>47</v>
      </c>
      <c r="Q177" s="41" t="s">
        <v>172</v>
      </c>
      <c r="R177" s="27"/>
      <c r="S177" s="44"/>
      <c r="T177" s="45" t="s">
        <v>155</v>
      </c>
      <c r="U177" s="39" t="s">
        <v>34</v>
      </c>
      <c r="V177" s="39">
        <v>2</v>
      </c>
      <c r="W177" s="39" t="s">
        <v>152</v>
      </c>
      <c r="X177" s="27">
        <v>74</v>
      </c>
      <c r="Y177" s="39">
        <v>1021</v>
      </c>
      <c r="Z177" s="41" t="s">
        <v>181</v>
      </c>
      <c r="AA177" s="27"/>
      <c r="AB177" s="44"/>
      <c r="AC177" s="45" t="s">
        <v>155</v>
      </c>
      <c r="AD177" s="39" t="s">
        <v>34</v>
      </c>
      <c r="AE177" s="39">
        <v>2</v>
      </c>
      <c r="AF177" s="39" t="s">
        <v>152</v>
      </c>
      <c r="AG177" s="27">
        <v>74</v>
      </c>
      <c r="AH177" s="39">
        <v>1039</v>
      </c>
      <c r="AI177" s="41" t="s">
        <v>171</v>
      </c>
      <c r="AJ177" s="27"/>
      <c r="AK177" s="44"/>
      <c r="AL177" s="45" t="s">
        <v>155</v>
      </c>
      <c r="AM177" s="39" t="s">
        <v>34</v>
      </c>
      <c r="AN177" s="39">
        <v>2</v>
      </c>
      <c r="AO177" s="39" t="s">
        <v>152</v>
      </c>
      <c r="AP177" s="27">
        <v>74</v>
      </c>
      <c r="AQ177" s="39" t="s">
        <v>60</v>
      </c>
      <c r="AR177" s="41" t="s">
        <v>188</v>
      </c>
      <c r="AS177" s="27"/>
      <c r="AT177" s="44"/>
      <c r="AU177" s="45" t="s">
        <v>155</v>
      </c>
      <c r="AV177" s="39" t="s">
        <v>34</v>
      </c>
      <c r="AW177" s="39">
        <v>2</v>
      </c>
      <c r="AX177" s="39" t="s">
        <v>152</v>
      </c>
      <c r="AY177" s="27">
        <v>74</v>
      </c>
      <c r="AZ177" s="39">
        <v>1048</v>
      </c>
      <c r="BA177" s="41" t="s">
        <v>164</v>
      </c>
      <c r="BB177" s="27"/>
      <c r="BC177" s="44"/>
      <c r="BD177" s="45" t="s">
        <v>155</v>
      </c>
      <c r="BE177" s="39" t="s">
        <v>34</v>
      </c>
      <c r="BF177" s="39">
        <v>2</v>
      </c>
      <c r="BG177" s="39" t="s">
        <v>152</v>
      </c>
      <c r="BH177" s="27">
        <v>74</v>
      </c>
      <c r="BI177" s="39">
        <v>1047</v>
      </c>
      <c r="BJ177" s="46" t="s">
        <v>169</v>
      </c>
      <c r="BK177" s="27"/>
      <c r="BL177" s="44"/>
      <c r="BM177" s="45" t="s">
        <v>155</v>
      </c>
      <c r="BN177" s="39" t="s">
        <v>34</v>
      </c>
      <c r="BO177" s="39">
        <v>2</v>
      </c>
      <c r="BP177" s="39" t="s">
        <v>152</v>
      </c>
      <c r="BQ177" s="27">
        <v>74</v>
      </c>
      <c r="BR177" s="39">
        <v>1024</v>
      </c>
      <c r="BS177" s="41" t="s">
        <v>161</v>
      </c>
      <c r="BT177" s="27"/>
      <c r="BU177" s="44"/>
      <c r="BV177" s="45" t="s">
        <v>155</v>
      </c>
      <c r="BW177" s="39" t="s">
        <v>34</v>
      </c>
      <c r="BX177" s="39">
        <v>2</v>
      </c>
      <c r="BY177" s="39" t="s">
        <v>152</v>
      </c>
      <c r="BZ177" s="27">
        <v>74</v>
      </c>
      <c r="CA177" s="39">
        <v>2028</v>
      </c>
      <c r="CB177" s="41" t="s">
        <v>182</v>
      </c>
      <c r="CD177" s="44"/>
      <c r="CE177" s="45" t="s">
        <v>155</v>
      </c>
      <c r="CF177" s="39" t="s">
        <v>34</v>
      </c>
      <c r="CG177" s="39">
        <v>2</v>
      </c>
      <c r="CH177" s="39" t="s">
        <v>152</v>
      </c>
      <c r="CI177" s="27">
        <v>74</v>
      </c>
      <c r="CJ177" s="39" t="s">
        <v>290</v>
      </c>
      <c r="CK177" s="46" t="s">
        <v>172</v>
      </c>
      <c r="CM177" s="42"/>
      <c r="CN177" s="34"/>
      <c r="CO177" s="10"/>
      <c r="CP177" s="10"/>
      <c r="CQ177" s="10"/>
      <c r="CS177" s="10"/>
      <c r="CT177" s="43"/>
    </row>
    <row r="178" spans="1:98" x14ac:dyDescent="0.25">
      <c r="A178" s="44"/>
      <c r="B178" s="45" t="s">
        <v>155</v>
      </c>
      <c r="C178" s="39" t="s">
        <v>34</v>
      </c>
      <c r="D178" s="39">
        <v>3</v>
      </c>
      <c r="E178" s="39" t="s">
        <v>152</v>
      </c>
      <c r="F178" s="27">
        <v>75</v>
      </c>
      <c r="G178" s="39" t="s">
        <v>54</v>
      </c>
      <c r="H178" s="41" t="s">
        <v>184</v>
      </c>
      <c r="I178" s="27"/>
      <c r="J178" s="44"/>
      <c r="K178" s="45" t="s">
        <v>155</v>
      </c>
      <c r="L178" s="39" t="s">
        <v>34</v>
      </c>
      <c r="M178" s="39">
        <v>3</v>
      </c>
      <c r="N178" s="39" t="s">
        <v>152</v>
      </c>
      <c r="O178" s="27">
        <v>75</v>
      </c>
      <c r="P178" s="39" t="s">
        <v>47</v>
      </c>
      <c r="Q178" s="41" t="s">
        <v>162</v>
      </c>
      <c r="R178" s="27"/>
      <c r="S178" s="44"/>
      <c r="T178" s="45" t="s">
        <v>155</v>
      </c>
      <c r="U178" s="39" t="s">
        <v>34</v>
      </c>
      <c r="V178" s="39">
        <v>3</v>
      </c>
      <c r="W178" s="39" t="s">
        <v>152</v>
      </c>
      <c r="X178" s="27">
        <v>75</v>
      </c>
      <c r="Y178" s="39">
        <v>1021</v>
      </c>
      <c r="Z178" s="41" t="s">
        <v>183</v>
      </c>
      <c r="AA178" s="27"/>
      <c r="AB178" s="44"/>
      <c r="AC178" s="45" t="s">
        <v>155</v>
      </c>
      <c r="AD178" s="39" t="s">
        <v>34</v>
      </c>
      <c r="AE178" s="39">
        <v>3</v>
      </c>
      <c r="AF178" s="39" t="s">
        <v>152</v>
      </c>
      <c r="AG178" s="27">
        <v>75</v>
      </c>
      <c r="AH178" s="39">
        <v>1039</v>
      </c>
      <c r="AI178" s="41" t="s">
        <v>161</v>
      </c>
      <c r="AJ178" s="27"/>
      <c r="AK178" s="44"/>
      <c r="AL178" s="45" t="s">
        <v>155</v>
      </c>
      <c r="AM178" s="39" t="s">
        <v>34</v>
      </c>
      <c r="AN178" s="39">
        <v>3</v>
      </c>
      <c r="AO178" s="39" t="s">
        <v>152</v>
      </c>
      <c r="AP178" s="27">
        <v>75</v>
      </c>
      <c r="AQ178" s="39" t="s">
        <v>60</v>
      </c>
      <c r="AR178" s="41" t="s">
        <v>182</v>
      </c>
      <c r="AS178" s="27"/>
      <c r="AT178" s="44"/>
      <c r="AU178" s="45" t="s">
        <v>155</v>
      </c>
      <c r="AV178" s="39" t="s">
        <v>34</v>
      </c>
      <c r="AW178" s="39">
        <v>3</v>
      </c>
      <c r="AX178" s="39" t="s">
        <v>152</v>
      </c>
      <c r="AY178" s="27">
        <v>75</v>
      </c>
      <c r="AZ178" s="39">
        <v>1048</v>
      </c>
      <c r="BA178" s="41" t="s">
        <v>172</v>
      </c>
      <c r="BB178" s="27"/>
      <c r="BC178" s="44"/>
      <c r="BD178" s="45" t="s">
        <v>155</v>
      </c>
      <c r="BE178" s="39" t="s">
        <v>34</v>
      </c>
      <c r="BF178" s="39">
        <v>3</v>
      </c>
      <c r="BG178" s="39" t="s">
        <v>152</v>
      </c>
      <c r="BH178" s="27">
        <v>75</v>
      </c>
      <c r="BI178" s="39">
        <v>1047</v>
      </c>
      <c r="BJ178" s="41" t="s">
        <v>177</v>
      </c>
      <c r="BK178" s="27"/>
      <c r="BL178" s="44"/>
      <c r="BM178" s="45" t="s">
        <v>155</v>
      </c>
      <c r="BN178" s="39" t="s">
        <v>34</v>
      </c>
      <c r="BO178" s="39">
        <v>3</v>
      </c>
      <c r="BP178" s="39" t="s">
        <v>152</v>
      </c>
      <c r="BQ178" s="27">
        <v>75</v>
      </c>
      <c r="BR178" s="39">
        <v>1024</v>
      </c>
      <c r="BS178" s="46" t="s">
        <v>169</v>
      </c>
      <c r="BT178" s="27"/>
      <c r="BU178" s="44"/>
      <c r="BV178" s="45" t="s">
        <v>155</v>
      </c>
      <c r="BW178" s="39" t="s">
        <v>34</v>
      </c>
      <c r="BX178" s="39">
        <v>3</v>
      </c>
      <c r="BY178" s="39" t="s">
        <v>152</v>
      </c>
      <c r="BZ178" s="27">
        <v>75</v>
      </c>
      <c r="CA178" s="39">
        <v>2028</v>
      </c>
      <c r="CB178" s="41" t="s">
        <v>184</v>
      </c>
      <c r="CD178" s="44"/>
      <c r="CE178" s="45" t="s">
        <v>155</v>
      </c>
      <c r="CF178" s="39" t="s">
        <v>34</v>
      </c>
      <c r="CG178" s="39">
        <v>3</v>
      </c>
      <c r="CH178" s="39" t="s">
        <v>152</v>
      </c>
      <c r="CI178" s="27">
        <v>75</v>
      </c>
      <c r="CJ178" s="39" t="s">
        <v>291</v>
      </c>
      <c r="CK178" s="41" t="s">
        <v>162</v>
      </c>
      <c r="CL178" t="s">
        <v>292</v>
      </c>
      <c r="CN178" s="34"/>
      <c r="CO178" s="10"/>
      <c r="CP178" s="10"/>
      <c r="CQ178" s="10"/>
      <c r="CS178" s="10"/>
      <c r="CT178" s="43"/>
    </row>
    <row r="179" spans="1:98" x14ac:dyDescent="0.25">
      <c r="A179" s="44"/>
      <c r="B179" s="45" t="s">
        <v>155</v>
      </c>
      <c r="C179" s="39" t="s">
        <v>34</v>
      </c>
      <c r="D179" s="39">
        <v>4</v>
      </c>
      <c r="E179" s="39" t="s">
        <v>152</v>
      </c>
      <c r="F179" s="27">
        <v>76</v>
      </c>
      <c r="G179" s="39" t="s">
        <v>54</v>
      </c>
      <c r="H179" s="41" t="s">
        <v>187</v>
      </c>
      <c r="I179" s="27"/>
      <c r="J179" s="44"/>
      <c r="K179" s="45" t="s">
        <v>155</v>
      </c>
      <c r="L179" s="39" t="s">
        <v>34</v>
      </c>
      <c r="M179" s="39">
        <v>4</v>
      </c>
      <c r="N179" s="39" t="s">
        <v>152</v>
      </c>
      <c r="O179" s="27">
        <v>76</v>
      </c>
      <c r="P179" s="39" t="s">
        <v>47</v>
      </c>
      <c r="Q179" s="41" t="s">
        <v>170</v>
      </c>
      <c r="R179" s="27"/>
      <c r="S179" s="44"/>
      <c r="T179" s="45" t="s">
        <v>155</v>
      </c>
      <c r="U179" s="39" t="s">
        <v>34</v>
      </c>
      <c r="V179" s="39">
        <v>4</v>
      </c>
      <c r="W179" s="39" t="s">
        <v>152</v>
      </c>
      <c r="X179" s="27">
        <v>76</v>
      </c>
      <c r="Y179" s="39">
        <v>1021</v>
      </c>
      <c r="Z179" s="41" t="s">
        <v>186</v>
      </c>
      <c r="AA179" s="27"/>
      <c r="AB179" s="44"/>
      <c r="AC179" s="45" t="s">
        <v>155</v>
      </c>
      <c r="AD179" s="39" t="s">
        <v>34</v>
      </c>
      <c r="AE179" s="39">
        <v>4</v>
      </c>
      <c r="AF179" s="39" t="s">
        <v>152</v>
      </c>
      <c r="AG179" s="27">
        <v>76</v>
      </c>
      <c r="AH179" s="39">
        <v>1039</v>
      </c>
      <c r="AI179" s="46" t="s">
        <v>169</v>
      </c>
      <c r="AJ179" s="27"/>
      <c r="AK179" s="44"/>
      <c r="AL179" s="45" t="s">
        <v>155</v>
      </c>
      <c r="AM179" s="39" t="s">
        <v>34</v>
      </c>
      <c r="AN179" s="39">
        <v>4</v>
      </c>
      <c r="AO179" s="39" t="s">
        <v>152</v>
      </c>
      <c r="AP179" s="27">
        <v>76</v>
      </c>
      <c r="AQ179" s="39" t="s">
        <v>60</v>
      </c>
      <c r="AR179" s="41" t="s">
        <v>184</v>
      </c>
      <c r="AS179" s="27"/>
      <c r="AT179" s="44"/>
      <c r="AU179" s="45" t="s">
        <v>155</v>
      </c>
      <c r="AV179" s="39" t="s">
        <v>34</v>
      </c>
      <c r="AW179" s="39">
        <v>4</v>
      </c>
      <c r="AX179" s="39" t="s">
        <v>152</v>
      </c>
      <c r="AY179" s="27">
        <v>76</v>
      </c>
      <c r="AZ179" s="39">
        <v>1048</v>
      </c>
      <c r="BA179" s="41" t="s">
        <v>162</v>
      </c>
      <c r="BB179" s="27"/>
      <c r="BC179" s="44"/>
      <c r="BD179" s="45" t="s">
        <v>155</v>
      </c>
      <c r="BE179" s="39" t="s">
        <v>34</v>
      </c>
      <c r="BF179" s="39">
        <v>4</v>
      </c>
      <c r="BG179" s="39" t="s">
        <v>152</v>
      </c>
      <c r="BH179" s="27">
        <v>76</v>
      </c>
      <c r="BI179" s="39">
        <v>1047</v>
      </c>
      <c r="BJ179" s="41" t="s">
        <v>180</v>
      </c>
      <c r="BK179" s="27"/>
      <c r="BL179" s="44"/>
      <c r="BM179" s="45" t="s">
        <v>155</v>
      </c>
      <c r="BN179" s="39" t="s">
        <v>34</v>
      </c>
      <c r="BO179" s="39">
        <v>4</v>
      </c>
      <c r="BP179" s="39" t="s">
        <v>152</v>
      </c>
      <c r="BQ179" s="27">
        <v>76</v>
      </c>
      <c r="BR179" s="39">
        <v>1024</v>
      </c>
      <c r="BS179" s="41" t="s">
        <v>177</v>
      </c>
      <c r="BT179" s="27"/>
      <c r="BU179" s="44"/>
      <c r="BV179" s="45" t="s">
        <v>155</v>
      </c>
      <c r="BW179" s="39" t="s">
        <v>34</v>
      </c>
      <c r="BX179" s="39">
        <v>4</v>
      </c>
      <c r="BY179" s="39" t="s">
        <v>152</v>
      </c>
      <c r="BZ179" s="27">
        <v>76</v>
      </c>
      <c r="CA179" s="39">
        <v>2028</v>
      </c>
      <c r="CB179" s="41" t="s">
        <v>187</v>
      </c>
      <c r="CD179" s="44"/>
      <c r="CE179" s="45" t="s">
        <v>155</v>
      </c>
      <c r="CF179" s="39" t="s">
        <v>34</v>
      </c>
      <c r="CG179" s="39">
        <v>4</v>
      </c>
      <c r="CH179" s="39" t="s">
        <v>152</v>
      </c>
      <c r="CI179" s="27">
        <v>76</v>
      </c>
      <c r="CJ179" s="39" t="s">
        <v>293</v>
      </c>
      <c r="CK179" s="41" t="s">
        <v>170</v>
      </c>
      <c r="CL179" t="s">
        <v>294</v>
      </c>
      <c r="CN179" s="34"/>
      <c r="CO179" s="10"/>
      <c r="CP179" s="10"/>
      <c r="CQ179" s="10"/>
      <c r="CS179" s="10"/>
      <c r="CT179" s="43"/>
    </row>
    <row r="180" spans="1:98" ht="15.75" thickBot="1" x14ac:dyDescent="0.3">
      <c r="A180" s="44"/>
      <c r="B180" s="45" t="s">
        <v>155</v>
      </c>
      <c r="C180" s="39" t="s">
        <v>34</v>
      </c>
      <c r="D180" s="39">
        <v>5</v>
      </c>
      <c r="E180" s="39" t="s">
        <v>152</v>
      </c>
      <c r="F180" s="27">
        <v>77</v>
      </c>
      <c r="G180" s="39" t="s">
        <v>54</v>
      </c>
      <c r="H180" s="41" t="s">
        <v>189</v>
      </c>
      <c r="I180" s="27"/>
      <c r="J180" s="44"/>
      <c r="K180" s="45" t="s">
        <v>155</v>
      </c>
      <c r="L180" s="39" t="s">
        <v>34</v>
      </c>
      <c r="M180" s="39">
        <v>5</v>
      </c>
      <c r="N180" s="39" t="s">
        <v>152</v>
      </c>
      <c r="O180" s="27">
        <v>77</v>
      </c>
      <c r="P180" s="39" t="s">
        <v>47</v>
      </c>
      <c r="Q180" s="41" t="s">
        <v>178</v>
      </c>
      <c r="R180" s="27"/>
      <c r="S180" s="44"/>
      <c r="T180" s="45" t="s">
        <v>155</v>
      </c>
      <c r="U180" s="39" t="s">
        <v>34</v>
      </c>
      <c r="V180" s="39">
        <v>5</v>
      </c>
      <c r="W180" s="39" t="s">
        <v>152</v>
      </c>
      <c r="X180" s="27">
        <v>77</v>
      </c>
      <c r="Y180" s="39">
        <v>1021</v>
      </c>
      <c r="Z180" s="41" t="s">
        <v>188</v>
      </c>
      <c r="AA180" s="27"/>
      <c r="AB180" s="44"/>
      <c r="AC180" s="45" t="s">
        <v>155</v>
      </c>
      <c r="AD180" s="39" t="s">
        <v>34</v>
      </c>
      <c r="AE180" s="39">
        <v>5</v>
      </c>
      <c r="AF180" s="39" t="s">
        <v>152</v>
      </c>
      <c r="AG180" s="27">
        <v>77</v>
      </c>
      <c r="AH180" s="39">
        <v>1039</v>
      </c>
      <c r="AI180" s="41" t="s">
        <v>177</v>
      </c>
      <c r="AJ180" s="27"/>
      <c r="AK180" s="44"/>
      <c r="AL180" s="45" t="s">
        <v>155</v>
      </c>
      <c r="AM180" s="39" t="s">
        <v>34</v>
      </c>
      <c r="AN180" s="39">
        <v>5</v>
      </c>
      <c r="AO180" s="39" t="s">
        <v>152</v>
      </c>
      <c r="AP180" s="27">
        <v>77</v>
      </c>
      <c r="AQ180" s="39" t="s">
        <v>60</v>
      </c>
      <c r="AR180" s="41" t="s">
        <v>187</v>
      </c>
      <c r="AS180" s="27"/>
      <c r="AT180" s="44"/>
      <c r="AU180" s="45" t="s">
        <v>155</v>
      </c>
      <c r="AV180" s="39" t="s">
        <v>34</v>
      </c>
      <c r="AW180" s="39">
        <v>5</v>
      </c>
      <c r="AX180" s="39" t="s">
        <v>152</v>
      </c>
      <c r="AY180" s="27">
        <v>77</v>
      </c>
      <c r="AZ180" s="39">
        <v>1048</v>
      </c>
      <c r="BA180" s="41" t="s">
        <v>170</v>
      </c>
      <c r="BB180" s="27"/>
      <c r="BC180" s="44"/>
      <c r="BD180" s="45" t="s">
        <v>155</v>
      </c>
      <c r="BE180" s="39" t="s">
        <v>34</v>
      </c>
      <c r="BF180" s="39">
        <v>5</v>
      </c>
      <c r="BG180" s="39" t="s">
        <v>152</v>
      </c>
      <c r="BH180" s="27">
        <v>77</v>
      </c>
      <c r="BI180" s="39">
        <v>1047</v>
      </c>
      <c r="BJ180" s="41" t="s">
        <v>181</v>
      </c>
      <c r="BK180" s="27"/>
      <c r="BL180" s="44"/>
      <c r="BM180" s="45" t="s">
        <v>155</v>
      </c>
      <c r="BN180" s="39" t="s">
        <v>34</v>
      </c>
      <c r="BO180" s="39">
        <v>5</v>
      </c>
      <c r="BP180" s="39" t="s">
        <v>152</v>
      </c>
      <c r="BQ180" s="27">
        <v>77</v>
      </c>
      <c r="BR180" s="39">
        <v>1024</v>
      </c>
      <c r="BS180" s="41" t="s">
        <v>180</v>
      </c>
      <c r="BT180" s="27"/>
      <c r="BU180" s="44"/>
      <c r="BV180" s="45" t="s">
        <v>155</v>
      </c>
      <c r="BW180" s="39" t="s">
        <v>34</v>
      </c>
      <c r="BX180" s="39">
        <v>5</v>
      </c>
      <c r="BY180" s="39" t="s">
        <v>152</v>
      </c>
      <c r="BZ180" s="27">
        <v>77</v>
      </c>
      <c r="CA180" s="39">
        <v>2028</v>
      </c>
      <c r="CB180" s="41" t="s">
        <v>189</v>
      </c>
      <c r="CD180" s="44"/>
      <c r="CE180" s="45" t="s">
        <v>155</v>
      </c>
      <c r="CF180" s="39" t="s">
        <v>34</v>
      </c>
      <c r="CG180" s="39">
        <v>5</v>
      </c>
      <c r="CH180" s="39" t="s">
        <v>152</v>
      </c>
      <c r="CI180" s="27">
        <v>77</v>
      </c>
      <c r="CJ180" s="39" t="s">
        <v>295</v>
      </c>
      <c r="CK180" s="41" t="s">
        <v>178</v>
      </c>
      <c r="CM180" s="42"/>
      <c r="CN180" s="34"/>
      <c r="CO180" s="10"/>
      <c r="CP180" s="10"/>
      <c r="CQ180" s="10"/>
      <c r="CS180" s="10"/>
      <c r="CT180" s="43"/>
    </row>
    <row r="181" spans="1:98" ht="15.75" thickBot="1" x14ac:dyDescent="0.3">
      <c r="A181" s="44"/>
      <c r="B181" s="45" t="s">
        <v>155</v>
      </c>
      <c r="C181" s="39" t="s">
        <v>34</v>
      </c>
      <c r="D181" s="39">
        <v>6</v>
      </c>
      <c r="E181" s="39" t="s">
        <v>152</v>
      </c>
      <c r="F181" s="27">
        <v>78</v>
      </c>
      <c r="G181" s="39" t="s">
        <v>46</v>
      </c>
      <c r="H181" s="40" t="s">
        <v>160</v>
      </c>
      <c r="I181" s="27"/>
      <c r="J181" s="44"/>
      <c r="K181" s="45" t="s">
        <v>155</v>
      </c>
      <c r="L181" s="39" t="s">
        <v>34</v>
      </c>
      <c r="M181" s="39">
        <v>6</v>
      </c>
      <c r="N181" s="39" t="s">
        <v>152</v>
      </c>
      <c r="O181" s="27">
        <v>78</v>
      </c>
      <c r="P181" s="39" t="s">
        <v>47</v>
      </c>
      <c r="Q181" s="41" t="s">
        <v>163</v>
      </c>
      <c r="R181" s="27"/>
      <c r="S181" s="44"/>
      <c r="T181" s="45" t="s">
        <v>155</v>
      </c>
      <c r="U181" s="39" t="s">
        <v>34</v>
      </c>
      <c r="V181" s="39">
        <v>6</v>
      </c>
      <c r="W181" s="39" t="s">
        <v>152</v>
      </c>
      <c r="X181" s="27">
        <v>78</v>
      </c>
      <c r="Y181" s="39">
        <v>1021</v>
      </c>
      <c r="Z181" s="41" t="s">
        <v>182</v>
      </c>
      <c r="AA181" s="27"/>
      <c r="AB181" s="44"/>
      <c r="AC181" s="45" t="s">
        <v>155</v>
      </c>
      <c r="AD181" s="39" t="s">
        <v>34</v>
      </c>
      <c r="AE181" s="39">
        <v>6</v>
      </c>
      <c r="AF181" s="39" t="s">
        <v>152</v>
      </c>
      <c r="AG181" s="27">
        <v>78</v>
      </c>
      <c r="AH181" s="39">
        <v>1039</v>
      </c>
      <c r="AI181" s="41" t="s">
        <v>180</v>
      </c>
      <c r="AJ181" s="27"/>
      <c r="AK181" s="44"/>
      <c r="AL181" s="45" t="s">
        <v>155</v>
      </c>
      <c r="AM181" s="39" t="s">
        <v>34</v>
      </c>
      <c r="AN181" s="39">
        <v>6</v>
      </c>
      <c r="AO181" s="39" t="s">
        <v>152</v>
      </c>
      <c r="AP181" s="27">
        <v>78</v>
      </c>
      <c r="AQ181" s="39" t="s">
        <v>60</v>
      </c>
      <c r="AR181" s="41" t="s">
        <v>189</v>
      </c>
      <c r="AS181" s="27"/>
      <c r="AT181" s="44"/>
      <c r="AU181" s="45" t="s">
        <v>155</v>
      </c>
      <c r="AV181" s="39" t="s">
        <v>34</v>
      </c>
      <c r="AW181" s="39">
        <v>6</v>
      </c>
      <c r="AX181" s="39" t="s">
        <v>152</v>
      </c>
      <c r="AY181" s="27">
        <v>78</v>
      </c>
      <c r="AZ181" s="39">
        <v>1048</v>
      </c>
      <c r="BA181" s="41" t="s">
        <v>178</v>
      </c>
      <c r="BB181" s="27"/>
      <c r="BC181" s="44"/>
      <c r="BD181" s="45" t="s">
        <v>155</v>
      </c>
      <c r="BE181" s="39" t="s">
        <v>34</v>
      </c>
      <c r="BF181" s="39">
        <v>6</v>
      </c>
      <c r="BG181" s="39" t="s">
        <v>152</v>
      </c>
      <c r="BH181" s="27">
        <v>78</v>
      </c>
      <c r="BI181" s="39">
        <v>1047</v>
      </c>
      <c r="BJ181" s="41" t="s">
        <v>183</v>
      </c>
      <c r="BK181" s="27"/>
      <c r="BL181" s="44"/>
      <c r="BM181" s="45" t="s">
        <v>155</v>
      </c>
      <c r="BN181" s="39" t="s">
        <v>34</v>
      </c>
      <c r="BO181" s="39">
        <v>6</v>
      </c>
      <c r="BP181" s="39" t="s">
        <v>152</v>
      </c>
      <c r="BQ181" s="27">
        <v>78</v>
      </c>
      <c r="BR181" s="39">
        <v>1024</v>
      </c>
      <c r="BS181" s="41" t="s">
        <v>181</v>
      </c>
      <c r="BT181" s="27"/>
      <c r="BU181" s="44"/>
      <c r="BV181" s="45" t="s">
        <v>155</v>
      </c>
      <c r="BW181" s="39" t="s">
        <v>34</v>
      </c>
      <c r="BX181" s="39">
        <v>6</v>
      </c>
      <c r="BY181" s="39" t="s">
        <v>152</v>
      </c>
      <c r="BZ181" s="27">
        <v>78</v>
      </c>
      <c r="CA181" s="39" t="s">
        <v>225</v>
      </c>
      <c r="CB181" s="40" t="s">
        <v>160</v>
      </c>
      <c r="CD181" s="44"/>
      <c r="CE181" s="45" t="s">
        <v>155</v>
      </c>
      <c r="CF181" s="39" t="s">
        <v>34</v>
      </c>
      <c r="CG181" s="39">
        <v>6</v>
      </c>
      <c r="CH181" s="39" t="s">
        <v>152</v>
      </c>
      <c r="CI181" s="27">
        <v>78</v>
      </c>
      <c r="CJ181" s="39" t="s">
        <v>296</v>
      </c>
      <c r="CK181" s="41" t="s">
        <v>163</v>
      </c>
      <c r="CM181" s="42"/>
      <c r="CN181" s="34"/>
      <c r="CO181" s="10"/>
      <c r="CP181" s="10"/>
      <c r="CQ181" s="10"/>
      <c r="CS181" s="2"/>
      <c r="CT181" s="43"/>
    </row>
    <row r="182" spans="1:98" x14ac:dyDescent="0.25">
      <c r="A182" s="44"/>
      <c r="B182" s="45" t="s">
        <v>155</v>
      </c>
      <c r="C182" s="39" t="s">
        <v>34</v>
      </c>
      <c r="D182" s="39">
        <v>7</v>
      </c>
      <c r="E182" s="39" t="s">
        <v>152</v>
      </c>
      <c r="F182" s="27">
        <v>79</v>
      </c>
      <c r="G182" s="39" t="s">
        <v>46</v>
      </c>
      <c r="H182" s="41" t="s">
        <v>168</v>
      </c>
      <c r="I182" s="27"/>
      <c r="J182" s="44"/>
      <c r="K182" s="45" t="s">
        <v>155</v>
      </c>
      <c r="L182" s="39" t="s">
        <v>34</v>
      </c>
      <c r="M182" s="39">
        <v>7</v>
      </c>
      <c r="N182" s="39" t="s">
        <v>152</v>
      </c>
      <c r="O182" s="27">
        <v>79</v>
      </c>
      <c r="P182" s="39" t="s">
        <v>47</v>
      </c>
      <c r="Q182" s="41" t="s">
        <v>171</v>
      </c>
      <c r="R182" s="27"/>
      <c r="S182" s="44"/>
      <c r="T182" s="45" t="s">
        <v>155</v>
      </c>
      <c r="U182" s="39" t="s">
        <v>34</v>
      </c>
      <c r="V182" s="39">
        <v>7</v>
      </c>
      <c r="W182" s="39" t="s">
        <v>152</v>
      </c>
      <c r="X182" s="27">
        <v>79</v>
      </c>
      <c r="Y182" s="39">
        <v>1021</v>
      </c>
      <c r="Z182" s="41" t="s">
        <v>184</v>
      </c>
      <c r="AA182" s="27"/>
      <c r="AB182" s="44"/>
      <c r="AC182" s="45" t="s">
        <v>155</v>
      </c>
      <c r="AD182" s="39" t="s">
        <v>34</v>
      </c>
      <c r="AE182" s="39">
        <v>7</v>
      </c>
      <c r="AF182" s="39" t="s">
        <v>152</v>
      </c>
      <c r="AG182" s="27">
        <v>79</v>
      </c>
      <c r="AH182" s="39">
        <v>1039</v>
      </c>
      <c r="AI182" s="41" t="s">
        <v>181</v>
      </c>
      <c r="AJ182" s="27"/>
      <c r="AK182" s="44"/>
      <c r="AL182" s="45" t="s">
        <v>155</v>
      </c>
      <c r="AM182" s="39" t="s">
        <v>34</v>
      </c>
      <c r="AN182" s="39">
        <v>7</v>
      </c>
      <c r="AO182" s="39" t="s">
        <v>152</v>
      </c>
      <c r="AP182" s="27">
        <v>79</v>
      </c>
      <c r="AQ182" s="64">
        <v>1043</v>
      </c>
      <c r="AR182" s="40" t="s">
        <v>160</v>
      </c>
      <c r="AS182" s="27"/>
      <c r="AT182" s="44"/>
      <c r="AU182" s="45" t="s">
        <v>155</v>
      </c>
      <c r="AV182" s="39" t="s">
        <v>34</v>
      </c>
      <c r="AW182" s="39">
        <v>7</v>
      </c>
      <c r="AX182" s="39" t="s">
        <v>152</v>
      </c>
      <c r="AY182" s="27">
        <v>79</v>
      </c>
      <c r="AZ182" s="39">
        <v>1048</v>
      </c>
      <c r="BA182" s="41" t="s">
        <v>163</v>
      </c>
      <c r="BB182" s="27"/>
      <c r="BC182" s="44"/>
      <c r="BD182" s="45" t="s">
        <v>155</v>
      </c>
      <c r="BE182" s="39" t="s">
        <v>34</v>
      </c>
      <c r="BF182" s="39">
        <v>7</v>
      </c>
      <c r="BG182" s="39" t="s">
        <v>152</v>
      </c>
      <c r="BH182" s="27">
        <v>79</v>
      </c>
      <c r="BI182" s="39">
        <v>1047</v>
      </c>
      <c r="BJ182" s="41" t="s">
        <v>186</v>
      </c>
      <c r="BK182" s="27"/>
      <c r="BL182" s="44"/>
      <c r="BM182" s="45" t="s">
        <v>155</v>
      </c>
      <c r="BN182" s="39" t="s">
        <v>34</v>
      </c>
      <c r="BO182" s="39">
        <v>7</v>
      </c>
      <c r="BP182" s="39" t="s">
        <v>152</v>
      </c>
      <c r="BQ182" s="27">
        <v>79</v>
      </c>
      <c r="BR182" s="39">
        <v>1024</v>
      </c>
      <c r="BS182" s="41" t="s">
        <v>183</v>
      </c>
      <c r="BT182" s="27"/>
      <c r="BU182" s="44"/>
      <c r="BV182" s="45" t="s">
        <v>155</v>
      </c>
      <c r="BW182" s="39" t="s">
        <v>34</v>
      </c>
      <c r="BX182" s="39">
        <v>7</v>
      </c>
      <c r="BY182" s="39" t="s">
        <v>152</v>
      </c>
      <c r="BZ182" s="27">
        <v>79</v>
      </c>
      <c r="CA182" s="39" t="s">
        <v>226</v>
      </c>
      <c r="CB182" s="41" t="s">
        <v>168</v>
      </c>
      <c r="CD182" s="44"/>
      <c r="CE182" s="45" t="s">
        <v>155</v>
      </c>
      <c r="CF182" s="39" t="s">
        <v>34</v>
      </c>
      <c r="CG182" s="39">
        <v>7</v>
      </c>
      <c r="CH182" s="39" t="s">
        <v>152</v>
      </c>
      <c r="CI182" s="27">
        <v>79</v>
      </c>
      <c r="CJ182" s="39" t="s">
        <v>297</v>
      </c>
      <c r="CK182" s="41" t="s">
        <v>171</v>
      </c>
      <c r="CM182" s="42"/>
      <c r="CN182" s="34"/>
      <c r="CO182" s="10"/>
      <c r="CP182" s="10"/>
      <c r="CQ182" s="10"/>
      <c r="CS182" s="2"/>
      <c r="CT182" s="43"/>
    </row>
    <row r="183" spans="1:98" x14ac:dyDescent="0.25">
      <c r="A183" s="44"/>
      <c r="B183" s="45" t="s">
        <v>155</v>
      </c>
      <c r="C183" s="39" t="s">
        <v>34</v>
      </c>
      <c r="D183" s="39">
        <v>8</v>
      </c>
      <c r="E183" s="39" t="s">
        <v>152</v>
      </c>
      <c r="F183" s="27">
        <v>80</v>
      </c>
      <c r="G183" s="39" t="s">
        <v>46</v>
      </c>
      <c r="H183" s="41" t="s">
        <v>176</v>
      </c>
      <c r="I183" s="27"/>
      <c r="J183" s="44"/>
      <c r="K183" s="45" t="s">
        <v>155</v>
      </c>
      <c r="L183" s="39" t="s">
        <v>34</v>
      </c>
      <c r="M183" s="39">
        <v>8</v>
      </c>
      <c r="N183" s="39" t="s">
        <v>152</v>
      </c>
      <c r="O183" s="27">
        <v>80</v>
      </c>
      <c r="P183" s="39" t="s">
        <v>47</v>
      </c>
      <c r="Q183" s="41" t="s">
        <v>161</v>
      </c>
      <c r="R183" s="27"/>
      <c r="S183" s="44"/>
      <c r="T183" s="45" t="s">
        <v>155</v>
      </c>
      <c r="U183" s="39" t="s">
        <v>34</v>
      </c>
      <c r="V183" s="39">
        <v>8</v>
      </c>
      <c r="W183" s="39" t="s">
        <v>152</v>
      </c>
      <c r="X183" s="27">
        <v>80</v>
      </c>
      <c r="Y183" s="39">
        <v>1021</v>
      </c>
      <c r="Z183" s="41" t="s">
        <v>187</v>
      </c>
      <c r="AA183" s="27"/>
      <c r="AB183" s="44"/>
      <c r="AC183" s="45" t="s">
        <v>155</v>
      </c>
      <c r="AD183" s="39" t="s">
        <v>34</v>
      </c>
      <c r="AE183" s="39">
        <v>8</v>
      </c>
      <c r="AF183" s="39" t="s">
        <v>152</v>
      </c>
      <c r="AG183" s="27">
        <v>80</v>
      </c>
      <c r="AH183" s="39">
        <v>1039</v>
      </c>
      <c r="AI183" s="41" t="s">
        <v>183</v>
      </c>
      <c r="AJ183" s="27"/>
      <c r="AK183" s="44"/>
      <c r="AL183" s="45" t="s">
        <v>155</v>
      </c>
      <c r="AM183" s="39" t="s">
        <v>34</v>
      </c>
      <c r="AN183" s="39">
        <v>8</v>
      </c>
      <c r="AO183" s="39" t="s">
        <v>152</v>
      </c>
      <c r="AP183" s="27">
        <v>80</v>
      </c>
      <c r="AQ183" s="64">
        <v>1043</v>
      </c>
      <c r="AR183" s="41" t="s">
        <v>168</v>
      </c>
      <c r="AS183" s="27"/>
      <c r="AT183" s="44"/>
      <c r="AU183" s="45" t="s">
        <v>155</v>
      </c>
      <c r="AV183" s="39" t="s">
        <v>34</v>
      </c>
      <c r="AW183" s="39">
        <v>8</v>
      </c>
      <c r="AX183" s="39" t="s">
        <v>152</v>
      </c>
      <c r="AY183" s="27">
        <v>80</v>
      </c>
      <c r="AZ183" s="39">
        <v>1048</v>
      </c>
      <c r="BA183" s="41" t="s">
        <v>171</v>
      </c>
      <c r="BB183" s="27"/>
      <c r="BC183" s="44"/>
      <c r="BD183" s="45" t="s">
        <v>155</v>
      </c>
      <c r="BE183" s="39" t="s">
        <v>34</v>
      </c>
      <c r="BF183" s="39">
        <v>8</v>
      </c>
      <c r="BG183" s="39" t="s">
        <v>152</v>
      </c>
      <c r="BH183" s="27">
        <v>80</v>
      </c>
      <c r="BI183" s="39">
        <v>1047</v>
      </c>
      <c r="BJ183" s="41" t="s">
        <v>188</v>
      </c>
      <c r="BK183" s="27"/>
      <c r="BL183" s="44"/>
      <c r="BM183" s="45" t="s">
        <v>155</v>
      </c>
      <c r="BN183" s="39" t="s">
        <v>34</v>
      </c>
      <c r="BO183" s="39">
        <v>8</v>
      </c>
      <c r="BP183" s="39" t="s">
        <v>152</v>
      </c>
      <c r="BQ183" s="27">
        <v>80</v>
      </c>
      <c r="BR183" s="39">
        <v>1024</v>
      </c>
      <c r="BS183" s="41" t="s">
        <v>186</v>
      </c>
      <c r="BT183" s="27"/>
      <c r="BU183" s="44"/>
      <c r="BV183" s="45" t="s">
        <v>155</v>
      </c>
      <c r="BW183" s="39" t="s">
        <v>34</v>
      </c>
      <c r="BX183" s="39">
        <v>8</v>
      </c>
      <c r="BY183" s="39" t="s">
        <v>152</v>
      </c>
      <c r="BZ183" s="27">
        <v>80</v>
      </c>
      <c r="CA183" s="39" t="s">
        <v>227</v>
      </c>
      <c r="CB183" s="41" t="s">
        <v>176</v>
      </c>
      <c r="CD183" s="44"/>
      <c r="CE183" s="45" t="s">
        <v>155</v>
      </c>
      <c r="CF183" s="39" t="s">
        <v>34</v>
      </c>
      <c r="CG183" s="39">
        <v>8</v>
      </c>
      <c r="CH183" s="39" t="s">
        <v>152</v>
      </c>
      <c r="CI183" s="27">
        <v>80</v>
      </c>
      <c r="CJ183" s="39" t="s">
        <v>298</v>
      </c>
      <c r="CK183" s="41" t="s">
        <v>161</v>
      </c>
      <c r="CM183" s="42"/>
      <c r="CN183" s="34"/>
      <c r="CO183" s="10"/>
      <c r="CP183" s="10"/>
      <c r="CQ183" s="10"/>
      <c r="CS183" s="2"/>
      <c r="CT183" s="43"/>
    </row>
    <row r="184" spans="1:98" ht="15.75" thickBot="1" x14ac:dyDescent="0.3">
      <c r="A184" s="44"/>
      <c r="B184" s="45" t="s">
        <v>155</v>
      </c>
      <c r="C184" s="39" t="s">
        <v>34</v>
      </c>
      <c r="D184" s="39">
        <v>9</v>
      </c>
      <c r="E184" s="39" t="s">
        <v>152</v>
      </c>
      <c r="F184" s="27">
        <v>81</v>
      </c>
      <c r="G184" s="39" t="s">
        <v>46</v>
      </c>
      <c r="H184" s="41" t="s">
        <v>164</v>
      </c>
      <c r="I184" s="27"/>
      <c r="J184" s="44"/>
      <c r="K184" s="45" t="s">
        <v>155</v>
      </c>
      <c r="L184" s="39" t="s">
        <v>34</v>
      </c>
      <c r="M184" s="39">
        <v>9</v>
      </c>
      <c r="N184" s="39" t="s">
        <v>152</v>
      </c>
      <c r="O184" s="27">
        <v>81</v>
      </c>
      <c r="P184" s="39" t="s">
        <v>47</v>
      </c>
      <c r="Q184" s="46" t="s">
        <v>169</v>
      </c>
      <c r="R184" s="27"/>
      <c r="S184" s="44"/>
      <c r="T184" s="45" t="s">
        <v>155</v>
      </c>
      <c r="U184" s="39" t="s">
        <v>34</v>
      </c>
      <c r="V184" s="39">
        <v>9</v>
      </c>
      <c r="W184" s="39" t="s">
        <v>152</v>
      </c>
      <c r="X184" s="27">
        <v>81</v>
      </c>
      <c r="Y184" s="39">
        <v>1021</v>
      </c>
      <c r="Z184" s="41" t="s">
        <v>189</v>
      </c>
      <c r="AA184" s="27"/>
      <c r="AB184" s="44"/>
      <c r="AC184" s="45" t="s">
        <v>155</v>
      </c>
      <c r="AD184" s="39" t="s">
        <v>34</v>
      </c>
      <c r="AE184" s="39">
        <v>9</v>
      </c>
      <c r="AF184" s="39" t="s">
        <v>152</v>
      </c>
      <c r="AG184" s="27">
        <v>81</v>
      </c>
      <c r="AH184" s="39">
        <v>1039</v>
      </c>
      <c r="AI184" s="41" t="s">
        <v>186</v>
      </c>
      <c r="AJ184" s="27"/>
      <c r="AK184" s="44"/>
      <c r="AL184" s="45" t="s">
        <v>155</v>
      </c>
      <c r="AM184" s="39" t="s">
        <v>34</v>
      </c>
      <c r="AN184" s="39">
        <v>9</v>
      </c>
      <c r="AO184" s="39" t="s">
        <v>152</v>
      </c>
      <c r="AP184" s="27">
        <v>81</v>
      </c>
      <c r="AQ184" s="64">
        <v>1043</v>
      </c>
      <c r="AR184" s="41" t="s">
        <v>176</v>
      </c>
      <c r="AS184" s="27"/>
      <c r="AT184" s="44"/>
      <c r="AU184" s="45" t="s">
        <v>155</v>
      </c>
      <c r="AV184" s="39" t="s">
        <v>34</v>
      </c>
      <c r="AW184" s="39">
        <v>9</v>
      </c>
      <c r="AX184" s="39" t="s">
        <v>152</v>
      </c>
      <c r="AY184" s="27">
        <v>81</v>
      </c>
      <c r="AZ184" s="39">
        <v>1048</v>
      </c>
      <c r="BA184" s="41" t="s">
        <v>161</v>
      </c>
      <c r="BB184" s="27"/>
      <c r="BC184" s="44"/>
      <c r="BD184" s="45" t="s">
        <v>155</v>
      </c>
      <c r="BE184" s="39" t="s">
        <v>34</v>
      </c>
      <c r="BF184" s="39">
        <v>9</v>
      </c>
      <c r="BG184" s="39" t="s">
        <v>152</v>
      </c>
      <c r="BH184" s="27">
        <v>81</v>
      </c>
      <c r="BI184" s="39">
        <v>1047</v>
      </c>
      <c r="BJ184" s="41" t="s">
        <v>182</v>
      </c>
      <c r="BK184" s="27"/>
      <c r="BL184" s="44"/>
      <c r="BM184" s="45" t="s">
        <v>155</v>
      </c>
      <c r="BN184" s="39" t="s">
        <v>34</v>
      </c>
      <c r="BO184" s="39">
        <v>9</v>
      </c>
      <c r="BP184" s="39" t="s">
        <v>152</v>
      </c>
      <c r="BQ184" s="27">
        <v>81</v>
      </c>
      <c r="BR184" s="39">
        <v>1024</v>
      </c>
      <c r="BS184" s="41" t="s">
        <v>188</v>
      </c>
      <c r="BT184" s="27"/>
      <c r="BU184" s="44"/>
      <c r="BV184" s="45" t="s">
        <v>155</v>
      </c>
      <c r="BW184" s="39" t="s">
        <v>34</v>
      </c>
      <c r="BX184" s="39">
        <v>9</v>
      </c>
      <c r="BY184" s="39" t="s">
        <v>152</v>
      </c>
      <c r="BZ184" s="27">
        <v>81</v>
      </c>
      <c r="CA184" s="39" t="s">
        <v>299</v>
      </c>
      <c r="CB184" s="41" t="s">
        <v>164</v>
      </c>
      <c r="CD184" s="44"/>
      <c r="CE184" s="45" t="s">
        <v>155</v>
      </c>
      <c r="CF184" s="39" t="s">
        <v>34</v>
      </c>
      <c r="CG184" s="39">
        <v>9</v>
      </c>
      <c r="CH184" s="39" t="s">
        <v>152</v>
      </c>
      <c r="CI184" s="27">
        <v>81</v>
      </c>
      <c r="CJ184" s="39" t="s">
        <v>300</v>
      </c>
      <c r="CK184" s="41" t="s">
        <v>169</v>
      </c>
      <c r="CM184" s="42"/>
      <c r="CN184" s="34"/>
      <c r="CO184" s="10"/>
      <c r="CP184" s="10"/>
      <c r="CQ184" s="10"/>
      <c r="CS184" s="2"/>
      <c r="CT184" s="43"/>
    </row>
    <row r="185" spans="1:98" x14ac:dyDescent="0.25">
      <c r="A185" s="44"/>
      <c r="B185" s="45" t="s">
        <v>155</v>
      </c>
      <c r="C185" s="39" t="s">
        <v>34</v>
      </c>
      <c r="D185" s="39">
        <v>10</v>
      </c>
      <c r="E185" s="39" t="s">
        <v>152</v>
      </c>
      <c r="F185" s="27">
        <v>82</v>
      </c>
      <c r="G185" s="39" t="s">
        <v>46</v>
      </c>
      <c r="H185" s="41" t="s">
        <v>172</v>
      </c>
      <c r="I185" s="27"/>
      <c r="J185" s="44"/>
      <c r="K185" s="45" t="s">
        <v>155</v>
      </c>
      <c r="L185" s="39" t="s">
        <v>34</v>
      </c>
      <c r="M185" s="39">
        <v>10</v>
      </c>
      <c r="N185" s="39" t="s">
        <v>152</v>
      </c>
      <c r="O185" s="27">
        <v>82</v>
      </c>
      <c r="P185" s="39" t="s">
        <v>47</v>
      </c>
      <c r="Q185" s="41" t="s">
        <v>180</v>
      </c>
      <c r="R185" s="27"/>
      <c r="S185" s="44"/>
      <c r="T185" s="45" t="s">
        <v>155</v>
      </c>
      <c r="U185" s="39" t="s">
        <v>34</v>
      </c>
      <c r="V185" s="39">
        <v>10</v>
      </c>
      <c r="W185" s="39" t="s">
        <v>152</v>
      </c>
      <c r="X185" s="27">
        <v>82</v>
      </c>
      <c r="Y185" s="39" t="s">
        <v>57</v>
      </c>
      <c r="Z185" s="40" t="s">
        <v>160</v>
      </c>
      <c r="AA185" s="27"/>
      <c r="AB185" s="44"/>
      <c r="AC185" s="45" t="s">
        <v>155</v>
      </c>
      <c r="AD185" s="39" t="s">
        <v>34</v>
      </c>
      <c r="AE185" s="39">
        <v>10</v>
      </c>
      <c r="AF185" s="39" t="s">
        <v>152</v>
      </c>
      <c r="AG185" s="27">
        <v>82</v>
      </c>
      <c r="AH185" s="39">
        <v>1039</v>
      </c>
      <c r="AI185" s="41" t="s">
        <v>188</v>
      </c>
      <c r="AJ185" s="27"/>
      <c r="AK185" s="44"/>
      <c r="AL185" s="45" t="s">
        <v>155</v>
      </c>
      <c r="AM185" s="39" t="s">
        <v>34</v>
      </c>
      <c r="AN185" s="39">
        <v>10</v>
      </c>
      <c r="AO185" s="39" t="s">
        <v>152</v>
      </c>
      <c r="AP185" s="27">
        <v>82</v>
      </c>
      <c r="AQ185" s="64">
        <v>1043</v>
      </c>
      <c r="AR185" s="41" t="s">
        <v>164</v>
      </c>
      <c r="AS185" s="27"/>
      <c r="AT185" s="44"/>
      <c r="AU185" s="45" t="s">
        <v>155</v>
      </c>
      <c r="AV185" s="39" t="s">
        <v>34</v>
      </c>
      <c r="AW185" s="39">
        <v>10</v>
      </c>
      <c r="AX185" s="39" t="s">
        <v>152</v>
      </c>
      <c r="AY185" s="27">
        <v>82</v>
      </c>
      <c r="AZ185" s="39">
        <v>1048</v>
      </c>
      <c r="BA185" s="46" t="s">
        <v>169</v>
      </c>
      <c r="BB185" s="27"/>
      <c r="BC185" s="44"/>
      <c r="BD185" s="45" t="s">
        <v>155</v>
      </c>
      <c r="BE185" s="39" t="s">
        <v>34</v>
      </c>
      <c r="BF185" s="39">
        <v>10</v>
      </c>
      <c r="BG185" s="39" t="s">
        <v>152</v>
      </c>
      <c r="BH185" s="27">
        <v>82</v>
      </c>
      <c r="BI185" s="39">
        <v>1047</v>
      </c>
      <c r="BJ185" s="41" t="s">
        <v>184</v>
      </c>
      <c r="BK185" s="27"/>
      <c r="BL185" s="44"/>
      <c r="BM185" s="45" t="s">
        <v>155</v>
      </c>
      <c r="BN185" s="39" t="s">
        <v>34</v>
      </c>
      <c r="BO185" s="39">
        <v>10</v>
      </c>
      <c r="BP185" s="39" t="s">
        <v>152</v>
      </c>
      <c r="BQ185" s="27">
        <v>82</v>
      </c>
      <c r="BR185" s="39">
        <v>1024</v>
      </c>
      <c r="BS185" s="41" t="s">
        <v>182</v>
      </c>
      <c r="BT185" s="27"/>
      <c r="BU185" s="44"/>
      <c r="BV185" s="45" t="s">
        <v>155</v>
      </c>
      <c r="BW185" s="39" t="s">
        <v>34</v>
      </c>
      <c r="BX185" s="39">
        <v>10</v>
      </c>
      <c r="BY185" s="39" t="s">
        <v>152</v>
      </c>
      <c r="BZ185" s="27">
        <v>82</v>
      </c>
      <c r="CA185" s="39" t="s">
        <v>301</v>
      </c>
      <c r="CB185" s="41" t="s">
        <v>172</v>
      </c>
      <c r="CD185" s="44"/>
      <c r="CE185" s="45" t="s">
        <v>155</v>
      </c>
      <c r="CF185" s="39" t="s">
        <v>34</v>
      </c>
      <c r="CG185" s="39">
        <v>10</v>
      </c>
      <c r="CH185" s="39" t="s">
        <v>152</v>
      </c>
      <c r="CI185" s="27">
        <v>82</v>
      </c>
      <c r="CJ185" s="39" t="s">
        <v>302</v>
      </c>
      <c r="CK185" s="41" t="s">
        <v>177</v>
      </c>
      <c r="CM185" s="42"/>
      <c r="CN185" s="34"/>
      <c r="CO185" s="10"/>
      <c r="CP185" s="10"/>
      <c r="CQ185" s="10"/>
      <c r="CS185" s="10"/>
      <c r="CT185" s="43"/>
    </row>
    <row r="186" spans="1:98" x14ac:dyDescent="0.25">
      <c r="A186" s="44"/>
      <c r="B186" s="45" t="s">
        <v>155</v>
      </c>
      <c r="C186" s="39" t="s">
        <v>34</v>
      </c>
      <c r="D186" s="39">
        <v>11</v>
      </c>
      <c r="E186" s="39" t="s">
        <v>152</v>
      </c>
      <c r="F186" s="27">
        <v>83</v>
      </c>
      <c r="G186" s="39" t="s">
        <v>46</v>
      </c>
      <c r="H186" s="41" t="s">
        <v>162</v>
      </c>
      <c r="I186" s="27"/>
      <c r="J186" s="44"/>
      <c r="K186" s="45" t="s">
        <v>155</v>
      </c>
      <c r="L186" s="39" t="s">
        <v>34</v>
      </c>
      <c r="M186" s="39">
        <v>11</v>
      </c>
      <c r="N186" s="39" t="s">
        <v>152</v>
      </c>
      <c r="O186" s="27">
        <v>83</v>
      </c>
      <c r="P186" s="39" t="s">
        <v>47</v>
      </c>
      <c r="Q186" s="41" t="s">
        <v>181</v>
      </c>
      <c r="R186" s="27"/>
      <c r="S186" s="44"/>
      <c r="T186" s="45" t="s">
        <v>155</v>
      </c>
      <c r="U186" s="39" t="s">
        <v>34</v>
      </c>
      <c r="V186" s="39">
        <v>11</v>
      </c>
      <c r="W186" s="39" t="s">
        <v>152</v>
      </c>
      <c r="X186" s="27">
        <v>83</v>
      </c>
      <c r="Y186" s="39" t="s">
        <v>57</v>
      </c>
      <c r="Z186" s="41" t="s">
        <v>168</v>
      </c>
      <c r="AA186" s="27"/>
      <c r="AB186" s="44"/>
      <c r="AC186" s="45" t="s">
        <v>155</v>
      </c>
      <c r="AD186" s="39" t="s">
        <v>34</v>
      </c>
      <c r="AE186" s="39">
        <v>11</v>
      </c>
      <c r="AF186" s="39" t="s">
        <v>152</v>
      </c>
      <c r="AG186" s="27">
        <v>83</v>
      </c>
      <c r="AH186" s="39">
        <v>1039</v>
      </c>
      <c r="AI186" s="41" t="s">
        <v>182</v>
      </c>
      <c r="AJ186" s="27"/>
      <c r="AK186" s="44"/>
      <c r="AL186" s="45" t="s">
        <v>155</v>
      </c>
      <c r="AM186" s="39" t="s">
        <v>34</v>
      </c>
      <c r="AN186" s="39">
        <v>11</v>
      </c>
      <c r="AO186" s="39" t="s">
        <v>152</v>
      </c>
      <c r="AP186" s="27">
        <v>83</v>
      </c>
      <c r="AQ186" s="64">
        <v>1043</v>
      </c>
      <c r="AR186" s="41" t="s">
        <v>172</v>
      </c>
      <c r="AS186" s="27"/>
      <c r="AT186" s="44"/>
      <c r="AU186" s="45" t="s">
        <v>155</v>
      </c>
      <c r="AV186" s="39" t="s">
        <v>34</v>
      </c>
      <c r="AW186" s="39">
        <v>11</v>
      </c>
      <c r="AX186" s="39" t="s">
        <v>152</v>
      </c>
      <c r="AY186" s="27">
        <v>83</v>
      </c>
      <c r="AZ186" s="39">
        <v>1048</v>
      </c>
      <c r="BA186" s="41" t="s">
        <v>177</v>
      </c>
      <c r="BB186" s="27"/>
      <c r="BC186" s="44"/>
      <c r="BD186" s="45" t="s">
        <v>155</v>
      </c>
      <c r="BE186" s="39" t="s">
        <v>34</v>
      </c>
      <c r="BF186" s="39">
        <v>11</v>
      </c>
      <c r="BG186" s="39" t="s">
        <v>152</v>
      </c>
      <c r="BH186" s="27">
        <v>83</v>
      </c>
      <c r="BI186" s="39">
        <v>1047</v>
      </c>
      <c r="BJ186" s="41" t="s">
        <v>187</v>
      </c>
      <c r="BK186" s="27"/>
      <c r="BL186" s="44"/>
      <c r="BM186" s="45" t="s">
        <v>155</v>
      </c>
      <c r="BN186" s="39" t="s">
        <v>34</v>
      </c>
      <c r="BO186" s="39">
        <v>11</v>
      </c>
      <c r="BP186" s="39" t="s">
        <v>152</v>
      </c>
      <c r="BQ186" s="27">
        <v>83</v>
      </c>
      <c r="BR186" s="39">
        <v>1024</v>
      </c>
      <c r="BS186" s="41" t="s">
        <v>184</v>
      </c>
      <c r="BT186" s="27"/>
      <c r="BU186" s="44"/>
      <c r="BV186" s="45" t="s">
        <v>155</v>
      </c>
      <c r="BW186" s="39" t="s">
        <v>34</v>
      </c>
      <c r="BX186" s="39">
        <v>11</v>
      </c>
      <c r="BY186" s="39" t="s">
        <v>152</v>
      </c>
      <c r="BZ186" s="27">
        <v>83</v>
      </c>
      <c r="CA186" s="39" t="s">
        <v>303</v>
      </c>
      <c r="CB186" s="41" t="s">
        <v>162</v>
      </c>
      <c r="CD186" s="44"/>
      <c r="CE186" s="45" t="s">
        <v>155</v>
      </c>
      <c r="CF186" s="39" t="s">
        <v>34</v>
      </c>
      <c r="CG186" s="39">
        <v>11</v>
      </c>
      <c r="CH186" s="39" t="s">
        <v>152</v>
      </c>
      <c r="CI186" s="27">
        <v>83</v>
      </c>
      <c r="CJ186" s="39" t="s">
        <v>304</v>
      </c>
      <c r="CK186" s="41" t="s">
        <v>180</v>
      </c>
      <c r="CM186" s="42"/>
      <c r="CN186" s="34"/>
      <c r="CO186" s="10"/>
      <c r="CP186" s="10"/>
      <c r="CQ186" s="10"/>
      <c r="CS186" s="10"/>
      <c r="CT186" s="43"/>
    </row>
    <row r="187" spans="1:98" ht="15.75" thickBot="1" x14ac:dyDescent="0.3">
      <c r="A187" s="52"/>
      <c r="B187" s="53" t="s">
        <v>155</v>
      </c>
      <c r="C187" s="54" t="s">
        <v>34</v>
      </c>
      <c r="D187" s="54">
        <v>12</v>
      </c>
      <c r="E187" s="54" t="s">
        <v>152</v>
      </c>
      <c r="F187" s="55">
        <v>84</v>
      </c>
      <c r="G187" s="39" t="s">
        <v>46</v>
      </c>
      <c r="H187" s="41" t="s">
        <v>170</v>
      </c>
      <c r="I187" s="27"/>
      <c r="J187" s="52"/>
      <c r="K187" s="53" t="s">
        <v>155</v>
      </c>
      <c r="L187" s="54" t="s">
        <v>34</v>
      </c>
      <c r="M187" s="54">
        <v>12</v>
      </c>
      <c r="N187" s="54" t="s">
        <v>152</v>
      </c>
      <c r="O187" s="55">
        <v>84</v>
      </c>
      <c r="P187" s="39" t="s">
        <v>47</v>
      </c>
      <c r="Q187" s="41" t="s">
        <v>183</v>
      </c>
      <c r="R187" s="27"/>
      <c r="S187" s="52"/>
      <c r="T187" s="53" t="s">
        <v>155</v>
      </c>
      <c r="U187" s="54" t="s">
        <v>34</v>
      </c>
      <c r="V187" s="54">
        <v>12</v>
      </c>
      <c r="W187" s="54" t="s">
        <v>152</v>
      </c>
      <c r="X187" s="55">
        <v>84</v>
      </c>
      <c r="Y187" s="39" t="s">
        <v>57</v>
      </c>
      <c r="Z187" s="41" t="s">
        <v>176</v>
      </c>
      <c r="AA187" s="27"/>
      <c r="AB187" s="52"/>
      <c r="AC187" s="53" t="s">
        <v>155</v>
      </c>
      <c r="AD187" s="54" t="s">
        <v>34</v>
      </c>
      <c r="AE187" s="54">
        <v>12</v>
      </c>
      <c r="AF187" s="54" t="s">
        <v>152</v>
      </c>
      <c r="AG187" s="55">
        <v>84</v>
      </c>
      <c r="AH187" s="39">
        <v>1039</v>
      </c>
      <c r="AI187" s="41" t="s">
        <v>184</v>
      </c>
      <c r="AJ187" s="27"/>
      <c r="AK187" s="52"/>
      <c r="AL187" s="53" t="s">
        <v>155</v>
      </c>
      <c r="AM187" s="54" t="s">
        <v>34</v>
      </c>
      <c r="AN187" s="54">
        <v>12</v>
      </c>
      <c r="AO187" s="54" t="s">
        <v>152</v>
      </c>
      <c r="AP187" s="55">
        <v>84</v>
      </c>
      <c r="AQ187" s="64">
        <v>1043</v>
      </c>
      <c r="AR187" s="41" t="s">
        <v>162</v>
      </c>
      <c r="AS187" s="27"/>
      <c r="AT187" s="52"/>
      <c r="AU187" s="53" t="s">
        <v>155</v>
      </c>
      <c r="AV187" s="54" t="s">
        <v>34</v>
      </c>
      <c r="AW187" s="54">
        <v>12</v>
      </c>
      <c r="AX187" s="54" t="s">
        <v>152</v>
      </c>
      <c r="AY187" s="55">
        <v>84</v>
      </c>
      <c r="AZ187" s="39">
        <v>1048</v>
      </c>
      <c r="BA187" s="41" t="s">
        <v>180</v>
      </c>
      <c r="BB187" s="27"/>
      <c r="BC187" s="52"/>
      <c r="BD187" s="53" t="s">
        <v>155</v>
      </c>
      <c r="BE187" s="54" t="s">
        <v>34</v>
      </c>
      <c r="BF187" s="54">
        <v>12</v>
      </c>
      <c r="BG187" s="54" t="s">
        <v>152</v>
      </c>
      <c r="BH187" s="55">
        <v>84</v>
      </c>
      <c r="BI187" s="39">
        <v>1047</v>
      </c>
      <c r="BJ187" s="41" t="s">
        <v>189</v>
      </c>
      <c r="BK187" s="27"/>
      <c r="BL187" s="52"/>
      <c r="BM187" s="53" t="s">
        <v>155</v>
      </c>
      <c r="BN187" s="54" t="s">
        <v>34</v>
      </c>
      <c r="BO187" s="54">
        <v>12</v>
      </c>
      <c r="BP187" s="54" t="s">
        <v>152</v>
      </c>
      <c r="BQ187" s="55">
        <v>84</v>
      </c>
      <c r="BR187" s="39">
        <v>1024</v>
      </c>
      <c r="BS187" s="41" t="s">
        <v>187</v>
      </c>
      <c r="BT187" s="27"/>
      <c r="BU187" s="52"/>
      <c r="BV187" s="53" t="s">
        <v>155</v>
      </c>
      <c r="BW187" s="54" t="s">
        <v>34</v>
      </c>
      <c r="BX187" s="54">
        <v>12</v>
      </c>
      <c r="BY187" s="54" t="s">
        <v>152</v>
      </c>
      <c r="BZ187" s="55">
        <v>84</v>
      </c>
      <c r="CA187" s="39" t="s">
        <v>305</v>
      </c>
      <c r="CB187" s="41" t="s">
        <v>170</v>
      </c>
      <c r="CD187" s="52"/>
      <c r="CE187" s="53" t="s">
        <v>155</v>
      </c>
      <c r="CF187" s="54" t="s">
        <v>34</v>
      </c>
      <c r="CG187" s="54">
        <v>12</v>
      </c>
      <c r="CH187" s="54" t="s">
        <v>152</v>
      </c>
      <c r="CI187" s="55">
        <v>84</v>
      </c>
      <c r="CJ187" s="39" t="s">
        <v>306</v>
      </c>
      <c r="CK187" s="41" t="s">
        <v>181</v>
      </c>
      <c r="CM187" s="47"/>
      <c r="CN187" s="48"/>
      <c r="CO187" s="49"/>
      <c r="CP187" s="49"/>
      <c r="CQ187" s="49"/>
      <c r="CR187" s="50"/>
      <c r="CS187" s="49"/>
      <c r="CT187" s="51"/>
    </row>
    <row r="188" spans="1:98" ht="15.75" thickBot="1" x14ac:dyDescent="0.3">
      <c r="A188" s="60"/>
      <c r="B188" s="45" t="s">
        <v>155</v>
      </c>
      <c r="C188" s="61" t="s">
        <v>39</v>
      </c>
      <c r="D188" s="61">
        <v>1</v>
      </c>
      <c r="E188" s="61" t="s">
        <v>152</v>
      </c>
      <c r="F188" s="62">
        <v>85</v>
      </c>
      <c r="G188" s="39" t="s">
        <v>46</v>
      </c>
      <c r="H188" s="41" t="s">
        <v>178</v>
      </c>
      <c r="I188" s="27"/>
      <c r="J188" s="60"/>
      <c r="K188" s="45" t="s">
        <v>155</v>
      </c>
      <c r="L188" s="61" t="s">
        <v>39</v>
      </c>
      <c r="M188" s="61">
        <v>1</v>
      </c>
      <c r="N188" s="61" t="s">
        <v>152</v>
      </c>
      <c r="O188" s="62">
        <v>85</v>
      </c>
      <c r="P188" s="39" t="s">
        <v>47</v>
      </c>
      <c r="Q188" s="41" t="s">
        <v>188</v>
      </c>
      <c r="R188" s="27"/>
      <c r="S188" s="60"/>
      <c r="T188" s="45" t="s">
        <v>155</v>
      </c>
      <c r="U188" s="61" t="s">
        <v>39</v>
      </c>
      <c r="V188" s="61">
        <v>1</v>
      </c>
      <c r="W188" s="61" t="s">
        <v>152</v>
      </c>
      <c r="X188" s="62">
        <v>85</v>
      </c>
      <c r="Y188" s="39" t="s">
        <v>57</v>
      </c>
      <c r="Z188" s="41" t="s">
        <v>164</v>
      </c>
      <c r="AA188" s="27"/>
      <c r="AB188" s="60"/>
      <c r="AC188" s="45" t="s">
        <v>155</v>
      </c>
      <c r="AD188" s="61" t="s">
        <v>39</v>
      </c>
      <c r="AE188" s="61">
        <v>1</v>
      </c>
      <c r="AF188" s="61" t="s">
        <v>152</v>
      </c>
      <c r="AG188" s="62">
        <v>85</v>
      </c>
      <c r="AH188" s="39">
        <v>1039</v>
      </c>
      <c r="AI188" s="41" t="s">
        <v>187</v>
      </c>
      <c r="AJ188" s="27"/>
      <c r="AK188" s="60"/>
      <c r="AL188" s="45" t="s">
        <v>155</v>
      </c>
      <c r="AM188" s="61" t="s">
        <v>39</v>
      </c>
      <c r="AN188" s="61">
        <v>1</v>
      </c>
      <c r="AO188" s="61" t="s">
        <v>152</v>
      </c>
      <c r="AP188" s="62">
        <v>85</v>
      </c>
      <c r="AQ188" s="64">
        <v>1043</v>
      </c>
      <c r="AR188" s="41" t="s">
        <v>170</v>
      </c>
      <c r="AS188" s="27"/>
      <c r="AT188" s="60"/>
      <c r="AU188" s="45" t="s">
        <v>155</v>
      </c>
      <c r="AV188" s="61" t="s">
        <v>39</v>
      </c>
      <c r="AW188" s="61">
        <v>1</v>
      </c>
      <c r="AX188" s="61" t="s">
        <v>152</v>
      </c>
      <c r="AY188" s="62">
        <v>85</v>
      </c>
      <c r="AZ188" s="39">
        <v>1048</v>
      </c>
      <c r="BA188" s="41" t="s">
        <v>181</v>
      </c>
      <c r="BB188" s="27"/>
      <c r="BC188" s="60"/>
      <c r="BD188" s="45" t="s">
        <v>155</v>
      </c>
      <c r="BE188" s="61" t="s">
        <v>39</v>
      </c>
      <c r="BF188" s="61">
        <v>1</v>
      </c>
      <c r="BG188" s="61" t="s">
        <v>152</v>
      </c>
      <c r="BH188" s="62">
        <v>85</v>
      </c>
      <c r="BI188" s="39">
        <v>2021</v>
      </c>
      <c r="BJ188" s="40" t="s">
        <v>160</v>
      </c>
      <c r="BK188" s="27"/>
      <c r="BL188" s="60"/>
      <c r="BM188" s="45" t="s">
        <v>155</v>
      </c>
      <c r="BN188" s="61" t="s">
        <v>39</v>
      </c>
      <c r="BO188" s="61">
        <v>1</v>
      </c>
      <c r="BP188" s="61" t="s">
        <v>152</v>
      </c>
      <c r="BQ188" s="62">
        <v>85</v>
      </c>
      <c r="BR188" s="39">
        <v>1024</v>
      </c>
      <c r="BS188" s="41" t="s">
        <v>189</v>
      </c>
      <c r="BT188" s="27"/>
      <c r="BU188" s="60"/>
      <c r="BV188" s="45" t="s">
        <v>155</v>
      </c>
      <c r="BW188" s="61" t="s">
        <v>39</v>
      </c>
      <c r="BX188" s="61">
        <v>1</v>
      </c>
      <c r="BY188" s="61" t="s">
        <v>152</v>
      </c>
      <c r="BZ188" s="62">
        <v>85</v>
      </c>
      <c r="CA188" s="39" t="s">
        <v>307</v>
      </c>
      <c r="CB188" s="41" t="s">
        <v>178</v>
      </c>
      <c r="CD188" s="60"/>
      <c r="CE188" s="45" t="s">
        <v>155</v>
      </c>
      <c r="CF188" s="61" t="s">
        <v>39</v>
      </c>
      <c r="CG188" s="61">
        <v>1</v>
      </c>
      <c r="CH188" s="61" t="s">
        <v>152</v>
      </c>
      <c r="CI188" s="62">
        <v>85</v>
      </c>
      <c r="CJ188" s="39" t="s">
        <v>308</v>
      </c>
      <c r="CK188" s="40" t="s">
        <v>183</v>
      </c>
      <c r="CM188" s="56"/>
      <c r="CN188" s="34"/>
      <c r="CO188" s="58"/>
      <c r="CP188" s="58"/>
      <c r="CQ188" s="58"/>
      <c r="CR188" s="59"/>
      <c r="CS188" s="10"/>
      <c r="CT188" s="43"/>
    </row>
    <row r="189" spans="1:98" ht="15.75" thickBot="1" x14ac:dyDescent="0.3">
      <c r="A189" s="44"/>
      <c r="B189" s="45" t="s">
        <v>155</v>
      </c>
      <c r="C189" s="39" t="s">
        <v>39</v>
      </c>
      <c r="D189" s="39">
        <v>2</v>
      </c>
      <c r="E189" s="39" t="s">
        <v>152</v>
      </c>
      <c r="F189" s="27">
        <v>86</v>
      </c>
      <c r="G189" s="39" t="s">
        <v>46</v>
      </c>
      <c r="H189" s="41" t="s">
        <v>163</v>
      </c>
      <c r="I189" s="27"/>
      <c r="J189" s="44"/>
      <c r="K189" s="45" t="s">
        <v>155</v>
      </c>
      <c r="L189" s="39" t="s">
        <v>39</v>
      </c>
      <c r="M189" s="39">
        <v>2</v>
      </c>
      <c r="N189" s="39" t="s">
        <v>152</v>
      </c>
      <c r="O189" s="27">
        <v>86</v>
      </c>
      <c r="P189" s="39" t="s">
        <v>47</v>
      </c>
      <c r="Q189" s="41" t="s">
        <v>182</v>
      </c>
      <c r="R189" s="27"/>
      <c r="S189" s="44"/>
      <c r="T189" s="45" t="s">
        <v>155</v>
      </c>
      <c r="U189" s="39" t="s">
        <v>39</v>
      </c>
      <c r="V189" s="39">
        <v>2</v>
      </c>
      <c r="W189" s="39" t="s">
        <v>152</v>
      </c>
      <c r="X189" s="27">
        <v>86</v>
      </c>
      <c r="Y189" s="39" t="s">
        <v>57</v>
      </c>
      <c r="Z189" s="41" t="s">
        <v>172</v>
      </c>
      <c r="AA189" s="27"/>
      <c r="AB189" s="44"/>
      <c r="AC189" s="45" t="s">
        <v>155</v>
      </c>
      <c r="AD189" s="39" t="s">
        <v>39</v>
      </c>
      <c r="AE189" s="39">
        <v>2</v>
      </c>
      <c r="AF189" s="39" t="s">
        <v>152</v>
      </c>
      <c r="AG189" s="27">
        <v>86</v>
      </c>
      <c r="AH189" s="39">
        <v>1039</v>
      </c>
      <c r="AI189" s="41" t="s">
        <v>189</v>
      </c>
      <c r="AJ189" s="27"/>
      <c r="AK189" s="44"/>
      <c r="AL189" s="45" t="s">
        <v>155</v>
      </c>
      <c r="AM189" s="39" t="s">
        <v>39</v>
      </c>
      <c r="AN189" s="39">
        <v>2</v>
      </c>
      <c r="AO189" s="39" t="s">
        <v>152</v>
      </c>
      <c r="AP189" s="27">
        <v>86</v>
      </c>
      <c r="AQ189" s="64">
        <v>1043</v>
      </c>
      <c r="AR189" s="41" t="s">
        <v>178</v>
      </c>
      <c r="AS189" s="27"/>
      <c r="AT189" s="44"/>
      <c r="AU189" s="45" t="s">
        <v>155</v>
      </c>
      <c r="AV189" s="39" t="s">
        <v>39</v>
      </c>
      <c r="AW189" s="39">
        <v>2</v>
      </c>
      <c r="AX189" s="39" t="s">
        <v>152</v>
      </c>
      <c r="AY189" s="27">
        <v>86</v>
      </c>
      <c r="AZ189" s="39">
        <v>1048</v>
      </c>
      <c r="BA189" s="41" t="s">
        <v>183</v>
      </c>
      <c r="BB189" s="27"/>
      <c r="BC189" s="44"/>
      <c r="BD189" s="45" t="s">
        <v>155</v>
      </c>
      <c r="BE189" s="39" t="s">
        <v>39</v>
      </c>
      <c r="BF189" s="39">
        <v>2</v>
      </c>
      <c r="BG189" s="39" t="s">
        <v>152</v>
      </c>
      <c r="BH189" s="27">
        <v>86</v>
      </c>
      <c r="BI189" s="39">
        <v>2021</v>
      </c>
      <c r="BJ189" s="41" t="s">
        <v>168</v>
      </c>
      <c r="BK189" s="27"/>
      <c r="BL189" s="44"/>
      <c r="BM189" s="45" t="s">
        <v>155</v>
      </c>
      <c r="BN189" s="39" t="s">
        <v>39</v>
      </c>
      <c r="BO189" s="39">
        <v>2</v>
      </c>
      <c r="BP189" s="39" t="s">
        <v>152</v>
      </c>
      <c r="BQ189" s="27">
        <v>86</v>
      </c>
      <c r="BR189" s="39">
        <v>2025</v>
      </c>
      <c r="BS189" s="40" t="s">
        <v>160</v>
      </c>
      <c r="BT189" s="27"/>
      <c r="BU189" s="44"/>
      <c r="BV189" s="45" t="s">
        <v>155</v>
      </c>
      <c r="BW189" s="39" t="s">
        <v>39</v>
      </c>
      <c r="BX189" s="39">
        <v>2</v>
      </c>
      <c r="BY189" s="39" t="s">
        <v>152</v>
      </c>
      <c r="BZ189" s="27">
        <v>86</v>
      </c>
      <c r="CA189" s="39" t="s">
        <v>309</v>
      </c>
      <c r="CB189" s="41" t="s">
        <v>163</v>
      </c>
      <c r="CD189" s="44"/>
      <c r="CE189" s="45" t="s">
        <v>155</v>
      </c>
      <c r="CF189" s="39" t="s">
        <v>39</v>
      </c>
      <c r="CG189" s="39">
        <v>2</v>
      </c>
      <c r="CH189" s="39" t="s">
        <v>152</v>
      </c>
      <c r="CI189" s="27">
        <v>86</v>
      </c>
      <c r="CJ189" s="39" t="s">
        <v>310</v>
      </c>
      <c r="CK189" s="41" t="s">
        <v>186</v>
      </c>
      <c r="CM189" s="42"/>
      <c r="CN189" s="34"/>
      <c r="CO189" s="10"/>
      <c r="CP189" s="10"/>
      <c r="CQ189" s="10"/>
      <c r="CS189" s="10"/>
      <c r="CT189" s="43"/>
    </row>
    <row r="190" spans="1:98" x14ac:dyDescent="0.25">
      <c r="A190" s="44"/>
      <c r="B190" s="45" t="s">
        <v>155</v>
      </c>
      <c r="C190" s="39" t="s">
        <v>39</v>
      </c>
      <c r="D190" s="39">
        <v>3</v>
      </c>
      <c r="E190" s="39" t="s">
        <v>152</v>
      </c>
      <c r="F190" s="27">
        <v>87</v>
      </c>
      <c r="G190" s="39" t="s">
        <v>46</v>
      </c>
      <c r="H190" s="41" t="s">
        <v>171</v>
      </c>
      <c r="I190" s="27"/>
      <c r="J190" s="44"/>
      <c r="K190" s="45" t="s">
        <v>155</v>
      </c>
      <c r="L190" s="39" t="s">
        <v>39</v>
      </c>
      <c r="M190" s="39">
        <v>3</v>
      </c>
      <c r="N190" s="39" t="s">
        <v>152</v>
      </c>
      <c r="O190" s="27">
        <v>87</v>
      </c>
      <c r="P190" s="39" t="s">
        <v>47</v>
      </c>
      <c r="Q190" s="41" t="s">
        <v>184</v>
      </c>
      <c r="R190" s="27"/>
      <c r="S190" s="44"/>
      <c r="T190" s="45" t="s">
        <v>155</v>
      </c>
      <c r="U190" s="39" t="s">
        <v>39</v>
      </c>
      <c r="V190" s="39">
        <v>3</v>
      </c>
      <c r="W190" s="39" t="s">
        <v>152</v>
      </c>
      <c r="X190" s="27">
        <v>87</v>
      </c>
      <c r="Y190" s="39" t="s">
        <v>57</v>
      </c>
      <c r="Z190" s="41" t="s">
        <v>162</v>
      </c>
      <c r="AA190" s="27"/>
      <c r="AB190" s="44"/>
      <c r="AC190" s="45" t="s">
        <v>155</v>
      </c>
      <c r="AD190" s="39" t="s">
        <v>39</v>
      </c>
      <c r="AE190" s="39">
        <v>3</v>
      </c>
      <c r="AF190" s="39" t="s">
        <v>152</v>
      </c>
      <c r="AG190" s="27">
        <v>87</v>
      </c>
      <c r="AH190" s="39">
        <v>1034</v>
      </c>
      <c r="AI190" s="40" t="s">
        <v>160</v>
      </c>
      <c r="AJ190" s="27"/>
      <c r="AK190" s="44"/>
      <c r="AL190" s="45" t="s">
        <v>155</v>
      </c>
      <c r="AM190" s="39" t="s">
        <v>39</v>
      </c>
      <c r="AN190" s="39">
        <v>3</v>
      </c>
      <c r="AO190" s="39" t="s">
        <v>152</v>
      </c>
      <c r="AP190" s="27">
        <v>87</v>
      </c>
      <c r="AQ190" s="64">
        <v>1043</v>
      </c>
      <c r="AR190" s="41" t="s">
        <v>163</v>
      </c>
      <c r="AS190" s="27"/>
      <c r="AT190" s="44"/>
      <c r="AU190" s="45" t="s">
        <v>155</v>
      </c>
      <c r="AV190" s="39" t="s">
        <v>39</v>
      </c>
      <c r="AW190" s="39">
        <v>3</v>
      </c>
      <c r="AX190" s="39" t="s">
        <v>152</v>
      </c>
      <c r="AY190" s="27">
        <v>87</v>
      </c>
      <c r="AZ190" s="39">
        <v>1048</v>
      </c>
      <c r="BA190" s="41" t="s">
        <v>186</v>
      </c>
      <c r="BB190" s="27"/>
      <c r="BC190" s="44"/>
      <c r="BD190" s="45" t="s">
        <v>155</v>
      </c>
      <c r="BE190" s="39" t="s">
        <v>39</v>
      </c>
      <c r="BF190" s="39">
        <v>3</v>
      </c>
      <c r="BG190" s="39" t="s">
        <v>152</v>
      </c>
      <c r="BH190" s="27">
        <v>87</v>
      </c>
      <c r="BI190" s="39">
        <v>2021</v>
      </c>
      <c r="BJ190" s="41" t="s">
        <v>176</v>
      </c>
      <c r="BK190" s="27"/>
      <c r="BL190" s="44"/>
      <c r="BM190" s="45" t="s">
        <v>155</v>
      </c>
      <c r="BN190" s="39" t="s">
        <v>39</v>
      </c>
      <c r="BO190" s="39">
        <v>3</v>
      </c>
      <c r="BP190" s="39" t="s">
        <v>152</v>
      </c>
      <c r="BQ190" s="27">
        <v>87</v>
      </c>
      <c r="BR190" s="39">
        <v>2025</v>
      </c>
      <c r="BS190" s="41" t="s">
        <v>168</v>
      </c>
      <c r="BT190" s="27"/>
      <c r="BU190" s="44"/>
      <c r="BV190" s="45" t="s">
        <v>155</v>
      </c>
      <c r="BW190" s="39" t="s">
        <v>39</v>
      </c>
      <c r="BX190" s="39">
        <v>3</v>
      </c>
      <c r="BY190" s="39" t="s">
        <v>152</v>
      </c>
      <c r="BZ190" s="27">
        <v>87</v>
      </c>
      <c r="CA190" s="39" t="s">
        <v>311</v>
      </c>
      <c r="CB190" s="41" t="s">
        <v>171</v>
      </c>
      <c r="CD190" s="44"/>
      <c r="CE190" s="45" t="s">
        <v>155</v>
      </c>
      <c r="CF190" s="39" t="s">
        <v>39</v>
      </c>
      <c r="CG190" s="39">
        <v>3</v>
      </c>
      <c r="CH190" s="39" t="s">
        <v>152</v>
      </c>
      <c r="CI190" s="27">
        <v>87</v>
      </c>
      <c r="CJ190" s="39" t="s">
        <v>312</v>
      </c>
      <c r="CK190" s="41" t="s">
        <v>188</v>
      </c>
      <c r="CM190" s="42"/>
      <c r="CN190" s="34"/>
      <c r="CO190" s="10"/>
      <c r="CP190" s="10"/>
      <c r="CQ190" s="10"/>
      <c r="CS190" s="10"/>
      <c r="CT190" s="43"/>
    </row>
    <row r="191" spans="1:98" x14ac:dyDescent="0.25">
      <c r="A191" s="44"/>
      <c r="B191" s="45" t="s">
        <v>155</v>
      </c>
      <c r="C191" s="39" t="s">
        <v>39</v>
      </c>
      <c r="D191" s="39">
        <v>4</v>
      </c>
      <c r="E191" s="39" t="s">
        <v>152</v>
      </c>
      <c r="F191" s="27">
        <v>88</v>
      </c>
      <c r="G191" s="39" t="s">
        <v>46</v>
      </c>
      <c r="H191" s="41" t="s">
        <v>161</v>
      </c>
      <c r="I191" s="27"/>
      <c r="J191" s="44"/>
      <c r="K191" s="45" t="s">
        <v>155</v>
      </c>
      <c r="L191" s="39" t="s">
        <v>39</v>
      </c>
      <c r="M191" s="39">
        <v>4</v>
      </c>
      <c r="N191" s="39" t="s">
        <v>152</v>
      </c>
      <c r="O191" s="27">
        <v>88</v>
      </c>
      <c r="P191" s="39" t="s">
        <v>47</v>
      </c>
      <c r="Q191" s="41" t="s">
        <v>187</v>
      </c>
      <c r="R191" s="27"/>
      <c r="S191" s="44"/>
      <c r="T191" s="45" t="s">
        <v>155</v>
      </c>
      <c r="U191" s="39" t="s">
        <v>39</v>
      </c>
      <c r="V191" s="39">
        <v>4</v>
      </c>
      <c r="W191" s="39" t="s">
        <v>152</v>
      </c>
      <c r="X191" s="27">
        <v>88</v>
      </c>
      <c r="Y191" s="39" t="s">
        <v>57</v>
      </c>
      <c r="Z191" s="41" t="s">
        <v>170</v>
      </c>
      <c r="AA191" s="27"/>
      <c r="AB191" s="44"/>
      <c r="AC191" s="45" t="s">
        <v>155</v>
      </c>
      <c r="AD191" s="39" t="s">
        <v>39</v>
      </c>
      <c r="AE191" s="39">
        <v>4</v>
      </c>
      <c r="AF191" s="39" t="s">
        <v>152</v>
      </c>
      <c r="AG191" s="27">
        <v>88</v>
      </c>
      <c r="AH191" s="39">
        <v>1034</v>
      </c>
      <c r="AI191" s="41" t="s">
        <v>168</v>
      </c>
      <c r="AJ191" s="27"/>
      <c r="AK191" s="44"/>
      <c r="AL191" s="45" t="s">
        <v>155</v>
      </c>
      <c r="AM191" s="39" t="s">
        <v>39</v>
      </c>
      <c r="AN191" s="39">
        <v>4</v>
      </c>
      <c r="AO191" s="39" t="s">
        <v>152</v>
      </c>
      <c r="AP191" s="27">
        <v>88</v>
      </c>
      <c r="AQ191" s="64">
        <v>1043</v>
      </c>
      <c r="AR191" s="41" t="s">
        <v>171</v>
      </c>
      <c r="AS191" s="27"/>
      <c r="AT191" s="44"/>
      <c r="AU191" s="45" t="s">
        <v>155</v>
      </c>
      <c r="AV191" s="39" t="s">
        <v>39</v>
      </c>
      <c r="AW191" s="39">
        <v>4</v>
      </c>
      <c r="AX191" s="39" t="s">
        <v>152</v>
      </c>
      <c r="AY191" s="27">
        <v>88</v>
      </c>
      <c r="AZ191" s="39">
        <v>1048</v>
      </c>
      <c r="BA191" s="41" t="s">
        <v>188</v>
      </c>
      <c r="BB191" s="27"/>
      <c r="BC191" s="44"/>
      <c r="BD191" s="45" t="s">
        <v>155</v>
      </c>
      <c r="BE191" s="39" t="s">
        <v>39</v>
      </c>
      <c r="BF191" s="39">
        <v>4</v>
      </c>
      <c r="BG191" s="39" t="s">
        <v>152</v>
      </c>
      <c r="BH191" s="27">
        <v>88</v>
      </c>
      <c r="BI191" s="39">
        <v>2021</v>
      </c>
      <c r="BJ191" s="41" t="s">
        <v>164</v>
      </c>
      <c r="BK191" s="27"/>
      <c r="BL191" s="44"/>
      <c r="BM191" s="45" t="s">
        <v>155</v>
      </c>
      <c r="BN191" s="39" t="s">
        <v>39</v>
      </c>
      <c r="BO191" s="39">
        <v>4</v>
      </c>
      <c r="BP191" s="39" t="s">
        <v>152</v>
      </c>
      <c r="BQ191" s="27">
        <v>88</v>
      </c>
      <c r="BR191" s="39">
        <v>2025</v>
      </c>
      <c r="BS191" s="41" t="s">
        <v>176</v>
      </c>
      <c r="BT191" s="27"/>
      <c r="BU191" s="44"/>
      <c r="BV191" s="45" t="s">
        <v>155</v>
      </c>
      <c r="BW191" s="39" t="s">
        <v>39</v>
      </c>
      <c r="BX191" s="39">
        <v>4</v>
      </c>
      <c r="BY191" s="39" t="s">
        <v>152</v>
      </c>
      <c r="BZ191" s="27">
        <v>88</v>
      </c>
      <c r="CA191" s="39" t="s">
        <v>313</v>
      </c>
      <c r="CB191" s="41" t="s">
        <v>161</v>
      </c>
      <c r="CD191" s="44"/>
      <c r="CE191" s="45" t="s">
        <v>155</v>
      </c>
      <c r="CF191" s="39" t="s">
        <v>39</v>
      </c>
      <c r="CG191" s="39">
        <v>4</v>
      </c>
      <c r="CH191" s="39" t="s">
        <v>152</v>
      </c>
      <c r="CI191" s="27">
        <v>88</v>
      </c>
      <c r="CJ191" s="39" t="s">
        <v>314</v>
      </c>
      <c r="CK191" s="41" t="s">
        <v>182</v>
      </c>
      <c r="CM191" s="42"/>
      <c r="CN191" s="34"/>
      <c r="CO191" s="10"/>
      <c r="CP191" s="10"/>
      <c r="CQ191" s="10"/>
      <c r="CS191" s="10"/>
      <c r="CT191" s="43"/>
    </row>
    <row r="192" spans="1:98" ht="15.75" thickBot="1" x14ac:dyDescent="0.3">
      <c r="A192" s="44"/>
      <c r="B192" s="45" t="s">
        <v>155</v>
      </c>
      <c r="C192" s="39" t="s">
        <v>39</v>
      </c>
      <c r="D192" s="39">
        <v>5</v>
      </c>
      <c r="E192" s="39" t="s">
        <v>152</v>
      </c>
      <c r="F192" s="27">
        <v>89</v>
      </c>
      <c r="G192" s="39" t="s">
        <v>46</v>
      </c>
      <c r="H192" s="46" t="s">
        <v>169</v>
      </c>
      <c r="I192" s="27"/>
      <c r="J192" s="44"/>
      <c r="K192" s="45" t="s">
        <v>155</v>
      </c>
      <c r="L192" s="39" t="s">
        <v>39</v>
      </c>
      <c r="M192" s="39">
        <v>5</v>
      </c>
      <c r="N192" s="39" t="s">
        <v>152</v>
      </c>
      <c r="O192" s="27">
        <v>89</v>
      </c>
      <c r="P192" s="39" t="s">
        <v>47</v>
      </c>
      <c r="Q192" s="41" t="s">
        <v>189</v>
      </c>
      <c r="R192" s="27"/>
      <c r="S192" s="44"/>
      <c r="T192" s="45" t="s">
        <v>155</v>
      </c>
      <c r="U192" s="39" t="s">
        <v>39</v>
      </c>
      <c r="V192" s="39">
        <v>5</v>
      </c>
      <c r="W192" s="39" t="s">
        <v>152</v>
      </c>
      <c r="X192" s="27">
        <v>89</v>
      </c>
      <c r="Y192" s="39" t="s">
        <v>57</v>
      </c>
      <c r="Z192" s="41" t="s">
        <v>178</v>
      </c>
      <c r="AA192" s="27"/>
      <c r="AB192" s="44"/>
      <c r="AC192" s="45" t="s">
        <v>155</v>
      </c>
      <c r="AD192" s="39" t="s">
        <v>39</v>
      </c>
      <c r="AE192" s="39">
        <v>5</v>
      </c>
      <c r="AF192" s="39" t="s">
        <v>152</v>
      </c>
      <c r="AG192" s="27">
        <v>89</v>
      </c>
      <c r="AH192" s="39">
        <v>1034</v>
      </c>
      <c r="AI192" s="41" t="s">
        <v>176</v>
      </c>
      <c r="AJ192" s="27"/>
      <c r="AK192" s="44"/>
      <c r="AL192" s="45" t="s">
        <v>155</v>
      </c>
      <c r="AM192" s="39" t="s">
        <v>39</v>
      </c>
      <c r="AN192" s="39">
        <v>5</v>
      </c>
      <c r="AO192" s="39" t="s">
        <v>152</v>
      </c>
      <c r="AP192" s="27">
        <v>89</v>
      </c>
      <c r="AQ192" s="64">
        <v>1043</v>
      </c>
      <c r="AR192" s="41" t="s">
        <v>161</v>
      </c>
      <c r="AS192" s="27"/>
      <c r="AT192" s="44"/>
      <c r="AU192" s="45" t="s">
        <v>155</v>
      </c>
      <c r="AV192" s="39" t="s">
        <v>39</v>
      </c>
      <c r="AW192" s="39">
        <v>5</v>
      </c>
      <c r="AX192" s="39" t="s">
        <v>152</v>
      </c>
      <c r="AY192" s="27">
        <v>89</v>
      </c>
      <c r="AZ192" s="39">
        <v>1048</v>
      </c>
      <c r="BA192" s="41" t="s">
        <v>182</v>
      </c>
      <c r="BB192" s="27"/>
      <c r="BC192" s="44"/>
      <c r="BD192" s="45" t="s">
        <v>155</v>
      </c>
      <c r="BE192" s="39" t="s">
        <v>39</v>
      </c>
      <c r="BF192" s="39">
        <v>5</v>
      </c>
      <c r="BG192" s="39" t="s">
        <v>152</v>
      </c>
      <c r="BH192" s="27">
        <v>89</v>
      </c>
      <c r="BI192" s="39">
        <v>2021</v>
      </c>
      <c r="BJ192" s="41" t="s">
        <v>172</v>
      </c>
      <c r="BK192" s="27"/>
      <c r="BL192" s="44"/>
      <c r="BM192" s="45" t="s">
        <v>155</v>
      </c>
      <c r="BN192" s="39" t="s">
        <v>39</v>
      </c>
      <c r="BO192" s="39">
        <v>5</v>
      </c>
      <c r="BP192" s="39" t="s">
        <v>152</v>
      </c>
      <c r="BQ192" s="27">
        <v>89</v>
      </c>
      <c r="BR192" s="39">
        <v>2025</v>
      </c>
      <c r="BS192" s="41" t="s">
        <v>164</v>
      </c>
      <c r="BT192" s="27"/>
      <c r="BU192" s="44"/>
      <c r="BV192" s="45" t="s">
        <v>155</v>
      </c>
      <c r="BW192" s="39" t="s">
        <v>39</v>
      </c>
      <c r="BX192" s="39">
        <v>5</v>
      </c>
      <c r="BY192" s="39" t="s">
        <v>152</v>
      </c>
      <c r="BZ192" s="27">
        <v>89</v>
      </c>
      <c r="CA192" s="39" t="s">
        <v>315</v>
      </c>
      <c r="CB192" s="46" t="s">
        <v>169</v>
      </c>
      <c r="CD192" s="44"/>
      <c r="CE192" s="45" t="s">
        <v>155</v>
      </c>
      <c r="CF192" s="39" t="s">
        <v>39</v>
      </c>
      <c r="CG192" s="39">
        <v>5</v>
      </c>
      <c r="CH192" s="39" t="s">
        <v>152</v>
      </c>
      <c r="CI192" s="27">
        <v>89</v>
      </c>
      <c r="CJ192" s="39" t="s">
        <v>316</v>
      </c>
      <c r="CK192" s="41" t="s">
        <v>184</v>
      </c>
      <c r="CM192" s="42"/>
      <c r="CN192" s="34"/>
      <c r="CO192" s="10"/>
      <c r="CP192" s="10"/>
      <c r="CQ192" s="10"/>
      <c r="CS192" s="10"/>
      <c r="CT192" s="43"/>
    </row>
    <row r="193" spans="1:98" x14ac:dyDescent="0.25">
      <c r="A193" s="44"/>
      <c r="B193" s="45" t="s">
        <v>155</v>
      </c>
      <c r="C193" s="39" t="s">
        <v>39</v>
      </c>
      <c r="D193" s="39">
        <v>6</v>
      </c>
      <c r="E193" s="39" t="s">
        <v>152</v>
      </c>
      <c r="F193" s="27">
        <v>90</v>
      </c>
      <c r="G193" s="39" t="s">
        <v>46</v>
      </c>
      <c r="H193" s="41" t="s">
        <v>177</v>
      </c>
      <c r="I193" s="27"/>
      <c r="J193" s="44"/>
      <c r="K193" s="45" t="s">
        <v>155</v>
      </c>
      <c r="L193" s="39" t="s">
        <v>39</v>
      </c>
      <c r="M193" s="39">
        <v>6</v>
      </c>
      <c r="N193" s="39" t="s">
        <v>152</v>
      </c>
      <c r="O193" s="27">
        <v>90</v>
      </c>
      <c r="P193" s="39">
        <v>1041</v>
      </c>
      <c r="Q193" s="40" t="s">
        <v>160</v>
      </c>
      <c r="R193" s="27"/>
      <c r="S193" s="44"/>
      <c r="T193" s="45" t="s">
        <v>155</v>
      </c>
      <c r="U193" s="39" t="s">
        <v>39</v>
      </c>
      <c r="V193" s="39">
        <v>6</v>
      </c>
      <c r="W193" s="39" t="s">
        <v>152</v>
      </c>
      <c r="X193" s="27">
        <v>90</v>
      </c>
      <c r="Y193" s="39" t="s">
        <v>57</v>
      </c>
      <c r="Z193" s="41" t="s">
        <v>163</v>
      </c>
      <c r="AA193" s="27"/>
      <c r="AB193" s="44"/>
      <c r="AC193" s="45" t="s">
        <v>155</v>
      </c>
      <c r="AD193" s="39" t="s">
        <v>39</v>
      </c>
      <c r="AE193" s="39">
        <v>6</v>
      </c>
      <c r="AF193" s="39" t="s">
        <v>152</v>
      </c>
      <c r="AG193" s="27">
        <v>90</v>
      </c>
      <c r="AH193" s="39">
        <v>1034</v>
      </c>
      <c r="AI193" s="41" t="s">
        <v>164</v>
      </c>
      <c r="AJ193" s="27"/>
      <c r="AK193" s="44"/>
      <c r="AL193" s="45" t="s">
        <v>155</v>
      </c>
      <c r="AM193" s="39" t="s">
        <v>39</v>
      </c>
      <c r="AN193" s="39">
        <v>6</v>
      </c>
      <c r="AO193" s="39" t="s">
        <v>152</v>
      </c>
      <c r="AP193" s="27">
        <v>90</v>
      </c>
      <c r="AQ193" s="64">
        <v>1043</v>
      </c>
      <c r="AR193" s="46" t="s">
        <v>169</v>
      </c>
      <c r="AS193" s="27"/>
      <c r="AT193" s="44"/>
      <c r="AU193" s="45" t="s">
        <v>155</v>
      </c>
      <c r="AV193" s="39" t="s">
        <v>39</v>
      </c>
      <c r="AW193" s="39">
        <v>6</v>
      </c>
      <c r="AX193" s="39" t="s">
        <v>152</v>
      </c>
      <c r="AY193" s="27">
        <v>90</v>
      </c>
      <c r="AZ193" s="39">
        <v>1048</v>
      </c>
      <c r="BA193" s="41" t="s">
        <v>184</v>
      </c>
      <c r="BB193" s="27"/>
      <c r="BC193" s="44"/>
      <c r="BD193" s="45" t="s">
        <v>155</v>
      </c>
      <c r="BE193" s="39" t="s">
        <v>39</v>
      </c>
      <c r="BF193" s="39">
        <v>6</v>
      </c>
      <c r="BG193" s="39" t="s">
        <v>152</v>
      </c>
      <c r="BH193" s="27">
        <v>90</v>
      </c>
      <c r="BI193" s="39">
        <v>2021</v>
      </c>
      <c r="BJ193" s="41" t="s">
        <v>162</v>
      </c>
      <c r="BK193" s="27"/>
      <c r="BL193" s="44"/>
      <c r="BM193" s="45" t="s">
        <v>155</v>
      </c>
      <c r="BN193" s="39" t="s">
        <v>39</v>
      </c>
      <c r="BO193" s="39">
        <v>6</v>
      </c>
      <c r="BP193" s="39" t="s">
        <v>152</v>
      </c>
      <c r="BQ193" s="27">
        <v>90</v>
      </c>
      <c r="BR193" s="39">
        <v>2025</v>
      </c>
      <c r="BS193" s="41" t="s">
        <v>172</v>
      </c>
      <c r="BT193" s="27"/>
      <c r="BU193" s="44"/>
      <c r="BV193" s="45" t="s">
        <v>155</v>
      </c>
      <c r="BW193" s="39" t="s">
        <v>39</v>
      </c>
      <c r="BX193" s="39">
        <v>6</v>
      </c>
      <c r="BY193" s="39" t="s">
        <v>152</v>
      </c>
      <c r="BZ193" s="27">
        <v>90</v>
      </c>
      <c r="CA193" s="39" t="s">
        <v>317</v>
      </c>
      <c r="CB193" s="41" t="s">
        <v>177</v>
      </c>
      <c r="CD193" s="44"/>
      <c r="CE193" s="45" t="s">
        <v>155</v>
      </c>
      <c r="CF193" s="39" t="s">
        <v>39</v>
      </c>
      <c r="CG193" s="39">
        <v>6</v>
      </c>
      <c r="CH193" s="39" t="s">
        <v>152</v>
      </c>
      <c r="CI193" s="27">
        <v>90</v>
      </c>
      <c r="CJ193" s="39" t="s">
        <v>318</v>
      </c>
      <c r="CK193" s="41" t="s">
        <v>187</v>
      </c>
      <c r="CM193" s="42"/>
      <c r="CN193" s="34"/>
      <c r="CO193" s="10"/>
      <c r="CP193" s="10"/>
      <c r="CQ193" s="10"/>
      <c r="CS193" s="10"/>
      <c r="CT193" s="43"/>
    </row>
    <row r="194" spans="1:98" x14ac:dyDescent="0.25">
      <c r="A194" s="44"/>
      <c r="B194" s="45" t="s">
        <v>155</v>
      </c>
      <c r="C194" s="39" t="s">
        <v>39</v>
      </c>
      <c r="D194" s="39">
        <v>7</v>
      </c>
      <c r="E194" s="39" t="s">
        <v>152</v>
      </c>
      <c r="F194" s="27">
        <v>91</v>
      </c>
      <c r="G194" s="39" t="s">
        <v>46</v>
      </c>
      <c r="H194" s="41" t="s">
        <v>180</v>
      </c>
      <c r="I194" s="27"/>
      <c r="J194" s="44"/>
      <c r="K194" s="45" t="s">
        <v>155</v>
      </c>
      <c r="L194" s="39" t="s">
        <v>39</v>
      </c>
      <c r="M194" s="39">
        <v>7</v>
      </c>
      <c r="N194" s="39" t="s">
        <v>152</v>
      </c>
      <c r="O194" s="27">
        <v>91</v>
      </c>
      <c r="P194" s="39">
        <v>1041</v>
      </c>
      <c r="Q194" s="41" t="s">
        <v>168</v>
      </c>
      <c r="R194" s="27"/>
      <c r="S194" s="44"/>
      <c r="T194" s="45" t="s">
        <v>155</v>
      </c>
      <c r="U194" s="39" t="s">
        <v>39</v>
      </c>
      <c r="V194" s="39">
        <v>7</v>
      </c>
      <c r="W194" s="39" t="s">
        <v>152</v>
      </c>
      <c r="X194" s="27">
        <v>91</v>
      </c>
      <c r="Y194" s="39" t="s">
        <v>57</v>
      </c>
      <c r="Z194" s="41" t="s">
        <v>171</v>
      </c>
      <c r="AA194" s="27"/>
      <c r="AB194" s="44"/>
      <c r="AC194" s="45" t="s">
        <v>155</v>
      </c>
      <c r="AD194" s="39" t="s">
        <v>39</v>
      </c>
      <c r="AE194" s="39">
        <v>7</v>
      </c>
      <c r="AF194" s="39" t="s">
        <v>152</v>
      </c>
      <c r="AG194" s="27">
        <v>91</v>
      </c>
      <c r="AH194" s="39">
        <v>1034</v>
      </c>
      <c r="AI194" s="41" t="s">
        <v>172</v>
      </c>
      <c r="AJ194" s="27"/>
      <c r="AK194" s="44"/>
      <c r="AL194" s="45" t="s">
        <v>155</v>
      </c>
      <c r="AM194" s="39" t="s">
        <v>39</v>
      </c>
      <c r="AN194" s="39">
        <v>7</v>
      </c>
      <c r="AO194" s="39" t="s">
        <v>152</v>
      </c>
      <c r="AP194" s="27">
        <v>91</v>
      </c>
      <c r="AQ194" s="64">
        <v>1043</v>
      </c>
      <c r="AR194" s="41" t="s">
        <v>177</v>
      </c>
      <c r="AS194" s="27"/>
      <c r="AT194" s="44"/>
      <c r="AU194" s="45" t="s">
        <v>155</v>
      </c>
      <c r="AV194" s="39" t="s">
        <v>39</v>
      </c>
      <c r="AW194" s="39">
        <v>7</v>
      </c>
      <c r="AX194" s="39" t="s">
        <v>152</v>
      </c>
      <c r="AY194" s="27">
        <v>91</v>
      </c>
      <c r="AZ194" s="39">
        <v>1048</v>
      </c>
      <c r="BA194" s="41" t="s">
        <v>187</v>
      </c>
      <c r="BB194" s="27"/>
      <c r="BC194" s="44"/>
      <c r="BD194" s="45" t="s">
        <v>155</v>
      </c>
      <c r="BE194" s="39" t="s">
        <v>39</v>
      </c>
      <c r="BF194" s="39">
        <v>7</v>
      </c>
      <c r="BG194" s="39" t="s">
        <v>152</v>
      </c>
      <c r="BH194" s="27">
        <v>91</v>
      </c>
      <c r="BI194" s="39">
        <v>2021</v>
      </c>
      <c r="BJ194" s="41" t="s">
        <v>170</v>
      </c>
      <c r="BK194" s="27"/>
      <c r="BL194" s="44"/>
      <c r="BM194" s="45" t="s">
        <v>155</v>
      </c>
      <c r="BN194" s="39" t="s">
        <v>39</v>
      </c>
      <c r="BO194" s="39">
        <v>7</v>
      </c>
      <c r="BP194" s="39" t="s">
        <v>152</v>
      </c>
      <c r="BQ194" s="27">
        <v>91</v>
      </c>
      <c r="BR194" s="39">
        <v>2025</v>
      </c>
      <c r="BS194" s="41" t="s">
        <v>162</v>
      </c>
      <c r="BT194" s="27"/>
      <c r="BU194" s="44"/>
      <c r="BV194" s="45" t="s">
        <v>155</v>
      </c>
      <c r="BW194" s="39" t="s">
        <v>39</v>
      </c>
      <c r="BX194" s="39">
        <v>7</v>
      </c>
      <c r="BY194" s="39" t="s">
        <v>152</v>
      </c>
      <c r="BZ194" s="27">
        <v>91</v>
      </c>
      <c r="CA194" s="39" t="s">
        <v>319</v>
      </c>
      <c r="CB194" s="41" t="s">
        <v>180</v>
      </c>
      <c r="CD194" s="44"/>
      <c r="CE194" s="45" t="s">
        <v>155</v>
      </c>
      <c r="CF194" s="39" t="s">
        <v>39</v>
      </c>
      <c r="CG194" s="39">
        <v>7</v>
      </c>
      <c r="CH194" s="39" t="s">
        <v>152</v>
      </c>
      <c r="CI194" s="27">
        <v>91</v>
      </c>
      <c r="CJ194" s="39" t="s">
        <v>320</v>
      </c>
      <c r="CK194" s="41" t="s">
        <v>189</v>
      </c>
      <c r="CM194" s="42"/>
      <c r="CN194" s="34"/>
      <c r="CO194" s="10"/>
      <c r="CP194" s="10"/>
      <c r="CQ194" s="10"/>
      <c r="CS194" s="10"/>
      <c r="CT194" s="43"/>
    </row>
    <row r="195" spans="1:98" ht="15.75" thickBot="1" x14ac:dyDescent="0.3">
      <c r="A195" s="44"/>
      <c r="B195" s="45" t="s">
        <v>155</v>
      </c>
      <c r="C195" s="39" t="s">
        <v>39</v>
      </c>
      <c r="D195" s="39">
        <v>8</v>
      </c>
      <c r="E195" s="39" t="s">
        <v>152</v>
      </c>
      <c r="F195" s="27">
        <v>92</v>
      </c>
      <c r="G195" s="39" t="s">
        <v>46</v>
      </c>
      <c r="H195" s="41" t="s">
        <v>181</v>
      </c>
      <c r="I195" s="27"/>
      <c r="J195" s="44"/>
      <c r="K195" s="45" t="s">
        <v>155</v>
      </c>
      <c r="L195" s="39" t="s">
        <v>39</v>
      </c>
      <c r="M195" s="39">
        <v>8</v>
      </c>
      <c r="N195" s="39" t="s">
        <v>152</v>
      </c>
      <c r="O195" s="27">
        <v>92</v>
      </c>
      <c r="P195" s="39">
        <v>1041</v>
      </c>
      <c r="Q195" s="41" t="s">
        <v>176</v>
      </c>
      <c r="R195" s="27"/>
      <c r="S195" s="44"/>
      <c r="T195" s="45" t="s">
        <v>155</v>
      </c>
      <c r="U195" s="39" t="s">
        <v>39</v>
      </c>
      <c r="V195" s="39">
        <v>8</v>
      </c>
      <c r="W195" s="39" t="s">
        <v>152</v>
      </c>
      <c r="X195" s="27">
        <v>92</v>
      </c>
      <c r="Y195" s="39" t="s">
        <v>57</v>
      </c>
      <c r="Z195" s="41" t="s">
        <v>161</v>
      </c>
      <c r="AA195" s="27"/>
      <c r="AB195" s="44"/>
      <c r="AC195" s="45" t="s">
        <v>155</v>
      </c>
      <c r="AD195" s="39" t="s">
        <v>39</v>
      </c>
      <c r="AE195" s="39">
        <v>8</v>
      </c>
      <c r="AF195" s="39" t="s">
        <v>152</v>
      </c>
      <c r="AG195" s="27">
        <v>92</v>
      </c>
      <c r="AH195" s="39">
        <v>1034</v>
      </c>
      <c r="AI195" s="41" t="s">
        <v>162</v>
      </c>
      <c r="AJ195" s="27"/>
      <c r="AK195" s="44"/>
      <c r="AL195" s="45" t="s">
        <v>155</v>
      </c>
      <c r="AM195" s="39" t="s">
        <v>39</v>
      </c>
      <c r="AN195" s="39">
        <v>8</v>
      </c>
      <c r="AO195" s="39" t="s">
        <v>152</v>
      </c>
      <c r="AP195" s="27">
        <v>92</v>
      </c>
      <c r="AQ195" s="64">
        <v>1043</v>
      </c>
      <c r="AR195" s="41" t="s">
        <v>180</v>
      </c>
      <c r="AS195" s="27"/>
      <c r="AT195" s="44"/>
      <c r="AU195" s="45" t="s">
        <v>155</v>
      </c>
      <c r="AV195" s="39" t="s">
        <v>39</v>
      </c>
      <c r="AW195" s="39">
        <v>8</v>
      </c>
      <c r="AX195" s="39" t="s">
        <v>152</v>
      </c>
      <c r="AY195" s="27">
        <v>92</v>
      </c>
      <c r="AZ195" s="39">
        <v>1048</v>
      </c>
      <c r="BA195" s="41" t="s">
        <v>189</v>
      </c>
      <c r="BB195" s="27"/>
      <c r="BC195" s="44"/>
      <c r="BD195" s="45" t="s">
        <v>155</v>
      </c>
      <c r="BE195" s="39" t="s">
        <v>39</v>
      </c>
      <c r="BF195" s="39">
        <v>8</v>
      </c>
      <c r="BG195" s="39" t="s">
        <v>152</v>
      </c>
      <c r="BH195" s="27">
        <v>92</v>
      </c>
      <c r="BI195" s="39">
        <v>2021</v>
      </c>
      <c r="BJ195" s="41" t="s">
        <v>178</v>
      </c>
      <c r="BK195" s="27"/>
      <c r="BL195" s="44"/>
      <c r="BM195" s="45" t="s">
        <v>155</v>
      </c>
      <c r="BN195" s="39" t="s">
        <v>39</v>
      </c>
      <c r="BO195" s="39">
        <v>8</v>
      </c>
      <c r="BP195" s="39" t="s">
        <v>152</v>
      </c>
      <c r="BQ195" s="27">
        <v>92</v>
      </c>
      <c r="BR195" s="39">
        <v>2025</v>
      </c>
      <c r="BS195" s="41" t="s">
        <v>170</v>
      </c>
      <c r="BT195" s="27"/>
      <c r="BU195" s="44"/>
      <c r="BV195" s="45" t="s">
        <v>155</v>
      </c>
      <c r="BW195" s="39" t="s">
        <v>39</v>
      </c>
      <c r="BX195" s="39">
        <v>8</v>
      </c>
      <c r="BY195" s="39" t="s">
        <v>152</v>
      </c>
      <c r="BZ195" s="27">
        <v>92</v>
      </c>
      <c r="CA195" s="39" t="s">
        <v>321</v>
      </c>
      <c r="CB195" s="41" t="s">
        <v>181</v>
      </c>
      <c r="CD195" s="44"/>
      <c r="CE195" s="45" t="s">
        <v>155</v>
      </c>
      <c r="CF195" s="39" t="s">
        <v>39</v>
      </c>
      <c r="CG195" s="39">
        <v>8</v>
      </c>
      <c r="CH195" s="39" t="s">
        <v>152</v>
      </c>
      <c r="CI195" s="27">
        <v>92</v>
      </c>
      <c r="CJ195" s="39" t="s">
        <v>91</v>
      </c>
      <c r="CK195" s="41" t="s">
        <v>160</v>
      </c>
      <c r="CM195" s="42"/>
      <c r="CN195" s="34"/>
      <c r="CO195" s="10"/>
      <c r="CP195" s="10"/>
      <c r="CQ195" s="10"/>
      <c r="CS195" s="10"/>
      <c r="CT195" s="43"/>
    </row>
    <row r="196" spans="1:98" x14ac:dyDescent="0.25">
      <c r="A196" s="44"/>
      <c r="B196" s="45" t="s">
        <v>155</v>
      </c>
      <c r="C196" s="39" t="s">
        <v>39</v>
      </c>
      <c r="D196" s="39">
        <v>9</v>
      </c>
      <c r="E196" s="39" t="s">
        <v>152</v>
      </c>
      <c r="F196" s="27">
        <v>93</v>
      </c>
      <c r="G196" s="39" t="s">
        <v>46</v>
      </c>
      <c r="H196" s="41" t="s">
        <v>183</v>
      </c>
      <c r="I196" s="27"/>
      <c r="J196" s="44"/>
      <c r="K196" s="45" t="s">
        <v>155</v>
      </c>
      <c r="L196" s="39" t="s">
        <v>39</v>
      </c>
      <c r="M196" s="39">
        <v>9</v>
      </c>
      <c r="N196" s="39" t="s">
        <v>152</v>
      </c>
      <c r="O196" s="27">
        <v>93</v>
      </c>
      <c r="P196" s="39">
        <v>1041</v>
      </c>
      <c r="Q196" s="41" t="s">
        <v>164</v>
      </c>
      <c r="R196" s="27"/>
      <c r="S196" s="44"/>
      <c r="T196" s="45" t="s">
        <v>155</v>
      </c>
      <c r="U196" s="39" t="s">
        <v>39</v>
      </c>
      <c r="V196" s="39">
        <v>9</v>
      </c>
      <c r="W196" s="39" t="s">
        <v>152</v>
      </c>
      <c r="X196" s="27">
        <v>93</v>
      </c>
      <c r="Y196" s="39" t="s">
        <v>57</v>
      </c>
      <c r="Z196" s="46" t="s">
        <v>169</v>
      </c>
      <c r="AA196" s="27"/>
      <c r="AB196" s="44"/>
      <c r="AC196" s="45" t="s">
        <v>155</v>
      </c>
      <c r="AD196" s="39" t="s">
        <v>39</v>
      </c>
      <c r="AE196" s="39">
        <v>9</v>
      </c>
      <c r="AF196" s="39" t="s">
        <v>152</v>
      </c>
      <c r="AG196" s="27">
        <v>93</v>
      </c>
      <c r="AH196" s="39">
        <v>1034</v>
      </c>
      <c r="AI196" s="41" t="s">
        <v>170</v>
      </c>
      <c r="AJ196" s="27"/>
      <c r="AK196" s="44"/>
      <c r="AL196" s="45" t="s">
        <v>155</v>
      </c>
      <c r="AM196" s="39" t="s">
        <v>39</v>
      </c>
      <c r="AN196" s="39">
        <v>9</v>
      </c>
      <c r="AO196" s="39" t="s">
        <v>152</v>
      </c>
      <c r="AP196" s="27">
        <v>93</v>
      </c>
      <c r="AQ196" s="64">
        <v>1043</v>
      </c>
      <c r="AR196" s="41" t="s">
        <v>181</v>
      </c>
      <c r="AS196" s="27"/>
      <c r="AT196" s="44"/>
      <c r="AU196" s="45" t="s">
        <v>155</v>
      </c>
      <c r="AV196" s="39" t="s">
        <v>39</v>
      </c>
      <c r="AW196" s="39">
        <v>9</v>
      </c>
      <c r="AX196" s="39" t="s">
        <v>152</v>
      </c>
      <c r="AY196" s="27">
        <v>93</v>
      </c>
      <c r="AZ196" s="39" t="s">
        <v>7</v>
      </c>
      <c r="BA196" s="40" t="s">
        <v>160</v>
      </c>
      <c r="BB196" s="27"/>
      <c r="BC196" s="44"/>
      <c r="BD196" s="45" t="s">
        <v>155</v>
      </c>
      <c r="BE196" s="39" t="s">
        <v>39</v>
      </c>
      <c r="BF196" s="39">
        <v>9</v>
      </c>
      <c r="BG196" s="39" t="s">
        <v>152</v>
      </c>
      <c r="BH196" s="27">
        <v>93</v>
      </c>
      <c r="BI196" s="39">
        <v>2021</v>
      </c>
      <c r="BJ196" s="41" t="s">
        <v>163</v>
      </c>
      <c r="BK196" s="27"/>
      <c r="BL196" s="44"/>
      <c r="BM196" s="45" t="s">
        <v>155</v>
      </c>
      <c r="BN196" s="39" t="s">
        <v>39</v>
      </c>
      <c r="BO196" s="39">
        <v>9</v>
      </c>
      <c r="BP196" s="39" t="s">
        <v>152</v>
      </c>
      <c r="BQ196" s="27">
        <v>93</v>
      </c>
      <c r="BR196" s="39">
        <v>2025</v>
      </c>
      <c r="BS196" s="41" t="s">
        <v>178</v>
      </c>
      <c r="BT196" s="27"/>
      <c r="BU196" s="44"/>
      <c r="BV196" s="45" t="s">
        <v>155</v>
      </c>
      <c r="BW196" s="39" t="s">
        <v>39</v>
      </c>
      <c r="BX196" s="39">
        <v>9</v>
      </c>
      <c r="BY196" s="39" t="s">
        <v>152</v>
      </c>
      <c r="BZ196" s="27">
        <v>93</v>
      </c>
      <c r="CA196" s="39" t="s">
        <v>322</v>
      </c>
      <c r="CB196" s="41" t="s">
        <v>183</v>
      </c>
      <c r="CD196" s="44"/>
      <c r="CE196" s="45" t="s">
        <v>155</v>
      </c>
      <c r="CF196" s="39" t="s">
        <v>39</v>
      </c>
      <c r="CG196" s="39">
        <v>9</v>
      </c>
      <c r="CH196" s="39" t="s">
        <v>152</v>
      </c>
      <c r="CI196" s="27">
        <v>93</v>
      </c>
      <c r="CJ196" s="39" t="s">
        <v>91</v>
      </c>
      <c r="CK196" s="41" t="s">
        <v>168</v>
      </c>
      <c r="CM196" s="42"/>
      <c r="CN196" s="34"/>
      <c r="CO196" s="10"/>
      <c r="CP196" s="10"/>
      <c r="CQ196" s="10"/>
      <c r="CS196" s="10"/>
      <c r="CT196" s="43"/>
    </row>
    <row r="197" spans="1:98" x14ac:dyDescent="0.25">
      <c r="A197" s="44"/>
      <c r="B197" s="45" t="s">
        <v>155</v>
      </c>
      <c r="C197" s="39" t="s">
        <v>39</v>
      </c>
      <c r="D197" s="39">
        <v>10</v>
      </c>
      <c r="E197" s="39" t="s">
        <v>152</v>
      </c>
      <c r="F197" s="27">
        <v>94</v>
      </c>
      <c r="G197" s="39" t="s">
        <v>46</v>
      </c>
      <c r="H197" s="41" t="s">
        <v>186</v>
      </c>
      <c r="I197" s="27"/>
      <c r="J197" s="44"/>
      <c r="K197" s="45" t="s">
        <v>155</v>
      </c>
      <c r="L197" s="39" t="s">
        <v>39</v>
      </c>
      <c r="M197" s="39">
        <v>10</v>
      </c>
      <c r="N197" s="39" t="s">
        <v>152</v>
      </c>
      <c r="O197" s="27">
        <v>94</v>
      </c>
      <c r="P197" s="39">
        <v>1041</v>
      </c>
      <c r="Q197" s="41" t="s">
        <v>172</v>
      </c>
      <c r="R197" s="27"/>
      <c r="S197" s="44"/>
      <c r="T197" s="45" t="s">
        <v>155</v>
      </c>
      <c r="U197" s="39" t="s">
        <v>39</v>
      </c>
      <c r="V197" s="39">
        <v>10</v>
      </c>
      <c r="W197" s="39" t="s">
        <v>152</v>
      </c>
      <c r="X197" s="27">
        <v>94</v>
      </c>
      <c r="Y197" s="39" t="s">
        <v>57</v>
      </c>
      <c r="Z197" s="41" t="s">
        <v>177</v>
      </c>
      <c r="AA197" s="27"/>
      <c r="AB197" s="44"/>
      <c r="AC197" s="45" t="s">
        <v>155</v>
      </c>
      <c r="AD197" s="39" t="s">
        <v>39</v>
      </c>
      <c r="AE197" s="39">
        <v>10</v>
      </c>
      <c r="AF197" s="39" t="s">
        <v>152</v>
      </c>
      <c r="AG197" s="27">
        <v>94</v>
      </c>
      <c r="AH197" s="39">
        <v>1034</v>
      </c>
      <c r="AI197" s="41" t="s">
        <v>178</v>
      </c>
      <c r="AJ197" s="27"/>
      <c r="AK197" s="44"/>
      <c r="AL197" s="45" t="s">
        <v>155</v>
      </c>
      <c r="AM197" s="39" t="s">
        <v>39</v>
      </c>
      <c r="AN197" s="39">
        <v>10</v>
      </c>
      <c r="AO197" s="39" t="s">
        <v>152</v>
      </c>
      <c r="AP197" s="27">
        <v>94</v>
      </c>
      <c r="AQ197" s="64">
        <v>1043</v>
      </c>
      <c r="AR197" s="41" t="s">
        <v>183</v>
      </c>
      <c r="AS197" s="27"/>
      <c r="AT197" s="44"/>
      <c r="AU197" s="45" t="s">
        <v>155</v>
      </c>
      <c r="AV197" s="39" t="s">
        <v>39</v>
      </c>
      <c r="AW197" s="39">
        <v>10</v>
      </c>
      <c r="AX197" s="39" t="s">
        <v>152</v>
      </c>
      <c r="AY197" s="27">
        <v>94</v>
      </c>
      <c r="AZ197" s="39" t="s">
        <v>10</v>
      </c>
      <c r="BA197" s="41" t="s">
        <v>168</v>
      </c>
      <c r="BB197" s="27"/>
      <c r="BC197" s="44"/>
      <c r="BD197" s="45" t="s">
        <v>155</v>
      </c>
      <c r="BE197" s="39" t="s">
        <v>39</v>
      </c>
      <c r="BF197" s="39">
        <v>10</v>
      </c>
      <c r="BG197" s="39" t="s">
        <v>152</v>
      </c>
      <c r="BH197" s="27">
        <v>94</v>
      </c>
      <c r="BI197" s="39">
        <v>2021</v>
      </c>
      <c r="BJ197" s="41" t="s">
        <v>171</v>
      </c>
      <c r="BK197" s="27"/>
      <c r="BL197" s="44"/>
      <c r="BM197" s="45" t="s">
        <v>155</v>
      </c>
      <c r="BN197" s="39" t="s">
        <v>39</v>
      </c>
      <c r="BO197" s="39">
        <v>10</v>
      </c>
      <c r="BP197" s="39" t="s">
        <v>152</v>
      </c>
      <c r="BQ197" s="27">
        <v>94</v>
      </c>
      <c r="BR197" s="39">
        <v>2025</v>
      </c>
      <c r="BS197" s="41" t="s">
        <v>163</v>
      </c>
      <c r="BT197" s="27"/>
      <c r="BU197" s="44"/>
      <c r="BV197" s="45" t="s">
        <v>155</v>
      </c>
      <c r="BW197" s="39" t="s">
        <v>39</v>
      </c>
      <c r="BX197" s="39">
        <v>10</v>
      </c>
      <c r="BY197" s="39" t="s">
        <v>152</v>
      </c>
      <c r="BZ197" s="27">
        <v>94</v>
      </c>
      <c r="CA197" s="39" t="s">
        <v>323</v>
      </c>
      <c r="CB197" s="41" t="s">
        <v>186</v>
      </c>
      <c r="CD197" s="44"/>
      <c r="CE197" s="45" t="s">
        <v>155</v>
      </c>
      <c r="CF197" s="39" t="s">
        <v>39</v>
      </c>
      <c r="CG197" s="39">
        <v>10</v>
      </c>
      <c r="CH197" s="39" t="s">
        <v>152</v>
      </c>
      <c r="CI197" s="27">
        <v>94</v>
      </c>
      <c r="CJ197" s="39" t="s">
        <v>91</v>
      </c>
      <c r="CK197" s="41" t="s">
        <v>176</v>
      </c>
      <c r="CM197" s="42"/>
      <c r="CN197" s="34"/>
      <c r="CO197" s="10"/>
      <c r="CP197" s="10"/>
      <c r="CQ197" s="10"/>
      <c r="CS197" s="10"/>
      <c r="CT197" s="43"/>
    </row>
    <row r="198" spans="1:98" x14ac:dyDescent="0.25">
      <c r="A198" s="44"/>
      <c r="B198" s="45" t="s">
        <v>155</v>
      </c>
      <c r="C198" s="39" t="s">
        <v>39</v>
      </c>
      <c r="D198" s="39">
        <v>11</v>
      </c>
      <c r="E198" s="39" t="s">
        <v>152</v>
      </c>
      <c r="F198" s="27">
        <v>95</v>
      </c>
      <c r="G198" s="39" t="s">
        <v>46</v>
      </c>
      <c r="H198" s="41" t="s">
        <v>188</v>
      </c>
      <c r="I198" s="27"/>
      <c r="J198" s="44"/>
      <c r="K198" s="45" t="s">
        <v>155</v>
      </c>
      <c r="L198" s="39" t="s">
        <v>39</v>
      </c>
      <c r="M198" s="39">
        <v>11</v>
      </c>
      <c r="N198" s="39" t="s">
        <v>152</v>
      </c>
      <c r="O198" s="27">
        <v>95</v>
      </c>
      <c r="P198" s="39">
        <v>1041</v>
      </c>
      <c r="Q198" s="41" t="s">
        <v>162</v>
      </c>
      <c r="R198" s="27"/>
      <c r="S198" s="44"/>
      <c r="T198" s="45" t="s">
        <v>155</v>
      </c>
      <c r="U198" s="39" t="s">
        <v>39</v>
      </c>
      <c r="V198" s="39">
        <v>11</v>
      </c>
      <c r="W198" s="39" t="s">
        <v>152</v>
      </c>
      <c r="X198" s="27">
        <v>95</v>
      </c>
      <c r="Y198" s="39" t="s">
        <v>57</v>
      </c>
      <c r="Z198" s="41" t="s">
        <v>180</v>
      </c>
      <c r="AA198" s="27"/>
      <c r="AB198" s="44"/>
      <c r="AC198" s="45" t="s">
        <v>155</v>
      </c>
      <c r="AD198" s="39" t="s">
        <v>39</v>
      </c>
      <c r="AE198" s="39">
        <v>11</v>
      </c>
      <c r="AF198" s="39" t="s">
        <v>152</v>
      </c>
      <c r="AG198" s="27">
        <v>95</v>
      </c>
      <c r="AH198" s="39">
        <v>1034</v>
      </c>
      <c r="AI198" s="41" t="s">
        <v>163</v>
      </c>
      <c r="AJ198" s="27"/>
      <c r="AK198" s="44"/>
      <c r="AL198" s="45" t="s">
        <v>155</v>
      </c>
      <c r="AM198" s="39" t="s">
        <v>39</v>
      </c>
      <c r="AN198" s="39">
        <v>11</v>
      </c>
      <c r="AO198" s="39" t="s">
        <v>152</v>
      </c>
      <c r="AP198" s="27">
        <v>95</v>
      </c>
      <c r="AQ198" s="64">
        <v>1043</v>
      </c>
      <c r="AR198" s="41" t="s">
        <v>186</v>
      </c>
      <c r="AS198" s="27"/>
      <c r="AT198" s="44"/>
      <c r="AU198" s="45" t="s">
        <v>155</v>
      </c>
      <c r="AV198" s="39" t="s">
        <v>39</v>
      </c>
      <c r="AW198" s="39">
        <v>11</v>
      </c>
      <c r="AX198" s="39" t="s">
        <v>152</v>
      </c>
      <c r="AY198" s="27">
        <v>95</v>
      </c>
      <c r="AZ198" s="39" t="s">
        <v>13</v>
      </c>
      <c r="BA198" s="41" t="s">
        <v>176</v>
      </c>
      <c r="BB198" s="27"/>
      <c r="BC198" s="44"/>
      <c r="BD198" s="45" t="s">
        <v>155</v>
      </c>
      <c r="BE198" s="39" t="s">
        <v>39</v>
      </c>
      <c r="BF198" s="39">
        <v>11</v>
      </c>
      <c r="BG198" s="39" t="s">
        <v>152</v>
      </c>
      <c r="BH198" s="27">
        <v>95</v>
      </c>
      <c r="BI198" s="39">
        <v>2021</v>
      </c>
      <c r="BJ198" s="41" t="s">
        <v>161</v>
      </c>
      <c r="BK198" s="27"/>
      <c r="BL198" s="44"/>
      <c r="BM198" s="45" t="s">
        <v>155</v>
      </c>
      <c r="BN198" s="39" t="s">
        <v>39</v>
      </c>
      <c r="BO198" s="39">
        <v>11</v>
      </c>
      <c r="BP198" s="39" t="s">
        <v>152</v>
      </c>
      <c r="BQ198" s="27">
        <v>95</v>
      </c>
      <c r="BR198" s="39">
        <v>2025</v>
      </c>
      <c r="BS198" s="41" t="s">
        <v>171</v>
      </c>
      <c r="BT198" s="27"/>
      <c r="BU198" s="44"/>
      <c r="BV198" s="45" t="s">
        <v>155</v>
      </c>
      <c r="BW198" s="39" t="s">
        <v>39</v>
      </c>
      <c r="BX198" s="39">
        <v>11</v>
      </c>
      <c r="BY198" s="39" t="s">
        <v>152</v>
      </c>
      <c r="BZ198" s="27">
        <v>95</v>
      </c>
      <c r="CA198" s="39" t="s">
        <v>324</v>
      </c>
      <c r="CB198" s="41" t="s">
        <v>188</v>
      </c>
      <c r="CD198" s="44"/>
      <c r="CE198" s="45" t="s">
        <v>155</v>
      </c>
      <c r="CF198" s="39" t="s">
        <v>39</v>
      </c>
      <c r="CG198" s="39">
        <v>11</v>
      </c>
      <c r="CH198" s="39" t="s">
        <v>152</v>
      </c>
      <c r="CI198" s="27">
        <v>95</v>
      </c>
      <c r="CJ198" s="39" t="s">
        <v>91</v>
      </c>
      <c r="CK198" s="41" t="s">
        <v>164</v>
      </c>
      <c r="CM198" s="42"/>
      <c r="CN198" s="34"/>
      <c r="CO198" s="10"/>
      <c r="CP198" s="10"/>
      <c r="CQ198" s="10"/>
      <c r="CS198" s="10"/>
      <c r="CT198" s="43"/>
    </row>
    <row r="199" spans="1:98" ht="15.75" thickBot="1" x14ac:dyDescent="0.3">
      <c r="A199" s="69"/>
      <c r="B199" s="70" t="s">
        <v>155</v>
      </c>
      <c r="C199" s="71" t="s">
        <v>39</v>
      </c>
      <c r="D199" s="71">
        <v>12</v>
      </c>
      <c r="E199" s="71" t="s">
        <v>152</v>
      </c>
      <c r="F199" s="72">
        <v>96</v>
      </c>
      <c r="G199" s="39" t="s">
        <v>46</v>
      </c>
      <c r="H199" s="41" t="s">
        <v>182</v>
      </c>
      <c r="I199" s="27"/>
      <c r="J199" s="69"/>
      <c r="K199" s="70" t="s">
        <v>155</v>
      </c>
      <c r="L199" s="71" t="s">
        <v>39</v>
      </c>
      <c r="M199" s="71">
        <v>12</v>
      </c>
      <c r="N199" s="71" t="s">
        <v>152</v>
      </c>
      <c r="O199" s="72">
        <v>96</v>
      </c>
      <c r="P199" s="39">
        <v>1041</v>
      </c>
      <c r="Q199" s="41" t="s">
        <v>170</v>
      </c>
      <c r="R199" s="27"/>
      <c r="S199" s="69"/>
      <c r="T199" s="70" t="s">
        <v>155</v>
      </c>
      <c r="U199" s="71" t="s">
        <v>39</v>
      </c>
      <c r="V199" s="71">
        <v>12</v>
      </c>
      <c r="W199" s="71" t="s">
        <v>152</v>
      </c>
      <c r="X199" s="72">
        <v>96</v>
      </c>
      <c r="Y199" s="39" t="s">
        <v>57</v>
      </c>
      <c r="Z199" s="41" t="s">
        <v>181</v>
      </c>
      <c r="AA199" s="27"/>
      <c r="AB199" s="69"/>
      <c r="AC199" s="70" t="s">
        <v>155</v>
      </c>
      <c r="AD199" s="71" t="s">
        <v>39</v>
      </c>
      <c r="AE199" s="71">
        <v>12</v>
      </c>
      <c r="AF199" s="71" t="s">
        <v>152</v>
      </c>
      <c r="AG199" s="72">
        <v>96</v>
      </c>
      <c r="AH199" s="39">
        <v>1034</v>
      </c>
      <c r="AI199" s="41" t="s">
        <v>171</v>
      </c>
      <c r="AJ199" s="27"/>
      <c r="AK199" s="69"/>
      <c r="AL199" s="70" t="s">
        <v>155</v>
      </c>
      <c r="AM199" s="71" t="s">
        <v>39</v>
      </c>
      <c r="AN199" s="71">
        <v>12</v>
      </c>
      <c r="AO199" s="71" t="s">
        <v>152</v>
      </c>
      <c r="AP199" s="72">
        <v>96</v>
      </c>
      <c r="AQ199" s="64">
        <v>1043</v>
      </c>
      <c r="AR199" s="41" t="s">
        <v>188</v>
      </c>
      <c r="AS199" s="27"/>
      <c r="AT199" s="69"/>
      <c r="AU199" s="70" t="s">
        <v>155</v>
      </c>
      <c r="AV199" s="71" t="s">
        <v>39</v>
      </c>
      <c r="AW199" s="71">
        <v>12</v>
      </c>
      <c r="AX199" s="71" t="s">
        <v>152</v>
      </c>
      <c r="AY199" s="72">
        <v>96</v>
      </c>
      <c r="AZ199" s="39" t="s">
        <v>16</v>
      </c>
      <c r="BA199" s="41" t="s">
        <v>164</v>
      </c>
      <c r="BB199" s="27"/>
      <c r="BC199" s="69"/>
      <c r="BD199" s="70" t="s">
        <v>155</v>
      </c>
      <c r="BE199" s="71" t="s">
        <v>39</v>
      </c>
      <c r="BF199" s="71">
        <v>12</v>
      </c>
      <c r="BG199" s="71" t="s">
        <v>152</v>
      </c>
      <c r="BH199" s="72">
        <v>96</v>
      </c>
      <c r="BI199" s="39">
        <v>2021</v>
      </c>
      <c r="BJ199" s="46" t="s">
        <v>169</v>
      </c>
      <c r="BK199" s="27"/>
      <c r="BL199" s="69"/>
      <c r="BM199" s="70" t="s">
        <v>155</v>
      </c>
      <c r="BN199" s="71" t="s">
        <v>39</v>
      </c>
      <c r="BO199" s="71">
        <v>12</v>
      </c>
      <c r="BP199" s="71" t="s">
        <v>152</v>
      </c>
      <c r="BQ199" s="72">
        <v>96</v>
      </c>
      <c r="BR199" s="39">
        <v>2025</v>
      </c>
      <c r="BS199" s="41" t="s">
        <v>161</v>
      </c>
      <c r="BT199" s="27"/>
      <c r="BU199" s="69"/>
      <c r="BV199" s="70" t="s">
        <v>155</v>
      </c>
      <c r="BW199" s="71" t="s">
        <v>39</v>
      </c>
      <c r="BX199" s="71">
        <v>12</v>
      </c>
      <c r="BY199" s="71" t="s">
        <v>152</v>
      </c>
      <c r="BZ199" s="72">
        <v>96</v>
      </c>
      <c r="CA199" s="39" t="s">
        <v>325</v>
      </c>
      <c r="CB199" s="41" t="s">
        <v>182</v>
      </c>
      <c r="CD199" s="69"/>
      <c r="CE199" s="70" t="s">
        <v>155</v>
      </c>
      <c r="CF199" s="71" t="s">
        <v>39</v>
      </c>
      <c r="CG199" s="71">
        <v>12</v>
      </c>
      <c r="CH199" s="71" t="s">
        <v>152</v>
      </c>
      <c r="CI199" s="72">
        <v>96</v>
      </c>
      <c r="CJ199" s="39" t="s">
        <v>91</v>
      </c>
      <c r="CK199" s="46" t="s">
        <v>172</v>
      </c>
      <c r="CM199" s="65"/>
      <c r="CN199" s="66"/>
      <c r="CO199" s="17"/>
      <c r="CP199" s="17"/>
      <c r="CQ199" s="17"/>
      <c r="CR199" s="67"/>
      <c r="CS199" s="17"/>
      <c r="CT199" s="68"/>
    </row>
    <row r="200" spans="1:98" x14ac:dyDescent="0.25">
      <c r="H200" s="43"/>
    </row>
    <row r="201" spans="1:98" x14ac:dyDescent="0.25">
      <c r="A201" s="27" t="s">
        <v>326</v>
      </c>
      <c r="C201" s="27"/>
      <c r="D201" s="27"/>
      <c r="E201" s="27"/>
      <c r="F201" s="27"/>
      <c r="G201" s="27"/>
      <c r="H201" s="27"/>
      <c r="I201" s="27"/>
      <c r="J201" s="27" t="s">
        <v>327</v>
      </c>
      <c r="L201" s="27"/>
      <c r="M201" s="27"/>
      <c r="N201" s="27"/>
      <c r="O201" s="27"/>
      <c r="P201" s="27"/>
      <c r="Q201" s="27"/>
      <c r="R201" s="27"/>
      <c r="S201" s="27" t="s">
        <v>328</v>
      </c>
      <c r="U201" s="27"/>
      <c r="V201" s="27"/>
      <c r="W201" s="27"/>
      <c r="X201" s="27"/>
      <c r="Y201" s="27"/>
      <c r="Z201" s="27"/>
      <c r="AA201" s="27"/>
      <c r="AB201" s="27" t="s">
        <v>329</v>
      </c>
      <c r="AD201" s="27"/>
      <c r="AE201" s="27"/>
      <c r="AF201" s="27"/>
      <c r="AG201" s="27"/>
      <c r="AH201" s="27"/>
      <c r="AI201" s="27"/>
      <c r="AJ201" s="27"/>
      <c r="AK201" s="27" t="s">
        <v>330</v>
      </c>
      <c r="AM201" s="27"/>
      <c r="AN201" s="27"/>
      <c r="AO201" s="27"/>
      <c r="AP201" s="27"/>
      <c r="AQ201" s="27"/>
      <c r="AR201" s="27"/>
      <c r="AS201" s="27"/>
      <c r="AT201" s="27" t="s">
        <v>331</v>
      </c>
      <c r="AV201" s="27"/>
      <c r="AW201" s="27"/>
      <c r="AX201" s="27"/>
      <c r="AY201" s="27"/>
      <c r="AZ201" s="27"/>
      <c r="BA201" s="27"/>
      <c r="BB201" s="27"/>
      <c r="BC201" s="27" t="s">
        <v>332</v>
      </c>
      <c r="BE201" s="27"/>
      <c r="BF201" s="27"/>
      <c r="BG201" s="27"/>
      <c r="BH201" s="27"/>
      <c r="BI201" s="27"/>
      <c r="BJ201" s="27"/>
      <c r="BK201" s="27"/>
      <c r="BL201" s="27" t="s">
        <v>333</v>
      </c>
      <c r="BN201" s="27"/>
      <c r="BO201" s="27"/>
      <c r="BP201" s="27"/>
      <c r="BQ201" s="27"/>
      <c r="BR201" s="27"/>
      <c r="BS201" s="27"/>
      <c r="BT201" s="27"/>
      <c r="BU201" s="27" t="s">
        <v>334</v>
      </c>
      <c r="BW201" s="27"/>
      <c r="BX201" s="27"/>
      <c r="BY201" s="27"/>
      <c r="BZ201" s="27"/>
      <c r="CA201" s="27"/>
      <c r="CB201" s="27"/>
      <c r="CC201" s="27"/>
      <c r="CD201" s="27" t="s">
        <v>335</v>
      </c>
    </row>
    <row r="202" spans="1:98" x14ac:dyDescent="0.25">
      <c r="A202" s="27" t="s">
        <v>326</v>
      </c>
      <c r="B202" s="27">
        <v>1015956</v>
      </c>
      <c r="C202" s="27"/>
      <c r="D202" s="27">
        <v>1015950</v>
      </c>
      <c r="E202" s="27" t="s">
        <v>137</v>
      </c>
      <c r="F202" s="27"/>
      <c r="G202" s="27"/>
      <c r="H202" s="27"/>
      <c r="I202" s="27"/>
      <c r="J202" s="27" t="s">
        <v>327</v>
      </c>
      <c r="K202" s="27">
        <v>1015944</v>
      </c>
      <c r="L202" s="27"/>
      <c r="M202" s="27">
        <v>1015943</v>
      </c>
      <c r="N202" s="27"/>
      <c r="O202" s="27"/>
      <c r="P202" s="27" t="s">
        <v>137</v>
      </c>
      <c r="Q202" s="27"/>
      <c r="R202" s="27"/>
      <c r="S202" s="27" t="s">
        <v>328</v>
      </c>
      <c r="T202" s="27">
        <v>1015946</v>
      </c>
      <c r="U202" s="27"/>
      <c r="V202" s="27">
        <v>1015942</v>
      </c>
      <c r="W202" s="27"/>
      <c r="X202" s="27"/>
      <c r="Y202" s="27" t="s">
        <v>137</v>
      </c>
      <c r="Z202" s="27"/>
      <c r="AA202" s="27"/>
      <c r="AB202" s="27" t="s">
        <v>329</v>
      </c>
      <c r="AC202" s="27">
        <v>1015948</v>
      </c>
      <c r="AD202" s="27"/>
      <c r="AE202" s="27">
        <v>1016561</v>
      </c>
      <c r="AF202" s="27" t="s">
        <v>137</v>
      </c>
      <c r="AG202" s="27"/>
      <c r="AH202" s="27"/>
      <c r="AI202" s="27"/>
      <c r="AJ202" s="27"/>
      <c r="AK202" s="27" t="s">
        <v>330</v>
      </c>
      <c r="AL202" s="27">
        <v>1015629</v>
      </c>
      <c r="AM202" s="27"/>
      <c r="AN202" s="27">
        <v>1016566</v>
      </c>
      <c r="AO202" s="27" t="s">
        <v>137</v>
      </c>
      <c r="AP202" s="27"/>
      <c r="AQ202" s="27"/>
      <c r="AR202" s="27"/>
      <c r="AS202" s="27"/>
      <c r="AT202" s="27" t="s">
        <v>331</v>
      </c>
      <c r="AU202" s="27">
        <v>1016567</v>
      </c>
      <c r="AV202" s="27"/>
      <c r="AW202" s="27">
        <v>1015945</v>
      </c>
      <c r="AX202" s="27" t="s">
        <v>137</v>
      </c>
      <c r="AY202" s="27"/>
      <c r="AZ202" s="27"/>
      <c r="BA202" s="27"/>
      <c r="BB202" s="27"/>
      <c r="BC202" s="27" t="s">
        <v>332</v>
      </c>
      <c r="BD202" s="27">
        <v>1015709</v>
      </c>
      <c r="BE202" s="27"/>
      <c r="BF202" s="27">
        <v>1016568</v>
      </c>
      <c r="BG202" s="27"/>
      <c r="BH202" s="27" t="s">
        <v>137</v>
      </c>
      <c r="BI202" s="27"/>
      <c r="BJ202" s="27"/>
      <c r="BK202" s="27"/>
      <c r="BL202" s="27" t="s">
        <v>333</v>
      </c>
      <c r="BM202" s="27">
        <v>1015704</v>
      </c>
      <c r="BN202" s="27"/>
      <c r="BO202" s="27">
        <v>1015701</v>
      </c>
      <c r="BP202" s="27"/>
      <c r="BQ202" s="27" t="s">
        <v>137</v>
      </c>
      <c r="BR202" s="27"/>
      <c r="BS202" s="27"/>
      <c r="BT202" s="27"/>
      <c r="BU202" s="27" t="s">
        <v>334</v>
      </c>
      <c r="BV202" s="27">
        <v>1016455</v>
      </c>
      <c r="BW202" s="27"/>
      <c r="BX202" s="27">
        <v>1016460</v>
      </c>
      <c r="BY202" s="27"/>
      <c r="BZ202" s="27" t="s">
        <v>137</v>
      </c>
      <c r="CA202" s="27"/>
      <c r="CB202" s="27"/>
      <c r="CC202" s="27"/>
      <c r="CD202" s="27" t="s">
        <v>335</v>
      </c>
      <c r="CE202" s="27">
        <v>1016458</v>
      </c>
      <c r="CF202" s="27"/>
      <c r="CG202" s="27">
        <v>1016451</v>
      </c>
      <c r="CH202" s="27" t="s">
        <v>137</v>
      </c>
      <c r="CI202" s="27"/>
      <c r="CJ202" s="27"/>
      <c r="CK202" s="27"/>
    </row>
    <row r="203" spans="1:98" ht="15.75" thickBot="1" x14ac:dyDescent="0.3">
      <c r="A203" s="29" t="s">
        <v>143</v>
      </c>
      <c r="B203" s="29" t="s">
        <v>144</v>
      </c>
      <c r="C203" s="29" t="s">
        <v>145</v>
      </c>
      <c r="D203" s="29" t="s">
        <v>146</v>
      </c>
      <c r="E203" s="29" t="s">
        <v>147</v>
      </c>
      <c r="F203" s="29" t="s">
        <v>148</v>
      </c>
      <c r="G203" s="29" t="s">
        <v>149</v>
      </c>
      <c r="H203" s="29" t="s">
        <v>150</v>
      </c>
      <c r="I203" s="27"/>
      <c r="J203" s="29" t="s">
        <v>143</v>
      </c>
      <c r="K203" s="29" t="s">
        <v>144</v>
      </c>
      <c r="L203" s="29" t="s">
        <v>145</v>
      </c>
      <c r="M203" s="29" t="s">
        <v>146</v>
      </c>
      <c r="N203" s="29" t="s">
        <v>147</v>
      </c>
      <c r="O203" s="29" t="s">
        <v>148</v>
      </c>
      <c r="P203" s="29" t="s">
        <v>149</v>
      </c>
      <c r="Q203" s="29" t="s">
        <v>150</v>
      </c>
      <c r="R203" s="27"/>
      <c r="S203" s="29" t="s">
        <v>143</v>
      </c>
      <c r="T203" s="29" t="s">
        <v>144</v>
      </c>
      <c r="U203" s="29" t="s">
        <v>145</v>
      </c>
      <c r="V203" s="29" t="s">
        <v>146</v>
      </c>
      <c r="W203" s="29" t="s">
        <v>147</v>
      </c>
      <c r="X203" s="29" t="s">
        <v>148</v>
      </c>
      <c r="Y203" s="29" t="s">
        <v>149</v>
      </c>
      <c r="Z203" s="29" t="s">
        <v>150</v>
      </c>
      <c r="AA203" s="27"/>
      <c r="AB203" s="29" t="s">
        <v>143</v>
      </c>
      <c r="AC203" s="29" t="s">
        <v>144</v>
      </c>
      <c r="AD203" s="29" t="s">
        <v>145</v>
      </c>
      <c r="AE203" s="29" t="s">
        <v>146</v>
      </c>
      <c r="AF203" s="29" t="s">
        <v>147</v>
      </c>
      <c r="AG203" s="29" t="s">
        <v>148</v>
      </c>
      <c r="AH203" s="29" t="s">
        <v>149</v>
      </c>
      <c r="AI203" s="29" t="s">
        <v>150</v>
      </c>
      <c r="AJ203" s="27"/>
      <c r="AK203" s="29" t="s">
        <v>143</v>
      </c>
      <c r="AL203" s="29" t="s">
        <v>144</v>
      </c>
      <c r="AM203" s="29" t="s">
        <v>145</v>
      </c>
      <c r="AN203" s="29" t="s">
        <v>146</v>
      </c>
      <c r="AO203" s="29" t="s">
        <v>147</v>
      </c>
      <c r="AP203" s="29" t="s">
        <v>148</v>
      </c>
      <c r="AQ203" s="29" t="s">
        <v>149</v>
      </c>
      <c r="AR203" s="29" t="s">
        <v>150</v>
      </c>
      <c r="AS203" s="27"/>
      <c r="AT203" s="29" t="s">
        <v>143</v>
      </c>
      <c r="AU203" s="29" t="s">
        <v>144</v>
      </c>
      <c r="AV203" s="29" t="s">
        <v>145</v>
      </c>
      <c r="AW203" s="29" t="s">
        <v>146</v>
      </c>
      <c r="AX203" s="29" t="s">
        <v>147</v>
      </c>
      <c r="AY203" s="29" t="s">
        <v>148</v>
      </c>
      <c r="AZ203" s="29" t="s">
        <v>149</v>
      </c>
      <c r="BA203" s="29" t="s">
        <v>150</v>
      </c>
      <c r="BB203" s="27"/>
      <c r="BC203" s="29" t="s">
        <v>143</v>
      </c>
      <c r="BD203" s="29" t="s">
        <v>144</v>
      </c>
      <c r="BE203" s="29" t="s">
        <v>145</v>
      </c>
      <c r="BF203" s="29" t="s">
        <v>146</v>
      </c>
      <c r="BG203" s="29" t="s">
        <v>147</v>
      </c>
      <c r="BH203" s="29" t="s">
        <v>148</v>
      </c>
      <c r="BI203" s="29" t="s">
        <v>149</v>
      </c>
      <c r="BJ203" s="29" t="s">
        <v>150</v>
      </c>
      <c r="BK203" s="27"/>
      <c r="BL203" s="29" t="s">
        <v>143</v>
      </c>
      <c r="BM203" s="29" t="s">
        <v>144</v>
      </c>
      <c r="BN203" s="29" t="s">
        <v>145</v>
      </c>
      <c r="BO203" s="29" t="s">
        <v>146</v>
      </c>
      <c r="BP203" s="29" t="s">
        <v>147</v>
      </c>
      <c r="BQ203" s="29" t="s">
        <v>148</v>
      </c>
      <c r="BR203" s="29" t="s">
        <v>149</v>
      </c>
      <c r="BS203" s="29" t="s">
        <v>150</v>
      </c>
      <c r="BT203" s="27"/>
      <c r="BU203" s="29" t="s">
        <v>143</v>
      </c>
      <c r="BV203" s="29" t="s">
        <v>144</v>
      </c>
      <c r="BW203" s="29" t="s">
        <v>145</v>
      </c>
      <c r="BX203" s="29" t="s">
        <v>146</v>
      </c>
      <c r="BY203" s="29" t="s">
        <v>147</v>
      </c>
      <c r="BZ203" s="29" t="s">
        <v>148</v>
      </c>
      <c r="CA203" s="29" t="s">
        <v>149</v>
      </c>
      <c r="CB203" s="29" t="s">
        <v>150</v>
      </c>
      <c r="CC203" s="27"/>
      <c r="CD203" s="29" t="s">
        <v>143</v>
      </c>
      <c r="CE203" s="29" t="s">
        <v>144</v>
      </c>
      <c r="CF203" s="29" t="s">
        <v>145</v>
      </c>
      <c r="CG203" s="29" t="s">
        <v>146</v>
      </c>
      <c r="CH203" s="29" t="s">
        <v>147</v>
      </c>
      <c r="CI203" s="29" t="s">
        <v>148</v>
      </c>
      <c r="CJ203" s="29" t="s">
        <v>149</v>
      </c>
      <c r="CK203" s="29" t="s">
        <v>150</v>
      </c>
    </row>
    <row r="204" spans="1:98" x14ac:dyDescent="0.25">
      <c r="A204" s="35"/>
      <c r="B204" s="36" t="s">
        <v>155</v>
      </c>
      <c r="C204" s="37" t="s">
        <v>0</v>
      </c>
      <c r="D204" s="37">
        <v>1</v>
      </c>
      <c r="E204" s="37" t="s">
        <v>152</v>
      </c>
      <c r="F204" s="38">
        <v>1</v>
      </c>
      <c r="G204" s="39" t="s">
        <v>91</v>
      </c>
      <c r="H204" s="41" t="s">
        <v>162</v>
      </c>
      <c r="I204" s="27"/>
      <c r="J204" s="35"/>
      <c r="K204" s="36" t="s">
        <v>155</v>
      </c>
      <c r="L204" s="37" t="s">
        <v>0</v>
      </c>
      <c r="M204" s="37">
        <v>1</v>
      </c>
      <c r="N204" s="37" t="s">
        <v>152</v>
      </c>
      <c r="O204" s="38">
        <v>1</v>
      </c>
      <c r="P204" s="39">
        <v>1050</v>
      </c>
      <c r="Q204" s="41" t="s">
        <v>180</v>
      </c>
      <c r="R204" s="27"/>
      <c r="S204" s="35"/>
      <c r="T204" s="36" t="s">
        <v>155</v>
      </c>
      <c r="U204" s="37" t="s">
        <v>0</v>
      </c>
      <c r="V204" s="37">
        <v>1</v>
      </c>
      <c r="W204" s="37" t="s">
        <v>152</v>
      </c>
      <c r="X204" s="38">
        <v>1</v>
      </c>
      <c r="Y204" s="39">
        <v>1054</v>
      </c>
      <c r="Z204" s="41" t="s">
        <v>189</v>
      </c>
      <c r="AA204" s="27"/>
      <c r="AB204" s="35"/>
      <c r="AC204" s="36" t="s">
        <v>155</v>
      </c>
      <c r="AD204" s="37" t="s">
        <v>0</v>
      </c>
      <c r="AE204" s="37">
        <v>1</v>
      </c>
      <c r="AF204" s="37" t="s">
        <v>152</v>
      </c>
      <c r="AG204" s="38">
        <v>1</v>
      </c>
      <c r="AH204" s="39">
        <v>2030</v>
      </c>
      <c r="AI204" s="27" t="s">
        <v>187</v>
      </c>
      <c r="AJ204" s="27"/>
      <c r="AK204" s="35"/>
      <c r="AL204" s="36" t="s">
        <v>155</v>
      </c>
      <c r="AM204" s="37" t="s">
        <v>0</v>
      </c>
      <c r="AN204" s="37">
        <v>1</v>
      </c>
      <c r="AO204" s="37" t="s">
        <v>152</v>
      </c>
      <c r="AP204" s="38">
        <v>1</v>
      </c>
      <c r="AQ204" s="39">
        <v>2036</v>
      </c>
      <c r="AR204" s="27" t="s">
        <v>178</v>
      </c>
      <c r="AS204" s="27"/>
      <c r="AT204" s="35"/>
      <c r="AU204" s="36" t="s">
        <v>155</v>
      </c>
      <c r="AV204" s="37" t="s">
        <v>0</v>
      </c>
      <c r="AW204" s="37">
        <v>1</v>
      </c>
      <c r="AX204" s="37" t="s">
        <v>152</v>
      </c>
      <c r="AY204" s="38">
        <v>1</v>
      </c>
      <c r="AZ204" s="39" t="s">
        <v>98</v>
      </c>
      <c r="BA204" s="41" t="s">
        <v>183</v>
      </c>
      <c r="BB204" s="27"/>
      <c r="BC204" s="35"/>
      <c r="BD204" s="36" t="s">
        <v>155</v>
      </c>
      <c r="BE204" s="37" t="s">
        <v>0</v>
      </c>
      <c r="BF204" s="37">
        <v>1</v>
      </c>
      <c r="BG204" s="37" t="s">
        <v>152</v>
      </c>
      <c r="BH204" s="38">
        <v>1</v>
      </c>
      <c r="BI204" s="39">
        <v>1051</v>
      </c>
      <c r="BJ204" s="46" t="s">
        <v>162</v>
      </c>
      <c r="BK204" s="27"/>
      <c r="BL204" s="35"/>
      <c r="BM204" s="36" t="s">
        <v>155</v>
      </c>
      <c r="BN204" s="37" t="s">
        <v>0</v>
      </c>
      <c r="BO204" s="37">
        <v>1</v>
      </c>
      <c r="BP204" s="37" t="s">
        <v>152</v>
      </c>
      <c r="BQ204" s="38">
        <v>1</v>
      </c>
      <c r="BR204" s="39">
        <v>1017</v>
      </c>
      <c r="BS204" s="41" t="s">
        <v>180</v>
      </c>
      <c r="BT204" s="27"/>
      <c r="BU204" s="35"/>
      <c r="BV204" s="36" t="s">
        <v>155</v>
      </c>
      <c r="BW204" s="37" t="s">
        <v>0</v>
      </c>
      <c r="BX204" s="37">
        <v>1</v>
      </c>
      <c r="BY204" s="37" t="s">
        <v>152</v>
      </c>
      <c r="BZ204" s="38">
        <v>1</v>
      </c>
      <c r="CA204" s="39">
        <v>163</v>
      </c>
      <c r="CB204" s="27" t="s">
        <v>163</v>
      </c>
      <c r="CC204" s="27"/>
      <c r="CD204" s="35"/>
      <c r="CE204" s="36" t="s">
        <v>155</v>
      </c>
      <c r="CF204" s="37" t="s">
        <v>0</v>
      </c>
      <c r="CG204" s="37">
        <v>1</v>
      </c>
      <c r="CH204" s="37" t="s">
        <v>152</v>
      </c>
      <c r="CI204" s="38">
        <v>1</v>
      </c>
      <c r="CJ204" s="39">
        <v>1065</v>
      </c>
      <c r="CK204" s="27" t="s">
        <v>177</v>
      </c>
    </row>
    <row r="205" spans="1:98" x14ac:dyDescent="0.25">
      <c r="A205" s="44"/>
      <c r="B205" s="45" t="s">
        <v>155</v>
      </c>
      <c r="C205" s="39" t="s">
        <v>0</v>
      </c>
      <c r="D205" s="39">
        <v>2</v>
      </c>
      <c r="E205" s="39" t="s">
        <v>152</v>
      </c>
      <c r="F205" s="27">
        <v>2</v>
      </c>
      <c r="G205" s="39" t="s">
        <v>91</v>
      </c>
      <c r="H205" s="41" t="s">
        <v>170</v>
      </c>
      <c r="I205" s="27"/>
      <c r="J205" s="44"/>
      <c r="K205" s="45" t="s">
        <v>155</v>
      </c>
      <c r="L205" s="39" t="s">
        <v>0</v>
      </c>
      <c r="M205" s="39">
        <v>2</v>
      </c>
      <c r="N205" s="39" t="s">
        <v>152</v>
      </c>
      <c r="O205" s="27">
        <v>2</v>
      </c>
      <c r="P205" s="39">
        <v>1050</v>
      </c>
      <c r="Q205" s="41" t="s">
        <v>181</v>
      </c>
      <c r="R205" s="27"/>
      <c r="S205" s="44"/>
      <c r="T205" s="45" t="s">
        <v>155</v>
      </c>
      <c r="U205" s="39" t="s">
        <v>0</v>
      </c>
      <c r="V205" s="39">
        <v>2</v>
      </c>
      <c r="W205" s="39" t="s">
        <v>152</v>
      </c>
      <c r="X205" s="27">
        <v>2</v>
      </c>
      <c r="Y205" s="39">
        <v>1055</v>
      </c>
      <c r="Z205" s="41" t="s">
        <v>160</v>
      </c>
      <c r="AA205" s="27"/>
      <c r="AB205" s="44"/>
      <c r="AC205" s="45" t="s">
        <v>155</v>
      </c>
      <c r="AD205" s="39" t="s">
        <v>0</v>
      </c>
      <c r="AE205" s="39">
        <v>2</v>
      </c>
      <c r="AF205" s="39" t="s">
        <v>152</v>
      </c>
      <c r="AG205" s="27">
        <v>2</v>
      </c>
      <c r="AH205" s="39">
        <v>2030</v>
      </c>
      <c r="AI205" s="27" t="s">
        <v>189</v>
      </c>
      <c r="AJ205" s="27"/>
      <c r="AK205" s="44"/>
      <c r="AL205" s="45" t="s">
        <v>155</v>
      </c>
      <c r="AM205" s="39" t="s">
        <v>0</v>
      </c>
      <c r="AN205" s="39">
        <v>2</v>
      </c>
      <c r="AO205" s="39" t="s">
        <v>152</v>
      </c>
      <c r="AP205" s="27">
        <v>2</v>
      </c>
      <c r="AQ205" s="39">
        <v>2036</v>
      </c>
      <c r="AR205" s="27" t="s">
        <v>163</v>
      </c>
      <c r="AS205" s="27"/>
      <c r="AT205" s="44"/>
      <c r="AU205" s="45" t="s">
        <v>155</v>
      </c>
      <c r="AV205" s="39" t="s">
        <v>0</v>
      </c>
      <c r="AW205" s="39">
        <v>2</v>
      </c>
      <c r="AX205" s="39" t="s">
        <v>152</v>
      </c>
      <c r="AY205" s="27">
        <v>2</v>
      </c>
      <c r="AZ205" s="39" t="s">
        <v>98</v>
      </c>
      <c r="BA205" s="41" t="s">
        <v>186</v>
      </c>
      <c r="BB205" s="27"/>
      <c r="BC205" s="44"/>
      <c r="BD205" s="45" t="s">
        <v>155</v>
      </c>
      <c r="BE205" s="39" t="s">
        <v>0</v>
      </c>
      <c r="BF205" s="39">
        <v>2</v>
      </c>
      <c r="BG205" s="39" t="s">
        <v>152</v>
      </c>
      <c r="BH205" s="27">
        <v>2</v>
      </c>
      <c r="BI205" s="39">
        <v>1051</v>
      </c>
      <c r="BJ205" s="41" t="s">
        <v>170</v>
      </c>
      <c r="BK205" s="27"/>
      <c r="BL205" s="44"/>
      <c r="BM205" s="45" t="s">
        <v>155</v>
      </c>
      <c r="BN205" s="39" t="s">
        <v>0</v>
      </c>
      <c r="BO205" s="39">
        <v>2</v>
      </c>
      <c r="BP205" s="39" t="s">
        <v>152</v>
      </c>
      <c r="BQ205" s="27">
        <v>2</v>
      </c>
      <c r="BR205" s="39">
        <v>1017</v>
      </c>
      <c r="BS205" s="41" t="s">
        <v>181</v>
      </c>
      <c r="BT205" s="27"/>
      <c r="BU205" s="44"/>
      <c r="BV205" s="45" t="s">
        <v>155</v>
      </c>
      <c r="BW205" s="39" t="s">
        <v>0</v>
      </c>
      <c r="BX205" s="39">
        <v>2</v>
      </c>
      <c r="BY205" s="39" t="s">
        <v>152</v>
      </c>
      <c r="BZ205" s="27">
        <v>2</v>
      </c>
      <c r="CA205" s="39">
        <v>163</v>
      </c>
      <c r="CB205" s="27" t="s">
        <v>171</v>
      </c>
      <c r="CC205" s="27"/>
      <c r="CD205" s="44"/>
      <c r="CE205" s="45" t="s">
        <v>155</v>
      </c>
      <c r="CF205" s="39" t="s">
        <v>0</v>
      </c>
      <c r="CG205" s="39">
        <v>2</v>
      </c>
      <c r="CH205" s="39" t="s">
        <v>152</v>
      </c>
      <c r="CI205" s="27">
        <v>2</v>
      </c>
      <c r="CJ205" s="39"/>
      <c r="CK205" s="27" t="s">
        <v>180</v>
      </c>
    </row>
    <row r="206" spans="1:98" ht="15.75" thickBot="1" x14ac:dyDescent="0.3">
      <c r="A206" s="44"/>
      <c r="B206" s="45" t="s">
        <v>155</v>
      </c>
      <c r="C206" s="39" t="s">
        <v>0</v>
      </c>
      <c r="D206" s="39">
        <v>3</v>
      </c>
      <c r="E206" s="39" t="s">
        <v>152</v>
      </c>
      <c r="F206" s="27">
        <v>3</v>
      </c>
      <c r="G206" s="39" t="s">
        <v>91</v>
      </c>
      <c r="H206" s="41" t="s">
        <v>178</v>
      </c>
      <c r="I206" s="27"/>
      <c r="J206" s="44"/>
      <c r="K206" s="45" t="s">
        <v>155</v>
      </c>
      <c r="L206" s="39" t="s">
        <v>0</v>
      </c>
      <c r="M206" s="39">
        <v>3</v>
      </c>
      <c r="N206" s="39" t="s">
        <v>152</v>
      </c>
      <c r="O206" s="27">
        <v>3</v>
      </c>
      <c r="P206" s="39">
        <v>1050</v>
      </c>
      <c r="Q206" s="41" t="s">
        <v>183</v>
      </c>
      <c r="R206" s="27"/>
      <c r="S206" s="44"/>
      <c r="T206" s="45" t="s">
        <v>155</v>
      </c>
      <c r="U206" s="39" t="s">
        <v>0</v>
      </c>
      <c r="V206" s="39">
        <v>3</v>
      </c>
      <c r="W206" s="39" t="s">
        <v>152</v>
      </c>
      <c r="X206" s="27">
        <v>3</v>
      </c>
      <c r="Y206" s="39">
        <v>1055</v>
      </c>
      <c r="Z206" s="41" t="s">
        <v>168</v>
      </c>
      <c r="AA206" s="27"/>
      <c r="AB206" s="44"/>
      <c r="AC206" s="45" t="s">
        <v>155</v>
      </c>
      <c r="AD206" s="39" t="s">
        <v>0</v>
      </c>
      <c r="AE206" s="39">
        <v>3</v>
      </c>
      <c r="AF206" s="39" t="s">
        <v>152</v>
      </c>
      <c r="AG206" s="27">
        <v>3</v>
      </c>
      <c r="AH206" s="39">
        <v>2031</v>
      </c>
      <c r="AI206" s="41" t="s">
        <v>160</v>
      </c>
      <c r="AJ206" s="27"/>
      <c r="AK206" s="44"/>
      <c r="AL206" s="45" t="s">
        <v>155</v>
      </c>
      <c r="AM206" s="39" t="s">
        <v>0</v>
      </c>
      <c r="AN206" s="39">
        <v>3</v>
      </c>
      <c r="AO206" s="39" t="s">
        <v>152</v>
      </c>
      <c r="AP206" s="27">
        <v>3</v>
      </c>
      <c r="AQ206" s="39">
        <v>2036</v>
      </c>
      <c r="AR206" s="27" t="s">
        <v>171</v>
      </c>
      <c r="AS206" s="27"/>
      <c r="AT206" s="44"/>
      <c r="AU206" s="45" t="s">
        <v>155</v>
      </c>
      <c r="AV206" s="39" t="s">
        <v>0</v>
      </c>
      <c r="AW206" s="39">
        <v>3</v>
      </c>
      <c r="AX206" s="39" t="s">
        <v>152</v>
      </c>
      <c r="AY206" s="27">
        <v>3</v>
      </c>
      <c r="AZ206" s="39" t="s">
        <v>98</v>
      </c>
      <c r="BA206" s="27" t="s">
        <v>188</v>
      </c>
      <c r="BB206" s="27"/>
      <c r="BC206" s="44"/>
      <c r="BD206" s="45" t="s">
        <v>155</v>
      </c>
      <c r="BE206" s="39" t="s">
        <v>0</v>
      </c>
      <c r="BF206" s="39">
        <v>3</v>
      </c>
      <c r="BG206" s="39" t="s">
        <v>152</v>
      </c>
      <c r="BH206" s="27">
        <v>3</v>
      </c>
      <c r="BI206" s="39">
        <v>1051</v>
      </c>
      <c r="BJ206" s="41" t="s">
        <v>178</v>
      </c>
      <c r="BK206" s="27"/>
      <c r="BL206" s="44"/>
      <c r="BM206" s="45" t="s">
        <v>155</v>
      </c>
      <c r="BN206" s="39" t="s">
        <v>0</v>
      </c>
      <c r="BO206" s="39">
        <v>3</v>
      </c>
      <c r="BP206" s="39" t="s">
        <v>152</v>
      </c>
      <c r="BQ206" s="27">
        <v>3</v>
      </c>
      <c r="BR206" s="39">
        <v>1017</v>
      </c>
      <c r="BS206" s="41" t="s">
        <v>183</v>
      </c>
      <c r="BT206" s="27"/>
      <c r="BU206" s="44"/>
      <c r="BV206" s="45" t="s">
        <v>155</v>
      </c>
      <c r="BW206" s="39" t="s">
        <v>0</v>
      </c>
      <c r="BX206" s="39">
        <v>3</v>
      </c>
      <c r="BY206" s="39" t="s">
        <v>152</v>
      </c>
      <c r="BZ206" s="27">
        <v>3</v>
      </c>
      <c r="CA206" s="39">
        <v>163</v>
      </c>
      <c r="CB206" s="27" t="s">
        <v>161</v>
      </c>
      <c r="CC206" s="27"/>
      <c r="CD206" s="44"/>
      <c r="CE206" s="45" t="s">
        <v>155</v>
      </c>
      <c r="CF206" s="39" t="s">
        <v>0</v>
      </c>
      <c r="CG206" s="39">
        <v>3</v>
      </c>
      <c r="CH206" s="39" t="s">
        <v>152</v>
      </c>
      <c r="CI206" s="27">
        <v>3</v>
      </c>
      <c r="CJ206" s="39"/>
      <c r="CK206" s="27" t="s">
        <v>181</v>
      </c>
    </row>
    <row r="207" spans="1:98" x14ac:dyDescent="0.25">
      <c r="A207" s="44"/>
      <c r="B207" s="45" t="s">
        <v>155</v>
      </c>
      <c r="C207" s="39" t="s">
        <v>0</v>
      </c>
      <c r="D207" s="39">
        <v>4</v>
      </c>
      <c r="E207" s="39" t="s">
        <v>152</v>
      </c>
      <c r="F207" s="27">
        <v>4</v>
      </c>
      <c r="G207" s="39" t="s">
        <v>91</v>
      </c>
      <c r="H207" s="41" t="s">
        <v>163</v>
      </c>
      <c r="I207" s="27"/>
      <c r="J207" s="44"/>
      <c r="K207" s="45" t="s">
        <v>155</v>
      </c>
      <c r="L207" s="39" t="s">
        <v>0</v>
      </c>
      <c r="M207" s="39">
        <v>4</v>
      </c>
      <c r="N207" s="39" t="s">
        <v>152</v>
      </c>
      <c r="O207" s="27">
        <v>4</v>
      </c>
      <c r="P207" s="39">
        <v>1050</v>
      </c>
      <c r="Q207" s="41" t="s">
        <v>186</v>
      </c>
      <c r="R207" s="27"/>
      <c r="S207" s="44"/>
      <c r="T207" s="45" t="s">
        <v>155</v>
      </c>
      <c r="U207" s="39" t="s">
        <v>0</v>
      </c>
      <c r="V207" s="39">
        <v>4</v>
      </c>
      <c r="W207" s="39" t="s">
        <v>152</v>
      </c>
      <c r="X207" s="27">
        <v>4</v>
      </c>
      <c r="Y207" s="39">
        <v>1055</v>
      </c>
      <c r="Z207" s="41" t="s">
        <v>176</v>
      </c>
      <c r="AA207" s="27"/>
      <c r="AB207" s="44"/>
      <c r="AC207" s="45" t="s">
        <v>155</v>
      </c>
      <c r="AD207" s="39" t="s">
        <v>0</v>
      </c>
      <c r="AE207" s="39">
        <v>4</v>
      </c>
      <c r="AF207" s="39" t="s">
        <v>152</v>
      </c>
      <c r="AG207" s="27">
        <v>4</v>
      </c>
      <c r="AH207" s="39">
        <v>2031</v>
      </c>
      <c r="AI207" s="41" t="s">
        <v>168</v>
      </c>
      <c r="AJ207" s="27"/>
      <c r="AK207" s="44"/>
      <c r="AL207" s="45" t="s">
        <v>155</v>
      </c>
      <c r="AM207" s="39" t="s">
        <v>0</v>
      </c>
      <c r="AN207" s="39">
        <v>4</v>
      </c>
      <c r="AO207" s="39" t="s">
        <v>152</v>
      </c>
      <c r="AP207" s="27">
        <v>4</v>
      </c>
      <c r="AQ207" s="39">
        <v>2036</v>
      </c>
      <c r="AR207" s="27" t="s">
        <v>161</v>
      </c>
      <c r="AS207" s="27"/>
      <c r="AT207" s="44"/>
      <c r="AU207" s="45" t="s">
        <v>155</v>
      </c>
      <c r="AV207" s="39" t="s">
        <v>0</v>
      </c>
      <c r="AW207" s="39">
        <v>4</v>
      </c>
      <c r="AX207" s="39" t="s">
        <v>152</v>
      </c>
      <c r="AY207" s="27">
        <v>4</v>
      </c>
      <c r="AZ207" s="39" t="s">
        <v>98</v>
      </c>
      <c r="BA207" s="27" t="s">
        <v>182</v>
      </c>
      <c r="BB207" s="27"/>
      <c r="BC207" s="44"/>
      <c r="BD207" s="45" t="s">
        <v>155</v>
      </c>
      <c r="BE207" s="39" t="s">
        <v>0</v>
      </c>
      <c r="BF207" s="39">
        <v>4</v>
      </c>
      <c r="BG207" s="39" t="s">
        <v>152</v>
      </c>
      <c r="BH207" s="27">
        <v>4</v>
      </c>
      <c r="BI207" s="39">
        <v>1051</v>
      </c>
      <c r="BJ207" s="41" t="s">
        <v>163</v>
      </c>
      <c r="BK207" s="27"/>
      <c r="BL207" s="44"/>
      <c r="BM207" s="45" t="s">
        <v>155</v>
      </c>
      <c r="BN207" s="39" t="s">
        <v>0</v>
      </c>
      <c r="BO207" s="39">
        <v>4</v>
      </c>
      <c r="BP207" s="39" t="s">
        <v>152</v>
      </c>
      <c r="BQ207" s="27">
        <v>4</v>
      </c>
      <c r="BR207" s="39">
        <v>1017</v>
      </c>
      <c r="BS207" s="40" t="s">
        <v>186</v>
      </c>
      <c r="BT207" s="27"/>
      <c r="BU207" s="44"/>
      <c r="BV207" s="45" t="s">
        <v>155</v>
      </c>
      <c r="BW207" s="39" t="s">
        <v>0</v>
      </c>
      <c r="BX207" s="39">
        <v>4</v>
      </c>
      <c r="BY207" s="39" t="s">
        <v>152</v>
      </c>
      <c r="BZ207" s="27">
        <v>4</v>
      </c>
      <c r="CA207" s="39">
        <v>163</v>
      </c>
      <c r="CB207" s="27" t="s">
        <v>169</v>
      </c>
      <c r="CC207" s="27"/>
      <c r="CD207" s="44"/>
      <c r="CE207" s="45" t="s">
        <v>155</v>
      </c>
      <c r="CF207" s="39" t="s">
        <v>0</v>
      </c>
      <c r="CG207" s="39">
        <v>4</v>
      </c>
      <c r="CH207" s="39" t="s">
        <v>152</v>
      </c>
      <c r="CI207" s="27">
        <v>4</v>
      </c>
      <c r="CJ207" s="39"/>
      <c r="CK207" s="27" t="s">
        <v>183</v>
      </c>
    </row>
    <row r="208" spans="1:98" x14ac:dyDescent="0.25">
      <c r="A208" s="44"/>
      <c r="B208" s="45" t="s">
        <v>155</v>
      </c>
      <c r="C208" s="39" t="s">
        <v>0</v>
      </c>
      <c r="D208" s="39">
        <v>5</v>
      </c>
      <c r="E208" s="39" t="s">
        <v>152</v>
      </c>
      <c r="F208" s="27">
        <v>5</v>
      </c>
      <c r="G208" s="39" t="s">
        <v>91</v>
      </c>
      <c r="H208" s="41" t="s">
        <v>171</v>
      </c>
      <c r="I208" s="27"/>
      <c r="J208" s="44"/>
      <c r="K208" s="45" t="s">
        <v>155</v>
      </c>
      <c r="L208" s="39" t="s">
        <v>0</v>
      </c>
      <c r="M208" s="39">
        <v>5</v>
      </c>
      <c r="N208" s="39" t="s">
        <v>152</v>
      </c>
      <c r="O208" s="27">
        <v>5</v>
      </c>
      <c r="P208" s="39">
        <v>1050</v>
      </c>
      <c r="Q208" s="41" t="s">
        <v>188</v>
      </c>
      <c r="R208" s="27"/>
      <c r="S208" s="44"/>
      <c r="T208" s="45" t="s">
        <v>155</v>
      </c>
      <c r="U208" s="39" t="s">
        <v>0</v>
      </c>
      <c r="V208" s="39">
        <v>5</v>
      </c>
      <c r="W208" s="39" t="s">
        <v>152</v>
      </c>
      <c r="X208" s="27">
        <v>5</v>
      </c>
      <c r="Y208" s="39">
        <v>1055</v>
      </c>
      <c r="Z208" s="41" t="s">
        <v>164</v>
      </c>
      <c r="AA208" s="27"/>
      <c r="AB208" s="44"/>
      <c r="AC208" s="45" t="s">
        <v>155</v>
      </c>
      <c r="AD208" s="39" t="s">
        <v>0</v>
      </c>
      <c r="AE208" s="39">
        <v>5</v>
      </c>
      <c r="AF208" s="39" t="s">
        <v>152</v>
      </c>
      <c r="AG208" s="27">
        <v>5</v>
      </c>
      <c r="AH208" s="39">
        <v>2031</v>
      </c>
      <c r="AI208" s="41" t="s">
        <v>176</v>
      </c>
      <c r="AJ208" s="27"/>
      <c r="AK208" s="44"/>
      <c r="AL208" s="45" t="s">
        <v>155</v>
      </c>
      <c r="AM208" s="39" t="s">
        <v>0</v>
      </c>
      <c r="AN208" s="39">
        <v>5</v>
      </c>
      <c r="AO208" s="39" t="s">
        <v>152</v>
      </c>
      <c r="AP208" s="27">
        <v>5</v>
      </c>
      <c r="AQ208" s="39">
        <v>2036</v>
      </c>
      <c r="AR208" s="27" t="s">
        <v>169</v>
      </c>
      <c r="AS208" s="27"/>
      <c r="AT208" s="44"/>
      <c r="AU208" s="45" t="s">
        <v>155</v>
      </c>
      <c r="AV208" s="39" t="s">
        <v>0</v>
      </c>
      <c r="AW208" s="39">
        <v>5</v>
      </c>
      <c r="AX208" s="39" t="s">
        <v>152</v>
      </c>
      <c r="AY208" s="27">
        <v>5</v>
      </c>
      <c r="AZ208" s="39" t="s">
        <v>98</v>
      </c>
      <c r="BA208" s="27" t="s">
        <v>184</v>
      </c>
      <c r="BB208" s="27"/>
      <c r="BC208" s="44"/>
      <c r="BD208" s="45" t="s">
        <v>155</v>
      </c>
      <c r="BE208" s="39" t="s">
        <v>0</v>
      </c>
      <c r="BF208" s="39">
        <v>5</v>
      </c>
      <c r="BG208" s="39" t="s">
        <v>152</v>
      </c>
      <c r="BH208" s="27">
        <v>5</v>
      </c>
      <c r="BI208" s="39">
        <v>1051</v>
      </c>
      <c r="BJ208" s="41" t="s">
        <v>171</v>
      </c>
      <c r="BK208" s="27"/>
      <c r="BL208" s="44"/>
      <c r="BM208" s="45" t="s">
        <v>155</v>
      </c>
      <c r="BN208" s="39" t="s">
        <v>0</v>
      </c>
      <c r="BO208" s="39">
        <v>5</v>
      </c>
      <c r="BP208" s="39" t="s">
        <v>152</v>
      </c>
      <c r="BQ208" s="27">
        <v>5</v>
      </c>
      <c r="BR208" s="39">
        <v>1017</v>
      </c>
      <c r="BS208" s="41" t="s">
        <v>188</v>
      </c>
      <c r="BT208" s="27"/>
      <c r="BU208" s="44"/>
      <c r="BV208" s="45" t="s">
        <v>155</v>
      </c>
      <c r="BW208" s="39" t="s">
        <v>0</v>
      </c>
      <c r="BX208" s="39">
        <v>5</v>
      </c>
      <c r="BY208" s="39" t="s">
        <v>152</v>
      </c>
      <c r="BZ208" s="27">
        <v>5</v>
      </c>
      <c r="CA208" s="39">
        <v>163</v>
      </c>
      <c r="CB208" s="27" t="s">
        <v>177</v>
      </c>
      <c r="CC208" s="27"/>
      <c r="CD208" s="44"/>
      <c r="CE208" s="45" t="s">
        <v>155</v>
      </c>
      <c r="CF208" s="39" t="s">
        <v>0</v>
      </c>
      <c r="CG208" s="39">
        <v>5</v>
      </c>
      <c r="CH208" s="39" t="s">
        <v>152</v>
      </c>
      <c r="CI208" s="27">
        <v>5</v>
      </c>
      <c r="CJ208" s="39"/>
      <c r="CK208" s="27" t="s">
        <v>186</v>
      </c>
    </row>
    <row r="209" spans="1:89" x14ac:dyDescent="0.25">
      <c r="A209" s="44"/>
      <c r="B209" s="45" t="s">
        <v>155</v>
      </c>
      <c r="C209" s="39" t="s">
        <v>0</v>
      </c>
      <c r="D209" s="39">
        <v>6</v>
      </c>
      <c r="E209" s="39" t="s">
        <v>152</v>
      </c>
      <c r="F209" s="27">
        <v>6</v>
      </c>
      <c r="G209" s="39" t="s">
        <v>91</v>
      </c>
      <c r="H209" s="41" t="s">
        <v>161</v>
      </c>
      <c r="I209" s="27"/>
      <c r="J209" s="44"/>
      <c r="K209" s="45" t="s">
        <v>155</v>
      </c>
      <c r="L209" s="39" t="s">
        <v>0</v>
      </c>
      <c r="M209" s="39">
        <v>6</v>
      </c>
      <c r="N209" s="39" t="s">
        <v>152</v>
      </c>
      <c r="O209" s="27">
        <v>6</v>
      </c>
      <c r="P209" s="39">
        <v>1050</v>
      </c>
      <c r="Q209" s="41" t="s">
        <v>182</v>
      </c>
      <c r="R209" s="27"/>
      <c r="S209" s="44"/>
      <c r="T209" s="45" t="s">
        <v>155</v>
      </c>
      <c r="U209" s="39" t="s">
        <v>0</v>
      </c>
      <c r="V209" s="39">
        <v>6</v>
      </c>
      <c r="W209" s="39" t="s">
        <v>152</v>
      </c>
      <c r="X209" s="27">
        <v>6</v>
      </c>
      <c r="Y209" s="39">
        <v>1055</v>
      </c>
      <c r="Z209" s="41" t="s">
        <v>172</v>
      </c>
      <c r="AA209" s="27"/>
      <c r="AB209" s="44"/>
      <c r="AC209" s="45" t="s">
        <v>155</v>
      </c>
      <c r="AD209" s="39" t="s">
        <v>0</v>
      </c>
      <c r="AE209" s="39">
        <v>6</v>
      </c>
      <c r="AF209" s="39" t="s">
        <v>152</v>
      </c>
      <c r="AG209" s="27">
        <v>6</v>
      </c>
      <c r="AH209" s="39">
        <v>2031</v>
      </c>
      <c r="AI209" s="41" t="s">
        <v>164</v>
      </c>
      <c r="AJ209" s="27"/>
      <c r="AK209" s="44"/>
      <c r="AL209" s="45" t="s">
        <v>155</v>
      </c>
      <c r="AM209" s="39" t="s">
        <v>0</v>
      </c>
      <c r="AN209" s="39">
        <v>6</v>
      </c>
      <c r="AO209" s="39" t="s">
        <v>152</v>
      </c>
      <c r="AP209" s="27">
        <v>6</v>
      </c>
      <c r="AQ209" s="39">
        <v>2036</v>
      </c>
      <c r="AR209" s="27" t="s">
        <v>177</v>
      </c>
      <c r="AS209" s="27"/>
      <c r="AT209" s="44"/>
      <c r="AU209" s="45" t="s">
        <v>155</v>
      </c>
      <c r="AV209" s="39" t="s">
        <v>0</v>
      </c>
      <c r="AW209" s="39">
        <v>6</v>
      </c>
      <c r="AX209" s="39" t="s">
        <v>152</v>
      </c>
      <c r="AY209" s="27">
        <v>6</v>
      </c>
      <c r="AZ209" s="39" t="s">
        <v>98</v>
      </c>
      <c r="BA209" s="27" t="s">
        <v>187</v>
      </c>
      <c r="BB209" s="27"/>
      <c r="BC209" s="44"/>
      <c r="BD209" s="45" t="s">
        <v>155</v>
      </c>
      <c r="BE209" s="39" t="s">
        <v>0</v>
      </c>
      <c r="BF209" s="39">
        <v>6</v>
      </c>
      <c r="BG209" s="39" t="s">
        <v>152</v>
      </c>
      <c r="BH209" s="27">
        <v>6</v>
      </c>
      <c r="BI209" s="39">
        <v>1051</v>
      </c>
      <c r="BJ209" s="41" t="s">
        <v>161</v>
      </c>
      <c r="BK209" s="27"/>
      <c r="BL209" s="44"/>
      <c r="BM209" s="45" t="s">
        <v>155</v>
      </c>
      <c r="BN209" s="39" t="s">
        <v>0</v>
      </c>
      <c r="BO209" s="39">
        <v>6</v>
      </c>
      <c r="BP209" s="39" t="s">
        <v>152</v>
      </c>
      <c r="BQ209" s="27">
        <v>6</v>
      </c>
      <c r="BR209" s="39">
        <v>1017</v>
      </c>
      <c r="BS209" s="41" t="s">
        <v>182</v>
      </c>
      <c r="BT209" s="27"/>
      <c r="BU209" s="44"/>
      <c r="BV209" s="45" t="s">
        <v>155</v>
      </c>
      <c r="BW209" s="39" t="s">
        <v>0</v>
      </c>
      <c r="BX209" s="39">
        <v>6</v>
      </c>
      <c r="BY209" s="39" t="s">
        <v>152</v>
      </c>
      <c r="BZ209" s="27">
        <v>6</v>
      </c>
      <c r="CA209" s="39">
        <v>163</v>
      </c>
      <c r="CB209" s="27" t="s">
        <v>180</v>
      </c>
      <c r="CC209" s="27"/>
      <c r="CD209" s="44"/>
      <c r="CE209" s="45" t="s">
        <v>155</v>
      </c>
      <c r="CF209" s="39" t="s">
        <v>0</v>
      </c>
      <c r="CG209" s="39">
        <v>6</v>
      </c>
      <c r="CH209" s="39" t="s">
        <v>152</v>
      </c>
      <c r="CI209" s="27">
        <v>6</v>
      </c>
      <c r="CJ209" s="39"/>
      <c r="CK209" s="27" t="s">
        <v>188</v>
      </c>
    </row>
    <row r="210" spans="1:89" x14ac:dyDescent="0.25">
      <c r="A210" s="44"/>
      <c r="B210" s="45" t="s">
        <v>155</v>
      </c>
      <c r="C210" s="39" t="s">
        <v>0</v>
      </c>
      <c r="D210" s="39">
        <v>7</v>
      </c>
      <c r="E210" s="39" t="s">
        <v>152</v>
      </c>
      <c r="F210" s="27">
        <v>7</v>
      </c>
      <c r="G210" s="39" t="s">
        <v>91</v>
      </c>
      <c r="H210" s="41" t="s">
        <v>169</v>
      </c>
      <c r="I210" s="27"/>
      <c r="J210" s="44"/>
      <c r="K210" s="45" t="s">
        <v>155</v>
      </c>
      <c r="L210" s="39" t="s">
        <v>0</v>
      </c>
      <c r="M210" s="39">
        <v>7</v>
      </c>
      <c r="N210" s="39" t="s">
        <v>152</v>
      </c>
      <c r="O210" s="27">
        <v>7</v>
      </c>
      <c r="P210" s="39">
        <v>1050</v>
      </c>
      <c r="Q210" s="41" t="s">
        <v>184</v>
      </c>
      <c r="R210" s="27"/>
      <c r="S210" s="44"/>
      <c r="T210" s="45" t="s">
        <v>155</v>
      </c>
      <c r="U210" s="39" t="s">
        <v>0</v>
      </c>
      <c r="V210" s="39">
        <v>7</v>
      </c>
      <c r="W210" s="39" t="s">
        <v>152</v>
      </c>
      <c r="X210" s="27">
        <v>7</v>
      </c>
      <c r="Y210" s="39">
        <v>1055</v>
      </c>
      <c r="Z210" s="41" t="s">
        <v>162</v>
      </c>
      <c r="AA210" s="27"/>
      <c r="AB210" s="44"/>
      <c r="AC210" s="45" t="s">
        <v>155</v>
      </c>
      <c r="AD210" s="39" t="s">
        <v>0</v>
      </c>
      <c r="AE210" s="39">
        <v>7</v>
      </c>
      <c r="AF210" s="39" t="s">
        <v>152</v>
      </c>
      <c r="AG210" s="27">
        <v>7</v>
      </c>
      <c r="AH210" s="39">
        <v>2031</v>
      </c>
      <c r="AI210" s="41" t="s">
        <v>172</v>
      </c>
      <c r="AJ210" s="27"/>
      <c r="AK210" s="44"/>
      <c r="AL210" s="45" t="s">
        <v>155</v>
      </c>
      <c r="AM210" s="39" t="s">
        <v>0</v>
      </c>
      <c r="AN210" s="39">
        <v>7</v>
      </c>
      <c r="AO210" s="39" t="s">
        <v>152</v>
      </c>
      <c r="AP210" s="27">
        <v>7</v>
      </c>
      <c r="AQ210" s="39">
        <v>2036</v>
      </c>
      <c r="AR210" s="27" t="s">
        <v>180</v>
      </c>
      <c r="AS210" s="27"/>
      <c r="AT210" s="44"/>
      <c r="AU210" s="45" t="s">
        <v>155</v>
      </c>
      <c r="AV210" s="39" t="s">
        <v>0</v>
      </c>
      <c r="AW210" s="39">
        <v>7</v>
      </c>
      <c r="AX210" s="39" t="s">
        <v>152</v>
      </c>
      <c r="AY210" s="27">
        <v>7</v>
      </c>
      <c r="AZ210" s="39" t="s">
        <v>98</v>
      </c>
      <c r="BA210" s="27" t="s">
        <v>189</v>
      </c>
      <c r="BB210" s="27"/>
      <c r="BC210" s="44"/>
      <c r="BD210" s="45" t="s">
        <v>155</v>
      </c>
      <c r="BE210" s="39" t="s">
        <v>0</v>
      </c>
      <c r="BF210" s="39">
        <v>7</v>
      </c>
      <c r="BG210" s="39" t="s">
        <v>152</v>
      </c>
      <c r="BH210" s="27">
        <v>7</v>
      </c>
      <c r="BI210" s="39">
        <v>1051</v>
      </c>
      <c r="BJ210" s="41" t="s">
        <v>169</v>
      </c>
      <c r="BK210" s="27"/>
      <c r="BL210" s="44"/>
      <c r="BM210" s="45" t="s">
        <v>155</v>
      </c>
      <c r="BN210" s="39" t="s">
        <v>0</v>
      </c>
      <c r="BO210" s="39">
        <v>7</v>
      </c>
      <c r="BP210" s="39" t="s">
        <v>152</v>
      </c>
      <c r="BQ210" s="27">
        <v>7</v>
      </c>
      <c r="BR210" s="39">
        <v>1017</v>
      </c>
      <c r="BS210" s="41" t="s">
        <v>184</v>
      </c>
      <c r="BT210" s="27"/>
      <c r="BU210" s="44"/>
      <c r="BV210" s="45" t="s">
        <v>155</v>
      </c>
      <c r="BW210" s="39" t="s">
        <v>0</v>
      </c>
      <c r="BX210" s="39">
        <v>7</v>
      </c>
      <c r="BY210" s="39" t="s">
        <v>152</v>
      </c>
      <c r="BZ210" s="27">
        <v>7</v>
      </c>
      <c r="CA210" s="39">
        <v>163</v>
      </c>
      <c r="CB210" s="27" t="s">
        <v>181</v>
      </c>
      <c r="CC210" s="27"/>
      <c r="CD210" s="44"/>
      <c r="CE210" s="45" t="s">
        <v>155</v>
      </c>
      <c r="CF210" s="39" t="s">
        <v>0</v>
      </c>
      <c r="CG210" s="39">
        <v>7</v>
      </c>
      <c r="CH210" s="39" t="s">
        <v>152</v>
      </c>
      <c r="CI210" s="27">
        <v>7</v>
      </c>
      <c r="CJ210" s="39"/>
      <c r="CK210" s="27" t="s">
        <v>182</v>
      </c>
    </row>
    <row r="211" spans="1:89" x14ac:dyDescent="0.25">
      <c r="A211" s="44"/>
      <c r="B211" s="45" t="s">
        <v>155</v>
      </c>
      <c r="C211" s="39" t="s">
        <v>0</v>
      </c>
      <c r="D211" s="39">
        <v>8</v>
      </c>
      <c r="E211" s="39" t="s">
        <v>152</v>
      </c>
      <c r="F211" s="27">
        <v>8</v>
      </c>
      <c r="G211" s="39" t="s">
        <v>91</v>
      </c>
      <c r="H211" s="41" t="s">
        <v>177</v>
      </c>
      <c r="I211" s="27"/>
      <c r="J211" s="44"/>
      <c r="K211" s="45" t="s">
        <v>155</v>
      </c>
      <c r="L211" s="39" t="s">
        <v>0</v>
      </c>
      <c r="M211" s="39">
        <v>8</v>
      </c>
      <c r="N211" s="39" t="s">
        <v>152</v>
      </c>
      <c r="O211" s="27">
        <v>8</v>
      </c>
      <c r="P211" s="39">
        <v>1050</v>
      </c>
      <c r="Q211" s="41" t="s">
        <v>187</v>
      </c>
      <c r="R211" s="27"/>
      <c r="S211" s="44"/>
      <c r="T211" s="45" t="s">
        <v>155</v>
      </c>
      <c r="U211" s="39" t="s">
        <v>0</v>
      </c>
      <c r="V211" s="39">
        <v>8</v>
      </c>
      <c r="W211" s="39" t="s">
        <v>152</v>
      </c>
      <c r="X211" s="27">
        <v>8</v>
      </c>
      <c r="Y211" s="39">
        <v>1055</v>
      </c>
      <c r="Z211" s="41" t="s">
        <v>170</v>
      </c>
      <c r="AA211" s="27"/>
      <c r="AB211" s="44"/>
      <c r="AC211" s="45" t="s">
        <v>155</v>
      </c>
      <c r="AD211" s="39" t="s">
        <v>0</v>
      </c>
      <c r="AE211" s="39">
        <v>8</v>
      </c>
      <c r="AF211" s="39" t="s">
        <v>152</v>
      </c>
      <c r="AG211" s="27">
        <v>8</v>
      </c>
      <c r="AH211" s="39">
        <v>2031</v>
      </c>
      <c r="AI211" s="41" t="s">
        <v>162</v>
      </c>
      <c r="AJ211" s="27"/>
      <c r="AK211" s="44"/>
      <c r="AL211" s="45" t="s">
        <v>155</v>
      </c>
      <c r="AM211" s="39" t="s">
        <v>0</v>
      </c>
      <c r="AN211" s="39">
        <v>8</v>
      </c>
      <c r="AO211" s="39" t="s">
        <v>152</v>
      </c>
      <c r="AP211" s="27">
        <v>8</v>
      </c>
      <c r="AQ211" s="39">
        <v>2036</v>
      </c>
      <c r="AR211" s="27" t="s">
        <v>181</v>
      </c>
      <c r="AS211" s="27"/>
      <c r="AT211" s="44"/>
      <c r="AU211" s="45" t="s">
        <v>155</v>
      </c>
      <c r="AV211" s="39" t="s">
        <v>0</v>
      </c>
      <c r="AW211" s="39">
        <v>8</v>
      </c>
      <c r="AX211" s="39" t="s">
        <v>152</v>
      </c>
      <c r="AY211" s="27">
        <v>8</v>
      </c>
      <c r="AZ211" s="39" t="s">
        <v>104</v>
      </c>
      <c r="BA211" s="41" t="s">
        <v>160</v>
      </c>
      <c r="BB211" s="27"/>
      <c r="BC211" s="44"/>
      <c r="BD211" s="45" t="s">
        <v>155</v>
      </c>
      <c r="BE211" s="39" t="s">
        <v>0</v>
      </c>
      <c r="BF211" s="39">
        <v>8</v>
      </c>
      <c r="BG211" s="39" t="s">
        <v>152</v>
      </c>
      <c r="BH211" s="27">
        <v>8</v>
      </c>
      <c r="BI211" s="39">
        <v>1051</v>
      </c>
      <c r="BJ211" s="41" t="s">
        <v>177</v>
      </c>
      <c r="BK211" s="27"/>
      <c r="BL211" s="44"/>
      <c r="BM211" s="45" t="s">
        <v>155</v>
      </c>
      <c r="BN211" s="39" t="s">
        <v>0</v>
      </c>
      <c r="BO211" s="39">
        <v>8</v>
      </c>
      <c r="BP211" s="39" t="s">
        <v>152</v>
      </c>
      <c r="BQ211" s="27">
        <v>8</v>
      </c>
      <c r="BR211" s="39">
        <v>1017</v>
      </c>
      <c r="BS211" s="41" t="s">
        <v>187</v>
      </c>
      <c r="BT211" s="27"/>
      <c r="BU211" s="44"/>
      <c r="BV211" s="45" t="s">
        <v>155</v>
      </c>
      <c r="BW211" s="39" t="s">
        <v>0</v>
      </c>
      <c r="BX211" s="39">
        <v>8</v>
      </c>
      <c r="BY211" s="39" t="s">
        <v>152</v>
      </c>
      <c r="BZ211" s="27">
        <v>8</v>
      </c>
      <c r="CA211" s="39">
        <v>163</v>
      </c>
      <c r="CB211" s="27" t="s">
        <v>183</v>
      </c>
      <c r="CC211" s="27"/>
      <c r="CD211" s="44"/>
      <c r="CE211" s="45" t="s">
        <v>155</v>
      </c>
      <c r="CF211" s="39" t="s">
        <v>0</v>
      </c>
      <c r="CG211" s="39">
        <v>8</v>
      </c>
      <c r="CH211" s="39" t="s">
        <v>152</v>
      </c>
      <c r="CI211" s="27">
        <v>8</v>
      </c>
      <c r="CJ211" s="39"/>
      <c r="CK211" s="27" t="s">
        <v>184</v>
      </c>
    </row>
    <row r="212" spans="1:89" ht="15.75" thickBot="1" x14ac:dyDescent="0.3">
      <c r="A212" s="44"/>
      <c r="B212" s="45" t="s">
        <v>155</v>
      </c>
      <c r="C212" s="39" t="s">
        <v>0</v>
      </c>
      <c r="D212" s="39">
        <v>9</v>
      </c>
      <c r="E212" s="39" t="s">
        <v>152</v>
      </c>
      <c r="F212" s="27">
        <v>9</v>
      </c>
      <c r="G212" s="39" t="s">
        <v>91</v>
      </c>
      <c r="H212" s="41" t="s">
        <v>180</v>
      </c>
      <c r="I212" s="27"/>
      <c r="J212" s="44"/>
      <c r="K212" s="45" t="s">
        <v>155</v>
      </c>
      <c r="L212" s="39" t="s">
        <v>0</v>
      </c>
      <c r="M212" s="39">
        <v>9</v>
      </c>
      <c r="N212" s="39" t="s">
        <v>152</v>
      </c>
      <c r="O212" s="27">
        <v>9</v>
      </c>
      <c r="P212" s="39">
        <v>1050</v>
      </c>
      <c r="Q212" s="41" t="s">
        <v>189</v>
      </c>
      <c r="R212" s="27"/>
      <c r="S212" s="44"/>
      <c r="T212" s="45" t="s">
        <v>155</v>
      </c>
      <c r="U212" s="39" t="s">
        <v>0</v>
      </c>
      <c r="V212" s="39">
        <v>9</v>
      </c>
      <c r="W212" s="39" t="s">
        <v>152</v>
      </c>
      <c r="X212" s="27">
        <v>9</v>
      </c>
      <c r="Y212" s="39">
        <v>1055</v>
      </c>
      <c r="Z212" s="41" t="s">
        <v>178</v>
      </c>
      <c r="AA212" s="27"/>
      <c r="AB212" s="44"/>
      <c r="AC212" s="45" t="s">
        <v>155</v>
      </c>
      <c r="AD212" s="39" t="s">
        <v>0</v>
      </c>
      <c r="AE212" s="39">
        <v>9</v>
      </c>
      <c r="AF212" s="39" t="s">
        <v>152</v>
      </c>
      <c r="AG212" s="27">
        <v>9</v>
      </c>
      <c r="AH212" s="39">
        <v>2031</v>
      </c>
      <c r="AI212" s="41" t="s">
        <v>170</v>
      </c>
      <c r="AJ212" s="27"/>
      <c r="AK212" s="44"/>
      <c r="AL212" s="45" t="s">
        <v>155</v>
      </c>
      <c r="AM212" s="39" t="s">
        <v>0</v>
      </c>
      <c r="AN212" s="39">
        <v>9</v>
      </c>
      <c r="AO212" s="39" t="s">
        <v>152</v>
      </c>
      <c r="AP212" s="27">
        <v>9</v>
      </c>
      <c r="AQ212" s="39">
        <v>2036</v>
      </c>
      <c r="AR212" s="27" t="s">
        <v>183</v>
      </c>
      <c r="AS212" s="27"/>
      <c r="AT212" s="44"/>
      <c r="AU212" s="45" t="s">
        <v>155</v>
      </c>
      <c r="AV212" s="39" t="s">
        <v>0</v>
      </c>
      <c r="AW212" s="39">
        <v>9</v>
      </c>
      <c r="AX212" s="39" t="s">
        <v>152</v>
      </c>
      <c r="AY212" s="27">
        <v>9</v>
      </c>
      <c r="AZ212" s="39" t="s">
        <v>104</v>
      </c>
      <c r="BA212" s="41" t="s">
        <v>168</v>
      </c>
      <c r="BB212" s="27"/>
      <c r="BC212" s="44"/>
      <c r="BD212" s="45" t="s">
        <v>155</v>
      </c>
      <c r="BE212" s="39" t="s">
        <v>0</v>
      </c>
      <c r="BF212" s="39">
        <v>9</v>
      </c>
      <c r="BG212" s="39" t="s">
        <v>152</v>
      </c>
      <c r="BH212" s="27">
        <v>9</v>
      </c>
      <c r="BI212" s="39">
        <v>1051</v>
      </c>
      <c r="BJ212" s="41" t="s">
        <v>180</v>
      </c>
      <c r="BK212" s="27"/>
      <c r="BL212" s="44"/>
      <c r="BM212" s="45" t="s">
        <v>155</v>
      </c>
      <c r="BN212" s="39" t="s">
        <v>0</v>
      </c>
      <c r="BO212" s="39">
        <v>9</v>
      </c>
      <c r="BP212" s="39" t="s">
        <v>152</v>
      </c>
      <c r="BQ212" s="27">
        <v>9</v>
      </c>
      <c r="BR212" s="39">
        <v>1017</v>
      </c>
      <c r="BS212" s="41" t="s">
        <v>189</v>
      </c>
      <c r="BT212" s="27"/>
      <c r="BU212" s="44"/>
      <c r="BV212" s="45" t="s">
        <v>155</v>
      </c>
      <c r="BW212" s="39" t="s">
        <v>0</v>
      </c>
      <c r="BX212" s="39">
        <v>9</v>
      </c>
      <c r="BY212" s="39" t="s">
        <v>152</v>
      </c>
      <c r="BZ212" s="27">
        <v>9</v>
      </c>
      <c r="CA212" s="39">
        <v>163</v>
      </c>
      <c r="CB212" s="27" t="s">
        <v>186</v>
      </c>
      <c r="CC212" s="27"/>
      <c r="CD212" s="44"/>
      <c r="CE212" s="45" t="s">
        <v>155</v>
      </c>
      <c r="CF212" s="39" t="s">
        <v>0</v>
      </c>
      <c r="CG212" s="39">
        <v>9</v>
      </c>
      <c r="CH212" s="39" t="s">
        <v>152</v>
      </c>
      <c r="CI212" s="27">
        <v>9</v>
      </c>
      <c r="CJ212" s="39"/>
      <c r="CK212" s="27" t="s">
        <v>187</v>
      </c>
    </row>
    <row r="213" spans="1:89" ht="15.75" thickBot="1" x14ac:dyDescent="0.3">
      <c r="A213" s="44"/>
      <c r="B213" s="45" t="s">
        <v>155</v>
      </c>
      <c r="C213" s="39" t="s">
        <v>0</v>
      </c>
      <c r="D213" s="39">
        <v>10</v>
      </c>
      <c r="E213" s="39" t="s">
        <v>152</v>
      </c>
      <c r="F213" s="27">
        <v>10</v>
      </c>
      <c r="G213" s="39" t="s">
        <v>91</v>
      </c>
      <c r="H213" s="41" t="s">
        <v>181</v>
      </c>
      <c r="I213" s="27"/>
      <c r="J213" s="44"/>
      <c r="K213" s="45" t="s">
        <v>155</v>
      </c>
      <c r="L213" s="39" t="s">
        <v>0</v>
      </c>
      <c r="M213" s="39">
        <v>10</v>
      </c>
      <c r="N213" s="39" t="s">
        <v>152</v>
      </c>
      <c r="O213" s="27">
        <v>10</v>
      </c>
      <c r="P213" s="39">
        <v>1051</v>
      </c>
      <c r="Q213" s="41" t="s">
        <v>160</v>
      </c>
      <c r="R213" s="27"/>
      <c r="S213" s="44"/>
      <c r="T213" s="45" t="s">
        <v>155</v>
      </c>
      <c r="U213" s="39" t="s">
        <v>0</v>
      </c>
      <c r="V213" s="39">
        <v>10</v>
      </c>
      <c r="W213" s="39" t="s">
        <v>152</v>
      </c>
      <c r="X213" s="27">
        <v>10</v>
      </c>
      <c r="Y213" s="39">
        <v>1055</v>
      </c>
      <c r="Z213" s="40" t="s">
        <v>163</v>
      </c>
      <c r="AA213" s="27"/>
      <c r="AB213" s="44"/>
      <c r="AC213" s="45" t="s">
        <v>155</v>
      </c>
      <c r="AD213" s="39" t="s">
        <v>0</v>
      </c>
      <c r="AE213" s="39">
        <v>10</v>
      </c>
      <c r="AF213" s="39" t="s">
        <v>152</v>
      </c>
      <c r="AG213" s="27">
        <v>10</v>
      </c>
      <c r="AH213" s="39">
        <v>2031</v>
      </c>
      <c r="AI213" s="41" t="s">
        <v>178</v>
      </c>
      <c r="AJ213" s="27"/>
      <c r="AK213" s="44"/>
      <c r="AL213" s="45" t="s">
        <v>155</v>
      </c>
      <c r="AM213" s="39" t="s">
        <v>0</v>
      </c>
      <c r="AN213" s="39">
        <v>10</v>
      </c>
      <c r="AO213" s="39" t="s">
        <v>152</v>
      </c>
      <c r="AP213" s="27">
        <v>10</v>
      </c>
      <c r="AQ213" s="39">
        <v>2036</v>
      </c>
      <c r="AR213" s="27" t="s">
        <v>186</v>
      </c>
      <c r="AS213" s="27"/>
      <c r="AT213" s="44"/>
      <c r="AU213" s="45" t="s">
        <v>155</v>
      </c>
      <c r="AV213" s="39" t="s">
        <v>0</v>
      </c>
      <c r="AW213" s="39">
        <v>10</v>
      </c>
      <c r="AX213" s="39" t="s">
        <v>152</v>
      </c>
      <c r="AY213" s="27">
        <v>10</v>
      </c>
      <c r="AZ213" s="39" t="s">
        <v>104</v>
      </c>
      <c r="BA213" s="41" t="s">
        <v>176</v>
      </c>
      <c r="BB213" s="27"/>
      <c r="BC213" s="44"/>
      <c r="BD213" s="45" t="s">
        <v>155</v>
      </c>
      <c r="BE213" s="39" t="s">
        <v>0</v>
      </c>
      <c r="BF213" s="39">
        <v>10</v>
      </c>
      <c r="BG213" s="39" t="s">
        <v>152</v>
      </c>
      <c r="BH213" s="27">
        <v>10</v>
      </c>
      <c r="BI213" s="39">
        <v>1051</v>
      </c>
      <c r="BJ213" s="41" t="s">
        <v>181</v>
      </c>
      <c r="BK213" s="27"/>
      <c r="BL213" s="44"/>
      <c r="BM213" s="45" t="s">
        <v>155</v>
      </c>
      <c r="BN213" s="39" t="s">
        <v>0</v>
      </c>
      <c r="BO213" s="39">
        <v>10</v>
      </c>
      <c r="BP213" s="39" t="s">
        <v>152</v>
      </c>
      <c r="BQ213" s="27">
        <v>10</v>
      </c>
      <c r="BR213" s="39">
        <v>1016</v>
      </c>
      <c r="BS213" s="40" t="s">
        <v>160</v>
      </c>
      <c r="BT213" s="27"/>
      <c r="BU213" s="44"/>
      <c r="BV213" s="45" t="s">
        <v>155</v>
      </c>
      <c r="BW213" s="39" t="s">
        <v>0</v>
      </c>
      <c r="BX213" s="39">
        <v>10</v>
      </c>
      <c r="BY213" s="39" t="s">
        <v>152</v>
      </c>
      <c r="BZ213" s="27">
        <v>10</v>
      </c>
      <c r="CA213" s="39">
        <v>163</v>
      </c>
      <c r="CB213" s="27" t="s">
        <v>188</v>
      </c>
      <c r="CC213" s="27"/>
      <c r="CD213" s="44"/>
      <c r="CE213" s="45" t="s">
        <v>155</v>
      </c>
      <c r="CF213" s="39" t="s">
        <v>0</v>
      </c>
      <c r="CG213" s="39">
        <v>10</v>
      </c>
      <c r="CH213" s="39" t="s">
        <v>152</v>
      </c>
      <c r="CI213" s="27">
        <v>10</v>
      </c>
      <c r="CJ213" s="39"/>
      <c r="CK213" s="27" t="s">
        <v>189</v>
      </c>
    </row>
    <row r="214" spans="1:89" ht="15.75" thickBot="1" x14ac:dyDescent="0.3">
      <c r="A214" s="44"/>
      <c r="B214" s="45" t="s">
        <v>155</v>
      </c>
      <c r="C214" s="39" t="s">
        <v>0</v>
      </c>
      <c r="D214" s="39">
        <v>11</v>
      </c>
      <c r="E214" s="39" t="s">
        <v>152</v>
      </c>
      <c r="F214" s="27">
        <v>11</v>
      </c>
      <c r="G214" s="39" t="s">
        <v>91</v>
      </c>
      <c r="H214" s="40" t="s">
        <v>183</v>
      </c>
      <c r="I214" s="27"/>
      <c r="J214" s="44"/>
      <c r="K214" s="45" t="s">
        <v>155</v>
      </c>
      <c r="L214" s="39" t="s">
        <v>0</v>
      </c>
      <c r="M214" s="39">
        <v>11</v>
      </c>
      <c r="N214" s="39" t="s">
        <v>152</v>
      </c>
      <c r="O214" s="27">
        <v>11</v>
      </c>
      <c r="P214" s="39">
        <v>1051</v>
      </c>
      <c r="Q214" s="41" t="s">
        <v>168</v>
      </c>
      <c r="R214" s="27"/>
      <c r="S214" s="44"/>
      <c r="T214" s="45" t="s">
        <v>155</v>
      </c>
      <c r="U214" s="39" t="s">
        <v>0</v>
      </c>
      <c r="V214" s="39">
        <v>11</v>
      </c>
      <c r="W214" s="39" t="s">
        <v>152</v>
      </c>
      <c r="X214" s="27">
        <v>11</v>
      </c>
      <c r="Y214" s="39">
        <v>1055</v>
      </c>
      <c r="Z214" s="41" t="s">
        <v>171</v>
      </c>
      <c r="AA214" s="27"/>
      <c r="AB214" s="44"/>
      <c r="AC214" s="45" t="s">
        <v>155</v>
      </c>
      <c r="AD214" s="39" t="s">
        <v>0</v>
      </c>
      <c r="AE214" s="39">
        <v>11</v>
      </c>
      <c r="AF214" s="39" t="s">
        <v>152</v>
      </c>
      <c r="AG214" s="27">
        <v>11</v>
      </c>
      <c r="AH214" s="39">
        <v>2031</v>
      </c>
      <c r="AI214" s="41" t="s">
        <v>163</v>
      </c>
      <c r="AJ214" s="27"/>
      <c r="AK214" s="44"/>
      <c r="AL214" s="45" t="s">
        <v>155</v>
      </c>
      <c r="AM214" s="39" t="s">
        <v>0</v>
      </c>
      <c r="AN214" s="39">
        <v>11</v>
      </c>
      <c r="AO214" s="39" t="s">
        <v>152</v>
      </c>
      <c r="AP214" s="27">
        <v>11</v>
      </c>
      <c r="AQ214" s="39">
        <v>2036</v>
      </c>
      <c r="AR214" s="27" t="s">
        <v>188</v>
      </c>
      <c r="AS214" s="27"/>
      <c r="AT214" s="44"/>
      <c r="AU214" s="45" t="s">
        <v>155</v>
      </c>
      <c r="AV214" s="39" t="s">
        <v>0</v>
      </c>
      <c r="AW214" s="39">
        <v>11</v>
      </c>
      <c r="AX214" s="39" t="s">
        <v>152</v>
      </c>
      <c r="AY214" s="27">
        <v>11</v>
      </c>
      <c r="AZ214" s="39" t="s">
        <v>104</v>
      </c>
      <c r="BA214" s="41" t="s">
        <v>164</v>
      </c>
      <c r="BB214" s="27"/>
      <c r="BC214" s="44"/>
      <c r="BD214" s="45" t="s">
        <v>155</v>
      </c>
      <c r="BE214" s="39" t="s">
        <v>0</v>
      </c>
      <c r="BF214" s="39">
        <v>11</v>
      </c>
      <c r="BG214" s="39" t="s">
        <v>152</v>
      </c>
      <c r="BH214" s="27">
        <v>11</v>
      </c>
      <c r="BI214" s="39">
        <v>1051</v>
      </c>
      <c r="BJ214" s="41" t="s">
        <v>183</v>
      </c>
      <c r="BK214" s="27"/>
      <c r="BL214" s="44"/>
      <c r="BM214" s="45" t="s">
        <v>155</v>
      </c>
      <c r="BN214" s="39" t="s">
        <v>0</v>
      </c>
      <c r="BO214" s="39">
        <v>11</v>
      </c>
      <c r="BP214" s="39" t="s">
        <v>152</v>
      </c>
      <c r="BQ214" s="27">
        <v>11</v>
      </c>
      <c r="BR214" s="39">
        <v>1016</v>
      </c>
      <c r="BS214" s="41" t="s">
        <v>168</v>
      </c>
      <c r="BT214" s="27"/>
      <c r="BU214" s="44"/>
      <c r="BV214" s="45" t="s">
        <v>155</v>
      </c>
      <c r="BW214" s="39" t="s">
        <v>0</v>
      </c>
      <c r="BX214" s="39">
        <v>11</v>
      </c>
      <c r="BY214" s="39" t="s">
        <v>152</v>
      </c>
      <c r="BZ214" s="27">
        <v>11</v>
      </c>
      <c r="CA214" s="39">
        <v>163</v>
      </c>
      <c r="CB214" s="27" t="s">
        <v>182</v>
      </c>
      <c r="CC214" s="27"/>
      <c r="CD214" s="44"/>
      <c r="CE214" s="45" t="s">
        <v>155</v>
      </c>
      <c r="CF214" s="39" t="s">
        <v>0</v>
      </c>
      <c r="CG214" s="39">
        <v>11</v>
      </c>
      <c r="CH214" s="39" t="s">
        <v>152</v>
      </c>
      <c r="CI214" s="27">
        <v>11</v>
      </c>
      <c r="CJ214" s="39">
        <v>1061</v>
      </c>
      <c r="CK214" s="41" t="s">
        <v>160</v>
      </c>
    </row>
    <row r="215" spans="1:89" ht="15.75" thickBot="1" x14ac:dyDescent="0.3">
      <c r="A215" s="52"/>
      <c r="B215" s="53" t="s">
        <v>155</v>
      </c>
      <c r="C215" s="54" t="s">
        <v>0</v>
      </c>
      <c r="D215" s="54">
        <v>12</v>
      </c>
      <c r="E215" s="54" t="s">
        <v>152</v>
      </c>
      <c r="F215" s="55">
        <v>12</v>
      </c>
      <c r="G215" s="39" t="s">
        <v>91</v>
      </c>
      <c r="H215" s="41" t="s">
        <v>186</v>
      </c>
      <c r="I215" s="27"/>
      <c r="J215" s="52"/>
      <c r="K215" s="53" t="s">
        <v>155</v>
      </c>
      <c r="L215" s="54" t="s">
        <v>0</v>
      </c>
      <c r="M215" s="54">
        <v>12</v>
      </c>
      <c r="N215" s="54" t="s">
        <v>152</v>
      </c>
      <c r="O215" s="55">
        <v>12</v>
      </c>
      <c r="P215" s="39">
        <v>1051</v>
      </c>
      <c r="Q215" s="41" t="s">
        <v>176</v>
      </c>
      <c r="R215" s="27"/>
      <c r="S215" s="52"/>
      <c r="T215" s="53" t="s">
        <v>155</v>
      </c>
      <c r="U215" s="54" t="s">
        <v>0</v>
      </c>
      <c r="V215" s="54">
        <v>12</v>
      </c>
      <c r="W215" s="54" t="s">
        <v>152</v>
      </c>
      <c r="X215" s="55">
        <v>12</v>
      </c>
      <c r="Y215" s="39">
        <v>1055</v>
      </c>
      <c r="Z215" s="41" t="s">
        <v>161</v>
      </c>
      <c r="AA215" s="27"/>
      <c r="AB215" s="52"/>
      <c r="AC215" s="53" t="s">
        <v>155</v>
      </c>
      <c r="AD215" s="54" t="s">
        <v>0</v>
      </c>
      <c r="AE215" s="54">
        <v>12</v>
      </c>
      <c r="AF215" s="54" t="s">
        <v>152</v>
      </c>
      <c r="AG215" s="55">
        <v>12</v>
      </c>
      <c r="AH215" s="39">
        <v>2031</v>
      </c>
      <c r="AI215" s="41" t="s">
        <v>171</v>
      </c>
      <c r="AJ215" s="27"/>
      <c r="AK215" s="52"/>
      <c r="AL215" s="53" t="s">
        <v>155</v>
      </c>
      <c r="AM215" s="54" t="s">
        <v>0</v>
      </c>
      <c r="AN215" s="54">
        <v>12</v>
      </c>
      <c r="AO215" s="54" t="s">
        <v>152</v>
      </c>
      <c r="AP215" s="55">
        <v>12</v>
      </c>
      <c r="AQ215" s="39">
        <v>2036</v>
      </c>
      <c r="AR215" s="27" t="s">
        <v>182</v>
      </c>
      <c r="AS215" s="27"/>
      <c r="AT215" s="52"/>
      <c r="AU215" s="53" t="s">
        <v>155</v>
      </c>
      <c r="AV215" s="54" t="s">
        <v>0</v>
      </c>
      <c r="AW215" s="54">
        <v>12</v>
      </c>
      <c r="AX215" s="54" t="s">
        <v>152</v>
      </c>
      <c r="AY215" s="55">
        <v>12</v>
      </c>
      <c r="AZ215" s="39" t="s">
        <v>104</v>
      </c>
      <c r="BA215" s="41" t="s">
        <v>172</v>
      </c>
      <c r="BB215" s="27"/>
      <c r="BC215" s="52"/>
      <c r="BD215" s="53" t="s">
        <v>155</v>
      </c>
      <c r="BE215" s="54" t="s">
        <v>0</v>
      </c>
      <c r="BF215" s="54">
        <v>12</v>
      </c>
      <c r="BG215" s="54" t="s">
        <v>152</v>
      </c>
      <c r="BH215" s="55">
        <v>12</v>
      </c>
      <c r="BI215" s="39">
        <v>1051</v>
      </c>
      <c r="BJ215" s="40" t="s">
        <v>186</v>
      </c>
      <c r="BK215" s="27"/>
      <c r="BL215" s="52"/>
      <c r="BM215" s="53" t="s">
        <v>155</v>
      </c>
      <c r="BN215" s="54" t="s">
        <v>0</v>
      </c>
      <c r="BO215" s="54">
        <v>12</v>
      </c>
      <c r="BP215" s="54" t="s">
        <v>152</v>
      </c>
      <c r="BQ215" s="55">
        <v>12</v>
      </c>
      <c r="BR215" s="39">
        <v>1016</v>
      </c>
      <c r="BS215" s="41" t="s">
        <v>176</v>
      </c>
      <c r="BT215" s="27"/>
      <c r="BU215" s="52"/>
      <c r="BV215" s="53" t="s">
        <v>155</v>
      </c>
      <c r="BW215" s="54" t="s">
        <v>0</v>
      </c>
      <c r="BX215" s="54">
        <v>12</v>
      </c>
      <c r="BY215" s="54" t="s">
        <v>152</v>
      </c>
      <c r="BZ215" s="55">
        <v>12</v>
      </c>
      <c r="CA215" s="39">
        <v>163</v>
      </c>
      <c r="CB215" s="27" t="s">
        <v>184</v>
      </c>
      <c r="CC215" s="27"/>
      <c r="CD215" s="52"/>
      <c r="CE215" s="53" t="s">
        <v>155</v>
      </c>
      <c r="CF215" s="54" t="s">
        <v>0</v>
      </c>
      <c r="CG215" s="54">
        <v>12</v>
      </c>
      <c r="CH215" s="54" t="s">
        <v>152</v>
      </c>
      <c r="CI215" s="55">
        <v>12</v>
      </c>
      <c r="CJ215" s="39"/>
      <c r="CK215" s="41" t="s">
        <v>168</v>
      </c>
    </row>
    <row r="216" spans="1:89" x14ac:dyDescent="0.25">
      <c r="A216" s="60"/>
      <c r="B216" s="36" t="s">
        <v>155</v>
      </c>
      <c r="C216" s="61" t="s">
        <v>9</v>
      </c>
      <c r="D216" s="61">
        <v>1</v>
      </c>
      <c r="E216" s="61" t="s">
        <v>152</v>
      </c>
      <c r="F216" s="62">
        <v>13</v>
      </c>
      <c r="G216" s="39" t="s">
        <v>91</v>
      </c>
      <c r="H216" s="41" t="s">
        <v>188</v>
      </c>
      <c r="I216" s="27"/>
      <c r="J216" s="60"/>
      <c r="K216" s="36" t="s">
        <v>155</v>
      </c>
      <c r="L216" s="61" t="s">
        <v>9</v>
      </c>
      <c r="M216" s="61">
        <v>1</v>
      </c>
      <c r="N216" s="61" t="s">
        <v>152</v>
      </c>
      <c r="O216" s="62">
        <v>13</v>
      </c>
      <c r="P216" s="39">
        <v>1051</v>
      </c>
      <c r="Q216" s="41" t="s">
        <v>164</v>
      </c>
      <c r="R216" s="27"/>
      <c r="S216" s="60"/>
      <c r="T216" s="36" t="s">
        <v>155</v>
      </c>
      <c r="U216" s="61" t="s">
        <v>9</v>
      </c>
      <c r="V216" s="61">
        <v>1</v>
      </c>
      <c r="W216" s="61" t="s">
        <v>152</v>
      </c>
      <c r="X216" s="62">
        <v>13</v>
      </c>
      <c r="Y216" s="39">
        <v>1055</v>
      </c>
      <c r="Z216" s="41" t="s">
        <v>169</v>
      </c>
      <c r="AA216" s="27"/>
      <c r="AB216" s="60"/>
      <c r="AC216" s="36" t="s">
        <v>155</v>
      </c>
      <c r="AD216" s="61" t="s">
        <v>9</v>
      </c>
      <c r="AE216" s="61">
        <v>1</v>
      </c>
      <c r="AF216" s="61" t="s">
        <v>152</v>
      </c>
      <c r="AG216" s="62">
        <v>13</v>
      </c>
      <c r="AH216" s="39">
        <v>2031</v>
      </c>
      <c r="AI216" s="46" t="s">
        <v>161</v>
      </c>
      <c r="AJ216" s="27"/>
      <c r="AK216" s="60"/>
      <c r="AL216" s="36" t="s">
        <v>155</v>
      </c>
      <c r="AM216" s="61" t="s">
        <v>9</v>
      </c>
      <c r="AN216" s="61">
        <v>1</v>
      </c>
      <c r="AO216" s="61" t="s">
        <v>152</v>
      </c>
      <c r="AP216" s="62">
        <v>13</v>
      </c>
      <c r="AQ216" s="39">
        <v>2036</v>
      </c>
      <c r="AR216" s="27" t="s">
        <v>184</v>
      </c>
      <c r="AS216" s="27"/>
      <c r="AT216" s="60"/>
      <c r="AU216" s="36" t="s">
        <v>155</v>
      </c>
      <c r="AV216" s="61" t="s">
        <v>9</v>
      </c>
      <c r="AW216" s="61">
        <v>1</v>
      </c>
      <c r="AX216" s="61" t="s">
        <v>152</v>
      </c>
      <c r="AY216" s="62">
        <v>13</v>
      </c>
      <c r="AZ216" s="39" t="s">
        <v>104</v>
      </c>
      <c r="BA216" s="46" t="s">
        <v>162</v>
      </c>
      <c r="BB216" s="27"/>
      <c r="BC216" s="60"/>
      <c r="BD216" s="36" t="s">
        <v>155</v>
      </c>
      <c r="BE216" s="61" t="s">
        <v>9</v>
      </c>
      <c r="BF216" s="61">
        <v>1</v>
      </c>
      <c r="BG216" s="61" t="s">
        <v>152</v>
      </c>
      <c r="BH216" s="62">
        <v>13</v>
      </c>
      <c r="BI216" s="39">
        <v>1051</v>
      </c>
      <c r="BJ216" s="41" t="s">
        <v>188</v>
      </c>
      <c r="BK216" s="27"/>
      <c r="BL216" s="60"/>
      <c r="BM216" s="36" t="s">
        <v>155</v>
      </c>
      <c r="BN216" s="61" t="s">
        <v>9</v>
      </c>
      <c r="BO216" s="61">
        <v>1</v>
      </c>
      <c r="BP216" s="61" t="s">
        <v>152</v>
      </c>
      <c r="BQ216" s="62">
        <v>13</v>
      </c>
      <c r="BR216" s="39">
        <v>1016</v>
      </c>
      <c r="BS216" s="41" t="s">
        <v>164</v>
      </c>
      <c r="BT216" s="27"/>
      <c r="BU216" s="60"/>
      <c r="BV216" s="36" t="s">
        <v>155</v>
      </c>
      <c r="BW216" s="61" t="s">
        <v>9</v>
      </c>
      <c r="BX216" s="61">
        <v>1</v>
      </c>
      <c r="BY216" s="61" t="s">
        <v>152</v>
      </c>
      <c r="BZ216" s="62">
        <v>13</v>
      </c>
      <c r="CA216" s="39">
        <v>163</v>
      </c>
      <c r="CB216" s="27" t="s">
        <v>187</v>
      </c>
      <c r="CC216" s="27"/>
      <c r="CD216" s="60"/>
      <c r="CE216" s="36" t="s">
        <v>155</v>
      </c>
      <c r="CF216" s="61" t="s">
        <v>9</v>
      </c>
      <c r="CG216" s="61">
        <v>1</v>
      </c>
      <c r="CH216" s="61" t="s">
        <v>152</v>
      </c>
      <c r="CI216" s="62">
        <v>13</v>
      </c>
      <c r="CJ216" s="39"/>
      <c r="CK216" s="41" t="s">
        <v>176</v>
      </c>
    </row>
    <row r="217" spans="1:89" x14ac:dyDescent="0.25">
      <c r="A217" s="44"/>
      <c r="B217" s="45" t="s">
        <v>155</v>
      </c>
      <c r="C217" s="39" t="s">
        <v>9</v>
      </c>
      <c r="D217" s="39">
        <v>2</v>
      </c>
      <c r="E217" s="39" t="s">
        <v>152</v>
      </c>
      <c r="F217" s="27">
        <v>14</v>
      </c>
      <c r="G217" s="39" t="s">
        <v>91</v>
      </c>
      <c r="H217" s="41" t="s">
        <v>182</v>
      </c>
      <c r="I217" s="27"/>
      <c r="J217" s="44"/>
      <c r="K217" s="45" t="s">
        <v>155</v>
      </c>
      <c r="L217" s="39" t="s">
        <v>9</v>
      </c>
      <c r="M217" s="39">
        <v>2</v>
      </c>
      <c r="N217" s="39" t="s">
        <v>152</v>
      </c>
      <c r="O217" s="27">
        <v>14</v>
      </c>
      <c r="P217" s="39">
        <v>1051</v>
      </c>
      <c r="Q217" s="41" t="s">
        <v>172</v>
      </c>
      <c r="R217" s="27"/>
      <c r="S217" s="44"/>
      <c r="T217" s="45" t="s">
        <v>155</v>
      </c>
      <c r="U217" s="39" t="s">
        <v>9</v>
      </c>
      <c r="V217" s="39">
        <v>2</v>
      </c>
      <c r="W217" s="39" t="s">
        <v>152</v>
      </c>
      <c r="X217" s="27">
        <v>14</v>
      </c>
      <c r="Y217" s="39">
        <v>1055</v>
      </c>
      <c r="Z217" s="41" t="s">
        <v>177</v>
      </c>
      <c r="AA217" s="27"/>
      <c r="AB217" s="44"/>
      <c r="AC217" s="45" t="s">
        <v>155</v>
      </c>
      <c r="AD217" s="39" t="s">
        <v>9</v>
      </c>
      <c r="AE217" s="39">
        <v>2</v>
      </c>
      <c r="AF217" s="39" t="s">
        <v>152</v>
      </c>
      <c r="AG217" s="27">
        <v>14</v>
      </c>
      <c r="AH217" s="39">
        <v>2031</v>
      </c>
      <c r="AI217" s="41" t="s">
        <v>169</v>
      </c>
      <c r="AJ217" s="27"/>
      <c r="AK217" s="44"/>
      <c r="AL217" s="45" t="s">
        <v>155</v>
      </c>
      <c r="AM217" s="39" t="s">
        <v>9</v>
      </c>
      <c r="AN217" s="39">
        <v>2</v>
      </c>
      <c r="AO217" s="39" t="s">
        <v>152</v>
      </c>
      <c r="AP217" s="27">
        <v>14</v>
      </c>
      <c r="AQ217" s="39">
        <v>2036</v>
      </c>
      <c r="AR217" s="27" t="s">
        <v>187</v>
      </c>
      <c r="AS217" s="27"/>
      <c r="AT217" s="44"/>
      <c r="AU217" s="45" t="s">
        <v>155</v>
      </c>
      <c r="AV217" s="39" t="s">
        <v>9</v>
      </c>
      <c r="AW217" s="39">
        <v>2</v>
      </c>
      <c r="AX217" s="39" t="s">
        <v>152</v>
      </c>
      <c r="AY217" s="27">
        <v>14</v>
      </c>
      <c r="AZ217" s="39" t="s">
        <v>104</v>
      </c>
      <c r="BA217" s="41" t="s">
        <v>170</v>
      </c>
      <c r="BB217" s="27"/>
      <c r="BC217" s="44"/>
      <c r="BD217" s="45" t="s">
        <v>155</v>
      </c>
      <c r="BE217" s="39" t="s">
        <v>9</v>
      </c>
      <c r="BF217" s="39">
        <v>2</v>
      </c>
      <c r="BG217" s="39" t="s">
        <v>152</v>
      </c>
      <c r="BH217" s="27">
        <v>14</v>
      </c>
      <c r="BI217" s="39">
        <v>1051</v>
      </c>
      <c r="BJ217" s="41" t="s">
        <v>182</v>
      </c>
      <c r="BK217" s="27"/>
      <c r="BL217" s="44"/>
      <c r="BM217" s="45" t="s">
        <v>155</v>
      </c>
      <c r="BN217" s="39" t="s">
        <v>9</v>
      </c>
      <c r="BO217" s="39">
        <v>2</v>
      </c>
      <c r="BP217" s="39" t="s">
        <v>152</v>
      </c>
      <c r="BQ217" s="27">
        <v>14</v>
      </c>
      <c r="BR217" s="39">
        <v>1016</v>
      </c>
      <c r="BS217" s="41" t="s">
        <v>172</v>
      </c>
      <c r="BT217" s="27"/>
      <c r="BU217" s="44"/>
      <c r="BV217" s="45" t="s">
        <v>155</v>
      </c>
      <c r="BW217" s="39" t="s">
        <v>9</v>
      </c>
      <c r="BX217" s="39">
        <v>2</v>
      </c>
      <c r="BY217" s="39" t="s">
        <v>152</v>
      </c>
      <c r="BZ217" s="27">
        <v>14</v>
      </c>
      <c r="CA217" s="39">
        <v>163</v>
      </c>
      <c r="CB217" s="27" t="s">
        <v>189</v>
      </c>
      <c r="CC217" s="27"/>
      <c r="CD217" s="44"/>
      <c r="CE217" s="45" t="s">
        <v>155</v>
      </c>
      <c r="CF217" s="39" t="s">
        <v>9</v>
      </c>
      <c r="CG217" s="39">
        <v>2</v>
      </c>
      <c r="CH217" s="39" t="s">
        <v>152</v>
      </c>
      <c r="CI217" s="27">
        <v>14</v>
      </c>
      <c r="CJ217" s="39"/>
      <c r="CK217" s="41" t="s">
        <v>164</v>
      </c>
    </row>
    <row r="218" spans="1:89" x14ac:dyDescent="0.25">
      <c r="A218" s="44"/>
      <c r="B218" s="45" t="s">
        <v>155</v>
      </c>
      <c r="C218" s="39" t="s">
        <v>9</v>
      </c>
      <c r="D218" s="39">
        <v>3</v>
      </c>
      <c r="E218" s="39" t="s">
        <v>152</v>
      </c>
      <c r="F218" s="27">
        <v>15</v>
      </c>
      <c r="G218" s="39" t="s">
        <v>91</v>
      </c>
      <c r="H218" s="41" t="s">
        <v>184</v>
      </c>
      <c r="I218" s="27"/>
      <c r="J218" s="44"/>
      <c r="K218" s="45" t="s">
        <v>155</v>
      </c>
      <c r="L218" s="39" t="s">
        <v>9</v>
      </c>
      <c r="M218" s="39">
        <v>3</v>
      </c>
      <c r="N218" s="39" t="s">
        <v>152</v>
      </c>
      <c r="O218" s="27">
        <v>15</v>
      </c>
      <c r="P218" s="39">
        <v>1051</v>
      </c>
      <c r="Q218" s="41" t="s">
        <v>162</v>
      </c>
      <c r="R218" s="27"/>
      <c r="S218" s="44"/>
      <c r="T218" s="45" t="s">
        <v>155</v>
      </c>
      <c r="U218" s="39" t="s">
        <v>9</v>
      </c>
      <c r="V218" s="39">
        <v>3</v>
      </c>
      <c r="W218" s="39" t="s">
        <v>152</v>
      </c>
      <c r="X218" s="27">
        <v>15</v>
      </c>
      <c r="Y218" s="39">
        <v>1055</v>
      </c>
      <c r="Z218" s="41" t="s">
        <v>180</v>
      </c>
      <c r="AA218" s="27"/>
      <c r="AB218" s="44"/>
      <c r="AC218" s="45" t="s">
        <v>155</v>
      </c>
      <c r="AD218" s="39" t="s">
        <v>9</v>
      </c>
      <c r="AE218" s="39">
        <v>3</v>
      </c>
      <c r="AF218" s="39" t="s">
        <v>152</v>
      </c>
      <c r="AG218" s="27">
        <v>15</v>
      </c>
      <c r="AH218" s="39">
        <v>2031</v>
      </c>
      <c r="AI218" s="41" t="s">
        <v>177</v>
      </c>
      <c r="AJ218" s="27"/>
      <c r="AK218" s="44"/>
      <c r="AL218" s="45" t="s">
        <v>155</v>
      </c>
      <c r="AM218" s="39" t="s">
        <v>9</v>
      </c>
      <c r="AN218" s="39">
        <v>3</v>
      </c>
      <c r="AO218" s="39" t="s">
        <v>152</v>
      </c>
      <c r="AP218" s="27">
        <v>15</v>
      </c>
      <c r="AQ218" s="39">
        <v>2036</v>
      </c>
      <c r="AR218" s="27" t="s">
        <v>189</v>
      </c>
      <c r="AS218" s="27"/>
      <c r="AT218" s="44"/>
      <c r="AU218" s="45" t="s">
        <v>155</v>
      </c>
      <c r="AV218" s="39" t="s">
        <v>9</v>
      </c>
      <c r="AW218" s="39">
        <v>3</v>
      </c>
      <c r="AX218" s="39" t="s">
        <v>152</v>
      </c>
      <c r="AY218" s="27">
        <v>15</v>
      </c>
      <c r="AZ218" s="39" t="s">
        <v>104</v>
      </c>
      <c r="BA218" s="41" t="s">
        <v>178</v>
      </c>
      <c r="BB218" s="27"/>
      <c r="BC218" s="44"/>
      <c r="BD218" s="45" t="s">
        <v>155</v>
      </c>
      <c r="BE218" s="39" t="s">
        <v>9</v>
      </c>
      <c r="BF218" s="39">
        <v>3</v>
      </c>
      <c r="BG218" s="39" t="s">
        <v>152</v>
      </c>
      <c r="BH218" s="27">
        <v>15</v>
      </c>
      <c r="BI218" s="39">
        <v>1051</v>
      </c>
      <c r="BJ218" s="41" t="s">
        <v>184</v>
      </c>
      <c r="BK218" s="27"/>
      <c r="BL218" s="44"/>
      <c r="BM218" s="45" t="s">
        <v>155</v>
      </c>
      <c r="BN218" s="39" t="s">
        <v>9</v>
      </c>
      <c r="BO218" s="39">
        <v>3</v>
      </c>
      <c r="BP218" s="39" t="s">
        <v>152</v>
      </c>
      <c r="BQ218" s="27">
        <v>15</v>
      </c>
      <c r="BR218" s="39">
        <v>1016</v>
      </c>
      <c r="BS218" s="41" t="s">
        <v>162</v>
      </c>
      <c r="BT218" s="27"/>
      <c r="BU218" s="44"/>
      <c r="BV218" s="45" t="s">
        <v>155</v>
      </c>
      <c r="BW218" s="39" t="s">
        <v>9</v>
      </c>
      <c r="BX218" s="39">
        <v>3</v>
      </c>
      <c r="BY218" s="39" t="s">
        <v>152</v>
      </c>
      <c r="BZ218" s="27">
        <v>15</v>
      </c>
      <c r="CA218" s="39">
        <v>1064</v>
      </c>
      <c r="CB218" s="41" t="s">
        <v>160</v>
      </c>
      <c r="CC218" s="27"/>
      <c r="CD218" s="44"/>
      <c r="CE218" s="45" t="s">
        <v>155</v>
      </c>
      <c r="CF218" s="39" t="s">
        <v>9</v>
      </c>
      <c r="CG218" s="39">
        <v>3</v>
      </c>
      <c r="CH218" s="39" t="s">
        <v>152</v>
      </c>
      <c r="CI218" s="27">
        <v>15</v>
      </c>
      <c r="CJ218" s="39"/>
      <c r="CK218" s="41" t="s">
        <v>172</v>
      </c>
    </row>
    <row r="219" spans="1:89" x14ac:dyDescent="0.25">
      <c r="A219" s="44"/>
      <c r="B219" s="45" t="s">
        <v>155</v>
      </c>
      <c r="C219" s="39" t="s">
        <v>9</v>
      </c>
      <c r="D219" s="39">
        <v>4</v>
      </c>
      <c r="E219" s="39" t="s">
        <v>152</v>
      </c>
      <c r="F219" s="27">
        <v>16</v>
      </c>
      <c r="G219" s="39" t="s">
        <v>91</v>
      </c>
      <c r="H219" s="41" t="s">
        <v>187</v>
      </c>
      <c r="I219" s="27"/>
      <c r="J219" s="44"/>
      <c r="K219" s="45" t="s">
        <v>155</v>
      </c>
      <c r="L219" s="39" t="s">
        <v>9</v>
      </c>
      <c r="M219" s="39">
        <v>4</v>
      </c>
      <c r="N219" s="39" t="s">
        <v>152</v>
      </c>
      <c r="O219" s="27">
        <v>16</v>
      </c>
      <c r="P219" s="39">
        <v>1051</v>
      </c>
      <c r="Q219" s="41" t="s">
        <v>170</v>
      </c>
      <c r="R219" s="27"/>
      <c r="S219" s="44"/>
      <c r="T219" s="45" t="s">
        <v>155</v>
      </c>
      <c r="U219" s="39" t="s">
        <v>9</v>
      </c>
      <c r="V219" s="39">
        <v>4</v>
      </c>
      <c r="W219" s="39" t="s">
        <v>152</v>
      </c>
      <c r="X219" s="27">
        <v>16</v>
      </c>
      <c r="Y219" s="39">
        <v>1055</v>
      </c>
      <c r="Z219" s="41" t="s">
        <v>181</v>
      </c>
      <c r="AA219" s="27"/>
      <c r="AB219" s="44"/>
      <c r="AC219" s="45" t="s">
        <v>155</v>
      </c>
      <c r="AD219" s="39" t="s">
        <v>9</v>
      </c>
      <c r="AE219" s="39">
        <v>4</v>
      </c>
      <c r="AF219" s="39" t="s">
        <v>152</v>
      </c>
      <c r="AG219" s="27">
        <v>16</v>
      </c>
      <c r="AH219" s="39">
        <v>2031</v>
      </c>
      <c r="AI219" s="41" t="s">
        <v>180</v>
      </c>
      <c r="AJ219" s="27"/>
      <c r="AK219" s="44"/>
      <c r="AL219" s="45" t="s">
        <v>155</v>
      </c>
      <c r="AM219" s="39" t="s">
        <v>9</v>
      </c>
      <c r="AN219" s="39">
        <v>4</v>
      </c>
      <c r="AO219" s="39" t="s">
        <v>152</v>
      </c>
      <c r="AP219" s="27">
        <v>16</v>
      </c>
      <c r="AQ219" s="39">
        <v>2037</v>
      </c>
      <c r="AR219" s="41" t="s">
        <v>160</v>
      </c>
      <c r="AS219" s="27"/>
      <c r="AT219" s="44"/>
      <c r="AU219" s="45" t="s">
        <v>155</v>
      </c>
      <c r="AV219" s="39" t="s">
        <v>9</v>
      </c>
      <c r="AW219" s="39">
        <v>4</v>
      </c>
      <c r="AX219" s="39" t="s">
        <v>152</v>
      </c>
      <c r="AY219" s="27">
        <v>16</v>
      </c>
      <c r="AZ219" s="39" t="s">
        <v>104</v>
      </c>
      <c r="BA219" s="41" t="s">
        <v>163</v>
      </c>
      <c r="BB219" s="27"/>
      <c r="BC219" s="44"/>
      <c r="BD219" s="45" t="s">
        <v>155</v>
      </c>
      <c r="BE219" s="39" t="s">
        <v>9</v>
      </c>
      <c r="BF219" s="39">
        <v>4</v>
      </c>
      <c r="BG219" s="39" t="s">
        <v>152</v>
      </c>
      <c r="BH219" s="27">
        <v>16</v>
      </c>
      <c r="BI219" s="39">
        <v>1051</v>
      </c>
      <c r="BJ219" s="41" t="s">
        <v>187</v>
      </c>
      <c r="BK219" s="27"/>
      <c r="BL219" s="44"/>
      <c r="BM219" s="45" t="s">
        <v>155</v>
      </c>
      <c r="BN219" s="39" t="s">
        <v>9</v>
      </c>
      <c r="BO219" s="39">
        <v>4</v>
      </c>
      <c r="BP219" s="39" t="s">
        <v>152</v>
      </c>
      <c r="BQ219" s="27">
        <v>16</v>
      </c>
      <c r="BR219" s="39">
        <v>1016</v>
      </c>
      <c r="BS219" s="41" t="s">
        <v>170</v>
      </c>
      <c r="BT219" s="27"/>
      <c r="BU219" s="44"/>
      <c r="BV219" s="45" t="s">
        <v>155</v>
      </c>
      <c r="BW219" s="39" t="s">
        <v>9</v>
      </c>
      <c r="BX219" s="39">
        <v>4</v>
      </c>
      <c r="BY219" s="39" t="s">
        <v>152</v>
      </c>
      <c r="BZ219" s="27">
        <v>16</v>
      </c>
      <c r="CA219" s="39">
        <v>1064</v>
      </c>
      <c r="CB219" s="41" t="s">
        <v>168</v>
      </c>
      <c r="CC219" s="27"/>
      <c r="CD219" s="44"/>
      <c r="CE219" s="45" t="s">
        <v>155</v>
      </c>
      <c r="CF219" s="39" t="s">
        <v>9</v>
      </c>
      <c r="CG219" s="39">
        <v>4</v>
      </c>
      <c r="CH219" s="39" t="s">
        <v>152</v>
      </c>
      <c r="CI219" s="27">
        <v>16</v>
      </c>
      <c r="CJ219" s="39"/>
      <c r="CK219" s="41" t="s">
        <v>162</v>
      </c>
    </row>
    <row r="220" spans="1:89" ht="15.75" thickBot="1" x14ac:dyDescent="0.3">
      <c r="A220" s="44"/>
      <c r="B220" s="45" t="s">
        <v>155</v>
      </c>
      <c r="C220" s="39" t="s">
        <v>9</v>
      </c>
      <c r="D220" s="39">
        <v>5</v>
      </c>
      <c r="E220" s="39" t="s">
        <v>152</v>
      </c>
      <c r="F220" s="27">
        <v>17</v>
      </c>
      <c r="G220" s="39" t="s">
        <v>91</v>
      </c>
      <c r="H220" s="41" t="s">
        <v>189</v>
      </c>
      <c r="I220" s="27"/>
      <c r="J220" s="44"/>
      <c r="K220" s="45" t="s">
        <v>155</v>
      </c>
      <c r="L220" s="39" t="s">
        <v>9</v>
      </c>
      <c r="M220" s="39">
        <v>5</v>
      </c>
      <c r="N220" s="39" t="s">
        <v>152</v>
      </c>
      <c r="O220" s="27">
        <v>17</v>
      </c>
      <c r="P220" s="39">
        <v>1051</v>
      </c>
      <c r="Q220" s="41" t="s">
        <v>178</v>
      </c>
      <c r="R220" s="27"/>
      <c r="S220" s="44"/>
      <c r="T220" s="45" t="s">
        <v>155</v>
      </c>
      <c r="U220" s="39" t="s">
        <v>9</v>
      </c>
      <c r="V220" s="39">
        <v>5</v>
      </c>
      <c r="W220" s="39" t="s">
        <v>152</v>
      </c>
      <c r="X220" s="27">
        <v>17</v>
      </c>
      <c r="Y220" s="39">
        <v>1055</v>
      </c>
      <c r="Z220" s="41" t="s">
        <v>183</v>
      </c>
      <c r="AA220" s="27"/>
      <c r="AB220" s="44"/>
      <c r="AC220" s="45" t="s">
        <v>155</v>
      </c>
      <c r="AD220" s="39" t="s">
        <v>9</v>
      </c>
      <c r="AE220" s="39">
        <v>5</v>
      </c>
      <c r="AF220" s="39" t="s">
        <v>152</v>
      </c>
      <c r="AG220" s="27">
        <v>17</v>
      </c>
      <c r="AH220" s="39">
        <v>2031</v>
      </c>
      <c r="AI220" s="41" t="s">
        <v>181</v>
      </c>
      <c r="AJ220" s="27"/>
      <c r="AK220" s="44"/>
      <c r="AL220" s="45" t="s">
        <v>155</v>
      </c>
      <c r="AM220" s="39" t="s">
        <v>9</v>
      </c>
      <c r="AN220" s="39">
        <v>5</v>
      </c>
      <c r="AO220" s="39" t="s">
        <v>152</v>
      </c>
      <c r="AP220" s="27">
        <v>17</v>
      </c>
      <c r="AQ220" s="39">
        <v>2037</v>
      </c>
      <c r="AR220" s="41" t="s">
        <v>168</v>
      </c>
      <c r="AS220" s="27"/>
      <c r="AT220" s="44"/>
      <c r="AU220" s="45" t="s">
        <v>155</v>
      </c>
      <c r="AV220" s="39" t="s">
        <v>9</v>
      </c>
      <c r="AW220" s="39">
        <v>5</v>
      </c>
      <c r="AX220" s="39" t="s">
        <v>152</v>
      </c>
      <c r="AY220" s="27">
        <v>17</v>
      </c>
      <c r="AZ220" s="39" t="s">
        <v>104</v>
      </c>
      <c r="BA220" s="41" t="s">
        <v>171</v>
      </c>
      <c r="BB220" s="27"/>
      <c r="BC220" s="44"/>
      <c r="BD220" s="45" t="s">
        <v>155</v>
      </c>
      <c r="BE220" s="39" t="s">
        <v>9</v>
      </c>
      <c r="BF220" s="39">
        <v>5</v>
      </c>
      <c r="BG220" s="39" t="s">
        <v>152</v>
      </c>
      <c r="BH220" s="27">
        <v>17</v>
      </c>
      <c r="BI220" s="39">
        <v>1051</v>
      </c>
      <c r="BJ220" s="41" t="s">
        <v>189</v>
      </c>
      <c r="BK220" s="27"/>
      <c r="BL220" s="44"/>
      <c r="BM220" s="45" t="s">
        <v>155</v>
      </c>
      <c r="BN220" s="39" t="s">
        <v>9</v>
      </c>
      <c r="BO220" s="39">
        <v>5</v>
      </c>
      <c r="BP220" s="39" t="s">
        <v>152</v>
      </c>
      <c r="BQ220" s="27">
        <v>17</v>
      </c>
      <c r="BR220" s="39">
        <v>1016</v>
      </c>
      <c r="BS220" s="41" t="s">
        <v>178</v>
      </c>
      <c r="BT220" s="27"/>
      <c r="BU220" s="44"/>
      <c r="BV220" s="45" t="s">
        <v>155</v>
      </c>
      <c r="BW220" s="39" t="s">
        <v>9</v>
      </c>
      <c r="BX220" s="39">
        <v>5</v>
      </c>
      <c r="BY220" s="39" t="s">
        <v>152</v>
      </c>
      <c r="BZ220" s="27">
        <v>17</v>
      </c>
      <c r="CA220" s="39">
        <v>1064</v>
      </c>
      <c r="CB220" s="41" t="s">
        <v>176</v>
      </c>
      <c r="CC220" s="27"/>
      <c r="CD220" s="44"/>
      <c r="CE220" s="45" t="s">
        <v>155</v>
      </c>
      <c r="CF220" s="39" t="s">
        <v>9</v>
      </c>
      <c r="CG220" s="39">
        <v>5</v>
      </c>
      <c r="CH220" s="39" t="s">
        <v>152</v>
      </c>
      <c r="CI220" s="27">
        <v>17</v>
      </c>
      <c r="CJ220" s="39"/>
      <c r="CK220" s="41" t="s">
        <v>170</v>
      </c>
    </row>
    <row r="221" spans="1:89" x14ac:dyDescent="0.25">
      <c r="A221" s="44"/>
      <c r="B221" s="45" t="s">
        <v>155</v>
      </c>
      <c r="C221" s="39" t="s">
        <v>9</v>
      </c>
      <c r="D221" s="39">
        <v>6</v>
      </c>
      <c r="E221" s="39" t="s">
        <v>152</v>
      </c>
      <c r="F221" s="27">
        <v>18</v>
      </c>
      <c r="G221" s="39">
        <v>2015</v>
      </c>
      <c r="H221" s="41" t="s">
        <v>160</v>
      </c>
      <c r="I221" s="27"/>
      <c r="J221" s="44"/>
      <c r="K221" s="45" t="s">
        <v>155</v>
      </c>
      <c r="L221" s="39" t="s">
        <v>9</v>
      </c>
      <c r="M221" s="39">
        <v>6</v>
      </c>
      <c r="N221" s="39" t="s">
        <v>152</v>
      </c>
      <c r="O221" s="27">
        <v>18</v>
      </c>
      <c r="P221" s="39">
        <v>1051</v>
      </c>
      <c r="Q221" s="40" t="s">
        <v>163</v>
      </c>
      <c r="R221" s="27"/>
      <c r="S221" s="44"/>
      <c r="T221" s="45" t="s">
        <v>155</v>
      </c>
      <c r="U221" s="39" t="s">
        <v>9</v>
      </c>
      <c r="V221" s="39">
        <v>6</v>
      </c>
      <c r="W221" s="39" t="s">
        <v>152</v>
      </c>
      <c r="X221" s="27">
        <v>18</v>
      </c>
      <c r="Y221" s="39">
        <v>1055</v>
      </c>
      <c r="Z221" s="41" t="s">
        <v>186</v>
      </c>
      <c r="AA221" s="27"/>
      <c r="AB221" s="44"/>
      <c r="AC221" s="45" t="s">
        <v>155</v>
      </c>
      <c r="AD221" s="39" t="s">
        <v>9</v>
      </c>
      <c r="AE221" s="39">
        <v>6</v>
      </c>
      <c r="AF221" s="39" t="s">
        <v>152</v>
      </c>
      <c r="AG221" s="27">
        <v>18</v>
      </c>
      <c r="AH221" s="39">
        <v>2031</v>
      </c>
      <c r="AI221" s="41" t="s">
        <v>183</v>
      </c>
      <c r="AJ221" s="27"/>
      <c r="AK221" s="44"/>
      <c r="AL221" s="45" t="s">
        <v>155</v>
      </c>
      <c r="AM221" s="39" t="s">
        <v>9</v>
      </c>
      <c r="AN221" s="39">
        <v>6</v>
      </c>
      <c r="AO221" s="39" t="s">
        <v>152</v>
      </c>
      <c r="AP221" s="27">
        <v>18</v>
      </c>
      <c r="AQ221" s="39">
        <v>2037</v>
      </c>
      <c r="AR221" s="41" t="s">
        <v>176</v>
      </c>
      <c r="AS221" s="27"/>
      <c r="AT221" s="44"/>
      <c r="AU221" s="45" t="s">
        <v>155</v>
      </c>
      <c r="AV221" s="39" t="s">
        <v>9</v>
      </c>
      <c r="AW221" s="39">
        <v>6</v>
      </c>
      <c r="AX221" s="39" t="s">
        <v>152</v>
      </c>
      <c r="AY221" s="27">
        <v>18</v>
      </c>
      <c r="AZ221" s="39" t="s">
        <v>104</v>
      </c>
      <c r="BA221" s="41" t="s">
        <v>161</v>
      </c>
      <c r="BB221" s="27"/>
      <c r="BC221" s="44"/>
      <c r="BD221" s="45" t="s">
        <v>155</v>
      </c>
      <c r="BE221" s="39" t="s">
        <v>9</v>
      </c>
      <c r="BF221" s="39">
        <v>6</v>
      </c>
      <c r="BG221" s="39" t="s">
        <v>152</v>
      </c>
      <c r="BH221" s="27">
        <v>18</v>
      </c>
      <c r="BI221" s="39">
        <v>1015</v>
      </c>
      <c r="BJ221" s="41" t="s">
        <v>160</v>
      </c>
      <c r="BK221" s="27"/>
      <c r="BL221" s="44"/>
      <c r="BM221" s="45" t="s">
        <v>155</v>
      </c>
      <c r="BN221" s="39" t="s">
        <v>9</v>
      </c>
      <c r="BO221" s="39">
        <v>6</v>
      </c>
      <c r="BP221" s="39" t="s">
        <v>152</v>
      </c>
      <c r="BQ221" s="27">
        <v>18</v>
      </c>
      <c r="BR221" s="39">
        <v>1016</v>
      </c>
      <c r="BS221" s="41" t="s">
        <v>163</v>
      </c>
      <c r="BT221" s="27"/>
      <c r="BU221" s="44"/>
      <c r="BV221" s="45" t="s">
        <v>155</v>
      </c>
      <c r="BW221" s="39" t="s">
        <v>9</v>
      </c>
      <c r="BX221" s="39">
        <v>6</v>
      </c>
      <c r="BY221" s="39" t="s">
        <v>152</v>
      </c>
      <c r="BZ221" s="27">
        <v>18</v>
      </c>
      <c r="CA221" s="39">
        <v>1064</v>
      </c>
      <c r="CB221" s="41" t="s">
        <v>164</v>
      </c>
      <c r="CC221" s="27"/>
      <c r="CD221" s="44"/>
      <c r="CE221" s="45" t="s">
        <v>155</v>
      </c>
      <c r="CF221" s="39" t="s">
        <v>9</v>
      </c>
      <c r="CG221" s="39">
        <v>6</v>
      </c>
      <c r="CH221" s="39" t="s">
        <v>152</v>
      </c>
      <c r="CI221" s="27">
        <v>18</v>
      </c>
      <c r="CJ221" s="39"/>
      <c r="CK221" s="41" t="s">
        <v>178</v>
      </c>
    </row>
    <row r="222" spans="1:89" x14ac:dyDescent="0.25">
      <c r="A222" s="44"/>
      <c r="B222" s="45" t="s">
        <v>155</v>
      </c>
      <c r="C222" s="39" t="s">
        <v>9</v>
      </c>
      <c r="D222" s="39">
        <v>7</v>
      </c>
      <c r="E222" s="39" t="s">
        <v>152</v>
      </c>
      <c r="F222" s="27">
        <v>19</v>
      </c>
      <c r="G222" s="39">
        <v>2015</v>
      </c>
      <c r="H222" s="41" t="s">
        <v>168</v>
      </c>
      <c r="I222" s="27"/>
      <c r="J222" s="44"/>
      <c r="K222" s="45" t="s">
        <v>155</v>
      </c>
      <c r="L222" s="39" t="s">
        <v>9</v>
      </c>
      <c r="M222" s="39">
        <v>7</v>
      </c>
      <c r="N222" s="39" t="s">
        <v>152</v>
      </c>
      <c r="O222" s="27">
        <v>19</v>
      </c>
      <c r="P222" s="39">
        <v>1051</v>
      </c>
      <c r="Q222" s="41" t="s">
        <v>171</v>
      </c>
      <c r="R222" s="27"/>
      <c r="S222" s="44"/>
      <c r="T222" s="45" t="s">
        <v>155</v>
      </c>
      <c r="U222" s="39" t="s">
        <v>9</v>
      </c>
      <c r="V222" s="39">
        <v>7</v>
      </c>
      <c r="W222" s="39" t="s">
        <v>152</v>
      </c>
      <c r="X222" s="27">
        <v>19</v>
      </c>
      <c r="Y222" s="39">
        <v>1055</v>
      </c>
      <c r="Z222" s="41" t="s">
        <v>188</v>
      </c>
      <c r="AA222" s="27"/>
      <c r="AB222" s="44"/>
      <c r="AC222" s="45" t="s">
        <v>155</v>
      </c>
      <c r="AD222" s="39" t="s">
        <v>9</v>
      </c>
      <c r="AE222" s="39">
        <v>7</v>
      </c>
      <c r="AF222" s="39" t="s">
        <v>152</v>
      </c>
      <c r="AG222" s="27">
        <v>19</v>
      </c>
      <c r="AH222" s="39">
        <v>2031</v>
      </c>
      <c r="AI222" s="41" t="s">
        <v>186</v>
      </c>
      <c r="AJ222" s="27"/>
      <c r="AK222" s="44"/>
      <c r="AL222" s="45" t="s">
        <v>155</v>
      </c>
      <c r="AM222" s="39" t="s">
        <v>9</v>
      </c>
      <c r="AN222" s="39">
        <v>7</v>
      </c>
      <c r="AO222" s="39" t="s">
        <v>152</v>
      </c>
      <c r="AP222" s="27">
        <v>19</v>
      </c>
      <c r="AQ222" s="39">
        <v>2037</v>
      </c>
      <c r="AR222" s="41" t="s">
        <v>164</v>
      </c>
      <c r="AS222" s="27"/>
      <c r="AT222" s="44"/>
      <c r="AU222" s="45" t="s">
        <v>155</v>
      </c>
      <c r="AV222" s="39" t="s">
        <v>9</v>
      </c>
      <c r="AW222" s="39">
        <v>7</v>
      </c>
      <c r="AX222" s="39" t="s">
        <v>152</v>
      </c>
      <c r="AY222" s="27">
        <v>19</v>
      </c>
      <c r="AZ222" s="39" t="s">
        <v>104</v>
      </c>
      <c r="BA222" s="41" t="s">
        <v>169</v>
      </c>
      <c r="BB222" s="27"/>
      <c r="BC222" s="44"/>
      <c r="BD222" s="45" t="s">
        <v>155</v>
      </c>
      <c r="BE222" s="39" t="s">
        <v>9</v>
      </c>
      <c r="BF222" s="39">
        <v>7</v>
      </c>
      <c r="BG222" s="39" t="s">
        <v>152</v>
      </c>
      <c r="BH222" s="27">
        <v>19</v>
      </c>
      <c r="BI222" s="39">
        <v>1015</v>
      </c>
      <c r="BJ222" s="41" t="s">
        <v>168</v>
      </c>
      <c r="BK222" s="27"/>
      <c r="BL222" s="44"/>
      <c r="BM222" s="45" t="s">
        <v>155</v>
      </c>
      <c r="BN222" s="39" t="s">
        <v>9</v>
      </c>
      <c r="BO222" s="39">
        <v>7</v>
      </c>
      <c r="BP222" s="39" t="s">
        <v>152</v>
      </c>
      <c r="BQ222" s="27">
        <v>19</v>
      </c>
      <c r="BR222" s="39">
        <v>1016</v>
      </c>
      <c r="BS222" s="41" t="s">
        <v>171</v>
      </c>
      <c r="BT222" s="27"/>
      <c r="BU222" s="44"/>
      <c r="BV222" s="45" t="s">
        <v>155</v>
      </c>
      <c r="BW222" s="39" t="s">
        <v>9</v>
      </c>
      <c r="BX222" s="39">
        <v>7</v>
      </c>
      <c r="BY222" s="39" t="s">
        <v>152</v>
      </c>
      <c r="BZ222" s="27">
        <v>19</v>
      </c>
      <c r="CA222" s="39">
        <v>1064</v>
      </c>
      <c r="CB222" s="41" t="s">
        <v>172</v>
      </c>
      <c r="CC222" s="27"/>
      <c r="CD222" s="44"/>
      <c r="CE222" s="45" t="s">
        <v>155</v>
      </c>
      <c r="CF222" s="39" t="s">
        <v>9</v>
      </c>
      <c r="CG222" s="39">
        <v>7</v>
      </c>
      <c r="CH222" s="39" t="s">
        <v>152</v>
      </c>
      <c r="CI222" s="27">
        <v>19</v>
      </c>
      <c r="CJ222" s="39"/>
      <c r="CK222" s="41" t="s">
        <v>163</v>
      </c>
    </row>
    <row r="223" spans="1:89" x14ac:dyDescent="0.25">
      <c r="A223" s="44"/>
      <c r="B223" s="45" t="s">
        <v>155</v>
      </c>
      <c r="C223" s="39" t="s">
        <v>9</v>
      </c>
      <c r="D223" s="39">
        <v>8</v>
      </c>
      <c r="E223" s="39" t="s">
        <v>152</v>
      </c>
      <c r="F223" s="27">
        <v>20</v>
      </c>
      <c r="G223" s="39">
        <v>2015</v>
      </c>
      <c r="H223" s="41" t="s">
        <v>176</v>
      </c>
      <c r="I223" s="27"/>
      <c r="J223" s="44"/>
      <c r="K223" s="45" t="s">
        <v>155</v>
      </c>
      <c r="L223" s="39" t="s">
        <v>9</v>
      </c>
      <c r="M223" s="39">
        <v>8</v>
      </c>
      <c r="N223" s="39" t="s">
        <v>152</v>
      </c>
      <c r="O223" s="27">
        <v>20</v>
      </c>
      <c r="P223" s="39">
        <v>1051</v>
      </c>
      <c r="Q223" s="41" t="s">
        <v>161</v>
      </c>
      <c r="R223" s="27"/>
      <c r="S223" s="44"/>
      <c r="T223" s="45" t="s">
        <v>155</v>
      </c>
      <c r="U223" s="39" t="s">
        <v>9</v>
      </c>
      <c r="V223" s="39">
        <v>8</v>
      </c>
      <c r="W223" s="39" t="s">
        <v>152</v>
      </c>
      <c r="X223" s="27">
        <v>20</v>
      </c>
      <c r="Y223" s="39">
        <v>1055</v>
      </c>
      <c r="Z223" s="41" t="s">
        <v>182</v>
      </c>
      <c r="AA223" s="27"/>
      <c r="AB223" s="44"/>
      <c r="AC223" s="45" t="s">
        <v>155</v>
      </c>
      <c r="AD223" s="39" t="s">
        <v>9</v>
      </c>
      <c r="AE223" s="39">
        <v>8</v>
      </c>
      <c r="AF223" s="39" t="s">
        <v>152</v>
      </c>
      <c r="AG223" s="27">
        <v>20</v>
      </c>
      <c r="AH223" s="39">
        <v>2031</v>
      </c>
      <c r="AI223" s="41" t="s">
        <v>188</v>
      </c>
      <c r="AJ223" s="27"/>
      <c r="AK223" s="44"/>
      <c r="AL223" s="45" t="s">
        <v>155</v>
      </c>
      <c r="AM223" s="39" t="s">
        <v>9</v>
      </c>
      <c r="AN223" s="39">
        <v>8</v>
      </c>
      <c r="AO223" s="39" t="s">
        <v>152</v>
      </c>
      <c r="AP223" s="27">
        <v>20</v>
      </c>
      <c r="AQ223" s="39">
        <v>2037</v>
      </c>
      <c r="AR223" s="41" t="s">
        <v>172</v>
      </c>
      <c r="AS223" s="27"/>
      <c r="AT223" s="44"/>
      <c r="AU223" s="45" t="s">
        <v>155</v>
      </c>
      <c r="AV223" s="39" t="s">
        <v>9</v>
      </c>
      <c r="AW223" s="39">
        <v>8</v>
      </c>
      <c r="AX223" s="39" t="s">
        <v>152</v>
      </c>
      <c r="AY223" s="27">
        <v>20</v>
      </c>
      <c r="AZ223" s="39" t="s">
        <v>104</v>
      </c>
      <c r="BA223" s="41" t="s">
        <v>177</v>
      </c>
      <c r="BB223" s="27"/>
      <c r="BC223" s="44"/>
      <c r="BD223" s="45" t="s">
        <v>155</v>
      </c>
      <c r="BE223" s="39" t="s">
        <v>9</v>
      </c>
      <c r="BF223" s="39">
        <v>8</v>
      </c>
      <c r="BG223" s="39" t="s">
        <v>152</v>
      </c>
      <c r="BH223" s="27">
        <v>20</v>
      </c>
      <c r="BI223" s="39">
        <v>1015</v>
      </c>
      <c r="BJ223" s="41" t="s">
        <v>176</v>
      </c>
      <c r="BK223" s="27"/>
      <c r="BL223" s="44"/>
      <c r="BM223" s="45" t="s">
        <v>155</v>
      </c>
      <c r="BN223" s="39" t="s">
        <v>9</v>
      </c>
      <c r="BO223" s="39">
        <v>8</v>
      </c>
      <c r="BP223" s="39" t="s">
        <v>152</v>
      </c>
      <c r="BQ223" s="27">
        <v>20</v>
      </c>
      <c r="BR223" s="39">
        <v>1016</v>
      </c>
      <c r="BS223" s="41" t="s">
        <v>161</v>
      </c>
      <c r="BT223" s="27"/>
      <c r="BU223" s="44"/>
      <c r="BV223" s="45" t="s">
        <v>155</v>
      </c>
      <c r="BW223" s="39" t="s">
        <v>9</v>
      </c>
      <c r="BX223" s="39">
        <v>8</v>
      </c>
      <c r="BY223" s="39" t="s">
        <v>152</v>
      </c>
      <c r="BZ223" s="27">
        <v>20</v>
      </c>
      <c r="CA223" s="39">
        <v>1064</v>
      </c>
      <c r="CB223" s="41" t="s">
        <v>162</v>
      </c>
      <c r="CC223" s="27"/>
      <c r="CD223" s="44"/>
      <c r="CE223" s="45" t="s">
        <v>155</v>
      </c>
      <c r="CF223" s="39" t="s">
        <v>9</v>
      </c>
      <c r="CG223" s="39">
        <v>8</v>
      </c>
      <c r="CH223" s="39" t="s">
        <v>152</v>
      </c>
      <c r="CI223" s="27">
        <v>20</v>
      </c>
      <c r="CJ223" s="39"/>
      <c r="CK223" s="41" t="s">
        <v>171</v>
      </c>
    </row>
    <row r="224" spans="1:89" x14ac:dyDescent="0.25">
      <c r="A224" s="44"/>
      <c r="B224" s="45" t="s">
        <v>155</v>
      </c>
      <c r="C224" s="39" t="s">
        <v>9</v>
      </c>
      <c r="D224" s="39">
        <v>9</v>
      </c>
      <c r="E224" s="39" t="s">
        <v>152</v>
      </c>
      <c r="F224" s="27">
        <v>21</v>
      </c>
      <c r="G224" s="39">
        <v>2015</v>
      </c>
      <c r="H224" s="41" t="s">
        <v>164</v>
      </c>
      <c r="I224" s="27"/>
      <c r="J224" s="44"/>
      <c r="K224" s="45" t="s">
        <v>155</v>
      </c>
      <c r="L224" s="39" t="s">
        <v>9</v>
      </c>
      <c r="M224" s="39">
        <v>9</v>
      </c>
      <c r="N224" s="39" t="s">
        <v>152</v>
      </c>
      <c r="O224" s="27">
        <v>21</v>
      </c>
      <c r="P224" s="39">
        <v>1051</v>
      </c>
      <c r="Q224" s="41" t="s">
        <v>169</v>
      </c>
      <c r="R224" s="27"/>
      <c r="S224" s="44"/>
      <c r="T224" s="45" t="s">
        <v>155</v>
      </c>
      <c r="U224" s="39" t="s">
        <v>9</v>
      </c>
      <c r="V224" s="39">
        <v>9</v>
      </c>
      <c r="W224" s="39" t="s">
        <v>152</v>
      </c>
      <c r="X224" s="27">
        <v>21</v>
      </c>
      <c r="Y224" s="39">
        <v>1055</v>
      </c>
      <c r="Z224" s="46" t="s">
        <v>184</v>
      </c>
      <c r="AA224" s="27"/>
      <c r="AB224" s="44"/>
      <c r="AC224" s="45" t="s">
        <v>155</v>
      </c>
      <c r="AD224" s="39" t="s">
        <v>9</v>
      </c>
      <c r="AE224" s="39">
        <v>9</v>
      </c>
      <c r="AF224" s="39" t="s">
        <v>152</v>
      </c>
      <c r="AG224" s="27">
        <v>21</v>
      </c>
      <c r="AH224" s="39">
        <v>2031</v>
      </c>
      <c r="AI224" s="41" t="s">
        <v>182</v>
      </c>
      <c r="AJ224" s="27"/>
      <c r="AK224" s="44"/>
      <c r="AL224" s="45" t="s">
        <v>155</v>
      </c>
      <c r="AM224" s="39" t="s">
        <v>9</v>
      </c>
      <c r="AN224" s="39">
        <v>9</v>
      </c>
      <c r="AO224" s="39" t="s">
        <v>152</v>
      </c>
      <c r="AP224" s="27">
        <v>21</v>
      </c>
      <c r="AQ224" s="39">
        <v>2037</v>
      </c>
      <c r="AR224" s="46" t="s">
        <v>162</v>
      </c>
      <c r="AS224" s="27"/>
      <c r="AT224" s="44"/>
      <c r="AU224" s="45" t="s">
        <v>155</v>
      </c>
      <c r="AV224" s="39" t="s">
        <v>9</v>
      </c>
      <c r="AW224" s="39">
        <v>9</v>
      </c>
      <c r="AX224" s="39" t="s">
        <v>152</v>
      </c>
      <c r="AY224" s="27">
        <v>21</v>
      </c>
      <c r="AZ224" s="39" t="s">
        <v>104</v>
      </c>
      <c r="BA224" s="41" t="s">
        <v>180</v>
      </c>
      <c r="BB224" s="27"/>
      <c r="BC224" s="44"/>
      <c r="BD224" s="45" t="s">
        <v>155</v>
      </c>
      <c r="BE224" s="39" t="s">
        <v>9</v>
      </c>
      <c r="BF224" s="39">
        <v>9</v>
      </c>
      <c r="BG224" s="39" t="s">
        <v>152</v>
      </c>
      <c r="BH224" s="27">
        <v>21</v>
      </c>
      <c r="BI224" s="39">
        <v>1015</v>
      </c>
      <c r="BJ224" s="41" t="s">
        <v>164</v>
      </c>
      <c r="BK224" s="27"/>
      <c r="BL224" s="44"/>
      <c r="BM224" s="45" t="s">
        <v>155</v>
      </c>
      <c r="BN224" s="39" t="s">
        <v>9</v>
      </c>
      <c r="BO224" s="39">
        <v>9</v>
      </c>
      <c r="BP224" s="39" t="s">
        <v>152</v>
      </c>
      <c r="BQ224" s="27">
        <v>21</v>
      </c>
      <c r="BR224" s="39">
        <v>1016</v>
      </c>
      <c r="BS224" s="46" t="s">
        <v>169</v>
      </c>
      <c r="BT224" s="27"/>
      <c r="BU224" s="44"/>
      <c r="BV224" s="45" t="s">
        <v>155</v>
      </c>
      <c r="BW224" s="39" t="s">
        <v>9</v>
      </c>
      <c r="BX224" s="39">
        <v>9</v>
      </c>
      <c r="BY224" s="39" t="s">
        <v>152</v>
      </c>
      <c r="BZ224" s="27">
        <v>21</v>
      </c>
      <c r="CA224" s="39">
        <v>1064</v>
      </c>
      <c r="CB224" s="46" t="s">
        <v>170</v>
      </c>
      <c r="CC224" s="27"/>
      <c r="CD224" s="44"/>
      <c r="CE224" s="45" t="s">
        <v>155</v>
      </c>
      <c r="CF224" s="39" t="s">
        <v>9</v>
      </c>
      <c r="CG224" s="39">
        <v>9</v>
      </c>
      <c r="CH224" s="39" t="s">
        <v>152</v>
      </c>
      <c r="CI224" s="27">
        <v>21</v>
      </c>
      <c r="CJ224" s="39"/>
      <c r="CK224" s="46" t="s">
        <v>161</v>
      </c>
    </row>
    <row r="225" spans="1:89" x14ac:dyDescent="0.25">
      <c r="A225" s="44"/>
      <c r="B225" s="45" t="s">
        <v>155</v>
      </c>
      <c r="C225" s="39" t="s">
        <v>9</v>
      </c>
      <c r="D225" s="39">
        <v>10</v>
      </c>
      <c r="E225" s="39" t="s">
        <v>152</v>
      </c>
      <c r="F225" s="27">
        <v>22</v>
      </c>
      <c r="G225" s="39">
        <v>2015</v>
      </c>
      <c r="H225" s="41" t="s">
        <v>172</v>
      </c>
      <c r="I225" s="27"/>
      <c r="J225" s="44"/>
      <c r="K225" s="45" t="s">
        <v>155</v>
      </c>
      <c r="L225" s="39" t="s">
        <v>9</v>
      </c>
      <c r="M225" s="39">
        <v>10</v>
      </c>
      <c r="N225" s="39" t="s">
        <v>152</v>
      </c>
      <c r="O225" s="27">
        <v>22</v>
      </c>
      <c r="P225" s="39">
        <v>1051</v>
      </c>
      <c r="Q225" s="41" t="s">
        <v>177</v>
      </c>
      <c r="R225" s="27"/>
      <c r="S225" s="44"/>
      <c r="T225" s="45" t="s">
        <v>155</v>
      </c>
      <c r="U225" s="39" t="s">
        <v>9</v>
      </c>
      <c r="V225" s="39">
        <v>10</v>
      </c>
      <c r="W225" s="39" t="s">
        <v>152</v>
      </c>
      <c r="X225" s="27">
        <v>22</v>
      </c>
      <c r="Y225" s="39">
        <v>1055</v>
      </c>
      <c r="Z225" s="41" t="s">
        <v>187</v>
      </c>
      <c r="AA225" s="27"/>
      <c r="AB225" s="44"/>
      <c r="AC225" s="45" t="s">
        <v>155</v>
      </c>
      <c r="AD225" s="39" t="s">
        <v>9</v>
      </c>
      <c r="AE225" s="39">
        <v>10</v>
      </c>
      <c r="AF225" s="39" t="s">
        <v>152</v>
      </c>
      <c r="AG225" s="27">
        <v>22</v>
      </c>
      <c r="AH225" s="39">
        <v>2031</v>
      </c>
      <c r="AI225" s="41" t="s">
        <v>184</v>
      </c>
      <c r="AJ225" s="27"/>
      <c r="AK225" s="44"/>
      <c r="AL225" s="45" t="s">
        <v>155</v>
      </c>
      <c r="AM225" s="39" t="s">
        <v>9</v>
      </c>
      <c r="AN225" s="39">
        <v>10</v>
      </c>
      <c r="AO225" s="39" t="s">
        <v>152</v>
      </c>
      <c r="AP225" s="27">
        <v>22</v>
      </c>
      <c r="AQ225" s="39">
        <v>2037</v>
      </c>
      <c r="AR225" s="41" t="s">
        <v>170</v>
      </c>
      <c r="AS225" s="27"/>
      <c r="AT225" s="44"/>
      <c r="AU225" s="45" t="s">
        <v>155</v>
      </c>
      <c r="AV225" s="39" t="s">
        <v>9</v>
      </c>
      <c r="AW225" s="39">
        <v>10</v>
      </c>
      <c r="AX225" s="39" t="s">
        <v>152</v>
      </c>
      <c r="AY225" s="27">
        <v>22</v>
      </c>
      <c r="AZ225" s="39" t="s">
        <v>104</v>
      </c>
      <c r="BA225" s="41" t="s">
        <v>181</v>
      </c>
      <c r="BB225" s="27"/>
      <c r="BC225" s="44"/>
      <c r="BD225" s="45" t="s">
        <v>155</v>
      </c>
      <c r="BE225" s="39" t="s">
        <v>9</v>
      </c>
      <c r="BF225" s="39">
        <v>10</v>
      </c>
      <c r="BG225" s="39" t="s">
        <v>152</v>
      </c>
      <c r="BH225" s="27">
        <v>22</v>
      </c>
      <c r="BI225" s="39">
        <v>1015</v>
      </c>
      <c r="BJ225" s="41" t="s">
        <v>172</v>
      </c>
      <c r="BK225" s="27"/>
      <c r="BL225" s="44"/>
      <c r="BM225" s="45" t="s">
        <v>155</v>
      </c>
      <c r="BN225" s="39" t="s">
        <v>9</v>
      </c>
      <c r="BO225" s="39">
        <v>10</v>
      </c>
      <c r="BP225" s="39" t="s">
        <v>152</v>
      </c>
      <c r="BQ225" s="27">
        <v>22</v>
      </c>
      <c r="BR225" s="39">
        <v>1016</v>
      </c>
      <c r="BS225" s="41" t="s">
        <v>177</v>
      </c>
      <c r="BT225" s="27"/>
      <c r="BU225" s="44"/>
      <c r="BV225" s="45" t="s">
        <v>155</v>
      </c>
      <c r="BW225" s="39" t="s">
        <v>9</v>
      </c>
      <c r="BX225" s="39">
        <v>10</v>
      </c>
      <c r="BY225" s="39" t="s">
        <v>152</v>
      </c>
      <c r="BZ225" s="27">
        <v>22</v>
      </c>
      <c r="CA225" s="39">
        <v>1064</v>
      </c>
      <c r="CB225" s="41" t="s">
        <v>178</v>
      </c>
      <c r="CC225" s="27"/>
      <c r="CD225" s="44"/>
      <c r="CE225" s="45" t="s">
        <v>155</v>
      </c>
      <c r="CF225" s="39" t="s">
        <v>9</v>
      </c>
      <c r="CG225" s="39">
        <v>10</v>
      </c>
      <c r="CH225" s="39" t="s">
        <v>152</v>
      </c>
      <c r="CI225" s="27">
        <v>22</v>
      </c>
      <c r="CJ225" s="39"/>
      <c r="CK225" s="41" t="s">
        <v>169</v>
      </c>
    </row>
    <row r="226" spans="1:89" ht="15.75" thickBot="1" x14ac:dyDescent="0.3">
      <c r="A226" s="44"/>
      <c r="B226" s="45" t="s">
        <v>155</v>
      </c>
      <c r="C226" s="39" t="s">
        <v>9</v>
      </c>
      <c r="D226" s="39">
        <v>11</v>
      </c>
      <c r="E226" s="39" t="s">
        <v>152</v>
      </c>
      <c r="F226" s="27">
        <v>23</v>
      </c>
      <c r="G226" s="39">
        <v>2015</v>
      </c>
      <c r="H226" s="41" t="s">
        <v>162</v>
      </c>
      <c r="I226" s="27"/>
      <c r="J226" s="44"/>
      <c r="K226" s="45" t="s">
        <v>155</v>
      </c>
      <c r="L226" s="39" t="s">
        <v>9</v>
      </c>
      <c r="M226" s="39">
        <v>11</v>
      </c>
      <c r="N226" s="39" t="s">
        <v>152</v>
      </c>
      <c r="O226" s="27">
        <v>23</v>
      </c>
      <c r="P226" s="39">
        <v>1051</v>
      </c>
      <c r="Q226" s="41" t="s">
        <v>180</v>
      </c>
      <c r="R226" s="27"/>
      <c r="S226" s="44"/>
      <c r="T226" s="45" t="s">
        <v>155</v>
      </c>
      <c r="U226" s="39" t="s">
        <v>9</v>
      </c>
      <c r="V226" s="39">
        <v>11</v>
      </c>
      <c r="W226" s="39" t="s">
        <v>152</v>
      </c>
      <c r="X226" s="27">
        <v>23</v>
      </c>
      <c r="Y226" s="39">
        <v>1055</v>
      </c>
      <c r="Z226" s="41" t="s">
        <v>189</v>
      </c>
      <c r="AA226" s="27"/>
      <c r="AB226" s="44"/>
      <c r="AC226" s="45" t="s">
        <v>155</v>
      </c>
      <c r="AD226" s="39" t="s">
        <v>9</v>
      </c>
      <c r="AE226" s="39">
        <v>11</v>
      </c>
      <c r="AF226" s="39" t="s">
        <v>152</v>
      </c>
      <c r="AG226" s="27">
        <v>23</v>
      </c>
      <c r="AH226" s="39">
        <v>2031</v>
      </c>
      <c r="AI226" s="41" t="s">
        <v>187</v>
      </c>
      <c r="AJ226" s="27"/>
      <c r="AK226" s="44"/>
      <c r="AL226" s="45" t="s">
        <v>155</v>
      </c>
      <c r="AM226" s="39" t="s">
        <v>9</v>
      </c>
      <c r="AN226" s="39">
        <v>11</v>
      </c>
      <c r="AO226" s="39" t="s">
        <v>152</v>
      </c>
      <c r="AP226" s="27">
        <v>23</v>
      </c>
      <c r="AQ226" s="39">
        <v>2037</v>
      </c>
      <c r="AR226" s="41" t="s">
        <v>178</v>
      </c>
      <c r="AS226" s="27"/>
      <c r="AT226" s="44"/>
      <c r="AU226" s="45" t="s">
        <v>155</v>
      </c>
      <c r="AV226" s="39" t="s">
        <v>9</v>
      </c>
      <c r="AW226" s="39">
        <v>11</v>
      </c>
      <c r="AX226" s="39" t="s">
        <v>152</v>
      </c>
      <c r="AY226" s="27">
        <v>23</v>
      </c>
      <c r="AZ226" s="39" t="s">
        <v>104</v>
      </c>
      <c r="BA226" s="41" t="s">
        <v>183</v>
      </c>
      <c r="BB226" s="27"/>
      <c r="BC226" s="44"/>
      <c r="BD226" s="45" t="s">
        <v>155</v>
      </c>
      <c r="BE226" s="39" t="s">
        <v>9</v>
      </c>
      <c r="BF226" s="39">
        <v>11</v>
      </c>
      <c r="BG226" s="39" t="s">
        <v>152</v>
      </c>
      <c r="BH226" s="27">
        <v>23</v>
      </c>
      <c r="BI226" s="39">
        <v>1015</v>
      </c>
      <c r="BJ226" s="46" t="s">
        <v>162</v>
      </c>
      <c r="BK226" s="27"/>
      <c r="BL226" s="44"/>
      <c r="BM226" s="45" t="s">
        <v>155</v>
      </c>
      <c r="BN226" s="39" t="s">
        <v>9</v>
      </c>
      <c r="BO226" s="39">
        <v>11</v>
      </c>
      <c r="BP226" s="39" t="s">
        <v>152</v>
      </c>
      <c r="BQ226" s="27">
        <v>23</v>
      </c>
      <c r="BR226" s="39">
        <v>1016</v>
      </c>
      <c r="BS226" s="41" t="s">
        <v>180</v>
      </c>
      <c r="BT226" s="27"/>
      <c r="BU226" s="44"/>
      <c r="BV226" s="45" t="s">
        <v>155</v>
      </c>
      <c r="BW226" s="39" t="s">
        <v>9</v>
      </c>
      <c r="BX226" s="39">
        <v>11</v>
      </c>
      <c r="BY226" s="39" t="s">
        <v>152</v>
      </c>
      <c r="BZ226" s="27">
        <v>23</v>
      </c>
      <c r="CA226" s="39">
        <v>1064</v>
      </c>
      <c r="CB226" s="41" t="s">
        <v>163</v>
      </c>
      <c r="CC226" s="27"/>
      <c r="CD226" s="44"/>
      <c r="CE226" s="45" t="s">
        <v>155</v>
      </c>
      <c r="CF226" s="39" t="s">
        <v>9</v>
      </c>
      <c r="CG226" s="39">
        <v>11</v>
      </c>
      <c r="CH226" s="39" t="s">
        <v>152</v>
      </c>
      <c r="CI226" s="27">
        <v>23</v>
      </c>
      <c r="CJ226" s="39"/>
      <c r="CK226" s="41" t="s">
        <v>177</v>
      </c>
    </row>
    <row r="227" spans="1:89" ht="15.75" thickBot="1" x14ac:dyDescent="0.3">
      <c r="A227" s="52"/>
      <c r="B227" s="53" t="s">
        <v>155</v>
      </c>
      <c r="C227" s="54" t="s">
        <v>9</v>
      </c>
      <c r="D227" s="54">
        <v>12</v>
      </c>
      <c r="E227" s="54" t="s">
        <v>152</v>
      </c>
      <c r="F227" s="55">
        <v>24</v>
      </c>
      <c r="G227" s="39">
        <v>2015</v>
      </c>
      <c r="H227" s="41" t="s">
        <v>170</v>
      </c>
      <c r="I227" s="27"/>
      <c r="J227" s="52"/>
      <c r="K227" s="53" t="s">
        <v>155</v>
      </c>
      <c r="L227" s="54" t="s">
        <v>9</v>
      </c>
      <c r="M227" s="54">
        <v>12</v>
      </c>
      <c r="N227" s="54" t="s">
        <v>152</v>
      </c>
      <c r="O227" s="55">
        <v>24</v>
      </c>
      <c r="P227" s="39">
        <v>1051</v>
      </c>
      <c r="Q227" s="41" t="s">
        <v>181</v>
      </c>
      <c r="R227" s="27"/>
      <c r="S227" s="52"/>
      <c r="T227" s="53" t="s">
        <v>155</v>
      </c>
      <c r="U227" s="54" t="s">
        <v>9</v>
      </c>
      <c r="V227" s="54">
        <v>12</v>
      </c>
      <c r="W227" s="54" t="s">
        <v>152</v>
      </c>
      <c r="X227" s="55">
        <v>24</v>
      </c>
      <c r="Y227" s="39">
        <v>1056</v>
      </c>
      <c r="Z227" s="41" t="s">
        <v>160</v>
      </c>
      <c r="AA227" s="27"/>
      <c r="AB227" s="52"/>
      <c r="AC227" s="53" t="s">
        <v>155</v>
      </c>
      <c r="AD227" s="54" t="s">
        <v>9</v>
      </c>
      <c r="AE227" s="54">
        <v>12</v>
      </c>
      <c r="AF227" s="54" t="s">
        <v>152</v>
      </c>
      <c r="AG227" s="55">
        <v>24</v>
      </c>
      <c r="AH227" s="39">
        <v>2031</v>
      </c>
      <c r="AI227" s="41" t="s">
        <v>189</v>
      </c>
      <c r="AJ227" s="27"/>
      <c r="AK227" s="52"/>
      <c r="AL227" s="53" t="s">
        <v>155</v>
      </c>
      <c r="AM227" s="54" t="s">
        <v>9</v>
      </c>
      <c r="AN227" s="54">
        <v>12</v>
      </c>
      <c r="AO227" s="54" t="s">
        <v>152</v>
      </c>
      <c r="AP227" s="55">
        <v>24</v>
      </c>
      <c r="AQ227" s="39">
        <v>2037</v>
      </c>
      <c r="AR227" s="41" t="s">
        <v>163</v>
      </c>
      <c r="AS227" s="27"/>
      <c r="AT227" s="52"/>
      <c r="AU227" s="53" t="s">
        <v>155</v>
      </c>
      <c r="AV227" s="54" t="s">
        <v>9</v>
      </c>
      <c r="AW227" s="54">
        <v>12</v>
      </c>
      <c r="AX227" s="54" t="s">
        <v>152</v>
      </c>
      <c r="AY227" s="55">
        <v>24</v>
      </c>
      <c r="AZ227" s="39" t="s">
        <v>104</v>
      </c>
      <c r="BA227" s="40" t="s">
        <v>186</v>
      </c>
      <c r="BB227" s="27"/>
      <c r="BC227" s="52"/>
      <c r="BD227" s="53" t="s">
        <v>155</v>
      </c>
      <c r="BE227" s="54" t="s">
        <v>9</v>
      </c>
      <c r="BF227" s="54">
        <v>12</v>
      </c>
      <c r="BG227" s="54" t="s">
        <v>152</v>
      </c>
      <c r="BH227" s="55">
        <v>24</v>
      </c>
      <c r="BI227" s="39">
        <v>1015</v>
      </c>
      <c r="BJ227" s="41" t="s">
        <v>170</v>
      </c>
      <c r="BK227" s="27"/>
      <c r="BL227" s="52"/>
      <c r="BM227" s="53" t="s">
        <v>155</v>
      </c>
      <c r="BN227" s="54" t="s">
        <v>9</v>
      </c>
      <c r="BO227" s="54">
        <v>12</v>
      </c>
      <c r="BP227" s="54" t="s">
        <v>152</v>
      </c>
      <c r="BQ227" s="55">
        <v>24</v>
      </c>
      <c r="BR227" s="39">
        <v>1016</v>
      </c>
      <c r="BS227" s="41" t="s">
        <v>181</v>
      </c>
      <c r="BT227" s="27"/>
      <c r="BU227" s="52"/>
      <c r="BV227" s="53" t="s">
        <v>155</v>
      </c>
      <c r="BW227" s="54" t="s">
        <v>9</v>
      </c>
      <c r="BX227" s="54">
        <v>12</v>
      </c>
      <c r="BY227" s="54" t="s">
        <v>152</v>
      </c>
      <c r="BZ227" s="55">
        <v>24</v>
      </c>
      <c r="CA227" s="39">
        <v>1064</v>
      </c>
      <c r="CB227" s="41" t="s">
        <v>171</v>
      </c>
      <c r="CC227" s="27"/>
      <c r="CD227" s="52"/>
      <c r="CE227" s="53" t="s">
        <v>155</v>
      </c>
      <c r="CF227" s="54" t="s">
        <v>9</v>
      </c>
      <c r="CG227" s="54">
        <v>12</v>
      </c>
      <c r="CH227" s="54" t="s">
        <v>152</v>
      </c>
      <c r="CI227" s="55">
        <v>24</v>
      </c>
      <c r="CJ227" s="39"/>
      <c r="CK227" s="41" t="s">
        <v>180</v>
      </c>
    </row>
    <row r="228" spans="1:89" ht="15.75" thickBot="1" x14ac:dyDescent="0.3">
      <c r="A228" s="60"/>
      <c r="B228" s="36" t="s">
        <v>155</v>
      </c>
      <c r="C228" s="61" t="s">
        <v>12</v>
      </c>
      <c r="D228" s="61">
        <v>1</v>
      </c>
      <c r="E228" s="61" t="s">
        <v>152</v>
      </c>
      <c r="F228" s="62">
        <v>25</v>
      </c>
      <c r="G228" s="39">
        <v>2015</v>
      </c>
      <c r="H228" s="41" t="s">
        <v>178</v>
      </c>
      <c r="I228" s="27"/>
      <c r="J228" s="60"/>
      <c r="K228" s="36" t="s">
        <v>155</v>
      </c>
      <c r="L228" s="61" t="s">
        <v>12</v>
      </c>
      <c r="M228" s="61">
        <v>1</v>
      </c>
      <c r="N228" s="61" t="s">
        <v>152</v>
      </c>
      <c r="O228" s="62">
        <v>25</v>
      </c>
      <c r="P228" s="39">
        <v>1051</v>
      </c>
      <c r="Q228" s="41" t="s">
        <v>183</v>
      </c>
      <c r="R228" s="27"/>
      <c r="S228" s="60"/>
      <c r="T228" s="36" t="s">
        <v>155</v>
      </c>
      <c r="U228" s="61" t="s">
        <v>12</v>
      </c>
      <c r="V228" s="61">
        <v>1</v>
      </c>
      <c r="W228" s="61" t="s">
        <v>152</v>
      </c>
      <c r="X228" s="62">
        <v>25</v>
      </c>
      <c r="Y228" s="39">
        <v>1056</v>
      </c>
      <c r="Z228" s="41" t="s">
        <v>168</v>
      </c>
      <c r="AA228" s="27"/>
      <c r="AB228" s="60"/>
      <c r="AC228" s="36" t="s">
        <v>155</v>
      </c>
      <c r="AD228" s="61" t="s">
        <v>12</v>
      </c>
      <c r="AE228" s="61">
        <v>1</v>
      </c>
      <c r="AF228" s="61" t="s">
        <v>152</v>
      </c>
      <c r="AG228" s="62">
        <v>25</v>
      </c>
      <c r="AH228" s="39">
        <v>2032</v>
      </c>
      <c r="AI228" s="41" t="s">
        <v>160</v>
      </c>
      <c r="AJ228" s="27"/>
      <c r="AK228" s="60"/>
      <c r="AL228" s="36" t="s">
        <v>155</v>
      </c>
      <c r="AM228" s="61" t="s">
        <v>12</v>
      </c>
      <c r="AN228" s="61">
        <v>1</v>
      </c>
      <c r="AO228" s="61" t="s">
        <v>152</v>
      </c>
      <c r="AP228" s="62">
        <v>25</v>
      </c>
      <c r="AQ228" s="39">
        <v>2037</v>
      </c>
      <c r="AR228" s="41" t="s">
        <v>171</v>
      </c>
      <c r="AS228" s="27"/>
      <c r="AT228" s="60"/>
      <c r="AU228" s="36" t="s">
        <v>155</v>
      </c>
      <c r="AV228" s="61" t="s">
        <v>12</v>
      </c>
      <c r="AW228" s="61">
        <v>1</v>
      </c>
      <c r="AX228" s="61" t="s">
        <v>152</v>
      </c>
      <c r="AY228" s="62">
        <v>25</v>
      </c>
      <c r="AZ228" s="39" t="s">
        <v>104</v>
      </c>
      <c r="BA228" s="41" t="s">
        <v>188</v>
      </c>
      <c r="BB228" s="27"/>
      <c r="BC228" s="60"/>
      <c r="BD228" s="36" t="s">
        <v>155</v>
      </c>
      <c r="BE228" s="61" t="s">
        <v>12</v>
      </c>
      <c r="BF228" s="61">
        <v>1</v>
      </c>
      <c r="BG228" s="61" t="s">
        <v>152</v>
      </c>
      <c r="BH228" s="62">
        <v>25</v>
      </c>
      <c r="BI228" s="39">
        <v>1015</v>
      </c>
      <c r="BJ228" s="41" t="s">
        <v>178</v>
      </c>
      <c r="BK228" s="27"/>
      <c r="BL228" s="60"/>
      <c r="BM228" s="36" t="s">
        <v>155</v>
      </c>
      <c r="BN228" s="61" t="s">
        <v>12</v>
      </c>
      <c r="BO228" s="61">
        <v>1</v>
      </c>
      <c r="BP228" s="61" t="s">
        <v>152</v>
      </c>
      <c r="BQ228" s="62">
        <v>25</v>
      </c>
      <c r="BR228" s="39">
        <v>1016</v>
      </c>
      <c r="BS228" s="41" t="s">
        <v>183</v>
      </c>
      <c r="BT228" s="27"/>
      <c r="BU228" s="60"/>
      <c r="BV228" s="36" t="s">
        <v>155</v>
      </c>
      <c r="BW228" s="61" t="s">
        <v>12</v>
      </c>
      <c r="BX228" s="61">
        <v>1</v>
      </c>
      <c r="BY228" s="61" t="s">
        <v>152</v>
      </c>
      <c r="BZ228" s="62">
        <v>25</v>
      </c>
      <c r="CA228" s="39">
        <v>1064</v>
      </c>
      <c r="CB228" s="41" t="s">
        <v>161</v>
      </c>
      <c r="CC228" s="27"/>
      <c r="CD228" s="60"/>
      <c r="CE228" s="36" t="s">
        <v>155</v>
      </c>
      <c r="CF228" s="61" t="s">
        <v>12</v>
      </c>
      <c r="CG228" s="61">
        <v>1</v>
      </c>
      <c r="CH228" s="61" t="s">
        <v>152</v>
      </c>
      <c r="CI228" s="62">
        <v>25</v>
      </c>
      <c r="CJ228" s="39"/>
      <c r="CK228" s="41" t="s">
        <v>181</v>
      </c>
    </row>
    <row r="229" spans="1:89" x14ac:dyDescent="0.25">
      <c r="A229" s="44"/>
      <c r="B229" s="45" t="s">
        <v>155</v>
      </c>
      <c r="C229" s="39" t="s">
        <v>12</v>
      </c>
      <c r="D229" s="39">
        <v>2</v>
      </c>
      <c r="E229" s="39" t="s">
        <v>152</v>
      </c>
      <c r="F229" s="27">
        <v>26</v>
      </c>
      <c r="G229" s="39">
        <v>2015</v>
      </c>
      <c r="H229" s="40" t="s">
        <v>163</v>
      </c>
      <c r="I229" s="27"/>
      <c r="J229" s="44"/>
      <c r="K229" s="45" t="s">
        <v>155</v>
      </c>
      <c r="L229" s="39" t="s">
        <v>12</v>
      </c>
      <c r="M229" s="39">
        <v>2</v>
      </c>
      <c r="N229" s="39" t="s">
        <v>152</v>
      </c>
      <c r="O229" s="27">
        <v>26</v>
      </c>
      <c r="P229" s="39">
        <v>1051</v>
      </c>
      <c r="Q229" s="41" t="s">
        <v>186</v>
      </c>
      <c r="R229" s="27"/>
      <c r="S229" s="44"/>
      <c r="T229" s="45" t="s">
        <v>155</v>
      </c>
      <c r="U229" s="39" t="s">
        <v>12</v>
      </c>
      <c r="V229" s="39">
        <v>2</v>
      </c>
      <c r="W229" s="39" t="s">
        <v>152</v>
      </c>
      <c r="X229" s="27">
        <v>26</v>
      </c>
      <c r="Y229" s="39">
        <v>1056</v>
      </c>
      <c r="Z229" s="41" t="s">
        <v>176</v>
      </c>
      <c r="AA229" s="27"/>
      <c r="AB229" s="44"/>
      <c r="AC229" s="45" t="s">
        <v>155</v>
      </c>
      <c r="AD229" s="39" t="s">
        <v>12</v>
      </c>
      <c r="AE229" s="39">
        <v>2</v>
      </c>
      <c r="AF229" s="39" t="s">
        <v>152</v>
      </c>
      <c r="AG229" s="27">
        <v>26</v>
      </c>
      <c r="AH229" s="39">
        <v>2032</v>
      </c>
      <c r="AI229" s="40" t="s">
        <v>168</v>
      </c>
      <c r="AJ229" s="27"/>
      <c r="AK229" s="44"/>
      <c r="AL229" s="45" t="s">
        <v>155</v>
      </c>
      <c r="AM229" s="39" t="s">
        <v>12</v>
      </c>
      <c r="AN229" s="39">
        <v>2</v>
      </c>
      <c r="AO229" s="39" t="s">
        <v>152</v>
      </c>
      <c r="AP229" s="27">
        <v>26</v>
      </c>
      <c r="AQ229" s="39">
        <v>2037</v>
      </c>
      <c r="AR229" s="41" t="s">
        <v>161</v>
      </c>
      <c r="AS229" s="27"/>
      <c r="AT229" s="44"/>
      <c r="AU229" s="45" t="s">
        <v>155</v>
      </c>
      <c r="AV229" s="39" t="s">
        <v>12</v>
      </c>
      <c r="AW229" s="39">
        <v>2</v>
      </c>
      <c r="AX229" s="39" t="s">
        <v>152</v>
      </c>
      <c r="AY229" s="27">
        <v>26</v>
      </c>
      <c r="AZ229" s="39" t="s">
        <v>104</v>
      </c>
      <c r="BA229" s="41" t="s">
        <v>182</v>
      </c>
      <c r="BB229" s="27"/>
      <c r="BC229" s="44"/>
      <c r="BD229" s="45" t="s">
        <v>155</v>
      </c>
      <c r="BE229" s="39" t="s">
        <v>12</v>
      </c>
      <c r="BF229" s="39">
        <v>2</v>
      </c>
      <c r="BG229" s="39" t="s">
        <v>152</v>
      </c>
      <c r="BH229" s="27">
        <v>26</v>
      </c>
      <c r="BI229" s="39">
        <v>1015</v>
      </c>
      <c r="BJ229" s="41" t="s">
        <v>163</v>
      </c>
      <c r="BK229" s="27"/>
      <c r="BL229" s="44"/>
      <c r="BM229" s="45" t="s">
        <v>155</v>
      </c>
      <c r="BN229" s="39" t="s">
        <v>12</v>
      </c>
      <c r="BO229" s="39">
        <v>2</v>
      </c>
      <c r="BP229" s="39" t="s">
        <v>152</v>
      </c>
      <c r="BQ229" s="27">
        <v>26</v>
      </c>
      <c r="BR229" s="39">
        <v>1016</v>
      </c>
      <c r="BS229" s="41" t="s">
        <v>186</v>
      </c>
      <c r="BT229" s="27"/>
      <c r="BU229" s="44"/>
      <c r="BV229" s="45" t="s">
        <v>155</v>
      </c>
      <c r="BW229" s="39" t="s">
        <v>12</v>
      </c>
      <c r="BX229" s="39">
        <v>2</v>
      </c>
      <c r="BY229" s="39" t="s">
        <v>152</v>
      </c>
      <c r="BZ229" s="27">
        <v>26</v>
      </c>
      <c r="CA229" s="39">
        <v>1064</v>
      </c>
      <c r="CB229" s="41" t="s">
        <v>169</v>
      </c>
      <c r="CC229" s="27"/>
      <c r="CD229" s="44"/>
      <c r="CE229" s="45" t="s">
        <v>155</v>
      </c>
      <c r="CF229" s="39" t="s">
        <v>12</v>
      </c>
      <c r="CG229" s="39">
        <v>2</v>
      </c>
      <c r="CH229" s="39" t="s">
        <v>152</v>
      </c>
      <c r="CI229" s="27">
        <v>26</v>
      </c>
      <c r="CJ229" s="39"/>
      <c r="CK229" s="41" t="s">
        <v>183</v>
      </c>
    </row>
    <row r="230" spans="1:89" x14ac:dyDescent="0.25">
      <c r="A230" s="44"/>
      <c r="B230" s="45" t="s">
        <v>155</v>
      </c>
      <c r="C230" s="39" t="s">
        <v>12</v>
      </c>
      <c r="D230" s="39">
        <v>3</v>
      </c>
      <c r="E230" s="39" t="s">
        <v>152</v>
      </c>
      <c r="F230" s="27">
        <v>27</v>
      </c>
      <c r="G230" s="39">
        <v>2015</v>
      </c>
      <c r="H230" s="41" t="s">
        <v>171</v>
      </c>
      <c r="I230" s="27"/>
      <c r="J230" s="44"/>
      <c r="K230" s="45" t="s">
        <v>155</v>
      </c>
      <c r="L230" s="39" t="s">
        <v>12</v>
      </c>
      <c r="M230" s="39">
        <v>3</v>
      </c>
      <c r="N230" s="39" t="s">
        <v>152</v>
      </c>
      <c r="O230" s="27">
        <v>27</v>
      </c>
      <c r="P230" s="39">
        <v>1051</v>
      </c>
      <c r="Q230" s="41" t="s">
        <v>188</v>
      </c>
      <c r="R230" s="27"/>
      <c r="S230" s="44"/>
      <c r="T230" s="45" t="s">
        <v>155</v>
      </c>
      <c r="U230" s="39" t="s">
        <v>12</v>
      </c>
      <c r="V230" s="39">
        <v>3</v>
      </c>
      <c r="W230" s="39" t="s">
        <v>152</v>
      </c>
      <c r="X230" s="27">
        <v>27</v>
      </c>
      <c r="Y230" s="39">
        <v>1056</v>
      </c>
      <c r="Z230" s="41" t="s">
        <v>164</v>
      </c>
      <c r="AA230" s="27"/>
      <c r="AB230" s="44"/>
      <c r="AC230" s="45" t="s">
        <v>155</v>
      </c>
      <c r="AD230" s="39" t="s">
        <v>12</v>
      </c>
      <c r="AE230" s="39">
        <v>3</v>
      </c>
      <c r="AF230" s="39" t="s">
        <v>152</v>
      </c>
      <c r="AG230" s="27">
        <v>27</v>
      </c>
      <c r="AH230" s="39">
        <v>2032</v>
      </c>
      <c r="AI230" s="41" t="s">
        <v>176</v>
      </c>
      <c r="AJ230" s="27"/>
      <c r="AK230" s="44"/>
      <c r="AL230" s="45" t="s">
        <v>155</v>
      </c>
      <c r="AM230" s="39" t="s">
        <v>12</v>
      </c>
      <c r="AN230" s="39">
        <v>3</v>
      </c>
      <c r="AO230" s="39" t="s">
        <v>152</v>
      </c>
      <c r="AP230" s="27">
        <v>27</v>
      </c>
      <c r="AQ230" s="39">
        <v>2037</v>
      </c>
      <c r="AR230" s="41" t="s">
        <v>169</v>
      </c>
      <c r="AS230" s="27"/>
      <c r="AT230" s="44"/>
      <c r="AU230" s="45" t="s">
        <v>155</v>
      </c>
      <c r="AV230" s="39" t="s">
        <v>12</v>
      </c>
      <c r="AW230" s="39">
        <v>3</v>
      </c>
      <c r="AX230" s="39" t="s">
        <v>152</v>
      </c>
      <c r="AY230" s="27">
        <v>27</v>
      </c>
      <c r="AZ230" s="39" t="s">
        <v>104</v>
      </c>
      <c r="BA230" s="41" t="s">
        <v>184</v>
      </c>
      <c r="BB230" s="27"/>
      <c r="BC230" s="44"/>
      <c r="BD230" s="45" t="s">
        <v>155</v>
      </c>
      <c r="BE230" s="39" t="s">
        <v>12</v>
      </c>
      <c r="BF230" s="39">
        <v>3</v>
      </c>
      <c r="BG230" s="39" t="s">
        <v>152</v>
      </c>
      <c r="BH230" s="27">
        <v>27</v>
      </c>
      <c r="BI230" s="39">
        <v>1015</v>
      </c>
      <c r="BJ230" s="41" t="s">
        <v>171</v>
      </c>
      <c r="BK230" s="27"/>
      <c r="BL230" s="44"/>
      <c r="BM230" s="45" t="s">
        <v>155</v>
      </c>
      <c r="BN230" s="39" t="s">
        <v>12</v>
      </c>
      <c r="BO230" s="39">
        <v>3</v>
      </c>
      <c r="BP230" s="39" t="s">
        <v>152</v>
      </c>
      <c r="BQ230" s="27">
        <v>27</v>
      </c>
      <c r="BR230" s="39">
        <v>1016</v>
      </c>
      <c r="BS230" s="41" t="s">
        <v>188</v>
      </c>
      <c r="BT230" s="27"/>
      <c r="BU230" s="44"/>
      <c r="BV230" s="45" t="s">
        <v>155</v>
      </c>
      <c r="BW230" s="39" t="s">
        <v>12</v>
      </c>
      <c r="BX230" s="39">
        <v>3</v>
      </c>
      <c r="BY230" s="39" t="s">
        <v>152</v>
      </c>
      <c r="BZ230" s="27">
        <v>27</v>
      </c>
      <c r="CA230" s="39">
        <v>1064</v>
      </c>
      <c r="CB230" s="41" t="s">
        <v>177</v>
      </c>
      <c r="CC230" s="27"/>
      <c r="CD230" s="44"/>
      <c r="CE230" s="45" t="s">
        <v>155</v>
      </c>
      <c r="CF230" s="39" t="s">
        <v>12</v>
      </c>
      <c r="CG230" s="39">
        <v>3</v>
      </c>
      <c r="CH230" s="39" t="s">
        <v>152</v>
      </c>
      <c r="CI230" s="27">
        <v>27</v>
      </c>
      <c r="CJ230" s="39"/>
      <c r="CK230" s="41" t="s">
        <v>186</v>
      </c>
    </row>
    <row r="231" spans="1:89" x14ac:dyDescent="0.25">
      <c r="A231" s="44"/>
      <c r="B231" s="45" t="s">
        <v>155</v>
      </c>
      <c r="C231" s="39" t="s">
        <v>12</v>
      </c>
      <c r="D231" s="39">
        <v>4</v>
      </c>
      <c r="E231" s="39" t="s">
        <v>152</v>
      </c>
      <c r="F231" s="27">
        <v>28</v>
      </c>
      <c r="G231" s="39">
        <v>2015</v>
      </c>
      <c r="H231" s="41" t="s">
        <v>161</v>
      </c>
      <c r="I231" s="27"/>
      <c r="J231" s="44"/>
      <c r="K231" s="45" t="s">
        <v>155</v>
      </c>
      <c r="L231" s="39" t="s">
        <v>12</v>
      </c>
      <c r="M231" s="39">
        <v>4</v>
      </c>
      <c r="N231" s="39" t="s">
        <v>152</v>
      </c>
      <c r="O231" s="27">
        <v>28</v>
      </c>
      <c r="P231" s="39">
        <v>1051</v>
      </c>
      <c r="Q231" s="41" t="s">
        <v>182</v>
      </c>
      <c r="R231" s="27"/>
      <c r="S231" s="44"/>
      <c r="T231" s="45" t="s">
        <v>155</v>
      </c>
      <c r="U231" s="39" t="s">
        <v>12</v>
      </c>
      <c r="V231" s="39">
        <v>4</v>
      </c>
      <c r="W231" s="39" t="s">
        <v>152</v>
      </c>
      <c r="X231" s="27">
        <v>28</v>
      </c>
      <c r="Y231" s="39">
        <v>1056</v>
      </c>
      <c r="Z231" s="41" t="s">
        <v>172</v>
      </c>
      <c r="AA231" s="27"/>
      <c r="AB231" s="44"/>
      <c r="AC231" s="45" t="s">
        <v>155</v>
      </c>
      <c r="AD231" s="39" t="s">
        <v>12</v>
      </c>
      <c r="AE231" s="39">
        <v>4</v>
      </c>
      <c r="AF231" s="39" t="s">
        <v>152</v>
      </c>
      <c r="AG231" s="27">
        <v>28</v>
      </c>
      <c r="AH231" s="39">
        <v>2032</v>
      </c>
      <c r="AI231" s="41" t="s">
        <v>164</v>
      </c>
      <c r="AJ231" s="27"/>
      <c r="AK231" s="44"/>
      <c r="AL231" s="45" t="s">
        <v>155</v>
      </c>
      <c r="AM231" s="39" t="s">
        <v>12</v>
      </c>
      <c r="AN231" s="39">
        <v>4</v>
      </c>
      <c r="AO231" s="39" t="s">
        <v>152</v>
      </c>
      <c r="AP231" s="27">
        <v>28</v>
      </c>
      <c r="AQ231" s="39">
        <v>2037</v>
      </c>
      <c r="AR231" s="41" t="s">
        <v>177</v>
      </c>
      <c r="AS231" s="27"/>
      <c r="AT231" s="44"/>
      <c r="AU231" s="45" t="s">
        <v>155</v>
      </c>
      <c r="AV231" s="39" t="s">
        <v>12</v>
      </c>
      <c r="AW231" s="39">
        <v>4</v>
      </c>
      <c r="AX231" s="39" t="s">
        <v>152</v>
      </c>
      <c r="AY231" s="27">
        <v>28</v>
      </c>
      <c r="AZ231" s="39" t="s">
        <v>104</v>
      </c>
      <c r="BA231" s="41" t="s">
        <v>187</v>
      </c>
      <c r="BB231" s="27"/>
      <c r="BC231" s="44"/>
      <c r="BD231" s="45" t="s">
        <v>155</v>
      </c>
      <c r="BE231" s="39" t="s">
        <v>12</v>
      </c>
      <c r="BF231" s="39">
        <v>4</v>
      </c>
      <c r="BG231" s="39" t="s">
        <v>152</v>
      </c>
      <c r="BH231" s="27">
        <v>28</v>
      </c>
      <c r="BI231" s="39">
        <v>1015</v>
      </c>
      <c r="BJ231" s="41" t="s">
        <v>161</v>
      </c>
      <c r="BK231" s="27"/>
      <c r="BL231" s="44"/>
      <c r="BM231" s="45" t="s">
        <v>155</v>
      </c>
      <c r="BN231" s="39" t="s">
        <v>12</v>
      </c>
      <c r="BO231" s="39">
        <v>4</v>
      </c>
      <c r="BP231" s="39" t="s">
        <v>152</v>
      </c>
      <c r="BQ231" s="27">
        <v>28</v>
      </c>
      <c r="BR231" s="39">
        <v>1016</v>
      </c>
      <c r="BS231" s="41" t="s">
        <v>182</v>
      </c>
      <c r="BT231" s="27"/>
      <c r="BU231" s="44"/>
      <c r="BV231" s="45" t="s">
        <v>155</v>
      </c>
      <c r="BW231" s="39" t="s">
        <v>12</v>
      </c>
      <c r="BX231" s="39">
        <v>4</v>
      </c>
      <c r="BY231" s="39" t="s">
        <v>152</v>
      </c>
      <c r="BZ231" s="27">
        <v>28</v>
      </c>
      <c r="CA231" s="39">
        <v>1064</v>
      </c>
      <c r="CB231" s="41" t="s">
        <v>180</v>
      </c>
      <c r="CC231" s="27"/>
      <c r="CD231" s="44"/>
      <c r="CE231" s="45" t="s">
        <v>155</v>
      </c>
      <c r="CF231" s="39" t="s">
        <v>12</v>
      </c>
      <c r="CG231" s="39">
        <v>4</v>
      </c>
      <c r="CH231" s="39" t="s">
        <v>152</v>
      </c>
      <c r="CI231" s="27">
        <v>28</v>
      </c>
      <c r="CJ231" s="39"/>
      <c r="CK231" s="41" t="s">
        <v>188</v>
      </c>
    </row>
    <row r="232" spans="1:89" x14ac:dyDescent="0.25">
      <c r="A232" s="44"/>
      <c r="B232" s="45" t="s">
        <v>155</v>
      </c>
      <c r="C232" s="39" t="s">
        <v>12</v>
      </c>
      <c r="D232" s="39">
        <v>5</v>
      </c>
      <c r="E232" s="39" t="s">
        <v>152</v>
      </c>
      <c r="F232" s="27">
        <v>29</v>
      </c>
      <c r="G232" s="39">
        <v>2015</v>
      </c>
      <c r="H232" s="41" t="s">
        <v>169</v>
      </c>
      <c r="I232" s="27"/>
      <c r="J232" s="44"/>
      <c r="K232" s="45" t="s">
        <v>155</v>
      </c>
      <c r="L232" s="39" t="s">
        <v>12</v>
      </c>
      <c r="M232" s="39">
        <v>5</v>
      </c>
      <c r="N232" s="39" t="s">
        <v>152</v>
      </c>
      <c r="O232" s="27">
        <v>29</v>
      </c>
      <c r="P232" s="39">
        <v>1051</v>
      </c>
      <c r="Q232" s="46" t="s">
        <v>184</v>
      </c>
      <c r="R232" s="27"/>
      <c r="S232" s="44"/>
      <c r="T232" s="45" t="s">
        <v>155</v>
      </c>
      <c r="U232" s="39" t="s">
        <v>12</v>
      </c>
      <c r="V232" s="39">
        <v>5</v>
      </c>
      <c r="W232" s="39" t="s">
        <v>152</v>
      </c>
      <c r="X232" s="27">
        <v>29</v>
      </c>
      <c r="Y232" s="39">
        <v>1056</v>
      </c>
      <c r="Z232" s="41" t="s">
        <v>162</v>
      </c>
      <c r="AA232" s="27"/>
      <c r="AB232" s="44"/>
      <c r="AC232" s="45" t="s">
        <v>155</v>
      </c>
      <c r="AD232" s="39" t="s">
        <v>12</v>
      </c>
      <c r="AE232" s="39">
        <v>5</v>
      </c>
      <c r="AF232" s="39" t="s">
        <v>152</v>
      </c>
      <c r="AG232" s="27">
        <v>29</v>
      </c>
      <c r="AH232" s="39">
        <v>2032</v>
      </c>
      <c r="AI232" s="41" t="s">
        <v>172</v>
      </c>
      <c r="AJ232" s="27"/>
      <c r="AK232" s="44"/>
      <c r="AL232" s="45" t="s">
        <v>155</v>
      </c>
      <c r="AM232" s="39" t="s">
        <v>12</v>
      </c>
      <c r="AN232" s="39">
        <v>5</v>
      </c>
      <c r="AO232" s="39" t="s">
        <v>152</v>
      </c>
      <c r="AP232" s="27">
        <v>29</v>
      </c>
      <c r="AQ232" s="39">
        <v>2037</v>
      </c>
      <c r="AR232" s="41" t="s">
        <v>180</v>
      </c>
      <c r="AS232" s="27"/>
      <c r="AT232" s="44"/>
      <c r="AU232" s="45" t="s">
        <v>155</v>
      </c>
      <c r="AV232" s="39" t="s">
        <v>12</v>
      </c>
      <c r="AW232" s="39">
        <v>5</v>
      </c>
      <c r="AX232" s="39" t="s">
        <v>152</v>
      </c>
      <c r="AY232" s="27">
        <v>29</v>
      </c>
      <c r="AZ232" s="39" t="s">
        <v>104</v>
      </c>
      <c r="BA232" s="41" t="s">
        <v>189</v>
      </c>
      <c r="BB232" s="27"/>
      <c r="BC232" s="44"/>
      <c r="BD232" s="45" t="s">
        <v>155</v>
      </c>
      <c r="BE232" s="39" t="s">
        <v>12</v>
      </c>
      <c r="BF232" s="39">
        <v>5</v>
      </c>
      <c r="BG232" s="39" t="s">
        <v>152</v>
      </c>
      <c r="BH232" s="27">
        <v>29</v>
      </c>
      <c r="BI232" s="39">
        <v>1015</v>
      </c>
      <c r="BJ232" s="41" t="s">
        <v>169</v>
      </c>
      <c r="BK232" s="27"/>
      <c r="BL232" s="44"/>
      <c r="BM232" s="45" t="s">
        <v>155</v>
      </c>
      <c r="BN232" s="39" t="s">
        <v>12</v>
      </c>
      <c r="BO232" s="39">
        <v>5</v>
      </c>
      <c r="BP232" s="39" t="s">
        <v>152</v>
      </c>
      <c r="BQ232" s="27">
        <v>29</v>
      </c>
      <c r="BR232" s="39">
        <v>1016</v>
      </c>
      <c r="BS232" s="41" t="s">
        <v>184</v>
      </c>
      <c r="BT232" s="27"/>
      <c r="BU232" s="44"/>
      <c r="BV232" s="45" t="s">
        <v>155</v>
      </c>
      <c r="BW232" s="39" t="s">
        <v>12</v>
      </c>
      <c r="BX232" s="39">
        <v>5</v>
      </c>
      <c r="BY232" s="39" t="s">
        <v>152</v>
      </c>
      <c r="BZ232" s="27">
        <v>29</v>
      </c>
      <c r="CA232" s="39">
        <v>1064</v>
      </c>
      <c r="CB232" s="41" t="s">
        <v>181</v>
      </c>
      <c r="CC232" s="27"/>
      <c r="CD232" s="44"/>
      <c r="CE232" s="45" t="s">
        <v>155</v>
      </c>
      <c r="CF232" s="39" t="s">
        <v>12</v>
      </c>
      <c r="CG232" s="39">
        <v>5</v>
      </c>
      <c r="CH232" s="39" t="s">
        <v>152</v>
      </c>
      <c r="CI232" s="27">
        <v>29</v>
      </c>
      <c r="CJ232" s="39"/>
      <c r="CK232" s="41" t="s">
        <v>182</v>
      </c>
    </row>
    <row r="233" spans="1:89" x14ac:dyDescent="0.25">
      <c r="A233" s="44"/>
      <c r="B233" s="45" t="s">
        <v>155</v>
      </c>
      <c r="C233" s="39" t="s">
        <v>12</v>
      </c>
      <c r="D233" s="39">
        <v>6</v>
      </c>
      <c r="E233" s="39" t="s">
        <v>152</v>
      </c>
      <c r="F233" s="27">
        <v>30</v>
      </c>
      <c r="G233" s="39">
        <v>2015</v>
      </c>
      <c r="H233" s="41" t="s">
        <v>177</v>
      </c>
      <c r="I233" s="27"/>
      <c r="J233" s="44"/>
      <c r="K233" s="45" t="s">
        <v>155</v>
      </c>
      <c r="L233" s="39" t="s">
        <v>12</v>
      </c>
      <c r="M233" s="39">
        <v>6</v>
      </c>
      <c r="N233" s="39" t="s">
        <v>152</v>
      </c>
      <c r="O233" s="27">
        <v>30</v>
      </c>
      <c r="P233" s="39">
        <v>1051</v>
      </c>
      <c r="Q233" s="41" t="s">
        <v>187</v>
      </c>
      <c r="R233" s="27"/>
      <c r="S233" s="44"/>
      <c r="T233" s="45" t="s">
        <v>155</v>
      </c>
      <c r="U233" s="39" t="s">
        <v>12</v>
      </c>
      <c r="V233" s="39">
        <v>6</v>
      </c>
      <c r="W233" s="39" t="s">
        <v>152</v>
      </c>
      <c r="X233" s="27">
        <v>30</v>
      </c>
      <c r="Y233" s="39">
        <v>1056</v>
      </c>
      <c r="Z233" s="41" t="s">
        <v>170</v>
      </c>
      <c r="AA233" s="27"/>
      <c r="AB233" s="44"/>
      <c r="AC233" s="45" t="s">
        <v>155</v>
      </c>
      <c r="AD233" s="39" t="s">
        <v>12</v>
      </c>
      <c r="AE233" s="39">
        <v>6</v>
      </c>
      <c r="AF233" s="39" t="s">
        <v>152</v>
      </c>
      <c r="AG233" s="27">
        <v>30</v>
      </c>
      <c r="AH233" s="39">
        <v>2032</v>
      </c>
      <c r="AI233" s="41" t="s">
        <v>162</v>
      </c>
      <c r="AJ233" s="27"/>
      <c r="AK233" s="44"/>
      <c r="AL233" s="45" t="s">
        <v>155</v>
      </c>
      <c r="AM233" s="39" t="s">
        <v>12</v>
      </c>
      <c r="AN233" s="39">
        <v>6</v>
      </c>
      <c r="AO233" s="39" t="s">
        <v>152</v>
      </c>
      <c r="AP233" s="27">
        <v>30</v>
      </c>
      <c r="AQ233" s="39">
        <v>2037</v>
      </c>
      <c r="AR233" s="41" t="s">
        <v>181</v>
      </c>
      <c r="AS233" s="27"/>
      <c r="AT233" s="44"/>
      <c r="AU233" s="45" t="s">
        <v>155</v>
      </c>
      <c r="AV233" s="39" t="s">
        <v>12</v>
      </c>
      <c r="AW233" s="39">
        <v>6</v>
      </c>
      <c r="AX233" s="39" t="s">
        <v>152</v>
      </c>
      <c r="AY233" s="27">
        <v>30</v>
      </c>
      <c r="AZ233" s="39" t="s">
        <v>99</v>
      </c>
      <c r="BA233" s="41" t="s">
        <v>160</v>
      </c>
      <c r="BB233" s="27"/>
      <c r="BC233" s="44"/>
      <c r="BD233" s="45" t="s">
        <v>155</v>
      </c>
      <c r="BE233" s="39" t="s">
        <v>12</v>
      </c>
      <c r="BF233" s="39">
        <v>6</v>
      </c>
      <c r="BG233" s="39" t="s">
        <v>152</v>
      </c>
      <c r="BH233" s="27">
        <v>30</v>
      </c>
      <c r="BI233" s="39">
        <v>1015</v>
      </c>
      <c r="BJ233" s="41" t="s">
        <v>177</v>
      </c>
      <c r="BK233" s="27"/>
      <c r="BL233" s="44"/>
      <c r="BM233" s="45" t="s">
        <v>155</v>
      </c>
      <c r="BN233" s="39" t="s">
        <v>12</v>
      </c>
      <c r="BO233" s="39">
        <v>6</v>
      </c>
      <c r="BP233" s="39" t="s">
        <v>152</v>
      </c>
      <c r="BQ233" s="27">
        <v>30</v>
      </c>
      <c r="BR233" s="39">
        <v>1016</v>
      </c>
      <c r="BS233" s="41" t="s">
        <v>187</v>
      </c>
      <c r="BT233" s="27"/>
      <c r="BU233" s="44"/>
      <c r="BV233" s="45" t="s">
        <v>155</v>
      </c>
      <c r="BW233" s="39" t="s">
        <v>12</v>
      </c>
      <c r="BX233" s="39">
        <v>6</v>
      </c>
      <c r="BY233" s="39" t="s">
        <v>152</v>
      </c>
      <c r="BZ233" s="27">
        <v>30</v>
      </c>
      <c r="CA233" s="39">
        <v>1064</v>
      </c>
      <c r="CB233" s="41" t="s">
        <v>183</v>
      </c>
      <c r="CC233" s="27"/>
      <c r="CD233" s="44"/>
      <c r="CE233" s="45" t="s">
        <v>155</v>
      </c>
      <c r="CF233" s="39" t="s">
        <v>12</v>
      </c>
      <c r="CG233" s="39">
        <v>6</v>
      </c>
      <c r="CH233" s="39" t="s">
        <v>152</v>
      </c>
      <c r="CI233" s="27">
        <v>30</v>
      </c>
      <c r="CJ233" s="39"/>
      <c r="CK233" s="41" t="s">
        <v>184</v>
      </c>
    </row>
    <row r="234" spans="1:89" ht="15.75" thickBot="1" x14ac:dyDescent="0.3">
      <c r="A234" s="44"/>
      <c r="B234" s="45" t="s">
        <v>155</v>
      </c>
      <c r="C234" s="39" t="s">
        <v>12</v>
      </c>
      <c r="D234" s="39">
        <v>7</v>
      </c>
      <c r="E234" s="39" t="s">
        <v>152</v>
      </c>
      <c r="F234" s="27">
        <v>31</v>
      </c>
      <c r="G234" s="39">
        <v>2015</v>
      </c>
      <c r="H234" s="41" t="s">
        <v>180</v>
      </c>
      <c r="I234" s="27"/>
      <c r="J234" s="44"/>
      <c r="K234" s="45" t="s">
        <v>155</v>
      </c>
      <c r="L234" s="39" t="s">
        <v>12</v>
      </c>
      <c r="M234" s="39">
        <v>7</v>
      </c>
      <c r="N234" s="39" t="s">
        <v>152</v>
      </c>
      <c r="O234" s="27">
        <v>31</v>
      </c>
      <c r="P234" s="39">
        <v>1051</v>
      </c>
      <c r="Q234" s="41" t="s">
        <v>189</v>
      </c>
      <c r="R234" s="27"/>
      <c r="S234" s="44"/>
      <c r="T234" s="45" t="s">
        <v>155</v>
      </c>
      <c r="U234" s="39" t="s">
        <v>12</v>
      </c>
      <c r="V234" s="39">
        <v>7</v>
      </c>
      <c r="W234" s="39" t="s">
        <v>152</v>
      </c>
      <c r="X234" s="27">
        <v>31</v>
      </c>
      <c r="Y234" s="39">
        <v>1056</v>
      </c>
      <c r="Z234" s="41" t="s">
        <v>178</v>
      </c>
      <c r="AA234" s="27"/>
      <c r="AB234" s="44"/>
      <c r="AC234" s="45" t="s">
        <v>155</v>
      </c>
      <c r="AD234" s="39" t="s">
        <v>12</v>
      </c>
      <c r="AE234" s="39">
        <v>7</v>
      </c>
      <c r="AF234" s="39" t="s">
        <v>152</v>
      </c>
      <c r="AG234" s="27">
        <v>31</v>
      </c>
      <c r="AH234" s="39">
        <v>2032</v>
      </c>
      <c r="AI234" s="41" t="s">
        <v>170</v>
      </c>
      <c r="AJ234" s="27"/>
      <c r="AK234" s="44"/>
      <c r="AL234" s="45" t="s">
        <v>155</v>
      </c>
      <c r="AM234" s="39" t="s">
        <v>12</v>
      </c>
      <c r="AN234" s="39">
        <v>7</v>
      </c>
      <c r="AO234" s="39" t="s">
        <v>152</v>
      </c>
      <c r="AP234" s="27">
        <v>31</v>
      </c>
      <c r="AQ234" s="39">
        <v>2037</v>
      </c>
      <c r="AR234" s="41" t="s">
        <v>183</v>
      </c>
      <c r="AS234" s="27"/>
      <c r="AT234" s="44"/>
      <c r="AU234" s="45" t="s">
        <v>155</v>
      </c>
      <c r="AV234" s="39" t="s">
        <v>12</v>
      </c>
      <c r="AW234" s="39">
        <v>7</v>
      </c>
      <c r="AX234" s="39" t="s">
        <v>152</v>
      </c>
      <c r="AY234" s="27">
        <v>31</v>
      </c>
      <c r="AZ234" s="39" t="s">
        <v>99</v>
      </c>
      <c r="BA234" s="41" t="s">
        <v>168</v>
      </c>
      <c r="BB234" s="27"/>
      <c r="BC234" s="44"/>
      <c r="BD234" s="45" t="s">
        <v>155</v>
      </c>
      <c r="BE234" s="39" t="s">
        <v>12</v>
      </c>
      <c r="BF234" s="39">
        <v>7</v>
      </c>
      <c r="BG234" s="39" t="s">
        <v>152</v>
      </c>
      <c r="BH234" s="27">
        <v>31</v>
      </c>
      <c r="BI234" s="39">
        <v>1015</v>
      </c>
      <c r="BJ234" s="41" t="s">
        <v>180</v>
      </c>
      <c r="BK234" s="27"/>
      <c r="BL234" s="44"/>
      <c r="BM234" s="45" t="s">
        <v>155</v>
      </c>
      <c r="BN234" s="39" t="s">
        <v>12</v>
      </c>
      <c r="BO234" s="39">
        <v>7</v>
      </c>
      <c r="BP234" s="39" t="s">
        <v>152</v>
      </c>
      <c r="BQ234" s="27">
        <v>31</v>
      </c>
      <c r="BR234" s="39">
        <v>1016</v>
      </c>
      <c r="BS234" s="41" t="s">
        <v>189</v>
      </c>
      <c r="BT234" s="27"/>
      <c r="BU234" s="44"/>
      <c r="BV234" s="45" t="s">
        <v>155</v>
      </c>
      <c r="BW234" s="39" t="s">
        <v>12</v>
      </c>
      <c r="BX234" s="39">
        <v>7</v>
      </c>
      <c r="BY234" s="39" t="s">
        <v>152</v>
      </c>
      <c r="BZ234" s="27">
        <v>31</v>
      </c>
      <c r="CA234" s="39">
        <v>1064</v>
      </c>
      <c r="CB234" s="41" t="s">
        <v>186</v>
      </c>
      <c r="CC234" s="27"/>
      <c r="CD234" s="44"/>
      <c r="CE234" s="45" t="s">
        <v>155</v>
      </c>
      <c r="CF234" s="39" t="s">
        <v>12</v>
      </c>
      <c r="CG234" s="39">
        <v>7</v>
      </c>
      <c r="CH234" s="39" t="s">
        <v>152</v>
      </c>
      <c r="CI234" s="27">
        <v>31</v>
      </c>
      <c r="CJ234" s="39"/>
      <c r="CK234" s="41" t="s">
        <v>187</v>
      </c>
    </row>
    <row r="235" spans="1:89" x14ac:dyDescent="0.25">
      <c r="A235" s="44"/>
      <c r="B235" s="45" t="s">
        <v>155</v>
      </c>
      <c r="C235" s="39" t="s">
        <v>12</v>
      </c>
      <c r="D235" s="39">
        <v>8</v>
      </c>
      <c r="E235" s="39" t="s">
        <v>152</v>
      </c>
      <c r="F235" s="27">
        <v>32</v>
      </c>
      <c r="G235" s="39">
        <v>2015</v>
      </c>
      <c r="H235" s="41" t="s">
        <v>181</v>
      </c>
      <c r="I235" s="27"/>
      <c r="J235" s="44"/>
      <c r="K235" s="45" t="s">
        <v>155</v>
      </c>
      <c r="L235" s="39" t="s">
        <v>12</v>
      </c>
      <c r="M235" s="39">
        <v>8</v>
      </c>
      <c r="N235" s="39" t="s">
        <v>152</v>
      </c>
      <c r="O235" s="27">
        <v>32</v>
      </c>
      <c r="P235" s="39">
        <v>1052</v>
      </c>
      <c r="Q235" s="41" t="s">
        <v>160</v>
      </c>
      <c r="R235" s="27"/>
      <c r="S235" s="44"/>
      <c r="T235" s="45" t="s">
        <v>155</v>
      </c>
      <c r="U235" s="39" t="s">
        <v>12</v>
      </c>
      <c r="V235" s="39">
        <v>8</v>
      </c>
      <c r="W235" s="39" t="s">
        <v>152</v>
      </c>
      <c r="X235" s="27">
        <v>32</v>
      </c>
      <c r="Y235" s="39">
        <v>1056</v>
      </c>
      <c r="Z235" s="40" t="s">
        <v>163</v>
      </c>
      <c r="AA235" s="27"/>
      <c r="AB235" s="44"/>
      <c r="AC235" s="45" t="s">
        <v>155</v>
      </c>
      <c r="AD235" s="39" t="s">
        <v>12</v>
      </c>
      <c r="AE235" s="39">
        <v>8</v>
      </c>
      <c r="AF235" s="39" t="s">
        <v>152</v>
      </c>
      <c r="AG235" s="27">
        <v>32</v>
      </c>
      <c r="AH235" s="39">
        <v>2032</v>
      </c>
      <c r="AI235" s="41" t="s">
        <v>178</v>
      </c>
      <c r="AJ235" s="27"/>
      <c r="AK235" s="44"/>
      <c r="AL235" s="45" t="s">
        <v>155</v>
      </c>
      <c r="AM235" s="39" t="s">
        <v>12</v>
      </c>
      <c r="AN235" s="39">
        <v>8</v>
      </c>
      <c r="AO235" s="39" t="s">
        <v>152</v>
      </c>
      <c r="AP235" s="27">
        <v>32</v>
      </c>
      <c r="AQ235" s="39">
        <v>2037</v>
      </c>
      <c r="AR235" s="40" t="s">
        <v>186</v>
      </c>
      <c r="AS235" s="27"/>
      <c r="AT235" s="44"/>
      <c r="AU235" s="45" t="s">
        <v>155</v>
      </c>
      <c r="AV235" s="39" t="s">
        <v>12</v>
      </c>
      <c r="AW235" s="39">
        <v>8</v>
      </c>
      <c r="AX235" s="39" t="s">
        <v>152</v>
      </c>
      <c r="AY235" s="27">
        <v>32</v>
      </c>
      <c r="AZ235" s="39" t="s">
        <v>99</v>
      </c>
      <c r="BA235" s="41" t="s">
        <v>176</v>
      </c>
      <c r="BB235" s="27"/>
      <c r="BC235" s="44"/>
      <c r="BD235" s="45" t="s">
        <v>155</v>
      </c>
      <c r="BE235" s="39" t="s">
        <v>12</v>
      </c>
      <c r="BF235" s="39">
        <v>8</v>
      </c>
      <c r="BG235" s="39" t="s">
        <v>152</v>
      </c>
      <c r="BH235" s="27">
        <v>32</v>
      </c>
      <c r="BI235" s="39">
        <v>1015</v>
      </c>
      <c r="BJ235" s="41" t="s">
        <v>181</v>
      </c>
      <c r="BK235" s="27"/>
      <c r="BL235" s="44"/>
      <c r="BM235" s="45" t="s">
        <v>155</v>
      </c>
      <c r="BN235" s="39" t="s">
        <v>12</v>
      </c>
      <c r="BO235" s="39">
        <v>8</v>
      </c>
      <c r="BP235" s="39" t="s">
        <v>152</v>
      </c>
      <c r="BQ235" s="27">
        <v>32</v>
      </c>
      <c r="BR235" s="39">
        <v>1018</v>
      </c>
      <c r="BS235" s="40" t="s">
        <v>160</v>
      </c>
      <c r="BT235" s="27"/>
      <c r="BU235" s="44"/>
      <c r="BV235" s="45" t="s">
        <v>155</v>
      </c>
      <c r="BW235" s="39" t="s">
        <v>12</v>
      </c>
      <c r="BX235" s="39">
        <v>8</v>
      </c>
      <c r="BY235" s="39" t="s">
        <v>152</v>
      </c>
      <c r="BZ235" s="27">
        <v>32</v>
      </c>
      <c r="CA235" s="39">
        <v>1064</v>
      </c>
      <c r="CB235" s="40" t="s">
        <v>188</v>
      </c>
      <c r="CC235" s="27"/>
      <c r="CD235" s="44"/>
      <c r="CE235" s="45" t="s">
        <v>155</v>
      </c>
      <c r="CF235" s="39" t="s">
        <v>12</v>
      </c>
      <c r="CG235" s="39">
        <v>8</v>
      </c>
      <c r="CH235" s="39" t="s">
        <v>152</v>
      </c>
      <c r="CI235" s="27">
        <v>32</v>
      </c>
      <c r="CJ235" s="39"/>
      <c r="CK235" s="40" t="s">
        <v>189</v>
      </c>
    </row>
    <row r="236" spans="1:89" ht="15.75" thickBot="1" x14ac:dyDescent="0.3">
      <c r="A236" s="44"/>
      <c r="B236" s="45" t="s">
        <v>155</v>
      </c>
      <c r="C236" s="39" t="s">
        <v>12</v>
      </c>
      <c r="D236" s="39">
        <v>9</v>
      </c>
      <c r="E236" s="39" t="s">
        <v>152</v>
      </c>
      <c r="F236" s="27">
        <v>33</v>
      </c>
      <c r="G236" s="39">
        <v>2015</v>
      </c>
      <c r="H236" s="41" t="s">
        <v>183</v>
      </c>
      <c r="I236" s="27"/>
      <c r="J236" s="44"/>
      <c r="K236" s="45" t="s">
        <v>155</v>
      </c>
      <c r="L236" s="39" t="s">
        <v>12</v>
      </c>
      <c r="M236" s="39">
        <v>9</v>
      </c>
      <c r="N236" s="39" t="s">
        <v>152</v>
      </c>
      <c r="O236" s="27">
        <v>33</v>
      </c>
      <c r="P236" s="39">
        <v>1052</v>
      </c>
      <c r="Q236" s="41" t="s">
        <v>168</v>
      </c>
      <c r="R236" s="27"/>
      <c r="S236" s="44"/>
      <c r="T236" s="45" t="s">
        <v>155</v>
      </c>
      <c r="U236" s="39" t="s">
        <v>12</v>
      </c>
      <c r="V236" s="39">
        <v>9</v>
      </c>
      <c r="W236" s="39" t="s">
        <v>152</v>
      </c>
      <c r="X236" s="27">
        <v>33</v>
      </c>
      <c r="Y236" s="39">
        <v>1056</v>
      </c>
      <c r="Z236" s="41" t="s">
        <v>171</v>
      </c>
      <c r="AA236" s="27"/>
      <c r="AB236" s="44"/>
      <c r="AC236" s="45" t="s">
        <v>155</v>
      </c>
      <c r="AD236" s="39" t="s">
        <v>12</v>
      </c>
      <c r="AE236" s="39">
        <v>9</v>
      </c>
      <c r="AF236" s="39" t="s">
        <v>152</v>
      </c>
      <c r="AG236" s="27">
        <v>33</v>
      </c>
      <c r="AH236" s="39">
        <v>2032</v>
      </c>
      <c r="AI236" s="41" t="s">
        <v>163</v>
      </c>
      <c r="AJ236" s="27"/>
      <c r="AK236" s="44"/>
      <c r="AL236" s="45" t="s">
        <v>155</v>
      </c>
      <c r="AM236" s="39" t="s">
        <v>12</v>
      </c>
      <c r="AN236" s="39">
        <v>9</v>
      </c>
      <c r="AO236" s="39" t="s">
        <v>152</v>
      </c>
      <c r="AP236" s="27">
        <v>33</v>
      </c>
      <c r="AQ236" s="39">
        <v>2037</v>
      </c>
      <c r="AR236" s="41" t="s">
        <v>188</v>
      </c>
      <c r="AS236" s="27"/>
      <c r="AT236" s="44"/>
      <c r="AU236" s="45" t="s">
        <v>155</v>
      </c>
      <c r="AV236" s="39" t="s">
        <v>12</v>
      </c>
      <c r="AW236" s="39">
        <v>9</v>
      </c>
      <c r="AX236" s="39" t="s">
        <v>152</v>
      </c>
      <c r="AY236" s="27">
        <v>33</v>
      </c>
      <c r="AZ236" s="39" t="s">
        <v>99</v>
      </c>
      <c r="BA236" s="41" t="s">
        <v>164</v>
      </c>
      <c r="BB236" s="27"/>
      <c r="BC236" s="44"/>
      <c r="BD236" s="45" t="s">
        <v>155</v>
      </c>
      <c r="BE236" s="39" t="s">
        <v>12</v>
      </c>
      <c r="BF236" s="39">
        <v>9</v>
      </c>
      <c r="BG236" s="39" t="s">
        <v>152</v>
      </c>
      <c r="BH236" s="27">
        <v>33</v>
      </c>
      <c r="BI236" s="39">
        <v>1015</v>
      </c>
      <c r="BJ236" s="41" t="s">
        <v>183</v>
      </c>
      <c r="BK236" s="27"/>
      <c r="BL236" s="44"/>
      <c r="BM236" s="45" t="s">
        <v>155</v>
      </c>
      <c r="BN236" s="39" t="s">
        <v>12</v>
      </c>
      <c r="BO236" s="39">
        <v>9</v>
      </c>
      <c r="BP236" s="39" t="s">
        <v>152</v>
      </c>
      <c r="BQ236" s="27">
        <v>33</v>
      </c>
      <c r="BR236" s="39">
        <v>1018</v>
      </c>
      <c r="BS236" s="41" t="s">
        <v>168</v>
      </c>
      <c r="BT236" s="27"/>
      <c r="BU236" s="44"/>
      <c r="BV236" s="45" t="s">
        <v>155</v>
      </c>
      <c r="BW236" s="39" t="s">
        <v>12</v>
      </c>
      <c r="BX236" s="39">
        <v>9</v>
      </c>
      <c r="BY236" s="39" t="s">
        <v>152</v>
      </c>
      <c r="BZ236" s="27">
        <v>33</v>
      </c>
      <c r="CA236" s="39">
        <v>1064</v>
      </c>
      <c r="CB236" s="41" t="s">
        <v>182</v>
      </c>
      <c r="CC236" s="27"/>
      <c r="CD236" s="44"/>
      <c r="CE236" s="45" t="s">
        <v>155</v>
      </c>
      <c r="CF236" s="39" t="s">
        <v>12</v>
      </c>
      <c r="CG236" s="39">
        <v>9</v>
      </c>
      <c r="CH236" s="39" t="s">
        <v>152</v>
      </c>
      <c r="CI236" s="27">
        <v>33</v>
      </c>
      <c r="CJ236" s="39">
        <v>1062</v>
      </c>
      <c r="CK236" s="41" t="s">
        <v>160</v>
      </c>
    </row>
    <row r="237" spans="1:89" x14ac:dyDescent="0.25">
      <c r="A237" s="44"/>
      <c r="B237" s="45" t="s">
        <v>155</v>
      </c>
      <c r="C237" s="39" t="s">
        <v>12</v>
      </c>
      <c r="D237" s="39">
        <v>10</v>
      </c>
      <c r="E237" s="39" t="s">
        <v>152</v>
      </c>
      <c r="F237" s="27">
        <v>34</v>
      </c>
      <c r="G237" s="39">
        <v>2015</v>
      </c>
      <c r="H237" s="41" t="s">
        <v>186</v>
      </c>
      <c r="I237" s="27"/>
      <c r="J237" s="44"/>
      <c r="K237" s="45" t="s">
        <v>155</v>
      </c>
      <c r="L237" s="39" t="s">
        <v>12</v>
      </c>
      <c r="M237" s="39">
        <v>10</v>
      </c>
      <c r="N237" s="39" t="s">
        <v>152</v>
      </c>
      <c r="O237" s="27">
        <v>34</v>
      </c>
      <c r="P237" s="39">
        <v>1052</v>
      </c>
      <c r="Q237" s="41" t="s">
        <v>176</v>
      </c>
      <c r="R237" s="27"/>
      <c r="S237" s="44"/>
      <c r="T237" s="45" t="s">
        <v>155</v>
      </c>
      <c r="U237" s="39" t="s">
        <v>12</v>
      </c>
      <c r="V237" s="39">
        <v>10</v>
      </c>
      <c r="W237" s="39" t="s">
        <v>152</v>
      </c>
      <c r="X237" s="27">
        <v>34</v>
      </c>
      <c r="Y237" s="39">
        <v>1056</v>
      </c>
      <c r="Z237" s="41" t="s">
        <v>161</v>
      </c>
      <c r="AA237" s="27"/>
      <c r="AB237" s="44"/>
      <c r="AC237" s="45" t="s">
        <v>155</v>
      </c>
      <c r="AD237" s="39" t="s">
        <v>12</v>
      </c>
      <c r="AE237" s="39">
        <v>10</v>
      </c>
      <c r="AF237" s="39" t="s">
        <v>152</v>
      </c>
      <c r="AG237" s="27">
        <v>34</v>
      </c>
      <c r="AH237" s="39">
        <v>2032</v>
      </c>
      <c r="AI237" s="41" t="s">
        <v>171</v>
      </c>
      <c r="AJ237" s="27"/>
      <c r="AK237" s="44"/>
      <c r="AL237" s="45" t="s">
        <v>155</v>
      </c>
      <c r="AM237" s="39" t="s">
        <v>12</v>
      </c>
      <c r="AN237" s="39">
        <v>10</v>
      </c>
      <c r="AO237" s="39" t="s">
        <v>152</v>
      </c>
      <c r="AP237" s="27">
        <v>34</v>
      </c>
      <c r="AQ237" s="39">
        <v>2037</v>
      </c>
      <c r="AR237" s="41" t="s">
        <v>182</v>
      </c>
      <c r="AS237" s="27"/>
      <c r="AT237" s="44"/>
      <c r="AU237" s="45" t="s">
        <v>155</v>
      </c>
      <c r="AV237" s="39" t="s">
        <v>12</v>
      </c>
      <c r="AW237" s="39">
        <v>10</v>
      </c>
      <c r="AX237" s="39" t="s">
        <v>152</v>
      </c>
      <c r="AY237" s="27">
        <v>34</v>
      </c>
      <c r="AZ237" s="39" t="s">
        <v>99</v>
      </c>
      <c r="BA237" s="41" t="s">
        <v>172</v>
      </c>
      <c r="BB237" s="27"/>
      <c r="BC237" s="44"/>
      <c r="BD237" s="45" t="s">
        <v>155</v>
      </c>
      <c r="BE237" s="39" t="s">
        <v>12</v>
      </c>
      <c r="BF237" s="39">
        <v>10</v>
      </c>
      <c r="BG237" s="39" t="s">
        <v>152</v>
      </c>
      <c r="BH237" s="27">
        <v>34</v>
      </c>
      <c r="BI237" s="39">
        <v>1015</v>
      </c>
      <c r="BJ237" s="40" t="s">
        <v>186</v>
      </c>
      <c r="BK237" s="27"/>
      <c r="BL237" s="44"/>
      <c r="BM237" s="45" t="s">
        <v>155</v>
      </c>
      <c r="BN237" s="39" t="s">
        <v>12</v>
      </c>
      <c r="BO237" s="39">
        <v>10</v>
      </c>
      <c r="BP237" s="39" t="s">
        <v>152</v>
      </c>
      <c r="BQ237" s="27">
        <v>34</v>
      </c>
      <c r="BR237" s="39">
        <v>1018</v>
      </c>
      <c r="BS237" s="41" t="s">
        <v>176</v>
      </c>
      <c r="BT237" s="27"/>
      <c r="BU237" s="44"/>
      <c r="BV237" s="45" t="s">
        <v>155</v>
      </c>
      <c r="BW237" s="39" t="s">
        <v>12</v>
      </c>
      <c r="BX237" s="39">
        <v>10</v>
      </c>
      <c r="BY237" s="39" t="s">
        <v>152</v>
      </c>
      <c r="BZ237" s="27">
        <v>34</v>
      </c>
      <c r="CA237" s="39">
        <v>1064</v>
      </c>
      <c r="CB237" s="41" t="s">
        <v>184</v>
      </c>
      <c r="CC237" s="27"/>
      <c r="CD237" s="44"/>
      <c r="CE237" s="45" t="s">
        <v>155</v>
      </c>
      <c r="CF237" s="39" t="s">
        <v>12</v>
      </c>
      <c r="CG237" s="39">
        <v>10</v>
      </c>
      <c r="CH237" s="39" t="s">
        <v>152</v>
      </c>
      <c r="CI237" s="27">
        <v>34</v>
      </c>
      <c r="CJ237" s="39"/>
      <c r="CK237" s="41" t="s">
        <v>168</v>
      </c>
    </row>
    <row r="238" spans="1:89" x14ac:dyDescent="0.25">
      <c r="A238" s="44"/>
      <c r="B238" s="45" t="s">
        <v>155</v>
      </c>
      <c r="C238" s="39" t="s">
        <v>12</v>
      </c>
      <c r="D238" s="39">
        <v>11</v>
      </c>
      <c r="E238" s="39" t="s">
        <v>152</v>
      </c>
      <c r="F238" s="27">
        <v>35</v>
      </c>
      <c r="G238" s="39">
        <v>2015</v>
      </c>
      <c r="H238" s="41" t="s">
        <v>188</v>
      </c>
      <c r="I238" s="27"/>
      <c r="J238" s="44"/>
      <c r="K238" s="45" t="s">
        <v>155</v>
      </c>
      <c r="L238" s="39" t="s">
        <v>12</v>
      </c>
      <c r="M238" s="39">
        <v>11</v>
      </c>
      <c r="N238" s="39" t="s">
        <v>152</v>
      </c>
      <c r="O238" s="27">
        <v>35</v>
      </c>
      <c r="P238" s="39">
        <v>1052</v>
      </c>
      <c r="Q238" s="41" t="s">
        <v>164</v>
      </c>
      <c r="R238" s="27"/>
      <c r="S238" s="44"/>
      <c r="T238" s="45" t="s">
        <v>155</v>
      </c>
      <c r="U238" s="39" t="s">
        <v>12</v>
      </c>
      <c r="V238" s="39">
        <v>11</v>
      </c>
      <c r="W238" s="39" t="s">
        <v>152</v>
      </c>
      <c r="X238" s="27">
        <v>35</v>
      </c>
      <c r="Y238" s="39">
        <v>1056</v>
      </c>
      <c r="Z238" s="41" t="s">
        <v>169</v>
      </c>
      <c r="AA238" s="27"/>
      <c r="AB238" s="44"/>
      <c r="AC238" s="45" t="s">
        <v>155</v>
      </c>
      <c r="AD238" s="39" t="s">
        <v>12</v>
      </c>
      <c r="AE238" s="39">
        <v>11</v>
      </c>
      <c r="AF238" s="39" t="s">
        <v>152</v>
      </c>
      <c r="AG238" s="27">
        <v>35</v>
      </c>
      <c r="AH238" s="39">
        <v>2032</v>
      </c>
      <c r="AI238" s="41" t="s">
        <v>161</v>
      </c>
      <c r="AJ238" s="27"/>
      <c r="AK238" s="44"/>
      <c r="AL238" s="45" t="s">
        <v>155</v>
      </c>
      <c r="AM238" s="39" t="s">
        <v>12</v>
      </c>
      <c r="AN238" s="39">
        <v>11</v>
      </c>
      <c r="AO238" s="39" t="s">
        <v>152</v>
      </c>
      <c r="AP238" s="27">
        <v>35</v>
      </c>
      <c r="AQ238" s="39">
        <v>2037</v>
      </c>
      <c r="AR238" s="41" t="s">
        <v>184</v>
      </c>
      <c r="AS238" s="27"/>
      <c r="AT238" s="44"/>
      <c r="AU238" s="45" t="s">
        <v>155</v>
      </c>
      <c r="AV238" s="39" t="s">
        <v>12</v>
      </c>
      <c r="AW238" s="39">
        <v>11</v>
      </c>
      <c r="AX238" s="39" t="s">
        <v>152</v>
      </c>
      <c r="AY238" s="27">
        <v>35</v>
      </c>
      <c r="AZ238" s="39" t="s">
        <v>99</v>
      </c>
      <c r="BA238" s="46" t="s">
        <v>162</v>
      </c>
      <c r="BB238" s="27"/>
      <c r="BC238" s="44"/>
      <c r="BD238" s="45" t="s">
        <v>155</v>
      </c>
      <c r="BE238" s="39" t="s">
        <v>12</v>
      </c>
      <c r="BF238" s="39">
        <v>11</v>
      </c>
      <c r="BG238" s="39" t="s">
        <v>152</v>
      </c>
      <c r="BH238" s="27">
        <v>35</v>
      </c>
      <c r="BI238" s="39">
        <v>1015</v>
      </c>
      <c r="BJ238" s="41" t="s">
        <v>188</v>
      </c>
      <c r="BK238" s="27"/>
      <c r="BL238" s="44"/>
      <c r="BM238" s="45" t="s">
        <v>155</v>
      </c>
      <c r="BN238" s="39" t="s">
        <v>12</v>
      </c>
      <c r="BO238" s="39">
        <v>11</v>
      </c>
      <c r="BP238" s="39" t="s">
        <v>152</v>
      </c>
      <c r="BQ238" s="27">
        <v>35</v>
      </c>
      <c r="BR238" s="39">
        <v>1018</v>
      </c>
      <c r="BS238" s="41" t="s">
        <v>164</v>
      </c>
      <c r="BT238" s="27"/>
      <c r="BU238" s="44"/>
      <c r="BV238" s="45" t="s">
        <v>155</v>
      </c>
      <c r="BW238" s="39" t="s">
        <v>12</v>
      </c>
      <c r="BX238" s="39">
        <v>11</v>
      </c>
      <c r="BY238" s="39" t="s">
        <v>152</v>
      </c>
      <c r="BZ238" s="27">
        <v>35</v>
      </c>
      <c r="CA238" s="39">
        <v>1064</v>
      </c>
      <c r="CB238" s="41" t="s">
        <v>187</v>
      </c>
      <c r="CC238" s="27"/>
      <c r="CD238" s="44"/>
      <c r="CE238" s="45" t="s">
        <v>155</v>
      </c>
      <c r="CF238" s="39" t="s">
        <v>12</v>
      </c>
      <c r="CG238" s="39">
        <v>11</v>
      </c>
      <c r="CH238" s="39" t="s">
        <v>152</v>
      </c>
      <c r="CI238" s="27">
        <v>35</v>
      </c>
      <c r="CJ238" s="39"/>
      <c r="CK238" s="41" t="s">
        <v>176</v>
      </c>
    </row>
    <row r="239" spans="1:89" ht="15.75" thickBot="1" x14ac:dyDescent="0.3">
      <c r="A239" s="52"/>
      <c r="B239" s="53" t="s">
        <v>155</v>
      </c>
      <c r="C239" s="54" t="s">
        <v>12</v>
      </c>
      <c r="D239" s="54">
        <v>12</v>
      </c>
      <c r="E239" s="54" t="s">
        <v>152</v>
      </c>
      <c r="F239" s="55">
        <v>36</v>
      </c>
      <c r="G239" s="39">
        <v>2015</v>
      </c>
      <c r="H239" s="41" t="s">
        <v>182</v>
      </c>
      <c r="I239" s="27"/>
      <c r="J239" s="52"/>
      <c r="K239" s="53" t="s">
        <v>155</v>
      </c>
      <c r="L239" s="54" t="s">
        <v>12</v>
      </c>
      <c r="M239" s="54">
        <v>12</v>
      </c>
      <c r="N239" s="54" t="s">
        <v>152</v>
      </c>
      <c r="O239" s="55">
        <v>36</v>
      </c>
      <c r="P239" s="39">
        <v>1052</v>
      </c>
      <c r="Q239" s="41" t="s">
        <v>172</v>
      </c>
      <c r="R239" s="27"/>
      <c r="S239" s="52"/>
      <c r="T239" s="53" t="s">
        <v>155</v>
      </c>
      <c r="U239" s="54" t="s">
        <v>12</v>
      </c>
      <c r="V239" s="54">
        <v>12</v>
      </c>
      <c r="W239" s="54" t="s">
        <v>152</v>
      </c>
      <c r="X239" s="55">
        <v>36</v>
      </c>
      <c r="Y239" s="39">
        <v>1056</v>
      </c>
      <c r="Z239" s="41" t="s">
        <v>177</v>
      </c>
      <c r="AA239" s="27"/>
      <c r="AB239" s="52"/>
      <c r="AC239" s="53" t="s">
        <v>155</v>
      </c>
      <c r="AD239" s="54" t="s">
        <v>12</v>
      </c>
      <c r="AE239" s="54">
        <v>12</v>
      </c>
      <c r="AF239" s="54" t="s">
        <v>152</v>
      </c>
      <c r="AG239" s="55">
        <v>36</v>
      </c>
      <c r="AH239" s="39">
        <v>2032</v>
      </c>
      <c r="AI239" s="41" t="s">
        <v>169</v>
      </c>
      <c r="AJ239" s="27"/>
      <c r="AK239" s="52"/>
      <c r="AL239" s="53" t="s">
        <v>155</v>
      </c>
      <c r="AM239" s="54" t="s">
        <v>12</v>
      </c>
      <c r="AN239" s="54">
        <v>12</v>
      </c>
      <c r="AO239" s="54" t="s">
        <v>152</v>
      </c>
      <c r="AP239" s="55">
        <v>36</v>
      </c>
      <c r="AQ239" s="39">
        <v>2037</v>
      </c>
      <c r="AR239" s="41" t="s">
        <v>187</v>
      </c>
      <c r="AS239" s="27"/>
      <c r="AT239" s="52"/>
      <c r="AU239" s="53" t="s">
        <v>155</v>
      </c>
      <c r="AV239" s="54" t="s">
        <v>12</v>
      </c>
      <c r="AW239" s="54">
        <v>12</v>
      </c>
      <c r="AX239" s="54" t="s">
        <v>152</v>
      </c>
      <c r="AY239" s="55">
        <v>36</v>
      </c>
      <c r="AZ239" s="39" t="s">
        <v>99</v>
      </c>
      <c r="BA239" s="41" t="s">
        <v>170</v>
      </c>
      <c r="BB239" s="27"/>
      <c r="BC239" s="52"/>
      <c r="BD239" s="53" t="s">
        <v>155</v>
      </c>
      <c r="BE239" s="54" t="s">
        <v>12</v>
      </c>
      <c r="BF239" s="54">
        <v>12</v>
      </c>
      <c r="BG239" s="54" t="s">
        <v>152</v>
      </c>
      <c r="BH239" s="55">
        <v>36</v>
      </c>
      <c r="BI239" s="39">
        <v>1015</v>
      </c>
      <c r="BJ239" s="41" t="s">
        <v>182</v>
      </c>
      <c r="BK239" s="27"/>
      <c r="BL239" s="52"/>
      <c r="BM239" s="53" t="s">
        <v>155</v>
      </c>
      <c r="BN239" s="54" t="s">
        <v>12</v>
      </c>
      <c r="BO239" s="54">
        <v>12</v>
      </c>
      <c r="BP239" s="54" t="s">
        <v>152</v>
      </c>
      <c r="BQ239" s="55">
        <v>36</v>
      </c>
      <c r="BR239" s="39">
        <v>1018</v>
      </c>
      <c r="BS239" s="41" t="s">
        <v>172</v>
      </c>
      <c r="BT239" s="27"/>
      <c r="BU239" s="52"/>
      <c r="BV239" s="53" t="s">
        <v>155</v>
      </c>
      <c r="BW239" s="54" t="s">
        <v>12</v>
      </c>
      <c r="BX239" s="54">
        <v>12</v>
      </c>
      <c r="BY239" s="54" t="s">
        <v>152</v>
      </c>
      <c r="BZ239" s="55">
        <v>36</v>
      </c>
      <c r="CA239" s="39">
        <v>1064</v>
      </c>
      <c r="CB239" s="41" t="s">
        <v>189</v>
      </c>
      <c r="CC239" s="27"/>
      <c r="CD239" s="52"/>
      <c r="CE239" s="53" t="s">
        <v>155</v>
      </c>
      <c r="CF239" s="54" t="s">
        <v>12</v>
      </c>
      <c r="CG239" s="54">
        <v>12</v>
      </c>
      <c r="CH239" s="54" t="s">
        <v>152</v>
      </c>
      <c r="CI239" s="55">
        <v>36</v>
      </c>
      <c r="CJ239" s="39"/>
      <c r="CK239" s="41" t="s">
        <v>164</v>
      </c>
    </row>
    <row r="240" spans="1:89" x14ac:dyDescent="0.25">
      <c r="A240" s="60"/>
      <c r="B240" s="36" t="s">
        <v>155</v>
      </c>
      <c r="C240" s="61" t="s">
        <v>15</v>
      </c>
      <c r="D240" s="61">
        <v>1</v>
      </c>
      <c r="E240" s="61" t="s">
        <v>152</v>
      </c>
      <c r="F240" s="62">
        <v>37</v>
      </c>
      <c r="G240" s="39">
        <v>2015</v>
      </c>
      <c r="H240" s="46" t="s">
        <v>184</v>
      </c>
      <c r="I240" s="27"/>
      <c r="J240" s="60"/>
      <c r="K240" s="36" t="s">
        <v>155</v>
      </c>
      <c r="L240" s="61" t="s">
        <v>15</v>
      </c>
      <c r="M240" s="61">
        <v>1</v>
      </c>
      <c r="N240" s="61" t="s">
        <v>152</v>
      </c>
      <c r="O240" s="62">
        <v>37</v>
      </c>
      <c r="P240" s="39">
        <v>1052</v>
      </c>
      <c r="Q240" s="41" t="s">
        <v>162</v>
      </c>
      <c r="R240" s="27"/>
      <c r="S240" s="60"/>
      <c r="T240" s="36" t="s">
        <v>155</v>
      </c>
      <c r="U240" s="61" t="s">
        <v>15</v>
      </c>
      <c r="V240" s="61">
        <v>1</v>
      </c>
      <c r="W240" s="61" t="s">
        <v>152</v>
      </c>
      <c r="X240" s="62">
        <v>37</v>
      </c>
      <c r="Y240" s="39">
        <v>1056</v>
      </c>
      <c r="Z240" s="41" t="s">
        <v>180</v>
      </c>
      <c r="AA240" s="27"/>
      <c r="AB240" s="60"/>
      <c r="AC240" s="36" t="s">
        <v>155</v>
      </c>
      <c r="AD240" s="61" t="s">
        <v>15</v>
      </c>
      <c r="AE240" s="61">
        <v>1</v>
      </c>
      <c r="AF240" s="61" t="s">
        <v>152</v>
      </c>
      <c r="AG240" s="62">
        <v>37</v>
      </c>
      <c r="AH240" s="39">
        <v>2032</v>
      </c>
      <c r="AI240" s="46" t="s">
        <v>177</v>
      </c>
      <c r="AJ240" s="27"/>
      <c r="AK240" s="60"/>
      <c r="AL240" s="36" t="s">
        <v>155</v>
      </c>
      <c r="AM240" s="61" t="s">
        <v>15</v>
      </c>
      <c r="AN240" s="61">
        <v>1</v>
      </c>
      <c r="AO240" s="61" t="s">
        <v>152</v>
      </c>
      <c r="AP240" s="62">
        <v>37</v>
      </c>
      <c r="AQ240" s="39">
        <v>2037</v>
      </c>
      <c r="AR240" s="41" t="s">
        <v>189</v>
      </c>
      <c r="AS240" s="27"/>
      <c r="AT240" s="60"/>
      <c r="AU240" s="36" t="s">
        <v>155</v>
      </c>
      <c r="AV240" s="61" t="s">
        <v>15</v>
      </c>
      <c r="AW240" s="61">
        <v>1</v>
      </c>
      <c r="AX240" s="61" t="s">
        <v>152</v>
      </c>
      <c r="AY240" s="62">
        <v>37</v>
      </c>
      <c r="AZ240" s="39" t="s">
        <v>99</v>
      </c>
      <c r="BA240" s="41" t="s">
        <v>178</v>
      </c>
      <c r="BB240" s="27"/>
      <c r="BC240" s="60"/>
      <c r="BD240" s="36" t="s">
        <v>155</v>
      </c>
      <c r="BE240" s="61" t="s">
        <v>15</v>
      </c>
      <c r="BF240" s="61">
        <v>1</v>
      </c>
      <c r="BG240" s="61" t="s">
        <v>152</v>
      </c>
      <c r="BH240" s="62">
        <v>37</v>
      </c>
      <c r="BI240" s="39">
        <v>1015</v>
      </c>
      <c r="BJ240" s="41" t="s">
        <v>184</v>
      </c>
      <c r="BK240" s="27"/>
      <c r="BL240" s="60"/>
      <c r="BM240" s="36" t="s">
        <v>155</v>
      </c>
      <c r="BN240" s="61" t="s">
        <v>15</v>
      </c>
      <c r="BO240" s="61">
        <v>1</v>
      </c>
      <c r="BP240" s="61" t="s">
        <v>152</v>
      </c>
      <c r="BQ240" s="62">
        <v>37</v>
      </c>
      <c r="BR240" s="39">
        <v>1018</v>
      </c>
      <c r="BS240" s="41" t="s">
        <v>162</v>
      </c>
      <c r="BT240" s="27"/>
      <c r="BU240" s="60"/>
      <c r="BV240" s="36" t="s">
        <v>155</v>
      </c>
      <c r="BW240" s="61" t="s">
        <v>15</v>
      </c>
      <c r="BX240" s="61">
        <v>1</v>
      </c>
      <c r="BY240" s="61" t="s">
        <v>152</v>
      </c>
      <c r="BZ240" s="62">
        <v>37</v>
      </c>
      <c r="CA240" s="39">
        <v>3003</v>
      </c>
      <c r="CB240" s="41" t="s">
        <v>160</v>
      </c>
      <c r="CC240" s="27"/>
      <c r="CD240" s="60"/>
      <c r="CE240" s="36" t="s">
        <v>155</v>
      </c>
      <c r="CF240" s="61" t="s">
        <v>15</v>
      </c>
      <c r="CG240" s="61">
        <v>1</v>
      </c>
      <c r="CH240" s="61" t="s">
        <v>152</v>
      </c>
      <c r="CI240" s="62">
        <v>37</v>
      </c>
      <c r="CJ240" s="39"/>
      <c r="CK240" s="41" t="s">
        <v>172</v>
      </c>
    </row>
    <row r="241" spans="1:89" x14ac:dyDescent="0.25">
      <c r="A241" s="44"/>
      <c r="B241" s="45" t="s">
        <v>155</v>
      </c>
      <c r="C241" s="39" t="s">
        <v>15</v>
      </c>
      <c r="D241" s="39">
        <v>2</v>
      </c>
      <c r="E241" s="39" t="s">
        <v>152</v>
      </c>
      <c r="F241" s="27">
        <v>38</v>
      </c>
      <c r="G241" s="39">
        <v>2015</v>
      </c>
      <c r="H241" s="41" t="s">
        <v>187</v>
      </c>
      <c r="I241" s="27"/>
      <c r="J241" s="44"/>
      <c r="K241" s="45" t="s">
        <v>155</v>
      </c>
      <c r="L241" s="39" t="s">
        <v>15</v>
      </c>
      <c r="M241" s="39">
        <v>2</v>
      </c>
      <c r="N241" s="39" t="s">
        <v>152</v>
      </c>
      <c r="O241" s="27">
        <v>38</v>
      </c>
      <c r="P241" s="39">
        <v>1052</v>
      </c>
      <c r="Q241" s="41" t="s">
        <v>170</v>
      </c>
      <c r="R241" s="27"/>
      <c r="S241" s="44"/>
      <c r="T241" s="45" t="s">
        <v>155</v>
      </c>
      <c r="U241" s="39" t="s">
        <v>15</v>
      </c>
      <c r="V241" s="39">
        <v>2</v>
      </c>
      <c r="W241" s="39" t="s">
        <v>152</v>
      </c>
      <c r="X241" s="27">
        <v>38</v>
      </c>
      <c r="Y241" s="39">
        <v>1056</v>
      </c>
      <c r="Z241" s="41" t="s">
        <v>181</v>
      </c>
      <c r="AA241" s="27"/>
      <c r="AB241" s="44"/>
      <c r="AC241" s="45" t="s">
        <v>155</v>
      </c>
      <c r="AD241" s="39" t="s">
        <v>15</v>
      </c>
      <c r="AE241" s="39">
        <v>2</v>
      </c>
      <c r="AF241" s="39" t="s">
        <v>152</v>
      </c>
      <c r="AG241" s="27">
        <v>38</v>
      </c>
      <c r="AH241" s="39">
        <v>2032</v>
      </c>
      <c r="AI241" s="41" t="s">
        <v>180</v>
      </c>
      <c r="AJ241" s="27"/>
      <c r="AK241" s="44"/>
      <c r="AL241" s="45" t="s">
        <v>155</v>
      </c>
      <c r="AM241" s="39" t="s">
        <v>15</v>
      </c>
      <c r="AN241" s="39">
        <v>2</v>
      </c>
      <c r="AO241" s="39" t="s">
        <v>152</v>
      </c>
      <c r="AP241" s="27">
        <v>38</v>
      </c>
      <c r="AQ241" s="39">
        <v>2038</v>
      </c>
      <c r="AR241" s="41" t="s">
        <v>160</v>
      </c>
      <c r="AS241" s="27"/>
      <c r="AT241" s="44"/>
      <c r="AU241" s="45" t="s">
        <v>155</v>
      </c>
      <c r="AV241" s="39" t="s">
        <v>15</v>
      </c>
      <c r="AW241" s="39">
        <v>2</v>
      </c>
      <c r="AX241" s="39" t="s">
        <v>152</v>
      </c>
      <c r="AY241" s="27">
        <v>38</v>
      </c>
      <c r="AZ241" s="39" t="s">
        <v>99</v>
      </c>
      <c r="BA241" s="41" t="s">
        <v>163</v>
      </c>
      <c r="BB241" s="27"/>
      <c r="BC241" s="44"/>
      <c r="BD241" s="45" t="s">
        <v>155</v>
      </c>
      <c r="BE241" s="39" t="s">
        <v>15</v>
      </c>
      <c r="BF241" s="39">
        <v>2</v>
      </c>
      <c r="BG241" s="39" t="s">
        <v>152</v>
      </c>
      <c r="BH241" s="27">
        <v>38</v>
      </c>
      <c r="BI241" s="39">
        <v>1015</v>
      </c>
      <c r="BJ241" s="41" t="s">
        <v>187</v>
      </c>
      <c r="BK241" s="27"/>
      <c r="BL241" s="44"/>
      <c r="BM241" s="45" t="s">
        <v>155</v>
      </c>
      <c r="BN241" s="39" t="s">
        <v>15</v>
      </c>
      <c r="BO241" s="39">
        <v>2</v>
      </c>
      <c r="BP241" s="39" t="s">
        <v>152</v>
      </c>
      <c r="BQ241" s="27">
        <v>38</v>
      </c>
      <c r="BR241" s="39">
        <v>1018</v>
      </c>
      <c r="BS241" s="41" t="s">
        <v>170</v>
      </c>
      <c r="BT241" s="27"/>
      <c r="BU241" s="44"/>
      <c r="BV241" s="45" t="s">
        <v>155</v>
      </c>
      <c r="BW241" s="39" t="s">
        <v>15</v>
      </c>
      <c r="BX241" s="39">
        <v>2</v>
      </c>
      <c r="BY241" s="39" t="s">
        <v>152</v>
      </c>
      <c r="BZ241" s="27">
        <v>38</v>
      </c>
      <c r="CA241" s="39">
        <v>3003</v>
      </c>
      <c r="CB241" s="41" t="s">
        <v>168</v>
      </c>
      <c r="CC241" s="27"/>
      <c r="CD241" s="44"/>
      <c r="CE241" s="45" t="s">
        <v>155</v>
      </c>
      <c r="CF241" s="39" t="s">
        <v>15</v>
      </c>
      <c r="CG241" s="39">
        <v>2</v>
      </c>
      <c r="CH241" s="39" t="s">
        <v>152</v>
      </c>
      <c r="CI241" s="27">
        <v>38</v>
      </c>
      <c r="CJ241" s="39"/>
      <c r="CK241" s="41" t="s">
        <v>162</v>
      </c>
    </row>
    <row r="242" spans="1:89" ht="15.75" thickBot="1" x14ac:dyDescent="0.3">
      <c r="A242" s="44"/>
      <c r="B242" s="45" t="s">
        <v>155</v>
      </c>
      <c r="C242" s="39" t="s">
        <v>15</v>
      </c>
      <c r="D242" s="39">
        <v>3</v>
      </c>
      <c r="E242" s="39" t="s">
        <v>152</v>
      </c>
      <c r="F242" s="27">
        <v>39</v>
      </c>
      <c r="G242" s="39">
        <v>2015</v>
      </c>
      <c r="H242" s="41" t="s">
        <v>189</v>
      </c>
      <c r="I242" s="27"/>
      <c r="J242" s="44"/>
      <c r="K242" s="45" t="s">
        <v>155</v>
      </c>
      <c r="L242" s="39" t="s">
        <v>15</v>
      </c>
      <c r="M242" s="39">
        <v>3</v>
      </c>
      <c r="N242" s="39" t="s">
        <v>152</v>
      </c>
      <c r="O242" s="27">
        <v>39</v>
      </c>
      <c r="P242" s="39">
        <v>1052</v>
      </c>
      <c r="Q242" s="41" t="s">
        <v>178</v>
      </c>
      <c r="R242" s="27"/>
      <c r="S242" s="44"/>
      <c r="T242" s="45" t="s">
        <v>155</v>
      </c>
      <c r="U242" s="39" t="s">
        <v>15</v>
      </c>
      <c r="V242" s="39">
        <v>3</v>
      </c>
      <c r="W242" s="39" t="s">
        <v>152</v>
      </c>
      <c r="X242" s="27">
        <v>39</v>
      </c>
      <c r="Y242" s="39">
        <v>1056</v>
      </c>
      <c r="Z242" s="41" t="s">
        <v>183</v>
      </c>
      <c r="AA242" s="27"/>
      <c r="AB242" s="44"/>
      <c r="AC242" s="45" t="s">
        <v>155</v>
      </c>
      <c r="AD242" s="39" t="s">
        <v>15</v>
      </c>
      <c r="AE242" s="39">
        <v>3</v>
      </c>
      <c r="AF242" s="39" t="s">
        <v>152</v>
      </c>
      <c r="AG242" s="27">
        <v>39</v>
      </c>
      <c r="AH242" s="39">
        <v>2032</v>
      </c>
      <c r="AI242" s="41" t="s">
        <v>181</v>
      </c>
      <c r="AJ242" s="27"/>
      <c r="AK242" s="44"/>
      <c r="AL242" s="45" t="s">
        <v>155</v>
      </c>
      <c r="AM242" s="39" t="s">
        <v>15</v>
      </c>
      <c r="AN242" s="39">
        <v>3</v>
      </c>
      <c r="AO242" s="39" t="s">
        <v>152</v>
      </c>
      <c r="AP242" s="27">
        <v>39</v>
      </c>
      <c r="AQ242" s="39">
        <v>2038</v>
      </c>
      <c r="AR242" s="41" t="s">
        <v>168</v>
      </c>
      <c r="AS242" s="27"/>
      <c r="AT242" s="44"/>
      <c r="AU242" s="45" t="s">
        <v>155</v>
      </c>
      <c r="AV242" s="39" t="s">
        <v>15</v>
      </c>
      <c r="AW242" s="39">
        <v>3</v>
      </c>
      <c r="AX242" s="39" t="s">
        <v>152</v>
      </c>
      <c r="AY242" s="27">
        <v>39</v>
      </c>
      <c r="AZ242" s="39" t="s">
        <v>99</v>
      </c>
      <c r="BA242" s="41" t="s">
        <v>171</v>
      </c>
      <c r="BB242" s="27"/>
      <c r="BC242" s="44"/>
      <c r="BD242" s="45" t="s">
        <v>155</v>
      </c>
      <c r="BE242" s="39" t="s">
        <v>15</v>
      </c>
      <c r="BF242" s="39">
        <v>3</v>
      </c>
      <c r="BG242" s="39" t="s">
        <v>152</v>
      </c>
      <c r="BH242" s="27">
        <v>39</v>
      </c>
      <c r="BI242" s="39">
        <v>1015</v>
      </c>
      <c r="BJ242" s="41" t="s">
        <v>189</v>
      </c>
      <c r="BK242" s="27"/>
      <c r="BL242" s="44"/>
      <c r="BM242" s="45" t="s">
        <v>155</v>
      </c>
      <c r="BN242" s="39" t="s">
        <v>15</v>
      </c>
      <c r="BO242" s="39">
        <v>3</v>
      </c>
      <c r="BP242" s="39" t="s">
        <v>152</v>
      </c>
      <c r="BQ242" s="27">
        <v>39</v>
      </c>
      <c r="BR242" s="39">
        <v>1018</v>
      </c>
      <c r="BS242" s="41" t="s">
        <v>178</v>
      </c>
      <c r="BT242" s="27"/>
      <c r="BU242" s="44"/>
      <c r="BV242" s="45" t="s">
        <v>155</v>
      </c>
      <c r="BW242" s="39" t="s">
        <v>15</v>
      </c>
      <c r="BX242" s="39">
        <v>3</v>
      </c>
      <c r="BY242" s="39" t="s">
        <v>152</v>
      </c>
      <c r="BZ242" s="27">
        <v>39</v>
      </c>
      <c r="CA242" s="39">
        <v>3003</v>
      </c>
      <c r="CB242" s="41" t="s">
        <v>176</v>
      </c>
      <c r="CC242" s="27"/>
      <c r="CD242" s="44"/>
      <c r="CE242" s="45" t="s">
        <v>155</v>
      </c>
      <c r="CF242" s="39" t="s">
        <v>15</v>
      </c>
      <c r="CG242" s="39">
        <v>3</v>
      </c>
      <c r="CH242" s="39" t="s">
        <v>152</v>
      </c>
      <c r="CI242" s="27">
        <v>39</v>
      </c>
      <c r="CJ242" s="39"/>
      <c r="CK242" s="41" t="s">
        <v>170</v>
      </c>
    </row>
    <row r="243" spans="1:89" x14ac:dyDescent="0.25">
      <c r="A243" s="44"/>
      <c r="B243" s="45" t="s">
        <v>155</v>
      </c>
      <c r="C243" s="39" t="s">
        <v>15</v>
      </c>
      <c r="D243" s="39">
        <v>4</v>
      </c>
      <c r="E243" s="39" t="s">
        <v>152</v>
      </c>
      <c r="F243" s="27">
        <v>40</v>
      </c>
      <c r="G243" s="39">
        <v>1042</v>
      </c>
      <c r="H243" s="41" t="s">
        <v>160</v>
      </c>
      <c r="I243" s="27"/>
      <c r="J243" s="44"/>
      <c r="K243" s="45" t="s">
        <v>155</v>
      </c>
      <c r="L243" s="39" t="s">
        <v>15</v>
      </c>
      <c r="M243" s="39">
        <v>4</v>
      </c>
      <c r="N243" s="39" t="s">
        <v>152</v>
      </c>
      <c r="O243" s="27">
        <v>40</v>
      </c>
      <c r="P243" s="39">
        <v>1052</v>
      </c>
      <c r="Q243" s="40" t="s">
        <v>163</v>
      </c>
      <c r="R243" s="27"/>
      <c r="S243" s="44"/>
      <c r="T243" s="45" t="s">
        <v>155</v>
      </c>
      <c r="U243" s="39" t="s">
        <v>15</v>
      </c>
      <c r="V243" s="39">
        <v>4</v>
      </c>
      <c r="W243" s="39" t="s">
        <v>152</v>
      </c>
      <c r="X243" s="27">
        <v>40</v>
      </c>
      <c r="Y243" s="39">
        <v>1056</v>
      </c>
      <c r="Z243" s="41" t="s">
        <v>186</v>
      </c>
      <c r="AA243" s="27"/>
      <c r="AB243" s="44"/>
      <c r="AC243" s="45" t="s">
        <v>155</v>
      </c>
      <c r="AD243" s="39" t="s">
        <v>15</v>
      </c>
      <c r="AE243" s="39">
        <v>4</v>
      </c>
      <c r="AF243" s="39" t="s">
        <v>152</v>
      </c>
      <c r="AG243" s="27">
        <v>40</v>
      </c>
      <c r="AH243" s="39">
        <v>2032</v>
      </c>
      <c r="AI243" s="41" t="s">
        <v>183</v>
      </c>
      <c r="AJ243" s="27"/>
      <c r="AK243" s="44"/>
      <c r="AL243" s="45" t="s">
        <v>155</v>
      </c>
      <c r="AM243" s="39" t="s">
        <v>15</v>
      </c>
      <c r="AN243" s="39">
        <v>4</v>
      </c>
      <c r="AO243" s="39" t="s">
        <v>152</v>
      </c>
      <c r="AP243" s="27">
        <v>40</v>
      </c>
      <c r="AQ243" s="39">
        <v>2038</v>
      </c>
      <c r="AR243" s="41" t="s">
        <v>176</v>
      </c>
      <c r="AS243" s="27"/>
      <c r="AT243" s="44"/>
      <c r="AU243" s="45" t="s">
        <v>155</v>
      </c>
      <c r="AV243" s="39" t="s">
        <v>15</v>
      </c>
      <c r="AW243" s="39">
        <v>4</v>
      </c>
      <c r="AX243" s="39" t="s">
        <v>152</v>
      </c>
      <c r="AY243" s="27">
        <v>40</v>
      </c>
      <c r="AZ243" s="39" t="s">
        <v>99</v>
      </c>
      <c r="BA243" s="41" t="s">
        <v>161</v>
      </c>
      <c r="BB243" s="27"/>
      <c r="BC243" s="44"/>
      <c r="BD243" s="45" t="s">
        <v>155</v>
      </c>
      <c r="BE243" s="39" t="s">
        <v>15</v>
      </c>
      <c r="BF243" s="39">
        <v>4</v>
      </c>
      <c r="BG243" s="39" t="s">
        <v>152</v>
      </c>
      <c r="BH243" s="27">
        <v>40</v>
      </c>
      <c r="BI243" s="39">
        <v>2011</v>
      </c>
      <c r="BJ243" s="41" t="s">
        <v>160</v>
      </c>
      <c r="BK243" s="27"/>
      <c r="BL243" s="44"/>
      <c r="BM243" s="45" t="s">
        <v>155</v>
      </c>
      <c r="BN243" s="39" t="s">
        <v>15</v>
      </c>
      <c r="BO243" s="39">
        <v>4</v>
      </c>
      <c r="BP243" s="39" t="s">
        <v>152</v>
      </c>
      <c r="BQ243" s="27">
        <v>40</v>
      </c>
      <c r="BR243" s="39">
        <v>1018</v>
      </c>
      <c r="BS243" s="41" t="s">
        <v>163</v>
      </c>
      <c r="BT243" s="27"/>
      <c r="BU243" s="44"/>
      <c r="BV243" s="45" t="s">
        <v>155</v>
      </c>
      <c r="BW243" s="39" t="s">
        <v>15</v>
      </c>
      <c r="BX243" s="39">
        <v>4</v>
      </c>
      <c r="BY243" s="39" t="s">
        <v>152</v>
      </c>
      <c r="BZ243" s="27">
        <v>40</v>
      </c>
      <c r="CA243" s="39">
        <v>3003</v>
      </c>
      <c r="CB243" s="41" t="s">
        <v>164</v>
      </c>
      <c r="CC243" s="27"/>
      <c r="CD243" s="44"/>
      <c r="CE243" s="45" t="s">
        <v>155</v>
      </c>
      <c r="CF243" s="39" t="s">
        <v>15</v>
      </c>
      <c r="CG243" s="39">
        <v>4</v>
      </c>
      <c r="CH243" s="39" t="s">
        <v>152</v>
      </c>
      <c r="CI243" s="27">
        <v>40</v>
      </c>
      <c r="CJ243" s="39"/>
      <c r="CK243" s="41" t="s">
        <v>178</v>
      </c>
    </row>
    <row r="244" spans="1:89" x14ac:dyDescent="0.25">
      <c r="A244" s="44"/>
      <c r="B244" s="45" t="s">
        <v>155</v>
      </c>
      <c r="C244" s="39" t="s">
        <v>15</v>
      </c>
      <c r="D244" s="39">
        <v>5</v>
      </c>
      <c r="E244" s="39" t="s">
        <v>152</v>
      </c>
      <c r="F244" s="27">
        <v>41</v>
      </c>
      <c r="G244" s="39">
        <v>1042</v>
      </c>
      <c r="H244" s="41" t="s">
        <v>168</v>
      </c>
      <c r="I244" s="27"/>
      <c r="J244" s="44"/>
      <c r="K244" s="45" t="s">
        <v>155</v>
      </c>
      <c r="L244" s="39" t="s">
        <v>15</v>
      </c>
      <c r="M244" s="39">
        <v>5</v>
      </c>
      <c r="N244" s="39" t="s">
        <v>152</v>
      </c>
      <c r="O244" s="27">
        <v>41</v>
      </c>
      <c r="P244" s="39">
        <v>1052</v>
      </c>
      <c r="Q244" s="41" t="s">
        <v>171</v>
      </c>
      <c r="R244" s="27"/>
      <c r="S244" s="44"/>
      <c r="T244" s="45" t="s">
        <v>155</v>
      </c>
      <c r="U244" s="39" t="s">
        <v>15</v>
      </c>
      <c r="V244" s="39">
        <v>5</v>
      </c>
      <c r="W244" s="39" t="s">
        <v>152</v>
      </c>
      <c r="X244" s="27">
        <v>41</v>
      </c>
      <c r="Y244" s="39">
        <v>1056</v>
      </c>
      <c r="Z244" s="41" t="s">
        <v>188</v>
      </c>
      <c r="AA244" s="27"/>
      <c r="AB244" s="44"/>
      <c r="AC244" s="45" t="s">
        <v>155</v>
      </c>
      <c r="AD244" s="39" t="s">
        <v>15</v>
      </c>
      <c r="AE244" s="39">
        <v>5</v>
      </c>
      <c r="AF244" s="39" t="s">
        <v>152</v>
      </c>
      <c r="AG244" s="27">
        <v>41</v>
      </c>
      <c r="AH244" s="39">
        <v>2032</v>
      </c>
      <c r="AI244" s="41" t="s">
        <v>186</v>
      </c>
      <c r="AJ244" s="27"/>
      <c r="AK244" s="44"/>
      <c r="AL244" s="45" t="s">
        <v>155</v>
      </c>
      <c r="AM244" s="39" t="s">
        <v>15</v>
      </c>
      <c r="AN244" s="39">
        <v>5</v>
      </c>
      <c r="AO244" s="39" t="s">
        <v>152</v>
      </c>
      <c r="AP244" s="27">
        <v>41</v>
      </c>
      <c r="AQ244" s="39">
        <v>2038</v>
      </c>
      <c r="AR244" s="41" t="s">
        <v>164</v>
      </c>
      <c r="AS244" s="27"/>
      <c r="AT244" s="44"/>
      <c r="AU244" s="45" t="s">
        <v>155</v>
      </c>
      <c r="AV244" s="39" t="s">
        <v>15</v>
      </c>
      <c r="AW244" s="39">
        <v>5</v>
      </c>
      <c r="AX244" s="39" t="s">
        <v>152</v>
      </c>
      <c r="AY244" s="27">
        <v>41</v>
      </c>
      <c r="AZ244" s="39" t="s">
        <v>99</v>
      </c>
      <c r="BA244" s="41" t="s">
        <v>169</v>
      </c>
      <c r="BB244" s="27"/>
      <c r="BC244" s="44"/>
      <c r="BD244" s="45" t="s">
        <v>155</v>
      </c>
      <c r="BE244" s="39" t="s">
        <v>15</v>
      </c>
      <c r="BF244" s="39">
        <v>5</v>
      </c>
      <c r="BG244" s="39" t="s">
        <v>152</v>
      </c>
      <c r="BH244" s="27">
        <v>41</v>
      </c>
      <c r="BI244" s="39">
        <v>2011</v>
      </c>
      <c r="BJ244" s="41" t="s">
        <v>168</v>
      </c>
      <c r="BK244" s="27"/>
      <c r="BL244" s="44"/>
      <c r="BM244" s="45" t="s">
        <v>155</v>
      </c>
      <c r="BN244" s="39" t="s">
        <v>15</v>
      </c>
      <c r="BO244" s="39">
        <v>5</v>
      </c>
      <c r="BP244" s="39" t="s">
        <v>152</v>
      </c>
      <c r="BQ244" s="27">
        <v>41</v>
      </c>
      <c r="BR244" s="39">
        <v>1018</v>
      </c>
      <c r="BS244" s="41" t="s">
        <v>171</v>
      </c>
      <c r="BT244" s="27"/>
      <c r="BU244" s="44"/>
      <c r="BV244" s="45" t="s">
        <v>155</v>
      </c>
      <c r="BW244" s="39" t="s">
        <v>15</v>
      </c>
      <c r="BX244" s="39">
        <v>5</v>
      </c>
      <c r="BY244" s="39" t="s">
        <v>152</v>
      </c>
      <c r="BZ244" s="27">
        <v>41</v>
      </c>
      <c r="CA244" s="39">
        <v>3003</v>
      </c>
      <c r="CB244" s="41" t="s">
        <v>172</v>
      </c>
      <c r="CC244" s="27"/>
      <c r="CD244" s="44"/>
      <c r="CE244" s="45" t="s">
        <v>155</v>
      </c>
      <c r="CF244" s="39" t="s">
        <v>15</v>
      </c>
      <c r="CG244" s="39">
        <v>5</v>
      </c>
      <c r="CH244" s="39" t="s">
        <v>152</v>
      </c>
      <c r="CI244" s="27">
        <v>41</v>
      </c>
      <c r="CJ244" s="39"/>
      <c r="CK244" s="41" t="s">
        <v>163</v>
      </c>
    </row>
    <row r="245" spans="1:89" x14ac:dyDescent="0.25">
      <c r="A245" s="44"/>
      <c r="B245" s="45" t="s">
        <v>155</v>
      </c>
      <c r="C245" s="39" t="s">
        <v>15</v>
      </c>
      <c r="D245" s="39">
        <v>6</v>
      </c>
      <c r="E245" s="39" t="s">
        <v>152</v>
      </c>
      <c r="F245" s="27">
        <v>42</v>
      </c>
      <c r="G245" s="39">
        <v>1042</v>
      </c>
      <c r="H245" s="41" t="s">
        <v>176</v>
      </c>
      <c r="I245" s="27"/>
      <c r="J245" s="44"/>
      <c r="K245" s="45" t="s">
        <v>155</v>
      </c>
      <c r="L245" s="39" t="s">
        <v>15</v>
      </c>
      <c r="M245" s="39">
        <v>6</v>
      </c>
      <c r="N245" s="39" t="s">
        <v>152</v>
      </c>
      <c r="O245" s="27">
        <v>42</v>
      </c>
      <c r="P245" s="39">
        <v>1052</v>
      </c>
      <c r="Q245" s="41" t="s">
        <v>161</v>
      </c>
      <c r="R245" s="27"/>
      <c r="S245" s="44"/>
      <c r="T245" s="45" t="s">
        <v>155</v>
      </c>
      <c r="U245" s="39" t="s">
        <v>15</v>
      </c>
      <c r="V245" s="39">
        <v>6</v>
      </c>
      <c r="W245" s="39" t="s">
        <v>152</v>
      </c>
      <c r="X245" s="27">
        <v>42</v>
      </c>
      <c r="Y245" s="39">
        <v>1056</v>
      </c>
      <c r="Z245" s="41" t="s">
        <v>182</v>
      </c>
      <c r="AA245" s="27"/>
      <c r="AB245" s="44"/>
      <c r="AC245" s="45" t="s">
        <v>155</v>
      </c>
      <c r="AD245" s="39" t="s">
        <v>15</v>
      </c>
      <c r="AE245" s="39">
        <v>6</v>
      </c>
      <c r="AF245" s="39" t="s">
        <v>152</v>
      </c>
      <c r="AG245" s="27">
        <v>42</v>
      </c>
      <c r="AH245" s="39">
        <v>2032</v>
      </c>
      <c r="AI245" s="41" t="s">
        <v>188</v>
      </c>
      <c r="AJ245" s="27"/>
      <c r="AK245" s="44"/>
      <c r="AL245" s="45" t="s">
        <v>155</v>
      </c>
      <c r="AM245" s="39" t="s">
        <v>15</v>
      </c>
      <c r="AN245" s="39">
        <v>6</v>
      </c>
      <c r="AO245" s="39" t="s">
        <v>152</v>
      </c>
      <c r="AP245" s="27">
        <v>42</v>
      </c>
      <c r="AQ245" s="39">
        <v>2038</v>
      </c>
      <c r="AR245" s="41" t="s">
        <v>172</v>
      </c>
      <c r="AS245" s="27"/>
      <c r="AT245" s="44"/>
      <c r="AU245" s="45" t="s">
        <v>155</v>
      </c>
      <c r="AV245" s="39" t="s">
        <v>15</v>
      </c>
      <c r="AW245" s="39">
        <v>6</v>
      </c>
      <c r="AX245" s="39" t="s">
        <v>152</v>
      </c>
      <c r="AY245" s="27">
        <v>42</v>
      </c>
      <c r="AZ245" s="39" t="s">
        <v>99</v>
      </c>
      <c r="BA245" s="41" t="s">
        <v>181</v>
      </c>
      <c r="BB245" s="27"/>
      <c r="BC245" s="44"/>
      <c r="BD245" s="45" t="s">
        <v>155</v>
      </c>
      <c r="BE245" s="39" t="s">
        <v>15</v>
      </c>
      <c r="BF245" s="39">
        <v>6</v>
      </c>
      <c r="BG245" s="39" t="s">
        <v>152</v>
      </c>
      <c r="BH245" s="27">
        <v>42</v>
      </c>
      <c r="BI245" s="39">
        <v>2011</v>
      </c>
      <c r="BJ245" s="41" t="s">
        <v>176</v>
      </c>
      <c r="BK245" s="27"/>
      <c r="BL245" s="44"/>
      <c r="BM245" s="45" t="s">
        <v>155</v>
      </c>
      <c r="BN245" s="39" t="s">
        <v>15</v>
      </c>
      <c r="BO245" s="39">
        <v>6</v>
      </c>
      <c r="BP245" s="39" t="s">
        <v>152</v>
      </c>
      <c r="BQ245" s="27">
        <v>42</v>
      </c>
      <c r="BR245" s="39">
        <v>1018</v>
      </c>
      <c r="BS245" s="41" t="s">
        <v>161</v>
      </c>
      <c r="BT245" s="27"/>
      <c r="BU245" s="44"/>
      <c r="BV245" s="45" t="s">
        <v>155</v>
      </c>
      <c r="BW245" s="39" t="s">
        <v>15</v>
      </c>
      <c r="BX245" s="39">
        <v>6</v>
      </c>
      <c r="BY245" s="39" t="s">
        <v>152</v>
      </c>
      <c r="BZ245" s="27">
        <v>42</v>
      </c>
      <c r="CA245" s="39">
        <v>3003</v>
      </c>
      <c r="CB245" s="41" t="s">
        <v>162</v>
      </c>
      <c r="CC245" s="27"/>
      <c r="CD245" s="44"/>
      <c r="CE245" s="45" t="s">
        <v>155</v>
      </c>
      <c r="CF245" s="39" t="s">
        <v>15</v>
      </c>
      <c r="CG245" s="39">
        <v>6</v>
      </c>
      <c r="CH245" s="39" t="s">
        <v>152</v>
      </c>
      <c r="CI245" s="27">
        <v>42</v>
      </c>
      <c r="CJ245" s="39"/>
      <c r="CK245" s="41" t="s">
        <v>171</v>
      </c>
    </row>
    <row r="246" spans="1:89" x14ac:dyDescent="0.25">
      <c r="A246" s="44"/>
      <c r="B246" s="45" t="s">
        <v>155</v>
      </c>
      <c r="C246" s="39" t="s">
        <v>15</v>
      </c>
      <c r="D246" s="39">
        <v>7</v>
      </c>
      <c r="E246" s="39" t="s">
        <v>152</v>
      </c>
      <c r="F246" s="27">
        <v>43</v>
      </c>
      <c r="G246" s="39">
        <v>1042</v>
      </c>
      <c r="H246" s="41" t="s">
        <v>164</v>
      </c>
      <c r="I246" s="27"/>
      <c r="J246" s="44"/>
      <c r="K246" s="45" t="s">
        <v>155</v>
      </c>
      <c r="L246" s="39" t="s">
        <v>15</v>
      </c>
      <c r="M246" s="39">
        <v>7</v>
      </c>
      <c r="N246" s="39" t="s">
        <v>152</v>
      </c>
      <c r="O246" s="27">
        <v>43</v>
      </c>
      <c r="P246" s="39">
        <v>1052</v>
      </c>
      <c r="Q246" s="41" t="s">
        <v>169</v>
      </c>
      <c r="R246" s="27"/>
      <c r="S246" s="44"/>
      <c r="T246" s="45" t="s">
        <v>155</v>
      </c>
      <c r="U246" s="39" t="s">
        <v>15</v>
      </c>
      <c r="V246" s="39">
        <v>7</v>
      </c>
      <c r="W246" s="39" t="s">
        <v>152</v>
      </c>
      <c r="X246" s="27">
        <v>43</v>
      </c>
      <c r="Y246" s="39">
        <v>1056</v>
      </c>
      <c r="Z246" s="46" t="s">
        <v>184</v>
      </c>
      <c r="AA246" s="27"/>
      <c r="AB246" s="44"/>
      <c r="AC246" s="45" t="s">
        <v>155</v>
      </c>
      <c r="AD246" s="39" t="s">
        <v>15</v>
      </c>
      <c r="AE246" s="39">
        <v>7</v>
      </c>
      <c r="AF246" s="39" t="s">
        <v>152</v>
      </c>
      <c r="AG246" s="27">
        <v>43</v>
      </c>
      <c r="AH246" s="39">
        <v>2032</v>
      </c>
      <c r="AI246" s="41" t="s">
        <v>182</v>
      </c>
      <c r="AJ246" s="27"/>
      <c r="AK246" s="44"/>
      <c r="AL246" s="45" t="s">
        <v>155</v>
      </c>
      <c r="AM246" s="39" t="s">
        <v>15</v>
      </c>
      <c r="AN246" s="39">
        <v>7</v>
      </c>
      <c r="AO246" s="39" t="s">
        <v>152</v>
      </c>
      <c r="AP246" s="27">
        <v>43</v>
      </c>
      <c r="AQ246" s="39">
        <v>2038</v>
      </c>
      <c r="AR246" s="46" t="s">
        <v>162</v>
      </c>
      <c r="AS246" s="27"/>
      <c r="AT246" s="44"/>
      <c r="AU246" s="45" t="s">
        <v>155</v>
      </c>
      <c r="AV246" s="39" t="s">
        <v>15</v>
      </c>
      <c r="AW246" s="39">
        <v>7</v>
      </c>
      <c r="AX246" s="39" t="s">
        <v>152</v>
      </c>
      <c r="AY246" s="27">
        <v>43</v>
      </c>
      <c r="AZ246" s="39" t="s">
        <v>99</v>
      </c>
      <c r="BA246" s="41" t="s">
        <v>183</v>
      </c>
      <c r="BB246" s="27"/>
      <c r="BC246" s="44"/>
      <c r="BD246" s="45" t="s">
        <v>155</v>
      </c>
      <c r="BE246" s="39" t="s">
        <v>15</v>
      </c>
      <c r="BF246" s="39">
        <v>7</v>
      </c>
      <c r="BG246" s="39" t="s">
        <v>152</v>
      </c>
      <c r="BH246" s="27">
        <v>43</v>
      </c>
      <c r="BI246" s="39">
        <v>2011</v>
      </c>
      <c r="BJ246" s="41" t="s">
        <v>164</v>
      </c>
      <c r="BK246" s="27"/>
      <c r="BL246" s="44"/>
      <c r="BM246" s="45" t="s">
        <v>155</v>
      </c>
      <c r="BN246" s="39" t="s">
        <v>15</v>
      </c>
      <c r="BO246" s="39">
        <v>7</v>
      </c>
      <c r="BP246" s="39" t="s">
        <v>152</v>
      </c>
      <c r="BQ246" s="27">
        <v>43</v>
      </c>
      <c r="BR246" s="39">
        <v>1018</v>
      </c>
      <c r="BS246" s="46" t="s">
        <v>169</v>
      </c>
      <c r="BT246" s="27"/>
      <c r="BU246" s="44"/>
      <c r="BV246" s="45" t="s">
        <v>155</v>
      </c>
      <c r="BW246" s="39" t="s">
        <v>15</v>
      </c>
      <c r="BX246" s="39">
        <v>7</v>
      </c>
      <c r="BY246" s="39" t="s">
        <v>152</v>
      </c>
      <c r="BZ246" s="27">
        <v>43</v>
      </c>
      <c r="CA246" s="39">
        <v>3003</v>
      </c>
      <c r="CB246" s="46" t="s">
        <v>170</v>
      </c>
      <c r="CC246" s="27"/>
      <c r="CD246" s="44"/>
      <c r="CE246" s="45" t="s">
        <v>155</v>
      </c>
      <c r="CF246" s="39" t="s">
        <v>15</v>
      </c>
      <c r="CG246" s="39">
        <v>7</v>
      </c>
      <c r="CH246" s="39" t="s">
        <v>152</v>
      </c>
      <c r="CI246" s="27">
        <v>43</v>
      </c>
      <c r="CJ246" s="39"/>
      <c r="CK246" s="46" t="s">
        <v>161</v>
      </c>
    </row>
    <row r="247" spans="1:89" x14ac:dyDescent="0.25">
      <c r="A247" s="44"/>
      <c r="B247" s="45" t="s">
        <v>155</v>
      </c>
      <c r="C247" s="39" t="s">
        <v>15</v>
      </c>
      <c r="D247" s="39">
        <v>8</v>
      </c>
      <c r="E247" s="39" t="s">
        <v>152</v>
      </c>
      <c r="F247" s="27">
        <v>44</v>
      </c>
      <c r="G247" s="39">
        <v>1042</v>
      </c>
      <c r="H247" s="41" t="s">
        <v>172</v>
      </c>
      <c r="I247" s="27"/>
      <c r="J247" s="44"/>
      <c r="K247" s="45" t="s">
        <v>155</v>
      </c>
      <c r="L247" s="39" t="s">
        <v>15</v>
      </c>
      <c r="M247" s="39">
        <v>8</v>
      </c>
      <c r="N247" s="39" t="s">
        <v>152</v>
      </c>
      <c r="O247" s="27">
        <v>44</v>
      </c>
      <c r="P247" s="39">
        <v>1052</v>
      </c>
      <c r="Q247" s="41" t="s">
        <v>177</v>
      </c>
      <c r="R247" s="27"/>
      <c r="S247" s="44"/>
      <c r="T247" s="45" t="s">
        <v>155</v>
      </c>
      <c r="U247" s="39" t="s">
        <v>15</v>
      </c>
      <c r="V247" s="39">
        <v>8</v>
      </c>
      <c r="W247" s="39" t="s">
        <v>152</v>
      </c>
      <c r="X247" s="27">
        <v>44</v>
      </c>
      <c r="Y247" s="39">
        <v>1056</v>
      </c>
      <c r="Z247" s="41" t="s">
        <v>187</v>
      </c>
      <c r="AA247" s="27"/>
      <c r="AB247" s="44"/>
      <c r="AC247" s="45" t="s">
        <v>155</v>
      </c>
      <c r="AD247" s="39" t="s">
        <v>15</v>
      </c>
      <c r="AE247" s="39">
        <v>8</v>
      </c>
      <c r="AF247" s="39" t="s">
        <v>152</v>
      </c>
      <c r="AG247" s="27">
        <v>44</v>
      </c>
      <c r="AH247" s="39">
        <v>2032</v>
      </c>
      <c r="AI247" s="41" t="s">
        <v>184</v>
      </c>
      <c r="AJ247" s="27"/>
      <c r="AK247" s="44"/>
      <c r="AL247" s="45" t="s">
        <v>155</v>
      </c>
      <c r="AM247" s="39" t="s">
        <v>15</v>
      </c>
      <c r="AN247" s="39">
        <v>8</v>
      </c>
      <c r="AO247" s="39" t="s">
        <v>152</v>
      </c>
      <c r="AP247" s="27">
        <v>44</v>
      </c>
      <c r="AQ247" s="39">
        <v>2038</v>
      </c>
      <c r="AR247" s="41" t="s">
        <v>170</v>
      </c>
      <c r="AS247" s="27"/>
      <c r="AT247" s="44"/>
      <c r="AU247" s="45" t="s">
        <v>155</v>
      </c>
      <c r="AV247" s="39" t="s">
        <v>15</v>
      </c>
      <c r="AW247" s="39">
        <v>8</v>
      </c>
      <c r="AX247" s="39" t="s">
        <v>152</v>
      </c>
      <c r="AY247" s="27">
        <v>44</v>
      </c>
      <c r="AZ247" s="39" t="s">
        <v>99</v>
      </c>
      <c r="BA247" s="41" t="s">
        <v>182</v>
      </c>
      <c r="BB247" s="27"/>
      <c r="BC247" s="44"/>
      <c r="BD247" s="45" t="s">
        <v>155</v>
      </c>
      <c r="BE247" s="39" t="s">
        <v>15</v>
      </c>
      <c r="BF247" s="39">
        <v>8</v>
      </c>
      <c r="BG247" s="39" t="s">
        <v>152</v>
      </c>
      <c r="BH247" s="27">
        <v>44</v>
      </c>
      <c r="BI247" s="39">
        <v>2011</v>
      </c>
      <c r="BJ247" s="41" t="s">
        <v>172</v>
      </c>
      <c r="BK247" s="27"/>
      <c r="BL247" s="44"/>
      <c r="BM247" s="45" t="s">
        <v>155</v>
      </c>
      <c r="BN247" s="39" t="s">
        <v>15</v>
      </c>
      <c r="BO247" s="39">
        <v>8</v>
      </c>
      <c r="BP247" s="39" t="s">
        <v>152</v>
      </c>
      <c r="BQ247" s="27">
        <v>44</v>
      </c>
      <c r="BR247" s="39">
        <v>1018</v>
      </c>
      <c r="BS247" s="41" t="s">
        <v>177</v>
      </c>
      <c r="BT247" s="27"/>
      <c r="BU247" s="44"/>
      <c r="BV247" s="45" t="s">
        <v>155</v>
      </c>
      <c r="BW247" s="39" t="s">
        <v>15</v>
      </c>
      <c r="BX247" s="39">
        <v>8</v>
      </c>
      <c r="BY247" s="39" t="s">
        <v>152</v>
      </c>
      <c r="BZ247" s="27">
        <v>44</v>
      </c>
      <c r="CA247" s="39">
        <v>3003</v>
      </c>
      <c r="CB247" s="41" t="s">
        <v>178</v>
      </c>
      <c r="CC247" s="27"/>
      <c r="CD247" s="44"/>
      <c r="CE247" s="45" t="s">
        <v>155</v>
      </c>
      <c r="CF247" s="39" t="s">
        <v>15</v>
      </c>
      <c r="CG247" s="39">
        <v>8</v>
      </c>
      <c r="CH247" s="39" t="s">
        <v>152</v>
      </c>
      <c r="CI247" s="27">
        <v>44</v>
      </c>
      <c r="CJ247" s="39"/>
      <c r="CK247" s="41" t="s">
        <v>169</v>
      </c>
    </row>
    <row r="248" spans="1:89" x14ac:dyDescent="0.25">
      <c r="A248" s="44"/>
      <c r="B248" s="45" t="s">
        <v>155</v>
      </c>
      <c r="C248" s="39" t="s">
        <v>15</v>
      </c>
      <c r="D248" s="39">
        <v>9</v>
      </c>
      <c r="E248" s="39" t="s">
        <v>152</v>
      </c>
      <c r="F248" s="27">
        <v>45</v>
      </c>
      <c r="G248" s="39">
        <v>1042</v>
      </c>
      <c r="H248" s="41" t="s">
        <v>162</v>
      </c>
      <c r="I248" s="27"/>
      <c r="J248" s="44"/>
      <c r="K248" s="45" t="s">
        <v>155</v>
      </c>
      <c r="L248" s="39" t="s">
        <v>15</v>
      </c>
      <c r="M248" s="39">
        <v>9</v>
      </c>
      <c r="N248" s="39" t="s">
        <v>152</v>
      </c>
      <c r="O248" s="27">
        <v>45</v>
      </c>
      <c r="P248" s="39">
        <v>1052</v>
      </c>
      <c r="Q248" s="41" t="s">
        <v>180</v>
      </c>
      <c r="R248" s="27"/>
      <c r="S248" s="44"/>
      <c r="T248" s="45" t="s">
        <v>155</v>
      </c>
      <c r="U248" s="39" t="s">
        <v>15</v>
      </c>
      <c r="V248" s="39">
        <v>9</v>
      </c>
      <c r="W248" s="39" t="s">
        <v>152</v>
      </c>
      <c r="X248" s="27">
        <v>45</v>
      </c>
      <c r="Y248" s="39">
        <v>1056</v>
      </c>
      <c r="Z248" s="41" t="s">
        <v>189</v>
      </c>
      <c r="AA248" s="27"/>
      <c r="AB248" s="44"/>
      <c r="AC248" s="45" t="s">
        <v>155</v>
      </c>
      <c r="AD248" s="39" t="s">
        <v>15</v>
      </c>
      <c r="AE248" s="39">
        <v>9</v>
      </c>
      <c r="AF248" s="39" t="s">
        <v>152</v>
      </c>
      <c r="AG248" s="27">
        <v>45</v>
      </c>
      <c r="AH248" s="39">
        <v>2032</v>
      </c>
      <c r="AI248" s="41" t="s">
        <v>187</v>
      </c>
      <c r="AJ248" s="27"/>
      <c r="AK248" s="44"/>
      <c r="AL248" s="45" t="s">
        <v>155</v>
      </c>
      <c r="AM248" s="39" t="s">
        <v>15</v>
      </c>
      <c r="AN248" s="39">
        <v>9</v>
      </c>
      <c r="AO248" s="39" t="s">
        <v>152</v>
      </c>
      <c r="AP248" s="27">
        <v>45</v>
      </c>
      <c r="AQ248" s="39">
        <v>2038</v>
      </c>
      <c r="AR248" s="41" t="s">
        <v>178</v>
      </c>
      <c r="AS248" s="27"/>
      <c r="AT248" s="44"/>
      <c r="AU248" s="45" t="s">
        <v>155</v>
      </c>
      <c r="AV248" s="39" t="s">
        <v>15</v>
      </c>
      <c r="AW248" s="39">
        <v>9</v>
      </c>
      <c r="AX248" s="39" t="s">
        <v>152</v>
      </c>
      <c r="AY248" s="27">
        <v>45</v>
      </c>
      <c r="AZ248" s="39" t="s">
        <v>99</v>
      </c>
      <c r="BA248" s="41" t="s">
        <v>184</v>
      </c>
      <c r="BB248" s="27"/>
      <c r="BC248" s="44"/>
      <c r="BD248" s="45" t="s">
        <v>155</v>
      </c>
      <c r="BE248" s="39" t="s">
        <v>15</v>
      </c>
      <c r="BF248" s="39">
        <v>9</v>
      </c>
      <c r="BG248" s="39" t="s">
        <v>152</v>
      </c>
      <c r="BH248" s="27">
        <v>45</v>
      </c>
      <c r="BI248" s="39">
        <v>2011</v>
      </c>
      <c r="BJ248" s="46" t="s">
        <v>162</v>
      </c>
      <c r="BK248" s="27"/>
      <c r="BL248" s="44"/>
      <c r="BM248" s="45" t="s">
        <v>155</v>
      </c>
      <c r="BN248" s="39" t="s">
        <v>15</v>
      </c>
      <c r="BO248" s="39">
        <v>9</v>
      </c>
      <c r="BP248" s="39" t="s">
        <v>152</v>
      </c>
      <c r="BQ248" s="27">
        <v>45</v>
      </c>
      <c r="BR248" s="39">
        <v>1018</v>
      </c>
      <c r="BS248" s="41" t="s">
        <v>180</v>
      </c>
      <c r="BT248" s="27"/>
      <c r="BU248" s="44"/>
      <c r="BV248" s="45" t="s">
        <v>155</v>
      </c>
      <c r="BW248" s="39" t="s">
        <v>15</v>
      </c>
      <c r="BX248" s="39">
        <v>9</v>
      </c>
      <c r="BY248" s="39" t="s">
        <v>152</v>
      </c>
      <c r="BZ248" s="27">
        <v>45</v>
      </c>
      <c r="CA248" s="39">
        <v>3003</v>
      </c>
      <c r="CB248" s="41" t="s">
        <v>163</v>
      </c>
      <c r="CC248" s="27"/>
      <c r="CD248" s="44"/>
      <c r="CE248" s="45" t="s">
        <v>155</v>
      </c>
      <c r="CF248" s="39" t="s">
        <v>15</v>
      </c>
      <c r="CG248" s="39">
        <v>9</v>
      </c>
      <c r="CH248" s="39" t="s">
        <v>152</v>
      </c>
      <c r="CI248" s="27">
        <v>45</v>
      </c>
      <c r="CJ248" s="39"/>
      <c r="CK248" s="41" t="s">
        <v>177</v>
      </c>
    </row>
    <row r="249" spans="1:89" x14ac:dyDescent="0.25">
      <c r="A249" s="44"/>
      <c r="B249" s="45" t="s">
        <v>155</v>
      </c>
      <c r="C249" s="39" t="s">
        <v>15</v>
      </c>
      <c r="D249" s="39">
        <v>10</v>
      </c>
      <c r="E249" s="39" t="s">
        <v>152</v>
      </c>
      <c r="F249" s="27">
        <v>46</v>
      </c>
      <c r="G249" s="39">
        <v>1042</v>
      </c>
      <c r="H249" s="41" t="s">
        <v>170</v>
      </c>
      <c r="I249" s="27"/>
      <c r="J249" s="44"/>
      <c r="K249" s="45" t="s">
        <v>155</v>
      </c>
      <c r="L249" s="39" t="s">
        <v>15</v>
      </c>
      <c r="M249" s="39">
        <v>10</v>
      </c>
      <c r="N249" s="39" t="s">
        <v>152</v>
      </c>
      <c r="O249" s="27">
        <v>46</v>
      </c>
      <c r="P249" s="39">
        <v>1052</v>
      </c>
      <c r="Q249" s="41" t="s">
        <v>181</v>
      </c>
      <c r="R249" s="27"/>
      <c r="S249" s="44"/>
      <c r="T249" s="45" t="s">
        <v>155</v>
      </c>
      <c r="U249" s="39" t="s">
        <v>15</v>
      </c>
      <c r="V249" s="39">
        <v>10</v>
      </c>
      <c r="W249" s="39" t="s">
        <v>152</v>
      </c>
      <c r="X249" s="27">
        <v>46</v>
      </c>
      <c r="Y249" s="39">
        <v>1057</v>
      </c>
      <c r="Z249" s="41" t="s">
        <v>171</v>
      </c>
      <c r="AA249" s="27"/>
      <c r="AB249" s="44"/>
      <c r="AC249" s="45" t="s">
        <v>155</v>
      </c>
      <c r="AD249" s="39" t="s">
        <v>15</v>
      </c>
      <c r="AE249" s="39">
        <v>10</v>
      </c>
      <c r="AF249" s="39" t="s">
        <v>152</v>
      </c>
      <c r="AG249" s="27">
        <v>46</v>
      </c>
      <c r="AH249" s="39">
        <v>2032</v>
      </c>
      <c r="AI249" s="41" t="s">
        <v>189</v>
      </c>
      <c r="AJ249" s="27"/>
      <c r="AK249" s="44"/>
      <c r="AL249" s="45" t="s">
        <v>155</v>
      </c>
      <c r="AM249" s="39" t="s">
        <v>15</v>
      </c>
      <c r="AN249" s="39">
        <v>10</v>
      </c>
      <c r="AO249" s="39" t="s">
        <v>152</v>
      </c>
      <c r="AP249" s="27">
        <v>46</v>
      </c>
      <c r="AQ249" s="39">
        <v>2038</v>
      </c>
      <c r="AR249" s="41" t="s">
        <v>163</v>
      </c>
      <c r="AS249" s="27"/>
      <c r="AT249" s="44"/>
      <c r="AU249" s="45" t="s">
        <v>155</v>
      </c>
      <c r="AV249" s="39" t="s">
        <v>15</v>
      </c>
      <c r="AW249" s="39">
        <v>10</v>
      </c>
      <c r="AX249" s="39" t="s">
        <v>152</v>
      </c>
      <c r="AY249" s="27">
        <v>46</v>
      </c>
      <c r="AZ249" s="39" t="s">
        <v>99</v>
      </c>
      <c r="BA249" s="41" t="s">
        <v>187</v>
      </c>
      <c r="BB249" s="27"/>
      <c r="BC249" s="44"/>
      <c r="BD249" s="45" t="s">
        <v>155</v>
      </c>
      <c r="BE249" s="39" t="s">
        <v>15</v>
      </c>
      <c r="BF249" s="39">
        <v>10</v>
      </c>
      <c r="BG249" s="39" t="s">
        <v>152</v>
      </c>
      <c r="BH249" s="27">
        <v>46</v>
      </c>
      <c r="BI249" s="39">
        <v>2011</v>
      </c>
      <c r="BJ249" s="41" t="s">
        <v>170</v>
      </c>
      <c r="BK249" s="27"/>
      <c r="BL249" s="44"/>
      <c r="BM249" s="45" t="s">
        <v>155</v>
      </c>
      <c r="BN249" s="39" t="s">
        <v>15</v>
      </c>
      <c r="BO249" s="39">
        <v>10</v>
      </c>
      <c r="BP249" s="39" t="s">
        <v>152</v>
      </c>
      <c r="BQ249" s="27">
        <v>46</v>
      </c>
      <c r="BR249" s="39">
        <v>1018</v>
      </c>
      <c r="BS249" s="41" t="s">
        <v>181</v>
      </c>
      <c r="BT249" s="27"/>
      <c r="BU249" s="44"/>
      <c r="BV249" s="45" t="s">
        <v>155</v>
      </c>
      <c r="BW249" s="39" t="s">
        <v>15</v>
      </c>
      <c r="BX249" s="39">
        <v>10</v>
      </c>
      <c r="BY249" s="39" t="s">
        <v>152</v>
      </c>
      <c r="BZ249" s="27">
        <v>46</v>
      </c>
      <c r="CA249" s="39">
        <v>3003</v>
      </c>
      <c r="CB249" s="41" t="s">
        <v>171</v>
      </c>
      <c r="CC249" s="27"/>
      <c r="CD249" s="44"/>
      <c r="CE249" s="45" t="s">
        <v>155</v>
      </c>
      <c r="CF249" s="39" t="s">
        <v>15</v>
      </c>
      <c r="CG249" s="39">
        <v>10</v>
      </c>
      <c r="CH249" s="39" t="s">
        <v>152</v>
      </c>
      <c r="CI249" s="27">
        <v>46</v>
      </c>
      <c r="CJ249" s="39"/>
      <c r="CK249" s="41" t="s">
        <v>180</v>
      </c>
    </row>
    <row r="250" spans="1:89" x14ac:dyDescent="0.25">
      <c r="A250" s="44"/>
      <c r="B250" s="45" t="s">
        <v>155</v>
      </c>
      <c r="C250" s="39" t="s">
        <v>15</v>
      </c>
      <c r="D250" s="39">
        <v>11</v>
      </c>
      <c r="E250" s="39" t="s">
        <v>152</v>
      </c>
      <c r="F250" s="27">
        <v>47</v>
      </c>
      <c r="G250" s="39">
        <v>1042</v>
      </c>
      <c r="H250" s="41" t="s">
        <v>178</v>
      </c>
      <c r="I250" s="27"/>
      <c r="J250" s="44"/>
      <c r="K250" s="45" t="s">
        <v>155</v>
      </c>
      <c r="L250" s="39" t="s">
        <v>15</v>
      </c>
      <c r="M250" s="39">
        <v>11</v>
      </c>
      <c r="N250" s="39" t="s">
        <v>152</v>
      </c>
      <c r="O250" s="27">
        <v>47</v>
      </c>
      <c r="P250" s="39">
        <v>1052</v>
      </c>
      <c r="Q250" s="41" t="s">
        <v>183</v>
      </c>
      <c r="R250" s="27"/>
      <c r="S250" s="44"/>
      <c r="T250" s="45" t="s">
        <v>155</v>
      </c>
      <c r="U250" s="39" t="s">
        <v>15</v>
      </c>
      <c r="V250" s="39">
        <v>11</v>
      </c>
      <c r="W250" s="39" t="s">
        <v>152</v>
      </c>
      <c r="X250" s="27">
        <v>47</v>
      </c>
      <c r="Y250" s="39">
        <v>1057</v>
      </c>
      <c r="Z250" s="41" t="s">
        <v>161</v>
      </c>
      <c r="AA250" s="27"/>
      <c r="AB250" s="44"/>
      <c r="AC250" s="45" t="s">
        <v>155</v>
      </c>
      <c r="AD250" s="39" t="s">
        <v>15</v>
      </c>
      <c r="AE250" s="39">
        <v>11</v>
      </c>
      <c r="AF250" s="39" t="s">
        <v>152</v>
      </c>
      <c r="AG250" s="27">
        <v>47</v>
      </c>
      <c r="AH250" s="39">
        <v>2033</v>
      </c>
      <c r="AI250" s="41" t="s">
        <v>168</v>
      </c>
      <c r="AJ250" s="27"/>
      <c r="AK250" s="44"/>
      <c r="AL250" s="45" t="s">
        <v>155</v>
      </c>
      <c r="AM250" s="39" t="s">
        <v>15</v>
      </c>
      <c r="AN250" s="39">
        <v>11</v>
      </c>
      <c r="AO250" s="39" t="s">
        <v>152</v>
      </c>
      <c r="AP250" s="27">
        <v>47</v>
      </c>
      <c r="AQ250" s="39">
        <v>2038</v>
      </c>
      <c r="AR250" s="41" t="s">
        <v>171</v>
      </c>
      <c r="AS250" s="27"/>
      <c r="AT250" s="44"/>
      <c r="AU250" s="45" t="s">
        <v>155</v>
      </c>
      <c r="AV250" s="39" t="s">
        <v>15</v>
      </c>
      <c r="AW250" s="39">
        <v>11</v>
      </c>
      <c r="AX250" s="39" t="s">
        <v>152</v>
      </c>
      <c r="AY250" s="27">
        <v>47</v>
      </c>
      <c r="AZ250" s="39" t="s">
        <v>99</v>
      </c>
      <c r="BA250" s="41" t="s">
        <v>189</v>
      </c>
      <c r="BB250" s="27"/>
      <c r="BC250" s="44"/>
      <c r="BD250" s="45" t="s">
        <v>155</v>
      </c>
      <c r="BE250" s="39" t="s">
        <v>15</v>
      </c>
      <c r="BF250" s="39">
        <v>11</v>
      </c>
      <c r="BG250" s="39" t="s">
        <v>152</v>
      </c>
      <c r="BH250" s="27">
        <v>47</v>
      </c>
      <c r="BI250" s="39">
        <v>2011</v>
      </c>
      <c r="BJ250" s="41" t="s">
        <v>178</v>
      </c>
      <c r="BK250" s="27"/>
      <c r="BL250" s="44"/>
      <c r="BM250" s="45" t="s">
        <v>155</v>
      </c>
      <c r="BN250" s="39" t="s">
        <v>15</v>
      </c>
      <c r="BO250" s="39">
        <v>11</v>
      </c>
      <c r="BP250" s="39" t="s">
        <v>152</v>
      </c>
      <c r="BQ250" s="27">
        <v>47</v>
      </c>
      <c r="BR250" s="39">
        <v>1018</v>
      </c>
      <c r="BS250" s="41" t="s">
        <v>183</v>
      </c>
      <c r="BT250" s="27"/>
      <c r="BU250" s="44"/>
      <c r="BV250" s="45" t="s">
        <v>155</v>
      </c>
      <c r="BW250" s="39" t="s">
        <v>15</v>
      </c>
      <c r="BX250" s="39">
        <v>11</v>
      </c>
      <c r="BY250" s="39" t="s">
        <v>152</v>
      </c>
      <c r="BZ250" s="27">
        <v>47</v>
      </c>
      <c r="CA250" s="39">
        <v>3003</v>
      </c>
      <c r="CB250" s="41" t="s">
        <v>161</v>
      </c>
      <c r="CC250" s="27"/>
      <c r="CD250" s="44"/>
      <c r="CE250" s="45" t="s">
        <v>155</v>
      </c>
      <c r="CF250" s="39" t="s">
        <v>15</v>
      </c>
      <c r="CG250" s="39">
        <v>11</v>
      </c>
      <c r="CH250" s="39" t="s">
        <v>152</v>
      </c>
      <c r="CI250" s="27">
        <v>47</v>
      </c>
      <c r="CJ250" s="39"/>
      <c r="CK250" s="41" t="s">
        <v>181</v>
      </c>
    </row>
    <row r="251" spans="1:89" ht="15.75" thickBot="1" x14ac:dyDescent="0.3">
      <c r="A251" s="52"/>
      <c r="B251" s="53" t="s">
        <v>155</v>
      </c>
      <c r="C251" s="54" t="s">
        <v>15</v>
      </c>
      <c r="D251" s="54">
        <v>12</v>
      </c>
      <c r="E251" s="54" t="s">
        <v>152</v>
      </c>
      <c r="F251" s="55">
        <v>48</v>
      </c>
      <c r="G251" s="39">
        <v>1042</v>
      </c>
      <c r="H251" s="41" t="s">
        <v>163</v>
      </c>
      <c r="I251" s="27"/>
      <c r="J251" s="52"/>
      <c r="K251" s="53" t="s">
        <v>155</v>
      </c>
      <c r="L251" s="54" t="s">
        <v>15</v>
      </c>
      <c r="M251" s="54">
        <v>12</v>
      </c>
      <c r="N251" s="54" t="s">
        <v>152</v>
      </c>
      <c r="O251" s="55">
        <v>48</v>
      </c>
      <c r="P251" s="39">
        <v>1052</v>
      </c>
      <c r="Q251" s="41" t="s">
        <v>186</v>
      </c>
      <c r="R251" s="27"/>
      <c r="S251" s="52"/>
      <c r="T251" s="53" t="s">
        <v>155</v>
      </c>
      <c r="U251" s="54" t="s">
        <v>15</v>
      </c>
      <c r="V251" s="54">
        <v>12</v>
      </c>
      <c r="W251" s="54" t="s">
        <v>152</v>
      </c>
      <c r="X251" s="55">
        <v>48</v>
      </c>
      <c r="Y251" s="39">
        <v>1057</v>
      </c>
      <c r="Z251" s="41" t="s">
        <v>169</v>
      </c>
      <c r="AA251" s="27"/>
      <c r="AB251" s="52"/>
      <c r="AC251" s="53" t="s">
        <v>155</v>
      </c>
      <c r="AD251" s="54" t="s">
        <v>15</v>
      </c>
      <c r="AE251" s="54">
        <v>12</v>
      </c>
      <c r="AF251" s="54" t="s">
        <v>152</v>
      </c>
      <c r="AG251" s="55">
        <v>48</v>
      </c>
      <c r="AH251" s="39">
        <v>2033</v>
      </c>
      <c r="AI251" s="41" t="s">
        <v>176</v>
      </c>
      <c r="AJ251" s="27"/>
      <c r="AK251" s="52"/>
      <c r="AL251" s="53" t="s">
        <v>155</v>
      </c>
      <c r="AM251" s="54" t="s">
        <v>15</v>
      </c>
      <c r="AN251" s="54">
        <v>12</v>
      </c>
      <c r="AO251" s="54" t="s">
        <v>152</v>
      </c>
      <c r="AP251" s="55">
        <v>48</v>
      </c>
      <c r="AQ251" s="39">
        <v>2038</v>
      </c>
      <c r="AR251" s="41" t="s">
        <v>161</v>
      </c>
      <c r="AS251" s="27"/>
      <c r="AT251" s="52"/>
      <c r="AU251" s="53" t="s">
        <v>155</v>
      </c>
      <c r="AV251" s="54" t="s">
        <v>15</v>
      </c>
      <c r="AW251" s="54">
        <v>12</v>
      </c>
      <c r="AX251" s="54" t="s">
        <v>152</v>
      </c>
      <c r="AY251" s="55">
        <v>48</v>
      </c>
      <c r="AZ251" s="39" t="s">
        <v>105</v>
      </c>
      <c r="BA251" s="41" t="s">
        <v>160</v>
      </c>
      <c r="BB251" s="27"/>
      <c r="BC251" s="52"/>
      <c r="BD251" s="53" t="s">
        <v>155</v>
      </c>
      <c r="BE251" s="54" t="s">
        <v>15</v>
      </c>
      <c r="BF251" s="54">
        <v>12</v>
      </c>
      <c r="BG251" s="54" t="s">
        <v>152</v>
      </c>
      <c r="BH251" s="55">
        <v>48</v>
      </c>
      <c r="BI251" s="39">
        <v>2011</v>
      </c>
      <c r="BJ251" s="41" t="s">
        <v>163</v>
      </c>
      <c r="BK251" s="27"/>
      <c r="BL251" s="52"/>
      <c r="BM251" s="53" t="s">
        <v>155</v>
      </c>
      <c r="BN251" s="54" t="s">
        <v>15</v>
      </c>
      <c r="BO251" s="54">
        <v>12</v>
      </c>
      <c r="BP251" s="54" t="s">
        <v>152</v>
      </c>
      <c r="BQ251" s="55">
        <v>48</v>
      </c>
      <c r="BR251" s="39">
        <v>1018</v>
      </c>
      <c r="BS251" s="41" t="s">
        <v>186</v>
      </c>
      <c r="BT251" s="27"/>
      <c r="BU251" s="52"/>
      <c r="BV251" s="53" t="s">
        <v>155</v>
      </c>
      <c r="BW251" s="54" t="s">
        <v>15</v>
      </c>
      <c r="BX251" s="54">
        <v>12</v>
      </c>
      <c r="BY251" s="54" t="s">
        <v>152</v>
      </c>
      <c r="BZ251" s="55">
        <v>48</v>
      </c>
      <c r="CA251" s="39">
        <v>3003</v>
      </c>
      <c r="CB251" s="41" t="s">
        <v>169</v>
      </c>
      <c r="CC251" s="27"/>
      <c r="CD251" s="52"/>
      <c r="CE251" s="53" t="s">
        <v>155</v>
      </c>
      <c r="CF251" s="54" t="s">
        <v>15</v>
      </c>
      <c r="CG251" s="54">
        <v>12</v>
      </c>
      <c r="CH251" s="54" t="s">
        <v>152</v>
      </c>
      <c r="CI251" s="55">
        <v>48</v>
      </c>
      <c r="CJ251" s="39"/>
      <c r="CK251" s="41" t="s">
        <v>183</v>
      </c>
    </row>
    <row r="252" spans="1:89" x14ac:dyDescent="0.25">
      <c r="A252" s="60"/>
      <c r="B252" s="36" t="s">
        <v>155</v>
      </c>
      <c r="C252" s="61" t="s">
        <v>18</v>
      </c>
      <c r="D252" s="61">
        <v>1</v>
      </c>
      <c r="E252" s="61" t="s">
        <v>152</v>
      </c>
      <c r="F252" s="62">
        <v>49</v>
      </c>
      <c r="G252" s="39">
        <v>1042</v>
      </c>
      <c r="H252" s="41" t="s">
        <v>171</v>
      </c>
      <c r="I252" s="27"/>
      <c r="J252" s="60"/>
      <c r="K252" s="36" t="s">
        <v>155</v>
      </c>
      <c r="L252" s="61" t="s">
        <v>18</v>
      </c>
      <c r="M252" s="61">
        <v>1</v>
      </c>
      <c r="N252" s="61" t="s">
        <v>152</v>
      </c>
      <c r="O252" s="62">
        <v>49</v>
      </c>
      <c r="P252" s="39">
        <v>1052</v>
      </c>
      <c r="Q252" s="41" t="s">
        <v>188</v>
      </c>
      <c r="R252" s="27"/>
      <c r="S252" s="60"/>
      <c r="T252" s="36" t="s">
        <v>155</v>
      </c>
      <c r="U252" s="61" t="s">
        <v>18</v>
      </c>
      <c r="V252" s="61">
        <v>1</v>
      </c>
      <c r="W252" s="61" t="s">
        <v>152</v>
      </c>
      <c r="X252" s="62">
        <v>49</v>
      </c>
      <c r="Y252" s="39">
        <v>1057</v>
      </c>
      <c r="Z252" s="41" t="s">
        <v>181</v>
      </c>
      <c r="AA252" s="27"/>
      <c r="AB252" s="60"/>
      <c r="AC252" s="36" t="s">
        <v>155</v>
      </c>
      <c r="AD252" s="61" t="s">
        <v>18</v>
      </c>
      <c r="AE252" s="61">
        <v>1</v>
      </c>
      <c r="AF252" s="61" t="s">
        <v>152</v>
      </c>
      <c r="AG252" s="62">
        <v>49</v>
      </c>
      <c r="AH252" s="39">
        <v>2033</v>
      </c>
      <c r="AI252" s="41" t="s">
        <v>164</v>
      </c>
      <c r="AJ252" s="27"/>
      <c r="AK252" s="60"/>
      <c r="AL252" s="36" t="s">
        <v>155</v>
      </c>
      <c r="AM252" s="61" t="s">
        <v>18</v>
      </c>
      <c r="AN252" s="61">
        <v>1</v>
      </c>
      <c r="AO252" s="61" t="s">
        <v>152</v>
      </c>
      <c r="AP252" s="62">
        <v>49</v>
      </c>
      <c r="AQ252" s="39">
        <v>2038</v>
      </c>
      <c r="AR252" s="41" t="s">
        <v>169</v>
      </c>
      <c r="AS252" s="27"/>
      <c r="AT252" s="60"/>
      <c r="AU252" s="36" t="s">
        <v>155</v>
      </c>
      <c r="AV252" s="61" t="s">
        <v>18</v>
      </c>
      <c r="AW252" s="61">
        <v>1</v>
      </c>
      <c r="AX252" s="61" t="s">
        <v>152</v>
      </c>
      <c r="AY252" s="62">
        <v>49</v>
      </c>
      <c r="AZ252" s="39" t="s">
        <v>105</v>
      </c>
      <c r="BA252" s="41" t="s">
        <v>168</v>
      </c>
      <c r="BB252" s="27"/>
      <c r="BC252" s="60"/>
      <c r="BD252" s="36" t="s">
        <v>155</v>
      </c>
      <c r="BE252" s="61" t="s">
        <v>18</v>
      </c>
      <c r="BF252" s="61">
        <v>1</v>
      </c>
      <c r="BG252" s="61" t="s">
        <v>152</v>
      </c>
      <c r="BH252" s="62">
        <v>49</v>
      </c>
      <c r="BI252" s="39">
        <v>2011</v>
      </c>
      <c r="BJ252" s="41" t="s">
        <v>171</v>
      </c>
      <c r="BK252" s="27"/>
      <c r="BL252" s="60"/>
      <c r="BM252" s="36" t="s">
        <v>155</v>
      </c>
      <c r="BN252" s="61" t="s">
        <v>18</v>
      </c>
      <c r="BO252" s="61">
        <v>1</v>
      </c>
      <c r="BP252" s="61" t="s">
        <v>152</v>
      </c>
      <c r="BQ252" s="62">
        <v>49</v>
      </c>
      <c r="BR252" s="39">
        <v>1018</v>
      </c>
      <c r="BS252" s="41" t="s">
        <v>188</v>
      </c>
      <c r="BT252" s="27"/>
      <c r="BU252" s="60"/>
      <c r="BV252" s="36" t="s">
        <v>155</v>
      </c>
      <c r="BW252" s="61" t="s">
        <v>18</v>
      </c>
      <c r="BX252" s="61">
        <v>1</v>
      </c>
      <c r="BY252" s="61" t="s">
        <v>152</v>
      </c>
      <c r="BZ252" s="62">
        <v>49</v>
      </c>
      <c r="CA252" s="39">
        <v>3003</v>
      </c>
      <c r="CB252" s="41" t="s">
        <v>177</v>
      </c>
      <c r="CC252" s="27"/>
      <c r="CD252" s="60"/>
      <c r="CE252" s="36" t="s">
        <v>155</v>
      </c>
      <c r="CF252" s="61" t="s">
        <v>18</v>
      </c>
      <c r="CG252" s="61">
        <v>1</v>
      </c>
      <c r="CH252" s="61" t="s">
        <v>152</v>
      </c>
      <c r="CI252" s="62">
        <v>49</v>
      </c>
      <c r="CJ252" s="39"/>
      <c r="CK252" s="41" t="s">
        <v>186</v>
      </c>
    </row>
    <row r="253" spans="1:89" x14ac:dyDescent="0.25">
      <c r="A253" s="44"/>
      <c r="B253" s="45" t="s">
        <v>155</v>
      </c>
      <c r="C253" s="39" t="s">
        <v>18</v>
      </c>
      <c r="D253" s="39">
        <v>2</v>
      </c>
      <c r="E253" s="39" t="s">
        <v>152</v>
      </c>
      <c r="F253" s="27">
        <v>50</v>
      </c>
      <c r="G253" s="39">
        <v>1042</v>
      </c>
      <c r="H253" s="41" t="s">
        <v>161</v>
      </c>
      <c r="I253" s="27"/>
      <c r="J253" s="44"/>
      <c r="K253" s="45" t="s">
        <v>155</v>
      </c>
      <c r="L253" s="39" t="s">
        <v>18</v>
      </c>
      <c r="M253" s="39">
        <v>2</v>
      </c>
      <c r="N253" s="39" t="s">
        <v>152</v>
      </c>
      <c r="O253" s="27">
        <v>50</v>
      </c>
      <c r="P253" s="39">
        <v>1052</v>
      </c>
      <c r="Q253" s="41" t="s">
        <v>182</v>
      </c>
      <c r="R253" s="27"/>
      <c r="S253" s="44"/>
      <c r="T253" s="45" t="s">
        <v>155</v>
      </c>
      <c r="U253" s="39" t="s">
        <v>18</v>
      </c>
      <c r="V253" s="39">
        <v>2</v>
      </c>
      <c r="W253" s="39" t="s">
        <v>152</v>
      </c>
      <c r="X253" s="27">
        <v>50</v>
      </c>
      <c r="Y253" s="39">
        <v>1057</v>
      </c>
      <c r="Z253" s="41" t="s">
        <v>183</v>
      </c>
      <c r="AA253" s="27"/>
      <c r="AB253" s="44"/>
      <c r="AC253" s="45" t="s">
        <v>155</v>
      </c>
      <c r="AD253" s="39" t="s">
        <v>18</v>
      </c>
      <c r="AE253" s="39">
        <v>2</v>
      </c>
      <c r="AF253" s="39" t="s">
        <v>152</v>
      </c>
      <c r="AG253" s="27">
        <v>50</v>
      </c>
      <c r="AH253" s="39">
        <v>2033</v>
      </c>
      <c r="AI253" s="41" t="s">
        <v>172</v>
      </c>
      <c r="AJ253" s="27"/>
      <c r="AK253" s="44"/>
      <c r="AL253" s="45" t="s">
        <v>155</v>
      </c>
      <c r="AM253" s="39" t="s">
        <v>18</v>
      </c>
      <c r="AN253" s="39">
        <v>2</v>
      </c>
      <c r="AO253" s="39" t="s">
        <v>152</v>
      </c>
      <c r="AP253" s="27">
        <v>50</v>
      </c>
      <c r="AQ253" s="39">
        <v>2038</v>
      </c>
      <c r="AR253" s="41" t="s">
        <v>177</v>
      </c>
      <c r="AS253" s="27"/>
      <c r="AT253" s="44"/>
      <c r="AU253" s="45" t="s">
        <v>155</v>
      </c>
      <c r="AV253" s="39" t="s">
        <v>18</v>
      </c>
      <c r="AW253" s="39">
        <v>2</v>
      </c>
      <c r="AX253" s="39" t="s">
        <v>152</v>
      </c>
      <c r="AY253" s="27">
        <v>50</v>
      </c>
      <c r="AZ253" s="39" t="s">
        <v>105</v>
      </c>
      <c r="BA253" s="41" t="s">
        <v>176</v>
      </c>
      <c r="BB253" s="27"/>
      <c r="BC253" s="44"/>
      <c r="BD253" s="45" t="s">
        <v>155</v>
      </c>
      <c r="BE253" s="39" t="s">
        <v>18</v>
      </c>
      <c r="BF253" s="39">
        <v>2</v>
      </c>
      <c r="BG253" s="39" t="s">
        <v>152</v>
      </c>
      <c r="BH253" s="27">
        <v>50</v>
      </c>
      <c r="BI253" s="39">
        <v>2011</v>
      </c>
      <c r="BJ253" s="41" t="s">
        <v>161</v>
      </c>
      <c r="BK253" s="27"/>
      <c r="BL253" s="44"/>
      <c r="BM253" s="45" t="s">
        <v>155</v>
      </c>
      <c r="BN253" s="39" t="s">
        <v>18</v>
      </c>
      <c r="BO253" s="39">
        <v>2</v>
      </c>
      <c r="BP253" s="39" t="s">
        <v>152</v>
      </c>
      <c r="BQ253" s="27">
        <v>50</v>
      </c>
      <c r="BR253" s="39">
        <v>1018</v>
      </c>
      <c r="BS253" s="41" t="s">
        <v>182</v>
      </c>
      <c r="BT253" s="27"/>
      <c r="BU253" s="44"/>
      <c r="BV253" s="45" t="s">
        <v>155</v>
      </c>
      <c r="BW253" s="39" t="s">
        <v>18</v>
      </c>
      <c r="BX253" s="39">
        <v>2</v>
      </c>
      <c r="BY253" s="39" t="s">
        <v>152</v>
      </c>
      <c r="BZ253" s="27">
        <v>50</v>
      </c>
      <c r="CA253" s="39">
        <v>3003</v>
      </c>
      <c r="CB253" s="41" t="s">
        <v>180</v>
      </c>
      <c r="CC253" s="27"/>
      <c r="CD253" s="44"/>
      <c r="CE253" s="45" t="s">
        <v>155</v>
      </c>
      <c r="CF253" s="39" t="s">
        <v>18</v>
      </c>
      <c r="CG253" s="39">
        <v>2</v>
      </c>
      <c r="CH253" s="39" t="s">
        <v>152</v>
      </c>
      <c r="CI253" s="27">
        <v>50</v>
      </c>
      <c r="CJ253" s="39"/>
      <c r="CK253" s="41" t="s">
        <v>188</v>
      </c>
    </row>
    <row r="254" spans="1:89" x14ac:dyDescent="0.25">
      <c r="A254" s="44"/>
      <c r="B254" s="45" t="s">
        <v>155</v>
      </c>
      <c r="C254" s="39" t="s">
        <v>18</v>
      </c>
      <c r="D254" s="39">
        <v>3</v>
      </c>
      <c r="E254" s="39" t="s">
        <v>152</v>
      </c>
      <c r="F254" s="27">
        <v>51</v>
      </c>
      <c r="G254" s="39">
        <v>1042</v>
      </c>
      <c r="H254" s="41" t="s">
        <v>169</v>
      </c>
      <c r="I254" s="27"/>
      <c r="J254" s="44"/>
      <c r="K254" s="45" t="s">
        <v>155</v>
      </c>
      <c r="L254" s="39" t="s">
        <v>18</v>
      </c>
      <c r="M254" s="39">
        <v>3</v>
      </c>
      <c r="N254" s="39" t="s">
        <v>152</v>
      </c>
      <c r="O254" s="27">
        <v>51</v>
      </c>
      <c r="P254" s="39">
        <v>1052</v>
      </c>
      <c r="Q254" s="46" t="s">
        <v>184</v>
      </c>
      <c r="R254" s="27"/>
      <c r="S254" s="44"/>
      <c r="T254" s="45" t="s">
        <v>155</v>
      </c>
      <c r="U254" s="39" t="s">
        <v>18</v>
      </c>
      <c r="V254" s="39">
        <v>3</v>
      </c>
      <c r="W254" s="39" t="s">
        <v>152</v>
      </c>
      <c r="X254" s="27">
        <v>51</v>
      </c>
      <c r="Y254" s="39">
        <v>1057</v>
      </c>
      <c r="Z254" s="41" t="s">
        <v>182</v>
      </c>
      <c r="AA254" s="27"/>
      <c r="AB254" s="44"/>
      <c r="AC254" s="45" t="s">
        <v>155</v>
      </c>
      <c r="AD254" s="39" t="s">
        <v>18</v>
      </c>
      <c r="AE254" s="39">
        <v>3</v>
      </c>
      <c r="AF254" s="39" t="s">
        <v>152</v>
      </c>
      <c r="AG254" s="27">
        <v>51</v>
      </c>
      <c r="AH254" s="39">
        <v>2033</v>
      </c>
      <c r="AI254" s="46" t="s">
        <v>162</v>
      </c>
      <c r="AJ254" s="27"/>
      <c r="AK254" s="44"/>
      <c r="AL254" s="45" t="s">
        <v>155</v>
      </c>
      <c r="AM254" s="39" t="s">
        <v>18</v>
      </c>
      <c r="AN254" s="39">
        <v>3</v>
      </c>
      <c r="AO254" s="39" t="s">
        <v>152</v>
      </c>
      <c r="AP254" s="27">
        <v>51</v>
      </c>
      <c r="AQ254" s="39">
        <v>2038</v>
      </c>
      <c r="AR254" s="41" t="s">
        <v>180</v>
      </c>
      <c r="AS254" s="27"/>
      <c r="AT254" s="44"/>
      <c r="AU254" s="45" t="s">
        <v>155</v>
      </c>
      <c r="AV254" s="39" t="s">
        <v>18</v>
      </c>
      <c r="AW254" s="39">
        <v>3</v>
      </c>
      <c r="AX254" s="39" t="s">
        <v>152</v>
      </c>
      <c r="AY254" s="27">
        <v>51</v>
      </c>
      <c r="AZ254" s="39" t="s">
        <v>105</v>
      </c>
      <c r="BA254" s="41" t="s">
        <v>164</v>
      </c>
      <c r="BB254" s="27"/>
      <c r="BC254" s="44"/>
      <c r="BD254" s="45" t="s">
        <v>155</v>
      </c>
      <c r="BE254" s="39" t="s">
        <v>18</v>
      </c>
      <c r="BF254" s="39">
        <v>3</v>
      </c>
      <c r="BG254" s="39" t="s">
        <v>152</v>
      </c>
      <c r="BH254" s="27">
        <v>51</v>
      </c>
      <c r="BI254" s="39">
        <v>2011</v>
      </c>
      <c r="BJ254" s="41" t="s">
        <v>169</v>
      </c>
      <c r="BK254" s="27"/>
      <c r="BL254" s="44"/>
      <c r="BM254" s="45" t="s">
        <v>155</v>
      </c>
      <c r="BN254" s="39" t="s">
        <v>18</v>
      </c>
      <c r="BO254" s="39">
        <v>3</v>
      </c>
      <c r="BP254" s="39" t="s">
        <v>152</v>
      </c>
      <c r="BQ254" s="27">
        <v>51</v>
      </c>
      <c r="BR254" s="39">
        <v>1018</v>
      </c>
      <c r="BS254" s="41" t="s">
        <v>184</v>
      </c>
      <c r="BT254" s="27"/>
      <c r="BU254" s="44"/>
      <c r="BV254" s="45" t="s">
        <v>155</v>
      </c>
      <c r="BW254" s="39" t="s">
        <v>18</v>
      </c>
      <c r="BX254" s="39">
        <v>3</v>
      </c>
      <c r="BY254" s="39" t="s">
        <v>152</v>
      </c>
      <c r="BZ254" s="27">
        <v>51</v>
      </c>
      <c r="CA254" s="39">
        <v>3003</v>
      </c>
      <c r="CB254" s="41" t="s">
        <v>181</v>
      </c>
      <c r="CC254" s="27"/>
      <c r="CD254" s="44"/>
      <c r="CE254" s="45" t="s">
        <v>155</v>
      </c>
      <c r="CF254" s="39" t="s">
        <v>18</v>
      </c>
      <c r="CG254" s="39">
        <v>3</v>
      </c>
      <c r="CH254" s="39" t="s">
        <v>152</v>
      </c>
      <c r="CI254" s="27">
        <v>51</v>
      </c>
      <c r="CJ254" s="39"/>
      <c r="CK254" s="41" t="s">
        <v>182</v>
      </c>
    </row>
    <row r="255" spans="1:89" x14ac:dyDescent="0.25">
      <c r="A255" s="44"/>
      <c r="B255" s="45" t="s">
        <v>155</v>
      </c>
      <c r="C255" s="39" t="s">
        <v>18</v>
      </c>
      <c r="D255" s="39">
        <v>4</v>
      </c>
      <c r="E255" s="39" t="s">
        <v>152</v>
      </c>
      <c r="F255" s="27">
        <v>52</v>
      </c>
      <c r="G255" s="39">
        <v>1042</v>
      </c>
      <c r="H255" s="46" t="s">
        <v>177</v>
      </c>
      <c r="I255" s="27"/>
      <c r="J255" s="44"/>
      <c r="K255" s="45" t="s">
        <v>155</v>
      </c>
      <c r="L255" s="39" t="s">
        <v>18</v>
      </c>
      <c r="M255" s="39">
        <v>4</v>
      </c>
      <c r="N255" s="39" t="s">
        <v>152</v>
      </c>
      <c r="O255" s="27">
        <v>52</v>
      </c>
      <c r="P255" s="39">
        <v>1052</v>
      </c>
      <c r="Q255" s="41" t="s">
        <v>187</v>
      </c>
      <c r="R255" s="27"/>
      <c r="S255" s="44"/>
      <c r="T255" s="45" t="s">
        <v>155</v>
      </c>
      <c r="U255" s="39" t="s">
        <v>18</v>
      </c>
      <c r="V255" s="39">
        <v>4</v>
      </c>
      <c r="W255" s="39" t="s">
        <v>152</v>
      </c>
      <c r="X255" s="27">
        <v>52</v>
      </c>
      <c r="Y255" s="39">
        <v>1057</v>
      </c>
      <c r="Z255" s="46" t="s">
        <v>184</v>
      </c>
      <c r="AA255" s="27"/>
      <c r="AB255" s="44"/>
      <c r="AC255" s="45" t="s">
        <v>155</v>
      </c>
      <c r="AD255" s="39" t="s">
        <v>18</v>
      </c>
      <c r="AE255" s="39">
        <v>4</v>
      </c>
      <c r="AF255" s="39" t="s">
        <v>152</v>
      </c>
      <c r="AG255" s="27">
        <v>52</v>
      </c>
      <c r="AH255" s="39">
        <v>2033</v>
      </c>
      <c r="AI255" s="41" t="s">
        <v>170</v>
      </c>
      <c r="AJ255" s="27"/>
      <c r="AK255" s="44"/>
      <c r="AL255" s="45" t="s">
        <v>155</v>
      </c>
      <c r="AM255" s="39" t="s">
        <v>18</v>
      </c>
      <c r="AN255" s="39">
        <v>4</v>
      </c>
      <c r="AO255" s="39" t="s">
        <v>152</v>
      </c>
      <c r="AP255" s="27">
        <v>52</v>
      </c>
      <c r="AQ255" s="39">
        <v>2038</v>
      </c>
      <c r="AR255" s="46" t="s">
        <v>181</v>
      </c>
      <c r="AS255" s="27"/>
      <c r="AT255" s="44"/>
      <c r="AU255" s="45" t="s">
        <v>155</v>
      </c>
      <c r="AV255" s="39" t="s">
        <v>18</v>
      </c>
      <c r="AW255" s="39">
        <v>4</v>
      </c>
      <c r="AX255" s="39" t="s">
        <v>152</v>
      </c>
      <c r="AY255" s="27">
        <v>52</v>
      </c>
      <c r="AZ255" s="39" t="s">
        <v>105</v>
      </c>
      <c r="BA255" s="41" t="s">
        <v>172</v>
      </c>
      <c r="BB255" s="27"/>
      <c r="BC255" s="44"/>
      <c r="BD255" s="45" t="s">
        <v>155</v>
      </c>
      <c r="BE255" s="39" t="s">
        <v>18</v>
      </c>
      <c r="BF255" s="39">
        <v>4</v>
      </c>
      <c r="BG255" s="39" t="s">
        <v>152</v>
      </c>
      <c r="BH255" s="27">
        <v>52</v>
      </c>
      <c r="BI255" s="39">
        <v>2011</v>
      </c>
      <c r="BJ255" s="41" t="s">
        <v>177</v>
      </c>
      <c r="BK255" s="27"/>
      <c r="BL255" s="44"/>
      <c r="BM255" s="45" t="s">
        <v>155</v>
      </c>
      <c r="BN255" s="39" t="s">
        <v>18</v>
      </c>
      <c r="BO255" s="39">
        <v>4</v>
      </c>
      <c r="BP255" s="39" t="s">
        <v>152</v>
      </c>
      <c r="BQ255" s="27">
        <v>52</v>
      </c>
      <c r="BR255" s="39">
        <v>1018</v>
      </c>
      <c r="BS255" s="46" t="s">
        <v>187</v>
      </c>
      <c r="BT255" s="27"/>
      <c r="BU255" s="44"/>
      <c r="BV255" s="45" t="s">
        <v>155</v>
      </c>
      <c r="BW255" s="39" t="s">
        <v>18</v>
      </c>
      <c r="BX255" s="39">
        <v>4</v>
      </c>
      <c r="BY255" s="39" t="s">
        <v>152</v>
      </c>
      <c r="BZ255" s="27">
        <v>52</v>
      </c>
      <c r="CA255" s="39">
        <v>3003</v>
      </c>
      <c r="CB255" s="46" t="s">
        <v>183</v>
      </c>
      <c r="CC255" s="27"/>
      <c r="CD255" s="44"/>
      <c r="CE255" s="45" t="s">
        <v>155</v>
      </c>
      <c r="CF255" s="39" t="s">
        <v>18</v>
      </c>
      <c r="CG255" s="39">
        <v>4</v>
      </c>
      <c r="CH255" s="39" t="s">
        <v>152</v>
      </c>
      <c r="CI255" s="27">
        <v>52</v>
      </c>
      <c r="CJ255" s="39"/>
      <c r="CK255" s="46" t="s">
        <v>184</v>
      </c>
    </row>
    <row r="256" spans="1:89" x14ac:dyDescent="0.25">
      <c r="A256" s="44"/>
      <c r="B256" s="45" t="s">
        <v>155</v>
      </c>
      <c r="C256" s="39" t="s">
        <v>18</v>
      </c>
      <c r="D256" s="39">
        <v>5</v>
      </c>
      <c r="E256" s="39" t="s">
        <v>152</v>
      </c>
      <c r="F256" s="27">
        <v>53</v>
      </c>
      <c r="G256" s="39">
        <v>1042</v>
      </c>
      <c r="H256" s="41" t="s">
        <v>180</v>
      </c>
      <c r="I256" s="27"/>
      <c r="J256" s="44"/>
      <c r="K256" s="45" t="s">
        <v>155</v>
      </c>
      <c r="L256" s="39" t="s">
        <v>18</v>
      </c>
      <c r="M256" s="39">
        <v>5</v>
      </c>
      <c r="N256" s="39" t="s">
        <v>152</v>
      </c>
      <c r="O256" s="27">
        <v>53</v>
      </c>
      <c r="P256" s="39">
        <v>1052</v>
      </c>
      <c r="Q256" s="41" t="s">
        <v>189</v>
      </c>
      <c r="R256" s="27"/>
      <c r="S256" s="44"/>
      <c r="T256" s="45" t="s">
        <v>155</v>
      </c>
      <c r="U256" s="39" t="s">
        <v>18</v>
      </c>
      <c r="V256" s="39">
        <v>5</v>
      </c>
      <c r="W256" s="39" t="s">
        <v>152</v>
      </c>
      <c r="X256" s="27">
        <v>53</v>
      </c>
      <c r="Y256" s="39">
        <v>1057</v>
      </c>
      <c r="Z256" s="41" t="s">
        <v>187</v>
      </c>
      <c r="AA256" s="27"/>
      <c r="AB256" s="44"/>
      <c r="AC256" s="45" t="s">
        <v>155</v>
      </c>
      <c r="AD256" s="39" t="s">
        <v>18</v>
      </c>
      <c r="AE256" s="39">
        <v>5</v>
      </c>
      <c r="AF256" s="39" t="s">
        <v>152</v>
      </c>
      <c r="AG256" s="27">
        <v>53</v>
      </c>
      <c r="AH256" s="39">
        <v>2033</v>
      </c>
      <c r="AI256" s="41" t="s">
        <v>178</v>
      </c>
      <c r="AJ256" s="27"/>
      <c r="AK256" s="44"/>
      <c r="AL256" s="45" t="s">
        <v>155</v>
      </c>
      <c r="AM256" s="39" t="s">
        <v>18</v>
      </c>
      <c r="AN256" s="39">
        <v>5</v>
      </c>
      <c r="AO256" s="39" t="s">
        <v>152</v>
      </c>
      <c r="AP256" s="27">
        <v>53</v>
      </c>
      <c r="AQ256" s="39">
        <v>2038</v>
      </c>
      <c r="AR256" s="41" t="s">
        <v>183</v>
      </c>
      <c r="AS256" s="27"/>
      <c r="AT256" s="44"/>
      <c r="AU256" s="45" t="s">
        <v>155</v>
      </c>
      <c r="AV256" s="39" t="s">
        <v>18</v>
      </c>
      <c r="AW256" s="39">
        <v>5</v>
      </c>
      <c r="AX256" s="39" t="s">
        <v>152</v>
      </c>
      <c r="AY256" s="27">
        <v>53</v>
      </c>
      <c r="AZ256" s="39" t="s">
        <v>105</v>
      </c>
      <c r="BA256" s="46" t="s">
        <v>162</v>
      </c>
      <c r="BB256" s="27"/>
      <c r="BC256" s="44"/>
      <c r="BD256" s="45" t="s">
        <v>155</v>
      </c>
      <c r="BE256" s="39" t="s">
        <v>18</v>
      </c>
      <c r="BF256" s="39">
        <v>5</v>
      </c>
      <c r="BG256" s="39" t="s">
        <v>152</v>
      </c>
      <c r="BH256" s="27">
        <v>53</v>
      </c>
      <c r="BI256" s="39">
        <v>2011</v>
      </c>
      <c r="BJ256" s="41" t="s">
        <v>180</v>
      </c>
      <c r="BK256" s="27"/>
      <c r="BL256" s="44"/>
      <c r="BM256" s="45" t="s">
        <v>155</v>
      </c>
      <c r="BN256" s="39" t="s">
        <v>18</v>
      </c>
      <c r="BO256" s="39">
        <v>5</v>
      </c>
      <c r="BP256" s="39" t="s">
        <v>152</v>
      </c>
      <c r="BQ256" s="27">
        <v>53</v>
      </c>
      <c r="BR256" s="39">
        <v>1018</v>
      </c>
      <c r="BS256" s="41" t="s">
        <v>189</v>
      </c>
      <c r="BT256" s="27"/>
      <c r="BU256" s="44"/>
      <c r="BV256" s="45" t="s">
        <v>155</v>
      </c>
      <c r="BW256" s="39" t="s">
        <v>18</v>
      </c>
      <c r="BX256" s="39">
        <v>5</v>
      </c>
      <c r="BY256" s="39" t="s">
        <v>152</v>
      </c>
      <c r="BZ256" s="27">
        <v>53</v>
      </c>
      <c r="CA256" s="39">
        <v>3003</v>
      </c>
      <c r="CB256" s="41" t="s">
        <v>186</v>
      </c>
      <c r="CC256" s="27"/>
      <c r="CD256" s="44"/>
      <c r="CE256" s="45" t="s">
        <v>155</v>
      </c>
      <c r="CF256" s="39" t="s">
        <v>18</v>
      </c>
      <c r="CG256" s="39">
        <v>5</v>
      </c>
      <c r="CH256" s="39" t="s">
        <v>152</v>
      </c>
      <c r="CI256" s="27">
        <v>53</v>
      </c>
      <c r="CJ256" s="39"/>
      <c r="CK256" s="41" t="s">
        <v>187</v>
      </c>
    </row>
    <row r="257" spans="1:90" x14ac:dyDescent="0.25">
      <c r="A257" s="44"/>
      <c r="B257" s="45" t="s">
        <v>155</v>
      </c>
      <c r="C257" s="39" t="s">
        <v>18</v>
      </c>
      <c r="D257" s="39">
        <v>6</v>
      </c>
      <c r="E257" s="39" t="s">
        <v>152</v>
      </c>
      <c r="F257" s="27">
        <v>54</v>
      </c>
      <c r="G257" s="39">
        <v>1042</v>
      </c>
      <c r="H257" s="41" t="s">
        <v>181</v>
      </c>
      <c r="I257" s="27"/>
      <c r="J257" s="44"/>
      <c r="K257" s="45" t="s">
        <v>155</v>
      </c>
      <c r="L257" s="39" t="s">
        <v>18</v>
      </c>
      <c r="M257" s="39">
        <v>6</v>
      </c>
      <c r="N257" s="39" t="s">
        <v>152</v>
      </c>
      <c r="O257" s="27">
        <v>54</v>
      </c>
      <c r="P257" s="39">
        <v>1053</v>
      </c>
      <c r="Q257" s="41" t="s">
        <v>160</v>
      </c>
      <c r="R257" s="27"/>
      <c r="S257" s="44"/>
      <c r="T257" s="45" t="s">
        <v>155</v>
      </c>
      <c r="U257" s="39" t="s">
        <v>18</v>
      </c>
      <c r="V257" s="39">
        <v>6</v>
      </c>
      <c r="W257" s="39" t="s">
        <v>152</v>
      </c>
      <c r="X257" s="27">
        <v>54</v>
      </c>
      <c r="Y257" s="39">
        <v>1057</v>
      </c>
      <c r="Z257" s="41" t="s">
        <v>189</v>
      </c>
      <c r="AA257" s="27"/>
      <c r="AB257" s="44"/>
      <c r="AC257" s="45" t="s">
        <v>155</v>
      </c>
      <c r="AD257" s="39" t="s">
        <v>18</v>
      </c>
      <c r="AE257" s="39">
        <v>6</v>
      </c>
      <c r="AF257" s="39" t="s">
        <v>152</v>
      </c>
      <c r="AG257" s="27">
        <v>54</v>
      </c>
      <c r="AH257" s="39">
        <v>2033</v>
      </c>
      <c r="AI257" s="41" t="s">
        <v>163</v>
      </c>
      <c r="AJ257" s="27"/>
      <c r="AK257" s="44"/>
      <c r="AL257" s="45" t="s">
        <v>155</v>
      </c>
      <c r="AM257" s="39" t="s">
        <v>18</v>
      </c>
      <c r="AN257" s="39">
        <v>6</v>
      </c>
      <c r="AO257" s="39" t="s">
        <v>152</v>
      </c>
      <c r="AP257" s="27">
        <v>54</v>
      </c>
      <c r="AQ257" s="39">
        <v>2038</v>
      </c>
      <c r="AR257" s="41" t="s">
        <v>186</v>
      </c>
      <c r="AS257" s="27"/>
      <c r="AT257" s="44"/>
      <c r="AU257" s="45" t="s">
        <v>155</v>
      </c>
      <c r="AV257" s="39" t="s">
        <v>18</v>
      </c>
      <c r="AW257" s="39">
        <v>6</v>
      </c>
      <c r="AX257" s="39" t="s">
        <v>152</v>
      </c>
      <c r="AY257" s="27">
        <v>54</v>
      </c>
      <c r="AZ257" s="39" t="s">
        <v>105</v>
      </c>
      <c r="BA257" s="41" t="s">
        <v>170</v>
      </c>
      <c r="BB257" s="27"/>
      <c r="BC257" s="44"/>
      <c r="BD257" s="45" t="s">
        <v>155</v>
      </c>
      <c r="BE257" s="39" t="s">
        <v>18</v>
      </c>
      <c r="BF257" s="39">
        <v>6</v>
      </c>
      <c r="BG257" s="39" t="s">
        <v>152</v>
      </c>
      <c r="BH257" s="27">
        <v>54</v>
      </c>
      <c r="BI257" s="39">
        <v>2011</v>
      </c>
      <c r="BJ257" s="41" t="s">
        <v>181</v>
      </c>
      <c r="BK257" s="27"/>
      <c r="BL257" s="44"/>
      <c r="BM257" s="45" t="s">
        <v>155</v>
      </c>
      <c r="BN257" s="39" t="s">
        <v>18</v>
      </c>
      <c r="BO257" s="39">
        <v>6</v>
      </c>
      <c r="BP257" s="39" t="s">
        <v>152</v>
      </c>
      <c r="BQ257" s="27">
        <v>54</v>
      </c>
      <c r="BR257" s="39">
        <v>3001</v>
      </c>
      <c r="BS257" s="41" t="s">
        <v>160</v>
      </c>
      <c r="BT257" s="27"/>
      <c r="BU257" s="44"/>
      <c r="BV257" s="45" t="s">
        <v>155</v>
      </c>
      <c r="BW257" s="39" t="s">
        <v>18</v>
      </c>
      <c r="BX257" s="39">
        <v>6</v>
      </c>
      <c r="BY257" s="39" t="s">
        <v>152</v>
      </c>
      <c r="BZ257" s="27">
        <v>54</v>
      </c>
      <c r="CA257" s="39">
        <v>3003</v>
      </c>
      <c r="CB257" s="41" t="s">
        <v>188</v>
      </c>
      <c r="CC257" s="27"/>
      <c r="CD257" s="44"/>
      <c r="CE257" s="45" t="s">
        <v>155</v>
      </c>
      <c r="CF257" s="39" t="s">
        <v>18</v>
      </c>
      <c r="CG257" s="39">
        <v>6</v>
      </c>
      <c r="CH257" s="39" t="s">
        <v>152</v>
      </c>
      <c r="CI257" s="27">
        <v>54</v>
      </c>
      <c r="CJ257" s="39"/>
      <c r="CK257" s="41" t="s">
        <v>189</v>
      </c>
    </row>
    <row r="258" spans="1:90" ht="15.75" thickBot="1" x14ac:dyDescent="0.3">
      <c r="A258" s="44"/>
      <c r="B258" s="45" t="s">
        <v>155</v>
      </c>
      <c r="C258" s="39" t="s">
        <v>18</v>
      </c>
      <c r="D258" s="39">
        <v>7</v>
      </c>
      <c r="E258" s="39" t="s">
        <v>152</v>
      </c>
      <c r="F258" s="27">
        <v>55</v>
      </c>
      <c r="G258" s="39">
        <v>1042</v>
      </c>
      <c r="H258" s="41" t="s">
        <v>183</v>
      </c>
      <c r="I258" s="27"/>
      <c r="J258" s="44"/>
      <c r="K258" s="45" t="s">
        <v>155</v>
      </c>
      <c r="L258" s="39" t="s">
        <v>18</v>
      </c>
      <c r="M258" s="39">
        <v>7</v>
      </c>
      <c r="N258" s="39" t="s">
        <v>152</v>
      </c>
      <c r="O258" s="27">
        <v>55</v>
      </c>
      <c r="P258" s="39">
        <v>1053</v>
      </c>
      <c r="Q258" s="41" t="s">
        <v>168</v>
      </c>
      <c r="R258" s="27"/>
      <c r="S258" s="44"/>
      <c r="T258" s="45" t="s">
        <v>155</v>
      </c>
      <c r="U258" s="39" t="s">
        <v>18</v>
      </c>
      <c r="V258" s="39">
        <v>7</v>
      </c>
      <c r="W258" s="39" t="s">
        <v>152</v>
      </c>
      <c r="X258" s="27">
        <v>55</v>
      </c>
      <c r="Y258" s="39">
        <v>1058</v>
      </c>
      <c r="Z258" s="41" t="s">
        <v>160</v>
      </c>
      <c r="AA258" s="27"/>
      <c r="AB258" s="44"/>
      <c r="AC258" s="45" t="s">
        <v>155</v>
      </c>
      <c r="AD258" s="39" t="s">
        <v>18</v>
      </c>
      <c r="AE258" s="39">
        <v>7</v>
      </c>
      <c r="AF258" s="39" t="s">
        <v>152</v>
      </c>
      <c r="AG258" s="27">
        <v>55</v>
      </c>
      <c r="AH258" s="39">
        <v>2033</v>
      </c>
      <c r="AI258" s="41" t="s">
        <v>171</v>
      </c>
      <c r="AJ258" s="27"/>
      <c r="AK258" s="44"/>
      <c r="AL258" s="45" t="s">
        <v>155</v>
      </c>
      <c r="AM258" s="39" t="s">
        <v>18</v>
      </c>
      <c r="AN258" s="39">
        <v>7</v>
      </c>
      <c r="AO258" s="39" t="s">
        <v>152</v>
      </c>
      <c r="AP258" s="27">
        <v>55</v>
      </c>
      <c r="AQ258" s="39">
        <v>2038</v>
      </c>
      <c r="AR258" s="41" t="s">
        <v>188</v>
      </c>
      <c r="AS258" s="27"/>
      <c r="AT258" s="44"/>
      <c r="AU258" s="45" t="s">
        <v>155</v>
      </c>
      <c r="AV258" s="39" t="s">
        <v>18</v>
      </c>
      <c r="AW258" s="39">
        <v>7</v>
      </c>
      <c r="AX258" s="39" t="s">
        <v>152</v>
      </c>
      <c r="AY258" s="27">
        <v>55</v>
      </c>
      <c r="AZ258" s="39" t="s">
        <v>105</v>
      </c>
      <c r="BA258" s="41" t="s">
        <v>178</v>
      </c>
      <c r="BB258" s="27"/>
      <c r="BC258" s="44"/>
      <c r="BD258" s="45" t="s">
        <v>155</v>
      </c>
      <c r="BE258" s="39" t="s">
        <v>18</v>
      </c>
      <c r="BF258" s="39">
        <v>7</v>
      </c>
      <c r="BG258" s="39" t="s">
        <v>152</v>
      </c>
      <c r="BH258" s="27">
        <v>55</v>
      </c>
      <c r="BI258" s="39">
        <v>2011</v>
      </c>
      <c r="BJ258" s="41" t="s">
        <v>183</v>
      </c>
      <c r="BK258" s="27"/>
      <c r="BL258" s="44"/>
      <c r="BM258" s="45" t="s">
        <v>155</v>
      </c>
      <c r="BN258" s="39" t="s">
        <v>18</v>
      </c>
      <c r="BO258" s="39">
        <v>7</v>
      </c>
      <c r="BP258" s="39" t="s">
        <v>152</v>
      </c>
      <c r="BQ258" s="27">
        <v>55</v>
      </c>
      <c r="BR258" s="39">
        <v>3001</v>
      </c>
      <c r="BS258" s="41" t="s">
        <v>168</v>
      </c>
      <c r="BT258" s="27"/>
      <c r="BU258" s="44"/>
      <c r="BV258" s="45" t="s">
        <v>155</v>
      </c>
      <c r="BW258" s="39" t="s">
        <v>18</v>
      </c>
      <c r="BX258" s="39">
        <v>7</v>
      </c>
      <c r="BY258" s="39" t="s">
        <v>152</v>
      </c>
      <c r="BZ258" s="27">
        <v>55</v>
      </c>
      <c r="CA258" s="39">
        <v>3003</v>
      </c>
      <c r="CB258" s="41" t="s">
        <v>182</v>
      </c>
      <c r="CC258" s="27"/>
      <c r="CD258" s="44"/>
      <c r="CE258" s="45" t="s">
        <v>155</v>
      </c>
      <c r="CF258" s="39" t="s">
        <v>18</v>
      </c>
      <c r="CG258" s="39">
        <v>7</v>
      </c>
      <c r="CH258" s="39" t="s">
        <v>152</v>
      </c>
      <c r="CI258" s="27">
        <v>55</v>
      </c>
      <c r="CJ258" s="39">
        <v>3006</v>
      </c>
      <c r="CK258" s="41" t="s">
        <v>160</v>
      </c>
    </row>
    <row r="259" spans="1:90" x14ac:dyDescent="0.25">
      <c r="A259" s="44"/>
      <c r="B259" s="45" t="s">
        <v>155</v>
      </c>
      <c r="C259" s="39" t="s">
        <v>18</v>
      </c>
      <c r="D259" s="39">
        <v>8</v>
      </c>
      <c r="E259" s="39" t="s">
        <v>152</v>
      </c>
      <c r="F259" s="27">
        <v>56</v>
      </c>
      <c r="G259" s="39">
        <v>1042</v>
      </c>
      <c r="H259" s="41" t="s">
        <v>186</v>
      </c>
      <c r="I259" s="27"/>
      <c r="J259" s="44"/>
      <c r="K259" s="45" t="s">
        <v>155</v>
      </c>
      <c r="L259" s="39" t="s">
        <v>18</v>
      </c>
      <c r="M259" s="39">
        <v>8</v>
      </c>
      <c r="N259" s="39" t="s">
        <v>152</v>
      </c>
      <c r="O259" s="27">
        <v>56</v>
      </c>
      <c r="P259" s="39">
        <v>1053</v>
      </c>
      <c r="Q259" s="41" t="s">
        <v>176</v>
      </c>
      <c r="R259" s="27"/>
      <c r="S259" s="44"/>
      <c r="T259" s="45" t="s">
        <v>155</v>
      </c>
      <c r="U259" s="39" t="s">
        <v>18</v>
      </c>
      <c r="V259" s="39">
        <v>8</v>
      </c>
      <c r="W259" s="39" t="s">
        <v>152</v>
      </c>
      <c r="X259" s="27">
        <v>56</v>
      </c>
      <c r="Y259" s="39">
        <v>1058</v>
      </c>
      <c r="Z259" s="41" t="s">
        <v>168</v>
      </c>
      <c r="AA259" s="27"/>
      <c r="AB259" s="44"/>
      <c r="AC259" s="45" t="s">
        <v>155</v>
      </c>
      <c r="AD259" s="39" t="s">
        <v>18</v>
      </c>
      <c r="AE259" s="39">
        <v>8</v>
      </c>
      <c r="AF259" s="39" t="s">
        <v>152</v>
      </c>
      <c r="AG259" s="27">
        <v>56</v>
      </c>
      <c r="AH259" s="39">
        <v>2033</v>
      </c>
      <c r="AI259" s="41" t="s">
        <v>161</v>
      </c>
      <c r="AJ259" s="27"/>
      <c r="AK259" s="44"/>
      <c r="AL259" s="45" t="s">
        <v>155</v>
      </c>
      <c r="AM259" s="39" t="s">
        <v>18</v>
      </c>
      <c r="AN259" s="39">
        <v>8</v>
      </c>
      <c r="AO259" s="39" t="s">
        <v>152</v>
      </c>
      <c r="AP259" s="27">
        <v>56</v>
      </c>
      <c r="AQ259" s="39">
        <v>2038</v>
      </c>
      <c r="AR259" s="41" t="s">
        <v>182</v>
      </c>
      <c r="AS259" s="27"/>
      <c r="AT259" s="44"/>
      <c r="AU259" s="45" t="s">
        <v>155</v>
      </c>
      <c r="AV259" s="39" t="s">
        <v>18</v>
      </c>
      <c r="AW259" s="39">
        <v>8</v>
      </c>
      <c r="AX259" s="39" t="s">
        <v>152</v>
      </c>
      <c r="AY259" s="27">
        <v>56</v>
      </c>
      <c r="AZ259" s="39" t="s">
        <v>105</v>
      </c>
      <c r="BA259" s="41" t="s">
        <v>163</v>
      </c>
      <c r="BB259" s="27"/>
      <c r="BC259" s="44"/>
      <c r="BD259" s="45" t="s">
        <v>155</v>
      </c>
      <c r="BE259" s="39" t="s">
        <v>18</v>
      </c>
      <c r="BF259" s="39">
        <v>8</v>
      </c>
      <c r="BG259" s="39" t="s">
        <v>152</v>
      </c>
      <c r="BH259" s="27">
        <v>56</v>
      </c>
      <c r="BI259" s="39">
        <v>2011</v>
      </c>
      <c r="BJ259" s="40" t="s">
        <v>186</v>
      </c>
      <c r="BK259" s="27"/>
      <c r="BL259" s="44"/>
      <c r="BM259" s="45" t="s">
        <v>155</v>
      </c>
      <c r="BN259" s="39" t="s">
        <v>18</v>
      </c>
      <c r="BO259" s="39">
        <v>8</v>
      </c>
      <c r="BP259" s="39" t="s">
        <v>152</v>
      </c>
      <c r="BQ259" s="27">
        <v>56</v>
      </c>
      <c r="BR259" s="39">
        <v>3001</v>
      </c>
      <c r="BS259" s="41" t="s">
        <v>176</v>
      </c>
      <c r="BT259" s="27"/>
      <c r="BU259" s="44"/>
      <c r="BV259" s="45" t="s">
        <v>155</v>
      </c>
      <c r="BW259" s="39" t="s">
        <v>18</v>
      </c>
      <c r="BX259" s="39">
        <v>8</v>
      </c>
      <c r="BY259" s="39" t="s">
        <v>152</v>
      </c>
      <c r="BZ259" s="27">
        <v>56</v>
      </c>
      <c r="CA259" s="39">
        <v>3003</v>
      </c>
      <c r="CB259" s="41" t="s">
        <v>184</v>
      </c>
      <c r="CC259" s="27"/>
      <c r="CD259" s="44"/>
      <c r="CE259" s="45" t="s">
        <v>155</v>
      </c>
      <c r="CF259" s="39" t="s">
        <v>18</v>
      </c>
      <c r="CG259" s="39">
        <v>8</v>
      </c>
      <c r="CH259" s="39" t="s">
        <v>152</v>
      </c>
      <c r="CI259" s="27">
        <v>56</v>
      </c>
      <c r="CJ259" s="39"/>
      <c r="CK259" s="41" t="s">
        <v>168</v>
      </c>
    </row>
    <row r="260" spans="1:90" x14ac:dyDescent="0.25">
      <c r="A260" s="44"/>
      <c r="B260" s="45" t="s">
        <v>155</v>
      </c>
      <c r="C260" s="39" t="s">
        <v>18</v>
      </c>
      <c r="D260" s="39">
        <v>9</v>
      </c>
      <c r="E260" s="39" t="s">
        <v>152</v>
      </c>
      <c r="F260" s="27">
        <v>57</v>
      </c>
      <c r="G260" s="39">
        <v>1042</v>
      </c>
      <c r="H260" s="41" t="s">
        <v>188</v>
      </c>
      <c r="I260" s="27"/>
      <c r="J260" s="44"/>
      <c r="K260" s="45" t="s">
        <v>155</v>
      </c>
      <c r="L260" s="39" t="s">
        <v>18</v>
      </c>
      <c r="M260" s="39">
        <v>9</v>
      </c>
      <c r="N260" s="39" t="s">
        <v>152</v>
      </c>
      <c r="O260" s="27">
        <v>57</v>
      </c>
      <c r="P260" s="39">
        <v>1053</v>
      </c>
      <c r="Q260" s="41" t="s">
        <v>164</v>
      </c>
      <c r="R260" s="27"/>
      <c r="S260" s="44"/>
      <c r="T260" s="45" t="s">
        <v>155</v>
      </c>
      <c r="U260" s="39" t="s">
        <v>18</v>
      </c>
      <c r="V260" s="39">
        <v>9</v>
      </c>
      <c r="W260" s="39" t="s">
        <v>152</v>
      </c>
      <c r="X260" s="27">
        <v>57</v>
      </c>
      <c r="Y260" s="39">
        <v>1058</v>
      </c>
      <c r="Z260" s="41" t="s">
        <v>176</v>
      </c>
      <c r="AA260" s="27"/>
      <c r="AB260" s="44"/>
      <c r="AC260" s="45" t="s">
        <v>155</v>
      </c>
      <c r="AD260" s="39" t="s">
        <v>18</v>
      </c>
      <c r="AE260" s="39">
        <v>9</v>
      </c>
      <c r="AF260" s="39" t="s">
        <v>152</v>
      </c>
      <c r="AG260" s="27">
        <v>57</v>
      </c>
      <c r="AH260" s="39">
        <v>2033</v>
      </c>
      <c r="AI260" s="41" t="s">
        <v>169</v>
      </c>
      <c r="AJ260" s="27"/>
      <c r="AK260" s="44"/>
      <c r="AL260" s="45" t="s">
        <v>155</v>
      </c>
      <c r="AM260" s="39" t="s">
        <v>18</v>
      </c>
      <c r="AN260" s="39">
        <v>9</v>
      </c>
      <c r="AO260" s="39" t="s">
        <v>152</v>
      </c>
      <c r="AP260" s="27">
        <v>57</v>
      </c>
      <c r="AQ260" s="39">
        <v>2038</v>
      </c>
      <c r="AR260" s="41" t="s">
        <v>184</v>
      </c>
      <c r="AS260" s="27"/>
      <c r="AT260" s="44"/>
      <c r="AU260" s="45" t="s">
        <v>155</v>
      </c>
      <c r="AV260" s="39" t="s">
        <v>18</v>
      </c>
      <c r="AW260" s="39">
        <v>9</v>
      </c>
      <c r="AX260" s="39" t="s">
        <v>152</v>
      </c>
      <c r="AY260" s="27">
        <v>57</v>
      </c>
      <c r="AZ260" s="39" t="s">
        <v>105</v>
      </c>
      <c r="BA260" s="41" t="s">
        <v>171</v>
      </c>
      <c r="BB260" s="27"/>
      <c r="BC260" s="44"/>
      <c r="BD260" s="45" t="s">
        <v>155</v>
      </c>
      <c r="BE260" s="39" t="s">
        <v>18</v>
      </c>
      <c r="BF260" s="39">
        <v>9</v>
      </c>
      <c r="BG260" s="39" t="s">
        <v>152</v>
      </c>
      <c r="BH260" s="27">
        <v>57</v>
      </c>
      <c r="BI260" s="39">
        <v>2011</v>
      </c>
      <c r="BJ260" s="41" t="s">
        <v>188</v>
      </c>
      <c r="BK260" s="27"/>
      <c r="BL260" s="44"/>
      <c r="BM260" s="45" t="s">
        <v>155</v>
      </c>
      <c r="BN260" s="39" t="s">
        <v>18</v>
      </c>
      <c r="BO260" s="39">
        <v>9</v>
      </c>
      <c r="BP260" s="39" t="s">
        <v>152</v>
      </c>
      <c r="BQ260" s="27">
        <v>57</v>
      </c>
      <c r="BR260" s="39">
        <v>3001</v>
      </c>
      <c r="BS260" s="41" t="s">
        <v>164</v>
      </c>
      <c r="BT260" s="27"/>
      <c r="BU260" s="44"/>
      <c r="BV260" s="45" t="s">
        <v>155</v>
      </c>
      <c r="BW260" s="39" t="s">
        <v>18</v>
      </c>
      <c r="BX260" s="39">
        <v>9</v>
      </c>
      <c r="BY260" s="39" t="s">
        <v>152</v>
      </c>
      <c r="BZ260" s="27">
        <v>57</v>
      </c>
      <c r="CA260" s="39">
        <v>3003</v>
      </c>
      <c r="CB260" s="41" t="s">
        <v>187</v>
      </c>
      <c r="CC260" s="27"/>
      <c r="CD260" s="44"/>
      <c r="CE260" s="45" t="s">
        <v>155</v>
      </c>
      <c r="CF260" s="39" t="s">
        <v>18</v>
      </c>
      <c r="CG260" s="39">
        <v>9</v>
      </c>
      <c r="CH260" s="39" t="s">
        <v>152</v>
      </c>
      <c r="CI260" s="27">
        <v>57</v>
      </c>
      <c r="CJ260" s="39"/>
      <c r="CK260" s="41" t="s">
        <v>176</v>
      </c>
    </row>
    <row r="261" spans="1:90" x14ac:dyDescent="0.25">
      <c r="A261" s="44"/>
      <c r="B261" s="45" t="s">
        <v>155</v>
      </c>
      <c r="C261" s="39" t="s">
        <v>18</v>
      </c>
      <c r="D261" s="39">
        <v>10</v>
      </c>
      <c r="E261" s="39" t="s">
        <v>152</v>
      </c>
      <c r="F261" s="27">
        <v>58</v>
      </c>
      <c r="G261" s="39">
        <v>1042</v>
      </c>
      <c r="H261" s="41" t="s">
        <v>182</v>
      </c>
      <c r="I261" s="27"/>
      <c r="J261" s="44"/>
      <c r="K261" s="45" t="s">
        <v>155</v>
      </c>
      <c r="L261" s="39" t="s">
        <v>18</v>
      </c>
      <c r="M261" s="39">
        <v>10</v>
      </c>
      <c r="N261" s="39" t="s">
        <v>152</v>
      </c>
      <c r="O261" s="27">
        <v>58</v>
      </c>
      <c r="P261" s="39">
        <v>1053</v>
      </c>
      <c r="Q261" s="41" t="s">
        <v>172</v>
      </c>
      <c r="R261" s="27"/>
      <c r="S261" s="44"/>
      <c r="T261" s="45" t="s">
        <v>155</v>
      </c>
      <c r="U261" s="39" t="s">
        <v>18</v>
      </c>
      <c r="V261" s="39">
        <v>10</v>
      </c>
      <c r="W261" s="39" t="s">
        <v>152</v>
      </c>
      <c r="X261" s="27">
        <v>58</v>
      </c>
      <c r="Y261" s="39">
        <v>1058</v>
      </c>
      <c r="Z261" s="41" t="s">
        <v>164</v>
      </c>
      <c r="AA261" s="27"/>
      <c r="AB261" s="44"/>
      <c r="AC261" s="45" t="s">
        <v>155</v>
      </c>
      <c r="AD261" s="39" t="s">
        <v>18</v>
      </c>
      <c r="AE261" s="39">
        <v>10</v>
      </c>
      <c r="AF261" s="39" t="s">
        <v>152</v>
      </c>
      <c r="AG261" s="27">
        <v>58</v>
      </c>
      <c r="AH261" s="39">
        <v>2033</v>
      </c>
      <c r="AI261" s="41" t="s">
        <v>177</v>
      </c>
      <c r="AJ261" s="27"/>
      <c r="AK261" s="44"/>
      <c r="AL261" s="45" t="s">
        <v>155</v>
      </c>
      <c r="AM261" s="39" t="s">
        <v>18</v>
      </c>
      <c r="AN261" s="39">
        <v>10</v>
      </c>
      <c r="AO261" s="39" t="s">
        <v>152</v>
      </c>
      <c r="AP261" s="27">
        <v>58</v>
      </c>
      <c r="AQ261" s="39">
        <v>2038</v>
      </c>
      <c r="AR261" s="41" t="s">
        <v>187</v>
      </c>
      <c r="AS261" s="27"/>
      <c r="AT261" s="44"/>
      <c r="AU261" s="45" t="s">
        <v>155</v>
      </c>
      <c r="AV261" s="39" t="s">
        <v>18</v>
      </c>
      <c r="AW261" s="39">
        <v>10</v>
      </c>
      <c r="AX261" s="39" t="s">
        <v>152</v>
      </c>
      <c r="AY261" s="27">
        <v>58</v>
      </c>
      <c r="AZ261" s="39" t="s">
        <v>105</v>
      </c>
      <c r="BA261" s="41" t="s">
        <v>161</v>
      </c>
      <c r="BB261" s="39" t="s">
        <v>336</v>
      </c>
      <c r="BC261" s="44"/>
      <c r="BD261" s="45" t="s">
        <v>155</v>
      </c>
      <c r="BE261" s="39" t="s">
        <v>18</v>
      </c>
      <c r="BF261" s="39">
        <v>10</v>
      </c>
      <c r="BG261" s="39" t="s">
        <v>152</v>
      </c>
      <c r="BH261" s="27">
        <v>58</v>
      </c>
      <c r="BI261" s="39">
        <v>2011</v>
      </c>
      <c r="BJ261" s="41" t="s">
        <v>182</v>
      </c>
      <c r="BK261" s="27"/>
      <c r="BL261" s="44"/>
      <c r="BM261" s="45" t="s">
        <v>155</v>
      </c>
      <c r="BN261" s="39" t="s">
        <v>18</v>
      </c>
      <c r="BO261" s="39">
        <v>10</v>
      </c>
      <c r="BP261" s="39" t="s">
        <v>152</v>
      </c>
      <c r="BQ261" s="27">
        <v>58</v>
      </c>
      <c r="BR261" s="39">
        <v>3001</v>
      </c>
      <c r="BS261" s="41" t="s">
        <v>172</v>
      </c>
      <c r="BT261" s="27"/>
      <c r="BU261" s="44"/>
      <c r="BV261" s="45" t="s">
        <v>155</v>
      </c>
      <c r="BW261" s="39" t="s">
        <v>18</v>
      </c>
      <c r="BX261" s="39">
        <v>10</v>
      </c>
      <c r="BY261" s="39" t="s">
        <v>152</v>
      </c>
      <c r="BZ261" s="27">
        <v>58</v>
      </c>
      <c r="CA261" s="39">
        <v>3003</v>
      </c>
      <c r="CB261" s="41" t="s">
        <v>189</v>
      </c>
      <c r="CC261" s="27"/>
      <c r="CD261" s="44"/>
      <c r="CE261" s="45" t="s">
        <v>155</v>
      </c>
      <c r="CF261" s="39" t="s">
        <v>18</v>
      </c>
      <c r="CG261" s="39">
        <v>10</v>
      </c>
      <c r="CH261" s="39" t="s">
        <v>152</v>
      </c>
      <c r="CI261" s="27">
        <v>58</v>
      </c>
      <c r="CJ261" s="39"/>
      <c r="CK261" s="41" t="s">
        <v>164</v>
      </c>
    </row>
    <row r="262" spans="1:90" x14ac:dyDescent="0.25">
      <c r="A262" s="44"/>
      <c r="B262" s="45" t="s">
        <v>155</v>
      </c>
      <c r="C262" s="39" t="s">
        <v>18</v>
      </c>
      <c r="D262" s="39">
        <v>11</v>
      </c>
      <c r="E262" s="39" t="s">
        <v>152</v>
      </c>
      <c r="F262" s="27">
        <v>59</v>
      </c>
      <c r="G262" s="39">
        <v>1042</v>
      </c>
      <c r="H262" s="41" t="s">
        <v>184</v>
      </c>
      <c r="I262" s="27"/>
      <c r="J262" s="44"/>
      <c r="K262" s="45" t="s">
        <v>155</v>
      </c>
      <c r="L262" s="39" t="s">
        <v>18</v>
      </c>
      <c r="M262" s="39">
        <v>11</v>
      </c>
      <c r="N262" s="39" t="s">
        <v>152</v>
      </c>
      <c r="O262" s="27">
        <v>59</v>
      </c>
      <c r="P262" s="39">
        <v>1053</v>
      </c>
      <c r="Q262" s="41" t="s">
        <v>162</v>
      </c>
      <c r="R262" s="27"/>
      <c r="S262" s="44"/>
      <c r="T262" s="45" t="s">
        <v>155</v>
      </c>
      <c r="U262" s="39" t="s">
        <v>18</v>
      </c>
      <c r="V262" s="39">
        <v>11</v>
      </c>
      <c r="W262" s="39" t="s">
        <v>152</v>
      </c>
      <c r="X262" s="27">
        <v>59</v>
      </c>
      <c r="Y262" s="39">
        <v>1058</v>
      </c>
      <c r="Z262" s="41" t="s">
        <v>172</v>
      </c>
      <c r="AA262" s="27"/>
      <c r="AB262" s="44"/>
      <c r="AC262" s="45" t="s">
        <v>155</v>
      </c>
      <c r="AD262" s="39" t="s">
        <v>18</v>
      </c>
      <c r="AE262" s="39">
        <v>11</v>
      </c>
      <c r="AF262" s="39" t="s">
        <v>152</v>
      </c>
      <c r="AG262" s="27">
        <v>59</v>
      </c>
      <c r="AH262" s="39">
        <v>2033</v>
      </c>
      <c r="AI262" s="41" t="s">
        <v>180</v>
      </c>
      <c r="AJ262" s="27"/>
      <c r="AK262" s="44"/>
      <c r="AL262" s="45" t="s">
        <v>155</v>
      </c>
      <c r="AM262" s="39" t="s">
        <v>18</v>
      </c>
      <c r="AN262" s="39">
        <v>11</v>
      </c>
      <c r="AO262" s="39" t="s">
        <v>152</v>
      </c>
      <c r="AP262" s="27">
        <v>59</v>
      </c>
      <c r="AQ262" s="39">
        <v>2038</v>
      </c>
      <c r="AR262" s="41" t="s">
        <v>189</v>
      </c>
      <c r="AS262" s="27"/>
      <c r="AT262" s="44"/>
      <c r="AU262" s="45" t="s">
        <v>155</v>
      </c>
      <c r="AV262" s="39" t="s">
        <v>18</v>
      </c>
      <c r="AW262" s="39">
        <v>11</v>
      </c>
      <c r="AX262" s="39" t="s">
        <v>152</v>
      </c>
      <c r="AY262" s="27">
        <v>59</v>
      </c>
      <c r="AZ262" s="39" t="s">
        <v>105</v>
      </c>
      <c r="BA262" s="41" t="s">
        <v>169</v>
      </c>
      <c r="BB262" s="27"/>
      <c r="BC262" s="44"/>
      <c r="BD262" s="45" t="s">
        <v>155</v>
      </c>
      <c r="BE262" s="39" t="s">
        <v>18</v>
      </c>
      <c r="BF262" s="39">
        <v>11</v>
      </c>
      <c r="BG262" s="39" t="s">
        <v>152</v>
      </c>
      <c r="BH262" s="27">
        <v>59</v>
      </c>
      <c r="BI262" s="39">
        <v>2011</v>
      </c>
      <c r="BJ262" s="41" t="s">
        <v>184</v>
      </c>
      <c r="BK262" s="27"/>
      <c r="BL262" s="44"/>
      <c r="BM262" s="45" t="s">
        <v>155</v>
      </c>
      <c r="BN262" s="39" t="s">
        <v>18</v>
      </c>
      <c r="BO262" s="39">
        <v>11</v>
      </c>
      <c r="BP262" s="39" t="s">
        <v>152</v>
      </c>
      <c r="BQ262" s="27">
        <v>59</v>
      </c>
      <c r="BR262" s="39">
        <v>3001</v>
      </c>
      <c r="BS262" s="41" t="s">
        <v>162</v>
      </c>
      <c r="BT262" s="27"/>
      <c r="BU262" s="44"/>
      <c r="BV262" s="45" t="s">
        <v>155</v>
      </c>
      <c r="BW262" s="39" t="s">
        <v>18</v>
      </c>
      <c r="BX262" s="39">
        <v>11</v>
      </c>
      <c r="BY262" s="39" t="s">
        <v>152</v>
      </c>
      <c r="BZ262" s="27">
        <v>59</v>
      </c>
      <c r="CA262" s="39">
        <v>3004</v>
      </c>
      <c r="CB262" s="41" t="s">
        <v>182</v>
      </c>
      <c r="CC262" s="27"/>
      <c r="CD262" s="44"/>
      <c r="CE262" s="45" t="s">
        <v>155</v>
      </c>
      <c r="CF262" s="39" t="s">
        <v>18</v>
      </c>
      <c r="CG262" s="39">
        <v>11</v>
      </c>
      <c r="CH262" s="39" t="s">
        <v>152</v>
      </c>
      <c r="CI262" s="27">
        <v>59</v>
      </c>
      <c r="CJ262" s="39"/>
      <c r="CK262" s="41" t="s">
        <v>172</v>
      </c>
    </row>
    <row r="263" spans="1:90" ht="15.75" thickBot="1" x14ac:dyDescent="0.3">
      <c r="A263" s="52"/>
      <c r="B263" s="53" t="s">
        <v>155</v>
      </c>
      <c r="C263" s="54" t="s">
        <v>18</v>
      </c>
      <c r="D263" s="54">
        <v>12</v>
      </c>
      <c r="E263" s="54" t="s">
        <v>152</v>
      </c>
      <c r="F263" s="55">
        <v>60</v>
      </c>
      <c r="G263" s="39">
        <v>1042</v>
      </c>
      <c r="H263" s="41" t="s">
        <v>187</v>
      </c>
      <c r="I263" s="27"/>
      <c r="J263" s="52"/>
      <c r="K263" s="53" t="s">
        <v>155</v>
      </c>
      <c r="L263" s="54" t="s">
        <v>18</v>
      </c>
      <c r="M263" s="54">
        <v>12</v>
      </c>
      <c r="N263" s="54" t="s">
        <v>152</v>
      </c>
      <c r="O263" s="55">
        <v>60</v>
      </c>
      <c r="P263" s="39">
        <v>1053</v>
      </c>
      <c r="Q263" s="41" t="s">
        <v>170</v>
      </c>
      <c r="R263" s="27"/>
      <c r="S263" s="52"/>
      <c r="T263" s="53" t="s">
        <v>155</v>
      </c>
      <c r="U263" s="54" t="s">
        <v>18</v>
      </c>
      <c r="V263" s="54">
        <v>12</v>
      </c>
      <c r="W263" s="54" t="s">
        <v>152</v>
      </c>
      <c r="X263" s="55">
        <v>60</v>
      </c>
      <c r="Y263" s="39">
        <v>1058</v>
      </c>
      <c r="Z263" s="41" t="s">
        <v>162</v>
      </c>
      <c r="AA263" s="27"/>
      <c r="AB263" s="52"/>
      <c r="AC263" s="53" t="s">
        <v>155</v>
      </c>
      <c r="AD263" s="54" t="s">
        <v>18</v>
      </c>
      <c r="AE263" s="54">
        <v>12</v>
      </c>
      <c r="AF263" s="54" t="s">
        <v>152</v>
      </c>
      <c r="AG263" s="55">
        <v>60</v>
      </c>
      <c r="AH263" s="39">
        <v>2033</v>
      </c>
      <c r="AI263" s="41" t="s">
        <v>181</v>
      </c>
      <c r="AJ263" s="27"/>
      <c r="AK263" s="52"/>
      <c r="AL263" s="53" t="s">
        <v>155</v>
      </c>
      <c r="AM263" s="54" t="s">
        <v>18</v>
      </c>
      <c r="AN263" s="54">
        <v>12</v>
      </c>
      <c r="AO263" s="54" t="s">
        <v>152</v>
      </c>
      <c r="AP263" s="55">
        <v>60</v>
      </c>
      <c r="AQ263" s="39">
        <v>2039</v>
      </c>
      <c r="AR263" s="41" t="s">
        <v>160</v>
      </c>
      <c r="AS263" s="27"/>
      <c r="AT263" s="52"/>
      <c r="AU263" s="53" t="s">
        <v>155</v>
      </c>
      <c r="AV263" s="54" t="s">
        <v>18</v>
      </c>
      <c r="AW263" s="54">
        <v>12</v>
      </c>
      <c r="AX263" s="54" t="s">
        <v>152</v>
      </c>
      <c r="AY263" s="55">
        <v>60</v>
      </c>
      <c r="AZ263" s="39" t="s">
        <v>105</v>
      </c>
      <c r="BA263" s="41" t="s">
        <v>177</v>
      </c>
      <c r="BB263" s="27"/>
      <c r="BC263" s="52"/>
      <c r="BD263" s="53" t="s">
        <v>155</v>
      </c>
      <c r="BE263" s="54" t="s">
        <v>18</v>
      </c>
      <c r="BF263" s="54">
        <v>12</v>
      </c>
      <c r="BG263" s="54" t="s">
        <v>152</v>
      </c>
      <c r="BH263" s="55">
        <v>60</v>
      </c>
      <c r="BI263" s="39">
        <v>2011</v>
      </c>
      <c r="BJ263" s="41" t="s">
        <v>187</v>
      </c>
      <c r="BK263" s="27"/>
      <c r="BL263" s="52"/>
      <c r="BM263" s="53" t="s">
        <v>155</v>
      </c>
      <c r="BN263" s="54" t="s">
        <v>18</v>
      </c>
      <c r="BO263" s="54">
        <v>12</v>
      </c>
      <c r="BP263" s="54" t="s">
        <v>152</v>
      </c>
      <c r="BQ263" s="55">
        <v>60</v>
      </c>
      <c r="BR263" s="39">
        <v>3001</v>
      </c>
      <c r="BS263" s="41" t="s">
        <v>170</v>
      </c>
      <c r="BT263" s="27"/>
      <c r="BU263" s="52"/>
      <c r="BV263" s="53" t="s">
        <v>155</v>
      </c>
      <c r="BW263" s="54" t="s">
        <v>18</v>
      </c>
      <c r="BX263" s="54">
        <v>12</v>
      </c>
      <c r="BY263" s="54" t="s">
        <v>152</v>
      </c>
      <c r="BZ263" s="55">
        <v>60</v>
      </c>
      <c r="CA263" s="39">
        <v>3004</v>
      </c>
      <c r="CB263" s="41" t="s">
        <v>184</v>
      </c>
      <c r="CC263" s="27"/>
      <c r="CD263" s="52"/>
      <c r="CE263" s="53" t="s">
        <v>155</v>
      </c>
      <c r="CF263" s="54" t="s">
        <v>18</v>
      </c>
      <c r="CG263" s="54">
        <v>12</v>
      </c>
      <c r="CH263" s="54" t="s">
        <v>152</v>
      </c>
      <c r="CI263" s="55">
        <v>60</v>
      </c>
      <c r="CJ263" s="39"/>
      <c r="CK263" s="41" t="s">
        <v>162</v>
      </c>
    </row>
    <row r="264" spans="1:90" ht="15.75" thickBot="1" x14ac:dyDescent="0.3">
      <c r="A264" s="60"/>
      <c r="B264" s="36" t="s">
        <v>155</v>
      </c>
      <c r="C264" s="61" t="s">
        <v>29</v>
      </c>
      <c r="D264" s="61">
        <v>1</v>
      </c>
      <c r="E264" s="61" t="s">
        <v>152</v>
      </c>
      <c r="F264" s="62">
        <v>61</v>
      </c>
      <c r="G264" s="39">
        <v>1042</v>
      </c>
      <c r="H264" s="41" t="s">
        <v>189</v>
      </c>
      <c r="I264" s="27"/>
      <c r="J264" s="60"/>
      <c r="K264" s="36" t="s">
        <v>155</v>
      </c>
      <c r="L264" s="61" t="s">
        <v>29</v>
      </c>
      <c r="M264" s="61">
        <v>1</v>
      </c>
      <c r="N264" s="61" t="s">
        <v>152</v>
      </c>
      <c r="O264" s="62">
        <v>61</v>
      </c>
      <c r="P264" s="39">
        <v>1053</v>
      </c>
      <c r="Q264" s="41" t="s">
        <v>178</v>
      </c>
      <c r="R264" s="27"/>
      <c r="S264" s="60"/>
      <c r="T264" s="36" t="s">
        <v>155</v>
      </c>
      <c r="U264" s="61" t="s">
        <v>29</v>
      </c>
      <c r="V264" s="61">
        <v>1</v>
      </c>
      <c r="W264" s="61" t="s">
        <v>152</v>
      </c>
      <c r="X264" s="62">
        <v>61</v>
      </c>
      <c r="Y264" s="39">
        <v>1058</v>
      </c>
      <c r="Z264" s="41" t="s">
        <v>170</v>
      </c>
      <c r="AA264" s="27"/>
      <c r="AB264" s="60"/>
      <c r="AC264" s="36" t="s">
        <v>155</v>
      </c>
      <c r="AD264" s="61" t="s">
        <v>29</v>
      </c>
      <c r="AE264" s="61">
        <v>1</v>
      </c>
      <c r="AF264" s="61" t="s">
        <v>152</v>
      </c>
      <c r="AG264" s="62">
        <v>61</v>
      </c>
      <c r="AH264" s="39">
        <v>2033</v>
      </c>
      <c r="AI264" s="41" t="s">
        <v>183</v>
      </c>
      <c r="AJ264" s="27"/>
      <c r="AK264" s="60"/>
      <c r="AL264" s="36" t="s">
        <v>155</v>
      </c>
      <c r="AM264" s="61" t="s">
        <v>29</v>
      </c>
      <c r="AN264" s="61">
        <v>1</v>
      </c>
      <c r="AO264" s="61" t="s">
        <v>152</v>
      </c>
      <c r="AP264" s="62">
        <v>61</v>
      </c>
      <c r="AQ264" s="39">
        <v>2039</v>
      </c>
      <c r="AR264" s="41" t="s">
        <v>168</v>
      </c>
      <c r="AS264" s="27"/>
      <c r="AT264" s="60"/>
      <c r="AU264" s="36" t="s">
        <v>155</v>
      </c>
      <c r="AV264" s="61" t="s">
        <v>29</v>
      </c>
      <c r="AW264" s="61">
        <v>1</v>
      </c>
      <c r="AX264" s="61" t="s">
        <v>152</v>
      </c>
      <c r="AY264" s="62">
        <v>61</v>
      </c>
      <c r="AZ264" s="39" t="s">
        <v>105</v>
      </c>
      <c r="BA264" s="41" t="s">
        <v>180</v>
      </c>
      <c r="BB264" s="27"/>
      <c r="BC264" s="60"/>
      <c r="BD264" s="36" t="s">
        <v>155</v>
      </c>
      <c r="BE264" s="61" t="s">
        <v>29</v>
      </c>
      <c r="BF264" s="61">
        <v>1</v>
      </c>
      <c r="BG264" s="61" t="s">
        <v>152</v>
      </c>
      <c r="BH264" s="62">
        <v>61</v>
      </c>
      <c r="BI264" s="39">
        <v>2011</v>
      </c>
      <c r="BJ264" s="41" t="s">
        <v>189</v>
      </c>
      <c r="BK264" s="27"/>
      <c r="BL264" s="60"/>
      <c r="BM264" s="36" t="s">
        <v>155</v>
      </c>
      <c r="BN264" s="61" t="s">
        <v>29</v>
      </c>
      <c r="BO264" s="61">
        <v>1</v>
      </c>
      <c r="BP264" s="61" t="s">
        <v>152</v>
      </c>
      <c r="BQ264" s="62">
        <v>61</v>
      </c>
      <c r="BR264" s="39">
        <v>3001</v>
      </c>
      <c r="BS264" s="41" t="s">
        <v>178</v>
      </c>
      <c r="BT264" s="27"/>
      <c r="BU264" s="60"/>
      <c r="BV264" s="36" t="s">
        <v>155</v>
      </c>
      <c r="BW264" s="61" t="s">
        <v>29</v>
      </c>
      <c r="BX264" s="61">
        <v>1</v>
      </c>
      <c r="BY264" s="61" t="s">
        <v>152</v>
      </c>
      <c r="BZ264" s="62">
        <v>61</v>
      </c>
      <c r="CA264" s="39">
        <v>3004</v>
      </c>
      <c r="CB264" s="41" t="s">
        <v>187</v>
      </c>
      <c r="CC264" s="27"/>
      <c r="CD264" s="60"/>
      <c r="CE264" s="36" t="s">
        <v>155</v>
      </c>
      <c r="CF264" s="61" t="s">
        <v>29</v>
      </c>
      <c r="CG264" s="61">
        <v>1</v>
      </c>
      <c r="CH264" s="61" t="s">
        <v>152</v>
      </c>
      <c r="CI264" s="62">
        <v>61</v>
      </c>
      <c r="CJ264" s="39"/>
      <c r="CK264" s="41" t="s">
        <v>170</v>
      </c>
    </row>
    <row r="265" spans="1:90" ht="15.75" thickBot="1" x14ac:dyDescent="0.3">
      <c r="A265" s="44"/>
      <c r="B265" s="45" t="s">
        <v>155</v>
      </c>
      <c r="C265" s="39" t="s">
        <v>29</v>
      </c>
      <c r="D265" s="39">
        <v>2</v>
      </c>
      <c r="E265" s="39" t="s">
        <v>152</v>
      </c>
      <c r="F265" s="27">
        <v>62</v>
      </c>
      <c r="G265" s="39">
        <v>1049</v>
      </c>
      <c r="H265" s="41" t="s">
        <v>160</v>
      </c>
      <c r="I265" s="27"/>
      <c r="J265" s="44"/>
      <c r="K265" s="45" t="s">
        <v>155</v>
      </c>
      <c r="L265" s="39" t="s">
        <v>29</v>
      </c>
      <c r="M265" s="39">
        <v>2</v>
      </c>
      <c r="N265" s="39" t="s">
        <v>152</v>
      </c>
      <c r="O265" s="27">
        <v>62</v>
      </c>
      <c r="P265" s="39">
        <v>1053</v>
      </c>
      <c r="Q265" s="40" t="s">
        <v>163</v>
      </c>
      <c r="R265" s="27"/>
      <c r="S265" s="44"/>
      <c r="T265" s="45" t="s">
        <v>155</v>
      </c>
      <c r="U265" s="39" t="s">
        <v>29</v>
      </c>
      <c r="V265" s="39">
        <v>2</v>
      </c>
      <c r="W265" s="39" t="s">
        <v>152</v>
      </c>
      <c r="X265" s="27">
        <v>62</v>
      </c>
      <c r="Y265" s="39">
        <v>1058</v>
      </c>
      <c r="Z265" s="41" t="s">
        <v>178</v>
      </c>
      <c r="AA265" s="27"/>
      <c r="AB265" s="44"/>
      <c r="AC265" s="45" t="s">
        <v>155</v>
      </c>
      <c r="AD265" s="39" t="s">
        <v>29</v>
      </c>
      <c r="AE265" s="39">
        <v>2</v>
      </c>
      <c r="AF265" s="39" t="s">
        <v>152</v>
      </c>
      <c r="AG265" s="27">
        <v>62</v>
      </c>
      <c r="AH265" s="39">
        <v>2033</v>
      </c>
      <c r="AI265" s="40" t="s">
        <v>186</v>
      </c>
      <c r="AJ265" s="27"/>
      <c r="AK265" s="44"/>
      <c r="AL265" s="45" t="s">
        <v>155</v>
      </c>
      <c r="AM265" s="39" t="s">
        <v>29</v>
      </c>
      <c r="AN265" s="39">
        <v>2</v>
      </c>
      <c r="AO265" s="39" t="s">
        <v>152</v>
      </c>
      <c r="AP265" s="27">
        <v>62</v>
      </c>
      <c r="AQ265" s="39">
        <v>2039</v>
      </c>
      <c r="AR265" s="41" t="s">
        <v>176</v>
      </c>
      <c r="AS265" s="27"/>
      <c r="AT265" s="44"/>
      <c r="AU265" s="45" t="s">
        <v>155</v>
      </c>
      <c r="AV265" s="39" t="s">
        <v>29</v>
      </c>
      <c r="AW265" s="39">
        <v>2</v>
      </c>
      <c r="AX265" s="39" t="s">
        <v>152</v>
      </c>
      <c r="AY265" s="27">
        <v>62</v>
      </c>
      <c r="AZ265" s="39" t="s">
        <v>105</v>
      </c>
      <c r="BA265" s="41" t="s">
        <v>181</v>
      </c>
      <c r="BB265" s="27"/>
      <c r="BC265" s="44"/>
      <c r="BD265" s="45" t="s">
        <v>155</v>
      </c>
      <c r="BE265" s="39" t="s">
        <v>29</v>
      </c>
      <c r="BF265" s="39">
        <v>2</v>
      </c>
      <c r="BG265" s="39" t="s">
        <v>152</v>
      </c>
      <c r="BH265" s="27">
        <v>62</v>
      </c>
      <c r="BI265" s="39">
        <v>2012</v>
      </c>
      <c r="BJ265" s="41" t="s">
        <v>160</v>
      </c>
      <c r="BK265" s="27"/>
      <c r="BL265" s="44"/>
      <c r="BM265" s="45" t="s">
        <v>155</v>
      </c>
      <c r="BN265" s="39" t="s">
        <v>29</v>
      </c>
      <c r="BO265" s="39">
        <v>2</v>
      </c>
      <c r="BP265" s="39" t="s">
        <v>152</v>
      </c>
      <c r="BQ265" s="27">
        <v>62</v>
      </c>
      <c r="BR265" s="39">
        <v>3001</v>
      </c>
      <c r="BS265" s="41" t="s">
        <v>163</v>
      </c>
      <c r="BT265" s="27"/>
      <c r="BU265" s="44"/>
      <c r="BV265" s="45" t="s">
        <v>155</v>
      </c>
      <c r="BW265" s="39" t="s">
        <v>29</v>
      </c>
      <c r="BX265" s="39">
        <v>2</v>
      </c>
      <c r="BY265" s="39" t="s">
        <v>152</v>
      </c>
      <c r="BZ265" s="27">
        <v>62</v>
      </c>
      <c r="CA265" s="39">
        <v>3004</v>
      </c>
      <c r="CB265" s="41" t="s">
        <v>189</v>
      </c>
      <c r="CC265" s="27"/>
      <c r="CD265" s="44"/>
      <c r="CE265" s="45" t="s">
        <v>155</v>
      </c>
      <c r="CF265" s="39" t="s">
        <v>29</v>
      </c>
      <c r="CG265" s="39">
        <v>2</v>
      </c>
      <c r="CH265" s="39" t="s">
        <v>152</v>
      </c>
      <c r="CI265" s="27">
        <v>62</v>
      </c>
      <c r="CJ265" s="39"/>
      <c r="CK265" s="41" t="s">
        <v>178</v>
      </c>
    </row>
    <row r="266" spans="1:90" ht="15.75" thickBot="1" x14ac:dyDescent="0.3">
      <c r="A266" s="44"/>
      <c r="B266" s="45" t="s">
        <v>155</v>
      </c>
      <c r="C266" s="39" t="s">
        <v>29</v>
      </c>
      <c r="D266" s="39">
        <v>3</v>
      </c>
      <c r="E266" s="39" t="s">
        <v>152</v>
      </c>
      <c r="F266" s="27">
        <v>63</v>
      </c>
      <c r="G266" s="39">
        <v>1049</v>
      </c>
      <c r="H266" s="41" t="s">
        <v>168</v>
      </c>
      <c r="I266" s="27"/>
      <c r="J266" s="44"/>
      <c r="K266" s="45" t="s">
        <v>155</v>
      </c>
      <c r="L266" s="39" t="s">
        <v>29</v>
      </c>
      <c r="M266" s="39">
        <v>3</v>
      </c>
      <c r="N266" s="39" t="s">
        <v>152</v>
      </c>
      <c r="O266" s="27">
        <v>63</v>
      </c>
      <c r="P266" s="39">
        <v>1053</v>
      </c>
      <c r="Q266" s="41" t="s">
        <v>171</v>
      </c>
      <c r="R266" s="27"/>
      <c r="S266" s="44"/>
      <c r="T266" s="45" t="s">
        <v>155</v>
      </c>
      <c r="U266" s="39" t="s">
        <v>29</v>
      </c>
      <c r="V266" s="39">
        <v>3</v>
      </c>
      <c r="W266" s="39" t="s">
        <v>152</v>
      </c>
      <c r="X266" s="27">
        <v>63</v>
      </c>
      <c r="Y266" s="39">
        <v>1058</v>
      </c>
      <c r="Z266" s="40" t="s">
        <v>163</v>
      </c>
      <c r="AA266" s="27"/>
      <c r="AB266" s="44"/>
      <c r="AC266" s="45" t="s">
        <v>155</v>
      </c>
      <c r="AD266" s="39" t="s">
        <v>29</v>
      </c>
      <c r="AE266" s="39">
        <v>3</v>
      </c>
      <c r="AF266" s="39" t="s">
        <v>152</v>
      </c>
      <c r="AG266" s="27">
        <v>63</v>
      </c>
      <c r="AH266" s="39">
        <v>2033</v>
      </c>
      <c r="AI266" s="41" t="s">
        <v>188</v>
      </c>
      <c r="AJ266" s="27"/>
      <c r="AK266" s="44"/>
      <c r="AL266" s="45" t="s">
        <v>155</v>
      </c>
      <c r="AM266" s="39" t="s">
        <v>29</v>
      </c>
      <c r="AN266" s="39">
        <v>3</v>
      </c>
      <c r="AO266" s="39" t="s">
        <v>152</v>
      </c>
      <c r="AP266" s="27">
        <v>63</v>
      </c>
      <c r="AQ266" s="39">
        <v>2039</v>
      </c>
      <c r="AR266" s="40" t="s">
        <v>164</v>
      </c>
      <c r="AS266" s="27"/>
      <c r="AT266" s="44"/>
      <c r="AU266" s="45" t="s">
        <v>155</v>
      </c>
      <c r="AV266" s="39" t="s">
        <v>29</v>
      </c>
      <c r="AW266" s="39">
        <v>3</v>
      </c>
      <c r="AX266" s="39" t="s">
        <v>152</v>
      </c>
      <c r="AY266" s="27">
        <v>63</v>
      </c>
      <c r="AZ266" s="39" t="s">
        <v>105</v>
      </c>
      <c r="BA266" s="41" t="s">
        <v>183</v>
      </c>
      <c r="BB266" s="27"/>
      <c r="BC266" s="44"/>
      <c r="BD266" s="45" t="s">
        <v>155</v>
      </c>
      <c r="BE266" s="39" t="s">
        <v>29</v>
      </c>
      <c r="BF266" s="39">
        <v>3</v>
      </c>
      <c r="BG266" s="39" t="s">
        <v>152</v>
      </c>
      <c r="BH266" s="27">
        <v>63</v>
      </c>
      <c r="BI266" s="39">
        <v>2012</v>
      </c>
      <c r="BJ266" s="41" t="s">
        <v>168</v>
      </c>
      <c r="BK266" s="27"/>
      <c r="BL266" s="44"/>
      <c r="BM266" s="45" t="s">
        <v>155</v>
      </c>
      <c r="BN266" s="39" t="s">
        <v>29</v>
      </c>
      <c r="BO266" s="39">
        <v>3</v>
      </c>
      <c r="BP266" s="39" t="s">
        <v>152</v>
      </c>
      <c r="BQ266" s="27">
        <v>63</v>
      </c>
      <c r="BR266" s="39">
        <v>3001</v>
      </c>
      <c r="BS266" s="40" t="s">
        <v>171</v>
      </c>
      <c r="BT266" s="27"/>
      <c r="BU266" s="44"/>
      <c r="BV266" s="45" t="s">
        <v>155</v>
      </c>
      <c r="BW266" s="39" t="s">
        <v>29</v>
      </c>
      <c r="BX266" s="39">
        <v>3</v>
      </c>
      <c r="BY266" s="39" t="s">
        <v>152</v>
      </c>
      <c r="BZ266" s="27">
        <v>63</v>
      </c>
      <c r="CA266" s="39">
        <v>3005</v>
      </c>
      <c r="CB266" s="40" t="s">
        <v>160</v>
      </c>
      <c r="CC266" s="27"/>
      <c r="CD266" s="44"/>
      <c r="CE266" s="45" t="s">
        <v>155</v>
      </c>
      <c r="CF266" s="39" t="s">
        <v>29</v>
      </c>
      <c r="CG266" s="39">
        <v>3</v>
      </c>
      <c r="CH266" s="39" t="s">
        <v>152</v>
      </c>
      <c r="CI266" s="27">
        <v>63</v>
      </c>
      <c r="CJ266" s="39"/>
      <c r="CK266" s="40" t="s">
        <v>163</v>
      </c>
    </row>
    <row r="267" spans="1:90" x14ac:dyDescent="0.25">
      <c r="A267" s="44"/>
      <c r="B267" s="45" t="s">
        <v>155</v>
      </c>
      <c r="C267" s="39" t="s">
        <v>29</v>
      </c>
      <c r="D267" s="39">
        <v>4</v>
      </c>
      <c r="E267" s="39" t="s">
        <v>152</v>
      </c>
      <c r="F267" s="27">
        <v>64</v>
      </c>
      <c r="G267" s="39">
        <v>1049</v>
      </c>
      <c r="H267" s="41" t="s">
        <v>176</v>
      </c>
      <c r="I267" s="27"/>
      <c r="J267" s="44"/>
      <c r="K267" s="45" t="s">
        <v>155</v>
      </c>
      <c r="L267" s="39" t="s">
        <v>29</v>
      </c>
      <c r="M267" s="39">
        <v>4</v>
      </c>
      <c r="N267" s="39" t="s">
        <v>152</v>
      </c>
      <c r="O267" s="27">
        <v>64</v>
      </c>
      <c r="P267" s="39">
        <v>1053</v>
      </c>
      <c r="Q267" s="41" t="s">
        <v>161</v>
      </c>
      <c r="R267" s="27"/>
      <c r="S267" s="44"/>
      <c r="T267" s="45" t="s">
        <v>155</v>
      </c>
      <c r="U267" s="39" t="s">
        <v>29</v>
      </c>
      <c r="V267" s="39">
        <v>4</v>
      </c>
      <c r="W267" s="39" t="s">
        <v>152</v>
      </c>
      <c r="X267" s="27">
        <v>64</v>
      </c>
      <c r="Y267" s="39">
        <v>1058</v>
      </c>
      <c r="Z267" s="41" t="s">
        <v>171</v>
      </c>
      <c r="AA267" s="27"/>
      <c r="AB267" s="44"/>
      <c r="AC267" s="45" t="s">
        <v>155</v>
      </c>
      <c r="AD267" s="39" t="s">
        <v>29</v>
      </c>
      <c r="AE267" s="39">
        <v>4</v>
      </c>
      <c r="AF267" s="39" t="s">
        <v>152</v>
      </c>
      <c r="AG267" s="27">
        <v>64</v>
      </c>
      <c r="AH267" s="39">
        <v>2033</v>
      </c>
      <c r="AI267" s="41" t="s">
        <v>182</v>
      </c>
      <c r="AJ267" s="27"/>
      <c r="AK267" s="44"/>
      <c r="AL267" s="45" t="s">
        <v>155</v>
      </c>
      <c r="AM267" s="39" t="s">
        <v>29</v>
      </c>
      <c r="AN267" s="39">
        <v>4</v>
      </c>
      <c r="AO267" s="39" t="s">
        <v>152</v>
      </c>
      <c r="AP267" s="27">
        <v>64</v>
      </c>
      <c r="AQ267" s="39">
        <v>2039</v>
      </c>
      <c r="AR267" s="41" t="s">
        <v>172</v>
      </c>
      <c r="AS267" s="27"/>
      <c r="AT267" s="44"/>
      <c r="AU267" s="45" t="s">
        <v>155</v>
      </c>
      <c r="AV267" s="39" t="s">
        <v>29</v>
      </c>
      <c r="AW267" s="39">
        <v>4</v>
      </c>
      <c r="AX267" s="39" t="s">
        <v>152</v>
      </c>
      <c r="AY267" s="27">
        <v>64</v>
      </c>
      <c r="AZ267" s="39" t="s">
        <v>105</v>
      </c>
      <c r="BA267" s="40" t="s">
        <v>186</v>
      </c>
      <c r="BB267" s="27"/>
      <c r="BC267" s="44"/>
      <c r="BD267" s="45" t="s">
        <v>155</v>
      </c>
      <c r="BE267" s="39" t="s">
        <v>29</v>
      </c>
      <c r="BF267" s="39">
        <v>4</v>
      </c>
      <c r="BG267" s="39" t="s">
        <v>152</v>
      </c>
      <c r="BH267" s="27">
        <v>64</v>
      </c>
      <c r="BI267" s="39">
        <v>2012</v>
      </c>
      <c r="BJ267" s="41" t="s">
        <v>176</v>
      </c>
      <c r="BK267" s="27"/>
      <c r="BL267" s="44"/>
      <c r="BM267" s="45" t="s">
        <v>155</v>
      </c>
      <c r="BN267" s="39" t="s">
        <v>29</v>
      </c>
      <c r="BO267" s="39">
        <v>4</v>
      </c>
      <c r="BP267" s="39" t="s">
        <v>152</v>
      </c>
      <c r="BQ267" s="27">
        <v>64</v>
      </c>
      <c r="BR267" s="39">
        <v>3001</v>
      </c>
      <c r="BS267" s="41" t="s">
        <v>161</v>
      </c>
      <c r="BT267" s="27"/>
      <c r="BU267" s="44"/>
      <c r="BV267" s="45" t="s">
        <v>155</v>
      </c>
      <c r="BW267" s="39" t="s">
        <v>29</v>
      </c>
      <c r="BX267" s="39">
        <v>4</v>
      </c>
      <c r="BY267" s="39" t="s">
        <v>152</v>
      </c>
      <c r="BZ267" s="27">
        <v>64</v>
      </c>
      <c r="CA267" s="39">
        <v>3005</v>
      </c>
      <c r="CB267" s="41" t="s">
        <v>168</v>
      </c>
      <c r="CC267" s="27"/>
      <c r="CD267" s="44"/>
      <c r="CE267" s="45" t="s">
        <v>155</v>
      </c>
      <c r="CF267" s="39" t="s">
        <v>29</v>
      </c>
      <c r="CG267" s="39">
        <v>4</v>
      </c>
      <c r="CH267" s="39" t="s">
        <v>152</v>
      </c>
      <c r="CI267" s="27">
        <v>64</v>
      </c>
      <c r="CJ267" s="39"/>
      <c r="CK267" s="41" t="s">
        <v>171</v>
      </c>
      <c r="CL267" t="s">
        <v>337</v>
      </c>
    </row>
    <row r="268" spans="1:90" x14ac:dyDescent="0.25">
      <c r="A268" s="44"/>
      <c r="B268" s="45" t="s">
        <v>155</v>
      </c>
      <c r="C268" s="39" t="s">
        <v>29</v>
      </c>
      <c r="D268" s="39">
        <v>5</v>
      </c>
      <c r="E268" s="39" t="s">
        <v>152</v>
      </c>
      <c r="F268" s="27">
        <v>65</v>
      </c>
      <c r="G268" s="39">
        <v>1049</v>
      </c>
      <c r="H268" s="41" t="s">
        <v>164</v>
      </c>
      <c r="I268" s="27"/>
      <c r="J268" s="44"/>
      <c r="K268" s="45" t="s">
        <v>155</v>
      </c>
      <c r="L268" s="39" t="s">
        <v>29</v>
      </c>
      <c r="M268" s="39">
        <v>5</v>
      </c>
      <c r="N268" s="39" t="s">
        <v>152</v>
      </c>
      <c r="O268" s="27">
        <v>65</v>
      </c>
      <c r="P268" s="39">
        <v>1053</v>
      </c>
      <c r="Q268" s="41" t="s">
        <v>169</v>
      </c>
      <c r="R268" s="27"/>
      <c r="S268" s="44"/>
      <c r="T268" s="45" t="s">
        <v>155</v>
      </c>
      <c r="U268" s="39" t="s">
        <v>29</v>
      </c>
      <c r="V268" s="39">
        <v>5</v>
      </c>
      <c r="W268" s="39" t="s">
        <v>152</v>
      </c>
      <c r="X268" s="27">
        <v>65</v>
      </c>
      <c r="Y268" s="39">
        <v>1058</v>
      </c>
      <c r="Z268" s="41" t="s">
        <v>161</v>
      </c>
      <c r="AA268" s="27"/>
      <c r="AB268" s="44"/>
      <c r="AC268" s="45" t="s">
        <v>155</v>
      </c>
      <c r="AD268" s="39" t="s">
        <v>29</v>
      </c>
      <c r="AE268" s="39">
        <v>5</v>
      </c>
      <c r="AF268" s="39" t="s">
        <v>152</v>
      </c>
      <c r="AG268" s="27">
        <v>65</v>
      </c>
      <c r="AH268" s="39">
        <v>2033</v>
      </c>
      <c r="AI268" s="41" t="s">
        <v>184</v>
      </c>
      <c r="AJ268" s="27"/>
      <c r="AK268" s="44"/>
      <c r="AL268" s="45" t="s">
        <v>155</v>
      </c>
      <c r="AM268" s="39" t="s">
        <v>29</v>
      </c>
      <c r="AN268" s="39">
        <v>5</v>
      </c>
      <c r="AO268" s="39" t="s">
        <v>152</v>
      </c>
      <c r="AP268" s="27">
        <v>65</v>
      </c>
      <c r="AQ268" s="39">
        <v>2039</v>
      </c>
      <c r="AR268" s="41" t="s">
        <v>162</v>
      </c>
      <c r="AS268" s="27"/>
      <c r="AT268" s="44"/>
      <c r="AU268" s="45" t="s">
        <v>155</v>
      </c>
      <c r="AV268" s="39" t="s">
        <v>29</v>
      </c>
      <c r="AW268" s="39">
        <v>5</v>
      </c>
      <c r="AX268" s="39" t="s">
        <v>152</v>
      </c>
      <c r="AY268" s="27">
        <v>65</v>
      </c>
      <c r="AZ268" s="39" t="s">
        <v>105</v>
      </c>
      <c r="BA268" s="41" t="s">
        <v>188</v>
      </c>
      <c r="BB268" s="27"/>
      <c r="BC268" s="44"/>
      <c r="BD268" s="45" t="s">
        <v>155</v>
      </c>
      <c r="BE268" s="39" t="s">
        <v>29</v>
      </c>
      <c r="BF268" s="39">
        <v>5</v>
      </c>
      <c r="BG268" s="39" t="s">
        <v>152</v>
      </c>
      <c r="BH268" s="27">
        <v>65</v>
      </c>
      <c r="BI268" s="39">
        <v>2012</v>
      </c>
      <c r="BJ268" s="41" t="s">
        <v>164</v>
      </c>
      <c r="BK268" s="27"/>
      <c r="BL268" s="44"/>
      <c r="BM268" s="45" t="s">
        <v>155</v>
      </c>
      <c r="BN268" s="39" t="s">
        <v>29</v>
      </c>
      <c r="BO268" s="39">
        <v>5</v>
      </c>
      <c r="BP268" s="39" t="s">
        <v>152</v>
      </c>
      <c r="BQ268" s="27">
        <v>65</v>
      </c>
      <c r="BR268" s="39">
        <v>3001</v>
      </c>
      <c r="BS268" s="41" t="s">
        <v>169</v>
      </c>
      <c r="BT268" s="27"/>
      <c r="BU268" s="44"/>
      <c r="BV268" s="45" t="s">
        <v>155</v>
      </c>
      <c r="BW268" s="39" t="s">
        <v>29</v>
      </c>
      <c r="BX268" s="39">
        <v>5</v>
      </c>
      <c r="BY268" s="39" t="s">
        <v>152</v>
      </c>
      <c r="BZ268" s="27">
        <v>65</v>
      </c>
      <c r="CA268" s="39">
        <v>3005</v>
      </c>
      <c r="CB268" s="41" t="s">
        <v>176</v>
      </c>
      <c r="CC268" s="27"/>
      <c r="CD268" s="44"/>
      <c r="CE268" s="45" t="s">
        <v>155</v>
      </c>
      <c r="CF268" s="39" t="s">
        <v>29</v>
      </c>
      <c r="CG268" s="39">
        <v>5</v>
      </c>
      <c r="CH268" s="39" t="s">
        <v>152</v>
      </c>
      <c r="CI268" s="27">
        <v>65</v>
      </c>
      <c r="CJ268" s="39"/>
      <c r="CK268" s="41" t="s">
        <v>161</v>
      </c>
    </row>
    <row r="269" spans="1:90" x14ac:dyDescent="0.25">
      <c r="A269" s="44"/>
      <c r="B269" s="45" t="s">
        <v>155</v>
      </c>
      <c r="C269" s="39" t="s">
        <v>29</v>
      </c>
      <c r="D269" s="39">
        <v>6</v>
      </c>
      <c r="E269" s="39" t="s">
        <v>152</v>
      </c>
      <c r="F269" s="27">
        <v>66</v>
      </c>
      <c r="G269" s="39">
        <v>1049</v>
      </c>
      <c r="H269" s="41" t="s">
        <v>172</v>
      </c>
      <c r="I269" s="27"/>
      <c r="J269" s="44"/>
      <c r="K269" s="45" t="s">
        <v>155</v>
      </c>
      <c r="L269" s="39" t="s">
        <v>29</v>
      </c>
      <c r="M269" s="39">
        <v>6</v>
      </c>
      <c r="N269" s="39" t="s">
        <v>152</v>
      </c>
      <c r="O269" s="27">
        <v>66</v>
      </c>
      <c r="P269" s="39">
        <v>1053</v>
      </c>
      <c r="Q269" s="41" t="s">
        <v>177</v>
      </c>
      <c r="R269" s="27"/>
      <c r="S269" s="44"/>
      <c r="T269" s="45" t="s">
        <v>155</v>
      </c>
      <c r="U269" s="39" t="s">
        <v>29</v>
      </c>
      <c r="V269" s="39">
        <v>6</v>
      </c>
      <c r="W269" s="39" t="s">
        <v>152</v>
      </c>
      <c r="X269" s="27">
        <v>66</v>
      </c>
      <c r="Y269" s="39">
        <v>1058</v>
      </c>
      <c r="Z269" s="41" t="s">
        <v>169</v>
      </c>
      <c r="AA269" s="27"/>
      <c r="AB269" s="44"/>
      <c r="AC269" s="45" t="s">
        <v>155</v>
      </c>
      <c r="AD269" s="39" t="s">
        <v>29</v>
      </c>
      <c r="AE269" s="39">
        <v>6</v>
      </c>
      <c r="AF269" s="39" t="s">
        <v>152</v>
      </c>
      <c r="AG269" s="27">
        <v>66</v>
      </c>
      <c r="AH269" s="39">
        <v>2033</v>
      </c>
      <c r="AI269" s="41" t="s">
        <v>187</v>
      </c>
      <c r="AJ269" s="27"/>
      <c r="AK269" s="44"/>
      <c r="AL269" s="45" t="s">
        <v>155</v>
      </c>
      <c r="AM269" s="39" t="s">
        <v>29</v>
      </c>
      <c r="AN269" s="39">
        <v>6</v>
      </c>
      <c r="AO269" s="39" t="s">
        <v>152</v>
      </c>
      <c r="AP269" s="27">
        <v>66</v>
      </c>
      <c r="AQ269" s="39">
        <v>2039</v>
      </c>
      <c r="AR269" s="41" t="s">
        <v>170</v>
      </c>
      <c r="AS269" s="27"/>
      <c r="AT269" s="44"/>
      <c r="AU269" s="45" t="s">
        <v>155</v>
      </c>
      <c r="AV269" s="39" t="s">
        <v>29</v>
      </c>
      <c r="AW269" s="39">
        <v>6</v>
      </c>
      <c r="AX269" s="39" t="s">
        <v>152</v>
      </c>
      <c r="AY269" s="27">
        <v>66</v>
      </c>
      <c r="AZ269" s="39" t="s">
        <v>105</v>
      </c>
      <c r="BA269" s="41" t="s">
        <v>182</v>
      </c>
      <c r="BB269" s="27"/>
      <c r="BC269" s="44"/>
      <c r="BD269" s="45" t="s">
        <v>155</v>
      </c>
      <c r="BE269" s="39" t="s">
        <v>29</v>
      </c>
      <c r="BF269" s="39">
        <v>6</v>
      </c>
      <c r="BG269" s="39" t="s">
        <v>152</v>
      </c>
      <c r="BH269" s="27">
        <v>66</v>
      </c>
      <c r="BI269" s="39">
        <v>2012</v>
      </c>
      <c r="BJ269" s="41" t="s">
        <v>172</v>
      </c>
      <c r="BK269" s="27"/>
      <c r="BL269" s="44"/>
      <c r="BM269" s="45" t="s">
        <v>155</v>
      </c>
      <c r="BN269" s="39" t="s">
        <v>29</v>
      </c>
      <c r="BO269" s="39">
        <v>6</v>
      </c>
      <c r="BP269" s="39" t="s">
        <v>152</v>
      </c>
      <c r="BQ269" s="27">
        <v>66</v>
      </c>
      <c r="BR269" s="39">
        <v>3001</v>
      </c>
      <c r="BS269" s="41" t="s">
        <v>177</v>
      </c>
      <c r="BT269" s="27"/>
      <c r="BU269" s="44"/>
      <c r="BV269" s="45" t="s">
        <v>155</v>
      </c>
      <c r="BW269" s="39" t="s">
        <v>29</v>
      </c>
      <c r="BX269" s="39">
        <v>6</v>
      </c>
      <c r="BY269" s="39" t="s">
        <v>152</v>
      </c>
      <c r="BZ269" s="27">
        <v>66</v>
      </c>
      <c r="CA269" s="39">
        <v>3005</v>
      </c>
      <c r="CB269" s="41" t="s">
        <v>164</v>
      </c>
      <c r="CC269" s="27"/>
      <c r="CD269" s="44"/>
      <c r="CE269" s="45" t="s">
        <v>155</v>
      </c>
      <c r="CF269" s="39" t="s">
        <v>29</v>
      </c>
      <c r="CG269" s="39">
        <v>6</v>
      </c>
      <c r="CH269" s="39" t="s">
        <v>152</v>
      </c>
      <c r="CI269" s="27">
        <v>66</v>
      </c>
      <c r="CJ269" s="39"/>
      <c r="CK269" s="41" t="s">
        <v>169</v>
      </c>
    </row>
    <row r="270" spans="1:90" x14ac:dyDescent="0.25">
      <c r="A270" s="44"/>
      <c r="B270" s="45" t="s">
        <v>155</v>
      </c>
      <c r="C270" s="39" t="s">
        <v>29</v>
      </c>
      <c r="D270" s="39">
        <v>7</v>
      </c>
      <c r="E270" s="39" t="s">
        <v>152</v>
      </c>
      <c r="F270" s="27">
        <v>67</v>
      </c>
      <c r="G270" s="39">
        <v>1049</v>
      </c>
      <c r="H270" s="41" t="s">
        <v>162</v>
      </c>
      <c r="I270" s="27"/>
      <c r="J270" s="44"/>
      <c r="K270" s="45" t="s">
        <v>155</v>
      </c>
      <c r="L270" s="39" t="s">
        <v>29</v>
      </c>
      <c r="M270" s="39">
        <v>7</v>
      </c>
      <c r="N270" s="39" t="s">
        <v>152</v>
      </c>
      <c r="O270" s="27">
        <v>67</v>
      </c>
      <c r="P270" s="39">
        <v>1053</v>
      </c>
      <c r="Q270" s="41" t="s">
        <v>180</v>
      </c>
      <c r="R270" s="27"/>
      <c r="S270" s="44"/>
      <c r="T270" s="45" t="s">
        <v>155</v>
      </c>
      <c r="U270" s="39" t="s">
        <v>29</v>
      </c>
      <c r="V270" s="39">
        <v>7</v>
      </c>
      <c r="W270" s="39" t="s">
        <v>152</v>
      </c>
      <c r="X270" s="27">
        <v>67</v>
      </c>
      <c r="Y270" s="39">
        <v>1058</v>
      </c>
      <c r="Z270" s="41" t="s">
        <v>177</v>
      </c>
      <c r="AA270" s="27"/>
      <c r="AB270" s="44"/>
      <c r="AC270" s="45" t="s">
        <v>155</v>
      </c>
      <c r="AD270" s="39" t="s">
        <v>29</v>
      </c>
      <c r="AE270" s="39">
        <v>7</v>
      </c>
      <c r="AF270" s="39" t="s">
        <v>152</v>
      </c>
      <c r="AG270" s="27">
        <v>67</v>
      </c>
      <c r="AH270" s="39">
        <v>2033</v>
      </c>
      <c r="AI270" s="41" t="s">
        <v>189</v>
      </c>
      <c r="AJ270" s="27"/>
      <c r="AK270" s="44"/>
      <c r="AL270" s="45" t="s">
        <v>155</v>
      </c>
      <c r="AM270" s="39" t="s">
        <v>29</v>
      </c>
      <c r="AN270" s="39">
        <v>7</v>
      </c>
      <c r="AO270" s="39" t="s">
        <v>152</v>
      </c>
      <c r="AP270" s="27">
        <v>67</v>
      </c>
      <c r="AQ270" s="39">
        <v>2039</v>
      </c>
      <c r="AR270" s="41" t="s">
        <v>178</v>
      </c>
      <c r="AS270" s="27"/>
      <c r="AT270" s="44"/>
      <c r="AU270" s="45" t="s">
        <v>155</v>
      </c>
      <c r="AV270" s="39" t="s">
        <v>29</v>
      </c>
      <c r="AW270" s="39">
        <v>7</v>
      </c>
      <c r="AX270" s="39" t="s">
        <v>152</v>
      </c>
      <c r="AY270" s="27">
        <v>67</v>
      </c>
      <c r="AZ270" s="39" t="s">
        <v>105</v>
      </c>
      <c r="BA270" s="41" t="s">
        <v>184</v>
      </c>
      <c r="BB270" s="27"/>
      <c r="BC270" s="44"/>
      <c r="BD270" s="45" t="s">
        <v>155</v>
      </c>
      <c r="BE270" s="39" t="s">
        <v>29</v>
      </c>
      <c r="BF270" s="39">
        <v>7</v>
      </c>
      <c r="BG270" s="39" t="s">
        <v>152</v>
      </c>
      <c r="BH270" s="27">
        <v>67</v>
      </c>
      <c r="BI270" s="39">
        <v>2012</v>
      </c>
      <c r="BJ270" s="46" t="s">
        <v>162</v>
      </c>
      <c r="BK270" s="27"/>
      <c r="BL270" s="44"/>
      <c r="BM270" s="45" t="s">
        <v>155</v>
      </c>
      <c r="BN270" s="39" t="s">
        <v>29</v>
      </c>
      <c r="BO270" s="39">
        <v>7</v>
      </c>
      <c r="BP270" s="39" t="s">
        <v>152</v>
      </c>
      <c r="BQ270" s="27">
        <v>67</v>
      </c>
      <c r="BR270" s="39">
        <v>3001</v>
      </c>
      <c r="BS270" s="41" t="s">
        <v>180</v>
      </c>
      <c r="BT270" s="27"/>
      <c r="BU270" s="44"/>
      <c r="BV270" s="45" t="s">
        <v>155</v>
      </c>
      <c r="BW270" s="39" t="s">
        <v>29</v>
      </c>
      <c r="BX270" s="39">
        <v>7</v>
      </c>
      <c r="BY270" s="39" t="s">
        <v>152</v>
      </c>
      <c r="BZ270" s="27">
        <v>67</v>
      </c>
      <c r="CA270" s="39">
        <v>3005</v>
      </c>
      <c r="CB270" s="41" t="s">
        <v>172</v>
      </c>
      <c r="CC270" s="27"/>
      <c r="CD270" s="44"/>
      <c r="CE270" s="45" t="s">
        <v>155</v>
      </c>
      <c r="CF270" s="39" t="s">
        <v>29</v>
      </c>
      <c r="CG270" s="39">
        <v>7</v>
      </c>
      <c r="CH270" s="39" t="s">
        <v>152</v>
      </c>
      <c r="CI270" s="27">
        <v>67</v>
      </c>
      <c r="CJ270" s="39"/>
      <c r="CK270" s="41" t="s">
        <v>177</v>
      </c>
    </row>
    <row r="271" spans="1:90" x14ac:dyDescent="0.25">
      <c r="A271" s="44"/>
      <c r="B271" s="45" t="s">
        <v>155</v>
      </c>
      <c r="C271" s="39" t="s">
        <v>29</v>
      </c>
      <c r="D271" s="39">
        <v>8</v>
      </c>
      <c r="E271" s="39" t="s">
        <v>152</v>
      </c>
      <c r="F271" s="27">
        <v>68</v>
      </c>
      <c r="G271" s="39">
        <v>1049</v>
      </c>
      <c r="H271" s="41" t="s">
        <v>170</v>
      </c>
      <c r="I271" s="27"/>
      <c r="J271" s="44"/>
      <c r="K271" s="45" t="s">
        <v>155</v>
      </c>
      <c r="L271" s="39" t="s">
        <v>29</v>
      </c>
      <c r="M271" s="39">
        <v>8</v>
      </c>
      <c r="N271" s="39" t="s">
        <v>152</v>
      </c>
      <c r="O271" s="27">
        <v>68</v>
      </c>
      <c r="P271" s="39">
        <v>1053</v>
      </c>
      <c r="Q271" s="41" t="s">
        <v>181</v>
      </c>
      <c r="R271" s="27"/>
      <c r="S271" s="44"/>
      <c r="T271" s="45" t="s">
        <v>155</v>
      </c>
      <c r="U271" s="39" t="s">
        <v>29</v>
      </c>
      <c r="V271" s="39">
        <v>8</v>
      </c>
      <c r="W271" s="39" t="s">
        <v>152</v>
      </c>
      <c r="X271" s="27">
        <v>68</v>
      </c>
      <c r="Y271" s="39">
        <v>1058</v>
      </c>
      <c r="Z271" s="41" t="s">
        <v>180</v>
      </c>
      <c r="AA271" s="27"/>
      <c r="AB271" s="44"/>
      <c r="AC271" s="45" t="s">
        <v>155</v>
      </c>
      <c r="AD271" s="39" t="s">
        <v>29</v>
      </c>
      <c r="AE271" s="39">
        <v>8</v>
      </c>
      <c r="AF271" s="39" t="s">
        <v>152</v>
      </c>
      <c r="AG271" s="27">
        <v>68</v>
      </c>
      <c r="AH271" s="39">
        <v>2035</v>
      </c>
      <c r="AI271" s="27" t="s">
        <v>160</v>
      </c>
      <c r="AJ271" s="27"/>
      <c r="AK271" s="44"/>
      <c r="AL271" s="45" t="s">
        <v>155</v>
      </c>
      <c r="AM271" s="39" t="s">
        <v>29</v>
      </c>
      <c r="AN271" s="39">
        <v>8</v>
      </c>
      <c r="AO271" s="39" t="s">
        <v>152</v>
      </c>
      <c r="AP271" s="27">
        <v>68</v>
      </c>
      <c r="AQ271" s="39">
        <v>2039</v>
      </c>
      <c r="AR271" s="41" t="s">
        <v>163</v>
      </c>
      <c r="AS271" s="27"/>
      <c r="AT271" s="44"/>
      <c r="AU271" s="45" t="s">
        <v>155</v>
      </c>
      <c r="AV271" s="39" t="s">
        <v>29</v>
      </c>
      <c r="AW271" s="39">
        <v>8</v>
      </c>
      <c r="AX271" s="39" t="s">
        <v>152</v>
      </c>
      <c r="AY271" s="27">
        <v>68</v>
      </c>
      <c r="AZ271" s="39" t="s">
        <v>105</v>
      </c>
      <c r="BA271" s="41" t="s">
        <v>187</v>
      </c>
      <c r="BB271" s="27"/>
      <c r="BC271" s="44"/>
      <c r="BD271" s="45" t="s">
        <v>155</v>
      </c>
      <c r="BE271" s="39" t="s">
        <v>29</v>
      </c>
      <c r="BF271" s="39">
        <v>8</v>
      </c>
      <c r="BG271" s="39" t="s">
        <v>152</v>
      </c>
      <c r="BH271" s="27">
        <v>68</v>
      </c>
      <c r="BI271" s="39">
        <v>2012</v>
      </c>
      <c r="BJ271" s="41" t="s">
        <v>170</v>
      </c>
      <c r="BK271" s="27"/>
      <c r="BL271" s="44"/>
      <c r="BM271" s="45" t="s">
        <v>155</v>
      </c>
      <c r="BN271" s="39" t="s">
        <v>29</v>
      </c>
      <c r="BO271" s="39">
        <v>8</v>
      </c>
      <c r="BP271" s="39" t="s">
        <v>152</v>
      </c>
      <c r="BQ271" s="27">
        <v>68</v>
      </c>
      <c r="BR271" s="39">
        <v>3001</v>
      </c>
      <c r="BS271" s="41" t="s">
        <v>181</v>
      </c>
      <c r="BT271" s="27"/>
      <c r="BU271" s="44"/>
      <c r="BV271" s="45" t="s">
        <v>155</v>
      </c>
      <c r="BW271" s="39" t="s">
        <v>29</v>
      </c>
      <c r="BX271" s="39">
        <v>8</v>
      </c>
      <c r="BY271" s="39" t="s">
        <v>152</v>
      </c>
      <c r="BZ271" s="27">
        <v>68</v>
      </c>
      <c r="CA271" s="39">
        <v>3005</v>
      </c>
      <c r="CB271" s="41" t="s">
        <v>162</v>
      </c>
      <c r="CC271" s="27"/>
      <c r="CD271" s="44"/>
      <c r="CE271" s="45" t="s">
        <v>155</v>
      </c>
      <c r="CF271" s="39" t="s">
        <v>29</v>
      </c>
      <c r="CG271" s="39">
        <v>8</v>
      </c>
      <c r="CH271" s="39" t="s">
        <v>152</v>
      </c>
      <c r="CI271" s="27">
        <v>68</v>
      </c>
      <c r="CJ271" s="39"/>
      <c r="CK271" s="41" t="s">
        <v>180</v>
      </c>
    </row>
    <row r="272" spans="1:90" ht="15.75" thickBot="1" x14ac:dyDescent="0.3">
      <c r="A272" s="44"/>
      <c r="B272" s="45" t="s">
        <v>155</v>
      </c>
      <c r="C272" s="39" t="s">
        <v>29</v>
      </c>
      <c r="D272" s="39">
        <v>9</v>
      </c>
      <c r="E272" s="39" t="s">
        <v>152</v>
      </c>
      <c r="F272" s="27">
        <v>69</v>
      </c>
      <c r="G272" s="39">
        <v>1049</v>
      </c>
      <c r="H272" s="41" t="s">
        <v>178</v>
      </c>
      <c r="I272" s="27"/>
      <c r="J272" s="44"/>
      <c r="K272" s="45" t="s">
        <v>155</v>
      </c>
      <c r="L272" s="39" t="s">
        <v>29</v>
      </c>
      <c r="M272" s="39">
        <v>9</v>
      </c>
      <c r="N272" s="39" t="s">
        <v>152</v>
      </c>
      <c r="O272" s="27">
        <v>69</v>
      </c>
      <c r="P272" s="39">
        <v>1053</v>
      </c>
      <c r="Q272" s="41" t="s">
        <v>183</v>
      </c>
      <c r="R272" s="27"/>
      <c r="S272" s="44"/>
      <c r="T272" s="45" t="s">
        <v>155</v>
      </c>
      <c r="U272" s="39" t="s">
        <v>29</v>
      </c>
      <c r="V272" s="39">
        <v>9</v>
      </c>
      <c r="W272" s="39" t="s">
        <v>152</v>
      </c>
      <c r="X272" s="27">
        <v>69</v>
      </c>
      <c r="Y272" s="39">
        <v>1058</v>
      </c>
      <c r="Z272" s="41" t="s">
        <v>181</v>
      </c>
      <c r="AA272" s="27"/>
      <c r="AB272" s="44"/>
      <c r="AC272" s="45" t="s">
        <v>155</v>
      </c>
      <c r="AD272" s="39" t="s">
        <v>29</v>
      </c>
      <c r="AE272" s="39">
        <v>9</v>
      </c>
      <c r="AF272" s="39" t="s">
        <v>152</v>
      </c>
      <c r="AG272" s="27">
        <v>69</v>
      </c>
      <c r="AH272" s="39">
        <v>2035</v>
      </c>
      <c r="AI272" s="41" t="s">
        <v>168</v>
      </c>
      <c r="AJ272" s="27"/>
      <c r="AK272" s="44"/>
      <c r="AL272" s="45" t="s">
        <v>155</v>
      </c>
      <c r="AM272" s="39" t="s">
        <v>29</v>
      </c>
      <c r="AN272" s="39">
        <v>9</v>
      </c>
      <c r="AO272" s="39" t="s">
        <v>152</v>
      </c>
      <c r="AP272" s="27">
        <v>69</v>
      </c>
      <c r="AQ272" s="39">
        <v>2039</v>
      </c>
      <c r="AR272" s="41" t="s">
        <v>171</v>
      </c>
      <c r="AS272" s="27"/>
      <c r="AT272" s="44"/>
      <c r="AU272" s="45" t="s">
        <v>155</v>
      </c>
      <c r="AV272" s="39" t="s">
        <v>29</v>
      </c>
      <c r="AW272" s="39">
        <v>9</v>
      </c>
      <c r="AX272" s="39" t="s">
        <v>152</v>
      </c>
      <c r="AY272" s="27">
        <v>69</v>
      </c>
      <c r="AZ272" s="39" t="s">
        <v>105</v>
      </c>
      <c r="BA272" s="41" t="s">
        <v>189</v>
      </c>
      <c r="BB272" s="27"/>
      <c r="BC272" s="44"/>
      <c r="BD272" s="45" t="s">
        <v>155</v>
      </c>
      <c r="BE272" s="39" t="s">
        <v>29</v>
      </c>
      <c r="BF272" s="39">
        <v>9</v>
      </c>
      <c r="BG272" s="39" t="s">
        <v>152</v>
      </c>
      <c r="BH272" s="27">
        <v>69</v>
      </c>
      <c r="BI272" s="39">
        <v>2012</v>
      </c>
      <c r="BJ272" s="41" t="s">
        <v>178</v>
      </c>
      <c r="BK272" s="27"/>
      <c r="BL272" s="44"/>
      <c r="BM272" s="45" t="s">
        <v>155</v>
      </c>
      <c r="BN272" s="39" t="s">
        <v>29</v>
      </c>
      <c r="BO272" s="39">
        <v>9</v>
      </c>
      <c r="BP272" s="39" t="s">
        <v>152</v>
      </c>
      <c r="BQ272" s="27">
        <v>69</v>
      </c>
      <c r="BR272" s="39">
        <v>3001</v>
      </c>
      <c r="BS272" s="41" t="s">
        <v>183</v>
      </c>
      <c r="BT272" s="27"/>
      <c r="BU272" s="44"/>
      <c r="BV272" s="45" t="s">
        <v>155</v>
      </c>
      <c r="BW272" s="39" t="s">
        <v>29</v>
      </c>
      <c r="BX272" s="39">
        <v>9</v>
      </c>
      <c r="BY272" s="39" t="s">
        <v>152</v>
      </c>
      <c r="BZ272" s="27">
        <v>69</v>
      </c>
      <c r="CA272" s="39">
        <v>3005</v>
      </c>
      <c r="CB272" s="41" t="s">
        <v>170</v>
      </c>
      <c r="CC272" s="27"/>
      <c r="CD272" s="44"/>
      <c r="CE272" s="45" t="s">
        <v>155</v>
      </c>
      <c r="CF272" s="39" t="s">
        <v>29</v>
      </c>
      <c r="CG272" s="39">
        <v>9</v>
      </c>
      <c r="CH272" s="39" t="s">
        <v>152</v>
      </c>
      <c r="CI272" s="27">
        <v>69</v>
      </c>
      <c r="CJ272" s="39"/>
      <c r="CK272" s="41" t="s">
        <v>181</v>
      </c>
    </row>
    <row r="273" spans="1:89" x14ac:dyDescent="0.25">
      <c r="A273" s="44"/>
      <c r="B273" s="45" t="s">
        <v>155</v>
      </c>
      <c r="C273" s="39" t="s">
        <v>29</v>
      </c>
      <c r="D273" s="39">
        <v>10</v>
      </c>
      <c r="E273" s="39" t="s">
        <v>152</v>
      </c>
      <c r="F273" s="27">
        <v>70</v>
      </c>
      <c r="G273" s="39">
        <v>1049</v>
      </c>
      <c r="H273" s="40" t="s">
        <v>163</v>
      </c>
      <c r="I273" s="27"/>
      <c r="J273" s="44"/>
      <c r="K273" s="45" t="s">
        <v>155</v>
      </c>
      <c r="L273" s="39" t="s">
        <v>29</v>
      </c>
      <c r="M273" s="39">
        <v>10</v>
      </c>
      <c r="N273" s="39" t="s">
        <v>152</v>
      </c>
      <c r="O273" s="27">
        <v>70</v>
      </c>
      <c r="P273" s="39">
        <v>1053</v>
      </c>
      <c r="Q273" s="41" t="s">
        <v>186</v>
      </c>
      <c r="R273" s="27"/>
      <c r="S273" s="44"/>
      <c r="T273" s="45" t="s">
        <v>155</v>
      </c>
      <c r="U273" s="39" t="s">
        <v>29</v>
      </c>
      <c r="V273" s="39">
        <v>10</v>
      </c>
      <c r="W273" s="39" t="s">
        <v>152</v>
      </c>
      <c r="X273" s="27">
        <v>70</v>
      </c>
      <c r="Y273" s="39">
        <v>1058</v>
      </c>
      <c r="Z273" s="41" t="s">
        <v>183</v>
      </c>
      <c r="AA273" s="27"/>
      <c r="AB273" s="44"/>
      <c r="AC273" s="45" t="s">
        <v>155</v>
      </c>
      <c r="AD273" s="39" t="s">
        <v>29</v>
      </c>
      <c r="AE273" s="39">
        <v>10</v>
      </c>
      <c r="AF273" s="39" t="s">
        <v>152</v>
      </c>
      <c r="AG273" s="27">
        <v>70</v>
      </c>
      <c r="AH273" s="39">
        <v>2035</v>
      </c>
      <c r="AI273" s="41" t="s">
        <v>176</v>
      </c>
      <c r="AJ273" s="27"/>
      <c r="AK273" s="44"/>
      <c r="AL273" s="45" t="s">
        <v>155</v>
      </c>
      <c r="AM273" s="39" t="s">
        <v>29</v>
      </c>
      <c r="AN273" s="39">
        <v>10</v>
      </c>
      <c r="AO273" s="39" t="s">
        <v>152</v>
      </c>
      <c r="AP273" s="27">
        <v>70</v>
      </c>
      <c r="AQ273" s="39">
        <v>2039</v>
      </c>
      <c r="AR273" s="41" t="s">
        <v>161</v>
      </c>
      <c r="AS273" s="27"/>
      <c r="AT273" s="44"/>
      <c r="AU273" s="45" t="s">
        <v>155</v>
      </c>
      <c r="AV273" s="39" t="s">
        <v>29</v>
      </c>
      <c r="AW273" s="39">
        <v>10</v>
      </c>
      <c r="AX273" s="39" t="s">
        <v>152</v>
      </c>
      <c r="AY273" s="27">
        <v>70</v>
      </c>
      <c r="AZ273" s="39">
        <v>1049</v>
      </c>
      <c r="BA273" s="41" t="s">
        <v>160</v>
      </c>
      <c r="BB273" s="27"/>
      <c r="BC273" s="44"/>
      <c r="BD273" s="45" t="s">
        <v>155</v>
      </c>
      <c r="BE273" s="39" t="s">
        <v>29</v>
      </c>
      <c r="BF273" s="39">
        <v>10</v>
      </c>
      <c r="BG273" s="39" t="s">
        <v>152</v>
      </c>
      <c r="BH273" s="27">
        <v>70</v>
      </c>
      <c r="BI273" s="39">
        <v>2012</v>
      </c>
      <c r="BJ273" s="41" t="s">
        <v>163</v>
      </c>
      <c r="BK273" s="27"/>
      <c r="BL273" s="44"/>
      <c r="BM273" s="45" t="s">
        <v>155</v>
      </c>
      <c r="BN273" s="39" t="s">
        <v>29</v>
      </c>
      <c r="BO273" s="39">
        <v>10</v>
      </c>
      <c r="BP273" s="39" t="s">
        <v>152</v>
      </c>
      <c r="BQ273" s="27">
        <v>70</v>
      </c>
      <c r="BR273" s="39">
        <v>3001</v>
      </c>
      <c r="BS273" s="41" t="s">
        <v>186</v>
      </c>
      <c r="BT273" s="27"/>
      <c r="BU273" s="44"/>
      <c r="BV273" s="45" t="s">
        <v>155</v>
      </c>
      <c r="BW273" s="39" t="s">
        <v>29</v>
      </c>
      <c r="BX273" s="39">
        <v>10</v>
      </c>
      <c r="BY273" s="39" t="s">
        <v>152</v>
      </c>
      <c r="BZ273" s="27">
        <v>70</v>
      </c>
      <c r="CA273" s="39">
        <v>3005</v>
      </c>
      <c r="CB273" s="41" t="s">
        <v>178</v>
      </c>
      <c r="CC273" s="27"/>
      <c r="CD273" s="44"/>
      <c r="CE273" s="45" t="s">
        <v>155</v>
      </c>
      <c r="CF273" s="39" t="s">
        <v>29</v>
      </c>
      <c r="CG273" s="39">
        <v>10</v>
      </c>
      <c r="CH273" s="39" t="s">
        <v>152</v>
      </c>
      <c r="CI273" s="27">
        <v>70</v>
      </c>
      <c r="CJ273" s="39"/>
      <c r="CK273" s="41" t="s">
        <v>183</v>
      </c>
    </row>
    <row r="274" spans="1:89" x14ac:dyDescent="0.25">
      <c r="A274" s="44"/>
      <c r="B274" s="45" t="s">
        <v>155</v>
      </c>
      <c r="C274" s="39" t="s">
        <v>29</v>
      </c>
      <c r="D274" s="39">
        <v>11</v>
      </c>
      <c r="E274" s="39" t="s">
        <v>152</v>
      </c>
      <c r="F274" s="27">
        <v>71</v>
      </c>
      <c r="G274" s="39">
        <v>1049</v>
      </c>
      <c r="H274" s="41" t="s">
        <v>171</v>
      </c>
      <c r="I274" s="27"/>
      <c r="J274" s="44"/>
      <c r="K274" s="45" t="s">
        <v>155</v>
      </c>
      <c r="L274" s="39" t="s">
        <v>29</v>
      </c>
      <c r="M274" s="39">
        <v>11</v>
      </c>
      <c r="N274" s="39" t="s">
        <v>152</v>
      </c>
      <c r="O274" s="27">
        <v>71</v>
      </c>
      <c r="P274" s="39">
        <v>1053</v>
      </c>
      <c r="Q274" s="41" t="s">
        <v>188</v>
      </c>
      <c r="R274" s="27"/>
      <c r="S274" s="44"/>
      <c r="T274" s="45" t="s">
        <v>155</v>
      </c>
      <c r="U274" s="39" t="s">
        <v>29</v>
      </c>
      <c r="V274" s="39">
        <v>11</v>
      </c>
      <c r="W274" s="39" t="s">
        <v>152</v>
      </c>
      <c r="X274" s="27">
        <v>71</v>
      </c>
      <c r="Y274" s="39">
        <v>1058</v>
      </c>
      <c r="Z274" s="41" t="s">
        <v>186</v>
      </c>
      <c r="AA274" s="27"/>
      <c r="AB274" s="44"/>
      <c r="AC274" s="45" t="s">
        <v>155</v>
      </c>
      <c r="AD274" s="39" t="s">
        <v>29</v>
      </c>
      <c r="AE274" s="39">
        <v>11</v>
      </c>
      <c r="AF274" s="39" t="s">
        <v>152</v>
      </c>
      <c r="AG274" s="27">
        <v>71</v>
      </c>
      <c r="AH274" s="39">
        <v>2035</v>
      </c>
      <c r="AI274" s="41" t="s">
        <v>164</v>
      </c>
      <c r="AJ274" s="27"/>
      <c r="AK274" s="44"/>
      <c r="AL274" s="45" t="s">
        <v>155</v>
      </c>
      <c r="AM274" s="39" t="s">
        <v>29</v>
      </c>
      <c r="AN274" s="39">
        <v>11</v>
      </c>
      <c r="AO274" s="39" t="s">
        <v>152</v>
      </c>
      <c r="AP274" s="27">
        <v>71</v>
      </c>
      <c r="AQ274" s="39">
        <v>2039</v>
      </c>
      <c r="AR274" s="41" t="s">
        <v>169</v>
      </c>
      <c r="AS274" s="27"/>
      <c r="AT274" s="44"/>
      <c r="AU274" s="45" t="s">
        <v>155</v>
      </c>
      <c r="AV274" s="39" t="s">
        <v>29</v>
      </c>
      <c r="AW274" s="39">
        <v>11</v>
      </c>
      <c r="AX274" s="39" t="s">
        <v>152</v>
      </c>
      <c r="AY274" s="27">
        <v>71</v>
      </c>
      <c r="AZ274" s="39">
        <v>1049</v>
      </c>
      <c r="BA274" s="41" t="s">
        <v>168</v>
      </c>
      <c r="BB274" s="27"/>
      <c r="BC274" s="44"/>
      <c r="BD274" s="45" t="s">
        <v>155</v>
      </c>
      <c r="BE274" s="39" t="s">
        <v>29</v>
      </c>
      <c r="BF274" s="39">
        <v>11</v>
      </c>
      <c r="BG274" s="39" t="s">
        <v>152</v>
      </c>
      <c r="BH274" s="27">
        <v>71</v>
      </c>
      <c r="BI274" s="39">
        <v>2012</v>
      </c>
      <c r="BJ274" s="41" t="s">
        <v>171</v>
      </c>
      <c r="BK274" s="27"/>
      <c r="BL274" s="44"/>
      <c r="BM274" s="45" t="s">
        <v>155</v>
      </c>
      <c r="BN274" s="39" t="s">
        <v>29</v>
      </c>
      <c r="BO274" s="39">
        <v>11</v>
      </c>
      <c r="BP274" s="39" t="s">
        <v>152</v>
      </c>
      <c r="BQ274" s="27">
        <v>71</v>
      </c>
      <c r="BR274" s="39">
        <v>3001</v>
      </c>
      <c r="BS274" s="41" t="s">
        <v>188</v>
      </c>
      <c r="BT274" s="27"/>
      <c r="BU274" s="44"/>
      <c r="BV274" s="45" t="s">
        <v>155</v>
      </c>
      <c r="BW274" s="39" t="s">
        <v>29</v>
      </c>
      <c r="BX274" s="39">
        <v>11</v>
      </c>
      <c r="BY274" s="39" t="s">
        <v>152</v>
      </c>
      <c r="BZ274" s="27">
        <v>71</v>
      </c>
      <c r="CA274" s="39">
        <v>3005</v>
      </c>
      <c r="CB274" s="41" t="s">
        <v>163</v>
      </c>
      <c r="CC274" s="27"/>
      <c r="CD274" s="44"/>
      <c r="CE274" s="45" t="s">
        <v>155</v>
      </c>
      <c r="CF274" s="39" t="s">
        <v>29</v>
      </c>
      <c r="CG274" s="39">
        <v>11</v>
      </c>
      <c r="CH274" s="39" t="s">
        <v>152</v>
      </c>
      <c r="CI274" s="27">
        <v>71</v>
      </c>
      <c r="CJ274" s="39"/>
      <c r="CK274" s="41" t="s">
        <v>186</v>
      </c>
    </row>
    <row r="275" spans="1:89" x14ac:dyDescent="0.25">
      <c r="A275" s="52"/>
      <c r="B275" s="53" t="s">
        <v>155</v>
      </c>
      <c r="C275" s="54" t="s">
        <v>29</v>
      </c>
      <c r="D275" s="54">
        <v>12</v>
      </c>
      <c r="E275" s="54" t="s">
        <v>152</v>
      </c>
      <c r="F275" s="55">
        <v>72</v>
      </c>
      <c r="G275" s="39">
        <v>1049</v>
      </c>
      <c r="H275" s="41" t="s">
        <v>161</v>
      </c>
      <c r="I275" s="27"/>
      <c r="J275" s="52"/>
      <c r="K275" s="53" t="s">
        <v>155</v>
      </c>
      <c r="L275" s="54" t="s">
        <v>29</v>
      </c>
      <c r="M275" s="54">
        <v>12</v>
      </c>
      <c r="N275" s="54" t="s">
        <v>152</v>
      </c>
      <c r="O275" s="55">
        <v>72</v>
      </c>
      <c r="P275" s="39">
        <v>1053</v>
      </c>
      <c r="Q275" s="41" t="s">
        <v>182</v>
      </c>
      <c r="R275" s="27"/>
      <c r="S275" s="52"/>
      <c r="T275" s="53" t="s">
        <v>155</v>
      </c>
      <c r="U275" s="54" t="s">
        <v>29</v>
      </c>
      <c r="V275" s="54">
        <v>12</v>
      </c>
      <c r="W275" s="54" t="s">
        <v>152</v>
      </c>
      <c r="X275" s="55">
        <v>72</v>
      </c>
      <c r="Y275" s="39">
        <v>1058</v>
      </c>
      <c r="Z275" s="41" t="s">
        <v>188</v>
      </c>
      <c r="AA275" s="27"/>
      <c r="AB275" s="52"/>
      <c r="AC275" s="53" t="s">
        <v>155</v>
      </c>
      <c r="AD275" s="54" t="s">
        <v>29</v>
      </c>
      <c r="AE275" s="54">
        <v>12</v>
      </c>
      <c r="AF275" s="54" t="s">
        <v>152</v>
      </c>
      <c r="AG275" s="55">
        <v>72</v>
      </c>
      <c r="AH275" s="39">
        <v>2035</v>
      </c>
      <c r="AI275" s="41" t="s">
        <v>172</v>
      </c>
      <c r="AJ275" s="27"/>
      <c r="AK275" s="52"/>
      <c r="AL275" s="53" t="s">
        <v>155</v>
      </c>
      <c r="AM275" s="54" t="s">
        <v>29</v>
      </c>
      <c r="AN275" s="54">
        <v>12</v>
      </c>
      <c r="AO275" s="54" t="s">
        <v>152</v>
      </c>
      <c r="AP275" s="55">
        <v>72</v>
      </c>
      <c r="AQ275" s="39">
        <v>2039</v>
      </c>
      <c r="AR275" s="41" t="s">
        <v>177</v>
      </c>
      <c r="AS275" s="27"/>
      <c r="AT275" s="52"/>
      <c r="AU275" s="53" t="s">
        <v>155</v>
      </c>
      <c r="AV275" s="54" t="s">
        <v>29</v>
      </c>
      <c r="AW275" s="54">
        <v>12</v>
      </c>
      <c r="AX275" s="54" t="s">
        <v>152</v>
      </c>
      <c r="AY275" s="55">
        <v>72</v>
      </c>
      <c r="AZ275" s="39">
        <v>1049</v>
      </c>
      <c r="BA275" s="41" t="s">
        <v>176</v>
      </c>
      <c r="BB275" s="27" t="s">
        <v>336</v>
      </c>
      <c r="BC275" s="52"/>
      <c r="BD275" s="53" t="s">
        <v>155</v>
      </c>
      <c r="BE275" s="54" t="s">
        <v>29</v>
      </c>
      <c r="BF275" s="54">
        <v>12</v>
      </c>
      <c r="BG275" s="54" t="s">
        <v>152</v>
      </c>
      <c r="BH275" s="55">
        <v>72</v>
      </c>
      <c r="BI275" s="39">
        <v>2012</v>
      </c>
      <c r="BJ275" s="41" t="s">
        <v>161</v>
      </c>
      <c r="BK275" s="27"/>
      <c r="BL275" s="52"/>
      <c r="BM275" s="53" t="s">
        <v>155</v>
      </c>
      <c r="BN275" s="54" t="s">
        <v>29</v>
      </c>
      <c r="BO275" s="54">
        <v>12</v>
      </c>
      <c r="BP275" s="54" t="s">
        <v>152</v>
      </c>
      <c r="BQ275" s="55">
        <v>72</v>
      </c>
      <c r="BR275" s="39">
        <v>3001</v>
      </c>
      <c r="BS275" s="41" t="s">
        <v>182</v>
      </c>
      <c r="BT275" s="27"/>
      <c r="BU275" s="52"/>
      <c r="BV275" s="53" t="s">
        <v>155</v>
      </c>
      <c r="BW275" s="54" t="s">
        <v>29</v>
      </c>
      <c r="BX275" s="54">
        <v>12</v>
      </c>
      <c r="BY275" s="54" t="s">
        <v>152</v>
      </c>
      <c r="BZ275" s="55">
        <v>72</v>
      </c>
      <c r="CA275" s="39">
        <v>3005</v>
      </c>
      <c r="CB275" s="41" t="s">
        <v>171</v>
      </c>
      <c r="CC275" s="27"/>
      <c r="CD275" s="52"/>
      <c r="CE275" s="53" t="s">
        <v>155</v>
      </c>
      <c r="CF275" s="54" t="s">
        <v>29</v>
      </c>
      <c r="CG275" s="54">
        <v>12</v>
      </c>
      <c r="CH275" s="54" t="s">
        <v>152</v>
      </c>
      <c r="CI275" s="55">
        <v>72</v>
      </c>
      <c r="CJ275" s="39"/>
      <c r="CK275" s="41" t="s">
        <v>188</v>
      </c>
    </row>
    <row r="276" spans="1:89" x14ac:dyDescent="0.25">
      <c r="A276" s="60"/>
      <c r="B276" s="45" t="s">
        <v>155</v>
      </c>
      <c r="C276" s="61" t="s">
        <v>34</v>
      </c>
      <c r="D276" s="61">
        <v>1</v>
      </c>
      <c r="E276" s="61" t="s">
        <v>152</v>
      </c>
      <c r="F276" s="62">
        <v>73</v>
      </c>
      <c r="G276" s="39">
        <v>1049</v>
      </c>
      <c r="H276" s="41" t="s">
        <v>169</v>
      </c>
      <c r="I276" s="27"/>
      <c r="J276" s="60"/>
      <c r="K276" s="45" t="s">
        <v>155</v>
      </c>
      <c r="L276" s="61" t="s">
        <v>34</v>
      </c>
      <c r="M276" s="61">
        <v>1</v>
      </c>
      <c r="N276" s="61" t="s">
        <v>152</v>
      </c>
      <c r="O276" s="62">
        <v>73</v>
      </c>
      <c r="P276" s="39">
        <v>1053</v>
      </c>
      <c r="Q276" s="46" t="s">
        <v>184</v>
      </c>
      <c r="R276" s="27"/>
      <c r="S276" s="60"/>
      <c r="T276" s="45" t="s">
        <v>155</v>
      </c>
      <c r="U276" s="61" t="s">
        <v>34</v>
      </c>
      <c r="V276" s="61">
        <v>1</v>
      </c>
      <c r="W276" s="61" t="s">
        <v>152</v>
      </c>
      <c r="X276" s="62">
        <v>73</v>
      </c>
      <c r="Y276" s="39">
        <v>1058</v>
      </c>
      <c r="Z276" s="41" t="s">
        <v>182</v>
      </c>
      <c r="AA276" s="27"/>
      <c r="AB276" s="60"/>
      <c r="AC276" s="45" t="s">
        <v>155</v>
      </c>
      <c r="AD276" s="61" t="s">
        <v>34</v>
      </c>
      <c r="AE276" s="61">
        <v>1</v>
      </c>
      <c r="AF276" s="61" t="s">
        <v>152</v>
      </c>
      <c r="AG276" s="62">
        <v>73</v>
      </c>
      <c r="AH276" s="39">
        <v>2035</v>
      </c>
      <c r="AI276" s="41" t="s">
        <v>162</v>
      </c>
      <c r="AJ276" s="27"/>
      <c r="AK276" s="60"/>
      <c r="AL276" s="45" t="s">
        <v>155</v>
      </c>
      <c r="AM276" s="61" t="s">
        <v>34</v>
      </c>
      <c r="AN276" s="61">
        <v>1</v>
      </c>
      <c r="AO276" s="61" t="s">
        <v>152</v>
      </c>
      <c r="AP276" s="62">
        <v>73</v>
      </c>
      <c r="AQ276" s="39">
        <v>2039</v>
      </c>
      <c r="AR276" s="41" t="s">
        <v>180</v>
      </c>
      <c r="AS276" s="27"/>
      <c r="AT276" s="60"/>
      <c r="AU276" s="45" t="s">
        <v>155</v>
      </c>
      <c r="AV276" s="61" t="s">
        <v>34</v>
      </c>
      <c r="AW276" s="61">
        <v>1</v>
      </c>
      <c r="AX276" s="61" t="s">
        <v>152</v>
      </c>
      <c r="AY276" s="62">
        <v>73</v>
      </c>
      <c r="AZ276" s="39">
        <v>1049</v>
      </c>
      <c r="BA276" s="41" t="s">
        <v>164</v>
      </c>
      <c r="BB276" s="27"/>
      <c r="BC276" s="60"/>
      <c r="BD276" s="45" t="s">
        <v>155</v>
      </c>
      <c r="BE276" s="61" t="s">
        <v>34</v>
      </c>
      <c r="BF276" s="61">
        <v>1</v>
      </c>
      <c r="BG276" s="61" t="s">
        <v>152</v>
      </c>
      <c r="BH276" s="62">
        <v>73</v>
      </c>
      <c r="BI276" s="39">
        <v>2012</v>
      </c>
      <c r="BJ276" s="41" t="s">
        <v>169</v>
      </c>
      <c r="BK276" s="27"/>
      <c r="BL276" s="60"/>
      <c r="BM276" s="45" t="s">
        <v>155</v>
      </c>
      <c r="BN276" s="61" t="s">
        <v>34</v>
      </c>
      <c r="BO276" s="61">
        <v>1</v>
      </c>
      <c r="BP276" s="61" t="s">
        <v>152</v>
      </c>
      <c r="BQ276" s="62">
        <v>73</v>
      </c>
      <c r="BR276" s="39">
        <v>3001</v>
      </c>
      <c r="BS276" s="41" t="s">
        <v>184</v>
      </c>
      <c r="BT276" s="27"/>
      <c r="BU276" s="60"/>
      <c r="BV276" s="45" t="s">
        <v>155</v>
      </c>
      <c r="BW276" s="61" t="s">
        <v>34</v>
      </c>
      <c r="BX276" s="61">
        <v>1</v>
      </c>
      <c r="BY276" s="61" t="s">
        <v>152</v>
      </c>
      <c r="BZ276" s="62">
        <v>73</v>
      </c>
      <c r="CA276" s="39">
        <v>3005</v>
      </c>
      <c r="CB276" s="41" t="s">
        <v>161</v>
      </c>
      <c r="CC276" s="27"/>
      <c r="CD276" s="60"/>
      <c r="CE276" s="45" t="s">
        <v>155</v>
      </c>
      <c r="CF276" s="61" t="s">
        <v>34</v>
      </c>
      <c r="CG276" s="61">
        <v>1</v>
      </c>
      <c r="CH276" s="61" t="s">
        <v>152</v>
      </c>
      <c r="CI276" s="62">
        <v>73</v>
      </c>
      <c r="CJ276" s="39"/>
      <c r="CK276" s="41" t="s">
        <v>182</v>
      </c>
    </row>
    <row r="277" spans="1:89" x14ac:dyDescent="0.25">
      <c r="A277" s="44"/>
      <c r="B277" s="45" t="s">
        <v>155</v>
      </c>
      <c r="C277" s="39" t="s">
        <v>34</v>
      </c>
      <c r="D277" s="39">
        <v>2</v>
      </c>
      <c r="E277" s="39" t="s">
        <v>152</v>
      </c>
      <c r="F277" s="27">
        <v>74</v>
      </c>
      <c r="G277" s="39">
        <v>1049</v>
      </c>
      <c r="H277" s="41" t="s">
        <v>177</v>
      </c>
      <c r="I277" s="27"/>
      <c r="J277" s="44"/>
      <c r="K277" s="45" t="s">
        <v>155</v>
      </c>
      <c r="L277" s="39" t="s">
        <v>34</v>
      </c>
      <c r="M277" s="39">
        <v>2</v>
      </c>
      <c r="N277" s="39" t="s">
        <v>152</v>
      </c>
      <c r="O277" s="27">
        <v>74</v>
      </c>
      <c r="P277" s="39">
        <v>1053</v>
      </c>
      <c r="Q277" s="41" t="s">
        <v>187</v>
      </c>
      <c r="R277" s="27"/>
      <c r="S277" s="44"/>
      <c r="T277" s="45" t="s">
        <v>155</v>
      </c>
      <c r="U277" s="39" t="s">
        <v>34</v>
      </c>
      <c r="V277" s="39">
        <v>2</v>
      </c>
      <c r="W277" s="39" t="s">
        <v>152</v>
      </c>
      <c r="X277" s="27">
        <v>74</v>
      </c>
      <c r="Y277" s="39">
        <v>1058</v>
      </c>
      <c r="Z277" s="46" t="s">
        <v>184</v>
      </c>
      <c r="AA277" s="27"/>
      <c r="AB277" s="44"/>
      <c r="AC277" s="45" t="s">
        <v>155</v>
      </c>
      <c r="AD277" s="39" t="s">
        <v>34</v>
      </c>
      <c r="AE277" s="39">
        <v>2</v>
      </c>
      <c r="AF277" s="39" t="s">
        <v>152</v>
      </c>
      <c r="AG277" s="27">
        <v>74</v>
      </c>
      <c r="AH277" s="39">
        <v>2035</v>
      </c>
      <c r="AI277" s="46" t="s">
        <v>170</v>
      </c>
      <c r="AJ277" s="27"/>
      <c r="AK277" s="44"/>
      <c r="AL277" s="45" t="s">
        <v>155</v>
      </c>
      <c r="AM277" s="39" t="s">
        <v>34</v>
      </c>
      <c r="AN277" s="39">
        <v>2</v>
      </c>
      <c r="AO277" s="39" t="s">
        <v>152</v>
      </c>
      <c r="AP277" s="27">
        <v>74</v>
      </c>
      <c r="AQ277" s="39">
        <v>2039</v>
      </c>
      <c r="AR277" s="46" t="s">
        <v>181</v>
      </c>
      <c r="AS277" s="27"/>
      <c r="AT277" s="44"/>
      <c r="AU277" s="45" t="s">
        <v>155</v>
      </c>
      <c r="AV277" s="39" t="s">
        <v>34</v>
      </c>
      <c r="AW277" s="39">
        <v>2</v>
      </c>
      <c r="AX277" s="39" t="s">
        <v>152</v>
      </c>
      <c r="AY277" s="27">
        <v>74</v>
      </c>
      <c r="AZ277" s="39">
        <v>1049</v>
      </c>
      <c r="BA277" s="41" t="s">
        <v>172</v>
      </c>
      <c r="BB277" s="27"/>
      <c r="BC277" s="44"/>
      <c r="BD277" s="45" t="s">
        <v>155</v>
      </c>
      <c r="BE277" s="39" t="s">
        <v>34</v>
      </c>
      <c r="BF277" s="39">
        <v>2</v>
      </c>
      <c r="BG277" s="39" t="s">
        <v>152</v>
      </c>
      <c r="BH277" s="27">
        <v>74</v>
      </c>
      <c r="BI277" s="39">
        <v>2012</v>
      </c>
      <c r="BJ277" s="41" t="s">
        <v>177</v>
      </c>
      <c r="BK277" s="27"/>
      <c r="BL277" s="44"/>
      <c r="BM277" s="45" t="s">
        <v>155</v>
      </c>
      <c r="BN277" s="39" t="s">
        <v>34</v>
      </c>
      <c r="BO277" s="39">
        <v>2</v>
      </c>
      <c r="BP277" s="39" t="s">
        <v>152</v>
      </c>
      <c r="BQ277" s="27">
        <v>74</v>
      </c>
      <c r="BR277" s="39">
        <v>3001</v>
      </c>
      <c r="BS277" s="46" t="s">
        <v>187</v>
      </c>
      <c r="BT277" s="27"/>
      <c r="BU277" s="44"/>
      <c r="BV277" s="45" t="s">
        <v>155</v>
      </c>
      <c r="BW277" s="39" t="s">
        <v>34</v>
      </c>
      <c r="BX277" s="39">
        <v>2</v>
      </c>
      <c r="BY277" s="39" t="s">
        <v>152</v>
      </c>
      <c r="BZ277" s="27">
        <v>74</v>
      </c>
      <c r="CA277" s="39">
        <v>3005</v>
      </c>
      <c r="CB277" s="46" t="s">
        <v>169</v>
      </c>
      <c r="CC277" s="27"/>
      <c r="CD277" s="44"/>
      <c r="CE277" s="45" t="s">
        <v>155</v>
      </c>
      <c r="CF277" s="39" t="s">
        <v>34</v>
      </c>
      <c r="CG277" s="39">
        <v>2</v>
      </c>
      <c r="CH277" s="39" t="s">
        <v>152</v>
      </c>
      <c r="CI277" s="27">
        <v>74</v>
      </c>
      <c r="CJ277" s="39"/>
      <c r="CK277" s="46" t="s">
        <v>184</v>
      </c>
    </row>
    <row r="278" spans="1:89" x14ac:dyDescent="0.25">
      <c r="A278" s="44"/>
      <c r="B278" s="45" t="s">
        <v>155</v>
      </c>
      <c r="C278" s="39" t="s">
        <v>34</v>
      </c>
      <c r="D278" s="39">
        <v>3</v>
      </c>
      <c r="E278" s="39" t="s">
        <v>152</v>
      </c>
      <c r="F278" s="27">
        <v>75</v>
      </c>
      <c r="G278" s="39">
        <v>1049</v>
      </c>
      <c r="H278" s="41" t="s">
        <v>180</v>
      </c>
      <c r="I278" s="27"/>
      <c r="J278" s="44"/>
      <c r="K278" s="45" t="s">
        <v>155</v>
      </c>
      <c r="L278" s="39" t="s">
        <v>34</v>
      </c>
      <c r="M278" s="39">
        <v>3</v>
      </c>
      <c r="N278" s="39" t="s">
        <v>152</v>
      </c>
      <c r="O278" s="27">
        <v>75</v>
      </c>
      <c r="P278" s="39">
        <v>1053</v>
      </c>
      <c r="Q278" s="41" t="s">
        <v>189</v>
      </c>
      <c r="R278" s="27"/>
      <c r="S278" s="44"/>
      <c r="T278" s="45" t="s">
        <v>155</v>
      </c>
      <c r="U278" s="39" t="s">
        <v>34</v>
      </c>
      <c r="V278" s="39">
        <v>3</v>
      </c>
      <c r="W278" s="39" t="s">
        <v>152</v>
      </c>
      <c r="X278" s="27">
        <v>75</v>
      </c>
      <c r="Y278" s="39">
        <v>1058</v>
      </c>
      <c r="Z278" s="41" t="s">
        <v>187</v>
      </c>
      <c r="AA278" s="27"/>
      <c r="AB278" s="44"/>
      <c r="AC278" s="45" t="s">
        <v>155</v>
      </c>
      <c r="AD278" s="39" t="s">
        <v>34</v>
      </c>
      <c r="AE278" s="39">
        <v>3</v>
      </c>
      <c r="AF278" s="39" t="s">
        <v>152</v>
      </c>
      <c r="AG278" s="27">
        <v>75</v>
      </c>
      <c r="AH278" s="39">
        <v>2035</v>
      </c>
      <c r="AI278" s="41" t="s">
        <v>178</v>
      </c>
      <c r="AJ278" s="27"/>
      <c r="AK278" s="44"/>
      <c r="AL278" s="45" t="s">
        <v>155</v>
      </c>
      <c r="AM278" s="39" t="s">
        <v>34</v>
      </c>
      <c r="AN278" s="39">
        <v>3</v>
      </c>
      <c r="AO278" s="39" t="s">
        <v>152</v>
      </c>
      <c r="AP278" s="27">
        <v>75</v>
      </c>
      <c r="AQ278" s="39">
        <v>2039</v>
      </c>
      <c r="AR278" s="41" t="s">
        <v>183</v>
      </c>
      <c r="AS278" s="27"/>
      <c r="AT278" s="44"/>
      <c r="AU278" s="45" t="s">
        <v>155</v>
      </c>
      <c r="AV278" s="39" t="s">
        <v>34</v>
      </c>
      <c r="AW278" s="39">
        <v>3</v>
      </c>
      <c r="AX278" s="39" t="s">
        <v>152</v>
      </c>
      <c r="AY278" s="27">
        <v>75</v>
      </c>
      <c r="AZ278" s="39">
        <v>1049</v>
      </c>
      <c r="BA278" s="46" t="s">
        <v>162</v>
      </c>
      <c r="BB278" s="27"/>
      <c r="BC278" s="44"/>
      <c r="BD278" s="45" t="s">
        <v>155</v>
      </c>
      <c r="BE278" s="39" t="s">
        <v>34</v>
      </c>
      <c r="BF278" s="39">
        <v>3</v>
      </c>
      <c r="BG278" s="39" t="s">
        <v>152</v>
      </c>
      <c r="BH278" s="27">
        <v>75</v>
      </c>
      <c r="BI278" s="39">
        <v>2012</v>
      </c>
      <c r="BJ278" s="41" t="s">
        <v>180</v>
      </c>
      <c r="BK278" s="27"/>
      <c r="BL278" s="44"/>
      <c r="BM278" s="45" t="s">
        <v>155</v>
      </c>
      <c r="BN278" s="39" t="s">
        <v>34</v>
      </c>
      <c r="BO278" s="39">
        <v>3</v>
      </c>
      <c r="BP278" s="39" t="s">
        <v>152</v>
      </c>
      <c r="BQ278" s="27">
        <v>75</v>
      </c>
      <c r="BR278" s="39">
        <v>3001</v>
      </c>
      <c r="BS278" s="41" t="s">
        <v>189</v>
      </c>
      <c r="BT278" s="27"/>
      <c r="BU278" s="44"/>
      <c r="BV278" s="45" t="s">
        <v>155</v>
      </c>
      <c r="BW278" s="39" t="s">
        <v>34</v>
      </c>
      <c r="BX278" s="39">
        <v>3</v>
      </c>
      <c r="BY278" s="39" t="s">
        <v>152</v>
      </c>
      <c r="BZ278" s="27">
        <v>75</v>
      </c>
      <c r="CA278" s="39">
        <v>3005</v>
      </c>
      <c r="CB278" s="41" t="s">
        <v>177</v>
      </c>
      <c r="CC278" s="27"/>
      <c r="CD278" s="44"/>
      <c r="CE278" s="45" t="s">
        <v>155</v>
      </c>
      <c r="CF278" s="39" t="s">
        <v>34</v>
      </c>
      <c r="CG278" s="39">
        <v>3</v>
      </c>
      <c r="CH278" s="39" t="s">
        <v>152</v>
      </c>
      <c r="CI278" s="27">
        <v>75</v>
      </c>
      <c r="CJ278" s="39"/>
      <c r="CK278" s="41" t="s">
        <v>187</v>
      </c>
    </row>
    <row r="279" spans="1:89" x14ac:dyDescent="0.25">
      <c r="A279" s="44"/>
      <c r="B279" s="45" t="s">
        <v>155</v>
      </c>
      <c r="C279" s="39" t="s">
        <v>34</v>
      </c>
      <c r="D279" s="39">
        <v>4</v>
      </c>
      <c r="E279" s="39" t="s">
        <v>152</v>
      </c>
      <c r="F279" s="27">
        <v>76</v>
      </c>
      <c r="G279" s="39">
        <v>1049</v>
      </c>
      <c r="H279" s="41" t="s">
        <v>181</v>
      </c>
      <c r="I279" s="27"/>
      <c r="J279" s="44"/>
      <c r="K279" s="45" t="s">
        <v>155</v>
      </c>
      <c r="L279" s="39" t="s">
        <v>34</v>
      </c>
      <c r="M279" s="39">
        <v>4</v>
      </c>
      <c r="N279" s="39" t="s">
        <v>152</v>
      </c>
      <c r="O279" s="27">
        <v>76</v>
      </c>
      <c r="P279" s="39">
        <v>1054</v>
      </c>
      <c r="Q279" s="41" t="s">
        <v>160</v>
      </c>
      <c r="R279" s="27"/>
      <c r="S279" s="44"/>
      <c r="T279" s="45" t="s">
        <v>155</v>
      </c>
      <c r="U279" s="39" t="s">
        <v>34</v>
      </c>
      <c r="V279" s="39">
        <v>4</v>
      </c>
      <c r="W279" s="39" t="s">
        <v>152</v>
      </c>
      <c r="X279" s="27">
        <v>76</v>
      </c>
      <c r="Y279" s="39">
        <v>1058</v>
      </c>
      <c r="Z279" s="41" t="s">
        <v>189</v>
      </c>
      <c r="AA279" s="27"/>
      <c r="AB279" s="44"/>
      <c r="AC279" s="45" t="s">
        <v>155</v>
      </c>
      <c r="AD279" s="39" t="s">
        <v>34</v>
      </c>
      <c r="AE279" s="39">
        <v>4</v>
      </c>
      <c r="AF279" s="39" t="s">
        <v>152</v>
      </c>
      <c r="AG279" s="27">
        <v>76</v>
      </c>
      <c r="AH279" s="39">
        <v>2035</v>
      </c>
      <c r="AI279" s="41" t="s">
        <v>163</v>
      </c>
      <c r="AJ279" s="27"/>
      <c r="AK279" s="44"/>
      <c r="AL279" s="45" t="s">
        <v>155</v>
      </c>
      <c r="AM279" s="39" t="s">
        <v>34</v>
      </c>
      <c r="AN279" s="39">
        <v>4</v>
      </c>
      <c r="AO279" s="39" t="s">
        <v>152</v>
      </c>
      <c r="AP279" s="27">
        <v>76</v>
      </c>
      <c r="AQ279" s="39">
        <v>2039</v>
      </c>
      <c r="AR279" s="41" t="s">
        <v>186</v>
      </c>
      <c r="AS279" s="27"/>
      <c r="AT279" s="44"/>
      <c r="AU279" s="45" t="s">
        <v>155</v>
      </c>
      <c r="AV279" s="39" t="s">
        <v>34</v>
      </c>
      <c r="AW279" s="39">
        <v>4</v>
      </c>
      <c r="AX279" s="39" t="s">
        <v>152</v>
      </c>
      <c r="AY279" s="27">
        <v>76</v>
      </c>
      <c r="AZ279" s="39">
        <v>1049</v>
      </c>
      <c r="BA279" s="41" t="s">
        <v>170</v>
      </c>
      <c r="BB279" s="27"/>
      <c r="BC279" s="44"/>
      <c r="BD279" s="45" t="s">
        <v>155</v>
      </c>
      <c r="BE279" s="39" t="s">
        <v>34</v>
      </c>
      <c r="BF279" s="39">
        <v>4</v>
      </c>
      <c r="BG279" s="39" t="s">
        <v>152</v>
      </c>
      <c r="BH279" s="27">
        <v>76</v>
      </c>
      <c r="BI279" s="39">
        <v>2012</v>
      </c>
      <c r="BJ279" s="41" t="s">
        <v>181</v>
      </c>
      <c r="BK279" s="27"/>
      <c r="BL279" s="44"/>
      <c r="BM279" s="45" t="s">
        <v>155</v>
      </c>
      <c r="BN279" s="39" t="s">
        <v>34</v>
      </c>
      <c r="BO279" s="39">
        <v>4</v>
      </c>
      <c r="BP279" s="39" t="s">
        <v>152</v>
      </c>
      <c r="BQ279" s="27">
        <v>76</v>
      </c>
      <c r="BR279" s="39">
        <v>3002</v>
      </c>
      <c r="BS279" s="27" t="s">
        <v>171</v>
      </c>
      <c r="BT279" s="27"/>
      <c r="BU279" s="44"/>
      <c r="BV279" s="45" t="s">
        <v>155</v>
      </c>
      <c r="BW279" s="39" t="s">
        <v>34</v>
      </c>
      <c r="BX279" s="39">
        <v>4</v>
      </c>
      <c r="BY279" s="39" t="s">
        <v>152</v>
      </c>
      <c r="BZ279" s="27">
        <v>76</v>
      </c>
      <c r="CA279" s="39">
        <v>3005</v>
      </c>
      <c r="CB279" s="41" t="s">
        <v>180</v>
      </c>
      <c r="CC279" s="27"/>
      <c r="CD279" s="44"/>
      <c r="CE279" s="45" t="s">
        <v>155</v>
      </c>
      <c r="CF279" s="39" t="s">
        <v>34</v>
      </c>
      <c r="CG279" s="39">
        <v>4</v>
      </c>
      <c r="CH279" s="39" t="s">
        <v>152</v>
      </c>
      <c r="CI279" s="27">
        <v>76</v>
      </c>
      <c r="CJ279" s="39"/>
      <c r="CK279" s="41" t="s">
        <v>189</v>
      </c>
    </row>
    <row r="280" spans="1:89" ht="15.75" thickBot="1" x14ac:dyDescent="0.3">
      <c r="A280" s="44"/>
      <c r="B280" s="45" t="s">
        <v>155</v>
      </c>
      <c r="C280" s="39" t="s">
        <v>34</v>
      </c>
      <c r="D280" s="39">
        <v>5</v>
      </c>
      <c r="E280" s="39" t="s">
        <v>152</v>
      </c>
      <c r="F280" s="27">
        <v>77</v>
      </c>
      <c r="G280" s="39">
        <v>1049</v>
      </c>
      <c r="H280" s="41" t="s">
        <v>183</v>
      </c>
      <c r="I280" s="27"/>
      <c r="J280" s="44"/>
      <c r="K280" s="45" t="s">
        <v>155</v>
      </c>
      <c r="L280" s="39" t="s">
        <v>34</v>
      </c>
      <c r="M280" s="39">
        <v>5</v>
      </c>
      <c r="N280" s="39" t="s">
        <v>152</v>
      </c>
      <c r="O280" s="27">
        <v>77</v>
      </c>
      <c r="P280" s="39">
        <v>1054</v>
      </c>
      <c r="Q280" s="41" t="s">
        <v>168</v>
      </c>
      <c r="R280" s="27"/>
      <c r="S280" s="44"/>
      <c r="T280" s="45" t="s">
        <v>155</v>
      </c>
      <c r="U280" s="39" t="s">
        <v>34</v>
      </c>
      <c r="V280" s="39">
        <v>5</v>
      </c>
      <c r="W280" s="39" t="s">
        <v>152</v>
      </c>
      <c r="X280" s="27">
        <v>77</v>
      </c>
      <c r="Y280" s="39">
        <v>2030</v>
      </c>
      <c r="Z280" s="27" t="s">
        <v>160</v>
      </c>
      <c r="AA280" s="27"/>
      <c r="AB280" s="44"/>
      <c r="AC280" s="45" t="s">
        <v>155</v>
      </c>
      <c r="AD280" s="39" t="s">
        <v>34</v>
      </c>
      <c r="AE280" s="39">
        <v>5</v>
      </c>
      <c r="AF280" s="39" t="s">
        <v>152</v>
      </c>
      <c r="AG280" s="27">
        <v>77</v>
      </c>
      <c r="AH280" s="39">
        <v>2035</v>
      </c>
      <c r="AI280" s="41" t="s">
        <v>171</v>
      </c>
      <c r="AJ280" s="27"/>
      <c r="AK280" s="44"/>
      <c r="AL280" s="45" t="s">
        <v>155</v>
      </c>
      <c r="AM280" s="39" t="s">
        <v>34</v>
      </c>
      <c r="AN280" s="39">
        <v>5</v>
      </c>
      <c r="AO280" s="39" t="s">
        <v>152</v>
      </c>
      <c r="AP280" s="27">
        <v>77</v>
      </c>
      <c r="AQ280" s="39">
        <v>2039</v>
      </c>
      <c r="AR280" s="27" t="s">
        <v>188</v>
      </c>
      <c r="AS280" s="27"/>
      <c r="AT280" s="44"/>
      <c r="AU280" s="45" t="s">
        <v>155</v>
      </c>
      <c r="AV280" s="39" t="s">
        <v>34</v>
      </c>
      <c r="AW280" s="39">
        <v>5</v>
      </c>
      <c r="AX280" s="39" t="s">
        <v>152</v>
      </c>
      <c r="AY280" s="27">
        <v>77</v>
      </c>
      <c r="AZ280" s="39">
        <v>1049</v>
      </c>
      <c r="BA280" s="41" t="s">
        <v>178</v>
      </c>
      <c r="BB280" s="27"/>
      <c r="BC280" s="44"/>
      <c r="BD280" s="45" t="s">
        <v>155</v>
      </c>
      <c r="BE280" s="39" t="s">
        <v>34</v>
      </c>
      <c r="BF280" s="39">
        <v>5</v>
      </c>
      <c r="BG280" s="39" t="s">
        <v>152</v>
      </c>
      <c r="BH280" s="27">
        <v>77</v>
      </c>
      <c r="BI280" s="39">
        <v>2012</v>
      </c>
      <c r="BJ280" s="41" t="s">
        <v>183</v>
      </c>
      <c r="BK280" s="27"/>
      <c r="BL280" s="44"/>
      <c r="BM280" s="45" t="s">
        <v>155</v>
      </c>
      <c r="BN280" s="39" t="s">
        <v>34</v>
      </c>
      <c r="BO280" s="39">
        <v>5</v>
      </c>
      <c r="BP280" s="39" t="s">
        <v>152</v>
      </c>
      <c r="BQ280" s="27">
        <v>77</v>
      </c>
      <c r="BR280" s="39">
        <v>3002</v>
      </c>
      <c r="BS280" s="27" t="s">
        <v>161</v>
      </c>
      <c r="BT280" s="27"/>
      <c r="BU280" s="44"/>
      <c r="BV280" s="45" t="s">
        <v>155</v>
      </c>
      <c r="BW280" s="39" t="s">
        <v>34</v>
      </c>
      <c r="BX280" s="39">
        <v>5</v>
      </c>
      <c r="BY280" s="39" t="s">
        <v>152</v>
      </c>
      <c r="BZ280" s="27">
        <v>77</v>
      </c>
      <c r="CA280" s="39">
        <v>3005</v>
      </c>
      <c r="CB280" s="27" t="s">
        <v>181</v>
      </c>
      <c r="CC280" s="27"/>
      <c r="CD280" s="44"/>
      <c r="CE280" s="45" t="s">
        <v>155</v>
      </c>
      <c r="CF280" s="39" t="s">
        <v>34</v>
      </c>
      <c r="CG280" s="39">
        <v>5</v>
      </c>
      <c r="CH280" s="39" t="s">
        <v>152</v>
      </c>
      <c r="CI280" s="27">
        <v>77</v>
      </c>
      <c r="CJ280" s="39" t="s">
        <v>121</v>
      </c>
      <c r="CK280" s="27" t="s">
        <v>160</v>
      </c>
    </row>
    <row r="281" spans="1:89" x14ac:dyDescent="0.25">
      <c r="A281" s="44"/>
      <c r="B281" s="45" t="s">
        <v>155</v>
      </c>
      <c r="C281" s="39" t="s">
        <v>34</v>
      </c>
      <c r="D281" s="39">
        <v>6</v>
      </c>
      <c r="E281" s="39" t="s">
        <v>152</v>
      </c>
      <c r="F281" s="27">
        <v>78</v>
      </c>
      <c r="G281" s="39">
        <v>1049</v>
      </c>
      <c r="H281" s="41" t="s">
        <v>186</v>
      </c>
      <c r="I281" s="27"/>
      <c r="J281" s="44"/>
      <c r="K281" s="45" t="s">
        <v>155</v>
      </c>
      <c r="L281" s="39" t="s">
        <v>34</v>
      </c>
      <c r="M281" s="39">
        <v>6</v>
      </c>
      <c r="N281" s="39" t="s">
        <v>152</v>
      </c>
      <c r="O281" s="27">
        <v>78</v>
      </c>
      <c r="P281" s="39">
        <v>1054</v>
      </c>
      <c r="Q281" s="41" t="s">
        <v>176</v>
      </c>
      <c r="R281" s="27"/>
      <c r="S281" s="44"/>
      <c r="T281" s="45" t="s">
        <v>155</v>
      </c>
      <c r="U281" s="39" t="s">
        <v>34</v>
      </c>
      <c r="V281" s="39">
        <v>6</v>
      </c>
      <c r="W281" s="39" t="s">
        <v>152</v>
      </c>
      <c r="X281" s="27">
        <v>78</v>
      </c>
      <c r="Y281" s="39">
        <v>2030</v>
      </c>
      <c r="Z281" s="27" t="s">
        <v>168</v>
      </c>
      <c r="AA281" s="27"/>
      <c r="AB281" s="44"/>
      <c r="AC281" s="45" t="s">
        <v>155</v>
      </c>
      <c r="AD281" s="39" t="s">
        <v>34</v>
      </c>
      <c r="AE281" s="39">
        <v>6</v>
      </c>
      <c r="AF281" s="39" t="s">
        <v>152</v>
      </c>
      <c r="AG281" s="27">
        <v>78</v>
      </c>
      <c r="AH281" s="39">
        <v>2035</v>
      </c>
      <c r="AI281" s="41" t="s">
        <v>161</v>
      </c>
      <c r="AJ281" s="27"/>
      <c r="AK281" s="44"/>
      <c r="AL281" s="45" t="s">
        <v>155</v>
      </c>
      <c r="AM281" s="39" t="s">
        <v>34</v>
      </c>
      <c r="AN281" s="39">
        <v>6</v>
      </c>
      <c r="AO281" s="39" t="s">
        <v>152</v>
      </c>
      <c r="AP281" s="27">
        <v>78</v>
      </c>
      <c r="AQ281" s="39">
        <v>2039</v>
      </c>
      <c r="AR281" s="27" t="s">
        <v>182</v>
      </c>
      <c r="AS281" s="27"/>
      <c r="AT281" s="44"/>
      <c r="AU281" s="45" t="s">
        <v>155</v>
      </c>
      <c r="AV281" s="39" t="s">
        <v>34</v>
      </c>
      <c r="AW281" s="39">
        <v>6</v>
      </c>
      <c r="AX281" s="39" t="s">
        <v>152</v>
      </c>
      <c r="AY281" s="27">
        <v>78</v>
      </c>
      <c r="AZ281" s="39">
        <v>1049</v>
      </c>
      <c r="BA281" s="41" t="s">
        <v>163</v>
      </c>
      <c r="BB281" s="27"/>
      <c r="BC281" s="44"/>
      <c r="BD281" s="45" t="s">
        <v>155</v>
      </c>
      <c r="BE281" s="39" t="s">
        <v>34</v>
      </c>
      <c r="BF281" s="39">
        <v>6</v>
      </c>
      <c r="BG281" s="39" t="s">
        <v>152</v>
      </c>
      <c r="BH281" s="27">
        <v>78</v>
      </c>
      <c r="BI281" s="39">
        <v>2012</v>
      </c>
      <c r="BJ281" s="40" t="s">
        <v>186</v>
      </c>
      <c r="BK281" s="27"/>
      <c r="BL281" s="44"/>
      <c r="BM281" s="45" t="s">
        <v>155</v>
      </c>
      <c r="BN281" s="39" t="s">
        <v>34</v>
      </c>
      <c r="BO281" s="39">
        <v>6</v>
      </c>
      <c r="BP281" s="39" t="s">
        <v>152</v>
      </c>
      <c r="BQ281" s="27">
        <v>78</v>
      </c>
      <c r="BR281" s="39">
        <v>3002</v>
      </c>
      <c r="BS281" s="27" t="s">
        <v>169</v>
      </c>
      <c r="BT281" s="27"/>
      <c r="BU281" s="44"/>
      <c r="BV281" s="45" t="s">
        <v>155</v>
      </c>
      <c r="BW281" s="39" t="s">
        <v>34</v>
      </c>
      <c r="BX281" s="39">
        <v>6</v>
      </c>
      <c r="BY281" s="39" t="s">
        <v>152</v>
      </c>
      <c r="BZ281" s="27">
        <v>78</v>
      </c>
      <c r="CA281" s="39">
        <v>3005</v>
      </c>
      <c r="CB281" s="27" t="s">
        <v>183</v>
      </c>
      <c r="CC281" s="27"/>
      <c r="CD281" s="44"/>
      <c r="CE281" s="45" t="s">
        <v>155</v>
      </c>
      <c r="CF281" s="39" t="s">
        <v>34</v>
      </c>
      <c r="CG281" s="39">
        <v>6</v>
      </c>
      <c r="CH281" s="39" t="s">
        <v>152</v>
      </c>
      <c r="CI281" s="27">
        <v>78</v>
      </c>
      <c r="CJ281" s="39"/>
      <c r="CK281" s="27" t="s">
        <v>168</v>
      </c>
    </row>
    <row r="282" spans="1:89" x14ac:dyDescent="0.25">
      <c r="A282" s="44"/>
      <c r="B282" s="45" t="s">
        <v>155</v>
      </c>
      <c r="C282" s="39" t="s">
        <v>34</v>
      </c>
      <c r="D282" s="39">
        <v>7</v>
      </c>
      <c r="E282" s="39" t="s">
        <v>152</v>
      </c>
      <c r="F282" s="27">
        <v>79</v>
      </c>
      <c r="G282" s="39">
        <v>1049</v>
      </c>
      <c r="H282" s="41" t="s">
        <v>188</v>
      </c>
      <c r="I282" s="27"/>
      <c r="J282" s="44"/>
      <c r="K282" s="45" t="s">
        <v>155</v>
      </c>
      <c r="L282" s="39" t="s">
        <v>34</v>
      </c>
      <c r="M282" s="39">
        <v>7</v>
      </c>
      <c r="N282" s="39" t="s">
        <v>152</v>
      </c>
      <c r="O282" s="27">
        <v>79</v>
      </c>
      <c r="P282" s="39">
        <v>1054</v>
      </c>
      <c r="Q282" s="41" t="s">
        <v>164</v>
      </c>
      <c r="R282" s="27"/>
      <c r="S282" s="44"/>
      <c r="T282" s="45" t="s">
        <v>155</v>
      </c>
      <c r="U282" s="39" t="s">
        <v>34</v>
      </c>
      <c r="V282" s="39">
        <v>7</v>
      </c>
      <c r="W282" s="39" t="s">
        <v>152</v>
      </c>
      <c r="X282" s="27">
        <v>79</v>
      </c>
      <c r="Y282" s="39">
        <v>2030</v>
      </c>
      <c r="Z282" s="27" t="s">
        <v>176</v>
      </c>
      <c r="AA282" s="27"/>
      <c r="AB282" s="44"/>
      <c r="AC282" s="45" t="s">
        <v>155</v>
      </c>
      <c r="AD282" s="39" t="s">
        <v>34</v>
      </c>
      <c r="AE282" s="39">
        <v>7</v>
      </c>
      <c r="AF282" s="39" t="s">
        <v>152</v>
      </c>
      <c r="AG282" s="27">
        <v>79</v>
      </c>
      <c r="AH282" s="39">
        <v>2035</v>
      </c>
      <c r="AI282" s="41" t="s">
        <v>169</v>
      </c>
      <c r="AJ282" s="27"/>
      <c r="AK282" s="44"/>
      <c r="AL282" s="45" t="s">
        <v>155</v>
      </c>
      <c r="AM282" s="39" t="s">
        <v>34</v>
      </c>
      <c r="AN282" s="39">
        <v>7</v>
      </c>
      <c r="AO282" s="39" t="s">
        <v>152</v>
      </c>
      <c r="AP282" s="27">
        <v>79</v>
      </c>
      <c r="AQ282" s="39">
        <v>2039</v>
      </c>
      <c r="AR282" s="27" t="s">
        <v>184</v>
      </c>
      <c r="AS282" s="27"/>
      <c r="AT282" s="44"/>
      <c r="AU282" s="45" t="s">
        <v>155</v>
      </c>
      <c r="AV282" s="39" t="s">
        <v>34</v>
      </c>
      <c r="AW282" s="39">
        <v>7</v>
      </c>
      <c r="AX282" s="39" t="s">
        <v>152</v>
      </c>
      <c r="AY282" s="27">
        <v>79</v>
      </c>
      <c r="AZ282" s="39">
        <v>1049</v>
      </c>
      <c r="BA282" s="41" t="s">
        <v>171</v>
      </c>
      <c r="BB282" s="27"/>
      <c r="BC282" s="44"/>
      <c r="BD282" s="45" t="s">
        <v>155</v>
      </c>
      <c r="BE282" s="39" t="s">
        <v>34</v>
      </c>
      <c r="BF282" s="39">
        <v>7</v>
      </c>
      <c r="BG282" s="39" t="s">
        <v>152</v>
      </c>
      <c r="BH282" s="27">
        <v>79</v>
      </c>
      <c r="BI282" s="39">
        <v>2012</v>
      </c>
      <c r="BJ282" s="41" t="s">
        <v>188</v>
      </c>
      <c r="BK282" s="27"/>
      <c r="BL282" s="44"/>
      <c r="BM282" s="45" t="s">
        <v>155</v>
      </c>
      <c r="BN282" s="39" t="s">
        <v>34</v>
      </c>
      <c r="BO282" s="39">
        <v>7</v>
      </c>
      <c r="BP282" s="39" t="s">
        <v>152</v>
      </c>
      <c r="BQ282" s="27">
        <v>79</v>
      </c>
      <c r="BR282" s="39">
        <v>3002</v>
      </c>
      <c r="BS282" s="27" t="s">
        <v>177</v>
      </c>
      <c r="BT282" s="27"/>
      <c r="BU282" s="44"/>
      <c r="BV282" s="45" t="s">
        <v>155</v>
      </c>
      <c r="BW282" s="39" t="s">
        <v>34</v>
      </c>
      <c r="BX282" s="39">
        <v>7</v>
      </c>
      <c r="BY282" s="39" t="s">
        <v>152</v>
      </c>
      <c r="BZ282" s="27">
        <v>79</v>
      </c>
      <c r="CA282" s="39">
        <v>3005</v>
      </c>
      <c r="CB282" s="27" t="s">
        <v>186</v>
      </c>
      <c r="CC282" s="27"/>
      <c r="CD282" s="44"/>
      <c r="CE282" s="45" t="s">
        <v>155</v>
      </c>
      <c r="CF282" s="39" t="s">
        <v>34</v>
      </c>
      <c r="CG282" s="39">
        <v>7</v>
      </c>
      <c r="CH282" s="39" t="s">
        <v>152</v>
      </c>
      <c r="CI282" s="27">
        <v>79</v>
      </c>
      <c r="CJ282" s="39"/>
      <c r="CK282" s="27" t="s">
        <v>176</v>
      </c>
    </row>
    <row r="283" spans="1:89" x14ac:dyDescent="0.25">
      <c r="A283" s="44"/>
      <c r="B283" s="45" t="s">
        <v>155</v>
      </c>
      <c r="C283" s="39" t="s">
        <v>34</v>
      </c>
      <c r="D283" s="39">
        <v>8</v>
      </c>
      <c r="E283" s="39" t="s">
        <v>152</v>
      </c>
      <c r="F283" s="27">
        <v>80</v>
      </c>
      <c r="G283" s="39">
        <v>1049</v>
      </c>
      <c r="H283" s="41" t="s">
        <v>182</v>
      </c>
      <c r="I283" s="27"/>
      <c r="J283" s="44"/>
      <c r="K283" s="45" t="s">
        <v>155</v>
      </c>
      <c r="L283" s="39" t="s">
        <v>34</v>
      </c>
      <c r="M283" s="39">
        <v>8</v>
      </c>
      <c r="N283" s="39" t="s">
        <v>152</v>
      </c>
      <c r="O283" s="27">
        <v>80</v>
      </c>
      <c r="P283" s="39">
        <v>1054</v>
      </c>
      <c r="Q283" s="41" t="s">
        <v>172</v>
      </c>
      <c r="R283" s="27"/>
      <c r="S283" s="44"/>
      <c r="T283" s="45" t="s">
        <v>155</v>
      </c>
      <c r="U283" s="39" t="s">
        <v>34</v>
      </c>
      <c r="V283" s="39">
        <v>8</v>
      </c>
      <c r="W283" s="39" t="s">
        <v>152</v>
      </c>
      <c r="X283" s="27">
        <v>80</v>
      </c>
      <c r="Y283" s="39">
        <v>2030</v>
      </c>
      <c r="Z283" s="27" t="s">
        <v>164</v>
      </c>
      <c r="AA283" s="27"/>
      <c r="AB283" s="44"/>
      <c r="AC283" s="45" t="s">
        <v>155</v>
      </c>
      <c r="AD283" s="39" t="s">
        <v>34</v>
      </c>
      <c r="AE283" s="39">
        <v>8</v>
      </c>
      <c r="AF283" s="39" t="s">
        <v>152</v>
      </c>
      <c r="AG283" s="27">
        <v>80</v>
      </c>
      <c r="AH283" s="39">
        <v>2035</v>
      </c>
      <c r="AI283" s="41" t="s">
        <v>177</v>
      </c>
      <c r="AJ283" s="27"/>
      <c r="AK283" s="44"/>
      <c r="AL283" s="45" t="s">
        <v>155</v>
      </c>
      <c r="AM283" s="39" t="s">
        <v>34</v>
      </c>
      <c r="AN283" s="39">
        <v>8</v>
      </c>
      <c r="AO283" s="39" t="s">
        <v>152</v>
      </c>
      <c r="AP283" s="27">
        <v>80</v>
      </c>
      <c r="AQ283" s="39">
        <v>2039</v>
      </c>
      <c r="AR283" s="27" t="s">
        <v>187</v>
      </c>
      <c r="AS283" s="27"/>
      <c r="AT283" s="44"/>
      <c r="AU283" s="45" t="s">
        <v>155</v>
      </c>
      <c r="AV283" s="39" t="s">
        <v>34</v>
      </c>
      <c r="AW283" s="39">
        <v>8</v>
      </c>
      <c r="AX283" s="39" t="s">
        <v>152</v>
      </c>
      <c r="AY283" s="27">
        <v>80</v>
      </c>
      <c r="AZ283" s="39">
        <v>1049</v>
      </c>
      <c r="BA283" s="41" t="s">
        <v>161</v>
      </c>
      <c r="BB283" s="27"/>
      <c r="BC283" s="44"/>
      <c r="BD283" s="45" t="s">
        <v>155</v>
      </c>
      <c r="BE283" s="39" t="s">
        <v>34</v>
      </c>
      <c r="BF283" s="39">
        <v>8</v>
      </c>
      <c r="BG283" s="39" t="s">
        <v>152</v>
      </c>
      <c r="BH283" s="27">
        <v>80</v>
      </c>
      <c r="BI283" s="39">
        <v>2012</v>
      </c>
      <c r="BJ283" s="41" t="s">
        <v>182</v>
      </c>
      <c r="BK283" s="27"/>
      <c r="BL283" s="44"/>
      <c r="BM283" s="45" t="s">
        <v>155</v>
      </c>
      <c r="BN283" s="39" t="s">
        <v>34</v>
      </c>
      <c r="BO283" s="39">
        <v>8</v>
      </c>
      <c r="BP283" s="39" t="s">
        <v>152</v>
      </c>
      <c r="BQ283" s="27">
        <v>80</v>
      </c>
      <c r="BR283" s="39">
        <v>3002</v>
      </c>
      <c r="BS283" s="27" t="s">
        <v>180</v>
      </c>
      <c r="BT283" s="27"/>
      <c r="BU283" s="44"/>
      <c r="BV283" s="45" t="s">
        <v>155</v>
      </c>
      <c r="BW283" s="39" t="s">
        <v>34</v>
      </c>
      <c r="BX283" s="39">
        <v>8</v>
      </c>
      <c r="BY283" s="39" t="s">
        <v>152</v>
      </c>
      <c r="BZ283" s="27">
        <v>80</v>
      </c>
      <c r="CA283" s="39">
        <v>3005</v>
      </c>
      <c r="CB283" s="27" t="s">
        <v>188</v>
      </c>
      <c r="CC283" s="27"/>
      <c r="CD283" s="44"/>
      <c r="CE283" s="45" t="s">
        <v>155</v>
      </c>
      <c r="CF283" s="39" t="s">
        <v>34</v>
      </c>
      <c r="CG283" s="39">
        <v>8</v>
      </c>
      <c r="CH283" s="39" t="s">
        <v>152</v>
      </c>
      <c r="CI283" s="27">
        <v>80</v>
      </c>
      <c r="CJ283" s="39"/>
      <c r="CK283" s="27" t="s">
        <v>164</v>
      </c>
    </row>
    <row r="284" spans="1:89" x14ac:dyDescent="0.25">
      <c r="A284" s="44"/>
      <c r="B284" s="45" t="s">
        <v>155</v>
      </c>
      <c r="C284" s="39" t="s">
        <v>34</v>
      </c>
      <c r="D284" s="39">
        <v>9</v>
      </c>
      <c r="E284" s="39" t="s">
        <v>152</v>
      </c>
      <c r="F284" s="27">
        <v>81</v>
      </c>
      <c r="G284" s="39">
        <v>1049</v>
      </c>
      <c r="H284" s="46" t="s">
        <v>184</v>
      </c>
      <c r="I284" s="27"/>
      <c r="J284" s="44"/>
      <c r="K284" s="45" t="s">
        <v>155</v>
      </c>
      <c r="L284" s="39" t="s">
        <v>34</v>
      </c>
      <c r="M284" s="39">
        <v>9</v>
      </c>
      <c r="N284" s="39" t="s">
        <v>152</v>
      </c>
      <c r="O284" s="27">
        <v>81</v>
      </c>
      <c r="P284" s="39">
        <v>1054</v>
      </c>
      <c r="Q284" s="41" t="s">
        <v>162</v>
      </c>
      <c r="R284" s="27"/>
      <c r="S284" s="44"/>
      <c r="T284" s="45" t="s">
        <v>155</v>
      </c>
      <c r="U284" s="39" t="s">
        <v>34</v>
      </c>
      <c r="V284" s="39">
        <v>9</v>
      </c>
      <c r="W284" s="39" t="s">
        <v>152</v>
      </c>
      <c r="X284" s="27">
        <v>81</v>
      </c>
      <c r="Y284" s="39">
        <v>2030</v>
      </c>
      <c r="Z284" s="27" t="s">
        <v>172</v>
      </c>
      <c r="AA284" s="27"/>
      <c r="AB284" s="44"/>
      <c r="AC284" s="45" t="s">
        <v>155</v>
      </c>
      <c r="AD284" s="39" t="s">
        <v>34</v>
      </c>
      <c r="AE284" s="39">
        <v>9</v>
      </c>
      <c r="AF284" s="39" t="s">
        <v>152</v>
      </c>
      <c r="AG284" s="27">
        <v>81</v>
      </c>
      <c r="AH284" s="39">
        <v>2035</v>
      </c>
      <c r="AI284" s="41" t="s">
        <v>180</v>
      </c>
      <c r="AJ284" s="27"/>
      <c r="AK284" s="44"/>
      <c r="AL284" s="45" t="s">
        <v>155</v>
      </c>
      <c r="AM284" s="39" t="s">
        <v>34</v>
      </c>
      <c r="AN284" s="39">
        <v>9</v>
      </c>
      <c r="AO284" s="39" t="s">
        <v>152</v>
      </c>
      <c r="AP284" s="27">
        <v>81</v>
      </c>
      <c r="AQ284" s="39">
        <v>2039</v>
      </c>
      <c r="AR284" s="27" t="s">
        <v>189</v>
      </c>
      <c r="AS284" s="27"/>
      <c r="AT284" s="44"/>
      <c r="AU284" s="45" t="s">
        <v>155</v>
      </c>
      <c r="AV284" s="39" t="s">
        <v>34</v>
      </c>
      <c r="AW284" s="39">
        <v>9</v>
      </c>
      <c r="AX284" s="39" t="s">
        <v>152</v>
      </c>
      <c r="AY284" s="27">
        <v>81</v>
      </c>
      <c r="AZ284" s="39">
        <v>1049</v>
      </c>
      <c r="BA284" s="41" t="s">
        <v>169</v>
      </c>
      <c r="BB284" s="27"/>
      <c r="BC284" s="44"/>
      <c r="BD284" s="45" t="s">
        <v>155</v>
      </c>
      <c r="BE284" s="39" t="s">
        <v>34</v>
      </c>
      <c r="BF284" s="39">
        <v>9</v>
      </c>
      <c r="BG284" s="39" t="s">
        <v>152</v>
      </c>
      <c r="BH284" s="27">
        <v>81</v>
      </c>
      <c r="BI284" s="39">
        <v>2012</v>
      </c>
      <c r="BJ284" s="41" t="s">
        <v>184</v>
      </c>
      <c r="BK284" s="27"/>
      <c r="BL284" s="44"/>
      <c r="BM284" s="45" t="s">
        <v>155</v>
      </c>
      <c r="BN284" s="39" t="s">
        <v>34</v>
      </c>
      <c r="BO284" s="39">
        <v>9</v>
      </c>
      <c r="BP284" s="39" t="s">
        <v>152</v>
      </c>
      <c r="BQ284" s="27">
        <v>81</v>
      </c>
      <c r="BR284" s="39">
        <v>3002</v>
      </c>
      <c r="BS284" s="41" t="s">
        <v>181</v>
      </c>
      <c r="BT284" s="27"/>
      <c r="BU284" s="44"/>
      <c r="BV284" s="45" t="s">
        <v>155</v>
      </c>
      <c r="BW284" s="39" t="s">
        <v>34</v>
      </c>
      <c r="BX284" s="39">
        <v>9</v>
      </c>
      <c r="BY284" s="39" t="s">
        <v>152</v>
      </c>
      <c r="BZ284" s="27">
        <v>81</v>
      </c>
      <c r="CA284" s="39">
        <v>3005</v>
      </c>
      <c r="CB284" s="27" t="s">
        <v>182</v>
      </c>
      <c r="CC284" s="27"/>
      <c r="CD284" s="44"/>
      <c r="CE284" s="45" t="s">
        <v>155</v>
      </c>
      <c r="CF284" s="39" t="s">
        <v>34</v>
      </c>
      <c r="CG284" s="39">
        <v>9</v>
      </c>
      <c r="CH284" s="39" t="s">
        <v>152</v>
      </c>
      <c r="CI284" s="27">
        <v>81</v>
      </c>
      <c r="CJ284" s="39"/>
      <c r="CK284" s="27" t="s">
        <v>172</v>
      </c>
    </row>
    <row r="285" spans="1:89" x14ac:dyDescent="0.25">
      <c r="A285" s="44"/>
      <c r="B285" s="45" t="s">
        <v>155</v>
      </c>
      <c r="C285" s="39" t="s">
        <v>34</v>
      </c>
      <c r="D285" s="39">
        <v>10</v>
      </c>
      <c r="E285" s="39" t="s">
        <v>152</v>
      </c>
      <c r="F285" s="27">
        <v>82</v>
      </c>
      <c r="G285" s="39">
        <v>1049</v>
      </c>
      <c r="H285" s="41" t="s">
        <v>187</v>
      </c>
      <c r="I285" s="27"/>
      <c r="J285" s="44"/>
      <c r="K285" s="45" t="s">
        <v>155</v>
      </c>
      <c r="L285" s="39" t="s">
        <v>34</v>
      </c>
      <c r="M285" s="39">
        <v>10</v>
      </c>
      <c r="N285" s="39" t="s">
        <v>152</v>
      </c>
      <c r="O285" s="27">
        <v>82</v>
      </c>
      <c r="P285" s="39">
        <v>1054</v>
      </c>
      <c r="Q285" s="41" t="s">
        <v>170</v>
      </c>
      <c r="R285" s="27"/>
      <c r="S285" s="44"/>
      <c r="T285" s="45" t="s">
        <v>155</v>
      </c>
      <c r="U285" s="39" t="s">
        <v>34</v>
      </c>
      <c r="V285" s="39">
        <v>10</v>
      </c>
      <c r="W285" s="39" t="s">
        <v>152</v>
      </c>
      <c r="X285" s="27">
        <v>82</v>
      </c>
      <c r="Y285" s="39">
        <v>2030</v>
      </c>
      <c r="Z285" s="27" t="s">
        <v>162</v>
      </c>
      <c r="AA285" s="27"/>
      <c r="AB285" s="44"/>
      <c r="AC285" s="45" t="s">
        <v>155</v>
      </c>
      <c r="AD285" s="39" t="s">
        <v>34</v>
      </c>
      <c r="AE285" s="39">
        <v>10</v>
      </c>
      <c r="AF285" s="39" t="s">
        <v>152</v>
      </c>
      <c r="AG285" s="27">
        <v>82</v>
      </c>
      <c r="AH285" s="39">
        <v>2035</v>
      </c>
      <c r="AI285" s="41" t="s">
        <v>181</v>
      </c>
      <c r="AJ285" s="27"/>
      <c r="AK285" s="44"/>
      <c r="AL285" s="45" t="s">
        <v>155</v>
      </c>
      <c r="AM285" s="39" t="s">
        <v>34</v>
      </c>
      <c r="AN285" s="39">
        <v>10</v>
      </c>
      <c r="AO285" s="39" t="s">
        <v>152</v>
      </c>
      <c r="AP285" s="27">
        <v>82</v>
      </c>
      <c r="AQ285" s="39" t="s">
        <v>98</v>
      </c>
      <c r="AR285" s="41" t="s">
        <v>160</v>
      </c>
      <c r="AS285" s="27"/>
      <c r="AT285" s="44"/>
      <c r="AU285" s="45" t="s">
        <v>155</v>
      </c>
      <c r="AV285" s="39" t="s">
        <v>34</v>
      </c>
      <c r="AW285" s="39">
        <v>10</v>
      </c>
      <c r="AX285" s="39" t="s">
        <v>152</v>
      </c>
      <c r="AY285" s="27">
        <v>82</v>
      </c>
      <c r="AZ285" s="39">
        <v>1049</v>
      </c>
      <c r="BA285" s="41" t="s">
        <v>177</v>
      </c>
      <c r="BB285" s="27"/>
      <c r="BC285" s="44"/>
      <c r="BD285" s="45" t="s">
        <v>155</v>
      </c>
      <c r="BE285" s="39" t="s">
        <v>34</v>
      </c>
      <c r="BF285" s="39">
        <v>10</v>
      </c>
      <c r="BG285" s="39" t="s">
        <v>152</v>
      </c>
      <c r="BH285" s="27">
        <v>82</v>
      </c>
      <c r="BI285" s="39">
        <v>2012</v>
      </c>
      <c r="BJ285" s="41" t="s">
        <v>187</v>
      </c>
      <c r="BK285" s="27"/>
      <c r="BL285" s="44"/>
      <c r="BM285" s="45" t="s">
        <v>155</v>
      </c>
      <c r="BN285" s="39" t="s">
        <v>34</v>
      </c>
      <c r="BO285" s="39">
        <v>10</v>
      </c>
      <c r="BP285" s="39" t="s">
        <v>152</v>
      </c>
      <c r="BQ285" s="27">
        <v>82</v>
      </c>
      <c r="BR285" s="39">
        <v>3002</v>
      </c>
      <c r="BS285" s="41" t="s">
        <v>183</v>
      </c>
      <c r="BT285" s="27"/>
      <c r="BU285" s="44"/>
      <c r="BV285" s="45" t="s">
        <v>155</v>
      </c>
      <c r="BW285" s="39" t="s">
        <v>34</v>
      </c>
      <c r="BX285" s="39">
        <v>10</v>
      </c>
      <c r="BY285" s="39" t="s">
        <v>152</v>
      </c>
      <c r="BZ285" s="27">
        <v>82</v>
      </c>
      <c r="CA285" s="39">
        <v>3005</v>
      </c>
      <c r="CB285" s="27" t="s">
        <v>184</v>
      </c>
      <c r="CC285" s="27"/>
      <c r="CD285" s="44"/>
      <c r="CE285" s="45" t="s">
        <v>155</v>
      </c>
      <c r="CF285" s="39" t="s">
        <v>34</v>
      </c>
      <c r="CG285" s="39">
        <v>10</v>
      </c>
      <c r="CH285" s="39" t="s">
        <v>152</v>
      </c>
      <c r="CI285" s="27">
        <v>82</v>
      </c>
      <c r="CJ285" s="39"/>
      <c r="CK285" s="27" t="s">
        <v>162</v>
      </c>
    </row>
    <row r="286" spans="1:89" ht="15.75" thickBot="1" x14ac:dyDescent="0.3">
      <c r="A286" s="44"/>
      <c r="B286" s="45" t="s">
        <v>155</v>
      </c>
      <c r="C286" s="39" t="s">
        <v>34</v>
      </c>
      <c r="D286" s="39">
        <v>11</v>
      </c>
      <c r="E286" s="39" t="s">
        <v>152</v>
      </c>
      <c r="F286" s="27">
        <v>83</v>
      </c>
      <c r="G286" s="39">
        <v>1049</v>
      </c>
      <c r="H286" s="41" t="s">
        <v>189</v>
      </c>
      <c r="I286" s="27"/>
      <c r="J286" s="44"/>
      <c r="K286" s="45" t="s">
        <v>155</v>
      </c>
      <c r="L286" s="39" t="s">
        <v>34</v>
      </c>
      <c r="M286" s="39">
        <v>11</v>
      </c>
      <c r="N286" s="39" t="s">
        <v>152</v>
      </c>
      <c r="O286" s="27">
        <v>83</v>
      </c>
      <c r="P286" s="39">
        <v>1054</v>
      </c>
      <c r="Q286" s="41" t="s">
        <v>178</v>
      </c>
      <c r="R286" s="27"/>
      <c r="S286" s="44"/>
      <c r="T286" s="45" t="s">
        <v>155</v>
      </c>
      <c r="U286" s="39" t="s">
        <v>34</v>
      </c>
      <c r="V286" s="39">
        <v>11</v>
      </c>
      <c r="W286" s="39" t="s">
        <v>152</v>
      </c>
      <c r="X286" s="27">
        <v>83</v>
      </c>
      <c r="Y286" s="39">
        <v>2030</v>
      </c>
      <c r="Z286" s="27" t="s">
        <v>170</v>
      </c>
      <c r="AA286" s="27"/>
      <c r="AB286" s="44"/>
      <c r="AC286" s="45" t="s">
        <v>155</v>
      </c>
      <c r="AD286" s="39" t="s">
        <v>34</v>
      </c>
      <c r="AE286" s="39">
        <v>11</v>
      </c>
      <c r="AF286" s="39" t="s">
        <v>152</v>
      </c>
      <c r="AG286" s="27">
        <v>83</v>
      </c>
      <c r="AH286" s="39">
        <v>2035</v>
      </c>
      <c r="AI286" s="41" t="s">
        <v>183</v>
      </c>
      <c r="AJ286" s="27"/>
      <c r="AK286" s="44"/>
      <c r="AL286" s="45" t="s">
        <v>155</v>
      </c>
      <c r="AM286" s="39" t="s">
        <v>34</v>
      </c>
      <c r="AN286" s="39">
        <v>11</v>
      </c>
      <c r="AO286" s="39" t="s">
        <v>152</v>
      </c>
      <c r="AP286" s="27">
        <v>83</v>
      </c>
      <c r="AQ286" s="39" t="s">
        <v>98</v>
      </c>
      <c r="AR286" s="41" t="s">
        <v>168</v>
      </c>
      <c r="AS286" s="27"/>
      <c r="AT286" s="44"/>
      <c r="AU286" s="45" t="s">
        <v>155</v>
      </c>
      <c r="AV286" s="39" t="s">
        <v>34</v>
      </c>
      <c r="AW286" s="39">
        <v>11</v>
      </c>
      <c r="AX286" s="39" t="s">
        <v>152</v>
      </c>
      <c r="AY286" s="27">
        <v>83</v>
      </c>
      <c r="AZ286" s="39">
        <v>1049</v>
      </c>
      <c r="BA286" s="41" t="s">
        <v>180</v>
      </c>
      <c r="BB286" s="27"/>
      <c r="BC286" s="44"/>
      <c r="BD286" s="45" t="s">
        <v>155</v>
      </c>
      <c r="BE286" s="39" t="s">
        <v>34</v>
      </c>
      <c r="BF286" s="39">
        <v>11</v>
      </c>
      <c r="BG286" s="39" t="s">
        <v>152</v>
      </c>
      <c r="BH286" s="27">
        <v>83</v>
      </c>
      <c r="BI286" s="39">
        <v>2012</v>
      </c>
      <c r="BJ286" s="41" t="s">
        <v>189</v>
      </c>
      <c r="BK286" s="27"/>
      <c r="BL286" s="44"/>
      <c r="BM286" s="45" t="s">
        <v>155</v>
      </c>
      <c r="BN286" s="39" t="s">
        <v>34</v>
      </c>
      <c r="BO286" s="39">
        <v>11</v>
      </c>
      <c r="BP286" s="39" t="s">
        <v>152</v>
      </c>
      <c r="BQ286" s="27">
        <v>83</v>
      </c>
      <c r="BR286" s="39">
        <v>3002</v>
      </c>
      <c r="BS286" s="41" t="s">
        <v>186</v>
      </c>
      <c r="BT286" s="27"/>
      <c r="BU286" s="44"/>
      <c r="BV286" s="45" t="s">
        <v>155</v>
      </c>
      <c r="BW286" s="39" t="s">
        <v>34</v>
      </c>
      <c r="BX286" s="39">
        <v>11</v>
      </c>
      <c r="BY286" s="39" t="s">
        <v>152</v>
      </c>
      <c r="BZ286" s="27">
        <v>83</v>
      </c>
      <c r="CA286" s="39">
        <v>3005</v>
      </c>
      <c r="CB286" s="27" t="s">
        <v>187</v>
      </c>
      <c r="CC286" s="27"/>
      <c r="CD286" s="44"/>
      <c r="CE286" s="45" t="s">
        <v>155</v>
      </c>
      <c r="CF286" s="39" t="s">
        <v>34</v>
      </c>
      <c r="CG286" s="39">
        <v>11</v>
      </c>
      <c r="CH286" s="39" t="s">
        <v>152</v>
      </c>
      <c r="CI286" s="27">
        <v>83</v>
      </c>
      <c r="CJ286" s="39"/>
      <c r="CK286" s="27" t="s">
        <v>170</v>
      </c>
    </row>
    <row r="287" spans="1:89" ht="15.75" thickBot="1" x14ac:dyDescent="0.3">
      <c r="A287" s="52"/>
      <c r="B287" s="53" t="s">
        <v>155</v>
      </c>
      <c r="C287" s="54" t="s">
        <v>34</v>
      </c>
      <c r="D287" s="54">
        <v>12</v>
      </c>
      <c r="E287" s="54" t="s">
        <v>152</v>
      </c>
      <c r="F287" s="55">
        <v>84</v>
      </c>
      <c r="G287" s="39">
        <v>1050</v>
      </c>
      <c r="H287" s="41" t="s">
        <v>160</v>
      </c>
      <c r="I287" s="27"/>
      <c r="J287" s="52"/>
      <c r="K287" s="53" t="s">
        <v>155</v>
      </c>
      <c r="L287" s="54" t="s">
        <v>34</v>
      </c>
      <c r="M287" s="54">
        <v>12</v>
      </c>
      <c r="N287" s="54" t="s">
        <v>152</v>
      </c>
      <c r="O287" s="55">
        <v>84</v>
      </c>
      <c r="P287" s="39">
        <v>1054</v>
      </c>
      <c r="Q287" s="40" t="s">
        <v>163</v>
      </c>
      <c r="R287" s="27"/>
      <c r="S287" s="52"/>
      <c r="T287" s="53" t="s">
        <v>155</v>
      </c>
      <c r="U287" s="54" t="s">
        <v>34</v>
      </c>
      <c r="V287" s="54">
        <v>12</v>
      </c>
      <c r="W287" s="54" t="s">
        <v>152</v>
      </c>
      <c r="X287" s="55">
        <v>84</v>
      </c>
      <c r="Y287" s="39">
        <v>2030</v>
      </c>
      <c r="Z287" s="27" t="s">
        <v>178</v>
      </c>
      <c r="AA287" s="27"/>
      <c r="AB287" s="52"/>
      <c r="AC287" s="53" t="s">
        <v>155</v>
      </c>
      <c r="AD287" s="54" t="s">
        <v>34</v>
      </c>
      <c r="AE287" s="54">
        <v>12</v>
      </c>
      <c r="AF287" s="54" t="s">
        <v>152</v>
      </c>
      <c r="AG287" s="55">
        <v>84</v>
      </c>
      <c r="AH287" s="39">
        <v>2035</v>
      </c>
      <c r="AI287" s="41" t="s">
        <v>186</v>
      </c>
      <c r="AJ287" s="27"/>
      <c r="AK287" s="52"/>
      <c r="AL287" s="53" t="s">
        <v>155</v>
      </c>
      <c r="AM287" s="54" t="s">
        <v>34</v>
      </c>
      <c r="AN287" s="54">
        <v>12</v>
      </c>
      <c r="AO287" s="54" t="s">
        <v>152</v>
      </c>
      <c r="AP287" s="55">
        <v>84</v>
      </c>
      <c r="AQ287" s="39" t="s">
        <v>98</v>
      </c>
      <c r="AR287" s="41" t="s">
        <v>176</v>
      </c>
      <c r="AS287" s="27"/>
      <c r="AT287" s="52"/>
      <c r="AU287" s="53" t="s">
        <v>155</v>
      </c>
      <c r="AV287" s="54" t="s">
        <v>34</v>
      </c>
      <c r="AW287" s="54">
        <v>12</v>
      </c>
      <c r="AX287" s="54" t="s">
        <v>152</v>
      </c>
      <c r="AY287" s="55">
        <v>84</v>
      </c>
      <c r="AZ287" s="39">
        <v>1049</v>
      </c>
      <c r="BA287" s="41" t="s">
        <v>181</v>
      </c>
      <c r="BB287" s="27"/>
      <c r="BC287" s="52"/>
      <c r="BD287" s="53" t="s">
        <v>155</v>
      </c>
      <c r="BE287" s="54" t="s">
        <v>34</v>
      </c>
      <c r="BF287" s="54">
        <v>12</v>
      </c>
      <c r="BG287" s="54" t="s">
        <v>152</v>
      </c>
      <c r="BH287" s="55">
        <v>84</v>
      </c>
      <c r="BI287" s="39">
        <v>1017</v>
      </c>
      <c r="BJ287" s="41" t="s">
        <v>160</v>
      </c>
      <c r="BK287" s="27"/>
      <c r="BL287" s="52"/>
      <c r="BM287" s="53" t="s">
        <v>155</v>
      </c>
      <c r="BN287" s="54" t="s">
        <v>34</v>
      </c>
      <c r="BO287" s="54">
        <v>12</v>
      </c>
      <c r="BP287" s="54" t="s">
        <v>152</v>
      </c>
      <c r="BQ287" s="55">
        <v>84</v>
      </c>
      <c r="BR287" s="39">
        <v>3002</v>
      </c>
      <c r="BS287" s="41" t="s">
        <v>188</v>
      </c>
      <c r="BT287" s="27"/>
      <c r="BU287" s="52"/>
      <c r="BV287" s="53" t="s">
        <v>155</v>
      </c>
      <c r="BW287" s="54" t="s">
        <v>34</v>
      </c>
      <c r="BX287" s="54">
        <v>12</v>
      </c>
      <c r="BY287" s="54" t="s">
        <v>152</v>
      </c>
      <c r="BZ287" s="55">
        <v>84</v>
      </c>
      <c r="CA287" s="39">
        <v>3005</v>
      </c>
      <c r="CB287" s="27" t="s">
        <v>189</v>
      </c>
      <c r="CC287" s="27"/>
      <c r="CD287" s="52"/>
      <c r="CE287" s="53" t="s">
        <v>155</v>
      </c>
      <c r="CF287" s="54" t="s">
        <v>34</v>
      </c>
      <c r="CG287" s="54">
        <v>12</v>
      </c>
      <c r="CH287" s="54" t="s">
        <v>152</v>
      </c>
      <c r="CI287" s="55">
        <v>84</v>
      </c>
      <c r="CJ287" s="39"/>
      <c r="CK287" s="27" t="s">
        <v>178</v>
      </c>
    </row>
    <row r="288" spans="1:89" ht="15.75" thickBot="1" x14ac:dyDescent="0.3">
      <c r="A288" s="60"/>
      <c r="B288" s="45" t="s">
        <v>155</v>
      </c>
      <c r="C288" s="61" t="s">
        <v>39</v>
      </c>
      <c r="D288" s="61">
        <v>1</v>
      </c>
      <c r="E288" s="61" t="s">
        <v>152</v>
      </c>
      <c r="F288" s="62">
        <v>85</v>
      </c>
      <c r="G288" s="39">
        <v>1050</v>
      </c>
      <c r="H288" s="41" t="s">
        <v>168</v>
      </c>
      <c r="I288" s="27"/>
      <c r="J288" s="60"/>
      <c r="K288" s="45" t="s">
        <v>155</v>
      </c>
      <c r="L288" s="61" t="s">
        <v>39</v>
      </c>
      <c r="M288" s="61">
        <v>1</v>
      </c>
      <c r="N288" s="61" t="s">
        <v>152</v>
      </c>
      <c r="O288" s="62">
        <v>85</v>
      </c>
      <c r="P288" s="39">
        <v>1054</v>
      </c>
      <c r="Q288" s="41" t="s">
        <v>171</v>
      </c>
      <c r="R288" s="27"/>
      <c r="S288" s="60"/>
      <c r="T288" s="45" t="s">
        <v>155</v>
      </c>
      <c r="U288" s="61" t="s">
        <v>39</v>
      </c>
      <c r="V288" s="61">
        <v>1</v>
      </c>
      <c r="W288" s="61" t="s">
        <v>152</v>
      </c>
      <c r="X288" s="62">
        <v>85</v>
      </c>
      <c r="Y288" s="39">
        <v>2030</v>
      </c>
      <c r="Z288" s="27" t="s">
        <v>163</v>
      </c>
      <c r="AA288" s="27"/>
      <c r="AB288" s="60"/>
      <c r="AC288" s="45" t="s">
        <v>155</v>
      </c>
      <c r="AD288" s="61" t="s">
        <v>39</v>
      </c>
      <c r="AE288" s="61">
        <v>1</v>
      </c>
      <c r="AF288" s="61" t="s">
        <v>152</v>
      </c>
      <c r="AG288" s="62">
        <v>85</v>
      </c>
      <c r="AH288" s="39">
        <v>2035</v>
      </c>
      <c r="AI288" s="40" t="s">
        <v>188</v>
      </c>
      <c r="AJ288" s="27"/>
      <c r="AK288" s="60"/>
      <c r="AL288" s="45" t="s">
        <v>155</v>
      </c>
      <c r="AM288" s="61" t="s">
        <v>39</v>
      </c>
      <c r="AN288" s="61">
        <v>1</v>
      </c>
      <c r="AO288" s="61" t="s">
        <v>152</v>
      </c>
      <c r="AP288" s="62">
        <v>85</v>
      </c>
      <c r="AQ288" s="39" t="s">
        <v>98</v>
      </c>
      <c r="AR288" s="40" t="s">
        <v>164</v>
      </c>
      <c r="AS288" s="27"/>
      <c r="AT288" s="60"/>
      <c r="AU288" s="45" t="s">
        <v>155</v>
      </c>
      <c r="AV288" s="61" t="s">
        <v>39</v>
      </c>
      <c r="AW288" s="61">
        <v>1</v>
      </c>
      <c r="AX288" s="61" t="s">
        <v>152</v>
      </c>
      <c r="AY288" s="62">
        <v>85</v>
      </c>
      <c r="AZ288" s="39">
        <v>1049</v>
      </c>
      <c r="BA288" s="41" t="s">
        <v>183</v>
      </c>
      <c r="BB288" s="27"/>
      <c r="BC288" s="60"/>
      <c r="BD288" s="45" t="s">
        <v>155</v>
      </c>
      <c r="BE288" s="61" t="s">
        <v>39</v>
      </c>
      <c r="BF288" s="61">
        <v>1</v>
      </c>
      <c r="BG288" s="61" t="s">
        <v>152</v>
      </c>
      <c r="BH288" s="62">
        <v>85</v>
      </c>
      <c r="BI288" s="39">
        <v>1017</v>
      </c>
      <c r="BJ288" s="41" t="s">
        <v>168</v>
      </c>
      <c r="BK288" s="27"/>
      <c r="BL288" s="60"/>
      <c r="BM288" s="45" t="s">
        <v>155</v>
      </c>
      <c r="BN288" s="61" t="s">
        <v>39</v>
      </c>
      <c r="BO288" s="61">
        <v>1</v>
      </c>
      <c r="BP288" s="61" t="s">
        <v>152</v>
      </c>
      <c r="BQ288" s="62">
        <v>85</v>
      </c>
      <c r="BR288" s="39">
        <v>3002</v>
      </c>
      <c r="BS288" s="41" t="s">
        <v>182</v>
      </c>
      <c r="BT288" s="27"/>
      <c r="BU288" s="60"/>
      <c r="BV288" s="45" t="s">
        <v>155</v>
      </c>
      <c r="BW288" s="61" t="s">
        <v>39</v>
      </c>
      <c r="BX288" s="61">
        <v>1</v>
      </c>
      <c r="BY288" s="61" t="s">
        <v>152</v>
      </c>
      <c r="BZ288" s="62">
        <v>85</v>
      </c>
      <c r="CA288" s="39">
        <v>1065</v>
      </c>
      <c r="CB288" s="27" t="s">
        <v>160</v>
      </c>
      <c r="CC288" s="27"/>
      <c r="CD288" s="60"/>
      <c r="CE288" s="45" t="s">
        <v>155</v>
      </c>
      <c r="CF288" s="61" t="s">
        <v>39</v>
      </c>
      <c r="CG288" s="61">
        <v>1</v>
      </c>
      <c r="CH288" s="61" t="s">
        <v>152</v>
      </c>
      <c r="CI288" s="62">
        <v>85</v>
      </c>
      <c r="CJ288" s="39"/>
      <c r="CK288" s="27" t="s">
        <v>163</v>
      </c>
    </row>
    <row r="289" spans="1:89" x14ac:dyDescent="0.25">
      <c r="A289" s="44"/>
      <c r="B289" s="45" t="s">
        <v>155</v>
      </c>
      <c r="C289" s="39" t="s">
        <v>39</v>
      </c>
      <c r="D289" s="39">
        <v>2</v>
      </c>
      <c r="E289" s="39" t="s">
        <v>152</v>
      </c>
      <c r="F289" s="27">
        <v>86</v>
      </c>
      <c r="G289" s="39">
        <v>1050</v>
      </c>
      <c r="H289" s="41" t="s">
        <v>176</v>
      </c>
      <c r="I289" s="27"/>
      <c r="J289" s="44"/>
      <c r="K289" s="45" t="s">
        <v>155</v>
      </c>
      <c r="L289" s="39" t="s">
        <v>39</v>
      </c>
      <c r="M289" s="39">
        <v>2</v>
      </c>
      <c r="N289" s="39" t="s">
        <v>152</v>
      </c>
      <c r="O289" s="27">
        <v>86</v>
      </c>
      <c r="P289" s="39">
        <v>1054</v>
      </c>
      <c r="Q289" s="41" t="s">
        <v>161</v>
      </c>
      <c r="R289" s="27"/>
      <c r="S289" s="44"/>
      <c r="T289" s="45" t="s">
        <v>155</v>
      </c>
      <c r="U289" s="39" t="s">
        <v>39</v>
      </c>
      <c r="V289" s="39">
        <v>2</v>
      </c>
      <c r="W289" s="39" t="s">
        <v>152</v>
      </c>
      <c r="X289" s="27">
        <v>86</v>
      </c>
      <c r="Y289" s="39">
        <v>2030</v>
      </c>
      <c r="Z289" s="27" t="s">
        <v>171</v>
      </c>
      <c r="AA289" s="27"/>
      <c r="AB289" s="44"/>
      <c r="AC289" s="45" t="s">
        <v>155</v>
      </c>
      <c r="AD289" s="39" t="s">
        <v>39</v>
      </c>
      <c r="AE289" s="39">
        <v>2</v>
      </c>
      <c r="AF289" s="39" t="s">
        <v>152</v>
      </c>
      <c r="AG289" s="27">
        <v>86</v>
      </c>
      <c r="AH289" s="39">
        <v>2035</v>
      </c>
      <c r="AI289" s="41" t="s">
        <v>182</v>
      </c>
      <c r="AJ289" s="27"/>
      <c r="AK289" s="44"/>
      <c r="AL289" s="45" t="s">
        <v>155</v>
      </c>
      <c r="AM289" s="39" t="s">
        <v>39</v>
      </c>
      <c r="AN289" s="39">
        <v>2</v>
      </c>
      <c r="AO289" s="39" t="s">
        <v>152</v>
      </c>
      <c r="AP289" s="27">
        <v>86</v>
      </c>
      <c r="AQ289" s="39" t="s">
        <v>98</v>
      </c>
      <c r="AR289" s="41" t="s">
        <v>172</v>
      </c>
      <c r="AS289" s="27"/>
      <c r="AT289" s="44"/>
      <c r="AU289" s="45" t="s">
        <v>155</v>
      </c>
      <c r="AV289" s="39" t="s">
        <v>39</v>
      </c>
      <c r="AW289" s="39">
        <v>2</v>
      </c>
      <c r="AX289" s="39" t="s">
        <v>152</v>
      </c>
      <c r="AY289" s="27">
        <v>86</v>
      </c>
      <c r="AZ289" s="39">
        <v>1049</v>
      </c>
      <c r="BA289" s="40" t="s">
        <v>186</v>
      </c>
      <c r="BB289" s="27"/>
      <c r="BC289" s="44"/>
      <c r="BD289" s="45" t="s">
        <v>155</v>
      </c>
      <c r="BE289" s="39" t="s">
        <v>39</v>
      </c>
      <c r="BF289" s="39">
        <v>2</v>
      </c>
      <c r="BG289" s="39" t="s">
        <v>152</v>
      </c>
      <c r="BH289" s="27">
        <v>86</v>
      </c>
      <c r="BI289" s="39">
        <v>1017</v>
      </c>
      <c r="BJ289" s="41" t="s">
        <v>176</v>
      </c>
      <c r="BK289" s="27"/>
      <c r="BL289" s="44"/>
      <c r="BM289" s="45" t="s">
        <v>155</v>
      </c>
      <c r="BN289" s="39" t="s">
        <v>39</v>
      </c>
      <c r="BO289" s="39">
        <v>2</v>
      </c>
      <c r="BP289" s="39" t="s">
        <v>152</v>
      </c>
      <c r="BQ289" s="27">
        <v>86</v>
      </c>
      <c r="BR289" s="39">
        <v>3002</v>
      </c>
      <c r="BS289" s="41" t="s">
        <v>184</v>
      </c>
      <c r="BT289" s="27"/>
      <c r="BU289" s="44"/>
      <c r="BV289" s="45" t="s">
        <v>155</v>
      </c>
      <c r="BW289" s="39" t="s">
        <v>39</v>
      </c>
      <c r="BX289" s="39">
        <v>2</v>
      </c>
      <c r="BY289" s="39" t="s">
        <v>152</v>
      </c>
      <c r="BZ289" s="27">
        <v>86</v>
      </c>
      <c r="CA289" s="39">
        <v>1065</v>
      </c>
      <c r="CB289" s="27" t="s">
        <v>168</v>
      </c>
      <c r="CC289" s="27"/>
      <c r="CD289" s="44"/>
      <c r="CE289" s="45" t="s">
        <v>155</v>
      </c>
      <c r="CF289" s="39" t="s">
        <v>39</v>
      </c>
      <c r="CG289" s="39">
        <v>2</v>
      </c>
      <c r="CH289" s="39" t="s">
        <v>152</v>
      </c>
      <c r="CI289" s="27">
        <v>86</v>
      </c>
      <c r="CJ289" s="39"/>
      <c r="CK289" s="27" t="s">
        <v>171</v>
      </c>
    </row>
    <row r="290" spans="1:89" x14ac:dyDescent="0.25">
      <c r="A290" s="44"/>
      <c r="B290" s="45" t="s">
        <v>155</v>
      </c>
      <c r="C290" s="39" t="s">
        <v>39</v>
      </c>
      <c r="D290" s="39">
        <v>3</v>
      </c>
      <c r="E290" s="39" t="s">
        <v>152</v>
      </c>
      <c r="F290" s="27">
        <v>87</v>
      </c>
      <c r="G290" s="39">
        <v>1050</v>
      </c>
      <c r="H290" s="41" t="s">
        <v>164</v>
      </c>
      <c r="I290" s="27"/>
      <c r="J290" s="44"/>
      <c r="K290" s="45" t="s">
        <v>155</v>
      </c>
      <c r="L290" s="39" t="s">
        <v>39</v>
      </c>
      <c r="M290" s="39">
        <v>3</v>
      </c>
      <c r="N290" s="39" t="s">
        <v>152</v>
      </c>
      <c r="O290" s="27">
        <v>87</v>
      </c>
      <c r="P290" s="39">
        <v>1054</v>
      </c>
      <c r="Q290" s="41" t="s">
        <v>169</v>
      </c>
      <c r="R290" s="27"/>
      <c r="S290" s="44"/>
      <c r="T290" s="45" t="s">
        <v>155</v>
      </c>
      <c r="U290" s="39" t="s">
        <v>39</v>
      </c>
      <c r="V290" s="39">
        <v>3</v>
      </c>
      <c r="W290" s="39" t="s">
        <v>152</v>
      </c>
      <c r="X290" s="27">
        <v>87</v>
      </c>
      <c r="Y290" s="39">
        <v>2030</v>
      </c>
      <c r="Z290" s="27" t="s">
        <v>161</v>
      </c>
      <c r="AA290" s="27"/>
      <c r="AB290" s="44"/>
      <c r="AC290" s="45" t="s">
        <v>155</v>
      </c>
      <c r="AD290" s="39" t="s">
        <v>39</v>
      </c>
      <c r="AE290" s="39">
        <v>3</v>
      </c>
      <c r="AF290" s="39" t="s">
        <v>152</v>
      </c>
      <c r="AG290" s="27">
        <v>87</v>
      </c>
      <c r="AH290" s="39">
        <v>2035</v>
      </c>
      <c r="AI290" s="41" t="s">
        <v>184</v>
      </c>
      <c r="AJ290" s="27"/>
      <c r="AK290" s="44"/>
      <c r="AL290" s="45" t="s">
        <v>155</v>
      </c>
      <c r="AM290" s="39" t="s">
        <v>39</v>
      </c>
      <c r="AN290" s="39">
        <v>3</v>
      </c>
      <c r="AO290" s="39" t="s">
        <v>152</v>
      </c>
      <c r="AP290" s="27">
        <v>87</v>
      </c>
      <c r="AQ290" s="39" t="s">
        <v>98</v>
      </c>
      <c r="AR290" s="41" t="s">
        <v>162</v>
      </c>
      <c r="AS290" s="27"/>
      <c r="AT290" s="44"/>
      <c r="AU290" s="45" t="s">
        <v>155</v>
      </c>
      <c r="AV290" s="39" t="s">
        <v>39</v>
      </c>
      <c r="AW290" s="39">
        <v>3</v>
      </c>
      <c r="AX290" s="39" t="s">
        <v>152</v>
      </c>
      <c r="AY290" s="27">
        <v>87</v>
      </c>
      <c r="AZ290" s="39">
        <v>1049</v>
      </c>
      <c r="BA290" s="41" t="s">
        <v>188</v>
      </c>
      <c r="BB290" s="27"/>
      <c r="BC290" s="44"/>
      <c r="BD290" s="45" t="s">
        <v>155</v>
      </c>
      <c r="BE290" s="39" t="s">
        <v>39</v>
      </c>
      <c r="BF290" s="39">
        <v>3</v>
      </c>
      <c r="BG290" s="39" t="s">
        <v>152</v>
      </c>
      <c r="BH290" s="27">
        <v>87</v>
      </c>
      <c r="BI290" s="39">
        <v>1017</v>
      </c>
      <c r="BJ290" s="41" t="s">
        <v>164</v>
      </c>
      <c r="BK290" s="27"/>
      <c r="BL290" s="44"/>
      <c r="BM290" s="45" t="s">
        <v>155</v>
      </c>
      <c r="BN290" s="39" t="s">
        <v>39</v>
      </c>
      <c r="BO290" s="39">
        <v>3</v>
      </c>
      <c r="BP290" s="39" t="s">
        <v>152</v>
      </c>
      <c r="BQ290" s="27">
        <v>87</v>
      </c>
      <c r="BR290" s="39">
        <v>3002</v>
      </c>
      <c r="BS290" s="41" t="s">
        <v>187</v>
      </c>
      <c r="BT290" s="27"/>
      <c r="BU290" s="44"/>
      <c r="BV290" s="45" t="s">
        <v>155</v>
      </c>
      <c r="BW290" s="39" t="s">
        <v>39</v>
      </c>
      <c r="BX290" s="39">
        <v>3</v>
      </c>
      <c r="BY290" s="39" t="s">
        <v>152</v>
      </c>
      <c r="BZ290" s="27">
        <v>87</v>
      </c>
      <c r="CA290" s="39">
        <v>1065</v>
      </c>
      <c r="CB290" s="27" t="s">
        <v>176</v>
      </c>
      <c r="CC290" s="27"/>
      <c r="CD290" s="44"/>
      <c r="CE290" s="45" t="s">
        <v>155</v>
      </c>
      <c r="CF290" s="39" t="s">
        <v>39</v>
      </c>
      <c r="CG290" s="39">
        <v>3</v>
      </c>
      <c r="CH290" s="39" t="s">
        <v>152</v>
      </c>
      <c r="CI290" s="27">
        <v>87</v>
      </c>
      <c r="CJ290" s="39"/>
      <c r="CK290" s="27" t="s">
        <v>161</v>
      </c>
    </row>
    <row r="291" spans="1:89" x14ac:dyDescent="0.25">
      <c r="A291" s="44"/>
      <c r="B291" s="45" t="s">
        <v>155</v>
      </c>
      <c r="C291" s="39" t="s">
        <v>39</v>
      </c>
      <c r="D291" s="39">
        <v>4</v>
      </c>
      <c r="E291" s="39" t="s">
        <v>152</v>
      </c>
      <c r="F291" s="27">
        <v>88</v>
      </c>
      <c r="G291" s="39">
        <v>1050</v>
      </c>
      <c r="H291" s="41" t="s">
        <v>172</v>
      </c>
      <c r="I291" s="27"/>
      <c r="J291" s="44"/>
      <c r="K291" s="45" t="s">
        <v>155</v>
      </c>
      <c r="L291" s="39" t="s">
        <v>39</v>
      </c>
      <c r="M291" s="39">
        <v>4</v>
      </c>
      <c r="N291" s="39" t="s">
        <v>152</v>
      </c>
      <c r="O291" s="27">
        <v>88</v>
      </c>
      <c r="P291" s="39">
        <v>1054</v>
      </c>
      <c r="Q291" s="41" t="s">
        <v>177</v>
      </c>
      <c r="R291" s="27"/>
      <c r="S291" s="44"/>
      <c r="T291" s="45" t="s">
        <v>155</v>
      </c>
      <c r="U291" s="39" t="s">
        <v>39</v>
      </c>
      <c r="V291" s="39">
        <v>4</v>
      </c>
      <c r="W291" s="39" t="s">
        <v>152</v>
      </c>
      <c r="X291" s="27">
        <v>88</v>
      </c>
      <c r="Y291" s="39">
        <v>2030</v>
      </c>
      <c r="Z291" s="27" t="s">
        <v>169</v>
      </c>
      <c r="AA291" s="27"/>
      <c r="AB291" s="44"/>
      <c r="AC291" s="45" t="s">
        <v>155</v>
      </c>
      <c r="AD291" s="39" t="s">
        <v>39</v>
      </c>
      <c r="AE291" s="39">
        <v>4</v>
      </c>
      <c r="AF291" s="39" t="s">
        <v>152</v>
      </c>
      <c r="AG291" s="27">
        <v>88</v>
      </c>
      <c r="AH291" s="39">
        <v>2035</v>
      </c>
      <c r="AI291" s="41" t="s">
        <v>187</v>
      </c>
      <c r="AJ291" s="27"/>
      <c r="AK291" s="44"/>
      <c r="AL291" s="45" t="s">
        <v>155</v>
      </c>
      <c r="AM291" s="39" t="s">
        <v>39</v>
      </c>
      <c r="AN291" s="39">
        <v>4</v>
      </c>
      <c r="AO291" s="39" t="s">
        <v>152</v>
      </c>
      <c r="AP291" s="27">
        <v>88</v>
      </c>
      <c r="AQ291" s="39" t="s">
        <v>98</v>
      </c>
      <c r="AR291" s="41" t="s">
        <v>170</v>
      </c>
      <c r="AS291" s="27"/>
      <c r="AT291" s="44"/>
      <c r="AU291" s="45" t="s">
        <v>155</v>
      </c>
      <c r="AV291" s="39" t="s">
        <v>39</v>
      </c>
      <c r="AW291" s="39">
        <v>4</v>
      </c>
      <c r="AX291" s="39" t="s">
        <v>152</v>
      </c>
      <c r="AY291" s="27">
        <v>88</v>
      </c>
      <c r="AZ291" s="39">
        <v>1049</v>
      </c>
      <c r="BA291" s="41" t="s">
        <v>182</v>
      </c>
      <c r="BB291" s="27"/>
      <c r="BC291" s="44"/>
      <c r="BD291" s="45" t="s">
        <v>155</v>
      </c>
      <c r="BE291" s="39" t="s">
        <v>39</v>
      </c>
      <c r="BF291" s="39">
        <v>4</v>
      </c>
      <c r="BG291" s="39" t="s">
        <v>152</v>
      </c>
      <c r="BH291" s="27">
        <v>88</v>
      </c>
      <c r="BI291" s="39">
        <v>1017</v>
      </c>
      <c r="BJ291" s="41" t="s">
        <v>172</v>
      </c>
      <c r="BK291" s="27"/>
      <c r="BL291" s="44"/>
      <c r="BM291" s="45" t="s">
        <v>155</v>
      </c>
      <c r="BN291" s="39" t="s">
        <v>39</v>
      </c>
      <c r="BO291" s="39">
        <v>4</v>
      </c>
      <c r="BP291" s="39" t="s">
        <v>152</v>
      </c>
      <c r="BQ291" s="27">
        <v>88</v>
      </c>
      <c r="BR291" s="39">
        <v>3002</v>
      </c>
      <c r="BS291" s="27" t="s">
        <v>189</v>
      </c>
      <c r="BT291" s="27"/>
      <c r="BU291" s="44"/>
      <c r="BV291" s="45" t="s">
        <v>155</v>
      </c>
      <c r="BW291" s="39" t="s">
        <v>39</v>
      </c>
      <c r="BX291" s="39">
        <v>4</v>
      </c>
      <c r="BY291" s="39" t="s">
        <v>152</v>
      </c>
      <c r="BZ291" s="27">
        <v>88</v>
      </c>
      <c r="CA291" s="39">
        <v>1065</v>
      </c>
      <c r="CB291" s="27" t="s">
        <v>164</v>
      </c>
      <c r="CC291" s="27"/>
      <c r="CD291" s="44"/>
      <c r="CE291" s="45" t="s">
        <v>155</v>
      </c>
      <c r="CF291" s="39" t="s">
        <v>39</v>
      </c>
      <c r="CG291" s="39">
        <v>4</v>
      </c>
      <c r="CH291" s="39" t="s">
        <v>152</v>
      </c>
      <c r="CI291" s="27">
        <v>88</v>
      </c>
      <c r="CJ291" s="39"/>
      <c r="CK291" s="27" t="s">
        <v>169</v>
      </c>
    </row>
    <row r="292" spans="1:89" x14ac:dyDescent="0.25">
      <c r="A292" s="44"/>
      <c r="B292" s="45" t="s">
        <v>155</v>
      </c>
      <c r="C292" s="39" t="s">
        <v>39</v>
      </c>
      <c r="D292" s="39">
        <v>5</v>
      </c>
      <c r="E292" s="39" t="s">
        <v>152</v>
      </c>
      <c r="F292" s="27">
        <v>89</v>
      </c>
      <c r="G292" s="39">
        <v>1050</v>
      </c>
      <c r="H292" s="41" t="s">
        <v>162</v>
      </c>
      <c r="I292" s="27"/>
      <c r="J292" s="44"/>
      <c r="K292" s="45" t="s">
        <v>155</v>
      </c>
      <c r="L292" s="39" t="s">
        <v>39</v>
      </c>
      <c r="M292" s="39">
        <v>5</v>
      </c>
      <c r="N292" s="39" t="s">
        <v>152</v>
      </c>
      <c r="O292" s="27">
        <v>89</v>
      </c>
      <c r="P292" s="39">
        <v>1054</v>
      </c>
      <c r="Q292" s="41" t="s">
        <v>180</v>
      </c>
      <c r="R292" s="27"/>
      <c r="S292" s="44"/>
      <c r="T292" s="45" t="s">
        <v>155</v>
      </c>
      <c r="U292" s="39" t="s">
        <v>39</v>
      </c>
      <c r="V292" s="39">
        <v>5</v>
      </c>
      <c r="W292" s="39" t="s">
        <v>152</v>
      </c>
      <c r="X292" s="27">
        <v>89</v>
      </c>
      <c r="Y292" s="39">
        <v>2030</v>
      </c>
      <c r="Z292" s="27" t="s">
        <v>177</v>
      </c>
      <c r="AA292" s="27"/>
      <c r="AB292" s="44"/>
      <c r="AC292" s="45" t="s">
        <v>155</v>
      </c>
      <c r="AD292" s="39" t="s">
        <v>39</v>
      </c>
      <c r="AE292" s="39">
        <v>5</v>
      </c>
      <c r="AF292" s="39" t="s">
        <v>152</v>
      </c>
      <c r="AG292" s="27">
        <v>89</v>
      </c>
      <c r="AH292" s="39">
        <v>2035</v>
      </c>
      <c r="AI292" s="41" t="s">
        <v>189</v>
      </c>
      <c r="AJ292" s="27"/>
      <c r="AK292" s="44"/>
      <c r="AL292" s="45" t="s">
        <v>155</v>
      </c>
      <c r="AM292" s="39" t="s">
        <v>39</v>
      </c>
      <c r="AN292" s="39">
        <v>5</v>
      </c>
      <c r="AO292" s="39" t="s">
        <v>152</v>
      </c>
      <c r="AP292" s="27">
        <v>89</v>
      </c>
      <c r="AQ292" s="39" t="s">
        <v>98</v>
      </c>
      <c r="AR292" s="41" t="s">
        <v>178</v>
      </c>
      <c r="AS292" s="27"/>
      <c r="AT292" s="44"/>
      <c r="AU292" s="45" t="s">
        <v>155</v>
      </c>
      <c r="AV292" s="39" t="s">
        <v>39</v>
      </c>
      <c r="AW292" s="39">
        <v>5</v>
      </c>
      <c r="AX292" s="39" t="s">
        <v>152</v>
      </c>
      <c r="AY292" s="27">
        <v>89</v>
      </c>
      <c r="AZ292" s="39">
        <v>1049</v>
      </c>
      <c r="BA292" s="41" t="s">
        <v>184</v>
      </c>
      <c r="BB292" s="27"/>
      <c r="BC292" s="44"/>
      <c r="BD292" s="45" t="s">
        <v>155</v>
      </c>
      <c r="BE292" s="39" t="s">
        <v>39</v>
      </c>
      <c r="BF292" s="39">
        <v>5</v>
      </c>
      <c r="BG292" s="39" t="s">
        <v>152</v>
      </c>
      <c r="BH292" s="27">
        <v>89</v>
      </c>
      <c r="BI292" s="39">
        <v>1017</v>
      </c>
      <c r="BJ292" s="46" t="s">
        <v>162</v>
      </c>
      <c r="BK292" s="27"/>
      <c r="BL292" s="44"/>
      <c r="BM292" s="45" t="s">
        <v>155</v>
      </c>
      <c r="BN292" s="39" t="s">
        <v>39</v>
      </c>
      <c r="BO292" s="39">
        <v>5</v>
      </c>
      <c r="BP292" s="39" t="s">
        <v>152</v>
      </c>
      <c r="BQ292" s="27">
        <v>89</v>
      </c>
      <c r="BR292" s="39">
        <v>1063</v>
      </c>
      <c r="BS292" s="27" t="s">
        <v>160</v>
      </c>
      <c r="BT292" s="27"/>
      <c r="BU292" s="44"/>
      <c r="BV292" s="45" t="s">
        <v>155</v>
      </c>
      <c r="BW292" s="39" t="s">
        <v>39</v>
      </c>
      <c r="BX292" s="39">
        <v>5</v>
      </c>
      <c r="BY292" s="39" t="s">
        <v>152</v>
      </c>
      <c r="BZ292" s="27">
        <v>89</v>
      </c>
      <c r="CA292" s="39">
        <v>1065</v>
      </c>
      <c r="CB292" s="27" t="s">
        <v>172</v>
      </c>
      <c r="CC292" s="27"/>
      <c r="CD292" s="44"/>
      <c r="CE292" s="45" t="s">
        <v>155</v>
      </c>
      <c r="CF292" s="39" t="s">
        <v>39</v>
      </c>
      <c r="CG292" s="39">
        <v>5</v>
      </c>
      <c r="CH292" s="39" t="s">
        <v>152</v>
      </c>
      <c r="CI292" s="27">
        <v>89</v>
      </c>
      <c r="CJ292" s="39"/>
      <c r="CK292" s="27" t="s">
        <v>177</v>
      </c>
    </row>
    <row r="293" spans="1:89" x14ac:dyDescent="0.25">
      <c r="A293" s="44"/>
      <c r="B293" s="45" t="s">
        <v>155</v>
      </c>
      <c r="C293" s="39" t="s">
        <v>39</v>
      </c>
      <c r="D293" s="39">
        <v>6</v>
      </c>
      <c r="E293" s="39" t="s">
        <v>152</v>
      </c>
      <c r="F293" s="27">
        <v>90</v>
      </c>
      <c r="G293" s="39">
        <v>1050</v>
      </c>
      <c r="H293" s="41" t="s">
        <v>170</v>
      </c>
      <c r="I293" s="27"/>
      <c r="J293" s="44"/>
      <c r="K293" s="45" t="s">
        <v>155</v>
      </c>
      <c r="L293" s="39" t="s">
        <v>39</v>
      </c>
      <c r="M293" s="39">
        <v>6</v>
      </c>
      <c r="N293" s="39" t="s">
        <v>152</v>
      </c>
      <c r="O293" s="27">
        <v>90</v>
      </c>
      <c r="P293" s="39">
        <v>1054</v>
      </c>
      <c r="Q293" s="41" t="s">
        <v>181</v>
      </c>
      <c r="R293" s="27"/>
      <c r="S293" s="44"/>
      <c r="T293" s="45" t="s">
        <v>155</v>
      </c>
      <c r="U293" s="39" t="s">
        <v>39</v>
      </c>
      <c r="V293" s="39">
        <v>6</v>
      </c>
      <c r="W293" s="39" t="s">
        <v>152</v>
      </c>
      <c r="X293" s="27">
        <v>90</v>
      </c>
      <c r="Y293" s="39">
        <v>2030</v>
      </c>
      <c r="Z293" s="41" t="s">
        <v>180</v>
      </c>
      <c r="AA293" s="27"/>
      <c r="AB293" s="44"/>
      <c r="AC293" s="45" t="s">
        <v>155</v>
      </c>
      <c r="AD293" s="39" t="s">
        <v>39</v>
      </c>
      <c r="AE293" s="39">
        <v>6</v>
      </c>
      <c r="AF293" s="39" t="s">
        <v>152</v>
      </c>
      <c r="AG293" s="27">
        <v>90</v>
      </c>
      <c r="AH293" s="39">
        <v>2036</v>
      </c>
      <c r="AI293" s="41" t="s">
        <v>160</v>
      </c>
      <c r="AJ293" s="27"/>
      <c r="AK293" s="44"/>
      <c r="AL293" s="45" t="s">
        <v>155</v>
      </c>
      <c r="AM293" s="39" t="s">
        <v>39</v>
      </c>
      <c r="AN293" s="39">
        <v>6</v>
      </c>
      <c r="AO293" s="39" t="s">
        <v>152</v>
      </c>
      <c r="AP293" s="27">
        <v>90</v>
      </c>
      <c r="AQ293" s="39" t="s">
        <v>98</v>
      </c>
      <c r="AR293" s="41" t="s">
        <v>163</v>
      </c>
      <c r="AS293" s="27"/>
      <c r="AT293" s="44"/>
      <c r="AU293" s="45" t="s">
        <v>155</v>
      </c>
      <c r="AV293" s="39" t="s">
        <v>39</v>
      </c>
      <c r="AW293" s="39">
        <v>6</v>
      </c>
      <c r="AX293" s="39" t="s">
        <v>152</v>
      </c>
      <c r="AY293" s="27">
        <v>90</v>
      </c>
      <c r="AZ293" s="39">
        <v>1049</v>
      </c>
      <c r="BA293" s="41" t="s">
        <v>187</v>
      </c>
      <c r="BB293" s="27"/>
      <c r="BC293" s="44"/>
      <c r="BD293" s="45" t="s">
        <v>155</v>
      </c>
      <c r="BE293" s="39" t="s">
        <v>39</v>
      </c>
      <c r="BF293" s="39">
        <v>6</v>
      </c>
      <c r="BG293" s="39" t="s">
        <v>152</v>
      </c>
      <c r="BH293" s="27">
        <v>90</v>
      </c>
      <c r="BI293" s="39">
        <v>1017</v>
      </c>
      <c r="BJ293" s="41" t="s">
        <v>170</v>
      </c>
      <c r="BK293" s="27"/>
      <c r="BL293" s="44"/>
      <c r="BM293" s="45" t="s">
        <v>155</v>
      </c>
      <c r="BN293" s="39" t="s">
        <v>39</v>
      </c>
      <c r="BO293" s="39">
        <v>6</v>
      </c>
      <c r="BP293" s="39" t="s">
        <v>152</v>
      </c>
      <c r="BQ293" s="27">
        <v>90</v>
      </c>
      <c r="BR293" s="39">
        <v>1063</v>
      </c>
      <c r="BS293" s="27" t="s">
        <v>168</v>
      </c>
      <c r="BT293" s="27"/>
      <c r="BU293" s="44"/>
      <c r="BV293" s="45" t="s">
        <v>155</v>
      </c>
      <c r="BW293" s="39" t="s">
        <v>39</v>
      </c>
      <c r="BX293" s="39">
        <v>6</v>
      </c>
      <c r="BY293" s="39" t="s">
        <v>152</v>
      </c>
      <c r="BZ293" s="27">
        <v>90</v>
      </c>
      <c r="CA293" s="39">
        <v>1065</v>
      </c>
      <c r="CB293" s="41" t="s">
        <v>162</v>
      </c>
      <c r="CC293" s="27"/>
      <c r="CD293" s="44"/>
      <c r="CE293" s="45" t="s">
        <v>155</v>
      </c>
      <c r="CF293" s="39" t="s">
        <v>39</v>
      </c>
      <c r="CG293" s="39">
        <v>6</v>
      </c>
      <c r="CH293" s="39" t="s">
        <v>152</v>
      </c>
      <c r="CI293" s="27">
        <v>90</v>
      </c>
      <c r="CJ293" s="39"/>
      <c r="CK293" s="41" t="s">
        <v>180</v>
      </c>
    </row>
    <row r="294" spans="1:89" x14ac:dyDescent="0.25">
      <c r="A294" s="44"/>
      <c r="B294" s="45" t="s">
        <v>155</v>
      </c>
      <c r="C294" s="39" t="s">
        <v>39</v>
      </c>
      <c r="D294" s="39">
        <v>7</v>
      </c>
      <c r="E294" s="39" t="s">
        <v>152</v>
      </c>
      <c r="F294" s="27">
        <v>91</v>
      </c>
      <c r="G294" s="39">
        <v>1050</v>
      </c>
      <c r="H294" s="41" t="s">
        <v>178</v>
      </c>
      <c r="I294" s="27"/>
      <c r="J294" s="44"/>
      <c r="K294" s="45" t="s">
        <v>155</v>
      </c>
      <c r="L294" s="39" t="s">
        <v>39</v>
      </c>
      <c r="M294" s="39">
        <v>7</v>
      </c>
      <c r="N294" s="39" t="s">
        <v>152</v>
      </c>
      <c r="O294" s="27">
        <v>91</v>
      </c>
      <c r="P294" s="39">
        <v>1054</v>
      </c>
      <c r="Q294" s="41" t="s">
        <v>183</v>
      </c>
      <c r="R294" s="27"/>
      <c r="S294" s="44"/>
      <c r="T294" s="45" t="s">
        <v>155</v>
      </c>
      <c r="U294" s="39" t="s">
        <v>39</v>
      </c>
      <c r="V294" s="39">
        <v>7</v>
      </c>
      <c r="W294" s="39" t="s">
        <v>152</v>
      </c>
      <c r="X294" s="27">
        <v>91</v>
      </c>
      <c r="Y294" s="39">
        <v>2030</v>
      </c>
      <c r="Z294" s="41" t="s">
        <v>181</v>
      </c>
      <c r="AA294" s="27"/>
      <c r="AB294" s="44"/>
      <c r="AC294" s="45" t="s">
        <v>155</v>
      </c>
      <c r="AD294" s="39" t="s">
        <v>39</v>
      </c>
      <c r="AE294" s="39">
        <v>7</v>
      </c>
      <c r="AF294" s="39" t="s">
        <v>152</v>
      </c>
      <c r="AG294" s="27">
        <v>91</v>
      </c>
      <c r="AH294" s="39">
        <v>2036</v>
      </c>
      <c r="AI294" s="41" t="s">
        <v>168</v>
      </c>
      <c r="AJ294" s="27"/>
      <c r="AK294" s="44"/>
      <c r="AL294" s="45" t="s">
        <v>155</v>
      </c>
      <c r="AM294" s="39" t="s">
        <v>39</v>
      </c>
      <c r="AN294" s="39">
        <v>7</v>
      </c>
      <c r="AO294" s="39" t="s">
        <v>152</v>
      </c>
      <c r="AP294" s="27">
        <v>91</v>
      </c>
      <c r="AQ294" s="39" t="s">
        <v>98</v>
      </c>
      <c r="AR294" s="41" t="s">
        <v>171</v>
      </c>
      <c r="AS294" s="27"/>
      <c r="AT294" s="44"/>
      <c r="AU294" s="45" t="s">
        <v>155</v>
      </c>
      <c r="AV294" s="39" t="s">
        <v>39</v>
      </c>
      <c r="AW294" s="39">
        <v>7</v>
      </c>
      <c r="AX294" s="39" t="s">
        <v>152</v>
      </c>
      <c r="AY294" s="27">
        <v>91</v>
      </c>
      <c r="AZ294" s="39">
        <v>1049</v>
      </c>
      <c r="BA294" s="41" t="s">
        <v>189</v>
      </c>
      <c r="BB294" s="27"/>
      <c r="BC294" s="44"/>
      <c r="BD294" s="45" t="s">
        <v>155</v>
      </c>
      <c r="BE294" s="39" t="s">
        <v>39</v>
      </c>
      <c r="BF294" s="39">
        <v>7</v>
      </c>
      <c r="BG294" s="39" t="s">
        <v>152</v>
      </c>
      <c r="BH294" s="27">
        <v>91</v>
      </c>
      <c r="BI294" s="39">
        <v>1017</v>
      </c>
      <c r="BJ294" s="41" t="s">
        <v>178</v>
      </c>
      <c r="BK294" s="27"/>
      <c r="BL294" s="44"/>
      <c r="BM294" s="45" t="s">
        <v>155</v>
      </c>
      <c r="BN294" s="39" t="s">
        <v>39</v>
      </c>
      <c r="BO294" s="39">
        <v>7</v>
      </c>
      <c r="BP294" s="39" t="s">
        <v>152</v>
      </c>
      <c r="BQ294" s="27">
        <v>91</v>
      </c>
      <c r="BR294" s="39">
        <v>1063</v>
      </c>
      <c r="BS294" s="27" t="s">
        <v>176</v>
      </c>
      <c r="BT294" s="27"/>
      <c r="BU294" s="44"/>
      <c r="BV294" s="45" t="s">
        <v>155</v>
      </c>
      <c r="BW294" s="39" t="s">
        <v>39</v>
      </c>
      <c r="BX294" s="39">
        <v>7</v>
      </c>
      <c r="BY294" s="39" t="s">
        <v>152</v>
      </c>
      <c r="BZ294" s="27">
        <v>91</v>
      </c>
      <c r="CA294" s="39">
        <v>1065</v>
      </c>
      <c r="CB294" s="41" t="s">
        <v>170</v>
      </c>
      <c r="CC294" s="27"/>
      <c r="CD294" s="44"/>
      <c r="CE294" s="45" t="s">
        <v>155</v>
      </c>
      <c r="CF294" s="39" t="s">
        <v>39</v>
      </c>
      <c r="CG294" s="39">
        <v>7</v>
      </c>
      <c r="CH294" s="39" t="s">
        <v>152</v>
      </c>
      <c r="CI294" s="27">
        <v>91</v>
      </c>
      <c r="CJ294" s="39"/>
      <c r="CK294" s="41" t="s">
        <v>181</v>
      </c>
    </row>
    <row r="295" spans="1:89" x14ac:dyDescent="0.25">
      <c r="A295" s="44"/>
      <c r="B295" s="45" t="s">
        <v>155</v>
      </c>
      <c r="C295" s="39" t="s">
        <v>39</v>
      </c>
      <c r="D295" s="39">
        <v>8</v>
      </c>
      <c r="E295" s="39" t="s">
        <v>152</v>
      </c>
      <c r="F295" s="27">
        <v>92</v>
      </c>
      <c r="G295" s="39">
        <v>1050</v>
      </c>
      <c r="H295" s="41" t="s">
        <v>163</v>
      </c>
      <c r="I295" s="27"/>
      <c r="J295" s="44"/>
      <c r="K295" s="45" t="s">
        <v>155</v>
      </c>
      <c r="L295" s="39" t="s">
        <v>39</v>
      </c>
      <c r="M295" s="39">
        <v>8</v>
      </c>
      <c r="N295" s="39" t="s">
        <v>152</v>
      </c>
      <c r="O295" s="27">
        <v>92</v>
      </c>
      <c r="P295" s="39">
        <v>1054</v>
      </c>
      <c r="Q295" s="41" t="s">
        <v>186</v>
      </c>
      <c r="R295" s="27"/>
      <c r="S295" s="44"/>
      <c r="T295" s="45" t="s">
        <v>155</v>
      </c>
      <c r="U295" s="39" t="s">
        <v>39</v>
      </c>
      <c r="V295" s="39">
        <v>8</v>
      </c>
      <c r="W295" s="39" t="s">
        <v>152</v>
      </c>
      <c r="X295" s="27">
        <v>92</v>
      </c>
      <c r="Y295" s="39">
        <v>2030</v>
      </c>
      <c r="Z295" s="41" t="s">
        <v>183</v>
      </c>
      <c r="AA295" s="27"/>
      <c r="AB295" s="44"/>
      <c r="AC295" s="45" t="s">
        <v>155</v>
      </c>
      <c r="AD295" s="39" t="s">
        <v>39</v>
      </c>
      <c r="AE295" s="39">
        <v>8</v>
      </c>
      <c r="AF295" s="39" t="s">
        <v>152</v>
      </c>
      <c r="AG295" s="27">
        <v>92</v>
      </c>
      <c r="AH295" s="39">
        <v>2036</v>
      </c>
      <c r="AI295" s="41" t="s">
        <v>176</v>
      </c>
      <c r="AJ295" s="27"/>
      <c r="AK295" s="44"/>
      <c r="AL295" s="45" t="s">
        <v>155</v>
      </c>
      <c r="AM295" s="39" t="s">
        <v>39</v>
      </c>
      <c r="AN295" s="39">
        <v>8</v>
      </c>
      <c r="AO295" s="39" t="s">
        <v>152</v>
      </c>
      <c r="AP295" s="27">
        <v>92</v>
      </c>
      <c r="AQ295" s="39" t="s">
        <v>98</v>
      </c>
      <c r="AR295" s="41" t="s">
        <v>161</v>
      </c>
      <c r="AS295" s="27"/>
      <c r="AT295" s="44"/>
      <c r="AU295" s="45" t="s">
        <v>155</v>
      </c>
      <c r="AV295" s="39" t="s">
        <v>39</v>
      </c>
      <c r="AW295" s="39">
        <v>8</v>
      </c>
      <c r="AX295" s="39" t="s">
        <v>152</v>
      </c>
      <c r="AY295" s="27">
        <v>92</v>
      </c>
      <c r="AZ295" s="39">
        <v>1051</v>
      </c>
      <c r="BA295" s="41" t="s">
        <v>160</v>
      </c>
      <c r="BB295" s="27"/>
      <c r="BC295" s="44"/>
      <c r="BD295" s="45" t="s">
        <v>155</v>
      </c>
      <c r="BE295" s="39" t="s">
        <v>39</v>
      </c>
      <c r="BF295" s="39">
        <v>8</v>
      </c>
      <c r="BG295" s="39" t="s">
        <v>152</v>
      </c>
      <c r="BH295" s="27">
        <v>92</v>
      </c>
      <c r="BI295" s="39">
        <v>1017</v>
      </c>
      <c r="BJ295" s="41" t="s">
        <v>163</v>
      </c>
      <c r="BK295" s="27"/>
      <c r="BL295" s="44"/>
      <c r="BM295" s="45" t="s">
        <v>155</v>
      </c>
      <c r="BN295" s="39" t="s">
        <v>39</v>
      </c>
      <c r="BO295" s="39">
        <v>8</v>
      </c>
      <c r="BP295" s="39" t="s">
        <v>152</v>
      </c>
      <c r="BQ295" s="27">
        <v>92</v>
      </c>
      <c r="BR295" s="39">
        <v>1063</v>
      </c>
      <c r="BS295" s="27" t="s">
        <v>164</v>
      </c>
      <c r="BT295" s="27"/>
      <c r="BU295" s="44"/>
      <c r="BV295" s="45" t="s">
        <v>155</v>
      </c>
      <c r="BW295" s="39" t="s">
        <v>39</v>
      </c>
      <c r="BX295" s="39">
        <v>8</v>
      </c>
      <c r="BY295" s="39" t="s">
        <v>152</v>
      </c>
      <c r="BZ295" s="27">
        <v>92</v>
      </c>
      <c r="CA295" s="39">
        <v>1065</v>
      </c>
      <c r="CB295" s="41" t="s">
        <v>178</v>
      </c>
      <c r="CC295" s="27"/>
      <c r="CD295" s="44"/>
      <c r="CE295" s="45" t="s">
        <v>155</v>
      </c>
      <c r="CF295" s="39" t="s">
        <v>39</v>
      </c>
      <c r="CG295" s="39">
        <v>8</v>
      </c>
      <c r="CH295" s="39" t="s">
        <v>152</v>
      </c>
      <c r="CI295" s="27">
        <v>92</v>
      </c>
      <c r="CJ295" s="39"/>
      <c r="CK295" s="41" t="s">
        <v>183</v>
      </c>
    </row>
    <row r="296" spans="1:89" x14ac:dyDescent="0.25">
      <c r="A296" s="44"/>
      <c r="B296" s="45" t="s">
        <v>155</v>
      </c>
      <c r="C296" s="39" t="s">
        <v>39</v>
      </c>
      <c r="D296" s="39">
        <v>9</v>
      </c>
      <c r="E296" s="39" t="s">
        <v>152</v>
      </c>
      <c r="F296" s="27">
        <v>93</v>
      </c>
      <c r="G296" s="39">
        <v>1050</v>
      </c>
      <c r="H296" s="41" t="s">
        <v>171</v>
      </c>
      <c r="I296" s="27"/>
      <c r="J296" s="44"/>
      <c r="K296" s="45" t="s">
        <v>155</v>
      </c>
      <c r="L296" s="39" t="s">
        <v>39</v>
      </c>
      <c r="M296" s="39">
        <v>9</v>
      </c>
      <c r="N296" s="39" t="s">
        <v>152</v>
      </c>
      <c r="O296" s="27">
        <v>93</v>
      </c>
      <c r="P296" s="39">
        <v>1054</v>
      </c>
      <c r="Q296" s="41" t="s">
        <v>188</v>
      </c>
      <c r="R296" s="27"/>
      <c r="S296" s="44"/>
      <c r="T296" s="45" t="s">
        <v>155</v>
      </c>
      <c r="U296" s="39" t="s">
        <v>39</v>
      </c>
      <c r="V296" s="39">
        <v>9</v>
      </c>
      <c r="W296" s="39" t="s">
        <v>152</v>
      </c>
      <c r="X296" s="27">
        <v>93</v>
      </c>
      <c r="Y296" s="39">
        <v>2030</v>
      </c>
      <c r="Z296" s="41" t="s">
        <v>186</v>
      </c>
      <c r="AA296" s="27" t="s">
        <v>336</v>
      </c>
      <c r="AB296" s="44"/>
      <c r="AC296" s="45" t="s">
        <v>155</v>
      </c>
      <c r="AD296" s="39" t="s">
        <v>39</v>
      </c>
      <c r="AE296" s="39">
        <v>9</v>
      </c>
      <c r="AF296" s="39" t="s">
        <v>152</v>
      </c>
      <c r="AG296" s="27">
        <v>93</v>
      </c>
      <c r="AH296" s="39">
        <v>2036</v>
      </c>
      <c r="AI296" s="41" t="s">
        <v>164</v>
      </c>
      <c r="AJ296" s="27"/>
      <c r="AK296" s="44"/>
      <c r="AL296" s="45" t="s">
        <v>155</v>
      </c>
      <c r="AM296" s="39" t="s">
        <v>39</v>
      </c>
      <c r="AN296" s="39">
        <v>9</v>
      </c>
      <c r="AO296" s="39" t="s">
        <v>152</v>
      </c>
      <c r="AP296" s="27">
        <v>93</v>
      </c>
      <c r="AQ296" s="39" t="s">
        <v>98</v>
      </c>
      <c r="AR296" s="41" t="s">
        <v>169</v>
      </c>
      <c r="AS296" s="27"/>
      <c r="AT296" s="44"/>
      <c r="AU296" s="45" t="s">
        <v>155</v>
      </c>
      <c r="AV296" s="39" t="s">
        <v>39</v>
      </c>
      <c r="AW296" s="39">
        <v>9</v>
      </c>
      <c r="AX296" s="39" t="s">
        <v>152</v>
      </c>
      <c r="AY296" s="27">
        <v>93</v>
      </c>
      <c r="AZ296" s="39">
        <v>1051</v>
      </c>
      <c r="BA296" s="41" t="s">
        <v>168</v>
      </c>
      <c r="BB296" s="27"/>
      <c r="BC296" s="44"/>
      <c r="BD296" s="45" t="s">
        <v>155</v>
      </c>
      <c r="BE296" s="39" t="s">
        <v>39</v>
      </c>
      <c r="BF296" s="39">
        <v>9</v>
      </c>
      <c r="BG296" s="39" t="s">
        <v>152</v>
      </c>
      <c r="BH296" s="27">
        <v>93</v>
      </c>
      <c r="BI296" s="39">
        <v>1017</v>
      </c>
      <c r="BJ296" s="41" t="s">
        <v>171</v>
      </c>
      <c r="BK296" s="27"/>
      <c r="BL296" s="44"/>
      <c r="BM296" s="45" t="s">
        <v>155</v>
      </c>
      <c r="BN296" s="39" t="s">
        <v>39</v>
      </c>
      <c r="BO296" s="39">
        <v>9</v>
      </c>
      <c r="BP296" s="39" t="s">
        <v>152</v>
      </c>
      <c r="BQ296" s="27">
        <v>93</v>
      </c>
      <c r="BR296" s="39">
        <v>1063</v>
      </c>
      <c r="BS296" s="27" t="s">
        <v>172</v>
      </c>
      <c r="BT296" s="27"/>
      <c r="BU296" s="44"/>
      <c r="BV296" s="45" t="s">
        <v>155</v>
      </c>
      <c r="BW296" s="39" t="s">
        <v>39</v>
      </c>
      <c r="BX296" s="39">
        <v>9</v>
      </c>
      <c r="BY296" s="39" t="s">
        <v>152</v>
      </c>
      <c r="BZ296" s="27">
        <v>93</v>
      </c>
      <c r="CA296" s="39">
        <v>1065</v>
      </c>
      <c r="CB296" s="41" t="s">
        <v>163</v>
      </c>
      <c r="CC296" s="27"/>
      <c r="CD296" s="44"/>
      <c r="CE296" s="45" t="s">
        <v>155</v>
      </c>
      <c r="CF296" s="39" t="s">
        <v>39</v>
      </c>
      <c r="CG296" s="39">
        <v>9</v>
      </c>
      <c r="CH296" s="39" t="s">
        <v>152</v>
      </c>
      <c r="CI296" s="27">
        <v>93</v>
      </c>
      <c r="CJ296" s="39"/>
      <c r="CK296" s="41" t="s">
        <v>186</v>
      </c>
    </row>
    <row r="297" spans="1:89" x14ac:dyDescent="0.25">
      <c r="A297" s="44"/>
      <c r="B297" s="45" t="s">
        <v>155</v>
      </c>
      <c r="C297" s="39" t="s">
        <v>39</v>
      </c>
      <c r="D297" s="39">
        <v>10</v>
      </c>
      <c r="E297" s="39" t="s">
        <v>152</v>
      </c>
      <c r="F297" s="27">
        <v>94</v>
      </c>
      <c r="G297" s="39">
        <v>1050</v>
      </c>
      <c r="H297" s="41" t="s">
        <v>161</v>
      </c>
      <c r="I297" s="27"/>
      <c r="J297" s="44"/>
      <c r="K297" s="45" t="s">
        <v>155</v>
      </c>
      <c r="L297" s="39" t="s">
        <v>39</v>
      </c>
      <c r="M297" s="39">
        <v>10</v>
      </c>
      <c r="N297" s="39" t="s">
        <v>152</v>
      </c>
      <c r="O297" s="27">
        <v>94</v>
      </c>
      <c r="P297" s="39">
        <v>1054</v>
      </c>
      <c r="Q297" s="41" t="s">
        <v>182</v>
      </c>
      <c r="R297" s="27"/>
      <c r="S297" s="44"/>
      <c r="T297" s="45" t="s">
        <v>155</v>
      </c>
      <c r="U297" s="39" t="s">
        <v>39</v>
      </c>
      <c r="V297" s="39">
        <v>10</v>
      </c>
      <c r="W297" s="39" t="s">
        <v>152</v>
      </c>
      <c r="X297" s="27">
        <v>94</v>
      </c>
      <c r="Y297" s="39">
        <v>2030</v>
      </c>
      <c r="Z297" s="41" t="s">
        <v>188</v>
      </c>
      <c r="AA297" s="27" t="s">
        <v>336</v>
      </c>
      <c r="AB297" s="44"/>
      <c r="AC297" s="45" t="s">
        <v>155</v>
      </c>
      <c r="AD297" s="39" t="s">
        <v>39</v>
      </c>
      <c r="AE297" s="39">
        <v>10</v>
      </c>
      <c r="AF297" s="39" t="s">
        <v>152</v>
      </c>
      <c r="AG297" s="27">
        <v>94</v>
      </c>
      <c r="AH297" s="39">
        <v>2036</v>
      </c>
      <c r="AI297" s="41" t="s">
        <v>172</v>
      </c>
      <c r="AJ297" s="27"/>
      <c r="AK297" s="44"/>
      <c r="AL297" s="45" t="s">
        <v>155</v>
      </c>
      <c r="AM297" s="39" t="s">
        <v>39</v>
      </c>
      <c r="AN297" s="39">
        <v>10</v>
      </c>
      <c r="AO297" s="39" t="s">
        <v>152</v>
      </c>
      <c r="AP297" s="27">
        <v>94</v>
      </c>
      <c r="AQ297" s="39" t="s">
        <v>98</v>
      </c>
      <c r="AR297" s="41" t="s">
        <v>177</v>
      </c>
      <c r="AS297" s="27"/>
      <c r="AT297" s="44"/>
      <c r="AU297" s="45" t="s">
        <v>155</v>
      </c>
      <c r="AV297" s="39" t="s">
        <v>39</v>
      </c>
      <c r="AW297" s="39">
        <v>10</v>
      </c>
      <c r="AX297" s="39" t="s">
        <v>152</v>
      </c>
      <c r="AY297" s="27">
        <v>94</v>
      </c>
      <c r="AZ297" s="39">
        <v>1051</v>
      </c>
      <c r="BA297" s="41" t="s">
        <v>176</v>
      </c>
      <c r="BB297" s="27"/>
      <c r="BC297" s="44"/>
      <c r="BD297" s="45" t="s">
        <v>155</v>
      </c>
      <c r="BE297" s="39" t="s">
        <v>39</v>
      </c>
      <c r="BF297" s="39">
        <v>10</v>
      </c>
      <c r="BG297" s="39" t="s">
        <v>152</v>
      </c>
      <c r="BH297" s="27">
        <v>94</v>
      </c>
      <c r="BI297" s="39">
        <v>1017</v>
      </c>
      <c r="BJ297" s="41" t="s">
        <v>161</v>
      </c>
      <c r="BK297" s="27"/>
      <c r="BL297" s="44"/>
      <c r="BM297" s="45" t="s">
        <v>155</v>
      </c>
      <c r="BN297" s="39" t="s">
        <v>39</v>
      </c>
      <c r="BO297" s="39">
        <v>10</v>
      </c>
      <c r="BP297" s="39" t="s">
        <v>152</v>
      </c>
      <c r="BQ297" s="27">
        <v>94</v>
      </c>
      <c r="BR297" s="39">
        <v>1063</v>
      </c>
      <c r="BS297" s="27" t="s">
        <v>162</v>
      </c>
      <c r="BT297" s="27"/>
      <c r="BU297" s="44"/>
      <c r="BV297" s="45" t="s">
        <v>155</v>
      </c>
      <c r="BW297" s="39" t="s">
        <v>39</v>
      </c>
      <c r="BX297" s="39">
        <v>10</v>
      </c>
      <c r="BY297" s="39" t="s">
        <v>152</v>
      </c>
      <c r="BZ297" s="27">
        <v>94</v>
      </c>
      <c r="CA297" s="39">
        <v>1065</v>
      </c>
      <c r="CB297" s="41" t="s">
        <v>171</v>
      </c>
      <c r="CC297" s="27"/>
      <c r="CD297" s="44"/>
      <c r="CE297" s="45" t="s">
        <v>155</v>
      </c>
      <c r="CF297" s="39" t="s">
        <v>39</v>
      </c>
      <c r="CG297" s="39">
        <v>10</v>
      </c>
      <c r="CH297" s="39" t="s">
        <v>152</v>
      </c>
      <c r="CI297" s="27">
        <v>94</v>
      </c>
      <c r="CJ297" s="39"/>
      <c r="CK297" s="41" t="s">
        <v>188</v>
      </c>
    </row>
    <row r="298" spans="1:89" x14ac:dyDescent="0.25">
      <c r="A298" s="44"/>
      <c r="B298" s="45" t="s">
        <v>155</v>
      </c>
      <c r="C298" s="39" t="s">
        <v>39</v>
      </c>
      <c r="D298" s="39">
        <v>11</v>
      </c>
      <c r="E298" s="39" t="s">
        <v>152</v>
      </c>
      <c r="F298" s="27">
        <v>95</v>
      </c>
      <c r="G298" s="39">
        <v>1050</v>
      </c>
      <c r="H298" s="41" t="s">
        <v>169</v>
      </c>
      <c r="I298" s="27"/>
      <c r="J298" s="44"/>
      <c r="K298" s="45" t="s">
        <v>155</v>
      </c>
      <c r="L298" s="39" t="s">
        <v>39</v>
      </c>
      <c r="M298" s="39">
        <v>11</v>
      </c>
      <c r="N298" s="39" t="s">
        <v>152</v>
      </c>
      <c r="O298" s="27">
        <v>95</v>
      </c>
      <c r="P298" s="39">
        <v>1054</v>
      </c>
      <c r="Q298" s="46" t="s">
        <v>184</v>
      </c>
      <c r="R298" s="27"/>
      <c r="S298" s="44"/>
      <c r="T298" s="45" t="s">
        <v>155</v>
      </c>
      <c r="U298" s="39" t="s">
        <v>39</v>
      </c>
      <c r="V298" s="39">
        <v>11</v>
      </c>
      <c r="W298" s="39" t="s">
        <v>152</v>
      </c>
      <c r="X298" s="27">
        <v>95</v>
      </c>
      <c r="Y298" s="39">
        <v>2030</v>
      </c>
      <c r="Z298" s="41" t="s">
        <v>182</v>
      </c>
      <c r="AA298" s="27"/>
      <c r="AB298" s="44"/>
      <c r="AC298" s="45" t="s">
        <v>155</v>
      </c>
      <c r="AD298" s="39" t="s">
        <v>39</v>
      </c>
      <c r="AE298" s="39">
        <v>11</v>
      </c>
      <c r="AF298" s="39" t="s">
        <v>152</v>
      </c>
      <c r="AG298" s="27">
        <v>95</v>
      </c>
      <c r="AH298" s="39">
        <v>2036</v>
      </c>
      <c r="AI298" s="41" t="s">
        <v>162</v>
      </c>
      <c r="AJ298" s="27"/>
      <c r="AK298" s="44"/>
      <c r="AL298" s="45" t="s">
        <v>155</v>
      </c>
      <c r="AM298" s="39" t="s">
        <v>39</v>
      </c>
      <c r="AN298" s="39">
        <v>11</v>
      </c>
      <c r="AO298" s="39" t="s">
        <v>152</v>
      </c>
      <c r="AP298" s="27">
        <v>95</v>
      </c>
      <c r="AQ298" s="39" t="s">
        <v>98</v>
      </c>
      <c r="AR298" s="41" t="s">
        <v>180</v>
      </c>
      <c r="AS298" s="27"/>
      <c r="AT298" s="44"/>
      <c r="AU298" s="45" t="s">
        <v>155</v>
      </c>
      <c r="AV298" s="39" t="s">
        <v>39</v>
      </c>
      <c r="AW298" s="39">
        <v>11</v>
      </c>
      <c r="AX298" s="39" t="s">
        <v>152</v>
      </c>
      <c r="AY298" s="27">
        <v>95</v>
      </c>
      <c r="AZ298" s="39">
        <v>1051</v>
      </c>
      <c r="BA298" s="41" t="s">
        <v>164</v>
      </c>
      <c r="BB298" s="27"/>
      <c r="BC298" s="44"/>
      <c r="BD298" s="45" t="s">
        <v>155</v>
      </c>
      <c r="BE298" s="39" t="s">
        <v>39</v>
      </c>
      <c r="BF298" s="39">
        <v>11</v>
      </c>
      <c r="BG298" s="39" t="s">
        <v>152</v>
      </c>
      <c r="BH298" s="27">
        <v>95</v>
      </c>
      <c r="BI298" s="39">
        <v>1017</v>
      </c>
      <c r="BJ298" s="41" t="s">
        <v>169</v>
      </c>
      <c r="BK298" s="27"/>
      <c r="BL298" s="44"/>
      <c r="BM298" s="45" t="s">
        <v>155</v>
      </c>
      <c r="BN298" s="39" t="s">
        <v>39</v>
      </c>
      <c r="BO298" s="39">
        <v>11</v>
      </c>
      <c r="BP298" s="39" t="s">
        <v>152</v>
      </c>
      <c r="BQ298" s="27">
        <v>95</v>
      </c>
      <c r="BR298" s="39">
        <v>1063</v>
      </c>
      <c r="BS298" s="27" t="s">
        <v>170</v>
      </c>
      <c r="BT298" s="27"/>
      <c r="BU298" s="44"/>
      <c r="BV298" s="45" t="s">
        <v>155</v>
      </c>
      <c r="BW298" s="39" t="s">
        <v>39</v>
      </c>
      <c r="BX298" s="39">
        <v>11</v>
      </c>
      <c r="BY298" s="39" t="s">
        <v>152</v>
      </c>
      <c r="BZ298" s="27">
        <v>95</v>
      </c>
      <c r="CA298" s="39">
        <v>1065</v>
      </c>
      <c r="CB298" s="41" t="s">
        <v>161</v>
      </c>
      <c r="CC298" s="27"/>
      <c r="CD298" s="44"/>
      <c r="CE298" s="45" t="s">
        <v>155</v>
      </c>
      <c r="CF298" s="39" t="s">
        <v>39</v>
      </c>
      <c r="CG298" s="39">
        <v>11</v>
      </c>
      <c r="CH298" s="39" t="s">
        <v>152</v>
      </c>
      <c r="CI298" s="27">
        <v>95</v>
      </c>
      <c r="CJ298" s="39"/>
      <c r="CK298" s="41" t="s">
        <v>182</v>
      </c>
    </row>
    <row r="299" spans="1:89" ht="15.75" thickBot="1" x14ac:dyDescent="0.3">
      <c r="A299" s="69"/>
      <c r="B299" s="70" t="s">
        <v>155</v>
      </c>
      <c r="C299" s="71" t="s">
        <v>39</v>
      </c>
      <c r="D299" s="71">
        <v>12</v>
      </c>
      <c r="E299" s="71" t="s">
        <v>152</v>
      </c>
      <c r="F299" s="72">
        <v>96</v>
      </c>
      <c r="G299" s="39">
        <v>1050</v>
      </c>
      <c r="H299" s="46" t="s">
        <v>177</v>
      </c>
      <c r="I299" s="27"/>
      <c r="J299" s="69"/>
      <c r="K299" s="70" t="s">
        <v>155</v>
      </c>
      <c r="L299" s="71" t="s">
        <v>39</v>
      </c>
      <c r="M299" s="71">
        <v>12</v>
      </c>
      <c r="N299" s="71" t="s">
        <v>152</v>
      </c>
      <c r="O299" s="72">
        <v>96</v>
      </c>
      <c r="P299" s="39">
        <v>1054</v>
      </c>
      <c r="Q299" s="41" t="s">
        <v>187</v>
      </c>
      <c r="R299" s="27"/>
      <c r="S299" s="69"/>
      <c r="T299" s="70" t="s">
        <v>155</v>
      </c>
      <c r="U299" s="71" t="s">
        <v>39</v>
      </c>
      <c r="V299" s="71">
        <v>12</v>
      </c>
      <c r="W299" s="71" t="s">
        <v>152</v>
      </c>
      <c r="X299" s="72">
        <v>96</v>
      </c>
      <c r="Y299" s="39">
        <v>2030</v>
      </c>
      <c r="Z299" s="41" t="s">
        <v>184</v>
      </c>
      <c r="AA299" s="27"/>
      <c r="AB299" s="69"/>
      <c r="AC299" s="70" t="s">
        <v>155</v>
      </c>
      <c r="AD299" s="71" t="s">
        <v>39</v>
      </c>
      <c r="AE299" s="71">
        <v>12</v>
      </c>
      <c r="AF299" s="71" t="s">
        <v>152</v>
      </c>
      <c r="AG299" s="72">
        <v>96</v>
      </c>
      <c r="AH299" s="39">
        <v>2036</v>
      </c>
      <c r="AI299" s="46" t="s">
        <v>170</v>
      </c>
      <c r="AJ299" s="27"/>
      <c r="AK299" s="69"/>
      <c r="AL299" s="70" t="s">
        <v>155</v>
      </c>
      <c r="AM299" s="71" t="s">
        <v>39</v>
      </c>
      <c r="AN299" s="71">
        <v>12</v>
      </c>
      <c r="AO299" s="71" t="s">
        <v>152</v>
      </c>
      <c r="AP299" s="72">
        <v>96</v>
      </c>
      <c r="AQ299" s="39" t="s">
        <v>98</v>
      </c>
      <c r="AR299" s="46" t="s">
        <v>181</v>
      </c>
      <c r="AS299" s="27"/>
      <c r="AT299" s="69"/>
      <c r="AU299" s="70" t="s">
        <v>155</v>
      </c>
      <c r="AV299" s="71" t="s">
        <v>39</v>
      </c>
      <c r="AW299" s="71">
        <v>12</v>
      </c>
      <c r="AX299" s="71" t="s">
        <v>152</v>
      </c>
      <c r="AY299" s="72">
        <v>96</v>
      </c>
      <c r="AZ299" s="39">
        <v>1051</v>
      </c>
      <c r="BA299" s="41" t="s">
        <v>172</v>
      </c>
      <c r="BB299" s="27"/>
      <c r="BC299" s="69"/>
      <c r="BD299" s="70" t="s">
        <v>155</v>
      </c>
      <c r="BE299" s="71" t="s">
        <v>39</v>
      </c>
      <c r="BF299" s="71">
        <v>12</v>
      </c>
      <c r="BG299" s="71" t="s">
        <v>152</v>
      </c>
      <c r="BH299" s="72">
        <v>96</v>
      </c>
      <c r="BI299" s="39">
        <v>1017</v>
      </c>
      <c r="BJ299" s="41" t="s">
        <v>177</v>
      </c>
      <c r="BK299" s="27"/>
      <c r="BL299" s="69"/>
      <c r="BM299" s="70" t="s">
        <v>155</v>
      </c>
      <c r="BN299" s="71" t="s">
        <v>39</v>
      </c>
      <c r="BO299" s="71">
        <v>12</v>
      </c>
      <c r="BP299" s="71" t="s">
        <v>152</v>
      </c>
      <c r="BQ299" s="72">
        <v>96</v>
      </c>
      <c r="BR299" s="39">
        <v>1063</v>
      </c>
      <c r="BS299" s="27" t="s">
        <v>178</v>
      </c>
      <c r="BT299" s="27"/>
      <c r="BU299" s="69"/>
      <c r="BV299" s="70" t="s">
        <v>155</v>
      </c>
      <c r="BW299" s="71" t="s">
        <v>39</v>
      </c>
      <c r="BX299" s="71">
        <v>12</v>
      </c>
      <c r="BY299" s="71" t="s">
        <v>152</v>
      </c>
      <c r="BZ299" s="72">
        <v>96</v>
      </c>
      <c r="CA299" s="39">
        <v>1065</v>
      </c>
      <c r="CB299" s="41" t="s">
        <v>169</v>
      </c>
      <c r="CC299" s="27"/>
      <c r="CD299" s="69"/>
      <c r="CE299" s="70" t="s">
        <v>155</v>
      </c>
      <c r="CF299" s="71" t="s">
        <v>39</v>
      </c>
      <c r="CG299" s="71">
        <v>12</v>
      </c>
      <c r="CH299" s="71" t="s">
        <v>152</v>
      </c>
      <c r="CI299" s="72">
        <v>96</v>
      </c>
      <c r="CJ299" s="39"/>
      <c r="CK299" s="41" t="s">
        <v>184</v>
      </c>
    </row>
    <row r="301" spans="1:89" x14ac:dyDescent="0.25">
      <c r="A301" t="s">
        <v>338</v>
      </c>
      <c r="J301" t="s">
        <v>339</v>
      </c>
      <c r="S301" t="s">
        <v>340</v>
      </c>
      <c r="AB301" t="s">
        <v>341</v>
      </c>
      <c r="AK301" t="s">
        <v>342</v>
      </c>
      <c r="AT301" t="s">
        <v>343</v>
      </c>
      <c r="BC301" t="s">
        <v>344</v>
      </c>
    </row>
    <row r="302" spans="1:89" x14ac:dyDescent="0.25">
      <c r="A302" t="s">
        <v>338</v>
      </c>
      <c r="B302">
        <v>1016452</v>
      </c>
      <c r="D302">
        <v>1016570</v>
      </c>
      <c r="E302" s="39" t="s">
        <v>137</v>
      </c>
      <c r="J302" t="s">
        <v>339</v>
      </c>
      <c r="K302">
        <v>1016457</v>
      </c>
      <c r="M302">
        <v>1015719</v>
      </c>
      <c r="P302" t="s">
        <v>137</v>
      </c>
      <c r="S302" t="s">
        <v>340</v>
      </c>
      <c r="T302">
        <v>1016540</v>
      </c>
      <c r="V302">
        <v>1015551</v>
      </c>
      <c r="Y302" t="s">
        <v>137</v>
      </c>
      <c r="AB302" t="s">
        <v>341</v>
      </c>
      <c r="AC302">
        <v>1016453</v>
      </c>
      <c r="AE302">
        <v>1016535</v>
      </c>
      <c r="AF302" s="39" t="s">
        <v>137</v>
      </c>
      <c r="AK302" t="s">
        <v>342</v>
      </c>
      <c r="AL302">
        <v>1016537</v>
      </c>
      <c r="AN302">
        <v>1016536</v>
      </c>
      <c r="AO302" s="39" t="s">
        <v>137</v>
      </c>
      <c r="AT302" t="s">
        <v>343</v>
      </c>
      <c r="AU302">
        <v>1015718</v>
      </c>
      <c r="AW302">
        <v>1016569</v>
      </c>
      <c r="AX302" s="39" t="s">
        <v>137</v>
      </c>
      <c r="BC302" t="s">
        <v>344</v>
      </c>
      <c r="BD302">
        <v>1016524</v>
      </c>
      <c r="BF302">
        <v>1016522</v>
      </c>
      <c r="BH302" t="s">
        <v>137</v>
      </c>
      <c r="BL302" t="s">
        <v>345</v>
      </c>
      <c r="BM302">
        <v>1016531</v>
      </c>
      <c r="BO302" t="s">
        <v>346</v>
      </c>
      <c r="BU302" t="s">
        <v>347</v>
      </c>
      <c r="BV302">
        <v>1016528</v>
      </c>
      <c r="BX302" t="s">
        <v>348</v>
      </c>
      <c r="CD302" t="s">
        <v>349</v>
      </c>
      <c r="CE302">
        <v>1016745</v>
      </c>
      <c r="CG302" t="s">
        <v>350</v>
      </c>
    </row>
    <row r="303" spans="1:89" ht="15.75" thickBot="1" x14ac:dyDescent="0.3">
      <c r="A303" s="28" t="s">
        <v>143</v>
      </c>
      <c r="B303" s="28" t="s">
        <v>144</v>
      </c>
      <c r="C303" s="28" t="s">
        <v>145</v>
      </c>
      <c r="D303" s="28" t="s">
        <v>146</v>
      </c>
      <c r="E303" s="28" t="s">
        <v>147</v>
      </c>
      <c r="F303" s="28" t="s">
        <v>148</v>
      </c>
      <c r="G303" s="28" t="s">
        <v>149</v>
      </c>
      <c r="H303" s="28" t="s">
        <v>150</v>
      </c>
      <c r="J303" s="28" t="s">
        <v>143</v>
      </c>
      <c r="K303" s="28" t="s">
        <v>144</v>
      </c>
      <c r="L303" s="28" t="s">
        <v>145</v>
      </c>
      <c r="M303" s="28" t="s">
        <v>146</v>
      </c>
      <c r="N303" s="28" t="s">
        <v>147</v>
      </c>
      <c r="O303" s="28" t="s">
        <v>148</v>
      </c>
      <c r="P303" s="28" t="s">
        <v>149</v>
      </c>
      <c r="Q303" s="28" t="s">
        <v>150</v>
      </c>
      <c r="S303" s="28" t="s">
        <v>143</v>
      </c>
      <c r="T303" s="28" t="s">
        <v>144</v>
      </c>
      <c r="U303" s="28" t="s">
        <v>145</v>
      </c>
      <c r="V303" s="28" t="s">
        <v>146</v>
      </c>
      <c r="W303" s="28" t="s">
        <v>147</v>
      </c>
      <c r="X303" s="28" t="s">
        <v>148</v>
      </c>
      <c r="Y303" s="28" t="s">
        <v>149</v>
      </c>
      <c r="Z303" s="28" t="s">
        <v>150</v>
      </c>
      <c r="AB303" s="28" t="s">
        <v>143</v>
      </c>
      <c r="AC303" s="28" t="s">
        <v>144</v>
      </c>
      <c r="AD303" s="28" t="s">
        <v>145</v>
      </c>
      <c r="AE303" s="28" t="s">
        <v>146</v>
      </c>
      <c r="AF303" s="28" t="s">
        <v>147</v>
      </c>
      <c r="AG303" s="28" t="s">
        <v>148</v>
      </c>
      <c r="AH303" s="28" t="s">
        <v>149</v>
      </c>
      <c r="AI303" s="28" t="s">
        <v>150</v>
      </c>
      <c r="AK303" s="28" t="s">
        <v>143</v>
      </c>
      <c r="AL303" s="28" t="s">
        <v>144</v>
      </c>
      <c r="AM303" s="28" t="s">
        <v>145</v>
      </c>
      <c r="AN303" s="28" t="s">
        <v>146</v>
      </c>
      <c r="AO303" s="28" t="s">
        <v>147</v>
      </c>
      <c r="AP303" s="28" t="s">
        <v>148</v>
      </c>
      <c r="AQ303" s="28" t="s">
        <v>149</v>
      </c>
      <c r="AR303" s="28" t="s">
        <v>150</v>
      </c>
      <c r="AT303" s="28" t="s">
        <v>143</v>
      </c>
      <c r="AU303" s="28" t="s">
        <v>144</v>
      </c>
      <c r="AV303" s="28" t="s">
        <v>145</v>
      </c>
      <c r="AW303" s="28" t="s">
        <v>146</v>
      </c>
      <c r="AX303" s="28" t="s">
        <v>147</v>
      </c>
      <c r="AY303" s="28" t="s">
        <v>148</v>
      </c>
      <c r="AZ303" s="28" t="s">
        <v>149</v>
      </c>
      <c r="BA303" s="28" t="s">
        <v>150</v>
      </c>
      <c r="BC303" s="28" t="s">
        <v>143</v>
      </c>
      <c r="BD303" s="28" t="s">
        <v>144</v>
      </c>
      <c r="BE303" s="28" t="s">
        <v>145</v>
      </c>
      <c r="BF303" s="28" t="s">
        <v>146</v>
      </c>
      <c r="BG303" s="28" t="s">
        <v>147</v>
      </c>
      <c r="BH303" s="28" t="s">
        <v>148</v>
      </c>
      <c r="BI303" s="28" t="s">
        <v>149</v>
      </c>
      <c r="BJ303" s="28" t="s">
        <v>150</v>
      </c>
      <c r="BL303" s="28" t="s">
        <v>143</v>
      </c>
      <c r="BM303" s="28" t="s">
        <v>144</v>
      </c>
      <c r="BN303" s="28" t="s">
        <v>145</v>
      </c>
      <c r="BO303" s="28" t="s">
        <v>146</v>
      </c>
      <c r="BP303" s="28" t="s">
        <v>147</v>
      </c>
      <c r="BQ303" s="28" t="s">
        <v>148</v>
      </c>
      <c r="BR303" s="28" t="s">
        <v>149</v>
      </c>
      <c r="BS303" s="28" t="s">
        <v>150</v>
      </c>
      <c r="BU303" s="28" t="s">
        <v>143</v>
      </c>
      <c r="BV303" s="28" t="s">
        <v>144</v>
      </c>
      <c r="BW303" s="28" t="s">
        <v>145</v>
      </c>
      <c r="BX303" s="28" t="s">
        <v>146</v>
      </c>
      <c r="BY303" s="28" t="s">
        <v>147</v>
      </c>
      <c r="BZ303" s="28" t="s">
        <v>148</v>
      </c>
      <c r="CA303" s="28" t="s">
        <v>149</v>
      </c>
      <c r="CB303" s="28" t="s">
        <v>150</v>
      </c>
      <c r="CD303" s="28" t="s">
        <v>143</v>
      </c>
      <c r="CE303" s="28" t="s">
        <v>144</v>
      </c>
      <c r="CF303" s="28" t="s">
        <v>145</v>
      </c>
      <c r="CG303" s="28" t="s">
        <v>146</v>
      </c>
      <c r="CH303" s="28" t="s">
        <v>147</v>
      </c>
      <c r="CI303" s="28" t="s">
        <v>148</v>
      </c>
      <c r="CJ303" s="28" t="s">
        <v>149</v>
      </c>
      <c r="CK303" s="28" t="s">
        <v>150</v>
      </c>
    </row>
    <row r="304" spans="1:89" x14ac:dyDescent="0.25">
      <c r="A304" s="30"/>
      <c r="B304" s="31" t="s">
        <v>155</v>
      </c>
      <c r="C304" s="6" t="s">
        <v>0</v>
      </c>
      <c r="D304" s="6">
        <v>1</v>
      </c>
      <c r="E304" s="6" t="s">
        <v>152</v>
      </c>
      <c r="F304" s="32">
        <v>1</v>
      </c>
      <c r="G304" s="10">
        <v>1065</v>
      </c>
      <c r="H304" t="s">
        <v>187</v>
      </c>
      <c r="J304" s="30"/>
      <c r="K304" s="31" t="s">
        <v>155</v>
      </c>
      <c r="L304" s="6" t="s">
        <v>0</v>
      </c>
      <c r="M304" s="6">
        <v>1</v>
      </c>
      <c r="N304" s="6" t="s">
        <v>152</v>
      </c>
      <c r="O304" s="32">
        <v>1</v>
      </c>
      <c r="P304" s="10" t="s">
        <v>123</v>
      </c>
      <c r="Q304" t="s">
        <v>176</v>
      </c>
      <c r="S304" s="30"/>
      <c r="T304" s="31" t="s">
        <v>155</v>
      </c>
      <c r="U304" s="6" t="s">
        <v>0</v>
      </c>
      <c r="V304" s="6">
        <v>1</v>
      </c>
      <c r="W304" s="6" t="s">
        <v>152</v>
      </c>
      <c r="X304" s="32">
        <v>1</v>
      </c>
      <c r="Y304" s="10" t="s">
        <v>351</v>
      </c>
      <c r="Z304" s="43" t="s">
        <v>161</v>
      </c>
      <c r="AB304" s="30"/>
      <c r="AC304" s="31" t="s">
        <v>155</v>
      </c>
      <c r="AD304" s="6" t="s">
        <v>0</v>
      </c>
      <c r="AE304" s="6">
        <v>1</v>
      </c>
      <c r="AF304" s="6" t="s">
        <v>152</v>
      </c>
      <c r="AG304" s="32">
        <v>1</v>
      </c>
      <c r="AH304" s="10" t="s">
        <v>125</v>
      </c>
      <c r="AI304" s="43" t="s">
        <v>182</v>
      </c>
      <c r="AK304" s="30"/>
      <c r="AL304" s="31" t="s">
        <v>155</v>
      </c>
      <c r="AM304" s="6" t="s">
        <v>0</v>
      </c>
      <c r="AN304" s="6">
        <v>1</v>
      </c>
      <c r="AO304" s="6" t="s">
        <v>152</v>
      </c>
      <c r="AP304" s="32">
        <v>1</v>
      </c>
      <c r="AQ304" s="10">
        <v>2040</v>
      </c>
      <c r="AR304" s="43" t="s">
        <v>182</v>
      </c>
      <c r="AT304" s="30"/>
      <c r="AU304" s="31" t="s">
        <v>155</v>
      </c>
      <c r="AV304" s="6" t="s">
        <v>0</v>
      </c>
      <c r="AW304" s="6">
        <v>1</v>
      </c>
      <c r="AX304" s="6" t="s">
        <v>152</v>
      </c>
      <c r="AY304" s="32">
        <v>1</v>
      </c>
      <c r="AZ304" s="10">
        <v>1013</v>
      </c>
      <c r="BA304" s="43" t="s">
        <v>171</v>
      </c>
      <c r="BC304" s="30"/>
      <c r="BD304" s="31" t="s">
        <v>155</v>
      </c>
      <c r="BE304" s="6" t="s">
        <v>0</v>
      </c>
      <c r="BF304" s="6">
        <v>1</v>
      </c>
      <c r="BG304" s="6" t="s">
        <v>152</v>
      </c>
      <c r="BH304" s="32">
        <v>1</v>
      </c>
      <c r="BI304" s="10" t="s">
        <v>8</v>
      </c>
      <c r="BJ304" s="43" t="s">
        <v>160</v>
      </c>
      <c r="BL304" s="30"/>
      <c r="BM304" s="31" t="s">
        <v>155</v>
      </c>
      <c r="BN304" s="6" t="s">
        <v>0</v>
      </c>
      <c r="BO304" s="6">
        <v>1</v>
      </c>
      <c r="BP304" s="6" t="s">
        <v>152</v>
      </c>
      <c r="BQ304" s="32">
        <v>1</v>
      </c>
      <c r="BR304" s="10">
        <v>3012</v>
      </c>
      <c r="BS304" t="s">
        <v>163</v>
      </c>
      <c r="BU304" s="30"/>
      <c r="BV304" s="31" t="s">
        <v>155</v>
      </c>
      <c r="BW304" s="6" t="s">
        <v>0</v>
      </c>
      <c r="BX304" s="6">
        <v>1</v>
      </c>
      <c r="BY304" s="6" t="s">
        <v>152</v>
      </c>
      <c r="BZ304" s="32">
        <v>1</v>
      </c>
      <c r="CA304" s="10">
        <v>1073</v>
      </c>
      <c r="CB304" s="43" t="s">
        <v>186</v>
      </c>
      <c r="CD304" s="30"/>
      <c r="CE304" s="31" t="s">
        <v>155</v>
      </c>
      <c r="CF304" s="6" t="s">
        <v>0</v>
      </c>
      <c r="CG304" s="6">
        <v>1</v>
      </c>
      <c r="CH304" s="6" t="s">
        <v>152</v>
      </c>
      <c r="CI304" s="32">
        <v>1</v>
      </c>
      <c r="CJ304" s="10">
        <v>1083</v>
      </c>
      <c r="CK304" s="43" t="s">
        <v>169</v>
      </c>
    </row>
    <row r="305" spans="1:89" ht="15.75" thickBot="1" x14ac:dyDescent="0.3">
      <c r="A305" s="42"/>
      <c r="B305" s="34" t="s">
        <v>155</v>
      </c>
      <c r="C305" s="10" t="s">
        <v>0</v>
      </c>
      <c r="D305" s="10">
        <v>2</v>
      </c>
      <c r="E305" s="10" t="s">
        <v>152</v>
      </c>
      <c r="F305">
        <v>2</v>
      </c>
      <c r="G305" s="10">
        <v>1065</v>
      </c>
      <c r="H305" t="s">
        <v>189</v>
      </c>
      <c r="J305" s="42"/>
      <c r="K305" s="34" t="s">
        <v>155</v>
      </c>
      <c r="L305" s="10" t="s">
        <v>0</v>
      </c>
      <c r="M305" s="10">
        <v>2</v>
      </c>
      <c r="N305" s="10" t="s">
        <v>152</v>
      </c>
      <c r="O305">
        <v>2</v>
      </c>
      <c r="P305" s="10" t="s">
        <v>123</v>
      </c>
      <c r="Q305" t="s">
        <v>164</v>
      </c>
      <c r="S305" s="42"/>
      <c r="T305" s="34" t="s">
        <v>155</v>
      </c>
      <c r="U305" s="10" t="s">
        <v>0</v>
      </c>
      <c r="V305" s="10">
        <v>2</v>
      </c>
      <c r="W305" s="10" t="s">
        <v>152</v>
      </c>
      <c r="X305">
        <v>2</v>
      </c>
      <c r="Y305" s="10" t="s">
        <v>352</v>
      </c>
      <c r="Z305" s="43" t="s">
        <v>169</v>
      </c>
      <c r="AB305" s="42"/>
      <c r="AC305" s="34" t="s">
        <v>155</v>
      </c>
      <c r="AD305" s="10" t="s">
        <v>0</v>
      </c>
      <c r="AE305" s="10">
        <v>2</v>
      </c>
      <c r="AF305" s="10" t="s">
        <v>152</v>
      </c>
      <c r="AG305">
        <v>2</v>
      </c>
      <c r="AH305" s="10" t="s">
        <v>127</v>
      </c>
      <c r="AI305" s="43" t="s">
        <v>184</v>
      </c>
      <c r="AK305" s="42"/>
      <c r="AL305" s="34" t="s">
        <v>155</v>
      </c>
      <c r="AM305" s="10" t="s">
        <v>0</v>
      </c>
      <c r="AN305" s="10">
        <v>2</v>
      </c>
      <c r="AO305" s="10" t="s">
        <v>152</v>
      </c>
      <c r="AP305">
        <v>2</v>
      </c>
      <c r="AQ305" s="10">
        <v>2040</v>
      </c>
      <c r="AR305" s="43" t="s">
        <v>184</v>
      </c>
      <c r="AT305" s="42"/>
      <c r="AU305" s="34" t="s">
        <v>155</v>
      </c>
      <c r="AV305" s="10" t="s">
        <v>0</v>
      </c>
      <c r="AW305" s="10">
        <v>2</v>
      </c>
      <c r="AX305" s="10" t="s">
        <v>152</v>
      </c>
      <c r="AY305">
        <v>2</v>
      </c>
      <c r="AZ305" s="10">
        <v>1013</v>
      </c>
      <c r="BA305" s="43" t="s">
        <v>161</v>
      </c>
      <c r="BC305" s="42"/>
      <c r="BD305" s="34" t="s">
        <v>155</v>
      </c>
      <c r="BE305" s="10" t="s">
        <v>0</v>
      </c>
      <c r="BF305" s="10">
        <v>2</v>
      </c>
      <c r="BG305" s="10" t="s">
        <v>152</v>
      </c>
      <c r="BH305">
        <v>2</v>
      </c>
      <c r="BI305" s="10" t="s">
        <v>11</v>
      </c>
      <c r="BJ305" s="43" t="s">
        <v>168</v>
      </c>
      <c r="BL305" s="42"/>
      <c r="BM305" s="34" t="s">
        <v>155</v>
      </c>
      <c r="BN305" s="10" t="s">
        <v>0</v>
      </c>
      <c r="BO305" s="10">
        <v>2</v>
      </c>
      <c r="BP305" s="10" t="s">
        <v>152</v>
      </c>
      <c r="BQ305">
        <v>2</v>
      </c>
      <c r="BR305" s="10">
        <v>3012</v>
      </c>
      <c r="BS305" t="s">
        <v>171</v>
      </c>
      <c r="BU305" s="42"/>
      <c r="BV305" s="34" t="s">
        <v>155</v>
      </c>
      <c r="BW305" s="10" t="s">
        <v>0</v>
      </c>
      <c r="BX305" s="10">
        <v>2</v>
      </c>
      <c r="BY305" s="10" t="s">
        <v>152</v>
      </c>
      <c r="BZ305">
        <v>2</v>
      </c>
      <c r="CA305" s="10">
        <v>1073</v>
      </c>
      <c r="CB305" s="43" t="s">
        <v>188</v>
      </c>
      <c r="CD305" s="42"/>
      <c r="CE305" s="34" t="s">
        <v>155</v>
      </c>
      <c r="CF305" s="10" t="s">
        <v>0</v>
      </c>
      <c r="CG305" s="10">
        <v>2</v>
      </c>
      <c r="CH305" s="10" t="s">
        <v>152</v>
      </c>
      <c r="CI305">
        <v>2</v>
      </c>
      <c r="CJ305" s="10">
        <v>1083</v>
      </c>
      <c r="CK305" s="43" t="s">
        <v>177</v>
      </c>
    </row>
    <row r="306" spans="1:89" x14ac:dyDescent="0.25">
      <c r="A306" s="42"/>
      <c r="B306" s="34" t="s">
        <v>155</v>
      </c>
      <c r="C306" s="10" t="s">
        <v>0</v>
      </c>
      <c r="D306" s="10">
        <v>3</v>
      </c>
      <c r="E306" s="10" t="s">
        <v>152</v>
      </c>
      <c r="F306">
        <v>3</v>
      </c>
      <c r="G306" s="10" t="s">
        <v>110</v>
      </c>
      <c r="H306" t="s">
        <v>160</v>
      </c>
      <c r="J306" s="42"/>
      <c r="K306" s="34" t="s">
        <v>155</v>
      </c>
      <c r="L306" s="10" t="s">
        <v>0</v>
      </c>
      <c r="M306" s="10">
        <v>3</v>
      </c>
      <c r="N306" s="10" t="s">
        <v>152</v>
      </c>
      <c r="O306">
        <v>3</v>
      </c>
      <c r="P306" s="10" t="s">
        <v>123</v>
      </c>
      <c r="Q306" t="s">
        <v>172</v>
      </c>
      <c r="S306" s="42"/>
      <c r="T306" s="34" t="s">
        <v>155</v>
      </c>
      <c r="U306" s="10" t="s">
        <v>0</v>
      </c>
      <c r="V306" s="10">
        <v>3</v>
      </c>
      <c r="W306" s="10" t="s">
        <v>152</v>
      </c>
      <c r="X306">
        <v>3</v>
      </c>
      <c r="Y306" s="10" t="s">
        <v>353</v>
      </c>
      <c r="Z306" t="s">
        <v>177</v>
      </c>
      <c r="AB306" s="42"/>
      <c r="AC306" s="34" t="s">
        <v>155</v>
      </c>
      <c r="AD306" s="10" t="s">
        <v>0</v>
      </c>
      <c r="AE306" s="10">
        <v>3</v>
      </c>
      <c r="AF306" s="10" t="s">
        <v>152</v>
      </c>
      <c r="AG306">
        <v>3</v>
      </c>
      <c r="AH306" s="10" t="s">
        <v>129</v>
      </c>
      <c r="AI306" s="43" t="s">
        <v>187</v>
      </c>
      <c r="AK306" s="42"/>
      <c r="AL306" s="34" t="s">
        <v>155</v>
      </c>
      <c r="AM306" s="10" t="s">
        <v>0</v>
      </c>
      <c r="AN306" s="10">
        <v>3</v>
      </c>
      <c r="AO306" s="10" t="s">
        <v>152</v>
      </c>
      <c r="AP306">
        <v>3</v>
      </c>
      <c r="AQ306" s="10">
        <v>2040</v>
      </c>
      <c r="AR306" s="43" t="s">
        <v>187</v>
      </c>
      <c r="AT306" s="42"/>
      <c r="AU306" s="34" t="s">
        <v>155</v>
      </c>
      <c r="AV306" s="10" t="s">
        <v>0</v>
      </c>
      <c r="AW306" s="10">
        <v>3</v>
      </c>
      <c r="AX306" s="10" t="s">
        <v>152</v>
      </c>
      <c r="AY306">
        <v>3</v>
      </c>
      <c r="AZ306" s="10">
        <v>1013</v>
      </c>
      <c r="BA306" s="33" t="s">
        <v>169</v>
      </c>
      <c r="BC306" s="42"/>
      <c r="BD306" s="34" t="s">
        <v>155</v>
      </c>
      <c r="BE306" s="10" t="s">
        <v>0</v>
      </c>
      <c r="BF306" s="10">
        <v>3</v>
      </c>
      <c r="BG306" s="10" t="s">
        <v>152</v>
      </c>
      <c r="BH306">
        <v>3</v>
      </c>
      <c r="BI306" s="10" t="s">
        <v>14</v>
      </c>
      <c r="BJ306" s="43" t="s">
        <v>176</v>
      </c>
      <c r="BL306" s="42"/>
      <c r="BM306" s="34" t="s">
        <v>155</v>
      </c>
      <c r="BN306" s="10" t="s">
        <v>0</v>
      </c>
      <c r="BO306" s="10">
        <v>3</v>
      </c>
      <c r="BP306" s="10" t="s">
        <v>152</v>
      </c>
      <c r="BQ306">
        <v>3</v>
      </c>
      <c r="BR306" s="10">
        <v>3012</v>
      </c>
      <c r="BS306" t="s">
        <v>161</v>
      </c>
      <c r="BU306" s="42"/>
      <c r="BV306" s="34" t="s">
        <v>155</v>
      </c>
      <c r="BW306" s="10" t="s">
        <v>0</v>
      </c>
      <c r="BX306" s="10">
        <v>3</v>
      </c>
      <c r="BY306" s="10" t="s">
        <v>152</v>
      </c>
      <c r="BZ306">
        <v>3</v>
      </c>
      <c r="CA306" s="10">
        <v>1073</v>
      </c>
      <c r="CB306" s="43" t="s">
        <v>182</v>
      </c>
      <c r="CD306" s="42"/>
      <c r="CE306" s="34" t="s">
        <v>155</v>
      </c>
      <c r="CF306" s="10" t="s">
        <v>0</v>
      </c>
      <c r="CG306" s="10">
        <v>3</v>
      </c>
      <c r="CH306" s="10" t="s">
        <v>152</v>
      </c>
      <c r="CI306">
        <v>3</v>
      </c>
      <c r="CJ306" s="10">
        <v>1083</v>
      </c>
      <c r="CK306" s="43" t="s">
        <v>180</v>
      </c>
    </row>
    <row r="307" spans="1:89" x14ac:dyDescent="0.25">
      <c r="A307" s="42"/>
      <c r="B307" s="34" t="s">
        <v>155</v>
      </c>
      <c r="C307" s="10" t="s">
        <v>0</v>
      </c>
      <c r="D307" s="10">
        <v>4</v>
      </c>
      <c r="E307" s="10" t="s">
        <v>152</v>
      </c>
      <c r="F307">
        <v>4</v>
      </c>
      <c r="G307" s="10" t="s">
        <v>110</v>
      </c>
      <c r="H307" t="s">
        <v>168</v>
      </c>
      <c r="J307" s="42"/>
      <c r="K307" s="34" t="s">
        <v>155</v>
      </c>
      <c r="L307" s="10" t="s">
        <v>0</v>
      </c>
      <c r="M307" s="10">
        <v>4</v>
      </c>
      <c r="N307" s="10" t="s">
        <v>152</v>
      </c>
      <c r="O307">
        <v>4</v>
      </c>
      <c r="P307" s="10" t="s">
        <v>123</v>
      </c>
      <c r="Q307" t="s">
        <v>162</v>
      </c>
      <c r="S307" s="42"/>
      <c r="T307" s="34" t="s">
        <v>155</v>
      </c>
      <c r="U307" s="10" t="s">
        <v>0</v>
      </c>
      <c r="V307" s="10">
        <v>4</v>
      </c>
      <c r="W307" s="10" t="s">
        <v>152</v>
      </c>
      <c r="X307">
        <v>4</v>
      </c>
      <c r="Y307" s="10" t="s">
        <v>354</v>
      </c>
      <c r="Z307" t="s">
        <v>180</v>
      </c>
      <c r="AB307" s="42"/>
      <c r="AC307" s="34" t="s">
        <v>155</v>
      </c>
      <c r="AD307" s="10" t="s">
        <v>0</v>
      </c>
      <c r="AE307" s="10">
        <v>4</v>
      </c>
      <c r="AF307" s="10" t="s">
        <v>152</v>
      </c>
      <c r="AG307">
        <v>4</v>
      </c>
      <c r="AH307" s="10" t="s">
        <v>131</v>
      </c>
      <c r="AI307" s="43" t="s">
        <v>189</v>
      </c>
      <c r="AK307" s="42"/>
      <c r="AL307" s="34" t="s">
        <v>155</v>
      </c>
      <c r="AM307" s="10" t="s">
        <v>0</v>
      </c>
      <c r="AN307" s="10">
        <v>4</v>
      </c>
      <c r="AO307" s="10" t="s">
        <v>152</v>
      </c>
      <c r="AP307">
        <v>4</v>
      </c>
      <c r="AQ307" s="10">
        <v>2040</v>
      </c>
      <c r="AR307" s="43" t="s">
        <v>189</v>
      </c>
      <c r="AT307" s="42"/>
      <c r="AU307" s="34" t="s">
        <v>155</v>
      </c>
      <c r="AV307" s="10" t="s">
        <v>0</v>
      </c>
      <c r="AW307" s="10">
        <v>4</v>
      </c>
      <c r="AX307" s="10" t="s">
        <v>152</v>
      </c>
      <c r="AY307">
        <v>4</v>
      </c>
      <c r="AZ307" s="10">
        <v>1013</v>
      </c>
      <c r="BA307" s="43" t="s">
        <v>177</v>
      </c>
      <c r="BC307" s="42"/>
      <c r="BD307" s="34" t="s">
        <v>155</v>
      </c>
      <c r="BE307" s="10" t="s">
        <v>0</v>
      </c>
      <c r="BF307" s="10">
        <v>4</v>
      </c>
      <c r="BG307" s="10" t="s">
        <v>152</v>
      </c>
      <c r="BH307">
        <v>4</v>
      </c>
      <c r="BI307" s="10" t="s">
        <v>17</v>
      </c>
      <c r="BJ307" s="43" t="s">
        <v>164</v>
      </c>
      <c r="BL307" s="42"/>
      <c r="BM307" s="34" t="s">
        <v>155</v>
      </c>
      <c r="BN307" s="10" t="s">
        <v>0</v>
      </c>
      <c r="BO307" s="10">
        <v>4</v>
      </c>
      <c r="BP307" s="10" t="s">
        <v>152</v>
      </c>
      <c r="BQ307">
        <v>4</v>
      </c>
      <c r="BR307" s="10">
        <v>3012</v>
      </c>
      <c r="BS307" t="s">
        <v>169</v>
      </c>
      <c r="BU307" s="42"/>
      <c r="BV307" s="34" t="s">
        <v>155</v>
      </c>
      <c r="BW307" s="10" t="s">
        <v>0</v>
      </c>
      <c r="BX307" s="10">
        <v>4</v>
      </c>
      <c r="BY307" s="10" t="s">
        <v>152</v>
      </c>
      <c r="BZ307">
        <v>4</v>
      </c>
      <c r="CA307" s="10">
        <v>1073</v>
      </c>
      <c r="CB307" s="43" t="s">
        <v>184</v>
      </c>
      <c r="CD307" s="42"/>
      <c r="CE307" s="34" t="s">
        <v>155</v>
      </c>
      <c r="CF307" s="10" t="s">
        <v>0</v>
      </c>
      <c r="CG307" s="10">
        <v>4</v>
      </c>
      <c r="CH307" s="10" t="s">
        <v>152</v>
      </c>
      <c r="CI307">
        <v>4</v>
      </c>
      <c r="CJ307" s="10">
        <v>1083</v>
      </c>
      <c r="CK307" s="43" t="s">
        <v>181</v>
      </c>
    </row>
    <row r="308" spans="1:89" x14ac:dyDescent="0.25">
      <c r="A308" s="42"/>
      <c r="B308" s="34" t="s">
        <v>155</v>
      </c>
      <c r="C308" s="10" t="s">
        <v>0</v>
      </c>
      <c r="D308" s="10">
        <v>5</v>
      </c>
      <c r="E308" s="10" t="s">
        <v>152</v>
      </c>
      <c r="F308">
        <v>5</v>
      </c>
      <c r="G308" s="10" t="s">
        <v>110</v>
      </c>
      <c r="H308" t="s">
        <v>176</v>
      </c>
      <c r="J308" s="42"/>
      <c r="K308" s="34" t="s">
        <v>155</v>
      </c>
      <c r="L308" s="10" t="s">
        <v>0</v>
      </c>
      <c r="M308" s="10">
        <v>5</v>
      </c>
      <c r="N308" s="10" t="s">
        <v>152</v>
      </c>
      <c r="O308">
        <v>5</v>
      </c>
      <c r="P308" s="10" t="s">
        <v>123</v>
      </c>
      <c r="Q308" t="s">
        <v>170</v>
      </c>
      <c r="S308" s="42"/>
      <c r="T308" s="34" t="s">
        <v>155</v>
      </c>
      <c r="U308" s="10" t="s">
        <v>0</v>
      </c>
      <c r="V308" s="10">
        <v>5</v>
      </c>
      <c r="W308" s="10" t="s">
        <v>152</v>
      </c>
      <c r="X308">
        <v>5</v>
      </c>
      <c r="Y308" s="10" t="s">
        <v>355</v>
      </c>
      <c r="Z308" t="s">
        <v>181</v>
      </c>
      <c r="AB308" s="42"/>
      <c r="AC308" s="34" t="s">
        <v>155</v>
      </c>
      <c r="AD308" s="10" t="s">
        <v>0</v>
      </c>
      <c r="AE308" s="10">
        <v>5</v>
      </c>
      <c r="AF308" s="10" t="s">
        <v>152</v>
      </c>
      <c r="AG308">
        <v>5</v>
      </c>
      <c r="AH308" s="10">
        <v>1068</v>
      </c>
      <c r="AI308" s="51" t="s">
        <v>160</v>
      </c>
      <c r="AK308" s="42"/>
      <c r="AL308" s="34" t="s">
        <v>155</v>
      </c>
      <c r="AM308" s="10" t="s">
        <v>0</v>
      </c>
      <c r="AN308" s="10">
        <v>5</v>
      </c>
      <c r="AO308" s="10" t="s">
        <v>152</v>
      </c>
      <c r="AP308">
        <v>5</v>
      </c>
      <c r="AQ308" s="10">
        <v>2041</v>
      </c>
      <c r="AR308" s="51" t="s">
        <v>160</v>
      </c>
      <c r="AT308" s="42"/>
      <c r="AU308" s="34" t="s">
        <v>155</v>
      </c>
      <c r="AV308" s="10" t="s">
        <v>0</v>
      </c>
      <c r="AW308" s="10">
        <v>5</v>
      </c>
      <c r="AX308" s="10" t="s">
        <v>152</v>
      </c>
      <c r="AY308">
        <v>5</v>
      </c>
      <c r="AZ308" s="10">
        <v>1013</v>
      </c>
      <c r="BA308" s="43" t="s">
        <v>180</v>
      </c>
      <c r="BC308" s="42"/>
      <c r="BD308" s="34" t="s">
        <v>155</v>
      </c>
      <c r="BE308" s="10" t="s">
        <v>0</v>
      </c>
      <c r="BF308" s="10">
        <v>5</v>
      </c>
      <c r="BG308" s="10" t="s">
        <v>152</v>
      </c>
      <c r="BH308">
        <v>5</v>
      </c>
      <c r="BI308" s="10" t="s">
        <v>356</v>
      </c>
      <c r="BJ308" s="43" t="s">
        <v>172</v>
      </c>
      <c r="BL308" s="42"/>
      <c r="BM308" s="34" t="s">
        <v>155</v>
      </c>
      <c r="BN308" s="10" t="s">
        <v>0</v>
      </c>
      <c r="BO308" s="10">
        <v>5</v>
      </c>
      <c r="BP308" s="10" t="s">
        <v>152</v>
      </c>
      <c r="BQ308">
        <v>5</v>
      </c>
      <c r="BR308" s="10">
        <v>3012</v>
      </c>
      <c r="BS308" t="s">
        <v>177</v>
      </c>
      <c r="BU308" s="42"/>
      <c r="BV308" s="34" t="s">
        <v>155</v>
      </c>
      <c r="BW308" s="10" t="s">
        <v>0</v>
      </c>
      <c r="BX308" s="10">
        <v>5</v>
      </c>
      <c r="BY308" s="10" t="s">
        <v>152</v>
      </c>
      <c r="BZ308">
        <v>5</v>
      </c>
      <c r="CA308" s="10">
        <v>1073</v>
      </c>
      <c r="CB308" s="43" t="s">
        <v>187</v>
      </c>
      <c r="CD308" s="42"/>
      <c r="CE308" s="34" t="s">
        <v>155</v>
      </c>
      <c r="CF308" s="10" t="s">
        <v>0</v>
      </c>
      <c r="CG308" s="10">
        <v>5</v>
      </c>
      <c r="CH308" s="10" t="s">
        <v>152</v>
      </c>
      <c r="CI308">
        <v>5</v>
      </c>
      <c r="CJ308" s="10">
        <v>1083</v>
      </c>
      <c r="CK308" s="43" t="s">
        <v>183</v>
      </c>
    </row>
    <row r="309" spans="1:89" x14ac:dyDescent="0.25">
      <c r="A309" s="42"/>
      <c r="B309" s="34" t="s">
        <v>155</v>
      </c>
      <c r="C309" s="10" t="s">
        <v>0</v>
      </c>
      <c r="D309" s="10">
        <v>6</v>
      </c>
      <c r="E309" s="10" t="s">
        <v>152</v>
      </c>
      <c r="F309">
        <v>6</v>
      </c>
      <c r="G309" s="10" t="s">
        <v>110</v>
      </c>
      <c r="H309" t="s">
        <v>164</v>
      </c>
      <c r="J309" s="42"/>
      <c r="K309" s="34" t="s">
        <v>155</v>
      </c>
      <c r="L309" s="10" t="s">
        <v>0</v>
      </c>
      <c r="M309" s="10">
        <v>6</v>
      </c>
      <c r="N309" s="10" t="s">
        <v>152</v>
      </c>
      <c r="O309">
        <v>6</v>
      </c>
      <c r="P309" s="10" t="s">
        <v>123</v>
      </c>
      <c r="Q309" t="s">
        <v>178</v>
      </c>
      <c r="S309" s="42"/>
      <c r="T309" s="34" t="s">
        <v>155</v>
      </c>
      <c r="U309" s="10" t="s">
        <v>0</v>
      </c>
      <c r="V309" s="10">
        <v>6</v>
      </c>
      <c r="W309" s="10" t="s">
        <v>152</v>
      </c>
      <c r="X309">
        <v>6</v>
      </c>
      <c r="Y309" s="10" t="s">
        <v>357</v>
      </c>
      <c r="Z309" t="s">
        <v>183</v>
      </c>
      <c r="AB309" s="42"/>
      <c r="AC309" s="34" t="s">
        <v>155</v>
      </c>
      <c r="AD309" s="10" t="s">
        <v>0</v>
      </c>
      <c r="AE309" s="10">
        <v>6</v>
      </c>
      <c r="AF309" s="10" t="s">
        <v>152</v>
      </c>
      <c r="AG309">
        <v>6</v>
      </c>
      <c r="AH309" s="10">
        <v>1068</v>
      </c>
      <c r="AI309" s="43" t="s">
        <v>168</v>
      </c>
      <c r="AK309" s="42"/>
      <c r="AL309" s="34" t="s">
        <v>155</v>
      </c>
      <c r="AM309" s="10" t="s">
        <v>0</v>
      </c>
      <c r="AN309" s="10">
        <v>6</v>
      </c>
      <c r="AO309" s="10" t="s">
        <v>152</v>
      </c>
      <c r="AP309">
        <v>6</v>
      </c>
      <c r="AQ309" s="10">
        <v>2041</v>
      </c>
      <c r="AR309" s="43" t="s">
        <v>168</v>
      </c>
      <c r="AT309" s="42"/>
      <c r="AU309" s="34" t="s">
        <v>155</v>
      </c>
      <c r="AV309" s="10" t="s">
        <v>0</v>
      </c>
      <c r="AW309" s="10">
        <v>6</v>
      </c>
      <c r="AX309" s="10" t="s">
        <v>152</v>
      </c>
      <c r="AY309">
        <v>6</v>
      </c>
      <c r="AZ309" s="10">
        <v>1013</v>
      </c>
      <c r="BA309" s="43" t="s">
        <v>181</v>
      </c>
      <c r="BC309" s="42"/>
      <c r="BD309" s="34" t="s">
        <v>155</v>
      </c>
      <c r="BE309" s="10" t="s">
        <v>0</v>
      </c>
      <c r="BF309" s="10">
        <v>6</v>
      </c>
      <c r="BG309" s="10" t="s">
        <v>152</v>
      </c>
      <c r="BH309">
        <v>6</v>
      </c>
      <c r="BI309" s="10" t="s">
        <v>358</v>
      </c>
      <c r="BJ309" s="43" t="s">
        <v>162</v>
      </c>
      <c r="BL309" s="42"/>
      <c r="BM309" s="34" t="s">
        <v>155</v>
      </c>
      <c r="BN309" s="10" t="s">
        <v>0</v>
      </c>
      <c r="BO309" s="10">
        <v>6</v>
      </c>
      <c r="BP309" s="10" t="s">
        <v>152</v>
      </c>
      <c r="BQ309">
        <v>6</v>
      </c>
      <c r="BR309" s="10">
        <v>3012</v>
      </c>
      <c r="BS309" t="s">
        <v>180</v>
      </c>
      <c r="BU309" s="42"/>
      <c r="BV309" s="34" t="s">
        <v>155</v>
      </c>
      <c r="BW309" s="10" t="s">
        <v>0</v>
      </c>
      <c r="BX309" s="10">
        <v>6</v>
      </c>
      <c r="BY309" s="10" t="s">
        <v>152</v>
      </c>
      <c r="BZ309">
        <v>6</v>
      </c>
      <c r="CA309" s="10">
        <v>1073</v>
      </c>
      <c r="CB309" s="43" t="s">
        <v>189</v>
      </c>
      <c r="CD309" s="42"/>
      <c r="CE309" s="34" t="s">
        <v>155</v>
      </c>
      <c r="CF309" s="10" t="s">
        <v>0</v>
      </c>
      <c r="CG309" s="10">
        <v>6</v>
      </c>
      <c r="CH309" s="10" t="s">
        <v>152</v>
      </c>
      <c r="CI309">
        <v>6</v>
      </c>
      <c r="CJ309" s="10">
        <v>1083</v>
      </c>
      <c r="CK309" s="43" t="s">
        <v>186</v>
      </c>
    </row>
    <row r="310" spans="1:89" ht="15.75" thickBot="1" x14ac:dyDescent="0.3">
      <c r="A310" s="42"/>
      <c r="B310" s="34" t="s">
        <v>155</v>
      </c>
      <c r="C310" s="10" t="s">
        <v>0</v>
      </c>
      <c r="D310" s="10">
        <v>7</v>
      </c>
      <c r="E310" s="10" t="s">
        <v>152</v>
      </c>
      <c r="F310">
        <v>7</v>
      </c>
      <c r="G310" s="10" t="s">
        <v>110</v>
      </c>
      <c r="H310" t="s">
        <v>172</v>
      </c>
      <c r="J310" s="42"/>
      <c r="K310" s="34" t="s">
        <v>155</v>
      </c>
      <c r="L310" s="10" t="s">
        <v>0</v>
      </c>
      <c r="M310" s="10">
        <v>7</v>
      </c>
      <c r="N310" s="10" t="s">
        <v>152</v>
      </c>
      <c r="O310">
        <v>7</v>
      </c>
      <c r="P310" s="10" t="s">
        <v>123</v>
      </c>
      <c r="Q310" t="s">
        <v>163</v>
      </c>
      <c r="S310" s="42"/>
      <c r="T310" s="34" t="s">
        <v>155</v>
      </c>
      <c r="U310" s="10" t="s">
        <v>0</v>
      </c>
      <c r="V310" s="10">
        <v>7</v>
      </c>
      <c r="W310" s="10" t="s">
        <v>152</v>
      </c>
      <c r="X310">
        <v>7</v>
      </c>
      <c r="Y310" s="10" t="s">
        <v>359</v>
      </c>
      <c r="Z310" t="s">
        <v>186</v>
      </c>
      <c r="AB310" s="42"/>
      <c r="AC310" s="34" t="s">
        <v>155</v>
      </c>
      <c r="AD310" s="10" t="s">
        <v>0</v>
      </c>
      <c r="AE310" s="10">
        <v>7</v>
      </c>
      <c r="AF310" s="10" t="s">
        <v>152</v>
      </c>
      <c r="AG310">
        <v>7</v>
      </c>
      <c r="AH310" s="10">
        <v>1068</v>
      </c>
      <c r="AI310" s="43" t="s">
        <v>176</v>
      </c>
      <c r="AK310" s="42"/>
      <c r="AL310" s="34" t="s">
        <v>155</v>
      </c>
      <c r="AM310" s="10" t="s">
        <v>0</v>
      </c>
      <c r="AN310" s="10">
        <v>7</v>
      </c>
      <c r="AO310" s="10" t="s">
        <v>152</v>
      </c>
      <c r="AP310">
        <v>7</v>
      </c>
      <c r="AQ310" s="10">
        <v>2041</v>
      </c>
      <c r="AR310" s="43" t="s">
        <v>176</v>
      </c>
      <c r="AT310" s="42"/>
      <c r="AU310" s="34" t="s">
        <v>155</v>
      </c>
      <c r="AV310" s="10" t="s">
        <v>0</v>
      </c>
      <c r="AW310" s="10">
        <v>7</v>
      </c>
      <c r="AX310" s="10" t="s">
        <v>152</v>
      </c>
      <c r="AY310">
        <v>7</v>
      </c>
      <c r="AZ310" s="10">
        <v>1013</v>
      </c>
      <c r="BA310" s="43" t="s">
        <v>183</v>
      </c>
      <c r="BC310" s="42"/>
      <c r="BD310" s="34" t="s">
        <v>155</v>
      </c>
      <c r="BE310" s="10" t="s">
        <v>0</v>
      </c>
      <c r="BF310" s="10">
        <v>7</v>
      </c>
      <c r="BG310" s="10" t="s">
        <v>152</v>
      </c>
      <c r="BH310">
        <v>7</v>
      </c>
      <c r="BI310" s="10" t="s">
        <v>360</v>
      </c>
      <c r="BJ310" s="43" t="s">
        <v>170</v>
      </c>
      <c r="BL310" s="42"/>
      <c r="BM310" s="34" t="s">
        <v>155</v>
      </c>
      <c r="BN310" s="10" t="s">
        <v>0</v>
      </c>
      <c r="BO310" s="10">
        <v>7</v>
      </c>
      <c r="BP310" s="10" t="s">
        <v>152</v>
      </c>
      <c r="BQ310">
        <v>7</v>
      </c>
      <c r="BR310" s="10">
        <v>3012</v>
      </c>
      <c r="BS310" t="s">
        <v>181</v>
      </c>
      <c r="BU310" s="42"/>
      <c r="BV310" s="34" t="s">
        <v>155</v>
      </c>
      <c r="BW310" s="10" t="s">
        <v>0</v>
      </c>
      <c r="BX310" s="10">
        <v>7</v>
      </c>
      <c r="BY310" s="10" t="s">
        <v>152</v>
      </c>
      <c r="BZ310">
        <v>7</v>
      </c>
      <c r="CA310" s="10">
        <v>1074</v>
      </c>
      <c r="CB310" s="43" t="s">
        <v>160</v>
      </c>
      <c r="CD310" s="42"/>
      <c r="CE310" s="34" t="s">
        <v>155</v>
      </c>
      <c r="CF310" s="10" t="s">
        <v>0</v>
      </c>
      <c r="CG310" s="10">
        <v>7</v>
      </c>
      <c r="CH310" s="10" t="s">
        <v>152</v>
      </c>
      <c r="CI310">
        <v>7</v>
      </c>
      <c r="CJ310" s="10">
        <v>1083</v>
      </c>
      <c r="CK310" s="43" t="s">
        <v>188</v>
      </c>
    </row>
    <row r="311" spans="1:89" x14ac:dyDescent="0.25">
      <c r="A311" s="42"/>
      <c r="B311" s="34" t="s">
        <v>155</v>
      </c>
      <c r="C311" s="10" t="s">
        <v>0</v>
      </c>
      <c r="D311" s="10">
        <v>8</v>
      </c>
      <c r="E311" s="10" t="s">
        <v>152</v>
      </c>
      <c r="F311">
        <v>8</v>
      </c>
      <c r="G311" s="10" t="s">
        <v>110</v>
      </c>
      <c r="H311" t="s">
        <v>162</v>
      </c>
      <c r="J311" s="42"/>
      <c r="K311" s="34" t="s">
        <v>155</v>
      </c>
      <c r="L311" s="10" t="s">
        <v>0</v>
      </c>
      <c r="M311" s="10">
        <v>8</v>
      </c>
      <c r="N311" s="10" t="s">
        <v>152</v>
      </c>
      <c r="O311">
        <v>8</v>
      </c>
      <c r="P311" s="10" t="s">
        <v>123</v>
      </c>
      <c r="Q311" t="s">
        <v>171</v>
      </c>
      <c r="S311" s="42"/>
      <c r="T311" s="34" t="s">
        <v>155</v>
      </c>
      <c r="U311" s="10" t="s">
        <v>0</v>
      </c>
      <c r="V311" s="10">
        <v>8</v>
      </c>
      <c r="W311" s="10" t="s">
        <v>152</v>
      </c>
      <c r="X311">
        <v>8</v>
      </c>
      <c r="Y311" s="10" t="s">
        <v>361</v>
      </c>
      <c r="Z311" t="s">
        <v>188</v>
      </c>
      <c r="AB311" s="42"/>
      <c r="AC311" s="34" t="s">
        <v>155</v>
      </c>
      <c r="AD311" s="10" t="s">
        <v>0</v>
      </c>
      <c r="AE311" s="10">
        <v>8</v>
      </c>
      <c r="AF311" s="10" t="s">
        <v>152</v>
      </c>
      <c r="AG311">
        <v>8</v>
      </c>
      <c r="AH311" s="10">
        <v>1068</v>
      </c>
      <c r="AI311" s="43" t="s">
        <v>164</v>
      </c>
      <c r="AK311" s="42"/>
      <c r="AL311" s="34" t="s">
        <v>155</v>
      </c>
      <c r="AM311" s="10" t="s">
        <v>0</v>
      </c>
      <c r="AN311" s="10">
        <v>8</v>
      </c>
      <c r="AO311" s="10" t="s">
        <v>152</v>
      </c>
      <c r="AP311">
        <v>8</v>
      </c>
      <c r="AQ311" s="10">
        <v>2041</v>
      </c>
      <c r="AR311" s="43" t="s">
        <v>164</v>
      </c>
      <c r="AT311" s="42"/>
      <c r="AU311" s="34" t="s">
        <v>155</v>
      </c>
      <c r="AV311" s="10" t="s">
        <v>0</v>
      </c>
      <c r="AW311" s="10">
        <v>8</v>
      </c>
      <c r="AX311" s="10" t="s">
        <v>152</v>
      </c>
      <c r="AY311">
        <v>8</v>
      </c>
      <c r="AZ311" s="10">
        <v>1013</v>
      </c>
      <c r="BA311" s="43" t="s">
        <v>186</v>
      </c>
      <c r="BC311" s="42"/>
      <c r="BD311" s="34" t="s">
        <v>155</v>
      </c>
      <c r="BE311" s="10" t="s">
        <v>0</v>
      </c>
      <c r="BF311" s="10">
        <v>8</v>
      </c>
      <c r="BG311" s="10" t="s">
        <v>152</v>
      </c>
      <c r="BH311">
        <v>8</v>
      </c>
      <c r="BI311" s="10" t="s">
        <v>362</v>
      </c>
      <c r="BJ311" s="33" t="s">
        <v>178</v>
      </c>
      <c r="BL311" s="42"/>
      <c r="BM311" s="34" t="s">
        <v>155</v>
      </c>
      <c r="BN311" s="10" t="s">
        <v>0</v>
      </c>
      <c r="BO311" s="10">
        <v>8</v>
      </c>
      <c r="BP311" s="10" t="s">
        <v>152</v>
      </c>
      <c r="BQ311">
        <v>8</v>
      </c>
      <c r="BR311" s="10">
        <v>3012</v>
      </c>
      <c r="BS311" t="s">
        <v>183</v>
      </c>
      <c r="BU311" s="42"/>
      <c r="BV311" s="34" t="s">
        <v>155</v>
      </c>
      <c r="BW311" s="10" t="s">
        <v>0</v>
      </c>
      <c r="BX311" s="10">
        <v>8</v>
      </c>
      <c r="BY311" s="10" t="s">
        <v>152</v>
      </c>
      <c r="BZ311">
        <v>8</v>
      </c>
      <c r="CA311" s="10">
        <v>1074</v>
      </c>
      <c r="CB311" s="43" t="s">
        <v>168</v>
      </c>
      <c r="CD311" s="42"/>
      <c r="CE311" s="34" t="s">
        <v>155</v>
      </c>
      <c r="CF311" s="10" t="s">
        <v>0</v>
      </c>
      <c r="CG311" s="10">
        <v>8</v>
      </c>
      <c r="CH311" s="10" t="s">
        <v>152</v>
      </c>
      <c r="CI311">
        <v>8</v>
      </c>
      <c r="CJ311" s="10">
        <v>1083</v>
      </c>
      <c r="CK311" s="43" t="s">
        <v>182</v>
      </c>
    </row>
    <row r="312" spans="1:89" x14ac:dyDescent="0.25">
      <c r="A312" s="42"/>
      <c r="B312" s="34" t="s">
        <v>155</v>
      </c>
      <c r="C312" s="10" t="s">
        <v>0</v>
      </c>
      <c r="D312" s="10">
        <v>9</v>
      </c>
      <c r="E312" s="10" t="s">
        <v>152</v>
      </c>
      <c r="F312">
        <v>9</v>
      </c>
      <c r="G312" s="10" t="s">
        <v>110</v>
      </c>
      <c r="H312" t="s">
        <v>170</v>
      </c>
      <c r="J312" s="42"/>
      <c r="K312" s="34" t="s">
        <v>155</v>
      </c>
      <c r="L312" s="10" t="s">
        <v>0</v>
      </c>
      <c r="M312" s="10">
        <v>9</v>
      </c>
      <c r="N312" s="10" t="s">
        <v>152</v>
      </c>
      <c r="O312">
        <v>9</v>
      </c>
      <c r="P312" s="10" t="s">
        <v>123</v>
      </c>
      <c r="Q312" t="s">
        <v>161</v>
      </c>
      <c r="S312" s="42"/>
      <c r="T312" s="34" t="s">
        <v>155</v>
      </c>
      <c r="U312" s="10" t="s">
        <v>0</v>
      </c>
      <c r="V312" s="10">
        <v>9</v>
      </c>
      <c r="W312" s="10" t="s">
        <v>152</v>
      </c>
      <c r="X312">
        <v>9</v>
      </c>
      <c r="Y312" s="10" t="s">
        <v>363</v>
      </c>
      <c r="Z312" t="s">
        <v>182</v>
      </c>
      <c r="AB312" s="42"/>
      <c r="AC312" s="34" t="s">
        <v>155</v>
      </c>
      <c r="AD312" s="10" t="s">
        <v>0</v>
      </c>
      <c r="AE312" s="10">
        <v>9</v>
      </c>
      <c r="AF312" s="10" t="s">
        <v>152</v>
      </c>
      <c r="AG312">
        <v>9</v>
      </c>
      <c r="AH312" s="10">
        <v>1068</v>
      </c>
      <c r="AI312" s="43" t="s">
        <v>172</v>
      </c>
      <c r="AK312" s="42"/>
      <c r="AL312" s="34" t="s">
        <v>155</v>
      </c>
      <c r="AM312" s="10" t="s">
        <v>0</v>
      </c>
      <c r="AN312" s="10">
        <v>9</v>
      </c>
      <c r="AO312" s="10" t="s">
        <v>152</v>
      </c>
      <c r="AP312">
        <v>9</v>
      </c>
      <c r="AQ312" s="10">
        <v>2041</v>
      </c>
      <c r="AR312" s="43" t="s">
        <v>172</v>
      </c>
      <c r="AT312" s="42"/>
      <c r="AU312" s="34" t="s">
        <v>155</v>
      </c>
      <c r="AV312" s="10" t="s">
        <v>0</v>
      </c>
      <c r="AW312" s="10">
        <v>9</v>
      </c>
      <c r="AX312" s="10" t="s">
        <v>152</v>
      </c>
      <c r="AY312">
        <v>9</v>
      </c>
      <c r="AZ312" s="10">
        <v>1013</v>
      </c>
      <c r="BA312" s="43" t="s">
        <v>188</v>
      </c>
      <c r="BC312" s="42"/>
      <c r="BD312" s="34" t="s">
        <v>155</v>
      </c>
      <c r="BE312" s="10" t="s">
        <v>0</v>
      </c>
      <c r="BF312" s="10">
        <v>9</v>
      </c>
      <c r="BG312" s="10" t="s">
        <v>152</v>
      </c>
      <c r="BH312">
        <v>9</v>
      </c>
      <c r="BI312" s="10" t="s">
        <v>364</v>
      </c>
      <c r="BJ312" s="43" t="s">
        <v>163</v>
      </c>
      <c r="BL312" s="42"/>
      <c r="BM312" s="34" t="s">
        <v>155</v>
      </c>
      <c r="BN312" s="10" t="s">
        <v>0</v>
      </c>
      <c r="BO312" s="10">
        <v>9</v>
      </c>
      <c r="BP312" s="10" t="s">
        <v>152</v>
      </c>
      <c r="BQ312">
        <v>9</v>
      </c>
      <c r="BR312" s="10">
        <v>3012</v>
      </c>
      <c r="BS312" t="s">
        <v>186</v>
      </c>
      <c r="BU312" s="42"/>
      <c r="BV312" s="34" t="s">
        <v>155</v>
      </c>
      <c r="BW312" s="10" t="s">
        <v>0</v>
      </c>
      <c r="BX312" s="10">
        <v>9</v>
      </c>
      <c r="BY312" s="10" t="s">
        <v>152</v>
      </c>
      <c r="BZ312">
        <v>9</v>
      </c>
      <c r="CA312" s="10">
        <v>1074</v>
      </c>
      <c r="CB312" s="43" t="s">
        <v>176</v>
      </c>
      <c r="CD312" s="42"/>
      <c r="CE312" s="34" t="s">
        <v>155</v>
      </c>
      <c r="CF312" s="10" t="s">
        <v>0</v>
      </c>
      <c r="CG312" s="10">
        <v>9</v>
      </c>
      <c r="CH312" s="10" t="s">
        <v>152</v>
      </c>
      <c r="CI312">
        <v>9</v>
      </c>
      <c r="CJ312" s="10">
        <v>1083</v>
      </c>
      <c r="CK312" s="43" t="s">
        <v>184</v>
      </c>
    </row>
    <row r="313" spans="1:89" x14ac:dyDescent="0.25">
      <c r="A313" s="42"/>
      <c r="B313" s="34" t="s">
        <v>155</v>
      </c>
      <c r="C313" s="10" t="s">
        <v>0</v>
      </c>
      <c r="D313" s="10">
        <v>10</v>
      </c>
      <c r="E313" s="10" t="s">
        <v>152</v>
      </c>
      <c r="F313">
        <v>10</v>
      </c>
      <c r="G313" s="10" t="s">
        <v>110</v>
      </c>
      <c r="H313" t="s">
        <v>178</v>
      </c>
      <c r="J313" s="42"/>
      <c r="K313" s="34" t="s">
        <v>155</v>
      </c>
      <c r="L313" s="10" t="s">
        <v>0</v>
      </c>
      <c r="M313" s="10">
        <v>10</v>
      </c>
      <c r="N313" s="10" t="s">
        <v>152</v>
      </c>
      <c r="O313">
        <v>10</v>
      </c>
      <c r="P313" s="10" t="s">
        <v>123</v>
      </c>
      <c r="Q313" t="s">
        <v>169</v>
      </c>
      <c r="S313" s="42"/>
      <c r="T313" s="34" t="s">
        <v>155</v>
      </c>
      <c r="U313" s="10" t="s">
        <v>0</v>
      </c>
      <c r="V313" s="10">
        <v>10</v>
      </c>
      <c r="W313" s="10" t="s">
        <v>152</v>
      </c>
      <c r="X313">
        <v>10</v>
      </c>
      <c r="Y313" s="10" t="s">
        <v>365</v>
      </c>
      <c r="Z313" t="s">
        <v>184</v>
      </c>
      <c r="AB313" s="42"/>
      <c r="AC313" s="34" t="s">
        <v>155</v>
      </c>
      <c r="AD313" s="10" t="s">
        <v>0</v>
      </c>
      <c r="AE313" s="10">
        <v>10</v>
      </c>
      <c r="AF313" s="10" t="s">
        <v>152</v>
      </c>
      <c r="AG313">
        <v>10</v>
      </c>
      <c r="AH313" s="10">
        <v>1068</v>
      </c>
      <c r="AI313" s="43" t="s">
        <v>162</v>
      </c>
      <c r="AK313" s="42"/>
      <c r="AL313" s="34" t="s">
        <v>155</v>
      </c>
      <c r="AM313" s="10" t="s">
        <v>0</v>
      </c>
      <c r="AN313" s="10">
        <v>10</v>
      </c>
      <c r="AO313" s="10" t="s">
        <v>152</v>
      </c>
      <c r="AP313">
        <v>10</v>
      </c>
      <c r="AQ313" s="10">
        <v>2041</v>
      </c>
      <c r="AR313" s="43" t="s">
        <v>162</v>
      </c>
      <c r="AT313" s="42"/>
      <c r="AU313" s="34" t="s">
        <v>155</v>
      </c>
      <c r="AV313" s="10" t="s">
        <v>0</v>
      </c>
      <c r="AW313" s="10">
        <v>10</v>
      </c>
      <c r="AX313" s="10" t="s">
        <v>152</v>
      </c>
      <c r="AY313">
        <v>10</v>
      </c>
      <c r="AZ313" s="10">
        <v>1013</v>
      </c>
      <c r="BA313" s="43" t="s">
        <v>182</v>
      </c>
      <c r="BC313" s="42"/>
      <c r="BD313" s="34" t="s">
        <v>155</v>
      </c>
      <c r="BE313" s="10" t="s">
        <v>0</v>
      </c>
      <c r="BF313" s="10">
        <v>10</v>
      </c>
      <c r="BG313" s="10" t="s">
        <v>152</v>
      </c>
      <c r="BH313">
        <v>10</v>
      </c>
      <c r="BI313" s="10" t="s">
        <v>366</v>
      </c>
      <c r="BJ313" s="43" t="s">
        <v>171</v>
      </c>
      <c r="BL313" s="42"/>
      <c r="BM313" s="34" t="s">
        <v>155</v>
      </c>
      <c r="BN313" s="10" t="s">
        <v>0</v>
      </c>
      <c r="BO313" s="10">
        <v>10</v>
      </c>
      <c r="BP313" s="10" t="s">
        <v>152</v>
      </c>
      <c r="BQ313">
        <v>10</v>
      </c>
      <c r="BR313" s="10">
        <v>3012</v>
      </c>
      <c r="BS313" t="s">
        <v>188</v>
      </c>
      <c r="BU313" s="42"/>
      <c r="BV313" s="34" t="s">
        <v>155</v>
      </c>
      <c r="BW313" s="10" t="s">
        <v>0</v>
      </c>
      <c r="BX313" s="10">
        <v>10</v>
      </c>
      <c r="BY313" s="10" t="s">
        <v>152</v>
      </c>
      <c r="BZ313">
        <v>10</v>
      </c>
      <c r="CA313" s="10">
        <v>1074</v>
      </c>
      <c r="CB313" s="43" t="s">
        <v>164</v>
      </c>
      <c r="CD313" s="42"/>
      <c r="CE313" s="34" t="s">
        <v>155</v>
      </c>
      <c r="CF313" s="10" t="s">
        <v>0</v>
      </c>
      <c r="CG313" s="10">
        <v>10</v>
      </c>
      <c r="CH313" s="10" t="s">
        <v>152</v>
      </c>
      <c r="CI313">
        <v>10</v>
      </c>
      <c r="CJ313" s="10">
        <v>1083</v>
      </c>
      <c r="CK313" s="43" t="s">
        <v>187</v>
      </c>
    </row>
    <row r="314" spans="1:89" x14ac:dyDescent="0.25">
      <c r="A314" s="42"/>
      <c r="B314" s="34" t="s">
        <v>155</v>
      </c>
      <c r="C314" s="10" t="s">
        <v>0</v>
      </c>
      <c r="D314" s="10">
        <v>11</v>
      </c>
      <c r="E314" s="10" t="s">
        <v>152</v>
      </c>
      <c r="F314">
        <v>11</v>
      </c>
      <c r="G314" s="10" t="s">
        <v>110</v>
      </c>
      <c r="H314" s="43" t="s">
        <v>163</v>
      </c>
      <c r="J314" s="42"/>
      <c r="K314" s="34" t="s">
        <v>155</v>
      </c>
      <c r="L314" s="10" t="s">
        <v>0</v>
      </c>
      <c r="M314" s="10">
        <v>11</v>
      </c>
      <c r="N314" s="10" t="s">
        <v>152</v>
      </c>
      <c r="O314">
        <v>11</v>
      </c>
      <c r="P314" s="10" t="s">
        <v>123</v>
      </c>
      <c r="Q314" t="s">
        <v>177</v>
      </c>
      <c r="S314" s="42"/>
      <c r="T314" s="34" t="s">
        <v>155</v>
      </c>
      <c r="U314" s="10" t="s">
        <v>0</v>
      </c>
      <c r="V314" s="10">
        <v>11</v>
      </c>
      <c r="W314" s="10" t="s">
        <v>152</v>
      </c>
      <c r="X314">
        <v>11</v>
      </c>
      <c r="Y314" s="10" t="s">
        <v>367</v>
      </c>
      <c r="Z314" t="s">
        <v>187</v>
      </c>
      <c r="AB314" s="42"/>
      <c r="AC314" s="34" t="s">
        <v>155</v>
      </c>
      <c r="AD314" s="10" t="s">
        <v>0</v>
      </c>
      <c r="AE314" s="10">
        <v>11</v>
      </c>
      <c r="AF314" s="10" t="s">
        <v>152</v>
      </c>
      <c r="AG314">
        <v>11</v>
      </c>
      <c r="AH314" s="10">
        <v>1068</v>
      </c>
      <c r="AI314" s="43" t="s">
        <v>170</v>
      </c>
      <c r="AK314" s="42"/>
      <c r="AL314" s="34" t="s">
        <v>155</v>
      </c>
      <c r="AM314" s="10" t="s">
        <v>0</v>
      </c>
      <c r="AN314" s="10">
        <v>11</v>
      </c>
      <c r="AO314" s="10" t="s">
        <v>152</v>
      </c>
      <c r="AP314">
        <v>11</v>
      </c>
      <c r="AQ314" s="10">
        <v>2041</v>
      </c>
      <c r="AR314" s="43" t="s">
        <v>170</v>
      </c>
      <c r="AT314" s="42"/>
      <c r="AU314" s="34" t="s">
        <v>155</v>
      </c>
      <c r="AV314" s="10" t="s">
        <v>0</v>
      </c>
      <c r="AW314" s="10">
        <v>11</v>
      </c>
      <c r="AX314" s="10" t="s">
        <v>152</v>
      </c>
      <c r="AY314">
        <v>11</v>
      </c>
      <c r="AZ314" s="10">
        <v>1013</v>
      </c>
      <c r="BA314" s="43" t="s">
        <v>184</v>
      </c>
      <c r="BC314" s="42"/>
      <c r="BD314" s="34" t="s">
        <v>155</v>
      </c>
      <c r="BE314" s="10" t="s">
        <v>0</v>
      </c>
      <c r="BF314" s="10">
        <v>11</v>
      </c>
      <c r="BG314" s="10" t="s">
        <v>152</v>
      </c>
      <c r="BH314">
        <v>11</v>
      </c>
      <c r="BI314" s="10" t="s">
        <v>368</v>
      </c>
      <c r="BJ314" s="43" t="s">
        <v>161</v>
      </c>
      <c r="BL314" s="42"/>
      <c r="BM314" s="34" t="s">
        <v>155</v>
      </c>
      <c r="BN314" s="10" t="s">
        <v>0</v>
      </c>
      <c r="BO314" s="10">
        <v>11</v>
      </c>
      <c r="BP314" s="10" t="s">
        <v>152</v>
      </c>
      <c r="BQ314">
        <v>11</v>
      </c>
      <c r="BR314" s="10">
        <v>3012</v>
      </c>
      <c r="BS314" t="s">
        <v>182</v>
      </c>
      <c r="BU314" s="42"/>
      <c r="BV314" s="34" t="s">
        <v>155</v>
      </c>
      <c r="BW314" s="10" t="s">
        <v>0</v>
      </c>
      <c r="BX314" s="10">
        <v>11</v>
      </c>
      <c r="BY314" s="10" t="s">
        <v>152</v>
      </c>
      <c r="BZ314">
        <v>11</v>
      </c>
      <c r="CA314" s="10">
        <v>1074</v>
      </c>
      <c r="CB314" s="43" t="s">
        <v>172</v>
      </c>
      <c r="CD314" s="42"/>
      <c r="CE314" s="34" t="s">
        <v>155</v>
      </c>
      <c r="CF314" s="10" t="s">
        <v>0</v>
      </c>
      <c r="CG314" s="10">
        <v>11</v>
      </c>
      <c r="CH314" s="10" t="s">
        <v>152</v>
      </c>
      <c r="CI314">
        <v>11</v>
      </c>
      <c r="CJ314" s="10">
        <v>1083</v>
      </c>
      <c r="CK314" s="43" t="s">
        <v>189</v>
      </c>
    </row>
    <row r="315" spans="1:89" ht="15.75" thickBot="1" x14ac:dyDescent="0.3">
      <c r="A315" s="47"/>
      <c r="B315" s="48" t="s">
        <v>155</v>
      </c>
      <c r="C315" s="49" t="s">
        <v>0</v>
      </c>
      <c r="D315" s="49">
        <v>12</v>
      </c>
      <c r="E315" s="49" t="s">
        <v>152</v>
      </c>
      <c r="F315" s="50">
        <v>12</v>
      </c>
      <c r="G315" s="10" t="s">
        <v>110</v>
      </c>
      <c r="H315" s="43" t="s">
        <v>171</v>
      </c>
      <c r="J315" s="47"/>
      <c r="K315" s="48" t="s">
        <v>155</v>
      </c>
      <c r="L315" s="49" t="s">
        <v>0</v>
      </c>
      <c r="M315" s="49">
        <v>12</v>
      </c>
      <c r="N315" s="49" t="s">
        <v>152</v>
      </c>
      <c r="O315" s="50">
        <v>12</v>
      </c>
      <c r="P315" s="10" t="s">
        <v>123</v>
      </c>
      <c r="Q315" t="s">
        <v>180</v>
      </c>
      <c r="S315" s="47"/>
      <c r="T315" s="48" t="s">
        <v>155</v>
      </c>
      <c r="U315" s="49" t="s">
        <v>0</v>
      </c>
      <c r="V315" s="49">
        <v>12</v>
      </c>
      <c r="W315" s="49" t="s">
        <v>152</v>
      </c>
      <c r="X315" s="50">
        <v>12</v>
      </c>
      <c r="Y315" s="10" t="s">
        <v>369</v>
      </c>
      <c r="Z315" t="s">
        <v>189</v>
      </c>
      <c r="AB315" s="47"/>
      <c r="AC315" s="48" t="s">
        <v>155</v>
      </c>
      <c r="AD315" s="49" t="s">
        <v>0</v>
      </c>
      <c r="AE315" s="49">
        <v>12</v>
      </c>
      <c r="AF315" s="49" t="s">
        <v>152</v>
      </c>
      <c r="AG315" s="50">
        <v>12</v>
      </c>
      <c r="AH315" s="10">
        <v>1068</v>
      </c>
      <c r="AI315" s="43" t="s">
        <v>178</v>
      </c>
      <c r="AK315" s="47"/>
      <c r="AL315" s="48" t="s">
        <v>155</v>
      </c>
      <c r="AM315" s="49" t="s">
        <v>0</v>
      </c>
      <c r="AN315" s="49">
        <v>12</v>
      </c>
      <c r="AO315" s="49" t="s">
        <v>152</v>
      </c>
      <c r="AP315" s="50">
        <v>12</v>
      </c>
      <c r="AQ315" s="10">
        <v>2041</v>
      </c>
      <c r="AR315" s="43" t="s">
        <v>178</v>
      </c>
      <c r="AT315" s="47"/>
      <c r="AU315" s="48" t="s">
        <v>155</v>
      </c>
      <c r="AV315" s="49" t="s">
        <v>0</v>
      </c>
      <c r="AW315" s="49">
        <v>12</v>
      </c>
      <c r="AX315" s="49" t="s">
        <v>152</v>
      </c>
      <c r="AY315" s="50">
        <v>12</v>
      </c>
      <c r="AZ315" s="10">
        <v>1013</v>
      </c>
      <c r="BA315" s="43" t="s">
        <v>187</v>
      </c>
      <c r="BC315" s="47"/>
      <c r="BD315" s="48" t="s">
        <v>155</v>
      </c>
      <c r="BE315" s="49" t="s">
        <v>0</v>
      </c>
      <c r="BF315" s="49">
        <v>12</v>
      </c>
      <c r="BG315" s="49" t="s">
        <v>152</v>
      </c>
      <c r="BH315" s="50">
        <v>12</v>
      </c>
      <c r="BI315" s="10" t="s">
        <v>370</v>
      </c>
      <c r="BJ315" s="43" t="s">
        <v>169</v>
      </c>
      <c r="BL315" s="47"/>
      <c r="BM315" s="48" t="s">
        <v>155</v>
      </c>
      <c r="BN315" s="49" t="s">
        <v>0</v>
      </c>
      <c r="BO315" s="49">
        <v>12</v>
      </c>
      <c r="BP315" s="49" t="s">
        <v>152</v>
      </c>
      <c r="BQ315" s="50">
        <v>12</v>
      </c>
      <c r="BR315" s="10">
        <v>3012</v>
      </c>
      <c r="BS315" t="s">
        <v>184</v>
      </c>
      <c r="BU315" s="47"/>
      <c r="BV315" s="48" t="s">
        <v>155</v>
      </c>
      <c r="BW315" s="49" t="s">
        <v>0</v>
      </c>
      <c r="BX315" s="49">
        <v>12</v>
      </c>
      <c r="BY315" s="49" t="s">
        <v>152</v>
      </c>
      <c r="BZ315" s="50">
        <v>12</v>
      </c>
      <c r="CA315" s="10">
        <v>1074</v>
      </c>
      <c r="CB315" s="43" t="s">
        <v>162</v>
      </c>
      <c r="CD315" s="47"/>
      <c r="CE315" s="48" t="s">
        <v>155</v>
      </c>
      <c r="CF315" s="49" t="s">
        <v>0</v>
      </c>
      <c r="CG315" s="49">
        <v>12</v>
      </c>
      <c r="CH315" s="49" t="s">
        <v>152</v>
      </c>
      <c r="CI315" s="50">
        <v>12</v>
      </c>
      <c r="CJ315" s="10">
        <v>1081</v>
      </c>
      <c r="CK315" s="43" t="s">
        <v>182</v>
      </c>
    </row>
    <row r="316" spans="1:89" ht="15.75" thickBot="1" x14ac:dyDescent="0.3">
      <c r="A316" s="56"/>
      <c r="B316" s="31" t="s">
        <v>155</v>
      </c>
      <c r="C316" s="58" t="s">
        <v>9</v>
      </c>
      <c r="D316" s="58">
        <v>1</v>
      </c>
      <c r="E316" s="58" t="s">
        <v>152</v>
      </c>
      <c r="F316" s="59">
        <v>13</v>
      </c>
      <c r="G316" s="10" t="s">
        <v>110</v>
      </c>
      <c r="H316" s="43" t="s">
        <v>161</v>
      </c>
      <c r="J316" s="56"/>
      <c r="K316" s="31" t="s">
        <v>155</v>
      </c>
      <c r="L316" s="58" t="s">
        <v>9</v>
      </c>
      <c r="M316" s="58">
        <v>1</v>
      </c>
      <c r="N316" s="58" t="s">
        <v>152</v>
      </c>
      <c r="O316" s="59">
        <v>13</v>
      </c>
      <c r="P316" s="10" t="s">
        <v>123</v>
      </c>
      <c r="Q316" t="s">
        <v>181</v>
      </c>
      <c r="S316" s="56"/>
      <c r="T316" s="31" t="s">
        <v>155</v>
      </c>
      <c r="U316" s="58" t="s">
        <v>9</v>
      </c>
      <c r="V316" s="58">
        <v>1</v>
      </c>
      <c r="W316" s="58" t="s">
        <v>152</v>
      </c>
      <c r="X316" s="59">
        <v>13</v>
      </c>
      <c r="Y316" s="10" t="s">
        <v>113</v>
      </c>
      <c r="Z316" s="51" t="s">
        <v>160</v>
      </c>
      <c r="AB316" s="56"/>
      <c r="AC316" s="31" t="s">
        <v>155</v>
      </c>
      <c r="AD316" s="58" t="s">
        <v>9</v>
      </c>
      <c r="AE316" s="58">
        <v>1</v>
      </c>
      <c r="AF316" s="58" t="s">
        <v>152</v>
      </c>
      <c r="AG316" s="59">
        <v>13</v>
      </c>
      <c r="AH316" s="10">
        <v>1068</v>
      </c>
      <c r="AI316" s="43" t="s">
        <v>163</v>
      </c>
      <c r="AK316" s="56"/>
      <c r="AL316" s="31" t="s">
        <v>155</v>
      </c>
      <c r="AM316" s="58" t="s">
        <v>9</v>
      </c>
      <c r="AN316" s="58">
        <v>1</v>
      </c>
      <c r="AO316" s="58" t="s">
        <v>152</v>
      </c>
      <c r="AP316" s="59">
        <v>13</v>
      </c>
      <c r="AQ316" s="10">
        <v>2041</v>
      </c>
      <c r="AR316" s="43" t="s">
        <v>163</v>
      </c>
      <c r="AT316" s="56"/>
      <c r="AU316" s="31" t="s">
        <v>155</v>
      </c>
      <c r="AV316" s="58" t="s">
        <v>9</v>
      </c>
      <c r="AW316" s="58">
        <v>1</v>
      </c>
      <c r="AX316" s="58" t="s">
        <v>152</v>
      </c>
      <c r="AY316" s="59">
        <v>13</v>
      </c>
      <c r="AZ316" s="10">
        <v>1013</v>
      </c>
      <c r="BA316" s="43" t="s">
        <v>189</v>
      </c>
      <c r="BC316" s="56"/>
      <c r="BD316" s="31" t="s">
        <v>155</v>
      </c>
      <c r="BE316" s="58" t="s">
        <v>9</v>
      </c>
      <c r="BF316" s="58">
        <v>1</v>
      </c>
      <c r="BG316" s="58" t="s">
        <v>152</v>
      </c>
      <c r="BH316" s="59">
        <v>13</v>
      </c>
      <c r="BI316" s="10" t="s">
        <v>371</v>
      </c>
      <c r="BJ316" s="43" t="s">
        <v>177</v>
      </c>
      <c r="BL316" s="56"/>
      <c r="BM316" s="31" t="s">
        <v>155</v>
      </c>
      <c r="BN316" s="58" t="s">
        <v>9</v>
      </c>
      <c r="BO316" s="58">
        <v>1</v>
      </c>
      <c r="BP316" s="58" t="s">
        <v>152</v>
      </c>
      <c r="BQ316" s="59">
        <v>13</v>
      </c>
      <c r="BR316" s="10">
        <v>3012</v>
      </c>
      <c r="BS316" t="s">
        <v>187</v>
      </c>
      <c r="BU316" s="56"/>
      <c r="BV316" s="31" t="s">
        <v>155</v>
      </c>
      <c r="BW316" s="58" t="s">
        <v>9</v>
      </c>
      <c r="BX316" s="58">
        <v>1</v>
      </c>
      <c r="BY316" s="58" t="s">
        <v>152</v>
      </c>
      <c r="BZ316" s="59">
        <v>13</v>
      </c>
      <c r="CA316" s="10">
        <v>1074</v>
      </c>
      <c r="CB316" s="43" t="s">
        <v>170</v>
      </c>
      <c r="CD316" s="56"/>
      <c r="CE316" s="31" t="s">
        <v>155</v>
      </c>
      <c r="CF316" s="58" t="s">
        <v>9</v>
      </c>
      <c r="CG316" s="58">
        <v>1</v>
      </c>
      <c r="CH316" s="58" t="s">
        <v>152</v>
      </c>
      <c r="CI316" s="59">
        <v>13</v>
      </c>
      <c r="CJ316" s="10">
        <v>1081</v>
      </c>
      <c r="CK316" s="43" t="s">
        <v>184</v>
      </c>
    </row>
    <row r="317" spans="1:89" x14ac:dyDescent="0.25">
      <c r="A317" s="42"/>
      <c r="B317" s="34" t="s">
        <v>155</v>
      </c>
      <c r="C317" s="10" t="s">
        <v>9</v>
      </c>
      <c r="D317" s="10">
        <v>2</v>
      </c>
      <c r="E317" s="10" t="s">
        <v>152</v>
      </c>
      <c r="F317">
        <v>14</v>
      </c>
      <c r="G317" s="10" t="s">
        <v>110</v>
      </c>
      <c r="H317" s="43" t="s">
        <v>169</v>
      </c>
      <c r="J317" s="42"/>
      <c r="K317" s="34" t="s">
        <v>155</v>
      </c>
      <c r="L317" s="10" t="s">
        <v>9</v>
      </c>
      <c r="M317" s="10">
        <v>2</v>
      </c>
      <c r="N317" s="10" t="s">
        <v>152</v>
      </c>
      <c r="O317">
        <v>14</v>
      </c>
      <c r="P317" s="10" t="s">
        <v>123</v>
      </c>
      <c r="Q317" t="s">
        <v>183</v>
      </c>
      <c r="S317" s="42"/>
      <c r="T317" s="34" t="s">
        <v>155</v>
      </c>
      <c r="U317" s="10" t="s">
        <v>9</v>
      </c>
      <c r="V317" s="10">
        <v>2</v>
      </c>
      <c r="W317" s="10" t="s">
        <v>152</v>
      </c>
      <c r="X317">
        <v>14</v>
      </c>
      <c r="Y317" s="10" t="s">
        <v>115</v>
      </c>
      <c r="Z317" s="43" t="s">
        <v>168</v>
      </c>
      <c r="AB317" s="42"/>
      <c r="AC317" s="34" t="s">
        <v>155</v>
      </c>
      <c r="AD317" s="10" t="s">
        <v>9</v>
      </c>
      <c r="AE317" s="10">
        <v>2</v>
      </c>
      <c r="AF317" s="10" t="s">
        <v>152</v>
      </c>
      <c r="AG317">
        <v>14</v>
      </c>
      <c r="AH317" s="10">
        <v>1068</v>
      </c>
      <c r="AI317" s="43" t="s">
        <v>171</v>
      </c>
      <c r="AK317" s="42"/>
      <c r="AL317" s="34" t="s">
        <v>155</v>
      </c>
      <c r="AM317" s="10" t="s">
        <v>9</v>
      </c>
      <c r="AN317" s="10">
        <v>2</v>
      </c>
      <c r="AO317" s="10" t="s">
        <v>152</v>
      </c>
      <c r="AP317">
        <v>14</v>
      </c>
      <c r="AQ317" s="10">
        <v>2041</v>
      </c>
      <c r="AR317" s="43" t="s">
        <v>171</v>
      </c>
      <c r="AT317" s="42"/>
      <c r="AU317" s="34" t="s">
        <v>155</v>
      </c>
      <c r="AV317" s="10" t="s">
        <v>9</v>
      </c>
      <c r="AW317" s="10">
        <v>2</v>
      </c>
      <c r="AX317" s="10" t="s">
        <v>152</v>
      </c>
      <c r="AY317">
        <v>14</v>
      </c>
      <c r="AZ317" s="10">
        <v>1014</v>
      </c>
      <c r="BA317" s="43" t="s">
        <v>171</v>
      </c>
      <c r="BC317" s="42"/>
      <c r="BD317" s="34" t="s">
        <v>155</v>
      </c>
      <c r="BE317" s="10" t="s">
        <v>9</v>
      </c>
      <c r="BF317" s="10">
        <v>2</v>
      </c>
      <c r="BG317" s="10" t="s">
        <v>152</v>
      </c>
      <c r="BH317">
        <v>14</v>
      </c>
      <c r="BI317" s="10" t="s">
        <v>372</v>
      </c>
      <c r="BJ317" s="43" t="s">
        <v>180</v>
      </c>
      <c r="BL317" s="42"/>
      <c r="BM317" s="34" t="s">
        <v>155</v>
      </c>
      <c r="BN317" s="10" t="s">
        <v>9</v>
      </c>
      <c r="BO317" s="10">
        <v>2</v>
      </c>
      <c r="BP317" s="10" t="s">
        <v>152</v>
      </c>
      <c r="BQ317">
        <v>14</v>
      </c>
      <c r="BR317" s="10">
        <v>3012</v>
      </c>
      <c r="BS317" t="s">
        <v>189</v>
      </c>
      <c r="BU317" s="42"/>
      <c r="BV317" s="34" t="s">
        <v>155</v>
      </c>
      <c r="BW317" s="10" t="s">
        <v>9</v>
      </c>
      <c r="BX317" s="10">
        <v>2</v>
      </c>
      <c r="BY317" s="10" t="s">
        <v>152</v>
      </c>
      <c r="BZ317">
        <v>14</v>
      </c>
      <c r="CA317" s="10">
        <v>1074</v>
      </c>
      <c r="CB317" s="33" t="s">
        <v>178</v>
      </c>
      <c r="CD317" s="42"/>
      <c r="CE317" s="34" t="s">
        <v>155</v>
      </c>
      <c r="CF317" s="10" t="s">
        <v>9</v>
      </c>
      <c r="CG317" s="10">
        <v>2</v>
      </c>
      <c r="CH317" s="10" t="s">
        <v>152</v>
      </c>
      <c r="CI317">
        <v>14</v>
      </c>
      <c r="CJ317" s="10">
        <v>1081</v>
      </c>
      <c r="CK317" s="43" t="s">
        <v>187</v>
      </c>
    </row>
    <row r="318" spans="1:89" ht="15.75" thickBot="1" x14ac:dyDescent="0.3">
      <c r="A318" s="42"/>
      <c r="B318" s="34" t="s">
        <v>155</v>
      </c>
      <c r="C318" s="10" t="s">
        <v>9</v>
      </c>
      <c r="D318" s="10">
        <v>3</v>
      </c>
      <c r="E318" s="10" t="s">
        <v>152</v>
      </c>
      <c r="F318">
        <v>15</v>
      </c>
      <c r="G318" s="10" t="s">
        <v>110</v>
      </c>
      <c r="H318" s="43" t="s">
        <v>177</v>
      </c>
      <c r="J318" s="42"/>
      <c r="K318" s="34" t="s">
        <v>155</v>
      </c>
      <c r="L318" s="10" t="s">
        <v>9</v>
      </c>
      <c r="M318" s="10">
        <v>3</v>
      </c>
      <c r="N318" s="10" t="s">
        <v>152</v>
      </c>
      <c r="O318">
        <v>15</v>
      </c>
      <c r="P318" s="10" t="s">
        <v>123</v>
      </c>
      <c r="Q318" t="s">
        <v>186</v>
      </c>
      <c r="S318" s="42"/>
      <c r="T318" s="34" t="s">
        <v>155</v>
      </c>
      <c r="U318" s="10" t="s">
        <v>9</v>
      </c>
      <c r="V318" s="10">
        <v>3</v>
      </c>
      <c r="W318" s="10" t="s">
        <v>152</v>
      </c>
      <c r="X318">
        <v>15</v>
      </c>
      <c r="Y318" s="10" t="s">
        <v>117</v>
      </c>
      <c r="Z318" s="43" t="s">
        <v>176</v>
      </c>
      <c r="AB318" s="42"/>
      <c r="AC318" s="34" t="s">
        <v>155</v>
      </c>
      <c r="AD318" s="10" t="s">
        <v>9</v>
      </c>
      <c r="AE318" s="10">
        <v>3</v>
      </c>
      <c r="AF318" s="10" t="s">
        <v>152</v>
      </c>
      <c r="AG318">
        <v>15</v>
      </c>
      <c r="AH318" s="10">
        <v>1068</v>
      </c>
      <c r="AI318" s="43" t="s">
        <v>161</v>
      </c>
      <c r="AK318" s="42"/>
      <c r="AL318" s="34" t="s">
        <v>155</v>
      </c>
      <c r="AM318" s="10" t="s">
        <v>9</v>
      </c>
      <c r="AN318" s="10">
        <v>3</v>
      </c>
      <c r="AO318" s="10" t="s">
        <v>152</v>
      </c>
      <c r="AP318">
        <v>15</v>
      </c>
      <c r="AQ318" s="10">
        <v>2041</v>
      </c>
      <c r="AR318" s="43" t="s">
        <v>161</v>
      </c>
      <c r="AT318" s="42"/>
      <c r="AU318" s="34" t="s">
        <v>155</v>
      </c>
      <c r="AV318" s="10" t="s">
        <v>9</v>
      </c>
      <c r="AW318" s="10">
        <v>3</v>
      </c>
      <c r="AX318" s="10" t="s">
        <v>152</v>
      </c>
      <c r="AY318">
        <v>15</v>
      </c>
      <c r="AZ318" s="10">
        <v>1014</v>
      </c>
      <c r="BA318" s="43" t="s">
        <v>161</v>
      </c>
      <c r="BC318" s="42"/>
      <c r="BD318" s="34" t="s">
        <v>155</v>
      </c>
      <c r="BE318" s="10" t="s">
        <v>9</v>
      </c>
      <c r="BF318" s="10">
        <v>3</v>
      </c>
      <c r="BG318" s="10" t="s">
        <v>152</v>
      </c>
      <c r="BH318">
        <v>15</v>
      </c>
      <c r="BI318" s="10" t="s">
        <v>373</v>
      </c>
      <c r="BJ318" s="43" t="s">
        <v>181</v>
      </c>
      <c r="BL318" s="42"/>
      <c r="BM318" s="34" t="s">
        <v>155</v>
      </c>
      <c r="BN318" s="10" t="s">
        <v>9</v>
      </c>
      <c r="BO318" s="10">
        <v>3</v>
      </c>
      <c r="BP318" s="10" t="s">
        <v>152</v>
      </c>
      <c r="BQ318">
        <v>15</v>
      </c>
      <c r="BR318" s="10">
        <v>1071</v>
      </c>
      <c r="BS318" s="43" t="s">
        <v>160</v>
      </c>
      <c r="BU318" s="42"/>
      <c r="BV318" s="34" t="s">
        <v>155</v>
      </c>
      <c r="BW318" s="10" t="s">
        <v>9</v>
      </c>
      <c r="BX318" s="10">
        <v>3</v>
      </c>
      <c r="BY318" s="10" t="s">
        <v>152</v>
      </c>
      <c r="BZ318">
        <v>15</v>
      </c>
      <c r="CA318" s="10">
        <v>1074</v>
      </c>
      <c r="CB318" s="43" t="s">
        <v>163</v>
      </c>
      <c r="CD318" s="42"/>
      <c r="CE318" s="34" t="s">
        <v>155</v>
      </c>
      <c r="CF318" s="10" t="s">
        <v>9</v>
      </c>
      <c r="CG318" s="10">
        <v>3</v>
      </c>
      <c r="CH318" s="10" t="s">
        <v>152</v>
      </c>
      <c r="CI318">
        <v>15</v>
      </c>
      <c r="CJ318" s="10">
        <v>1081</v>
      </c>
      <c r="CK318" s="43" t="s">
        <v>189</v>
      </c>
    </row>
    <row r="319" spans="1:89" x14ac:dyDescent="0.25">
      <c r="A319" s="42"/>
      <c r="B319" s="34" t="s">
        <v>155</v>
      </c>
      <c r="C319" s="10" t="s">
        <v>9</v>
      </c>
      <c r="D319" s="10">
        <v>4</v>
      </c>
      <c r="E319" s="10" t="s">
        <v>152</v>
      </c>
      <c r="F319">
        <v>16</v>
      </c>
      <c r="G319" s="10" t="s">
        <v>110</v>
      </c>
      <c r="H319" s="43" t="s">
        <v>180</v>
      </c>
      <c r="J319" s="42"/>
      <c r="K319" s="34" t="s">
        <v>155</v>
      </c>
      <c r="L319" s="10" t="s">
        <v>9</v>
      </c>
      <c r="M319" s="10">
        <v>4</v>
      </c>
      <c r="N319" s="10" t="s">
        <v>152</v>
      </c>
      <c r="O319">
        <v>16</v>
      </c>
      <c r="P319" s="10" t="s">
        <v>123</v>
      </c>
      <c r="Q319" t="s">
        <v>188</v>
      </c>
      <c r="S319" s="42"/>
      <c r="T319" s="34" t="s">
        <v>155</v>
      </c>
      <c r="U319" s="10" t="s">
        <v>9</v>
      </c>
      <c r="V319" s="10">
        <v>4</v>
      </c>
      <c r="W319" s="10" t="s">
        <v>152</v>
      </c>
      <c r="X319">
        <v>16</v>
      </c>
      <c r="Y319" s="10" t="s">
        <v>119</v>
      </c>
      <c r="Z319" s="43" t="s">
        <v>164</v>
      </c>
      <c r="AB319" s="42"/>
      <c r="AC319" s="34" t="s">
        <v>155</v>
      </c>
      <c r="AD319" s="10" t="s">
        <v>9</v>
      </c>
      <c r="AE319" s="10">
        <v>4</v>
      </c>
      <c r="AF319" s="10" t="s">
        <v>152</v>
      </c>
      <c r="AG319">
        <v>16</v>
      </c>
      <c r="AH319" s="10">
        <v>1068</v>
      </c>
      <c r="AI319" s="33" t="s">
        <v>169</v>
      </c>
      <c r="AK319" s="42"/>
      <c r="AL319" s="34" t="s">
        <v>155</v>
      </c>
      <c r="AM319" s="10" t="s">
        <v>9</v>
      </c>
      <c r="AN319" s="10">
        <v>4</v>
      </c>
      <c r="AO319" s="10" t="s">
        <v>152</v>
      </c>
      <c r="AP319">
        <v>16</v>
      </c>
      <c r="AQ319" s="10">
        <v>2041</v>
      </c>
      <c r="AR319" s="33" t="s">
        <v>169</v>
      </c>
      <c r="AT319" s="42"/>
      <c r="AU319" s="34" t="s">
        <v>155</v>
      </c>
      <c r="AV319" s="10" t="s">
        <v>9</v>
      </c>
      <c r="AW319" s="10">
        <v>4</v>
      </c>
      <c r="AX319" s="10" t="s">
        <v>152</v>
      </c>
      <c r="AY319">
        <v>16</v>
      </c>
      <c r="AZ319" s="10">
        <v>1014</v>
      </c>
      <c r="BA319" s="33" t="s">
        <v>169</v>
      </c>
      <c r="BC319" s="42"/>
      <c r="BD319" s="34" t="s">
        <v>155</v>
      </c>
      <c r="BE319" s="10" t="s">
        <v>9</v>
      </c>
      <c r="BF319" s="10">
        <v>4</v>
      </c>
      <c r="BG319" s="10" t="s">
        <v>152</v>
      </c>
      <c r="BH319">
        <v>16</v>
      </c>
      <c r="BI319" s="10" t="s">
        <v>374</v>
      </c>
      <c r="BJ319" s="43" t="s">
        <v>183</v>
      </c>
      <c r="BL319" s="42"/>
      <c r="BM319" s="34" t="s">
        <v>155</v>
      </c>
      <c r="BN319" s="10" t="s">
        <v>9</v>
      </c>
      <c r="BO319" s="10">
        <v>4</v>
      </c>
      <c r="BP319" s="10" t="s">
        <v>152</v>
      </c>
      <c r="BQ319">
        <v>16</v>
      </c>
      <c r="BR319" s="10">
        <v>1071</v>
      </c>
      <c r="BS319" s="43" t="s">
        <v>168</v>
      </c>
      <c r="BU319" s="42"/>
      <c r="BV319" s="34" t="s">
        <v>155</v>
      </c>
      <c r="BW319" s="10" t="s">
        <v>9</v>
      </c>
      <c r="BX319" s="10">
        <v>4</v>
      </c>
      <c r="BY319" s="10" t="s">
        <v>152</v>
      </c>
      <c r="BZ319">
        <v>16</v>
      </c>
      <c r="CA319" s="10">
        <v>1074</v>
      </c>
      <c r="CB319" s="43" t="s">
        <v>171</v>
      </c>
      <c r="CD319" s="42"/>
      <c r="CE319" s="34" t="s">
        <v>155</v>
      </c>
      <c r="CF319" s="10" t="s">
        <v>9</v>
      </c>
      <c r="CG319" s="10">
        <v>4</v>
      </c>
      <c r="CH319" s="10" t="s">
        <v>152</v>
      </c>
      <c r="CI319">
        <v>16</v>
      </c>
      <c r="CJ319" s="10">
        <v>1082</v>
      </c>
      <c r="CK319" s="43" t="s">
        <v>160</v>
      </c>
    </row>
    <row r="320" spans="1:89" x14ac:dyDescent="0.25">
      <c r="A320" s="42"/>
      <c r="B320" s="34" t="s">
        <v>155</v>
      </c>
      <c r="C320" s="10" t="s">
        <v>9</v>
      </c>
      <c r="D320" s="10">
        <v>5</v>
      </c>
      <c r="E320" s="10" t="s">
        <v>152</v>
      </c>
      <c r="F320">
        <v>17</v>
      </c>
      <c r="G320" s="10" t="s">
        <v>110</v>
      </c>
      <c r="H320" s="43" t="s">
        <v>181</v>
      </c>
      <c r="J320" s="42"/>
      <c r="K320" s="34" t="s">
        <v>155</v>
      </c>
      <c r="L320" s="10" t="s">
        <v>9</v>
      </c>
      <c r="M320" s="10">
        <v>5</v>
      </c>
      <c r="N320" s="10" t="s">
        <v>152</v>
      </c>
      <c r="O320">
        <v>17</v>
      </c>
      <c r="P320" s="10" t="s">
        <v>123</v>
      </c>
      <c r="Q320" t="s">
        <v>182</v>
      </c>
      <c r="S320" s="42"/>
      <c r="T320" s="34" t="s">
        <v>155</v>
      </c>
      <c r="U320" s="10" t="s">
        <v>9</v>
      </c>
      <c r="V320" s="10">
        <v>5</v>
      </c>
      <c r="W320" s="10" t="s">
        <v>152</v>
      </c>
      <c r="X320">
        <v>17</v>
      </c>
      <c r="Y320" s="10" t="s">
        <v>375</v>
      </c>
      <c r="Z320" s="43" t="s">
        <v>172</v>
      </c>
      <c r="AB320" s="42"/>
      <c r="AC320" s="34" t="s">
        <v>155</v>
      </c>
      <c r="AD320" s="10" t="s">
        <v>9</v>
      </c>
      <c r="AE320" s="10">
        <v>5</v>
      </c>
      <c r="AF320" s="10" t="s">
        <v>152</v>
      </c>
      <c r="AG320">
        <v>17</v>
      </c>
      <c r="AH320" s="10">
        <v>1068</v>
      </c>
      <c r="AI320" s="43" t="s">
        <v>177</v>
      </c>
      <c r="AK320" s="42"/>
      <c r="AL320" s="34" t="s">
        <v>155</v>
      </c>
      <c r="AM320" s="10" t="s">
        <v>9</v>
      </c>
      <c r="AN320" s="10">
        <v>5</v>
      </c>
      <c r="AO320" s="10" t="s">
        <v>152</v>
      </c>
      <c r="AP320">
        <v>17</v>
      </c>
      <c r="AQ320" s="10">
        <v>2041</v>
      </c>
      <c r="AR320" s="43" t="s">
        <v>177</v>
      </c>
      <c r="AT320" s="42"/>
      <c r="AU320" s="34" t="s">
        <v>155</v>
      </c>
      <c r="AV320" s="10" t="s">
        <v>9</v>
      </c>
      <c r="AW320" s="10">
        <v>5</v>
      </c>
      <c r="AX320" s="10" t="s">
        <v>152</v>
      </c>
      <c r="AY320">
        <v>17</v>
      </c>
      <c r="AZ320" s="10">
        <v>1014</v>
      </c>
      <c r="BA320" s="43" t="s">
        <v>177</v>
      </c>
      <c r="BC320" s="42"/>
      <c r="BD320" s="34" t="s">
        <v>155</v>
      </c>
      <c r="BE320" s="10" t="s">
        <v>9</v>
      </c>
      <c r="BF320" s="10">
        <v>5</v>
      </c>
      <c r="BG320" s="10" t="s">
        <v>152</v>
      </c>
      <c r="BH320">
        <v>17</v>
      </c>
      <c r="BI320" s="10" t="s">
        <v>376</v>
      </c>
      <c r="BJ320" s="43" t="s">
        <v>186</v>
      </c>
      <c r="BL320" s="42"/>
      <c r="BM320" s="34" t="s">
        <v>155</v>
      </c>
      <c r="BN320" s="10" t="s">
        <v>9</v>
      </c>
      <c r="BO320" s="10">
        <v>5</v>
      </c>
      <c r="BP320" s="10" t="s">
        <v>152</v>
      </c>
      <c r="BQ320">
        <v>17</v>
      </c>
      <c r="BR320" s="10">
        <v>1071</v>
      </c>
      <c r="BS320" s="43" t="s">
        <v>176</v>
      </c>
      <c r="BU320" s="42"/>
      <c r="BV320" s="34" t="s">
        <v>155</v>
      </c>
      <c r="BW320" s="10" t="s">
        <v>9</v>
      </c>
      <c r="BX320" s="10">
        <v>5</v>
      </c>
      <c r="BY320" s="10" t="s">
        <v>152</v>
      </c>
      <c r="BZ320">
        <v>17</v>
      </c>
      <c r="CA320" s="10">
        <v>1074</v>
      </c>
      <c r="CB320" s="43" t="s">
        <v>161</v>
      </c>
      <c r="CD320" s="42"/>
      <c r="CE320" s="34" t="s">
        <v>155</v>
      </c>
      <c r="CF320" s="10" t="s">
        <v>9</v>
      </c>
      <c r="CG320" s="10">
        <v>5</v>
      </c>
      <c r="CH320" s="10" t="s">
        <v>152</v>
      </c>
      <c r="CI320">
        <v>17</v>
      </c>
      <c r="CJ320" s="10">
        <v>1082</v>
      </c>
      <c r="CK320" s="43" t="s">
        <v>168</v>
      </c>
    </row>
    <row r="321" spans="1:89" x14ac:dyDescent="0.25">
      <c r="A321" s="42"/>
      <c r="B321" s="34" t="s">
        <v>155</v>
      </c>
      <c r="C321" s="10" t="s">
        <v>9</v>
      </c>
      <c r="D321" s="10">
        <v>6</v>
      </c>
      <c r="E321" s="10" t="s">
        <v>152</v>
      </c>
      <c r="F321">
        <v>18</v>
      </c>
      <c r="G321" s="10" t="s">
        <v>110</v>
      </c>
      <c r="H321" s="43" t="s">
        <v>183</v>
      </c>
      <c r="J321" s="42"/>
      <c r="K321" s="34" t="s">
        <v>155</v>
      </c>
      <c r="L321" s="10" t="s">
        <v>9</v>
      </c>
      <c r="M321" s="10">
        <v>6</v>
      </c>
      <c r="N321" s="10" t="s">
        <v>152</v>
      </c>
      <c r="O321">
        <v>18</v>
      </c>
      <c r="P321" s="10" t="s">
        <v>123</v>
      </c>
      <c r="Q321" t="s">
        <v>184</v>
      </c>
      <c r="S321" s="42"/>
      <c r="T321" s="34" t="s">
        <v>155</v>
      </c>
      <c r="U321" s="10" t="s">
        <v>9</v>
      </c>
      <c r="V321" s="10">
        <v>6</v>
      </c>
      <c r="W321" s="10" t="s">
        <v>152</v>
      </c>
      <c r="X321">
        <v>18</v>
      </c>
      <c r="Y321" s="10" t="s">
        <v>377</v>
      </c>
      <c r="Z321" s="43" t="s">
        <v>162</v>
      </c>
      <c r="AB321" s="42"/>
      <c r="AC321" s="34" t="s">
        <v>155</v>
      </c>
      <c r="AD321" s="10" t="s">
        <v>9</v>
      </c>
      <c r="AE321" s="10">
        <v>6</v>
      </c>
      <c r="AF321" s="10" t="s">
        <v>152</v>
      </c>
      <c r="AG321">
        <v>18</v>
      </c>
      <c r="AH321" s="10">
        <v>1068</v>
      </c>
      <c r="AI321" s="43" t="s">
        <v>180</v>
      </c>
      <c r="AK321" s="42"/>
      <c r="AL321" s="34" t="s">
        <v>155</v>
      </c>
      <c r="AM321" s="10" t="s">
        <v>9</v>
      </c>
      <c r="AN321" s="10">
        <v>6</v>
      </c>
      <c r="AO321" s="10" t="s">
        <v>152</v>
      </c>
      <c r="AP321">
        <v>18</v>
      </c>
      <c r="AQ321" s="10">
        <v>2041</v>
      </c>
      <c r="AR321" s="43" t="s">
        <v>180</v>
      </c>
      <c r="AT321" s="42"/>
      <c r="AU321" s="34" t="s">
        <v>155</v>
      </c>
      <c r="AV321" s="10" t="s">
        <v>9</v>
      </c>
      <c r="AW321" s="10">
        <v>6</v>
      </c>
      <c r="AX321" s="10" t="s">
        <v>152</v>
      </c>
      <c r="AY321">
        <v>18</v>
      </c>
      <c r="AZ321" s="10">
        <v>1014</v>
      </c>
      <c r="BA321" s="43" t="s">
        <v>180</v>
      </c>
      <c r="BC321" s="42"/>
      <c r="BD321" s="34" t="s">
        <v>155</v>
      </c>
      <c r="BE321" s="10" t="s">
        <v>9</v>
      </c>
      <c r="BF321" s="10">
        <v>6</v>
      </c>
      <c r="BG321" s="10" t="s">
        <v>152</v>
      </c>
      <c r="BH321">
        <v>18</v>
      </c>
      <c r="BI321" s="10" t="s">
        <v>378</v>
      </c>
      <c r="BJ321" s="43" t="s">
        <v>188</v>
      </c>
      <c r="BL321" s="42"/>
      <c r="BM321" s="34" t="s">
        <v>155</v>
      </c>
      <c r="BN321" s="10" t="s">
        <v>9</v>
      </c>
      <c r="BO321" s="10">
        <v>6</v>
      </c>
      <c r="BP321" s="10" t="s">
        <v>152</v>
      </c>
      <c r="BQ321">
        <v>18</v>
      </c>
      <c r="BR321" s="10">
        <v>1071</v>
      </c>
      <c r="BS321" s="43" t="s">
        <v>164</v>
      </c>
      <c r="BU321" s="42"/>
      <c r="BV321" s="34" t="s">
        <v>155</v>
      </c>
      <c r="BW321" s="10" t="s">
        <v>9</v>
      </c>
      <c r="BX321" s="10">
        <v>6</v>
      </c>
      <c r="BY321" s="10" t="s">
        <v>152</v>
      </c>
      <c r="BZ321">
        <v>18</v>
      </c>
      <c r="CA321" s="10">
        <v>1074</v>
      </c>
      <c r="CB321" s="43" t="s">
        <v>169</v>
      </c>
      <c r="CD321" s="42"/>
      <c r="CE321" s="34" t="s">
        <v>155</v>
      </c>
      <c r="CF321" s="10" t="s">
        <v>9</v>
      </c>
      <c r="CG321" s="10">
        <v>6</v>
      </c>
      <c r="CH321" s="10" t="s">
        <v>152</v>
      </c>
      <c r="CI321">
        <v>18</v>
      </c>
      <c r="CJ321" s="10">
        <v>1082</v>
      </c>
      <c r="CK321" s="43" t="s">
        <v>176</v>
      </c>
    </row>
    <row r="322" spans="1:89" x14ac:dyDescent="0.25">
      <c r="A322" s="42"/>
      <c r="B322" s="34" t="s">
        <v>155</v>
      </c>
      <c r="C322" s="10" t="s">
        <v>9</v>
      </c>
      <c r="D322" s="10">
        <v>7</v>
      </c>
      <c r="E322" s="10" t="s">
        <v>152</v>
      </c>
      <c r="F322">
        <v>19</v>
      </c>
      <c r="G322" s="10" t="s">
        <v>110</v>
      </c>
      <c r="H322" s="43" t="s">
        <v>186</v>
      </c>
      <c r="J322" s="42"/>
      <c r="K322" s="34" t="s">
        <v>155</v>
      </c>
      <c r="L322" s="10" t="s">
        <v>9</v>
      </c>
      <c r="M322" s="10">
        <v>7</v>
      </c>
      <c r="N322" s="10" t="s">
        <v>152</v>
      </c>
      <c r="O322">
        <v>19</v>
      </c>
      <c r="P322" s="10" t="s">
        <v>123</v>
      </c>
      <c r="Q322" t="s">
        <v>187</v>
      </c>
      <c r="S322" s="42"/>
      <c r="T322" s="34" t="s">
        <v>155</v>
      </c>
      <c r="U322" s="10" t="s">
        <v>9</v>
      </c>
      <c r="V322" s="10">
        <v>7</v>
      </c>
      <c r="W322" s="10" t="s">
        <v>152</v>
      </c>
      <c r="X322">
        <v>19</v>
      </c>
      <c r="Y322" s="10" t="s">
        <v>379</v>
      </c>
      <c r="Z322" s="43" t="s">
        <v>170</v>
      </c>
      <c r="AB322" s="42"/>
      <c r="AC322" s="34" t="s">
        <v>155</v>
      </c>
      <c r="AD322" s="10" t="s">
        <v>9</v>
      </c>
      <c r="AE322" s="10">
        <v>7</v>
      </c>
      <c r="AF322" s="10" t="s">
        <v>152</v>
      </c>
      <c r="AG322">
        <v>19</v>
      </c>
      <c r="AH322" s="10">
        <v>1068</v>
      </c>
      <c r="AI322" s="43" t="s">
        <v>181</v>
      </c>
      <c r="AK322" s="42"/>
      <c r="AL322" s="34" t="s">
        <v>155</v>
      </c>
      <c r="AM322" s="10" t="s">
        <v>9</v>
      </c>
      <c r="AN322" s="10">
        <v>7</v>
      </c>
      <c r="AO322" s="10" t="s">
        <v>152</v>
      </c>
      <c r="AP322">
        <v>19</v>
      </c>
      <c r="AQ322" s="10">
        <v>2041</v>
      </c>
      <c r="AR322" s="43" t="s">
        <v>181</v>
      </c>
      <c r="AT322" s="42"/>
      <c r="AU322" s="34" t="s">
        <v>155</v>
      </c>
      <c r="AV322" s="10" t="s">
        <v>9</v>
      </c>
      <c r="AW322" s="10">
        <v>7</v>
      </c>
      <c r="AX322" s="10" t="s">
        <v>152</v>
      </c>
      <c r="AY322">
        <v>19</v>
      </c>
      <c r="AZ322" s="10">
        <v>1014</v>
      </c>
      <c r="BA322" s="43" t="s">
        <v>181</v>
      </c>
      <c r="BC322" s="42"/>
      <c r="BD322" s="34" t="s">
        <v>155</v>
      </c>
      <c r="BE322" s="10" t="s">
        <v>9</v>
      </c>
      <c r="BF322" s="10">
        <v>7</v>
      </c>
      <c r="BG322" s="10" t="s">
        <v>152</v>
      </c>
      <c r="BH322">
        <v>19</v>
      </c>
      <c r="BI322" s="10" t="s">
        <v>380</v>
      </c>
      <c r="BJ322" s="43" t="s">
        <v>182</v>
      </c>
      <c r="BL322" s="42"/>
      <c r="BM322" s="34" t="s">
        <v>155</v>
      </c>
      <c r="BN322" s="10" t="s">
        <v>9</v>
      </c>
      <c r="BO322" s="10">
        <v>7</v>
      </c>
      <c r="BP322" s="10" t="s">
        <v>152</v>
      </c>
      <c r="BQ322">
        <v>19</v>
      </c>
      <c r="BR322" s="10">
        <v>1071</v>
      </c>
      <c r="BS322" s="43" t="s">
        <v>172</v>
      </c>
      <c r="BU322" s="42"/>
      <c r="BV322" s="34" t="s">
        <v>155</v>
      </c>
      <c r="BW322" s="10" t="s">
        <v>9</v>
      </c>
      <c r="BX322" s="10">
        <v>7</v>
      </c>
      <c r="BY322" s="10" t="s">
        <v>152</v>
      </c>
      <c r="BZ322">
        <v>19</v>
      </c>
      <c r="CA322" s="10">
        <v>1074</v>
      </c>
      <c r="CB322" s="43" t="s">
        <v>177</v>
      </c>
      <c r="CD322" s="42"/>
      <c r="CE322" s="34" t="s">
        <v>155</v>
      </c>
      <c r="CF322" s="10" t="s">
        <v>9</v>
      </c>
      <c r="CG322" s="10">
        <v>7</v>
      </c>
      <c r="CH322" s="10" t="s">
        <v>152</v>
      </c>
      <c r="CI322">
        <v>19</v>
      </c>
      <c r="CJ322" s="10">
        <v>1082</v>
      </c>
      <c r="CK322" s="43" t="s">
        <v>164</v>
      </c>
    </row>
    <row r="323" spans="1:89" x14ac:dyDescent="0.25">
      <c r="A323" s="42"/>
      <c r="B323" s="34" t="s">
        <v>155</v>
      </c>
      <c r="C323" s="10" t="s">
        <v>9</v>
      </c>
      <c r="D323" s="10">
        <v>8</v>
      </c>
      <c r="E323" s="10" t="s">
        <v>152</v>
      </c>
      <c r="F323">
        <v>20</v>
      </c>
      <c r="G323" s="10" t="s">
        <v>110</v>
      </c>
      <c r="H323" s="43" t="s">
        <v>188</v>
      </c>
      <c r="J323" s="42"/>
      <c r="K323" s="34" t="s">
        <v>155</v>
      </c>
      <c r="L323" s="10" t="s">
        <v>9</v>
      </c>
      <c r="M323" s="10">
        <v>8</v>
      </c>
      <c r="N323" s="10" t="s">
        <v>152</v>
      </c>
      <c r="O323">
        <v>20</v>
      </c>
      <c r="P323" s="10" t="s">
        <v>123</v>
      </c>
      <c r="Q323" t="s">
        <v>189</v>
      </c>
      <c r="S323" s="42"/>
      <c r="T323" s="34" t="s">
        <v>155</v>
      </c>
      <c r="U323" s="10" t="s">
        <v>9</v>
      </c>
      <c r="V323" s="10">
        <v>8</v>
      </c>
      <c r="W323" s="10" t="s">
        <v>152</v>
      </c>
      <c r="X323">
        <v>20</v>
      </c>
      <c r="Y323" s="10" t="s">
        <v>381</v>
      </c>
      <c r="Z323" s="43" t="s">
        <v>178</v>
      </c>
      <c r="AB323" s="42"/>
      <c r="AC323" s="34" t="s">
        <v>155</v>
      </c>
      <c r="AD323" s="10" t="s">
        <v>9</v>
      </c>
      <c r="AE323" s="10">
        <v>8</v>
      </c>
      <c r="AF323" s="10" t="s">
        <v>152</v>
      </c>
      <c r="AG323">
        <v>20</v>
      </c>
      <c r="AH323" s="10">
        <v>1068</v>
      </c>
      <c r="AI323" s="43" t="s">
        <v>183</v>
      </c>
      <c r="AK323" s="42"/>
      <c r="AL323" s="34" t="s">
        <v>155</v>
      </c>
      <c r="AM323" s="10" t="s">
        <v>9</v>
      </c>
      <c r="AN323" s="10">
        <v>8</v>
      </c>
      <c r="AO323" s="10" t="s">
        <v>152</v>
      </c>
      <c r="AP323">
        <v>20</v>
      </c>
      <c r="AQ323" s="10">
        <v>2041</v>
      </c>
      <c r="AR323" s="43" t="s">
        <v>183</v>
      </c>
      <c r="AT323" s="42"/>
      <c r="AU323" s="34" t="s">
        <v>155</v>
      </c>
      <c r="AV323" s="10" t="s">
        <v>9</v>
      </c>
      <c r="AW323" s="10">
        <v>8</v>
      </c>
      <c r="AX323" s="10" t="s">
        <v>152</v>
      </c>
      <c r="AY323">
        <v>20</v>
      </c>
      <c r="AZ323" s="10">
        <v>1014</v>
      </c>
      <c r="BA323" s="43" t="s">
        <v>183</v>
      </c>
      <c r="BC323" s="42"/>
      <c r="BD323" s="34" t="s">
        <v>155</v>
      </c>
      <c r="BE323" s="10" t="s">
        <v>9</v>
      </c>
      <c r="BF323" s="10">
        <v>8</v>
      </c>
      <c r="BG323" s="10" t="s">
        <v>152</v>
      </c>
      <c r="BH323">
        <v>20</v>
      </c>
      <c r="BI323" s="10" t="s">
        <v>382</v>
      </c>
      <c r="BJ323" s="43" t="s">
        <v>184</v>
      </c>
      <c r="BL323" s="42"/>
      <c r="BM323" s="34" t="s">
        <v>155</v>
      </c>
      <c r="BN323" s="10" t="s">
        <v>9</v>
      </c>
      <c r="BO323" s="10">
        <v>8</v>
      </c>
      <c r="BP323" s="10" t="s">
        <v>152</v>
      </c>
      <c r="BQ323">
        <v>20</v>
      </c>
      <c r="BR323" s="10">
        <v>1071</v>
      </c>
      <c r="BS323" s="43" t="s">
        <v>162</v>
      </c>
      <c r="BU323" s="42"/>
      <c r="BV323" s="34" t="s">
        <v>155</v>
      </c>
      <c r="BW323" s="10" t="s">
        <v>9</v>
      </c>
      <c r="BX323" s="10">
        <v>8</v>
      </c>
      <c r="BY323" s="10" t="s">
        <v>152</v>
      </c>
      <c r="BZ323">
        <v>20</v>
      </c>
      <c r="CA323" s="10">
        <v>1074</v>
      </c>
      <c r="CB323" s="43" t="s">
        <v>180</v>
      </c>
      <c r="CD323" s="42"/>
      <c r="CE323" s="34" t="s">
        <v>155</v>
      </c>
      <c r="CF323" s="10" t="s">
        <v>9</v>
      </c>
      <c r="CG323" s="10">
        <v>8</v>
      </c>
      <c r="CH323" s="10" t="s">
        <v>152</v>
      </c>
      <c r="CI323">
        <v>20</v>
      </c>
      <c r="CJ323" s="10">
        <v>1082</v>
      </c>
      <c r="CK323" s="43" t="s">
        <v>172</v>
      </c>
    </row>
    <row r="324" spans="1:89" ht="15.75" thickBot="1" x14ac:dyDescent="0.3">
      <c r="A324" s="42"/>
      <c r="B324" s="34" t="s">
        <v>155</v>
      </c>
      <c r="C324" s="10" t="s">
        <v>9</v>
      </c>
      <c r="D324" s="10">
        <v>9</v>
      </c>
      <c r="E324" s="10" t="s">
        <v>152</v>
      </c>
      <c r="F324">
        <v>21</v>
      </c>
      <c r="G324" s="10" t="s">
        <v>110</v>
      </c>
      <c r="H324" s="51" t="s">
        <v>182</v>
      </c>
      <c r="J324" s="42"/>
      <c r="K324" s="34" t="s">
        <v>155</v>
      </c>
      <c r="L324" s="10" t="s">
        <v>9</v>
      </c>
      <c r="M324" s="10">
        <v>9</v>
      </c>
      <c r="N324" s="10" t="s">
        <v>152</v>
      </c>
      <c r="O324">
        <v>21</v>
      </c>
      <c r="P324" s="10" t="s">
        <v>112</v>
      </c>
      <c r="Q324" s="51" t="s">
        <v>160</v>
      </c>
      <c r="S324" s="42"/>
      <c r="T324" s="34" t="s">
        <v>155</v>
      </c>
      <c r="U324" s="10" t="s">
        <v>9</v>
      </c>
      <c r="V324" s="10">
        <v>9</v>
      </c>
      <c r="W324" s="10" t="s">
        <v>152</v>
      </c>
      <c r="X324">
        <v>21</v>
      </c>
      <c r="Y324" s="10" t="s">
        <v>383</v>
      </c>
      <c r="Z324" s="43" t="s">
        <v>163</v>
      </c>
      <c r="AB324" s="42"/>
      <c r="AC324" s="34" t="s">
        <v>155</v>
      </c>
      <c r="AD324" s="10" t="s">
        <v>9</v>
      </c>
      <c r="AE324" s="10">
        <v>9</v>
      </c>
      <c r="AF324" s="10" t="s">
        <v>152</v>
      </c>
      <c r="AG324">
        <v>21</v>
      </c>
      <c r="AH324" s="10">
        <v>1068</v>
      </c>
      <c r="AI324" s="43" t="s">
        <v>186</v>
      </c>
      <c r="AK324" s="42"/>
      <c r="AL324" s="34" t="s">
        <v>155</v>
      </c>
      <c r="AM324" s="10" t="s">
        <v>9</v>
      </c>
      <c r="AN324" s="10">
        <v>9</v>
      </c>
      <c r="AO324" s="10" t="s">
        <v>152</v>
      </c>
      <c r="AP324">
        <v>21</v>
      </c>
      <c r="AQ324" s="10">
        <v>2041</v>
      </c>
      <c r="AR324" s="43" t="s">
        <v>186</v>
      </c>
      <c r="AT324" s="42"/>
      <c r="AU324" s="34" t="s">
        <v>155</v>
      </c>
      <c r="AV324" s="10" t="s">
        <v>9</v>
      </c>
      <c r="AW324" s="10">
        <v>9</v>
      </c>
      <c r="AX324" s="10" t="s">
        <v>152</v>
      </c>
      <c r="AY324">
        <v>21</v>
      </c>
      <c r="AZ324" s="10">
        <v>1014</v>
      </c>
      <c r="BA324" s="43" t="s">
        <v>186</v>
      </c>
      <c r="BC324" s="42"/>
      <c r="BD324" s="34" t="s">
        <v>155</v>
      </c>
      <c r="BE324" s="10" t="s">
        <v>9</v>
      </c>
      <c r="BF324" s="10">
        <v>9</v>
      </c>
      <c r="BG324" s="10" t="s">
        <v>152</v>
      </c>
      <c r="BH324">
        <v>21</v>
      </c>
      <c r="BI324" s="10" t="s">
        <v>384</v>
      </c>
      <c r="BJ324" s="43" t="s">
        <v>187</v>
      </c>
      <c r="BL324" s="42"/>
      <c r="BM324" s="34" t="s">
        <v>155</v>
      </c>
      <c r="BN324" s="10" t="s">
        <v>9</v>
      </c>
      <c r="BO324" s="10">
        <v>9</v>
      </c>
      <c r="BP324" s="10" t="s">
        <v>152</v>
      </c>
      <c r="BQ324">
        <v>21</v>
      </c>
      <c r="BR324" s="10">
        <v>1071</v>
      </c>
      <c r="BS324" s="43" t="s">
        <v>170</v>
      </c>
      <c r="BU324" s="42"/>
      <c r="BV324" s="34" t="s">
        <v>155</v>
      </c>
      <c r="BW324" s="10" t="s">
        <v>9</v>
      </c>
      <c r="BX324" s="10">
        <v>9</v>
      </c>
      <c r="BY324" s="10" t="s">
        <v>152</v>
      </c>
      <c r="BZ324">
        <v>21</v>
      </c>
      <c r="CA324" s="10">
        <v>1074</v>
      </c>
      <c r="CB324" s="43" t="s">
        <v>181</v>
      </c>
      <c r="CD324" s="42"/>
      <c r="CE324" s="34" t="s">
        <v>155</v>
      </c>
      <c r="CF324" s="10" t="s">
        <v>9</v>
      </c>
      <c r="CG324" s="10">
        <v>9</v>
      </c>
      <c r="CH324" s="10" t="s">
        <v>152</v>
      </c>
      <c r="CI324">
        <v>21</v>
      </c>
      <c r="CJ324" s="10">
        <v>1082</v>
      </c>
      <c r="CK324" s="43" t="s">
        <v>162</v>
      </c>
    </row>
    <row r="325" spans="1:89" ht="15.75" thickBot="1" x14ac:dyDescent="0.3">
      <c r="A325" s="42"/>
      <c r="B325" s="34" t="s">
        <v>155</v>
      </c>
      <c r="C325" s="10" t="s">
        <v>9</v>
      </c>
      <c r="D325" s="10">
        <v>10</v>
      </c>
      <c r="E325" s="10" t="s">
        <v>152</v>
      </c>
      <c r="F325">
        <v>22</v>
      </c>
      <c r="G325" s="10" t="s">
        <v>110</v>
      </c>
      <c r="H325" s="43" t="s">
        <v>184</v>
      </c>
      <c r="J325" s="42"/>
      <c r="K325" s="34" t="s">
        <v>155</v>
      </c>
      <c r="L325" s="10" t="s">
        <v>9</v>
      </c>
      <c r="M325" s="10">
        <v>10</v>
      </c>
      <c r="N325" s="10" t="s">
        <v>152</v>
      </c>
      <c r="O325">
        <v>22</v>
      </c>
      <c r="P325" s="10" t="s">
        <v>112</v>
      </c>
      <c r="Q325" s="43" t="s">
        <v>168</v>
      </c>
      <c r="S325" s="42"/>
      <c r="T325" s="34" t="s">
        <v>155</v>
      </c>
      <c r="U325" s="10" t="s">
        <v>9</v>
      </c>
      <c r="V325" s="10">
        <v>10</v>
      </c>
      <c r="W325" s="10" t="s">
        <v>152</v>
      </c>
      <c r="X325">
        <v>22</v>
      </c>
      <c r="Y325" s="10" t="s">
        <v>385</v>
      </c>
      <c r="Z325" s="43" t="s">
        <v>171</v>
      </c>
      <c r="AB325" s="42"/>
      <c r="AC325" s="34" t="s">
        <v>155</v>
      </c>
      <c r="AD325" s="10" t="s">
        <v>9</v>
      </c>
      <c r="AE325" s="10">
        <v>10</v>
      </c>
      <c r="AF325" s="10" t="s">
        <v>152</v>
      </c>
      <c r="AG325">
        <v>22</v>
      </c>
      <c r="AH325" s="10">
        <v>1068</v>
      </c>
      <c r="AI325" s="43" t="s">
        <v>188</v>
      </c>
      <c r="AK325" s="42"/>
      <c r="AL325" s="34" t="s">
        <v>155</v>
      </c>
      <c r="AM325" s="10" t="s">
        <v>9</v>
      </c>
      <c r="AN325" s="10">
        <v>10</v>
      </c>
      <c r="AO325" s="10" t="s">
        <v>152</v>
      </c>
      <c r="AP325">
        <v>22</v>
      </c>
      <c r="AQ325" s="10">
        <v>2041</v>
      </c>
      <c r="AR325" s="43" t="s">
        <v>188</v>
      </c>
      <c r="AT325" s="42"/>
      <c r="AU325" s="34" t="s">
        <v>155</v>
      </c>
      <c r="AV325" s="10" t="s">
        <v>9</v>
      </c>
      <c r="AW325" s="10">
        <v>10</v>
      </c>
      <c r="AX325" s="10" t="s">
        <v>152</v>
      </c>
      <c r="AY325">
        <v>22</v>
      </c>
      <c r="AZ325" s="10">
        <v>1014</v>
      </c>
      <c r="BA325" s="43" t="s">
        <v>188</v>
      </c>
      <c r="BC325" s="42"/>
      <c r="BD325" s="34" t="s">
        <v>155</v>
      </c>
      <c r="BE325" s="10" t="s">
        <v>9</v>
      </c>
      <c r="BF325" s="10">
        <v>10</v>
      </c>
      <c r="BG325" s="10" t="s">
        <v>152</v>
      </c>
      <c r="BH325">
        <v>22</v>
      </c>
      <c r="BI325" s="10" t="s">
        <v>386</v>
      </c>
      <c r="BJ325" s="43" t="s">
        <v>189</v>
      </c>
      <c r="BL325" s="42"/>
      <c r="BM325" s="34" t="s">
        <v>155</v>
      </c>
      <c r="BN325" s="10" t="s">
        <v>9</v>
      </c>
      <c r="BO325" s="10">
        <v>10</v>
      </c>
      <c r="BP325" s="10" t="s">
        <v>152</v>
      </c>
      <c r="BQ325">
        <v>22</v>
      </c>
      <c r="BR325" s="10">
        <v>1071</v>
      </c>
      <c r="BS325" s="33" t="s">
        <v>178</v>
      </c>
      <c r="BU325" s="42"/>
      <c r="BV325" s="34" t="s">
        <v>155</v>
      </c>
      <c r="BW325" s="10" t="s">
        <v>9</v>
      </c>
      <c r="BX325" s="10">
        <v>10</v>
      </c>
      <c r="BY325" s="10" t="s">
        <v>152</v>
      </c>
      <c r="BZ325">
        <v>22</v>
      </c>
      <c r="CA325" s="10">
        <v>1074</v>
      </c>
      <c r="CB325" s="43" t="s">
        <v>183</v>
      </c>
      <c r="CD325" s="42"/>
      <c r="CE325" s="34" t="s">
        <v>155</v>
      </c>
      <c r="CF325" s="10" t="s">
        <v>9</v>
      </c>
      <c r="CG325" s="10">
        <v>10</v>
      </c>
      <c r="CH325" s="10" t="s">
        <v>152</v>
      </c>
      <c r="CI325">
        <v>22</v>
      </c>
      <c r="CJ325" s="10">
        <v>1082</v>
      </c>
      <c r="CK325" s="43" t="s">
        <v>170</v>
      </c>
    </row>
    <row r="326" spans="1:89" ht="15.75" thickBot="1" x14ac:dyDescent="0.3">
      <c r="A326" s="42"/>
      <c r="B326" s="34" t="s">
        <v>155</v>
      </c>
      <c r="C326" s="10" t="s">
        <v>9</v>
      </c>
      <c r="D326" s="10">
        <v>11</v>
      </c>
      <c r="E326" s="10" t="s">
        <v>152</v>
      </c>
      <c r="F326">
        <v>23</v>
      </c>
      <c r="G326" s="10" t="s">
        <v>110</v>
      </c>
      <c r="H326" s="43" t="s">
        <v>187</v>
      </c>
      <c r="J326" s="42"/>
      <c r="K326" s="34" t="s">
        <v>155</v>
      </c>
      <c r="L326" s="10" t="s">
        <v>9</v>
      </c>
      <c r="M326" s="10">
        <v>11</v>
      </c>
      <c r="N326" s="10" t="s">
        <v>152</v>
      </c>
      <c r="O326">
        <v>23</v>
      </c>
      <c r="P326" s="10" t="s">
        <v>112</v>
      </c>
      <c r="Q326" s="43" t="s">
        <v>176</v>
      </c>
      <c r="S326" s="42"/>
      <c r="T326" s="34" t="s">
        <v>155</v>
      </c>
      <c r="U326" s="10" t="s">
        <v>9</v>
      </c>
      <c r="V326" s="10">
        <v>11</v>
      </c>
      <c r="W326" s="10" t="s">
        <v>152</v>
      </c>
      <c r="X326">
        <v>23</v>
      </c>
      <c r="Y326" s="10" t="s">
        <v>387</v>
      </c>
      <c r="Z326" s="43" t="s">
        <v>161</v>
      </c>
      <c r="AB326" s="42"/>
      <c r="AC326" s="34" t="s">
        <v>155</v>
      </c>
      <c r="AD326" s="10" t="s">
        <v>9</v>
      </c>
      <c r="AE326" s="10">
        <v>11</v>
      </c>
      <c r="AF326" s="10" t="s">
        <v>152</v>
      </c>
      <c r="AG326">
        <v>23</v>
      </c>
      <c r="AH326" s="10">
        <v>1068</v>
      </c>
      <c r="AI326" s="43" t="s">
        <v>182</v>
      </c>
      <c r="AK326" s="42"/>
      <c r="AL326" s="34" t="s">
        <v>155</v>
      </c>
      <c r="AM326" s="10" t="s">
        <v>9</v>
      </c>
      <c r="AN326" s="10">
        <v>11</v>
      </c>
      <c r="AO326" s="10" t="s">
        <v>152</v>
      </c>
      <c r="AP326">
        <v>23</v>
      </c>
      <c r="AQ326" s="10">
        <v>2041</v>
      </c>
      <c r="AR326" s="43" t="s">
        <v>182</v>
      </c>
      <c r="AT326" s="42"/>
      <c r="AU326" s="34" t="s">
        <v>155</v>
      </c>
      <c r="AV326" s="10" t="s">
        <v>9</v>
      </c>
      <c r="AW326" s="10">
        <v>11</v>
      </c>
      <c r="AX326" s="10" t="s">
        <v>152</v>
      </c>
      <c r="AY326">
        <v>23</v>
      </c>
      <c r="AZ326" s="10">
        <v>1014</v>
      </c>
      <c r="BA326" s="43" t="s">
        <v>182</v>
      </c>
      <c r="BC326" s="42"/>
      <c r="BD326" s="34" t="s">
        <v>155</v>
      </c>
      <c r="BE326" s="10" t="s">
        <v>9</v>
      </c>
      <c r="BF326" s="10">
        <v>11</v>
      </c>
      <c r="BG326" s="10" t="s">
        <v>152</v>
      </c>
      <c r="BH326">
        <v>23</v>
      </c>
      <c r="BI326" s="10" t="s">
        <v>28</v>
      </c>
      <c r="BJ326" s="43" t="s">
        <v>160</v>
      </c>
      <c r="BL326" s="42"/>
      <c r="BM326" s="34" t="s">
        <v>155</v>
      </c>
      <c r="BN326" s="10" t="s">
        <v>9</v>
      </c>
      <c r="BO326" s="10">
        <v>11</v>
      </c>
      <c r="BP326" s="10" t="s">
        <v>152</v>
      </c>
      <c r="BQ326">
        <v>23</v>
      </c>
      <c r="BR326" s="10">
        <v>1071</v>
      </c>
      <c r="BS326" s="43" t="s">
        <v>163</v>
      </c>
      <c r="BU326" s="42"/>
      <c r="BV326" s="34" t="s">
        <v>155</v>
      </c>
      <c r="BW326" s="10" t="s">
        <v>9</v>
      </c>
      <c r="BX326" s="10">
        <v>11</v>
      </c>
      <c r="BY326" s="10" t="s">
        <v>152</v>
      </c>
      <c r="BZ326">
        <v>23</v>
      </c>
      <c r="CA326" s="10">
        <v>1074</v>
      </c>
      <c r="CB326" s="43" t="s">
        <v>186</v>
      </c>
      <c r="CD326" s="42"/>
      <c r="CE326" s="34" t="s">
        <v>155</v>
      </c>
      <c r="CF326" s="10" t="s">
        <v>9</v>
      </c>
      <c r="CG326" s="10">
        <v>11</v>
      </c>
      <c r="CH326" s="10" t="s">
        <v>152</v>
      </c>
      <c r="CI326">
        <v>23</v>
      </c>
      <c r="CJ326" s="10">
        <v>1082</v>
      </c>
      <c r="CK326" s="33" t="s">
        <v>178</v>
      </c>
    </row>
    <row r="327" spans="1:89" ht="15.75" thickBot="1" x14ac:dyDescent="0.3">
      <c r="A327" s="47"/>
      <c r="B327" s="48" t="s">
        <v>155</v>
      </c>
      <c r="C327" s="49" t="s">
        <v>9</v>
      </c>
      <c r="D327" s="49">
        <v>12</v>
      </c>
      <c r="E327" s="49" t="s">
        <v>152</v>
      </c>
      <c r="F327" s="50">
        <v>24</v>
      </c>
      <c r="G327" s="10" t="s">
        <v>110</v>
      </c>
      <c r="H327" s="43" t="s">
        <v>189</v>
      </c>
      <c r="J327" s="47"/>
      <c r="K327" s="48" t="s">
        <v>155</v>
      </c>
      <c r="L327" s="49" t="s">
        <v>9</v>
      </c>
      <c r="M327" s="49">
        <v>12</v>
      </c>
      <c r="N327" s="49" t="s">
        <v>152</v>
      </c>
      <c r="O327" s="50">
        <v>24</v>
      </c>
      <c r="P327" s="10" t="s">
        <v>112</v>
      </c>
      <c r="Q327" s="43" t="s">
        <v>164</v>
      </c>
      <c r="S327" s="47"/>
      <c r="T327" s="48" t="s">
        <v>155</v>
      </c>
      <c r="U327" s="49" t="s">
        <v>9</v>
      </c>
      <c r="V327" s="49">
        <v>12</v>
      </c>
      <c r="W327" s="49" t="s">
        <v>152</v>
      </c>
      <c r="X327" s="50">
        <v>24</v>
      </c>
      <c r="Y327" s="10" t="s">
        <v>388</v>
      </c>
      <c r="Z327" s="33" t="s">
        <v>169</v>
      </c>
      <c r="AB327" s="47"/>
      <c r="AC327" s="48" t="s">
        <v>155</v>
      </c>
      <c r="AD327" s="49" t="s">
        <v>9</v>
      </c>
      <c r="AE327" s="49">
        <v>12</v>
      </c>
      <c r="AF327" s="49" t="s">
        <v>152</v>
      </c>
      <c r="AG327" s="50">
        <v>24</v>
      </c>
      <c r="AH327" s="10">
        <v>1068</v>
      </c>
      <c r="AI327" s="43" t="s">
        <v>184</v>
      </c>
      <c r="AK327" s="47"/>
      <c r="AL327" s="48" t="s">
        <v>155</v>
      </c>
      <c r="AM327" s="49" t="s">
        <v>9</v>
      </c>
      <c r="AN327" s="49">
        <v>12</v>
      </c>
      <c r="AO327" s="49" t="s">
        <v>152</v>
      </c>
      <c r="AP327" s="50">
        <v>24</v>
      </c>
      <c r="AQ327" s="10">
        <v>2041</v>
      </c>
      <c r="AR327" s="43" t="s">
        <v>184</v>
      </c>
      <c r="AT327" s="47"/>
      <c r="AU327" s="48" t="s">
        <v>155</v>
      </c>
      <c r="AV327" s="49" t="s">
        <v>9</v>
      </c>
      <c r="AW327" s="49">
        <v>12</v>
      </c>
      <c r="AX327" s="49" t="s">
        <v>152</v>
      </c>
      <c r="AY327" s="50">
        <v>24</v>
      </c>
      <c r="AZ327" s="10">
        <v>1014</v>
      </c>
      <c r="BA327" s="43" t="s">
        <v>184</v>
      </c>
      <c r="BC327" s="47"/>
      <c r="BD327" s="48" t="s">
        <v>155</v>
      </c>
      <c r="BE327" s="49" t="s">
        <v>9</v>
      </c>
      <c r="BF327" s="49">
        <v>12</v>
      </c>
      <c r="BG327" s="49" t="s">
        <v>152</v>
      </c>
      <c r="BH327" s="50">
        <v>24</v>
      </c>
      <c r="BI327" s="10" t="s">
        <v>33</v>
      </c>
      <c r="BJ327" s="43" t="s">
        <v>168</v>
      </c>
      <c r="BL327" s="47"/>
      <c r="BM327" s="48" t="s">
        <v>155</v>
      </c>
      <c r="BN327" s="49" t="s">
        <v>9</v>
      </c>
      <c r="BO327" s="49">
        <v>12</v>
      </c>
      <c r="BP327" s="49" t="s">
        <v>152</v>
      </c>
      <c r="BQ327" s="50">
        <v>24</v>
      </c>
      <c r="BR327" s="10">
        <v>1071</v>
      </c>
      <c r="BS327" s="43" t="s">
        <v>171</v>
      </c>
      <c r="BU327" s="47"/>
      <c r="BV327" s="48" t="s">
        <v>155</v>
      </c>
      <c r="BW327" s="49" t="s">
        <v>9</v>
      </c>
      <c r="BX327" s="49">
        <v>12</v>
      </c>
      <c r="BY327" s="49" t="s">
        <v>152</v>
      </c>
      <c r="BZ327" s="50">
        <v>24</v>
      </c>
      <c r="CA327" s="10">
        <v>1074</v>
      </c>
      <c r="CB327" s="43" t="s">
        <v>188</v>
      </c>
      <c r="CD327" s="47"/>
      <c r="CE327" s="48" t="s">
        <v>155</v>
      </c>
      <c r="CF327" s="49" t="s">
        <v>9</v>
      </c>
      <c r="CG327" s="49">
        <v>12</v>
      </c>
      <c r="CH327" s="49" t="s">
        <v>152</v>
      </c>
      <c r="CI327" s="50">
        <v>24</v>
      </c>
      <c r="CJ327" s="10">
        <v>1082</v>
      </c>
      <c r="CK327" s="43" t="s">
        <v>163</v>
      </c>
    </row>
    <row r="328" spans="1:89" x14ac:dyDescent="0.25">
      <c r="A328" s="56"/>
      <c r="B328" s="31" t="s">
        <v>155</v>
      </c>
      <c r="C328" s="58" t="s">
        <v>12</v>
      </c>
      <c r="D328" s="58">
        <v>1</v>
      </c>
      <c r="E328" s="58" t="s">
        <v>152</v>
      </c>
      <c r="F328" s="59">
        <v>25</v>
      </c>
      <c r="G328" s="10">
        <v>1066</v>
      </c>
      <c r="H328" t="s">
        <v>182</v>
      </c>
      <c r="J328" s="56"/>
      <c r="K328" s="31" t="s">
        <v>155</v>
      </c>
      <c r="L328" s="58" t="s">
        <v>12</v>
      </c>
      <c r="M328" s="58">
        <v>1</v>
      </c>
      <c r="N328" s="58" t="s">
        <v>152</v>
      </c>
      <c r="O328" s="59">
        <v>25</v>
      </c>
      <c r="P328" s="10" t="s">
        <v>112</v>
      </c>
      <c r="Q328" s="43" t="s">
        <v>172</v>
      </c>
      <c r="S328" s="56"/>
      <c r="T328" s="31" t="s">
        <v>155</v>
      </c>
      <c r="U328" s="58" t="s">
        <v>12</v>
      </c>
      <c r="V328" s="58">
        <v>1</v>
      </c>
      <c r="W328" s="58" t="s">
        <v>152</v>
      </c>
      <c r="X328" s="59">
        <v>25</v>
      </c>
      <c r="Y328" s="10" t="s">
        <v>389</v>
      </c>
      <c r="Z328" s="43" t="s">
        <v>177</v>
      </c>
      <c r="AB328" s="56"/>
      <c r="AC328" s="31" t="s">
        <v>155</v>
      </c>
      <c r="AD328" s="58" t="s">
        <v>12</v>
      </c>
      <c r="AE328" s="58">
        <v>1</v>
      </c>
      <c r="AF328" s="58" t="s">
        <v>152</v>
      </c>
      <c r="AG328" s="59">
        <v>25</v>
      </c>
      <c r="AH328" s="10">
        <v>1068</v>
      </c>
      <c r="AI328" s="43" t="s">
        <v>187</v>
      </c>
      <c r="AK328" s="56"/>
      <c r="AL328" s="31" t="s">
        <v>155</v>
      </c>
      <c r="AM328" s="58" t="s">
        <v>12</v>
      </c>
      <c r="AN328" s="58">
        <v>1</v>
      </c>
      <c r="AO328" s="58" t="s">
        <v>152</v>
      </c>
      <c r="AP328" s="59">
        <v>25</v>
      </c>
      <c r="AQ328" s="10">
        <v>2041</v>
      </c>
      <c r="AR328" s="43" t="s">
        <v>187</v>
      </c>
      <c r="AT328" s="56"/>
      <c r="AU328" s="31" t="s">
        <v>155</v>
      </c>
      <c r="AV328" s="58" t="s">
        <v>12</v>
      </c>
      <c r="AW328" s="58">
        <v>1</v>
      </c>
      <c r="AX328" s="58" t="s">
        <v>152</v>
      </c>
      <c r="AY328" s="59">
        <v>25</v>
      </c>
      <c r="AZ328" s="10">
        <v>1014</v>
      </c>
      <c r="BA328" s="43" t="s">
        <v>187</v>
      </c>
      <c r="BC328" s="56"/>
      <c r="BD328" s="31" t="s">
        <v>155</v>
      </c>
      <c r="BE328" s="58" t="s">
        <v>12</v>
      </c>
      <c r="BF328" s="58">
        <v>1</v>
      </c>
      <c r="BG328" s="58" t="s">
        <v>152</v>
      </c>
      <c r="BH328" s="59">
        <v>25</v>
      </c>
      <c r="BI328" s="10" t="s">
        <v>38</v>
      </c>
      <c r="BJ328" s="43" t="s">
        <v>176</v>
      </c>
      <c r="BL328" s="56"/>
      <c r="BM328" s="31" t="s">
        <v>155</v>
      </c>
      <c r="BN328" s="58" t="s">
        <v>12</v>
      </c>
      <c r="BO328" s="58">
        <v>1</v>
      </c>
      <c r="BP328" s="58" t="s">
        <v>152</v>
      </c>
      <c r="BQ328" s="59">
        <v>25</v>
      </c>
      <c r="BR328" s="10">
        <v>1071</v>
      </c>
      <c r="BS328" s="43" t="s">
        <v>161</v>
      </c>
      <c r="BU328" s="56"/>
      <c r="BV328" s="31" t="s">
        <v>155</v>
      </c>
      <c r="BW328" s="58" t="s">
        <v>12</v>
      </c>
      <c r="BX328" s="58">
        <v>1</v>
      </c>
      <c r="BY328" s="58" t="s">
        <v>152</v>
      </c>
      <c r="BZ328" s="59">
        <v>25</v>
      </c>
      <c r="CA328" s="10">
        <v>1074</v>
      </c>
      <c r="CB328" s="43" t="s">
        <v>182</v>
      </c>
      <c r="CD328" s="56"/>
      <c r="CE328" s="31" t="s">
        <v>155</v>
      </c>
      <c r="CF328" s="58" t="s">
        <v>12</v>
      </c>
      <c r="CG328" s="58">
        <v>1</v>
      </c>
      <c r="CH328" s="58" t="s">
        <v>152</v>
      </c>
      <c r="CI328" s="59">
        <v>25</v>
      </c>
      <c r="CJ328" s="10">
        <v>1082</v>
      </c>
      <c r="CK328" s="43" t="s">
        <v>171</v>
      </c>
    </row>
    <row r="329" spans="1:89" x14ac:dyDescent="0.25">
      <c r="A329" s="42"/>
      <c r="B329" s="34" t="s">
        <v>155</v>
      </c>
      <c r="C329" s="10" t="s">
        <v>12</v>
      </c>
      <c r="D329" s="10">
        <v>2</v>
      </c>
      <c r="E329" s="10" t="s">
        <v>152</v>
      </c>
      <c r="F329">
        <v>26</v>
      </c>
      <c r="G329" s="10">
        <v>1066</v>
      </c>
      <c r="H329" t="s">
        <v>184</v>
      </c>
      <c r="J329" s="42"/>
      <c r="K329" s="34" t="s">
        <v>155</v>
      </c>
      <c r="L329" s="10" t="s">
        <v>12</v>
      </c>
      <c r="M329" s="10">
        <v>2</v>
      </c>
      <c r="N329" s="10" t="s">
        <v>152</v>
      </c>
      <c r="O329">
        <v>26</v>
      </c>
      <c r="P329" s="10" t="s">
        <v>112</v>
      </c>
      <c r="Q329" s="43" t="s">
        <v>162</v>
      </c>
      <c r="S329" s="42"/>
      <c r="T329" s="34" t="s">
        <v>155</v>
      </c>
      <c r="U329" s="10" t="s">
        <v>12</v>
      </c>
      <c r="V329" s="10">
        <v>2</v>
      </c>
      <c r="W329" s="10" t="s">
        <v>152</v>
      </c>
      <c r="X329">
        <v>26</v>
      </c>
      <c r="Y329" s="10" t="s">
        <v>390</v>
      </c>
      <c r="Z329" s="43" t="s">
        <v>180</v>
      </c>
      <c r="AB329" s="42"/>
      <c r="AC329" s="34" t="s">
        <v>155</v>
      </c>
      <c r="AD329" s="10" t="s">
        <v>12</v>
      </c>
      <c r="AE329" s="10">
        <v>2</v>
      </c>
      <c r="AF329" s="10" t="s">
        <v>152</v>
      </c>
      <c r="AG329">
        <v>26</v>
      </c>
      <c r="AH329" s="10">
        <v>1068</v>
      </c>
      <c r="AI329" s="43" t="s">
        <v>189</v>
      </c>
      <c r="AK329" s="42"/>
      <c r="AL329" s="34" t="s">
        <v>155</v>
      </c>
      <c r="AM329" s="10" t="s">
        <v>12</v>
      </c>
      <c r="AN329" s="10">
        <v>2</v>
      </c>
      <c r="AO329" s="10" t="s">
        <v>152</v>
      </c>
      <c r="AP329">
        <v>26</v>
      </c>
      <c r="AQ329" s="10">
        <v>2041</v>
      </c>
      <c r="AR329" s="43" t="s">
        <v>189</v>
      </c>
      <c r="AT329" s="42"/>
      <c r="AU329" s="34" t="s">
        <v>155</v>
      </c>
      <c r="AV329" s="10" t="s">
        <v>12</v>
      </c>
      <c r="AW329" s="10">
        <v>2</v>
      </c>
      <c r="AX329" s="10" t="s">
        <v>152</v>
      </c>
      <c r="AY329">
        <v>26</v>
      </c>
      <c r="AZ329" s="10">
        <v>1014</v>
      </c>
      <c r="BA329" s="43" t="s">
        <v>189</v>
      </c>
      <c r="BC329" s="42"/>
      <c r="BD329" s="34" t="s">
        <v>155</v>
      </c>
      <c r="BE329" s="10" t="s">
        <v>12</v>
      </c>
      <c r="BF329" s="10">
        <v>2</v>
      </c>
      <c r="BG329" s="10" t="s">
        <v>152</v>
      </c>
      <c r="BH329">
        <v>26</v>
      </c>
      <c r="BI329" s="10" t="s">
        <v>43</v>
      </c>
      <c r="BJ329" s="43" t="s">
        <v>164</v>
      </c>
      <c r="BL329" s="42"/>
      <c r="BM329" s="34" t="s">
        <v>155</v>
      </c>
      <c r="BN329" s="10" t="s">
        <v>12</v>
      </c>
      <c r="BO329" s="10">
        <v>2</v>
      </c>
      <c r="BP329" s="10" t="s">
        <v>152</v>
      </c>
      <c r="BQ329">
        <v>26</v>
      </c>
      <c r="BR329" s="10">
        <v>1071</v>
      </c>
      <c r="BS329" s="43" t="s">
        <v>169</v>
      </c>
      <c r="BU329" s="42"/>
      <c r="BV329" s="34" t="s">
        <v>155</v>
      </c>
      <c r="BW329" s="10" t="s">
        <v>12</v>
      </c>
      <c r="BX329" s="10">
        <v>2</v>
      </c>
      <c r="BY329" s="10" t="s">
        <v>152</v>
      </c>
      <c r="BZ329">
        <v>26</v>
      </c>
      <c r="CA329" s="10">
        <v>1074</v>
      </c>
      <c r="CB329" s="43" t="s">
        <v>184</v>
      </c>
      <c r="CD329" s="42"/>
      <c r="CE329" s="34" t="s">
        <v>155</v>
      </c>
      <c r="CF329" s="10" t="s">
        <v>12</v>
      </c>
      <c r="CG329" s="10">
        <v>2</v>
      </c>
      <c r="CH329" s="10" t="s">
        <v>152</v>
      </c>
      <c r="CI329">
        <v>26</v>
      </c>
      <c r="CJ329" s="10">
        <v>1082</v>
      </c>
      <c r="CK329" s="43" t="s">
        <v>161</v>
      </c>
    </row>
    <row r="330" spans="1:89" x14ac:dyDescent="0.25">
      <c r="A330" s="42"/>
      <c r="B330" s="34" t="s">
        <v>155</v>
      </c>
      <c r="C330" s="10" t="s">
        <v>12</v>
      </c>
      <c r="D330" s="10">
        <v>3</v>
      </c>
      <c r="E330" s="10" t="s">
        <v>152</v>
      </c>
      <c r="F330">
        <v>27</v>
      </c>
      <c r="G330" s="10">
        <v>1066</v>
      </c>
      <c r="H330" t="s">
        <v>187</v>
      </c>
      <c r="J330" s="42"/>
      <c r="K330" s="34" t="s">
        <v>155</v>
      </c>
      <c r="L330" s="10" t="s">
        <v>12</v>
      </c>
      <c r="M330" s="10">
        <v>3</v>
      </c>
      <c r="N330" s="10" t="s">
        <v>152</v>
      </c>
      <c r="O330">
        <v>27</v>
      </c>
      <c r="P330" s="10" t="s">
        <v>112</v>
      </c>
      <c r="Q330" s="43" t="s">
        <v>170</v>
      </c>
      <c r="S330" s="42"/>
      <c r="T330" s="34" t="s">
        <v>155</v>
      </c>
      <c r="U330" s="10" t="s">
        <v>12</v>
      </c>
      <c r="V330" s="10">
        <v>3</v>
      </c>
      <c r="W330" s="10" t="s">
        <v>152</v>
      </c>
      <c r="X330">
        <v>27</v>
      </c>
      <c r="Y330" s="10" t="s">
        <v>391</v>
      </c>
      <c r="Z330" s="43" t="s">
        <v>181</v>
      </c>
      <c r="AB330" s="42"/>
      <c r="AC330" s="34" t="s">
        <v>155</v>
      </c>
      <c r="AD330" s="10" t="s">
        <v>12</v>
      </c>
      <c r="AE330" s="10">
        <v>3</v>
      </c>
      <c r="AF330" s="10" t="s">
        <v>152</v>
      </c>
      <c r="AG330">
        <v>27</v>
      </c>
      <c r="AH330" s="10">
        <v>1069</v>
      </c>
      <c r="AI330" s="51" t="s">
        <v>160</v>
      </c>
      <c r="AK330" s="42"/>
      <c r="AL330" s="34" t="s">
        <v>155</v>
      </c>
      <c r="AM330" s="10" t="s">
        <v>12</v>
      </c>
      <c r="AN330" s="10">
        <v>3</v>
      </c>
      <c r="AO330" s="10" t="s">
        <v>152</v>
      </c>
      <c r="AP330">
        <v>27</v>
      </c>
      <c r="AQ330" s="10" t="s">
        <v>25</v>
      </c>
      <c r="AR330" s="51" t="s">
        <v>160</v>
      </c>
      <c r="AT330" s="42"/>
      <c r="AU330" s="34" t="s">
        <v>155</v>
      </c>
      <c r="AV330" s="10" t="s">
        <v>12</v>
      </c>
      <c r="AW330" s="10">
        <v>3</v>
      </c>
      <c r="AX330" s="10" t="s">
        <v>152</v>
      </c>
      <c r="AY330">
        <v>27</v>
      </c>
      <c r="AZ330" s="10">
        <v>1059</v>
      </c>
      <c r="BA330" s="51" t="s">
        <v>160</v>
      </c>
      <c r="BC330" s="42"/>
      <c r="BD330" s="34" t="s">
        <v>155</v>
      </c>
      <c r="BE330" s="10" t="s">
        <v>12</v>
      </c>
      <c r="BF330" s="10">
        <v>3</v>
      </c>
      <c r="BG330" s="10" t="s">
        <v>152</v>
      </c>
      <c r="BH330">
        <v>27</v>
      </c>
      <c r="BI330" s="10" t="s">
        <v>392</v>
      </c>
      <c r="BJ330" s="51" t="s">
        <v>172</v>
      </c>
      <c r="BL330" s="42"/>
      <c r="BM330" s="34" t="s">
        <v>155</v>
      </c>
      <c r="BN330" s="10" t="s">
        <v>12</v>
      </c>
      <c r="BO330" s="10">
        <v>3</v>
      </c>
      <c r="BP330" s="10" t="s">
        <v>152</v>
      </c>
      <c r="BQ330">
        <v>27</v>
      </c>
      <c r="BR330" s="10">
        <v>1071</v>
      </c>
      <c r="BS330" s="43" t="s">
        <v>177</v>
      </c>
      <c r="BU330" s="42"/>
      <c r="BV330" s="34" t="s">
        <v>155</v>
      </c>
      <c r="BW330" s="10" t="s">
        <v>12</v>
      </c>
      <c r="BX330" s="10">
        <v>3</v>
      </c>
      <c r="BY330" s="10" t="s">
        <v>152</v>
      </c>
      <c r="BZ330">
        <v>27</v>
      </c>
      <c r="CA330" s="10">
        <v>1074</v>
      </c>
      <c r="CB330" s="43" t="s">
        <v>187</v>
      </c>
      <c r="CD330" s="42"/>
      <c r="CE330" s="34" t="s">
        <v>155</v>
      </c>
      <c r="CF330" s="10" t="s">
        <v>12</v>
      </c>
      <c r="CG330" s="10">
        <v>3</v>
      </c>
      <c r="CH330" s="10" t="s">
        <v>152</v>
      </c>
      <c r="CI330">
        <v>27</v>
      </c>
      <c r="CJ330" s="10">
        <v>1082</v>
      </c>
      <c r="CK330" s="43" t="s">
        <v>169</v>
      </c>
    </row>
    <row r="331" spans="1:89" x14ac:dyDescent="0.25">
      <c r="A331" s="42"/>
      <c r="B331" s="34" t="s">
        <v>155</v>
      </c>
      <c r="C331" s="10" t="s">
        <v>12</v>
      </c>
      <c r="D331" s="10">
        <v>4</v>
      </c>
      <c r="E331" s="10" t="s">
        <v>152</v>
      </c>
      <c r="F331">
        <v>28</v>
      </c>
      <c r="G331" s="10">
        <v>1066</v>
      </c>
      <c r="H331" t="s">
        <v>189</v>
      </c>
      <c r="J331" s="42"/>
      <c r="K331" s="34" t="s">
        <v>155</v>
      </c>
      <c r="L331" s="10" t="s">
        <v>12</v>
      </c>
      <c r="M331" s="10">
        <v>4</v>
      </c>
      <c r="N331" s="10" t="s">
        <v>152</v>
      </c>
      <c r="O331">
        <v>28</v>
      </c>
      <c r="P331" s="10" t="s">
        <v>112</v>
      </c>
      <c r="Q331" s="43" t="s">
        <v>178</v>
      </c>
      <c r="S331" s="42"/>
      <c r="T331" s="34" t="s">
        <v>155</v>
      </c>
      <c r="U331" s="10" t="s">
        <v>12</v>
      </c>
      <c r="V331" s="10">
        <v>4</v>
      </c>
      <c r="W331" s="10" t="s">
        <v>152</v>
      </c>
      <c r="X331">
        <v>28</v>
      </c>
      <c r="Y331" s="10" t="s">
        <v>393</v>
      </c>
      <c r="Z331" s="43" t="s">
        <v>183</v>
      </c>
      <c r="AB331" s="42"/>
      <c r="AC331" s="34" t="s">
        <v>155</v>
      </c>
      <c r="AD331" s="10" t="s">
        <v>12</v>
      </c>
      <c r="AE331" s="10">
        <v>4</v>
      </c>
      <c r="AF331" s="10" t="s">
        <v>152</v>
      </c>
      <c r="AG331">
        <v>28</v>
      </c>
      <c r="AH331" s="10">
        <v>1069</v>
      </c>
      <c r="AI331" s="43" t="s">
        <v>168</v>
      </c>
      <c r="AK331" s="42"/>
      <c r="AL331" s="34" t="s">
        <v>155</v>
      </c>
      <c r="AM331" s="10" t="s">
        <v>12</v>
      </c>
      <c r="AN331" s="10">
        <v>4</v>
      </c>
      <c r="AO331" s="10" t="s">
        <v>152</v>
      </c>
      <c r="AP331">
        <v>28</v>
      </c>
      <c r="AQ331" s="10" t="s">
        <v>30</v>
      </c>
      <c r="AR331" s="43" t="s">
        <v>168</v>
      </c>
      <c r="AT331" s="42"/>
      <c r="AU331" s="34" t="s">
        <v>155</v>
      </c>
      <c r="AV331" s="10" t="s">
        <v>12</v>
      </c>
      <c r="AW331" s="10">
        <v>4</v>
      </c>
      <c r="AX331" s="10" t="s">
        <v>152</v>
      </c>
      <c r="AY331">
        <v>28</v>
      </c>
      <c r="AZ331" s="10">
        <v>1059</v>
      </c>
      <c r="BA331" s="43" t="s">
        <v>168</v>
      </c>
      <c r="BC331" s="42"/>
      <c r="BD331" s="34" t="s">
        <v>155</v>
      </c>
      <c r="BE331" s="10" t="s">
        <v>12</v>
      </c>
      <c r="BF331" s="10">
        <v>4</v>
      </c>
      <c r="BG331" s="10" t="s">
        <v>152</v>
      </c>
      <c r="BH331">
        <v>28</v>
      </c>
      <c r="BI331" s="10" t="s">
        <v>394</v>
      </c>
      <c r="BJ331" s="43" t="s">
        <v>162</v>
      </c>
      <c r="BL331" s="42"/>
      <c r="BM331" s="34" t="s">
        <v>155</v>
      </c>
      <c r="BN331" s="10" t="s">
        <v>12</v>
      </c>
      <c r="BO331" s="10">
        <v>4</v>
      </c>
      <c r="BP331" s="10" t="s">
        <v>152</v>
      </c>
      <c r="BQ331">
        <v>28</v>
      </c>
      <c r="BR331" s="10">
        <v>1071</v>
      </c>
      <c r="BS331" s="43" t="s">
        <v>180</v>
      </c>
      <c r="BU331" s="42"/>
      <c r="BV331" s="34" t="s">
        <v>155</v>
      </c>
      <c r="BW331" s="10" t="s">
        <v>12</v>
      </c>
      <c r="BX331" s="10">
        <v>4</v>
      </c>
      <c r="BY331" s="10" t="s">
        <v>152</v>
      </c>
      <c r="BZ331">
        <v>28</v>
      </c>
      <c r="CA331" s="10">
        <v>1074</v>
      </c>
      <c r="CB331" s="43" t="s">
        <v>189</v>
      </c>
      <c r="CD331" s="42"/>
      <c r="CE331" s="34" t="s">
        <v>155</v>
      </c>
      <c r="CF331" s="10" t="s">
        <v>12</v>
      </c>
      <c r="CG331" s="10">
        <v>4</v>
      </c>
      <c r="CH331" s="10" t="s">
        <v>152</v>
      </c>
      <c r="CI331">
        <v>28</v>
      </c>
      <c r="CJ331" s="10">
        <v>1082</v>
      </c>
      <c r="CK331" s="43" t="s">
        <v>177</v>
      </c>
    </row>
    <row r="332" spans="1:89" x14ac:dyDescent="0.25">
      <c r="A332" s="42"/>
      <c r="B332" s="34" t="s">
        <v>155</v>
      </c>
      <c r="C332" s="10" t="s">
        <v>12</v>
      </c>
      <c r="D332" s="10">
        <v>5</v>
      </c>
      <c r="E332" s="10" t="s">
        <v>152</v>
      </c>
      <c r="F332">
        <v>29</v>
      </c>
      <c r="G332" s="10">
        <v>1067</v>
      </c>
      <c r="H332" s="43" t="s">
        <v>160</v>
      </c>
      <c r="J332" s="42"/>
      <c r="K332" s="34" t="s">
        <v>155</v>
      </c>
      <c r="L332" s="10" t="s">
        <v>12</v>
      </c>
      <c r="M332" s="10">
        <v>5</v>
      </c>
      <c r="N332" s="10" t="s">
        <v>152</v>
      </c>
      <c r="O332">
        <v>29</v>
      </c>
      <c r="P332" s="10" t="s">
        <v>112</v>
      </c>
      <c r="Q332" s="43" t="s">
        <v>163</v>
      </c>
      <c r="S332" s="42"/>
      <c r="T332" s="34" t="s">
        <v>155</v>
      </c>
      <c r="U332" s="10" t="s">
        <v>12</v>
      </c>
      <c r="V332" s="10">
        <v>5</v>
      </c>
      <c r="W332" s="10" t="s">
        <v>152</v>
      </c>
      <c r="X332">
        <v>29</v>
      </c>
      <c r="Y332" s="10" t="s">
        <v>395</v>
      </c>
      <c r="Z332" s="43" t="s">
        <v>186</v>
      </c>
      <c r="AB332" s="42"/>
      <c r="AC332" s="34" t="s">
        <v>155</v>
      </c>
      <c r="AD332" s="10" t="s">
        <v>12</v>
      </c>
      <c r="AE332" s="10">
        <v>5</v>
      </c>
      <c r="AF332" s="10" t="s">
        <v>152</v>
      </c>
      <c r="AG332">
        <v>29</v>
      </c>
      <c r="AH332" s="10">
        <v>1069</v>
      </c>
      <c r="AI332" s="43" t="s">
        <v>176</v>
      </c>
      <c r="AK332" s="42"/>
      <c r="AL332" s="34" t="s">
        <v>155</v>
      </c>
      <c r="AM332" s="10" t="s">
        <v>12</v>
      </c>
      <c r="AN332" s="10">
        <v>5</v>
      </c>
      <c r="AO332" s="10" t="s">
        <v>152</v>
      </c>
      <c r="AP332">
        <v>29</v>
      </c>
      <c r="AQ332" s="10" t="s">
        <v>35</v>
      </c>
      <c r="AR332" s="43" t="s">
        <v>176</v>
      </c>
      <c r="AT332" s="42"/>
      <c r="AU332" s="34" t="s">
        <v>155</v>
      </c>
      <c r="AV332" s="10" t="s">
        <v>12</v>
      </c>
      <c r="AW332" s="10">
        <v>5</v>
      </c>
      <c r="AX332" s="10" t="s">
        <v>152</v>
      </c>
      <c r="AY332">
        <v>29</v>
      </c>
      <c r="AZ332" s="10">
        <v>1059</v>
      </c>
      <c r="BA332" s="43" t="s">
        <v>176</v>
      </c>
      <c r="BC332" s="42"/>
      <c r="BD332" s="34" t="s">
        <v>155</v>
      </c>
      <c r="BE332" s="10" t="s">
        <v>12</v>
      </c>
      <c r="BF332" s="10">
        <v>5</v>
      </c>
      <c r="BG332" s="10" t="s">
        <v>152</v>
      </c>
      <c r="BH332">
        <v>29</v>
      </c>
      <c r="BI332" s="10" t="s">
        <v>396</v>
      </c>
      <c r="BJ332" s="43" t="s">
        <v>170</v>
      </c>
      <c r="BL332" s="42"/>
      <c r="BM332" s="34" t="s">
        <v>155</v>
      </c>
      <c r="BN332" s="10" t="s">
        <v>12</v>
      </c>
      <c r="BO332" s="10">
        <v>5</v>
      </c>
      <c r="BP332" s="10" t="s">
        <v>152</v>
      </c>
      <c r="BQ332">
        <v>29</v>
      </c>
      <c r="BR332" s="10">
        <v>1071</v>
      </c>
      <c r="BS332" s="43" t="s">
        <v>181</v>
      </c>
      <c r="BU332" s="42"/>
      <c r="BV332" s="34" t="s">
        <v>155</v>
      </c>
      <c r="BW332" s="10" t="s">
        <v>12</v>
      </c>
      <c r="BX332" s="10">
        <v>5</v>
      </c>
      <c r="BY332" s="10" t="s">
        <v>152</v>
      </c>
      <c r="BZ332">
        <v>29</v>
      </c>
      <c r="CA332" s="10">
        <v>1075</v>
      </c>
      <c r="CB332" s="43" t="s">
        <v>160</v>
      </c>
      <c r="CD332" s="42"/>
      <c r="CE332" s="34" t="s">
        <v>155</v>
      </c>
      <c r="CF332" s="10" t="s">
        <v>12</v>
      </c>
      <c r="CG332" s="10">
        <v>5</v>
      </c>
      <c r="CH332" s="10" t="s">
        <v>152</v>
      </c>
      <c r="CI332">
        <v>29</v>
      </c>
      <c r="CJ332" s="10">
        <v>1082</v>
      </c>
      <c r="CK332" s="43" t="s">
        <v>180</v>
      </c>
    </row>
    <row r="333" spans="1:89" x14ac:dyDescent="0.25">
      <c r="A333" s="42"/>
      <c r="B333" s="34" t="s">
        <v>155</v>
      </c>
      <c r="C333" s="10" t="s">
        <v>12</v>
      </c>
      <c r="D333" s="10">
        <v>6</v>
      </c>
      <c r="E333" s="10" t="s">
        <v>152</v>
      </c>
      <c r="F333">
        <v>30</v>
      </c>
      <c r="G333" s="10">
        <v>1067</v>
      </c>
      <c r="H333" s="43" t="s">
        <v>168</v>
      </c>
      <c r="J333" s="42"/>
      <c r="K333" s="34" t="s">
        <v>155</v>
      </c>
      <c r="L333" s="10" t="s">
        <v>12</v>
      </c>
      <c r="M333" s="10">
        <v>6</v>
      </c>
      <c r="N333" s="10" t="s">
        <v>152</v>
      </c>
      <c r="O333">
        <v>30</v>
      </c>
      <c r="P333" s="10" t="s">
        <v>112</v>
      </c>
      <c r="Q333" s="43" t="s">
        <v>171</v>
      </c>
      <c r="S333" s="42"/>
      <c r="T333" s="34" t="s">
        <v>155</v>
      </c>
      <c r="U333" s="10" t="s">
        <v>12</v>
      </c>
      <c r="V333" s="10">
        <v>6</v>
      </c>
      <c r="W333" s="10" t="s">
        <v>152</v>
      </c>
      <c r="X333">
        <v>30</v>
      </c>
      <c r="Y333" s="10" t="s">
        <v>397</v>
      </c>
      <c r="Z333" s="43" t="s">
        <v>188</v>
      </c>
      <c r="AB333" s="42"/>
      <c r="AC333" s="34" t="s">
        <v>155</v>
      </c>
      <c r="AD333" s="10" t="s">
        <v>12</v>
      </c>
      <c r="AE333" s="10">
        <v>6</v>
      </c>
      <c r="AF333" s="10" t="s">
        <v>152</v>
      </c>
      <c r="AG333">
        <v>30</v>
      </c>
      <c r="AH333" s="10">
        <v>1069</v>
      </c>
      <c r="AI333" s="43" t="s">
        <v>164</v>
      </c>
      <c r="AK333" s="42"/>
      <c r="AL333" s="34" t="s">
        <v>155</v>
      </c>
      <c r="AM333" s="10" t="s">
        <v>12</v>
      </c>
      <c r="AN333" s="10">
        <v>6</v>
      </c>
      <c r="AO333" s="10" t="s">
        <v>152</v>
      </c>
      <c r="AP333">
        <v>30</v>
      </c>
      <c r="AQ333" s="10" t="s">
        <v>40</v>
      </c>
      <c r="AR333" s="43" t="s">
        <v>164</v>
      </c>
      <c r="AT333" s="42"/>
      <c r="AU333" s="34" t="s">
        <v>155</v>
      </c>
      <c r="AV333" s="10" t="s">
        <v>12</v>
      </c>
      <c r="AW333" s="10">
        <v>6</v>
      </c>
      <c r="AX333" s="10" t="s">
        <v>152</v>
      </c>
      <c r="AY333">
        <v>30</v>
      </c>
      <c r="AZ333" s="10">
        <v>1059</v>
      </c>
      <c r="BA333" s="43" t="s">
        <v>164</v>
      </c>
      <c r="BC333" s="42"/>
      <c r="BD333" s="34" t="s">
        <v>155</v>
      </c>
      <c r="BE333" s="10" t="s">
        <v>12</v>
      </c>
      <c r="BF333" s="10">
        <v>6</v>
      </c>
      <c r="BG333" s="10" t="s">
        <v>152</v>
      </c>
      <c r="BH333">
        <v>30</v>
      </c>
      <c r="BI333" s="10" t="s">
        <v>398</v>
      </c>
      <c r="BJ333" s="43" t="s">
        <v>178</v>
      </c>
      <c r="BL333" s="42"/>
      <c r="BM333" s="34" t="s">
        <v>155</v>
      </c>
      <c r="BN333" s="10" t="s">
        <v>12</v>
      </c>
      <c r="BO333" s="10">
        <v>6</v>
      </c>
      <c r="BP333" s="10" t="s">
        <v>152</v>
      </c>
      <c r="BQ333">
        <v>30</v>
      </c>
      <c r="BR333" s="10">
        <v>1071</v>
      </c>
      <c r="BS333" s="43" t="s">
        <v>183</v>
      </c>
      <c r="BU333" s="42"/>
      <c r="BV333" s="34" t="s">
        <v>155</v>
      </c>
      <c r="BW333" s="10" t="s">
        <v>12</v>
      </c>
      <c r="BX333" s="10">
        <v>6</v>
      </c>
      <c r="BY333" s="10" t="s">
        <v>152</v>
      </c>
      <c r="BZ333">
        <v>30</v>
      </c>
      <c r="CA333" s="10">
        <v>1075</v>
      </c>
      <c r="CB333" s="43" t="s">
        <v>168</v>
      </c>
      <c r="CD333" s="42"/>
      <c r="CE333" s="34" t="s">
        <v>155</v>
      </c>
      <c r="CF333" s="10" t="s">
        <v>12</v>
      </c>
      <c r="CG333" s="10">
        <v>6</v>
      </c>
      <c r="CH333" s="10" t="s">
        <v>152</v>
      </c>
      <c r="CI333">
        <v>30</v>
      </c>
      <c r="CJ333" s="10">
        <v>1082</v>
      </c>
      <c r="CK333" s="43" t="s">
        <v>181</v>
      </c>
    </row>
    <row r="334" spans="1:89" ht="15.75" thickBot="1" x14ac:dyDescent="0.3">
      <c r="A334" s="42"/>
      <c r="B334" s="34" t="s">
        <v>155</v>
      </c>
      <c r="C334" s="10" t="s">
        <v>12</v>
      </c>
      <c r="D334" s="10">
        <v>7</v>
      </c>
      <c r="E334" s="10" t="s">
        <v>152</v>
      </c>
      <c r="F334">
        <v>31</v>
      </c>
      <c r="G334" s="10">
        <v>1067</v>
      </c>
      <c r="H334" s="43" t="s">
        <v>176</v>
      </c>
      <c r="J334" s="42"/>
      <c r="K334" s="34" t="s">
        <v>155</v>
      </c>
      <c r="L334" s="10" t="s">
        <v>12</v>
      </c>
      <c r="M334" s="10">
        <v>7</v>
      </c>
      <c r="N334" s="10" t="s">
        <v>152</v>
      </c>
      <c r="O334">
        <v>31</v>
      </c>
      <c r="P334" s="10" t="s">
        <v>112</v>
      </c>
      <c r="Q334" s="43" t="s">
        <v>161</v>
      </c>
      <c r="S334" s="42"/>
      <c r="T334" s="34" t="s">
        <v>155</v>
      </c>
      <c r="U334" s="10" t="s">
        <v>12</v>
      </c>
      <c r="V334" s="10">
        <v>7</v>
      </c>
      <c r="W334" s="10" t="s">
        <v>152</v>
      </c>
      <c r="X334">
        <v>31</v>
      </c>
      <c r="Y334" s="10" t="s">
        <v>399</v>
      </c>
      <c r="Z334" s="43" t="s">
        <v>182</v>
      </c>
      <c r="AB334" s="42"/>
      <c r="AC334" s="34" t="s">
        <v>155</v>
      </c>
      <c r="AD334" s="10" t="s">
        <v>12</v>
      </c>
      <c r="AE334" s="10">
        <v>7</v>
      </c>
      <c r="AF334" s="10" t="s">
        <v>152</v>
      </c>
      <c r="AG334">
        <v>31</v>
      </c>
      <c r="AH334" s="10">
        <v>1069</v>
      </c>
      <c r="AI334" s="43" t="s">
        <v>172</v>
      </c>
      <c r="AK334" s="42"/>
      <c r="AL334" s="34" t="s">
        <v>155</v>
      </c>
      <c r="AM334" s="10" t="s">
        <v>12</v>
      </c>
      <c r="AN334" s="10">
        <v>7</v>
      </c>
      <c r="AO334" s="10" t="s">
        <v>152</v>
      </c>
      <c r="AP334">
        <v>31</v>
      </c>
      <c r="AQ334" s="10" t="s">
        <v>400</v>
      </c>
      <c r="AR334" s="43" t="s">
        <v>172</v>
      </c>
      <c r="AT334" s="42"/>
      <c r="AU334" s="34" t="s">
        <v>155</v>
      </c>
      <c r="AV334" s="10" t="s">
        <v>12</v>
      </c>
      <c r="AW334" s="10">
        <v>7</v>
      </c>
      <c r="AX334" s="10" t="s">
        <v>152</v>
      </c>
      <c r="AY334">
        <v>31</v>
      </c>
      <c r="AZ334" s="10">
        <v>1059</v>
      </c>
      <c r="BA334" s="43" t="s">
        <v>172</v>
      </c>
      <c r="BC334" s="42"/>
      <c r="BD334" s="34" t="s">
        <v>155</v>
      </c>
      <c r="BE334" s="10" t="s">
        <v>12</v>
      </c>
      <c r="BF334" s="10">
        <v>7</v>
      </c>
      <c r="BG334" s="10" t="s">
        <v>152</v>
      </c>
      <c r="BH334">
        <v>31</v>
      </c>
      <c r="BI334" s="10" t="s">
        <v>401</v>
      </c>
      <c r="BJ334" s="43" t="s">
        <v>163</v>
      </c>
      <c r="BL334" s="42"/>
      <c r="BM334" s="34" t="s">
        <v>155</v>
      </c>
      <c r="BN334" s="10" t="s">
        <v>12</v>
      </c>
      <c r="BO334" s="10">
        <v>7</v>
      </c>
      <c r="BP334" s="10" t="s">
        <v>152</v>
      </c>
      <c r="BQ334">
        <v>31</v>
      </c>
      <c r="BR334" s="10">
        <v>1071</v>
      </c>
      <c r="BS334" s="43" t="s">
        <v>186</v>
      </c>
      <c r="BU334" s="42"/>
      <c r="BV334" s="34" t="s">
        <v>155</v>
      </c>
      <c r="BW334" s="10" t="s">
        <v>12</v>
      </c>
      <c r="BX334" s="10">
        <v>7</v>
      </c>
      <c r="BY334" s="10" t="s">
        <v>152</v>
      </c>
      <c r="BZ334">
        <v>31</v>
      </c>
      <c r="CA334" s="10">
        <v>1075</v>
      </c>
      <c r="CB334" s="43" t="s">
        <v>176</v>
      </c>
      <c r="CD334" s="42"/>
      <c r="CE334" s="34" t="s">
        <v>155</v>
      </c>
      <c r="CF334" s="10" t="s">
        <v>12</v>
      </c>
      <c r="CG334" s="10">
        <v>7</v>
      </c>
      <c r="CH334" s="10" t="s">
        <v>152</v>
      </c>
      <c r="CI334">
        <v>31</v>
      </c>
      <c r="CJ334" s="10">
        <v>1082</v>
      </c>
      <c r="CK334" s="43" t="s">
        <v>183</v>
      </c>
    </row>
    <row r="335" spans="1:89" x14ac:dyDescent="0.25">
      <c r="A335" s="42"/>
      <c r="B335" s="34" t="s">
        <v>155</v>
      </c>
      <c r="C335" s="10" t="s">
        <v>12</v>
      </c>
      <c r="D335" s="10">
        <v>8</v>
      </c>
      <c r="E335" s="10" t="s">
        <v>152</v>
      </c>
      <c r="F335">
        <v>32</v>
      </c>
      <c r="G335" s="10">
        <v>1067</v>
      </c>
      <c r="H335" s="43" t="s">
        <v>164</v>
      </c>
      <c r="J335" s="42"/>
      <c r="K335" s="34" t="s">
        <v>155</v>
      </c>
      <c r="L335" s="10" t="s">
        <v>12</v>
      </c>
      <c r="M335" s="10">
        <v>8</v>
      </c>
      <c r="N335" s="10" t="s">
        <v>152</v>
      </c>
      <c r="O335">
        <v>32</v>
      </c>
      <c r="P335" s="10" t="s">
        <v>112</v>
      </c>
      <c r="Q335" s="33" t="s">
        <v>169</v>
      </c>
      <c r="S335" s="42"/>
      <c r="T335" s="34" t="s">
        <v>155</v>
      </c>
      <c r="U335" s="10" t="s">
        <v>12</v>
      </c>
      <c r="V335" s="10">
        <v>8</v>
      </c>
      <c r="W335" s="10" t="s">
        <v>152</v>
      </c>
      <c r="X335">
        <v>32</v>
      </c>
      <c r="Y335" s="10" t="s">
        <v>402</v>
      </c>
      <c r="Z335" s="43" t="s">
        <v>184</v>
      </c>
      <c r="AB335" s="42"/>
      <c r="AC335" s="34" t="s">
        <v>155</v>
      </c>
      <c r="AD335" s="10" t="s">
        <v>12</v>
      </c>
      <c r="AE335" s="10">
        <v>8</v>
      </c>
      <c r="AF335" s="10" t="s">
        <v>152</v>
      </c>
      <c r="AG335">
        <v>32</v>
      </c>
      <c r="AH335" s="10">
        <v>1069</v>
      </c>
      <c r="AI335" s="43" t="s">
        <v>162</v>
      </c>
      <c r="AK335" s="42"/>
      <c r="AL335" s="34" t="s">
        <v>155</v>
      </c>
      <c r="AM335" s="10" t="s">
        <v>12</v>
      </c>
      <c r="AN335" s="10">
        <v>8</v>
      </c>
      <c r="AO335" s="10" t="s">
        <v>152</v>
      </c>
      <c r="AP335">
        <v>32</v>
      </c>
      <c r="AQ335" s="10" t="s">
        <v>403</v>
      </c>
      <c r="AR335" s="43" t="s">
        <v>162</v>
      </c>
      <c r="AT335" s="42"/>
      <c r="AU335" s="34" t="s">
        <v>155</v>
      </c>
      <c r="AV335" s="10" t="s">
        <v>12</v>
      </c>
      <c r="AW335" s="10">
        <v>8</v>
      </c>
      <c r="AX335" s="10" t="s">
        <v>152</v>
      </c>
      <c r="AY335">
        <v>32</v>
      </c>
      <c r="AZ335" s="10">
        <v>1059</v>
      </c>
      <c r="BA335" s="43" t="s">
        <v>162</v>
      </c>
      <c r="BC335" s="42"/>
      <c r="BD335" s="34" t="s">
        <v>155</v>
      </c>
      <c r="BE335" s="10" t="s">
        <v>12</v>
      </c>
      <c r="BF335" s="10">
        <v>8</v>
      </c>
      <c r="BG335" s="10" t="s">
        <v>152</v>
      </c>
      <c r="BH335">
        <v>32</v>
      </c>
      <c r="BI335" s="10" t="s">
        <v>404</v>
      </c>
      <c r="BJ335" s="43" t="s">
        <v>171</v>
      </c>
      <c r="BL335" s="42"/>
      <c r="BM335" s="34" t="s">
        <v>155</v>
      </c>
      <c r="BN335" s="10" t="s">
        <v>12</v>
      </c>
      <c r="BO335" s="10">
        <v>8</v>
      </c>
      <c r="BP335" s="10" t="s">
        <v>152</v>
      </c>
      <c r="BQ335">
        <v>32</v>
      </c>
      <c r="BR335" s="10">
        <v>1071</v>
      </c>
      <c r="BS335" s="43" t="s">
        <v>188</v>
      </c>
      <c r="BU335" s="42"/>
      <c r="BV335" s="34" t="s">
        <v>155</v>
      </c>
      <c r="BW335" s="10" t="s">
        <v>12</v>
      </c>
      <c r="BX335" s="10">
        <v>8</v>
      </c>
      <c r="BY335" s="10" t="s">
        <v>152</v>
      </c>
      <c r="BZ335">
        <v>32</v>
      </c>
      <c r="CA335" s="10">
        <v>1075</v>
      </c>
      <c r="CB335" s="43" t="s">
        <v>164</v>
      </c>
      <c r="CD335" s="42"/>
      <c r="CE335" s="34" t="s">
        <v>155</v>
      </c>
      <c r="CF335" s="10" t="s">
        <v>12</v>
      </c>
      <c r="CG335" s="10">
        <v>8</v>
      </c>
      <c r="CH335" s="10" t="s">
        <v>152</v>
      </c>
      <c r="CI335">
        <v>32</v>
      </c>
      <c r="CJ335" s="10">
        <v>1082</v>
      </c>
      <c r="CK335" s="43" t="s">
        <v>186</v>
      </c>
    </row>
    <row r="336" spans="1:89" x14ac:dyDescent="0.25">
      <c r="A336" s="42"/>
      <c r="B336" s="34" t="s">
        <v>155</v>
      </c>
      <c r="C336" s="10" t="s">
        <v>12</v>
      </c>
      <c r="D336" s="10">
        <v>9</v>
      </c>
      <c r="E336" s="10" t="s">
        <v>152</v>
      </c>
      <c r="F336">
        <v>33</v>
      </c>
      <c r="G336" s="10">
        <v>1067</v>
      </c>
      <c r="H336" s="43" t="s">
        <v>172</v>
      </c>
      <c r="J336" s="42"/>
      <c r="K336" s="34" t="s">
        <v>155</v>
      </c>
      <c r="L336" s="10" t="s">
        <v>12</v>
      </c>
      <c r="M336" s="10">
        <v>9</v>
      </c>
      <c r="N336" s="10" t="s">
        <v>152</v>
      </c>
      <c r="O336">
        <v>33</v>
      </c>
      <c r="P336" s="10" t="s">
        <v>112</v>
      </c>
      <c r="Q336" s="43" t="s">
        <v>177</v>
      </c>
      <c r="S336" s="42"/>
      <c r="T336" s="34" t="s">
        <v>155</v>
      </c>
      <c r="U336" s="10" t="s">
        <v>12</v>
      </c>
      <c r="V336" s="10">
        <v>9</v>
      </c>
      <c r="W336" s="10" t="s">
        <v>152</v>
      </c>
      <c r="X336">
        <v>33</v>
      </c>
      <c r="Y336" s="10" t="s">
        <v>405</v>
      </c>
      <c r="Z336" s="43" t="s">
        <v>187</v>
      </c>
      <c r="AB336" s="42"/>
      <c r="AC336" s="34" t="s">
        <v>155</v>
      </c>
      <c r="AD336" s="10" t="s">
        <v>12</v>
      </c>
      <c r="AE336" s="10">
        <v>9</v>
      </c>
      <c r="AF336" s="10" t="s">
        <v>152</v>
      </c>
      <c r="AG336">
        <v>33</v>
      </c>
      <c r="AH336" s="10">
        <v>1069</v>
      </c>
      <c r="AI336" s="43" t="s">
        <v>170</v>
      </c>
      <c r="AK336" s="42"/>
      <c r="AL336" s="34" t="s">
        <v>155</v>
      </c>
      <c r="AM336" s="10" t="s">
        <v>12</v>
      </c>
      <c r="AN336" s="10">
        <v>9</v>
      </c>
      <c r="AO336" s="10" t="s">
        <v>152</v>
      </c>
      <c r="AP336">
        <v>33</v>
      </c>
      <c r="AQ336" s="10" t="s">
        <v>406</v>
      </c>
      <c r="AR336" s="43" t="s">
        <v>170</v>
      </c>
      <c r="AT336" s="42"/>
      <c r="AU336" s="34" t="s">
        <v>155</v>
      </c>
      <c r="AV336" s="10" t="s">
        <v>12</v>
      </c>
      <c r="AW336" s="10">
        <v>9</v>
      </c>
      <c r="AX336" s="10" t="s">
        <v>152</v>
      </c>
      <c r="AY336">
        <v>33</v>
      </c>
      <c r="AZ336" s="10">
        <v>1059</v>
      </c>
      <c r="BA336" s="43" t="s">
        <v>170</v>
      </c>
      <c r="BC336" s="42"/>
      <c r="BD336" s="34" t="s">
        <v>155</v>
      </c>
      <c r="BE336" s="10" t="s">
        <v>12</v>
      </c>
      <c r="BF336" s="10">
        <v>9</v>
      </c>
      <c r="BG336" s="10" t="s">
        <v>152</v>
      </c>
      <c r="BH336">
        <v>33</v>
      </c>
      <c r="BI336" s="10" t="s">
        <v>407</v>
      </c>
      <c r="BJ336" s="43" t="s">
        <v>161</v>
      </c>
      <c r="BL336" s="42"/>
      <c r="BM336" s="34" t="s">
        <v>155</v>
      </c>
      <c r="BN336" s="10" t="s">
        <v>12</v>
      </c>
      <c r="BO336" s="10">
        <v>9</v>
      </c>
      <c r="BP336" s="10" t="s">
        <v>152</v>
      </c>
      <c r="BQ336">
        <v>33</v>
      </c>
      <c r="BR336" s="10">
        <v>1071</v>
      </c>
      <c r="BS336" s="43" t="s">
        <v>182</v>
      </c>
      <c r="BU336" s="42"/>
      <c r="BV336" s="34" t="s">
        <v>155</v>
      </c>
      <c r="BW336" s="10" t="s">
        <v>12</v>
      </c>
      <c r="BX336" s="10">
        <v>9</v>
      </c>
      <c r="BY336" s="10" t="s">
        <v>152</v>
      </c>
      <c r="BZ336">
        <v>33</v>
      </c>
      <c r="CA336" s="10">
        <v>1075</v>
      </c>
      <c r="CB336" s="43" t="s">
        <v>172</v>
      </c>
      <c r="CD336" s="42"/>
      <c r="CE336" s="34" t="s">
        <v>155</v>
      </c>
      <c r="CF336" s="10" t="s">
        <v>12</v>
      </c>
      <c r="CG336" s="10">
        <v>9</v>
      </c>
      <c r="CH336" s="10" t="s">
        <v>152</v>
      </c>
      <c r="CI336">
        <v>33</v>
      </c>
      <c r="CJ336" s="10">
        <v>1082</v>
      </c>
      <c r="CK336" s="43" t="s">
        <v>188</v>
      </c>
    </row>
    <row r="337" spans="1:89" x14ac:dyDescent="0.25">
      <c r="A337" s="42"/>
      <c r="B337" s="34" t="s">
        <v>155</v>
      </c>
      <c r="C337" s="10" t="s">
        <v>12</v>
      </c>
      <c r="D337" s="10">
        <v>10</v>
      </c>
      <c r="E337" s="10" t="s">
        <v>152</v>
      </c>
      <c r="F337">
        <v>34</v>
      </c>
      <c r="G337" s="10">
        <v>1067</v>
      </c>
      <c r="H337" s="43" t="s">
        <v>162</v>
      </c>
      <c r="J337" s="42"/>
      <c r="K337" s="34" t="s">
        <v>155</v>
      </c>
      <c r="L337" s="10" t="s">
        <v>12</v>
      </c>
      <c r="M337" s="10">
        <v>10</v>
      </c>
      <c r="N337" s="10" t="s">
        <v>152</v>
      </c>
      <c r="O337">
        <v>34</v>
      </c>
      <c r="P337" s="10" t="s">
        <v>112</v>
      </c>
      <c r="Q337" s="43" t="s">
        <v>180</v>
      </c>
      <c r="S337" s="42"/>
      <c r="T337" s="34" t="s">
        <v>155</v>
      </c>
      <c r="U337" s="10" t="s">
        <v>12</v>
      </c>
      <c r="V337" s="10">
        <v>10</v>
      </c>
      <c r="W337" s="10" t="s">
        <v>152</v>
      </c>
      <c r="X337">
        <v>34</v>
      </c>
      <c r="Y337" s="10" t="s">
        <v>408</v>
      </c>
      <c r="Z337" s="43" t="s">
        <v>189</v>
      </c>
      <c r="AB337" s="42"/>
      <c r="AC337" s="34" t="s">
        <v>155</v>
      </c>
      <c r="AD337" s="10" t="s">
        <v>12</v>
      </c>
      <c r="AE337" s="10">
        <v>10</v>
      </c>
      <c r="AF337" s="10" t="s">
        <v>152</v>
      </c>
      <c r="AG337">
        <v>34</v>
      </c>
      <c r="AH337" s="10">
        <v>1069</v>
      </c>
      <c r="AI337" s="43" t="s">
        <v>178</v>
      </c>
      <c r="AK337" s="42"/>
      <c r="AL337" s="34" t="s">
        <v>155</v>
      </c>
      <c r="AM337" s="10" t="s">
        <v>12</v>
      </c>
      <c r="AN337" s="10">
        <v>10</v>
      </c>
      <c r="AO337" s="10" t="s">
        <v>152</v>
      </c>
      <c r="AP337">
        <v>34</v>
      </c>
      <c r="AQ337" s="10" t="s">
        <v>409</v>
      </c>
      <c r="AR337" s="43" t="s">
        <v>178</v>
      </c>
      <c r="AT337" s="42"/>
      <c r="AU337" s="34" t="s">
        <v>155</v>
      </c>
      <c r="AV337" s="10" t="s">
        <v>12</v>
      </c>
      <c r="AW337" s="10">
        <v>10</v>
      </c>
      <c r="AX337" s="10" t="s">
        <v>152</v>
      </c>
      <c r="AY337">
        <v>34</v>
      </c>
      <c r="AZ337" s="10">
        <v>1059</v>
      </c>
      <c r="BA337" s="43" t="s">
        <v>178</v>
      </c>
      <c r="BC337" s="42"/>
      <c r="BD337" s="34" t="s">
        <v>155</v>
      </c>
      <c r="BE337" s="10" t="s">
        <v>12</v>
      </c>
      <c r="BF337" s="10">
        <v>10</v>
      </c>
      <c r="BG337" s="10" t="s">
        <v>152</v>
      </c>
      <c r="BH337">
        <v>34</v>
      </c>
      <c r="BI337" s="10" t="s">
        <v>410</v>
      </c>
      <c r="BJ337" s="43" t="s">
        <v>169</v>
      </c>
      <c r="BL337" s="42"/>
      <c r="BM337" s="34" t="s">
        <v>155</v>
      </c>
      <c r="BN337" s="10" t="s">
        <v>12</v>
      </c>
      <c r="BO337" s="10">
        <v>10</v>
      </c>
      <c r="BP337" s="10" t="s">
        <v>152</v>
      </c>
      <c r="BQ337">
        <v>34</v>
      </c>
      <c r="BR337" s="10">
        <v>1071</v>
      </c>
      <c r="BS337" s="43" t="s">
        <v>184</v>
      </c>
      <c r="BU337" s="42"/>
      <c r="BV337" s="34" t="s">
        <v>155</v>
      </c>
      <c r="BW337" s="10" t="s">
        <v>12</v>
      </c>
      <c r="BX337" s="10">
        <v>10</v>
      </c>
      <c r="BY337" s="10" t="s">
        <v>152</v>
      </c>
      <c r="BZ337">
        <v>34</v>
      </c>
      <c r="CA337" s="10">
        <v>1075</v>
      </c>
      <c r="CB337" s="43" t="s">
        <v>162</v>
      </c>
      <c r="CD337" s="42"/>
      <c r="CE337" s="34" t="s">
        <v>155</v>
      </c>
      <c r="CF337" s="10" t="s">
        <v>12</v>
      </c>
      <c r="CG337" s="10">
        <v>10</v>
      </c>
      <c r="CH337" s="10" t="s">
        <v>152</v>
      </c>
      <c r="CI337">
        <v>34</v>
      </c>
      <c r="CJ337" s="10">
        <v>1082</v>
      </c>
      <c r="CK337" s="43" t="s">
        <v>182</v>
      </c>
    </row>
    <row r="338" spans="1:89" ht="15.75" thickBot="1" x14ac:dyDescent="0.3">
      <c r="A338" s="42"/>
      <c r="B338" s="34" t="s">
        <v>155</v>
      </c>
      <c r="C338" s="10" t="s">
        <v>12</v>
      </c>
      <c r="D338" s="10">
        <v>11</v>
      </c>
      <c r="E338" s="10" t="s">
        <v>152</v>
      </c>
      <c r="F338">
        <v>35</v>
      </c>
      <c r="G338" s="10">
        <v>1067</v>
      </c>
      <c r="H338" s="43" t="s">
        <v>170</v>
      </c>
      <c r="J338" s="42"/>
      <c r="K338" s="34" t="s">
        <v>155</v>
      </c>
      <c r="L338" s="10" t="s">
        <v>12</v>
      </c>
      <c r="M338" s="10">
        <v>11</v>
      </c>
      <c r="N338" s="10" t="s">
        <v>152</v>
      </c>
      <c r="O338">
        <v>35</v>
      </c>
      <c r="P338" s="10" t="s">
        <v>112</v>
      </c>
      <c r="Q338" s="43" t="s">
        <v>181</v>
      </c>
      <c r="S338" s="42"/>
      <c r="T338" s="34" t="s">
        <v>155</v>
      </c>
      <c r="U338" s="10" t="s">
        <v>12</v>
      </c>
      <c r="V338" s="10">
        <v>11</v>
      </c>
      <c r="W338" s="10" t="s">
        <v>152</v>
      </c>
      <c r="X338">
        <v>35</v>
      </c>
      <c r="Y338" s="10" t="s">
        <v>124</v>
      </c>
      <c r="Z338" s="51" t="s">
        <v>160</v>
      </c>
      <c r="AB338" s="42"/>
      <c r="AC338" s="34" t="s">
        <v>155</v>
      </c>
      <c r="AD338" s="10" t="s">
        <v>12</v>
      </c>
      <c r="AE338" s="10">
        <v>11</v>
      </c>
      <c r="AF338" s="10" t="s">
        <v>152</v>
      </c>
      <c r="AG338">
        <v>35</v>
      </c>
      <c r="AH338" s="10">
        <v>1069</v>
      </c>
      <c r="AI338" s="43" t="s">
        <v>163</v>
      </c>
      <c r="AK338" s="42"/>
      <c r="AL338" s="34" t="s">
        <v>155</v>
      </c>
      <c r="AM338" s="10" t="s">
        <v>12</v>
      </c>
      <c r="AN338" s="10">
        <v>11</v>
      </c>
      <c r="AO338" s="10" t="s">
        <v>152</v>
      </c>
      <c r="AP338">
        <v>35</v>
      </c>
      <c r="AQ338" s="10" t="s">
        <v>411</v>
      </c>
      <c r="AR338" s="43" t="s">
        <v>163</v>
      </c>
      <c r="AT338" s="42"/>
      <c r="AU338" s="34" t="s">
        <v>155</v>
      </c>
      <c r="AV338" s="10" t="s">
        <v>12</v>
      </c>
      <c r="AW338" s="10">
        <v>11</v>
      </c>
      <c r="AX338" s="10" t="s">
        <v>152</v>
      </c>
      <c r="AY338">
        <v>35</v>
      </c>
      <c r="AZ338" s="10">
        <v>1059</v>
      </c>
      <c r="BA338" s="43" t="s">
        <v>163</v>
      </c>
      <c r="BC338" s="42"/>
      <c r="BD338" s="34" t="s">
        <v>155</v>
      </c>
      <c r="BE338" s="10" t="s">
        <v>12</v>
      </c>
      <c r="BF338" s="10">
        <v>11</v>
      </c>
      <c r="BG338" s="10" t="s">
        <v>152</v>
      </c>
      <c r="BH338">
        <v>35</v>
      </c>
      <c r="BI338" s="10" t="s">
        <v>412</v>
      </c>
      <c r="BJ338" s="43" t="s">
        <v>177</v>
      </c>
      <c r="BL338" s="42"/>
      <c r="BM338" s="34" t="s">
        <v>155</v>
      </c>
      <c r="BN338" s="10" t="s">
        <v>12</v>
      </c>
      <c r="BO338" s="10">
        <v>11</v>
      </c>
      <c r="BP338" s="10" t="s">
        <v>152</v>
      </c>
      <c r="BQ338">
        <v>35</v>
      </c>
      <c r="BR338" s="10">
        <v>1071</v>
      </c>
      <c r="BS338" s="43" t="s">
        <v>187</v>
      </c>
      <c r="BU338" s="42"/>
      <c r="BV338" s="34" t="s">
        <v>155</v>
      </c>
      <c r="BW338" s="10" t="s">
        <v>12</v>
      </c>
      <c r="BX338" s="10">
        <v>11</v>
      </c>
      <c r="BY338" s="10" t="s">
        <v>152</v>
      </c>
      <c r="BZ338">
        <v>35</v>
      </c>
      <c r="CA338" s="10">
        <v>1075</v>
      </c>
      <c r="CB338" s="43" t="s">
        <v>170</v>
      </c>
      <c r="CD338" s="42"/>
      <c r="CE338" s="34" t="s">
        <v>155</v>
      </c>
      <c r="CF338" s="10" t="s">
        <v>12</v>
      </c>
      <c r="CG338" s="10">
        <v>11</v>
      </c>
      <c r="CH338" s="10" t="s">
        <v>152</v>
      </c>
      <c r="CI338">
        <v>35</v>
      </c>
      <c r="CJ338" s="10">
        <v>1082</v>
      </c>
      <c r="CK338" s="43" t="s">
        <v>184</v>
      </c>
    </row>
    <row r="339" spans="1:89" ht="15.75" thickBot="1" x14ac:dyDescent="0.3">
      <c r="A339" s="47"/>
      <c r="B339" s="48" t="s">
        <v>155</v>
      </c>
      <c r="C339" s="49" t="s">
        <v>12</v>
      </c>
      <c r="D339" s="49">
        <v>12</v>
      </c>
      <c r="E339" s="49" t="s">
        <v>152</v>
      </c>
      <c r="F339" s="50">
        <v>36</v>
      </c>
      <c r="G339" s="10">
        <v>1067</v>
      </c>
      <c r="H339" s="33" t="s">
        <v>178</v>
      </c>
      <c r="J339" s="47"/>
      <c r="K339" s="48" t="s">
        <v>155</v>
      </c>
      <c r="L339" s="49" t="s">
        <v>12</v>
      </c>
      <c r="M339" s="49">
        <v>12</v>
      </c>
      <c r="N339" s="49" t="s">
        <v>152</v>
      </c>
      <c r="O339" s="50">
        <v>36</v>
      </c>
      <c r="P339" s="10" t="s">
        <v>112</v>
      </c>
      <c r="Q339" s="43" t="s">
        <v>183</v>
      </c>
      <c r="S339" s="47"/>
      <c r="T339" s="48" t="s">
        <v>155</v>
      </c>
      <c r="U339" s="49" t="s">
        <v>12</v>
      </c>
      <c r="V339" s="49">
        <v>12</v>
      </c>
      <c r="W339" s="49" t="s">
        <v>152</v>
      </c>
      <c r="X339" s="50">
        <v>36</v>
      </c>
      <c r="Y339" s="10" t="s">
        <v>126</v>
      </c>
      <c r="Z339" s="43" t="s">
        <v>168</v>
      </c>
      <c r="AB339" s="47"/>
      <c r="AC339" s="48" t="s">
        <v>155</v>
      </c>
      <c r="AD339" s="49" t="s">
        <v>12</v>
      </c>
      <c r="AE339" s="49">
        <v>12</v>
      </c>
      <c r="AF339" s="49" t="s">
        <v>152</v>
      </c>
      <c r="AG339" s="50">
        <v>36</v>
      </c>
      <c r="AH339" s="10">
        <v>1069</v>
      </c>
      <c r="AI339" s="43" t="s">
        <v>171</v>
      </c>
      <c r="AK339" s="47"/>
      <c r="AL339" s="48" t="s">
        <v>155</v>
      </c>
      <c r="AM339" s="49" t="s">
        <v>12</v>
      </c>
      <c r="AN339" s="49">
        <v>12</v>
      </c>
      <c r="AO339" s="49" t="s">
        <v>152</v>
      </c>
      <c r="AP339" s="50">
        <v>36</v>
      </c>
      <c r="AQ339" s="10" t="s">
        <v>413</v>
      </c>
      <c r="AR339" s="43" t="s">
        <v>171</v>
      </c>
      <c r="AT339" s="47"/>
      <c r="AU339" s="48" t="s">
        <v>155</v>
      </c>
      <c r="AV339" s="49" t="s">
        <v>12</v>
      </c>
      <c r="AW339" s="49">
        <v>12</v>
      </c>
      <c r="AX339" s="49" t="s">
        <v>152</v>
      </c>
      <c r="AY339" s="50">
        <v>36</v>
      </c>
      <c r="AZ339" s="10">
        <v>1059</v>
      </c>
      <c r="BA339" s="43" t="s">
        <v>171</v>
      </c>
      <c r="BC339" s="47"/>
      <c r="BD339" s="48" t="s">
        <v>155</v>
      </c>
      <c r="BE339" s="49" t="s">
        <v>12</v>
      </c>
      <c r="BF339" s="49">
        <v>12</v>
      </c>
      <c r="BG339" s="49" t="s">
        <v>152</v>
      </c>
      <c r="BH339" s="50">
        <v>36</v>
      </c>
      <c r="BI339" s="10" t="s">
        <v>414</v>
      </c>
      <c r="BJ339" s="43" t="s">
        <v>180</v>
      </c>
      <c r="BL339" s="47"/>
      <c r="BM339" s="48" t="s">
        <v>155</v>
      </c>
      <c r="BN339" s="49" t="s">
        <v>12</v>
      </c>
      <c r="BO339" s="49">
        <v>12</v>
      </c>
      <c r="BP339" s="49" t="s">
        <v>152</v>
      </c>
      <c r="BQ339" s="50">
        <v>36</v>
      </c>
      <c r="BR339" s="10">
        <v>1071</v>
      </c>
      <c r="BS339" s="43" t="s">
        <v>189</v>
      </c>
      <c r="BU339" s="47"/>
      <c r="BV339" s="48" t="s">
        <v>155</v>
      </c>
      <c r="BW339" s="49" t="s">
        <v>12</v>
      </c>
      <c r="BX339" s="49">
        <v>12</v>
      </c>
      <c r="BY339" s="49" t="s">
        <v>152</v>
      </c>
      <c r="BZ339" s="50">
        <v>36</v>
      </c>
      <c r="CA339" s="10">
        <v>1075</v>
      </c>
      <c r="CB339" s="33" t="s">
        <v>178</v>
      </c>
      <c r="CD339" s="47"/>
      <c r="CE339" s="48" t="s">
        <v>155</v>
      </c>
      <c r="CF339" s="49" t="s">
        <v>12</v>
      </c>
      <c r="CG339" s="49">
        <v>12</v>
      </c>
      <c r="CH339" s="49" t="s">
        <v>152</v>
      </c>
      <c r="CI339" s="50">
        <v>36</v>
      </c>
      <c r="CJ339" s="10">
        <v>1082</v>
      </c>
      <c r="CK339" s="43" t="s">
        <v>187</v>
      </c>
    </row>
    <row r="340" spans="1:89" ht="15.75" thickBot="1" x14ac:dyDescent="0.3">
      <c r="A340" s="56"/>
      <c r="B340" s="31" t="s">
        <v>155</v>
      </c>
      <c r="C340" s="58" t="s">
        <v>15</v>
      </c>
      <c r="D340" s="58">
        <v>1</v>
      </c>
      <c r="E340" s="58" t="s">
        <v>152</v>
      </c>
      <c r="F340" s="59">
        <v>37</v>
      </c>
      <c r="G340" s="10">
        <v>1067</v>
      </c>
      <c r="H340" s="43" t="s">
        <v>163</v>
      </c>
      <c r="J340" s="56"/>
      <c r="K340" s="31" t="s">
        <v>155</v>
      </c>
      <c r="L340" s="58" t="s">
        <v>15</v>
      </c>
      <c r="M340" s="58">
        <v>1</v>
      </c>
      <c r="N340" s="58" t="s">
        <v>152</v>
      </c>
      <c r="O340" s="59">
        <v>37</v>
      </c>
      <c r="P340" s="10" t="s">
        <v>112</v>
      </c>
      <c r="Q340" s="43" t="s">
        <v>186</v>
      </c>
      <c r="S340" s="56"/>
      <c r="T340" s="31" t="s">
        <v>155</v>
      </c>
      <c r="U340" s="58" t="s">
        <v>15</v>
      </c>
      <c r="V340" s="58">
        <v>1</v>
      </c>
      <c r="W340" s="58" t="s">
        <v>152</v>
      </c>
      <c r="X340" s="59">
        <v>37</v>
      </c>
      <c r="Y340" s="10" t="s">
        <v>128</v>
      </c>
      <c r="Z340" s="43" t="s">
        <v>176</v>
      </c>
      <c r="AB340" s="56"/>
      <c r="AC340" s="31" t="s">
        <v>155</v>
      </c>
      <c r="AD340" s="58" t="s">
        <v>15</v>
      </c>
      <c r="AE340" s="58">
        <v>1</v>
      </c>
      <c r="AF340" s="58" t="s">
        <v>152</v>
      </c>
      <c r="AG340" s="59">
        <v>37</v>
      </c>
      <c r="AH340" s="10">
        <v>1069</v>
      </c>
      <c r="AI340" s="43" t="s">
        <v>161</v>
      </c>
      <c r="AK340" s="56"/>
      <c r="AL340" s="31" t="s">
        <v>155</v>
      </c>
      <c r="AM340" s="58" t="s">
        <v>15</v>
      </c>
      <c r="AN340" s="58">
        <v>1</v>
      </c>
      <c r="AO340" s="58" t="s">
        <v>152</v>
      </c>
      <c r="AP340" s="59">
        <v>37</v>
      </c>
      <c r="AQ340" s="10" t="s">
        <v>415</v>
      </c>
      <c r="AR340" s="43" t="s">
        <v>161</v>
      </c>
      <c r="AT340" s="56"/>
      <c r="AU340" s="31" t="s">
        <v>155</v>
      </c>
      <c r="AV340" s="58" t="s">
        <v>15</v>
      </c>
      <c r="AW340" s="58">
        <v>1</v>
      </c>
      <c r="AX340" s="58" t="s">
        <v>152</v>
      </c>
      <c r="AY340" s="59">
        <v>37</v>
      </c>
      <c r="AZ340" s="10">
        <v>1059</v>
      </c>
      <c r="BA340" s="43" t="s">
        <v>161</v>
      </c>
      <c r="BC340" s="56"/>
      <c r="BD340" s="31" t="s">
        <v>155</v>
      </c>
      <c r="BE340" s="58" t="s">
        <v>15</v>
      </c>
      <c r="BF340" s="58">
        <v>1</v>
      </c>
      <c r="BG340" s="58" t="s">
        <v>152</v>
      </c>
      <c r="BH340" s="59">
        <v>37</v>
      </c>
      <c r="BI340" s="10" t="s">
        <v>416</v>
      </c>
      <c r="BJ340" s="43" t="s">
        <v>181</v>
      </c>
      <c r="BL340" s="56"/>
      <c r="BM340" s="31" t="s">
        <v>155</v>
      </c>
      <c r="BN340" s="58" t="s">
        <v>15</v>
      </c>
      <c r="BO340" s="58">
        <v>1</v>
      </c>
      <c r="BP340" s="58" t="s">
        <v>152</v>
      </c>
      <c r="BQ340" s="59">
        <v>37</v>
      </c>
      <c r="BR340" s="10" t="s">
        <v>58</v>
      </c>
      <c r="BS340" s="43" t="s">
        <v>160</v>
      </c>
      <c r="BU340" s="56"/>
      <c r="BV340" s="31" t="s">
        <v>155</v>
      </c>
      <c r="BW340" s="58" t="s">
        <v>15</v>
      </c>
      <c r="BX340" s="58">
        <v>1</v>
      </c>
      <c r="BY340" s="58" t="s">
        <v>152</v>
      </c>
      <c r="BZ340" s="59">
        <v>37</v>
      </c>
      <c r="CA340" s="10">
        <v>1075</v>
      </c>
      <c r="CB340" s="43" t="s">
        <v>163</v>
      </c>
      <c r="CD340" s="56"/>
      <c r="CE340" s="31" t="s">
        <v>155</v>
      </c>
      <c r="CF340" s="58" t="s">
        <v>15</v>
      </c>
      <c r="CG340" s="58">
        <v>1</v>
      </c>
      <c r="CH340" s="58" t="s">
        <v>152</v>
      </c>
      <c r="CI340" s="59">
        <v>37</v>
      </c>
      <c r="CJ340" s="10">
        <v>1082</v>
      </c>
      <c r="CK340" s="43" t="s">
        <v>189</v>
      </c>
    </row>
    <row r="341" spans="1:89" x14ac:dyDescent="0.25">
      <c r="A341" s="42"/>
      <c r="B341" s="34" t="s">
        <v>155</v>
      </c>
      <c r="C341" s="10" t="s">
        <v>15</v>
      </c>
      <c r="D341" s="10">
        <v>2</v>
      </c>
      <c r="E341" s="10" t="s">
        <v>152</v>
      </c>
      <c r="F341">
        <v>38</v>
      </c>
      <c r="G341" s="10">
        <v>1067</v>
      </c>
      <c r="H341" s="43" t="s">
        <v>171</v>
      </c>
      <c r="J341" s="42"/>
      <c r="K341" s="34" t="s">
        <v>155</v>
      </c>
      <c r="L341" s="10" t="s">
        <v>15</v>
      </c>
      <c r="M341" s="10">
        <v>2</v>
      </c>
      <c r="N341" s="10" t="s">
        <v>152</v>
      </c>
      <c r="O341">
        <v>38</v>
      </c>
      <c r="P341" s="10" t="s">
        <v>112</v>
      </c>
      <c r="Q341" s="43" t="s">
        <v>188</v>
      </c>
      <c r="S341" s="42"/>
      <c r="T341" s="34" t="s">
        <v>155</v>
      </c>
      <c r="U341" s="10" t="s">
        <v>15</v>
      </c>
      <c r="V341" s="10">
        <v>2</v>
      </c>
      <c r="W341" s="10" t="s">
        <v>152</v>
      </c>
      <c r="X341">
        <v>38</v>
      </c>
      <c r="Y341" s="10" t="s">
        <v>130</v>
      </c>
      <c r="Z341" s="43" t="s">
        <v>164</v>
      </c>
      <c r="AB341" s="42"/>
      <c r="AC341" s="34" t="s">
        <v>155</v>
      </c>
      <c r="AD341" s="10" t="s">
        <v>15</v>
      </c>
      <c r="AE341" s="10">
        <v>2</v>
      </c>
      <c r="AF341" s="10" t="s">
        <v>152</v>
      </c>
      <c r="AG341">
        <v>38</v>
      </c>
      <c r="AH341" s="10">
        <v>1069</v>
      </c>
      <c r="AI341" s="33" t="s">
        <v>169</v>
      </c>
      <c r="AK341" s="42"/>
      <c r="AL341" s="34" t="s">
        <v>155</v>
      </c>
      <c r="AM341" s="10" t="s">
        <v>15</v>
      </c>
      <c r="AN341" s="10">
        <v>2</v>
      </c>
      <c r="AO341" s="10" t="s">
        <v>152</v>
      </c>
      <c r="AP341">
        <v>38</v>
      </c>
      <c r="AQ341" s="10" t="s">
        <v>417</v>
      </c>
      <c r="AR341" s="33" t="s">
        <v>169</v>
      </c>
      <c r="AT341" s="42"/>
      <c r="AU341" s="34" t="s">
        <v>155</v>
      </c>
      <c r="AV341" s="10" t="s">
        <v>15</v>
      </c>
      <c r="AW341" s="10">
        <v>2</v>
      </c>
      <c r="AX341" s="10" t="s">
        <v>152</v>
      </c>
      <c r="AY341">
        <v>38</v>
      </c>
      <c r="AZ341" s="10">
        <v>1059</v>
      </c>
      <c r="BA341" s="33" t="s">
        <v>169</v>
      </c>
      <c r="BC341" s="42"/>
      <c r="BD341" s="34" t="s">
        <v>155</v>
      </c>
      <c r="BE341" s="10" t="s">
        <v>15</v>
      </c>
      <c r="BF341" s="10">
        <v>2</v>
      </c>
      <c r="BG341" s="10" t="s">
        <v>152</v>
      </c>
      <c r="BH341">
        <v>38</v>
      </c>
      <c r="BI341" s="10" t="s">
        <v>418</v>
      </c>
      <c r="BJ341" s="33" t="s">
        <v>183</v>
      </c>
      <c r="BL341" s="42"/>
      <c r="BM341" s="34" t="s">
        <v>155</v>
      </c>
      <c r="BN341" s="10" t="s">
        <v>15</v>
      </c>
      <c r="BO341" s="10">
        <v>2</v>
      </c>
      <c r="BP341" s="10" t="s">
        <v>152</v>
      </c>
      <c r="BQ341">
        <v>38</v>
      </c>
      <c r="BR341" s="10" t="s">
        <v>58</v>
      </c>
      <c r="BS341" s="43" t="s">
        <v>168</v>
      </c>
      <c r="BU341" s="42"/>
      <c r="BV341" s="34" t="s">
        <v>155</v>
      </c>
      <c r="BW341" s="10" t="s">
        <v>15</v>
      </c>
      <c r="BX341" s="10">
        <v>2</v>
      </c>
      <c r="BY341" s="10" t="s">
        <v>152</v>
      </c>
      <c r="BZ341">
        <v>38</v>
      </c>
      <c r="CA341" s="10">
        <v>1075</v>
      </c>
      <c r="CB341" s="43" t="s">
        <v>182</v>
      </c>
      <c r="CD341" s="42"/>
      <c r="CE341" s="34" t="s">
        <v>155</v>
      </c>
      <c r="CF341" s="10" t="s">
        <v>15</v>
      </c>
      <c r="CG341" s="10">
        <v>2</v>
      </c>
      <c r="CH341" s="10" t="s">
        <v>152</v>
      </c>
      <c r="CI341">
        <v>38</v>
      </c>
      <c r="CJ341" s="10">
        <v>1078</v>
      </c>
      <c r="CK341" s="43" t="s">
        <v>182</v>
      </c>
    </row>
    <row r="342" spans="1:89" x14ac:dyDescent="0.25">
      <c r="A342" s="42"/>
      <c r="B342" s="34" t="s">
        <v>155</v>
      </c>
      <c r="C342" s="10" t="s">
        <v>15</v>
      </c>
      <c r="D342" s="10">
        <v>3</v>
      </c>
      <c r="E342" s="10" t="s">
        <v>152</v>
      </c>
      <c r="F342">
        <v>39</v>
      </c>
      <c r="G342" s="10">
        <v>1067</v>
      </c>
      <c r="H342" s="43" t="s">
        <v>161</v>
      </c>
      <c r="J342" s="42"/>
      <c r="K342" s="34" t="s">
        <v>155</v>
      </c>
      <c r="L342" s="10" t="s">
        <v>15</v>
      </c>
      <c r="M342" s="10">
        <v>3</v>
      </c>
      <c r="N342" s="10" t="s">
        <v>152</v>
      </c>
      <c r="O342">
        <v>39</v>
      </c>
      <c r="P342" s="10" t="s">
        <v>112</v>
      </c>
      <c r="Q342" s="43" t="s">
        <v>182</v>
      </c>
      <c r="S342" s="42"/>
      <c r="T342" s="34" t="s">
        <v>155</v>
      </c>
      <c r="U342" s="10" t="s">
        <v>15</v>
      </c>
      <c r="V342" s="10">
        <v>3</v>
      </c>
      <c r="W342" s="10" t="s">
        <v>152</v>
      </c>
      <c r="X342">
        <v>39</v>
      </c>
      <c r="Y342" s="10" t="s">
        <v>419</v>
      </c>
      <c r="Z342" s="43" t="s">
        <v>172</v>
      </c>
      <c r="AB342" s="42"/>
      <c r="AC342" s="34" t="s">
        <v>155</v>
      </c>
      <c r="AD342" s="10" t="s">
        <v>15</v>
      </c>
      <c r="AE342" s="10">
        <v>3</v>
      </c>
      <c r="AF342" s="10" t="s">
        <v>152</v>
      </c>
      <c r="AG342">
        <v>39</v>
      </c>
      <c r="AH342" s="10">
        <v>1069</v>
      </c>
      <c r="AI342" s="43" t="s">
        <v>177</v>
      </c>
      <c r="AK342" s="42"/>
      <c r="AL342" s="34" t="s">
        <v>155</v>
      </c>
      <c r="AM342" s="10" t="s">
        <v>15</v>
      </c>
      <c r="AN342" s="10">
        <v>3</v>
      </c>
      <c r="AO342" s="10" t="s">
        <v>152</v>
      </c>
      <c r="AP342">
        <v>39</v>
      </c>
      <c r="AQ342" s="10" t="s">
        <v>420</v>
      </c>
      <c r="AR342" s="43" t="s">
        <v>177</v>
      </c>
      <c r="AT342" s="42"/>
      <c r="AU342" s="34" t="s">
        <v>155</v>
      </c>
      <c r="AV342" s="10" t="s">
        <v>15</v>
      </c>
      <c r="AW342" s="10">
        <v>3</v>
      </c>
      <c r="AX342" s="10" t="s">
        <v>152</v>
      </c>
      <c r="AY342">
        <v>39</v>
      </c>
      <c r="AZ342" s="10">
        <v>1059</v>
      </c>
      <c r="BA342" s="43" t="s">
        <v>177</v>
      </c>
      <c r="BC342" s="42"/>
      <c r="BD342" s="34" t="s">
        <v>155</v>
      </c>
      <c r="BE342" s="10" t="s">
        <v>15</v>
      </c>
      <c r="BF342" s="10">
        <v>3</v>
      </c>
      <c r="BG342" s="10" t="s">
        <v>152</v>
      </c>
      <c r="BH342">
        <v>39</v>
      </c>
      <c r="BI342" s="10" t="s">
        <v>421</v>
      </c>
      <c r="BJ342" s="43" t="s">
        <v>186</v>
      </c>
      <c r="BL342" s="42"/>
      <c r="BM342" s="34" t="s">
        <v>155</v>
      </c>
      <c r="BN342" s="10" t="s">
        <v>15</v>
      </c>
      <c r="BO342" s="10">
        <v>3</v>
      </c>
      <c r="BP342" s="10" t="s">
        <v>152</v>
      </c>
      <c r="BQ342">
        <v>39</v>
      </c>
      <c r="BR342" s="10" t="s">
        <v>58</v>
      </c>
      <c r="BS342" s="43" t="s">
        <v>176</v>
      </c>
      <c r="BU342" s="42"/>
      <c r="BV342" s="34" t="s">
        <v>155</v>
      </c>
      <c r="BW342" s="10" t="s">
        <v>15</v>
      </c>
      <c r="BX342" s="10">
        <v>3</v>
      </c>
      <c r="BY342" s="10" t="s">
        <v>152</v>
      </c>
      <c r="BZ342">
        <v>39</v>
      </c>
      <c r="CA342" s="10">
        <v>1075</v>
      </c>
      <c r="CB342" s="43" t="s">
        <v>184</v>
      </c>
      <c r="CD342" s="42"/>
      <c r="CE342" s="34" t="s">
        <v>155</v>
      </c>
      <c r="CF342" s="10" t="s">
        <v>15</v>
      </c>
      <c r="CG342" s="10">
        <v>3</v>
      </c>
      <c r="CH342" s="10" t="s">
        <v>152</v>
      </c>
      <c r="CI342">
        <v>39</v>
      </c>
      <c r="CJ342" s="10">
        <v>1078</v>
      </c>
      <c r="CK342" s="43" t="s">
        <v>184</v>
      </c>
    </row>
    <row r="343" spans="1:89" x14ac:dyDescent="0.25">
      <c r="A343" s="42"/>
      <c r="B343" s="34" t="s">
        <v>155</v>
      </c>
      <c r="C343" s="10" t="s">
        <v>15</v>
      </c>
      <c r="D343" s="10">
        <v>4</v>
      </c>
      <c r="E343" s="10" t="s">
        <v>152</v>
      </c>
      <c r="F343">
        <v>40</v>
      </c>
      <c r="G343" s="10">
        <v>1067</v>
      </c>
      <c r="H343" s="43" t="s">
        <v>169</v>
      </c>
      <c r="J343" s="42"/>
      <c r="K343" s="34" t="s">
        <v>155</v>
      </c>
      <c r="L343" s="10" t="s">
        <v>15</v>
      </c>
      <c r="M343" s="10">
        <v>4</v>
      </c>
      <c r="N343" s="10" t="s">
        <v>152</v>
      </c>
      <c r="O343">
        <v>40</v>
      </c>
      <c r="P343" s="10" t="s">
        <v>112</v>
      </c>
      <c r="Q343" s="43" t="s">
        <v>184</v>
      </c>
      <c r="S343" s="42"/>
      <c r="T343" s="34" t="s">
        <v>155</v>
      </c>
      <c r="U343" s="10" t="s">
        <v>15</v>
      </c>
      <c r="V343" s="10">
        <v>4</v>
      </c>
      <c r="W343" s="10" t="s">
        <v>152</v>
      </c>
      <c r="X343">
        <v>40</v>
      </c>
      <c r="Y343" s="10" t="s">
        <v>422</v>
      </c>
      <c r="Z343" s="43" t="s">
        <v>162</v>
      </c>
      <c r="AB343" s="42"/>
      <c r="AC343" s="34" t="s">
        <v>155</v>
      </c>
      <c r="AD343" s="10" t="s">
        <v>15</v>
      </c>
      <c r="AE343" s="10">
        <v>4</v>
      </c>
      <c r="AF343" s="10" t="s">
        <v>152</v>
      </c>
      <c r="AG343">
        <v>40</v>
      </c>
      <c r="AH343" s="10">
        <v>1069</v>
      </c>
      <c r="AI343" s="43" t="s">
        <v>180</v>
      </c>
      <c r="AK343" s="42"/>
      <c r="AL343" s="34" t="s">
        <v>155</v>
      </c>
      <c r="AM343" s="10" t="s">
        <v>15</v>
      </c>
      <c r="AN343" s="10">
        <v>4</v>
      </c>
      <c r="AO343" s="10" t="s">
        <v>152</v>
      </c>
      <c r="AP343">
        <v>40</v>
      </c>
      <c r="AQ343" s="10" t="s">
        <v>423</v>
      </c>
      <c r="AR343" s="43" t="s">
        <v>180</v>
      </c>
      <c r="AT343" s="42"/>
      <c r="AU343" s="34" t="s">
        <v>155</v>
      </c>
      <c r="AV343" s="10" t="s">
        <v>15</v>
      </c>
      <c r="AW343" s="10">
        <v>4</v>
      </c>
      <c r="AX343" s="10" t="s">
        <v>152</v>
      </c>
      <c r="AY343">
        <v>40</v>
      </c>
      <c r="AZ343" s="10">
        <v>1059</v>
      </c>
      <c r="BA343" s="43" t="s">
        <v>180</v>
      </c>
      <c r="BC343" s="42"/>
      <c r="BD343" s="34" t="s">
        <v>155</v>
      </c>
      <c r="BE343" s="10" t="s">
        <v>15</v>
      </c>
      <c r="BF343" s="10">
        <v>4</v>
      </c>
      <c r="BG343" s="10" t="s">
        <v>152</v>
      </c>
      <c r="BH343">
        <v>40</v>
      </c>
      <c r="BI343" s="10" t="s">
        <v>424</v>
      </c>
      <c r="BJ343" s="43" t="s">
        <v>188</v>
      </c>
      <c r="BL343" s="42"/>
      <c r="BM343" s="34" t="s">
        <v>155</v>
      </c>
      <c r="BN343" s="10" t="s">
        <v>15</v>
      </c>
      <c r="BO343" s="10">
        <v>4</v>
      </c>
      <c r="BP343" s="10" t="s">
        <v>152</v>
      </c>
      <c r="BQ343">
        <v>40</v>
      </c>
      <c r="BR343" s="10" t="s">
        <v>58</v>
      </c>
      <c r="BS343" s="43" t="s">
        <v>164</v>
      </c>
      <c r="BU343" s="42"/>
      <c r="BV343" s="34" t="s">
        <v>155</v>
      </c>
      <c r="BW343" s="10" t="s">
        <v>15</v>
      </c>
      <c r="BX343" s="10">
        <v>4</v>
      </c>
      <c r="BY343" s="10" t="s">
        <v>152</v>
      </c>
      <c r="BZ343">
        <v>40</v>
      </c>
      <c r="CA343" s="10">
        <v>1075</v>
      </c>
      <c r="CB343" s="43" t="s">
        <v>187</v>
      </c>
      <c r="CD343" s="42"/>
      <c r="CE343" s="34" t="s">
        <v>155</v>
      </c>
      <c r="CF343" s="10" t="s">
        <v>15</v>
      </c>
      <c r="CG343" s="10">
        <v>4</v>
      </c>
      <c r="CH343" s="10" t="s">
        <v>152</v>
      </c>
      <c r="CI343">
        <v>40</v>
      </c>
      <c r="CJ343" s="10">
        <v>1078</v>
      </c>
      <c r="CK343" s="43" t="s">
        <v>187</v>
      </c>
    </row>
    <row r="344" spans="1:89" x14ac:dyDescent="0.25">
      <c r="A344" s="42"/>
      <c r="B344" s="34" t="s">
        <v>155</v>
      </c>
      <c r="C344" s="10" t="s">
        <v>15</v>
      </c>
      <c r="D344" s="10">
        <v>5</v>
      </c>
      <c r="E344" s="10" t="s">
        <v>152</v>
      </c>
      <c r="F344">
        <v>41</v>
      </c>
      <c r="G344" s="10">
        <v>1067</v>
      </c>
      <c r="H344" s="43" t="s">
        <v>177</v>
      </c>
      <c r="J344" s="42"/>
      <c r="K344" s="34" t="s">
        <v>155</v>
      </c>
      <c r="L344" s="10" t="s">
        <v>15</v>
      </c>
      <c r="M344" s="10">
        <v>5</v>
      </c>
      <c r="N344" s="10" t="s">
        <v>152</v>
      </c>
      <c r="O344">
        <v>41</v>
      </c>
      <c r="P344" s="10" t="s">
        <v>112</v>
      </c>
      <c r="Q344" s="43" t="s">
        <v>187</v>
      </c>
      <c r="S344" s="42"/>
      <c r="T344" s="34" t="s">
        <v>155</v>
      </c>
      <c r="U344" s="10" t="s">
        <v>15</v>
      </c>
      <c r="V344" s="10">
        <v>5</v>
      </c>
      <c r="W344" s="10" t="s">
        <v>152</v>
      </c>
      <c r="X344">
        <v>41</v>
      </c>
      <c r="Y344" s="10" t="s">
        <v>425</v>
      </c>
      <c r="Z344" s="43" t="s">
        <v>170</v>
      </c>
      <c r="AB344" s="42"/>
      <c r="AC344" s="34" t="s">
        <v>155</v>
      </c>
      <c r="AD344" s="10" t="s">
        <v>15</v>
      </c>
      <c r="AE344" s="10">
        <v>5</v>
      </c>
      <c r="AF344" s="10" t="s">
        <v>152</v>
      </c>
      <c r="AG344">
        <v>41</v>
      </c>
      <c r="AH344" s="10">
        <v>1069</v>
      </c>
      <c r="AI344" s="43" t="s">
        <v>181</v>
      </c>
      <c r="AK344" s="42"/>
      <c r="AL344" s="34" t="s">
        <v>155</v>
      </c>
      <c r="AM344" s="10" t="s">
        <v>15</v>
      </c>
      <c r="AN344" s="10">
        <v>5</v>
      </c>
      <c r="AO344" s="10" t="s">
        <v>152</v>
      </c>
      <c r="AP344">
        <v>41</v>
      </c>
      <c r="AQ344" s="10" t="s">
        <v>426</v>
      </c>
      <c r="AR344" s="43" t="s">
        <v>181</v>
      </c>
      <c r="AT344" s="42"/>
      <c r="AU344" s="34" t="s">
        <v>155</v>
      </c>
      <c r="AV344" s="10" t="s">
        <v>15</v>
      </c>
      <c r="AW344" s="10">
        <v>5</v>
      </c>
      <c r="AX344" s="10" t="s">
        <v>152</v>
      </c>
      <c r="AY344">
        <v>41</v>
      </c>
      <c r="AZ344" s="10">
        <v>1059</v>
      </c>
      <c r="BA344" s="43" t="s">
        <v>181</v>
      </c>
      <c r="BC344" s="42"/>
      <c r="BD344" s="34" t="s">
        <v>155</v>
      </c>
      <c r="BE344" s="10" t="s">
        <v>15</v>
      </c>
      <c r="BF344" s="10">
        <v>5</v>
      </c>
      <c r="BG344" s="10" t="s">
        <v>152</v>
      </c>
      <c r="BH344">
        <v>41</v>
      </c>
      <c r="BI344" s="10" t="s">
        <v>427</v>
      </c>
      <c r="BJ344" s="43" t="s">
        <v>182</v>
      </c>
      <c r="BL344" s="42"/>
      <c r="BM344" s="34" t="s">
        <v>155</v>
      </c>
      <c r="BN344" s="10" t="s">
        <v>15</v>
      </c>
      <c r="BO344" s="10">
        <v>5</v>
      </c>
      <c r="BP344" s="10" t="s">
        <v>152</v>
      </c>
      <c r="BQ344">
        <v>41</v>
      </c>
      <c r="BR344" s="10" t="s">
        <v>58</v>
      </c>
      <c r="BS344" s="43" t="s">
        <v>172</v>
      </c>
      <c r="BU344" s="42"/>
      <c r="BV344" s="34" t="s">
        <v>155</v>
      </c>
      <c r="BW344" s="10" t="s">
        <v>15</v>
      </c>
      <c r="BX344" s="10">
        <v>5</v>
      </c>
      <c r="BY344" s="10" t="s">
        <v>152</v>
      </c>
      <c r="BZ344">
        <v>41</v>
      </c>
      <c r="CA344" s="10">
        <v>1075</v>
      </c>
      <c r="CB344" s="43" t="s">
        <v>189</v>
      </c>
      <c r="CD344" s="42"/>
      <c r="CE344" s="34" t="s">
        <v>155</v>
      </c>
      <c r="CF344" s="10" t="s">
        <v>15</v>
      </c>
      <c r="CG344" s="10">
        <v>5</v>
      </c>
      <c r="CH344" s="10" t="s">
        <v>152</v>
      </c>
      <c r="CI344">
        <v>41</v>
      </c>
      <c r="CJ344" s="10">
        <v>1078</v>
      </c>
      <c r="CK344" s="43" t="s">
        <v>189</v>
      </c>
    </row>
    <row r="345" spans="1:89" x14ac:dyDescent="0.25">
      <c r="A345" s="42"/>
      <c r="B345" s="34" t="s">
        <v>155</v>
      </c>
      <c r="C345" s="10" t="s">
        <v>15</v>
      </c>
      <c r="D345" s="10">
        <v>6</v>
      </c>
      <c r="E345" s="10" t="s">
        <v>152</v>
      </c>
      <c r="F345">
        <v>42</v>
      </c>
      <c r="G345" s="10">
        <v>1067</v>
      </c>
      <c r="H345" s="43" t="s">
        <v>180</v>
      </c>
      <c r="J345" s="42"/>
      <c r="K345" s="34" t="s">
        <v>155</v>
      </c>
      <c r="L345" s="10" t="s">
        <v>15</v>
      </c>
      <c r="M345" s="10">
        <v>6</v>
      </c>
      <c r="N345" s="10" t="s">
        <v>152</v>
      </c>
      <c r="O345">
        <v>42</v>
      </c>
      <c r="P345" s="10" t="s">
        <v>112</v>
      </c>
      <c r="Q345" s="43" t="s">
        <v>189</v>
      </c>
      <c r="S345" s="42"/>
      <c r="T345" s="34" t="s">
        <v>155</v>
      </c>
      <c r="U345" s="10" t="s">
        <v>15</v>
      </c>
      <c r="V345" s="10">
        <v>6</v>
      </c>
      <c r="W345" s="10" t="s">
        <v>152</v>
      </c>
      <c r="X345">
        <v>42</v>
      </c>
      <c r="Y345" s="10" t="s">
        <v>428</v>
      </c>
      <c r="Z345" s="43" t="s">
        <v>178</v>
      </c>
      <c r="AB345" s="42"/>
      <c r="AC345" s="34" t="s">
        <v>155</v>
      </c>
      <c r="AD345" s="10" t="s">
        <v>15</v>
      </c>
      <c r="AE345" s="10">
        <v>6</v>
      </c>
      <c r="AF345" s="10" t="s">
        <v>152</v>
      </c>
      <c r="AG345">
        <v>42</v>
      </c>
      <c r="AH345" s="10">
        <v>1069</v>
      </c>
      <c r="AI345" s="43" t="s">
        <v>183</v>
      </c>
      <c r="AK345" s="42"/>
      <c r="AL345" s="34" t="s">
        <v>155</v>
      </c>
      <c r="AM345" s="10" t="s">
        <v>15</v>
      </c>
      <c r="AN345" s="10">
        <v>6</v>
      </c>
      <c r="AO345" s="10" t="s">
        <v>152</v>
      </c>
      <c r="AP345">
        <v>42</v>
      </c>
      <c r="AQ345" s="10" t="s">
        <v>429</v>
      </c>
      <c r="AR345" s="43" t="s">
        <v>183</v>
      </c>
      <c r="AT345" s="42"/>
      <c r="AU345" s="34" t="s">
        <v>155</v>
      </c>
      <c r="AV345" s="10" t="s">
        <v>15</v>
      </c>
      <c r="AW345" s="10">
        <v>6</v>
      </c>
      <c r="AX345" s="10" t="s">
        <v>152</v>
      </c>
      <c r="AY345">
        <v>42</v>
      </c>
      <c r="AZ345" s="10">
        <v>1059</v>
      </c>
      <c r="BA345" s="43" t="s">
        <v>183</v>
      </c>
      <c r="BC345" s="42"/>
      <c r="BD345" s="34" t="s">
        <v>155</v>
      </c>
      <c r="BE345" s="10" t="s">
        <v>15</v>
      </c>
      <c r="BF345" s="10">
        <v>6</v>
      </c>
      <c r="BG345" s="10" t="s">
        <v>152</v>
      </c>
      <c r="BH345">
        <v>42</v>
      </c>
      <c r="BI345" s="10" t="s">
        <v>430</v>
      </c>
      <c r="BJ345" s="43" t="s">
        <v>184</v>
      </c>
      <c r="BL345" s="42"/>
      <c r="BM345" s="34" t="s">
        <v>155</v>
      </c>
      <c r="BN345" s="10" t="s">
        <v>15</v>
      </c>
      <c r="BO345" s="10">
        <v>6</v>
      </c>
      <c r="BP345" s="10" t="s">
        <v>152</v>
      </c>
      <c r="BQ345">
        <v>42</v>
      </c>
      <c r="BR345" s="10" t="s">
        <v>58</v>
      </c>
      <c r="BS345" s="43" t="s">
        <v>162</v>
      </c>
      <c r="BU345" s="42"/>
      <c r="BV345" s="34" t="s">
        <v>155</v>
      </c>
      <c r="BW345" s="10" t="s">
        <v>15</v>
      </c>
      <c r="BX345" s="10">
        <v>6</v>
      </c>
      <c r="BY345" s="10" t="s">
        <v>152</v>
      </c>
      <c r="BZ345">
        <v>42</v>
      </c>
      <c r="CA345" s="10" t="s">
        <v>49</v>
      </c>
      <c r="CB345" s="43" t="s">
        <v>160</v>
      </c>
      <c r="CD345" s="42"/>
      <c r="CE345" s="34" t="s">
        <v>155</v>
      </c>
      <c r="CF345" s="10" t="s">
        <v>15</v>
      </c>
      <c r="CG345" s="10">
        <v>6</v>
      </c>
      <c r="CH345" s="10" t="s">
        <v>152</v>
      </c>
      <c r="CI345">
        <v>42</v>
      </c>
      <c r="CJ345" s="10">
        <v>1079</v>
      </c>
      <c r="CK345" s="43" t="s">
        <v>160</v>
      </c>
    </row>
    <row r="346" spans="1:89" ht="15.75" thickBot="1" x14ac:dyDescent="0.3">
      <c r="A346" s="42"/>
      <c r="B346" s="34" t="s">
        <v>155</v>
      </c>
      <c r="C346" s="10" t="s">
        <v>15</v>
      </c>
      <c r="D346" s="10">
        <v>7</v>
      </c>
      <c r="E346" s="10" t="s">
        <v>152</v>
      </c>
      <c r="F346">
        <v>43</v>
      </c>
      <c r="G346" s="10">
        <v>1067</v>
      </c>
      <c r="H346" s="43" t="s">
        <v>181</v>
      </c>
      <c r="J346" s="42"/>
      <c r="K346" s="34" t="s">
        <v>155</v>
      </c>
      <c r="L346" s="10" t="s">
        <v>15</v>
      </c>
      <c r="M346" s="10">
        <v>7</v>
      </c>
      <c r="N346" s="10" t="s">
        <v>152</v>
      </c>
      <c r="O346">
        <v>43</v>
      </c>
      <c r="P346" s="10">
        <v>1060</v>
      </c>
      <c r="Q346" s="51" t="s">
        <v>160</v>
      </c>
      <c r="S346" s="42"/>
      <c r="T346" s="34" t="s">
        <v>155</v>
      </c>
      <c r="U346" s="10" t="s">
        <v>15</v>
      </c>
      <c r="V346" s="10">
        <v>7</v>
      </c>
      <c r="W346" s="10" t="s">
        <v>152</v>
      </c>
      <c r="X346">
        <v>43</v>
      </c>
      <c r="Y346" s="10" t="s">
        <v>431</v>
      </c>
      <c r="Z346" s="43" t="s">
        <v>163</v>
      </c>
      <c r="AB346" s="42"/>
      <c r="AC346" s="34" t="s">
        <v>155</v>
      </c>
      <c r="AD346" s="10" t="s">
        <v>15</v>
      </c>
      <c r="AE346" s="10">
        <v>7</v>
      </c>
      <c r="AF346" s="10" t="s">
        <v>152</v>
      </c>
      <c r="AG346">
        <v>43</v>
      </c>
      <c r="AH346" s="10">
        <v>1069</v>
      </c>
      <c r="AI346" s="43" t="s">
        <v>186</v>
      </c>
      <c r="AK346" s="42"/>
      <c r="AL346" s="34" t="s">
        <v>155</v>
      </c>
      <c r="AM346" s="10" t="s">
        <v>15</v>
      </c>
      <c r="AN346" s="10">
        <v>7</v>
      </c>
      <c r="AO346" s="10" t="s">
        <v>152</v>
      </c>
      <c r="AP346">
        <v>43</v>
      </c>
      <c r="AQ346" s="10" t="s">
        <v>432</v>
      </c>
      <c r="AR346" s="43" t="s">
        <v>186</v>
      </c>
      <c r="AT346" s="42"/>
      <c r="AU346" s="34" t="s">
        <v>155</v>
      </c>
      <c r="AV346" s="10" t="s">
        <v>15</v>
      </c>
      <c r="AW346" s="10">
        <v>7</v>
      </c>
      <c r="AX346" s="10" t="s">
        <v>152</v>
      </c>
      <c r="AY346">
        <v>43</v>
      </c>
      <c r="AZ346" s="10">
        <v>1059</v>
      </c>
      <c r="BA346" s="43" t="s">
        <v>186</v>
      </c>
      <c r="BC346" s="42"/>
      <c r="BD346" s="34" t="s">
        <v>155</v>
      </c>
      <c r="BE346" s="10" t="s">
        <v>15</v>
      </c>
      <c r="BF346" s="10">
        <v>7</v>
      </c>
      <c r="BG346" s="10" t="s">
        <v>152</v>
      </c>
      <c r="BH346">
        <v>43</v>
      </c>
      <c r="BI346" s="10" t="s">
        <v>433</v>
      </c>
      <c r="BJ346" s="43" t="s">
        <v>187</v>
      </c>
      <c r="BL346" s="42"/>
      <c r="BM346" s="34" t="s">
        <v>155</v>
      </c>
      <c r="BN346" s="10" t="s">
        <v>15</v>
      </c>
      <c r="BO346" s="10">
        <v>7</v>
      </c>
      <c r="BP346" s="10" t="s">
        <v>152</v>
      </c>
      <c r="BQ346">
        <v>43</v>
      </c>
      <c r="BR346" s="10" t="s">
        <v>58</v>
      </c>
      <c r="BS346" s="43" t="s">
        <v>170</v>
      </c>
      <c r="BU346" s="42"/>
      <c r="BV346" s="34" t="s">
        <v>155</v>
      </c>
      <c r="BW346" s="10" t="s">
        <v>15</v>
      </c>
      <c r="BX346" s="10">
        <v>7</v>
      </c>
      <c r="BY346" s="10" t="s">
        <v>152</v>
      </c>
      <c r="BZ346">
        <v>43</v>
      </c>
      <c r="CA346" s="10" t="s">
        <v>49</v>
      </c>
      <c r="CB346" s="43" t="s">
        <v>168</v>
      </c>
      <c r="CD346" s="42"/>
      <c r="CE346" s="34" t="s">
        <v>155</v>
      </c>
      <c r="CF346" s="10" t="s">
        <v>15</v>
      </c>
      <c r="CG346" s="10">
        <v>7</v>
      </c>
      <c r="CH346" s="10" t="s">
        <v>152</v>
      </c>
      <c r="CI346">
        <v>43</v>
      </c>
      <c r="CJ346" s="10">
        <v>1079</v>
      </c>
      <c r="CK346" s="43" t="s">
        <v>168</v>
      </c>
    </row>
    <row r="347" spans="1:89" x14ac:dyDescent="0.25">
      <c r="A347" s="42"/>
      <c r="B347" s="34" t="s">
        <v>155</v>
      </c>
      <c r="C347" s="10" t="s">
        <v>15</v>
      </c>
      <c r="D347" s="10">
        <v>8</v>
      </c>
      <c r="E347" s="10" t="s">
        <v>152</v>
      </c>
      <c r="F347">
        <v>44</v>
      </c>
      <c r="G347" s="10">
        <v>1067</v>
      </c>
      <c r="H347" s="43" t="s">
        <v>183</v>
      </c>
      <c r="J347" s="42"/>
      <c r="K347" s="34" t="s">
        <v>155</v>
      </c>
      <c r="L347" s="10" t="s">
        <v>15</v>
      </c>
      <c r="M347" s="10">
        <v>8</v>
      </c>
      <c r="N347" s="10" t="s">
        <v>152</v>
      </c>
      <c r="O347">
        <v>44</v>
      </c>
      <c r="P347" s="10">
        <v>1060</v>
      </c>
      <c r="Q347" s="43" t="s">
        <v>168</v>
      </c>
      <c r="S347" s="42"/>
      <c r="T347" s="34" t="s">
        <v>155</v>
      </c>
      <c r="U347" s="10" t="s">
        <v>15</v>
      </c>
      <c r="V347" s="10">
        <v>8</v>
      </c>
      <c r="W347" s="10" t="s">
        <v>152</v>
      </c>
      <c r="X347">
        <v>44</v>
      </c>
      <c r="Y347" s="10" t="s">
        <v>434</v>
      </c>
      <c r="Z347" s="43" t="s">
        <v>171</v>
      </c>
      <c r="AB347" s="42"/>
      <c r="AC347" s="34" t="s">
        <v>155</v>
      </c>
      <c r="AD347" s="10" t="s">
        <v>15</v>
      </c>
      <c r="AE347" s="10">
        <v>8</v>
      </c>
      <c r="AF347" s="10" t="s">
        <v>152</v>
      </c>
      <c r="AG347">
        <v>44</v>
      </c>
      <c r="AH347" s="10">
        <v>1069</v>
      </c>
      <c r="AI347" s="43" t="s">
        <v>188</v>
      </c>
      <c r="AK347" s="42"/>
      <c r="AL347" s="34" t="s">
        <v>155</v>
      </c>
      <c r="AM347" s="10" t="s">
        <v>15</v>
      </c>
      <c r="AN347" s="10">
        <v>8</v>
      </c>
      <c r="AO347" s="10" t="s">
        <v>152</v>
      </c>
      <c r="AP347">
        <v>44</v>
      </c>
      <c r="AQ347" s="10" t="s">
        <v>435</v>
      </c>
      <c r="AR347" s="43" t="s">
        <v>188</v>
      </c>
      <c r="AT347" s="42"/>
      <c r="AU347" s="34" t="s">
        <v>155</v>
      </c>
      <c r="AV347" s="10" t="s">
        <v>15</v>
      </c>
      <c r="AW347" s="10">
        <v>8</v>
      </c>
      <c r="AX347" s="10" t="s">
        <v>152</v>
      </c>
      <c r="AY347">
        <v>44</v>
      </c>
      <c r="AZ347" s="10">
        <v>1059</v>
      </c>
      <c r="BA347" s="43" t="s">
        <v>188</v>
      </c>
      <c r="BC347" s="42"/>
      <c r="BD347" s="34" t="s">
        <v>155</v>
      </c>
      <c r="BE347" s="10" t="s">
        <v>15</v>
      </c>
      <c r="BF347" s="10">
        <v>8</v>
      </c>
      <c r="BG347" s="10" t="s">
        <v>152</v>
      </c>
      <c r="BH347">
        <v>44</v>
      </c>
      <c r="BI347" s="10" t="s">
        <v>436</v>
      </c>
      <c r="BJ347" s="43" t="s">
        <v>189</v>
      </c>
      <c r="BL347" s="42"/>
      <c r="BM347" s="34" t="s">
        <v>155</v>
      </c>
      <c r="BN347" s="10" t="s">
        <v>15</v>
      </c>
      <c r="BO347" s="10">
        <v>8</v>
      </c>
      <c r="BP347" s="10" t="s">
        <v>152</v>
      </c>
      <c r="BQ347">
        <v>44</v>
      </c>
      <c r="BR347" s="10" t="s">
        <v>58</v>
      </c>
      <c r="BS347" s="33" t="s">
        <v>178</v>
      </c>
      <c r="BU347" s="42"/>
      <c r="BV347" s="34" t="s">
        <v>155</v>
      </c>
      <c r="BW347" s="10" t="s">
        <v>15</v>
      </c>
      <c r="BX347" s="10">
        <v>8</v>
      </c>
      <c r="BY347" s="10" t="s">
        <v>152</v>
      </c>
      <c r="BZ347">
        <v>44</v>
      </c>
      <c r="CA347" s="10" t="s">
        <v>49</v>
      </c>
      <c r="CB347" s="43" t="s">
        <v>176</v>
      </c>
      <c r="CD347" s="42"/>
      <c r="CE347" s="34" t="s">
        <v>155</v>
      </c>
      <c r="CF347" s="10" t="s">
        <v>15</v>
      </c>
      <c r="CG347" s="10">
        <v>8</v>
      </c>
      <c r="CH347" s="10" t="s">
        <v>152</v>
      </c>
      <c r="CI347">
        <v>44</v>
      </c>
      <c r="CJ347" s="10">
        <v>1079</v>
      </c>
      <c r="CK347" s="43" t="s">
        <v>176</v>
      </c>
    </row>
    <row r="348" spans="1:89" ht="15.75" thickBot="1" x14ac:dyDescent="0.3">
      <c r="A348" s="42"/>
      <c r="B348" s="34" t="s">
        <v>155</v>
      </c>
      <c r="C348" s="10" t="s">
        <v>15</v>
      </c>
      <c r="D348" s="10">
        <v>9</v>
      </c>
      <c r="E348" s="10" t="s">
        <v>152</v>
      </c>
      <c r="F348">
        <v>45</v>
      </c>
      <c r="G348" s="10">
        <v>1067</v>
      </c>
      <c r="H348" s="43" t="s">
        <v>186</v>
      </c>
      <c r="J348" s="42"/>
      <c r="K348" s="34" t="s">
        <v>155</v>
      </c>
      <c r="L348" s="10" t="s">
        <v>15</v>
      </c>
      <c r="M348" s="10">
        <v>9</v>
      </c>
      <c r="N348" s="10" t="s">
        <v>152</v>
      </c>
      <c r="O348">
        <v>45</v>
      </c>
      <c r="P348" s="10">
        <v>1060</v>
      </c>
      <c r="Q348" s="43" t="s">
        <v>176</v>
      </c>
      <c r="S348" s="42"/>
      <c r="T348" s="34" t="s">
        <v>155</v>
      </c>
      <c r="U348" s="10" t="s">
        <v>15</v>
      </c>
      <c r="V348" s="10">
        <v>9</v>
      </c>
      <c r="W348" s="10" t="s">
        <v>152</v>
      </c>
      <c r="X348">
        <v>45</v>
      </c>
      <c r="Y348" s="10" t="s">
        <v>437</v>
      </c>
      <c r="Z348" s="43" t="s">
        <v>161</v>
      </c>
      <c r="AB348" s="42"/>
      <c r="AC348" s="34" t="s">
        <v>155</v>
      </c>
      <c r="AD348" s="10" t="s">
        <v>15</v>
      </c>
      <c r="AE348" s="10">
        <v>9</v>
      </c>
      <c r="AF348" s="10" t="s">
        <v>152</v>
      </c>
      <c r="AG348">
        <v>45</v>
      </c>
      <c r="AH348" s="10">
        <v>1069</v>
      </c>
      <c r="AI348" s="43" t="s">
        <v>182</v>
      </c>
      <c r="AK348" s="42"/>
      <c r="AL348" s="34" t="s">
        <v>155</v>
      </c>
      <c r="AM348" s="10" t="s">
        <v>15</v>
      </c>
      <c r="AN348" s="10">
        <v>9</v>
      </c>
      <c r="AO348" s="10" t="s">
        <v>152</v>
      </c>
      <c r="AP348">
        <v>45</v>
      </c>
      <c r="AQ348" s="10" t="s">
        <v>438</v>
      </c>
      <c r="AR348" s="43" t="s">
        <v>182</v>
      </c>
      <c r="AT348" s="42"/>
      <c r="AU348" s="34" t="s">
        <v>155</v>
      </c>
      <c r="AV348" s="10" t="s">
        <v>15</v>
      </c>
      <c r="AW348" s="10">
        <v>9</v>
      </c>
      <c r="AX348" s="10" t="s">
        <v>152</v>
      </c>
      <c r="AY348">
        <v>45</v>
      </c>
      <c r="AZ348" s="10">
        <v>1059</v>
      </c>
      <c r="BA348" s="43" t="s">
        <v>182</v>
      </c>
      <c r="BC348" s="42"/>
      <c r="BD348" s="34" t="s">
        <v>155</v>
      </c>
      <c r="BE348" s="10" t="s">
        <v>15</v>
      </c>
      <c r="BF348" s="10">
        <v>9</v>
      </c>
      <c r="BG348" s="10" t="s">
        <v>152</v>
      </c>
      <c r="BH348">
        <v>45</v>
      </c>
      <c r="BI348" s="10">
        <v>1070</v>
      </c>
      <c r="BJ348" s="43" t="s">
        <v>160</v>
      </c>
      <c r="BL348" s="42"/>
      <c r="BM348" s="34" t="s">
        <v>155</v>
      </c>
      <c r="BN348" s="10" t="s">
        <v>15</v>
      </c>
      <c r="BO348" s="10">
        <v>9</v>
      </c>
      <c r="BP348" s="10" t="s">
        <v>152</v>
      </c>
      <c r="BQ348">
        <v>45</v>
      </c>
      <c r="BR348" s="10" t="s">
        <v>58</v>
      </c>
      <c r="BS348" s="43" t="s">
        <v>163</v>
      </c>
      <c r="BU348" s="42"/>
      <c r="BV348" s="34" t="s">
        <v>155</v>
      </c>
      <c r="BW348" s="10" t="s">
        <v>15</v>
      </c>
      <c r="BX348" s="10">
        <v>9</v>
      </c>
      <c r="BY348" s="10" t="s">
        <v>152</v>
      </c>
      <c r="BZ348">
        <v>45</v>
      </c>
      <c r="CA348" s="10" t="s">
        <v>49</v>
      </c>
      <c r="CB348" s="43" t="s">
        <v>164</v>
      </c>
      <c r="CD348" s="42"/>
      <c r="CE348" s="34" t="s">
        <v>155</v>
      </c>
      <c r="CF348" s="10" t="s">
        <v>15</v>
      </c>
      <c r="CG348" s="10">
        <v>9</v>
      </c>
      <c r="CH348" s="10" t="s">
        <v>152</v>
      </c>
      <c r="CI348">
        <v>45</v>
      </c>
      <c r="CJ348" s="10">
        <v>1079</v>
      </c>
      <c r="CK348" s="43" t="s">
        <v>164</v>
      </c>
    </row>
    <row r="349" spans="1:89" x14ac:dyDescent="0.25">
      <c r="A349" s="42"/>
      <c r="B349" s="34" t="s">
        <v>155</v>
      </c>
      <c r="C349" s="10" t="s">
        <v>15</v>
      </c>
      <c r="D349" s="10">
        <v>10</v>
      </c>
      <c r="E349" s="10" t="s">
        <v>152</v>
      </c>
      <c r="F349">
        <v>46</v>
      </c>
      <c r="G349" s="10">
        <v>1067</v>
      </c>
      <c r="H349" s="43" t="s">
        <v>188</v>
      </c>
      <c r="J349" s="42"/>
      <c r="K349" s="34" t="s">
        <v>155</v>
      </c>
      <c r="L349" s="10" t="s">
        <v>15</v>
      </c>
      <c r="M349" s="10">
        <v>10</v>
      </c>
      <c r="N349" s="10" t="s">
        <v>152</v>
      </c>
      <c r="O349">
        <v>46</v>
      </c>
      <c r="P349" s="10">
        <v>1060</v>
      </c>
      <c r="Q349" s="43" t="s">
        <v>164</v>
      </c>
      <c r="S349" s="42"/>
      <c r="T349" s="34" t="s">
        <v>155</v>
      </c>
      <c r="U349" s="10" t="s">
        <v>15</v>
      </c>
      <c r="V349" s="10">
        <v>10</v>
      </c>
      <c r="W349" s="10" t="s">
        <v>152</v>
      </c>
      <c r="X349">
        <v>46</v>
      </c>
      <c r="Y349" s="10" t="s">
        <v>439</v>
      </c>
      <c r="Z349" s="33" t="s">
        <v>169</v>
      </c>
      <c r="AB349" s="42"/>
      <c r="AC349" s="34" t="s">
        <v>155</v>
      </c>
      <c r="AD349" s="10" t="s">
        <v>15</v>
      </c>
      <c r="AE349" s="10">
        <v>10</v>
      </c>
      <c r="AF349" s="10" t="s">
        <v>152</v>
      </c>
      <c r="AG349">
        <v>46</v>
      </c>
      <c r="AH349" s="10">
        <v>1069</v>
      </c>
      <c r="AI349" s="43" t="s">
        <v>184</v>
      </c>
      <c r="AK349" s="42"/>
      <c r="AL349" s="34" t="s">
        <v>155</v>
      </c>
      <c r="AM349" s="10" t="s">
        <v>15</v>
      </c>
      <c r="AN349" s="10">
        <v>10</v>
      </c>
      <c r="AO349" s="10" t="s">
        <v>152</v>
      </c>
      <c r="AP349">
        <v>46</v>
      </c>
      <c r="AQ349" s="10" t="s">
        <v>440</v>
      </c>
      <c r="AR349" s="43" t="s">
        <v>184</v>
      </c>
      <c r="AT349" s="42"/>
      <c r="AU349" s="34" t="s">
        <v>155</v>
      </c>
      <c r="AV349" s="10" t="s">
        <v>15</v>
      </c>
      <c r="AW349" s="10">
        <v>10</v>
      </c>
      <c r="AX349" s="10" t="s">
        <v>152</v>
      </c>
      <c r="AY349">
        <v>46</v>
      </c>
      <c r="AZ349" s="10">
        <v>1059</v>
      </c>
      <c r="BA349" s="43" t="s">
        <v>184</v>
      </c>
      <c r="BC349" s="42"/>
      <c r="BD349" s="34" t="s">
        <v>155</v>
      </c>
      <c r="BE349" s="10" t="s">
        <v>15</v>
      </c>
      <c r="BF349" s="10">
        <v>10</v>
      </c>
      <c r="BG349" s="10" t="s">
        <v>152</v>
      </c>
      <c r="BH349">
        <v>46</v>
      </c>
      <c r="BI349" s="10">
        <v>1070</v>
      </c>
      <c r="BJ349" s="43" t="s">
        <v>168</v>
      </c>
      <c r="BL349" s="42"/>
      <c r="BM349" s="34" t="s">
        <v>155</v>
      </c>
      <c r="BN349" s="10" t="s">
        <v>15</v>
      </c>
      <c r="BO349" s="10">
        <v>10</v>
      </c>
      <c r="BP349" s="10" t="s">
        <v>152</v>
      </c>
      <c r="BQ349">
        <v>46</v>
      </c>
      <c r="BR349" s="10" t="s">
        <v>58</v>
      </c>
      <c r="BS349" s="43" t="s">
        <v>171</v>
      </c>
      <c r="BU349" s="42"/>
      <c r="BV349" s="34" t="s">
        <v>155</v>
      </c>
      <c r="BW349" s="10" t="s">
        <v>15</v>
      </c>
      <c r="BX349" s="10">
        <v>10</v>
      </c>
      <c r="BY349" s="10" t="s">
        <v>152</v>
      </c>
      <c r="BZ349">
        <v>46</v>
      </c>
      <c r="CA349" s="10" t="s">
        <v>49</v>
      </c>
      <c r="CB349" s="43" t="s">
        <v>172</v>
      </c>
      <c r="CD349" s="42"/>
      <c r="CE349" s="34" t="s">
        <v>155</v>
      </c>
      <c r="CF349" s="10" t="s">
        <v>15</v>
      </c>
      <c r="CG349" s="10">
        <v>10</v>
      </c>
      <c r="CH349" s="10" t="s">
        <v>152</v>
      </c>
      <c r="CI349">
        <v>46</v>
      </c>
      <c r="CJ349" s="10">
        <v>1079</v>
      </c>
      <c r="CK349" s="43" t="s">
        <v>172</v>
      </c>
    </row>
    <row r="350" spans="1:89" x14ac:dyDescent="0.25">
      <c r="A350" s="42"/>
      <c r="B350" s="34" t="s">
        <v>155</v>
      </c>
      <c r="C350" s="10" t="s">
        <v>15</v>
      </c>
      <c r="D350" s="10">
        <v>11</v>
      </c>
      <c r="E350" s="10" t="s">
        <v>152</v>
      </c>
      <c r="F350">
        <v>47</v>
      </c>
      <c r="G350" s="10">
        <v>1067</v>
      </c>
      <c r="H350" s="51" t="s">
        <v>182</v>
      </c>
      <c r="J350" s="42"/>
      <c r="K350" s="34" t="s">
        <v>155</v>
      </c>
      <c r="L350" s="10" t="s">
        <v>15</v>
      </c>
      <c r="M350" s="10">
        <v>11</v>
      </c>
      <c r="N350" s="10" t="s">
        <v>152</v>
      </c>
      <c r="O350">
        <v>47</v>
      </c>
      <c r="P350" s="10">
        <v>1060</v>
      </c>
      <c r="Q350" s="43" t="s">
        <v>172</v>
      </c>
      <c r="S350" s="42"/>
      <c r="T350" s="34" t="s">
        <v>155</v>
      </c>
      <c r="U350" s="10" t="s">
        <v>15</v>
      </c>
      <c r="V350" s="10">
        <v>11</v>
      </c>
      <c r="W350" s="10" t="s">
        <v>152</v>
      </c>
      <c r="X350">
        <v>47</v>
      </c>
      <c r="Y350" s="10" t="s">
        <v>441</v>
      </c>
      <c r="Z350" s="43" t="s">
        <v>177</v>
      </c>
      <c r="AB350" s="42"/>
      <c r="AC350" s="34" t="s">
        <v>155</v>
      </c>
      <c r="AD350" s="10" t="s">
        <v>15</v>
      </c>
      <c r="AE350" s="10">
        <v>11</v>
      </c>
      <c r="AF350" s="10" t="s">
        <v>152</v>
      </c>
      <c r="AG350">
        <v>47</v>
      </c>
      <c r="AH350" s="10">
        <v>1069</v>
      </c>
      <c r="AI350" s="43" t="s">
        <v>187</v>
      </c>
      <c r="AK350" s="42"/>
      <c r="AL350" s="34" t="s">
        <v>155</v>
      </c>
      <c r="AM350" s="10" t="s">
        <v>15</v>
      </c>
      <c r="AN350" s="10">
        <v>11</v>
      </c>
      <c r="AO350" s="10" t="s">
        <v>152</v>
      </c>
      <c r="AP350">
        <v>47</v>
      </c>
      <c r="AQ350" s="10" t="s">
        <v>442</v>
      </c>
      <c r="AR350" s="43" t="s">
        <v>187</v>
      </c>
      <c r="AT350" s="42"/>
      <c r="AU350" s="34" t="s">
        <v>155</v>
      </c>
      <c r="AV350" s="10" t="s">
        <v>15</v>
      </c>
      <c r="AW350" s="10">
        <v>11</v>
      </c>
      <c r="AX350" s="10" t="s">
        <v>152</v>
      </c>
      <c r="AY350">
        <v>47</v>
      </c>
      <c r="AZ350" s="10">
        <v>1059</v>
      </c>
      <c r="BA350" s="43" t="s">
        <v>187</v>
      </c>
      <c r="BC350" s="42"/>
      <c r="BD350" s="34" t="s">
        <v>155</v>
      </c>
      <c r="BE350" s="10" t="s">
        <v>15</v>
      </c>
      <c r="BF350" s="10">
        <v>11</v>
      </c>
      <c r="BG350" s="10" t="s">
        <v>152</v>
      </c>
      <c r="BH350">
        <v>47</v>
      </c>
      <c r="BI350" s="10">
        <v>1070</v>
      </c>
      <c r="BJ350" s="43" t="s">
        <v>176</v>
      </c>
      <c r="BL350" s="42"/>
      <c r="BM350" s="34" t="s">
        <v>155</v>
      </c>
      <c r="BN350" s="10" t="s">
        <v>15</v>
      </c>
      <c r="BO350" s="10">
        <v>11</v>
      </c>
      <c r="BP350" s="10" t="s">
        <v>152</v>
      </c>
      <c r="BQ350">
        <v>47</v>
      </c>
      <c r="BR350" s="10" t="s">
        <v>58</v>
      </c>
      <c r="BS350" s="43" t="s">
        <v>161</v>
      </c>
      <c r="BU350" s="42"/>
      <c r="BV350" s="34" t="s">
        <v>155</v>
      </c>
      <c r="BW350" s="10" t="s">
        <v>15</v>
      </c>
      <c r="BX350" s="10">
        <v>11</v>
      </c>
      <c r="BY350" s="10" t="s">
        <v>152</v>
      </c>
      <c r="BZ350">
        <v>47</v>
      </c>
      <c r="CA350" s="10" t="s">
        <v>49</v>
      </c>
      <c r="CB350" s="43" t="s">
        <v>162</v>
      </c>
      <c r="CD350" s="42"/>
      <c r="CE350" s="34" t="s">
        <v>155</v>
      </c>
      <c r="CF350" s="10" t="s">
        <v>15</v>
      </c>
      <c r="CG350" s="10">
        <v>11</v>
      </c>
      <c r="CH350" s="10" t="s">
        <v>152</v>
      </c>
      <c r="CI350">
        <v>47</v>
      </c>
      <c r="CJ350" s="10">
        <v>1079</v>
      </c>
      <c r="CK350" s="43" t="s">
        <v>162</v>
      </c>
    </row>
    <row r="351" spans="1:89" ht="15.75" thickBot="1" x14ac:dyDescent="0.3">
      <c r="A351" s="47"/>
      <c r="B351" s="48" t="s">
        <v>155</v>
      </c>
      <c r="C351" s="49" t="s">
        <v>15</v>
      </c>
      <c r="D351" s="49">
        <v>12</v>
      </c>
      <c r="E351" s="49" t="s">
        <v>152</v>
      </c>
      <c r="F351" s="50">
        <v>48</v>
      </c>
      <c r="G351" s="10">
        <v>1067</v>
      </c>
      <c r="H351" s="43" t="s">
        <v>184</v>
      </c>
      <c r="J351" s="47"/>
      <c r="K351" s="48" t="s">
        <v>155</v>
      </c>
      <c r="L351" s="49" t="s">
        <v>15</v>
      </c>
      <c r="M351" s="49">
        <v>12</v>
      </c>
      <c r="N351" s="49" t="s">
        <v>152</v>
      </c>
      <c r="O351" s="50">
        <v>48</v>
      </c>
      <c r="P351" s="10">
        <v>1060</v>
      </c>
      <c r="Q351" s="43" t="s">
        <v>162</v>
      </c>
      <c r="S351" s="47"/>
      <c r="T351" s="48" t="s">
        <v>155</v>
      </c>
      <c r="U351" s="49" t="s">
        <v>15</v>
      </c>
      <c r="V351" s="49">
        <v>12</v>
      </c>
      <c r="W351" s="49" t="s">
        <v>152</v>
      </c>
      <c r="X351" s="50">
        <v>48</v>
      </c>
      <c r="Y351" s="10" t="s">
        <v>443</v>
      </c>
      <c r="Z351" s="43" t="s">
        <v>180</v>
      </c>
      <c r="AB351" s="47"/>
      <c r="AC351" s="48" t="s">
        <v>155</v>
      </c>
      <c r="AD351" s="49" t="s">
        <v>15</v>
      </c>
      <c r="AE351" s="49">
        <v>12</v>
      </c>
      <c r="AF351" s="49" t="s">
        <v>152</v>
      </c>
      <c r="AG351" s="50">
        <v>48</v>
      </c>
      <c r="AH351" s="10">
        <v>1069</v>
      </c>
      <c r="AI351" s="43" t="s">
        <v>189</v>
      </c>
      <c r="AK351" s="47"/>
      <c r="AL351" s="48" t="s">
        <v>155</v>
      </c>
      <c r="AM351" s="49" t="s">
        <v>15</v>
      </c>
      <c r="AN351" s="49">
        <v>12</v>
      </c>
      <c r="AO351" s="49" t="s">
        <v>152</v>
      </c>
      <c r="AP351" s="50">
        <v>48</v>
      </c>
      <c r="AQ351" s="10" t="s">
        <v>444</v>
      </c>
      <c r="AR351" s="43" t="s">
        <v>189</v>
      </c>
      <c r="AT351" s="47"/>
      <c r="AU351" s="48" t="s">
        <v>155</v>
      </c>
      <c r="AV351" s="49" t="s">
        <v>15</v>
      </c>
      <c r="AW351" s="49">
        <v>12</v>
      </c>
      <c r="AX351" s="49" t="s">
        <v>152</v>
      </c>
      <c r="AY351" s="50">
        <v>48</v>
      </c>
      <c r="AZ351" s="10">
        <v>1059</v>
      </c>
      <c r="BA351" s="43" t="s">
        <v>189</v>
      </c>
      <c r="BC351" s="47"/>
      <c r="BD351" s="48" t="s">
        <v>155</v>
      </c>
      <c r="BE351" s="49" t="s">
        <v>15</v>
      </c>
      <c r="BF351" s="49">
        <v>12</v>
      </c>
      <c r="BG351" s="49" t="s">
        <v>152</v>
      </c>
      <c r="BH351" s="50">
        <v>48</v>
      </c>
      <c r="BI351" s="10">
        <v>1070</v>
      </c>
      <c r="BJ351" s="43" t="s">
        <v>164</v>
      </c>
      <c r="BL351" s="47"/>
      <c r="BM351" s="48" t="s">
        <v>155</v>
      </c>
      <c r="BN351" s="49" t="s">
        <v>15</v>
      </c>
      <c r="BO351" s="49">
        <v>12</v>
      </c>
      <c r="BP351" s="49" t="s">
        <v>152</v>
      </c>
      <c r="BQ351" s="50">
        <v>48</v>
      </c>
      <c r="BR351" s="10" t="s">
        <v>58</v>
      </c>
      <c r="BS351" s="43" t="s">
        <v>169</v>
      </c>
      <c r="BU351" s="47"/>
      <c r="BV351" s="48" t="s">
        <v>155</v>
      </c>
      <c r="BW351" s="49" t="s">
        <v>15</v>
      </c>
      <c r="BX351" s="49">
        <v>12</v>
      </c>
      <c r="BY351" s="49" t="s">
        <v>152</v>
      </c>
      <c r="BZ351" s="50">
        <v>48</v>
      </c>
      <c r="CA351" s="10" t="s">
        <v>49</v>
      </c>
      <c r="CB351" s="43" t="s">
        <v>170</v>
      </c>
      <c r="CD351" s="47"/>
      <c r="CE351" s="48" t="s">
        <v>155</v>
      </c>
      <c r="CF351" s="49" t="s">
        <v>15</v>
      </c>
      <c r="CG351" s="49">
        <v>12</v>
      </c>
      <c r="CH351" s="49" t="s">
        <v>152</v>
      </c>
      <c r="CI351" s="50">
        <v>48</v>
      </c>
      <c r="CJ351" s="10">
        <v>1079</v>
      </c>
      <c r="CK351" s="43" t="s">
        <v>170</v>
      </c>
    </row>
    <row r="352" spans="1:89" x14ac:dyDescent="0.25">
      <c r="A352" s="56"/>
      <c r="B352" s="31" t="s">
        <v>155</v>
      </c>
      <c r="C352" s="58" t="s">
        <v>18</v>
      </c>
      <c r="D352" s="58">
        <v>1</v>
      </c>
      <c r="E352" s="58" t="s">
        <v>152</v>
      </c>
      <c r="F352" s="59">
        <v>49</v>
      </c>
      <c r="G352" s="10">
        <v>1067</v>
      </c>
      <c r="H352" s="43" t="s">
        <v>187</v>
      </c>
      <c r="J352" s="56"/>
      <c r="K352" s="31" t="s">
        <v>155</v>
      </c>
      <c r="L352" s="58" t="s">
        <v>18</v>
      </c>
      <c r="M352" s="58">
        <v>1</v>
      </c>
      <c r="N352" s="58" t="s">
        <v>152</v>
      </c>
      <c r="O352" s="59">
        <v>49</v>
      </c>
      <c r="P352" s="10">
        <v>1060</v>
      </c>
      <c r="Q352" s="43" t="s">
        <v>170</v>
      </c>
      <c r="S352" s="56"/>
      <c r="T352" s="31" t="s">
        <v>155</v>
      </c>
      <c r="U352" s="58" t="s">
        <v>18</v>
      </c>
      <c r="V352" s="58">
        <v>1</v>
      </c>
      <c r="W352" s="58" t="s">
        <v>152</v>
      </c>
      <c r="X352" s="59">
        <v>49</v>
      </c>
      <c r="Y352" s="10" t="s">
        <v>445</v>
      </c>
      <c r="Z352" s="43" t="s">
        <v>181</v>
      </c>
      <c r="AB352" s="56"/>
      <c r="AC352" s="31" t="s">
        <v>155</v>
      </c>
      <c r="AD352" s="58" t="s">
        <v>18</v>
      </c>
      <c r="AE352" s="58">
        <v>1</v>
      </c>
      <c r="AF352" s="58" t="s">
        <v>152</v>
      </c>
      <c r="AG352" s="59">
        <v>49</v>
      </c>
      <c r="AH352" s="10">
        <v>3009</v>
      </c>
      <c r="AI352" s="51" t="s">
        <v>160</v>
      </c>
      <c r="AK352" s="56"/>
      <c r="AL352" s="31" t="s">
        <v>155</v>
      </c>
      <c r="AM352" s="58" t="s">
        <v>18</v>
      </c>
      <c r="AN352" s="58">
        <v>1</v>
      </c>
      <c r="AO352" s="58" t="s">
        <v>152</v>
      </c>
      <c r="AP352" s="59">
        <v>49</v>
      </c>
      <c r="AQ352" s="10" t="s">
        <v>446</v>
      </c>
      <c r="AR352" s="51" t="s">
        <v>160</v>
      </c>
      <c r="AT352" s="56"/>
      <c r="AU352" s="31" t="s">
        <v>155</v>
      </c>
      <c r="AV352" s="58" t="s">
        <v>18</v>
      </c>
      <c r="AW352" s="58">
        <v>1</v>
      </c>
      <c r="AX352" s="58" t="s">
        <v>152</v>
      </c>
      <c r="AY352" s="59">
        <v>49</v>
      </c>
      <c r="AZ352" s="10" t="s">
        <v>27</v>
      </c>
      <c r="BA352" s="43" t="s">
        <v>171</v>
      </c>
      <c r="BC352" s="56"/>
      <c r="BD352" s="31" t="s">
        <v>155</v>
      </c>
      <c r="BE352" s="58" t="s">
        <v>18</v>
      </c>
      <c r="BF352" s="58">
        <v>1</v>
      </c>
      <c r="BG352" s="58" t="s">
        <v>152</v>
      </c>
      <c r="BH352" s="59">
        <v>49</v>
      </c>
      <c r="BI352" s="10">
        <v>1070</v>
      </c>
      <c r="BJ352" s="51" t="s">
        <v>172</v>
      </c>
      <c r="BL352" s="56"/>
      <c r="BM352" s="31" t="s">
        <v>155</v>
      </c>
      <c r="BN352" s="58" t="s">
        <v>18</v>
      </c>
      <c r="BO352" s="58">
        <v>1</v>
      </c>
      <c r="BP352" s="58" t="s">
        <v>152</v>
      </c>
      <c r="BQ352" s="59">
        <v>49</v>
      </c>
      <c r="BR352" s="10" t="s">
        <v>58</v>
      </c>
      <c r="BS352" s="43" t="s">
        <v>177</v>
      </c>
      <c r="BU352" s="56"/>
      <c r="BV352" s="31" t="s">
        <v>155</v>
      </c>
      <c r="BW352" s="58" t="s">
        <v>18</v>
      </c>
      <c r="BX352" s="58">
        <v>1</v>
      </c>
      <c r="BY352" s="58" t="s">
        <v>152</v>
      </c>
      <c r="BZ352" s="59">
        <v>49</v>
      </c>
      <c r="CA352" s="10" t="s">
        <v>49</v>
      </c>
      <c r="CB352" s="33" t="s">
        <v>178</v>
      </c>
      <c r="CD352" s="56"/>
      <c r="CE352" s="31" t="s">
        <v>155</v>
      </c>
      <c r="CF352" s="58" t="s">
        <v>18</v>
      </c>
      <c r="CG352" s="58">
        <v>1</v>
      </c>
      <c r="CH352" s="58" t="s">
        <v>152</v>
      </c>
      <c r="CI352" s="59">
        <v>49</v>
      </c>
      <c r="CJ352" s="10">
        <v>1079</v>
      </c>
      <c r="CK352" s="33" t="s">
        <v>178</v>
      </c>
    </row>
    <row r="353" spans="1:89" ht="15.75" thickBot="1" x14ac:dyDescent="0.3">
      <c r="A353" s="42"/>
      <c r="B353" s="34" t="s">
        <v>155</v>
      </c>
      <c r="C353" s="10" t="s">
        <v>18</v>
      </c>
      <c r="D353" s="10">
        <v>2</v>
      </c>
      <c r="E353" s="10" t="s">
        <v>152</v>
      </c>
      <c r="F353">
        <v>50</v>
      </c>
      <c r="G353" s="10">
        <v>1067</v>
      </c>
      <c r="H353" s="43" t="s">
        <v>189</v>
      </c>
      <c r="J353" s="42"/>
      <c r="K353" s="34" t="s">
        <v>155</v>
      </c>
      <c r="L353" s="10" t="s">
        <v>18</v>
      </c>
      <c r="M353" s="10">
        <v>2</v>
      </c>
      <c r="N353" s="10" t="s">
        <v>152</v>
      </c>
      <c r="O353">
        <v>50</v>
      </c>
      <c r="P353" s="10">
        <v>1060</v>
      </c>
      <c r="Q353" s="43" t="s">
        <v>178</v>
      </c>
      <c r="S353" s="42"/>
      <c r="T353" s="34" t="s">
        <v>155</v>
      </c>
      <c r="U353" s="10" t="s">
        <v>18</v>
      </c>
      <c r="V353" s="10">
        <v>2</v>
      </c>
      <c r="W353" s="10" t="s">
        <v>152</v>
      </c>
      <c r="X353">
        <v>50</v>
      </c>
      <c r="Y353" s="10" t="s">
        <v>447</v>
      </c>
      <c r="Z353" s="43" t="s">
        <v>183</v>
      </c>
      <c r="AB353" s="42"/>
      <c r="AC353" s="34" t="s">
        <v>155</v>
      </c>
      <c r="AD353" s="10" t="s">
        <v>18</v>
      </c>
      <c r="AE353" s="10">
        <v>2</v>
      </c>
      <c r="AF353" s="10" t="s">
        <v>152</v>
      </c>
      <c r="AG353">
        <v>50</v>
      </c>
      <c r="AH353" s="10">
        <v>3009</v>
      </c>
      <c r="AI353" s="43" t="s">
        <v>168</v>
      </c>
      <c r="AK353" s="42"/>
      <c r="AL353" s="34" t="s">
        <v>155</v>
      </c>
      <c r="AM353" s="10" t="s">
        <v>18</v>
      </c>
      <c r="AN353" s="10">
        <v>2</v>
      </c>
      <c r="AO353" s="10" t="s">
        <v>152</v>
      </c>
      <c r="AP353">
        <v>50</v>
      </c>
      <c r="AQ353" s="10" t="s">
        <v>448</v>
      </c>
      <c r="AR353" s="43" t="s">
        <v>168</v>
      </c>
      <c r="AT353" s="42"/>
      <c r="AU353" s="34" t="s">
        <v>155</v>
      </c>
      <c r="AV353" s="10" t="s">
        <v>18</v>
      </c>
      <c r="AW353" s="10">
        <v>2</v>
      </c>
      <c r="AX353" s="10" t="s">
        <v>152</v>
      </c>
      <c r="AY353">
        <v>50</v>
      </c>
      <c r="AZ353" s="10" t="s">
        <v>32</v>
      </c>
      <c r="BA353" s="43" t="s">
        <v>161</v>
      </c>
      <c r="BC353" s="42"/>
      <c r="BD353" s="34" t="s">
        <v>155</v>
      </c>
      <c r="BE353" s="10" t="s">
        <v>18</v>
      </c>
      <c r="BF353" s="10">
        <v>2</v>
      </c>
      <c r="BG353" s="10" t="s">
        <v>152</v>
      </c>
      <c r="BH353">
        <v>50</v>
      </c>
      <c r="BI353" s="10">
        <v>1070</v>
      </c>
      <c r="BJ353" s="43" t="s">
        <v>162</v>
      </c>
      <c r="BL353" s="42"/>
      <c r="BM353" s="34" t="s">
        <v>155</v>
      </c>
      <c r="BN353" s="10" t="s">
        <v>18</v>
      </c>
      <c r="BO353" s="10">
        <v>2</v>
      </c>
      <c r="BP353" s="10" t="s">
        <v>152</v>
      </c>
      <c r="BQ353">
        <v>50</v>
      </c>
      <c r="BR353" s="10" t="s">
        <v>58</v>
      </c>
      <c r="BS353" s="43" t="s">
        <v>180</v>
      </c>
      <c r="BU353" s="42"/>
      <c r="BV353" s="34" t="s">
        <v>155</v>
      </c>
      <c r="BW353" s="10" t="s">
        <v>18</v>
      </c>
      <c r="BX353" s="10">
        <v>2</v>
      </c>
      <c r="BY353" s="10" t="s">
        <v>152</v>
      </c>
      <c r="BZ353">
        <v>50</v>
      </c>
      <c r="CA353" s="10" t="s">
        <v>49</v>
      </c>
      <c r="CB353" s="43" t="s">
        <v>163</v>
      </c>
      <c r="CD353" s="42"/>
      <c r="CE353" s="34" t="s">
        <v>155</v>
      </c>
      <c r="CF353" s="10" t="s">
        <v>18</v>
      </c>
      <c r="CG353" s="10">
        <v>2</v>
      </c>
      <c r="CH353" s="10" t="s">
        <v>152</v>
      </c>
      <c r="CI353">
        <v>50</v>
      </c>
      <c r="CJ353" s="10">
        <v>1079</v>
      </c>
      <c r="CK353" s="43" t="s">
        <v>163</v>
      </c>
    </row>
    <row r="354" spans="1:89" x14ac:dyDescent="0.25">
      <c r="A354" s="42"/>
      <c r="B354" s="34" t="s">
        <v>155</v>
      </c>
      <c r="C354" s="10" t="s">
        <v>18</v>
      </c>
      <c r="D354" s="10">
        <v>3</v>
      </c>
      <c r="E354" s="10" t="s">
        <v>152</v>
      </c>
      <c r="F354">
        <v>51</v>
      </c>
      <c r="G354" s="10" t="s">
        <v>122</v>
      </c>
      <c r="H354" s="43" t="s">
        <v>160</v>
      </c>
      <c r="J354" s="42"/>
      <c r="K354" s="34" t="s">
        <v>155</v>
      </c>
      <c r="L354" s="10" t="s">
        <v>18</v>
      </c>
      <c r="M354" s="10">
        <v>3</v>
      </c>
      <c r="N354" s="10" t="s">
        <v>152</v>
      </c>
      <c r="O354">
        <v>51</v>
      </c>
      <c r="P354" s="10">
        <v>1060</v>
      </c>
      <c r="Q354" s="43" t="s">
        <v>163</v>
      </c>
      <c r="S354" s="42"/>
      <c r="T354" s="34" t="s">
        <v>155</v>
      </c>
      <c r="U354" s="10" t="s">
        <v>18</v>
      </c>
      <c r="V354" s="10">
        <v>3</v>
      </c>
      <c r="W354" s="10" t="s">
        <v>152</v>
      </c>
      <c r="X354">
        <v>51</v>
      </c>
      <c r="Y354" s="10" t="s">
        <v>449</v>
      </c>
      <c r="Z354" s="43" t="s">
        <v>186</v>
      </c>
      <c r="AB354" s="42"/>
      <c r="AC354" s="34" t="s">
        <v>155</v>
      </c>
      <c r="AD354" s="10" t="s">
        <v>18</v>
      </c>
      <c r="AE354" s="10">
        <v>3</v>
      </c>
      <c r="AF354" s="10" t="s">
        <v>152</v>
      </c>
      <c r="AG354">
        <v>51</v>
      </c>
      <c r="AH354" s="10">
        <v>3009</v>
      </c>
      <c r="AI354" s="43" t="s">
        <v>176</v>
      </c>
      <c r="AK354" s="42"/>
      <c r="AL354" s="34" t="s">
        <v>155</v>
      </c>
      <c r="AM354" s="10" t="s">
        <v>18</v>
      </c>
      <c r="AN354" s="10">
        <v>3</v>
      </c>
      <c r="AO354" s="10" t="s">
        <v>152</v>
      </c>
      <c r="AP354">
        <v>51</v>
      </c>
      <c r="AQ354" s="10" t="s">
        <v>450</v>
      </c>
      <c r="AR354" s="43" t="s">
        <v>176</v>
      </c>
      <c r="AT354" s="42"/>
      <c r="AU354" s="34" t="s">
        <v>155</v>
      </c>
      <c r="AV354" s="10" t="s">
        <v>18</v>
      </c>
      <c r="AW354" s="10">
        <v>3</v>
      </c>
      <c r="AX354" s="10" t="s">
        <v>152</v>
      </c>
      <c r="AY354">
        <v>51</v>
      </c>
      <c r="AZ354" s="10" t="s">
        <v>37</v>
      </c>
      <c r="BA354" s="33" t="s">
        <v>169</v>
      </c>
      <c r="BC354" s="42"/>
      <c r="BD354" s="34" t="s">
        <v>155</v>
      </c>
      <c r="BE354" s="10" t="s">
        <v>18</v>
      </c>
      <c r="BF354" s="10">
        <v>3</v>
      </c>
      <c r="BG354" s="10" t="s">
        <v>152</v>
      </c>
      <c r="BH354">
        <v>51</v>
      </c>
      <c r="BI354" s="10">
        <v>1070</v>
      </c>
      <c r="BJ354" s="43" t="s">
        <v>170</v>
      </c>
      <c r="BL354" s="42"/>
      <c r="BM354" s="34" t="s">
        <v>155</v>
      </c>
      <c r="BN354" s="10" t="s">
        <v>18</v>
      </c>
      <c r="BO354" s="10">
        <v>3</v>
      </c>
      <c r="BP354" s="10" t="s">
        <v>152</v>
      </c>
      <c r="BQ354">
        <v>51</v>
      </c>
      <c r="BR354" s="10" t="s">
        <v>58</v>
      </c>
      <c r="BS354" s="43" t="s">
        <v>181</v>
      </c>
      <c r="BU354" s="42"/>
      <c r="BV354" s="34" t="s">
        <v>155</v>
      </c>
      <c r="BW354" s="10" t="s">
        <v>18</v>
      </c>
      <c r="BX354" s="10">
        <v>3</v>
      </c>
      <c r="BY354" s="10" t="s">
        <v>152</v>
      </c>
      <c r="BZ354">
        <v>51</v>
      </c>
      <c r="CA354" s="10" t="s">
        <v>49</v>
      </c>
      <c r="CB354" s="43" t="s">
        <v>171</v>
      </c>
      <c r="CD354" s="42"/>
      <c r="CE354" s="34" t="s">
        <v>155</v>
      </c>
      <c r="CF354" s="10" t="s">
        <v>18</v>
      </c>
      <c r="CG354" s="10">
        <v>3</v>
      </c>
      <c r="CH354" s="10" t="s">
        <v>152</v>
      </c>
      <c r="CI354">
        <v>51</v>
      </c>
      <c r="CJ354" s="10">
        <v>1079</v>
      </c>
      <c r="CK354" s="43" t="s">
        <v>171</v>
      </c>
    </row>
    <row r="355" spans="1:89" x14ac:dyDescent="0.25">
      <c r="A355" s="42"/>
      <c r="B355" s="34" t="s">
        <v>155</v>
      </c>
      <c r="C355" s="10" t="s">
        <v>18</v>
      </c>
      <c r="D355" s="10">
        <v>4</v>
      </c>
      <c r="E355" s="10" t="s">
        <v>152</v>
      </c>
      <c r="F355">
        <v>52</v>
      </c>
      <c r="G355" s="10" t="s">
        <v>122</v>
      </c>
      <c r="H355" s="51" t="s">
        <v>168</v>
      </c>
      <c r="J355" s="42"/>
      <c r="K355" s="34" t="s">
        <v>155</v>
      </c>
      <c r="L355" s="10" t="s">
        <v>18</v>
      </c>
      <c r="M355" s="10">
        <v>4</v>
      </c>
      <c r="N355" s="10" t="s">
        <v>152</v>
      </c>
      <c r="O355">
        <v>52</v>
      </c>
      <c r="P355" s="10">
        <v>1060</v>
      </c>
      <c r="Q355" s="51" t="s">
        <v>171</v>
      </c>
      <c r="S355" s="42"/>
      <c r="T355" s="34" t="s">
        <v>155</v>
      </c>
      <c r="U355" s="10" t="s">
        <v>18</v>
      </c>
      <c r="V355" s="10">
        <v>4</v>
      </c>
      <c r="W355" s="10" t="s">
        <v>152</v>
      </c>
      <c r="X355">
        <v>52</v>
      </c>
      <c r="Y355" s="10" t="s">
        <v>451</v>
      </c>
      <c r="Z355" s="43" t="s">
        <v>188</v>
      </c>
      <c r="AB355" s="42"/>
      <c r="AC355" s="34" t="s">
        <v>155</v>
      </c>
      <c r="AD355" s="10" t="s">
        <v>18</v>
      </c>
      <c r="AE355" s="10">
        <v>4</v>
      </c>
      <c r="AF355" s="10" t="s">
        <v>152</v>
      </c>
      <c r="AG355">
        <v>52</v>
      </c>
      <c r="AH355" s="10">
        <v>3009</v>
      </c>
      <c r="AI355" s="43" t="s">
        <v>164</v>
      </c>
      <c r="AK355" s="42"/>
      <c r="AL355" s="34" t="s">
        <v>155</v>
      </c>
      <c r="AM355" s="10" t="s">
        <v>18</v>
      </c>
      <c r="AN355" s="10">
        <v>4</v>
      </c>
      <c r="AO355" s="10" t="s">
        <v>152</v>
      </c>
      <c r="AP355">
        <v>52</v>
      </c>
      <c r="AQ355" s="10" t="s">
        <v>452</v>
      </c>
      <c r="AR355" s="43" t="s">
        <v>164</v>
      </c>
      <c r="AT355" s="42"/>
      <c r="AU355" s="34" t="s">
        <v>155</v>
      </c>
      <c r="AV355" s="10" t="s">
        <v>18</v>
      </c>
      <c r="AW355" s="10">
        <v>4</v>
      </c>
      <c r="AX355" s="10" t="s">
        <v>152</v>
      </c>
      <c r="AY355">
        <v>52</v>
      </c>
      <c r="AZ355" s="10" t="s">
        <v>42</v>
      </c>
      <c r="BA355" s="43" t="s">
        <v>177</v>
      </c>
      <c r="BC355" s="42"/>
      <c r="BD355" s="34" t="s">
        <v>155</v>
      </c>
      <c r="BE355" s="10" t="s">
        <v>18</v>
      </c>
      <c r="BF355" s="10">
        <v>4</v>
      </c>
      <c r="BG355" s="10" t="s">
        <v>152</v>
      </c>
      <c r="BH355">
        <v>52</v>
      </c>
      <c r="BI355" s="10">
        <v>1070</v>
      </c>
      <c r="BJ355" s="43" t="s">
        <v>178</v>
      </c>
      <c r="BL355" s="42"/>
      <c r="BM355" s="34" t="s">
        <v>155</v>
      </c>
      <c r="BN355" s="10" t="s">
        <v>18</v>
      </c>
      <c r="BO355" s="10">
        <v>4</v>
      </c>
      <c r="BP355" s="10" t="s">
        <v>152</v>
      </c>
      <c r="BQ355">
        <v>52</v>
      </c>
      <c r="BR355" s="10" t="s">
        <v>58</v>
      </c>
      <c r="BS355" s="43" t="s">
        <v>183</v>
      </c>
      <c r="BU355" s="42"/>
      <c r="BV355" s="34" t="s">
        <v>155</v>
      </c>
      <c r="BW355" s="10" t="s">
        <v>18</v>
      </c>
      <c r="BX355" s="10">
        <v>4</v>
      </c>
      <c r="BY355" s="10" t="s">
        <v>152</v>
      </c>
      <c r="BZ355">
        <v>52</v>
      </c>
      <c r="CA355" s="10" t="s">
        <v>49</v>
      </c>
      <c r="CB355" s="43" t="s">
        <v>161</v>
      </c>
      <c r="CD355" s="42"/>
      <c r="CE355" s="34" t="s">
        <v>155</v>
      </c>
      <c r="CF355" s="10" t="s">
        <v>18</v>
      </c>
      <c r="CG355" s="10">
        <v>4</v>
      </c>
      <c r="CH355" s="10" t="s">
        <v>152</v>
      </c>
      <c r="CI355">
        <v>52</v>
      </c>
      <c r="CJ355" s="10">
        <v>1079</v>
      </c>
      <c r="CK355" s="43" t="s">
        <v>161</v>
      </c>
    </row>
    <row r="356" spans="1:89" x14ac:dyDescent="0.25">
      <c r="A356" s="42"/>
      <c r="B356" s="34" t="s">
        <v>155</v>
      </c>
      <c r="C356" s="10" t="s">
        <v>18</v>
      </c>
      <c r="D356" s="10">
        <v>5</v>
      </c>
      <c r="E356" s="10" t="s">
        <v>152</v>
      </c>
      <c r="F356">
        <v>53</v>
      </c>
      <c r="G356" s="10" t="s">
        <v>122</v>
      </c>
      <c r="H356" s="43" t="s">
        <v>176</v>
      </c>
      <c r="J356" s="42"/>
      <c r="K356" s="34" t="s">
        <v>155</v>
      </c>
      <c r="L356" s="10" t="s">
        <v>18</v>
      </c>
      <c r="M356" s="10">
        <v>5</v>
      </c>
      <c r="N356" s="10" t="s">
        <v>152</v>
      </c>
      <c r="O356">
        <v>53</v>
      </c>
      <c r="P356" s="10">
        <v>1060</v>
      </c>
      <c r="Q356" s="43" t="s">
        <v>161</v>
      </c>
      <c r="S356" s="42"/>
      <c r="T356" s="34" t="s">
        <v>155</v>
      </c>
      <c r="U356" s="10" t="s">
        <v>18</v>
      </c>
      <c r="V356" s="10">
        <v>5</v>
      </c>
      <c r="W356" s="10" t="s">
        <v>152</v>
      </c>
      <c r="X356">
        <v>53</v>
      </c>
      <c r="Y356" s="10" t="s">
        <v>453</v>
      </c>
      <c r="Z356" s="43" t="s">
        <v>182</v>
      </c>
      <c r="AB356" s="42"/>
      <c r="AC356" s="34" t="s">
        <v>155</v>
      </c>
      <c r="AD356" s="10" t="s">
        <v>18</v>
      </c>
      <c r="AE356" s="10">
        <v>5</v>
      </c>
      <c r="AF356" s="10" t="s">
        <v>152</v>
      </c>
      <c r="AG356">
        <v>53</v>
      </c>
      <c r="AH356" s="10">
        <v>3009</v>
      </c>
      <c r="AI356" s="43" t="s">
        <v>172</v>
      </c>
      <c r="AK356" s="42"/>
      <c r="AL356" s="34" t="s">
        <v>155</v>
      </c>
      <c r="AM356" s="10" t="s">
        <v>18</v>
      </c>
      <c r="AN356" s="10">
        <v>5</v>
      </c>
      <c r="AO356" s="10" t="s">
        <v>152</v>
      </c>
      <c r="AP356">
        <v>53</v>
      </c>
      <c r="AQ356" s="10" t="s">
        <v>454</v>
      </c>
      <c r="AR356" s="43" t="s">
        <v>172</v>
      </c>
      <c r="AT356" s="42"/>
      <c r="AU356" s="34" t="s">
        <v>155</v>
      </c>
      <c r="AV356" s="10" t="s">
        <v>18</v>
      </c>
      <c r="AW356" s="10">
        <v>5</v>
      </c>
      <c r="AX356" s="10" t="s">
        <v>152</v>
      </c>
      <c r="AY356">
        <v>53</v>
      </c>
      <c r="AZ356" s="10" t="s">
        <v>455</v>
      </c>
      <c r="BA356" s="43" t="s">
        <v>180</v>
      </c>
      <c r="BC356" s="42"/>
      <c r="BD356" s="34" t="s">
        <v>155</v>
      </c>
      <c r="BE356" s="10" t="s">
        <v>18</v>
      </c>
      <c r="BF356" s="10">
        <v>5</v>
      </c>
      <c r="BG356" s="10" t="s">
        <v>152</v>
      </c>
      <c r="BH356">
        <v>53</v>
      </c>
      <c r="BI356" s="10">
        <v>1070</v>
      </c>
      <c r="BJ356" s="43" t="s">
        <v>163</v>
      </c>
      <c r="BL356" s="42"/>
      <c r="BM356" s="34" t="s">
        <v>155</v>
      </c>
      <c r="BN356" s="10" t="s">
        <v>18</v>
      </c>
      <c r="BO356" s="10">
        <v>5</v>
      </c>
      <c r="BP356" s="10" t="s">
        <v>152</v>
      </c>
      <c r="BQ356">
        <v>53</v>
      </c>
      <c r="BR356" s="10" t="s">
        <v>58</v>
      </c>
      <c r="BS356" s="43" t="s">
        <v>186</v>
      </c>
      <c r="BU356" s="42"/>
      <c r="BV356" s="34" t="s">
        <v>155</v>
      </c>
      <c r="BW356" s="10" t="s">
        <v>18</v>
      </c>
      <c r="BX356" s="10">
        <v>5</v>
      </c>
      <c r="BY356" s="10" t="s">
        <v>152</v>
      </c>
      <c r="BZ356">
        <v>53</v>
      </c>
      <c r="CA356" s="10" t="s">
        <v>49</v>
      </c>
      <c r="CB356" s="43" t="s">
        <v>169</v>
      </c>
      <c r="CD356" s="42"/>
      <c r="CE356" s="34" t="s">
        <v>155</v>
      </c>
      <c r="CF356" s="10" t="s">
        <v>18</v>
      </c>
      <c r="CG356" s="10">
        <v>5</v>
      </c>
      <c r="CH356" s="10" t="s">
        <v>152</v>
      </c>
      <c r="CI356">
        <v>53</v>
      </c>
      <c r="CJ356" s="10">
        <v>1079</v>
      </c>
      <c r="CK356" s="43" t="s">
        <v>169</v>
      </c>
    </row>
    <row r="357" spans="1:89" x14ac:dyDescent="0.25">
      <c r="A357" s="42"/>
      <c r="B357" s="34" t="s">
        <v>155</v>
      </c>
      <c r="C357" s="10" t="s">
        <v>18</v>
      </c>
      <c r="D357" s="10">
        <v>6</v>
      </c>
      <c r="E357" s="10" t="s">
        <v>152</v>
      </c>
      <c r="F357">
        <v>54</v>
      </c>
      <c r="G357" s="10" t="s">
        <v>122</v>
      </c>
      <c r="H357" s="43" t="s">
        <v>164</v>
      </c>
      <c r="J357" s="42"/>
      <c r="K357" s="34" t="s">
        <v>155</v>
      </c>
      <c r="L357" s="10" t="s">
        <v>18</v>
      </c>
      <c r="M357" s="10">
        <v>6</v>
      </c>
      <c r="N357" s="10" t="s">
        <v>152</v>
      </c>
      <c r="O357">
        <v>54</v>
      </c>
      <c r="P357" s="10">
        <v>1060</v>
      </c>
      <c r="Q357" s="43" t="s">
        <v>169</v>
      </c>
      <c r="S357" s="42"/>
      <c r="T357" s="34" t="s">
        <v>155</v>
      </c>
      <c r="U357" s="10" t="s">
        <v>18</v>
      </c>
      <c r="V357" s="10">
        <v>6</v>
      </c>
      <c r="W357" s="10" t="s">
        <v>152</v>
      </c>
      <c r="X357">
        <v>54</v>
      </c>
      <c r="Y357" s="10" t="s">
        <v>456</v>
      </c>
      <c r="Z357" s="43" t="s">
        <v>184</v>
      </c>
      <c r="AB357" s="42"/>
      <c r="AC357" s="34" t="s">
        <v>155</v>
      </c>
      <c r="AD357" s="10" t="s">
        <v>18</v>
      </c>
      <c r="AE357" s="10">
        <v>6</v>
      </c>
      <c r="AF357" s="10" t="s">
        <v>152</v>
      </c>
      <c r="AG357">
        <v>54</v>
      </c>
      <c r="AH357" s="10">
        <v>3009</v>
      </c>
      <c r="AI357" s="43" t="s">
        <v>162</v>
      </c>
      <c r="AK357" s="42"/>
      <c r="AL357" s="34" t="s">
        <v>155</v>
      </c>
      <c r="AM357" s="10" t="s">
        <v>18</v>
      </c>
      <c r="AN357" s="10">
        <v>6</v>
      </c>
      <c r="AO357" s="10" t="s">
        <v>152</v>
      </c>
      <c r="AP357">
        <v>54</v>
      </c>
      <c r="AQ357" s="10" t="s">
        <v>457</v>
      </c>
      <c r="AR357" s="43" t="s">
        <v>162</v>
      </c>
      <c r="AT357" s="42"/>
      <c r="AU357" s="34" t="s">
        <v>155</v>
      </c>
      <c r="AV357" s="10" t="s">
        <v>18</v>
      </c>
      <c r="AW357" s="10">
        <v>6</v>
      </c>
      <c r="AX357" s="10" t="s">
        <v>152</v>
      </c>
      <c r="AY357">
        <v>54</v>
      </c>
      <c r="AZ357" s="10" t="s">
        <v>458</v>
      </c>
      <c r="BA357" s="43" t="s">
        <v>181</v>
      </c>
      <c r="BC357" s="42"/>
      <c r="BD357" s="34" t="s">
        <v>155</v>
      </c>
      <c r="BE357" s="10" t="s">
        <v>18</v>
      </c>
      <c r="BF357" s="10">
        <v>6</v>
      </c>
      <c r="BG357" s="10" t="s">
        <v>152</v>
      </c>
      <c r="BH357">
        <v>54</v>
      </c>
      <c r="BI357" s="10">
        <v>1070</v>
      </c>
      <c r="BJ357" s="43" t="s">
        <v>171</v>
      </c>
      <c r="BL357" s="42"/>
      <c r="BM357" s="34" t="s">
        <v>155</v>
      </c>
      <c r="BN357" s="10" t="s">
        <v>18</v>
      </c>
      <c r="BO357" s="10">
        <v>6</v>
      </c>
      <c r="BP357" s="10" t="s">
        <v>152</v>
      </c>
      <c r="BQ357">
        <v>54</v>
      </c>
      <c r="BR357" s="10" t="s">
        <v>58</v>
      </c>
      <c r="BS357" s="43" t="s">
        <v>188</v>
      </c>
      <c r="BU357" s="42"/>
      <c r="BV357" s="34" t="s">
        <v>155</v>
      </c>
      <c r="BW357" s="10" t="s">
        <v>18</v>
      </c>
      <c r="BX357" s="10">
        <v>6</v>
      </c>
      <c r="BY357" s="10" t="s">
        <v>152</v>
      </c>
      <c r="BZ357">
        <v>54</v>
      </c>
      <c r="CA357" s="10" t="s">
        <v>49</v>
      </c>
      <c r="CB357" s="43" t="s">
        <v>177</v>
      </c>
      <c r="CD357" s="42"/>
      <c r="CE357" s="34" t="s">
        <v>155</v>
      </c>
      <c r="CF357" s="10" t="s">
        <v>18</v>
      </c>
      <c r="CG357" s="10">
        <v>6</v>
      </c>
      <c r="CH357" s="10" t="s">
        <v>152</v>
      </c>
      <c r="CI357">
        <v>54</v>
      </c>
      <c r="CJ357" s="10">
        <v>1079</v>
      </c>
      <c r="CK357" s="43" t="s">
        <v>177</v>
      </c>
    </row>
    <row r="358" spans="1:89" x14ac:dyDescent="0.25">
      <c r="A358" s="42"/>
      <c r="B358" s="34" t="s">
        <v>155</v>
      </c>
      <c r="C358" s="10" t="s">
        <v>18</v>
      </c>
      <c r="D358" s="10">
        <v>7</v>
      </c>
      <c r="E358" s="10" t="s">
        <v>152</v>
      </c>
      <c r="F358">
        <v>55</v>
      </c>
      <c r="G358" s="10" t="s">
        <v>122</v>
      </c>
      <c r="H358" s="43" t="s">
        <v>172</v>
      </c>
      <c r="J358" s="42"/>
      <c r="K358" s="34" t="s">
        <v>155</v>
      </c>
      <c r="L358" s="10" t="s">
        <v>18</v>
      </c>
      <c r="M358" s="10">
        <v>7</v>
      </c>
      <c r="N358" s="10" t="s">
        <v>152</v>
      </c>
      <c r="O358">
        <v>55</v>
      </c>
      <c r="P358" s="10">
        <v>1060</v>
      </c>
      <c r="Q358" s="43" t="s">
        <v>177</v>
      </c>
      <c r="S358" s="42"/>
      <c r="T358" s="34" t="s">
        <v>155</v>
      </c>
      <c r="U358" s="10" t="s">
        <v>18</v>
      </c>
      <c r="V358" s="10">
        <v>7</v>
      </c>
      <c r="W358" s="10" t="s">
        <v>152</v>
      </c>
      <c r="X358">
        <v>55</v>
      </c>
      <c r="Y358" s="10" t="s">
        <v>459</v>
      </c>
      <c r="Z358" s="43" t="s">
        <v>187</v>
      </c>
      <c r="AB358" s="42"/>
      <c r="AC358" s="34" t="s">
        <v>155</v>
      </c>
      <c r="AD358" s="10" t="s">
        <v>18</v>
      </c>
      <c r="AE358" s="10">
        <v>7</v>
      </c>
      <c r="AF358" s="10" t="s">
        <v>152</v>
      </c>
      <c r="AG358">
        <v>55</v>
      </c>
      <c r="AH358" s="10">
        <v>3009</v>
      </c>
      <c r="AI358" s="43" t="s">
        <v>170</v>
      </c>
      <c r="AK358" s="42"/>
      <c r="AL358" s="34" t="s">
        <v>155</v>
      </c>
      <c r="AM358" s="10" t="s">
        <v>18</v>
      </c>
      <c r="AN358" s="10">
        <v>7</v>
      </c>
      <c r="AO358" s="10" t="s">
        <v>152</v>
      </c>
      <c r="AP358">
        <v>55</v>
      </c>
      <c r="AQ358" s="10" t="s">
        <v>460</v>
      </c>
      <c r="AR358" s="43" t="s">
        <v>170</v>
      </c>
      <c r="AT358" s="42"/>
      <c r="AU358" s="34" t="s">
        <v>155</v>
      </c>
      <c r="AV358" s="10" t="s">
        <v>18</v>
      </c>
      <c r="AW358" s="10">
        <v>7</v>
      </c>
      <c r="AX358" s="10" t="s">
        <v>152</v>
      </c>
      <c r="AY358">
        <v>55</v>
      </c>
      <c r="AZ358" s="10" t="s">
        <v>461</v>
      </c>
      <c r="BA358" s="43" t="s">
        <v>183</v>
      </c>
      <c r="BC358" s="42"/>
      <c r="BD358" s="34" t="s">
        <v>155</v>
      </c>
      <c r="BE358" s="10" t="s">
        <v>18</v>
      </c>
      <c r="BF358" s="10">
        <v>7</v>
      </c>
      <c r="BG358" s="10" t="s">
        <v>152</v>
      </c>
      <c r="BH358">
        <v>55</v>
      </c>
      <c r="BI358" s="10">
        <v>1070</v>
      </c>
      <c r="BJ358" s="43" t="s">
        <v>161</v>
      </c>
      <c r="BL358" s="42"/>
      <c r="BM358" s="34" t="s">
        <v>155</v>
      </c>
      <c r="BN358" s="10" t="s">
        <v>18</v>
      </c>
      <c r="BO358" s="10">
        <v>7</v>
      </c>
      <c r="BP358" s="10" t="s">
        <v>152</v>
      </c>
      <c r="BQ358">
        <v>55</v>
      </c>
      <c r="BR358" s="10" t="s">
        <v>58</v>
      </c>
      <c r="BS358" s="43" t="s">
        <v>182</v>
      </c>
      <c r="BU358" s="42"/>
      <c r="BV358" s="34" t="s">
        <v>155</v>
      </c>
      <c r="BW358" s="10" t="s">
        <v>18</v>
      </c>
      <c r="BX358" s="10">
        <v>7</v>
      </c>
      <c r="BY358" s="10" t="s">
        <v>152</v>
      </c>
      <c r="BZ358">
        <v>55</v>
      </c>
      <c r="CA358" s="10" t="s">
        <v>49</v>
      </c>
      <c r="CB358" s="43" t="s">
        <v>180</v>
      </c>
      <c r="CD358" s="42"/>
      <c r="CE358" s="34" t="s">
        <v>155</v>
      </c>
      <c r="CF358" s="10" t="s">
        <v>18</v>
      </c>
      <c r="CG358" s="10">
        <v>7</v>
      </c>
      <c r="CH358" s="10" t="s">
        <v>152</v>
      </c>
      <c r="CI358">
        <v>55</v>
      </c>
      <c r="CJ358" s="10">
        <v>1079</v>
      </c>
      <c r="CK358" s="43" t="s">
        <v>180</v>
      </c>
    </row>
    <row r="359" spans="1:89" x14ac:dyDescent="0.25">
      <c r="A359" s="42"/>
      <c r="B359" s="34" t="s">
        <v>155</v>
      </c>
      <c r="C359" s="10" t="s">
        <v>18</v>
      </c>
      <c r="D359" s="10">
        <v>8</v>
      </c>
      <c r="E359" s="10" t="s">
        <v>152</v>
      </c>
      <c r="F359">
        <v>56</v>
      </c>
      <c r="G359" s="10" t="s">
        <v>122</v>
      </c>
      <c r="H359" s="43" t="s">
        <v>162</v>
      </c>
      <c r="J359" s="42"/>
      <c r="K359" s="34" t="s">
        <v>155</v>
      </c>
      <c r="L359" s="10" t="s">
        <v>18</v>
      </c>
      <c r="M359" s="10">
        <v>8</v>
      </c>
      <c r="N359" s="10" t="s">
        <v>152</v>
      </c>
      <c r="O359">
        <v>56</v>
      </c>
      <c r="P359" s="10">
        <v>1060</v>
      </c>
      <c r="Q359" s="43" t="s">
        <v>180</v>
      </c>
      <c r="S359" s="42"/>
      <c r="T359" s="34" t="s">
        <v>155</v>
      </c>
      <c r="U359" s="10" t="s">
        <v>18</v>
      </c>
      <c r="V359" s="10">
        <v>8</v>
      </c>
      <c r="W359" s="10" t="s">
        <v>152</v>
      </c>
      <c r="X359">
        <v>56</v>
      </c>
      <c r="Y359" s="10" t="s">
        <v>462</v>
      </c>
      <c r="Z359" s="43" t="s">
        <v>189</v>
      </c>
      <c r="AB359" s="42"/>
      <c r="AC359" s="34" t="s">
        <v>155</v>
      </c>
      <c r="AD359" s="10" t="s">
        <v>18</v>
      </c>
      <c r="AE359" s="10">
        <v>8</v>
      </c>
      <c r="AF359" s="10" t="s">
        <v>152</v>
      </c>
      <c r="AG359">
        <v>56</v>
      </c>
      <c r="AH359" s="10">
        <v>3009</v>
      </c>
      <c r="AI359" s="43" t="s">
        <v>178</v>
      </c>
      <c r="AK359" s="42"/>
      <c r="AL359" s="34" t="s">
        <v>155</v>
      </c>
      <c r="AM359" s="10" t="s">
        <v>18</v>
      </c>
      <c r="AN359" s="10">
        <v>8</v>
      </c>
      <c r="AO359" s="10" t="s">
        <v>152</v>
      </c>
      <c r="AP359">
        <v>56</v>
      </c>
      <c r="AQ359" s="10" t="s">
        <v>463</v>
      </c>
      <c r="AR359" s="43" t="s">
        <v>178</v>
      </c>
      <c r="AT359" s="42"/>
      <c r="AU359" s="34" t="s">
        <v>155</v>
      </c>
      <c r="AV359" s="10" t="s">
        <v>18</v>
      </c>
      <c r="AW359" s="10">
        <v>8</v>
      </c>
      <c r="AX359" s="10" t="s">
        <v>152</v>
      </c>
      <c r="AY359">
        <v>56</v>
      </c>
      <c r="AZ359" s="10" t="s">
        <v>464</v>
      </c>
      <c r="BA359" s="43" t="s">
        <v>186</v>
      </c>
      <c r="BC359" s="42"/>
      <c r="BD359" s="34" t="s">
        <v>155</v>
      </c>
      <c r="BE359" s="10" t="s">
        <v>18</v>
      </c>
      <c r="BF359" s="10">
        <v>8</v>
      </c>
      <c r="BG359" s="10" t="s">
        <v>152</v>
      </c>
      <c r="BH359">
        <v>56</v>
      </c>
      <c r="BI359" s="10">
        <v>1070</v>
      </c>
      <c r="BJ359" s="43" t="s">
        <v>169</v>
      </c>
      <c r="BL359" s="42"/>
      <c r="BM359" s="34" t="s">
        <v>155</v>
      </c>
      <c r="BN359" s="10" t="s">
        <v>18</v>
      </c>
      <c r="BO359" s="10">
        <v>8</v>
      </c>
      <c r="BP359" s="10" t="s">
        <v>152</v>
      </c>
      <c r="BQ359">
        <v>56</v>
      </c>
      <c r="BR359" s="10" t="s">
        <v>58</v>
      </c>
      <c r="BS359" s="43" t="s">
        <v>184</v>
      </c>
      <c r="BU359" s="42"/>
      <c r="BV359" s="34" t="s">
        <v>155</v>
      </c>
      <c r="BW359" s="10" t="s">
        <v>18</v>
      </c>
      <c r="BX359" s="10">
        <v>8</v>
      </c>
      <c r="BY359" s="10" t="s">
        <v>152</v>
      </c>
      <c r="BZ359">
        <v>56</v>
      </c>
      <c r="CA359" s="10" t="s">
        <v>49</v>
      </c>
      <c r="CB359" s="43" t="s">
        <v>181</v>
      </c>
      <c r="CD359" s="42"/>
      <c r="CE359" s="34" t="s">
        <v>155</v>
      </c>
      <c r="CF359" s="10" t="s">
        <v>18</v>
      </c>
      <c r="CG359" s="10">
        <v>8</v>
      </c>
      <c r="CH359" s="10" t="s">
        <v>152</v>
      </c>
      <c r="CI359">
        <v>56</v>
      </c>
      <c r="CJ359" s="10">
        <v>1079</v>
      </c>
      <c r="CK359" s="43" t="s">
        <v>181</v>
      </c>
    </row>
    <row r="360" spans="1:89" x14ac:dyDescent="0.25">
      <c r="A360" s="42"/>
      <c r="B360" s="34" t="s">
        <v>155</v>
      </c>
      <c r="C360" s="10" t="s">
        <v>18</v>
      </c>
      <c r="D360" s="10">
        <v>9</v>
      </c>
      <c r="E360" s="10" t="s">
        <v>152</v>
      </c>
      <c r="F360">
        <v>57</v>
      </c>
      <c r="G360" s="10" t="s">
        <v>122</v>
      </c>
      <c r="H360" s="43" t="s">
        <v>170</v>
      </c>
      <c r="J360" s="42"/>
      <c r="K360" s="34" t="s">
        <v>155</v>
      </c>
      <c r="L360" s="10" t="s">
        <v>18</v>
      </c>
      <c r="M360" s="10">
        <v>9</v>
      </c>
      <c r="N360" s="10" t="s">
        <v>152</v>
      </c>
      <c r="O360">
        <v>57</v>
      </c>
      <c r="P360" s="10">
        <v>1060</v>
      </c>
      <c r="Q360" s="43" t="s">
        <v>181</v>
      </c>
      <c r="S360" s="42"/>
      <c r="T360" s="34" t="s">
        <v>155</v>
      </c>
      <c r="U360" s="10" t="s">
        <v>18</v>
      </c>
      <c r="V360" s="10">
        <v>9</v>
      </c>
      <c r="W360" s="10" t="s">
        <v>152</v>
      </c>
      <c r="X360">
        <v>57</v>
      </c>
      <c r="Y360" s="10" t="s">
        <v>465</v>
      </c>
      <c r="Z360" s="51" t="s">
        <v>160</v>
      </c>
      <c r="AB360" s="42"/>
      <c r="AC360" s="34" t="s">
        <v>155</v>
      </c>
      <c r="AD360" s="10" t="s">
        <v>18</v>
      </c>
      <c r="AE360" s="10">
        <v>9</v>
      </c>
      <c r="AF360" s="10" t="s">
        <v>152</v>
      </c>
      <c r="AG360">
        <v>57</v>
      </c>
      <c r="AH360" s="10">
        <v>3009</v>
      </c>
      <c r="AI360" s="43" t="s">
        <v>163</v>
      </c>
      <c r="AK360" s="42"/>
      <c r="AL360" s="34" t="s">
        <v>155</v>
      </c>
      <c r="AM360" s="10" t="s">
        <v>18</v>
      </c>
      <c r="AN360" s="10">
        <v>9</v>
      </c>
      <c r="AO360" s="10" t="s">
        <v>152</v>
      </c>
      <c r="AP360">
        <v>57</v>
      </c>
      <c r="AQ360" s="10" t="s">
        <v>466</v>
      </c>
      <c r="AR360" s="43" t="s">
        <v>163</v>
      </c>
      <c r="AT360" s="42"/>
      <c r="AU360" s="34" t="s">
        <v>155</v>
      </c>
      <c r="AV360" s="10" t="s">
        <v>18</v>
      </c>
      <c r="AW360" s="10">
        <v>9</v>
      </c>
      <c r="AX360" s="10" t="s">
        <v>152</v>
      </c>
      <c r="AY360">
        <v>57</v>
      </c>
      <c r="AZ360" s="10" t="s">
        <v>467</v>
      </c>
      <c r="BA360" s="43" t="s">
        <v>188</v>
      </c>
      <c r="BC360" s="42"/>
      <c r="BD360" s="34" t="s">
        <v>155</v>
      </c>
      <c r="BE360" s="10" t="s">
        <v>18</v>
      </c>
      <c r="BF360" s="10">
        <v>9</v>
      </c>
      <c r="BG360" s="10" t="s">
        <v>152</v>
      </c>
      <c r="BH360">
        <v>57</v>
      </c>
      <c r="BI360" s="10">
        <v>1070</v>
      </c>
      <c r="BJ360" s="43" t="s">
        <v>177</v>
      </c>
      <c r="BL360" s="42"/>
      <c r="BM360" s="34" t="s">
        <v>155</v>
      </c>
      <c r="BN360" s="10" t="s">
        <v>18</v>
      </c>
      <c r="BO360" s="10">
        <v>9</v>
      </c>
      <c r="BP360" s="10" t="s">
        <v>152</v>
      </c>
      <c r="BQ360">
        <v>57</v>
      </c>
      <c r="BR360" s="10" t="s">
        <v>58</v>
      </c>
      <c r="BS360" s="43" t="s">
        <v>187</v>
      </c>
      <c r="BU360" s="42"/>
      <c r="BV360" s="34" t="s">
        <v>155</v>
      </c>
      <c r="BW360" s="10" t="s">
        <v>18</v>
      </c>
      <c r="BX360" s="10">
        <v>9</v>
      </c>
      <c r="BY360" s="10" t="s">
        <v>152</v>
      </c>
      <c r="BZ360">
        <v>57</v>
      </c>
      <c r="CA360" s="10" t="s">
        <v>49</v>
      </c>
      <c r="CB360" s="43" t="s">
        <v>183</v>
      </c>
      <c r="CD360" s="42"/>
      <c r="CE360" s="34" t="s">
        <v>155</v>
      </c>
      <c r="CF360" s="10" t="s">
        <v>18</v>
      </c>
      <c r="CG360" s="10">
        <v>9</v>
      </c>
      <c r="CH360" s="10" t="s">
        <v>152</v>
      </c>
      <c r="CI360">
        <v>57</v>
      </c>
      <c r="CJ360" s="10">
        <v>1079</v>
      </c>
      <c r="CK360" s="43" t="s">
        <v>183</v>
      </c>
    </row>
    <row r="361" spans="1:89" x14ac:dyDescent="0.25">
      <c r="A361" s="42"/>
      <c r="B361" s="34" t="s">
        <v>155</v>
      </c>
      <c r="C361" s="10" t="s">
        <v>18</v>
      </c>
      <c r="D361" s="10">
        <v>10</v>
      </c>
      <c r="E361" s="10" t="s">
        <v>152</v>
      </c>
      <c r="F361">
        <v>58</v>
      </c>
      <c r="G361" s="10" t="s">
        <v>122</v>
      </c>
      <c r="H361" s="43" t="s">
        <v>178</v>
      </c>
      <c r="J361" s="42"/>
      <c r="K361" s="34" t="s">
        <v>155</v>
      </c>
      <c r="L361" s="10" t="s">
        <v>18</v>
      </c>
      <c r="M361" s="10">
        <v>10</v>
      </c>
      <c r="N361" s="10" t="s">
        <v>152</v>
      </c>
      <c r="O361">
        <v>58</v>
      </c>
      <c r="P361" s="10">
        <v>1060</v>
      </c>
      <c r="Q361" s="43" t="s">
        <v>183</v>
      </c>
      <c r="S361" s="42"/>
      <c r="T361" s="34" t="s">
        <v>155</v>
      </c>
      <c r="U361" s="10" t="s">
        <v>18</v>
      </c>
      <c r="V361" s="10">
        <v>10</v>
      </c>
      <c r="W361" s="10" t="s">
        <v>152</v>
      </c>
      <c r="X361">
        <v>58</v>
      </c>
      <c r="Y361" s="10" t="s">
        <v>114</v>
      </c>
      <c r="Z361" s="43" t="s">
        <v>168</v>
      </c>
      <c r="AB361" s="42"/>
      <c r="AC361" s="34" t="s">
        <v>155</v>
      </c>
      <c r="AD361" s="10" t="s">
        <v>18</v>
      </c>
      <c r="AE361" s="10">
        <v>10</v>
      </c>
      <c r="AF361" s="10" t="s">
        <v>152</v>
      </c>
      <c r="AG361">
        <v>58</v>
      </c>
      <c r="AH361" s="10">
        <v>3009</v>
      </c>
      <c r="AI361" s="43" t="s">
        <v>171</v>
      </c>
      <c r="AK361" s="42"/>
      <c r="AL361" s="34" t="s">
        <v>155</v>
      </c>
      <c r="AM361" s="10" t="s">
        <v>18</v>
      </c>
      <c r="AN361" s="10">
        <v>10</v>
      </c>
      <c r="AO361" s="10" t="s">
        <v>152</v>
      </c>
      <c r="AP361">
        <v>58</v>
      </c>
      <c r="AQ361" s="10" t="s">
        <v>468</v>
      </c>
      <c r="AR361" s="43" t="s">
        <v>171</v>
      </c>
      <c r="AT361" s="42"/>
      <c r="AU361" s="34" t="s">
        <v>155</v>
      </c>
      <c r="AV361" s="10" t="s">
        <v>18</v>
      </c>
      <c r="AW361" s="10">
        <v>10</v>
      </c>
      <c r="AX361" s="10" t="s">
        <v>152</v>
      </c>
      <c r="AY361">
        <v>58</v>
      </c>
      <c r="AZ361" s="10" t="s">
        <v>469</v>
      </c>
      <c r="BA361" s="43" t="s">
        <v>182</v>
      </c>
      <c r="BC361" s="42"/>
      <c r="BD361" s="34" t="s">
        <v>155</v>
      </c>
      <c r="BE361" s="10" t="s">
        <v>18</v>
      </c>
      <c r="BF361" s="10">
        <v>10</v>
      </c>
      <c r="BG361" s="10" t="s">
        <v>152</v>
      </c>
      <c r="BH361">
        <v>58</v>
      </c>
      <c r="BI361" s="10">
        <v>1070</v>
      </c>
      <c r="BJ361" s="43" t="s">
        <v>180</v>
      </c>
      <c r="BL361" s="42"/>
      <c r="BM361" s="34" t="s">
        <v>155</v>
      </c>
      <c r="BN361" s="10" t="s">
        <v>18</v>
      </c>
      <c r="BO361" s="10">
        <v>10</v>
      </c>
      <c r="BP361" s="10" t="s">
        <v>152</v>
      </c>
      <c r="BQ361">
        <v>58</v>
      </c>
      <c r="BR361" s="10" t="s">
        <v>58</v>
      </c>
      <c r="BS361" s="43" t="s">
        <v>189</v>
      </c>
      <c r="BU361" s="42"/>
      <c r="BV361" s="34" t="s">
        <v>155</v>
      </c>
      <c r="BW361" s="10" t="s">
        <v>18</v>
      </c>
      <c r="BX361" s="10">
        <v>10</v>
      </c>
      <c r="BY361" s="10" t="s">
        <v>152</v>
      </c>
      <c r="BZ361">
        <v>58</v>
      </c>
      <c r="CA361" s="10" t="s">
        <v>49</v>
      </c>
      <c r="CB361" s="43" t="s">
        <v>186</v>
      </c>
      <c r="CD361" s="42"/>
      <c r="CE361" s="34" t="s">
        <v>155</v>
      </c>
      <c r="CF361" s="10" t="s">
        <v>18</v>
      </c>
      <c r="CG361" s="10">
        <v>10</v>
      </c>
      <c r="CH361" s="10" t="s">
        <v>152</v>
      </c>
      <c r="CI361">
        <v>58</v>
      </c>
      <c r="CJ361" s="10">
        <v>1079</v>
      </c>
      <c r="CK361" s="43" t="s">
        <v>186</v>
      </c>
    </row>
    <row r="362" spans="1:89" ht="15.75" thickBot="1" x14ac:dyDescent="0.3">
      <c r="A362" s="42"/>
      <c r="B362" s="34" t="s">
        <v>155</v>
      </c>
      <c r="C362" s="10" t="s">
        <v>18</v>
      </c>
      <c r="D362" s="10">
        <v>11</v>
      </c>
      <c r="E362" s="10" t="s">
        <v>152</v>
      </c>
      <c r="F362">
        <v>59</v>
      </c>
      <c r="G362" s="10" t="s">
        <v>122</v>
      </c>
      <c r="H362" s="43" t="s">
        <v>163</v>
      </c>
      <c r="J362" s="42"/>
      <c r="K362" s="34" t="s">
        <v>155</v>
      </c>
      <c r="L362" s="10" t="s">
        <v>18</v>
      </c>
      <c r="M362" s="10">
        <v>11</v>
      </c>
      <c r="N362" s="10" t="s">
        <v>152</v>
      </c>
      <c r="O362">
        <v>59</v>
      </c>
      <c r="P362" s="10">
        <v>1060</v>
      </c>
      <c r="Q362" s="43" t="s">
        <v>186</v>
      </c>
      <c r="S362" s="42"/>
      <c r="T362" s="34" t="s">
        <v>155</v>
      </c>
      <c r="U362" s="10" t="s">
        <v>18</v>
      </c>
      <c r="V362" s="10">
        <v>11</v>
      </c>
      <c r="W362" s="10" t="s">
        <v>152</v>
      </c>
      <c r="X362">
        <v>59</v>
      </c>
      <c r="Y362" s="10" t="s">
        <v>116</v>
      </c>
      <c r="Z362" s="43" t="s">
        <v>176</v>
      </c>
      <c r="AB362" s="42"/>
      <c r="AC362" s="34" t="s">
        <v>155</v>
      </c>
      <c r="AD362" s="10" t="s">
        <v>18</v>
      </c>
      <c r="AE362" s="10">
        <v>11</v>
      </c>
      <c r="AF362" s="10" t="s">
        <v>152</v>
      </c>
      <c r="AG362">
        <v>59</v>
      </c>
      <c r="AH362" s="10">
        <v>3009</v>
      </c>
      <c r="AI362" s="43" t="s">
        <v>161</v>
      </c>
      <c r="AK362" s="42"/>
      <c r="AL362" s="34" t="s">
        <v>155</v>
      </c>
      <c r="AM362" s="10" t="s">
        <v>18</v>
      </c>
      <c r="AN362" s="10">
        <v>11</v>
      </c>
      <c r="AO362" s="10" t="s">
        <v>152</v>
      </c>
      <c r="AP362">
        <v>59</v>
      </c>
      <c r="AQ362" s="10" t="s">
        <v>470</v>
      </c>
      <c r="AR362" s="43" t="s">
        <v>161</v>
      </c>
      <c r="AT362" s="42"/>
      <c r="AU362" s="34" t="s">
        <v>155</v>
      </c>
      <c r="AV362" s="10" t="s">
        <v>18</v>
      </c>
      <c r="AW362" s="10">
        <v>11</v>
      </c>
      <c r="AX362" s="10" t="s">
        <v>152</v>
      </c>
      <c r="AY362">
        <v>59</v>
      </c>
      <c r="AZ362" s="10" t="s">
        <v>471</v>
      </c>
      <c r="BA362" s="43" t="s">
        <v>184</v>
      </c>
      <c r="BC362" s="42"/>
      <c r="BD362" s="34" t="s">
        <v>155</v>
      </c>
      <c r="BE362" s="10" t="s">
        <v>18</v>
      </c>
      <c r="BF362" s="10">
        <v>11</v>
      </c>
      <c r="BG362" s="10" t="s">
        <v>152</v>
      </c>
      <c r="BH362">
        <v>59</v>
      </c>
      <c r="BI362" s="10">
        <v>1070</v>
      </c>
      <c r="BJ362" s="43" t="s">
        <v>181</v>
      </c>
      <c r="BL362" s="42"/>
      <c r="BM362" s="34" t="s">
        <v>155</v>
      </c>
      <c r="BN362" s="10" t="s">
        <v>18</v>
      </c>
      <c r="BO362" s="10">
        <v>11</v>
      </c>
      <c r="BP362" s="10" t="s">
        <v>152</v>
      </c>
      <c r="BQ362">
        <v>59</v>
      </c>
      <c r="BR362" s="10">
        <v>1072</v>
      </c>
      <c r="BS362" s="43" t="s">
        <v>160</v>
      </c>
      <c r="BU362" s="42"/>
      <c r="BV362" s="34" t="s">
        <v>155</v>
      </c>
      <c r="BW362" s="10" t="s">
        <v>18</v>
      </c>
      <c r="BX362" s="10">
        <v>11</v>
      </c>
      <c r="BY362" s="10" t="s">
        <v>152</v>
      </c>
      <c r="BZ362">
        <v>59</v>
      </c>
      <c r="CA362" s="10" t="s">
        <v>49</v>
      </c>
      <c r="CB362" s="43" t="s">
        <v>188</v>
      </c>
      <c r="CD362" s="42"/>
      <c r="CE362" s="34" t="s">
        <v>155</v>
      </c>
      <c r="CF362" s="10" t="s">
        <v>18</v>
      </c>
      <c r="CG362" s="10">
        <v>11</v>
      </c>
      <c r="CH362" s="10" t="s">
        <v>152</v>
      </c>
      <c r="CI362">
        <v>59</v>
      </c>
      <c r="CJ362" s="10">
        <v>1079</v>
      </c>
      <c r="CK362" s="43" t="s">
        <v>188</v>
      </c>
    </row>
    <row r="363" spans="1:89" ht="15.75" thickBot="1" x14ac:dyDescent="0.3">
      <c r="A363" s="47"/>
      <c r="B363" s="48" t="s">
        <v>155</v>
      </c>
      <c r="C363" s="49" t="s">
        <v>18</v>
      </c>
      <c r="D363" s="49">
        <v>12</v>
      </c>
      <c r="E363" s="49" t="s">
        <v>152</v>
      </c>
      <c r="F363" s="50">
        <v>60</v>
      </c>
      <c r="G363" s="10" t="s">
        <v>122</v>
      </c>
      <c r="H363" s="43" t="s">
        <v>171</v>
      </c>
      <c r="J363" s="47"/>
      <c r="K363" s="48" t="s">
        <v>155</v>
      </c>
      <c r="L363" s="49" t="s">
        <v>18</v>
      </c>
      <c r="M363" s="49">
        <v>12</v>
      </c>
      <c r="N363" s="49" t="s">
        <v>152</v>
      </c>
      <c r="O363" s="50">
        <v>60</v>
      </c>
      <c r="P363" s="10">
        <v>1060</v>
      </c>
      <c r="Q363" s="43" t="s">
        <v>188</v>
      </c>
      <c r="S363" s="47"/>
      <c r="T363" s="48" t="s">
        <v>155</v>
      </c>
      <c r="U363" s="49" t="s">
        <v>18</v>
      </c>
      <c r="V363" s="49">
        <v>12</v>
      </c>
      <c r="W363" s="49" t="s">
        <v>152</v>
      </c>
      <c r="X363" s="50">
        <v>60</v>
      </c>
      <c r="Y363" s="10" t="s">
        <v>118</v>
      </c>
      <c r="Z363" s="43" t="s">
        <v>164</v>
      </c>
      <c r="AB363" s="47"/>
      <c r="AC363" s="48" t="s">
        <v>155</v>
      </c>
      <c r="AD363" s="49" t="s">
        <v>18</v>
      </c>
      <c r="AE363" s="49">
        <v>12</v>
      </c>
      <c r="AF363" s="49" t="s">
        <v>152</v>
      </c>
      <c r="AG363" s="50">
        <v>60</v>
      </c>
      <c r="AH363" s="10">
        <v>3009</v>
      </c>
      <c r="AI363" s="33" t="s">
        <v>169</v>
      </c>
      <c r="AK363" s="47"/>
      <c r="AL363" s="48" t="s">
        <v>155</v>
      </c>
      <c r="AM363" s="49" t="s">
        <v>18</v>
      </c>
      <c r="AN363" s="49">
        <v>12</v>
      </c>
      <c r="AO363" s="49" t="s">
        <v>152</v>
      </c>
      <c r="AP363" s="50">
        <v>60</v>
      </c>
      <c r="AQ363" s="10" t="s">
        <v>472</v>
      </c>
      <c r="AR363" s="33" t="s">
        <v>169</v>
      </c>
      <c r="AT363" s="47"/>
      <c r="AU363" s="48" t="s">
        <v>155</v>
      </c>
      <c r="AV363" s="49" t="s">
        <v>18</v>
      </c>
      <c r="AW363" s="49">
        <v>12</v>
      </c>
      <c r="AX363" s="49" t="s">
        <v>152</v>
      </c>
      <c r="AY363" s="50">
        <v>60</v>
      </c>
      <c r="AZ363" s="10" t="s">
        <v>473</v>
      </c>
      <c r="BA363" s="43" t="s">
        <v>187</v>
      </c>
      <c r="BC363" s="47"/>
      <c r="BD363" s="48" t="s">
        <v>155</v>
      </c>
      <c r="BE363" s="49" t="s">
        <v>18</v>
      </c>
      <c r="BF363" s="49">
        <v>12</v>
      </c>
      <c r="BG363" s="49" t="s">
        <v>152</v>
      </c>
      <c r="BH363" s="50">
        <v>60</v>
      </c>
      <c r="BI363" s="10">
        <v>1070</v>
      </c>
      <c r="BJ363" s="33" t="s">
        <v>183</v>
      </c>
      <c r="BL363" s="47"/>
      <c r="BM363" s="48" t="s">
        <v>155</v>
      </c>
      <c r="BN363" s="49" t="s">
        <v>18</v>
      </c>
      <c r="BO363" s="49">
        <v>12</v>
      </c>
      <c r="BP363" s="49" t="s">
        <v>152</v>
      </c>
      <c r="BQ363" s="50">
        <v>60</v>
      </c>
      <c r="BR363" s="10">
        <v>1072</v>
      </c>
      <c r="BS363" s="43" t="s">
        <v>168</v>
      </c>
      <c r="BU363" s="47"/>
      <c r="BV363" s="48" t="s">
        <v>155</v>
      </c>
      <c r="BW363" s="49" t="s">
        <v>18</v>
      </c>
      <c r="BX363" s="49">
        <v>12</v>
      </c>
      <c r="BY363" s="49" t="s">
        <v>152</v>
      </c>
      <c r="BZ363" s="50">
        <v>60</v>
      </c>
      <c r="CA363" s="10" t="s">
        <v>49</v>
      </c>
      <c r="CB363" s="43" t="s">
        <v>182</v>
      </c>
      <c r="CD363" s="47"/>
      <c r="CE363" s="48" t="s">
        <v>155</v>
      </c>
      <c r="CF363" s="49" t="s">
        <v>18</v>
      </c>
      <c r="CG363" s="49">
        <v>12</v>
      </c>
      <c r="CH363" s="49" t="s">
        <v>152</v>
      </c>
      <c r="CI363" s="50">
        <v>60</v>
      </c>
      <c r="CJ363" s="10">
        <v>1079</v>
      </c>
      <c r="CK363" s="43" t="s">
        <v>182</v>
      </c>
    </row>
    <row r="364" spans="1:89" x14ac:dyDescent="0.25">
      <c r="A364" s="56"/>
      <c r="B364" s="31" t="s">
        <v>155</v>
      </c>
      <c r="C364" s="58" t="s">
        <v>29</v>
      </c>
      <c r="D364" s="58">
        <v>1</v>
      </c>
      <c r="E364" s="58" t="s">
        <v>152</v>
      </c>
      <c r="F364" s="59">
        <v>61</v>
      </c>
      <c r="G364" s="10" t="s">
        <v>122</v>
      </c>
      <c r="H364" s="43" t="s">
        <v>161</v>
      </c>
      <c r="J364" s="56"/>
      <c r="K364" s="31" t="s">
        <v>155</v>
      </c>
      <c r="L364" s="58" t="s">
        <v>29</v>
      </c>
      <c r="M364" s="58">
        <v>1</v>
      </c>
      <c r="N364" s="58" t="s">
        <v>152</v>
      </c>
      <c r="O364" s="59">
        <v>61</v>
      </c>
      <c r="P364" s="10">
        <v>1060</v>
      </c>
      <c r="Q364" s="43" t="s">
        <v>182</v>
      </c>
      <c r="S364" s="56"/>
      <c r="T364" s="31" t="s">
        <v>155</v>
      </c>
      <c r="U364" s="58" t="s">
        <v>29</v>
      </c>
      <c r="V364" s="58">
        <v>1</v>
      </c>
      <c r="W364" s="58" t="s">
        <v>152</v>
      </c>
      <c r="X364" s="59">
        <v>61</v>
      </c>
      <c r="Y364" s="10" t="s">
        <v>120</v>
      </c>
      <c r="Z364" s="43" t="s">
        <v>172</v>
      </c>
      <c r="AB364" s="56"/>
      <c r="AC364" s="31" t="s">
        <v>155</v>
      </c>
      <c r="AD364" s="58" t="s">
        <v>29</v>
      </c>
      <c r="AE364" s="58">
        <v>1</v>
      </c>
      <c r="AF364" s="58" t="s">
        <v>152</v>
      </c>
      <c r="AG364" s="59">
        <v>61</v>
      </c>
      <c r="AH364" s="10">
        <v>3009</v>
      </c>
      <c r="AI364" s="43" t="s">
        <v>177</v>
      </c>
      <c r="AK364" s="56"/>
      <c r="AL364" s="31" t="s">
        <v>155</v>
      </c>
      <c r="AM364" s="58" t="s">
        <v>29</v>
      </c>
      <c r="AN364" s="58">
        <v>1</v>
      </c>
      <c r="AO364" s="58" t="s">
        <v>152</v>
      </c>
      <c r="AP364" s="59">
        <v>61</v>
      </c>
      <c r="AQ364" s="10" t="s">
        <v>474</v>
      </c>
      <c r="AR364" s="43" t="s">
        <v>177</v>
      </c>
      <c r="AT364" s="56"/>
      <c r="AU364" s="31" t="s">
        <v>155</v>
      </c>
      <c r="AV364" s="58" t="s">
        <v>29</v>
      </c>
      <c r="AW364" s="58">
        <v>1</v>
      </c>
      <c r="AX364" s="58" t="s">
        <v>152</v>
      </c>
      <c r="AY364" s="59">
        <v>61</v>
      </c>
      <c r="AZ364" s="10" t="s">
        <v>475</v>
      </c>
      <c r="BA364" s="43" t="s">
        <v>189</v>
      </c>
      <c r="BC364" s="56"/>
      <c r="BD364" s="31" t="s">
        <v>155</v>
      </c>
      <c r="BE364" s="58" t="s">
        <v>29</v>
      </c>
      <c r="BF364" s="58">
        <v>1</v>
      </c>
      <c r="BG364" s="58" t="s">
        <v>152</v>
      </c>
      <c r="BH364" s="59">
        <v>61</v>
      </c>
      <c r="BI364" s="10">
        <v>1070</v>
      </c>
      <c r="BJ364" s="43" t="s">
        <v>186</v>
      </c>
      <c r="BL364" s="56"/>
      <c r="BM364" s="31" t="s">
        <v>155</v>
      </c>
      <c r="BN364" s="58" t="s">
        <v>29</v>
      </c>
      <c r="BO364" s="58">
        <v>1</v>
      </c>
      <c r="BP364" s="58" t="s">
        <v>152</v>
      </c>
      <c r="BQ364" s="59">
        <v>61</v>
      </c>
      <c r="BR364" s="10">
        <v>1072</v>
      </c>
      <c r="BS364" s="43" t="s">
        <v>176</v>
      </c>
      <c r="BU364" s="56"/>
      <c r="BV364" s="31" t="s">
        <v>155</v>
      </c>
      <c r="BW364" s="58" t="s">
        <v>29</v>
      </c>
      <c r="BX364" s="58">
        <v>1</v>
      </c>
      <c r="BY364" s="58" t="s">
        <v>152</v>
      </c>
      <c r="BZ364" s="59">
        <v>61</v>
      </c>
      <c r="CA364" s="10" t="s">
        <v>49</v>
      </c>
      <c r="CB364" s="43" t="s">
        <v>184</v>
      </c>
      <c r="CD364" s="56"/>
      <c r="CE364" s="31" t="s">
        <v>155</v>
      </c>
      <c r="CF364" s="58" t="s">
        <v>29</v>
      </c>
      <c r="CG364" s="58">
        <v>1</v>
      </c>
      <c r="CH364" s="58" t="s">
        <v>152</v>
      </c>
      <c r="CI364" s="59">
        <v>61</v>
      </c>
      <c r="CJ364" s="10">
        <v>1079</v>
      </c>
      <c r="CK364" s="43" t="s">
        <v>184</v>
      </c>
    </row>
    <row r="365" spans="1:89" ht="15.75" thickBot="1" x14ac:dyDescent="0.3">
      <c r="A365" s="42"/>
      <c r="B365" s="34" t="s">
        <v>155</v>
      </c>
      <c r="C365" s="10" t="s">
        <v>29</v>
      </c>
      <c r="D365" s="10">
        <v>2</v>
      </c>
      <c r="E365" s="10" t="s">
        <v>152</v>
      </c>
      <c r="F365">
        <v>62</v>
      </c>
      <c r="G365" s="10" t="s">
        <v>122</v>
      </c>
      <c r="H365" s="43" t="s">
        <v>169</v>
      </c>
      <c r="J365" s="42"/>
      <c r="K365" s="34" t="s">
        <v>155</v>
      </c>
      <c r="L365" s="10" t="s">
        <v>29</v>
      </c>
      <c r="M365" s="10">
        <v>2</v>
      </c>
      <c r="N365" s="10" t="s">
        <v>152</v>
      </c>
      <c r="O365">
        <v>62</v>
      </c>
      <c r="P365" s="10">
        <v>1060</v>
      </c>
      <c r="Q365" s="43" t="s">
        <v>184</v>
      </c>
      <c r="S365" s="42"/>
      <c r="T365" s="34" t="s">
        <v>155</v>
      </c>
      <c r="U365" s="10" t="s">
        <v>29</v>
      </c>
      <c r="V365" s="10">
        <v>2</v>
      </c>
      <c r="W365" s="10" t="s">
        <v>152</v>
      </c>
      <c r="X365">
        <v>62</v>
      </c>
      <c r="Y365" s="10" t="s">
        <v>476</v>
      </c>
      <c r="Z365" s="43" t="s">
        <v>162</v>
      </c>
      <c r="AB365" s="42"/>
      <c r="AC365" s="34" t="s">
        <v>155</v>
      </c>
      <c r="AD365" s="10" t="s">
        <v>29</v>
      </c>
      <c r="AE365" s="10">
        <v>2</v>
      </c>
      <c r="AF365" s="10" t="s">
        <v>152</v>
      </c>
      <c r="AG365">
        <v>62</v>
      </c>
      <c r="AH365" s="10">
        <v>3009</v>
      </c>
      <c r="AI365" s="43" t="s">
        <v>180</v>
      </c>
      <c r="AK365" s="42"/>
      <c r="AL365" s="34" t="s">
        <v>155</v>
      </c>
      <c r="AM365" s="10" t="s">
        <v>29</v>
      </c>
      <c r="AN365" s="10">
        <v>2</v>
      </c>
      <c r="AO365" s="10" t="s">
        <v>152</v>
      </c>
      <c r="AP365">
        <v>62</v>
      </c>
      <c r="AQ365" s="10" t="s">
        <v>477</v>
      </c>
      <c r="AR365" s="43" t="s">
        <v>180</v>
      </c>
      <c r="AT365" s="42"/>
      <c r="AU365" s="34" t="s">
        <v>155</v>
      </c>
      <c r="AV365" s="10" t="s">
        <v>29</v>
      </c>
      <c r="AW365" s="10">
        <v>2</v>
      </c>
      <c r="AX365" s="10" t="s">
        <v>152</v>
      </c>
      <c r="AY365">
        <v>62</v>
      </c>
      <c r="AZ365" s="10" t="s">
        <v>7</v>
      </c>
      <c r="BA365" s="51" t="s">
        <v>160</v>
      </c>
      <c r="BC365" s="42"/>
      <c r="BD365" s="34" t="s">
        <v>155</v>
      </c>
      <c r="BE365" s="10" t="s">
        <v>29</v>
      </c>
      <c r="BF365" s="10">
        <v>2</v>
      </c>
      <c r="BG365" s="10" t="s">
        <v>152</v>
      </c>
      <c r="BH365">
        <v>62</v>
      </c>
      <c r="BI365" s="10">
        <v>1070</v>
      </c>
      <c r="BJ365" s="43" t="s">
        <v>188</v>
      </c>
      <c r="BL365" s="42"/>
      <c r="BM365" s="34" t="s">
        <v>155</v>
      </c>
      <c r="BN365" s="10" t="s">
        <v>29</v>
      </c>
      <c r="BO365" s="10">
        <v>2</v>
      </c>
      <c r="BP365" s="10" t="s">
        <v>152</v>
      </c>
      <c r="BQ365">
        <v>62</v>
      </c>
      <c r="BR365" s="10">
        <v>1072</v>
      </c>
      <c r="BS365" s="43" t="s">
        <v>164</v>
      </c>
      <c r="BU365" s="42"/>
      <c r="BV365" s="34" t="s">
        <v>155</v>
      </c>
      <c r="BW365" s="10" t="s">
        <v>29</v>
      </c>
      <c r="BX365" s="10">
        <v>2</v>
      </c>
      <c r="BY365" s="10" t="s">
        <v>152</v>
      </c>
      <c r="BZ365">
        <v>62</v>
      </c>
      <c r="CA365" s="10" t="s">
        <v>49</v>
      </c>
      <c r="CB365" s="43" t="s">
        <v>187</v>
      </c>
      <c r="CD365" s="42"/>
      <c r="CE365" s="34" t="s">
        <v>155</v>
      </c>
      <c r="CF365" s="10" t="s">
        <v>29</v>
      </c>
      <c r="CG365" s="10">
        <v>2</v>
      </c>
      <c r="CH365" s="10" t="s">
        <v>152</v>
      </c>
      <c r="CI365">
        <v>62</v>
      </c>
      <c r="CJ365" s="10">
        <v>1079</v>
      </c>
      <c r="CK365" s="43" t="s">
        <v>187</v>
      </c>
    </row>
    <row r="366" spans="1:89" x14ac:dyDescent="0.25">
      <c r="A366" s="42"/>
      <c r="B366" s="34" t="s">
        <v>155</v>
      </c>
      <c r="C366" s="10" t="s">
        <v>29</v>
      </c>
      <c r="D366" s="10">
        <v>3</v>
      </c>
      <c r="E366" s="10" t="s">
        <v>152</v>
      </c>
      <c r="F366">
        <v>63</v>
      </c>
      <c r="G366" s="10" t="s">
        <v>122</v>
      </c>
      <c r="H366" s="33" t="s">
        <v>177</v>
      </c>
      <c r="J366" s="42"/>
      <c r="K366" s="34" t="s">
        <v>155</v>
      </c>
      <c r="L366" s="10" t="s">
        <v>29</v>
      </c>
      <c r="M366" s="10">
        <v>3</v>
      </c>
      <c r="N366" s="10" t="s">
        <v>152</v>
      </c>
      <c r="O366">
        <v>63</v>
      </c>
      <c r="P366" s="10">
        <v>1060</v>
      </c>
      <c r="Q366" s="33" t="s">
        <v>187</v>
      </c>
      <c r="S366" s="42"/>
      <c r="T366" s="34" t="s">
        <v>155</v>
      </c>
      <c r="U366" s="10" t="s">
        <v>29</v>
      </c>
      <c r="V366" s="10">
        <v>3</v>
      </c>
      <c r="W366" s="10" t="s">
        <v>152</v>
      </c>
      <c r="X366">
        <v>63</v>
      </c>
      <c r="Y366" s="10" t="s">
        <v>478</v>
      </c>
      <c r="Z366" s="43" t="s">
        <v>170</v>
      </c>
      <c r="AB366" s="42"/>
      <c r="AC366" s="34" t="s">
        <v>155</v>
      </c>
      <c r="AD366" s="10" t="s">
        <v>29</v>
      </c>
      <c r="AE366" s="10">
        <v>3</v>
      </c>
      <c r="AF366" s="10" t="s">
        <v>152</v>
      </c>
      <c r="AG366">
        <v>63</v>
      </c>
      <c r="AH366" s="10">
        <v>3009</v>
      </c>
      <c r="AI366" s="43" t="s">
        <v>181</v>
      </c>
      <c r="AK366" s="42"/>
      <c r="AL366" s="34" t="s">
        <v>155</v>
      </c>
      <c r="AM366" s="10" t="s">
        <v>29</v>
      </c>
      <c r="AN366" s="10">
        <v>3</v>
      </c>
      <c r="AO366" s="10" t="s">
        <v>152</v>
      </c>
      <c r="AP366">
        <v>63</v>
      </c>
      <c r="AQ366" s="10" t="s">
        <v>479</v>
      </c>
      <c r="AR366" s="43" t="s">
        <v>181</v>
      </c>
      <c r="AT366" s="42"/>
      <c r="AU366" s="34" t="s">
        <v>155</v>
      </c>
      <c r="AV366" s="10" t="s">
        <v>29</v>
      </c>
      <c r="AW366" s="10">
        <v>3</v>
      </c>
      <c r="AX366" s="10" t="s">
        <v>152</v>
      </c>
      <c r="AY366">
        <v>63</v>
      </c>
      <c r="AZ366" s="10" t="s">
        <v>10</v>
      </c>
      <c r="BA366" s="43" t="s">
        <v>168</v>
      </c>
      <c r="BC366" s="42"/>
      <c r="BD366" s="34" t="s">
        <v>155</v>
      </c>
      <c r="BE366" s="10" t="s">
        <v>29</v>
      </c>
      <c r="BF366" s="10">
        <v>3</v>
      </c>
      <c r="BG366" s="10" t="s">
        <v>152</v>
      </c>
      <c r="BH366">
        <v>63</v>
      </c>
      <c r="BI366" s="10">
        <v>1070</v>
      </c>
      <c r="BJ366" s="43" t="s">
        <v>182</v>
      </c>
      <c r="BL366" s="42"/>
      <c r="BM366" s="34" t="s">
        <v>155</v>
      </c>
      <c r="BN366" s="10" t="s">
        <v>29</v>
      </c>
      <c r="BO366" s="10">
        <v>3</v>
      </c>
      <c r="BP366" s="10" t="s">
        <v>152</v>
      </c>
      <c r="BQ366">
        <v>63</v>
      </c>
      <c r="BR366" s="10">
        <v>1072</v>
      </c>
      <c r="BS366" s="43" t="s">
        <v>172</v>
      </c>
      <c r="BU366" s="42"/>
      <c r="BV366" s="34" t="s">
        <v>155</v>
      </c>
      <c r="BW366" s="10" t="s">
        <v>29</v>
      </c>
      <c r="BX366" s="10">
        <v>3</v>
      </c>
      <c r="BY366" s="10" t="s">
        <v>152</v>
      </c>
      <c r="BZ366">
        <v>63</v>
      </c>
      <c r="CA366" s="10" t="s">
        <v>49</v>
      </c>
      <c r="CB366" s="43" t="s">
        <v>189</v>
      </c>
      <c r="CD366" s="42"/>
      <c r="CE366" s="34" t="s">
        <v>155</v>
      </c>
      <c r="CF366" s="10" t="s">
        <v>29</v>
      </c>
      <c r="CG366" s="10">
        <v>3</v>
      </c>
      <c r="CH366" s="10" t="s">
        <v>152</v>
      </c>
      <c r="CI366">
        <v>63</v>
      </c>
      <c r="CJ366" s="10">
        <v>1079</v>
      </c>
      <c r="CK366" s="43" t="s">
        <v>189</v>
      </c>
    </row>
    <row r="367" spans="1:89" x14ac:dyDescent="0.25">
      <c r="A367" s="42"/>
      <c r="B367" s="34" t="s">
        <v>155</v>
      </c>
      <c r="C367" s="10" t="s">
        <v>29</v>
      </c>
      <c r="D367" s="10">
        <v>4</v>
      </c>
      <c r="E367" s="10" t="s">
        <v>152</v>
      </c>
      <c r="F367">
        <v>64</v>
      </c>
      <c r="G367" s="10" t="s">
        <v>122</v>
      </c>
      <c r="H367" s="43" t="s">
        <v>180</v>
      </c>
      <c r="J367" s="42"/>
      <c r="K367" s="34" t="s">
        <v>155</v>
      </c>
      <c r="L367" s="10" t="s">
        <v>29</v>
      </c>
      <c r="M367" s="10">
        <v>4</v>
      </c>
      <c r="N367" s="10" t="s">
        <v>152</v>
      </c>
      <c r="O367">
        <v>64</v>
      </c>
      <c r="P367" s="10">
        <v>1060</v>
      </c>
      <c r="Q367" s="43" t="s">
        <v>189</v>
      </c>
      <c r="S367" s="42"/>
      <c r="T367" s="34" t="s">
        <v>155</v>
      </c>
      <c r="U367" s="10" t="s">
        <v>29</v>
      </c>
      <c r="V367" s="10">
        <v>4</v>
      </c>
      <c r="W367" s="10" t="s">
        <v>152</v>
      </c>
      <c r="X367">
        <v>64</v>
      </c>
      <c r="Y367" s="10" t="s">
        <v>480</v>
      </c>
      <c r="Z367" s="43" t="s">
        <v>178</v>
      </c>
      <c r="AB367" s="42"/>
      <c r="AC367" s="34" t="s">
        <v>155</v>
      </c>
      <c r="AD367" s="10" t="s">
        <v>29</v>
      </c>
      <c r="AE367" s="10">
        <v>4</v>
      </c>
      <c r="AF367" s="10" t="s">
        <v>152</v>
      </c>
      <c r="AG367">
        <v>64</v>
      </c>
      <c r="AH367" s="10">
        <v>3009</v>
      </c>
      <c r="AI367" s="43" t="s">
        <v>183</v>
      </c>
      <c r="AK367" s="42"/>
      <c r="AL367" s="34" t="s">
        <v>155</v>
      </c>
      <c r="AM367" s="10" t="s">
        <v>29</v>
      </c>
      <c r="AN367" s="10">
        <v>4</v>
      </c>
      <c r="AO367" s="10" t="s">
        <v>152</v>
      </c>
      <c r="AP367">
        <v>64</v>
      </c>
      <c r="AQ367" s="10" t="s">
        <v>481</v>
      </c>
      <c r="AR367" s="43" t="s">
        <v>183</v>
      </c>
      <c r="AT367" s="42"/>
      <c r="AU367" s="34" t="s">
        <v>155</v>
      </c>
      <c r="AV367" s="10" t="s">
        <v>29</v>
      </c>
      <c r="AW367" s="10">
        <v>4</v>
      </c>
      <c r="AX367" s="10" t="s">
        <v>152</v>
      </c>
      <c r="AY367">
        <v>64</v>
      </c>
      <c r="AZ367" s="10" t="s">
        <v>13</v>
      </c>
      <c r="BA367" s="43" t="s">
        <v>176</v>
      </c>
      <c r="BC367" s="42"/>
      <c r="BD367" s="34" t="s">
        <v>155</v>
      </c>
      <c r="BE367" s="10" t="s">
        <v>29</v>
      </c>
      <c r="BF367" s="10">
        <v>4</v>
      </c>
      <c r="BG367" s="10" t="s">
        <v>152</v>
      </c>
      <c r="BH367">
        <v>64</v>
      </c>
      <c r="BI367" s="10">
        <v>1070</v>
      </c>
      <c r="BJ367" s="43" t="s">
        <v>184</v>
      </c>
      <c r="BL367" s="42"/>
      <c r="BM367" s="34" t="s">
        <v>155</v>
      </c>
      <c r="BN367" s="10" t="s">
        <v>29</v>
      </c>
      <c r="BO367" s="10">
        <v>4</v>
      </c>
      <c r="BP367" s="10" t="s">
        <v>152</v>
      </c>
      <c r="BQ367">
        <v>64</v>
      </c>
      <c r="BR367" s="10">
        <v>1072</v>
      </c>
      <c r="BS367" s="43" t="s">
        <v>162</v>
      </c>
      <c r="BU367" s="42"/>
      <c r="BV367" s="34" t="s">
        <v>155</v>
      </c>
      <c r="BW367" s="10" t="s">
        <v>29</v>
      </c>
      <c r="BX367" s="10">
        <v>4</v>
      </c>
      <c r="BY367" s="10" t="s">
        <v>152</v>
      </c>
      <c r="BZ367">
        <v>64</v>
      </c>
      <c r="CA367" s="10" t="s">
        <v>482</v>
      </c>
      <c r="CB367" s="43" t="s">
        <v>160</v>
      </c>
      <c r="CD367" s="42"/>
      <c r="CE367" s="34" t="s">
        <v>155</v>
      </c>
      <c r="CF367" s="10" t="s">
        <v>29</v>
      </c>
      <c r="CG367" s="10">
        <v>4</v>
      </c>
      <c r="CH367" s="10" t="s">
        <v>152</v>
      </c>
      <c r="CI367">
        <v>64</v>
      </c>
      <c r="CJ367" s="10">
        <v>3021</v>
      </c>
      <c r="CK367" s="43" t="s">
        <v>160</v>
      </c>
    </row>
    <row r="368" spans="1:89" ht="15.75" thickBot="1" x14ac:dyDescent="0.3">
      <c r="A368" s="42"/>
      <c r="B368" s="34" t="s">
        <v>155</v>
      </c>
      <c r="C368" s="10" t="s">
        <v>29</v>
      </c>
      <c r="D368" s="10">
        <v>5</v>
      </c>
      <c r="E368" s="10" t="s">
        <v>152</v>
      </c>
      <c r="F368">
        <v>65</v>
      </c>
      <c r="G368" s="10" t="s">
        <v>122</v>
      </c>
      <c r="H368" s="43" t="s">
        <v>181</v>
      </c>
      <c r="J368" s="42"/>
      <c r="K368" s="34" t="s">
        <v>155</v>
      </c>
      <c r="L368" s="10" t="s">
        <v>29</v>
      </c>
      <c r="M368" s="10">
        <v>5</v>
      </c>
      <c r="N368" s="10" t="s">
        <v>152</v>
      </c>
      <c r="O368">
        <v>65</v>
      </c>
      <c r="P368" s="10">
        <v>1057</v>
      </c>
      <c r="Q368" s="43" t="s">
        <v>160</v>
      </c>
      <c r="S368" s="42"/>
      <c r="T368" s="34" t="s">
        <v>155</v>
      </c>
      <c r="U368" s="10" t="s">
        <v>29</v>
      </c>
      <c r="V368" s="10">
        <v>5</v>
      </c>
      <c r="W368" s="10" t="s">
        <v>152</v>
      </c>
      <c r="X368">
        <v>65</v>
      </c>
      <c r="Y368" s="10" t="s">
        <v>483</v>
      </c>
      <c r="Z368" s="43" t="s">
        <v>163</v>
      </c>
      <c r="AB368" s="42"/>
      <c r="AC368" s="34" t="s">
        <v>155</v>
      </c>
      <c r="AD368" s="10" t="s">
        <v>29</v>
      </c>
      <c r="AE368" s="10">
        <v>5</v>
      </c>
      <c r="AF368" s="10" t="s">
        <v>152</v>
      </c>
      <c r="AG368">
        <v>65</v>
      </c>
      <c r="AH368" s="10">
        <v>3009</v>
      </c>
      <c r="AI368" s="43" t="s">
        <v>186</v>
      </c>
      <c r="AK368" s="42"/>
      <c r="AL368" s="34" t="s">
        <v>155</v>
      </c>
      <c r="AM368" s="10" t="s">
        <v>29</v>
      </c>
      <c r="AN368" s="10">
        <v>5</v>
      </c>
      <c r="AO368" s="10" t="s">
        <v>152</v>
      </c>
      <c r="AP368">
        <v>65</v>
      </c>
      <c r="AQ368" s="10" t="s">
        <v>484</v>
      </c>
      <c r="AR368" s="43" t="s">
        <v>186</v>
      </c>
      <c r="AT368" s="42"/>
      <c r="AU368" s="34" t="s">
        <v>155</v>
      </c>
      <c r="AV368" s="10" t="s">
        <v>29</v>
      </c>
      <c r="AW368" s="10">
        <v>5</v>
      </c>
      <c r="AX368" s="10" t="s">
        <v>152</v>
      </c>
      <c r="AY368">
        <v>65</v>
      </c>
      <c r="AZ368" s="10" t="s">
        <v>16</v>
      </c>
      <c r="BA368" s="43" t="s">
        <v>164</v>
      </c>
      <c r="BC368" s="42"/>
      <c r="BD368" s="34" t="s">
        <v>155</v>
      </c>
      <c r="BE368" s="10" t="s">
        <v>29</v>
      </c>
      <c r="BF368" s="10">
        <v>5</v>
      </c>
      <c r="BG368" s="10" t="s">
        <v>152</v>
      </c>
      <c r="BH368">
        <v>65</v>
      </c>
      <c r="BI368" s="10">
        <v>1070</v>
      </c>
      <c r="BJ368" s="43" t="s">
        <v>187</v>
      </c>
      <c r="BL368" s="42"/>
      <c r="BM368" s="34" t="s">
        <v>155</v>
      </c>
      <c r="BN368" s="10" t="s">
        <v>29</v>
      </c>
      <c r="BO368" s="10">
        <v>5</v>
      </c>
      <c r="BP368" s="10" t="s">
        <v>152</v>
      </c>
      <c r="BQ368">
        <v>65</v>
      </c>
      <c r="BR368" s="10">
        <v>1072</v>
      </c>
      <c r="BS368" s="43" t="s">
        <v>170</v>
      </c>
      <c r="BU368" s="42"/>
      <c r="BV368" s="34" t="s">
        <v>155</v>
      </c>
      <c r="BW368" s="10" t="s">
        <v>29</v>
      </c>
      <c r="BX368" s="10">
        <v>5</v>
      </c>
      <c r="BY368" s="10" t="s">
        <v>152</v>
      </c>
      <c r="BZ368">
        <v>65</v>
      </c>
      <c r="CA368" s="10" t="s">
        <v>482</v>
      </c>
      <c r="CB368" s="43" t="s">
        <v>168</v>
      </c>
      <c r="CD368" s="42"/>
      <c r="CE368" s="34" t="s">
        <v>155</v>
      </c>
      <c r="CF368" s="10" t="s">
        <v>29</v>
      </c>
      <c r="CG368" s="10">
        <v>5</v>
      </c>
      <c r="CH368" s="10" t="s">
        <v>152</v>
      </c>
      <c r="CI368">
        <v>65</v>
      </c>
      <c r="CJ368" s="10">
        <v>3021</v>
      </c>
      <c r="CK368" s="43" t="s">
        <v>168</v>
      </c>
    </row>
    <row r="369" spans="1:89" x14ac:dyDescent="0.25">
      <c r="A369" s="42"/>
      <c r="B369" s="34" t="s">
        <v>155</v>
      </c>
      <c r="C369" s="10" t="s">
        <v>29</v>
      </c>
      <c r="D369" s="10">
        <v>6</v>
      </c>
      <c r="E369" s="10" t="s">
        <v>152</v>
      </c>
      <c r="F369">
        <v>66</v>
      </c>
      <c r="G369" s="10" t="s">
        <v>122</v>
      </c>
      <c r="H369" s="43" t="s">
        <v>183</v>
      </c>
      <c r="J369" s="42"/>
      <c r="K369" s="34" t="s">
        <v>155</v>
      </c>
      <c r="L369" s="10" t="s">
        <v>29</v>
      </c>
      <c r="M369" s="10">
        <v>6</v>
      </c>
      <c r="N369" s="10" t="s">
        <v>152</v>
      </c>
      <c r="O369">
        <v>66</v>
      </c>
      <c r="P369" s="10">
        <v>1057</v>
      </c>
      <c r="Q369" s="43" t="s">
        <v>168</v>
      </c>
      <c r="S369" s="42"/>
      <c r="T369" s="34" t="s">
        <v>155</v>
      </c>
      <c r="U369" s="10" t="s">
        <v>29</v>
      </c>
      <c r="V369" s="10">
        <v>6</v>
      </c>
      <c r="W369" s="10" t="s">
        <v>152</v>
      </c>
      <c r="X369">
        <v>66</v>
      </c>
      <c r="Y369" s="10" t="s">
        <v>485</v>
      </c>
      <c r="Z369" s="43" t="s">
        <v>171</v>
      </c>
      <c r="AB369" s="42"/>
      <c r="AC369" s="34" t="s">
        <v>155</v>
      </c>
      <c r="AD369" s="10" t="s">
        <v>29</v>
      </c>
      <c r="AE369" s="10">
        <v>6</v>
      </c>
      <c r="AF369" s="10" t="s">
        <v>152</v>
      </c>
      <c r="AG369">
        <v>66</v>
      </c>
      <c r="AH369" s="10">
        <v>3009</v>
      </c>
      <c r="AI369" s="43" t="s">
        <v>188</v>
      </c>
      <c r="AK369" s="42"/>
      <c r="AL369" s="34" t="s">
        <v>155</v>
      </c>
      <c r="AM369" s="10" t="s">
        <v>29</v>
      </c>
      <c r="AN369" s="10">
        <v>6</v>
      </c>
      <c r="AO369" s="10" t="s">
        <v>152</v>
      </c>
      <c r="AP369">
        <v>66</v>
      </c>
      <c r="AQ369" s="10" t="s">
        <v>486</v>
      </c>
      <c r="AR369" s="43" t="s">
        <v>188</v>
      </c>
      <c r="AT369" s="42"/>
      <c r="AU369" s="34" t="s">
        <v>155</v>
      </c>
      <c r="AV369" s="10" t="s">
        <v>29</v>
      </c>
      <c r="AW369" s="10">
        <v>6</v>
      </c>
      <c r="AX369" s="10" t="s">
        <v>152</v>
      </c>
      <c r="AY369">
        <v>66</v>
      </c>
      <c r="AZ369" s="10" t="s">
        <v>487</v>
      </c>
      <c r="BA369" s="43" t="s">
        <v>172</v>
      </c>
      <c r="BC369" s="42"/>
      <c r="BD369" s="34" t="s">
        <v>155</v>
      </c>
      <c r="BE369" s="10" t="s">
        <v>29</v>
      </c>
      <c r="BF369" s="10">
        <v>6</v>
      </c>
      <c r="BG369" s="10" t="s">
        <v>152</v>
      </c>
      <c r="BH369">
        <v>66</v>
      </c>
      <c r="BI369" s="10">
        <v>1070</v>
      </c>
      <c r="BJ369" s="43" t="s">
        <v>189</v>
      </c>
      <c r="BL369" s="42"/>
      <c r="BM369" s="34" t="s">
        <v>155</v>
      </c>
      <c r="BN369" s="10" t="s">
        <v>29</v>
      </c>
      <c r="BO369" s="10">
        <v>6</v>
      </c>
      <c r="BP369" s="10" t="s">
        <v>152</v>
      </c>
      <c r="BQ369">
        <v>66</v>
      </c>
      <c r="BR369" s="10">
        <v>1072</v>
      </c>
      <c r="BS369" s="33" t="s">
        <v>178</v>
      </c>
      <c r="BU369" s="42"/>
      <c r="BV369" s="34" t="s">
        <v>155</v>
      </c>
      <c r="BW369" s="10" t="s">
        <v>29</v>
      </c>
      <c r="BX369" s="10">
        <v>6</v>
      </c>
      <c r="BY369" s="10" t="s">
        <v>152</v>
      </c>
      <c r="BZ369">
        <v>66</v>
      </c>
      <c r="CA369" s="10" t="s">
        <v>482</v>
      </c>
      <c r="CB369" s="43" t="s">
        <v>176</v>
      </c>
      <c r="CD369" s="42"/>
      <c r="CE369" s="34" t="s">
        <v>155</v>
      </c>
      <c r="CF369" s="10" t="s">
        <v>29</v>
      </c>
      <c r="CG369" s="10">
        <v>6</v>
      </c>
      <c r="CH369" s="10" t="s">
        <v>152</v>
      </c>
      <c r="CI369">
        <v>66</v>
      </c>
      <c r="CJ369" s="10">
        <v>3021</v>
      </c>
      <c r="CK369" s="43" t="s">
        <v>176</v>
      </c>
    </row>
    <row r="370" spans="1:89" ht="15.75" thickBot="1" x14ac:dyDescent="0.3">
      <c r="A370" s="42"/>
      <c r="B370" s="34" t="s">
        <v>155</v>
      </c>
      <c r="C370" s="10" t="s">
        <v>29</v>
      </c>
      <c r="D370" s="10">
        <v>7</v>
      </c>
      <c r="E370" s="10" t="s">
        <v>152</v>
      </c>
      <c r="F370">
        <v>67</v>
      </c>
      <c r="G370" s="10" t="s">
        <v>122</v>
      </c>
      <c r="H370" s="43" t="s">
        <v>186</v>
      </c>
      <c r="J370" s="42"/>
      <c r="K370" s="34" t="s">
        <v>155</v>
      </c>
      <c r="L370" s="10" t="s">
        <v>29</v>
      </c>
      <c r="M370" s="10">
        <v>7</v>
      </c>
      <c r="N370" s="10" t="s">
        <v>152</v>
      </c>
      <c r="O370">
        <v>67</v>
      </c>
      <c r="P370" s="10">
        <v>1057</v>
      </c>
      <c r="Q370" s="43" t="s">
        <v>176</v>
      </c>
      <c r="S370" s="42"/>
      <c r="T370" s="34" t="s">
        <v>155</v>
      </c>
      <c r="U370" s="10" t="s">
        <v>29</v>
      </c>
      <c r="V370" s="10">
        <v>7</v>
      </c>
      <c r="W370" s="10" t="s">
        <v>152</v>
      </c>
      <c r="X370">
        <v>67</v>
      </c>
      <c r="Y370" s="10" t="s">
        <v>488</v>
      </c>
      <c r="Z370" s="43" t="s">
        <v>161</v>
      </c>
      <c r="AB370" s="42"/>
      <c r="AC370" s="34" t="s">
        <v>155</v>
      </c>
      <c r="AD370" s="10" t="s">
        <v>29</v>
      </c>
      <c r="AE370" s="10">
        <v>7</v>
      </c>
      <c r="AF370" s="10" t="s">
        <v>152</v>
      </c>
      <c r="AG370">
        <v>67</v>
      </c>
      <c r="AH370" s="10">
        <v>3009</v>
      </c>
      <c r="AI370" s="43" t="s">
        <v>182</v>
      </c>
      <c r="AK370" s="42"/>
      <c r="AL370" s="34" t="s">
        <v>155</v>
      </c>
      <c r="AM370" s="10" t="s">
        <v>29</v>
      </c>
      <c r="AN370" s="10">
        <v>7</v>
      </c>
      <c r="AO370" s="10" t="s">
        <v>152</v>
      </c>
      <c r="AP370">
        <v>67</v>
      </c>
      <c r="AQ370" s="10" t="s">
        <v>489</v>
      </c>
      <c r="AR370" s="43" t="s">
        <v>182</v>
      </c>
      <c r="AT370" s="42"/>
      <c r="AU370" s="34" t="s">
        <v>155</v>
      </c>
      <c r="AV370" s="10" t="s">
        <v>29</v>
      </c>
      <c r="AW370" s="10">
        <v>7</v>
      </c>
      <c r="AX370" s="10" t="s">
        <v>152</v>
      </c>
      <c r="AY370">
        <v>67</v>
      </c>
      <c r="AZ370" s="10" t="s">
        <v>490</v>
      </c>
      <c r="BA370" s="43" t="s">
        <v>162</v>
      </c>
      <c r="BC370" s="42"/>
      <c r="BD370" s="34" t="s">
        <v>155</v>
      </c>
      <c r="BE370" s="10" t="s">
        <v>29</v>
      </c>
      <c r="BF370" s="10">
        <v>7</v>
      </c>
      <c r="BG370" s="10" t="s">
        <v>152</v>
      </c>
      <c r="BH370">
        <v>67</v>
      </c>
      <c r="BI370" s="10">
        <v>3007</v>
      </c>
      <c r="BJ370" s="43" t="s">
        <v>160</v>
      </c>
      <c r="BL370" s="42"/>
      <c r="BM370" s="34" t="s">
        <v>155</v>
      </c>
      <c r="BN370" s="10" t="s">
        <v>29</v>
      </c>
      <c r="BO370" s="10">
        <v>7</v>
      </c>
      <c r="BP370" s="10" t="s">
        <v>152</v>
      </c>
      <c r="BQ370">
        <v>67</v>
      </c>
      <c r="BR370" s="10">
        <v>1072</v>
      </c>
      <c r="BS370" s="43" t="s">
        <v>163</v>
      </c>
      <c r="BU370" s="42"/>
      <c r="BV370" s="34" t="s">
        <v>155</v>
      </c>
      <c r="BW370" s="10" t="s">
        <v>29</v>
      </c>
      <c r="BX370" s="10">
        <v>7</v>
      </c>
      <c r="BY370" s="10" t="s">
        <v>152</v>
      </c>
      <c r="BZ370">
        <v>67</v>
      </c>
      <c r="CA370" s="10" t="s">
        <v>482</v>
      </c>
      <c r="CB370" s="43" t="s">
        <v>164</v>
      </c>
      <c r="CD370" s="42"/>
      <c r="CE370" s="34" t="s">
        <v>155</v>
      </c>
      <c r="CF370" s="10" t="s">
        <v>29</v>
      </c>
      <c r="CG370" s="10">
        <v>7</v>
      </c>
      <c r="CH370" s="10" t="s">
        <v>152</v>
      </c>
      <c r="CI370">
        <v>67</v>
      </c>
      <c r="CJ370" s="10">
        <v>3021</v>
      </c>
      <c r="CK370" s="43" t="s">
        <v>164</v>
      </c>
    </row>
    <row r="371" spans="1:89" x14ac:dyDescent="0.25">
      <c r="A371" s="42"/>
      <c r="B371" s="34" t="s">
        <v>155</v>
      </c>
      <c r="C371" s="10" t="s">
        <v>29</v>
      </c>
      <c r="D371" s="10">
        <v>8</v>
      </c>
      <c r="E371" s="10" t="s">
        <v>152</v>
      </c>
      <c r="F371">
        <v>68</v>
      </c>
      <c r="G371" s="10" t="s">
        <v>122</v>
      </c>
      <c r="H371" s="43" t="s">
        <v>188</v>
      </c>
      <c r="J371" s="42"/>
      <c r="K371" s="34" t="s">
        <v>155</v>
      </c>
      <c r="L371" s="10" t="s">
        <v>29</v>
      </c>
      <c r="M371" s="10">
        <v>8</v>
      </c>
      <c r="N371" s="10" t="s">
        <v>152</v>
      </c>
      <c r="O371">
        <v>68</v>
      </c>
      <c r="P371" s="10">
        <v>1057</v>
      </c>
      <c r="Q371" s="43" t="s">
        <v>164</v>
      </c>
      <c r="S371" s="42"/>
      <c r="T371" s="34" t="s">
        <v>155</v>
      </c>
      <c r="U371" s="10" t="s">
        <v>29</v>
      </c>
      <c r="V371" s="10">
        <v>8</v>
      </c>
      <c r="W371" s="10" t="s">
        <v>152</v>
      </c>
      <c r="X371">
        <v>68</v>
      </c>
      <c r="Y371" s="10" t="s">
        <v>491</v>
      </c>
      <c r="Z371" s="33" t="s">
        <v>169</v>
      </c>
      <c r="AB371" s="42"/>
      <c r="AC371" s="34" t="s">
        <v>155</v>
      </c>
      <c r="AD371" s="10" t="s">
        <v>29</v>
      </c>
      <c r="AE371" s="10">
        <v>8</v>
      </c>
      <c r="AF371" s="10" t="s">
        <v>152</v>
      </c>
      <c r="AG371">
        <v>68</v>
      </c>
      <c r="AH371" s="10">
        <v>3009</v>
      </c>
      <c r="AI371" s="43" t="s">
        <v>184</v>
      </c>
      <c r="AK371" s="42"/>
      <c r="AL371" s="34" t="s">
        <v>155</v>
      </c>
      <c r="AM371" s="10" t="s">
        <v>29</v>
      </c>
      <c r="AN371" s="10">
        <v>8</v>
      </c>
      <c r="AO371" s="10" t="s">
        <v>152</v>
      </c>
      <c r="AP371">
        <v>68</v>
      </c>
      <c r="AQ371" s="10" t="s">
        <v>492</v>
      </c>
      <c r="AR371" s="43" t="s">
        <v>184</v>
      </c>
      <c r="AT371" s="42"/>
      <c r="AU371" s="34" t="s">
        <v>155</v>
      </c>
      <c r="AV371" s="10" t="s">
        <v>29</v>
      </c>
      <c r="AW371" s="10">
        <v>8</v>
      </c>
      <c r="AX371" s="10" t="s">
        <v>152</v>
      </c>
      <c r="AY371">
        <v>68</v>
      </c>
      <c r="AZ371" s="10" t="s">
        <v>493</v>
      </c>
      <c r="BA371" s="43" t="s">
        <v>170</v>
      </c>
      <c r="BC371" s="42"/>
      <c r="BD371" s="34" t="s">
        <v>155</v>
      </c>
      <c r="BE371" s="10" t="s">
        <v>29</v>
      </c>
      <c r="BF371" s="10">
        <v>8</v>
      </c>
      <c r="BG371" s="10" t="s">
        <v>152</v>
      </c>
      <c r="BH371">
        <v>68</v>
      </c>
      <c r="BI371" s="10">
        <v>3007</v>
      </c>
      <c r="BJ371" s="43" t="s">
        <v>168</v>
      </c>
      <c r="BL371" s="42"/>
      <c r="BM371" s="34" t="s">
        <v>155</v>
      </c>
      <c r="BN371" s="10" t="s">
        <v>29</v>
      </c>
      <c r="BO371" s="10">
        <v>8</v>
      </c>
      <c r="BP371" s="10" t="s">
        <v>152</v>
      </c>
      <c r="BQ371">
        <v>68</v>
      </c>
      <c r="BR371" s="10">
        <v>1072</v>
      </c>
      <c r="BS371" s="43" t="s">
        <v>171</v>
      </c>
      <c r="BU371" s="42"/>
      <c r="BV371" s="34" t="s">
        <v>155</v>
      </c>
      <c r="BW371" s="10" t="s">
        <v>29</v>
      </c>
      <c r="BX371" s="10">
        <v>8</v>
      </c>
      <c r="BY371" s="10" t="s">
        <v>152</v>
      </c>
      <c r="BZ371">
        <v>68</v>
      </c>
      <c r="CA371" s="10" t="s">
        <v>482</v>
      </c>
      <c r="CB371" s="43" t="s">
        <v>172</v>
      </c>
      <c r="CD371" s="42"/>
      <c r="CE371" s="34" t="s">
        <v>155</v>
      </c>
      <c r="CF371" s="10" t="s">
        <v>29</v>
      </c>
      <c r="CG371" s="10">
        <v>8</v>
      </c>
      <c r="CH371" s="10" t="s">
        <v>152</v>
      </c>
      <c r="CI371">
        <v>68</v>
      </c>
      <c r="CJ371" s="10">
        <v>3021</v>
      </c>
      <c r="CK371" s="43" t="s">
        <v>172</v>
      </c>
    </row>
    <row r="372" spans="1:89" x14ac:dyDescent="0.25">
      <c r="A372" s="42"/>
      <c r="B372" s="34" t="s">
        <v>155</v>
      </c>
      <c r="C372" s="10" t="s">
        <v>29</v>
      </c>
      <c r="D372" s="10">
        <v>9</v>
      </c>
      <c r="E372" s="10" t="s">
        <v>152</v>
      </c>
      <c r="F372">
        <v>69</v>
      </c>
      <c r="G372" s="10" t="s">
        <v>122</v>
      </c>
      <c r="H372" s="43" t="s">
        <v>182</v>
      </c>
      <c r="J372" s="42"/>
      <c r="K372" s="34" t="s">
        <v>155</v>
      </c>
      <c r="L372" s="10" t="s">
        <v>29</v>
      </c>
      <c r="M372" s="10">
        <v>9</v>
      </c>
      <c r="N372" s="10" t="s">
        <v>152</v>
      </c>
      <c r="O372">
        <v>69</v>
      </c>
      <c r="P372" s="10">
        <v>1057</v>
      </c>
      <c r="Q372" s="43" t="s">
        <v>172</v>
      </c>
      <c r="S372" s="42"/>
      <c r="T372" s="34" t="s">
        <v>155</v>
      </c>
      <c r="U372" s="10" t="s">
        <v>29</v>
      </c>
      <c r="V372" s="10">
        <v>9</v>
      </c>
      <c r="W372" s="10" t="s">
        <v>152</v>
      </c>
      <c r="X372">
        <v>69</v>
      </c>
      <c r="Y372" s="10" t="s">
        <v>494</v>
      </c>
      <c r="Z372" s="43" t="s">
        <v>177</v>
      </c>
      <c r="AB372" s="42"/>
      <c r="AC372" s="34" t="s">
        <v>155</v>
      </c>
      <c r="AD372" s="10" t="s">
        <v>29</v>
      </c>
      <c r="AE372" s="10">
        <v>9</v>
      </c>
      <c r="AF372" s="10" t="s">
        <v>152</v>
      </c>
      <c r="AG372">
        <v>69</v>
      </c>
      <c r="AH372" s="10">
        <v>3009</v>
      </c>
      <c r="AI372" s="43" t="s">
        <v>187</v>
      </c>
      <c r="AK372" s="42"/>
      <c r="AL372" s="34" t="s">
        <v>155</v>
      </c>
      <c r="AM372" s="10" t="s">
        <v>29</v>
      </c>
      <c r="AN372" s="10">
        <v>9</v>
      </c>
      <c r="AO372" s="10" t="s">
        <v>152</v>
      </c>
      <c r="AP372">
        <v>69</v>
      </c>
      <c r="AQ372" s="10" t="s">
        <v>495</v>
      </c>
      <c r="AR372" s="43" t="s">
        <v>187</v>
      </c>
      <c r="AT372" s="42"/>
      <c r="AU372" s="34" t="s">
        <v>155</v>
      </c>
      <c r="AV372" s="10" t="s">
        <v>29</v>
      </c>
      <c r="AW372" s="10">
        <v>9</v>
      </c>
      <c r="AX372" s="10" t="s">
        <v>152</v>
      </c>
      <c r="AY372">
        <v>69</v>
      </c>
      <c r="AZ372" s="10" t="s">
        <v>496</v>
      </c>
      <c r="BA372" s="43" t="s">
        <v>178</v>
      </c>
      <c r="BC372" s="42"/>
      <c r="BD372" s="34" t="s">
        <v>155</v>
      </c>
      <c r="BE372" s="10" t="s">
        <v>29</v>
      </c>
      <c r="BF372" s="10">
        <v>9</v>
      </c>
      <c r="BG372" s="10" t="s">
        <v>152</v>
      </c>
      <c r="BH372">
        <v>69</v>
      </c>
      <c r="BI372" s="10">
        <v>3007</v>
      </c>
      <c r="BJ372" s="43" t="s">
        <v>176</v>
      </c>
      <c r="BL372" s="42"/>
      <c r="BM372" s="34" t="s">
        <v>155</v>
      </c>
      <c r="BN372" s="10" t="s">
        <v>29</v>
      </c>
      <c r="BO372" s="10">
        <v>9</v>
      </c>
      <c r="BP372" s="10" t="s">
        <v>152</v>
      </c>
      <c r="BQ372">
        <v>69</v>
      </c>
      <c r="BR372" s="10">
        <v>1072</v>
      </c>
      <c r="BS372" s="43" t="s">
        <v>161</v>
      </c>
      <c r="BU372" s="42"/>
      <c r="BV372" s="34" t="s">
        <v>155</v>
      </c>
      <c r="BW372" s="10" t="s">
        <v>29</v>
      </c>
      <c r="BX372" s="10">
        <v>9</v>
      </c>
      <c r="BY372" s="10" t="s">
        <v>152</v>
      </c>
      <c r="BZ372">
        <v>69</v>
      </c>
      <c r="CA372" s="10" t="s">
        <v>482</v>
      </c>
      <c r="CB372" s="43" t="s">
        <v>162</v>
      </c>
      <c r="CD372" s="42"/>
      <c r="CE372" s="34" t="s">
        <v>155</v>
      </c>
      <c r="CF372" s="10" t="s">
        <v>29</v>
      </c>
      <c r="CG372" s="10">
        <v>9</v>
      </c>
      <c r="CH372" s="10" t="s">
        <v>152</v>
      </c>
      <c r="CI372">
        <v>69</v>
      </c>
      <c r="CJ372" s="10">
        <v>3021</v>
      </c>
      <c r="CK372" s="43" t="s">
        <v>162</v>
      </c>
    </row>
    <row r="373" spans="1:89" ht="15.75" thickBot="1" x14ac:dyDescent="0.3">
      <c r="A373" s="42"/>
      <c r="B373" s="34" t="s">
        <v>155</v>
      </c>
      <c r="C373" s="10" t="s">
        <v>29</v>
      </c>
      <c r="D373" s="10">
        <v>10</v>
      </c>
      <c r="E373" s="10" t="s">
        <v>152</v>
      </c>
      <c r="F373">
        <v>70</v>
      </c>
      <c r="G373" s="10" t="s">
        <v>122</v>
      </c>
      <c r="H373" s="43" t="s">
        <v>184</v>
      </c>
      <c r="J373" s="42"/>
      <c r="K373" s="34" t="s">
        <v>155</v>
      </c>
      <c r="L373" s="10" t="s">
        <v>29</v>
      </c>
      <c r="M373" s="10">
        <v>10</v>
      </c>
      <c r="N373" s="10" t="s">
        <v>152</v>
      </c>
      <c r="O373">
        <v>70</v>
      </c>
      <c r="P373" s="10">
        <v>1057</v>
      </c>
      <c r="Q373" s="43" t="s">
        <v>162</v>
      </c>
      <c r="S373" s="42"/>
      <c r="T373" s="34" t="s">
        <v>155</v>
      </c>
      <c r="U373" s="10" t="s">
        <v>29</v>
      </c>
      <c r="V373" s="10">
        <v>10</v>
      </c>
      <c r="W373" s="10" t="s">
        <v>152</v>
      </c>
      <c r="X373">
        <v>70</v>
      </c>
      <c r="Y373" s="10" t="s">
        <v>497</v>
      </c>
      <c r="Z373" s="43" t="s">
        <v>180</v>
      </c>
      <c r="AB373" s="42"/>
      <c r="AC373" s="34" t="s">
        <v>155</v>
      </c>
      <c r="AD373" s="10" t="s">
        <v>29</v>
      </c>
      <c r="AE373" s="10">
        <v>10</v>
      </c>
      <c r="AF373" s="10" t="s">
        <v>152</v>
      </c>
      <c r="AG373">
        <v>70</v>
      </c>
      <c r="AH373" s="10">
        <v>3009</v>
      </c>
      <c r="AI373" s="43" t="s">
        <v>189</v>
      </c>
      <c r="AK373" s="42"/>
      <c r="AL373" s="34" t="s">
        <v>155</v>
      </c>
      <c r="AM373" s="10" t="s">
        <v>29</v>
      </c>
      <c r="AN373" s="10">
        <v>10</v>
      </c>
      <c r="AO373" s="10" t="s">
        <v>152</v>
      </c>
      <c r="AP373">
        <v>70</v>
      </c>
      <c r="AQ373" s="10" t="s">
        <v>498</v>
      </c>
      <c r="AR373" s="43" t="s">
        <v>189</v>
      </c>
      <c r="AT373" s="42"/>
      <c r="AU373" s="34" t="s">
        <v>155</v>
      </c>
      <c r="AV373" s="10" t="s">
        <v>29</v>
      </c>
      <c r="AW373" s="10">
        <v>10</v>
      </c>
      <c r="AX373" s="10" t="s">
        <v>152</v>
      </c>
      <c r="AY373">
        <v>70</v>
      </c>
      <c r="AZ373" s="10" t="s">
        <v>499</v>
      </c>
      <c r="BA373" s="43" t="s">
        <v>163</v>
      </c>
      <c r="BC373" s="42"/>
      <c r="BD373" s="34" t="s">
        <v>155</v>
      </c>
      <c r="BE373" s="10" t="s">
        <v>29</v>
      </c>
      <c r="BF373" s="10">
        <v>10</v>
      </c>
      <c r="BG373" s="10" t="s">
        <v>152</v>
      </c>
      <c r="BH373">
        <v>70</v>
      </c>
      <c r="BI373" s="10">
        <v>3007</v>
      </c>
      <c r="BJ373" s="43" t="s">
        <v>164</v>
      </c>
      <c r="BL373" s="42"/>
      <c r="BM373" s="34" t="s">
        <v>155</v>
      </c>
      <c r="BN373" s="10" t="s">
        <v>29</v>
      </c>
      <c r="BO373" s="10">
        <v>10</v>
      </c>
      <c r="BP373" s="10" t="s">
        <v>152</v>
      </c>
      <c r="BQ373">
        <v>70</v>
      </c>
      <c r="BR373" s="10">
        <v>1072</v>
      </c>
      <c r="BS373" s="43" t="s">
        <v>169</v>
      </c>
      <c r="BU373" s="42"/>
      <c r="BV373" s="34" t="s">
        <v>155</v>
      </c>
      <c r="BW373" s="10" t="s">
        <v>29</v>
      </c>
      <c r="BX373" s="10">
        <v>10</v>
      </c>
      <c r="BY373" s="10" t="s">
        <v>152</v>
      </c>
      <c r="BZ373">
        <v>70</v>
      </c>
      <c r="CA373" s="10" t="s">
        <v>482</v>
      </c>
      <c r="CB373" s="43" t="s">
        <v>170</v>
      </c>
      <c r="CD373" s="42"/>
      <c r="CE373" s="34" t="s">
        <v>155</v>
      </c>
      <c r="CF373" s="10" t="s">
        <v>29</v>
      </c>
      <c r="CG373" s="10">
        <v>10</v>
      </c>
      <c r="CH373" s="10" t="s">
        <v>152</v>
      </c>
      <c r="CI373">
        <v>70</v>
      </c>
      <c r="CJ373" s="10">
        <v>3021</v>
      </c>
      <c r="CK373" s="43" t="s">
        <v>170</v>
      </c>
    </row>
    <row r="374" spans="1:89" x14ac:dyDescent="0.25">
      <c r="A374" s="42"/>
      <c r="B374" s="34" t="s">
        <v>155</v>
      </c>
      <c r="C374" s="10" t="s">
        <v>29</v>
      </c>
      <c r="D374" s="10">
        <v>11</v>
      </c>
      <c r="E374" s="10" t="s">
        <v>152</v>
      </c>
      <c r="F374">
        <v>71</v>
      </c>
      <c r="G374" s="10" t="s">
        <v>122</v>
      </c>
      <c r="H374" s="43" t="s">
        <v>187</v>
      </c>
      <c r="J374" s="42"/>
      <c r="K374" s="34" t="s">
        <v>155</v>
      </c>
      <c r="L374" s="10" t="s">
        <v>29</v>
      </c>
      <c r="M374" s="10">
        <v>11</v>
      </c>
      <c r="N374" s="10" t="s">
        <v>152</v>
      </c>
      <c r="O374">
        <v>71</v>
      </c>
      <c r="P374" s="10">
        <v>1057</v>
      </c>
      <c r="Q374" s="43" t="s">
        <v>170</v>
      </c>
      <c r="S374" s="42"/>
      <c r="T374" s="34" t="s">
        <v>155</v>
      </c>
      <c r="U374" s="10" t="s">
        <v>29</v>
      </c>
      <c r="V374" s="10">
        <v>11</v>
      </c>
      <c r="W374" s="10" t="s">
        <v>152</v>
      </c>
      <c r="X374">
        <v>71</v>
      </c>
      <c r="Y374" s="10" t="s">
        <v>500</v>
      </c>
      <c r="Z374" s="43" t="s">
        <v>181</v>
      </c>
      <c r="AB374" s="42"/>
      <c r="AC374" s="34" t="s">
        <v>155</v>
      </c>
      <c r="AD374" s="10" t="s">
        <v>29</v>
      </c>
      <c r="AE374" s="10">
        <v>11</v>
      </c>
      <c r="AF374" s="10" t="s">
        <v>152</v>
      </c>
      <c r="AG374">
        <v>71</v>
      </c>
      <c r="AH374" s="10">
        <v>3010</v>
      </c>
      <c r="AI374" s="43" t="s">
        <v>182</v>
      </c>
      <c r="AK374" s="42"/>
      <c r="AL374" s="34" t="s">
        <v>155</v>
      </c>
      <c r="AM374" s="10" t="s">
        <v>29</v>
      </c>
      <c r="AN374" s="10">
        <v>11</v>
      </c>
      <c r="AO374" s="10" t="s">
        <v>152</v>
      </c>
      <c r="AP374">
        <v>71</v>
      </c>
      <c r="AQ374" s="10">
        <v>1012</v>
      </c>
      <c r="AR374" s="43" t="s">
        <v>171</v>
      </c>
      <c r="AT374" s="42"/>
      <c r="AU374" s="34" t="s">
        <v>155</v>
      </c>
      <c r="AV374" s="10" t="s">
        <v>29</v>
      </c>
      <c r="AW374" s="10">
        <v>11</v>
      </c>
      <c r="AX374" s="10" t="s">
        <v>152</v>
      </c>
      <c r="AY374">
        <v>71</v>
      </c>
      <c r="AZ374" s="10" t="s">
        <v>501</v>
      </c>
      <c r="BA374" s="43" t="s">
        <v>171</v>
      </c>
      <c r="BC374" s="42"/>
      <c r="BD374" s="34" t="s">
        <v>155</v>
      </c>
      <c r="BE374" s="10" t="s">
        <v>29</v>
      </c>
      <c r="BF374" s="10">
        <v>11</v>
      </c>
      <c r="BG374" s="10" t="s">
        <v>152</v>
      </c>
      <c r="BH374">
        <v>71</v>
      </c>
      <c r="BI374" s="10">
        <v>3007</v>
      </c>
      <c r="BJ374" s="51" t="s">
        <v>172</v>
      </c>
      <c r="BL374" s="42"/>
      <c r="BM374" s="34" t="s">
        <v>155</v>
      </c>
      <c r="BN374" s="10" t="s">
        <v>29</v>
      </c>
      <c r="BO374" s="10">
        <v>11</v>
      </c>
      <c r="BP374" s="10" t="s">
        <v>152</v>
      </c>
      <c r="BQ374">
        <v>71</v>
      </c>
      <c r="BR374" s="10">
        <v>1072</v>
      </c>
      <c r="BS374" s="43" t="s">
        <v>177</v>
      </c>
      <c r="BU374" s="42"/>
      <c r="BV374" s="34" t="s">
        <v>155</v>
      </c>
      <c r="BW374" s="10" t="s">
        <v>29</v>
      </c>
      <c r="BX374" s="10">
        <v>11</v>
      </c>
      <c r="BY374" s="10" t="s">
        <v>152</v>
      </c>
      <c r="BZ374">
        <v>71</v>
      </c>
      <c r="CA374" s="10" t="s">
        <v>482</v>
      </c>
      <c r="CB374" s="33" t="s">
        <v>178</v>
      </c>
      <c r="CD374" s="42"/>
      <c r="CE374" s="34" t="s">
        <v>155</v>
      </c>
      <c r="CF374" s="10" t="s">
        <v>29</v>
      </c>
      <c r="CG374" s="10">
        <v>11</v>
      </c>
      <c r="CH374" s="10" t="s">
        <v>152</v>
      </c>
      <c r="CI374">
        <v>71</v>
      </c>
      <c r="CJ374" s="10">
        <v>3021</v>
      </c>
      <c r="CK374" s="33" t="s">
        <v>178</v>
      </c>
    </row>
    <row r="375" spans="1:89" ht="15.75" thickBot="1" x14ac:dyDescent="0.3">
      <c r="A375" s="47"/>
      <c r="B375" s="48" t="s">
        <v>155</v>
      </c>
      <c r="C375" s="49" t="s">
        <v>29</v>
      </c>
      <c r="D375" s="49">
        <v>12</v>
      </c>
      <c r="E375" s="49" t="s">
        <v>152</v>
      </c>
      <c r="F375" s="50">
        <v>72</v>
      </c>
      <c r="G375" s="10" t="s">
        <v>122</v>
      </c>
      <c r="H375" s="43" t="s">
        <v>189</v>
      </c>
      <c r="J375" s="47"/>
      <c r="K375" s="48" t="s">
        <v>155</v>
      </c>
      <c r="L375" s="49" t="s">
        <v>29</v>
      </c>
      <c r="M375" s="49">
        <v>12</v>
      </c>
      <c r="N375" s="49" t="s">
        <v>152</v>
      </c>
      <c r="O375" s="50">
        <v>72</v>
      </c>
      <c r="P375" s="10">
        <v>1057</v>
      </c>
      <c r="Q375" s="43" t="s">
        <v>178</v>
      </c>
      <c r="S375" s="47"/>
      <c r="T375" s="48" t="s">
        <v>155</v>
      </c>
      <c r="U375" s="49" t="s">
        <v>29</v>
      </c>
      <c r="V375" s="49">
        <v>12</v>
      </c>
      <c r="W375" s="49" t="s">
        <v>152</v>
      </c>
      <c r="X375" s="50">
        <v>72</v>
      </c>
      <c r="Y375" s="10" t="s">
        <v>502</v>
      </c>
      <c r="Z375" s="43" t="s">
        <v>183</v>
      </c>
      <c r="AB375" s="47"/>
      <c r="AC375" s="48" t="s">
        <v>155</v>
      </c>
      <c r="AD375" s="49" t="s">
        <v>29</v>
      </c>
      <c r="AE375" s="49">
        <v>12</v>
      </c>
      <c r="AF375" s="49" t="s">
        <v>152</v>
      </c>
      <c r="AG375" s="50">
        <v>72</v>
      </c>
      <c r="AH375" s="10">
        <v>3010</v>
      </c>
      <c r="AI375" s="43" t="s">
        <v>184</v>
      </c>
      <c r="AK375" s="47"/>
      <c r="AL375" s="48" t="s">
        <v>155</v>
      </c>
      <c r="AM375" s="49" t="s">
        <v>29</v>
      </c>
      <c r="AN375" s="49">
        <v>12</v>
      </c>
      <c r="AO375" s="49" t="s">
        <v>152</v>
      </c>
      <c r="AP375" s="50">
        <v>72</v>
      </c>
      <c r="AQ375" s="10">
        <v>1012</v>
      </c>
      <c r="AR375" s="43" t="s">
        <v>161</v>
      </c>
      <c r="AT375" s="47"/>
      <c r="AU375" s="48" t="s">
        <v>155</v>
      </c>
      <c r="AV375" s="49" t="s">
        <v>29</v>
      </c>
      <c r="AW375" s="49">
        <v>12</v>
      </c>
      <c r="AX375" s="49" t="s">
        <v>152</v>
      </c>
      <c r="AY375" s="50">
        <v>72</v>
      </c>
      <c r="AZ375" s="10" t="s">
        <v>503</v>
      </c>
      <c r="BA375" s="43" t="s">
        <v>161</v>
      </c>
      <c r="BC375" s="47"/>
      <c r="BD375" s="48" t="s">
        <v>155</v>
      </c>
      <c r="BE375" s="49" t="s">
        <v>29</v>
      </c>
      <c r="BF375" s="49">
        <v>12</v>
      </c>
      <c r="BG375" s="49" t="s">
        <v>152</v>
      </c>
      <c r="BH375" s="50">
        <v>72</v>
      </c>
      <c r="BI375" s="10">
        <v>3007</v>
      </c>
      <c r="BJ375" s="43" t="s">
        <v>162</v>
      </c>
      <c r="BL375" s="47"/>
      <c r="BM375" s="48" t="s">
        <v>155</v>
      </c>
      <c r="BN375" s="49" t="s">
        <v>29</v>
      </c>
      <c r="BO375" s="49">
        <v>12</v>
      </c>
      <c r="BP375" s="49" t="s">
        <v>152</v>
      </c>
      <c r="BQ375" s="50">
        <v>72</v>
      </c>
      <c r="BR375" s="10">
        <v>1072</v>
      </c>
      <c r="BS375" s="43" t="s">
        <v>180</v>
      </c>
      <c r="BU375" s="47"/>
      <c r="BV375" s="48" t="s">
        <v>155</v>
      </c>
      <c r="BW375" s="49" t="s">
        <v>29</v>
      </c>
      <c r="BX375" s="49">
        <v>12</v>
      </c>
      <c r="BY375" s="49" t="s">
        <v>152</v>
      </c>
      <c r="BZ375" s="50">
        <v>72</v>
      </c>
      <c r="CA375" s="10" t="s">
        <v>482</v>
      </c>
      <c r="CB375" s="43" t="s">
        <v>163</v>
      </c>
      <c r="CD375" s="47"/>
      <c r="CE375" s="48" t="s">
        <v>155</v>
      </c>
      <c r="CF375" s="49" t="s">
        <v>29</v>
      </c>
      <c r="CG375" s="49">
        <v>12</v>
      </c>
      <c r="CH375" s="49" t="s">
        <v>152</v>
      </c>
      <c r="CI375" s="50">
        <v>72</v>
      </c>
      <c r="CJ375" s="10">
        <v>3021</v>
      </c>
      <c r="CK375" s="43" t="s">
        <v>163</v>
      </c>
    </row>
    <row r="376" spans="1:89" x14ac:dyDescent="0.25">
      <c r="A376" s="56"/>
      <c r="B376" s="34" t="s">
        <v>155</v>
      </c>
      <c r="C376" s="58" t="s">
        <v>34</v>
      </c>
      <c r="D376" s="58">
        <v>1</v>
      </c>
      <c r="E376" s="58" t="s">
        <v>152</v>
      </c>
      <c r="F376" s="59">
        <v>73</v>
      </c>
      <c r="G376" s="10" t="s">
        <v>111</v>
      </c>
      <c r="H376" s="43" t="s">
        <v>160</v>
      </c>
      <c r="J376" s="56"/>
      <c r="K376" s="34" t="s">
        <v>155</v>
      </c>
      <c r="L376" s="58" t="s">
        <v>34</v>
      </c>
      <c r="M376" s="58">
        <v>1</v>
      </c>
      <c r="N376" s="58" t="s">
        <v>152</v>
      </c>
      <c r="O376" s="59">
        <v>73</v>
      </c>
      <c r="P376" s="10">
        <v>1057</v>
      </c>
      <c r="Q376" s="43" t="s">
        <v>163</v>
      </c>
      <c r="S376" s="56"/>
      <c r="T376" s="34" t="s">
        <v>155</v>
      </c>
      <c r="U376" s="58" t="s">
        <v>34</v>
      </c>
      <c r="V376" s="58">
        <v>1</v>
      </c>
      <c r="W376" s="58" t="s">
        <v>152</v>
      </c>
      <c r="X376" s="59">
        <v>73</v>
      </c>
      <c r="Y376" s="10" t="s">
        <v>504</v>
      </c>
      <c r="Z376" s="43" t="s">
        <v>186</v>
      </c>
      <c r="AB376" s="56"/>
      <c r="AC376" s="34" t="s">
        <v>155</v>
      </c>
      <c r="AD376" s="58" t="s">
        <v>34</v>
      </c>
      <c r="AE376" s="58">
        <v>1</v>
      </c>
      <c r="AF376" s="58" t="s">
        <v>152</v>
      </c>
      <c r="AG376" s="59">
        <v>73</v>
      </c>
      <c r="AH376" s="10">
        <v>3010</v>
      </c>
      <c r="AI376" s="43" t="s">
        <v>187</v>
      </c>
      <c r="AK376" s="56"/>
      <c r="AL376" s="34" t="s">
        <v>155</v>
      </c>
      <c r="AM376" s="58" t="s">
        <v>34</v>
      </c>
      <c r="AN376" s="58">
        <v>1</v>
      </c>
      <c r="AO376" s="58" t="s">
        <v>152</v>
      </c>
      <c r="AP376" s="59">
        <v>73</v>
      </c>
      <c r="AQ376" s="10">
        <v>1012</v>
      </c>
      <c r="AR376" s="33" t="s">
        <v>169</v>
      </c>
      <c r="AT376" s="56"/>
      <c r="AU376" s="34" t="s">
        <v>155</v>
      </c>
      <c r="AV376" s="58" t="s">
        <v>34</v>
      </c>
      <c r="AW376" s="58">
        <v>1</v>
      </c>
      <c r="AX376" s="58" t="s">
        <v>152</v>
      </c>
      <c r="AY376" s="59">
        <v>73</v>
      </c>
      <c r="AZ376" s="10" t="s">
        <v>505</v>
      </c>
      <c r="BA376" s="33" t="s">
        <v>169</v>
      </c>
      <c r="BC376" s="56"/>
      <c r="BD376" s="34" t="s">
        <v>155</v>
      </c>
      <c r="BE376" s="58" t="s">
        <v>34</v>
      </c>
      <c r="BF376" s="58">
        <v>1</v>
      </c>
      <c r="BG376" s="58" t="s">
        <v>152</v>
      </c>
      <c r="BH376" s="59">
        <v>73</v>
      </c>
      <c r="BI376" s="10">
        <v>3007</v>
      </c>
      <c r="BJ376" s="43" t="s">
        <v>170</v>
      </c>
      <c r="BL376" s="56"/>
      <c r="BM376" s="34" t="s">
        <v>155</v>
      </c>
      <c r="BN376" s="58" t="s">
        <v>34</v>
      </c>
      <c r="BO376" s="58">
        <v>1</v>
      </c>
      <c r="BP376" s="58" t="s">
        <v>152</v>
      </c>
      <c r="BQ376" s="59">
        <v>73</v>
      </c>
      <c r="BR376" s="10">
        <v>1072</v>
      </c>
      <c r="BS376" s="43" t="s">
        <v>181</v>
      </c>
      <c r="BU376" s="56"/>
      <c r="BV376" s="34" t="s">
        <v>155</v>
      </c>
      <c r="BW376" s="58" t="s">
        <v>34</v>
      </c>
      <c r="BX376" s="58">
        <v>1</v>
      </c>
      <c r="BY376" s="58" t="s">
        <v>152</v>
      </c>
      <c r="BZ376" s="59">
        <v>73</v>
      </c>
      <c r="CA376" s="10" t="s">
        <v>482</v>
      </c>
      <c r="CB376" s="43" t="s">
        <v>171</v>
      </c>
      <c r="CD376" s="56"/>
      <c r="CE376" s="34" t="s">
        <v>155</v>
      </c>
      <c r="CF376" s="58" t="s">
        <v>34</v>
      </c>
      <c r="CG376" s="58">
        <v>1</v>
      </c>
      <c r="CH376" s="58" t="s">
        <v>152</v>
      </c>
      <c r="CI376" s="59">
        <v>73</v>
      </c>
      <c r="CJ376" s="10">
        <v>3021</v>
      </c>
      <c r="CK376" s="43" t="s">
        <v>171</v>
      </c>
    </row>
    <row r="377" spans="1:89" x14ac:dyDescent="0.25">
      <c r="A377" s="42"/>
      <c r="B377" s="34" t="s">
        <v>155</v>
      </c>
      <c r="C377" s="10" t="s">
        <v>34</v>
      </c>
      <c r="D377" s="10">
        <v>2</v>
      </c>
      <c r="E377" s="10" t="s">
        <v>152</v>
      </c>
      <c r="F377">
        <v>74</v>
      </c>
      <c r="G377" s="10" t="s">
        <v>111</v>
      </c>
      <c r="H377" s="51" t="s">
        <v>168</v>
      </c>
      <c r="J377" s="42"/>
      <c r="K377" s="34" t="s">
        <v>155</v>
      </c>
      <c r="L377" s="10" t="s">
        <v>34</v>
      </c>
      <c r="M377" s="10">
        <v>2</v>
      </c>
      <c r="N377" s="10" t="s">
        <v>152</v>
      </c>
      <c r="O377">
        <v>74</v>
      </c>
      <c r="P377" s="10">
        <v>1057</v>
      </c>
      <c r="Q377" s="51" t="s">
        <v>171</v>
      </c>
      <c r="S377" s="42"/>
      <c r="T377" s="34" t="s">
        <v>155</v>
      </c>
      <c r="U377" s="10" t="s">
        <v>34</v>
      </c>
      <c r="V377" s="10">
        <v>2</v>
      </c>
      <c r="W377" s="10" t="s">
        <v>152</v>
      </c>
      <c r="X377">
        <v>74</v>
      </c>
      <c r="Y377" s="10" t="s">
        <v>506</v>
      </c>
      <c r="Z377" s="43" t="s">
        <v>188</v>
      </c>
      <c r="AB377" s="42"/>
      <c r="AC377" s="34" t="s">
        <v>155</v>
      </c>
      <c r="AD377" s="10" t="s">
        <v>34</v>
      </c>
      <c r="AE377" s="10">
        <v>2</v>
      </c>
      <c r="AF377" s="10" t="s">
        <v>152</v>
      </c>
      <c r="AG377">
        <v>74</v>
      </c>
      <c r="AH377" s="10">
        <v>3010</v>
      </c>
      <c r="AI377" s="43" t="s">
        <v>189</v>
      </c>
      <c r="AK377" s="42"/>
      <c r="AL377" s="34" t="s">
        <v>155</v>
      </c>
      <c r="AM377" s="10" t="s">
        <v>34</v>
      </c>
      <c r="AN377" s="10">
        <v>2</v>
      </c>
      <c r="AO377" s="10" t="s">
        <v>152</v>
      </c>
      <c r="AP377">
        <v>74</v>
      </c>
      <c r="AQ377" s="10">
        <v>1012</v>
      </c>
      <c r="AR377" s="43" t="s">
        <v>177</v>
      </c>
      <c r="AT377" s="42"/>
      <c r="AU377" s="34" t="s">
        <v>155</v>
      </c>
      <c r="AV377" s="10" t="s">
        <v>34</v>
      </c>
      <c r="AW377" s="10">
        <v>2</v>
      </c>
      <c r="AX377" s="10" t="s">
        <v>152</v>
      </c>
      <c r="AY377">
        <v>74</v>
      </c>
      <c r="AZ377" s="10" t="s">
        <v>507</v>
      </c>
      <c r="BA377" s="43" t="s">
        <v>177</v>
      </c>
      <c r="BC377" s="42"/>
      <c r="BD377" s="34" t="s">
        <v>155</v>
      </c>
      <c r="BE377" s="10" t="s">
        <v>34</v>
      </c>
      <c r="BF377" s="10">
        <v>2</v>
      </c>
      <c r="BG377" s="10" t="s">
        <v>152</v>
      </c>
      <c r="BH377">
        <v>74</v>
      </c>
      <c r="BI377" s="10">
        <v>3007</v>
      </c>
      <c r="BJ377" s="43" t="s">
        <v>178</v>
      </c>
      <c r="BL377" s="42"/>
      <c r="BM377" s="34" t="s">
        <v>155</v>
      </c>
      <c r="BN377" s="10" t="s">
        <v>34</v>
      </c>
      <c r="BO377" s="10">
        <v>2</v>
      </c>
      <c r="BP377" s="10" t="s">
        <v>152</v>
      </c>
      <c r="BQ377">
        <v>74</v>
      </c>
      <c r="BR377" s="10">
        <v>1072</v>
      </c>
      <c r="BS377" s="43" t="s">
        <v>183</v>
      </c>
      <c r="BU377" s="42"/>
      <c r="BV377" s="34" t="s">
        <v>155</v>
      </c>
      <c r="BW377" s="10" t="s">
        <v>34</v>
      </c>
      <c r="BX377" s="10">
        <v>2</v>
      </c>
      <c r="BY377" s="10" t="s">
        <v>152</v>
      </c>
      <c r="BZ377">
        <v>74</v>
      </c>
      <c r="CA377" s="10" t="s">
        <v>482</v>
      </c>
      <c r="CB377" s="43" t="s">
        <v>161</v>
      </c>
      <c r="CD377" s="42"/>
      <c r="CE377" s="34" t="s">
        <v>155</v>
      </c>
      <c r="CF377" s="10" t="s">
        <v>34</v>
      </c>
      <c r="CG377" s="10">
        <v>2</v>
      </c>
      <c r="CH377" s="10" t="s">
        <v>152</v>
      </c>
      <c r="CI377">
        <v>74</v>
      </c>
      <c r="CJ377" s="10">
        <v>3021</v>
      </c>
      <c r="CK377" s="43" t="s">
        <v>161</v>
      </c>
    </row>
    <row r="378" spans="1:89" x14ac:dyDescent="0.25">
      <c r="A378" s="42"/>
      <c r="B378" s="34" t="s">
        <v>155</v>
      </c>
      <c r="C378" s="10" t="s">
        <v>34</v>
      </c>
      <c r="D378" s="10">
        <v>3</v>
      </c>
      <c r="E378" s="10" t="s">
        <v>152</v>
      </c>
      <c r="F378">
        <v>75</v>
      </c>
      <c r="G378" s="10" t="s">
        <v>111</v>
      </c>
      <c r="H378" s="43" t="s">
        <v>176</v>
      </c>
      <c r="J378" s="42"/>
      <c r="K378" s="34" t="s">
        <v>155</v>
      </c>
      <c r="L378" s="10" t="s">
        <v>34</v>
      </c>
      <c r="M378" s="10">
        <v>3</v>
      </c>
      <c r="N378" s="10" t="s">
        <v>152</v>
      </c>
      <c r="O378">
        <v>75</v>
      </c>
      <c r="P378" s="10">
        <v>1057</v>
      </c>
      <c r="Q378" s="43" t="s">
        <v>161</v>
      </c>
      <c r="S378" s="42"/>
      <c r="T378" s="34" t="s">
        <v>155</v>
      </c>
      <c r="U378" s="10" t="s">
        <v>34</v>
      </c>
      <c r="V378" s="10">
        <v>3</v>
      </c>
      <c r="W378" s="10" t="s">
        <v>152</v>
      </c>
      <c r="X378">
        <v>75</v>
      </c>
      <c r="Y378" s="10" t="s">
        <v>508</v>
      </c>
      <c r="Z378" s="43" t="s">
        <v>182</v>
      </c>
      <c r="AB378" s="42"/>
      <c r="AC378" s="34" t="s">
        <v>155</v>
      </c>
      <c r="AD378" s="10" t="s">
        <v>34</v>
      </c>
      <c r="AE378" s="10">
        <v>3</v>
      </c>
      <c r="AF378" s="10" t="s">
        <v>152</v>
      </c>
      <c r="AG378">
        <v>75</v>
      </c>
      <c r="AH378" s="10">
        <v>3008</v>
      </c>
      <c r="AI378" s="43" t="s">
        <v>182</v>
      </c>
      <c r="AK378" s="42"/>
      <c r="AL378" s="34" t="s">
        <v>155</v>
      </c>
      <c r="AM378" s="10" t="s">
        <v>34</v>
      </c>
      <c r="AN378" s="10">
        <v>3</v>
      </c>
      <c r="AO378" s="10" t="s">
        <v>152</v>
      </c>
      <c r="AP378">
        <v>75</v>
      </c>
      <c r="AQ378" s="10">
        <v>1012</v>
      </c>
      <c r="AR378" s="43" t="s">
        <v>180</v>
      </c>
      <c r="AT378" s="42"/>
      <c r="AU378" s="34" t="s">
        <v>155</v>
      </c>
      <c r="AV378" s="10" t="s">
        <v>34</v>
      </c>
      <c r="AW378" s="10">
        <v>3</v>
      </c>
      <c r="AX378" s="10" t="s">
        <v>152</v>
      </c>
      <c r="AY378">
        <v>75</v>
      </c>
      <c r="AZ378" s="10" t="s">
        <v>509</v>
      </c>
      <c r="BA378" s="43" t="s">
        <v>180</v>
      </c>
      <c r="BC378" s="42"/>
      <c r="BD378" s="34" t="s">
        <v>155</v>
      </c>
      <c r="BE378" s="10" t="s">
        <v>34</v>
      </c>
      <c r="BF378" s="10">
        <v>3</v>
      </c>
      <c r="BG378" s="10" t="s">
        <v>152</v>
      </c>
      <c r="BH378">
        <v>75</v>
      </c>
      <c r="BI378" s="10">
        <v>3007</v>
      </c>
      <c r="BJ378" s="43" t="s">
        <v>163</v>
      </c>
      <c r="BL378" s="42"/>
      <c r="BM378" s="34" t="s">
        <v>155</v>
      </c>
      <c r="BN378" s="10" t="s">
        <v>34</v>
      </c>
      <c r="BO378" s="10">
        <v>3</v>
      </c>
      <c r="BP378" s="10" t="s">
        <v>152</v>
      </c>
      <c r="BQ378">
        <v>75</v>
      </c>
      <c r="BR378" s="10">
        <v>1072</v>
      </c>
      <c r="BS378" s="43" t="s">
        <v>186</v>
      </c>
      <c r="BU378" s="42"/>
      <c r="BV378" s="34" t="s">
        <v>155</v>
      </c>
      <c r="BW378" s="10" t="s">
        <v>34</v>
      </c>
      <c r="BX378" s="10">
        <v>3</v>
      </c>
      <c r="BY378" s="10" t="s">
        <v>152</v>
      </c>
      <c r="BZ378">
        <v>75</v>
      </c>
      <c r="CA378" s="10" t="s">
        <v>482</v>
      </c>
      <c r="CB378" s="43" t="s">
        <v>169</v>
      </c>
      <c r="CD378" s="42"/>
      <c r="CE378" s="34" t="s">
        <v>155</v>
      </c>
      <c r="CF378" s="10" t="s">
        <v>34</v>
      </c>
      <c r="CG378" s="10">
        <v>3</v>
      </c>
      <c r="CH378" s="10" t="s">
        <v>152</v>
      </c>
      <c r="CI378">
        <v>75</v>
      </c>
      <c r="CJ378" s="10">
        <v>3021</v>
      </c>
      <c r="CK378" s="43" t="s">
        <v>169</v>
      </c>
    </row>
    <row r="379" spans="1:89" x14ac:dyDescent="0.25">
      <c r="A379" s="42"/>
      <c r="B379" s="34" t="s">
        <v>155</v>
      </c>
      <c r="C379" s="10" t="s">
        <v>34</v>
      </c>
      <c r="D379" s="10">
        <v>4</v>
      </c>
      <c r="E379" s="10" t="s">
        <v>152</v>
      </c>
      <c r="F379">
        <v>76</v>
      </c>
      <c r="G379" s="10" t="s">
        <v>111</v>
      </c>
      <c r="H379" s="43" t="s">
        <v>164</v>
      </c>
      <c r="J379" s="42"/>
      <c r="K379" s="34" t="s">
        <v>155</v>
      </c>
      <c r="L379" s="10" t="s">
        <v>34</v>
      </c>
      <c r="M379" s="10">
        <v>4</v>
      </c>
      <c r="N379" s="10" t="s">
        <v>152</v>
      </c>
      <c r="O379">
        <v>76</v>
      </c>
      <c r="P379" s="10">
        <v>1057</v>
      </c>
      <c r="Q379" s="43" t="s">
        <v>169</v>
      </c>
      <c r="S379" s="42"/>
      <c r="T379" s="34" t="s">
        <v>155</v>
      </c>
      <c r="U379" s="10" t="s">
        <v>34</v>
      </c>
      <c r="V379" s="10">
        <v>4</v>
      </c>
      <c r="W379" s="10" t="s">
        <v>152</v>
      </c>
      <c r="X379">
        <v>76</v>
      </c>
      <c r="Y379" s="10" t="s">
        <v>510</v>
      </c>
      <c r="Z379" s="43" t="s">
        <v>184</v>
      </c>
      <c r="AB379" s="42"/>
      <c r="AC379" s="34" t="s">
        <v>155</v>
      </c>
      <c r="AD379" s="10" t="s">
        <v>34</v>
      </c>
      <c r="AE379" s="10">
        <v>4</v>
      </c>
      <c r="AF379" s="10" t="s">
        <v>152</v>
      </c>
      <c r="AG379">
        <v>76</v>
      </c>
      <c r="AH379" s="10">
        <v>3008</v>
      </c>
      <c r="AI379" s="43" t="s">
        <v>184</v>
      </c>
      <c r="AK379" s="42"/>
      <c r="AL379" s="34" t="s">
        <v>155</v>
      </c>
      <c r="AM379" s="10" t="s">
        <v>34</v>
      </c>
      <c r="AN379" s="10">
        <v>4</v>
      </c>
      <c r="AO379" s="10" t="s">
        <v>152</v>
      </c>
      <c r="AP379">
        <v>76</v>
      </c>
      <c r="AQ379" s="10">
        <v>1012</v>
      </c>
      <c r="AR379" s="43" t="s">
        <v>181</v>
      </c>
      <c r="AT379" s="42"/>
      <c r="AU379" s="34" t="s">
        <v>155</v>
      </c>
      <c r="AV379" s="10" t="s">
        <v>34</v>
      </c>
      <c r="AW379" s="10">
        <v>4</v>
      </c>
      <c r="AX379" s="10" t="s">
        <v>152</v>
      </c>
      <c r="AY379">
        <v>76</v>
      </c>
      <c r="AZ379" s="10" t="s">
        <v>511</v>
      </c>
      <c r="BA379" s="43" t="s">
        <v>181</v>
      </c>
      <c r="BC379" s="42"/>
      <c r="BD379" s="34" t="s">
        <v>155</v>
      </c>
      <c r="BE379" s="10" t="s">
        <v>34</v>
      </c>
      <c r="BF379" s="10">
        <v>4</v>
      </c>
      <c r="BG379" s="10" t="s">
        <v>152</v>
      </c>
      <c r="BH379">
        <v>76</v>
      </c>
      <c r="BI379" s="10">
        <v>3007</v>
      </c>
      <c r="BJ379" s="43" t="s">
        <v>171</v>
      </c>
      <c r="BL379" s="42"/>
      <c r="BM379" s="34" t="s">
        <v>155</v>
      </c>
      <c r="BN379" s="10" t="s">
        <v>34</v>
      </c>
      <c r="BO379" s="10">
        <v>4</v>
      </c>
      <c r="BP379" s="10" t="s">
        <v>152</v>
      </c>
      <c r="BQ379">
        <v>76</v>
      </c>
      <c r="BR379" s="10">
        <v>1072</v>
      </c>
      <c r="BS379" s="43" t="s">
        <v>188</v>
      </c>
      <c r="BU379" s="42"/>
      <c r="BV379" s="34" t="s">
        <v>155</v>
      </c>
      <c r="BW379" s="10" t="s">
        <v>34</v>
      </c>
      <c r="BX379" s="10">
        <v>4</v>
      </c>
      <c r="BY379" s="10" t="s">
        <v>152</v>
      </c>
      <c r="BZ379">
        <v>76</v>
      </c>
      <c r="CA379" s="10" t="s">
        <v>482</v>
      </c>
      <c r="CB379" s="43" t="s">
        <v>177</v>
      </c>
      <c r="CD379" s="42"/>
      <c r="CE379" s="34" t="s">
        <v>155</v>
      </c>
      <c r="CF379" s="10" t="s">
        <v>34</v>
      </c>
      <c r="CG379" s="10">
        <v>4</v>
      </c>
      <c r="CH379" s="10" t="s">
        <v>152</v>
      </c>
      <c r="CI379">
        <v>76</v>
      </c>
      <c r="CJ379" s="10">
        <v>3021</v>
      </c>
      <c r="CK379" s="43" t="s">
        <v>177</v>
      </c>
    </row>
    <row r="380" spans="1:89" x14ac:dyDescent="0.25">
      <c r="A380" s="42"/>
      <c r="B380" s="34" t="s">
        <v>155</v>
      </c>
      <c r="C380" s="10" t="s">
        <v>34</v>
      </c>
      <c r="D380" s="10">
        <v>5</v>
      </c>
      <c r="E380" s="10" t="s">
        <v>152</v>
      </c>
      <c r="F380">
        <v>77</v>
      </c>
      <c r="G380" s="10" t="s">
        <v>111</v>
      </c>
      <c r="H380" t="s">
        <v>172</v>
      </c>
      <c r="J380" s="42"/>
      <c r="K380" s="34" t="s">
        <v>155</v>
      </c>
      <c r="L380" s="10" t="s">
        <v>34</v>
      </c>
      <c r="M380" s="10">
        <v>5</v>
      </c>
      <c r="N380" s="10" t="s">
        <v>152</v>
      </c>
      <c r="O380">
        <v>77</v>
      </c>
      <c r="P380" s="10">
        <v>1057</v>
      </c>
      <c r="Q380" t="s">
        <v>177</v>
      </c>
      <c r="S380" s="42"/>
      <c r="T380" s="34" t="s">
        <v>155</v>
      </c>
      <c r="U380" s="10" t="s">
        <v>34</v>
      </c>
      <c r="V380" s="10">
        <v>5</v>
      </c>
      <c r="W380" s="10" t="s">
        <v>152</v>
      </c>
      <c r="X380">
        <v>77</v>
      </c>
      <c r="Y380" s="10" t="s">
        <v>512</v>
      </c>
      <c r="Z380" s="43" t="s">
        <v>187</v>
      </c>
      <c r="AB380" s="42"/>
      <c r="AC380" s="34" t="s">
        <v>155</v>
      </c>
      <c r="AD380" s="10" t="s">
        <v>34</v>
      </c>
      <c r="AE380" s="10">
        <v>5</v>
      </c>
      <c r="AF380" s="10" t="s">
        <v>152</v>
      </c>
      <c r="AG380">
        <v>77</v>
      </c>
      <c r="AH380" s="10">
        <v>3008</v>
      </c>
      <c r="AI380" s="43" t="s">
        <v>187</v>
      </c>
      <c r="AK380" s="42"/>
      <c r="AL380" s="34" t="s">
        <v>155</v>
      </c>
      <c r="AM380" s="10" t="s">
        <v>34</v>
      </c>
      <c r="AN380" s="10">
        <v>5</v>
      </c>
      <c r="AO380" s="10" t="s">
        <v>152</v>
      </c>
      <c r="AP380">
        <v>77</v>
      </c>
      <c r="AQ380" s="10">
        <v>1012</v>
      </c>
      <c r="AR380" s="43" t="s">
        <v>183</v>
      </c>
      <c r="AT380" s="42"/>
      <c r="AU380" s="34" t="s">
        <v>155</v>
      </c>
      <c r="AV380" s="10" t="s">
        <v>34</v>
      </c>
      <c r="AW380" s="10">
        <v>5</v>
      </c>
      <c r="AX380" s="10" t="s">
        <v>152</v>
      </c>
      <c r="AY380">
        <v>77</v>
      </c>
      <c r="AZ380" s="10" t="s">
        <v>513</v>
      </c>
      <c r="BA380" s="43" t="s">
        <v>183</v>
      </c>
      <c r="BC380" s="42"/>
      <c r="BD380" s="34" t="s">
        <v>155</v>
      </c>
      <c r="BE380" s="10" t="s">
        <v>34</v>
      </c>
      <c r="BF380" s="10">
        <v>5</v>
      </c>
      <c r="BG380" s="10" t="s">
        <v>152</v>
      </c>
      <c r="BH380">
        <v>77</v>
      </c>
      <c r="BI380" s="10">
        <v>3007</v>
      </c>
      <c r="BJ380" s="43" t="s">
        <v>161</v>
      </c>
      <c r="BL380" s="42"/>
      <c r="BM380" s="34" t="s">
        <v>155</v>
      </c>
      <c r="BN380" s="10" t="s">
        <v>34</v>
      </c>
      <c r="BO380" s="10">
        <v>5</v>
      </c>
      <c r="BP380" s="10" t="s">
        <v>152</v>
      </c>
      <c r="BQ380">
        <v>77</v>
      </c>
      <c r="BR380" s="10">
        <v>1072</v>
      </c>
      <c r="BS380" s="43" t="s">
        <v>182</v>
      </c>
      <c r="BU380" s="42"/>
      <c r="BV380" s="34" t="s">
        <v>155</v>
      </c>
      <c r="BW380" s="10" t="s">
        <v>34</v>
      </c>
      <c r="BX380" s="10">
        <v>5</v>
      </c>
      <c r="BY380" s="10" t="s">
        <v>152</v>
      </c>
      <c r="BZ380">
        <v>77</v>
      </c>
      <c r="CA380" s="10" t="s">
        <v>482</v>
      </c>
      <c r="CB380" s="43" t="s">
        <v>180</v>
      </c>
      <c r="CD380" s="42"/>
      <c r="CE380" s="34" t="s">
        <v>155</v>
      </c>
      <c r="CF380" s="10" t="s">
        <v>34</v>
      </c>
      <c r="CG380" s="10">
        <v>5</v>
      </c>
      <c r="CH380" s="10" t="s">
        <v>152</v>
      </c>
      <c r="CI380">
        <v>77</v>
      </c>
      <c r="CJ380" s="10">
        <v>3021</v>
      </c>
      <c r="CK380" s="43" t="s">
        <v>180</v>
      </c>
    </row>
    <row r="381" spans="1:89" x14ac:dyDescent="0.25">
      <c r="A381" s="42"/>
      <c r="B381" s="34" t="s">
        <v>155</v>
      </c>
      <c r="C381" s="10" t="s">
        <v>34</v>
      </c>
      <c r="D381" s="10">
        <v>6</v>
      </c>
      <c r="E381" s="10" t="s">
        <v>152</v>
      </c>
      <c r="F381">
        <v>78</v>
      </c>
      <c r="G381" s="10" t="s">
        <v>111</v>
      </c>
      <c r="H381" t="s">
        <v>162</v>
      </c>
      <c r="J381" s="42"/>
      <c r="K381" s="34" t="s">
        <v>155</v>
      </c>
      <c r="L381" s="10" t="s">
        <v>34</v>
      </c>
      <c r="M381" s="10">
        <v>6</v>
      </c>
      <c r="N381" s="10" t="s">
        <v>152</v>
      </c>
      <c r="O381">
        <v>78</v>
      </c>
      <c r="P381" s="10">
        <v>1057</v>
      </c>
      <c r="Q381" t="s">
        <v>180</v>
      </c>
      <c r="S381" s="42"/>
      <c r="T381" s="34" t="s">
        <v>155</v>
      </c>
      <c r="U381" s="10" t="s">
        <v>34</v>
      </c>
      <c r="V381" s="10">
        <v>6</v>
      </c>
      <c r="W381" s="10" t="s">
        <v>152</v>
      </c>
      <c r="X381">
        <v>78</v>
      </c>
      <c r="Y381" s="10" t="s">
        <v>514</v>
      </c>
      <c r="Z381" s="43" t="s">
        <v>189</v>
      </c>
      <c r="AB381" s="42"/>
      <c r="AC381" s="34" t="s">
        <v>155</v>
      </c>
      <c r="AD381" s="10" t="s">
        <v>34</v>
      </c>
      <c r="AE381" s="10">
        <v>6</v>
      </c>
      <c r="AF381" s="10" t="s">
        <v>152</v>
      </c>
      <c r="AG381">
        <v>78</v>
      </c>
      <c r="AH381" s="10">
        <v>3008</v>
      </c>
      <c r="AI381" s="43" t="s">
        <v>189</v>
      </c>
      <c r="AK381" s="42"/>
      <c r="AL381" s="34" t="s">
        <v>155</v>
      </c>
      <c r="AM381" s="10" t="s">
        <v>34</v>
      </c>
      <c r="AN381" s="10">
        <v>6</v>
      </c>
      <c r="AO381" s="10" t="s">
        <v>152</v>
      </c>
      <c r="AP381">
        <v>78</v>
      </c>
      <c r="AQ381" s="10">
        <v>1012</v>
      </c>
      <c r="AR381" s="43" t="s">
        <v>186</v>
      </c>
      <c r="AT381" s="42"/>
      <c r="AU381" s="34" t="s">
        <v>155</v>
      </c>
      <c r="AV381" s="10" t="s">
        <v>34</v>
      </c>
      <c r="AW381" s="10">
        <v>6</v>
      </c>
      <c r="AX381" s="10" t="s">
        <v>152</v>
      </c>
      <c r="AY381">
        <v>78</v>
      </c>
      <c r="AZ381" s="10" t="s">
        <v>515</v>
      </c>
      <c r="BA381" s="43" t="s">
        <v>186</v>
      </c>
      <c r="BC381" s="42"/>
      <c r="BD381" s="34" t="s">
        <v>155</v>
      </c>
      <c r="BE381" s="10" t="s">
        <v>34</v>
      </c>
      <c r="BF381" s="10">
        <v>6</v>
      </c>
      <c r="BG381" s="10" t="s">
        <v>152</v>
      </c>
      <c r="BH381">
        <v>78</v>
      </c>
      <c r="BI381" s="10">
        <v>3007</v>
      </c>
      <c r="BJ381" s="43" t="s">
        <v>169</v>
      </c>
      <c r="BL381" s="42"/>
      <c r="BM381" s="34" t="s">
        <v>155</v>
      </c>
      <c r="BN381" s="10" t="s">
        <v>34</v>
      </c>
      <c r="BO381" s="10">
        <v>6</v>
      </c>
      <c r="BP381" s="10" t="s">
        <v>152</v>
      </c>
      <c r="BQ381">
        <v>78</v>
      </c>
      <c r="BR381" s="10">
        <v>1072</v>
      </c>
      <c r="BS381" s="43" t="s">
        <v>184</v>
      </c>
      <c r="BU381" s="42"/>
      <c r="BV381" s="34" t="s">
        <v>155</v>
      </c>
      <c r="BW381" s="10" t="s">
        <v>34</v>
      </c>
      <c r="BX381" s="10">
        <v>6</v>
      </c>
      <c r="BY381" s="10" t="s">
        <v>152</v>
      </c>
      <c r="BZ381">
        <v>78</v>
      </c>
      <c r="CA381" s="10" t="s">
        <v>482</v>
      </c>
      <c r="CB381" s="43" t="s">
        <v>181</v>
      </c>
      <c r="CD381" s="42"/>
      <c r="CE381" s="34" t="s">
        <v>155</v>
      </c>
      <c r="CF381" s="10" t="s">
        <v>34</v>
      </c>
      <c r="CG381" s="10">
        <v>6</v>
      </c>
      <c r="CH381" s="10" t="s">
        <v>152</v>
      </c>
      <c r="CI381">
        <v>78</v>
      </c>
      <c r="CJ381" s="10">
        <v>3021</v>
      </c>
      <c r="CK381" s="43" t="s">
        <v>181</v>
      </c>
    </row>
    <row r="382" spans="1:89" x14ac:dyDescent="0.25">
      <c r="A382" s="42"/>
      <c r="B382" s="34" t="s">
        <v>155</v>
      </c>
      <c r="C382" s="10" t="s">
        <v>34</v>
      </c>
      <c r="D382" s="10">
        <v>7</v>
      </c>
      <c r="E382" s="10" t="s">
        <v>152</v>
      </c>
      <c r="F382">
        <v>79</v>
      </c>
      <c r="G382" s="10" t="s">
        <v>111</v>
      </c>
      <c r="H382" t="s">
        <v>170</v>
      </c>
      <c r="J382" s="42"/>
      <c r="K382" s="34" t="s">
        <v>155</v>
      </c>
      <c r="L382" s="10" t="s">
        <v>34</v>
      </c>
      <c r="M382" s="10">
        <v>7</v>
      </c>
      <c r="N382" s="10" t="s">
        <v>152</v>
      </c>
      <c r="O382">
        <v>79</v>
      </c>
      <c r="P382" s="10">
        <v>1057</v>
      </c>
      <c r="Q382" t="s">
        <v>181</v>
      </c>
      <c r="S382" s="42"/>
      <c r="T382" s="34" t="s">
        <v>155</v>
      </c>
      <c r="U382" s="10" t="s">
        <v>34</v>
      </c>
      <c r="V382" s="10">
        <v>7</v>
      </c>
      <c r="W382" s="10" t="s">
        <v>152</v>
      </c>
      <c r="X382">
        <v>79</v>
      </c>
      <c r="Y382" s="10" t="s">
        <v>125</v>
      </c>
      <c r="Z382" s="51" t="s">
        <v>160</v>
      </c>
      <c r="AB382" s="42"/>
      <c r="AC382" s="34" t="s">
        <v>155</v>
      </c>
      <c r="AD382" s="10" t="s">
        <v>34</v>
      </c>
      <c r="AE382" s="10">
        <v>7</v>
      </c>
      <c r="AF382" s="10" t="s">
        <v>152</v>
      </c>
      <c r="AG382">
        <v>79</v>
      </c>
      <c r="AH382" s="10">
        <v>2040</v>
      </c>
      <c r="AI382" s="51" t="s">
        <v>160</v>
      </c>
      <c r="AK382" s="42"/>
      <c r="AL382" s="34" t="s">
        <v>155</v>
      </c>
      <c r="AM382" s="10" t="s">
        <v>34</v>
      </c>
      <c r="AN382" s="10">
        <v>7</v>
      </c>
      <c r="AO382" s="10" t="s">
        <v>152</v>
      </c>
      <c r="AP382">
        <v>79</v>
      </c>
      <c r="AQ382" s="10">
        <v>1012</v>
      </c>
      <c r="AR382" s="43" t="s">
        <v>188</v>
      </c>
      <c r="AT382" s="42"/>
      <c r="AU382" s="34" t="s">
        <v>155</v>
      </c>
      <c r="AV382" s="10" t="s">
        <v>34</v>
      </c>
      <c r="AW382" s="10">
        <v>7</v>
      </c>
      <c r="AX382" s="10" t="s">
        <v>152</v>
      </c>
      <c r="AY382">
        <v>79</v>
      </c>
      <c r="AZ382" s="10" t="s">
        <v>516</v>
      </c>
      <c r="BA382" s="43" t="s">
        <v>188</v>
      </c>
      <c r="BC382" s="42"/>
      <c r="BD382" s="34" t="s">
        <v>155</v>
      </c>
      <c r="BE382" s="10" t="s">
        <v>34</v>
      </c>
      <c r="BF382" s="10">
        <v>7</v>
      </c>
      <c r="BG382" s="10" t="s">
        <v>152</v>
      </c>
      <c r="BH382">
        <v>79</v>
      </c>
      <c r="BI382" s="10">
        <v>3007</v>
      </c>
      <c r="BJ382" s="43" t="s">
        <v>177</v>
      </c>
      <c r="BL382" s="42"/>
      <c r="BM382" s="34" t="s">
        <v>155</v>
      </c>
      <c r="BN382" s="10" t="s">
        <v>34</v>
      </c>
      <c r="BO382" s="10">
        <v>7</v>
      </c>
      <c r="BP382" s="10" t="s">
        <v>152</v>
      </c>
      <c r="BQ382">
        <v>79</v>
      </c>
      <c r="BR382" s="10">
        <v>1072</v>
      </c>
      <c r="BS382" s="43" t="s">
        <v>187</v>
      </c>
      <c r="BU382" s="42"/>
      <c r="BV382" s="34" t="s">
        <v>155</v>
      </c>
      <c r="BW382" s="10" t="s">
        <v>34</v>
      </c>
      <c r="BX382" s="10">
        <v>7</v>
      </c>
      <c r="BY382" s="10" t="s">
        <v>152</v>
      </c>
      <c r="BZ382">
        <v>79</v>
      </c>
      <c r="CA382" s="10" t="s">
        <v>482</v>
      </c>
      <c r="CB382" s="43" t="s">
        <v>183</v>
      </c>
      <c r="CD382" s="42"/>
      <c r="CE382" s="34" t="s">
        <v>155</v>
      </c>
      <c r="CF382" s="10" t="s">
        <v>34</v>
      </c>
      <c r="CG382" s="10">
        <v>7</v>
      </c>
      <c r="CH382" s="10" t="s">
        <v>152</v>
      </c>
      <c r="CI382">
        <v>79</v>
      </c>
      <c r="CJ382" s="10">
        <v>3021</v>
      </c>
      <c r="CK382" s="43" t="s">
        <v>183</v>
      </c>
    </row>
    <row r="383" spans="1:89" x14ac:dyDescent="0.25">
      <c r="A383" s="42"/>
      <c r="B383" s="34" t="s">
        <v>155</v>
      </c>
      <c r="C383" s="10" t="s">
        <v>34</v>
      </c>
      <c r="D383" s="10">
        <v>8</v>
      </c>
      <c r="E383" s="10" t="s">
        <v>152</v>
      </c>
      <c r="F383">
        <v>80</v>
      </c>
      <c r="G383" s="10" t="s">
        <v>111</v>
      </c>
      <c r="H383" t="s">
        <v>178</v>
      </c>
      <c r="J383" s="42"/>
      <c r="K383" s="34" t="s">
        <v>155</v>
      </c>
      <c r="L383" s="10" t="s">
        <v>34</v>
      </c>
      <c r="M383" s="10">
        <v>8</v>
      </c>
      <c r="N383" s="10" t="s">
        <v>152</v>
      </c>
      <c r="O383">
        <v>80</v>
      </c>
      <c r="P383" s="10">
        <v>1057</v>
      </c>
      <c r="Q383" t="s">
        <v>183</v>
      </c>
      <c r="S383" s="42"/>
      <c r="T383" s="34" t="s">
        <v>155</v>
      </c>
      <c r="U383" s="10" t="s">
        <v>34</v>
      </c>
      <c r="V383" s="10">
        <v>8</v>
      </c>
      <c r="W383" s="10" t="s">
        <v>152</v>
      </c>
      <c r="X383">
        <v>80</v>
      </c>
      <c r="Y383" s="10" t="s">
        <v>127</v>
      </c>
      <c r="Z383" s="43" t="s">
        <v>168</v>
      </c>
      <c r="AB383" s="42"/>
      <c r="AC383" s="34" t="s">
        <v>155</v>
      </c>
      <c r="AD383" s="10" t="s">
        <v>34</v>
      </c>
      <c r="AE383" s="10">
        <v>8</v>
      </c>
      <c r="AF383" s="10" t="s">
        <v>152</v>
      </c>
      <c r="AG383">
        <v>80</v>
      </c>
      <c r="AH383" s="10">
        <v>2040</v>
      </c>
      <c r="AI383" s="43" t="s">
        <v>168</v>
      </c>
      <c r="AK383" s="42"/>
      <c r="AL383" s="34" t="s">
        <v>155</v>
      </c>
      <c r="AM383" s="10" t="s">
        <v>34</v>
      </c>
      <c r="AN383" s="10">
        <v>8</v>
      </c>
      <c r="AO383" s="10" t="s">
        <v>152</v>
      </c>
      <c r="AP383">
        <v>80</v>
      </c>
      <c r="AQ383" s="10">
        <v>1012</v>
      </c>
      <c r="AR383" s="43" t="s">
        <v>182</v>
      </c>
      <c r="AT383" s="42"/>
      <c r="AU383" s="34" t="s">
        <v>155</v>
      </c>
      <c r="AV383" s="10" t="s">
        <v>34</v>
      </c>
      <c r="AW383" s="10">
        <v>8</v>
      </c>
      <c r="AX383" s="10" t="s">
        <v>152</v>
      </c>
      <c r="AY383">
        <v>80</v>
      </c>
      <c r="AZ383" s="10" t="s">
        <v>517</v>
      </c>
      <c r="BA383" s="43" t="s">
        <v>182</v>
      </c>
      <c r="BC383" s="42"/>
      <c r="BD383" s="34" t="s">
        <v>155</v>
      </c>
      <c r="BE383" s="10" t="s">
        <v>34</v>
      </c>
      <c r="BF383" s="10">
        <v>8</v>
      </c>
      <c r="BG383" s="10" t="s">
        <v>152</v>
      </c>
      <c r="BH383">
        <v>80</v>
      </c>
      <c r="BI383" s="10">
        <v>3007</v>
      </c>
      <c r="BJ383" s="43" t="s">
        <v>180</v>
      </c>
      <c r="BL383" s="42"/>
      <c r="BM383" s="34" t="s">
        <v>155</v>
      </c>
      <c r="BN383" s="10" t="s">
        <v>34</v>
      </c>
      <c r="BO383" s="10">
        <v>8</v>
      </c>
      <c r="BP383" s="10" t="s">
        <v>152</v>
      </c>
      <c r="BQ383">
        <v>80</v>
      </c>
      <c r="BR383" s="10">
        <v>1072</v>
      </c>
      <c r="BS383" s="43" t="s">
        <v>189</v>
      </c>
      <c r="BU383" s="42"/>
      <c r="BV383" s="34" t="s">
        <v>155</v>
      </c>
      <c r="BW383" s="10" t="s">
        <v>34</v>
      </c>
      <c r="BX383" s="10">
        <v>8</v>
      </c>
      <c r="BY383" s="10" t="s">
        <v>152</v>
      </c>
      <c r="BZ383">
        <v>80</v>
      </c>
      <c r="CA383" s="10" t="s">
        <v>482</v>
      </c>
      <c r="CB383" s="43" t="s">
        <v>186</v>
      </c>
      <c r="CD383" s="42"/>
      <c r="CE383" s="34" t="s">
        <v>155</v>
      </c>
      <c r="CF383" s="10" t="s">
        <v>34</v>
      </c>
      <c r="CG383" s="10">
        <v>8</v>
      </c>
      <c r="CH383" s="10" t="s">
        <v>152</v>
      </c>
      <c r="CI383">
        <v>80</v>
      </c>
      <c r="CJ383" s="10">
        <v>3021</v>
      </c>
      <c r="CK383" s="43" t="s">
        <v>186</v>
      </c>
    </row>
    <row r="384" spans="1:89" ht="15.75" thickBot="1" x14ac:dyDescent="0.3">
      <c r="A384" s="42"/>
      <c r="B384" s="34" t="s">
        <v>155</v>
      </c>
      <c r="C384" s="10" t="s">
        <v>34</v>
      </c>
      <c r="D384" s="10">
        <v>9</v>
      </c>
      <c r="E384" s="10" t="s">
        <v>152</v>
      </c>
      <c r="F384">
        <v>81</v>
      </c>
      <c r="G384" s="10" t="s">
        <v>111</v>
      </c>
      <c r="H384" t="s">
        <v>163</v>
      </c>
      <c r="J384" s="42"/>
      <c r="K384" s="34" t="s">
        <v>155</v>
      </c>
      <c r="L384" s="10" t="s">
        <v>34</v>
      </c>
      <c r="M384" s="10">
        <v>9</v>
      </c>
      <c r="N384" s="10" t="s">
        <v>152</v>
      </c>
      <c r="O384">
        <v>81</v>
      </c>
      <c r="P384" s="10">
        <v>1057</v>
      </c>
      <c r="Q384" t="s">
        <v>186</v>
      </c>
      <c r="S384" s="42"/>
      <c r="T384" s="34" t="s">
        <v>155</v>
      </c>
      <c r="U384" s="10" t="s">
        <v>34</v>
      </c>
      <c r="V384" s="10">
        <v>9</v>
      </c>
      <c r="W384" s="10" t="s">
        <v>152</v>
      </c>
      <c r="X384">
        <v>81</v>
      </c>
      <c r="Y384" s="10" t="s">
        <v>129</v>
      </c>
      <c r="Z384" s="43" t="s">
        <v>176</v>
      </c>
      <c r="AB384" s="42"/>
      <c r="AC384" s="34" t="s">
        <v>155</v>
      </c>
      <c r="AD384" s="10" t="s">
        <v>34</v>
      </c>
      <c r="AE384" s="10">
        <v>9</v>
      </c>
      <c r="AF384" s="10" t="s">
        <v>152</v>
      </c>
      <c r="AG384">
        <v>81</v>
      </c>
      <c r="AH384" s="10">
        <v>2040</v>
      </c>
      <c r="AI384" s="43" t="s">
        <v>176</v>
      </c>
      <c r="AK384" s="42"/>
      <c r="AL384" s="34" t="s">
        <v>155</v>
      </c>
      <c r="AM384" s="10" t="s">
        <v>34</v>
      </c>
      <c r="AN384" s="10">
        <v>9</v>
      </c>
      <c r="AO384" s="10" t="s">
        <v>152</v>
      </c>
      <c r="AP384">
        <v>81</v>
      </c>
      <c r="AQ384" s="10">
        <v>1012</v>
      </c>
      <c r="AR384" s="43" t="s">
        <v>184</v>
      </c>
      <c r="AT384" s="42"/>
      <c r="AU384" s="34" t="s">
        <v>155</v>
      </c>
      <c r="AV384" s="10" t="s">
        <v>34</v>
      </c>
      <c r="AW384" s="10">
        <v>9</v>
      </c>
      <c r="AX384" s="10" t="s">
        <v>152</v>
      </c>
      <c r="AY384">
        <v>81</v>
      </c>
      <c r="AZ384" s="10" t="s">
        <v>518</v>
      </c>
      <c r="BA384" s="43" t="s">
        <v>184</v>
      </c>
      <c r="BC384" s="42"/>
      <c r="BD384" s="34" t="s">
        <v>155</v>
      </c>
      <c r="BE384" s="10" t="s">
        <v>34</v>
      </c>
      <c r="BF384" s="10">
        <v>9</v>
      </c>
      <c r="BG384" s="10" t="s">
        <v>152</v>
      </c>
      <c r="BH384">
        <v>81</v>
      </c>
      <c r="BI384" s="10">
        <v>3007</v>
      </c>
      <c r="BJ384" s="43" t="s">
        <v>181</v>
      </c>
      <c r="BL384" s="42"/>
      <c r="BM384" s="34" t="s">
        <v>155</v>
      </c>
      <c r="BN384" s="10" t="s">
        <v>34</v>
      </c>
      <c r="BO384" s="10">
        <v>9</v>
      </c>
      <c r="BP384" s="10" t="s">
        <v>152</v>
      </c>
      <c r="BQ384">
        <v>81</v>
      </c>
      <c r="BR384" s="10">
        <v>1073</v>
      </c>
      <c r="BS384" s="43" t="s">
        <v>160</v>
      </c>
      <c r="BU384" s="42"/>
      <c r="BV384" s="34" t="s">
        <v>155</v>
      </c>
      <c r="BW384" s="10" t="s">
        <v>34</v>
      </c>
      <c r="BX384" s="10">
        <v>9</v>
      </c>
      <c r="BY384" s="10" t="s">
        <v>152</v>
      </c>
      <c r="BZ384">
        <v>81</v>
      </c>
      <c r="CA384" s="10" t="s">
        <v>482</v>
      </c>
      <c r="CB384" s="43" t="s">
        <v>188</v>
      </c>
      <c r="CD384" s="42"/>
      <c r="CE384" s="34" t="s">
        <v>155</v>
      </c>
      <c r="CF384" s="10" t="s">
        <v>34</v>
      </c>
      <c r="CG384" s="10">
        <v>9</v>
      </c>
      <c r="CH384" s="10" t="s">
        <v>152</v>
      </c>
      <c r="CI384">
        <v>81</v>
      </c>
      <c r="CJ384" s="10">
        <v>3021</v>
      </c>
      <c r="CK384" s="43" t="s">
        <v>188</v>
      </c>
    </row>
    <row r="385" spans="1:89" x14ac:dyDescent="0.25">
      <c r="A385" s="42"/>
      <c r="B385" s="34" t="s">
        <v>155</v>
      </c>
      <c r="C385" s="10" t="s">
        <v>34</v>
      </c>
      <c r="D385" s="10">
        <v>10</v>
      </c>
      <c r="E385" s="10" t="s">
        <v>152</v>
      </c>
      <c r="F385">
        <v>82</v>
      </c>
      <c r="G385" s="10" t="s">
        <v>111</v>
      </c>
      <c r="H385" t="s">
        <v>171</v>
      </c>
      <c r="J385" s="42"/>
      <c r="K385" s="34" t="s">
        <v>155</v>
      </c>
      <c r="L385" s="10" t="s">
        <v>34</v>
      </c>
      <c r="M385" s="10">
        <v>10</v>
      </c>
      <c r="N385" s="10" t="s">
        <v>152</v>
      </c>
      <c r="O385">
        <v>82</v>
      </c>
      <c r="P385" s="10">
        <v>1057</v>
      </c>
      <c r="Q385" t="s">
        <v>188</v>
      </c>
      <c r="S385" s="42"/>
      <c r="T385" s="34" t="s">
        <v>155</v>
      </c>
      <c r="U385" s="10" t="s">
        <v>34</v>
      </c>
      <c r="V385" s="10">
        <v>10</v>
      </c>
      <c r="W385" s="10" t="s">
        <v>152</v>
      </c>
      <c r="X385">
        <v>82</v>
      </c>
      <c r="Y385" s="10" t="s">
        <v>131</v>
      </c>
      <c r="Z385" s="43" t="s">
        <v>164</v>
      </c>
      <c r="AB385" s="42"/>
      <c r="AC385" s="34" t="s">
        <v>155</v>
      </c>
      <c r="AD385" s="10" t="s">
        <v>34</v>
      </c>
      <c r="AE385" s="10">
        <v>10</v>
      </c>
      <c r="AF385" s="10" t="s">
        <v>152</v>
      </c>
      <c r="AG385">
        <v>82</v>
      </c>
      <c r="AH385" s="10">
        <v>2040</v>
      </c>
      <c r="AI385" s="43" t="s">
        <v>164</v>
      </c>
      <c r="AK385" s="42"/>
      <c r="AL385" s="34" t="s">
        <v>155</v>
      </c>
      <c r="AM385" s="10" t="s">
        <v>34</v>
      </c>
      <c r="AN385" s="10">
        <v>10</v>
      </c>
      <c r="AO385" s="10" t="s">
        <v>152</v>
      </c>
      <c r="AP385">
        <v>82</v>
      </c>
      <c r="AQ385" s="10">
        <v>1012</v>
      </c>
      <c r="AR385" s="43" t="s">
        <v>187</v>
      </c>
      <c r="AT385" s="42"/>
      <c r="AU385" s="34" t="s">
        <v>155</v>
      </c>
      <c r="AV385" s="10" t="s">
        <v>34</v>
      </c>
      <c r="AW385" s="10">
        <v>10</v>
      </c>
      <c r="AX385" s="10" t="s">
        <v>152</v>
      </c>
      <c r="AY385">
        <v>82</v>
      </c>
      <c r="AZ385" s="10" t="s">
        <v>519</v>
      </c>
      <c r="BA385" s="43" t="s">
        <v>187</v>
      </c>
      <c r="BC385" s="42"/>
      <c r="BD385" s="34" t="s">
        <v>155</v>
      </c>
      <c r="BE385" s="10" t="s">
        <v>34</v>
      </c>
      <c r="BF385" s="10">
        <v>10</v>
      </c>
      <c r="BG385" s="10" t="s">
        <v>152</v>
      </c>
      <c r="BH385">
        <v>82</v>
      </c>
      <c r="BI385" s="10">
        <v>3007</v>
      </c>
      <c r="BJ385" s="33" t="s">
        <v>183</v>
      </c>
      <c r="BL385" s="42"/>
      <c r="BM385" s="34" t="s">
        <v>155</v>
      </c>
      <c r="BN385" s="10" t="s">
        <v>34</v>
      </c>
      <c r="BO385" s="10">
        <v>10</v>
      </c>
      <c r="BP385" s="10" t="s">
        <v>152</v>
      </c>
      <c r="BQ385">
        <v>82</v>
      </c>
      <c r="BR385" s="10">
        <v>1073</v>
      </c>
      <c r="BS385" s="43" t="s">
        <v>168</v>
      </c>
      <c r="BU385" s="42"/>
      <c r="BV385" s="34" t="s">
        <v>155</v>
      </c>
      <c r="BW385" s="10" t="s">
        <v>34</v>
      </c>
      <c r="BX385" s="10">
        <v>10</v>
      </c>
      <c r="BY385" s="10" t="s">
        <v>152</v>
      </c>
      <c r="BZ385">
        <v>82</v>
      </c>
      <c r="CA385" s="10" t="s">
        <v>482</v>
      </c>
      <c r="CB385" s="43" t="s">
        <v>182</v>
      </c>
      <c r="CD385" s="42"/>
      <c r="CE385" s="34" t="s">
        <v>155</v>
      </c>
      <c r="CF385" s="10" t="s">
        <v>34</v>
      </c>
      <c r="CG385" s="10">
        <v>10</v>
      </c>
      <c r="CH385" s="10" t="s">
        <v>152</v>
      </c>
      <c r="CI385">
        <v>82</v>
      </c>
      <c r="CJ385" s="10">
        <v>3021</v>
      </c>
      <c r="CK385" s="43" t="s">
        <v>182</v>
      </c>
    </row>
    <row r="386" spans="1:89" x14ac:dyDescent="0.25">
      <c r="A386" s="42"/>
      <c r="B386" s="34" t="s">
        <v>155</v>
      </c>
      <c r="C386" s="10" t="s">
        <v>34</v>
      </c>
      <c r="D386" s="10">
        <v>11</v>
      </c>
      <c r="E386" s="10" t="s">
        <v>152</v>
      </c>
      <c r="F386">
        <v>83</v>
      </c>
      <c r="G386" s="10" t="s">
        <v>111</v>
      </c>
      <c r="H386" t="s">
        <v>161</v>
      </c>
      <c r="J386" s="42"/>
      <c r="K386" s="34" t="s">
        <v>155</v>
      </c>
      <c r="L386" s="10" t="s">
        <v>34</v>
      </c>
      <c r="M386" s="10">
        <v>11</v>
      </c>
      <c r="N386" s="10" t="s">
        <v>152</v>
      </c>
      <c r="O386">
        <v>83</v>
      </c>
      <c r="P386" s="10">
        <v>1057</v>
      </c>
      <c r="Q386" t="s">
        <v>182</v>
      </c>
      <c r="S386" s="42"/>
      <c r="T386" s="34" t="s">
        <v>155</v>
      </c>
      <c r="U386" s="10" t="s">
        <v>34</v>
      </c>
      <c r="V386" s="10">
        <v>11</v>
      </c>
      <c r="W386" s="10" t="s">
        <v>152</v>
      </c>
      <c r="X386">
        <v>83</v>
      </c>
      <c r="Y386" s="10" t="s">
        <v>520</v>
      </c>
      <c r="Z386" s="43" t="s">
        <v>172</v>
      </c>
      <c r="AB386" s="42"/>
      <c r="AC386" s="34" t="s">
        <v>155</v>
      </c>
      <c r="AD386" s="10" t="s">
        <v>34</v>
      </c>
      <c r="AE386" s="10">
        <v>11</v>
      </c>
      <c r="AF386" s="10" t="s">
        <v>152</v>
      </c>
      <c r="AG386">
        <v>83</v>
      </c>
      <c r="AH386" s="10">
        <v>2040</v>
      </c>
      <c r="AI386" s="43" t="s">
        <v>172</v>
      </c>
      <c r="AK386" s="42"/>
      <c r="AL386" s="34" t="s">
        <v>155</v>
      </c>
      <c r="AM386" s="10" t="s">
        <v>34</v>
      </c>
      <c r="AN386" s="10">
        <v>11</v>
      </c>
      <c r="AO386" s="10" t="s">
        <v>152</v>
      </c>
      <c r="AP386">
        <v>83</v>
      </c>
      <c r="AQ386" s="10">
        <v>1012</v>
      </c>
      <c r="AR386" s="43" t="s">
        <v>189</v>
      </c>
      <c r="AT386" s="42"/>
      <c r="AU386" s="34" t="s">
        <v>155</v>
      </c>
      <c r="AV386" s="10" t="s">
        <v>34</v>
      </c>
      <c r="AW386" s="10">
        <v>11</v>
      </c>
      <c r="AX386" s="10" t="s">
        <v>152</v>
      </c>
      <c r="AY386">
        <v>83</v>
      </c>
      <c r="AZ386" s="10" t="s">
        <v>521</v>
      </c>
      <c r="BA386" s="43" t="s">
        <v>189</v>
      </c>
      <c r="BC386" s="42"/>
      <c r="BD386" s="34" t="s">
        <v>155</v>
      </c>
      <c r="BE386" s="10" t="s">
        <v>34</v>
      </c>
      <c r="BF386" s="10">
        <v>11</v>
      </c>
      <c r="BG386" s="10" t="s">
        <v>152</v>
      </c>
      <c r="BH386">
        <v>83</v>
      </c>
      <c r="BI386" s="10">
        <v>3007</v>
      </c>
      <c r="BJ386" s="43" t="s">
        <v>186</v>
      </c>
      <c r="BL386" s="42"/>
      <c r="BM386" s="34" t="s">
        <v>155</v>
      </c>
      <c r="BN386" s="10" t="s">
        <v>34</v>
      </c>
      <c r="BO386" s="10">
        <v>11</v>
      </c>
      <c r="BP386" s="10" t="s">
        <v>152</v>
      </c>
      <c r="BQ386">
        <v>83</v>
      </c>
      <c r="BR386" s="10">
        <v>1073</v>
      </c>
      <c r="BS386" s="43" t="s">
        <v>176</v>
      </c>
      <c r="BU386" s="42"/>
      <c r="BV386" s="34" t="s">
        <v>155</v>
      </c>
      <c r="BW386" s="10" t="s">
        <v>34</v>
      </c>
      <c r="BX386" s="10">
        <v>11</v>
      </c>
      <c r="BY386" s="10" t="s">
        <v>152</v>
      </c>
      <c r="BZ386">
        <v>83</v>
      </c>
      <c r="CA386" s="10" t="s">
        <v>482</v>
      </c>
      <c r="CB386" s="43" t="s">
        <v>184</v>
      </c>
      <c r="CD386" s="42"/>
      <c r="CE386" s="34" t="s">
        <v>155</v>
      </c>
      <c r="CF386" s="10" t="s">
        <v>34</v>
      </c>
      <c r="CG386" s="10">
        <v>11</v>
      </c>
      <c r="CH386" s="10" t="s">
        <v>152</v>
      </c>
      <c r="CI386">
        <v>83</v>
      </c>
      <c r="CJ386" s="10">
        <v>3021</v>
      </c>
      <c r="CK386" s="43" t="s">
        <v>184</v>
      </c>
    </row>
    <row r="387" spans="1:89" x14ac:dyDescent="0.25">
      <c r="A387" s="47"/>
      <c r="B387" s="48" t="s">
        <v>155</v>
      </c>
      <c r="C387" s="49" t="s">
        <v>34</v>
      </c>
      <c r="D387" s="49">
        <v>12</v>
      </c>
      <c r="E387" s="49" t="s">
        <v>152</v>
      </c>
      <c r="F387" s="50">
        <v>84</v>
      </c>
      <c r="G387" s="10" t="s">
        <v>111</v>
      </c>
      <c r="H387" t="s">
        <v>169</v>
      </c>
      <c r="J387" s="47"/>
      <c r="K387" s="48" t="s">
        <v>155</v>
      </c>
      <c r="L387" s="49" t="s">
        <v>34</v>
      </c>
      <c r="M387" s="49">
        <v>12</v>
      </c>
      <c r="N387" s="49" t="s">
        <v>152</v>
      </c>
      <c r="O387" s="50">
        <v>84</v>
      </c>
      <c r="P387" s="10">
        <v>1057</v>
      </c>
      <c r="Q387" t="s">
        <v>184</v>
      </c>
      <c r="S387" s="47"/>
      <c r="T387" s="48" t="s">
        <v>155</v>
      </c>
      <c r="U387" s="49" t="s">
        <v>34</v>
      </c>
      <c r="V387" s="49">
        <v>12</v>
      </c>
      <c r="W387" s="49" t="s">
        <v>152</v>
      </c>
      <c r="X387" s="50">
        <v>84</v>
      </c>
      <c r="Y387" s="10" t="s">
        <v>522</v>
      </c>
      <c r="Z387" s="43" t="s">
        <v>162</v>
      </c>
      <c r="AB387" s="47"/>
      <c r="AC387" s="48" t="s">
        <v>155</v>
      </c>
      <c r="AD387" s="49" t="s">
        <v>34</v>
      </c>
      <c r="AE387" s="49">
        <v>12</v>
      </c>
      <c r="AF387" s="49" t="s">
        <v>152</v>
      </c>
      <c r="AG387" s="50">
        <v>84</v>
      </c>
      <c r="AH387" s="10">
        <v>2040</v>
      </c>
      <c r="AI387" s="43" t="s">
        <v>162</v>
      </c>
      <c r="AK387" s="47"/>
      <c r="AL387" s="48" t="s">
        <v>155</v>
      </c>
      <c r="AM387" s="49" t="s">
        <v>34</v>
      </c>
      <c r="AN387" s="49">
        <v>12</v>
      </c>
      <c r="AO387" s="49" t="s">
        <v>152</v>
      </c>
      <c r="AP387" s="50">
        <v>84</v>
      </c>
      <c r="AQ387" s="10" t="s">
        <v>26</v>
      </c>
      <c r="AR387" s="43" t="s">
        <v>182</v>
      </c>
      <c r="AT387" s="47"/>
      <c r="AU387" s="48" t="s">
        <v>155</v>
      </c>
      <c r="AV387" s="49" t="s">
        <v>34</v>
      </c>
      <c r="AW387" s="49">
        <v>12</v>
      </c>
      <c r="AX387" s="49" t="s">
        <v>152</v>
      </c>
      <c r="AY387" s="50">
        <v>84</v>
      </c>
      <c r="AZ387" s="10">
        <v>3011</v>
      </c>
      <c r="BA387" s="43" t="s">
        <v>171</v>
      </c>
      <c r="BC387" s="47"/>
      <c r="BD387" s="48" t="s">
        <v>155</v>
      </c>
      <c r="BE387" s="49" t="s">
        <v>34</v>
      </c>
      <c r="BF387" s="49">
        <v>12</v>
      </c>
      <c r="BG387" s="49" t="s">
        <v>152</v>
      </c>
      <c r="BH387" s="50">
        <v>84</v>
      </c>
      <c r="BI387" s="10">
        <v>3007</v>
      </c>
      <c r="BJ387" s="43" t="s">
        <v>188</v>
      </c>
      <c r="BL387" s="47"/>
      <c r="BM387" s="48" t="s">
        <v>155</v>
      </c>
      <c r="BN387" s="49" t="s">
        <v>34</v>
      </c>
      <c r="BO387" s="49">
        <v>12</v>
      </c>
      <c r="BP387" s="49" t="s">
        <v>152</v>
      </c>
      <c r="BQ387" s="50">
        <v>84</v>
      </c>
      <c r="BR387" s="10">
        <v>1073</v>
      </c>
      <c r="BS387" s="43" t="s">
        <v>164</v>
      </c>
      <c r="BU387" s="47"/>
      <c r="BV387" s="48" t="s">
        <v>155</v>
      </c>
      <c r="BW387" s="49" t="s">
        <v>34</v>
      </c>
      <c r="BX387" s="49">
        <v>12</v>
      </c>
      <c r="BY387" s="49" t="s">
        <v>152</v>
      </c>
      <c r="BZ387" s="50">
        <v>84</v>
      </c>
      <c r="CA387" s="10" t="s">
        <v>482</v>
      </c>
      <c r="CB387" s="43" t="s">
        <v>187</v>
      </c>
      <c r="CD387" s="47"/>
      <c r="CE387" s="48" t="s">
        <v>155</v>
      </c>
      <c r="CF387" s="49" t="s">
        <v>34</v>
      </c>
      <c r="CG387" s="49">
        <v>12</v>
      </c>
      <c r="CH387" s="49" t="s">
        <v>152</v>
      </c>
      <c r="CI387" s="50">
        <v>84</v>
      </c>
      <c r="CJ387" s="10">
        <v>3021</v>
      </c>
      <c r="CK387" s="43" t="s">
        <v>187</v>
      </c>
    </row>
    <row r="388" spans="1:89" ht="15.75" thickBot="1" x14ac:dyDescent="0.3">
      <c r="A388" s="56"/>
      <c r="B388" s="34" t="s">
        <v>155</v>
      </c>
      <c r="C388" s="58" t="s">
        <v>39</v>
      </c>
      <c r="D388" s="58">
        <v>1</v>
      </c>
      <c r="E388" s="58" t="s">
        <v>152</v>
      </c>
      <c r="F388" s="59">
        <v>85</v>
      </c>
      <c r="G388" s="10" t="s">
        <v>111</v>
      </c>
      <c r="H388" t="s">
        <v>177</v>
      </c>
      <c r="J388" s="56"/>
      <c r="K388" s="34" t="s">
        <v>155</v>
      </c>
      <c r="L388" s="58" t="s">
        <v>39</v>
      </c>
      <c r="M388" s="58">
        <v>1</v>
      </c>
      <c r="N388" s="58" t="s">
        <v>152</v>
      </c>
      <c r="O388" s="59">
        <v>85</v>
      </c>
      <c r="P388" s="10">
        <v>1057</v>
      </c>
      <c r="Q388" t="s">
        <v>187</v>
      </c>
      <c r="S388" s="56"/>
      <c r="T388" s="34" t="s">
        <v>155</v>
      </c>
      <c r="U388" s="58" t="s">
        <v>39</v>
      </c>
      <c r="V388" s="58">
        <v>1</v>
      </c>
      <c r="W388" s="58" t="s">
        <v>152</v>
      </c>
      <c r="X388" s="59">
        <v>85</v>
      </c>
      <c r="Y388" s="10" t="s">
        <v>523</v>
      </c>
      <c r="Z388" s="43" t="s">
        <v>170</v>
      </c>
      <c r="AB388" s="56"/>
      <c r="AC388" s="34" t="s">
        <v>155</v>
      </c>
      <c r="AD388" s="58" t="s">
        <v>39</v>
      </c>
      <c r="AE388" s="58">
        <v>1</v>
      </c>
      <c r="AF388" s="58" t="s">
        <v>152</v>
      </c>
      <c r="AG388" s="59">
        <v>85</v>
      </c>
      <c r="AH388" s="10">
        <v>2040</v>
      </c>
      <c r="AI388" s="43" t="s">
        <v>170</v>
      </c>
      <c r="AK388" s="56"/>
      <c r="AL388" s="34" t="s">
        <v>155</v>
      </c>
      <c r="AM388" s="58" t="s">
        <v>39</v>
      </c>
      <c r="AN388" s="58">
        <v>1</v>
      </c>
      <c r="AO388" s="58" t="s">
        <v>152</v>
      </c>
      <c r="AP388" s="59">
        <v>85</v>
      </c>
      <c r="AQ388" s="10" t="s">
        <v>31</v>
      </c>
      <c r="AR388" s="43" t="s">
        <v>184</v>
      </c>
      <c r="AT388" s="56"/>
      <c r="AU388" s="34" t="s">
        <v>155</v>
      </c>
      <c r="AV388" s="58" t="s">
        <v>39</v>
      </c>
      <c r="AW388" s="58">
        <v>1</v>
      </c>
      <c r="AX388" s="58" t="s">
        <v>152</v>
      </c>
      <c r="AY388" s="59">
        <v>85</v>
      </c>
      <c r="AZ388" s="10">
        <v>3011</v>
      </c>
      <c r="BA388" s="43" t="s">
        <v>161</v>
      </c>
      <c r="BC388" s="56"/>
      <c r="BD388" s="34" t="s">
        <v>155</v>
      </c>
      <c r="BE388" s="58" t="s">
        <v>39</v>
      </c>
      <c r="BF388" s="58">
        <v>1</v>
      </c>
      <c r="BG388" s="58" t="s">
        <v>152</v>
      </c>
      <c r="BH388" s="59">
        <v>85</v>
      </c>
      <c r="BI388" s="10">
        <v>3007</v>
      </c>
      <c r="BJ388" s="43" t="s">
        <v>182</v>
      </c>
      <c r="BL388" s="56"/>
      <c r="BM388" s="34" t="s">
        <v>155</v>
      </c>
      <c r="BN388" s="58" t="s">
        <v>39</v>
      </c>
      <c r="BO388" s="58">
        <v>1</v>
      </c>
      <c r="BP388" s="58" t="s">
        <v>152</v>
      </c>
      <c r="BQ388" s="59">
        <v>85</v>
      </c>
      <c r="BR388" s="10">
        <v>1073</v>
      </c>
      <c r="BS388" s="43" t="s">
        <v>172</v>
      </c>
      <c r="BU388" s="56"/>
      <c r="BV388" s="34" t="s">
        <v>155</v>
      </c>
      <c r="BW388" s="58" t="s">
        <v>39</v>
      </c>
      <c r="BX388" s="58">
        <v>1</v>
      </c>
      <c r="BY388" s="58" t="s">
        <v>152</v>
      </c>
      <c r="BZ388" s="59">
        <v>85</v>
      </c>
      <c r="CA388" s="10" t="s">
        <v>482</v>
      </c>
      <c r="CB388" s="43" t="s">
        <v>189</v>
      </c>
      <c r="CD388" s="56"/>
      <c r="CE388" s="34" t="s">
        <v>155</v>
      </c>
      <c r="CF388" s="58" t="s">
        <v>39</v>
      </c>
      <c r="CG388" s="58">
        <v>1</v>
      </c>
      <c r="CH388" s="58" t="s">
        <v>152</v>
      </c>
      <c r="CI388" s="59">
        <v>85</v>
      </c>
      <c r="CJ388" s="10">
        <v>3021</v>
      </c>
      <c r="CK388" s="43" t="s">
        <v>189</v>
      </c>
    </row>
    <row r="389" spans="1:89" x14ac:dyDescent="0.25">
      <c r="A389" s="42"/>
      <c r="B389" s="34" t="s">
        <v>155</v>
      </c>
      <c r="C389" s="10" t="s">
        <v>39</v>
      </c>
      <c r="D389" s="10">
        <v>2</v>
      </c>
      <c r="E389" s="10" t="s">
        <v>152</v>
      </c>
      <c r="F389">
        <v>86</v>
      </c>
      <c r="G389" s="10" t="s">
        <v>111</v>
      </c>
      <c r="H389" t="s">
        <v>180</v>
      </c>
      <c r="J389" s="42"/>
      <c r="K389" s="34" t="s">
        <v>155</v>
      </c>
      <c r="L389" s="10" t="s">
        <v>39</v>
      </c>
      <c r="M389" s="10">
        <v>2</v>
      </c>
      <c r="N389" s="10" t="s">
        <v>152</v>
      </c>
      <c r="O389">
        <v>86</v>
      </c>
      <c r="P389" s="10">
        <v>1057</v>
      </c>
      <c r="Q389" t="s">
        <v>189</v>
      </c>
      <c r="S389" s="42"/>
      <c r="T389" s="34" t="s">
        <v>155</v>
      </c>
      <c r="U389" s="10" t="s">
        <v>39</v>
      </c>
      <c r="V389" s="10">
        <v>2</v>
      </c>
      <c r="W389" s="10" t="s">
        <v>152</v>
      </c>
      <c r="X389">
        <v>86</v>
      </c>
      <c r="Y389" s="10" t="s">
        <v>524</v>
      </c>
      <c r="Z389" s="43" t="s">
        <v>178</v>
      </c>
      <c r="AB389" s="42"/>
      <c r="AC389" s="34" t="s">
        <v>155</v>
      </c>
      <c r="AD389" s="10" t="s">
        <v>39</v>
      </c>
      <c r="AE389" s="10">
        <v>2</v>
      </c>
      <c r="AF389" s="10" t="s">
        <v>152</v>
      </c>
      <c r="AG389">
        <v>86</v>
      </c>
      <c r="AH389" s="10">
        <v>2040</v>
      </c>
      <c r="AI389" s="43" t="s">
        <v>178</v>
      </c>
      <c r="AK389" s="42"/>
      <c r="AL389" s="34" t="s">
        <v>155</v>
      </c>
      <c r="AM389" s="10" t="s">
        <v>39</v>
      </c>
      <c r="AN389" s="10">
        <v>2</v>
      </c>
      <c r="AO389" s="10" t="s">
        <v>152</v>
      </c>
      <c r="AP389">
        <v>86</v>
      </c>
      <c r="AQ389" s="10" t="s">
        <v>36</v>
      </c>
      <c r="AR389" s="43" t="s">
        <v>187</v>
      </c>
      <c r="AT389" s="42"/>
      <c r="AU389" s="34" t="s">
        <v>155</v>
      </c>
      <c r="AV389" s="10" t="s">
        <v>39</v>
      </c>
      <c r="AW389" s="10">
        <v>2</v>
      </c>
      <c r="AX389" s="10" t="s">
        <v>152</v>
      </c>
      <c r="AY389">
        <v>86</v>
      </c>
      <c r="AZ389" s="10">
        <v>3011</v>
      </c>
      <c r="BA389" s="33" t="s">
        <v>169</v>
      </c>
      <c r="BC389" s="42"/>
      <c r="BD389" s="34" t="s">
        <v>155</v>
      </c>
      <c r="BE389" s="10" t="s">
        <v>39</v>
      </c>
      <c r="BF389" s="10">
        <v>2</v>
      </c>
      <c r="BG389" s="10" t="s">
        <v>152</v>
      </c>
      <c r="BH389">
        <v>86</v>
      </c>
      <c r="BI389" s="10">
        <v>3007</v>
      </c>
      <c r="BJ389" s="43" t="s">
        <v>184</v>
      </c>
      <c r="BL389" s="42"/>
      <c r="BM389" s="34" t="s">
        <v>155</v>
      </c>
      <c r="BN389" s="10" t="s">
        <v>39</v>
      </c>
      <c r="BO389" s="10">
        <v>2</v>
      </c>
      <c r="BP389" s="10" t="s">
        <v>152</v>
      </c>
      <c r="BQ389">
        <v>86</v>
      </c>
      <c r="BR389" s="10">
        <v>1073</v>
      </c>
      <c r="BS389" s="43" t="s">
        <v>162</v>
      </c>
      <c r="BU389" s="42"/>
      <c r="BV389" s="34" t="s">
        <v>155</v>
      </c>
      <c r="BW389" s="10" t="s">
        <v>39</v>
      </c>
      <c r="BX389" s="10">
        <v>2</v>
      </c>
      <c r="BY389" s="10" t="s">
        <v>152</v>
      </c>
      <c r="BZ389">
        <v>86</v>
      </c>
      <c r="CA389" s="10">
        <v>1083</v>
      </c>
      <c r="CB389" s="43" t="s">
        <v>160</v>
      </c>
      <c r="CD389" s="42"/>
      <c r="CE389" s="34" t="s">
        <v>155</v>
      </c>
      <c r="CF389" s="10" t="s">
        <v>39</v>
      </c>
      <c r="CG389" s="10">
        <v>2</v>
      </c>
      <c r="CH389" s="10" t="s">
        <v>152</v>
      </c>
      <c r="CI389">
        <v>86</v>
      </c>
      <c r="CJ389" s="10">
        <v>3022</v>
      </c>
      <c r="CK389" s="43" t="s">
        <v>160</v>
      </c>
    </row>
    <row r="390" spans="1:89" ht="15.75" thickBot="1" x14ac:dyDescent="0.3">
      <c r="A390" s="42"/>
      <c r="B390" s="34" t="s">
        <v>155</v>
      </c>
      <c r="C390" s="10" t="s">
        <v>39</v>
      </c>
      <c r="D390" s="10">
        <v>3</v>
      </c>
      <c r="E390" s="10" t="s">
        <v>152</v>
      </c>
      <c r="F390">
        <v>87</v>
      </c>
      <c r="G390" s="10" t="s">
        <v>111</v>
      </c>
      <c r="H390" t="s">
        <v>181</v>
      </c>
      <c r="J390" s="42"/>
      <c r="K390" s="34" t="s">
        <v>155</v>
      </c>
      <c r="L390" s="10" t="s">
        <v>39</v>
      </c>
      <c r="M390" s="10">
        <v>3</v>
      </c>
      <c r="N390" s="10" t="s">
        <v>152</v>
      </c>
      <c r="O390">
        <v>87</v>
      </c>
      <c r="P390" s="10" t="s">
        <v>525</v>
      </c>
      <c r="Q390" s="43" t="s">
        <v>160</v>
      </c>
      <c r="S390" s="42"/>
      <c r="T390" s="34" t="s">
        <v>155</v>
      </c>
      <c r="U390" s="10" t="s">
        <v>39</v>
      </c>
      <c r="V390" s="10">
        <v>3</v>
      </c>
      <c r="W390" s="10" t="s">
        <v>152</v>
      </c>
      <c r="X390">
        <v>87</v>
      </c>
      <c r="Y390" s="10" t="s">
        <v>526</v>
      </c>
      <c r="Z390" s="43" t="s">
        <v>163</v>
      </c>
      <c r="AB390" s="42"/>
      <c r="AC390" s="34" t="s">
        <v>155</v>
      </c>
      <c r="AD390" s="10" t="s">
        <v>39</v>
      </c>
      <c r="AE390" s="10">
        <v>3</v>
      </c>
      <c r="AF390" s="10" t="s">
        <v>152</v>
      </c>
      <c r="AG390">
        <v>87</v>
      </c>
      <c r="AH390" s="10">
        <v>2040</v>
      </c>
      <c r="AI390" s="43" t="s">
        <v>163</v>
      </c>
      <c r="AK390" s="42"/>
      <c r="AL390" s="34" t="s">
        <v>155</v>
      </c>
      <c r="AM390" s="10" t="s">
        <v>39</v>
      </c>
      <c r="AN390" s="10">
        <v>3</v>
      </c>
      <c r="AO390" s="10" t="s">
        <v>152</v>
      </c>
      <c r="AP390">
        <v>87</v>
      </c>
      <c r="AQ390" s="10" t="s">
        <v>41</v>
      </c>
      <c r="AR390" s="43" t="s">
        <v>189</v>
      </c>
      <c r="AT390" s="42"/>
      <c r="AU390" s="34" t="s">
        <v>155</v>
      </c>
      <c r="AV390" s="10" t="s">
        <v>39</v>
      </c>
      <c r="AW390" s="10">
        <v>3</v>
      </c>
      <c r="AX390" s="10" t="s">
        <v>152</v>
      </c>
      <c r="AY390">
        <v>87</v>
      </c>
      <c r="AZ390" s="10">
        <v>3011</v>
      </c>
      <c r="BA390" s="43" t="s">
        <v>177</v>
      </c>
      <c r="BC390" s="42"/>
      <c r="BD390" s="34" t="s">
        <v>155</v>
      </c>
      <c r="BE390" s="10" t="s">
        <v>39</v>
      </c>
      <c r="BF390" s="10">
        <v>3</v>
      </c>
      <c r="BG390" s="10" t="s">
        <v>152</v>
      </c>
      <c r="BH390">
        <v>87</v>
      </c>
      <c r="BI390" s="10">
        <v>3007</v>
      </c>
      <c r="BJ390" s="43" t="s">
        <v>187</v>
      </c>
      <c r="BL390" s="42"/>
      <c r="BM390" s="34" t="s">
        <v>155</v>
      </c>
      <c r="BN390" s="10" t="s">
        <v>39</v>
      </c>
      <c r="BO390" s="10">
        <v>3</v>
      </c>
      <c r="BP390" s="10" t="s">
        <v>152</v>
      </c>
      <c r="BQ390">
        <v>87</v>
      </c>
      <c r="BR390" s="10">
        <v>1073</v>
      </c>
      <c r="BS390" s="43" t="s">
        <v>170</v>
      </c>
      <c r="BU390" s="42"/>
      <c r="BV390" s="34" t="s">
        <v>155</v>
      </c>
      <c r="BW390" s="10" t="s">
        <v>39</v>
      </c>
      <c r="BX390" s="10">
        <v>3</v>
      </c>
      <c r="BY390" s="10" t="s">
        <v>152</v>
      </c>
      <c r="BZ390">
        <v>87</v>
      </c>
      <c r="CA390" s="10">
        <v>1083</v>
      </c>
      <c r="CB390" s="43" t="s">
        <v>168</v>
      </c>
      <c r="CD390" s="42"/>
      <c r="CE390" s="34" t="s">
        <v>155</v>
      </c>
      <c r="CF390" s="10" t="s">
        <v>39</v>
      </c>
      <c r="CG390" s="10">
        <v>3</v>
      </c>
      <c r="CH390" s="10" t="s">
        <v>152</v>
      </c>
      <c r="CI390">
        <v>87</v>
      </c>
      <c r="CJ390" s="10">
        <v>3022</v>
      </c>
      <c r="CK390" s="43" t="s">
        <v>168</v>
      </c>
    </row>
    <row r="391" spans="1:89" x14ac:dyDescent="0.25">
      <c r="A391" s="42"/>
      <c r="B391" s="34" t="s">
        <v>155</v>
      </c>
      <c r="C391" s="10" t="s">
        <v>39</v>
      </c>
      <c r="D391" s="10">
        <v>4</v>
      </c>
      <c r="E391" s="10" t="s">
        <v>152</v>
      </c>
      <c r="F391">
        <v>88</v>
      </c>
      <c r="G391" s="10" t="s">
        <v>111</v>
      </c>
      <c r="H391" t="s">
        <v>183</v>
      </c>
      <c r="J391" s="42"/>
      <c r="K391" s="34" t="s">
        <v>155</v>
      </c>
      <c r="L391" s="10" t="s">
        <v>39</v>
      </c>
      <c r="M391" s="10">
        <v>4</v>
      </c>
      <c r="N391" s="10" t="s">
        <v>152</v>
      </c>
      <c r="O391">
        <v>88</v>
      </c>
      <c r="P391" s="10" t="s">
        <v>527</v>
      </c>
      <c r="Q391" s="43" t="s">
        <v>168</v>
      </c>
      <c r="S391" s="42"/>
      <c r="T391" s="34" t="s">
        <v>155</v>
      </c>
      <c r="U391" s="10" t="s">
        <v>39</v>
      </c>
      <c r="V391" s="10">
        <v>4</v>
      </c>
      <c r="W391" s="10" t="s">
        <v>152</v>
      </c>
      <c r="X391">
        <v>88</v>
      </c>
      <c r="Y391" s="10" t="s">
        <v>528</v>
      </c>
      <c r="Z391" s="43" t="s">
        <v>171</v>
      </c>
      <c r="AB391" s="42"/>
      <c r="AC391" s="34" t="s">
        <v>155</v>
      </c>
      <c r="AD391" s="10" t="s">
        <v>39</v>
      </c>
      <c r="AE391" s="10">
        <v>4</v>
      </c>
      <c r="AF391" s="10" t="s">
        <v>152</v>
      </c>
      <c r="AG391">
        <v>88</v>
      </c>
      <c r="AH391" s="10">
        <v>2040</v>
      </c>
      <c r="AI391" s="43" t="s">
        <v>171</v>
      </c>
      <c r="AK391" s="42"/>
      <c r="AL391" s="34" t="s">
        <v>155</v>
      </c>
      <c r="AM391" s="10" t="s">
        <v>39</v>
      </c>
      <c r="AN391" s="10">
        <v>4</v>
      </c>
      <c r="AO391" s="10" t="s">
        <v>152</v>
      </c>
      <c r="AP391">
        <v>88</v>
      </c>
      <c r="AQ391" s="10">
        <v>1019</v>
      </c>
      <c r="AR391" s="43" t="s">
        <v>171</v>
      </c>
      <c r="AT391" s="42"/>
      <c r="AU391" s="34" t="s">
        <v>155</v>
      </c>
      <c r="AV391" s="10" t="s">
        <v>39</v>
      </c>
      <c r="AW391" s="10">
        <v>4</v>
      </c>
      <c r="AX391" s="10" t="s">
        <v>152</v>
      </c>
      <c r="AY391">
        <v>88</v>
      </c>
      <c r="AZ391" s="10">
        <v>3011</v>
      </c>
      <c r="BA391" s="43" t="s">
        <v>180</v>
      </c>
      <c r="BC391" s="42"/>
      <c r="BD391" s="34" t="s">
        <v>155</v>
      </c>
      <c r="BE391" s="10" t="s">
        <v>39</v>
      </c>
      <c r="BF391" s="10">
        <v>4</v>
      </c>
      <c r="BG391" s="10" t="s">
        <v>152</v>
      </c>
      <c r="BH391">
        <v>88</v>
      </c>
      <c r="BI391" s="10">
        <v>3007</v>
      </c>
      <c r="BJ391" s="43" t="s">
        <v>189</v>
      </c>
      <c r="BL391" s="42"/>
      <c r="BM391" s="34" t="s">
        <v>155</v>
      </c>
      <c r="BN391" s="10" t="s">
        <v>39</v>
      </c>
      <c r="BO391" s="10">
        <v>4</v>
      </c>
      <c r="BP391" s="10" t="s">
        <v>152</v>
      </c>
      <c r="BQ391">
        <v>88</v>
      </c>
      <c r="BR391" s="10">
        <v>1073</v>
      </c>
      <c r="BS391" s="33" t="s">
        <v>178</v>
      </c>
      <c r="BU391" s="42"/>
      <c r="BV391" s="34" t="s">
        <v>155</v>
      </c>
      <c r="BW391" s="10" t="s">
        <v>39</v>
      </c>
      <c r="BX391" s="10">
        <v>4</v>
      </c>
      <c r="BY391" s="10" t="s">
        <v>152</v>
      </c>
      <c r="BZ391">
        <v>88</v>
      </c>
      <c r="CA391" s="10">
        <v>1083</v>
      </c>
      <c r="CB391" s="43" t="s">
        <v>176</v>
      </c>
      <c r="CD391" s="42"/>
      <c r="CE391" s="34" t="s">
        <v>155</v>
      </c>
      <c r="CF391" s="10" t="s">
        <v>39</v>
      </c>
      <c r="CG391" s="10">
        <v>4</v>
      </c>
      <c r="CH391" s="10" t="s">
        <v>152</v>
      </c>
      <c r="CI391">
        <v>88</v>
      </c>
      <c r="CJ391" s="10">
        <v>3022</v>
      </c>
      <c r="CK391" s="43" t="s">
        <v>176</v>
      </c>
    </row>
    <row r="392" spans="1:89" ht="15.75" thickBot="1" x14ac:dyDescent="0.3">
      <c r="A392" s="42"/>
      <c r="B392" s="34" t="s">
        <v>155</v>
      </c>
      <c r="C392" s="10" t="s">
        <v>39</v>
      </c>
      <c r="D392" s="10">
        <v>5</v>
      </c>
      <c r="E392" s="10" t="s">
        <v>152</v>
      </c>
      <c r="F392">
        <v>89</v>
      </c>
      <c r="G392" s="10" t="s">
        <v>111</v>
      </c>
      <c r="H392" t="s">
        <v>186</v>
      </c>
      <c r="J392" s="42"/>
      <c r="K392" s="34" t="s">
        <v>155</v>
      </c>
      <c r="L392" s="10" t="s">
        <v>39</v>
      </c>
      <c r="M392" s="10">
        <v>5</v>
      </c>
      <c r="N392" s="10" t="s">
        <v>152</v>
      </c>
      <c r="O392">
        <v>89</v>
      </c>
      <c r="P392" s="10" t="s">
        <v>529</v>
      </c>
      <c r="Q392" s="43" t="s">
        <v>176</v>
      </c>
      <c r="S392" s="42"/>
      <c r="T392" s="34" t="s">
        <v>155</v>
      </c>
      <c r="U392" s="10" t="s">
        <v>39</v>
      </c>
      <c r="V392" s="10">
        <v>5</v>
      </c>
      <c r="W392" s="10" t="s">
        <v>152</v>
      </c>
      <c r="X392">
        <v>89</v>
      </c>
      <c r="Y392" s="10" t="s">
        <v>530</v>
      </c>
      <c r="Z392" s="43" t="s">
        <v>161</v>
      </c>
      <c r="AB392" s="42"/>
      <c r="AC392" s="34" t="s">
        <v>155</v>
      </c>
      <c r="AD392" s="10" t="s">
        <v>39</v>
      </c>
      <c r="AE392" s="10">
        <v>5</v>
      </c>
      <c r="AF392" s="10" t="s">
        <v>152</v>
      </c>
      <c r="AG392">
        <v>89</v>
      </c>
      <c r="AH392" s="10">
        <v>2040</v>
      </c>
      <c r="AI392" s="43" t="s">
        <v>161</v>
      </c>
      <c r="AK392" s="42"/>
      <c r="AL392" s="34" t="s">
        <v>155</v>
      </c>
      <c r="AM392" s="10" t="s">
        <v>39</v>
      </c>
      <c r="AN392" s="10">
        <v>5</v>
      </c>
      <c r="AO392" s="10" t="s">
        <v>152</v>
      </c>
      <c r="AP392">
        <v>89</v>
      </c>
      <c r="AQ392" s="10">
        <v>1019</v>
      </c>
      <c r="AR392" s="43" t="s">
        <v>161</v>
      </c>
      <c r="AT392" s="42"/>
      <c r="AU392" s="34" t="s">
        <v>155</v>
      </c>
      <c r="AV392" s="10" t="s">
        <v>39</v>
      </c>
      <c r="AW392" s="10">
        <v>5</v>
      </c>
      <c r="AX392" s="10" t="s">
        <v>152</v>
      </c>
      <c r="AY392">
        <v>89</v>
      </c>
      <c r="AZ392" s="10">
        <v>3011</v>
      </c>
      <c r="BA392" s="43" t="s">
        <v>181</v>
      </c>
      <c r="BC392" s="42"/>
      <c r="BD392" s="34" t="s">
        <v>155</v>
      </c>
      <c r="BE392" s="10" t="s">
        <v>39</v>
      </c>
      <c r="BF392" s="10">
        <v>5</v>
      </c>
      <c r="BG392" s="10" t="s">
        <v>152</v>
      </c>
      <c r="BH392">
        <v>89</v>
      </c>
      <c r="BI392" s="10">
        <v>3012</v>
      </c>
      <c r="BJ392" s="43" t="s">
        <v>160</v>
      </c>
      <c r="BL392" s="42"/>
      <c r="BM392" s="34" t="s">
        <v>155</v>
      </c>
      <c r="BN392" s="10" t="s">
        <v>39</v>
      </c>
      <c r="BO392" s="10">
        <v>5</v>
      </c>
      <c r="BP392" s="10" t="s">
        <v>152</v>
      </c>
      <c r="BQ392">
        <v>89</v>
      </c>
      <c r="BR392" s="10">
        <v>1073</v>
      </c>
      <c r="BS392" s="43" t="s">
        <v>163</v>
      </c>
      <c r="BU392" s="42"/>
      <c r="BV392" s="34" t="s">
        <v>155</v>
      </c>
      <c r="BW392" s="10" t="s">
        <v>39</v>
      </c>
      <c r="BX392" s="10">
        <v>5</v>
      </c>
      <c r="BY392" s="10" t="s">
        <v>152</v>
      </c>
      <c r="BZ392">
        <v>89</v>
      </c>
      <c r="CA392" s="10">
        <v>1083</v>
      </c>
      <c r="CB392" s="43" t="s">
        <v>164</v>
      </c>
      <c r="CD392" s="42"/>
      <c r="CE392" s="34" t="s">
        <v>155</v>
      </c>
      <c r="CF392" s="10" t="s">
        <v>39</v>
      </c>
      <c r="CG392" s="10">
        <v>5</v>
      </c>
      <c r="CH392" s="10" t="s">
        <v>152</v>
      </c>
      <c r="CI392">
        <v>89</v>
      </c>
      <c r="CJ392" s="10">
        <v>3022</v>
      </c>
      <c r="CK392" s="43" t="s">
        <v>164</v>
      </c>
    </row>
    <row r="393" spans="1:89" x14ac:dyDescent="0.25">
      <c r="A393" s="42"/>
      <c r="B393" s="34" t="s">
        <v>155</v>
      </c>
      <c r="C393" s="10" t="s">
        <v>39</v>
      </c>
      <c r="D393" s="10">
        <v>6</v>
      </c>
      <c r="E393" s="10" t="s">
        <v>152</v>
      </c>
      <c r="F393">
        <v>90</v>
      </c>
      <c r="G393" s="10" t="s">
        <v>111</v>
      </c>
      <c r="H393" s="43" t="s">
        <v>188</v>
      </c>
      <c r="J393" s="42"/>
      <c r="K393" s="34" t="s">
        <v>155</v>
      </c>
      <c r="L393" s="10" t="s">
        <v>39</v>
      </c>
      <c r="M393" s="10">
        <v>6</v>
      </c>
      <c r="N393" s="10" t="s">
        <v>152</v>
      </c>
      <c r="O393">
        <v>90</v>
      </c>
      <c r="P393" s="10" t="s">
        <v>531</v>
      </c>
      <c r="Q393" s="43" t="s">
        <v>164</v>
      </c>
      <c r="S393" s="42"/>
      <c r="T393" s="34" t="s">
        <v>155</v>
      </c>
      <c r="U393" s="10" t="s">
        <v>39</v>
      </c>
      <c r="V393" s="10">
        <v>6</v>
      </c>
      <c r="W393" s="10" t="s">
        <v>152</v>
      </c>
      <c r="X393">
        <v>90</v>
      </c>
      <c r="Y393" s="10" t="s">
        <v>532</v>
      </c>
      <c r="Z393" s="33" t="s">
        <v>169</v>
      </c>
      <c r="AB393" s="42"/>
      <c r="AC393" s="34" t="s">
        <v>155</v>
      </c>
      <c r="AD393" s="10" t="s">
        <v>39</v>
      </c>
      <c r="AE393" s="10">
        <v>6</v>
      </c>
      <c r="AF393" s="10" t="s">
        <v>152</v>
      </c>
      <c r="AG393">
        <v>90</v>
      </c>
      <c r="AH393" s="10">
        <v>2040</v>
      </c>
      <c r="AI393" s="33" t="s">
        <v>169</v>
      </c>
      <c r="AK393" s="42"/>
      <c r="AL393" s="34" t="s">
        <v>155</v>
      </c>
      <c r="AM393" s="10" t="s">
        <v>39</v>
      </c>
      <c r="AN393" s="10">
        <v>6</v>
      </c>
      <c r="AO393" s="10" t="s">
        <v>152</v>
      </c>
      <c r="AP393">
        <v>90</v>
      </c>
      <c r="AQ393" s="10">
        <v>1019</v>
      </c>
      <c r="AR393" s="43" t="s">
        <v>180</v>
      </c>
      <c r="AT393" s="42"/>
      <c r="AU393" s="34" t="s">
        <v>155</v>
      </c>
      <c r="AV393" s="10" t="s">
        <v>39</v>
      </c>
      <c r="AW393" s="10">
        <v>6</v>
      </c>
      <c r="AX393" s="10" t="s">
        <v>152</v>
      </c>
      <c r="AY393">
        <v>90</v>
      </c>
      <c r="AZ393" s="10">
        <v>3011</v>
      </c>
      <c r="BA393" s="43" t="s">
        <v>183</v>
      </c>
      <c r="BC393" s="42"/>
      <c r="BD393" s="34" t="s">
        <v>155</v>
      </c>
      <c r="BE393" s="10" t="s">
        <v>39</v>
      </c>
      <c r="BF393" s="10">
        <v>6</v>
      </c>
      <c r="BG393" s="10" t="s">
        <v>152</v>
      </c>
      <c r="BH393">
        <v>90</v>
      </c>
      <c r="BI393" s="10">
        <v>3012</v>
      </c>
      <c r="BJ393" s="43" t="s">
        <v>168</v>
      </c>
      <c r="BL393" s="42"/>
      <c r="BM393" s="34" t="s">
        <v>155</v>
      </c>
      <c r="BN393" s="10" t="s">
        <v>39</v>
      </c>
      <c r="BO393" s="10">
        <v>6</v>
      </c>
      <c r="BP393" s="10" t="s">
        <v>152</v>
      </c>
      <c r="BQ393">
        <v>90</v>
      </c>
      <c r="BR393" s="10">
        <v>1073</v>
      </c>
      <c r="BS393" s="43" t="s">
        <v>171</v>
      </c>
      <c r="BU393" s="42"/>
      <c r="BV393" s="34" t="s">
        <v>155</v>
      </c>
      <c r="BW393" s="10" t="s">
        <v>39</v>
      </c>
      <c r="BX393" s="10">
        <v>6</v>
      </c>
      <c r="BY393" s="10" t="s">
        <v>152</v>
      </c>
      <c r="BZ393">
        <v>90</v>
      </c>
      <c r="CA393" s="10">
        <v>1083</v>
      </c>
      <c r="CB393" s="43" t="s">
        <v>172</v>
      </c>
      <c r="CD393" s="42"/>
      <c r="CE393" s="34" t="s">
        <v>155</v>
      </c>
      <c r="CF393" s="10" t="s">
        <v>39</v>
      </c>
      <c r="CG393" s="10">
        <v>6</v>
      </c>
      <c r="CH393" s="10" t="s">
        <v>152</v>
      </c>
      <c r="CI393">
        <v>90</v>
      </c>
      <c r="CJ393" s="10">
        <v>3022</v>
      </c>
      <c r="CK393" s="43" t="s">
        <v>172</v>
      </c>
    </row>
    <row r="394" spans="1:89" x14ac:dyDescent="0.25">
      <c r="A394" s="42"/>
      <c r="B394" s="34" t="s">
        <v>155</v>
      </c>
      <c r="C394" s="10" t="s">
        <v>39</v>
      </c>
      <c r="D394" s="10">
        <v>7</v>
      </c>
      <c r="E394" s="10" t="s">
        <v>152</v>
      </c>
      <c r="F394">
        <v>91</v>
      </c>
      <c r="G394" s="10" t="s">
        <v>111</v>
      </c>
      <c r="H394" s="43" t="s">
        <v>182</v>
      </c>
      <c r="J394" s="42"/>
      <c r="K394" s="34" t="s">
        <v>155</v>
      </c>
      <c r="L394" s="10" t="s">
        <v>39</v>
      </c>
      <c r="M394" s="10">
        <v>7</v>
      </c>
      <c r="N394" s="10" t="s">
        <v>152</v>
      </c>
      <c r="O394">
        <v>91</v>
      </c>
      <c r="P394" s="10" t="s">
        <v>533</v>
      </c>
      <c r="Q394" s="43" t="s">
        <v>172</v>
      </c>
      <c r="S394" s="42"/>
      <c r="T394" s="34" t="s">
        <v>155</v>
      </c>
      <c r="U394" s="10" t="s">
        <v>39</v>
      </c>
      <c r="V394" s="10">
        <v>7</v>
      </c>
      <c r="W394" s="10" t="s">
        <v>152</v>
      </c>
      <c r="X394">
        <v>91</v>
      </c>
      <c r="Y394" s="10" t="s">
        <v>534</v>
      </c>
      <c r="Z394" s="43" t="s">
        <v>177</v>
      </c>
      <c r="AB394" s="42"/>
      <c r="AC394" s="34" t="s">
        <v>155</v>
      </c>
      <c r="AD394" s="10" t="s">
        <v>39</v>
      </c>
      <c r="AE394" s="10">
        <v>7</v>
      </c>
      <c r="AF394" s="10" t="s">
        <v>152</v>
      </c>
      <c r="AG394">
        <v>91</v>
      </c>
      <c r="AH394" s="10">
        <v>2040</v>
      </c>
      <c r="AI394" s="43" t="s">
        <v>177</v>
      </c>
      <c r="AK394" s="42"/>
      <c r="AL394" s="34" t="s">
        <v>155</v>
      </c>
      <c r="AM394" s="10" t="s">
        <v>39</v>
      </c>
      <c r="AN394" s="10">
        <v>7</v>
      </c>
      <c r="AO394" s="10" t="s">
        <v>152</v>
      </c>
      <c r="AP394">
        <v>91</v>
      </c>
      <c r="AQ394" s="10">
        <v>1019</v>
      </c>
      <c r="AR394" s="43" t="s">
        <v>181</v>
      </c>
      <c r="AT394" s="42"/>
      <c r="AU394" s="34" t="s">
        <v>155</v>
      </c>
      <c r="AV394" s="10" t="s">
        <v>39</v>
      </c>
      <c r="AW394" s="10">
        <v>7</v>
      </c>
      <c r="AX394" s="10" t="s">
        <v>152</v>
      </c>
      <c r="AY394">
        <v>91</v>
      </c>
      <c r="AZ394" s="10">
        <v>3011</v>
      </c>
      <c r="BA394" s="43" t="s">
        <v>186</v>
      </c>
      <c r="BC394" s="42"/>
      <c r="BD394" s="34" t="s">
        <v>155</v>
      </c>
      <c r="BE394" s="10" t="s">
        <v>39</v>
      </c>
      <c r="BF394" s="10">
        <v>7</v>
      </c>
      <c r="BG394" s="10" t="s">
        <v>152</v>
      </c>
      <c r="BH394">
        <v>91</v>
      </c>
      <c r="BI394" s="10">
        <v>3012</v>
      </c>
      <c r="BJ394" s="43" t="s">
        <v>176</v>
      </c>
      <c r="BL394" s="42"/>
      <c r="BM394" s="34" t="s">
        <v>155</v>
      </c>
      <c r="BN394" s="10" t="s">
        <v>39</v>
      </c>
      <c r="BO394" s="10">
        <v>7</v>
      </c>
      <c r="BP394" s="10" t="s">
        <v>152</v>
      </c>
      <c r="BQ394">
        <v>91</v>
      </c>
      <c r="BR394" s="10">
        <v>1073</v>
      </c>
      <c r="BS394" s="43" t="s">
        <v>161</v>
      </c>
      <c r="BU394" s="42"/>
      <c r="BV394" s="34" t="s">
        <v>155</v>
      </c>
      <c r="BW394" s="10" t="s">
        <v>39</v>
      </c>
      <c r="BX394" s="10">
        <v>7</v>
      </c>
      <c r="BY394" s="10" t="s">
        <v>152</v>
      </c>
      <c r="BZ394">
        <v>91</v>
      </c>
      <c r="CA394" s="10">
        <v>1083</v>
      </c>
      <c r="CB394" s="43" t="s">
        <v>162</v>
      </c>
      <c r="CD394" s="42"/>
      <c r="CE394" s="34" t="s">
        <v>155</v>
      </c>
      <c r="CF394" s="10" t="s">
        <v>39</v>
      </c>
      <c r="CG394" s="10">
        <v>7</v>
      </c>
      <c r="CH394" s="10" t="s">
        <v>152</v>
      </c>
      <c r="CI394">
        <v>91</v>
      </c>
      <c r="CJ394" s="10">
        <v>3022</v>
      </c>
      <c r="CK394" s="43" t="s">
        <v>162</v>
      </c>
    </row>
    <row r="395" spans="1:89" ht="15.75" thickBot="1" x14ac:dyDescent="0.3">
      <c r="A395" s="42"/>
      <c r="B395" s="34" t="s">
        <v>155</v>
      </c>
      <c r="C395" s="10" t="s">
        <v>39</v>
      </c>
      <c r="D395" s="10">
        <v>8</v>
      </c>
      <c r="E395" s="10" t="s">
        <v>152</v>
      </c>
      <c r="F395">
        <v>92</v>
      </c>
      <c r="G395" s="10" t="s">
        <v>111</v>
      </c>
      <c r="H395" s="43" t="s">
        <v>184</v>
      </c>
      <c r="J395" s="42"/>
      <c r="K395" s="34" t="s">
        <v>155</v>
      </c>
      <c r="L395" s="10" t="s">
        <v>39</v>
      </c>
      <c r="M395" s="10">
        <v>8</v>
      </c>
      <c r="N395" s="10" t="s">
        <v>152</v>
      </c>
      <c r="O395">
        <v>92</v>
      </c>
      <c r="P395" s="10" t="s">
        <v>535</v>
      </c>
      <c r="Q395" s="43" t="s">
        <v>162</v>
      </c>
      <c r="S395" s="42"/>
      <c r="T395" s="34" t="s">
        <v>155</v>
      </c>
      <c r="U395" s="10" t="s">
        <v>39</v>
      </c>
      <c r="V395" s="10">
        <v>8</v>
      </c>
      <c r="W395" s="10" t="s">
        <v>152</v>
      </c>
      <c r="X395">
        <v>92</v>
      </c>
      <c r="Y395" s="10" t="s">
        <v>536</v>
      </c>
      <c r="Z395" s="43" t="s">
        <v>180</v>
      </c>
      <c r="AB395" s="42"/>
      <c r="AC395" s="34" t="s">
        <v>155</v>
      </c>
      <c r="AD395" s="10" t="s">
        <v>39</v>
      </c>
      <c r="AE395" s="10">
        <v>8</v>
      </c>
      <c r="AF395" s="10" t="s">
        <v>152</v>
      </c>
      <c r="AG395">
        <v>92</v>
      </c>
      <c r="AH395" s="10">
        <v>2040</v>
      </c>
      <c r="AI395" s="43" t="s">
        <v>180</v>
      </c>
      <c r="AK395" s="42"/>
      <c r="AL395" s="34" t="s">
        <v>155</v>
      </c>
      <c r="AM395" s="10" t="s">
        <v>39</v>
      </c>
      <c r="AN395" s="10">
        <v>8</v>
      </c>
      <c r="AO395" s="10" t="s">
        <v>152</v>
      </c>
      <c r="AP395">
        <v>92</v>
      </c>
      <c r="AQ395" s="10">
        <v>1019</v>
      </c>
      <c r="AR395" s="43" t="s">
        <v>188</v>
      </c>
      <c r="AT395" s="42"/>
      <c r="AU395" s="34" t="s">
        <v>155</v>
      </c>
      <c r="AV395" s="10" t="s">
        <v>39</v>
      </c>
      <c r="AW395" s="10">
        <v>8</v>
      </c>
      <c r="AX395" s="10" t="s">
        <v>152</v>
      </c>
      <c r="AY395">
        <v>92</v>
      </c>
      <c r="AZ395" s="10">
        <v>3011</v>
      </c>
      <c r="BA395" s="43" t="s">
        <v>188</v>
      </c>
      <c r="BC395" s="42"/>
      <c r="BD395" s="34" t="s">
        <v>155</v>
      </c>
      <c r="BE395" s="10" t="s">
        <v>39</v>
      </c>
      <c r="BF395" s="10">
        <v>8</v>
      </c>
      <c r="BG395" s="10" t="s">
        <v>152</v>
      </c>
      <c r="BH395">
        <v>92</v>
      </c>
      <c r="BI395" s="10">
        <v>3012</v>
      </c>
      <c r="BJ395" s="43" t="s">
        <v>164</v>
      </c>
      <c r="BL395" s="42"/>
      <c r="BM395" s="34" t="s">
        <v>155</v>
      </c>
      <c r="BN395" s="10" t="s">
        <v>39</v>
      </c>
      <c r="BO395" s="10">
        <v>8</v>
      </c>
      <c r="BP395" s="10" t="s">
        <v>152</v>
      </c>
      <c r="BQ395">
        <v>92</v>
      </c>
      <c r="BR395" s="10">
        <v>1073</v>
      </c>
      <c r="BS395" s="43" t="s">
        <v>169</v>
      </c>
      <c r="BU395" s="42"/>
      <c r="BV395" s="34" t="s">
        <v>155</v>
      </c>
      <c r="BW395" s="10" t="s">
        <v>39</v>
      </c>
      <c r="BX395" s="10">
        <v>8</v>
      </c>
      <c r="BY395" s="10" t="s">
        <v>152</v>
      </c>
      <c r="BZ395">
        <v>92</v>
      </c>
      <c r="CA395" s="10">
        <v>1083</v>
      </c>
      <c r="CB395" s="43" t="s">
        <v>170</v>
      </c>
      <c r="CD395" s="42"/>
      <c r="CE395" s="34" t="s">
        <v>155</v>
      </c>
      <c r="CF395" s="10" t="s">
        <v>39</v>
      </c>
      <c r="CG395" s="10">
        <v>8</v>
      </c>
      <c r="CH395" s="10" t="s">
        <v>152</v>
      </c>
      <c r="CI395">
        <v>92</v>
      </c>
      <c r="CJ395" s="10">
        <v>3022</v>
      </c>
      <c r="CK395" s="43" t="s">
        <v>170</v>
      </c>
    </row>
    <row r="396" spans="1:89" x14ac:dyDescent="0.25">
      <c r="A396" s="42"/>
      <c r="B396" s="34" t="s">
        <v>155</v>
      </c>
      <c r="C396" s="10" t="s">
        <v>39</v>
      </c>
      <c r="D396" s="10">
        <v>9</v>
      </c>
      <c r="E396" s="10" t="s">
        <v>152</v>
      </c>
      <c r="F396">
        <v>93</v>
      </c>
      <c r="G396" s="10" t="s">
        <v>111</v>
      </c>
      <c r="H396" s="43" t="s">
        <v>187</v>
      </c>
      <c r="J396" s="42"/>
      <c r="K396" s="34" t="s">
        <v>155</v>
      </c>
      <c r="L396" s="10" t="s">
        <v>39</v>
      </c>
      <c r="M396" s="10">
        <v>9</v>
      </c>
      <c r="N396" s="10" t="s">
        <v>152</v>
      </c>
      <c r="O396">
        <v>93</v>
      </c>
      <c r="P396" s="10" t="s">
        <v>537</v>
      </c>
      <c r="Q396" s="43" t="s">
        <v>170</v>
      </c>
      <c r="S396" s="42"/>
      <c r="T396" s="34" t="s">
        <v>155</v>
      </c>
      <c r="U396" s="10" t="s">
        <v>39</v>
      </c>
      <c r="V396" s="10">
        <v>9</v>
      </c>
      <c r="W396" s="10" t="s">
        <v>152</v>
      </c>
      <c r="X396">
        <v>93</v>
      </c>
      <c r="Y396" s="10" t="s">
        <v>538</v>
      </c>
      <c r="Z396" s="43" t="s">
        <v>181</v>
      </c>
      <c r="AB396" s="42"/>
      <c r="AC396" s="34" t="s">
        <v>155</v>
      </c>
      <c r="AD396" s="10" t="s">
        <v>39</v>
      </c>
      <c r="AE396" s="10">
        <v>9</v>
      </c>
      <c r="AF396" s="10" t="s">
        <v>152</v>
      </c>
      <c r="AG396">
        <v>93</v>
      </c>
      <c r="AH396" s="10">
        <v>2040</v>
      </c>
      <c r="AI396" s="43" t="s">
        <v>181</v>
      </c>
      <c r="AK396" s="42"/>
      <c r="AL396" s="34" t="s">
        <v>155</v>
      </c>
      <c r="AM396" s="10" t="s">
        <v>39</v>
      </c>
      <c r="AN396" s="10">
        <v>9</v>
      </c>
      <c r="AO396" s="10" t="s">
        <v>152</v>
      </c>
      <c r="AP396">
        <v>93</v>
      </c>
      <c r="AQ396" s="10">
        <v>1019</v>
      </c>
      <c r="AR396" s="43" t="s">
        <v>182</v>
      </c>
      <c r="AT396" s="42"/>
      <c r="AU396" s="34" t="s">
        <v>155</v>
      </c>
      <c r="AV396" s="10" t="s">
        <v>39</v>
      </c>
      <c r="AW396" s="10">
        <v>9</v>
      </c>
      <c r="AX396" s="10" t="s">
        <v>152</v>
      </c>
      <c r="AY396">
        <v>93</v>
      </c>
      <c r="AZ396" s="10">
        <v>3011</v>
      </c>
      <c r="BA396" s="43" t="s">
        <v>182</v>
      </c>
      <c r="BC396" s="42"/>
      <c r="BD396" s="34" t="s">
        <v>155</v>
      </c>
      <c r="BE396" s="10" t="s">
        <v>39</v>
      </c>
      <c r="BF396" s="10">
        <v>9</v>
      </c>
      <c r="BG396" s="10" t="s">
        <v>152</v>
      </c>
      <c r="BH396">
        <v>93</v>
      </c>
      <c r="BI396" s="10">
        <v>3012</v>
      </c>
      <c r="BJ396" s="51" t="s">
        <v>172</v>
      </c>
      <c r="BL396" s="42"/>
      <c r="BM396" s="34" t="s">
        <v>155</v>
      </c>
      <c r="BN396" s="10" t="s">
        <v>39</v>
      </c>
      <c r="BO396" s="10">
        <v>9</v>
      </c>
      <c r="BP396" s="10" t="s">
        <v>152</v>
      </c>
      <c r="BQ396">
        <v>93</v>
      </c>
      <c r="BR396" s="10">
        <v>1073</v>
      </c>
      <c r="BS396" s="43" t="s">
        <v>177</v>
      </c>
      <c r="BU396" s="42"/>
      <c r="BV396" s="34" t="s">
        <v>155</v>
      </c>
      <c r="BW396" s="10" t="s">
        <v>39</v>
      </c>
      <c r="BX396" s="10">
        <v>9</v>
      </c>
      <c r="BY396" s="10" t="s">
        <v>152</v>
      </c>
      <c r="BZ396">
        <v>93</v>
      </c>
      <c r="CA396" s="10">
        <v>1083</v>
      </c>
      <c r="CB396" s="33" t="s">
        <v>178</v>
      </c>
      <c r="CD396" s="42"/>
      <c r="CE396" s="34" t="s">
        <v>155</v>
      </c>
      <c r="CF396" s="10" t="s">
        <v>39</v>
      </c>
      <c r="CG396" s="10">
        <v>9</v>
      </c>
      <c r="CH396" s="10" t="s">
        <v>152</v>
      </c>
      <c r="CI396">
        <v>93</v>
      </c>
      <c r="CJ396" s="10">
        <v>3022</v>
      </c>
      <c r="CK396" s="33" t="s">
        <v>178</v>
      </c>
    </row>
    <row r="397" spans="1:89" x14ac:dyDescent="0.25">
      <c r="A397" s="42"/>
      <c r="B397" s="34" t="s">
        <v>155</v>
      </c>
      <c r="C397" s="10" t="s">
        <v>39</v>
      </c>
      <c r="D397" s="10">
        <v>10</v>
      </c>
      <c r="E397" s="10" t="s">
        <v>152</v>
      </c>
      <c r="F397">
        <v>94</v>
      </c>
      <c r="G397" s="10" t="s">
        <v>111</v>
      </c>
      <c r="H397" s="43" t="s">
        <v>189</v>
      </c>
      <c r="J397" s="42"/>
      <c r="K397" s="34" t="s">
        <v>155</v>
      </c>
      <c r="L397" s="10" t="s">
        <v>39</v>
      </c>
      <c r="M397" s="10">
        <v>10</v>
      </c>
      <c r="N397" s="10" t="s">
        <v>152</v>
      </c>
      <c r="O397">
        <v>94</v>
      </c>
      <c r="P397" s="10" t="s">
        <v>539</v>
      </c>
      <c r="Q397" s="43" t="s">
        <v>178</v>
      </c>
      <c r="S397" s="42"/>
      <c r="T397" s="34" t="s">
        <v>155</v>
      </c>
      <c r="U397" s="10" t="s">
        <v>39</v>
      </c>
      <c r="V397" s="10">
        <v>10</v>
      </c>
      <c r="W397" s="10" t="s">
        <v>152</v>
      </c>
      <c r="X397">
        <v>94</v>
      </c>
      <c r="Y397" s="10" t="s">
        <v>540</v>
      </c>
      <c r="Z397" s="43" t="s">
        <v>183</v>
      </c>
      <c r="AB397" s="42"/>
      <c r="AC397" s="34" t="s">
        <v>155</v>
      </c>
      <c r="AD397" s="10" t="s">
        <v>39</v>
      </c>
      <c r="AE397" s="10">
        <v>10</v>
      </c>
      <c r="AF397" s="10" t="s">
        <v>152</v>
      </c>
      <c r="AG397">
        <v>94</v>
      </c>
      <c r="AH397" s="10">
        <v>2040</v>
      </c>
      <c r="AI397" s="43" t="s">
        <v>183</v>
      </c>
      <c r="AK397" s="42"/>
      <c r="AL397" s="34" t="s">
        <v>155</v>
      </c>
      <c r="AM397" s="10" t="s">
        <v>39</v>
      </c>
      <c r="AN397" s="10">
        <v>10</v>
      </c>
      <c r="AO397" s="10" t="s">
        <v>152</v>
      </c>
      <c r="AP397">
        <v>94</v>
      </c>
      <c r="AQ397" s="10">
        <v>1019</v>
      </c>
      <c r="AR397" s="43" t="s">
        <v>184</v>
      </c>
      <c r="AT397" s="42"/>
      <c r="AU397" s="34" t="s">
        <v>155</v>
      </c>
      <c r="AV397" s="10" t="s">
        <v>39</v>
      </c>
      <c r="AW397" s="10">
        <v>10</v>
      </c>
      <c r="AX397" s="10" t="s">
        <v>152</v>
      </c>
      <c r="AY397">
        <v>94</v>
      </c>
      <c r="AZ397" s="10">
        <v>3011</v>
      </c>
      <c r="BA397" s="43" t="s">
        <v>184</v>
      </c>
      <c r="BC397" s="42"/>
      <c r="BD397" s="34" t="s">
        <v>155</v>
      </c>
      <c r="BE397" s="10" t="s">
        <v>39</v>
      </c>
      <c r="BF397" s="10">
        <v>10</v>
      </c>
      <c r="BG397" s="10" t="s">
        <v>152</v>
      </c>
      <c r="BH397">
        <v>94</v>
      </c>
      <c r="BI397" s="10">
        <v>3012</v>
      </c>
      <c r="BJ397" s="43" t="s">
        <v>162</v>
      </c>
      <c r="BL397" s="42"/>
      <c r="BM397" s="34" t="s">
        <v>155</v>
      </c>
      <c r="BN397" s="10" t="s">
        <v>39</v>
      </c>
      <c r="BO397" s="10">
        <v>10</v>
      </c>
      <c r="BP397" s="10" t="s">
        <v>152</v>
      </c>
      <c r="BQ397">
        <v>94</v>
      </c>
      <c r="BR397" s="10">
        <v>1073</v>
      </c>
      <c r="BS397" s="43" t="s">
        <v>180</v>
      </c>
      <c r="BU397" s="42"/>
      <c r="BV397" s="34" t="s">
        <v>155</v>
      </c>
      <c r="BW397" s="10" t="s">
        <v>39</v>
      </c>
      <c r="BX397" s="10">
        <v>10</v>
      </c>
      <c r="BY397" s="10" t="s">
        <v>152</v>
      </c>
      <c r="BZ397">
        <v>94</v>
      </c>
      <c r="CA397" s="10">
        <v>1083</v>
      </c>
      <c r="CB397" s="43" t="s">
        <v>163</v>
      </c>
      <c r="CD397" s="42"/>
      <c r="CE397" s="34" t="s">
        <v>155</v>
      </c>
      <c r="CF397" s="10" t="s">
        <v>39</v>
      </c>
      <c r="CG397" s="10">
        <v>10</v>
      </c>
      <c r="CH397" s="10" t="s">
        <v>152</v>
      </c>
      <c r="CI397">
        <v>94</v>
      </c>
      <c r="CJ397" s="10">
        <v>3022</v>
      </c>
      <c r="CK397" s="43" t="s">
        <v>163</v>
      </c>
    </row>
    <row r="398" spans="1:89" x14ac:dyDescent="0.25">
      <c r="A398" s="42"/>
      <c r="B398" s="34" t="s">
        <v>155</v>
      </c>
      <c r="C398" s="10" t="s">
        <v>39</v>
      </c>
      <c r="D398" s="10">
        <v>11</v>
      </c>
      <c r="E398" s="10" t="s">
        <v>152</v>
      </c>
      <c r="F398">
        <v>95</v>
      </c>
      <c r="G398" s="10" t="s">
        <v>123</v>
      </c>
      <c r="H398" s="43" t="s">
        <v>160</v>
      </c>
      <c r="J398" s="42"/>
      <c r="K398" s="34" t="s">
        <v>155</v>
      </c>
      <c r="L398" s="10" t="s">
        <v>39</v>
      </c>
      <c r="M398" s="10">
        <v>11</v>
      </c>
      <c r="N398" s="10" t="s">
        <v>152</v>
      </c>
      <c r="O398">
        <v>95</v>
      </c>
      <c r="P398" s="10" t="s">
        <v>541</v>
      </c>
      <c r="Q398" s="43" t="s">
        <v>163</v>
      </c>
      <c r="S398" s="42"/>
      <c r="T398" s="34" t="s">
        <v>155</v>
      </c>
      <c r="U398" s="10" t="s">
        <v>39</v>
      </c>
      <c r="V398" s="10">
        <v>11</v>
      </c>
      <c r="W398" s="10" t="s">
        <v>152</v>
      </c>
      <c r="X398">
        <v>95</v>
      </c>
      <c r="Y398" s="10" t="s">
        <v>542</v>
      </c>
      <c r="Z398" s="43" t="s">
        <v>186</v>
      </c>
      <c r="AB398" s="42"/>
      <c r="AC398" s="34" t="s">
        <v>155</v>
      </c>
      <c r="AD398" s="10" t="s">
        <v>39</v>
      </c>
      <c r="AE398" s="10">
        <v>11</v>
      </c>
      <c r="AF398" s="10" t="s">
        <v>152</v>
      </c>
      <c r="AG398">
        <v>95</v>
      </c>
      <c r="AH398" s="10">
        <v>2040</v>
      </c>
      <c r="AI398" s="43" t="s">
        <v>186</v>
      </c>
      <c r="AK398" s="42"/>
      <c r="AL398" s="34" t="s">
        <v>155</v>
      </c>
      <c r="AM398" s="10" t="s">
        <v>39</v>
      </c>
      <c r="AN398" s="10">
        <v>11</v>
      </c>
      <c r="AO398" s="10" t="s">
        <v>152</v>
      </c>
      <c r="AP398">
        <v>95</v>
      </c>
      <c r="AQ398" s="10">
        <v>1019</v>
      </c>
      <c r="AR398" s="43" t="s">
        <v>187</v>
      </c>
      <c r="AT398" s="42"/>
      <c r="AU398" s="34" t="s">
        <v>155</v>
      </c>
      <c r="AV398" s="10" t="s">
        <v>39</v>
      </c>
      <c r="AW398" s="10">
        <v>11</v>
      </c>
      <c r="AX398" s="10" t="s">
        <v>152</v>
      </c>
      <c r="AY398">
        <v>95</v>
      </c>
      <c r="AZ398" s="10">
        <v>3011</v>
      </c>
      <c r="BA398" s="43" t="s">
        <v>187</v>
      </c>
      <c r="BC398" s="42"/>
      <c r="BD398" s="34" t="s">
        <v>155</v>
      </c>
      <c r="BE398" s="10" t="s">
        <v>39</v>
      </c>
      <c r="BF398" s="10">
        <v>11</v>
      </c>
      <c r="BG398" s="10" t="s">
        <v>152</v>
      </c>
      <c r="BH398">
        <v>95</v>
      </c>
      <c r="BI398" s="10">
        <v>3012</v>
      </c>
      <c r="BJ398" s="43" t="s">
        <v>170</v>
      </c>
      <c r="BL398" s="42"/>
      <c r="BM398" s="34" t="s">
        <v>155</v>
      </c>
      <c r="BN398" s="10" t="s">
        <v>39</v>
      </c>
      <c r="BO398" s="10">
        <v>11</v>
      </c>
      <c r="BP398" s="10" t="s">
        <v>152</v>
      </c>
      <c r="BQ398">
        <v>95</v>
      </c>
      <c r="BR398" s="10">
        <v>1073</v>
      </c>
      <c r="BS398" s="43" t="s">
        <v>181</v>
      </c>
      <c r="BU398" s="42"/>
      <c r="BV398" s="34" t="s">
        <v>155</v>
      </c>
      <c r="BW398" s="10" t="s">
        <v>39</v>
      </c>
      <c r="BX398" s="10">
        <v>11</v>
      </c>
      <c r="BY398" s="10" t="s">
        <v>152</v>
      </c>
      <c r="BZ398">
        <v>95</v>
      </c>
      <c r="CA398" s="10">
        <v>1083</v>
      </c>
      <c r="CB398" s="43" t="s">
        <v>171</v>
      </c>
      <c r="CD398" s="42"/>
      <c r="CE398" s="34" t="s">
        <v>155</v>
      </c>
      <c r="CF398" s="10" t="s">
        <v>39</v>
      </c>
      <c r="CG398" s="10">
        <v>11</v>
      </c>
      <c r="CH398" s="10" t="s">
        <v>152</v>
      </c>
      <c r="CI398">
        <v>95</v>
      </c>
      <c r="CJ398" s="10">
        <v>3022</v>
      </c>
      <c r="CK398" s="43" t="s">
        <v>171</v>
      </c>
    </row>
    <row r="399" spans="1:89" ht="15.75" thickBot="1" x14ac:dyDescent="0.3">
      <c r="A399" s="65"/>
      <c r="B399" s="66" t="s">
        <v>155</v>
      </c>
      <c r="C399" s="17" t="s">
        <v>39</v>
      </c>
      <c r="D399" s="17">
        <v>12</v>
      </c>
      <c r="E399" s="17" t="s">
        <v>152</v>
      </c>
      <c r="F399" s="67">
        <v>96</v>
      </c>
      <c r="G399" s="10" t="s">
        <v>123</v>
      </c>
      <c r="H399" s="43" t="s">
        <v>168</v>
      </c>
      <c r="J399" s="65"/>
      <c r="K399" s="66" t="s">
        <v>155</v>
      </c>
      <c r="L399" s="17" t="s">
        <v>39</v>
      </c>
      <c r="M399" s="17">
        <v>12</v>
      </c>
      <c r="N399" s="17" t="s">
        <v>152</v>
      </c>
      <c r="O399" s="67">
        <v>96</v>
      </c>
      <c r="P399" s="10" t="s">
        <v>543</v>
      </c>
      <c r="Q399" s="51" t="s">
        <v>171</v>
      </c>
      <c r="S399" s="65"/>
      <c r="T399" s="66" t="s">
        <v>155</v>
      </c>
      <c r="U399" s="17" t="s">
        <v>39</v>
      </c>
      <c r="V399" s="17">
        <v>12</v>
      </c>
      <c r="W399" s="17" t="s">
        <v>152</v>
      </c>
      <c r="X399" s="67">
        <v>96</v>
      </c>
      <c r="Y399" s="10" t="s">
        <v>544</v>
      </c>
      <c r="Z399" s="43" t="s">
        <v>188</v>
      </c>
      <c r="AB399" s="65"/>
      <c r="AC399" s="66" t="s">
        <v>155</v>
      </c>
      <c r="AD399" s="17" t="s">
        <v>39</v>
      </c>
      <c r="AE399" s="17">
        <v>12</v>
      </c>
      <c r="AF399" s="17" t="s">
        <v>152</v>
      </c>
      <c r="AG399" s="67">
        <v>96</v>
      </c>
      <c r="AH399" s="10">
        <v>2040</v>
      </c>
      <c r="AI399" s="43" t="s">
        <v>188</v>
      </c>
      <c r="AK399" s="65"/>
      <c r="AL399" s="66" t="s">
        <v>155</v>
      </c>
      <c r="AM399" s="17" t="s">
        <v>39</v>
      </c>
      <c r="AN399" s="17">
        <v>12</v>
      </c>
      <c r="AO399" s="17" t="s">
        <v>152</v>
      </c>
      <c r="AP399" s="67">
        <v>96</v>
      </c>
      <c r="AQ399" s="10">
        <v>1019</v>
      </c>
      <c r="AR399" s="43" t="s">
        <v>189</v>
      </c>
      <c r="AT399" s="65"/>
      <c r="AU399" s="66" t="s">
        <v>155</v>
      </c>
      <c r="AV399" s="17" t="s">
        <v>39</v>
      </c>
      <c r="AW399" s="17">
        <v>12</v>
      </c>
      <c r="AX399" s="17" t="s">
        <v>152</v>
      </c>
      <c r="AY399" s="67">
        <v>96</v>
      </c>
      <c r="AZ399" s="10">
        <v>3011</v>
      </c>
      <c r="BA399" s="43" t="s">
        <v>189</v>
      </c>
      <c r="BC399" s="65"/>
      <c r="BD399" s="66" t="s">
        <v>155</v>
      </c>
      <c r="BE399" s="17" t="s">
        <v>39</v>
      </c>
      <c r="BF399" s="17">
        <v>12</v>
      </c>
      <c r="BG399" s="17" t="s">
        <v>152</v>
      </c>
      <c r="BH399" s="67">
        <v>96</v>
      </c>
      <c r="BI399" s="10">
        <v>3012</v>
      </c>
      <c r="BJ399" s="43" t="s">
        <v>178</v>
      </c>
      <c r="BL399" s="65"/>
      <c r="BM399" s="66" t="s">
        <v>155</v>
      </c>
      <c r="BN399" s="17" t="s">
        <v>39</v>
      </c>
      <c r="BO399" s="17">
        <v>12</v>
      </c>
      <c r="BP399" s="17" t="s">
        <v>152</v>
      </c>
      <c r="BQ399" s="67">
        <v>96</v>
      </c>
      <c r="BR399" s="10">
        <v>1073</v>
      </c>
      <c r="BS399" s="43" t="s">
        <v>183</v>
      </c>
      <c r="BU399" s="65"/>
      <c r="BV399" s="66" t="s">
        <v>155</v>
      </c>
      <c r="BW399" s="17" t="s">
        <v>39</v>
      </c>
      <c r="BX399" s="17">
        <v>12</v>
      </c>
      <c r="BY399" s="17" t="s">
        <v>152</v>
      </c>
      <c r="BZ399" s="67">
        <v>96</v>
      </c>
      <c r="CA399" s="10">
        <v>1083</v>
      </c>
      <c r="CB399" s="43" t="s">
        <v>161</v>
      </c>
      <c r="CD399" s="65"/>
      <c r="CE399" s="66" t="s">
        <v>155</v>
      </c>
      <c r="CF399" s="17" t="s">
        <v>39</v>
      </c>
      <c r="CG399" s="17">
        <v>12</v>
      </c>
      <c r="CH399" s="17" t="s">
        <v>152</v>
      </c>
      <c r="CI399" s="67">
        <v>96</v>
      </c>
      <c r="CJ399" s="10">
        <v>3022</v>
      </c>
      <c r="CK399" s="43" t="s">
        <v>161</v>
      </c>
    </row>
    <row r="400" spans="1:89" x14ac:dyDescent="0.25">
      <c r="BI400" s="10"/>
    </row>
    <row r="401" spans="1:89" x14ac:dyDescent="0.25">
      <c r="BI401" s="10"/>
    </row>
    <row r="402" spans="1:89" x14ac:dyDescent="0.25">
      <c r="A402" t="s">
        <v>545</v>
      </c>
      <c r="B402">
        <v>1016741</v>
      </c>
      <c r="D402" t="s">
        <v>546</v>
      </c>
      <c r="J402" t="s">
        <v>547</v>
      </c>
      <c r="K402">
        <v>1016749</v>
      </c>
      <c r="M402" t="s">
        <v>548</v>
      </c>
      <c r="S402" t="s">
        <v>549</v>
      </c>
      <c r="T402">
        <v>1016721</v>
      </c>
      <c r="V402" t="s">
        <v>550</v>
      </c>
      <c r="AB402" t="s">
        <v>551</v>
      </c>
      <c r="AC402">
        <v>1016722</v>
      </c>
      <c r="AE402" t="s">
        <v>552</v>
      </c>
      <c r="AK402" t="s">
        <v>553</v>
      </c>
      <c r="AL402">
        <v>1016750</v>
      </c>
      <c r="AN402" t="s">
        <v>554</v>
      </c>
      <c r="AT402" t="s">
        <v>555</v>
      </c>
      <c r="AU402">
        <v>1016729</v>
      </c>
      <c r="AW402" t="s">
        <v>556</v>
      </c>
      <c r="BC402" t="s">
        <v>557</v>
      </c>
      <c r="BD402">
        <v>1017412</v>
      </c>
      <c r="BF402" t="s">
        <v>558</v>
      </c>
      <c r="BL402" t="s">
        <v>559</v>
      </c>
      <c r="BM402">
        <v>1017413</v>
      </c>
      <c r="BO402" t="s">
        <v>560</v>
      </c>
      <c r="BU402" t="s">
        <v>561</v>
      </c>
      <c r="BV402">
        <v>1016483</v>
      </c>
      <c r="BX402" t="s">
        <v>562</v>
      </c>
      <c r="CD402" t="s">
        <v>563</v>
      </c>
      <c r="CE402">
        <v>1017421</v>
      </c>
      <c r="CG402" t="s">
        <v>564</v>
      </c>
    </row>
    <row r="403" spans="1:89" ht="15.75" thickBot="1" x14ac:dyDescent="0.3">
      <c r="A403" s="28" t="s">
        <v>143</v>
      </c>
      <c r="B403" s="28" t="s">
        <v>144</v>
      </c>
      <c r="C403" s="28" t="s">
        <v>145</v>
      </c>
      <c r="D403" s="28" t="s">
        <v>146</v>
      </c>
      <c r="E403" s="28" t="s">
        <v>147</v>
      </c>
      <c r="F403" s="28" t="s">
        <v>148</v>
      </c>
      <c r="G403" s="28" t="s">
        <v>149</v>
      </c>
      <c r="H403" s="28" t="s">
        <v>150</v>
      </c>
      <c r="J403" s="28" t="s">
        <v>143</v>
      </c>
      <c r="K403" s="28" t="s">
        <v>144</v>
      </c>
      <c r="L403" s="28" t="s">
        <v>145</v>
      </c>
      <c r="M403" s="28" t="s">
        <v>146</v>
      </c>
      <c r="N403" s="28" t="s">
        <v>147</v>
      </c>
      <c r="O403" s="28" t="s">
        <v>148</v>
      </c>
      <c r="P403" s="28" t="s">
        <v>149</v>
      </c>
      <c r="Q403" s="28" t="s">
        <v>150</v>
      </c>
      <c r="S403" s="28" t="s">
        <v>143</v>
      </c>
      <c r="T403" s="28" t="s">
        <v>144</v>
      </c>
      <c r="U403" s="28" t="s">
        <v>145</v>
      </c>
      <c r="V403" s="28" t="s">
        <v>146</v>
      </c>
      <c r="W403" s="28" t="s">
        <v>147</v>
      </c>
      <c r="X403" s="28" t="s">
        <v>148</v>
      </c>
      <c r="Y403" s="28" t="s">
        <v>149</v>
      </c>
      <c r="Z403" s="28" t="s">
        <v>150</v>
      </c>
      <c r="AB403" s="28" t="s">
        <v>143</v>
      </c>
      <c r="AC403" s="28" t="s">
        <v>144</v>
      </c>
      <c r="AD403" s="28" t="s">
        <v>145</v>
      </c>
      <c r="AE403" s="28" t="s">
        <v>146</v>
      </c>
      <c r="AF403" s="28" t="s">
        <v>147</v>
      </c>
      <c r="AG403" s="28" t="s">
        <v>148</v>
      </c>
      <c r="AH403" s="28" t="s">
        <v>149</v>
      </c>
      <c r="AI403" s="28" t="s">
        <v>150</v>
      </c>
      <c r="AK403" s="28" t="s">
        <v>143</v>
      </c>
      <c r="AL403" s="28" t="s">
        <v>144</v>
      </c>
      <c r="AM403" s="28" t="s">
        <v>145</v>
      </c>
      <c r="AN403" s="28" t="s">
        <v>146</v>
      </c>
      <c r="AO403" s="28" t="s">
        <v>147</v>
      </c>
      <c r="AP403" s="28" t="s">
        <v>148</v>
      </c>
      <c r="AQ403" s="28" t="s">
        <v>149</v>
      </c>
      <c r="AR403" s="28" t="s">
        <v>150</v>
      </c>
      <c r="AT403" s="28" t="s">
        <v>143</v>
      </c>
      <c r="AU403" s="28" t="s">
        <v>144</v>
      </c>
      <c r="AV403" s="28" t="s">
        <v>145</v>
      </c>
      <c r="AW403" s="28" t="s">
        <v>146</v>
      </c>
      <c r="AX403" s="28" t="s">
        <v>147</v>
      </c>
      <c r="AY403" s="28" t="s">
        <v>148</v>
      </c>
      <c r="AZ403" s="28" t="s">
        <v>149</v>
      </c>
      <c r="BA403" s="28" t="s">
        <v>150</v>
      </c>
      <c r="BC403" s="28" t="s">
        <v>143</v>
      </c>
      <c r="BD403" s="28" t="s">
        <v>144</v>
      </c>
      <c r="BE403" s="28" t="s">
        <v>145</v>
      </c>
      <c r="BF403" s="28" t="s">
        <v>146</v>
      </c>
      <c r="BG403" s="28" t="s">
        <v>147</v>
      </c>
      <c r="BH403" s="28" t="s">
        <v>148</v>
      </c>
      <c r="BI403" s="28" t="s">
        <v>149</v>
      </c>
      <c r="BJ403" s="28" t="s">
        <v>150</v>
      </c>
      <c r="BL403" s="28" t="s">
        <v>143</v>
      </c>
      <c r="BM403" s="28" t="s">
        <v>144</v>
      </c>
      <c r="BN403" s="28" t="s">
        <v>145</v>
      </c>
      <c r="BO403" s="28" t="s">
        <v>146</v>
      </c>
      <c r="BP403" s="28" t="s">
        <v>147</v>
      </c>
      <c r="BQ403" s="28" t="s">
        <v>148</v>
      </c>
      <c r="BR403" s="28" t="s">
        <v>149</v>
      </c>
      <c r="BU403" s="28" t="s">
        <v>143</v>
      </c>
      <c r="BV403" s="28" t="s">
        <v>144</v>
      </c>
      <c r="BW403" s="28" t="s">
        <v>145</v>
      </c>
      <c r="BX403" s="28" t="s">
        <v>146</v>
      </c>
      <c r="BY403" s="28" t="s">
        <v>147</v>
      </c>
      <c r="BZ403" s="28" t="s">
        <v>148</v>
      </c>
      <c r="CA403" s="28" t="s">
        <v>149</v>
      </c>
      <c r="CB403" s="28" t="s">
        <v>150</v>
      </c>
      <c r="CD403" s="28" t="s">
        <v>143</v>
      </c>
      <c r="CE403" s="28" t="s">
        <v>144</v>
      </c>
      <c r="CF403" s="28" t="s">
        <v>145</v>
      </c>
      <c r="CG403" s="28" t="s">
        <v>146</v>
      </c>
      <c r="CH403" s="28" t="s">
        <v>147</v>
      </c>
      <c r="CI403" s="28" t="s">
        <v>148</v>
      </c>
      <c r="CJ403" s="28" t="s">
        <v>149</v>
      </c>
      <c r="CK403" s="28" t="s">
        <v>150</v>
      </c>
    </row>
    <row r="404" spans="1:89" x14ac:dyDescent="0.25">
      <c r="A404" s="30"/>
      <c r="B404" s="31" t="s">
        <v>155</v>
      </c>
      <c r="C404" s="6" t="s">
        <v>0</v>
      </c>
      <c r="D404" s="6">
        <v>1</v>
      </c>
      <c r="E404" s="6" t="s">
        <v>152</v>
      </c>
      <c r="F404" s="32">
        <v>1</v>
      </c>
      <c r="G404" s="10">
        <v>3022</v>
      </c>
      <c r="H404" s="43" t="s">
        <v>169</v>
      </c>
      <c r="J404" s="30"/>
      <c r="K404" s="31" t="s">
        <v>155</v>
      </c>
      <c r="L404" s="6" t="s">
        <v>0</v>
      </c>
      <c r="M404" s="6">
        <v>1</v>
      </c>
      <c r="N404" s="6" t="s">
        <v>152</v>
      </c>
      <c r="O404" s="32">
        <v>1</v>
      </c>
      <c r="P404" s="10">
        <v>3020</v>
      </c>
      <c r="Q404" s="43" t="s">
        <v>184</v>
      </c>
      <c r="S404" s="30"/>
      <c r="T404" s="31" t="s">
        <v>155</v>
      </c>
      <c r="U404" s="6" t="s">
        <v>0</v>
      </c>
      <c r="V404" s="6">
        <v>1</v>
      </c>
      <c r="W404" s="6" t="s">
        <v>152</v>
      </c>
      <c r="X404" s="32">
        <v>1</v>
      </c>
      <c r="Y404" s="10">
        <v>1077</v>
      </c>
      <c r="Z404" t="s">
        <v>161</v>
      </c>
      <c r="AB404" s="30"/>
      <c r="AC404" s="31" t="s">
        <v>155</v>
      </c>
      <c r="AD404" s="6" t="s">
        <v>0</v>
      </c>
      <c r="AE404" s="6">
        <v>1</v>
      </c>
      <c r="AF404" s="6" t="s">
        <v>152</v>
      </c>
      <c r="AG404" s="32">
        <v>1</v>
      </c>
      <c r="AH404" s="10" t="s">
        <v>80</v>
      </c>
      <c r="AI404" s="43" t="s">
        <v>182</v>
      </c>
      <c r="AK404" s="30"/>
      <c r="AL404" s="31" t="s">
        <v>155</v>
      </c>
      <c r="AM404" s="6" t="s">
        <v>0</v>
      </c>
      <c r="AN404" s="6">
        <v>1</v>
      </c>
      <c r="AO404" s="6" t="s">
        <v>152</v>
      </c>
      <c r="AP404" s="32">
        <v>1</v>
      </c>
      <c r="AQ404" s="10">
        <v>1084</v>
      </c>
      <c r="AR404" t="s">
        <v>180</v>
      </c>
      <c r="AT404" s="30"/>
      <c r="AU404" s="31" t="s">
        <v>155</v>
      </c>
      <c r="AV404" s="6" t="s">
        <v>0</v>
      </c>
      <c r="AW404" s="6">
        <v>1</v>
      </c>
      <c r="AX404" s="6" t="s">
        <v>152</v>
      </c>
      <c r="AY404" s="32">
        <v>1</v>
      </c>
      <c r="AZ404" s="10">
        <v>1087</v>
      </c>
      <c r="BA404" s="43" t="s">
        <v>189</v>
      </c>
      <c r="BC404" s="30"/>
      <c r="BD404" s="31" t="s">
        <v>155</v>
      </c>
      <c r="BE404" s="6" t="s">
        <v>0</v>
      </c>
      <c r="BF404" s="6">
        <v>1</v>
      </c>
      <c r="BG404" s="6" t="s">
        <v>152</v>
      </c>
      <c r="BH404" s="32">
        <v>1</v>
      </c>
      <c r="BI404" s="10" t="s">
        <v>83</v>
      </c>
      <c r="BJ404" t="s">
        <v>178</v>
      </c>
      <c r="BL404" s="30"/>
      <c r="BM404" s="31" t="s">
        <v>155</v>
      </c>
      <c r="BN404" s="6" t="s">
        <v>0</v>
      </c>
      <c r="BO404" s="6">
        <v>1</v>
      </c>
      <c r="BP404" s="6" t="s">
        <v>152</v>
      </c>
      <c r="BQ404" s="32">
        <v>1</v>
      </c>
      <c r="BR404" s="10">
        <v>3013</v>
      </c>
      <c r="BS404" t="s">
        <v>178</v>
      </c>
      <c r="BU404" s="30"/>
      <c r="BV404" s="31" t="s">
        <v>155</v>
      </c>
      <c r="BW404" s="6" t="s">
        <v>0</v>
      </c>
      <c r="BX404" s="6">
        <v>1</v>
      </c>
      <c r="BY404" s="6" t="s">
        <v>152</v>
      </c>
      <c r="BZ404" s="32">
        <v>1</v>
      </c>
      <c r="CA404" s="10" t="s">
        <v>93</v>
      </c>
      <c r="CB404" s="43" t="s">
        <v>187</v>
      </c>
      <c r="CD404" s="30"/>
      <c r="CE404" s="31" t="s">
        <v>155</v>
      </c>
      <c r="CF404" s="6" t="s">
        <v>0</v>
      </c>
      <c r="CG404" s="6">
        <v>1</v>
      </c>
      <c r="CH404" s="6" t="s">
        <v>152</v>
      </c>
      <c r="CI404" s="32">
        <v>1</v>
      </c>
      <c r="CJ404" s="10" t="s">
        <v>89</v>
      </c>
      <c r="CK404" t="s">
        <v>170</v>
      </c>
    </row>
    <row r="405" spans="1:89" x14ac:dyDescent="0.25">
      <c r="A405" s="42"/>
      <c r="B405" s="34" t="s">
        <v>155</v>
      </c>
      <c r="C405" s="10" t="s">
        <v>0</v>
      </c>
      <c r="D405" s="10">
        <v>2</v>
      </c>
      <c r="E405" s="10" t="s">
        <v>152</v>
      </c>
      <c r="F405">
        <v>2</v>
      </c>
      <c r="G405" s="10">
        <v>3022</v>
      </c>
      <c r="H405" s="43" t="s">
        <v>177</v>
      </c>
      <c r="J405" s="42"/>
      <c r="K405" s="34" t="s">
        <v>155</v>
      </c>
      <c r="L405" s="10" t="s">
        <v>0</v>
      </c>
      <c r="M405" s="10">
        <v>2</v>
      </c>
      <c r="N405" s="10" t="s">
        <v>152</v>
      </c>
      <c r="O405">
        <v>2</v>
      </c>
      <c r="P405" s="10">
        <v>3020</v>
      </c>
      <c r="Q405" s="43" t="s">
        <v>187</v>
      </c>
      <c r="S405" s="42"/>
      <c r="T405" s="34" t="s">
        <v>155</v>
      </c>
      <c r="U405" s="10" t="s">
        <v>0</v>
      </c>
      <c r="V405" s="10">
        <v>2</v>
      </c>
      <c r="W405" s="10" t="s">
        <v>152</v>
      </c>
      <c r="X405">
        <v>2</v>
      </c>
      <c r="Y405" s="10">
        <v>1077</v>
      </c>
      <c r="Z405" t="s">
        <v>169</v>
      </c>
      <c r="AB405" s="42"/>
      <c r="AC405" s="34" t="s">
        <v>155</v>
      </c>
      <c r="AD405" s="10" t="s">
        <v>0</v>
      </c>
      <c r="AE405" s="10">
        <v>2</v>
      </c>
      <c r="AF405" s="10" t="s">
        <v>152</v>
      </c>
      <c r="AG405">
        <v>2</v>
      </c>
      <c r="AH405" s="10" t="s">
        <v>80</v>
      </c>
      <c r="AI405" s="43" t="s">
        <v>184</v>
      </c>
      <c r="AK405" s="42"/>
      <c r="AL405" s="34" t="s">
        <v>155</v>
      </c>
      <c r="AM405" s="10" t="s">
        <v>0</v>
      </c>
      <c r="AN405" s="10">
        <v>2</v>
      </c>
      <c r="AO405" s="10" t="s">
        <v>152</v>
      </c>
      <c r="AP405">
        <v>2</v>
      </c>
      <c r="AQ405" s="10">
        <v>1084</v>
      </c>
      <c r="AR405" t="s">
        <v>181</v>
      </c>
      <c r="AT405" s="42"/>
      <c r="AU405" s="34" t="s">
        <v>155</v>
      </c>
      <c r="AV405" s="10" t="s">
        <v>0</v>
      </c>
      <c r="AW405" s="10">
        <v>2</v>
      </c>
      <c r="AX405" s="10" t="s">
        <v>152</v>
      </c>
      <c r="AY405">
        <v>2</v>
      </c>
      <c r="AZ405" s="10">
        <v>3027</v>
      </c>
      <c r="BA405" s="43" t="s">
        <v>160</v>
      </c>
      <c r="BC405" s="42"/>
      <c r="BD405" s="34" t="s">
        <v>155</v>
      </c>
      <c r="BE405" s="10" t="s">
        <v>0</v>
      </c>
      <c r="BF405" s="10">
        <v>2</v>
      </c>
      <c r="BG405" s="10" t="s">
        <v>152</v>
      </c>
      <c r="BH405">
        <v>2</v>
      </c>
      <c r="BI405" s="10" t="s">
        <v>83</v>
      </c>
      <c r="BJ405" t="s">
        <v>163</v>
      </c>
      <c r="BL405" s="42"/>
      <c r="BM405" s="34" t="s">
        <v>155</v>
      </c>
      <c r="BN405" s="10" t="s">
        <v>0</v>
      </c>
      <c r="BO405" s="10">
        <v>2</v>
      </c>
      <c r="BP405" s="10" t="s">
        <v>152</v>
      </c>
      <c r="BQ405">
        <v>2</v>
      </c>
      <c r="BR405" s="10">
        <v>3013</v>
      </c>
      <c r="BS405" t="s">
        <v>163</v>
      </c>
      <c r="BU405" s="42"/>
      <c r="BV405" s="34" t="s">
        <v>155</v>
      </c>
      <c r="BW405" s="10" t="s">
        <v>0</v>
      </c>
      <c r="BX405" s="10">
        <v>2</v>
      </c>
      <c r="BY405" s="10" t="s">
        <v>152</v>
      </c>
      <c r="BZ405">
        <v>2</v>
      </c>
      <c r="CA405" s="10" t="s">
        <v>93</v>
      </c>
      <c r="CB405" s="43" t="s">
        <v>189</v>
      </c>
      <c r="CD405" s="42"/>
      <c r="CE405" s="34" t="s">
        <v>155</v>
      </c>
      <c r="CF405" s="10" t="s">
        <v>0</v>
      </c>
      <c r="CG405" s="10">
        <v>2</v>
      </c>
      <c r="CH405" s="10" t="s">
        <v>152</v>
      </c>
      <c r="CI405">
        <v>2</v>
      </c>
      <c r="CJ405" s="10" t="s">
        <v>89</v>
      </c>
      <c r="CK405" t="s">
        <v>178</v>
      </c>
    </row>
    <row r="406" spans="1:89" x14ac:dyDescent="0.25">
      <c r="A406" s="42"/>
      <c r="B406" s="34" t="s">
        <v>155</v>
      </c>
      <c r="C406" s="10" t="s">
        <v>0</v>
      </c>
      <c r="D406" s="10">
        <v>3</v>
      </c>
      <c r="E406" s="10" t="s">
        <v>152</v>
      </c>
      <c r="F406">
        <v>3</v>
      </c>
      <c r="G406" s="10">
        <v>3022</v>
      </c>
      <c r="H406" s="43" t="s">
        <v>180</v>
      </c>
      <c r="J406" s="42"/>
      <c r="K406" s="34" t="s">
        <v>155</v>
      </c>
      <c r="L406" s="10" t="s">
        <v>0</v>
      </c>
      <c r="M406" s="10">
        <v>3</v>
      </c>
      <c r="N406" s="10" t="s">
        <v>152</v>
      </c>
      <c r="O406">
        <v>3</v>
      </c>
      <c r="P406" s="10">
        <v>3020</v>
      </c>
      <c r="Q406" s="43" t="s">
        <v>189</v>
      </c>
      <c r="S406" s="42"/>
      <c r="T406" s="34" t="s">
        <v>155</v>
      </c>
      <c r="U406" s="10" t="s">
        <v>0</v>
      </c>
      <c r="V406" s="10">
        <v>3</v>
      </c>
      <c r="W406" s="10" t="s">
        <v>152</v>
      </c>
      <c r="X406">
        <v>3</v>
      </c>
      <c r="Y406" s="10">
        <v>1077</v>
      </c>
      <c r="Z406" t="s">
        <v>177</v>
      </c>
      <c r="AB406" s="42"/>
      <c r="AC406" s="34" t="s">
        <v>155</v>
      </c>
      <c r="AD406" s="10" t="s">
        <v>0</v>
      </c>
      <c r="AE406" s="10">
        <v>3</v>
      </c>
      <c r="AF406" s="10" t="s">
        <v>152</v>
      </c>
      <c r="AG406">
        <v>3</v>
      </c>
      <c r="AH406" s="10" t="s">
        <v>80</v>
      </c>
      <c r="AI406" s="43" t="s">
        <v>187</v>
      </c>
      <c r="AK406" s="42"/>
      <c r="AL406" s="34" t="s">
        <v>155</v>
      </c>
      <c r="AM406" s="10" t="s">
        <v>0</v>
      </c>
      <c r="AN406" s="10">
        <v>3</v>
      </c>
      <c r="AO406" s="10" t="s">
        <v>152</v>
      </c>
      <c r="AP406">
        <v>3</v>
      </c>
      <c r="AQ406" s="10">
        <v>1084</v>
      </c>
      <c r="AR406" t="s">
        <v>183</v>
      </c>
      <c r="AT406" s="42"/>
      <c r="AU406" s="34" t="s">
        <v>155</v>
      </c>
      <c r="AV406" s="10" t="s">
        <v>0</v>
      </c>
      <c r="AW406" s="10">
        <v>3</v>
      </c>
      <c r="AX406" s="10" t="s">
        <v>152</v>
      </c>
      <c r="AY406">
        <v>3</v>
      </c>
      <c r="AZ406" s="10">
        <v>3027</v>
      </c>
      <c r="BA406" s="51" t="s">
        <v>168</v>
      </c>
      <c r="BC406" s="42"/>
      <c r="BD406" s="34" t="s">
        <v>155</v>
      </c>
      <c r="BE406" s="10" t="s">
        <v>0</v>
      </c>
      <c r="BF406" s="10">
        <v>3</v>
      </c>
      <c r="BG406" s="10" t="s">
        <v>152</v>
      </c>
      <c r="BH406">
        <v>3</v>
      </c>
      <c r="BI406" s="10" t="s">
        <v>83</v>
      </c>
      <c r="BJ406" t="s">
        <v>171</v>
      </c>
      <c r="BL406" s="42"/>
      <c r="BM406" s="34" t="s">
        <v>155</v>
      </c>
      <c r="BN406" s="10" t="s">
        <v>0</v>
      </c>
      <c r="BO406" s="10">
        <v>3</v>
      </c>
      <c r="BP406" s="10" t="s">
        <v>152</v>
      </c>
      <c r="BQ406">
        <v>3</v>
      </c>
      <c r="BR406" s="10">
        <v>3013</v>
      </c>
      <c r="BS406" t="s">
        <v>171</v>
      </c>
      <c r="BU406" s="42"/>
      <c r="BV406" s="34" t="s">
        <v>155</v>
      </c>
      <c r="BW406" s="10" t="s">
        <v>0</v>
      </c>
      <c r="BX406" s="10">
        <v>3</v>
      </c>
      <c r="BY406" s="10" t="s">
        <v>152</v>
      </c>
      <c r="BZ406">
        <v>3</v>
      </c>
      <c r="CA406" s="10" t="s">
        <v>87</v>
      </c>
      <c r="CB406" s="43" t="s">
        <v>160</v>
      </c>
      <c r="CD406" s="42"/>
      <c r="CE406" s="34" t="s">
        <v>155</v>
      </c>
      <c r="CF406" s="10" t="s">
        <v>0</v>
      </c>
      <c r="CG406" s="10">
        <v>3</v>
      </c>
      <c r="CH406" s="10" t="s">
        <v>152</v>
      </c>
      <c r="CI406">
        <v>3</v>
      </c>
      <c r="CJ406" s="10" t="s">
        <v>89</v>
      </c>
      <c r="CK406" t="s">
        <v>163</v>
      </c>
    </row>
    <row r="407" spans="1:89" x14ac:dyDescent="0.25">
      <c r="A407" s="42"/>
      <c r="B407" s="34" t="s">
        <v>155</v>
      </c>
      <c r="C407" s="10" t="s">
        <v>0</v>
      </c>
      <c r="D407" s="10">
        <v>4</v>
      </c>
      <c r="E407" s="10" t="s">
        <v>152</v>
      </c>
      <c r="F407">
        <v>4</v>
      </c>
      <c r="G407" s="10">
        <v>3022</v>
      </c>
      <c r="H407" s="43" t="s">
        <v>181</v>
      </c>
      <c r="J407" s="42"/>
      <c r="K407" s="34" t="s">
        <v>155</v>
      </c>
      <c r="L407" s="10" t="s">
        <v>0</v>
      </c>
      <c r="M407" s="10">
        <v>4</v>
      </c>
      <c r="N407" s="10" t="s">
        <v>152</v>
      </c>
      <c r="O407">
        <v>4</v>
      </c>
      <c r="P407" s="10">
        <v>3018</v>
      </c>
      <c r="Q407" s="43" t="s">
        <v>160</v>
      </c>
      <c r="S407" s="42"/>
      <c r="T407" s="34" t="s">
        <v>155</v>
      </c>
      <c r="U407" s="10" t="s">
        <v>0</v>
      </c>
      <c r="V407" s="10">
        <v>4</v>
      </c>
      <c r="W407" s="10" t="s">
        <v>152</v>
      </c>
      <c r="X407">
        <v>4</v>
      </c>
      <c r="Y407" s="10">
        <v>1077</v>
      </c>
      <c r="Z407" t="s">
        <v>180</v>
      </c>
      <c r="AB407" s="42"/>
      <c r="AC407" s="34" t="s">
        <v>155</v>
      </c>
      <c r="AD407" s="10" t="s">
        <v>0</v>
      </c>
      <c r="AE407" s="10">
        <v>4</v>
      </c>
      <c r="AF407" s="10" t="s">
        <v>152</v>
      </c>
      <c r="AG407">
        <v>4</v>
      </c>
      <c r="AH407" s="10" t="s">
        <v>80</v>
      </c>
      <c r="AI407" s="43" t="s">
        <v>189</v>
      </c>
      <c r="AK407" s="42"/>
      <c r="AL407" s="34" t="s">
        <v>155</v>
      </c>
      <c r="AM407" s="10" t="s">
        <v>0</v>
      </c>
      <c r="AN407" s="10">
        <v>4</v>
      </c>
      <c r="AO407" s="10" t="s">
        <v>152</v>
      </c>
      <c r="AP407">
        <v>4</v>
      </c>
      <c r="AQ407" s="10">
        <v>1084</v>
      </c>
      <c r="AR407" t="s">
        <v>186</v>
      </c>
      <c r="AT407" s="42"/>
      <c r="AU407" s="34" t="s">
        <v>155</v>
      </c>
      <c r="AV407" s="10" t="s">
        <v>0</v>
      </c>
      <c r="AW407" s="10">
        <v>4</v>
      </c>
      <c r="AX407" s="10" t="s">
        <v>152</v>
      </c>
      <c r="AY407">
        <v>4</v>
      </c>
      <c r="AZ407" s="10">
        <v>3027</v>
      </c>
      <c r="BA407" s="43" t="s">
        <v>176</v>
      </c>
      <c r="BC407" s="42"/>
      <c r="BD407" s="34" t="s">
        <v>155</v>
      </c>
      <c r="BE407" s="10" t="s">
        <v>0</v>
      </c>
      <c r="BF407" s="10">
        <v>4</v>
      </c>
      <c r="BG407" s="10" t="s">
        <v>152</v>
      </c>
      <c r="BH407">
        <v>4</v>
      </c>
      <c r="BI407" s="10" t="s">
        <v>83</v>
      </c>
      <c r="BJ407" t="s">
        <v>161</v>
      </c>
      <c r="BL407" s="42"/>
      <c r="BM407" s="34" t="s">
        <v>155</v>
      </c>
      <c r="BN407" s="10" t="s">
        <v>0</v>
      </c>
      <c r="BO407" s="10">
        <v>4</v>
      </c>
      <c r="BP407" s="10" t="s">
        <v>152</v>
      </c>
      <c r="BQ407">
        <v>4</v>
      </c>
      <c r="BR407" s="10">
        <v>3013</v>
      </c>
      <c r="BS407" t="s">
        <v>161</v>
      </c>
      <c r="BU407" s="42"/>
      <c r="BV407" s="34" t="s">
        <v>155</v>
      </c>
      <c r="BW407" s="10" t="s">
        <v>0</v>
      </c>
      <c r="BX407" s="10">
        <v>4</v>
      </c>
      <c r="BY407" s="10" t="s">
        <v>152</v>
      </c>
      <c r="BZ407">
        <v>4</v>
      </c>
      <c r="CA407" s="10" t="s">
        <v>87</v>
      </c>
      <c r="CB407" s="51" t="s">
        <v>168</v>
      </c>
      <c r="CD407" s="42"/>
      <c r="CE407" s="34" t="s">
        <v>155</v>
      </c>
      <c r="CF407" s="10" t="s">
        <v>0</v>
      </c>
      <c r="CG407" s="10">
        <v>4</v>
      </c>
      <c r="CH407" s="10" t="s">
        <v>152</v>
      </c>
      <c r="CI407">
        <v>4</v>
      </c>
      <c r="CJ407" s="10" t="s">
        <v>89</v>
      </c>
      <c r="CK407" t="s">
        <v>171</v>
      </c>
    </row>
    <row r="408" spans="1:89" x14ac:dyDescent="0.25">
      <c r="A408" s="42"/>
      <c r="B408" s="34" t="s">
        <v>155</v>
      </c>
      <c r="C408" s="10" t="s">
        <v>0</v>
      </c>
      <c r="D408" s="10">
        <v>5</v>
      </c>
      <c r="E408" s="10" t="s">
        <v>152</v>
      </c>
      <c r="F408">
        <v>5</v>
      </c>
      <c r="G408" s="10">
        <v>3022</v>
      </c>
      <c r="H408" s="43" t="s">
        <v>183</v>
      </c>
      <c r="J408" s="42"/>
      <c r="K408" s="34" t="s">
        <v>155</v>
      </c>
      <c r="L408" s="10" t="s">
        <v>0</v>
      </c>
      <c r="M408" s="10">
        <v>5</v>
      </c>
      <c r="N408" s="10" t="s">
        <v>152</v>
      </c>
      <c r="O408">
        <v>5</v>
      </c>
      <c r="P408" s="10">
        <v>3018</v>
      </c>
      <c r="Q408" s="51" t="s">
        <v>168</v>
      </c>
      <c r="S408" s="42"/>
      <c r="T408" s="34" t="s">
        <v>155</v>
      </c>
      <c r="U408" s="10" t="s">
        <v>0</v>
      </c>
      <c r="V408" s="10">
        <v>5</v>
      </c>
      <c r="W408" s="10" t="s">
        <v>152</v>
      </c>
      <c r="X408">
        <v>5</v>
      </c>
      <c r="Y408" s="10">
        <v>1077</v>
      </c>
      <c r="Z408" t="s">
        <v>181</v>
      </c>
      <c r="AB408" s="42"/>
      <c r="AC408" s="34" t="s">
        <v>155</v>
      </c>
      <c r="AD408" s="10" t="s">
        <v>0</v>
      </c>
      <c r="AE408" s="10">
        <v>5</v>
      </c>
      <c r="AF408" s="10" t="s">
        <v>152</v>
      </c>
      <c r="AG408">
        <v>5</v>
      </c>
      <c r="AH408" s="10" t="s">
        <v>65</v>
      </c>
      <c r="AI408" s="43" t="s">
        <v>160</v>
      </c>
      <c r="AK408" s="42"/>
      <c r="AL408" s="34" t="s">
        <v>155</v>
      </c>
      <c r="AM408" s="10" t="s">
        <v>0</v>
      </c>
      <c r="AN408" s="10">
        <v>5</v>
      </c>
      <c r="AO408" s="10" t="s">
        <v>152</v>
      </c>
      <c r="AP408">
        <v>5</v>
      </c>
      <c r="AQ408" s="10">
        <v>1084</v>
      </c>
      <c r="AR408" s="43" t="s">
        <v>188</v>
      </c>
      <c r="AT408" s="42"/>
      <c r="AU408" s="34" t="s">
        <v>155</v>
      </c>
      <c r="AV408" s="10" t="s">
        <v>0</v>
      </c>
      <c r="AW408" s="10">
        <v>5</v>
      </c>
      <c r="AX408" s="10" t="s">
        <v>152</v>
      </c>
      <c r="AY408">
        <v>5</v>
      </c>
      <c r="AZ408" s="10">
        <v>3027</v>
      </c>
      <c r="BA408" s="43" t="s">
        <v>164</v>
      </c>
      <c r="BC408" s="42"/>
      <c r="BD408" s="34" t="s">
        <v>155</v>
      </c>
      <c r="BE408" s="10" t="s">
        <v>0</v>
      </c>
      <c r="BF408" s="10">
        <v>5</v>
      </c>
      <c r="BG408" s="10" t="s">
        <v>152</v>
      </c>
      <c r="BH408">
        <v>5</v>
      </c>
      <c r="BI408" s="10" t="s">
        <v>83</v>
      </c>
      <c r="BJ408" t="s">
        <v>169</v>
      </c>
      <c r="BL408" s="42"/>
      <c r="BM408" s="34" t="s">
        <v>155</v>
      </c>
      <c r="BN408" s="10" t="s">
        <v>0</v>
      </c>
      <c r="BO408" s="10">
        <v>5</v>
      </c>
      <c r="BP408" s="10" t="s">
        <v>152</v>
      </c>
      <c r="BQ408">
        <v>5</v>
      </c>
      <c r="BR408" s="10">
        <v>3013</v>
      </c>
      <c r="BS408" t="s">
        <v>169</v>
      </c>
      <c r="BU408" s="42"/>
      <c r="BV408" s="34" t="s">
        <v>155</v>
      </c>
      <c r="BW408" s="10" t="s">
        <v>0</v>
      </c>
      <c r="BX408" s="10">
        <v>5</v>
      </c>
      <c r="BY408" s="10" t="s">
        <v>152</v>
      </c>
      <c r="BZ408">
        <v>5</v>
      </c>
      <c r="CA408" s="10" t="s">
        <v>87</v>
      </c>
      <c r="CB408" s="43" t="s">
        <v>176</v>
      </c>
      <c r="CD408" s="42"/>
      <c r="CE408" s="34" t="s">
        <v>155</v>
      </c>
      <c r="CF408" s="10" t="s">
        <v>0</v>
      </c>
      <c r="CG408" s="10">
        <v>5</v>
      </c>
      <c r="CH408" s="10" t="s">
        <v>152</v>
      </c>
      <c r="CI408">
        <v>5</v>
      </c>
      <c r="CJ408" s="10" t="s">
        <v>89</v>
      </c>
      <c r="CK408" t="s">
        <v>161</v>
      </c>
    </row>
    <row r="409" spans="1:89" x14ac:dyDescent="0.25">
      <c r="A409" s="42"/>
      <c r="B409" s="34" t="s">
        <v>155</v>
      </c>
      <c r="C409" s="10" t="s">
        <v>0</v>
      </c>
      <c r="D409" s="10">
        <v>6</v>
      </c>
      <c r="E409" s="10" t="s">
        <v>152</v>
      </c>
      <c r="F409">
        <v>6</v>
      </c>
      <c r="G409" s="10">
        <v>3022</v>
      </c>
      <c r="H409" s="43" t="s">
        <v>186</v>
      </c>
      <c r="J409" s="42"/>
      <c r="K409" s="34" t="s">
        <v>155</v>
      </c>
      <c r="L409" s="10" t="s">
        <v>0</v>
      </c>
      <c r="M409" s="10">
        <v>6</v>
      </c>
      <c r="N409" s="10" t="s">
        <v>152</v>
      </c>
      <c r="O409">
        <v>6</v>
      </c>
      <c r="P409" s="10">
        <v>3018</v>
      </c>
      <c r="Q409" s="43" t="s">
        <v>176</v>
      </c>
      <c r="S409" s="42"/>
      <c r="T409" s="34" t="s">
        <v>155</v>
      </c>
      <c r="U409" s="10" t="s">
        <v>0</v>
      </c>
      <c r="V409" s="10">
        <v>6</v>
      </c>
      <c r="W409" s="10" t="s">
        <v>152</v>
      </c>
      <c r="X409">
        <v>6</v>
      </c>
      <c r="Y409" s="10">
        <v>1077</v>
      </c>
      <c r="Z409" t="s">
        <v>183</v>
      </c>
      <c r="AB409" s="42"/>
      <c r="AC409" s="34" t="s">
        <v>155</v>
      </c>
      <c r="AD409" s="10" t="s">
        <v>0</v>
      </c>
      <c r="AE409" s="10">
        <v>6</v>
      </c>
      <c r="AF409" s="10" t="s">
        <v>152</v>
      </c>
      <c r="AG409">
        <v>6</v>
      </c>
      <c r="AH409" s="10" t="s">
        <v>65</v>
      </c>
      <c r="AI409" s="51" t="s">
        <v>168</v>
      </c>
      <c r="AK409" s="42"/>
      <c r="AL409" s="34" t="s">
        <v>155</v>
      </c>
      <c r="AM409" s="10" t="s">
        <v>0</v>
      </c>
      <c r="AN409" s="10">
        <v>6</v>
      </c>
      <c r="AO409" s="10" t="s">
        <v>152</v>
      </c>
      <c r="AP409">
        <v>6</v>
      </c>
      <c r="AQ409" s="10">
        <v>1084</v>
      </c>
      <c r="AR409" s="43" t="s">
        <v>182</v>
      </c>
      <c r="AT409" s="42"/>
      <c r="AU409" s="34" t="s">
        <v>155</v>
      </c>
      <c r="AV409" s="10" t="s">
        <v>0</v>
      </c>
      <c r="AW409" s="10">
        <v>6</v>
      </c>
      <c r="AX409" s="10" t="s">
        <v>152</v>
      </c>
      <c r="AY409">
        <v>6</v>
      </c>
      <c r="AZ409" s="10">
        <v>3027</v>
      </c>
      <c r="BA409" t="s">
        <v>172</v>
      </c>
      <c r="BC409" s="42"/>
      <c r="BD409" s="34" t="s">
        <v>155</v>
      </c>
      <c r="BE409" s="10" t="s">
        <v>0</v>
      </c>
      <c r="BF409" s="10">
        <v>6</v>
      </c>
      <c r="BG409" s="10" t="s">
        <v>152</v>
      </c>
      <c r="BH409">
        <v>6</v>
      </c>
      <c r="BI409" s="10" t="s">
        <v>83</v>
      </c>
      <c r="BJ409" t="s">
        <v>177</v>
      </c>
      <c r="BL409" s="42"/>
      <c r="BM409" s="34" t="s">
        <v>155</v>
      </c>
      <c r="BN409" s="10" t="s">
        <v>0</v>
      </c>
      <c r="BO409" s="10">
        <v>6</v>
      </c>
      <c r="BP409" s="10" t="s">
        <v>152</v>
      </c>
      <c r="BQ409">
        <v>6</v>
      </c>
      <c r="BR409" s="10">
        <v>3013</v>
      </c>
      <c r="BS409" t="s">
        <v>177</v>
      </c>
      <c r="BU409" s="42"/>
      <c r="BV409" s="34" t="s">
        <v>155</v>
      </c>
      <c r="BW409" s="10" t="s">
        <v>0</v>
      </c>
      <c r="BX409" s="10">
        <v>6</v>
      </c>
      <c r="BY409" s="10" t="s">
        <v>152</v>
      </c>
      <c r="BZ409">
        <v>6</v>
      </c>
      <c r="CA409" s="10" t="s">
        <v>87</v>
      </c>
      <c r="CB409" s="43" t="s">
        <v>164</v>
      </c>
      <c r="CD409" s="42"/>
      <c r="CE409" s="34" t="s">
        <v>155</v>
      </c>
      <c r="CF409" s="10" t="s">
        <v>0</v>
      </c>
      <c r="CG409" s="10">
        <v>6</v>
      </c>
      <c r="CH409" s="10" t="s">
        <v>152</v>
      </c>
      <c r="CI409">
        <v>6</v>
      </c>
      <c r="CJ409" s="10" t="s">
        <v>89</v>
      </c>
      <c r="CK409" t="s">
        <v>169</v>
      </c>
    </row>
    <row r="410" spans="1:89" x14ac:dyDescent="0.25">
      <c r="A410" s="42"/>
      <c r="B410" s="34" t="s">
        <v>155</v>
      </c>
      <c r="C410" s="10" t="s">
        <v>0</v>
      </c>
      <c r="D410" s="10">
        <v>7</v>
      </c>
      <c r="E410" s="10" t="s">
        <v>152</v>
      </c>
      <c r="F410">
        <v>7</v>
      </c>
      <c r="G410" s="10">
        <v>3022</v>
      </c>
      <c r="H410" s="43" t="s">
        <v>188</v>
      </c>
      <c r="J410" s="42"/>
      <c r="K410" s="34" t="s">
        <v>155</v>
      </c>
      <c r="L410" s="10" t="s">
        <v>0</v>
      </c>
      <c r="M410" s="10">
        <v>7</v>
      </c>
      <c r="N410" s="10" t="s">
        <v>152</v>
      </c>
      <c r="O410">
        <v>7</v>
      </c>
      <c r="P410" s="10">
        <v>3018</v>
      </c>
      <c r="Q410" s="43" t="s">
        <v>164</v>
      </c>
      <c r="S410" s="42"/>
      <c r="T410" s="34" t="s">
        <v>155</v>
      </c>
      <c r="U410" s="10" t="s">
        <v>0</v>
      </c>
      <c r="V410" s="10">
        <v>7</v>
      </c>
      <c r="W410" s="10" t="s">
        <v>152</v>
      </c>
      <c r="X410">
        <v>7</v>
      </c>
      <c r="Y410" s="10">
        <v>1077</v>
      </c>
      <c r="Z410" t="s">
        <v>186</v>
      </c>
      <c r="AB410" s="42"/>
      <c r="AC410" s="34" t="s">
        <v>155</v>
      </c>
      <c r="AD410" s="10" t="s">
        <v>0</v>
      </c>
      <c r="AE410" s="10">
        <v>7</v>
      </c>
      <c r="AF410" s="10" t="s">
        <v>152</v>
      </c>
      <c r="AG410">
        <v>7</v>
      </c>
      <c r="AH410" s="10" t="s">
        <v>65</v>
      </c>
      <c r="AI410" s="43" t="s">
        <v>176</v>
      </c>
      <c r="AK410" s="42"/>
      <c r="AL410" s="34" t="s">
        <v>155</v>
      </c>
      <c r="AM410" s="10" t="s">
        <v>0</v>
      </c>
      <c r="AN410" s="10">
        <v>7</v>
      </c>
      <c r="AO410" s="10" t="s">
        <v>152</v>
      </c>
      <c r="AP410">
        <v>7</v>
      </c>
      <c r="AQ410" s="10">
        <v>1084</v>
      </c>
      <c r="AR410" s="43" t="s">
        <v>184</v>
      </c>
      <c r="AT410" s="42"/>
      <c r="AU410" s="34" t="s">
        <v>155</v>
      </c>
      <c r="AV410" s="10" t="s">
        <v>0</v>
      </c>
      <c r="AW410" s="10">
        <v>7</v>
      </c>
      <c r="AX410" s="10" t="s">
        <v>152</v>
      </c>
      <c r="AY410">
        <v>7</v>
      </c>
      <c r="AZ410" s="10">
        <v>3027</v>
      </c>
      <c r="BA410" t="s">
        <v>162</v>
      </c>
      <c r="BC410" s="42"/>
      <c r="BD410" s="34" t="s">
        <v>155</v>
      </c>
      <c r="BE410" s="10" t="s">
        <v>0</v>
      </c>
      <c r="BF410" s="10">
        <v>7</v>
      </c>
      <c r="BG410" s="10" t="s">
        <v>152</v>
      </c>
      <c r="BH410">
        <v>7</v>
      </c>
      <c r="BI410" s="10" t="s">
        <v>83</v>
      </c>
      <c r="BJ410" t="s">
        <v>180</v>
      </c>
      <c r="BL410" s="42"/>
      <c r="BM410" s="34" t="s">
        <v>155</v>
      </c>
      <c r="BN410" s="10" t="s">
        <v>0</v>
      </c>
      <c r="BO410" s="10">
        <v>7</v>
      </c>
      <c r="BP410" s="10" t="s">
        <v>152</v>
      </c>
      <c r="BQ410">
        <v>7</v>
      </c>
      <c r="BR410" s="10">
        <v>3013</v>
      </c>
      <c r="BS410" t="s">
        <v>180</v>
      </c>
      <c r="BU410" s="42"/>
      <c r="BV410" s="34" t="s">
        <v>155</v>
      </c>
      <c r="BW410" s="10" t="s">
        <v>0</v>
      </c>
      <c r="BX410" s="10">
        <v>7</v>
      </c>
      <c r="BY410" s="10" t="s">
        <v>152</v>
      </c>
      <c r="BZ410">
        <v>7</v>
      </c>
      <c r="CA410" s="10" t="s">
        <v>87</v>
      </c>
      <c r="CB410" t="s">
        <v>172</v>
      </c>
      <c r="CD410" s="42"/>
      <c r="CE410" s="34" t="s">
        <v>155</v>
      </c>
      <c r="CF410" s="10" t="s">
        <v>0</v>
      </c>
      <c r="CG410" s="10">
        <v>7</v>
      </c>
      <c r="CH410" s="10" t="s">
        <v>152</v>
      </c>
      <c r="CI410">
        <v>7</v>
      </c>
      <c r="CJ410" s="10" t="s">
        <v>89</v>
      </c>
      <c r="CK410" t="s">
        <v>177</v>
      </c>
    </row>
    <row r="411" spans="1:89" x14ac:dyDescent="0.25">
      <c r="A411" s="42"/>
      <c r="B411" s="34" t="s">
        <v>155</v>
      </c>
      <c r="C411" s="10" t="s">
        <v>0</v>
      </c>
      <c r="D411" s="10">
        <v>8</v>
      </c>
      <c r="E411" s="10" t="s">
        <v>152</v>
      </c>
      <c r="F411">
        <v>8</v>
      </c>
      <c r="G411" s="10">
        <v>3022</v>
      </c>
      <c r="H411" s="43" t="s">
        <v>182</v>
      </c>
      <c r="J411" s="42"/>
      <c r="K411" s="34" t="s">
        <v>155</v>
      </c>
      <c r="L411" s="10" t="s">
        <v>0</v>
      </c>
      <c r="M411" s="10">
        <v>8</v>
      </c>
      <c r="N411" s="10" t="s">
        <v>152</v>
      </c>
      <c r="O411">
        <v>8</v>
      </c>
      <c r="P411" s="10">
        <v>3018</v>
      </c>
      <c r="Q411" t="s">
        <v>172</v>
      </c>
      <c r="S411" s="42"/>
      <c r="T411" s="34" t="s">
        <v>155</v>
      </c>
      <c r="U411" s="10" t="s">
        <v>0</v>
      </c>
      <c r="V411" s="10">
        <v>8</v>
      </c>
      <c r="W411" s="10" t="s">
        <v>152</v>
      </c>
      <c r="X411">
        <v>8</v>
      </c>
      <c r="Y411" s="10">
        <v>1077</v>
      </c>
      <c r="Z411" s="43" t="s">
        <v>188</v>
      </c>
      <c r="AB411" s="42"/>
      <c r="AC411" s="34" t="s">
        <v>155</v>
      </c>
      <c r="AD411" s="10" t="s">
        <v>0</v>
      </c>
      <c r="AE411" s="10">
        <v>8</v>
      </c>
      <c r="AF411" s="10" t="s">
        <v>152</v>
      </c>
      <c r="AG411">
        <v>8</v>
      </c>
      <c r="AH411" s="10" t="s">
        <v>65</v>
      </c>
      <c r="AI411" s="43" t="s">
        <v>164</v>
      </c>
      <c r="AK411" s="42"/>
      <c r="AL411" s="34" t="s">
        <v>155</v>
      </c>
      <c r="AM411" s="10" t="s">
        <v>0</v>
      </c>
      <c r="AN411" s="10">
        <v>8</v>
      </c>
      <c r="AO411" s="10" t="s">
        <v>152</v>
      </c>
      <c r="AP411">
        <v>8</v>
      </c>
      <c r="AQ411" s="10">
        <v>1084</v>
      </c>
      <c r="AR411" s="43" t="s">
        <v>187</v>
      </c>
      <c r="AT411" s="42"/>
      <c r="AU411" s="34" t="s">
        <v>155</v>
      </c>
      <c r="AV411" s="10" t="s">
        <v>0</v>
      </c>
      <c r="AW411" s="10">
        <v>8</v>
      </c>
      <c r="AX411" s="10" t="s">
        <v>152</v>
      </c>
      <c r="AY411">
        <v>8</v>
      </c>
      <c r="AZ411" s="10">
        <v>3027</v>
      </c>
      <c r="BA411" t="s">
        <v>170</v>
      </c>
      <c r="BC411" s="42"/>
      <c r="BD411" s="34" t="s">
        <v>155</v>
      </c>
      <c r="BE411" s="10" t="s">
        <v>0</v>
      </c>
      <c r="BF411" s="10">
        <v>8</v>
      </c>
      <c r="BG411" s="10" t="s">
        <v>152</v>
      </c>
      <c r="BH411">
        <v>8</v>
      </c>
      <c r="BI411" s="10" t="s">
        <v>83</v>
      </c>
      <c r="BJ411" t="s">
        <v>181</v>
      </c>
      <c r="BL411" s="42"/>
      <c r="BM411" s="34" t="s">
        <v>155</v>
      </c>
      <c r="BN411" s="10" t="s">
        <v>0</v>
      </c>
      <c r="BO411" s="10">
        <v>8</v>
      </c>
      <c r="BP411" s="10" t="s">
        <v>152</v>
      </c>
      <c r="BQ411">
        <v>8</v>
      </c>
      <c r="BR411" s="10">
        <v>3013</v>
      </c>
      <c r="BS411" t="s">
        <v>181</v>
      </c>
      <c r="BU411" s="42"/>
      <c r="BV411" s="34" t="s">
        <v>155</v>
      </c>
      <c r="BW411" s="10" t="s">
        <v>0</v>
      </c>
      <c r="BX411" s="10">
        <v>8</v>
      </c>
      <c r="BY411" s="10" t="s">
        <v>152</v>
      </c>
      <c r="BZ411">
        <v>8</v>
      </c>
      <c r="CA411" s="10" t="s">
        <v>87</v>
      </c>
      <c r="CB411" t="s">
        <v>162</v>
      </c>
      <c r="CD411" s="42"/>
      <c r="CE411" s="34" t="s">
        <v>155</v>
      </c>
      <c r="CF411" s="10" t="s">
        <v>0</v>
      </c>
      <c r="CG411" s="10">
        <v>8</v>
      </c>
      <c r="CH411" s="10" t="s">
        <v>152</v>
      </c>
      <c r="CI411">
        <v>8</v>
      </c>
      <c r="CJ411" s="10" t="s">
        <v>89</v>
      </c>
      <c r="CK411" t="s">
        <v>180</v>
      </c>
    </row>
    <row r="412" spans="1:89" x14ac:dyDescent="0.25">
      <c r="A412" s="42"/>
      <c r="B412" s="34" t="s">
        <v>155</v>
      </c>
      <c r="C412" s="10" t="s">
        <v>0</v>
      </c>
      <c r="D412" s="10">
        <v>9</v>
      </c>
      <c r="E412" s="10" t="s">
        <v>152</v>
      </c>
      <c r="F412">
        <v>9</v>
      </c>
      <c r="G412" s="10">
        <v>3022</v>
      </c>
      <c r="H412" s="43" t="s">
        <v>184</v>
      </c>
      <c r="J412" s="42"/>
      <c r="K412" s="34" t="s">
        <v>155</v>
      </c>
      <c r="L412" s="10" t="s">
        <v>0</v>
      </c>
      <c r="M412" s="10">
        <v>9</v>
      </c>
      <c r="N412" s="10" t="s">
        <v>152</v>
      </c>
      <c r="O412">
        <v>9</v>
      </c>
      <c r="P412" s="10">
        <v>3018</v>
      </c>
      <c r="Q412" t="s">
        <v>162</v>
      </c>
      <c r="S412" s="42"/>
      <c r="T412" s="34" t="s">
        <v>155</v>
      </c>
      <c r="U412" s="10" t="s">
        <v>0</v>
      </c>
      <c r="V412" s="10">
        <v>9</v>
      </c>
      <c r="W412" s="10" t="s">
        <v>152</v>
      </c>
      <c r="X412">
        <v>9</v>
      </c>
      <c r="Y412" s="10">
        <v>1077</v>
      </c>
      <c r="Z412" s="43" t="s">
        <v>182</v>
      </c>
      <c r="AB412" s="42"/>
      <c r="AC412" s="34" t="s">
        <v>155</v>
      </c>
      <c r="AD412" s="10" t="s">
        <v>0</v>
      </c>
      <c r="AE412" s="10">
        <v>9</v>
      </c>
      <c r="AF412" s="10" t="s">
        <v>152</v>
      </c>
      <c r="AG412">
        <v>9</v>
      </c>
      <c r="AH412" s="10" t="s">
        <v>65</v>
      </c>
      <c r="AI412" t="s">
        <v>172</v>
      </c>
      <c r="AK412" s="42"/>
      <c r="AL412" s="34" t="s">
        <v>155</v>
      </c>
      <c r="AM412" s="10" t="s">
        <v>0</v>
      </c>
      <c r="AN412" s="10">
        <v>9</v>
      </c>
      <c r="AO412" s="10" t="s">
        <v>152</v>
      </c>
      <c r="AP412">
        <v>9</v>
      </c>
      <c r="AQ412" s="10">
        <v>1084</v>
      </c>
      <c r="AR412" s="43" t="s">
        <v>189</v>
      </c>
      <c r="AT412" s="42"/>
      <c r="AU412" s="34" t="s">
        <v>155</v>
      </c>
      <c r="AV412" s="10" t="s">
        <v>0</v>
      </c>
      <c r="AW412" s="10">
        <v>9</v>
      </c>
      <c r="AX412" s="10" t="s">
        <v>152</v>
      </c>
      <c r="AY412">
        <v>9</v>
      </c>
      <c r="AZ412" s="10">
        <v>3027</v>
      </c>
      <c r="BA412" t="s">
        <v>178</v>
      </c>
      <c r="BC412" s="42"/>
      <c r="BD412" s="34" t="s">
        <v>155</v>
      </c>
      <c r="BE412" s="10" t="s">
        <v>0</v>
      </c>
      <c r="BF412" s="10">
        <v>9</v>
      </c>
      <c r="BG412" s="10" t="s">
        <v>152</v>
      </c>
      <c r="BH412">
        <v>9</v>
      </c>
      <c r="BI412" s="10" t="s">
        <v>83</v>
      </c>
      <c r="BJ412" t="s">
        <v>183</v>
      </c>
      <c r="BL412" s="42"/>
      <c r="BM412" s="34" t="s">
        <v>155</v>
      </c>
      <c r="BN412" s="10" t="s">
        <v>0</v>
      </c>
      <c r="BO412" s="10">
        <v>9</v>
      </c>
      <c r="BP412" s="10" t="s">
        <v>152</v>
      </c>
      <c r="BQ412">
        <v>9</v>
      </c>
      <c r="BR412" s="10">
        <v>3013</v>
      </c>
      <c r="BS412" t="s">
        <v>183</v>
      </c>
      <c r="BU412" s="42"/>
      <c r="BV412" s="34" t="s">
        <v>155</v>
      </c>
      <c r="BW412" s="10" t="s">
        <v>0</v>
      </c>
      <c r="BX412" s="10">
        <v>9</v>
      </c>
      <c r="BY412" s="10" t="s">
        <v>152</v>
      </c>
      <c r="BZ412">
        <v>9</v>
      </c>
      <c r="CA412" s="10" t="s">
        <v>87</v>
      </c>
      <c r="CB412" t="s">
        <v>170</v>
      </c>
      <c r="CD412" s="42"/>
      <c r="CE412" s="34" t="s">
        <v>155</v>
      </c>
      <c r="CF412" s="10" t="s">
        <v>0</v>
      </c>
      <c r="CG412" s="10">
        <v>9</v>
      </c>
      <c r="CH412" s="10" t="s">
        <v>152</v>
      </c>
      <c r="CI412">
        <v>9</v>
      </c>
      <c r="CJ412" s="10" t="s">
        <v>89</v>
      </c>
      <c r="CK412" t="s">
        <v>181</v>
      </c>
    </row>
    <row r="413" spans="1:89" x14ac:dyDescent="0.25">
      <c r="A413" s="42"/>
      <c r="B413" s="34" t="s">
        <v>155</v>
      </c>
      <c r="C413" s="10" t="s">
        <v>0</v>
      </c>
      <c r="D413" s="10">
        <v>10</v>
      </c>
      <c r="E413" s="10" t="s">
        <v>152</v>
      </c>
      <c r="F413">
        <v>10</v>
      </c>
      <c r="G413" s="10">
        <v>3022</v>
      </c>
      <c r="H413" s="43" t="s">
        <v>187</v>
      </c>
      <c r="J413" s="42"/>
      <c r="K413" s="34" t="s">
        <v>155</v>
      </c>
      <c r="L413" s="10" t="s">
        <v>0</v>
      </c>
      <c r="M413" s="10">
        <v>10</v>
      </c>
      <c r="N413" s="10" t="s">
        <v>152</v>
      </c>
      <c r="O413">
        <v>10</v>
      </c>
      <c r="P413" s="10">
        <v>3018</v>
      </c>
      <c r="Q413" t="s">
        <v>170</v>
      </c>
      <c r="S413" s="42"/>
      <c r="T413" s="34" t="s">
        <v>155</v>
      </c>
      <c r="U413" s="10" t="s">
        <v>0</v>
      </c>
      <c r="V413" s="10">
        <v>10</v>
      </c>
      <c r="W413" s="10" t="s">
        <v>152</v>
      </c>
      <c r="X413">
        <v>10</v>
      </c>
      <c r="Y413" s="10">
        <v>1077</v>
      </c>
      <c r="Z413" s="43" t="s">
        <v>184</v>
      </c>
      <c r="AB413" s="42"/>
      <c r="AC413" s="34" t="s">
        <v>155</v>
      </c>
      <c r="AD413" s="10" t="s">
        <v>0</v>
      </c>
      <c r="AE413" s="10">
        <v>10</v>
      </c>
      <c r="AF413" s="10" t="s">
        <v>152</v>
      </c>
      <c r="AG413">
        <v>10</v>
      </c>
      <c r="AH413" s="10" t="s">
        <v>65</v>
      </c>
      <c r="AI413" t="s">
        <v>162</v>
      </c>
      <c r="AK413" s="42"/>
      <c r="AL413" s="34" t="s">
        <v>155</v>
      </c>
      <c r="AM413" s="10" t="s">
        <v>0</v>
      </c>
      <c r="AN413" s="10">
        <v>10</v>
      </c>
      <c r="AO413" s="10" t="s">
        <v>152</v>
      </c>
      <c r="AP413">
        <v>10</v>
      </c>
      <c r="AQ413" s="10">
        <v>1085</v>
      </c>
      <c r="AR413" s="43" t="s">
        <v>160</v>
      </c>
      <c r="AT413" s="42"/>
      <c r="AU413" s="34" t="s">
        <v>155</v>
      </c>
      <c r="AV413" s="10" t="s">
        <v>0</v>
      </c>
      <c r="AW413" s="10">
        <v>10</v>
      </c>
      <c r="AX413" s="10" t="s">
        <v>152</v>
      </c>
      <c r="AY413">
        <v>10</v>
      </c>
      <c r="AZ413" s="10">
        <v>3027</v>
      </c>
      <c r="BA413" t="s">
        <v>163</v>
      </c>
      <c r="BC413" s="42"/>
      <c r="BD413" s="34" t="s">
        <v>155</v>
      </c>
      <c r="BE413" s="10" t="s">
        <v>0</v>
      </c>
      <c r="BF413" s="10">
        <v>10</v>
      </c>
      <c r="BG413" s="10" t="s">
        <v>152</v>
      </c>
      <c r="BH413">
        <v>10</v>
      </c>
      <c r="BI413" s="10" t="s">
        <v>83</v>
      </c>
      <c r="BJ413" t="s">
        <v>186</v>
      </c>
      <c r="BL413" s="42"/>
      <c r="BM413" s="34" t="s">
        <v>155</v>
      </c>
      <c r="BN413" s="10" t="s">
        <v>0</v>
      </c>
      <c r="BO413" s="10">
        <v>10</v>
      </c>
      <c r="BP413" s="10" t="s">
        <v>152</v>
      </c>
      <c r="BQ413">
        <v>10</v>
      </c>
      <c r="BR413" s="10">
        <v>3013</v>
      </c>
      <c r="BS413" t="s">
        <v>186</v>
      </c>
      <c r="BU413" s="42"/>
      <c r="BV413" s="34" t="s">
        <v>155</v>
      </c>
      <c r="BW413" s="10" t="s">
        <v>0</v>
      </c>
      <c r="BX413" s="10">
        <v>10</v>
      </c>
      <c r="BY413" s="10" t="s">
        <v>152</v>
      </c>
      <c r="BZ413">
        <v>10</v>
      </c>
      <c r="CA413" s="10" t="s">
        <v>87</v>
      </c>
      <c r="CB413" t="s">
        <v>178</v>
      </c>
      <c r="CD413" s="42"/>
      <c r="CE413" s="34" t="s">
        <v>155</v>
      </c>
      <c r="CF413" s="10" t="s">
        <v>0</v>
      </c>
      <c r="CG413" s="10">
        <v>10</v>
      </c>
      <c r="CH413" s="10" t="s">
        <v>152</v>
      </c>
      <c r="CI413">
        <v>10</v>
      </c>
      <c r="CJ413" s="10" t="s">
        <v>89</v>
      </c>
      <c r="CK413" t="s">
        <v>183</v>
      </c>
    </row>
    <row r="414" spans="1:89" x14ac:dyDescent="0.25">
      <c r="A414" s="42"/>
      <c r="B414" s="34" t="s">
        <v>155</v>
      </c>
      <c r="C414" s="10" t="s">
        <v>0</v>
      </c>
      <c r="D414" s="10">
        <v>11</v>
      </c>
      <c r="E414" s="10" t="s">
        <v>152</v>
      </c>
      <c r="F414">
        <v>11</v>
      </c>
      <c r="G414" s="10">
        <v>3022</v>
      </c>
      <c r="H414" s="43" t="s">
        <v>189</v>
      </c>
      <c r="J414" s="42"/>
      <c r="K414" s="34" t="s">
        <v>155</v>
      </c>
      <c r="L414" s="10" t="s">
        <v>0</v>
      </c>
      <c r="M414" s="10">
        <v>11</v>
      </c>
      <c r="N414" s="10" t="s">
        <v>152</v>
      </c>
      <c r="O414">
        <v>11</v>
      </c>
      <c r="P414" s="10">
        <v>3018</v>
      </c>
      <c r="Q414" t="s">
        <v>178</v>
      </c>
      <c r="S414" s="42"/>
      <c r="T414" s="34" t="s">
        <v>155</v>
      </c>
      <c r="U414" s="10" t="s">
        <v>0</v>
      </c>
      <c r="V414" s="10">
        <v>11</v>
      </c>
      <c r="W414" s="10" t="s">
        <v>152</v>
      </c>
      <c r="X414">
        <v>11</v>
      </c>
      <c r="Y414" s="10">
        <v>1077</v>
      </c>
      <c r="Z414" s="43" t="s">
        <v>187</v>
      </c>
      <c r="AB414" s="42"/>
      <c r="AC414" s="34" t="s">
        <v>155</v>
      </c>
      <c r="AD414" s="10" t="s">
        <v>0</v>
      </c>
      <c r="AE414" s="10">
        <v>11</v>
      </c>
      <c r="AF414" s="10" t="s">
        <v>152</v>
      </c>
      <c r="AG414">
        <v>11</v>
      </c>
      <c r="AH414" s="10" t="s">
        <v>65</v>
      </c>
      <c r="AI414" t="s">
        <v>170</v>
      </c>
      <c r="AK414" s="42"/>
      <c r="AL414" s="34" t="s">
        <v>155</v>
      </c>
      <c r="AM414" s="10" t="s">
        <v>0</v>
      </c>
      <c r="AN414" s="10">
        <v>11</v>
      </c>
      <c r="AO414" s="10" t="s">
        <v>152</v>
      </c>
      <c r="AP414">
        <v>11</v>
      </c>
      <c r="AQ414" s="10">
        <v>1085</v>
      </c>
      <c r="AR414" s="51" t="s">
        <v>168</v>
      </c>
      <c r="AT414" s="42"/>
      <c r="AU414" s="34" t="s">
        <v>155</v>
      </c>
      <c r="AV414" s="10" t="s">
        <v>0</v>
      </c>
      <c r="AW414" s="10">
        <v>11</v>
      </c>
      <c r="AX414" s="10" t="s">
        <v>152</v>
      </c>
      <c r="AY414">
        <v>11</v>
      </c>
      <c r="AZ414" s="10">
        <v>3027</v>
      </c>
      <c r="BA414" t="s">
        <v>171</v>
      </c>
      <c r="BC414" s="42"/>
      <c r="BD414" s="34" t="s">
        <v>155</v>
      </c>
      <c r="BE414" s="10" t="s">
        <v>0</v>
      </c>
      <c r="BF414" s="10">
        <v>11</v>
      </c>
      <c r="BG414" s="10" t="s">
        <v>152</v>
      </c>
      <c r="BH414">
        <v>11</v>
      </c>
      <c r="BI414" s="10" t="s">
        <v>83</v>
      </c>
      <c r="BJ414" s="43" t="s">
        <v>188</v>
      </c>
      <c r="BL414" s="42"/>
      <c r="BM414" s="34" t="s">
        <v>155</v>
      </c>
      <c r="BN414" s="10" t="s">
        <v>0</v>
      </c>
      <c r="BO414" s="10">
        <v>11</v>
      </c>
      <c r="BP414" s="10" t="s">
        <v>152</v>
      </c>
      <c r="BQ414">
        <v>11</v>
      </c>
      <c r="BR414" s="10">
        <v>3013</v>
      </c>
      <c r="BS414" s="43" t="s">
        <v>188</v>
      </c>
      <c r="BU414" s="42"/>
      <c r="BV414" s="34" t="s">
        <v>155</v>
      </c>
      <c r="BW414" s="10" t="s">
        <v>0</v>
      </c>
      <c r="BX414" s="10">
        <v>11</v>
      </c>
      <c r="BY414" s="10" t="s">
        <v>152</v>
      </c>
      <c r="BZ414">
        <v>11</v>
      </c>
      <c r="CA414" s="10" t="s">
        <v>87</v>
      </c>
      <c r="CB414" t="s">
        <v>163</v>
      </c>
      <c r="CD414" s="42"/>
      <c r="CE414" s="34" t="s">
        <v>155</v>
      </c>
      <c r="CF414" s="10" t="s">
        <v>0</v>
      </c>
      <c r="CG414" s="10">
        <v>11</v>
      </c>
      <c r="CH414" s="10" t="s">
        <v>152</v>
      </c>
      <c r="CI414">
        <v>11</v>
      </c>
      <c r="CJ414" s="10" t="s">
        <v>89</v>
      </c>
      <c r="CK414" t="s">
        <v>186</v>
      </c>
    </row>
    <row r="415" spans="1:89" ht="15.75" thickBot="1" x14ac:dyDescent="0.3">
      <c r="A415" s="47"/>
      <c r="B415" s="48" t="s">
        <v>155</v>
      </c>
      <c r="C415" s="49" t="s">
        <v>0</v>
      </c>
      <c r="D415" s="49">
        <v>12</v>
      </c>
      <c r="E415" s="49" t="s">
        <v>152</v>
      </c>
      <c r="F415" s="50">
        <v>12</v>
      </c>
      <c r="G415" s="10">
        <v>3024</v>
      </c>
      <c r="H415" s="43" t="s">
        <v>160</v>
      </c>
      <c r="J415" s="47"/>
      <c r="K415" s="48" t="s">
        <v>155</v>
      </c>
      <c r="L415" s="49" t="s">
        <v>0</v>
      </c>
      <c r="M415" s="49">
        <v>12</v>
      </c>
      <c r="N415" s="49" t="s">
        <v>152</v>
      </c>
      <c r="O415" s="50">
        <v>12</v>
      </c>
      <c r="P415" s="10">
        <v>3018</v>
      </c>
      <c r="Q415" t="s">
        <v>163</v>
      </c>
      <c r="S415" s="47"/>
      <c r="T415" s="48" t="s">
        <v>155</v>
      </c>
      <c r="U415" s="49" t="s">
        <v>0</v>
      </c>
      <c r="V415" s="49">
        <v>12</v>
      </c>
      <c r="W415" s="49" t="s">
        <v>152</v>
      </c>
      <c r="X415" s="50">
        <v>12</v>
      </c>
      <c r="Y415" s="10">
        <v>1077</v>
      </c>
      <c r="Z415" s="43" t="s">
        <v>189</v>
      </c>
      <c r="AB415" s="47"/>
      <c r="AC415" s="48" t="s">
        <v>155</v>
      </c>
      <c r="AD415" s="49" t="s">
        <v>0</v>
      </c>
      <c r="AE415" s="49">
        <v>12</v>
      </c>
      <c r="AF415" s="49" t="s">
        <v>152</v>
      </c>
      <c r="AG415" s="50">
        <v>12</v>
      </c>
      <c r="AH415" s="10" t="s">
        <v>65</v>
      </c>
      <c r="AI415" t="s">
        <v>178</v>
      </c>
      <c r="AK415" s="47"/>
      <c r="AL415" s="48" t="s">
        <v>155</v>
      </c>
      <c r="AM415" s="49" t="s">
        <v>0</v>
      </c>
      <c r="AN415" s="49">
        <v>12</v>
      </c>
      <c r="AO415" s="49" t="s">
        <v>152</v>
      </c>
      <c r="AP415" s="50">
        <v>12</v>
      </c>
      <c r="AQ415" s="10">
        <v>1085</v>
      </c>
      <c r="AR415" s="43" t="s">
        <v>176</v>
      </c>
      <c r="AT415" s="47"/>
      <c r="AU415" s="48" t="s">
        <v>155</v>
      </c>
      <c r="AV415" s="49" t="s">
        <v>0</v>
      </c>
      <c r="AW415" s="49">
        <v>12</v>
      </c>
      <c r="AX415" s="49" t="s">
        <v>152</v>
      </c>
      <c r="AY415" s="50">
        <v>12</v>
      </c>
      <c r="AZ415" s="10">
        <v>3027</v>
      </c>
      <c r="BA415" t="s">
        <v>161</v>
      </c>
      <c r="BC415" s="47"/>
      <c r="BD415" s="48" t="s">
        <v>155</v>
      </c>
      <c r="BE415" s="49" t="s">
        <v>0</v>
      </c>
      <c r="BF415" s="49">
        <v>12</v>
      </c>
      <c r="BG415" s="49" t="s">
        <v>152</v>
      </c>
      <c r="BH415" s="50">
        <v>12</v>
      </c>
      <c r="BI415" s="10" t="s">
        <v>83</v>
      </c>
      <c r="BJ415" s="43" t="s">
        <v>182</v>
      </c>
      <c r="BL415" s="47"/>
      <c r="BM415" s="48" t="s">
        <v>155</v>
      </c>
      <c r="BN415" s="49" t="s">
        <v>0</v>
      </c>
      <c r="BO415" s="49">
        <v>12</v>
      </c>
      <c r="BP415" s="49" t="s">
        <v>152</v>
      </c>
      <c r="BQ415" s="50">
        <v>12</v>
      </c>
      <c r="BR415" s="10">
        <v>3013</v>
      </c>
      <c r="BS415" s="43" t="s">
        <v>182</v>
      </c>
      <c r="BU415" s="47"/>
      <c r="BV415" s="48" t="s">
        <v>155</v>
      </c>
      <c r="BW415" s="49" t="s">
        <v>0</v>
      </c>
      <c r="BX415" s="49">
        <v>12</v>
      </c>
      <c r="BY415" s="49" t="s">
        <v>152</v>
      </c>
      <c r="BZ415" s="50">
        <v>12</v>
      </c>
      <c r="CA415" s="10" t="s">
        <v>87</v>
      </c>
      <c r="CB415" t="s">
        <v>171</v>
      </c>
      <c r="CD415" s="47"/>
      <c r="CE415" s="48" t="s">
        <v>155</v>
      </c>
      <c r="CF415" s="49" t="s">
        <v>0</v>
      </c>
      <c r="CG415" s="49">
        <v>12</v>
      </c>
      <c r="CH415" s="49" t="s">
        <v>152</v>
      </c>
      <c r="CI415" s="50">
        <v>12</v>
      </c>
      <c r="CJ415" s="10" t="s">
        <v>89</v>
      </c>
      <c r="CK415" s="43" t="s">
        <v>188</v>
      </c>
    </row>
    <row r="416" spans="1:89" x14ac:dyDescent="0.25">
      <c r="A416" s="56"/>
      <c r="B416" s="31" t="s">
        <v>155</v>
      </c>
      <c r="C416" s="58" t="s">
        <v>9</v>
      </c>
      <c r="D416" s="58">
        <v>1</v>
      </c>
      <c r="E416" s="58" t="s">
        <v>152</v>
      </c>
      <c r="F416" s="59">
        <v>13</v>
      </c>
      <c r="G416" s="10">
        <v>3024</v>
      </c>
      <c r="H416" s="51" t="s">
        <v>168</v>
      </c>
      <c r="J416" s="56"/>
      <c r="K416" s="31" t="s">
        <v>155</v>
      </c>
      <c r="L416" s="58" t="s">
        <v>9</v>
      </c>
      <c r="M416" s="58">
        <v>1</v>
      </c>
      <c r="N416" s="58" t="s">
        <v>152</v>
      </c>
      <c r="O416" s="59">
        <v>13</v>
      </c>
      <c r="P416" s="10">
        <v>3018</v>
      </c>
      <c r="Q416" t="s">
        <v>171</v>
      </c>
      <c r="S416" s="56"/>
      <c r="T416" s="31" t="s">
        <v>155</v>
      </c>
      <c r="U416" s="58" t="s">
        <v>9</v>
      </c>
      <c r="V416" s="58">
        <v>1</v>
      </c>
      <c r="W416" s="58" t="s">
        <v>152</v>
      </c>
      <c r="X416" s="59">
        <v>13</v>
      </c>
      <c r="Y416" s="10" t="s">
        <v>63</v>
      </c>
      <c r="Z416" s="43" t="s">
        <v>160</v>
      </c>
      <c r="AB416" s="56"/>
      <c r="AC416" s="31" t="s">
        <v>155</v>
      </c>
      <c r="AD416" s="58" t="s">
        <v>9</v>
      </c>
      <c r="AE416" s="58">
        <v>1</v>
      </c>
      <c r="AF416" s="58" t="s">
        <v>152</v>
      </c>
      <c r="AG416" s="59">
        <v>13</v>
      </c>
      <c r="AH416" s="10" t="s">
        <v>65</v>
      </c>
      <c r="AI416" t="s">
        <v>163</v>
      </c>
      <c r="AK416" s="56"/>
      <c r="AL416" s="31" t="s">
        <v>155</v>
      </c>
      <c r="AM416" s="58" t="s">
        <v>9</v>
      </c>
      <c r="AN416" s="58">
        <v>1</v>
      </c>
      <c r="AO416" s="58" t="s">
        <v>152</v>
      </c>
      <c r="AP416" s="59">
        <v>13</v>
      </c>
      <c r="AQ416" s="10">
        <v>1085</v>
      </c>
      <c r="AR416" s="43" t="s">
        <v>164</v>
      </c>
      <c r="AT416" s="56"/>
      <c r="AU416" s="31" t="s">
        <v>155</v>
      </c>
      <c r="AV416" s="58" t="s">
        <v>9</v>
      </c>
      <c r="AW416" s="58">
        <v>1</v>
      </c>
      <c r="AX416" s="58" t="s">
        <v>152</v>
      </c>
      <c r="AY416" s="59">
        <v>13</v>
      </c>
      <c r="AZ416" s="10">
        <v>3027</v>
      </c>
      <c r="BA416" t="s">
        <v>169</v>
      </c>
      <c r="BC416" s="56"/>
      <c r="BD416" s="31" t="s">
        <v>155</v>
      </c>
      <c r="BE416" s="58" t="s">
        <v>9</v>
      </c>
      <c r="BF416" s="58">
        <v>1</v>
      </c>
      <c r="BG416" s="58" t="s">
        <v>152</v>
      </c>
      <c r="BH416" s="59">
        <v>13</v>
      </c>
      <c r="BI416" s="10" t="s">
        <v>83</v>
      </c>
      <c r="BJ416" s="43" t="s">
        <v>184</v>
      </c>
      <c r="BL416" s="56"/>
      <c r="BM416" s="31" t="s">
        <v>155</v>
      </c>
      <c r="BN416" s="58" t="s">
        <v>9</v>
      </c>
      <c r="BO416" s="58">
        <v>1</v>
      </c>
      <c r="BP416" s="58" t="s">
        <v>152</v>
      </c>
      <c r="BQ416" s="59">
        <v>13</v>
      </c>
      <c r="BR416" s="10">
        <v>3013</v>
      </c>
      <c r="BS416" s="43" t="s">
        <v>184</v>
      </c>
      <c r="BU416" s="56"/>
      <c r="BV416" s="31" t="s">
        <v>155</v>
      </c>
      <c r="BW416" s="58" t="s">
        <v>9</v>
      </c>
      <c r="BX416" s="58">
        <v>1</v>
      </c>
      <c r="BY416" s="58" t="s">
        <v>152</v>
      </c>
      <c r="BZ416" s="59">
        <v>13</v>
      </c>
      <c r="CA416" s="10" t="s">
        <v>87</v>
      </c>
      <c r="CB416" t="s">
        <v>161</v>
      </c>
      <c r="CD416" s="56"/>
      <c r="CE416" s="31" t="s">
        <v>155</v>
      </c>
      <c r="CF416" s="58" t="s">
        <v>9</v>
      </c>
      <c r="CG416" s="58">
        <v>1</v>
      </c>
      <c r="CH416" s="58" t="s">
        <v>152</v>
      </c>
      <c r="CI416" s="59">
        <v>13</v>
      </c>
      <c r="CJ416" s="10" t="s">
        <v>89</v>
      </c>
      <c r="CK416" s="43" t="s">
        <v>182</v>
      </c>
    </row>
    <row r="417" spans="1:89" x14ac:dyDescent="0.25">
      <c r="A417" s="42"/>
      <c r="B417" s="34" t="s">
        <v>155</v>
      </c>
      <c r="C417" s="10" t="s">
        <v>9</v>
      </c>
      <c r="D417" s="10">
        <v>2</v>
      </c>
      <c r="E417" s="10" t="s">
        <v>152</v>
      </c>
      <c r="F417">
        <v>14</v>
      </c>
      <c r="G417" s="10">
        <v>3024</v>
      </c>
      <c r="H417" s="43" t="s">
        <v>176</v>
      </c>
      <c r="J417" s="42"/>
      <c r="K417" s="34" t="s">
        <v>155</v>
      </c>
      <c r="L417" s="10" t="s">
        <v>9</v>
      </c>
      <c r="M417" s="10">
        <v>2</v>
      </c>
      <c r="N417" s="10" t="s">
        <v>152</v>
      </c>
      <c r="O417">
        <v>14</v>
      </c>
      <c r="P417" s="10">
        <v>3018</v>
      </c>
      <c r="Q417" t="s">
        <v>161</v>
      </c>
      <c r="S417" s="42"/>
      <c r="T417" s="34" t="s">
        <v>155</v>
      </c>
      <c r="U417" s="10" t="s">
        <v>9</v>
      </c>
      <c r="V417" s="10">
        <v>2</v>
      </c>
      <c r="W417" s="10" t="s">
        <v>152</v>
      </c>
      <c r="X417">
        <v>14</v>
      </c>
      <c r="Y417" s="10" t="s">
        <v>63</v>
      </c>
      <c r="Z417" s="51" t="s">
        <v>168</v>
      </c>
      <c r="AB417" s="42"/>
      <c r="AC417" s="34" t="s">
        <v>155</v>
      </c>
      <c r="AD417" s="10" t="s">
        <v>9</v>
      </c>
      <c r="AE417" s="10">
        <v>2</v>
      </c>
      <c r="AF417" s="10" t="s">
        <v>152</v>
      </c>
      <c r="AG417">
        <v>14</v>
      </c>
      <c r="AH417" s="10" t="s">
        <v>65</v>
      </c>
      <c r="AI417" t="s">
        <v>171</v>
      </c>
      <c r="AK417" s="42"/>
      <c r="AL417" s="34" t="s">
        <v>155</v>
      </c>
      <c r="AM417" s="10" t="s">
        <v>9</v>
      </c>
      <c r="AN417" s="10">
        <v>2</v>
      </c>
      <c r="AO417" s="10" t="s">
        <v>152</v>
      </c>
      <c r="AP417">
        <v>14</v>
      </c>
      <c r="AQ417" s="10">
        <v>1085</v>
      </c>
      <c r="AR417" t="s">
        <v>172</v>
      </c>
      <c r="AT417" s="42"/>
      <c r="AU417" s="34" t="s">
        <v>155</v>
      </c>
      <c r="AV417" s="10" t="s">
        <v>9</v>
      </c>
      <c r="AW417" s="10">
        <v>2</v>
      </c>
      <c r="AX417" s="10" t="s">
        <v>152</v>
      </c>
      <c r="AY417">
        <v>14</v>
      </c>
      <c r="AZ417" s="10">
        <v>3027</v>
      </c>
      <c r="BA417" t="s">
        <v>177</v>
      </c>
      <c r="BC417" s="42"/>
      <c r="BD417" s="34" t="s">
        <v>155</v>
      </c>
      <c r="BE417" s="10" t="s">
        <v>9</v>
      </c>
      <c r="BF417" s="10">
        <v>2</v>
      </c>
      <c r="BG417" s="10" t="s">
        <v>152</v>
      </c>
      <c r="BH417">
        <v>14</v>
      </c>
      <c r="BI417" s="10" t="s">
        <v>83</v>
      </c>
      <c r="BJ417" s="43" t="s">
        <v>187</v>
      </c>
      <c r="BL417" s="42"/>
      <c r="BM417" s="34" t="s">
        <v>155</v>
      </c>
      <c r="BN417" s="10" t="s">
        <v>9</v>
      </c>
      <c r="BO417" s="10">
        <v>2</v>
      </c>
      <c r="BP417" s="10" t="s">
        <v>152</v>
      </c>
      <c r="BQ417">
        <v>14</v>
      </c>
      <c r="BR417" s="10">
        <v>3013</v>
      </c>
      <c r="BS417" s="43" t="s">
        <v>187</v>
      </c>
      <c r="BU417" s="42"/>
      <c r="BV417" s="34" t="s">
        <v>155</v>
      </c>
      <c r="BW417" s="10" t="s">
        <v>9</v>
      </c>
      <c r="BX417" s="10">
        <v>2</v>
      </c>
      <c r="BY417" s="10" t="s">
        <v>152</v>
      </c>
      <c r="BZ417">
        <v>14</v>
      </c>
      <c r="CA417" s="10" t="s">
        <v>87</v>
      </c>
      <c r="CB417" t="s">
        <v>169</v>
      </c>
      <c r="CD417" s="42"/>
      <c r="CE417" s="34" t="s">
        <v>155</v>
      </c>
      <c r="CF417" s="10" t="s">
        <v>9</v>
      </c>
      <c r="CG417" s="10">
        <v>2</v>
      </c>
      <c r="CH417" s="10" t="s">
        <v>152</v>
      </c>
      <c r="CI417">
        <v>14</v>
      </c>
      <c r="CJ417" s="10" t="s">
        <v>89</v>
      </c>
      <c r="CK417" s="43" t="s">
        <v>184</v>
      </c>
    </row>
    <row r="418" spans="1:89" x14ac:dyDescent="0.25">
      <c r="A418" s="42"/>
      <c r="B418" s="34" t="s">
        <v>155</v>
      </c>
      <c r="C418" s="10" t="s">
        <v>9</v>
      </c>
      <c r="D418" s="10">
        <v>3</v>
      </c>
      <c r="E418" s="10" t="s">
        <v>152</v>
      </c>
      <c r="F418">
        <v>15</v>
      </c>
      <c r="G418" s="10">
        <v>3024</v>
      </c>
      <c r="H418" s="43" t="s">
        <v>164</v>
      </c>
      <c r="J418" s="42"/>
      <c r="K418" s="34" t="s">
        <v>155</v>
      </c>
      <c r="L418" s="10" t="s">
        <v>9</v>
      </c>
      <c r="M418" s="10">
        <v>3</v>
      </c>
      <c r="N418" s="10" t="s">
        <v>152</v>
      </c>
      <c r="O418">
        <v>15</v>
      </c>
      <c r="P418" s="10">
        <v>3018</v>
      </c>
      <c r="Q418" t="s">
        <v>169</v>
      </c>
      <c r="S418" s="42"/>
      <c r="T418" s="34" t="s">
        <v>155</v>
      </c>
      <c r="U418" s="10" t="s">
        <v>9</v>
      </c>
      <c r="V418" s="10">
        <v>3</v>
      </c>
      <c r="W418" s="10" t="s">
        <v>152</v>
      </c>
      <c r="X418">
        <v>15</v>
      </c>
      <c r="Y418" s="10" t="s">
        <v>63</v>
      </c>
      <c r="Z418" s="43" t="s">
        <v>176</v>
      </c>
      <c r="AB418" s="42"/>
      <c r="AC418" s="34" t="s">
        <v>155</v>
      </c>
      <c r="AD418" s="10" t="s">
        <v>9</v>
      </c>
      <c r="AE418" s="10">
        <v>3</v>
      </c>
      <c r="AF418" s="10" t="s">
        <v>152</v>
      </c>
      <c r="AG418">
        <v>15</v>
      </c>
      <c r="AH418" s="10" t="s">
        <v>65</v>
      </c>
      <c r="AI418" t="s">
        <v>161</v>
      </c>
      <c r="AK418" s="42"/>
      <c r="AL418" s="34" t="s">
        <v>155</v>
      </c>
      <c r="AM418" s="10" t="s">
        <v>9</v>
      </c>
      <c r="AN418" s="10">
        <v>3</v>
      </c>
      <c r="AO418" s="10" t="s">
        <v>152</v>
      </c>
      <c r="AP418">
        <v>15</v>
      </c>
      <c r="AQ418" s="10">
        <v>1085</v>
      </c>
      <c r="AR418" t="s">
        <v>162</v>
      </c>
      <c r="AT418" s="42"/>
      <c r="AU418" s="34" t="s">
        <v>155</v>
      </c>
      <c r="AV418" s="10" t="s">
        <v>9</v>
      </c>
      <c r="AW418" s="10">
        <v>3</v>
      </c>
      <c r="AX418" s="10" t="s">
        <v>152</v>
      </c>
      <c r="AY418">
        <v>15</v>
      </c>
      <c r="AZ418" s="10">
        <v>3027</v>
      </c>
      <c r="BA418" t="s">
        <v>180</v>
      </c>
      <c r="BC418" s="42"/>
      <c r="BD418" s="34" t="s">
        <v>155</v>
      </c>
      <c r="BE418" s="10" t="s">
        <v>9</v>
      </c>
      <c r="BF418" s="10">
        <v>3</v>
      </c>
      <c r="BG418" s="10" t="s">
        <v>152</v>
      </c>
      <c r="BH418">
        <v>15</v>
      </c>
      <c r="BI418" s="10" t="s">
        <v>83</v>
      </c>
      <c r="BJ418" s="43" t="s">
        <v>189</v>
      </c>
      <c r="BL418" s="42"/>
      <c r="BM418" s="34" t="s">
        <v>155</v>
      </c>
      <c r="BN418" s="10" t="s">
        <v>9</v>
      </c>
      <c r="BO418" s="10">
        <v>3</v>
      </c>
      <c r="BP418" s="10" t="s">
        <v>152</v>
      </c>
      <c r="BQ418">
        <v>15</v>
      </c>
      <c r="BR418" s="10">
        <v>3013</v>
      </c>
      <c r="BS418" s="43" t="s">
        <v>189</v>
      </c>
      <c r="BU418" s="42"/>
      <c r="BV418" s="34" t="s">
        <v>155</v>
      </c>
      <c r="BW418" s="10" t="s">
        <v>9</v>
      </c>
      <c r="BX418" s="10">
        <v>3</v>
      </c>
      <c r="BY418" s="10" t="s">
        <v>152</v>
      </c>
      <c r="BZ418">
        <v>15</v>
      </c>
      <c r="CA418" s="10" t="s">
        <v>87</v>
      </c>
      <c r="CB418" t="s">
        <v>177</v>
      </c>
      <c r="CD418" s="42"/>
      <c r="CE418" s="34" t="s">
        <v>155</v>
      </c>
      <c r="CF418" s="10" t="s">
        <v>9</v>
      </c>
      <c r="CG418" s="10">
        <v>3</v>
      </c>
      <c r="CH418" s="10" t="s">
        <v>152</v>
      </c>
      <c r="CI418">
        <v>15</v>
      </c>
      <c r="CJ418" s="10" t="s">
        <v>89</v>
      </c>
      <c r="CK418" s="43" t="s">
        <v>187</v>
      </c>
    </row>
    <row r="419" spans="1:89" x14ac:dyDescent="0.25">
      <c r="A419" s="42"/>
      <c r="B419" s="34" t="s">
        <v>155</v>
      </c>
      <c r="C419" s="10" t="s">
        <v>9</v>
      </c>
      <c r="D419" s="10">
        <v>4</v>
      </c>
      <c r="E419" s="10" t="s">
        <v>152</v>
      </c>
      <c r="F419">
        <v>16</v>
      </c>
      <c r="G419" s="10">
        <v>3024</v>
      </c>
      <c r="H419" t="s">
        <v>172</v>
      </c>
      <c r="J419" s="42"/>
      <c r="K419" s="34" t="s">
        <v>155</v>
      </c>
      <c r="L419" s="10" t="s">
        <v>9</v>
      </c>
      <c r="M419" s="10">
        <v>4</v>
      </c>
      <c r="N419" s="10" t="s">
        <v>152</v>
      </c>
      <c r="O419">
        <v>16</v>
      </c>
      <c r="P419" s="10">
        <v>3018</v>
      </c>
      <c r="Q419" t="s">
        <v>177</v>
      </c>
      <c r="S419" s="42"/>
      <c r="T419" s="34" t="s">
        <v>155</v>
      </c>
      <c r="U419" s="10" t="s">
        <v>9</v>
      </c>
      <c r="V419" s="10">
        <v>4</v>
      </c>
      <c r="W419" s="10" t="s">
        <v>152</v>
      </c>
      <c r="X419">
        <v>16</v>
      </c>
      <c r="Y419" s="10" t="s">
        <v>63</v>
      </c>
      <c r="Z419" s="43" t="s">
        <v>164</v>
      </c>
      <c r="AB419" s="42"/>
      <c r="AC419" s="34" t="s">
        <v>155</v>
      </c>
      <c r="AD419" s="10" t="s">
        <v>9</v>
      </c>
      <c r="AE419" s="10">
        <v>4</v>
      </c>
      <c r="AF419" s="10" t="s">
        <v>152</v>
      </c>
      <c r="AG419">
        <v>16</v>
      </c>
      <c r="AH419" s="10" t="s">
        <v>65</v>
      </c>
      <c r="AI419" t="s">
        <v>169</v>
      </c>
      <c r="AK419" s="42"/>
      <c r="AL419" s="34" t="s">
        <v>155</v>
      </c>
      <c r="AM419" s="10" t="s">
        <v>9</v>
      </c>
      <c r="AN419" s="10">
        <v>4</v>
      </c>
      <c r="AO419" s="10" t="s">
        <v>152</v>
      </c>
      <c r="AP419">
        <v>16</v>
      </c>
      <c r="AQ419" s="10">
        <v>1085</v>
      </c>
      <c r="AR419" t="s">
        <v>170</v>
      </c>
      <c r="AT419" s="42"/>
      <c r="AU419" s="34" t="s">
        <v>155</v>
      </c>
      <c r="AV419" s="10" t="s">
        <v>9</v>
      </c>
      <c r="AW419" s="10">
        <v>4</v>
      </c>
      <c r="AX419" s="10" t="s">
        <v>152</v>
      </c>
      <c r="AY419">
        <v>16</v>
      </c>
      <c r="AZ419" s="10">
        <v>3027</v>
      </c>
      <c r="BA419" t="s">
        <v>181</v>
      </c>
      <c r="BC419" s="42"/>
      <c r="BD419" s="34" t="s">
        <v>155</v>
      </c>
      <c r="BE419" s="10" t="s">
        <v>9</v>
      </c>
      <c r="BF419" s="10">
        <v>4</v>
      </c>
      <c r="BG419" s="10" t="s">
        <v>152</v>
      </c>
      <c r="BH419">
        <v>16</v>
      </c>
      <c r="BI419" s="10" t="s">
        <v>69</v>
      </c>
      <c r="BJ419" s="43" t="s">
        <v>160</v>
      </c>
      <c r="BL419" s="42"/>
      <c r="BM419" s="34" t="s">
        <v>155</v>
      </c>
      <c r="BN419" s="10" t="s">
        <v>9</v>
      </c>
      <c r="BO419" s="10">
        <v>4</v>
      </c>
      <c r="BP419" s="10" t="s">
        <v>152</v>
      </c>
      <c r="BQ419">
        <v>16</v>
      </c>
      <c r="BR419" s="10">
        <v>3014</v>
      </c>
      <c r="BS419" t="s">
        <v>171</v>
      </c>
      <c r="BU419" s="42"/>
      <c r="BV419" s="34" t="s">
        <v>155</v>
      </c>
      <c r="BW419" s="10" t="s">
        <v>9</v>
      </c>
      <c r="BX419" s="10">
        <v>4</v>
      </c>
      <c r="BY419" s="10" t="s">
        <v>152</v>
      </c>
      <c r="BZ419">
        <v>16</v>
      </c>
      <c r="CA419" s="10" t="s">
        <v>87</v>
      </c>
      <c r="CB419" t="s">
        <v>180</v>
      </c>
      <c r="CD419" s="42"/>
      <c r="CE419" s="34" t="s">
        <v>155</v>
      </c>
      <c r="CF419" s="10" t="s">
        <v>9</v>
      </c>
      <c r="CG419" s="10">
        <v>4</v>
      </c>
      <c r="CH419" s="10" t="s">
        <v>152</v>
      </c>
      <c r="CI419">
        <v>16</v>
      </c>
      <c r="CJ419" s="10" t="s">
        <v>89</v>
      </c>
      <c r="CK419" s="43" t="s">
        <v>189</v>
      </c>
    </row>
    <row r="420" spans="1:89" x14ac:dyDescent="0.25">
      <c r="A420" s="42"/>
      <c r="B420" s="34" t="s">
        <v>155</v>
      </c>
      <c r="C420" s="10" t="s">
        <v>9</v>
      </c>
      <c r="D420" s="10">
        <v>5</v>
      </c>
      <c r="E420" s="10" t="s">
        <v>152</v>
      </c>
      <c r="F420">
        <v>17</v>
      </c>
      <c r="G420" s="10">
        <v>3024</v>
      </c>
      <c r="H420" t="s">
        <v>162</v>
      </c>
      <c r="J420" s="42"/>
      <c r="K420" s="34" t="s">
        <v>155</v>
      </c>
      <c r="L420" s="10" t="s">
        <v>9</v>
      </c>
      <c r="M420" s="10">
        <v>5</v>
      </c>
      <c r="N420" s="10" t="s">
        <v>152</v>
      </c>
      <c r="O420">
        <v>17</v>
      </c>
      <c r="P420" s="10">
        <v>3018</v>
      </c>
      <c r="Q420" t="s">
        <v>180</v>
      </c>
      <c r="S420" s="42"/>
      <c r="T420" s="34" t="s">
        <v>155</v>
      </c>
      <c r="U420" s="10" t="s">
        <v>9</v>
      </c>
      <c r="V420" s="10">
        <v>5</v>
      </c>
      <c r="W420" s="10" t="s">
        <v>152</v>
      </c>
      <c r="X420">
        <v>17</v>
      </c>
      <c r="Y420" s="10" t="s">
        <v>63</v>
      </c>
      <c r="Z420" t="s">
        <v>172</v>
      </c>
      <c r="AB420" s="42"/>
      <c r="AC420" s="34" t="s">
        <v>155</v>
      </c>
      <c r="AD420" s="10" t="s">
        <v>9</v>
      </c>
      <c r="AE420" s="10">
        <v>5</v>
      </c>
      <c r="AF420" s="10" t="s">
        <v>152</v>
      </c>
      <c r="AG420">
        <v>17</v>
      </c>
      <c r="AH420" s="10" t="s">
        <v>65</v>
      </c>
      <c r="AI420" t="s">
        <v>177</v>
      </c>
      <c r="AK420" s="42"/>
      <c r="AL420" s="34" t="s">
        <v>155</v>
      </c>
      <c r="AM420" s="10" t="s">
        <v>9</v>
      </c>
      <c r="AN420" s="10">
        <v>5</v>
      </c>
      <c r="AO420" s="10" t="s">
        <v>152</v>
      </c>
      <c r="AP420">
        <v>17</v>
      </c>
      <c r="AQ420" s="10">
        <v>1085</v>
      </c>
      <c r="AR420" t="s">
        <v>178</v>
      </c>
      <c r="AT420" s="42"/>
      <c r="AU420" s="34" t="s">
        <v>155</v>
      </c>
      <c r="AV420" s="10" t="s">
        <v>9</v>
      </c>
      <c r="AW420" s="10">
        <v>5</v>
      </c>
      <c r="AX420" s="10" t="s">
        <v>152</v>
      </c>
      <c r="AY420">
        <v>17</v>
      </c>
      <c r="AZ420" s="10">
        <v>3027</v>
      </c>
      <c r="BA420" t="s">
        <v>183</v>
      </c>
      <c r="BC420" s="42"/>
      <c r="BD420" s="34" t="s">
        <v>155</v>
      </c>
      <c r="BE420" s="10" t="s">
        <v>9</v>
      </c>
      <c r="BF420" s="10">
        <v>5</v>
      </c>
      <c r="BG420" s="10" t="s">
        <v>152</v>
      </c>
      <c r="BH420">
        <v>17</v>
      </c>
      <c r="BI420" s="10" t="s">
        <v>69</v>
      </c>
      <c r="BJ420" s="51" t="s">
        <v>168</v>
      </c>
      <c r="BL420" s="42"/>
      <c r="BM420" s="34" t="s">
        <v>155</v>
      </c>
      <c r="BN420" s="10" t="s">
        <v>9</v>
      </c>
      <c r="BO420" s="10">
        <v>5</v>
      </c>
      <c r="BP420" s="10" t="s">
        <v>152</v>
      </c>
      <c r="BQ420">
        <v>17</v>
      </c>
      <c r="BR420" s="10">
        <v>3014</v>
      </c>
      <c r="BS420" t="s">
        <v>161</v>
      </c>
      <c r="BU420" s="42"/>
      <c r="BV420" s="34" t="s">
        <v>155</v>
      </c>
      <c r="BW420" s="10" t="s">
        <v>9</v>
      </c>
      <c r="BX420" s="10">
        <v>5</v>
      </c>
      <c r="BY420" s="10" t="s">
        <v>152</v>
      </c>
      <c r="BZ420">
        <v>17</v>
      </c>
      <c r="CA420" s="10" t="s">
        <v>87</v>
      </c>
      <c r="CB420" t="s">
        <v>181</v>
      </c>
      <c r="CD420" s="42"/>
      <c r="CE420" s="34" t="s">
        <v>155</v>
      </c>
      <c r="CF420" s="10" t="s">
        <v>9</v>
      </c>
      <c r="CG420" s="10">
        <v>5</v>
      </c>
      <c r="CH420" s="10" t="s">
        <v>152</v>
      </c>
      <c r="CI420">
        <v>17</v>
      </c>
      <c r="CJ420" s="10">
        <v>1091</v>
      </c>
      <c r="CK420" s="43" t="s">
        <v>160</v>
      </c>
    </row>
    <row r="421" spans="1:89" x14ac:dyDescent="0.25">
      <c r="A421" s="42"/>
      <c r="B421" s="34" t="s">
        <v>155</v>
      </c>
      <c r="C421" s="10" t="s">
        <v>9</v>
      </c>
      <c r="D421" s="10">
        <v>6</v>
      </c>
      <c r="E421" s="10" t="s">
        <v>152</v>
      </c>
      <c r="F421">
        <v>18</v>
      </c>
      <c r="G421" s="10">
        <v>3024</v>
      </c>
      <c r="H421" t="s">
        <v>170</v>
      </c>
      <c r="J421" s="42"/>
      <c r="K421" s="34" t="s">
        <v>155</v>
      </c>
      <c r="L421" s="10" t="s">
        <v>9</v>
      </c>
      <c r="M421" s="10">
        <v>6</v>
      </c>
      <c r="N421" s="10" t="s">
        <v>152</v>
      </c>
      <c r="O421">
        <v>18</v>
      </c>
      <c r="P421" s="10">
        <v>3018</v>
      </c>
      <c r="Q421" t="s">
        <v>181</v>
      </c>
      <c r="S421" s="42"/>
      <c r="T421" s="34" t="s">
        <v>155</v>
      </c>
      <c r="U421" s="10" t="s">
        <v>9</v>
      </c>
      <c r="V421" s="10">
        <v>6</v>
      </c>
      <c r="W421" s="10" t="s">
        <v>152</v>
      </c>
      <c r="X421">
        <v>18</v>
      </c>
      <c r="Y421" s="10" t="s">
        <v>63</v>
      </c>
      <c r="Z421" t="s">
        <v>162</v>
      </c>
      <c r="AB421" s="42"/>
      <c r="AC421" s="34" t="s">
        <v>155</v>
      </c>
      <c r="AD421" s="10" t="s">
        <v>9</v>
      </c>
      <c r="AE421" s="10">
        <v>6</v>
      </c>
      <c r="AF421" s="10" t="s">
        <v>152</v>
      </c>
      <c r="AG421">
        <v>18</v>
      </c>
      <c r="AH421" s="10" t="s">
        <v>65</v>
      </c>
      <c r="AI421" t="s">
        <v>180</v>
      </c>
      <c r="AK421" s="42"/>
      <c r="AL421" s="34" t="s">
        <v>155</v>
      </c>
      <c r="AM421" s="10" t="s">
        <v>9</v>
      </c>
      <c r="AN421" s="10">
        <v>6</v>
      </c>
      <c r="AO421" s="10" t="s">
        <v>152</v>
      </c>
      <c r="AP421">
        <v>18</v>
      </c>
      <c r="AQ421" s="10">
        <v>1085</v>
      </c>
      <c r="AR421" t="s">
        <v>163</v>
      </c>
      <c r="AT421" s="42"/>
      <c r="AU421" s="34" t="s">
        <v>155</v>
      </c>
      <c r="AV421" s="10" t="s">
        <v>9</v>
      </c>
      <c r="AW421" s="10">
        <v>6</v>
      </c>
      <c r="AX421" s="10" t="s">
        <v>152</v>
      </c>
      <c r="AY421">
        <v>18</v>
      </c>
      <c r="AZ421" s="10">
        <v>3027</v>
      </c>
      <c r="BA421" t="s">
        <v>186</v>
      </c>
      <c r="BC421" s="42"/>
      <c r="BD421" s="34" t="s">
        <v>155</v>
      </c>
      <c r="BE421" s="10" t="s">
        <v>9</v>
      </c>
      <c r="BF421" s="10">
        <v>6</v>
      </c>
      <c r="BG421" s="10" t="s">
        <v>152</v>
      </c>
      <c r="BH421">
        <v>18</v>
      </c>
      <c r="BI421" s="10" t="s">
        <v>69</v>
      </c>
      <c r="BJ421" s="43" t="s">
        <v>176</v>
      </c>
      <c r="BL421" s="42"/>
      <c r="BM421" s="34" t="s">
        <v>155</v>
      </c>
      <c r="BN421" s="10" t="s">
        <v>9</v>
      </c>
      <c r="BO421" s="10">
        <v>6</v>
      </c>
      <c r="BP421" s="10" t="s">
        <v>152</v>
      </c>
      <c r="BQ421">
        <v>18</v>
      </c>
      <c r="BR421" s="10">
        <v>3014</v>
      </c>
      <c r="BS421" t="s">
        <v>169</v>
      </c>
      <c r="BU421" s="42"/>
      <c r="BV421" s="34" t="s">
        <v>155</v>
      </c>
      <c r="BW421" s="10" t="s">
        <v>9</v>
      </c>
      <c r="BX421" s="10">
        <v>6</v>
      </c>
      <c r="BY421" s="10" t="s">
        <v>152</v>
      </c>
      <c r="BZ421">
        <v>18</v>
      </c>
      <c r="CA421" s="10" t="s">
        <v>87</v>
      </c>
      <c r="CB421" t="s">
        <v>183</v>
      </c>
      <c r="CD421" s="42"/>
      <c r="CE421" s="34" t="s">
        <v>155</v>
      </c>
      <c r="CF421" s="10" t="s">
        <v>9</v>
      </c>
      <c r="CG421" s="10">
        <v>6</v>
      </c>
      <c r="CH421" s="10" t="s">
        <v>152</v>
      </c>
      <c r="CI421">
        <v>18</v>
      </c>
      <c r="CJ421" s="10">
        <v>1091</v>
      </c>
      <c r="CK421" s="51" t="s">
        <v>168</v>
      </c>
    </row>
    <row r="422" spans="1:89" x14ac:dyDescent="0.25">
      <c r="A422" s="42"/>
      <c r="B422" s="34" t="s">
        <v>155</v>
      </c>
      <c r="C422" s="10" t="s">
        <v>9</v>
      </c>
      <c r="D422" s="10">
        <v>7</v>
      </c>
      <c r="E422" s="10" t="s">
        <v>152</v>
      </c>
      <c r="F422">
        <v>19</v>
      </c>
      <c r="G422" s="10">
        <v>3024</v>
      </c>
      <c r="H422" t="s">
        <v>178</v>
      </c>
      <c r="J422" s="42"/>
      <c r="K422" s="34" t="s">
        <v>155</v>
      </c>
      <c r="L422" s="10" t="s">
        <v>9</v>
      </c>
      <c r="M422" s="10">
        <v>7</v>
      </c>
      <c r="N422" s="10" t="s">
        <v>152</v>
      </c>
      <c r="O422">
        <v>19</v>
      </c>
      <c r="P422" s="10">
        <v>3018</v>
      </c>
      <c r="Q422" t="s">
        <v>183</v>
      </c>
      <c r="S422" s="42"/>
      <c r="T422" s="34" t="s">
        <v>155</v>
      </c>
      <c r="U422" s="10" t="s">
        <v>9</v>
      </c>
      <c r="V422" s="10">
        <v>7</v>
      </c>
      <c r="W422" s="10" t="s">
        <v>152</v>
      </c>
      <c r="X422">
        <v>19</v>
      </c>
      <c r="Y422" s="10" t="s">
        <v>63</v>
      </c>
      <c r="Z422" t="s">
        <v>170</v>
      </c>
      <c r="AB422" s="42"/>
      <c r="AC422" s="34" t="s">
        <v>155</v>
      </c>
      <c r="AD422" s="10" t="s">
        <v>9</v>
      </c>
      <c r="AE422" s="10">
        <v>7</v>
      </c>
      <c r="AF422" s="10" t="s">
        <v>152</v>
      </c>
      <c r="AG422">
        <v>19</v>
      </c>
      <c r="AH422" s="10" t="s">
        <v>65</v>
      </c>
      <c r="AI422" t="s">
        <v>181</v>
      </c>
      <c r="AK422" s="42"/>
      <c r="AL422" s="34" t="s">
        <v>155</v>
      </c>
      <c r="AM422" s="10" t="s">
        <v>9</v>
      </c>
      <c r="AN422" s="10">
        <v>7</v>
      </c>
      <c r="AO422" s="10" t="s">
        <v>152</v>
      </c>
      <c r="AP422">
        <v>19</v>
      </c>
      <c r="AQ422" s="10">
        <v>1085</v>
      </c>
      <c r="AR422" t="s">
        <v>171</v>
      </c>
      <c r="AT422" s="42"/>
      <c r="AU422" s="34" t="s">
        <v>155</v>
      </c>
      <c r="AV422" s="10" t="s">
        <v>9</v>
      </c>
      <c r="AW422" s="10">
        <v>7</v>
      </c>
      <c r="AX422" s="10" t="s">
        <v>152</v>
      </c>
      <c r="AY422">
        <v>19</v>
      </c>
      <c r="AZ422" s="10">
        <v>3027</v>
      </c>
      <c r="BA422" s="43" t="s">
        <v>188</v>
      </c>
      <c r="BC422" s="42"/>
      <c r="BD422" s="34" t="s">
        <v>155</v>
      </c>
      <c r="BE422" s="10" t="s">
        <v>9</v>
      </c>
      <c r="BF422" s="10">
        <v>7</v>
      </c>
      <c r="BG422" s="10" t="s">
        <v>152</v>
      </c>
      <c r="BH422">
        <v>19</v>
      </c>
      <c r="BI422" s="10" t="s">
        <v>69</v>
      </c>
      <c r="BJ422" s="43" t="s">
        <v>164</v>
      </c>
      <c r="BL422" s="42"/>
      <c r="BM422" s="34" t="s">
        <v>155</v>
      </c>
      <c r="BN422" s="10" t="s">
        <v>9</v>
      </c>
      <c r="BO422" s="10">
        <v>7</v>
      </c>
      <c r="BP422" s="10" t="s">
        <v>152</v>
      </c>
      <c r="BQ422">
        <v>19</v>
      </c>
      <c r="BR422" s="10">
        <v>3014</v>
      </c>
      <c r="BS422" t="s">
        <v>177</v>
      </c>
      <c r="BU422" s="42"/>
      <c r="BV422" s="34" t="s">
        <v>155</v>
      </c>
      <c r="BW422" s="10" t="s">
        <v>9</v>
      </c>
      <c r="BX422" s="10">
        <v>7</v>
      </c>
      <c r="BY422" s="10" t="s">
        <v>152</v>
      </c>
      <c r="BZ422">
        <v>19</v>
      </c>
      <c r="CA422" s="10" t="s">
        <v>87</v>
      </c>
      <c r="CB422" t="s">
        <v>186</v>
      </c>
      <c r="CD422" s="42"/>
      <c r="CE422" s="34" t="s">
        <v>155</v>
      </c>
      <c r="CF422" s="10" t="s">
        <v>9</v>
      </c>
      <c r="CG422" s="10">
        <v>7</v>
      </c>
      <c r="CH422" s="10" t="s">
        <v>152</v>
      </c>
      <c r="CI422">
        <v>19</v>
      </c>
      <c r="CJ422" s="10">
        <v>1091</v>
      </c>
      <c r="CK422" s="43" t="s">
        <v>176</v>
      </c>
    </row>
    <row r="423" spans="1:89" x14ac:dyDescent="0.25">
      <c r="A423" s="42"/>
      <c r="B423" s="34" t="s">
        <v>155</v>
      </c>
      <c r="C423" s="10" t="s">
        <v>9</v>
      </c>
      <c r="D423" s="10">
        <v>8</v>
      </c>
      <c r="E423" s="10" t="s">
        <v>152</v>
      </c>
      <c r="F423">
        <v>20</v>
      </c>
      <c r="G423" s="10">
        <v>3024</v>
      </c>
      <c r="H423" t="s">
        <v>163</v>
      </c>
      <c r="J423" s="42"/>
      <c r="K423" s="34" t="s">
        <v>155</v>
      </c>
      <c r="L423" s="10" t="s">
        <v>9</v>
      </c>
      <c r="M423" s="10">
        <v>8</v>
      </c>
      <c r="N423" s="10" t="s">
        <v>152</v>
      </c>
      <c r="O423">
        <v>20</v>
      </c>
      <c r="P423" s="10">
        <v>3018</v>
      </c>
      <c r="Q423" t="s">
        <v>186</v>
      </c>
      <c r="S423" s="42"/>
      <c r="T423" s="34" t="s">
        <v>155</v>
      </c>
      <c r="U423" s="10" t="s">
        <v>9</v>
      </c>
      <c r="V423" s="10">
        <v>8</v>
      </c>
      <c r="W423" s="10" t="s">
        <v>152</v>
      </c>
      <c r="X423">
        <v>20</v>
      </c>
      <c r="Y423" s="10" t="s">
        <v>63</v>
      </c>
      <c r="Z423" t="s">
        <v>178</v>
      </c>
      <c r="AB423" s="42"/>
      <c r="AC423" s="34" t="s">
        <v>155</v>
      </c>
      <c r="AD423" s="10" t="s">
        <v>9</v>
      </c>
      <c r="AE423" s="10">
        <v>8</v>
      </c>
      <c r="AF423" s="10" t="s">
        <v>152</v>
      </c>
      <c r="AG423">
        <v>20</v>
      </c>
      <c r="AH423" s="10" t="s">
        <v>65</v>
      </c>
      <c r="AI423" t="s">
        <v>183</v>
      </c>
      <c r="AK423" s="42"/>
      <c r="AL423" s="34" t="s">
        <v>155</v>
      </c>
      <c r="AM423" s="10" t="s">
        <v>9</v>
      </c>
      <c r="AN423" s="10">
        <v>8</v>
      </c>
      <c r="AO423" s="10" t="s">
        <v>152</v>
      </c>
      <c r="AP423">
        <v>20</v>
      </c>
      <c r="AQ423" s="10">
        <v>1085</v>
      </c>
      <c r="AR423" t="s">
        <v>161</v>
      </c>
      <c r="AT423" s="42"/>
      <c r="AU423" s="34" t="s">
        <v>155</v>
      </c>
      <c r="AV423" s="10" t="s">
        <v>9</v>
      </c>
      <c r="AW423" s="10">
        <v>8</v>
      </c>
      <c r="AX423" s="10" t="s">
        <v>152</v>
      </c>
      <c r="AY423">
        <v>20</v>
      </c>
      <c r="AZ423" s="10">
        <v>3027</v>
      </c>
      <c r="BA423" s="43" t="s">
        <v>182</v>
      </c>
      <c r="BC423" s="42"/>
      <c r="BD423" s="34" t="s">
        <v>155</v>
      </c>
      <c r="BE423" s="10" t="s">
        <v>9</v>
      </c>
      <c r="BF423" s="10">
        <v>8</v>
      </c>
      <c r="BG423" s="10" t="s">
        <v>152</v>
      </c>
      <c r="BH423">
        <v>20</v>
      </c>
      <c r="BI423" s="10" t="s">
        <v>69</v>
      </c>
      <c r="BJ423" t="s">
        <v>172</v>
      </c>
      <c r="BL423" s="42"/>
      <c r="BM423" s="34" t="s">
        <v>155</v>
      </c>
      <c r="BN423" s="10" t="s">
        <v>9</v>
      </c>
      <c r="BO423" s="10">
        <v>8</v>
      </c>
      <c r="BP423" s="10" t="s">
        <v>152</v>
      </c>
      <c r="BQ423">
        <v>20</v>
      </c>
      <c r="BR423" s="10">
        <v>3014</v>
      </c>
      <c r="BS423" t="s">
        <v>180</v>
      </c>
      <c r="BU423" s="42"/>
      <c r="BV423" s="34" t="s">
        <v>155</v>
      </c>
      <c r="BW423" s="10" t="s">
        <v>9</v>
      </c>
      <c r="BX423" s="10">
        <v>8</v>
      </c>
      <c r="BY423" s="10" t="s">
        <v>152</v>
      </c>
      <c r="BZ423">
        <v>20</v>
      </c>
      <c r="CA423" s="10" t="s">
        <v>87</v>
      </c>
      <c r="CB423" s="43" t="s">
        <v>188</v>
      </c>
      <c r="CD423" s="42"/>
      <c r="CE423" s="34" t="s">
        <v>155</v>
      </c>
      <c r="CF423" s="10" t="s">
        <v>9</v>
      </c>
      <c r="CG423" s="10">
        <v>8</v>
      </c>
      <c r="CH423" s="10" t="s">
        <v>152</v>
      </c>
      <c r="CI423">
        <v>20</v>
      </c>
      <c r="CJ423" s="10">
        <v>1091</v>
      </c>
      <c r="CK423" s="43" t="s">
        <v>164</v>
      </c>
    </row>
    <row r="424" spans="1:89" x14ac:dyDescent="0.25">
      <c r="A424" s="42"/>
      <c r="B424" s="34" t="s">
        <v>155</v>
      </c>
      <c r="C424" s="10" t="s">
        <v>9</v>
      </c>
      <c r="D424" s="10">
        <v>9</v>
      </c>
      <c r="E424" s="10" t="s">
        <v>152</v>
      </c>
      <c r="F424">
        <v>21</v>
      </c>
      <c r="G424" s="10">
        <v>3024</v>
      </c>
      <c r="H424" t="s">
        <v>171</v>
      </c>
      <c r="J424" s="42"/>
      <c r="K424" s="34" t="s">
        <v>155</v>
      </c>
      <c r="L424" s="10" t="s">
        <v>9</v>
      </c>
      <c r="M424" s="10">
        <v>9</v>
      </c>
      <c r="N424" s="10" t="s">
        <v>152</v>
      </c>
      <c r="O424">
        <v>21</v>
      </c>
      <c r="P424" s="10">
        <v>3018</v>
      </c>
      <c r="Q424" s="43" t="s">
        <v>188</v>
      </c>
      <c r="S424" s="42"/>
      <c r="T424" s="34" t="s">
        <v>155</v>
      </c>
      <c r="U424" s="10" t="s">
        <v>9</v>
      </c>
      <c r="V424" s="10">
        <v>9</v>
      </c>
      <c r="W424" s="10" t="s">
        <v>152</v>
      </c>
      <c r="X424">
        <v>21</v>
      </c>
      <c r="Y424" s="10" t="s">
        <v>63</v>
      </c>
      <c r="Z424" t="s">
        <v>163</v>
      </c>
      <c r="AB424" s="42"/>
      <c r="AC424" s="34" t="s">
        <v>155</v>
      </c>
      <c r="AD424" s="10" t="s">
        <v>9</v>
      </c>
      <c r="AE424" s="10">
        <v>9</v>
      </c>
      <c r="AF424" s="10" t="s">
        <v>152</v>
      </c>
      <c r="AG424">
        <v>21</v>
      </c>
      <c r="AH424" s="10" t="s">
        <v>65</v>
      </c>
      <c r="AI424" t="s">
        <v>186</v>
      </c>
      <c r="AK424" s="42"/>
      <c r="AL424" s="34" t="s">
        <v>155</v>
      </c>
      <c r="AM424" s="10" t="s">
        <v>9</v>
      </c>
      <c r="AN424" s="10">
        <v>9</v>
      </c>
      <c r="AO424" s="10" t="s">
        <v>152</v>
      </c>
      <c r="AP424">
        <v>21</v>
      </c>
      <c r="AQ424" s="10">
        <v>1085</v>
      </c>
      <c r="AR424" t="s">
        <v>169</v>
      </c>
      <c r="AT424" s="42"/>
      <c r="AU424" s="34" t="s">
        <v>155</v>
      </c>
      <c r="AV424" s="10" t="s">
        <v>9</v>
      </c>
      <c r="AW424" s="10">
        <v>9</v>
      </c>
      <c r="AX424" s="10" t="s">
        <v>152</v>
      </c>
      <c r="AY424">
        <v>21</v>
      </c>
      <c r="AZ424" s="10">
        <v>3027</v>
      </c>
      <c r="BA424" s="43" t="s">
        <v>184</v>
      </c>
      <c r="BC424" s="42"/>
      <c r="BD424" s="34" t="s">
        <v>155</v>
      </c>
      <c r="BE424" s="10" t="s">
        <v>9</v>
      </c>
      <c r="BF424" s="10">
        <v>9</v>
      </c>
      <c r="BG424" s="10" t="s">
        <v>152</v>
      </c>
      <c r="BH424">
        <v>21</v>
      </c>
      <c r="BI424" s="10" t="s">
        <v>69</v>
      </c>
      <c r="BJ424" t="s">
        <v>162</v>
      </c>
      <c r="BL424" s="42"/>
      <c r="BM424" s="34" t="s">
        <v>155</v>
      </c>
      <c r="BN424" s="10" t="s">
        <v>9</v>
      </c>
      <c r="BO424" s="10">
        <v>9</v>
      </c>
      <c r="BP424" s="10" t="s">
        <v>152</v>
      </c>
      <c r="BQ424">
        <v>21</v>
      </c>
      <c r="BR424" s="10">
        <v>3014</v>
      </c>
      <c r="BS424" t="s">
        <v>181</v>
      </c>
      <c r="BU424" s="42"/>
      <c r="BV424" s="34" t="s">
        <v>155</v>
      </c>
      <c r="BW424" s="10" t="s">
        <v>9</v>
      </c>
      <c r="BX424" s="10">
        <v>9</v>
      </c>
      <c r="BY424" s="10" t="s">
        <v>152</v>
      </c>
      <c r="BZ424">
        <v>21</v>
      </c>
      <c r="CA424" s="10" t="s">
        <v>87</v>
      </c>
      <c r="CB424" s="43" t="s">
        <v>182</v>
      </c>
      <c r="CD424" s="42"/>
      <c r="CE424" s="34" t="s">
        <v>155</v>
      </c>
      <c r="CF424" s="10" t="s">
        <v>9</v>
      </c>
      <c r="CG424" s="10">
        <v>9</v>
      </c>
      <c r="CH424" s="10" t="s">
        <v>152</v>
      </c>
      <c r="CI424">
        <v>21</v>
      </c>
      <c r="CJ424" s="10">
        <v>1091</v>
      </c>
      <c r="CK424" t="s">
        <v>172</v>
      </c>
    </row>
    <row r="425" spans="1:89" x14ac:dyDescent="0.25">
      <c r="A425" s="42"/>
      <c r="B425" s="34" t="s">
        <v>155</v>
      </c>
      <c r="C425" s="10" t="s">
        <v>9</v>
      </c>
      <c r="D425" s="10">
        <v>10</v>
      </c>
      <c r="E425" s="10" t="s">
        <v>152</v>
      </c>
      <c r="F425">
        <v>22</v>
      </c>
      <c r="G425" s="10">
        <v>3024</v>
      </c>
      <c r="H425" t="s">
        <v>161</v>
      </c>
      <c r="I425" t="s">
        <v>565</v>
      </c>
      <c r="J425" s="42"/>
      <c r="K425" s="34" t="s">
        <v>155</v>
      </c>
      <c r="L425" s="10" t="s">
        <v>9</v>
      </c>
      <c r="M425" s="10">
        <v>10</v>
      </c>
      <c r="N425" s="10" t="s">
        <v>152</v>
      </c>
      <c r="O425">
        <v>22</v>
      </c>
      <c r="P425" s="10">
        <v>3018</v>
      </c>
      <c r="Q425" s="43" t="s">
        <v>182</v>
      </c>
      <c r="S425" s="42"/>
      <c r="T425" s="34" t="s">
        <v>155</v>
      </c>
      <c r="U425" s="10" t="s">
        <v>9</v>
      </c>
      <c r="V425" s="10">
        <v>10</v>
      </c>
      <c r="W425" s="10" t="s">
        <v>152</v>
      </c>
      <c r="X425">
        <v>22</v>
      </c>
      <c r="Y425" s="10" t="s">
        <v>63</v>
      </c>
      <c r="Z425" t="s">
        <v>171</v>
      </c>
      <c r="AB425" s="42"/>
      <c r="AC425" s="34" t="s">
        <v>155</v>
      </c>
      <c r="AD425" s="10" t="s">
        <v>9</v>
      </c>
      <c r="AE425" s="10">
        <v>10</v>
      </c>
      <c r="AF425" s="10" t="s">
        <v>152</v>
      </c>
      <c r="AG425">
        <v>22</v>
      </c>
      <c r="AH425" s="10" t="s">
        <v>65</v>
      </c>
      <c r="AI425" s="43" t="s">
        <v>188</v>
      </c>
      <c r="AK425" s="42"/>
      <c r="AL425" s="34" t="s">
        <v>155</v>
      </c>
      <c r="AM425" s="10" t="s">
        <v>9</v>
      </c>
      <c r="AN425" s="10">
        <v>10</v>
      </c>
      <c r="AO425" s="10" t="s">
        <v>152</v>
      </c>
      <c r="AP425">
        <v>22</v>
      </c>
      <c r="AQ425" s="10">
        <v>1085</v>
      </c>
      <c r="AR425" t="s">
        <v>177</v>
      </c>
      <c r="AT425" s="42"/>
      <c r="AU425" s="34" t="s">
        <v>155</v>
      </c>
      <c r="AV425" s="10" t="s">
        <v>9</v>
      </c>
      <c r="AW425" s="10">
        <v>10</v>
      </c>
      <c r="AX425" s="10" t="s">
        <v>152</v>
      </c>
      <c r="AY425">
        <v>22</v>
      </c>
      <c r="AZ425" s="10">
        <v>3027</v>
      </c>
      <c r="BA425" s="43" t="s">
        <v>187</v>
      </c>
      <c r="BC425" s="42"/>
      <c r="BD425" s="34" t="s">
        <v>155</v>
      </c>
      <c r="BE425" s="10" t="s">
        <v>9</v>
      </c>
      <c r="BF425" s="10">
        <v>10</v>
      </c>
      <c r="BG425" s="10" t="s">
        <v>152</v>
      </c>
      <c r="BH425">
        <v>22</v>
      </c>
      <c r="BI425" s="10" t="s">
        <v>69</v>
      </c>
      <c r="BJ425" t="s">
        <v>170</v>
      </c>
      <c r="BL425" s="42"/>
      <c r="BM425" s="34" t="s">
        <v>155</v>
      </c>
      <c r="BN425" s="10" t="s">
        <v>9</v>
      </c>
      <c r="BO425" s="10">
        <v>10</v>
      </c>
      <c r="BP425" s="10" t="s">
        <v>152</v>
      </c>
      <c r="BQ425">
        <v>22</v>
      </c>
      <c r="BR425" s="10">
        <v>3014</v>
      </c>
      <c r="BS425" t="s">
        <v>183</v>
      </c>
      <c r="BU425" s="42"/>
      <c r="BV425" s="34" t="s">
        <v>155</v>
      </c>
      <c r="BW425" s="10" t="s">
        <v>9</v>
      </c>
      <c r="BX425" s="10">
        <v>10</v>
      </c>
      <c r="BY425" s="10" t="s">
        <v>152</v>
      </c>
      <c r="BZ425">
        <v>22</v>
      </c>
      <c r="CA425" s="10" t="s">
        <v>87</v>
      </c>
      <c r="CB425" s="43" t="s">
        <v>184</v>
      </c>
      <c r="CD425" s="42"/>
      <c r="CE425" s="34" t="s">
        <v>155</v>
      </c>
      <c r="CF425" s="10" t="s">
        <v>9</v>
      </c>
      <c r="CG425" s="10">
        <v>10</v>
      </c>
      <c r="CH425" s="10" t="s">
        <v>152</v>
      </c>
      <c r="CI425">
        <v>22</v>
      </c>
      <c r="CJ425" s="10">
        <v>1091</v>
      </c>
      <c r="CK425" t="s">
        <v>162</v>
      </c>
    </row>
    <row r="426" spans="1:89" x14ac:dyDescent="0.25">
      <c r="A426" s="42"/>
      <c r="B426" s="34" t="s">
        <v>155</v>
      </c>
      <c r="C426" s="10" t="s">
        <v>9</v>
      </c>
      <c r="D426" s="10">
        <v>11</v>
      </c>
      <c r="E426" s="10" t="s">
        <v>152</v>
      </c>
      <c r="F426">
        <v>23</v>
      </c>
      <c r="G426" s="10">
        <v>3024</v>
      </c>
      <c r="H426" t="s">
        <v>169</v>
      </c>
      <c r="J426" s="42"/>
      <c r="K426" s="34" t="s">
        <v>155</v>
      </c>
      <c r="L426" s="10" t="s">
        <v>9</v>
      </c>
      <c r="M426" s="10">
        <v>11</v>
      </c>
      <c r="N426" s="10" t="s">
        <v>152</v>
      </c>
      <c r="O426">
        <v>23</v>
      </c>
      <c r="P426" s="10">
        <v>3018</v>
      </c>
      <c r="Q426" s="43" t="s">
        <v>184</v>
      </c>
      <c r="S426" s="42"/>
      <c r="T426" s="34" t="s">
        <v>155</v>
      </c>
      <c r="U426" s="10" t="s">
        <v>9</v>
      </c>
      <c r="V426" s="10">
        <v>11</v>
      </c>
      <c r="W426" s="10" t="s">
        <v>152</v>
      </c>
      <c r="X426">
        <v>23</v>
      </c>
      <c r="Y426" s="10" t="s">
        <v>63</v>
      </c>
      <c r="Z426" t="s">
        <v>161</v>
      </c>
      <c r="AB426" s="42"/>
      <c r="AC426" s="34" t="s">
        <v>155</v>
      </c>
      <c r="AD426" s="10" t="s">
        <v>9</v>
      </c>
      <c r="AE426" s="10">
        <v>11</v>
      </c>
      <c r="AF426" s="10" t="s">
        <v>152</v>
      </c>
      <c r="AG426">
        <v>23</v>
      </c>
      <c r="AH426" s="10" t="s">
        <v>65</v>
      </c>
      <c r="AI426" s="43" t="s">
        <v>182</v>
      </c>
      <c r="AK426" s="42"/>
      <c r="AL426" s="34" t="s">
        <v>155</v>
      </c>
      <c r="AM426" s="10" t="s">
        <v>9</v>
      </c>
      <c r="AN426" s="10">
        <v>11</v>
      </c>
      <c r="AO426" s="10" t="s">
        <v>152</v>
      </c>
      <c r="AP426">
        <v>23</v>
      </c>
      <c r="AQ426" s="10">
        <v>1085</v>
      </c>
      <c r="AR426" t="s">
        <v>180</v>
      </c>
      <c r="AT426" s="42"/>
      <c r="AU426" s="34" t="s">
        <v>155</v>
      </c>
      <c r="AV426" s="10" t="s">
        <v>9</v>
      </c>
      <c r="AW426" s="10">
        <v>11</v>
      </c>
      <c r="AX426" s="10" t="s">
        <v>152</v>
      </c>
      <c r="AY426">
        <v>23</v>
      </c>
      <c r="AZ426" s="10">
        <v>3027</v>
      </c>
      <c r="BA426" s="43" t="s">
        <v>189</v>
      </c>
      <c r="BC426" s="42"/>
      <c r="BD426" s="34" t="s">
        <v>155</v>
      </c>
      <c r="BE426" s="10" t="s">
        <v>9</v>
      </c>
      <c r="BF426" s="10">
        <v>11</v>
      </c>
      <c r="BG426" s="10" t="s">
        <v>152</v>
      </c>
      <c r="BH426">
        <v>23</v>
      </c>
      <c r="BI426" s="10" t="s">
        <v>69</v>
      </c>
      <c r="BJ426" t="s">
        <v>178</v>
      </c>
      <c r="BL426" s="42"/>
      <c r="BM426" s="34" t="s">
        <v>155</v>
      </c>
      <c r="BN426" s="10" t="s">
        <v>9</v>
      </c>
      <c r="BO426" s="10">
        <v>11</v>
      </c>
      <c r="BP426" s="10" t="s">
        <v>152</v>
      </c>
      <c r="BQ426">
        <v>23</v>
      </c>
      <c r="BR426" s="10">
        <v>3014</v>
      </c>
      <c r="BS426" t="s">
        <v>186</v>
      </c>
      <c r="BU426" s="42"/>
      <c r="BV426" s="34" t="s">
        <v>155</v>
      </c>
      <c r="BW426" s="10" t="s">
        <v>9</v>
      </c>
      <c r="BX426" s="10">
        <v>11</v>
      </c>
      <c r="BY426" s="10" t="s">
        <v>152</v>
      </c>
      <c r="BZ426">
        <v>23</v>
      </c>
      <c r="CA426" s="10" t="s">
        <v>87</v>
      </c>
      <c r="CB426" s="43" t="s">
        <v>187</v>
      </c>
      <c r="CD426" s="42"/>
      <c r="CE426" s="34" t="s">
        <v>155</v>
      </c>
      <c r="CF426" s="10" t="s">
        <v>9</v>
      </c>
      <c r="CG426" s="10">
        <v>11</v>
      </c>
      <c r="CH426" s="10" t="s">
        <v>152</v>
      </c>
      <c r="CI426">
        <v>23</v>
      </c>
      <c r="CJ426" s="10">
        <v>1091</v>
      </c>
      <c r="CK426" t="s">
        <v>170</v>
      </c>
    </row>
    <row r="427" spans="1:89" ht="15.75" thickBot="1" x14ac:dyDescent="0.3">
      <c r="A427" s="47"/>
      <c r="B427" s="48" t="s">
        <v>155</v>
      </c>
      <c r="C427" s="49" t="s">
        <v>9</v>
      </c>
      <c r="D427" s="49">
        <v>12</v>
      </c>
      <c r="E427" s="49" t="s">
        <v>152</v>
      </c>
      <c r="F427" s="50">
        <v>24</v>
      </c>
      <c r="G427" s="10">
        <v>3024</v>
      </c>
      <c r="H427" t="s">
        <v>177</v>
      </c>
      <c r="J427" s="47"/>
      <c r="K427" s="48" t="s">
        <v>155</v>
      </c>
      <c r="L427" s="49" t="s">
        <v>9</v>
      </c>
      <c r="M427" s="49">
        <v>12</v>
      </c>
      <c r="N427" s="49" t="s">
        <v>152</v>
      </c>
      <c r="O427" s="50">
        <v>24</v>
      </c>
      <c r="P427" s="10">
        <v>3018</v>
      </c>
      <c r="Q427" s="43" t="s">
        <v>187</v>
      </c>
      <c r="S427" s="47"/>
      <c r="T427" s="48" t="s">
        <v>155</v>
      </c>
      <c r="U427" s="49" t="s">
        <v>9</v>
      </c>
      <c r="V427" s="49">
        <v>12</v>
      </c>
      <c r="W427" s="49" t="s">
        <v>152</v>
      </c>
      <c r="X427" s="50">
        <v>24</v>
      </c>
      <c r="Y427" s="10" t="s">
        <v>63</v>
      </c>
      <c r="Z427" t="s">
        <v>169</v>
      </c>
      <c r="AB427" s="47"/>
      <c r="AC427" s="48" t="s">
        <v>155</v>
      </c>
      <c r="AD427" s="49" t="s">
        <v>9</v>
      </c>
      <c r="AE427" s="49">
        <v>12</v>
      </c>
      <c r="AF427" s="49" t="s">
        <v>152</v>
      </c>
      <c r="AG427" s="50">
        <v>24</v>
      </c>
      <c r="AH427" s="10" t="s">
        <v>65</v>
      </c>
      <c r="AI427" s="43" t="s">
        <v>184</v>
      </c>
      <c r="AK427" s="47"/>
      <c r="AL427" s="48" t="s">
        <v>155</v>
      </c>
      <c r="AM427" s="49" t="s">
        <v>9</v>
      </c>
      <c r="AN427" s="49">
        <v>12</v>
      </c>
      <c r="AO427" s="49" t="s">
        <v>152</v>
      </c>
      <c r="AP427" s="50">
        <v>24</v>
      </c>
      <c r="AQ427" s="10">
        <v>1085</v>
      </c>
      <c r="AR427" t="s">
        <v>181</v>
      </c>
      <c r="AT427" s="47"/>
      <c r="AU427" s="48" t="s">
        <v>155</v>
      </c>
      <c r="AV427" s="49" t="s">
        <v>9</v>
      </c>
      <c r="AW427" s="49">
        <v>12</v>
      </c>
      <c r="AX427" s="49" t="s">
        <v>152</v>
      </c>
      <c r="AY427" s="50">
        <v>24</v>
      </c>
      <c r="AZ427" s="10" t="s">
        <v>67</v>
      </c>
      <c r="BA427" s="43" t="s">
        <v>160</v>
      </c>
      <c r="BC427" s="47"/>
      <c r="BD427" s="48" t="s">
        <v>155</v>
      </c>
      <c r="BE427" s="49" t="s">
        <v>9</v>
      </c>
      <c r="BF427" s="49">
        <v>12</v>
      </c>
      <c r="BG427" s="49" t="s">
        <v>152</v>
      </c>
      <c r="BH427" s="50">
        <v>24</v>
      </c>
      <c r="BI427" s="10" t="s">
        <v>69</v>
      </c>
      <c r="BJ427" t="s">
        <v>163</v>
      </c>
      <c r="BL427" s="47"/>
      <c r="BM427" s="48" t="s">
        <v>155</v>
      </c>
      <c r="BN427" s="49" t="s">
        <v>9</v>
      </c>
      <c r="BO427" s="49">
        <v>12</v>
      </c>
      <c r="BP427" s="49" t="s">
        <v>152</v>
      </c>
      <c r="BQ427" s="50">
        <v>24</v>
      </c>
      <c r="BR427" s="10">
        <v>3014</v>
      </c>
      <c r="BS427" s="43" t="s">
        <v>188</v>
      </c>
      <c r="BU427" s="47"/>
      <c r="BV427" s="48" t="s">
        <v>155</v>
      </c>
      <c r="BW427" s="49" t="s">
        <v>9</v>
      </c>
      <c r="BX427" s="49">
        <v>12</v>
      </c>
      <c r="BY427" s="49" t="s">
        <v>152</v>
      </c>
      <c r="BZ427" s="50">
        <v>24</v>
      </c>
      <c r="CA427" s="10" t="s">
        <v>87</v>
      </c>
      <c r="CB427" s="43" t="s">
        <v>189</v>
      </c>
      <c r="CD427" s="47"/>
      <c r="CE427" s="48" t="s">
        <v>155</v>
      </c>
      <c r="CF427" s="49" t="s">
        <v>9</v>
      </c>
      <c r="CG427" s="49">
        <v>12</v>
      </c>
      <c r="CH427" s="49" t="s">
        <v>152</v>
      </c>
      <c r="CI427" s="50">
        <v>24</v>
      </c>
      <c r="CJ427" s="10">
        <v>1091</v>
      </c>
      <c r="CK427" t="s">
        <v>178</v>
      </c>
    </row>
    <row r="428" spans="1:89" x14ac:dyDescent="0.25">
      <c r="A428" s="56"/>
      <c r="B428" s="31" t="s">
        <v>155</v>
      </c>
      <c r="C428" s="58" t="s">
        <v>12</v>
      </c>
      <c r="D428" s="58">
        <v>1</v>
      </c>
      <c r="E428" s="58" t="s">
        <v>152</v>
      </c>
      <c r="F428" s="59">
        <v>25</v>
      </c>
      <c r="G428" s="10">
        <v>3024</v>
      </c>
      <c r="H428" t="s">
        <v>180</v>
      </c>
      <c r="J428" s="56"/>
      <c r="K428" s="31" t="s">
        <v>155</v>
      </c>
      <c r="L428" s="58" t="s">
        <v>12</v>
      </c>
      <c r="M428" s="58">
        <v>1</v>
      </c>
      <c r="N428" s="58" t="s">
        <v>152</v>
      </c>
      <c r="O428" s="59">
        <v>25</v>
      </c>
      <c r="P428" s="10">
        <v>3018</v>
      </c>
      <c r="Q428" s="43" t="s">
        <v>189</v>
      </c>
      <c r="S428" s="56"/>
      <c r="T428" s="31" t="s">
        <v>155</v>
      </c>
      <c r="U428" s="58" t="s">
        <v>12</v>
      </c>
      <c r="V428" s="58">
        <v>1</v>
      </c>
      <c r="W428" s="58" t="s">
        <v>152</v>
      </c>
      <c r="X428" s="59">
        <v>25</v>
      </c>
      <c r="Y428" s="10" t="s">
        <v>63</v>
      </c>
      <c r="Z428" t="s">
        <v>177</v>
      </c>
      <c r="AB428" s="56"/>
      <c r="AC428" s="31" t="s">
        <v>155</v>
      </c>
      <c r="AD428" s="58" t="s">
        <v>12</v>
      </c>
      <c r="AE428" s="58">
        <v>1</v>
      </c>
      <c r="AF428" s="58" t="s">
        <v>152</v>
      </c>
      <c r="AG428" s="59">
        <v>25</v>
      </c>
      <c r="AH428" s="10" t="s">
        <v>65</v>
      </c>
      <c r="AI428" s="43" t="s">
        <v>187</v>
      </c>
      <c r="AK428" s="56"/>
      <c r="AL428" s="31" t="s">
        <v>155</v>
      </c>
      <c r="AM428" s="58" t="s">
        <v>12</v>
      </c>
      <c r="AN428" s="58">
        <v>1</v>
      </c>
      <c r="AO428" s="58" t="s">
        <v>152</v>
      </c>
      <c r="AP428" s="59">
        <v>25</v>
      </c>
      <c r="AQ428" s="10">
        <v>1085</v>
      </c>
      <c r="AR428" t="s">
        <v>183</v>
      </c>
      <c r="AT428" s="56"/>
      <c r="AU428" s="31" t="s">
        <v>155</v>
      </c>
      <c r="AV428" s="58" t="s">
        <v>12</v>
      </c>
      <c r="AW428" s="58">
        <v>1</v>
      </c>
      <c r="AX428" s="58" t="s">
        <v>152</v>
      </c>
      <c r="AY428" s="59">
        <v>25</v>
      </c>
      <c r="AZ428" s="10" t="s">
        <v>67</v>
      </c>
      <c r="BA428" s="51" t="s">
        <v>168</v>
      </c>
      <c r="BC428" s="56"/>
      <c r="BD428" s="31" t="s">
        <v>155</v>
      </c>
      <c r="BE428" s="58" t="s">
        <v>12</v>
      </c>
      <c r="BF428" s="58">
        <v>1</v>
      </c>
      <c r="BG428" s="58" t="s">
        <v>152</v>
      </c>
      <c r="BH428" s="59">
        <v>25</v>
      </c>
      <c r="BI428" s="10" t="s">
        <v>69</v>
      </c>
      <c r="BJ428" t="s">
        <v>171</v>
      </c>
      <c r="BL428" s="56"/>
      <c r="BM428" s="31" t="s">
        <v>155</v>
      </c>
      <c r="BN428" s="58" t="s">
        <v>12</v>
      </c>
      <c r="BO428" s="58">
        <v>1</v>
      </c>
      <c r="BP428" s="58" t="s">
        <v>152</v>
      </c>
      <c r="BQ428" s="59">
        <v>25</v>
      </c>
      <c r="BR428" s="10">
        <v>3014</v>
      </c>
      <c r="BS428" s="43" t="s">
        <v>182</v>
      </c>
      <c r="BU428" s="56"/>
      <c r="BV428" s="31" t="s">
        <v>155</v>
      </c>
      <c r="BW428" s="58" t="s">
        <v>12</v>
      </c>
      <c r="BX428" s="58">
        <v>1</v>
      </c>
      <c r="BY428" s="58" t="s">
        <v>152</v>
      </c>
      <c r="BZ428" s="59">
        <v>25</v>
      </c>
      <c r="CA428" s="10" t="s">
        <v>94</v>
      </c>
      <c r="CB428" s="43" t="s">
        <v>160</v>
      </c>
      <c r="CD428" s="56"/>
      <c r="CE428" s="31" t="s">
        <v>155</v>
      </c>
      <c r="CF428" s="58" t="s">
        <v>12</v>
      </c>
      <c r="CG428" s="58">
        <v>1</v>
      </c>
      <c r="CH428" s="58" t="s">
        <v>152</v>
      </c>
      <c r="CI428" s="59">
        <v>25</v>
      </c>
      <c r="CJ428" s="10">
        <v>1091</v>
      </c>
      <c r="CK428" t="s">
        <v>163</v>
      </c>
    </row>
    <row r="429" spans="1:89" x14ac:dyDescent="0.25">
      <c r="A429" s="42"/>
      <c r="B429" s="34" t="s">
        <v>155</v>
      </c>
      <c r="C429" s="10" t="s">
        <v>12</v>
      </c>
      <c r="D429" s="10">
        <v>2</v>
      </c>
      <c r="E429" s="10" t="s">
        <v>152</v>
      </c>
      <c r="F429">
        <v>26</v>
      </c>
      <c r="G429" s="10">
        <v>3024</v>
      </c>
      <c r="H429" t="s">
        <v>181</v>
      </c>
      <c r="J429" s="42"/>
      <c r="K429" s="34" t="s">
        <v>155</v>
      </c>
      <c r="L429" s="10" t="s">
        <v>12</v>
      </c>
      <c r="M429" s="10">
        <v>2</v>
      </c>
      <c r="N429" s="10" t="s">
        <v>152</v>
      </c>
      <c r="O429">
        <v>26</v>
      </c>
      <c r="P429" s="10">
        <v>3017</v>
      </c>
      <c r="Q429" s="43" t="s">
        <v>160</v>
      </c>
      <c r="S429" s="42"/>
      <c r="T429" s="34" t="s">
        <v>155</v>
      </c>
      <c r="U429" s="10" t="s">
        <v>12</v>
      </c>
      <c r="V429" s="10">
        <v>2</v>
      </c>
      <c r="W429" s="10" t="s">
        <v>152</v>
      </c>
      <c r="X429">
        <v>26</v>
      </c>
      <c r="Y429" s="10" t="s">
        <v>63</v>
      </c>
      <c r="Z429" t="s">
        <v>180</v>
      </c>
      <c r="AB429" s="42"/>
      <c r="AC429" s="34" t="s">
        <v>155</v>
      </c>
      <c r="AD429" s="10" t="s">
        <v>12</v>
      </c>
      <c r="AE429" s="10">
        <v>2</v>
      </c>
      <c r="AF429" s="10" t="s">
        <v>152</v>
      </c>
      <c r="AG429">
        <v>26</v>
      </c>
      <c r="AH429" s="10" t="s">
        <v>65</v>
      </c>
      <c r="AI429" s="43" t="s">
        <v>189</v>
      </c>
      <c r="AK429" s="42"/>
      <c r="AL429" s="34" t="s">
        <v>155</v>
      </c>
      <c r="AM429" s="10" t="s">
        <v>12</v>
      </c>
      <c r="AN429" s="10">
        <v>2</v>
      </c>
      <c r="AO429" s="10" t="s">
        <v>152</v>
      </c>
      <c r="AP429">
        <v>26</v>
      </c>
      <c r="AQ429" s="10">
        <v>1085</v>
      </c>
      <c r="AR429" t="s">
        <v>186</v>
      </c>
      <c r="AT429" s="42"/>
      <c r="AU429" s="34" t="s">
        <v>155</v>
      </c>
      <c r="AV429" s="10" t="s">
        <v>12</v>
      </c>
      <c r="AW429" s="10">
        <v>2</v>
      </c>
      <c r="AX429" s="10" t="s">
        <v>152</v>
      </c>
      <c r="AY429">
        <v>26</v>
      </c>
      <c r="AZ429" s="10" t="s">
        <v>67</v>
      </c>
      <c r="BA429" s="43" t="s">
        <v>176</v>
      </c>
      <c r="BC429" s="42"/>
      <c r="BD429" s="34" t="s">
        <v>155</v>
      </c>
      <c r="BE429" s="10" t="s">
        <v>12</v>
      </c>
      <c r="BF429" s="10">
        <v>2</v>
      </c>
      <c r="BG429" s="10" t="s">
        <v>152</v>
      </c>
      <c r="BH429">
        <v>26</v>
      </c>
      <c r="BI429" s="10" t="s">
        <v>69</v>
      </c>
      <c r="BJ429" t="s">
        <v>161</v>
      </c>
      <c r="BL429" s="42"/>
      <c r="BM429" s="34" t="s">
        <v>155</v>
      </c>
      <c r="BN429" s="10" t="s">
        <v>12</v>
      </c>
      <c r="BO429" s="10">
        <v>2</v>
      </c>
      <c r="BP429" s="10" t="s">
        <v>152</v>
      </c>
      <c r="BQ429">
        <v>26</v>
      </c>
      <c r="BR429" s="10">
        <v>3014</v>
      </c>
      <c r="BS429" s="43" t="s">
        <v>184</v>
      </c>
      <c r="BU429" s="42"/>
      <c r="BV429" s="34" t="s">
        <v>155</v>
      </c>
      <c r="BW429" s="10" t="s">
        <v>12</v>
      </c>
      <c r="BX429" s="10">
        <v>2</v>
      </c>
      <c r="BY429" s="10" t="s">
        <v>152</v>
      </c>
      <c r="BZ429">
        <v>26</v>
      </c>
      <c r="CA429" s="10" t="s">
        <v>94</v>
      </c>
      <c r="CB429" s="51" t="s">
        <v>168</v>
      </c>
      <c r="CD429" s="42"/>
      <c r="CE429" s="34" t="s">
        <v>155</v>
      </c>
      <c r="CF429" s="10" t="s">
        <v>12</v>
      </c>
      <c r="CG429" s="10">
        <v>2</v>
      </c>
      <c r="CH429" s="10" t="s">
        <v>152</v>
      </c>
      <c r="CI429">
        <v>26</v>
      </c>
      <c r="CJ429" s="10">
        <v>1091</v>
      </c>
      <c r="CK429" t="s">
        <v>171</v>
      </c>
    </row>
    <row r="430" spans="1:89" x14ac:dyDescent="0.25">
      <c r="A430" s="42"/>
      <c r="B430" s="34" t="s">
        <v>155</v>
      </c>
      <c r="C430" s="10" t="s">
        <v>12</v>
      </c>
      <c r="D430" s="10">
        <v>3</v>
      </c>
      <c r="E430" s="10" t="s">
        <v>152</v>
      </c>
      <c r="F430">
        <v>27</v>
      </c>
      <c r="G430" s="10">
        <v>3024</v>
      </c>
      <c r="H430" t="s">
        <v>183</v>
      </c>
      <c r="J430" s="42"/>
      <c r="K430" s="34" t="s">
        <v>155</v>
      </c>
      <c r="L430" s="10" t="s">
        <v>12</v>
      </c>
      <c r="M430" s="10">
        <v>3</v>
      </c>
      <c r="N430" s="10" t="s">
        <v>152</v>
      </c>
      <c r="O430">
        <v>27</v>
      </c>
      <c r="P430" s="10">
        <v>3017</v>
      </c>
      <c r="Q430" s="51" t="s">
        <v>168</v>
      </c>
      <c r="S430" s="42"/>
      <c r="T430" s="34" t="s">
        <v>155</v>
      </c>
      <c r="U430" s="10" t="s">
        <v>12</v>
      </c>
      <c r="V430" s="10">
        <v>3</v>
      </c>
      <c r="W430" s="10" t="s">
        <v>152</v>
      </c>
      <c r="X430">
        <v>27</v>
      </c>
      <c r="Y430" s="10" t="s">
        <v>63</v>
      </c>
      <c r="Z430" t="s">
        <v>181</v>
      </c>
      <c r="AB430" s="42"/>
      <c r="AC430" s="34" t="s">
        <v>155</v>
      </c>
      <c r="AD430" s="10" t="s">
        <v>12</v>
      </c>
      <c r="AE430" s="10">
        <v>3</v>
      </c>
      <c r="AF430" s="10" t="s">
        <v>152</v>
      </c>
      <c r="AG430">
        <v>27</v>
      </c>
      <c r="AH430" s="10" t="s">
        <v>81</v>
      </c>
      <c r="AI430" s="43" t="s">
        <v>160</v>
      </c>
      <c r="AK430" s="42"/>
      <c r="AL430" s="34" t="s">
        <v>155</v>
      </c>
      <c r="AM430" s="10" t="s">
        <v>12</v>
      </c>
      <c r="AN430" s="10">
        <v>3</v>
      </c>
      <c r="AO430" s="10" t="s">
        <v>152</v>
      </c>
      <c r="AP430">
        <v>27</v>
      </c>
      <c r="AQ430" s="10">
        <v>1085</v>
      </c>
      <c r="AR430" s="43" t="s">
        <v>188</v>
      </c>
      <c r="AT430" s="42"/>
      <c r="AU430" s="34" t="s">
        <v>155</v>
      </c>
      <c r="AV430" s="10" t="s">
        <v>12</v>
      </c>
      <c r="AW430" s="10">
        <v>3</v>
      </c>
      <c r="AX430" s="10" t="s">
        <v>152</v>
      </c>
      <c r="AY430">
        <v>27</v>
      </c>
      <c r="AZ430" s="10" t="s">
        <v>67</v>
      </c>
      <c r="BA430" s="43" t="s">
        <v>164</v>
      </c>
      <c r="BC430" s="42"/>
      <c r="BD430" s="34" t="s">
        <v>155</v>
      </c>
      <c r="BE430" s="10" t="s">
        <v>12</v>
      </c>
      <c r="BF430" s="10">
        <v>3</v>
      </c>
      <c r="BG430" s="10" t="s">
        <v>152</v>
      </c>
      <c r="BH430">
        <v>27</v>
      </c>
      <c r="BI430" s="10" t="s">
        <v>69</v>
      </c>
      <c r="BJ430" t="s">
        <v>169</v>
      </c>
      <c r="BL430" s="42"/>
      <c r="BM430" s="34" t="s">
        <v>155</v>
      </c>
      <c r="BN430" s="10" t="s">
        <v>12</v>
      </c>
      <c r="BO430" s="10">
        <v>3</v>
      </c>
      <c r="BP430" s="10" t="s">
        <v>152</v>
      </c>
      <c r="BQ430">
        <v>27</v>
      </c>
      <c r="BR430" s="10">
        <v>3014</v>
      </c>
      <c r="BS430" s="43" t="s">
        <v>187</v>
      </c>
      <c r="BU430" s="42"/>
      <c r="BV430" s="34" t="s">
        <v>155</v>
      </c>
      <c r="BW430" s="10" t="s">
        <v>12</v>
      </c>
      <c r="BX430" s="10">
        <v>3</v>
      </c>
      <c r="BY430" s="10" t="s">
        <v>152</v>
      </c>
      <c r="BZ430">
        <v>27</v>
      </c>
      <c r="CA430" s="10" t="s">
        <v>94</v>
      </c>
      <c r="CB430" s="43" t="s">
        <v>176</v>
      </c>
      <c r="CD430" s="42"/>
      <c r="CE430" s="34" t="s">
        <v>155</v>
      </c>
      <c r="CF430" s="10" t="s">
        <v>12</v>
      </c>
      <c r="CG430" s="10">
        <v>3</v>
      </c>
      <c r="CH430" s="10" t="s">
        <v>152</v>
      </c>
      <c r="CI430">
        <v>27</v>
      </c>
      <c r="CJ430" s="10">
        <v>1091</v>
      </c>
      <c r="CK430" t="s">
        <v>161</v>
      </c>
    </row>
    <row r="431" spans="1:89" x14ac:dyDescent="0.25">
      <c r="A431" s="42"/>
      <c r="B431" s="34" t="s">
        <v>155</v>
      </c>
      <c r="C431" s="10" t="s">
        <v>12</v>
      </c>
      <c r="D431" s="10">
        <v>4</v>
      </c>
      <c r="E431" s="10" t="s">
        <v>152</v>
      </c>
      <c r="F431">
        <v>28</v>
      </c>
      <c r="G431" s="10">
        <v>3024</v>
      </c>
      <c r="H431" t="s">
        <v>186</v>
      </c>
      <c r="J431" s="42"/>
      <c r="K431" s="34" t="s">
        <v>155</v>
      </c>
      <c r="L431" s="10" t="s">
        <v>12</v>
      </c>
      <c r="M431" s="10">
        <v>4</v>
      </c>
      <c r="N431" s="10" t="s">
        <v>152</v>
      </c>
      <c r="O431">
        <v>28</v>
      </c>
      <c r="P431" s="10">
        <v>3017</v>
      </c>
      <c r="Q431" s="43" t="s">
        <v>176</v>
      </c>
      <c r="S431" s="42"/>
      <c r="T431" s="34" t="s">
        <v>155</v>
      </c>
      <c r="U431" s="10" t="s">
        <v>12</v>
      </c>
      <c r="V431" s="10">
        <v>4</v>
      </c>
      <c r="W431" s="10" t="s">
        <v>152</v>
      </c>
      <c r="X431">
        <v>28</v>
      </c>
      <c r="Y431" s="10" t="s">
        <v>63</v>
      </c>
      <c r="Z431" t="s">
        <v>183</v>
      </c>
      <c r="AB431" s="42"/>
      <c r="AC431" s="34" t="s">
        <v>155</v>
      </c>
      <c r="AD431" s="10" t="s">
        <v>12</v>
      </c>
      <c r="AE431" s="10">
        <v>4</v>
      </c>
      <c r="AF431" s="10" t="s">
        <v>152</v>
      </c>
      <c r="AG431">
        <v>28</v>
      </c>
      <c r="AH431" s="10" t="s">
        <v>81</v>
      </c>
      <c r="AI431" s="51" t="s">
        <v>168</v>
      </c>
      <c r="AK431" s="42"/>
      <c r="AL431" s="34" t="s">
        <v>155</v>
      </c>
      <c r="AM431" s="10" t="s">
        <v>12</v>
      </c>
      <c r="AN431" s="10">
        <v>4</v>
      </c>
      <c r="AO431" s="10" t="s">
        <v>152</v>
      </c>
      <c r="AP431">
        <v>28</v>
      </c>
      <c r="AQ431" s="10">
        <v>1085</v>
      </c>
      <c r="AR431" s="43" t="s">
        <v>182</v>
      </c>
      <c r="AT431" s="42"/>
      <c r="AU431" s="34" t="s">
        <v>155</v>
      </c>
      <c r="AV431" s="10" t="s">
        <v>12</v>
      </c>
      <c r="AW431" s="10">
        <v>4</v>
      </c>
      <c r="AX431" s="10" t="s">
        <v>152</v>
      </c>
      <c r="AY431">
        <v>28</v>
      </c>
      <c r="AZ431" s="10" t="s">
        <v>67</v>
      </c>
      <c r="BA431" t="s">
        <v>172</v>
      </c>
      <c r="BC431" s="42"/>
      <c r="BD431" s="34" t="s">
        <v>155</v>
      </c>
      <c r="BE431" s="10" t="s">
        <v>12</v>
      </c>
      <c r="BF431" s="10">
        <v>4</v>
      </c>
      <c r="BG431" s="10" t="s">
        <v>152</v>
      </c>
      <c r="BH431">
        <v>28</v>
      </c>
      <c r="BI431" s="10" t="s">
        <v>69</v>
      </c>
      <c r="BJ431" t="s">
        <v>177</v>
      </c>
      <c r="BL431" s="42"/>
      <c r="BM431" s="34" t="s">
        <v>155</v>
      </c>
      <c r="BN431" s="10" t="s">
        <v>12</v>
      </c>
      <c r="BO431" s="10">
        <v>4</v>
      </c>
      <c r="BP431" s="10" t="s">
        <v>152</v>
      </c>
      <c r="BQ431">
        <v>28</v>
      </c>
      <c r="BR431" s="10">
        <v>3014</v>
      </c>
      <c r="BS431" s="43" t="s">
        <v>189</v>
      </c>
      <c r="BU431" s="42"/>
      <c r="BV431" s="34" t="s">
        <v>155</v>
      </c>
      <c r="BW431" s="10" t="s">
        <v>12</v>
      </c>
      <c r="BX431" s="10">
        <v>4</v>
      </c>
      <c r="BY431" s="10" t="s">
        <v>152</v>
      </c>
      <c r="BZ431">
        <v>28</v>
      </c>
      <c r="CA431" s="10" t="s">
        <v>94</v>
      </c>
      <c r="CB431" s="43" t="s">
        <v>164</v>
      </c>
      <c r="CD431" s="42"/>
      <c r="CE431" s="34" t="s">
        <v>155</v>
      </c>
      <c r="CF431" s="10" t="s">
        <v>12</v>
      </c>
      <c r="CG431" s="10">
        <v>4</v>
      </c>
      <c r="CH431" s="10" t="s">
        <v>152</v>
      </c>
      <c r="CI431">
        <v>28</v>
      </c>
      <c r="CJ431" s="10">
        <v>1091</v>
      </c>
      <c r="CK431" t="s">
        <v>169</v>
      </c>
    </row>
    <row r="432" spans="1:89" x14ac:dyDescent="0.25">
      <c r="A432" s="42"/>
      <c r="B432" s="34" t="s">
        <v>155</v>
      </c>
      <c r="C432" s="10" t="s">
        <v>12</v>
      </c>
      <c r="D432" s="10">
        <v>5</v>
      </c>
      <c r="E432" s="10" t="s">
        <v>152</v>
      </c>
      <c r="F432">
        <v>29</v>
      </c>
      <c r="G432" s="10">
        <v>3024</v>
      </c>
      <c r="H432" s="43" t="s">
        <v>188</v>
      </c>
      <c r="J432" s="42"/>
      <c r="K432" s="34" t="s">
        <v>155</v>
      </c>
      <c r="L432" s="10" t="s">
        <v>12</v>
      </c>
      <c r="M432" s="10">
        <v>5</v>
      </c>
      <c r="N432" s="10" t="s">
        <v>152</v>
      </c>
      <c r="O432">
        <v>29</v>
      </c>
      <c r="P432" s="10">
        <v>3017</v>
      </c>
      <c r="Q432" s="43" t="s">
        <v>164</v>
      </c>
      <c r="S432" s="42"/>
      <c r="T432" s="34" t="s">
        <v>155</v>
      </c>
      <c r="U432" s="10" t="s">
        <v>12</v>
      </c>
      <c r="V432" s="10">
        <v>5</v>
      </c>
      <c r="W432" s="10" t="s">
        <v>152</v>
      </c>
      <c r="X432">
        <v>29</v>
      </c>
      <c r="Y432" s="10" t="s">
        <v>63</v>
      </c>
      <c r="Z432" t="s">
        <v>186</v>
      </c>
      <c r="AB432" s="42"/>
      <c r="AC432" s="34" t="s">
        <v>155</v>
      </c>
      <c r="AD432" s="10" t="s">
        <v>12</v>
      </c>
      <c r="AE432" s="10">
        <v>5</v>
      </c>
      <c r="AF432" s="10" t="s">
        <v>152</v>
      </c>
      <c r="AG432">
        <v>29</v>
      </c>
      <c r="AH432" s="10" t="s">
        <v>81</v>
      </c>
      <c r="AI432" s="43" t="s">
        <v>176</v>
      </c>
      <c r="AK432" s="42"/>
      <c r="AL432" s="34" t="s">
        <v>155</v>
      </c>
      <c r="AM432" s="10" t="s">
        <v>12</v>
      </c>
      <c r="AN432" s="10">
        <v>5</v>
      </c>
      <c r="AO432" s="10" t="s">
        <v>152</v>
      </c>
      <c r="AP432">
        <v>29</v>
      </c>
      <c r="AQ432" s="10">
        <v>1085</v>
      </c>
      <c r="AR432" s="43" t="s">
        <v>184</v>
      </c>
      <c r="AT432" s="42"/>
      <c r="AU432" s="34" t="s">
        <v>155</v>
      </c>
      <c r="AV432" s="10" t="s">
        <v>12</v>
      </c>
      <c r="AW432" s="10">
        <v>5</v>
      </c>
      <c r="AX432" s="10" t="s">
        <v>152</v>
      </c>
      <c r="AY432">
        <v>29</v>
      </c>
      <c r="AZ432" s="10" t="s">
        <v>67</v>
      </c>
      <c r="BA432" t="s">
        <v>162</v>
      </c>
      <c r="BC432" s="42"/>
      <c r="BD432" s="34" t="s">
        <v>155</v>
      </c>
      <c r="BE432" s="10" t="s">
        <v>12</v>
      </c>
      <c r="BF432" s="10">
        <v>5</v>
      </c>
      <c r="BG432" s="10" t="s">
        <v>152</v>
      </c>
      <c r="BH432">
        <v>29</v>
      </c>
      <c r="BI432" s="10" t="s">
        <v>69</v>
      </c>
      <c r="BJ432" t="s">
        <v>180</v>
      </c>
      <c r="BL432" s="42"/>
      <c r="BM432" s="34" t="s">
        <v>155</v>
      </c>
      <c r="BN432" s="10" t="s">
        <v>12</v>
      </c>
      <c r="BO432" s="10">
        <v>5</v>
      </c>
      <c r="BP432" s="10" t="s">
        <v>152</v>
      </c>
      <c r="BQ432">
        <v>29</v>
      </c>
      <c r="BR432" s="10">
        <v>1089</v>
      </c>
      <c r="BS432" s="43" t="s">
        <v>182</v>
      </c>
      <c r="BU432" s="42"/>
      <c r="BV432" s="34" t="s">
        <v>155</v>
      </c>
      <c r="BW432" s="10" t="s">
        <v>12</v>
      </c>
      <c r="BX432" s="10">
        <v>5</v>
      </c>
      <c r="BY432" s="10" t="s">
        <v>152</v>
      </c>
      <c r="BZ432">
        <v>29</v>
      </c>
      <c r="CA432" s="10" t="s">
        <v>94</v>
      </c>
      <c r="CB432" t="s">
        <v>172</v>
      </c>
      <c r="CD432" s="42"/>
      <c r="CE432" s="34" t="s">
        <v>155</v>
      </c>
      <c r="CF432" s="10" t="s">
        <v>12</v>
      </c>
      <c r="CG432" s="10">
        <v>5</v>
      </c>
      <c r="CH432" s="10" t="s">
        <v>152</v>
      </c>
      <c r="CI432">
        <v>29</v>
      </c>
      <c r="CJ432" s="10">
        <v>1091</v>
      </c>
      <c r="CK432" t="s">
        <v>177</v>
      </c>
    </row>
    <row r="433" spans="1:89" x14ac:dyDescent="0.25">
      <c r="A433" s="42"/>
      <c r="B433" s="34" t="s">
        <v>155</v>
      </c>
      <c r="C433" s="10" t="s">
        <v>12</v>
      </c>
      <c r="D433" s="10">
        <v>6</v>
      </c>
      <c r="E433" s="10" t="s">
        <v>152</v>
      </c>
      <c r="F433">
        <v>30</v>
      </c>
      <c r="G433" s="10">
        <v>3024</v>
      </c>
      <c r="H433" s="43" t="s">
        <v>182</v>
      </c>
      <c r="J433" s="42"/>
      <c r="K433" s="34" t="s">
        <v>155</v>
      </c>
      <c r="L433" s="10" t="s">
        <v>12</v>
      </c>
      <c r="M433" s="10">
        <v>6</v>
      </c>
      <c r="N433" s="10" t="s">
        <v>152</v>
      </c>
      <c r="O433">
        <v>30</v>
      </c>
      <c r="P433" s="10">
        <v>3017</v>
      </c>
      <c r="Q433" t="s">
        <v>172</v>
      </c>
      <c r="S433" s="42"/>
      <c r="T433" s="34" t="s">
        <v>155</v>
      </c>
      <c r="U433" s="10" t="s">
        <v>12</v>
      </c>
      <c r="V433" s="10">
        <v>6</v>
      </c>
      <c r="W433" s="10" t="s">
        <v>152</v>
      </c>
      <c r="X433">
        <v>30</v>
      </c>
      <c r="Y433" s="10" t="s">
        <v>63</v>
      </c>
      <c r="Z433" s="43" t="s">
        <v>188</v>
      </c>
      <c r="AB433" s="42"/>
      <c r="AC433" s="34" t="s">
        <v>155</v>
      </c>
      <c r="AD433" s="10" t="s">
        <v>12</v>
      </c>
      <c r="AE433" s="10">
        <v>6</v>
      </c>
      <c r="AF433" s="10" t="s">
        <v>152</v>
      </c>
      <c r="AG433">
        <v>30</v>
      </c>
      <c r="AH433" s="10" t="s">
        <v>81</v>
      </c>
      <c r="AI433" s="43" t="s">
        <v>164</v>
      </c>
      <c r="AK433" s="42"/>
      <c r="AL433" s="34" t="s">
        <v>155</v>
      </c>
      <c r="AM433" s="10" t="s">
        <v>12</v>
      </c>
      <c r="AN433" s="10">
        <v>6</v>
      </c>
      <c r="AO433" s="10" t="s">
        <v>152</v>
      </c>
      <c r="AP433">
        <v>30</v>
      </c>
      <c r="AQ433" s="10">
        <v>1085</v>
      </c>
      <c r="AR433" s="43" t="s">
        <v>187</v>
      </c>
      <c r="AT433" s="42"/>
      <c r="AU433" s="34" t="s">
        <v>155</v>
      </c>
      <c r="AV433" s="10" t="s">
        <v>12</v>
      </c>
      <c r="AW433" s="10">
        <v>6</v>
      </c>
      <c r="AX433" s="10" t="s">
        <v>152</v>
      </c>
      <c r="AY433">
        <v>30</v>
      </c>
      <c r="AZ433" s="10" t="s">
        <v>67</v>
      </c>
      <c r="BA433" t="s">
        <v>170</v>
      </c>
      <c r="BC433" s="42"/>
      <c r="BD433" s="34" t="s">
        <v>155</v>
      </c>
      <c r="BE433" s="10" t="s">
        <v>12</v>
      </c>
      <c r="BF433" s="10">
        <v>6</v>
      </c>
      <c r="BG433" s="10" t="s">
        <v>152</v>
      </c>
      <c r="BH433">
        <v>30</v>
      </c>
      <c r="BI433" s="10" t="s">
        <v>69</v>
      </c>
      <c r="BJ433" t="s">
        <v>181</v>
      </c>
      <c r="BL433" s="42"/>
      <c r="BM433" s="34" t="s">
        <v>155</v>
      </c>
      <c r="BN433" s="10" t="s">
        <v>12</v>
      </c>
      <c r="BO433" s="10">
        <v>6</v>
      </c>
      <c r="BP433" s="10" t="s">
        <v>152</v>
      </c>
      <c r="BQ433">
        <v>30</v>
      </c>
      <c r="BR433" s="10">
        <v>1089</v>
      </c>
      <c r="BS433" s="43" t="s">
        <v>184</v>
      </c>
      <c r="BU433" s="42"/>
      <c r="BV433" s="34" t="s">
        <v>155</v>
      </c>
      <c r="BW433" s="10" t="s">
        <v>12</v>
      </c>
      <c r="BX433" s="10">
        <v>6</v>
      </c>
      <c r="BY433" s="10" t="s">
        <v>152</v>
      </c>
      <c r="BZ433">
        <v>30</v>
      </c>
      <c r="CA433" s="10" t="s">
        <v>94</v>
      </c>
      <c r="CB433" t="s">
        <v>162</v>
      </c>
      <c r="CD433" s="42"/>
      <c r="CE433" s="34" t="s">
        <v>155</v>
      </c>
      <c r="CF433" s="10" t="s">
        <v>12</v>
      </c>
      <c r="CG433" s="10">
        <v>6</v>
      </c>
      <c r="CH433" s="10" t="s">
        <v>152</v>
      </c>
      <c r="CI433">
        <v>30</v>
      </c>
      <c r="CJ433" s="10">
        <v>1091</v>
      </c>
      <c r="CK433" t="s">
        <v>180</v>
      </c>
    </row>
    <row r="434" spans="1:89" x14ac:dyDescent="0.25">
      <c r="A434" s="42"/>
      <c r="B434" s="34" t="s">
        <v>155</v>
      </c>
      <c r="C434" s="10" t="s">
        <v>12</v>
      </c>
      <c r="D434" s="10">
        <v>7</v>
      </c>
      <c r="E434" s="10" t="s">
        <v>152</v>
      </c>
      <c r="F434">
        <v>31</v>
      </c>
      <c r="G434" s="10">
        <v>3024</v>
      </c>
      <c r="H434" s="43" t="s">
        <v>184</v>
      </c>
      <c r="J434" s="42"/>
      <c r="K434" s="34" t="s">
        <v>155</v>
      </c>
      <c r="L434" s="10" t="s">
        <v>12</v>
      </c>
      <c r="M434" s="10">
        <v>7</v>
      </c>
      <c r="N434" s="10" t="s">
        <v>152</v>
      </c>
      <c r="O434">
        <v>31</v>
      </c>
      <c r="P434" s="10">
        <v>3017</v>
      </c>
      <c r="Q434" t="s">
        <v>162</v>
      </c>
      <c r="S434" s="42"/>
      <c r="T434" s="34" t="s">
        <v>155</v>
      </c>
      <c r="U434" s="10" t="s">
        <v>12</v>
      </c>
      <c r="V434" s="10">
        <v>7</v>
      </c>
      <c r="W434" s="10" t="s">
        <v>152</v>
      </c>
      <c r="X434">
        <v>31</v>
      </c>
      <c r="Y434" s="10" t="s">
        <v>63</v>
      </c>
      <c r="Z434" s="43" t="s">
        <v>182</v>
      </c>
      <c r="AB434" s="42"/>
      <c r="AC434" s="34" t="s">
        <v>155</v>
      </c>
      <c r="AD434" s="10" t="s">
        <v>12</v>
      </c>
      <c r="AE434" s="10">
        <v>7</v>
      </c>
      <c r="AF434" s="10" t="s">
        <v>152</v>
      </c>
      <c r="AG434">
        <v>31</v>
      </c>
      <c r="AH434" s="10" t="s">
        <v>81</v>
      </c>
      <c r="AI434" t="s">
        <v>172</v>
      </c>
      <c r="AK434" s="42"/>
      <c r="AL434" s="34" t="s">
        <v>155</v>
      </c>
      <c r="AM434" s="10" t="s">
        <v>12</v>
      </c>
      <c r="AN434" s="10">
        <v>7</v>
      </c>
      <c r="AO434" s="10" t="s">
        <v>152</v>
      </c>
      <c r="AP434">
        <v>31</v>
      </c>
      <c r="AQ434" s="10">
        <v>1085</v>
      </c>
      <c r="AR434" s="43" t="s">
        <v>189</v>
      </c>
      <c r="AT434" s="42"/>
      <c r="AU434" s="34" t="s">
        <v>155</v>
      </c>
      <c r="AV434" s="10" t="s">
        <v>12</v>
      </c>
      <c r="AW434" s="10">
        <v>7</v>
      </c>
      <c r="AX434" s="10" t="s">
        <v>152</v>
      </c>
      <c r="AY434">
        <v>31</v>
      </c>
      <c r="AZ434" s="10" t="s">
        <v>67</v>
      </c>
      <c r="BA434" t="s">
        <v>178</v>
      </c>
      <c r="BC434" s="42"/>
      <c r="BD434" s="34" t="s">
        <v>155</v>
      </c>
      <c r="BE434" s="10" t="s">
        <v>12</v>
      </c>
      <c r="BF434" s="10">
        <v>7</v>
      </c>
      <c r="BG434" s="10" t="s">
        <v>152</v>
      </c>
      <c r="BH434">
        <v>31</v>
      </c>
      <c r="BI434" s="10" t="s">
        <v>69</v>
      </c>
      <c r="BJ434" t="s">
        <v>183</v>
      </c>
      <c r="BL434" s="42"/>
      <c r="BM434" s="34" t="s">
        <v>155</v>
      </c>
      <c r="BN434" s="10" t="s">
        <v>12</v>
      </c>
      <c r="BO434" s="10">
        <v>7</v>
      </c>
      <c r="BP434" s="10" t="s">
        <v>152</v>
      </c>
      <c r="BQ434">
        <v>31</v>
      </c>
      <c r="BR434" s="10">
        <v>1089</v>
      </c>
      <c r="BS434" s="43" t="s">
        <v>187</v>
      </c>
      <c r="BU434" s="42"/>
      <c r="BV434" s="34" t="s">
        <v>155</v>
      </c>
      <c r="BW434" s="10" t="s">
        <v>12</v>
      </c>
      <c r="BX434" s="10">
        <v>7</v>
      </c>
      <c r="BY434" s="10" t="s">
        <v>152</v>
      </c>
      <c r="BZ434">
        <v>31</v>
      </c>
      <c r="CA434" s="10" t="s">
        <v>94</v>
      </c>
      <c r="CB434" t="s">
        <v>170</v>
      </c>
      <c r="CD434" s="42"/>
      <c r="CE434" s="34" t="s">
        <v>155</v>
      </c>
      <c r="CF434" s="10" t="s">
        <v>12</v>
      </c>
      <c r="CG434" s="10">
        <v>7</v>
      </c>
      <c r="CH434" s="10" t="s">
        <v>152</v>
      </c>
      <c r="CI434">
        <v>31</v>
      </c>
      <c r="CJ434" s="10">
        <v>1091</v>
      </c>
      <c r="CK434" t="s">
        <v>181</v>
      </c>
    </row>
    <row r="435" spans="1:89" x14ac:dyDescent="0.25">
      <c r="A435" s="42"/>
      <c r="B435" s="34" t="s">
        <v>155</v>
      </c>
      <c r="C435" s="10" t="s">
        <v>12</v>
      </c>
      <c r="D435" s="10">
        <v>8</v>
      </c>
      <c r="E435" s="10" t="s">
        <v>152</v>
      </c>
      <c r="F435">
        <v>32</v>
      </c>
      <c r="G435" s="10">
        <v>3024</v>
      </c>
      <c r="H435" s="43" t="s">
        <v>187</v>
      </c>
      <c r="J435" s="42"/>
      <c r="K435" s="34" t="s">
        <v>155</v>
      </c>
      <c r="L435" s="10" t="s">
        <v>12</v>
      </c>
      <c r="M435" s="10">
        <v>8</v>
      </c>
      <c r="N435" s="10" t="s">
        <v>152</v>
      </c>
      <c r="O435">
        <v>32</v>
      </c>
      <c r="P435" s="10">
        <v>3017</v>
      </c>
      <c r="Q435" t="s">
        <v>170</v>
      </c>
      <c r="S435" s="42"/>
      <c r="T435" s="34" t="s">
        <v>155</v>
      </c>
      <c r="U435" s="10" t="s">
        <v>12</v>
      </c>
      <c r="V435" s="10">
        <v>8</v>
      </c>
      <c r="W435" s="10" t="s">
        <v>152</v>
      </c>
      <c r="X435">
        <v>32</v>
      </c>
      <c r="Y435" s="10" t="s">
        <v>63</v>
      </c>
      <c r="Z435" s="43" t="s">
        <v>184</v>
      </c>
      <c r="AB435" s="42"/>
      <c r="AC435" s="34" t="s">
        <v>155</v>
      </c>
      <c r="AD435" s="10" t="s">
        <v>12</v>
      </c>
      <c r="AE435" s="10">
        <v>8</v>
      </c>
      <c r="AF435" s="10" t="s">
        <v>152</v>
      </c>
      <c r="AG435">
        <v>32</v>
      </c>
      <c r="AH435" s="10" t="s">
        <v>81</v>
      </c>
      <c r="AI435" t="s">
        <v>162</v>
      </c>
      <c r="AK435" s="42"/>
      <c r="AL435" s="34" t="s">
        <v>155</v>
      </c>
      <c r="AM435" s="10" t="s">
        <v>12</v>
      </c>
      <c r="AN435" s="10">
        <v>8</v>
      </c>
      <c r="AO435" s="10" t="s">
        <v>152</v>
      </c>
      <c r="AP435">
        <v>32</v>
      </c>
      <c r="AQ435" s="10" t="s">
        <v>66</v>
      </c>
      <c r="AR435" s="43" t="s">
        <v>160</v>
      </c>
      <c r="AT435" s="42"/>
      <c r="AU435" s="34" t="s">
        <v>155</v>
      </c>
      <c r="AV435" s="10" t="s">
        <v>12</v>
      </c>
      <c r="AW435" s="10">
        <v>8</v>
      </c>
      <c r="AX435" s="10" t="s">
        <v>152</v>
      </c>
      <c r="AY435">
        <v>32</v>
      </c>
      <c r="AZ435" s="10" t="s">
        <v>67</v>
      </c>
      <c r="BA435" t="s">
        <v>163</v>
      </c>
      <c r="BC435" s="42"/>
      <c r="BD435" s="34" t="s">
        <v>155</v>
      </c>
      <c r="BE435" s="10" t="s">
        <v>12</v>
      </c>
      <c r="BF435" s="10">
        <v>8</v>
      </c>
      <c r="BG435" s="10" t="s">
        <v>152</v>
      </c>
      <c r="BH435">
        <v>32</v>
      </c>
      <c r="BI435" s="10" t="s">
        <v>69</v>
      </c>
      <c r="BJ435" t="s">
        <v>186</v>
      </c>
      <c r="BL435" s="42"/>
      <c r="BM435" s="34" t="s">
        <v>155</v>
      </c>
      <c r="BN435" s="10" t="s">
        <v>12</v>
      </c>
      <c r="BO435" s="10">
        <v>8</v>
      </c>
      <c r="BP435" s="10" t="s">
        <v>152</v>
      </c>
      <c r="BQ435">
        <v>32</v>
      </c>
      <c r="BR435" s="10">
        <v>1089</v>
      </c>
      <c r="BS435" s="43" t="s">
        <v>189</v>
      </c>
      <c r="BU435" s="42"/>
      <c r="BV435" s="34" t="s">
        <v>155</v>
      </c>
      <c r="BW435" s="10" t="s">
        <v>12</v>
      </c>
      <c r="BX435" s="10">
        <v>8</v>
      </c>
      <c r="BY435" s="10" t="s">
        <v>152</v>
      </c>
      <c r="BZ435">
        <v>32</v>
      </c>
      <c r="CA435" s="10" t="s">
        <v>94</v>
      </c>
      <c r="CB435" t="s">
        <v>178</v>
      </c>
      <c r="CD435" s="42"/>
      <c r="CE435" s="34" t="s">
        <v>155</v>
      </c>
      <c r="CF435" s="10" t="s">
        <v>12</v>
      </c>
      <c r="CG435" s="10">
        <v>8</v>
      </c>
      <c r="CH435" s="10" t="s">
        <v>152</v>
      </c>
      <c r="CI435">
        <v>32</v>
      </c>
      <c r="CJ435" s="10">
        <v>1091</v>
      </c>
      <c r="CK435" t="s">
        <v>183</v>
      </c>
    </row>
    <row r="436" spans="1:89" x14ac:dyDescent="0.25">
      <c r="A436" s="42"/>
      <c r="B436" s="34" t="s">
        <v>155</v>
      </c>
      <c r="C436" s="10" t="s">
        <v>12</v>
      </c>
      <c r="D436" s="10">
        <v>9</v>
      </c>
      <c r="E436" s="10" t="s">
        <v>152</v>
      </c>
      <c r="F436">
        <v>33</v>
      </c>
      <c r="G436" s="10">
        <v>3024</v>
      </c>
      <c r="H436" s="43" t="s">
        <v>189</v>
      </c>
      <c r="J436" s="42"/>
      <c r="K436" s="34" t="s">
        <v>155</v>
      </c>
      <c r="L436" s="10" t="s">
        <v>12</v>
      </c>
      <c r="M436" s="10">
        <v>9</v>
      </c>
      <c r="N436" s="10" t="s">
        <v>152</v>
      </c>
      <c r="O436">
        <v>33</v>
      </c>
      <c r="P436" s="10">
        <v>3017</v>
      </c>
      <c r="Q436" t="s">
        <v>178</v>
      </c>
      <c r="S436" s="42"/>
      <c r="T436" s="34" t="s">
        <v>155</v>
      </c>
      <c r="U436" s="10" t="s">
        <v>12</v>
      </c>
      <c r="V436" s="10">
        <v>9</v>
      </c>
      <c r="W436" s="10" t="s">
        <v>152</v>
      </c>
      <c r="X436">
        <v>33</v>
      </c>
      <c r="Y436" s="10" t="s">
        <v>63</v>
      </c>
      <c r="Z436" s="43" t="s">
        <v>187</v>
      </c>
      <c r="AB436" s="42"/>
      <c r="AC436" s="34" t="s">
        <v>155</v>
      </c>
      <c r="AD436" s="10" t="s">
        <v>12</v>
      </c>
      <c r="AE436" s="10">
        <v>9</v>
      </c>
      <c r="AF436" s="10" t="s">
        <v>152</v>
      </c>
      <c r="AG436">
        <v>33</v>
      </c>
      <c r="AH436" s="10" t="s">
        <v>81</v>
      </c>
      <c r="AI436" t="s">
        <v>170</v>
      </c>
      <c r="AK436" s="42"/>
      <c r="AL436" s="34" t="s">
        <v>155</v>
      </c>
      <c r="AM436" s="10" t="s">
        <v>12</v>
      </c>
      <c r="AN436" s="10">
        <v>9</v>
      </c>
      <c r="AO436" s="10" t="s">
        <v>152</v>
      </c>
      <c r="AP436">
        <v>33</v>
      </c>
      <c r="AQ436" s="10" t="s">
        <v>66</v>
      </c>
      <c r="AR436" s="51" t="s">
        <v>168</v>
      </c>
      <c r="AT436" s="42"/>
      <c r="AU436" s="34" t="s">
        <v>155</v>
      </c>
      <c r="AV436" s="10" t="s">
        <v>12</v>
      </c>
      <c r="AW436" s="10">
        <v>9</v>
      </c>
      <c r="AX436" s="10" t="s">
        <v>152</v>
      </c>
      <c r="AY436">
        <v>33</v>
      </c>
      <c r="AZ436" s="10" t="s">
        <v>67</v>
      </c>
      <c r="BA436" t="s">
        <v>171</v>
      </c>
      <c r="BC436" s="42"/>
      <c r="BD436" s="34" t="s">
        <v>155</v>
      </c>
      <c r="BE436" s="10" t="s">
        <v>12</v>
      </c>
      <c r="BF436" s="10">
        <v>9</v>
      </c>
      <c r="BG436" s="10" t="s">
        <v>152</v>
      </c>
      <c r="BH436">
        <v>33</v>
      </c>
      <c r="BI436" s="10" t="s">
        <v>69</v>
      </c>
      <c r="BJ436" s="43" t="s">
        <v>188</v>
      </c>
      <c r="BL436" s="42"/>
      <c r="BM436" s="34" t="s">
        <v>155</v>
      </c>
      <c r="BN436" s="10" t="s">
        <v>12</v>
      </c>
      <c r="BO436" s="10">
        <v>9</v>
      </c>
      <c r="BP436" s="10" t="s">
        <v>152</v>
      </c>
      <c r="BQ436">
        <v>33</v>
      </c>
      <c r="BR436" s="10">
        <v>1088</v>
      </c>
      <c r="BS436" s="43" t="s">
        <v>160</v>
      </c>
      <c r="BU436" s="42"/>
      <c r="BV436" s="34" t="s">
        <v>155</v>
      </c>
      <c r="BW436" s="10" t="s">
        <v>12</v>
      </c>
      <c r="BX436" s="10">
        <v>9</v>
      </c>
      <c r="BY436" s="10" t="s">
        <v>152</v>
      </c>
      <c r="BZ436">
        <v>33</v>
      </c>
      <c r="CA436" s="10" t="s">
        <v>94</v>
      </c>
      <c r="CB436" t="s">
        <v>163</v>
      </c>
      <c r="CD436" s="42"/>
      <c r="CE436" s="34" t="s">
        <v>155</v>
      </c>
      <c r="CF436" s="10" t="s">
        <v>12</v>
      </c>
      <c r="CG436" s="10">
        <v>9</v>
      </c>
      <c r="CH436" s="10" t="s">
        <v>152</v>
      </c>
      <c r="CI436">
        <v>33</v>
      </c>
      <c r="CJ436" s="10">
        <v>1091</v>
      </c>
      <c r="CK436" t="s">
        <v>186</v>
      </c>
    </row>
    <row r="437" spans="1:89" x14ac:dyDescent="0.25">
      <c r="A437" s="42"/>
      <c r="B437" s="34" t="s">
        <v>155</v>
      </c>
      <c r="C437" s="10" t="s">
        <v>12</v>
      </c>
      <c r="D437" s="10">
        <v>10</v>
      </c>
      <c r="E437" s="10" t="s">
        <v>152</v>
      </c>
      <c r="F437">
        <v>34</v>
      </c>
      <c r="G437" s="10">
        <v>3023</v>
      </c>
      <c r="H437" s="43" t="s">
        <v>160</v>
      </c>
      <c r="J437" s="42"/>
      <c r="K437" s="34" t="s">
        <v>155</v>
      </c>
      <c r="L437" s="10" t="s">
        <v>12</v>
      </c>
      <c r="M437" s="10">
        <v>10</v>
      </c>
      <c r="N437" s="10" t="s">
        <v>152</v>
      </c>
      <c r="O437">
        <v>34</v>
      </c>
      <c r="P437" s="10">
        <v>3017</v>
      </c>
      <c r="Q437" t="s">
        <v>163</v>
      </c>
      <c r="S437" s="42"/>
      <c r="T437" s="34" t="s">
        <v>155</v>
      </c>
      <c r="U437" s="10" t="s">
        <v>12</v>
      </c>
      <c r="V437" s="10">
        <v>10</v>
      </c>
      <c r="W437" s="10" t="s">
        <v>152</v>
      </c>
      <c r="X437">
        <v>34</v>
      </c>
      <c r="Y437" s="10" t="s">
        <v>63</v>
      </c>
      <c r="Z437" s="43" t="s">
        <v>189</v>
      </c>
      <c r="AB437" s="42"/>
      <c r="AC437" s="34" t="s">
        <v>155</v>
      </c>
      <c r="AD437" s="10" t="s">
        <v>12</v>
      </c>
      <c r="AE437" s="10">
        <v>10</v>
      </c>
      <c r="AF437" s="10" t="s">
        <v>152</v>
      </c>
      <c r="AG437">
        <v>34</v>
      </c>
      <c r="AH437" s="10" t="s">
        <v>81</v>
      </c>
      <c r="AI437" t="s">
        <v>178</v>
      </c>
      <c r="AK437" s="42"/>
      <c r="AL437" s="34" t="s">
        <v>155</v>
      </c>
      <c r="AM437" s="10" t="s">
        <v>12</v>
      </c>
      <c r="AN437" s="10">
        <v>10</v>
      </c>
      <c r="AO437" s="10" t="s">
        <v>152</v>
      </c>
      <c r="AP437">
        <v>34</v>
      </c>
      <c r="AQ437" s="10" t="s">
        <v>66</v>
      </c>
      <c r="AR437" s="43" t="s">
        <v>176</v>
      </c>
      <c r="AT437" s="42"/>
      <c r="AU437" s="34" t="s">
        <v>155</v>
      </c>
      <c r="AV437" s="10" t="s">
        <v>12</v>
      </c>
      <c r="AW437" s="10">
        <v>10</v>
      </c>
      <c r="AX437" s="10" t="s">
        <v>152</v>
      </c>
      <c r="AY437">
        <v>34</v>
      </c>
      <c r="AZ437" s="10" t="s">
        <v>67</v>
      </c>
      <c r="BA437" t="s">
        <v>161</v>
      </c>
      <c r="BC437" s="42"/>
      <c r="BD437" s="34" t="s">
        <v>155</v>
      </c>
      <c r="BE437" s="10" t="s">
        <v>12</v>
      </c>
      <c r="BF437" s="10">
        <v>10</v>
      </c>
      <c r="BG437" s="10" t="s">
        <v>152</v>
      </c>
      <c r="BH437">
        <v>34</v>
      </c>
      <c r="BI437" s="10" t="s">
        <v>69</v>
      </c>
      <c r="BJ437" s="43" t="s">
        <v>182</v>
      </c>
      <c r="BL437" s="42"/>
      <c r="BM437" s="34" t="s">
        <v>155</v>
      </c>
      <c r="BN437" s="10" t="s">
        <v>12</v>
      </c>
      <c r="BO437" s="10">
        <v>10</v>
      </c>
      <c r="BP437" s="10" t="s">
        <v>152</v>
      </c>
      <c r="BQ437">
        <v>34</v>
      </c>
      <c r="BR437" s="10">
        <v>1088</v>
      </c>
      <c r="BS437" s="51" t="s">
        <v>168</v>
      </c>
      <c r="BU437" s="42"/>
      <c r="BV437" s="34" t="s">
        <v>155</v>
      </c>
      <c r="BW437" s="10" t="s">
        <v>12</v>
      </c>
      <c r="BX437" s="10">
        <v>10</v>
      </c>
      <c r="BY437" s="10" t="s">
        <v>152</v>
      </c>
      <c r="BZ437">
        <v>34</v>
      </c>
      <c r="CA437" s="10" t="s">
        <v>94</v>
      </c>
      <c r="CB437" t="s">
        <v>171</v>
      </c>
      <c r="CD437" s="42"/>
      <c r="CE437" s="34" t="s">
        <v>155</v>
      </c>
      <c r="CF437" s="10" t="s">
        <v>12</v>
      </c>
      <c r="CG437" s="10">
        <v>10</v>
      </c>
      <c r="CH437" s="10" t="s">
        <v>152</v>
      </c>
      <c r="CI437">
        <v>34</v>
      </c>
      <c r="CJ437" s="10">
        <v>1091</v>
      </c>
      <c r="CK437" s="43" t="s">
        <v>188</v>
      </c>
    </row>
    <row r="438" spans="1:89" x14ac:dyDescent="0.25">
      <c r="A438" s="42"/>
      <c r="B438" s="34" t="s">
        <v>155</v>
      </c>
      <c r="C438" s="10" t="s">
        <v>12</v>
      </c>
      <c r="D438" s="10">
        <v>11</v>
      </c>
      <c r="E438" s="10" t="s">
        <v>152</v>
      </c>
      <c r="F438">
        <v>35</v>
      </c>
      <c r="G438" s="10">
        <v>3023</v>
      </c>
      <c r="H438" s="51" t="s">
        <v>168</v>
      </c>
      <c r="J438" s="42"/>
      <c r="K438" s="34" t="s">
        <v>155</v>
      </c>
      <c r="L438" s="10" t="s">
        <v>12</v>
      </c>
      <c r="M438" s="10">
        <v>11</v>
      </c>
      <c r="N438" s="10" t="s">
        <v>152</v>
      </c>
      <c r="O438">
        <v>35</v>
      </c>
      <c r="P438" s="10">
        <v>3017</v>
      </c>
      <c r="Q438" t="s">
        <v>171</v>
      </c>
      <c r="S438" s="42"/>
      <c r="T438" s="34" t="s">
        <v>155</v>
      </c>
      <c r="U438" s="10" t="s">
        <v>12</v>
      </c>
      <c r="V438" s="10">
        <v>11</v>
      </c>
      <c r="W438" s="10" t="s">
        <v>152</v>
      </c>
      <c r="X438">
        <v>35</v>
      </c>
      <c r="Y438" s="10" t="s">
        <v>79</v>
      </c>
      <c r="Z438" s="43" t="s">
        <v>160</v>
      </c>
      <c r="AB438" s="42"/>
      <c r="AC438" s="34" t="s">
        <v>155</v>
      </c>
      <c r="AD438" s="10" t="s">
        <v>12</v>
      </c>
      <c r="AE438" s="10">
        <v>11</v>
      </c>
      <c r="AF438" s="10" t="s">
        <v>152</v>
      </c>
      <c r="AG438">
        <v>35</v>
      </c>
      <c r="AH438" s="10" t="s">
        <v>81</v>
      </c>
      <c r="AI438" t="s">
        <v>163</v>
      </c>
      <c r="AK438" s="42"/>
      <c r="AL438" s="34" t="s">
        <v>155</v>
      </c>
      <c r="AM438" s="10" t="s">
        <v>12</v>
      </c>
      <c r="AN438" s="10">
        <v>11</v>
      </c>
      <c r="AO438" s="10" t="s">
        <v>152</v>
      </c>
      <c r="AP438">
        <v>35</v>
      </c>
      <c r="AQ438" s="10" t="s">
        <v>66</v>
      </c>
      <c r="AR438" s="43" t="s">
        <v>164</v>
      </c>
      <c r="AT438" s="42"/>
      <c r="AU438" s="34" t="s">
        <v>155</v>
      </c>
      <c r="AV438" s="10" t="s">
        <v>12</v>
      </c>
      <c r="AW438" s="10">
        <v>11</v>
      </c>
      <c r="AX438" s="10" t="s">
        <v>152</v>
      </c>
      <c r="AY438">
        <v>35</v>
      </c>
      <c r="AZ438" s="10" t="s">
        <v>67</v>
      </c>
      <c r="BA438" t="s">
        <v>169</v>
      </c>
      <c r="BC438" s="42"/>
      <c r="BD438" s="34" t="s">
        <v>155</v>
      </c>
      <c r="BE438" s="10" t="s">
        <v>12</v>
      </c>
      <c r="BF438" s="10">
        <v>11</v>
      </c>
      <c r="BG438" s="10" t="s">
        <v>152</v>
      </c>
      <c r="BH438">
        <v>35</v>
      </c>
      <c r="BI438" s="10" t="s">
        <v>69</v>
      </c>
      <c r="BJ438" s="43" t="s">
        <v>184</v>
      </c>
      <c r="BL438" s="42"/>
      <c r="BM438" s="34" t="s">
        <v>155</v>
      </c>
      <c r="BN438" s="10" t="s">
        <v>12</v>
      </c>
      <c r="BO438" s="10">
        <v>11</v>
      </c>
      <c r="BP438" s="10" t="s">
        <v>152</v>
      </c>
      <c r="BQ438">
        <v>35</v>
      </c>
      <c r="BR438" s="10">
        <v>1088</v>
      </c>
      <c r="BS438" s="43" t="s">
        <v>176</v>
      </c>
      <c r="BU438" s="42"/>
      <c r="BV438" s="34" t="s">
        <v>155</v>
      </c>
      <c r="BW438" s="10" t="s">
        <v>12</v>
      </c>
      <c r="BX438" s="10">
        <v>11</v>
      </c>
      <c r="BY438" s="10" t="s">
        <v>152</v>
      </c>
      <c r="BZ438">
        <v>35</v>
      </c>
      <c r="CA438" s="10" t="s">
        <v>94</v>
      </c>
      <c r="CB438" t="s">
        <v>161</v>
      </c>
      <c r="CD438" s="42"/>
      <c r="CE438" s="34" t="s">
        <v>155</v>
      </c>
      <c r="CF438" s="10" t="s">
        <v>12</v>
      </c>
      <c r="CG438" s="10">
        <v>11</v>
      </c>
      <c r="CH438" s="10" t="s">
        <v>152</v>
      </c>
      <c r="CI438">
        <v>35</v>
      </c>
      <c r="CJ438" s="10">
        <v>1091</v>
      </c>
      <c r="CK438" s="43" t="s">
        <v>182</v>
      </c>
    </row>
    <row r="439" spans="1:89" ht="15.75" thickBot="1" x14ac:dyDescent="0.3">
      <c r="A439" s="47"/>
      <c r="B439" s="48" t="s">
        <v>155</v>
      </c>
      <c r="C439" s="49" t="s">
        <v>12</v>
      </c>
      <c r="D439" s="49">
        <v>12</v>
      </c>
      <c r="E439" s="49" t="s">
        <v>152</v>
      </c>
      <c r="F439" s="50">
        <v>36</v>
      </c>
      <c r="G439" s="10">
        <v>3023</v>
      </c>
      <c r="H439" s="43" t="s">
        <v>176</v>
      </c>
      <c r="J439" s="47"/>
      <c r="K439" s="48" t="s">
        <v>155</v>
      </c>
      <c r="L439" s="49" t="s">
        <v>12</v>
      </c>
      <c r="M439" s="49">
        <v>12</v>
      </c>
      <c r="N439" s="49" t="s">
        <v>152</v>
      </c>
      <c r="O439" s="50">
        <v>36</v>
      </c>
      <c r="P439" s="10">
        <v>3017</v>
      </c>
      <c r="Q439" t="s">
        <v>161</v>
      </c>
      <c r="S439" s="47"/>
      <c r="T439" s="48" t="s">
        <v>155</v>
      </c>
      <c r="U439" s="49" t="s">
        <v>12</v>
      </c>
      <c r="V439" s="49">
        <v>12</v>
      </c>
      <c r="W439" s="49" t="s">
        <v>152</v>
      </c>
      <c r="X439" s="50">
        <v>36</v>
      </c>
      <c r="Y439" s="10" t="s">
        <v>79</v>
      </c>
      <c r="Z439" s="51" t="s">
        <v>168</v>
      </c>
      <c r="AB439" s="47"/>
      <c r="AC439" s="48" t="s">
        <v>155</v>
      </c>
      <c r="AD439" s="49" t="s">
        <v>12</v>
      </c>
      <c r="AE439" s="49">
        <v>12</v>
      </c>
      <c r="AF439" s="49" t="s">
        <v>152</v>
      </c>
      <c r="AG439" s="50">
        <v>36</v>
      </c>
      <c r="AH439" s="10" t="s">
        <v>81</v>
      </c>
      <c r="AI439" t="s">
        <v>171</v>
      </c>
      <c r="AK439" s="47"/>
      <c r="AL439" s="48" t="s">
        <v>155</v>
      </c>
      <c r="AM439" s="49" t="s">
        <v>12</v>
      </c>
      <c r="AN439" s="49">
        <v>12</v>
      </c>
      <c r="AO439" s="49" t="s">
        <v>152</v>
      </c>
      <c r="AP439" s="50">
        <v>36</v>
      </c>
      <c r="AQ439" s="10" t="s">
        <v>66</v>
      </c>
      <c r="AR439" t="s">
        <v>172</v>
      </c>
      <c r="AT439" s="47"/>
      <c r="AU439" s="48" t="s">
        <v>155</v>
      </c>
      <c r="AV439" s="49" t="s">
        <v>12</v>
      </c>
      <c r="AW439" s="49">
        <v>12</v>
      </c>
      <c r="AX439" s="49" t="s">
        <v>152</v>
      </c>
      <c r="AY439" s="50">
        <v>36</v>
      </c>
      <c r="AZ439" s="10" t="s">
        <v>67</v>
      </c>
      <c r="BA439" t="s">
        <v>177</v>
      </c>
      <c r="BC439" s="47"/>
      <c r="BD439" s="48" t="s">
        <v>155</v>
      </c>
      <c r="BE439" s="49" t="s">
        <v>12</v>
      </c>
      <c r="BF439" s="49">
        <v>12</v>
      </c>
      <c r="BG439" s="49" t="s">
        <v>152</v>
      </c>
      <c r="BH439" s="50">
        <v>36</v>
      </c>
      <c r="BI439" s="10" t="s">
        <v>69</v>
      </c>
      <c r="BJ439" s="43" t="s">
        <v>187</v>
      </c>
      <c r="BL439" s="47"/>
      <c r="BM439" s="48" t="s">
        <v>155</v>
      </c>
      <c r="BN439" s="49" t="s">
        <v>12</v>
      </c>
      <c r="BO439" s="49">
        <v>12</v>
      </c>
      <c r="BP439" s="49" t="s">
        <v>152</v>
      </c>
      <c r="BQ439" s="50">
        <v>36</v>
      </c>
      <c r="BR439" s="10">
        <v>1088</v>
      </c>
      <c r="BS439" s="43" t="s">
        <v>164</v>
      </c>
      <c r="BU439" s="47"/>
      <c r="BV439" s="48" t="s">
        <v>155</v>
      </c>
      <c r="BW439" s="49" t="s">
        <v>12</v>
      </c>
      <c r="BX439" s="49">
        <v>12</v>
      </c>
      <c r="BY439" s="49" t="s">
        <v>152</v>
      </c>
      <c r="BZ439" s="50">
        <v>36</v>
      </c>
      <c r="CA439" s="10" t="s">
        <v>94</v>
      </c>
      <c r="CB439" t="s">
        <v>169</v>
      </c>
      <c r="CD439" s="47"/>
      <c r="CE439" s="48" t="s">
        <v>155</v>
      </c>
      <c r="CF439" s="49" t="s">
        <v>12</v>
      </c>
      <c r="CG439" s="49">
        <v>12</v>
      </c>
      <c r="CH439" s="49" t="s">
        <v>152</v>
      </c>
      <c r="CI439" s="50">
        <v>36</v>
      </c>
      <c r="CJ439" s="10">
        <v>1091</v>
      </c>
      <c r="CK439" s="43" t="s">
        <v>184</v>
      </c>
    </row>
    <row r="440" spans="1:89" x14ac:dyDescent="0.25">
      <c r="A440" s="56"/>
      <c r="B440" s="31" t="s">
        <v>155</v>
      </c>
      <c r="C440" s="58" t="s">
        <v>15</v>
      </c>
      <c r="D440" s="58">
        <v>1</v>
      </c>
      <c r="E440" s="58" t="s">
        <v>152</v>
      </c>
      <c r="F440" s="59">
        <v>37</v>
      </c>
      <c r="G440" s="10">
        <v>3023</v>
      </c>
      <c r="H440" s="43" t="s">
        <v>164</v>
      </c>
      <c r="J440" s="56"/>
      <c r="K440" s="31" t="s">
        <v>155</v>
      </c>
      <c r="L440" s="58" t="s">
        <v>15</v>
      </c>
      <c r="M440" s="58">
        <v>1</v>
      </c>
      <c r="N440" s="58" t="s">
        <v>152</v>
      </c>
      <c r="O440" s="59">
        <v>37</v>
      </c>
      <c r="P440" s="10">
        <v>3017</v>
      </c>
      <c r="Q440" t="s">
        <v>169</v>
      </c>
      <c r="S440" s="56"/>
      <c r="T440" s="31" t="s">
        <v>155</v>
      </c>
      <c r="U440" s="58" t="s">
        <v>15</v>
      </c>
      <c r="V440" s="58">
        <v>1</v>
      </c>
      <c r="W440" s="58" t="s">
        <v>152</v>
      </c>
      <c r="X440" s="59">
        <v>37</v>
      </c>
      <c r="Y440" s="10" t="s">
        <v>79</v>
      </c>
      <c r="Z440" s="43" t="s">
        <v>176</v>
      </c>
      <c r="AB440" s="56"/>
      <c r="AC440" s="31" t="s">
        <v>155</v>
      </c>
      <c r="AD440" s="58" t="s">
        <v>15</v>
      </c>
      <c r="AE440" s="58">
        <v>1</v>
      </c>
      <c r="AF440" s="58" t="s">
        <v>152</v>
      </c>
      <c r="AG440" s="59">
        <v>37</v>
      </c>
      <c r="AH440" s="10" t="s">
        <v>81</v>
      </c>
      <c r="AI440" t="s">
        <v>161</v>
      </c>
      <c r="AK440" s="56"/>
      <c r="AL440" s="31" t="s">
        <v>155</v>
      </c>
      <c r="AM440" s="58" t="s">
        <v>15</v>
      </c>
      <c r="AN440" s="58">
        <v>1</v>
      </c>
      <c r="AO440" s="58" t="s">
        <v>152</v>
      </c>
      <c r="AP440" s="59">
        <v>37</v>
      </c>
      <c r="AQ440" s="10" t="s">
        <v>66</v>
      </c>
      <c r="AR440" t="s">
        <v>162</v>
      </c>
      <c r="AT440" s="56"/>
      <c r="AU440" s="31" t="s">
        <v>155</v>
      </c>
      <c r="AV440" s="58" t="s">
        <v>15</v>
      </c>
      <c r="AW440" s="58">
        <v>1</v>
      </c>
      <c r="AX440" s="58" t="s">
        <v>152</v>
      </c>
      <c r="AY440" s="59">
        <v>37</v>
      </c>
      <c r="AZ440" s="10" t="s">
        <v>67</v>
      </c>
      <c r="BA440" t="s">
        <v>180</v>
      </c>
      <c r="BC440" s="56"/>
      <c r="BD440" s="31" t="s">
        <v>155</v>
      </c>
      <c r="BE440" s="58" t="s">
        <v>15</v>
      </c>
      <c r="BF440" s="58">
        <v>1</v>
      </c>
      <c r="BG440" s="58" t="s">
        <v>152</v>
      </c>
      <c r="BH440" s="59">
        <v>37</v>
      </c>
      <c r="BI440" s="10" t="s">
        <v>69</v>
      </c>
      <c r="BJ440" s="43" t="s">
        <v>189</v>
      </c>
      <c r="BL440" s="56"/>
      <c r="BM440" s="31" t="s">
        <v>155</v>
      </c>
      <c r="BN440" s="58" t="s">
        <v>15</v>
      </c>
      <c r="BO440" s="58">
        <v>1</v>
      </c>
      <c r="BP440" s="58" t="s">
        <v>152</v>
      </c>
      <c r="BQ440" s="59">
        <v>37</v>
      </c>
      <c r="BR440" s="10">
        <v>1088</v>
      </c>
      <c r="BS440" t="s">
        <v>172</v>
      </c>
      <c r="BU440" s="56"/>
      <c r="BV440" s="31" t="s">
        <v>155</v>
      </c>
      <c r="BW440" s="58" t="s">
        <v>15</v>
      </c>
      <c r="BX440" s="58">
        <v>1</v>
      </c>
      <c r="BY440" s="58" t="s">
        <v>152</v>
      </c>
      <c r="BZ440" s="59">
        <v>37</v>
      </c>
      <c r="CA440" s="10" t="s">
        <v>94</v>
      </c>
      <c r="CB440" t="s">
        <v>177</v>
      </c>
      <c r="CD440" s="56"/>
      <c r="CE440" s="31" t="s">
        <v>155</v>
      </c>
      <c r="CF440" s="58" t="s">
        <v>15</v>
      </c>
      <c r="CG440" s="58">
        <v>1</v>
      </c>
      <c r="CH440" s="58" t="s">
        <v>152</v>
      </c>
      <c r="CI440" s="59">
        <v>37</v>
      </c>
      <c r="CJ440" s="10">
        <v>1091</v>
      </c>
      <c r="CK440" s="43" t="s">
        <v>187</v>
      </c>
    </row>
    <row r="441" spans="1:89" x14ac:dyDescent="0.25">
      <c r="A441" s="42"/>
      <c r="B441" s="34" t="s">
        <v>155</v>
      </c>
      <c r="C441" s="10" t="s">
        <v>15</v>
      </c>
      <c r="D441" s="10">
        <v>2</v>
      </c>
      <c r="E441" s="10" t="s">
        <v>152</v>
      </c>
      <c r="F441">
        <v>38</v>
      </c>
      <c r="G441" s="10">
        <v>3023</v>
      </c>
      <c r="H441" t="s">
        <v>172</v>
      </c>
      <c r="J441" s="42"/>
      <c r="K441" s="34" t="s">
        <v>155</v>
      </c>
      <c r="L441" s="10" t="s">
        <v>15</v>
      </c>
      <c r="M441" s="10">
        <v>2</v>
      </c>
      <c r="N441" s="10" t="s">
        <v>152</v>
      </c>
      <c r="O441">
        <v>38</v>
      </c>
      <c r="P441" s="10">
        <v>3017</v>
      </c>
      <c r="Q441" t="s">
        <v>177</v>
      </c>
      <c r="S441" s="42"/>
      <c r="T441" s="34" t="s">
        <v>155</v>
      </c>
      <c r="U441" s="10" t="s">
        <v>15</v>
      </c>
      <c r="V441" s="10">
        <v>2</v>
      </c>
      <c r="W441" s="10" t="s">
        <v>152</v>
      </c>
      <c r="X441">
        <v>38</v>
      </c>
      <c r="Y441" s="10" t="s">
        <v>79</v>
      </c>
      <c r="Z441" s="43" t="s">
        <v>164</v>
      </c>
      <c r="AB441" s="42"/>
      <c r="AC441" s="34" t="s">
        <v>155</v>
      </c>
      <c r="AD441" s="10" t="s">
        <v>15</v>
      </c>
      <c r="AE441" s="10">
        <v>2</v>
      </c>
      <c r="AF441" s="10" t="s">
        <v>152</v>
      </c>
      <c r="AG441">
        <v>38</v>
      </c>
      <c r="AH441" s="10" t="s">
        <v>81</v>
      </c>
      <c r="AI441" t="s">
        <v>169</v>
      </c>
      <c r="AK441" s="42"/>
      <c r="AL441" s="34" t="s">
        <v>155</v>
      </c>
      <c r="AM441" s="10" t="s">
        <v>15</v>
      </c>
      <c r="AN441" s="10">
        <v>2</v>
      </c>
      <c r="AO441" s="10" t="s">
        <v>152</v>
      </c>
      <c r="AP441">
        <v>38</v>
      </c>
      <c r="AQ441" s="10" t="s">
        <v>66</v>
      </c>
      <c r="AR441" t="s">
        <v>170</v>
      </c>
      <c r="AT441" s="42"/>
      <c r="AU441" s="34" t="s">
        <v>155</v>
      </c>
      <c r="AV441" s="10" t="s">
        <v>15</v>
      </c>
      <c r="AW441" s="10">
        <v>2</v>
      </c>
      <c r="AX441" s="10" t="s">
        <v>152</v>
      </c>
      <c r="AY441">
        <v>38</v>
      </c>
      <c r="AZ441" s="10" t="s">
        <v>67</v>
      </c>
      <c r="BA441" t="s">
        <v>181</v>
      </c>
      <c r="BC441" s="42"/>
      <c r="BD441" s="34" t="s">
        <v>155</v>
      </c>
      <c r="BE441" s="10" t="s">
        <v>15</v>
      </c>
      <c r="BF441" s="10">
        <v>2</v>
      </c>
      <c r="BG441" s="10" t="s">
        <v>152</v>
      </c>
      <c r="BH441">
        <v>38</v>
      </c>
      <c r="BI441" s="10">
        <v>1086</v>
      </c>
      <c r="BJ441" s="43" t="s">
        <v>182</v>
      </c>
      <c r="BL441" s="42"/>
      <c r="BM441" s="34" t="s">
        <v>155</v>
      </c>
      <c r="BN441" s="10" t="s">
        <v>15</v>
      </c>
      <c r="BO441" s="10">
        <v>2</v>
      </c>
      <c r="BP441" s="10" t="s">
        <v>152</v>
      </c>
      <c r="BQ441">
        <v>38</v>
      </c>
      <c r="BR441" s="10">
        <v>1088</v>
      </c>
      <c r="BS441" t="s">
        <v>162</v>
      </c>
      <c r="BU441" s="42"/>
      <c r="BV441" s="34" t="s">
        <v>155</v>
      </c>
      <c r="BW441" s="10" t="s">
        <v>15</v>
      </c>
      <c r="BX441" s="10">
        <v>2</v>
      </c>
      <c r="BY441" s="10" t="s">
        <v>152</v>
      </c>
      <c r="BZ441">
        <v>38</v>
      </c>
      <c r="CA441" s="10" t="s">
        <v>94</v>
      </c>
      <c r="CB441" t="s">
        <v>180</v>
      </c>
      <c r="CD441" s="42"/>
      <c r="CE441" s="34" t="s">
        <v>155</v>
      </c>
      <c r="CF441" s="10" t="s">
        <v>15</v>
      </c>
      <c r="CG441" s="10">
        <v>2</v>
      </c>
      <c r="CH441" s="10" t="s">
        <v>152</v>
      </c>
      <c r="CI441">
        <v>38</v>
      </c>
      <c r="CJ441" s="10">
        <v>1091</v>
      </c>
      <c r="CK441" s="43" t="s">
        <v>189</v>
      </c>
    </row>
    <row r="442" spans="1:89" x14ac:dyDescent="0.25">
      <c r="A442" s="42"/>
      <c r="B442" s="34" t="s">
        <v>155</v>
      </c>
      <c r="C442" s="10" t="s">
        <v>15</v>
      </c>
      <c r="D442" s="10">
        <v>3</v>
      </c>
      <c r="E442" s="10" t="s">
        <v>152</v>
      </c>
      <c r="F442">
        <v>39</v>
      </c>
      <c r="G442" s="10">
        <v>3023</v>
      </c>
      <c r="H442" t="s">
        <v>162</v>
      </c>
      <c r="J442" s="42"/>
      <c r="K442" s="34" t="s">
        <v>155</v>
      </c>
      <c r="L442" s="10" t="s">
        <v>15</v>
      </c>
      <c r="M442" s="10">
        <v>3</v>
      </c>
      <c r="N442" s="10" t="s">
        <v>152</v>
      </c>
      <c r="O442">
        <v>39</v>
      </c>
      <c r="P442" s="10">
        <v>3017</v>
      </c>
      <c r="Q442" t="s">
        <v>180</v>
      </c>
      <c r="S442" s="42"/>
      <c r="T442" s="34" t="s">
        <v>155</v>
      </c>
      <c r="U442" s="10" t="s">
        <v>15</v>
      </c>
      <c r="V442" s="10">
        <v>3</v>
      </c>
      <c r="W442" s="10" t="s">
        <v>152</v>
      </c>
      <c r="X442">
        <v>39</v>
      </c>
      <c r="Y442" s="10" t="s">
        <v>79</v>
      </c>
      <c r="Z442" t="s">
        <v>172</v>
      </c>
      <c r="AB442" s="42"/>
      <c r="AC442" s="34" t="s">
        <v>155</v>
      </c>
      <c r="AD442" s="10" t="s">
        <v>15</v>
      </c>
      <c r="AE442" s="10">
        <v>3</v>
      </c>
      <c r="AF442" s="10" t="s">
        <v>152</v>
      </c>
      <c r="AG442">
        <v>39</v>
      </c>
      <c r="AH442" s="10" t="s">
        <v>81</v>
      </c>
      <c r="AI442" t="s">
        <v>177</v>
      </c>
      <c r="AK442" s="42"/>
      <c r="AL442" s="34" t="s">
        <v>155</v>
      </c>
      <c r="AM442" s="10" t="s">
        <v>15</v>
      </c>
      <c r="AN442" s="10">
        <v>3</v>
      </c>
      <c r="AO442" s="10" t="s">
        <v>152</v>
      </c>
      <c r="AP442">
        <v>39</v>
      </c>
      <c r="AQ442" s="10" t="s">
        <v>66</v>
      </c>
      <c r="AR442" t="s">
        <v>178</v>
      </c>
      <c r="AT442" s="42"/>
      <c r="AU442" s="34" t="s">
        <v>155</v>
      </c>
      <c r="AV442" s="10" t="s">
        <v>15</v>
      </c>
      <c r="AW442" s="10">
        <v>3</v>
      </c>
      <c r="AX442" s="10" t="s">
        <v>152</v>
      </c>
      <c r="AY442">
        <v>39</v>
      </c>
      <c r="AZ442" s="10" t="s">
        <v>67</v>
      </c>
      <c r="BA442" t="s">
        <v>183</v>
      </c>
      <c r="BC442" s="42"/>
      <c r="BD442" s="34" t="s">
        <v>155</v>
      </c>
      <c r="BE442" s="10" t="s">
        <v>15</v>
      </c>
      <c r="BF442" s="10">
        <v>3</v>
      </c>
      <c r="BG442" s="10" t="s">
        <v>152</v>
      </c>
      <c r="BH442">
        <v>39</v>
      </c>
      <c r="BI442" s="10">
        <v>1086</v>
      </c>
      <c r="BJ442" s="43" t="s">
        <v>184</v>
      </c>
      <c r="BL442" s="42"/>
      <c r="BM442" s="34" t="s">
        <v>155</v>
      </c>
      <c r="BN442" s="10" t="s">
        <v>15</v>
      </c>
      <c r="BO442" s="10">
        <v>3</v>
      </c>
      <c r="BP442" s="10" t="s">
        <v>152</v>
      </c>
      <c r="BQ442">
        <v>39</v>
      </c>
      <c r="BR442" s="10">
        <v>1088</v>
      </c>
      <c r="BS442" t="s">
        <v>170</v>
      </c>
      <c r="BU442" s="42"/>
      <c r="BV442" s="34" t="s">
        <v>155</v>
      </c>
      <c r="BW442" s="10" t="s">
        <v>15</v>
      </c>
      <c r="BX442" s="10">
        <v>3</v>
      </c>
      <c r="BY442" s="10" t="s">
        <v>152</v>
      </c>
      <c r="BZ442">
        <v>39</v>
      </c>
      <c r="CA442" s="10" t="s">
        <v>94</v>
      </c>
      <c r="CB442" t="s">
        <v>181</v>
      </c>
      <c r="CD442" s="42"/>
      <c r="CE442" s="34" t="s">
        <v>155</v>
      </c>
      <c r="CF442" s="10" t="s">
        <v>15</v>
      </c>
      <c r="CG442" s="10">
        <v>3</v>
      </c>
      <c r="CH442" s="10" t="s">
        <v>152</v>
      </c>
      <c r="CI442">
        <v>39</v>
      </c>
      <c r="CJ442" s="10">
        <v>1092</v>
      </c>
      <c r="CK442" s="43" t="s">
        <v>160</v>
      </c>
    </row>
    <row r="443" spans="1:89" x14ac:dyDescent="0.25">
      <c r="A443" s="42"/>
      <c r="B443" s="34" t="s">
        <v>155</v>
      </c>
      <c r="C443" s="10" t="s">
        <v>15</v>
      </c>
      <c r="D443" s="10">
        <v>4</v>
      </c>
      <c r="E443" s="10" t="s">
        <v>152</v>
      </c>
      <c r="F443">
        <v>40</v>
      </c>
      <c r="G443" s="10">
        <v>3023</v>
      </c>
      <c r="H443" t="s">
        <v>170</v>
      </c>
      <c r="J443" s="42"/>
      <c r="K443" s="34" t="s">
        <v>155</v>
      </c>
      <c r="L443" s="10" t="s">
        <v>15</v>
      </c>
      <c r="M443" s="10">
        <v>4</v>
      </c>
      <c r="N443" s="10" t="s">
        <v>152</v>
      </c>
      <c r="O443">
        <v>40</v>
      </c>
      <c r="P443" s="10">
        <v>3017</v>
      </c>
      <c r="Q443" t="s">
        <v>181</v>
      </c>
      <c r="S443" s="42"/>
      <c r="T443" s="34" t="s">
        <v>155</v>
      </c>
      <c r="U443" s="10" t="s">
        <v>15</v>
      </c>
      <c r="V443" s="10">
        <v>4</v>
      </c>
      <c r="W443" s="10" t="s">
        <v>152</v>
      </c>
      <c r="X443">
        <v>40</v>
      </c>
      <c r="Y443" s="10" t="s">
        <v>79</v>
      </c>
      <c r="Z443" t="s">
        <v>162</v>
      </c>
      <c r="AB443" s="42"/>
      <c r="AC443" s="34" t="s">
        <v>155</v>
      </c>
      <c r="AD443" s="10" t="s">
        <v>15</v>
      </c>
      <c r="AE443" s="10">
        <v>4</v>
      </c>
      <c r="AF443" s="10" t="s">
        <v>152</v>
      </c>
      <c r="AG443">
        <v>40</v>
      </c>
      <c r="AH443" s="10" t="s">
        <v>81</v>
      </c>
      <c r="AI443" t="s">
        <v>180</v>
      </c>
      <c r="AK443" s="42"/>
      <c r="AL443" s="34" t="s">
        <v>155</v>
      </c>
      <c r="AM443" s="10" t="s">
        <v>15</v>
      </c>
      <c r="AN443" s="10">
        <v>4</v>
      </c>
      <c r="AO443" s="10" t="s">
        <v>152</v>
      </c>
      <c r="AP443">
        <v>40</v>
      </c>
      <c r="AQ443" s="10" t="s">
        <v>66</v>
      </c>
      <c r="AR443" t="s">
        <v>163</v>
      </c>
      <c r="AT443" s="42"/>
      <c r="AU443" s="34" t="s">
        <v>155</v>
      </c>
      <c r="AV443" s="10" t="s">
        <v>15</v>
      </c>
      <c r="AW443" s="10">
        <v>4</v>
      </c>
      <c r="AX443" s="10" t="s">
        <v>152</v>
      </c>
      <c r="AY443">
        <v>40</v>
      </c>
      <c r="AZ443" s="10" t="s">
        <v>67</v>
      </c>
      <c r="BA443" t="s">
        <v>186</v>
      </c>
      <c r="BC443" s="42"/>
      <c r="BD443" s="34" t="s">
        <v>155</v>
      </c>
      <c r="BE443" s="10" t="s">
        <v>15</v>
      </c>
      <c r="BF443" s="10">
        <v>4</v>
      </c>
      <c r="BG443" s="10" t="s">
        <v>152</v>
      </c>
      <c r="BH443">
        <v>40</v>
      </c>
      <c r="BI443" s="10">
        <v>1086</v>
      </c>
      <c r="BJ443" s="43" t="s">
        <v>187</v>
      </c>
      <c r="BL443" s="42"/>
      <c r="BM443" s="34" t="s">
        <v>155</v>
      </c>
      <c r="BN443" s="10" t="s">
        <v>15</v>
      </c>
      <c r="BO443" s="10">
        <v>4</v>
      </c>
      <c r="BP443" s="10" t="s">
        <v>152</v>
      </c>
      <c r="BQ443">
        <v>40</v>
      </c>
      <c r="BR443" s="10">
        <v>1088</v>
      </c>
      <c r="BS443" t="s">
        <v>178</v>
      </c>
      <c r="BU443" s="42"/>
      <c r="BV443" s="34" t="s">
        <v>155</v>
      </c>
      <c r="BW443" s="10" t="s">
        <v>15</v>
      </c>
      <c r="BX443" s="10">
        <v>4</v>
      </c>
      <c r="BY443" s="10" t="s">
        <v>152</v>
      </c>
      <c r="BZ443">
        <v>40</v>
      </c>
      <c r="CA443" s="10" t="s">
        <v>94</v>
      </c>
      <c r="CB443" t="s">
        <v>183</v>
      </c>
      <c r="CD443" s="42"/>
      <c r="CE443" s="34" t="s">
        <v>155</v>
      </c>
      <c r="CF443" s="10" t="s">
        <v>15</v>
      </c>
      <c r="CG443" s="10">
        <v>4</v>
      </c>
      <c r="CH443" s="10" t="s">
        <v>152</v>
      </c>
      <c r="CI443">
        <v>40</v>
      </c>
      <c r="CJ443" s="10">
        <v>1092</v>
      </c>
      <c r="CK443" s="51" t="s">
        <v>168</v>
      </c>
    </row>
    <row r="444" spans="1:89" x14ac:dyDescent="0.25">
      <c r="A444" s="42"/>
      <c r="B444" s="34" t="s">
        <v>155</v>
      </c>
      <c r="C444" s="10" t="s">
        <v>15</v>
      </c>
      <c r="D444" s="10">
        <v>5</v>
      </c>
      <c r="E444" s="10" t="s">
        <v>152</v>
      </c>
      <c r="F444">
        <v>41</v>
      </c>
      <c r="G444" s="10">
        <v>3023</v>
      </c>
      <c r="H444" t="s">
        <v>178</v>
      </c>
      <c r="J444" s="42"/>
      <c r="K444" s="34" t="s">
        <v>155</v>
      </c>
      <c r="L444" s="10" t="s">
        <v>15</v>
      </c>
      <c r="M444" s="10">
        <v>5</v>
      </c>
      <c r="N444" s="10" t="s">
        <v>152</v>
      </c>
      <c r="O444">
        <v>41</v>
      </c>
      <c r="P444" s="10">
        <v>3017</v>
      </c>
      <c r="Q444" t="s">
        <v>183</v>
      </c>
      <c r="S444" s="42"/>
      <c r="T444" s="34" t="s">
        <v>155</v>
      </c>
      <c r="U444" s="10" t="s">
        <v>15</v>
      </c>
      <c r="V444" s="10">
        <v>5</v>
      </c>
      <c r="W444" s="10" t="s">
        <v>152</v>
      </c>
      <c r="X444">
        <v>41</v>
      </c>
      <c r="Y444" s="10" t="s">
        <v>79</v>
      </c>
      <c r="Z444" t="s">
        <v>170</v>
      </c>
      <c r="AB444" s="42"/>
      <c r="AC444" s="34" t="s">
        <v>155</v>
      </c>
      <c r="AD444" s="10" t="s">
        <v>15</v>
      </c>
      <c r="AE444" s="10">
        <v>5</v>
      </c>
      <c r="AF444" s="10" t="s">
        <v>152</v>
      </c>
      <c r="AG444">
        <v>41</v>
      </c>
      <c r="AH444" s="10" t="s">
        <v>81</v>
      </c>
      <c r="AI444" t="s">
        <v>181</v>
      </c>
      <c r="AK444" s="42"/>
      <c r="AL444" s="34" t="s">
        <v>155</v>
      </c>
      <c r="AM444" s="10" t="s">
        <v>15</v>
      </c>
      <c r="AN444" s="10">
        <v>5</v>
      </c>
      <c r="AO444" s="10" t="s">
        <v>152</v>
      </c>
      <c r="AP444">
        <v>41</v>
      </c>
      <c r="AQ444" s="10" t="s">
        <v>66</v>
      </c>
      <c r="AR444" t="s">
        <v>171</v>
      </c>
      <c r="AT444" s="42"/>
      <c r="AU444" s="34" t="s">
        <v>155</v>
      </c>
      <c r="AV444" s="10" t="s">
        <v>15</v>
      </c>
      <c r="AW444" s="10">
        <v>5</v>
      </c>
      <c r="AX444" s="10" t="s">
        <v>152</v>
      </c>
      <c r="AY444">
        <v>41</v>
      </c>
      <c r="AZ444" s="10" t="s">
        <v>67</v>
      </c>
      <c r="BA444" s="43" t="s">
        <v>188</v>
      </c>
      <c r="BC444" s="42"/>
      <c r="BD444" s="34" t="s">
        <v>155</v>
      </c>
      <c r="BE444" s="10" t="s">
        <v>15</v>
      </c>
      <c r="BF444" s="10">
        <v>5</v>
      </c>
      <c r="BG444" s="10" t="s">
        <v>152</v>
      </c>
      <c r="BH444">
        <v>41</v>
      </c>
      <c r="BI444" s="10">
        <v>1086</v>
      </c>
      <c r="BJ444" s="43" t="s">
        <v>189</v>
      </c>
      <c r="BL444" s="42"/>
      <c r="BM444" s="34" t="s">
        <v>155</v>
      </c>
      <c r="BN444" s="10" t="s">
        <v>15</v>
      </c>
      <c r="BO444" s="10">
        <v>5</v>
      </c>
      <c r="BP444" s="10" t="s">
        <v>152</v>
      </c>
      <c r="BQ444">
        <v>41</v>
      </c>
      <c r="BR444" s="10">
        <v>1088</v>
      </c>
      <c r="BS444" t="s">
        <v>163</v>
      </c>
      <c r="BU444" s="42"/>
      <c r="BV444" s="34" t="s">
        <v>155</v>
      </c>
      <c r="BW444" s="10" t="s">
        <v>15</v>
      </c>
      <c r="BX444" s="10">
        <v>5</v>
      </c>
      <c r="BY444" s="10" t="s">
        <v>152</v>
      </c>
      <c r="BZ444">
        <v>41</v>
      </c>
      <c r="CA444" s="10" t="s">
        <v>94</v>
      </c>
      <c r="CB444" t="s">
        <v>186</v>
      </c>
      <c r="CD444" s="42"/>
      <c r="CE444" s="34" t="s">
        <v>155</v>
      </c>
      <c r="CF444" s="10" t="s">
        <v>15</v>
      </c>
      <c r="CG444" s="10">
        <v>5</v>
      </c>
      <c r="CH444" s="10" t="s">
        <v>152</v>
      </c>
      <c r="CI444">
        <v>41</v>
      </c>
      <c r="CJ444" s="10">
        <v>1092</v>
      </c>
      <c r="CK444" s="43" t="s">
        <v>176</v>
      </c>
    </row>
    <row r="445" spans="1:89" x14ac:dyDescent="0.25">
      <c r="A445" s="42"/>
      <c r="B445" s="34" t="s">
        <v>155</v>
      </c>
      <c r="C445" s="10" t="s">
        <v>15</v>
      </c>
      <c r="D445" s="10">
        <v>6</v>
      </c>
      <c r="E445" s="10" t="s">
        <v>152</v>
      </c>
      <c r="F445">
        <v>42</v>
      </c>
      <c r="G445" s="10">
        <v>3023</v>
      </c>
      <c r="H445" t="s">
        <v>163</v>
      </c>
      <c r="J445" s="42"/>
      <c r="K445" s="34" t="s">
        <v>155</v>
      </c>
      <c r="L445" s="10" t="s">
        <v>15</v>
      </c>
      <c r="M445" s="10">
        <v>6</v>
      </c>
      <c r="N445" s="10" t="s">
        <v>152</v>
      </c>
      <c r="O445">
        <v>42</v>
      </c>
      <c r="P445" s="10">
        <v>3017</v>
      </c>
      <c r="Q445" t="s">
        <v>186</v>
      </c>
      <c r="S445" s="42"/>
      <c r="T445" s="34" t="s">
        <v>155</v>
      </c>
      <c r="U445" s="10" t="s">
        <v>15</v>
      </c>
      <c r="V445" s="10">
        <v>6</v>
      </c>
      <c r="W445" s="10" t="s">
        <v>152</v>
      </c>
      <c r="X445">
        <v>42</v>
      </c>
      <c r="Y445" s="10" t="s">
        <v>79</v>
      </c>
      <c r="Z445" t="s">
        <v>178</v>
      </c>
      <c r="AB445" s="42"/>
      <c r="AC445" s="34" t="s">
        <v>155</v>
      </c>
      <c r="AD445" s="10" t="s">
        <v>15</v>
      </c>
      <c r="AE445" s="10">
        <v>6</v>
      </c>
      <c r="AF445" s="10" t="s">
        <v>152</v>
      </c>
      <c r="AG445">
        <v>42</v>
      </c>
      <c r="AH445" s="10" t="s">
        <v>81</v>
      </c>
      <c r="AI445" t="s">
        <v>183</v>
      </c>
      <c r="AK445" s="42"/>
      <c r="AL445" s="34" t="s">
        <v>155</v>
      </c>
      <c r="AM445" s="10" t="s">
        <v>15</v>
      </c>
      <c r="AN445" s="10">
        <v>6</v>
      </c>
      <c r="AO445" s="10" t="s">
        <v>152</v>
      </c>
      <c r="AP445">
        <v>42</v>
      </c>
      <c r="AQ445" s="10" t="s">
        <v>66</v>
      </c>
      <c r="AR445" t="s">
        <v>161</v>
      </c>
      <c r="AT445" s="42"/>
      <c r="AU445" s="34" t="s">
        <v>155</v>
      </c>
      <c r="AV445" s="10" t="s">
        <v>15</v>
      </c>
      <c r="AW445" s="10">
        <v>6</v>
      </c>
      <c r="AX445" s="10" t="s">
        <v>152</v>
      </c>
      <c r="AY445">
        <v>42</v>
      </c>
      <c r="AZ445" s="10" t="s">
        <v>67</v>
      </c>
      <c r="BA445" s="43" t="s">
        <v>182</v>
      </c>
      <c r="BC445" s="42"/>
      <c r="BD445" s="34" t="s">
        <v>155</v>
      </c>
      <c r="BE445" s="10" t="s">
        <v>15</v>
      </c>
      <c r="BF445" s="10">
        <v>6</v>
      </c>
      <c r="BG445" s="10" t="s">
        <v>152</v>
      </c>
      <c r="BH445">
        <v>42</v>
      </c>
      <c r="BI445" s="10" t="s">
        <v>92</v>
      </c>
      <c r="BJ445" s="43" t="s">
        <v>182</v>
      </c>
      <c r="BL445" s="42"/>
      <c r="BM445" s="34" t="s">
        <v>155</v>
      </c>
      <c r="BN445" s="10" t="s">
        <v>15</v>
      </c>
      <c r="BO445" s="10">
        <v>6</v>
      </c>
      <c r="BP445" s="10" t="s">
        <v>152</v>
      </c>
      <c r="BQ445">
        <v>42</v>
      </c>
      <c r="BR445" s="10">
        <v>1088</v>
      </c>
      <c r="BS445" t="s">
        <v>171</v>
      </c>
      <c r="BU445" s="42"/>
      <c r="BV445" s="34" t="s">
        <v>155</v>
      </c>
      <c r="BW445" s="10" t="s">
        <v>15</v>
      </c>
      <c r="BX445" s="10">
        <v>6</v>
      </c>
      <c r="BY445" s="10" t="s">
        <v>152</v>
      </c>
      <c r="BZ445">
        <v>42</v>
      </c>
      <c r="CA445" s="10" t="s">
        <v>94</v>
      </c>
      <c r="CB445" s="43" t="s">
        <v>188</v>
      </c>
      <c r="CD445" s="42"/>
      <c r="CE445" s="34" t="s">
        <v>155</v>
      </c>
      <c r="CF445" s="10" t="s">
        <v>15</v>
      </c>
      <c r="CG445" s="10">
        <v>6</v>
      </c>
      <c r="CH445" s="10" t="s">
        <v>152</v>
      </c>
      <c r="CI445">
        <v>42</v>
      </c>
      <c r="CJ445" s="10">
        <v>1092</v>
      </c>
      <c r="CK445" s="43" t="s">
        <v>164</v>
      </c>
    </row>
    <row r="446" spans="1:89" x14ac:dyDescent="0.25">
      <c r="A446" s="42"/>
      <c r="B446" s="34" t="s">
        <v>155</v>
      </c>
      <c r="C446" s="10" t="s">
        <v>15</v>
      </c>
      <c r="D446" s="10">
        <v>7</v>
      </c>
      <c r="E446" s="10" t="s">
        <v>152</v>
      </c>
      <c r="F446">
        <v>43</v>
      </c>
      <c r="G446" s="10">
        <v>3023</v>
      </c>
      <c r="H446" t="s">
        <v>171</v>
      </c>
      <c r="J446" s="42"/>
      <c r="K446" s="34" t="s">
        <v>155</v>
      </c>
      <c r="L446" s="10" t="s">
        <v>15</v>
      </c>
      <c r="M446" s="10">
        <v>7</v>
      </c>
      <c r="N446" s="10" t="s">
        <v>152</v>
      </c>
      <c r="O446">
        <v>43</v>
      </c>
      <c r="P446" s="10">
        <v>3017</v>
      </c>
      <c r="Q446" s="43" t="s">
        <v>188</v>
      </c>
      <c r="S446" s="42"/>
      <c r="T446" s="34" t="s">
        <v>155</v>
      </c>
      <c r="U446" s="10" t="s">
        <v>15</v>
      </c>
      <c r="V446" s="10">
        <v>7</v>
      </c>
      <c r="W446" s="10" t="s">
        <v>152</v>
      </c>
      <c r="X446">
        <v>43</v>
      </c>
      <c r="Y446" s="10" t="s">
        <v>79</v>
      </c>
      <c r="Z446" t="s">
        <v>163</v>
      </c>
      <c r="AB446" s="42"/>
      <c r="AC446" s="34" t="s">
        <v>155</v>
      </c>
      <c r="AD446" s="10" t="s">
        <v>15</v>
      </c>
      <c r="AE446" s="10">
        <v>7</v>
      </c>
      <c r="AF446" s="10" t="s">
        <v>152</v>
      </c>
      <c r="AG446">
        <v>43</v>
      </c>
      <c r="AH446" s="10" t="s">
        <v>81</v>
      </c>
      <c r="AI446" t="s">
        <v>186</v>
      </c>
      <c r="AK446" s="42"/>
      <c r="AL446" s="34" t="s">
        <v>155</v>
      </c>
      <c r="AM446" s="10" t="s">
        <v>15</v>
      </c>
      <c r="AN446" s="10">
        <v>7</v>
      </c>
      <c r="AO446" s="10" t="s">
        <v>152</v>
      </c>
      <c r="AP446">
        <v>43</v>
      </c>
      <c r="AQ446" s="10" t="s">
        <v>66</v>
      </c>
      <c r="AR446" t="s">
        <v>169</v>
      </c>
      <c r="AT446" s="42"/>
      <c r="AU446" s="34" t="s">
        <v>155</v>
      </c>
      <c r="AV446" s="10" t="s">
        <v>15</v>
      </c>
      <c r="AW446" s="10">
        <v>7</v>
      </c>
      <c r="AX446" s="10" t="s">
        <v>152</v>
      </c>
      <c r="AY446">
        <v>43</v>
      </c>
      <c r="AZ446" s="10" t="s">
        <v>67</v>
      </c>
      <c r="BA446" s="43" t="s">
        <v>184</v>
      </c>
      <c r="BC446" s="42"/>
      <c r="BD446" s="34" t="s">
        <v>155</v>
      </c>
      <c r="BE446" s="10" t="s">
        <v>15</v>
      </c>
      <c r="BF446" s="10">
        <v>7</v>
      </c>
      <c r="BG446" s="10" t="s">
        <v>152</v>
      </c>
      <c r="BH446">
        <v>43</v>
      </c>
      <c r="BI446" s="10" t="s">
        <v>92</v>
      </c>
      <c r="BJ446" s="43" t="s">
        <v>184</v>
      </c>
      <c r="BL446" s="42"/>
      <c r="BM446" s="34" t="s">
        <v>155</v>
      </c>
      <c r="BN446" s="10" t="s">
        <v>15</v>
      </c>
      <c r="BO446" s="10">
        <v>7</v>
      </c>
      <c r="BP446" s="10" t="s">
        <v>152</v>
      </c>
      <c r="BQ446">
        <v>43</v>
      </c>
      <c r="BR446" s="10">
        <v>1088</v>
      </c>
      <c r="BS446" t="s">
        <v>161</v>
      </c>
      <c r="BU446" s="42"/>
      <c r="BV446" s="34" t="s">
        <v>155</v>
      </c>
      <c r="BW446" s="10" t="s">
        <v>15</v>
      </c>
      <c r="BX446" s="10">
        <v>7</v>
      </c>
      <c r="BY446" s="10" t="s">
        <v>152</v>
      </c>
      <c r="BZ446">
        <v>43</v>
      </c>
      <c r="CA446" s="10" t="s">
        <v>94</v>
      </c>
      <c r="CB446" s="43" t="s">
        <v>182</v>
      </c>
      <c r="CD446" s="42"/>
      <c r="CE446" s="34" t="s">
        <v>155</v>
      </c>
      <c r="CF446" s="10" t="s">
        <v>15</v>
      </c>
      <c r="CG446" s="10">
        <v>7</v>
      </c>
      <c r="CH446" s="10" t="s">
        <v>152</v>
      </c>
      <c r="CI446">
        <v>43</v>
      </c>
      <c r="CJ446" s="10">
        <v>1092</v>
      </c>
      <c r="CK446" t="s">
        <v>172</v>
      </c>
    </row>
    <row r="447" spans="1:89" x14ac:dyDescent="0.25">
      <c r="A447" s="42"/>
      <c r="B447" s="34" t="s">
        <v>155</v>
      </c>
      <c r="C447" s="10" t="s">
        <v>15</v>
      </c>
      <c r="D447" s="10">
        <v>8</v>
      </c>
      <c r="E447" s="10" t="s">
        <v>152</v>
      </c>
      <c r="F447">
        <v>44</v>
      </c>
      <c r="G447" s="10">
        <v>3023</v>
      </c>
      <c r="H447" t="s">
        <v>161</v>
      </c>
      <c r="J447" s="42"/>
      <c r="K447" s="34" t="s">
        <v>155</v>
      </c>
      <c r="L447" s="10" t="s">
        <v>15</v>
      </c>
      <c r="M447" s="10">
        <v>8</v>
      </c>
      <c r="N447" s="10" t="s">
        <v>152</v>
      </c>
      <c r="O447">
        <v>44</v>
      </c>
      <c r="P447" s="10">
        <v>3017</v>
      </c>
      <c r="Q447" s="43" t="s">
        <v>182</v>
      </c>
      <c r="S447" s="42"/>
      <c r="T447" s="34" t="s">
        <v>155</v>
      </c>
      <c r="U447" s="10" t="s">
        <v>15</v>
      </c>
      <c r="V447" s="10">
        <v>8</v>
      </c>
      <c r="W447" s="10" t="s">
        <v>152</v>
      </c>
      <c r="X447">
        <v>44</v>
      </c>
      <c r="Y447" s="10" t="s">
        <v>79</v>
      </c>
      <c r="Z447" t="s">
        <v>171</v>
      </c>
      <c r="AB447" s="42"/>
      <c r="AC447" s="34" t="s">
        <v>155</v>
      </c>
      <c r="AD447" s="10" t="s">
        <v>15</v>
      </c>
      <c r="AE447" s="10">
        <v>8</v>
      </c>
      <c r="AF447" s="10" t="s">
        <v>152</v>
      </c>
      <c r="AG447">
        <v>44</v>
      </c>
      <c r="AH447" s="10" t="s">
        <v>81</v>
      </c>
      <c r="AI447" s="43" t="s">
        <v>188</v>
      </c>
      <c r="AK447" s="42"/>
      <c r="AL447" s="34" t="s">
        <v>155</v>
      </c>
      <c r="AM447" s="10" t="s">
        <v>15</v>
      </c>
      <c r="AN447" s="10">
        <v>8</v>
      </c>
      <c r="AO447" s="10" t="s">
        <v>152</v>
      </c>
      <c r="AP447">
        <v>44</v>
      </c>
      <c r="AQ447" s="10" t="s">
        <v>66</v>
      </c>
      <c r="AR447" t="s">
        <v>177</v>
      </c>
      <c r="AT447" s="42"/>
      <c r="AU447" s="34" t="s">
        <v>155</v>
      </c>
      <c r="AV447" s="10" t="s">
        <v>15</v>
      </c>
      <c r="AW447" s="10">
        <v>8</v>
      </c>
      <c r="AX447" s="10" t="s">
        <v>152</v>
      </c>
      <c r="AY447">
        <v>44</v>
      </c>
      <c r="AZ447" s="10" t="s">
        <v>67</v>
      </c>
      <c r="BA447" s="43" t="s">
        <v>187</v>
      </c>
      <c r="BC447" s="42"/>
      <c r="BD447" s="34" t="s">
        <v>155</v>
      </c>
      <c r="BE447" s="10" t="s">
        <v>15</v>
      </c>
      <c r="BF447" s="10">
        <v>8</v>
      </c>
      <c r="BG447" s="10" t="s">
        <v>152</v>
      </c>
      <c r="BH447">
        <v>44</v>
      </c>
      <c r="BI447" s="10" t="s">
        <v>92</v>
      </c>
      <c r="BJ447" s="43" t="s">
        <v>187</v>
      </c>
      <c r="BL447" s="42"/>
      <c r="BM447" s="34" t="s">
        <v>155</v>
      </c>
      <c r="BN447" s="10" t="s">
        <v>15</v>
      </c>
      <c r="BO447" s="10">
        <v>8</v>
      </c>
      <c r="BP447" s="10" t="s">
        <v>152</v>
      </c>
      <c r="BQ447">
        <v>44</v>
      </c>
      <c r="BR447" s="10">
        <v>1088</v>
      </c>
      <c r="BS447" t="s">
        <v>169</v>
      </c>
      <c r="BU447" s="42"/>
      <c r="BV447" s="34" t="s">
        <v>155</v>
      </c>
      <c r="BW447" s="10" t="s">
        <v>15</v>
      </c>
      <c r="BX447" s="10">
        <v>8</v>
      </c>
      <c r="BY447" s="10" t="s">
        <v>152</v>
      </c>
      <c r="BZ447">
        <v>44</v>
      </c>
      <c r="CA447" s="10" t="s">
        <v>94</v>
      </c>
      <c r="CB447" s="43" t="s">
        <v>184</v>
      </c>
      <c r="CD447" s="42"/>
      <c r="CE447" s="34" t="s">
        <v>155</v>
      </c>
      <c r="CF447" s="10" t="s">
        <v>15</v>
      </c>
      <c r="CG447" s="10">
        <v>8</v>
      </c>
      <c r="CH447" s="10" t="s">
        <v>152</v>
      </c>
      <c r="CI447">
        <v>44</v>
      </c>
      <c r="CJ447" s="10">
        <v>1092</v>
      </c>
      <c r="CK447" t="s">
        <v>162</v>
      </c>
    </row>
    <row r="448" spans="1:89" x14ac:dyDescent="0.25">
      <c r="A448" s="42"/>
      <c r="B448" s="34" t="s">
        <v>155</v>
      </c>
      <c r="C448" s="10" t="s">
        <v>15</v>
      </c>
      <c r="D448" s="10">
        <v>9</v>
      </c>
      <c r="E448" s="10" t="s">
        <v>152</v>
      </c>
      <c r="F448">
        <v>45</v>
      </c>
      <c r="G448" s="10">
        <v>3023</v>
      </c>
      <c r="H448" t="s">
        <v>169</v>
      </c>
      <c r="J448" s="42"/>
      <c r="K448" s="34" t="s">
        <v>155</v>
      </c>
      <c r="L448" s="10" t="s">
        <v>15</v>
      </c>
      <c r="M448" s="10">
        <v>9</v>
      </c>
      <c r="N448" s="10" t="s">
        <v>152</v>
      </c>
      <c r="O448">
        <v>45</v>
      </c>
      <c r="P448" s="10">
        <v>3017</v>
      </c>
      <c r="Q448" s="43" t="s">
        <v>184</v>
      </c>
      <c r="S448" s="42"/>
      <c r="T448" s="34" t="s">
        <v>155</v>
      </c>
      <c r="U448" s="10" t="s">
        <v>15</v>
      </c>
      <c r="V448" s="10">
        <v>9</v>
      </c>
      <c r="W448" s="10" t="s">
        <v>152</v>
      </c>
      <c r="X448">
        <v>45</v>
      </c>
      <c r="Y448" s="10" t="s">
        <v>79</v>
      </c>
      <c r="Z448" t="s">
        <v>161</v>
      </c>
      <c r="AB448" s="42"/>
      <c r="AC448" s="34" t="s">
        <v>155</v>
      </c>
      <c r="AD448" s="10" t="s">
        <v>15</v>
      </c>
      <c r="AE448" s="10">
        <v>9</v>
      </c>
      <c r="AF448" s="10" t="s">
        <v>152</v>
      </c>
      <c r="AG448">
        <v>45</v>
      </c>
      <c r="AH448" s="10" t="s">
        <v>81</v>
      </c>
      <c r="AI448" s="43" t="s">
        <v>182</v>
      </c>
      <c r="AK448" s="42"/>
      <c r="AL448" s="34" t="s">
        <v>155</v>
      </c>
      <c r="AM448" s="10" t="s">
        <v>15</v>
      </c>
      <c r="AN448" s="10">
        <v>9</v>
      </c>
      <c r="AO448" s="10" t="s">
        <v>152</v>
      </c>
      <c r="AP448">
        <v>45</v>
      </c>
      <c r="AQ448" s="10" t="s">
        <v>66</v>
      </c>
      <c r="AR448" t="s">
        <v>180</v>
      </c>
      <c r="AT448" s="42"/>
      <c r="AU448" s="34" t="s">
        <v>155</v>
      </c>
      <c r="AV448" s="10" t="s">
        <v>15</v>
      </c>
      <c r="AW448" s="10">
        <v>9</v>
      </c>
      <c r="AX448" s="10" t="s">
        <v>152</v>
      </c>
      <c r="AY448">
        <v>45</v>
      </c>
      <c r="AZ448" s="10" t="s">
        <v>67</v>
      </c>
      <c r="BA448" s="43" t="s">
        <v>189</v>
      </c>
      <c r="BC448" s="42"/>
      <c r="BD448" s="34" t="s">
        <v>155</v>
      </c>
      <c r="BE448" s="10" t="s">
        <v>15</v>
      </c>
      <c r="BF448" s="10">
        <v>9</v>
      </c>
      <c r="BG448" s="10" t="s">
        <v>152</v>
      </c>
      <c r="BH448">
        <v>45</v>
      </c>
      <c r="BI448" s="10" t="s">
        <v>92</v>
      </c>
      <c r="BJ448" s="43" t="s">
        <v>189</v>
      </c>
      <c r="BL448" s="42"/>
      <c r="BM448" s="34" t="s">
        <v>155</v>
      </c>
      <c r="BN448" s="10" t="s">
        <v>15</v>
      </c>
      <c r="BO448" s="10">
        <v>9</v>
      </c>
      <c r="BP448" s="10" t="s">
        <v>152</v>
      </c>
      <c r="BQ448">
        <v>45</v>
      </c>
      <c r="BR448" s="10">
        <v>1088</v>
      </c>
      <c r="BS448" t="s">
        <v>177</v>
      </c>
      <c r="BU448" s="42"/>
      <c r="BV448" s="34" t="s">
        <v>155</v>
      </c>
      <c r="BW448" s="10" t="s">
        <v>15</v>
      </c>
      <c r="BX448" s="10">
        <v>9</v>
      </c>
      <c r="BY448" s="10" t="s">
        <v>152</v>
      </c>
      <c r="BZ448">
        <v>45</v>
      </c>
      <c r="CA448" s="10" t="s">
        <v>94</v>
      </c>
      <c r="CB448" s="43" t="s">
        <v>187</v>
      </c>
      <c r="CD448" s="42"/>
      <c r="CE448" s="34" t="s">
        <v>155</v>
      </c>
      <c r="CF448" s="10" t="s">
        <v>15</v>
      </c>
      <c r="CG448" s="10">
        <v>9</v>
      </c>
      <c r="CH448" s="10" t="s">
        <v>152</v>
      </c>
      <c r="CI448">
        <v>45</v>
      </c>
      <c r="CJ448" s="10">
        <v>1092</v>
      </c>
      <c r="CK448" t="s">
        <v>170</v>
      </c>
    </row>
    <row r="449" spans="1:89" x14ac:dyDescent="0.25">
      <c r="A449" s="42"/>
      <c r="B449" s="34" t="s">
        <v>155</v>
      </c>
      <c r="C449" s="10" t="s">
        <v>15</v>
      </c>
      <c r="D449" s="10">
        <v>10</v>
      </c>
      <c r="E449" s="10" t="s">
        <v>152</v>
      </c>
      <c r="F449">
        <v>46</v>
      </c>
      <c r="G449" s="10">
        <v>3023</v>
      </c>
      <c r="H449" t="s">
        <v>177</v>
      </c>
      <c r="J449" s="42"/>
      <c r="K449" s="34" t="s">
        <v>155</v>
      </c>
      <c r="L449" s="10" t="s">
        <v>15</v>
      </c>
      <c r="M449" s="10">
        <v>10</v>
      </c>
      <c r="N449" s="10" t="s">
        <v>152</v>
      </c>
      <c r="O449">
        <v>46</v>
      </c>
      <c r="P449" s="10">
        <v>3017</v>
      </c>
      <c r="Q449" s="43" t="s">
        <v>187</v>
      </c>
      <c r="S449" s="42"/>
      <c r="T449" s="34" t="s">
        <v>155</v>
      </c>
      <c r="U449" s="10" t="s">
        <v>15</v>
      </c>
      <c r="V449" s="10">
        <v>10</v>
      </c>
      <c r="W449" s="10" t="s">
        <v>152</v>
      </c>
      <c r="X449">
        <v>46</v>
      </c>
      <c r="Y449" s="10" t="s">
        <v>79</v>
      </c>
      <c r="Z449" t="s">
        <v>169</v>
      </c>
      <c r="AB449" s="42"/>
      <c r="AC449" s="34" t="s">
        <v>155</v>
      </c>
      <c r="AD449" s="10" t="s">
        <v>15</v>
      </c>
      <c r="AE449" s="10">
        <v>10</v>
      </c>
      <c r="AF449" s="10" t="s">
        <v>152</v>
      </c>
      <c r="AG449">
        <v>46</v>
      </c>
      <c r="AH449" s="10" t="s">
        <v>81</v>
      </c>
      <c r="AI449" s="43" t="s">
        <v>184</v>
      </c>
      <c r="AK449" s="42"/>
      <c r="AL449" s="34" t="s">
        <v>155</v>
      </c>
      <c r="AM449" s="10" t="s">
        <v>15</v>
      </c>
      <c r="AN449" s="10">
        <v>10</v>
      </c>
      <c r="AO449" s="10" t="s">
        <v>152</v>
      </c>
      <c r="AP449">
        <v>46</v>
      </c>
      <c r="AQ449" s="10" t="s">
        <v>66</v>
      </c>
      <c r="AR449" t="s">
        <v>181</v>
      </c>
      <c r="AT449" s="42"/>
      <c r="AU449" s="34" t="s">
        <v>155</v>
      </c>
      <c r="AV449" s="10" t="s">
        <v>15</v>
      </c>
      <c r="AW449" s="10">
        <v>10</v>
      </c>
      <c r="AX449" s="10" t="s">
        <v>152</v>
      </c>
      <c r="AY449">
        <v>46</v>
      </c>
      <c r="AZ449" s="10" t="s">
        <v>82</v>
      </c>
      <c r="BA449" s="43" t="s">
        <v>160</v>
      </c>
      <c r="BC449" s="42"/>
      <c r="BD449" s="34" t="s">
        <v>155</v>
      </c>
      <c r="BE449" s="10" t="s">
        <v>15</v>
      </c>
      <c r="BF449" s="10">
        <v>10</v>
      </c>
      <c r="BG449" s="10" t="s">
        <v>152</v>
      </c>
      <c r="BH449">
        <v>46</v>
      </c>
      <c r="BI449" s="10">
        <v>3028</v>
      </c>
      <c r="BJ449" s="43" t="s">
        <v>160</v>
      </c>
      <c r="BL449" s="42"/>
      <c r="BM449" s="34" t="s">
        <v>155</v>
      </c>
      <c r="BN449" s="10" t="s">
        <v>15</v>
      </c>
      <c r="BO449" s="10">
        <v>10</v>
      </c>
      <c r="BP449" s="10" t="s">
        <v>152</v>
      </c>
      <c r="BQ449">
        <v>46</v>
      </c>
      <c r="BR449" s="10">
        <v>1088</v>
      </c>
      <c r="BS449" t="s">
        <v>180</v>
      </c>
      <c r="BU449" s="42"/>
      <c r="BV449" s="34" t="s">
        <v>155</v>
      </c>
      <c r="BW449" s="10" t="s">
        <v>15</v>
      </c>
      <c r="BX449" s="10">
        <v>10</v>
      </c>
      <c r="BY449" s="10" t="s">
        <v>152</v>
      </c>
      <c r="BZ449">
        <v>46</v>
      </c>
      <c r="CA449" s="10" t="s">
        <v>94</v>
      </c>
      <c r="CB449" s="43" t="s">
        <v>189</v>
      </c>
      <c r="CD449" s="42"/>
      <c r="CE449" s="34" t="s">
        <v>155</v>
      </c>
      <c r="CF449" s="10" t="s">
        <v>15</v>
      </c>
      <c r="CG449" s="10">
        <v>10</v>
      </c>
      <c r="CH449" s="10" t="s">
        <v>152</v>
      </c>
      <c r="CI449">
        <v>46</v>
      </c>
      <c r="CJ449" s="10">
        <v>1092</v>
      </c>
      <c r="CK449" t="s">
        <v>178</v>
      </c>
    </row>
    <row r="450" spans="1:89" x14ac:dyDescent="0.25">
      <c r="A450" s="42"/>
      <c r="B450" s="34" t="s">
        <v>155</v>
      </c>
      <c r="C450" s="10" t="s">
        <v>15</v>
      </c>
      <c r="D450" s="10">
        <v>11</v>
      </c>
      <c r="E450" s="10" t="s">
        <v>152</v>
      </c>
      <c r="F450">
        <v>47</v>
      </c>
      <c r="G450" s="10">
        <v>3023</v>
      </c>
      <c r="H450" t="s">
        <v>180</v>
      </c>
      <c r="J450" s="42"/>
      <c r="K450" s="34" t="s">
        <v>155</v>
      </c>
      <c r="L450" s="10" t="s">
        <v>15</v>
      </c>
      <c r="M450" s="10">
        <v>11</v>
      </c>
      <c r="N450" s="10" t="s">
        <v>152</v>
      </c>
      <c r="O450">
        <v>47</v>
      </c>
      <c r="P450" s="10">
        <v>3017</v>
      </c>
      <c r="Q450" s="43" t="s">
        <v>189</v>
      </c>
      <c r="S450" s="42"/>
      <c r="T450" s="34" t="s">
        <v>155</v>
      </c>
      <c r="U450" s="10" t="s">
        <v>15</v>
      </c>
      <c r="V450" s="10">
        <v>11</v>
      </c>
      <c r="W450" s="10" t="s">
        <v>152</v>
      </c>
      <c r="X450">
        <v>47</v>
      </c>
      <c r="Y450" s="10" t="s">
        <v>79</v>
      </c>
      <c r="Z450" t="s">
        <v>177</v>
      </c>
      <c r="AB450" s="42"/>
      <c r="AC450" s="34" t="s">
        <v>155</v>
      </c>
      <c r="AD450" s="10" t="s">
        <v>15</v>
      </c>
      <c r="AE450" s="10">
        <v>11</v>
      </c>
      <c r="AF450" s="10" t="s">
        <v>152</v>
      </c>
      <c r="AG450">
        <v>47</v>
      </c>
      <c r="AH450" s="10" t="s">
        <v>81</v>
      </c>
      <c r="AI450" s="43" t="s">
        <v>187</v>
      </c>
      <c r="AK450" s="42"/>
      <c r="AL450" s="34" t="s">
        <v>155</v>
      </c>
      <c r="AM450" s="10" t="s">
        <v>15</v>
      </c>
      <c r="AN450" s="10">
        <v>11</v>
      </c>
      <c r="AO450" s="10" t="s">
        <v>152</v>
      </c>
      <c r="AP450">
        <v>47</v>
      </c>
      <c r="AQ450" s="10" t="s">
        <v>66</v>
      </c>
      <c r="AR450" t="s">
        <v>183</v>
      </c>
      <c r="AT450" s="42"/>
      <c r="AU450" s="34" t="s">
        <v>155</v>
      </c>
      <c r="AV450" s="10" t="s">
        <v>15</v>
      </c>
      <c r="AW450" s="10">
        <v>11</v>
      </c>
      <c r="AX450" s="10" t="s">
        <v>152</v>
      </c>
      <c r="AY450">
        <v>47</v>
      </c>
      <c r="AZ450" s="10" t="s">
        <v>82</v>
      </c>
      <c r="BA450" s="51" t="s">
        <v>168</v>
      </c>
      <c r="BC450" s="42"/>
      <c r="BD450" s="34" t="s">
        <v>155</v>
      </c>
      <c r="BE450" s="10" t="s">
        <v>15</v>
      </c>
      <c r="BF450" s="10">
        <v>11</v>
      </c>
      <c r="BG450" s="10" t="s">
        <v>152</v>
      </c>
      <c r="BH450">
        <v>47</v>
      </c>
      <c r="BI450" s="10">
        <v>3028</v>
      </c>
      <c r="BJ450" s="51" t="s">
        <v>168</v>
      </c>
      <c r="BL450" s="42"/>
      <c r="BM450" s="34" t="s">
        <v>155</v>
      </c>
      <c r="BN450" s="10" t="s">
        <v>15</v>
      </c>
      <c r="BO450" s="10">
        <v>11</v>
      </c>
      <c r="BP450" s="10" t="s">
        <v>152</v>
      </c>
      <c r="BQ450">
        <v>47</v>
      </c>
      <c r="BR450" s="10">
        <v>1088</v>
      </c>
      <c r="BS450" t="s">
        <v>181</v>
      </c>
      <c r="BU450" s="42"/>
      <c r="BV450" s="34" t="s">
        <v>155</v>
      </c>
      <c r="BW450" s="10" t="s">
        <v>15</v>
      </c>
      <c r="BX450" s="10">
        <v>11</v>
      </c>
      <c r="BY450" s="10" t="s">
        <v>152</v>
      </c>
      <c r="BZ450">
        <v>47</v>
      </c>
      <c r="CA450" s="10" t="s">
        <v>88</v>
      </c>
      <c r="CB450" s="43" t="s">
        <v>160</v>
      </c>
      <c r="CD450" s="42"/>
      <c r="CE450" s="34" t="s">
        <v>155</v>
      </c>
      <c r="CF450" s="10" t="s">
        <v>15</v>
      </c>
      <c r="CG450" s="10">
        <v>11</v>
      </c>
      <c r="CH450" s="10" t="s">
        <v>152</v>
      </c>
      <c r="CI450">
        <v>47</v>
      </c>
      <c r="CJ450" s="10">
        <v>1092</v>
      </c>
      <c r="CK450" t="s">
        <v>163</v>
      </c>
    </row>
    <row r="451" spans="1:89" ht="15.75" thickBot="1" x14ac:dyDescent="0.3">
      <c r="A451" s="47"/>
      <c r="B451" s="48" t="s">
        <v>155</v>
      </c>
      <c r="C451" s="49" t="s">
        <v>15</v>
      </c>
      <c r="D451" s="49">
        <v>12</v>
      </c>
      <c r="E451" s="49" t="s">
        <v>152</v>
      </c>
      <c r="F451" s="50">
        <v>48</v>
      </c>
      <c r="G451" s="10">
        <v>3023</v>
      </c>
      <c r="H451" t="s">
        <v>181</v>
      </c>
      <c r="J451" s="47"/>
      <c r="K451" s="48" t="s">
        <v>155</v>
      </c>
      <c r="L451" s="49" t="s">
        <v>15</v>
      </c>
      <c r="M451" s="49">
        <v>12</v>
      </c>
      <c r="N451" s="49" t="s">
        <v>152</v>
      </c>
      <c r="O451" s="50">
        <v>48</v>
      </c>
      <c r="P451" s="10">
        <v>3025</v>
      </c>
      <c r="Q451" s="43" t="s">
        <v>182</v>
      </c>
      <c r="S451" s="47"/>
      <c r="T451" s="48" t="s">
        <v>155</v>
      </c>
      <c r="U451" s="49" t="s">
        <v>15</v>
      </c>
      <c r="V451" s="49">
        <v>12</v>
      </c>
      <c r="W451" s="49" t="s">
        <v>152</v>
      </c>
      <c r="X451" s="50">
        <v>48</v>
      </c>
      <c r="Y451" s="10" t="s">
        <v>79</v>
      </c>
      <c r="Z451" t="s">
        <v>180</v>
      </c>
      <c r="AB451" s="47"/>
      <c r="AC451" s="48" t="s">
        <v>155</v>
      </c>
      <c r="AD451" s="49" t="s">
        <v>15</v>
      </c>
      <c r="AE451" s="49">
        <v>12</v>
      </c>
      <c r="AF451" s="49" t="s">
        <v>152</v>
      </c>
      <c r="AG451" s="50">
        <v>48</v>
      </c>
      <c r="AH451" s="10" t="s">
        <v>81</v>
      </c>
      <c r="AI451" s="43" t="s">
        <v>189</v>
      </c>
      <c r="AK451" s="47"/>
      <c r="AL451" s="48" t="s">
        <v>155</v>
      </c>
      <c r="AM451" s="49" t="s">
        <v>15</v>
      </c>
      <c r="AN451" s="49">
        <v>12</v>
      </c>
      <c r="AO451" s="49" t="s">
        <v>152</v>
      </c>
      <c r="AP451" s="50">
        <v>48</v>
      </c>
      <c r="AQ451" s="10" t="s">
        <v>66</v>
      </c>
      <c r="AR451" t="s">
        <v>186</v>
      </c>
      <c r="AT451" s="47"/>
      <c r="AU451" s="48" t="s">
        <v>155</v>
      </c>
      <c r="AV451" s="49" t="s">
        <v>15</v>
      </c>
      <c r="AW451" s="49">
        <v>12</v>
      </c>
      <c r="AX451" s="49" t="s">
        <v>152</v>
      </c>
      <c r="AY451" s="50">
        <v>48</v>
      </c>
      <c r="AZ451" s="10" t="s">
        <v>82</v>
      </c>
      <c r="BA451" s="43" t="s">
        <v>176</v>
      </c>
      <c r="BC451" s="47"/>
      <c r="BD451" s="48" t="s">
        <v>155</v>
      </c>
      <c r="BE451" s="49" t="s">
        <v>15</v>
      </c>
      <c r="BF451" s="49">
        <v>12</v>
      </c>
      <c r="BG451" s="49" t="s">
        <v>152</v>
      </c>
      <c r="BH451" s="50">
        <v>48</v>
      </c>
      <c r="BI451" s="10">
        <v>3028</v>
      </c>
      <c r="BJ451" s="43" t="s">
        <v>176</v>
      </c>
      <c r="BL451" s="47"/>
      <c r="BM451" s="48" t="s">
        <v>155</v>
      </c>
      <c r="BN451" s="49" t="s">
        <v>15</v>
      </c>
      <c r="BO451" s="49">
        <v>12</v>
      </c>
      <c r="BP451" s="49" t="s">
        <v>152</v>
      </c>
      <c r="BQ451" s="50">
        <v>48</v>
      </c>
      <c r="BR451" s="10">
        <v>1088</v>
      </c>
      <c r="BS451" t="s">
        <v>183</v>
      </c>
      <c r="BU451" s="47"/>
      <c r="BV451" s="48" t="s">
        <v>155</v>
      </c>
      <c r="BW451" s="49" t="s">
        <v>15</v>
      </c>
      <c r="BX451" s="49">
        <v>12</v>
      </c>
      <c r="BY451" s="49" t="s">
        <v>152</v>
      </c>
      <c r="BZ451" s="50">
        <v>48</v>
      </c>
      <c r="CA451" s="10" t="s">
        <v>88</v>
      </c>
      <c r="CB451" s="51" t="s">
        <v>168</v>
      </c>
      <c r="CD451" s="47"/>
      <c r="CE451" s="48" t="s">
        <v>155</v>
      </c>
      <c r="CF451" s="49" t="s">
        <v>15</v>
      </c>
      <c r="CG451" s="49">
        <v>12</v>
      </c>
      <c r="CH451" s="49" t="s">
        <v>152</v>
      </c>
      <c r="CI451" s="50">
        <v>48</v>
      </c>
      <c r="CJ451" s="10">
        <v>1092</v>
      </c>
      <c r="CK451" t="s">
        <v>171</v>
      </c>
    </row>
    <row r="452" spans="1:89" x14ac:dyDescent="0.25">
      <c r="A452" s="56"/>
      <c r="B452" s="31" t="s">
        <v>155</v>
      </c>
      <c r="C452" s="58" t="s">
        <v>18</v>
      </c>
      <c r="D452" s="58">
        <v>1</v>
      </c>
      <c r="E452" s="58" t="s">
        <v>152</v>
      </c>
      <c r="F452" s="59">
        <v>49</v>
      </c>
      <c r="G452" s="10">
        <v>3023</v>
      </c>
      <c r="H452" t="s">
        <v>183</v>
      </c>
      <c r="J452" s="56"/>
      <c r="K452" s="31" t="s">
        <v>155</v>
      </c>
      <c r="L452" s="58" t="s">
        <v>18</v>
      </c>
      <c r="M452" s="58">
        <v>1</v>
      </c>
      <c r="N452" s="58" t="s">
        <v>152</v>
      </c>
      <c r="O452" s="59">
        <v>49</v>
      </c>
      <c r="P452" s="10">
        <v>3025</v>
      </c>
      <c r="Q452" s="43" t="s">
        <v>184</v>
      </c>
      <c r="S452" s="56"/>
      <c r="T452" s="31" t="s">
        <v>155</v>
      </c>
      <c r="U452" s="58" t="s">
        <v>18</v>
      </c>
      <c r="V452" s="58">
        <v>1</v>
      </c>
      <c r="W452" s="58" t="s">
        <v>152</v>
      </c>
      <c r="X452" s="59">
        <v>49</v>
      </c>
      <c r="Y452" s="10" t="s">
        <v>79</v>
      </c>
      <c r="Z452" t="s">
        <v>181</v>
      </c>
      <c r="AB452" s="56"/>
      <c r="AC452" s="31" t="s">
        <v>155</v>
      </c>
      <c r="AD452" s="58" t="s">
        <v>18</v>
      </c>
      <c r="AE452" s="58">
        <v>1</v>
      </c>
      <c r="AF452" s="58" t="s">
        <v>152</v>
      </c>
      <c r="AG452" s="59">
        <v>49</v>
      </c>
      <c r="AH452" s="10">
        <v>3015</v>
      </c>
      <c r="AI452" s="43" t="s">
        <v>160</v>
      </c>
      <c r="AK452" s="56"/>
      <c r="AL452" s="31" t="s">
        <v>155</v>
      </c>
      <c r="AM452" s="58" t="s">
        <v>18</v>
      </c>
      <c r="AN452" s="58">
        <v>1</v>
      </c>
      <c r="AO452" s="58" t="s">
        <v>152</v>
      </c>
      <c r="AP452" s="59">
        <v>49</v>
      </c>
      <c r="AQ452" s="10" t="s">
        <v>66</v>
      </c>
      <c r="AR452" s="43" t="s">
        <v>188</v>
      </c>
      <c r="AT452" s="56"/>
      <c r="AU452" s="31" t="s">
        <v>155</v>
      </c>
      <c r="AV452" s="58" t="s">
        <v>18</v>
      </c>
      <c r="AW452" s="58">
        <v>1</v>
      </c>
      <c r="AX452" s="58" t="s">
        <v>152</v>
      </c>
      <c r="AY452" s="59">
        <v>49</v>
      </c>
      <c r="AZ452" s="10" t="s">
        <v>82</v>
      </c>
      <c r="BA452" s="43" t="s">
        <v>164</v>
      </c>
      <c r="BC452" s="56"/>
      <c r="BD452" s="31" t="s">
        <v>155</v>
      </c>
      <c r="BE452" s="58" t="s">
        <v>18</v>
      </c>
      <c r="BF452" s="58">
        <v>1</v>
      </c>
      <c r="BG452" s="58" t="s">
        <v>152</v>
      </c>
      <c r="BH452" s="59">
        <v>49</v>
      </c>
      <c r="BI452" s="10">
        <v>3028</v>
      </c>
      <c r="BJ452" s="43" t="s">
        <v>164</v>
      </c>
      <c r="BL452" s="56"/>
      <c r="BM452" s="31" t="s">
        <v>155</v>
      </c>
      <c r="BN452" s="58" t="s">
        <v>18</v>
      </c>
      <c r="BO452" s="58">
        <v>1</v>
      </c>
      <c r="BP452" s="58" t="s">
        <v>152</v>
      </c>
      <c r="BQ452" s="59">
        <v>49</v>
      </c>
      <c r="BR452" s="10">
        <v>1088</v>
      </c>
      <c r="BS452" t="s">
        <v>186</v>
      </c>
      <c r="BU452" s="56"/>
      <c r="BV452" s="31" t="s">
        <v>155</v>
      </c>
      <c r="BW452" s="58" t="s">
        <v>18</v>
      </c>
      <c r="BX452" s="58">
        <v>1</v>
      </c>
      <c r="BY452" s="58" t="s">
        <v>152</v>
      </c>
      <c r="BZ452" s="59">
        <v>49</v>
      </c>
      <c r="CA452" s="10" t="s">
        <v>88</v>
      </c>
      <c r="CB452" s="43" t="s">
        <v>176</v>
      </c>
      <c r="CD452" s="56"/>
      <c r="CE452" s="31" t="s">
        <v>155</v>
      </c>
      <c r="CF452" s="58" t="s">
        <v>18</v>
      </c>
      <c r="CG452" s="58">
        <v>1</v>
      </c>
      <c r="CH452" s="58" t="s">
        <v>152</v>
      </c>
      <c r="CI452" s="59">
        <v>49</v>
      </c>
      <c r="CJ452" s="10">
        <v>1092</v>
      </c>
      <c r="CK452" t="s">
        <v>161</v>
      </c>
    </row>
    <row r="453" spans="1:89" x14ac:dyDescent="0.25">
      <c r="A453" s="42"/>
      <c r="B453" s="34" t="s">
        <v>155</v>
      </c>
      <c r="C453" s="10" t="s">
        <v>18</v>
      </c>
      <c r="D453" s="10">
        <v>2</v>
      </c>
      <c r="E453" s="10" t="s">
        <v>152</v>
      </c>
      <c r="F453">
        <v>50</v>
      </c>
      <c r="G453" s="10">
        <v>3023</v>
      </c>
      <c r="H453" t="s">
        <v>186</v>
      </c>
      <c r="J453" s="42"/>
      <c r="K453" s="34" t="s">
        <v>155</v>
      </c>
      <c r="L453" s="10" t="s">
        <v>18</v>
      </c>
      <c r="M453" s="10">
        <v>2</v>
      </c>
      <c r="N453" s="10" t="s">
        <v>152</v>
      </c>
      <c r="O453">
        <v>50</v>
      </c>
      <c r="P453" s="10">
        <v>3025</v>
      </c>
      <c r="Q453" s="43" t="s">
        <v>187</v>
      </c>
      <c r="S453" s="42"/>
      <c r="T453" s="34" t="s">
        <v>155</v>
      </c>
      <c r="U453" s="10" t="s">
        <v>18</v>
      </c>
      <c r="V453" s="10">
        <v>2</v>
      </c>
      <c r="W453" s="10" t="s">
        <v>152</v>
      </c>
      <c r="X453">
        <v>50</v>
      </c>
      <c r="Y453" s="10" t="s">
        <v>79</v>
      </c>
      <c r="Z453" t="s">
        <v>183</v>
      </c>
      <c r="AB453" s="42"/>
      <c r="AC453" s="34" t="s">
        <v>155</v>
      </c>
      <c r="AD453" s="10" t="s">
        <v>18</v>
      </c>
      <c r="AE453" s="10">
        <v>2</v>
      </c>
      <c r="AF453" s="10" t="s">
        <v>152</v>
      </c>
      <c r="AG453">
        <v>50</v>
      </c>
      <c r="AH453" s="10">
        <v>3015</v>
      </c>
      <c r="AI453" s="51" t="s">
        <v>168</v>
      </c>
      <c r="AK453" s="42"/>
      <c r="AL453" s="34" t="s">
        <v>155</v>
      </c>
      <c r="AM453" s="10" t="s">
        <v>18</v>
      </c>
      <c r="AN453" s="10">
        <v>2</v>
      </c>
      <c r="AO453" s="10" t="s">
        <v>152</v>
      </c>
      <c r="AP453">
        <v>50</v>
      </c>
      <c r="AQ453" s="10" t="s">
        <v>66</v>
      </c>
      <c r="AR453" s="43" t="s">
        <v>182</v>
      </c>
      <c r="AT453" s="42"/>
      <c r="AU453" s="34" t="s">
        <v>155</v>
      </c>
      <c r="AV453" s="10" t="s">
        <v>18</v>
      </c>
      <c r="AW453" s="10">
        <v>2</v>
      </c>
      <c r="AX453" s="10" t="s">
        <v>152</v>
      </c>
      <c r="AY453">
        <v>50</v>
      </c>
      <c r="AZ453" s="10" t="s">
        <v>82</v>
      </c>
      <c r="BA453" t="s">
        <v>172</v>
      </c>
      <c r="BC453" s="42"/>
      <c r="BD453" s="34" t="s">
        <v>155</v>
      </c>
      <c r="BE453" s="10" t="s">
        <v>18</v>
      </c>
      <c r="BF453" s="10">
        <v>2</v>
      </c>
      <c r="BG453" s="10" t="s">
        <v>152</v>
      </c>
      <c r="BH453">
        <v>50</v>
      </c>
      <c r="BI453" s="10">
        <v>3028</v>
      </c>
      <c r="BJ453" t="s">
        <v>172</v>
      </c>
      <c r="BL453" s="42"/>
      <c r="BM453" s="34" t="s">
        <v>155</v>
      </c>
      <c r="BN453" s="10" t="s">
        <v>18</v>
      </c>
      <c r="BO453" s="10">
        <v>2</v>
      </c>
      <c r="BP453" s="10" t="s">
        <v>152</v>
      </c>
      <c r="BQ453">
        <v>50</v>
      </c>
      <c r="BR453" s="10">
        <v>1088</v>
      </c>
      <c r="BS453" s="43" t="s">
        <v>188</v>
      </c>
      <c r="BU453" s="42"/>
      <c r="BV453" s="34" t="s">
        <v>155</v>
      </c>
      <c r="BW453" s="10" t="s">
        <v>18</v>
      </c>
      <c r="BX453" s="10">
        <v>2</v>
      </c>
      <c r="BY453" s="10" t="s">
        <v>152</v>
      </c>
      <c r="BZ453">
        <v>50</v>
      </c>
      <c r="CA453" s="10" t="s">
        <v>88</v>
      </c>
      <c r="CB453" s="43" t="s">
        <v>164</v>
      </c>
      <c r="CD453" s="42"/>
      <c r="CE453" s="34" t="s">
        <v>155</v>
      </c>
      <c r="CF453" s="10" t="s">
        <v>18</v>
      </c>
      <c r="CG453" s="10">
        <v>2</v>
      </c>
      <c r="CH453" s="10" t="s">
        <v>152</v>
      </c>
      <c r="CI453">
        <v>50</v>
      </c>
      <c r="CJ453" s="10">
        <v>1092</v>
      </c>
      <c r="CK453" t="s">
        <v>169</v>
      </c>
    </row>
    <row r="454" spans="1:89" x14ac:dyDescent="0.25">
      <c r="A454" s="42"/>
      <c r="B454" s="34" t="s">
        <v>155</v>
      </c>
      <c r="C454" s="10" t="s">
        <v>18</v>
      </c>
      <c r="D454" s="10">
        <v>3</v>
      </c>
      <c r="E454" s="10" t="s">
        <v>152</v>
      </c>
      <c r="F454">
        <v>51</v>
      </c>
      <c r="G454" s="10">
        <v>3023</v>
      </c>
      <c r="H454" s="43" t="s">
        <v>188</v>
      </c>
      <c r="J454" s="42"/>
      <c r="K454" s="34" t="s">
        <v>155</v>
      </c>
      <c r="L454" s="10" t="s">
        <v>18</v>
      </c>
      <c r="M454" s="10">
        <v>3</v>
      </c>
      <c r="N454" s="10" t="s">
        <v>152</v>
      </c>
      <c r="O454">
        <v>51</v>
      </c>
      <c r="P454" s="10">
        <v>3025</v>
      </c>
      <c r="Q454" s="43" t="s">
        <v>189</v>
      </c>
      <c r="S454" s="42"/>
      <c r="T454" s="34" t="s">
        <v>155</v>
      </c>
      <c r="U454" s="10" t="s">
        <v>18</v>
      </c>
      <c r="V454" s="10">
        <v>3</v>
      </c>
      <c r="W454" s="10" t="s">
        <v>152</v>
      </c>
      <c r="X454">
        <v>51</v>
      </c>
      <c r="Y454" s="10" t="s">
        <v>79</v>
      </c>
      <c r="Z454" t="s">
        <v>186</v>
      </c>
      <c r="AB454" s="42"/>
      <c r="AC454" s="34" t="s">
        <v>155</v>
      </c>
      <c r="AD454" s="10" t="s">
        <v>18</v>
      </c>
      <c r="AE454" s="10">
        <v>3</v>
      </c>
      <c r="AF454" s="10" t="s">
        <v>152</v>
      </c>
      <c r="AG454">
        <v>51</v>
      </c>
      <c r="AH454" s="10">
        <v>3015</v>
      </c>
      <c r="AI454" s="43" t="s">
        <v>176</v>
      </c>
      <c r="AK454" s="42"/>
      <c r="AL454" s="34" t="s">
        <v>155</v>
      </c>
      <c r="AM454" s="10" t="s">
        <v>18</v>
      </c>
      <c r="AN454" s="10">
        <v>3</v>
      </c>
      <c r="AO454" s="10" t="s">
        <v>152</v>
      </c>
      <c r="AP454">
        <v>51</v>
      </c>
      <c r="AQ454" s="10" t="s">
        <v>66</v>
      </c>
      <c r="AR454" s="43" t="s">
        <v>184</v>
      </c>
      <c r="AT454" s="42"/>
      <c r="AU454" s="34" t="s">
        <v>155</v>
      </c>
      <c r="AV454" s="10" t="s">
        <v>18</v>
      </c>
      <c r="AW454" s="10">
        <v>3</v>
      </c>
      <c r="AX454" s="10" t="s">
        <v>152</v>
      </c>
      <c r="AY454">
        <v>51</v>
      </c>
      <c r="AZ454" s="10" t="s">
        <v>82</v>
      </c>
      <c r="BA454" t="s">
        <v>162</v>
      </c>
      <c r="BC454" s="42"/>
      <c r="BD454" s="34" t="s">
        <v>155</v>
      </c>
      <c r="BE454" s="10" t="s">
        <v>18</v>
      </c>
      <c r="BF454" s="10">
        <v>3</v>
      </c>
      <c r="BG454" s="10" t="s">
        <v>152</v>
      </c>
      <c r="BH454">
        <v>51</v>
      </c>
      <c r="BI454" s="10">
        <v>3028</v>
      </c>
      <c r="BJ454" t="s">
        <v>162</v>
      </c>
      <c r="BL454" s="42"/>
      <c r="BM454" s="34" t="s">
        <v>155</v>
      </c>
      <c r="BN454" s="10" t="s">
        <v>18</v>
      </c>
      <c r="BO454" s="10">
        <v>3</v>
      </c>
      <c r="BP454" s="10" t="s">
        <v>152</v>
      </c>
      <c r="BQ454">
        <v>51</v>
      </c>
      <c r="BR454" s="10">
        <v>1088</v>
      </c>
      <c r="BS454" s="43" t="s">
        <v>182</v>
      </c>
      <c r="BU454" s="42"/>
      <c r="BV454" s="34" t="s">
        <v>155</v>
      </c>
      <c r="BW454" s="10" t="s">
        <v>18</v>
      </c>
      <c r="BX454" s="10">
        <v>3</v>
      </c>
      <c r="BY454" s="10" t="s">
        <v>152</v>
      </c>
      <c r="BZ454">
        <v>51</v>
      </c>
      <c r="CA454" s="10" t="s">
        <v>88</v>
      </c>
      <c r="CB454" t="s">
        <v>172</v>
      </c>
      <c r="CD454" s="42"/>
      <c r="CE454" s="34" t="s">
        <v>155</v>
      </c>
      <c r="CF454" s="10" t="s">
        <v>18</v>
      </c>
      <c r="CG454" s="10">
        <v>3</v>
      </c>
      <c r="CH454" s="10" t="s">
        <v>152</v>
      </c>
      <c r="CI454">
        <v>51</v>
      </c>
      <c r="CJ454" s="10">
        <v>1092</v>
      </c>
      <c r="CK454" t="s">
        <v>177</v>
      </c>
    </row>
    <row r="455" spans="1:89" x14ac:dyDescent="0.25">
      <c r="A455" s="42"/>
      <c r="B455" s="34" t="s">
        <v>155</v>
      </c>
      <c r="C455" s="10" t="s">
        <v>18</v>
      </c>
      <c r="D455" s="10">
        <v>4</v>
      </c>
      <c r="E455" s="10" t="s">
        <v>152</v>
      </c>
      <c r="F455">
        <v>52</v>
      </c>
      <c r="G455" s="10">
        <v>3023</v>
      </c>
      <c r="H455" s="43" t="s">
        <v>182</v>
      </c>
      <c r="J455" s="42"/>
      <c r="K455" s="34" t="s">
        <v>155</v>
      </c>
      <c r="L455" s="10" t="s">
        <v>18</v>
      </c>
      <c r="M455" s="10">
        <v>4</v>
      </c>
      <c r="N455" s="10" t="s">
        <v>152</v>
      </c>
      <c r="O455">
        <v>52</v>
      </c>
      <c r="P455" s="10">
        <v>3026</v>
      </c>
      <c r="Q455" t="s">
        <v>171</v>
      </c>
      <c r="S455" s="42"/>
      <c r="T455" s="34" t="s">
        <v>155</v>
      </c>
      <c r="U455" s="10" t="s">
        <v>18</v>
      </c>
      <c r="V455" s="10">
        <v>4</v>
      </c>
      <c r="W455" s="10" t="s">
        <v>152</v>
      </c>
      <c r="X455">
        <v>52</v>
      </c>
      <c r="Y455" s="10" t="s">
        <v>79</v>
      </c>
      <c r="Z455" s="43" t="s">
        <v>188</v>
      </c>
      <c r="AB455" s="42"/>
      <c r="AC455" s="34" t="s">
        <v>155</v>
      </c>
      <c r="AD455" s="10" t="s">
        <v>18</v>
      </c>
      <c r="AE455" s="10">
        <v>4</v>
      </c>
      <c r="AF455" s="10" t="s">
        <v>152</v>
      </c>
      <c r="AG455">
        <v>52</v>
      </c>
      <c r="AH455" s="10">
        <v>3015</v>
      </c>
      <c r="AI455" s="43" t="s">
        <v>164</v>
      </c>
      <c r="AK455" s="42"/>
      <c r="AL455" s="34" t="s">
        <v>155</v>
      </c>
      <c r="AM455" s="10" t="s">
        <v>18</v>
      </c>
      <c r="AN455" s="10">
        <v>4</v>
      </c>
      <c r="AO455" s="10" t="s">
        <v>152</v>
      </c>
      <c r="AP455">
        <v>52</v>
      </c>
      <c r="AQ455" s="10" t="s">
        <v>66</v>
      </c>
      <c r="AR455" s="43" t="s">
        <v>187</v>
      </c>
      <c r="AT455" s="42"/>
      <c r="AU455" s="34" t="s">
        <v>155</v>
      </c>
      <c r="AV455" s="10" t="s">
        <v>18</v>
      </c>
      <c r="AW455" s="10">
        <v>4</v>
      </c>
      <c r="AX455" s="10" t="s">
        <v>152</v>
      </c>
      <c r="AY455">
        <v>52</v>
      </c>
      <c r="AZ455" s="10" t="s">
        <v>82</v>
      </c>
      <c r="BA455" t="s">
        <v>170</v>
      </c>
      <c r="BC455" s="42"/>
      <c r="BD455" s="34" t="s">
        <v>155</v>
      </c>
      <c r="BE455" s="10" t="s">
        <v>18</v>
      </c>
      <c r="BF455" s="10">
        <v>4</v>
      </c>
      <c r="BG455" s="10" t="s">
        <v>152</v>
      </c>
      <c r="BH455">
        <v>52</v>
      </c>
      <c r="BI455" s="10">
        <v>3028</v>
      </c>
      <c r="BJ455" t="s">
        <v>170</v>
      </c>
      <c r="BL455" s="42"/>
      <c r="BM455" s="34" t="s">
        <v>155</v>
      </c>
      <c r="BN455" s="10" t="s">
        <v>18</v>
      </c>
      <c r="BO455" s="10">
        <v>4</v>
      </c>
      <c r="BP455" s="10" t="s">
        <v>152</v>
      </c>
      <c r="BQ455">
        <v>52</v>
      </c>
      <c r="BR455" s="10">
        <v>1088</v>
      </c>
      <c r="BS455" s="43" t="s">
        <v>184</v>
      </c>
      <c r="BU455" s="42"/>
      <c r="BV455" s="34" t="s">
        <v>155</v>
      </c>
      <c r="BW455" s="10" t="s">
        <v>18</v>
      </c>
      <c r="BX455" s="10">
        <v>4</v>
      </c>
      <c r="BY455" s="10" t="s">
        <v>152</v>
      </c>
      <c r="BZ455">
        <v>52</v>
      </c>
      <c r="CA455" s="10" t="s">
        <v>88</v>
      </c>
      <c r="CB455" t="s">
        <v>162</v>
      </c>
      <c r="CD455" s="42"/>
      <c r="CE455" s="34" t="s">
        <v>155</v>
      </c>
      <c r="CF455" s="10" t="s">
        <v>18</v>
      </c>
      <c r="CG455" s="10">
        <v>4</v>
      </c>
      <c r="CH455" s="10" t="s">
        <v>152</v>
      </c>
      <c r="CI455">
        <v>52</v>
      </c>
      <c r="CJ455" s="10">
        <v>1092</v>
      </c>
      <c r="CK455" t="s">
        <v>180</v>
      </c>
    </row>
    <row r="456" spans="1:89" x14ac:dyDescent="0.25">
      <c r="A456" s="42"/>
      <c r="B456" s="34" t="s">
        <v>155</v>
      </c>
      <c r="C456" s="10" t="s">
        <v>18</v>
      </c>
      <c r="D456" s="10">
        <v>5</v>
      </c>
      <c r="E456" s="10" t="s">
        <v>152</v>
      </c>
      <c r="F456">
        <v>53</v>
      </c>
      <c r="G456" s="10">
        <v>3023</v>
      </c>
      <c r="H456" s="43" t="s">
        <v>184</v>
      </c>
      <c r="J456" s="42"/>
      <c r="K456" s="34" t="s">
        <v>155</v>
      </c>
      <c r="L456" s="10" t="s">
        <v>18</v>
      </c>
      <c r="M456" s="10">
        <v>5</v>
      </c>
      <c r="N456" s="10" t="s">
        <v>152</v>
      </c>
      <c r="O456">
        <v>53</v>
      </c>
      <c r="P456" s="10">
        <v>3026</v>
      </c>
      <c r="Q456" t="s">
        <v>161</v>
      </c>
      <c r="S456" s="42"/>
      <c r="T456" s="34" t="s">
        <v>155</v>
      </c>
      <c r="U456" s="10" t="s">
        <v>18</v>
      </c>
      <c r="V456" s="10">
        <v>5</v>
      </c>
      <c r="W456" s="10" t="s">
        <v>152</v>
      </c>
      <c r="X456">
        <v>53</v>
      </c>
      <c r="Y456" s="10" t="s">
        <v>79</v>
      </c>
      <c r="Z456" s="43" t="s">
        <v>182</v>
      </c>
      <c r="AB456" s="42"/>
      <c r="AC456" s="34" t="s">
        <v>155</v>
      </c>
      <c r="AD456" s="10" t="s">
        <v>18</v>
      </c>
      <c r="AE456" s="10">
        <v>5</v>
      </c>
      <c r="AF456" s="10" t="s">
        <v>152</v>
      </c>
      <c r="AG456">
        <v>53</v>
      </c>
      <c r="AH456" s="10">
        <v>3015</v>
      </c>
      <c r="AI456" t="s">
        <v>172</v>
      </c>
      <c r="AK456" s="42"/>
      <c r="AL456" s="34" t="s">
        <v>155</v>
      </c>
      <c r="AM456" s="10" t="s">
        <v>18</v>
      </c>
      <c r="AN456" s="10">
        <v>5</v>
      </c>
      <c r="AO456" s="10" t="s">
        <v>152</v>
      </c>
      <c r="AP456">
        <v>53</v>
      </c>
      <c r="AQ456" s="10" t="s">
        <v>66</v>
      </c>
      <c r="AR456" s="43" t="s">
        <v>189</v>
      </c>
      <c r="AT456" s="42"/>
      <c r="AU456" s="34" t="s">
        <v>155</v>
      </c>
      <c r="AV456" s="10" t="s">
        <v>18</v>
      </c>
      <c r="AW456" s="10">
        <v>5</v>
      </c>
      <c r="AX456" s="10" t="s">
        <v>152</v>
      </c>
      <c r="AY456">
        <v>53</v>
      </c>
      <c r="AZ456" s="10" t="s">
        <v>82</v>
      </c>
      <c r="BA456" t="s">
        <v>178</v>
      </c>
      <c r="BC456" s="42"/>
      <c r="BD456" s="34" t="s">
        <v>155</v>
      </c>
      <c r="BE456" s="10" t="s">
        <v>18</v>
      </c>
      <c r="BF456" s="10">
        <v>5</v>
      </c>
      <c r="BG456" s="10" t="s">
        <v>152</v>
      </c>
      <c r="BH456">
        <v>53</v>
      </c>
      <c r="BI456" s="10">
        <v>3028</v>
      </c>
      <c r="BJ456" t="s">
        <v>178</v>
      </c>
      <c r="BL456" s="42"/>
      <c r="BM456" s="34" t="s">
        <v>155</v>
      </c>
      <c r="BN456" s="10" t="s">
        <v>18</v>
      </c>
      <c r="BO456" s="10">
        <v>5</v>
      </c>
      <c r="BP456" s="10" t="s">
        <v>152</v>
      </c>
      <c r="BQ456">
        <v>53</v>
      </c>
      <c r="BR456" s="10">
        <v>1088</v>
      </c>
      <c r="BS456" s="43" t="s">
        <v>187</v>
      </c>
      <c r="BU456" s="42"/>
      <c r="BV456" s="34" t="s">
        <v>155</v>
      </c>
      <c r="BW456" s="10" t="s">
        <v>18</v>
      </c>
      <c r="BX456" s="10">
        <v>5</v>
      </c>
      <c r="BY456" s="10" t="s">
        <v>152</v>
      </c>
      <c r="BZ456">
        <v>53</v>
      </c>
      <c r="CA456" s="10" t="s">
        <v>88</v>
      </c>
      <c r="CB456" t="s">
        <v>170</v>
      </c>
      <c r="CD456" s="42"/>
      <c r="CE456" s="34" t="s">
        <v>155</v>
      </c>
      <c r="CF456" s="10" t="s">
        <v>18</v>
      </c>
      <c r="CG456" s="10">
        <v>5</v>
      </c>
      <c r="CH456" s="10" t="s">
        <v>152</v>
      </c>
      <c r="CI456">
        <v>53</v>
      </c>
      <c r="CJ456" s="10">
        <v>1092</v>
      </c>
      <c r="CK456" t="s">
        <v>181</v>
      </c>
    </row>
    <row r="457" spans="1:89" x14ac:dyDescent="0.25">
      <c r="A457" s="42"/>
      <c r="B457" s="34" t="s">
        <v>155</v>
      </c>
      <c r="C457" s="10" t="s">
        <v>18</v>
      </c>
      <c r="D457" s="10">
        <v>6</v>
      </c>
      <c r="E457" s="10" t="s">
        <v>152</v>
      </c>
      <c r="F457">
        <v>54</v>
      </c>
      <c r="G457" s="10">
        <v>3023</v>
      </c>
      <c r="H457" s="43" t="s">
        <v>187</v>
      </c>
      <c r="J457" s="42"/>
      <c r="K457" s="34" t="s">
        <v>155</v>
      </c>
      <c r="L457" s="10" t="s">
        <v>18</v>
      </c>
      <c r="M457" s="10">
        <v>6</v>
      </c>
      <c r="N457" s="10" t="s">
        <v>152</v>
      </c>
      <c r="O457">
        <v>54</v>
      </c>
      <c r="P457" s="10">
        <v>3026</v>
      </c>
      <c r="Q457" t="s">
        <v>169</v>
      </c>
      <c r="S457" s="42"/>
      <c r="T457" s="34" t="s">
        <v>155</v>
      </c>
      <c r="U457" s="10" t="s">
        <v>18</v>
      </c>
      <c r="V457" s="10">
        <v>6</v>
      </c>
      <c r="W457" s="10" t="s">
        <v>152</v>
      </c>
      <c r="X457">
        <v>54</v>
      </c>
      <c r="Y457" s="10" t="s">
        <v>79</v>
      </c>
      <c r="Z457" s="43" t="s">
        <v>184</v>
      </c>
      <c r="AB457" s="42"/>
      <c r="AC457" s="34" t="s">
        <v>155</v>
      </c>
      <c r="AD457" s="10" t="s">
        <v>18</v>
      </c>
      <c r="AE457" s="10">
        <v>6</v>
      </c>
      <c r="AF457" s="10" t="s">
        <v>152</v>
      </c>
      <c r="AG457">
        <v>54</v>
      </c>
      <c r="AH457" s="10">
        <v>3015</v>
      </c>
      <c r="AI457" t="s">
        <v>162</v>
      </c>
      <c r="AK457" s="42"/>
      <c r="AL457" s="34" t="s">
        <v>155</v>
      </c>
      <c r="AM457" s="10" t="s">
        <v>18</v>
      </c>
      <c r="AN457" s="10">
        <v>6</v>
      </c>
      <c r="AO457" s="10" t="s">
        <v>152</v>
      </c>
      <c r="AP457">
        <v>54</v>
      </c>
      <c r="AQ457" s="10" t="s">
        <v>566</v>
      </c>
      <c r="AR457" s="43" t="s">
        <v>160</v>
      </c>
      <c r="AT457" s="42"/>
      <c r="AU457" s="34" t="s">
        <v>155</v>
      </c>
      <c r="AV457" s="10" t="s">
        <v>18</v>
      </c>
      <c r="AW457" s="10">
        <v>6</v>
      </c>
      <c r="AX457" s="10" t="s">
        <v>152</v>
      </c>
      <c r="AY457">
        <v>54</v>
      </c>
      <c r="AZ457" s="10" t="s">
        <v>82</v>
      </c>
      <c r="BA457" t="s">
        <v>163</v>
      </c>
      <c r="BC457" s="42"/>
      <c r="BD457" s="34" t="s">
        <v>155</v>
      </c>
      <c r="BE457" s="10" t="s">
        <v>18</v>
      </c>
      <c r="BF457" s="10">
        <v>6</v>
      </c>
      <c r="BG457" s="10" t="s">
        <v>152</v>
      </c>
      <c r="BH457">
        <v>54</v>
      </c>
      <c r="BI457" s="10">
        <v>3028</v>
      </c>
      <c r="BJ457" t="s">
        <v>163</v>
      </c>
      <c r="BL457" s="42"/>
      <c r="BM457" s="34" t="s">
        <v>155</v>
      </c>
      <c r="BN457" s="10" t="s">
        <v>18</v>
      </c>
      <c r="BO457" s="10">
        <v>6</v>
      </c>
      <c r="BP457" s="10" t="s">
        <v>152</v>
      </c>
      <c r="BQ457">
        <v>54</v>
      </c>
      <c r="BR457" s="10">
        <v>1088</v>
      </c>
      <c r="BS457" s="43" t="s">
        <v>189</v>
      </c>
      <c r="BU457" s="42"/>
      <c r="BV457" s="34" t="s">
        <v>155</v>
      </c>
      <c r="BW457" s="10" t="s">
        <v>18</v>
      </c>
      <c r="BX457" s="10">
        <v>6</v>
      </c>
      <c r="BY457" s="10" t="s">
        <v>152</v>
      </c>
      <c r="BZ457">
        <v>54</v>
      </c>
      <c r="CA457" s="10" t="s">
        <v>88</v>
      </c>
      <c r="CB457" t="s">
        <v>178</v>
      </c>
      <c r="CD457" s="42"/>
      <c r="CE457" s="34" t="s">
        <v>155</v>
      </c>
      <c r="CF457" s="10" t="s">
        <v>18</v>
      </c>
      <c r="CG457" s="10">
        <v>6</v>
      </c>
      <c r="CH457" s="10" t="s">
        <v>152</v>
      </c>
      <c r="CI457">
        <v>54</v>
      </c>
      <c r="CJ457" s="10">
        <v>1092</v>
      </c>
      <c r="CK457" t="s">
        <v>183</v>
      </c>
    </row>
    <row r="458" spans="1:89" x14ac:dyDescent="0.25">
      <c r="A458" s="42"/>
      <c r="B458" s="34" t="s">
        <v>155</v>
      </c>
      <c r="C458" s="10" t="s">
        <v>18</v>
      </c>
      <c r="D458" s="10">
        <v>7</v>
      </c>
      <c r="E458" s="10" t="s">
        <v>152</v>
      </c>
      <c r="F458">
        <v>55</v>
      </c>
      <c r="G458" s="10">
        <v>3023</v>
      </c>
      <c r="H458" s="43" t="s">
        <v>189</v>
      </c>
      <c r="J458" s="42"/>
      <c r="K458" s="34" t="s">
        <v>155</v>
      </c>
      <c r="L458" s="10" t="s">
        <v>18</v>
      </c>
      <c r="M458" s="10">
        <v>7</v>
      </c>
      <c r="N458" s="10" t="s">
        <v>152</v>
      </c>
      <c r="O458">
        <v>55</v>
      </c>
      <c r="P458" s="10">
        <v>3026</v>
      </c>
      <c r="Q458" t="s">
        <v>177</v>
      </c>
      <c r="S458" s="42"/>
      <c r="T458" s="34" t="s">
        <v>155</v>
      </c>
      <c r="U458" s="10" t="s">
        <v>18</v>
      </c>
      <c r="V458" s="10">
        <v>7</v>
      </c>
      <c r="W458" s="10" t="s">
        <v>152</v>
      </c>
      <c r="X458">
        <v>55</v>
      </c>
      <c r="Y458" s="10" t="s">
        <v>79</v>
      </c>
      <c r="Z458" s="43" t="s">
        <v>187</v>
      </c>
      <c r="AB458" s="42"/>
      <c r="AC458" s="34" t="s">
        <v>155</v>
      </c>
      <c r="AD458" s="10" t="s">
        <v>18</v>
      </c>
      <c r="AE458" s="10">
        <v>7</v>
      </c>
      <c r="AF458" s="10" t="s">
        <v>152</v>
      </c>
      <c r="AG458">
        <v>55</v>
      </c>
      <c r="AH458" s="10">
        <v>3015</v>
      </c>
      <c r="AI458" t="s">
        <v>170</v>
      </c>
      <c r="AK458" s="42"/>
      <c r="AL458" s="34" t="s">
        <v>155</v>
      </c>
      <c r="AM458" s="10" t="s">
        <v>18</v>
      </c>
      <c r="AN458" s="10">
        <v>7</v>
      </c>
      <c r="AO458" s="10" t="s">
        <v>152</v>
      </c>
      <c r="AP458">
        <v>55</v>
      </c>
      <c r="AQ458" s="10" t="s">
        <v>566</v>
      </c>
      <c r="AR458" s="51" t="s">
        <v>168</v>
      </c>
      <c r="AT458" s="42"/>
      <c r="AU458" s="34" t="s">
        <v>155</v>
      </c>
      <c r="AV458" s="10" t="s">
        <v>18</v>
      </c>
      <c r="AW458" s="10">
        <v>7</v>
      </c>
      <c r="AX458" s="10" t="s">
        <v>152</v>
      </c>
      <c r="AY458">
        <v>55</v>
      </c>
      <c r="AZ458" s="10" t="s">
        <v>82</v>
      </c>
      <c r="BA458" t="s">
        <v>171</v>
      </c>
      <c r="BC458" s="42"/>
      <c r="BD458" s="34" t="s">
        <v>155</v>
      </c>
      <c r="BE458" s="10" t="s">
        <v>18</v>
      </c>
      <c r="BF458" s="10">
        <v>7</v>
      </c>
      <c r="BG458" s="10" t="s">
        <v>152</v>
      </c>
      <c r="BH458">
        <v>55</v>
      </c>
      <c r="BI458" s="10">
        <v>3028</v>
      </c>
      <c r="BJ458" t="s">
        <v>171</v>
      </c>
      <c r="BL458" s="42"/>
      <c r="BM458" s="34" t="s">
        <v>155</v>
      </c>
      <c r="BN458" s="10" t="s">
        <v>18</v>
      </c>
      <c r="BO458" s="10">
        <v>7</v>
      </c>
      <c r="BP458" s="10" t="s">
        <v>152</v>
      </c>
      <c r="BQ458">
        <v>55</v>
      </c>
      <c r="BR458" s="10">
        <v>1090</v>
      </c>
      <c r="BS458" s="43" t="s">
        <v>160</v>
      </c>
      <c r="BU458" s="42"/>
      <c r="BV458" s="34" t="s">
        <v>155</v>
      </c>
      <c r="BW458" s="10" t="s">
        <v>18</v>
      </c>
      <c r="BX458" s="10">
        <v>7</v>
      </c>
      <c r="BY458" s="10" t="s">
        <v>152</v>
      </c>
      <c r="BZ458">
        <v>55</v>
      </c>
      <c r="CA458" s="10" t="s">
        <v>88</v>
      </c>
      <c r="CB458" t="s">
        <v>163</v>
      </c>
      <c r="CD458" s="42"/>
      <c r="CE458" s="34" t="s">
        <v>155</v>
      </c>
      <c r="CF458" s="10" t="s">
        <v>18</v>
      </c>
      <c r="CG458" s="10">
        <v>7</v>
      </c>
      <c r="CH458" s="10" t="s">
        <v>152</v>
      </c>
      <c r="CI458">
        <v>55</v>
      </c>
      <c r="CJ458" s="10">
        <v>1092</v>
      </c>
      <c r="CK458" t="s">
        <v>186</v>
      </c>
    </row>
    <row r="459" spans="1:89" x14ac:dyDescent="0.25">
      <c r="A459" s="42"/>
      <c r="B459" s="34" t="s">
        <v>155</v>
      </c>
      <c r="C459" s="10" t="s">
        <v>18</v>
      </c>
      <c r="D459" s="10">
        <v>8</v>
      </c>
      <c r="E459" s="10" t="s">
        <v>152</v>
      </c>
      <c r="F459">
        <v>56</v>
      </c>
      <c r="G459" s="10">
        <v>3019</v>
      </c>
      <c r="H459" s="43" t="s">
        <v>160</v>
      </c>
      <c r="J459" s="42"/>
      <c r="K459" s="34" t="s">
        <v>155</v>
      </c>
      <c r="L459" s="10" t="s">
        <v>18</v>
      </c>
      <c r="M459" s="10">
        <v>8</v>
      </c>
      <c r="N459" s="10" t="s">
        <v>152</v>
      </c>
      <c r="O459">
        <v>56</v>
      </c>
      <c r="P459" s="10">
        <v>3026</v>
      </c>
      <c r="Q459" t="s">
        <v>180</v>
      </c>
      <c r="S459" s="42"/>
      <c r="T459" s="34" t="s">
        <v>155</v>
      </c>
      <c r="U459" s="10" t="s">
        <v>18</v>
      </c>
      <c r="V459" s="10">
        <v>8</v>
      </c>
      <c r="W459" s="10" t="s">
        <v>152</v>
      </c>
      <c r="X459">
        <v>56</v>
      </c>
      <c r="Y459" s="10" t="s">
        <v>79</v>
      </c>
      <c r="Z459" s="43" t="s">
        <v>189</v>
      </c>
      <c r="AB459" s="42"/>
      <c r="AC459" s="34" t="s">
        <v>155</v>
      </c>
      <c r="AD459" s="10" t="s">
        <v>18</v>
      </c>
      <c r="AE459" s="10">
        <v>8</v>
      </c>
      <c r="AF459" s="10" t="s">
        <v>152</v>
      </c>
      <c r="AG459">
        <v>56</v>
      </c>
      <c r="AH459" s="10">
        <v>3015</v>
      </c>
      <c r="AI459" t="s">
        <v>178</v>
      </c>
      <c r="AK459" s="42"/>
      <c r="AL459" s="34" t="s">
        <v>155</v>
      </c>
      <c r="AM459" s="10" t="s">
        <v>18</v>
      </c>
      <c r="AN459" s="10">
        <v>8</v>
      </c>
      <c r="AO459" s="10" t="s">
        <v>152</v>
      </c>
      <c r="AP459">
        <v>56</v>
      </c>
      <c r="AQ459" s="10" t="s">
        <v>566</v>
      </c>
      <c r="AR459" s="43" t="s">
        <v>176</v>
      </c>
      <c r="AT459" s="42"/>
      <c r="AU459" s="34" t="s">
        <v>155</v>
      </c>
      <c r="AV459" s="10" t="s">
        <v>18</v>
      </c>
      <c r="AW459" s="10">
        <v>8</v>
      </c>
      <c r="AX459" s="10" t="s">
        <v>152</v>
      </c>
      <c r="AY459">
        <v>56</v>
      </c>
      <c r="AZ459" s="10" t="s">
        <v>82</v>
      </c>
      <c r="BA459" t="s">
        <v>161</v>
      </c>
      <c r="BC459" s="42"/>
      <c r="BD459" s="34" t="s">
        <v>155</v>
      </c>
      <c r="BE459" s="10" t="s">
        <v>18</v>
      </c>
      <c r="BF459" s="10">
        <v>8</v>
      </c>
      <c r="BG459" s="10" t="s">
        <v>152</v>
      </c>
      <c r="BH459">
        <v>56</v>
      </c>
      <c r="BI459" s="10">
        <v>3028</v>
      </c>
      <c r="BJ459" t="s">
        <v>161</v>
      </c>
      <c r="BL459" s="42"/>
      <c r="BM459" s="34" t="s">
        <v>155</v>
      </c>
      <c r="BN459" s="10" t="s">
        <v>18</v>
      </c>
      <c r="BO459" s="10">
        <v>8</v>
      </c>
      <c r="BP459" s="10" t="s">
        <v>152</v>
      </c>
      <c r="BQ459">
        <v>56</v>
      </c>
      <c r="BR459" s="10">
        <v>1090</v>
      </c>
      <c r="BS459" s="51" t="s">
        <v>168</v>
      </c>
      <c r="BU459" s="42"/>
      <c r="BV459" s="34" t="s">
        <v>155</v>
      </c>
      <c r="BW459" s="10" t="s">
        <v>18</v>
      </c>
      <c r="BX459" s="10">
        <v>8</v>
      </c>
      <c r="BY459" s="10" t="s">
        <v>152</v>
      </c>
      <c r="BZ459">
        <v>56</v>
      </c>
      <c r="CA459" s="10" t="s">
        <v>88</v>
      </c>
      <c r="CB459" t="s">
        <v>171</v>
      </c>
      <c r="CD459" s="42"/>
      <c r="CE459" s="34" t="s">
        <v>155</v>
      </c>
      <c r="CF459" s="10" t="s">
        <v>18</v>
      </c>
      <c r="CG459" s="10">
        <v>8</v>
      </c>
      <c r="CH459" s="10" t="s">
        <v>152</v>
      </c>
      <c r="CI459">
        <v>56</v>
      </c>
      <c r="CJ459" s="10">
        <v>1092</v>
      </c>
      <c r="CK459" s="43" t="s">
        <v>188</v>
      </c>
    </row>
    <row r="460" spans="1:89" x14ac:dyDescent="0.25">
      <c r="A460" s="42"/>
      <c r="B460" s="34" t="s">
        <v>155</v>
      </c>
      <c r="C460" s="10" t="s">
        <v>18</v>
      </c>
      <c r="D460" s="10">
        <v>9</v>
      </c>
      <c r="E460" s="10" t="s">
        <v>152</v>
      </c>
      <c r="F460">
        <v>57</v>
      </c>
      <c r="G460" s="10">
        <v>3019</v>
      </c>
      <c r="H460" s="51" t="s">
        <v>168</v>
      </c>
      <c r="J460" s="42"/>
      <c r="K460" s="34" t="s">
        <v>155</v>
      </c>
      <c r="L460" s="10" t="s">
        <v>18</v>
      </c>
      <c r="M460" s="10">
        <v>9</v>
      </c>
      <c r="N460" s="10" t="s">
        <v>152</v>
      </c>
      <c r="O460">
        <v>57</v>
      </c>
      <c r="P460" s="10">
        <v>3026</v>
      </c>
      <c r="Q460" t="s">
        <v>181</v>
      </c>
      <c r="S460" s="42"/>
      <c r="T460" s="34" t="s">
        <v>155</v>
      </c>
      <c r="U460" s="10" t="s">
        <v>18</v>
      </c>
      <c r="V460" s="10">
        <v>9</v>
      </c>
      <c r="W460" s="10" t="s">
        <v>152</v>
      </c>
      <c r="X460">
        <v>57</v>
      </c>
      <c r="Y460" s="10" t="s">
        <v>64</v>
      </c>
      <c r="Z460" s="43" t="s">
        <v>160</v>
      </c>
      <c r="AB460" s="42"/>
      <c r="AC460" s="34" t="s">
        <v>155</v>
      </c>
      <c r="AD460" s="10" t="s">
        <v>18</v>
      </c>
      <c r="AE460" s="10">
        <v>9</v>
      </c>
      <c r="AF460" s="10" t="s">
        <v>152</v>
      </c>
      <c r="AG460">
        <v>57</v>
      </c>
      <c r="AH460" s="10">
        <v>3015</v>
      </c>
      <c r="AI460" t="s">
        <v>163</v>
      </c>
      <c r="AK460" s="42"/>
      <c r="AL460" s="34" t="s">
        <v>155</v>
      </c>
      <c r="AM460" s="10" t="s">
        <v>18</v>
      </c>
      <c r="AN460" s="10">
        <v>9</v>
      </c>
      <c r="AO460" s="10" t="s">
        <v>152</v>
      </c>
      <c r="AP460">
        <v>57</v>
      </c>
      <c r="AQ460" s="10" t="s">
        <v>566</v>
      </c>
      <c r="AR460" s="43" t="s">
        <v>164</v>
      </c>
      <c r="AT460" s="42"/>
      <c r="AU460" s="34" t="s">
        <v>155</v>
      </c>
      <c r="AV460" s="10" t="s">
        <v>18</v>
      </c>
      <c r="AW460" s="10">
        <v>9</v>
      </c>
      <c r="AX460" s="10" t="s">
        <v>152</v>
      </c>
      <c r="AY460">
        <v>57</v>
      </c>
      <c r="AZ460" s="10" t="s">
        <v>82</v>
      </c>
      <c r="BA460" t="s">
        <v>169</v>
      </c>
      <c r="BC460" s="42"/>
      <c r="BD460" s="34" t="s">
        <v>155</v>
      </c>
      <c r="BE460" s="10" t="s">
        <v>18</v>
      </c>
      <c r="BF460" s="10">
        <v>9</v>
      </c>
      <c r="BG460" s="10" t="s">
        <v>152</v>
      </c>
      <c r="BH460">
        <v>57</v>
      </c>
      <c r="BI460" s="10">
        <v>3028</v>
      </c>
      <c r="BJ460" t="s">
        <v>169</v>
      </c>
      <c r="BL460" s="42"/>
      <c r="BM460" s="34" t="s">
        <v>155</v>
      </c>
      <c r="BN460" s="10" t="s">
        <v>18</v>
      </c>
      <c r="BO460" s="10">
        <v>9</v>
      </c>
      <c r="BP460" s="10" t="s">
        <v>152</v>
      </c>
      <c r="BQ460">
        <v>57</v>
      </c>
      <c r="BR460" s="10">
        <v>1090</v>
      </c>
      <c r="BS460" s="43" t="s">
        <v>176</v>
      </c>
      <c r="BU460" s="42"/>
      <c r="BV460" s="34" t="s">
        <v>155</v>
      </c>
      <c r="BW460" s="10" t="s">
        <v>18</v>
      </c>
      <c r="BX460" s="10">
        <v>9</v>
      </c>
      <c r="BY460" s="10" t="s">
        <v>152</v>
      </c>
      <c r="BZ460">
        <v>57</v>
      </c>
      <c r="CA460" s="10" t="s">
        <v>88</v>
      </c>
      <c r="CB460" t="s">
        <v>161</v>
      </c>
      <c r="CD460" s="42"/>
      <c r="CE460" s="34" t="s">
        <v>155</v>
      </c>
      <c r="CF460" s="10" t="s">
        <v>18</v>
      </c>
      <c r="CG460" s="10">
        <v>9</v>
      </c>
      <c r="CH460" s="10" t="s">
        <v>152</v>
      </c>
      <c r="CI460">
        <v>57</v>
      </c>
      <c r="CJ460" s="10">
        <v>1092</v>
      </c>
      <c r="CK460" s="43" t="s">
        <v>182</v>
      </c>
    </row>
    <row r="461" spans="1:89" x14ac:dyDescent="0.25">
      <c r="A461" s="42"/>
      <c r="B461" s="34" t="s">
        <v>155</v>
      </c>
      <c r="C461" s="10" t="s">
        <v>18</v>
      </c>
      <c r="D461" s="10">
        <v>10</v>
      </c>
      <c r="E461" s="10" t="s">
        <v>152</v>
      </c>
      <c r="F461">
        <v>58</v>
      </c>
      <c r="G461" s="10">
        <v>3019</v>
      </c>
      <c r="H461" s="43" t="s">
        <v>176</v>
      </c>
      <c r="J461" s="42"/>
      <c r="K461" s="34" t="s">
        <v>155</v>
      </c>
      <c r="L461" s="10" t="s">
        <v>18</v>
      </c>
      <c r="M461" s="10">
        <v>10</v>
      </c>
      <c r="N461" s="10" t="s">
        <v>152</v>
      </c>
      <c r="O461">
        <v>58</v>
      </c>
      <c r="P461" s="10">
        <v>3026</v>
      </c>
      <c r="Q461" t="s">
        <v>183</v>
      </c>
      <c r="S461" s="42"/>
      <c r="T461" s="34" t="s">
        <v>155</v>
      </c>
      <c r="U461" s="10" t="s">
        <v>18</v>
      </c>
      <c r="V461" s="10">
        <v>10</v>
      </c>
      <c r="W461" s="10" t="s">
        <v>152</v>
      </c>
      <c r="X461">
        <v>58</v>
      </c>
      <c r="Y461" s="10" t="s">
        <v>64</v>
      </c>
      <c r="Z461" s="51" t="s">
        <v>168</v>
      </c>
      <c r="AB461" s="42"/>
      <c r="AC461" s="34" t="s">
        <v>155</v>
      </c>
      <c r="AD461" s="10" t="s">
        <v>18</v>
      </c>
      <c r="AE461" s="10">
        <v>10</v>
      </c>
      <c r="AF461" s="10" t="s">
        <v>152</v>
      </c>
      <c r="AG461">
        <v>58</v>
      </c>
      <c r="AH461" s="10">
        <v>3015</v>
      </c>
      <c r="AI461" t="s">
        <v>171</v>
      </c>
      <c r="AK461" s="42"/>
      <c r="AL461" s="34" t="s">
        <v>155</v>
      </c>
      <c r="AM461" s="10" t="s">
        <v>18</v>
      </c>
      <c r="AN461" s="10">
        <v>10</v>
      </c>
      <c r="AO461" s="10" t="s">
        <v>152</v>
      </c>
      <c r="AP461">
        <v>58</v>
      </c>
      <c r="AQ461" s="10" t="s">
        <v>566</v>
      </c>
      <c r="AR461" t="s">
        <v>172</v>
      </c>
      <c r="AT461" s="42"/>
      <c r="AU461" s="34" t="s">
        <v>155</v>
      </c>
      <c r="AV461" s="10" t="s">
        <v>18</v>
      </c>
      <c r="AW461" s="10">
        <v>10</v>
      </c>
      <c r="AX461" s="10" t="s">
        <v>152</v>
      </c>
      <c r="AY461">
        <v>58</v>
      </c>
      <c r="AZ461" s="10" t="s">
        <v>82</v>
      </c>
      <c r="BA461" t="s">
        <v>177</v>
      </c>
      <c r="BC461" s="42"/>
      <c r="BD461" s="34" t="s">
        <v>155</v>
      </c>
      <c r="BE461" s="10" t="s">
        <v>18</v>
      </c>
      <c r="BF461" s="10">
        <v>10</v>
      </c>
      <c r="BG461" s="10" t="s">
        <v>152</v>
      </c>
      <c r="BH461">
        <v>58</v>
      </c>
      <c r="BI461" s="10">
        <v>3028</v>
      </c>
      <c r="BJ461" t="s">
        <v>177</v>
      </c>
      <c r="BL461" s="42"/>
      <c r="BM461" s="34" t="s">
        <v>155</v>
      </c>
      <c r="BN461" s="10" t="s">
        <v>18</v>
      </c>
      <c r="BO461" s="10">
        <v>10</v>
      </c>
      <c r="BP461" s="10" t="s">
        <v>152</v>
      </c>
      <c r="BQ461">
        <v>58</v>
      </c>
      <c r="BR461" s="10">
        <v>1090</v>
      </c>
      <c r="BS461" s="43" t="s">
        <v>164</v>
      </c>
      <c r="BU461" s="42"/>
      <c r="BV461" s="34" t="s">
        <v>155</v>
      </c>
      <c r="BW461" s="10" t="s">
        <v>18</v>
      </c>
      <c r="BX461" s="10">
        <v>10</v>
      </c>
      <c r="BY461" s="10" t="s">
        <v>152</v>
      </c>
      <c r="BZ461">
        <v>58</v>
      </c>
      <c r="CA461" s="10" t="s">
        <v>88</v>
      </c>
      <c r="CB461" t="s">
        <v>169</v>
      </c>
      <c r="CD461" s="42"/>
      <c r="CE461" s="34" t="s">
        <v>155</v>
      </c>
      <c r="CF461" s="10" t="s">
        <v>18</v>
      </c>
      <c r="CG461" s="10">
        <v>10</v>
      </c>
      <c r="CH461" s="10" t="s">
        <v>152</v>
      </c>
      <c r="CI461">
        <v>58</v>
      </c>
      <c r="CJ461" s="10">
        <v>1092</v>
      </c>
      <c r="CK461" s="43" t="s">
        <v>184</v>
      </c>
    </row>
    <row r="462" spans="1:89" x14ac:dyDescent="0.25">
      <c r="A462" s="42"/>
      <c r="B462" s="34" t="s">
        <v>155</v>
      </c>
      <c r="C462" s="10" t="s">
        <v>18</v>
      </c>
      <c r="D462" s="10">
        <v>11</v>
      </c>
      <c r="E462" s="10" t="s">
        <v>152</v>
      </c>
      <c r="F462">
        <v>59</v>
      </c>
      <c r="G462" s="10">
        <v>3019</v>
      </c>
      <c r="H462" s="43" t="s">
        <v>164</v>
      </c>
      <c r="J462" s="42"/>
      <c r="K462" s="34" t="s">
        <v>155</v>
      </c>
      <c r="L462" s="10" t="s">
        <v>18</v>
      </c>
      <c r="M462" s="10">
        <v>11</v>
      </c>
      <c r="N462" s="10" t="s">
        <v>152</v>
      </c>
      <c r="O462">
        <v>59</v>
      </c>
      <c r="P462" s="10">
        <v>3026</v>
      </c>
      <c r="Q462" t="s">
        <v>186</v>
      </c>
      <c r="S462" s="42"/>
      <c r="T462" s="34" t="s">
        <v>155</v>
      </c>
      <c r="U462" s="10" t="s">
        <v>18</v>
      </c>
      <c r="V462" s="10">
        <v>11</v>
      </c>
      <c r="W462" s="10" t="s">
        <v>152</v>
      </c>
      <c r="X462">
        <v>59</v>
      </c>
      <c r="Y462" s="10" t="s">
        <v>64</v>
      </c>
      <c r="Z462" s="43" t="s">
        <v>176</v>
      </c>
      <c r="AB462" s="42"/>
      <c r="AC462" s="34" t="s">
        <v>155</v>
      </c>
      <c r="AD462" s="10" t="s">
        <v>18</v>
      </c>
      <c r="AE462" s="10">
        <v>11</v>
      </c>
      <c r="AF462" s="10" t="s">
        <v>152</v>
      </c>
      <c r="AG462">
        <v>59</v>
      </c>
      <c r="AH462" s="10">
        <v>3015</v>
      </c>
      <c r="AI462" t="s">
        <v>161</v>
      </c>
      <c r="AK462" s="42"/>
      <c r="AL462" s="34" t="s">
        <v>155</v>
      </c>
      <c r="AM462" s="10" t="s">
        <v>18</v>
      </c>
      <c r="AN462" s="10">
        <v>11</v>
      </c>
      <c r="AO462" s="10" t="s">
        <v>152</v>
      </c>
      <c r="AP462">
        <v>59</v>
      </c>
      <c r="AQ462" s="10" t="s">
        <v>566</v>
      </c>
      <c r="AR462" t="s">
        <v>162</v>
      </c>
      <c r="AT462" s="42"/>
      <c r="AU462" s="34" t="s">
        <v>155</v>
      </c>
      <c r="AV462" s="10" t="s">
        <v>18</v>
      </c>
      <c r="AW462" s="10">
        <v>11</v>
      </c>
      <c r="AX462" s="10" t="s">
        <v>152</v>
      </c>
      <c r="AY462">
        <v>59</v>
      </c>
      <c r="AZ462" s="10" t="s">
        <v>82</v>
      </c>
      <c r="BA462" t="s">
        <v>180</v>
      </c>
      <c r="BC462" s="42"/>
      <c r="BD462" s="34" t="s">
        <v>155</v>
      </c>
      <c r="BE462" s="10" t="s">
        <v>18</v>
      </c>
      <c r="BF462" s="10">
        <v>11</v>
      </c>
      <c r="BG462" s="10" t="s">
        <v>152</v>
      </c>
      <c r="BH462">
        <v>59</v>
      </c>
      <c r="BI462" s="10">
        <v>3028</v>
      </c>
      <c r="BJ462" t="s">
        <v>180</v>
      </c>
      <c r="BL462" s="42"/>
      <c r="BM462" s="34" t="s">
        <v>155</v>
      </c>
      <c r="BN462" s="10" t="s">
        <v>18</v>
      </c>
      <c r="BO462" s="10">
        <v>11</v>
      </c>
      <c r="BP462" s="10" t="s">
        <v>152</v>
      </c>
      <c r="BQ462">
        <v>59</v>
      </c>
      <c r="BR462" s="10">
        <v>1090</v>
      </c>
      <c r="BS462" t="s">
        <v>172</v>
      </c>
      <c r="BU462" s="42"/>
      <c r="BV462" s="34" t="s">
        <v>155</v>
      </c>
      <c r="BW462" s="10" t="s">
        <v>18</v>
      </c>
      <c r="BX462" s="10">
        <v>11</v>
      </c>
      <c r="BY462" s="10" t="s">
        <v>152</v>
      </c>
      <c r="BZ462">
        <v>59</v>
      </c>
      <c r="CA462" s="10" t="s">
        <v>88</v>
      </c>
      <c r="CB462" t="s">
        <v>177</v>
      </c>
      <c r="CD462" s="42"/>
      <c r="CE462" s="34" t="s">
        <v>155</v>
      </c>
      <c r="CF462" s="10" t="s">
        <v>18</v>
      </c>
      <c r="CG462" s="10">
        <v>11</v>
      </c>
      <c r="CH462" s="10" t="s">
        <v>152</v>
      </c>
      <c r="CI462">
        <v>59</v>
      </c>
      <c r="CJ462" s="10">
        <v>1092</v>
      </c>
      <c r="CK462" s="43" t="s">
        <v>187</v>
      </c>
    </row>
    <row r="463" spans="1:89" ht="15.75" thickBot="1" x14ac:dyDescent="0.3">
      <c r="A463" s="47"/>
      <c r="B463" s="48" t="s">
        <v>155</v>
      </c>
      <c r="C463" s="49" t="s">
        <v>18</v>
      </c>
      <c r="D463" s="49">
        <v>12</v>
      </c>
      <c r="E463" s="49" t="s">
        <v>152</v>
      </c>
      <c r="F463" s="50">
        <v>60</v>
      </c>
      <c r="G463" s="10">
        <v>3019</v>
      </c>
      <c r="H463" t="s">
        <v>172</v>
      </c>
      <c r="J463" s="47"/>
      <c r="K463" s="48" t="s">
        <v>155</v>
      </c>
      <c r="L463" s="49" t="s">
        <v>18</v>
      </c>
      <c r="M463" s="49">
        <v>12</v>
      </c>
      <c r="N463" s="49" t="s">
        <v>152</v>
      </c>
      <c r="O463" s="50">
        <v>60</v>
      </c>
      <c r="P463" s="10">
        <v>3026</v>
      </c>
      <c r="Q463" s="43" t="s">
        <v>188</v>
      </c>
      <c r="S463" s="47"/>
      <c r="T463" s="48" t="s">
        <v>155</v>
      </c>
      <c r="U463" s="49" t="s">
        <v>18</v>
      </c>
      <c r="V463" s="49">
        <v>12</v>
      </c>
      <c r="W463" s="49" t="s">
        <v>152</v>
      </c>
      <c r="X463" s="50">
        <v>60</v>
      </c>
      <c r="Y463" s="10" t="s">
        <v>64</v>
      </c>
      <c r="Z463" s="43" t="s">
        <v>164</v>
      </c>
      <c r="AB463" s="47"/>
      <c r="AC463" s="48" t="s">
        <v>155</v>
      </c>
      <c r="AD463" s="49" t="s">
        <v>18</v>
      </c>
      <c r="AE463" s="49">
        <v>12</v>
      </c>
      <c r="AF463" s="49" t="s">
        <v>152</v>
      </c>
      <c r="AG463" s="50">
        <v>60</v>
      </c>
      <c r="AH463" s="10">
        <v>3015</v>
      </c>
      <c r="AI463" t="s">
        <v>169</v>
      </c>
      <c r="AK463" s="47"/>
      <c r="AL463" s="48" t="s">
        <v>155</v>
      </c>
      <c r="AM463" s="49" t="s">
        <v>18</v>
      </c>
      <c r="AN463" s="49">
        <v>12</v>
      </c>
      <c r="AO463" s="49" t="s">
        <v>152</v>
      </c>
      <c r="AP463" s="50">
        <v>60</v>
      </c>
      <c r="AQ463" s="10" t="s">
        <v>566</v>
      </c>
      <c r="AR463" t="s">
        <v>170</v>
      </c>
      <c r="AT463" s="47"/>
      <c r="AU463" s="48" t="s">
        <v>155</v>
      </c>
      <c r="AV463" s="49" t="s">
        <v>18</v>
      </c>
      <c r="AW463" s="49">
        <v>12</v>
      </c>
      <c r="AX463" s="49" t="s">
        <v>152</v>
      </c>
      <c r="AY463" s="50">
        <v>60</v>
      </c>
      <c r="AZ463" s="10" t="s">
        <v>82</v>
      </c>
      <c r="BA463" t="s">
        <v>181</v>
      </c>
      <c r="BC463" s="47"/>
      <c r="BD463" s="48" t="s">
        <v>155</v>
      </c>
      <c r="BE463" s="49" t="s">
        <v>18</v>
      </c>
      <c r="BF463" s="49">
        <v>12</v>
      </c>
      <c r="BG463" s="49" t="s">
        <v>152</v>
      </c>
      <c r="BH463" s="50">
        <v>60</v>
      </c>
      <c r="BI463" s="10">
        <v>3028</v>
      </c>
      <c r="BJ463" t="s">
        <v>181</v>
      </c>
      <c r="BL463" s="47"/>
      <c r="BM463" s="48" t="s">
        <v>155</v>
      </c>
      <c r="BN463" s="49" t="s">
        <v>18</v>
      </c>
      <c r="BO463" s="49">
        <v>12</v>
      </c>
      <c r="BP463" s="49" t="s">
        <v>152</v>
      </c>
      <c r="BQ463" s="50">
        <v>60</v>
      </c>
      <c r="BR463" s="10">
        <v>1090</v>
      </c>
      <c r="BS463" t="s">
        <v>162</v>
      </c>
      <c r="BU463" s="47"/>
      <c r="BV463" s="48" t="s">
        <v>155</v>
      </c>
      <c r="BW463" s="49" t="s">
        <v>18</v>
      </c>
      <c r="BX463" s="49">
        <v>12</v>
      </c>
      <c r="BY463" s="49" t="s">
        <v>152</v>
      </c>
      <c r="BZ463" s="50">
        <v>60</v>
      </c>
      <c r="CA463" s="10" t="s">
        <v>88</v>
      </c>
      <c r="CB463" t="s">
        <v>180</v>
      </c>
      <c r="CD463" s="47"/>
      <c r="CE463" s="48" t="s">
        <v>155</v>
      </c>
      <c r="CF463" s="49" t="s">
        <v>18</v>
      </c>
      <c r="CG463" s="49">
        <v>12</v>
      </c>
      <c r="CH463" s="49" t="s">
        <v>152</v>
      </c>
      <c r="CI463" s="50">
        <v>60</v>
      </c>
      <c r="CJ463" s="10">
        <v>1092</v>
      </c>
      <c r="CK463" s="43" t="s">
        <v>189</v>
      </c>
    </row>
    <row r="464" spans="1:89" x14ac:dyDescent="0.25">
      <c r="A464" s="56"/>
      <c r="B464" s="31" t="s">
        <v>155</v>
      </c>
      <c r="C464" s="58" t="s">
        <v>29</v>
      </c>
      <c r="D464" s="58">
        <v>1</v>
      </c>
      <c r="E464" s="58" t="s">
        <v>152</v>
      </c>
      <c r="F464" s="59">
        <v>61</v>
      </c>
      <c r="G464" s="10">
        <v>3019</v>
      </c>
      <c r="H464" t="s">
        <v>162</v>
      </c>
      <c r="J464" s="56"/>
      <c r="K464" s="31" t="s">
        <v>155</v>
      </c>
      <c r="L464" s="58" t="s">
        <v>29</v>
      </c>
      <c r="M464" s="58">
        <v>1</v>
      </c>
      <c r="N464" s="58" t="s">
        <v>152</v>
      </c>
      <c r="O464" s="59">
        <v>61</v>
      </c>
      <c r="P464" s="10">
        <v>3026</v>
      </c>
      <c r="Q464" s="43" t="s">
        <v>182</v>
      </c>
      <c r="S464" s="56"/>
      <c r="T464" s="31" t="s">
        <v>155</v>
      </c>
      <c r="U464" s="58" t="s">
        <v>29</v>
      </c>
      <c r="V464" s="58">
        <v>1</v>
      </c>
      <c r="W464" s="58" t="s">
        <v>152</v>
      </c>
      <c r="X464" s="59">
        <v>61</v>
      </c>
      <c r="Y464" s="10" t="s">
        <v>64</v>
      </c>
      <c r="Z464" t="s">
        <v>172</v>
      </c>
      <c r="AB464" s="56"/>
      <c r="AC464" s="31" t="s">
        <v>155</v>
      </c>
      <c r="AD464" s="58" t="s">
        <v>29</v>
      </c>
      <c r="AE464" s="58">
        <v>1</v>
      </c>
      <c r="AF464" s="58" t="s">
        <v>152</v>
      </c>
      <c r="AG464" s="59">
        <v>61</v>
      </c>
      <c r="AH464" s="10">
        <v>3015</v>
      </c>
      <c r="AI464" t="s">
        <v>177</v>
      </c>
      <c r="AK464" s="56"/>
      <c r="AL464" s="31" t="s">
        <v>155</v>
      </c>
      <c r="AM464" s="58" t="s">
        <v>29</v>
      </c>
      <c r="AN464" s="58">
        <v>1</v>
      </c>
      <c r="AO464" s="58" t="s">
        <v>152</v>
      </c>
      <c r="AP464" s="59">
        <v>61</v>
      </c>
      <c r="AQ464" s="10" t="s">
        <v>566</v>
      </c>
      <c r="AR464" t="s">
        <v>178</v>
      </c>
      <c r="AT464" s="56"/>
      <c r="AU464" s="31" t="s">
        <v>155</v>
      </c>
      <c r="AV464" s="58" t="s">
        <v>29</v>
      </c>
      <c r="AW464" s="58">
        <v>1</v>
      </c>
      <c r="AX464" s="58" t="s">
        <v>152</v>
      </c>
      <c r="AY464" s="59">
        <v>61</v>
      </c>
      <c r="AZ464" s="10" t="s">
        <v>82</v>
      </c>
      <c r="BA464" t="s">
        <v>183</v>
      </c>
      <c r="BC464" s="56"/>
      <c r="BD464" s="31" t="s">
        <v>155</v>
      </c>
      <c r="BE464" s="58" t="s">
        <v>29</v>
      </c>
      <c r="BF464" s="58">
        <v>1</v>
      </c>
      <c r="BG464" s="58" t="s">
        <v>152</v>
      </c>
      <c r="BH464" s="59">
        <v>61</v>
      </c>
      <c r="BI464" s="10">
        <v>3028</v>
      </c>
      <c r="BJ464" t="s">
        <v>183</v>
      </c>
      <c r="BL464" s="56"/>
      <c r="BM464" s="31" t="s">
        <v>155</v>
      </c>
      <c r="BN464" s="58" t="s">
        <v>29</v>
      </c>
      <c r="BO464" s="58">
        <v>1</v>
      </c>
      <c r="BP464" s="58" t="s">
        <v>152</v>
      </c>
      <c r="BQ464" s="59">
        <v>61</v>
      </c>
      <c r="BR464" s="10">
        <v>1090</v>
      </c>
      <c r="BS464" t="s">
        <v>170</v>
      </c>
      <c r="BU464" s="56"/>
      <c r="BV464" s="31" t="s">
        <v>155</v>
      </c>
      <c r="BW464" s="58" t="s">
        <v>29</v>
      </c>
      <c r="BX464" s="58">
        <v>1</v>
      </c>
      <c r="BY464" s="58" t="s">
        <v>152</v>
      </c>
      <c r="BZ464" s="59">
        <v>61</v>
      </c>
      <c r="CA464" s="10" t="s">
        <v>88</v>
      </c>
      <c r="CB464" t="s">
        <v>181</v>
      </c>
      <c r="CD464" s="56"/>
      <c r="CE464" s="31" t="s">
        <v>155</v>
      </c>
      <c r="CF464" s="58" t="s">
        <v>29</v>
      </c>
      <c r="CG464" s="58">
        <v>1</v>
      </c>
      <c r="CH464" s="58" t="s">
        <v>152</v>
      </c>
      <c r="CI464" s="59">
        <v>61</v>
      </c>
      <c r="CJ464" s="10">
        <v>3031</v>
      </c>
      <c r="CK464" s="43" t="s">
        <v>160</v>
      </c>
    </row>
    <row r="465" spans="1:89" x14ac:dyDescent="0.25">
      <c r="A465" s="42"/>
      <c r="B465" s="34" t="s">
        <v>155</v>
      </c>
      <c r="C465" s="10" t="s">
        <v>29</v>
      </c>
      <c r="D465" s="10">
        <v>2</v>
      </c>
      <c r="E465" s="10" t="s">
        <v>152</v>
      </c>
      <c r="F465">
        <v>62</v>
      </c>
      <c r="G465" s="10">
        <v>3019</v>
      </c>
      <c r="H465" t="s">
        <v>170</v>
      </c>
      <c r="J465" s="42"/>
      <c r="K465" s="34" t="s">
        <v>155</v>
      </c>
      <c r="L465" s="10" t="s">
        <v>29</v>
      </c>
      <c r="M465" s="10">
        <v>2</v>
      </c>
      <c r="N465" s="10" t="s">
        <v>152</v>
      </c>
      <c r="O465">
        <v>62</v>
      </c>
      <c r="P465" s="10">
        <v>3026</v>
      </c>
      <c r="Q465" s="43" t="s">
        <v>184</v>
      </c>
      <c r="S465" s="42"/>
      <c r="T465" s="34" t="s">
        <v>155</v>
      </c>
      <c r="U465" s="10" t="s">
        <v>29</v>
      </c>
      <c r="V465" s="10">
        <v>2</v>
      </c>
      <c r="W465" s="10" t="s">
        <v>152</v>
      </c>
      <c r="X465">
        <v>62</v>
      </c>
      <c r="Y465" s="10" t="s">
        <v>64</v>
      </c>
      <c r="Z465" t="s">
        <v>162</v>
      </c>
      <c r="AB465" s="42"/>
      <c r="AC465" s="34" t="s">
        <v>155</v>
      </c>
      <c r="AD465" s="10" t="s">
        <v>29</v>
      </c>
      <c r="AE465" s="10">
        <v>2</v>
      </c>
      <c r="AF465" s="10" t="s">
        <v>152</v>
      </c>
      <c r="AG465">
        <v>62</v>
      </c>
      <c r="AH465" s="10">
        <v>3015</v>
      </c>
      <c r="AI465" t="s">
        <v>180</v>
      </c>
      <c r="AK465" s="42"/>
      <c r="AL465" s="34" t="s">
        <v>155</v>
      </c>
      <c r="AM465" s="10" t="s">
        <v>29</v>
      </c>
      <c r="AN465" s="10">
        <v>2</v>
      </c>
      <c r="AO465" s="10" t="s">
        <v>152</v>
      </c>
      <c r="AP465">
        <v>62</v>
      </c>
      <c r="AQ465" s="10" t="s">
        <v>566</v>
      </c>
      <c r="AR465" t="s">
        <v>163</v>
      </c>
      <c r="AT465" s="42"/>
      <c r="AU465" s="34" t="s">
        <v>155</v>
      </c>
      <c r="AV465" s="10" t="s">
        <v>29</v>
      </c>
      <c r="AW465" s="10">
        <v>2</v>
      </c>
      <c r="AX465" s="10" t="s">
        <v>152</v>
      </c>
      <c r="AY465">
        <v>62</v>
      </c>
      <c r="AZ465" s="10" t="s">
        <v>82</v>
      </c>
      <c r="BA465" t="s">
        <v>186</v>
      </c>
      <c r="BC465" s="42"/>
      <c r="BD465" s="34" t="s">
        <v>155</v>
      </c>
      <c r="BE465" s="10" t="s">
        <v>29</v>
      </c>
      <c r="BF465" s="10">
        <v>2</v>
      </c>
      <c r="BG465" s="10" t="s">
        <v>152</v>
      </c>
      <c r="BH465">
        <v>62</v>
      </c>
      <c r="BI465" s="10">
        <v>3028</v>
      </c>
      <c r="BJ465" t="s">
        <v>186</v>
      </c>
      <c r="BL465" s="42"/>
      <c r="BM465" s="34" t="s">
        <v>155</v>
      </c>
      <c r="BN465" s="10" t="s">
        <v>29</v>
      </c>
      <c r="BO465" s="10">
        <v>2</v>
      </c>
      <c r="BP465" s="10" t="s">
        <v>152</v>
      </c>
      <c r="BQ465">
        <v>62</v>
      </c>
      <c r="BR465" s="10">
        <v>1090</v>
      </c>
      <c r="BS465" t="s">
        <v>178</v>
      </c>
      <c r="BU465" s="42"/>
      <c r="BV465" s="34" t="s">
        <v>155</v>
      </c>
      <c r="BW465" s="10" t="s">
        <v>29</v>
      </c>
      <c r="BX465" s="10">
        <v>2</v>
      </c>
      <c r="BY465" s="10" t="s">
        <v>152</v>
      </c>
      <c r="BZ465">
        <v>62</v>
      </c>
      <c r="CA465" s="10" t="s">
        <v>88</v>
      </c>
      <c r="CB465" t="s">
        <v>183</v>
      </c>
      <c r="CD465" s="42"/>
      <c r="CE465" s="34" t="s">
        <v>155</v>
      </c>
      <c r="CF465" s="10" t="s">
        <v>29</v>
      </c>
      <c r="CG465" s="10">
        <v>2</v>
      </c>
      <c r="CH465" s="10" t="s">
        <v>152</v>
      </c>
      <c r="CI465">
        <v>62</v>
      </c>
      <c r="CJ465" s="10">
        <v>3031</v>
      </c>
      <c r="CK465" s="51" t="s">
        <v>168</v>
      </c>
    </row>
    <row r="466" spans="1:89" x14ac:dyDescent="0.25">
      <c r="A466" s="42"/>
      <c r="B466" s="34" t="s">
        <v>155</v>
      </c>
      <c r="C466" s="10" t="s">
        <v>29</v>
      </c>
      <c r="D466" s="10">
        <v>3</v>
      </c>
      <c r="E466" s="10" t="s">
        <v>152</v>
      </c>
      <c r="F466">
        <v>63</v>
      </c>
      <c r="G466" s="10">
        <v>3019</v>
      </c>
      <c r="H466" t="s">
        <v>178</v>
      </c>
      <c r="J466" s="42"/>
      <c r="K466" s="34" t="s">
        <v>155</v>
      </c>
      <c r="L466" s="10" t="s">
        <v>29</v>
      </c>
      <c r="M466" s="10">
        <v>3</v>
      </c>
      <c r="N466" s="10" t="s">
        <v>152</v>
      </c>
      <c r="O466">
        <v>63</v>
      </c>
      <c r="P466" s="10">
        <v>3026</v>
      </c>
      <c r="Q466" s="43" t="s">
        <v>187</v>
      </c>
      <c r="S466" s="42"/>
      <c r="T466" s="34" t="s">
        <v>155</v>
      </c>
      <c r="U466" s="10" t="s">
        <v>29</v>
      </c>
      <c r="V466" s="10">
        <v>3</v>
      </c>
      <c r="W466" s="10" t="s">
        <v>152</v>
      </c>
      <c r="X466">
        <v>63</v>
      </c>
      <c r="Y466" s="10" t="s">
        <v>64</v>
      </c>
      <c r="Z466" t="s">
        <v>170</v>
      </c>
      <c r="AB466" s="42"/>
      <c r="AC466" s="34" t="s">
        <v>155</v>
      </c>
      <c r="AD466" s="10" t="s">
        <v>29</v>
      </c>
      <c r="AE466" s="10">
        <v>3</v>
      </c>
      <c r="AF466" s="10" t="s">
        <v>152</v>
      </c>
      <c r="AG466">
        <v>63</v>
      </c>
      <c r="AH466" s="10">
        <v>3015</v>
      </c>
      <c r="AI466" t="s">
        <v>181</v>
      </c>
      <c r="AK466" s="42"/>
      <c r="AL466" s="34" t="s">
        <v>155</v>
      </c>
      <c r="AM466" s="10" t="s">
        <v>29</v>
      </c>
      <c r="AN466" s="10">
        <v>3</v>
      </c>
      <c r="AO466" s="10" t="s">
        <v>152</v>
      </c>
      <c r="AP466">
        <v>63</v>
      </c>
      <c r="AQ466" s="10" t="s">
        <v>566</v>
      </c>
      <c r="AR466" t="s">
        <v>171</v>
      </c>
      <c r="AT466" s="42"/>
      <c r="AU466" s="34" t="s">
        <v>155</v>
      </c>
      <c r="AV466" s="10" t="s">
        <v>29</v>
      </c>
      <c r="AW466" s="10">
        <v>3</v>
      </c>
      <c r="AX466" s="10" t="s">
        <v>152</v>
      </c>
      <c r="AY466">
        <v>63</v>
      </c>
      <c r="AZ466" s="10" t="s">
        <v>82</v>
      </c>
      <c r="BA466" s="43" t="s">
        <v>188</v>
      </c>
      <c r="BC466" s="42"/>
      <c r="BD466" s="34" t="s">
        <v>155</v>
      </c>
      <c r="BE466" s="10" t="s">
        <v>29</v>
      </c>
      <c r="BF466" s="10">
        <v>3</v>
      </c>
      <c r="BG466" s="10" t="s">
        <v>152</v>
      </c>
      <c r="BH466">
        <v>63</v>
      </c>
      <c r="BI466" s="10">
        <v>3028</v>
      </c>
      <c r="BJ466" s="43" t="s">
        <v>188</v>
      </c>
      <c r="BL466" s="42"/>
      <c r="BM466" s="34" t="s">
        <v>155</v>
      </c>
      <c r="BN466" s="10" t="s">
        <v>29</v>
      </c>
      <c r="BO466" s="10">
        <v>3</v>
      </c>
      <c r="BP466" s="10" t="s">
        <v>152</v>
      </c>
      <c r="BQ466">
        <v>63</v>
      </c>
      <c r="BR466" s="10">
        <v>1090</v>
      </c>
      <c r="BS466" t="s">
        <v>163</v>
      </c>
      <c r="BU466" s="42"/>
      <c r="BV466" s="34" t="s">
        <v>155</v>
      </c>
      <c r="BW466" s="10" t="s">
        <v>29</v>
      </c>
      <c r="BX466" s="10">
        <v>3</v>
      </c>
      <c r="BY466" s="10" t="s">
        <v>152</v>
      </c>
      <c r="BZ466">
        <v>63</v>
      </c>
      <c r="CA466" s="10" t="s">
        <v>88</v>
      </c>
      <c r="CB466" t="s">
        <v>186</v>
      </c>
      <c r="CD466" s="42"/>
      <c r="CE466" s="34" t="s">
        <v>155</v>
      </c>
      <c r="CF466" s="10" t="s">
        <v>29</v>
      </c>
      <c r="CG466" s="10">
        <v>3</v>
      </c>
      <c r="CH466" s="10" t="s">
        <v>152</v>
      </c>
      <c r="CI466">
        <v>63</v>
      </c>
      <c r="CJ466" s="10">
        <v>3031</v>
      </c>
      <c r="CK466" s="43" t="s">
        <v>176</v>
      </c>
    </row>
    <row r="467" spans="1:89" x14ac:dyDescent="0.25">
      <c r="A467" s="42"/>
      <c r="B467" s="34" t="s">
        <v>155</v>
      </c>
      <c r="C467" s="10" t="s">
        <v>29</v>
      </c>
      <c r="D467" s="10">
        <v>4</v>
      </c>
      <c r="E467" s="10" t="s">
        <v>152</v>
      </c>
      <c r="F467">
        <v>64</v>
      </c>
      <c r="G467" s="10">
        <v>3019</v>
      </c>
      <c r="H467" t="s">
        <v>163</v>
      </c>
      <c r="J467" s="42"/>
      <c r="K467" s="34" t="s">
        <v>155</v>
      </c>
      <c r="L467" s="10" t="s">
        <v>29</v>
      </c>
      <c r="M467" s="10">
        <v>4</v>
      </c>
      <c r="N467" s="10" t="s">
        <v>152</v>
      </c>
      <c r="O467">
        <v>64</v>
      </c>
      <c r="P467" s="10">
        <v>3026</v>
      </c>
      <c r="Q467" s="43" t="s">
        <v>189</v>
      </c>
      <c r="S467" s="42"/>
      <c r="T467" s="34" t="s">
        <v>155</v>
      </c>
      <c r="U467" s="10" t="s">
        <v>29</v>
      </c>
      <c r="V467" s="10">
        <v>4</v>
      </c>
      <c r="W467" s="10" t="s">
        <v>152</v>
      </c>
      <c r="X467">
        <v>64</v>
      </c>
      <c r="Y467" s="10" t="s">
        <v>64</v>
      </c>
      <c r="Z467" t="s">
        <v>178</v>
      </c>
      <c r="AB467" s="42"/>
      <c r="AC467" s="34" t="s">
        <v>155</v>
      </c>
      <c r="AD467" s="10" t="s">
        <v>29</v>
      </c>
      <c r="AE467" s="10">
        <v>4</v>
      </c>
      <c r="AF467" s="10" t="s">
        <v>152</v>
      </c>
      <c r="AG467">
        <v>64</v>
      </c>
      <c r="AH467" s="10">
        <v>3015</v>
      </c>
      <c r="AI467" t="s">
        <v>183</v>
      </c>
      <c r="AK467" s="42"/>
      <c r="AL467" s="34" t="s">
        <v>155</v>
      </c>
      <c r="AM467" s="10" t="s">
        <v>29</v>
      </c>
      <c r="AN467" s="10">
        <v>4</v>
      </c>
      <c r="AO467" s="10" t="s">
        <v>152</v>
      </c>
      <c r="AP467">
        <v>64</v>
      </c>
      <c r="AQ467" s="10" t="s">
        <v>566</v>
      </c>
      <c r="AR467" t="s">
        <v>161</v>
      </c>
      <c r="AT467" s="42"/>
      <c r="AU467" s="34" t="s">
        <v>155</v>
      </c>
      <c r="AV467" s="10" t="s">
        <v>29</v>
      </c>
      <c r="AW467" s="10">
        <v>4</v>
      </c>
      <c r="AX467" s="10" t="s">
        <v>152</v>
      </c>
      <c r="AY467">
        <v>64</v>
      </c>
      <c r="AZ467" s="10" t="s">
        <v>82</v>
      </c>
      <c r="BA467" s="43" t="s">
        <v>182</v>
      </c>
      <c r="BC467" s="42"/>
      <c r="BD467" s="34" t="s">
        <v>155</v>
      </c>
      <c r="BE467" s="10" t="s">
        <v>29</v>
      </c>
      <c r="BF467" s="10">
        <v>4</v>
      </c>
      <c r="BG467" s="10" t="s">
        <v>152</v>
      </c>
      <c r="BH467">
        <v>64</v>
      </c>
      <c r="BI467" s="10">
        <v>3028</v>
      </c>
      <c r="BJ467" s="43" t="s">
        <v>182</v>
      </c>
      <c r="BL467" s="42"/>
      <c r="BM467" s="34" t="s">
        <v>155</v>
      </c>
      <c r="BN467" s="10" t="s">
        <v>29</v>
      </c>
      <c r="BO467" s="10">
        <v>4</v>
      </c>
      <c r="BP467" s="10" t="s">
        <v>152</v>
      </c>
      <c r="BQ467">
        <v>64</v>
      </c>
      <c r="BR467" s="10">
        <v>1090</v>
      </c>
      <c r="BS467" t="s">
        <v>171</v>
      </c>
      <c r="BU467" s="42"/>
      <c r="BV467" s="34" t="s">
        <v>155</v>
      </c>
      <c r="BW467" s="10" t="s">
        <v>29</v>
      </c>
      <c r="BX467" s="10">
        <v>4</v>
      </c>
      <c r="BY467" s="10" t="s">
        <v>152</v>
      </c>
      <c r="BZ467">
        <v>64</v>
      </c>
      <c r="CA467" s="10" t="s">
        <v>88</v>
      </c>
      <c r="CB467" s="43" t="s">
        <v>188</v>
      </c>
      <c r="CD467" s="42"/>
      <c r="CE467" s="34" t="s">
        <v>155</v>
      </c>
      <c r="CF467" s="10" t="s">
        <v>29</v>
      </c>
      <c r="CG467" s="10">
        <v>4</v>
      </c>
      <c r="CH467" s="10" t="s">
        <v>152</v>
      </c>
      <c r="CI467">
        <v>64</v>
      </c>
      <c r="CJ467" s="10">
        <v>3031</v>
      </c>
      <c r="CK467" s="43" t="s">
        <v>164</v>
      </c>
    </row>
    <row r="468" spans="1:89" x14ac:dyDescent="0.25">
      <c r="A468" s="42"/>
      <c r="B468" s="34" t="s">
        <v>155</v>
      </c>
      <c r="C468" s="10" t="s">
        <v>29</v>
      </c>
      <c r="D468" s="10">
        <v>5</v>
      </c>
      <c r="E468" s="10" t="s">
        <v>152</v>
      </c>
      <c r="F468">
        <v>65</v>
      </c>
      <c r="G468" s="10">
        <v>3019</v>
      </c>
      <c r="H468" t="s">
        <v>171</v>
      </c>
      <c r="J468" s="42"/>
      <c r="K468" s="34" t="s">
        <v>155</v>
      </c>
      <c r="L468" s="10" t="s">
        <v>29</v>
      </c>
      <c r="M468" s="10">
        <v>5</v>
      </c>
      <c r="N468" s="10" t="s">
        <v>152</v>
      </c>
      <c r="O468">
        <v>65</v>
      </c>
      <c r="P468" s="10">
        <v>1076</v>
      </c>
      <c r="Q468" s="43" t="s">
        <v>160</v>
      </c>
      <c r="S468" s="42"/>
      <c r="T468" s="34" t="s">
        <v>155</v>
      </c>
      <c r="U468" s="10" t="s">
        <v>29</v>
      </c>
      <c r="V468" s="10">
        <v>5</v>
      </c>
      <c r="W468" s="10" t="s">
        <v>152</v>
      </c>
      <c r="X468">
        <v>65</v>
      </c>
      <c r="Y468" s="10" t="s">
        <v>64</v>
      </c>
      <c r="Z468" t="s">
        <v>163</v>
      </c>
      <c r="AB468" s="42"/>
      <c r="AC468" s="34" t="s">
        <v>155</v>
      </c>
      <c r="AD468" s="10" t="s">
        <v>29</v>
      </c>
      <c r="AE468" s="10">
        <v>5</v>
      </c>
      <c r="AF468" s="10" t="s">
        <v>152</v>
      </c>
      <c r="AG468">
        <v>65</v>
      </c>
      <c r="AH468" s="10">
        <v>3015</v>
      </c>
      <c r="AI468" t="s">
        <v>186</v>
      </c>
      <c r="AK468" s="42"/>
      <c r="AL468" s="34" t="s">
        <v>155</v>
      </c>
      <c r="AM468" s="10" t="s">
        <v>29</v>
      </c>
      <c r="AN468" s="10">
        <v>5</v>
      </c>
      <c r="AO468" s="10" t="s">
        <v>152</v>
      </c>
      <c r="AP468">
        <v>65</v>
      </c>
      <c r="AQ468" s="10" t="s">
        <v>566</v>
      </c>
      <c r="AR468" t="s">
        <v>169</v>
      </c>
      <c r="AT468" s="42"/>
      <c r="AU468" s="34" t="s">
        <v>155</v>
      </c>
      <c r="AV468" s="10" t="s">
        <v>29</v>
      </c>
      <c r="AW468" s="10">
        <v>5</v>
      </c>
      <c r="AX468" s="10" t="s">
        <v>152</v>
      </c>
      <c r="AY468">
        <v>65</v>
      </c>
      <c r="AZ468" s="10" t="s">
        <v>82</v>
      </c>
      <c r="BA468" s="43" t="s">
        <v>184</v>
      </c>
      <c r="BC468" s="42"/>
      <c r="BD468" s="34" t="s">
        <v>155</v>
      </c>
      <c r="BE468" s="10" t="s">
        <v>29</v>
      </c>
      <c r="BF468" s="10">
        <v>5</v>
      </c>
      <c r="BG468" s="10" t="s">
        <v>152</v>
      </c>
      <c r="BH468">
        <v>65</v>
      </c>
      <c r="BI468" s="10">
        <v>3028</v>
      </c>
      <c r="BJ468" s="43" t="s">
        <v>184</v>
      </c>
      <c r="BL468" s="42"/>
      <c r="BM468" s="34" t="s">
        <v>155</v>
      </c>
      <c r="BN468" s="10" t="s">
        <v>29</v>
      </c>
      <c r="BO468" s="10">
        <v>5</v>
      </c>
      <c r="BP468" s="10" t="s">
        <v>152</v>
      </c>
      <c r="BQ468">
        <v>65</v>
      </c>
      <c r="BR468" s="10">
        <v>1090</v>
      </c>
      <c r="BS468" t="s">
        <v>161</v>
      </c>
      <c r="BU468" s="42"/>
      <c r="BV468" s="34" t="s">
        <v>155</v>
      </c>
      <c r="BW468" s="10" t="s">
        <v>29</v>
      </c>
      <c r="BX468" s="10">
        <v>5</v>
      </c>
      <c r="BY468" s="10" t="s">
        <v>152</v>
      </c>
      <c r="BZ468">
        <v>65</v>
      </c>
      <c r="CA468" s="10" t="s">
        <v>88</v>
      </c>
      <c r="CB468" s="43" t="s">
        <v>182</v>
      </c>
      <c r="CD468" s="42"/>
      <c r="CE468" s="34" t="s">
        <v>155</v>
      </c>
      <c r="CF468" s="10" t="s">
        <v>29</v>
      </c>
      <c r="CG468" s="10">
        <v>5</v>
      </c>
      <c r="CH468" s="10" t="s">
        <v>152</v>
      </c>
      <c r="CI468">
        <v>65</v>
      </c>
      <c r="CJ468" s="10">
        <v>3031</v>
      </c>
      <c r="CK468" t="s">
        <v>172</v>
      </c>
    </row>
    <row r="469" spans="1:89" x14ac:dyDescent="0.25">
      <c r="A469" s="42"/>
      <c r="B469" s="34" t="s">
        <v>155</v>
      </c>
      <c r="C469" s="10" t="s">
        <v>29</v>
      </c>
      <c r="D469" s="10">
        <v>6</v>
      </c>
      <c r="E469" s="10" t="s">
        <v>152</v>
      </c>
      <c r="F469">
        <v>66</v>
      </c>
      <c r="G469" s="10">
        <v>3019</v>
      </c>
      <c r="H469" t="s">
        <v>161</v>
      </c>
      <c r="J469" s="42"/>
      <c r="K469" s="34" t="s">
        <v>155</v>
      </c>
      <c r="L469" s="10" t="s">
        <v>29</v>
      </c>
      <c r="M469" s="10">
        <v>6</v>
      </c>
      <c r="N469" s="10" t="s">
        <v>152</v>
      </c>
      <c r="O469">
        <v>66</v>
      </c>
      <c r="P469" s="10">
        <v>1076</v>
      </c>
      <c r="Q469" s="51" t="s">
        <v>168</v>
      </c>
      <c r="S469" s="42"/>
      <c r="T469" s="34" t="s">
        <v>155</v>
      </c>
      <c r="U469" s="10" t="s">
        <v>29</v>
      </c>
      <c r="V469" s="10">
        <v>6</v>
      </c>
      <c r="W469" s="10" t="s">
        <v>152</v>
      </c>
      <c r="X469">
        <v>66</v>
      </c>
      <c r="Y469" s="10" t="s">
        <v>64</v>
      </c>
      <c r="Z469" t="s">
        <v>171</v>
      </c>
      <c r="AB469" s="42"/>
      <c r="AC469" s="34" t="s">
        <v>155</v>
      </c>
      <c r="AD469" s="10" t="s">
        <v>29</v>
      </c>
      <c r="AE469" s="10">
        <v>6</v>
      </c>
      <c r="AF469" s="10" t="s">
        <v>152</v>
      </c>
      <c r="AG469">
        <v>66</v>
      </c>
      <c r="AH469" s="10">
        <v>3015</v>
      </c>
      <c r="AI469" s="43" t="s">
        <v>188</v>
      </c>
      <c r="AK469" s="42"/>
      <c r="AL469" s="34" t="s">
        <v>155</v>
      </c>
      <c r="AM469" s="10" t="s">
        <v>29</v>
      </c>
      <c r="AN469" s="10">
        <v>6</v>
      </c>
      <c r="AO469" s="10" t="s">
        <v>152</v>
      </c>
      <c r="AP469">
        <v>66</v>
      </c>
      <c r="AQ469" s="10" t="s">
        <v>566</v>
      </c>
      <c r="AR469" t="s">
        <v>177</v>
      </c>
      <c r="AT469" s="42"/>
      <c r="AU469" s="34" t="s">
        <v>155</v>
      </c>
      <c r="AV469" s="10" t="s">
        <v>29</v>
      </c>
      <c r="AW469" s="10">
        <v>6</v>
      </c>
      <c r="AX469" s="10" t="s">
        <v>152</v>
      </c>
      <c r="AY469">
        <v>66</v>
      </c>
      <c r="AZ469" s="10" t="s">
        <v>82</v>
      </c>
      <c r="BA469" s="43" t="s">
        <v>187</v>
      </c>
      <c r="BC469" s="42"/>
      <c r="BD469" s="34" t="s">
        <v>155</v>
      </c>
      <c r="BE469" s="10" t="s">
        <v>29</v>
      </c>
      <c r="BF469" s="10">
        <v>6</v>
      </c>
      <c r="BG469" s="10" t="s">
        <v>152</v>
      </c>
      <c r="BH469">
        <v>66</v>
      </c>
      <c r="BI469" s="10">
        <v>3028</v>
      </c>
      <c r="BJ469" s="43" t="s">
        <v>187</v>
      </c>
      <c r="BL469" s="42"/>
      <c r="BM469" s="34" t="s">
        <v>155</v>
      </c>
      <c r="BN469" s="10" t="s">
        <v>29</v>
      </c>
      <c r="BO469" s="10">
        <v>6</v>
      </c>
      <c r="BP469" s="10" t="s">
        <v>152</v>
      </c>
      <c r="BQ469">
        <v>66</v>
      </c>
      <c r="BR469" s="10">
        <v>1090</v>
      </c>
      <c r="BS469" t="s">
        <v>169</v>
      </c>
      <c r="BU469" s="42"/>
      <c r="BV469" s="34" t="s">
        <v>155</v>
      </c>
      <c r="BW469" s="10" t="s">
        <v>29</v>
      </c>
      <c r="BX469" s="10">
        <v>6</v>
      </c>
      <c r="BY469" s="10" t="s">
        <v>152</v>
      </c>
      <c r="BZ469">
        <v>66</v>
      </c>
      <c r="CA469" s="10" t="s">
        <v>88</v>
      </c>
      <c r="CB469" s="43" t="s">
        <v>184</v>
      </c>
      <c r="CD469" s="42"/>
      <c r="CE469" s="34" t="s">
        <v>155</v>
      </c>
      <c r="CF469" s="10" t="s">
        <v>29</v>
      </c>
      <c r="CG469" s="10">
        <v>6</v>
      </c>
      <c r="CH469" s="10" t="s">
        <v>152</v>
      </c>
      <c r="CI469">
        <v>66</v>
      </c>
      <c r="CJ469" s="10">
        <v>3031</v>
      </c>
      <c r="CK469" t="s">
        <v>162</v>
      </c>
    </row>
    <row r="470" spans="1:89" x14ac:dyDescent="0.25">
      <c r="A470" s="42"/>
      <c r="B470" s="34" t="s">
        <v>155</v>
      </c>
      <c r="C470" s="10" t="s">
        <v>29</v>
      </c>
      <c r="D470" s="10">
        <v>7</v>
      </c>
      <c r="E470" s="10" t="s">
        <v>152</v>
      </c>
      <c r="F470">
        <v>67</v>
      </c>
      <c r="G470" s="10">
        <v>3019</v>
      </c>
      <c r="H470" t="s">
        <v>169</v>
      </c>
      <c r="J470" s="42"/>
      <c r="K470" s="34" t="s">
        <v>155</v>
      </c>
      <c r="L470" s="10" t="s">
        <v>29</v>
      </c>
      <c r="M470" s="10">
        <v>7</v>
      </c>
      <c r="N470" s="10" t="s">
        <v>152</v>
      </c>
      <c r="O470">
        <v>67</v>
      </c>
      <c r="P470" s="10">
        <v>1076</v>
      </c>
      <c r="Q470" s="43" t="s">
        <v>176</v>
      </c>
      <c r="S470" s="42"/>
      <c r="T470" s="34" t="s">
        <v>155</v>
      </c>
      <c r="U470" s="10" t="s">
        <v>29</v>
      </c>
      <c r="V470" s="10">
        <v>7</v>
      </c>
      <c r="W470" s="10" t="s">
        <v>152</v>
      </c>
      <c r="X470">
        <v>67</v>
      </c>
      <c r="Y470" s="10" t="s">
        <v>64</v>
      </c>
      <c r="Z470" t="s">
        <v>161</v>
      </c>
      <c r="AB470" s="42"/>
      <c r="AC470" s="34" t="s">
        <v>155</v>
      </c>
      <c r="AD470" s="10" t="s">
        <v>29</v>
      </c>
      <c r="AE470" s="10">
        <v>7</v>
      </c>
      <c r="AF470" s="10" t="s">
        <v>152</v>
      </c>
      <c r="AG470">
        <v>67</v>
      </c>
      <c r="AH470" s="10">
        <v>3015</v>
      </c>
      <c r="AI470" s="43" t="s">
        <v>182</v>
      </c>
      <c r="AK470" s="42"/>
      <c r="AL470" s="34" t="s">
        <v>155</v>
      </c>
      <c r="AM470" s="10" t="s">
        <v>29</v>
      </c>
      <c r="AN470" s="10">
        <v>7</v>
      </c>
      <c r="AO470" s="10" t="s">
        <v>152</v>
      </c>
      <c r="AP470">
        <v>67</v>
      </c>
      <c r="AQ470" s="10" t="s">
        <v>566</v>
      </c>
      <c r="AR470" t="s">
        <v>180</v>
      </c>
      <c r="AT470" s="42"/>
      <c r="AU470" s="34" t="s">
        <v>155</v>
      </c>
      <c r="AV470" s="10" t="s">
        <v>29</v>
      </c>
      <c r="AW470" s="10">
        <v>7</v>
      </c>
      <c r="AX470" s="10" t="s">
        <v>152</v>
      </c>
      <c r="AY470">
        <v>67</v>
      </c>
      <c r="AZ470" s="10" t="s">
        <v>82</v>
      </c>
      <c r="BA470" s="43" t="s">
        <v>189</v>
      </c>
      <c r="BC470" s="42"/>
      <c r="BD470" s="34" t="s">
        <v>155</v>
      </c>
      <c r="BE470" s="10" t="s">
        <v>29</v>
      </c>
      <c r="BF470" s="10">
        <v>7</v>
      </c>
      <c r="BG470" s="10" t="s">
        <v>152</v>
      </c>
      <c r="BH470">
        <v>67</v>
      </c>
      <c r="BI470" s="10">
        <v>3028</v>
      </c>
      <c r="BJ470" s="43" t="s">
        <v>189</v>
      </c>
      <c r="BL470" s="42"/>
      <c r="BM470" s="34" t="s">
        <v>155</v>
      </c>
      <c r="BN470" s="10" t="s">
        <v>29</v>
      </c>
      <c r="BO470" s="10">
        <v>7</v>
      </c>
      <c r="BP470" s="10" t="s">
        <v>152</v>
      </c>
      <c r="BQ470">
        <v>67</v>
      </c>
      <c r="BR470" s="10">
        <v>1090</v>
      </c>
      <c r="BS470" t="s">
        <v>177</v>
      </c>
      <c r="BU470" s="42"/>
      <c r="BV470" s="34" t="s">
        <v>155</v>
      </c>
      <c r="BW470" s="10" t="s">
        <v>29</v>
      </c>
      <c r="BX470" s="10">
        <v>7</v>
      </c>
      <c r="BY470" s="10" t="s">
        <v>152</v>
      </c>
      <c r="BZ470">
        <v>67</v>
      </c>
      <c r="CA470" s="10" t="s">
        <v>88</v>
      </c>
      <c r="CB470" s="43" t="s">
        <v>187</v>
      </c>
      <c r="CD470" s="42"/>
      <c r="CE470" s="34" t="s">
        <v>155</v>
      </c>
      <c r="CF470" s="10" t="s">
        <v>29</v>
      </c>
      <c r="CG470" s="10">
        <v>7</v>
      </c>
      <c r="CH470" s="10" t="s">
        <v>152</v>
      </c>
      <c r="CI470">
        <v>67</v>
      </c>
      <c r="CJ470" s="10">
        <v>3031</v>
      </c>
      <c r="CK470" t="s">
        <v>170</v>
      </c>
    </row>
    <row r="471" spans="1:89" x14ac:dyDescent="0.25">
      <c r="A471" s="42"/>
      <c r="B471" s="34" t="s">
        <v>155</v>
      </c>
      <c r="C471" s="10" t="s">
        <v>29</v>
      </c>
      <c r="D471" s="10">
        <v>8</v>
      </c>
      <c r="E471" s="10" t="s">
        <v>152</v>
      </c>
      <c r="F471">
        <v>68</v>
      </c>
      <c r="G471" s="10">
        <v>3019</v>
      </c>
      <c r="H471" t="s">
        <v>177</v>
      </c>
      <c r="J471" s="42"/>
      <c r="K471" s="34" t="s">
        <v>155</v>
      </c>
      <c r="L471" s="10" t="s">
        <v>29</v>
      </c>
      <c r="M471" s="10">
        <v>8</v>
      </c>
      <c r="N471" s="10" t="s">
        <v>152</v>
      </c>
      <c r="O471">
        <v>68</v>
      </c>
      <c r="P471" s="10">
        <v>1076</v>
      </c>
      <c r="Q471" s="43" t="s">
        <v>164</v>
      </c>
      <c r="S471" s="42"/>
      <c r="T471" s="34" t="s">
        <v>155</v>
      </c>
      <c r="U471" s="10" t="s">
        <v>29</v>
      </c>
      <c r="V471" s="10">
        <v>8</v>
      </c>
      <c r="W471" s="10" t="s">
        <v>152</v>
      </c>
      <c r="X471">
        <v>68</v>
      </c>
      <c r="Y471" s="10" t="s">
        <v>64</v>
      </c>
      <c r="Z471" t="s">
        <v>169</v>
      </c>
      <c r="AB471" s="42"/>
      <c r="AC471" s="34" t="s">
        <v>155</v>
      </c>
      <c r="AD471" s="10" t="s">
        <v>29</v>
      </c>
      <c r="AE471" s="10">
        <v>8</v>
      </c>
      <c r="AF471" s="10" t="s">
        <v>152</v>
      </c>
      <c r="AG471">
        <v>68</v>
      </c>
      <c r="AH471" s="10">
        <v>3015</v>
      </c>
      <c r="AI471" s="43" t="s">
        <v>184</v>
      </c>
      <c r="AK471" s="42"/>
      <c r="AL471" s="34" t="s">
        <v>155</v>
      </c>
      <c r="AM471" s="10" t="s">
        <v>29</v>
      </c>
      <c r="AN471" s="10">
        <v>8</v>
      </c>
      <c r="AO471" s="10" t="s">
        <v>152</v>
      </c>
      <c r="AP471">
        <v>68</v>
      </c>
      <c r="AQ471" s="10" t="s">
        <v>566</v>
      </c>
      <c r="AR471" t="s">
        <v>181</v>
      </c>
      <c r="AT471" s="42"/>
      <c r="AU471" s="34" t="s">
        <v>155</v>
      </c>
      <c r="AV471" s="10" t="s">
        <v>29</v>
      </c>
      <c r="AW471" s="10">
        <v>8</v>
      </c>
      <c r="AX471" s="10" t="s">
        <v>152</v>
      </c>
      <c r="AY471">
        <v>68</v>
      </c>
      <c r="AZ471" s="10" t="s">
        <v>68</v>
      </c>
      <c r="BA471" s="43" t="s">
        <v>160</v>
      </c>
      <c r="BC471" s="42"/>
      <c r="BD471" s="34" t="s">
        <v>155</v>
      </c>
      <c r="BE471" s="10" t="s">
        <v>29</v>
      </c>
      <c r="BF471" s="10">
        <v>8</v>
      </c>
      <c r="BG471" s="10" t="s">
        <v>152</v>
      </c>
      <c r="BH471">
        <v>68</v>
      </c>
      <c r="BI471" s="10">
        <v>3029</v>
      </c>
      <c r="BJ471" s="43" t="s">
        <v>160</v>
      </c>
      <c r="BL471" s="42"/>
      <c r="BM471" s="34" t="s">
        <v>155</v>
      </c>
      <c r="BN471" s="10" t="s">
        <v>29</v>
      </c>
      <c r="BO471" s="10">
        <v>8</v>
      </c>
      <c r="BP471" s="10" t="s">
        <v>152</v>
      </c>
      <c r="BQ471">
        <v>68</v>
      </c>
      <c r="BR471" s="10">
        <v>1090</v>
      </c>
      <c r="BS471" t="s">
        <v>180</v>
      </c>
      <c r="BU471" s="42"/>
      <c r="BV471" s="34" t="s">
        <v>155</v>
      </c>
      <c r="BW471" s="10" t="s">
        <v>29</v>
      </c>
      <c r="BX471" s="10">
        <v>8</v>
      </c>
      <c r="BY471" s="10" t="s">
        <v>152</v>
      </c>
      <c r="BZ471">
        <v>68</v>
      </c>
      <c r="CA471" s="10" t="s">
        <v>88</v>
      </c>
      <c r="CB471" s="43" t="s">
        <v>189</v>
      </c>
      <c r="CD471" s="42"/>
      <c r="CE471" s="34" t="s">
        <v>155</v>
      </c>
      <c r="CF471" s="10" t="s">
        <v>29</v>
      </c>
      <c r="CG471" s="10">
        <v>8</v>
      </c>
      <c r="CH471" s="10" t="s">
        <v>152</v>
      </c>
      <c r="CI471">
        <v>68</v>
      </c>
      <c r="CJ471" s="10">
        <v>3031</v>
      </c>
      <c r="CK471" t="s">
        <v>178</v>
      </c>
    </row>
    <row r="472" spans="1:89" x14ac:dyDescent="0.25">
      <c r="A472" s="42"/>
      <c r="B472" s="34" t="s">
        <v>155</v>
      </c>
      <c r="C472" s="10" t="s">
        <v>29</v>
      </c>
      <c r="D472" s="10">
        <v>9</v>
      </c>
      <c r="E472" s="10" t="s">
        <v>152</v>
      </c>
      <c r="F472">
        <v>69</v>
      </c>
      <c r="G472" s="10">
        <v>3019</v>
      </c>
      <c r="H472" t="s">
        <v>180</v>
      </c>
      <c r="J472" s="42"/>
      <c r="K472" s="34" t="s">
        <v>155</v>
      </c>
      <c r="L472" s="10" t="s">
        <v>29</v>
      </c>
      <c r="M472" s="10">
        <v>9</v>
      </c>
      <c r="N472" s="10" t="s">
        <v>152</v>
      </c>
      <c r="O472">
        <v>69</v>
      </c>
      <c r="P472" s="10">
        <v>1076</v>
      </c>
      <c r="Q472" t="s">
        <v>172</v>
      </c>
      <c r="S472" s="42"/>
      <c r="T472" s="34" t="s">
        <v>155</v>
      </c>
      <c r="U472" s="10" t="s">
        <v>29</v>
      </c>
      <c r="V472" s="10">
        <v>9</v>
      </c>
      <c r="W472" s="10" t="s">
        <v>152</v>
      </c>
      <c r="X472">
        <v>69</v>
      </c>
      <c r="Y472" s="10" t="s">
        <v>64</v>
      </c>
      <c r="Z472" t="s">
        <v>177</v>
      </c>
      <c r="AB472" s="42"/>
      <c r="AC472" s="34" t="s">
        <v>155</v>
      </c>
      <c r="AD472" s="10" t="s">
        <v>29</v>
      </c>
      <c r="AE472" s="10">
        <v>9</v>
      </c>
      <c r="AF472" s="10" t="s">
        <v>152</v>
      </c>
      <c r="AG472">
        <v>69</v>
      </c>
      <c r="AH472" s="10">
        <v>3015</v>
      </c>
      <c r="AI472" s="43" t="s">
        <v>187</v>
      </c>
      <c r="AK472" s="42"/>
      <c r="AL472" s="34" t="s">
        <v>155</v>
      </c>
      <c r="AM472" s="10" t="s">
        <v>29</v>
      </c>
      <c r="AN472" s="10">
        <v>9</v>
      </c>
      <c r="AO472" s="10" t="s">
        <v>152</v>
      </c>
      <c r="AP472">
        <v>69</v>
      </c>
      <c r="AQ472" s="10" t="s">
        <v>566</v>
      </c>
      <c r="AR472" t="s">
        <v>183</v>
      </c>
      <c r="AT472" s="42"/>
      <c r="AU472" s="34" t="s">
        <v>155</v>
      </c>
      <c r="AV472" s="10" t="s">
        <v>29</v>
      </c>
      <c r="AW472" s="10">
        <v>9</v>
      </c>
      <c r="AX472" s="10" t="s">
        <v>152</v>
      </c>
      <c r="AY472">
        <v>69</v>
      </c>
      <c r="AZ472" s="10" t="s">
        <v>68</v>
      </c>
      <c r="BA472" s="51" t="s">
        <v>168</v>
      </c>
      <c r="BC472" s="42"/>
      <c r="BD472" s="34" t="s">
        <v>155</v>
      </c>
      <c r="BE472" s="10" t="s">
        <v>29</v>
      </c>
      <c r="BF472" s="10">
        <v>9</v>
      </c>
      <c r="BG472" s="10" t="s">
        <v>152</v>
      </c>
      <c r="BH472">
        <v>69</v>
      </c>
      <c r="BI472" s="10">
        <v>3029</v>
      </c>
      <c r="BJ472" s="51" t="s">
        <v>168</v>
      </c>
      <c r="BL472" s="42"/>
      <c r="BM472" s="34" t="s">
        <v>155</v>
      </c>
      <c r="BN472" s="10" t="s">
        <v>29</v>
      </c>
      <c r="BO472" s="10">
        <v>9</v>
      </c>
      <c r="BP472" s="10" t="s">
        <v>152</v>
      </c>
      <c r="BQ472">
        <v>69</v>
      </c>
      <c r="BR472" s="10">
        <v>1090</v>
      </c>
      <c r="BS472" t="s">
        <v>181</v>
      </c>
      <c r="BU472" s="42"/>
      <c r="BV472" s="34" t="s">
        <v>155</v>
      </c>
      <c r="BW472" s="10" t="s">
        <v>29</v>
      </c>
      <c r="BX472" s="10">
        <v>9</v>
      </c>
      <c r="BY472" s="10" t="s">
        <v>152</v>
      </c>
      <c r="BZ472">
        <v>69</v>
      </c>
      <c r="CA472" s="10" t="s">
        <v>95</v>
      </c>
      <c r="CB472" s="43" t="s">
        <v>160</v>
      </c>
      <c r="CD472" s="42"/>
      <c r="CE472" s="34" t="s">
        <v>155</v>
      </c>
      <c r="CF472" s="10" t="s">
        <v>29</v>
      </c>
      <c r="CG472" s="10">
        <v>9</v>
      </c>
      <c r="CH472" s="10" t="s">
        <v>152</v>
      </c>
      <c r="CI472">
        <v>69</v>
      </c>
      <c r="CJ472" s="10">
        <v>3031</v>
      </c>
      <c r="CK472" t="s">
        <v>163</v>
      </c>
    </row>
    <row r="473" spans="1:89" x14ac:dyDescent="0.25">
      <c r="A473" s="42"/>
      <c r="B473" s="34" t="s">
        <v>155</v>
      </c>
      <c r="C473" s="10" t="s">
        <v>29</v>
      </c>
      <c r="D473" s="10">
        <v>10</v>
      </c>
      <c r="E473" s="10" t="s">
        <v>152</v>
      </c>
      <c r="F473">
        <v>70</v>
      </c>
      <c r="G473" s="10">
        <v>3019</v>
      </c>
      <c r="H473" t="s">
        <v>181</v>
      </c>
      <c r="J473" s="42"/>
      <c r="K473" s="34" t="s">
        <v>155</v>
      </c>
      <c r="L473" s="10" t="s">
        <v>29</v>
      </c>
      <c r="M473" s="10">
        <v>10</v>
      </c>
      <c r="N473" s="10" t="s">
        <v>152</v>
      </c>
      <c r="O473">
        <v>70</v>
      </c>
      <c r="P473" s="10">
        <v>1076</v>
      </c>
      <c r="Q473" t="s">
        <v>162</v>
      </c>
      <c r="S473" s="42"/>
      <c r="T473" s="34" t="s">
        <v>155</v>
      </c>
      <c r="U473" s="10" t="s">
        <v>29</v>
      </c>
      <c r="V473" s="10">
        <v>10</v>
      </c>
      <c r="W473" s="10" t="s">
        <v>152</v>
      </c>
      <c r="X473">
        <v>70</v>
      </c>
      <c r="Y473" s="10" t="s">
        <v>64</v>
      </c>
      <c r="Z473" t="s">
        <v>180</v>
      </c>
      <c r="AB473" s="42"/>
      <c r="AC473" s="34" t="s">
        <v>155</v>
      </c>
      <c r="AD473" s="10" t="s">
        <v>29</v>
      </c>
      <c r="AE473" s="10">
        <v>10</v>
      </c>
      <c r="AF473" s="10" t="s">
        <v>152</v>
      </c>
      <c r="AG473">
        <v>70</v>
      </c>
      <c r="AH473" s="10">
        <v>3015</v>
      </c>
      <c r="AI473" s="43" t="s">
        <v>189</v>
      </c>
      <c r="AK473" s="42"/>
      <c r="AL473" s="34" t="s">
        <v>155</v>
      </c>
      <c r="AM473" s="10" t="s">
        <v>29</v>
      </c>
      <c r="AN473" s="10">
        <v>10</v>
      </c>
      <c r="AO473" s="10" t="s">
        <v>152</v>
      </c>
      <c r="AP473">
        <v>70</v>
      </c>
      <c r="AQ473" s="10" t="s">
        <v>566</v>
      </c>
      <c r="AR473" t="s">
        <v>186</v>
      </c>
      <c r="AT473" s="42"/>
      <c r="AU473" s="34" t="s">
        <v>155</v>
      </c>
      <c r="AV473" s="10" t="s">
        <v>29</v>
      </c>
      <c r="AW473" s="10">
        <v>10</v>
      </c>
      <c r="AX473" s="10" t="s">
        <v>152</v>
      </c>
      <c r="AY473">
        <v>70</v>
      </c>
      <c r="AZ473" s="10" t="s">
        <v>68</v>
      </c>
      <c r="BA473" s="43" t="s">
        <v>176</v>
      </c>
      <c r="BC473" s="42"/>
      <c r="BD473" s="34" t="s">
        <v>155</v>
      </c>
      <c r="BE473" s="10" t="s">
        <v>29</v>
      </c>
      <c r="BF473" s="10">
        <v>10</v>
      </c>
      <c r="BG473" s="10" t="s">
        <v>152</v>
      </c>
      <c r="BH473">
        <v>70</v>
      </c>
      <c r="BI473" s="10">
        <v>3029</v>
      </c>
      <c r="BJ473" s="43" t="s">
        <v>176</v>
      </c>
      <c r="BL473" s="42"/>
      <c r="BM473" s="34" t="s">
        <v>155</v>
      </c>
      <c r="BN473" s="10" t="s">
        <v>29</v>
      </c>
      <c r="BO473" s="10">
        <v>10</v>
      </c>
      <c r="BP473" s="10" t="s">
        <v>152</v>
      </c>
      <c r="BQ473">
        <v>70</v>
      </c>
      <c r="BR473" s="10">
        <v>1090</v>
      </c>
      <c r="BS473" t="s">
        <v>183</v>
      </c>
      <c r="BU473" s="42"/>
      <c r="BV473" s="34" t="s">
        <v>155</v>
      </c>
      <c r="BW473" s="10" t="s">
        <v>29</v>
      </c>
      <c r="BX473" s="10">
        <v>10</v>
      </c>
      <c r="BY473" s="10" t="s">
        <v>152</v>
      </c>
      <c r="BZ473">
        <v>70</v>
      </c>
      <c r="CA473" s="10" t="s">
        <v>95</v>
      </c>
      <c r="CB473" s="51" t="s">
        <v>168</v>
      </c>
      <c r="CD473" s="42"/>
      <c r="CE473" s="34" t="s">
        <v>155</v>
      </c>
      <c r="CF473" s="10" t="s">
        <v>29</v>
      </c>
      <c r="CG473" s="10">
        <v>10</v>
      </c>
      <c r="CH473" s="10" t="s">
        <v>152</v>
      </c>
      <c r="CI473">
        <v>70</v>
      </c>
      <c r="CJ473" s="10">
        <v>3031</v>
      </c>
      <c r="CK473" t="s">
        <v>171</v>
      </c>
    </row>
    <row r="474" spans="1:89" x14ac:dyDescent="0.25">
      <c r="A474" s="42"/>
      <c r="B474" s="34" t="s">
        <v>155</v>
      </c>
      <c r="C474" s="10" t="s">
        <v>29</v>
      </c>
      <c r="D474" s="10">
        <v>11</v>
      </c>
      <c r="E474" s="10" t="s">
        <v>152</v>
      </c>
      <c r="F474">
        <v>71</v>
      </c>
      <c r="G474" s="10">
        <v>3019</v>
      </c>
      <c r="H474" t="s">
        <v>183</v>
      </c>
      <c r="J474" s="42"/>
      <c r="K474" s="34" t="s">
        <v>155</v>
      </c>
      <c r="L474" s="10" t="s">
        <v>29</v>
      </c>
      <c r="M474" s="10">
        <v>11</v>
      </c>
      <c r="N474" s="10" t="s">
        <v>152</v>
      </c>
      <c r="O474">
        <v>71</v>
      </c>
      <c r="P474" s="10">
        <v>1076</v>
      </c>
      <c r="Q474" t="s">
        <v>170</v>
      </c>
      <c r="S474" s="42"/>
      <c r="T474" s="34" t="s">
        <v>155</v>
      </c>
      <c r="U474" s="10" t="s">
        <v>29</v>
      </c>
      <c r="V474" s="10">
        <v>11</v>
      </c>
      <c r="W474" s="10" t="s">
        <v>152</v>
      </c>
      <c r="X474">
        <v>71</v>
      </c>
      <c r="Y474" s="10" t="s">
        <v>64</v>
      </c>
      <c r="Z474" t="s">
        <v>181</v>
      </c>
      <c r="AB474" s="42"/>
      <c r="AC474" s="34" t="s">
        <v>155</v>
      </c>
      <c r="AD474" s="10" t="s">
        <v>29</v>
      </c>
      <c r="AE474" s="10">
        <v>11</v>
      </c>
      <c r="AF474" s="10" t="s">
        <v>152</v>
      </c>
      <c r="AG474">
        <v>71</v>
      </c>
      <c r="AH474" s="10">
        <v>3016</v>
      </c>
      <c r="AI474" t="s">
        <v>171</v>
      </c>
      <c r="AK474" s="42"/>
      <c r="AL474" s="34" t="s">
        <v>155</v>
      </c>
      <c r="AM474" s="10" t="s">
        <v>29</v>
      </c>
      <c r="AN474" s="10">
        <v>11</v>
      </c>
      <c r="AO474" s="10" t="s">
        <v>152</v>
      </c>
      <c r="AP474">
        <v>71</v>
      </c>
      <c r="AQ474" s="10" t="s">
        <v>566</v>
      </c>
      <c r="AR474" s="43" t="s">
        <v>188</v>
      </c>
      <c r="AT474" s="42"/>
      <c r="AU474" s="34" t="s">
        <v>155</v>
      </c>
      <c r="AV474" s="10" t="s">
        <v>29</v>
      </c>
      <c r="AW474" s="10">
        <v>11</v>
      </c>
      <c r="AX474" s="10" t="s">
        <v>152</v>
      </c>
      <c r="AY474">
        <v>71</v>
      </c>
      <c r="AZ474" s="10" t="s">
        <v>68</v>
      </c>
      <c r="BA474" s="43" t="s">
        <v>164</v>
      </c>
      <c r="BC474" s="42"/>
      <c r="BD474" s="34" t="s">
        <v>155</v>
      </c>
      <c r="BE474" s="10" t="s">
        <v>29</v>
      </c>
      <c r="BF474" s="10">
        <v>11</v>
      </c>
      <c r="BG474" s="10" t="s">
        <v>152</v>
      </c>
      <c r="BH474">
        <v>71</v>
      </c>
      <c r="BI474" s="10">
        <v>3029</v>
      </c>
      <c r="BJ474" s="43" t="s">
        <v>164</v>
      </c>
      <c r="BL474" s="42"/>
      <c r="BM474" s="34" t="s">
        <v>155</v>
      </c>
      <c r="BN474" s="10" t="s">
        <v>29</v>
      </c>
      <c r="BO474" s="10">
        <v>11</v>
      </c>
      <c r="BP474" s="10" t="s">
        <v>152</v>
      </c>
      <c r="BQ474">
        <v>71</v>
      </c>
      <c r="BR474" s="10">
        <v>1090</v>
      </c>
      <c r="BS474" t="s">
        <v>186</v>
      </c>
      <c r="BU474" s="42"/>
      <c r="BV474" s="34" t="s">
        <v>155</v>
      </c>
      <c r="BW474" s="10" t="s">
        <v>29</v>
      </c>
      <c r="BX474" s="10">
        <v>11</v>
      </c>
      <c r="BY474" s="10" t="s">
        <v>152</v>
      </c>
      <c r="BZ474">
        <v>71</v>
      </c>
      <c r="CA474" s="10" t="s">
        <v>95</v>
      </c>
      <c r="CB474" s="43" t="s">
        <v>176</v>
      </c>
      <c r="CD474" s="42"/>
      <c r="CE474" s="34" t="s">
        <v>155</v>
      </c>
      <c r="CF474" s="10" t="s">
        <v>29</v>
      </c>
      <c r="CG474" s="10">
        <v>11</v>
      </c>
      <c r="CH474" s="10" t="s">
        <v>152</v>
      </c>
      <c r="CI474">
        <v>71</v>
      </c>
      <c r="CJ474" s="10">
        <v>3031</v>
      </c>
      <c r="CK474" t="s">
        <v>161</v>
      </c>
    </row>
    <row r="475" spans="1:89" x14ac:dyDescent="0.25">
      <c r="A475" s="47"/>
      <c r="B475" s="48" t="s">
        <v>155</v>
      </c>
      <c r="C475" s="49" t="s">
        <v>29</v>
      </c>
      <c r="D475" s="49">
        <v>12</v>
      </c>
      <c r="E475" s="49" t="s">
        <v>152</v>
      </c>
      <c r="F475" s="50">
        <v>72</v>
      </c>
      <c r="G475" s="10">
        <v>3019</v>
      </c>
      <c r="H475" t="s">
        <v>186</v>
      </c>
      <c r="J475" s="47"/>
      <c r="K475" s="48" t="s">
        <v>155</v>
      </c>
      <c r="L475" s="49" t="s">
        <v>29</v>
      </c>
      <c r="M475" s="49">
        <v>12</v>
      </c>
      <c r="N475" s="49" t="s">
        <v>152</v>
      </c>
      <c r="O475" s="50">
        <v>72</v>
      </c>
      <c r="P475" s="10">
        <v>1076</v>
      </c>
      <c r="Q475" t="s">
        <v>178</v>
      </c>
      <c r="S475" s="47"/>
      <c r="T475" s="48" t="s">
        <v>155</v>
      </c>
      <c r="U475" s="49" t="s">
        <v>29</v>
      </c>
      <c r="V475" s="49">
        <v>12</v>
      </c>
      <c r="W475" s="49" t="s">
        <v>152</v>
      </c>
      <c r="X475" s="50">
        <v>72</v>
      </c>
      <c r="Y475" s="10" t="s">
        <v>64</v>
      </c>
      <c r="Z475" t="s">
        <v>183</v>
      </c>
      <c r="AB475" s="47"/>
      <c r="AC475" s="48" t="s">
        <v>155</v>
      </c>
      <c r="AD475" s="49" t="s">
        <v>29</v>
      </c>
      <c r="AE475" s="49">
        <v>12</v>
      </c>
      <c r="AF475" s="49" t="s">
        <v>152</v>
      </c>
      <c r="AG475" s="50">
        <v>72</v>
      </c>
      <c r="AH475" s="10">
        <v>3016</v>
      </c>
      <c r="AI475" t="s">
        <v>161</v>
      </c>
      <c r="AK475" s="47"/>
      <c r="AL475" s="48" t="s">
        <v>155</v>
      </c>
      <c r="AM475" s="49" t="s">
        <v>29</v>
      </c>
      <c r="AN475" s="49">
        <v>12</v>
      </c>
      <c r="AO475" s="49" t="s">
        <v>152</v>
      </c>
      <c r="AP475" s="50">
        <v>72</v>
      </c>
      <c r="AQ475" s="10" t="s">
        <v>566</v>
      </c>
      <c r="AR475" s="43" t="s">
        <v>182</v>
      </c>
      <c r="AT475" s="47"/>
      <c r="AU475" s="48" t="s">
        <v>155</v>
      </c>
      <c r="AV475" s="49" t="s">
        <v>29</v>
      </c>
      <c r="AW475" s="49">
        <v>12</v>
      </c>
      <c r="AX475" s="49" t="s">
        <v>152</v>
      </c>
      <c r="AY475" s="50">
        <v>72</v>
      </c>
      <c r="AZ475" s="10" t="s">
        <v>68</v>
      </c>
      <c r="BA475" t="s">
        <v>172</v>
      </c>
      <c r="BC475" s="47"/>
      <c r="BD475" s="48" t="s">
        <v>155</v>
      </c>
      <c r="BE475" s="49" t="s">
        <v>29</v>
      </c>
      <c r="BF475" s="49">
        <v>12</v>
      </c>
      <c r="BG475" s="49" t="s">
        <v>152</v>
      </c>
      <c r="BH475" s="50">
        <v>72</v>
      </c>
      <c r="BI475" s="10">
        <v>3029</v>
      </c>
      <c r="BJ475" t="s">
        <v>172</v>
      </c>
      <c r="BL475" s="47"/>
      <c r="BM475" s="48" t="s">
        <v>155</v>
      </c>
      <c r="BN475" s="49" t="s">
        <v>29</v>
      </c>
      <c r="BO475" s="49">
        <v>12</v>
      </c>
      <c r="BP475" s="49" t="s">
        <v>152</v>
      </c>
      <c r="BQ475" s="50">
        <v>72</v>
      </c>
      <c r="BR475" s="10">
        <v>1090</v>
      </c>
      <c r="BS475" s="43" t="s">
        <v>188</v>
      </c>
      <c r="BU475" s="47"/>
      <c r="BV475" s="48" t="s">
        <v>155</v>
      </c>
      <c r="BW475" s="49" t="s">
        <v>29</v>
      </c>
      <c r="BX475" s="49">
        <v>12</v>
      </c>
      <c r="BY475" s="49" t="s">
        <v>152</v>
      </c>
      <c r="BZ475" s="50">
        <v>72</v>
      </c>
      <c r="CA475" s="10" t="s">
        <v>95</v>
      </c>
      <c r="CB475" s="43" t="s">
        <v>164</v>
      </c>
      <c r="CD475" s="47"/>
      <c r="CE475" s="48" t="s">
        <v>155</v>
      </c>
      <c r="CF475" s="49" t="s">
        <v>29</v>
      </c>
      <c r="CG475" s="49">
        <v>12</v>
      </c>
      <c r="CH475" s="49" t="s">
        <v>152</v>
      </c>
      <c r="CI475" s="50">
        <v>72</v>
      </c>
      <c r="CJ475" s="10">
        <v>3031</v>
      </c>
      <c r="CK475" t="s">
        <v>169</v>
      </c>
    </row>
    <row r="476" spans="1:89" x14ac:dyDescent="0.25">
      <c r="A476" s="56"/>
      <c r="B476" s="34" t="s">
        <v>155</v>
      </c>
      <c r="C476" s="58" t="s">
        <v>34</v>
      </c>
      <c r="D476" s="58">
        <v>1</v>
      </c>
      <c r="E476" s="58" t="s">
        <v>152</v>
      </c>
      <c r="F476" s="59">
        <v>73</v>
      </c>
      <c r="G476" s="10">
        <v>3019</v>
      </c>
      <c r="H476" s="43" t="s">
        <v>188</v>
      </c>
      <c r="J476" s="56"/>
      <c r="K476" s="34" t="s">
        <v>155</v>
      </c>
      <c r="L476" s="58" t="s">
        <v>34</v>
      </c>
      <c r="M476" s="58">
        <v>1</v>
      </c>
      <c r="N476" s="58" t="s">
        <v>152</v>
      </c>
      <c r="O476" s="59">
        <v>73</v>
      </c>
      <c r="P476" s="10">
        <v>1076</v>
      </c>
      <c r="Q476" t="s">
        <v>163</v>
      </c>
      <c r="S476" s="56"/>
      <c r="T476" s="34" t="s">
        <v>155</v>
      </c>
      <c r="U476" s="58" t="s">
        <v>34</v>
      </c>
      <c r="V476" s="58">
        <v>1</v>
      </c>
      <c r="W476" s="58" t="s">
        <v>152</v>
      </c>
      <c r="X476" s="59">
        <v>73</v>
      </c>
      <c r="Y476" s="10" t="s">
        <v>64</v>
      </c>
      <c r="Z476" t="s">
        <v>186</v>
      </c>
      <c r="AB476" s="56"/>
      <c r="AC476" s="34" t="s">
        <v>155</v>
      </c>
      <c r="AD476" s="58" t="s">
        <v>34</v>
      </c>
      <c r="AE476" s="58">
        <v>1</v>
      </c>
      <c r="AF476" s="58" t="s">
        <v>152</v>
      </c>
      <c r="AG476" s="59">
        <v>73</v>
      </c>
      <c r="AH476" s="10">
        <v>3016</v>
      </c>
      <c r="AI476" t="s">
        <v>169</v>
      </c>
      <c r="AK476" s="56"/>
      <c r="AL476" s="34" t="s">
        <v>155</v>
      </c>
      <c r="AM476" s="58" t="s">
        <v>34</v>
      </c>
      <c r="AN476" s="58">
        <v>1</v>
      </c>
      <c r="AO476" s="58" t="s">
        <v>152</v>
      </c>
      <c r="AP476" s="59">
        <v>73</v>
      </c>
      <c r="AQ476" s="10" t="s">
        <v>566</v>
      </c>
      <c r="AR476" s="43" t="s">
        <v>184</v>
      </c>
      <c r="AT476" s="56"/>
      <c r="AU476" s="34" t="s">
        <v>155</v>
      </c>
      <c r="AV476" s="58" t="s">
        <v>34</v>
      </c>
      <c r="AW476" s="58">
        <v>1</v>
      </c>
      <c r="AX476" s="58" t="s">
        <v>152</v>
      </c>
      <c r="AY476" s="59">
        <v>73</v>
      </c>
      <c r="AZ476" s="10" t="s">
        <v>68</v>
      </c>
      <c r="BA476" t="s">
        <v>162</v>
      </c>
      <c r="BC476" s="56"/>
      <c r="BD476" s="34" t="s">
        <v>155</v>
      </c>
      <c r="BE476" s="58" t="s">
        <v>34</v>
      </c>
      <c r="BF476" s="58">
        <v>1</v>
      </c>
      <c r="BG476" s="58" t="s">
        <v>152</v>
      </c>
      <c r="BH476" s="59">
        <v>73</v>
      </c>
      <c r="BI476" s="10">
        <v>3029</v>
      </c>
      <c r="BJ476" t="s">
        <v>162</v>
      </c>
      <c r="BL476" s="56"/>
      <c r="BM476" s="34" t="s">
        <v>155</v>
      </c>
      <c r="BN476" s="58" t="s">
        <v>34</v>
      </c>
      <c r="BO476" s="58">
        <v>1</v>
      </c>
      <c r="BP476" s="58" t="s">
        <v>152</v>
      </c>
      <c r="BQ476" s="59">
        <v>73</v>
      </c>
      <c r="BR476" s="10">
        <v>1090</v>
      </c>
      <c r="BS476" s="43" t="s">
        <v>182</v>
      </c>
      <c r="BU476" s="56"/>
      <c r="BV476" s="34" t="s">
        <v>155</v>
      </c>
      <c r="BW476" s="58" t="s">
        <v>34</v>
      </c>
      <c r="BX476" s="58">
        <v>1</v>
      </c>
      <c r="BY476" s="58" t="s">
        <v>152</v>
      </c>
      <c r="BZ476" s="59">
        <v>73</v>
      </c>
      <c r="CA476" s="10" t="s">
        <v>95</v>
      </c>
      <c r="CB476" t="s">
        <v>172</v>
      </c>
      <c r="CD476" s="56"/>
      <c r="CE476" s="34" t="s">
        <v>155</v>
      </c>
      <c r="CF476" s="58" t="s">
        <v>34</v>
      </c>
      <c r="CG476" s="58">
        <v>1</v>
      </c>
      <c r="CH476" s="58" t="s">
        <v>152</v>
      </c>
      <c r="CI476" s="59">
        <v>73</v>
      </c>
      <c r="CJ476" s="10">
        <v>3031</v>
      </c>
      <c r="CK476" t="s">
        <v>177</v>
      </c>
    </row>
    <row r="477" spans="1:89" x14ac:dyDescent="0.25">
      <c r="A477" s="42"/>
      <c r="B477" s="34" t="s">
        <v>155</v>
      </c>
      <c r="C477" s="10" t="s">
        <v>34</v>
      </c>
      <c r="D477" s="10">
        <v>2</v>
      </c>
      <c r="E477" s="10" t="s">
        <v>152</v>
      </c>
      <c r="F477">
        <v>74</v>
      </c>
      <c r="G477" s="10">
        <v>3019</v>
      </c>
      <c r="H477" s="43" t="s">
        <v>182</v>
      </c>
      <c r="J477" s="42"/>
      <c r="K477" s="34" t="s">
        <v>155</v>
      </c>
      <c r="L477" s="10" t="s">
        <v>34</v>
      </c>
      <c r="M477" s="10">
        <v>2</v>
      </c>
      <c r="N477" s="10" t="s">
        <v>152</v>
      </c>
      <c r="O477">
        <v>74</v>
      </c>
      <c r="P477" s="10">
        <v>1076</v>
      </c>
      <c r="Q477" t="s">
        <v>171</v>
      </c>
      <c r="S477" s="42"/>
      <c r="T477" s="34" t="s">
        <v>155</v>
      </c>
      <c r="U477" s="10" t="s">
        <v>34</v>
      </c>
      <c r="V477" s="10">
        <v>2</v>
      </c>
      <c r="W477" s="10" t="s">
        <v>152</v>
      </c>
      <c r="X477">
        <v>74</v>
      </c>
      <c r="Y477" s="10" t="s">
        <v>64</v>
      </c>
      <c r="Z477" s="43" t="s">
        <v>188</v>
      </c>
      <c r="AB477" s="42"/>
      <c r="AC477" s="34" t="s">
        <v>155</v>
      </c>
      <c r="AD477" s="10" t="s">
        <v>34</v>
      </c>
      <c r="AE477" s="10">
        <v>2</v>
      </c>
      <c r="AF477" s="10" t="s">
        <v>152</v>
      </c>
      <c r="AG477">
        <v>74</v>
      </c>
      <c r="AH477" s="10">
        <v>3016</v>
      </c>
      <c r="AI477" t="s">
        <v>177</v>
      </c>
      <c r="AK477" s="42"/>
      <c r="AL477" s="34" t="s">
        <v>155</v>
      </c>
      <c r="AM477" s="10" t="s">
        <v>34</v>
      </c>
      <c r="AN477" s="10">
        <v>2</v>
      </c>
      <c r="AO477" s="10" t="s">
        <v>152</v>
      </c>
      <c r="AP477">
        <v>74</v>
      </c>
      <c r="AQ477" s="10" t="s">
        <v>566</v>
      </c>
      <c r="AR477" s="43" t="s">
        <v>187</v>
      </c>
      <c r="AT477" s="42"/>
      <c r="AU477" s="34" t="s">
        <v>155</v>
      </c>
      <c r="AV477" s="10" t="s">
        <v>34</v>
      </c>
      <c r="AW477" s="10">
        <v>2</v>
      </c>
      <c r="AX477" s="10" t="s">
        <v>152</v>
      </c>
      <c r="AY477">
        <v>74</v>
      </c>
      <c r="AZ477" s="10" t="s">
        <v>68</v>
      </c>
      <c r="BA477" t="s">
        <v>170</v>
      </c>
      <c r="BC477" s="42"/>
      <c r="BD477" s="34" t="s">
        <v>155</v>
      </c>
      <c r="BE477" s="10" t="s">
        <v>34</v>
      </c>
      <c r="BF477" s="10">
        <v>2</v>
      </c>
      <c r="BG477" s="10" t="s">
        <v>152</v>
      </c>
      <c r="BH477">
        <v>74</v>
      </c>
      <c r="BI477" s="10">
        <v>3029</v>
      </c>
      <c r="BJ477" t="s">
        <v>170</v>
      </c>
      <c r="BL477" s="42"/>
      <c r="BM477" s="34" t="s">
        <v>155</v>
      </c>
      <c r="BN477" s="10" t="s">
        <v>34</v>
      </c>
      <c r="BO477" s="10">
        <v>2</v>
      </c>
      <c r="BP477" s="10" t="s">
        <v>152</v>
      </c>
      <c r="BQ477">
        <v>74</v>
      </c>
      <c r="BR477" s="10">
        <v>1090</v>
      </c>
      <c r="BS477" s="43" t="s">
        <v>184</v>
      </c>
      <c r="BU477" s="42"/>
      <c r="BV477" s="34" t="s">
        <v>155</v>
      </c>
      <c r="BW477" s="10" t="s">
        <v>34</v>
      </c>
      <c r="BX477" s="10">
        <v>2</v>
      </c>
      <c r="BY477" s="10" t="s">
        <v>152</v>
      </c>
      <c r="BZ477">
        <v>74</v>
      </c>
      <c r="CA477" s="10" t="s">
        <v>95</v>
      </c>
      <c r="CB477" t="s">
        <v>162</v>
      </c>
      <c r="CD477" s="42"/>
      <c r="CE477" s="34" t="s">
        <v>155</v>
      </c>
      <c r="CF477" s="10" t="s">
        <v>34</v>
      </c>
      <c r="CG477" s="10">
        <v>2</v>
      </c>
      <c r="CH477" s="10" t="s">
        <v>152</v>
      </c>
      <c r="CI477">
        <v>74</v>
      </c>
      <c r="CJ477" s="10">
        <v>3031</v>
      </c>
      <c r="CK477" t="s">
        <v>180</v>
      </c>
    </row>
    <row r="478" spans="1:89" x14ac:dyDescent="0.25">
      <c r="A478" s="42"/>
      <c r="B478" s="34" t="s">
        <v>155</v>
      </c>
      <c r="C478" s="10" t="s">
        <v>34</v>
      </c>
      <c r="D478" s="10">
        <v>3</v>
      </c>
      <c r="E478" s="10" t="s">
        <v>152</v>
      </c>
      <c r="F478">
        <v>75</v>
      </c>
      <c r="G478" s="10">
        <v>3019</v>
      </c>
      <c r="H478" s="43" t="s">
        <v>184</v>
      </c>
      <c r="J478" s="42"/>
      <c r="K478" s="34" t="s">
        <v>155</v>
      </c>
      <c r="L478" s="10" t="s">
        <v>34</v>
      </c>
      <c r="M478" s="10">
        <v>3</v>
      </c>
      <c r="N478" s="10" t="s">
        <v>152</v>
      </c>
      <c r="O478">
        <v>75</v>
      </c>
      <c r="P478" s="10">
        <v>1076</v>
      </c>
      <c r="Q478" t="s">
        <v>161</v>
      </c>
      <c r="S478" s="42"/>
      <c r="T478" s="34" t="s">
        <v>155</v>
      </c>
      <c r="U478" s="10" t="s">
        <v>34</v>
      </c>
      <c r="V478" s="10">
        <v>3</v>
      </c>
      <c r="W478" s="10" t="s">
        <v>152</v>
      </c>
      <c r="X478">
        <v>75</v>
      </c>
      <c r="Y478" s="10" t="s">
        <v>64</v>
      </c>
      <c r="Z478" s="43" t="s">
        <v>182</v>
      </c>
      <c r="AB478" s="42"/>
      <c r="AC478" s="34" t="s">
        <v>155</v>
      </c>
      <c r="AD478" s="10" t="s">
        <v>34</v>
      </c>
      <c r="AE478" s="10">
        <v>3</v>
      </c>
      <c r="AF478" s="10" t="s">
        <v>152</v>
      </c>
      <c r="AG478">
        <v>75</v>
      </c>
      <c r="AH478" s="10">
        <v>3016</v>
      </c>
      <c r="AI478" t="s">
        <v>180</v>
      </c>
      <c r="AK478" s="42"/>
      <c r="AL478" s="34" t="s">
        <v>155</v>
      </c>
      <c r="AM478" s="10" t="s">
        <v>34</v>
      </c>
      <c r="AN478" s="10">
        <v>3</v>
      </c>
      <c r="AO478" s="10" t="s">
        <v>152</v>
      </c>
      <c r="AP478">
        <v>75</v>
      </c>
      <c r="AQ478" s="10" t="s">
        <v>566</v>
      </c>
      <c r="AR478" s="43" t="s">
        <v>189</v>
      </c>
      <c r="AT478" s="42"/>
      <c r="AU478" s="34" t="s">
        <v>155</v>
      </c>
      <c r="AV478" s="10" t="s">
        <v>34</v>
      </c>
      <c r="AW478" s="10">
        <v>3</v>
      </c>
      <c r="AX478" s="10" t="s">
        <v>152</v>
      </c>
      <c r="AY478">
        <v>75</v>
      </c>
      <c r="AZ478" s="10" t="s">
        <v>68</v>
      </c>
      <c r="BA478" t="s">
        <v>178</v>
      </c>
      <c r="BC478" s="42"/>
      <c r="BD478" s="34" t="s">
        <v>155</v>
      </c>
      <c r="BE478" s="10" t="s">
        <v>34</v>
      </c>
      <c r="BF478" s="10">
        <v>3</v>
      </c>
      <c r="BG478" s="10" t="s">
        <v>152</v>
      </c>
      <c r="BH478">
        <v>75</v>
      </c>
      <c r="BI478" s="10">
        <v>3029</v>
      </c>
      <c r="BJ478" t="s">
        <v>178</v>
      </c>
      <c r="BL478" s="42"/>
      <c r="BM478" s="34" t="s">
        <v>155</v>
      </c>
      <c r="BN478" s="10" t="s">
        <v>34</v>
      </c>
      <c r="BO478" s="10">
        <v>3</v>
      </c>
      <c r="BP478" s="10" t="s">
        <v>152</v>
      </c>
      <c r="BQ478">
        <v>75</v>
      </c>
      <c r="BR478" s="10">
        <v>1090</v>
      </c>
      <c r="BS478" s="43" t="s">
        <v>187</v>
      </c>
      <c r="BU478" s="42"/>
      <c r="BV478" s="34" t="s">
        <v>155</v>
      </c>
      <c r="BW478" s="10" t="s">
        <v>34</v>
      </c>
      <c r="BX478" s="10">
        <v>3</v>
      </c>
      <c r="BY478" s="10" t="s">
        <v>152</v>
      </c>
      <c r="BZ478">
        <v>75</v>
      </c>
      <c r="CA478" s="10" t="s">
        <v>95</v>
      </c>
      <c r="CB478" t="s">
        <v>170</v>
      </c>
      <c r="CD478" s="42"/>
      <c r="CE478" s="34" t="s">
        <v>155</v>
      </c>
      <c r="CF478" s="10" t="s">
        <v>34</v>
      </c>
      <c r="CG478" s="10">
        <v>3</v>
      </c>
      <c r="CH478" s="10" t="s">
        <v>152</v>
      </c>
      <c r="CI478">
        <v>75</v>
      </c>
      <c r="CJ478" s="10">
        <v>3031</v>
      </c>
      <c r="CK478" t="s">
        <v>181</v>
      </c>
    </row>
    <row r="479" spans="1:89" x14ac:dyDescent="0.25">
      <c r="A479" s="42"/>
      <c r="B479" s="34" t="s">
        <v>155</v>
      </c>
      <c r="C479" s="10" t="s">
        <v>34</v>
      </c>
      <c r="D479" s="10">
        <v>4</v>
      </c>
      <c r="E479" s="10" t="s">
        <v>152</v>
      </c>
      <c r="F479">
        <v>76</v>
      </c>
      <c r="G479" s="10">
        <v>3019</v>
      </c>
      <c r="H479" s="43" t="s">
        <v>187</v>
      </c>
      <c r="J479" s="42"/>
      <c r="K479" s="34" t="s">
        <v>155</v>
      </c>
      <c r="L479" s="10" t="s">
        <v>34</v>
      </c>
      <c r="M479" s="10">
        <v>4</v>
      </c>
      <c r="N479" s="10" t="s">
        <v>152</v>
      </c>
      <c r="O479">
        <v>76</v>
      </c>
      <c r="P479" s="10">
        <v>1076</v>
      </c>
      <c r="Q479" t="s">
        <v>169</v>
      </c>
      <c r="S479" s="42"/>
      <c r="T479" s="34" t="s">
        <v>155</v>
      </c>
      <c r="U479" s="10" t="s">
        <v>34</v>
      </c>
      <c r="V479" s="10">
        <v>4</v>
      </c>
      <c r="W479" s="10" t="s">
        <v>152</v>
      </c>
      <c r="X479">
        <v>76</v>
      </c>
      <c r="Y479" s="10" t="s">
        <v>64</v>
      </c>
      <c r="Z479" s="43" t="s">
        <v>184</v>
      </c>
      <c r="AB479" s="42"/>
      <c r="AC479" s="34" t="s">
        <v>155</v>
      </c>
      <c r="AD479" s="10" t="s">
        <v>34</v>
      </c>
      <c r="AE479" s="10">
        <v>4</v>
      </c>
      <c r="AF479" s="10" t="s">
        <v>152</v>
      </c>
      <c r="AG479">
        <v>76</v>
      </c>
      <c r="AH479" s="10">
        <v>3016</v>
      </c>
      <c r="AI479" t="s">
        <v>181</v>
      </c>
      <c r="AK479" s="42"/>
      <c r="AL479" s="34" t="s">
        <v>155</v>
      </c>
      <c r="AM479" s="10" t="s">
        <v>34</v>
      </c>
      <c r="AN479" s="10">
        <v>4</v>
      </c>
      <c r="AO479" s="10" t="s">
        <v>152</v>
      </c>
      <c r="AP479">
        <v>76</v>
      </c>
      <c r="AQ479" s="10">
        <v>1087</v>
      </c>
      <c r="AR479" s="43" t="s">
        <v>160</v>
      </c>
      <c r="AT479" s="42"/>
      <c r="AU479" s="34" t="s">
        <v>155</v>
      </c>
      <c r="AV479" s="10" t="s">
        <v>34</v>
      </c>
      <c r="AW479" s="10">
        <v>4</v>
      </c>
      <c r="AX479" s="10" t="s">
        <v>152</v>
      </c>
      <c r="AY479">
        <v>76</v>
      </c>
      <c r="AZ479" s="10" t="s">
        <v>68</v>
      </c>
      <c r="BA479" t="s">
        <v>163</v>
      </c>
      <c r="BC479" s="42"/>
      <c r="BD479" s="34" t="s">
        <v>155</v>
      </c>
      <c r="BE479" s="10" t="s">
        <v>34</v>
      </c>
      <c r="BF479" s="10">
        <v>4</v>
      </c>
      <c r="BG479" s="10" t="s">
        <v>152</v>
      </c>
      <c r="BH479">
        <v>76</v>
      </c>
      <c r="BI479" s="10">
        <v>3029</v>
      </c>
      <c r="BJ479" t="s">
        <v>163</v>
      </c>
      <c r="BL479" s="42"/>
      <c r="BM479" s="34" t="s">
        <v>155</v>
      </c>
      <c r="BN479" s="10" t="s">
        <v>34</v>
      </c>
      <c r="BO479" s="10">
        <v>4</v>
      </c>
      <c r="BP479" s="10" t="s">
        <v>152</v>
      </c>
      <c r="BQ479">
        <v>76</v>
      </c>
      <c r="BR479" s="10">
        <v>1090</v>
      </c>
      <c r="BS479" s="43" t="s">
        <v>189</v>
      </c>
      <c r="BU479" s="42"/>
      <c r="BV479" s="34" t="s">
        <v>155</v>
      </c>
      <c r="BW479" s="10" t="s">
        <v>34</v>
      </c>
      <c r="BX479" s="10">
        <v>4</v>
      </c>
      <c r="BY479" s="10" t="s">
        <v>152</v>
      </c>
      <c r="BZ479">
        <v>76</v>
      </c>
      <c r="CA479" s="10" t="s">
        <v>95</v>
      </c>
      <c r="CB479" t="s">
        <v>178</v>
      </c>
      <c r="CD479" s="42"/>
      <c r="CE479" s="34" t="s">
        <v>155</v>
      </c>
      <c r="CF479" s="10" t="s">
        <v>34</v>
      </c>
      <c r="CG479" s="10">
        <v>4</v>
      </c>
      <c r="CH479" s="10" t="s">
        <v>152</v>
      </c>
      <c r="CI479">
        <v>76</v>
      </c>
      <c r="CJ479" s="10">
        <v>3031</v>
      </c>
      <c r="CK479" t="s">
        <v>183</v>
      </c>
    </row>
    <row r="480" spans="1:89" x14ac:dyDescent="0.25">
      <c r="A480" s="42"/>
      <c r="B480" s="34" t="s">
        <v>155</v>
      </c>
      <c r="C480" s="10" t="s">
        <v>34</v>
      </c>
      <c r="D480" s="10">
        <v>5</v>
      </c>
      <c r="E480" s="10" t="s">
        <v>152</v>
      </c>
      <c r="F480">
        <v>77</v>
      </c>
      <c r="G480" s="10">
        <v>3019</v>
      </c>
      <c r="H480" s="43" t="s">
        <v>189</v>
      </c>
      <c r="J480" s="42"/>
      <c r="K480" s="34" t="s">
        <v>155</v>
      </c>
      <c r="L480" s="10" t="s">
        <v>34</v>
      </c>
      <c r="M480" s="10">
        <v>5</v>
      </c>
      <c r="N480" s="10" t="s">
        <v>152</v>
      </c>
      <c r="O480">
        <v>77</v>
      </c>
      <c r="P480" s="10">
        <v>1076</v>
      </c>
      <c r="Q480" t="s">
        <v>177</v>
      </c>
      <c r="S480" s="42"/>
      <c r="T480" s="34" t="s">
        <v>155</v>
      </c>
      <c r="U480" s="10" t="s">
        <v>34</v>
      </c>
      <c r="V480" s="10">
        <v>5</v>
      </c>
      <c r="W480" s="10" t="s">
        <v>152</v>
      </c>
      <c r="X480">
        <v>77</v>
      </c>
      <c r="Y480" s="10" t="s">
        <v>64</v>
      </c>
      <c r="Z480" s="43" t="s">
        <v>187</v>
      </c>
      <c r="AB480" s="42"/>
      <c r="AC480" s="34" t="s">
        <v>155</v>
      </c>
      <c r="AD480" s="10" t="s">
        <v>34</v>
      </c>
      <c r="AE480" s="10">
        <v>5</v>
      </c>
      <c r="AF480" s="10" t="s">
        <v>152</v>
      </c>
      <c r="AG480">
        <v>77</v>
      </c>
      <c r="AH480" s="10">
        <v>3016</v>
      </c>
      <c r="AI480" t="s">
        <v>183</v>
      </c>
      <c r="AK480" s="42"/>
      <c r="AL480" s="34" t="s">
        <v>155</v>
      </c>
      <c r="AM480" s="10" t="s">
        <v>34</v>
      </c>
      <c r="AN480" s="10">
        <v>5</v>
      </c>
      <c r="AO480" s="10" t="s">
        <v>152</v>
      </c>
      <c r="AP480">
        <v>77</v>
      </c>
      <c r="AQ480" s="10">
        <v>1087</v>
      </c>
      <c r="AR480" s="51" t="s">
        <v>168</v>
      </c>
      <c r="AT480" s="42"/>
      <c r="AU480" s="34" t="s">
        <v>155</v>
      </c>
      <c r="AV480" s="10" t="s">
        <v>34</v>
      </c>
      <c r="AW480" s="10">
        <v>5</v>
      </c>
      <c r="AX480" s="10" t="s">
        <v>152</v>
      </c>
      <c r="AY480">
        <v>77</v>
      </c>
      <c r="AZ480" s="10" t="s">
        <v>68</v>
      </c>
      <c r="BA480" t="s">
        <v>171</v>
      </c>
      <c r="BC480" s="42"/>
      <c r="BD480" s="34" t="s">
        <v>155</v>
      </c>
      <c r="BE480" s="10" t="s">
        <v>34</v>
      </c>
      <c r="BF480" s="10">
        <v>5</v>
      </c>
      <c r="BG480" s="10" t="s">
        <v>152</v>
      </c>
      <c r="BH480">
        <v>77</v>
      </c>
      <c r="BI480" s="10">
        <v>3029</v>
      </c>
      <c r="BJ480" t="s">
        <v>171</v>
      </c>
      <c r="BL480" s="42"/>
      <c r="BM480" s="34" t="s">
        <v>155</v>
      </c>
      <c r="BN480" s="10" t="s">
        <v>34</v>
      </c>
      <c r="BO480" s="10">
        <v>5</v>
      </c>
      <c r="BP480" s="10" t="s">
        <v>152</v>
      </c>
      <c r="BQ480">
        <v>77</v>
      </c>
      <c r="BR480" s="10" t="s">
        <v>93</v>
      </c>
      <c r="BS480" s="43" t="s">
        <v>160</v>
      </c>
      <c r="BU480" s="42"/>
      <c r="BV480" s="34" t="s">
        <v>155</v>
      </c>
      <c r="BW480" s="10" t="s">
        <v>34</v>
      </c>
      <c r="BX480" s="10">
        <v>5</v>
      </c>
      <c r="BY480" s="10" t="s">
        <v>152</v>
      </c>
      <c r="BZ480">
        <v>77</v>
      </c>
      <c r="CA480" s="10" t="s">
        <v>95</v>
      </c>
      <c r="CB480" t="s">
        <v>163</v>
      </c>
      <c r="CD480" s="42"/>
      <c r="CE480" s="34" t="s">
        <v>155</v>
      </c>
      <c r="CF480" s="10" t="s">
        <v>34</v>
      </c>
      <c r="CG480" s="10">
        <v>5</v>
      </c>
      <c r="CH480" s="10" t="s">
        <v>152</v>
      </c>
      <c r="CI480">
        <v>77</v>
      </c>
      <c r="CJ480" s="10">
        <v>3031</v>
      </c>
      <c r="CK480" t="s">
        <v>186</v>
      </c>
    </row>
    <row r="481" spans="1:89" x14ac:dyDescent="0.25">
      <c r="A481" s="42"/>
      <c r="B481" s="34" t="s">
        <v>155</v>
      </c>
      <c r="C481" s="10" t="s">
        <v>34</v>
      </c>
      <c r="D481" s="10">
        <v>6</v>
      </c>
      <c r="E481" s="10" t="s">
        <v>152</v>
      </c>
      <c r="F481">
        <v>78</v>
      </c>
      <c r="G481" s="10">
        <v>3020</v>
      </c>
      <c r="H481" s="43" t="s">
        <v>160</v>
      </c>
      <c r="J481" s="42"/>
      <c r="K481" s="34" t="s">
        <v>155</v>
      </c>
      <c r="L481" s="10" t="s">
        <v>34</v>
      </c>
      <c r="M481" s="10">
        <v>6</v>
      </c>
      <c r="N481" s="10" t="s">
        <v>152</v>
      </c>
      <c r="O481">
        <v>78</v>
      </c>
      <c r="P481" s="10">
        <v>1076</v>
      </c>
      <c r="Q481" t="s">
        <v>180</v>
      </c>
      <c r="S481" s="42"/>
      <c r="T481" s="34" t="s">
        <v>155</v>
      </c>
      <c r="U481" s="10" t="s">
        <v>34</v>
      </c>
      <c r="V481" s="10">
        <v>6</v>
      </c>
      <c r="W481" s="10" t="s">
        <v>152</v>
      </c>
      <c r="X481">
        <v>78</v>
      </c>
      <c r="Y481" s="10" t="s">
        <v>64</v>
      </c>
      <c r="Z481" s="43" t="s">
        <v>189</v>
      </c>
      <c r="AB481" s="42"/>
      <c r="AC481" s="34" t="s">
        <v>155</v>
      </c>
      <c r="AD481" s="10" t="s">
        <v>34</v>
      </c>
      <c r="AE481" s="10">
        <v>6</v>
      </c>
      <c r="AF481" s="10" t="s">
        <v>152</v>
      </c>
      <c r="AG481">
        <v>78</v>
      </c>
      <c r="AH481" s="10">
        <v>3016</v>
      </c>
      <c r="AI481" t="s">
        <v>186</v>
      </c>
      <c r="AK481" s="42"/>
      <c r="AL481" s="34" t="s">
        <v>155</v>
      </c>
      <c r="AM481" s="10" t="s">
        <v>34</v>
      </c>
      <c r="AN481" s="10">
        <v>6</v>
      </c>
      <c r="AO481" s="10" t="s">
        <v>152</v>
      </c>
      <c r="AP481">
        <v>78</v>
      </c>
      <c r="AQ481" s="10">
        <v>1087</v>
      </c>
      <c r="AR481" s="43" t="s">
        <v>176</v>
      </c>
      <c r="AT481" s="42"/>
      <c r="AU481" s="34" t="s">
        <v>155</v>
      </c>
      <c r="AV481" s="10" t="s">
        <v>34</v>
      </c>
      <c r="AW481" s="10">
        <v>6</v>
      </c>
      <c r="AX481" s="10" t="s">
        <v>152</v>
      </c>
      <c r="AY481">
        <v>78</v>
      </c>
      <c r="AZ481" s="10" t="s">
        <v>68</v>
      </c>
      <c r="BA481" t="s">
        <v>161</v>
      </c>
      <c r="BC481" s="42"/>
      <c r="BD481" s="34" t="s">
        <v>155</v>
      </c>
      <c r="BE481" s="10" t="s">
        <v>34</v>
      </c>
      <c r="BF481" s="10">
        <v>6</v>
      </c>
      <c r="BG481" s="10" t="s">
        <v>152</v>
      </c>
      <c r="BH481">
        <v>78</v>
      </c>
      <c r="BI481" s="10">
        <v>3029</v>
      </c>
      <c r="BJ481" t="s">
        <v>161</v>
      </c>
      <c r="BL481" s="42"/>
      <c r="BM481" s="34" t="s">
        <v>155</v>
      </c>
      <c r="BN481" s="10" t="s">
        <v>34</v>
      </c>
      <c r="BO481" s="10">
        <v>6</v>
      </c>
      <c r="BP481" s="10" t="s">
        <v>152</v>
      </c>
      <c r="BQ481">
        <v>78</v>
      </c>
      <c r="BR481" s="10" t="s">
        <v>93</v>
      </c>
      <c r="BS481" s="51" t="s">
        <v>168</v>
      </c>
      <c r="BU481" s="42"/>
      <c r="BV481" s="34" t="s">
        <v>155</v>
      </c>
      <c r="BW481" s="10" t="s">
        <v>34</v>
      </c>
      <c r="BX481" s="10">
        <v>6</v>
      </c>
      <c r="BY481" s="10" t="s">
        <v>152</v>
      </c>
      <c r="BZ481">
        <v>78</v>
      </c>
      <c r="CA481" s="10" t="s">
        <v>95</v>
      </c>
      <c r="CB481" t="s">
        <v>171</v>
      </c>
      <c r="CD481" s="42"/>
      <c r="CE481" s="34" t="s">
        <v>155</v>
      </c>
      <c r="CF481" s="10" t="s">
        <v>34</v>
      </c>
      <c r="CG481" s="10">
        <v>6</v>
      </c>
      <c r="CH481" s="10" t="s">
        <v>152</v>
      </c>
      <c r="CI481">
        <v>78</v>
      </c>
      <c r="CJ481" s="10">
        <v>3031</v>
      </c>
      <c r="CK481" s="43" t="s">
        <v>188</v>
      </c>
    </row>
    <row r="482" spans="1:89" x14ac:dyDescent="0.25">
      <c r="A482" s="42"/>
      <c r="B482" s="34" t="s">
        <v>155</v>
      </c>
      <c r="C482" s="10" t="s">
        <v>34</v>
      </c>
      <c r="D482" s="10">
        <v>7</v>
      </c>
      <c r="E482" s="10" t="s">
        <v>152</v>
      </c>
      <c r="F482">
        <v>79</v>
      </c>
      <c r="G482" s="10">
        <v>3020</v>
      </c>
      <c r="H482" s="51" t="s">
        <v>168</v>
      </c>
      <c r="J482" s="42"/>
      <c r="K482" s="34" t="s">
        <v>155</v>
      </c>
      <c r="L482" s="10" t="s">
        <v>34</v>
      </c>
      <c r="M482" s="10">
        <v>7</v>
      </c>
      <c r="N482" s="10" t="s">
        <v>152</v>
      </c>
      <c r="O482">
        <v>79</v>
      </c>
      <c r="P482" s="10">
        <v>1076</v>
      </c>
      <c r="Q482" t="s">
        <v>181</v>
      </c>
      <c r="S482" s="42"/>
      <c r="T482" s="34" t="s">
        <v>155</v>
      </c>
      <c r="U482" s="10" t="s">
        <v>34</v>
      </c>
      <c r="V482" s="10">
        <v>7</v>
      </c>
      <c r="W482" s="10" t="s">
        <v>152</v>
      </c>
      <c r="X482">
        <v>79</v>
      </c>
      <c r="Y482" s="10" t="s">
        <v>80</v>
      </c>
      <c r="Z482" s="43" t="s">
        <v>160</v>
      </c>
      <c r="AB482" s="42"/>
      <c r="AC482" s="34" t="s">
        <v>155</v>
      </c>
      <c r="AD482" s="10" t="s">
        <v>34</v>
      </c>
      <c r="AE482" s="10">
        <v>7</v>
      </c>
      <c r="AF482" s="10" t="s">
        <v>152</v>
      </c>
      <c r="AG482">
        <v>79</v>
      </c>
      <c r="AH482" s="10">
        <v>3016</v>
      </c>
      <c r="AI482" s="43" t="s">
        <v>188</v>
      </c>
      <c r="AK482" s="42"/>
      <c r="AL482" s="34" t="s">
        <v>155</v>
      </c>
      <c r="AM482" s="10" t="s">
        <v>34</v>
      </c>
      <c r="AN482" s="10">
        <v>7</v>
      </c>
      <c r="AO482" s="10" t="s">
        <v>152</v>
      </c>
      <c r="AP482">
        <v>79</v>
      </c>
      <c r="AQ482" s="10">
        <v>1087</v>
      </c>
      <c r="AR482" s="43" t="s">
        <v>164</v>
      </c>
      <c r="AT482" s="42"/>
      <c r="AU482" s="34" t="s">
        <v>155</v>
      </c>
      <c r="AV482" s="10" t="s">
        <v>34</v>
      </c>
      <c r="AW482" s="10">
        <v>7</v>
      </c>
      <c r="AX482" s="10" t="s">
        <v>152</v>
      </c>
      <c r="AY482">
        <v>79</v>
      </c>
      <c r="AZ482" s="10" t="s">
        <v>68</v>
      </c>
      <c r="BA482" t="s">
        <v>169</v>
      </c>
      <c r="BC482" s="42"/>
      <c r="BD482" s="34" t="s">
        <v>155</v>
      </c>
      <c r="BE482" s="10" t="s">
        <v>34</v>
      </c>
      <c r="BF482" s="10">
        <v>7</v>
      </c>
      <c r="BG482" s="10" t="s">
        <v>152</v>
      </c>
      <c r="BH482">
        <v>79</v>
      </c>
      <c r="BI482" s="10">
        <v>3029</v>
      </c>
      <c r="BJ482" t="s">
        <v>169</v>
      </c>
      <c r="BL482" s="42"/>
      <c r="BM482" s="34" t="s">
        <v>155</v>
      </c>
      <c r="BN482" s="10" t="s">
        <v>34</v>
      </c>
      <c r="BO482" s="10">
        <v>7</v>
      </c>
      <c r="BP482" s="10" t="s">
        <v>152</v>
      </c>
      <c r="BQ482">
        <v>79</v>
      </c>
      <c r="BR482" s="10" t="s">
        <v>93</v>
      </c>
      <c r="BS482" s="43" t="s">
        <v>176</v>
      </c>
      <c r="BU482" s="42"/>
      <c r="BV482" s="34" t="s">
        <v>155</v>
      </c>
      <c r="BW482" s="10" t="s">
        <v>34</v>
      </c>
      <c r="BX482" s="10">
        <v>7</v>
      </c>
      <c r="BY482" s="10" t="s">
        <v>152</v>
      </c>
      <c r="BZ482">
        <v>79</v>
      </c>
      <c r="CA482" s="10" t="s">
        <v>95</v>
      </c>
      <c r="CB482" t="s">
        <v>161</v>
      </c>
      <c r="CD482" s="42"/>
      <c r="CE482" s="34" t="s">
        <v>155</v>
      </c>
      <c r="CF482" s="10" t="s">
        <v>34</v>
      </c>
      <c r="CG482" s="10">
        <v>7</v>
      </c>
      <c r="CH482" s="10" t="s">
        <v>152</v>
      </c>
      <c r="CI482">
        <v>79</v>
      </c>
      <c r="CJ482" s="10">
        <v>3031</v>
      </c>
      <c r="CK482" s="43" t="s">
        <v>182</v>
      </c>
    </row>
    <row r="483" spans="1:89" x14ac:dyDescent="0.25">
      <c r="A483" s="42"/>
      <c r="B483" s="34" t="s">
        <v>155</v>
      </c>
      <c r="C483" s="10" t="s">
        <v>34</v>
      </c>
      <c r="D483" s="10">
        <v>8</v>
      </c>
      <c r="E483" s="10" t="s">
        <v>152</v>
      </c>
      <c r="F483">
        <v>80</v>
      </c>
      <c r="G483" s="10">
        <v>3020</v>
      </c>
      <c r="H483" s="43" t="s">
        <v>176</v>
      </c>
      <c r="J483" s="42"/>
      <c r="K483" s="34" t="s">
        <v>155</v>
      </c>
      <c r="L483" s="10" t="s">
        <v>34</v>
      </c>
      <c r="M483" s="10">
        <v>8</v>
      </c>
      <c r="N483" s="10" t="s">
        <v>152</v>
      </c>
      <c r="O483">
        <v>80</v>
      </c>
      <c r="P483" s="10">
        <v>1076</v>
      </c>
      <c r="Q483" t="s">
        <v>183</v>
      </c>
      <c r="S483" s="42"/>
      <c r="T483" s="34" t="s">
        <v>155</v>
      </c>
      <c r="U483" s="10" t="s">
        <v>34</v>
      </c>
      <c r="V483" s="10">
        <v>8</v>
      </c>
      <c r="W483" s="10" t="s">
        <v>152</v>
      </c>
      <c r="X483">
        <v>80</v>
      </c>
      <c r="Y483" s="10" t="s">
        <v>80</v>
      </c>
      <c r="Z483" s="51" t="s">
        <v>168</v>
      </c>
      <c r="AB483" s="42"/>
      <c r="AC483" s="34" t="s">
        <v>155</v>
      </c>
      <c r="AD483" s="10" t="s">
        <v>34</v>
      </c>
      <c r="AE483" s="10">
        <v>8</v>
      </c>
      <c r="AF483" s="10" t="s">
        <v>152</v>
      </c>
      <c r="AG483">
        <v>80</v>
      </c>
      <c r="AH483" s="10">
        <v>3016</v>
      </c>
      <c r="AI483" s="43" t="s">
        <v>182</v>
      </c>
      <c r="AK483" s="42"/>
      <c r="AL483" s="34" t="s">
        <v>155</v>
      </c>
      <c r="AM483" s="10" t="s">
        <v>34</v>
      </c>
      <c r="AN483" s="10">
        <v>8</v>
      </c>
      <c r="AO483" s="10" t="s">
        <v>152</v>
      </c>
      <c r="AP483">
        <v>80</v>
      </c>
      <c r="AQ483" s="10">
        <v>1087</v>
      </c>
      <c r="AR483" t="s">
        <v>172</v>
      </c>
      <c r="AT483" s="42"/>
      <c r="AU483" s="34" t="s">
        <v>155</v>
      </c>
      <c r="AV483" s="10" t="s">
        <v>34</v>
      </c>
      <c r="AW483" s="10">
        <v>8</v>
      </c>
      <c r="AX483" s="10" t="s">
        <v>152</v>
      </c>
      <c r="AY483">
        <v>80</v>
      </c>
      <c r="AZ483" s="10" t="s">
        <v>68</v>
      </c>
      <c r="BA483" t="s">
        <v>177</v>
      </c>
      <c r="BC483" s="42"/>
      <c r="BD483" s="34" t="s">
        <v>155</v>
      </c>
      <c r="BE483" s="10" t="s">
        <v>34</v>
      </c>
      <c r="BF483" s="10">
        <v>8</v>
      </c>
      <c r="BG483" s="10" t="s">
        <v>152</v>
      </c>
      <c r="BH483">
        <v>80</v>
      </c>
      <c r="BI483" s="10">
        <v>3029</v>
      </c>
      <c r="BJ483" t="s">
        <v>177</v>
      </c>
      <c r="BL483" s="42"/>
      <c r="BM483" s="34" t="s">
        <v>155</v>
      </c>
      <c r="BN483" s="10" t="s">
        <v>34</v>
      </c>
      <c r="BO483" s="10">
        <v>8</v>
      </c>
      <c r="BP483" s="10" t="s">
        <v>152</v>
      </c>
      <c r="BQ483">
        <v>80</v>
      </c>
      <c r="BR483" s="10" t="s">
        <v>93</v>
      </c>
      <c r="BS483" s="43" t="s">
        <v>164</v>
      </c>
      <c r="BU483" s="42"/>
      <c r="BV483" s="34" t="s">
        <v>155</v>
      </c>
      <c r="BW483" s="10" t="s">
        <v>34</v>
      </c>
      <c r="BX483" s="10">
        <v>8</v>
      </c>
      <c r="BY483" s="10" t="s">
        <v>152</v>
      </c>
      <c r="BZ483">
        <v>80</v>
      </c>
      <c r="CA483" s="10" t="s">
        <v>95</v>
      </c>
      <c r="CB483" t="s">
        <v>169</v>
      </c>
      <c r="CD483" s="42"/>
      <c r="CE483" s="34" t="s">
        <v>155</v>
      </c>
      <c r="CF483" s="10" t="s">
        <v>34</v>
      </c>
      <c r="CG483" s="10">
        <v>8</v>
      </c>
      <c r="CH483" s="10" t="s">
        <v>152</v>
      </c>
      <c r="CI483">
        <v>80</v>
      </c>
      <c r="CJ483" s="10">
        <v>3031</v>
      </c>
      <c r="CK483" s="43" t="s">
        <v>184</v>
      </c>
    </row>
    <row r="484" spans="1:89" x14ac:dyDescent="0.25">
      <c r="A484" s="42"/>
      <c r="B484" s="34" t="s">
        <v>155</v>
      </c>
      <c r="C484" s="10" t="s">
        <v>34</v>
      </c>
      <c r="D484" s="10">
        <v>9</v>
      </c>
      <c r="E484" s="10" t="s">
        <v>152</v>
      </c>
      <c r="F484">
        <v>81</v>
      </c>
      <c r="G484" s="10">
        <v>3020</v>
      </c>
      <c r="H484" s="43" t="s">
        <v>164</v>
      </c>
      <c r="J484" s="42"/>
      <c r="K484" s="34" t="s">
        <v>155</v>
      </c>
      <c r="L484" s="10" t="s">
        <v>34</v>
      </c>
      <c r="M484" s="10">
        <v>9</v>
      </c>
      <c r="N484" s="10" t="s">
        <v>152</v>
      </c>
      <c r="O484">
        <v>81</v>
      </c>
      <c r="P484" s="10">
        <v>1076</v>
      </c>
      <c r="Q484" t="s">
        <v>186</v>
      </c>
      <c r="S484" s="42"/>
      <c r="T484" s="34" t="s">
        <v>155</v>
      </c>
      <c r="U484" s="10" t="s">
        <v>34</v>
      </c>
      <c r="V484" s="10">
        <v>9</v>
      </c>
      <c r="W484" s="10" t="s">
        <v>152</v>
      </c>
      <c r="X484">
        <v>81</v>
      </c>
      <c r="Y484" s="10" t="s">
        <v>80</v>
      </c>
      <c r="Z484" s="43" t="s">
        <v>176</v>
      </c>
      <c r="AB484" s="42"/>
      <c r="AC484" s="34" t="s">
        <v>155</v>
      </c>
      <c r="AD484" s="10" t="s">
        <v>34</v>
      </c>
      <c r="AE484" s="10">
        <v>9</v>
      </c>
      <c r="AF484" s="10" t="s">
        <v>152</v>
      </c>
      <c r="AG484">
        <v>81</v>
      </c>
      <c r="AH484" s="10">
        <v>3016</v>
      </c>
      <c r="AI484" s="43" t="s">
        <v>184</v>
      </c>
      <c r="AK484" s="42"/>
      <c r="AL484" s="34" t="s">
        <v>155</v>
      </c>
      <c r="AM484" s="10" t="s">
        <v>34</v>
      </c>
      <c r="AN484" s="10">
        <v>9</v>
      </c>
      <c r="AO484" s="10" t="s">
        <v>152</v>
      </c>
      <c r="AP484">
        <v>81</v>
      </c>
      <c r="AQ484" s="10">
        <v>1087</v>
      </c>
      <c r="AR484" t="s">
        <v>162</v>
      </c>
      <c r="AT484" s="42"/>
      <c r="AU484" s="34" t="s">
        <v>155</v>
      </c>
      <c r="AV484" s="10" t="s">
        <v>34</v>
      </c>
      <c r="AW484" s="10">
        <v>9</v>
      </c>
      <c r="AX484" s="10" t="s">
        <v>152</v>
      </c>
      <c r="AY484">
        <v>81</v>
      </c>
      <c r="AZ484" s="10" t="s">
        <v>68</v>
      </c>
      <c r="BA484" t="s">
        <v>180</v>
      </c>
      <c r="BC484" s="42"/>
      <c r="BD484" s="34" t="s">
        <v>155</v>
      </c>
      <c r="BE484" s="10" t="s">
        <v>34</v>
      </c>
      <c r="BF484" s="10">
        <v>9</v>
      </c>
      <c r="BG484" s="10" t="s">
        <v>152</v>
      </c>
      <c r="BH484">
        <v>81</v>
      </c>
      <c r="BI484" s="10">
        <v>3029</v>
      </c>
      <c r="BJ484" t="s">
        <v>180</v>
      </c>
      <c r="BL484" s="42"/>
      <c r="BM484" s="34" t="s">
        <v>155</v>
      </c>
      <c r="BN484" s="10" t="s">
        <v>34</v>
      </c>
      <c r="BO484" s="10">
        <v>9</v>
      </c>
      <c r="BP484" s="10" t="s">
        <v>152</v>
      </c>
      <c r="BQ484">
        <v>81</v>
      </c>
      <c r="BR484" s="10" t="s">
        <v>93</v>
      </c>
      <c r="BS484" t="s">
        <v>172</v>
      </c>
      <c r="BU484" s="42"/>
      <c r="BV484" s="34" t="s">
        <v>155</v>
      </c>
      <c r="BW484" s="10" t="s">
        <v>34</v>
      </c>
      <c r="BX484" s="10">
        <v>9</v>
      </c>
      <c r="BY484" s="10" t="s">
        <v>152</v>
      </c>
      <c r="BZ484">
        <v>81</v>
      </c>
      <c r="CA484" s="10" t="s">
        <v>95</v>
      </c>
      <c r="CB484" t="s">
        <v>177</v>
      </c>
      <c r="CD484" s="42"/>
      <c r="CE484" s="34" t="s">
        <v>155</v>
      </c>
      <c r="CF484" s="10" t="s">
        <v>34</v>
      </c>
      <c r="CG484" s="10">
        <v>9</v>
      </c>
      <c r="CH484" s="10" t="s">
        <v>152</v>
      </c>
      <c r="CI484">
        <v>81</v>
      </c>
      <c r="CJ484" s="10">
        <v>3031</v>
      </c>
      <c r="CK484" s="43" t="s">
        <v>187</v>
      </c>
    </row>
    <row r="485" spans="1:89" x14ac:dyDescent="0.25">
      <c r="A485" s="42"/>
      <c r="B485" s="34" t="s">
        <v>155</v>
      </c>
      <c r="C485" s="10" t="s">
        <v>34</v>
      </c>
      <c r="D485" s="10">
        <v>10</v>
      </c>
      <c r="E485" s="10" t="s">
        <v>152</v>
      </c>
      <c r="F485">
        <v>82</v>
      </c>
      <c r="G485" s="10">
        <v>3020</v>
      </c>
      <c r="H485" t="s">
        <v>172</v>
      </c>
      <c r="J485" s="42"/>
      <c r="K485" s="34" t="s">
        <v>155</v>
      </c>
      <c r="L485" s="10" t="s">
        <v>34</v>
      </c>
      <c r="M485" s="10">
        <v>10</v>
      </c>
      <c r="N485" s="10" t="s">
        <v>152</v>
      </c>
      <c r="O485">
        <v>82</v>
      </c>
      <c r="P485" s="10">
        <v>1076</v>
      </c>
      <c r="Q485" s="43" t="s">
        <v>188</v>
      </c>
      <c r="S485" s="42"/>
      <c r="T485" s="34" t="s">
        <v>155</v>
      </c>
      <c r="U485" s="10" t="s">
        <v>34</v>
      </c>
      <c r="V485" s="10">
        <v>10</v>
      </c>
      <c r="W485" s="10" t="s">
        <v>152</v>
      </c>
      <c r="X485">
        <v>82</v>
      </c>
      <c r="Y485" s="10" t="s">
        <v>80</v>
      </c>
      <c r="Z485" s="43" t="s">
        <v>164</v>
      </c>
      <c r="AB485" s="42"/>
      <c r="AC485" s="34" t="s">
        <v>155</v>
      </c>
      <c r="AD485" s="10" t="s">
        <v>34</v>
      </c>
      <c r="AE485" s="10">
        <v>10</v>
      </c>
      <c r="AF485" s="10" t="s">
        <v>152</v>
      </c>
      <c r="AG485">
        <v>82</v>
      </c>
      <c r="AH485" s="10">
        <v>3016</v>
      </c>
      <c r="AI485" s="43" t="s">
        <v>187</v>
      </c>
      <c r="AK485" s="42"/>
      <c r="AL485" s="34" t="s">
        <v>155</v>
      </c>
      <c r="AM485" s="10" t="s">
        <v>34</v>
      </c>
      <c r="AN485" s="10">
        <v>10</v>
      </c>
      <c r="AO485" s="10" t="s">
        <v>152</v>
      </c>
      <c r="AP485">
        <v>82</v>
      </c>
      <c r="AQ485" s="10">
        <v>1087</v>
      </c>
      <c r="AR485" t="s">
        <v>170</v>
      </c>
      <c r="AT485" s="42"/>
      <c r="AU485" s="34" t="s">
        <v>155</v>
      </c>
      <c r="AV485" s="10" t="s">
        <v>34</v>
      </c>
      <c r="AW485" s="10">
        <v>10</v>
      </c>
      <c r="AX485" s="10" t="s">
        <v>152</v>
      </c>
      <c r="AY485">
        <v>82</v>
      </c>
      <c r="AZ485" s="10" t="s">
        <v>68</v>
      </c>
      <c r="BA485" t="s">
        <v>181</v>
      </c>
      <c r="BC485" s="42"/>
      <c r="BD485" s="34" t="s">
        <v>155</v>
      </c>
      <c r="BE485" s="10" t="s">
        <v>34</v>
      </c>
      <c r="BF485" s="10">
        <v>10</v>
      </c>
      <c r="BG485" s="10" t="s">
        <v>152</v>
      </c>
      <c r="BH485">
        <v>82</v>
      </c>
      <c r="BI485" s="10">
        <v>3029</v>
      </c>
      <c r="BJ485" t="s">
        <v>181</v>
      </c>
      <c r="BL485" s="42"/>
      <c r="BM485" s="34" t="s">
        <v>155</v>
      </c>
      <c r="BN485" s="10" t="s">
        <v>34</v>
      </c>
      <c r="BO485" s="10">
        <v>10</v>
      </c>
      <c r="BP485" s="10" t="s">
        <v>152</v>
      </c>
      <c r="BQ485">
        <v>82</v>
      </c>
      <c r="BR485" s="10" t="s">
        <v>93</v>
      </c>
      <c r="BS485" t="s">
        <v>162</v>
      </c>
      <c r="BU485" s="42"/>
      <c r="BV485" s="34" t="s">
        <v>155</v>
      </c>
      <c r="BW485" s="10" t="s">
        <v>34</v>
      </c>
      <c r="BX485" s="10">
        <v>10</v>
      </c>
      <c r="BY485" s="10" t="s">
        <v>152</v>
      </c>
      <c r="BZ485">
        <v>82</v>
      </c>
      <c r="CA485" s="10" t="s">
        <v>95</v>
      </c>
      <c r="CB485" t="s">
        <v>180</v>
      </c>
      <c r="CD485" s="42"/>
      <c r="CE485" s="34" t="s">
        <v>155</v>
      </c>
      <c r="CF485" s="10" t="s">
        <v>34</v>
      </c>
      <c r="CG485" s="10">
        <v>10</v>
      </c>
      <c r="CH485" s="10" t="s">
        <v>152</v>
      </c>
      <c r="CI485">
        <v>82</v>
      </c>
      <c r="CJ485" s="10">
        <v>3031</v>
      </c>
      <c r="CK485" s="43" t="s">
        <v>189</v>
      </c>
    </row>
    <row r="486" spans="1:89" x14ac:dyDescent="0.25">
      <c r="A486" s="42"/>
      <c r="B486" s="34" t="s">
        <v>155</v>
      </c>
      <c r="C486" s="10" t="s">
        <v>34</v>
      </c>
      <c r="D486" s="10">
        <v>11</v>
      </c>
      <c r="E486" s="10" t="s">
        <v>152</v>
      </c>
      <c r="F486">
        <v>83</v>
      </c>
      <c r="G486" s="10">
        <v>3020</v>
      </c>
      <c r="H486" t="s">
        <v>162</v>
      </c>
      <c r="J486" s="42"/>
      <c r="K486" s="34" t="s">
        <v>155</v>
      </c>
      <c r="L486" s="10" t="s">
        <v>34</v>
      </c>
      <c r="M486" s="10">
        <v>11</v>
      </c>
      <c r="N486" s="10" t="s">
        <v>152</v>
      </c>
      <c r="O486">
        <v>83</v>
      </c>
      <c r="P486" s="10">
        <v>1076</v>
      </c>
      <c r="Q486" s="43" t="s">
        <v>182</v>
      </c>
      <c r="S486" s="42"/>
      <c r="T486" s="34" t="s">
        <v>155</v>
      </c>
      <c r="U486" s="10" t="s">
        <v>34</v>
      </c>
      <c r="V486" s="10">
        <v>11</v>
      </c>
      <c r="W486" s="10" t="s">
        <v>152</v>
      </c>
      <c r="X486">
        <v>83</v>
      </c>
      <c r="Y486" s="10" t="s">
        <v>80</v>
      </c>
      <c r="Z486" t="s">
        <v>172</v>
      </c>
      <c r="AB486" s="42"/>
      <c r="AC486" s="34" t="s">
        <v>155</v>
      </c>
      <c r="AD486" s="10" t="s">
        <v>34</v>
      </c>
      <c r="AE486" s="10">
        <v>11</v>
      </c>
      <c r="AF486" s="10" t="s">
        <v>152</v>
      </c>
      <c r="AG486">
        <v>83</v>
      </c>
      <c r="AH486" s="10">
        <v>3016</v>
      </c>
      <c r="AI486" s="43" t="s">
        <v>189</v>
      </c>
      <c r="AK486" s="42"/>
      <c r="AL486" s="34" t="s">
        <v>155</v>
      </c>
      <c r="AM486" s="10" t="s">
        <v>34</v>
      </c>
      <c r="AN486" s="10">
        <v>11</v>
      </c>
      <c r="AO486" s="10" t="s">
        <v>152</v>
      </c>
      <c r="AP486">
        <v>83</v>
      </c>
      <c r="AQ486" s="10">
        <v>1087</v>
      </c>
      <c r="AR486" t="s">
        <v>178</v>
      </c>
      <c r="AT486" s="42"/>
      <c r="AU486" s="34" t="s">
        <v>155</v>
      </c>
      <c r="AV486" s="10" t="s">
        <v>34</v>
      </c>
      <c r="AW486" s="10">
        <v>11</v>
      </c>
      <c r="AX486" s="10" t="s">
        <v>152</v>
      </c>
      <c r="AY486">
        <v>83</v>
      </c>
      <c r="AZ486" s="10" t="s">
        <v>68</v>
      </c>
      <c r="BA486" t="s">
        <v>183</v>
      </c>
      <c r="BC486" s="42"/>
      <c r="BD486" s="34" t="s">
        <v>155</v>
      </c>
      <c r="BE486" s="10" t="s">
        <v>34</v>
      </c>
      <c r="BF486" s="10">
        <v>11</v>
      </c>
      <c r="BG486" s="10" t="s">
        <v>152</v>
      </c>
      <c r="BH486">
        <v>83</v>
      </c>
      <c r="BI486" s="10">
        <v>3029</v>
      </c>
      <c r="BJ486" t="s">
        <v>183</v>
      </c>
      <c r="BL486" s="42"/>
      <c r="BM486" s="34" t="s">
        <v>155</v>
      </c>
      <c r="BN486" s="10" t="s">
        <v>34</v>
      </c>
      <c r="BO486" s="10">
        <v>11</v>
      </c>
      <c r="BP486" s="10" t="s">
        <v>152</v>
      </c>
      <c r="BQ486">
        <v>83</v>
      </c>
      <c r="BR486" s="10" t="s">
        <v>93</v>
      </c>
      <c r="BS486" t="s">
        <v>170</v>
      </c>
      <c r="BU486" s="42"/>
      <c r="BV486" s="34" t="s">
        <v>155</v>
      </c>
      <c r="BW486" s="10" t="s">
        <v>34</v>
      </c>
      <c r="BX486" s="10">
        <v>11</v>
      </c>
      <c r="BY486" s="10" t="s">
        <v>152</v>
      </c>
      <c r="BZ486">
        <v>83</v>
      </c>
      <c r="CA486" s="10" t="s">
        <v>95</v>
      </c>
      <c r="CB486" t="s">
        <v>181</v>
      </c>
      <c r="CD486" s="42"/>
      <c r="CE486" s="34" t="s">
        <v>155</v>
      </c>
      <c r="CF486" s="10" t="s">
        <v>34</v>
      </c>
      <c r="CG486" s="10">
        <v>11</v>
      </c>
      <c r="CH486" s="10" t="s">
        <v>152</v>
      </c>
      <c r="CI486">
        <v>83</v>
      </c>
      <c r="CJ486" s="10">
        <v>3030</v>
      </c>
      <c r="CK486" s="43" t="s">
        <v>160</v>
      </c>
    </row>
    <row r="487" spans="1:89" x14ac:dyDescent="0.25">
      <c r="A487" s="47"/>
      <c r="B487" s="48" t="s">
        <v>155</v>
      </c>
      <c r="C487" s="49" t="s">
        <v>34</v>
      </c>
      <c r="D487" s="49">
        <v>12</v>
      </c>
      <c r="E487" s="49" t="s">
        <v>152</v>
      </c>
      <c r="F487" s="50">
        <v>84</v>
      </c>
      <c r="G487" s="10">
        <v>3020</v>
      </c>
      <c r="H487" t="s">
        <v>170</v>
      </c>
      <c r="J487" s="47"/>
      <c r="K487" s="48" t="s">
        <v>155</v>
      </c>
      <c r="L487" s="49" t="s">
        <v>34</v>
      </c>
      <c r="M487" s="49">
        <v>12</v>
      </c>
      <c r="N487" s="49" t="s">
        <v>152</v>
      </c>
      <c r="O487" s="50">
        <v>84</v>
      </c>
      <c r="P487" s="10">
        <v>1076</v>
      </c>
      <c r="Q487" s="43" t="s">
        <v>184</v>
      </c>
      <c r="S487" s="47"/>
      <c r="T487" s="48" t="s">
        <v>155</v>
      </c>
      <c r="U487" s="49" t="s">
        <v>34</v>
      </c>
      <c r="V487" s="49">
        <v>12</v>
      </c>
      <c r="W487" s="49" t="s">
        <v>152</v>
      </c>
      <c r="X487" s="50">
        <v>84</v>
      </c>
      <c r="Y487" s="10" t="s">
        <v>80</v>
      </c>
      <c r="Z487" t="s">
        <v>162</v>
      </c>
      <c r="AB487" s="47"/>
      <c r="AC487" s="48" t="s">
        <v>155</v>
      </c>
      <c r="AD487" s="49" t="s">
        <v>34</v>
      </c>
      <c r="AE487" s="49">
        <v>12</v>
      </c>
      <c r="AF487" s="49" t="s">
        <v>152</v>
      </c>
      <c r="AG487" s="50">
        <v>84</v>
      </c>
      <c r="AH487" s="10">
        <v>1084</v>
      </c>
      <c r="AI487" s="43" t="s">
        <v>160</v>
      </c>
      <c r="AK487" s="47"/>
      <c r="AL487" s="48" t="s">
        <v>155</v>
      </c>
      <c r="AM487" s="49" t="s">
        <v>34</v>
      </c>
      <c r="AN487" s="49">
        <v>12</v>
      </c>
      <c r="AO487" s="49" t="s">
        <v>152</v>
      </c>
      <c r="AP487" s="50">
        <v>84</v>
      </c>
      <c r="AQ487" s="10">
        <v>1087</v>
      </c>
      <c r="AR487" t="s">
        <v>163</v>
      </c>
      <c r="AT487" s="47"/>
      <c r="AU487" s="48" t="s">
        <v>155</v>
      </c>
      <c r="AV487" s="49" t="s">
        <v>34</v>
      </c>
      <c r="AW487" s="49">
        <v>12</v>
      </c>
      <c r="AX487" s="49" t="s">
        <v>152</v>
      </c>
      <c r="AY487" s="50">
        <v>84</v>
      </c>
      <c r="AZ487" s="10" t="s">
        <v>68</v>
      </c>
      <c r="BA487" t="s">
        <v>186</v>
      </c>
      <c r="BC487" s="47"/>
      <c r="BD487" s="48" t="s">
        <v>155</v>
      </c>
      <c r="BE487" s="49" t="s">
        <v>34</v>
      </c>
      <c r="BF487" s="49">
        <v>12</v>
      </c>
      <c r="BG487" s="49" t="s">
        <v>152</v>
      </c>
      <c r="BH487" s="50">
        <v>84</v>
      </c>
      <c r="BI487" s="10">
        <v>3029</v>
      </c>
      <c r="BJ487" t="s">
        <v>186</v>
      </c>
      <c r="BL487" s="47"/>
      <c r="BM487" s="48" t="s">
        <v>155</v>
      </c>
      <c r="BN487" s="49" t="s">
        <v>34</v>
      </c>
      <c r="BO487" s="49">
        <v>12</v>
      </c>
      <c r="BP487" s="49" t="s">
        <v>152</v>
      </c>
      <c r="BQ487" s="50">
        <v>84</v>
      </c>
      <c r="BR487" s="10" t="s">
        <v>93</v>
      </c>
      <c r="BS487" t="s">
        <v>178</v>
      </c>
      <c r="BU487" s="47"/>
      <c r="BV487" s="48" t="s">
        <v>155</v>
      </c>
      <c r="BW487" s="49" t="s">
        <v>34</v>
      </c>
      <c r="BX487" s="49">
        <v>12</v>
      </c>
      <c r="BY487" s="49" t="s">
        <v>152</v>
      </c>
      <c r="BZ487" s="50">
        <v>84</v>
      </c>
      <c r="CA487" s="10" t="s">
        <v>95</v>
      </c>
      <c r="CB487" t="s">
        <v>183</v>
      </c>
      <c r="CD487" s="47"/>
      <c r="CE487" s="48" t="s">
        <v>155</v>
      </c>
      <c r="CF487" s="49" t="s">
        <v>34</v>
      </c>
      <c r="CG487" s="49">
        <v>12</v>
      </c>
      <c r="CH487" s="49" t="s">
        <v>152</v>
      </c>
      <c r="CI487" s="50">
        <v>84</v>
      </c>
      <c r="CJ487" s="10">
        <v>3030</v>
      </c>
      <c r="CK487" s="51" t="s">
        <v>168</v>
      </c>
    </row>
    <row r="488" spans="1:89" x14ac:dyDescent="0.25">
      <c r="A488" s="56"/>
      <c r="B488" s="34" t="s">
        <v>155</v>
      </c>
      <c r="C488" s="58" t="s">
        <v>39</v>
      </c>
      <c r="D488" s="58">
        <v>1</v>
      </c>
      <c r="E488" s="58" t="s">
        <v>152</v>
      </c>
      <c r="F488" s="59">
        <v>85</v>
      </c>
      <c r="G488" s="10">
        <v>3020</v>
      </c>
      <c r="H488" t="s">
        <v>178</v>
      </c>
      <c r="J488" s="56"/>
      <c r="K488" s="34" t="s">
        <v>155</v>
      </c>
      <c r="L488" s="58" t="s">
        <v>39</v>
      </c>
      <c r="M488" s="58">
        <v>1</v>
      </c>
      <c r="N488" s="58" t="s">
        <v>152</v>
      </c>
      <c r="O488" s="59">
        <v>85</v>
      </c>
      <c r="P488" s="10">
        <v>1076</v>
      </c>
      <c r="Q488" s="43" t="s">
        <v>187</v>
      </c>
      <c r="S488" s="56"/>
      <c r="T488" s="34" t="s">
        <v>155</v>
      </c>
      <c r="U488" s="58" t="s">
        <v>39</v>
      </c>
      <c r="V488" s="58">
        <v>1</v>
      </c>
      <c r="W488" s="58" t="s">
        <v>152</v>
      </c>
      <c r="X488" s="59">
        <v>85</v>
      </c>
      <c r="Y488" s="10" t="s">
        <v>80</v>
      </c>
      <c r="Z488" t="s">
        <v>170</v>
      </c>
      <c r="AB488" s="56"/>
      <c r="AC488" s="34" t="s">
        <v>155</v>
      </c>
      <c r="AD488" s="58" t="s">
        <v>39</v>
      </c>
      <c r="AE488" s="58">
        <v>1</v>
      </c>
      <c r="AF488" s="58" t="s">
        <v>152</v>
      </c>
      <c r="AG488" s="59">
        <v>85</v>
      </c>
      <c r="AH488" s="10">
        <v>1084</v>
      </c>
      <c r="AI488" s="51" t="s">
        <v>168</v>
      </c>
      <c r="AK488" s="56"/>
      <c r="AL488" s="34" t="s">
        <v>155</v>
      </c>
      <c r="AM488" s="58" t="s">
        <v>39</v>
      </c>
      <c r="AN488" s="58">
        <v>1</v>
      </c>
      <c r="AO488" s="58" t="s">
        <v>152</v>
      </c>
      <c r="AP488" s="59">
        <v>85</v>
      </c>
      <c r="AQ488" s="10">
        <v>1087</v>
      </c>
      <c r="AR488" t="s">
        <v>171</v>
      </c>
      <c r="AT488" s="56"/>
      <c r="AU488" s="34" t="s">
        <v>155</v>
      </c>
      <c r="AV488" s="58" t="s">
        <v>39</v>
      </c>
      <c r="AW488" s="58">
        <v>1</v>
      </c>
      <c r="AX488" s="58" t="s">
        <v>152</v>
      </c>
      <c r="AY488" s="59">
        <v>85</v>
      </c>
      <c r="AZ488" s="10" t="s">
        <v>68</v>
      </c>
      <c r="BA488" s="43" t="s">
        <v>188</v>
      </c>
      <c r="BC488" s="56"/>
      <c r="BD488" s="34" t="s">
        <v>155</v>
      </c>
      <c r="BE488" s="58" t="s">
        <v>39</v>
      </c>
      <c r="BF488" s="58">
        <v>1</v>
      </c>
      <c r="BG488" s="58" t="s">
        <v>152</v>
      </c>
      <c r="BH488" s="59">
        <v>85</v>
      </c>
      <c r="BI488" s="10">
        <v>3029</v>
      </c>
      <c r="BJ488" s="43" t="s">
        <v>188</v>
      </c>
      <c r="BL488" s="56"/>
      <c r="BM488" s="34" t="s">
        <v>155</v>
      </c>
      <c r="BN488" s="58" t="s">
        <v>39</v>
      </c>
      <c r="BO488" s="58">
        <v>1</v>
      </c>
      <c r="BP488" s="58" t="s">
        <v>152</v>
      </c>
      <c r="BQ488" s="59">
        <v>85</v>
      </c>
      <c r="BR488" s="10" t="s">
        <v>93</v>
      </c>
      <c r="BS488" t="s">
        <v>163</v>
      </c>
      <c r="BU488" s="56"/>
      <c r="BV488" s="34" t="s">
        <v>155</v>
      </c>
      <c r="BW488" s="58" t="s">
        <v>39</v>
      </c>
      <c r="BX488" s="58">
        <v>1</v>
      </c>
      <c r="BY488" s="58" t="s">
        <v>152</v>
      </c>
      <c r="BZ488" s="59">
        <v>85</v>
      </c>
      <c r="CA488" s="10" t="s">
        <v>95</v>
      </c>
      <c r="CB488" t="s">
        <v>186</v>
      </c>
      <c r="CD488" s="56"/>
      <c r="CE488" s="34" t="s">
        <v>155</v>
      </c>
      <c r="CF488" s="58" t="s">
        <v>39</v>
      </c>
      <c r="CG488" s="58">
        <v>1</v>
      </c>
      <c r="CH488" s="58" t="s">
        <v>152</v>
      </c>
      <c r="CI488" s="59">
        <v>85</v>
      </c>
      <c r="CJ488" s="10">
        <v>3030</v>
      </c>
      <c r="CK488" s="43" t="s">
        <v>176</v>
      </c>
    </row>
    <row r="489" spans="1:89" x14ac:dyDescent="0.25">
      <c r="A489" s="42"/>
      <c r="B489" s="34" t="s">
        <v>155</v>
      </c>
      <c r="C489" s="10" t="s">
        <v>39</v>
      </c>
      <c r="D489" s="10">
        <v>2</v>
      </c>
      <c r="E489" s="10" t="s">
        <v>152</v>
      </c>
      <c r="F489">
        <v>86</v>
      </c>
      <c r="G489" s="10">
        <v>3020</v>
      </c>
      <c r="H489" t="s">
        <v>163</v>
      </c>
      <c r="J489" s="42"/>
      <c r="K489" s="34" t="s">
        <v>155</v>
      </c>
      <c r="L489" s="10" t="s">
        <v>39</v>
      </c>
      <c r="M489" s="10">
        <v>2</v>
      </c>
      <c r="N489" s="10" t="s">
        <v>152</v>
      </c>
      <c r="O489">
        <v>86</v>
      </c>
      <c r="P489" s="10">
        <v>1076</v>
      </c>
      <c r="Q489" s="43" t="s">
        <v>189</v>
      </c>
      <c r="S489" s="42"/>
      <c r="T489" s="34" t="s">
        <v>155</v>
      </c>
      <c r="U489" s="10" t="s">
        <v>39</v>
      </c>
      <c r="V489" s="10">
        <v>2</v>
      </c>
      <c r="W489" s="10" t="s">
        <v>152</v>
      </c>
      <c r="X489">
        <v>86</v>
      </c>
      <c r="Y489" s="10" t="s">
        <v>80</v>
      </c>
      <c r="Z489" t="s">
        <v>178</v>
      </c>
      <c r="AB489" s="42"/>
      <c r="AC489" s="34" t="s">
        <v>155</v>
      </c>
      <c r="AD489" s="10" t="s">
        <v>39</v>
      </c>
      <c r="AE489" s="10">
        <v>2</v>
      </c>
      <c r="AF489" s="10" t="s">
        <v>152</v>
      </c>
      <c r="AG489">
        <v>86</v>
      </c>
      <c r="AH489" s="10">
        <v>1084</v>
      </c>
      <c r="AI489" s="43" t="s">
        <v>176</v>
      </c>
      <c r="AK489" s="42"/>
      <c r="AL489" s="34" t="s">
        <v>155</v>
      </c>
      <c r="AM489" s="10" t="s">
        <v>39</v>
      </c>
      <c r="AN489" s="10">
        <v>2</v>
      </c>
      <c r="AO489" s="10" t="s">
        <v>152</v>
      </c>
      <c r="AP489">
        <v>86</v>
      </c>
      <c r="AQ489" s="10">
        <v>1087</v>
      </c>
      <c r="AR489" t="s">
        <v>161</v>
      </c>
      <c r="AT489" s="42"/>
      <c r="AU489" s="34" t="s">
        <v>155</v>
      </c>
      <c r="AV489" s="10" t="s">
        <v>39</v>
      </c>
      <c r="AW489" s="10">
        <v>2</v>
      </c>
      <c r="AX489" s="10" t="s">
        <v>152</v>
      </c>
      <c r="AY489">
        <v>86</v>
      </c>
      <c r="AZ489" s="10" t="s">
        <v>68</v>
      </c>
      <c r="BA489" s="43" t="s">
        <v>182</v>
      </c>
      <c r="BC489" s="42"/>
      <c r="BD489" s="34" t="s">
        <v>155</v>
      </c>
      <c r="BE489" s="10" t="s">
        <v>39</v>
      </c>
      <c r="BF489" s="10">
        <v>2</v>
      </c>
      <c r="BG489" s="10" t="s">
        <v>152</v>
      </c>
      <c r="BH489">
        <v>86</v>
      </c>
      <c r="BI489" s="10">
        <v>3029</v>
      </c>
      <c r="BJ489" s="43" t="s">
        <v>182</v>
      </c>
      <c r="BL489" s="42"/>
      <c r="BM489" s="34" t="s">
        <v>155</v>
      </c>
      <c r="BN489" s="10" t="s">
        <v>39</v>
      </c>
      <c r="BO489" s="10">
        <v>2</v>
      </c>
      <c r="BP489" s="10" t="s">
        <v>152</v>
      </c>
      <c r="BQ489">
        <v>86</v>
      </c>
      <c r="BR489" s="10" t="s">
        <v>93</v>
      </c>
      <c r="BS489" t="s">
        <v>171</v>
      </c>
      <c r="BU489" s="42"/>
      <c r="BV489" s="34" t="s">
        <v>155</v>
      </c>
      <c r="BW489" s="10" t="s">
        <v>39</v>
      </c>
      <c r="BX489" s="10">
        <v>2</v>
      </c>
      <c r="BY489" s="10" t="s">
        <v>152</v>
      </c>
      <c r="BZ489">
        <v>86</v>
      </c>
      <c r="CA489" s="10" t="s">
        <v>95</v>
      </c>
      <c r="CB489" s="43" t="s">
        <v>188</v>
      </c>
      <c r="CD489" s="42"/>
      <c r="CE489" s="34" t="s">
        <v>155</v>
      </c>
      <c r="CF489" s="10" t="s">
        <v>39</v>
      </c>
      <c r="CG489" s="10">
        <v>2</v>
      </c>
      <c r="CH489" s="10" t="s">
        <v>152</v>
      </c>
      <c r="CI489">
        <v>86</v>
      </c>
      <c r="CJ489" s="10">
        <v>3030</v>
      </c>
      <c r="CK489" s="43" t="s">
        <v>164</v>
      </c>
    </row>
    <row r="490" spans="1:89" x14ac:dyDescent="0.25">
      <c r="A490" s="42"/>
      <c r="B490" s="34" t="s">
        <v>155</v>
      </c>
      <c r="C490" s="10" t="s">
        <v>39</v>
      </c>
      <c r="D490" s="10">
        <v>3</v>
      </c>
      <c r="E490" s="10" t="s">
        <v>152</v>
      </c>
      <c r="F490">
        <v>87</v>
      </c>
      <c r="G490" s="10">
        <v>3020</v>
      </c>
      <c r="H490" t="s">
        <v>171</v>
      </c>
      <c r="J490" s="42"/>
      <c r="K490" s="34" t="s">
        <v>155</v>
      </c>
      <c r="L490" s="10" t="s">
        <v>39</v>
      </c>
      <c r="M490" s="10">
        <v>3</v>
      </c>
      <c r="N490" s="10" t="s">
        <v>152</v>
      </c>
      <c r="O490">
        <v>87</v>
      </c>
      <c r="P490" s="10">
        <v>1077</v>
      </c>
      <c r="Q490" s="43" t="s">
        <v>160</v>
      </c>
      <c r="S490" s="42"/>
      <c r="T490" s="34" t="s">
        <v>155</v>
      </c>
      <c r="U490" s="10" t="s">
        <v>39</v>
      </c>
      <c r="V490" s="10">
        <v>3</v>
      </c>
      <c r="W490" s="10" t="s">
        <v>152</v>
      </c>
      <c r="X490">
        <v>87</v>
      </c>
      <c r="Y490" s="10" t="s">
        <v>80</v>
      </c>
      <c r="Z490" t="s">
        <v>163</v>
      </c>
      <c r="AB490" s="42"/>
      <c r="AC490" s="34" t="s">
        <v>155</v>
      </c>
      <c r="AD490" s="10" t="s">
        <v>39</v>
      </c>
      <c r="AE490" s="10">
        <v>3</v>
      </c>
      <c r="AF490" s="10" t="s">
        <v>152</v>
      </c>
      <c r="AG490">
        <v>87</v>
      </c>
      <c r="AH490" s="10">
        <v>1084</v>
      </c>
      <c r="AI490" s="43" t="s">
        <v>164</v>
      </c>
      <c r="AK490" s="42"/>
      <c r="AL490" s="34" t="s">
        <v>155</v>
      </c>
      <c r="AM490" s="10" t="s">
        <v>39</v>
      </c>
      <c r="AN490" s="10">
        <v>3</v>
      </c>
      <c r="AO490" s="10" t="s">
        <v>152</v>
      </c>
      <c r="AP490">
        <v>87</v>
      </c>
      <c r="AQ490" s="10">
        <v>1087</v>
      </c>
      <c r="AR490" t="s">
        <v>169</v>
      </c>
      <c r="AT490" s="42"/>
      <c r="AU490" s="34" t="s">
        <v>155</v>
      </c>
      <c r="AV490" s="10" t="s">
        <v>39</v>
      </c>
      <c r="AW490" s="10">
        <v>3</v>
      </c>
      <c r="AX490" s="10" t="s">
        <v>152</v>
      </c>
      <c r="AY490">
        <v>87</v>
      </c>
      <c r="AZ490" s="10" t="s">
        <v>68</v>
      </c>
      <c r="BA490" s="43" t="s">
        <v>184</v>
      </c>
      <c r="BC490" s="42"/>
      <c r="BD490" s="34" t="s">
        <v>155</v>
      </c>
      <c r="BE490" s="10" t="s">
        <v>39</v>
      </c>
      <c r="BF490" s="10">
        <v>3</v>
      </c>
      <c r="BG490" s="10" t="s">
        <v>152</v>
      </c>
      <c r="BH490">
        <v>87</v>
      </c>
      <c r="BI490" s="10">
        <v>3029</v>
      </c>
      <c r="BJ490" s="43" t="s">
        <v>184</v>
      </c>
      <c r="BL490" s="42"/>
      <c r="BM490" s="34" t="s">
        <v>155</v>
      </c>
      <c r="BN490" s="10" t="s">
        <v>39</v>
      </c>
      <c r="BO490" s="10">
        <v>3</v>
      </c>
      <c r="BP490" s="10" t="s">
        <v>152</v>
      </c>
      <c r="BQ490">
        <v>87</v>
      </c>
      <c r="BR490" s="10" t="s">
        <v>93</v>
      </c>
      <c r="BS490" t="s">
        <v>161</v>
      </c>
      <c r="BU490" s="42"/>
      <c r="BV490" s="34" t="s">
        <v>155</v>
      </c>
      <c r="BW490" s="10" t="s">
        <v>39</v>
      </c>
      <c r="BX490" s="10">
        <v>3</v>
      </c>
      <c r="BY490" s="10" t="s">
        <v>152</v>
      </c>
      <c r="BZ490">
        <v>87</v>
      </c>
      <c r="CA490" s="10" t="s">
        <v>95</v>
      </c>
      <c r="CB490" s="43" t="s">
        <v>182</v>
      </c>
      <c r="CD490" s="42"/>
      <c r="CE490" s="34" t="s">
        <v>155</v>
      </c>
      <c r="CF490" s="10" t="s">
        <v>39</v>
      </c>
      <c r="CG490" s="10">
        <v>3</v>
      </c>
      <c r="CH490" s="10" t="s">
        <v>152</v>
      </c>
      <c r="CI490">
        <v>87</v>
      </c>
      <c r="CJ490" s="10">
        <v>3030</v>
      </c>
      <c r="CK490" t="s">
        <v>172</v>
      </c>
    </row>
    <row r="491" spans="1:89" x14ac:dyDescent="0.25">
      <c r="A491" s="42"/>
      <c r="B491" s="34" t="s">
        <v>155</v>
      </c>
      <c r="C491" s="10" t="s">
        <v>39</v>
      </c>
      <c r="D491" s="10">
        <v>4</v>
      </c>
      <c r="E491" s="10" t="s">
        <v>152</v>
      </c>
      <c r="F491">
        <v>88</v>
      </c>
      <c r="G491" s="10">
        <v>3020</v>
      </c>
      <c r="H491" t="s">
        <v>161</v>
      </c>
      <c r="J491" s="42"/>
      <c r="K491" s="34" t="s">
        <v>155</v>
      </c>
      <c r="L491" s="10" t="s">
        <v>39</v>
      </c>
      <c r="M491" s="10">
        <v>4</v>
      </c>
      <c r="N491" s="10" t="s">
        <v>152</v>
      </c>
      <c r="O491">
        <v>88</v>
      </c>
      <c r="P491" s="10">
        <v>1077</v>
      </c>
      <c r="Q491" s="51" t="s">
        <v>168</v>
      </c>
      <c r="S491" s="42"/>
      <c r="T491" s="34" t="s">
        <v>155</v>
      </c>
      <c r="U491" s="10" t="s">
        <v>39</v>
      </c>
      <c r="V491" s="10">
        <v>4</v>
      </c>
      <c r="W491" s="10" t="s">
        <v>152</v>
      </c>
      <c r="X491">
        <v>88</v>
      </c>
      <c r="Y491" s="10" t="s">
        <v>80</v>
      </c>
      <c r="Z491" t="s">
        <v>171</v>
      </c>
      <c r="AB491" s="42"/>
      <c r="AC491" s="34" t="s">
        <v>155</v>
      </c>
      <c r="AD491" s="10" t="s">
        <v>39</v>
      </c>
      <c r="AE491" s="10">
        <v>4</v>
      </c>
      <c r="AF491" s="10" t="s">
        <v>152</v>
      </c>
      <c r="AG491">
        <v>88</v>
      </c>
      <c r="AH491" s="10">
        <v>1084</v>
      </c>
      <c r="AI491" t="s">
        <v>172</v>
      </c>
      <c r="AK491" s="42"/>
      <c r="AL491" s="34" t="s">
        <v>155</v>
      </c>
      <c r="AM491" s="10" t="s">
        <v>39</v>
      </c>
      <c r="AN491" s="10">
        <v>4</v>
      </c>
      <c r="AO491" s="10" t="s">
        <v>152</v>
      </c>
      <c r="AP491">
        <v>88</v>
      </c>
      <c r="AQ491" s="10">
        <v>1087</v>
      </c>
      <c r="AR491" t="s">
        <v>177</v>
      </c>
      <c r="AT491" s="42"/>
      <c r="AU491" s="34" t="s">
        <v>155</v>
      </c>
      <c r="AV491" s="10" t="s">
        <v>39</v>
      </c>
      <c r="AW491" s="10">
        <v>4</v>
      </c>
      <c r="AX491" s="10" t="s">
        <v>152</v>
      </c>
      <c r="AY491">
        <v>88</v>
      </c>
      <c r="AZ491" s="10" t="s">
        <v>68</v>
      </c>
      <c r="BA491" s="43" t="s">
        <v>187</v>
      </c>
      <c r="BC491" s="42"/>
      <c r="BD491" s="34" t="s">
        <v>155</v>
      </c>
      <c r="BE491" s="10" t="s">
        <v>39</v>
      </c>
      <c r="BF491" s="10">
        <v>4</v>
      </c>
      <c r="BG491" s="10" t="s">
        <v>152</v>
      </c>
      <c r="BH491">
        <v>88</v>
      </c>
      <c r="BI491" s="10">
        <v>3029</v>
      </c>
      <c r="BJ491" s="43" t="s">
        <v>187</v>
      </c>
      <c r="BL491" s="42"/>
      <c r="BM491" s="34" t="s">
        <v>155</v>
      </c>
      <c r="BN491" s="10" t="s">
        <v>39</v>
      </c>
      <c r="BO491" s="10">
        <v>4</v>
      </c>
      <c r="BP491" s="10" t="s">
        <v>152</v>
      </c>
      <c r="BQ491">
        <v>88</v>
      </c>
      <c r="BR491" s="10" t="s">
        <v>93</v>
      </c>
      <c r="BS491" t="s">
        <v>169</v>
      </c>
      <c r="BU491" s="42"/>
      <c r="BV491" s="34" t="s">
        <v>155</v>
      </c>
      <c r="BW491" s="10" t="s">
        <v>39</v>
      </c>
      <c r="BX491" s="10">
        <v>4</v>
      </c>
      <c r="BY491" s="10" t="s">
        <v>152</v>
      </c>
      <c r="BZ491">
        <v>88</v>
      </c>
      <c r="CA491" s="10" t="s">
        <v>95</v>
      </c>
      <c r="CB491" s="43" t="s">
        <v>184</v>
      </c>
      <c r="CD491" s="42"/>
      <c r="CE491" s="34" t="s">
        <v>155</v>
      </c>
      <c r="CF491" s="10" t="s">
        <v>39</v>
      </c>
      <c r="CG491" s="10">
        <v>4</v>
      </c>
      <c r="CH491" s="10" t="s">
        <v>152</v>
      </c>
      <c r="CI491">
        <v>88</v>
      </c>
      <c r="CJ491" s="10">
        <v>3030</v>
      </c>
      <c r="CK491" t="s">
        <v>162</v>
      </c>
    </row>
    <row r="492" spans="1:89" x14ac:dyDescent="0.25">
      <c r="A492" s="42"/>
      <c r="B492" s="34" t="s">
        <v>155</v>
      </c>
      <c r="C492" s="10" t="s">
        <v>39</v>
      </c>
      <c r="D492" s="10">
        <v>5</v>
      </c>
      <c r="E492" s="10" t="s">
        <v>152</v>
      </c>
      <c r="F492">
        <v>89</v>
      </c>
      <c r="G492" s="10">
        <v>3020</v>
      </c>
      <c r="H492" t="s">
        <v>169</v>
      </c>
      <c r="J492" s="42"/>
      <c r="K492" s="34" t="s">
        <v>155</v>
      </c>
      <c r="L492" s="10" t="s">
        <v>39</v>
      </c>
      <c r="M492" s="10">
        <v>5</v>
      </c>
      <c r="N492" s="10" t="s">
        <v>152</v>
      </c>
      <c r="O492">
        <v>89</v>
      </c>
      <c r="P492" s="10">
        <v>1077</v>
      </c>
      <c r="Q492" s="43" t="s">
        <v>176</v>
      </c>
      <c r="S492" s="42"/>
      <c r="T492" s="34" t="s">
        <v>155</v>
      </c>
      <c r="U492" s="10" t="s">
        <v>39</v>
      </c>
      <c r="V492" s="10">
        <v>5</v>
      </c>
      <c r="W492" s="10" t="s">
        <v>152</v>
      </c>
      <c r="X492">
        <v>89</v>
      </c>
      <c r="Y492" s="10" t="s">
        <v>80</v>
      </c>
      <c r="Z492" t="s">
        <v>161</v>
      </c>
      <c r="AB492" s="42"/>
      <c r="AC492" s="34" t="s">
        <v>155</v>
      </c>
      <c r="AD492" s="10" t="s">
        <v>39</v>
      </c>
      <c r="AE492" s="10">
        <v>5</v>
      </c>
      <c r="AF492" s="10" t="s">
        <v>152</v>
      </c>
      <c r="AG492">
        <v>89</v>
      </c>
      <c r="AH492" s="10">
        <v>1084</v>
      </c>
      <c r="AI492" t="s">
        <v>162</v>
      </c>
      <c r="AK492" s="42"/>
      <c r="AL492" s="34" t="s">
        <v>155</v>
      </c>
      <c r="AM492" s="10" t="s">
        <v>39</v>
      </c>
      <c r="AN492" s="10">
        <v>5</v>
      </c>
      <c r="AO492" s="10" t="s">
        <v>152</v>
      </c>
      <c r="AP492">
        <v>89</v>
      </c>
      <c r="AQ492" s="10">
        <v>1087</v>
      </c>
      <c r="AR492" t="s">
        <v>180</v>
      </c>
      <c r="AT492" s="42"/>
      <c r="AU492" s="34" t="s">
        <v>155</v>
      </c>
      <c r="AV492" s="10" t="s">
        <v>39</v>
      </c>
      <c r="AW492" s="10">
        <v>5</v>
      </c>
      <c r="AX492" s="10" t="s">
        <v>152</v>
      </c>
      <c r="AY492">
        <v>89</v>
      </c>
      <c r="AZ492" s="10" t="s">
        <v>68</v>
      </c>
      <c r="BA492" s="43" t="s">
        <v>189</v>
      </c>
      <c r="BC492" s="42"/>
      <c r="BD492" s="34" t="s">
        <v>155</v>
      </c>
      <c r="BE492" s="10" t="s">
        <v>39</v>
      </c>
      <c r="BF492" s="10">
        <v>5</v>
      </c>
      <c r="BG492" s="10" t="s">
        <v>152</v>
      </c>
      <c r="BH492">
        <v>89</v>
      </c>
      <c r="BI492" s="10">
        <v>3029</v>
      </c>
      <c r="BJ492" s="43" t="s">
        <v>189</v>
      </c>
      <c r="BL492" s="42"/>
      <c r="BM492" s="34" t="s">
        <v>155</v>
      </c>
      <c r="BN492" s="10" t="s">
        <v>39</v>
      </c>
      <c r="BO492" s="10">
        <v>5</v>
      </c>
      <c r="BP492" s="10" t="s">
        <v>152</v>
      </c>
      <c r="BQ492">
        <v>89</v>
      </c>
      <c r="BR492" s="10" t="s">
        <v>93</v>
      </c>
      <c r="BS492" t="s">
        <v>177</v>
      </c>
      <c r="BU492" s="42"/>
      <c r="BV492" s="34" t="s">
        <v>155</v>
      </c>
      <c r="BW492" s="10" t="s">
        <v>39</v>
      </c>
      <c r="BX492" s="10">
        <v>5</v>
      </c>
      <c r="BY492" s="10" t="s">
        <v>152</v>
      </c>
      <c r="BZ492">
        <v>89</v>
      </c>
      <c r="CA492" s="10" t="s">
        <v>95</v>
      </c>
      <c r="CB492" s="43" t="s">
        <v>187</v>
      </c>
      <c r="CD492" s="42"/>
      <c r="CE492" s="34" t="s">
        <v>155</v>
      </c>
      <c r="CF492" s="10" t="s">
        <v>39</v>
      </c>
      <c r="CG492" s="10">
        <v>5</v>
      </c>
      <c r="CH492" s="10" t="s">
        <v>152</v>
      </c>
      <c r="CI492">
        <v>89</v>
      </c>
      <c r="CJ492" s="10">
        <v>3030</v>
      </c>
      <c r="CK492" t="s">
        <v>170</v>
      </c>
    </row>
    <row r="493" spans="1:89" x14ac:dyDescent="0.25">
      <c r="A493" s="42"/>
      <c r="B493" s="34" t="s">
        <v>155</v>
      </c>
      <c r="C493" s="10" t="s">
        <v>39</v>
      </c>
      <c r="D493" s="10">
        <v>6</v>
      </c>
      <c r="E493" s="10" t="s">
        <v>152</v>
      </c>
      <c r="F493">
        <v>90</v>
      </c>
      <c r="G493" s="10">
        <v>3020</v>
      </c>
      <c r="H493" t="s">
        <v>177</v>
      </c>
      <c r="J493" s="42"/>
      <c r="K493" s="34" t="s">
        <v>155</v>
      </c>
      <c r="L493" s="10" t="s">
        <v>39</v>
      </c>
      <c r="M493" s="10">
        <v>6</v>
      </c>
      <c r="N493" s="10" t="s">
        <v>152</v>
      </c>
      <c r="O493">
        <v>90</v>
      </c>
      <c r="P493" s="10">
        <v>1077</v>
      </c>
      <c r="Q493" s="43" t="s">
        <v>164</v>
      </c>
      <c r="S493" s="42"/>
      <c r="T493" s="34" t="s">
        <v>155</v>
      </c>
      <c r="U493" s="10" t="s">
        <v>39</v>
      </c>
      <c r="V493" s="10">
        <v>6</v>
      </c>
      <c r="W493" s="10" t="s">
        <v>152</v>
      </c>
      <c r="X493">
        <v>90</v>
      </c>
      <c r="Y493" s="10" t="s">
        <v>80</v>
      </c>
      <c r="Z493" t="s">
        <v>169</v>
      </c>
      <c r="AB493" s="42"/>
      <c r="AC493" s="34" t="s">
        <v>155</v>
      </c>
      <c r="AD493" s="10" t="s">
        <v>39</v>
      </c>
      <c r="AE493" s="10">
        <v>6</v>
      </c>
      <c r="AF493" s="10" t="s">
        <v>152</v>
      </c>
      <c r="AG493">
        <v>90</v>
      </c>
      <c r="AH493" s="10">
        <v>1084</v>
      </c>
      <c r="AI493" t="s">
        <v>170</v>
      </c>
      <c r="AK493" s="42"/>
      <c r="AL493" s="34" t="s">
        <v>155</v>
      </c>
      <c r="AM493" s="10" t="s">
        <v>39</v>
      </c>
      <c r="AN493" s="10">
        <v>6</v>
      </c>
      <c r="AO493" s="10" t="s">
        <v>152</v>
      </c>
      <c r="AP493">
        <v>90</v>
      </c>
      <c r="AQ493" s="10">
        <v>1087</v>
      </c>
      <c r="AR493" t="s">
        <v>181</v>
      </c>
      <c r="AT493" s="42"/>
      <c r="AU493" s="34" t="s">
        <v>155</v>
      </c>
      <c r="AV493" s="10" t="s">
        <v>39</v>
      </c>
      <c r="AW493" s="10">
        <v>6</v>
      </c>
      <c r="AX493" s="10" t="s">
        <v>152</v>
      </c>
      <c r="AY493">
        <v>90</v>
      </c>
      <c r="AZ493" s="10" t="s">
        <v>83</v>
      </c>
      <c r="BA493" s="43" t="s">
        <v>160</v>
      </c>
      <c r="BC493" s="42"/>
      <c r="BD493" s="34" t="s">
        <v>155</v>
      </c>
      <c r="BE493" s="10" t="s">
        <v>39</v>
      </c>
      <c r="BF493" s="10">
        <v>6</v>
      </c>
      <c r="BG493" s="10" t="s">
        <v>152</v>
      </c>
      <c r="BH493">
        <v>90</v>
      </c>
      <c r="BI493" s="10">
        <v>3013</v>
      </c>
      <c r="BJ493" s="43" t="s">
        <v>160</v>
      </c>
      <c r="BL493" s="42"/>
      <c r="BM493" s="34" t="s">
        <v>155</v>
      </c>
      <c r="BN493" s="10" t="s">
        <v>39</v>
      </c>
      <c r="BO493" s="10">
        <v>6</v>
      </c>
      <c r="BP493" s="10" t="s">
        <v>152</v>
      </c>
      <c r="BQ493">
        <v>90</v>
      </c>
      <c r="BR493" s="10" t="s">
        <v>93</v>
      </c>
      <c r="BS493" t="s">
        <v>180</v>
      </c>
      <c r="BU493" s="42"/>
      <c r="BV493" s="34" t="s">
        <v>155</v>
      </c>
      <c r="BW493" s="10" t="s">
        <v>39</v>
      </c>
      <c r="BX493" s="10">
        <v>6</v>
      </c>
      <c r="BY493" s="10" t="s">
        <v>152</v>
      </c>
      <c r="BZ493">
        <v>90</v>
      </c>
      <c r="CA493" s="10" t="s">
        <v>95</v>
      </c>
      <c r="CB493" s="43" t="s">
        <v>189</v>
      </c>
      <c r="CD493" s="42"/>
      <c r="CE493" s="34" t="s">
        <v>155</v>
      </c>
      <c r="CF493" s="10" t="s">
        <v>39</v>
      </c>
      <c r="CG493" s="10">
        <v>6</v>
      </c>
      <c r="CH493" s="10" t="s">
        <v>152</v>
      </c>
      <c r="CI493">
        <v>90</v>
      </c>
      <c r="CJ493" s="10">
        <v>3030</v>
      </c>
      <c r="CK493" t="s">
        <v>178</v>
      </c>
    </row>
    <row r="494" spans="1:89" x14ac:dyDescent="0.25">
      <c r="A494" s="42"/>
      <c r="B494" s="34" t="s">
        <v>155</v>
      </c>
      <c r="C494" s="10" t="s">
        <v>39</v>
      </c>
      <c r="D494" s="10">
        <v>7</v>
      </c>
      <c r="E494" s="10" t="s">
        <v>152</v>
      </c>
      <c r="F494">
        <v>91</v>
      </c>
      <c r="G494" s="10">
        <v>3020</v>
      </c>
      <c r="H494" t="s">
        <v>180</v>
      </c>
      <c r="J494" s="42"/>
      <c r="K494" s="34" t="s">
        <v>155</v>
      </c>
      <c r="L494" s="10" t="s">
        <v>39</v>
      </c>
      <c r="M494" s="10">
        <v>7</v>
      </c>
      <c r="N494" s="10" t="s">
        <v>152</v>
      </c>
      <c r="O494">
        <v>91</v>
      </c>
      <c r="P494" s="10">
        <v>1077</v>
      </c>
      <c r="Q494" t="s">
        <v>172</v>
      </c>
      <c r="S494" s="42"/>
      <c r="T494" s="34" t="s">
        <v>155</v>
      </c>
      <c r="U494" s="10" t="s">
        <v>39</v>
      </c>
      <c r="V494" s="10">
        <v>7</v>
      </c>
      <c r="W494" s="10" t="s">
        <v>152</v>
      </c>
      <c r="X494">
        <v>91</v>
      </c>
      <c r="Y494" s="10" t="s">
        <v>80</v>
      </c>
      <c r="Z494" t="s">
        <v>177</v>
      </c>
      <c r="AB494" s="42"/>
      <c r="AC494" s="34" t="s">
        <v>155</v>
      </c>
      <c r="AD494" s="10" t="s">
        <v>39</v>
      </c>
      <c r="AE494" s="10">
        <v>7</v>
      </c>
      <c r="AF494" s="10" t="s">
        <v>152</v>
      </c>
      <c r="AG494">
        <v>91</v>
      </c>
      <c r="AH494" s="10">
        <v>1084</v>
      </c>
      <c r="AI494" t="s">
        <v>178</v>
      </c>
      <c r="AK494" s="42"/>
      <c r="AL494" s="34" t="s">
        <v>155</v>
      </c>
      <c r="AM494" s="10" t="s">
        <v>39</v>
      </c>
      <c r="AN494" s="10">
        <v>7</v>
      </c>
      <c r="AO494" s="10" t="s">
        <v>152</v>
      </c>
      <c r="AP494">
        <v>91</v>
      </c>
      <c r="AQ494" s="10">
        <v>1087</v>
      </c>
      <c r="AR494" t="s">
        <v>183</v>
      </c>
      <c r="AT494" s="42"/>
      <c r="AU494" s="34" t="s">
        <v>155</v>
      </c>
      <c r="AV494" s="10" t="s">
        <v>39</v>
      </c>
      <c r="AW494" s="10">
        <v>7</v>
      </c>
      <c r="AX494" s="10" t="s">
        <v>152</v>
      </c>
      <c r="AY494">
        <v>91</v>
      </c>
      <c r="AZ494" s="10" t="s">
        <v>83</v>
      </c>
      <c r="BA494" s="51" t="s">
        <v>168</v>
      </c>
      <c r="BC494" s="42"/>
      <c r="BD494" s="34" t="s">
        <v>155</v>
      </c>
      <c r="BE494" s="10" t="s">
        <v>39</v>
      </c>
      <c r="BF494" s="10">
        <v>7</v>
      </c>
      <c r="BG494" s="10" t="s">
        <v>152</v>
      </c>
      <c r="BH494">
        <v>91</v>
      </c>
      <c r="BI494" s="10">
        <v>3013</v>
      </c>
      <c r="BJ494" s="51" t="s">
        <v>168</v>
      </c>
      <c r="BL494" s="42"/>
      <c r="BM494" s="34" t="s">
        <v>155</v>
      </c>
      <c r="BN494" s="10" t="s">
        <v>39</v>
      </c>
      <c r="BO494" s="10">
        <v>7</v>
      </c>
      <c r="BP494" s="10" t="s">
        <v>152</v>
      </c>
      <c r="BQ494">
        <v>91</v>
      </c>
      <c r="BR494" s="10" t="s">
        <v>93</v>
      </c>
      <c r="BS494" t="s">
        <v>181</v>
      </c>
      <c r="BU494" s="42"/>
      <c r="BV494" s="34" t="s">
        <v>155</v>
      </c>
      <c r="BW494" s="10" t="s">
        <v>39</v>
      </c>
      <c r="BX494" s="10">
        <v>7</v>
      </c>
      <c r="BY494" s="10" t="s">
        <v>152</v>
      </c>
      <c r="BZ494">
        <v>91</v>
      </c>
      <c r="CA494" s="10" t="s">
        <v>89</v>
      </c>
      <c r="CB494" s="43" t="s">
        <v>160</v>
      </c>
      <c r="CD494" s="42"/>
      <c r="CE494" s="34" t="s">
        <v>155</v>
      </c>
      <c r="CF494" s="10" t="s">
        <v>39</v>
      </c>
      <c r="CG494" s="10">
        <v>7</v>
      </c>
      <c r="CH494" s="10" t="s">
        <v>152</v>
      </c>
      <c r="CI494">
        <v>91</v>
      </c>
      <c r="CJ494" s="10">
        <v>3030</v>
      </c>
      <c r="CK494" t="s">
        <v>163</v>
      </c>
    </row>
    <row r="495" spans="1:89" x14ac:dyDescent="0.25">
      <c r="A495" s="42"/>
      <c r="B495" s="34" t="s">
        <v>155</v>
      </c>
      <c r="C495" s="10" t="s">
        <v>39</v>
      </c>
      <c r="D495" s="10">
        <v>8</v>
      </c>
      <c r="E495" s="10" t="s">
        <v>152</v>
      </c>
      <c r="F495">
        <v>92</v>
      </c>
      <c r="G495" s="10">
        <v>3020</v>
      </c>
      <c r="H495" t="s">
        <v>181</v>
      </c>
      <c r="J495" s="42"/>
      <c r="K495" s="34" t="s">
        <v>155</v>
      </c>
      <c r="L495" s="10" t="s">
        <v>39</v>
      </c>
      <c r="M495" s="10">
        <v>8</v>
      </c>
      <c r="N495" s="10" t="s">
        <v>152</v>
      </c>
      <c r="O495">
        <v>92</v>
      </c>
      <c r="P495" s="10">
        <v>1077</v>
      </c>
      <c r="Q495" t="s">
        <v>162</v>
      </c>
      <c r="S495" s="42"/>
      <c r="T495" s="34" t="s">
        <v>155</v>
      </c>
      <c r="U495" s="10" t="s">
        <v>39</v>
      </c>
      <c r="V495" s="10">
        <v>8</v>
      </c>
      <c r="W495" s="10" t="s">
        <v>152</v>
      </c>
      <c r="X495">
        <v>92</v>
      </c>
      <c r="Y495" s="10" t="s">
        <v>80</v>
      </c>
      <c r="Z495" t="s">
        <v>180</v>
      </c>
      <c r="AB495" s="42"/>
      <c r="AC495" s="34" t="s">
        <v>155</v>
      </c>
      <c r="AD495" s="10" t="s">
        <v>39</v>
      </c>
      <c r="AE495" s="10">
        <v>8</v>
      </c>
      <c r="AF495" s="10" t="s">
        <v>152</v>
      </c>
      <c r="AG495">
        <v>92</v>
      </c>
      <c r="AH495" s="10">
        <v>1084</v>
      </c>
      <c r="AI495" t="s">
        <v>163</v>
      </c>
      <c r="AK495" s="42"/>
      <c r="AL495" s="34" t="s">
        <v>155</v>
      </c>
      <c r="AM495" s="10" t="s">
        <v>39</v>
      </c>
      <c r="AN495" s="10">
        <v>8</v>
      </c>
      <c r="AO495" s="10" t="s">
        <v>152</v>
      </c>
      <c r="AP495">
        <v>92</v>
      </c>
      <c r="AQ495" s="10">
        <v>1087</v>
      </c>
      <c r="AR495" t="s">
        <v>186</v>
      </c>
      <c r="AT495" s="42"/>
      <c r="AU495" s="34" t="s">
        <v>155</v>
      </c>
      <c r="AV495" s="10" t="s">
        <v>39</v>
      </c>
      <c r="AW495" s="10">
        <v>8</v>
      </c>
      <c r="AX495" s="10" t="s">
        <v>152</v>
      </c>
      <c r="AY495">
        <v>92</v>
      </c>
      <c r="AZ495" s="10" t="s">
        <v>83</v>
      </c>
      <c r="BA495" s="43" t="s">
        <v>176</v>
      </c>
      <c r="BC495" s="42"/>
      <c r="BD495" s="34" t="s">
        <v>155</v>
      </c>
      <c r="BE495" s="10" t="s">
        <v>39</v>
      </c>
      <c r="BF495" s="10">
        <v>8</v>
      </c>
      <c r="BG495" s="10" t="s">
        <v>152</v>
      </c>
      <c r="BH495">
        <v>92</v>
      </c>
      <c r="BI495" s="10">
        <v>3013</v>
      </c>
      <c r="BJ495" s="43" t="s">
        <v>176</v>
      </c>
      <c r="BL495" s="42"/>
      <c r="BM495" s="34" t="s">
        <v>155</v>
      </c>
      <c r="BN495" s="10" t="s">
        <v>39</v>
      </c>
      <c r="BO495" s="10">
        <v>8</v>
      </c>
      <c r="BP495" s="10" t="s">
        <v>152</v>
      </c>
      <c r="BQ495">
        <v>92</v>
      </c>
      <c r="BR495" s="10" t="s">
        <v>93</v>
      </c>
      <c r="BS495" t="s">
        <v>183</v>
      </c>
      <c r="BU495" s="42"/>
      <c r="BV495" s="34" t="s">
        <v>155</v>
      </c>
      <c r="BW495" s="10" t="s">
        <v>39</v>
      </c>
      <c r="BX495" s="10">
        <v>8</v>
      </c>
      <c r="BY495" s="10" t="s">
        <v>152</v>
      </c>
      <c r="BZ495">
        <v>92</v>
      </c>
      <c r="CA495" s="10" t="s">
        <v>89</v>
      </c>
      <c r="CB495" s="51" t="s">
        <v>168</v>
      </c>
      <c r="CD495" s="42"/>
      <c r="CE495" s="34" t="s">
        <v>155</v>
      </c>
      <c r="CF495" s="10" t="s">
        <v>39</v>
      </c>
      <c r="CG495" s="10">
        <v>8</v>
      </c>
      <c r="CH495" s="10" t="s">
        <v>152</v>
      </c>
      <c r="CI495">
        <v>92</v>
      </c>
      <c r="CJ495" s="10">
        <v>3030</v>
      </c>
      <c r="CK495" t="s">
        <v>171</v>
      </c>
    </row>
    <row r="496" spans="1:89" x14ac:dyDescent="0.25">
      <c r="A496" s="42"/>
      <c r="B496" s="34" t="s">
        <v>155</v>
      </c>
      <c r="C496" s="10" t="s">
        <v>39</v>
      </c>
      <c r="D496" s="10">
        <v>9</v>
      </c>
      <c r="E496" s="10" t="s">
        <v>152</v>
      </c>
      <c r="F496">
        <v>93</v>
      </c>
      <c r="G496" s="10">
        <v>3020</v>
      </c>
      <c r="H496" t="s">
        <v>183</v>
      </c>
      <c r="J496" s="42"/>
      <c r="K496" s="34" t="s">
        <v>155</v>
      </c>
      <c r="L496" s="10" t="s">
        <v>39</v>
      </c>
      <c r="M496" s="10">
        <v>9</v>
      </c>
      <c r="N496" s="10" t="s">
        <v>152</v>
      </c>
      <c r="O496">
        <v>93</v>
      </c>
      <c r="P496" s="10">
        <v>1077</v>
      </c>
      <c r="Q496" t="s">
        <v>170</v>
      </c>
      <c r="S496" s="42"/>
      <c r="T496" s="34" t="s">
        <v>155</v>
      </c>
      <c r="U496" s="10" t="s">
        <v>39</v>
      </c>
      <c r="V496" s="10">
        <v>9</v>
      </c>
      <c r="W496" s="10" t="s">
        <v>152</v>
      </c>
      <c r="X496">
        <v>93</v>
      </c>
      <c r="Y496" s="10" t="s">
        <v>80</v>
      </c>
      <c r="Z496" t="s">
        <v>181</v>
      </c>
      <c r="AB496" s="42"/>
      <c r="AC496" s="34" t="s">
        <v>155</v>
      </c>
      <c r="AD496" s="10" t="s">
        <v>39</v>
      </c>
      <c r="AE496" s="10">
        <v>9</v>
      </c>
      <c r="AF496" s="10" t="s">
        <v>152</v>
      </c>
      <c r="AG496">
        <v>93</v>
      </c>
      <c r="AH496" s="10">
        <v>1084</v>
      </c>
      <c r="AI496" t="s">
        <v>171</v>
      </c>
      <c r="AK496" s="42"/>
      <c r="AL496" s="34" t="s">
        <v>155</v>
      </c>
      <c r="AM496" s="10" t="s">
        <v>39</v>
      </c>
      <c r="AN496" s="10">
        <v>9</v>
      </c>
      <c r="AO496" s="10" t="s">
        <v>152</v>
      </c>
      <c r="AP496">
        <v>93</v>
      </c>
      <c r="AQ496" s="10">
        <v>1087</v>
      </c>
      <c r="AR496" s="43" t="s">
        <v>188</v>
      </c>
      <c r="AT496" s="42"/>
      <c r="AU496" s="34" t="s">
        <v>155</v>
      </c>
      <c r="AV496" s="10" t="s">
        <v>39</v>
      </c>
      <c r="AW496" s="10">
        <v>9</v>
      </c>
      <c r="AX496" s="10" t="s">
        <v>152</v>
      </c>
      <c r="AY496">
        <v>93</v>
      </c>
      <c r="AZ496" s="10" t="s">
        <v>83</v>
      </c>
      <c r="BA496" s="43" t="s">
        <v>164</v>
      </c>
      <c r="BC496" s="42"/>
      <c r="BD496" s="34" t="s">
        <v>155</v>
      </c>
      <c r="BE496" s="10" t="s">
        <v>39</v>
      </c>
      <c r="BF496" s="10">
        <v>9</v>
      </c>
      <c r="BG496" s="10" t="s">
        <v>152</v>
      </c>
      <c r="BH496">
        <v>93</v>
      </c>
      <c r="BI496" s="10">
        <v>3013</v>
      </c>
      <c r="BJ496" s="43" t="s">
        <v>164</v>
      </c>
      <c r="BL496" s="42"/>
      <c r="BM496" s="34" t="s">
        <v>155</v>
      </c>
      <c r="BN496" s="10" t="s">
        <v>39</v>
      </c>
      <c r="BO496" s="10">
        <v>9</v>
      </c>
      <c r="BP496" s="10" t="s">
        <v>152</v>
      </c>
      <c r="BQ496">
        <v>93</v>
      </c>
      <c r="BR496" s="10" t="s">
        <v>93</v>
      </c>
      <c r="BS496" t="s">
        <v>186</v>
      </c>
      <c r="BU496" s="42"/>
      <c r="BV496" s="34" t="s">
        <v>155</v>
      </c>
      <c r="BW496" s="10" t="s">
        <v>39</v>
      </c>
      <c r="BX496" s="10">
        <v>9</v>
      </c>
      <c r="BY496" s="10" t="s">
        <v>152</v>
      </c>
      <c r="BZ496">
        <v>93</v>
      </c>
      <c r="CA496" s="10" t="s">
        <v>89</v>
      </c>
      <c r="CB496" s="43" t="s">
        <v>176</v>
      </c>
      <c r="CD496" s="42"/>
      <c r="CE496" s="34" t="s">
        <v>155</v>
      </c>
      <c r="CF496" s="10" t="s">
        <v>39</v>
      </c>
      <c r="CG496" s="10">
        <v>9</v>
      </c>
      <c r="CH496" s="10" t="s">
        <v>152</v>
      </c>
      <c r="CI496">
        <v>93</v>
      </c>
      <c r="CJ496" s="10">
        <v>3030</v>
      </c>
      <c r="CK496" t="s">
        <v>161</v>
      </c>
    </row>
    <row r="497" spans="1:89" x14ac:dyDescent="0.25">
      <c r="A497" s="42"/>
      <c r="B497" s="34" t="s">
        <v>155</v>
      </c>
      <c r="C497" s="10" t="s">
        <v>39</v>
      </c>
      <c r="D497" s="10">
        <v>10</v>
      </c>
      <c r="E497" s="10" t="s">
        <v>152</v>
      </c>
      <c r="F497">
        <v>94</v>
      </c>
      <c r="G497" s="10">
        <v>3020</v>
      </c>
      <c r="H497" t="s">
        <v>186</v>
      </c>
      <c r="J497" s="42"/>
      <c r="K497" s="34" t="s">
        <v>155</v>
      </c>
      <c r="L497" s="10" t="s">
        <v>39</v>
      </c>
      <c r="M497" s="10">
        <v>10</v>
      </c>
      <c r="N497" s="10" t="s">
        <v>152</v>
      </c>
      <c r="O497">
        <v>94</v>
      </c>
      <c r="P497" s="10">
        <v>1077</v>
      </c>
      <c r="Q497" t="s">
        <v>178</v>
      </c>
      <c r="S497" s="42"/>
      <c r="T497" s="34" t="s">
        <v>155</v>
      </c>
      <c r="U497" s="10" t="s">
        <v>39</v>
      </c>
      <c r="V497" s="10">
        <v>10</v>
      </c>
      <c r="W497" s="10" t="s">
        <v>152</v>
      </c>
      <c r="X497">
        <v>94</v>
      </c>
      <c r="Y497" s="10" t="s">
        <v>80</v>
      </c>
      <c r="Z497" t="s">
        <v>183</v>
      </c>
      <c r="AB497" s="42"/>
      <c r="AC497" s="34" t="s">
        <v>155</v>
      </c>
      <c r="AD497" s="10" t="s">
        <v>39</v>
      </c>
      <c r="AE497" s="10">
        <v>10</v>
      </c>
      <c r="AF497" s="10" t="s">
        <v>152</v>
      </c>
      <c r="AG497">
        <v>94</v>
      </c>
      <c r="AH497" s="10">
        <v>1084</v>
      </c>
      <c r="AI497" t="s">
        <v>161</v>
      </c>
      <c r="AK497" s="42"/>
      <c r="AL497" s="34" t="s">
        <v>155</v>
      </c>
      <c r="AM497" s="10" t="s">
        <v>39</v>
      </c>
      <c r="AN497" s="10">
        <v>10</v>
      </c>
      <c r="AO497" s="10" t="s">
        <v>152</v>
      </c>
      <c r="AP497">
        <v>94</v>
      </c>
      <c r="AQ497" s="10">
        <v>1087</v>
      </c>
      <c r="AR497" s="43" t="s">
        <v>182</v>
      </c>
      <c r="AT497" s="42"/>
      <c r="AU497" s="34" t="s">
        <v>155</v>
      </c>
      <c r="AV497" s="10" t="s">
        <v>39</v>
      </c>
      <c r="AW497" s="10">
        <v>10</v>
      </c>
      <c r="AX497" s="10" t="s">
        <v>152</v>
      </c>
      <c r="AY497">
        <v>94</v>
      </c>
      <c r="AZ497" s="10" t="s">
        <v>83</v>
      </c>
      <c r="BA497" t="s">
        <v>172</v>
      </c>
      <c r="BC497" s="42"/>
      <c r="BD497" s="34" t="s">
        <v>155</v>
      </c>
      <c r="BE497" s="10" t="s">
        <v>39</v>
      </c>
      <c r="BF497" s="10">
        <v>10</v>
      </c>
      <c r="BG497" s="10" t="s">
        <v>152</v>
      </c>
      <c r="BH497">
        <v>94</v>
      </c>
      <c r="BI497" s="10">
        <v>3013</v>
      </c>
      <c r="BJ497" t="s">
        <v>172</v>
      </c>
      <c r="BL497" s="42"/>
      <c r="BM497" s="34" t="s">
        <v>155</v>
      </c>
      <c r="BN497" s="10" t="s">
        <v>39</v>
      </c>
      <c r="BO497" s="10">
        <v>10</v>
      </c>
      <c r="BP497" s="10" t="s">
        <v>152</v>
      </c>
      <c r="BQ497">
        <v>94</v>
      </c>
      <c r="BR497" s="10" t="s">
        <v>93</v>
      </c>
      <c r="BS497" s="43" t="s">
        <v>188</v>
      </c>
      <c r="BU497" s="42"/>
      <c r="BV497" s="34" t="s">
        <v>155</v>
      </c>
      <c r="BW497" s="10" t="s">
        <v>39</v>
      </c>
      <c r="BX497" s="10">
        <v>10</v>
      </c>
      <c r="BY497" s="10" t="s">
        <v>152</v>
      </c>
      <c r="BZ497">
        <v>94</v>
      </c>
      <c r="CA497" s="10" t="s">
        <v>89</v>
      </c>
      <c r="CB497" s="43" t="s">
        <v>164</v>
      </c>
      <c r="CD497" s="42"/>
      <c r="CE497" s="34" t="s">
        <v>155</v>
      </c>
      <c r="CF497" s="10" t="s">
        <v>39</v>
      </c>
      <c r="CG497" s="10">
        <v>10</v>
      </c>
      <c r="CH497" s="10" t="s">
        <v>152</v>
      </c>
      <c r="CI497">
        <v>94</v>
      </c>
      <c r="CJ497" s="10">
        <v>3030</v>
      </c>
      <c r="CK497" t="s">
        <v>169</v>
      </c>
    </row>
    <row r="498" spans="1:89" x14ac:dyDescent="0.25">
      <c r="A498" s="42"/>
      <c r="B498" s="34" t="s">
        <v>155</v>
      </c>
      <c r="C498" s="10" t="s">
        <v>39</v>
      </c>
      <c r="D498" s="10">
        <v>11</v>
      </c>
      <c r="E498" s="10" t="s">
        <v>152</v>
      </c>
      <c r="F498">
        <v>95</v>
      </c>
      <c r="G498" s="10">
        <v>3020</v>
      </c>
      <c r="H498" s="43" t="s">
        <v>188</v>
      </c>
      <c r="J498" s="42"/>
      <c r="K498" s="34" t="s">
        <v>155</v>
      </c>
      <c r="L498" s="10" t="s">
        <v>39</v>
      </c>
      <c r="M498" s="10">
        <v>11</v>
      </c>
      <c r="N498" s="10" t="s">
        <v>152</v>
      </c>
      <c r="O498">
        <v>95</v>
      </c>
      <c r="P498" s="10">
        <v>1077</v>
      </c>
      <c r="Q498" t="s">
        <v>163</v>
      </c>
      <c r="S498" s="42"/>
      <c r="T498" s="34" t="s">
        <v>155</v>
      </c>
      <c r="U498" s="10" t="s">
        <v>39</v>
      </c>
      <c r="V498" s="10">
        <v>11</v>
      </c>
      <c r="W498" s="10" t="s">
        <v>152</v>
      </c>
      <c r="X498">
        <v>95</v>
      </c>
      <c r="Y498" s="10" t="s">
        <v>80</v>
      </c>
      <c r="Z498" t="s">
        <v>186</v>
      </c>
      <c r="AB498" s="42"/>
      <c r="AC498" s="34" t="s">
        <v>155</v>
      </c>
      <c r="AD498" s="10" t="s">
        <v>39</v>
      </c>
      <c r="AE498" s="10">
        <v>11</v>
      </c>
      <c r="AF498" s="10" t="s">
        <v>152</v>
      </c>
      <c r="AG498">
        <v>95</v>
      </c>
      <c r="AH498" s="10">
        <v>1084</v>
      </c>
      <c r="AI498" t="s">
        <v>169</v>
      </c>
      <c r="AK498" s="42"/>
      <c r="AL498" s="34" t="s">
        <v>155</v>
      </c>
      <c r="AM498" s="10" t="s">
        <v>39</v>
      </c>
      <c r="AN498" s="10">
        <v>11</v>
      </c>
      <c r="AO498" s="10" t="s">
        <v>152</v>
      </c>
      <c r="AP498">
        <v>95</v>
      </c>
      <c r="AQ498" s="10">
        <v>1087</v>
      </c>
      <c r="AR498" s="43" t="s">
        <v>184</v>
      </c>
      <c r="AT498" s="42"/>
      <c r="AU498" s="34" t="s">
        <v>155</v>
      </c>
      <c r="AV498" s="10" t="s">
        <v>39</v>
      </c>
      <c r="AW498" s="10">
        <v>11</v>
      </c>
      <c r="AX498" s="10" t="s">
        <v>152</v>
      </c>
      <c r="AY498">
        <v>95</v>
      </c>
      <c r="AZ498" s="10" t="s">
        <v>83</v>
      </c>
      <c r="BA498" t="s">
        <v>162</v>
      </c>
      <c r="BC498" s="42"/>
      <c r="BD498" s="34" t="s">
        <v>155</v>
      </c>
      <c r="BE498" s="10" t="s">
        <v>39</v>
      </c>
      <c r="BF498" s="10">
        <v>11</v>
      </c>
      <c r="BG498" s="10" t="s">
        <v>152</v>
      </c>
      <c r="BH498">
        <v>95</v>
      </c>
      <c r="BI498" s="10">
        <v>3013</v>
      </c>
      <c r="BJ498" t="s">
        <v>162</v>
      </c>
      <c r="BL498" s="42"/>
      <c r="BM498" s="34" t="s">
        <v>155</v>
      </c>
      <c r="BN498" s="10" t="s">
        <v>39</v>
      </c>
      <c r="BO498" s="10">
        <v>11</v>
      </c>
      <c r="BP498" s="10" t="s">
        <v>152</v>
      </c>
      <c r="BQ498">
        <v>95</v>
      </c>
      <c r="BR498" s="10" t="s">
        <v>93</v>
      </c>
      <c r="BS498" s="43" t="s">
        <v>182</v>
      </c>
      <c r="BU498" s="42"/>
      <c r="BV498" s="34" t="s">
        <v>155</v>
      </c>
      <c r="BW498" s="10" t="s">
        <v>39</v>
      </c>
      <c r="BX498" s="10">
        <v>11</v>
      </c>
      <c r="BY498" s="10" t="s">
        <v>152</v>
      </c>
      <c r="BZ498">
        <v>95</v>
      </c>
      <c r="CA498" s="10" t="s">
        <v>89</v>
      </c>
      <c r="CB498" t="s">
        <v>172</v>
      </c>
      <c r="CD498" s="42"/>
      <c r="CE498" s="34" t="s">
        <v>155</v>
      </c>
      <c r="CF498" s="10" t="s">
        <v>39</v>
      </c>
      <c r="CG498" s="10">
        <v>11</v>
      </c>
      <c r="CH498" s="10" t="s">
        <v>152</v>
      </c>
      <c r="CI498">
        <v>95</v>
      </c>
      <c r="CJ498" s="10">
        <v>3030</v>
      </c>
      <c r="CK498" t="s">
        <v>177</v>
      </c>
    </row>
    <row r="499" spans="1:89" ht="15.75" thickBot="1" x14ac:dyDescent="0.3">
      <c r="A499" s="65"/>
      <c r="B499" s="66" t="s">
        <v>155</v>
      </c>
      <c r="C499" s="17" t="s">
        <v>39</v>
      </c>
      <c r="D499" s="17">
        <v>12</v>
      </c>
      <c r="E499" s="17" t="s">
        <v>152</v>
      </c>
      <c r="F499" s="67">
        <v>96</v>
      </c>
      <c r="G499" s="10">
        <v>3020</v>
      </c>
      <c r="H499" s="43" t="s">
        <v>182</v>
      </c>
      <c r="J499" s="65"/>
      <c r="K499" s="66" t="s">
        <v>155</v>
      </c>
      <c r="L499" s="17" t="s">
        <v>39</v>
      </c>
      <c r="M499" s="17">
        <v>12</v>
      </c>
      <c r="N499" s="17" t="s">
        <v>152</v>
      </c>
      <c r="O499" s="67">
        <v>96</v>
      </c>
      <c r="P499" s="10">
        <v>1077</v>
      </c>
      <c r="Q499" t="s">
        <v>171</v>
      </c>
      <c r="S499" s="65"/>
      <c r="T499" s="66" t="s">
        <v>155</v>
      </c>
      <c r="U499" s="17" t="s">
        <v>39</v>
      </c>
      <c r="V499" s="17">
        <v>12</v>
      </c>
      <c r="W499" s="17" t="s">
        <v>152</v>
      </c>
      <c r="X499" s="67">
        <v>96</v>
      </c>
      <c r="Y499" s="10" t="s">
        <v>80</v>
      </c>
      <c r="Z499" s="43" t="s">
        <v>188</v>
      </c>
      <c r="AB499" s="65"/>
      <c r="AC499" s="66" t="s">
        <v>155</v>
      </c>
      <c r="AD499" s="17" t="s">
        <v>39</v>
      </c>
      <c r="AE499" s="17">
        <v>12</v>
      </c>
      <c r="AF499" s="17" t="s">
        <v>152</v>
      </c>
      <c r="AG499" s="67">
        <v>96</v>
      </c>
      <c r="AH499" s="10">
        <v>1084</v>
      </c>
      <c r="AI499" t="s">
        <v>177</v>
      </c>
      <c r="AK499" s="65"/>
      <c r="AL499" s="66" t="s">
        <v>155</v>
      </c>
      <c r="AM499" s="17" t="s">
        <v>39</v>
      </c>
      <c r="AN499" s="17">
        <v>12</v>
      </c>
      <c r="AO499" s="17" t="s">
        <v>152</v>
      </c>
      <c r="AP499" s="67">
        <v>96</v>
      </c>
      <c r="AQ499" s="10">
        <v>1087</v>
      </c>
      <c r="AR499" s="43" t="s">
        <v>187</v>
      </c>
      <c r="AT499" s="65"/>
      <c r="AU499" s="66" t="s">
        <v>155</v>
      </c>
      <c r="AV499" s="17" t="s">
        <v>39</v>
      </c>
      <c r="AW499" s="17">
        <v>12</v>
      </c>
      <c r="AX499" s="17" t="s">
        <v>152</v>
      </c>
      <c r="AY499" s="67">
        <v>96</v>
      </c>
      <c r="AZ499" s="10" t="s">
        <v>83</v>
      </c>
      <c r="BA499" t="s">
        <v>170</v>
      </c>
      <c r="BC499" s="65"/>
      <c r="BD499" s="66" t="s">
        <v>155</v>
      </c>
      <c r="BE499" s="17" t="s">
        <v>39</v>
      </c>
      <c r="BF499" s="17">
        <v>12</v>
      </c>
      <c r="BG499" s="17" t="s">
        <v>152</v>
      </c>
      <c r="BH499" s="67">
        <v>96</v>
      </c>
      <c r="BI499" s="10">
        <v>3013</v>
      </c>
      <c r="BJ499" t="s">
        <v>170</v>
      </c>
      <c r="BL499" s="65"/>
      <c r="BM499" s="66" t="s">
        <v>155</v>
      </c>
      <c r="BN499" s="17" t="s">
        <v>39</v>
      </c>
      <c r="BO499" s="17">
        <v>12</v>
      </c>
      <c r="BP499" s="17" t="s">
        <v>152</v>
      </c>
      <c r="BQ499" s="67">
        <v>96</v>
      </c>
      <c r="BR499" s="10" t="s">
        <v>93</v>
      </c>
      <c r="BS499" s="43" t="s">
        <v>184</v>
      </c>
      <c r="BU499" s="65"/>
      <c r="BV499" s="66" t="s">
        <v>155</v>
      </c>
      <c r="BW499" s="17" t="s">
        <v>39</v>
      </c>
      <c r="BX499" s="17">
        <v>12</v>
      </c>
      <c r="BY499" s="17" t="s">
        <v>152</v>
      </c>
      <c r="BZ499" s="67">
        <v>96</v>
      </c>
      <c r="CA499" s="10" t="s">
        <v>89</v>
      </c>
      <c r="CB499" t="s">
        <v>162</v>
      </c>
      <c r="CD499" s="65"/>
      <c r="CE499" s="66" t="s">
        <v>155</v>
      </c>
      <c r="CF499" s="17" t="s">
        <v>39</v>
      </c>
      <c r="CG499" s="17">
        <v>12</v>
      </c>
      <c r="CH499" s="17" t="s">
        <v>152</v>
      </c>
      <c r="CI499" s="67">
        <v>96</v>
      </c>
      <c r="CJ499" s="10">
        <v>3030</v>
      </c>
      <c r="CK499" t="s">
        <v>180</v>
      </c>
    </row>
    <row r="502" spans="1:89" x14ac:dyDescent="0.25">
      <c r="A502" t="s">
        <v>567</v>
      </c>
      <c r="B502">
        <v>1017416</v>
      </c>
      <c r="D502" t="s">
        <v>568</v>
      </c>
      <c r="J502" t="s">
        <v>569</v>
      </c>
      <c r="K502">
        <v>1016746</v>
      </c>
      <c r="M502" t="s">
        <v>570</v>
      </c>
      <c r="S502" t="s">
        <v>571</v>
      </c>
      <c r="T502">
        <v>1017403</v>
      </c>
      <c r="V502" t="s">
        <v>572</v>
      </c>
      <c r="AB502" t="s">
        <v>573</v>
      </c>
      <c r="AC502">
        <v>1017405</v>
      </c>
      <c r="AE502" t="s">
        <v>574</v>
      </c>
      <c r="AK502" t="s">
        <v>575</v>
      </c>
      <c r="AL502">
        <v>1017406</v>
      </c>
      <c r="AN502" t="s">
        <v>576</v>
      </c>
      <c r="AT502" t="s">
        <v>349</v>
      </c>
      <c r="BC502" t="s">
        <v>349</v>
      </c>
      <c r="BL502" t="s">
        <v>349</v>
      </c>
      <c r="BU502" t="s">
        <v>349</v>
      </c>
      <c r="CD502" t="s">
        <v>349</v>
      </c>
    </row>
    <row r="503" spans="1:89" ht="15.75" thickBot="1" x14ac:dyDescent="0.3">
      <c r="A503" s="28" t="s">
        <v>143</v>
      </c>
      <c r="B503" s="28" t="s">
        <v>144</v>
      </c>
      <c r="C503" s="28" t="s">
        <v>145</v>
      </c>
      <c r="D503" s="28" t="s">
        <v>146</v>
      </c>
      <c r="E503" s="28" t="s">
        <v>147</v>
      </c>
      <c r="F503" s="28" t="s">
        <v>148</v>
      </c>
      <c r="G503" s="28" t="s">
        <v>149</v>
      </c>
      <c r="H503" s="28" t="s">
        <v>150</v>
      </c>
      <c r="J503" s="28" t="s">
        <v>143</v>
      </c>
      <c r="K503" s="28" t="s">
        <v>144</v>
      </c>
      <c r="L503" s="28" t="s">
        <v>145</v>
      </c>
      <c r="M503" s="28" t="s">
        <v>146</v>
      </c>
      <c r="N503" s="28" t="s">
        <v>147</v>
      </c>
      <c r="O503" s="28" t="s">
        <v>148</v>
      </c>
      <c r="P503" s="28" t="s">
        <v>149</v>
      </c>
      <c r="Q503" s="28" t="s">
        <v>150</v>
      </c>
      <c r="S503" s="28" t="s">
        <v>143</v>
      </c>
      <c r="T503" s="28" t="s">
        <v>144</v>
      </c>
      <c r="U503" s="28" t="s">
        <v>145</v>
      </c>
      <c r="V503" s="28" t="s">
        <v>146</v>
      </c>
      <c r="W503" s="28" t="s">
        <v>147</v>
      </c>
      <c r="X503" s="28" t="s">
        <v>148</v>
      </c>
      <c r="Y503" s="28" t="s">
        <v>149</v>
      </c>
      <c r="AB503" s="28" t="s">
        <v>143</v>
      </c>
      <c r="AC503" s="28" t="s">
        <v>144</v>
      </c>
      <c r="AD503" s="28" t="s">
        <v>145</v>
      </c>
      <c r="AE503" s="28" t="s">
        <v>146</v>
      </c>
      <c r="AF503" s="28" t="s">
        <v>147</v>
      </c>
      <c r="AG503" s="28" t="s">
        <v>148</v>
      </c>
      <c r="AH503" s="28" t="s">
        <v>149</v>
      </c>
      <c r="AI503" s="28" t="s">
        <v>150</v>
      </c>
      <c r="AK503" s="28" t="s">
        <v>143</v>
      </c>
      <c r="AL503" s="28" t="s">
        <v>144</v>
      </c>
      <c r="AM503" s="28" t="s">
        <v>145</v>
      </c>
      <c r="AN503" s="28" t="s">
        <v>146</v>
      </c>
      <c r="AO503" s="28" t="s">
        <v>147</v>
      </c>
      <c r="AP503" s="28" t="s">
        <v>148</v>
      </c>
      <c r="AQ503" s="28" t="s">
        <v>149</v>
      </c>
      <c r="AR503" s="28" t="s">
        <v>150</v>
      </c>
      <c r="AT503" s="28" t="s">
        <v>143</v>
      </c>
      <c r="AU503" s="28" t="s">
        <v>144</v>
      </c>
      <c r="AV503" s="28" t="s">
        <v>145</v>
      </c>
      <c r="AW503" s="28" t="s">
        <v>146</v>
      </c>
      <c r="AX503" s="28" t="s">
        <v>147</v>
      </c>
      <c r="AY503" s="28" t="s">
        <v>148</v>
      </c>
      <c r="AZ503" s="28" t="s">
        <v>149</v>
      </c>
      <c r="BA503" s="28" t="s">
        <v>150</v>
      </c>
      <c r="BC503" s="28" t="s">
        <v>143</v>
      </c>
      <c r="BD503" s="28" t="s">
        <v>144</v>
      </c>
      <c r="BE503" s="28" t="s">
        <v>145</v>
      </c>
      <c r="BF503" s="28" t="s">
        <v>146</v>
      </c>
      <c r="BG503" s="28" t="s">
        <v>147</v>
      </c>
      <c r="BH503" s="28" t="s">
        <v>148</v>
      </c>
      <c r="BI503" s="28" t="s">
        <v>149</v>
      </c>
      <c r="BJ503" s="28" t="s">
        <v>150</v>
      </c>
      <c r="BL503" s="28" t="s">
        <v>143</v>
      </c>
      <c r="BM503" s="28" t="s">
        <v>144</v>
      </c>
      <c r="BN503" s="28" t="s">
        <v>145</v>
      </c>
      <c r="BO503" s="28" t="s">
        <v>146</v>
      </c>
      <c r="BP503" s="28" t="s">
        <v>147</v>
      </c>
      <c r="BQ503" s="28" t="s">
        <v>148</v>
      </c>
      <c r="BR503" s="28" t="s">
        <v>149</v>
      </c>
      <c r="BS503" s="28" t="s">
        <v>150</v>
      </c>
      <c r="BU503" s="28" t="s">
        <v>143</v>
      </c>
      <c r="BV503" s="28" t="s">
        <v>144</v>
      </c>
      <c r="BW503" s="28" t="s">
        <v>145</v>
      </c>
      <c r="BX503" s="28" t="s">
        <v>146</v>
      </c>
      <c r="BY503" s="28" t="s">
        <v>147</v>
      </c>
      <c r="BZ503" s="28" t="s">
        <v>148</v>
      </c>
      <c r="CD503" s="28" t="s">
        <v>143</v>
      </c>
      <c r="CE503" s="28" t="s">
        <v>144</v>
      </c>
      <c r="CF503" s="28" t="s">
        <v>145</v>
      </c>
      <c r="CG503" s="28" t="s">
        <v>146</v>
      </c>
      <c r="CH503" s="28" t="s">
        <v>147</v>
      </c>
      <c r="CI503" s="28" t="s">
        <v>148</v>
      </c>
    </row>
    <row r="504" spans="1:89" x14ac:dyDescent="0.25">
      <c r="A504" s="30"/>
      <c r="B504" s="31" t="s">
        <v>155</v>
      </c>
      <c r="C504" s="6" t="s">
        <v>0</v>
      </c>
      <c r="D504" s="6">
        <v>1</v>
      </c>
      <c r="E504" s="6" t="s">
        <v>152</v>
      </c>
      <c r="F504" s="32">
        <v>1</v>
      </c>
      <c r="G504" s="10">
        <v>3030</v>
      </c>
      <c r="H504" t="s">
        <v>181</v>
      </c>
      <c r="J504" s="30"/>
      <c r="K504" s="31" t="s">
        <v>155</v>
      </c>
      <c r="L504" s="6" t="s">
        <v>0</v>
      </c>
      <c r="M504" s="6">
        <v>1</v>
      </c>
      <c r="N504" s="6" t="s">
        <v>152</v>
      </c>
      <c r="O504" s="32">
        <v>1</v>
      </c>
      <c r="P504" s="10" t="s">
        <v>97</v>
      </c>
      <c r="Q504" s="43" t="s">
        <v>160</v>
      </c>
      <c r="S504" s="30"/>
      <c r="T504" s="31" t="s">
        <v>155</v>
      </c>
      <c r="U504" s="6" t="s">
        <v>0</v>
      </c>
      <c r="V504" s="6">
        <v>1</v>
      </c>
      <c r="W504" s="6" t="s">
        <v>152</v>
      </c>
      <c r="X504" s="32">
        <v>1</v>
      </c>
      <c r="Y504" s="10">
        <v>3032</v>
      </c>
      <c r="Z504" t="s">
        <v>163</v>
      </c>
      <c r="AB504" s="30"/>
      <c r="AC504" s="31" t="s">
        <v>155</v>
      </c>
      <c r="AD504" s="6" t="s">
        <v>0</v>
      </c>
      <c r="AE504" s="6">
        <v>1</v>
      </c>
      <c r="AF504" s="6" t="s">
        <v>152</v>
      </c>
      <c r="AG504" s="32">
        <v>1</v>
      </c>
      <c r="AH504" s="10" t="s">
        <v>101</v>
      </c>
      <c r="AI504" t="s">
        <v>186</v>
      </c>
      <c r="AK504" s="30"/>
      <c r="AL504" s="31" t="s">
        <v>155</v>
      </c>
      <c r="AM504" s="6" t="s">
        <v>0</v>
      </c>
      <c r="AN504" s="6">
        <v>1</v>
      </c>
      <c r="AO504" s="6" t="s">
        <v>152</v>
      </c>
      <c r="AP504" s="32">
        <v>1</v>
      </c>
      <c r="AQ504" s="10" t="s">
        <v>107</v>
      </c>
      <c r="AR504" t="s">
        <v>163</v>
      </c>
      <c r="AT504" s="30"/>
      <c r="AU504" s="31" t="s">
        <v>155</v>
      </c>
      <c r="AV504" s="6" t="s">
        <v>0</v>
      </c>
      <c r="AW504" s="6">
        <v>1</v>
      </c>
      <c r="AX504" s="6" t="s">
        <v>152</v>
      </c>
      <c r="AY504" s="32">
        <v>1</v>
      </c>
      <c r="AZ504" s="10"/>
      <c r="BA504" s="43"/>
      <c r="BC504" s="30"/>
      <c r="BD504" s="31" t="s">
        <v>155</v>
      </c>
      <c r="BE504" s="6" t="s">
        <v>0</v>
      </c>
      <c r="BF504" s="6">
        <v>1</v>
      </c>
      <c r="BG504" s="6" t="s">
        <v>152</v>
      </c>
      <c r="BH504" s="32">
        <v>1</v>
      </c>
      <c r="BI504" s="10"/>
      <c r="BJ504" s="43"/>
      <c r="BL504" s="30"/>
      <c r="BM504" s="31" t="s">
        <v>155</v>
      </c>
      <c r="BN504" s="6" t="s">
        <v>0</v>
      </c>
      <c r="BO504" s="6">
        <v>1</v>
      </c>
      <c r="BP504" s="6" t="s">
        <v>152</v>
      </c>
      <c r="BQ504" s="32">
        <v>1</v>
      </c>
      <c r="BR504" s="10"/>
      <c r="BS504" s="43"/>
      <c r="BU504" s="30"/>
      <c r="BV504" s="31" t="s">
        <v>155</v>
      </c>
      <c r="BW504" s="6" t="s">
        <v>0</v>
      </c>
      <c r="BX504" s="6">
        <v>1</v>
      </c>
      <c r="BY504" s="6" t="s">
        <v>152</v>
      </c>
      <c r="BZ504" s="32">
        <v>1</v>
      </c>
      <c r="CD504" s="30"/>
      <c r="CE504" s="31" t="s">
        <v>155</v>
      </c>
      <c r="CF504" s="6" t="s">
        <v>0</v>
      </c>
      <c r="CG504" s="6">
        <v>1</v>
      </c>
      <c r="CH504" s="6" t="s">
        <v>152</v>
      </c>
      <c r="CI504" s="32">
        <v>1</v>
      </c>
    </row>
    <row r="505" spans="1:89" ht="15.75" thickBot="1" x14ac:dyDescent="0.3">
      <c r="A505" s="42"/>
      <c r="B505" s="34" t="s">
        <v>155</v>
      </c>
      <c r="C505" s="10" t="s">
        <v>0</v>
      </c>
      <c r="D505" s="10">
        <v>2</v>
      </c>
      <c r="E505" s="10" t="s">
        <v>152</v>
      </c>
      <c r="F505">
        <v>2</v>
      </c>
      <c r="G505" s="10">
        <v>3030</v>
      </c>
      <c r="H505" t="s">
        <v>183</v>
      </c>
      <c r="J505" s="42"/>
      <c r="K505" s="34" t="s">
        <v>155</v>
      </c>
      <c r="L505" s="10" t="s">
        <v>0</v>
      </c>
      <c r="M505" s="10">
        <v>2</v>
      </c>
      <c r="N505" s="10" t="s">
        <v>152</v>
      </c>
      <c r="O505">
        <v>2</v>
      </c>
      <c r="P505" s="10" t="s">
        <v>97</v>
      </c>
      <c r="Q505" s="51" t="s">
        <v>168</v>
      </c>
      <c r="S505" s="42"/>
      <c r="T505" s="34" t="s">
        <v>155</v>
      </c>
      <c r="U505" s="10" t="s">
        <v>0</v>
      </c>
      <c r="V505" s="10">
        <v>2</v>
      </c>
      <c r="W505" s="10" t="s">
        <v>152</v>
      </c>
      <c r="X505">
        <v>2</v>
      </c>
      <c r="Y505" s="10">
        <v>3032</v>
      </c>
      <c r="Z505" t="s">
        <v>171</v>
      </c>
      <c r="AB505" s="42"/>
      <c r="AC505" s="34" t="s">
        <v>155</v>
      </c>
      <c r="AD505" s="10" t="s">
        <v>0</v>
      </c>
      <c r="AE505" s="10">
        <v>2</v>
      </c>
      <c r="AF505" s="10" t="s">
        <v>152</v>
      </c>
      <c r="AG505">
        <v>2</v>
      </c>
      <c r="AH505" s="10" t="s">
        <v>101</v>
      </c>
      <c r="AI505" s="43" t="s">
        <v>188</v>
      </c>
      <c r="AK505" s="42"/>
      <c r="AL505" s="34" t="s">
        <v>155</v>
      </c>
      <c r="AM505" s="10" t="s">
        <v>0</v>
      </c>
      <c r="AN505" s="10">
        <v>2</v>
      </c>
      <c r="AO505" s="10" t="s">
        <v>152</v>
      </c>
      <c r="AP505">
        <v>2</v>
      </c>
      <c r="AQ505" s="10" t="s">
        <v>107</v>
      </c>
      <c r="AR505" t="s">
        <v>171</v>
      </c>
      <c r="AT505" s="42"/>
      <c r="AU505" s="34" t="s">
        <v>155</v>
      </c>
      <c r="AV505" s="10" t="s">
        <v>0</v>
      </c>
      <c r="AW505" s="10">
        <v>2</v>
      </c>
      <c r="AX505" s="10" t="s">
        <v>152</v>
      </c>
      <c r="AY505">
        <v>2</v>
      </c>
      <c r="AZ505" s="10"/>
      <c r="BA505" s="43"/>
      <c r="BC505" s="42"/>
      <c r="BD505" s="34" t="s">
        <v>155</v>
      </c>
      <c r="BE505" s="10" t="s">
        <v>0</v>
      </c>
      <c r="BF505" s="10">
        <v>2</v>
      </c>
      <c r="BG505" s="10" t="s">
        <v>152</v>
      </c>
      <c r="BH505">
        <v>2</v>
      </c>
      <c r="BI505" s="10"/>
      <c r="BJ505" s="43"/>
      <c r="BL505" s="42"/>
      <c r="BM505" s="34" t="s">
        <v>155</v>
      </c>
      <c r="BN505" s="10" t="s">
        <v>0</v>
      </c>
      <c r="BO505" s="10">
        <v>2</v>
      </c>
      <c r="BP505" s="10" t="s">
        <v>152</v>
      </c>
      <c r="BQ505">
        <v>2</v>
      </c>
      <c r="BR505" s="10"/>
      <c r="BS505" s="43"/>
      <c r="BU505" s="42"/>
      <c r="BV505" s="34" t="s">
        <v>155</v>
      </c>
      <c r="BW505" s="10" t="s">
        <v>0</v>
      </c>
      <c r="BX505" s="10">
        <v>2</v>
      </c>
      <c r="BY505" s="10" t="s">
        <v>152</v>
      </c>
      <c r="BZ505">
        <v>2</v>
      </c>
      <c r="CD505" s="42"/>
      <c r="CE505" s="34" t="s">
        <v>155</v>
      </c>
      <c r="CF505" s="10" t="s">
        <v>0</v>
      </c>
      <c r="CG505" s="10">
        <v>2</v>
      </c>
      <c r="CH505" s="10" t="s">
        <v>152</v>
      </c>
      <c r="CI505">
        <v>2</v>
      </c>
    </row>
    <row r="506" spans="1:89" x14ac:dyDescent="0.25">
      <c r="A506" s="42"/>
      <c r="B506" s="34" t="s">
        <v>155</v>
      </c>
      <c r="C506" s="10" t="s">
        <v>0</v>
      </c>
      <c r="D506" s="10">
        <v>3</v>
      </c>
      <c r="E506" s="10" t="s">
        <v>152</v>
      </c>
      <c r="F506">
        <v>3</v>
      </c>
      <c r="G506" s="10">
        <v>3030</v>
      </c>
      <c r="H506" t="s">
        <v>186</v>
      </c>
      <c r="J506" s="42"/>
      <c r="K506" s="34" t="s">
        <v>155</v>
      </c>
      <c r="L506" s="10" t="s">
        <v>0</v>
      </c>
      <c r="M506" s="10">
        <v>3</v>
      </c>
      <c r="N506" s="10" t="s">
        <v>152</v>
      </c>
      <c r="O506">
        <v>3</v>
      </c>
      <c r="P506" s="10" t="s">
        <v>97</v>
      </c>
      <c r="Q506" s="43" t="s">
        <v>176</v>
      </c>
      <c r="S506" s="42"/>
      <c r="T506" s="34" t="s">
        <v>155</v>
      </c>
      <c r="U506" s="10" t="s">
        <v>0</v>
      </c>
      <c r="V506" s="10">
        <v>3</v>
      </c>
      <c r="W506" s="10" t="s">
        <v>152</v>
      </c>
      <c r="X506">
        <v>3</v>
      </c>
      <c r="Y506" s="10">
        <v>3032</v>
      </c>
      <c r="Z506" t="s">
        <v>161</v>
      </c>
      <c r="AB506" s="42"/>
      <c r="AC506" s="34" t="s">
        <v>155</v>
      </c>
      <c r="AD506" s="10" t="s">
        <v>0</v>
      </c>
      <c r="AE506" s="10">
        <v>3</v>
      </c>
      <c r="AF506" s="10" t="s">
        <v>152</v>
      </c>
      <c r="AG506">
        <v>3</v>
      </c>
      <c r="AH506" s="10" t="s">
        <v>101</v>
      </c>
      <c r="AI506" s="43" t="s">
        <v>182</v>
      </c>
      <c r="AK506" s="42"/>
      <c r="AL506" s="34" t="s">
        <v>155</v>
      </c>
      <c r="AM506" s="10" t="s">
        <v>0</v>
      </c>
      <c r="AN506" s="10">
        <v>3</v>
      </c>
      <c r="AO506" s="10" t="s">
        <v>152</v>
      </c>
      <c r="AP506">
        <v>3</v>
      </c>
      <c r="AQ506" s="10" t="s">
        <v>107</v>
      </c>
      <c r="AR506" t="s">
        <v>161</v>
      </c>
      <c r="AT506" s="42"/>
      <c r="AU506" s="34" t="s">
        <v>155</v>
      </c>
      <c r="AV506" s="10" t="s">
        <v>0</v>
      </c>
      <c r="AW506" s="10">
        <v>3</v>
      </c>
      <c r="AX506" s="10" t="s">
        <v>152</v>
      </c>
      <c r="AY506">
        <v>3</v>
      </c>
      <c r="AZ506" s="10"/>
      <c r="BA506" s="33"/>
      <c r="BC506" s="42"/>
      <c r="BD506" s="34" t="s">
        <v>155</v>
      </c>
      <c r="BE506" s="10" t="s">
        <v>0</v>
      </c>
      <c r="BF506" s="10">
        <v>3</v>
      </c>
      <c r="BG506" s="10" t="s">
        <v>152</v>
      </c>
      <c r="BH506">
        <v>3</v>
      </c>
      <c r="BI506" s="10"/>
      <c r="BJ506" s="33"/>
      <c r="BL506" s="42"/>
      <c r="BM506" s="34" t="s">
        <v>155</v>
      </c>
      <c r="BN506" s="10" t="s">
        <v>0</v>
      </c>
      <c r="BO506" s="10">
        <v>3</v>
      </c>
      <c r="BP506" s="10" t="s">
        <v>152</v>
      </c>
      <c r="BQ506">
        <v>3</v>
      </c>
      <c r="BR506" s="10"/>
      <c r="BS506" s="33"/>
      <c r="BU506" s="42"/>
      <c r="BV506" s="34" t="s">
        <v>155</v>
      </c>
      <c r="BW506" s="10" t="s">
        <v>0</v>
      </c>
      <c r="BX506" s="10">
        <v>3</v>
      </c>
      <c r="BY506" s="10" t="s">
        <v>152</v>
      </c>
      <c r="BZ506">
        <v>3</v>
      </c>
      <c r="CD506" s="42"/>
      <c r="CE506" s="34" t="s">
        <v>155</v>
      </c>
      <c r="CF506" s="10" t="s">
        <v>0</v>
      </c>
      <c r="CG506" s="10">
        <v>3</v>
      </c>
      <c r="CH506" s="10" t="s">
        <v>152</v>
      </c>
      <c r="CI506">
        <v>3</v>
      </c>
    </row>
    <row r="507" spans="1:89" x14ac:dyDescent="0.25">
      <c r="A507" s="42"/>
      <c r="B507" s="34" t="s">
        <v>155</v>
      </c>
      <c r="C507" s="10" t="s">
        <v>0</v>
      </c>
      <c r="D507" s="10">
        <v>4</v>
      </c>
      <c r="E507" s="10" t="s">
        <v>152</v>
      </c>
      <c r="F507">
        <v>4</v>
      </c>
      <c r="G507" s="10">
        <v>3030</v>
      </c>
      <c r="H507" s="43" t="s">
        <v>188</v>
      </c>
      <c r="J507" s="42"/>
      <c r="K507" s="34" t="s">
        <v>155</v>
      </c>
      <c r="L507" s="10" t="s">
        <v>0</v>
      </c>
      <c r="M507" s="10">
        <v>4</v>
      </c>
      <c r="N507" s="10" t="s">
        <v>152</v>
      </c>
      <c r="O507">
        <v>4</v>
      </c>
      <c r="P507" s="10" t="s">
        <v>97</v>
      </c>
      <c r="Q507" s="43" t="s">
        <v>164</v>
      </c>
      <c r="S507" s="42"/>
      <c r="T507" s="34" t="s">
        <v>155</v>
      </c>
      <c r="U507" s="10" t="s">
        <v>0</v>
      </c>
      <c r="V507" s="10">
        <v>4</v>
      </c>
      <c r="W507" s="10" t="s">
        <v>152</v>
      </c>
      <c r="X507">
        <v>4</v>
      </c>
      <c r="Y507" s="10">
        <v>3032</v>
      </c>
      <c r="Z507" t="s">
        <v>169</v>
      </c>
      <c r="AB507" s="42"/>
      <c r="AC507" s="34" t="s">
        <v>155</v>
      </c>
      <c r="AD507" s="10" t="s">
        <v>0</v>
      </c>
      <c r="AE507" s="10">
        <v>4</v>
      </c>
      <c r="AF507" s="10" t="s">
        <v>152</v>
      </c>
      <c r="AG507">
        <v>4</v>
      </c>
      <c r="AH507" s="10" t="s">
        <v>101</v>
      </c>
      <c r="AI507" s="43" t="s">
        <v>184</v>
      </c>
      <c r="AK507" s="42"/>
      <c r="AL507" s="34" t="s">
        <v>155</v>
      </c>
      <c r="AM507" s="10" t="s">
        <v>0</v>
      </c>
      <c r="AN507" s="10">
        <v>4</v>
      </c>
      <c r="AO507" s="10" t="s">
        <v>152</v>
      </c>
      <c r="AP507">
        <v>4</v>
      </c>
      <c r="AQ507" s="10" t="s">
        <v>107</v>
      </c>
      <c r="AR507" t="s">
        <v>169</v>
      </c>
      <c r="AT507" s="42"/>
      <c r="AU507" s="34" t="s">
        <v>155</v>
      </c>
      <c r="AV507" s="10" t="s">
        <v>0</v>
      </c>
      <c r="AW507" s="10">
        <v>4</v>
      </c>
      <c r="AX507" s="10" t="s">
        <v>152</v>
      </c>
      <c r="AY507">
        <v>4</v>
      </c>
      <c r="AZ507" s="10"/>
      <c r="BA507" s="43"/>
      <c r="BC507" s="42"/>
      <c r="BD507" s="34" t="s">
        <v>155</v>
      </c>
      <c r="BE507" s="10" t="s">
        <v>0</v>
      </c>
      <c r="BF507" s="10">
        <v>4</v>
      </c>
      <c r="BG507" s="10" t="s">
        <v>152</v>
      </c>
      <c r="BH507">
        <v>4</v>
      </c>
      <c r="BI507" s="10"/>
      <c r="BJ507" s="43"/>
      <c r="BL507" s="42"/>
      <c r="BM507" s="34" t="s">
        <v>155</v>
      </c>
      <c r="BN507" s="10" t="s">
        <v>0</v>
      </c>
      <c r="BO507" s="10">
        <v>4</v>
      </c>
      <c r="BP507" s="10" t="s">
        <v>152</v>
      </c>
      <c r="BQ507">
        <v>4</v>
      </c>
      <c r="BR507" s="10"/>
      <c r="BS507" s="43"/>
      <c r="BU507" s="42"/>
      <c r="BV507" s="34" t="s">
        <v>155</v>
      </c>
      <c r="BW507" s="10" t="s">
        <v>0</v>
      </c>
      <c r="BX507" s="10">
        <v>4</v>
      </c>
      <c r="BY507" s="10" t="s">
        <v>152</v>
      </c>
      <c r="BZ507">
        <v>4</v>
      </c>
      <c r="CD507" s="42"/>
      <c r="CE507" s="34" t="s">
        <v>155</v>
      </c>
      <c r="CF507" s="10" t="s">
        <v>0</v>
      </c>
      <c r="CG507" s="10">
        <v>4</v>
      </c>
      <c r="CH507" s="10" t="s">
        <v>152</v>
      </c>
      <c r="CI507">
        <v>4</v>
      </c>
    </row>
    <row r="508" spans="1:89" x14ac:dyDescent="0.25">
      <c r="A508" s="42"/>
      <c r="B508" s="34" t="s">
        <v>155</v>
      </c>
      <c r="C508" s="10" t="s">
        <v>0</v>
      </c>
      <c r="D508" s="10">
        <v>5</v>
      </c>
      <c r="E508" s="10" t="s">
        <v>152</v>
      </c>
      <c r="F508">
        <v>5</v>
      </c>
      <c r="G508" s="10">
        <v>3030</v>
      </c>
      <c r="H508" s="43" t="s">
        <v>182</v>
      </c>
      <c r="J508" s="42"/>
      <c r="K508" s="34" t="s">
        <v>155</v>
      </c>
      <c r="L508" s="10" t="s">
        <v>0</v>
      </c>
      <c r="M508" s="10">
        <v>5</v>
      </c>
      <c r="N508" s="10" t="s">
        <v>152</v>
      </c>
      <c r="O508">
        <v>5</v>
      </c>
      <c r="P508" s="10" t="s">
        <v>97</v>
      </c>
      <c r="Q508" t="s">
        <v>172</v>
      </c>
      <c r="S508" s="42"/>
      <c r="T508" s="34" t="s">
        <v>155</v>
      </c>
      <c r="U508" s="10" t="s">
        <v>0</v>
      </c>
      <c r="V508" s="10">
        <v>5</v>
      </c>
      <c r="W508" s="10" t="s">
        <v>152</v>
      </c>
      <c r="X508">
        <v>5</v>
      </c>
      <c r="Y508" s="10">
        <v>3032</v>
      </c>
      <c r="Z508" t="s">
        <v>177</v>
      </c>
      <c r="AB508" s="42"/>
      <c r="AC508" s="34" t="s">
        <v>155</v>
      </c>
      <c r="AD508" s="10" t="s">
        <v>0</v>
      </c>
      <c r="AE508" s="10">
        <v>5</v>
      </c>
      <c r="AF508" s="10" t="s">
        <v>152</v>
      </c>
      <c r="AG508">
        <v>5</v>
      </c>
      <c r="AH508" s="10" t="s">
        <v>101</v>
      </c>
      <c r="AI508" s="43" t="s">
        <v>187</v>
      </c>
      <c r="AK508" s="42"/>
      <c r="AL508" s="34" t="s">
        <v>155</v>
      </c>
      <c r="AM508" s="10" t="s">
        <v>0</v>
      </c>
      <c r="AN508" s="10">
        <v>5</v>
      </c>
      <c r="AO508" s="10" t="s">
        <v>152</v>
      </c>
      <c r="AP508">
        <v>5</v>
      </c>
      <c r="AQ508" s="10" t="s">
        <v>107</v>
      </c>
      <c r="AR508" t="s">
        <v>177</v>
      </c>
      <c r="AT508" s="42"/>
      <c r="AU508" s="34" t="s">
        <v>155</v>
      </c>
      <c r="AV508" s="10" t="s">
        <v>0</v>
      </c>
      <c r="AW508" s="10">
        <v>5</v>
      </c>
      <c r="AX508" s="10" t="s">
        <v>152</v>
      </c>
      <c r="AY508">
        <v>5</v>
      </c>
      <c r="AZ508" s="10"/>
      <c r="BA508" s="43"/>
      <c r="BC508" s="42"/>
      <c r="BD508" s="34" t="s">
        <v>155</v>
      </c>
      <c r="BE508" s="10" t="s">
        <v>0</v>
      </c>
      <c r="BF508" s="10">
        <v>5</v>
      </c>
      <c r="BG508" s="10" t="s">
        <v>152</v>
      </c>
      <c r="BH508">
        <v>5</v>
      </c>
      <c r="BI508" s="10"/>
      <c r="BJ508" s="43"/>
      <c r="BL508" s="42"/>
      <c r="BM508" s="34" t="s">
        <v>155</v>
      </c>
      <c r="BN508" s="10" t="s">
        <v>0</v>
      </c>
      <c r="BO508" s="10">
        <v>5</v>
      </c>
      <c r="BP508" s="10" t="s">
        <v>152</v>
      </c>
      <c r="BQ508">
        <v>5</v>
      </c>
      <c r="BR508" s="10"/>
      <c r="BS508" s="43"/>
      <c r="BU508" s="42"/>
      <c r="BV508" s="34" t="s">
        <v>155</v>
      </c>
      <c r="BW508" s="10" t="s">
        <v>0</v>
      </c>
      <c r="BX508" s="10">
        <v>5</v>
      </c>
      <c r="BY508" s="10" t="s">
        <v>152</v>
      </c>
      <c r="BZ508">
        <v>5</v>
      </c>
      <c r="CD508" s="42"/>
      <c r="CE508" s="34" t="s">
        <v>155</v>
      </c>
      <c r="CF508" s="10" t="s">
        <v>0</v>
      </c>
      <c r="CG508" s="10">
        <v>5</v>
      </c>
      <c r="CH508" s="10" t="s">
        <v>152</v>
      </c>
      <c r="CI508">
        <v>5</v>
      </c>
      <c r="CJ508" s="10"/>
      <c r="CK508" s="43"/>
    </row>
    <row r="509" spans="1:89" x14ac:dyDescent="0.25">
      <c r="A509" s="42"/>
      <c r="B509" s="34" t="s">
        <v>155</v>
      </c>
      <c r="C509" s="10" t="s">
        <v>0</v>
      </c>
      <c r="D509" s="10">
        <v>6</v>
      </c>
      <c r="E509" s="10" t="s">
        <v>152</v>
      </c>
      <c r="F509">
        <v>6</v>
      </c>
      <c r="G509" s="10">
        <v>3030</v>
      </c>
      <c r="H509" s="43" t="s">
        <v>184</v>
      </c>
      <c r="J509" s="42"/>
      <c r="K509" s="34" t="s">
        <v>155</v>
      </c>
      <c r="L509" s="10" t="s">
        <v>0</v>
      </c>
      <c r="M509" s="10">
        <v>6</v>
      </c>
      <c r="N509" s="10" t="s">
        <v>152</v>
      </c>
      <c r="O509">
        <v>6</v>
      </c>
      <c r="P509" s="10" t="s">
        <v>97</v>
      </c>
      <c r="Q509" t="s">
        <v>162</v>
      </c>
      <c r="S509" s="42"/>
      <c r="T509" s="34" t="s">
        <v>155</v>
      </c>
      <c r="U509" s="10" t="s">
        <v>0</v>
      </c>
      <c r="V509" s="10">
        <v>6</v>
      </c>
      <c r="W509" s="10" t="s">
        <v>152</v>
      </c>
      <c r="X509">
        <v>6</v>
      </c>
      <c r="Y509" s="10">
        <v>3032</v>
      </c>
      <c r="Z509" t="s">
        <v>180</v>
      </c>
      <c r="AB509" s="42"/>
      <c r="AC509" s="34" t="s">
        <v>155</v>
      </c>
      <c r="AD509" s="10" t="s">
        <v>0</v>
      </c>
      <c r="AE509" s="10">
        <v>6</v>
      </c>
      <c r="AF509" s="10" t="s">
        <v>152</v>
      </c>
      <c r="AG509">
        <v>6</v>
      </c>
      <c r="AH509" s="10" t="s">
        <v>101</v>
      </c>
      <c r="AI509" s="43" t="s">
        <v>189</v>
      </c>
      <c r="AK509" s="42"/>
      <c r="AL509" s="34" t="s">
        <v>155</v>
      </c>
      <c r="AM509" s="10" t="s">
        <v>0</v>
      </c>
      <c r="AN509" s="10">
        <v>6</v>
      </c>
      <c r="AO509" s="10" t="s">
        <v>152</v>
      </c>
      <c r="AP509">
        <v>6</v>
      </c>
      <c r="AQ509" s="10" t="s">
        <v>107</v>
      </c>
      <c r="AR509" t="s">
        <v>180</v>
      </c>
      <c r="AT509" s="42"/>
      <c r="AU509" s="34" t="s">
        <v>155</v>
      </c>
      <c r="AV509" s="10" t="s">
        <v>0</v>
      </c>
      <c r="AW509" s="10">
        <v>6</v>
      </c>
      <c r="AX509" s="10" t="s">
        <v>152</v>
      </c>
      <c r="AY509">
        <v>6</v>
      </c>
      <c r="AZ509" s="10"/>
      <c r="BA509" s="43"/>
      <c r="BC509" s="42"/>
      <c r="BD509" s="34" t="s">
        <v>155</v>
      </c>
      <c r="BE509" s="10" t="s">
        <v>0</v>
      </c>
      <c r="BF509" s="10">
        <v>6</v>
      </c>
      <c r="BG509" s="10" t="s">
        <v>152</v>
      </c>
      <c r="BH509">
        <v>6</v>
      </c>
      <c r="BI509" s="10"/>
      <c r="BJ509" s="43"/>
      <c r="BL509" s="42"/>
      <c r="BM509" s="34" t="s">
        <v>155</v>
      </c>
      <c r="BN509" s="10" t="s">
        <v>0</v>
      </c>
      <c r="BO509" s="10">
        <v>6</v>
      </c>
      <c r="BP509" s="10" t="s">
        <v>152</v>
      </c>
      <c r="BQ509">
        <v>6</v>
      </c>
      <c r="BR509" s="10"/>
      <c r="BS509" s="43"/>
      <c r="BU509" s="42"/>
      <c r="BV509" s="34" t="s">
        <v>155</v>
      </c>
      <c r="BW509" s="10" t="s">
        <v>0</v>
      </c>
      <c r="BX509" s="10">
        <v>6</v>
      </c>
      <c r="BY509" s="10" t="s">
        <v>152</v>
      </c>
      <c r="BZ509">
        <v>6</v>
      </c>
      <c r="CD509" s="42"/>
      <c r="CE509" s="34" t="s">
        <v>155</v>
      </c>
      <c r="CF509" s="10" t="s">
        <v>0</v>
      </c>
      <c r="CG509" s="10">
        <v>6</v>
      </c>
      <c r="CH509" s="10" t="s">
        <v>152</v>
      </c>
      <c r="CI509">
        <v>6</v>
      </c>
      <c r="CJ509" s="10"/>
      <c r="CK509" s="43"/>
    </row>
    <row r="510" spans="1:89" x14ac:dyDescent="0.25">
      <c r="A510" s="42"/>
      <c r="B510" s="34" t="s">
        <v>155</v>
      </c>
      <c r="C510" s="10" t="s">
        <v>0</v>
      </c>
      <c r="D510" s="10">
        <v>7</v>
      </c>
      <c r="E510" s="10" t="s">
        <v>152</v>
      </c>
      <c r="F510">
        <v>7</v>
      </c>
      <c r="G510" s="10">
        <v>3030</v>
      </c>
      <c r="H510" s="43" t="s">
        <v>187</v>
      </c>
      <c r="J510" s="42"/>
      <c r="K510" s="34" t="s">
        <v>155</v>
      </c>
      <c r="L510" s="10" t="s">
        <v>0</v>
      </c>
      <c r="M510" s="10">
        <v>7</v>
      </c>
      <c r="N510" s="10" t="s">
        <v>152</v>
      </c>
      <c r="O510">
        <v>7</v>
      </c>
      <c r="P510" s="10" t="s">
        <v>97</v>
      </c>
      <c r="Q510" t="s">
        <v>170</v>
      </c>
      <c r="S510" s="42"/>
      <c r="T510" s="34" t="s">
        <v>155</v>
      </c>
      <c r="U510" s="10" t="s">
        <v>0</v>
      </c>
      <c r="V510" s="10">
        <v>7</v>
      </c>
      <c r="W510" s="10" t="s">
        <v>152</v>
      </c>
      <c r="X510">
        <v>7</v>
      </c>
      <c r="Y510" s="10">
        <v>3032</v>
      </c>
      <c r="Z510" t="s">
        <v>181</v>
      </c>
      <c r="AB510" s="42"/>
      <c r="AC510" s="34" t="s">
        <v>155</v>
      </c>
      <c r="AD510" s="10" t="s">
        <v>0</v>
      </c>
      <c r="AE510" s="10">
        <v>7</v>
      </c>
      <c r="AF510" s="10" t="s">
        <v>152</v>
      </c>
      <c r="AG510">
        <v>7</v>
      </c>
      <c r="AH510" s="10">
        <v>2049</v>
      </c>
      <c r="AI510" s="43" t="s">
        <v>160</v>
      </c>
      <c r="AK510" s="42"/>
      <c r="AL510" s="34" t="s">
        <v>155</v>
      </c>
      <c r="AM510" s="10" t="s">
        <v>0</v>
      </c>
      <c r="AN510" s="10">
        <v>7</v>
      </c>
      <c r="AO510" s="10" t="s">
        <v>152</v>
      </c>
      <c r="AP510">
        <v>7</v>
      </c>
      <c r="AQ510" s="10" t="s">
        <v>107</v>
      </c>
      <c r="AR510" t="s">
        <v>181</v>
      </c>
      <c r="AT510" s="42"/>
      <c r="AU510" s="34" t="s">
        <v>155</v>
      </c>
      <c r="AV510" s="10" t="s">
        <v>0</v>
      </c>
      <c r="AW510" s="10">
        <v>7</v>
      </c>
      <c r="AX510" s="10" t="s">
        <v>152</v>
      </c>
      <c r="AY510">
        <v>7</v>
      </c>
      <c r="AZ510" s="10"/>
      <c r="BA510" s="43"/>
      <c r="BC510" s="42"/>
      <c r="BD510" s="34" t="s">
        <v>155</v>
      </c>
      <c r="BE510" s="10" t="s">
        <v>0</v>
      </c>
      <c r="BF510" s="10">
        <v>7</v>
      </c>
      <c r="BG510" s="10" t="s">
        <v>152</v>
      </c>
      <c r="BH510">
        <v>7</v>
      </c>
      <c r="BI510" s="10"/>
      <c r="BJ510" s="43"/>
      <c r="BL510" s="42"/>
      <c r="BM510" s="34" t="s">
        <v>155</v>
      </c>
      <c r="BN510" s="10" t="s">
        <v>0</v>
      </c>
      <c r="BO510" s="10">
        <v>7</v>
      </c>
      <c r="BP510" s="10" t="s">
        <v>152</v>
      </c>
      <c r="BQ510">
        <v>7</v>
      </c>
      <c r="BR510" s="10"/>
      <c r="BS510" s="43"/>
      <c r="BU510" s="42"/>
      <c r="BV510" s="34" t="s">
        <v>155</v>
      </c>
      <c r="BW510" s="10" t="s">
        <v>0</v>
      </c>
      <c r="BX510" s="10">
        <v>7</v>
      </c>
      <c r="BY510" s="10" t="s">
        <v>152</v>
      </c>
      <c r="BZ510">
        <v>7</v>
      </c>
      <c r="CD510" s="42"/>
      <c r="CE510" s="34" t="s">
        <v>155</v>
      </c>
      <c r="CF510" s="10" t="s">
        <v>0</v>
      </c>
      <c r="CG510" s="10">
        <v>7</v>
      </c>
      <c r="CH510" s="10" t="s">
        <v>152</v>
      </c>
      <c r="CI510">
        <v>7</v>
      </c>
      <c r="CJ510" s="10"/>
      <c r="CK510" s="43"/>
    </row>
    <row r="511" spans="1:89" x14ac:dyDescent="0.25">
      <c r="A511" s="42"/>
      <c r="B511" s="34" t="s">
        <v>155</v>
      </c>
      <c r="C511" s="10" t="s">
        <v>0</v>
      </c>
      <c r="D511" s="10">
        <v>8</v>
      </c>
      <c r="E511" s="10" t="s">
        <v>152</v>
      </c>
      <c r="F511">
        <v>8</v>
      </c>
      <c r="G511" s="10">
        <v>3030</v>
      </c>
      <c r="H511" s="43" t="s">
        <v>189</v>
      </c>
      <c r="J511" s="42"/>
      <c r="K511" s="34" t="s">
        <v>155</v>
      </c>
      <c r="L511" s="10" t="s">
        <v>0</v>
      </c>
      <c r="M511" s="10">
        <v>8</v>
      </c>
      <c r="N511" s="10" t="s">
        <v>152</v>
      </c>
      <c r="O511">
        <v>8</v>
      </c>
      <c r="P511" s="10" t="s">
        <v>97</v>
      </c>
      <c r="Q511" t="s">
        <v>178</v>
      </c>
      <c r="S511" s="42"/>
      <c r="T511" s="34" t="s">
        <v>155</v>
      </c>
      <c r="U511" s="10" t="s">
        <v>0</v>
      </c>
      <c r="V511" s="10">
        <v>8</v>
      </c>
      <c r="W511" s="10" t="s">
        <v>152</v>
      </c>
      <c r="X511">
        <v>8</v>
      </c>
      <c r="Y511" s="10">
        <v>3032</v>
      </c>
      <c r="Z511" t="s">
        <v>183</v>
      </c>
      <c r="AB511" s="42"/>
      <c r="AC511" s="34" t="s">
        <v>155</v>
      </c>
      <c r="AD511" s="10" t="s">
        <v>0</v>
      </c>
      <c r="AE511" s="10">
        <v>8</v>
      </c>
      <c r="AF511" s="10" t="s">
        <v>152</v>
      </c>
      <c r="AG511">
        <v>8</v>
      </c>
      <c r="AH511" s="10">
        <v>2049</v>
      </c>
      <c r="AI511" s="51" t="s">
        <v>168</v>
      </c>
      <c r="AK511" s="42"/>
      <c r="AL511" s="34" t="s">
        <v>155</v>
      </c>
      <c r="AM511" s="10" t="s">
        <v>0</v>
      </c>
      <c r="AN511" s="10">
        <v>8</v>
      </c>
      <c r="AO511" s="10" t="s">
        <v>152</v>
      </c>
      <c r="AP511">
        <v>8</v>
      </c>
      <c r="AQ511" s="10" t="s">
        <v>107</v>
      </c>
      <c r="AR511" t="s">
        <v>183</v>
      </c>
      <c r="AT511" s="42"/>
      <c r="AU511" s="34" t="s">
        <v>155</v>
      </c>
      <c r="AV511" s="10" t="s">
        <v>0</v>
      </c>
      <c r="AW511" s="10">
        <v>8</v>
      </c>
      <c r="AX511" s="10" t="s">
        <v>152</v>
      </c>
      <c r="AY511">
        <v>8</v>
      </c>
      <c r="AZ511" s="10"/>
      <c r="BA511" s="43"/>
      <c r="BC511" s="42"/>
      <c r="BD511" s="34" t="s">
        <v>155</v>
      </c>
      <c r="BE511" s="10" t="s">
        <v>0</v>
      </c>
      <c r="BF511" s="10">
        <v>8</v>
      </c>
      <c r="BG511" s="10" t="s">
        <v>152</v>
      </c>
      <c r="BH511">
        <v>8</v>
      </c>
      <c r="BI511" s="10"/>
      <c r="BJ511" s="43"/>
      <c r="BL511" s="42"/>
      <c r="BM511" s="34" t="s">
        <v>155</v>
      </c>
      <c r="BN511" s="10" t="s">
        <v>0</v>
      </c>
      <c r="BO511" s="10">
        <v>8</v>
      </c>
      <c r="BP511" s="10" t="s">
        <v>152</v>
      </c>
      <c r="BQ511">
        <v>8</v>
      </c>
      <c r="BR511" s="10"/>
      <c r="BS511" s="43"/>
      <c r="BU511" s="42"/>
      <c r="BV511" s="34" t="s">
        <v>155</v>
      </c>
      <c r="BW511" s="10" t="s">
        <v>0</v>
      </c>
      <c r="BX511" s="10">
        <v>8</v>
      </c>
      <c r="BY511" s="10" t="s">
        <v>152</v>
      </c>
      <c r="BZ511">
        <v>8</v>
      </c>
      <c r="CD511" s="42"/>
      <c r="CE511" s="34" t="s">
        <v>155</v>
      </c>
      <c r="CF511" s="10" t="s">
        <v>0</v>
      </c>
      <c r="CG511" s="10">
        <v>8</v>
      </c>
      <c r="CH511" s="10" t="s">
        <v>152</v>
      </c>
      <c r="CI511">
        <v>8</v>
      </c>
      <c r="CJ511" s="10"/>
      <c r="CK511" s="43"/>
    </row>
    <row r="512" spans="1:89" x14ac:dyDescent="0.25">
      <c r="A512" s="42"/>
      <c r="B512" s="34" t="s">
        <v>155</v>
      </c>
      <c r="C512" s="10" t="s">
        <v>0</v>
      </c>
      <c r="D512" s="10">
        <v>9</v>
      </c>
      <c r="E512" s="10" t="s">
        <v>152</v>
      </c>
      <c r="F512">
        <v>9</v>
      </c>
      <c r="G512" s="10" t="s">
        <v>96</v>
      </c>
      <c r="H512" s="43" t="s">
        <v>160</v>
      </c>
      <c r="J512" s="42"/>
      <c r="K512" s="34" t="s">
        <v>155</v>
      </c>
      <c r="L512" s="10" t="s">
        <v>0</v>
      </c>
      <c r="M512" s="10">
        <v>9</v>
      </c>
      <c r="N512" s="10" t="s">
        <v>152</v>
      </c>
      <c r="O512">
        <v>9</v>
      </c>
      <c r="P512" s="10" t="s">
        <v>97</v>
      </c>
      <c r="Q512" t="s">
        <v>163</v>
      </c>
      <c r="S512" s="42"/>
      <c r="T512" s="34" t="s">
        <v>155</v>
      </c>
      <c r="U512" s="10" t="s">
        <v>0</v>
      </c>
      <c r="V512" s="10">
        <v>9</v>
      </c>
      <c r="W512" s="10" t="s">
        <v>152</v>
      </c>
      <c r="X512">
        <v>9</v>
      </c>
      <c r="Y512" s="10">
        <v>3032</v>
      </c>
      <c r="Z512" t="s">
        <v>186</v>
      </c>
      <c r="AB512" s="42"/>
      <c r="AC512" s="34" t="s">
        <v>155</v>
      </c>
      <c r="AD512" s="10" t="s">
        <v>0</v>
      </c>
      <c r="AE512" s="10">
        <v>9</v>
      </c>
      <c r="AF512" s="10" t="s">
        <v>152</v>
      </c>
      <c r="AG512">
        <v>9</v>
      </c>
      <c r="AH512" s="10">
        <v>2049</v>
      </c>
      <c r="AI512" s="43" t="s">
        <v>176</v>
      </c>
      <c r="AK512" s="42"/>
      <c r="AL512" s="34" t="s">
        <v>155</v>
      </c>
      <c r="AM512" s="10" t="s">
        <v>0</v>
      </c>
      <c r="AN512" s="10">
        <v>9</v>
      </c>
      <c r="AO512" s="10" t="s">
        <v>152</v>
      </c>
      <c r="AP512">
        <v>9</v>
      </c>
      <c r="AQ512" s="10" t="s">
        <v>107</v>
      </c>
      <c r="AR512" t="s">
        <v>186</v>
      </c>
      <c r="AT512" s="42"/>
      <c r="AU512" s="34" t="s">
        <v>155</v>
      </c>
      <c r="AV512" s="10" t="s">
        <v>0</v>
      </c>
      <c r="AW512" s="10">
        <v>9</v>
      </c>
      <c r="AX512" s="10" t="s">
        <v>152</v>
      </c>
      <c r="AY512">
        <v>9</v>
      </c>
      <c r="AZ512" s="10"/>
      <c r="BA512" s="43"/>
      <c r="BC512" s="42"/>
      <c r="BD512" s="34" t="s">
        <v>155</v>
      </c>
      <c r="BE512" s="10" t="s">
        <v>0</v>
      </c>
      <c r="BF512" s="10">
        <v>9</v>
      </c>
      <c r="BG512" s="10" t="s">
        <v>152</v>
      </c>
      <c r="BH512">
        <v>9</v>
      </c>
      <c r="BI512" s="10"/>
      <c r="BJ512" s="43"/>
      <c r="BL512" s="42"/>
      <c r="BM512" s="34" t="s">
        <v>155</v>
      </c>
      <c r="BN512" s="10" t="s">
        <v>0</v>
      </c>
      <c r="BO512" s="10">
        <v>9</v>
      </c>
      <c r="BP512" s="10" t="s">
        <v>152</v>
      </c>
      <c r="BQ512">
        <v>9</v>
      </c>
      <c r="BR512" s="10"/>
      <c r="BS512" s="43"/>
      <c r="BU512" s="42"/>
      <c r="BV512" s="34" t="s">
        <v>155</v>
      </c>
      <c r="BW512" s="10" t="s">
        <v>0</v>
      </c>
      <c r="BX512" s="10">
        <v>9</v>
      </c>
      <c r="BY512" s="10" t="s">
        <v>152</v>
      </c>
      <c r="BZ512">
        <v>9</v>
      </c>
      <c r="CD512" s="42"/>
      <c r="CE512" s="34" t="s">
        <v>155</v>
      </c>
      <c r="CF512" s="10" t="s">
        <v>0</v>
      </c>
      <c r="CG512" s="10">
        <v>9</v>
      </c>
      <c r="CH512" s="10" t="s">
        <v>152</v>
      </c>
      <c r="CI512">
        <v>9</v>
      </c>
      <c r="CJ512" s="10"/>
      <c r="CK512" s="43"/>
    </row>
    <row r="513" spans="1:89" x14ac:dyDescent="0.25">
      <c r="A513" s="42"/>
      <c r="B513" s="34" t="s">
        <v>155</v>
      </c>
      <c r="C513" s="10" t="s">
        <v>0</v>
      </c>
      <c r="D513" s="10">
        <v>10</v>
      </c>
      <c r="E513" s="10" t="s">
        <v>152</v>
      </c>
      <c r="F513">
        <v>10</v>
      </c>
      <c r="G513" s="10" t="s">
        <v>96</v>
      </c>
      <c r="H513" s="51" t="s">
        <v>168</v>
      </c>
      <c r="J513" s="42"/>
      <c r="K513" s="34" t="s">
        <v>155</v>
      </c>
      <c r="L513" s="10" t="s">
        <v>0</v>
      </c>
      <c r="M513" s="10">
        <v>10</v>
      </c>
      <c r="N513" s="10" t="s">
        <v>152</v>
      </c>
      <c r="O513">
        <v>10</v>
      </c>
      <c r="P513" s="10" t="s">
        <v>97</v>
      </c>
      <c r="Q513" t="s">
        <v>171</v>
      </c>
      <c r="S513" s="42"/>
      <c r="T513" s="34" t="s">
        <v>155</v>
      </c>
      <c r="U513" s="10" t="s">
        <v>0</v>
      </c>
      <c r="V513" s="10">
        <v>10</v>
      </c>
      <c r="W513" s="10" t="s">
        <v>152</v>
      </c>
      <c r="X513">
        <v>10</v>
      </c>
      <c r="Y513" s="10">
        <v>3032</v>
      </c>
      <c r="Z513" s="43" t="s">
        <v>188</v>
      </c>
      <c r="AB513" s="42"/>
      <c r="AC513" s="34" t="s">
        <v>155</v>
      </c>
      <c r="AD513" s="10" t="s">
        <v>0</v>
      </c>
      <c r="AE513" s="10">
        <v>10</v>
      </c>
      <c r="AF513" s="10" t="s">
        <v>152</v>
      </c>
      <c r="AG513">
        <v>10</v>
      </c>
      <c r="AH513" s="10">
        <v>2049</v>
      </c>
      <c r="AI513" s="43" t="s">
        <v>164</v>
      </c>
      <c r="AK513" s="42"/>
      <c r="AL513" s="34" t="s">
        <v>155</v>
      </c>
      <c r="AM513" s="10" t="s">
        <v>0</v>
      </c>
      <c r="AN513" s="10">
        <v>10</v>
      </c>
      <c r="AO513" s="10" t="s">
        <v>152</v>
      </c>
      <c r="AP513">
        <v>10</v>
      </c>
      <c r="AQ513" s="10" t="s">
        <v>107</v>
      </c>
      <c r="AR513" s="43" t="s">
        <v>188</v>
      </c>
      <c r="AT513" s="42"/>
      <c r="AU513" s="34" t="s">
        <v>155</v>
      </c>
      <c r="AV513" s="10" t="s">
        <v>0</v>
      </c>
      <c r="AW513" s="10">
        <v>10</v>
      </c>
      <c r="AX513" s="10" t="s">
        <v>152</v>
      </c>
      <c r="AY513">
        <v>10</v>
      </c>
      <c r="AZ513" s="10"/>
      <c r="BA513" s="43"/>
      <c r="BC513" s="42"/>
      <c r="BD513" s="34" t="s">
        <v>155</v>
      </c>
      <c r="BE513" s="10" t="s">
        <v>0</v>
      </c>
      <c r="BF513" s="10">
        <v>10</v>
      </c>
      <c r="BG513" s="10" t="s">
        <v>152</v>
      </c>
      <c r="BH513">
        <v>10</v>
      </c>
      <c r="BI513" s="10"/>
      <c r="BJ513" s="43"/>
      <c r="BL513" s="42"/>
      <c r="BM513" s="34" t="s">
        <v>155</v>
      </c>
      <c r="BN513" s="10" t="s">
        <v>0</v>
      </c>
      <c r="BO513" s="10">
        <v>10</v>
      </c>
      <c r="BP513" s="10" t="s">
        <v>152</v>
      </c>
      <c r="BQ513">
        <v>10</v>
      </c>
      <c r="BR513" s="10"/>
      <c r="BS513" s="43"/>
      <c r="BU513" s="42"/>
      <c r="BV513" s="34" t="s">
        <v>155</v>
      </c>
      <c r="BW513" s="10" t="s">
        <v>0</v>
      </c>
      <c r="BX513" s="10">
        <v>10</v>
      </c>
      <c r="BY513" s="10" t="s">
        <v>152</v>
      </c>
      <c r="BZ513">
        <v>10</v>
      </c>
      <c r="CD513" s="42"/>
      <c r="CE513" s="34" t="s">
        <v>155</v>
      </c>
      <c r="CF513" s="10" t="s">
        <v>0</v>
      </c>
      <c r="CG513" s="10">
        <v>10</v>
      </c>
      <c r="CH513" s="10" t="s">
        <v>152</v>
      </c>
      <c r="CI513">
        <v>10</v>
      </c>
      <c r="CJ513" s="10"/>
      <c r="CK513" s="43"/>
    </row>
    <row r="514" spans="1:89" x14ac:dyDescent="0.25">
      <c r="A514" s="42"/>
      <c r="B514" s="34" t="s">
        <v>155</v>
      </c>
      <c r="C514" s="10" t="s">
        <v>0</v>
      </c>
      <c r="D514" s="10">
        <v>11</v>
      </c>
      <c r="E514" s="10" t="s">
        <v>152</v>
      </c>
      <c r="F514">
        <v>11</v>
      </c>
      <c r="G514" s="10" t="s">
        <v>96</v>
      </c>
      <c r="H514" s="43" t="s">
        <v>176</v>
      </c>
      <c r="J514" s="42"/>
      <c r="K514" s="34" t="s">
        <v>155</v>
      </c>
      <c r="L514" s="10" t="s">
        <v>0</v>
      </c>
      <c r="M514" s="10">
        <v>11</v>
      </c>
      <c r="N514" s="10" t="s">
        <v>152</v>
      </c>
      <c r="O514">
        <v>11</v>
      </c>
      <c r="P514" s="10" t="s">
        <v>97</v>
      </c>
      <c r="Q514" t="s">
        <v>161</v>
      </c>
      <c r="S514" s="42"/>
      <c r="T514" s="34" t="s">
        <v>155</v>
      </c>
      <c r="U514" s="10" t="s">
        <v>0</v>
      </c>
      <c r="V514" s="10">
        <v>11</v>
      </c>
      <c r="W514" s="10" t="s">
        <v>152</v>
      </c>
      <c r="X514">
        <v>11</v>
      </c>
      <c r="Y514" s="10">
        <v>3032</v>
      </c>
      <c r="Z514" s="43" t="s">
        <v>182</v>
      </c>
      <c r="AB514" s="42"/>
      <c r="AC514" s="34" t="s">
        <v>155</v>
      </c>
      <c r="AD514" s="10" t="s">
        <v>0</v>
      </c>
      <c r="AE514" s="10">
        <v>11</v>
      </c>
      <c r="AF514" s="10" t="s">
        <v>152</v>
      </c>
      <c r="AG514">
        <v>11</v>
      </c>
      <c r="AH514" s="10">
        <v>2049</v>
      </c>
      <c r="AI514" t="s">
        <v>172</v>
      </c>
      <c r="AK514" s="42"/>
      <c r="AL514" s="34" t="s">
        <v>155</v>
      </c>
      <c r="AM514" s="10" t="s">
        <v>0</v>
      </c>
      <c r="AN514" s="10">
        <v>11</v>
      </c>
      <c r="AO514" s="10" t="s">
        <v>152</v>
      </c>
      <c r="AP514">
        <v>11</v>
      </c>
      <c r="AQ514" s="10" t="s">
        <v>107</v>
      </c>
      <c r="AR514" s="43" t="s">
        <v>182</v>
      </c>
      <c r="AT514" s="42"/>
      <c r="AU514" s="34" t="s">
        <v>155</v>
      </c>
      <c r="AV514" s="10" t="s">
        <v>0</v>
      </c>
      <c r="AW514" s="10">
        <v>11</v>
      </c>
      <c r="AX514" s="10" t="s">
        <v>152</v>
      </c>
      <c r="AY514">
        <v>11</v>
      </c>
      <c r="AZ514" s="10"/>
      <c r="BA514" s="43"/>
      <c r="BC514" s="42"/>
      <c r="BD514" s="34" t="s">
        <v>155</v>
      </c>
      <c r="BE514" s="10" t="s">
        <v>0</v>
      </c>
      <c r="BF514" s="10">
        <v>11</v>
      </c>
      <c r="BG514" s="10" t="s">
        <v>152</v>
      </c>
      <c r="BH514">
        <v>11</v>
      </c>
      <c r="BI514" s="10"/>
      <c r="BJ514" s="43"/>
      <c r="BL514" s="42"/>
      <c r="BM514" s="34" t="s">
        <v>155</v>
      </c>
      <c r="BN514" s="10" t="s">
        <v>0</v>
      </c>
      <c r="BO514" s="10">
        <v>11</v>
      </c>
      <c r="BP514" s="10" t="s">
        <v>152</v>
      </c>
      <c r="BQ514">
        <v>11</v>
      </c>
      <c r="BR514" s="10"/>
      <c r="BS514" s="43"/>
      <c r="BU514" s="42"/>
      <c r="BV514" s="34" t="s">
        <v>155</v>
      </c>
      <c r="BW514" s="10" t="s">
        <v>0</v>
      </c>
      <c r="BX514" s="10">
        <v>11</v>
      </c>
      <c r="BY514" s="10" t="s">
        <v>152</v>
      </c>
      <c r="BZ514">
        <v>11</v>
      </c>
      <c r="CD514" s="42"/>
      <c r="CE514" s="34" t="s">
        <v>155</v>
      </c>
      <c r="CF514" s="10" t="s">
        <v>0</v>
      </c>
      <c r="CG514" s="10">
        <v>11</v>
      </c>
      <c r="CH514" s="10" t="s">
        <v>152</v>
      </c>
      <c r="CI514">
        <v>11</v>
      </c>
      <c r="CJ514" s="10"/>
      <c r="CK514" s="43"/>
    </row>
    <row r="515" spans="1:89" ht="15.75" thickBot="1" x14ac:dyDescent="0.3">
      <c r="A515" s="47"/>
      <c r="B515" s="48" t="s">
        <v>155</v>
      </c>
      <c r="C515" s="49" t="s">
        <v>0</v>
      </c>
      <c r="D515" s="49">
        <v>12</v>
      </c>
      <c r="E515" s="49" t="s">
        <v>152</v>
      </c>
      <c r="F515" s="50">
        <v>12</v>
      </c>
      <c r="G515" s="10" t="s">
        <v>96</v>
      </c>
      <c r="H515" s="43" t="s">
        <v>164</v>
      </c>
      <c r="J515" s="47"/>
      <c r="K515" s="48" t="s">
        <v>155</v>
      </c>
      <c r="L515" s="49" t="s">
        <v>0</v>
      </c>
      <c r="M515" s="49">
        <v>12</v>
      </c>
      <c r="N515" s="49" t="s">
        <v>152</v>
      </c>
      <c r="O515" s="50">
        <v>12</v>
      </c>
      <c r="P515" s="10" t="s">
        <v>97</v>
      </c>
      <c r="Q515" t="s">
        <v>169</v>
      </c>
      <c r="S515" s="47"/>
      <c r="T515" s="48" t="s">
        <v>155</v>
      </c>
      <c r="U515" s="49" t="s">
        <v>0</v>
      </c>
      <c r="V515" s="49">
        <v>12</v>
      </c>
      <c r="W515" s="49" t="s">
        <v>152</v>
      </c>
      <c r="X515" s="50">
        <v>12</v>
      </c>
      <c r="Y515" s="10">
        <v>3032</v>
      </c>
      <c r="Z515" s="43" t="s">
        <v>184</v>
      </c>
      <c r="AB515" s="47"/>
      <c r="AC515" s="48" t="s">
        <v>155</v>
      </c>
      <c r="AD515" s="49" t="s">
        <v>0</v>
      </c>
      <c r="AE515" s="49">
        <v>12</v>
      </c>
      <c r="AF515" s="49" t="s">
        <v>152</v>
      </c>
      <c r="AG515" s="50">
        <v>12</v>
      </c>
      <c r="AH515" s="10">
        <v>2049</v>
      </c>
      <c r="AI515" t="s">
        <v>162</v>
      </c>
      <c r="AK515" s="47"/>
      <c r="AL515" s="48" t="s">
        <v>155</v>
      </c>
      <c r="AM515" s="49" t="s">
        <v>0</v>
      </c>
      <c r="AN515" s="49">
        <v>12</v>
      </c>
      <c r="AO515" s="49" t="s">
        <v>152</v>
      </c>
      <c r="AP515" s="50">
        <v>12</v>
      </c>
      <c r="AQ515" s="10" t="s">
        <v>107</v>
      </c>
      <c r="AR515" s="43" t="s">
        <v>184</v>
      </c>
      <c r="AT515" s="47"/>
      <c r="AU515" s="48" t="s">
        <v>155</v>
      </c>
      <c r="AV515" s="49" t="s">
        <v>0</v>
      </c>
      <c r="AW515" s="49">
        <v>12</v>
      </c>
      <c r="AX515" s="49" t="s">
        <v>152</v>
      </c>
      <c r="AY515" s="50">
        <v>12</v>
      </c>
      <c r="AZ515" s="10"/>
      <c r="BA515" s="43"/>
      <c r="BC515" s="47"/>
      <c r="BD515" s="48" t="s">
        <v>155</v>
      </c>
      <c r="BE515" s="49" t="s">
        <v>0</v>
      </c>
      <c r="BF515" s="49">
        <v>12</v>
      </c>
      <c r="BG515" s="49" t="s">
        <v>152</v>
      </c>
      <c r="BH515" s="50">
        <v>12</v>
      </c>
      <c r="BI515" s="10"/>
      <c r="BJ515" s="43"/>
      <c r="BL515" s="47"/>
      <c r="BM515" s="48" t="s">
        <v>155</v>
      </c>
      <c r="BN515" s="49" t="s">
        <v>0</v>
      </c>
      <c r="BO515" s="49">
        <v>12</v>
      </c>
      <c r="BP515" s="49" t="s">
        <v>152</v>
      </c>
      <c r="BQ515" s="50">
        <v>12</v>
      </c>
      <c r="BR515" s="10"/>
      <c r="BS515" s="43"/>
      <c r="BU515" s="47"/>
      <c r="BV515" s="48" t="s">
        <v>155</v>
      </c>
      <c r="BW515" s="49" t="s">
        <v>0</v>
      </c>
      <c r="BX515" s="49">
        <v>12</v>
      </c>
      <c r="BY515" s="49" t="s">
        <v>152</v>
      </c>
      <c r="BZ515" s="50">
        <v>12</v>
      </c>
      <c r="CD515" s="47"/>
      <c r="CE515" s="48" t="s">
        <v>155</v>
      </c>
      <c r="CF515" s="49" t="s">
        <v>0</v>
      </c>
      <c r="CG515" s="49">
        <v>12</v>
      </c>
      <c r="CH515" s="49" t="s">
        <v>152</v>
      </c>
      <c r="CI515" s="50">
        <v>12</v>
      </c>
      <c r="CJ515" s="10"/>
      <c r="CK515" s="43"/>
    </row>
    <row r="516" spans="1:89" x14ac:dyDescent="0.25">
      <c r="A516" s="56"/>
      <c r="B516" s="31" t="s">
        <v>155</v>
      </c>
      <c r="C516" s="58" t="s">
        <v>9</v>
      </c>
      <c r="D516" s="58">
        <v>1</v>
      </c>
      <c r="E516" s="58" t="s">
        <v>152</v>
      </c>
      <c r="F516" s="59">
        <v>13</v>
      </c>
      <c r="G516" s="10" t="s">
        <v>96</v>
      </c>
      <c r="H516" t="s">
        <v>172</v>
      </c>
      <c r="J516" s="56"/>
      <c r="K516" s="31" t="s">
        <v>155</v>
      </c>
      <c r="L516" s="58" t="s">
        <v>9</v>
      </c>
      <c r="M516" s="58">
        <v>1</v>
      </c>
      <c r="N516" s="58" t="s">
        <v>152</v>
      </c>
      <c r="O516" s="59">
        <v>13</v>
      </c>
      <c r="P516" s="10" t="s">
        <v>97</v>
      </c>
      <c r="Q516" t="s">
        <v>177</v>
      </c>
      <c r="S516" s="56"/>
      <c r="T516" s="31" t="s">
        <v>155</v>
      </c>
      <c r="U516" s="58" t="s">
        <v>9</v>
      </c>
      <c r="V516" s="58">
        <v>1</v>
      </c>
      <c r="W516" s="58" t="s">
        <v>152</v>
      </c>
      <c r="X516" s="59">
        <v>13</v>
      </c>
      <c r="Y516" s="10">
        <v>3032</v>
      </c>
      <c r="Z516" s="43" t="s">
        <v>187</v>
      </c>
      <c r="AB516" s="56"/>
      <c r="AC516" s="31" t="s">
        <v>155</v>
      </c>
      <c r="AD516" s="58" t="s">
        <v>9</v>
      </c>
      <c r="AE516" s="58">
        <v>1</v>
      </c>
      <c r="AF516" s="58" t="s">
        <v>152</v>
      </c>
      <c r="AG516" s="59">
        <v>13</v>
      </c>
      <c r="AH516" s="10">
        <v>2049</v>
      </c>
      <c r="AI516" t="s">
        <v>170</v>
      </c>
      <c r="AK516" s="56"/>
      <c r="AL516" s="31" t="s">
        <v>155</v>
      </c>
      <c r="AM516" s="58" t="s">
        <v>9</v>
      </c>
      <c r="AN516" s="58">
        <v>1</v>
      </c>
      <c r="AO516" s="58" t="s">
        <v>152</v>
      </c>
      <c r="AP516" s="59">
        <v>13</v>
      </c>
      <c r="AQ516" s="10" t="s">
        <v>107</v>
      </c>
      <c r="AR516" s="43" t="s">
        <v>187</v>
      </c>
      <c r="AT516" s="56"/>
      <c r="AU516" s="31" t="s">
        <v>155</v>
      </c>
      <c r="AV516" s="58" t="s">
        <v>9</v>
      </c>
      <c r="AW516" s="58">
        <v>1</v>
      </c>
      <c r="AX516" s="58" t="s">
        <v>152</v>
      </c>
      <c r="AY516" s="59">
        <v>13</v>
      </c>
      <c r="AZ516" s="10"/>
      <c r="BA516" s="43"/>
      <c r="BC516" s="56"/>
      <c r="BD516" s="31" t="s">
        <v>155</v>
      </c>
      <c r="BE516" s="58" t="s">
        <v>9</v>
      </c>
      <c r="BF516" s="58">
        <v>1</v>
      </c>
      <c r="BG516" s="58" t="s">
        <v>152</v>
      </c>
      <c r="BH516" s="59">
        <v>13</v>
      </c>
      <c r="BI516" s="10"/>
      <c r="BJ516" s="43"/>
      <c r="BL516" s="56"/>
      <c r="BM516" s="31" t="s">
        <v>155</v>
      </c>
      <c r="BN516" s="58" t="s">
        <v>9</v>
      </c>
      <c r="BO516" s="58">
        <v>1</v>
      </c>
      <c r="BP516" s="58" t="s">
        <v>152</v>
      </c>
      <c r="BQ516" s="59">
        <v>13</v>
      </c>
      <c r="BR516" s="10"/>
      <c r="BS516" s="43"/>
      <c r="BU516" s="56"/>
      <c r="BV516" s="31" t="s">
        <v>155</v>
      </c>
      <c r="BW516" s="58" t="s">
        <v>9</v>
      </c>
      <c r="BX516" s="58">
        <v>1</v>
      </c>
      <c r="BY516" s="58" t="s">
        <v>152</v>
      </c>
      <c r="BZ516" s="59">
        <v>13</v>
      </c>
      <c r="CA516" s="10"/>
      <c r="CB516" s="43"/>
      <c r="CD516" s="56"/>
      <c r="CE516" s="31" t="s">
        <v>155</v>
      </c>
      <c r="CF516" s="58" t="s">
        <v>9</v>
      </c>
      <c r="CG516" s="58">
        <v>1</v>
      </c>
      <c r="CH516" s="58" t="s">
        <v>152</v>
      </c>
      <c r="CI516" s="59">
        <v>13</v>
      </c>
      <c r="CJ516" s="10"/>
      <c r="CK516" s="43"/>
    </row>
    <row r="517" spans="1:89" x14ac:dyDescent="0.25">
      <c r="A517" s="42"/>
      <c r="B517" s="34" t="s">
        <v>155</v>
      </c>
      <c r="C517" s="10" t="s">
        <v>9</v>
      </c>
      <c r="D517" s="10">
        <v>2</v>
      </c>
      <c r="E517" s="10" t="s">
        <v>152</v>
      </c>
      <c r="F517">
        <v>14</v>
      </c>
      <c r="G517" s="10" t="s">
        <v>96</v>
      </c>
      <c r="H517" t="s">
        <v>162</v>
      </c>
      <c r="J517" s="42"/>
      <c r="K517" s="34" t="s">
        <v>155</v>
      </c>
      <c r="L517" s="10" t="s">
        <v>9</v>
      </c>
      <c r="M517" s="10">
        <v>2</v>
      </c>
      <c r="N517" s="10" t="s">
        <v>152</v>
      </c>
      <c r="O517">
        <v>14</v>
      </c>
      <c r="P517" s="10" t="s">
        <v>97</v>
      </c>
      <c r="Q517" t="s">
        <v>180</v>
      </c>
      <c r="S517" s="42"/>
      <c r="T517" s="34" t="s">
        <v>155</v>
      </c>
      <c r="U517" s="10" t="s">
        <v>9</v>
      </c>
      <c r="V517" s="10">
        <v>2</v>
      </c>
      <c r="W517" s="10" t="s">
        <v>152</v>
      </c>
      <c r="X517">
        <v>14</v>
      </c>
      <c r="Y517" s="10">
        <v>3032</v>
      </c>
      <c r="Z517" s="43" t="s">
        <v>189</v>
      </c>
      <c r="AB517" s="42"/>
      <c r="AC517" s="34" t="s">
        <v>155</v>
      </c>
      <c r="AD517" s="10" t="s">
        <v>9</v>
      </c>
      <c r="AE517" s="10">
        <v>2</v>
      </c>
      <c r="AF517" s="10" t="s">
        <v>152</v>
      </c>
      <c r="AG517">
        <v>14</v>
      </c>
      <c r="AH517" s="10">
        <v>2049</v>
      </c>
      <c r="AI517" t="s">
        <v>178</v>
      </c>
      <c r="AK517" s="42"/>
      <c r="AL517" s="34" t="s">
        <v>155</v>
      </c>
      <c r="AM517" s="10" t="s">
        <v>9</v>
      </c>
      <c r="AN517" s="10">
        <v>2</v>
      </c>
      <c r="AO517" s="10" t="s">
        <v>152</v>
      </c>
      <c r="AP517">
        <v>14</v>
      </c>
      <c r="AQ517" s="10" t="s">
        <v>107</v>
      </c>
      <c r="AR517" s="43" t="s">
        <v>189</v>
      </c>
      <c r="AT517" s="42"/>
      <c r="AU517" s="34" t="s">
        <v>155</v>
      </c>
      <c r="AV517" s="10" t="s">
        <v>9</v>
      </c>
      <c r="AW517" s="10">
        <v>2</v>
      </c>
      <c r="AX517" s="10" t="s">
        <v>152</v>
      </c>
      <c r="AY517">
        <v>14</v>
      </c>
      <c r="AZ517" s="10"/>
      <c r="BA517" s="43"/>
      <c r="BC517" s="42"/>
      <c r="BD517" s="34" t="s">
        <v>155</v>
      </c>
      <c r="BE517" s="10" t="s">
        <v>9</v>
      </c>
      <c r="BF517" s="10">
        <v>2</v>
      </c>
      <c r="BG517" s="10" t="s">
        <v>152</v>
      </c>
      <c r="BH517">
        <v>14</v>
      </c>
      <c r="BI517" s="10"/>
      <c r="BJ517" s="43"/>
      <c r="BL517" s="42"/>
      <c r="BM517" s="34" t="s">
        <v>155</v>
      </c>
      <c r="BN517" s="10" t="s">
        <v>9</v>
      </c>
      <c r="BO517" s="10">
        <v>2</v>
      </c>
      <c r="BP517" s="10" t="s">
        <v>152</v>
      </c>
      <c r="BQ517">
        <v>14</v>
      </c>
      <c r="BR517" s="10"/>
      <c r="BS517" s="43"/>
      <c r="BU517" s="42"/>
      <c r="BV517" s="34" t="s">
        <v>155</v>
      </c>
      <c r="BW517" s="10" t="s">
        <v>9</v>
      </c>
      <c r="BX517" s="10">
        <v>2</v>
      </c>
      <c r="BY517" s="10" t="s">
        <v>152</v>
      </c>
      <c r="BZ517">
        <v>14</v>
      </c>
      <c r="CA517" s="10"/>
      <c r="CB517" s="43"/>
      <c r="CD517" s="42"/>
      <c r="CE517" s="34" t="s">
        <v>155</v>
      </c>
      <c r="CF517" s="10" t="s">
        <v>9</v>
      </c>
      <c r="CG517" s="10">
        <v>2</v>
      </c>
      <c r="CH517" s="10" t="s">
        <v>152</v>
      </c>
      <c r="CI517">
        <v>14</v>
      </c>
      <c r="CJ517" s="10"/>
      <c r="CK517" s="43"/>
    </row>
    <row r="518" spans="1:89" ht="15.75" thickBot="1" x14ac:dyDescent="0.3">
      <c r="A518" s="42"/>
      <c r="B518" s="34" t="s">
        <v>155</v>
      </c>
      <c r="C518" s="10" t="s">
        <v>9</v>
      </c>
      <c r="D518" s="10">
        <v>3</v>
      </c>
      <c r="E518" s="10" t="s">
        <v>152</v>
      </c>
      <c r="F518">
        <v>15</v>
      </c>
      <c r="G518" s="10" t="s">
        <v>96</v>
      </c>
      <c r="H518" t="s">
        <v>170</v>
      </c>
      <c r="J518" s="42"/>
      <c r="K518" s="34" t="s">
        <v>155</v>
      </c>
      <c r="L518" s="10" t="s">
        <v>9</v>
      </c>
      <c r="M518" s="10">
        <v>3</v>
      </c>
      <c r="N518" s="10" t="s">
        <v>152</v>
      </c>
      <c r="O518">
        <v>15</v>
      </c>
      <c r="P518" s="10" t="s">
        <v>97</v>
      </c>
      <c r="Q518" t="s">
        <v>181</v>
      </c>
      <c r="S518" s="42"/>
      <c r="T518" s="34" t="s">
        <v>155</v>
      </c>
      <c r="U518" s="10" t="s">
        <v>9</v>
      </c>
      <c r="V518" s="10">
        <v>3</v>
      </c>
      <c r="W518" s="10" t="s">
        <v>152</v>
      </c>
      <c r="X518">
        <v>15</v>
      </c>
      <c r="Y518" s="10">
        <v>2046</v>
      </c>
      <c r="Z518" s="43" t="s">
        <v>160</v>
      </c>
      <c r="AB518" s="42"/>
      <c r="AC518" s="34" t="s">
        <v>155</v>
      </c>
      <c r="AD518" s="10" t="s">
        <v>9</v>
      </c>
      <c r="AE518" s="10">
        <v>3</v>
      </c>
      <c r="AF518" s="10" t="s">
        <v>152</v>
      </c>
      <c r="AG518">
        <v>15</v>
      </c>
      <c r="AH518" s="10">
        <v>2049</v>
      </c>
      <c r="AI518" t="s">
        <v>163</v>
      </c>
      <c r="AK518" s="42"/>
      <c r="AL518" s="34" t="s">
        <v>155</v>
      </c>
      <c r="AM518" s="10" t="s">
        <v>9</v>
      </c>
      <c r="AN518" s="10">
        <v>3</v>
      </c>
      <c r="AO518" s="10" t="s">
        <v>152</v>
      </c>
      <c r="AP518">
        <v>15</v>
      </c>
      <c r="AQ518" s="10" t="s">
        <v>102</v>
      </c>
      <c r="AR518" s="43" t="s">
        <v>160</v>
      </c>
      <c r="AT518" s="42"/>
      <c r="AU518" s="34" t="s">
        <v>155</v>
      </c>
      <c r="AV518" s="10" t="s">
        <v>9</v>
      </c>
      <c r="AW518" s="10">
        <v>3</v>
      </c>
      <c r="AX518" s="10" t="s">
        <v>152</v>
      </c>
      <c r="AY518">
        <v>15</v>
      </c>
      <c r="AZ518" s="10"/>
      <c r="BA518" s="43"/>
      <c r="BC518" s="42"/>
      <c r="BD518" s="34" t="s">
        <v>155</v>
      </c>
      <c r="BE518" s="10" t="s">
        <v>9</v>
      </c>
      <c r="BF518" s="10">
        <v>3</v>
      </c>
      <c r="BG518" s="10" t="s">
        <v>152</v>
      </c>
      <c r="BH518">
        <v>15</v>
      </c>
      <c r="BI518" s="10"/>
      <c r="BJ518" s="43"/>
      <c r="BL518" s="42"/>
      <c r="BM518" s="34" t="s">
        <v>155</v>
      </c>
      <c r="BN518" s="10" t="s">
        <v>9</v>
      </c>
      <c r="BO518" s="10">
        <v>3</v>
      </c>
      <c r="BP518" s="10" t="s">
        <v>152</v>
      </c>
      <c r="BQ518">
        <v>15</v>
      </c>
      <c r="BR518" s="10"/>
      <c r="BS518" s="43"/>
      <c r="BU518" s="42"/>
      <c r="BV518" s="34" t="s">
        <v>155</v>
      </c>
      <c r="BW518" s="10" t="s">
        <v>9</v>
      </c>
      <c r="BX518" s="10">
        <v>3</v>
      </c>
      <c r="BY518" s="10" t="s">
        <v>152</v>
      </c>
      <c r="BZ518">
        <v>15</v>
      </c>
      <c r="CA518" s="10"/>
      <c r="CB518" s="43"/>
      <c r="CD518" s="42"/>
      <c r="CE518" s="34" t="s">
        <v>155</v>
      </c>
      <c r="CF518" s="10" t="s">
        <v>9</v>
      </c>
      <c r="CG518" s="10">
        <v>3</v>
      </c>
      <c r="CH518" s="10" t="s">
        <v>152</v>
      </c>
      <c r="CI518">
        <v>15</v>
      </c>
      <c r="CJ518" s="10"/>
      <c r="CK518" s="43"/>
    </row>
    <row r="519" spans="1:89" x14ac:dyDescent="0.25">
      <c r="A519" s="42"/>
      <c r="B519" s="34" t="s">
        <v>155</v>
      </c>
      <c r="C519" s="10" t="s">
        <v>9</v>
      </c>
      <c r="D519" s="10">
        <v>4</v>
      </c>
      <c r="E519" s="10" t="s">
        <v>152</v>
      </c>
      <c r="F519">
        <v>16</v>
      </c>
      <c r="G519" s="10" t="s">
        <v>96</v>
      </c>
      <c r="H519" t="s">
        <v>178</v>
      </c>
      <c r="J519" s="42"/>
      <c r="K519" s="34" t="s">
        <v>155</v>
      </c>
      <c r="L519" s="10" t="s">
        <v>9</v>
      </c>
      <c r="M519" s="10">
        <v>4</v>
      </c>
      <c r="N519" s="10" t="s">
        <v>152</v>
      </c>
      <c r="O519">
        <v>16</v>
      </c>
      <c r="P519" s="10" t="s">
        <v>97</v>
      </c>
      <c r="Q519" t="s">
        <v>183</v>
      </c>
      <c r="S519" s="42"/>
      <c r="T519" s="34" t="s">
        <v>155</v>
      </c>
      <c r="U519" s="10" t="s">
        <v>9</v>
      </c>
      <c r="V519" s="10">
        <v>4</v>
      </c>
      <c r="W519" s="10" t="s">
        <v>152</v>
      </c>
      <c r="X519">
        <v>16</v>
      </c>
      <c r="Y519" s="10">
        <v>2046</v>
      </c>
      <c r="Z519" s="51" t="s">
        <v>168</v>
      </c>
      <c r="AB519" s="42"/>
      <c r="AC519" s="34" t="s">
        <v>155</v>
      </c>
      <c r="AD519" s="10" t="s">
        <v>9</v>
      </c>
      <c r="AE519" s="10">
        <v>4</v>
      </c>
      <c r="AF519" s="10" t="s">
        <v>152</v>
      </c>
      <c r="AG519">
        <v>16</v>
      </c>
      <c r="AH519" s="10">
        <v>2049</v>
      </c>
      <c r="AI519" t="s">
        <v>171</v>
      </c>
      <c r="AK519" s="42"/>
      <c r="AL519" s="34" t="s">
        <v>155</v>
      </c>
      <c r="AM519" s="10" t="s">
        <v>9</v>
      </c>
      <c r="AN519" s="10">
        <v>4</v>
      </c>
      <c r="AO519" s="10" t="s">
        <v>152</v>
      </c>
      <c r="AP519">
        <v>16</v>
      </c>
      <c r="AQ519" s="10" t="s">
        <v>102</v>
      </c>
      <c r="AR519" s="51" t="s">
        <v>168</v>
      </c>
      <c r="AT519" s="42"/>
      <c r="AU519" s="34" t="s">
        <v>155</v>
      </c>
      <c r="AV519" s="10" t="s">
        <v>9</v>
      </c>
      <c r="AW519" s="10">
        <v>4</v>
      </c>
      <c r="AX519" s="10" t="s">
        <v>152</v>
      </c>
      <c r="AY519">
        <v>16</v>
      </c>
      <c r="AZ519" s="10"/>
      <c r="BA519" s="33"/>
      <c r="BC519" s="42"/>
      <c r="BD519" s="34" t="s">
        <v>155</v>
      </c>
      <c r="BE519" s="10" t="s">
        <v>9</v>
      </c>
      <c r="BF519" s="10">
        <v>4</v>
      </c>
      <c r="BG519" s="10" t="s">
        <v>152</v>
      </c>
      <c r="BH519">
        <v>16</v>
      </c>
      <c r="BI519" s="10"/>
      <c r="BJ519" s="33"/>
      <c r="BL519" s="42"/>
      <c r="BM519" s="34" t="s">
        <v>155</v>
      </c>
      <c r="BN519" s="10" t="s">
        <v>9</v>
      </c>
      <c r="BO519" s="10">
        <v>4</v>
      </c>
      <c r="BP519" s="10" t="s">
        <v>152</v>
      </c>
      <c r="BQ519">
        <v>16</v>
      </c>
      <c r="BR519" s="10"/>
      <c r="BS519" s="33"/>
      <c r="BU519" s="42"/>
      <c r="BV519" s="34" t="s">
        <v>155</v>
      </c>
      <c r="BW519" s="10" t="s">
        <v>9</v>
      </c>
      <c r="BX519" s="10">
        <v>4</v>
      </c>
      <c r="BY519" s="10" t="s">
        <v>152</v>
      </c>
      <c r="BZ519">
        <v>16</v>
      </c>
      <c r="CA519" s="10"/>
      <c r="CB519" s="33"/>
      <c r="CD519" s="42"/>
      <c r="CE519" s="34" t="s">
        <v>155</v>
      </c>
      <c r="CF519" s="10" t="s">
        <v>9</v>
      </c>
      <c r="CG519" s="10">
        <v>4</v>
      </c>
      <c r="CH519" s="10" t="s">
        <v>152</v>
      </c>
      <c r="CI519">
        <v>16</v>
      </c>
      <c r="CJ519" s="10"/>
      <c r="CK519" s="33"/>
    </row>
    <row r="520" spans="1:89" x14ac:dyDescent="0.25">
      <c r="A520" s="42"/>
      <c r="B520" s="34" t="s">
        <v>155</v>
      </c>
      <c r="C520" s="10" t="s">
        <v>9</v>
      </c>
      <c r="D520" s="10">
        <v>5</v>
      </c>
      <c r="E520" s="10" t="s">
        <v>152</v>
      </c>
      <c r="F520">
        <v>17</v>
      </c>
      <c r="G520" s="10" t="s">
        <v>96</v>
      </c>
      <c r="H520" t="s">
        <v>163</v>
      </c>
      <c r="J520" s="42"/>
      <c r="K520" s="34" t="s">
        <v>155</v>
      </c>
      <c r="L520" s="10" t="s">
        <v>9</v>
      </c>
      <c r="M520" s="10">
        <v>5</v>
      </c>
      <c r="N520" s="10" t="s">
        <v>152</v>
      </c>
      <c r="O520">
        <v>17</v>
      </c>
      <c r="P520" s="10" t="s">
        <v>97</v>
      </c>
      <c r="Q520" t="s">
        <v>186</v>
      </c>
      <c r="S520" s="42"/>
      <c r="T520" s="34" t="s">
        <v>155</v>
      </c>
      <c r="U520" s="10" t="s">
        <v>9</v>
      </c>
      <c r="V520" s="10">
        <v>5</v>
      </c>
      <c r="W520" s="10" t="s">
        <v>152</v>
      </c>
      <c r="X520">
        <v>17</v>
      </c>
      <c r="Y520" s="10">
        <v>2046</v>
      </c>
      <c r="Z520" s="43" t="s">
        <v>176</v>
      </c>
      <c r="AB520" s="42"/>
      <c r="AC520" s="34" t="s">
        <v>155</v>
      </c>
      <c r="AD520" s="10" t="s">
        <v>9</v>
      </c>
      <c r="AE520" s="10">
        <v>5</v>
      </c>
      <c r="AF520" s="10" t="s">
        <v>152</v>
      </c>
      <c r="AG520">
        <v>17</v>
      </c>
      <c r="AH520" s="10">
        <v>2049</v>
      </c>
      <c r="AI520" t="s">
        <v>161</v>
      </c>
      <c r="AK520" s="42"/>
      <c r="AL520" s="34" t="s">
        <v>155</v>
      </c>
      <c r="AM520" s="10" t="s">
        <v>9</v>
      </c>
      <c r="AN520" s="10">
        <v>5</v>
      </c>
      <c r="AO520" s="10" t="s">
        <v>152</v>
      </c>
      <c r="AP520">
        <v>17</v>
      </c>
      <c r="AQ520" s="10" t="s">
        <v>102</v>
      </c>
      <c r="AR520" s="43" t="s">
        <v>176</v>
      </c>
      <c r="AT520" s="42"/>
      <c r="AU520" s="34" t="s">
        <v>155</v>
      </c>
      <c r="AV520" s="10" t="s">
        <v>9</v>
      </c>
      <c r="AW520" s="10">
        <v>5</v>
      </c>
      <c r="AX520" s="10" t="s">
        <v>152</v>
      </c>
      <c r="AY520">
        <v>17</v>
      </c>
      <c r="AZ520" s="10"/>
      <c r="BA520" s="43"/>
      <c r="BC520" s="42"/>
      <c r="BD520" s="34" t="s">
        <v>155</v>
      </c>
      <c r="BE520" s="10" t="s">
        <v>9</v>
      </c>
      <c r="BF520" s="10">
        <v>5</v>
      </c>
      <c r="BG520" s="10" t="s">
        <v>152</v>
      </c>
      <c r="BH520">
        <v>17</v>
      </c>
      <c r="BI520" s="10"/>
      <c r="BJ520" s="43"/>
      <c r="BL520" s="42"/>
      <c r="BM520" s="34" t="s">
        <v>155</v>
      </c>
      <c r="BN520" s="10" t="s">
        <v>9</v>
      </c>
      <c r="BO520" s="10">
        <v>5</v>
      </c>
      <c r="BP520" s="10" t="s">
        <v>152</v>
      </c>
      <c r="BQ520">
        <v>17</v>
      </c>
      <c r="BR520" s="10"/>
      <c r="BS520" s="43"/>
      <c r="BU520" s="42"/>
      <c r="BV520" s="34" t="s">
        <v>155</v>
      </c>
      <c r="BW520" s="10" t="s">
        <v>9</v>
      </c>
      <c r="BX520" s="10">
        <v>5</v>
      </c>
      <c r="BY520" s="10" t="s">
        <v>152</v>
      </c>
      <c r="BZ520">
        <v>17</v>
      </c>
      <c r="CA520" s="10"/>
      <c r="CB520" s="43"/>
      <c r="CD520" s="42"/>
      <c r="CE520" s="34" t="s">
        <v>155</v>
      </c>
      <c r="CF520" s="10" t="s">
        <v>9</v>
      </c>
      <c r="CG520" s="10">
        <v>5</v>
      </c>
      <c r="CH520" s="10" t="s">
        <v>152</v>
      </c>
      <c r="CI520">
        <v>17</v>
      </c>
      <c r="CJ520" s="10"/>
      <c r="CK520" s="43"/>
    </row>
    <row r="521" spans="1:89" x14ac:dyDescent="0.25">
      <c r="A521" s="42"/>
      <c r="B521" s="34" t="s">
        <v>155</v>
      </c>
      <c r="C521" s="10" t="s">
        <v>9</v>
      </c>
      <c r="D521" s="10">
        <v>6</v>
      </c>
      <c r="E521" s="10" t="s">
        <v>152</v>
      </c>
      <c r="F521">
        <v>18</v>
      </c>
      <c r="G521" s="10" t="s">
        <v>96</v>
      </c>
      <c r="H521" t="s">
        <v>171</v>
      </c>
      <c r="J521" s="42"/>
      <c r="K521" s="34" t="s">
        <v>155</v>
      </c>
      <c r="L521" s="10" t="s">
        <v>9</v>
      </c>
      <c r="M521" s="10">
        <v>6</v>
      </c>
      <c r="N521" s="10" t="s">
        <v>152</v>
      </c>
      <c r="O521">
        <v>18</v>
      </c>
      <c r="P521" s="10" t="s">
        <v>97</v>
      </c>
      <c r="Q521" s="43" t="s">
        <v>188</v>
      </c>
      <c r="S521" s="42"/>
      <c r="T521" s="34" t="s">
        <v>155</v>
      </c>
      <c r="U521" s="10" t="s">
        <v>9</v>
      </c>
      <c r="V521" s="10">
        <v>6</v>
      </c>
      <c r="W521" s="10" t="s">
        <v>152</v>
      </c>
      <c r="X521">
        <v>18</v>
      </c>
      <c r="Y521" s="10">
        <v>2046</v>
      </c>
      <c r="Z521" s="43" t="s">
        <v>164</v>
      </c>
      <c r="AB521" s="42"/>
      <c r="AC521" s="34" t="s">
        <v>155</v>
      </c>
      <c r="AD521" s="10" t="s">
        <v>9</v>
      </c>
      <c r="AE521" s="10">
        <v>6</v>
      </c>
      <c r="AF521" s="10" t="s">
        <v>152</v>
      </c>
      <c r="AG521">
        <v>18</v>
      </c>
      <c r="AH521" s="10">
        <v>2049</v>
      </c>
      <c r="AI521" t="s">
        <v>169</v>
      </c>
      <c r="AK521" s="42"/>
      <c r="AL521" s="34" t="s">
        <v>155</v>
      </c>
      <c r="AM521" s="10" t="s">
        <v>9</v>
      </c>
      <c r="AN521" s="10">
        <v>6</v>
      </c>
      <c r="AO521" s="10" t="s">
        <v>152</v>
      </c>
      <c r="AP521">
        <v>18</v>
      </c>
      <c r="AQ521" s="10" t="s">
        <v>102</v>
      </c>
      <c r="AR521" s="43" t="s">
        <v>164</v>
      </c>
      <c r="AT521" s="42"/>
      <c r="AU521" s="34" t="s">
        <v>155</v>
      </c>
      <c r="AV521" s="10" t="s">
        <v>9</v>
      </c>
      <c r="AW521" s="10">
        <v>6</v>
      </c>
      <c r="AX521" s="10" t="s">
        <v>152</v>
      </c>
      <c r="AY521">
        <v>18</v>
      </c>
      <c r="AZ521" s="10"/>
      <c r="BA521" s="43"/>
      <c r="BC521" s="42"/>
      <c r="BD521" s="34" t="s">
        <v>155</v>
      </c>
      <c r="BE521" s="10" t="s">
        <v>9</v>
      </c>
      <c r="BF521" s="10">
        <v>6</v>
      </c>
      <c r="BG521" s="10" t="s">
        <v>152</v>
      </c>
      <c r="BH521">
        <v>18</v>
      </c>
      <c r="BI521" s="10"/>
      <c r="BJ521" s="43"/>
      <c r="BL521" s="42"/>
      <c r="BM521" s="34" t="s">
        <v>155</v>
      </c>
      <c r="BN521" s="10" t="s">
        <v>9</v>
      </c>
      <c r="BO521" s="10">
        <v>6</v>
      </c>
      <c r="BP521" s="10" t="s">
        <v>152</v>
      </c>
      <c r="BQ521">
        <v>18</v>
      </c>
      <c r="BR521" s="10"/>
      <c r="BS521" s="43"/>
      <c r="BU521" s="42"/>
      <c r="BV521" s="34" t="s">
        <v>155</v>
      </c>
      <c r="BW521" s="10" t="s">
        <v>9</v>
      </c>
      <c r="BX521" s="10">
        <v>6</v>
      </c>
      <c r="BY521" s="10" t="s">
        <v>152</v>
      </c>
      <c r="BZ521">
        <v>18</v>
      </c>
      <c r="CA521" s="10"/>
      <c r="CB521" s="43"/>
      <c r="CD521" s="42"/>
      <c r="CE521" s="34" t="s">
        <v>155</v>
      </c>
      <c r="CF521" s="10" t="s">
        <v>9</v>
      </c>
      <c r="CG521" s="10">
        <v>6</v>
      </c>
      <c r="CH521" s="10" t="s">
        <v>152</v>
      </c>
      <c r="CI521">
        <v>18</v>
      </c>
      <c r="CJ521" s="10"/>
      <c r="CK521" s="43"/>
    </row>
    <row r="522" spans="1:89" x14ac:dyDescent="0.25">
      <c r="A522" s="42"/>
      <c r="B522" s="34" t="s">
        <v>155</v>
      </c>
      <c r="C522" s="10" t="s">
        <v>9</v>
      </c>
      <c r="D522" s="10">
        <v>7</v>
      </c>
      <c r="E522" s="10" t="s">
        <v>152</v>
      </c>
      <c r="F522">
        <v>19</v>
      </c>
      <c r="G522" s="10" t="s">
        <v>96</v>
      </c>
      <c r="H522" t="s">
        <v>161</v>
      </c>
      <c r="J522" s="42"/>
      <c r="K522" s="34" t="s">
        <v>155</v>
      </c>
      <c r="L522" s="10" t="s">
        <v>9</v>
      </c>
      <c r="M522" s="10">
        <v>7</v>
      </c>
      <c r="N522" s="10" t="s">
        <v>152</v>
      </c>
      <c r="O522">
        <v>19</v>
      </c>
      <c r="P522" s="10" t="s">
        <v>97</v>
      </c>
      <c r="Q522" s="43" t="s">
        <v>182</v>
      </c>
      <c r="S522" s="42"/>
      <c r="T522" s="34" t="s">
        <v>155</v>
      </c>
      <c r="U522" s="10" t="s">
        <v>9</v>
      </c>
      <c r="V522" s="10">
        <v>7</v>
      </c>
      <c r="W522" s="10" t="s">
        <v>152</v>
      </c>
      <c r="X522">
        <v>19</v>
      </c>
      <c r="Y522" s="10">
        <v>2046</v>
      </c>
      <c r="Z522" t="s">
        <v>172</v>
      </c>
      <c r="AB522" s="42"/>
      <c r="AC522" s="34" t="s">
        <v>155</v>
      </c>
      <c r="AD522" s="10" t="s">
        <v>9</v>
      </c>
      <c r="AE522" s="10">
        <v>7</v>
      </c>
      <c r="AF522" s="10" t="s">
        <v>152</v>
      </c>
      <c r="AG522">
        <v>19</v>
      </c>
      <c r="AH522" s="10">
        <v>2049</v>
      </c>
      <c r="AI522" t="s">
        <v>177</v>
      </c>
      <c r="AK522" s="42"/>
      <c r="AL522" s="34" t="s">
        <v>155</v>
      </c>
      <c r="AM522" s="10" t="s">
        <v>9</v>
      </c>
      <c r="AN522" s="10">
        <v>7</v>
      </c>
      <c r="AO522" s="10" t="s">
        <v>152</v>
      </c>
      <c r="AP522">
        <v>19</v>
      </c>
      <c r="AQ522" s="10" t="s">
        <v>102</v>
      </c>
      <c r="AR522" t="s">
        <v>172</v>
      </c>
      <c r="AT522" s="42"/>
      <c r="AU522" s="34" t="s">
        <v>155</v>
      </c>
      <c r="AV522" s="10" t="s">
        <v>9</v>
      </c>
      <c r="AW522" s="10">
        <v>7</v>
      </c>
      <c r="AX522" s="10" t="s">
        <v>152</v>
      </c>
      <c r="AY522">
        <v>19</v>
      </c>
      <c r="AZ522" s="10"/>
      <c r="BA522" s="43"/>
      <c r="BC522" s="42"/>
      <c r="BD522" s="34" t="s">
        <v>155</v>
      </c>
      <c r="BE522" s="10" t="s">
        <v>9</v>
      </c>
      <c r="BF522" s="10">
        <v>7</v>
      </c>
      <c r="BG522" s="10" t="s">
        <v>152</v>
      </c>
      <c r="BH522">
        <v>19</v>
      </c>
      <c r="BI522" s="10"/>
      <c r="BJ522" s="43"/>
      <c r="BL522" s="42"/>
      <c r="BM522" s="34" t="s">
        <v>155</v>
      </c>
      <c r="BN522" s="10" t="s">
        <v>9</v>
      </c>
      <c r="BO522" s="10">
        <v>7</v>
      </c>
      <c r="BP522" s="10" t="s">
        <v>152</v>
      </c>
      <c r="BQ522">
        <v>19</v>
      </c>
      <c r="BR522" s="10"/>
      <c r="BS522" s="43"/>
      <c r="BU522" s="42"/>
      <c r="BV522" s="34" t="s">
        <v>155</v>
      </c>
      <c r="BW522" s="10" t="s">
        <v>9</v>
      </c>
      <c r="BX522" s="10">
        <v>7</v>
      </c>
      <c r="BY522" s="10" t="s">
        <v>152</v>
      </c>
      <c r="BZ522">
        <v>19</v>
      </c>
      <c r="CA522" s="10"/>
      <c r="CB522" s="43"/>
      <c r="CD522" s="42"/>
      <c r="CE522" s="34" t="s">
        <v>155</v>
      </c>
      <c r="CF522" s="10" t="s">
        <v>9</v>
      </c>
      <c r="CG522" s="10">
        <v>7</v>
      </c>
      <c r="CH522" s="10" t="s">
        <v>152</v>
      </c>
      <c r="CI522">
        <v>19</v>
      </c>
      <c r="CJ522" s="10"/>
      <c r="CK522" s="43"/>
    </row>
    <row r="523" spans="1:89" x14ac:dyDescent="0.25">
      <c r="A523" s="42"/>
      <c r="B523" s="34" t="s">
        <v>155</v>
      </c>
      <c r="C523" s="10" t="s">
        <v>9</v>
      </c>
      <c r="D523" s="10">
        <v>8</v>
      </c>
      <c r="E523" s="10" t="s">
        <v>152</v>
      </c>
      <c r="F523">
        <v>20</v>
      </c>
      <c r="G523" s="10" t="s">
        <v>96</v>
      </c>
      <c r="H523" t="s">
        <v>169</v>
      </c>
      <c r="J523" s="42"/>
      <c r="K523" s="34" t="s">
        <v>155</v>
      </c>
      <c r="L523" s="10" t="s">
        <v>9</v>
      </c>
      <c r="M523" s="10">
        <v>8</v>
      </c>
      <c r="N523" s="10" t="s">
        <v>152</v>
      </c>
      <c r="O523">
        <v>20</v>
      </c>
      <c r="P523" s="10" t="s">
        <v>97</v>
      </c>
      <c r="Q523" s="43" t="s">
        <v>184</v>
      </c>
      <c r="S523" s="42"/>
      <c r="T523" s="34" t="s">
        <v>155</v>
      </c>
      <c r="U523" s="10" t="s">
        <v>9</v>
      </c>
      <c r="V523" s="10">
        <v>8</v>
      </c>
      <c r="W523" s="10" t="s">
        <v>152</v>
      </c>
      <c r="X523">
        <v>20</v>
      </c>
      <c r="Y523" s="10">
        <v>2046</v>
      </c>
      <c r="Z523" t="s">
        <v>162</v>
      </c>
      <c r="AB523" s="42"/>
      <c r="AC523" s="34" t="s">
        <v>155</v>
      </c>
      <c r="AD523" s="10" t="s">
        <v>9</v>
      </c>
      <c r="AE523" s="10">
        <v>8</v>
      </c>
      <c r="AF523" s="10" t="s">
        <v>152</v>
      </c>
      <c r="AG523">
        <v>20</v>
      </c>
      <c r="AH523" s="10">
        <v>2049</v>
      </c>
      <c r="AI523" t="s">
        <v>180</v>
      </c>
      <c r="AK523" s="42"/>
      <c r="AL523" s="34" t="s">
        <v>155</v>
      </c>
      <c r="AM523" s="10" t="s">
        <v>9</v>
      </c>
      <c r="AN523" s="10">
        <v>8</v>
      </c>
      <c r="AO523" s="10" t="s">
        <v>152</v>
      </c>
      <c r="AP523">
        <v>20</v>
      </c>
      <c r="AQ523" s="10" t="s">
        <v>102</v>
      </c>
      <c r="AR523" t="s">
        <v>162</v>
      </c>
      <c r="AT523" s="42"/>
      <c r="AU523" s="34" t="s">
        <v>155</v>
      </c>
      <c r="AV523" s="10" t="s">
        <v>9</v>
      </c>
      <c r="AW523" s="10">
        <v>8</v>
      </c>
      <c r="AX523" s="10" t="s">
        <v>152</v>
      </c>
      <c r="AY523">
        <v>20</v>
      </c>
      <c r="AZ523" s="10"/>
      <c r="BA523" s="43"/>
      <c r="BC523" s="42"/>
      <c r="BD523" s="34" t="s">
        <v>155</v>
      </c>
      <c r="BE523" s="10" t="s">
        <v>9</v>
      </c>
      <c r="BF523" s="10">
        <v>8</v>
      </c>
      <c r="BG523" s="10" t="s">
        <v>152</v>
      </c>
      <c r="BH523">
        <v>20</v>
      </c>
      <c r="BI523" s="10"/>
      <c r="BJ523" s="43"/>
      <c r="BL523" s="42"/>
      <c r="BM523" s="34" t="s">
        <v>155</v>
      </c>
      <c r="BN523" s="10" t="s">
        <v>9</v>
      </c>
      <c r="BO523" s="10">
        <v>8</v>
      </c>
      <c r="BP523" s="10" t="s">
        <v>152</v>
      </c>
      <c r="BQ523">
        <v>20</v>
      </c>
      <c r="BR523" s="10"/>
      <c r="BS523" s="43"/>
      <c r="BU523" s="42"/>
      <c r="BV523" s="34" t="s">
        <v>155</v>
      </c>
      <c r="BW523" s="10" t="s">
        <v>9</v>
      </c>
      <c r="BX523" s="10">
        <v>8</v>
      </c>
      <c r="BY523" s="10" t="s">
        <v>152</v>
      </c>
      <c r="BZ523">
        <v>20</v>
      </c>
      <c r="CA523" s="10"/>
      <c r="CB523" s="43"/>
      <c r="CD523" s="42"/>
      <c r="CE523" s="34" t="s">
        <v>155</v>
      </c>
      <c r="CF523" s="10" t="s">
        <v>9</v>
      </c>
      <c r="CG523" s="10">
        <v>8</v>
      </c>
      <c r="CH523" s="10" t="s">
        <v>152</v>
      </c>
      <c r="CI523">
        <v>20</v>
      </c>
      <c r="CJ523" s="10"/>
      <c r="CK523" s="43"/>
    </row>
    <row r="524" spans="1:89" x14ac:dyDescent="0.25">
      <c r="A524" s="42"/>
      <c r="B524" s="34" t="s">
        <v>155</v>
      </c>
      <c r="C524" s="10" t="s">
        <v>9</v>
      </c>
      <c r="D524" s="10">
        <v>9</v>
      </c>
      <c r="E524" s="10" t="s">
        <v>152</v>
      </c>
      <c r="F524">
        <v>21</v>
      </c>
      <c r="G524" s="10" t="s">
        <v>96</v>
      </c>
      <c r="H524" t="s">
        <v>177</v>
      </c>
      <c r="J524" s="42"/>
      <c r="K524" s="34" t="s">
        <v>155</v>
      </c>
      <c r="L524" s="10" t="s">
        <v>9</v>
      </c>
      <c r="M524" s="10">
        <v>9</v>
      </c>
      <c r="N524" s="10" t="s">
        <v>152</v>
      </c>
      <c r="O524">
        <v>21</v>
      </c>
      <c r="P524" s="10" t="s">
        <v>97</v>
      </c>
      <c r="Q524" s="43" t="s">
        <v>187</v>
      </c>
      <c r="S524" s="42"/>
      <c r="T524" s="34" t="s">
        <v>155</v>
      </c>
      <c r="U524" s="10" t="s">
        <v>9</v>
      </c>
      <c r="V524" s="10">
        <v>9</v>
      </c>
      <c r="W524" s="10" t="s">
        <v>152</v>
      </c>
      <c r="X524">
        <v>21</v>
      </c>
      <c r="Y524" s="10">
        <v>2046</v>
      </c>
      <c r="Z524" t="s">
        <v>170</v>
      </c>
      <c r="AB524" s="42"/>
      <c r="AC524" s="34" t="s">
        <v>155</v>
      </c>
      <c r="AD524" s="10" t="s">
        <v>9</v>
      </c>
      <c r="AE524" s="10">
        <v>9</v>
      </c>
      <c r="AF524" s="10" t="s">
        <v>152</v>
      </c>
      <c r="AG524">
        <v>21</v>
      </c>
      <c r="AH524" s="10">
        <v>2049</v>
      </c>
      <c r="AI524" t="s">
        <v>181</v>
      </c>
      <c r="AK524" s="42"/>
      <c r="AL524" s="34" t="s">
        <v>155</v>
      </c>
      <c r="AM524" s="10" t="s">
        <v>9</v>
      </c>
      <c r="AN524" s="10">
        <v>9</v>
      </c>
      <c r="AO524" s="10" t="s">
        <v>152</v>
      </c>
      <c r="AP524">
        <v>21</v>
      </c>
      <c r="AQ524" s="10" t="s">
        <v>102</v>
      </c>
      <c r="AR524" t="s">
        <v>170</v>
      </c>
      <c r="AT524" s="42"/>
      <c r="AU524" s="34" t="s">
        <v>155</v>
      </c>
      <c r="AV524" s="10" t="s">
        <v>9</v>
      </c>
      <c r="AW524" s="10">
        <v>9</v>
      </c>
      <c r="AX524" s="10" t="s">
        <v>152</v>
      </c>
      <c r="AY524">
        <v>21</v>
      </c>
      <c r="AZ524" s="10"/>
      <c r="BA524" s="43"/>
      <c r="BC524" s="42"/>
      <c r="BD524" s="34" t="s">
        <v>155</v>
      </c>
      <c r="BE524" s="10" t="s">
        <v>9</v>
      </c>
      <c r="BF524" s="10">
        <v>9</v>
      </c>
      <c r="BG524" s="10" t="s">
        <v>152</v>
      </c>
      <c r="BH524">
        <v>21</v>
      </c>
      <c r="BI524" s="10"/>
      <c r="BJ524" s="43"/>
      <c r="BL524" s="42"/>
      <c r="BM524" s="34" t="s">
        <v>155</v>
      </c>
      <c r="BN524" s="10" t="s">
        <v>9</v>
      </c>
      <c r="BO524" s="10">
        <v>9</v>
      </c>
      <c r="BP524" s="10" t="s">
        <v>152</v>
      </c>
      <c r="BQ524">
        <v>21</v>
      </c>
      <c r="BR524" s="10"/>
      <c r="BS524" s="43"/>
      <c r="BU524" s="42"/>
      <c r="BV524" s="34" t="s">
        <v>155</v>
      </c>
      <c r="BW524" s="10" t="s">
        <v>9</v>
      </c>
      <c r="BX524" s="10">
        <v>9</v>
      </c>
      <c r="BY524" s="10" t="s">
        <v>152</v>
      </c>
      <c r="BZ524">
        <v>21</v>
      </c>
      <c r="CA524" s="10"/>
      <c r="CB524" s="43"/>
      <c r="CD524" s="42"/>
      <c r="CE524" s="34" t="s">
        <v>155</v>
      </c>
      <c r="CF524" s="10" t="s">
        <v>9</v>
      </c>
      <c r="CG524" s="10">
        <v>9</v>
      </c>
      <c r="CH524" s="10" t="s">
        <v>152</v>
      </c>
      <c r="CI524">
        <v>21</v>
      </c>
      <c r="CJ524" s="10"/>
      <c r="CK524" s="43"/>
    </row>
    <row r="525" spans="1:89" x14ac:dyDescent="0.25">
      <c r="A525" s="42"/>
      <c r="B525" s="34" t="s">
        <v>155</v>
      </c>
      <c r="C525" s="10" t="s">
        <v>9</v>
      </c>
      <c r="D525" s="10">
        <v>10</v>
      </c>
      <c r="E525" s="10" t="s">
        <v>152</v>
      </c>
      <c r="F525">
        <v>22</v>
      </c>
      <c r="G525" s="10" t="s">
        <v>96</v>
      </c>
      <c r="H525" t="s">
        <v>180</v>
      </c>
      <c r="J525" s="42"/>
      <c r="K525" s="34" t="s">
        <v>155</v>
      </c>
      <c r="L525" s="10" t="s">
        <v>9</v>
      </c>
      <c r="M525" s="10">
        <v>10</v>
      </c>
      <c r="N525" s="10" t="s">
        <v>152</v>
      </c>
      <c r="O525">
        <v>22</v>
      </c>
      <c r="P525" s="10" t="s">
        <v>97</v>
      </c>
      <c r="Q525" s="43" t="s">
        <v>189</v>
      </c>
      <c r="S525" s="42"/>
      <c r="T525" s="34" t="s">
        <v>155</v>
      </c>
      <c r="U525" s="10" t="s">
        <v>9</v>
      </c>
      <c r="V525" s="10">
        <v>10</v>
      </c>
      <c r="W525" s="10" t="s">
        <v>152</v>
      </c>
      <c r="X525">
        <v>22</v>
      </c>
      <c r="Y525" s="10">
        <v>2046</v>
      </c>
      <c r="Z525" t="s">
        <v>178</v>
      </c>
      <c r="AB525" s="42"/>
      <c r="AC525" s="34" t="s">
        <v>155</v>
      </c>
      <c r="AD525" s="10" t="s">
        <v>9</v>
      </c>
      <c r="AE525" s="10">
        <v>10</v>
      </c>
      <c r="AF525" s="10" t="s">
        <v>152</v>
      </c>
      <c r="AG525">
        <v>22</v>
      </c>
      <c r="AH525" s="10">
        <v>2049</v>
      </c>
      <c r="AI525" t="s">
        <v>183</v>
      </c>
      <c r="AK525" s="42"/>
      <c r="AL525" s="34" t="s">
        <v>155</v>
      </c>
      <c r="AM525" s="10" t="s">
        <v>9</v>
      </c>
      <c r="AN525" s="10">
        <v>10</v>
      </c>
      <c r="AO525" s="10" t="s">
        <v>152</v>
      </c>
      <c r="AP525">
        <v>22</v>
      </c>
      <c r="AQ525" s="10" t="s">
        <v>102</v>
      </c>
      <c r="AR525" t="s">
        <v>178</v>
      </c>
      <c r="AT525" s="42"/>
      <c r="AU525" s="34" t="s">
        <v>155</v>
      </c>
      <c r="AV525" s="10" t="s">
        <v>9</v>
      </c>
      <c r="AW525" s="10">
        <v>10</v>
      </c>
      <c r="AX525" s="10" t="s">
        <v>152</v>
      </c>
      <c r="AY525">
        <v>22</v>
      </c>
      <c r="AZ525" s="10"/>
      <c r="BA525" s="43"/>
      <c r="BC525" s="42"/>
      <c r="BD525" s="34" t="s">
        <v>155</v>
      </c>
      <c r="BE525" s="10" t="s">
        <v>9</v>
      </c>
      <c r="BF525" s="10">
        <v>10</v>
      </c>
      <c r="BG525" s="10" t="s">
        <v>152</v>
      </c>
      <c r="BH525">
        <v>22</v>
      </c>
      <c r="BI525" s="10"/>
      <c r="BJ525" s="43"/>
      <c r="BL525" s="42"/>
      <c r="BM525" s="34" t="s">
        <v>155</v>
      </c>
      <c r="BN525" s="10" t="s">
        <v>9</v>
      </c>
      <c r="BO525" s="10">
        <v>10</v>
      </c>
      <c r="BP525" s="10" t="s">
        <v>152</v>
      </c>
      <c r="BQ525">
        <v>22</v>
      </c>
      <c r="BR525" s="10"/>
      <c r="BS525" s="43"/>
      <c r="BU525" s="42"/>
      <c r="BV525" s="34" t="s">
        <v>155</v>
      </c>
      <c r="BW525" s="10" t="s">
        <v>9</v>
      </c>
      <c r="BX525" s="10">
        <v>10</v>
      </c>
      <c r="BY525" s="10" t="s">
        <v>152</v>
      </c>
      <c r="BZ525">
        <v>22</v>
      </c>
      <c r="CA525" s="10"/>
      <c r="CB525" s="43"/>
      <c r="CD525" s="42"/>
      <c r="CE525" s="34" t="s">
        <v>155</v>
      </c>
      <c r="CF525" s="10" t="s">
        <v>9</v>
      </c>
      <c r="CG525" s="10">
        <v>10</v>
      </c>
      <c r="CH525" s="10" t="s">
        <v>152</v>
      </c>
      <c r="CI525">
        <v>22</v>
      </c>
      <c r="CJ525" s="10"/>
      <c r="CK525" s="43"/>
    </row>
    <row r="526" spans="1:89" x14ac:dyDescent="0.25">
      <c r="A526" s="42"/>
      <c r="B526" s="34" t="s">
        <v>155</v>
      </c>
      <c r="C526" s="10" t="s">
        <v>9</v>
      </c>
      <c r="D526" s="10">
        <v>11</v>
      </c>
      <c r="E526" s="10" t="s">
        <v>152</v>
      </c>
      <c r="F526">
        <v>23</v>
      </c>
      <c r="G526" s="10" t="s">
        <v>96</v>
      </c>
      <c r="H526" t="s">
        <v>181</v>
      </c>
      <c r="J526" s="42"/>
      <c r="K526" s="34" t="s">
        <v>155</v>
      </c>
      <c r="L526" s="10" t="s">
        <v>9</v>
      </c>
      <c r="M526" s="10">
        <v>11</v>
      </c>
      <c r="N526" s="10" t="s">
        <v>152</v>
      </c>
      <c r="O526">
        <v>23</v>
      </c>
      <c r="P526" s="10" t="s">
        <v>106</v>
      </c>
      <c r="Q526" s="43" t="s">
        <v>160</v>
      </c>
      <c r="S526" s="42"/>
      <c r="T526" s="34" t="s">
        <v>155</v>
      </c>
      <c r="U526" s="10" t="s">
        <v>9</v>
      </c>
      <c r="V526" s="10">
        <v>11</v>
      </c>
      <c r="W526" s="10" t="s">
        <v>152</v>
      </c>
      <c r="X526">
        <v>23</v>
      </c>
      <c r="Y526" s="10">
        <v>2046</v>
      </c>
      <c r="Z526" t="s">
        <v>163</v>
      </c>
      <c r="AB526" s="42"/>
      <c r="AC526" s="34" t="s">
        <v>155</v>
      </c>
      <c r="AD526" s="10" t="s">
        <v>9</v>
      </c>
      <c r="AE526" s="10">
        <v>11</v>
      </c>
      <c r="AF526" s="10" t="s">
        <v>152</v>
      </c>
      <c r="AG526">
        <v>23</v>
      </c>
      <c r="AH526" s="10">
        <v>2049</v>
      </c>
      <c r="AI526" t="s">
        <v>186</v>
      </c>
      <c r="AK526" s="42"/>
      <c r="AL526" s="34" t="s">
        <v>155</v>
      </c>
      <c r="AM526" s="10" t="s">
        <v>9</v>
      </c>
      <c r="AN526" s="10">
        <v>11</v>
      </c>
      <c r="AO526" s="10" t="s">
        <v>152</v>
      </c>
      <c r="AP526">
        <v>23</v>
      </c>
      <c r="AQ526" s="10" t="s">
        <v>102</v>
      </c>
      <c r="AR526" t="s">
        <v>163</v>
      </c>
      <c r="AT526" s="42"/>
      <c r="AU526" s="34" t="s">
        <v>155</v>
      </c>
      <c r="AV526" s="10" t="s">
        <v>9</v>
      </c>
      <c r="AW526" s="10">
        <v>11</v>
      </c>
      <c r="AX526" s="10" t="s">
        <v>152</v>
      </c>
      <c r="AY526">
        <v>23</v>
      </c>
      <c r="AZ526" s="10"/>
      <c r="BA526" s="43"/>
      <c r="BC526" s="42"/>
      <c r="BD526" s="34" t="s">
        <v>155</v>
      </c>
      <c r="BE526" s="10" t="s">
        <v>9</v>
      </c>
      <c r="BF526" s="10">
        <v>11</v>
      </c>
      <c r="BG526" s="10" t="s">
        <v>152</v>
      </c>
      <c r="BH526">
        <v>23</v>
      </c>
      <c r="BI526" s="10"/>
      <c r="BJ526" s="43"/>
      <c r="BL526" s="42"/>
      <c r="BM526" s="34" t="s">
        <v>155</v>
      </c>
      <c r="BN526" s="10" t="s">
        <v>9</v>
      </c>
      <c r="BO526" s="10">
        <v>11</v>
      </c>
      <c r="BP526" s="10" t="s">
        <v>152</v>
      </c>
      <c r="BQ526">
        <v>23</v>
      </c>
      <c r="BR526" s="10"/>
      <c r="BS526" s="43"/>
      <c r="BU526" s="42"/>
      <c r="BV526" s="34" t="s">
        <v>155</v>
      </c>
      <c r="BW526" s="10" t="s">
        <v>9</v>
      </c>
      <c r="BX526" s="10">
        <v>11</v>
      </c>
      <c r="BY526" s="10" t="s">
        <v>152</v>
      </c>
      <c r="BZ526">
        <v>23</v>
      </c>
      <c r="CA526" s="10"/>
      <c r="CB526" s="43"/>
      <c r="CD526" s="42"/>
      <c r="CE526" s="34" t="s">
        <v>155</v>
      </c>
      <c r="CF526" s="10" t="s">
        <v>9</v>
      </c>
      <c r="CG526" s="10">
        <v>11</v>
      </c>
      <c r="CH526" s="10" t="s">
        <v>152</v>
      </c>
      <c r="CI526">
        <v>23</v>
      </c>
      <c r="CJ526" s="10"/>
      <c r="CK526" s="43"/>
    </row>
    <row r="527" spans="1:89" ht="15.75" thickBot="1" x14ac:dyDescent="0.3">
      <c r="A527" s="47"/>
      <c r="B527" s="48" t="s">
        <v>155</v>
      </c>
      <c r="C527" s="49" t="s">
        <v>9</v>
      </c>
      <c r="D527" s="49">
        <v>12</v>
      </c>
      <c r="E527" s="49" t="s">
        <v>152</v>
      </c>
      <c r="F527" s="50">
        <v>24</v>
      </c>
      <c r="G527" s="10" t="s">
        <v>96</v>
      </c>
      <c r="H527" t="s">
        <v>183</v>
      </c>
      <c r="J527" s="47"/>
      <c r="K527" s="48" t="s">
        <v>155</v>
      </c>
      <c r="L527" s="49" t="s">
        <v>9</v>
      </c>
      <c r="M527" s="49">
        <v>12</v>
      </c>
      <c r="N527" s="49" t="s">
        <v>152</v>
      </c>
      <c r="O527" s="50">
        <v>24</v>
      </c>
      <c r="P527" s="10" t="s">
        <v>106</v>
      </c>
      <c r="Q527" s="51" t="s">
        <v>168</v>
      </c>
      <c r="S527" s="47"/>
      <c r="T527" s="48" t="s">
        <v>155</v>
      </c>
      <c r="U527" s="49" t="s">
        <v>9</v>
      </c>
      <c r="V527" s="49">
        <v>12</v>
      </c>
      <c r="W527" s="49" t="s">
        <v>152</v>
      </c>
      <c r="X527" s="50">
        <v>24</v>
      </c>
      <c r="Y527" s="10">
        <v>2046</v>
      </c>
      <c r="Z527" t="s">
        <v>171</v>
      </c>
      <c r="AB527" s="47"/>
      <c r="AC527" s="48" t="s">
        <v>155</v>
      </c>
      <c r="AD527" s="49" t="s">
        <v>9</v>
      </c>
      <c r="AE527" s="49">
        <v>12</v>
      </c>
      <c r="AF527" s="49" t="s">
        <v>152</v>
      </c>
      <c r="AG527" s="50">
        <v>24</v>
      </c>
      <c r="AH527" s="10">
        <v>2049</v>
      </c>
      <c r="AI527" s="43" t="s">
        <v>188</v>
      </c>
      <c r="AK527" s="47"/>
      <c r="AL527" s="48" t="s">
        <v>155</v>
      </c>
      <c r="AM527" s="49" t="s">
        <v>9</v>
      </c>
      <c r="AN527" s="49">
        <v>12</v>
      </c>
      <c r="AO527" s="49" t="s">
        <v>152</v>
      </c>
      <c r="AP527" s="50">
        <v>24</v>
      </c>
      <c r="AQ527" s="10" t="s">
        <v>102</v>
      </c>
      <c r="AR527" t="s">
        <v>171</v>
      </c>
      <c r="AT527" s="47"/>
      <c r="AU527" s="48" t="s">
        <v>155</v>
      </c>
      <c r="AV527" s="49" t="s">
        <v>9</v>
      </c>
      <c r="AW527" s="49">
        <v>12</v>
      </c>
      <c r="AX527" s="49" t="s">
        <v>152</v>
      </c>
      <c r="AY527" s="50">
        <v>24</v>
      </c>
      <c r="AZ527" s="10"/>
      <c r="BA527" s="43"/>
      <c r="BC527" s="47"/>
      <c r="BD527" s="48" t="s">
        <v>155</v>
      </c>
      <c r="BE527" s="49" t="s">
        <v>9</v>
      </c>
      <c r="BF527" s="49">
        <v>12</v>
      </c>
      <c r="BG527" s="49" t="s">
        <v>152</v>
      </c>
      <c r="BH527" s="50">
        <v>24</v>
      </c>
      <c r="BI527" s="10"/>
      <c r="BJ527" s="43"/>
      <c r="BL527" s="47"/>
      <c r="BM527" s="48" t="s">
        <v>155</v>
      </c>
      <c r="BN527" s="49" t="s">
        <v>9</v>
      </c>
      <c r="BO527" s="49">
        <v>12</v>
      </c>
      <c r="BP527" s="49" t="s">
        <v>152</v>
      </c>
      <c r="BQ527" s="50">
        <v>24</v>
      </c>
      <c r="BR527" s="10"/>
      <c r="BS527" s="43"/>
      <c r="BU527" s="47"/>
      <c r="BV527" s="48" t="s">
        <v>155</v>
      </c>
      <c r="BW527" s="49" t="s">
        <v>9</v>
      </c>
      <c r="BX527" s="49">
        <v>12</v>
      </c>
      <c r="BY527" s="49" t="s">
        <v>152</v>
      </c>
      <c r="BZ527" s="50">
        <v>24</v>
      </c>
      <c r="CA527" s="10"/>
      <c r="CB527" s="43"/>
      <c r="CD527" s="47"/>
      <c r="CE527" s="48" t="s">
        <v>155</v>
      </c>
      <c r="CF527" s="49" t="s">
        <v>9</v>
      </c>
      <c r="CG527" s="49">
        <v>12</v>
      </c>
      <c r="CH527" s="49" t="s">
        <v>152</v>
      </c>
      <c r="CI527" s="50">
        <v>24</v>
      </c>
      <c r="CJ527" s="10"/>
      <c r="CK527" s="43"/>
    </row>
    <row r="528" spans="1:89" x14ac:dyDescent="0.25">
      <c r="A528" s="56"/>
      <c r="B528" s="31" t="s">
        <v>155</v>
      </c>
      <c r="C528" s="58" t="s">
        <v>12</v>
      </c>
      <c r="D528" s="58">
        <v>1</v>
      </c>
      <c r="E528" s="58" t="s">
        <v>152</v>
      </c>
      <c r="F528" s="59">
        <v>25</v>
      </c>
      <c r="G528" s="10" t="s">
        <v>96</v>
      </c>
      <c r="H528" t="s">
        <v>186</v>
      </c>
      <c r="J528" s="56"/>
      <c r="K528" s="31" t="s">
        <v>155</v>
      </c>
      <c r="L528" s="58" t="s">
        <v>12</v>
      </c>
      <c r="M528" s="58">
        <v>1</v>
      </c>
      <c r="N528" s="58" t="s">
        <v>152</v>
      </c>
      <c r="O528" s="59">
        <v>25</v>
      </c>
      <c r="P528" s="10" t="s">
        <v>106</v>
      </c>
      <c r="Q528" s="43" t="s">
        <v>176</v>
      </c>
      <c r="S528" s="56"/>
      <c r="T528" s="31" t="s">
        <v>155</v>
      </c>
      <c r="U528" s="58" t="s">
        <v>12</v>
      </c>
      <c r="V528" s="58">
        <v>1</v>
      </c>
      <c r="W528" s="58" t="s">
        <v>152</v>
      </c>
      <c r="X528" s="59">
        <v>25</v>
      </c>
      <c r="Y528" s="10">
        <v>2046</v>
      </c>
      <c r="Z528" t="s">
        <v>161</v>
      </c>
      <c r="AB528" s="56"/>
      <c r="AC528" s="31" t="s">
        <v>155</v>
      </c>
      <c r="AD528" s="58" t="s">
        <v>12</v>
      </c>
      <c r="AE528" s="58">
        <v>1</v>
      </c>
      <c r="AF528" s="58" t="s">
        <v>152</v>
      </c>
      <c r="AG528" s="59">
        <v>25</v>
      </c>
      <c r="AH528" s="10">
        <v>2049</v>
      </c>
      <c r="AI528" s="43" t="s">
        <v>182</v>
      </c>
      <c r="AK528" s="56"/>
      <c r="AL528" s="31" t="s">
        <v>155</v>
      </c>
      <c r="AM528" s="58" t="s">
        <v>12</v>
      </c>
      <c r="AN528" s="58">
        <v>1</v>
      </c>
      <c r="AO528" s="58" t="s">
        <v>152</v>
      </c>
      <c r="AP528" s="59">
        <v>25</v>
      </c>
      <c r="AQ528" s="10" t="s">
        <v>102</v>
      </c>
      <c r="AR528" t="s">
        <v>161</v>
      </c>
      <c r="AT528" s="56"/>
      <c r="AU528" s="31" t="s">
        <v>155</v>
      </c>
      <c r="AV528" s="58" t="s">
        <v>12</v>
      </c>
      <c r="AW528" s="58">
        <v>1</v>
      </c>
      <c r="AX528" s="58" t="s">
        <v>152</v>
      </c>
      <c r="AY528" s="59">
        <v>25</v>
      </c>
      <c r="AZ528" s="10"/>
      <c r="BA528" s="43"/>
      <c r="BC528" s="56"/>
      <c r="BD528" s="31" t="s">
        <v>155</v>
      </c>
      <c r="BE528" s="58" t="s">
        <v>12</v>
      </c>
      <c r="BF528" s="58">
        <v>1</v>
      </c>
      <c r="BG528" s="58" t="s">
        <v>152</v>
      </c>
      <c r="BH528" s="59">
        <v>25</v>
      </c>
      <c r="BI528" s="10"/>
      <c r="BJ528" s="43"/>
      <c r="BL528" s="56"/>
      <c r="BM528" s="31" t="s">
        <v>155</v>
      </c>
      <c r="BN528" s="58" t="s">
        <v>12</v>
      </c>
      <c r="BO528" s="58">
        <v>1</v>
      </c>
      <c r="BP528" s="58" t="s">
        <v>152</v>
      </c>
      <c r="BQ528" s="59">
        <v>25</v>
      </c>
      <c r="BR528" s="10"/>
      <c r="BS528" s="43"/>
      <c r="BU528" s="56"/>
      <c r="BV528" s="31" t="s">
        <v>155</v>
      </c>
      <c r="BW528" s="58" t="s">
        <v>12</v>
      </c>
      <c r="BX528" s="58">
        <v>1</v>
      </c>
      <c r="BY528" s="58" t="s">
        <v>152</v>
      </c>
      <c r="BZ528" s="59">
        <v>25</v>
      </c>
      <c r="CA528" s="10"/>
      <c r="CB528" s="43"/>
      <c r="CD528" s="56"/>
      <c r="CE528" s="31" t="s">
        <v>155</v>
      </c>
      <c r="CF528" s="58" t="s">
        <v>12</v>
      </c>
      <c r="CG528" s="58">
        <v>1</v>
      </c>
      <c r="CH528" s="58" t="s">
        <v>152</v>
      </c>
      <c r="CI528" s="59">
        <v>25</v>
      </c>
      <c r="CJ528" s="10"/>
      <c r="CK528" s="43"/>
    </row>
    <row r="529" spans="1:89" x14ac:dyDescent="0.25">
      <c r="A529" s="42"/>
      <c r="B529" s="34" t="s">
        <v>155</v>
      </c>
      <c r="C529" s="10" t="s">
        <v>12</v>
      </c>
      <c r="D529" s="10">
        <v>2</v>
      </c>
      <c r="E529" s="10" t="s">
        <v>152</v>
      </c>
      <c r="F529">
        <v>26</v>
      </c>
      <c r="G529" s="10" t="s">
        <v>96</v>
      </c>
      <c r="H529" s="43" t="s">
        <v>188</v>
      </c>
      <c r="J529" s="42"/>
      <c r="K529" s="34" t="s">
        <v>155</v>
      </c>
      <c r="L529" s="10" t="s">
        <v>12</v>
      </c>
      <c r="M529" s="10">
        <v>2</v>
      </c>
      <c r="N529" s="10" t="s">
        <v>152</v>
      </c>
      <c r="O529">
        <v>26</v>
      </c>
      <c r="P529" s="10" t="s">
        <v>106</v>
      </c>
      <c r="Q529" s="43" t="s">
        <v>164</v>
      </c>
      <c r="S529" s="42"/>
      <c r="T529" s="34" t="s">
        <v>155</v>
      </c>
      <c r="U529" s="10" t="s">
        <v>12</v>
      </c>
      <c r="V529" s="10">
        <v>2</v>
      </c>
      <c r="W529" s="10" t="s">
        <v>152</v>
      </c>
      <c r="X529">
        <v>26</v>
      </c>
      <c r="Y529" s="10">
        <v>2046</v>
      </c>
      <c r="Z529" t="s">
        <v>169</v>
      </c>
      <c r="AB529" s="42"/>
      <c r="AC529" s="34" t="s">
        <v>155</v>
      </c>
      <c r="AD529" s="10" t="s">
        <v>12</v>
      </c>
      <c r="AE529" s="10">
        <v>2</v>
      </c>
      <c r="AF529" s="10" t="s">
        <v>152</v>
      </c>
      <c r="AG529">
        <v>26</v>
      </c>
      <c r="AH529" s="10">
        <v>2049</v>
      </c>
      <c r="AI529" s="43" t="s">
        <v>184</v>
      </c>
      <c r="AK529" s="42"/>
      <c r="AL529" s="34" t="s">
        <v>155</v>
      </c>
      <c r="AM529" s="10" t="s">
        <v>12</v>
      </c>
      <c r="AN529" s="10">
        <v>2</v>
      </c>
      <c r="AO529" s="10" t="s">
        <v>152</v>
      </c>
      <c r="AP529">
        <v>26</v>
      </c>
      <c r="AQ529" s="10" t="s">
        <v>102</v>
      </c>
      <c r="AR529" t="s">
        <v>169</v>
      </c>
      <c r="AT529" s="42"/>
      <c r="AU529" s="34" t="s">
        <v>155</v>
      </c>
      <c r="AV529" s="10" t="s">
        <v>12</v>
      </c>
      <c r="AW529" s="10">
        <v>2</v>
      </c>
      <c r="AX529" s="10" t="s">
        <v>152</v>
      </c>
      <c r="AY529">
        <v>26</v>
      </c>
      <c r="AZ529" s="10"/>
      <c r="BA529" s="43"/>
      <c r="BC529" s="42"/>
      <c r="BD529" s="34" t="s">
        <v>155</v>
      </c>
      <c r="BE529" s="10" t="s">
        <v>12</v>
      </c>
      <c r="BF529" s="10">
        <v>2</v>
      </c>
      <c r="BG529" s="10" t="s">
        <v>152</v>
      </c>
      <c r="BH529">
        <v>26</v>
      </c>
      <c r="BI529" s="10"/>
      <c r="BJ529" s="43"/>
      <c r="BL529" s="42"/>
      <c r="BM529" s="34" t="s">
        <v>155</v>
      </c>
      <c r="BN529" s="10" t="s">
        <v>12</v>
      </c>
      <c r="BO529" s="10">
        <v>2</v>
      </c>
      <c r="BP529" s="10" t="s">
        <v>152</v>
      </c>
      <c r="BQ529">
        <v>26</v>
      </c>
      <c r="BR529" s="10"/>
      <c r="BS529" s="43"/>
      <c r="BU529" s="42"/>
      <c r="BV529" s="34" t="s">
        <v>155</v>
      </c>
      <c r="BW529" s="10" t="s">
        <v>12</v>
      </c>
      <c r="BX529" s="10">
        <v>2</v>
      </c>
      <c r="BY529" s="10" t="s">
        <v>152</v>
      </c>
      <c r="BZ529">
        <v>26</v>
      </c>
      <c r="CA529" s="10"/>
      <c r="CB529" s="43"/>
      <c r="CD529" s="42"/>
      <c r="CE529" s="34" t="s">
        <v>155</v>
      </c>
      <c r="CF529" s="10" t="s">
        <v>12</v>
      </c>
      <c r="CG529" s="10">
        <v>2</v>
      </c>
      <c r="CH529" s="10" t="s">
        <v>152</v>
      </c>
      <c r="CI529">
        <v>26</v>
      </c>
      <c r="CJ529" s="10"/>
      <c r="CK529" s="43"/>
    </row>
    <row r="530" spans="1:89" x14ac:dyDescent="0.25">
      <c r="A530" s="42"/>
      <c r="B530" s="34" t="s">
        <v>155</v>
      </c>
      <c r="C530" s="10" t="s">
        <v>12</v>
      </c>
      <c r="D530" s="10">
        <v>3</v>
      </c>
      <c r="E530" s="10" t="s">
        <v>152</v>
      </c>
      <c r="F530">
        <v>27</v>
      </c>
      <c r="G530" s="10" t="s">
        <v>96</v>
      </c>
      <c r="H530" s="43" t="s">
        <v>182</v>
      </c>
      <c r="J530" s="42"/>
      <c r="K530" s="34" t="s">
        <v>155</v>
      </c>
      <c r="L530" s="10" t="s">
        <v>12</v>
      </c>
      <c r="M530" s="10">
        <v>3</v>
      </c>
      <c r="N530" s="10" t="s">
        <v>152</v>
      </c>
      <c r="O530">
        <v>27</v>
      </c>
      <c r="P530" s="10" t="s">
        <v>106</v>
      </c>
      <c r="Q530" t="s">
        <v>172</v>
      </c>
      <c r="S530" s="42"/>
      <c r="T530" s="34" t="s">
        <v>155</v>
      </c>
      <c r="U530" s="10" t="s">
        <v>12</v>
      </c>
      <c r="V530" s="10">
        <v>3</v>
      </c>
      <c r="W530" s="10" t="s">
        <v>152</v>
      </c>
      <c r="X530">
        <v>27</v>
      </c>
      <c r="Y530" s="10">
        <v>2046</v>
      </c>
      <c r="Z530" t="s">
        <v>177</v>
      </c>
      <c r="AB530" s="42"/>
      <c r="AC530" s="34" t="s">
        <v>155</v>
      </c>
      <c r="AD530" s="10" t="s">
        <v>12</v>
      </c>
      <c r="AE530" s="10">
        <v>3</v>
      </c>
      <c r="AF530" s="10" t="s">
        <v>152</v>
      </c>
      <c r="AG530">
        <v>27</v>
      </c>
      <c r="AH530" s="10">
        <v>2049</v>
      </c>
      <c r="AI530" s="43" t="s">
        <v>187</v>
      </c>
      <c r="AK530" s="42"/>
      <c r="AL530" s="34" t="s">
        <v>155</v>
      </c>
      <c r="AM530" s="10" t="s">
        <v>12</v>
      </c>
      <c r="AN530" s="10">
        <v>3</v>
      </c>
      <c r="AO530" s="10" t="s">
        <v>152</v>
      </c>
      <c r="AP530">
        <v>27</v>
      </c>
      <c r="AQ530" s="10" t="s">
        <v>102</v>
      </c>
      <c r="AR530" t="s">
        <v>177</v>
      </c>
      <c r="AT530" s="42"/>
      <c r="AU530" s="34" t="s">
        <v>155</v>
      </c>
      <c r="AV530" s="10" t="s">
        <v>12</v>
      </c>
      <c r="AW530" s="10">
        <v>3</v>
      </c>
      <c r="AX530" s="10" t="s">
        <v>152</v>
      </c>
      <c r="AY530">
        <v>27</v>
      </c>
      <c r="AZ530" s="10"/>
      <c r="BA530" s="51"/>
      <c r="BC530" s="42"/>
      <c r="BD530" s="34" t="s">
        <v>155</v>
      </c>
      <c r="BE530" s="10" t="s">
        <v>12</v>
      </c>
      <c r="BF530" s="10">
        <v>3</v>
      </c>
      <c r="BG530" s="10" t="s">
        <v>152</v>
      </c>
      <c r="BH530">
        <v>27</v>
      </c>
      <c r="BI530" s="10"/>
      <c r="BJ530" s="51"/>
      <c r="BL530" s="42"/>
      <c r="BM530" s="34" t="s">
        <v>155</v>
      </c>
      <c r="BN530" s="10" t="s">
        <v>12</v>
      </c>
      <c r="BO530" s="10">
        <v>3</v>
      </c>
      <c r="BP530" s="10" t="s">
        <v>152</v>
      </c>
      <c r="BQ530">
        <v>27</v>
      </c>
      <c r="BR530" s="10"/>
      <c r="BS530" s="51"/>
      <c r="BU530" s="42"/>
      <c r="BV530" s="34" t="s">
        <v>155</v>
      </c>
      <c r="BW530" s="10" t="s">
        <v>12</v>
      </c>
      <c r="BX530" s="10">
        <v>3</v>
      </c>
      <c r="BY530" s="10" t="s">
        <v>152</v>
      </c>
      <c r="BZ530">
        <v>27</v>
      </c>
      <c r="CA530" s="10"/>
      <c r="CB530" s="51"/>
      <c r="CD530" s="42"/>
      <c r="CE530" s="34" t="s">
        <v>155</v>
      </c>
      <c r="CF530" s="10" t="s">
        <v>12</v>
      </c>
      <c r="CG530" s="10">
        <v>3</v>
      </c>
      <c r="CH530" s="10" t="s">
        <v>152</v>
      </c>
      <c r="CI530">
        <v>27</v>
      </c>
      <c r="CJ530" s="10"/>
      <c r="CK530" s="51"/>
    </row>
    <row r="531" spans="1:89" x14ac:dyDescent="0.25">
      <c r="A531" s="42"/>
      <c r="B531" s="34" t="s">
        <v>155</v>
      </c>
      <c r="C531" s="10" t="s">
        <v>12</v>
      </c>
      <c r="D531" s="10">
        <v>4</v>
      </c>
      <c r="E531" s="10" t="s">
        <v>152</v>
      </c>
      <c r="F531">
        <v>28</v>
      </c>
      <c r="G531" s="10" t="s">
        <v>96</v>
      </c>
      <c r="H531" s="43" t="s">
        <v>184</v>
      </c>
      <c r="J531" s="42"/>
      <c r="K531" s="34" t="s">
        <v>155</v>
      </c>
      <c r="L531" s="10" t="s">
        <v>12</v>
      </c>
      <c r="M531" s="10">
        <v>4</v>
      </c>
      <c r="N531" s="10" t="s">
        <v>152</v>
      </c>
      <c r="O531">
        <v>28</v>
      </c>
      <c r="P531" s="10" t="s">
        <v>106</v>
      </c>
      <c r="Q531" t="s">
        <v>162</v>
      </c>
      <c r="S531" s="42"/>
      <c r="T531" s="34" t="s">
        <v>155</v>
      </c>
      <c r="U531" s="10" t="s">
        <v>12</v>
      </c>
      <c r="V531" s="10">
        <v>4</v>
      </c>
      <c r="W531" s="10" t="s">
        <v>152</v>
      </c>
      <c r="X531">
        <v>28</v>
      </c>
      <c r="Y531" s="10">
        <v>2046</v>
      </c>
      <c r="Z531" t="s">
        <v>180</v>
      </c>
      <c r="AB531" s="42"/>
      <c r="AC531" s="34" t="s">
        <v>155</v>
      </c>
      <c r="AD531" s="10" t="s">
        <v>12</v>
      </c>
      <c r="AE531" s="10">
        <v>4</v>
      </c>
      <c r="AF531" s="10" t="s">
        <v>152</v>
      </c>
      <c r="AG531">
        <v>28</v>
      </c>
      <c r="AH531" s="10">
        <v>2049</v>
      </c>
      <c r="AI531" s="43" t="s">
        <v>189</v>
      </c>
      <c r="AK531" s="42"/>
      <c r="AL531" s="34" t="s">
        <v>155</v>
      </c>
      <c r="AM531" s="10" t="s">
        <v>12</v>
      </c>
      <c r="AN531" s="10">
        <v>4</v>
      </c>
      <c r="AO531" s="10" t="s">
        <v>152</v>
      </c>
      <c r="AP531">
        <v>28</v>
      </c>
      <c r="AQ531" s="10" t="s">
        <v>102</v>
      </c>
      <c r="AR531" t="s">
        <v>180</v>
      </c>
      <c r="AT531" s="42"/>
      <c r="AU531" s="34" t="s">
        <v>155</v>
      </c>
      <c r="AV531" s="10" t="s">
        <v>12</v>
      </c>
      <c r="AW531" s="10">
        <v>4</v>
      </c>
      <c r="AX531" s="10" t="s">
        <v>152</v>
      </c>
      <c r="AY531">
        <v>28</v>
      </c>
      <c r="AZ531" s="10"/>
      <c r="BA531" s="43"/>
      <c r="BC531" s="42"/>
      <c r="BD531" s="34" t="s">
        <v>155</v>
      </c>
      <c r="BE531" s="10" t="s">
        <v>12</v>
      </c>
      <c r="BF531" s="10">
        <v>4</v>
      </c>
      <c r="BG531" s="10" t="s">
        <v>152</v>
      </c>
      <c r="BH531">
        <v>28</v>
      </c>
      <c r="BI531" s="10"/>
      <c r="BJ531" s="43"/>
      <c r="BL531" s="42"/>
      <c r="BM531" s="34" t="s">
        <v>155</v>
      </c>
      <c r="BN531" s="10" t="s">
        <v>12</v>
      </c>
      <c r="BO531" s="10">
        <v>4</v>
      </c>
      <c r="BP531" s="10" t="s">
        <v>152</v>
      </c>
      <c r="BQ531">
        <v>28</v>
      </c>
      <c r="BR531" s="10"/>
      <c r="BS531" s="43"/>
      <c r="BU531" s="42"/>
      <c r="BV531" s="34" t="s">
        <v>155</v>
      </c>
      <c r="BW531" s="10" t="s">
        <v>12</v>
      </c>
      <c r="BX531" s="10">
        <v>4</v>
      </c>
      <c r="BY531" s="10" t="s">
        <v>152</v>
      </c>
      <c r="BZ531">
        <v>28</v>
      </c>
      <c r="CA531" s="10"/>
      <c r="CB531" s="43"/>
      <c r="CD531" s="42"/>
      <c r="CE531" s="34" t="s">
        <v>155</v>
      </c>
      <c r="CF531" s="10" t="s">
        <v>12</v>
      </c>
      <c r="CG531" s="10">
        <v>4</v>
      </c>
      <c r="CH531" s="10" t="s">
        <v>152</v>
      </c>
      <c r="CI531">
        <v>28</v>
      </c>
      <c r="CJ531" s="10"/>
      <c r="CK531" s="43"/>
    </row>
    <row r="532" spans="1:89" x14ac:dyDescent="0.25">
      <c r="A532" s="42"/>
      <c r="B532" s="34" t="s">
        <v>155</v>
      </c>
      <c r="C532" s="10" t="s">
        <v>12</v>
      </c>
      <c r="D532" s="10">
        <v>5</v>
      </c>
      <c r="E532" s="10" t="s">
        <v>152</v>
      </c>
      <c r="F532">
        <v>29</v>
      </c>
      <c r="G532" s="10" t="s">
        <v>96</v>
      </c>
      <c r="H532" s="43" t="s">
        <v>187</v>
      </c>
      <c r="J532" s="42"/>
      <c r="K532" s="34" t="s">
        <v>155</v>
      </c>
      <c r="L532" s="10" t="s">
        <v>12</v>
      </c>
      <c r="M532" s="10">
        <v>5</v>
      </c>
      <c r="N532" s="10" t="s">
        <v>152</v>
      </c>
      <c r="O532">
        <v>29</v>
      </c>
      <c r="P532" s="10" t="s">
        <v>106</v>
      </c>
      <c r="Q532" t="s">
        <v>170</v>
      </c>
      <c r="S532" s="42"/>
      <c r="T532" s="34" t="s">
        <v>155</v>
      </c>
      <c r="U532" s="10" t="s">
        <v>12</v>
      </c>
      <c r="V532" s="10">
        <v>5</v>
      </c>
      <c r="W532" s="10" t="s">
        <v>152</v>
      </c>
      <c r="X532">
        <v>29</v>
      </c>
      <c r="Y532" s="10">
        <v>2046</v>
      </c>
      <c r="Z532" t="s">
        <v>181</v>
      </c>
      <c r="AB532" s="42"/>
      <c r="AC532" s="34" t="s">
        <v>155</v>
      </c>
      <c r="AD532" s="10" t="s">
        <v>12</v>
      </c>
      <c r="AE532" s="10">
        <v>5</v>
      </c>
      <c r="AF532" s="10" t="s">
        <v>152</v>
      </c>
      <c r="AG532">
        <v>29</v>
      </c>
      <c r="AH532" s="10">
        <v>2050</v>
      </c>
      <c r="AI532" s="43" t="s">
        <v>160</v>
      </c>
      <c r="AK532" s="42"/>
      <c r="AL532" s="34" t="s">
        <v>155</v>
      </c>
      <c r="AM532" s="10" t="s">
        <v>12</v>
      </c>
      <c r="AN532" s="10">
        <v>5</v>
      </c>
      <c r="AO532" s="10" t="s">
        <v>152</v>
      </c>
      <c r="AP532">
        <v>29</v>
      </c>
      <c r="AQ532" s="10" t="s">
        <v>102</v>
      </c>
      <c r="AR532" t="s">
        <v>181</v>
      </c>
      <c r="AT532" s="42"/>
      <c r="AU532" s="34" t="s">
        <v>155</v>
      </c>
      <c r="AV532" s="10" t="s">
        <v>12</v>
      </c>
      <c r="AW532" s="10">
        <v>5</v>
      </c>
      <c r="AX532" s="10" t="s">
        <v>152</v>
      </c>
      <c r="AY532">
        <v>29</v>
      </c>
      <c r="AZ532" s="10"/>
      <c r="BA532" s="43"/>
      <c r="BC532" s="42"/>
      <c r="BD532" s="34" t="s">
        <v>155</v>
      </c>
      <c r="BE532" s="10" t="s">
        <v>12</v>
      </c>
      <c r="BF532" s="10">
        <v>5</v>
      </c>
      <c r="BG532" s="10" t="s">
        <v>152</v>
      </c>
      <c r="BH532">
        <v>29</v>
      </c>
      <c r="BI532" s="10"/>
      <c r="BJ532" s="43"/>
      <c r="BL532" s="42"/>
      <c r="BM532" s="34" t="s">
        <v>155</v>
      </c>
      <c r="BN532" s="10" t="s">
        <v>12</v>
      </c>
      <c r="BO532" s="10">
        <v>5</v>
      </c>
      <c r="BP532" s="10" t="s">
        <v>152</v>
      </c>
      <c r="BQ532">
        <v>29</v>
      </c>
      <c r="BR532" s="10"/>
      <c r="BS532" s="43"/>
      <c r="BU532" s="42"/>
      <c r="BV532" s="34" t="s">
        <v>155</v>
      </c>
      <c r="BW532" s="10" t="s">
        <v>12</v>
      </c>
      <c r="BX532" s="10">
        <v>5</v>
      </c>
      <c r="BY532" s="10" t="s">
        <v>152</v>
      </c>
      <c r="BZ532">
        <v>29</v>
      </c>
      <c r="CA532" s="10"/>
      <c r="CB532" s="43"/>
      <c r="CD532" s="42"/>
      <c r="CE532" s="34" t="s">
        <v>155</v>
      </c>
      <c r="CF532" s="10" t="s">
        <v>12</v>
      </c>
      <c r="CG532" s="10">
        <v>5</v>
      </c>
      <c r="CH532" s="10" t="s">
        <v>152</v>
      </c>
      <c r="CI532">
        <v>29</v>
      </c>
      <c r="CJ532" s="10"/>
      <c r="CK532" s="43"/>
    </row>
    <row r="533" spans="1:89" x14ac:dyDescent="0.25">
      <c r="A533" s="42"/>
      <c r="B533" s="34" t="s">
        <v>155</v>
      </c>
      <c r="C533" s="10" t="s">
        <v>12</v>
      </c>
      <c r="D533" s="10">
        <v>6</v>
      </c>
      <c r="E533" s="10" t="s">
        <v>152</v>
      </c>
      <c r="F533">
        <v>30</v>
      </c>
      <c r="G533" s="10" t="s">
        <v>96</v>
      </c>
      <c r="H533" s="43" t="s">
        <v>189</v>
      </c>
      <c r="J533" s="42"/>
      <c r="K533" s="34" t="s">
        <v>155</v>
      </c>
      <c r="L533" s="10" t="s">
        <v>12</v>
      </c>
      <c r="M533" s="10">
        <v>6</v>
      </c>
      <c r="N533" s="10" t="s">
        <v>152</v>
      </c>
      <c r="O533">
        <v>30</v>
      </c>
      <c r="P533" s="10" t="s">
        <v>106</v>
      </c>
      <c r="Q533" t="s">
        <v>178</v>
      </c>
      <c r="S533" s="42"/>
      <c r="T533" s="34" t="s">
        <v>155</v>
      </c>
      <c r="U533" s="10" t="s">
        <v>12</v>
      </c>
      <c r="V533" s="10">
        <v>6</v>
      </c>
      <c r="W533" s="10" t="s">
        <v>152</v>
      </c>
      <c r="X533">
        <v>30</v>
      </c>
      <c r="Y533" s="10">
        <v>2046</v>
      </c>
      <c r="Z533" t="s">
        <v>183</v>
      </c>
      <c r="AB533" s="42"/>
      <c r="AC533" s="34" t="s">
        <v>155</v>
      </c>
      <c r="AD533" s="10" t="s">
        <v>12</v>
      </c>
      <c r="AE533" s="10">
        <v>6</v>
      </c>
      <c r="AF533" s="10" t="s">
        <v>152</v>
      </c>
      <c r="AG533">
        <v>30</v>
      </c>
      <c r="AH533" s="10">
        <v>2050</v>
      </c>
      <c r="AI533" s="51" t="s">
        <v>168</v>
      </c>
      <c r="AK533" s="42"/>
      <c r="AL533" s="34" t="s">
        <v>155</v>
      </c>
      <c r="AM533" s="10" t="s">
        <v>12</v>
      </c>
      <c r="AN533" s="10">
        <v>6</v>
      </c>
      <c r="AO533" s="10" t="s">
        <v>152</v>
      </c>
      <c r="AP533">
        <v>30</v>
      </c>
      <c r="AQ533" s="10" t="s">
        <v>102</v>
      </c>
      <c r="AR533" t="s">
        <v>183</v>
      </c>
      <c r="AT533" s="42"/>
      <c r="AU533" s="34" t="s">
        <v>155</v>
      </c>
      <c r="AV533" s="10" t="s">
        <v>12</v>
      </c>
      <c r="AW533" s="10">
        <v>6</v>
      </c>
      <c r="AX533" s="10" t="s">
        <v>152</v>
      </c>
      <c r="AY533">
        <v>30</v>
      </c>
      <c r="AZ533" s="10"/>
      <c r="BA533" s="43"/>
      <c r="BC533" s="42"/>
      <c r="BD533" s="34" t="s">
        <v>155</v>
      </c>
      <c r="BE533" s="10" t="s">
        <v>12</v>
      </c>
      <c r="BF533" s="10">
        <v>6</v>
      </c>
      <c r="BG533" s="10" t="s">
        <v>152</v>
      </c>
      <c r="BH533">
        <v>30</v>
      </c>
      <c r="BI533" s="10"/>
      <c r="BJ533" s="43"/>
      <c r="BL533" s="42"/>
      <c r="BM533" s="34" t="s">
        <v>155</v>
      </c>
      <c r="BN533" s="10" t="s">
        <v>12</v>
      </c>
      <c r="BO533" s="10">
        <v>6</v>
      </c>
      <c r="BP533" s="10" t="s">
        <v>152</v>
      </c>
      <c r="BQ533">
        <v>30</v>
      </c>
      <c r="BR533" s="10"/>
      <c r="BS533" s="43"/>
      <c r="BU533" s="42"/>
      <c r="BV533" s="34" t="s">
        <v>155</v>
      </c>
      <c r="BW533" s="10" t="s">
        <v>12</v>
      </c>
      <c r="BX533" s="10">
        <v>6</v>
      </c>
      <c r="BY533" s="10" t="s">
        <v>152</v>
      </c>
      <c r="BZ533">
        <v>30</v>
      </c>
      <c r="CA533" s="10"/>
      <c r="CB533" s="43"/>
      <c r="CD533" s="42"/>
      <c r="CE533" s="34" t="s">
        <v>155</v>
      </c>
      <c r="CF533" s="10" t="s">
        <v>12</v>
      </c>
      <c r="CG533" s="10">
        <v>6</v>
      </c>
      <c r="CH533" s="10" t="s">
        <v>152</v>
      </c>
      <c r="CI533">
        <v>30</v>
      </c>
      <c r="CJ533" s="10"/>
      <c r="CK533" s="43"/>
    </row>
    <row r="534" spans="1:89" x14ac:dyDescent="0.25">
      <c r="A534" s="42"/>
      <c r="B534" s="34" t="s">
        <v>155</v>
      </c>
      <c r="C534" s="10" t="s">
        <v>12</v>
      </c>
      <c r="D534" s="10">
        <v>7</v>
      </c>
      <c r="E534" s="10" t="s">
        <v>152</v>
      </c>
      <c r="F534">
        <v>31</v>
      </c>
      <c r="G534" s="10">
        <v>2043</v>
      </c>
      <c r="H534" s="43" t="s">
        <v>160</v>
      </c>
      <c r="J534" s="42"/>
      <c r="K534" s="34" t="s">
        <v>155</v>
      </c>
      <c r="L534" s="10" t="s">
        <v>12</v>
      </c>
      <c r="M534" s="10">
        <v>7</v>
      </c>
      <c r="N534" s="10" t="s">
        <v>152</v>
      </c>
      <c r="O534">
        <v>31</v>
      </c>
      <c r="P534" s="10" t="s">
        <v>106</v>
      </c>
      <c r="Q534" t="s">
        <v>163</v>
      </c>
      <c r="S534" s="42"/>
      <c r="T534" s="34" t="s">
        <v>155</v>
      </c>
      <c r="U534" s="10" t="s">
        <v>12</v>
      </c>
      <c r="V534" s="10">
        <v>7</v>
      </c>
      <c r="W534" s="10" t="s">
        <v>152</v>
      </c>
      <c r="X534">
        <v>31</v>
      </c>
      <c r="Y534" s="10">
        <v>2046</v>
      </c>
      <c r="Z534" t="s">
        <v>186</v>
      </c>
      <c r="AB534" s="42"/>
      <c r="AC534" s="34" t="s">
        <v>155</v>
      </c>
      <c r="AD534" s="10" t="s">
        <v>12</v>
      </c>
      <c r="AE534" s="10">
        <v>7</v>
      </c>
      <c r="AF534" s="10" t="s">
        <v>152</v>
      </c>
      <c r="AG534">
        <v>31</v>
      </c>
      <c r="AH534" s="10">
        <v>2050</v>
      </c>
      <c r="AI534" s="43" t="s">
        <v>176</v>
      </c>
      <c r="AK534" s="42"/>
      <c r="AL534" s="34" t="s">
        <v>155</v>
      </c>
      <c r="AM534" s="10" t="s">
        <v>12</v>
      </c>
      <c r="AN534" s="10">
        <v>7</v>
      </c>
      <c r="AO534" s="10" t="s">
        <v>152</v>
      </c>
      <c r="AP534">
        <v>31</v>
      </c>
      <c r="AQ534" s="10" t="s">
        <v>102</v>
      </c>
      <c r="AR534" t="s">
        <v>186</v>
      </c>
      <c r="AT534" s="42"/>
      <c r="AU534" s="34" t="s">
        <v>155</v>
      </c>
      <c r="AV534" s="10" t="s">
        <v>12</v>
      </c>
      <c r="AW534" s="10">
        <v>7</v>
      </c>
      <c r="AX534" s="10" t="s">
        <v>152</v>
      </c>
      <c r="AY534">
        <v>31</v>
      </c>
      <c r="AZ534" s="10"/>
      <c r="BA534" s="43"/>
      <c r="BC534" s="42"/>
      <c r="BD534" s="34" t="s">
        <v>155</v>
      </c>
      <c r="BE534" s="10" t="s">
        <v>12</v>
      </c>
      <c r="BF534" s="10">
        <v>7</v>
      </c>
      <c r="BG534" s="10" t="s">
        <v>152</v>
      </c>
      <c r="BH534">
        <v>31</v>
      </c>
      <c r="BI534" s="10"/>
      <c r="BJ534" s="43"/>
      <c r="BL534" s="42"/>
      <c r="BM534" s="34" t="s">
        <v>155</v>
      </c>
      <c r="BN534" s="10" t="s">
        <v>12</v>
      </c>
      <c r="BO534" s="10">
        <v>7</v>
      </c>
      <c r="BP534" s="10" t="s">
        <v>152</v>
      </c>
      <c r="BQ534">
        <v>31</v>
      </c>
      <c r="BR534" s="10"/>
      <c r="BS534" s="43"/>
      <c r="BU534" s="42"/>
      <c r="BV534" s="34" t="s">
        <v>155</v>
      </c>
      <c r="BW534" s="10" t="s">
        <v>12</v>
      </c>
      <c r="BX534" s="10">
        <v>7</v>
      </c>
      <c r="BY534" s="10" t="s">
        <v>152</v>
      </c>
      <c r="BZ534">
        <v>31</v>
      </c>
      <c r="CA534" s="10"/>
      <c r="CB534" s="43"/>
      <c r="CD534" s="42"/>
      <c r="CE534" s="34" t="s">
        <v>155</v>
      </c>
      <c r="CF534" s="10" t="s">
        <v>12</v>
      </c>
      <c r="CG534" s="10">
        <v>7</v>
      </c>
      <c r="CH534" s="10" t="s">
        <v>152</v>
      </c>
      <c r="CI534">
        <v>31</v>
      </c>
      <c r="CJ534" s="10"/>
      <c r="CK534" s="43"/>
    </row>
    <row r="535" spans="1:89" x14ac:dyDescent="0.25">
      <c r="A535" s="42"/>
      <c r="B535" s="34" t="s">
        <v>155</v>
      </c>
      <c r="C535" s="10" t="s">
        <v>12</v>
      </c>
      <c r="D535" s="10">
        <v>8</v>
      </c>
      <c r="E535" s="10" t="s">
        <v>152</v>
      </c>
      <c r="F535">
        <v>32</v>
      </c>
      <c r="G535" s="10">
        <v>2043</v>
      </c>
      <c r="H535" s="51" t="s">
        <v>168</v>
      </c>
      <c r="J535" s="42"/>
      <c r="K535" s="34" t="s">
        <v>155</v>
      </c>
      <c r="L535" s="10" t="s">
        <v>12</v>
      </c>
      <c r="M535" s="10">
        <v>8</v>
      </c>
      <c r="N535" s="10" t="s">
        <v>152</v>
      </c>
      <c r="O535">
        <v>32</v>
      </c>
      <c r="P535" s="10" t="s">
        <v>106</v>
      </c>
      <c r="Q535" t="s">
        <v>171</v>
      </c>
      <c r="S535" s="42"/>
      <c r="T535" s="34" t="s">
        <v>155</v>
      </c>
      <c r="U535" s="10" t="s">
        <v>12</v>
      </c>
      <c r="V535" s="10">
        <v>8</v>
      </c>
      <c r="W535" s="10" t="s">
        <v>152</v>
      </c>
      <c r="X535">
        <v>32</v>
      </c>
      <c r="Y535" s="10">
        <v>2046</v>
      </c>
      <c r="Z535" s="43" t="s">
        <v>188</v>
      </c>
      <c r="AB535" s="42"/>
      <c r="AC535" s="34" t="s">
        <v>155</v>
      </c>
      <c r="AD535" s="10" t="s">
        <v>12</v>
      </c>
      <c r="AE535" s="10">
        <v>8</v>
      </c>
      <c r="AF535" s="10" t="s">
        <v>152</v>
      </c>
      <c r="AG535">
        <v>32</v>
      </c>
      <c r="AH535" s="10">
        <v>2050</v>
      </c>
      <c r="AI535" s="43" t="s">
        <v>164</v>
      </c>
      <c r="AK535" s="42"/>
      <c r="AL535" s="34" t="s">
        <v>155</v>
      </c>
      <c r="AM535" s="10" t="s">
        <v>12</v>
      </c>
      <c r="AN535" s="10">
        <v>8</v>
      </c>
      <c r="AO535" s="10" t="s">
        <v>152</v>
      </c>
      <c r="AP535">
        <v>32</v>
      </c>
      <c r="AQ535" s="10" t="s">
        <v>102</v>
      </c>
      <c r="AR535" s="43" t="s">
        <v>188</v>
      </c>
      <c r="AT535" s="42"/>
      <c r="AU535" s="34" t="s">
        <v>155</v>
      </c>
      <c r="AV535" s="10" t="s">
        <v>12</v>
      </c>
      <c r="AW535" s="10">
        <v>8</v>
      </c>
      <c r="AX535" s="10" t="s">
        <v>152</v>
      </c>
      <c r="AY535">
        <v>32</v>
      </c>
      <c r="AZ535" s="10"/>
      <c r="BA535" s="43"/>
      <c r="BC535" s="42"/>
      <c r="BD535" s="34" t="s">
        <v>155</v>
      </c>
      <c r="BE535" s="10" t="s">
        <v>12</v>
      </c>
      <c r="BF535" s="10">
        <v>8</v>
      </c>
      <c r="BG535" s="10" t="s">
        <v>152</v>
      </c>
      <c r="BH535">
        <v>32</v>
      </c>
      <c r="BI535" s="10"/>
      <c r="BJ535" s="43"/>
      <c r="BL535" s="42"/>
      <c r="BM535" s="34" t="s">
        <v>155</v>
      </c>
      <c r="BN535" s="10" t="s">
        <v>12</v>
      </c>
      <c r="BO535" s="10">
        <v>8</v>
      </c>
      <c r="BP535" s="10" t="s">
        <v>152</v>
      </c>
      <c r="BQ535">
        <v>32</v>
      </c>
      <c r="BR535" s="10"/>
      <c r="BS535" s="43"/>
      <c r="BU535" s="42"/>
      <c r="BV535" s="34" t="s">
        <v>155</v>
      </c>
      <c r="BW535" s="10" t="s">
        <v>12</v>
      </c>
      <c r="BX535" s="10">
        <v>8</v>
      </c>
      <c r="BY535" s="10" t="s">
        <v>152</v>
      </c>
      <c r="BZ535">
        <v>32</v>
      </c>
      <c r="CA535" s="10"/>
      <c r="CB535" s="43"/>
      <c r="CD535" s="42"/>
      <c r="CE535" s="34" t="s">
        <v>155</v>
      </c>
      <c r="CF535" s="10" t="s">
        <v>12</v>
      </c>
      <c r="CG535" s="10">
        <v>8</v>
      </c>
      <c r="CH535" s="10" t="s">
        <v>152</v>
      </c>
      <c r="CI535">
        <v>32</v>
      </c>
      <c r="CJ535" s="10"/>
      <c r="CK535" s="43"/>
    </row>
    <row r="536" spans="1:89" x14ac:dyDescent="0.25">
      <c r="A536" s="42"/>
      <c r="B536" s="34" t="s">
        <v>155</v>
      </c>
      <c r="C536" s="10" t="s">
        <v>12</v>
      </c>
      <c r="D536" s="10">
        <v>9</v>
      </c>
      <c r="E536" s="10" t="s">
        <v>152</v>
      </c>
      <c r="F536">
        <v>33</v>
      </c>
      <c r="G536" s="10">
        <v>2043</v>
      </c>
      <c r="H536" s="43" t="s">
        <v>176</v>
      </c>
      <c r="J536" s="42"/>
      <c r="K536" s="34" t="s">
        <v>155</v>
      </c>
      <c r="L536" s="10" t="s">
        <v>12</v>
      </c>
      <c r="M536" s="10">
        <v>9</v>
      </c>
      <c r="N536" s="10" t="s">
        <v>152</v>
      </c>
      <c r="O536">
        <v>33</v>
      </c>
      <c r="P536" s="10" t="s">
        <v>106</v>
      </c>
      <c r="Q536" t="s">
        <v>161</v>
      </c>
      <c r="S536" s="42"/>
      <c r="T536" s="34" t="s">
        <v>155</v>
      </c>
      <c r="U536" s="10" t="s">
        <v>12</v>
      </c>
      <c r="V536" s="10">
        <v>9</v>
      </c>
      <c r="W536" s="10" t="s">
        <v>152</v>
      </c>
      <c r="X536">
        <v>33</v>
      </c>
      <c r="Y536" s="10">
        <v>2046</v>
      </c>
      <c r="Z536" s="43" t="s">
        <v>182</v>
      </c>
      <c r="AB536" s="42"/>
      <c r="AC536" s="34" t="s">
        <v>155</v>
      </c>
      <c r="AD536" s="10" t="s">
        <v>12</v>
      </c>
      <c r="AE536" s="10">
        <v>9</v>
      </c>
      <c r="AF536" s="10" t="s">
        <v>152</v>
      </c>
      <c r="AG536">
        <v>33</v>
      </c>
      <c r="AH536" s="10">
        <v>2050</v>
      </c>
      <c r="AI536" t="s">
        <v>172</v>
      </c>
      <c r="AK536" s="42"/>
      <c r="AL536" s="34" t="s">
        <v>155</v>
      </c>
      <c r="AM536" s="10" t="s">
        <v>12</v>
      </c>
      <c r="AN536" s="10">
        <v>9</v>
      </c>
      <c r="AO536" s="10" t="s">
        <v>152</v>
      </c>
      <c r="AP536">
        <v>33</v>
      </c>
      <c r="AQ536" s="10" t="s">
        <v>102</v>
      </c>
      <c r="AR536" s="43" t="s">
        <v>182</v>
      </c>
      <c r="AT536" s="42"/>
      <c r="AU536" s="34" t="s">
        <v>155</v>
      </c>
      <c r="AV536" s="10" t="s">
        <v>12</v>
      </c>
      <c r="AW536" s="10">
        <v>9</v>
      </c>
      <c r="AX536" s="10" t="s">
        <v>152</v>
      </c>
      <c r="AY536">
        <v>33</v>
      </c>
      <c r="AZ536" s="10"/>
      <c r="BA536" s="43"/>
      <c r="BC536" s="42"/>
      <c r="BD536" s="34" t="s">
        <v>155</v>
      </c>
      <c r="BE536" s="10" t="s">
        <v>12</v>
      </c>
      <c r="BF536" s="10">
        <v>9</v>
      </c>
      <c r="BG536" s="10" t="s">
        <v>152</v>
      </c>
      <c r="BH536">
        <v>33</v>
      </c>
      <c r="BI536" s="10"/>
      <c r="BJ536" s="43"/>
      <c r="BL536" s="42"/>
      <c r="BM536" s="34" t="s">
        <v>155</v>
      </c>
      <c r="BN536" s="10" t="s">
        <v>12</v>
      </c>
      <c r="BO536" s="10">
        <v>9</v>
      </c>
      <c r="BP536" s="10" t="s">
        <v>152</v>
      </c>
      <c r="BQ536">
        <v>33</v>
      </c>
      <c r="BR536" s="10"/>
      <c r="BS536" s="43"/>
      <c r="BU536" s="42"/>
      <c r="BV536" s="34" t="s">
        <v>155</v>
      </c>
      <c r="BW536" s="10" t="s">
        <v>12</v>
      </c>
      <c r="BX536" s="10">
        <v>9</v>
      </c>
      <c r="BY536" s="10" t="s">
        <v>152</v>
      </c>
      <c r="BZ536">
        <v>33</v>
      </c>
      <c r="CA536" s="10"/>
      <c r="CB536" s="43"/>
      <c r="CD536" s="42"/>
      <c r="CE536" s="34" t="s">
        <v>155</v>
      </c>
      <c r="CF536" s="10" t="s">
        <v>12</v>
      </c>
      <c r="CG536" s="10">
        <v>9</v>
      </c>
      <c r="CH536" s="10" t="s">
        <v>152</v>
      </c>
      <c r="CI536">
        <v>33</v>
      </c>
      <c r="CJ536" s="10"/>
      <c r="CK536" s="43"/>
    </row>
    <row r="537" spans="1:89" x14ac:dyDescent="0.25">
      <c r="A537" s="42"/>
      <c r="B537" s="34" t="s">
        <v>155</v>
      </c>
      <c r="C537" s="10" t="s">
        <v>12</v>
      </c>
      <c r="D537" s="10">
        <v>10</v>
      </c>
      <c r="E537" s="10" t="s">
        <v>152</v>
      </c>
      <c r="F537">
        <v>34</v>
      </c>
      <c r="G537" s="10">
        <v>2043</v>
      </c>
      <c r="H537" s="43" t="s">
        <v>164</v>
      </c>
      <c r="J537" s="42"/>
      <c r="K537" s="34" t="s">
        <v>155</v>
      </c>
      <c r="L537" s="10" t="s">
        <v>12</v>
      </c>
      <c r="M537" s="10">
        <v>10</v>
      </c>
      <c r="N537" s="10" t="s">
        <v>152</v>
      </c>
      <c r="O537">
        <v>34</v>
      </c>
      <c r="P537" s="10" t="s">
        <v>106</v>
      </c>
      <c r="Q537" t="s">
        <v>169</v>
      </c>
      <c r="S537" s="42"/>
      <c r="T537" s="34" t="s">
        <v>155</v>
      </c>
      <c r="U537" s="10" t="s">
        <v>12</v>
      </c>
      <c r="V537" s="10">
        <v>10</v>
      </c>
      <c r="W537" s="10" t="s">
        <v>152</v>
      </c>
      <c r="X537">
        <v>34</v>
      </c>
      <c r="Y537" s="10">
        <v>2046</v>
      </c>
      <c r="Z537" s="43" t="s">
        <v>184</v>
      </c>
      <c r="AB537" s="42"/>
      <c r="AC537" s="34" t="s">
        <v>155</v>
      </c>
      <c r="AD537" s="10" t="s">
        <v>12</v>
      </c>
      <c r="AE537" s="10">
        <v>10</v>
      </c>
      <c r="AF537" s="10" t="s">
        <v>152</v>
      </c>
      <c r="AG537">
        <v>34</v>
      </c>
      <c r="AH537" s="10">
        <v>2050</v>
      </c>
      <c r="AI537" t="s">
        <v>162</v>
      </c>
      <c r="AK537" s="42"/>
      <c r="AL537" s="34" t="s">
        <v>155</v>
      </c>
      <c r="AM537" s="10" t="s">
        <v>12</v>
      </c>
      <c r="AN537" s="10">
        <v>10</v>
      </c>
      <c r="AO537" s="10" t="s">
        <v>152</v>
      </c>
      <c r="AP537">
        <v>34</v>
      </c>
      <c r="AQ537" s="10" t="s">
        <v>102</v>
      </c>
      <c r="AR537" s="43" t="s">
        <v>184</v>
      </c>
      <c r="AT537" s="42"/>
      <c r="AU537" s="34" t="s">
        <v>155</v>
      </c>
      <c r="AV537" s="10" t="s">
        <v>12</v>
      </c>
      <c r="AW537" s="10">
        <v>10</v>
      </c>
      <c r="AX537" s="10" t="s">
        <v>152</v>
      </c>
      <c r="AY537">
        <v>34</v>
      </c>
      <c r="AZ537" s="10"/>
      <c r="BA537" s="43"/>
      <c r="BC537" s="42"/>
      <c r="BD537" s="34" t="s">
        <v>155</v>
      </c>
      <c r="BE537" s="10" t="s">
        <v>12</v>
      </c>
      <c r="BF537" s="10">
        <v>10</v>
      </c>
      <c r="BG537" s="10" t="s">
        <v>152</v>
      </c>
      <c r="BH537">
        <v>34</v>
      </c>
      <c r="BI537" s="10"/>
      <c r="BJ537" s="43"/>
      <c r="BL537" s="42"/>
      <c r="BM537" s="34" t="s">
        <v>155</v>
      </c>
      <c r="BN537" s="10" t="s">
        <v>12</v>
      </c>
      <c r="BO537" s="10">
        <v>10</v>
      </c>
      <c r="BP537" s="10" t="s">
        <v>152</v>
      </c>
      <c r="BQ537">
        <v>34</v>
      </c>
      <c r="BR537" s="10"/>
      <c r="BS537" s="43"/>
      <c r="BU537" s="42"/>
      <c r="BV537" s="34" t="s">
        <v>155</v>
      </c>
      <c r="BW537" s="10" t="s">
        <v>12</v>
      </c>
      <c r="BX537" s="10">
        <v>10</v>
      </c>
      <c r="BY537" s="10" t="s">
        <v>152</v>
      </c>
      <c r="BZ537">
        <v>34</v>
      </c>
      <c r="CA537" s="10"/>
      <c r="CB537" s="43"/>
      <c r="CD537" s="42"/>
      <c r="CE537" s="34" t="s">
        <v>155</v>
      </c>
      <c r="CF537" s="10" t="s">
        <v>12</v>
      </c>
      <c r="CG537" s="10">
        <v>10</v>
      </c>
      <c r="CH537" s="10" t="s">
        <v>152</v>
      </c>
      <c r="CI537">
        <v>34</v>
      </c>
      <c r="CJ537" s="10"/>
      <c r="CK537" s="43"/>
    </row>
    <row r="538" spans="1:89" x14ac:dyDescent="0.25">
      <c r="A538" s="42"/>
      <c r="B538" s="34" t="s">
        <v>155</v>
      </c>
      <c r="C538" s="10" t="s">
        <v>12</v>
      </c>
      <c r="D538" s="10">
        <v>11</v>
      </c>
      <c r="E538" s="10" t="s">
        <v>152</v>
      </c>
      <c r="F538">
        <v>35</v>
      </c>
      <c r="G538" s="10">
        <v>2043</v>
      </c>
      <c r="H538" t="s">
        <v>172</v>
      </c>
      <c r="J538" s="42"/>
      <c r="K538" s="34" t="s">
        <v>155</v>
      </c>
      <c r="L538" s="10" t="s">
        <v>12</v>
      </c>
      <c r="M538" s="10">
        <v>11</v>
      </c>
      <c r="N538" s="10" t="s">
        <v>152</v>
      </c>
      <c r="O538">
        <v>35</v>
      </c>
      <c r="P538" s="10" t="s">
        <v>106</v>
      </c>
      <c r="Q538" t="s">
        <v>177</v>
      </c>
      <c r="S538" s="42"/>
      <c r="T538" s="34" t="s">
        <v>155</v>
      </c>
      <c r="U538" s="10" t="s">
        <v>12</v>
      </c>
      <c r="V538" s="10">
        <v>11</v>
      </c>
      <c r="W538" s="10" t="s">
        <v>152</v>
      </c>
      <c r="X538">
        <v>35</v>
      </c>
      <c r="Y538" s="10">
        <v>2046</v>
      </c>
      <c r="Z538" s="43" t="s">
        <v>187</v>
      </c>
      <c r="AB538" s="42"/>
      <c r="AC538" s="34" t="s">
        <v>155</v>
      </c>
      <c r="AD538" s="10" t="s">
        <v>12</v>
      </c>
      <c r="AE538" s="10">
        <v>11</v>
      </c>
      <c r="AF538" s="10" t="s">
        <v>152</v>
      </c>
      <c r="AG538">
        <v>35</v>
      </c>
      <c r="AH538" s="10">
        <v>2050</v>
      </c>
      <c r="AI538" t="s">
        <v>170</v>
      </c>
      <c r="AK538" s="42"/>
      <c r="AL538" s="34" t="s">
        <v>155</v>
      </c>
      <c r="AM538" s="10" t="s">
        <v>12</v>
      </c>
      <c r="AN538" s="10">
        <v>11</v>
      </c>
      <c r="AO538" s="10" t="s">
        <v>152</v>
      </c>
      <c r="AP538">
        <v>35</v>
      </c>
      <c r="AQ538" s="10" t="s">
        <v>102</v>
      </c>
      <c r="AR538" s="43" t="s">
        <v>187</v>
      </c>
      <c r="AT538" s="42"/>
      <c r="AU538" s="34" t="s">
        <v>155</v>
      </c>
      <c r="AV538" s="10" t="s">
        <v>12</v>
      </c>
      <c r="AW538" s="10">
        <v>11</v>
      </c>
      <c r="AX538" s="10" t="s">
        <v>152</v>
      </c>
      <c r="AY538">
        <v>35</v>
      </c>
      <c r="AZ538" s="10"/>
      <c r="BA538" s="43"/>
      <c r="BC538" s="42"/>
      <c r="BD538" s="34" t="s">
        <v>155</v>
      </c>
      <c r="BE538" s="10" t="s">
        <v>12</v>
      </c>
      <c r="BF538" s="10">
        <v>11</v>
      </c>
      <c r="BG538" s="10" t="s">
        <v>152</v>
      </c>
      <c r="BH538">
        <v>35</v>
      </c>
      <c r="BI538" s="10"/>
      <c r="BJ538" s="43"/>
      <c r="BL538" s="42"/>
      <c r="BM538" s="34" t="s">
        <v>155</v>
      </c>
      <c r="BN538" s="10" t="s">
        <v>12</v>
      </c>
      <c r="BO538" s="10">
        <v>11</v>
      </c>
      <c r="BP538" s="10" t="s">
        <v>152</v>
      </c>
      <c r="BQ538">
        <v>35</v>
      </c>
      <c r="BR538" s="10"/>
      <c r="BS538" s="43"/>
      <c r="BU538" s="42"/>
      <c r="BV538" s="34" t="s">
        <v>155</v>
      </c>
      <c r="BW538" s="10" t="s">
        <v>12</v>
      </c>
      <c r="BX538" s="10">
        <v>11</v>
      </c>
      <c r="BY538" s="10" t="s">
        <v>152</v>
      </c>
      <c r="BZ538">
        <v>35</v>
      </c>
      <c r="CA538" s="10"/>
      <c r="CB538" s="43"/>
      <c r="CD538" s="42"/>
      <c r="CE538" s="34" t="s">
        <v>155</v>
      </c>
      <c r="CF538" s="10" t="s">
        <v>12</v>
      </c>
      <c r="CG538" s="10">
        <v>11</v>
      </c>
      <c r="CH538" s="10" t="s">
        <v>152</v>
      </c>
      <c r="CI538">
        <v>35</v>
      </c>
      <c r="CJ538" s="10"/>
      <c r="CK538" s="43"/>
    </row>
    <row r="539" spans="1:89" ht="15.75" thickBot="1" x14ac:dyDescent="0.3">
      <c r="A539" s="47"/>
      <c r="B539" s="48" t="s">
        <v>155</v>
      </c>
      <c r="C539" s="49" t="s">
        <v>12</v>
      </c>
      <c r="D539" s="49">
        <v>12</v>
      </c>
      <c r="E539" s="49" t="s">
        <v>152</v>
      </c>
      <c r="F539" s="50">
        <v>36</v>
      </c>
      <c r="G539" s="10">
        <v>2043</v>
      </c>
      <c r="H539" t="s">
        <v>162</v>
      </c>
      <c r="J539" s="47"/>
      <c r="K539" s="48" t="s">
        <v>155</v>
      </c>
      <c r="L539" s="49" t="s">
        <v>12</v>
      </c>
      <c r="M539" s="49">
        <v>12</v>
      </c>
      <c r="N539" s="49" t="s">
        <v>152</v>
      </c>
      <c r="O539" s="50">
        <v>36</v>
      </c>
      <c r="P539" s="10" t="s">
        <v>106</v>
      </c>
      <c r="Q539" t="s">
        <v>180</v>
      </c>
      <c r="S539" s="47"/>
      <c r="T539" s="48" t="s">
        <v>155</v>
      </c>
      <c r="U539" s="49" t="s">
        <v>12</v>
      </c>
      <c r="V539" s="49">
        <v>12</v>
      </c>
      <c r="W539" s="49" t="s">
        <v>152</v>
      </c>
      <c r="X539" s="50">
        <v>36</v>
      </c>
      <c r="Y539" s="10">
        <v>2046</v>
      </c>
      <c r="Z539" s="43" t="s">
        <v>189</v>
      </c>
      <c r="AB539" s="47"/>
      <c r="AC539" s="48" t="s">
        <v>155</v>
      </c>
      <c r="AD539" s="49" t="s">
        <v>12</v>
      </c>
      <c r="AE539" s="49">
        <v>12</v>
      </c>
      <c r="AF539" s="49" t="s">
        <v>152</v>
      </c>
      <c r="AG539" s="50">
        <v>36</v>
      </c>
      <c r="AH539" s="10">
        <v>2050</v>
      </c>
      <c r="AI539" t="s">
        <v>178</v>
      </c>
      <c r="AK539" s="47"/>
      <c r="AL539" s="48" t="s">
        <v>155</v>
      </c>
      <c r="AM539" s="49" t="s">
        <v>12</v>
      </c>
      <c r="AN539" s="49">
        <v>12</v>
      </c>
      <c r="AO539" s="49" t="s">
        <v>152</v>
      </c>
      <c r="AP539" s="50">
        <v>36</v>
      </c>
      <c r="AQ539" s="10" t="s">
        <v>102</v>
      </c>
      <c r="AR539" s="43" t="s">
        <v>189</v>
      </c>
      <c r="AT539" s="47"/>
      <c r="AU539" s="48" t="s">
        <v>155</v>
      </c>
      <c r="AV539" s="49" t="s">
        <v>12</v>
      </c>
      <c r="AW539" s="49">
        <v>12</v>
      </c>
      <c r="AX539" s="49" t="s">
        <v>152</v>
      </c>
      <c r="AY539" s="50">
        <v>36</v>
      </c>
      <c r="AZ539" s="10"/>
      <c r="BA539" s="43"/>
      <c r="BC539" s="47"/>
      <c r="BD539" s="48" t="s">
        <v>155</v>
      </c>
      <c r="BE539" s="49" t="s">
        <v>12</v>
      </c>
      <c r="BF539" s="49">
        <v>12</v>
      </c>
      <c r="BG539" s="49" t="s">
        <v>152</v>
      </c>
      <c r="BH539" s="50">
        <v>36</v>
      </c>
      <c r="BI539" s="10"/>
      <c r="BJ539" s="43"/>
      <c r="BL539" s="47"/>
      <c r="BM539" s="48" t="s">
        <v>155</v>
      </c>
      <c r="BN539" s="49" t="s">
        <v>12</v>
      </c>
      <c r="BO539" s="49">
        <v>12</v>
      </c>
      <c r="BP539" s="49" t="s">
        <v>152</v>
      </c>
      <c r="BQ539" s="50">
        <v>36</v>
      </c>
      <c r="BR539" s="10"/>
      <c r="BS539" s="43"/>
      <c r="BU539" s="47"/>
      <c r="BV539" s="48" t="s">
        <v>155</v>
      </c>
      <c r="BW539" s="49" t="s">
        <v>12</v>
      </c>
      <c r="BX539" s="49">
        <v>12</v>
      </c>
      <c r="BY539" s="49" t="s">
        <v>152</v>
      </c>
      <c r="BZ539" s="50">
        <v>36</v>
      </c>
      <c r="CA539" s="10"/>
      <c r="CB539" s="43"/>
      <c r="CD539" s="47"/>
      <c r="CE539" s="48" t="s">
        <v>155</v>
      </c>
      <c r="CF539" s="49" t="s">
        <v>12</v>
      </c>
      <c r="CG539" s="49">
        <v>12</v>
      </c>
      <c r="CH539" s="49" t="s">
        <v>152</v>
      </c>
      <c r="CI539" s="50">
        <v>36</v>
      </c>
      <c r="CJ539" s="10"/>
      <c r="CK539" s="43"/>
    </row>
    <row r="540" spans="1:89" ht="15.75" thickBot="1" x14ac:dyDescent="0.3">
      <c r="A540" s="56"/>
      <c r="B540" s="31" t="s">
        <v>155</v>
      </c>
      <c r="C540" s="58" t="s">
        <v>15</v>
      </c>
      <c r="D540" s="58">
        <v>1</v>
      </c>
      <c r="E540" s="58" t="s">
        <v>152</v>
      </c>
      <c r="F540" s="59">
        <v>37</v>
      </c>
      <c r="G540" s="10">
        <v>2043</v>
      </c>
      <c r="H540" t="s">
        <v>170</v>
      </c>
      <c r="J540" s="56"/>
      <c r="K540" s="31" t="s">
        <v>155</v>
      </c>
      <c r="L540" s="58" t="s">
        <v>15</v>
      </c>
      <c r="M540" s="58">
        <v>1</v>
      </c>
      <c r="N540" s="58" t="s">
        <v>152</v>
      </c>
      <c r="O540" s="59">
        <v>37</v>
      </c>
      <c r="P540" s="10" t="s">
        <v>106</v>
      </c>
      <c r="Q540" t="s">
        <v>181</v>
      </c>
      <c r="S540" s="56"/>
      <c r="T540" s="31" t="s">
        <v>155</v>
      </c>
      <c r="U540" s="58" t="s">
        <v>15</v>
      </c>
      <c r="V540" s="58">
        <v>1</v>
      </c>
      <c r="W540" s="58" t="s">
        <v>152</v>
      </c>
      <c r="X540" s="59">
        <v>37</v>
      </c>
      <c r="Y540" s="10">
        <v>2047</v>
      </c>
      <c r="Z540" s="43" t="s">
        <v>160</v>
      </c>
      <c r="AB540" s="56"/>
      <c r="AC540" s="31" t="s">
        <v>155</v>
      </c>
      <c r="AD540" s="58" t="s">
        <v>15</v>
      </c>
      <c r="AE540" s="58">
        <v>1</v>
      </c>
      <c r="AF540" s="58" t="s">
        <v>152</v>
      </c>
      <c r="AG540" s="59">
        <v>37</v>
      </c>
      <c r="AH540" s="10">
        <v>2050</v>
      </c>
      <c r="AI540" t="s">
        <v>163</v>
      </c>
      <c r="AK540" s="56"/>
      <c r="AL540" s="31" t="s">
        <v>155</v>
      </c>
      <c r="AM540" s="58" t="s">
        <v>15</v>
      </c>
      <c r="AN540" s="58">
        <v>1</v>
      </c>
      <c r="AO540" s="58" t="s">
        <v>152</v>
      </c>
      <c r="AP540" s="59">
        <v>37</v>
      </c>
      <c r="AQ540" s="10" t="s">
        <v>108</v>
      </c>
      <c r="AR540" s="43" t="s">
        <v>160</v>
      </c>
      <c r="AT540" s="56"/>
      <c r="AU540" s="31" t="s">
        <v>155</v>
      </c>
      <c r="AV540" s="58" t="s">
        <v>15</v>
      </c>
      <c r="AW540" s="58">
        <v>1</v>
      </c>
      <c r="AX540" s="58" t="s">
        <v>152</v>
      </c>
      <c r="AY540" s="59">
        <v>37</v>
      </c>
      <c r="AZ540" s="10"/>
      <c r="BA540" s="43"/>
      <c r="BC540" s="56"/>
      <c r="BD540" s="31" t="s">
        <v>155</v>
      </c>
      <c r="BE540" s="58" t="s">
        <v>15</v>
      </c>
      <c r="BF540" s="58">
        <v>1</v>
      </c>
      <c r="BG540" s="58" t="s">
        <v>152</v>
      </c>
      <c r="BH540" s="59">
        <v>37</v>
      </c>
      <c r="BI540" s="10"/>
      <c r="BJ540" s="43"/>
      <c r="BL540" s="56"/>
      <c r="BM540" s="31" t="s">
        <v>155</v>
      </c>
      <c r="BN540" s="58" t="s">
        <v>15</v>
      </c>
      <c r="BO540" s="58">
        <v>1</v>
      </c>
      <c r="BP540" s="58" t="s">
        <v>152</v>
      </c>
      <c r="BQ540" s="59">
        <v>37</v>
      </c>
      <c r="BR540" s="10"/>
      <c r="BS540" s="43"/>
      <c r="BU540" s="56"/>
      <c r="BV540" s="31" t="s">
        <v>155</v>
      </c>
      <c r="BW540" s="58" t="s">
        <v>15</v>
      </c>
      <c r="BX540" s="58">
        <v>1</v>
      </c>
      <c r="BY540" s="58" t="s">
        <v>152</v>
      </c>
      <c r="BZ540" s="59">
        <v>37</v>
      </c>
      <c r="CA540" s="10"/>
      <c r="CB540" s="43"/>
      <c r="CD540" s="56"/>
      <c r="CE540" s="31" t="s">
        <v>155</v>
      </c>
      <c r="CF540" s="58" t="s">
        <v>15</v>
      </c>
      <c r="CG540" s="58">
        <v>1</v>
      </c>
      <c r="CH540" s="58" t="s">
        <v>152</v>
      </c>
      <c r="CI540" s="59">
        <v>37</v>
      </c>
      <c r="CJ540" s="10"/>
      <c r="CK540" s="43"/>
    </row>
    <row r="541" spans="1:89" x14ac:dyDescent="0.25">
      <c r="A541" s="42"/>
      <c r="B541" s="34" t="s">
        <v>155</v>
      </c>
      <c r="C541" s="10" t="s">
        <v>15</v>
      </c>
      <c r="D541" s="10">
        <v>2</v>
      </c>
      <c r="E541" s="10" t="s">
        <v>152</v>
      </c>
      <c r="F541">
        <v>38</v>
      </c>
      <c r="G541" s="10">
        <v>2043</v>
      </c>
      <c r="H541" t="s">
        <v>178</v>
      </c>
      <c r="J541" s="42"/>
      <c r="K541" s="34" t="s">
        <v>155</v>
      </c>
      <c r="L541" s="10" t="s">
        <v>15</v>
      </c>
      <c r="M541" s="10">
        <v>2</v>
      </c>
      <c r="N541" s="10" t="s">
        <v>152</v>
      </c>
      <c r="O541">
        <v>38</v>
      </c>
      <c r="P541" s="10" t="s">
        <v>106</v>
      </c>
      <c r="Q541" t="s">
        <v>183</v>
      </c>
      <c r="S541" s="42"/>
      <c r="T541" s="34" t="s">
        <v>155</v>
      </c>
      <c r="U541" s="10" t="s">
        <v>15</v>
      </c>
      <c r="V541" s="10">
        <v>2</v>
      </c>
      <c r="W541" s="10" t="s">
        <v>152</v>
      </c>
      <c r="X541">
        <v>38</v>
      </c>
      <c r="Y541" s="10">
        <v>2047</v>
      </c>
      <c r="Z541" s="51" t="s">
        <v>168</v>
      </c>
      <c r="AB541" s="42"/>
      <c r="AC541" s="34" t="s">
        <v>155</v>
      </c>
      <c r="AD541" s="10" t="s">
        <v>15</v>
      </c>
      <c r="AE541" s="10">
        <v>2</v>
      </c>
      <c r="AF541" s="10" t="s">
        <v>152</v>
      </c>
      <c r="AG541">
        <v>38</v>
      </c>
      <c r="AH541" s="10">
        <v>2050</v>
      </c>
      <c r="AI541" t="s">
        <v>171</v>
      </c>
      <c r="AK541" s="42"/>
      <c r="AL541" s="34" t="s">
        <v>155</v>
      </c>
      <c r="AM541" s="10" t="s">
        <v>15</v>
      </c>
      <c r="AN541" s="10">
        <v>2</v>
      </c>
      <c r="AO541" s="10" t="s">
        <v>152</v>
      </c>
      <c r="AP541">
        <v>38</v>
      </c>
      <c r="AQ541" s="10" t="s">
        <v>108</v>
      </c>
      <c r="AR541" s="51" t="s">
        <v>168</v>
      </c>
      <c r="AT541" s="42"/>
      <c r="AU541" s="34" t="s">
        <v>155</v>
      </c>
      <c r="AV541" s="10" t="s">
        <v>15</v>
      </c>
      <c r="AW541" s="10">
        <v>2</v>
      </c>
      <c r="AX541" s="10" t="s">
        <v>152</v>
      </c>
      <c r="AY541">
        <v>38</v>
      </c>
      <c r="AZ541" s="10"/>
      <c r="BA541" s="33"/>
      <c r="BC541" s="42"/>
      <c r="BD541" s="34" t="s">
        <v>155</v>
      </c>
      <c r="BE541" s="10" t="s">
        <v>15</v>
      </c>
      <c r="BF541" s="10">
        <v>2</v>
      </c>
      <c r="BG541" s="10" t="s">
        <v>152</v>
      </c>
      <c r="BH541">
        <v>38</v>
      </c>
      <c r="BI541" s="10"/>
      <c r="BJ541" s="33"/>
      <c r="BL541" s="42"/>
      <c r="BM541" s="34" t="s">
        <v>155</v>
      </c>
      <c r="BN541" s="10" t="s">
        <v>15</v>
      </c>
      <c r="BO541" s="10">
        <v>2</v>
      </c>
      <c r="BP541" s="10" t="s">
        <v>152</v>
      </c>
      <c r="BQ541">
        <v>38</v>
      </c>
      <c r="BR541" s="10"/>
      <c r="BS541" s="33"/>
      <c r="BU541" s="42"/>
      <c r="BV541" s="34" t="s">
        <v>155</v>
      </c>
      <c r="BW541" s="10" t="s">
        <v>15</v>
      </c>
      <c r="BX541" s="10">
        <v>2</v>
      </c>
      <c r="BY541" s="10" t="s">
        <v>152</v>
      </c>
      <c r="BZ541">
        <v>38</v>
      </c>
      <c r="CA541" s="10"/>
      <c r="CB541" s="33"/>
      <c r="CD541" s="42"/>
      <c r="CE541" s="34" t="s">
        <v>155</v>
      </c>
      <c r="CF541" s="10" t="s">
        <v>15</v>
      </c>
      <c r="CG541" s="10">
        <v>2</v>
      </c>
      <c r="CH541" s="10" t="s">
        <v>152</v>
      </c>
      <c r="CI541">
        <v>38</v>
      </c>
      <c r="CJ541" s="10"/>
      <c r="CK541" s="33"/>
    </row>
    <row r="542" spans="1:89" x14ac:dyDescent="0.25">
      <c r="A542" s="42"/>
      <c r="B542" s="34" t="s">
        <v>155</v>
      </c>
      <c r="C542" s="10" t="s">
        <v>15</v>
      </c>
      <c r="D542" s="10">
        <v>3</v>
      </c>
      <c r="E542" s="10" t="s">
        <v>152</v>
      </c>
      <c r="F542">
        <v>39</v>
      </c>
      <c r="G542" s="10">
        <v>2043</v>
      </c>
      <c r="H542" t="s">
        <v>163</v>
      </c>
      <c r="J542" s="42"/>
      <c r="K542" s="34" t="s">
        <v>155</v>
      </c>
      <c r="L542" s="10" t="s">
        <v>15</v>
      </c>
      <c r="M542" s="10">
        <v>3</v>
      </c>
      <c r="N542" s="10" t="s">
        <v>152</v>
      </c>
      <c r="O542">
        <v>39</v>
      </c>
      <c r="P542" s="10" t="s">
        <v>106</v>
      </c>
      <c r="Q542" t="s">
        <v>186</v>
      </c>
      <c r="S542" s="42"/>
      <c r="T542" s="34" t="s">
        <v>155</v>
      </c>
      <c r="U542" s="10" t="s">
        <v>15</v>
      </c>
      <c r="V542" s="10">
        <v>3</v>
      </c>
      <c r="W542" s="10" t="s">
        <v>152</v>
      </c>
      <c r="X542">
        <v>39</v>
      </c>
      <c r="Y542" s="10">
        <v>2047</v>
      </c>
      <c r="Z542" s="43" t="s">
        <v>176</v>
      </c>
      <c r="AB542" s="42"/>
      <c r="AC542" s="34" t="s">
        <v>155</v>
      </c>
      <c r="AD542" s="10" t="s">
        <v>15</v>
      </c>
      <c r="AE542" s="10">
        <v>3</v>
      </c>
      <c r="AF542" s="10" t="s">
        <v>152</v>
      </c>
      <c r="AG542">
        <v>39</v>
      </c>
      <c r="AH542" s="10">
        <v>2050</v>
      </c>
      <c r="AI542" t="s">
        <v>161</v>
      </c>
      <c r="AK542" s="42"/>
      <c r="AL542" s="34" t="s">
        <v>155</v>
      </c>
      <c r="AM542" s="10" t="s">
        <v>15</v>
      </c>
      <c r="AN542" s="10">
        <v>3</v>
      </c>
      <c r="AO542" s="10" t="s">
        <v>152</v>
      </c>
      <c r="AP542">
        <v>39</v>
      </c>
      <c r="AQ542" s="10" t="s">
        <v>108</v>
      </c>
      <c r="AR542" s="43" t="s">
        <v>176</v>
      </c>
      <c r="AT542" s="42"/>
      <c r="AU542" s="34" t="s">
        <v>155</v>
      </c>
      <c r="AV542" s="10" t="s">
        <v>15</v>
      </c>
      <c r="AW542" s="10">
        <v>3</v>
      </c>
      <c r="AX542" s="10" t="s">
        <v>152</v>
      </c>
      <c r="AY542">
        <v>39</v>
      </c>
      <c r="AZ542" s="10"/>
      <c r="BA542" s="43"/>
      <c r="BC542" s="42"/>
      <c r="BD542" s="34" t="s">
        <v>155</v>
      </c>
      <c r="BE542" s="10" t="s">
        <v>15</v>
      </c>
      <c r="BF542" s="10">
        <v>3</v>
      </c>
      <c r="BG542" s="10" t="s">
        <v>152</v>
      </c>
      <c r="BH542">
        <v>39</v>
      </c>
      <c r="BI542" s="10"/>
      <c r="BJ542" s="43"/>
      <c r="BL542" s="42"/>
      <c r="BM542" s="34" t="s">
        <v>155</v>
      </c>
      <c r="BN542" s="10" t="s">
        <v>15</v>
      </c>
      <c r="BO542" s="10">
        <v>3</v>
      </c>
      <c r="BP542" s="10" t="s">
        <v>152</v>
      </c>
      <c r="BQ542">
        <v>39</v>
      </c>
      <c r="BR542" s="10"/>
      <c r="BS542" s="43"/>
      <c r="BU542" s="42"/>
      <c r="BV542" s="34" t="s">
        <v>155</v>
      </c>
      <c r="BW542" s="10" t="s">
        <v>15</v>
      </c>
      <c r="BX542" s="10">
        <v>3</v>
      </c>
      <c r="BY542" s="10" t="s">
        <v>152</v>
      </c>
      <c r="BZ542">
        <v>39</v>
      </c>
      <c r="CA542" s="10"/>
      <c r="CB542" s="43"/>
      <c r="CD542" s="42"/>
      <c r="CE542" s="34" t="s">
        <v>155</v>
      </c>
      <c r="CF542" s="10" t="s">
        <v>15</v>
      </c>
      <c r="CG542" s="10">
        <v>3</v>
      </c>
      <c r="CH542" s="10" t="s">
        <v>152</v>
      </c>
      <c r="CI542">
        <v>39</v>
      </c>
      <c r="CJ542" s="10"/>
      <c r="CK542" s="43"/>
    </row>
    <row r="543" spans="1:89" x14ac:dyDescent="0.25">
      <c r="A543" s="42"/>
      <c r="B543" s="34" t="s">
        <v>155</v>
      </c>
      <c r="C543" s="10" t="s">
        <v>15</v>
      </c>
      <c r="D543" s="10">
        <v>4</v>
      </c>
      <c r="E543" s="10" t="s">
        <v>152</v>
      </c>
      <c r="F543">
        <v>40</v>
      </c>
      <c r="G543" s="10">
        <v>2043</v>
      </c>
      <c r="H543" t="s">
        <v>171</v>
      </c>
      <c r="J543" s="42"/>
      <c r="K543" s="34" t="s">
        <v>155</v>
      </c>
      <c r="L543" s="10" t="s">
        <v>15</v>
      </c>
      <c r="M543" s="10">
        <v>4</v>
      </c>
      <c r="N543" s="10" t="s">
        <v>152</v>
      </c>
      <c r="O543">
        <v>40</v>
      </c>
      <c r="P543" s="10" t="s">
        <v>106</v>
      </c>
      <c r="Q543" s="43" t="s">
        <v>188</v>
      </c>
      <c r="S543" s="42"/>
      <c r="T543" s="34" t="s">
        <v>155</v>
      </c>
      <c r="U543" s="10" t="s">
        <v>15</v>
      </c>
      <c r="V543" s="10">
        <v>4</v>
      </c>
      <c r="W543" s="10" t="s">
        <v>152</v>
      </c>
      <c r="X543">
        <v>40</v>
      </c>
      <c r="Y543" s="10">
        <v>2047</v>
      </c>
      <c r="Z543" s="43" t="s">
        <v>164</v>
      </c>
      <c r="AB543" s="42"/>
      <c r="AC543" s="34" t="s">
        <v>155</v>
      </c>
      <c r="AD543" s="10" t="s">
        <v>15</v>
      </c>
      <c r="AE543" s="10">
        <v>4</v>
      </c>
      <c r="AF543" s="10" t="s">
        <v>152</v>
      </c>
      <c r="AG543">
        <v>40</v>
      </c>
      <c r="AH543" s="10">
        <v>2050</v>
      </c>
      <c r="AI543" t="s">
        <v>169</v>
      </c>
      <c r="AK543" s="42"/>
      <c r="AL543" s="34" t="s">
        <v>155</v>
      </c>
      <c r="AM543" s="10" t="s">
        <v>15</v>
      </c>
      <c r="AN543" s="10">
        <v>4</v>
      </c>
      <c r="AO543" s="10" t="s">
        <v>152</v>
      </c>
      <c r="AP543">
        <v>40</v>
      </c>
      <c r="AQ543" s="10" t="s">
        <v>108</v>
      </c>
      <c r="AR543" s="43" t="s">
        <v>164</v>
      </c>
      <c r="AT543" s="42"/>
      <c r="AU543" s="34" t="s">
        <v>155</v>
      </c>
      <c r="AV543" s="10" t="s">
        <v>15</v>
      </c>
      <c r="AW543" s="10">
        <v>4</v>
      </c>
      <c r="AX543" s="10" t="s">
        <v>152</v>
      </c>
      <c r="AY543">
        <v>40</v>
      </c>
      <c r="AZ543" s="10"/>
      <c r="BA543" s="43"/>
      <c r="BC543" s="42"/>
      <c r="BD543" s="34" t="s">
        <v>155</v>
      </c>
      <c r="BE543" s="10" t="s">
        <v>15</v>
      </c>
      <c r="BF543" s="10">
        <v>4</v>
      </c>
      <c r="BG543" s="10" t="s">
        <v>152</v>
      </c>
      <c r="BH543">
        <v>40</v>
      </c>
      <c r="BI543" s="10"/>
      <c r="BJ543" s="43"/>
      <c r="BL543" s="42"/>
      <c r="BM543" s="34" t="s">
        <v>155</v>
      </c>
      <c r="BN543" s="10" t="s">
        <v>15</v>
      </c>
      <c r="BO543" s="10">
        <v>4</v>
      </c>
      <c r="BP543" s="10" t="s">
        <v>152</v>
      </c>
      <c r="BQ543">
        <v>40</v>
      </c>
      <c r="BR543" s="10"/>
      <c r="BS543" s="43"/>
      <c r="BU543" s="42"/>
      <c r="BV543" s="34" t="s">
        <v>155</v>
      </c>
      <c r="BW543" s="10" t="s">
        <v>15</v>
      </c>
      <c r="BX543" s="10">
        <v>4</v>
      </c>
      <c r="BY543" s="10" t="s">
        <v>152</v>
      </c>
      <c r="BZ543">
        <v>40</v>
      </c>
      <c r="CA543" s="10"/>
      <c r="CB543" s="43"/>
      <c r="CD543" s="42"/>
      <c r="CE543" s="34" t="s">
        <v>155</v>
      </c>
      <c r="CF543" s="10" t="s">
        <v>15</v>
      </c>
      <c r="CG543" s="10">
        <v>4</v>
      </c>
      <c r="CH543" s="10" t="s">
        <v>152</v>
      </c>
      <c r="CI543">
        <v>40</v>
      </c>
      <c r="CJ543" s="10"/>
      <c r="CK543" s="43"/>
    </row>
    <row r="544" spans="1:89" x14ac:dyDescent="0.25">
      <c r="A544" s="42"/>
      <c r="B544" s="34" t="s">
        <v>155</v>
      </c>
      <c r="C544" s="10" t="s">
        <v>15</v>
      </c>
      <c r="D544" s="10">
        <v>5</v>
      </c>
      <c r="E544" s="10" t="s">
        <v>152</v>
      </c>
      <c r="F544">
        <v>41</v>
      </c>
      <c r="G544" s="10">
        <v>2043</v>
      </c>
      <c r="H544" t="s">
        <v>161</v>
      </c>
      <c r="J544" s="42"/>
      <c r="K544" s="34" t="s">
        <v>155</v>
      </c>
      <c r="L544" s="10" t="s">
        <v>15</v>
      </c>
      <c r="M544" s="10">
        <v>5</v>
      </c>
      <c r="N544" s="10" t="s">
        <v>152</v>
      </c>
      <c r="O544">
        <v>41</v>
      </c>
      <c r="P544" s="10" t="s">
        <v>106</v>
      </c>
      <c r="Q544" s="43" t="s">
        <v>182</v>
      </c>
      <c r="S544" s="42"/>
      <c r="T544" s="34" t="s">
        <v>155</v>
      </c>
      <c r="U544" s="10" t="s">
        <v>15</v>
      </c>
      <c r="V544" s="10">
        <v>5</v>
      </c>
      <c r="W544" s="10" t="s">
        <v>152</v>
      </c>
      <c r="X544">
        <v>41</v>
      </c>
      <c r="Y544" s="10">
        <v>2047</v>
      </c>
      <c r="Z544" t="s">
        <v>172</v>
      </c>
      <c r="AB544" s="42"/>
      <c r="AC544" s="34" t="s">
        <v>155</v>
      </c>
      <c r="AD544" s="10" t="s">
        <v>15</v>
      </c>
      <c r="AE544" s="10">
        <v>5</v>
      </c>
      <c r="AF544" s="10" t="s">
        <v>152</v>
      </c>
      <c r="AG544">
        <v>41</v>
      </c>
      <c r="AH544" s="10">
        <v>2050</v>
      </c>
      <c r="AI544" t="s">
        <v>177</v>
      </c>
      <c r="AK544" s="42"/>
      <c r="AL544" s="34" t="s">
        <v>155</v>
      </c>
      <c r="AM544" s="10" t="s">
        <v>15</v>
      </c>
      <c r="AN544" s="10">
        <v>5</v>
      </c>
      <c r="AO544" s="10" t="s">
        <v>152</v>
      </c>
      <c r="AP544">
        <v>41</v>
      </c>
      <c r="AQ544" s="10" t="s">
        <v>108</v>
      </c>
      <c r="AR544" t="s">
        <v>172</v>
      </c>
      <c r="AT544" s="42"/>
      <c r="AU544" s="34" t="s">
        <v>155</v>
      </c>
      <c r="AV544" s="10" t="s">
        <v>15</v>
      </c>
      <c r="AW544" s="10">
        <v>5</v>
      </c>
      <c r="AX544" s="10" t="s">
        <v>152</v>
      </c>
      <c r="AY544">
        <v>41</v>
      </c>
      <c r="AZ544" s="10"/>
      <c r="BA544" s="43"/>
      <c r="BC544" s="42"/>
      <c r="BD544" s="34" t="s">
        <v>155</v>
      </c>
      <c r="BE544" s="10" t="s">
        <v>15</v>
      </c>
      <c r="BF544" s="10">
        <v>5</v>
      </c>
      <c r="BG544" s="10" t="s">
        <v>152</v>
      </c>
      <c r="BH544">
        <v>41</v>
      </c>
      <c r="BI544" s="10"/>
      <c r="BJ544" s="43"/>
      <c r="BL544" s="42"/>
      <c r="BM544" s="34" t="s">
        <v>155</v>
      </c>
      <c r="BN544" s="10" t="s">
        <v>15</v>
      </c>
      <c r="BO544" s="10">
        <v>5</v>
      </c>
      <c r="BP544" s="10" t="s">
        <v>152</v>
      </c>
      <c r="BQ544">
        <v>41</v>
      </c>
      <c r="BR544" s="10"/>
      <c r="BS544" s="43"/>
      <c r="BU544" s="42"/>
      <c r="BV544" s="34" t="s">
        <v>155</v>
      </c>
      <c r="BW544" s="10" t="s">
        <v>15</v>
      </c>
      <c r="BX544" s="10">
        <v>5</v>
      </c>
      <c r="BY544" s="10" t="s">
        <v>152</v>
      </c>
      <c r="BZ544">
        <v>41</v>
      </c>
      <c r="CA544" s="10"/>
      <c r="CB544" s="43"/>
      <c r="CD544" s="42"/>
      <c r="CE544" s="34" t="s">
        <v>155</v>
      </c>
      <c r="CF544" s="10" t="s">
        <v>15</v>
      </c>
      <c r="CG544" s="10">
        <v>5</v>
      </c>
      <c r="CH544" s="10" t="s">
        <v>152</v>
      </c>
      <c r="CI544">
        <v>41</v>
      </c>
      <c r="CJ544" s="10"/>
      <c r="CK544" s="43"/>
    </row>
    <row r="545" spans="1:89" x14ac:dyDescent="0.25">
      <c r="A545" s="42"/>
      <c r="B545" s="34" t="s">
        <v>155</v>
      </c>
      <c r="C545" s="10" t="s">
        <v>15</v>
      </c>
      <c r="D545" s="10">
        <v>6</v>
      </c>
      <c r="E545" s="10" t="s">
        <v>152</v>
      </c>
      <c r="F545">
        <v>42</v>
      </c>
      <c r="G545" s="10">
        <v>2043</v>
      </c>
      <c r="H545" t="s">
        <v>169</v>
      </c>
      <c r="J545" s="42"/>
      <c r="K545" s="34" t="s">
        <v>155</v>
      </c>
      <c r="L545" s="10" t="s">
        <v>15</v>
      </c>
      <c r="M545" s="10">
        <v>6</v>
      </c>
      <c r="N545" s="10" t="s">
        <v>152</v>
      </c>
      <c r="O545">
        <v>42</v>
      </c>
      <c r="P545" s="10" t="s">
        <v>106</v>
      </c>
      <c r="Q545" s="43" t="s">
        <v>184</v>
      </c>
      <c r="S545" s="42"/>
      <c r="T545" s="34" t="s">
        <v>155</v>
      </c>
      <c r="U545" s="10" t="s">
        <v>15</v>
      </c>
      <c r="V545" s="10">
        <v>6</v>
      </c>
      <c r="W545" s="10" t="s">
        <v>152</v>
      </c>
      <c r="X545">
        <v>42</v>
      </c>
      <c r="Y545" s="10">
        <v>2047</v>
      </c>
      <c r="Z545" t="s">
        <v>162</v>
      </c>
      <c r="AB545" s="42"/>
      <c r="AC545" s="34" t="s">
        <v>155</v>
      </c>
      <c r="AD545" s="10" t="s">
        <v>15</v>
      </c>
      <c r="AE545" s="10">
        <v>6</v>
      </c>
      <c r="AF545" s="10" t="s">
        <v>152</v>
      </c>
      <c r="AG545">
        <v>42</v>
      </c>
      <c r="AH545" s="10">
        <v>2050</v>
      </c>
      <c r="AI545" t="s">
        <v>180</v>
      </c>
      <c r="AK545" s="42"/>
      <c r="AL545" s="34" t="s">
        <v>155</v>
      </c>
      <c r="AM545" s="10" t="s">
        <v>15</v>
      </c>
      <c r="AN545" s="10">
        <v>6</v>
      </c>
      <c r="AO545" s="10" t="s">
        <v>152</v>
      </c>
      <c r="AP545">
        <v>42</v>
      </c>
      <c r="AQ545" s="10" t="s">
        <v>108</v>
      </c>
      <c r="AR545" t="s">
        <v>162</v>
      </c>
      <c r="AT545" s="42"/>
      <c r="AU545" s="34" t="s">
        <v>155</v>
      </c>
      <c r="AV545" s="10" t="s">
        <v>15</v>
      </c>
      <c r="AW545" s="10">
        <v>6</v>
      </c>
      <c r="AX545" s="10" t="s">
        <v>152</v>
      </c>
      <c r="AY545">
        <v>42</v>
      </c>
      <c r="AZ545" s="10"/>
      <c r="BA545" s="43"/>
      <c r="BC545" s="42"/>
      <c r="BD545" s="34" t="s">
        <v>155</v>
      </c>
      <c r="BE545" s="10" t="s">
        <v>15</v>
      </c>
      <c r="BF545" s="10">
        <v>6</v>
      </c>
      <c r="BG545" s="10" t="s">
        <v>152</v>
      </c>
      <c r="BH545">
        <v>42</v>
      </c>
      <c r="BI545" s="10"/>
      <c r="BJ545" s="43"/>
      <c r="BL545" s="42"/>
      <c r="BM545" s="34" t="s">
        <v>155</v>
      </c>
      <c r="BN545" s="10" t="s">
        <v>15</v>
      </c>
      <c r="BO545" s="10">
        <v>6</v>
      </c>
      <c r="BP545" s="10" t="s">
        <v>152</v>
      </c>
      <c r="BQ545">
        <v>42</v>
      </c>
      <c r="BR545" s="10"/>
      <c r="BS545" s="43"/>
      <c r="BU545" s="42"/>
      <c r="BV545" s="34" t="s">
        <v>155</v>
      </c>
      <c r="BW545" s="10" t="s">
        <v>15</v>
      </c>
      <c r="BX545" s="10">
        <v>6</v>
      </c>
      <c r="BY545" s="10" t="s">
        <v>152</v>
      </c>
      <c r="BZ545">
        <v>42</v>
      </c>
      <c r="CA545" s="10"/>
      <c r="CB545" s="43"/>
      <c r="CD545" s="42"/>
      <c r="CE545" s="34" t="s">
        <v>155</v>
      </c>
      <c r="CF545" s="10" t="s">
        <v>15</v>
      </c>
      <c r="CG545" s="10">
        <v>6</v>
      </c>
      <c r="CH545" s="10" t="s">
        <v>152</v>
      </c>
      <c r="CI545">
        <v>42</v>
      </c>
      <c r="CJ545" s="10"/>
      <c r="CK545" s="43"/>
    </row>
    <row r="546" spans="1:89" x14ac:dyDescent="0.25">
      <c r="A546" s="42"/>
      <c r="B546" s="34" t="s">
        <v>155</v>
      </c>
      <c r="C546" s="10" t="s">
        <v>15</v>
      </c>
      <c r="D546" s="10">
        <v>7</v>
      </c>
      <c r="E546" s="10" t="s">
        <v>152</v>
      </c>
      <c r="F546">
        <v>43</v>
      </c>
      <c r="G546" s="10">
        <v>2043</v>
      </c>
      <c r="H546" t="s">
        <v>177</v>
      </c>
      <c r="J546" s="42"/>
      <c r="K546" s="34" t="s">
        <v>155</v>
      </c>
      <c r="L546" s="10" t="s">
        <v>15</v>
      </c>
      <c r="M546" s="10">
        <v>7</v>
      </c>
      <c r="N546" s="10" t="s">
        <v>152</v>
      </c>
      <c r="O546">
        <v>43</v>
      </c>
      <c r="P546" s="10" t="s">
        <v>106</v>
      </c>
      <c r="Q546" s="43" t="s">
        <v>187</v>
      </c>
      <c r="S546" s="42"/>
      <c r="T546" s="34" t="s">
        <v>155</v>
      </c>
      <c r="U546" s="10" t="s">
        <v>15</v>
      </c>
      <c r="V546" s="10">
        <v>7</v>
      </c>
      <c r="W546" s="10" t="s">
        <v>152</v>
      </c>
      <c r="X546">
        <v>43</v>
      </c>
      <c r="Y546" s="10">
        <v>2047</v>
      </c>
      <c r="Z546" t="s">
        <v>170</v>
      </c>
      <c r="AB546" s="42"/>
      <c r="AC546" s="34" t="s">
        <v>155</v>
      </c>
      <c r="AD546" s="10" t="s">
        <v>15</v>
      </c>
      <c r="AE546" s="10">
        <v>7</v>
      </c>
      <c r="AF546" s="10" t="s">
        <v>152</v>
      </c>
      <c r="AG546">
        <v>43</v>
      </c>
      <c r="AH546" s="10">
        <v>2050</v>
      </c>
      <c r="AI546" t="s">
        <v>181</v>
      </c>
      <c r="AK546" s="42"/>
      <c r="AL546" s="34" t="s">
        <v>155</v>
      </c>
      <c r="AM546" s="10" t="s">
        <v>15</v>
      </c>
      <c r="AN546" s="10">
        <v>7</v>
      </c>
      <c r="AO546" s="10" t="s">
        <v>152</v>
      </c>
      <c r="AP546">
        <v>43</v>
      </c>
      <c r="AQ546" s="10" t="s">
        <v>108</v>
      </c>
      <c r="AR546" t="s">
        <v>170</v>
      </c>
      <c r="AT546" s="42"/>
      <c r="AU546" s="34" t="s">
        <v>155</v>
      </c>
      <c r="AV546" s="10" t="s">
        <v>15</v>
      </c>
      <c r="AW546" s="10">
        <v>7</v>
      </c>
      <c r="AX546" s="10" t="s">
        <v>152</v>
      </c>
      <c r="AY546">
        <v>43</v>
      </c>
      <c r="AZ546" s="10"/>
      <c r="BA546" s="43"/>
      <c r="BC546" s="42"/>
      <c r="BD546" s="34" t="s">
        <v>155</v>
      </c>
      <c r="BE546" s="10" t="s">
        <v>15</v>
      </c>
      <c r="BF546" s="10">
        <v>7</v>
      </c>
      <c r="BG546" s="10" t="s">
        <v>152</v>
      </c>
      <c r="BH546">
        <v>43</v>
      </c>
      <c r="BI546" s="10"/>
      <c r="BJ546" s="43"/>
      <c r="BL546" s="42"/>
      <c r="BM546" s="34" t="s">
        <v>155</v>
      </c>
      <c r="BN546" s="10" t="s">
        <v>15</v>
      </c>
      <c r="BO546" s="10">
        <v>7</v>
      </c>
      <c r="BP546" s="10" t="s">
        <v>152</v>
      </c>
      <c r="BQ546">
        <v>43</v>
      </c>
      <c r="BR546" s="10"/>
      <c r="BS546" s="43"/>
      <c r="BU546" s="42"/>
      <c r="BV546" s="34" t="s">
        <v>155</v>
      </c>
      <c r="BW546" s="10" t="s">
        <v>15</v>
      </c>
      <c r="BX546" s="10">
        <v>7</v>
      </c>
      <c r="BY546" s="10" t="s">
        <v>152</v>
      </c>
      <c r="BZ546">
        <v>43</v>
      </c>
      <c r="CA546" s="10"/>
      <c r="CB546" s="43"/>
      <c r="CD546" s="42"/>
      <c r="CE546" s="34" t="s">
        <v>155</v>
      </c>
      <c r="CF546" s="10" t="s">
        <v>15</v>
      </c>
      <c r="CG546" s="10">
        <v>7</v>
      </c>
      <c r="CH546" s="10" t="s">
        <v>152</v>
      </c>
      <c r="CI546">
        <v>43</v>
      </c>
      <c r="CJ546" s="10"/>
      <c r="CK546" s="43"/>
    </row>
    <row r="547" spans="1:89" x14ac:dyDescent="0.25">
      <c r="A547" s="42"/>
      <c r="B547" s="34" t="s">
        <v>155</v>
      </c>
      <c r="C547" s="10" t="s">
        <v>15</v>
      </c>
      <c r="D547" s="10">
        <v>8</v>
      </c>
      <c r="E547" s="10" t="s">
        <v>152</v>
      </c>
      <c r="F547">
        <v>44</v>
      </c>
      <c r="G547" s="10">
        <v>2043</v>
      </c>
      <c r="H547" t="s">
        <v>180</v>
      </c>
      <c r="J547" s="42"/>
      <c r="K547" s="34" t="s">
        <v>155</v>
      </c>
      <c r="L547" s="10" t="s">
        <v>15</v>
      </c>
      <c r="M547" s="10">
        <v>8</v>
      </c>
      <c r="N547" s="10" t="s">
        <v>152</v>
      </c>
      <c r="O547">
        <v>44</v>
      </c>
      <c r="P547" s="10" t="s">
        <v>106</v>
      </c>
      <c r="Q547" s="43" t="s">
        <v>189</v>
      </c>
      <c r="S547" s="42"/>
      <c r="T547" s="34" t="s">
        <v>155</v>
      </c>
      <c r="U547" s="10" t="s">
        <v>15</v>
      </c>
      <c r="V547" s="10">
        <v>8</v>
      </c>
      <c r="W547" s="10" t="s">
        <v>152</v>
      </c>
      <c r="X547">
        <v>44</v>
      </c>
      <c r="Y547" s="10">
        <v>2047</v>
      </c>
      <c r="Z547" t="s">
        <v>178</v>
      </c>
      <c r="AB547" s="42"/>
      <c r="AC547" s="34" t="s">
        <v>155</v>
      </c>
      <c r="AD547" s="10" t="s">
        <v>15</v>
      </c>
      <c r="AE547" s="10">
        <v>8</v>
      </c>
      <c r="AF547" s="10" t="s">
        <v>152</v>
      </c>
      <c r="AG547">
        <v>44</v>
      </c>
      <c r="AH547" s="10">
        <v>2050</v>
      </c>
      <c r="AI547" t="s">
        <v>183</v>
      </c>
      <c r="AK547" s="42"/>
      <c r="AL547" s="34" t="s">
        <v>155</v>
      </c>
      <c r="AM547" s="10" t="s">
        <v>15</v>
      </c>
      <c r="AN547" s="10">
        <v>8</v>
      </c>
      <c r="AO547" s="10" t="s">
        <v>152</v>
      </c>
      <c r="AP547">
        <v>44</v>
      </c>
      <c r="AQ547" s="10" t="s">
        <v>108</v>
      </c>
      <c r="AR547" t="s">
        <v>178</v>
      </c>
      <c r="AT547" s="42"/>
      <c r="AU547" s="34" t="s">
        <v>155</v>
      </c>
      <c r="AV547" s="10" t="s">
        <v>15</v>
      </c>
      <c r="AW547" s="10">
        <v>8</v>
      </c>
      <c r="AX547" s="10" t="s">
        <v>152</v>
      </c>
      <c r="AY547">
        <v>44</v>
      </c>
      <c r="AZ547" s="10"/>
      <c r="BA547" s="43"/>
      <c r="BC547" s="42"/>
      <c r="BD547" s="34" t="s">
        <v>155</v>
      </c>
      <c r="BE547" s="10" t="s">
        <v>15</v>
      </c>
      <c r="BF547" s="10">
        <v>8</v>
      </c>
      <c r="BG547" s="10" t="s">
        <v>152</v>
      </c>
      <c r="BH547">
        <v>44</v>
      </c>
      <c r="BI547" s="10"/>
      <c r="BJ547" s="43"/>
      <c r="BL547" s="42"/>
      <c r="BM547" s="34" t="s">
        <v>155</v>
      </c>
      <c r="BN547" s="10" t="s">
        <v>15</v>
      </c>
      <c r="BO547" s="10">
        <v>8</v>
      </c>
      <c r="BP547" s="10" t="s">
        <v>152</v>
      </c>
      <c r="BQ547">
        <v>44</v>
      </c>
      <c r="BR547" s="10"/>
      <c r="BS547" s="43"/>
      <c r="BU547" s="42"/>
      <c r="BV547" s="34" t="s">
        <v>155</v>
      </c>
      <c r="BW547" s="10" t="s">
        <v>15</v>
      </c>
      <c r="BX547" s="10">
        <v>8</v>
      </c>
      <c r="BY547" s="10" t="s">
        <v>152</v>
      </c>
      <c r="BZ547">
        <v>44</v>
      </c>
      <c r="CA547" s="10"/>
      <c r="CB547" s="43"/>
      <c r="CD547" s="42"/>
      <c r="CE547" s="34" t="s">
        <v>155</v>
      </c>
      <c r="CF547" s="10" t="s">
        <v>15</v>
      </c>
      <c r="CG547" s="10">
        <v>8</v>
      </c>
      <c r="CH547" s="10" t="s">
        <v>152</v>
      </c>
      <c r="CI547">
        <v>44</v>
      </c>
      <c r="CJ547" s="10"/>
      <c r="CK547" s="43"/>
    </row>
    <row r="548" spans="1:89" x14ac:dyDescent="0.25">
      <c r="A548" s="42"/>
      <c r="B548" s="34" t="s">
        <v>155</v>
      </c>
      <c r="C548" s="10" t="s">
        <v>15</v>
      </c>
      <c r="D548" s="10">
        <v>9</v>
      </c>
      <c r="E548" s="10" t="s">
        <v>152</v>
      </c>
      <c r="F548">
        <v>45</v>
      </c>
      <c r="G548" s="10">
        <v>2043</v>
      </c>
      <c r="H548" t="s">
        <v>181</v>
      </c>
      <c r="J548" s="42"/>
      <c r="K548" s="34" t="s">
        <v>155</v>
      </c>
      <c r="L548" s="10" t="s">
        <v>15</v>
      </c>
      <c r="M548" s="10">
        <v>9</v>
      </c>
      <c r="N548" s="10" t="s">
        <v>152</v>
      </c>
      <c r="O548">
        <v>45</v>
      </c>
      <c r="P548" s="10" t="s">
        <v>100</v>
      </c>
      <c r="Q548" s="43" t="s">
        <v>160</v>
      </c>
      <c r="S548" s="42"/>
      <c r="T548" s="34" t="s">
        <v>155</v>
      </c>
      <c r="U548" s="10" t="s">
        <v>15</v>
      </c>
      <c r="V548" s="10">
        <v>9</v>
      </c>
      <c r="W548" s="10" t="s">
        <v>152</v>
      </c>
      <c r="X548">
        <v>45</v>
      </c>
      <c r="Y548" s="10">
        <v>2047</v>
      </c>
      <c r="Z548" t="s">
        <v>163</v>
      </c>
      <c r="AB548" s="42"/>
      <c r="AC548" s="34" t="s">
        <v>155</v>
      </c>
      <c r="AD548" s="10" t="s">
        <v>15</v>
      </c>
      <c r="AE548" s="10">
        <v>9</v>
      </c>
      <c r="AF548" s="10" t="s">
        <v>152</v>
      </c>
      <c r="AG548">
        <v>45</v>
      </c>
      <c r="AH548" s="10">
        <v>2050</v>
      </c>
      <c r="AI548" t="s">
        <v>186</v>
      </c>
      <c r="AK548" s="42"/>
      <c r="AL548" s="34" t="s">
        <v>155</v>
      </c>
      <c r="AM548" s="10" t="s">
        <v>15</v>
      </c>
      <c r="AN548" s="10">
        <v>9</v>
      </c>
      <c r="AO548" s="10" t="s">
        <v>152</v>
      </c>
      <c r="AP548">
        <v>45</v>
      </c>
      <c r="AQ548" s="10" t="s">
        <v>108</v>
      </c>
      <c r="AR548" t="s">
        <v>163</v>
      </c>
      <c r="AT548" s="42"/>
      <c r="AU548" s="34" t="s">
        <v>155</v>
      </c>
      <c r="AV548" s="10" t="s">
        <v>15</v>
      </c>
      <c r="AW548" s="10">
        <v>9</v>
      </c>
      <c r="AX548" s="10" t="s">
        <v>152</v>
      </c>
      <c r="AY548">
        <v>45</v>
      </c>
      <c r="AZ548" s="10"/>
      <c r="BA548" s="43"/>
      <c r="BC548" s="42"/>
      <c r="BD548" s="34" t="s">
        <v>155</v>
      </c>
      <c r="BE548" s="10" t="s">
        <v>15</v>
      </c>
      <c r="BF548" s="10">
        <v>9</v>
      </c>
      <c r="BG548" s="10" t="s">
        <v>152</v>
      </c>
      <c r="BH548">
        <v>45</v>
      </c>
      <c r="BI548" s="10"/>
      <c r="BJ548" s="43"/>
      <c r="BL548" s="42"/>
      <c r="BM548" s="34" t="s">
        <v>155</v>
      </c>
      <c r="BN548" s="10" t="s">
        <v>15</v>
      </c>
      <c r="BO548" s="10">
        <v>9</v>
      </c>
      <c r="BP548" s="10" t="s">
        <v>152</v>
      </c>
      <c r="BQ548">
        <v>45</v>
      </c>
      <c r="BR548" s="10"/>
      <c r="BS548" s="43"/>
      <c r="BU548" s="42"/>
      <c r="BV548" s="34" t="s">
        <v>155</v>
      </c>
      <c r="BW548" s="10" t="s">
        <v>15</v>
      </c>
      <c r="BX548" s="10">
        <v>9</v>
      </c>
      <c r="BY548" s="10" t="s">
        <v>152</v>
      </c>
      <c r="BZ548">
        <v>45</v>
      </c>
      <c r="CA548" s="10"/>
      <c r="CB548" s="43"/>
      <c r="CD548" s="42"/>
      <c r="CE548" s="34" t="s">
        <v>155</v>
      </c>
      <c r="CF548" s="10" t="s">
        <v>15</v>
      </c>
      <c r="CG548" s="10">
        <v>9</v>
      </c>
      <c r="CH548" s="10" t="s">
        <v>152</v>
      </c>
      <c r="CI548">
        <v>45</v>
      </c>
      <c r="CJ548" s="10"/>
      <c r="CK548" s="43"/>
    </row>
    <row r="549" spans="1:89" x14ac:dyDescent="0.25">
      <c r="A549" s="42"/>
      <c r="B549" s="34" t="s">
        <v>155</v>
      </c>
      <c r="C549" s="10" t="s">
        <v>15</v>
      </c>
      <c r="D549" s="10">
        <v>10</v>
      </c>
      <c r="E549" s="10" t="s">
        <v>152</v>
      </c>
      <c r="F549">
        <v>46</v>
      </c>
      <c r="G549" s="10">
        <v>2043</v>
      </c>
      <c r="H549" t="s">
        <v>183</v>
      </c>
      <c r="J549" s="42"/>
      <c r="K549" s="34" t="s">
        <v>155</v>
      </c>
      <c r="L549" s="10" t="s">
        <v>15</v>
      </c>
      <c r="M549" s="10">
        <v>10</v>
      </c>
      <c r="N549" s="10" t="s">
        <v>152</v>
      </c>
      <c r="O549">
        <v>46</v>
      </c>
      <c r="P549" s="10" t="s">
        <v>100</v>
      </c>
      <c r="Q549" s="51" t="s">
        <v>168</v>
      </c>
      <c r="S549" s="42"/>
      <c r="T549" s="34" t="s">
        <v>155</v>
      </c>
      <c r="U549" s="10" t="s">
        <v>15</v>
      </c>
      <c r="V549" s="10">
        <v>10</v>
      </c>
      <c r="W549" s="10" t="s">
        <v>152</v>
      </c>
      <c r="X549">
        <v>46</v>
      </c>
      <c r="Y549" s="10">
        <v>2047</v>
      </c>
      <c r="Z549" t="s">
        <v>171</v>
      </c>
      <c r="AB549" s="42"/>
      <c r="AC549" s="34" t="s">
        <v>155</v>
      </c>
      <c r="AD549" s="10" t="s">
        <v>15</v>
      </c>
      <c r="AE549" s="10">
        <v>10</v>
      </c>
      <c r="AF549" s="10" t="s">
        <v>152</v>
      </c>
      <c r="AG549">
        <v>46</v>
      </c>
      <c r="AH549" s="10">
        <v>2050</v>
      </c>
      <c r="AI549" s="43" t="s">
        <v>188</v>
      </c>
      <c r="AK549" s="42"/>
      <c r="AL549" s="34" t="s">
        <v>155</v>
      </c>
      <c r="AM549" s="10" t="s">
        <v>15</v>
      </c>
      <c r="AN549" s="10">
        <v>10</v>
      </c>
      <c r="AO549" s="10" t="s">
        <v>152</v>
      </c>
      <c r="AP549">
        <v>46</v>
      </c>
      <c r="AQ549" s="10" t="s">
        <v>108</v>
      </c>
      <c r="AR549" t="s">
        <v>171</v>
      </c>
      <c r="AT549" s="42"/>
      <c r="AU549" s="34" t="s">
        <v>155</v>
      </c>
      <c r="AV549" s="10" t="s">
        <v>15</v>
      </c>
      <c r="AW549" s="10">
        <v>10</v>
      </c>
      <c r="AX549" s="10" t="s">
        <v>152</v>
      </c>
      <c r="AY549">
        <v>46</v>
      </c>
      <c r="AZ549" s="10"/>
      <c r="BA549" s="43"/>
      <c r="BC549" s="42"/>
      <c r="BD549" s="34" t="s">
        <v>155</v>
      </c>
      <c r="BE549" s="10" t="s">
        <v>15</v>
      </c>
      <c r="BF549" s="10">
        <v>10</v>
      </c>
      <c r="BG549" s="10" t="s">
        <v>152</v>
      </c>
      <c r="BH549">
        <v>46</v>
      </c>
      <c r="BI549" s="10"/>
      <c r="BJ549" s="43"/>
      <c r="BL549" s="42"/>
      <c r="BM549" s="34" t="s">
        <v>155</v>
      </c>
      <c r="BN549" s="10" t="s">
        <v>15</v>
      </c>
      <c r="BO549" s="10">
        <v>10</v>
      </c>
      <c r="BP549" s="10" t="s">
        <v>152</v>
      </c>
      <c r="BQ549">
        <v>46</v>
      </c>
      <c r="BR549" s="10"/>
      <c r="BS549" s="43"/>
      <c r="BU549" s="42"/>
      <c r="BV549" s="34" t="s">
        <v>155</v>
      </c>
      <c r="BW549" s="10" t="s">
        <v>15</v>
      </c>
      <c r="BX549" s="10">
        <v>10</v>
      </c>
      <c r="BY549" s="10" t="s">
        <v>152</v>
      </c>
      <c r="BZ549">
        <v>46</v>
      </c>
      <c r="CA549" s="10"/>
      <c r="CB549" s="43"/>
      <c r="CD549" s="42"/>
      <c r="CE549" s="34" t="s">
        <v>155</v>
      </c>
      <c r="CF549" s="10" t="s">
        <v>15</v>
      </c>
      <c r="CG549" s="10">
        <v>10</v>
      </c>
      <c r="CH549" s="10" t="s">
        <v>152</v>
      </c>
      <c r="CI549">
        <v>46</v>
      </c>
      <c r="CJ549" s="10"/>
      <c r="CK549" s="43"/>
    </row>
    <row r="550" spans="1:89" x14ac:dyDescent="0.25">
      <c r="A550" s="42"/>
      <c r="B550" s="34" t="s">
        <v>155</v>
      </c>
      <c r="C550" s="10" t="s">
        <v>15</v>
      </c>
      <c r="D550" s="10">
        <v>11</v>
      </c>
      <c r="E550" s="10" t="s">
        <v>152</v>
      </c>
      <c r="F550">
        <v>47</v>
      </c>
      <c r="G550" s="10">
        <v>2043</v>
      </c>
      <c r="H550" t="s">
        <v>186</v>
      </c>
      <c r="J550" s="42"/>
      <c r="K550" s="34" t="s">
        <v>155</v>
      </c>
      <c r="L550" s="10" t="s">
        <v>15</v>
      </c>
      <c r="M550" s="10">
        <v>11</v>
      </c>
      <c r="N550" s="10" t="s">
        <v>152</v>
      </c>
      <c r="O550">
        <v>47</v>
      </c>
      <c r="P550" s="10" t="s">
        <v>100</v>
      </c>
      <c r="Q550" s="43" t="s">
        <v>176</v>
      </c>
      <c r="S550" s="42"/>
      <c r="T550" s="34" t="s">
        <v>155</v>
      </c>
      <c r="U550" s="10" t="s">
        <v>15</v>
      </c>
      <c r="V550" s="10">
        <v>11</v>
      </c>
      <c r="W550" s="10" t="s">
        <v>152</v>
      </c>
      <c r="X550">
        <v>47</v>
      </c>
      <c r="Y550" s="10">
        <v>2047</v>
      </c>
      <c r="Z550" t="s">
        <v>161</v>
      </c>
      <c r="AB550" s="42"/>
      <c r="AC550" s="34" t="s">
        <v>155</v>
      </c>
      <c r="AD550" s="10" t="s">
        <v>15</v>
      </c>
      <c r="AE550" s="10">
        <v>11</v>
      </c>
      <c r="AF550" s="10" t="s">
        <v>152</v>
      </c>
      <c r="AG550">
        <v>47</v>
      </c>
      <c r="AH550" s="10">
        <v>2050</v>
      </c>
      <c r="AI550" s="43" t="s">
        <v>182</v>
      </c>
      <c r="AK550" s="42"/>
      <c r="AL550" s="34" t="s">
        <v>155</v>
      </c>
      <c r="AM550" s="10" t="s">
        <v>15</v>
      </c>
      <c r="AN550" s="10">
        <v>11</v>
      </c>
      <c r="AO550" s="10" t="s">
        <v>152</v>
      </c>
      <c r="AP550">
        <v>47</v>
      </c>
      <c r="AQ550" s="10" t="s">
        <v>108</v>
      </c>
      <c r="AR550" t="s">
        <v>161</v>
      </c>
      <c r="AT550" s="42"/>
      <c r="AU550" s="34" t="s">
        <v>155</v>
      </c>
      <c r="AV550" s="10" t="s">
        <v>15</v>
      </c>
      <c r="AW550" s="10">
        <v>11</v>
      </c>
      <c r="AX550" s="10" t="s">
        <v>152</v>
      </c>
      <c r="AY550">
        <v>47</v>
      </c>
      <c r="AZ550" s="10"/>
      <c r="BA550" s="43"/>
      <c r="BC550" s="42"/>
      <c r="BD550" s="34" t="s">
        <v>155</v>
      </c>
      <c r="BE550" s="10" t="s">
        <v>15</v>
      </c>
      <c r="BF550" s="10">
        <v>11</v>
      </c>
      <c r="BG550" s="10" t="s">
        <v>152</v>
      </c>
      <c r="BH550">
        <v>47</v>
      </c>
      <c r="BI550" s="10"/>
      <c r="BJ550" s="43"/>
      <c r="BL550" s="42"/>
      <c r="BM550" s="34" t="s">
        <v>155</v>
      </c>
      <c r="BN550" s="10" t="s">
        <v>15</v>
      </c>
      <c r="BO550" s="10">
        <v>11</v>
      </c>
      <c r="BP550" s="10" t="s">
        <v>152</v>
      </c>
      <c r="BQ550">
        <v>47</v>
      </c>
      <c r="BR550" s="10"/>
      <c r="BS550" s="43"/>
      <c r="BU550" s="42"/>
      <c r="BV550" s="34" t="s">
        <v>155</v>
      </c>
      <c r="BW550" s="10" t="s">
        <v>15</v>
      </c>
      <c r="BX550" s="10">
        <v>11</v>
      </c>
      <c r="BY550" s="10" t="s">
        <v>152</v>
      </c>
      <c r="BZ550">
        <v>47</v>
      </c>
      <c r="CA550" s="10"/>
      <c r="CB550" s="43"/>
      <c r="CD550" s="42"/>
      <c r="CE550" s="34" t="s">
        <v>155</v>
      </c>
      <c r="CF550" s="10" t="s">
        <v>15</v>
      </c>
      <c r="CG550" s="10">
        <v>11</v>
      </c>
      <c r="CH550" s="10" t="s">
        <v>152</v>
      </c>
      <c r="CI550">
        <v>47</v>
      </c>
      <c r="CJ550" s="10"/>
      <c r="CK550" s="43"/>
    </row>
    <row r="551" spans="1:89" ht="15.75" thickBot="1" x14ac:dyDescent="0.3">
      <c r="A551" s="47"/>
      <c r="B551" s="48" t="s">
        <v>155</v>
      </c>
      <c r="C551" s="49" t="s">
        <v>15</v>
      </c>
      <c r="D551" s="49">
        <v>12</v>
      </c>
      <c r="E551" s="49" t="s">
        <v>152</v>
      </c>
      <c r="F551" s="50">
        <v>48</v>
      </c>
      <c r="G551" s="10">
        <v>2043</v>
      </c>
      <c r="H551" s="43" t="s">
        <v>188</v>
      </c>
      <c r="J551" s="47"/>
      <c r="K551" s="48" t="s">
        <v>155</v>
      </c>
      <c r="L551" s="49" t="s">
        <v>15</v>
      </c>
      <c r="M551" s="49">
        <v>12</v>
      </c>
      <c r="N551" s="49" t="s">
        <v>152</v>
      </c>
      <c r="O551" s="50">
        <v>48</v>
      </c>
      <c r="P551" s="10" t="s">
        <v>100</v>
      </c>
      <c r="Q551" s="43" t="s">
        <v>164</v>
      </c>
      <c r="S551" s="47"/>
      <c r="T551" s="48" t="s">
        <v>155</v>
      </c>
      <c r="U551" s="49" t="s">
        <v>15</v>
      </c>
      <c r="V551" s="49">
        <v>12</v>
      </c>
      <c r="W551" s="49" t="s">
        <v>152</v>
      </c>
      <c r="X551" s="50">
        <v>48</v>
      </c>
      <c r="Y551" s="10">
        <v>2047</v>
      </c>
      <c r="Z551" t="s">
        <v>169</v>
      </c>
      <c r="AB551" s="47"/>
      <c r="AC551" s="48" t="s">
        <v>155</v>
      </c>
      <c r="AD551" s="49" t="s">
        <v>15</v>
      </c>
      <c r="AE551" s="49">
        <v>12</v>
      </c>
      <c r="AF551" s="49" t="s">
        <v>152</v>
      </c>
      <c r="AG551" s="50">
        <v>48</v>
      </c>
      <c r="AH551" s="10">
        <v>2050</v>
      </c>
      <c r="AI551" s="43" t="s">
        <v>184</v>
      </c>
      <c r="AK551" s="47"/>
      <c r="AL551" s="48" t="s">
        <v>155</v>
      </c>
      <c r="AM551" s="49" t="s">
        <v>15</v>
      </c>
      <c r="AN551" s="49">
        <v>12</v>
      </c>
      <c r="AO551" s="49" t="s">
        <v>152</v>
      </c>
      <c r="AP551" s="50">
        <v>48</v>
      </c>
      <c r="AQ551" s="10" t="s">
        <v>108</v>
      </c>
      <c r="AR551" t="s">
        <v>169</v>
      </c>
      <c r="AT551" s="47"/>
      <c r="AU551" s="48" t="s">
        <v>155</v>
      </c>
      <c r="AV551" s="49" t="s">
        <v>15</v>
      </c>
      <c r="AW551" s="49">
        <v>12</v>
      </c>
      <c r="AX551" s="49" t="s">
        <v>152</v>
      </c>
      <c r="AY551" s="50">
        <v>48</v>
      </c>
      <c r="AZ551" s="10"/>
      <c r="BA551" s="43"/>
      <c r="BC551" s="47"/>
      <c r="BD551" s="48" t="s">
        <v>155</v>
      </c>
      <c r="BE551" s="49" t="s">
        <v>15</v>
      </c>
      <c r="BF551" s="49">
        <v>12</v>
      </c>
      <c r="BG551" s="49" t="s">
        <v>152</v>
      </c>
      <c r="BH551" s="50">
        <v>48</v>
      </c>
      <c r="BI551" s="10"/>
      <c r="BJ551" s="43"/>
      <c r="BL551" s="47"/>
      <c r="BM551" s="48" t="s">
        <v>155</v>
      </c>
      <c r="BN551" s="49" t="s">
        <v>15</v>
      </c>
      <c r="BO551" s="49">
        <v>12</v>
      </c>
      <c r="BP551" s="49" t="s">
        <v>152</v>
      </c>
      <c r="BQ551" s="50">
        <v>48</v>
      </c>
      <c r="BR551" s="10"/>
      <c r="BS551" s="43"/>
      <c r="BU551" s="47"/>
      <c r="BV551" s="48" t="s">
        <v>155</v>
      </c>
      <c r="BW551" s="49" t="s">
        <v>15</v>
      </c>
      <c r="BX551" s="49">
        <v>12</v>
      </c>
      <c r="BY551" s="49" t="s">
        <v>152</v>
      </c>
      <c r="BZ551" s="50">
        <v>48</v>
      </c>
      <c r="CA551" s="10"/>
      <c r="CB551" s="43"/>
      <c r="CD551" s="47"/>
      <c r="CE551" s="48" t="s">
        <v>155</v>
      </c>
      <c r="CF551" s="49" t="s">
        <v>15</v>
      </c>
      <c r="CG551" s="49">
        <v>12</v>
      </c>
      <c r="CH551" s="49" t="s">
        <v>152</v>
      </c>
      <c r="CI551" s="50">
        <v>48</v>
      </c>
      <c r="CJ551" s="10"/>
      <c r="CK551" s="43"/>
    </row>
    <row r="552" spans="1:89" x14ac:dyDescent="0.25">
      <c r="A552" s="56"/>
      <c r="B552" s="31" t="s">
        <v>155</v>
      </c>
      <c r="C552" s="58" t="s">
        <v>18</v>
      </c>
      <c r="D552" s="58">
        <v>1</v>
      </c>
      <c r="E552" s="58" t="s">
        <v>152</v>
      </c>
      <c r="F552" s="59">
        <v>49</v>
      </c>
      <c r="G552" s="10">
        <v>2043</v>
      </c>
      <c r="H552" s="43" t="s">
        <v>182</v>
      </c>
      <c r="J552" s="56"/>
      <c r="K552" s="31" t="s">
        <v>155</v>
      </c>
      <c r="L552" s="58" t="s">
        <v>18</v>
      </c>
      <c r="M552" s="58">
        <v>1</v>
      </c>
      <c r="N552" s="58" t="s">
        <v>152</v>
      </c>
      <c r="O552" s="59">
        <v>49</v>
      </c>
      <c r="P552" s="10" t="s">
        <v>100</v>
      </c>
      <c r="Q552" t="s">
        <v>172</v>
      </c>
      <c r="S552" s="56"/>
      <c r="T552" s="31" t="s">
        <v>155</v>
      </c>
      <c r="U552" s="58" t="s">
        <v>18</v>
      </c>
      <c r="V552" s="58">
        <v>1</v>
      </c>
      <c r="W552" s="58" t="s">
        <v>152</v>
      </c>
      <c r="X552" s="59">
        <v>49</v>
      </c>
      <c r="Y552" s="10">
        <v>2047</v>
      </c>
      <c r="Z552" t="s">
        <v>177</v>
      </c>
      <c r="AB552" s="56"/>
      <c r="AC552" s="31" t="s">
        <v>155</v>
      </c>
      <c r="AD552" s="58" t="s">
        <v>18</v>
      </c>
      <c r="AE552" s="58">
        <v>1</v>
      </c>
      <c r="AF552" s="58" t="s">
        <v>152</v>
      </c>
      <c r="AG552" s="59">
        <v>49</v>
      </c>
      <c r="AH552" s="10">
        <v>2050</v>
      </c>
      <c r="AI552" s="43" t="s">
        <v>187</v>
      </c>
      <c r="AK552" s="56"/>
      <c r="AL552" s="31" t="s">
        <v>155</v>
      </c>
      <c r="AM552" s="58" t="s">
        <v>18</v>
      </c>
      <c r="AN552" s="58">
        <v>1</v>
      </c>
      <c r="AO552" s="58" t="s">
        <v>152</v>
      </c>
      <c r="AP552" s="59">
        <v>49</v>
      </c>
      <c r="AQ552" s="10" t="s">
        <v>108</v>
      </c>
      <c r="AR552" t="s">
        <v>177</v>
      </c>
      <c r="AT552" s="56"/>
      <c r="AU552" s="31" t="s">
        <v>155</v>
      </c>
      <c r="AV552" s="58" t="s">
        <v>18</v>
      </c>
      <c r="AW552" s="58">
        <v>1</v>
      </c>
      <c r="AX552" s="58" t="s">
        <v>152</v>
      </c>
      <c r="AY552" s="59">
        <v>49</v>
      </c>
      <c r="AZ552" s="10"/>
      <c r="BA552" s="43"/>
      <c r="BC552" s="56"/>
      <c r="BD552" s="31" t="s">
        <v>155</v>
      </c>
      <c r="BE552" s="58" t="s">
        <v>18</v>
      </c>
      <c r="BF552" s="58">
        <v>1</v>
      </c>
      <c r="BG552" s="58" t="s">
        <v>152</v>
      </c>
      <c r="BH552" s="59">
        <v>49</v>
      </c>
      <c r="BI552" s="10"/>
      <c r="BJ552" s="43"/>
      <c r="BL552" s="56"/>
      <c r="BM552" s="31" t="s">
        <v>155</v>
      </c>
      <c r="BN552" s="58" t="s">
        <v>18</v>
      </c>
      <c r="BO552" s="58">
        <v>1</v>
      </c>
      <c r="BP552" s="58" t="s">
        <v>152</v>
      </c>
      <c r="BQ552" s="59">
        <v>49</v>
      </c>
      <c r="BR552" s="10"/>
      <c r="BS552" s="43"/>
      <c r="BU552" s="56"/>
      <c r="BV552" s="31" t="s">
        <v>155</v>
      </c>
      <c r="BW552" s="58" t="s">
        <v>18</v>
      </c>
      <c r="BX552" s="58">
        <v>1</v>
      </c>
      <c r="BY552" s="58" t="s">
        <v>152</v>
      </c>
      <c r="BZ552" s="59">
        <v>49</v>
      </c>
      <c r="CA552" s="10"/>
      <c r="CB552" s="43"/>
      <c r="CD552" s="56"/>
      <c r="CE552" s="31" t="s">
        <v>155</v>
      </c>
      <c r="CF552" s="58" t="s">
        <v>18</v>
      </c>
      <c r="CG552" s="58">
        <v>1</v>
      </c>
      <c r="CH552" s="58" t="s">
        <v>152</v>
      </c>
      <c r="CI552" s="59">
        <v>49</v>
      </c>
      <c r="CJ552" s="10"/>
      <c r="CK552" s="43"/>
    </row>
    <row r="553" spans="1:89" ht="15.75" thickBot="1" x14ac:dyDescent="0.3">
      <c r="A553" s="42"/>
      <c r="B553" s="34" t="s">
        <v>155</v>
      </c>
      <c r="C553" s="10" t="s">
        <v>18</v>
      </c>
      <c r="D553" s="10">
        <v>2</v>
      </c>
      <c r="E553" s="10" t="s">
        <v>152</v>
      </c>
      <c r="F553">
        <v>50</v>
      </c>
      <c r="G553" s="10">
        <v>2043</v>
      </c>
      <c r="H553" s="43" t="s">
        <v>184</v>
      </c>
      <c r="J553" s="42"/>
      <c r="K553" s="34" t="s">
        <v>155</v>
      </c>
      <c r="L553" s="10" t="s">
        <v>18</v>
      </c>
      <c r="M553" s="10">
        <v>2</v>
      </c>
      <c r="N553" s="10" t="s">
        <v>152</v>
      </c>
      <c r="O553">
        <v>50</v>
      </c>
      <c r="P553" s="10" t="s">
        <v>100</v>
      </c>
      <c r="Q553" t="s">
        <v>162</v>
      </c>
      <c r="S553" s="42"/>
      <c r="T553" s="34" t="s">
        <v>155</v>
      </c>
      <c r="U553" s="10" t="s">
        <v>18</v>
      </c>
      <c r="V553" s="10">
        <v>2</v>
      </c>
      <c r="W553" s="10" t="s">
        <v>152</v>
      </c>
      <c r="X553">
        <v>50</v>
      </c>
      <c r="Y553" s="10">
        <v>2047</v>
      </c>
      <c r="Z553" t="s">
        <v>180</v>
      </c>
      <c r="AB553" s="42"/>
      <c r="AC553" s="34" t="s">
        <v>155</v>
      </c>
      <c r="AD553" s="10" t="s">
        <v>18</v>
      </c>
      <c r="AE553" s="10">
        <v>2</v>
      </c>
      <c r="AF553" s="10" t="s">
        <v>152</v>
      </c>
      <c r="AG553">
        <v>50</v>
      </c>
      <c r="AH553" s="10">
        <v>2050</v>
      </c>
      <c r="AI553" s="43" t="s">
        <v>189</v>
      </c>
      <c r="AK553" s="42"/>
      <c r="AL553" s="34" t="s">
        <v>155</v>
      </c>
      <c r="AM553" s="10" t="s">
        <v>18</v>
      </c>
      <c r="AN553" s="10">
        <v>2</v>
      </c>
      <c r="AO553" s="10" t="s">
        <v>152</v>
      </c>
      <c r="AP553">
        <v>50</v>
      </c>
      <c r="AQ553" s="10" t="s">
        <v>108</v>
      </c>
      <c r="AT553" s="42"/>
      <c r="AU553" s="34" t="s">
        <v>155</v>
      </c>
      <c r="AV553" s="10" t="s">
        <v>18</v>
      </c>
      <c r="AW553" s="10">
        <v>2</v>
      </c>
      <c r="AX553" s="10" t="s">
        <v>152</v>
      </c>
      <c r="AY553">
        <v>50</v>
      </c>
      <c r="AZ553" s="10"/>
      <c r="BA553" s="43"/>
      <c r="BC553" s="42"/>
      <c r="BD553" s="34" t="s">
        <v>155</v>
      </c>
      <c r="BE553" s="10" t="s">
        <v>18</v>
      </c>
      <c r="BF553" s="10">
        <v>2</v>
      </c>
      <c r="BG553" s="10" t="s">
        <v>152</v>
      </c>
      <c r="BH553">
        <v>50</v>
      </c>
      <c r="BI553" s="10"/>
      <c r="BJ553" s="43"/>
      <c r="BL553" s="42"/>
      <c r="BM553" s="34" t="s">
        <v>155</v>
      </c>
      <c r="BN553" s="10" t="s">
        <v>18</v>
      </c>
      <c r="BO553" s="10">
        <v>2</v>
      </c>
      <c r="BP553" s="10" t="s">
        <v>152</v>
      </c>
      <c r="BQ553">
        <v>50</v>
      </c>
      <c r="BR553" s="10"/>
      <c r="BS553" s="43"/>
      <c r="BU553" s="42"/>
      <c r="BV553" s="34" t="s">
        <v>155</v>
      </c>
      <c r="BW553" s="10" t="s">
        <v>18</v>
      </c>
      <c r="BX553" s="10">
        <v>2</v>
      </c>
      <c r="BY553" s="10" t="s">
        <v>152</v>
      </c>
      <c r="BZ553">
        <v>50</v>
      </c>
      <c r="CA553" s="10"/>
      <c r="CB553" s="43"/>
      <c r="CD553" s="42"/>
      <c r="CE553" s="34" t="s">
        <v>155</v>
      </c>
      <c r="CF553" s="10" t="s">
        <v>18</v>
      </c>
      <c r="CG553" s="10">
        <v>2</v>
      </c>
      <c r="CH553" s="10" t="s">
        <v>152</v>
      </c>
      <c r="CI553">
        <v>50</v>
      </c>
      <c r="CJ553" s="10"/>
      <c r="CK553" s="43"/>
    </row>
    <row r="554" spans="1:89" x14ac:dyDescent="0.25">
      <c r="A554" s="42"/>
      <c r="B554" s="34" t="s">
        <v>155</v>
      </c>
      <c r="C554" s="10" t="s">
        <v>18</v>
      </c>
      <c r="D554" s="10">
        <v>3</v>
      </c>
      <c r="E554" s="10" t="s">
        <v>152</v>
      </c>
      <c r="F554">
        <v>51</v>
      </c>
      <c r="G554" s="10">
        <v>2043</v>
      </c>
      <c r="H554" s="43" t="s">
        <v>187</v>
      </c>
      <c r="J554" s="42"/>
      <c r="K554" s="34" t="s">
        <v>155</v>
      </c>
      <c r="L554" s="10" t="s">
        <v>18</v>
      </c>
      <c r="M554" s="10">
        <v>3</v>
      </c>
      <c r="N554" s="10" t="s">
        <v>152</v>
      </c>
      <c r="O554">
        <v>51</v>
      </c>
      <c r="P554" s="10" t="s">
        <v>100</v>
      </c>
      <c r="Q554" t="s">
        <v>170</v>
      </c>
      <c r="S554" s="42"/>
      <c r="T554" s="34" t="s">
        <v>155</v>
      </c>
      <c r="U554" s="10" t="s">
        <v>18</v>
      </c>
      <c r="V554" s="10">
        <v>3</v>
      </c>
      <c r="W554" s="10" t="s">
        <v>152</v>
      </c>
      <c r="X554">
        <v>51</v>
      </c>
      <c r="Y554" s="10">
        <v>2047</v>
      </c>
      <c r="Z554" t="s">
        <v>181</v>
      </c>
      <c r="AB554" s="42"/>
      <c r="AC554" s="34" t="s">
        <v>155</v>
      </c>
      <c r="AD554" s="10" t="s">
        <v>18</v>
      </c>
      <c r="AE554" s="10">
        <v>3</v>
      </c>
      <c r="AF554" s="10" t="s">
        <v>152</v>
      </c>
      <c r="AG554">
        <v>51</v>
      </c>
      <c r="AH554" s="10">
        <v>2044</v>
      </c>
      <c r="AI554" s="43" t="s">
        <v>160</v>
      </c>
      <c r="AK554" s="42"/>
      <c r="AL554" s="34" t="s">
        <v>155</v>
      </c>
      <c r="AM554" s="10" t="s">
        <v>18</v>
      </c>
      <c r="AN554" s="10">
        <v>3</v>
      </c>
      <c r="AO554" s="10" t="s">
        <v>152</v>
      </c>
      <c r="AP554">
        <v>51</v>
      </c>
      <c r="AQ554" s="10" t="s">
        <v>108</v>
      </c>
      <c r="AR554" t="s">
        <v>181</v>
      </c>
      <c r="AT554" s="42"/>
      <c r="AU554" s="34" t="s">
        <v>155</v>
      </c>
      <c r="AV554" s="10" t="s">
        <v>18</v>
      </c>
      <c r="AW554" s="10">
        <v>3</v>
      </c>
      <c r="AX554" s="10" t="s">
        <v>152</v>
      </c>
      <c r="AY554">
        <v>51</v>
      </c>
      <c r="AZ554" s="10"/>
      <c r="BA554" s="33"/>
      <c r="BC554" s="42"/>
      <c r="BD554" s="34" t="s">
        <v>155</v>
      </c>
      <c r="BE554" s="10" t="s">
        <v>18</v>
      </c>
      <c r="BF554" s="10">
        <v>3</v>
      </c>
      <c r="BG554" s="10" t="s">
        <v>152</v>
      </c>
      <c r="BH554">
        <v>51</v>
      </c>
      <c r="BI554" s="10"/>
      <c r="BJ554" s="33"/>
      <c r="BL554" s="42"/>
      <c r="BM554" s="34" t="s">
        <v>155</v>
      </c>
      <c r="BN554" s="10" t="s">
        <v>18</v>
      </c>
      <c r="BO554" s="10">
        <v>3</v>
      </c>
      <c r="BP554" s="10" t="s">
        <v>152</v>
      </c>
      <c r="BQ554">
        <v>51</v>
      </c>
      <c r="BR554" s="10"/>
      <c r="BS554" s="33"/>
      <c r="BU554" s="42"/>
      <c r="BV554" s="34" t="s">
        <v>155</v>
      </c>
      <c r="BW554" s="10" t="s">
        <v>18</v>
      </c>
      <c r="BX554" s="10">
        <v>3</v>
      </c>
      <c r="BY554" s="10" t="s">
        <v>152</v>
      </c>
      <c r="BZ554">
        <v>51</v>
      </c>
      <c r="CA554" s="10"/>
      <c r="CB554" s="33"/>
      <c r="CD554" s="42"/>
      <c r="CE554" s="34" t="s">
        <v>155</v>
      </c>
      <c r="CF554" s="10" t="s">
        <v>18</v>
      </c>
      <c r="CG554" s="10">
        <v>3</v>
      </c>
      <c r="CH554" s="10" t="s">
        <v>152</v>
      </c>
      <c r="CI554">
        <v>51</v>
      </c>
      <c r="CJ554" s="10"/>
      <c r="CK554" s="33"/>
    </row>
    <row r="555" spans="1:89" x14ac:dyDescent="0.25">
      <c r="A555" s="42"/>
      <c r="B555" s="34" t="s">
        <v>155</v>
      </c>
      <c r="C555" s="10" t="s">
        <v>18</v>
      </c>
      <c r="D555" s="10">
        <v>4</v>
      </c>
      <c r="E555" s="10" t="s">
        <v>152</v>
      </c>
      <c r="F555">
        <v>52</v>
      </c>
      <c r="G555" s="10">
        <v>2043</v>
      </c>
      <c r="H555" s="43" t="s">
        <v>189</v>
      </c>
      <c r="J555" s="42"/>
      <c r="K555" s="34" t="s">
        <v>155</v>
      </c>
      <c r="L555" s="10" t="s">
        <v>18</v>
      </c>
      <c r="M555" s="10">
        <v>4</v>
      </c>
      <c r="N555" s="10" t="s">
        <v>152</v>
      </c>
      <c r="O555">
        <v>52</v>
      </c>
      <c r="P555" s="10" t="s">
        <v>100</v>
      </c>
      <c r="Q555" t="s">
        <v>178</v>
      </c>
      <c r="S555" s="42"/>
      <c r="T555" s="34" t="s">
        <v>155</v>
      </c>
      <c r="U555" s="10" t="s">
        <v>18</v>
      </c>
      <c r="V555" s="10">
        <v>4</v>
      </c>
      <c r="W555" s="10" t="s">
        <v>152</v>
      </c>
      <c r="X555">
        <v>52</v>
      </c>
      <c r="Y555" s="10">
        <v>2047</v>
      </c>
      <c r="Z555" t="s">
        <v>183</v>
      </c>
      <c r="AB555" s="42"/>
      <c r="AC555" s="34" t="s">
        <v>155</v>
      </c>
      <c r="AD555" s="10" t="s">
        <v>18</v>
      </c>
      <c r="AE555" s="10">
        <v>4</v>
      </c>
      <c r="AF555" s="10" t="s">
        <v>152</v>
      </c>
      <c r="AG555">
        <v>52</v>
      </c>
      <c r="AH555" s="10">
        <v>2044</v>
      </c>
      <c r="AI555" s="51" t="s">
        <v>168</v>
      </c>
      <c r="AK555" s="42"/>
      <c r="AL555" s="34" t="s">
        <v>155</v>
      </c>
      <c r="AM555" s="10" t="s">
        <v>18</v>
      </c>
      <c r="AN555" s="10">
        <v>4</v>
      </c>
      <c r="AO555" s="10" t="s">
        <v>152</v>
      </c>
      <c r="AP555">
        <v>52</v>
      </c>
      <c r="AQ555" s="10" t="s">
        <v>108</v>
      </c>
      <c r="AR555" t="s">
        <v>183</v>
      </c>
      <c r="AT555" s="42"/>
      <c r="AU555" s="34" t="s">
        <v>155</v>
      </c>
      <c r="AV555" s="10" t="s">
        <v>18</v>
      </c>
      <c r="AW555" s="10">
        <v>4</v>
      </c>
      <c r="AX555" s="10" t="s">
        <v>152</v>
      </c>
      <c r="AY555">
        <v>52</v>
      </c>
      <c r="AZ555" s="10"/>
      <c r="BA555" s="43"/>
      <c r="BC555" s="42"/>
      <c r="BD555" s="34" t="s">
        <v>155</v>
      </c>
      <c r="BE555" s="10" t="s">
        <v>18</v>
      </c>
      <c r="BF555" s="10">
        <v>4</v>
      </c>
      <c r="BG555" s="10" t="s">
        <v>152</v>
      </c>
      <c r="BH555">
        <v>52</v>
      </c>
      <c r="BI555" s="10"/>
      <c r="BJ555" s="43"/>
      <c r="BL555" s="42"/>
      <c r="BM555" s="34" t="s">
        <v>155</v>
      </c>
      <c r="BN555" s="10" t="s">
        <v>18</v>
      </c>
      <c r="BO555" s="10">
        <v>4</v>
      </c>
      <c r="BP555" s="10" t="s">
        <v>152</v>
      </c>
      <c r="BQ555">
        <v>52</v>
      </c>
      <c r="BR555" s="10"/>
      <c r="BS555" s="43"/>
      <c r="BU555" s="42"/>
      <c r="BV555" s="34" t="s">
        <v>155</v>
      </c>
      <c r="BW555" s="10" t="s">
        <v>18</v>
      </c>
      <c r="BX555" s="10">
        <v>4</v>
      </c>
      <c r="BY555" s="10" t="s">
        <v>152</v>
      </c>
      <c r="BZ555">
        <v>52</v>
      </c>
      <c r="CA555" s="10"/>
      <c r="CB555" s="43"/>
      <c r="CD555" s="42"/>
      <c r="CE555" s="34" t="s">
        <v>155</v>
      </c>
      <c r="CF555" s="10" t="s">
        <v>18</v>
      </c>
      <c r="CG555" s="10">
        <v>4</v>
      </c>
      <c r="CH555" s="10" t="s">
        <v>152</v>
      </c>
      <c r="CI555">
        <v>52</v>
      </c>
      <c r="CJ555" s="10"/>
      <c r="CK555" s="43"/>
    </row>
    <row r="556" spans="1:89" x14ac:dyDescent="0.25">
      <c r="A556" s="42"/>
      <c r="B556" s="34" t="s">
        <v>155</v>
      </c>
      <c r="C556" s="10" t="s">
        <v>18</v>
      </c>
      <c r="D556" s="10">
        <v>5</v>
      </c>
      <c r="E556" s="10" t="s">
        <v>152</v>
      </c>
      <c r="F556">
        <v>53</v>
      </c>
      <c r="G556" s="10">
        <v>2042</v>
      </c>
      <c r="H556" s="43" t="s">
        <v>160</v>
      </c>
      <c r="J556" s="42"/>
      <c r="K556" s="34" t="s">
        <v>155</v>
      </c>
      <c r="L556" s="10" t="s">
        <v>18</v>
      </c>
      <c r="M556" s="10">
        <v>5</v>
      </c>
      <c r="N556" s="10" t="s">
        <v>152</v>
      </c>
      <c r="O556">
        <v>53</v>
      </c>
      <c r="P556" s="10" t="s">
        <v>100</v>
      </c>
      <c r="Q556" t="s">
        <v>163</v>
      </c>
      <c r="S556" s="42"/>
      <c r="T556" s="34" t="s">
        <v>155</v>
      </c>
      <c r="U556" s="10" t="s">
        <v>18</v>
      </c>
      <c r="V556" s="10">
        <v>5</v>
      </c>
      <c r="W556" s="10" t="s">
        <v>152</v>
      </c>
      <c r="X556">
        <v>53</v>
      </c>
      <c r="Y556" s="10">
        <v>2047</v>
      </c>
      <c r="Z556" t="s">
        <v>186</v>
      </c>
      <c r="AB556" s="42"/>
      <c r="AC556" s="34" t="s">
        <v>155</v>
      </c>
      <c r="AD556" s="10" t="s">
        <v>18</v>
      </c>
      <c r="AE556" s="10">
        <v>5</v>
      </c>
      <c r="AF556" s="10" t="s">
        <v>152</v>
      </c>
      <c r="AG556">
        <v>53</v>
      </c>
      <c r="AH556" s="10">
        <v>2044</v>
      </c>
      <c r="AI556" s="43" t="s">
        <v>176</v>
      </c>
      <c r="AK556" s="42"/>
      <c r="AL556" s="34" t="s">
        <v>155</v>
      </c>
      <c r="AM556" s="10" t="s">
        <v>18</v>
      </c>
      <c r="AN556" s="10">
        <v>5</v>
      </c>
      <c r="AO556" s="10" t="s">
        <v>152</v>
      </c>
      <c r="AP556">
        <v>53</v>
      </c>
      <c r="AQ556" s="10" t="s">
        <v>108</v>
      </c>
      <c r="AR556" t="s">
        <v>186</v>
      </c>
      <c r="AT556" s="42"/>
      <c r="AU556" s="34" t="s">
        <v>155</v>
      </c>
      <c r="AV556" s="10" t="s">
        <v>18</v>
      </c>
      <c r="AW556" s="10">
        <v>5</v>
      </c>
      <c r="AX556" s="10" t="s">
        <v>152</v>
      </c>
      <c r="AY556">
        <v>53</v>
      </c>
      <c r="AZ556" s="10"/>
      <c r="BA556" s="43"/>
      <c r="BC556" s="42"/>
      <c r="BD556" s="34" t="s">
        <v>155</v>
      </c>
      <c r="BE556" s="10" t="s">
        <v>18</v>
      </c>
      <c r="BF556" s="10">
        <v>5</v>
      </c>
      <c r="BG556" s="10" t="s">
        <v>152</v>
      </c>
      <c r="BH556">
        <v>53</v>
      </c>
      <c r="BI556" s="10"/>
      <c r="BJ556" s="43"/>
      <c r="BL556" s="42"/>
      <c r="BM556" s="34" t="s">
        <v>155</v>
      </c>
      <c r="BN556" s="10" t="s">
        <v>18</v>
      </c>
      <c r="BO556" s="10">
        <v>5</v>
      </c>
      <c r="BP556" s="10" t="s">
        <v>152</v>
      </c>
      <c r="BQ556">
        <v>53</v>
      </c>
      <c r="BR556" s="10"/>
      <c r="BS556" s="43"/>
      <c r="BU556" s="42"/>
      <c r="BV556" s="34" t="s">
        <v>155</v>
      </c>
      <c r="BW556" s="10" t="s">
        <v>18</v>
      </c>
      <c r="BX556" s="10">
        <v>5</v>
      </c>
      <c r="BY556" s="10" t="s">
        <v>152</v>
      </c>
      <c r="BZ556">
        <v>53</v>
      </c>
      <c r="CA556" s="10"/>
      <c r="CB556" s="43"/>
      <c r="CD556" s="42"/>
      <c r="CE556" s="34" t="s">
        <v>155</v>
      </c>
      <c r="CF556" s="10" t="s">
        <v>18</v>
      </c>
      <c r="CG556" s="10">
        <v>5</v>
      </c>
      <c r="CH556" s="10" t="s">
        <v>152</v>
      </c>
      <c r="CI556">
        <v>53</v>
      </c>
      <c r="CJ556" s="10"/>
      <c r="CK556" s="43"/>
    </row>
    <row r="557" spans="1:89" x14ac:dyDescent="0.25">
      <c r="A557" s="42"/>
      <c r="B557" s="34" t="s">
        <v>155</v>
      </c>
      <c r="C557" s="10" t="s">
        <v>18</v>
      </c>
      <c r="D557" s="10">
        <v>6</v>
      </c>
      <c r="E557" s="10" t="s">
        <v>152</v>
      </c>
      <c r="F557">
        <v>54</v>
      </c>
      <c r="G557" s="10">
        <v>2042</v>
      </c>
      <c r="H557" s="51" t="s">
        <v>168</v>
      </c>
      <c r="J557" s="42"/>
      <c r="K557" s="34" t="s">
        <v>155</v>
      </c>
      <c r="L557" s="10" t="s">
        <v>18</v>
      </c>
      <c r="M557" s="10">
        <v>6</v>
      </c>
      <c r="N557" s="10" t="s">
        <v>152</v>
      </c>
      <c r="O557">
        <v>54</v>
      </c>
      <c r="P557" s="10" t="s">
        <v>100</v>
      </c>
      <c r="Q557" t="s">
        <v>171</v>
      </c>
      <c r="S557" s="42"/>
      <c r="T557" s="34" t="s">
        <v>155</v>
      </c>
      <c r="U557" s="10" t="s">
        <v>18</v>
      </c>
      <c r="V557" s="10">
        <v>6</v>
      </c>
      <c r="W557" s="10" t="s">
        <v>152</v>
      </c>
      <c r="X557">
        <v>54</v>
      </c>
      <c r="Y557" s="10">
        <v>2047</v>
      </c>
      <c r="Z557" s="43" t="s">
        <v>188</v>
      </c>
      <c r="AB557" s="42"/>
      <c r="AC557" s="34" t="s">
        <v>155</v>
      </c>
      <c r="AD557" s="10" t="s">
        <v>18</v>
      </c>
      <c r="AE557" s="10">
        <v>6</v>
      </c>
      <c r="AF557" s="10" t="s">
        <v>152</v>
      </c>
      <c r="AG557">
        <v>54</v>
      </c>
      <c r="AH557" s="10">
        <v>2044</v>
      </c>
      <c r="AI557" s="43" t="s">
        <v>164</v>
      </c>
      <c r="AK557" s="42"/>
      <c r="AL557" s="34" t="s">
        <v>155</v>
      </c>
      <c r="AM557" s="10" t="s">
        <v>18</v>
      </c>
      <c r="AN557" s="10">
        <v>6</v>
      </c>
      <c r="AO557" s="10" t="s">
        <v>152</v>
      </c>
      <c r="AP557">
        <v>54</v>
      </c>
      <c r="AQ557" s="10" t="s">
        <v>108</v>
      </c>
      <c r="AR557" s="43" t="s">
        <v>188</v>
      </c>
      <c r="AT557" s="42"/>
      <c r="AU557" s="34" t="s">
        <v>155</v>
      </c>
      <c r="AV557" s="10" t="s">
        <v>18</v>
      </c>
      <c r="AW557" s="10">
        <v>6</v>
      </c>
      <c r="AX557" s="10" t="s">
        <v>152</v>
      </c>
      <c r="AY557">
        <v>54</v>
      </c>
      <c r="AZ557" s="10"/>
      <c r="BA557" s="43"/>
      <c r="BC557" s="42"/>
      <c r="BD557" s="34" t="s">
        <v>155</v>
      </c>
      <c r="BE557" s="10" t="s">
        <v>18</v>
      </c>
      <c r="BF557" s="10">
        <v>6</v>
      </c>
      <c r="BG557" s="10" t="s">
        <v>152</v>
      </c>
      <c r="BH557">
        <v>54</v>
      </c>
      <c r="BI557" s="10"/>
      <c r="BJ557" s="43"/>
      <c r="BL557" s="42"/>
      <c r="BM557" s="34" t="s">
        <v>155</v>
      </c>
      <c r="BN557" s="10" t="s">
        <v>18</v>
      </c>
      <c r="BO557" s="10">
        <v>6</v>
      </c>
      <c r="BP557" s="10" t="s">
        <v>152</v>
      </c>
      <c r="BQ557">
        <v>54</v>
      </c>
      <c r="BR557" s="10"/>
      <c r="BS557" s="43"/>
      <c r="BU557" s="42"/>
      <c r="BV557" s="34" t="s">
        <v>155</v>
      </c>
      <c r="BW557" s="10" t="s">
        <v>18</v>
      </c>
      <c r="BX557" s="10">
        <v>6</v>
      </c>
      <c r="BY557" s="10" t="s">
        <v>152</v>
      </c>
      <c r="BZ557">
        <v>54</v>
      </c>
      <c r="CA557" s="10"/>
      <c r="CB557" s="43"/>
      <c r="CD557" s="42"/>
      <c r="CE557" s="34" t="s">
        <v>155</v>
      </c>
      <c r="CF557" s="10" t="s">
        <v>18</v>
      </c>
      <c r="CG557" s="10">
        <v>6</v>
      </c>
      <c r="CH557" s="10" t="s">
        <v>152</v>
      </c>
      <c r="CI557">
        <v>54</v>
      </c>
      <c r="CJ557" s="10"/>
      <c r="CK557" s="43"/>
    </row>
    <row r="558" spans="1:89" x14ac:dyDescent="0.25">
      <c r="A558" s="42"/>
      <c r="B558" s="34" t="s">
        <v>155</v>
      </c>
      <c r="C558" s="10" t="s">
        <v>18</v>
      </c>
      <c r="D558" s="10">
        <v>7</v>
      </c>
      <c r="E558" s="10" t="s">
        <v>152</v>
      </c>
      <c r="F558">
        <v>55</v>
      </c>
      <c r="G558" s="10">
        <v>2042</v>
      </c>
      <c r="H558" s="43" t="s">
        <v>176</v>
      </c>
      <c r="J558" s="42"/>
      <c r="K558" s="34" t="s">
        <v>155</v>
      </c>
      <c r="L558" s="10" t="s">
        <v>18</v>
      </c>
      <c r="M558" s="10">
        <v>7</v>
      </c>
      <c r="N558" s="10" t="s">
        <v>152</v>
      </c>
      <c r="O558">
        <v>55</v>
      </c>
      <c r="P558" s="10" t="s">
        <v>100</v>
      </c>
      <c r="Q558" t="s">
        <v>161</v>
      </c>
      <c r="S558" s="42"/>
      <c r="T558" s="34" t="s">
        <v>155</v>
      </c>
      <c r="U558" s="10" t="s">
        <v>18</v>
      </c>
      <c r="V558" s="10">
        <v>7</v>
      </c>
      <c r="W558" s="10" t="s">
        <v>152</v>
      </c>
      <c r="X558">
        <v>55</v>
      </c>
      <c r="Y558" s="10">
        <v>2047</v>
      </c>
      <c r="Z558" s="43" t="s">
        <v>182</v>
      </c>
      <c r="AB558" s="42"/>
      <c r="AC558" s="34" t="s">
        <v>155</v>
      </c>
      <c r="AD558" s="10" t="s">
        <v>18</v>
      </c>
      <c r="AE558" s="10">
        <v>7</v>
      </c>
      <c r="AF558" s="10" t="s">
        <v>152</v>
      </c>
      <c r="AG558">
        <v>55</v>
      </c>
      <c r="AH558" s="10">
        <v>2044</v>
      </c>
      <c r="AI558" t="s">
        <v>172</v>
      </c>
      <c r="AK558" s="42"/>
      <c r="AL558" s="34" t="s">
        <v>155</v>
      </c>
      <c r="AM558" s="10" t="s">
        <v>18</v>
      </c>
      <c r="AN558" s="10">
        <v>7</v>
      </c>
      <c r="AO558" s="10" t="s">
        <v>152</v>
      </c>
      <c r="AP558">
        <v>55</v>
      </c>
      <c r="AQ558" s="10" t="s">
        <v>108</v>
      </c>
      <c r="AR558" s="43" t="s">
        <v>182</v>
      </c>
      <c r="AT558" s="42"/>
      <c r="AU558" s="34" t="s">
        <v>155</v>
      </c>
      <c r="AV558" s="10" t="s">
        <v>18</v>
      </c>
      <c r="AW558" s="10">
        <v>7</v>
      </c>
      <c r="AX558" s="10" t="s">
        <v>152</v>
      </c>
      <c r="AY558">
        <v>55</v>
      </c>
      <c r="AZ558" s="10"/>
      <c r="BA558" s="43"/>
      <c r="BC558" s="42"/>
      <c r="BD558" s="34" t="s">
        <v>155</v>
      </c>
      <c r="BE558" s="10" t="s">
        <v>18</v>
      </c>
      <c r="BF558" s="10">
        <v>7</v>
      </c>
      <c r="BG558" s="10" t="s">
        <v>152</v>
      </c>
      <c r="BH558">
        <v>55</v>
      </c>
      <c r="BI558" s="10"/>
      <c r="BJ558" s="43"/>
      <c r="BL558" s="42"/>
      <c r="BM558" s="34" t="s">
        <v>155</v>
      </c>
      <c r="BN558" s="10" t="s">
        <v>18</v>
      </c>
      <c r="BO558" s="10">
        <v>7</v>
      </c>
      <c r="BP558" s="10" t="s">
        <v>152</v>
      </c>
      <c r="BQ558">
        <v>55</v>
      </c>
      <c r="BR558" s="10"/>
      <c r="BS558" s="43"/>
      <c r="BU558" s="42"/>
      <c r="BV558" s="34" t="s">
        <v>155</v>
      </c>
      <c r="BW558" s="10" t="s">
        <v>18</v>
      </c>
      <c r="BX558" s="10">
        <v>7</v>
      </c>
      <c r="BY558" s="10" t="s">
        <v>152</v>
      </c>
      <c r="BZ558">
        <v>55</v>
      </c>
      <c r="CA558" s="10"/>
      <c r="CB558" s="43"/>
      <c r="CD558" s="42"/>
      <c r="CE558" s="34" t="s">
        <v>155</v>
      </c>
      <c r="CF558" s="10" t="s">
        <v>18</v>
      </c>
      <c r="CG558" s="10">
        <v>7</v>
      </c>
      <c r="CH558" s="10" t="s">
        <v>152</v>
      </c>
      <c r="CI558">
        <v>55</v>
      </c>
      <c r="CJ558" s="10"/>
      <c r="CK558" s="43"/>
    </row>
    <row r="559" spans="1:89" x14ac:dyDescent="0.25">
      <c r="A559" s="42"/>
      <c r="B559" s="34" t="s">
        <v>155</v>
      </c>
      <c r="C559" s="10" t="s">
        <v>18</v>
      </c>
      <c r="D559" s="10">
        <v>8</v>
      </c>
      <c r="E559" s="10" t="s">
        <v>152</v>
      </c>
      <c r="F559">
        <v>56</v>
      </c>
      <c r="G559" s="10">
        <v>2042</v>
      </c>
      <c r="H559" s="43" t="s">
        <v>164</v>
      </c>
      <c r="J559" s="42"/>
      <c r="K559" s="34" t="s">
        <v>155</v>
      </c>
      <c r="L559" s="10" t="s">
        <v>18</v>
      </c>
      <c r="M559" s="10">
        <v>8</v>
      </c>
      <c r="N559" s="10" t="s">
        <v>152</v>
      </c>
      <c r="O559">
        <v>56</v>
      </c>
      <c r="P559" s="10" t="s">
        <v>100</v>
      </c>
      <c r="Q559" t="s">
        <v>169</v>
      </c>
      <c r="S559" s="42"/>
      <c r="T559" s="34" t="s">
        <v>155</v>
      </c>
      <c r="U559" s="10" t="s">
        <v>18</v>
      </c>
      <c r="V559" s="10">
        <v>8</v>
      </c>
      <c r="W559" s="10" t="s">
        <v>152</v>
      </c>
      <c r="X559">
        <v>56</v>
      </c>
      <c r="Y559" s="10">
        <v>2047</v>
      </c>
      <c r="Z559" s="43" t="s">
        <v>184</v>
      </c>
      <c r="AB559" s="42"/>
      <c r="AC559" s="34" t="s">
        <v>155</v>
      </c>
      <c r="AD559" s="10" t="s">
        <v>18</v>
      </c>
      <c r="AE559" s="10">
        <v>8</v>
      </c>
      <c r="AF559" s="10" t="s">
        <v>152</v>
      </c>
      <c r="AG559">
        <v>56</v>
      </c>
      <c r="AH559" s="10">
        <v>2044</v>
      </c>
      <c r="AI559" t="s">
        <v>162</v>
      </c>
      <c r="AK559" s="42"/>
      <c r="AL559" s="34" t="s">
        <v>155</v>
      </c>
      <c r="AM559" s="10" t="s">
        <v>18</v>
      </c>
      <c r="AN559" s="10">
        <v>8</v>
      </c>
      <c r="AO559" s="10" t="s">
        <v>152</v>
      </c>
      <c r="AP559">
        <v>56</v>
      </c>
      <c r="AQ559" s="10" t="s">
        <v>108</v>
      </c>
      <c r="AR559" s="43" t="s">
        <v>184</v>
      </c>
      <c r="AT559" s="42"/>
      <c r="AU559" s="34" t="s">
        <v>155</v>
      </c>
      <c r="AV559" s="10" t="s">
        <v>18</v>
      </c>
      <c r="AW559" s="10">
        <v>8</v>
      </c>
      <c r="AX559" s="10" t="s">
        <v>152</v>
      </c>
      <c r="AY559">
        <v>56</v>
      </c>
      <c r="AZ559" s="10"/>
      <c r="BA559" s="43"/>
      <c r="BC559" s="42"/>
      <c r="BD559" s="34" t="s">
        <v>155</v>
      </c>
      <c r="BE559" s="10" t="s">
        <v>18</v>
      </c>
      <c r="BF559" s="10">
        <v>8</v>
      </c>
      <c r="BG559" s="10" t="s">
        <v>152</v>
      </c>
      <c r="BH559">
        <v>56</v>
      </c>
      <c r="BI559" s="10"/>
      <c r="BJ559" s="43"/>
      <c r="BL559" s="42"/>
      <c r="BM559" s="34" t="s">
        <v>155</v>
      </c>
      <c r="BN559" s="10" t="s">
        <v>18</v>
      </c>
      <c r="BO559" s="10">
        <v>8</v>
      </c>
      <c r="BP559" s="10" t="s">
        <v>152</v>
      </c>
      <c r="BQ559">
        <v>56</v>
      </c>
      <c r="BR559" s="10"/>
      <c r="BS559" s="43"/>
      <c r="BU559" s="42"/>
      <c r="BV559" s="34" t="s">
        <v>155</v>
      </c>
      <c r="BW559" s="10" t="s">
        <v>18</v>
      </c>
      <c r="BX559" s="10">
        <v>8</v>
      </c>
      <c r="BY559" s="10" t="s">
        <v>152</v>
      </c>
      <c r="BZ559">
        <v>56</v>
      </c>
      <c r="CA559" s="10"/>
      <c r="CB559" s="43"/>
      <c r="CD559" s="42"/>
      <c r="CE559" s="34" t="s">
        <v>155</v>
      </c>
      <c r="CF559" s="10" t="s">
        <v>18</v>
      </c>
      <c r="CG559" s="10">
        <v>8</v>
      </c>
      <c r="CH559" s="10" t="s">
        <v>152</v>
      </c>
      <c r="CI559">
        <v>56</v>
      </c>
      <c r="CJ559" s="10"/>
      <c r="CK559" s="43"/>
    </row>
    <row r="560" spans="1:89" x14ac:dyDescent="0.25">
      <c r="A560" s="42"/>
      <c r="B560" s="34" t="s">
        <v>155</v>
      </c>
      <c r="C560" s="10" t="s">
        <v>18</v>
      </c>
      <c r="D560" s="10">
        <v>9</v>
      </c>
      <c r="E560" s="10" t="s">
        <v>152</v>
      </c>
      <c r="F560">
        <v>57</v>
      </c>
      <c r="G560" s="10">
        <v>2042</v>
      </c>
      <c r="H560" t="s">
        <v>172</v>
      </c>
      <c r="J560" s="42"/>
      <c r="K560" s="34" t="s">
        <v>155</v>
      </c>
      <c r="L560" s="10" t="s">
        <v>18</v>
      </c>
      <c r="M560" s="10">
        <v>9</v>
      </c>
      <c r="N560" s="10" t="s">
        <v>152</v>
      </c>
      <c r="O560">
        <v>57</v>
      </c>
      <c r="P560" s="10" t="s">
        <v>100</v>
      </c>
      <c r="Q560" t="s">
        <v>177</v>
      </c>
      <c r="S560" s="42"/>
      <c r="T560" s="34" t="s">
        <v>155</v>
      </c>
      <c r="U560" s="10" t="s">
        <v>18</v>
      </c>
      <c r="V560" s="10">
        <v>9</v>
      </c>
      <c r="W560" s="10" t="s">
        <v>152</v>
      </c>
      <c r="X560">
        <v>57</v>
      </c>
      <c r="Y560" s="10">
        <v>2047</v>
      </c>
      <c r="Z560" s="43" t="s">
        <v>187</v>
      </c>
      <c r="AB560" s="42"/>
      <c r="AC560" s="34" t="s">
        <v>155</v>
      </c>
      <c r="AD560" s="10" t="s">
        <v>18</v>
      </c>
      <c r="AE560" s="10">
        <v>9</v>
      </c>
      <c r="AF560" s="10" t="s">
        <v>152</v>
      </c>
      <c r="AG560">
        <v>57</v>
      </c>
      <c r="AH560" s="10">
        <v>2044</v>
      </c>
      <c r="AI560" t="s">
        <v>170</v>
      </c>
      <c r="AK560" s="42"/>
      <c r="AL560" s="34" t="s">
        <v>155</v>
      </c>
      <c r="AM560" s="10" t="s">
        <v>18</v>
      </c>
      <c r="AN560" s="10">
        <v>9</v>
      </c>
      <c r="AO560" s="10" t="s">
        <v>152</v>
      </c>
      <c r="AP560">
        <v>57</v>
      </c>
      <c r="AQ560" s="10" t="s">
        <v>108</v>
      </c>
      <c r="AR560" s="43" t="s">
        <v>187</v>
      </c>
      <c r="AT560" s="42"/>
      <c r="AU560" s="34" t="s">
        <v>155</v>
      </c>
      <c r="AV560" s="10" t="s">
        <v>18</v>
      </c>
      <c r="AW560" s="10">
        <v>9</v>
      </c>
      <c r="AX560" s="10" t="s">
        <v>152</v>
      </c>
      <c r="AY560">
        <v>57</v>
      </c>
      <c r="AZ560" s="10"/>
      <c r="BA560" s="43"/>
      <c r="BC560" s="42"/>
      <c r="BD560" s="34" t="s">
        <v>155</v>
      </c>
      <c r="BE560" s="10" t="s">
        <v>18</v>
      </c>
      <c r="BF560" s="10">
        <v>9</v>
      </c>
      <c r="BG560" s="10" t="s">
        <v>152</v>
      </c>
      <c r="BH560">
        <v>57</v>
      </c>
      <c r="BI560" s="10"/>
      <c r="BJ560" s="43"/>
      <c r="BL560" s="42"/>
      <c r="BM560" s="34" t="s">
        <v>155</v>
      </c>
      <c r="BN560" s="10" t="s">
        <v>18</v>
      </c>
      <c r="BO560" s="10">
        <v>9</v>
      </c>
      <c r="BP560" s="10" t="s">
        <v>152</v>
      </c>
      <c r="BQ560">
        <v>57</v>
      </c>
      <c r="BR560" s="10"/>
      <c r="BS560" s="43"/>
      <c r="BU560" s="42"/>
      <c r="BV560" s="34" t="s">
        <v>155</v>
      </c>
      <c r="BW560" s="10" t="s">
        <v>18</v>
      </c>
      <c r="BX560" s="10">
        <v>9</v>
      </c>
      <c r="BY560" s="10" t="s">
        <v>152</v>
      </c>
      <c r="BZ560">
        <v>57</v>
      </c>
      <c r="CA560" s="10"/>
      <c r="CB560" s="43"/>
      <c r="CD560" s="42"/>
      <c r="CE560" s="34" t="s">
        <v>155</v>
      </c>
      <c r="CF560" s="10" t="s">
        <v>18</v>
      </c>
      <c r="CG560" s="10">
        <v>9</v>
      </c>
      <c r="CH560" s="10" t="s">
        <v>152</v>
      </c>
      <c r="CI560">
        <v>57</v>
      </c>
      <c r="CJ560" s="10"/>
      <c r="CK560" s="43"/>
    </row>
    <row r="561" spans="1:89" x14ac:dyDescent="0.25">
      <c r="A561" s="42"/>
      <c r="B561" s="34" t="s">
        <v>155</v>
      </c>
      <c r="C561" s="10" t="s">
        <v>18</v>
      </c>
      <c r="D561" s="10">
        <v>10</v>
      </c>
      <c r="E561" s="10" t="s">
        <v>152</v>
      </c>
      <c r="F561">
        <v>58</v>
      </c>
      <c r="G561" s="10">
        <v>2042</v>
      </c>
      <c r="H561" t="s">
        <v>162</v>
      </c>
      <c r="J561" s="42"/>
      <c r="K561" s="34" t="s">
        <v>155</v>
      </c>
      <c r="L561" s="10" t="s">
        <v>18</v>
      </c>
      <c r="M561" s="10">
        <v>10</v>
      </c>
      <c r="N561" s="10" t="s">
        <v>152</v>
      </c>
      <c r="O561">
        <v>58</v>
      </c>
      <c r="P561" s="10" t="s">
        <v>100</v>
      </c>
      <c r="Q561" t="s">
        <v>180</v>
      </c>
      <c r="S561" s="42"/>
      <c r="T561" s="34" t="s">
        <v>155</v>
      </c>
      <c r="U561" s="10" t="s">
        <v>18</v>
      </c>
      <c r="V561" s="10">
        <v>10</v>
      </c>
      <c r="W561" s="10" t="s">
        <v>152</v>
      </c>
      <c r="X561">
        <v>58</v>
      </c>
      <c r="Y561" s="10">
        <v>2047</v>
      </c>
      <c r="Z561" s="43" t="s">
        <v>189</v>
      </c>
      <c r="AB561" s="42"/>
      <c r="AC561" s="34" t="s">
        <v>155</v>
      </c>
      <c r="AD561" s="10" t="s">
        <v>18</v>
      </c>
      <c r="AE561" s="10">
        <v>10</v>
      </c>
      <c r="AF561" s="10" t="s">
        <v>152</v>
      </c>
      <c r="AG561">
        <v>58</v>
      </c>
      <c r="AH561" s="10">
        <v>2044</v>
      </c>
      <c r="AI561" t="s">
        <v>178</v>
      </c>
      <c r="AK561" s="42"/>
      <c r="AL561" s="34" t="s">
        <v>155</v>
      </c>
      <c r="AM561" s="10" t="s">
        <v>18</v>
      </c>
      <c r="AN561" s="10">
        <v>10</v>
      </c>
      <c r="AO561" s="10" t="s">
        <v>152</v>
      </c>
      <c r="AP561">
        <v>58</v>
      </c>
      <c r="AQ561" s="10" t="s">
        <v>108</v>
      </c>
      <c r="AR561" s="43" t="s">
        <v>189</v>
      </c>
      <c r="AT561" s="42"/>
      <c r="AU561" s="34" t="s">
        <v>155</v>
      </c>
      <c r="AV561" s="10" t="s">
        <v>18</v>
      </c>
      <c r="AW561" s="10">
        <v>10</v>
      </c>
      <c r="AX561" s="10" t="s">
        <v>152</v>
      </c>
      <c r="AY561">
        <v>58</v>
      </c>
      <c r="AZ561" s="10"/>
      <c r="BA561" s="43"/>
      <c r="BC561" s="42"/>
      <c r="BD561" s="34" t="s">
        <v>155</v>
      </c>
      <c r="BE561" s="10" t="s">
        <v>18</v>
      </c>
      <c r="BF561" s="10">
        <v>10</v>
      </c>
      <c r="BG561" s="10" t="s">
        <v>152</v>
      </c>
      <c r="BH561">
        <v>58</v>
      </c>
      <c r="BI561" s="10"/>
      <c r="BJ561" s="43"/>
      <c r="BL561" s="42"/>
      <c r="BM561" s="34" t="s">
        <v>155</v>
      </c>
      <c r="BN561" s="10" t="s">
        <v>18</v>
      </c>
      <c r="BO561" s="10">
        <v>10</v>
      </c>
      <c r="BP561" s="10" t="s">
        <v>152</v>
      </c>
      <c r="BQ561">
        <v>58</v>
      </c>
      <c r="BR561" s="10"/>
      <c r="BS561" s="43"/>
      <c r="BU561" s="42"/>
      <c r="BV561" s="34" t="s">
        <v>155</v>
      </c>
      <c r="BW561" s="10" t="s">
        <v>18</v>
      </c>
      <c r="BX561" s="10">
        <v>10</v>
      </c>
      <c r="BY561" s="10" t="s">
        <v>152</v>
      </c>
      <c r="BZ561">
        <v>58</v>
      </c>
      <c r="CA561" s="10"/>
      <c r="CB561" s="43"/>
      <c r="CD561" s="42"/>
      <c r="CE561" s="34" t="s">
        <v>155</v>
      </c>
      <c r="CF561" s="10" t="s">
        <v>18</v>
      </c>
      <c r="CG561" s="10">
        <v>10</v>
      </c>
      <c r="CH561" s="10" t="s">
        <v>152</v>
      </c>
      <c r="CI561">
        <v>58</v>
      </c>
      <c r="CJ561" s="10"/>
      <c r="CK561" s="43"/>
    </row>
    <row r="562" spans="1:89" x14ac:dyDescent="0.25">
      <c r="A562" s="42"/>
      <c r="B562" s="34" t="s">
        <v>155</v>
      </c>
      <c r="C562" s="10" t="s">
        <v>18</v>
      </c>
      <c r="D562" s="10">
        <v>11</v>
      </c>
      <c r="E562" s="10" t="s">
        <v>152</v>
      </c>
      <c r="F562">
        <v>59</v>
      </c>
      <c r="G562" s="10">
        <v>2042</v>
      </c>
      <c r="H562" t="s">
        <v>170</v>
      </c>
      <c r="J562" s="42"/>
      <c r="K562" s="34" t="s">
        <v>155</v>
      </c>
      <c r="L562" s="10" t="s">
        <v>18</v>
      </c>
      <c r="M562" s="10">
        <v>11</v>
      </c>
      <c r="N562" s="10" t="s">
        <v>152</v>
      </c>
      <c r="O562">
        <v>59</v>
      </c>
      <c r="P562" s="10" t="s">
        <v>100</v>
      </c>
      <c r="Q562" t="s">
        <v>181</v>
      </c>
      <c r="S562" s="42"/>
      <c r="T562" s="34" t="s">
        <v>155</v>
      </c>
      <c r="U562" s="10" t="s">
        <v>18</v>
      </c>
      <c r="V562" s="10">
        <v>11</v>
      </c>
      <c r="W562" s="10" t="s">
        <v>152</v>
      </c>
      <c r="X562">
        <v>59</v>
      </c>
      <c r="Y562" s="10">
        <v>2048</v>
      </c>
      <c r="Z562" s="43" t="s">
        <v>160</v>
      </c>
      <c r="AB562" s="42"/>
      <c r="AC562" s="34" t="s">
        <v>155</v>
      </c>
      <c r="AD562" s="10" t="s">
        <v>18</v>
      </c>
      <c r="AE562" s="10">
        <v>11</v>
      </c>
      <c r="AF562" s="10" t="s">
        <v>152</v>
      </c>
      <c r="AG562">
        <v>59</v>
      </c>
      <c r="AH562" s="10">
        <v>2044</v>
      </c>
      <c r="AI562" t="s">
        <v>163</v>
      </c>
      <c r="AK562" s="42"/>
      <c r="AL562" s="34" t="s">
        <v>155</v>
      </c>
      <c r="AM562" s="10" t="s">
        <v>18</v>
      </c>
      <c r="AN562" s="10">
        <v>11</v>
      </c>
      <c r="AO562" s="10" t="s">
        <v>152</v>
      </c>
      <c r="AP562">
        <v>59</v>
      </c>
      <c r="AQ562" s="10" t="s">
        <v>103</v>
      </c>
      <c r="AR562" s="43" t="s">
        <v>160</v>
      </c>
      <c r="AT562" s="42"/>
      <c r="AU562" s="34" t="s">
        <v>155</v>
      </c>
      <c r="AV562" s="10" t="s">
        <v>18</v>
      </c>
      <c r="AW562" s="10">
        <v>11</v>
      </c>
      <c r="AX562" s="10" t="s">
        <v>152</v>
      </c>
      <c r="AY562">
        <v>59</v>
      </c>
      <c r="AZ562" s="10"/>
      <c r="BA562" s="43"/>
      <c r="BC562" s="42"/>
      <c r="BD562" s="34" t="s">
        <v>155</v>
      </c>
      <c r="BE562" s="10" t="s">
        <v>18</v>
      </c>
      <c r="BF562" s="10">
        <v>11</v>
      </c>
      <c r="BG562" s="10" t="s">
        <v>152</v>
      </c>
      <c r="BH562">
        <v>59</v>
      </c>
      <c r="BI562" s="10"/>
      <c r="BJ562" s="43"/>
      <c r="BL562" s="42"/>
      <c r="BM562" s="34" t="s">
        <v>155</v>
      </c>
      <c r="BN562" s="10" t="s">
        <v>18</v>
      </c>
      <c r="BO562" s="10">
        <v>11</v>
      </c>
      <c r="BP562" s="10" t="s">
        <v>152</v>
      </c>
      <c r="BQ562">
        <v>59</v>
      </c>
      <c r="BR562" s="10"/>
      <c r="BS562" s="43"/>
      <c r="BU562" s="42"/>
      <c r="BV562" s="34" t="s">
        <v>155</v>
      </c>
      <c r="BW562" s="10" t="s">
        <v>18</v>
      </c>
      <c r="BX562" s="10">
        <v>11</v>
      </c>
      <c r="BY562" s="10" t="s">
        <v>152</v>
      </c>
      <c r="BZ562">
        <v>59</v>
      </c>
      <c r="CA562" s="10"/>
      <c r="CB562" s="43"/>
      <c r="CD562" s="42"/>
      <c r="CE562" s="34" t="s">
        <v>155</v>
      </c>
      <c r="CF562" s="10" t="s">
        <v>18</v>
      </c>
      <c r="CG562" s="10">
        <v>11</v>
      </c>
      <c r="CH562" s="10" t="s">
        <v>152</v>
      </c>
      <c r="CI562">
        <v>59</v>
      </c>
      <c r="CJ562" s="10"/>
      <c r="CK562" s="43"/>
    </row>
    <row r="563" spans="1:89" ht="15.75" thickBot="1" x14ac:dyDescent="0.3">
      <c r="A563" s="47"/>
      <c r="B563" s="48" t="s">
        <v>155</v>
      </c>
      <c r="C563" s="49" t="s">
        <v>18</v>
      </c>
      <c r="D563" s="49">
        <v>12</v>
      </c>
      <c r="E563" s="49" t="s">
        <v>152</v>
      </c>
      <c r="F563" s="50">
        <v>60</v>
      </c>
      <c r="G563" s="10">
        <v>2042</v>
      </c>
      <c r="H563" t="s">
        <v>178</v>
      </c>
      <c r="J563" s="47"/>
      <c r="K563" s="48" t="s">
        <v>155</v>
      </c>
      <c r="L563" s="49" t="s">
        <v>18</v>
      </c>
      <c r="M563" s="49">
        <v>12</v>
      </c>
      <c r="N563" s="49" t="s">
        <v>152</v>
      </c>
      <c r="O563" s="50">
        <v>60</v>
      </c>
      <c r="P563" s="10" t="s">
        <v>100</v>
      </c>
      <c r="Q563" t="s">
        <v>183</v>
      </c>
      <c r="S563" s="47"/>
      <c r="T563" s="48" t="s">
        <v>155</v>
      </c>
      <c r="U563" s="49" t="s">
        <v>18</v>
      </c>
      <c r="V563" s="49">
        <v>12</v>
      </c>
      <c r="W563" s="49" t="s">
        <v>152</v>
      </c>
      <c r="X563" s="50">
        <v>60</v>
      </c>
      <c r="Y563" s="10">
        <v>2048</v>
      </c>
      <c r="Z563" s="51" t="s">
        <v>168</v>
      </c>
      <c r="AB563" s="47"/>
      <c r="AC563" s="48" t="s">
        <v>155</v>
      </c>
      <c r="AD563" s="49" t="s">
        <v>18</v>
      </c>
      <c r="AE563" s="49">
        <v>12</v>
      </c>
      <c r="AF563" s="49" t="s">
        <v>152</v>
      </c>
      <c r="AG563" s="50">
        <v>60</v>
      </c>
      <c r="AH563" s="10">
        <v>2044</v>
      </c>
      <c r="AI563" t="s">
        <v>171</v>
      </c>
      <c r="AK563" s="47"/>
      <c r="AL563" s="48" t="s">
        <v>155</v>
      </c>
      <c r="AM563" s="49" t="s">
        <v>18</v>
      </c>
      <c r="AN563" s="49">
        <v>12</v>
      </c>
      <c r="AO563" s="49" t="s">
        <v>152</v>
      </c>
      <c r="AP563" s="50">
        <v>60</v>
      </c>
      <c r="AQ563" s="10" t="s">
        <v>103</v>
      </c>
      <c r="AR563" s="51" t="s">
        <v>168</v>
      </c>
      <c r="AT563" s="47"/>
      <c r="AU563" s="48" t="s">
        <v>155</v>
      </c>
      <c r="AV563" s="49" t="s">
        <v>18</v>
      </c>
      <c r="AW563" s="49">
        <v>12</v>
      </c>
      <c r="AX563" s="49" t="s">
        <v>152</v>
      </c>
      <c r="AY563" s="50">
        <v>60</v>
      </c>
      <c r="AZ563" s="10"/>
      <c r="BA563" s="43"/>
      <c r="BC563" s="47"/>
      <c r="BD563" s="48" t="s">
        <v>155</v>
      </c>
      <c r="BE563" s="49" t="s">
        <v>18</v>
      </c>
      <c r="BF563" s="49">
        <v>12</v>
      </c>
      <c r="BG563" s="49" t="s">
        <v>152</v>
      </c>
      <c r="BH563" s="50">
        <v>60</v>
      </c>
      <c r="BI563" s="10"/>
      <c r="BJ563" s="43"/>
      <c r="BL563" s="47"/>
      <c r="BM563" s="48" t="s">
        <v>155</v>
      </c>
      <c r="BN563" s="49" t="s">
        <v>18</v>
      </c>
      <c r="BO563" s="49">
        <v>12</v>
      </c>
      <c r="BP563" s="49" t="s">
        <v>152</v>
      </c>
      <c r="BQ563" s="50">
        <v>60</v>
      </c>
      <c r="BR563" s="10"/>
      <c r="BS563" s="43"/>
      <c r="BU563" s="47"/>
      <c r="BV563" s="48" t="s">
        <v>155</v>
      </c>
      <c r="BW563" s="49" t="s">
        <v>18</v>
      </c>
      <c r="BX563" s="49">
        <v>12</v>
      </c>
      <c r="BY563" s="49" t="s">
        <v>152</v>
      </c>
      <c r="BZ563" s="50">
        <v>60</v>
      </c>
      <c r="CA563" s="10"/>
      <c r="CB563" s="43"/>
      <c r="CD563" s="47"/>
      <c r="CE563" s="48" t="s">
        <v>155</v>
      </c>
      <c r="CF563" s="49" t="s">
        <v>18</v>
      </c>
      <c r="CG563" s="49">
        <v>12</v>
      </c>
      <c r="CH563" s="49" t="s">
        <v>152</v>
      </c>
      <c r="CI563" s="50">
        <v>60</v>
      </c>
      <c r="CJ563" s="10"/>
      <c r="CK563" s="43"/>
    </row>
    <row r="564" spans="1:89" x14ac:dyDescent="0.25">
      <c r="A564" s="56"/>
      <c r="B564" s="31" t="s">
        <v>155</v>
      </c>
      <c r="C564" s="58" t="s">
        <v>29</v>
      </c>
      <c r="D564" s="58">
        <v>1</v>
      </c>
      <c r="E564" s="58" t="s">
        <v>152</v>
      </c>
      <c r="F564" s="59">
        <v>61</v>
      </c>
      <c r="G564" s="10">
        <v>2042</v>
      </c>
      <c r="H564" t="s">
        <v>163</v>
      </c>
      <c r="J564" s="56"/>
      <c r="K564" s="31" t="s">
        <v>155</v>
      </c>
      <c r="L564" s="58" t="s">
        <v>29</v>
      </c>
      <c r="M564" s="58">
        <v>1</v>
      </c>
      <c r="N564" s="58" t="s">
        <v>152</v>
      </c>
      <c r="O564" s="59">
        <v>61</v>
      </c>
      <c r="P564" s="10" t="s">
        <v>100</v>
      </c>
      <c r="Q564" t="s">
        <v>186</v>
      </c>
      <c r="S564" s="56"/>
      <c r="T564" s="31" t="s">
        <v>155</v>
      </c>
      <c r="U564" s="58" t="s">
        <v>29</v>
      </c>
      <c r="V564" s="58">
        <v>1</v>
      </c>
      <c r="W564" s="58" t="s">
        <v>152</v>
      </c>
      <c r="X564" s="59">
        <v>61</v>
      </c>
      <c r="Y564" s="10">
        <v>2048</v>
      </c>
      <c r="Z564" s="43" t="s">
        <v>176</v>
      </c>
      <c r="AB564" s="56"/>
      <c r="AC564" s="31" t="s">
        <v>155</v>
      </c>
      <c r="AD564" s="58" t="s">
        <v>29</v>
      </c>
      <c r="AE564" s="58">
        <v>1</v>
      </c>
      <c r="AF564" s="58" t="s">
        <v>152</v>
      </c>
      <c r="AG564" s="59">
        <v>61</v>
      </c>
      <c r="AH564" s="10">
        <v>2044</v>
      </c>
      <c r="AI564" t="s">
        <v>161</v>
      </c>
      <c r="AK564" s="56"/>
      <c r="AL564" s="31" t="s">
        <v>155</v>
      </c>
      <c r="AM564" s="58" t="s">
        <v>29</v>
      </c>
      <c r="AN564" s="58">
        <v>1</v>
      </c>
      <c r="AO564" s="58" t="s">
        <v>152</v>
      </c>
      <c r="AP564" s="59">
        <v>61</v>
      </c>
      <c r="AQ564" s="10" t="s">
        <v>103</v>
      </c>
      <c r="AR564" s="43" t="s">
        <v>176</v>
      </c>
      <c r="AT564" s="56"/>
      <c r="AU564" s="31" t="s">
        <v>155</v>
      </c>
      <c r="AV564" s="58" t="s">
        <v>29</v>
      </c>
      <c r="AW564" s="58">
        <v>1</v>
      </c>
      <c r="AX564" s="58" t="s">
        <v>152</v>
      </c>
      <c r="AY564" s="59">
        <v>61</v>
      </c>
      <c r="AZ564" s="10"/>
      <c r="BA564" s="43"/>
      <c r="BC564" s="56"/>
      <c r="BD564" s="31" t="s">
        <v>155</v>
      </c>
      <c r="BE564" s="58" t="s">
        <v>29</v>
      </c>
      <c r="BF564" s="58">
        <v>1</v>
      </c>
      <c r="BG564" s="58" t="s">
        <v>152</v>
      </c>
      <c r="BH564" s="59">
        <v>61</v>
      </c>
      <c r="BI564" s="10"/>
      <c r="BJ564" s="43"/>
      <c r="BL564" s="56"/>
      <c r="BM564" s="31" t="s">
        <v>155</v>
      </c>
      <c r="BN564" s="58" t="s">
        <v>29</v>
      </c>
      <c r="BO564" s="58">
        <v>1</v>
      </c>
      <c r="BP564" s="58" t="s">
        <v>152</v>
      </c>
      <c r="BQ564" s="59">
        <v>61</v>
      </c>
      <c r="BR564" s="10"/>
      <c r="BS564" s="43"/>
      <c r="BU564" s="56"/>
      <c r="BV564" s="31" t="s">
        <v>155</v>
      </c>
      <c r="BW564" s="58" t="s">
        <v>29</v>
      </c>
      <c r="BX564" s="58">
        <v>1</v>
      </c>
      <c r="BY564" s="58" t="s">
        <v>152</v>
      </c>
      <c r="BZ564" s="59">
        <v>61</v>
      </c>
      <c r="CA564" s="10"/>
      <c r="CB564" s="43"/>
      <c r="CD564" s="56"/>
      <c r="CE564" s="31" t="s">
        <v>155</v>
      </c>
      <c r="CF564" s="58" t="s">
        <v>29</v>
      </c>
      <c r="CG564" s="58">
        <v>1</v>
      </c>
      <c r="CH564" s="58" t="s">
        <v>152</v>
      </c>
      <c r="CI564" s="59">
        <v>61</v>
      </c>
      <c r="CJ564" s="10"/>
      <c r="CK564" s="43"/>
    </row>
    <row r="565" spans="1:89" x14ac:dyDescent="0.25">
      <c r="A565" s="42"/>
      <c r="B565" s="34" t="s">
        <v>155</v>
      </c>
      <c r="C565" s="10" t="s">
        <v>29</v>
      </c>
      <c r="D565" s="10">
        <v>2</v>
      </c>
      <c r="E565" s="10" t="s">
        <v>152</v>
      </c>
      <c r="F565">
        <v>62</v>
      </c>
      <c r="G565" s="10">
        <v>2042</v>
      </c>
      <c r="H565" t="s">
        <v>171</v>
      </c>
      <c r="J565" s="42"/>
      <c r="K565" s="34" t="s">
        <v>155</v>
      </c>
      <c r="L565" s="10" t="s">
        <v>29</v>
      </c>
      <c r="M565" s="10">
        <v>2</v>
      </c>
      <c r="N565" s="10" t="s">
        <v>152</v>
      </c>
      <c r="O565">
        <v>62</v>
      </c>
      <c r="P565" s="10" t="s">
        <v>100</v>
      </c>
      <c r="Q565" s="43" t="s">
        <v>188</v>
      </c>
      <c r="S565" s="42"/>
      <c r="T565" s="34" t="s">
        <v>155</v>
      </c>
      <c r="U565" s="10" t="s">
        <v>29</v>
      </c>
      <c r="V565" s="10">
        <v>2</v>
      </c>
      <c r="W565" s="10" t="s">
        <v>152</v>
      </c>
      <c r="X565">
        <v>62</v>
      </c>
      <c r="Y565" s="10">
        <v>2048</v>
      </c>
      <c r="Z565" s="43" t="s">
        <v>164</v>
      </c>
      <c r="AB565" s="42"/>
      <c r="AC565" s="34" t="s">
        <v>155</v>
      </c>
      <c r="AD565" s="10" t="s">
        <v>29</v>
      </c>
      <c r="AE565" s="10">
        <v>2</v>
      </c>
      <c r="AF565" s="10" t="s">
        <v>152</v>
      </c>
      <c r="AG565">
        <v>62</v>
      </c>
      <c r="AH565" s="10">
        <v>2044</v>
      </c>
      <c r="AI565" t="s">
        <v>169</v>
      </c>
      <c r="AK565" s="42"/>
      <c r="AL565" s="34" t="s">
        <v>155</v>
      </c>
      <c r="AM565" s="10" t="s">
        <v>29</v>
      </c>
      <c r="AN565" s="10">
        <v>2</v>
      </c>
      <c r="AO565" s="10" t="s">
        <v>152</v>
      </c>
      <c r="AP565">
        <v>62</v>
      </c>
      <c r="AQ565" s="10" t="s">
        <v>103</v>
      </c>
      <c r="AR565" s="43" t="s">
        <v>164</v>
      </c>
      <c r="AT565" s="42"/>
      <c r="AU565" s="34" t="s">
        <v>155</v>
      </c>
      <c r="AV565" s="10" t="s">
        <v>29</v>
      </c>
      <c r="AW565" s="10">
        <v>2</v>
      </c>
      <c r="AX565" s="10" t="s">
        <v>152</v>
      </c>
      <c r="AY565">
        <v>62</v>
      </c>
      <c r="AZ565" s="10"/>
      <c r="BA565" s="51"/>
      <c r="BC565" s="42"/>
      <c r="BD565" s="34" t="s">
        <v>155</v>
      </c>
      <c r="BE565" s="10" t="s">
        <v>29</v>
      </c>
      <c r="BF565" s="10">
        <v>2</v>
      </c>
      <c r="BG565" s="10" t="s">
        <v>152</v>
      </c>
      <c r="BH565">
        <v>62</v>
      </c>
      <c r="BI565" s="10"/>
      <c r="BJ565" s="51"/>
      <c r="BL565" s="42"/>
      <c r="BM565" s="34" t="s">
        <v>155</v>
      </c>
      <c r="BN565" s="10" t="s">
        <v>29</v>
      </c>
      <c r="BO565" s="10">
        <v>2</v>
      </c>
      <c r="BP565" s="10" t="s">
        <v>152</v>
      </c>
      <c r="BQ565">
        <v>62</v>
      </c>
      <c r="BR565" s="10"/>
      <c r="BS565" s="51"/>
      <c r="BU565" s="42"/>
      <c r="BV565" s="34" t="s">
        <v>155</v>
      </c>
      <c r="BW565" s="10" t="s">
        <v>29</v>
      </c>
      <c r="BX565" s="10">
        <v>2</v>
      </c>
      <c r="BY565" s="10" t="s">
        <v>152</v>
      </c>
      <c r="BZ565">
        <v>62</v>
      </c>
      <c r="CA565" s="10"/>
      <c r="CB565" s="51"/>
      <c r="CD565" s="42"/>
      <c r="CE565" s="34" t="s">
        <v>155</v>
      </c>
      <c r="CF565" s="10" t="s">
        <v>29</v>
      </c>
      <c r="CG565" s="10">
        <v>2</v>
      </c>
      <c r="CH565" s="10" t="s">
        <v>152</v>
      </c>
      <c r="CI565">
        <v>62</v>
      </c>
      <c r="CJ565" s="10"/>
      <c r="CK565" s="51"/>
    </row>
    <row r="566" spans="1:89" x14ac:dyDescent="0.25">
      <c r="A566" s="42"/>
      <c r="B566" s="34" t="s">
        <v>155</v>
      </c>
      <c r="C566" s="10" t="s">
        <v>29</v>
      </c>
      <c r="D566" s="10">
        <v>3</v>
      </c>
      <c r="E566" s="10" t="s">
        <v>152</v>
      </c>
      <c r="F566">
        <v>63</v>
      </c>
      <c r="G566" s="10">
        <v>2042</v>
      </c>
      <c r="H566" t="s">
        <v>161</v>
      </c>
      <c r="J566" s="42"/>
      <c r="K566" s="34" t="s">
        <v>155</v>
      </c>
      <c r="L566" s="10" t="s">
        <v>29</v>
      </c>
      <c r="M566" s="10">
        <v>3</v>
      </c>
      <c r="N566" s="10" t="s">
        <v>152</v>
      </c>
      <c r="O566">
        <v>63</v>
      </c>
      <c r="P566" s="10" t="s">
        <v>100</v>
      </c>
      <c r="Q566" s="43" t="s">
        <v>182</v>
      </c>
      <c r="S566" s="42"/>
      <c r="T566" s="34" t="s">
        <v>155</v>
      </c>
      <c r="U566" s="10" t="s">
        <v>29</v>
      </c>
      <c r="V566" s="10">
        <v>3</v>
      </c>
      <c r="W566" s="10" t="s">
        <v>152</v>
      </c>
      <c r="X566">
        <v>63</v>
      </c>
      <c r="Y566" s="10">
        <v>2048</v>
      </c>
      <c r="Z566" t="s">
        <v>172</v>
      </c>
      <c r="AB566" s="42"/>
      <c r="AC566" s="34" t="s">
        <v>155</v>
      </c>
      <c r="AD566" s="10" t="s">
        <v>29</v>
      </c>
      <c r="AE566" s="10">
        <v>3</v>
      </c>
      <c r="AF566" s="10" t="s">
        <v>152</v>
      </c>
      <c r="AG566">
        <v>63</v>
      </c>
      <c r="AH566" s="10">
        <v>2044</v>
      </c>
      <c r="AI566" s="43" t="s">
        <v>182</v>
      </c>
      <c r="AK566" s="42"/>
      <c r="AL566" s="34" t="s">
        <v>155</v>
      </c>
      <c r="AM566" s="10" t="s">
        <v>29</v>
      </c>
      <c r="AN566" s="10">
        <v>3</v>
      </c>
      <c r="AO566" s="10" t="s">
        <v>152</v>
      </c>
      <c r="AP566">
        <v>63</v>
      </c>
      <c r="AQ566" s="10" t="s">
        <v>103</v>
      </c>
      <c r="AR566" t="s">
        <v>172</v>
      </c>
      <c r="AT566" s="42"/>
      <c r="AU566" s="34" t="s">
        <v>155</v>
      </c>
      <c r="AV566" s="10" t="s">
        <v>29</v>
      </c>
      <c r="AW566" s="10">
        <v>3</v>
      </c>
      <c r="AX566" s="10" t="s">
        <v>152</v>
      </c>
      <c r="AY566">
        <v>63</v>
      </c>
      <c r="AZ566" s="10"/>
      <c r="BA566" s="43"/>
      <c r="BC566" s="42"/>
      <c r="BD566" s="34" t="s">
        <v>155</v>
      </c>
      <c r="BE566" s="10" t="s">
        <v>29</v>
      </c>
      <c r="BF566" s="10">
        <v>3</v>
      </c>
      <c r="BG566" s="10" t="s">
        <v>152</v>
      </c>
      <c r="BH566">
        <v>63</v>
      </c>
      <c r="BI566" s="10"/>
      <c r="BJ566" s="43"/>
      <c r="BL566" s="42"/>
      <c r="BM566" s="34" t="s">
        <v>155</v>
      </c>
      <c r="BN566" s="10" t="s">
        <v>29</v>
      </c>
      <c r="BO566" s="10">
        <v>3</v>
      </c>
      <c r="BP566" s="10" t="s">
        <v>152</v>
      </c>
      <c r="BQ566">
        <v>63</v>
      </c>
      <c r="BR566" s="10"/>
      <c r="BS566" s="43"/>
      <c r="BU566" s="42"/>
      <c r="BV566" s="34" t="s">
        <v>155</v>
      </c>
      <c r="BW566" s="10" t="s">
        <v>29</v>
      </c>
      <c r="BX566" s="10">
        <v>3</v>
      </c>
      <c r="BY566" s="10" t="s">
        <v>152</v>
      </c>
      <c r="BZ566">
        <v>63</v>
      </c>
      <c r="CA566" s="10"/>
      <c r="CB566" s="43"/>
      <c r="CD566" s="42"/>
      <c r="CE566" s="34" t="s">
        <v>155</v>
      </c>
      <c r="CF566" s="10" t="s">
        <v>29</v>
      </c>
      <c r="CG566" s="10">
        <v>3</v>
      </c>
      <c r="CH566" s="10" t="s">
        <v>152</v>
      </c>
      <c r="CI566">
        <v>63</v>
      </c>
      <c r="CJ566" s="10"/>
      <c r="CK566" s="43"/>
    </row>
    <row r="567" spans="1:89" x14ac:dyDescent="0.25">
      <c r="A567" s="42"/>
      <c r="B567" s="34" t="s">
        <v>155</v>
      </c>
      <c r="C567" s="10" t="s">
        <v>29</v>
      </c>
      <c r="D567" s="10">
        <v>4</v>
      </c>
      <c r="E567" s="10" t="s">
        <v>152</v>
      </c>
      <c r="F567">
        <v>64</v>
      </c>
      <c r="G567" s="10">
        <v>2042</v>
      </c>
      <c r="H567" t="s">
        <v>169</v>
      </c>
      <c r="J567" s="42"/>
      <c r="K567" s="34" t="s">
        <v>155</v>
      </c>
      <c r="L567" s="10" t="s">
        <v>29</v>
      </c>
      <c r="M567" s="10">
        <v>4</v>
      </c>
      <c r="N567" s="10" t="s">
        <v>152</v>
      </c>
      <c r="O567">
        <v>64</v>
      </c>
      <c r="P567" s="10" t="s">
        <v>100</v>
      </c>
      <c r="Q567" s="43" t="s">
        <v>184</v>
      </c>
      <c r="S567" s="42"/>
      <c r="T567" s="34" t="s">
        <v>155</v>
      </c>
      <c r="U567" s="10" t="s">
        <v>29</v>
      </c>
      <c r="V567" s="10">
        <v>4</v>
      </c>
      <c r="W567" s="10" t="s">
        <v>152</v>
      </c>
      <c r="X567">
        <v>64</v>
      </c>
      <c r="Y567" s="10">
        <v>2048</v>
      </c>
      <c r="Z567" t="s">
        <v>162</v>
      </c>
      <c r="AB567" s="42"/>
      <c r="AC567" s="34" t="s">
        <v>155</v>
      </c>
      <c r="AD567" s="10" t="s">
        <v>29</v>
      </c>
      <c r="AE567" s="10">
        <v>4</v>
      </c>
      <c r="AF567" s="10" t="s">
        <v>152</v>
      </c>
      <c r="AG567">
        <v>64</v>
      </c>
      <c r="AH567" s="10">
        <v>2044</v>
      </c>
      <c r="AI567" s="43" t="s">
        <v>184</v>
      </c>
      <c r="AK567" s="42"/>
      <c r="AL567" s="34" t="s">
        <v>155</v>
      </c>
      <c r="AM567" s="10" t="s">
        <v>29</v>
      </c>
      <c r="AN567" s="10">
        <v>4</v>
      </c>
      <c r="AO567" s="10" t="s">
        <v>152</v>
      </c>
      <c r="AP567">
        <v>64</v>
      </c>
      <c r="AQ567" s="10" t="s">
        <v>103</v>
      </c>
      <c r="AR567" t="s">
        <v>162</v>
      </c>
      <c r="AT567" s="42"/>
      <c r="AU567" s="34" t="s">
        <v>155</v>
      </c>
      <c r="AV567" s="10" t="s">
        <v>29</v>
      </c>
      <c r="AW567" s="10">
        <v>4</v>
      </c>
      <c r="AX567" s="10" t="s">
        <v>152</v>
      </c>
      <c r="AY567">
        <v>64</v>
      </c>
      <c r="AZ567" s="10"/>
      <c r="BA567" s="43"/>
      <c r="BC567" s="42"/>
      <c r="BD567" s="34" t="s">
        <v>155</v>
      </c>
      <c r="BE567" s="10" t="s">
        <v>29</v>
      </c>
      <c r="BF567" s="10">
        <v>4</v>
      </c>
      <c r="BG567" s="10" t="s">
        <v>152</v>
      </c>
      <c r="BH567">
        <v>64</v>
      </c>
      <c r="BI567" s="10"/>
      <c r="BJ567" s="43"/>
      <c r="BL567" s="42"/>
      <c r="BM567" s="34" t="s">
        <v>155</v>
      </c>
      <c r="BN567" s="10" t="s">
        <v>29</v>
      </c>
      <c r="BO567" s="10">
        <v>4</v>
      </c>
      <c r="BP567" s="10" t="s">
        <v>152</v>
      </c>
      <c r="BQ567">
        <v>64</v>
      </c>
      <c r="BR567" s="10"/>
      <c r="BS567" s="43"/>
      <c r="BU567" s="42"/>
      <c r="BV567" s="34" t="s">
        <v>155</v>
      </c>
      <c r="BW567" s="10" t="s">
        <v>29</v>
      </c>
      <c r="BX567" s="10">
        <v>4</v>
      </c>
      <c r="BY567" s="10" t="s">
        <v>152</v>
      </c>
      <c r="BZ567">
        <v>64</v>
      </c>
      <c r="CA567" s="10"/>
      <c r="CB567" s="43"/>
      <c r="CD567" s="42"/>
      <c r="CE567" s="34" t="s">
        <v>155</v>
      </c>
      <c r="CF567" s="10" t="s">
        <v>29</v>
      </c>
      <c r="CG567" s="10">
        <v>4</v>
      </c>
      <c r="CH567" s="10" t="s">
        <v>152</v>
      </c>
      <c r="CI567">
        <v>64</v>
      </c>
      <c r="CJ567" s="10"/>
      <c r="CK567" s="43"/>
    </row>
    <row r="568" spans="1:89" x14ac:dyDescent="0.25">
      <c r="A568" s="42"/>
      <c r="B568" s="34" t="s">
        <v>155</v>
      </c>
      <c r="C568" s="10" t="s">
        <v>29</v>
      </c>
      <c r="D568" s="10">
        <v>5</v>
      </c>
      <c r="E568" s="10" t="s">
        <v>152</v>
      </c>
      <c r="F568">
        <v>65</v>
      </c>
      <c r="G568" s="10">
        <v>2042</v>
      </c>
      <c r="H568" t="s">
        <v>177</v>
      </c>
      <c r="J568" s="42"/>
      <c r="K568" s="34" t="s">
        <v>155</v>
      </c>
      <c r="L568" s="10" t="s">
        <v>29</v>
      </c>
      <c r="M568" s="10">
        <v>5</v>
      </c>
      <c r="N568" s="10" t="s">
        <v>152</v>
      </c>
      <c r="O568">
        <v>65</v>
      </c>
      <c r="P568" s="10" t="s">
        <v>100</v>
      </c>
      <c r="Q568" s="43" t="s">
        <v>187</v>
      </c>
      <c r="S568" s="42"/>
      <c r="T568" s="34" t="s">
        <v>155</v>
      </c>
      <c r="U568" s="10" t="s">
        <v>29</v>
      </c>
      <c r="V568" s="10">
        <v>5</v>
      </c>
      <c r="W568" s="10" t="s">
        <v>152</v>
      </c>
      <c r="X568">
        <v>65</v>
      </c>
      <c r="Y568" s="10">
        <v>2048</v>
      </c>
      <c r="Z568" t="s">
        <v>170</v>
      </c>
      <c r="AB568" s="42"/>
      <c r="AC568" s="34" t="s">
        <v>155</v>
      </c>
      <c r="AD568" s="10" t="s">
        <v>29</v>
      </c>
      <c r="AE568" s="10">
        <v>5</v>
      </c>
      <c r="AF568" s="10" t="s">
        <v>152</v>
      </c>
      <c r="AG568">
        <v>65</v>
      </c>
      <c r="AH568" s="10">
        <v>2044</v>
      </c>
      <c r="AI568" s="43" t="s">
        <v>187</v>
      </c>
      <c r="AK568" s="42"/>
      <c r="AL568" s="34" t="s">
        <v>155</v>
      </c>
      <c r="AM568" s="10" t="s">
        <v>29</v>
      </c>
      <c r="AN568" s="10">
        <v>5</v>
      </c>
      <c r="AO568" s="10" t="s">
        <v>152</v>
      </c>
      <c r="AP568">
        <v>65</v>
      </c>
      <c r="AQ568" s="10" t="s">
        <v>103</v>
      </c>
      <c r="AR568" t="s">
        <v>170</v>
      </c>
      <c r="AT568" s="42"/>
      <c r="AU568" s="34" t="s">
        <v>155</v>
      </c>
      <c r="AV568" s="10" t="s">
        <v>29</v>
      </c>
      <c r="AW568" s="10">
        <v>5</v>
      </c>
      <c r="AX568" s="10" t="s">
        <v>152</v>
      </c>
      <c r="AY568">
        <v>65</v>
      </c>
      <c r="AZ568" s="10"/>
      <c r="BA568" s="43"/>
      <c r="BC568" s="42"/>
      <c r="BD568" s="34" t="s">
        <v>155</v>
      </c>
      <c r="BE568" s="10" t="s">
        <v>29</v>
      </c>
      <c r="BF568" s="10">
        <v>5</v>
      </c>
      <c r="BG568" s="10" t="s">
        <v>152</v>
      </c>
      <c r="BH568">
        <v>65</v>
      </c>
      <c r="BI568" s="10"/>
      <c r="BJ568" s="43"/>
      <c r="BL568" s="42"/>
      <c r="BM568" s="34" t="s">
        <v>155</v>
      </c>
      <c r="BN568" s="10" t="s">
        <v>29</v>
      </c>
      <c r="BO568" s="10">
        <v>5</v>
      </c>
      <c r="BP568" s="10" t="s">
        <v>152</v>
      </c>
      <c r="BQ568">
        <v>65</v>
      </c>
      <c r="BR568" s="10"/>
      <c r="BS568" s="43"/>
      <c r="BU568" s="42"/>
      <c r="BV568" s="34" t="s">
        <v>155</v>
      </c>
      <c r="BW568" s="10" t="s">
        <v>29</v>
      </c>
      <c r="BX568" s="10">
        <v>5</v>
      </c>
      <c r="BY568" s="10" t="s">
        <v>152</v>
      </c>
      <c r="BZ568">
        <v>65</v>
      </c>
      <c r="CA568" s="10"/>
      <c r="CB568" s="43"/>
      <c r="CD568" s="42"/>
      <c r="CE568" s="34" t="s">
        <v>155</v>
      </c>
      <c r="CF568" s="10" t="s">
        <v>29</v>
      </c>
      <c r="CG568" s="10">
        <v>5</v>
      </c>
      <c r="CH568" s="10" t="s">
        <v>152</v>
      </c>
      <c r="CI568">
        <v>65</v>
      </c>
      <c r="CJ568" s="10"/>
      <c r="CK568" s="43"/>
    </row>
    <row r="569" spans="1:89" x14ac:dyDescent="0.25">
      <c r="A569" s="42"/>
      <c r="B569" s="34" t="s">
        <v>155</v>
      </c>
      <c r="C569" s="10" t="s">
        <v>29</v>
      </c>
      <c r="D569" s="10">
        <v>6</v>
      </c>
      <c r="E569" s="10" t="s">
        <v>152</v>
      </c>
      <c r="F569">
        <v>66</v>
      </c>
      <c r="G569" s="10">
        <v>2042</v>
      </c>
      <c r="H569" t="s">
        <v>180</v>
      </c>
      <c r="J569" s="42"/>
      <c r="K569" s="34" t="s">
        <v>155</v>
      </c>
      <c r="L569" s="10" t="s">
        <v>29</v>
      </c>
      <c r="M569" s="10">
        <v>6</v>
      </c>
      <c r="N569" s="10" t="s">
        <v>152</v>
      </c>
      <c r="O569">
        <v>66</v>
      </c>
      <c r="P569" s="10" t="s">
        <v>100</v>
      </c>
      <c r="Q569" s="43" t="s">
        <v>189</v>
      </c>
      <c r="S569" s="42"/>
      <c r="T569" s="34" t="s">
        <v>155</v>
      </c>
      <c r="U569" s="10" t="s">
        <v>29</v>
      </c>
      <c r="V569" s="10">
        <v>6</v>
      </c>
      <c r="W569" s="10" t="s">
        <v>152</v>
      </c>
      <c r="X569">
        <v>66</v>
      </c>
      <c r="Y569" s="10">
        <v>2048</v>
      </c>
      <c r="Z569" t="s">
        <v>178</v>
      </c>
      <c r="AB569" s="42"/>
      <c r="AC569" s="34" t="s">
        <v>155</v>
      </c>
      <c r="AD569" s="10" t="s">
        <v>29</v>
      </c>
      <c r="AE569" s="10">
        <v>6</v>
      </c>
      <c r="AF569" s="10" t="s">
        <v>152</v>
      </c>
      <c r="AG569">
        <v>66</v>
      </c>
      <c r="AH569" s="10">
        <v>2044</v>
      </c>
      <c r="AI569" s="43" t="s">
        <v>189</v>
      </c>
      <c r="AK569" s="42"/>
      <c r="AL569" s="34" t="s">
        <v>155</v>
      </c>
      <c r="AM569" s="10" t="s">
        <v>29</v>
      </c>
      <c r="AN569" s="10">
        <v>6</v>
      </c>
      <c r="AO569" s="10" t="s">
        <v>152</v>
      </c>
      <c r="AP569">
        <v>66</v>
      </c>
      <c r="AQ569" s="10" t="s">
        <v>103</v>
      </c>
      <c r="AR569" t="s">
        <v>178</v>
      </c>
      <c r="AT569" s="42"/>
      <c r="AU569" s="34" t="s">
        <v>155</v>
      </c>
      <c r="AV569" s="10" t="s">
        <v>29</v>
      </c>
      <c r="AW569" s="10">
        <v>6</v>
      </c>
      <c r="AX569" s="10" t="s">
        <v>152</v>
      </c>
      <c r="AY569">
        <v>66</v>
      </c>
      <c r="AZ569" s="10"/>
      <c r="BA569" s="43"/>
      <c r="BC569" s="42"/>
      <c r="BD569" s="34" t="s">
        <v>155</v>
      </c>
      <c r="BE569" s="10" t="s">
        <v>29</v>
      </c>
      <c r="BF569" s="10">
        <v>6</v>
      </c>
      <c r="BG569" s="10" t="s">
        <v>152</v>
      </c>
      <c r="BH569">
        <v>66</v>
      </c>
      <c r="BI569" s="10"/>
      <c r="BJ569" s="43"/>
      <c r="BL569" s="42"/>
      <c r="BM569" s="34" t="s">
        <v>155</v>
      </c>
      <c r="BN569" s="10" t="s">
        <v>29</v>
      </c>
      <c r="BO569" s="10">
        <v>6</v>
      </c>
      <c r="BP569" s="10" t="s">
        <v>152</v>
      </c>
      <c r="BQ569">
        <v>66</v>
      </c>
      <c r="BR569" s="10"/>
      <c r="BS569" s="43"/>
      <c r="BU569" s="42"/>
      <c r="BV569" s="34" t="s">
        <v>155</v>
      </c>
      <c r="BW569" s="10" t="s">
        <v>29</v>
      </c>
      <c r="BX569" s="10">
        <v>6</v>
      </c>
      <c r="BY569" s="10" t="s">
        <v>152</v>
      </c>
      <c r="BZ569">
        <v>66</v>
      </c>
      <c r="CA569" s="10"/>
      <c r="CB569" s="43"/>
      <c r="CD569" s="42"/>
      <c r="CE569" s="34" t="s">
        <v>155</v>
      </c>
      <c r="CF569" s="10" t="s">
        <v>29</v>
      </c>
      <c r="CG569" s="10">
        <v>6</v>
      </c>
      <c r="CH569" s="10" t="s">
        <v>152</v>
      </c>
      <c r="CI569">
        <v>66</v>
      </c>
      <c r="CJ569" s="10"/>
      <c r="CK569" s="43"/>
    </row>
    <row r="570" spans="1:89" x14ac:dyDescent="0.25">
      <c r="A570" s="42"/>
      <c r="B570" s="34" t="s">
        <v>155</v>
      </c>
      <c r="C570" s="10" t="s">
        <v>29</v>
      </c>
      <c r="D570" s="10">
        <v>7</v>
      </c>
      <c r="E570" s="10" t="s">
        <v>152</v>
      </c>
      <c r="F570">
        <v>67</v>
      </c>
      <c r="G570" s="10">
        <v>2042</v>
      </c>
      <c r="H570" t="s">
        <v>181</v>
      </c>
      <c r="J570" s="42"/>
      <c r="K570" s="34" t="s">
        <v>155</v>
      </c>
      <c r="L570" s="10" t="s">
        <v>29</v>
      </c>
      <c r="M570" s="10">
        <v>7</v>
      </c>
      <c r="N570" s="10" t="s">
        <v>152</v>
      </c>
      <c r="O570">
        <v>67</v>
      </c>
      <c r="P570" s="10" t="s">
        <v>102</v>
      </c>
      <c r="Q570" s="43" t="s">
        <v>160</v>
      </c>
      <c r="S570" s="42"/>
      <c r="T570" s="34" t="s">
        <v>155</v>
      </c>
      <c r="U570" s="10" t="s">
        <v>29</v>
      </c>
      <c r="V570" s="10">
        <v>7</v>
      </c>
      <c r="W570" s="10" t="s">
        <v>152</v>
      </c>
      <c r="X570">
        <v>67</v>
      </c>
      <c r="Y570" s="10">
        <v>2048</v>
      </c>
      <c r="Z570" t="s">
        <v>163</v>
      </c>
      <c r="AB570" s="42"/>
      <c r="AC570" s="34" t="s">
        <v>155</v>
      </c>
      <c r="AD570" s="10" t="s">
        <v>29</v>
      </c>
      <c r="AE570" s="10">
        <v>7</v>
      </c>
      <c r="AF570" s="10" t="s">
        <v>152</v>
      </c>
      <c r="AG570">
        <v>67</v>
      </c>
      <c r="AH570" s="10">
        <v>2045</v>
      </c>
      <c r="AI570" s="43" t="s">
        <v>160</v>
      </c>
      <c r="AK570" s="42"/>
      <c r="AL570" s="34" t="s">
        <v>155</v>
      </c>
      <c r="AM570" s="10" t="s">
        <v>29</v>
      </c>
      <c r="AN570" s="10">
        <v>7</v>
      </c>
      <c r="AO570" s="10" t="s">
        <v>152</v>
      </c>
      <c r="AP570">
        <v>67</v>
      </c>
      <c r="AQ570" s="10" t="s">
        <v>103</v>
      </c>
      <c r="AR570" t="s">
        <v>163</v>
      </c>
      <c r="AT570" s="42"/>
      <c r="AU570" s="34" t="s">
        <v>155</v>
      </c>
      <c r="AV570" s="10" t="s">
        <v>29</v>
      </c>
      <c r="AW570" s="10">
        <v>7</v>
      </c>
      <c r="AX570" s="10" t="s">
        <v>152</v>
      </c>
      <c r="AY570">
        <v>67</v>
      </c>
      <c r="AZ570" s="10"/>
      <c r="BA570" s="43"/>
      <c r="BC570" s="42"/>
      <c r="BD570" s="34" t="s">
        <v>155</v>
      </c>
      <c r="BE570" s="10" t="s">
        <v>29</v>
      </c>
      <c r="BF570" s="10">
        <v>7</v>
      </c>
      <c r="BG570" s="10" t="s">
        <v>152</v>
      </c>
      <c r="BH570">
        <v>67</v>
      </c>
      <c r="BI570" s="10"/>
      <c r="BJ570" s="43"/>
      <c r="BL570" s="42"/>
      <c r="BM570" s="34" t="s">
        <v>155</v>
      </c>
      <c r="BN570" s="10" t="s">
        <v>29</v>
      </c>
      <c r="BO570" s="10">
        <v>7</v>
      </c>
      <c r="BP570" s="10" t="s">
        <v>152</v>
      </c>
      <c r="BQ570">
        <v>67</v>
      </c>
      <c r="BR570" s="10"/>
      <c r="BS570" s="43"/>
      <c r="BU570" s="42"/>
      <c r="BV570" s="34" t="s">
        <v>155</v>
      </c>
      <c r="BW570" s="10" t="s">
        <v>29</v>
      </c>
      <c r="BX570" s="10">
        <v>7</v>
      </c>
      <c r="BY570" s="10" t="s">
        <v>152</v>
      </c>
      <c r="BZ570">
        <v>67</v>
      </c>
      <c r="CA570" s="10"/>
      <c r="CB570" s="43"/>
      <c r="CD570" s="42"/>
      <c r="CE570" s="34" t="s">
        <v>155</v>
      </c>
      <c r="CF570" s="10" t="s">
        <v>29</v>
      </c>
      <c r="CG570" s="10">
        <v>7</v>
      </c>
      <c r="CH570" s="10" t="s">
        <v>152</v>
      </c>
      <c r="CI570">
        <v>67</v>
      </c>
      <c r="CJ570" s="10"/>
      <c r="CK570" s="43"/>
    </row>
    <row r="571" spans="1:89" x14ac:dyDescent="0.25">
      <c r="A571" s="42"/>
      <c r="B571" s="34" t="s">
        <v>155</v>
      </c>
      <c r="C571" s="10" t="s">
        <v>29</v>
      </c>
      <c r="D571" s="10">
        <v>8</v>
      </c>
      <c r="E571" s="10" t="s">
        <v>152</v>
      </c>
      <c r="F571">
        <v>68</v>
      </c>
      <c r="G571" s="10">
        <v>2042</v>
      </c>
      <c r="H571" t="s">
        <v>183</v>
      </c>
      <c r="J571" s="42"/>
      <c r="K571" s="34" t="s">
        <v>155</v>
      </c>
      <c r="L571" s="10" t="s">
        <v>29</v>
      </c>
      <c r="M571" s="10">
        <v>8</v>
      </c>
      <c r="N571" s="10" t="s">
        <v>152</v>
      </c>
      <c r="O571">
        <v>68</v>
      </c>
      <c r="P571" s="10" t="s">
        <v>102</v>
      </c>
      <c r="Q571" s="51" t="s">
        <v>168</v>
      </c>
      <c r="S571" s="42"/>
      <c r="T571" s="34" t="s">
        <v>155</v>
      </c>
      <c r="U571" s="10" t="s">
        <v>29</v>
      </c>
      <c r="V571" s="10">
        <v>8</v>
      </c>
      <c r="W571" s="10" t="s">
        <v>152</v>
      </c>
      <c r="X571">
        <v>68</v>
      </c>
      <c r="Y571" s="10">
        <v>2048</v>
      </c>
      <c r="Z571" t="s">
        <v>171</v>
      </c>
      <c r="AB571" s="42"/>
      <c r="AC571" s="34" t="s">
        <v>155</v>
      </c>
      <c r="AD571" s="10" t="s">
        <v>29</v>
      </c>
      <c r="AE571" s="10">
        <v>8</v>
      </c>
      <c r="AF571" s="10" t="s">
        <v>152</v>
      </c>
      <c r="AG571">
        <v>68</v>
      </c>
      <c r="AH571" s="10">
        <v>2045</v>
      </c>
      <c r="AI571" s="51" t="s">
        <v>168</v>
      </c>
      <c r="AK571" s="42"/>
      <c r="AL571" s="34" t="s">
        <v>155</v>
      </c>
      <c r="AM571" s="10" t="s">
        <v>29</v>
      </c>
      <c r="AN571" s="10">
        <v>8</v>
      </c>
      <c r="AO571" s="10" t="s">
        <v>152</v>
      </c>
      <c r="AP571">
        <v>68</v>
      </c>
      <c r="AQ571" s="10" t="s">
        <v>103</v>
      </c>
      <c r="AR571" t="s">
        <v>171</v>
      </c>
      <c r="AT571" s="42"/>
      <c r="AU571" s="34" t="s">
        <v>155</v>
      </c>
      <c r="AV571" s="10" t="s">
        <v>29</v>
      </c>
      <c r="AW571" s="10">
        <v>8</v>
      </c>
      <c r="AX571" s="10" t="s">
        <v>152</v>
      </c>
      <c r="AY571">
        <v>68</v>
      </c>
      <c r="AZ571" s="10"/>
      <c r="BA571" s="43"/>
      <c r="BC571" s="42"/>
      <c r="BD571" s="34" t="s">
        <v>155</v>
      </c>
      <c r="BE571" s="10" t="s">
        <v>29</v>
      </c>
      <c r="BF571" s="10">
        <v>8</v>
      </c>
      <c r="BG571" s="10" t="s">
        <v>152</v>
      </c>
      <c r="BH571">
        <v>68</v>
      </c>
      <c r="BI571" s="10"/>
      <c r="BJ571" s="43"/>
      <c r="BL571" s="42"/>
      <c r="BM571" s="34" t="s">
        <v>155</v>
      </c>
      <c r="BN571" s="10" t="s">
        <v>29</v>
      </c>
      <c r="BO571" s="10">
        <v>8</v>
      </c>
      <c r="BP571" s="10" t="s">
        <v>152</v>
      </c>
      <c r="BQ571">
        <v>68</v>
      </c>
      <c r="BR571" s="10"/>
      <c r="BS571" s="43"/>
      <c r="BU571" s="42"/>
      <c r="BV571" s="34" t="s">
        <v>155</v>
      </c>
      <c r="BW571" s="10" t="s">
        <v>29</v>
      </c>
      <c r="BX571" s="10">
        <v>8</v>
      </c>
      <c r="BY571" s="10" t="s">
        <v>152</v>
      </c>
      <c r="BZ571">
        <v>68</v>
      </c>
      <c r="CA571" s="10"/>
      <c r="CB571" s="43"/>
      <c r="CD571" s="42"/>
      <c r="CE571" s="34" t="s">
        <v>155</v>
      </c>
      <c r="CF571" s="10" t="s">
        <v>29</v>
      </c>
      <c r="CG571" s="10">
        <v>8</v>
      </c>
      <c r="CH571" s="10" t="s">
        <v>152</v>
      </c>
      <c r="CI571">
        <v>68</v>
      </c>
      <c r="CJ571" s="10"/>
      <c r="CK571" s="43"/>
    </row>
    <row r="572" spans="1:89" x14ac:dyDescent="0.25">
      <c r="A572" s="42"/>
      <c r="B572" s="34" t="s">
        <v>155</v>
      </c>
      <c r="C572" s="10" t="s">
        <v>29</v>
      </c>
      <c r="D572" s="10">
        <v>9</v>
      </c>
      <c r="E572" s="10" t="s">
        <v>152</v>
      </c>
      <c r="F572">
        <v>69</v>
      </c>
      <c r="G572" s="10">
        <v>2042</v>
      </c>
      <c r="H572" t="s">
        <v>186</v>
      </c>
      <c r="J572" s="42"/>
      <c r="K572" s="34" t="s">
        <v>155</v>
      </c>
      <c r="L572" s="10" t="s">
        <v>29</v>
      </c>
      <c r="M572" s="10">
        <v>9</v>
      </c>
      <c r="N572" s="10" t="s">
        <v>152</v>
      </c>
      <c r="O572">
        <v>69</v>
      </c>
      <c r="P572" s="10" t="s">
        <v>102</v>
      </c>
      <c r="Q572" s="43" t="s">
        <v>176</v>
      </c>
      <c r="S572" s="42"/>
      <c r="T572" s="34" t="s">
        <v>155</v>
      </c>
      <c r="U572" s="10" t="s">
        <v>29</v>
      </c>
      <c r="V572" s="10">
        <v>9</v>
      </c>
      <c r="W572" s="10" t="s">
        <v>152</v>
      </c>
      <c r="X572">
        <v>69</v>
      </c>
      <c r="Y572" s="10">
        <v>2048</v>
      </c>
      <c r="Z572" t="s">
        <v>161</v>
      </c>
      <c r="AB572" s="42"/>
      <c r="AC572" s="34" t="s">
        <v>155</v>
      </c>
      <c r="AD572" s="10" t="s">
        <v>29</v>
      </c>
      <c r="AE572" s="10">
        <v>9</v>
      </c>
      <c r="AF572" s="10" t="s">
        <v>152</v>
      </c>
      <c r="AG572">
        <v>69</v>
      </c>
      <c r="AH572" s="10">
        <v>2045</v>
      </c>
      <c r="AI572" s="43" t="s">
        <v>176</v>
      </c>
      <c r="AK572" s="42"/>
      <c r="AL572" s="34" t="s">
        <v>155</v>
      </c>
      <c r="AM572" s="10" t="s">
        <v>29</v>
      </c>
      <c r="AN572" s="10">
        <v>9</v>
      </c>
      <c r="AO572" s="10" t="s">
        <v>152</v>
      </c>
      <c r="AP572">
        <v>69</v>
      </c>
      <c r="AQ572" s="10" t="s">
        <v>103</v>
      </c>
      <c r="AR572" t="s">
        <v>161</v>
      </c>
      <c r="AT572" s="42"/>
      <c r="AU572" s="34" t="s">
        <v>155</v>
      </c>
      <c r="AV572" s="10" t="s">
        <v>29</v>
      </c>
      <c r="AW572" s="10">
        <v>9</v>
      </c>
      <c r="AX572" s="10" t="s">
        <v>152</v>
      </c>
      <c r="AY572">
        <v>69</v>
      </c>
      <c r="AZ572" s="10"/>
      <c r="BA572" s="43"/>
      <c r="BC572" s="42"/>
      <c r="BD572" s="34" t="s">
        <v>155</v>
      </c>
      <c r="BE572" s="10" t="s">
        <v>29</v>
      </c>
      <c r="BF572" s="10">
        <v>9</v>
      </c>
      <c r="BG572" s="10" t="s">
        <v>152</v>
      </c>
      <c r="BH572">
        <v>69</v>
      </c>
      <c r="BI572" s="10"/>
      <c r="BJ572" s="43"/>
      <c r="BL572" s="42"/>
      <c r="BM572" s="34" t="s">
        <v>155</v>
      </c>
      <c r="BN572" s="10" t="s">
        <v>29</v>
      </c>
      <c r="BO572" s="10">
        <v>9</v>
      </c>
      <c r="BP572" s="10" t="s">
        <v>152</v>
      </c>
      <c r="BQ572">
        <v>69</v>
      </c>
      <c r="BR572" s="10"/>
      <c r="BS572" s="43"/>
      <c r="BU572" s="42"/>
      <c r="BV572" s="34" t="s">
        <v>155</v>
      </c>
      <c r="BW572" s="10" t="s">
        <v>29</v>
      </c>
      <c r="BX572" s="10">
        <v>9</v>
      </c>
      <c r="BY572" s="10" t="s">
        <v>152</v>
      </c>
      <c r="BZ572">
        <v>69</v>
      </c>
      <c r="CA572" s="10"/>
      <c r="CB572" s="43"/>
      <c r="CD572" s="42"/>
      <c r="CE572" s="34" t="s">
        <v>155</v>
      </c>
      <c r="CF572" s="10" t="s">
        <v>29</v>
      </c>
      <c r="CG572" s="10">
        <v>9</v>
      </c>
      <c r="CH572" s="10" t="s">
        <v>152</v>
      </c>
      <c r="CI572">
        <v>69</v>
      </c>
      <c r="CJ572" s="10"/>
      <c r="CK572" s="43"/>
    </row>
    <row r="573" spans="1:89" x14ac:dyDescent="0.25">
      <c r="A573" s="42"/>
      <c r="B573" s="34" t="s">
        <v>155</v>
      </c>
      <c r="C573" s="10" t="s">
        <v>29</v>
      </c>
      <c r="D573" s="10">
        <v>10</v>
      </c>
      <c r="E573" s="10" t="s">
        <v>152</v>
      </c>
      <c r="F573">
        <v>70</v>
      </c>
      <c r="G573" s="10">
        <v>2042</v>
      </c>
      <c r="H573" s="43" t="s">
        <v>188</v>
      </c>
      <c r="J573" s="42"/>
      <c r="K573" s="34" t="s">
        <v>155</v>
      </c>
      <c r="L573" s="10" t="s">
        <v>29</v>
      </c>
      <c r="M573" s="10">
        <v>10</v>
      </c>
      <c r="N573" s="10" t="s">
        <v>152</v>
      </c>
      <c r="O573">
        <v>70</v>
      </c>
      <c r="P573" s="10" t="s">
        <v>102</v>
      </c>
      <c r="Q573" s="43" t="s">
        <v>164</v>
      </c>
      <c r="S573" s="42"/>
      <c r="T573" s="34" t="s">
        <v>155</v>
      </c>
      <c r="U573" s="10" t="s">
        <v>29</v>
      </c>
      <c r="V573" s="10">
        <v>10</v>
      </c>
      <c r="W573" s="10" t="s">
        <v>152</v>
      </c>
      <c r="X573">
        <v>70</v>
      </c>
      <c r="Y573" s="10">
        <v>2048</v>
      </c>
      <c r="Z573" t="s">
        <v>169</v>
      </c>
      <c r="AB573" s="42"/>
      <c r="AC573" s="34" t="s">
        <v>155</v>
      </c>
      <c r="AD573" s="10" t="s">
        <v>29</v>
      </c>
      <c r="AE573" s="10">
        <v>10</v>
      </c>
      <c r="AF573" s="10" t="s">
        <v>152</v>
      </c>
      <c r="AG573">
        <v>70</v>
      </c>
      <c r="AH573" s="10">
        <v>2045</v>
      </c>
      <c r="AI573" s="43" t="s">
        <v>164</v>
      </c>
      <c r="AK573" s="42"/>
      <c r="AL573" s="34" t="s">
        <v>155</v>
      </c>
      <c r="AM573" s="10" t="s">
        <v>29</v>
      </c>
      <c r="AN573" s="10">
        <v>10</v>
      </c>
      <c r="AO573" s="10" t="s">
        <v>152</v>
      </c>
      <c r="AP573">
        <v>70</v>
      </c>
      <c r="AQ573" s="10" t="s">
        <v>103</v>
      </c>
      <c r="AR573" t="s">
        <v>169</v>
      </c>
      <c r="AT573" s="42"/>
      <c r="AU573" s="34" t="s">
        <v>155</v>
      </c>
      <c r="AV573" s="10" t="s">
        <v>29</v>
      </c>
      <c r="AW573" s="10">
        <v>10</v>
      </c>
      <c r="AX573" s="10" t="s">
        <v>152</v>
      </c>
      <c r="AY573">
        <v>70</v>
      </c>
      <c r="AZ573" s="10"/>
      <c r="BA573" s="43"/>
      <c r="BC573" s="42"/>
      <c r="BD573" s="34" t="s">
        <v>155</v>
      </c>
      <c r="BE573" s="10" t="s">
        <v>29</v>
      </c>
      <c r="BF573" s="10">
        <v>10</v>
      </c>
      <c r="BG573" s="10" t="s">
        <v>152</v>
      </c>
      <c r="BH573">
        <v>70</v>
      </c>
      <c r="BI573" s="10"/>
      <c r="BJ573" s="43"/>
      <c r="BL573" s="42"/>
      <c r="BM573" s="34" t="s">
        <v>155</v>
      </c>
      <c r="BN573" s="10" t="s">
        <v>29</v>
      </c>
      <c r="BO573" s="10">
        <v>10</v>
      </c>
      <c r="BP573" s="10" t="s">
        <v>152</v>
      </c>
      <c r="BQ573">
        <v>70</v>
      </c>
      <c r="BR573" s="10"/>
      <c r="BS573" s="43"/>
      <c r="BU573" s="42"/>
      <c r="BV573" s="34" t="s">
        <v>155</v>
      </c>
      <c r="BW573" s="10" t="s">
        <v>29</v>
      </c>
      <c r="BX573" s="10">
        <v>10</v>
      </c>
      <c r="BY573" s="10" t="s">
        <v>152</v>
      </c>
      <c r="BZ573">
        <v>70</v>
      </c>
      <c r="CA573" s="10"/>
      <c r="CB573" s="43"/>
      <c r="CD573" s="42"/>
      <c r="CE573" s="34" t="s">
        <v>155</v>
      </c>
      <c r="CF573" s="10" t="s">
        <v>29</v>
      </c>
      <c r="CG573" s="10">
        <v>10</v>
      </c>
      <c r="CH573" s="10" t="s">
        <v>152</v>
      </c>
      <c r="CI573">
        <v>70</v>
      </c>
      <c r="CJ573" s="10"/>
      <c r="CK573" s="43"/>
    </row>
    <row r="574" spans="1:89" x14ac:dyDescent="0.25">
      <c r="A574" s="42"/>
      <c r="B574" s="34" t="s">
        <v>155</v>
      </c>
      <c r="C574" s="10" t="s">
        <v>29</v>
      </c>
      <c r="D574" s="10">
        <v>11</v>
      </c>
      <c r="E574" s="10" t="s">
        <v>152</v>
      </c>
      <c r="F574">
        <v>71</v>
      </c>
      <c r="G574" s="10">
        <v>2042</v>
      </c>
      <c r="H574" s="43" t="s">
        <v>182</v>
      </c>
      <c r="J574" s="42"/>
      <c r="K574" s="34" t="s">
        <v>155</v>
      </c>
      <c r="L574" s="10" t="s">
        <v>29</v>
      </c>
      <c r="M574" s="10">
        <v>11</v>
      </c>
      <c r="N574" s="10" t="s">
        <v>152</v>
      </c>
      <c r="O574">
        <v>71</v>
      </c>
      <c r="P574" s="10" t="s">
        <v>102</v>
      </c>
      <c r="Q574" t="s">
        <v>172</v>
      </c>
      <c r="S574" s="42"/>
      <c r="T574" s="34" t="s">
        <v>155</v>
      </c>
      <c r="U574" s="10" t="s">
        <v>29</v>
      </c>
      <c r="V574" s="10">
        <v>11</v>
      </c>
      <c r="W574" s="10" t="s">
        <v>152</v>
      </c>
      <c r="X574">
        <v>71</v>
      </c>
      <c r="Y574" s="10">
        <v>2048</v>
      </c>
      <c r="Z574" t="s">
        <v>177</v>
      </c>
      <c r="AB574" s="42"/>
      <c r="AC574" s="34" t="s">
        <v>155</v>
      </c>
      <c r="AD574" s="10" t="s">
        <v>29</v>
      </c>
      <c r="AE574" s="10">
        <v>11</v>
      </c>
      <c r="AF574" s="10" t="s">
        <v>152</v>
      </c>
      <c r="AG574">
        <v>71</v>
      </c>
      <c r="AH574" s="10">
        <v>2045</v>
      </c>
      <c r="AI574" t="s">
        <v>172</v>
      </c>
      <c r="AK574" s="42"/>
      <c r="AL574" s="34" t="s">
        <v>155</v>
      </c>
      <c r="AM574" s="10" t="s">
        <v>29</v>
      </c>
      <c r="AN574" s="10">
        <v>11</v>
      </c>
      <c r="AO574" s="10" t="s">
        <v>152</v>
      </c>
      <c r="AP574">
        <v>71</v>
      </c>
      <c r="AQ574" s="10" t="s">
        <v>103</v>
      </c>
      <c r="AR574" t="s">
        <v>177</v>
      </c>
      <c r="AT574" s="42"/>
      <c r="AU574" s="34" t="s">
        <v>155</v>
      </c>
      <c r="AV574" s="10" t="s">
        <v>29</v>
      </c>
      <c r="AW574" s="10">
        <v>11</v>
      </c>
      <c r="AX574" s="10" t="s">
        <v>152</v>
      </c>
      <c r="AY574">
        <v>71</v>
      </c>
      <c r="AZ574" s="10"/>
      <c r="BA574" s="43"/>
      <c r="BC574" s="42"/>
      <c r="BD574" s="34" t="s">
        <v>155</v>
      </c>
      <c r="BE574" s="10" t="s">
        <v>29</v>
      </c>
      <c r="BF574" s="10">
        <v>11</v>
      </c>
      <c r="BG574" s="10" t="s">
        <v>152</v>
      </c>
      <c r="BH574">
        <v>71</v>
      </c>
      <c r="BI574" s="10"/>
      <c r="BJ574" s="43"/>
      <c r="BL574" s="42"/>
      <c r="BM574" s="34" t="s">
        <v>155</v>
      </c>
      <c r="BN574" s="10" t="s">
        <v>29</v>
      </c>
      <c r="BO574" s="10">
        <v>11</v>
      </c>
      <c r="BP574" s="10" t="s">
        <v>152</v>
      </c>
      <c r="BQ574">
        <v>71</v>
      </c>
      <c r="BR574" s="10"/>
      <c r="BS574" s="43"/>
      <c r="BU574" s="42"/>
      <c r="BV574" s="34" t="s">
        <v>155</v>
      </c>
      <c r="BW574" s="10" t="s">
        <v>29</v>
      </c>
      <c r="BX574" s="10">
        <v>11</v>
      </c>
      <c r="BY574" s="10" t="s">
        <v>152</v>
      </c>
      <c r="BZ574">
        <v>71</v>
      </c>
      <c r="CA574" s="10"/>
      <c r="CB574" s="43"/>
      <c r="CD574" s="42"/>
      <c r="CE574" s="34" t="s">
        <v>155</v>
      </c>
      <c r="CF574" s="10" t="s">
        <v>29</v>
      </c>
      <c r="CG574" s="10">
        <v>11</v>
      </c>
      <c r="CH574" s="10" t="s">
        <v>152</v>
      </c>
      <c r="CI574">
        <v>71</v>
      </c>
      <c r="CJ574" s="10"/>
      <c r="CK574" s="43"/>
    </row>
    <row r="575" spans="1:89" ht="15.75" thickBot="1" x14ac:dyDescent="0.3">
      <c r="A575" s="47"/>
      <c r="B575" s="48" t="s">
        <v>155</v>
      </c>
      <c r="C575" s="49" t="s">
        <v>29</v>
      </c>
      <c r="D575" s="49">
        <v>12</v>
      </c>
      <c r="E575" s="49" t="s">
        <v>152</v>
      </c>
      <c r="F575" s="50">
        <v>72</v>
      </c>
      <c r="G575" s="10">
        <v>2042</v>
      </c>
      <c r="H575" s="43" t="s">
        <v>184</v>
      </c>
      <c r="J575" s="47"/>
      <c r="K575" s="48" t="s">
        <v>155</v>
      </c>
      <c r="L575" s="49" t="s">
        <v>29</v>
      </c>
      <c r="M575" s="49">
        <v>12</v>
      </c>
      <c r="N575" s="49" t="s">
        <v>152</v>
      </c>
      <c r="O575" s="50">
        <v>72</v>
      </c>
      <c r="P575" s="10" t="s">
        <v>102</v>
      </c>
      <c r="Q575" t="s">
        <v>162</v>
      </c>
      <c r="S575" s="47"/>
      <c r="T575" s="48" t="s">
        <v>155</v>
      </c>
      <c r="U575" s="49" t="s">
        <v>29</v>
      </c>
      <c r="V575" s="49">
        <v>12</v>
      </c>
      <c r="W575" s="49" t="s">
        <v>152</v>
      </c>
      <c r="X575" s="50">
        <v>72</v>
      </c>
      <c r="Y575" s="10">
        <v>2048</v>
      </c>
      <c r="Z575" t="s">
        <v>180</v>
      </c>
      <c r="AB575" s="47"/>
      <c r="AC575" s="48" t="s">
        <v>155</v>
      </c>
      <c r="AD575" s="49" t="s">
        <v>29</v>
      </c>
      <c r="AE575" s="49">
        <v>12</v>
      </c>
      <c r="AF575" s="49" t="s">
        <v>152</v>
      </c>
      <c r="AG575" s="50">
        <v>72</v>
      </c>
      <c r="AH575" s="10">
        <v>2045</v>
      </c>
      <c r="AI575" t="s">
        <v>162</v>
      </c>
      <c r="AK575" s="47"/>
      <c r="AL575" s="48" t="s">
        <v>155</v>
      </c>
      <c r="AM575" s="49" t="s">
        <v>29</v>
      </c>
      <c r="AN575" s="49">
        <v>12</v>
      </c>
      <c r="AO575" s="49" t="s">
        <v>152</v>
      </c>
      <c r="AP575" s="50">
        <v>72</v>
      </c>
      <c r="AQ575" s="10" t="s">
        <v>103</v>
      </c>
      <c r="AR575" t="s">
        <v>180</v>
      </c>
      <c r="AT575" s="47"/>
      <c r="AU575" s="48" t="s">
        <v>155</v>
      </c>
      <c r="AV575" s="49" t="s">
        <v>29</v>
      </c>
      <c r="AW575" s="49">
        <v>12</v>
      </c>
      <c r="AX575" s="49" t="s">
        <v>152</v>
      </c>
      <c r="AY575" s="50">
        <v>72</v>
      </c>
      <c r="AZ575" s="10"/>
      <c r="BA575" s="43"/>
      <c r="BC575" s="47"/>
      <c r="BD575" s="48" t="s">
        <v>155</v>
      </c>
      <c r="BE575" s="49" t="s">
        <v>29</v>
      </c>
      <c r="BF575" s="49">
        <v>12</v>
      </c>
      <c r="BG575" s="49" t="s">
        <v>152</v>
      </c>
      <c r="BH575" s="50">
        <v>72</v>
      </c>
      <c r="BI575" s="10"/>
      <c r="BJ575" s="43"/>
      <c r="BL575" s="47"/>
      <c r="BM575" s="48" t="s">
        <v>155</v>
      </c>
      <c r="BN575" s="49" t="s">
        <v>29</v>
      </c>
      <c r="BO575" s="49">
        <v>12</v>
      </c>
      <c r="BP575" s="49" t="s">
        <v>152</v>
      </c>
      <c r="BQ575" s="50">
        <v>72</v>
      </c>
      <c r="BR575" s="10"/>
      <c r="BS575" s="43"/>
      <c r="BU575" s="47"/>
      <c r="BV575" s="48" t="s">
        <v>155</v>
      </c>
      <c r="BW575" s="49" t="s">
        <v>29</v>
      </c>
      <c r="BX575" s="49">
        <v>12</v>
      </c>
      <c r="BY575" s="49" t="s">
        <v>152</v>
      </c>
      <c r="BZ575" s="50">
        <v>72</v>
      </c>
      <c r="CA575" s="10"/>
      <c r="CB575" s="43"/>
      <c r="CD575" s="47"/>
      <c r="CE575" s="48" t="s">
        <v>155</v>
      </c>
      <c r="CF575" s="49" t="s">
        <v>29</v>
      </c>
      <c r="CG575" s="49">
        <v>12</v>
      </c>
      <c r="CH575" s="49" t="s">
        <v>152</v>
      </c>
      <c r="CI575" s="50">
        <v>72</v>
      </c>
      <c r="CJ575" s="10"/>
      <c r="CK575" s="43"/>
    </row>
    <row r="576" spans="1:89" x14ac:dyDescent="0.25">
      <c r="A576" s="56"/>
      <c r="B576" s="34" t="s">
        <v>155</v>
      </c>
      <c r="C576" s="58" t="s">
        <v>34</v>
      </c>
      <c r="D576" s="58">
        <v>1</v>
      </c>
      <c r="E576" s="58" t="s">
        <v>152</v>
      </c>
      <c r="F576" s="59">
        <v>73</v>
      </c>
      <c r="G576" s="10">
        <v>2042</v>
      </c>
      <c r="H576" s="43" t="s">
        <v>187</v>
      </c>
      <c r="J576" s="56"/>
      <c r="K576" s="34" t="s">
        <v>155</v>
      </c>
      <c r="L576" s="58" t="s">
        <v>34</v>
      </c>
      <c r="M576" s="58">
        <v>1</v>
      </c>
      <c r="N576" s="58" t="s">
        <v>152</v>
      </c>
      <c r="O576" s="59">
        <v>73</v>
      </c>
      <c r="P576" s="10" t="s">
        <v>102</v>
      </c>
      <c r="Q576" t="s">
        <v>170</v>
      </c>
      <c r="S576" s="56"/>
      <c r="T576" s="34" t="s">
        <v>155</v>
      </c>
      <c r="U576" s="58" t="s">
        <v>34</v>
      </c>
      <c r="V576" s="58">
        <v>1</v>
      </c>
      <c r="W576" s="58" t="s">
        <v>152</v>
      </c>
      <c r="X576" s="59">
        <v>73</v>
      </c>
      <c r="Y576" s="10">
        <v>2048</v>
      </c>
      <c r="Z576" t="s">
        <v>181</v>
      </c>
      <c r="AB576" s="56"/>
      <c r="AC576" s="34" t="s">
        <v>155</v>
      </c>
      <c r="AD576" s="58" t="s">
        <v>34</v>
      </c>
      <c r="AE576" s="58">
        <v>1</v>
      </c>
      <c r="AF576" s="58" t="s">
        <v>152</v>
      </c>
      <c r="AG576" s="59">
        <v>73</v>
      </c>
      <c r="AH576" s="10">
        <v>2045</v>
      </c>
      <c r="AI576" t="s">
        <v>170</v>
      </c>
      <c r="AK576" s="56"/>
      <c r="AL576" s="34" t="s">
        <v>155</v>
      </c>
      <c r="AM576" s="58" t="s">
        <v>34</v>
      </c>
      <c r="AN576" s="58">
        <v>1</v>
      </c>
      <c r="AO576" s="58" t="s">
        <v>152</v>
      </c>
      <c r="AP576" s="59">
        <v>73</v>
      </c>
      <c r="AQ576" s="10" t="s">
        <v>103</v>
      </c>
      <c r="AR576" s="43" t="s">
        <v>182</v>
      </c>
      <c r="AT576" s="56"/>
      <c r="AU576" s="34" t="s">
        <v>155</v>
      </c>
      <c r="AV576" s="58" t="s">
        <v>34</v>
      </c>
      <c r="AW576" s="58">
        <v>1</v>
      </c>
      <c r="AX576" s="58" t="s">
        <v>152</v>
      </c>
      <c r="AY576" s="59">
        <v>73</v>
      </c>
      <c r="AZ576" s="10"/>
      <c r="BA576" s="33"/>
      <c r="BC576" s="56"/>
      <c r="BD576" s="34" t="s">
        <v>155</v>
      </c>
      <c r="BE576" s="58" t="s">
        <v>34</v>
      </c>
      <c r="BF576" s="58">
        <v>1</v>
      </c>
      <c r="BG576" s="58" t="s">
        <v>152</v>
      </c>
      <c r="BH576" s="59">
        <v>73</v>
      </c>
      <c r="BI576" s="10"/>
      <c r="BJ576" s="33"/>
      <c r="BL576" s="56"/>
      <c r="BM576" s="34" t="s">
        <v>155</v>
      </c>
      <c r="BN576" s="58" t="s">
        <v>34</v>
      </c>
      <c r="BO576" s="58">
        <v>1</v>
      </c>
      <c r="BP576" s="58" t="s">
        <v>152</v>
      </c>
      <c r="BQ576" s="59">
        <v>73</v>
      </c>
      <c r="BR576" s="10"/>
      <c r="BS576" s="33"/>
      <c r="BU576" s="56"/>
      <c r="BV576" s="34" t="s">
        <v>155</v>
      </c>
      <c r="BW576" s="58" t="s">
        <v>34</v>
      </c>
      <c r="BX576" s="58">
        <v>1</v>
      </c>
      <c r="BY576" s="58" t="s">
        <v>152</v>
      </c>
      <c r="BZ576" s="59">
        <v>73</v>
      </c>
      <c r="CA576" s="10"/>
      <c r="CB576" s="33"/>
      <c r="CD576" s="56"/>
      <c r="CE576" s="34" t="s">
        <v>155</v>
      </c>
      <c r="CF576" s="58" t="s">
        <v>34</v>
      </c>
      <c r="CG576" s="58">
        <v>1</v>
      </c>
      <c r="CH576" s="58" t="s">
        <v>152</v>
      </c>
      <c r="CI576" s="59">
        <v>73</v>
      </c>
      <c r="CJ576" s="10"/>
      <c r="CK576" s="33"/>
    </row>
    <row r="577" spans="1:89" x14ac:dyDescent="0.25">
      <c r="A577" s="42"/>
      <c r="B577" s="34" t="s">
        <v>155</v>
      </c>
      <c r="C577" s="10" t="s">
        <v>34</v>
      </c>
      <c r="D577" s="10">
        <v>2</v>
      </c>
      <c r="E577" s="10" t="s">
        <v>152</v>
      </c>
      <c r="F577">
        <v>74</v>
      </c>
      <c r="G577" s="10">
        <v>2042</v>
      </c>
      <c r="H577" s="43" t="s">
        <v>189</v>
      </c>
      <c r="J577" s="42"/>
      <c r="K577" s="34" t="s">
        <v>155</v>
      </c>
      <c r="L577" s="10" t="s">
        <v>34</v>
      </c>
      <c r="M577" s="10">
        <v>2</v>
      </c>
      <c r="N577" s="10" t="s">
        <v>152</v>
      </c>
      <c r="O577">
        <v>74</v>
      </c>
      <c r="P577" s="10" t="s">
        <v>102</v>
      </c>
      <c r="Q577" t="s">
        <v>178</v>
      </c>
      <c r="S577" s="42"/>
      <c r="T577" s="34" t="s">
        <v>155</v>
      </c>
      <c r="U577" s="10" t="s">
        <v>34</v>
      </c>
      <c r="V577" s="10">
        <v>2</v>
      </c>
      <c r="W577" s="10" t="s">
        <v>152</v>
      </c>
      <c r="X577">
        <v>74</v>
      </c>
      <c r="Y577" s="10">
        <v>2048</v>
      </c>
      <c r="Z577" t="s">
        <v>183</v>
      </c>
      <c r="AB577" s="42"/>
      <c r="AC577" s="34" t="s">
        <v>155</v>
      </c>
      <c r="AD577" s="10" t="s">
        <v>34</v>
      </c>
      <c r="AE577" s="10">
        <v>2</v>
      </c>
      <c r="AF577" s="10" t="s">
        <v>152</v>
      </c>
      <c r="AG577">
        <v>74</v>
      </c>
      <c r="AH577" s="10">
        <v>2045</v>
      </c>
      <c r="AI577" t="s">
        <v>178</v>
      </c>
      <c r="AK577" s="42"/>
      <c r="AL577" s="34" t="s">
        <v>155</v>
      </c>
      <c r="AM577" s="10" t="s">
        <v>34</v>
      </c>
      <c r="AN577" s="10">
        <v>2</v>
      </c>
      <c r="AO577" s="10" t="s">
        <v>152</v>
      </c>
      <c r="AP577">
        <v>74</v>
      </c>
      <c r="AQ577" s="10" t="s">
        <v>103</v>
      </c>
      <c r="AR577" s="43" t="s">
        <v>184</v>
      </c>
      <c r="AT577" s="42"/>
      <c r="AU577" s="34" t="s">
        <v>155</v>
      </c>
      <c r="AV577" s="10" t="s">
        <v>34</v>
      </c>
      <c r="AW577" s="10">
        <v>2</v>
      </c>
      <c r="AX577" s="10" t="s">
        <v>152</v>
      </c>
      <c r="AY577">
        <v>74</v>
      </c>
      <c r="AZ577" s="10"/>
      <c r="BA577" s="43"/>
      <c r="BC577" s="42"/>
      <c r="BD577" s="34" t="s">
        <v>155</v>
      </c>
      <c r="BE577" s="10" t="s">
        <v>34</v>
      </c>
      <c r="BF577" s="10">
        <v>2</v>
      </c>
      <c r="BG577" s="10" t="s">
        <v>152</v>
      </c>
      <c r="BH577">
        <v>74</v>
      </c>
      <c r="BI577" s="10"/>
      <c r="BJ577" s="43"/>
      <c r="BL577" s="42"/>
      <c r="BM577" s="34" t="s">
        <v>155</v>
      </c>
      <c r="BN577" s="10" t="s">
        <v>34</v>
      </c>
      <c r="BO577" s="10">
        <v>2</v>
      </c>
      <c r="BP577" s="10" t="s">
        <v>152</v>
      </c>
      <c r="BQ577">
        <v>74</v>
      </c>
      <c r="BR577" s="10"/>
      <c r="BS577" s="43"/>
      <c r="BU577" s="42"/>
      <c r="BV577" s="34" t="s">
        <v>155</v>
      </c>
      <c r="BW577" s="10" t="s">
        <v>34</v>
      </c>
      <c r="BX577" s="10">
        <v>2</v>
      </c>
      <c r="BY577" s="10" t="s">
        <v>152</v>
      </c>
      <c r="BZ577">
        <v>74</v>
      </c>
      <c r="CA577" s="10"/>
      <c r="CB577" s="43"/>
      <c r="CD577" s="42"/>
      <c r="CE577" s="34" t="s">
        <v>155</v>
      </c>
      <c r="CF577" s="10" t="s">
        <v>34</v>
      </c>
      <c r="CG577" s="10">
        <v>2</v>
      </c>
      <c r="CH577" s="10" t="s">
        <v>152</v>
      </c>
      <c r="CI577">
        <v>74</v>
      </c>
      <c r="CJ577" s="10"/>
      <c r="CK577" s="43"/>
    </row>
    <row r="578" spans="1:89" x14ac:dyDescent="0.25">
      <c r="A578" s="42"/>
      <c r="B578" s="34" t="s">
        <v>155</v>
      </c>
      <c r="C578" s="10" t="s">
        <v>34</v>
      </c>
      <c r="D578" s="10">
        <v>3</v>
      </c>
      <c r="E578" s="10" t="s">
        <v>152</v>
      </c>
      <c r="F578">
        <v>75</v>
      </c>
      <c r="G578" s="10" t="s">
        <v>90</v>
      </c>
      <c r="H578" s="43" t="s">
        <v>160</v>
      </c>
      <c r="J578" s="42"/>
      <c r="K578" s="34" t="s">
        <v>155</v>
      </c>
      <c r="L578" s="10" t="s">
        <v>34</v>
      </c>
      <c r="M578" s="10">
        <v>3</v>
      </c>
      <c r="N578" s="10" t="s">
        <v>152</v>
      </c>
      <c r="O578">
        <v>75</v>
      </c>
      <c r="P578" s="10" t="s">
        <v>102</v>
      </c>
      <c r="Q578" t="s">
        <v>163</v>
      </c>
      <c r="S578" s="42"/>
      <c r="T578" s="34" t="s">
        <v>155</v>
      </c>
      <c r="U578" s="10" t="s">
        <v>34</v>
      </c>
      <c r="V578" s="10">
        <v>3</v>
      </c>
      <c r="W578" s="10" t="s">
        <v>152</v>
      </c>
      <c r="X578">
        <v>75</v>
      </c>
      <c r="Y578" s="10">
        <v>2048</v>
      </c>
      <c r="Z578" t="s">
        <v>186</v>
      </c>
      <c r="AB578" s="42"/>
      <c r="AC578" s="34" t="s">
        <v>155</v>
      </c>
      <c r="AD578" s="10" t="s">
        <v>34</v>
      </c>
      <c r="AE578" s="10">
        <v>3</v>
      </c>
      <c r="AF578" s="10" t="s">
        <v>152</v>
      </c>
      <c r="AG578">
        <v>75</v>
      </c>
      <c r="AH578" s="10">
        <v>2045</v>
      </c>
      <c r="AI578" t="s">
        <v>163</v>
      </c>
      <c r="AK578" s="42"/>
      <c r="AL578" s="34" t="s">
        <v>155</v>
      </c>
      <c r="AM578" s="10" t="s">
        <v>34</v>
      </c>
      <c r="AN578" s="10">
        <v>3</v>
      </c>
      <c r="AO578" s="10" t="s">
        <v>152</v>
      </c>
      <c r="AP578">
        <v>75</v>
      </c>
      <c r="AQ578" s="10" t="s">
        <v>103</v>
      </c>
      <c r="AR578" s="43" t="s">
        <v>187</v>
      </c>
      <c r="AT578" s="42"/>
      <c r="AU578" s="34" t="s">
        <v>155</v>
      </c>
      <c r="AV578" s="10" t="s">
        <v>34</v>
      </c>
      <c r="AW578" s="10">
        <v>3</v>
      </c>
      <c r="AX578" s="10" t="s">
        <v>152</v>
      </c>
      <c r="AY578">
        <v>75</v>
      </c>
      <c r="AZ578" s="10"/>
      <c r="BA578" s="43"/>
      <c r="BC578" s="42"/>
      <c r="BD578" s="34" t="s">
        <v>155</v>
      </c>
      <c r="BE578" s="10" t="s">
        <v>34</v>
      </c>
      <c r="BF578" s="10">
        <v>3</v>
      </c>
      <c r="BG578" s="10" t="s">
        <v>152</v>
      </c>
      <c r="BH578">
        <v>75</v>
      </c>
      <c r="BI578" s="10"/>
      <c r="BJ578" s="43"/>
      <c r="BL578" s="42"/>
      <c r="BM578" s="34" t="s">
        <v>155</v>
      </c>
      <c r="BN578" s="10" t="s">
        <v>34</v>
      </c>
      <c r="BO578" s="10">
        <v>3</v>
      </c>
      <c r="BP578" s="10" t="s">
        <v>152</v>
      </c>
      <c r="BQ578">
        <v>75</v>
      </c>
      <c r="BR578" s="10"/>
      <c r="BS578" s="43"/>
      <c r="BU578" s="42"/>
      <c r="BV578" s="34" t="s">
        <v>155</v>
      </c>
      <c r="BW578" s="10" t="s">
        <v>34</v>
      </c>
      <c r="BX578" s="10">
        <v>3</v>
      </c>
      <c r="BY578" s="10" t="s">
        <v>152</v>
      </c>
      <c r="BZ578">
        <v>75</v>
      </c>
      <c r="CA578" s="10"/>
      <c r="CB578" s="43"/>
      <c r="CD578" s="42"/>
      <c r="CE578" s="34" t="s">
        <v>155</v>
      </c>
      <c r="CF578" s="10" t="s">
        <v>34</v>
      </c>
      <c r="CG578" s="10">
        <v>3</v>
      </c>
      <c r="CH578" s="10" t="s">
        <v>152</v>
      </c>
      <c r="CI578">
        <v>75</v>
      </c>
      <c r="CJ578" s="10"/>
      <c r="CK578" s="43"/>
    </row>
    <row r="579" spans="1:89" x14ac:dyDescent="0.25">
      <c r="A579" s="42"/>
      <c r="B579" s="34" t="s">
        <v>155</v>
      </c>
      <c r="C579" s="10" t="s">
        <v>34</v>
      </c>
      <c r="D579" s="10">
        <v>4</v>
      </c>
      <c r="E579" s="10" t="s">
        <v>152</v>
      </c>
      <c r="F579">
        <v>76</v>
      </c>
      <c r="G579" s="10" t="s">
        <v>90</v>
      </c>
      <c r="H579" s="51" t="s">
        <v>168</v>
      </c>
      <c r="J579" s="42"/>
      <c r="K579" s="34" t="s">
        <v>155</v>
      </c>
      <c r="L579" s="10" t="s">
        <v>34</v>
      </c>
      <c r="M579" s="10">
        <v>4</v>
      </c>
      <c r="N579" s="10" t="s">
        <v>152</v>
      </c>
      <c r="O579">
        <v>76</v>
      </c>
      <c r="P579" s="10" t="s">
        <v>102</v>
      </c>
      <c r="Q579" t="s">
        <v>171</v>
      </c>
      <c r="S579" s="42"/>
      <c r="T579" s="34" t="s">
        <v>155</v>
      </c>
      <c r="U579" s="10" t="s">
        <v>34</v>
      </c>
      <c r="V579" s="10">
        <v>4</v>
      </c>
      <c r="W579" s="10" t="s">
        <v>152</v>
      </c>
      <c r="X579">
        <v>76</v>
      </c>
      <c r="Y579" s="10">
        <v>2048</v>
      </c>
      <c r="Z579" s="43" t="s">
        <v>188</v>
      </c>
      <c r="AB579" s="42"/>
      <c r="AC579" s="34" t="s">
        <v>155</v>
      </c>
      <c r="AD579" s="10" t="s">
        <v>34</v>
      </c>
      <c r="AE579" s="10">
        <v>4</v>
      </c>
      <c r="AF579" s="10" t="s">
        <v>152</v>
      </c>
      <c r="AG579">
        <v>76</v>
      </c>
      <c r="AH579" s="10">
        <v>2045</v>
      </c>
      <c r="AI579" t="s">
        <v>171</v>
      </c>
      <c r="AK579" s="42"/>
      <c r="AL579" s="34" t="s">
        <v>155</v>
      </c>
      <c r="AM579" s="10" t="s">
        <v>34</v>
      </c>
      <c r="AN579" s="10">
        <v>4</v>
      </c>
      <c r="AO579" s="10" t="s">
        <v>152</v>
      </c>
      <c r="AP579">
        <v>76</v>
      </c>
      <c r="AQ579" s="10" t="s">
        <v>103</v>
      </c>
      <c r="AR579" s="43" t="s">
        <v>189</v>
      </c>
      <c r="AT579" s="42"/>
      <c r="AU579" s="34" t="s">
        <v>155</v>
      </c>
      <c r="AV579" s="10" t="s">
        <v>34</v>
      </c>
      <c r="AW579" s="10">
        <v>4</v>
      </c>
      <c r="AX579" s="10" t="s">
        <v>152</v>
      </c>
      <c r="AY579">
        <v>76</v>
      </c>
      <c r="AZ579" s="10"/>
      <c r="BA579" s="43"/>
      <c r="BC579" s="42"/>
      <c r="BD579" s="34" t="s">
        <v>155</v>
      </c>
      <c r="BE579" s="10" t="s">
        <v>34</v>
      </c>
      <c r="BF579" s="10">
        <v>4</v>
      </c>
      <c r="BG579" s="10" t="s">
        <v>152</v>
      </c>
      <c r="BH579">
        <v>76</v>
      </c>
      <c r="BI579" s="10"/>
      <c r="BJ579" s="43"/>
      <c r="BL579" s="42"/>
      <c r="BM579" s="34" t="s">
        <v>155</v>
      </c>
      <c r="BN579" s="10" t="s">
        <v>34</v>
      </c>
      <c r="BO579" s="10">
        <v>4</v>
      </c>
      <c r="BP579" s="10" t="s">
        <v>152</v>
      </c>
      <c r="BQ579">
        <v>76</v>
      </c>
      <c r="BR579" s="10"/>
      <c r="BS579" s="43"/>
      <c r="BU579" s="42"/>
      <c r="BV579" s="34" t="s">
        <v>155</v>
      </c>
      <c r="BW579" s="10" t="s">
        <v>34</v>
      </c>
      <c r="BX579" s="10">
        <v>4</v>
      </c>
      <c r="BY579" s="10" t="s">
        <v>152</v>
      </c>
      <c r="BZ579">
        <v>76</v>
      </c>
      <c r="CA579" s="10"/>
      <c r="CB579" s="43"/>
      <c r="CD579" s="42"/>
      <c r="CE579" s="34" t="s">
        <v>155</v>
      </c>
      <c r="CF579" s="10" t="s">
        <v>34</v>
      </c>
      <c r="CG579" s="10">
        <v>4</v>
      </c>
      <c r="CH579" s="10" t="s">
        <v>152</v>
      </c>
      <c r="CI579">
        <v>76</v>
      </c>
      <c r="CJ579" s="10"/>
      <c r="CK579" s="43"/>
    </row>
    <row r="580" spans="1:89" x14ac:dyDescent="0.25">
      <c r="A580" s="42"/>
      <c r="B580" s="34" t="s">
        <v>155</v>
      </c>
      <c r="C580" s="10" t="s">
        <v>34</v>
      </c>
      <c r="D580" s="10">
        <v>5</v>
      </c>
      <c r="E580" s="10" t="s">
        <v>152</v>
      </c>
      <c r="F580">
        <v>77</v>
      </c>
      <c r="G580" s="10" t="s">
        <v>90</v>
      </c>
      <c r="H580" s="43" t="s">
        <v>176</v>
      </c>
      <c r="J580" s="42"/>
      <c r="K580" s="34" t="s">
        <v>155</v>
      </c>
      <c r="L580" s="10" t="s">
        <v>34</v>
      </c>
      <c r="M580" s="10">
        <v>5</v>
      </c>
      <c r="N580" s="10" t="s">
        <v>152</v>
      </c>
      <c r="O580">
        <v>77</v>
      </c>
      <c r="P580" s="10" t="s">
        <v>102</v>
      </c>
      <c r="Q580" t="s">
        <v>161</v>
      </c>
      <c r="S580" s="42"/>
      <c r="T580" s="34" t="s">
        <v>155</v>
      </c>
      <c r="U580" s="10" t="s">
        <v>34</v>
      </c>
      <c r="V580" s="10">
        <v>5</v>
      </c>
      <c r="W580" s="10" t="s">
        <v>152</v>
      </c>
      <c r="X580">
        <v>77</v>
      </c>
      <c r="Y580" s="10">
        <v>2048</v>
      </c>
      <c r="Z580" s="43" t="s">
        <v>182</v>
      </c>
      <c r="AB580" s="42"/>
      <c r="AC580" s="34" t="s">
        <v>155</v>
      </c>
      <c r="AD580" s="10" t="s">
        <v>34</v>
      </c>
      <c r="AE580" s="10">
        <v>5</v>
      </c>
      <c r="AF580" s="10" t="s">
        <v>152</v>
      </c>
      <c r="AG580">
        <v>77</v>
      </c>
      <c r="AH580" s="10">
        <v>2045</v>
      </c>
      <c r="AI580" t="s">
        <v>161</v>
      </c>
      <c r="AK580" s="42"/>
      <c r="AL580" s="34" t="s">
        <v>155</v>
      </c>
      <c r="AM580" s="10" t="s">
        <v>34</v>
      </c>
      <c r="AN580" s="10">
        <v>5</v>
      </c>
      <c r="AO580" s="10" t="s">
        <v>152</v>
      </c>
      <c r="AP580">
        <v>77</v>
      </c>
      <c r="AQ580" s="10" t="s">
        <v>109</v>
      </c>
      <c r="AR580" s="43" t="s">
        <v>182</v>
      </c>
      <c r="AT580" s="42"/>
      <c r="AU580" s="34" t="s">
        <v>155</v>
      </c>
      <c r="AV580" s="10" t="s">
        <v>34</v>
      </c>
      <c r="AW580" s="10">
        <v>5</v>
      </c>
      <c r="AX580" s="10" t="s">
        <v>152</v>
      </c>
      <c r="AY580">
        <v>77</v>
      </c>
      <c r="AZ580" s="10"/>
      <c r="BA580" s="43"/>
      <c r="BC580" s="42"/>
      <c r="BD580" s="34" t="s">
        <v>155</v>
      </c>
      <c r="BE580" s="10" t="s">
        <v>34</v>
      </c>
      <c r="BF580" s="10">
        <v>5</v>
      </c>
      <c r="BG580" s="10" t="s">
        <v>152</v>
      </c>
      <c r="BH580">
        <v>77</v>
      </c>
      <c r="BI580" s="10"/>
      <c r="BJ580" s="43"/>
      <c r="BL580" s="42"/>
      <c r="BM580" s="34" t="s">
        <v>155</v>
      </c>
      <c r="BN580" s="10" t="s">
        <v>34</v>
      </c>
      <c r="BO580" s="10">
        <v>5</v>
      </c>
      <c r="BP580" s="10" t="s">
        <v>152</v>
      </c>
      <c r="BQ580">
        <v>77</v>
      </c>
      <c r="BR580" s="10"/>
      <c r="BS580" s="43"/>
      <c r="BU580" s="42"/>
      <c r="BV580" s="34" t="s">
        <v>155</v>
      </c>
      <c r="BW580" s="10" t="s">
        <v>34</v>
      </c>
      <c r="BX580" s="10">
        <v>5</v>
      </c>
      <c r="BY580" s="10" t="s">
        <v>152</v>
      </c>
      <c r="BZ580">
        <v>77</v>
      </c>
      <c r="CA580" s="10"/>
      <c r="CB580" s="43"/>
      <c r="CD580" s="42"/>
      <c r="CE580" s="34" t="s">
        <v>155</v>
      </c>
      <c r="CF580" s="10" t="s">
        <v>34</v>
      </c>
      <c r="CG580" s="10">
        <v>5</v>
      </c>
      <c r="CH580" s="10" t="s">
        <v>152</v>
      </c>
      <c r="CI580">
        <v>77</v>
      </c>
      <c r="CJ580" s="10"/>
      <c r="CK580" s="43"/>
    </row>
    <row r="581" spans="1:89" x14ac:dyDescent="0.25">
      <c r="A581" s="42"/>
      <c r="B581" s="34" t="s">
        <v>155</v>
      </c>
      <c r="C581" s="10" t="s">
        <v>34</v>
      </c>
      <c r="D581" s="10">
        <v>6</v>
      </c>
      <c r="E581" s="10" t="s">
        <v>152</v>
      </c>
      <c r="F581">
        <v>78</v>
      </c>
      <c r="G581" s="10" t="s">
        <v>90</v>
      </c>
      <c r="H581" s="43" t="s">
        <v>164</v>
      </c>
      <c r="J581" s="42"/>
      <c r="K581" s="34" t="s">
        <v>155</v>
      </c>
      <c r="L581" s="10" t="s">
        <v>34</v>
      </c>
      <c r="M581" s="10">
        <v>6</v>
      </c>
      <c r="N581" s="10" t="s">
        <v>152</v>
      </c>
      <c r="O581">
        <v>78</v>
      </c>
      <c r="P581" s="10" t="s">
        <v>102</v>
      </c>
      <c r="Q581" t="s">
        <v>169</v>
      </c>
      <c r="S581" s="42"/>
      <c r="T581" s="34" t="s">
        <v>155</v>
      </c>
      <c r="U581" s="10" t="s">
        <v>34</v>
      </c>
      <c r="V581" s="10">
        <v>6</v>
      </c>
      <c r="W581" s="10" t="s">
        <v>152</v>
      </c>
      <c r="X581">
        <v>78</v>
      </c>
      <c r="Y581" s="10">
        <v>2048</v>
      </c>
      <c r="Z581" s="43" t="s">
        <v>184</v>
      </c>
      <c r="AB581" s="42"/>
      <c r="AC581" s="34" t="s">
        <v>155</v>
      </c>
      <c r="AD581" s="10" t="s">
        <v>34</v>
      </c>
      <c r="AE581" s="10">
        <v>6</v>
      </c>
      <c r="AF581" s="10" t="s">
        <v>152</v>
      </c>
      <c r="AG581">
        <v>78</v>
      </c>
      <c r="AH581" s="10">
        <v>2045</v>
      </c>
      <c r="AI581" t="s">
        <v>169</v>
      </c>
      <c r="AK581" s="42"/>
      <c r="AL581" s="34" t="s">
        <v>155</v>
      </c>
      <c r="AM581" s="10" t="s">
        <v>34</v>
      </c>
      <c r="AN581" s="10">
        <v>6</v>
      </c>
      <c r="AO581" s="10" t="s">
        <v>152</v>
      </c>
      <c r="AP581">
        <v>78</v>
      </c>
      <c r="AQ581" s="10" t="s">
        <v>109</v>
      </c>
      <c r="AR581" s="43" t="s">
        <v>184</v>
      </c>
      <c r="AT581" s="42"/>
      <c r="AU581" s="34" t="s">
        <v>155</v>
      </c>
      <c r="AV581" s="10" t="s">
        <v>34</v>
      </c>
      <c r="AW581" s="10">
        <v>6</v>
      </c>
      <c r="AX581" s="10" t="s">
        <v>152</v>
      </c>
      <c r="AY581">
        <v>78</v>
      </c>
      <c r="AZ581" s="10"/>
      <c r="BA581" s="43"/>
      <c r="BC581" s="42"/>
      <c r="BD581" s="34" t="s">
        <v>155</v>
      </c>
      <c r="BE581" s="10" t="s">
        <v>34</v>
      </c>
      <c r="BF581" s="10">
        <v>6</v>
      </c>
      <c r="BG581" s="10" t="s">
        <v>152</v>
      </c>
      <c r="BH581">
        <v>78</v>
      </c>
      <c r="BI581" s="10"/>
      <c r="BJ581" s="43"/>
      <c r="BL581" s="42"/>
      <c r="BM581" s="34" t="s">
        <v>155</v>
      </c>
      <c r="BN581" s="10" t="s">
        <v>34</v>
      </c>
      <c r="BO581" s="10">
        <v>6</v>
      </c>
      <c r="BP581" s="10" t="s">
        <v>152</v>
      </c>
      <c r="BQ581">
        <v>78</v>
      </c>
      <c r="BR581" s="10"/>
      <c r="BS581" s="43"/>
      <c r="BU581" s="42"/>
      <c r="BV581" s="34" t="s">
        <v>155</v>
      </c>
      <c r="BW581" s="10" t="s">
        <v>34</v>
      </c>
      <c r="BX581" s="10">
        <v>6</v>
      </c>
      <c r="BY581" s="10" t="s">
        <v>152</v>
      </c>
      <c r="BZ581">
        <v>78</v>
      </c>
      <c r="CA581" s="10"/>
      <c r="CB581" s="43"/>
      <c r="CD581" s="42"/>
      <c r="CE581" s="34" t="s">
        <v>155</v>
      </c>
      <c r="CF581" s="10" t="s">
        <v>34</v>
      </c>
      <c r="CG581" s="10">
        <v>6</v>
      </c>
      <c r="CH581" s="10" t="s">
        <v>152</v>
      </c>
      <c r="CI581">
        <v>78</v>
      </c>
      <c r="CJ581" s="10"/>
      <c r="CK581" s="43"/>
    </row>
    <row r="582" spans="1:89" x14ac:dyDescent="0.25">
      <c r="A582" s="42"/>
      <c r="B582" s="34" t="s">
        <v>155</v>
      </c>
      <c r="C582" s="10" t="s">
        <v>34</v>
      </c>
      <c r="D582" s="10">
        <v>7</v>
      </c>
      <c r="E582" s="10" t="s">
        <v>152</v>
      </c>
      <c r="F582">
        <v>79</v>
      </c>
      <c r="G582" s="10" t="s">
        <v>90</v>
      </c>
      <c r="H582" t="s">
        <v>172</v>
      </c>
      <c r="J582" s="42"/>
      <c r="K582" s="34" t="s">
        <v>155</v>
      </c>
      <c r="L582" s="10" t="s">
        <v>34</v>
      </c>
      <c r="M582" s="10">
        <v>7</v>
      </c>
      <c r="N582" s="10" t="s">
        <v>152</v>
      </c>
      <c r="O582">
        <v>79</v>
      </c>
      <c r="P582" s="10" t="s">
        <v>102</v>
      </c>
      <c r="Q582" t="s">
        <v>177</v>
      </c>
      <c r="S582" s="42"/>
      <c r="T582" s="34" t="s">
        <v>155</v>
      </c>
      <c r="U582" s="10" t="s">
        <v>34</v>
      </c>
      <c r="V582" s="10">
        <v>7</v>
      </c>
      <c r="W582" s="10" t="s">
        <v>152</v>
      </c>
      <c r="X582">
        <v>79</v>
      </c>
      <c r="Y582" s="10">
        <v>2048</v>
      </c>
      <c r="Z582" s="43" t="s">
        <v>187</v>
      </c>
      <c r="AB582" s="42"/>
      <c r="AC582" s="34" t="s">
        <v>155</v>
      </c>
      <c r="AD582" s="10" t="s">
        <v>34</v>
      </c>
      <c r="AE582" s="10">
        <v>7</v>
      </c>
      <c r="AF582" s="10" t="s">
        <v>152</v>
      </c>
      <c r="AG582">
        <v>79</v>
      </c>
      <c r="AH582" s="10">
        <v>2045</v>
      </c>
      <c r="AI582" t="s">
        <v>177</v>
      </c>
      <c r="AK582" s="42"/>
      <c r="AL582" s="34" t="s">
        <v>155</v>
      </c>
      <c r="AM582" s="10" t="s">
        <v>34</v>
      </c>
      <c r="AN582" s="10">
        <v>7</v>
      </c>
      <c r="AO582" s="10" t="s">
        <v>152</v>
      </c>
      <c r="AP582">
        <v>79</v>
      </c>
      <c r="AQ582" s="10" t="s">
        <v>109</v>
      </c>
      <c r="AR582" s="43" t="s">
        <v>187</v>
      </c>
      <c r="AT582" s="42"/>
      <c r="AU582" s="34" t="s">
        <v>155</v>
      </c>
      <c r="AV582" s="10" t="s">
        <v>34</v>
      </c>
      <c r="AW582" s="10">
        <v>7</v>
      </c>
      <c r="AX582" s="10" t="s">
        <v>152</v>
      </c>
      <c r="AY582">
        <v>79</v>
      </c>
      <c r="AZ582" s="10"/>
      <c r="BA582" s="43"/>
      <c r="BC582" s="42"/>
      <c r="BD582" s="34" t="s">
        <v>155</v>
      </c>
      <c r="BE582" s="10" t="s">
        <v>34</v>
      </c>
      <c r="BF582" s="10">
        <v>7</v>
      </c>
      <c r="BG582" s="10" t="s">
        <v>152</v>
      </c>
      <c r="BH582">
        <v>79</v>
      </c>
      <c r="BI582" s="10"/>
      <c r="BJ582" s="43"/>
      <c r="BL582" s="42"/>
      <c r="BM582" s="34" t="s">
        <v>155</v>
      </c>
      <c r="BN582" s="10" t="s">
        <v>34</v>
      </c>
      <c r="BO582" s="10">
        <v>7</v>
      </c>
      <c r="BP582" s="10" t="s">
        <v>152</v>
      </c>
      <c r="BQ582">
        <v>79</v>
      </c>
      <c r="BR582" s="10"/>
      <c r="BS582" s="43"/>
      <c r="BU582" s="42"/>
      <c r="BV582" s="34" t="s">
        <v>155</v>
      </c>
      <c r="BW582" s="10" t="s">
        <v>34</v>
      </c>
      <c r="BX582" s="10">
        <v>7</v>
      </c>
      <c r="BY582" s="10" t="s">
        <v>152</v>
      </c>
      <c r="BZ582">
        <v>79</v>
      </c>
      <c r="CA582" s="10"/>
      <c r="CB582" s="43"/>
      <c r="CD582" s="42"/>
      <c r="CE582" s="34" t="s">
        <v>155</v>
      </c>
      <c r="CF582" s="10" t="s">
        <v>34</v>
      </c>
      <c r="CG582" s="10">
        <v>7</v>
      </c>
      <c r="CH582" s="10" t="s">
        <v>152</v>
      </c>
      <c r="CI582">
        <v>79</v>
      </c>
      <c r="CJ582" s="10"/>
      <c r="CK582" s="43"/>
    </row>
    <row r="583" spans="1:89" x14ac:dyDescent="0.25">
      <c r="A583" s="42"/>
      <c r="B583" s="34" t="s">
        <v>155</v>
      </c>
      <c r="C583" s="10" t="s">
        <v>34</v>
      </c>
      <c r="D583" s="10">
        <v>8</v>
      </c>
      <c r="E583" s="10" t="s">
        <v>152</v>
      </c>
      <c r="F583">
        <v>80</v>
      </c>
      <c r="G583" s="10" t="s">
        <v>90</v>
      </c>
      <c r="H583" t="s">
        <v>162</v>
      </c>
      <c r="J583" s="42"/>
      <c r="K583" s="34" t="s">
        <v>155</v>
      </c>
      <c r="L583" s="10" t="s">
        <v>34</v>
      </c>
      <c r="M583" s="10">
        <v>8</v>
      </c>
      <c r="N583" s="10" t="s">
        <v>152</v>
      </c>
      <c r="O583">
        <v>80</v>
      </c>
      <c r="P583" s="10" t="s">
        <v>102</v>
      </c>
      <c r="Q583" t="s">
        <v>180</v>
      </c>
      <c r="S583" s="42"/>
      <c r="T583" s="34" t="s">
        <v>155</v>
      </c>
      <c r="U583" s="10" t="s">
        <v>34</v>
      </c>
      <c r="V583" s="10">
        <v>8</v>
      </c>
      <c r="W583" s="10" t="s">
        <v>152</v>
      </c>
      <c r="X583">
        <v>80</v>
      </c>
      <c r="Y583" s="10">
        <v>2048</v>
      </c>
      <c r="Z583" s="43" t="s">
        <v>189</v>
      </c>
      <c r="AB583" s="42"/>
      <c r="AC583" s="34" t="s">
        <v>155</v>
      </c>
      <c r="AD583" s="10" t="s">
        <v>34</v>
      </c>
      <c r="AE583" s="10">
        <v>8</v>
      </c>
      <c r="AF583" s="10" t="s">
        <v>152</v>
      </c>
      <c r="AG583">
        <v>80</v>
      </c>
      <c r="AH583" s="10">
        <v>2045</v>
      </c>
      <c r="AI583" t="s">
        <v>180</v>
      </c>
      <c r="AK583" s="42"/>
      <c r="AL583" s="34" t="s">
        <v>155</v>
      </c>
      <c r="AM583" s="10" t="s">
        <v>34</v>
      </c>
      <c r="AN583" s="10">
        <v>8</v>
      </c>
      <c r="AO583" s="10" t="s">
        <v>152</v>
      </c>
      <c r="AP583">
        <v>80</v>
      </c>
      <c r="AQ583" s="10" t="s">
        <v>109</v>
      </c>
      <c r="AR583" s="43" t="s">
        <v>189</v>
      </c>
      <c r="AT583" s="42"/>
      <c r="AU583" s="34" t="s">
        <v>155</v>
      </c>
      <c r="AV583" s="10" t="s">
        <v>34</v>
      </c>
      <c r="AW583" s="10">
        <v>8</v>
      </c>
      <c r="AX583" s="10" t="s">
        <v>152</v>
      </c>
      <c r="AY583">
        <v>80</v>
      </c>
      <c r="AZ583" s="10"/>
      <c r="BA583" s="43"/>
      <c r="BC583" s="42"/>
      <c r="BD583" s="34" t="s">
        <v>155</v>
      </c>
      <c r="BE583" s="10" t="s">
        <v>34</v>
      </c>
      <c r="BF583" s="10">
        <v>8</v>
      </c>
      <c r="BG583" s="10" t="s">
        <v>152</v>
      </c>
      <c r="BH583">
        <v>80</v>
      </c>
      <c r="BI583" s="10"/>
      <c r="BJ583" s="43"/>
      <c r="BL583" s="42"/>
      <c r="BM583" s="34" t="s">
        <v>155</v>
      </c>
      <c r="BN583" s="10" t="s">
        <v>34</v>
      </c>
      <c r="BO583" s="10">
        <v>8</v>
      </c>
      <c r="BP583" s="10" t="s">
        <v>152</v>
      </c>
      <c r="BQ583">
        <v>80</v>
      </c>
      <c r="BR583" s="10"/>
      <c r="BS583" s="43"/>
      <c r="BU583" s="42"/>
      <c r="BV583" s="34" t="s">
        <v>155</v>
      </c>
      <c r="BW583" s="10" t="s">
        <v>34</v>
      </c>
      <c r="BX583" s="10">
        <v>8</v>
      </c>
      <c r="BY583" s="10" t="s">
        <v>152</v>
      </c>
      <c r="BZ583">
        <v>80</v>
      </c>
      <c r="CA583" s="10"/>
      <c r="CB583" s="43"/>
      <c r="CD583" s="42"/>
      <c r="CE583" s="34" t="s">
        <v>155</v>
      </c>
      <c r="CF583" s="10" t="s">
        <v>34</v>
      </c>
      <c r="CG583" s="10">
        <v>8</v>
      </c>
      <c r="CH583" s="10" t="s">
        <v>152</v>
      </c>
      <c r="CI583">
        <v>80</v>
      </c>
      <c r="CJ583" s="10"/>
      <c r="CK583" s="43"/>
    </row>
    <row r="584" spans="1:89" x14ac:dyDescent="0.25">
      <c r="A584" s="42"/>
      <c r="B584" s="34" t="s">
        <v>155</v>
      </c>
      <c r="C584" s="10" t="s">
        <v>34</v>
      </c>
      <c r="D584" s="10">
        <v>9</v>
      </c>
      <c r="E584" s="10" t="s">
        <v>152</v>
      </c>
      <c r="F584">
        <v>81</v>
      </c>
      <c r="G584" s="10" t="s">
        <v>90</v>
      </c>
      <c r="H584" t="s">
        <v>170</v>
      </c>
      <c r="J584" s="42"/>
      <c r="K584" s="34" t="s">
        <v>155</v>
      </c>
      <c r="L584" s="10" t="s">
        <v>34</v>
      </c>
      <c r="M584" s="10">
        <v>9</v>
      </c>
      <c r="N584" s="10" t="s">
        <v>152</v>
      </c>
      <c r="O584">
        <v>81</v>
      </c>
      <c r="P584" s="10" t="s">
        <v>102</v>
      </c>
      <c r="Q584" t="s">
        <v>181</v>
      </c>
      <c r="S584" s="42"/>
      <c r="T584" s="34" t="s">
        <v>155</v>
      </c>
      <c r="U584" s="10" t="s">
        <v>34</v>
      </c>
      <c r="V584" s="10">
        <v>9</v>
      </c>
      <c r="W584" s="10" t="s">
        <v>152</v>
      </c>
      <c r="X584">
        <v>81</v>
      </c>
      <c r="Y584" s="10" t="s">
        <v>101</v>
      </c>
      <c r="Z584" s="43" t="s">
        <v>160</v>
      </c>
      <c r="AB584" s="42"/>
      <c r="AC584" s="34" t="s">
        <v>155</v>
      </c>
      <c r="AD584" s="10" t="s">
        <v>34</v>
      </c>
      <c r="AE584" s="10">
        <v>9</v>
      </c>
      <c r="AF584" s="10" t="s">
        <v>152</v>
      </c>
      <c r="AG584">
        <v>81</v>
      </c>
      <c r="AH584" s="10">
        <v>2045</v>
      </c>
      <c r="AI584" t="s">
        <v>181</v>
      </c>
      <c r="AK584" s="42"/>
      <c r="AL584" s="34" t="s">
        <v>155</v>
      </c>
      <c r="AM584" s="10" t="s">
        <v>34</v>
      </c>
      <c r="AN584" s="10">
        <v>9</v>
      </c>
      <c r="AO584" s="10" t="s">
        <v>152</v>
      </c>
      <c r="AP584">
        <v>81</v>
      </c>
      <c r="AQ584" s="10"/>
      <c r="AR584" s="43"/>
      <c r="AT584" s="42"/>
      <c r="AU584" s="34" t="s">
        <v>155</v>
      </c>
      <c r="AV584" s="10" t="s">
        <v>34</v>
      </c>
      <c r="AW584" s="10">
        <v>9</v>
      </c>
      <c r="AX584" s="10" t="s">
        <v>152</v>
      </c>
      <c r="AY584">
        <v>81</v>
      </c>
      <c r="AZ584" s="10"/>
      <c r="BA584" s="43"/>
      <c r="BC584" s="42"/>
      <c r="BD584" s="34" t="s">
        <v>155</v>
      </c>
      <c r="BE584" s="10" t="s">
        <v>34</v>
      </c>
      <c r="BF584" s="10">
        <v>9</v>
      </c>
      <c r="BG584" s="10" t="s">
        <v>152</v>
      </c>
      <c r="BH584">
        <v>81</v>
      </c>
      <c r="BI584" s="10"/>
      <c r="BJ584" s="43"/>
      <c r="BL584" s="42"/>
      <c r="BM584" s="34" t="s">
        <v>155</v>
      </c>
      <c r="BN584" s="10" t="s">
        <v>34</v>
      </c>
      <c r="BO584" s="10">
        <v>9</v>
      </c>
      <c r="BP584" s="10" t="s">
        <v>152</v>
      </c>
      <c r="BQ584">
        <v>81</v>
      </c>
      <c r="BR584" s="10"/>
      <c r="BS584" s="43"/>
      <c r="BU584" s="42"/>
      <c r="BV584" s="34" t="s">
        <v>155</v>
      </c>
      <c r="BW584" s="10" t="s">
        <v>34</v>
      </c>
      <c r="BX584" s="10">
        <v>9</v>
      </c>
      <c r="BY584" s="10" t="s">
        <v>152</v>
      </c>
      <c r="BZ584">
        <v>81</v>
      </c>
      <c r="CA584" s="10"/>
      <c r="CB584" s="43"/>
      <c r="CD584" s="42"/>
      <c r="CE584" s="34" t="s">
        <v>155</v>
      </c>
      <c r="CF584" s="10" t="s">
        <v>34</v>
      </c>
      <c r="CG584" s="10">
        <v>9</v>
      </c>
      <c r="CH584" s="10" t="s">
        <v>152</v>
      </c>
      <c r="CI584">
        <v>81</v>
      </c>
      <c r="CJ584" s="10"/>
      <c r="CK584" s="43"/>
    </row>
    <row r="585" spans="1:89" x14ac:dyDescent="0.25">
      <c r="A585" s="42"/>
      <c r="B585" s="34" t="s">
        <v>155</v>
      </c>
      <c r="C585" s="10" t="s">
        <v>34</v>
      </c>
      <c r="D585" s="10">
        <v>10</v>
      </c>
      <c r="E585" s="10" t="s">
        <v>152</v>
      </c>
      <c r="F585">
        <v>82</v>
      </c>
      <c r="G585" s="10" t="s">
        <v>90</v>
      </c>
      <c r="H585" t="s">
        <v>178</v>
      </c>
      <c r="J585" s="42"/>
      <c r="K585" s="34" t="s">
        <v>155</v>
      </c>
      <c r="L585" s="10" t="s">
        <v>34</v>
      </c>
      <c r="M585" s="10">
        <v>10</v>
      </c>
      <c r="N585" s="10" t="s">
        <v>152</v>
      </c>
      <c r="O585">
        <v>82</v>
      </c>
      <c r="P585" s="10" t="s">
        <v>102</v>
      </c>
      <c r="Q585" t="s">
        <v>183</v>
      </c>
      <c r="S585" s="42"/>
      <c r="T585" s="34" t="s">
        <v>155</v>
      </c>
      <c r="U585" s="10" t="s">
        <v>34</v>
      </c>
      <c r="V585" s="10">
        <v>10</v>
      </c>
      <c r="W585" s="10" t="s">
        <v>152</v>
      </c>
      <c r="X585">
        <v>82</v>
      </c>
      <c r="Y585" s="10" t="s">
        <v>101</v>
      </c>
      <c r="Z585" s="51" t="s">
        <v>168</v>
      </c>
      <c r="AB585" s="42"/>
      <c r="AC585" s="34" t="s">
        <v>155</v>
      </c>
      <c r="AD585" s="10" t="s">
        <v>34</v>
      </c>
      <c r="AE585" s="10">
        <v>10</v>
      </c>
      <c r="AF585" s="10" t="s">
        <v>152</v>
      </c>
      <c r="AG585">
        <v>82</v>
      </c>
      <c r="AH585" s="10">
        <v>2045</v>
      </c>
      <c r="AI585" t="s">
        <v>183</v>
      </c>
      <c r="AK585" s="42"/>
      <c r="AL585" s="34" t="s">
        <v>155</v>
      </c>
      <c r="AM585" s="10" t="s">
        <v>34</v>
      </c>
      <c r="AN585" s="10">
        <v>10</v>
      </c>
      <c r="AO585" s="10" t="s">
        <v>152</v>
      </c>
      <c r="AP585">
        <v>82</v>
      </c>
      <c r="AQ585" s="10"/>
      <c r="AR585" s="43"/>
      <c r="AT585" s="42"/>
      <c r="AU585" s="34" t="s">
        <v>155</v>
      </c>
      <c r="AV585" s="10" t="s">
        <v>34</v>
      </c>
      <c r="AW585" s="10">
        <v>10</v>
      </c>
      <c r="AX585" s="10" t="s">
        <v>152</v>
      </c>
      <c r="AY585">
        <v>82</v>
      </c>
      <c r="AZ585" s="10"/>
      <c r="BA585" s="43"/>
      <c r="BC585" s="42"/>
      <c r="BD585" s="34" t="s">
        <v>155</v>
      </c>
      <c r="BE585" s="10" t="s">
        <v>34</v>
      </c>
      <c r="BF585" s="10">
        <v>10</v>
      </c>
      <c r="BG585" s="10" t="s">
        <v>152</v>
      </c>
      <c r="BH585">
        <v>82</v>
      </c>
      <c r="BI585" s="10"/>
      <c r="BJ585" s="43"/>
      <c r="BL585" s="42"/>
      <c r="BM585" s="34" t="s">
        <v>155</v>
      </c>
      <c r="BN585" s="10" t="s">
        <v>34</v>
      </c>
      <c r="BO585" s="10">
        <v>10</v>
      </c>
      <c r="BP585" s="10" t="s">
        <v>152</v>
      </c>
      <c r="BQ585">
        <v>82</v>
      </c>
      <c r="BR585" s="10"/>
      <c r="BS585" s="43"/>
      <c r="BU585" s="42"/>
      <c r="BV585" s="34" t="s">
        <v>155</v>
      </c>
      <c r="BW585" s="10" t="s">
        <v>34</v>
      </c>
      <c r="BX585" s="10">
        <v>10</v>
      </c>
      <c r="BY585" s="10" t="s">
        <v>152</v>
      </c>
      <c r="BZ585">
        <v>82</v>
      </c>
      <c r="CA585" s="10"/>
      <c r="CB585" s="43"/>
      <c r="CD585" s="42"/>
      <c r="CE585" s="34" t="s">
        <v>155</v>
      </c>
      <c r="CF585" s="10" t="s">
        <v>34</v>
      </c>
      <c r="CG585" s="10">
        <v>10</v>
      </c>
      <c r="CH585" s="10" t="s">
        <v>152</v>
      </c>
      <c r="CI585">
        <v>82</v>
      </c>
      <c r="CJ585" s="10"/>
      <c r="CK585" s="43"/>
    </row>
    <row r="586" spans="1:89" x14ac:dyDescent="0.25">
      <c r="A586" s="42"/>
      <c r="B586" s="34" t="s">
        <v>155</v>
      </c>
      <c r="C586" s="10" t="s">
        <v>34</v>
      </c>
      <c r="D586" s="10">
        <v>11</v>
      </c>
      <c r="E586" s="10" t="s">
        <v>152</v>
      </c>
      <c r="F586">
        <v>83</v>
      </c>
      <c r="G586" s="10" t="s">
        <v>90</v>
      </c>
      <c r="H586" t="s">
        <v>163</v>
      </c>
      <c r="J586" s="42"/>
      <c r="K586" s="34" t="s">
        <v>155</v>
      </c>
      <c r="L586" s="10" t="s">
        <v>34</v>
      </c>
      <c r="M586" s="10">
        <v>11</v>
      </c>
      <c r="N586" s="10" t="s">
        <v>152</v>
      </c>
      <c r="O586">
        <v>83</v>
      </c>
      <c r="P586" s="10" t="s">
        <v>102</v>
      </c>
      <c r="Q586" t="s">
        <v>186</v>
      </c>
      <c r="S586" s="42"/>
      <c r="T586" s="34" t="s">
        <v>155</v>
      </c>
      <c r="U586" s="10" t="s">
        <v>34</v>
      </c>
      <c r="V586" s="10">
        <v>11</v>
      </c>
      <c r="W586" s="10" t="s">
        <v>152</v>
      </c>
      <c r="X586">
        <v>83</v>
      </c>
      <c r="Y586" s="10" t="s">
        <v>101</v>
      </c>
      <c r="Z586" s="43" t="s">
        <v>176</v>
      </c>
      <c r="AB586" s="42"/>
      <c r="AC586" s="34" t="s">
        <v>155</v>
      </c>
      <c r="AD586" s="10" t="s">
        <v>34</v>
      </c>
      <c r="AE586" s="10">
        <v>11</v>
      </c>
      <c r="AF586" s="10" t="s">
        <v>152</v>
      </c>
      <c r="AG586">
        <v>83</v>
      </c>
      <c r="AH586" s="10">
        <v>2045</v>
      </c>
      <c r="AI586" t="s">
        <v>186</v>
      </c>
      <c r="AK586" s="42"/>
      <c r="AL586" s="34" t="s">
        <v>155</v>
      </c>
      <c r="AM586" s="10" t="s">
        <v>34</v>
      </c>
      <c r="AN586" s="10">
        <v>11</v>
      </c>
      <c r="AO586" s="10" t="s">
        <v>152</v>
      </c>
      <c r="AP586">
        <v>83</v>
      </c>
      <c r="AQ586" s="10"/>
      <c r="AR586" s="43"/>
      <c r="AT586" s="42"/>
      <c r="AU586" s="34" t="s">
        <v>155</v>
      </c>
      <c r="AV586" s="10" t="s">
        <v>34</v>
      </c>
      <c r="AW586" s="10">
        <v>11</v>
      </c>
      <c r="AX586" s="10" t="s">
        <v>152</v>
      </c>
      <c r="AY586">
        <v>83</v>
      </c>
      <c r="AZ586" s="10"/>
      <c r="BA586" s="43"/>
      <c r="BC586" s="42"/>
      <c r="BD586" s="34" t="s">
        <v>155</v>
      </c>
      <c r="BE586" s="10" t="s">
        <v>34</v>
      </c>
      <c r="BF586" s="10">
        <v>11</v>
      </c>
      <c r="BG586" s="10" t="s">
        <v>152</v>
      </c>
      <c r="BH586">
        <v>83</v>
      </c>
      <c r="BI586" s="10"/>
      <c r="BJ586" s="43"/>
      <c r="BL586" s="42"/>
      <c r="BM586" s="34" t="s">
        <v>155</v>
      </c>
      <c r="BN586" s="10" t="s">
        <v>34</v>
      </c>
      <c r="BO586" s="10">
        <v>11</v>
      </c>
      <c r="BP586" s="10" t="s">
        <v>152</v>
      </c>
      <c r="BQ586">
        <v>83</v>
      </c>
      <c r="BR586" s="10"/>
      <c r="BS586" s="43"/>
      <c r="BU586" s="42"/>
      <c r="BV586" s="34" t="s">
        <v>155</v>
      </c>
      <c r="BW586" s="10" t="s">
        <v>34</v>
      </c>
      <c r="BX586" s="10">
        <v>11</v>
      </c>
      <c r="BY586" s="10" t="s">
        <v>152</v>
      </c>
      <c r="BZ586">
        <v>83</v>
      </c>
      <c r="CA586" s="10"/>
      <c r="CB586" s="43"/>
      <c r="CD586" s="42"/>
      <c r="CE586" s="34" t="s">
        <v>155</v>
      </c>
      <c r="CF586" s="10" t="s">
        <v>34</v>
      </c>
      <c r="CG586" s="10">
        <v>11</v>
      </c>
      <c r="CH586" s="10" t="s">
        <v>152</v>
      </c>
      <c r="CI586">
        <v>83</v>
      </c>
      <c r="CJ586" s="10"/>
      <c r="CK586" s="43"/>
    </row>
    <row r="587" spans="1:89" x14ac:dyDescent="0.25">
      <c r="A587" s="47"/>
      <c r="B587" s="48" t="s">
        <v>155</v>
      </c>
      <c r="C587" s="49" t="s">
        <v>34</v>
      </c>
      <c r="D587" s="49">
        <v>12</v>
      </c>
      <c r="E587" s="49" t="s">
        <v>152</v>
      </c>
      <c r="F587" s="50">
        <v>84</v>
      </c>
      <c r="G587" s="10" t="s">
        <v>90</v>
      </c>
      <c r="H587" t="s">
        <v>171</v>
      </c>
      <c r="J587" s="47"/>
      <c r="K587" s="48" t="s">
        <v>155</v>
      </c>
      <c r="L587" s="49" t="s">
        <v>34</v>
      </c>
      <c r="M587" s="49">
        <v>12</v>
      </c>
      <c r="N587" s="49" t="s">
        <v>152</v>
      </c>
      <c r="O587" s="50">
        <v>84</v>
      </c>
      <c r="P587" s="10" t="s">
        <v>102</v>
      </c>
      <c r="Q587" s="43" t="s">
        <v>188</v>
      </c>
      <c r="S587" s="47"/>
      <c r="T587" s="48" t="s">
        <v>155</v>
      </c>
      <c r="U587" s="49" t="s">
        <v>34</v>
      </c>
      <c r="V587" s="49">
        <v>12</v>
      </c>
      <c r="W587" s="49" t="s">
        <v>152</v>
      </c>
      <c r="X587" s="50">
        <v>84</v>
      </c>
      <c r="Y587" s="10" t="s">
        <v>101</v>
      </c>
      <c r="Z587" s="43" t="s">
        <v>164</v>
      </c>
      <c r="AB587" s="47"/>
      <c r="AC587" s="48" t="s">
        <v>155</v>
      </c>
      <c r="AD587" s="49" t="s">
        <v>34</v>
      </c>
      <c r="AE587" s="49">
        <v>12</v>
      </c>
      <c r="AF587" s="49" t="s">
        <v>152</v>
      </c>
      <c r="AG587" s="50">
        <v>84</v>
      </c>
      <c r="AH587" s="10">
        <v>2045</v>
      </c>
      <c r="AI587" s="43" t="s">
        <v>188</v>
      </c>
      <c r="AK587" s="47"/>
      <c r="AL587" s="48" t="s">
        <v>155</v>
      </c>
      <c r="AM587" s="49" t="s">
        <v>34</v>
      </c>
      <c r="AN587" s="49">
        <v>12</v>
      </c>
      <c r="AO587" s="49" t="s">
        <v>152</v>
      </c>
      <c r="AP587" s="50">
        <v>84</v>
      </c>
      <c r="AQ587" s="10"/>
      <c r="AR587" s="43"/>
      <c r="AT587" s="47"/>
      <c r="AU587" s="48" t="s">
        <v>155</v>
      </c>
      <c r="AV587" s="49" t="s">
        <v>34</v>
      </c>
      <c r="AW587" s="49">
        <v>12</v>
      </c>
      <c r="AX587" s="49" t="s">
        <v>152</v>
      </c>
      <c r="AY587" s="50">
        <v>84</v>
      </c>
      <c r="AZ587" s="10"/>
      <c r="BA587" s="43"/>
      <c r="BC587" s="47"/>
      <c r="BD587" s="48" t="s">
        <v>155</v>
      </c>
      <c r="BE587" s="49" t="s">
        <v>34</v>
      </c>
      <c r="BF587" s="49">
        <v>12</v>
      </c>
      <c r="BG587" s="49" t="s">
        <v>152</v>
      </c>
      <c r="BH587" s="50">
        <v>84</v>
      </c>
      <c r="BI587" s="10"/>
      <c r="BJ587" s="43"/>
      <c r="BL587" s="47"/>
      <c r="BM587" s="48" t="s">
        <v>155</v>
      </c>
      <c r="BN587" s="49" t="s">
        <v>34</v>
      </c>
      <c r="BO587" s="49">
        <v>12</v>
      </c>
      <c r="BP587" s="49" t="s">
        <v>152</v>
      </c>
      <c r="BQ587" s="50">
        <v>84</v>
      </c>
      <c r="BR587" s="10"/>
      <c r="BS587" s="43"/>
      <c r="BU587" s="47"/>
      <c r="BV587" s="48" t="s">
        <v>155</v>
      </c>
      <c r="BW587" s="49" t="s">
        <v>34</v>
      </c>
      <c r="BX587" s="49">
        <v>12</v>
      </c>
      <c r="BY587" s="49" t="s">
        <v>152</v>
      </c>
      <c r="BZ587" s="50">
        <v>84</v>
      </c>
      <c r="CA587" s="10"/>
      <c r="CB587" s="43"/>
      <c r="CD587" s="47"/>
      <c r="CE587" s="48" t="s">
        <v>155</v>
      </c>
      <c r="CF587" s="49" t="s">
        <v>34</v>
      </c>
      <c r="CG587" s="49">
        <v>12</v>
      </c>
      <c r="CH587" s="49" t="s">
        <v>152</v>
      </c>
      <c r="CI587" s="50">
        <v>84</v>
      </c>
      <c r="CJ587" s="10"/>
      <c r="CK587" s="43"/>
    </row>
    <row r="588" spans="1:89" ht="15.75" thickBot="1" x14ac:dyDescent="0.3">
      <c r="A588" s="56"/>
      <c r="B588" s="34" t="s">
        <v>155</v>
      </c>
      <c r="C588" s="58" t="s">
        <v>39</v>
      </c>
      <c r="D588" s="58">
        <v>1</v>
      </c>
      <c r="E588" s="58" t="s">
        <v>152</v>
      </c>
      <c r="F588" s="59">
        <v>85</v>
      </c>
      <c r="G588" s="10" t="s">
        <v>90</v>
      </c>
      <c r="H588" t="s">
        <v>161</v>
      </c>
      <c r="J588" s="56"/>
      <c r="K588" s="34" t="s">
        <v>155</v>
      </c>
      <c r="L588" s="58" t="s">
        <v>39</v>
      </c>
      <c r="M588" s="58">
        <v>1</v>
      </c>
      <c r="N588" s="58" t="s">
        <v>152</v>
      </c>
      <c r="O588" s="59">
        <v>85</v>
      </c>
      <c r="P588" s="10" t="s">
        <v>102</v>
      </c>
      <c r="Q588" s="43" t="s">
        <v>182</v>
      </c>
      <c r="S588" s="56"/>
      <c r="T588" s="34" t="s">
        <v>155</v>
      </c>
      <c r="U588" s="58" t="s">
        <v>39</v>
      </c>
      <c r="V588" s="58">
        <v>1</v>
      </c>
      <c r="W588" s="58" t="s">
        <v>152</v>
      </c>
      <c r="X588" s="59">
        <v>85</v>
      </c>
      <c r="Y588" s="10" t="s">
        <v>101</v>
      </c>
      <c r="Z588" t="s">
        <v>172</v>
      </c>
      <c r="AB588" s="56"/>
      <c r="AC588" s="34" t="s">
        <v>155</v>
      </c>
      <c r="AD588" s="58" t="s">
        <v>39</v>
      </c>
      <c r="AE588" s="58">
        <v>1</v>
      </c>
      <c r="AF588" s="58" t="s">
        <v>152</v>
      </c>
      <c r="AG588" s="59">
        <v>85</v>
      </c>
      <c r="AH588" s="10">
        <v>2045</v>
      </c>
      <c r="AI588" s="43" t="s">
        <v>182</v>
      </c>
      <c r="AK588" s="56"/>
      <c r="AL588" s="34" t="s">
        <v>155</v>
      </c>
      <c r="AM588" s="58" t="s">
        <v>39</v>
      </c>
      <c r="AN588" s="58">
        <v>1</v>
      </c>
      <c r="AO588" s="58" t="s">
        <v>152</v>
      </c>
      <c r="AP588" s="59">
        <v>85</v>
      </c>
      <c r="AQ588" s="10"/>
      <c r="AR588" s="43"/>
      <c r="AT588" s="56"/>
      <c r="AU588" s="34" t="s">
        <v>155</v>
      </c>
      <c r="AV588" s="58" t="s">
        <v>39</v>
      </c>
      <c r="AW588" s="58">
        <v>1</v>
      </c>
      <c r="AX588" s="58" t="s">
        <v>152</v>
      </c>
      <c r="AY588" s="59">
        <v>85</v>
      </c>
      <c r="AZ588" s="10"/>
      <c r="BA588" s="43"/>
      <c r="BC588" s="56"/>
      <c r="BD588" s="34" t="s">
        <v>155</v>
      </c>
      <c r="BE588" s="58" t="s">
        <v>39</v>
      </c>
      <c r="BF588" s="58">
        <v>1</v>
      </c>
      <c r="BG588" s="58" t="s">
        <v>152</v>
      </c>
      <c r="BH588" s="59">
        <v>85</v>
      </c>
      <c r="BI588" s="10"/>
      <c r="BJ588" s="43"/>
      <c r="BL588" s="56"/>
      <c r="BM588" s="34" t="s">
        <v>155</v>
      </c>
      <c r="BN588" s="58" t="s">
        <v>39</v>
      </c>
      <c r="BO588" s="58">
        <v>1</v>
      </c>
      <c r="BP588" s="58" t="s">
        <v>152</v>
      </c>
      <c r="BQ588" s="59">
        <v>85</v>
      </c>
      <c r="BR588" s="10"/>
      <c r="BS588" s="43"/>
      <c r="BU588" s="56"/>
      <c r="BV588" s="34" t="s">
        <v>155</v>
      </c>
      <c r="BW588" s="58" t="s">
        <v>39</v>
      </c>
      <c r="BX588" s="58">
        <v>1</v>
      </c>
      <c r="BY588" s="58" t="s">
        <v>152</v>
      </c>
      <c r="BZ588" s="59">
        <v>85</v>
      </c>
      <c r="CA588" s="10"/>
      <c r="CB588" s="43"/>
      <c r="CD588" s="56"/>
      <c r="CE588" s="34" t="s">
        <v>155</v>
      </c>
      <c r="CF588" s="58" t="s">
        <v>39</v>
      </c>
      <c r="CG588" s="58">
        <v>1</v>
      </c>
      <c r="CH588" s="58" t="s">
        <v>152</v>
      </c>
      <c r="CI588" s="59">
        <v>85</v>
      </c>
      <c r="CJ588" s="10"/>
      <c r="CK588" s="43"/>
    </row>
    <row r="589" spans="1:89" x14ac:dyDescent="0.25">
      <c r="A589" s="42"/>
      <c r="B589" s="34" t="s">
        <v>155</v>
      </c>
      <c r="C589" s="10" t="s">
        <v>39</v>
      </c>
      <c r="D589" s="10">
        <v>2</v>
      </c>
      <c r="E589" s="10" t="s">
        <v>152</v>
      </c>
      <c r="F589">
        <v>86</v>
      </c>
      <c r="G589" s="10" t="s">
        <v>90</v>
      </c>
      <c r="H589" t="s">
        <v>169</v>
      </c>
      <c r="J589" s="42"/>
      <c r="K589" s="34" t="s">
        <v>155</v>
      </c>
      <c r="L589" s="10" t="s">
        <v>39</v>
      </c>
      <c r="M589" s="10">
        <v>2</v>
      </c>
      <c r="N589" s="10" t="s">
        <v>152</v>
      </c>
      <c r="O589">
        <v>86</v>
      </c>
      <c r="P589" s="10" t="s">
        <v>102</v>
      </c>
      <c r="Q589" s="43" t="s">
        <v>184</v>
      </c>
      <c r="S589" s="42"/>
      <c r="T589" s="34" t="s">
        <v>155</v>
      </c>
      <c r="U589" s="10" t="s">
        <v>39</v>
      </c>
      <c r="V589" s="10">
        <v>2</v>
      </c>
      <c r="W589" s="10" t="s">
        <v>152</v>
      </c>
      <c r="X589">
        <v>86</v>
      </c>
      <c r="Y589" s="10" t="s">
        <v>101</v>
      </c>
      <c r="Z589" t="s">
        <v>162</v>
      </c>
      <c r="AB589" s="42"/>
      <c r="AC589" s="34" t="s">
        <v>155</v>
      </c>
      <c r="AD589" s="10" t="s">
        <v>39</v>
      </c>
      <c r="AE589" s="10">
        <v>2</v>
      </c>
      <c r="AF589" s="10" t="s">
        <v>152</v>
      </c>
      <c r="AG589">
        <v>86</v>
      </c>
      <c r="AH589" s="10">
        <v>2045</v>
      </c>
      <c r="AI589" s="43" t="s">
        <v>184</v>
      </c>
      <c r="AK589" s="42"/>
      <c r="AL589" s="34" t="s">
        <v>155</v>
      </c>
      <c r="AM589" s="10" t="s">
        <v>39</v>
      </c>
      <c r="AN589" s="10">
        <v>2</v>
      </c>
      <c r="AO589" s="10" t="s">
        <v>152</v>
      </c>
      <c r="AP589">
        <v>86</v>
      </c>
      <c r="AQ589" s="10"/>
      <c r="AR589" s="33"/>
      <c r="AT589" s="42"/>
      <c r="AU589" s="34" t="s">
        <v>155</v>
      </c>
      <c r="AV589" s="10" t="s">
        <v>39</v>
      </c>
      <c r="AW589" s="10">
        <v>2</v>
      </c>
      <c r="AX589" s="10" t="s">
        <v>152</v>
      </c>
      <c r="AY589">
        <v>86</v>
      </c>
      <c r="AZ589" s="10"/>
      <c r="BA589" s="33"/>
      <c r="BC589" s="42"/>
      <c r="BD589" s="34" t="s">
        <v>155</v>
      </c>
      <c r="BE589" s="10" t="s">
        <v>39</v>
      </c>
      <c r="BF589" s="10">
        <v>2</v>
      </c>
      <c r="BG589" s="10" t="s">
        <v>152</v>
      </c>
      <c r="BH589">
        <v>86</v>
      </c>
      <c r="BI589" s="10"/>
      <c r="BJ589" s="33"/>
      <c r="BL589" s="42"/>
      <c r="BM589" s="34" t="s">
        <v>155</v>
      </c>
      <c r="BN589" s="10" t="s">
        <v>39</v>
      </c>
      <c r="BO589" s="10">
        <v>2</v>
      </c>
      <c r="BP589" s="10" t="s">
        <v>152</v>
      </c>
      <c r="BQ589">
        <v>86</v>
      </c>
      <c r="BR589" s="10"/>
      <c r="BS589" s="33"/>
      <c r="BU589" s="42"/>
      <c r="BV589" s="34" t="s">
        <v>155</v>
      </c>
      <c r="BW589" s="10" t="s">
        <v>39</v>
      </c>
      <c r="BX589" s="10">
        <v>2</v>
      </c>
      <c r="BY589" s="10" t="s">
        <v>152</v>
      </c>
      <c r="BZ589">
        <v>86</v>
      </c>
      <c r="CA589" s="10"/>
      <c r="CB589" s="33"/>
      <c r="CD589" s="42"/>
      <c r="CE589" s="34" t="s">
        <v>155</v>
      </c>
      <c r="CF589" s="10" t="s">
        <v>39</v>
      </c>
      <c r="CG589" s="10">
        <v>2</v>
      </c>
      <c r="CH589" s="10" t="s">
        <v>152</v>
      </c>
      <c r="CI589">
        <v>86</v>
      </c>
      <c r="CJ589" s="10"/>
      <c r="CK589" s="33"/>
    </row>
    <row r="590" spans="1:89" x14ac:dyDescent="0.25">
      <c r="A590" s="42"/>
      <c r="B590" s="34" t="s">
        <v>155</v>
      </c>
      <c r="C590" s="10" t="s">
        <v>39</v>
      </c>
      <c r="D590" s="10">
        <v>3</v>
      </c>
      <c r="E590" s="10" t="s">
        <v>152</v>
      </c>
      <c r="F590">
        <v>87</v>
      </c>
      <c r="G590" s="10" t="s">
        <v>90</v>
      </c>
      <c r="H590" t="s">
        <v>177</v>
      </c>
      <c r="J590" s="42"/>
      <c r="K590" s="34" t="s">
        <v>155</v>
      </c>
      <c r="L590" s="10" t="s">
        <v>39</v>
      </c>
      <c r="M590" s="10">
        <v>3</v>
      </c>
      <c r="N590" s="10" t="s">
        <v>152</v>
      </c>
      <c r="O590">
        <v>87</v>
      </c>
      <c r="P590" s="10" t="s">
        <v>102</v>
      </c>
      <c r="Q590" s="43" t="s">
        <v>187</v>
      </c>
      <c r="S590" s="42"/>
      <c r="T590" s="34" t="s">
        <v>155</v>
      </c>
      <c r="U590" s="10" t="s">
        <v>39</v>
      </c>
      <c r="V590" s="10">
        <v>3</v>
      </c>
      <c r="W590" s="10" t="s">
        <v>152</v>
      </c>
      <c r="X590">
        <v>87</v>
      </c>
      <c r="Y590" s="10" t="s">
        <v>101</v>
      </c>
      <c r="Z590" t="s">
        <v>170</v>
      </c>
      <c r="AB590" s="42"/>
      <c r="AC590" s="34" t="s">
        <v>155</v>
      </c>
      <c r="AD590" s="10" t="s">
        <v>39</v>
      </c>
      <c r="AE590" s="10">
        <v>3</v>
      </c>
      <c r="AF590" s="10" t="s">
        <v>152</v>
      </c>
      <c r="AG590">
        <v>87</v>
      </c>
      <c r="AH590" s="10">
        <v>2045</v>
      </c>
      <c r="AI590" s="43" t="s">
        <v>187</v>
      </c>
      <c r="AK590" s="42"/>
      <c r="AL590" s="34" t="s">
        <v>155</v>
      </c>
      <c r="AM590" s="10" t="s">
        <v>39</v>
      </c>
      <c r="AN590" s="10">
        <v>3</v>
      </c>
      <c r="AO590" s="10" t="s">
        <v>152</v>
      </c>
      <c r="AP590">
        <v>87</v>
      </c>
      <c r="AQ590" s="10"/>
      <c r="AR590" s="43"/>
      <c r="AT590" s="42"/>
      <c r="AU590" s="34" t="s">
        <v>155</v>
      </c>
      <c r="AV590" s="10" t="s">
        <v>39</v>
      </c>
      <c r="AW590" s="10">
        <v>3</v>
      </c>
      <c r="AX590" s="10" t="s">
        <v>152</v>
      </c>
      <c r="AY590">
        <v>87</v>
      </c>
      <c r="AZ590" s="10"/>
      <c r="BA590" s="43"/>
      <c r="BC590" s="42"/>
      <c r="BD590" s="34" t="s">
        <v>155</v>
      </c>
      <c r="BE590" s="10" t="s">
        <v>39</v>
      </c>
      <c r="BF590" s="10">
        <v>3</v>
      </c>
      <c r="BG590" s="10" t="s">
        <v>152</v>
      </c>
      <c r="BH590">
        <v>87</v>
      </c>
      <c r="BI590" s="10"/>
      <c r="BJ590" s="43"/>
      <c r="BL590" s="42"/>
      <c r="BM590" s="34" t="s">
        <v>155</v>
      </c>
      <c r="BN590" s="10" t="s">
        <v>39</v>
      </c>
      <c r="BO590" s="10">
        <v>3</v>
      </c>
      <c r="BP590" s="10" t="s">
        <v>152</v>
      </c>
      <c r="BQ590">
        <v>87</v>
      </c>
      <c r="BR590" s="10"/>
      <c r="BS590" s="43"/>
      <c r="BU590" s="42"/>
      <c r="BV590" s="34" t="s">
        <v>155</v>
      </c>
      <c r="BW590" s="10" t="s">
        <v>39</v>
      </c>
      <c r="BX590" s="10">
        <v>3</v>
      </c>
      <c r="BY590" s="10" t="s">
        <v>152</v>
      </c>
      <c r="BZ590">
        <v>87</v>
      </c>
      <c r="CA590" s="10"/>
      <c r="CB590" s="43"/>
      <c r="CD590" s="42"/>
      <c r="CE590" s="34" t="s">
        <v>155</v>
      </c>
      <c r="CF590" s="10" t="s">
        <v>39</v>
      </c>
      <c r="CG590" s="10">
        <v>3</v>
      </c>
      <c r="CH590" s="10" t="s">
        <v>152</v>
      </c>
      <c r="CI590">
        <v>87</v>
      </c>
      <c r="CJ590" s="10"/>
      <c r="CK590" s="43"/>
    </row>
    <row r="591" spans="1:89" x14ac:dyDescent="0.25">
      <c r="A591" s="42"/>
      <c r="B591" s="34" t="s">
        <v>155</v>
      </c>
      <c r="C591" s="10" t="s">
        <v>39</v>
      </c>
      <c r="D591" s="10">
        <v>4</v>
      </c>
      <c r="E591" s="10" t="s">
        <v>152</v>
      </c>
      <c r="F591">
        <v>88</v>
      </c>
      <c r="G591" s="10" t="s">
        <v>90</v>
      </c>
      <c r="H591" t="s">
        <v>180</v>
      </c>
      <c r="J591" s="42"/>
      <c r="K591" s="34" t="s">
        <v>155</v>
      </c>
      <c r="L591" s="10" t="s">
        <v>39</v>
      </c>
      <c r="M591" s="10">
        <v>4</v>
      </c>
      <c r="N591" s="10" t="s">
        <v>152</v>
      </c>
      <c r="O591">
        <v>88</v>
      </c>
      <c r="P591" s="10" t="s">
        <v>102</v>
      </c>
      <c r="Q591" s="43" t="s">
        <v>189</v>
      </c>
      <c r="S591" s="42"/>
      <c r="T591" s="34" t="s">
        <v>155</v>
      </c>
      <c r="U591" s="10" t="s">
        <v>39</v>
      </c>
      <c r="V591" s="10">
        <v>4</v>
      </c>
      <c r="W591" s="10" t="s">
        <v>152</v>
      </c>
      <c r="X591">
        <v>88</v>
      </c>
      <c r="Y591" s="10" t="s">
        <v>101</v>
      </c>
      <c r="Z591" t="s">
        <v>178</v>
      </c>
      <c r="AB591" s="42"/>
      <c r="AC591" s="34" t="s">
        <v>155</v>
      </c>
      <c r="AD591" s="10" t="s">
        <v>39</v>
      </c>
      <c r="AE591" s="10">
        <v>4</v>
      </c>
      <c r="AF591" s="10" t="s">
        <v>152</v>
      </c>
      <c r="AG591">
        <v>88</v>
      </c>
      <c r="AH591" s="10">
        <v>2045</v>
      </c>
      <c r="AI591" s="43" t="s">
        <v>189</v>
      </c>
      <c r="AK591" s="42"/>
      <c r="AL591" s="34" t="s">
        <v>155</v>
      </c>
      <c r="AM591" s="10" t="s">
        <v>39</v>
      </c>
      <c r="AN591" s="10">
        <v>4</v>
      </c>
      <c r="AO591" s="10" t="s">
        <v>152</v>
      </c>
      <c r="AP591">
        <v>88</v>
      </c>
      <c r="AQ591" s="10"/>
      <c r="AR591" s="43"/>
      <c r="AT591" s="42"/>
      <c r="AU591" s="34" t="s">
        <v>155</v>
      </c>
      <c r="AV591" s="10" t="s">
        <v>39</v>
      </c>
      <c r="AW591" s="10">
        <v>4</v>
      </c>
      <c r="AX591" s="10" t="s">
        <v>152</v>
      </c>
      <c r="AY591">
        <v>88</v>
      </c>
      <c r="AZ591" s="10"/>
      <c r="BA591" s="43"/>
      <c r="BC591" s="42"/>
      <c r="BD591" s="34" t="s">
        <v>155</v>
      </c>
      <c r="BE591" s="10" t="s">
        <v>39</v>
      </c>
      <c r="BF591" s="10">
        <v>4</v>
      </c>
      <c r="BG591" s="10" t="s">
        <v>152</v>
      </c>
      <c r="BH591">
        <v>88</v>
      </c>
      <c r="BI591" s="10"/>
      <c r="BJ591" s="43"/>
      <c r="BL591" s="42"/>
      <c r="BM591" s="34" t="s">
        <v>155</v>
      </c>
      <c r="BN591" s="10" t="s">
        <v>39</v>
      </c>
      <c r="BO591" s="10">
        <v>4</v>
      </c>
      <c r="BP591" s="10" t="s">
        <v>152</v>
      </c>
      <c r="BQ591">
        <v>88</v>
      </c>
      <c r="BR591" s="10"/>
      <c r="BS591" s="43"/>
      <c r="BU591" s="42"/>
      <c r="BV591" s="34" t="s">
        <v>155</v>
      </c>
      <c r="BW591" s="10" t="s">
        <v>39</v>
      </c>
      <c r="BX591" s="10">
        <v>4</v>
      </c>
      <c r="BY591" s="10" t="s">
        <v>152</v>
      </c>
      <c r="BZ591">
        <v>88</v>
      </c>
      <c r="CA591" s="10"/>
      <c r="CB591" s="43"/>
      <c r="CD591" s="42"/>
      <c r="CE591" s="34" t="s">
        <v>155</v>
      </c>
      <c r="CF591" s="10" t="s">
        <v>39</v>
      </c>
      <c r="CG591" s="10">
        <v>4</v>
      </c>
      <c r="CH591" s="10" t="s">
        <v>152</v>
      </c>
      <c r="CI591">
        <v>88</v>
      </c>
      <c r="CJ591" s="10"/>
      <c r="CK591" s="43"/>
    </row>
    <row r="592" spans="1:89" x14ac:dyDescent="0.25">
      <c r="A592" s="42"/>
      <c r="B592" s="34" t="s">
        <v>155</v>
      </c>
      <c r="C592" s="10" t="s">
        <v>39</v>
      </c>
      <c r="D592" s="10">
        <v>5</v>
      </c>
      <c r="E592" s="10" t="s">
        <v>152</v>
      </c>
      <c r="F592">
        <v>89</v>
      </c>
      <c r="G592" s="10" t="s">
        <v>90</v>
      </c>
      <c r="H592" t="s">
        <v>181</v>
      </c>
      <c r="J592" s="42"/>
      <c r="K592" s="34" t="s">
        <v>155</v>
      </c>
      <c r="L592" s="10" t="s">
        <v>39</v>
      </c>
      <c r="M592" s="10">
        <v>5</v>
      </c>
      <c r="N592" s="10" t="s">
        <v>152</v>
      </c>
      <c r="O592">
        <v>89</v>
      </c>
      <c r="P592" s="10">
        <v>3032</v>
      </c>
      <c r="Q592" s="43" t="s">
        <v>160</v>
      </c>
      <c r="S592" s="42"/>
      <c r="T592" s="34" t="s">
        <v>155</v>
      </c>
      <c r="U592" s="10" t="s">
        <v>39</v>
      </c>
      <c r="V592" s="10">
        <v>5</v>
      </c>
      <c r="W592" s="10" t="s">
        <v>152</v>
      </c>
      <c r="X592">
        <v>89</v>
      </c>
      <c r="Y592" s="10" t="s">
        <v>101</v>
      </c>
      <c r="Z592" t="s">
        <v>163</v>
      </c>
      <c r="AB592" s="42"/>
      <c r="AC592" s="34" t="s">
        <v>155</v>
      </c>
      <c r="AD592" s="10" t="s">
        <v>39</v>
      </c>
      <c r="AE592" s="10">
        <v>5</v>
      </c>
      <c r="AF592" s="10" t="s">
        <v>152</v>
      </c>
      <c r="AG592">
        <v>89</v>
      </c>
      <c r="AH592" s="10" t="s">
        <v>107</v>
      </c>
      <c r="AI592" s="43" t="s">
        <v>160</v>
      </c>
      <c r="AK592" s="42"/>
      <c r="AL592" s="34" t="s">
        <v>155</v>
      </c>
      <c r="AM592" s="10" t="s">
        <v>39</v>
      </c>
      <c r="AN592" s="10">
        <v>5</v>
      </c>
      <c r="AO592" s="10" t="s">
        <v>152</v>
      </c>
      <c r="AP592">
        <v>89</v>
      </c>
      <c r="AQ592" s="10"/>
      <c r="AR592" s="43"/>
      <c r="AT592" s="42"/>
      <c r="AU592" s="34" t="s">
        <v>155</v>
      </c>
      <c r="AV592" s="10" t="s">
        <v>39</v>
      </c>
      <c r="AW592" s="10">
        <v>5</v>
      </c>
      <c r="AX592" s="10" t="s">
        <v>152</v>
      </c>
      <c r="AY592">
        <v>89</v>
      </c>
      <c r="AZ592" s="10"/>
      <c r="BA592" s="43"/>
      <c r="BC592" s="42"/>
      <c r="BD592" s="34" t="s">
        <v>155</v>
      </c>
      <c r="BE592" s="10" t="s">
        <v>39</v>
      </c>
      <c r="BF592" s="10">
        <v>5</v>
      </c>
      <c r="BG592" s="10" t="s">
        <v>152</v>
      </c>
      <c r="BH592">
        <v>89</v>
      </c>
      <c r="BI592" s="10"/>
      <c r="BJ592" s="43"/>
      <c r="BL592" s="42"/>
      <c r="BM592" s="34" t="s">
        <v>155</v>
      </c>
      <c r="BN592" s="10" t="s">
        <v>39</v>
      </c>
      <c r="BO592" s="10">
        <v>5</v>
      </c>
      <c r="BP592" s="10" t="s">
        <v>152</v>
      </c>
      <c r="BQ592">
        <v>89</v>
      </c>
      <c r="BR592" s="10"/>
      <c r="BS592" s="43"/>
      <c r="BU592" s="42"/>
      <c r="BV592" s="34" t="s">
        <v>155</v>
      </c>
      <c r="BW592" s="10" t="s">
        <v>39</v>
      </c>
      <c r="BX592" s="10">
        <v>5</v>
      </c>
      <c r="BY592" s="10" t="s">
        <v>152</v>
      </c>
      <c r="BZ592">
        <v>89</v>
      </c>
      <c r="CA592" s="10"/>
      <c r="CB592" s="43"/>
      <c r="CD592" s="42"/>
      <c r="CE592" s="34" t="s">
        <v>155</v>
      </c>
      <c r="CF592" s="10" t="s">
        <v>39</v>
      </c>
      <c r="CG592" s="10">
        <v>5</v>
      </c>
      <c r="CH592" s="10" t="s">
        <v>152</v>
      </c>
      <c r="CI592">
        <v>89</v>
      </c>
      <c r="CJ592" s="10"/>
      <c r="CK592" s="43"/>
    </row>
    <row r="593" spans="1:89" x14ac:dyDescent="0.25">
      <c r="A593" s="42"/>
      <c r="B593" s="34" t="s">
        <v>155</v>
      </c>
      <c r="C593" s="10" t="s">
        <v>39</v>
      </c>
      <c r="D593" s="10">
        <v>6</v>
      </c>
      <c r="E593" s="10" t="s">
        <v>152</v>
      </c>
      <c r="F593">
        <v>90</v>
      </c>
      <c r="G593" s="10" t="s">
        <v>90</v>
      </c>
      <c r="H593" t="s">
        <v>183</v>
      </c>
      <c r="J593" s="42"/>
      <c r="K593" s="34" t="s">
        <v>155</v>
      </c>
      <c r="L593" s="10" t="s">
        <v>39</v>
      </c>
      <c r="M593" s="10">
        <v>6</v>
      </c>
      <c r="N593" s="10" t="s">
        <v>152</v>
      </c>
      <c r="O593">
        <v>90</v>
      </c>
      <c r="P593" s="10">
        <v>3032</v>
      </c>
      <c r="Q593" s="51" t="s">
        <v>168</v>
      </c>
      <c r="S593" s="42"/>
      <c r="T593" s="34" t="s">
        <v>155</v>
      </c>
      <c r="U593" s="10" t="s">
        <v>39</v>
      </c>
      <c r="V593" s="10">
        <v>6</v>
      </c>
      <c r="W593" s="10" t="s">
        <v>152</v>
      </c>
      <c r="X593">
        <v>90</v>
      </c>
      <c r="Y593" s="10" t="s">
        <v>101</v>
      </c>
      <c r="Z593" t="s">
        <v>171</v>
      </c>
      <c r="AB593" s="42"/>
      <c r="AC593" s="34" t="s">
        <v>155</v>
      </c>
      <c r="AD593" s="10" t="s">
        <v>39</v>
      </c>
      <c r="AE593" s="10">
        <v>6</v>
      </c>
      <c r="AF593" s="10" t="s">
        <v>152</v>
      </c>
      <c r="AG593">
        <v>90</v>
      </c>
      <c r="AH593" s="10" t="s">
        <v>107</v>
      </c>
      <c r="AI593" s="51" t="s">
        <v>168</v>
      </c>
      <c r="AK593" s="42"/>
      <c r="AL593" s="34" t="s">
        <v>155</v>
      </c>
      <c r="AM593" s="10" t="s">
        <v>39</v>
      </c>
      <c r="AN593" s="10">
        <v>6</v>
      </c>
      <c r="AO593" s="10" t="s">
        <v>152</v>
      </c>
      <c r="AP593">
        <v>90</v>
      </c>
      <c r="AQ593" s="10"/>
      <c r="AR593" s="43"/>
      <c r="AT593" s="42"/>
      <c r="AU593" s="34" t="s">
        <v>155</v>
      </c>
      <c r="AV593" s="10" t="s">
        <v>39</v>
      </c>
      <c r="AW593" s="10">
        <v>6</v>
      </c>
      <c r="AX593" s="10" t="s">
        <v>152</v>
      </c>
      <c r="AY593">
        <v>90</v>
      </c>
      <c r="AZ593" s="10"/>
      <c r="BA593" s="43"/>
      <c r="BC593" s="42"/>
      <c r="BD593" s="34" t="s">
        <v>155</v>
      </c>
      <c r="BE593" s="10" t="s">
        <v>39</v>
      </c>
      <c r="BF593" s="10">
        <v>6</v>
      </c>
      <c r="BG593" s="10" t="s">
        <v>152</v>
      </c>
      <c r="BH593">
        <v>90</v>
      </c>
      <c r="BI593" s="10"/>
      <c r="BJ593" s="43"/>
      <c r="BL593" s="42"/>
      <c r="BM593" s="34" t="s">
        <v>155</v>
      </c>
      <c r="BN593" s="10" t="s">
        <v>39</v>
      </c>
      <c r="BO593" s="10">
        <v>6</v>
      </c>
      <c r="BP593" s="10" t="s">
        <v>152</v>
      </c>
      <c r="BQ593">
        <v>90</v>
      </c>
      <c r="BR593" s="10"/>
      <c r="BS593" s="43"/>
      <c r="BU593" s="42"/>
      <c r="BV593" s="34" t="s">
        <v>155</v>
      </c>
      <c r="BW593" s="10" t="s">
        <v>39</v>
      </c>
      <c r="BX593" s="10">
        <v>6</v>
      </c>
      <c r="BY593" s="10" t="s">
        <v>152</v>
      </c>
      <c r="BZ593">
        <v>90</v>
      </c>
      <c r="CA593" s="10"/>
      <c r="CB593" s="43"/>
      <c r="CD593" s="42"/>
      <c r="CE593" s="34" t="s">
        <v>155</v>
      </c>
      <c r="CF593" s="10" t="s">
        <v>39</v>
      </c>
      <c r="CG593" s="10">
        <v>6</v>
      </c>
      <c r="CH593" s="10" t="s">
        <v>152</v>
      </c>
      <c r="CI593">
        <v>90</v>
      </c>
      <c r="CJ593" s="10"/>
      <c r="CK593" s="43"/>
    </row>
    <row r="594" spans="1:89" x14ac:dyDescent="0.25">
      <c r="A594" s="42"/>
      <c r="B594" s="34" t="s">
        <v>155</v>
      </c>
      <c r="C594" s="10" t="s">
        <v>39</v>
      </c>
      <c r="D594" s="10">
        <v>7</v>
      </c>
      <c r="E594" s="10" t="s">
        <v>152</v>
      </c>
      <c r="F594">
        <v>91</v>
      </c>
      <c r="G594" s="10" t="s">
        <v>90</v>
      </c>
      <c r="H594" t="s">
        <v>186</v>
      </c>
      <c r="J594" s="42"/>
      <c r="K594" s="34" t="s">
        <v>155</v>
      </c>
      <c r="L594" s="10" t="s">
        <v>39</v>
      </c>
      <c r="M594" s="10">
        <v>7</v>
      </c>
      <c r="N594" s="10" t="s">
        <v>152</v>
      </c>
      <c r="O594">
        <v>91</v>
      </c>
      <c r="P594" s="10">
        <v>3032</v>
      </c>
      <c r="Q594" s="43" t="s">
        <v>176</v>
      </c>
      <c r="S594" s="42"/>
      <c r="T594" s="34" t="s">
        <v>155</v>
      </c>
      <c r="U594" s="10" t="s">
        <v>39</v>
      </c>
      <c r="V594" s="10">
        <v>7</v>
      </c>
      <c r="W594" s="10" t="s">
        <v>152</v>
      </c>
      <c r="X594">
        <v>91</v>
      </c>
      <c r="Y594" s="10" t="s">
        <v>101</v>
      </c>
      <c r="Z594" t="s">
        <v>161</v>
      </c>
      <c r="AB594" s="42"/>
      <c r="AC594" s="34" t="s">
        <v>155</v>
      </c>
      <c r="AD594" s="10" t="s">
        <v>39</v>
      </c>
      <c r="AE594" s="10">
        <v>7</v>
      </c>
      <c r="AF594" s="10" t="s">
        <v>152</v>
      </c>
      <c r="AG594">
        <v>91</v>
      </c>
      <c r="AH594" s="10" t="s">
        <v>107</v>
      </c>
      <c r="AI594" s="43" t="s">
        <v>176</v>
      </c>
      <c r="AK594" s="42"/>
      <c r="AL594" s="34" t="s">
        <v>155</v>
      </c>
      <c r="AM594" s="10" t="s">
        <v>39</v>
      </c>
      <c r="AN594" s="10">
        <v>7</v>
      </c>
      <c r="AO594" s="10" t="s">
        <v>152</v>
      </c>
      <c r="AP594">
        <v>91</v>
      </c>
      <c r="AQ594" s="10"/>
      <c r="AR594" s="43"/>
      <c r="AT594" s="42"/>
      <c r="AU594" s="34" t="s">
        <v>155</v>
      </c>
      <c r="AV594" s="10" t="s">
        <v>39</v>
      </c>
      <c r="AW594" s="10">
        <v>7</v>
      </c>
      <c r="AX594" s="10" t="s">
        <v>152</v>
      </c>
      <c r="AY594">
        <v>91</v>
      </c>
      <c r="AZ594" s="10"/>
      <c r="BA594" s="43"/>
      <c r="BC594" s="42"/>
      <c r="BD594" s="34" t="s">
        <v>155</v>
      </c>
      <c r="BE594" s="10" t="s">
        <v>39</v>
      </c>
      <c r="BF594" s="10">
        <v>7</v>
      </c>
      <c r="BG594" s="10" t="s">
        <v>152</v>
      </c>
      <c r="BH594">
        <v>91</v>
      </c>
      <c r="BI594" s="10"/>
      <c r="BJ594" s="43"/>
      <c r="BL594" s="42"/>
      <c r="BM594" s="34" t="s">
        <v>155</v>
      </c>
      <c r="BN594" s="10" t="s">
        <v>39</v>
      </c>
      <c r="BO594" s="10">
        <v>7</v>
      </c>
      <c r="BP594" s="10" t="s">
        <v>152</v>
      </c>
      <c r="BQ594">
        <v>91</v>
      </c>
      <c r="BR594" s="10"/>
      <c r="BS594" s="43"/>
      <c r="BU594" s="42"/>
      <c r="BV594" s="34" t="s">
        <v>155</v>
      </c>
      <c r="BW594" s="10" t="s">
        <v>39</v>
      </c>
      <c r="BX594" s="10">
        <v>7</v>
      </c>
      <c r="BY594" s="10" t="s">
        <v>152</v>
      </c>
      <c r="BZ594">
        <v>91</v>
      </c>
      <c r="CA594" s="10"/>
      <c r="CB594" s="43"/>
      <c r="CD594" s="42"/>
      <c r="CE594" s="34" t="s">
        <v>155</v>
      </c>
      <c r="CF594" s="10" t="s">
        <v>39</v>
      </c>
      <c r="CG594" s="10">
        <v>7</v>
      </c>
      <c r="CH594" s="10" t="s">
        <v>152</v>
      </c>
      <c r="CI594">
        <v>91</v>
      </c>
      <c r="CJ594" s="10"/>
      <c r="CK594" s="43"/>
    </row>
    <row r="595" spans="1:89" x14ac:dyDescent="0.25">
      <c r="A595" s="42"/>
      <c r="B595" s="34" t="s">
        <v>155</v>
      </c>
      <c r="C595" s="10" t="s">
        <v>39</v>
      </c>
      <c r="D595" s="10">
        <v>8</v>
      </c>
      <c r="E595" s="10" t="s">
        <v>152</v>
      </c>
      <c r="F595">
        <v>92</v>
      </c>
      <c r="G595" s="10" t="s">
        <v>90</v>
      </c>
      <c r="H595" s="43" t="s">
        <v>188</v>
      </c>
      <c r="J595" s="42"/>
      <c r="K595" s="34" t="s">
        <v>155</v>
      </c>
      <c r="L595" s="10" t="s">
        <v>39</v>
      </c>
      <c r="M595" s="10">
        <v>8</v>
      </c>
      <c r="N595" s="10" t="s">
        <v>152</v>
      </c>
      <c r="O595">
        <v>92</v>
      </c>
      <c r="P595" s="10">
        <v>3032</v>
      </c>
      <c r="Q595" s="43" t="s">
        <v>164</v>
      </c>
      <c r="S595" s="42"/>
      <c r="T595" s="34" t="s">
        <v>155</v>
      </c>
      <c r="U595" s="10" t="s">
        <v>39</v>
      </c>
      <c r="V595" s="10">
        <v>8</v>
      </c>
      <c r="W595" s="10" t="s">
        <v>152</v>
      </c>
      <c r="X595">
        <v>92</v>
      </c>
      <c r="Y595" s="10" t="s">
        <v>101</v>
      </c>
      <c r="Z595" t="s">
        <v>169</v>
      </c>
      <c r="AB595" s="42"/>
      <c r="AC595" s="34" t="s">
        <v>155</v>
      </c>
      <c r="AD595" s="10" t="s">
        <v>39</v>
      </c>
      <c r="AE595" s="10">
        <v>8</v>
      </c>
      <c r="AF595" s="10" t="s">
        <v>152</v>
      </c>
      <c r="AG595">
        <v>92</v>
      </c>
      <c r="AH595" s="10" t="s">
        <v>107</v>
      </c>
      <c r="AI595" s="43" t="s">
        <v>164</v>
      </c>
      <c r="AK595" s="42"/>
      <c r="AL595" s="34" t="s">
        <v>155</v>
      </c>
      <c r="AM595" s="10" t="s">
        <v>39</v>
      </c>
      <c r="AN595" s="10">
        <v>8</v>
      </c>
      <c r="AO595" s="10" t="s">
        <v>152</v>
      </c>
      <c r="AP595">
        <v>92</v>
      </c>
      <c r="AQ595" s="10"/>
      <c r="AR595" s="43"/>
      <c r="AT595" s="42"/>
      <c r="AU595" s="34" t="s">
        <v>155</v>
      </c>
      <c r="AV595" s="10" t="s">
        <v>39</v>
      </c>
      <c r="AW595" s="10">
        <v>8</v>
      </c>
      <c r="AX595" s="10" t="s">
        <v>152</v>
      </c>
      <c r="AY595">
        <v>92</v>
      </c>
      <c r="AZ595" s="10"/>
      <c r="BA595" s="43"/>
      <c r="BC595" s="42"/>
      <c r="BD595" s="34" t="s">
        <v>155</v>
      </c>
      <c r="BE595" s="10" t="s">
        <v>39</v>
      </c>
      <c r="BF595" s="10">
        <v>8</v>
      </c>
      <c r="BG595" s="10" t="s">
        <v>152</v>
      </c>
      <c r="BH595">
        <v>92</v>
      </c>
      <c r="BI595" s="10"/>
      <c r="BJ595" s="43"/>
      <c r="BL595" s="42"/>
      <c r="BM595" s="34" t="s">
        <v>155</v>
      </c>
      <c r="BN595" s="10" t="s">
        <v>39</v>
      </c>
      <c r="BO595" s="10">
        <v>8</v>
      </c>
      <c r="BP595" s="10" t="s">
        <v>152</v>
      </c>
      <c r="BQ595">
        <v>92</v>
      </c>
      <c r="BR595" s="10"/>
      <c r="BS595" s="43"/>
      <c r="BU595" s="42"/>
      <c r="BV595" s="34" t="s">
        <v>155</v>
      </c>
      <c r="BW595" s="10" t="s">
        <v>39</v>
      </c>
      <c r="BX595" s="10">
        <v>8</v>
      </c>
      <c r="BY595" s="10" t="s">
        <v>152</v>
      </c>
      <c r="BZ595">
        <v>92</v>
      </c>
      <c r="CA595" s="10"/>
      <c r="CB595" s="43"/>
      <c r="CD595" s="42"/>
      <c r="CE595" s="34" t="s">
        <v>155</v>
      </c>
      <c r="CF595" s="10" t="s">
        <v>39</v>
      </c>
      <c r="CG595" s="10">
        <v>8</v>
      </c>
      <c r="CH595" s="10" t="s">
        <v>152</v>
      </c>
      <c r="CI595">
        <v>92</v>
      </c>
      <c r="CJ595" s="10"/>
      <c r="CK595" s="43"/>
    </row>
    <row r="596" spans="1:89" x14ac:dyDescent="0.25">
      <c r="A596" s="42"/>
      <c r="B596" s="34" t="s">
        <v>155</v>
      </c>
      <c r="C596" s="10" t="s">
        <v>39</v>
      </c>
      <c r="D596" s="10">
        <v>9</v>
      </c>
      <c r="E596" s="10" t="s">
        <v>152</v>
      </c>
      <c r="F596">
        <v>93</v>
      </c>
      <c r="G596" s="10" t="s">
        <v>90</v>
      </c>
      <c r="H596" s="43" t="s">
        <v>182</v>
      </c>
      <c r="J596" s="42"/>
      <c r="K596" s="34" t="s">
        <v>155</v>
      </c>
      <c r="L596" s="10" t="s">
        <v>39</v>
      </c>
      <c r="M596" s="10">
        <v>9</v>
      </c>
      <c r="N596" s="10" t="s">
        <v>152</v>
      </c>
      <c r="O596">
        <v>93</v>
      </c>
      <c r="P596" s="10">
        <v>3032</v>
      </c>
      <c r="Q596" t="s">
        <v>172</v>
      </c>
      <c r="S596" s="42"/>
      <c r="T596" s="34" t="s">
        <v>155</v>
      </c>
      <c r="U596" s="10" t="s">
        <v>39</v>
      </c>
      <c r="V596" s="10">
        <v>9</v>
      </c>
      <c r="W596" s="10" t="s">
        <v>152</v>
      </c>
      <c r="X596">
        <v>93</v>
      </c>
      <c r="Y596" s="10" t="s">
        <v>101</v>
      </c>
      <c r="Z596" t="s">
        <v>177</v>
      </c>
      <c r="AB596" s="42"/>
      <c r="AC596" s="34" t="s">
        <v>155</v>
      </c>
      <c r="AD596" s="10" t="s">
        <v>39</v>
      </c>
      <c r="AE596" s="10">
        <v>9</v>
      </c>
      <c r="AF596" s="10" t="s">
        <v>152</v>
      </c>
      <c r="AG596">
        <v>93</v>
      </c>
      <c r="AH596" s="10" t="s">
        <v>107</v>
      </c>
      <c r="AI596" t="s">
        <v>172</v>
      </c>
      <c r="AK596" s="42"/>
      <c r="AL596" s="34" t="s">
        <v>155</v>
      </c>
      <c r="AM596" s="10" t="s">
        <v>39</v>
      </c>
      <c r="AN596" s="10">
        <v>9</v>
      </c>
      <c r="AO596" s="10" t="s">
        <v>152</v>
      </c>
      <c r="AP596">
        <v>93</v>
      </c>
      <c r="AQ596" s="10"/>
      <c r="AR596" s="43"/>
      <c r="AT596" s="42"/>
      <c r="AU596" s="34" t="s">
        <v>155</v>
      </c>
      <c r="AV596" s="10" t="s">
        <v>39</v>
      </c>
      <c r="AW596" s="10">
        <v>9</v>
      </c>
      <c r="AX596" s="10" t="s">
        <v>152</v>
      </c>
      <c r="AY596">
        <v>93</v>
      </c>
      <c r="AZ596" s="10"/>
      <c r="BA596" s="43"/>
      <c r="BC596" s="42"/>
      <c r="BD596" s="34" t="s">
        <v>155</v>
      </c>
      <c r="BE596" s="10" t="s">
        <v>39</v>
      </c>
      <c r="BF596" s="10">
        <v>9</v>
      </c>
      <c r="BG596" s="10" t="s">
        <v>152</v>
      </c>
      <c r="BH596">
        <v>93</v>
      </c>
      <c r="BI596" s="10"/>
      <c r="BJ596" s="43"/>
      <c r="BL596" s="42"/>
      <c r="BM596" s="34" t="s">
        <v>155</v>
      </c>
      <c r="BN596" s="10" t="s">
        <v>39</v>
      </c>
      <c r="BO596" s="10">
        <v>9</v>
      </c>
      <c r="BP596" s="10" t="s">
        <v>152</v>
      </c>
      <c r="BQ596">
        <v>93</v>
      </c>
      <c r="BR596" s="10"/>
      <c r="BS596" s="43"/>
      <c r="BU596" s="42"/>
      <c r="BV596" s="34" t="s">
        <v>155</v>
      </c>
      <c r="BW596" s="10" t="s">
        <v>39</v>
      </c>
      <c r="BX596" s="10">
        <v>9</v>
      </c>
      <c r="BY596" s="10" t="s">
        <v>152</v>
      </c>
      <c r="BZ596">
        <v>93</v>
      </c>
      <c r="CA596" s="10"/>
      <c r="CB596" s="43"/>
      <c r="CD596" s="42"/>
      <c r="CE596" s="34" t="s">
        <v>155</v>
      </c>
      <c r="CF596" s="10" t="s">
        <v>39</v>
      </c>
      <c r="CG596" s="10">
        <v>9</v>
      </c>
      <c r="CH596" s="10" t="s">
        <v>152</v>
      </c>
      <c r="CI596">
        <v>93</v>
      </c>
      <c r="CJ596" s="10"/>
      <c r="CK596" s="43"/>
    </row>
    <row r="597" spans="1:89" x14ac:dyDescent="0.25">
      <c r="A597" s="42"/>
      <c r="B597" s="34" t="s">
        <v>155</v>
      </c>
      <c r="C597" s="10" t="s">
        <v>39</v>
      </c>
      <c r="D597" s="10">
        <v>10</v>
      </c>
      <c r="E597" s="10" t="s">
        <v>152</v>
      </c>
      <c r="F597">
        <v>94</v>
      </c>
      <c r="G597" s="10" t="s">
        <v>90</v>
      </c>
      <c r="H597" s="43" t="s">
        <v>184</v>
      </c>
      <c r="J597" s="42"/>
      <c r="K597" s="34" t="s">
        <v>155</v>
      </c>
      <c r="L597" s="10" t="s">
        <v>39</v>
      </c>
      <c r="M597" s="10">
        <v>10</v>
      </c>
      <c r="N597" s="10" t="s">
        <v>152</v>
      </c>
      <c r="O597">
        <v>94</v>
      </c>
      <c r="P597" s="10">
        <v>3032</v>
      </c>
      <c r="Q597" t="s">
        <v>162</v>
      </c>
      <c r="S597" s="42"/>
      <c r="T597" s="34" t="s">
        <v>155</v>
      </c>
      <c r="U597" s="10" t="s">
        <v>39</v>
      </c>
      <c r="V597" s="10">
        <v>10</v>
      </c>
      <c r="W597" s="10" t="s">
        <v>152</v>
      </c>
      <c r="X597">
        <v>94</v>
      </c>
      <c r="Y597" s="10" t="s">
        <v>101</v>
      </c>
      <c r="Z597" t="s">
        <v>180</v>
      </c>
      <c r="AB597" s="42"/>
      <c r="AC597" s="34" t="s">
        <v>155</v>
      </c>
      <c r="AD597" s="10" t="s">
        <v>39</v>
      </c>
      <c r="AE597" s="10">
        <v>10</v>
      </c>
      <c r="AF597" s="10" t="s">
        <v>152</v>
      </c>
      <c r="AG597">
        <v>94</v>
      </c>
      <c r="AH597" s="10" t="s">
        <v>107</v>
      </c>
      <c r="AI597" t="s">
        <v>162</v>
      </c>
      <c r="AK597" s="42"/>
      <c r="AL597" s="34" t="s">
        <v>155</v>
      </c>
      <c r="AM597" s="10" t="s">
        <v>39</v>
      </c>
      <c r="AN597" s="10">
        <v>10</v>
      </c>
      <c r="AO597" s="10" t="s">
        <v>152</v>
      </c>
      <c r="AP597">
        <v>94</v>
      </c>
      <c r="AQ597" s="10"/>
      <c r="AR597" s="43"/>
      <c r="AT597" s="42"/>
      <c r="AU597" s="34" t="s">
        <v>155</v>
      </c>
      <c r="AV597" s="10" t="s">
        <v>39</v>
      </c>
      <c r="AW597" s="10">
        <v>10</v>
      </c>
      <c r="AX597" s="10" t="s">
        <v>152</v>
      </c>
      <c r="AY597">
        <v>94</v>
      </c>
      <c r="AZ597" s="10"/>
      <c r="BA597" s="43"/>
      <c r="BC597" s="42"/>
      <c r="BD597" s="34" t="s">
        <v>155</v>
      </c>
      <c r="BE597" s="10" t="s">
        <v>39</v>
      </c>
      <c r="BF597" s="10">
        <v>10</v>
      </c>
      <c r="BG597" s="10" t="s">
        <v>152</v>
      </c>
      <c r="BH597">
        <v>94</v>
      </c>
      <c r="BI597" s="10"/>
      <c r="BJ597" s="43"/>
      <c r="BL597" s="42"/>
      <c r="BM597" s="34" t="s">
        <v>155</v>
      </c>
      <c r="BN597" s="10" t="s">
        <v>39</v>
      </c>
      <c r="BO597" s="10">
        <v>10</v>
      </c>
      <c r="BP597" s="10" t="s">
        <v>152</v>
      </c>
      <c r="BQ597">
        <v>94</v>
      </c>
      <c r="BR597" s="10"/>
      <c r="BS597" s="43"/>
      <c r="BU597" s="42"/>
      <c r="BV597" s="34" t="s">
        <v>155</v>
      </c>
      <c r="BW597" s="10" t="s">
        <v>39</v>
      </c>
      <c r="BX597" s="10">
        <v>10</v>
      </c>
      <c r="BY597" s="10" t="s">
        <v>152</v>
      </c>
      <c r="BZ597">
        <v>94</v>
      </c>
      <c r="CA597" s="10"/>
      <c r="CB597" s="43"/>
      <c r="CD597" s="42"/>
      <c r="CE597" s="34" t="s">
        <v>155</v>
      </c>
      <c r="CF597" s="10" t="s">
        <v>39</v>
      </c>
      <c r="CG597" s="10">
        <v>10</v>
      </c>
      <c r="CH597" s="10" t="s">
        <v>152</v>
      </c>
      <c r="CI597">
        <v>94</v>
      </c>
      <c r="CJ597" s="10"/>
      <c r="CK597" s="43"/>
    </row>
    <row r="598" spans="1:89" x14ac:dyDescent="0.25">
      <c r="A598" s="42"/>
      <c r="B598" s="34" t="s">
        <v>155</v>
      </c>
      <c r="C598" s="10" t="s">
        <v>39</v>
      </c>
      <c r="D598" s="10">
        <v>11</v>
      </c>
      <c r="E598" s="10" t="s">
        <v>152</v>
      </c>
      <c r="F598">
        <v>95</v>
      </c>
      <c r="G598" s="10" t="s">
        <v>90</v>
      </c>
      <c r="H598" s="43" t="s">
        <v>187</v>
      </c>
      <c r="J598" s="42"/>
      <c r="K598" s="34" t="s">
        <v>155</v>
      </c>
      <c r="L598" s="10" t="s">
        <v>39</v>
      </c>
      <c r="M598" s="10">
        <v>11</v>
      </c>
      <c r="N598" s="10" t="s">
        <v>152</v>
      </c>
      <c r="O598">
        <v>95</v>
      </c>
      <c r="P598" s="10">
        <v>3032</v>
      </c>
      <c r="Q598" t="s">
        <v>170</v>
      </c>
      <c r="S598" s="42"/>
      <c r="T598" s="34" t="s">
        <v>155</v>
      </c>
      <c r="U598" s="10" t="s">
        <v>39</v>
      </c>
      <c r="V598" s="10">
        <v>11</v>
      </c>
      <c r="W598" s="10" t="s">
        <v>152</v>
      </c>
      <c r="X598">
        <v>95</v>
      </c>
      <c r="Y598" s="10" t="s">
        <v>101</v>
      </c>
      <c r="Z598" t="s">
        <v>181</v>
      </c>
      <c r="AB598" s="42"/>
      <c r="AC598" s="34" t="s">
        <v>155</v>
      </c>
      <c r="AD598" s="10" t="s">
        <v>39</v>
      </c>
      <c r="AE598" s="10">
        <v>11</v>
      </c>
      <c r="AF598" s="10" t="s">
        <v>152</v>
      </c>
      <c r="AG598">
        <v>95</v>
      </c>
      <c r="AH598" s="10" t="s">
        <v>107</v>
      </c>
      <c r="AI598" t="s">
        <v>170</v>
      </c>
      <c r="AK598" s="42"/>
      <c r="AL598" s="34" t="s">
        <v>155</v>
      </c>
      <c r="AM598" s="10" t="s">
        <v>39</v>
      </c>
      <c r="AN598" s="10">
        <v>11</v>
      </c>
      <c r="AO598" s="10" t="s">
        <v>152</v>
      </c>
      <c r="AP598">
        <v>95</v>
      </c>
      <c r="AQ598" s="10"/>
      <c r="AR598" s="43"/>
      <c r="AT598" s="42"/>
      <c r="AU598" s="34" t="s">
        <v>155</v>
      </c>
      <c r="AV598" s="10" t="s">
        <v>39</v>
      </c>
      <c r="AW598" s="10">
        <v>11</v>
      </c>
      <c r="AX598" s="10" t="s">
        <v>152</v>
      </c>
      <c r="AY598">
        <v>95</v>
      </c>
      <c r="AZ598" s="10"/>
      <c r="BA598" s="43"/>
      <c r="BC598" s="42"/>
      <c r="BD598" s="34" t="s">
        <v>155</v>
      </c>
      <c r="BE598" s="10" t="s">
        <v>39</v>
      </c>
      <c r="BF598" s="10">
        <v>11</v>
      </c>
      <c r="BG598" s="10" t="s">
        <v>152</v>
      </c>
      <c r="BH598">
        <v>95</v>
      </c>
      <c r="BI598" s="10"/>
      <c r="BJ598" s="43"/>
      <c r="BL598" s="42"/>
      <c r="BM598" s="34" t="s">
        <v>155</v>
      </c>
      <c r="BN598" s="10" t="s">
        <v>39</v>
      </c>
      <c r="BO598" s="10">
        <v>11</v>
      </c>
      <c r="BP598" s="10" t="s">
        <v>152</v>
      </c>
      <c r="BQ598">
        <v>95</v>
      </c>
      <c r="BR598" s="10"/>
      <c r="BS598" s="43"/>
      <c r="BU598" s="42"/>
      <c r="BV598" s="34" t="s">
        <v>155</v>
      </c>
      <c r="BW598" s="10" t="s">
        <v>39</v>
      </c>
      <c r="BX598" s="10">
        <v>11</v>
      </c>
      <c r="BY598" s="10" t="s">
        <v>152</v>
      </c>
      <c r="BZ598">
        <v>95</v>
      </c>
      <c r="CA598" s="10"/>
      <c r="CB598" s="43"/>
      <c r="CD598" s="42"/>
      <c r="CE598" s="34" t="s">
        <v>155</v>
      </c>
      <c r="CF598" s="10" t="s">
        <v>39</v>
      </c>
      <c r="CG598" s="10">
        <v>11</v>
      </c>
      <c r="CH598" s="10" t="s">
        <v>152</v>
      </c>
      <c r="CI598">
        <v>95</v>
      </c>
      <c r="CJ598" s="10"/>
      <c r="CK598" s="43"/>
    </row>
    <row r="599" spans="1:89" ht="15.75" thickBot="1" x14ac:dyDescent="0.3">
      <c r="A599" s="65"/>
      <c r="B599" s="66" t="s">
        <v>155</v>
      </c>
      <c r="C599" s="17" t="s">
        <v>39</v>
      </c>
      <c r="D599" s="17">
        <v>12</v>
      </c>
      <c r="E599" s="17" t="s">
        <v>152</v>
      </c>
      <c r="F599" s="67">
        <v>96</v>
      </c>
      <c r="G599" s="10" t="s">
        <v>90</v>
      </c>
      <c r="H599" s="43" t="s">
        <v>189</v>
      </c>
      <c r="J599" s="65"/>
      <c r="K599" s="66" t="s">
        <v>155</v>
      </c>
      <c r="L599" s="17" t="s">
        <v>39</v>
      </c>
      <c r="M599" s="17">
        <v>12</v>
      </c>
      <c r="N599" s="17" t="s">
        <v>152</v>
      </c>
      <c r="O599" s="67">
        <v>96</v>
      </c>
      <c r="P599" s="10">
        <v>3032</v>
      </c>
      <c r="Q599" t="s">
        <v>178</v>
      </c>
      <c r="S599" s="65"/>
      <c r="T599" s="66" t="s">
        <v>155</v>
      </c>
      <c r="U599" s="17" t="s">
        <v>39</v>
      </c>
      <c r="V599" s="17">
        <v>12</v>
      </c>
      <c r="W599" s="17" t="s">
        <v>152</v>
      </c>
      <c r="X599" s="67">
        <v>96</v>
      </c>
      <c r="Y599" s="10" t="s">
        <v>101</v>
      </c>
      <c r="Z599" t="s">
        <v>183</v>
      </c>
      <c r="AB599" s="65"/>
      <c r="AC599" s="66" t="s">
        <v>155</v>
      </c>
      <c r="AD599" s="17" t="s">
        <v>39</v>
      </c>
      <c r="AE599" s="17">
        <v>12</v>
      </c>
      <c r="AF599" s="17" t="s">
        <v>152</v>
      </c>
      <c r="AG599" s="67">
        <v>96</v>
      </c>
      <c r="AH599" s="10" t="s">
        <v>107</v>
      </c>
      <c r="AI599" t="s">
        <v>178</v>
      </c>
      <c r="AK599" s="65"/>
      <c r="AL599" s="66" t="s">
        <v>155</v>
      </c>
      <c r="AM599" s="17" t="s">
        <v>39</v>
      </c>
      <c r="AN599" s="17">
        <v>12</v>
      </c>
      <c r="AO599" s="17" t="s">
        <v>152</v>
      </c>
      <c r="AP599" s="67">
        <v>96</v>
      </c>
      <c r="AQ599" s="10"/>
      <c r="AR599" s="43"/>
      <c r="AT599" s="65"/>
      <c r="AU599" s="66" t="s">
        <v>155</v>
      </c>
      <c r="AV599" s="17" t="s">
        <v>39</v>
      </c>
      <c r="AW599" s="17">
        <v>12</v>
      </c>
      <c r="AX599" s="17" t="s">
        <v>152</v>
      </c>
      <c r="AY599" s="67">
        <v>96</v>
      </c>
      <c r="AZ599" s="10"/>
      <c r="BA599" s="43"/>
      <c r="BC599" s="65"/>
      <c r="BD599" s="66" t="s">
        <v>155</v>
      </c>
      <c r="BE599" s="17" t="s">
        <v>39</v>
      </c>
      <c r="BF599" s="17">
        <v>12</v>
      </c>
      <c r="BG599" s="17" t="s">
        <v>152</v>
      </c>
      <c r="BH599" s="67">
        <v>96</v>
      </c>
      <c r="BI599" s="10"/>
      <c r="BJ599" s="43"/>
      <c r="BL599" s="65"/>
      <c r="BM599" s="66" t="s">
        <v>155</v>
      </c>
      <c r="BN599" s="17" t="s">
        <v>39</v>
      </c>
      <c r="BO599" s="17">
        <v>12</v>
      </c>
      <c r="BP599" s="17" t="s">
        <v>152</v>
      </c>
      <c r="BQ599" s="67">
        <v>96</v>
      </c>
      <c r="BR599" s="10"/>
      <c r="BS599" s="43"/>
      <c r="BU599" s="65"/>
      <c r="BV599" s="66" t="s">
        <v>155</v>
      </c>
      <c r="BW599" s="17" t="s">
        <v>39</v>
      </c>
      <c r="BX599" s="17">
        <v>12</v>
      </c>
      <c r="BY599" s="17" t="s">
        <v>152</v>
      </c>
      <c r="BZ599" s="67">
        <v>96</v>
      </c>
      <c r="CA599" s="10"/>
      <c r="CB599" s="43"/>
      <c r="CD599" s="65"/>
      <c r="CE599" s="66" t="s">
        <v>155</v>
      </c>
      <c r="CF599" s="17" t="s">
        <v>39</v>
      </c>
      <c r="CG599" s="17">
        <v>12</v>
      </c>
      <c r="CH599" s="17" t="s">
        <v>152</v>
      </c>
      <c r="CI599" s="67">
        <v>96</v>
      </c>
      <c r="CJ599" s="10"/>
      <c r="CK599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lijst</vt:lpstr>
      <vt:lpstr>OOR &gt; samples</vt:lpstr>
      <vt:lpstr>Redo samples final round</vt:lpstr>
      <vt:lpstr>Redo new results</vt:lpstr>
      <vt:lpstr>Plaat</vt:lpstr>
      <vt:lpstr>indeling biobank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A.M. Klarenbeek</dc:creator>
  <cp:lastModifiedBy>Bas Haak</cp:lastModifiedBy>
  <cp:lastPrinted>2019-01-23T10:12:35Z</cp:lastPrinted>
  <dcterms:created xsi:type="dcterms:W3CDTF">2019-01-23T09:33:10Z</dcterms:created>
  <dcterms:modified xsi:type="dcterms:W3CDTF">2020-01-13T14:30:16Z</dcterms:modified>
</cp:coreProperties>
</file>